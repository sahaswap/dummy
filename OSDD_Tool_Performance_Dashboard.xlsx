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Pivot" sheetId="2" state="visible" r:id="rId2"/>
    <sheet xmlns:r="http://schemas.openxmlformats.org/officeDocument/2006/relationships" name="Completion Curve" sheetId="3" state="visible" r:id="rId3"/>
    <sheet xmlns:r="http://schemas.openxmlformats.org/officeDocument/2006/relationships" name="Weekly Trend" sheetId="4" state="visible" r:id="rId4"/>
    <sheet xmlns:r="http://schemas.openxmlformats.org/officeDocument/2006/relationships" name="Release Impact" sheetId="5" state="visible" r:id="rId5"/>
    <sheet xmlns:r="http://schemas.openxmlformats.org/officeDocument/2006/relationships" name="Load Profile" sheetId="6" state="visible" r:id="rId6"/>
    <sheet xmlns:r="http://schemas.openxmlformats.org/officeDocument/2006/relationships" name="Analyst Adoption" sheetId="7" state="visible" r:id="rId7"/>
    <sheet xmlns:r="http://schemas.openxmlformats.org/officeDocument/2006/relationships" name="Notes &amp; Method" sheetId="8" state="visible" r:id="rId8"/>
    <sheet xmlns:r="http://schemas.openxmlformats.org/officeDocument/2006/relationships" name="Data" sheetId="9" state="visible" r:id="rId9"/>
    <sheet xmlns:r="http://schemas.openxmlformats.org/officeDocument/2006/relationships" name="Helper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 hh:mm"/>
    <numFmt numFmtId="166" formatCode="yyyy-mm-dd"/>
    <numFmt numFmtId="167" formatCode="0.0"/>
    <numFmt numFmtId="168" formatCode="0.0%"/>
    <numFmt numFmtId="169" formatCode="#,##0.0"/>
    <numFmt numFmtId="170" formatCode="dd-mmm-yy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10"/>
    </font>
    <font>
      <name val="Arial"/>
      <b val="1"/>
      <color rgb="001F3864"/>
      <sz val="14"/>
    </font>
    <font>
      <name val="Arial"/>
      <color rgb="00595959"/>
      <sz val="9"/>
    </font>
    <font>
      <name val="Arial"/>
      <color rgb="00000000"/>
      <sz val="10"/>
    </font>
    <font>
      <name val="Arial"/>
      <b val="1"/>
      <color rgb="00595959"/>
      <sz val="9"/>
    </font>
    <font>
      <name val="Arial"/>
      <b val="1"/>
      <color rgb="001F3864"/>
      <sz val="11"/>
    </font>
    <font>
      <name val="Arial"/>
      <color rgb="00404040"/>
      <sz val="9"/>
    </font>
    <font>
      <name val="Arial"/>
      <b val="1"/>
      <color rgb="001F3864"/>
      <sz val="13"/>
    </font>
    <font>
      <name val="Arial"/>
      <b val="1"/>
      <color rgb="001F3864"/>
      <sz val="18"/>
    </font>
    <font>
      <name val="Arial"/>
      <color rgb="00595959"/>
      <sz val="10"/>
    </font>
    <font>
      <name val="Arial"/>
      <b val="1"/>
      <color rgb="000000FF"/>
      <sz val="10"/>
    </font>
    <font>
      <name val="Arial"/>
      <b val="1"/>
      <color rgb="00FFFFFF"/>
      <sz val="9"/>
    </font>
    <font>
      <name val="Arial"/>
      <b val="1"/>
      <color rgb="002E5C99"/>
      <sz val="20"/>
    </font>
    <font>
      <name val="Arial"/>
      <color rgb="00595959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2E5C99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13" fillId="5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center"/>
    </xf>
    <xf numFmtId="0" fontId="14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168" fontId="15" fillId="6" borderId="0" applyAlignment="1" pivotButton="0" quotePrefix="0" xfId="0">
      <alignment horizontal="center" vertical="center"/>
    </xf>
    <xf numFmtId="0" fontId="0" fillId="6" borderId="0" pivotButton="0" quotePrefix="0" xfId="0"/>
    <xf numFmtId="3" fontId="15" fillId="6" borderId="0" applyAlignment="1" pivotButton="0" quotePrefix="0" xfId="0">
      <alignment horizontal="center" vertical="center"/>
    </xf>
    <xf numFmtId="167" fontId="15" fillId="6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  <xf numFmtId="167" fontId="6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center"/>
    </xf>
    <xf numFmtId="168" fontId="6" fillId="0" borderId="1" applyAlignment="1" pivotButton="0" quotePrefix="0" xfId="0">
      <alignment horizontal="center"/>
    </xf>
    <xf numFmtId="169" fontId="6" fillId="0" borderId="1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3" fontId="3" fillId="3" borderId="1" applyAlignment="1" pivotButton="0" quotePrefix="0" xfId="0">
      <alignment horizontal="center"/>
    </xf>
    <xf numFmtId="167" fontId="3" fillId="3" borderId="1" applyAlignment="1" pivotButton="0" quotePrefix="0" xfId="0">
      <alignment horizontal="center"/>
    </xf>
    <xf numFmtId="2" fontId="3" fillId="3" borderId="1" applyAlignment="1" pivotButton="0" quotePrefix="0" xfId="0">
      <alignment horizontal="center"/>
    </xf>
    <xf numFmtId="168" fontId="3" fillId="3" borderId="1" applyAlignment="1" pivotButton="0" quotePrefix="0" xfId="0">
      <alignment horizontal="center"/>
    </xf>
    <xf numFmtId="169" fontId="3" fillId="3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" fillId="4" borderId="1" applyAlignment="1" pivotButton="0" quotePrefix="0" xfId="0">
      <alignment horizontal="center" wrapText="1"/>
    </xf>
    <xf numFmtId="170" fontId="6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of runs finished within a given wait time</a:t>
            </a:r>
          </a:p>
        </rich>
      </tx>
    </title>
    <plotArea>
      <lineChart>
        <grouping val="standard"/>
        <ser>
          <idx val="0"/>
          <order val="0"/>
          <tx>
            <strRef>
              <f>'Completion Curve'!B4</f>
            </strRef>
          </tx>
          <spPr>
            <a:ln xmlns:a="http://schemas.openxmlformats.org/drawingml/2006/main" w="26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'Completion Curve'!$A$5:$A$13</f>
            </numRef>
          </cat>
          <val>
            <numRef>
              <f>'Completion Curve'!$B$5:$B$13</f>
            </numRef>
          </val>
        </ser>
        <ser>
          <idx val="1"/>
          <order val="1"/>
          <tx>
            <strRef>
              <f>'Completion Curve'!C4</f>
            </strRef>
          </tx>
          <spPr>
            <a:ln xmlns:a="http://schemas.openxmlformats.org/drawingml/2006/main" w="26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'Completion Curve'!$A$5:$A$13</f>
            </numRef>
          </cat>
          <val>
            <numRef>
              <f>'Completion Curve'!$C$5:$C$13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 finished within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runs completed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Seconds per search by month (workload-adjusted)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Pivot'!L4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Pivot'!$U$5:$U$9</f>
            </numRef>
          </cat>
          <val>
            <numRef>
              <f>'Monthly Pivot'!$L$5:$L$9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 per search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Fixed overhead per run vs marginal cost per search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Pivot'!N4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Pivot'!$U$5:$U$9</f>
            </numRef>
          </cat>
          <val>
            <numRef>
              <f>'Monthly Pivot'!$N$5:$N$9</f>
            </numRef>
          </val>
        </ser>
        <ser>
          <idx val="1"/>
          <order val="1"/>
          <tx>
            <strRef>
              <f>'Monthly Pivot'!O4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Pivot'!$U$5:$U$9</f>
            </numRef>
          </cat>
          <val>
            <numRef>
              <f>'Monthly Pivot'!$O$5:$O$9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Seconds per search by week</a:t>
            </a:r>
          </a:p>
        </rich>
      </tx>
    </title>
    <plotArea>
      <lineChart>
        <grouping val="standard"/>
        <ser>
          <idx val="0"/>
          <order val="0"/>
          <tx>
            <strRef>
              <f>'Weekly Trend'!D3</f>
            </strRef>
          </tx>
          <spPr>
            <a:ln xmlns:a="http://schemas.openxmlformats.org/drawingml/2006/main" w="26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Trend'!$A$4:$A$18</f>
            </numRef>
          </cat>
          <val>
            <numRef>
              <f>'Weekly Trend'!$D$4:$D$18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 per search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Seconds per search by tool version (20+ runs)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'Release Impact'!B15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'Release Impact'!$D$16:$D$19</f>
            </numRef>
          </cat>
          <val>
            <numRef>
              <f>'Release Impact'!$B$16:$B$19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Tool version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 per search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of runs over 5 and 10 minutes,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Pivot'!Q4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Pivot'!$U$5:$U$9</f>
            </numRef>
          </cat>
          <val>
            <numRef>
              <f>'Monthly Pivot'!$Q$5:$Q$9</f>
            </numRef>
          </val>
        </ser>
        <ser>
          <idx val="1"/>
          <order val="1"/>
          <tx>
            <strRef>
              <f>'Monthly Pivot'!R4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Pivot'!$U$5:$U$9</f>
            </numRef>
          </cat>
          <val>
            <numRef>
              <f>'Monthly Pivot'!$R$5:$R$9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runs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Seconds per search by concurrent load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'Load Profile'!B4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'Load Profile'!$A$5:$A$8</f>
            </numRef>
          </cat>
          <val>
            <numRef>
              <f>'Load Profile'!$B$5:$B$8</f>
            </numRef>
          </val>
        </ser>
        <ser>
          <idx val="1"/>
          <order val="1"/>
          <tx>
            <strRef>
              <f>'Load Profile'!C4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'Load Profile'!$A$5:$A$8</f>
            </numRef>
          </cat>
          <val>
            <numRef>
              <f>'Load Profile'!$C$5:$C$8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Runs logged in the same 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 per search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Runs logged and active analysts,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Pivot'!B4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Pivot'!$U$5:$U$9</f>
            </numRef>
          </cat>
          <val>
            <numRef>
              <f>'Monthly Pivot'!$B$5:$B$9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'Monthly Pivot'!C4</f>
            </strRef>
          </tx>
          <spPr>
            <a:ln xmlns:a="http://schemas.openxmlformats.org/drawingml/2006/main" w="26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Pivot'!$C$5:$C$9</f>
            </numRef>
          </val>
        </ser>
        <axId val="10"/>
        <axId val="3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Runs logged</a:t>
                </a:r>
              </a:p>
            </rich>
          </tx>
        </title>
        <majorTickMark val="none"/>
        <minorTickMark val="none"/>
        <crossAx val="10"/>
      </valAx>
      <valAx>
        <axId val="3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Active analysts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Analysis</author>
  </authors>
  <commentList>
    <comment ref="B6" authorId="0" shapeId="0">
      <text>
        <t>Apr-Jun 2026 is used as the baseline period and Jul-Aug 2026 as the current period. The period boundaries are set in the formulas in E7:E11 and can be changed there.</t>
      </text>
    </comment>
  </commentList>
</comments>
</file>

<file path=xl/comments/comment2.xml><?xml version="1.0" encoding="utf-8"?>
<comments xmlns="http://schemas.openxmlformats.org/spreadsheetml/2006/main">
  <authors>
    <author>Analysis</author>
  </authors>
  <commentList>
    <comment ref="A1" authorId="0" shapeId="0">
      <text>
        <t>Source: Sheet1 of the OSDD tool audit log. 5294 logged runs retained; 96 source rows carried a timestamp but no run data (partial tracker writes) and are excluded from all averages.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5940000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17</row>
      <rowOff>0</rowOff>
    </from>
    <ext cx="5940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36</row>
      <rowOff>0</rowOff>
    </from>
    <ext cx="5940000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36</row>
      <rowOff>0</rowOff>
    </from>
    <ext cx="5940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55</row>
      <rowOff>0</rowOff>
    </from>
    <ext cx="5940000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55</row>
      <rowOff>0</rowOff>
    </from>
    <ext cx="5940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74</row>
      <rowOff>0</rowOff>
    </from>
    <ext cx="5940000" cy="3096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74</row>
      <rowOff>0</rowOff>
    </from>
    <ext cx="5940000" cy="3096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Runs" displayName="tblRuns" ref="A1:S5295" headerRowCount="1">
  <autoFilter ref="A1:S5295"/>
  <tableColumns count="19">
    <tableColumn id="1" name="Date &amp; Time"/>
    <tableColumn id="2" name="Month Key"/>
    <tableColumn id="3" name="Month Label"/>
    <tableColumn id="4" name="Week Start"/>
    <tableColumn id="5" name="Analyst ID"/>
    <tableColumn id="6" name="ECM Case ID"/>
    <tableColumn id="7" name="Total Entities"/>
    <tableColumn id="8" name="Total Searches"/>
    <tableColumn id="9" name="Time Taken (raw)"/>
    <tableColumn id="10" name="Seconds"/>
    <tableColumn id="11" name="Minutes"/>
    <tableColumn id="12" name="Seconds per Search"/>
    <tableColumn id="13" name="Tool Version"/>
    <tableColumn id="14" name="Over 5 Min"/>
    <tableColumn id="15" name="Over 10 Min"/>
    <tableColumn id="16" name="Seconds (rated runs)"/>
    <tableColumn id="17" name="Hour Key"/>
    <tableColumn id="18" name="Runs in Same Hour"/>
    <tableColumn id="19" name="Concurrency Band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2">
      <c r="B2" s="1" t="inlineStr">
        <is>
          <t>OSDD Search Tool - Performance &amp; Efficiency Review</t>
        </is>
      </c>
    </row>
    <row r="3">
      <c r="B3" s="2" t="inlineStr">
        <is>
          <t>Audit-log evidence, 30 Apr 2026 to 07 Aug 2026  |  5,294 logged runs  |  69 analysts</t>
        </is>
      </c>
    </row>
    <row r="5">
      <c r="B5" s="3" t="inlineStr">
        <is>
          <t>Comparison basis</t>
        </is>
      </c>
    </row>
    <row r="6">
      <c r="B6" s="4" t="inlineStr">
        <is>
          <t>Baseline period</t>
        </is>
      </c>
      <c r="E6" s="5" t="inlineStr">
        <is>
          <t>Apr-Jun 2026</t>
        </is>
      </c>
    </row>
    <row r="7">
      <c r="B7" s="4" t="inlineStr">
        <is>
          <t>Baseline rate (sec per search, weighted)</t>
        </is>
      </c>
      <c r="E7" s="6">
        <f>(SUMIFS(Data!$P$2:$P$5295,Data!$B$2:$B$5295,"2026-04")+SUMIFS(Data!$P$2:$P$5295,Data!$B$2:$B$5295,"2026-05")+SUMIFS(Data!$P$2:$P$5295,Data!$B$2:$B$5295,"2026-06"))/(SUMIFS(Data!$H$2:$H$5295,Data!$B$2:$B$5295,"2026-04")+SUMIFS(Data!$H$2:$H$5295,Data!$B$2:$B$5295,"2026-05")+SUMIFS(Data!$H$2:$H$5295,Data!$B$2:$B$5295,"2026-06"))</f>
        <v/>
      </c>
    </row>
    <row r="8">
      <c r="B8" s="4" t="inlineStr">
        <is>
          <t>Current rate (Jul-Aug 2026, sec per search, weighted)</t>
        </is>
      </c>
      <c r="E8" s="6">
        <f>(SUMIFS(Data!$P$2:$P$5295,Data!$B$2:$B$5295,"2026-07")+SUMIFS(Data!$P$2:$P$5295,Data!$B$2:$B$5295,"2026-08"))/(SUMIFS(Data!$H$2:$H$5295,Data!$B$2:$B$5295,"2026-07")+SUMIFS(Data!$H$2:$H$5295,Data!$B$2:$B$5295,"2026-08"))</f>
        <v/>
      </c>
    </row>
    <row r="9">
      <c r="B9" s="4" t="inlineStr">
        <is>
          <t>Searches run in the current period (Jul-Aug 2026)</t>
        </is>
      </c>
      <c r="E9" s="7">
        <f>(SUMIFS(Data!$H$2:$H$5295,Data!$B$2:$B$5295,"2026-07")+SUMIFS(Data!$H$2:$H$5295,Data!$B$2:$B$5295,"2026-08"))</f>
        <v/>
      </c>
    </row>
    <row r="10">
      <c r="B10" s="4" t="inlineStr">
        <is>
          <t>Marginal sec per search - baseline (least-squares fit)</t>
        </is>
      </c>
      <c r="E10" s="6">
        <f>SLOPE(INDEX(Data!$J$2:$J$5295,1):INDEX(Data!$J$2:$J$5295,MATCH("2026-07",Data!$B$2:$B$5295,0)-1),INDEX(Data!$H$2:$H$5295,1):INDEX(Data!$H$2:$H$5295,MATCH("2026-07",Data!$B$2:$B$5295,0)-1))</f>
        <v/>
      </c>
    </row>
    <row r="11">
      <c r="B11" s="4" t="inlineStr">
        <is>
          <t>Marginal sec per search - current (least-squares fit)</t>
        </is>
      </c>
      <c r="E11" s="6">
        <f>SLOPE(INDEX(Data!$J$2:$J$5295,MATCH("2026-07",Data!$B$2:$B$5295,0)):INDEX(Data!$J$2:$J$5295,5294),INDEX(Data!$H$2:$H$5295,MATCH("2026-07",Data!$B$2:$B$5295,0)):INDEX(Data!$H$2:$H$5295,5294))</f>
        <v/>
      </c>
    </row>
    <row r="14" ht="28" customHeight="1">
      <c r="B14" s="8" t="inlineStr">
        <is>
          <t>Efficiency gain per search</t>
        </is>
      </c>
      <c r="C14" s="9" t="n"/>
      <c r="E14" s="8" t="inlineStr">
        <is>
          <t>Analyst hours avoided</t>
        </is>
      </c>
      <c r="F14" s="9" t="n"/>
      <c r="H14" s="8" t="inlineStr">
        <is>
          <t>Runs finishing within 2 min</t>
        </is>
      </c>
      <c r="I14" s="9" t="n"/>
      <c r="K14" s="8" t="inlineStr">
        <is>
          <t>Marginal sec per search, current</t>
        </is>
      </c>
      <c r="L14" s="9" t="n"/>
      <c r="N14" s="8" t="inlineStr">
        <is>
          <t>Runs over 5 min, current</t>
        </is>
      </c>
      <c r="O14" s="9" t="n"/>
    </row>
    <row r="15" ht="34" customHeight="1">
      <c r="B15" s="10">
        <f>1-E8/E7</f>
        <v/>
      </c>
      <c r="C15" s="11" t="n"/>
      <c r="E15" s="12">
        <f>E9*(E7-E8)/3600</f>
        <v/>
      </c>
      <c r="F15" s="11" t="n"/>
      <c r="H15" s="10">
        <f>'Completion Curve'!C8</f>
        <v/>
      </c>
      <c r="I15" s="11" t="n"/>
      <c r="K15" s="13">
        <f>E11</f>
        <v/>
      </c>
      <c r="L15" s="11" t="n"/>
      <c r="N15" s="10">
        <f>SUMIFS(Data!$N$2:$N$5295,Data!$B$2:$B$5295,"&gt;=2026-07")/COUNTIFS(Data!$B$2:$B$5295,"&gt;=2026-07")</f>
        <v/>
      </c>
      <c r="O15" s="11" t="n"/>
    </row>
    <row r="16" ht="26" customHeight="1">
      <c r="B16" s="14" t="inlineStr">
        <is>
          <t>Jul-Aug vs Apr-Jun, workload-adjusted</t>
        </is>
      </c>
      <c r="E16" s="14" t="inlineStr">
        <is>
          <t>Jul-Aug searches at the baseline rate vs the current rate</t>
        </is>
      </c>
      <c r="H16" s="14" t="inlineStr">
        <is>
          <t>current period; baseline comparison on the Completion Curve tab</t>
        </is>
      </c>
      <c r="K16" s="14" t="inlineStr">
        <is>
          <t>cost of each extra search; baseline value in E10 above</t>
        </is>
      </c>
      <c r="N16" s="14" t="inlineStr">
        <is>
          <t>monthly comparison in the chart below</t>
        </is>
      </c>
    </row>
  </sheetData>
  <mergeCells count="15">
    <mergeCell ref="K16:L16"/>
    <mergeCell ref="B16:C16"/>
    <mergeCell ref="B15:C15"/>
    <mergeCell ref="E16:F16"/>
    <mergeCell ref="E15:F15"/>
    <mergeCell ref="H16:I16"/>
    <mergeCell ref="N15:O15"/>
    <mergeCell ref="K15:L15"/>
    <mergeCell ref="H15:I15"/>
    <mergeCell ref="N16:O16"/>
    <mergeCell ref="B14:C14"/>
    <mergeCell ref="E14:F14"/>
    <mergeCell ref="H14:I14"/>
    <mergeCell ref="K14:L14"/>
    <mergeCell ref="N14:O14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2" customWidth="1" min="19" max="19"/>
    <col width="16" customWidth="1" min="21" max="21"/>
  </cols>
  <sheetData>
    <row r="1">
      <c r="A1" s="15" t="inlineStr">
        <is>
          <t>OSDD Search Tool - Monthly Performance Pivot</t>
        </is>
      </c>
    </row>
    <row r="2">
      <c r="A2" s="16" t="inlineStr">
        <is>
          <t>Source: audit log Sheet1 of the shared master tracker. One row = one tool run.</t>
        </is>
      </c>
    </row>
    <row r="4" ht="46" customHeight="1">
      <c r="A4" s="17" t="inlineStr">
        <is>
          <t>Month</t>
        </is>
      </c>
      <c r="B4" s="17" t="inlineStr">
        <is>
          <t>Runs logged</t>
        </is>
      </c>
      <c r="C4" s="17" t="inlineStr">
        <is>
          <t>Active analysts</t>
        </is>
      </c>
      <c r="D4" s="17" t="inlineStr">
        <is>
          <t>Entities screened</t>
        </is>
      </c>
      <c r="E4" s="17" t="inlineStr">
        <is>
          <t>Searches run</t>
        </is>
      </c>
      <c r="F4" s="17" t="inlineStr">
        <is>
          <t>Avg entities / run</t>
        </is>
      </c>
      <c r="G4" s="17" t="inlineStr">
        <is>
          <t>Avg searches / run</t>
        </is>
      </c>
      <c r="H4" s="17" t="inlineStr">
        <is>
          <t>Median time / run (sec)</t>
        </is>
      </c>
      <c r="I4" s="17" t="inlineStr">
        <is>
          <t>Avg time / run (sec)</t>
        </is>
      </c>
      <c r="J4" s="17" t="inlineStr">
        <is>
          <t>Avg time / run (min)</t>
        </is>
      </c>
      <c r="K4" s="17" t="inlineStr">
        <is>
          <t>P90 time / run (sec)</t>
        </is>
      </c>
      <c r="L4" s="17" t="inlineStr">
        <is>
          <t>Sec per search (weighted)</t>
        </is>
      </c>
      <c r="M4" s="17" t="inlineStr">
        <is>
          <t>Sec per entity (weighted)</t>
        </is>
      </c>
      <c r="N4" s="17" t="inlineStr">
        <is>
          <t>Fixed overhead / run (sec)</t>
        </is>
      </c>
      <c r="O4" s="17" t="inlineStr">
        <is>
          <t>Marginal sec per search</t>
        </is>
      </c>
      <c r="P4" s="17" t="inlineStr">
        <is>
          <t>Fit quality (R2)</t>
        </is>
      </c>
      <c r="Q4" s="17" t="inlineStr">
        <is>
          <t>Runs over 5 min</t>
        </is>
      </c>
      <c r="R4" s="17" t="inlineStr">
        <is>
          <t>Runs over 10 min</t>
        </is>
      </c>
      <c r="S4" s="17" t="inlineStr">
        <is>
          <t>Total tool hours</t>
        </is>
      </c>
      <c r="U4" s="18" t="inlineStr">
        <is>
          <t>Chart label</t>
        </is>
      </c>
    </row>
    <row r="5">
      <c r="A5" s="19" t="inlineStr">
        <is>
          <t>2026-04</t>
        </is>
      </c>
      <c r="B5" s="20">
        <f>COUNTIFS(Data!$B$2:$B$5295,$A5)</f>
        <v/>
      </c>
      <c r="C5" s="20">
        <f>Helper!B72</f>
        <v/>
      </c>
      <c r="D5" s="20">
        <f>SUMIFS(Data!$G$2:$G$5295,Data!$B$2:$B$5295,$A5)</f>
        <v/>
      </c>
      <c r="E5" s="20">
        <f>SUMIFS(Data!$H$2:$H$5295,Data!$B$2:$B$5295,$A5)</f>
        <v/>
      </c>
      <c r="F5" s="21">
        <f>IFERROR(D5/B5,"")</f>
        <v/>
      </c>
      <c r="G5" s="21">
        <f>IFERROR(E5/B5,"")</f>
        <v/>
      </c>
      <c r="H5" s="20">
        <f>MEDIAN(INDEX(Data!$J$2:$J$5295,MATCH($A5,Data!$B$2:$B$5295,0)):INDEX(Data!$J$2:$J$5295,MATCH($A5,Data!$B$2:$B$5295,0)+COUNTIFS(Data!$B$2:$B$5295,$A5)-1))</f>
        <v/>
      </c>
      <c r="I5" s="20">
        <f>AVERAGEIFS(Data!$J$2:$J$5295,Data!$B$2:$B$5295,$A5)</f>
        <v/>
      </c>
      <c r="J5" s="21">
        <f>I5/60</f>
        <v/>
      </c>
      <c r="K5" s="20">
        <f>PERCENTILE(INDEX(Data!$J$2:$J$5295,MATCH($A5,Data!$B$2:$B$5295,0)):INDEX(Data!$J$2:$J$5295,MATCH($A5,Data!$B$2:$B$5295,0)+COUNTIFS(Data!$B$2:$B$5295,$A5)-1),0.9)</f>
        <v/>
      </c>
      <c r="L5" s="21">
        <f>IFERROR(SUMIFS(Data!$P$2:$P$5295,Data!$B$2:$B$5295,$A5)/E5,"")</f>
        <v/>
      </c>
      <c r="M5" s="21">
        <f>IFERROR(SUMIFS(Data!$J$2:$J$5295,Data!$B$2:$B$5295,$A5)/D5,"")</f>
        <v/>
      </c>
      <c r="N5" s="20">
        <f>INTERCEPT(INDEX(Data!$J$2:$J$5295,MATCH($A5,Data!$B$2:$B$5295,0)):INDEX(Data!$J$2:$J$5295,MATCH($A5,Data!$B$2:$B$5295,0)+COUNTIFS(Data!$B$2:$B$5295,$A5)-1),INDEX(Data!$H$2:$H$5295,MATCH($A5,Data!$B$2:$B$5295,0)):INDEX(Data!$H$2:$H$5295,MATCH($A5,Data!$B$2:$B$5295,0)+COUNTIFS(Data!$B$2:$B$5295,$A5)-1))</f>
        <v/>
      </c>
      <c r="O5" s="21">
        <f>SLOPE(INDEX(Data!$J$2:$J$5295,MATCH($A5,Data!$B$2:$B$5295,0)):INDEX(Data!$J$2:$J$5295,MATCH($A5,Data!$B$2:$B$5295,0)+COUNTIFS(Data!$B$2:$B$5295,$A5)-1),INDEX(Data!$H$2:$H$5295,MATCH($A5,Data!$B$2:$B$5295,0)):INDEX(Data!$H$2:$H$5295,MATCH($A5,Data!$B$2:$B$5295,0)+COUNTIFS(Data!$B$2:$B$5295,$A5)-1))</f>
        <v/>
      </c>
      <c r="P5" s="22">
        <f>RSQ(INDEX(Data!$J$2:$J$5295,MATCH($A5,Data!$B$2:$B$5295,0)):INDEX(Data!$J$2:$J$5295,MATCH($A5,Data!$B$2:$B$5295,0)+COUNTIFS(Data!$B$2:$B$5295,$A5)-1),INDEX(Data!$H$2:$H$5295,MATCH($A5,Data!$B$2:$B$5295,0)):INDEX(Data!$H$2:$H$5295,MATCH($A5,Data!$B$2:$B$5295,0)+COUNTIFS(Data!$B$2:$B$5295,$A5)-1))</f>
        <v/>
      </c>
      <c r="Q5" s="23">
        <f>IFERROR(SUMIFS(Data!$N$2:$N$5295,Data!$B$2:$B$5295,$A5)/B5,"")</f>
        <v/>
      </c>
      <c r="R5" s="23">
        <f>IFERROR(SUMIFS(Data!$O$2:$O$5295,Data!$B$2:$B$5295,$A5)/B5,"")</f>
        <v/>
      </c>
      <c r="S5" s="24">
        <f>SUMIFS(Data!$J$2:$J$5295,Data!$B$2:$B$5295,$A5)/3600</f>
        <v/>
      </c>
      <c r="U5" s="25">
        <f>TEXT(DATEVALUE($A5&amp;"-01"),"MMM-YY")&amp;" (n="&amp;TEXT(B5,"#,##0")&amp;")"</f>
        <v/>
      </c>
    </row>
    <row r="6">
      <c r="A6" s="19" t="inlineStr">
        <is>
          <t>2026-05</t>
        </is>
      </c>
      <c r="B6" s="20">
        <f>COUNTIFS(Data!$B$2:$B$5295,$A6)</f>
        <v/>
      </c>
      <c r="C6" s="20">
        <f>Helper!C72</f>
        <v/>
      </c>
      <c r="D6" s="20">
        <f>SUMIFS(Data!$G$2:$G$5295,Data!$B$2:$B$5295,$A6)</f>
        <v/>
      </c>
      <c r="E6" s="20">
        <f>SUMIFS(Data!$H$2:$H$5295,Data!$B$2:$B$5295,$A6)</f>
        <v/>
      </c>
      <c r="F6" s="21">
        <f>IFERROR(D6/B6,"")</f>
        <v/>
      </c>
      <c r="G6" s="21">
        <f>IFERROR(E6/B6,"")</f>
        <v/>
      </c>
      <c r="H6" s="20">
        <f>MEDIAN(INDEX(Data!$J$2:$J$5295,MATCH($A6,Data!$B$2:$B$5295,0)):INDEX(Data!$J$2:$J$5295,MATCH($A6,Data!$B$2:$B$5295,0)+COUNTIFS(Data!$B$2:$B$5295,$A6)-1))</f>
        <v/>
      </c>
      <c r="I6" s="20">
        <f>AVERAGEIFS(Data!$J$2:$J$5295,Data!$B$2:$B$5295,$A6)</f>
        <v/>
      </c>
      <c r="J6" s="21">
        <f>I6/60</f>
        <v/>
      </c>
      <c r="K6" s="20">
        <f>PERCENTILE(INDEX(Data!$J$2:$J$5295,MATCH($A6,Data!$B$2:$B$5295,0)):INDEX(Data!$J$2:$J$5295,MATCH($A6,Data!$B$2:$B$5295,0)+COUNTIFS(Data!$B$2:$B$5295,$A6)-1),0.9)</f>
        <v/>
      </c>
      <c r="L6" s="21">
        <f>IFERROR(SUMIFS(Data!$P$2:$P$5295,Data!$B$2:$B$5295,$A6)/E6,"")</f>
        <v/>
      </c>
      <c r="M6" s="21">
        <f>IFERROR(SUMIFS(Data!$J$2:$J$5295,Data!$B$2:$B$5295,$A6)/D6,"")</f>
        <v/>
      </c>
      <c r="N6" s="20">
        <f>INTERCEPT(INDEX(Data!$J$2:$J$5295,MATCH($A6,Data!$B$2:$B$5295,0)):INDEX(Data!$J$2:$J$5295,MATCH($A6,Data!$B$2:$B$5295,0)+COUNTIFS(Data!$B$2:$B$5295,$A6)-1),INDEX(Data!$H$2:$H$5295,MATCH($A6,Data!$B$2:$B$5295,0)):INDEX(Data!$H$2:$H$5295,MATCH($A6,Data!$B$2:$B$5295,0)+COUNTIFS(Data!$B$2:$B$5295,$A6)-1))</f>
        <v/>
      </c>
      <c r="O6" s="21">
        <f>SLOPE(INDEX(Data!$J$2:$J$5295,MATCH($A6,Data!$B$2:$B$5295,0)):INDEX(Data!$J$2:$J$5295,MATCH($A6,Data!$B$2:$B$5295,0)+COUNTIFS(Data!$B$2:$B$5295,$A6)-1),INDEX(Data!$H$2:$H$5295,MATCH($A6,Data!$B$2:$B$5295,0)):INDEX(Data!$H$2:$H$5295,MATCH($A6,Data!$B$2:$B$5295,0)+COUNTIFS(Data!$B$2:$B$5295,$A6)-1))</f>
        <v/>
      </c>
      <c r="P6" s="22">
        <f>RSQ(INDEX(Data!$J$2:$J$5295,MATCH($A6,Data!$B$2:$B$5295,0)):INDEX(Data!$J$2:$J$5295,MATCH($A6,Data!$B$2:$B$5295,0)+COUNTIFS(Data!$B$2:$B$5295,$A6)-1),INDEX(Data!$H$2:$H$5295,MATCH($A6,Data!$B$2:$B$5295,0)):INDEX(Data!$H$2:$H$5295,MATCH($A6,Data!$B$2:$B$5295,0)+COUNTIFS(Data!$B$2:$B$5295,$A6)-1))</f>
        <v/>
      </c>
      <c r="Q6" s="23">
        <f>IFERROR(SUMIFS(Data!$N$2:$N$5295,Data!$B$2:$B$5295,$A6)/B6,"")</f>
        <v/>
      </c>
      <c r="R6" s="23">
        <f>IFERROR(SUMIFS(Data!$O$2:$O$5295,Data!$B$2:$B$5295,$A6)/B6,"")</f>
        <v/>
      </c>
      <c r="S6" s="24">
        <f>SUMIFS(Data!$J$2:$J$5295,Data!$B$2:$B$5295,$A6)/3600</f>
        <v/>
      </c>
      <c r="U6" s="25">
        <f>TEXT(DATEVALUE($A6&amp;"-01"),"MMM-YY")&amp;" (n="&amp;TEXT(B6,"#,##0")&amp;")"</f>
        <v/>
      </c>
    </row>
    <row r="7">
      <c r="A7" s="19" t="inlineStr">
        <is>
          <t>2026-06</t>
        </is>
      </c>
      <c r="B7" s="20">
        <f>COUNTIFS(Data!$B$2:$B$5295,$A7)</f>
        <v/>
      </c>
      <c r="C7" s="20">
        <f>Helper!D72</f>
        <v/>
      </c>
      <c r="D7" s="20">
        <f>SUMIFS(Data!$G$2:$G$5295,Data!$B$2:$B$5295,$A7)</f>
        <v/>
      </c>
      <c r="E7" s="20">
        <f>SUMIFS(Data!$H$2:$H$5295,Data!$B$2:$B$5295,$A7)</f>
        <v/>
      </c>
      <c r="F7" s="21">
        <f>IFERROR(D7/B7,"")</f>
        <v/>
      </c>
      <c r="G7" s="21">
        <f>IFERROR(E7/B7,"")</f>
        <v/>
      </c>
      <c r="H7" s="20">
        <f>MEDIAN(INDEX(Data!$J$2:$J$5295,MATCH($A7,Data!$B$2:$B$5295,0)):INDEX(Data!$J$2:$J$5295,MATCH($A7,Data!$B$2:$B$5295,0)+COUNTIFS(Data!$B$2:$B$5295,$A7)-1))</f>
        <v/>
      </c>
      <c r="I7" s="20">
        <f>AVERAGEIFS(Data!$J$2:$J$5295,Data!$B$2:$B$5295,$A7)</f>
        <v/>
      </c>
      <c r="J7" s="21">
        <f>I7/60</f>
        <v/>
      </c>
      <c r="K7" s="20">
        <f>PERCENTILE(INDEX(Data!$J$2:$J$5295,MATCH($A7,Data!$B$2:$B$5295,0)):INDEX(Data!$J$2:$J$5295,MATCH($A7,Data!$B$2:$B$5295,0)+COUNTIFS(Data!$B$2:$B$5295,$A7)-1),0.9)</f>
        <v/>
      </c>
      <c r="L7" s="21">
        <f>IFERROR(SUMIFS(Data!$P$2:$P$5295,Data!$B$2:$B$5295,$A7)/E7,"")</f>
        <v/>
      </c>
      <c r="M7" s="21">
        <f>IFERROR(SUMIFS(Data!$J$2:$J$5295,Data!$B$2:$B$5295,$A7)/D7,"")</f>
        <v/>
      </c>
      <c r="N7" s="20">
        <f>INTERCEPT(INDEX(Data!$J$2:$J$5295,MATCH($A7,Data!$B$2:$B$5295,0)):INDEX(Data!$J$2:$J$5295,MATCH($A7,Data!$B$2:$B$5295,0)+COUNTIFS(Data!$B$2:$B$5295,$A7)-1),INDEX(Data!$H$2:$H$5295,MATCH($A7,Data!$B$2:$B$5295,0)):INDEX(Data!$H$2:$H$5295,MATCH($A7,Data!$B$2:$B$5295,0)+COUNTIFS(Data!$B$2:$B$5295,$A7)-1))</f>
        <v/>
      </c>
      <c r="O7" s="21">
        <f>SLOPE(INDEX(Data!$J$2:$J$5295,MATCH($A7,Data!$B$2:$B$5295,0)):INDEX(Data!$J$2:$J$5295,MATCH($A7,Data!$B$2:$B$5295,0)+COUNTIFS(Data!$B$2:$B$5295,$A7)-1),INDEX(Data!$H$2:$H$5295,MATCH($A7,Data!$B$2:$B$5295,0)):INDEX(Data!$H$2:$H$5295,MATCH($A7,Data!$B$2:$B$5295,0)+COUNTIFS(Data!$B$2:$B$5295,$A7)-1))</f>
        <v/>
      </c>
      <c r="P7" s="22">
        <f>RSQ(INDEX(Data!$J$2:$J$5295,MATCH($A7,Data!$B$2:$B$5295,0)):INDEX(Data!$J$2:$J$5295,MATCH($A7,Data!$B$2:$B$5295,0)+COUNTIFS(Data!$B$2:$B$5295,$A7)-1),INDEX(Data!$H$2:$H$5295,MATCH($A7,Data!$B$2:$B$5295,0)):INDEX(Data!$H$2:$H$5295,MATCH($A7,Data!$B$2:$B$5295,0)+COUNTIFS(Data!$B$2:$B$5295,$A7)-1))</f>
        <v/>
      </c>
      <c r="Q7" s="23">
        <f>IFERROR(SUMIFS(Data!$N$2:$N$5295,Data!$B$2:$B$5295,$A7)/B7,"")</f>
        <v/>
      </c>
      <c r="R7" s="23">
        <f>IFERROR(SUMIFS(Data!$O$2:$O$5295,Data!$B$2:$B$5295,$A7)/B7,"")</f>
        <v/>
      </c>
      <c r="S7" s="24">
        <f>SUMIFS(Data!$J$2:$J$5295,Data!$B$2:$B$5295,$A7)/3600</f>
        <v/>
      </c>
      <c r="U7" s="25">
        <f>TEXT(DATEVALUE($A7&amp;"-01"),"MMM-YY")&amp;" (n="&amp;TEXT(B7,"#,##0")&amp;")"</f>
        <v/>
      </c>
    </row>
    <row r="8">
      <c r="A8" s="19" t="inlineStr">
        <is>
          <t>2026-07</t>
        </is>
      </c>
      <c r="B8" s="20">
        <f>COUNTIFS(Data!$B$2:$B$5295,$A8)</f>
        <v/>
      </c>
      <c r="C8" s="20">
        <f>Helper!E72</f>
        <v/>
      </c>
      <c r="D8" s="20">
        <f>SUMIFS(Data!$G$2:$G$5295,Data!$B$2:$B$5295,$A8)</f>
        <v/>
      </c>
      <c r="E8" s="20">
        <f>SUMIFS(Data!$H$2:$H$5295,Data!$B$2:$B$5295,$A8)</f>
        <v/>
      </c>
      <c r="F8" s="21">
        <f>IFERROR(D8/B8,"")</f>
        <v/>
      </c>
      <c r="G8" s="21">
        <f>IFERROR(E8/B8,"")</f>
        <v/>
      </c>
      <c r="H8" s="20">
        <f>MEDIAN(INDEX(Data!$J$2:$J$5295,MATCH($A8,Data!$B$2:$B$5295,0)):INDEX(Data!$J$2:$J$5295,MATCH($A8,Data!$B$2:$B$5295,0)+COUNTIFS(Data!$B$2:$B$5295,$A8)-1))</f>
        <v/>
      </c>
      <c r="I8" s="20">
        <f>AVERAGEIFS(Data!$J$2:$J$5295,Data!$B$2:$B$5295,$A8)</f>
        <v/>
      </c>
      <c r="J8" s="21">
        <f>I8/60</f>
        <v/>
      </c>
      <c r="K8" s="20">
        <f>PERCENTILE(INDEX(Data!$J$2:$J$5295,MATCH($A8,Data!$B$2:$B$5295,0)):INDEX(Data!$J$2:$J$5295,MATCH($A8,Data!$B$2:$B$5295,0)+COUNTIFS(Data!$B$2:$B$5295,$A8)-1),0.9)</f>
        <v/>
      </c>
      <c r="L8" s="21">
        <f>IFERROR(SUMIFS(Data!$P$2:$P$5295,Data!$B$2:$B$5295,$A8)/E8,"")</f>
        <v/>
      </c>
      <c r="M8" s="21">
        <f>IFERROR(SUMIFS(Data!$J$2:$J$5295,Data!$B$2:$B$5295,$A8)/D8,"")</f>
        <v/>
      </c>
      <c r="N8" s="20">
        <f>INTERCEPT(INDEX(Data!$J$2:$J$5295,MATCH($A8,Data!$B$2:$B$5295,0)):INDEX(Data!$J$2:$J$5295,MATCH($A8,Data!$B$2:$B$5295,0)+COUNTIFS(Data!$B$2:$B$5295,$A8)-1),INDEX(Data!$H$2:$H$5295,MATCH($A8,Data!$B$2:$B$5295,0)):INDEX(Data!$H$2:$H$5295,MATCH($A8,Data!$B$2:$B$5295,0)+COUNTIFS(Data!$B$2:$B$5295,$A8)-1))</f>
        <v/>
      </c>
      <c r="O8" s="21">
        <f>SLOPE(INDEX(Data!$J$2:$J$5295,MATCH($A8,Data!$B$2:$B$5295,0)):INDEX(Data!$J$2:$J$5295,MATCH($A8,Data!$B$2:$B$5295,0)+COUNTIFS(Data!$B$2:$B$5295,$A8)-1),INDEX(Data!$H$2:$H$5295,MATCH($A8,Data!$B$2:$B$5295,0)):INDEX(Data!$H$2:$H$5295,MATCH($A8,Data!$B$2:$B$5295,0)+COUNTIFS(Data!$B$2:$B$5295,$A8)-1))</f>
        <v/>
      </c>
      <c r="P8" s="22">
        <f>RSQ(INDEX(Data!$J$2:$J$5295,MATCH($A8,Data!$B$2:$B$5295,0)):INDEX(Data!$J$2:$J$5295,MATCH($A8,Data!$B$2:$B$5295,0)+COUNTIFS(Data!$B$2:$B$5295,$A8)-1),INDEX(Data!$H$2:$H$5295,MATCH($A8,Data!$B$2:$B$5295,0)):INDEX(Data!$H$2:$H$5295,MATCH($A8,Data!$B$2:$B$5295,0)+COUNTIFS(Data!$B$2:$B$5295,$A8)-1))</f>
        <v/>
      </c>
      <c r="Q8" s="23">
        <f>IFERROR(SUMIFS(Data!$N$2:$N$5295,Data!$B$2:$B$5295,$A8)/B8,"")</f>
        <v/>
      </c>
      <c r="R8" s="23">
        <f>IFERROR(SUMIFS(Data!$O$2:$O$5295,Data!$B$2:$B$5295,$A8)/B8,"")</f>
        <v/>
      </c>
      <c r="S8" s="24">
        <f>SUMIFS(Data!$J$2:$J$5295,Data!$B$2:$B$5295,$A8)/3600</f>
        <v/>
      </c>
      <c r="U8" s="25">
        <f>TEXT(DATEVALUE($A8&amp;"-01"),"MMM-YY")&amp;" (n="&amp;TEXT(B8,"#,##0")&amp;")"</f>
        <v/>
      </c>
    </row>
    <row r="9">
      <c r="A9" s="19" t="inlineStr">
        <is>
          <t>2026-08</t>
        </is>
      </c>
      <c r="B9" s="20">
        <f>COUNTIFS(Data!$B$2:$B$5295,$A9)</f>
        <v/>
      </c>
      <c r="C9" s="20">
        <f>Helper!F72</f>
        <v/>
      </c>
      <c r="D9" s="20">
        <f>SUMIFS(Data!$G$2:$G$5295,Data!$B$2:$B$5295,$A9)</f>
        <v/>
      </c>
      <c r="E9" s="20">
        <f>SUMIFS(Data!$H$2:$H$5295,Data!$B$2:$B$5295,$A9)</f>
        <v/>
      </c>
      <c r="F9" s="21">
        <f>IFERROR(D9/B9,"")</f>
        <v/>
      </c>
      <c r="G9" s="21">
        <f>IFERROR(E9/B9,"")</f>
        <v/>
      </c>
      <c r="H9" s="20">
        <f>MEDIAN(INDEX(Data!$J$2:$J$5295,MATCH($A9,Data!$B$2:$B$5295,0)):INDEX(Data!$J$2:$J$5295,MATCH($A9,Data!$B$2:$B$5295,0)+COUNTIFS(Data!$B$2:$B$5295,$A9)-1))</f>
        <v/>
      </c>
      <c r="I9" s="20">
        <f>AVERAGEIFS(Data!$J$2:$J$5295,Data!$B$2:$B$5295,$A9)</f>
        <v/>
      </c>
      <c r="J9" s="21">
        <f>I9/60</f>
        <v/>
      </c>
      <c r="K9" s="20">
        <f>PERCENTILE(INDEX(Data!$J$2:$J$5295,MATCH($A9,Data!$B$2:$B$5295,0)):INDEX(Data!$J$2:$J$5295,MATCH($A9,Data!$B$2:$B$5295,0)+COUNTIFS(Data!$B$2:$B$5295,$A9)-1),0.9)</f>
        <v/>
      </c>
      <c r="L9" s="21">
        <f>IFERROR(SUMIFS(Data!$P$2:$P$5295,Data!$B$2:$B$5295,$A9)/E9,"")</f>
        <v/>
      </c>
      <c r="M9" s="21">
        <f>IFERROR(SUMIFS(Data!$J$2:$J$5295,Data!$B$2:$B$5295,$A9)/D9,"")</f>
        <v/>
      </c>
      <c r="N9" s="20">
        <f>INTERCEPT(INDEX(Data!$J$2:$J$5295,MATCH($A9,Data!$B$2:$B$5295,0)):INDEX(Data!$J$2:$J$5295,MATCH($A9,Data!$B$2:$B$5295,0)+COUNTIFS(Data!$B$2:$B$5295,$A9)-1),INDEX(Data!$H$2:$H$5295,MATCH($A9,Data!$B$2:$B$5295,0)):INDEX(Data!$H$2:$H$5295,MATCH($A9,Data!$B$2:$B$5295,0)+COUNTIFS(Data!$B$2:$B$5295,$A9)-1))</f>
        <v/>
      </c>
      <c r="O9" s="21">
        <f>SLOPE(INDEX(Data!$J$2:$J$5295,MATCH($A9,Data!$B$2:$B$5295,0)):INDEX(Data!$J$2:$J$5295,MATCH($A9,Data!$B$2:$B$5295,0)+COUNTIFS(Data!$B$2:$B$5295,$A9)-1),INDEX(Data!$H$2:$H$5295,MATCH($A9,Data!$B$2:$B$5295,0)):INDEX(Data!$H$2:$H$5295,MATCH($A9,Data!$B$2:$B$5295,0)+COUNTIFS(Data!$B$2:$B$5295,$A9)-1))</f>
        <v/>
      </c>
      <c r="P9" s="22">
        <f>RSQ(INDEX(Data!$J$2:$J$5295,MATCH($A9,Data!$B$2:$B$5295,0)):INDEX(Data!$J$2:$J$5295,MATCH($A9,Data!$B$2:$B$5295,0)+COUNTIFS(Data!$B$2:$B$5295,$A9)-1),INDEX(Data!$H$2:$H$5295,MATCH($A9,Data!$B$2:$B$5295,0)):INDEX(Data!$H$2:$H$5295,MATCH($A9,Data!$B$2:$B$5295,0)+COUNTIFS(Data!$B$2:$B$5295,$A9)-1))</f>
        <v/>
      </c>
      <c r="Q9" s="23">
        <f>IFERROR(SUMIFS(Data!$N$2:$N$5295,Data!$B$2:$B$5295,$A9)/B9,"")</f>
        <v/>
      </c>
      <c r="R9" s="23">
        <f>IFERROR(SUMIFS(Data!$O$2:$O$5295,Data!$B$2:$B$5295,$A9)/B9,"")</f>
        <v/>
      </c>
      <c r="S9" s="24">
        <f>SUMIFS(Data!$J$2:$J$5295,Data!$B$2:$B$5295,$A9)/3600</f>
        <v/>
      </c>
      <c r="U9" s="25">
        <f>TEXT(DATEVALUE($A9&amp;"-01"),"MMM-YY")&amp;" (n="&amp;TEXT(B9,"#,##0")&amp;")"</f>
        <v/>
      </c>
    </row>
    <row r="10">
      <c r="A10" s="26" t="inlineStr">
        <is>
          <t>All months</t>
        </is>
      </c>
      <c r="B10" s="27">
        <f>SUM(B5:B9)</f>
        <v/>
      </c>
      <c r="C10" s="27">
        <f>COUNTIF(Helper!$A$2:$A$70,"&lt;&gt;")</f>
        <v/>
      </c>
      <c r="D10" s="27">
        <f>SUM(D5:D9)</f>
        <v/>
      </c>
      <c r="E10" s="27">
        <f>SUM(E5:E9)</f>
        <v/>
      </c>
      <c r="F10" s="28">
        <f>D10/B10</f>
        <v/>
      </c>
      <c r="G10" s="28">
        <f>E10/B10</f>
        <v/>
      </c>
      <c r="H10" s="27">
        <f>MEDIAN(Data!$J$2:$J$5295)</f>
        <v/>
      </c>
      <c r="I10" s="27">
        <f>AVERAGE(Data!$J$2:$J$5295)</f>
        <v/>
      </c>
      <c r="J10" s="28">
        <f>I10/60</f>
        <v/>
      </c>
      <c r="K10" s="27">
        <f>PERCENTILE(Data!$J$2:$J$5295,0.9)</f>
        <v/>
      </c>
      <c r="L10" s="28">
        <f>SUM(Data!$P$2:$P$5295)/E10</f>
        <v/>
      </c>
      <c r="M10" s="28">
        <f>SUM(Data!$J$2:$J$5295)/D10</f>
        <v/>
      </c>
      <c r="N10" s="27">
        <f>INTERCEPT(Data!$J$2:$J$5295,Data!$H$2:$H$5295)</f>
        <v/>
      </c>
      <c r="O10" s="28">
        <f>SLOPE(Data!$J$2:$J$5295,Data!$H$2:$H$5295)</f>
        <v/>
      </c>
      <c r="P10" s="29">
        <f>RSQ(Data!$J$2:$J$5295,Data!$H$2:$H$5295)</f>
        <v/>
      </c>
      <c r="Q10" s="30">
        <f>SUM(Data!$N$2:$N$5295)/B10</f>
        <v/>
      </c>
      <c r="R10" s="30">
        <f>SUM(Data!$O$2:$O$5295)/B10</f>
        <v/>
      </c>
      <c r="S10" s="31">
        <f>SUM(S5:S9)</f>
        <v/>
      </c>
    </row>
    <row r="12">
      <c r="A12" s="3" t="inlineStr">
        <is>
          <t>Definitions</t>
        </is>
      </c>
    </row>
    <row r="13">
      <c r="A13" s="32" t="inlineStr">
        <is>
          <t>- Median / average / P90 time per run are the same measure at three points of the distribution, shown smallest to largest. P90 means 9 runs in 10 finished faster than this value.</t>
        </is>
      </c>
    </row>
    <row r="14">
      <c r="A14" s="32" t="inlineStr">
        <is>
          <t>- Sec per search (weighted) = total run seconds / total searches. Sec per entity (weighted) = total run seconds / total entities. Both normalise for the fact that case size changed over the period.</t>
        </is>
      </c>
    </row>
    <row r="15">
      <c r="A15" s="32" t="inlineStr">
        <is>
          <t>- Fixed overhead / run and Marginal sec per search come from a least-squares fit of run duration against the number of searches in that run (INTERCEPT and SLOPE). Fixed overhead is the part of a run that does not depend on search count - launch, sign-in, file handling. Marginal sec per search is the cost of each additional search.</t>
        </is>
      </c>
    </row>
    <row r="16">
      <c r="A16" s="32" t="inlineStr">
        <is>
          <t>- Fit quality (R2) is how much of the variation in run duration the search count explains. Values near 1 mean run time is almost entirely driven by search volume.</t>
        </is>
      </c>
    </row>
    <row r="17">
      <c r="A17" s="32" t="inlineStr">
        <is>
          <t>- Runs over 5 / 10 min = share of that month's runs exceeding those durations.</t>
        </is>
      </c>
    </row>
    <row r="18">
      <c r="A18" s="32" t="inlineStr">
        <is>
          <t>- Apr-2026 covers two days and 22 runs; sample sizes are shown in the chart labels so small months are not read as trend.</t>
        </is>
      </c>
    </row>
    <row r="19">
      <c r="A19" s="32" t="inlineStr">
        <is>
          <t>- Aug-2026 covers 01-07 Aug 2026 only; monthly volumes for that month are partial.</t>
        </is>
      </c>
    </row>
    <row r="20">
      <c r="A20" s="32" t="inlineStr">
        <is>
          <t>- 96 source rows logged a timestamp but no run detail and are excluded (see Notes &amp; Method).</t>
        </is>
      </c>
    </row>
  </sheetData>
  <conditionalFormatting sqref="L5:L9">
    <cfRule type="colorScale" priority="1">
      <colorScale>
        <cfvo type="min"/>
        <cfvo type="max"/>
        <color rgb="00C6EFCE"/>
        <color rgb="00FFC7CE"/>
      </colorScale>
    </cfRule>
  </conditionalFormatting>
  <conditionalFormatting sqref="O5:O9">
    <cfRule type="colorScale" priority="2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3" customWidth="1" min="4" max="4"/>
  </cols>
  <sheetData>
    <row r="1">
      <c r="A1" s="33" t="inlineStr">
        <is>
          <t>How long an analyst waits for a run to finish</t>
        </is>
      </c>
    </row>
    <row r="2">
      <c r="A2" s="16" t="inlineStr">
        <is>
          <t>Cumulative share of runs completing within each duration. Baseline = Apr-Jun 2026, Current = Jul-Aug 2026.</t>
        </is>
      </c>
    </row>
    <row r="4" ht="30" customHeight="1">
      <c r="A4" s="34" t="inlineStr">
        <is>
          <t>Completed within</t>
        </is>
      </c>
      <c r="B4" s="34" t="inlineStr">
        <is>
          <t>Baseline Apr-Jun</t>
        </is>
      </c>
      <c r="C4" s="34" t="inlineStr">
        <is>
          <t>Current Jul-Aug</t>
        </is>
      </c>
      <c r="D4" s="34" t="inlineStr">
        <is>
          <t>Change (pp)</t>
        </is>
      </c>
    </row>
    <row r="5">
      <c r="A5" s="19" t="inlineStr">
        <is>
          <t>30 sec</t>
        </is>
      </c>
      <c r="B5" s="23">
        <f>COUNTIFS(Data!$J$2:$J$5295,"&lt;="&amp;30,Data!$B$2:$B$5295,"&lt;=2026-06")/COUNTIFS(Data!$B$2:$B$5295,"&lt;=2026-06")</f>
        <v/>
      </c>
      <c r="C5" s="23">
        <f>COUNTIFS(Data!$J$2:$J$5295,"&lt;="&amp;30,Data!$B$2:$B$5295,"&gt;=2026-07")/COUNTIFS(Data!$B$2:$B$5295,"&gt;=2026-07")</f>
        <v/>
      </c>
      <c r="D5" s="23">
        <f>C5-B5</f>
        <v/>
      </c>
    </row>
    <row r="6">
      <c r="A6" s="19" t="inlineStr">
        <is>
          <t>1 min</t>
        </is>
      </c>
      <c r="B6" s="23">
        <f>COUNTIFS(Data!$J$2:$J$5295,"&lt;="&amp;60,Data!$B$2:$B$5295,"&lt;=2026-06")/COUNTIFS(Data!$B$2:$B$5295,"&lt;=2026-06")</f>
        <v/>
      </c>
      <c r="C6" s="23">
        <f>COUNTIFS(Data!$J$2:$J$5295,"&lt;="&amp;60,Data!$B$2:$B$5295,"&gt;=2026-07")/COUNTIFS(Data!$B$2:$B$5295,"&gt;=2026-07")</f>
        <v/>
      </c>
      <c r="D6" s="23">
        <f>C6-B6</f>
        <v/>
      </c>
    </row>
    <row r="7">
      <c r="A7" s="19" t="inlineStr">
        <is>
          <t>1.5 min</t>
        </is>
      </c>
      <c r="B7" s="23">
        <f>COUNTIFS(Data!$J$2:$J$5295,"&lt;="&amp;90,Data!$B$2:$B$5295,"&lt;=2026-06")/COUNTIFS(Data!$B$2:$B$5295,"&lt;=2026-06")</f>
        <v/>
      </c>
      <c r="C7" s="23">
        <f>COUNTIFS(Data!$J$2:$J$5295,"&lt;="&amp;90,Data!$B$2:$B$5295,"&gt;=2026-07")/COUNTIFS(Data!$B$2:$B$5295,"&gt;=2026-07")</f>
        <v/>
      </c>
      <c r="D7" s="23">
        <f>C7-B7</f>
        <v/>
      </c>
    </row>
    <row r="8">
      <c r="A8" s="19" t="inlineStr">
        <is>
          <t>2 min</t>
        </is>
      </c>
      <c r="B8" s="23">
        <f>COUNTIFS(Data!$J$2:$J$5295,"&lt;="&amp;120,Data!$B$2:$B$5295,"&lt;=2026-06")/COUNTIFS(Data!$B$2:$B$5295,"&lt;=2026-06")</f>
        <v/>
      </c>
      <c r="C8" s="23">
        <f>COUNTIFS(Data!$J$2:$J$5295,"&lt;="&amp;120,Data!$B$2:$B$5295,"&gt;=2026-07")/COUNTIFS(Data!$B$2:$B$5295,"&gt;=2026-07")</f>
        <v/>
      </c>
      <c r="D8" s="23">
        <f>C8-B8</f>
        <v/>
      </c>
    </row>
    <row r="9">
      <c r="A9" s="19" t="inlineStr">
        <is>
          <t>3 min</t>
        </is>
      </c>
      <c r="B9" s="23">
        <f>COUNTIFS(Data!$J$2:$J$5295,"&lt;="&amp;180,Data!$B$2:$B$5295,"&lt;=2026-06")/COUNTIFS(Data!$B$2:$B$5295,"&lt;=2026-06")</f>
        <v/>
      </c>
      <c r="C9" s="23">
        <f>COUNTIFS(Data!$J$2:$J$5295,"&lt;="&amp;180,Data!$B$2:$B$5295,"&gt;=2026-07")/COUNTIFS(Data!$B$2:$B$5295,"&gt;=2026-07")</f>
        <v/>
      </c>
      <c r="D9" s="23">
        <f>C9-B9</f>
        <v/>
      </c>
    </row>
    <row r="10">
      <c r="A10" s="19" t="inlineStr">
        <is>
          <t>4 min</t>
        </is>
      </c>
      <c r="B10" s="23">
        <f>COUNTIFS(Data!$J$2:$J$5295,"&lt;="&amp;240,Data!$B$2:$B$5295,"&lt;=2026-06")/COUNTIFS(Data!$B$2:$B$5295,"&lt;=2026-06")</f>
        <v/>
      </c>
      <c r="C10" s="23">
        <f>COUNTIFS(Data!$J$2:$J$5295,"&lt;="&amp;240,Data!$B$2:$B$5295,"&gt;=2026-07")/COUNTIFS(Data!$B$2:$B$5295,"&gt;=2026-07")</f>
        <v/>
      </c>
      <c r="D10" s="23">
        <f>C10-B10</f>
        <v/>
      </c>
    </row>
    <row r="11">
      <c r="A11" s="19" t="inlineStr">
        <is>
          <t>5 min</t>
        </is>
      </c>
      <c r="B11" s="23">
        <f>COUNTIFS(Data!$J$2:$J$5295,"&lt;="&amp;300,Data!$B$2:$B$5295,"&lt;=2026-06")/COUNTIFS(Data!$B$2:$B$5295,"&lt;=2026-06")</f>
        <v/>
      </c>
      <c r="C11" s="23">
        <f>COUNTIFS(Data!$J$2:$J$5295,"&lt;="&amp;300,Data!$B$2:$B$5295,"&gt;=2026-07")/COUNTIFS(Data!$B$2:$B$5295,"&gt;=2026-07")</f>
        <v/>
      </c>
      <c r="D11" s="23">
        <f>C11-B11</f>
        <v/>
      </c>
    </row>
    <row r="12">
      <c r="A12" s="19" t="inlineStr">
        <is>
          <t>10 min</t>
        </is>
      </c>
      <c r="B12" s="23">
        <f>COUNTIFS(Data!$J$2:$J$5295,"&lt;="&amp;600,Data!$B$2:$B$5295,"&lt;=2026-06")/COUNTIFS(Data!$B$2:$B$5295,"&lt;=2026-06")</f>
        <v/>
      </c>
      <c r="C12" s="23">
        <f>COUNTIFS(Data!$J$2:$J$5295,"&lt;="&amp;600,Data!$B$2:$B$5295,"&gt;=2026-07")/COUNTIFS(Data!$B$2:$B$5295,"&gt;=2026-07")</f>
        <v/>
      </c>
      <c r="D12" s="23">
        <f>C12-B12</f>
        <v/>
      </c>
    </row>
    <row r="13">
      <c r="A13" s="19" t="inlineStr">
        <is>
          <t>15 min</t>
        </is>
      </c>
      <c r="B13" s="23">
        <f>COUNTIFS(Data!$J$2:$J$5295,"&lt;="&amp;900,Data!$B$2:$B$5295,"&lt;=2026-06")/COUNTIFS(Data!$B$2:$B$5295,"&lt;=2026-06")</f>
        <v/>
      </c>
      <c r="C13" s="23">
        <f>COUNTIFS(Data!$J$2:$J$5295,"&lt;="&amp;900,Data!$B$2:$B$5295,"&gt;=2026-07")/COUNTIFS(Data!$B$2:$B$5295,"&gt;=2026-07")</f>
        <v/>
      </c>
      <c r="D13" s="23">
        <f>C13-B13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7" customWidth="1" min="4" max="4"/>
    <col width="17" customWidth="1" min="5" max="5"/>
  </cols>
  <sheetData>
    <row r="1">
      <c r="A1" s="33" t="inlineStr">
        <is>
          <t>Week-by-week volume and efficiency</t>
        </is>
      </c>
    </row>
    <row r="3" ht="30" customHeight="1">
      <c r="A3" s="34" t="inlineStr">
        <is>
          <t>Week starting</t>
        </is>
      </c>
      <c r="B3" s="34" t="inlineStr">
        <is>
          <t>Runs</t>
        </is>
      </c>
      <c r="C3" s="34" t="inlineStr">
        <is>
          <t>Searches</t>
        </is>
      </c>
      <c r="D3" s="34" t="inlineStr">
        <is>
          <t>Sec per search (weighted)</t>
        </is>
      </c>
      <c r="E3" s="34" t="inlineStr">
        <is>
          <t>Avg time / run (sec)</t>
        </is>
      </c>
    </row>
    <row r="4">
      <c r="A4" s="35" t="n">
        <v>46139</v>
      </c>
      <c r="B4" s="20">
        <f>COUNTIFS(Data!$D$2:$D$5295,$A4)</f>
        <v/>
      </c>
      <c r="C4" s="20">
        <f>SUMIFS(Data!$H$2:$H$5295,Data!$D$2:$D$5295,$A4)</f>
        <v/>
      </c>
      <c r="D4" s="21">
        <f>IFERROR(SUMIFS(Data!$P$2:$P$5295,Data!$D$2:$D$5295,$A4)/C4,"")</f>
        <v/>
      </c>
      <c r="E4" s="20">
        <f>IFERROR(AVERAGEIFS(Data!$J$2:$J$5295,Data!$D$2:$D$5295,$A4),"")</f>
        <v/>
      </c>
    </row>
    <row r="5">
      <c r="A5" s="35" t="n">
        <v>46146</v>
      </c>
      <c r="B5" s="20">
        <f>COUNTIFS(Data!$D$2:$D$5295,$A5)</f>
        <v/>
      </c>
      <c r="C5" s="20">
        <f>SUMIFS(Data!$H$2:$H$5295,Data!$D$2:$D$5295,$A5)</f>
        <v/>
      </c>
      <c r="D5" s="21">
        <f>IFERROR(SUMIFS(Data!$P$2:$P$5295,Data!$D$2:$D$5295,$A5)/C5,"")</f>
        <v/>
      </c>
      <c r="E5" s="20">
        <f>IFERROR(AVERAGEIFS(Data!$J$2:$J$5295,Data!$D$2:$D$5295,$A5),"")</f>
        <v/>
      </c>
    </row>
    <row r="6">
      <c r="A6" s="35" t="n">
        <v>46153</v>
      </c>
      <c r="B6" s="20">
        <f>COUNTIFS(Data!$D$2:$D$5295,$A6)</f>
        <v/>
      </c>
      <c r="C6" s="20">
        <f>SUMIFS(Data!$H$2:$H$5295,Data!$D$2:$D$5295,$A6)</f>
        <v/>
      </c>
      <c r="D6" s="21">
        <f>IFERROR(SUMIFS(Data!$P$2:$P$5295,Data!$D$2:$D$5295,$A6)/C6,"")</f>
        <v/>
      </c>
      <c r="E6" s="20">
        <f>IFERROR(AVERAGEIFS(Data!$J$2:$J$5295,Data!$D$2:$D$5295,$A6),"")</f>
        <v/>
      </c>
    </row>
    <row r="7">
      <c r="A7" s="35" t="n">
        <v>46160</v>
      </c>
      <c r="B7" s="20">
        <f>COUNTIFS(Data!$D$2:$D$5295,$A7)</f>
        <v/>
      </c>
      <c r="C7" s="20">
        <f>SUMIFS(Data!$H$2:$H$5295,Data!$D$2:$D$5295,$A7)</f>
        <v/>
      </c>
      <c r="D7" s="21">
        <f>IFERROR(SUMIFS(Data!$P$2:$P$5295,Data!$D$2:$D$5295,$A7)/C7,"")</f>
        <v/>
      </c>
      <c r="E7" s="20">
        <f>IFERROR(AVERAGEIFS(Data!$J$2:$J$5295,Data!$D$2:$D$5295,$A7),"")</f>
        <v/>
      </c>
    </row>
    <row r="8">
      <c r="A8" s="35" t="n">
        <v>46167</v>
      </c>
      <c r="B8" s="20">
        <f>COUNTIFS(Data!$D$2:$D$5295,$A8)</f>
        <v/>
      </c>
      <c r="C8" s="20">
        <f>SUMIFS(Data!$H$2:$H$5295,Data!$D$2:$D$5295,$A8)</f>
        <v/>
      </c>
      <c r="D8" s="21">
        <f>IFERROR(SUMIFS(Data!$P$2:$P$5295,Data!$D$2:$D$5295,$A8)/C8,"")</f>
        <v/>
      </c>
      <c r="E8" s="20">
        <f>IFERROR(AVERAGEIFS(Data!$J$2:$J$5295,Data!$D$2:$D$5295,$A8),"")</f>
        <v/>
      </c>
    </row>
    <row r="9">
      <c r="A9" s="35" t="n">
        <v>46174</v>
      </c>
      <c r="B9" s="20">
        <f>COUNTIFS(Data!$D$2:$D$5295,$A9)</f>
        <v/>
      </c>
      <c r="C9" s="20">
        <f>SUMIFS(Data!$H$2:$H$5295,Data!$D$2:$D$5295,$A9)</f>
        <v/>
      </c>
      <c r="D9" s="21">
        <f>IFERROR(SUMIFS(Data!$P$2:$P$5295,Data!$D$2:$D$5295,$A9)/C9,"")</f>
        <v/>
      </c>
      <c r="E9" s="20">
        <f>IFERROR(AVERAGEIFS(Data!$J$2:$J$5295,Data!$D$2:$D$5295,$A9),"")</f>
        <v/>
      </c>
    </row>
    <row r="10">
      <c r="A10" s="35" t="n">
        <v>46181</v>
      </c>
      <c r="B10" s="20">
        <f>COUNTIFS(Data!$D$2:$D$5295,$A10)</f>
        <v/>
      </c>
      <c r="C10" s="20">
        <f>SUMIFS(Data!$H$2:$H$5295,Data!$D$2:$D$5295,$A10)</f>
        <v/>
      </c>
      <c r="D10" s="21">
        <f>IFERROR(SUMIFS(Data!$P$2:$P$5295,Data!$D$2:$D$5295,$A10)/C10,"")</f>
        <v/>
      </c>
      <c r="E10" s="20">
        <f>IFERROR(AVERAGEIFS(Data!$J$2:$J$5295,Data!$D$2:$D$5295,$A10),"")</f>
        <v/>
      </c>
    </row>
    <row r="11">
      <c r="A11" s="35" t="n">
        <v>46188</v>
      </c>
      <c r="B11" s="20">
        <f>COUNTIFS(Data!$D$2:$D$5295,$A11)</f>
        <v/>
      </c>
      <c r="C11" s="20">
        <f>SUMIFS(Data!$H$2:$H$5295,Data!$D$2:$D$5295,$A11)</f>
        <v/>
      </c>
      <c r="D11" s="21">
        <f>IFERROR(SUMIFS(Data!$P$2:$P$5295,Data!$D$2:$D$5295,$A11)/C11,"")</f>
        <v/>
      </c>
      <c r="E11" s="20">
        <f>IFERROR(AVERAGEIFS(Data!$J$2:$J$5295,Data!$D$2:$D$5295,$A11),"")</f>
        <v/>
      </c>
    </row>
    <row r="12">
      <c r="A12" s="35" t="n">
        <v>46195</v>
      </c>
      <c r="B12" s="20">
        <f>COUNTIFS(Data!$D$2:$D$5295,$A12)</f>
        <v/>
      </c>
      <c r="C12" s="20">
        <f>SUMIFS(Data!$H$2:$H$5295,Data!$D$2:$D$5295,$A12)</f>
        <v/>
      </c>
      <c r="D12" s="21">
        <f>IFERROR(SUMIFS(Data!$P$2:$P$5295,Data!$D$2:$D$5295,$A12)/C12,"")</f>
        <v/>
      </c>
      <c r="E12" s="20">
        <f>IFERROR(AVERAGEIFS(Data!$J$2:$J$5295,Data!$D$2:$D$5295,$A12),"")</f>
        <v/>
      </c>
    </row>
    <row r="13">
      <c r="A13" s="35" t="n">
        <v>46202</v>
      </c>
      <c r="B13" s="20">
        <f>COUNTIFS(Data!$D$2:$D$5295,$A13)</f>
        <v/>
      </c>
      <c r="C13" s="20">
        <f>SUMIFS(Data!$H$2:$H$5295,Data!$D$2:$D$5295,$A13)</f>
        <v/>
      </c>
      <c r="D13" s="21">
        <f>IFERROR(SUMIFS(Data!$P$2:$P$5295,Data!$D$2:$D$5295,$A13)/C13,"")</f>
        <v/>
      </c>
      <c r="E13" s="20">
        <f>IFERROR(AVERAGEIFS(Data!$J$2:$J$5295,Data!$D$2:$D$5295,$A13),"")</f>
        <v/>
      </c>
    </row>
    <row r="14">
      <c r="A14" s="35" t="n">
        <v>46209</v>
      </c>
      <c r="B14" s="20">
        <f>COUNTIFS(Data!$D$2:$D$5295,$A14)</f>
        <v/>
      </c>
      <c r="C14" s="20">
        <f>SUMIFS(Data!$H$2:$H$5295,Data!$D$2:$D$5295,$A14)</f>
        <v/>
      </c>
      <c r="D14" s="21">
        <f>IFERROR(SUMIFS(Data!$P$2:$P$5295,Data!$D$2:$D$5295,$A14)/C14,"")</f>
        <v/>
      </c>
      <c r="E14" s="20">
        <f>IFERROR(AVERAGEIFS(Data!$J$2:$J$5295,Data!$D$2:$D$5295,$A14),"")</f>
        <v/>
      </c>
    </row>
    <row r="15">
      <c r="A15" s="35" t="n">
        <v>46216</v>
      </c>
      <c r="B15" s="20">
        <f>COUNTIFS(Data!$D$2:$D$5295,$A15)</f>
        <v/>
      </c>
      <c r="C15" s="20">
        <f>SUMIFS(Data!$H$2:$H$5295,Data!$D$2:$D$5295,$A15)</f>
        <v/>
      </c>
      <c r="D15" s="21">
        <f>IFERROR(SUMIFS(Data!$P$2:$P$5295,Data!$D$2:$D$5295,$A15)/C15,"")</f>
        <v/>
      </c>
      <c r="E15" s="20">
        <f>IFERROR(AVERAGEIFS(Data!$J$2:$J$5295,Data!$D$2:$D$5295,$A15),"")</f>
        <v/>
      </c>
    </row>
    <row r="16">
      <c r="A16" s="35" t="n">
        <v>46223</v>
      </c>
      <c r="B16" s="20">
        <f>COUNTIFS(Data!$D$2:$D$5295,$A16)</f>
        <v/>
      </c>
      <c r="C16" s="20">
        <f>SUMIFS(Data!$H$2:$H$5295,Data!$D$2:$D$5295,$A16)</f>
        <v/>
      </c>
      <c r="D16" s="21">
        <f>IFERROR(SUMIFS(Data!$P$2:$P$5295,Data!$D$2:$D$5295,$A16)/C16,"")</f>
        <v/>
      </c>
      <c r="E16" s="20">
        <f>IFERROR(AVERAGEIFS(Data!$J$2:$J$5295,Data!$D$2:$D$5295,$A16),"")</f>
        <v/>
      </c>
    </row>
    <row r="17">
      <c r="A17" s="35" t="n">
        <v>46230</v>
      </c>
      <c r="B17" s="20">
        <f>COUNTIFS(Data!$D$2:$D$5295,$A17)</f>
        <v/>
      </c>
      <c r="C17" s="20">
        <f>SUMIFS(Data!$H$2:$H$5295,Data!$D$2:$D$5295,$A17)</f>
        <v/>
      </c>
      <c r="D17" s="21">
        <f>IFERROR(SUMIFS(Data!$P$2:$P$5295,Data!$D$2:$D$5295,$A17)/C17,"")</f>
        <v/>
      </c>
      <c r="E17" s="20">
        <f>IFERROR(AVERAGEIFS(Data!$J$2:$J$5295,Data!$D$2:$D$5295,$A17),"")</f>
        <v/>
      </c>
    </row>
    <row r="18">
      <c r="A18" s="35" t="n">
        <v>46237</v>
      </c>
      <c r="B18" s="20">
        <f>COUNTIFS(Data!$D$2:$D$5295,$A18)</f>
        <v/>
      </c>
      <c r="C18" s="20">
        <f>SUMIFS(Data!$H$2:$H$5295,Data!$D$2:$D$5295,$A18)</f>
        <v/>
      </c>
      <c r="D18" s="21">
        <f>IFERROR(SUMIFS(Data!$P$2:$P$5295,Data!$D$2:$D$5295,$A18)/C18,"")</f>
        <v/>
      </c>
      <c r="E18" s="20">
        <f>IFERROR(AVERAGEIFS(Data!$J$2:$J$5295,Data!$D$2:$D$5295,$A18),"")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9" customWidth="1" min="4" max="4"/>
    <col width="10" customWidth="1" min="5" max="5"/>
    <col width="12" customWidth="1" min="6" max="6"/>
    <col width="14" customWidth="1" min="7" max="7"/>
    <col width="13" customWidth="1" min="8" max="8"/>
    <col width="12" customWidth="1" min="9" max="9"/>
  </cols>
  <sheetData>
    <row r="1">
      <c r="A1" s="33" t="inlineStr">
        <is>
          <t>Performance by tool version</t>
        </is>
      </c>
    </row>
    <row r="3" ht="32" customHeight="1">
      <c r="A3" s="34" t="inlineStr">
        <is>
          <t>Tool version</t>
        </is>
      </c>
      <c r="B3" s="34" t="inlineStr">
        <is>
          <t>First logged</t>
        </is>
      </c>
      <c r="C3" s="34" t="inlineStr">
        <is>
          <t>Last logged</t>
        </is>
      </c>
      <c r="D3" s="34" t="inlineStr">
        <is>
          <t>Runs</t>
        </is>
      </c>
      <c r="E3" s="34" t="inlineStr">
        <is>
          <t>Searches</t>
        </is>
      </c>
      <c r="F3" s="34" t="inlineStr">
        <is>
          <t>Avg searches / run</t>
        </is>
      </c>
      <c r="G3" s="34" t="inlineStr">
        <is>
          <t>Sec per search (weighted)</t>
        </is>
      </c>
      <c r="H3" s="34" t="inlineStr">
        <is>
          <t>Avg time / run (sec)</t>
        </is>
      </c>
      <c r="I3" s="34" t="inlineStr">
        <is>
          <t>Runs over 5 min</t>
        </is>
      </c>
    </row>
    <row r="4">
      <c r="A4" s="19" t="inlineStr">
        <is>
          <t>2.4.1</t>
        </is>
      </c>
      <c r="B4" s="35" t="n">
        <v>46142.0895949074</v>
      </c>
      <c r="C4" s="35" t="n">
        <v>46143.01824074074</v>
      </c>
      <c r="D4" s="20">
        <f>COUNTIFS(Data!$M$2:$M$5295,$A4)</f>
        <v/>
      </c>
      <c r="E4" s="20">
        <f>SUMIFS(Data!$H$2:$H$5295,Data!$M$2:$M$5295,$A4)</f>
        <v/>
      </c>
      <c r="F4" s="21">
        <f>IFERROR(E4/D4,"")</f>
        <v/>
      </c>
      <c r="G4" s="21">
        <f>IFERROR(SUMIFS(Data!$P$2:$P$5295,Data!$M$2:$M$5295,$A4)/E4,"")</f>
        <v/>
      </c>
      <c r="H4" s="20">
        <f>IFERROR(AVERAGEIFS(Data!$J$2:$J$5295,Data!$M$2:$M$5295,$A4),"")</f>
        <v/>
      </c>
      <c r="I4" s="23">
        <f>IFERROR(SUMIFS(Data!$N$2:$N$5295,Data!$M$2:$M$5295,$A4)/D4,"")</f>
        <v/>
      </c>
    </row>
    <row r="5">
      <c r="A5" s="19" t="inlineStr">
        <is>
          <t>2.5.12</t>
        </is>
      </c>
      <c r="B5" s="35" t="n">
        <v>46146.11310185185</v>
      </c>
      <c r="C5" s="35" t="n">
        <v>46240.56056712963</v>
      </c>
      <c r="D5" s="20">
        <f>COUNTIFS(Data!$M$2:$M$5295,$A5)</f>
        <v/>
      </c>
      <c r="E5" s="20">
        <f>SUMIFS(Data!$H$2:$H$5295,Data!$M$2:$M$5295,$A5)</f>
        <v/>
      </c>
      <c r="F5" s="21">
        <f>IFERROR(E5/D5,"")</f>
        <v/>
      </c>
      <c r="G5" s="21">
        <f>IFERROR(SUMIFS(Data!$P$2:$P$5295,Data!$M$2:$M$5295,$A5)/E5,"")</f>
        <v/>
      </c>
      <c r="H5" s="20">
        <f>IFERROR(AVERAGEIFS(Data!$J$2:$J$5295,Data!$M$2:$M$5295,$A5),"")</f>
        <v/>
      </c>
      <c r="I5" s="23">
        <f>IFERROR(SUMIFS(Data!$N$2:$N$5295,Data!$M$2:$M$5295,$A5)/D5,"")</f>
        <v/>
      </c>
    </row>
    <row r="6">
      <c r="A6" s="19" t="inlineStr">
        <is>
          <t>2.5.9</t>
        </is>
      </c>
      <c r="B6" s="35" t="n">
        <v>46146.31685185185</v>
      </c>
      <c r="C6" s="35" t="n">
        <v>46146.31685185185</v>
      </c>
      <c r="D6" s="20">
        <f>COUNTIFS(Data!$M$2:$M$5295,$A6)</f>
        <v/>
      </c>
      <c r="E6" s="20">
        <f>SUMIFS(Data!$H$2:$H$5295,Data!$M$2:$M$5295,$A6)</f>
        <v/>
      </c>
      <c r="F6" s="21">
        <f>IFERROR(E6/D6,"")</f>
        <v/>
      </c>
      <c r="G6" s="21">
        <f>IFERROR(SUMIFS(Data!$P$2:$P$5295,Data!$M$2:$M$5295,$A6)/E6,"")</f>
        <v/>
      </c>
      <c r="H6" s="20">
        <f>IFERROR(AVERAGEIFS(Data!$J$2:$J$5295,Data!$M$2:$M$5295,$A6),"")</f>
        <v/>
      </c>
      <c r="I6" s="23">
        <f>IFERROR(SUMIFS(Data!$N$2:$N$5295,Data!$M$2:$M$5295,$A6)/D6,"")</f>
        <v/>
      </c>
    </row>
    <row r="7">
      <c r="A7" s="19" t="inlineStr">
        <is>
          <t>2.5.10</t>
        </is>
      </c>
      <c r="B7" s="35" t="n">
        <v>46146.32868055555</v>
      </c>
      <c r="C7" s="35" t="n">
        <v>46146.32868055555</v>
      </c>
      <c r="D7" s="20">
        <f>COUNTIFS(Data!$M$2:$M$5295,$A7)</f>
        <v/>
      </c>
      <c r="E7" s="20">
        <f>SUMIFS(Data!$H$2:$H$5295,Data!$M$2:$M$5295,$A7)</f>
        <v/>
      </c>
      <c r="F7" s="21">
        <f>IFERROR(E7/D7,"")</f>
        <v/>
      </c>
      <c r="G7" s="21">
        <f>IFERROR(SUMIFS(Data!$P$2:$P$5295,Data!$M$2:$M$5295,$A7)/E7,"")</f>
        <v/>
      </c>
      <c r="H7" s="20">
        <f>IFERROR(AVERAGEIFS(Data!$J$2:$J$5295,Data!$M$2:$M$5295,$A7),"")</f>
        <v/>
      </c>
      <c r="I7" s="23">
        <f>IFERROR(SUMIFS(Data!$N$2:$N$5295,Data!$M$2:$M$5295,$A7)/D7,"")</f>
        <v/>
      </c>
    </row>
    <row r="8">
      <c r="A8" s="19" t="inlineStr">
        <is>
          <t>2.5.11</t>
        </is>
      </c>
      <c r="B8" s="35" t="n">
        <v>46146.3471875</v>
      </c>
      <c r="C8" s="35" t="n">
        <v>46146.3471875</v>
      </c>
      <c r="D8" s="20">
        <f>COUNTIFS(Data!$M$2:$M$5295,$A8)</f>
        <v/>
      </c>
      <c r="E8" s="20">
        <f>SUMIFS(Data!$H$2:$H$5295,Data!$M$2:$M$5295,$A8)</f>
        <v/>
      </c>
      <c r="F8" s="21">
        <f>IFERROR(E8/D8,"")</f>
        <v/>
      </c>
      <c r="G8" s="21">
        <f>IFERROR(SUMIFS(Data!$P$2:$P$5295,Data!$M$2:$M$5295,$A8)/E8,"")</f>
        <v/>
      </c>
      <c r="H8" s="20">
        <f>IFERROR(AVERAGEIFS(Data!$J$2:$J$5295,Data!$M$2:$M$5295,$A8),"")</f>
        <v/>
      </c>
      <c r="I8" s="23">
        <f>IFERROR(SUMIFS(Data!$N$2:$N$5295,Data!$M$2:$M$5295,$A8)/D8,"")</f>
        <v/>
      </c>
    </row>
    <row r="9">
      <c r="A9" s="19" t="inlineStr">
        <is>
          <t>2.6.0</t>
        </is>
      </c>
      <c r="B9" s="35" t="n">
        <v>46230.37724537037</v>
      </c>
      <c r="C9" s="35" t="n">
        <v>46230.73886574074</v>
      </c>
      <c r="D9" s="20">
        <f>COUNTIFS(Data!$M$2:$M$5295,$A9)</f>
        <v/>
      </c>
      <c r="E9" s="20">
        <f>SUMIFS(Data!$H$2:$H$5295,Data!$M$2:$M$5295,$A9)</f>
        <v/>
      </c>
      <c r="F9" s="21">
        <f>IFERROR(E9/D9,"")</f>
        <v/>
      </c>
      <c r="G9" s="21">
        <f>IFERROR(SUMIFS(Data!$P$2:$P$5295,Data!$M$2:$M$5295,$A9)/E9,"")</f>
        <v/>
      </c>
      <c r="H9" s="20">
        <f>IFERROR(AVERAGEIFS(Data!$J$2:$J$5295,Data!$M$2:$M$5295,$A9),"")</f>
        <v/>
      </c>
      <c r="I9" s="23">
        <f>IFERROR(SUMIFS(Data!$N$2:$N$5295,Data!$M$2:$M$5295,$A9)/D9,"")</f>
        <v/>
      </c>
    </row>
    <row r="10">
      <c r="A10" s="19" t="inlineStr">
        <is>
          <t>3.4</t>
        </is>
      </c>
      <c r="B10" s="35" t="n">
        <v>46230.76418981481</v>
      </c>
      <c r="C10" s="35" t="n">
        <v>46240.71112268518</v>
      </c>
      <c r="D10" s="20">
        <f>COUNTIFS(Data!$M$2:$M$5295,$A10)</f>
        <v/>
      </c>
      <c r="E10" s="20">
        <f>SUMIFS(Data!$H$2:$H$5295,Data!$M$2:$M$5295,$A10)</f>
        <v/>
      </c>
      <c r="F10" s="21">
        <f>IFERROR(E10/D10,"")</f>
        <v/>
      </c>
      <c r="G10" s="21">
        <f>IFERROR(SUMIFS(Data!$P$2:$P$5295,Data!$M$2:$M$5295,$A10)/E10,"")</f>
        <v/>
      </c>
      <c r="H10" s="20">
        <f>IFERROR(AVERAGEIFS(Data!$J$2:$J$5295,Data!$M$2:$M$5295,$A10),"")</f>
        <v/>
      </c>
      <c r="I10" s="23">
        <f>IFERROR(SUMIFS(Data!$N$2:$N$5295,Data!$M$2:$M$5295,$A10)/D10,"")</f>
        <v/>
      </c>
    </row>
    <row r="11">
      <c r="A11" s="19" t="inlineStr">
        <is>
          <t>3.5</t>
        </is>
      </c>
      <c r="B11" s="35" t="n">
        <v>46233.46922453704</v>
      </c>
      <c r="C11" s="35" t="n">
        <v>46241.52737268519</v>
      </c>
      <c r="D11" s="20">
        <f>COUNTIFS(Data!$M$2:$M$5295,$A11)</f>
        <v/>
      </c>
      <c r="E11" s="20">
        <f>SUMIFS(Data!$H$2:$H$5295,Data!$M$2:$M$5295,$A11)</f>
        <v/>
      </c>
      <c r="F11" s="21">
        <f>IFERROR(E11/D11,"")</f>
        <v/>
      </c>
      <c r="G11" s="21">
        <f>IFERROR(SUMIFS(Data!$P$2:$P$5295,Data!$M$2:$M$5295,$A11)/E11,"")</f>
        <v/>
      </c>
      <c r="H11" s="20">
        <f>IFERROR(AVERAGEIFS(Data!$J$2:$J$5295,Data!$M$2:$M$5295,$A11),"")</f>
        <v/>
      </c>
      <c r="I11" s="23">
        <f>IFERROR(SUMIFS(Data!$N$2:$N$5295,Data!$M$2:$M$5295,$A11)/D11,"")</f>
        <v/>
      </c>
    </row>
    <row r="14">
      <c r="A14" s="3" t="inlineStr">
        <is>
          <t>Versions with 20 or more logged runs - chart source</t>
        </is>
      </c>
    </row>
    <row r="15">
      <c r="A15" s="34" t="inlineStr">
        <is>
          <t>Tool version</t>
        </is>
      </c>
      <c r="B15" s="34" t="inlineStr">
        <is>
          <t>Sec per search (weighted)</t>
        </is>
      </c>
      <c r="C15" s="34" t="inlineStr">
        <is>
          <t>Avg time / run (sec)</t>
        </is>
      </c>
      <c r="D15" s="34" t="inlineStr">
        <is>
          <t>Chart label</t>
        </is>
      </c>
    </row>
    <row r="16">
      <c r="A16" s="19" t="inlineStr">
        <is>
          <t>2.4.1</t>
        </is>
      </c>
      <c r="B16" s="21">
        <f>IFERROR(SUMIFS(Data!$P$2:$P$5295,Data!$M$2:$M$5295,$A16)/SUMIFS(Data!$H$2:$H$5295,Data!$M$2:$M$5295,$A16),"")</f>
        <v/>
      </c>
      <c r="C16" s="20">
        <f>IFERROR(AVERAGEIFS(Data!$J$2:$J$5295,Data!$M$2:$M$5295,$A16),"")</f>
        <v/>
      </c>
      <c r="D16" s="25">
        <f>$A16&amp;" (n="&amp;TEXT(COUNTIFS(Data!$M$2:$M$5295,$A16),"#,##0")&amp;")"</f>
        <v/>
      </c>
    </row>
    <row r="17">
      <c r="A17" s="19" t="inlineStr">
        <is>
          <t>2.5.12</t>
        </is>
      </c>
      <c r="B17" s="21">
        <f>IFERROR(SUMIFS(Data!$P$2:$P$5295,Data!$M$2:$M$5295,$A17)/SUMIFS(Data!$H$2:$H$5295,Data!$M$2:$M$5295,$A17),"")</f>
        <v/>
      </c>
      <c r="C17" s="20">
        <f>IFERROR(AVERAGEIFS(Data!$J$2:$J$5295,Data!$M$2:$M$5295,$A17),"")</f>
        <v/>
      </c>
      <c r="D17" s="25">
        <f>$A17&amp;" (n="&amp;TEXT(COUNTIFS(Data!$M$2:$M$5295,$A17),"#,##0")&amp;")"</f>
        <v/>
      </c>
    </row>
    <row r="18">
      <c r="A18" s="19" t="inlineStr">
        <is>
          <t>3.4</t>
        </is>
      </c>
      <c r="B18" s="21">
        <f>IFERROR(SUMIFS(Data!$P$2:$P$5295,Data!$M$2:$M$5295,$A18)/SUMIFS(Data!$H$2:$H$5295,Data!$M$2:$M$5295,$A18),"")</f>
        <v/>
      </c>
      <c r="C18" s="20">
        <f>IFERROR(AVERAGEIFS(Data!$J$2:$J$5295,Data!$M$2:$M$5295,$A18),"")</f>
        <v/>
      </c>
      <c r="D18" s="25">
        <f>$A18&amp;" (n="&amp;TEXT(COUNTIFS(Data!$M$2:$M$5295,$A18),"#,##0")&amp;")"</f>
        <v/>
      </c>
    </row>
    <row r="19">
      <c r="A19" s="19" t="inlineStr">
        <is>
          <t>3.5</t>
        </is>
      </c>
      <c r="B19" s="21">
        <f>IFERROR(SUMIFS(Data!$P$2:$P$5295,Data!$M$2:$M$5295,$A19)/SUMIFS(Data!$H$2:$H$5295,Data!$M$2:$M$5295,$A19),"")</f>
        <v/>
      </c>
      <c r="C19" s="20">
        <f>IFERROR(AVERAGEIFS(Data!$J$2:$J$5295,Data!$M$2:$M$5295,$A19),"")</f>
        <v/>
      </c>
      <c r="D19" s="25">
        <f>$A19&amp;" (n="&amp;TEXT(COUNTIFS(Data!$M$2:$M$5295,$A19),"#,##0")&amp;")"</f>
        <v/>
      </c>
    </row>
    <row r="21">
      <c r="A21" s="16" t="inlineStr">
        <is>
          <t>Versions 2.5.9, 2.5.10, 2.5.11 and 2.6.0 have fewer than 20 logged runs each (pilot and rollback traffic) and are listed above for completeness only.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13" customWidth="1" min="4" max="4"/>
    <col width="13" customWidth="1" min="5" max="5"/>
  </cols>
  <sheetData>
    <row r="1">
      <c r="A1" s="33" t="inlineStr">
        <is>
          <t>Does the tool slow down when more analysts run it at once?</t>
        </is>
      </c>
    </row>
    <row r="2">
      <c r="A2" s="16" t="inlineStr">
        <is>
          <t>Each run is grouped by how many runs were logged across the estate in that same clock hour, then compared on seconds per search. A flat line means concurrency is not degrading performance.</t>
        </is>
      </c>
    </row>
    <row r="4" ht="32" customHeight="1">
      <c r="A4" s="34" t="inlineStr">
        <is>
          <t>Runs in the same hour</t>
        </is>
      </c>
      <c r="B4" s="34" t="inlineStr">
        <is>
          <t>Baseline sec per search</t>
        </is>
      </c>
      <c r="C4" s="34" t="inlineStr">
        <is>
          <t>Current sec per search</t>
        </is>
      </c>
      <c r="D4" s="34" t="inlineStr">
        <is>
          <t>Baseline runs</t>
        </is>
      </c>
      <c r="E4" s="34" t="inlineStr">
        <is>
          <t>Current runs</t>
        </is>
      </c>
    </row>
    <row r="5">
      <c r="A5" s="19" t="inlineStr">
        <is>
          <t>1-2</t>
        </is>
      </c>
      <c r="B5" s="21">
        <f>IFERROR(SUMIFS(Data!$P$2:$P$5295,Data!$S$2:$S$5295,$A5,Data!$B$2:$B$5295,"&lt;=2026-06")/SUMIFS(Data!$H$2:$H$5295,Data!$S$2:$S$5295,$A5,Data!$B$2:$B$5295,"&lt;=2026-06"),"")</f>
        <v/>
      </c>
      <c r="C5" s="21">
        <f>IFERROR(SUMIFS(Data!$P$2:$P$5295,Data!$S$2:$S$5295,$A5,Data!$B$2:$B$5295,"&gt;=2026-07")/SUMIFS(Data!$H$2:$H$5295,Data!$S$2:$S$5295,$A5,Data!$B$2:$B$5295,"&gt;=2026-07"),"")</f>
        <v/>
      </c>
      <c r="D5" s="20">
        <f>COUNTIFS(Data!$S$2:$S$5295,$A5,Data!$B$2:$B$5295,"&lt;=2026-06")</f>
        <v/>
      </c>
      <c r="E5" s="20">
        <f>COUNTIFS(Data!$S$2:$S$5295,$A5,Data!$B$2:$B$5295,"&gt;=2026-07")</f>
        <v/>
      </c>
    </row>
    <row r="6">
      <c r="A6" s="19" t="inlineStr">
        <is>
          <t>3-5</t>
        </is>
      </c>
      <c r="B6" s="21">
        <f>IFERROR(SUMIFS(Data!$P$2:$P$5295,Data!$S$2:$S$5295,$A6,Data!$B$2:$B$5295,"&lt;=2026-06")/SUMIFS(Data!$H$2:$H$5295,Data!$S$2:$S$5295,$A6,Data!$B$2:$B$5295,"&lt;=2026-06"),"")</f>
        <v/>
      </c>
      <c r="C6" s="21">
        <f>IFERROR(SUMIFS(Data!$P$2:$P$5295,Data!$S$2:$S$5295,$A6,Data!$B$2:$B$5295,"&gt;=2026-07")/SUMIFS(Data!$H$2:$H$5295,Data!$S$2:$S$5295,$A6,Data!$B$2:$B$5295,"&gt;=2026-07"),"")</f>
        <v/>
      </c>
      <c r="D6" s="20">
        <f>COUNTIFS(Data!$S$2:$S$5295,$A6,Data!$B$2:$B$5295,"&lt;=2026-06")</f>
        <v/>
      </c>
      <c r="E6" s="20">
        <f>COUNTIFS(Data!$S$2:$S$5295,$A6,Data!$B$2:$B$5295,"&gt;=2026-07")</f>
        <v/>
      </c>
    </row>
    <row r="7">
      <c r="A7" s="19" t="inlineStr">
        <is>
          <t>6-10</t>
        </is>
      </c>
      <c r="B7" s="21">
        <f>IFERROR(SUMIFS(Data!$P$2:$P$5295,Data!$S$2:$S$5295,$A7,Data!$B$2:$B$5295,"&lt;=2026-06")/SUMIFS(Data!$H$2:$H$5295,Data!$S$2:$S$5295,$A7,Data!$B$2:$B$5295,"&lt;=2026-06"),"")</f>
        <v/>
      </c>
      <c r="C7" s="21">
        <f>IFERROR(SUMIFS(Data!$P$2:$P$5295,Data!$S$2:$S$5295,$A7,Data!$B$2:$B$5295,"&gt;=2026-07")/SUMIFS(Data!$H$2:$H$5295,Data!$S$2:$S$5295,$A7,Data!$B$2:$B$5295,"&gt;=2026-07"),"")</f>
        <v/>
      </c>
      <c r="D7" s="20">
        <f>COUNTIFS(Data!$S$2:$S$5295,$A7,Data!$B$2:$B$5295,"&lt;=2026-06")</f>
        <v/>
      </c>
      <c r="E7" s="20">
        <f>COUNTIFS(Data!$S$2:$S$5295,$A7,Data!$B$2:$B$5295,"&gt;=2026-07")</f>
        <v/>
      </c>
    </row>
    <row r="8">
      <c r="A8" s="19" t="inlineStr">
        <is>
          <t>11+</t>
        </is>
      </c>
      <c r="B8" s="21">
        <f>IFERROR(SUMIFS(Data!$P$2:$P$5295,Data!$S$2:$S$5295,$A8,Data!$B$2:$B$5295,"&lt;=2026-06")/SUMIFS(Data!$H$2:$H$5295,Data!$S$2:$S$5295,$A8,Data!$B$2:$B$5295,"&lt;=2026-06"),"")</f>
        <v/>
      </c>
      <c r="C8" s="21">
        <f>IFERROR(SUMIFS(Data!$P$2:$P$5295,Data!$S$2:$S$5295,$A8,Data!$B$2:$B$5295,"&gt;=2026-07")/SUMIFS(Data!$H$2:$H$5295,Data!$S$2:$S$5295,$A8,Data!$B$2:$B$5295,"&gt;=2026-07"),"")</f>
        <v/>
      </c>
      <c r="D8" s="20">
        <f>COUNTIFS(Data!$S$2:$S$5295,$A8,Data!$B$2:$B$5295,"&lt;=2026-06")</f>
        <v/>
      </c>
      <c r="E8" s="20">
        <f>COUNTIFS(Data!$S$2:$S$5295,$A8,Data!$B$2:$B$5295,"&gt;=2026-07")</f>
        <v/>
      </c>
    </row>
    <row r="10">
      <c r="A10" s="16" t="inlineStr">
        <is>
          <t>Concurrency is measured from the audit log timestamps, so it reflects logged runs across the estate rather than confirmed simultaneous sessions.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3" t="inlineStr">
        <is>
          <t>Usage by analyst</t>
        </is>
      </c>
    </row>
    <row r="2">
      <c r="A2" s="16" t="inlineStr">
        <is>
          <t>Sorted by runs logged. Case mix and entity counts differ by analyst, so this is a coverage and volume view rather than a comparison of individual performance.</t>
        </is>
      </c>
    </row>
    <row r="4" ht="32" customHeight="1">
      <c r="A4" s="34" t="inlineStr">
        <is>
          <t>Analyst ID</t>
        </is>
      </c>
      <c r="B4" s="34" t="inlineStr">
        <is>
          <t>Runs</t>
        </is>
      </c>
      <c r="C4" s="34" t="inlineStr">
        <is>
          <t>Searches</t>
        </is>
      </c>
      <c r="D4" s="34" t="inlineStr">
        <is>
          <t>Entities</t>
        </is>
      </c>
      <c r="E4" s="34" t="inlineStr">
        <is>
          <t>Avg searches / run</t>
        </is>
      </c>
      <c r="F4" s="34" t="inlineStr">
        <is>
          <t>Sec per search (weighted)</t>
        </is>
      </c>
      <c r="G4" s="34" t="inlineStr">
        <is>
          <t>Avg time / run (sec)</t>
        </is>
      </c>
      <c r="H4" s="34" t="inlineStr">
        <is>
          <t>Tool hours consumed</t>
        </is>
      </c>
    </row>
    <row r="5">
      <c r="A5" s="19" t="inlineStr">
        <is>
          <t>ssaha</t>
        </is>
      </c>
      <c r="B5" s="20">
        <f>COUNTIFS(Data!$E$2:$E$5295,$A5)</f>
        <v/>
      </c>
      <c r="C5" s="20">
        <f>SUMIFS(Data!$H$2:$H$5295,Data!$E$2:$E$5295,$A5)</f>
        <v/>
      </c>
      <c r="D5" s="20">
        <f>SUMIFS(Data!$G$2:$G$5295,Data!$E$2:$E$5295,$A5)</f>
        <v/>
      </c>
      <c r="E5" s="21">
        <f>IFERROR(C5/B5,"")</f>
        <v/>
      </c>
      <c r="F5" s="21">
        <f>IFERROR(SUMIFS(Data!$P$2:$P$5295,Data!$E$2:$E$5295,$A5)/C5,"")</f>
        <v/>
      </c>
      <c r="G5" s="20">
        <f>IFERROR(AVERAGEIFS(Data!$J$2:$J$5295,Data!$E$2:$E$5295,$A5),"")</f>
        <v/>
      </c>
      <c r="H5" s="21">
        <f>SUMIFS(Data!$J$2:$J$5295,Data!$E$2:$E$5295,$A5)/3600</f>
        <v/>
      </c>
    </row>
    <row r="6">
      <c r="A6" s="19" t="inlineStr">
        <is>
          <t>dchoudhury</t>
        </is>
      </c>
      <c r="B6" s="20">
        <f>COUNTIFS(Data!$E$2:$E$5295,$A6)</f>
        <v/>
      </c>
      <c r="C6" s="20">
        <f>SUMIFS(Data!$H$2:$H$5295,Data!$E$2:$E$5295,$A6)</f>
        <v/>
      </c>
      <c r="D6" s="20">
        <f>SUMIFS(Data!$G$2:$G$5295,Data!$E$2:$E$5295,$A6)</f>
        <v/>
      </c>
      <c r="E6" s="21">
        <f>IFERROR(C6/B6,"")</f>
        <v/>
      </c>
      <c r="F6" s="21">
        <f>IFERROR(SUMIFS(Data!$P$2:$P$5295,Data!$E$2:$E$5295,$A6)/C6,"")</f>
        <v/>
      </c>
      <c r="G6" s="20">
        <f>IFERROR(AVERAGEIFS(Data!$J$2:$J$5295,Data!$E$2:$E$5295,$A6),"")</f>
        <v/>
      </c>
      <c r="H6" s="21">
        <f>SUMIFS(Data!$J$2:$J$5295,Data!$E$2:$E$5295,$A6)/3600</f>
        <v/>
      </c>
    </row>
    <row r="7">
      <c r="A7" s="19" t="inlineStr">
        <is>
          <t>sswati</t>
        </is>
      </c>
      <c r="B7" s="20">
        <f>COUNTIFS(Data!$E$2:$E$5295,$A7)</f>
        <v/>
      </c>
      <c r="C7" s="20">
        <f>SUMIFS(Data!$H$2:$H$5295,Data!$E$2:$E$5295,$A7)</f>
        <v/>
      </c>
      <c r="D7" s="20">
        <f>SUMIFS(Data!$G$2:$G$5295,Data!$E$2:$E$5295,$A7)</f>
        <v/>
      </c>
      <c r="E7" s="21">
        <f>IFERROR(C7/B7,"")</f>
        <v/>
      </c>
      <c r="F7" s="21">
        <f>IFERROR(SUMIFS(Data!$P$2:$P$5295,Data!$E$2:$E$5295,$A7)/C7,"")</f>
        <v/>
      </c>
      <c r="G7" s="20">
        <f>IFERROR(AVERAGEIFS(Data!$J$2:$J$5295,Data!$E$2:$E$5295,$A7),"")</f>
        <v/>
      </c>
      <c r="H7" s="21">
        <f>SUMIFS(Data!$J$2:$J$5295,Data!$E$2:$E$5295,$A7)/3600</f>
        <v/>
      </c>
    </row>
    <row r="8">
      <c r="A8" s="19" t="inlineStr">
        <is>
          <t>hsindwani</t>
        </is>
      </c>
      <c r="B8" s="20">
        <f>COUNTIFS(Data!$E$2:$E$5295,$A8)</f>
        <v/>
      </c>
      <c r="C8" s="20">
        <f>SUMIFS(Data!$H$2:$H$5295,Data!$E$2:$E$5295,$A8)</f>
        <v/>
      </c>
      <c r="D8" s="20">
        <f>SUMIFS(Data!$G$2:$G$5295,Data!$E$2:$E$5295,$A8)</f>
        <v/>
      </c>
      <c r="E8" s="21">
        <f>IFERROR(C8/B8,"")</f>
        <v/>
      </c>
      <c r="F8" s="21">
        <f>IFERROR(SUMIFS(Data!$P$2:$P$5295,Data!$E$2:$E$5295,$A8)/C8,"")</f>
        <v/>
      </c>
      <c r="G8" s="20">
        <f>IFERROR(AVERAGEIFS(Data!$J$2:$J$5295,Data!$E$2:$E$5295,$A8),"")</f>
        <v/>
      </c>
      <c r="H8" s="21">
        <f>SUMIFS(Data!$J$2:$J$5295,Data!$E$2:$E$5295,$A8)/3600</f>
        <v/>
      </c>
    </row>
    <row r="9">
      <c r="A9" s="19" t="inlineStr">
        <is>
          <t>aghosh</t>
        </is>
      </c>
      <c r="B9" s="20">
        <f>COUNTIFS(Data!$E$2:$E$5295,$A9)</f>
        <v/>
      </c>
      <c r="C9" s="20">
        <f>SUMIFS(Data!$H$2:$H$5295,Data!$E$2:$E$5295,$A9)</f>
        <v/>
      </c>
      <c r="D9" s="20">
        <f>SUMIFS(Data!$G$2:$G$5295,Data!$E$2:$E$5295,$A9)</f>
        <v/>
      </c>
      <c r="E9" s="21">
        <f>IFERROR(C9/B9,"")</f>
        <v/>
      </c>
      <c r="F9" s="21">
        <f>IFERROR(SUMIFS(Data!$P$2:$P$5295,Data!$E$2:$E$5295,$A9)/C9,"")</f>
        <v/>
      </c>
      <c r="G9" s="20">
        <f>IFERROR(AVERAGEIFS(Data!$J$2:$J$5295,Data!$E$2:$E$5295,$A9),"")</f>
        <v/>
      </c>
      <c r="H9" s="21">
        <f>SUMIFS(Data!$J$2:$J$5295,Data!$E$2:$E$5295,$A9)/3600</f>
        <v/>
      </c>
    </row>
    <row r="10">
      <c r="A10" s="19" t="inlineStr">
        <is>
          <t>psathwika</t>
        </is>
      </c>
      <c r="B10" s="20">
        <f>COUNTIFS(Data!$E$2:$E$5295,$A10)</f>
        <v/>
      </c>
      <c r="C10" s="20">
        <f>SUMIFS(Data!$H$2:$H$5295,Data!$E$2:$E$5295,$A10)</f>
        <v/>
      </c>
      <c r="D10" s="20">
        <f>SUMIFS(Data!$G$2:$G$5295,Data!$E$2:$E$5295,$A10)</f>
        <v/>
      </c>
      <c r="E10" s="21">
        <f>IFERROR(C10/B10,"")</f>
        <v/>
      </c>
      <c r="F10" s="21">
        <f>IFERROR(SUMIFS(Data!$P$2:$P$5295,Data!$E$2:$E$5295,$A10)/C10,"")</f>
        <v/>
      </c>
      <c r="G10" s="20">
        <f>IFERROR(AVERAGEIFS(Data!$J$2:$J$5295,Data!$E$2:$E$5295,$A10),"")</f>
        <v/>
      </c>
      <c r="H10" s="21">
        <f>SUMIFS(Data!$J$2:$J$5295,Data!$E$2:$E$5295,$A10)/3600</f>
        <v/>
      </c>
    </row>
    <row r="11">
      <c r="A11" s="19" t="inlineStr">
        <is>
          <t>mgupta</t>
        </is>
      </c>
      <c r="B11" s="20">
        <f>COUNTIFS(Data!$E$2:$E$5295,$A11)</f>
        <v/>
      </c>
      <c r="C11" s="20">
        <f>SUMIFS(Data!$H$2:$H$5295,Data!$E$2:$E$5295,$A11)</f>
        <v/>
      </c>
      <c r="D11" s="20">
        <f>SUMIFS(Data!$G$2:$G$5295,Data!$E$2:$E$5295,$A11)</f>
        <v/>
      </c>
      <c r="E11" s="21">
        <f>IFERROR(C11/B11,"")</f>
        <v/>
      </c>
      <c r="F11" s="21">
        <f>IFERROR(SUMIFS(Data!$P$2:$P$5295,Data!$E$2:$E$5295,$A11)/C11,"")</f>
        <v/>
      </c>
      <c r="G11" s="20">
        <f>IFERROR(AVERAGEIFS(Data!$J$2:$J$5295,Data!$E$2:$E$5295,$A11),"")</f>
        <v/>
      </c>
      <c r="H11" s="21">
        <f>SUMIFS(Data!$J$2:$J$5295,Data!$E$2:$E$5295,$A11)/3600</f>
        <v/>
      </c>
    </row>
    <row r="12">
      <c r="A12" s="19" t="inlineStr">
        <is>
          <t>ssrinivasan</t>
        </is>
      </c>
      <c r="B12" s="20">
        <f>COUNTIFS(Data!$E$2:$E$5295,$A12)</f>
        <v/>
      </c>
      <c r="C12" s="20">
        <f>SUMIFS(Data!$H$2:$H$5295,Data!$E$2:$E$5295,$A12)</f>
        <v/>
      </c>
      <c r="D12" s="20">
        <f>SUMIFS(Data!$G$2:$G$5295,Data!$E$2:$E$5295,$A12)</f>
        <v/>
      </c>
      <c r="E12" s="21">
        <f>IFERROR(C12/B12,"")</f>
        <v/>
      </c>
      <c r="F12" s="21">
        <f>IFERROR(SUMIFS(Data!$P$2:$P$5295,Data!$E$2:$E$5295,$A12)/C12,"")</f>
        <v/>
      </c>
      <c r="G12" s="20">
        <f>IFERROR(AVERAGEIFS(Data!$J$2:$J$5295,Data!$E$2:$E$5295,$A12),"")</f>
        <v/>
      </c>
      <c r="H12" s="21">
        <f>SUMIFS(Data!$J$2:$J$5295,Data!$E$2:$E$5295,$A12)/3600</f>
        <v/>
      </c>
    </row>
    <row r="13">
      <c r="A13" s="19" t="inlineStr">
        <is>
          <t>shassan</t>
        </is>
      </c>
      <c r="B13" s="20">
        <f>COUNTIFS(Data!$E$2:$E$5295,$A13)</f>
        <v/>
      </c>
      <c r="C13" s="20">
        <f>SUMIFS(Data!$H$2:$H$5295,Data!$E$2:$E$5295,$A13)</f>
        <v/>
      </c>
      <c r="D13" s="20">
        <f>SUMIFS(Data!$G$2:$G$5295,Data!$E$2:$E$5295,$A13)</f>
        <v/>
      </c>
      <c r="E13" s="21">
        <f>IFERROR(C13/B13,"")</f>
        <v/>
      </c>
      <c r="F13" s="21">
        <f>IFERROR(SUMIFS(Data!$P$2:$P$5295,Data!$E$2:$E$5295,$A13)/C13,"")</f>
        <v/>
      </c>
      <c r="G13" s="20">
        <f>IFERROR(AVERAGEIFS(Data!$J$2:$J$5295,Data!$E$2:$E$5295,$A13),"")</f>
        <v/>
      </c>
      <c r="H13" s="21">
        <f>SUMIFS(Data!$J$2:$J$5295,Data!$E$2:$E$5295,$A13)/3600</f>
        <v/>
      </c>
    </row>
    <row r="14">
      <c r="A14" s="19" t="inlineStr">
        <is>
          <t>ns</t>
        </is>
      </c>
      <c r="B14" s="20">
        <f>COUNTIFS(Data!$E$2:$E$5295,$A14)</f>
        <v/>
      </c>
      <c r="C14" s="20">
        <f>SUMIFS(Data!$H$2:$H$5295,Data!$E$2:$E$5295,$A14)</f>
        <v/>
      </c>
      <c r="D14" s="20">
        <f>SUMIFS(Data!$G$2:$G$5295,Data!$E$2:$E$5295,$A14)</f>
        <v/>
      </c>
      <c r="E14" s="21">
        <f>IFERROR(C14/B14,"")</f>
        <v/>
      </c>
      <c r="F14" s="21">
        <f>IFERROR(SUMIFS(Data!$P$2:$P$5295,Data!$E$2:$E$5295,$A14)/C14,"")</f>
        <v/>
      </c>
      <c r="G14" s="20">
        <f>IFERROR(AVERAGEIFS(Data!$J$2:$J$5295,Data!$E$2:$E$5295,$A14),"")</f>
        <v/>
      </c>
      <c r="H14" s="21">
        <f>SUMIFS(Data!$J$2:$J$5295,Data!$E$2:$E$5295,$A14)/3600</f>
        <v/>
      </c>
    </row>
    <row r="15">
      <c r="A15" s="19" t="inlineStr">
        <is>
          <t>csaha</t>
        </is>
      </c>
      <c r="B15" s="20">
        <f>COUNTIFS(Data!$E$2:$E$5295,$A15)</f>
        <v/>
      </c>
      <c r="C15" s="20">
        <f>SUMIFS(Data!$H$2:$H$5295,Data!$E$2:$E$5295,$A15)</f>
        <v/>
      </c>
      <c r="D15" s="20">
        <f>SUMIFS(Data!$G$2:$G$5295,Data!$E$2:$E$5295,$A15)</f>
        <v/>
      </c>
      <c r="E15" s="21">
        <f>IFERROR(C15/B15,"")</f>
        <v/>
      </c>
      <c r="F15" s="21">
        <f>IFERROR(SUMIFS(Data!$P$2:$P$5295,Data!$E$2:$E$5295,$A15)/C15,"")</f>
        <v/>
      </c>
      <c r="G15" s="20">
        <f>IFERROR(AVERAGEIFS(Data!$J$2:$J$5295,Data!$E$2:$E$5295,$A15),"")</f>
        <v/>
      </c>
      <c r="H15" s="21">
        <f>SUMIFS(Data!$J$2:$J$5295,Data!$E$2:$E$5295,$A15)/3600</f>
        <v/>
      </c>
    </row>
    <row r="16">
      <c r="A16" s="19" t="inlineStr">
        <is>
          <t>stiwari</t>
        </is>
      </c>
      <c r="B16" s="20">
        <f>COUNTIFS(Data!$E$2:$E$5295,$A16)</f>
        <v/>
      </c>
      <c r="C16" s="20">
        <f>SUMIFS(Data!$H$2:$H$5295,Data!$E$2:$E$5295,$A16)</f>
        <v/>
      </c>
      <c r="D16" s="20">
        <f>SUMIFS(Data!$G$2:$G$5295,Data!$E$2:$E$5295,$A16)</f>
        <v/>
      </c>
      <c r="E16" s="21">
        <f>IFERROR(C16/B16,"")</f>
        <v/>
      </c>
      <c r="F16" s="21">
        <f>IFERROR(SUMIFS(Data!$P$2:$P$5295,Data!$E$2:$E$5295,$A16)/C16,"")</f>
        <v/>
      </c>
      <c r="G16" s="20">
        <f>IFERROR(AVERAGEIFS(Data!$J$2:$J$5295,Data!$E$2:$E$5295,$A16),"")</f>
        <v/>
      </c>
      <c r="H16" s="21">
        <f>SUMIFS(Data!$J$2:$J$5295,Data!$E$2:$E$5295,$A16)/3600</f>
        <v/>
      </c>
    </row>
    <row r="17">
      <c r="A17" s="19" t="inlineStr">
        <is>
          <t>atiwari</t>
        </is>
      </c>
      <c r="B17" s="20">
        <f>COUNTIFS(Data!$E$2:$E$5295,$A17)</f>
        <v/>
      </c>
      <c r="C17" s="20">
        <f>SUMIFS(Data!$H$2:$H$5295,Data!$E$2:$E$5295,$A17)</f>
        <v/>
      </c>
      <c r="D17" s="20">
        <f>SUMIFS(Data!$G$2:$G$5295,Data!$E$2:$E$5295,$A17)</f>
        <v/>
      </c>
      <c r="E17" s="21">
        <f>IFERROR(C17/B17,"")</f>
        <v/>
      </c>
      <c r="F17" s="21">
        <f>IFERROR(SUMIFS(Data!$P$2:$P$5295,Data!$E$2:$E$5295,$A17)/C17,"")</f>
        <v/>
      </c>
      <c r="G17" s="20">
        <f>IFERROR(AVERAGEIFS(Data!$J$2:$J$5295,Data!$E$2:$E$5295,$A17),"")</f>
        <v/>
      </c>
      <c r="H17" s="21">
        <f>SUMIFS(Data!$J$2:$J$5295,Data!$E$2:$E$5295,$A17)/3600</f>
        <v/>
      </c>
    </row>
    <row r="18">
      <c r="A18" s="19" t="inlineStr">
        <is>
          <t>pgautam</t>
        </is>
      </c>
      <c r="B18" s="20">
        <f>COUNTIFS(Data!$E$2:$E$5295,$A18)</f>
        <v/>
      </c>
      <c r="C18" s="20">
        <f>SUMIFS(Data!$H$2:$H$5295,Data!$E$2:$E$5295,$A18)</f>
        <v/>
      </c>
      <c r="D18" s="20">
        <f>SUMIFS(Data!$G$2:$G$5295,Data!$E$2:$E$5295,$A18)</f>
        <v/>
      </c>
      <c r="E18" s="21">
        <f>IFERROR(C18/B18,"")</f>
        <v/>
      </c>
      <c r="F18" s="21">
        <f>IFERROR(SUMIFS(Data!$P$2:$P$5295,Data!$E$2:$E$5295,$A18)/C18,"")</f>
        <v/>
      </c>
      <c r="G18" s="20">
        <f>IFERROR(AVERAGEIFS(Data!$J$2:$J$5295,Data!$E$2:$E$5295,$A18),"")</f>
        <v/>
      </c>
      <c r="H18" s="21">
        <f>SUMIFS(Data!$J$2:$J$5295,Data!$E$2:$E$5295,$A18)/3600</f>
        <v/>
      </c>
    </row>
    <row r="19">
      <c r="A19" s="19" t="inlineStr">
        <is>
          <t>emishra</t>
        </is>
      </c>
      <c r="B19" s="20">
        <f>COUNTIFS(Data!$E$2:$E$5295,$A19)</f>
        <v/>
      </c>
      <c r="C19" s="20">
        <f>SUMIFS(Data!$H$2:$H$5295,Data!$E$2:$E$5295,$A19)</f>
        <v/>
      </c>
      <c r="D19" s="20">
        <f>SUMIFS(Data!$G$2:$G$5295,Data!$E$2:$E$5295,$A19)</f>
        <v/>
      </c>
      <c r="E19" s="21">
        <f>IFERROR(C19/B19,"")</f>
        <v/>
      </c>
      <c r="F19" s="21">
        <f>IFERROR(SUMIFS(Data!$P$2:$P$5295,Data!$E$2:$E$5295,$A19)/C19,"")</f>
        <v/>
      </c>
      <c r="G19" s="20">
        <f>IFERROR(AVERAGEIFS(Data!$J$2:$J$5295,Data!$E$2:$E$5295,$A19),"")</f>
        <v/>
      </c>
      <c r="H19" s="21">
        <f>SUMIFS(Data!$J$2:$J$5295,Data!$E$2:$E$5295,$A19)/3600</f>
        <v/>
      </c>
    </row>
    <row r="20">
      <c r="A20" s="19" t="inlineStr">
        <is>
          <t>ethomas</t>
        </is>
      </c>
      <c r="B20" s="20">
        <f>COUNTIFS(Data!$E$2:$E$5295,$A20)</f>
        <v/>
      </c>
      <c r="C20" s="20">
        <f>SUMIFS(Data!$H$2:$H$5295,Data!$E$2:$E$5295,$A20)</f>
        <v/>
      </c>
      <c r="D20" s="20">
        <f>SUMIFS(Data!$G$2:$G$5295,Data!$E$2:$E$5295,$A20)</f>
        <v/>
      </c>
      <c r="E20" s="21">
        <f>IFERROR(C20/B20,"")</f>
        <v/>
      </c>
      <c r="F20" s="21">
        <f>IFERROR(SUMIFS(Data!$P$2:$P$5295,Data!$E$2:$E$5295,$A20)/C20,"")</f>
        <v/>
      </c>
      <c r="G20" s="20">
        <f>IFERROR(AVERAGEIFS(Data!$J$2:$J$5295,Data!$E$2:$E$5295,$A20),"")</f>
        <v/>
      </c>
      <c r="H20" s="21">
        <f>SUMIFS(Data!$J$2:$J$5295,Data!$E$2:$E$5295,$A20)/3600</f>
        <v/>
      </c>
    </row>
    <row r="21">
      <c r="A21" s="19" t="inlineStr">
        <is>
          <t>rsingh</t>
        </is>
      </c>
      <c r="B21" s="20">
        <f>COUNTIFS(Data!$E$2:$E$5295,$A21)</f>
        <v/>
      </c>
      <c r="C21" s="20">
        <f>SUMIFS(Data!$H$2:$H$5295,Data!$E$2:$E$5295,$A21)</f>
        <v/>
      </c>
      <c r="D21" s="20">
        <f>SUMIFS(Data!$G$2:$G$5295,Data!$E$2:$E$5295,$A21)</f>
        <v/>
      </c>
      <c r="E21" s="21">
        <f>IFERROR(C21/B21,"")</f>
        <v/>
      </c>
      <c r="F21" s="21">
        <f>IFERROR(SUMIFS(Data!$P$2:$P$5295,Data!$E$2:$E$5295,$A21)/C21,"")</f>
        <v/>
      </c>
      <c r="G21" s="20">
        <f>IFERROR(AVERAGEIFS(Data!$J$2:$J$5295,Data!$E$2:$E$5295,$A21),"")</f>
        <v/>
      </c>
      <c r="H21" s="21">
        <f>SUMIFS(Data!$J$2:$J$5295,Data!$E$2:$E$5295,$A21)/3600</f>
        <v/>
      </c>
    </row>
    <row r="22">
      <c r="A22" s="19" t="inlineStr">
        <is>
          <t>mbhalla</t>
        </is>
      </c>
      <c r="B22" s="20">
        <f>COUNTIFS(Data!$E$2:$E$5295,$A22)</f>
        <v/>
      </c>
      <c r="C22" s="20">
        <f>SUMIFS(Data!$H$2:$H$5295,Data!$E$2:$E$5295,$A22)</f>
        <v/>
      </c>
      <c r="D22" s="20">
        <f>SUMIFS(Data!$G$2:$G$5295,Data!$E$2:$E$5295,$A22)</f>
        <v/>
      </c>
      <c r="E22" s="21">
        <f>IFERROR(C22/B22,"")</f>
        <v/>
      </c>
      <c r="F22" s="21">
        <f>IFERROR(SUMIFS(Data!$P$2:$P$5295,Data!$E$2:$E$5295,$A22)/C22,"")</f>
        <v/>
      </c>
      <c r="G22" s="20">
        <f>IFERROR(AVERAGEIFS(Data!$J$2:$J$5295,Data!$E$2:$E$5295,$A22),"")</f>
        <v/>
      </c>
      <c r="H22" s="21">
        <f>SUMIFS(Data!$J$2:$J$5295,Data!$E$2:$E$5295,$A22)/3600</f>
        <v/>
      </c>
    </row>
    <row r="23">
      <c r="A23" s="19" t="inlineStr">
        <is>
          <t>asahoo</t>
        </is>
      </c>
      <c r="B23" s="20">
        <f>COUNTIFS(Data!$E$2:$E$5295,$A23)</f>
        <v/>
      </c>
      <c r="C23" s="20">
        <f>SUMIFS(Data!$H$2:$H$5295,Data!$E$2:$E$5295,$A23)</f>
        <v/>
      </c>
      <c r="D23" s="20">
        <f>SUMIFS(Data!$G$2:$G$5295,Data!$E$2:$E$5295,$A23)</f>
        <v/>
      </c>
      <c r="E23" s="21">
        <f>IFERROR(C23/B23,"")</f>
        <v/>
      </c>
      <c r="F23" s="21">
        <f>IFERROR(SUMIFS(Data!$P$2:$P$5295,Data!$E$2:$E$5295,$A23)/C23,"")</f>
        <v/>
      </c>
      <c r="G23" s="20">
        <f>IFERROR(AVERAGEIFS(Data!$J$2:$J$5295,Data!$E$2:$E$5295,$A23),"")</f>
        <v/>
      </c>
      <c r="H23" s="21">
        <f>SUMIFS(Data!$J$2:$J$5295,Data!$E$2:$E$5295,$A23)/3600</f>
        <v/>
      </c>
    </row>
    <row r="24">
      <c r="A24" s="19" t="inlineStr">
        <is>
          <t>bverma</t>
        </is>
      </c>
      <c r="B24" s="20">
        <f>COUNTIFS(Data!$E$2:$E$5295,$A24)</f>
        <v/>
      </c>
      <c r="C24" s="20">
        <f>SUMIFS(Data!$H$2:$H$5295,Data!$E$2:$E$5295,$A24)</f>
        <v/>
      </c>
      <c r="D24" s="20">
        <f>SUMIFS(Data!$G$2:$G$5295,Data!$E$2:$E$5295,$A24)</f>
        <v/>
      </c>
      <c r="E24" s="21">
        <f>IFERROR(C24/B24,"")</f>
        <v/>
      </c>
      <c r="F24" s="21">
        <f>IFERROR(SUMIFS(Data!$P$2:$P$5295,Data!$E$2:$E$5295,$A24)/C24,"")</f>
        <v/>
      </c>
      <c r="G24" s="20">
        <f>IFERROR(AVERAGEIFS(Data!$J$2:$J$5295,Data!$E$2:$E$5295,$A24),"")</f>
        <v/>
      </c>
      <c r="H24" s="21">
        <f>SUMIFS(Data!$J$2:$J$5295,Data!$E$2:$E$5295,$A24)/3600</f>
        <v/>
      </c>
    </row>
    <row r="25">
      <c r="A25" s="19" t="inlineStr">
        <is>
          <t>aupadhayay</t>
        </is>
      </c>
      <c r="B25" s="20">
        <f>COUNTIFS(Data!$E$2:$E$5295,$A25)</f>
        <v/>
      </c>
      <c r="C25" s="20">
        <f>SUMIFS(Data!$H$2:$H$5295,Data!$E$2:$E$5295,$A25)</f>
        <v/>
      </c>
      <c r="D25" s="20">
        <f>SUMIFS(Data!$G$2:$G$5295,Data!$E$2:$E$5295,$A25)</f>
        <v/>
      </c>
      <c r="E25" s="21">
        <f>IFERROR(C25/B25,"")</f>
        <v/>
      </c>
      <c r="F25" s="21">
        <f>IFERROR(SUMIFS(Data!$P$2:$P$5295,Data!$E$2:$E$5295,$A25)/C25,"")</f>
        <v/>
      </c>
      <c r="G25" s="20">
        <f>IFERROR(AVERAGEIFS(Data!$J$2:$J$5295,Data!$E$2:$E$5295,$A25),"")</f>
        <v/>
      </c>
      <c r="H25" s="21">
        <f>SUMIFS(Data!$J$2:$J$5295,Data!$E$2:$E$5295,$A25)/3600</f>
        <v/>
      </c>
    </row>
    <row r="26">
      <c r="A26" s="19" t="inlineStr">
        <is>
          <t>npriya</t>
        </is>
      </c>
      <c r="B26" s="20">
        <f>COUNTIFS(Data!$E$2:$E$5295,$A26)</f>
        <v/>
      </c>
      <c r="C26" s="20">
        <f>SUMIFS(Data!$H$2:$H$5295,Data!$E$2:$E$5295,$A26)</f>
        <v/>
      </c>
      <c r="D26" s="20">
        <f>SUMIFS(Data!$G$2:$G$5295,Data!$E$2:$E$5295,$A26)</f>
        <v/>
      </c>
      <c r="E26" s="21">
        <f>IFERROR(C26/B26,"")</f>
        <v/>
      </c>
      <c r="F26" s="21">
        <f>IFERROR(SUMIFS(Data!$P$2:$P$5295,Data!$E$2:$E$5295,$A26)/C26,"")</f>
        <v/>
      </c>
      <c r="G26" s="20">
        <f>IFERROR(AVERAGEIFS(Data!$J$2:$J$5295,Data!$E$2:$E$5295,$A26),"")</f>
        <v/>
      </c>
      <c r="H26" s="21">
        <f>SUMIFS(Data!$J$2:$J$5295,Data!$E$2:$E$5295,$A26)/3600</f>
        <v/>
      </c>
    </row>
    <row r="27">
      <c r="A27" s="19" t="inlineStr">
        <is>
          <t>sdey</t>
        </is>
      </c>
      <c r="B27" s="20">
        <f>COUNTIFS(Data!$E$2:$E$5295,$A27)</f>
        <v/>
      </c>
      <c r="C27" s="20">
        <f>SUMIFS(Data!$H$2:$H$5295,Data!$E$2:$E$5295,$A27)</f>
        <v/>
      </c>
      <c r="D27" s="20">
        <f>SUMIFS(Data!$G$2:$G$5295,Data!$E$2:$E$5295,$A27)</f>
        <v/>
      </c>
      <c r="E27" s="21">
        <f>IFERROR(C27/B27,"")</f>
        <v/>
      </c>
      <c r="F27" s="21">
        <f>IFERROR(SUMIFS(Data!$P$2:$P$5295,Data!$E$2:$E$5295,$A27)/C27,"")</f>
        <v/>
      </c>
      <c r="G27" s="20">
        <f>IFERROR(AVERAGEIFS(Data!$J$2:$J$5295,Data!$E$2:$E$5295,$A27),"")</f>
        <v/>
      </c>
      <c r="H27" s="21">
        <f>SUMIFS(Data!$J$2:$J$5295,Data!$E$2:$E$5295,$A27)/3600</f>
        <v/>
      </c>
    </row>
    <row r="28">
      <c r="A28" s="19" t="inlineStr">
        <is>
          <t>shasikha</t>
        </is>
      </c>
      <c r="B28" s="20">
        <f>COUNTIFS(Data!$E$2:$E$5295,$A28)</f>
        <v/>
      </c>
      <c r="C28" s="20">
        <f>SUMIFS(Data!$H$2:$H$5295,Data!$E$2:$E$5295,$A28)</f>
        <v/>
      </c>
      <c r="D28" s="20">
        <f>SUMIFS(Data!$G$2:$G$5295,Data!$E$2:$E$5295,$A28)</f>
        <v/>
      </c>
      <c r="E28" s="21">
        <f>IFERROR(C28/B28,"")</f>
        <v/>
      </c>
      <c r="F28" s="21">
        <f>IFERROR(SUMIFS(Data!$P$2:$P$5295,Data!$E$2:$E$5295,$A28)/C28,"")</f>
        <v/>
      </c>
      <c r="G28" s="20">
        <f>IFERROR(AVERAGEIFS(Data!$J$2:$J$5295,Data!$E$2:$E$5295,$A28),"")</f>
        <v/>
      </c>
      <c r="H28" s="21">
        <f>SUMIFS(Data!$J$2:$J$5295,Data!$E$2:$E$5295,$A28)/3600</f>
        <v/>
      </c>
    </row>
    <row r="29">
      <c r="A29" s="19" t="inlineStr">
        <is>
          <t>ssarkar</t>
        </is>
      </c>
      <c r="B29" s="20">
        <f>COUNTIFS(Data!$E$2:$E$5295,$A29)</f>
        <v/>
      </c>
      <c r="C29" s="20">
        <f>SUMIFS(Data!$H$2:$H$5295,Data!$E$2:$E$5295,$A29)</f>
        <v/>
      </c>
      <c r="D29" s="20">
        <f>SUMIFS(Data!$G$2:$G$5295,Data!$E$2:$E$5295,$A29)</f>
        <v/>
      </c>
      <c r="E29" s="21">
        <f>IFERROR(C29/B29,"")</f>
        <v/>
      </c>
      <c r="F29" s="21">
        <f>IFERROR(SUMIFS(Data!$P$2:$P$5295,Data!$E$2:$E$5295,$A29)/C29,"")</f>
        <v/>
      </c>
      <c r="G29" s="20">
        <f>IFERROR(AVERAGEIFS(Data!$J$2:$J$5295,Data!$E$2:$E$5295,$A29),"")</f>
        <v/>
      </c>
      <c r="H29" s="21">
        <f>SUMIFS(Data!$J$2:$J$5295,Data!$E$2:$E$5295,$A29)/3600</f>
        <v/>
      </c>
    </row>
    <row r="30">
      <c r="A30" s="19" t="inlineStr">
        <is>
          <t>psingh</t>
        </is>
      </c>
      <c r="B30" s="20">
        <f>COUNTIFS(Data!$E$2:$E$5295,$A30)</f>
        <v/>
      </c>
      <c r="C30" s="20">
        <f>SUMIFS(Data!$H$2:$H$5295,Data!$E$2:$E$5295,$A30)</f>
        <v/>
      </c>
      <c r="D30" s="20">
        <f>SUMIFS(Data!$G$2:$G$5295,Data!$E$2:$E$5295,$A30)</f>
        <v/>
      </c>
      <c r="E30" s="21">
        <f>IFERROR(C30/B30,"")</f>
        <v/>
      </c>
      <c r="F30" s="21">
        <f>IFERROR(SUMIFS(Data!$P$2:$P$5295,Data!$E$2:$E$5295,$A30)/C30,"")</f>
        <v/>
      </c>
      <c r="G30" s="20">
        <f>IFERROR(AVERAGEIFS(Data!$J$2:$J$5295,Data!$E$2:$E$5295,$A30),"")</f>
        <v/>
      </c>
      <c r="H30" s="21">
        <f>SUMIFS(Data!$J$2:$J$5295,Data!$E$2:$E$5295,$A30)/3600</f>
        <v/>
      </c>
    </row>
    <row r="31">
      <c r="A31" s="19" t="inlineStr">
        <is>
          <t>anusharma</t>
        </is>
      </c>
      <c r="B31" s="20">
        <f>COUNTIFS(Data!$E$2:$E$5295,$A31)</f>
        <v/>
      </c>
      <c r="C31" s="20">
        <f>SUMIFS(Data!$H$2:$H$5295,Data!$E$2:$E$5295,$A31)</f>
        <v/>
      </c>
      <c r="D31" s="20">
        <f>SUMIFS(Data!$G$2:$G$5295,Data!$E$2:$E$5295,$A31)</f>
        <v/>
      </c>
      <c r="E31" s="21">
        <f>IFERROR(C31/B31,"")</f>
        <v/>
      </c>
      <c r="F31" s="21">
        <f>IFERROR(SUMIFS(Data!$P$2:$P$5295,Data!$E$2:$E$5295,$A31)/C31,"")</f>
        <v/>
      </c>
      <c r="G31" s="20">
        <f>IFERROR(AVERAGEIFS(Data!$J$2:$J$5295,Data!$E$2:$E$5295,$A31),"")</f>
        <v/>
      </c>
      <c r="H31" s="21">
        <f>SUMIFS(Data!$J$2:$J$5295,Data!$E$2:$E$5295,$A31)/3600</f>
        <v/>
      </c>
    </row>
    <row r="32">
      <c r="A32" s="19" t="inlineStr">
        <is>
          <t>smukhopadhyay</t>
        </is>
      </c>
      <c r="B32" s="20">
        <f>COUNTIFS(Data!$E$2:$E$5295,$A32)</f>
        <v/>
      </c>
      <c r="C32" s="20">
        <f>SUMIFS(Data!$H$2:$H$5295,Data!$E$2:$E$5295,$A32)</f>
        <v/>
      </c>
      <c r="D32" s="20">
        <f>SUMIFS(Data!$G$2:$G$5295,Data!$E$2:$E$5295,$A32)</f>
        <v/>
      </c>
      <c r="E32" s="21">
        <f>IFERROR(C32/B32,"")</f>
        <v/>
      </c>
      <c r="F32" s="21">
        <f>IFERROR(SUMIFS(Data!$P$2:$P$5295,Data!$E$2:$E$5295,$A32)/C32,"")</f>
        <v/>
      </c>
      <c r="G32" s="20">
        <f>IFERROR(AVERAGEIFS(Data!$J$2:$J$5295,Data!$E$2:$E$5295,$A32),"")</f>
        <v/>
      </c>
      <c r="H32" s="21">
        <f>SUMIFS(Data!$J$2:$J$5295,Data!$E$2:$E$5295,$A32)/3600</f>
        <v/>
      </c>
    </row>
    <row r="33">
      <c r="A33" s="19" t="inlineStr">
        <is>
          <t>tkarmakar</t>
        </is>
      </c>
      <c r="B33" s="20">
        <f>COUNTIFS(Data!$E$2:$E$5295,$A33)</f>
        <v/>
      </c>
      <c r="C33" s="20">
        <f>SUMIFS(Data!$H$2:$H$5295,Data!$E$2:$E$5295,$A33)</f>
        <v/>
      </c>
      <c r="D33" s="20">
        <f>SUMIFS(Data!$G$2:$G$5295,Data!$E$2:$E$5295,$A33)</f>
        <v/>
      </c>
      <c r="E33" s="21">
        <f>IFERROR(C33/B33,"")</f>
        <v/>
      </c>
      <c r="F33" s="21">
        <f>IFERROR(SUMIFS(Data!$P$2:$P$5295,Data!$E$2:$E$5295,$A33)/C33,"")</f>
        <v/>
      </c>
      <c r="G33" s="20">
        <f>IFERROR(AVERAGEIFS(Data!$J$2:$J$5295,Data!$E$2:$E$5295,$A33),"")</f>
        <v/>
      </c>
      <c r="H33" s="21">
        <f>SUMIFS(Data!$J$2:$J$5295,Data!$E$2:$E$5295,$A33)/3600</f>
        <v/>
      </c>
    </row>
    <row r="34">
      <c r="A34" s="19" t="inlineStr">
        <is>
          <t>rts</t>
        </is>
      </c>
      <c r="B34" s="20">
        <f>COUNTIFS(Data!$E$2:$E$5295,$A34)</f>
        <v/>
      </c>
      <c r="C34" s="20">
        <f>SUMIFS(Data!$H$2:$H$5295,Data!$E$2:$E$5295,$A34)</f>
        <v/>
      </c>
      <c r="D34" s="20">
        <f>SUMIFS(Data!$G$2:$G$5295,Data!$E$2:$E$5295,$A34)</f>
        <v/>
      </c>
      <c r="E34" s="21">
        <f>IFERROR(C34/B34,"")</f>
        <v/>
      </c>
      <c r="F34" s="21">
        <f>IFERROR(SUMIFS(Data!$P$2:$P$5295,Data!$E$2:$E$5295,$A34)/C34,"")</f>
        <v/>
      </c>
      <c r="G34" s="20">
        <f>IFERROR(AVERAGEIFS(Data!$J$2:$J$5295,Data!$E$2:$E$5295,$A34),"")</f>
        <v/>
      </c>
      <c r="H34" s="21">
        <f>SUMIFS(Data!$J$2:$J$5295,Data!$E$2:$E$5295,$A34)/3600</f>
        <v/>
      </c>
    </row>
    <row r="35">
      <c r="A35" s="19" t="inlineStr">
        <is>
          <t>adey</t>
        </is>
      </c>
      <c r="B35" s="20">
        <f>COUNTIFS(Data!$E$2:$E$5295,$A35)</f>
        <v/>
      </c>
      <c r="C35" s="20">
        <f>SUMIFS(Data!$H$2:$H$5295,Data!$E$2:$E$5295,$A35)</f>
        <v/>
      </c>
      <c r="D35" s="20">
        <f>SUMIFS(Data!$G$2:$G$5295,Data!$E$2:$E$5295,$A35)</f>
        <v/>
      </c>
      <c r="E35" s="21">
        <f>IFERROR(C35/B35,"")</f>
        <v/>
      </c>
      <c r="F35" s="21">
        <f>IFERROR(SUMIFS(Data!$P$2:$P$5295,Data!$E$2:$E$5295,$A35)/C35,"")</f>
        <v/>
      </c>
      <c r="G35" s="20">
        <f>IFERROR(AVERAGEIFS(Data!$J$2:$J$5295,Data!$E$2:$E$5295,$A35),"")</f>
        <v/>
      </c>
      <c r="H35" s="21">
        <f>SUMIFS(Data!$J$2:$J$5295,Data!$E$2:$E$5295,$A35)/3600</f>
        <v/>
      </c>
    </row>
    <row r="36">
      <c r="A36" s="19" t="inlineStr">
        <is>
          <t>apriyadarshi</t>
        </is>
      </c>
      <c r="B36" s="20">
        <f>COUNTIFS(Data!$E$2:$E$5295,$A36)</f>
        <v/>
      </c>
      <c r="C36" s="20">
        <f>SUMIFS(Data!$H$2:$H$5295,Data!$E$2:$E$5295,$A36)</f>
        <v/>
      </c>
      <c r="D36" s="20">
        <f>SUMIFS(Data!$G$2:$G$5295,Data!$E$2:$E$5295,$A36)</f>
        <v/>
      </c>
      <c r="E36" s="21">
        <f>IFERROR(C36/B36,"")</f>
        <v/>
      </c>
      <c r="F36" s="21">
        <f>IFERROR(SUMIFS(Data!$P$2:$P$5295,Data!$E$2:$E$5295,$A36)/C36,"")</f>
        <v/>
      </c>
      <c r="G36" s="20">
        <f>IFERROR(AVERAGEIFS(Data!$J$2:$J$5295,Data!$E$2:$E$5295,$A36),"")</f>
        <v/>
      </c>
      <c r="H36" s="21">
        <f>SUMIFS(Data!$J$2:$J$5295,Data!$E$2:$E$5295,$A36)/3600</f>
        <v/>
      </c>
    </row>
    <row r="37">
      <c r="A37" s="19" t="inlineStr">
        <is>
          <t>sthomas</t>
        </is>
      </c>
      <c r="B37" s="20">
        <f>COUNTIFS(Data!$E$2:$E$5295,$A37)</f>
        <v/>
      </c>
      <c r="C37" s="20">
        <f>SUMIFS(Data!$H$2:$H$5295,Data!$E$2:$E$5295,$A37)</f>
        <v/>
      </c>
      <c r="D37" s="20">
        <f>SUMIFS(Data!$G$2:$G$5295,Data!$E$2:$E$5295,$A37)</f>
        <v/>
      </c>
      <c r="E37" s="21">
        <f>IFERROR(C37/B37,"")</f>
        <v/>
      </c>
      <c r="F37" s="21">
        <f>IFERROR(SUMIFS(Data!$P$2:$P$5295,Data!$E$2:$E$5295,$A37)/C37,"")</f>
        <v/>
      </c>
      <c r="G37" s="20">
        <f>IFERROR(AVERAGEIFS(Data!$J$2:$J$5295,Data!$E$2:$E$5295,$A37),"")</f>
        <v/>
      </c>
      <c r="H37" s="21">
        <f>SUMIFS(Data!$J$2:$J$5295,Data!$E$2:$E$5295,$A37)/3600</f>
        <v/>
      </c>
    </row>
    <row r="38">
      <c r="A38" s="19" t="inlineStr">
        <is>
          <t>dbhattacharyya</t>
        </is>
      </c>
      <c r="B38" s="20">
        <f>COUNTIFS(Data!$E$2:$E$5295,$A38)</f>
        <v/>
      </c>
      <c r="C38" s="20">
        <f>SUMIFS(Data!$H$2:$H$5295,Data!$E$2:$E$5295,$A38)</f>
        <v/>
      </c>
      <c r="D38" s="20">
        <f>SUMIFS(Data!$G$2:$G$5295,Data!$E$2:$E$5295,$A38)</f>
        <v/>
      </c>
      <c r="E38" s="21">
        <f>IFERROR(C38/B38,"")</f>
        <v/>
      </c>
      <c r="F38" s="21">
        <f>IFERROR(SUMIFS(Data!$P$2:$P$5295,Data!$E$2:$E$5295,$A38)/C38,"")</f>
        <v/>
      </c>
      <c r="G38" s="20">
        <f>IFERROR(AVERAGEIFS(Data!$J$2:$J$5295,Data!$E$2:$E$5295,$A38),"")</f>
        <v/>
      </c>
      <c r="H38" s="21">
        <f>SUMIFS(Data!$J$2:$J$5295,Data!$E$2:$E$5295,$A38)/3600</f>
        <v/>
      </c>
    </row>
    <row r="39">
      <c r="A39" s="19" t="inlineStr">
        <is>
          <t>akumari</t>
        </is>
      </c>
      <c r="B39" s="20">
        <f>COUNTIFS(Data!$E$2:$E$5295,$A39)</f>
        <v/>
      </c>
      <c r="C39" s="20">
        <f>SUMIFS(Data!$H$2:$H$5295,Data!$E$2:$E$5295,$A39)</f>
        <v/>
      </c>
      <c r="D39" s="20">
        <f>SUMIFS(Data!$G$2:$G$5295,Data!$E$2:$E$5295,$A39)</f>
        <v/>
      </c>
      <c r="E39" s="21">
        <f>IFERROR(C39/B39,"")</f>
        <v/>
      </c>
      <c r="F39" s="21">
        <f>IFERROR(SUMIFS(Data!$P$2:$P$5295,Data!$E$2:$E$5295,$A39)/C39,"")</f>
        <v/>
      </c>
      <c r="G39" s="20">
        <f>IFERROR(AVERAGEIFS(Data!$J$2:$J$5295,Data!$E$2:$E$5295,$A39),"")</f>
        <v/>
      </c>
      <c r="H39" s="21">
        <f>SUMIFS(Data!$J$2:$J$5295,Data!$E$2:$E$5295,$A39)/3600</f>
        <v/>
      </c>
    </row>
    <row r="40">
      <c r="A40" s="19" t="inlineStr">
        <is>
          <t>mbohra</t>
        </is>
      </c>
      <c r="B40" s="20">
        <f>COUNTIFS(Data!$E$2:$E$5295,$A40)</f>
        <v/>
      </c>
      <c r="C40" s="20">
        <f>SUMIFS(Data!$H$2:$H$5295,Data!$E$2:$E$5295,$A40)</f>
        <v/>
      </c>
      <c r="D40" s="20">
        <f>SUMIFS(Data!$G$2:$G$5295,Data!$E$2:$E$5295,$A40)</f>
        <v/>
      </c>
      <c r="E40" s="21">
        <f>IFERROR(C40/B40,"")</f>
        <v/>
      </c>
      <c r="F40" s="21">
        <f>IFERROR(SUMIFS(Data!$P$2:$P$5295,Data!$E$2:$E$5295,$A40)/C40,"")</f>
        <v/>
      </c>
      <c r="G40" s="20">
        <f>IFERROR(AVERAGEIFS(Data!$J$2:$J$5295,Data!$E$2:$E$5295,$A40),"")</f>
        <v/>
      </c>
      <c r="H40" s="21">
        <f>SUMIFS(Data!$J$2:$J$5295,Data!$E$2:$E$5295,$A40)/3600</f>
        <v/>
      </c>
    </row>
    <row r="41">
      <c r="A41" s="19" t="inlineStr">
        <is>
          <t>vraina</t>
        </is>
      </c>
      <c r="B41" s="20">
        <f>COUNTIFS(Data!$E$2:$E$5295,$A41)</f>
        <v/>
      </c>
      <c r="C41" s="20">
        <f>SUMIFS(Data!$H$2:$H$5295,Data!$E$2:$E$5295,$A41)</f>
        <v/>
      </c>
      <c r="D41" s="20">
        <f>SUMIFS(Data!$G$2:$G$5295,Data!$E$2:$E$5295,$A41)</f>
        <v/>
      </c>
      <c r="E41" s="21">
        <f>IFERROR(C41/B41,"")</f>
        <v/>
      </c>
      <c r="F41" s="21">
        <f>IFERROR(SUMIFS(Data!$P$2:$P$5295,Data!$E$2:$E$5295,$A41)/C41,"")</f>
        <v/>
      </c>
      <c r="G41" s="20">
        <f>IFERROR(AVERAGEIFS(Data!$J$2:$J$5295,Data!$E$2:$E$5295,$A41),"")</f>
        <v/>
      </c>
      <c r="H41" s="21">
        <f>SUMIFS(Data!$J$2:$J$5295,Data!$E$2:$E$5295,$A41)/3600</f>
        <v/>
      </c>
    </row>
    <row r="42">
      <c r="A42" s="19" t="inlineStr">
        <is>
          <t>arsarkar</t>
        </is>
      </c>
      <c r="B42" s="20">
        <f>COUNTIFS(Data!$E$2:$E$5295,$A42)</f>
        <v/>
      </c>
      <c r="C42" s="20">
        <f>SUMIFS(Data!$H$2:$H$5295,Data!$E$2:$E$5295,$A42)</f>
        <v/>
      </c>
      <c r="D42" s="20">
        <f>SUMIFS(Data!$G$2:$G$5295,Data!$E$2:$E$5295,$A42)</f>
        <v/>
      </c>
      <c r="E42" s="21">
        <f>IFERROR(C42/B42,"")</f>
        <v/>
      </c>
      <c r="F42" s="21">
        <f>IFERROR(SUMIFS(Data!$P$2:$P$5295,Data!$E$2:$E$5295,$A42)/C42,"")</f>
        <v/>
      </c>
      <c r="G42" s="20">
        <f>IFERROR(AVERAGEIFS(Data!$J$2:$J$5295,Data!$E$2:$E$5295,$A42),"")</f>
        <v/>
      </c>
      <c r="H42" s="21">
        <f>SUMIFS(Data!$J$2:$J$5295,Data!$E$2:$E$5295,$A42)/3600</f>
        <v/>
      </c>
    </row>
    <row r="43">
      <c r="A43" s="19" t="inlineStr">
        <is>
          <t>nlnu</t>
        </is>
      </c>
      <c r="B43" s="20">
        <f>COUNTIFS(Data!$E$2:$E$5295,$A43)</f>
        <v/>
      </c>
      <c r="C43" s="20">
        <f>SUMIFS(Data!$H$2:$H$5295,Data!$E$2:$E$5295,$A43)</f>
        <v/>
      </c>
      <c r="D43" s="20">
        <f>SUMIFS(Data!$G$2:$G$5295,Data!$E$2:$E$5295,$A43)</f>
        <v/>
      </c>
      <c r="E43" s="21">
        <f>IFERROR(C43/B43,"")</f>
        <v/>
      </c>
      <c r="F43" s="21">
        <f>IFERROR(SUMIFS(Data!$P$2:$P$5295,Data!$E$2:$E$5295,$A43)/C43,"")</f>
        <v/>
      </c>
      <c r="G43" s="20">
        <f>IFERROR(AVERAGEIFS(Data!$J$2:$J$5295,Data!$E$2:$E$5295,$A43),"")</f>
        <v/>
      </c>
      <c r="H43" s="21">
        <f>SUMIFS(Data!$J$2:$J$5295,Data!$E$2:$E$5295,$A43)/3600</f>
        <v/>
      </c>
    </row>
    <row r="44">
      <c r="A44" s="19" t="inlineStr">
        <is>
          <t>abhaskarkp</t>
        </is>
      </c>
      <c r="B44" s="20">
        <f>COUNTIFS(Data!$E$2:$E$5295,$A44)</f>
        <v/>
      </c>
      <c r="C44" s="20">
        <f>SUMIFS(Data!$H$2:$H$5295,Data!$E$2:$E$5295,$A44)</f>
        <v/>
      </c>
      <c r="D44" s="20">
        <f>SUMIFS(Data!$G$2:$G$5295,Data!$E$2:$E$5295,$A44)</f>
        <v/>
      </c>
      <c r="E44" s="21">
        <f>IFERROR(C44/B44,"")</f>
        <v/>
      </c>
      <c r="F44" s="21">
        <f>IFERROR(SUMIFS(Data!$P$2:$P$5295,Data!$E$2:$E$5295,$A44)/C44,"")</f>
        <v/>
      </c>
      <c r="G44" s="20">
        <f>IFERROR(AVERAGEIFS(Data!$J$2:$J$5295,Data!$E$2:$E$5295,$A44),"")</f>
        <v/>
      </c>
      <c r="H44" s="21">
        <f>SUMIFS(Data!$J$2:$J$5295,Data!$E$2:$E$5295,$A44)/3600</f>
        <v/>
      </c>
    </row>
    <row r="45">
      <c r="A45" s="19" t="inlineStr">
        <is>
          <t>ssneha</t>
        </is>
      </c>
      <c r="B45" s="20">
        <f>COUNTIFS(Data!$E$2:$E$5295,$A45)</f>
        <v/>
      </c>
      <c r="C45" s="20">
        <f>SUMIFS(Data!$H$2:$H$5295,Data!$E$2:$E$5295,$A45)</f>
        <v/>
      </c>
      <c r="D45" s="20">
        <f>SUMIFS(Data!$G$2:$G$5295,Data!$E$2:$E$5295,$A45)</f>
        <v/>
      </c>
      <c r="E45" s="21">
        <f>IFERROR(C45/B45,"")</f>
        <v/>
      </c>
      <c r="F45" s="21">
        <f>IFERROR(SUMIFS(Data!$P$2:$P$5295,Data!$E$2:$E$5295,$A45)/C45,"")</f>
        <v/>
      </c>
      <c r="G45" s="20">
        <f>IFERROR(AVERAGEIFS(Data!$J$2:$J$5295,Data!$E$2:$E$5295,$A45),"")</f>
        <v/>
      </c>
      <c r="H45" s="21">
        <f>SUMIFS(Data!$J$2:$J$5295,Data!$E$2:$E$5295,$A45)/3600</f>
        <v/>
      </c>
    </row>
    <row r="46">
      <c r="A46" s="19" t="inlineStr">
        <is>
          <t>taggarwal</t>
        </is>
      </c>
      <c r="B46" s="20">
        <f>COUNTIFS(Data!$E$2:$E$5295,$A46)</f>
        <v/>
      </c>
      <c r="C46" s="20">
        <f>SUMIFS(Data!$H$2:$H$5295,Data!$E$2:$E$5295,$A46)</f>
        <v/>
      </c>
      <c r="D46" s="20">
        <f>SUMIFS(Data!$G$2:$G$5295,Data!$E$2:$E$5295,$A46)</f>
        <v/>
      </c>
      <c r="E46" s="21">
        <f>IFERROR(C46/B46,"")</f>
        <v/>
      </c>
      <c r="F46" s="21">
        <f>IFERROR(SUMIFS(Data!$P$2:$P$5295,Data!$E$2:$E$5295,$A46)/C46,"")</f>
        <v/>
      </c>
      <c r="G46" s="20">
        <f>IFERROR(AVERAGEIFS(Data!$J$2:$J$5295,Data!$E$2:$E$5295,$A46),"")</f>
        <v/>
      </c>
      <c r="H46" s="21">
        <f>SUMIFS(Data!$J$2:$J$5295,Data!$E$2:$E$5295,$A46)/3600</f>
        <v/>
      </c>
    </row>
    <row r="47">
      <c r="A47" s="19" t="inlineStr">
        <is>
          <t>pmishra</t>
        </is>
      </c>
      <c r="B47" s="20">
        <f>COUNTIFS(Data!$E$2:$E$5295,$A47)</f>
        <v/>
      </c>
      <c r="C47" s="20">
        <f>SUMIFS(Data!$H$2:$H$5295,Data!$E$2:$E$5295,$A47)</f>
        <v/>
      </c>
      <c r="D47" s="20">
        <f>SUMIFS(Data!$G$2:$G$5295,Data!$E$2:$E$5295,$A47)</f>
        <v/>
      </c>
      <c r="E47" s="21">
        <f>IFERROR(C47/B47,"")</f>
        <v/>
      </c>
      <c r="F47" s="21">
        <f>IFERROR(SUMIFS(Data!$P$2:$P$5295,Data!$E$2:$E$5295,$A47)/C47,"")</f>
        <v/>
      </c>
      <c r="G47" s="20">
        <f>IFERROR(AVERAGEIFS(Data!$J$2:$J$5295,Data!$E$2:$E$5295,$A47),"")</f>
        <v/>
      </c>
      <c r="H47" s="21">
        <f>SUMIFS(Data!$J$2:$J$5295,Data!$E$2:$E$5295,$A47)/3600</f>
        <v/>
      </c>
    </row>
    <row r="48">
      <c r="A48" s="19" t="inlineStr">
        <is>
          <t>sasharma</t>
        </is>
      </c>
      <c r="B48" s="20">
        <f>COUNTIFS(Data!$E$2:$E$5295,$A48)</f>
        <v/>
      </c>
      <c r="C48" s="20">
        <f>SUMIFS(Data!$H$2:$H$5295,Data!$E$2:$E$5295,$A48)</f>
        <v/>
      </c>
      <c r="D48" s="20">
        <f>SUMIFS(Data!$G$2:$G$5295,Data!$E$2:$E$5295,$A48)</f>
        <v/>
      </c>
      <c r="E48" s="21">
        <f>IFERROR(C48/B48,"")</f>
        <v/>
      </c>
      <c r="F48" s="21">
        <f>IFERROR(SUMIFS(Data!$P$2:$P$5295,Data!$E$2:$E$5295,$A48)/C48,"")</f>
        <v/>
      </c>
      <c r="G48" s="20">
        <f>IFERROR(AVERAGEIFS(Data!$J$2:$J$5295,Data!$E$2:$E$5295,$A48),"")</f>
        <v/>
      </c>
      <c r="H48" s="21">
        <f>SUMIFS(Data!$J$2:$J$5295,Data!$E$2:$E$5295,$A48)/3600</f>
        <v/>
      </c>
    </row>
    <row r="49">
      <c r="A49" s="19" t="inlineStr">
        <is>
          <t>hdutt</t>
        </is>
      </c>
      <c r="B49" s="20">
        <f>COUNTIFS(Data!$E$2:$E$5295,$A49)</f>
        <v/>
      </c>
      <c r="C49" s="20">
        <f>SUMIFS(Data!$H$2:$H$5295,Data!$E$2:$E$5295,$A49)</f>
        <v/>
      </c>
      <c r="D49" s="20">
        <f>SUMIFS(Data!$G$2:$G$5295,Data!$E$2:$E$5295,$A49)</f>
        <v/>
      </c>
      <c r="E49" s="21">
        <f>IFERROR(C49/B49,"")</f>
        <v/>
      </c>
      <c r="F49" s="21">
        <f>IFERROR(SUMIFS(Data!$P$2:$P$5295,Data!$E$2:$E$5295,$A49)/C49,"")</f>
        <v/>
      </c>
      <c r="G49" s="20">
        <f>IFERROR(AVERAGEIFS(Data!$J$2:$J$5295,Data!$E$2:$E$5295,$A49),"")</f>
        <v/>
      </c>
      <c r="H49" s="21">
        <f>SUMIFS(Data!$J$2:$J$5295,Data!$E$2:$E$5295,$A49)/3600</f>
        <v/>
      </c>
    </row>
    <row r="50">
      <c r="A50" s="19" t="inlineStr">
        <is>
          <t>ajain</t>
        </is>
      </c>
      <c r="B50" s="20">
        <f>COUNTIFS(Data!$E$2:$E$5295,$A50)</f>
        <v/>
      </c>
      <c r="C50" s="20">
        <f>SUMIFS(Data!$H$2:$H$5295,Data!$E$2:$E$5295,$A50)</f>
        <v/>
      </c>
      <c r="D50" s="20">
        <f>SUMIFS(Data!$G$2:$G$5295,Data!$E$2:$E$5295,$A50)</f>
        <v/>
      </c>
      <c r="E50" s="21">
        <f>IFERROR(C50/B50,"")</f>
        <v/>
      </c>
      <c r="F50" s="21">
        <f>IFERROR(SUMIFS(Data!$P$2:$P$5295,Data!$E$2:$E$5295,$A50)/C50,"")</f>
        <v/>
      </c>
      <c r="G50" s="20">
        <f>IFERROR(AVERAGEIFS(Data!$J$2:$J$5295,Data!$E$2:$E$5295,$A50),"")</f>
        <v/>
      </c>
      <c r="H50" s="21">
        <f>SUMIFS(Data!$J$2:$J$5295,Data!$E$2:$E$5295,$A50)/3600</f>
        <v/>
      </c>
    </row>
    <row r="51">
      <c r="A51" s="19" t="inlineStr">
        <is>
          <t>ptomar</t>
        </is>
      </c>
      <c r="B51" s="20">
        <f>COUNTIFS(Data!$E$2:$E$5295,$A51)</f>
        <v/>
      </c>
      <c r="C51" s="20">
        <f>SUMIFS(Data!$H$2:$H$5295,Data!$E$2:$E$5295,$A51)</f>
        <v/>
      </c>
      <c r="D51" s="20">
        <f>SUMIFS(Data!$G$2:$G$5295,Data!$E$2:$E$5295,$A51)</f>
        <v/>
      </c>
      <c r="E51" s="21">
        <f>IFERROR(C51/B51,"")</f>
        <v/>
      </c>
      <c r="F51" s="21">
        <f>IFERROR(SUMIFS(Data!$P$2:$P$5295,Data!$E$2:$E$5295,$A51)/C51,"")</f>
        <v/>
      </c>
      <c r="G51" s="20">
        <f>IFERROR(AVERAGEIFS(Data!$J$2:$J$5295,Data!$E$2:$E$5295,$A51),"")</f>
        <v/>
      </c>
      <c r="H51" s="21">
        <f>SUMIFS(Data!$J$2:$J$5295,Data!$E$2:$E$5295,$A51)/3600</f>
        <v/>
      </c>
    </row>
    <row r="52">
      <c r="A52" s="19" t="inlineStr">
        <is>
          <t>vprasad</t>
        </is>
      </c>
      <c r="B52" s="20">
        <f>COUNTIFS(Data!$E$2:$E$5295,$A52)</f>
        <v/>
      </c>
      <c r="C52" s="20">
        <f>SUMIFS(Data!$H$2:$H$5295,Data!$E$2:$E$5295,$A52)</f>
        <v/>
      </c>
      <c r="D52" s="20">
        <f>SUMIFS(Data!$G$2:$G$5295,Data!$E$2:$E$5295,$A52)</f>
        <v/>
      </c>
      <c r="E52" s="21">
        <f>IFERROR(C52/B52,"")</f>
        <v/>
      </c>
      <c r="F52" s="21">
        <f>IFERROR(SUMIFS(Data!$P$2:$P$5295,Data!$E$2:$E$5295,$A52)/C52,"")</f>
        <v/>
      </c>
      <c r="G52" s="20">
        <f>IFERROR(AVERAGEIFS(Data!$J$2:$J$5295,Data!$E$2:$E$5295,$A52),"")</f>
        <v/>
      </c>
      <c r="H52" s="21">
        <f>SUMIFS(Data!$J$2:$J$5295,Data!$E$2:$E$5295,$A52)/3600</f>
        <v/>
      </c>
    </row>
    <row r="53">
      <c r="A53" s="19" t="inlineStr">
        <is>
          <t>vreddy</t>
        </is>
      </c>
      <c r="B53" s="20">
        <f>COUNTIFS(Data!$E$2:$E$5295,$A53)</f>
        <v/>
      </c>
      <c r="C53" s="20">
        <f>SUMIFS(Data!$H$2:$H$5295,Data!$E$2:$E$5295,$A53)</f>
        <v/>
      </c>
      <c r="D53" s="20">
        <f>SUMIFS(Data!$G$2:$G$5295,Data!$E$2:$E$5295,$A53)</f>
        <v/>
      </c>
      <c r="E53" s="21">
        <f>IFERROR(C53/B53,"")</f>
        <v/>
      </c>
      <c r="F53" s="21">
        <f>IFERROR(SUMIFS(Data!$P$2:$P$5295,Data!$E$2:$E$5295,$A53)/C53,"")</f>
        <v/>
      </c>
      <c r="G53" s="20">
        <f>IFERROR(AVERAGEIFS(Data!$J$2:$J$5295,Data!$E$2:$E$5295,$A53),"")</f>
        <v/>
      </c>
      <c r="H53" s="21">
        <f>SUMIFS(Data!$J$2:$J$5295,Data!$E$2:$E$5295,$A53)/3600</f>
        <v/>
      </c>
    </row>
    <row r="54">
      <c r="A54" s="19" t="inlineStr">
        <is>
          <t>asaxena</t>
        </is>
      </c>
      <c r="B54" s="20">
        <f>COUNTIFS(Data!$E$2:$E$5295,$A54)</f>
        <v/>
      </c>
      <c r="C54" s="20">
        <f>SUMIFS(Data!$H$2:$H$5295,Data!$E$2:$E$5295,$A54)</f>
        <v/>
      </c>
      <c r="D54" s="20">
        <f>SUMIFS(Data!$G$2:$G$5295,Data!$E$2:$E$5295,$A54)</f>
        <v/>
      </c>
      <c r="E54" s="21">
        <f>IFERROR(C54/B54,"")</f>
        <v/>
      </c>
      <c r="F54" s="21">
        <f>IFERROR(SUMIFS(Data!$P$2:$P$5295,Data!$E$2:$E$5295,$A54)/C54,"")</f>
        <v/>
      </c>
      <c r="G54" s="20">
        <f>IFERROR(AVERAGEIFS(Data!$J$2:$J$5295,Data!$E$2:$E$5295,$A54),"")</f>
        <v/>
      </c>
      <c r="H54" s="21">
        <f>SUMIFS(Data!$J$2:$J$5295,Data!$E$2:$E$5295,$A54)/3600</f>
        <v/>
      </c>
    </row>
    <row r="55">
      <c r="A55" s="19" t="inlineStr">
        <is>
          <t>nbindu</t>
        </is>
      </c>
      <c r="B55" s="20">
        <f>COUNTIFS(Data!$E$2:$E$5295,$A55)</f>
        <v/>
      </c>
      <c r="C55" s="20">
        <f>SUMIFS(Data!$H$2:$H$5295,Data!$E$2:$E$5295,$A55)</f>
        <v/>
      </c>
      <c r="D55" s="20">
        <f>SUMIFS(Data!$G$2:$G$5295,Data!$E$2:$E$5295,$A55)</f>
        <v/>
      </c>
      <c r="E55" s="21">
        <f>IFERROR(C55/B55,"")</f>
        <v/>
      </c>
      <c r="F55" s="21">
        <f>IFERROR(SUMIFS(Data!$P$2:$P$5295,Data!$E$2:$E$5295,$A55)/C55,"")</f>
        <v/>
      </c>
      <c r="G55" s="20">
        <f>IFERROR(AVERAGEIFS(Data!$J$2:$J$5295,Data!$E$2:$E$5295,$A55),"")</f>
        <v/>
      </c>
      <c r="H55" s="21">
        <f>SUMIFS(Data!$J$2:$J$5295,Data!$E$2:$E$5295,$A55)/3600</f>
        <v/>
      </c>
    </row>
    <row r="56">
      <c r="A56" s="19" t="inlineStr">
        <is>
          <t>schoppakatla</t>
        </is>
      </c>
      <c r="B56" s="20">
        <f>COUNTIFS(Data!$E$2:$E$5295,$A56)</f>
        <v/>
      </c>
      <c r="C56" s="20">
        <f>SUMIFS(Data!$H$2:$H$5295,Data!$E$2:$E$5295,$A56)</f>
        <v/>
      </c>
      <c r="D56" s="20">
        <f>SUMIFS(Data!$G$2:$G$5295,Data!$E$2:$E$5295,$A56)</f>
        <v/>
      </c>
      <c r="E56" s="21">
        <f>IFERROR(C56/B56,"")</f>
        <v/>
      </c>
      <c r="F56" s="21">
        <f>IFERROR(SUMIFS(Data!$P$2:$P$5295,Data!$E$2:$E$5295,$A56)/C56,"")</f>
        <v/>
      </c>
      <c r="G56" s="20">
        <f>IFERROR(AVERAGEIFS(Data!$J$2:$J$5295,Data!$E$2:$E$5295,$A56),"")</f>
        <v/>
      </c>
      <c r="H56" s="21">
        <f>SUMIFS(Data!$J$2:$J$5295,Data!$E$2:$E$5295,$A56)/3600</f>
        <v/>
      </c>
    </row>
    <row r="57">
      <c r="A57" s="19" t="inlineStr">
        <is>
          <t>pmehndiratta</t>
        </is>
      </c>
      <c r="B57" s="20">
        <f>COUNTIFS(Data!$E$2:$E$5295,$A57)</f>
        <v/>
      </c>
      <c r="C57" s="20">
        <f>SUMIFS(Data!$H$2:$H$5295,Data!$E$2:$E$5295,$A57)</f>
        <v/>
      </c>
      <c r="D57" s="20">
        <f>SUMIFS(Data!$G$2:$G$5295,Data!$E$2:$E$5295,$A57)</f>
        <v/>
      </c>
      <c r="E57" s="21">
        <f>IFERROR(C57/B57,"")</f>
        <v/>
      </c>
      <c r="F57" s="21">
        <f>IFERROR(SUMIFS(Data!$P$2:$P$5295,Data!$E$2:$E$5295,$A57)/C57,"")</f>
        <v/>
      </c>
      <c r="G57" s="20">
        <f>IFERROR(AVERAGEIFS(Data!$J$2:$J$5295,Data!$E$2:$E$5295,$A57),"")</f>
        <v/>
      </c>
      <c r="H57" s="21">
        <f>SUMIFS(Data!$J$2:$J$5295,Data!$E$2:$E$5295,$A57)/3600</f>
        <v/>
      </c>
    </row>
    <row r="58">
      <c r="A58" s="19" t="inlineStr">
        <is>
          <t>kananya</t>
        </is>
      </c>
      <c r="B58" s="20">
        <f>COUNTIFS(Data!$E$2:$E$5295,$A58)</f>
        <v/>
      </c>
      <c r="C58" s="20">
        <f>SUMIFS(Data!$H$2:$H$5295,Data!$E$2:$E$5295,$A58)</f>
        <v/>
      </c>
      <c r="D58" s="20">
        <f>SUMIFS(Data!$G$2:$G$5295,Data!$E$2:$E$5295,$A58)</f>
        <v/>
      </c>
      <c r="E58" s="21">
        <f>IFERROR(C58/B58,"")</f>
        <v/>
      </c>
      <c r="F58" s="21">
        <f>IFERROR(SUMIFS(Data!$P$2:$P$5295,Data!$E$2:$E$5295,$A58)/C58,"")</f>
        <v/>
      </c>
      <c r="G58" s="20">
        <f>IFERROR(AVERAGEIFS(Data!$J$2:$J$5295,Data!$E$2:$E$5295,$A58),"")</f>
        <v/>
      </c>
      <c r="H58" s="21">
        <f>SUMIFS(Data!$J$2:$J$5295,Data!$E$2:$E$5295,$A58)/3600</f>
        <v/>
      </c>
    </row>
    <row r="59">
      <c r="A59" s="19" t="inlineStr">
        <is>
          <t>abanerjee</t>
        </is>
      </c>
      <c r="B59" s="20">
        <f>COUNTIFS(Data!$E$2:$E$5295,$A59)</f>
        <v/>
      </c>
      <c r="C59" s="20">
        <f>SUMIFS(Data!$H$2:$H$5295,Data!$E$2:$E$5295,$A59)</f>
        <v/>
      </c>
      <c r="D59" s="20">
        <f>SUMIFS(Data!$G$2:$G$5295,Data!$E$2:$E$5295,$A59)</f>
        <v/>
      </c>
      <c r="E59" s="21">
        <f>IFERROR(C59/B59,"")</f>
        <v/>
      </c>
      <c r="F59" s="21">
        <f>IFERROR(SUMIFS(Data!$P$2:$P$5295,Data!$E$2:$E$5295,$A59)/C59,"")</f>
        <v/>
      </c>
      <c r="G59" s="20">
        <f>IFERROR(AVERAGEIFS(Data!$J$2:$J$5295,Data!$E$2:$E$5295,$A59),"")</f>
        <v/>
      </c>
      <c r="H59" s="21">
        <f>SUMIFS(Data!$J$2:$J$5295,Data!$E$2:$E$5295,$A59)/3600</f>
        <v/>
      </c>
    </row>
    <row r="60">
      <c r="A60" s="19" t="inlineStr">
        <is>
          <t>kkumar</t>
        </is>
      </c>
      <c r="B60" s="20">
        <f>COUNTIFS(Data!$E$2:$E$5295,$A60)</f>
        <v/>
      </c>
      <c r="C60" s="20">
        <f>SUMIFS(Data!$H$2:$H$5295,Data!$E$2:$E$5295,$A60)</f>
        <v/>
      </c>
      <c r="D60" s="20">
        <f>SUMIFS(Data!$G$2:$G$5295,Data!$E$2:$E$5295,$A60)</f>
        <v/>
      </c>
      <c r="E60" s="21">
        <f>IFERROR(C60/B60,"")</f>
        <v/>
      </c>
      <c r="F60" s="21">
        <f>IFERROR(SUMIFS(Data!$P$2:$P$5295,Data!$E$2:$E$5295,$A60)/C60,"")</f>
        <v/>
      </c>
      <c r="G60" s="20">
        <f>IFERROR(AVERAGEIFS(Data!$J$2:$J$5295,Data!$E$2:$E$5295,$A60),"")</f>
        <v/>
      </c>
      <c r="H60" s="21">
        <f>SUMIFS(Data!$J$2:$J$5295,Data!$E$2:$E$5295,$A60)/3600</f>
        <v/>
      </c>
    </row>
    <row r="61">
      <c r="A61" s="19" t="inlineStr">
        <is>
          <t>larora</t>
        </is>
      </c>
      <c r="B61" s="20">
        <f>COUNTIFS(Data!$E$2:$E$5295,$A61)</f>
        <v/>
      </c>
      <c r="C61" s="20">
        <f>SUMIFS(Data!$H$2:$H$5295,Data!$E$2:$E$5295,$A61)</f>
        <v/>
      </c>
      <c r="D61" s="20">
        <f>SUMIFS(Data!$G$2:$G$5295,Data!$E$2:$E$5295,$A61)</f>
        <v/>
      </c>
      <c r="E61" s="21">
        <f>IFERROR(C61/B61,"")</f>
        <v/>
      </c>
      <c r="F61" s="21">
        <f>IFERROR(SUMIFS(Data!$P$2:$P$5295,Data!$E$2:$E$5295,$A61)/C61,"")</f>
        <v/>
      </c>
      <c r="G61" s="20">
        <f>IFERROR(AVERAGEIFS(Data!$J$2:$J$5295,Data!$E$2:$E$5295,$A61),"")</f>
        <v/>
      </c>
      <c r="H61" s="21">
        <f>SUMIFS(Data!$J$2:$J$5295,Data!$E$2:$E$5295,$A61)/3600</f>
        <v/>
      </c>
    </row>
    <row r="62">
      <c r="A62" s="19" t="inlineStr">
        <is>
          <t>sphatak</t>
        </is>
      </c>
      <c r="B62" s="20">
        <f>COUNTIFS(Data!$E$2:$E$5295,$A62)</f>
        <v/>
      </c>
      <c r="C62" s="20">
        <f>SUMIFS(Data!$H$2:$H$5295,Data!$E$2:$E$5295,$A62)</f>
        <v/>
      </c>
      <c r="D62" s="20">
        <f>SUMIFS(Data!$G$2:$G$5295,Data!$E$2:$E$5295,$A62)</f>
        <v/>
      </c>
      <c r="E62" s="21">
        <f>IFERROR(C62/B62,"")</f>
        <v/>
      </c>
      <c r="F62" s="21">
        <f>IFERROR(SUMIFS(Data!$P$2:$P$5295,Data!$E$2:$E$5295,$A62)/C62,"")</f>
        <v/>
      </c>
      <c r="G62" s="20">
        <f>IFERROR(AVERAGEIFS(Data!$J$2:$J$5295,Data!$E$2:$E$5295,$A62),"")</f>
        <v/>
      </c>
      <c r="H62" s="21">
        <f>SUMIFS(Data!$J$2:$J$5295,Data!$E$2:$E$5295,$A62)/3600</f>
        <v/>
      </c>
    </row>
    <row r="63">
      <c r="A63" s="19" t="inlineStr">
        <is>
          <t>panullekha</t>
        </is>
      </c>
      <c r="B63" s="20">
        <f>COUNTIFS(Data!$E$2:$E$5295,$A63)</f>
        <v/>
      </c>
      <c r="C63" s="20">
        <f>SUMIFS(Data!$H$2:$H$5295,Data!$E$2:$E$5295,$A63)</f>
        <v/>
      </c>
      <c r="D63" s="20">
        <f>SUMIFS(Data!$G$2:$G$5295,Data!$E$2:$E$5295,$A63)</f>
        <v/>
      </c>
      <c r="E63" s="21">
        <f>IFERROR(C63/B63,"")</f>
        <v/>
      </c>
      <c r="F63" s="21">
        <f>IFERROR(SUMIFS(Data!$P$2:$P$5295,Data!$E$2:$E$5295,$A63)/C63,"")</f>
        <v/>
      </c>
      <c r="G63" s="20">
        <f>IFERROR(AVERAGEIFS(Data!$J$2:$J$5295,Data!$E$2:$E$5295,$A63),"")</f>
        <v/>
      </c>
      <c r="H63" s="21">
        <f>SUMIFS(Data!$J$2:$J$5295,Data!$E$2:$E$5295,$A63)/3600</f>
        <v/>
      </c>
    </row>
    <row r="64">
      <c r="A64" s="19" t="inlineStr">
        <is>
          <t>agandhi</t>
        </is>
      </c>
      <c r="B64" s="20">
        <f>COUNTIFS(Data!$E$2:$E$5295,$A64)</f>
        <v/>
      </c>
      <c r="C64" s="20">
        <f>SUMIFS(Data!$H$2:$H$5295,Data!$E$2:$E$5295,$A64)</f>
        <v/>
      </c>
      <c r="D64" s="20">
        <f>SUMIFS(Data!$G$2:$G$5295,Data!$E$2:$E$5295,$A64)</f>
        <v/>
      </c>
      <c r="E64" s="21">
        <f>IFERROR(C64/B64,"")</f>
        <v/>
      </c>
      <c r="F64" s="21">
        <f>IFERROR(SUMIFS(Data!$P$2:$P$5295,Data!$E$2:$E$5295,$A64)/C64,"")</f>
        <v/>
      </c>
      <c r="G64" s="20">
        <f>IFERROR(AVERAGEIFS(Data!$J$2:$J$5295,Data!$E$2:$E$5295,$A64),"")</f>
        <v/>
      </c>
      <c r="H64" s="21">
        <f>SUMIFS(Data!$J$2:$J$5295,Data!$E$2:$E$5295,$A64)/3600</f>
        <v/>
      </c>
    </row>
    <row r="65">
      <c r="A65" s="19" t="inlineStr">
        <is>
          <t>mkulkarni</t>
        </is>
      </c>
      <c r="B65" s="20">
        <f>COUNTIFS(Data!$E$2:$E$5295,$A65)</f>
        <v/>
      </c>
      <c r="C65" s="20">
        <f>SUMIFS(Data!$H$2:$H$5295,Data!$E$2:$E$5295,$A65)</f>
        <v/>
      </c>
      <c r="D65" s="20">
        <f>SUMIFS(Data!$G$2:$G$5295,Data!$E$2:$E$5295,$A65)</f>
        <v/>
      </c>
      <c r="E65" s="21">
        <f>IFERROR(C65/B65,"")</f>
        <v/>
      </c>
      <c r="F65" s="21">
        <f>IFERROR(SUMIFS(Data!$P$2:$P$5295,Data!$E$2:$E$5295,$A65)/C65,"")</f>
        <v/>
      </c>
      <c r="G65" s="20">
        <f>IFERROR(AVERAGEIFS(Data!$J$2:$J$5295,Data!$E$2:$E$5295,$A65),"")</f>
        <v/>
      </c>
      <c r="H65" s="21">
        <f>SUMIFS(Data!$J$2:$J$5295,Data!$E$2:$E$5295,$A65)/3600</f>
        <v/>
      </c>
    </row>
    <row r="66">
      <c r="A66" s="19" t="inlineStr">
        <is>
          <t>pmodak</t>
        </is>
      </c>
      <c r="B66" s="20">
        <f>COUNTIFS(Data!$E$2:$E$5295,$A66)</f>
        <v/>
      </c>
      <c r="C66" s="20">
        <f>SUMIFS(Data!$H$2:$H$5295,Data!$E$2:$E$5295,$A66)</f>
        <v/>
      </c>
      <c r="D66" s="20">
        <f>SUMIFS(Data!$G$2:$G$5295,Data!$E$2:$E$5295,$A66)</f>
        <v/>
      </c>
      <c r="E66" s="21">
        <f>IFERROR(C66/B66,"")</f>
        <v/>
      </c>
      <c r="F66" s="21">
        <f>IFERROR(SUMIFS(Data!$P$2:$P$5295,Data!$E$2:$E$5295,$A66)/C66,"")</f>
        <v/>
      </c>
      <c r="G66" s="20">
        <f>IFERROR(AVERAGEIFS(Data!$J$2:$J$5295,Data!$E$2:$E$5295,$A66),"")</f>
        <v/>
      </c>
      <c r="H66" s="21">
        <f>SUMIFS(Data!$J$2:$J$5295,Data!$E$2:$E$5295,$A66)/3600</f>
        <v/>
      </c>
    </row>
    <row r="67">
      <c r="A67" s="19" t="inlineStr">
        <is>
          <t>sakumar</t>
        </is>
      </c>
      <c r="B67" s="20">
        <f>COUNTIFS(Data!$E$2:$E$5295,$A67)</f>
        <v/>
      </c>
      <c r="C67" s="20">
        <f>SUMIFS(Data!$H$2:$H$5295,Data!$E$2:$E$5295,$A67)</f>
        <v/>
      </c>
      <c r="D67" s="20">
        <f>SUMIFS(Data!$G$2:$G$5295,Data!$E$2:$E$5295,$A67)</f>
        <v/>
      </c>
      <c r="E67" s="21">
        <f>IFERROR(C67/B67,"")</f>
        <v/>
      </c>
      <c r="F67" s="21">
        <f>IFERROR(SUMIFS(Data!$P$2:$P$5295,Data!$E$2:$E$5295,$A67)/C67,"")</f>
        <v/>
      </c>
      <c r="G67" s="20">
        <f>IFERROR(AVERAGEIFS(Data!$J$2:$J$5295,Data!$E$2:$E$5295,$A67),"")</f>
        <v/>
      </c>
      <c r="H67" s="21">
        <f>SUMIFS(Data!$J$2:$J$5295,Data!$E$2:$E$5295,$A67)/3600</f>
        <v/>
      </c>
    </row>
    <row r="68">
      <c r="A68" s="19" t="inlineStr">
        <is>
          <t>msrivastava</t>
        </is>
      </c>
      <c r="B68" s="20">
        <f>COUNTIFS(Data!$E$2:$E$5295,$A68)</f>
        <v/>
      </c>
      <c r="C68" s="20">
        <f>SUMIFS(Data!$H$2:$H$5295,Data!$E$2:$E$5295,$A68)</f>
        <v/>
      </c>
      <c r="D68" s="20">
        <f>SUMIFS(Data!$G$2:$G$5295,Data!$E$2:$E$5295,$A68)</f>
        <v/>
      </c>
      <c r="E68" s="21">
        <f>IFERROR(C68/B68,"")</f>
        <v/>
      </c>
      <c r="F68" s="21">
        <f>IFERROR(SUMIFS(Data!$P$2:$P$5295,Data!$E$2:$E$5295,$A68)/C68,"")</f>
        <v/>
      </c>
      <c r="G68" s="20">
        <f>IFERROR(AVERAGEIFS(Data!$J$2:$J$5295,Data!$E$2:$E$5295,$A68),"")</f>
        <v/>
      </c>
      <c r="H68" s="21">
        <f>SUMIFS(Data!$J$2:$J$5295,Data!$E$2:$E$5295,$A68)/3600</f>
        <v/>
      </c>
    </row>
    <row r="69">
      <c r="A69" s="19" t="inlineStr">
        <is>
          <t>svora</t>
        </is>
      </c>
      <c r="B69" s="20">
        <f>COUNTIFS(Data!$E$2:$E$5295,$A69)</f>
        <v/>
      </c>
      <c r="C69" s="20">
        <f>SUMIFS(Data!$H$2:$H$5295,Data!$E$2:$E$5295,$A69)</f>
        <v/>
      </c>
      <c r="D69" s="20">
        <f>SUMIFS(Data!$G$2:$G$5295,Data!$E$2:$E$5295,$A69)</f>
        <v/>
      </c>
      <c r="E69" s="21">
        <f>IFERROR(C69/B69,"")</f>
        <v/>
      </c>
      <c r="F69" s="21">
        <f>IFERROR(SUMIFS(Data!$P$2:$P$5295,Data!$E$2:$E$5295,$A69)/C69,"")</f>
        <v/>
      </c>
      <c r="G69" s="20">
        <f>IFERROR(AVERAGEIFS(Data!$J$2:$J$5295,Data!$E$2:$E$5295,$A69),"")</f>
        <v/>
      </c>
      <c r="H69" s="21">
        <f>SUMIFS(Data!$J$2:$J$5295,Data!$E$2:$E$5295,$A69)/3600</f>
        <v/>
      </c>
    </row>
    <row r="70">
      <c r="A70" s="19" t="inlineStr">
        <is>
          <t>adutt</t>
        </is>
      </c>
      <c r="B70" s="20">
        <f>COUNTIFS(Data!$E$2:$E$5295,$A70)</f>
        <v/>
      </c>
      <c r="C70" s="20">
        <f>SUMIFS(Data!$H$2:$H$5295,Data!$E$2:$E$5295,$A70)</f>
        <v/>
      </c>
      <c r="D70" s="20">
        <f>SUMIFS(Data!$G$2:$G$5295,Data!$E$2:$E$5295,$A70)</f>
        <v/>
      </c>
      <c r="E70" s="21">
        <f>IFERROR(C70/B70,"")</f>
        <v/>
      </c>
      <c r="F70" s="21">
        <f>IFERROR(SUMIFS(Data!$P$2:$P$5295,Data!$E$2:$E$5295,$A70)/C70,"")</f>
        <v/>
      </c>
      <c r="G70" s="20">
        <f>IFERROR(AVERAGEIFS(Data!$J$2:$J$5295,Data!$E$2:$E$5295,$A70),"")</f>
        <v/>
      </c>
      <c r="H70" s="21">
        <f>SUMIFS(Data!$J$2:$J$5295,Data!$E$2:$E$5295,$A70)/3600</f>
        <v/>
      </c>
    </row>
    <row r="71">
      <c r="A71" s="19" t="inlineStr">
        <is>
          <t>kchaudhary</t>
        </is>
      </c>
      <c r="B71" s="20">
        <f>COUNTIFS(Data!$E$2:$E$5295,$A71)</f>
        <v/>
      </c>
      <c r="C71" s="20">
        <f>SUMIFS(Data!$H$2:$H$5295,Data!$E$2:$E$5295,$A71)</f>
        <v/>
      </c>
      <c r="D71" s="20">
        <f>SUMIFS(Data!$G$2:$G$5295,Data!$E$2:$E$5295,$A71)</f>
        <v/>
      </c>
      <c r="E71" s="21">
        <f>IFERROR(C71/B71,"")</f>
        <v/>
      </c>
      <c r="F71" s="21">
        <f>IFERROR(SUMIFS(Data!$P$2:$P$5295,Data!$E$2:$E$5295,$A71)/C71,"")</f>
        <v/>
      </c>
      <c r="G71" s="20">
        <f>IFERROR(AVERAGEIFS(Data!$J$2:$J$5295,Data!$E$2:$E$5295,$A71),"")</f>
        <v/>
      </c>
      <c r="H71" s="21">
        <f>SUMIFS(Data!$J$2:$J$5295,Data!$E$2:$E$5295,$A71)/3600</f>
        <v/>
      </c>
    </row>
    <row r="72">
      <c r="A72" s="19" t="inlineStr">
        <is>
          <t>amitra</t>
        </is>
      </c>
      <c r="B72" s="20">
        <f>COUNTIFS(Data!$E$2:$E$5295,$A72)</f>
        <v/>
      </c>
      <c r="C72" s="20">
        <f>SUMIFS(Data!$H$2:$H$5295,Data!$E$2:$E$5295,$A72)</f>
        <v/>
      </c>
      <c r="D72" s="20">
        <f>SUMIFS(Data!$G$2:$G$5295,Data!$E$2:$E$5295,$A72)</f>
        <v/>
      </c>
      <c r="E72" s="21">
        <f>IFERROR(C72/B72,"")</f>
        <v/>
      </c>
      <c r="F72" s="21">
        <f>IFERROR(SUMIFS(Data!$P$2:$P$5295,Data!$E$2:$E$5295,$A72)/C72,"")</f>
        <v/>
      </c>
      <c r="G72" s="20">
        <f>IFERROR(AVERAGEIFS(Data!$J$2:$J$5295,Data!$E$2:$E$5295,$A72),"")</f>
        <v/>
      </c>
      <c r="H72" s="21">
        <f>SUMIFS(Data!$J$2:$J$5295,Data!$E$2:$E$5295,$A72)/3600</f>
        <v/>
      </c>
    </row>
    <row r="73">
      <c r="A73" s="19" t="inlineStr">
        <is>
          <t>ykaushik</t>
        </is>
      </c>
      <c r="B73" s="20">
        <f>COUNTIFS(Data!$E$2:$E$5295,$A73)</f>
        <v/>
      </c>
      <c r="C73" s="20">
        <f>SUMIFS(Data!$H$2:$H$5295,Data!$E$2:$E$5295,$A73)</f>
        <v/>
      </c>
      <c r="D73" s="20">
        <f>SUMIFS(Data!$G$2:$G$5295,Data!$E$2:$E$5295,$A73)</f>
        <v/>
      </c>
      <c r="E73" s="21">
        <f>IFERROR(C73/B73,"")</f>
        <v/>
      </c>
      <c r="F73" s="21">
        <f>IFERROR(SUMIFS(Data!$P$2:$P$5295,Data!$E$2:$E$5295,$A73)/C73,"")</f>
        <v/>
      </c>
      <c r="G73" s="20">
        <f>IFERROR(AVERAGEIFS(Data!$J$2:$J$5295,Data!$E$2:$E$5295,$A73),"")</f>
        <v/>
      </c>
      <c r="H73" s="21">
        <f>SUMIFS(Data!$J$2:$J$5295,Data!$E$2:$E$5295,$A73)/3600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21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15" t="inlineStr">
        <is>
          <t>Method, definitions and caveats</t>
        </is>
      </c>
    </row>
    <row r="4" ht="42" customHeight="1">
      <c r="B4" s="36" t="inlineStr">
        <is>
          <t>Source</t>
        </is>
      </c>
      <c r="C4" s="37" t="inlineStr">
        <is>
          <t>Sheet1 of the shared master tracker - the audit log the OSDD tool writes on each run. Extracted 17 Aug 2026.</t>
        </is>
      </c>
    </row>
    <row r="5" ht="42" customHeight="1">
      <c r="B5" s="36" t="inlineStr">
        <is>
          <t>Rows in source</t>
        </is>
      </c>
      <c r="C5" s="37" t="inlineStr">
        <is>
          <t>5,390</t>
        </is>
      </c>
    </row>
    <row r="6" ht="42" customHeight="1">
      <c r="B6" s="36" t="inlineStr">
        <is>
          <t>Rows used</t>
        </is>
      </c>
      <c r="C6" s="37" t="inlineStr">
        <is>
          <t>5,294 - rows with a parseable "Time Taken" value.</t>
        </is>
      </c>
    </row>
    <row r="7" ht="42" customHeight="1">
      <c r="B7" s="36" t="inlineStr">
        <is>
          <t>Rows excluded</t>
        </is>
      </c>
      <c r="C7" s="37" t="inlineStr">
        <is>
          <t>96 rows carried a timestamp but no analyst, case, counts or duration. These are partial tracker writes rather than zero-length runs, so including them would bias every average. Usage figures in this workbook are therefore a slight undercount.</t>
        </is>
      </c>
    </row>
    <row r="8" ht="42" customHeight="1">
      <c r="B8" s="36" t="inlineStr">
        <is>
          <t>Time parsing</t>
        </is>
      </c>
      <c r="C8" s="37" t="inlineStr">
        <is>
          <t>Column J of the Data tab parses the free-text duration: the number before the word "minute" x 60, plus the number following "and". Only two formats occur in the source - "N second(s)" and "N minute(s) and N second(s)". No durations are hardcoded; the sheet recalculates if the source text changes.</t>
        </is>
      </c>
    </row>
    <row r="9" ht="42" customHeight="1">
      <c r="B9" s="36" t="inlineStr">
        <is>
          <t>Time metrics order</t>
        </is>
      </c>
      <c r="C9" s="37" t="inlineStr">
        <is>
          <t>Where time per run is shown at more than one point of the distribution, the columns and chart series run smallest to largest: median, then average, then P90.</t>
        </is>
      </c>
    </row>
    <row r="10" ht="42" customHeight="1">
      <c r="B10" s="36" t="inlineStr">
        <is>
          <t>Two-component model</t>
        </is>
      </c>
      <c r="C10" s="37" t="inlineStr">
        <is>
          <t>Run duration is modelled as fixed overhead + (marginal seconds per search x number of searches), fitted by least squares on each month's runs (INTERCEPT, SLOPE, RSQ). Fixed overhead is the part of a run independent of search count; the marginal figure is the cost of each additional search. Runs logging zero searches are included in the fit as low-volume points.</t>
        </is>
      </c>
    </row>
    <row r="11" ht="42" customHeight="1">
      <c r="B11" s="36" t="inlineStr">
        <is>
          <t>Sample sizes on charts</t>
        </is>
      </c>
      <c r="C11" s="37" t="inlineStr">
        <is>
          <t>Monthly chart categories carry the number of runs behind each point (Monthly Pivot column U), so months with thin coverage - Apr-2026 at 22 runs, Aug-2026 partial - are not read as trend.</t>
        </is>
      </c>
    </row>
    <row r="12" ht="42" customHeight="1">
      <c r="B12" s="36" t="inlineStr">
        <is>
          <t>Completion curve</t>
        </is>
      </c>
      <c r="C12" s="37" t="inlineStr">
        <is>
          <t>Cumulative share of runs finishing within each duration, baseline period against current period. Answers how long an analyst waits rather than what the mean is.</t>
        </is>
      </c>
    </row>
    <row r="13" ht="42" customHeight="1">
      <c r="B13" s="36" t="inlineStr">
        <is>
          <t>Concurrency band</t>
        </is>
      </c>
      <c r="C13" s="37" t="inlineStr">
        <is>
          <t>Each run is tagged with how many runs were logged across the estate in the same clock hour (Data columns Q to S), then grouped into bands. Derived from audit-log timestamps, so it reflects logged activity rather than confirmed simultaneous sessions.</t>
        </is>
      </c>
    </row>
    <row r="14" ht="42" customHeight="1">
      <c r="B14" s="36" t="inlineStr">
        <is>
          <t>Sec per search (weighted)</t>
        </is>
      </c>
      <c r="C14" s="37" t="inlineStr">
        <is>
          <t>Total run seconds divided by total searches for the group. Preferred over averaging each run's own ratio, which over-weights single-search runs.</t>
        </is>
      </c>
    </row>
    <row r="15" ht="42" customHeight="1">
      <c r="B15" s="36" t="inlineStr">
        <is>
          <t>Active analysts</t>
        </is>
      </c>
      <c r="C15" s="37" t="inlineStr">
        <is>
          <t>Distinct analyst IDs with at least one logged run in the month.</t>
        </is>
      </c>
    </row>
    <row r="16" ht="42" customHeight="1">
      <c r="B16" s="36" t="inlineStr">
        <is>
          <t>Comparison basis</t>
        </is>
      </c>
      <c r="C16" s="37" t="inlineStr">
        <is>
          <t>Apr-Jun 2026 is the baseline period; Jul-Aug 2026 is the current period. Period boundaries are held in Dashboard cells E7:E9.</t>
        </is>
      </c>
    </row>
    <row r="17" ht="42" customHeight="1">
      <c r="B17" s="36" t="inlineStr">
        <is>
          <t>Analyst hours avoided</t>
        </is>
      </c>
      <c r="C17" s="37" t="inlineStr">
        <is>
          <t>Current-period searches x (baseline sec per search - current sec per search) / 3600. This measures avoided tool wait time; it is not a headcount reduction.</t>
        </is>
      </c>
    </row>
    <row r="18" ht="42" customHeight="1">
      <c r="B18" s="36" t="inlineStr">
        <is>
          <t>August 2026</t>
        </is>
      </c>
      <c r="C18" s="37" t="inlineStr">
        <is>
          <t>Partial month - data ends 07 Aug 2026. Rates for the month are comparable; volumes are not.</t>
        </is>
      </c>
    </row>
    <row r="19" ht="42" customHeight="1">
      <c r="B19" s="36" t="inlineStr">
        <is>
          <t>Tool versions</t>
        </is>
      </c>
      <c r="C19" s="37" t="inlineStr">
        <is>
          <t>Versions 2.5.9, 2.5.10, 2.5.11 and 2.6.0 each have fewer than 20 logged runs (pilot and rollback traffic) and are excluded from the version chart.</t>
        </is>
      </c>
    </row>
    <row r="20" ht="42" customHeight="1">
      <c r="B20" s="36" t="inlineStr">
        <is>
          <t>Zero-search runs</t>
        </is>
      </c>
      <c r="C20" s="37" t="inlineStr">
        <is>
          <t>A small number of runs logged zero searches. Their duration is excluded from the weighted sec-per-search numerator (Data column P) so that a run with time but no searches cannot inflate the rate. They remain in run counts and total tool hours.</t>
        </is>
      </c>
    </row>
    <row r="21" ht="42" customHeight="1">
      <c r="B21" s="36" t="inlineStr">
        <is>
          <t>Native PivotTable</t>
        </is>
      </c>
      <c r="C21" s="37" t="inlineStr">
        <is>
          <t>The Data tab is an Excel Table named tblRuns. Insert &gt; PivotTable &gt; Table/Range: tblRuns creates a live pivot; use Month Key as rows and Seconds, Total Searches and Seconds per Search as values. The Monthly Pivot tab mirrors that output using formulas, so it needs no refresh.</t>
        </is>
      </c>
    </row>
  </sheetData>
  <mergeCells count="18">
    <mergeCell ref="C4:J4"/>
    <mergeCell ref="C17:J17"/>
    <mergeCell ref="C12:J12"/>
    <mergeCell ref="C7:J7"/>
    <mergeCell ref="C21:J21"/>
    <mergeCell ref="C20:J20"/>
    <mergeCell ref="C15:J15"/>
    <mergeCell ref="C11:J11"/>
    <mergeCell ref="C6:J6"/>
    <mergeCell ref="C10:J10"/>
    <mergeCell ref="C16:J16"/>
    <mergeCell ref="C14:J14"/>
    <mergeCell ref="C5:J5"/>
    <mergeCell ref="C13:J13"/>
    <mergeCell ref="C19:J19"/>
    <mergeCell ref="C18:J18"/>
    <mergeCell ref="C8:J8"/>
    <mergeCell ref="C9:J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2" customWidth="1" min="4" max="4"/>
    <col width="13" customWidth="1" min="5" max="5"/>
    <col width="13" customWidth="1" min="6" max="6"/>
    <col width="10" customWidth="1" min="7" max="7"/>
    <col width="10" customWidth="1" min="8" max="8"/>
    <col width="26" customWidth="1" min="9" max="9"/>
    <col width="10" customWidth="1" min="10" max="10"/>
    <col width="9" customWidth="1" min="11" max="11"/>
    <col width="11" customWidth="1" min="12" max="12"/>
    <col width="11" customWidth="1" min="13" max="13"/>
    <col width="9" customWidth="1" min="14" max="14"/>
    <col width="10" customWidth="1" min="15" max="15"/>
    <col width="13" customWidth="1" min="16" max="16"/>
    <col width="17" customWidth="1" min="17" max="17"/>
    <col width="14" customWidth="1" min="18" max="18"/>
    <col width="13" customWidth="1" min="19" max="19"/>
  </cols>
  <sheetData>
    <row r="1">
      <c r="A1" s="38" t="inlineStr">
        <is>
          <t>Date &amp; Time</t>
        </is>
      </c>
      <c r="B1" s="38" t="inlineStr">
        <is>
          <t>Month Key</t>
        </is>
      </c>
      <c r="C1" s="38" t="inlineStr">
        <is>
          <t>Month Label</t>
        </is>
      </c>
      <c r="D1" s="38" t="inlineStr">
        <is>
          <t>Week Start</t>
        </is>
      </c>
      <c r="E1" s="38" t="inlineStr">
        <is>
          <t>Analyst ID</t>
        </is>
      </c>
      <c r="F1" s="38" t="inlineStr">
        <is>
          <t>ECM Case ID</t>
        </is>
      </c>
      <c r="G1" s="38" t="inlineStr">
        <is>
          <t>Total Entities</t>
        </is>
      </c>
      <c r="H1" s="38" t="inlineStr">
        <is>
          <t>Total Searches</t>
        </is>
      </c>
      <c r="I1" s="38" t="inlineStr">
        <is>
          <t>Time Taken (raw)</t>
        </is>
      </c>
      <c r="J1" s="38" t="inlineStr">
        <is>
          <t>Seconds</t>
        </is>
      </c>
      <c r="K1" s="38" t="inlineStr">
        <is>
          <t>Minutes</t>
        </is>
      </c>
      <c r="L1" s="38" t="inlineStr">
        <is>
          <t>Seconds per Search</t>
        </is>
      </c>
      <c r="M1" s="38" t="inlineStr">
        <is>
          <t>Tool Version</t>
        </is>
      </c>
      <c r="N1" s="38" t="inlineStr">
        <is>
          <t>Over 5 Min</t>
        </is>
      </c>
      <c r="O1" s="38" t="inlineStr">
        <is>
          <t>Over 10 Min</t>
        </is>
      </c>
      <c r="P1" s="38" t="inlineStr">
        <is>
          <t>Seconds (rated runs)</t>
        </is>
      </c>
      <c r="Q1" s="38" t="inlineStr">
        <is>
          <t>Hour Key</t>
        </is>
      </c>
      <c r="R1" s="38" t="inlineStr">
        <is>
          <t>Runs in Same Hour</t>
        </is>
      </c>
      <c r="S1" s="38" t="inlineStr">
        <is>
          <t>Concurrency Band</t>
        </is>
      </c>
    </row>
    <row r="2">
      <c r="A2" s="39" t="n">
        <v>46142.0895949074</v>
      </c>
      <c r="B2" s="25">
        <f>TEXT(A2,"YYYY-MM")</f>
        <v/>
      </c>
      <c r="C2" s="25">
        <f>TEXT(A2,"MMM-YYYY")</f>
        <v/>
      </c>
      <c r="D2" s="40">
        <f>INT(A2)-WEEKDAY(A2,2)+1</f>
        <v/>
      </c>
      <c r="E2" s="25" t="inlineStr">
        <is>
          <t>asahoo</t>
        </is>
      </c>
      <c r="F2" s="25" t="n">
        <v>93944</v>
      </c>
      <c r="G2" s="25" t="n">
        <v>1</v>
      </c>
      <c r="H2" s="25" t="n">
        <v>3</v>
      </c>
      <c r="I2" s="25" t="inlineStr">
        <is>
          <t>2 minute(s) and 12 second(s)</t>
        </is>
      </c>
      <c r="J2" s="25">
        <f>IFERROR(VALUE(TRIM(LEFT(I2,FIND("minute",I2)-1)))*60,0)+IFERROR(VALUE(SUBSTITUTE(MID(I2,IFERROR(FIND("and",I2)+3,1),20),"second(s)","")),0)</f>
        <v/>
      </c>
      <c r="K2" s="41">
        <f>J2/60</f>
        <v/>
      </c>
      <c r="L2" s="41">
        <f>IFERROR(J2/H2,"")</f>
        <v/>
      </c>
      <c r="M2" s="25" t="inlineStr">
        <is>
          <t>2.4.1</t>
        </is>
      </c>
      <c r="N2" s="25">
        <f>IF(J2&gt;300,1,0)</f>
        <v/>
      </c>
      <c r="O2" s="25">
        <f>IF(J2&gt;600,1,0)</f>
        <v/>
      </c>
      <c r="P2" s="25">
        <f>IF(H2&gt;0,J2,"")</f>
        <v/>
      </c>
      <c r="Q2" s="25">
        <f>TEXT(A2,"YYYY-MM-DD HH")</f>
        <v/>
      </c>
      <c r="R2" s="25">
        <f>COUNTIF($Q$2:$Q$5295,Q2)</f>
        <v/>
      </c>
      <c r="S2" s="25">
        <f>IF(R2&lt;=2,"1-2",IF(R2&lt;=5,"3-5",IF(R2&lt;=10,"6-10","11+")))</f>
        <v/>
      </c>
    </row>
    <row r="3">
      <c r="A3" s="39" t="n">
        <v>46142.09386574074</v>
      </c>
      <c r="B3" s="25">
        <f>TEXT(A3,"YYYY-MM")</f>
        <v/>
      </c>
      <c r="C3" s="25">
        <f>TEXT(A3,"MMM-YYYY")</f>
        <v/>
      </c>
      <c r="D3" s="40">
        <f>INT(A3)-WEEKDAY(A3,2)+1</f>
        <v/>
      </c>
      <c r="E3" s="25" t="inlineStr">
        <is>
          <t>asahoo</t>
        </is>
      </c>
      <c r="F3" s="25" t="n">
        <v>84646</v>
      </c>
      <c r="G3" s="25" t="n">
        <v>1</v>
      </c>
      <c r="H3" s="25" t="n">
        <v>1</v>
      </c>
      <c r="I3" s="25" t="inlineStr">
        <is>
          <t>32 second(s)</t>
        </is>
      </c>
      <c r="J3" s="25">
        <f>IFERROR(VALUE(TRIM(LEFT(I3,FIND("minute",I3)-1)))*60,0)+IFERROR(VALUE(SUBSTITUTE(MID(I3,IFERROR(FIND("and",I3)+3,1),20),"second(s)","")),0)</f>
        <v/>
      </c>
      <c r="K3" s="41">
        <f>J3/60</f>
        <v/>
      </c>
      <c r="L3" s="41">
        <f>IFERROR(J3/H3,"")</f>
        <v/>
      </c>
      <c r="M3" s="25" t="inlineStr">
        <is>
          <t>2.4.1</t>
        </is>
      </c>
      <c r="N3" s="25">
        <f>IF(J3&gt;300,1,0)</f>
        <v/>
      </c>
      <c r="O3" s="25">
        <f>IF(J3&gt;600,1,0)</f>
        <v/>
      </c>
      <c r="P3" s="25">
        <f>IF(H3&gt;0,J3,"")</f>
        <v/>
      </c>
      <c r="Q3" s="25">
        <f>TEXT(A3,"YYYY-MM-DD HH")</f>
        <v/>
      </c>
      <c r="R3" s="25">
        <f>COUNTIF($Q$2:$Q$5295,Q3)</f>
        <v/>
      </c>
      <c r="S3" s="25">
        <f>IF(R3&lt;=2,"1-2",IF(R3&lt;=5,"3-5",IF(R3&lt;=10,"6-10","11+")))</f>
        <v/>
      </c>
    </row>
    <row r="4">
      <c r="A4" s="39" t="n">
        <v>46142.09729166667</v>
      </c>
      <c r="B4" s="25">
        <f>TEXT(A4,"YYYY-MM")</f>
        <v/>
      </c>
      <c r="C4" s="25">
        <f>TEXT(A4,"MMM-YYYY")</f>
        <v/>
      </c>
      <c r="D4" s="40">
        <f>INT(A4)-WEEKDAY(A4,2)+1</f>
        <v/>
      </c>
      <c r="E4" s="25" t="inlineStr">
        <is>
          <t>ns</t>
        </is>
      </c>
      <c r="F4" s="25" t="n">
        <v>12345</v>
      </c>
      <c r="G4" s="25" t="n">
        <v>1</v>
      </c>
      <c r="H4" s="25" t="n">
        <v>1</v>
      </c>
      <c r="I4" s="25" t="inlineStr">
        <is>
          <t>36 second(s)</t>
        </is>
      </c>
      <c r="J4" s="25">
        <f>IFERROR(VALUE(TRIM(LEFT(I4,FIND("minute",I4)-1)))*60,0)+IFERROR(VALUE(SUBSTITUTE(MID(I4,IFERROR(FIND("and",I4)+3,1),20),"second(s)","")),0)</f>
        <v/>
      </c>
      <c r="K4" s="41">
        <f>J4/60</f>
        <v/>
      </c>
      <c r="L4" s="41">
        <f>IFERROR(J4/H4,"")</f>
        <v/>
      </c>
      <c r="M4" s="25" t="inlineStr">
        <is>
          <t>2.4.1</t>
        </is>
      </c>
      <c r="N4" s="25">
        <f>IF(J4&gt;300,1,0)</f>
        <v/>
      </c>
      <c r="O4" s="25">
        <f>IF(J4&gt;600,1,0)</f>
        <v/>
      </c>
      <c r="P4" s="25">
        <f>IF(H4&gt;0,J4,"")</f>
        <v/>
      </c>
      <c r="Q4" s="25">
        <f>TEXT(A4,"YYYY-MM-DD HH")</f>
        <v/>
      </c>
      <c r="R4" s="25">
        <f>COUNTIF($Q$2:$Q$5295,Q4)</f>
        <v/>
      </c>
      <c r="S4" s="25">
        <f>IF(R4&lt;=2,"1-2",IF(R4&lt;=5,"3-5",IF(R4&lt;=10,"6-10","11+")))</f>
        <v/>
      </c>
    </row>
    <row r="5">
      <c r="A5" s="39" t="n">
        <v>46142.11145833333</v>
      </c>
      <c r="B5" s="25">
        <f>TEXT(A5,"YYYY-MM")</f>
        <v/>
      </c>
      <c r="C5" s="25">
        <f>TEXT(A5,"MMM-YYYY")</f>
        <v/>
      </c>
      <c r="D5" s="40">
        <f>INT(A5)-WEEKDAY(A5,2)+1</f>
        <v/>
      </c>
      <c r="E5" s="25" t="inlineStr">
        <is>
          <t>ns</t>
        </is>
      </c>
      <c r="F5" s="25" t="n">
        <v>98684</v>
      </c>
      <c r="G5" s="25" t="n">
        <v>1</v>
      </c>
      <c r="H5" s="25" t="n">
        <v>7</v>
      </c>
      <c r="I5" s="25" t="inlineStr">
        <is>
          <t>4 minute(s) and 28 second(s)</t>
        </is>
      </c>
      <c r="J5" s="25">
        <f>IFERROR(VALUE(TRIM(LEFT(I5,FIND("minute",I5)-1)))*60,0)+IFERROR(VALUE(SUBSTITUTE(MID(I5,IFERROR(FIND("and",I5)+3,1),20),"second(s)","")),0)</f>
        <v/>
      </c>
      <c r="K5" s="41">
        <f>J5/60</f>
        <v/>
      </c>
      <c r="L5" s="41">
        <f>IFERROR(J5/H5,"")</f>
        <v/>
      </c>
      <c r="M5" s="25" t="inlineStr">
        <is>
          <t>2.4.1</t>
        </is>
      </c>
      <c r="N5" s="25">
        <f>IF(J5&gt;300,1,0)</f>
        <v/>
      </c>
      <c r="O5" s="25">
        <f>IF(J5&gt;600,1,0)</f>
        <v/>
      </c>
      <c r="P5" s="25">
        <f>IF(H5&gt;0,J5,"")</f>
        <v/>
      </c>
      <c r="Q5" s="25">
        <f>TEXT(A5,"YYYY-MM-DD HH")</f>
        <v/>
      </c>
      <c r="R5" s="25">
        <f>COUNTIF($Q$2:$Q$5295,Q5)</f>
        <v/>
      </c>
      <c r="S5" s="25">
        <f>IF(R5&lt;=2,"1-2",IF(R5&lt;=5,"3-5",IF(R5&lt;=10,"6-10","11+")))</f>
        <v/>
      </c>
    </row>
    <row r="6">
      <c r="A6" s="39" t="n">
        <v>46142.12377314815</v>
      </c>
      <c r="B6" s="25">
        <f>TEXT(A6,"YYYY-MM")</f>
        <v/>
      </c>
      <c r="C6" s="25">
        <f>TEXT(A6,"MMM-YYYY")</f>
        <v/>
      </c>
      <c r="D6" s="40">
        <f>INT(A6)-WEEKDAY(A6,2)+1</f>
        <v/>
      </c>
      <c r="E6" s="25" t="inlineStr">
        <is>
          <t>ns</t>
        </is>
      </c>
      <c r="F6" s="25" t="n">
        <v>98684</v>
      </c>
      <c r="G6" s="25" t="n">
        <v>3</v>
      </c>
      <c r="H6" s="25" t="n">
        <v>14</v>
      </c>
      <c r="I6" s="25" t="inlineStr">
        <is>
          <t>10 minute(s) and 22 second(s)</t>
        </is>
      </c>
      <c r="J6" s="25">
        <f>IFERROR(VALUE(TRIM(LEFT(I6,FIND("minute",I6)-1)))*60,0)+IFERROR(VALUE(SUBSTITUTE(MID(I6,IFERROR(FIND("and",I6)+3,1),20),"second(s)","")),0)</f>
        <v/>
      </c>
      <c r="K6" s="41">
        <f>J6/60</f>
        <v/>
      </c>
      <c r="L6" s="41">
        <f>IFERROR(J6/H6,"")</f>
        <v/>
      </c>
      <c r="M6" s="25" t="inlineStr">
        <is>
          <t>2.4.1</t>
        </is>
      </c>
      <c r="N6" s="25">
        <f>IF(J6&gt;300,1,0)</f>
        <v/>
      </c>
      <c r="O6" s="25">
        <f>IF(J6&gt;600,1,0)</f>
        <v/>
      </c>
      <c r="P6" s="25">
        <f>IF(H6&gt;0,J6,"")</f>
        <v/>
      </c>
      <c r="Q6" s="25">
        <f>TEXT(A6,"YYYY-MM-DD HH")</f>
        <v/>
      </c>
      <c r="R6" s="25">
        <f>COUNTIF($Q$2:$Q$5295,Q6)</f>
        <v/>
      </c>
      <c r="S6" s="25">
        <f>IF(R6&lt;=2,"1-2",IF(R6&lt;=5,"3-5",IF(R6&lt;=10,"6-10","11+")))</f>
        <v/>
      </c>
    </row>
    <row r="7">
      <c r="A7" s="39" t="n">
        <v>46142.32013888889</v>
      </c>
      <c r="B7" s="25">
        <f>TEXT(A7,"YYYY-MM")</f>
        <v/>
      </c>
      <c r="C7" s="25">
        <f>TEXT(A7,"MMM-YYYY")</f>
        <v/>
      </c>
      <c r="D7" s="40">
        <f>INT(A7)-WEEKDAY(A7,2)+1</f>
        <v/>
      </c>
      <c r="E7" s="25" t="inlineStr">
        <is>
          <t>emishra</t>
        </is>
      </c>
      <c r="F7" s="25" t="n">
        <v>71626</v>
      </c>
      <c r="G7" s="25" t="n">
        <v>5</v>
      </c>
      <c r="H7" s="25" t="n">
        <v>31</v>
      </c>
      <c r="I7" s="25" t="inlineStr">
        <is>
          <t>15 minute(s) and 19 second(s)</t>
        </is>
      </c>
      <c r="J7" s="25">
        <f>IFERROR(VALUE(TRIM(LEFT(I7,FIND("minute",I7)-1)))*60,0)+IFERROR(VALUE(SUBSTITUTE(MID(I7,IFERROR(FIND("and",I7)+3,1),20),"second(s)","")),0)</f>
        <v/>
      </c>
      <c r="K7" s="41">
        <f>J7/60</f>
        <v/>
      </c>
      <c r="L7" s="41">
        <f>IFERROR(J7/H7,"")</f>
        <v/>
      </c>
      <c r="M7" s="25" t="inlineStr">
        <is>
          <t>2.4.1</t>
        </is>
      </c>
      <c r="N7" s="25">
        <f>IF(J7&gt;300,1,0)</f>
        <v/>
      </c>
      <c r="O7" s="25">
        <f>IF(J7&gt;600,1,0)</f>
        <v/>
      </c>
      <c r="P7" s="25">
        <f>IF(H7&gt;0,J7,"")</f>
        <v/>
      </c>
      <c r="Q7" s="25">
        <f>TEXT(A7,"YYYY-MM-DD HH")</f>
        <v/>
      </c>
      <c r="R7" s="25">
        <f>COUNTIF($Q$2:$Q$5295,Q7)</f>
        <v/>
      </c>
      <c r="S7" s="25">
        <f>IF(R7&lt;=2,"1-2",IF(R7&lt;=5,"3-5",IF(R7&lt;=10,"6-10","11+")))</f>
        <v/>
      </c>
    </row>
    <row r="8">
      <c r="A8" s="39" t="n">
        <v>46142.45658564815</v>
      </c>
      <c r="B8" s="25">
        <f>TEXT(A8,"YYYY-MM")</f>
        <v/>
      </c>
      <c r="C8" s="25">
        <f>TEXT(A8,"MMM-YYYY")</f>
        <v/>
      </c>
      <c r="D8" s="40">
        <f>INT(A8)-WEEKDAY(A8,2)+1</f>
        <v/>
      </c>
      <c r="E8" s="25" t="inlineStr">
        <is>
          <t>aghosh</t>
        </is>
      </c>
      <c r="F8" s="25" t="n">
        <v>22136</v>
      </c>
      <c r="G8" s="25" t="n">
        <v>5</v>
      </c>
      <c r="H8" s="25" t="n">
        <v>25</v>
      </c>
      <c r="I8" s="25" t="inlineStr">
        <is>
          <t>20 minute(s) and 51 second(s)</t>
        </is>
      </c>
      <c r="J8" s="25">
        <f>IFERROR(VALUE(TRIM(LEFT(I8,FIND("minute",I8)-1)))*60,0)+IFERROR(VALUE(SUBSTITUTE(MID(I8,IFERROR(FIND("and",I8)+3,1),20),"second(s)","")),0)</f>
        <v/>
      </c>
      <c r="K8" s="41">
        <f>J8/60</f>
        <v/>
      </c>
      <c r="L8" s="41">
        <f>IFERROR(J8/H8,"")</f>
        <v/>
      </c>
      <c r="M8" s="25" t="inlineStr">
        <is>
          <t>2.4.1</t>
        </is>
      </c>
      <c r="N8" s="25">
        <f>IF(J8&gt;300,1,0)</f>
        <v/>
      </c>
      <c r="O8" s="25">
        <f>IF(J8&gt;600,1,0)</f>
        <v/>
      </c>
      <c r="P8" s="25">
        <f>IF(H8&gt;0,J8,"")</f>
        <v/>
      </c>
      <c r="Q8" s="25">
        <f>TEXT(A8,"YYYY-MM-DD HH")</f>
        <v/>
      </c>
      <c r="R8" s="25">
        <f>COUNTIF($Q$2:$Q$5295,Q8)</f>
        <v/>
      </c>
      <c r="S8" s="25">
        <f>IF(R8&lt;=2,"1-2",IF(R8&lt;=5,"3-5",IF(R8&lt;=10,"6-10","11+")))</f>
        <v/>
      </c>
    </row>
    <row r="9">
      <c r="A9" s="39" t="n">
        <v>46142.48673611111</v>
      </c>
      <c r="B9" s="25">
        <f>TEXT(A9,"YYYY-MM")</f>
        <v/>
      </c>
      <c r="C9" s="25">
        <f>TEXT(A9,"MMM-YYYY")</f>
        <v/>
      </c>
      <c r="D9" s="40">
        <f>INT(A9)-WEEKDAY(A9,2)+1</f>
        <v/>
      </c>
      <c r="E9" s="25" t="inlineStr">
        <is>
          <t>ssaha</t>
        </is>
      </c>
      <c r="F9" s="25" t="n">
        <v>12345</v>
      </c>
      <c r="G9" s="25" t="n">
        <v>1</v>
      </c>
      <c r="H9" s="25" t="n">
        <v>1</v>
      </c>
      <c r="I9" s="25" t="inlineStr">
        <is>
          <t>54 second(s)</t>
        </is>
      </c>
      <c r="J9" s="25">
        <f>IFERROR(VALUE(TRIM(LEFT(I9,FIND("minute",I9)-1)))*60,0)+IFERROR(VALUE(SUBSTITUTE(MID(I9,IFERROR(FIND("and",I9)+3,1),20),"second(s)","")),0)</f>
        <v/>
      </c>
      <c r="K9" s="41">
        <f>J9/60</f>
        <v/>
      </c>
      <c r="L9" s="41">
        <f>IFERROR(J9/H9,"")</f>
        <v/>
      </c>
      <c r="M9" s="25" t="inlineStr">
        <is>
          <t>2.4.1</t>
        </is>
      </c>
      <c r="N9" s="25">
        <f>IF(J9&gt;300,1,0)</f>
        <v/>
      </c>
      <c r="O9" s="25">
        <f>IF(J9&gt;600,1,0)</f>
        <v/>
      </c>
      <c r="P9" s="25">
        <f>IF(H9&gt;0,J9,"")</f>
        <v/>
      </c>
      <c r="Q9" s="25">
        <f>TEXT(A9,"YYYY-MM-DD HH")</f>
        <v/>
      </c>
      <c r="R9" s="25">
        <f>COUNTIF($Q$2:$Q$5295,Q9)</f>
        <v/>
      </c>
      <c r="S9" s="25">
        <f>IF(R9&lt;=2,"1-2",IF(R9&lt;=5,"3-5",IF(R9&lt;=10,"6-10","11+")))</f>
        <v/>
      </c>
    </row>
    <row r="10">
      <c r="A10" s="39" t="n">
        <v>46142.4927662037</v>
      </c>
      <c r="B10" s="25">
        <f>TEXT(A10,"YYYY-MM")</f>
        <v/>
      </c>
      <c r="C10" s="25">
        <f>TEXT(A10,"MMM-YYYY")</f>
        <v/>
      </c>
      <c r="D10" s="40">
        <f>INT(A10)-WEEKDAY(A10,2)+1</f>
        <v/>
      </c>
      <c r="E10" s="25" t="inlineStr">
        <is>
          <t>ssaha</t>
        </is>
      </c>
      <c r="F10" s="25" t="n">
        <v>542134</v>
      </c>
      <c r="G10" s="25" t="n">
        <v>1</v>
      </c>
      <c r="H10" s="25" t="n">
        <v>0</v>
      </c>
      <c r="I10" s="25" t="inlineStr">
        <is>
          <t>5 minute(s) and 58 second(s)</t>
        </is>
      </c>
      <c r="J10" s="25">
        <f>IFERROR(VALUE(TRIM(LEFT(I10,FIND("minute",I10)-1)))*60,0)+IFERROR(VALUE(SUBSTITUTE(MID(I10,IFERROR(FIND("and",I10)+3,1),20),"second(s)","")),0)</f>
        <v/>
      </c>
      <c r="K10" s="41">
        <f>J10/60</f>
        <v/>
      </c>
      <c r="L10" s="41">
        <f>IFERROR(J10/H10,"")</f>
        <v/>
      </c>
      <c r="M10" s="25" t="inlineStr">
        <is>
          <t>2.4.1</t>
        </is>
      </c>
      <c r="N10" s="25">
        <f>IF(J10&gt;300,1,0)</f>
        <v/>
      </c>
      <c r="O10" s="25">
        <f>IF(J10&gt;600,1,0)</f>
        <v/>
      </c>
      <c r="P10" s="25">
        <f>IF(H10&gt;0,J10,"")</f>
        <v/>
      </c>
      <c r="Q10" s="25">
        <f>TEXT(A10,"YYYY-MM-DD HH")</f>
        <v/>
      </c>
      <c r="R10" s="25">
        <f>COUNTIF($Q$2:$Q$5295,Q10)</f>
        <v/>
      </c>
      <c r="S10" s="25">
        <f>IF(R10&lt;=2,"1-2",IF(R10&lt;=5,"3-5",IF(R10&lt;=10,"6-10","11+")))</f>
        <v/>
      </c>
    </row>
    <row r="11">
      <c r="A11" s="39" t="n">
        <v>46142.50912037037</v>
      </c>
      <c r="B11" s="25">
        <f>TEXT(A11,"YYYY-MM")</f>
        <v/>
      </c>
      <c r="C11" s="25">
        <f>TEXT(A11,"MMM-YYYY")</f>
        <v/>
      </c>
      <c r="D11" s="40">
        <f>INT(A11)-WEEKDAY(A11,2)+1</f>
        <v/>
      </c>
      <c r="E11" s="25" t="inlineStr">
        <is>
          <t>csaha</t>
        </is>
      </c>
      <c r="F11" s="25" t="n">
        <v>36648</v>
      </c>
      <c r="G11" s="25" t="n">
        <v>4</v>
      </c>
      <c r="H11" s="25" t="n">
        <v>14</v>
      </c>
      <c r="I11" s="25" t="inlineStr">
        <is>
          <t>8 minute(s) and 16 second(s)</t>
        </is>
      </c>
      <c r="J11" s="25">
        <f>IFERROR(VALUE(TRIM(LEFT(I11,FIND("minute",I11)-1)))*60,0)+IFERROR(VALUE(SUBSTITUTE(MID(I11,IFERROR(FIND("and",I11)+3,1),20),"second(s)","")),0)</f>
        <v/>
      </c>
      <c r="K11" s="41">
        <f>J11/60</f>
        <v/>
      </c>
      <c r="L11" s="41">
        <f>IFERROR(J11/H11,"")</f>
        <v/>
      </c>
      <c r="M11" s="25" t="inlineStr">
        <is>
          <t>2.4.1</t>
        </is>
      </c>
      <c r="N11" s="25">
        <f>IF(J11&gt;300,1,0)</f>
        <v/>
      </c>
      <c r="O11" s="25">
        <f>IF(J11&gt;600,1,0)</f>
        <v/>
      </c>
      <c r="P11" s="25">
        <f>IF(H11&gt;0,J11,"")</f>
        <v/>
      </c>
      <c r="Q11" s="25">
        <f>TEXT(A11,"YYYY-MM-DD HH")</f>
        <v/>
      </c>
      <c r="R11" s="25">
        <f>COUNTIF($Q$2:$Q$5295,Q11)</f>
        <v/>
      </c>
      <c r="S11" s="25">
        <f>IF(R11&lt;=2,"1-2",IF(R11&lt;=5,"3-5",IF(R11&lt;=10,"6-10","11+")))</f>
        <v/>
      </c>
    </row>
    <row r="12">
      <c r="A12" s="39" t="n">
        <v>46142.51834490741</v>
      </c>
      <c r="B12" s="25">
        <f>TEXT(A12,"YYYY-MM")</f>
        <v/>
      </c>
      <c r="C12" s="25">
        <f>TEXT(A12,"MMM-YYYY")</f>
        <v/>
      </c>
      <c r="D12" s="40">
        <f>INT(A12)-WEEKDAY(A12,2)+1</f>
        <v/>
      </c>
      <c r="E12" s="25" t="inlineStr">
        <is>
          <t>csaha</t>
        </is>
      </c>
      <c r="F12" s="25" t="n">
        <v>36648</v>
      </c>
      <c r="G12" s="25" t="n">
        <v>4</v>
      </c>
      <c r="H12" s="25" t="n">
        <v>14</v>
      </c>
      <c r="I12" s="25" t="inlineStr">
        <is>
          <t>9 minute(s) and 14 second(s)</t>
        </is>
      </c>
      <c r="J12" s="25">
        <f>IFERROR(VALUE(TRIM(LEFT(I12,FIND("minute",I12)-1)))*60,0)+IFERROR(VALUE(SUBSTITUTE(MID(I12,IFERROR(FIND("and",I12)+3,1),20),"second(s)","")),0)</f>
        <v/>
      </c>
      <c r="K12" s="41">
        <f>J12/60</f>
        <v/>
      </c>
      <c r="L12" s="41">
        <f>IFERROR(J12/H12,"")</f>
        <v/>
      </c>
      <c r="M12" s="25" t="inlineStr">
        <is>
          <t>2.4.1</t>
        </is>
      </c>
      <c r="N12" s="25">
        <f>IF(J12&gt;300,1,0)</f>
        <v/>
      </c>
      <c r="O12" s="25">
        <f>IF(J12&gt;600,1,0)</f>
        <v/>
      </c>
      <c r="P12" s="25">
        <f>IF(H12&gt;0,J12,"")</f>
        <v/>
      </c>
      <c r="Q12" s="25">
        <f>TEXT(A12,"YYYY-MM-DD HH")</f>
        <v/>
      </c>
      <c r="R12" s="25">
        <f>COUNTIF($Q$2:$Q$5295,Q12)</f>
        <v/>
      </c>
      <c r="S12" s="25">
        <f>IF(R12&lt;=2,"1-2",IF(R12&lt;=5,"3-5",IF(R12&lt;=10,"6-10","11+")))</f>
        <v/>
      </c>
    </row>
    <row r="13">
      <c r="A13" s="39" t="n">
        <v>46142.54174768519</v>
      </c>
      <c r="B13" s="25">
        <f>TEXT(A13,"YYYY-MM")</f>
        <v/>
      </c>
      <c r="C13" s="25">
        <f>TEXT(A13,"MMM-YYYY")</f>
        <v/>
      </c>
      <c r="D13" s="40">
        <f>INT(A13)-WEEKDAY(A13,2)+1</f>
        <v/>
      </c>
      <c r="E13" s="25" t="inlineStr">
        <is>
          <t>msrivastava</t>
        </is>
      </c>
      <c r="F13" s="25" t="n">
        <v>4565</v>
      </c>
      <c r="G13" s="25" t="n">
        <v>1</v>
      </c>
      <c r="H13" s="25" t="n">
        <v>1</v>
      </c>
      <c r="I13" s="25" t="inlineStr">
        <is>
          <t>30 second(s)</t>
        </is>
      </c>
      <c r="J13" s="25">
        <f>IFERROR(VALUE(TRIM(LEFT(I13,FIND("minute",I13)-1)))*60,0)+IFERROR(VALUE(SUBSTITUTE(MID(I13,IFERROR(FIND("and",I13)+3,1),20),"second(s)","")),0)</f>
        <v/>
      </c>
      <c r="K13" s="41">
        <f>J13/60</f>
        <v/>
      </c>
      <c r="L13" s="41">
        <f>IFERROR(J13/H13,"")</f>
        <v/>
      </c>
      <c r="M13" s="25" t="inlineStr">
        <is>
          <t>2.4.1</t>
        </is>
      </c>
      <c r="N13" s="25">
        <f>IF(J13&gt;300,1,0)</f>
        <v/>
      </c>
      <c r="O13" s="25">
        <f>IF(J13&gt;600,1,0)</f>
        <v/>
      </c>
      <c r="P13" s="25">
        <f>IF(H13&gt;0,J13,"")</f>
        <v/>
      </c>
      <c r="Q13" s="25">
        <f>TEXT(A13,"YYYY-MM-DD HH")</f>
        <v/>
      </c>
      <c r="R13" s="25">
        <f>COUNTIF($Q$2:$Q$5295,Q13)</f>
        <v/>
      </c>
      <c r="S13" s="25">
        <f>IF(R13&lt;=2,"1-2",IF(R13&lt;=5,"3-5",IF(R13&lt;=10,"6-10","11+")))</f>
        <v/>
      </c>
    </row>
    <row r="14">
      <c r="A14" s="39" t="n">
        <v>46142.54543981481</v>
      </c>
      <c r="B14" s="25">
        <f>TEXT(A14,"YYYY-MM")</f>
        <v/>
      </c>
      <c r="C14" s="25">
        <f>TEXT(A14,"MMM-YYYY")</f>
        <v/>
      </c>
      <c r="D14" s="40">
        <f>INT(A14)-WEEKDAY(A14,2)+1</f>
        <v/>
      </c>
      <c r="E14" s="25" t="inlineStr">
        <is>
          <t>msrivastava</t>
        </is>
      </c>
      <c r="F14" s="25" t="n">
        <v>3454</v>
      </c>
      <c r="G14" s="25" t="n">
        <v>1</v>
      </c>
      <c r="H14" s="25" t="n">
        <v>0</v>
      </c>
      <c r="I14" s="25" t="inlineStr">
        <is>
          <t>1 minute(s) and 21 second(s)</t>
        </is>
      </c>
      <c r="J14" s="25">
        <f>IFERROR(VALUE(TRIM(LEFT(I14,FIND("minute",I14)-1)))*60,0)+IFERROR(VALUE(SUBSTITUTE(MID(I14,IFERROR(FIND("and",I14)+3,1),20),"second(s)","")),0)</f>
        <v/>
      </c>
      <c r="K14" s="41">
        <f>J14/60</f>
        <v/>
      </c>
      <c r="L14" s="41">
        <f>IFERROR(J14/H14,"")</f>
        <v/>
      </c>
      <c r="M14" s="25" t="inlineStr">
        <is>
          <t>2.4.1</t>
        </is>
      </c>
      <c r="N14" s="25">
        <f>IF(J14&gt;300,1,0)</f>
        <v/>
      </c>
      <c r="O14" s="25">
        <f>IF(J14&gt;600,1,0)</f>
        <v/>
      </c>
      <c r="P14" s="25">
        <f>IF(H14&gt;0,J14,"")</f>
        <v/>
      </c>
      <c r="Q14" s="25">
        <f>TEXT(A14,"YYYY-MM-DD HH")</f>
        <v/>
      </c>
      <c r="R14" s="25">
        <f>COUNTIF($Q$2:$Q$5295,Q14)</f>
        <v/>
      </c>
      <c r="S14" s="25">
        <f>IF(R14&lt;=2,"1-2",IF(R14&lt;=5,"3-5",IF(R14&lt;=10,"6-10","11+")))</f>
        <v/>
      </c>
    </row>
    <row r="15">
      <c r="A15" s="39" t="n">
        <v>46142.54741898148</v>
      </c>
      <c r="B15" s="25">
        <f>TEXT(A15,"YYYY-MM")</f>
        <v/>
      </c>
      <c r="C15" s="25">
        <f>TEXT(A15,"MMM-YYYY")</f>
        <v/>
      </c>
      <c r="D15" s="40">
        <f>INT(A15)-WEEKDAY(A15,2)+1</f>
        <v/>
      </c>
      <c r="E15" s="25" t="inlineStr">
        <is>
          <t>msrivastava</t>
        </is>
      </c>
      <c r="F15" s="25" t="n">
        <v>1298</v>
      </c>
      <c r="G15" s="25" t="n">
        <v>1</v>
      </c>
      <c r="H15" s="25" t="n">
        <v>1</v>
      </c>
      <c r="I15" s="25" t="inlineStr">
        <is>
          <t>32 second(s)</t>
        </is>
      </c>
      <c r="J15" s="25">
        <f>IFERROR(VALUE(TRIM(LEFT(I15,FIND("minute",I15)-1)))*60,0)+IFERROR(VALUE(SUBSTITUTE(MID(I15,IFERROR(FIND("and",I15)+3,1),20),"second(s)","")),0)</f>
        <v/>
      </c>
      <c r="K15" s="41">
        <f>J15/60</f>
        <v/>
      </c>
      <c r="L15" s="41">
        <f>IFERROR(J15/H15,"")</f>
        <v/>
      </c>
      <c r="M15" s="25" t="inlineStr">
        <is>
          <t>2.4.1</t>
        </is>
      </c>
      <c r="N15" s="25">
        <f>IF(J15&gt;300,1,0)</f>
        <v/>
      </c>
      <c r="O15" s="25">
        <f>IF(J15&gt;600,1,0)</f>
        <v/>
      </c>
      <c r="P15" s="25">
        <f>IF(H15&gt;0,J15,"")</f>
        <v/>
      </c>
      <c r="Q15" s="25">
        <f>TEXT(A15,"YYYY-MM-DD HH")</f>
        <v/>
      </c>
      <c r="R15" s="25">
        <f>COUNTIF($Q$2:$Q$5295,Q15)</f>
        <v/>
      </c>
      <c r="S15" s="25">
        <f>IF(R15&lt;=2,"1-2",IF(R15&lt;=5,"3-5",IF(R15&lt;=10,"6-10","11+")))</f>
        <v/>
      </c>
    </row>
    <row r="16">
      <c r="A16" s="39" t="n">
        <v>46142.57185185186</v>
      </c>
      <c r="B16" s="25">
        <f>TEXT(A16,"YYYY-MM")</f>
        <v/>
      </c>
      <c r="C16" s="25">
        <f>TEXT(A16,"MMM-YYYY")</f>
        <v/>
      </c>
      <c r="D16" s="40">
        <f>INT(A16)-WEEKDAY(A16,2)+1</f>
        <v/>
      </c>
      <c r="E16" s="25" t="inlineStr">
        <is>
          <t>msrivastava</t>
        </is>
      </c>
      <c r="F16" s="25" t="n">
        <v>1298</v>
      </c>
      <c r="G16" s="25" t="n">
        <v>1</v>
      </c>
      <c r="H16" s="25" t="n">
        <v>1</v>
      </c>
      <c r="I16" s="25" t="inlineStr">
        <is>
          <t>29 second(s)</t>
        </is>
      </c>
      <c r="J16" s="25">
        <f>IFERROR(VALUE(TRIM(LEFT(I16,FIND("minute",I16)-1)))*60,0)+IFERROR(VALUE(SUBSTITUTE(MID(I16,IFERROR(FIND("and",I16)+3,1),20),"second(s)","")),0)</f>
        <v/>
      </c>
      <c r="K16" s="41">
        <f>J16/60</f>
        <v/>
      </c>
      <c r="L16" s="41">
        <f>IFERROR(J16/H16,"")</f>
        <v/>
      </c>
      <c r="M16" s="25" t="inlineStr">
        <is>
          <t>2.4.1</t>
        </is>
      </c>
      <c r="N16" s="25">
        <f>IF(J16&gt;300,1,0)</f>
        <v/>
      </c>
      <c r="O16" s="25">
        <f>IF(J16&gt;600,1,0)</f>
        <v/>
      </c>
      <c r="P16" s="25">
        <f>IF(H16&gt;0,J16,"")</f>
        <v/>
      </c>
      <c r="Q16" s="25">
        <f>TEXT(A16,"YYYY-MM-DD HH")</f>
        <v/>
      </c>
      <c r="R16" s="25">
        <f>COUNTIF($Q$2:$Q$5295,Q16)</f>
        <v/>
      </c>
      <c r="S16" s="25">
        <f>IF(R16&lt;=2,"1-2",IF(R16&lt;=5,"3-5",IF(R16&lt;=10,"6-10","11+")))</f>
        <v/>
      </c>
    </row>
    <row r="17">
      <c r="A17" s="39" t="n">
        <v>46142.69984953704</v>
      </c>
      <c r="B17" s="25">
        <f>TEXT(A17,"YYYY-MM")</f>
        <v/>
      </c>
      <c r="C17" s="25">
        <f>TEXT(A17,"MMM-YYYY")</f>
        <v/>
      </c>
      <c r="D17" s="40">
        <f>INT(A17)-WEEKDAY(A17,2)+1</f>
        <v/>
      </c>
      <c r="E17" s="25" t="inlineStr">
        <is>
          <t>ssneha</t>
        </is>
      </c>
      <c r="F17" s="25" t="n">
        <v>112778</v>
      </c>
      <c r="G17" s="25" t="n">
        <v>2</v>
      </c>
      <c r="H17" s="25" t="n">
        <v>6</v>
      </c>
      <c r="I17" s="25" t="inlineStr">
        <is>
          <t>4 minute(s) and 47 second(s)</t>
        </is>
      </c>
      <c r="J17" s="25">
        <f>IFERROR(VALUE(TRIM(LEFT(I17,FIND("minute",I17)-1)))*60,0)+IFERROR(VALUE(SUBSTITUTE(MID(I17,IFERROR(FIND("and",I17)+3,1),20),"second(s)","")),0)</f>
        <v/>
      </c>
      <c r="K17" s="41">
        <f>J17/60</f>
        <v/>
      </c>
      <c r="L17" s="41">
        <f>IFERROR(J17/H17,"")</f>
        <v/>
      </c>
      <c r="M17" s="25" t="inlineStr">
        <is>
          <t>2.4.1</t>
        </is>
      </c>
      <c r="N17" s="25">
        <f>IF(J17&gt;300,1,0)</f>
        <v/>
      </c>
      <c r="O17" s="25">
        <f>IF(J17&gt;600,1,0)</f>
        <v/>
      </c>
      <c r="P17" s="25">
        <f>IF(H17&gt;0,J17,"")</f>
        <v/>
      </c>
      <c r="Q17" s="25">
        <f>TEXT(A17,"YYYY-MM-DD HH")</f>
        <v/>
      </c>
      <c r="R17" s="25">
        <f>COUNTIF($Q$2:$Q$5295,Q17)</f>
        <v/>
      </c>
      <c r="S17" s="25">
        <f>IF(R17&lt;=2,"1-2",IF(R17&lt;=5,"3-5",IF(R17&lt;=10,"6-10","11+")))</f>
        <v/>
      </c>
    </row>
    <row r="18">
      <c r="A18" s="39" t="n">
        <v>46142.88390046296</v>
      </c>
      <c r="B18" s="25">
        <f>TEXT(A18,"YYYY-MM")</f>
        <v/>
      </c>
      <c r="C18" s="25">
        <f>TEXT(A18,"MMM-YYYY")</f>
        <v/>
      </c>
      <c r="D18" s="40">
        <f>INT(A18)-WEEKDAY(A18,2)+1</f>
        <v/>
      </c>
      <c r="E18" s="25" t="inlineStr">
        <is>
          <t>ssaha</t>
        </is>
      </c>
      <c r="F18" s="25" t="n">
        <v>12</v>
      </c>
      <c r="G18" s="25" t="n">
        <v>1</v>
      </c>
      <c r="H18" s="25" t="n">
        <v>5</v>
      </c>
      <c r="I18" s="25" t="inlineStr">
        <is>
          <t>3 minute(s) and 19 second(s)</t>
        </is>
      </c>
      <c r="J18" s="25">
        <f>IFERROR(VALUE(TRIM(LEFT(I18,FIND("minute",I18)-1)))*60,0)+IFERROR(VALUE(SUBSTITUTE(MID(I18,IFERROR(FIND("and",I18)+3,1),20),"second(s)","")),0)</f>
        <v/>
      </c>
      <c r="K18" s="41">
        <f>J18/60</f>
        <v/>
      </c>
      <c r="L18" s="41">
        <f>IFERROR(J18/H18,"")</f>
        <v/>
      </c>
      <c r="M18" s="25" t="inlineStr">
        <is>
          <t>2.4.1</t>
        </is>
      </c>
      <c r="N18" s="25">
        <f>IF(J18&gt;300,1,0)</f>
        <v/>
      </c>
      <c r="O18" s="25">
        <f>IF(J18&gt;600,1,0)</f>
        <v/>
      </c>
      <c r="P18" s="25">
        <f>IF(H18&gt;0,J18,"")</f>
        <v/>
      </c>
      <c r="Q18" s="25">
        <f>TEXT(A18,"YYYY-MM-DD HH")</f>
        <v/>
      </c>
      <c r="R18" s="25">
        <f>COUNTIF($Q$2:$Q$5295,Q18)</f>
        <v/>
      </c>
      <c r="S18" s="25">
        <f>IF(R18&lt;=2,"1-2",IF(R18&lt;=5,"3-5",IF(R18&lt;=10,"6-10","11+")))</f>
        <v/>
      </c>
    </row>
    <row r="19">
      <c r="A19" s="39" t="n">
        <v>46142.89856481482</v>
      </c>
      <c r="B19" s="25">
        <f>TEXT(A19,"YYYY-MM")</f>
        <v/>
      </c>
      <c r="C19" s="25">
        <f>TEXT(A19,"MMM-YYYY")</f>
        <v/>
      </c>
      <c r="D19" s="40">
        <f>INT(A19)-WEEKDAY(A19,2)+1</f>
        <v/>
      </c>
      <c r="E19" s="25" t="inlineStr">
        <is>
          <t>ssaha</t>
        </is>
      </c>
      <c r="F19" s="25" t="n">
        <v>12</v>
      </c>
      <c r="G19" s="25" t="n">
        <v>1</v>
      </c>
      <c r="H19" s="25" t="n">
        <v>5</v>
      </c>
      <c r="I19" s="25" t="inlineStr">
        <is>
          <t>2 minute(s) and 53 second(s)</t>
        </is>
      </c>
      <c r="J19" s="25">
        <f>IFERROR(VALUE(TRIM(LEFT(I19,FIND("minute",I19)-1)))*60,0)+IFERROR(VALUE(SUBSTITUTE(MID(I19,IFERROR(FIND("and",I19)+3,1),20),"second(s)","")),0)</f>
        <v/>
      </c>
      <c r="K19" s="41">
        <f>J19/60</f>
        <v/>
      </c>
      <c r="L19" s="41">
        <f>IFERROR(J19/H19,"")</f>
        <v/>
      </c>
      <c r="M19" s="25" t="inlineStr">
        <is>
          <t>2.4.1</t>
        </is>
      </c>
      <c r="N19" s="25">
        <f>IF(J19&gt;300,1,0)</f>
        <v/>
      </c>
      <c r="O19" s="25">
        <f>IF(J19&gt;600,1,0)</f>
        <v/>
      </c>
      <c r="P19" s="25">
        <f>IF(H19&gt;0,J19,"")</f>
        <v/>
      </c>
      <c r="Q19" s="25">
        <f>TEXT(A19,"YYYY-MM-DD HH")</f>
        <v/>
      </c>
      <c r="R19" s="25">
        <f>COUNTIF($Q$2:$Q$5295,Q19)</f>
        <v/>
      </c>
      <c r="S19" s="25">
        <f>IF(R19&lt;=2,"1-2",IF(R19&lt;=5,"3-5",IF(R19&lt;=10,"6-10","11+")))</f>
        <v/>
      </c>
    </row>
    <row r="20">
      <c r="A20" s="39" t="n">
        <v>46142.90079861111</v>
      </c>
      <c r="B20" s="25">
        <f>TEXT(A20,"YYYY-MM")</f>
        <v/>
      </c>
      <c r="C20" s="25">
        <f>TEXT(A20,"MMM-YYYY")</f>
        <v/>
      </c>
      <c r="D20" s="40">
        <f>INT(A20)-WEEKDAY(A20,2)+1</f>
        <v/>
      </c>
      <c r="E20" s="25" t="inlineStr">
        <is>
          <t>ssaha</t>
        </is>
      </c>
      <c r="F20" s="25" t="n">
        <v>12</v>
      </c>
      <c r="G20" s="25" t="n">
        <v>1</v>
      </c>
      <c r="H20" s="25" t="n">
        <v>5</v>
      </c>
      <c r="I20" s="25" t="inlineStr">
        <is>
          <t>2 minute(s) and 21 second(s)</t>
        </is>
      </c>
      <c r="J20" s="25">
        <f>IFERROR(VALUE(TRIM(LEFT(I20,FIND("minute",I20)-1)))*60,0)+IFERROR(VALUE(SUBSTITUTE(MID(I20,IFERROR(FIND("and",I20)+3,1),20),"second(s)","")),0)</f>
        <v/>
      </c>
      <c r="K20" s="41">
        <f>J20/60</f>
        <v/>
      </c>
      <c r="L20" s="41">
        <f>IFERROR(J20/H20,"")</f>
        <v/>
      </c>
      <c r="M20" s="25" t="inlineStr">
        <is>
          <t>2.4.1</t>
        </is>
      </c>
      <c r="N20" s="25">
        <f>IF(J20&gt;300,1,0)</f>
        <v/>
      </c>
      <c r="O20" s="25">
        <f>IF(J20&gt;600,1,0)</f>
        <v/>
      </c>
      <c r="P20" s="25">
        <f>IF(H20&gt;0,J20,"")</f>
        <v/>
      </c>
      <c r="Q20" s="25">
        <f>TEXT(A20,"YYYY-MM-DD HH")</f>
        <v/>
      </c>
      <c r="R20" s="25">
        <f>COUNTIF($Q$2:$Q$5295,Q20)</f>
        <v/>
      </c>
      <c r="S20" s="25">
        <f>IF(R20&lt;=2,"1-2",IF(R20&lt;=5,"3-5",IF(R20&lt;=10,"6-10","11+")))</f>
        <v/>
      </c>
    </row>
    <row r="21">
      <c r="A21" s="39" t="n">
        <v>46142.92179398148</v>
      </c>
      <c r="B21" s="25">
        <f>TEXT(A21,"YYYY-MM")</f>
        <v/>
      </c>
      <c r="C21" s="25">
        <f>TEXT(A21,"MMM-YYYY")</f>
        <v/>
      </c>
      <c r="D21" s="40">
        <f>INT(A21)-WEEKDAY(A21,2)+1</f>
        <v/>
      </c>
      <c r="E21" s="25" t="inlineStr">
        <is>
          <t>ssaha</t>
        </is>
      </c>
      <c r="F21" s="25" t="n">
        <v>12</v>
      </c>
      <c r="G21" s="25" t="n">
        <v>1</v>
      </c>
      <c r="H21" s="25" t="n">
        <v>5</v>
      </c>
      <c r="I21" s="25" t="inlineStr">
        <is>
          <t>2 minute(s) and 56 second(s)</t>
        </is>
      </c>
      <c r="J21" s="25">
        <f>IFERROR(VALUE(TRIM(LEFT(I21,FIND("minute",I21)-1)))*60,0)+IFERROR(VALUE(SUBSTITUTE(MID(I21,IFERROR(FIND("and",I21)+3,1),20),"second(s)","")),0)</f>
        <v/>
      </c>
      <c r="K21" s="41">
        <f>J21/60</f>
        <v/>
      </c>
      <c r="L21" s="41">
        <f>IFERROR(J21/H21,"")</f>
        <v/>
      </c>
      <c r="M21" s="25" t="inlineStr">
        <is>
          <t>2.4.1</t>
        </is>
      </c>
      <c r="N21" s="25">
        <f>IF(J21&gt;300,1,0)</f>
        <v/>
      </c>
      <c r="O21" s="25">
        <f>IF(J21&gt;600,1,0)</f>
        <v/>
      </c>
      <c r="P21" s="25">
        <f>IF(H21&gt;0,J21,"")</f>
        <v/>
      </c>
      <c r="Q21" s="25">
        <f>TEXT(A21,"YYYY-MM-DD HH")</f>
        <v/>
      </c>
      <c r="R21" s="25">
        <f>COUNTIF($Q$2:$Q$5295,Q21)</f>
        <v/>
      </c>
      <c r="S21" s="25">
        <f>IF(R21&lt;=2,"1-2",IF(R21&lt;=5,"3-5",IF(R21&lt;=10,"6-10","11+")))</f>
        <v/>
      </c>
    </row>
    <row r="22">
      <c r="A22" s="39" t="n">
        <v>46142.93046296296</v>
      </c>
      <c r="B22" s="25">
        <f>TEXT(A22,"YYYY-MM")</f>
        <v/>
      </c>
      <c r="C22" s="25">
        <f>TEXT(A22,"MMM-YYYY")</f>
        <v/>
      </c>
      <c r="D22" s="40">
        <f>INT(A22)-WEEKDAY(A22,2)+1</f>
        <v/>
      </c>
      <c r="E22" s="25" t="inlineStr">
        <is>
          <t>ssaha</t>
        </is>
      </c>
      <c r="F22" s="25" t="n">
        <v>12</v>
      </c>
      <c r="G22" s="25" t="n">
        <v>1</v>
      </c>
      <c r="H22" s="25" t="n">
        <v>5</v>
      </c>
      <c r="I22" s="25" t="inlineStr">
        <is>
          <t>1 minute(s) and 59 second(s)</t>
        </is>
      </c>
      <c r="J22" s="25">
        <f>IFERROR(VALUE(TRIM(LEFT(I22,FIND("minute",I22)-1)))*60,0)+IFERROR(VALUE(SUBSTITUTE(MID(I22,IFERROR(FIND("and",I22)+3,1),20),"second(s)","")),0)</f>
        <v/>
      </c>
      <c r="K22" s="41">
        <f>J22/60</f>
        <v/>
      </c>
      <c r="L22" s="41">
        <f>IFERROR(J22/H22,"")</f>
        <v/>
      </c>
      <c r="M22" s="25" t="inlineStr">
        <is>
          <t>2.4.1</t>
        </is>
      </c>
      <c r="N22" s="25">
        <f>IF(J22&gt;300,1,0)</f>
        <v/>
      </c>
      <c r="O22" s="25">
        <f>IF(J22&gt;600,1,0)</f>
        <v/>
      </c>
      <c r="P22" s="25">
        <f>IF(H22&gt;0,J22,"")</f>
        <v/>
      </c>
      <c r="Q22" s="25">
        <f>TEXT(A22,"YYYY-MM-DD HH")</f>
        <v/>
      </c>
      <c r="R22" s="25">
        <f>COUNTIF($Q$2:$Q$5295,Q22)</f>
        <v/>
      </c>
      <c r="S22" s="25">
        <f>IF(R22&lt;=2,"1-2",IF(R22&lt;=5,"3-5",IF(R22&lt;=10,"6-10","11+")))</f>
        <v/>
      </c>
    </row>
    <row r="23">
      <c r="A23" s="39" t="n">
        <v>46142.93755787037</v>
      </c>
      <c r="B23" s="25">
        <f>TEXT(A23,"YYYY-MM")</f>
        <v/>
      </c>
      <c r="C23" s="25">
        <f>TEXT(A23,"MMM-YYYY")</f>
        <v/>
      </c>
      <c r="D23" s="40">
        <f>INT(A23)-WEEKDAY(A23,2)+1</f>
        <v/>
      </c>
      <c r="E23" s="25" t="inlineStr">
        <is>
          <t>ssaha</t>
        </is>
      </c>
      <c r="F23" s="25" t="n">
        <v>123</v>
      </c>
      <c r="G23" s="25" t="n">
        <v>1</v>
      </c>
      <c r="H23" s="25" t="n">
        <v>1</v>
      </c>
      <c r="I23" s="25" t="inlineStr">
        <is>
          <t>1 minute(s) and 9 second(s)</t>
        </is>
      </c>
      <c r="J23" s="25">
        <f>IFERROR(VALUE(TRIM(LEFT(I23,FIND("minute",I23)-1)))*60,0)+IFERROR(VALUE(SUBSTITUTE(MID(I23,IFERROR(FIND("and",I23)+3,1),20),"second(s)","")),0)</f>
        <v/>
      </c>
      <c r="K23" s="41">
        <f>J23/60</f>
        <v/>
      </c>
      <c r="L23" s="41">
        <f>IFERROR(J23/H23,"")</f>
        <v/>
      </c>
      <c r="M23" s="25" t="inlineStr">
        <is>
          <t>2.4.1</t>
        </is>
      </c>
      <c r="N23" s="25">
        <f>IF(J23&gt;300,1,0)</f>
        <v/>
      </c>
      <c r="O23" s="25">
        <f>IF(J23&gt;600,1,0)</f>
        <v/>
      </c>
      <c r="P23" s="25">
        <f>IF(H23&gt;0,J23,"")</f>
        <v/>
      </c>
      <c r="Q23" s="25">
        <f>TEXT(A23,"YYYY-MM-DD HH")</f>
        <v/>
      </c>
      <c r="R23" s="25">
        <f>COUNTIF($Q$2:$Q$5295,Q23)</f>
        <v/>
      </c>
      <c r="S23" s="25">
        <f>IF(R23&lt;=2,"1-2",IF(R23&lt;=5,"3-5",IF(R23&lt;=10,"6-10","11+")))</f>
        <v/>
      </c>
    </row>
    <row r="24">
      <c r="A24" s="39" t="n">
        <v>46143.01824074074</v>
      </c>
      <c r="B24" s="25">
        <f>TEXT(A24,"YYYY-MM")</f>
        <v/>
      </c>
      <c r="C24" s="25">
        <f>TEXT(A24,"MMM-YYYY")</f>
        <v/>
      </c>
      <c r="D24" s="40">
        <f>INT(A24)-WEEKDAY(A24,2)+1</f>
        <v/>
      </c>
      <c r="E24" s="25" t="inlineStr">
        <is>
          <t>csaha</t>
        </is>
      </c>
      <c r="F24" s="25" t="n">
        <v>6972</v>
      </c>
      <c r="G24" s="25" t="n">
        <v>3</v>
      </c>
      <c r="H24" s="25" t="n">
        <v>11</v>
      </c>
      <c r="I24" s="25" t="inlineStr">
        <is>
          <t>6 minute(s) and 29 second(s)</t>
        </is>
      </c>
      <c r="J24" s="25">
        <f>IFERROR(VALUE(TRIM(LEFT(I24,FIND("minute",I24)-1)))*60,0)+IFERROR(VALUE(SUBSTITUTE(MID(I24,IFERROR(FIND("and",I24)+3,1),20),"second(s)","")),0)</f>
        <v/>
      </c>
      <c r="K24" s="41">
        <f>J24/60</f>
        <v/>
      </c>
      <c r="L24" s="41">
        <f>IFERROR(J24/H24,"")</f>
        <v/>
      </c>
      <c r="M24" s="25" t="inlineStr">
        <is>
          <t>2.4.1</t>
        </is>
      </c>
      <c r="N24" s="25">
        <f>IF(J24&gt;300,1,0)</f>
        <v/>
      </c>
      <c r="O24" s="25">
        <f>IF(J24&gt;600,1,0)</f>
        <v/>
      </c>
      <c r="P24" s="25">
        <f>IF(H24&gt;0,J24,"")</f>
        <v/>
      </c>
      <c r="Q24" s="25">
        <f>TEXT(A24,"YYYY-MM-DD HH")</f>
        <v/>
      </c>
      <c r="R24" s="25">
        <f>COUNTIF($Q$2:$Q$5295,Q24)</f>
        <v/>
      </c>
      <c r="S24" s="25">
        <f>IF(R24&lt;=2,"1-2",IF(R24&lt;=5,"3-5",IF(R24&lt;=10,"6-10","11+")))</f>
        <v/>
      </c>
    </row>
    <row r="25">
      <c r="A25" s="39" t="n">
        <v>46146.11310185185</v>
      </c>
      <c r="B25" s="25">
        <f>TEXT(A25,"YYYY-MM")</f>
        <v/>
      </c>
      <c r="C25" s="25">
        <f>TEXT(A25,"MMM-YYYY")</f>
        <v/>
      </c>
      <c r="D25" s="40">
        <f>INT(A25)-WEEKDAY(A25,2)+1</f>
        <v/>
      </c>
      <c r="E25" s="25" t="inlineStr">
        <is>
          <t>ns</t>
        </is>
      </c>
      <c r="F25" s="25" t="n">
        <v>1234</v>
      </c>
      <c r="G25" s="25" t="n">
        <v>1</v>
      </c>
      <c r="H25" s="25" t="n">
        <v>4</v>
      </c>
      <c r="I25" s="25" t="inlineStr">
        <is>
          <t>1 minute(s) and 0 second(s)</t>
        </is>
      </c>
      <c r="J25" s="25">
        <f>IFERROR(VALUE(TRIM(LEFT(I25,FIND("minute",I25)-1)))*60,0)+IFERROR(VALUE(SUBSTITUTE(MID(I25,IFERROR(FIND("and",I25)+3,1),20),"second(s)","")),0)</f>
        <v/>
      </c>
      <c r="K25" s="41">
        <f>J25/60</f>
        <v/>
      </c>
      <c r="L25" s="41">
        <f>IFERROR(J25/H25,"")</f>
        <v/>
      </c>
      <c r="M25" s="25" t="inlineStr">
        <is>
          <t>2.5.12</t>
        </is>
      </c>
      <c r="N25" s="25">
        <f>IF(J25&gt;300,1,0)</f>
        <v/>
      </c>
      <c r="O25" s="25">
        <f>IF(J25&gt;600,1,0)</f>
        <v/>
      </c>
      <c r="P25" s="25">
        <f>IF(H25&gt;0,J25,"")</f>
        <v/>
      </c>
      <c r="Q25" s="25">
        <f>TEXT(A25,"YYYY-MM-DD HH")</f>
        <v/>
      </c>
      <c r="R25" s="25">
        <f>COUNTIF($Q$2:$Q$5295,Q25)</f>
        <v/>
      </c>
      <c r="S25" s="25">
        <f>IF(R25&lt;=2,"1-2",IF(R25&lt;=5,"3-5",IF(R25&lt;=10,"6-10","11+")))</f>
        <v/>
      </c>
    </row>
    <row r="26">
      <c r="A26" s="39" t="n">
        <v>46146.15167824074</v>
      </c>
      <c r="B26" s="25">
        <f>TEXT(A26,"YYYY-MM")</f>
        <v/>
      </c>
      <c r="C26" s="25">
        <f>TEXT(A26,"MMM-YYYY")</f>
        <v/>
      </c>
      <c r="D26" s="40">
        <f>INT(A26)-WEEKDAY(A26,2)+1</f>
        <v/>
      </c>
      <c r="E26" s="25" t="inlineStr">
        <is>
          <t>mgupta</t>
        </is>
      </c>
      <c r="F26" s="25" t="n">
        <v>56499</v>
      </c>
      <c r="G26" s="25" t="n">
        <v>1</v>
      </c>
      <c r="H26" s="25" t="n">
        <v>5</v>
      </c>
      <c r="I26" s="25" t="inlineStr">
        <is>
          <t>2 minute(s) and 14 second(s)</t>
        </is>
      </c>
      <c r="J26" s="25">
        <f>IFERROR(VALUE(TRIM(LEFT(I26,FIND("minute",I26)-1)))*60,0)+IFERROR(VALUE(SUBSTITUTE(MID(I26,IFERROR(FIND("and",I26)+3,1),20),"second(s)","")),0)</f>
        <v/>
      </c>
      <c r="K26" s="41">
        <f>J26/60</f>
        <v/>
      </c>
      <c r="L26" s="41">
        <f>IFERROR(J26/H26,"")</f>
        <v/>
      </c>
      <c r="M26" s="25" t="inlineStr">
        <is>
          <t>2.5.12</t>
        </is>
      </c>
      <c r="N26" s="25">
        <f>IF(J26&gt;300,1,0)</f>
        <v/>
      </c>
      <c r="O26" s="25">
        <f>IF(J26&gt;600,1,0)</f>
        <v/>
      </c>
      <c r="P26" s="25">
        <f>IF(H26&gt;0,J26,"")</f>
        <v/>
      </c>
      <c r="Q26" s="25">
        <f>TEXT(A26,"YYYY-MM-DD HH")</f>
        <v/>
      </c>
      <c r="R26" s="25">
        <f>COUNTIF($Q$2:$Q$5295,Q26)</f>
        <v/>
      </c>
      <c r="S26" s="25">
        <f>IF(R26&lt;=2,"1-2",IF(R26&lt;=5,"3-5",IF(R26&lt;=10,"6-10","11+")))</f>
        <v/>
      </c>
    </row>
    <row r="27">
      <c r="A27" s="39" t="n">
        <v>46146.15467592593</v>
      </c>
      <c r="B27" s="25">
        <f>TEXT(A27,"YYYY-MM")</f>
        <v/>
      </c>
      <c r="C27" s="25">
        <f>TEXT(A27,"MMM-YYYY")</f>
        <v/>
      </c>
      <c r="D27" s="40">
        <f>INT(A27)-WEEKDAY(A27,2)+1</f>
        <v/>
      </c>
      <c r="E27" s="25" t="inlineStr">
        <is>
          <t>ns</t>
        </is>
      </c>
      <c r="F27" s="25" t="n">
        <v>67905</v>
      </c>
      <c r="G27" s="25" t="n">
        <v>5</v>
      </c>
      <c r="H27" s="25" t="n">
        <v>25</v>
      </c>
      <c r="I27" s="25" t="inlineStr">
        <is>
          <t>6 minute(s) and 9 second(s)</t>
        </is>
      </c>
      <c r="J27" s="25">
        <f>IFERROR(VALUE(TRIM(LEFT(I27,FIND("minute",I27)-1)))*60,0)+IFERROR(VALUE(SUBSTITUTE(MID(I27,IFERROR(FIND("and",I27)+3,1),20),"second(s)","")),0)</f>
        <v/>
      </c>
      <c r="K27" s="41">
        <f>J27/60</f>
        <v/>
      </c>
      <c r="L27" s="41">
        <f>IFERROR(J27/H27,"")</f>
        <v/>
      </c>
      <c r="M27" s="25" t="inlineStr">
        <is>
          <t>2.5.12</t>
        </is>
      </c>
      <c r="N27" s="25">
        <f>IF(J27&gt;300,1,0)</f>
        <v/>
      </c>
      <c r="O27" s="25">
        <f>IF(J27&gt;600,1,0)</f>
        <v/>
      </c>
      <c r="P27" s="25">
        <f>IF(H27&gt;0,J27,"")</f>
        <v/>
      </c>
      <c r="Q27" s="25">
        <f>TEXT(A27,"YYYY-MM-DD HH")</f>
        <v/>
      </c>
      <c r="R27" s="25">
        <f>COUNTIF($Q$2:$Q$5295,Q27)</f>
        <v/>
      </c>
      <c r="S27" s="25">
        <f>IF(R27&lt;=2,"1-2",IF(R27&lt;=5,"3-5",IF(R27&lt;=10,"6-10","11+")))</f>
        <v/>
      </c>
    </row>
    <row r="28">
      <c r="A28" s="39" t="n">
        <v>46146.2067824074</v>
      </c>
      <c r="B28" s="25">
        <f>TEXT(A28,"YYYY-MM")</f>
        <v/>
      </c>
      <c r="C28" s="25">
        <f>TEXT(A28,"MMM-YYYY")</f>
        <v/>
      </c>
      <c r="D28" s="40">
        <f>INT(A28)-WEEKDAY(A28,2)+1</f>
        <v/>
      </c>
      <c r="E28" s="25" t="inlineStr">
        <is>
          <t>mgupta</t>
        </is>
      </c>
      <c r="F28" s="25" t="n">
        <v>38189</v>
      </c>
      <c r="G28" s="25" t="n">
        <v>6</v>
      </c>
      <c r="H28" s="25" t="n">
        <v>30</v>
      </c>
      <c r="I28" s="25" t="inlineStr">
        <is>
          <t>5 minute(s) and 45 second(s)</t>
        </is>
      </c>
      <c r="J28" s="25">
        <f>IFERROR(VALUE(TRIM(LEFT(I28,FIND("minute",I28)-1)))*60,0)+IFERROR(VALUE(SUBSTITUTE(MID(I28,IFERROR(FIND("and",I28)+3,1),20),"second(s)","")),0)</f>
        <v/>
      </c>
      <c r="K28" s="41">
        <f>J28/60</f>
        <v/>
      </c>
      <c r="L28" s="41">
        <f>IFERROR(J28/H28,"")</f>
        <v/>
      </c>
      <c r="M28" s="25" t="inlineStr">
        <is>
          <t>2.5.12</t>
        </is>
      </c>
      <c r="N28" s="25">
        <f>IF(J28&gt;300,1,0)</f>
        <v/>
      </c>
      <c r="O28" s="25">
        <f>IF(J28&gt;600,1,0)</f>
        <v/>
      </c>
      <c r="P28" s="25">
        <f>IF(H28&gt;0,J28,"")</f>
        <v/>
      </c>
      <c r="Q28" s="25">
        <f>TEXT(A28,"YYYY-MM-DD HH")</f>
        <v/>
      </c>
      <c r="R28" s="25">
        <f>COUNTIF($Q$2:$Q$5295,Q28)</f>
        <v/>
      </c>
      <c r="S28" s="25">
        <f>IF(R28&lt;=2,"1-2",IF(R28&lt;=5,"3-5",IF(R28&lt;=10,"6-10","11+")))</f>
        <v/>
      </c>
    </row>
    <row r="29">
      <c r="A29" s="39" t="n">
        <v>46146.22837962963</v>
      </c>
      <c r="B29" s="25">
        <f>TEXT(A29,"YYYY-MM")</f>
        <v/>
      </c>
      <c r="C29" s="25">
        <f>TEXT(A29,"MMM-YYYY")</f>
        <v/>
      </c>
      <c r="D29" s="40">
        <f>INT(A29)-WEEKDAY(A29,2)+1</f>
        <v/>
      </c>
      <c r="E29" s="25" t="inlineStr">
        <is>
          <t>ns</t>
        </is>
      </c>
      <c r="F29" s="25" t="n">
        <v>113457</v>
      </c>
      <c r="G29" s="25" t="n">
        <v>1</v>
      </c>
      <c r="H29" s="25" t="n">
        <v>5</v>
      </c>
      <c r="I29" s="25" t="inlineStr">
        <is>
          <t>2 minute(s) and 13 second(s)</t>
        </is>
      </c>
      <c r="J29" s="25">
        <f>IFERROR(VALUE(TRIM(LEFT(I29,FIND("minute",I29)-1)))*60,0)+IFERROR(VALUE(SUBSTITUTE(MID(I29,IFERROR(FIND("and",I29)+3,1),20),"second(s)","")),0)</f>
        <v/>
      </c>
      <c r="K29" s="41">
        <f>J29/60</f>
        <v/>
      </c>
      <c r="L29" s="41">
        <f>IFERROR(J29/H29,"")</f>
        <v/>
      </c>
      <c r="M29" s="25" t="inlineStr">
        <is>
          <t>2.5.12</t>
        </is>
      </c>
      <c r="N29" s="25">
        <f>IF(J29&gt;300,1,0)</f>
        <v/>
      </c>
      <c r="O29" s="25">
        <f>IF(J29&gt;600,1,0)</f>
        <v/>
      </c>
      <c r="P29" s="25">
        <f>IF(H29&gt;0,J29,"")</f>
        <v/>
      </c>
      <c r="Q29" s="25">
        <f>TEXT(A29,"YYYY-MM-DD HH")</f>
        <v/>
      </c>
      <c r="R29" s="25">
        <f>COUNTIF($Q$2:$Q$5295,Q29)</f>
        <v/>
      </c>
      <c r="S29" s="25">
        <f>IF(R29&lt;=2,"1-2",IF(R29&lt;=5,"3-5",IF(R29&lt;=10,"6-10","11+")))</f>
        <v/>
      </c>
    </row>
    <row r="30">
      <c r="A30" s="39" t="n">
        <v>46146.23575231482</v>
      </c>
      <c r="B30" s="25">
        <f>TEXT(A30,"YYYY-MM")</f>
        <v/>
      </c>
      <c r="C30" s="25">
        <f>TEXT(A30,"MMM-YYYY")</f>
        <v/>
      </c>
      <c r="D30" s="40">
        <f>INT(A30)-WEEKDAY(A30,2)+1</f>
        <v/>
      </c>
      <c r="E30" s="25" t="inlineStr">
        <is>
          <t>ns</t>
        </is>
      </c>
      <c r="F30" s="25" t="n">
        <v>113457</v>
      </c>
      <c r="G30" s="25" t="n">
        <v>5</v>
      </c>
      <c r="H30" s="25" t="n">
        <v>25</v>
      </c>
      <c r="I30" s="25" t="inlineStr">
        <is>
          <t>6 minute(s) and 2 second(s)</t>
        </is>
      </c>
      <c r="J30" s="25">
        <f>IFERROR(VALUE(TRIM(LEFT(I30,FIND("minute",I30)-1)))*60,0)+IFERROR(VALUE(SUBSTITUTE(MID(I30,IFERROR(FIND("and",I30)+3,1),20),"second(s)","")),0)</f>
        <v/>
      </c>
      <c r="K30" s="41">
        <f>J30/60</f>
        <v/>
      </c>
      <c r="L30" s="41">
        <f>IFERROR(J30/H30,"")</f>
        <v/>
      </c>
      <c r="M30" s="25" t="inlineStr">
        <is>
          <t>2.5.12</t>
        </is>
      </c>
      <c r="N30" s="25">
        <f>IF(J30&gt;300,1,0)</f>
        <v/>
      </c>
      <c r="O30" s="25">
        <f>IF(J30&gt;600,1,0)</f>
        <v/>
      </c>
      <c r="P30" s="25">
        <f>IF(H30&gt;0,J30,"")</f>
        <v/>
      </c>
      <c r="Q30" s="25">
        <f>TEXT(A30,"YYYY-MM-DD HH")</f>
        <v/>
      </c>
      <c r="R30" s="25">
        <f>COUNTIF($Q$2:$Q$5295,Q30)</f>
        <v/>
      </c>
      <c r="S30" s="25">
        <f>IF(R30&lt;=2,"1-2",IF(R30&lt;=5,"3-5",IF(R30&lt;=10,"6-10","11+")))</f>
        <v/>
      </c>
    </row>
    <row r="31">
      <c r="A31" s="39" t="n">
        <v>46146.30438657408</v>
      </c>
      <c r="B31" s="25">
        <f>TEXT(A31,"YYYY-MM")</f>
        <v/>
      </c>
      <c r="C31" s="25">
        <f>TEXT(A31,"MMM-YYYY")</f>
        <v/>
      </c>
      <c r="D31" s="40">
        <f>INT(A31)-WEEKDAY(A31,2)+1</f>
        <v/>
      </c>
      <c r="E31" s="25" t="inlineStr">
        <is>
          <t>ns</t>
        </is>
      </c>
      <c r="F31" s="25" t="n">
        <v>116363</v>
      </c>
      <c r="G31" s="25" t="n">
        <v>5</v>
      </c>
      <c r="H31" s="25" t="n">
        <v>26</v>
      </c>
      <c r="I31" s="25" t="inlineStr">
        <is>
          <t>7 minute(s) and 9 second(s)</t>
        </is>
      </c>
      <c r="J31" s="25">
        <f>IFERROR(VALUE(TRIM(LEFT(I31,FIND("minute",I31)-1)))*60,0)+IFERROR(VALUE(SUBSTITUTE(MID(I31,IFERROR(FIND("and",I31)+3,1),20),"second(s)","")),0)</f>
        <v/>
      </c>
      <c r="K31" s="41">
        <f>J31/60</f>
        <v/>
      </c>
      <c r="L31" s="41">
        <f>IFERROR(J31/H31,"")</f>
        <v/>
      </c>
      <c r="M31" s="25" t="inlineStr">
        <is>
          <t>2.5.12</t>
        </is>
      </c>
      <c r="N31" s="25">
        <f>IF(J31&gt;300,1,0)</f>
        <v/>
      </c>
      <c r="O31" s="25">
        <f>IF(J31&gt;600,1,0)</f>
        <v/>
      </c>
      <c r="P31" s="25">
        <f>IF(H31&gt;0,J31,"")</f>
        <v/>
      </c>
      <c r="Q31" s="25">
        <f>TEXT(A31,"YYYY-MM-DD HH")</f>
        <v/>
      </c>
      <c r="R31" s="25">
        <f>COUNTIF($Q$2:$Q$5295,Q31)</f>
        <v/>
      </c>
      <c r="S31" s="25">
        <f>IF(R31&lt;=2,"1-2",IF(R31&lt;=5,"3-5",IF(R31&lt;=10,"6-10","11+")))</f>
        <v/>
      </c>
    </row>
    <row r="32">
      <c r="A32" s="39" t="n">
        <v>46146.31685185185</v>
      </c>
      <c r="B32" s="25">
        <f>TEXT(A32,"YYYY-MM")</f>
        <v/>
      </c>
      <c r="C32" s="25">
        <f>TEXT(A32,"MMM-YYYY")</f>
        <v/>
      </c>
      <c r="D32" s="40">
        <f>INT(A32)-WEEKDAY(A32,2)+1</f>
        <v/>
      </c>
      <c r="E32" s="25" t="inlineStr">
        <is>
          <t>ssaha</t>
        </is>
      </c>
      <c r="F32" s="25" t="n">
        <v>2</v>
      </c>
      <c r="G32" s="25" t="n">
        <v>5</v>
      </c>
      <c r="H32" s="25" t="n">
        <v>23</v>
      </c>
      <c r="I32" s="25" t="inlineStr">
        <is>
          <t>5 minute(s) and 24 second(s)</t>
        </is>
      </c>
      <c r="J32" s="25">
        <f>IFERROR(VALUE(TRIM(LEFT(I32,FIND("minute",I32)-1)))*60,0)+IFERROR(VALUE(SUBSTITUTE(MID(I32,IFERROR(FIND("and",I32)+3,1),20),"second(s)","")),0)</f>
        <v/>
      </c>
      <c r="K32" s="41">
        <f>J32/60</f>
        <v/>
      </c>
      <c r="L32" s="41">
        <f>IFERROR(J32/H32,"")</f>
        <v/>
      </c>
      <c r="M32" s="25" t="inlineStr">
        <is>
          <t>2.5.9</t>
        </is>
      </c>
      <c r="N32" s="25">
        <f>IF(J32&gt;300,1,0)</f>
        <v/>
      </c>
      <c r="O32" s="25">
        <f>IF(J32&gt;600,1,0)</f>
        <v/>
      </c>
      <c r="P32" s="25">
        <f>IF(H32&gt;0,J32,"")</f>
        <v/>
      </c>
      <c r="Q32" s="25">
        <f>TEXT(A32,"YYYY-MM-DD HH")</f>
        <v/>
      </c>
      <c r="R32" s="25">
        <f>COUNTIF($Q$2:$Q$5295,Q32)</f>
        <v/>
      </c>
      <c r="S32" s="25">
        <f>IF(R32&lt;=2,"1-2",IF(R32&lt;=5,"3-5",IF(R32&lt;=10,"6-10","11+")))</f>
        <v/>
      </c>
    </row>
    <row r="33">
      <c r="A33" s="39" t="n">
        <v>46146.32868055555</v>
      </c>
      <c r="B33" s="25">
        <f>TEXT(A33,"YYYY-MM")</f>
        <v/>
      </c>
      <c r="C33" s="25">
        <f>TEXT(A33,"MMM-YYYY")</f>
        <v/>
      </c>
      <c r="D33" s="40">
        <f>INT(A33)-WEEKDAY(A33,2)+1</f>
        <v/>
      </c>
      <c r="E33" s="25" t="inlineStr">
        <is>
          <t>ssaha</t>
        </is>
      </c>
      <c r="F33" s="25" t="n">
        <v>3</v>
      </c>
      <c r="G33" s="25" t="n">
        <v>5</v>
      </c>
      <c r="H33" s="25" t="n">
        <v>23</v>
      </c>
      <c r="I33" s="25" t="inlineStr">
        <is>
          <t>3 minute(s) and 50 second(s)</t>
        </is>
      </c>
      <c r="J33" s="25">
        <f>IFERROR(VALUE(TRIM(LEFT(I33,FIND("minute",I33)-1)))*60,0)+IFERROR(VALUE(SUBSTITUTE(MID(I33,IFERROR(FIND("and",I33)+3,1),20),"second(s)","")),0)</f>
        <v/>
      </c>
      <c r="K33" s="41">
        <f>J33/60</f>
        <v/>
      </c>
      <c r="L33" s="41">
        <f>IFERROR(J33/H33,"")</f>
        <v/>
      </c>
      <c r="M33" s="25" t="inlineStr">
        <is>
          <t>2.5.10</t>
        </is>
      </c>
      <c r="N33" s="25">
        <f>IF(J33&gt;300,1,0)</f>
        <v/>
      </c>
      <c r="O33" s="25">
        <f>IF(J33&gt;600,1,0)</f>
        <v/>
      </c>
      <c r="P33" s="25">
        <f>IF(H33&gt;0,J33,"")</f>
        <v/>
      </c>
      <c r="Q33" s="25">
        <f>TEXT(A33,"YYYY-MM-DD HH")</f>
        <v/>
      </c>
      <c r="R33" s="25">
        <f>COUNTIF($Q$2:$Q$5295,Q33)</f>
        <v/>
      </c>
      <c r="S33" s="25">
        <f>IF(R33&lt;=2,"1-2",IF(R33&lt;=5,"3-5",IF(R33&lt;=10,"6-10","11+")))</f>
        <v/>
      </c>
    </row>
    <row r="34">
      <c r="A34" s="39" t="n">
        <v>46146.3471875</v>
      </c>
      <c r="B34" s="25">
        <f>TEXT(A34,"YYYY-MM")</f>
        <v/>
      </c>
      <c r="C34" s="25">
        <f>TEXT(A34,"MMM-YYYY")</f>
        <v/>
      </c>
      <c r="D34" s="40">
        <f>INT(A34)-WEEKDAY(A34,2)+1</f>
        <v/>
      </c>
      <c r="E34" s="25" t="inlineStr">
        <is>
          <t>ssaha</t>
        </is>
      </c>
      <c r="F34" s="25" t="n">
        <v>19797</v>
      </c>
      <c r="G34" s="25" t="n">
        <v>2</v>
      </c>
      <c r="H34" s="25" t="n">
        <v>11</v>
      </c>
      <c r="I34" s="25" t="inlineStr">
        <is>
          <t>2 minute(s) and 7 second(s)</t>
        </is>
      </c>
      <c r="J34" s="25">
        <f>IFERROR(VALUE(TRIM(LEFT(I34,FIND("minute",I34)-1)))*60,0)+IFERROR(VALUE(SUBSTITUTE(MID(I34,IFERROR(FIND("and",I34)+3,1),20),"second(s)","")),0)</f>
        <v/>
      </c>
      <c r="K34" s="41">
        <f>J34/60</f>
        <v/>
      </c>
      <c r="L34" s="41">
        <f>IFERROR(J34/H34,"")</f>
        <v/>
      </c>
      <c r="M34" s="25" t="inlineStr">
        <is>
          <t>2.5.11</t>
        </is>
      </c>
      <c r="N34" s="25">
        <f>IF(J34&gt;300,1,0)</f>
        <v/>
      </c>
      <c r="O34" s="25">
        <f>IF(J34&gt;600,1,0)</f>
        <v/>
      </c>
      <c r="P34" s="25">
        <f>IF(H34&gt;0,J34,"")</f>
        <v/>
      </c>
      <c r="Q34" s="25">
        <f>TEXT(A34,"YYYY-MM-DD HH")</f>
        <v/>
      </c>
      <c r="R34" s="25">
        <f>COUNTIF($Q$2:$Q$5295,Q34)</f>
        <v/>
      </c>
      <c r="S34" s="25">
        <f>IF(R34&lt;=2,"1-2",IF(R34&lt;=5,"3-5",IF(R34&lt;=10,"6-10","11+")))</f>
        <v/>
      </c>
    </row>
    <row r="35">
      <c r="A35" s="39" t="n">
        <v>46146.35185185185</v>
      </c>
      <c r="B35" s="25">
        <f>TEXT(A35,"YYYY-MM")</f>
        <v/>
      </c>
      <c r="C35" s="25">
        <f>TEXT(A35,"MMM-YYYY")</f>
        <v/>
      </c>
      <c r="D35" s="40">
        <f>INT(A35)-WEEKDAY(A35,2)+1</f>
        <v/>
      </c>
      <c r="E35" s="25" t="inlineStr">
        <is>
          <t>mgupta</t>
        </is>
      </c>
      <c r="F35" s="25" t="n">
        <v>97937</v>
      </c>
      <c r="G35" s="25" t="n">
        <v>2</v>
      </c>
      <c r="H35" s="25" t="n">
        <v>12</v>
      </c>
      <c r="I35" s="25" t="inlineStr">
        <is>
          <t>2 minute(s) and 41 second(s)</t>
        </is>
      </c>
      <c r="J35" s="25">
        <f>IFERROR(VALUE(TRIM(LEFT(I35,FIND("minute",I35)-1)))*60,0)+IFERROR(VALUE(SUBSTITUTE(MID(I35,IFERROR(FIND("and",I35)+3,1),20),"second(s)","")),0)</f>
        <v/>
      </c>
      <c r="K35" s="41">
        <f>J35/60</f>
        <v/>
      </c>
      <c r="L35" s="41">
        <f>IFERROR(J35/H35,"")</f>
        <v/>
      </c>
      <c r="M35" s="25" t="inlineStr">
        <is>
          <t>2.5.12</t>
        </is>
      </c>
      <c r="N35" s="25">
        <f>IF(J35&gt;300,1,0)</f>
        <v/>
      </c>
      <c r="O35" s="25">
        <f>IF(J35&gt;600,1,0)</f>
        <v/>
      </c>
      <c r="P35" s="25">
        <f>IF(H35&gt;0,J35,"")</f>
        <v/>
      </c>
      <c r="Q35" s="25">
        <f>TEXT(A35,"YYYY-MM-DD HH")</f>
        <v/>
      </c>
      <c r="R35" s="25">
        <f>COUNTIF($Q$2:$Q$5295,Q35)</f>
        <v/>
      </c>
      <c r="S35" s="25">
        <f>IF(R35&lt;=2,"1-2",IF(R35&lt;=5,"3-5",IF(R35&lt;=10,"6-10","11+")))</f>
        <v/>
      </c>
    </row>
    <row r="36">
      <c r="A36" s="39" t="n">
        <v>46146.37188657407</v>
      </c>
      <c r="B36" s="25">
        <f>TEXT(A36,"YYYY-MM")</f>
        <v/>
      </c>
      <c r="C36" s="25">
        <f>TEXT(A36,"MMM-YYYY")</f>
        <v/>
      </c>
      <c r="D36" s="40">
        <f>INT(A36)-WEEKDAY(A36,2)+1</f>
        <v/>
      </c>
      <c r="E36" s="25" t="inlineStr">
        <is>
          <t>ssaha</t>
        </is>
      </c>
      <c r="F36" s="25" t="n">
        <v>94540</v>
      </c>
      <c r="G36" s="25" t="n">
        <v>5</v>
      </c>
      <c r="H36" s="25" t="n">
        <v>17</v>
      </c>
      <c r="I36" s="25" t="inlineStr">
        <is>
          <t>3 minute(s) and 34 second(s)</t>
        </is>
      </c>
      <c r="J36" s="25">
        <f>IFERROR(VALUE(TRIM(LEFT(I36,FIND("minute",I36)-1)))*60,0)+IFERROR(VALUE(SUBSTITUTE(MID(I36,IFERROR(FIND("and",I36)+3,1),20),"second(s)","")),0)</f>
        <v/>
      </c>
      <c r="K36" s="41">
        <f>J36/60</f>
        <v/>
      </c>
      <c r="L36" s="41">
        <f>IFERROR(J36/H36,"")</f>
        <v/>
      </c>
      <c r="M36" s="25" t="inlineStr">
        <is>
          <t>2.5.12</t>
        </is>
      </c>
      <c r="N36" s="25">
        <f>IF(J36&gt;300,1,0)</f>
        <v/>
      </c>
      <c r="O36" s="25">
        <f>IF(J36&gt;600,1,0)</f>
        <v/>
      </c>
      <c r="P36" s="25">
        <f>IF(H36&gt;0,J36,"")</f>
        <v/>
      </c>
      <c r="Q36" s="25">
        <f>TEXT(A36,"YYYY-MM-DD HH")</f>
        <v/>
      </c>
      <c r="R36" s="25">
        <f>COUNTIF($Q$2:$Q$5295,Q36)</f>
        <v/>
      </c>
      <c r="S36" s="25">
        <f>IF(R36&lt;=2,"1-2",IF(R36&lt;=5,"3-5",IF(R36&lt;=10,"6-10","11+")))</f>
        <v/>
      </c>
    </row>
    <row r="37">
      <c r="A37" s="39" t="n">
        <v>46146.38215277778</v>
      </c>
      <c r="B37" s="25">
        <f>TEXT(A37,"YYYY-MM")</f>
        <v/>
      </c>
      <c r="C37" s="25">
        <f>TEXT(A37,"MMM-YYYY")</f>
        <v/>
      </c>
      <c r="D37" s="40">
        <f>INT(A37)-WEEKDAY(A37,2)+1</f>
        <v/>
      </c>
      <c r="E37" s="25" t="inlineStr">
        <is>
          <t>ns</t>
        </is>
      </c>
      <c r="F37" s="25" t="n">
        <v>116469</v>
      </c>
      <c r="G37" s="25" t="n">
        <v>5</v>
      </c>
      <c r="H37" s="25" t="n">
        <v>25</v>
      </c>
      <c r="I37" s="25" t="inlineStr">
        <is>
          <t>5 minute(s) and 19 second(s)</t>
        </is>
      </c>
      <c r="J37" s="25">
        <f>IFERROR(VALUE(TRIM(LEFT(I37,FIND("minute",I37)-1)))*60,0)+IFERROR(VALUE(SUBSTITUTE(MID(I37,IFERROR(FIND("and",I37)+3,1),20),"second(s)","")),0)</f>
        <v/>
      </c>
      <c r="K37" s="41">
        <f>J37/60</f>
        <v/>
      </c>
      <c r="L37" s="41">
        <f>IFERROR(J37/H37,"")</f>
        <v/>
      </c>
      <c r="M37" s="25" t="inlineStr">
        <is>
          <t>2.5.12</t>
        </is>
      </c>
      <c r="N37" s="25">
        <f>IF(J37&gt;300,1,0)</f>
        <v/>
      </c>
      <c r="O37" s="25">
        <f>IF(J37&gt;600,1,0)</f>
        <v/>
      </c>
      <c r="P37" s="25">
        <f>IF(H37&gt;0,J37,"")</f>
        <v/>
      </c>
      <c r="Q37" s="25">
        <f>TEXT(A37,"YYYY-MM-DD HH")</f>
        <v/>
      </c>
      <c r="R37" s="25">
        <f>COUNTIF($Q$2:$Q$5295,Q37)</f>
        <v/>
      </c>
      <c r="S37" s="25">
        <f>IF(R37&lt;=2,"1-2",IF(R37&lt;=5,"3-5",IF(R37&lt;=10,"6-10","11+")))</f>
        <v/>
      </c>
    </row>
    <row r="38">
      <c r="A38" s="39" t="n">
        <v>46146.41334490741</v>
      </c>
      <c r="B38" s="25">
        <f>TEXT(A38,"YYYY-MM")</f>
        <v/>
      </c>
      <c r="C38" s="25">
        <f>TEXT(A38,"MMM-YYYY")</f>
        <v/>
      </c>
      <c r="D38" s="40">
        <f>INT(A38)-WEEKDAY(A38,2)+1</f>
        <v/>
      </c>
      <c r="E38" s="25" t="inlineStr">
        <is>
          <t>mgupta</t>
        </is>
      </c>
      <c r="F38" s="25" t="n">
        <v>93109</v>
      </c>
      <c r="G38" s="25" t="n">
        <v>3</v>
      </c>
      <c r="H38" s="25" t="n">
        <v>15</v>
      </c>
      <c r="I38" s="25" t="inlineStr">
        <is>
          <t>3 minute(s) and 0 second(s)</t>
        </is>
      </c>
      <c r="J38" s="25">
        <f>IFERROR(VALUE(TRIM(LEFT(I38,FIND("minute",I38)-1)))*60,0)+IFERROR(VALUE(SUBSTITUTE(MID(I38,IFERROR(FIND("and",I38)+3,1),20),"second(s)","")),0)</f>
        <v/>
      </c>
      <c r="K38" s="41">
        <f>J38/60</f>
        <v/>
      </c>
      <c r="L38" s="41">
        <f>IFERROR(J38/H38,"")</f>
        <v/>
      </c>
      <c r="M38" s="25" t="inlineStr">
        <is>
          <t>2.5.12</t>
        </is>
      </c>
      <c r="N38" s="25">
        <f>IF(J38&gt;300,1,0)</f>
        <v/>
      </c>
      <c r="O38" s="25">
        <f>IF(J38&gt;600,1,0)</f>
        <v/>
      </c>
      <c r="P38" s="25">
        <f>IF(H38&gt;0,J38,"")</f>
        <v/>
      </c>
      <c r="Q38" s="25">
        <f>TEXT(A38,"YYYY-MM-DD HH")</f>
        <v/>
      </c>
      <c r="R38" s="25">
        <f>COUNTIF($Q$2:$Q$5295,Q38)</f>
        <v/>
      </c>
      <c r="S38" s="25">
        <f>IF(R38&lt;=2,"1-2",IF(R38&lt;=5,"3-5",IF(R38&lt;=10,"6-10","11+")))</f>
        <v/>
      </c>
    </row>
    <row r="39">
      <c r="A39" s="39" t="n">
        <v>46146.42789351852</v>
      </c>
      <c r="B39" s="25">
        <f>TEXT(A39,"YYYY-MM")</f>
        <v/>
      </c>
      <c r="C39" s="25">
        <f>TEXT(A39,"MMM-YYYY")</f>
        <v/>
      </c>
      <c r="D39" s="40">
        <f>INT(A39)-WEEKDAY(A39,2)+1</f>
        <v/>
      </c>
      <c r="E39" s="25" t="inlineStr">
        <is>
          <t>ethomas</t>
        </is>
      </c>
      <c r="F39" s="25" t="n">
        <v>95317</v>
      </c>
      <c r="G39" s="25" t="n">
        <v>5</v>
      </c>
      <c r="H39" s="25" t="n">
        <v>17</v>
      </c>
      <c r="I39" s="25" t="inlineStr">
        <is>
          <t>4 minute(s) and 5 second(s)</t>
        </is>
      </c>
      <c r="J39" s="25">
        <f>IFERROR(VALUE(TRIM(LEFT(I39,FIND("minute",I39)-1)))*60,0)+IFERROR(VALUE(SUBSTITUTE(MID(I39,IFERROR(FIND("and",I39)+3,1),20),"second(s)","")),0)</f>
        <v/>
      </c>
      <c r="K39" s="41">
        <f>J39/60</f>
        <v/>
      </c>
      <c r="L39" s="41">
        <f>IFERROR(J39/H39,"")</f>
        <v/>
      </c>
      <c r="M39" s="25" t="inlineStr">
        <is>
          <t>2.5.12</t>
        </is>
      </c>
      <c r="N39" s="25">
        <f>IF(J39&gt;300,1,0)</f>
        <v/>
      </c>
      <c r="O39" s="25">
        <f>IF(J39&gt;600,1,0)</f>
        <v/>
      </c>
      <c r="P39" s="25">
        <f>IF(H39&gt;0,J39,"")</f>
        <v/>
      </c>
      <c r="Q39" s="25">
        <f>TEXT(A39,"YYYY-MM-DD HH")</f>
        <v/>
      </c>
      <c r="R39" s="25">
        <f>COUNTIF($Q$2:$Q$5295,Q39)</f>
        <v/>
      </c>
      <c r="S39" s="25">
        <f>IF(R39&lt;=2,"1-2",IF(R39&lt;=5,"3-5",IF(R39&lt;=10,"6-10","11+")))</f>
        <v/>
      </c>
    </row>
    <row r="40">
      <c r="A40" s="39" t="n">
        <v>46146.43326388889</v>
      </c>
      <c r="B40" s="25">
        <f>TEXT(A40,"YYYY-MM")</f>
        <v/>
      </c>
      <c r="C40" s="25">
        <f>TEXT(A40,"MMM-YYYY")</f>
        <v/>
      </c>
      <c r="D40" s="40">
        <f>INT(A40)-WEEKDAY(A40,2)+1</f>
        <v/>
      </c>
      <c r="E40" s="25" t="inlineStr">
        <is>
          <t>csaha</t>
        </is>
      </c>
      <c r="F40" s="25" t="n">
        <v>12345</v>
      </c>
      <c r="G40" s="25" t="n">
        <v>1</v>
      </c>
      <c r="H40" s="25" t="n">
        <v>5</v>
      </c>
      <c r="I40" s="25" t="inlineStr">
        <is>
          <t>2 minute(s) and 28 second(s)</t>
        </is>
      </c>
      <c r="J40" s="25">
        <f>IFERROR(VALUE(TRIM(LEFT(I40,FIND("minute",I40)-1)))*60,0)+IFERROR(VALUE(SUBSTITUTE(MID(I40,IFERROR(FIND("and",I40)+3,1),20),"second(s)","")),0)</f>
        <v/>
      </c>
      <c r="K40" s="41">
        <f>J40/60</f>
        <v/>
      </c>
      <c r="L40" s="41">
        <f>IFERROR(J40/H40,"")</f>
        <v/>
      </c>
      <c r="M40" s="25" t="inlineStr">
        <is>
          <t>2.5.12</t>
        </is>
      </c>
      <c r="N40" s="25">
        <f>IF(J40&gt;300,1,0)</f>
        <v/>
      </c>
      <c r="O40" s="25">
        <f>IF(J40&gt;600,1,0)</f>
        <v/>
      </c>
      <c r="P40" s="25">
        <f>IF(H40&gt;0,J40,"")</f>
        <v/>
      </c>
      <c r="Q40" s="25">
        <f>TEXT(A40,"YYYY-MM-DD HH")</f>
        <v/>
      </c>
      <c r="R40" s="25">
        <f>COUNTIF($Q$2:$Q$5295,Q40)</f>
        <v/>
      </c>
      <c r="S40" s="25">
        <f>IF(R40&lt;=2,"1-2",IF(R40&lt;=5,"3-5",IF(R40&lt;=10,"6-10","11+")))</f>
        <v/>
      </c>
    </row>
    <row r="41">
      <c r="A41" s="39" t="n">
        <v>46146.43525462963</v>
      </c>
      <c r="B41" s="25">
        <f>TEXT(A41,"YYYY-MM")</f>
        <v/>
      </c>
      <c r="C41" s="25">
        <f>TEXT(A41,"MMM-YYYY")</f>
        <v/>
      </c>
      <c r="D41" s="40">
        <f>INT(A41)-WEEKDAY(A41,2)+1</f>
        <v/>
      </c>
      <c r="E41" s="25" t="inlineStr">
        <is>
          <t>nlnu</t>
        </is>
      </c>
      <c r="F41" s="25" t="n">
        <v>60745</v>
      </c>
      <c r="G41" s="25" t="n">
        <v>5</v>
      </c>
      <c r="H41" s="25" t="n">
        <v>25</v>
      </c>
      <c r="I41" s="25" t="inlineStr">
        <is>
          <t>7 minute(s) and 6 second(s)</t>
        </is>
      </c>
      <c r="J41" s="25">
        <f>IFERROR(VALUE(TRIM(LEFT(I41,FIND("minute",I41)-1)))*60,0)+IFERROR(VALUE(SUBSTITUTE(MID(I41,IFERROR(FIND("and",I41)+3,1),20),"second(s)","")),0)</f>
        <v/>
      </c>
      <c r="K41" s="41">
        <f>J41/60</f>
        <v/>
      </c>
      <c r="L41" s="41">
        <f>IFERROR(J41/H41,"")</f>
        <v/>
      </c>
      <c r="M41" s="25" t="inlineStr">
        <is>
          <t>2.5.12</t>
        </is>
      </c>
      <c r="N41" s="25">
        <f>IF(J41&gt;300,1,0)</f>
        <v/>
      </c>
      <c r="O41" s="25">
        <f>IF(J41&gt;600,1,0)</f>
        <v/>
      </c>
      <c r="P41" s="25">
        <f>IF(H41&gt;0,J41,"")</f>
        <v/>
      </c>
      <c r="Q41" s="25">
        <f>TEXT(A41,"YYYY-MM-DD HH")</f>
        <v/>
      </c>
      <c r="R41" s="25">
        <f>COUNTIF($Q$2:$Q$5295,Q41)</f>
        <v/>
      </c>
      <c r="S41" s="25">
        <f>IF(R41&lt;=2,"1-2",IF(R41&lt;=5,"3-5",IF(R41&lt;=10,"6-10","11+")))</f>
        <v/>
      </c>
    </row>
    <row r="42">
      <c r="A42" s="39" t="n">
        <v>46146.43631944444</v>
      </c>
      <c r="B42" s="25">
        <f>TEXT(A42,"YYYY-MM")</f>
        <v/>
      </c>
      <c r="C42" s="25">
        <f>TEXT(A42,"MMM-YYYY")</f>
        <v/>
      </c>
      <c r="D42" s="40">
        <f>INT(A42)-WEEKDAY(A42,2)+1</f>
        <v/>
      </c>
      <c r="E42" s="25" t="inlineStr">
        <is>
          <t>csaha</t>
        </is>
      </c>
      <c r="F42" s="25" t="n">
        <v>1234</v>
      </c>
      <c r="G42" s="25" t="n">
        <v>1</v>
      </c>
      <c r="H42" s="25" t="n">
        <v>5</v>
      </c>
      <c r="I42" s="25" t="inlineStr">
        <is>
          <t>41 second(s)</t>
        </is>
      </c>
      <c r="J42" s="25">
        <f>IFERROR(VALUE(TRIM(LEFT(I42,FIND("minute",I42)-1)))*60,0)+IFERROR(VALUE(SUBSTITUTE(MID(I42,IFERROR(FIND("and",I42)+3,1),20),"second(s)","")),0)</f>
        <v/>
      </c>
      <c r="K42" s="41">
        <f>J42/60</f>
        <v/>
      </c>
      <c r="L42" s="41">
        <f>IFERROR(J42/H42,"")</f>
        <v/>
      </c>
      <c r="M42" s="25" t="inlineStr">
        <is>
          <t>2.5.12</t>
        </is>
      </c>
      <c r="N42" s="25">
        <f>IF(J42&gt;300,1,0)</f>
        <v/>
      </c>
      <c r="O42" s="25">
        <f>IF(J42&gt;600,1,0)</f>
        <v/>
      </c>
      <c r="P42" s="25">
        <f>IF(H42&gt;0,J42,"")</f>
        <v/>
      </c>
      <c r="Q42" s="25">
        <f>TEXT(A42,"YYYY-MM-DD HH")</f>
        <v/>
      </c>
      <c r="R42" s="25">
        <f>COUNTIF($Q$2:$Q$5295,Q42)</f>
        <v/>
      </c>
      <c r="S42" s="25">
        <f>IF(R42&lt;=2,"1-2",IF(R42&lt;=5,"3-5",IF(R42&lt;=10,"6-10","11+")))</f>
        <v/>
      </c>
    </row>
    <row r="43">
      <c r="A43" s="39" t="n">
        <v>46146.46265046296</v>
      </c>
      <c r="B43" s="25">
        <f>TEXT(A43,"YYYY-MM")</f>
        <v/>
      </c>
      <c r="C43" s="25">
        <f>TEXT(A43,"MMM-YYYY")</f>
        <v/>
      </c>
      <c r="D43" s="40">
        <f>INT(A43)-WEEKDAY(A43,2)+1</f>
        <v/>
      </c>
      <c r="E43" s="25" t="inlineStr">
        <is>
          <t>aghosh</t>
        </is>
      </c>
      <c r="F43" s="25" t="n">
        <v>113207</v>
      </c>
      <c r="G43" s="25" t="n">
        <v>5</v>
      </c>
      <c r="H43" s="25" t="n">
        <v>9</v>
      </c>
      <c r="I43" s="25" t="inlineStr">
        <is>
          <t>1 minute(s) and 58 second(s)</t>
        </is>
      </c>
      <c r="J43" s="25">
        <f>IFERROR(VALUE(TRIM(LEFT(I43,FIND("minute",I43)-1)))*60,0)+IFERROR(VALUE(SUBSTITUTE(MID(I43,IFERROR(FIND("and",I43)+3,1),20),"second(s)","")),0)</f>
        <v/>
      </c>
      <c r="K43" s="41">
        <f>J43/60</f>
        <v/>
      </c>
      <c r="L43" s="41">
        <f>IFERROR(J43/H43,"")</f>
        <v/>
      </c>
      <c r="M43" s="25" t="inlineStr">
        <is>
          <t>2.5.12</t>
        </is>
      </c>
      <c r="N43" s="25">
        <f>IF(J43&gt;300,1,0)</f>
        <v/>
      </c>
      <c r="O43" s="25">
        <f>IF(J43&gt;600,1,0)</f>
        <v/>
      </c>
      <c r="P43" s="25">
        <f>IF(H43&gt;0,J43,"")</f>
        <v/>
      </c>
      <c r="Q43" s="25">
        <f>TEXT(A43,"YYYY-MM-DD HH")</f>
        <v/>
      </c>
      <c r="R43" s="25">
        <f>COUNTIF($Q$2:$Q$5295,Q43)</f>
        <v/>
      </c>
      <c r="S43" s="25">
        <f>IF(R43&lt;=2,"1-2",IF(R43&lt;=5,"3-5",IF(R43&lt;=10,"6-10","11+")))</f>
        <v/>
      </c>
    </row>
    <row r="44">
      <c r="A44" s="39" t="n">
        <v>46146.46873842592</v>
      </c>
      <c r="B44" s="25">
        <f>TEXT(A44,"YYYY-MM")</f>
        <v/>
      </c>
      <c r="C44" s="25">
        <f>TEXT(A44,"MMM-YYYY")</f>
        <v/>
      </c>
      <c r="D44" s="40">
        <f>INT(A44)-WEEKDAY(A44,2)+1</f>
        <v/>
      </c>
      <c r="E44" s="25" t="inlineStr">
        <is>
          <t>aghosh</t>
        </is>
      </c>
      <c r="F44" s="25" t="n">
        <v>113207</v>
      </c>
      <c r="G44" s="25" t="n">
        <v>5</v>
      </c>
      <c r="H44" s="25" t="n">
        <v>11</v>
      </c>
      <c r="I44" s="25" t="inlineStr">
        <is>
          <t>2 minute(s) and 27 second(s)</t>
        </is>
      </c>
      <c r="J44" s="25">
        <f>IFERROR(VALUE(TRIM(LEFT(I44,FIND("minute",I44)-1)))*60,0)+IFERROR(VALUE(SUBSTITUTE(MID(I44,IFERROR(FIND("and",I44)+3,1),20),"second(s)","")),0)</f>
        <v/>
      </c>
      <c r="K44" s="41">
        <f>J44/60</f>
        <v/>
      </c>
      <c r="L44" s="41">
        <f>IFERROR(J44/H44,"")</f>
        <v/>
      </c>
      <c r="M44" s="25" t="inlineStr">
        <is>
          <t>2.5.12</t>
        </is>
      </c>
      <c r="N44" s="25">
        <f>IF(J44&gt;300,1,0)</f>
        <v/>
      </c>
      <c r="O44" s="25">
        <f>IF(J44&gt;600,1,0)</f>
        <v/>
      </c>
      <c r="P44" s="25">
        <f>IF(H44&gt;0,J44,"")</f>
        <v/>
      </c>
      <c r="Q44" s="25">
        <f>TEXT(A44,"YYYY-MM-DD HH")</f>
        <v/>
      </c>
      <c r="R44" s="25">
        <f>COUNTIF($Q$2:$Q$5295,Q44)</f>
        <v/>
      </c>
      <c r="S44" s="25">
        <f>IF(R44&lt;=2,"1-2",IF(R44&lt;=5,"3-5",IF(R44&lt;=10,"6-10","11+")))</f>
        <v/>
      </c>
    </row>
    <row r="45">
      <c r="A45" s="39" t="n">
        <v>46146.50247685185</v>
      </c>
      <c r="B45" s="25">
        <f>TEXT(A45,"YYYY-MM")</f>
        <v/>
      </c>
      <c r="C45" s="25">
        <f>TEXT(A45,"MMM-YYYY")</f>
        <v/>
      </c>
      <c r="D45" s="40">
        <f>INT(A45)-WEEKDAY(A45,2)+1</f>
        <v/>
      </c>
      <c r="E45" s="25" t="inlineStr">
        <is>
          <t>ns</t>
        </is>
      </c>
      <c r="F45" s="25" t="n">
        <v>113580</v>
      </c>
      <c r="G45" s="25" t="n">
        <v>5</v>
      </c>
      <c r="H45" s="25" t="n">
        <v>25</v>
      </c>
      <c r="I45" s="25" t="inlineStr">
        <is>
          <t>4 minute(s) and 24 second(s)</t>
        </is>
      </c>
      <c r="J45" s="25">
        <f>IFERROR(VALUE(TRIM(LEFT(I45,FIND("minute",I45)-1)))*60,0)+IFERROR(VALUE(SUBSTITUTE(MID(I45,IFERROR(FIND("and",I45)+3,1),20),"second(s)","")),0)</f>
        <v/>
      </c>
      <c r="K45" s="41">
        <f>J45/60</f>
        <v/>
      </c>
      <c r="L45" s="41">
        <f>IFERROR(J45/H45,"")</f>
        <v/>
      </c>
      <c r="M45" s="25" t="inlineStr">
        <is>
          <t>2.5.12</t>
        </is>
      </c>
      <c r="N45" s="25">
        <f>IF(J45&gt;300,1,0)</f>
        <v/>
      </c>
      <c r="O45" s="25">
        <f>IF(J45&gt;600,1,0)</f>
        <v/>
      </c>
      <c r="P45" s="25">
        <f>IF(H45&gt;0,J45,"")</f>
        <v/>
      </c>
      <c r="Q45" s="25">
        <f>TEXT(A45,"YYYY-MM-DD HH")</f>
        <v/>
      </c>
      <c r="R45" s="25">
        <f>COUNTIF($Q$2:$Q$5295,Q45)</f>
        <v/>
      </c>
      <c r="S45" s="25">
        <f>IF(R45&lt;=2,"1-2",IF(R45&lt;=5,"3-5",IF(R45&lt;=10,"6-10","11+")))</f>
        <v/>
      </c>
    </row>
    <row r="46">
      <c r="A46" s="39" t="n">
        <v>46146.53758101852</v>
      </c>
      <c r="B46" s="25">
        <f>TEXT(A46,"YYYY-MM")</f>
        <v/>
      </c>
      <c r="C46" s="25">
        <f>TEXT(A46,"MMM-YYYY")</f>
        <v/>
      </c>
      <c r="D46" s="40">
        <f>INT(A46)-WEEKDAY(A46,2)+1</f>
        <v/>
      </c>
      <c r="E46" s="25" t="inlineStr">
        <is>
          <t>aghosh</t>
        </is>
      </c>
      <c r="F46" s="25" t="n">
        <v>92923</v>
      </c>
      <c r="G46" s="25" t="n">
        <v>1</v>
      </c>
      <c r="H46" s="25" t="n">
        <v>7</v>
      </c>
      <c r="I46" s="25" t="inlineStr">
        <is>
          <t>1 minute(s) and 24 second(s)</t>
        </is>
      </c>
      <c r="J46" s="25">
        <f>IFERROR(VALUE(TRIM(LEFT(I46,FIND("minute",I46)-1)))*60,0)+IFERROR(VALUE(SUBSTITUTE(MID(I46,IFERROR(FIND("and",I46)+3,1),20),"second(s)","")),0)</f>
        <v/>
      </c>
      <c r="K46" s="41">
        <f>J46/60</f>
        <v/>
      </c>
      <c r="L46" s="41">
        <f>IFERROR(J46/H46,"")</f>
        <v/>
      </c>
      <c r="M46" s="25" t="inlineStr">
        <is>
          <t>2.5.12</t>
        </is>
      </c>
      <c r="N46" s="25">
        <f>IF(J46&gt;300,1,0)</f>
        <v/>
      </c>
      <c r="O46" s="25">
        <f>IF(J46&gt;600,1,0)</f>
        <v/>
      </c>
      <c r="P46" s="25">
        <f>IF(H46&gt;0,J46,"")</f>
        <v/>
      </c>
      <c r="Q46" s="25">
        <f>TEXT(A46,"YYYY-MM-DD HH")</f>
        <v/>
      </c>
      <c r="R46" s="25">
        <f>COUNTIF($Q$2:$Q$5295,Q46)</f>
        <v/>
      </c>
      <c r="S46" s="25">
        <f>IF(R46&lt;=2,"1-2",IF(R46&lt;=5,"3-5",IF(R46&lt;=10,"6-10","11+")))</f>
        <v/>
      </c>
    </row>
    <row r="47">
      <c r="A47" s="39" t="n">
        <v>46146.58423611111</v>
      </c>
      <c r="B47" s="25">
        <f>TEXT(A47,"YYYY-MM")</f>
        <v/>
      </c>
      <c r="C47" s="25">
        <f>TEXT(A47,"MMM-YYYY")</f>
        <v/>
      </c>
      <c r="D47" s="40">
        <f>INT(A47)-WEEKDAY(A47,2)+1</f>
        <v/>
      </c>
      <c r="E47" s="25" t="inlineStr">
        <is>
          <t>aghosh</t>
        </is>
      </c>
      <c r="F47" s="25" t="n">
        <v>34297</v>
      </c>
      <c r="G47" s="25" t="n">
        <v>3</v>
      </c>
      <c r="H47" s="25" t="n">
        <v>15</v>
      </c>
      <c r="I47" s="25" t="inlineStr">
        <is>
          <t>3 minute(s) and 21 second(s)</t>
        </is>
      </c>
      <c r="J47" s="25">
        <f>IFERROR(VALUE(TRIM(LEFT(I47,FIND("minute",I47)-1)))*60,0)+IFERROR(VALUE(SUBSTITUTE(MID(I47,IFERROR(FIND("and",I47)+3,1),20),"second(s)","")),0)</f>
        <v/>
      </c>
      <c r="K47" s="41">
        <f>J47/60</f>
        <v/>
      </c>
      <c r="L47" s="41">
        <f>IFERROR(J47/H47,"")</f>
        <v/>
      </c>
      <c r="M47" s="25" t="inlineStr">
        <is>
          <t>2.5.12</t>
        </is>
      </c>
      <c r="N47" s="25">
        <f>IF(J47&gt;300,1,0)</f>
        <v/>
      </c>
      <c r="O47" s="25">
        <f>IF(J47&gt;600,1,0)</f>
        <v/>
      </c>
      <c r="P47" s="25">
        <f>IF(H47&gt;0,J47,"")</f>
        <v/>
      </c>
      <c r="Q47" s="25">
        <f>TEXT(A47,"YYYY-MM-DD HH")</f>
        <v/>
      </c>
      <c r="R47" s="25">
        <f>COUNTIF($Q$2:$Q$5295,Q47)</f>
        <v/>
      </c>
      <c r="S47" s="25">
        <f>IF(R47&lt;=2,"1-2",IF(R47&lt;=5,"3-5",IF(R47&lt;=10,"6-10","11+")))</f>
        <v/>
      </c>
    </row>
    <row r="48">
      <c r="A48" s="39" t="n">
        <v>46146.59172453704</v>
      </c>
      <c r="B48" s="25">
        <f>TEXT(A48,"YYYY-MM")</f>
        <v/>
      </c>
      <c r="C48" s="25">
        <f>TEXT(A48,"MMM-YYYY")</f>
        <v/>
      </c>
      <c r="D48" s="40">
        <f>INT(A48)-WEEKDAY(A48,2)+1</f>
        <v/>
      </c>
      <c r="E48" s="25" t="inlineStr">
        <is>
          <t>aghosh</t>
        </is>
      </c>
      <c r="F48" s="25" t="n">
        <v>34297</v>
      </c>
      <c r="G48" s="25" t="n">
        <v>3</v>
      </c>
      <c r="H48" s="25" t="n">
        <v>15</v>
      </c>
      <c r="I48" s="25" t="inlineStr">
        <is>
          <t>3 minute(s) and 24 second(s)</t>
        </is>
      </c>
      <c r="J48" s="25">
        <f>IFERROR(VALUE(TRIM(LEFT(I48,FIND("minute",I48)-1)))*60,0)+IFERROR(VALUE(SUBSTITUTE(MID(I48,IFERROR(FIND("and",I48)+3,1),20),"second(s)","")),0)</f>
        <v/>
      </c>
      <c r="K48" s="41">
        <f>J48/60</f>
        <v/>
      </c>
      <c r="L48" s="41">
        <f>IFERROR(J48/H48,"")</f>
        <v/>
      </c>
      <c r="M48" s="25" t="inlineStr">
        <is>
          <t>2.5.12</t>
        </is>
      </c>
      <c r="N48" s="25">
        <f>IF(J48&gt;300,1,0)</f>
        <v/>
      </c>
      <c r="O48" s="25">
        <f>IF(J48&gt;600,1,0)</f>
        <v/>
      </c>
      <c r="P48" s="25">
        <f>IF(H48&gt;0,J48,"")</f>
        <v/>
      </c>
      <c r="Q48" s="25">
        <f>TEXT(A48,"YYYY-MM-DD HH")</f>
        <v/>
      </c>
      <c r="R48" s="25">
        <f>COUNTIF($Q$2:$Q$5295,Q48)</f>
        <v/>
      </c>
      <c r="S48" s="25">
        <f>IF(R48&lt;=2,"1-2",IF(R48&lt;=5,"3-5",IF(R48&lt;=10,"6-10","11+")))</f>
        <v/>
      </c>
    </row>
    <row r="49">
      <c r="A49" s="39" t="n">
        <v>46146.62416666667</v>
      </c>
      <c r="B49" s="25">
        <f>TEXT(A49,"YYYY-MM")</f>
        <v/>
      </c>
      <c r="C49" s="25">
        <f>TEXT(A49,"MMM-YYYY")</f>
        <v/>
      </c>
      <c r="D49" s="40">
        <f>INT(A49)-WEEKDAY(A49,2)+1</f>
        <v/>
      </c>
      <c r="E49" s="25" t="inlineStr">
        <is>
          <t>aghosh</t>
        </is>
      </c>
      <c r="F49" s="25" t="n">
        <v>60499</v>
      </c>
      <c r="G49" s="25" t="n">
        <v>4</v>
      </c>
      <c r="H49" s="25" t="n">
        <v>12</v>
      </c>
      <c r="I49" s="25" t="inlineStr">
        <is>
          <t>2 minute(s) and 26 second(s)</t>
        </is>
      </c>
      <c r="J49" s="25">
        <f>IFERROR(VALUE(TRIM(LEFT(I49,FIND("minute",I49)-1)))*60,0)+IFERROR(VALUE(SUBSTITUTE(MID(I49,IFERROR(FIND("and",I49)+3,1),20),"second(s)","")),0)</f>
        <v/>
      </c>
      <c r="K49" s="41">
        <f>J49/60</f>
        <v/>
      </c>
      <c r="L49" s="41">
        <f>IFERROR(J49/H49,"")</f>
        <v/>
      </c>
      <c r="M49" s="25" t="inlineStr">
        <is>
          <t>2.5.12</t>
        </is>
      </c>
      <c r="N49" s="25">
        <f>IF(J49&gt;300,1,0)</f>
        <v/>
      </c>
      <c r="O49" s="25">
        <f>IF(J49&gt;600,1,0)</f>
        <v/>
      </c>
      <c r="P49" s="25">
        <f>IF(H49&gt;0,J49,"")</f>
        <v/>
      </c>
      <c r="Q49" s="25">
        <f>TEXT(A49,"YYYY-MM-DD HH")</f>
        <v/>
      </c>
      <c r="R49" s="25">
        <f>COUNTIF($Q$2:$Q$5295,Q49)</f>
        <v/>
      </c>
      <c r="S49" s="25">
        <f>IF(R49&lt;=2,"1-2",IF(R49&lt;=5,"3-5",IF(R49&lt;=10,"6-10","11+")))</f>
        <v/>
      </c>
    </row>
    <row r="50">
      <c r="A50" s="39" t="n">
        <v>46147.06487268519</v>
      </c>
      <c r="B50" s="25">
        <f>TEXT(A50,"YYYY-MM")</f>
        <v/>
      </c>
      <c r="C50" s="25">
        <f>TEXT(A50,"MMM-YYYY")</f>
        <v/>
      </c>
      <c r="D50" s="40">
        <f>INT(A50)-WEEKDAY(A50,2)+1</f>
        <v/>
      </c>
      <c r="E50" s="25" t="inlineStr">
        <is>
          <t>ethomas</t>
        </is>
      </c>
      <c r="F50" s="25" t="n">
        <v>115508</v>
      </c>
      <c r="G50" s="25" t="n">
        <v>1</v>
      </c>
      <c r="H50" s="25" t="n">
        <v>7</v>
      </c>
      <c r="I50" s="25" t="inlineStr">
        <is>
          <t>2 minute(s) and 24 second(s)</t>
        </is>
      </c>
      <c r="J50" s="25">
        <f>IFERROR(VALUE(TRIM(LEFT(I50,FIND("minute",I50)-1)))*60,0)+IFERROR(VALUE(SUBSTITUTE(MID(I50,IFERROR(FIND("and",I50)+3,1),20),"second(s)","")),0)</f>
        <v/>
      </c>
      <c r="K50" s="41">
        <f>J50/60</f>
        <v/>
      </c>
      <c r="L50" s="41">
        <f>IFERROR(J50/H50,"")</f>
        <v/>
      </c>
      <c r="M50" s="25" t="inlineStr">
        <is>
          <t>2.5.12</t>
        </is>
      </c>
      <c r="N50" s="25">
        <f>IF(J50&gt;300,1,0)</f>
        <v/>
      </c>
      <c r="O50" s="25">
        <f>IF(J50&gt;600,1,0)</f>
        <v/>
      </c>
      <c r="P50" s="25">
        <f>IF(H50&gt;0,J50,"")</f>
        <v/>
      </c>
      <c r="Q50" s="25">
        <f>TEXT(A50,"YYYY-MM-DD HH")</f>
        <v/>
      </c>
      <c r="R50" s="25">
        <f>COUNTIF($Q$2:$Q$5295,Q50)</f>
        <v/>
      </c>
      <c r="S50" s="25">
        <f>IF(R50&lt;=2,"1-2",IF(R50&lt;=5,"3-5",IF(R50&lt;=10,"6-10","11+")))</f>
        <v/>
      </c>
    </row>
    <row r="51">
      <c r="A51" s="39" t="n">
        <v>46147.08237268519</v>
      </c>
      <c r="B51" s="25">
        <f>TEXT(A51,"YYYY-MM")</f>
        <v/>
      </c>
      <c r="C51" s="25">
        <f>TEXT(A51,"MMM-YYYY")</f>
        <v/>
      </c>
      <c r="D51" s="40">
        <f>INT(A51)-WEEKDAY(A51,2)+1</f>
        <v/>
      </c>
      <c r="E51" s="25" t="inlineStr">
        <is>
          <t>nlnu</t>
        </is>
      </c>
      <c r="F51" s="25" t="n">
        <v>31178</v>
      </c>
      <c r="G51" s="25" t="n">
        <v>1</v>
      </c>
      <c r="H51" s="25" t="n">
        <v>5</v>
      </c>
      <c r="I51" s="25" t="inlineStr">
        <is>
          <t>52 second(s)</t>
        </is>
      </c>
      <c r="J51" s="25">
        <f>IFERROR(VALUE(TRIM(LEFT(I51,FIND("minute",I51)-1)))*60,0)+IFERROR(VALUE(SUBSTITUTE(MID(I51,IFERROR(FIND("and",I51)+3,1),20),"second(s)","")),0)</f>
        <v/>
      </c>
      <c r="K51" s="41">
        <f>J51/60</f>
        <v/>
      </c>
      <c r="L51" s="41">
        <f>IFERROR(J51/H51,"")</f>
        <v/>
      </c>
      <c r="M51" s="25" t="inlineStr">
        <is>
          <t>2.5.12</t>
        </is>
      </c>
      <c r="N51" s="25">
        <f>IF(J51&gt;300,1,0)</f>
        <v/>
      </c>
      <c r="O51" s="25">
        <f>IF(J51&gt;600,1,0)</f>
        <v/>
      </c>
      <c r="P51" s="25">
        <f>IF(H51&gt;0,J51,"")</f>
        <v/>
      </c>
      <c r="Q51" s="25">
        <f>TEXT(A51,"YYYY-MM-DD HH")</f>
        <v/>
      </c>
      <c r="R51" s="25">
        <f>COUNTIF($Q$2:$Q$5295,Q51)</f>
        <v/>
      </c>
      <c r="S51" s="25">
        <f>IF(R51&lt;=2,"1-2",IF(R51&lt;=5,"3-5",IF(R51&lt;=10,"6-10","11+")))</f>
        <v/>
      </c>
    </row>
    <row r="52">
      <c r="A52" s="39" t="n">
        <v>46147.10099537037</v>
      </c>
      <c r="B52" s="25">
        <f>TEXT(A52,"YYYY-MM")</f>
        <v/>
      </c>
      <c r="C52" s="25">
        <f>TEXT(A52,"MMM-YYYY")</f>
        <v/>
      </c>
      <c r="D52" s="40">
        <f>INT(A52)-WEEKDAY(A52,2)+1</f>
        <v/>
      </c>
      <c r="E52" s="25" t="inlineStr">
        <is>
          <t>csaha</t>
        </is>
      </c>
      <c r="F52" s="25" t="n">
        <v>22736</v>
      </c>
      <c r="G52" s="25" t="n">
        <v>4</v>
      </c>
      <c r="H52" s="25" t="n">
        <v>24</v>
      </c>
      <c r="I52" s="25" t="inlineStr">
        <is>
          <t>5 minute(s) and 21 second(s)</t>
        </is>
      </c>
      <c r="J52" s="25">
        <f>IFERROR(VALUE(TRIM(LEFT(I52,FIND("minute",I52)-1)))*60,0)+IFERROR(VALUE(SUBSTITUTE(MID(I52,IFERROR(FIND("and",I52)+3,1),20),"second(s)","")),0)</f>
        <v/>
      </c>
      <c r="K52" s="41">
        <f>J52/60</f>
        <v/>
      </c>
      <c r="L52" s="41">
        <f>IFERROR(J52/H52,"")</f>
        <v/>
      </c>
      <c r="M52" s="25" t="inlineStr">
        <is>
          <t>2.5.12</t>
        </is>
      </c>
      <c r="N52" s="25">
        <f>IF(J52&gt;300,1,0)</f>
        <v/>
      </c>
      <c r="O52" s="25">
        <f>IF(J52&gt;600,1,0)</f>
        <v/>
      </c>
      <c r="P52" s="25">
        <f>IF(H52&gt;0,J52,"")</f>
        <v/>
      </c>
      <c r="Q52" s="25">
        <f>TEXT(A52,"YYYY-MM-DD HH")</f>
        <v/>
      </c>
      <c r="R52" s="25">
        <f>COUNTIF($Q$2:$Q$5295,Q52)</f>
        <v/>
      </c>
      <c r="S52" s="25">
        <f>IF(R52&lt;=2,"1-2",IF(R52&lt;=5,"3-5",IF(R52&lt;=10,"6-10","11+")))</f>
        <v/>
      </c>
    </row>
    <row r="53">
      <c r="A53" s="39" t="n">
        <v>46147.1284375</v>
      </c>
      <c r="B53" s="25">
        <f>TEXT(A53,"YYYY-MM")</f>
        <v/>
      </c>
      <c r="C53" s="25">
        <f>TEXT(A53,"MMM-YYYY")</f>
        <v/>
      </c>
      <c r="D53" s="40">
        <f>INT(A53)-WEEKDAY(A53,2)+1</f>
        <v/>
      </c>
      <c r="E53" s="25" t="inlineStr">
        <is>
          <t>nlnu</t>
        </is>
      </c>
      <c r="F53" s="25" t="n">
        <v>109754</v>
      </c>
      <c r="G53" s="25" t="n">
        <v>5</v>
      </c>
      <c r="H53" s="25" t="n">
        <v>25</v>
      </c>
      <c r="I53" s="25" t="inlineStr">
        <is>
          <t>5 minute(s) and 34 second(s)</t>
        </is>
      </c>
      <c r="J53" s="25">
        <f>IFERROR(VALUE(TRIM(LEFT(I53,FIND("minute",I53)-1)))*60,0)+IFERROR(VALUE(SUBSTITUTE(MID(I53,IFERROR(FIND("and",I53)+3,1),20),"second(s)","")),0)</f>
        <v/>
      </c>
      <c r="K53" s="41">
        <f>J53/60</f>
        <v/>
      </c>
      <c r="L53" s="41">
        <f>IFERROR(J53/H53,"")</f>
        <v/>
      </c>
      <c r="M53" s="25" t="inlineStr">
        <is>
          <t>2.5.12</t>
        </is>
      </c>
      <c r="N53" s="25">
        <f>IF(J53&gt;300,1,0)</f>
        <v/>
      </c>
      <c r="O53" s="25">
        <f>IF(J53&gt;600,1,0)</f>
        <v/>
      </c>
      <c r="P53" s="25">
        <f>IF(H53&gt;0,J53,"")</f>
        <v/>
      </c>
      <c r="Q53" s="25">
        <f>TEXT(A53,"YYYY-MM-DD HH")</f>
        <v/>
      </c>
      <c r="R53" s="25">
        <f>COUNTIF($Q$2:$Q$5295,Q53)</f>
        <v/>
      </c>
      <c r="S53" s="25">
        <f>IF(R53&lt;=2,"1-2",IF(R53&lt;=5,"3-5",IF(R53&lt;=10,"6-10","11+")))</f>
        <v/>
      </c>
    </row>
    <row r="54">
      <c r="A54" s="39" t="n">
        <v>46147.12900462963</v>
      </c>
      <c r="B54" s="25">
        <f>TEXT(A54,"YYYY-MM")</f>
        <v/>
      </c>
      <c r="C54" s="25">
        <f>TEXT(A54,"MMM-YYYY")</f>
        <v/>
      </c>
      <c r="D54" s="40">
        <f>INT(A54)-WEEKDAY(A54,2)+1</f>
        <v/>
      </c>
      <c r="E54" s="25" t="inlineStr">
        <is>
          <t>kchaudhary</t>
        </is>
      </c>
      <c r="F54" s="25" t="n">
        <v>92827</v>
      </c>
      <c r="G54" s="25" t="n">
        <v>5</v>
      </c>
      <c r="H54" s="25" t="n">
        <v>17</v>
      </c>
      <c r="I54" s="25" t="inlineStr">
        <is>
          <t>3 minute(s) and 37 second(s)</t>
        </is>
      </c>
      <c r="J54" s="25">
        <f>IFERROR(VALUE(TRIM(LEFT(I54,FIND("minute",I54)-1)))*60,0)+IFERROR(VALUE(SUBSTITUTE(MID(I54,IFERROR(FIND("and",I54)+3,1),20),"second(s)","")),0)</f>
        <v/>
      </c>
      <c r="K54" s="41">
        <f>J54/60</f>
        <v/>
      </c>
      <c r="L54" s="41">
        <f>IFERROR(J54/H54,"")</f>
        <v/>
      </c>
      <c r="M54" s="25" t="inlineStr">
        <is>
          <t>2.5.12</t>
        </is>
      </c>
      <c r="N54" s="25">
        <f>IF(J54&gt;300,1,0)</f>
        <v/>
      </c>
      <c r="O54" s="25">
        <f>IF(J54&gt;600,1,0)</f>
        <v/>
      </c>
      <c r="P54" s="25">
        <f>IF(H54&gt;0,J54,"")</f>
        <v/>
      </c>
      <c r="Q54" s="25">
        <f>TEXT(A54,"YYYY-MM-DD HH")</f>
        <v/>
      </c>
      <c r="R54" s="25">
        <f>COUNTIF($Q$2:$Q$5295,Q54)</f>
        <v/>
      </c>
      <c r="S54" s="25">
        <f>IF(R54&lt;=2,"1-2",IF(R54&lt;=5,"3-5",IF(R54&lt;=10,"6-10","11+")))</f>
        <v/>
      </c>
    </row>
    <row r="55">
      <c r="A55" s="39" t="n">
        <v>46147.13099537037</v>
      </c>
      <c r="B55" s="25">
        <f>TEXT(A55,"YYYY-MM")</f>
        <v/>
      </c>
      <c r="C55" s="25">
        <f>TEXT(A55,"MMM-YYYY")</f>
        <v/>
      </c>
      <c r="D55" s="40">
        <f>INT(A55)-WEEKDAY(A55,2)+1</f>
        <v/>
      </c>
      <c r="E55" s="25" t="inlineStr">
        <is>
          <t>rts</t>
        </is>
      </c>
      <c r="F55" s="25" t="n">
        <v>114681</v>
      </c>
      <c r="G55" s="25" t="n">
        <v>5</v>
      </c>
      <c r="H55" s="25" t="n">
        <v>24</v>
      </c>
      <c r="I55" s="25" t="inlineStr">
        <is>
          <t>4 minute(s) and 47 second(s)</t>
        </is>
      </c>
      <c r="J55" s="25">
        <f>IFERROR(VALUE(TRIM(LEFT(I55,FIND("minute",I55)-1)))*60,0)+IFERROR(VALUE(SUBSTITUTE(MID(I55,IFERROR(FIND("and",I55)+3,1),20),"second(s)","")),0)</f>
        <v/>
      </c>
      <c r="K55" s="41">
        <f>J55/60</f>
        <v/>
      </c>
      <c r="L55" s="41">
        <f>IFERROR(J55/H55,"")</f>
        <v/>
      </c>
      <c r="M55" s="25" t="inlineStr">
        <is>
          <t>2.5.12</t>
        </is>
      </c>
      <c r="N55" s="25">
        <f>IF(J55&gt;300,1,0)</f>
        <v/>
      </c>
      <c r="O55" s="25">
        <f>IF(J55&gt;600,1,0)</f>
        <v/>
      </c>
      <c r="P55" s="25">
        <f>IF(H55&gt;0,J55,"")</f>
        <v/>
      </c>
      <c r="Q55" s="25">
        <f>TEXT(A55,"YYYY-MM-DD HH")</f>
        <v/>
      </c>
      <c r="R55" s="25">
        <f>COUNTIF($Q$2:$Q$5295,Q55)</f>
        <v/>
      </c>
      <c r="S55" s="25">
        <f>IF(R55&lt;=2,"1-2",IF(R55&lt;=5,"3-5",IF(R55&lt;=10,"6-10","11+")))</f>
        <v/>
      </c>
    </row>
    <row r="56">
      <c r="A56" s="39" t="n">
        <v>46147.15431712963</v>
      </c>
      <c r="B56" s="25">
        <f>TEXT(A56,"YYYY-MM")</f>
        <v/>
      </c>
      <c r="C56" s="25">
        <f>TEXT(A56,"MMM-YYYY")</f>
        <v/>
      </c>
      <c r="D56" s="40">
        <f>INT(A56)-WEEKDAY(A56,2)+1</f>
        <v/>
      </c>
      <c r="E56" s="25" t="inlineStr">
        <is>
          <t>dbhattacharyya</t>
        </is>
      </c>
      <c r="F56" s="25" t="n">
        <v>35765</v>
      </c>
      <c r="G56" s="25" t="n">
        <v>2</v>
      </c>
      <c r="H56" s="25" t="n">
        <v>11</v>
      </c>
      <c r="I56" s="25" t="inlineStr">
        <is>
          <t>1 minute(s) and 41 second(s)</t>
        </is>
      </c>
      <c r="J56" s="25">
        <f>IFERROR(VALUE(TRIM(LEFT(I56,FIND("minute",I56)-1)))*60,0)+IFERROR(VALUE(SUBSTITUTE(MID(I56,IFERROR(FIND("and",I56)+3,1),20),"second(s)","")),0)</f>
        <v/>
      </c>
      <c r="K56" s="41">
        <f>J56/60</f>
        <v/>
      </c>
      <c r="L56" s="41">
        <f>IFERROR(J56/H56,"")</f>
        <v/>
      </c>
      <c r="M56" s="25" t="inlineStr">
        <is>
          <t>2.5.12</t>
        </is>
      </c>
      <c r="N56" s="25">
        <f>IF(J56&gt;300,1,0)</f>
        <v/>
      </c>
      <c r="O56" s="25">
        <f>IF(J56&gt;600,1,0)</f>
        <v/>
      </c>
      <c r="P56" s="25">
        <f>IF(H56&gt;0,J56,"")</f>
        <v/>
      </c>
      <c r="Q56" s="25">
        <f>TEXT(A56,"YYYY-MM-DD HH")</f>
        <v/>
      </c>
      <c r="R56" s="25">
        <f>COUNTIF($Q$2:$Q$5295,Q56)</f>
        <v/>
      </c>
      <c r="S56" s="25">
        <f>IF(R56&lt;=2,"1-2",IF(R56&lt;=5,"3-5",IF(R56&lt;=10,"6-10","11+")))</f>
        <v/>
      </c>
    </row>
    <row r="57">
      <c r="A57" s="39" t="n">
        <v>46147.15557870371</v>
      </c>
      <c r="B57" s="25">
        <f>TEXT(A57,"YYYY-MM")</f>
        <v/>
      </c>
      <c r="C57" s="25">
        <f>TEXT(A57,"MMM-YYYY")</f>
        <v/>
      </c>
      <c r="D57" s="40">
        <f>INT(A57)-WEEKDAY(A57,2)+1</f>
        <v/>
      </c>
      <c r="E57" s="25" t="inlineStr">
        <is>
          <t>ethomas</t>
        </is>
      </c>
      <c r="F57" s="25" t="n">
        <v>105915</v>
      </c>
      <c r="G57" s="25" t="n">
        <v>5</v>
      </c>
      <c r="H57" s="25" t="n">
        <v>33</v>
      </c>
      <c r="I57" s="25" t="inlineStr">
        <is>
          <t>13 minute(s) and 16 second(s)</t>
        </is>
      </c>
      <c r="J57" s="25">
        <f>IFERROR(VALUE(TRIM(LEFT(I57,FIND("minute",I57)-1)))*60,0)+IFERROR(VALUE(SUBSTITUTE(MID(I57,IFERROR(FIND("and",I57)+3,1),20),"second(s)","")),0)</f>
        <v/>
      </c>
      <c r="K57" s="41">
        <f>J57/60</f>
        <v/>
      </c>
      <c r="L57" s="41">
        <f>IFERROR(J57/H57,"")</f>
        <v/>
      </c>
      <c r="M57" s="25" t="inlineStr">
        <is>
          <t>2.5.12</t>
        </is>
      </c>
      <c r="N57" s="25">
        <f>IF(J57&gt;300,1,0)</f>
        <v/>
      </c>
      <c r="O57" s="25">
        <f>IF(J57&gt;600,1,0)</f>
        <v/>
      </c>
      <c r="P57" s="25">
        <f>IF(H57&gt;0,J57,"")</f>
        <v/>
      </c>
      <c r="Q57" s="25">
        <f>TEXT(A57,"YYYY-MM-DD HH")</f>
        <v/>
      </c>
      <c r="R57" s="25">
        <f>COUNTIF($Q$2:$Q$5295,Q57)</f>
        <v/>
      </c>
      <c r="S57" s="25">
        <f>IF(R57&lt;=2,"1-2",IF(R57&lt;=5,"3-5",IF(R57&lt;=10,"6-10","11+")))</f>
        <v/>
      </c>
    </row>
    <row r="58">
      <c r="A58" s="39" t="n">
        <v>46147.16091435185</v>
      </c>
      <c r="B58" s="25">
        <f>TEXT(A58,"YYYY-MM")</f>
        <v/>
      </c>
      <c r="C58" s="25">
        <f>TEXT(A58,"MMM-YYYY")</f>
        <v/>
      </c>
      <c r="D58" s="40">
        <f>INT(A58)-WEEKDAY(A58,2)+1</f>
        <v/>
      </c>
      <c r="E58" s="25" t="inlineStr">
        <is>
          <t>atiwari</t>
        </is>
      </c>
      <c r="F58" s="25" t="n">
        <v>103862</v>
      </c>
      <c r="G58" s="25" t="n">
        <v>1</v>
      </c>
      <c r="H58" s="25" t="n">
        <v>7</v>
      </c>
      <c r="I58" s="25" t="inlineStr">
        <is>
          <t>1 minute(s) and 21 second(s)</t>
        </is>
      </c>
      <c r="J58" s="25">
        <f>IFERROR(VALUE(TRIM(LEFT(I58,FIND("minute",I58)-1)))*60,0)+IFERROR(VALUE(SUBSTITUTE(MID(I58,IFERROR(FIND("and",I58)+3,1),20),"second(s)","")),0)</f>
        <v/>
      </c>
      <c r="K58" s="41">
        <f>J58/60</f>
        <v/>
      </c>
      <c r="L58" s="41">
        <f>IFERROR(J58/H58,"")</f>
        <v/>
      </c>
      <c r="M58" s="25" t="inlineStr">
        <is>
          <t>2.5.12</t>
        </is>
      </c>
      <c r="N58" s="25">
        <f>IF(J58&gt;300,1,0)</f>
        <v/>
      </c>
      <c r="O58" s="25">
        <f>IF(J58&gt;600,1,0)</f>
        <v/>
      </c>
      <c r="P58" s="25">
        <f>IF(H58&gt;0,J58,"")</f>
        <v/>
      </c>
      <c r="Q58" s="25">
        <f>TEXT(A58,"YYYY-MM-DD HH")</f>
        <v/>
      </c>
      <c r="R58" s="25">
        <f>COUNTIF($Q$2:$Q$5295,Q58)</f>
        <v/>
      </c>
      <c r="S58" s="25">
        <f>IF(R58&lt;=2,"1-2",IF(R58&lt;=5,"3-5",IF(R58&lt;=10,"6-10","11+")))</f>
        <v/>
      </c>
    </row>
    <row r="59">
      <c r="A59" s="39" t="n">
        <v>46147.16243055555</v>
      </c>
      <c r="B59" s="25">
        <f>TEXT(A59,"YYYY-MM")</f>
        <v/>
      </c>
      <c r="C59" s="25">
        <f>TEXT(A59,"MMM-YYYY")</f>
        <v/>
      </c>
      <c r="D59" s="40">
        <f>INT(A59)-WEEKDAY(A59,2)+1</f>
        <v/>
      </c>
      <c r="E59" s="25" t="inlineStr">
        <is>
          <t>asahoo</t>
        </is>
      </c>
      <c r="F59" s="25" t="n">
        <v>63132</v>
      </c>
      <c r="G59" s="25" t="n">
        <v>2</v>
      </c>
      <c r="H59" s="25" t="n">
        <v>11</v>
      </c>
      <c r="I59" s="25" t="inlineStr">
        <is>
          <t>2 minute(s) and 4 second(s)</t>
        </is>
      </c>
      <c r="J59" s="25">
        <f>IFERROR(VALUE(TRIM(LEFT(I59,FIND("minute",I59)-1)))*60,0)+IFERROR(VALUE(SUBSTITUTE(MID(I59,IFERROR(FIND("and",I59)+3,1),20),"second(s)","")),0)</f>
        <v/>
      </c>
      <c r="K59" s="41">
        <f>J59/60</f>
        <v/>
      </c>
      <c r="L59" s="41">
        <f>IFERROR(J59/H59,"")</f>
        <v/>
      </c>
      <c r="M59" s="25" t="inlineStr">
        <is>
          <t>2.5.12</t>
        </is>
      </c>
      <c r="N59" s="25">
        <f>IF(J59&gt;300,1,0)</f>
        <v/>
      </c>
      <c r="O59" s="25">
        <f>IF(J59&gt;600,1,0)</f>
        <v/>
      </c>
      <c r="P59" s="25">
        <f>IF(H59&gt;0,J59,"")</f>
        <v/>
      </c>
      <c r="Q59" s="25">
        <f>TEXT(A59,"YYYY-MM-DD HH")</f>
        <v/>
      </c>
      <c r="R59" s="25">
        <f>COUNTIF($Q$2:$Q$5295,Q59)</f>
        <v/>
      </c>
      <c r="S59" s="25">
        <f>IF(R59&lt;=2,"1-2",IF(R59&lt;=5,"3-5",IF(R59&lt;=10,"6-10","11+")))</f>
        <v/>
      </c>
    </row>
    <row r="60">
      <c r="A60" s="39" t="n">
        <v>46147.16616898148</v>
      </c>
      <c r="B60" s="25">
        <f>TEXT(A60,"YYYY-MM")</f>
        <v/>
      </c>
      <c r="C60" s="25">
        <f>TEXT(A60,"MMM-YYYY")</f>
        <v/>
      </c>
      <c r="D60" s="40">
        <f>INT(A60)-WEEKDAY(A60,2)+1</f>
        <v/>
      </c>
      <c r="E60" s="25" t="inlineStr">
        <is>
          <t>vraina</t>
        </is>
      </c>
      <c r="F60" s="25" t="n">
        <v>113779</v>
      </c>
      <c r="G60" s="25" t="n">
        <v>5</v>
      </c>
      <c r="H60" s="25" t="n">
        <v>25</v>
      </c>
      <c r="I60" s="25" t="inlineStr">
        <is>
          <t>6 minute(s) and 5 second(s)</t>
        </is>
      </c>
      <c r="J60" s="25">
        <f>IFERROR(VALUE(TRIM(LEFT(I60,FIND("minute",I60)-1)))*60,0)+IFERROR(VALUE(SUBSTITUTE(MID(I60,IFERROR(FIND("and",I60)+3,1),20),"second(s)","")),0)</f>
        <v/>
      </c>
      <c r="K60" s="41">
        <f>J60/60</f>
        <v/>
      </c>
      <c r="L60" s="41">
        <f>IFERROR(J60/H60,"")</f>
        <v/>
      </c>
      <c r="M60" s="25" t="inlineStr">
        <is>
          <t>2.5.12</t>
        </is>
      </c>
      <c r="N60" s="25">
        <f>IF(J60&gt;300,1,0)</f>
        <v/>
      </c>
      <c r="O60" s="25">
        <f>IF(J60&gt;600,1,0)</f>
        <v/>
      </c>
      <c r="P60" s="25">
        <f>IF(H60&gt;0,J60,"")</f>
        <v/>
      </c>
      <c r="Q60" s="25">
        <f>TEXT(A60,"YYYY-MM-DD HH")</f>
        <v/>
      </c>
      <c r="R60" s="25">
        <f>COUNTIF($Q$2:$Q$5295,Q60)</f>
        <v/>
      </c>
      <c r="S60" s="25">
        <f>IF(R60&lt;=2,"1-2",IF(R60&lt;=5,"3-5",IF(R60&lt;=10,"6-10","11+")))</f>
        <v/>
      </c>
    </row>
    <row r="61">
      <c r="A61" s="39" t="n">
        <v>46147.17303240741</v>
      </c>
      <c r="B61" s="25">
        <f>TEXT(A61,"YYYY-MM")</f>
        <v/>
      </c>
      <c r="C61" s="25">
        <f>TEXT(A61,"MMM-YYYY")</f>
        <v/>
      </c>
      <c r="D61" s="40">
        <f>INT(A61)-WEEKDAY(A61,2)+1</f>
        <v/>
      </c>
      <c r="E61" s="25" t="inlineStr">
        <is>
          <t>hdutt</t>
        </is>
      </c>
      <c r="F61" s="25" t="n">
        <v>31650</v>
      </c>
      <c r="G61" s="25" t="n">
        <v>2</v>
      </c>
      <c r="H61" s="25" t="n">
        <v>10</v>
      </c>
      <c r="I61" s="25" t="inlineStr">
        <is>
          <t>2 minute(s) and 0 second(s)</t>
        </is>
      </c>
      <c r="J61" s="25">
        <f>IFERROR(VALUE(TRIM(LEFT(I61,FIND("minute",I61)-1)))*60,0)+IFERROR(VALUE(SUBSTITUTE(MID(I61,IFERROR(FIND("and",I61)+3,1),20),"second(s)","")),0)</f>
        <v/>
      </c>
      <c r="K61" s="41">
        <f>J61/60</f>
        <v/>
      </c>
      <c r="L61" s="41">
        <f>IFERROR(J61/H61,"")</f>
        <v/>
      </c>
      <c r="M61" s="25" t="inlineStr">
        <is>
          <t>2.5.12</t>
        </is>
      </c>
      <c r="N61" s="25">
        <f>IF(J61&gt;300,1,0)</f>
        <v/>
      </c>
      <c r="O61" s="25">
        <f>IF(J61&gt;600,1,0)</f>
        <v/>
      </c>
      <c r="P61" s="25">
        <f>IF(H61&gt;0,J61,"")</f>
        <v/>
      </c>
      <c r="Q61" s="25">
        <f>TEXT(A61,"YYYY-MM-DD HH")</f>
        <v/>
      </c>
      <c r="R61" s="25">
        <f>COUNTIF($Q$2:$Q$5295,Q61)</f>
        <v/>
      </c>
      <c r="S61" s="25">
        <f>IF(R61&lt;=2,"1-2",IF(R61&lt;=5,"3-5",IF(R61&lt;=10,"6-10","11+")))</f>
        <v/>
      </c>
    </row>
    <row r="62">
      <c r="A62" s="39" t="n">
        <v>46147.18216435185</v>
      </c>
      <c r="B62" s="25">
        <f>TEXT(A62,"YYYY-MM")</f>
        <v/>
      </c>
      <c r="C62" s="25">
        <f>TEXT(A62,"MMM-YYYY")</f>
        <v/>
      </c>
      <c r="D62" s="40">
        <f>INT(A62)-WEEKDAY(A62,2)+1</f>
        <v/>
      </c>
      <c r="E62" s="25" t="inlineStr">
        <is>
          <t>psathwika</t>
        </is>
      </c>
      <c r="F62" s="25" t="n">
        <v>95820</v>
      </c>
      <c r="G62" s="25" t="n">
        <v>5</v>
      </c>
      <c r="H62" s="25" t="n">
        <v>19</v>
      </c>
      <c r="I62" s="25" t="inlineStr">
        <is>
          <t>4 minute(s) and 7 second(s)</t>
        </is>
      </c>
      <c r="J62" s="25">
        <f>IFERROR(VALUE(TRIM(LEFT(I62,FIND("minute",I62)-1)))*60,0)+IFERROR(VALUE(SUBSTITUTE(MID(I62,IFERROR(FIND("and",I62)+3,1),20),"second(s)","")),0)</f>
        <v/>
      </c>
      <c r="K62" s="41">
        <f>J62/60</f>
        <v/>
      </c>
      <c r="L62" s="41">
        <f>IFERROR(J62/H62,"")</f>
        <v/>
      </c>
      <c r="M62" s="25" t="inlineStr">
        <is>
          <t>2.5.12</t>
        </is>
      </c>
      <c r="N62" s="25">
        <f>IF(J62&gt;300,1,0)</f>
        <v/>
      </c>
      <c r="O62" s="25">
        <f>IF(J62&gt;600,1,0)</f>
        <v/>
      </c>
      <c r="P62" s="25">
        <f>IF(H62&gt;0,J62,"")</f>
        <v/>
      </c>
      <c r="Q62" s="25">
        <f>TEXT(A62,"YYYY-MM-DD HH")</f>
        <v/>
      </c>
      <c r="R62" s="25">
        <f>COUNTIF($Q$2:$Q$5295,Q62)</f>
        <v/>
      </c>
      <c r="S62" s="25">
        <f>IF(R62&lt;=2,"1-2",IF(R62&lt;=5,"3-5",IF(R62&lt;=10,"6-10","11+")))</f>
        <v/>
      </c>
    </row>
    <row r="63">
      <c r="A63" s="39" t="n">
        <v>46147.18315972222</v>
      </c>
      <c r="B63" s="25">
        <f>TEXT(A63,"YYYY-MM")</f>
        <v/>
      </c>
      <c r="C63" s="25">
        <f>TEXT(A63,"MMM-YYYY")</f>
        <v/>
      </c>
      <c r="D63" s="40">
        <f>INT(A63)-WEEKDAY(A63,2)+1</f>
        <v/>
      </c>
      <c r="E63" s="25" t="inlineStr">
        <is>
          <t>nlnu</t>
        </is>
      </c>
      <c r="F63" s="25" t="n">
        <v>113724</v>
      </c>
      <c r="G63" s="25" t="n">
        <v>2</v>
      </c>
      <c r="H63" s="25" t="n">
        <v>10</v>
      </c>
      <c r="I63" s="25" t="inlineStr">
        <is>
          <t>2 minute(s) and 2 second(s)</t>
        </is>
      </c>
      <c r="J63" s="25">
        <f>IFERROR(VALUE(TRIM(LEFT(I63,FIND("minute",I63)-1)))*60,0)+IFERROR(VALUE(SUBSTITUTE(MID(I63,IFERROR(FIND("and",I63)+3,1),20),"second(s)","")),0)</f>
        <v/>
      </c>
      <c r="K63" s="41">
        <f>J63/60</f>
        <v/>
      </c>
      <c r="L63" s="41">
        <f>IFERROR(J63/H63,"")</f>
        <v/>
      </c>
      <c r="M63" s="25" t="inlineStr">
        <is>
          <t>2.5.12</t>
        </is>
      </c>
      <c r="N63" s="25">
        <f>IF(J63&gt;300,1,0)</f>
        <v/>
      </c>
      <c r="O63" s="25">
        <f>IF(J63&gt;600,1,0)</f>
        <v/>
      </c>
      <c r="P63" s="25">
        <f>IF(H63&gt;0,J63,"")</f>
        <v/>
      </c>
      <c r="Q63" s="25">
        <f>TEXT(A63,"YYYY-MM-DD HH")</f>
        <v/>
      </c>
      <c r="R63" s="25">
        <f>COUNTIF($Q$2:$Q$5295,Q63)</f>
        <v/>
      </c>
      <c r="S63" s="25">
        <f>IF(R63&lt;=2,"1-2",IF(R63&lt;=5,"3-5",IF(R63&lt;=10,"6-10","11+")))</f>
        <v/>
      </c>
    </row>
    <row r="64">
      <c r="A64" s="39" t="n">
        <v>46147.18630787037</v>
      </c>
      <c r="B64" s="25">
        <f>TEXT(A64,"YYYY-MM")</f>
        <v/>
      </c>
      <c r="C64" s="25">
        <f>TEXT(A64,"MMM-YYYY")</f>
        <v/>
      </c>
      <c r="D64" s="40">
        <f>INT(A64)-WEEKDAY(A64,2)+1</f>
        <v/>
      </c>
      <c r="E64" s="25" t="inlineStr">
        <is>
          <t>kananya</t>
        </is>
      </c>
      <c r="F64" s="25" t="n">
        <v>19579</v>
      </c>
      <c r="G64" s="25" t="n">
        <v>3</v>
      </c>
      <c r="H64" s="25" t="n">
        <v>19</v>
      </c>
      <c r="I64" s="25" t="inlineStr">
        <is>
          <t>2 minute(s) and 55 second(s)</t>
        </is>
      </c>
      <c r="J64" s="25">
        <f>IFERROR(VALUE(TRIM(LEFT(I64,FIND("minute",I64)-1)))*60,0)+IFERROR(VALUE(SUBSTITUTE(MID(I64,IFERROR(FIND("and",I64)+3,1),20),"second(s)","")),0)</f>
        <v/>
      </c>
      <c r="K64" s="41">
        <f>J64/60</f>
        <v/>
      </c>
      <c r="L64" s="41">
        <f>IFERROR(J64/H64,"")</f>
        <v/>
      </c>
      <c r="M64" s="25" t="inlineStr">
        <is>
          <t>2.5.12</t>
        </is>
      </c>
      <c r="N64" s="25">
        <f>IF(J64&gt;300,1,0)</f>
        <v/>
      </c>
      <c r="O64" s="25">
        <f>IF(J64&gt;600,1,0)</f>
        <v/>
      </c>
      <c r="P64" s="25">
        <f>IF(H64&gt;0,J64,"")</f>
        <v/>
      </c>
      <c r="Q64" s="25">
        <f>TEXT(A64,"YYYY-MM-DD HH")</f>
        <v/>
      </c>
      <c r="R64" s="25">
        <f>COUNTIF($Q$2:$Q$5295,Q64)</f>
        <v/>
      </c>
      <c r="S64" s="25">
        <f>IF(R64&lt;=2,"1-2",IF(R64&lt;=5,"3-5",IF(R64&lt;=10,"6-10","11+")))</f>
        <v/>
      </c>
    </row>
    <row r="65">
      <c r="A65" s="39" t="n">
        <v>46147.19413194444</v>
      </c>
      <c r="B65" s="25">
        <f>TEXT(A65,"YYYY-MM")</f>
        <v/>
      </c>
      <c r="C65" s="25">
        <f>TEXT(A65,"MMM-YYYY")</f>
        <v/>
      </c>
      <c r="D65" s="40">
        <f>INT(A65)-WEEKDAY(A65,2)+1</f>
        <v/>
      </c>
      <c r="E65" s="25" t="inlineStr">
        <is>
          <t>pmishra</t>
        </is>
      </c>
      <c r="F65" s="25" t="n">
        <v>57260</v>
      </c>
      <c r="G65" s="25" t="n">
        <v>5</v>
      </c>
      <c r="H65" s="25" t="n">
        <v>26</v>
      </c>
      <c r="I65" s="25" t="inlineStr">
        <is>
          <t>5 minute(s) and 48 second(s)</t>
        </is>
      </c>
      <c r="J65" s="25">
        <f>IFERROR(VALUE(TRIM(LEFT(I65,FIND("minute",I65)-1)))*60,0)+IFERROR(VALUE(SUBSTITUTE(MID(I65,IFERROR(FIND("and",I65)+3,1),20),"second(s)","")),0)</f>
        <v/>
      </c>
      <c r="K65" s="41">
        <f>J65/60</f>
        <v/>
      </c>
      <c r="L65" s="41">
        <f>IFERROR(J65/H65,"")</f>
        <v/>
      </c>
      <c r="M65" s="25" t="inlineStr">
        <is>
          <t>2.5.12</t>
        </is>
      </c>
      <c r="N65" s="25">
        <f>IF(J65&gt;300,1,0)</f>
        <v/>
      </c>
      <c r="O65" s="25">
        <f>IF(J65&gt;600,1,0)</f>
        <v/>
      </c>
      <c r="P65" s="25">
        <f>IF(H65&gt;0,J65,"")</f>
        <v/>
      </c>
      <c r="Q65" s="25">
        <f>TEXT(A65,"YYYY-MM-DD HH")</f>
        <v/>
      </c>
      <c r="R65" s="25">
        <f>COUNTIF($Q$2:$Q$5295,Q65)</f>
        <v/>
      </c>
      <c r="S65" s="25">
        <f>IF(R65&lt;=2,"1-2",IF(R65&lt;=5,"3-5",IF(R65&lt;=10,"6-10","11+")))</f>
        <v/>
      </c>
    </row>
    <row r="66">
      <c r="A66" s="39" t="n">
        <v>46147.20666666667</v>
      </c>
      <c r="B66" s="25">
        <f>TEXT(A66,"YYYY-MM")</f>
        <v/>
      </c>
      <c r="C66" s="25">
        <f>TEXT(A66,"MMM-YYYY")</f>
        <v/>
      </c>
      <c r="D66" s="40">
        <f>INT(A66)-WEEKDAY(A66,2)+1</f>
        <v/>
      </c>
      <c r="E66" s="25" t="inlineStr">
        <is>
          <t>stiwari</t>
        </is>
      </c>
      <c r="F66" s="25" t="n">
        <v>80972</v>
      </c>
      <c r="G66" s="25" t="n">
        <v>5</v>
      </c>
      <c r="H66" s="25" t="n">
        <v>25</v>
      </c>
      <c r="I66" s="25" t="inlineStr">
        <is>
          <t>4 minute(s) and 23 second(s)</t>
        </is>
      </c>
      <c r="J66" s="25">
        <f>IFERROR(VALUE(TRIM(LEFT(I66,FIND("minute",I66)-1)))*60,0)+IFERROR(VALUE(SUBSTITUTE(MID(I66,IFERROR(FIND("and",I66)+3,1),20),"second(s)","")),0)</f>
        <v/>
      </c>
      <c r="K66" s="41">
        <f>J66/60</f>
        <v/>
      </c>
      <c r="L66" s="41">
        <f>IFERROR(J66/H66,"")</f>
        <v/>
      </c>
      <c r="M66" s="25" t="inlineStr">
        <is>
          <t>2.5.12</t>
        </is>
      </c>
      <c r="N66" s="25">
        <f>IF(J66&gt;300,1,0)</f>
        <v/>
      </c>
      <c r="O66" s="25">
        <f>IF(J66&gt;600,1,0)</f>
        <v/>
      </c>
      <c r="P66" s="25">
        <f>IF(H66&gt;0,J66,"")</f>
        <v/>
      </c>
      <c r="Q66" s="25">
        <f>TEXT(A66,"YYYY-MM-DD HH")</f>
        <v/>
      </c>
      <c r="R66" s="25">
        <f>COUNTIF($Q$2:$Q$5295,Q66)</f>
        <v/>
      </c>
      <c r="S66" s="25">
        <f>IF(R66&lt;=2,"1-2",IF(R66&lt;=5,"3-5",IF(R66&lt;=10,"6-10","11+")))</f>
        <v/>
      </c>
    </row>
    <row r="67">
      <c r="A67" s="39" t="n">
        <v>46147.20940972222</v>
      </c>
      <c r="B67" s="25">
        <f>TEXT(A67,"YYYY-MM")</f>
        <v/>
      </c>
      <c r="C67" s="25">
        <f>TEXT(A67,"MMM-YYYY")</f>
        <v/>
      </c>
      <c r="D67" s="40">
        <f>INT(A67)-WEEKDAY(A67,2)+1</f>
        <v/>
      </c>
      <c r="E67" s="25" t="inlineStr">
        <is>
          <t>schoppakatla</t>
        </is>
      </c>
      <c r="F67" s="25" t="n">
        <v>109621</v>
      </c>
      <c r="G67" s="25" t="n">
        <v>5</v>
      </c>
      <c r="H67" s="25" t="n">
        <v>26</v>
      </c>
      <c r="I67" s="25" t="inlineStr">
        <is>
          <t>6 minute(s) and 27 second(s)</t>
        </is>
      </c>
      <c r="J67" s="25">
        <f>IFERROR(VALUE(TRIM(LEFT(I67,FIND("minute",I67)-1)))*60,0)+IFERROR(VALUE(SUBSTITUTE(MID(I67,IFERROR(FIND("and",I67)+3,1),20),"second(s)","")),0)</f>
        <v/>
      </c>
      <c r="K67" s="41">
        <f>J67/60</f>
        <v/>
      </c>
      <c r="L67" s="41">
        <f>IFERROR(J67/H67,"")</f>
        <v/>
      </c>
      <c r="M67" s="25" t="inlineStr">
        <is>
          <t>2.5.12</t>
        </is>
      </c>
      <c r="N67" s="25">
        <f>IF(J67&gt;300,1,0)</f>
        <v/>
      </c>
      <c r="O67" s="25">
        <f>IF(J67&gt;600,1,0)</f>
        <v/>
      </c>
      <c r="P67" s="25">
        <f>IF(H67&gt;0,J67,"")</f>
        <v/>
      </c>
      <c r="Q67" s="25">
        <f>TEXT(A67,"YYYY-MM-DD HH")</f>
        <v/>
      </c>
      <c r="R67" s="25">
        <f>COUNTIF($Q$2:$Q$5295,Q67)</f>
        <v/>
      </c>
      <c r="S67" s="25">
        <f>IF(R67&lt;=2,"1-2",IF(R67&lt;=5,"3-5",IF(R67&lt;=10,"6-10","11+")))</f>
        <v/>
      </c>
    </row>
    <row r="68">
      <c r="A68" s="39" t="n">
        <v>46147.21252314815</v>
      </c>
      <c r="B68" s="25">
        <f>TEXT(A68,"YYYY-MM")</f>
        <v/>
      </c>
      <c r="C68" s="25">
        <f>TEXT(A68,"MMM-YYYY")</f>
        <v/>
      </c>
      <c r="D68" s="40">
        <f>INT(A68)-WEEKDAY(A68,2)+1</f>
        <v/>
      </c>
      <c r="E68" s="25" t="inlineStr">
        <is>
          <t>asahoo</t>
        </is>
      </c>
      <c r="F68" s="25" t="n">
        <v>72845</v>
      </c>
      <c r="G68" s="25" t="n">
        <v>1</v>
      </c>
      <c r="H68" s="25" t="n">
        <v>5</v>
      </c>
      <c r="I68" s="25" t="inlineStr">
        <is>
          <t>2 minute(s) and 18 second(s)</t>
        </is>
      </c>
      <c r="J68" s="25">
        <f>IFERROR(VALUE(TRIM(LEFT(I68,FIND("minute",I68)-1)))*60,0)+IFERROR(VALUE(SUBSTITUTE(MID(I68,IFERROR(FIND("and",I68)+3,1),20),"second(s)","")),0)</f>
        <v/>
      </c>
      <c r="K68" s="41">
        <f>J68/60</f>
        <v/>
      </c>
      <c r="L68" s="41">
        <f>IFERROR(J68/H68,"")</f>
        <v/>
      </c>
      <c r="M68" s="25" t="inlineStr">
        <is>
          <t>2.5.12</t>
        </is>
      </c>
      <c r="N68" s="25">
        <f>IF(J68&gt;300,1,0)</f>
        <v/>
      </c>
      <c r="O68" s="25">
        <f>IF(J68&gt;600,1,0)</f>
        <v/>
      </c>
      <c r="P68" s="25">
        <f>IF(H68&gt;0,J68,"")</f>
        <v/>
      </c>
      <c r="Q68" s="25">
        <f>TEXT(A68,"YYYY-MM-DD HH")</f>
        <v/>
      </c>
      <c r="R68" s="25">
        <f>COUNTIF($Q$2:$Q$5295,Q68)</f>
        <v/>
      </c>
      <c r="S68" s="25">
        <f>IF(R68&lt;=2,"1-2",IF(R68&lt;=5,"3-5",IF(R68&lt;=10,"6-10","11+")))</f>
        <v/>
      </c>
    </row>
    <row r="69">
      <c r="A69" s="39" t="n">
        <v>46147.22413194444</v>
      </c>
      <c r="B69" s="25">
        <f>TEXT(A69,"YYYY-MM")</f>
        <v/>
      </c>
      <c r="C69" s="25">
        <f>TEXT(A69,"MMM-YYYY")</f>
        <v/>
      </c>
      <c r="D69" s="40">
        <f>INT(A69)-WEEKDAY(A69,2)+1</f>
        <v/>
      </c>
      <c r="E69" s="25" t="inlineStr">
        <is>
          <t>akumari</t>
        </is>
      </c>
      <c r="F69" s="25" t="n">
        <v>109081</v>
      </c>
      <c r="G69" s="25" t="n">
        <v>5</v>
      </c>
      <c r="H69" s="25" t="n">
        <v>35</v>
      </c>
      <c r="I69" s="25" t="inlineStr">
        <is>
          <t>4 minute(s) and 58 second(s)</t>
        </is>
      </c>
      <c r="J69" s="25">
        <f>IFERROR(VALUE(TRIM(LEFT(I69,FIND("minute",I69)-1)))*60,0)+IFERROR(VALUE(SUBSTITUTE(MID(I69,IFERROR(FIND("and",I69)+3,1),20),"second(s)","")),0)</f>
        <v/>
      </c>
      <c r="K69" s="41">
        <f>J69/60</f>
        <v/>
      </c>
      <c r="L69" s="41">
        <f>IFERROR(J69/H69,"")</f>
        <v/>
      </c>
      <c r="M69" s="25" t="inlineStr">
        <is>
          <t>2.5.12</t>
        </is>
      </c>
      <c r="N69" s="25">
        <f>IF(J69&gt;300,1,0)</f>
        <v/>
      </c>
      <c r="O69" s="25">
        <f>IF(J69&gt;600,1,0)</f>
        <v/>
      </c>
      <c r="P69" s="25">
        <f>IF(H69&gt;0,J69,"")</f>
        <v/>
      </c>
      <c r="Q69" s="25">
        <f>TEXT(A69,"YYYY-MM-DD HH")</f>
        <v/>
      </c>
      <c r="R69" s="25">
        <f>COUNTIF($Q$2:$Q$5295,Q69)</f>
        <v/>
      </c>
      <c r="S69" s="25">
        <f>IF(R69&lt;=2,"1-2",IF(R69&lt;=5,"3-5",IF(R69&lt;=10,"6-10","11+")))</f>
        <v/>
      </c>
    </row>
    <row r="70">
      <c r="A70" s="39" t="n">
        <v>46147.23304398148</v>
      </c>
      <c r="B70" s="25">
        <f>TEXT(A70,"YYYY-MM")</f>
        <v/>
      </c>
      <c r="C70" s="25">
        <f>TEXT(A70,"MMM-YYYY")</f>
        <v/>
      </c>
      <c r="D70" s="40">
        <f>INT(A70)-WEEKDAY(A70,2)+1</f>
        <v/>
      </c>
      <c r="E70" s="25" t="inlineStr">
        <is>
          <t>asahoo</t>
        </is>
      </c>
      <c r="F70" s="25" t="n">
        <v>32513</v>
      </c>
      <c r="G70" s="25" t="n">
        <v>2</v>
      </c>
      <c r="H70" s="25" t="n">
        <v>8</v>
      </c>
      <c r="I70" s="25" t="inlineStr">
        <is>
          <t>3 minute(s) and 56 second(s)</t>
        </is>
      </c>
      <c r="J70" s="25">
        <f>IFERROR(VALUE(TRIM(LEFT(I70,FIND("minute",I70)-1)))*60,0)+IFERROR(VALUE(SUBSTITUTE(MID(I70,IFERROR(FIND("and",I70)+3,1),20),"second(s)","")),0)</f>
        <v/>
      </c>
      <c r="K70" s="41">
        <f>J70/60</f>
        <v/>
      </c>
      <c r="L70" s="41">
        <f>IFERROR(J70/H70,"")</f>
        <v/>
      </c>
      <c r="M70" s="25" t="inlineStr">
        <is>
          <t>2.5.12</t>
        </is>
      </c>
      <c r="N70" s="25">
        <f>IF(J70&gt;300,1,0)</f>
        <v/>
      </c>
      <c r="O70" s="25">
        <f>IF(J70&gt;600,1,0)</f>
        <v/>
      </c>
      <c r="P70" s="25">
        <f>IF(H70&gt;0,J70,"")</f>
        <v/>
      </c>
      <c r="Q70" s="25">
        <f>TEXT(A70,"YYYY-MM-DD HH")</f>
        <v/>
      </c>
      <c r="R70" s="25">
        <f>COUNTIF($Q$2:$Q$5295,Q70)</f>
        <v/>
      </c>
      <c r="S70" s="25">
        <f>IF(R70&lt;=2,"1-2",IF(R70&lt;=5,"3-5",IF(R70&lt;=10,"6-10","11+")))</f>
        <v/>
      </c>
    </row>
    <row r="71">
      <c r="A71" s="39" t="n">
        <v>46147.23503472222</v>
      </c>
      <c r="B71" s="25">
        <f>TEXT(A71,"YYYY-MM")</f>
        <v/>
      </c>
      <c r="C71" s="25">
        <f>TEXT(A71,"MMM-YYYY")</f>
        <v/>
      </c>
      <c r="D71" s="40">
        <f>INT(A71)-WEEKDAY(A71,2)+1</f>
        <v/>
      </c>
      <c r="E71" s="25" t="inlineStr">
        <is>
          <t>aghosh</t>
        </is>
      </c>
      <c r="F71" s="25" t="n">
        <v>114080</v>
      </c>
      <c r="G71" s="25" t="n">
        <v>5</v>
      </c>
      <c r="H71" s="25" t="n">
        <v>25</v>
      </c>
      <c r="I71" s="25" t="inlineStr">
        <is>
          <t>5 minute(s) and 46 second(s)</t>
        </is>
      </c>
      <c r="J71" s="25">
        <f>IFERROR(VALUE(TRIM(LEFT(I71,FIND("minute",I71)-1)))*60,0)+IFERROR(VALUE(SUBSTITUTE(MID(I71,IFERROR(FIND("and",I71)+3,1),20),"second(s)","")),0)</f>
        <v/>
      </c>
      <c r="K71" s="41">
        <f>J71/60</f>
        <v/>
      </c>
      <c r="L71" s="41">
        <f>IFERROR(J71/H71,"")</f>
        <v/>
      </c>
      <c r="M71" s="25" t="inlineStr">
        <is>
          <t>2.5.12</t>
        </is>
      </c>
      <c r="N71" s="25">
        <f>IF(J71&gt;300,1,0)</f>
        <v/>
      </c>
      <c r="O71" s="25">
        <f>IF(J71&gt;600,1,0)</f>
        <v/>
      </c>
      <c r="P71" s="25">
        <f>IF(H71&gt;0,J71,"")</f>
        <v/>
      </c>
      <c r="Q71" s="25">
        <f>TEXT(A71,"YYYY-MM-DD HH")</f>
        <v/>
      </c>
      <c r="R71" s="25">
        <f>COUNTIF($Q$2:$Q$5295,Q71)</f>
        <v/>
      </c>
      <c r="S71" s="25">
        <f>IF(R71&lt;=2,"1-2",IF(R71&lt;=5,"3-5",IF(R71&lt;=10,"6-10","11+")))</f>
        <v/>
      </c>
    </row>
    <row r="72">
      <c r="A72" s="39" t="n">
        <v>46147.23846064815</v>
      </c>
      <c r="B72" s="25">
        <f>TEXT(A72,"YYYY-MM")</f>
        <v/>
      </c>
      <c r="C72" s="25">
        <f>TEXT(A72,"MMM-YYYY")</f>
        <v/>
      </c>
      <c r="D72" s="40">
        <f>INT(A72)-WEEKDAY(A72,2)+1</f>
        <v/>
      </c>
      <c r="E72" s="25" t="inlineStr">
        <is>
          <t>mbhalla</t>
        </is>
      </c>
      <c r="F72" s="25" t="n">
        <v>115495</v>
      </c>
      <c r="G72" s="25" t="n">
        <v>2</v>
      </c>
      <c r="H72" s="25" t="n">
        <v>10</v>
      </c>
      <c r="I72" s="25" t="inlineStr">
        <is>
          <t>1 minute(s) and 55 second(s)</t>
        </is>
      </c>
      <c r="J72" s="25">
        <f>IFERROR(VALUE(TRIM(LEFT(I72,FIND("minute",I72)-1)))*60,0)+IFERROR(VALUE(SUBSTITUTE(MID(I72,IFERROR(FIND("and",I72)+3,1),20),"second(s)","")),0)</f>
        <v/>
      </c>
      <c r="K72" s="41">
        <f>J72/60</f>
        <v/>
      </c>
      <c r="L72" s="41">
        <f>IFERROR(J72/H72,"")</f>
        <v/>
      </c>
      <c r="M72" s="25" t="inlineStr">
        <is>
          <t>2.5.12</t>
        </is>
      </c>
      <c r="N72" s="25">
        <f>IF(J72&gt;300,1,0)</f>
        <v/>
      </c>
      <c r="O72" s="25">
        <f>IF(J72&gt;600,1,0)</f>
        <v/>
      </c>
      <c r="P72" s="25">
        <f>IF(H72&gt;0,J72,"")</f>
        <v/>
      </c>
      <c r="Q72" s="25">
        <f>TEXT(A72,"YYYY-MM-DD HH")</f>
        <v/>
      </c>
      <c r="R72" s="25">
        <f>COUNTIF($Q$2:$Q$5295,Q72)</f>
        <v/>
      </c>
      <c r="S72" s="25">
        <f>IF(R72&lt;=2,"1-2",IF(R72&lt;=5,"3-5",IF(R72&lt;=10,"6-10","11+")))</f>
        <v/>
      </c>
    </row>
    <row r="73">
      <c r="A73" s="39" t="n">
        <v>46147.2452662037</v>
      </c>
      <c r="B73" s="25">
        <f>TEXT(A73,"YYYY-MM")</f>
        <v/>
      </c>
      <c r="C73" s="25">
        <f>TEXT(A73,"MMM-YYYY")</f>
        <v/>
      </c>
      <c r="D73" s="40">
        <f>INT(A73)-WEEKDAY(A73,2)+1</f>
        <v/>
      </c>
      <c r="E73" s="25" t="inlineStr">
        <is>
          <t>mgupta</t>
        </is>
      </c>
      <c r="F73" s="25" t="n">
        <v>64787</v>
      </c>
      <c r="G73" s="25" t="n">
        <v>2</v>
      </c>
      <c r="H73" s="25" t="n">
        <v>10</v>
      </c>
      <c r="I73" s="25" t="inlineStr">
        <is>
          <t>1 minute(s) and 38 second(s)</t>
        </is>
      </c>
      <c r="J73" s="25">
        <f>IFERROR(VALUE(TRIM(LEFT(I73,FIND("minute",I73)-1)))*60,0)+IFERROR(VALUE(SUBSTITUTE(MID(I73,IFERROR(FIND("and",I73)+3,1),20),"second(s)","")),0)</f>
        <v/>
      </c>
      <c r="K73" s="41">
        <f>J73/60</f>
        <v/>
      </c>
      <c r="L73" s="41">
        <f>IFERROR(J73/H73,"")</f>
        <v/>
      </c>
      <c r="M73" s="25" t="inlineStr">
        <is>
          <t>2.5.12</t>
        </is>
      </c>
      <c r="N73" s="25">
        <f>IF(J73&gt;300,1,0)</f>
        <v/>
      </c>
      <c r="O73" s="25">
        <f>IF(J73&gt;600,1,0)</f>
        <v/>
      </c>
      <c r="P73" s="25">
        <f>IF(H73&gt;0,J73,"")</f>
        <v/>
      </c>
      <c r="Q73" s="25">
        <f>TEXT(A73,"YYYY-MM-DD HH")</f>
        <v/>
      </c>
      <c r="R73" s="25">
        <f>COUNTIF($Q$2:$Q$5295,Q73)</f>
        <v/>
      </c>
      <c r="S73" s="25">
        <f>IF(R73&lt;=2,"1-2",IF(R73&lt;=5,"3-5",IF(R73&lt;=10,"6-10","11+")))</f>
        <v/>
      </c>
    </row>
    <row r="74">
      <c r="A74" s="39" t="n">
        <v>46147.4100925926</v>
      </c>
      <c r="B74" s="25">
        <f>TEXT(A74,"YYYY-MM")</f>
        <v/>
      </c>
      <c r="C74" s="25">
        <f>TEXT(A74,"MMM-YYYY")</f>
        <v/>
      </c>
      <c r="D74" s="40">
        <f>INT(A74)-WEEKDAY(A74,2)+1</f>
        <v/>
      </c>
      <c r="E74" s="25" t="inlineStr">
        <is>
          <t>ssaha</t>
        </is>
      </c>
      <c r="F74" s="25" t="n">
        <v>12345</v>
      </c>
      <c r="G74" s="25" t="n">
        <v>2</v>
      </c>
      <c r="H74" s="25" t="n">
        <v>10</v>
      </c>
      <c r="I74" s="25" t="inlineStr">
        <is>
          <t>3 minute(s) and 10 second(s)</t>
        </is>
      </c>
      <c r="J74" s="25">
        <f>IFERROR(VALUE(TRIM(LEFT(I74,FIND("minute",I74)-1)))*60,0)+IFERROR(VALUE(SUBSTITUTE(MID(I74,IFERROR(FIND("and",I74)+3,1),20),"second(s)","")),0)</f>
        <v/>
      </c>
      <c r="K74" s="41">
        <f>J74/60</f>
        <v/>
      </c>
      <c r="L74" s="41">
        <f>IFERROR(J74/H74,"")</f>
        <v/>
      </c>
      <c r="M74" s="25" t="inlineStr">
        <is>
          <t>2.5.12</t>
        </is>
      </c>
      <c r="N74" s="25">
        <f>IF(J74&gt;300,1,0)</f>
        <v/>
      </c>
      <c r="O74" s="25">
        <f>IF(J74&gt;600,1,0)</f>
        <v/>
      </c>
      <c r="P74" s="25">
        <f>IF(H74&gt;0,J74,"")</f>
        <v/>
      </c>
      <c r="Q74" s="25">
        <f>TEXT(A74,"YYYY-MM-DD HH")</f>
        <v/>
      </c>
      <c r="R74" s="25">
        <f>COUNTIF($Q$2:$Q$5295,Q74)</f>
        <v/>
      </c>
      <c r="S74" s="25">
        <f>IF(R74&lt;=2,"1-2",IF(R74&lt;=5,"3-5",IF(R74&lt;=10,"6-10","11+")))</f>
        <v/>
      </c>
    </row>
    <row r="75">
      <c r="A75" s="39" t="n">
        <v>46147.4122337963</v>
      </c>
      <c r="B75" s="25">
        <f>TEXT(A75,"YYYY-MM")</f>
        <v/>
      </c>
      <c r="C75" s="25">
        <f>TEXT(A75,"MMM-YYYY")</f>
        <v/>
      </c>
      <c r="D75" s="40">
        <f>INT(A75)-WEEKDAY(A75,2)+1</f>
        <v/>
      </c>
      <c r="E75" s="25" t="inlineStr">
        <is>
          <t>ssaha</t>
        </is>
      </c>
      <c r="F75" s="25" t="n">
        <v>12345</v>
      </c>
      <c r="G75" s="25" t="n">
        <v>2</v>
      </c>
      <c r="H75" s="25" t="n">
        <v>10</v>
      </c>
      <c r="I75" s="25" t="inlineStr">
        <is>
          <t>1 minute(s) and 20 second(s)</t>
        </is>
      </c>
      <c r="J75" s="25">
        <f>IFERROR(VALUE(TRIM(LEFT(I75,FIND("minute",I75)-1)))*60,0)+IFERROR(VALUE(SUBSTITUTE(MID(I75,IFERROR(FIND("and",I75)+3,1),20),"second(s)","")),0)</f>
        <v/>
      </c>
      <c r="K75" s="41">
        <f>J75/60</f>
        <v/>
      </c>
      <c r="L75" s="41">
        <f>IFERROR(J75/H75,"")</f>
        <v/>
      </c>
      <c r="M75" s="25" t="inlineStr">
        <is>
          <t>2.5.12</t>
        </is>
      </c>
      <c r="N75" s="25">
        <f>IF(J75&gt;300,1,0)</f>
        <v/>
      </c>
      <c r="O75" s="25">
        <f>IF(J75&gt;600,1,0)</f>
        <v/>
      </c>
      <c r="P75" s="25">
        <f>IF(H75&gt;0,J75,"")</f>
        <v/>
      </c>
      <c r="Q75" s="25">
        <f>TEXT(A75,"YYYY-MM-DD HH")</f>
        <v/>
      </c>
      <c r="R75" s="25">
        <f>COUNTIF($Q$2:$Q$5295,Q75)</f>
        <v/>
      </c>
      <c r="S75" s="25">
        <f>IF(R75&lt;=2,"1-2",IF(R75&lt;=5,"3-5",IF(R75&lt;=10,"6-10","11+")))</f>
        <v/>
      </c>
    </row>
    <row r="76">
      <c r="A76" s="39" t="n">
        <v>46147.50938657407</v>
      </c>
      <c r="B76" s="25">
        <f>TEXT(A76,"YYYY-MM")</f>
        <v/>
      </c>
      <c r="C76" s="25">
        <f>TEXT(A76,"MMM-YYYY")</f>
        <v/>
      </c>
      <c r="D76" s="40">
        <f>INT(A76)-WEEKDAY(A76,2)+1</f>
        <v/>
      </c>
      <c r="E76" s="25" t="inlineStr">
        <is>
          <t>ssaha</t>
        </is>
      </c>
      <c r="F76" s="25" t="n">
        <v>12345</v>
      </c>
      <c r="G76" s="25" t="n">
        <v>2</v>
      </c>
      <c r="H76" s="25" t="n">
        <v>10</v>
      </c>
      <c r="I76" s="25" t="inlineStr">
        <is>
          <t>1 minute(s) and 26 second(s)</t>
        </is>
      </c>
      <c r="J76" s="25">
        <f>IFERROR(VALUE(TRIM(LEFT(I76,FIND("minute",I76)-1)))*60,0)+IFERROR(VALUE(SUBSTITUTE(MID(I76,IFERROR(FIND("and",I76)+3,1),20),"second(s)","")),0)</f>
        <v/>
      </c>
      <c r="K76" s="41">
        <f>J76/60</f>
        <v/>
      </c>
      <c r="L76" s="41">
        <f>IFERROR(J76/H76,"")</f>
        <v/>
      </c>
      <c r="M76" s="25" t="inlineStr">
        <is>
          <t>2.5.12</t>
        </is>
      </c>
      <c r="N76" s="25">
        <f>IF(J76&gt;300,1,0)</f>
        <v/>
      </c>
      <c r="O76" s="25">
        <f>IF(J76&gt;600,1,0)</f>
        <v/>
      </c>
      <c r="P76" s="25">
        <f>IF(H76&gt;0,J76,"")</f>
        <v/>
      </c>
      <c r="Q76" s="25">
        <f>TEXT(A76,"YYYY-MM-DD HH")</f>
        <v/>
      </c>
      <c r="R76" s="25">
        <f>COUNTIF($Q$2:$Q$5295,Q76)</f>
        <v/>
      </c>
      <c r="S76" s="25">
        <f>IF(R76&lt;=2,"1-2",IF(R76&lt;=5,"3-5",IF(R76&lt;=10,"6-10","11+")))</f>
        <v/>
      </c>
    </row>
    <row r="77">
      <c r="A77" s="39" t="n">
        <v>46147.51434027778</v>
      </c>
      <c r="B77" s="25">
        <f>TEXT(A77,"YYYY-MM")</f>
        <v/>
      </c>
      <c r="C77" s="25">
        <f>TEXT(A77,"MMM-YYYY")</f>
        <v/>
      </c>
      <c r="D77" s="40">
        <f>INT(A77)-WEEKDAY(A77,2)+1</f>
        <v/>
      </c>
      <c r="E77" s="25" t="inlineStr">
        <is>
          <t>ssaha</t>
        </is>
      </c>
      <c r="F77" s="25" t="n">
        <v>12345</v>
      </c>
      <c r="G77" s="25" t="n">
        <v>2</v>
      </c>
      <c r="H77" s="25" t="n">
        <v>10</v>
      </c>
      <c r="I77" s="25" t="inlineStr">
        <is>
          <t>2 minute(s) and 59 second(s)</t>
        </is>
      </c>
      <c r="J77" s="25">
        <f>IFERROR(VALUE(TRIM(LEFT(I77,FIND("minute",I77)-1)))*60,0)+IFERROR(VALUE(SUBSTITUTE(MID(I77,IFERROR(FIND("and",I77)+3,1),20),"second(s)","")),0)</f>
        <v/>
      </c>
      <c r="K77" s="41">
        <f>J77/60</f>
        <v/>
      </c>
      <c r="L77" s="41">
        <f>IFERROR(J77/H77,"")</f>
        <v/>
      </c>
      <c r="M77" s="25" t="inlineStr">
        <is>
          <t>2.5.12</t>
        </is>
      </c>
      <c r="N77" s="25">
        <f>IF(J77&gt;300,1,0)</f>
        <v/>
      </c>
      <c r="O77" s="25">
        <f>IF(J77&gt;600,1,0)</f>
        <v/>
      </c>
      <c r="P77" s="25">
        <f>IF(H77&gt;0,J77,"")</f>
        <v/>
      </c>
      <c r="Q77" s="25">
        <f>TEXT(A77,"YYYY-MM-DD HH")</f>
        <v/>
      </c>
      <c r="R77" s="25">
        <f>COUNTIF($Q$2:$Q$5295,Q77)</f>
        <v/>
      </c>
      <c r="S77" s="25">
        <f>IF(R77&lt;=2,"1-2",IF(R77&lt;=5,"3-5",IF(R77&lt;=10,"6-10","11+")))</f>
        <v/>
      </c>
    </row>
    <row r="78">
      <c r="A78" s="39" t="n">
        <v>46147.5353125</v>
      </c>
      <c r="B78" s="25">
        <f>TEXT(A78,"YYYY-MM")</f>
        <v/>
      </c>
      <c r="C78" s="25">
        <f>TEXT(A78,"MMM-YYYY")</f>
        <v/>
      </c>
      <c r="D78" s="40">
        <f>INT(A78)-WEEKDAY(A78,2)+1</f>
        <v/>
      </c>
      <c r="E78" s="25" t="inlineStr">
        <is>
          <t>rsingh</t>
        </is>
      </c>
      <c r="F78" s="25" t="n">
        <v>114376</v>
      </c>
      <c r="G78" s="25" t="n">
        <v>5</v>
      </c>
      <c r="H78" s="25" t="n">
        <v>31</v>
      </c>
      <c r="I78" s="25" t="inlineStr">
        <is>
          <t>7 minute(s) and 52 second(s)</t>
        </is>
      </c>
      <c r="J78" s="25">
        <f>IFERROR(VALUE(TRIM(LEFT(I78,FIND("minute",I78)-1)))*60,0)+IFERROR(VALUE(SUBSTITUTE(MID(I78,IFERROR(FIND("and",I78)+3,1),20),"second(s)","")),0)</f>
        <v/>
      </c>
      <c r="K78" s="41">
        <f>J78/60</f>
        <v/>
      </c>
      <c r="L78" s="41">
        <f>IFERROR(J78/H78,"")</f>
        <v/>
      </c>
      <c r="M78" s="25" t="inlineStr">
        <is>
          <t>2.5.12</t>
        </is>
      </c>
      <c r="N78" s="25">
        <f>IF(J78&gt;300,1,0)</f>
        <v/>
      </c>
      <c r="O78" s="25">
        <f>IF(J78&gt;600,1,0)</f>
        <v/>
      </c>
      <c r="P78" s="25">
        <f>IF(H78&gt;0,J78,"")</f>
        <v/>
      </c>
      <c r="Q78" s="25">
        <f>TEXT(A78,"YYYY-MM-DD HH")</f>
        <v/>
      </c>
      <c r="R78" s="25">
        <f>COUNTIF($Q$2:$Q$5295,Q78)</f>
        <v/>
      </c>
      <c r="S78" s="25">
        <f>IF(R78&lt;=2,"1-2",IF(R78&lt;=5,"3-5",IF(R78&lt;=10,"6-10","11+")))</f>
        <v/>
      </c>
    </row>
    <row r="79">
      <c r="A79" s="39" t="n">
        <v>46147.56829861111</v>
      </c>
      <c r="B79" s="25">
        <f>TEXT(A79,"YYYY-MM")</f>
        <v/>
      </c>
      <c r="C79" s="25">
        <f>TEXT(A79,"MMM-YYYY")</f>
        <v/>
      </c>
      <c r="D79" s="40">
        <f>INT(A79)-WEEKDAY(A79,2)+1</f>
        <v/>
      </c>
      <c r="E79" s="25" t="inlineStr">
        <is>
          <t>rts</t>
        </is>
      </c>
      <c r="F79" s="25" t="n">
        <v>67888</v>
      </c>
      <c r="G79" s="25" t="n">
        <v>5</v>
      </c>
      <c r="H79" s="25" t="n">
        <v>25</v>
      </c>
      <c r="I79" s="25" t="inlineStr">
        <is>
          <t>11 minute(s) and 52 second(s)</t>
        </is>
      </c>
      <c r="J79" s="25">
        <f>IFERROR(VALUE(TRIM(LEFT(I79,FIND("minute",I79)-1)))*60,0)+IFERROR(VALUE(SUBSTITUTE(MID(I79,IFERROR(FIND("and",I79)+3,1),20),"second(s)","")),0)</f>
        <v/>
      </c>
      <c r="K79" s="41">
        <f>J79/60</f>
        <v/>
      </c>
      <c r="L79" s="41">
        <f>IFERROR(J79/H79,"")</f>
        <v/>
      </c>
      <c r="M79" s="25" t="inlineStr">
        <is>
          <t>2.5.12</t>
        </is>
      </c>
      <c r="N79" s="25">
        <f>IF(J79&gt;300,1,0)</f>
        <v/>
      </c>
      <c r="O79" s="25">
        <f>IF(J79&gt;600,1,0)</f>
        <v/>
      </c>
      <c r="P79" s="25">
        <f>IF(H79&gt;0,J79,"")</f>
        <v/>
      </c>
      <c r="Q79" s="25">
        <f>TEXT(A79,"YYYY-MM-DD HH")</f>
        <v/>
      </c>
      <c r="R79" s="25">
        <f>COUNTIF($Q$2:$Q$5295,Q79)</f>
        <v/>
      </c>
      <c r="S79" s="25">
        <f>IF(R79&lt;=2,"1-2",IF(R79&lt;=5,"3-5",IF(R79&lt;=10,"6-10","11+")))</f>
        <v/>
      </c>
    </row>
    <row r="80">
      <c r="A80" s="39" t="n">
        <v>46147.57258101852</v>
      </c>
      <c r="B80" s="25">
        <f>TEXT(A80,"YYYY-MM")</f>
        <v/>
      </c>
      <c r="C80" s="25">
        <f>TEXT(A80,"MMM-YYYY")</f>
        <v/>
      </c>
      <c r="D80" s="40">
        <f>INT(A80)-WEEKDAY(A80,2)+1</f>
        <v/>
      </c>
      <c r="E80" s="25" t="inlineStr">
        <is>
          <t>mgupta</t>
        </is>
      </c>
      <c r="F80" s="25" t="n">
        <v>34703</v>
      </c>
      <c r="G80" s="25" t="n">
        <v>1</v>
      </c>
      <c r="H80" s="25" t="n">
        <v>7</v>
      </c>
      <c r="I80" s="25" t="inlineStr">
        <is>
          <t>2 minute(s) and 28 second(s)</t>
        </is>
      </c>
      <c r="J80" s="25">
        <f>IFERROR(VALUE(TRIM(LEFT(I80,FIND("minute",I80)-1)))*60,0)+IFERROR(VALUE(SUBSTITUTE(MID(I80,IFERROR(FIND("and",I80)+3,1),20),"second(s)","")),0)</f>
        <v/>
      </c>
      <c r="K80" s="41">
        <f>J80/60</f>
        <v/>
      </c>
      <c r="L80" s="41">
        <f>IFERROR(J80/H80,"")</f>
        <v/>
      </c>
      <c r="M80" s="25" t="inlineStr">
        <is>
          <t>2.5.12</t>
        </is>
      </c>
      <c r="N80" s="25">
        <f>IF(J80&gt;300,1,0)</f>
        <v/>
      </c>
      <c r="O80" s="25">
        <f>IF(J80&gt;600,1,0)</f>
        <v/>
      </c>
      <c r="P80" s="25">
        <f>IF(H80&gt;0,J80,"")</f>
        <v/>
      </c>
      <c r="Q80" s="25">
        <f>TEXT(A80,"YYYY-MM-DD HH")</f>
        <v/>
      </c>
      <c r="R80" s="25">
        <f>COUNTIF($Q$2:$Q$5295,Q80)</f>
        <v/>
      </c>
      <c r="S80" s="25">
        <f>IF(R80&lt;=2,"1-2",IF(R80&lt;=5,"3-5",IF(R80&lt;=10,"6-10","11+")))</f>
        <v/>
      </c>
    </row>
    <row r="81">
      <c r="A81" s="39" t="n">
        <v>46147.57736111111</v>
      </c>
      <c r="B81" s="25">
        <f>TEXT(A81,"YYYY-MM")</f>
        <v/>
      </c>
      <c r="C81" s="25">
        <f>TEXT(A81,"MMM-YYYY")</f>
        <v/>
      </c>
      <c r="D81" s="40">
        <f>INT(A81)-WEEKDAY(A81,2)+1</f>
        <v/>
      </c>
      <c r="E81" s="25" t="inlineStr">
        <is>
          <t>ns</t>
        </is>
      </c>
      <c r="F81" s="25" t="n">
        <v>98365</v>
      </c>
      <c r="G81" s="25" t="n">
        <v>5</v>
      </c>
      <c r="H81" s="25" t="n">
        <v>18</v>
      </c>
      <c r="I81" s="25" t="inlineStr">
        <is>
          <t>3 minute(s) and 28 second(s)</t>
        </is>
      </c>
      <c r="J81" s="25">
        <f>IFERROR(VALUE(TRIM(LEFT(I81,FIND("minute",I81)-1)))*60,0)+IFERROR(VALUE(SUBSTITUTE(MID(I81,IFERROR(FIND("and",I81)+3,1),20),"second(s)","")),0)</f>
        <v/>
      </c>
      <c r="K81" s="41">
        <f>J81/60</f>
        <v/>
      </c>
      <c r="L81" s="41">
        <f>IFERROR(J81/H81,"")</f>
        <v/>
      </c>
      <c r="M81" s="25" t="inlineStr">
        <is>
          <t>2.5.12</t>
        </is>
      </c>
      <c r="N81" s="25">
        <f>IF(J81&gt;300,1,0)</f>
        <v/>
      </c>
      <c r="O81" s="25">
        <f>IF(J81&gt;600,1,0)</f>
        <v/>
      </c>
      <c r="P81" s="25">
        <f>IF(H81&gt;0,J81,"")</f>
        <v/>
      </c>
      <c r="Q81" s="25">
        <f>TEXT(A81,"YYYY-MM-DD HH")</f>
        <v/>
      </c>
      <c r="R81" s="25">
        <f>COUNTIF($Q$2:$Q$5295,Q81)</f>
        <v/>
      </c>
      <c r="S81" s="25">
        <f>IF(R81&lt;=2,"1-2",IF(R81&lt;=5,"3-5",IF(R81&lt;=10,"6-10","11+")))</f>
        <v/>
      </c>
    </row>
    <row r="82">
      <c r="A82" s="39" t="n">
        <v>46147.58277777778</v>
      </c>
      <c r="B82" s="25">
        <f>TEXT(A82,"YYYY-MM")</f>
        <v/>
      </c>
      <c r="C82" s="25">
        <f>TEXT(A82,"MMM-YYYY")</f>
        <v/>
      </c>
      <c r="D82" s="40">
        <f>INT(A82)-WEEKDAY(A82,2)+1</f>
        <v/>
      </c>
      <c r="E82" s="25" t="inlineStr">
        <is>
          <t>mbhalla</t>
        </is>
      </c>
      <c r="F82" s="25" t="n">
        <v>46376</v>
      </c>
      <c r="G82" s="25" t="n">
        <v>2</v>
      </c>
      <c r="H82" s="25" t="n">
        <v>12</v>
      </c>
      <c r="I82" s="25" t="inlineStr">
        <is>
          <t>2 minute(s) and 8 second(s)</t>
        </is>
      </c>
      <c r="J82" s="25">
        <f>IFERROR(VALUE(TRIM(LEFT(I82,FIND("minute",I82)-1)))*60,0)+IFERROR(VALUE(SUBSTITUTE(MID(I82,IFERROR(FIND("and",I82)+3,1),20),"second(s)","")),0)</f>
        <v/>
      </c>
      <c r="K82" s="41">
        <f>J82/60</f>
        <v/>
      </c>
      <c r="L82" s="41">
        <f>IFERROR(J82/H82,"")</f>
        <v/>
      </c>
      <c r="M82" s="25" t="inlineStr">
        <is>
          <t>2.5.12</t>
        </is>
      </c>
      <c r="N82" s="25">
        <f>IF(J82&gt;300,1,0)</f>
        <v/>
      </c>
      <c r="O82" s="25">
        <f>IF(J82&gt;600,1,0)</f>
        <v/>
      </c>
      <c r="P82" s="25">
        <f>IF(H82&gt;0,J82,"")</f>
        <v/>
      </c>
      <c r="Q82" s="25">
        <f>TEXT(A82,"YYYY-MM-DD HH")</f>
        <v/>
      </c>
      <c r="R82" s="25">
        <f>COUNTIF($Q$2:$Q$5295,Q82)</f>
        <v/>
      </c>
      <c r="S82" s="25">
        <f>IF(R82&lt;=2,"1-2",IF(R82&lt;=5,"3-5",IF(R82&lt;=10,"6-10","11+")))</f>
        <v/>
      </c>
    </row>
    <row r="83">
      <c r="A83" s="39" t="n">
        <v>46147.58554398148</v>
      </c>
      <c r="B83" s="25">
        <f>TEXT(A83,"YYYY-MM")</f>
        <v/>
      </c>
      <c r="C83" s="25">
        <f>TEXT(A83,"MMM-YYYY")</f>
        <v/>
      </c>
      <c r="D83" s="40">
        <f>INT(A83)-WEEKDAY(A83,2)+1</f>
        <v/>
      </c>
      <c r="E83" s="25" t="inlineStr">
        <is>
          <t>hdutt</t>
        </is>
      </c>
      <c r="F83" s="25" t="n">
        <v>31765</v>
      </c>
      <c r="G83" s="25" t="n">
        <v>1</v>
      </c>
      <c r="H83" s="25" t="n">
        <v>5</v>
      </c>
      <c r="I83" s="25" t="inlineStr">
        <is>
          <t>1 minute(s) and 5 second(s)</t>
        </is>
      </c>
      <c r="J83" s="25">
        <f>IFERROR(VALUE(TRIM(LEFT(I83,FIND("minute",I83)-1)))*60,0)+IFERROR(VALUE(SUBSTITUTE(MID(I83,IFERROR(FIND("and",I83)+3,1),20),"second(s)","")),0)</f>
        <v/>
      </c>
      <c r="K83" s="41">
        <f>J83/60</f>
        <v/>
      </c>
      <c r="L83" s="41">
        <f>IFERROR(J83/H83,"")</f>
        <v/>
      </c>
      <c r="M83" s="25" t="inlineStr">
        <is>
          <t>2.5.12</t>
        </is>
      </c>
      <c r="N83" s="25">
        <f>IF(J83&gt;300,1,0)</f>
        <v/>
      </c>
      <c r="O83" s="25">
        <f>IF(J83&gt;600,1,0)</f>
        <v/>
      </c>
      <c r="P83" s="25">
        <f>IF(H83&gt;0,J83,"")</f>
        <v/>
      </c>
      <c r="Q83" s="25">
        <f>TEXT(A83,"YYYY-MM-DD HH")</f>
        <v/>
      </c>
      <c r="R83" s="25">
        <f>COUNTIF($Q$2:$Q$5295,Q83)</f>
        <v/>
      </c>
      <c r="S83" s="25">
        <f>IF(R83&lt;=2,"1-2",IF(R83&lt;=5,"3-5",IF(R83&lt;=10,"6-10","11+")))</f>
        <v/>
      </c>
    </row>
    <row r="84">
      <c r="A84" s="39" t="n">
        <v>46147.67189814815</v>
      </c>
      <c r="B84" s="25">
        <f>TEXT(A84,"YYYY-MM")</f>
        <v/>
      </c>
      <c r="C84" s="25">
        <f>TEXT(A84,"MMM-YYYY")</f>
        <v/>
      </c>
      <c r="D84" s="40">
        <f>INT(A84)-WEEKDAY(A84,2)+1</f>
        <v/>
      </c>
      <c r="E84" s="25" t="inlineStr">
        <is>
          <t>ssaha</t>
        </is>
      </c>
      <c r="F84" s="25" t="n">
        <v>108077</v>
      </c>
      <c r="G84" s="25" t="n">
        <v>5</v>
      </c>
      <c r="H84" s="25" t="n">
        <v>15</v>
      </c>
      <c r="I84" s="25" t="inlineStr">
        <is>
          <t>3 minute(s) and 56 second(s)</t>
        </is>
      </c>
      <c r="J84" s="25">
        <f>IFERROR(VALUE(TRIM(LEFT(I84,FIND("minute",I84)-1)))*60,0)+IFERROR(VALUE(SUBSTITUTE(MID(I84,IFERROR(FIND("and",I84)+3,1),20),"second(s)","")),0)</f>
        <v/>
      </c>
      <c r="K84" s="41">
        <f>J84/60</f>
        <v/>
      </c>
      <c r="L84" s="41">
        <f>IFERROR(J84/H84,"")</f>
        <v/>
      </c>
      <c r="M84" s="25" t="inlineStr">
        <is>
          <t>2.5.12</t>
        </is>
      </c>
      <c r="N84" s="25">
        <f>IF(J84&gt;300,1,0)</f>
        <v/>
      </c>
      <c r="O84" s="25">
        <f>IF(J84&gt;600,1,0)</f>
        <v/>
      </c>
      <c r="P84" s="25">
        <f>IF(H84&gt;0,J84,"")</f>
        <v/>
      </c>
      <c r="Q84" s="25">
        <f>TEXT(A84,"YYYY-MM-DD HH")</f>
        <v/>
      </c>
      <c r="R84" s="25">
        <f>COUNTIF($Q$2:$Q$5295,Q84)</f>
        <v/>
      </c>
      <c r="S84" s="25">
        <f>IF(R84&lt;=2,"1-2",IF(R84&lt;=5,"3-5",IF(R84&lt;=10,"6-10","11+")))</f>
        <v/>
      </c>
    </row>
    <row r="85">
      <c r="A85" s="39" t="n">
        <v>46147.79664351852</v>
      </c>
      <c r="B85" s="25">
        <f>TEXT(A85,"YYYY-MM")</f>
        <v/>
      </c>
      <c r="C85" s="25">
        <f>TEXT(A85,"MMM-YYYY")</f>
        <v/>
      </c>
      <c r="D85" s="40">
        <f>INT(A85)-WEEKDAY(A85,2)+1</f>
        <v/>
      </c>
      <c r="E85" s="25" t="inlineStr">
        <is>
          <t>ssaha</t>
        </is>
      </c>
      <c r="F85" s="25" t="n">
        <v>32617</v>
      </c>
      <c r="G85" s="25" t="n">
        <v>4</v>
      </c>
      <c r="H85" s="25" t="n">
        <v>24</v>
      </c>
      <c r="I85" s="25" t="inlineStr">
        <is>
          <t>3 minute(s) and 49 second(s)</t>
        </is>
      </c>
      <c r="J85" s="25">
        <f>IFERROR(VALUE(TRIM(LEFT(I85,FIND("minute",I85)-1)))*60,0)+IFERROR(VALUE(SUBSTITUTE(MID(I85,IFERROR(FIND("and",I85)+3,1),20),"second(s)","")),0)</f>
        <v/>
      </c>
      <c r="K85" s="41">
        <f>J85/60</f>
        <v/>
      </c>
      <c r="L85" s="41">
        <f>IFERROR(J85/H85,"")</f>
        <v/>
      </c>
      <c r="M85" s="25" t="inlineStr">
        <is>
          <t>2.5.12</t>
        </is>
      </c>
      <c r="N85" s="25">
        <f>IF(J85&gt;300,1,0)</f>
        <v/>
      </c>
      <c r="O85" s="25">
        <f>IF(J85&gt;600,1,0)</f>
        <v/>
      </c>
      <c r="P85" s="25">
        <f>IF(H85&gt;0,J85,"")</f>
        <v/>
      </c>
      <c r="Q85" s="25">
        <f>TEXT(A85,"YYYY-MM-DD HH")</f>
        <v/>
      </c>
      <c r="R85" s="25">
        <f>COUNTIF($Q$2:$Q$5295,Q85)</f>
        <v/>
      </c>
      <c r="S85" s="25">
        <f>IF(R85&lt;=2,"1-2",IF(R85&lt;=5,"3-5",IF(R85&lt;=10,"6-10","11+")))</f>
        <v/>
      </c>
    </row>
    <row r="86">
      <c r="A86" s="39" t="n">
        <v>46147.95638888889</v>
      </c>
      <c r="B86" s="25">
        <f>TEXT(A86,"YYYY-MM")</f>
        <v/>
      </c>
      <c r="C86" s="25">
        <f>TEXT(A86,"MMM-YYYY")</f>
        <v/>
      </c>
      <c r="D86" s="40">
        <f>INT(A86)-WEEKDAY(A86,2)+1</f>
        <v/>
      </c>
      <c r="E86" s="25" t="inlineStr">
        <is>
          <t>ssaha</t>
        </is>
      </c>
      <c r="F86" s="25" t="n">
        <v>48570</v>
      </c>
      <c r="G86" s="25" t="n">
        <v>2</v>
      </c>
      <c r="H86" s="25" t="n">
        <v>8</v>
      </c>
      <c r="I86" s="25" t="inlineStr">
        <is>
          <t>1 minute(s) and 49 second(s)</t>
        </is>
      </c>
      <c r="J86" s="25">
        <f>IFERROR(VALUE(TRIM(LEFT(I86,FIND("minute",I86)-1)))*60,0)+IFERROR(VALUE(SUBSTITUTE(MID(I86,IFERROR(FIND("and",I86)+3,1),20),"second(s)","")),0)</f>
        <v/>
      </c>
      <c r="K86" s="41">
        <f>J86/60</f>
        <v/>
      </c>
      <c r="L86" s="41">
        <f>IFERROR(J86/H86,"")</f>
        <v/>
      </c>
      <c r="M86" s="25" t="inlineStr">
        <is>
          <t>2.5.12</t>
        </is>
      </c>
      <c r="N86" s="25">
        <f>IF(J86&gt;300,1,0)</f>
        <v/>
      </c>
      <c r="O86" s="25">
        <f>IF(J86&gt;600,1,0)</f>
        <v/>
      </c>
      <c r="P86" s="25">
        <f>IF(H86&gt;0,J86,"")</f>
        <v/>
      </c>
      <c r="Q86" s="25">
        <f>TEXT(A86,"YYYY-MM-DD HH")</f>
        <v/>
      </c>
      <c r="R86" s="25">
        <f>COUNTIF($Q$2:$Q$5295,Q86)</f>
        <v/>
      </c>
      <c r="S86" s="25">
        <f>IF(R86&lt;=2,"1-2",IF(R86&lt;=5,"3-5",IF(R86&lt;=10,"6-10","11+")))</f>
        <v/>
      </c>
    </row>
    <row r="87">
      <c r="A87" s="39" t="n">
        <v>46147.98268518518</v>
      </c>
      <c r="B87" s="25">
        <f>TEXT(A87,"YYYY-MM")</f>
        <v/>
      </c>
      <c r="C87" s="25">
        <f>TEXT(A87,"MMM-YYYY")</f>
        <v/>
      </c>
      <c r="D87" s="40">
        <f>INT(A87)-WEEKDAY(A87,2)+1</f>
        <v/>
      </c>
      <c r="E87" s="25" t="inlineStr">
        <is>
          <t>ssaha</t>
        </is>
      </c>
      <c r="F87" s="25" t="n">
        <v>48570</v>
      </c>
      <c r="G87" s="25" t="n">
        <v>2</v>
      </c>
      <c r="H87" s="25" t="n">
        <v>9</v>
      </c>
      <c r="I87" s="25" t="inlineStr">
        <is>
          <t>3 minute(s) and 29 second(s)</t>
        </is>
      </c>
      <c r="J87" s="25">
        <f>IFERROR(VALUE(TRIM(LEFT(I87,FIND("minute",I87)-1)))*60,0)+IFERROR(VALUE(SUBSTITUTE(MID(I87,IFERROR(FIND("and",I87)+3,1),20),"second(s)","")),0)</f>
        <v/>
      </c>
      <c r="K87" s="41">
        <f>J87/60</f>
        <v/>
      </c>
      <c r="L87" s="41">
        <f>IFERROR(J87/H87,"")</f>
        <v/>
      </c>
      <c r="M87" s="25" t="inlineStr">
        <is>
          <t>2.5.12</t>
        </is>
      </c>
      <c r="N87" s="25">
        <f>IF(J87&gt;300,1,0)</f>
        <v/>
      </c>
      <c r="O87" s="25">
        <f>IF(J87&gt;600,1,0)</f>
        <v/>
      </c>
      <c r="P87" s="25">
        <f>IF(H87&gt;0,J87,"")</f>
        <v/>
      </c>
      <c r="Q87" s="25">
        <f>TEXT(A87,"YYYY-MM-DD HH")</f>
        <v/>
      </c>
      <c r="R87" s="25">
        <f>COUNTIF($Q$2:$Q$5295,Q87)</f>
        <v/>
      </c>
      <c r="S87" s="25">
        <f>IF(R87&lt;=2,"1-2",IF(R87&lt;=5,"3-5",IF(R87&lt;=10,"6-10","11+")))</f>
        <v/>
      </c>
    </row>
    <row r="88">
      <c r="A88" s="39" t="n">
        <v>46148.00333333333</v>
      </c>
      <c r="B88" s="25">
        <f>TEXT(A88,"YYYY-MM")</f>
        <v/>
      </c>
      <c r="C88" s="25">
        <f>TEXT(A88,"MMM-YYYY")</f>
        <v/>
      </c>
      <c r="D88" s="40">
        <f>INT(A88)-WEEKDAY(A88,2)+1</f>
        <v/>
      </c>
      <c r="E88" s="25" t="inlineStr">
        <is>
          <t>dbhattacharyya</t>
        </is>
      </c>
      <c r="F88" s="25" t="n">
        <v>14950</v>
      </c>
      <c r="G88" s="25" t="n">
        <v>5</v>
      </c>
      <c r="H88" s="25" t="n">
        <v>9</v>
      </c>
      <c r="I88" s="25" t="inlineStr">
        <is>
          <t>1 minute(s) and 28 second(s)</t>
        </is>
      </c>
      <c r="J88" s="25">
        <f>IFERROR(VALUE(TRIM(LEFT(I88,FIND("minute",I88)-1)))*60,0)+IFERROR(VALUE(SUBSTITUTE(MID(I88,IFERROR(FIND("and",I88)+3,1),20),"second(s)","")),0)</f>
        <v/>
      </c>
      <c r="K88" s="41">
        <f>J88/60</f>
        <v/>
      </c>
      <c r="L88" s="41">
        <f>IFERROR(J88/H88,"")</f>
        <v/>
      </c>
      <c r="M88" s="25" t="inlineStr">
        <is>
          <t>2.5.12</t>
        </is>
      </c>
      <c r="N88" s="25">
        <f>IF(J88&gt;300,1,0)</f>
        <v/>
      </c>
      <c r="O88" s="25">
        <f>IF(J88&gt;600,1,0)</f>
        <v/>
      </c>
      <c r="P88" s="25">
        <f>IF(H88&gt;0,J88,"")</f>
        <v/>
      </c>
      <c r="Q88" s="25">
        <f>TEXT(A88,"YYYY-MM-DD HH")</f>
        <v/>
      </c>
      <c r="R88" s="25">
        <f>COUNTIF($Q$2:$Q$5295,Q88)</f>
        <v/>
      </c>
      <c r="S88" s="25">
        <f>IF(R88&lt;=2,"1-2",IF(R88&lt;=5,"3-5",IF(R88&lt;=10,"6-10","11+")))</f>
        <v/>
      </c>
    </row>
    <row r="89">
      <c r="A89" s="39" t="n">
        <v>46148.00846064815</v>
      </c>
      <c r="B89" s="25">
        <f>TEXT(A89,"YYYY-MM")</f>
        <v/>
      </c>
      <c r="C89" s="25">
        <f>TEXT(A89,"MMM-YYYY")</f>
        <v/>
      </c>
      <c r="D89" s="40">
        <f>INT(A89)-WEEKDAY(A89,2)+1</f>
        <v/>
      </c>
      <c r="E89" s="25" t="inlineStr">
        <is>
          <t>ssaha</t>
        </is>
      </c>
      <c r="F89" s="25" t="n">
        <v>49215</v>
      </c>
      <c r="G89" s="25" t="n">
        <v>2</v>
      </c>
      <c r="H89" s="25" t="n">
        <v>6</v>
      </c>
      <c r="I89" s="25" t="inlineStr">
        <is>
          <t>51 second(s)</t>
        </is>
      </c>
      <c r="J89" s="25">
        <f>IFERROR(VALUE(TRIM(LEFT(I89,FIND("minute",I89)-1)))*60,0)+IFERROR(VALUE(SUBSTITUTE(MID(I89,IFERROR(FIND("and",I89)+3,1),20),"second(s)","")),0)</f>
        <v/>
      </c>
      <c r="K89" s="41">
        <f>J89/60</f>
        <v/>
      </c>
      <c r="L89" s="41">
        <f>IFERROR(J89/H89,"")</f>
        <v/>
      </c>
      <c r="M89" s="25" t="inlineStr">
        <is>
          <t>2.5.12</t>
        </is>
      </c>
      <c r="N89" s="25">
        <f>IF(J89&gt;300,1,0)</f>
        <v/>
      </c>
      <c r="O89" s="25">
        <f>IF(J89&gt;600,1,0)</f>
        <v/>
      </c>
      <c r="P89" s="25">
        <f>IF(H89&gt;0,J89,"")</f>
        <v/>
      </c>
      <c r="Q89" s="25">
        <f>TEXT(A89,"YYYY-MM-DD HH")</f>
        <v/>
      </c>
      <c r="R89" s="25">
        <f>COUNTIF($Q$2:$Q$5295,Q89)</f>
        <v/>
      </c>
      <c r="S89" s="25">
        <f>IF(R89&lt;=2,"1-2",IF(R89&lt;=5,"3-5",IF(R89&lt;=10,"6-10","11+")))</f>
        <v/>
      </c>
    </row>
    <row r="90">
      <c r="A90" s="39" t="n">
        <v>46148.03348379629</v>
      </c>
      <c r="B90" s="25">
        <f>TEXT(A90,"YYYY-MM")</f>
        <v/>
      </c>
      <c r="C90" s="25">
        <f>TEXT(A90,"MMM-YYYY")</f>
        <v/>
      </c>
      <c r="D90" s="40">
        <f>INT(A90)-WEEKDAY(A90,2)+1</f>
        <v/>
      </c>
      <c r="E90" s="25" t="inlineStr">
        <is>
          <t>dbhattacharyya</t>
        </is>
      </c>
      <c r="F90" s="25" t="n">
        <v>116096</v>
      </c>
      <c r="G90" s="25" t="n">
        <v>2</v>
      </c>
      <c r="H90" s="25" t="n">
        <v>10</v>
      </c>
      <c r="I90" s="25" t="inlineStr">
        <is>
          <t>1 minute(s) and 41 second(s)</t>
        </is>
      </c>
      <c r="J90" s="25">
        <f>IFERROR(VALUE(TRIM(LEFT(I90,FIND("minute",I90)-1)))*60,0)+IFERROR(VALUE(SUBSTITUTE(MID(I90,IFERROR(FIND("and",I90)+3,1),20),"second(s)","")),0)</f>
        <v/>
      </c>
      <c r="K90" s="41">
        <f>J90/60</f>
        <v/>
      </c>
      <c r="L90" s="41">
        <f>IFERROR(J90/H90,"")</f>
        <v/>
      </c>
      <c r="M90" s="25" t="inlineStr">
        <is>
          <t>2.5.12</t>
        </is>
      </c>
      <c r="N90" s="25">
        <f>IF(J90&gt;300,1,0)</f>
        <v/>
      </c>
      <c r="O90" s="25">
        <f>IF(J90&gt;600,1,0)</f>
        <v/>
      </c>
      <c r="P90" s="25">
        <f>IF(H90&gt;0,J90,"")</f>
        <v/>
      </c>
      <c r="Q90" s="25">
        <f>TEXT(A90,"YYYY-MM-DD HH")</f>
        <v/>
      </c>
      <c r="R90" s="25">
        <f>COUNTIF($Q$2:$Q$5295,Q90)</f>
        <v/>
      </c>
      <c r="S90" s="25">
        <f>IF(R90&lt;=2,"1-2",IF(R90&lt;=5,"3-5",IF(R90&lt;=10,"6-10","11+")))</f>
        <v/>
      </c>
    </row>
    <row r="91">
      <c r="A91" s="39" t="n">
        <v>46148.05369212963</v>
      </c>
      <c r="B91" s="25">
        <f>TEXT(A91,"YYYY-MM")</f>
        <v/>
      </c>
      <c r="C91" s="25">
        <f>TEXT(A91,"MMM-YYYY")</f>
        <v/>
      </c>
      <c r="D91" s="40">
        <f>INT(A91)-WEEKDAY(A91,2)+1</f>
        <v/>
      </c>
      <c r="E91" s="25" t="inlineStr">
        <is>
          <t>smukhopadhyay</t>
        </is>
      </c>
      <c r="F91" s="25" t="n">
        <v>104403</v>
      </c>
      <c r="G91" s="25" t="n">
        <v>4</v>
      </c>
      <c r="H91" s="25" t="n">
        <v>16</v>
      </c>
      <c r="I91" s="25" t="inlineStr">
        <is>
          <t>15 minute(s) and 57 second(s)</t>
        </is>
      </c>
      <c r="J91" s="25">
        <f>IFERROR(VALUE(TRIM(LEFT(I91,FIND("minute",I91)-1)))*60,0)+IFERROR(VALUE(SUBSTITUTE(MID(I91,IFERROR(FIND("and",I91)+3,1),20),"second(s)","")),0)</f>
        <v/>
      </c>
      <c r="K91" s="41">
        <f>J91/60</f>
        <v/>
      </c>
      <c r="L91" s="41">
        <f>IFERROR(J91/H91,"")</f>
        <v/>
      </c>
      <c r="M91" s="25" t="inlineStr">
        <is>
          <t>2.5.12</t>
        </is>
      </c>
      <c r="N91" s="25">
        <f>IF(J91&gt;300,1,0)</f>
        <v/>
      </c>
      <c r="O91" s="25">
        <f>IF(J91&gt;600,1,0)</f>
        <v/>
      </c>
      <c r="P91" s="25">
        <f>IF(H91&gt;0,J91,"")</f>
        <v/>
      </c>
      <c r="Q91" s="25">
        <f>TEXT(A91,"YYYY-MM-DD HH")</f>
        <v/>
      </c>
      <c r="R91" s="25">
        <f>COUNTIF($Q$2:$Q$5295,Q91)</f>
        <v/>
      </c>
      <c r="S91" s="25">
        <f>IF(R91&lt;=2,"1-2",IF(R91&lt;=5,"3-5",IF(R91&lt;=10,"6-10","11+")))</f>
        <v/>
      </c>
    </row>
    <row r="92">
      <c r="A92" s="39" t="n">
        <v>46148.05634259259</v>
      </c>
      <c r="B92" s="25">
        <f>TEXT(A92,"YYYY-MM")</f>
        <v/>
      </c>
      <c r="C92" s="25">
        <f>TEXT(A92,"MMM-YYYY")</f>
        <v/>
      </c>
      <c r="D92" s="40">
        <f>INT(A92)-WEEKDAY(A92,2)+1</f>
        <v/>
      </c>
      <c r="E92" s="25" t="inlineStr">
        <is>
          <t>hsindwani</t>
        </is>
      </c>
      <c r="F92" s="25" t="n">
        <v>57732</v>
      </c>
      <c r="G92" s="25" t="n">
        <v>1</v>
      </c>
      <c r="H92" s="25" t="n">
        <v>5</v>
      </c>
      <c r="I92" s="25" t="inlineStr">
        <is>
          <t>46 second(s)</t>
        </is>
      </c>
      <c r="J92" s="25">
        <f>IFERROR(VALUE(TRIM(LEFT(I92,FIND("minute",I92)-1)))*60,0)+IFERROR(VALUE(SUBSTITUTE(MID(I92,IFERROR(FIND("and",I92)+3,1),20),"second(s)","")),0)</f>
        <v/>
      </c>
      <c r="K92" s="41">
        <f>J92/60</f>
        <v/>
      </c>
      <c r="L92" s="41">
        <f>IFERROR(J92/H92,"")</f>
        <v/>
      </c>
      <c r="M92" s="25" t="inlineStr">
        <is>
          <t>2.5.12</t>
        </is>
      </c>
      <c r="N92" s="25">
        <f>IF(J92&gt;300,1,0)</f>
        <v/>
      </c>
      <c r="O92" s="25">
        <f>IF(J92&gt;600,1,0)</f>
        <v/>
      </c>
      <c r="P92" s="25">
        <f>IF(H92&gt;0,J92,"")</f>
        <v/>
      </c>
      <c r="Q92" s="25">
        <f>TEXT(A92,"YYYY-MM-DD HH")</f>
        <v/>
      </c>
      <c r="R92" s="25">
        <f>COUNTIF($Q$2:$Q$5295,Q92)</f>
        <v/>
      </c>
      <c r="S92" s="25">
        <f>IF(R92&lt;=2,"1-2",IF(R92&lt;=5,"3-5",IF(R92&lt;=10,"6-10","11+")))</f>
        <v/>
      </c>
    </row>
    <row r="93">
      <c r="A93" s="39" t="n">
        <v>46148.06547453703</v>
      </c>
      <c r="B93" s="25">
        <f>TEXT(A93,"YYYY-MM")</f>
        <v/>
      </c>
      <c r="C93" s="25">
        <f>TEXT(A93,"MMM-YYYY")</f>
        <v/>
      </c>
      <c r="D93" s="40">
        <f>INT(A93)-WEEKDAY(A93,2)+1</f>
        <v/>
      </c>
      <c r="E93" s="25" t="inlineStr">
        <is>
          <t>shasikha</t>
        </is>
      </c>
      <c r="F93" s="25" t="n">
        <v>51257</v>
      </c>
      <c r="G93" s="25" t="n">
        <v>1</v>
      </c>
      <c r="H93" s="25" t="n">
        <v>7</v>
      </c>
      <c r="I93" s="25" t="inlineStr">
        <is>
          <t>1 minute(s) and 6 second(s)</t>
        </is>
      </c>
      <c r="J93" s="25">
        <f>IFERROR(VALUE(TRIM(LEFT(I93,FIND("minute",I93)-1)))*60,0)+IFERROR(VALUE(SUBSTITUTE(MID(I93,IFERROR(FIND("and",I93)+3,1),20),"second(s)","")),0)</f>
        <v/>
      </c>
      <c r="K93" s="41">
        <f>J93/60</f>
        <v/>
      </c>
      <c r="L93" s="41">
        <f>IFERROR(J93/H93,"")</f>
        <v/>
      </c>
      <c r="M93" s="25" t="inlineStr">
        <is>
          <t>2.5.12</t>
        </is>
      </c>
      <c r="N93" s="25">
        <f>IF(J93&gt;300,1,0)</f>
        <v/>
      </c>
      <c r="O93" s="25">
        <f>IF(J93&gt;600,1,0)</f>
        <v/>
      </c>
      <c r="P93" s="25">
        <f>IF(H93&gt;0,J93,"")</f>
        <v/>
      </c>
      <c r="Q93" s="25">
        <f>TEXT(A93,"YYYY-MM-DD HH")</f>
        <v/>
      </c>
      <c r="R93" s="25">
        <f>COUNTIF($Q$2:$Q$5295,Q93)</f>
        <v/>
      </c>
      <c r="S93" s="25">
        <f>IF(R93&lt;=2,"1-2",IF(R93&lt;=5,"3-5",IF(R93&lt;=10,"6-10","11+")))</f>
        <v/>
      </c>
    </row>
    <row r="94">
      <c r="A94" s="39" t="n">
        <v>46148.06633101852</v>
      </c>
      <c r="B94" s="25">
        <f>TEXT(A94,"YYYY-MM")</f>
        <v/>
      </c>
      <c r="C94" s="25">
        <f>TEXT(A94,"MMM-YYYY")</f>
        <v/>
      </c>
      <c r="D94" s="40">
        <f>INT(A94)-WEEKDAY(A94,2)+1</f>
        <v/>
      </c>
      <c r="E94" s="25" t="inlineStr">
        <is>
          <t>smukhopadhyay</t>
        </is>
      </c>
      <c r="F94" s="25" t="n">
        <v>104403</v>
      </c>
      <c r="G94" s="25" t="n">
        <v>1</v>
      </c>
      <c r="H94" s="25" t="n">
        <v>7</v>
      </c>
      <c r="I94" s="25" t="inlineStr">
        <is>
          <t>6 minute(s) and 9 second(s)</t>
        </is>
      </c>
      <c r="J94" s="25">
        <f>IFERROR(VALUE(TRIM(LEFT(I94,FIND("minute",I94)-1)))*60,0)+IFERROR(VALUE(SUBSTITUTE(MID(I94,IFERROR(FIND("and",I94)+3,1),20),"second(s)","")),0)</f>
        <v/>
      </c>
      <c r="K94" s="41">
        <f>J94/60</f>
        <v/>
      </c>
      <c r="L94" s="41">
        <f>IFERROR(J94/H94,"")</f>
        <v/>
      </c>
      <c r="M94" s="25" t="inlineStr">
        <is>
          <t>2.5.12</t>
        </is>
      </c>
      <c r="N94" s="25">
        <f>IF(J94&gt;300,1,0)</f>
        <v/>
      </c>
      <c r="O94" s="25">
        <f>IF(J94&gt;600,1,0)</f>
        <v/>
      </c>
      <c r="P94" s="25">
        <f>IF(H94&gt;0,J94,"")</f>
        <v/>
      </c>
      <c r="Q94" s="25">
        <f>TEXT(A94,"YYYY-MM-DD HH")</f>
        <v/>
      </c>
      <c r="R94" s="25">
        <f>COUNTIF($Q$2:$Q$5295,Q94)</f>
        <v/>
      </c>
      <c r="S94" s="25">
        <f>IF(R94&lt;=2,"1-2",IF(R94&lt;=5,"3-5",IF(R94&lt;=10,"6-10","11+")))</f>
        <v/>
      </c>
    </row>
    <row r="95">
      <c r="A95" s="39" t="n">
        <v>46148.10057870371</v>
      </c>
      <c r="B95" s="25">
        <f>TEXT(A95,"YYYY-MM")</f>
        <v/>
      </c>
      <c r="C95" s="25">
        <f>TEXT(A95,"MMM-YYYY")</f>
        <v/>
      </c>
      <c r="D95" s="40">
        <f>INT(A95)-WEEKDAY(A95,2)+1</f>
        <v/>
      </c>
      <c r="E95" s="25" t="inlineStr">
        <is>
          <t>vreddy</t>
        </is>
      </c>
      <c r="F95" s="25" t="n">
        <v>81511</v>
      </c>
      <c r="G95" s="25" t="n">
        <v>5</v>
      </c>
      <c r="H95" s="25" t="n">
        <v>18</v>
      </c>
      <c r="I95" s="25" t="inlineStr">
        <is>
          <t>3 minute(s) and 30 second(s)</t>
        </is>
      </c>
      <c r="J95" s="25">
        <f>IFERROR(VALUE(TRIM(LEFT(I95,FIND("minute",I95)-1)))*60,0)+IFERROR(VALUE(SUBSTITUTE(MID(I95,IFERROR(FIND("and",I95)+3,1),20),"second(s)","")),0)</f>
        <v/>
      </c>
      <c r="K95" s="41">
        <f>J95/60</f>
        <v/>
      </c>
      <c r="L95" s="41">
        <f>IFERROR(J95/H95,"")</f>
        <v/>
      </c>
      <c r="M95" s="25" t="inlineStr">
        <is>
          <t>2.5.12</t>
        </is>
      </c>
      <c r="N95" s="25">
        <f>IF(J95&gt;300,1,0)</f>
        <v/>
      </c>
      <c r="O95" s="25">
        <f>IF(J95&gt;600,1,0)</f>
        <v/>
      </c>
      <c r="P95" s="25">
        <f>IF(H95&gt;0,J95,"")</f>
        <v/>
      </c>
      <c r="Q95" s="25">
        <f>TEXT(A95,"YYYY-MM-DD HH")</f>
        <v/>
      </c>
      <c r="R95" s="25">
        <f>COUNTIF($Q$2:$Q$5295,Q95)</f>
        <v/>
      </c>
      <c r="S95" s="25">
        <f>IF(R95&lt;=2,"1-2",IF(R95&lt;=5,"3-5",IF(R95&lt;=10,"6-10","11+")))</f>
        <v/>
      </c>
    </row>
    <row r="96">
      <c r="A96" s="39" t="n">
        <v>46148.10269675926</v>
      </c>
      <c r="B96" s="25">
        <f>TEXT(A96,"YYYY-MM")</f>
        <v/>
      </c>
      <c r="C96" s="25">
        <f>TEXT(A96,"MMM-YYYY")</f>
        <v/>
      </c>
      <c r="D96" s="40">
        <f>INT(A96)-WEEKDAY(A96,2)+1</f>
        <v/>
      </c>
      <c r="E96" s="25" t="inlineStr">
        <is>
          <t>csaha</t>
        </is>
      </c>
      <c r="F96" s="25" t="n">
        <v>107610</v>
      </c>
      <c r="G96" s="25" t="n">
        <v>5</v>
      </c>
      <c r="H96" s="25" t="n">
        <v>17</v>
      </c>
      <c r="I96" s="25" t="inlineStr">
        <is>
          <t>3 minute(s) and 14 second(s)</t>
        </is>
      </c>
      <c r="J96" s="25">
        <f>IFERROR(VALUE(TRIM(LEFT(I96,FIND("minute",I96)-1)))*60,0)+IFERROR(VALUE(SUBSTITUTE(MID(I96,IFERROR(FIND("and",I96)+3,1),20),"second(s)","")),0)</f>
        <v/>
      </c>
      <c r="K96" s="41">
        <f>J96/60</f>
        <v/>
      </c>
      <c r="L96" s="41">
        <f>IFERROR(J96/H96,"")</f>
        <v/>
      </c>
      <c r="M96" s="25" t="inlineStr">
        <is>
          <t>2.5.12</t>
        </is>
      </c>
      <c r="N96" s="25">
        <f>IF(J96&gt;300,1,0)</f>
        <v/>
      </c>
      <c r="O96" s="25">
        <f>IF(J96&gt;600,1,0)</f>
        <v/>
      </c>
      <c r="P96" s="25">
        <f>IF(H96&gt;0,J96,"")</f>
        <v/>
      </c>
      <c r="Q96" s="25">
        <f>TEXT(A96,"YYYY-MM-DD HH")</f>
        <v/>
      </c>
      <c r="R96" s="25">
        <f>COUNTIF($Q$2:$Q$5295,Q96)</f>
        <v/>
      </c>
      <c r="S96" s="25">
        <f>IF(R96&lt;=2,"1-2",IF(R96&lt;=5,"3-5",IF(R96&lt;=10,"6-10","11+")))</f>
        <v/>
      </c>
    </row>
    <row r="97">
      <c r="A97" s="39" t="n">
        <v>46148.12422453704</v>
      </c>
      <c r="B97" s="25">
        <f>TEXT(A97,"YYYY-MM")</f>
        <v/>
      </c>
      <c r="C97" s="25">
        <f>TEXT(A97,"MMM-YYYY")</f>
        <v/>
      </c>
      <c r="D97" s="40">
        <f>INT(A97)-WEEKDAY(A97,2)+1</f>
        <v/>
      </c>
      <c r="E97" s="25" t="inlineStr">
        <is>
          <t>shasikha</t>
        </is>
      </c>
      <c r="F97" s="25" t="n">
        <v>85844</v>
      </c>
      <c r="G97" s="25" t="n">
        <v>1</v>
      </c>
      <c r="H97" s="25" t="n">
        <v>5</v>
      </c>
      <c r="I97" s="25" t="inlineStr">
        <is>
          <t>49 second(s)</t>
        </is>
      </c>
      <c r="J97" s="25">
        <f>IFERROR(VALUE(TRIM(LEFT(I97,FIND("minute",I97)-1)))*60,0)+IFERROR(VALUE(SUBSTITUTE(MID(I97,IFERROR(FIND("and",I97)+3,1),20),"second(s)","")),0)</f>
        <v/>
      </c>
      <c r="K97" s="41">
        <f>J97/60</f>
        <v/>
      </c>
      <c r="L97" s="41">
        <f>IFERROR(J97/H97,"")</f>
        <v/>
      </c>
      <c r="M97" s="25" t="inlineStr">
        <is>
          <t>2.5.12</t>
        </is>
      </c>
      <c r="N97" s="25">
        <f>IF(J97&gt;300,1,0)</f>
        <v/>
      </c>
      <c r="O97" s="25">
        <f>IF(J97&gt;600,1,0)</f>
        <v/>
      </c>
      <c r="P97" s="25">
        <f>IF(H97&gt;0,J97,"")</f>
        <v/>
      </c>
      <c r="Q97" s="25">
        <f>TEXT(A97,"YYYY-MM-DD HH")</f>
        <v/>
      </c>
      <c r="R97" s="25">
        <f>COUNTIF($Q$2:$Q$5295,Q97)</f>
        <v/>
      </c>
      <c r="S97" s="25">
        <f>IF(R97&lt;=2,"1-2",IF(R97&lt;=5,"3-5",IF(R97&lt;=10,"6-10","11+")))</f>
        <v/>
      </c>
    </row>
    <row r="98">
      <c r="A98" s="39" t="n">
        <v>46148.12574074074</v>
      </c>
      <c r="B98" s="25">
        <f>TEXT(A98,"YYYY-MM")</f>
        <v/>
      </c>
      <c r="C98" s="25">
        <f>TEXT(A98,"MMM-YYYY")</f>
        <v/>
      </c>
      <c r="D98" s="40">
        <f>INT(A98)-WEEKDAY(A98,2)+1</f>
        <v/>
      </c>
      <c r="E98" s="25" t="inlineStr">
        <is>
          <t>nlnu</t>
        </is>
      </c>
      <c r="F98" s="25" t="n">
        <v>106295</v>
      </c>
      <c r="G98" s="25" t="n">
        <v>5</v>
      </c>
      <c r="H98" s="25" t="n">
        <v>24</v>
      </c>
      <c r="I98" s="25" t="inlineStr">
        <is>
          <t>5 minute(s) and 38 second(s)</t>
        </is>
      </c>
      <c r="J98" s="25">
        <f>IFERROR(VALUE(TRIM(LEFT(I98,FIND("minute",I98)-1)))*60,0)+IFERROR(VALUE(SUBSTITUTE(MID(I98,IFERROR(FIND("and",I98)+3,1),20),"second(s)","")),0)</f>
        <v/>
      </c>
      <c r="K98" s="41">
        <f>J98/60</f>
        <v/>
      </c>
      <c r="L98" s="41">
        <f>IFERROR(J98/H98,"")</f>
        <v/>
      </c>
      <c r="M98" s="25" t="inlineStr">
        <is>
          <t>2.5.12</t>
        </is>
      </c>
      <c r="N98" s="25">
        <f>IF(J98&gt;300,1,0)</f>
        <v/>
      </c>
      <c r="O98" s="25">
        <f>IF(J98&gt;600,1,0)</f>
        <v/>
      </c>
      <c r="P98" s="25">
        <f>IF(H98&gt;0,J98,"")</f>
        <v/>
      </c>
      <c r="Q98" s="25">
        <f>TEXT(A98,"YYYY-MM-DD HH")</f>
        <v/>
      </c>
      <c r="R98" s="25">
        <f>COUNTIF($Q$2:$Q$5295,Q98)</f>
        <v/>
      </c>
      <c r="S98" s="25">
        <f>IF(R98&lt;=2,"1-2",IF(R98&lt;=5,"3-5",IF(R98&lt;=10,"6-10","11+")))</f>
        <v/>
      </c>
    </row>
    <row r="99">
      <c r="A99" s="39" t="n">
        <v>46148.12913194444</v>
      </c>
      <c r="B99" s="25">
        <f>TEXT(A99,"YYYY-MM")</f>
        <v/>
      </c>
      <c r="C99" s="25">
        <f>TEXT(A99,"MMM-YYYY")</f>
        <v/>
      </c>
      <c r="D99" s="40">
        <f>INT(A99)-WEEKDAY(A99,2)+1</f>
        <v/>
      </c>
      <c r="E99" s="25" t="inlineStr">
        <is>
          <t>vraina</t>
        </is>
      </c>
      <c r="F99" s="25" t="n">
        <v>96385</v>
      </c>
      <c r="G99" s="25" t="n">
        <v>2</v>
      </c>
      <c r="H99" s="25" t="n">
        <v>12</v>
      </c>
      <c r="I99" s="25" t="inlineStr">
        <is>
          <t>2 minute(s) and 17 second(s)</t>
        </is>
      </c>
      <c r="J99" s="25">
        <f>IFERROR(VALUE(TRIM(LEFT(I99,FIND("minute",I99)-1)))*60,0)+IFERROR(VALUE(SUBSTITUTE(MID(I99,IFERROR(FIND("and",I99)+3,1),20),"second(s)","")),0)</f>
        <v/>
      </c>
      <c r="K99" s="41">
        <f>J99/60</f>
        <v/>
      </c>
      <c r="L99" s="41">
        <f>IFERROR(J99/H99,"")</f>
        <v/>
      </c>
      <c r="M99" s="25" t="inlineStr">
        <is>
          <t>2.5.12</t>
        </is>
      </c>
      <c r="N99" s="25">
        <f>IF(J99&gt;300,1,0)</f>
        <v/>
      </c>
      <c r="O99" s="25">
        <f>IF(J99&gt;600,1,0)</f>
        <v/>
      </c>
      <c r="P99" s="25">
        <f>IF(H99&gt;0,J99,"")</f>
        <v/>
      </c>
      <c r="Q99" s="25">
        <f>TEXT(A99,"YYYY-MM-DD HH")</f>
        <v/>
      </c>
      <c r="R99" s="25">
        <f>COUNTIF($Q$2:$Q$5295,Q99)</f>
        <v/>
      </c>
      <c r="S99" s="25">
        <f>IF(R99&lt;=2,"1-2",IF(R99&lt;=5,"3-5",IF(R99&lt;=10,"6-10","11+")))</f>
        <v/>
      </c>
    </row>
    <row r="100">
      <c r="A100" s="39" t="n">
        <v>46148.13072916667</v>
      </c>
      <c r="B100" s="25">
        <f>TEXT(A100,"YYYY-MM")</f>
        <v/>
      </c>
      <c r="C100" s="25">
        <f>TEXT(A100,"MMM-YYYY")</f>
        <v/>
      </c>
      <c r="D100" s="40">
        <f>INT(A100)-WEEKDAY(A100,2)+1</f>
        <v/>
      </c>
      <c r="E100" s="25" t="inlineStr">
        <is>
          <t>rts</t>
        </is>
      </c>
      <c r="F100" s="25" t="n">
        <v>116672</v>
      </c>
      <c r="G100" s="25" t="n">
        <v>2</v>
      </c>
      <c r="H100" s="25" t="n">
        <v>10</v>
      </c>
      <c r="I100" s="25" t="inlineStr">
        <is>
          <t>2 minute(s) and 17 second(s)</t>
        </is>
      </c>
      <c r="J100" s="25">
        <f>IFERROR(VALUE(TRIM(LEFT(I100,FIND("minute",I100)-1)))*60,0)+IFERROR(VALUE(SUBSTITUTE(MID(I100,IFERROR(FIND("and",I100)+3,1),20),"second(s)","")),0)</f>
        <v/>
      </c>
      <c r="K100" s="41">
        <f>J100/60</f>
        <v/>
      </c>
      <c r="L100" s="41">
        <f>IFERROR(J100/H100,"")</f>
        <v/>
      </c>
      <c r="M100" s="25" t="inlineStr">
        <is>
          <t>2.5.12</t>
        </is>
      </c>
      <c r="N100" s="25">
        <f>IF(J100&gt;300,1,0)</f>
        <v/>
      </c>
      <c r="O100" s="25">
        <f>IF(J100&gt;600,1,0)</f>
        <v/>
      </c>
      <c r="P100" s="25">
        <f>IF(H100&gt;0,J100,"")</f>
        <v/>
      </c>
      <c r="Q100" s="25">
        <f>TEXT(A100,"YYYY-MM-DD HH")</f>
        <v/>
      </c>
      <c r="R100" s="25">
        <f>COUNTIF($Q$2:$Q$5295,Q100)</f>
        <v/>
      </c>
      <c r="S100" s="25">
        <f>IF(R100&lt;=2,"1-2",IF(R100&lt;=5,"3-5",IF(R100&lt;=10,"6-10","11+")))</f>
        <v/>
      </c>
    </row>
    <row r="101">
      <c r="A101" s="39" t="n">
        <v>46148.3878587963</v>
      </c>
      <c r="B101" s="25">
        <f>TEXT(A101,"YYYY-MM")</f>
        <v/>
      </c>
      <c r="C101" s="25">
        <f>TEXT(A101,"MMM-YYYY")</f>
        <v/>
      </c>
      <c r="D101" s="40">
        <f>INT(A101)-WEEKDAY(A101,2)+1</f>
        <v/>
      </c>
      <c r="E101" s="25" t="inlineStr">
        <is>
          <t>ssaha</t>
        </is>
      </c>
      <c r="F101" s="25" t="n">
        <v>85844</v>
      </c>
      <c r="G101" s="25" t="n">
        <v>3</v>
      </c>
      <c r="H101" s="25" t="n">
        <v>9</v>
      </c>
      <c r="I101" s="25" t="inlineStr">
        <is>
          <t>1 minute(s) and 39 second(s)</t>
        </is>
      </c>
      <c r="J101" s="25">
        <f>IFERROR(VALUE(TRIM(LEFT(I101,FIND("minute",I101)-1)))*60,0)+IFERROR(VALUE(SUBSTITUTE(MID(I101,IFERROR(FIND("and",I101)+3,1),20),"second(s)","")),0)</f>
        <v/>
      </c>
      <c r="K101" s="41">
        <f>J101/60</f>
        <v/>
      </c>
      <c r="L101" s="41">
        <f>IFERROR(J101/H101,"")</f>
        <v/>
      </c>
      <c r="M101" s="25" t="inlineStr">
        <is>
          <t>2.5.12</t>
        </is>
      </c>
      <c r="N101" s="25">
        <f>IF(J101&gt;300,1,0)</f>
        <v/>
      </c>
      <c r="O101" s="25">
        <f>IF(J101&gt;600,1,0)</f>
        <v/>
      </c>
      <c r="P101" s="25">
        <f>IF(H101&gt;0,J101,"")</f>
        <v/>
      </c>
      <c r="Q101" s="25">
        <f>TEXT(A101,"YYYY-MM-DD HH")</f>
        <v/>
      </c>
      <c r="R101" s="25">
        <f>COUNTIF($Q$2:$Q$5295,Q101)</f>
        <v/>
      </c>
      <c r="S101" s="25">
        <f>IF(R101&lt;=2,"1-2",IF(R101&lt;=5,"3-5",IF(R101&lt;=10,"6-10","11+")))</f>
        <v/>
      </c>
    </row>
    <row r="102">
      <c r="A102" s="39" t="n">
        <v>46148.40400462963</v>
      </c>
      <c r="B102" s="25">
        <f>TEXT(A102,"YYYY-MM")</f>
        <v/>
      </c>
      <c r="C102" s="25">
        <f>TEXT(A102,"MMM-YYYY")</f>
        <v/>
      </c>
      <c r="D102" s="40">
        <f>INT(A102)-WEEKDAY(A102,2)+1</f>
        <v/>
      </c>
      <c r="E102" s="25" t="inlineStr">
        <is>
          <t>ssaha</t>
        </is>
      </c>
      <c r="F102" s="25" t="n">
        <v>49228</v>
      </c>
      <c r="G102" s="25" t="n">
        <v>2</v>
      </c>
      <c r="H102" s="25" t="n">
        <v>6</v>
      </c>
      <c r="I102" s="25" t="inlineStr">
        <is>
          <t>1 minute(s) and 0 second(s)</t>
        </is>
      </c>
      <c r="J102" s="25">
        <f>IFERROR(VALUE(TRIM(LEFT(I102,FIND("minute",I102)-1)))*60,0)+IFERROR(VALUE(SUBSTITUTE(MID(I102,IFERROR(FIND("and",I102)+3,1),20),"second(s)","")),0)</f>
        <v/>
      </c>
      <c r="K102" s="41">
        <f>J102/60</f>
        <v/>
      </c>
      <c r="L102" s="41">
        <f>IFERROR(J102/H102,"")</f>
        <v/>
      </c>
      <c r="M102" s="25" t="inlineStr">
        <is>
          <t>2.5.12</t>
        </is>
      </c>
      <c r="N102" s="25">
        <f>IF(J102&gt;300,1,0)</f>
        <v/>
      </c>
      <c r="O102" s="25">
        <f>IF(J102&gt;600,1,0)</f>
        <v/>
      </c>
      <c r="P102" s="25">
        <f>IF(H102&gt;0,J102,"")</f>
        <v/>
      </c>
      <c r="Q102" s="25">
        <f>TEXT(A102,"YYYY-MM-DD HH")</f>
        <v/>
      </c>
      <c r="R102" s="25">
        <f>COUNTIF($Q$2:$Q$5295,Q102)</f>
        <v/>
      </c>
      <c r="S102" s="25">
        <f>IF(R102&lt;=2,"1-2",IF(R102&lt;=5,"3-5",IF(R102&lt;=10,"6-10","11+")))</f>
        <v/>
      </c>
    </row>
    <row r="103">
      <c r="A103" s="39" t="n">
        <v>46148.41372685185</v>
      </c>
      <c r="B103" s="25">
        <f>TEXT(A103,"YYYY-MM")</f>
        <v/>
      </c>
      <c r="C103" s="25">
        <f>TEXT(A103,"MMM-YYYY")</f>
        <v/>
      </c>
      <c r="D103" s="40">
        <f>INT(A103)-WEEKDAY(A103,2)+1</f>
        <v/>
      </c>
      <c r="E103" s="25" t="inlineStr">
        <is>
          <t>ssaha</t>
        </is>
      </c>
      <c r="F103" s="25" t="n">
        <v>49246</v>
      </c>
      <c r="G103" s="25" t="n">
        <v>2</v>
      </c>
      <c r="H103" s="25" t="n">
        <v>6</v>
      </c>
      <c r="I103" s="25" t="inlineStr">
        <is>
          <t>1 minute(s) and 22 second(s)</t>
        </is>
      </c>
      <c r="J103" s="25">
        <f>IFERROR(VALUE(TRIM(LEFT(I103,FIND("minute",I103)-1)))*60,0)+IFERROR(VALUE(SUBSTITUTE(MID(I103,IFERROR(FIND("and",I103)+3,1),20),"second(s)","")),0)</f>
        <v/>
      </c>
      <c r="K103" s="41">
        <f>J103/60</f>
        <v/>
      </c>
      <c r="L103" s="41">
        <f>IFERROR(J103/H103,"")</f>
        <v/>
      </c>
      <c r="M103" s="25" t="inlineStr">
        <is>
          <t>2.5.12</t>
        </is>
      </c>
      <c r="N103" s="25">
        <f>IF(J103&gt;300,1,0)</f>
        <v/>
      </c>
      <c r="O103" s="25">
        <f>IF(J103&gt;600,1,0)</f>
        <v/>
      </c>
      <c r="P103" s="25">
        <f>IF(H103&gt;0,J103,"")</f>
        <v/>
      </c>
      <c r="Q103" s="25">
        <f>TEXT(A103,"YYYY-MM-DD HH")</f>
        <v/>
      </c>
      <c r="R103" s="25">
        <f>COUNTIF($Q$2:$Q$5295,Q103)</f>
        <v/>
      </c>
      <c r="S103" s="25">
        <f>IF(R103&lt;=2,"1-2",IF(R103&lt;=5,"3-5",IF(R103&lt;=10,"6-10","11+")))</f>
        <v/>
      </c>
    </row>
    <row r="104">
      <c r="A104" s="39" t="n">
        <v>46148.61680555555</v>
      </c>
      <c r="B104" s="25">
        <f>TEXT(A104,"YYYY-MM")</f>
        <v/>
      </c>
      <c r="C104" s="25">
        <f>TEXT(A104,"MMM-YYYY")</f>
        <v/>
      </c>
      <c r="D104" s="40">
        <f>INT(A104)-WEEKDAY(A104,2)+1</f>
        <v/>
      </c>
      <c r="E104" s="25" t="inlineStr">
        <is>
          <t>ssaha</t>
        </is>
      </c>
      <c r="F104" s="25" t="n">
        <v>1</v>
      </c>
      <c r="G104" s="25" t="n">
        <v>2</v>
      </c>
      <c r="H104" s="25" t="n">
        <v>6</v>
      </c>
      <c r="I104" s="25" t="inlineStr">
        <is>
          <t>1 minute(s) and 10 second(s)</t>
        </is>
      </c>
      <c r="J104" s="25">
        <f>IFERROR(VALUE(TRIM(LEFT(I104,FIND("minute",I104)-1)))*60,0)+IFERROR(VALUE(SUBSTITUTE(MID(I104,IFERROR(FIND("and",I104)+3,1),20),"second(s)","")),0)</f>
        <v/>
      </c>
      <c r="K104" s="41">
        <f>J104/60</f>
        <v/>
      </c>
      <c r="L104" s="41">
        <f>IFERROR(J104/H104,"")</f>
        <v/>
      </c>
      <c r="M104" s="25" t="inlineStr">
        <is>
          <t>2.5.12</t>
        </is>
      </c>
      <c r="N104" s="25">
        <f>IF(J104&gt;300,1,0)</f>
        <v/>
      </c>
      <c r="O104" s="25">
        <f>IF(J104&gt;600,1,0)</f>
        <v/>
      </c>
      <c r="P104" s="25">
        <f>IF(H104&gt;0,J104,"")</f>
        <v/>
      </c>
      <c r="Q104" s="25">
        <f>TEXT(A104,"YYYY-MM-DD HH")</f>
        <v/>
      </c>
      <c r="R104" s="25">
        <f>COUNTIF($Q$2:$Q$5295,Q104)</f>
        <v/>
      </c>
      <c r="S104" s="25">
        <f>IF(R104&lt;=2,"1-2",IF(R104&lt;=5,"3-5",IF(R104&lt;=10,"6-10","11+")))</f>
        <v/>
      </c>
    </row>
    <row r="105">
      <c r="A105" s="39" t="n">
        <v>46148.69486111111</v>
      </c>
      <c r="B105" s="25">
        <f>TEXT(A105,"YYYY-MM")</f>
        <v/>
      </c>
      <c r="C105" s="25">
        <f>TEXT(A105,"MMM-YYYY")</f>
        <v/>
      </c>
      <c r="D105" s="40">
        <f>INT(A105)-WEEKDAY(A105,2)+1</f>
        <v/>
      </c>
      <c r="E105" s="25" t="inlineStr">
        <is>
          <t>ssaha</t>
        </is>
      </c>
      <c r="F105" s="25" t="n">
        <v>107260</v>
      </c>
      <c r="G105" s="25" t="n">
        <v>2</v>
      </c>
      <c r="H105" s="25" t="n">
        <v>8</v>
      </c>
      <c r="I105" s="25" t="inlineStr">
        <is>
          <t>1 minute(s) and 35 second(s)</t>
        </is>
      </c>
      <c r="J105" s="25">
        <f>IFERROR(VALUE(TRIM(LEFT(I105,FIND("minute",I105)-1)))*60,0)+IFERROR(VALUE(SUBSTITUTE(MID(I105,IFERROR(FIND("and",I105)+3,1),20),"second(s)","")),0)</f>
        <v/>
      </c>
      <c r="K105" s="41">
        <f>J105/60</f>
        <v/>
      </c>
      <c r="L105" s="41">
        <f>IFERROR(J105/H105,"")</f>
        <v/>
      </c>
      <c r="M105" s="25" t="inlineStr">
        <is>
          <t>2.5.12</t>
        </is>
      </c>
      <c r="N105" s="25">
        <f>IF(J105&gt;300,1,0)</f>
        <v/>
      </c>
      <c r="O105" s="25">
        <f>IF(J105&gt;600,1,0)</f>
        <v/>
      </c>
      <c r="P105" s="25">
        <f>IF(H105&gt;0,J105,"")</f>
        <v/>
      </c>
      <c r="Q105" s="25">
        <f>TEXT(A105,"YYYY-MM-DD HH")</f>
        <v/>
      </c>
      <c r="R105" s="25">
        <f>COUNTIF($Q$2:$Q$5295,Q105)</f>
        <v/>
      </c>
      <c r="S105" s="25">
        <f>IF(R105&lt;=2,"1-2",IF(R105&lt;=5,"3-5",IF(R105&lt;=10,"6-10","11+")))</f>
        <v/>
      </c>
    </row>
    <row r="106">
      <c r="A106" s="39" t="n">
        <v>46148.70944444444</v>
      </c>
      <c r="B106" s="25">
        <f>TEXT(A106,"YYYY-MM")</f>
        <v/>
      </c>
      <c r="C106" s="25">
        <f>TEXT(A106,"MMM-YYYY")</f>
        <v/>
      </c>
      <c r="D106" s="40">
        <f>INT(A106)-WEEKDAY(A106,2)+1</f>
        <v/>
      </c>
      <c r="E106" s="25" t="inlineStr">
        <is>
          <t>ssaha</t>
        </is>
      </c>
      <c r="F106" s="25" t="n">
        <v>107260</v>
      </c>
      <c r="G106" s="25" t="n">
        <v>1</v>
      </c>
      <c r="H106" s="25" t="n">
        <v>5</v>
      </c>
      <c r="I106" s="25" t="inlineStr">
        <is>
          <t>56 second(s)</t>
        </is>
      </c>
      <c r="J106" s="25">
        <f>IFERROR(VALUE(TRIM(LEFT(I106,FIND("minute",I106)-1)))*60,0)+IFERROR(VALUE(SUBSTITUTE(MID(I106,IFERROR(FIND("and",I106)+3,1),20),"second(s)","")),0)</f>
        <v/>
      </c>
      <c r="K106" s="41">
        <f>J106/60</f>
        <v/>
      </c>
      <c r="L106" s="41">
        <f>IFERROR(J106/H106,"")</f>
        <v/>
      </c>
      <c r="M106" s="25" t="inlineStr">
        <is>
          <t>2.5.12</t>
        </is>
      </c>
      <c r="N106" s="25">
        <f>IF(J106&gt;300,1,0)</f>
        <v/>
      </c>
      <c r="O106" s="25">
        <f>IF(J106&gt;600,1,0)</f>
        <v/>
      </c>
      <c r="P106" s="25">
        <f>IF(H106&gt;0,J106,"")</f>
        <v/>
      </c>
      <c r="Q106" s="25">
        <f>TEXT(A106,"YYYY-MM-DD HH")</f>
        <v/>
      </c>
      <c r="R106" s="25">
        <f>COUNTIF($Q$2:$Q$5295,Q106)</f>
        <v/>
      </c>
      <c r="S106" s="25">
        <f>IF(R106&lt;=2,"1-2",IF(R106&lt;=5,"3-5",IF(R106&lt;=10,"6-10","11+")))</f>
        <v/>
      </c>
    </row>
    <row r="107">
      <c r="A107" s="39" t="n">
        <v>46149.4900462963</v>
      </c>
      <c r="B107" s="25">
        <f>TEXT(A107,"YYYY-MM")</f>
        <v/>
      </c>
      <c r="C107" s="25">
        <f>TEXT(A107,"MMM-YYYY")</f>
        <v/>
      </c>
      <c r="D107" s="40">
        <f>INT(A107)-WEEKDAY(A107,2)+1</f>
        <v/>
      </c>
      <c r="E107" s="25" t="inlineStr">
        <is>
          <t>vraina</t>
        </is>
      </c>
      <c r="F107" s="25" t="n">
        <v>114610</v>
      </c>
      <c r="G107" s="25" t="n">
        <v>4</v>
      </c>
      <c r="H107" s="25" t="n">
        <v>20</v>
      </c>
      <c r="I107" s="25" t="inlineStr">
        <is>
          <t>3 minute(s) and 34 second(s)</t>
        </is>
      </c>
      <c r="J107" s="25">
        <f>IFERROR(VALUE(TRIM(LEFT(I107,FIND("minute",I107)-1)))*60,0)+IFERROR(VALUE(SUBSTITUTE(MID(I107,IFERROR(FIND("and",I107)+3,1),20),"second(s)","")),0)</f>
        <v/>
      </c>
      <c r="K107" s="41">
        <f>J107/60</f>
        <v/>
      </c>
      <c r="L107" s="41">
        <f>IFERROR(J107/H107,"")</f>
        <v/>
      </c>
      <c r="M107" s="25" t="inlineStr">
        <is>
          <t>2.5.12</t>
        </is>
      </c>
      <c r="N107" s="25">
        <f>IF(J107&gt;300,1,0)</f>
        <v/>
      </c>
      <c r="O107" s="25">
        <f>IF(J107&gt;600,1,0)</f>
        <v/>
      </c>
      <c r="P107" s="25">
        <f>IF(H107&gt;0,J107,"")</f>
        <v/>
      </c>
      <c r="Q107" s="25">
        <f>TEXT(A107,"YYYY-MM-DD HH")</f>
        <v/>
      </c>
      <c r="R107" s="25">
        <f>COUNTIF($Q$2:$Q$5295,Q107)</f>
        <v/>
      </c>
      <c r="S107" s="25">
        <f>IF(R107&lt;=2,"1-2",IF(R107&lt;=5,"3-5",IF(R107&lt;=10,"6-10","11+")))</f>
        <v/>
      </c>
    </row>
    <row r="108">
      <c r="A108" s="39" t="n">
        <v>46149.49283564815</v>
      </c>
      <c r="B108" s="25">
        <f>TEXT(A108,"YYYY-MM")</f>
        <v/>
      </c>
      <c r="C108" s="25">
        <f>TEXT(A108,"MMM-YYYY")</f>
        <v/>
      </c>
      <c r="D108" s="40">
        <f>INT(A108)-WEEKDAY(A108,2)+1</f>
        <v/>
      </c>
      <c r="E108" s="25" t="inlineStr">
        <is>
          <t>mgupta</t>
        </is>
      </c>
      <c r="F108" s="25" t="n">
        <v>113277</v>
      </c>
      <c r="G108" s="25" t="n">
        <v>5</v>
      </c>
      <c r="H108" s="25" t="n">
        <v>25</v>
      </c>
      <c r="I108" s="25" t="inlineStr">
        <is>
          <t>4 minute(s) and 59 second(s)</t>
        </is>
      </c>
      <c r="J108" s="25">
        <f>IFERROR(VALUE(TRIM(LEFT(I108,FIND("minute",I108)-1)))*60,0)+IFERROR(VALUE(SUBSTITUTE(MID(I108,IFERROR(FIND("and",I108)+3,1),20),"second(s)","")),0)</f>
        <v/>
      </c>
      <c r="K108" s="41">
        <f>J108/60</f>
        <v/>
      </c>
      <c r="L108" s="41">
        <f>IFERROR(J108/H108,"")</f>
        <v/>
      </c>
      <c r="M108" s="25" t="inlineStr">
        <is>
          <t>2.5.12</t>
        </is>
      </c>
      <c r="N108" s="25">
        <f>IF(J108&gt;300,1,0)</f>
        <v/>
      </c>
      <c r="O108" s="25">
        <f>IF(J108&gt;600,1,0)</f>
        <v/>
      </c>
      <c r="P108" s="25">
        <f>IF(H108&gt;0,J108,"")</f>
        <v/>
      </c>
      <c r="Q108" s="25">
        <f>TEXT(A108,"YYYY-MM-DD HH")</f>
        <v/>
      </c>
      <c r="R108" s="25">
        <f>COUNTIF($Q$2:$Q$5295,Q108)</f>
        <v/>
      </c>
      <c r="S108" s="25">
        <f>IF(R108&lt;=2,"1-2",IF(R108&lt;=5,"3-5",IF(R108&lt;=10,"6-10","11+")))</f>
        <v/>
      </c>
    </row>
    <row r="109">
      <c r="A109" s="39" t="n">
        <v>46149.49916666667</v>
      </c>
      <c r="B109" s="25">
        <f>TEXT(A109,"YYYY-MM")</f>
        <v/>
      </c>
      <c r="C109" s="25">
        <f>TEXT(A109,"MMM-YYYY")</f>
        <v/>
      </c>
      <c r="D109" s="40">
        <f>INT(A109)-WEEKDAY(A109,2)+1</f>
        <v/>
      </c>
      <c r="E109" s="25" t="inlineStr">
        <is>
          <t>shassan</t>
        </is>
      </c>
      <c r="F109" s="25" t="n">
        <v>96855</v>
      </c>
      <c r="G109" s="25" t="n">
        <v>5</v>
      </c>
      <c r="H109" s="25" t="n">
        <v>33</v>
      </c>
      <c r="I109" s="25" t="inlineStr">
        <is>
          <t>6 minute(s) and 58 second(s)</t>
        </is>
      </c>
      <c r="J109" s="25">
        <f>IFERROR(VALUE(TRIM(LEFT(I109,FIND("minute",I109)-1)))*60,0)+IFERROR(VALUE(SUBSTITUTE(MID(I109,IFERROR(FIND("and",I109)+3,1),20),"second(s)","")),0)</f>
        <v/>
      </c>
      <c r="K109" s="41">
        <f>J109/60</f>
        <v/>
      </c>
      <c r="L109" s="41">
        <f>IFERROR(J109/H109,"")</f>
        <v/>
      </c>
      <c r="M109" s="25" t="inlineStr">
        <is>
          <t>2.5.12</t>
        </is>
      </c>
      <c r="N109" s="25">
        <f>IF(J109&gt;300,1,0)</f>
        <v/>
      </c>
      <c r="O109" s="25">
        <f>IF(J109&gt;600,1,0)</f>
        <v/>
      </c>
      <c r="P109" s="25">
        <f>IF(H109&gt;0,J109,"")</f>
        <v/>
      </c>
      <c r="Q109" s="25">
        <f>TEXT(A109,"YYYY-MM-DD HH")</f>
        <v/>
      </c>
      <c r="R109" s="25">
        <f>COUNTIF($Q$2:$Q$5295,Q109)</f>
        <v/>
      </c>
      <c r="S109" s="25">
        <f>IF(R109&lt;=2,"1-2",IF(R109&lt;=5,"3-5",IF(R109&lt;=10,"6-10","11+")))</f>
        <v/>
      </c>
    </row>
    <row r="110">
      <c r="A110" s="39" t="n">
        <v>46149.53046296296</v>
      </c>
      <c r="B110" s="25">
        <f>TEXT(A110,"YYYY-MM")</f>
        <v/>
      </c>
      <c r="C110" s="25">
        <f>TEXT(A110,"MMM-YYYY")</f>
        <v/>
      </c>
      <c r="D110" s="40">
        <f>INT(A110)-WEEKDAY(A110,2)+1</f>
        <v/>
      </c>
      <c r="E110" s="25" t="inlineStr">
        <is>
          <t>ssaha</t>
        </is>
      </c>
      <c r="F110" s="25" t="n">
        <v>106412</v>
      </c>
      <c r="G110" s="25" t="n">
        <v>2</v>
      </c>
      <c r="H110" s="25" t="n">
        <v>11</v>
      </c>
      <c r="I110" s="25" t="inlineStr">
        <is>
          <t>3 minute(s) and 4 second(s)</t>
        </is>
      </c>
      <c r="J110" s="25">
        <f>IFERROR(VALUE(TRIM(LEFT(I110,FIND("minute",I110)-1)))*60,0)+IFERROR(VALUE(SUBSTITUTE(MID(I110,IFERROR(FIND("and",I110)+3,1),20),"second(s)","")),0)</f>
        <v/>
      </c>
      <c r="K110" s="41">
        <f>J110/60</f>
        <v/>
      </c>
      <c r="L110" s="41">
        <f>IFERROR(J110/H110,"")</f>
        <v/>
      </c>
      <c r="M110" s="25" t="inlineStr">
        <is>
          <t>2.5.12</t>
        </is>
      </c>
      <c r="N110" s="25">
        <f>IF(J110&gt;300,1,0)</f>
        <v/>
      </c>
      <c r="O110" s="25">
        <f>IF(J110&gt;600,1,0)</f>
        <v/>
      </c>
      <c r="P110" s="25">
        <f>IF(H110&gt;0,J110,"")</f>
        <v/>
      </c>
      <c r="Q110" s="25">
        <f>TEXT(A110,"YYYY-MM-DD HH")</f>
        <v/>
      </c>
      <c r="R110" s="25">
        <f>COUNTIF($Q$2:$Q$5295,Q110)</f>
        <v/>
      </c>
      <c r="S110" s="25">
        <f>IF(R110&lt;=2,"1-2",IF(R110&lt;=5,"3-5",IF(R110&lt;=10,"6-10","11+")))</f>
        <v/>
      </c>
    </row>
    <row r="111">
      <c r="A111" s="39" t="n">
        <v>46149.62193287037</v>
      </c>
      <c r="B111" s="25">
        <f>TEXT(A111,"YYYY-MM")</f>
        <v/>
      </c>
      <c r="C111" s="25">
        <f>TEXT(A111,"MMM-YYYY")</f>
        <v/>
      </c>
      <c r="D111" s="40">
        <f>INT(A111)-WEEKDAY(A111,2)+1</f>
        <v/>
      </c>
      <c r="E111" s="25" t="inlineStr">
        <is>
          <t>ssaha</t>
        </is>
      </c>
      <c r="F111" s="25" t="n">
        <v>84448</v>
      </c>
      <c r="G111" s="25" t="n">
        <v>3</v>
      </c>
      <c r="H111" s="25" t="n">
        <v>9</v>
      </c>
      <c r="I111" s="25" t="inlineStr">
        <is>
          <t>1 minute(s) and 52 second(s)</t>
        </is>
      </c>
      <c r="J111" s="25">
        <f>IFERROR(VALUE(TRIM(LEFT(I111,FIND("minute",I111)-1)))*60,0)+IFERROR(VALUE(SUBSTITUTE(MID(I111,IFERROR(FIND("and",I111)+3,1),20),"second(s)","")),0)</f>
        <v/>
      </c>
      <c r="K111" s="41">
        <f>J111/60</f>
        <v/>
      </c>
      <c r="L111" s="41">
        <f>IFERROR(J111/H111,"")</f>
        <v/>
      </c>
      <c r="M111" s="25" t="inlineStr">
        <is>
          <t>2.5.12</t>
        </is>
      </c>
      <c r="N111" s="25">
        <f>IF(J111&gt;300,1,0)</f>
        <v/>
      </c>
      <c r="O111" s="25">
        <f>IF(J111&gt;600,1,0)</f>
        <v/>
      </c>
      <c r="P111" s="25">
        <f>IF(H111&gt;0,J111,"")</f>
        <v/>
      </c>
      <c r="Q111" s="25">
        <f>TEXT(A111,"YYYY-MM-DD HH")</f>
        <v/>
      </c>
      <c r="R111" s="25">
        <f>COUNTIF($Q$2:$Q$5295,Q111)</f>
        <v/>
      </c>
      <c r="S111" s="25">
        <f>IF(R111&lt;=2,"1-2",IF(R111&lt;=5,"3-5",IF(R111&lt;=10,"6-10","11+")))</f>
        <v/>
      </c>
    </row>
    <row r="112">
      <c r="A112" s="39" t="n">
        <v>46149.885625</v>
      </c>
      <c r="B112" s="25">
        <f>TEXT(A112,"YYYY-MM")</f>
        <v/>
      </c>
      <c r="C112" s="25">
        <f>TEXT(A112,"MMM-YYYY")</f>
        <v/>
      </c>
      <c r="D112" s="40">
        <f>INT(A112)-WEEKDAY(A112,2)+1</f>
        <v/>
      </c>
      <c r="E112" s="25" t="inlineStr">
        <is>
          <t>ssaha</t>
        </is>
      </c>
      <c r="F112" s="25" t="n">
        <v>84351</v>
      </c>
      <c r="G112" s="25" t="n">
        <v>2</v>
      </c>
      <c r="H112" s="25" t="n">
        <v>12</v>
      </c>
      <c r="I112" s="25" t="inlineStr">
        <is>
          <t>2 minute(s) and 58 second(s)</t>
        </is>
      </c>
      <c r="J112" s="25">
        <f>IFERROR(VALUE(TRIM(LEFT(I112,FIND("minute",I112)-1)))*60,0)+IFERROR(VALUE(SUBSTITUTE(MID(I112,IFERROR(FIND("and",I112)+3,1),20),"second(s)","")),0)</f>
        <v/>
      </c>
      <c r="K112" s="41">
        <f>J112/60</f>
        <v/>
      </c>
      <c r="L112" s="41">
        <f>IFERROR(J112/H112,"")</f>
        <v/>
      </c>
      <c r="M112" s="25" t="inlineStr">
        <is>
          <t>2.5.12</t>
        </is>
      </c>
      <c r="N112" s="25">
        <f>IF(J112&gt;300,1,0)</f>
        <v/>
      </c>
      <c r="O112" s="25">
        <f>IF(J112&gt;600,1,0)</f>
        <v/>
      </c>
      <c r="P112" s="25">
        <f>IF(H112&gt;0,J112,"")</f>
        <v/>
      </c>
      <c r="Q112" s="25">
        <f>TEXT(A112,"YYYY-MM-DD HH")</f>
        <v/>
      </c>
      <c r="R112" s="25">
        <f>COUNTIF($Q$2:$Q$5295,Q112)</f>
        <v/>
      </c>
      <c r="S112" s="25">
        <f>IF(R112&lt;=2,"1-2",IF(R112&lt;=5,"3-5",IF(R112&lt;=10,"6-10","11+")))</f>
        <v/>
      </c>
    </row>
    <row r="113">
      <c r="A113" s="39" t="n">
        <v>46149.94084490741</v>
      </c>
      <c r="B113" s="25">
        <f>TEXT(A113,"YYYY-MM")</f>
        <v/>
      </c>
      <c r="C113" s="25">
        <f>TEXT(A113,"MMM-YYYY")</f>
        <v/>
      </c>
      <c r="D113" s="40">
        <f>INT(A113)-WEEKDAY(A113,2)+1</f>
        <v/>
      </c>
      <c r="E113" s="25" t="inlineStr">
        <is>
          <t>ssaha</t>
        </is>
      </c>
      <c r="F113" s="25" t="n">
        <v>1</v>
      </c>
      <c r="G113" s="25" t="n">
        <v>2</v>
      </c>
      <c r="H113" s="25" t="n">
        <v>14</v>
      </c>
      <c r="I113" s="25" t="inlineStr">
        <is>
          <t>3 minute(s) and 0 second(s)</t>
        </is>
      </c>
      <c r="J113" s="25">
        <f>IFERROR(VALUE(TRIM(LEFT(I113,FIND("minute",I113)-1)))*60,0)+IFERROR(VALUE(SUBSTITUTE(MID(I113,IFERROR(FIND("and",I113)+3,1),20),"second(s)","")),0)</f>
        <v/>
      </c>
      <c r="K113" s="41">
        <f>J113/60</f>
        <v/>
      </c>
      <c r="L113" s="41">
        <f>IFERROR(J113/H113,"")</f>
        <v/>
      </c>
      <c r="M113" s="25" t="inlineStr">
        <is>
          <t>2.5.12</t>
        </is>
      </c>
      <c r="N113" s="25">
        <f>IF(J113&gt;300,1,0)</f>
        <v/>
      </c>
      <c r="O113" s="25">
        <f>IF(J113&gt;600,1,0)</f>
        <v/>
      </c>
      <c r="P113" s="25">
        <f>IF(H113&gt;0,J113,"")</f>
        <v/>
      </c>
      <c r="Q113" s="25">
        <f>TEXT(A113,"YYYY-MM-DD HH")</f>
        <v/>
      </c>
      <c r="R113" s="25">
        <f>COUNTIF($Q$2:$Q$5295,Q113)</f>
        <v/>
      </c>
      <c r="S113" s="25">
        <f>IF(R113&lt;=2,"1-2",IF(R113&lt;=5,"3-5",IF(R113&lt;=10,"6-10","11+")))</f>
        <v/>
      </c>
    </row>
    <row r="114">
      <c r="A114" s="39" t="n">
        <v>46150.41037037037</v>
      </c>
      <c r="B114" s="25">
        <f>TEXT(A114,"YYYY-MM")</f>
        <v/>
      </c>
      <c r="C114" s="25">
        <f>TEXT(A114,"MMM-YYYY")</f>
        <v/>
      </c>
      <c r="D114" s="40">
        <f>INT(A114)-WEEKDAY(A114,2)+1</f>
        <v/>
      </c>
      <c r="E114" s="25" t="inlineStr">
        <is>
          <t>stiwari</t>
        </is>
      </c>
      <c r="F114" s="25" t="n">
        <v>105138</v>
      </c>
      <c r="G114" s="25" t="n">
        <v>5</v>
      </c>
      <c r="H114" s="25" t="n">
        <v>27</v>
      </c>
      <c r="I114" s="25" t="inlineStr">
        <is>
          <t>4 minute(s) and 25 second(s)</t>
        </is>
      </c>
      <c r="J114" s="25">
        <f>IFERROR(VALUE(TRIM(LEFT(I114,FIND("minute",I114)-1)))*60,0)+IFERROR(VALUE(SUBSTITUTE(MID(I114,IFERROR(FIND("and",I114)+3,1),20),"second(s)","")),0)</f>
        <v/>
      </c>
      <c r="K114" s="41">
        <f>J114/60</f>
        <v/>
      </c>
      <c r="L114" s="41">
        <f>IFERROR(J114/H114,"")</f>
        <v/>
      </c>
      <c r="M114" s="25" t="inlineStr">
        <is>
          <t>2.5.12</t>
        </is>
      </c>
      <c r="N114" s="25">
        <f>IF(J114&gt;300,1,0)</f>
        <v/>
      </c>
      <c r="O114" s="25">
        <f>IF(J114&gt;600,1,0)</f>
        <v/>
      </c>
      <c r="P114" s="25">
        <f>IF(H114&gt;0,J114,"")</f>
        <v/>
      </c>
      <c r="Q114" s="25">
        <f>TEXT(A114,"YYYY-MM-DD HH")</f>
        <v/>
      </c>
      <c r="R114" s="25">
        <f>COUNTIF($Q$2:$Q$5295,Q114)</f>
        <v/>
      </c>
      <c r="S114" s="25">
        <f>IF(R114&lt;=2,"1-2",IF(R114&lt;=5,"3-5",IF(R114&lt;=10,"6-10","11+")))</f>
        <v/>
      </c>
    </row>
    <row r="115">
      <c r="A115" s="39" t="n">
        <v>46150.41076388889</v>
      </c>
      <c r="B115" s="25">
        <f>TEXT(A115,"YYYY-MM")</f>
        <v/>
      </c>
      <c r="C115" s="25">
        <f>TEXT(A115,"MMM-YYYY")</f>
        <v/>
      </c>
      <c r="D115" s="40">
        <f>INT(A115)-WEEKDAY(A115,2)+1</f>
        <v/>
      </c>
      <c r="E115" s="25" t="inlineStr">
        <is>
          <t>psathwika</t>
        </is>
      </c>
      <c r="F115" s="25" t="n">
        <v>96135</v>
      </c>
      <c r="G115" s="25" t="n">
        <v>4</v>
      </c>
      <c r="H115" s="25" t="n">
        <v>16</v>
      </c>
      <c r="I115" s="25" t="inlineStr">
        <is>
          <t>9 minute(s) and 7 second(s)</t>
        </is>
      </c>
      <c r="J115" s="25">
        <f>IFERROR(VALUE(TRIM(LEFT(I115,FIND("minute",I115)-1)))*60,0)+IFERROR(VALUE(SUBSTITUTE(MID(I115,IFERROR(FIND("and",I115)+3,1),20),"second(s)","")),0)</f>
        <v/>
      </c>
      <c r="K115" s="41">
        <f>J115/60</f>
        <v/>
      </c>
      <c r="L115" s="41">
        <f>IFERROR(J115/H115,"")</f>
        <v/>
      </c>
      <c r="M115" s="25" t="inlineStr">
        <is>
          <t>2.5.12</t>
        </is>
      </c>
      <c r="N115" s="25">
        <f>IF(J115&gt;300,1,0)</f>
        <v/>
      </c>
      <c r="O115" s="25">
        <f>IF(J115&gt;600,1,0)</f>
        <v/>
      </c>
      <c r="P115" s="25">
        <f>IF(H115&gt;0,J115,"")</f>
        <v/>
      </c>
      <c r="Q115" s="25">
        <f>TEXT(A115,"YYYY-MM-DD HH")</f>
        <v/>
      </c>
      <c r="R115" s="25">
        <f>COUNTIF($Q$2:$Q$5295,Q115)</f>
        <v/>
      </c>
      <c r="S115" s="25">
        <f>IF(R115&lt;=2,"1-2",IF(R115&lt;=5,"3-5",IF(R115&lt;=10,"6-10","11+")))</f>
        <v/>
      </c>
    </row>
    <row r="116">
      <c r="A116" s="39" t="n">
        <v>46150.41766203703</v>
      </c>
      <c r="B116" s="25">
        <f>TEXT(A116,"YYYY-MM")</f>
        <v/>
      </c>
      <c r="C116" s="25">
        <f>TEXT(A116,"MMM-YYYY")</f>
        <v/>
      </c>
      <c r="D116" s="40">
        <f>INT(A116)-WEEKDAY(A116,2)+1</f>
        <v/>
      </c>
      <c r="E116" s="25" t="inlineStr">
        <is>
          <t>ssrinivasan</t>
        </is>
      </c>
      <c r="F116" s="25" t="n">
        <v>92907</v>
      </c>
      <c r="G116" s="25" t="n">
        <v>2</v>
      </c>
      <c r="H116" s="25" t="n">
        <v>10</v>
      </c>
      <c r="I116" s="25" t="inlineStr">
        <is>
          <t>2 minute(s) and 23 second(s)</t>
        </is>
      </c>
      <c r="J116" s="25">
        <f>IFERROR(VALUE(TRIM(LEFT(I116,FIND("minute",I116)-1)))*60,0)+IFERROR(VALUE(SUBSTITUTE(MID(I116,IFERROR(FIND("and",I116)+3,1),20),"second(s)","")),0)</f>
        <v/>
      </c>
      <c r="K116" s="41">
        <f>J116/60</f>
        <v/>
      </c>
      <c r="L116" s="41">
        <f>IFERROR(J116/H116,"")</f>
        <v/>
      </c>
      <c r="M116" s="25" t="inlineStr">
        <is>
          <t>2.5.12</t>
        </is>
      </c>
      <c r="N116" s="25">
        <f>IF(J116&gt;300,1,0)</f>
        <v/>
      </c>
      <c r="O116" s="25">
        <f>IF(J116&gt;600,1,0)</f>
        <v/>
      </c>
      <c r="P116" s="25">
        <f>IF(H116&gt;0,J116,"")</f>
        <v/>
      </c>
      <c r="Q116" s="25">
        <f>TEXT(A116,"YYYY-MM-DD HH")</f>
        <v/>
      </c>
      <c r="R116" s="25">
        <f>COUNTIF($Q$2:$Q$5295,Q116)</f>
        <v/>
      </c>
      <c r="S116" s="25">
        <f>IF(R116&lt;=2,"1-2",IF(R116&lt;=5,"3-5",IF(R116&lt;=10,"6-10","11+")))</f>
        <v/>
      </c>
    </row>
    <row r="117">
      <c r="A117" s="39" t="n">
        <v>46150.41792824074</v>
      </c>
      <c r="B117" s="25">
        <f>TEXT(A117,"YYYY-MM")</f>
        <v/>
      </c>
      <c r="C117" s="25">
        <f>TEXT(A117,"MMM-YYYY")</f>
        <v/>
      </c>
      <c r="D117" s="40">
        <f>INT(A117)-WEEKDAY(A117,2)+1</f>
        <v/>
      </c>
      <c r="E117" s="25" t="inlineStr">
        <is>
          <t>hsindwani</t>
        </is>
      </c>
      <c r="F117" s="25" t="n">
        <v>116730</v>
      </c>
      <c r="G117" s="25" t="n">
        <v>5</v>
      </c>
      <c r="H117" s="25" t="n">
        <v>29</v>
      </c>
      <c r="I117" s="25" t="inlineStr">
        <is>
          <t>9 minute(s) and 55 second(s)</t>
        </is>
      </c>
      <c r="J117" s="25">
        <f>IFERROR(VALUE(TRIM(LEFT(I117,FIND("minute",I117)-1)))*60,0)+IFERROR(VALUE(SUBSTITUTE(MID(I117,IFERROR(FIND("and",I117)+3,1),20),"second(s)","")),0)</f>
        <v/>
      </c>
      <c r="K117" s="41">
        <f>J117/60</f>
        <v/>
      </c>
      <c r="L117" s="41">
        <f>IFERROR(J117/H117,"")</f>
        <v/>
      </c>
      <c r="M117" s="25" t="inlineStr">
        <is>
          <t>2.5.12</t>
        </is>
      </c>
      <c r="N117" s="25">
        <f>IF(J117&gt;300,1,0)</f>
        <v/>
      </c>
      <c r="O117" s="25">
        <f>IF(J117&gt;600,1,0)</f>
        <v/>
      </c>
      <c r="P117" s="25">
        <f>IF(H117&gt;0,J117,"")</f>
        <v/>
      </c>
      <c r="Q117" s="25">
        <f>TEXT(A117,"YYYY-MM-DD HH")</f>
        <v/>
      </c>
      <c r="R117" s="25">
        <f>COUNTIF($Q$2:$Q$5295,Q117)</f>
        <v/>
      </c>
      <c r="S117" s="25">
        <f>IF(R117&lt;=2,"1-2",IF(R117&lt;=5,"3-5",IF(R117&lt;=10,"6-10","11+")))</f>
        <v/>
      </c>
    </row>
    <row r="118">
      <c r="A118" s="39" t="n">
        <v>46150.42614583333</v>
      </c>
      <c r="B118" s="25">
        <f>TEXT(A118,"YYYY-MM")</f>
        <v/>
      </c>
      <c r="C118" s="25">
        <f>TEXT(A118,"MMM-YYYY")</f>
        <v/>
      </c>
      <c r="D118" s="40">
        <f>INT(A118)-WEEKDAY(A118,2)+1</f>
        <v/>
      </c>
      <c r="E118" s="25" t="inlineStr">
        <is>
          <t>taggarwal</t>
        </is>
      </c>
      <c r="F118" s="25" t="n">
        <v>93266</v>
      </c>
      <c r="G118" s="25" t="n">
        <v>1</v>
      </c>
      <c r="H118" s="25" t="n">
        <v>6</v>
      </c>
      <c r="I118" s="25" t="inlineStr">
        <is>
          <t>2 minute(s) and 7 second(s)</t>
        </is>
      </c>
      <c r="J118" s="25">
        <f>IFERROR(VALUE(TRIM(LEFT(I118,FIND("minute",I118)-1)))*60,0)+IFERROR(VALUE(SUBSTITUTE(MID(I118,IFERROR(FIND("and",I118)+3,1),20),"second(s)","")),0)</f>
        <v/>
      </c>
      <c r="K118" s="41">
        <f>J118/60</f>
        <v/>
      </c>
      <c r="L118" s="41">
        <f>IFERROR(J118/H118,"")</f>
        <v/>
      </c>
      <c r="M118" s="25" t="inlineStr">
        <is>
          <t>2.5.12</t>
        </is>
      </c>
      <c r="N118" s="25">
        <f>IF(J118&gt;300,1,0)</f>
        <v/>
      </c>
      <c r="O118" s="25">
        <f>IF(J118&gt;600,1,0)</f>
        <v/>
      </c>
      <c r="P118" s="25">
        <f>IF(H118&gt;0,J118,"")</f>
        <v/>
      </c>
      <c r="Q118" s="25">
        <f>TEXT(A118,"YYYY-MM-DD HH")</f>
        <v/>
      </c>
      <c r="R118" s="25">
        <f>COUNTIF($Q$2:$Q$5295,Q118)</f>
        <v/>
      </c>
      <c r="S118" s="25">
        <f>IF(R118&lt;=2,"1-2",IF(R118&lt;=5,"3-5",IF(R118&lt;=10,"6-10","11+")))</f>
        <v/>
      </c>
    </row>
    <row r="119">
      <c r="A119" s="39" t="n">
        <v>46150.43329861111</v>
      </c>
      <c r="B119" s="25">
        <f>TEXT(A119,"YYYY-MM")</f>
        <v/>
      </c>
      <c r="C119" s="25">
        <f>TEXT(A119,"MMM-YYYY")</f>
        <v/>
      </c>
      <c r="D119" s="40">
        <f>INT(A119)-WEEKDAY(A119,2)+1</f>
        <v/>
      </c>
      <c r="E119" s="25" t="inlineStr">
        <is>
          <t>taggarwal</t>
        </is>
      </c>
      <c r="F119" s="25" t="n">
        <v>93266</v>
      </c>
      <c r="G119" s="25" t="n">
        <v>2</v>
      </c>
      <c r="H119" s="25" t="n">
        <v>10</v>
      </c>
      <c r="I119" s="25" t="inlineStr">
        <is>
          <t>1 minute(s) and 58 second(s)</t>
        </is>
      </c>
      <c r="J119" s="25">
        <f>IFERROR(VALUE(TRIM(LEFT(I119,FIND("minute",I119)-1)))*60,0)+IFERROR(VALUE(SUBSTITUTE(MID(I119,IFERROR(FIND("and",I119)+3,1),20),"second(s)","")),0)</f>
        <v/>
      </c>
      <c r="K119" s="41">
        <f>J119/60</f>
        <v/>
      </c>
      <c r="L119" s="41">
        <f>IFERROR(J119/H119,"")</f>
        <v/>
      </c>
      <c r="M119" s="25" t="inlineStr">
        <is>
          <t>2.5.12</t>
        </is>
      </c>
      <c r="N119" s="25">
        <f>IF(J119&gt;300,1,0)</f>
        <v/>
      </c>
      <c r="O119" s="25">
        <f>IF(J119&gt;600,1,0)</f>
        <v/>
      </c>
      <c r="P119" s="25">
        <f>IF(H119&gt;0,J119,"")</f>
        <v/>
      </c>
      <c r="Q119" s="25">
        <f>TEXT(A119,"YYYY-MM-DD HH")</f>
        <v/>
      </c>
      <c r="R119" s="25">
        <f>COUNTIF($Q$2:$Q$5295,Q119)</f>
        <v/>
      </c>
      <c r="S119" s="25">
        <f>IF(R119&lt;=2,"1-2",IF(R119&lt;=5,"3-5",IF(R119&lt;=10,"6-10","11+")))</f>
        <v/>
      </c>
    </row>
    <row r="120">
      <c r="A120" s="39" t="n">
        <v>46150.45445601852</v>
      </c>
      <c r="B120" s="25">
        <f>TEXT(A120,"YYYY-MM")</f>
        <v/>
      </c>
      <c r="C120" s="25">
        <f>TEXT(A120,"MMM-YYYY")</f>
        <v/>
      </c>
      <c r="D120" s="40">
        <f>INT(A120)-WEEKDAY(A120,2)+1</f>
        <v/>
      </c>
      <c r="E120" s="25" t="inlineStr">
        <is>
          <t>emishra</t>
        </is>
      </c>
      <c r="F120" s="25" t="n">
        <v>280</v>
      </c>
      <c r="G120" s="25" t="n">
        <v>1</v>
      </c>
      <c r="H120" s="25" t="n">
        <v>7</v>
      </c>
      <c r="I120" s="25" t="inlineStr">
        <is>
          <t>1 minute(s) and 1 second(s)</t>
        </is>
      </c>
      <c r="J120" s="25">
        <f>IFERROR(VALUE(TRIM(LEFT(I120,FIND("minute",I120)-1)))*60,0)+IFERROR(VALUE(SUBSTITUTE(MID(I120,IFERROR(FIND("and",I120)+3,1),20),"second(s)","")),0)</f>
        <v/>
      </c>
      <c r="K120" s="41">
        <f>J120/60</f>
        <v/>
      </c>
      <c r="L120" s="41">
        <f>IFERROR(J120/H120,"")</f>
        <v/>
      </c>
      <c r="M120" s="25" t="inlineStr">
        <is>
          <t>2.5.12</t>
        </is>
      </c>
      <c r="N120" s="25">
        <f>IF(J120&gt;300,1,0)</f>
        <v/>
      </c>
      <c r="O120" s="25">
        <f>IF(J120&gt;600,1,0)</f>
        <v/>
      </c>
      <c r="P120" s="25">
        <f>IF(H120&gt;0,J120,"")</f>
        <v/>
      </c>
      <c r="Q120" s="25">
        <f>TEXT(A120,"YYYY-MM-DD HH")</f>
        <v/>
      </c>
      <c r="R120" s="25">
        <f>COUNTIF($Q$2:$Q$5295,Q120)</f>
        <v/>
      </c>
      <c r="S120" s="25">
        <f>IF(R120&lt;=2,"1-2",IF(R120&lt;=5,"3-5",IF(R120&lt;=10,"6-10","11+")))</f>
        <v/>
      </c>
    </row>
    <row r="121">
      <c r="A121" s="39" t="n">
        <v>46150.4571412037</v>
      </c>
      <c r="B121" s="25">
        <f>TEXT(A121,"YYYY-MM")</f>
        <v/>
      </c>
      <c r="C121" s="25">
        <f>TEXT(A121,"MMM-YYYY")</f>
        <v/>
      </c>
      <c r="D121" s="40">
        <f>INT(A121)-WEEKDAY(A121,2)+1</f>
        <v/>
      </c>
      <c r="E121" s="25" t="inlineStr">
        <is>
          <t>smukhopadhyay</t>
        </is>
      </c>
      <c r="F121" s="25" t="n">
        <v>82113</v>
      </c>
      <c r="G121" s="25" t="n">
        <v>3</v>
      </c>
      <c r="H121" s="25" t="n">
        <v>17</v>
      </c>
      <c r="I121" s="25" t="inlineStr">
        <is>
          <t>4 minute(s) and 45 second(s)</t>
        </is>
      </c>
      <c r="J121" s="25">
        <f>IFERROR(VALUE(TRIM(LEFT(I121,FIND("minute",I121)-1)))*60,0)+IFERROR(VALUE(SUBSTITUTE(MID(I121,IFERROR(FIND("and",I121)+3,1),20),"second(s)","")),0)</f>
        <v/>
      </c>
      <c r="K121" s="41">
        <f>J121/60</f>
        <v/>
      </c>
      <c r="L121" s="41">
        <f>IFERROR(J121/H121,"")</f>
        <v/>
      </c>
      <c r="M121" s="25" t="inlineStr">
        <is>
          <t>2.5.12</t>
        </is>
      </c>
      <c r="N121" s="25">
        <f>IF(J121&gt;300,1,0)</f>
        <v/>
      </c>
      <c r="O121" s="25">
        <f>IF(J121&gt;600,1,0)</f>
        <v/>
      </c>
      <c r="P121" s="25">
        <f>IF(H121&gt;0,J121,"")</f>
        <v/>
      </c>
      <c r="Q121" s="25">
        <f>TEXT(A121,"YYYY-MM-DD HH")</f>
        <v/>
      </c>
      <c r="R121" s="25">
        <f>COUNTIF($Q$2:$Q$5295,Q121)</f>
        <v/>
      </c>
      <c r="S121" s="25">
        <f>IF(R121&lt;=2,"1-2",IF(R121&lt;=5,"3-5",IF(R121&lt;=10,"6-10","11+")))</f>
        <v/>
      </c>
    </row>
    <row r="122">
      <c r="A122" s="39" t="n">
        <v>46150.45920138889</v>
      </c>
      <c r="B122" s="25">
        <f>TEXT(A122,"YYYY-MM")</f>
        <v/>
      </c>
      <c r="C122" s="25">
        <f>TEXT(A122,"MMM-YYYY")</f>
        <v/>
      </c>
      <c r="D122" s="40">
        <f>INT(A122)-WEEKDAY(A122,2)+1</f>
        <v/>
      </c>
      <c r="E122" s="25" t="inlineStr">
        <is>
          <t>vraina</t>
        </is>
      </c>
      <c r="F122" s="25" t="n">
        <v>97435</v>
      </c>
      <c r="G122" s="25" t="n">
        <v>4</v>
      </c>
      <c r="H122" s="25" t="n">
        <v>20</v>
      </c>
      <c r="I122" s="25" t="inlineStr">
        <is>
          <t>5 minute(s) and 29 second(s)</t>
        </is>
      </c>
      <c r="J122" s="25">
        <f>IFERROR(VALUE(TRIM(LEFT(I122,FIND("minute",I122)-1)))*60,0)+IFERROR(VALUE(SUBSTITUTE(MID(I122,IFERROR(FIND("and",I122)+3,1),20),"second(s)","")),0)</f>
        <v/>
      </c>
      <c r="K122" s="41">
        <f>J122/60</f>
        <v/>
      </c>
      <c r="L122" s="41">
        <f>IFERROR(J122/H122,"")</f>
        <v/>
      </c>
      <c r="M122" s="25" t="inlineStr">
        <is>
          <t>2.5.12</t>
        </is>
      </c>
      <c r="N122" s="25">
        <f>IF(J122&gt;300,1,0)</f>
        <v/>
      </c>
      <c r="O122" s="25">
        <f>IF(J122&gt;600,1,0)</f>
        <v/>
      </c>
      <c r="P122" s="25">
        <f>IF(H122&gt;0,J122,"")</f>
        <v/>
      </c>
      <c r="Q122" s="25">
        <f>TEXT(A122,"YYYY-MM-DD HH")</f>
        <v/>
      </c>
      <c r="R122" s="25">
        <f>COUNTIF($Q$2:$Q$5295,Q122)</f>
        <v/>
      </c>
      <c r="S122" s="25">
        <f>IF(R122&lt;=2,"1-2",IF(R122&lt;=5,"3-5",IF(R122&lt;=10,"6-10","11+")))</f>
        <v/>
      </c>
    </row>
    <row r="123">
      <c r="A123" s="39" t="n">
        <v>46150.47349537037</v>
      </c>
      <c r="B123" s="25">
        <f>TEXT(A123,"YYYY-MM")</f>
        <v/>
      </c>
      <c r="C123" s="25">
        <f>TEXT(A123,"MMM-YYYY")</f>
        <v/>
      </c>
      <c r="D123" s="40">
        <f>INT(A123)-WEEKDAY(A123,2)+1</f>
        <v/>
      </c>
      <c r="E123" s="25" t="inlineStr">
        <is>
          <t>ssrinivasan</t>
        </is>
      </c>
      <c r="F123" s="25" t="n">
        <v>84957</v>
      </c>
      <c r="G123" s="25" t="n">
        <v>1</v>
      </c>
      <c r="H123" s="25" t="n">
        <v>7</v>
      </c>
      <c r="I123" s="25" t="inlineStr">
        <is>
          <t>1 minute(s) and 54 second(s)</t>
        </is>
      </c>
      <c r="J123" s="25">
        <f>IFERROR(VALUE(TRIM(LEFT(I123,FIND("minute",I123)-1)))*60,0)+IFERROR(VALUE(SUBSTITUTE(MID(I123,IFERROR(FIND("and",I123)+3,1),20),"second(s)","")),0)</f>
        <v/>
      </c>
      <c r="K123" s="41">
        <f>J123/60</f>
        <v/>
      </c>
      <c r="L123" s="41">
        <f>IFERROR(J123/H123,"")</f>
        <v/>
      </c>
      <c r="M123" s="25" t="inlineStr">
        <is>
          <t>2.5.12</t>
        </is>
      </c>
      <c r="N123" s="25">
        <f>IF(J123&gt;300,1,0)</f>
        <v/>
      </c>
      <c r="O123" s="25">
        <f>IF(J123&gt;600,1,0)</f>
        <v/>
      </c>
      <c r="P123" s="25">
        <f>IF(H123&gt;0,J123,"")</f>
        <v/>
      </c>
      <c r="Q123" s="25">
        <f>TEXT(A123,"YYYY-MM-DD HH")</f>
        <v/>
      </c>
      <c r="R123" s="25">
        <f>COUNTIF($Q$2:$Q$5295,Q123)</f>
        <v/>
      </c>
      <c r="S123" s="25">
        <f>IF(R123&lt;=2,"1-2",IF(R123&lt;=5,"3-5",IF(R123&lt;=10,"6-10","11+")))</f>
        <v/>
      </c>
    </row>
    <row r="124">
      <c r="A124" s="39" t="n">
        <v>46150.48621527778</v>
      </c>
      <c r="B124" s="25">
        <f>TEXT(A124,"YYYY-MM")</f>
        <v/>
      </c>
      <c r="C124" s="25">
        <f>TEXT(A124,"MMM-YYYY")</f>
        <v/>
      </c>
      <c r="D124" s="40">
        <f>INT(A124)-WEEKDAY(A124,2)+1</f>
        <v/>
      </c>
      <c r="E124" s="25" t="inlineStr">
        <is>
          <t>dbhattacharyya</t>
        </is>
      </c>
      <c r="F124" s="25" t="n">
        <v>97509</v>
      </c>
      <c r="G124" s="25" t="n">
        <v>5</v>
      </c>
      <c r="H124" s="25" t="n">
        <v>23</v>
      </c>
      <c r="I124" s="25" t="inlineStr">
        <is>
          <t>8 minute(s) and 10 second(s)</t>
        </is>
      </c>
      <c r="J124" s="25">
        <f>IFERROR(VALUE(TRIM(LEFT(I124,FIND("minute",I124)-1)))*60,0)+IFERROR(VALUE(SUBSTITUTE(MID(I124,IFERROR(FIND("and",I124)+3,1),20),"second(s)","")),0)</f>
        <v/>
      </c>
      <c r="K124" s="41">
        <f>J124/60</f>
        <v/>
      </c>
      <c r="L124" s="41">
        <f>IFERROR(J124/H124,"")</f>
        <v/>
      </c>
      <c r="M124" s="25" t="inlineStr">
        <is>
          <t>2.5.12</t>
        </is>
      </c>
      <c r="N124" s="25">
        <f>IF(J124&gt;300,1,0)</f>
        <v/>
      </c>
      <c r="O124" s="25">
        <f>IF(J124&gt;600,1,0)</f>
        <v/>
      </c>
      <c r="P124" s="25">
        <f>IF(H124&gt;0,J124,"")</f>
        <v/>
      </c>
      <c r="Q124" s="25">
        <f>TEXT(A124,"YYYY-MM-DD HH")</f>
        <v/>
      </c>
      <c r="R124" s="25">
        <f>COUNTIF($Q$2:$Q$5295,Q124)</f>
        <v/>
      </c>
      <c r="S124" s="25">
        <f>IF(R124&lt;=2,"1-2",IF(R124&lt;=5,"3-5",IF(R124&lt;=10,"6-10","11+")))</f>
        <v/>
      </c>
    </row>
    <row r="125">
      <c r="A125" s="39" t="n">
        <v>46150.52077546297</v>
      </c>
      <c r="B125" s="25">
        <f>TEXT(A125,"YYYY-MM")</f>
        <v/>
      </c>
      <c r="C125" s="25">
        <f>TEXT(A125,"MMM-YYYY")</f>
        <v/>
      </c>
      <c r="D125" s="40">
        <f>INT(A125)-WEEKDAY(A125,2)+1</f>
        <v/>
      </c>
      <c r="E125" s="25" t="inlineStr">
        <is>
          <t>hsindwani</t>
        </is>
      </c>
      <c r="F125" s="25" t="n">
        <v>73226</v>
      </c>
      <c r="G125" s="25" t="n">
        <v>5</v>
      </c>
      <c r="H125" s="25" t="n">
        <v>15</v>
      </c>
      <c r="I125" s="25" t="inlineStr">
        <is>
          <t>7 minute(s) and 26 second(s)</t>
        </is>
      </c>
      <c r="J125" s="25">
        <f>IFERROR(VALUE(TRIM(LEFT(I125,FIND("minute",I125)-1)))*60,0)+IFERROR(VALUE(SUBSTITUTE(MID(I125,IFERROR(FIND("and",I125)+3,1),20),"second(s)","")),0)</f>
        <v/>
      </c>
      <c r="K125" s="41">
        <f>J125/60</f>
        <v/>
      </c>
      <c r="L125" s="41">
        <f>IFERROR(J125/H125,"")</f>
        <v/>
      </c>
      <c r="M125" s="25" t="inlineStr">
        <is>
          <t>2.5.12</t>
        </is>
      </c>
      <c r="N125" s="25">
        <f>IF(J125&gt;300,1,0)</f>
        <v/>
      </c>
      <c r="O125" s="25">
        <f>IF(J125&gt;600,1,0)</f>
        <v/>
      </c>
      <c r="P125" s="25">
        <f>IF(H125&gt;0,J125,"")</f>
        <v/>
      </c>
      <c r="Q125" s="25">
        <f>TEXT(A125,"YYYY-MM-DD HH")</f>
        <v/>
      </c>
      <c r="R125" s="25">
        <f>COUNTIF($Q$2:$Q$5295,Q125)</f>
        <v/>
      </c>
      <c r="S125" s="25">
        <f>IF(R125&lt;=2,"1-2",IF(R125&lt;=5,"3-5",IF(R125&lt;=10,"6-10","11+")))</f>
        <v/>
      </c>
    </row>
    <row r="126">
      <c r="A126" s="39" t="n">
        <v>46150.52856481481</v>
      </c>
      <c r="B126" s="25">
        <f>TEXT(A126,"YYYY-MM")</f>
        <v/>
      </c>
      <c r="C126" s="25">
        <f>TEXT(A126,"MMM-YYYY")</f>
        <v/>
      </c>
      <c r="D126" s="40">
        <f>INT(A126)-WEEKDAY(A126,2)+1</f>
        <v/>
      </c>
      <c r="E126" s="25" t="inlineStr">
        <is>
          <t>psathwika</t>
        </is>
      </c>
      <c r="F126" s="25" t="n">
        <v>72642</v>
      </c>
      <c r="G126" s="25" t="n">
        <v>5</v>
      </c>
      <c r="H126" s="25" t="n">
        <v>17</v>
      </c>
      <c r="I126" s="25" t="inlineStr">
        <is>
          <t>4 minute(s) and 7 second(s)</t>
        </is>
      </c>
      <c r="J126" s="25">
        <f>IFERROR(VALUE(TRIM(LEFT(I126,FIND("minute",I126)-1)))*60,0)+IFERROR(VALUE(SUBSTITUTE(MID(I126,IFERROR(FIND("and",I126)+3,1),20),"second(s)","")),0)</f>
        <v/>
      </c>
      <c r="K126" s="41">
        <f>J126/60</f>
        <v/>
      </c>
      <c r="L126" s="41">
        <f>IFERROR(J126/H126,"")</f>
        <v/>
      </c>
      <c r="M126" s="25" t="inlineStr">
        <is>
          <t>2.5.12</t>
        </is>
      </c>
      <c r="N126" s="25">
        <f>IF(J126&gt;300,1,0)</f>
        <v/>
      </c>
      <c r="O126" s="25">
        <f>IF(J126&gt;600,1,0)</f>
        <v/>
      </c>
      <c r="P126" s="25">
        <f>IF(H126&gt;0,J126,"")</f>
        <v/>
      </c>
      <c r="Q126" s="25">
        <f>TEXT(A126,"YYYY-MM-DD HH")</f>
        <v/>
      </c>
      <c r="R126" s="25">
        <f>COUNTIF($Q$2:$Q$5295,Q126)</f>
        <v/>
      </c>
      <c r="S126" s="25">
        <f>IF(R126&lt;=2,"1-2",IF(R126&lt;=5,"3-5",IF(R126&lt;=10,"6-10","11+")))</f>
        <v/>
      </c>
    </row>
    <row r="127">
      <c r="A127" s="39" t="n">
        <v>46150.55096064815</v>
      </c>
      <c r="B127" s="25">
        <f>TEXT(A127,"YYYY-MM")</f>
        <v/>
      </c>
      <c r="C127" s="25">
        <f>TEXT(A127,"MMM-YYYY")</f>
        <v/>
      </c>
      <c r="D127" s="40">
        <f>INT(A127)-WEEKDAY(A127,2)+1</f>
        <v/>
      </c>
      <c r="E127" s="25" t="inlineStr">
        <is>
          <t>shassan</t>
        </is>
      </c>
      <c r="F127" s="25" t="n">
        <v>114782</v>
      </c>
      <c r="G127" s="25" t="n">
        <v>3</v>
      </c>
      <c r="H127" s="25" t="n">
        <v>11</v>
      </c>
      <c r="I127" s="25" t="inlineStr">
        <is>
          <t>1 minute(s) and 57 second(s)</t>
        </is>
      </c>
      <c r="J127" s="25">
        <f>IFERROR(VALUE(TRIM(LEFT(I127,FIND("minute",I127)-1)))*60,0)+IFERROR(VALUE(SUBSTITUTE(MID(I127,IFERROR(FIND("and",I127)+3,1),20),"second(s)","")),0)</f>
        <v/>
      </c>
      <c r="K127" s="41">
        <f>J127/60</f>
        <v/>
      </c>
      <c r="L127" s="41">
        <f>IFERROR(J127/H127,"")</f>
        <v/>
      </c>
      <c r="M127" s="25" t="inlineStr">
        <is>
          <t>2.5.12</t>
        </is>
      </c>
      <c r="N127" s="25">
        <f>IF(J127&gt;300,1,0)</f>
        <v/>
      </c>
      <c r="O127" s="25">
        <f>IF(J127&gt;600,1,0)</f>
        <v/>
      </c>
      <c r="P127" s="25">
        <f>IF(H127&gt;0,J127,"")</f>
        <v/>
      </c>
      <c r="Q127" s="25">
        <f>TEXT(A127,"YYYY-MM-DD HH")</f>
        <v/>
      </c>
      <c r="R127" s="25">
        <f>COUNTIF($Q$2:$Q$5295,Q127)</f>
        <v/>
      </c>
      <c r="S127" s="25">
        <f>IF(R127&lt;=2,"1-2",IF(R127&lt;=5,"3-5",IF(R127&lt;=10,"6-10","11+")))</f>
        <v/>
      </c>
    </row>
    <row r="128">
      <c r="A128" s="39" t="n">
        <v>46150.55960648148</v>
      </c>
      <c r="B128" s="25">
        <f>TEXT(A128,"YYYY-MM")</f>
        <v/>
      </c>
      <c r="C128" s="25">
        <f>TEXT(A128,"MMM-YYYY")</f>
        <v/>
      </c>
      <c r="D128" s="40">
        <f>INT(A128)-WEEKDAY(A128,2)+1</f>
        <v/>
      </c>
      <c r="E128" s="25" t="inlineStr">
        <is>
          <t>shasikha</t>
        </is>
      </c>
      <c r="F128" s="25" t="n">
        <v>68439</v>
      </c>
      <c r="G128" s="25" t="n">
        <v>5</v>
      </c>
      <c r="H128" s="25" t="n">
        <v>15</v>
      </c>
      <c r="I128" s="25" t="inlineStr">
        <is>
          <t>4 minute(s) and 19 second(s)</t>
        </is>
      </c>
      <c r="J128" s="25">
        <f>IFERROR(VALUE(TRIM(LEFT(I128,FIND("minute",I128)-1)))*60,0)+IFERROR(VALUE(SUBSTITUTE(MID(I128,IFERROR(FIND("and",I128)+3,1),20),"second(s)","")),0)</f>
        <v/>
      </c>
      <c r="K128" s="41">
        <f>J128/60</f>
        <v/>
      </c>
      <c r="L128" s="41">
        <f>IFERROR(J128/H128,"")</f>
        <v/>
      </c>
      <c r="M128" s="25" t="inlineStr">
        <is>
          <t>2.5.12</t>
        </is>
      </c>
      <c r="N128" s="25">
        <f>IF(J128&gt;300,1,0)</f>
        <v/>
      </c>
      <c r="O128" s="25">
        <f>IF(J128&gt;600,1,0)</f>
        <v/>
      </c>
      <c r="P128" s="25">
        <f>IF(H128&gt;0,J128,"")</f>
        <v/>
      </c>
      <c r="Q128" s="25">
        <f>TEXT(A128,"YYYY-MM-DD HH")</f>
        <v/>
      </c>
      <c r="R128" s="25">
        <f>COUNTIF($Q$2:$Q$5295,Q128)</f>
        <v/>
      </c>
      <c r="S128" s="25">
        <f>IF(R128&lt;=2,"1-2",IF(R128&lt;=5,"3-5",IF(R128&lt;=10,"6-10","11+")))</f>
        <v/>
      </c>
    </row>
    <row r="129">
      <c r="A129" s="39" t="n">
        <v>46150.56108796296</v>
      </c>
      <c r="B129" s="25">
        <f>TEXT(A129,"YYYY-MM")</f>
        <v/>
      </c>
      <c r="C129" s="25">
        <f>TEXT(A129,"MMM-YYYY")</f>
        <v/>
      </c>
      <c r="D129" s="40">
        <f>INT(A129)-WEEKDAY(A129,2)+1</f>
        <v/>
      </c>
      <c r="E129" s="25" t="inlineStr">
        <is>
          <t>mbhalla</t>
        </is>
      </c>
      <c r="F129" s="25" t="n">
        <v>70010</v>
      </c>
      <c r="G129" s="25" t="n">
        <v>1</v>
      </c>
      <c r="H129" s="25" t="n">
        <v>5</v>
      </c>
      <c r="I129" s="25" t="inlineStr">
        <is>
          <t>1 minute(s) and 11 second(s)</t>
        </is>
      </c>
      <c r="J129" s="25">
        <f>IFERROR(VALUE(TRIM(LEFT(I129,FIND("minute",I129)-1)))*60,0)+IFERROR(VALUE(SUBSTITUTE(MID(I129,IFERROR(FIND("and",I129)+3,1),20),"second(s)","")),0)</f>
        <v/>
      </c>
      <c r="K129" s="41">
        <f>J129/60</f>
        <v/>
      </c>
      <c r="L129" s="41">
        <f>IFERROR(J129/H129,"")</f>
        <v/>
      </c>
      <c r="M129" s="25" t="inlineStr">
        <is>
          <t>2.5.12</t>
        </is>
      </c>
      <c r="N129" s="25">
        <f>IF(J129&gt;300,1,0)</f>
        <v/>
      </c>
      <c r="O129" s="25">
        <f>IF(J129&gt;600,1,0)</f>
        <v/>
      </c>
      <c r="P129" s="25">
        <f>IF(H129&gt;0,J129,"")</f>
        <v/>
      </c>
      <c r="Q129" s="25">
        <f>TEXT(A129,"YYYY-MM-DD HH")</f>
        <v/>
      </c>
      <c r="R129" s="25">
        <f>COUNTIF($Q$2:$Q$5295,Q129)</f>
        <v/>
      </c>
      <c r="S129" s="25">
        <f>IF(R129&lt;=2,"1-2",IF(R129&lt;=5,"3-5",IF(R129&lt;=10,"6-10","11+")))</f>
        <v/>
      </c>
    </row>
    <row r="130">
      <c r="A130" s="39" t="n">
        <v>46150.57131944445</v>
      </c>
      <c r="B130" s="25">
        <f>TEXT(A130,"YYYY-MM")</f>
        <v/>
      </c>
      <c r="C130" s="25">
        <f>TEXT(A130,"MMM-YYYY")</f>
        <v/>
      </c>
      <c r="D130" s="40">
        <f>INT(A130)-WEEKDAY(A130,2)+1</f>
        <v/>
      </c>
      <c r="E130" s="25" t="inlineStr">
        <is>
          <t>psathwika</t>
        </is>
      </c>
      <c r="F130" s="25" t="n">
        <v>72643</v>
      </c>
      <c r="G130" s="25" t="n">
        <v>4</v>
      </c>
      <c r="H130" s="25" t="n">
        <v>14</v>
      </c>
      <c r="I130" s="25" t="inlineStr">
        <is>
          <t>4 minute(s) and 19 second(s)</t>
        </is>
      </c>
      <c r="J130" s="25">
        <f>IFERROR(VALUE(TRIM(LEFT(I130,FIND("minute",I130)-1)))*60,0)+IFERROR(VALUE(SUBSTITUTE(MID(I130,IFERROR(FIND("and",I130)+3,1),20),"second(s)","")),0)</f>
        <v/>
      </c>
      <c r="K130" s="41">
        <f>J130/60</f>
        <v/>
      </c>
      <c r="L130" s="41">
        <f>IFERROR(J130/H130,"")</f>
        <v/>
      </c>
      <c r="M130" s="25" t="inlineStr">
        <is>
          <t>2.5.12</t>
        </is>
      </c>
      <c r="N130" s="25">
        <f>IF(J130&gt;300,1,0)</f>
        <v/>
      </c>
      <c r="O130" s="25">
        <f>IF(J130&gt;600,1,0)</f>
        <v/>
      </c>
      <c r="P130" s="25">
        <f>IF(H130&gt;0,J130,"")</f>
        <v/>
      </c>
      <c r="Q130" s="25">
        <f>TEXT(A130,"YYYY-MM-DD HH")</f>
        <v/>
      </c>
      <c r="R130" s="25">
        <f>COUNTIF($Q$2:$Q$5295,Q130)</f>
        <v/>
      </c>
      <c r="S130" s="25">
        <f>IF(R130&lt;=2,"1-2",IF(R130&lt;=5,"3-5",IF(R130&lt;=10,"6-10","11+")))</f>
        <v/>
      </c>
    </row>
    <row r="131">
      <c r="A131" s="39" t="n">
        <v>46150.58439814814</v>
      </c>
      <c r="B131" s="25">
        <f>TEXT(A131,"YYYY-MM")</f>
        <v/>
      </c>
      <c r="C131" s="25">
        <f>TEXT(A131,"MMM-YYYY")</f>
        <v/>
      </c>
      <c r="D131" s="40">
        <f>INT(A131)-WEEKDAY(A131,2)+1</f>
        <v/>
      </c>
      <c r="E131" s="25" t="inlineStr">
        <is>
          <t>vraina</t>
        </is>
      </c>
      <c r="F131" s="25" t="n">
        <v>71806</v>
      </c>
      <c r="G131" s="25" t="n">
        <v>5</v>
      </c>
      <c r="H131" s="25" t="n">
        <v>23</v>
      </c>
      <c r="I131" s="25" t="inlineStr">
        <is>
          <t>4 minute(s) and 28 second(s)</t>
        </is>
      </c>
      <c r="J131" s="25">
        <f>IFERROR(VALUE(TRIM(LEFT(I131,FIND("minute",I131)-1)))*60,0)+IFERROR(VALUE(SUBSTITUTE(MID(I131,IFERROR(FIND("and",I131)+3,1),20),"second(s)","")),0)</f>
        <v/>
      </c>
      <c r="K131" s="41">
        <f>J131/60</f>
        <v/>
      </c>
      <c r="L131" s="41">
        <f>IFERROR(J131/H131,"")</f>
        <v/>
      </c>
      <c r="M131" s="25" t="inlineStr">
        <is>
          <t>2.5.12</t>
        </is>
      </c>
      <c r="N131" s="25">
        <f>IF(J131&gt;300,1,0)</f>
        <v/>
      </c>
      <c r="O131" s="25">
        <f>IF(J131&gt;600,1,0)</f>
        <v/>
      </c>
      <c r="P131" s="25">
        <f>IF(H131&gt;0,J131,"")</f>
        <v/>
      </c>
      <c r="Q131" s="25">
        <f>TEXT(A131,"YYYY-MM-DD HH")</f>
        <v/>
      </c>
      <c r="R131" s="25">
        <f>COUNTIF($Q$2:$Q$5295,Q131)</f>
        <v/>
      </c>
      <c r="S131" s="25">
        <f>IF(R131&lt;=2,"1-2",IF(R131&lt;=5,"3-5",IF(R131&lt;=10,"6-10","11+")))</f>
        <v/>
      </c>
    </row>
    <row r="132">
      <c r="A132" s="39" t="n">
        <v>46150.59608796296</v>
      </c>
      <c r="B132" s="25">
        <f>TEXT(A132,"YYYY-MM")</f>
        <v/>
      </c>
      <c r="C132" s="25">
        <f>TEXT(A132,"MMM-YYYY")</f>
        <v/>
      </c>
      <c r="D132" s="40">
        <f>INT(A132)-WEEKDAY(A132,2)+1</f>
        <v/>
      </c>
      <c r="E132" s="25" t="inlineStr">
        <is>
          <t>ssaha</t>
        </is>
      </c>
      <c r="F132" s="25" t="n">
        <v>105847</v>
      </c>
      <c r="G132" s="25" t="n">
        <v>5</v>
      </c>
      <c r="H132" s="25" t="n">
        <v>25</v>
      </c>
      <c r="I132" s="25" t="inlineStr">
        <is>
          <t>6 minute(s) and 8 second(s)</t>
        </is>
      </c>
      <c r="J132" s="25">
        <f>IFERROR(VALUE(TRIM(LEFT(I132,FIND("minute",I132)-1)))*60,0)+IFERROR(VALUE(SUBSTITUTE(MID(I132,IFERROR(FIND("and",I132)+3,1),20),"second(s)","")),0)</f>
        <v/>
      </c>
      <c r="K132" s="41">
        <f>J132/60</f>
        <v/>
      </c>
      <c r="L132" s="41">
        <f>IFERROR(J132/H132,"")</f>
        <v/>
      </c>
      <c r="M132" s="25" t="inlineStr">
        <is>
          <t>2.5.12</t>
        </is>
      </c>
      <c r="N132" s="25">
        <f>IF(J132&gt;300,1,0)</f>
        <v/>
      </c>
      <c r="O132" s="25">
        <f>IF(J132&gt;600,1,0)</f>
        <v/>
      </c>
      <c r="P132" s="25">
        <f>IF(H132&gt;0,J132,"")</f>
        <v/>
      </c>
      <c r="Q132" s="25">
        <f>TEXT(A132,"YYYY-MM-DD HH")</f>
        <v/>
      </c>
      <c r="R132" s="25">
        <f>COUNTIF($Q$2:$Q$5295,Q132)</f>
        <v/>
      </c>
      <c r="S132" s="25">
        <f>IF(R132&lt;=2,"1-2",IF(R132&lt;=5,"3-5",IF(R132&lt;=10,"6-10","11+")))</f>
        <v/>
      </c>
    </row>
    <row r="133">
      <c r="A133" s="39" t="n">
        <v>46150.61989583333</v>
      </c>
      <c r="B133" s="25">
        <f>TEXT(A133,"YYYY-MM")</f>
        <v/>
      </c>
      <c r="C133" s="25">
        <f>TEXT(A133,"MMM-YYYY")</f>
        <v/>
      </c>
      <c r="D133" s="40">
        <f>INT(A133)-WEEKDAY(A133,2)+1</f>
        <v/>
      </c>
      <c r="E133" s="25" t="inlineStr">
        <is>
          <t>emishra</t>
        </is>
      </c>
      <c r="F133" s="25" t="n">
        <v>95118</v>
      </c>
      <c r="G133" s="25" t="n">
        <v>2</v>
      </c>
      <c r="H133" s="25" t="n">
        <v>14</v>
      </c>
      <c r="I133" s="25" t="inlineStr">
        <is>
          <t>2 minute(s) and 13 second(s)</t>
        </is>
      </c>
      <c r="J133" s="25">
        <f>IFERROR(VALUE(TRIM(LEFT(I133,FIND("minute",I133)-1)))*60,0)+IFERROR(VALUE(SUBSTITUTE(MID(I133,IFERROR(FIND("and",I133)+3,1),20),"second(s)","")),0)</f>
        <v/>
      </c>
      <c r="K133" s="41">
        <f>J133/60</f>
        <v/>
      </c>
      <c r="L133" s="41">
        <f>IFERROR(J133/H133,"")</f>
        <v/>
      </c>
      <c r="M133" s="25" t="inlineStr">
        <is>
          <t>2.5.12</t>
        </is>
      </c>
      <c r="N133" s="25">
        <f>IF(J133&gt;300,1,0)</f>
        <v/>
      </c>
      <c r="O133" s="25">
        <f>IF(J133&gt;600,1,0)</f>
        <v/>
      </c>
      <c r="P133" s="25">
        <f>IF(H133&gt;0,J133,"")</f>
        <v/>
      </c>
      <c r="Q133" s="25">
        <f>TEXT(A133,"YYYY-MM-DD HH")</f>
        <v/>
      </c>
      <c r="R133" s="25">
        <f>COUNTIF($Q$2:$Q$5295,Q133)</f>
        <v/>
      </c>
      <c r="S133" s="25">
        <f>IF(R133&lt;=2,"1-2",IF(R133&lt;=5,"3-5",IF(R133&lt;=10,"6-10","11+")))</f>
        <v/>
      </c>
    </row>
    <row r="134">
      <c r="A134" s="39" t="n">
        <v>46150.62899305556</v>
      </c>
      <c r="B134" s="25">
        <f>TEXT(A134,"YYYY-MM")</f>
        <v/>
      </c>
      <c r="C134" s="25">
        <f>TEXT(A134,"MMM-YYYY")</f>
        <v/>
      </c>
      <c r="D134" s="40">
        <f>INT(A134)-WEEKDAY(A134,2)+1</f>
        <v/>
      </c>
      <c r="E134" s="25" t="inlineStr">
        <is>
          <t>csaha</t>
        </is>
      </c>
      <c r="F134" s="25" t="n">
        <v>97862</v>
      </c>
      <c r="G134" s="25" t="n">
        <v>5</v>
      </c>
      <c r="H134" s="25" t="n">
        <v>17</v>
      </c>
      <c r="I134" s="25" t="inlineStr">
        <is>
          <t>4 minute(s) and 22 second(s)</t>
        </is>
      </c>
      <c r="J134" s="25">
        <f>IFERROR(VALUE(TRIM(LEFT(I134,FIND("minute",I134)-1)))*60,0)+IFERROR(VALUE(SUBSTITUTE(MID(I134,IFERROR(FIND("and",I134)+3,1),20),"second(s)","")),0)</f>
        <v/>
      </c>
      <c r="K134" s="41">
        <f>J134/60</f>
        <v/>
      </c>
      <c r="L134" s="41">
        <f>IFERROR(J134/H134,"")</f>
        <v/>
      </c>
      <c r="M134" s="25" t="inlineStr">
        <is>
          <t>2.5.12</t>
        </is>
      </c>
      <c r="N134" s="25">
        <f>IF(J134&gt;300,1,0)</f>
        <v/>
      </c>
      <c r="O134" s="25">
        <f>IF(J134&gt;600,1,0)</f>
        <v/>
      </c>
      <c r="P134" s="25">
        <f>IF(H134&gt;0,J134,"")</f>
        <v/>
      </c>
      <c r="Q134" s="25">
        <f>TEXT(A134,"YYYY-MM-DD HH")</f>
        <v/>
      </c>
      <c r="R134" s="25">
        <f>COUNTIF($Q$2:$Q$5295,Q134)</f>
        <v/>
      </c>
      <c r="S134" s="25">
        <f>IF(R134&lt;=2,"1-2",IF(R134&lt;=5,"3-5",IF(R134&lt;=10,"6-10","11+")))</f>
        <v/>
      </c>
    </row>
    <row r="135">
      <c r="A135" s="39" t="n">
        <v>46150.64259259259</v>
      </c>
      <c r="B135" s="25">
        <f>TEXT(A135,"YYYY-MM")</f>
        <v/>
      </c>
      <c r="C135" s="25">
        <f>TEXT(A135,"MMM-YYYY")</f>
        <v/>
      </c>
      <c r="D135" s="40">
        <f>INT(A135)-WEEKDAY(A135,2)+1</f>
        <v/>
      </c>
      <c r="E135" s="25" t="inlineStr">
        <is>
          <t>hsindwani</t>
        </is>
      </c>
      <c r="F135" s="25" t="n">
        <v>96332</v>
      </c>
      <c r="G135" s="25" t="n">
        <v>5</v>
      </c>
      <c r="H135" s="25" t="n">
        <v>29</v>
      </c>
      <c r="I135" s="25" t="inlineStr">
        <is>
          <t>15 minute(s) and 35 second(s)</t>
        </is>
      </c>
      <c r="J135" s="25">
        <f>IFERROR(VALUE(TRIM(LEFT(I135,FIND("minute",I135)-1)))*60,0)+IFERROR(VALUE(SUBSTITUTE(MID(I135,IFERROR(FIND("and",I135)+3,1),20),"second(s)","")),0)</f>
        <v/>
      </c>
      <c r="K135" s="41">
        <f>J135/60</f>
        <v/>
      </c>
      <c r="L135" s="41">
        <f>IFERROR(J135/H135,"")</f>
        <v/>
      </c>
      <c r="M135" s="25" t="inlineStr">
        <is>
          <t>2.5.12</t>
        </is>
      </c>
      <c r="N135" s="25">
        <f>IF(J135&gt;300,1,0)</f>
        <v/>
      </c>
      <c r="O135" s="25">
        <f>IF(J135&gt;600,1,0)</f>
        <v/>
      </c>
      <c r="P135" s="25">
        <f>IF(H135&gt;0,J135,"")</f>
        <v/>
      </c>
      <c r="Q135" s="25">
        <f>TEXT(A135,"YYYY-MM-DD HH")</f>
        <v/>
      </c>
      <c r="R135" s="25">
        <f>COUNTIF($Q$2:$Q$5295,Q135)</f>
        <v/>
      </c>
      <c r="S135" s="25">
        <f>IF(R135&lt;=2,"1-2",IF(R135&lt;=5,"3-5",IF(R135&lt;=10,"6-10","11+")))</f>
        <v/>
      </c>
    </row>
    <row r="136">
      <c r="A136" s="39" t="n">
        <v>46150.66929398148</v>
      </c>
      <c r="B136" s="25">
        <f>TEXT(A136,"YYYY-MM")</f>
        <v/>
      </c>
      <c r="C136" s="25">
        <f>TEXT(A136,"MMM-YYYY")</f>
        <v/>
      </c>
      <c r="D136" s="40">
        <f>INT(A136)-WEEKDAY(A136,2)+1</f>
        <v/>
      </c>
      <c r="E136" s="25" t="inlineStr">
        <is>
          <t>emishra</t>
        </is>
      </c>
      <c r="F136" s="25" t="n">
        <v>105707</v>
      </c>
      <c r="G136" s="25" t="n">
        <v>2</v>
      </c>
      <c r="H136" s="25" t="n">
        <v>8</v>
      </c>
      <c r="I136" s="25" t="inlineStr">
        <is>
          <t>3 minute(s) and 5 second(s)</t>
        </is>
      </c>
      <c r="J136" s="25">
        <f>IFERROR(VALUE(TRIM(LEFT(I136,FIND("minute",I136)-1)))*60,0)+IFERROR(VALUE(SUBSTITUTE(MID(I136,IFERROR(FIND("and",I136)+3,1),20),"second(s)","")),0)</f>
        <v/>
      </c>
      <c r="K136" s="41">
        <f>J136/60</f>
        <v/>
      </c>
      <c r="L136" s="41">
        <f>IFERROR(J136/H136,"")</f>
        <v/>
      </c>
      <c r="M136" s="25" t="inlineStr">
        <is>
          <t>2.5.12</t>
        </is>
      </c>
      <c r="N136" s="25">
        <f>IF(J136&gt;300,1,0)</f>
        <v/>
      </c>
      <c r="O136" s="25">
        <f>IF(J136&gt;600,1,0)</f>
        <v/>
      </c>
      <c r="P136" s="25">
        <f>IF(H136&gt;0,J136,"")</f>
        <v/>
      </c>
      <c r="Q136" s="25">
        <f>TEXT(A136,"YYYY-MM-DD HH")</f>
        <v/>
      </c>
      <c r="R136" s="25">
        <f>COUNTIF($Q$2:$Q$5295,Q136)</f>
        <v/>
      </c>
      <c r="S136" s="25">
        <f>IF(R136&lt;=2,"1-2",IF(R136&lt;=5,"3-5",IF(R136&lt;=10,"6-10","11+")))</f>
        <v/>
      </c>
    </row>
    <row r="137">
      <c r="A137" s="39" t="n">
        <v>46150.70804398148</v>
      </c>
      <c r="B137" s="25">
        <f>TEXT(A137,"YYYY-MM")</f>
        <v/>
      </c>
      <c r="C137" s="25">
        <f>TEXT(A137,"MMM-YYYY")</f>
        <v/>
      </c>
      <c r="D137" s="40">
        <f>INT(A137)-WEEKDAY(A137,2)+1</f>
        <v/>
      </c>
      <c r="E137" s="25" t="inlineStr">
        <is>
          <t>emishra</t>
        </is>
      </c>
      <c r="F137" s="25" t="n">
        <v>69069</v>
      </c>
      <c r="G137" s="25" t="n">
        <v>4</v>
      </c>
      <c r="H137" s="25" t="n">
        <v>24</v>
      </c>
      <c r="I137" s="25" t="inlineStr">
        <is>
          <t>3 minute(s) and 47 second(s)</t>
        </is>
      </c>
      <c r="J137" s="25">
        <f>IFERROR(VALUE(TRIM(LEFT(I137,FIND("minute",I137)-1)))*60,0)+IFERROR(VALUE(SUBSTITUTE(MID(I137,IFERROR(FIND("and",I137)+3,1),20),"second(s)","")),0)</f>
        <v/>
      </c>
      <c r="K137" s="41">
        <f>J137/60</f>
        <v/>
      </c>
      <c r="L137" s="41">
        <f>IFERROR(J137/H137,"")</f>
        <v/>
      </c>
      <c r="M137" s="25" t="inlineStr">
        <is>
          <t>2.5.12</t>
        </is>
      </c>
      <c r="N137" s="25">
        <f>IF(J137&gt;300,1,0)</f>
        <v/>
      </c>
      <c r="O137" s="25">
        <f>IF(J137&gt;600,1,0)</f>
        <v/>
      </c>
      <c r="P137" s="25">
        <f>IF(H137&gt;0,J137,"")</f>
        <v/>
      </c>
      <c r="Q137" s="25">
        <f>TEXT(A137,"YYYY-MM-DD HH")</f>
        <v/>
      </c>
      <c r="R137" s="25">
        <f>COUNTIF($Q$2:$Q$5295,Q137)</f>
        <v/>
      </c>
      <c r="S137" s="25">
        <f>IF(R137&lt;=2,"1-2",IF(R137&lt;=5,"3-5",IF(R137&lt;=10,"6-10","11+")))</f>
        <v/>
      </c>
    </row>
    <row r="138">
      <c r="A138" s="39" t="n">
        <v>46150.75857638889</v>
      </c>
      <c r="B138" s="25">
        <f>TEXT(A138,"YYYY-MM")</f>
        <v/>
      </c>
      <c r="C138" s="25">
        <f>TEXT(A138,"MMM-YYYY")</f>
        <v/>
      </c>
      <c r="D138" s="40">
        <f>INT(A138)-WEEKDAY(A138,2)+1</f>
        <v/>
      </c>
      <c r="E138" s="25" t="inlineStr">
        <is>
          <t>hsindwani</t>
        </is>
      </c>
      <c r="F138" s="25" t="n">
        <v>96934</v>
      </c>
      <c r="G138" s="25" t="n">
        <v>4</v>
      </c>
      <c r="H138" s="25" t="n">
        <v>24</v>
      </c>
      <c r="I138" s="25" t="inlineStr">
        <is>
          <t>12 minute(s) and 49 second(s)</t>
        </is>
      </c>
      <c r="J138" s="25">
        <f>IFERROR(VALUE(TRIM(LEFT(I138,FIND("minute",I138)-1)))*60,0)+IFERROR(VALUE(SUBSTITUTE(MID(I138,IFERROR(FIND("and",I138)+3,1),20),"second(s)","")),0)</f>
        <v/>
      </c>
      <c r="K138" s="41">
        <f>J138/60</f>
        <v/>
      </c>
      <c r="L138" s="41">
        <f>IFERROR(J138/H138,"")</f>
        <v/>
      </c>
      <c r="M138" s="25" t="inlineStr">
        <is>
          <t>2.5.12</t>
        </is>
      </c>
      <c r="N138" s="25">
        <f>IF(J138&gt;300,1,0)</f>
        <v/>
      </c>
      <c r="O138" s="25">
        <f>IF(J138&gt;600,1,0)</f>
        <v/>
      </c>
      <c r="P138" s="25">
        <f>IF(H138&gt;0,J138,"")</f>
        <v/>
      </c>
      <c r="Q138" s="25">
        <f>TEXT(A138,"YYYY-MM-DD HH")</f>
        <v/>
      </c>
      <c r="R138" s="25">
        <f>COUNTIF($Q$2:$Q$5295,Q138)</f>
        <v/>
      </c>
      <c r="S138" s="25">
        <f>IF(R138&lt;=2,"1-2",IF(R138&lt;=5,"3-5",IF(R138&lt;=10,"6-10","11+")))</f>
        <v/>
      </c>
    </row>
    <row r="139">
      <c r="A139" s="39" t="n">
        <v>46150.77387731482</v>
      </c>
      <c r="B139" s="25">
        <f>TEXT(A139,"YYYY-MM")</f>
        <v/>
      </c>
      <c r="C139" s="25">
        <f>TEXT(A139,"MMM-YYYY")</f>
        <v/>
      </c>
      <c r="D139" s="40">
        <f>INT(A139)-WEEKDAY(A139,2)+1</f>
        <v/>
      </c>
      <c r="E139" s="25" t="inlineStr">
        <is>
          <t>vraina</t>
        </is>
      </c>
      <c r="F139" s="25" t="n">
        <v>106756</v>
      </c>
      <c r="G139" s="25" t="n">
        <v>5</v>
      </c>
      <c r="H139" s="25" t="n">
        <v>31</v>
      </c>
      <c r="I139" s="25" t="inlineStr">
        <is>
          <t>5 minute(s) and 41 second(s)</t>
        </is>
      </c>
      <c r="J139" s="25">
        <f>IFERROR(VALUE(TRIM(LEFT(I139,FIND("minute",I139)-1)))*60,0)+IFERROR(VALUE(SUBSTITUTE(MID(I139,IFERROR(FIND("and",I139)+3,1),20),"second(s)","")),0)</f>
        <v/>
      </c>
      <c r="K139" s="41">
        <f>J139/60</f>
        <v/>
      </c>
      <c r="L139" s="41">
        <f>IFERROR(J139/H139,"")</f>
        <v/>
      </c>
      <c r="M139" s="25" t="inlineStr">
        <is>
          <t>2.5.12</t>
        </is>
      </c>
      <c r="N139" s="25">
        <f>IF(J139&gt;300,1,0)</f>
        <v/>
      </c>
      <c r="O139" s="25">
        <f>IF(J139&gt;600,1,0)</f>
        <v/>
      </c>
      <c r="P139" s="25">
        <f>IF(H139&gt;0,J139,"")</f>
        <v/>
      </c>
      <c r="Q139" s="25">
        <f>TEXT(A139,"YYYY-MM-DD HH")</f>
        <v/>
      </c>
      <c r="R139" s="25">
        <f>COUNTIF($Q$2:$Q$5295,Q139)</f>
        <v/>
      </c>
      <c r="S139" s="25">
        <f>IF(R139&lt;=2,"1-2",IF(R139&lt;=5,"3-5",IF(R139&lt;=10,"6-10","11+")))</f>
        <v/>
      </c>
    </row>
    <row r="140">
      <c r="A140" s="39" t="n">
        <v>46150.80305555555</v>
      </c>
      <c r="B140" s="25">
        <f>TEXT(A140,"YYYY-MM")</f>
        <v/>
      </c>
      <c r="C140" s="25">
        <f>TEXT(A140,"MMM-YYYY")</f>
        <v/>
      </c>
      <c r="D140" s="40">
        <f>INT(A140)-WEEKDAY(A140,2)+1</f>
        <v/>
      </c>
      <c r="E140" s="25" t="inlineStr">
        <is>
          <t>ssaha</t>
        </is>
      </c>
      <c r="F140" s="25" t="n">
        <v>82335</v>
      </c>
      <c r="G140" s="25" t="n">
        <v>5</v>
      </c>
      <c r="H140" s="25" t="n">
        <v>31</v>
      </c>
      <c r="I140" s="25" t="inlineStr">
        <is>
          <t>8 minute(s) and 48 second(s)</t>
        </is>
      </c>
      <c r="J140" s="25">
        <f>IFERROR(VALUE(TRIM(LEFT(I140,FIND("minute",I140)-1)))*60,0)+IFERROR(VALUE(SUBSTITUTE(MID(I140,IFERROR(FIND("and",I140)+3,1),20),"second(s)","")),0)</f>
        <v/>
      </c>
      <c r="K140" s="41">
        <f>J140/60</f>
        <v/>
      </c>
      <c r="L140" s="41">
        <f>IFERROR(J140/H140,"")</f>
        <v/>
      </c>
      <c r="M140" s="25" t="inlineStr">
        <is>
          <t>2.5.12</t>
        </is>
      </c>
      <c r="N140" s="25">
        <f>IF(J140&gt;300,1,0)</f>
        <v/>
      </c>
      <c r="O140" s="25">
        <f>IF(J140&gt;600,1,0)</f>
        <v/>
      </c>
      <c r="P140" s="25">
        <f>IF(H140&gt;0,J140,"")</f>
        <v/>
      </c>
      <c r="Q140" s="25">
        <f>TEXT(A140,"YYYY-MM-DD HH")</f>
        <v/>
      </c>
      <c r="R140" s="25">
        <f>COUNTIF($Q$2:$Q$5295,Q140)</f>
        <v/>
      </c>
      <c r="S140" s="25">
        <f>IF(R140&lt;=2,"1-2",IF(R140&lt;=5,"3-5",IF(R140&lt;=10,"6-10","11+")))</f>
        <v/>
      </c>
    </row>
    <row r="141">
      <c r="A141" s="39" t="n">
        <v>46151.05733796296</v>
      </c>
      <c r="B141" s="25">
        <f>TEXT(A141,"YYYY-MM")</f>
        <v/>
      </c>
      <c r="C141" s="25">
        <f>TEXT(A141,"MMM-YYYY")</f>
        <v/>
      </c>
      <c r="D141" s="40">
        <f>INT(A141)-WEEKDAY(A141,2)+1</f>
        <v/>
      </c>
      <c r="E141" s="25" t="inlineStr">
        <is>
          <t>csaha</t>
        </is>
      </c>
      <c r="F141" s="25" t="n">
        <v>117646</v>
      </c>
      <c r="G141" s="25" t="n">
        <v>3</v>
      </c>
      <c r="H141" s="25" t="n">
        <v>11</v>
      </c>
      <c r="I141" s="25" t="inlineStr">
        <is>
          <t>2 minute(s) and 35 second(s)</t>
        </is>
      </c>
      <c r="J141" s="25">
        <f>IFERROR(VALUE(TRIM(LEFT(I141,FIND("minute",I141)-1)))*60,0)+IFERROR(VALUE(SUBSTITUTE(MID(I141,IFERROR(FIND("and",I141)+3,1),20),"second(s)","")),0)</f>
        <v/>
      </c>
      <c r="K141" s="41">
        <f>J141/60</f>
        <v/>
      </c>
      <c r="L141" s="41">
        <f>IFERROR(J141/H141,"")</f>
        <v/>
      </c>
      <c r="M141" s="25" t="inlineStr">
        <is>
          <t>2.5.12</t>
        </is>
      </c>
      <c r="N141" s="25">
        <f>IF(J141&gt;300,1,0)</f>
        <v/>
      </c>
      <c r="O141" s="25">
        <f>IF(J141&gt;600,1,0)</f>
        <v/>
      </c>
      <c r="P141" s="25">
        <f>IF(H141&gt;0,J141,"")</f>
        <v/>
      </c>
      <c r="Q141" s="25">
        <f>TEXT(A141,"YYYY-MM-DD HH")</f>
        <v/>
      </c>
      <c r="R141" s="25">
        <f>COUNTIF($Q$2:$Q$5295,Q141)</f>
        <v/>
      </c>
      <c r="S141" s="25">
        <f>IF(R141&lt;=2,"1-2",IF(R141&lt;=5,"3-5",IF(R141&lt;=10,"6-10","11+")))</f>
        <v/>
      </c>
    </row>
    <row r="142">
      <c r="A142" s="39" t="n">
        <v>46151.52056712963</v>
      </c>
      <c r="B142" s="25">
        <f>TEXT(A142,"YYYY-MM")</f>
        <v/>
      </c>
      <c r="C142" s="25">
        <f>TEXT(A142,"MMM-YYYY")</f>
        <v/>
      </c>
      <c r="D142" s="40">
        <f>INT(A142)-WEEKDAY(A142,2)+1</f>
        <v/>
      </c>
      <c r="E142" s="25" t="inlineStr">
        <is>
          <t>rts</t>
        </is>
      </c>
      <c r="F142" s="25" t="n">
        <v>116431</v>
      </c>
      <c r="G142" s="25" t="n">
        <v>2</v>
      </c>
      <c r="H142" s="25" t="n">
        <v>10</v>
      </c>
      <c r="I142" s="25" t="inlineStr">
        <is>
          <t>5 minute(s) and 0 second(s)</t>
        </is>
      </c>
      <c r="J142" s="25">
        <f>IFERROR(VALUE(TRIM(LEFT(I142,FIND("minute",I142)-1)))*60,0)+IFERROR(VALUE(SUBSTITUTE(MID(I142,IFERROR(FIND("and",I142)+3,1),20),"second(s)","")),0)</f>
        <v/>
      </c>
      <c r="K142" s="41">
        <f>J142/60</f>
        <v/>
      </c>
      <c r="L142" s="41">
        <f>IFERROR(J142/H142,"")</f>
        <v/>
      </c>
      <c r="M142" s="25" t="inlineStr">
        <is>
          <t>2.5.12</t>
        </is>
      </c>
      <c r="N142" s="25">
        <f>IF(J142&gt;300,1,0)</f>
        <v/>
      </c>
      <c r="O142" s="25">
        <f>IF(J142&gt;600,1,0)</f>
        <v/>
      </c>
      <c r="P142" s="25">
        <f>IF(H142&gt;0,J142,"")</f>
        <v/>
      </c>
      <c r="Q142" s="25">
        <f>TEXT(A142,"YYYY-MM-DD HH")</f>
        <v/>
      </c>
      <c r="R142" s="25">
        <f>COUNTIF($Q$2:$Q$5295,Q142)</f>
        <v/>
      </c>
      <c r="S142" s="25">
        <f>IF(R142&lt;=2,"1-2",IF(R142&lt;=5,"3-5",IF(R142&lt;=10,"6-10","11+")))</f>
        <v/>
      </c>
    </row>
    <row r="143">
      <c r="A143" s="39" t="n">
        <v>46151.57282407407</v>
      </c>
      <c r="B143" s="25">
        <f>TEXT(A143,"YYYY-MM")</f>
        <v/>
      </c>
      <c r="C143" s="25">
        <f>TEXT(A143,"MMM-YYYY")</f>
        <v/>
      </c>
      <c r="D143" s="40">
        <f>INT(A143)-WEEKDAY(A143,2)+1</f>
        <v/>
      </c>
      <c r="E143" s="25" t="inlineStr">
        <is>
          <t>rts</t>
        </is>
      </c>
      <c r="F143" s="25" t="n">
        <v>116431</v>
      </c>
      <c r="G143" s="25" t="n">
        <v>1</v>
      </c>
      <c r="H143" s="25" t="n">
        <v>5</v>
      </c>
      <c r="I143" s="25" t="inlineStr">
        <is>
          <t>1 minute(s) and 9 second(s)</t>
        </is>
      </c>
      <c r="J143" s="25">
        <f>IFERROR(VALUE(TRIM(LEFT(I143,FIND("minute",I143)-1)))*60,0)+IFERROR(VALUE(SUBSTITUTE(MID(I143,IFERROR(FIND("and",I143)+3,1),20),"second(s)","")),0)</f>
        <v/>
      </c>
      <c r="K143" s="41">
        <f>J143/60</f>
        <v/>
      </c>
      <c r="L143" s="41">
        <f>IFERROR(J143/H143,"")</f>
        <v/>
      </c>
      <c r="M143" s="25" t="inlineStr">
        <is>
          <t>2.5.12</t>
        </is>
      </c>
      <c r="N143" s="25">
        <f>IF(J143&gt;300,1,0)</f>
        <v/>
      </c>
      <c r="O143" s="25">
        <f>IF(J143&gt;600,1,0)</f>
        <v/>
      </c>
      <c r="P143" s="25">
        <f>IF(H143&gt;0,J143,"")</f>
        <v/>
      </c>
      <c r="Q143" s="25">
        <f>TEXT(A143,"YYYY-MM-DD HH")</f>
        <v/>
      </c>
      <c r="R143" s="25">
        <f>COUNTIF($Q$2:$Q$5295,Q143)</f>
        <v/>
      </c>
      <c r="S143" s="25">
        <f>IF(R143&lt;=2,"1-2",IF(R143&lt;=5,"3-5",IF(R143&lt;=10,"6-10","11+")))</f>
        <v/>
      </c>
    </row>
    <row r="144">
      <c r="A144" s="39" t="n">
        <v>46151.58347222222</v>
      </c>
      <c r="B144" s="25">
        <f>TEXT(A144,"YYYY-MM")</f>
        <v/>
      </c>
      <c r="C144" s="25">
        <f>TEXT(A144,"MMM-YYYY")</f>
        <v/>
      </c>
      <c r="D144" s="40">
        <f>INT(A144)-WEEKDAY(A144,2)+1</f>
        <v/>
      </c>
      <c r="E144" s="25" t="inlineStr">
        <is>
          <t>rts</t>
        </is>
      </c>
      <c r="F144" s="25" t="n">
        <v>116431</v>
      </c>
      <c r="G144" s="25" t="n">
        <v>1</v>
      </c>
      <c r="H144" s="25" t="n">
        <v>5</v>
      </c>
      <c r="I144" s="25" t="inlineStr">
        <is>
          <t>1 minute(s) and 6 second(s)</t>
        </is>
      </c>
      <c r="J144" s="25">
        <f>IFERROR(VALUE(TRIM(LEFT(I144,FIND("minute",I144)-1)))*60,0)+IFERROR(VALUE(SUBSTITUTE(MID(I144,IFERROR(FIND("and",I144)+3,1),20),"second(s)","")),0)</f>
        <v/>
      </c>
      <c r="K144" s="41">
        <f>J144/60</f>
        <v/>
      </c>
      <c r="L144" s="41">
        <f>IFERROR(J144/H144,"")</f>
        <v/>
      </c>
      <c r="M144" s="25" t="inlineStr">
        <is>
          <t>2.5.12</t>
        </is>
      </c>
      <c r="N144" s="25">
        <f>IF(J144&gt;300,1,0)</f>
        <v/>
      </c>
      <c r="O144" s="25">
        <f>IF(J144&gt;600,1,0)</f>
        <v/>
      </c>
      <c r="P144" s="25">
        <f>IF(H144&gt;0,J144,"")</f>
        <v/>
      </c>
      <c r="Q144" s="25">
        <f>TEXT(A144,"YYYY-MM-DD HH")</f>
        <v/>
      </c>
      <c r="R144" s="25">
        <f>COUNTIF($Q$2:$Q$5295,Q144)</f>
        <v/>
      </c>
      <c r="S144" s="25">
        <f>IF(R144&lt;=2,"1-2",IF(R144&lt;=5,"3-5",IF(R144&lt;=10,"6-10","11+")))</f>
        <v/>
      </c>
    </row>
    <row r="145">
      <c r="A145" s="39" t="n">
        <v>46151.61081018519</v>
      </c>
      <c r="B145" s="25">
        <f>TEXT(A145,"YYYY-MM")</f>
        <v/>
      </c>
      <c r="C145" s="25">
        <f>TEXT(A145,"MMM-YYYY")</f>
        <v/>
      </c>
      <c r="D145" s="40">
        <f>INT(A145)-WEEKDAY(A145,2)+1</f>
        <v/>
      </c>
      <c r="E145" s="25" t="inlineStr">
        <is>
          <t>rts</t>
        </is>
      </c>
      <c r="F145" s="25" t="n">
        <v>94395</v>
      </c>
      <c r="G145" s="25" t="n">
        <v>3</v>
      </c>
      <c r="H145" s="25" t="n">
        <v>15</v>
      </c>
      <c r="I145" s="25" t="inlineStr">
        <is>
          <t>3 minute(s) and 43 second(s)</t>
        </is>
      </c>
      <c r="J145" s="25">
        <f>IFERROR(VALUE(TRIM(LEFT(I145,FIND("minute",I145)-1)))*60,0)+IFERROR(VALUE(SUBSTITUTE(MID(I145,IFERROR(FIND("and",I145)+3,1),20),"second(s)","")),0)</f>
        <v/>
      </c>
      <c r="K145" s="41">
        <f>J145/60</f>
        <v/>
      </c>
      <c r="L145" s="41">
        <f>IFERROR(J145/H145,"")</f>
        <v/>
      </c>
      <c r="M145" s="25" t="inlineStr">
        <is>
          <t>2.5.12</t>
        </is>
      </c>
      <c r="N145" s="25">
        <f>IF(J145&gt;300,1,0)</f>
        <v/>
      </c>
      <c r="O145" s="25">
        <f>IF(J145&gt;600,1,0)</f>
        <v/>
      </c>
      <c r="P145" s="25">
        <f>IF(H145&gt;0,J145,"")</f>
        <v/>
      </c>
      <c r="Q145" s="25">
        <f>TEXT(A145,"YYYY-MM-DD HH")</f>
        <v/>
      </c>
      <c r="R145" s="25">
        <f>COUNTIF($Q$2:$Q$5295,Q145)</f>
        <v/>
      </c>
      <c r="S145" s="25">
        <f>IF(R145&lt;=2,"1-2",IF(R145&lt;=5,"3-5",IF(R145&lt;=10,"6-10","11+")))</f>
        <v/>
      </c>
    </row>
    <row r="146">
      <c r="A146" s="39" t="n">
        <v>46152.69318287037</v>
      </c>
      <c r="B146" s="25">
        <f>TEXT(A146,"YYYY-MM")</f>
        <v/>
      </c>
      <c r="C146" s="25">
        <f>TEXT(A146,"MMM-YYYY")</f>
        <v/>
      </c>
      <c r="D146" s="40">
        <f>INT(A146)-WEEKDAY(A146,2)+1</f>
        <v/>
      </c>
      <c r="E146" s="25" t="inlineStr">
        <is>
          <t>sswati</t>
        </is>
      </c>
      <c r="F146" s="25" t="n">
        <v>116630</v>
      </c>
      <c r="G146" s="25" t="n">
        <v>1</v>
      </c>
      <c r="H146" s="25" t="n">
        <v>5</v>
      </c>
      <c r="I146" s="25" t="inlineStr">
        <is>
          <t>53 second(s)</t>
        </is>
      </c>
      <c r="J146" s="25">
        <f>IFERROR(VALUE(TRIM(LEFT(I146,FIND("minute",I146)-1)))*60,0)+IFERROR(VALUE(SUBSTITUTE(MID(I146,IFERROR(FIND("and",I146)+3,1),20),"second(s)","")),0)</f>
        <v/>
      </c>
      <c r="K146" s="41">
        <f>J146/60</f>
        <v/>
      </c>
      <c r="L146" s="41">
        <f>IFERROR(J146/H146,"")</f>
        <v/>
      </c>
      <c r="M146" s="25" t="inlineStr">
        <is>
          <t>2.5.12</t>
        </is>
      </c>
      <c r="N146" s="25">
        <f>IF(J146&gt;300,1,0)</f>
        <v/>
      </c>
      <c r="O146" s="25">
        <f>IF(J146&gt;600,1,0)</f>
        <v/>
      </c>
      <c r="P146" s="25">
        <f>IF(H146&gt;0,J146,"")</f>
        <v/>
      </c>
      <c r="Q146" s="25">
        <f>TEXT(A146,"YYYY-MM-DD HH")</f>
        <v/>
      </c>
      <c r="R146" s="25">
        <f>COUNTIF($Q$2:$Q$5295,Q146)</f>
        <v/>
      </c>
      <c r="S146" s="25">
        <f>IF(R146&lt;=2,"1-2",IF(R146&lt;=5,"3-5",IF(R146&lt;=10,"6-10","11+")))</f>
        <v/>
      </c>
    </row>
    <row r="147">
      <c r="A147" s="39" t="n">
        <v>46152.71532407407</v>
      </c>
      <c r="B147" s="25">
        <f>TEXT(A147,"YYYY-MM")</f>
        <v/>
      </c>
      <c r="C147" s="25">
        <f>TEXT(A147,"MMM-YYYY")</f>
        <v/>
      </c>
      <c r="D147" s="40">
        <f>INT(A147)-WEEKDAY(A147,2)+1</f>
        <v/>
      </c>
      <c r="E147" s="25" t="inlineStr">
        <is>
          <t>sswati</t>
        </is>
      </c>
      <c r="F147" s="25" t="n">
        <v>116630</v>
      </c>
      <c r="G147" s="25" t="n">
        <v>2</v>
      </c>
      <c r="H147" s="25" t="n">
        <v>6</v>
      </c>
      <c r="I147" s="25" t="inlineStr">
        <is>
          <t>1 minute(s) and 37 second(s)</t>
        </is>
      </c>
      <c r="J147" s="25">
        <f>IFERROR(VALUE(TRIM(LEFT(I147,FIND("minute",I147)-1)))*60,0)+IFERROR(VALUE(SUBSTITUTE(MID(I147,IFERROR(FIND("and",I147)+3,1),20),"second(s)","")),0)</f>
        <v/>
      </c>
      <c r="K147" s="41">
        <f>J147/60</f>
        <v/>
      </c>
      <c r="L147" s="41">
        <f>IFERROR(J147/H147,"")</f>
        <v/>
      </c>
      <c r="M147" s="25" t="inlineStr">
        <is>
          <t>2.5.12</t>
        </is>
      </c>
      <c r="N147" s="25">
        <f>IF(J147&gt;300,1,0)</f>
        <v/>
      </c>
      <c r="O147" s="25">
        <f>IF(J147&gt;600,1,0)</f>
        <v/>
      </c>
      <c r="P147" s="25">
        <f>IF(H147&gt;0,J147,"")</f>
        <v/>
      </c>
      <c r="Q147" s="25">
        <f>TEXT(A147,"YYYY-MM-DD HH")</f>
        <v/>
      </c>
      <c r="R147" s="25">
        <f>COUNTIF($Q$2:$Q$5295,Q147)</f>
        <v/>
      </c>
      <c r="S147" s="25">
        <f>IF(R147&lt;=2,"1-2",IF(R147&lt;=5,"3-5",IF(R147&lt;=10,"6-10","11+")))</f>
        <v/>
      </c>
    </row>
    <row r="148">
      <c r="A148" s="39" t="n">
        <v>46152.73943287037</v>
      </c>
      <c r="B148" s="25">
        <f>TEXT(A148,"YYYY-MM")</f>
        <v/>
      </c>
      <c r="C148" s="25">
        <f>TEXT(A148,"MMM-YYYY")</f>
        <v/>
      </c>
      <c r="D148" s="40">
        <f>INT(A148)-WEEKDAY(A148,2)+1</f>
        <v/>
      </c>
      <c r="E148" s="25" t="inlineStr">
        <is>
          <t>sswati</t>
        </is>
      </c>
      <c r="F148" s="25" t="n">
        <v>108676</v>
      </c>
      <c r="G148" s="25" t="n">
        <v>3</v>
      </c>
      <c r="H148" s="25" t="n">
        <v>15</v>
      </c>
      <c r="I148" s="25" t="inlineStr">
        <is>
          <t>8 minute(s) and 1 second(s)</t>
        </is>
      </c>
      <c r="J148" s="25">
        <f>IFERROR(VALUE(TRIM(LEFT(I148,FIND("minute",I148)-1)))*60,0)+IFERROR(VALUE(SUBSTITUTE(MID(I148,IFERROR(FIND("and",I148)+3,1),20),"second(s)","")),0)</f>
        <v/>
      </c>
      <c r="K148" s="41">
        <f>J148/60</f>
        <v/>
      </c>
      <c r="L148" s="41">
        <f>IFERROR(J148/H148,"")</f>
        <v/>
      </c>
      <c r="M148" s="25" t="inlineStr">
        <is>
          <t>2.5.12</t>
        </is>
      </c>
      <c r="N148" s="25">
        <f>IF(J148&gt;300,1,0)</f>
        <v/>
      </c>
      <c r="O148" s="25">
        <f>IF(J148&gt;600,1,0)</f>
        <v/>
      </c>
      <c r="P148" s="25">
        <f>IF(H148&gt;0,J148,"")</f>
        <v/>
      </c>
      <c r="Q148" s="25">
        <f>TEXT(A148,"YYYY-MM-DD HH")</f>
        <v/>
      </c>
      <c r="R148" s="25">
        <f>COUNTIF($Q$2:$Q$5295,Q148)</f>
        <v/>
      </c>
      <c r="S148" s="25">
        <f>IF(R148&lt;=2,"1-2",IF(R148&lt;=5,"3-5",IF(R148&lt;=10,"6-10","11+")))</f>
        <v/>
      </c>
    </row>
    <row r="149">
      <c r="A149" s="39" t="n">
        <v>46152.74701388889</v>
      </c>
      <c r="B149" s="25">
        <f>TEXT(A149,"YYYY-MM")</f>
        <v/>
      </c>
      <c r="C149" s="25">
        <f>TEXT(A149,"MMM-YYYY")</f>
        <v/>
      </c>
      <c r="D149" s="40">
        <f>INT(A149)-WEEKDAY(A149,2)+1</f>
        <v/>
      </c>
      <c r="E149" s="25" t="inlineStr">
        <is>
          <t>sswati</t>
        </is>
      </c>
      <c r="F149" s="25" t="n">
        <v>108676</v>
      </c>
      <c r="G149" s="25" t="n">
        <v>3</v>
      </c>
      <c r="H149" s="25" t="n">
        <v>15</v>
      </c>
      <c r="I149" s="25" t="inlineStr">
        <is>
          <t>7 minute(s) and 17 second(s)</t>
        </is>
      </c>
      <c r="J149" s="25">
        <f>IFERROR(VALUE(TRIM(LEFT(I149,FIND("minute",I149)-1)))*60,0)+IFERROR(VALUE(SUBSTITUTE(MID(I149,IFERROR(FIND("and",I149)+3,1),20),"second(s)","")),0)</f>
        <v/>
      </c>
      <c r="K149" s="41">
        <f>J149/60</f>
        <v/>
      </c>
      <c r="L149" s="41">
        <f>IFERROR(J149/H149,"")</f>
        <v/>
      </c>
      <c r="M149" s="25" t="inlineStr">
        <is>
          <t>2.5.12</t>
        </is>
      </c>
      <c r="N149" s="25">
        <f>IF(J149&gt;300,1,0)</f>
        <v/>
      </c>
      <c r="O149" s="25">
        <f>IF(J149&gt;600,1,0)</f>
        <v/>
      </c>
      <c r="P149" s="25">
        <f>IF(H149&gt;0,J149,"")</f>
        <v/>
      </c>
      <c r="Q149" s="25">
        <f>TEXT(A149,"YYYY-MM-DD HH")</f>
        <v/>
      </c>
      <c r="R149" s="25">
        <f>COUNTIF($Q$2:$Q$5295,Q149)</f>
        <v/>
      </c>
      <c r="S149" s="25">
        <f>IF(R149&lt;=2,"1-2",IF(R149&lt;=5,"3-5",IF(R149&lt;=10,"6-10","11+")))</f>
        <v/>
      </c>
    </row>
    <row r="150">
      <c r="A150" s="39" t="n">
        <v>46153.03826388889</v>
      </c>
      <c r="B150" s="25">
        <f>TEXT(A150,"YYYY-MM")</f>
        <v/>
      </c>
      <c r="C150" s="25">
        <f>TEXT(A150,"MMM-YYYY")</f>
        <v/>
      </c>
      <c r="D150" s="40">
        <f>INT(A150)-WEEKDAY(A150,2)+1</f>
        <v/>
      </c>
      <c r="E150" s="25" t="inlineStr">
        <is>
          <t>akumari</t>
        </is>
      </c>
      <c r="F150" s="25" t="n">
        <v>113029</v>
      </c>
      <c r="G150" s="25" t="n">
        <v>3</v>
      </c>
      <c r="H150" s="25" t="n">
        <v>15</v>
      </c>
      <c r="I150" s="25" t="inlineStr">
        <is>
          <t>2 minute(s) and 45 second(s)</t>
        </is>
      </c>
      <c r="J150" s="25">
        <f>IFERROR(VALUE(TRIM(LEFT(I150,FIND("minute",I150)-1)))*60,0)+IFERROR(VALUE(SUBSTITUTE(MID(I150,IFERROR(FIND("and",I150)+3,1),20),"second(s)","")),0)</f>
        <v/>
      </c>
      <c r="K150" s="41">
        <f>J150/60</f>
        <v/>
      </c>
      <c r="L150" s="41">
        <f>IFERROR(J150/H150,"")</f>
        <v/>
      </c>
      <c r="M150" s="25" t="inlineStr">
        <is>
          <t>2.5.12</t>
        </is>
      </c>
      <c r="N150" s="25">
        <f>IF(J150&gt;300,1,0)</f>
        <v/>
      </c>
      <c r="O150" s="25">
        <f>IF(J150&gt;600,1,0)</f>
        <v/>
      </c>
      <c r="P150" s="25">
        <f>IF(H150&gt;0,J150,"")</f>
        <v/>
      </c>
      <c r="Q150" s="25">
        <f>TEXT(A150,"YYYY-MM-DD HH")</f>
        <v/>
      </c>
      <c r="R150" s="25">
        <f>COUNTIF($Q$2:$Q$5295,Q150)</f>
        <v/>
      </c>
      <c r="S150" s="25">
        <f>IF(R150&lt;=2,"1-2",IF(R150&lt;=5,"3-5",IF(R150&lt;=10,"6-10","11+")))</f>
        <v/>
      </c>
    </row>
    <row r="151">
      <c r="A151" s="39" t="n">
        <v>46153.04743055555</v>
      </c>
      <c r="B151" s="25">
        <f>TEXT(A151,"YYYY-MM")</f>
        <v/>
      </c>
      <c r="C151" s="25">
        <f>TEXT(A151,"MMM-YYYY")</f>
        <v/>
      </c>
      <c r="D151" s="40">
        <f>INT(A151)-WEEKDAY(A151,2)+1</f>
        <v/>
      </c>
      <c r="E151" s="25" t="inlineStr">
        <is>
          <t>asahoo</t>
        </is>
      </c>
      <c r="F151" s="25" t="n">
        <v>98689</v>
      </c>
      <c r="G151" s="25" t="n">
        <v>1</v>
      </c>
      <c r="H151" s="25" t="n">
        <v>3</v>
      </c>
      <c r="I151" s="25" t="inlineStr">
        <is>
          <t>29 second(s)</t>
        </is>
      </c>
      <c r="J151" s="25">
        <f>IFERROR(VALUE(TRIM(LEFT(I151,FIND("minute",I151)-1)))*60,0)+IFERROR(VALUE(SUBSTITUTE(MID(I151,IFERROR(FIND("and",I151)+3,1),20),"second(s)","")),0)</f>
        <v/>
      </c>
      <c r="K151" s="41">
        <f>J151/60</f>
        <v/>
      </c>
      <c r="L151" s="41">
        <f>IFERROR(J151/H151,"")</f>
        <v/>
      </c>
      <c r="M151" s="25" t="inlineStr">
        <is>
          <t>2.5.12</t>
        </is>
      </c>
      <c r="N151" s="25">
        <f>IF(J151&gt;300,1,0)</f>
        <v/>
      </c>
      <c r="O151" s="25">
        <f>IF(J151&gt;600,1,0)</f>
        <v/>
      </c>
      <c r="P151" s="25">
        <f>IF(H151&gt;0,J151,"")</f>
        <v/>
      </c>
      <c r="Q151" s="25">
        <f>TEXT(A151,"YYYY-MM-DD HH")</f>
        <v/>
      </c>
      <c r="R151" s="25">
        <f>COUNTIF($Q$2:$Q$5295,Q151)</f>
        <v/>
      </c>
      <c r="S151" s="25">
        <f>IF(R151&lt;=2,"1-2",IF(R151&lt;=5,"3-5",IF(R151&lt;=10,"6-10","11+")))</f>
        <v/>
      </c>
    </row>
    <row r="152">
      <c r="A152" s="39" t="n">
        <v>46153.05221064815</v>
      </c>
      <c r="B152" s="25">
        <f>TEXT(A152,"YYYY-MM")</f>
        <v/>
      </c>
      <c r="C152" s="25">
        <f>TEXT(A152,"MMM-YYYY")</f>
        <v/>
      </c>
      <c r="D152" s="40">
        <f>INT(A152)-WEEKDAY(A152,2)+1</f>
        <v/>
      </c>
      <c r="E152" s="25" t="inlineStr">
        <is>
          <t>shasikha</t>
        </is>
      </c>
      <c r="F152" s="25" t="n">
        <v>115752</v>
      </c>
      <c r="G152" s="25" t="n">
        <v>2</v>
      </c>
      <c r="H152" s="25" t="n">
        <v>12</v>
      </c>
      <c r="I152" s="25" t="inlineStr">
        <is>
          <t>2 minute(s) and 23 second(s)</t>
        </is>
      </c>
      <c r="J152" s="25">
        <f>IFERROR(VALUE(TRIM(LEFT(I152,FIND("minute",I152)-1)))*60,0)+IFERROR(VALUE(SUBSTITUTE(MID(I152,IFERROR(FIND("and",I152)+3,1),20),"second(s)","")),0)</f>
        <v/>
      </c>
      <c r="K152" s="41">
        <f>J152/60</f>
        <v/>
      </c>
      <c r="L152" s="41">
        <f>IFERROR(J152/H152,"")</f>
        <v/>
      </c>
      <c r="M152" s="25" t="inlineStr">
        <is>
          <t>2.5.12</t>
        </is>
      </c>
      <c r="N152" s="25">
        <f>IF(J152&gt;300,1,0)</f>
        <v/>
      </c>
      <c r="O152" s="25">
        <f>IF(J152&gt;600,1,0)</f>
        <v/>
      </c>
      <c r="P152" s="25">
        <f>IF(H152&gt;0,J152,"")</f>
        <v/>
      </c>
      <c r="Q152" s="25">
        <f>TEXT(A152,"YYYY-MM-DD HH")</f>
        <v/>
      </c>
      <c r="R152" s="25">
        <f>COUNTIF($Q$2:$Q$5295,Q152)</f>
        <v/>
      </c>
      <c r="S152" s="25">
        <f>IF(R152&lt;=2,"1-2",IF(R152&lt;=5,"3-5",IF(R152&lt;=10,"6-10","11+")))</f>
        <v/>
      </c>
    </row>
    <row r="153">
      <c r="A153" s="39" t="n">
        <v>46153.05563657408</v>
      </c>
      <c r="B153" s="25">
        <f>TEXT(A153,"YYYY-MM")</f>
        <v/>
      </c>
      <c r="C153" s="25">
        <f>TEXT(A153,"MMM-YYYY")</f>
        <v/>
      </c>
      <c r="D153" s="40">
        <f>INT(A153)-WEEKDAY(A153,2)+1</f>
        <v/>
      </c>
      <c r="E153" s="25" t="inlineStr">
        <is>
          <t>nlnu</t>
        </is>
      </c>
      <c r="F153" s="25" t="n">
        <v>95149</v>
      </c>
      <c r="G153" s="25" t="n">
        <v>1</v>
      </c>
      <c r="H153" s="25" t="n">
        <v>5</v>
      </c>
      <c r="I153" s="25" t="inlineStr">
        <is>
          <t>2 minute(s) and 3 second(s)</t>
        </is>
      </c>
      <c r="J153" s="25">
        <f>IFERROR(VALUE(TRIM(LEFT(I153,FIND("minute",I153)-1)))*60,0)+IFERROR(VALUE(SUBSTITUTE(MID(I153,IFERROR(FIND("and",I153)+3,1),20),"second(s)","")),0)</f>
        <v/>
      </c>
      <c r="K153" s="41">
        <f>J153/60</f>
        <v/>
      </c>
      <c r="L153" s="41">
        <f>IFERROR(J153/H153,"")</f>
        <v/>
      </c>
      <c r="M153" s="25" t="inlineStr">
        <is>
          <t>2.5.12</t>
        </is>
      </c>
      <c r="N153" s="25">
        <f>IF(J153&gt;300,1,0)</f>
        <v/>
      </c>
      <c r="O153" s="25">
        <f>IF(J153&gt;600,1,0)</f>
        <v/>
      </c>
      <c r="P153" s="25">
        <f>IF(H153&gt;0,J153,"")</f>
        <v/>
      </c>
      <c r="Q153" s="25">
        <f>TEXT(A153,"YYYY-MM-DD HH")</f>
        <v/>
      </c>
      <c r="R153" s="25">
        <f>COUNTIF($Q$2:$Q$5295,Q153)</f>
        <v/>
      </c>
      <c r="S153" s="25">
        <f>IF(R153&lt;=2,"1-2",IF(R153&lt;=5,"3-5",IF(R153&lt;=10,"6-10","11+")))</f>
        <v/>
      </c>
    </row>
    <row r="154">
      <c r="A154" s="39" t="n">
        <v>46153.06563657407</v>
      </c>
      <c r="B154" s="25">
        <f>TEXT(A154,"YYYY-MM")</f>
        <v/>
      </c>
      <c r="C154" s="25">
        <f>TEXT(A154,"MMM-YYYY")</f>
        <v/>
      </c>
      <c r="D154" s="40">
        <f>INT(A154)-WEEKDAY(A154,2)+1</f>
        <v/>
      </c>
      <c r="E154" s="25" t="inlineStr">
        <is>
          <t>shasikha</t>
        </is>
      </c>
      <c r="F154" s="25" t="n">
        <v>115752</v>
      </c>
      <c r="G154" s="25" t="n">
        <v>1</v>
      </c>
      <c r="H154" s="25" t="n">
        <v>7</v>
      </c>
      <c r="I154" s="25" t="inlineStr">
        <is>
          <t>1 minute(s) and 22 second(s)</t>
        </is>
      </c>
      <c r="J154" s="25">
        <f>IFERROR(VALUE(TRIM(LEFT(I154,FIND("minute",I154)-1)))*60,0)+IFERROR(VALUE(SUBSTITUTE(MID(I154,IFERROR(FIND("and",I154)+3,1),20),"second(s)","")),0)</f>
        <v/>
      </c>
      <c r="K154" s="41">
        <f>J154/60</f>
        <v/>
      </c>
      <c r="L154" s="41">
        <f>IFERROR(J154/H154,"")</f>
        <v/>
      </c>
      <c r="M154" s="25" t="inlineStr">
        <is>
          <t>2.5.12</t>
        </is>
      </c>
      <c r="N154" s="25">
        <f>IF(J154&gt;300,1,0)</f>
        <v/>
      </c>
      <c r="O154" s="25">
        <f>IF(J154&gt;600,1,0)</f>
        <v/>
      </c>
      <c r="P154" s="25">
        <f>IF(H154&gt;0,J154,"")</f>
        <v/>
      </c>
      <c r="Q154" s="25">
        <f>TEXT(A154,"YYYY-MM-DD HH")</f>
        <v/>
      </c>
      <c r="R154" s="25">
        <f>COUNTIF($Q$2:$Q$5295,Q154)</f>
        <v/>
      </c>
      <c r="S154" s="25">
        <f>IF(R154&lt;=2,"1-2",IF(R154&lt;=5,"3-5",IF(R154&lt;=10,"6-10","11+")))</f>
        <v/>
      </c>
    </row>
    <row r="155">
      <c r="A155" s="39" t="n">
        <v>46153.06609953703</v>
      </c>
      <c r="B155" s="25">
        <f>TEXT(A155,"YYYY-MM")</f>
        <v/>
      </c>
      <c r="C155" s="25">
        <f>TEXT(A155,"MMM-YYYY")</f>
        <v/>
      </c>
      <c r="D155" s="40">
        <f>INT(A155)-WEEKDAY(A155,2)+1</f>
        <v/>
      </c>
      <c r="E155" s="25" t="inlineStr">
        <is>
          <t>shassan</t>
        </is>
      </c>
      <c r="F155" s="25" t="n">
        <v>73252</v>
      </c>
      <c r="G155" s="25" t="n">
        <v>4</v>
      </c>
      <c r="H155" s="25" t="n">
        <v>16</v>
      </c>
      <c r="I155" s="25" t="inlineStr">
        <is>
          <t>3 minute(s) and 33 second(s)</t>
        </is>
      </c>
      <c r="J155" s="25">
        <f>IFERROR(VALUE(TRIM(LEFT(I155,FIND("minute",I155)-1)))*60,0)+IFERROR(VALUE(SUBSTITUTE(MID(I155,IFERROR(FIND("and",I155)+3,1),20),"second(s)","")),0)</f>
        <v/>
      </c>
      <c r="K155" s="41">
        <f>J155/60</f>
        <v/>
      </c>
      <c r="L155" s="41">
        <f>IFERROR(J155/H155,"")</f>
        <v/>
      </c>
      <c r="M155" s="25" t="inlineStr">
        <is>
          <t>2.5.12</t>
        </is>
      </c>
      <c r="N155" s="25">
        <f>IF(J155&gt;300,1,0)</f>
        <v/>
      </c>
      <c r="O155" s="25">
        <f>IF(J155&gt;600,1,0)</f>
        <v/>
      </c>
      <c r="P155" s="25">
        <f>IF(H155&gt;0,J155,"")</f>
        <v/>
      </c>
      <c r="Q155" s="25">
        <f>TEXT(A155,"YYYY-MM-DD HH")</f>
        <v/>
      </c>
      <c r="R155" s="25">
        <f>COUNTIF($Q$2:$Q$5295,Q155)</f>
        <v/>
      </c>
      <c r="S155" s="25">
        <f>IF(R155&lt;=2,"1-2",IF(R155&lt;=5,"3-5",IF(R155&lt;=10,"6-10","11+")))</f>
        <v/>
      </c>
    </row>
    <row r="156">
      <c r="A156" s="39" t="n">
        <v>46153.06679398148</v>
      </c>
      <c r="B156" s="25">
        <f>TEXT(A156,"YYYY-MM")</f>
        <v/>
      </c>
      <c r="C156" s="25">
        <f>TEXT(A156,"MMM-YYYY")</f>
        <v/>
      </c>
      <c r="D156" s="40">
        <f>INT(A156)-WEEKDAY(A156,2)+1</f>
        <v/>
      </c>
      <c r="E156" s="25" t="inlineStr">
        <is>
          <t>smukhopadhyay</t>
        </is>
      </c>
      <c r="F156" s="25" t="n">
        <v>108635</v>
      </c>
      <c r="G156" s="25" t="n">
        <v>3</v>
      </c>
      <c r="H156" s="25" t="n">
        <v>17</v>
      </c>
      <c r="I156" s="25" t="inlineStr">
        <is>
          <t>4 minute(s) and 40 second(s)</t>
        </is>
      </c>
      <c r="J156" s="25">
        <f>IFERROR(VALUE(TRIM(LEFT(I156,FIND("minute",I156)-1)))*60,0)+IFERROR(VALUE(SUBSTITUTE(MID(I156,IFERROR(FIND("and",I156)+3,1),20),"second(s)","")),0)</f>
        <v/>
      </c>
      <c r="K156" s="41">
        <f>J156/60</f>
        <v/>
      </c>
      <c r="L156" s="41">
        <f>IFERROR(J156/H156,"")</f>
        <v/>
      </c>
      <c r="M156" s="25" t="inlineStr">
        <is>
          <t>2.5.12</t>
        </is>
      </c>
      <c r="N156" s="25">
        <f>IF(J156&gt;300,1,0)</f>
        <v/>
      </c>
      <c r="O156" s="25">
        <f>IF(J156&gt;600,1,0)</f>
        <v/>
      </c>
      <c r="P156" s="25">
        <f>IF(H156&gt;0,J156,"")</f>
        <v/>
      </c>
      <c r="Q156" s="25">
        <f>TEXT(A156,"YYYY-MM-DD HH")</f>
        <v/>
      </c>
      <c r="R156" s="25">
        <f>COUNTIF($Q$2:$Q$5295,Q156)</f>
        <v/>
      </c>
      <c r="S156" s="25">
        <f>IF(R156&lt;=2,"1-2",IF(R156&lt;=5,"3-5",IF(R156&lt;=10,"6-10","11+")))</f>
        <v/>
      </c>
    </row>
    <row r="157">
      <c r="A157" s="39" t="n">
        <v>46153.06762731481</v>
      </c>
      <c r="B157" s="25">
        <f>TEXT(A157,"YYYY-MM")</f>
        <v/>
      </c>
      <c r="C157" s="25">
        <f>TEXT(A157,"MMM-YYYY")</f>
        <v/>
      </c>
      <c r="D157" s="40">
        <f>INT(A157)-WEEKDAY(A157,2)+1</f>
        <v/>
      </c>
      <c r="E157" s="25" t="inlineStr">
        <is>
          <t>ns</t>
        </is>
      </c>
      <c r="F157" s="25" t="n">
        <v>115407</v>
      </c>
      <c r="G157" s="25" t="n">
        <v>2</v>
      </c>
      <c r="H157" s="25" t="n">
        <v>12</v>
      </c>
      <c r="I157" s="25" t="inlineStr">
        <is>
          <t>4 minute(s) and 33 second(s)</t>
        </is>
      </c>
      <c r="J157" s="25">
        <f>IFERROR(VALUE(TRIM(LEFT(I157,FIND("minute",I157)-1)))*60,0)+IFERROR(VALUE(SUBSTITUTE(MID(I157,IFERROR(FIND("and",I157)+3,1),20),"second(s)","")),0)</f>
        <v/>
      </c>
      <c r="K157" s="41">
        <f>J157/60</f>
        <v/>
      </c>
      <c r="L157" s="41">
        <f>IFERROR(J157/H157,"")</f>
        <v/>
      </c>
      <c r="M157" s="25" t="inlineStr">
        <is>
          <t>2.5.12</t>
        </is>
      </c>
      <c r="N157" s="25">
        <f>IF(J157&gt;300,1,0)</f>
        <v/>
      </c>
      <c r="O157" s="25">
        <f>IF(J157&gt;600,1,0)</f>
        <v/>
      </c>
      <c r="P157" s="25">
        <f>IF(H157&gt;0,J157,"")</f>
        <v/>
      </c>
      <c r="Q157" s="25">
        <f>TEXT(A157,"YYYY-MM-DD HH")</f>
        <v/>
      </c>
      <c r="R157" s="25">
        <f>COUNTIF($Q$2:$Q$5295,Q157)</f>
        <v/>
      </c>
      <c r="S157" s="25">
        <f>IF(R157&lt;=2,"1-2",IF(R157&lt;=5,"3-5",IF(R157&lt;=10,"6-10","11+")))</f>
        <v/>
      </c>
    </row>
    <row r="158">
      <c r="A158" s="39" t="n">
        <v>46153.07098379629</v>
      </c>
      <c r="B158" s="25">
        <f>TEXT(A158,"YYYY-MM")</f>
        <v/>
      </c>
      <c r="C158" s="25">
        <f>TEXT(A158,"MMM-YYYY")</f>
        <v/>
      </c>
      <c r="D158" s="40">
        <f>INT(A158)-WEEKDAY(A158,2)+1</f>
        <v/>
      </c>
      <c r="E158" s="25" t="inlineStr">
        <is>
          <t>akumari</t>
        </is>
      </c>
      <c r="F158" s="25" t="n">
        <v>98021</v>
      </c>
      <c r="G158" s="25" t="n">
        <v>2</v>
      </c>
      <c r="H158" s="25" t="n">
        <v>10</v>
      </c>
      <c r="I158" s="25" t="inlineStr">
        <is>
          <t>1 minute(s) and 22 second(s)</t>
        </is>
      </c>
      <c r="J158" s="25">
        <f>IFERROR(VALUE(TRIM(LEFT(I158,FIND("minute",I158)-1)))*60,0)+IFERROR(VALUE(SUBSTITUTE(MID(I158,IFERROR(FIND("and",I158)+3,1),20),"second(s)","")),0)</f>
        <v/>
      </c>
      <c r="K158" s="41">
        <f>J158/60</f>
        <v/>
      </c>
      <c r="L158" s="41">
        <f>IFERROR(J158/H158,"")</f>
        <v/>
      </c>
      <c r="M158" s="25" t="inlineStr">
        <is>
          <t>2.5.12</t>
        </is>
      </c>
      <c r="N158" s="25">
        <f>IF(J158&gt;300,1,0)</f>
        <v/>
      </c>
      <c r="O158" s="25">
        <f>IF(J158&gt;600,1,0)</f>
        <v/>
      </c>
      <c r="P158" s="25">
        <f>IF(H158&gt;0,J158,"")</f>
        <v/>
      </c>
      <c r="Q158" s="25">
        <f>TEXT(A158,"YYYY-MM-DD HH")</f>
        <v/>
      </c>
      <c r="R158" s="25">
        <f>COUNTIF($Q$2:$Q$5295,Q158)</f>
        <v/>
      </c>
      <c r="S158" s="25">
        <f>IF(R158&lt;=2,"1-2",IF(R158&lt;=5,"3-5",IF(R158&lt;=10,"6-10","11+")))</f>
        <v/>
      </c>
    </row>
    <row r="159">
      <c r="A159" s="39" t="n">
        <v>46153.07266203704</v>
      </c>
      <c r="B159" s="25">
        <f>TEXT(A159,"YYYY-MM")</f>
        <v/>
      </c>
      <c r="C159" s="25">
        <f>TEXT(A159,"MMM-YYYY")</f>
        <v/>
      </c>
      <c r="D159" s="40">
        <f>INT(A159)-WEEKDAY(A159,2)+1</f>
        <v/>
      </c>
      <c r="E159" s="25" t="inlineStr">
        <is>
          <t>abhaskarkp</t>
        </is>
      </c>
      <c r="F159" s="25" t="n">
        <v>73504</v>
      </c>
      <c r="G159" s="25" t="n">
        <v>5</v>
      </c>
      <c r="H159" s="25" t="n">
        <v>17</v>
      </c>
      <c r="I159" s="25" t="inlineStr">
        <is>
          <t>4 minute(s) and 4 second(s)</t>
        </is>
      </c>
      <c r="J159" s="25">
        <f>IFERROR(VALUE(TRIM(LEFT(I159,FIND("minute",I159)-1)))*60,0)+IFERROR(VALUE(SUBSTITUTE(MID(I159,IFERROR(FIND("and",I159)+3,1),20),"second(s)","")),0)</f>
        <v/>
      </c>
      <c r="K159" s="41">
        <f>J159/60</f>
        <v/>
      </c>
      <c r="L159" s="41">
        <f>IFERROR(J159/H159,"")</f>
        <v/>
      </c>
      <c r="M159" s="25" t="inlineStr">
        <is>
          <t>2.5.12</t>
        </is>
      </c>
      <c r="N159" s="25">
        <f>IF(J159&gt;300,1,0)</f>
        <v/>
      </c>
      <c r="O159" s="25">
        <f>IF(J159&gt;600,1,0)</f>
        <v/>
      </c>
      <c r="P159" s="25">
        <f>IF(H159&gt;0,J159,"")</f>
        <v/>
      </c>
      <c r="Q159" s="25">
        <f>TEXT(A159,"YYYY-MM-DD HH")</f>
        <v/>
      </c>
      <c r="R159" s="25">
        <f>COUNTIF($Q$2:$Q$5295,Q159)</f>
        <v/>
      </c>
      <c r="S159" s="25">
        <f>IF(R159&lt;=2,"1-2",IF(R159&lt;=5,"3-5",IF(R159&lt;=10,"6-10","11+")))</f>
        <v/>
      </c>
    </row>
    <row r="160">
      <c r="A160" s="39" t="n">
        <v>46153.07409722222</v>
      </c>
      <c r="B160" s="25">
        <f>TEXT(A160,"YYYY-MM")</f>
        <v/>
      </c>
      <c r="C160" s="25">
        <f>TEXT(A160,"MMM-YYYY")</f>
        <v/>
      </c>
      <c r="D160" s="40">
        <f>INT(A160)-WEEKDAY(A160,2)+1</f>
        <v/>
      </c>
      <c r="E160" s="25" t="inlineStr">
        <is>
          <t>npriya</t>
        </is>
      </c>
      <c r="F160" s="25" t="n">
        <v>68469</v>
      </c>
      <c r="G160" s="25" t="n">
        <v>5</v>
      </c>
      <c r="H160" s="25" t="n">
        <v>17</v>
      </c>
      <c r="I160" s="25" t="inlineStr">
        <is>
          <t>4 minute(s) and 53 second(s)</t>
        </is>
      </c>
      <c r="J160" s="25">
        <f>IFERROR(VALUE(TRIM(LEFT(I160,FIND("minute",I160)-1)))*60,0)+IFERROR(VALUE(SUBSTITUTE(MID(I160,IFERROR(FIND("and",I160)+3,1),20),"second(s)","")),0)</f>
        <v/>
      </c>
      <c r="K160" s="41">
        <f>J160/60</f>
        <v/>
      </c>
      <c r="L160" s="41">
        <f>IFERROR(J160/H160,"")</f>
        <v/>
      </c>
      <c r="M160" s="25" t="inlineStr">
        <is>
          <t>2.5.12</t>
        </is>
      </c>
      <c r="N160" s="25">
        <f>IF(J160&gt;300,1,0)</f>
        <v/>
      </c>
      <c r="O160" s="25">
        <f>IF(J160&gt;600,1,0)</f>
        <v/>
      </c>
      <c r="P160" s="25">
        <f>IF(H160&gt;0,J160,"")</f>
        <v/>
      </c>
      <c r="Q160" s="25">
        <f>TEXT(A160,"YYYY-MM-DD HH")</f>
        <v/>
      </c>
      <c r="R160" s="25">
        <f>COUNTIF($Q$2:$Q$5295,Q160)</f>
        <v/>
      </c>
      <c r="S160" s="25">
        <f>IF(R160&lt;=2,"1-2",IF(R160&lt;=5,"3-5",IF(R160&lt;=10,"6-10","11+")))</f>
        <v/>
      </c>
    </row>
    <row r="161">
      <c r="A161" s="39" t="n">
        <v>46153.08322916667</v>
      </c>
      <c r="B161" s="25">
        <f>TEXT(A161,"YYYY-MM")</f>
        <v/>
      </c>
      <c r="C161" s="25">
        <f>TEXT(A161,"MMM-YYYY")</f>
        <v/>
      </c>
      <c r="D161" s="40">
        <f>INT(A161)-WEEKDAY(A161,2)+1</f>
        <v/>
      </c>
      <c r="E161" s="25" t="inlineStr">
        <is>
          <t>ssrinivasan</t>
        </is>
      </c>
      <c r="F161" s="25" t="n">
        <v>68628</v>
      </c>
      <c r="G161" s="25" t="n">
        <v>2</v>
      </c>
      <c r="H161" s="25" t="n">
        <v>12</v>
      </c>
      <c r="I161" s="25" t="inlineStr">
        <is>
          <t>2 minute(s) and 50 second(s)</t>
        </is>
      </c>
      <c r="J161" s="25">
        <f>IFERROR(VALUE(TRIM(LEFT(I161,FIND("minute",I161)-1)))*60,0)+IFERROR(VALUE(SUBSTITUTE(MID(I161,IFERROR(FIND("and",I161)+3,1),20),"second(s)","")),0)</f>
        <v/>
      </c>
      <c r="K161" s="41">
        <f>J161/60</f>
        <v/>
      </c>
      <c r="L161" s="41">
        <f>IFERROR(J161/H161,"")</f>
        <v/>
      </c>
      <c r="M161" s="25" t="inlineStr">
        <is>
          <t>2.5.12</t>
        </is>
      </c>
      <c r="N161" s="25">
        <f>IF(J161&gt;300,1,0)</f>
        <v/>
      </c>
      <c r="O161" s="25">
        <f>IF(J161&gt;600,1,0)</f>
        <v/>
      </c>
      <c r="P161" s="25">
        <f>IF(H161&gt;0,J161,"")</f>
        <v/>
      </c>
      <c r="Q161" s="25">
        <f>TEXT(A161,"YYYY-MM-DD HH")</f>
        <v/>
      </c>
      <c r="R161" s="25">
        <f>COUNTIF($Q$2:$Q$5295,Q161)</f>
        <v/>
      </c>
      <c r="S161" s="25">
        <f>IF(R161&lt;=2,"1-2",IF(R161&lt;=5,"3-5",IF(R161&lt;=10,"6-10","11+")))</f>
        <v/>
      </c>
    </row>
    <row r="162">
      <c r="A162" s="39" t="n">
        <v>46153.08578703704</v>
      </c>
      <c r="B162" s="25">
        <f>TEXT(A162,"YYYY-MM")</f>
        <v/>
      </c>
      <c r="C162" s="25">
        <f>TEXT(A162,"MMM-YYYY")</f>
        <v/>
      </c>
      <c r="D162" s="40">
        <f>INT(A162)-WEEKDAY(A162,2)+1</f>
        <v/>
      </c>
      <c r="E162" s="25" t="inlineStr">
        <is>
          <t>psathwika</t>
        </is>
      </c>
      <c r="F162" s="25" t="n">
        <v>96998</v>
      </c>
      <c r="G162" s="25" t="n">
        <v>1</v>
      </c>
      <c r="H162" s="25" t="n">
        <v>7</v>
      </c>
      <c r="I162" s="25" t="inlineStr">
        <is>
          <t>1 minute(s) and 48 second(s)</t>
        </is>
      </c>
      <c r="J162" s="25">
        <f>IFERROR(VALUE(TRIM(LEFT(I162,FIND("minute",I162)-1)))*60,0)+IFERROR(VALUE(SUBSTITUTE(MID(I162,IFERROR(FIND("and",I162)+3,1),20),"second(s)","")),0)</f>
        <v/>
      </c>
      <c r="K162" s="41">
        <f>J162/60</f>
        <v/>
      </c>
      <c r="L162" s="41">
        <f>IFERROR(J162/H162,"")</f>
        <v/>
      </c>
      <c r="M162" s="25" t="inlineStr">
        <is>
          <t>2.5.12</t>
        </is>
      </c>
      <c r="N162" s="25">
        <f>IF(J162&gt;300,1,0)</f>
        <v/>
      </c>
      <c r="O162" s="25">
        <f>IF(J162&gt;600,1,0)</f>
        <v/>
      </c>
      <c r="P162" s="25">
        <f>IF(H162&gt;0,J162,"")</f>
        <v/>
      </c>
      <c r="Q162" s="25">
        <f>TEXT(A162,"YYYY-MM-DD HH")</f>
        <v/>
      </c>
      <c r="R162" s="25">
        <f>COUNTIF($Q$2:$Q$5295,Q162)</f>
        <v/>
      </c>
      <c r="S162" s="25">
        <f>IF(R162&lt;=2,"1-2",IF(R162&lt;=5,"3-5",IF(R162&lt;=10,"6-10","11+")))</f>
        <v/>
      </c>
    </row>
    <row r="163">
      <c r="A163" s="39" t="n">
        <v>46153.08774305556</v>
      </c>
      <c r="B163" s="25">
        <f>TEXT(A163,"YYYY-MM")</f>
        <v/>
      </c>
      <c r="C163" s="25">
        <f>TEXT(A163,"MMM-YYYY")</f>
        <v/>
      </c>
      <c r="D163" s="40">
        <f>INT(A163)-WEEKDAY(A163,2)+1</f>
        <v/>
      </c>
      <c r="E163" s="25" t="inlineStr">
        <is>
          <t>dbhattacharyya</t>
        </is>
      </c>
      <c r="F163" s="25" t="n">
        <v>115184</v>
      </c>
      <c r="G163" s="25" t="n">
        <v>5</v>
      </c>
      <c r="H163" s="25" t="n">
        <v>25</v>
      </c>
      <c r="I163" s="25" t="inlineStr">
        <is>
          <t>4 minute(s) and 2 second(s)</t>
        </is>
      </c>
      <c r="J163" s="25">
        <f>IFERROR(VALUE(TRIM(LEFT(I163,FIND("minute",I163)-1)))*60,0)+IFERROR(VALUE(SUBSTITUTE(MID(I163,IFERROR(FIND("and",I163)+3,1),20),"second(s)","")),0)</f>
        <v/>
      </c>
      <c r="K163" s="41">
        <f>J163/60</f>
        <v/>
      </c>
      <c r="L163" s="41">
        <f>IFERROR(J163/H163,"")</f>
        <v/>
      </c>
      <c r="M163" s="25" t="inlineStr">
        <is>
          <t>2.5.12</t>
        </is>
      </c>
      <c r="N163" s="25">
        <f>IF(J163&gt;300,1,0)</f>
        <v/>
      </c>
      <c r="O163" s="25">
        <f>IF(J163&gt;600,1,0)</f>
        <v/>
      </c>
      <c r="P163" s="25">
        <f>IF(H163&gt;0,J163,"")</f>
        <v/>
      </c>
      <c r="Q163" s="25">
        <f>TEXT(A163,"YYYY-MM-DD HH")</f>
        <v/>
      </c>
      <c r="R163" s="25">
        <f>COUNTIF($Q$2:$Q$5295,Q163)</f>
        <v/>
      </c>
      <c r="S163" s="25">
        <f>IF(R163&lt;=2,"1-2",IF(R163&lt;=5,"3-5",IF(R163&lt;=10,"6-10","11+")))</f>
        <v/>
      </c>
    </row>
    <row r="164">
      <c r="A164" s="39" t="n">
        <v>46153.09047453704</v>
      </c>
      <c r="B164" s="25">
        <f>TEXT(A164,"YYYY-MM")</f>
        <v/>
      </c>
      <c r="C164" s="25">
        <f>TEXT(A164,"MMM-YYYY")</f>
        <v/>
      </c>
      <c r="D164" s="40">
        <f>INT(A164)-WEEKDAY(A164,2)+1</f>
        <v/>
      </c>
      <c r="E164" s="25" t="inlineStr">
        <is>
          <t>hdutt</t>
        </is>
      </c>
      <c r="F164" s="25" t="n">
        <v>72732</v>
      </c>
      <c r="G164" s="25" t="n">
        <v>1</v>
      </c>
      <c r="H164" s="25" t="n">
        <v>5</v>
      </c>
      <c r="I164" s="25" t="inlineStr">
        <is>
          <t>1 minute(s) and 17 second(s)</t>
        </is>
      </c>
      <c r="J164" s="25">
        <f>IFERROR(VALUE(TRIM(LEFT(I164,FIND("minute",I164)-1)))*60,0)+IFERROR(VALUE(SUBSTITUTE(MID(I164,IFERROR(FIND("and",I164)+3,1),20),"second(s)","")),0)</f>
        <v/>
      </c>
      <c r="K164" s="41">
        <f>J164/60</f>
        <v/>
      </c>
      <c r="L164" s="41">
        <f>IFERROR(J164/H164,"")</f>
        <v/>
      </c>
      <c r="M164" s="25" t="inlineStr">
        <is>
          <t>2.5.12</t>
        </is>
      </c>
      <c r="N164" s="25">
        <f>IF(J164&gt;300,1,0)</f>
        <v/>
      </c>
      <c r="O164" s="25">
        <f>IF(J164&gt;600,1,0)</f>
        <v/>
      </c>
      <c r="P164" s="25">
        <f>IF(H164&gt;0,J164,"")</f>
        <v/>
      </c>
      <c r="Q164" s="25">
        <f>TEXT(A164,"YYYY-MM-DD HH")</f>
        <v/>
      </c>
      <c r="R164" s="25">
        <f>COUNTIF($Q$2:$Q$5295,Q164)</f>
        <v/>
      </c>
      <c r="S164" s="25">
        <f>IF(R164&lt;=2,"1-2",IF(R164&lt;=5,"3-5",IF(R164&lt;=10,"6-10","11+")))</f>
        <v/>
      </c>
    </row>
    <row r="165">
      <c r="A165" s="39" t="n">
        <v>46153.09525462963</v>
      </c>
      <c r="B165" s="25">
        <f>TEXT(A165,"YYYY-MM")</f>
        <v/>
      </c>
      <c r="C165" s="25">
        <f>TEXT(A165,"MMM-YYYY")</f>
        <v/>
      </c>
      <c r="D165" s="40">
        <f>INT(A165)-WEEKDAY(A165,2)+1</f>
        <v/>
      </c>
      <c r="E165" s="25" t="inlineStr">
        <is>
          <t>mgupta</t>
        </is>
      </c>
      <c r="F165" s="25" t="n">
        <v>115902</v>
      </c>
      <c r="G165" s="25" t="n">
        <v>5</v>
      </c>
      <c r="H165" s="25" t="n">
        <v>31</v>
      </c>
      <c r="I165" s="25" t="inlineStr">
        <is>
          <t>5 minute(s) and 3 second(s)</t>
        </is>
      </c>
      <c r="J165" s="25">
        <f>IFERROR(VALUE(TRIM(LEFT(I165,FIND("minute",I165)-1)))*60,0)+IFERROR(VALUE(SUBSTITUTE(MID(I165,IFERROR(FIND("and",I165)+3,1),20),"second(s)","")),0)</f>
        <v/>
      </c>
      <c r="K165" s="41">
        <f>J165/60</f>
        <v/>
      </c>
      <c r="L165" s="41">
        <f>IFERROR(J165/H165,"")</f>
        <v/>
      </c>
      <c r="M165" s="25" t="inlineStr">
        <is>
          <t>2.5.12</t>
        </is>
      </c>
      <c r="N165" s="25">
        <f>IF(J165&gt;300,1,0)</f>
        <v/>
      </c>
      <c r="O165" s="25">
        <f>IF(J165&gt;600,1,0)</f>
        <v/>
      </c>
      <c r="P165" s="25">
        <f>IF(H165&gt;0,J165,"")</f>
        <v/>
      </c>
      <c r="Q165" s="25">
        <f>TEXT(A165,"YYYY-MM-DD HH")</f>
        <v/>
      </c>
      <c r="R165" s="25">
        <f>COUNTIF($Q$2:$Q$5295,Q165)</f>
        <v/>
      </c>
      <c r="S165" s="25">
        <f>IF(R165&lt;=2,"1-2",IF(R165&lt;=5,"3-5",IF(R165&lt;=10,"6-10","11+")))</f>
        <v/>
      </c>
    </row>
    <row r="166">
      <c r="A166" s="39" t="n">
        <v>46153.10119212963</v>
      </c>
      <c r="B166" s="25">
        <f>TEXT(A166,"YYYY-MM")</f>
        <v/>
      </c>
      <c r="C166" s="25">
        <f>TEXT(A166,"MMM-YYYY")</f>
        <v/>
      </c>
      <c r="D166" s="40">
        <f>INT(A166)-WEEKDAY(A166,2)+1</f>
        <v/>
      </c>
      <c r="E166" s="25" t="inlineStr">
        <is>
          <t>nlnu</t>
        </is>
      </c>
      <c r="F166" s="25" t="n">
        <v>69845</v>
      </c>
      <c r="G166" s="25" t="n">
        <v>3</v>
      </c>
      <c r="H166" s="25" t="n">
        <v>11</v>
      </c>
      <c r="I166" s="25" t="inlineStr">
        <is>
          <t>2 minute(s) and 3 second(s)</t>
        </is>
      </c>
      <c r="J166" s="25">
        <f>IFERROR(VALUE(TRIM(LEFT(I166,FIND("minute",I166)-1)))*60,0)+IFERROR(VALUE(SUBSTITUTE(MID(I166,IFERROR(FIND("and",I166)+3,1),20),"second(s)","")),0)</f>
        <v/>
      </c>
      <c r="K166" s="41">
        <f>J166/60</f>
        <v/>
      </c>
      <c r="L166" s="41">
        <f>IFERROR(J166/H166,"")</f>
        <v/>
      </c>
      <c r="M166" s="25" t="inlineStr">
        <is>
          <t>2.5.12</t>
        </is>
      </c>
      <c r="N166" s="25">
        <f>IF(J166&gt;300,1,0)</f>
        <v/>
      </c>
      <c r="O166" s="25">
        <f>IF(J166&gt;600,1,0)</f>
        <v/>
      </c>
      <c r="P166" s="25">
        <f>IF(H166&gt;0,J166,"")</f>
        <v/>
      </c>
      <c r="Q166" s="25">
        <f>TEXT(A166,"YYYY-MM-DD HH")</f>
        <v/>
      </c>
      <c r="R166" s="25">
        <f>COUNTIF($Q$2:$Q$5295,Q166)</f>
        <v/>
      </c>
      <c r="S166" s="25">
        <f>IF(R166&lt;=2,"1-2",IF(R166&lt;=5,"3-5",IF(R166&lt;=10,"6-10","11+")))</f>
        <v/>
      </c>
    </row>
    <row r="167">
      <c r="A167" s="39" t="n">
        <v>46153.11130787037</v>
      </c>
      <c r="B167" s="25">
        <f>TEXT(A167,"YYYY-MM")</f>
        <v/>
      </c>
      <c r="C167" s="25">
        <f>TEXT(A167,"MMM-YYYY")</f>
        <v/>
      </c>
      <c r="D167" s="40">
        <f>INT(A167)-WEEKDAY(A167,2)+1</f>
        <v/>
      </c>
      <c r="E167" s="25" t="inlineStr">
        <is>
          <t>kananya</t>
        </is>
      </c>
      <c r="F167" s="25" t="n">
        <v>69079</v>
      </c>
      <c r="G167" s="25" t="n">
        <v>1</v>
      </c>
      <c r="H167" s="25" t="n">
        <v>7</v>
      </c>
      <c r="I167" s="25" t="inlineStr">
        <is>
          <t>1 minute(s) and 25 second(s)</t>
        </is>
      </c>
      <c r="J167" s="25">
        <f>IFERROR(VALUE(TRIM(LEFT(I167,FIND("minute",I167)-1)))*60,0)+IFERROR(VALUE(SUBSTITUTE(MID(I167,IFERROR(FIND("and",I167)+3,1),20),"second(s)","")),0)</f>
        <v/>
      </c>
      <c r="K167" s="41">
        <f>J167/60</f>
        <v/>
      </c>
      <c r="L167" s="41">
        <f>IFERROR(J167/H167,"")</f>
        <v/>
      </c>
      <c r="M167" s="25" t="inlineStr">
        <is>
          <t>2.5.12</t>
        </is>
      </c>
      <c r="N167" s="25">
        <f>IF(J167&gt;300,1,0)</f>
        <v/>
      </c>
      <c r="O167" s="25">
        <f>IF(J167&gt;600,1,0)</f>
        <v/>
      </c>
      <c r="P167" s="25">
        <f>IF(H167&gt;0,J167,"")</f>
        <v/>
      </c>
      <c r="Q167" s="25">
        <f>TEXT(A167,"YYYY-MM-DD HH")</f>
        <v/>
      </c>
      <c r="R167" s="25">
        <f>COUNTIF($Q$2:$Q$5295,Q167)</f>
        <v/>
      </c>
      <c r="S167" s="25">
        <f>IF(R167&lt;=2,"1-2",IF(R167&lt;=5,"3-5",IF(R167&lt;=10,"6-10","11+")))</f>
        <v/>
      </c>
    </row>
    <row r="168">
      <c r="A168" s="39" t="n">
        <v>46153.11188657407</v>
      </c>
      <c r="B168" s="25">
        <f>TEXT(A168,"YYYY-MM")</f>
        <v/>
      </c>
      <c r="C168" s="25">
        <f>TEXT(A168,"MMM-YYYY")</f>
        <v/>
      </c>
      <c r="D168" s="40">
        <f>INT(A168)-WEEKDAY(A168,2)+1</f>
        <v/>
      </c>
      <c r="E168" s="25" t="inlineStr">
        <is>
          <t>shassan</t>
        </is>
      </c>
      <c r="F168" s="25" t="n">
        <v>69357</v>
      </c>
      <c r="G168" s="25" t="n">
        <v>3</v>
      </c>
      <c r="H168" s="25" t="n">
        <v>13</v>
      </c>
      <c r="I168" s="25" t="inlineStr">
        <is>
          <t>3 minute(s) and 25 second(s)</t>
        </is>
      </c>
      <c r="J168" s="25">
        <f>IFERROR(VALUE(TRIM(LEFT(I168,FIND("minute",I168)-1)))*60,0)+IFERROR(VALUE(SUBSTITUTE(MID(I168,IFERROR(FIND("and",I168)+3,1),20),"second(s)","")),0)</f>
        <v/>
      </c>
      <c r="K168" s="41">
        <f>J168/60</f>
        <v/>
      </c>
      <c r="L168" s="41">
        <f>IFERROR(J168/H168,"")</f>
        <v/>
      </c>
      <c r="M168" s="25" t="inlineStr">
        <is>
          <t>2.5.12</t>
        </is>
      </c>
      <c r="N168" s="25">
        <f>IF(J168&gt;300,1,0)</f>
        <v/>
      </c>
      <c r="O168" s="25">
        <f>IF(J168&gt;600,1,0)</f>
        <v/>
      </c>
      <c r="P168" s="25">
        <f>IF(H168&gt;0,J168,"")</f>
        <v/>
      </c>
      <c r="Q168" s="25">
        <f>TEXT(A168,"YYYY-MM-DD HH")</f>
        <v/>
      </c>
      <c r="R168" s="25">
        <f>COUNTIF($Q$2:$Q$5295,Q168)</f>
        <v/>
      </c>
      <c r="S168" s="25">
        <f>IF(R168&lt;=2,"1-2",IF(R168&lt;=5,"3-5",IF(R168&lt;=10,"6-10","11+")))</f>
        <v/>
      </c>
    </row>
    <row r="169">
      <c r="A169" s="39" t="n">
        <v>46153.1131712963</v>
      </c>
      <c r="B169" s="25">
        <f>TEXT(A169,"YYYY-MM")</f>
        <v/>
      </c>
      <c r="C169" s="25">
        <f>TEXT(A169,"MMM-YYYY")</f>
        <v/>
      </c>
      <c r="D169" s="40">
        <f>INT(A169)-WEEKDAY(A169,2)+1</f>
        <v/>
      </c>
      <c r="E169" s="25" t="inlineStr">
        <is>
          <t>rts</t>
        </is>
      </c>
      <c r="F169" s="25" t="n">
        <v>97356</v>
      </c>
      <c r="G169" s="25" t="n">
        <v>2</v>
      </c>
      <c r="H169" s="25" t="n">
        <v>14</v>
      </c>
      <c r="I169" s="25" t="inlineStr">
        <is>
          <t>6 minute(s) and 41 second(s)</t>
        </is>
      </c>
      <c r="J169" s="25">
        <f>IFERROR(VALUE(TRIM(LEFT(I169,FIND("minute",I169)-1)))*60,0)+IFERROR(VALUE(SUBSTITUTE(MID(I169,IFERROR(FIND("and",I169)+3,1),20),"second(s)","")),0)</f>
        <v/>
      </c>
      <c r="K169" s="41">
        <f>J169/60</f>
        <v/>
      </c>
      <c r="L169" s="41">
        <f>IFERROR(J169/H169,"")</f>
        <v/>
      </c>
      <c r="M169" s="25" t="inlineStr">
        <is>
          <t>2.5.12</t>
        </is>
      </c>
      <c r="N169" s="25">
        <f>IF(J169&gt;300,1,0)</f>
        <v/>
      </c>
      <c r="O169" s="25">
        <f>IF(J169&gt;600,1,0)</f>
        <v/>
      </c>
      <c r="P169" s="25">
        <f>IF(H169&gt;0,J169,"")</f>
        <v/>
      </c>
      <c r="Q169" s="25">
        <f>TEXT(A169,"YYYY-MM-DD HH")</f>
        <v/>
      </c>
      <c r="R169" s="25">
        <f>COUNTIF($Q$2:$Q$5295,Q169)</f>
        <v/>
      </c>
      <c r="S169" s="25">
        <f>IF(R169&lt;=2,"1-2",IF(R169&lt;=5,"3-5",IF(R169&lt;=10,"6-10","11+")))</f>
        <v/>
      </c>
    </row>
    <row r="170">
      <c r="A170" s="39" t="n">
        <v>46153.11603009259</v>
      </c>
      <c r="B170" s="25">
        <f>TEXT(A170,"YYYY-MM")</f>
        <v/>
      </c>
      <c r="C170" s="25">
        <f>TEXT(A170,"MMM-YYYY")</f>
        <v/>
      </c>
      <c r="D170" s="40">
        <f>INT(A170)-WEEKDAY(A170,2)+1</f>
        <v/>
      </c>
      <c r="E170" s="25" t="inlineStr">
        <is>
          <t>npriya</t>
        </is>
      </c>
      <c r="F170" s="25" t="n">
        <v>95630</v>
      </c>
      <c r="G170" s="25" t="n">
        <v>2</v>
      </c>
      <c r="H170" s="25" t="n">
        <v>8</v>
      </c>
      <c r="I170" s="25" t="inlineStr">
        <is>
          <t>1 minute(s) and 47 second(s)</t>
        </is>
      </c>
      <c r="J170" s="25">
        <f>IFERROR(VALUE(TRIM(LEFT(I170,FIND("minute",I170)-1)))*60,0)+IFERROR(VALUE(SUBSTITUTE(MID(I170,IFERROR(FIND("and",I170)+3,1),20),"second(s)","")),0)</f>
        <v/>
      </c>
      <c r="K170" s="41">
        <f>J170/60</f>
        <v/>
      </c>
      <c r="L170" s="41">
        <f>IFERROR(J170/H170,"")</f>
        <v/>
      </c>
      <c r="M170" s="25" t="inlineStr">
        <is>
          <t>2.5.12</t>
        </is>
      </c>
      <c r="N170" s="25">
        <f>IF(J170&gt;300,1,0)</f>
        <v/>
      </c>
      <c r="O170" s="25">
        <f>IF(J170&gt;600,1,0)</f>
        <v/>
      </c>
      <c r="P170" s="25">
        <f>IF(H170&gt;0,J170,"")</f>
        <v/>
      </c>
      <c r="Q170" s="25">
        <f>TEXT(A170,"YYYY-MM-DD HH")</f>
        <v/>
      </c>
      <c r="R170" s="25">
        <f>COUNTIF($Q$2:$Q$5295,Q170)</f>
        <v/>
      </c>
      <c r="S170" s="25">
        <f>IF(R170&lt;=2,"1-2",IF(R170&lt;=5,"3-5",IF(R170&lt;=10,"6-10","11+")))</f>
        <v/>
      </c>
    </row>
    <row r="171">
      <c r="A171" s="39" t="n">
        <v>46153.11793981482</v>
      </c>
      <c r="B171" s="25">
        <f>TEXT(A171,"YYYY-MM")</f>
        <v/>
      </c>
      <c r="C171" s="25">
        <f>TEXT(A171,"MMM-YYYY")</f>
        <v/>
      </c>
      <c r="D171" s="40">
        <f>INT(A171)-WEEKDAY(A171,2)+1</f>
        <v/>
      </c>
      <c r="E171" s="25" t="inlineStr">
        <is>
          <t>akumari</t>
        </is>
      </c>
      <c r="F171" s="25" t="n">
        <v>115011</v>
      </c>
      <c r="G171" s="25" t="n">
        <v>2</v>
      </c>
      <c r="H171" s="25" t="n">
        <v>15</v>
      </c>
      <c r="I171" s="25" t="inlineStr">
        <is>
          <t>2 minute(s) and 13 second(s)</t>
        </is>
      </c>
      <c r="J171" s="25">
        <f>IFERROR(VALUE(TRIM(LEFT(I171,FIND("minute",I171)-1)))*60,0)+IFERROR(VALUE(SUBSTITUTE(MID(I171,IFERROR(FIND("and",I171)+3,1),20),"second(s)","")),0)</f>
        <v/>
      </c>
      <c r="K171" s="41">
        <f>J171/60</f>
        <v/>
      </c>
      <c r="L171" s="41">
        <f>IFERROR(J171/H171,"")</f>
        <v/>
      </c>
      <c r="M171" s="25" t="inlineStr">
        <is>
          <t>2.5.12</t>
        </is>
      </c>
      <c r="N171" s="25">
        <f>IF(J171&gt;300,1,0)</f>
        <v/>
      </c>
      <c r="O171" s="25">
        <f>IF(J171&gt;600,1,0)</f>
        <v/>
      </c>
      <c r="P171" s="25">
        <f>IF(H171&gt;0,J171,"")</f>
        <v/>
      </c>
      <c r="Q171" s="25">
        <f>TEXT(A171,"YYYY-MM-DD HH")</f>
        <v/>
      </c>
      <c r="R171" s="25">
        <f>COUNTIF($Q$2:$Q$5295,Q171)</f>
        <v/>
      </c>
      <c r="S171" s="25">
        <f>IF(R171&lt;=2,"1-2",IF(R171&lt;=5,"3-5",IF(R171&lt;=10,"6-10","11+")))</f>
        <v/>
      </c>
    </row>
    <row r="172">
      <c r="A172" s="39" t="n">
        <v>46153.12119212963</v>
      </c>
      <c r="B172" s="25">
        <f>TEXT(A172,"YYYY-MM")</f>
        <v/>
      </c>
      <c r="C172" s="25">
        <f>TEXT(A172,"MMM-YYYY")</f>
        <v/>
      </c>
      <c r="D172" s="40">
        <f>INT(A172)-WEEKDAY(A172,2)+1</f>
        <v/>
      </c>
      <c r="E172" s="25" t="inlineStr">
        <is>
          <t>kananya</t>
        </is>
      </c>
      <c r="F172" s="25" t="n">
        <v>69079</v>
      </c>
      <c r="G172" s="25" t="n">
        <v>1</v>
      </c>
      <c r="H172" s="25" t="n">
        <v>7</v>
      </c>
      <c r="I172" s="25" t="inlineStr">
        <is>
          <t>1 minute(s) and 12 second(s)</t>
        </is>
      </c>
      <c r="J172" s="25">
        <f>IFERROR(VALUE(TRIM(LEFT(I172,FIND("minute",I172)-1)))*60,0)+IFERROR(VALUE(SUBSTITUTE(MID(I172,IFERROR(FIND("and",I172)+3,1),20),"second(s)","")),0)</f>
        <v/>
      </c>
      <c r="K172" s="41">
        <f>J172/60</f>
        <v/>
      </c>
      <c r="L172" s="41">
        <f>IFERROR(J172/H172,"")</f>
        <v/>
      </c>
      <c r="M172" s="25" t="inlineStr">
        <is>
          <t>2.5.12</t>
        </is>
      </c>
      <c r="N172" s="25">
        <f>IF(J172&gt;300,1,0)</f>
        <v/>
      </c>
      <c r="O172" s="25">
        <f>IF(J172&gt;600,1,0)</f>
        <v/>
      </c>
      <c r="P172" s="25">
        <f>IF(H172&gt;0,J172,"")</f>
        <v/>
      </c>
      <c r="Q172" s="25">
        <f>TEXT(A172,"YYYY-MM-DD HH")</f>
        <v/>
      </c>
      <c r="R172" s="25">
        <f>COUNTIF($Q$2:$Q$5295,Q172)</f>
        <v/>
      </c>
      <c r="S172" s="25">
        <f>IF(R172&lt;=2,"1-2",IF(R172&lt;=5,"3-5",IF(R172&lt;=10,"6-10","11+")))</f>
        <v/>
      </c>
    </row>
    <row r="173">
      <c r="A173" s="39" t="n">
        <v>46153.12787037037</v>
      </c>
      <c r="B173" s="25">
        <f>TEXT(A173,"YYYY-MM")</f>
        <v/>
      </c>
      <c r="C173" s="25">
        <f>TEXT(A173,"MMM-YYYY")</f>
        <v/>
      </c>
      <c r="D173" s="40">
        <f>INT(A173)-WEEKDAY(A173,2)+1</f>
        <v/>
      </c>
      <c r="E173" s="25" t="inlineStr">
        <is>
          <t>shasikha</t>
        </is>
      </c>
      <c r="F173" s="25" t="n">
        <v>81223</v>
      </c>
      <c r="G173" s="25" t="n">
        <v>5</v>
      </c>
      <c r="H173" s="25" t="n">
        <v>13</v>
      </c>
      <c r="I173" s="25" t="inlineStr">
        <is>
          <t>4 minute(s) and 35 second(s)</t>
        </is>
      </c>
      <c r="J173" s="25">
        <f>IFERROR(VALUE(TRIM(LEFT(I173,FIND("minute",I173)-1)))*60,0)+IFERROR(VALUE(SUBSTITUTE(MID(I173,IFERROR(FIND("and",I173)+3,1),20),"second(s)","")),0)</f>
        <v/>
      </c>
      <c r="K173" s="41">
        <f>J173/60</f>
        <v/>
      </c>
      <c r="L173" s="41">
        <f>IFERROR(J173/H173,"")</f>
        <v/>
      </c>
      <c r="M173" s="25" t="inlineStr">
        <is>
          <t>2.5.12</t>
        </is>
      </c>
      <c r="N173" s="25">
        <f>IF(J173&gt;300,1,0)</f>
        <v/>
      </c>
      <c r="O173" s="25">
        <f>IF(J173&gt;600,1,0)</f>
        <v/>
      </c>
      <c r="P173" s="25">
        <f>IF(H173&gt;0,J173,"")</f>
        <v/>
      </c>
      <c r="Q173" s="25">
        <f>TEXT(A173,"YYYY-MM-DD HH")</f>
        <v/>
      </c>
      <c r="R173" s="25">
        <f>COUNTIF($Q$2:$Q$5295,Q173)</f>
        <v/>
      </c>
      <c r="S173" s="25">
        <f>IF(R173&lt;=2,"1-2",IF(R173&lt;=5,"3-5",IF(R173&lt;=10,"6-10","11+")))</f>
        <v/>
      </c>
    </row>
    <row r="174">
      <c r="A174" s="39" t="n">
        <v>46153.13168981481</v>
      </c>
      <c r="B174" s="25">
        <f>TEXT(A174,"YYYY-MM")</f>
        <v/>
      </c>
      <c r="C174" s="25">
        <f>TEXT(A174,"MMM-YYYY")</f>
        <v/>
      </c>
      <c r="D174" s="40">
        <f>INT(A174)-WEEKDAY(A174,2)+1</f>
        <v/>
      </c>
      <c r="E174" s="25" t="inlineStr">
        <is>
          <t>ns</t>
        </is>
      </c>
      <c r="F174" s="25" t="n">
        <v>96234</v>
      </c>
      <c r="G174" s="25" t="n">
        <v>1</v>
      </c>
      <c r="H174" s="25" t="n">
        <v>5</v>
      </c>
      <c r="I174" s="25" t="inlineStr">
        <is>
          <t>1 minute(s) and 8 second(s)</t>
        </is>
      </c>
      <c r="J174" s="25">
        <f>IFERROR(VALUE(TRIM(LEFT(I174,FIND("minute",I174)-1)))*60,0)+IFERROR(VALUE(SUBSTITUTE(MID(I174,IFERROR(FIND("and",I174)+3,1),20),"second(s)","")),0)</f>
        <v/>
      </c>
      <c r="K174" s="41">
        <f>J174/60</f>
        <v/>
      </c>
      <c r="L174" s="41">
        <f>IFERROR(J174/H174,"")</f>
        <v/>
      </c>
      <c r="M174" s="25" t="inlineStr">
        <is>
          <t>2.5.12</t>
        </is>
      </c>
      <c r="N174" s="25">
        <f>IF(J174&gt;300,1,0)</f>
        <v/>
      </c>
      <c r="O174" s="25">
        <f>IF(J174&gt;600,1,0)</f>
        <v/>
      </c>
      <c r="P174" s="25">
        <f>IF(H174&gt;0,J174,"")</f>
        <v/>
      </c>
      <c r="Q174" s="25">
        <f>TEXT(A174,"YYYY-MM-DD HH")</f>
        <v/>
      </c>
      <c r="R174" s="25">
        <f>COUNTIF($Q$2:$Q$5295,Q174)</f>
        <v/>
      </c>
      <c r="S174" s="25">
        <f>IF(R174&lt;=2,"1-2",IF(R174&lt;=5,"3-5",IF(R174&lt;=10,"6-10","11+")))</f>
        <v/>
      </c>
    </row>
    <row r="175">
      <c r="A175" s="39" t="n">
        <v>46153.13393518519</v>
      </c>
      <c r="B175" s="25">
        <f>TEXT(A175,"YYYY-MM")</f>
        <v/>
      </c>
      <c r="C175" s="25">
        <f>TEXT(A175,"MMM-YYYY")</f>
        <v/>
      </c>
      <c r="D175" s="40">
        <f>INT(A175)-WEEKDAY(A175,2)+1</f>
        <v/>
      </c>
      <c r="E175" s="25" t="inlineStr">
        <is>
          <t>pgautam</t>
        </is>
      </c>
      <c r="F175" s="25" t="n">
        <v>22726</v>
      </c>
      <c r="G175" s="25" t="n">
        <v>3</v>
      </c>
      <c r="H175" s="25" t="n">
        <v>17</v>
      </c>
      <c r="I175" s="25" t="inlineStr">
        <is>
          <t>3 minute(s) and 8 second(s)</t>
        </is>
      </c>
      <c r="J175" s="25">
        <f>IFERROR(VALUE(TRIM(LEFT(I175,FIND("minute",I175)-1)))*60,0)+IFERROR(VALUE(SUBSTITUTE(MID(I175,IFERROR(FIND("and",I175)+3,1),20),"second(s)","")),0)</f>
        <v/>
      </c>
      <c r="K175" s="41">
        <f>J175/60</f>
        <v/>
      </c>
      <c r="L175" s="41">
        <f>IFERROR(J175/H175,"")</f>
        <v/>
      </c>
      <c r="M175" s="25" t="inlineStr">
        <is>
          <t>2.5.12</t>
        </is>
      </c>
      <c r="N175" s="25">
        <f>IF(J175&gt;300,1,0)</f>
        <v/>
      </c>
      <c r="O175" s="25">
        <f>IF(J175&gt;600,1,0)</f>
        <v/>
      </c>
      <c r="P175" s="25">
        <f>IF(H175&gt;0,J175,"")</f>
        <v/>
      </c>
      <c r="Q175" s="25">
        <f>TEXT(A175,"YYYY-MM-DD HH")</f>
        <v/>
      </c>
      <c r="R175" s="25">
        <f>COUNTIF($Q$2:$Q$5295,Q175)</f>
        <v/>
      </c>
      <c r="S175" s="25">
        <f>IF(R175&lt;=2,"1-2",IF(R175&lt;=5,"3-5",IF(R175&lt;=10,"6-10","11+")))</f>
        <v/>
      </c>
    </row>
    <row r="176">
      <c r="A176" s="39" t="n">
        <v>46153.13601851852</v>
      </c>
      <c r="B176" s="25">
        <f>TEXT(A176,"YYYY-MM")</f>
        <v/>
      </c>
      <c r="C176" s="25">
        <f>TEXT(A176,"MMM-YYYY")</f>
        <v/>
      </c>
      <c r="D176" s="40">
        <f>INT(A176)-WEEKDAY(A176,2)+1</f>
        <v/>
      </c>
      <c r="E176" s="25" t="inlineStr">
        <is>
          <t>atiwari</t>
        </is>
      </c>
      <c r="F176" s="25" t="n">
        <v>97018</v>
      </c>
      <c r="G176" s="25" t="n">
        <v>5</v>
      </c>
      <c r="H176" s="25" t="n">
        <v>32</v>
      </c>
      <c r="I176" s="25" t="inlineStr">
        <is>
          <t>6 minute(s) and 8 second(s)</t>
        </is>
      </c>
      <c r="J176" s="25">
        <f>IFERROR(VALUE(TRIM(LEFT(I176,FIND("minute",I176)-1)))*60,0)+IFERROR(VALUE(SUBSTITUTE(MID(I176,IFERROR(FIND("and",I176)+3,1),20),"second(s)","")),0)</f>
        <v/>
      </c>
      <c r="K176" s="41">
        <f>J176/60</f>
        <v/>
      </c>
      <c r="L176" s="41">
        <f>IFERROR(J176/H176,"")</f>
        <v/>
      </c>
      <c r="M176" s="25" t="inlineStr">
        <is>
          <t>2.5.12</t>
        </is>
      </c>
      <c r="N176" s="25">
        <f>IF(J176&gt;300,1,0)</f>
        <v/>
      </c>
      <c r="O176" s="25">
        <f>IF(J176&gt;600,1,0)</f>
        <v/>
      </c>
      <c r="P176" s="25">
        <f>IF(H176&gt;0,J176,"")</f>
        <v/>
      </c>
      <c r="Q176" s="25">
        <f>TEXT(A176,"YYYY-MM-DD HH")</f>
        <v/>
      </c>
      <c r="R176" s="25">
        <f>COUNTIF($Q$2:$Q$5295,Q176)</f>
        <v/>
      </c>
      <c r="S176" s="25">
        <f>IF(R176&lt;=2,"1-2",IF(R176&lt;=5,"3-5",IF(R176&lt;=10,"6-10","11+")))</f>
        <v/>
      </c>
    </row>
    <row r="177">
      <c r="A177" s="39" t="n">
        <v>46153.13789351852</v>
      </c>
      <c r="B177" s="25">
        <f>TEXT(A177,"YYYY-MM")</f>
        <v/>
      </c>
      <c r="C177" s="25">
        <f>TEXT(A177,"MMM-YYYY")</f>
        <v/>
      </c>
      <c r="D177" s="40">
        <f>INT(A177)-WEEKDAY(A177,2)+1</f>
        <v/>
      </c>
      <c r="E177" s="25" t="inlineStr">
        <is>
          <t>taggarwal</t>
        </is>
      </c>
      <c r="F177" s="25" t="n">
        <v>73381</v>
      </c>
      <c r="G177" s="25" t="n">
        <v>1</v>
      </c>
      <c r="H177" s="25" t="n">
        <v>7</v>
      </c>
      <c r="I177" s="25" t="inlineStr">
        <is>
          <t>1 minute(s) and 21 second(s)</t>
        </is>
      </c>
      <c r="J177" s="25">
        <f>IFERROR(VALUE(TRIM(LEFT(I177,FIND("minute",I177)-1)))*60,0)+IFERROR(VALUE(SUBSTITUTE(MID(I177,IFERROR(FIND("and",I177)+3,1),20),"second(s)","")),0)</f>
        <v/>
      </c>
      <c r="K177" s="41">
        <f>J177/60</f>
        <v/>
      </c>
      <c r="L177" s="41">
        <f>IFERROR(J177/H177,"")</f>
        <v/>
      </c>
      <c r="M177" s="25" t="inlineStr">
        <is>
          <t>2.5.12</t>
        </is>
      </c>
      <c r="N177" s="25">
        <f>IF(J177&gt;300,1,0)</f>
        <v/>
      </c>
      <c r="O177" s="25">
        <f>IF(J177&gt;600,1,0)</f>
        <v/>
      </c>
      <c r="P177" s="25">
        <f>IF(H177&gt;0,J177,"")</f>
        <v/>
      </c>
      <c r="Q177" s="25">
        <f>TEXT(A177,"YYYY-MM-DD HH")</f>
        <v/>
      </c>
      <c r="R177" s="25">
        <f>COUNTIF($Q$2:$Q$5295,Q177)</f>
        <v/>
      </c>
      <c r="S177" s="25">
        <f>IF(R177&lt;=2,"1-2",IF(R177&lt;=5,"3-5",IF(R177&lt;=10,"6-10","11+")))</f>
        <v/>
      </c>
    </row>
    <row r="178">
      <c r="A178" s="39" t="n">
        <v>46153.14418981481</v>
      </c>
      <c r="B178" s="25">
        <f>TEXT(A178,"YYYY-MM")</f>
        <v/>
      </c>
      <c r="C178" s="25">
        <f>TEXT(A178,"MMM-YYYY")</f>
        <v/>
      </c>
      <c r="D178" s="40">
        <f>INT(A178)-WEEKDAY(A178,2)+1</f>
        <v/>
      </c>
      <c r="E178" s="25" t="inlineStr">
        <is>
          <t>aupadhayay</t>
        </is>
      </c>
      <c r="F178" s="25" t="n">
        <v>97141</v>
      </c>
      <c r="G178" s="25" t="n">
        <v>5</v>
      </c>
      <c r="H178" s="25" t="n">
        <v>17</v>
      </c>
      <c r="I178" s="25" t="inlineStr">
        <is>
          <t>3 minute(s) and 26 second(s)</t>
        </is>
      </c>
      <c r="J178" s="25">
        <f>IFERROR(VALUE(TRIM(LEFT(I178,FIND("minute",I178)-1)))*60,0)+IFERROR(VALUE(SUBSTITUTE(MID(I178,IFERROR(FIND("and",I178)+3,1),20),"second(s)","")),0)</f>
        <v/>
      </c>
      <c r="K178" s="41">
        <f>J178/60</f>
        <v/>
      </c>
      <c r="L178" s="41">
        <f>IFERROR(J178/H178,"")</f>
        <v/>
      </c>
      <c r="M178" s="25" t="inlineStr">
        <is>
          <t>2.5.12</t>
        </is>
      </c>
      <c r="N178" s="25">
        <f>IF(J178&gt;300,1,0)</f>
        <v/>
      </c>
      <c r="O178" s="25">
        <f>IF(J178&gt;600,1,0)</f>
        <v/>
      </c>
      <c r="P178" s="25">
        <f>IF(H178&gt;0,J178,"")</f>
        <v/>
      </c>
      <c r="Q178" s="25">
        <f>TEXT(A178,"YYYY-MM-DD HH")</f>
        <v/>
      </c>
      <c r="R178" s="25">
        <f>COUNTIF($Q$2:$Q$5295,Q178)</f>
        <v/>
      </c>
      <c r="S178" s="25">
        <f>IF(R178&lt;=2,"1-2",IF(R178&lt;=5,"3-5",IF(R178&lt;=10,"6-10","11+")))</f>
        <v/>
      </c>
    </row>
    <row r="179">
      <c r="A179" s="39" t="n">
        <v>46153.14711805555</v>
      </c>
      <c r="B179" s="25">
        <f>TEXT(A179,"YYYY-MM")</f>
        <v/>
      </c>
      <c r="C179" s="25">
        <f>TEXT(A179,"MMM-YYYY")</f>
        <v/>
      </c>
      <c r="D179" s="40">
        <f>INT(A179)-WEEKDAY(A179,2)+1</f>
        <v/>
      </c>
      <c r="E179" s="25" t="inlineStr">
        <is>
          <t>asahoo</t>
        </is>
      </c>
      <c r="F179" s="25" t="n">
        <v>107744</v>
      </c>
      <c r="G179" s="25" t="n">
        <v>5</v>
      </c>
      <c r="H179" s="25" t="n">
        <v>17</v>
      </c>
      <c r="I179" s="25" t="inlineStr">
        <is>
          <t>5 minute(s) and 32 second(s)</t>
        </is>
      </c>
      <c r="J179" s="25">
        <f>IFERROR(VALUE(TRIM(LEFT(I179,FIND("minute",I179)-1)))*60,0)+IFERROR(VALUE(SUBSTITUTE(MID(I179,IFERROR(FIND("and",I179)+3,1),20),"second(s)","")),0)</f>
        <v/>
      </c>
      <c r="K179" s="41">
        <f>J179/60</f>
        <v/>
      </c>
      <c r="L179" s="41">
        <f>IFERROR(J179/H179,"")</f>
        <v/>
      </c>
      <c r="M179" s="25" t="inlineStr">
        <is>
          <t>2.5.12</t>
        </is>
      </c>
      <c r="N179" s="25">
        <f>IF(J179&gt;300,1,0)</f>
        <v/>
      </c>
      <c r="O179" s="25">
        <f>IF(J179&gt;600,1,0)</f>
        <v/>
      </c>
      <c r="P179" s="25">
        <f>IF(H179&gt;0,J179,"")</f>
        <v/>
      </c>
      <c r="Q179" s="25">
        <f>TEXT(A179,"YYYY-MM-DD HH")</f>
        <v/>
      </c>
      <c r="R179" s="25">
        <f>COUNTIF($Q$2:$Q$5295,Q179)</f>
        <v/>
      </c>
      <c r="S179" s="25">
        <f>IF(R179&lt;=2,"1-2",IF(R179&lt;=5,"3-5",IF(R179&lt;=10,"6-10","11+")))</f>
        <v/>
      </c>
    </row>
    <row r="180">
      <c r="A180" s="39" t="n">
        <v>46153.14826388889</v>
      </c>
      <c r="B180" s="25">
        <f>TEXT(A180,"YYYY-MM")</f>
        <v/>
      </c>
      <c r="C180" s="25">
        <f>TEXT(A180,"MMM-YYYY")</f>
        <v/>
      </c>
      <c r="D180" s="40">
        <f>INT(A180)-WEEKDAY(A180,2)+1</f>
        <v/>
      </c>
      <c r="E180" s="25" t="inlineStr">
        <is>
          <t>abhaskarkp</t>
        </is>
      </c>
      <c r="F180" s="25" t="n">
        <v>73509</v>
      </c>
      <c r="G180" s="25" t="n">
        <v>3</v>
      </c>
      <c r="H180" s="25" t="n">
        <v>11</v>
      </c>
      <c r="I180" s="25" t="inlineStr">
        <is>
          <t>4 minute(s) and 54 second(s)</t>
        </is>
      </c>
      <c r="J180" s="25">
        <f>IFERROR(VALUE(TRIM(LEFT(I180,FIND("minute",I180)-1)))*60,0)+IFERROR(VALUE(SUBSTITUTE(MID(I180,IFERROR(FIND("and",I180)+3,1),20),"second(s)","")),0)</f>
        <v/>
      </c>
      <c r="K180" s="41">
        <f>J180/60</f>
        <v/>
      </c>
      <c r="L180" s="41">
        <f>IFERROR(J180/H180,"")</f>
        <v/>
      </c>
      <c r="M180" s="25" t="inlineStr">
        <is>
          <t>2.5.12</t>
        </is>
      </c>
      <c r="N180" s="25">
        <f>IF(J180&gt;300,1,0)</f>
        <v/>
      </c>
      <c r="O180" s="25">
        <f>IF(J180&gt;600,1,0)</f>
        <v/>
      </c>
      <c r="P180" s="25">
        <f>IF(H180&gt;0,J180,"")</f>
        <v/>
      </c>
      <c r="Q180" s="25">
        <f>TEXT(A180,"YYYY-MM-DD HH")</f>
        <v/>
      </c>
      <c r="R180" s="25">
        <f>COUNTIF($Q$2:$Q$5295,Q180)</f>
        <v/>
      </c>
      <c r="S180" s="25">
        <f>IF(R180&lt;=2,"1-2",IF(R180&lt;=5,"3-5",IF(R180&lt;=10,"6-10","11+")))</f>
        <v/>
      </c>
    </row>
    <row r="181">
      <c r="A181" s="39" t="n">
        <v>46153.15162037037</v>
      </c>
      <c r="B181" s="25">
        <f>TEXT(A181,"YYYY-MM")</f>
        <v/>
      </c>
      <c r="C181" s="25">
        <f>TEXT(A181,"MMM-YYYY")</f>
        <v/>
      </c>
      <c r="D181" s="40">
        <f>INT(A181)-WEEKDAY(A181,2)+1</f>
        <v/>
      </c>
      <c r="E181" s="25" t="inlineStr">
        <is>
          <t>nlnu</t>
        </is>
      </c>
      <c r="F181" s="25" t="n">
        <v>105354</v>
      </c>
      <c r="G181" s="25" t="n">
        <v>5</v>
      </c>
      <c r="H181" s="25" t="n">
        <v>23</v>
      </c>
      <c r="I181" s="25" t="inlineStr">
        <is>
          <t>5 minute(s) and 3 second(s)</t>
        </is>
      </c>
      <c r="J181" s="25">
        <f>IFERROR(VALUE(TRIM(LEFT(I181,FIND("minute",I181)-1)))*60,0)+IFERROR(VALUE(SUBSTITUTE(MID(I181,IFERROR(FIND("and",I181)+3,1),20),"second(s)","")),0)</f>
        <v/>
      </c>
      <c r="K181" s="41">
        <f>J181/60</f>
        <v/>
      </c>
      <c r="L181" s="41">
        <f>IFERROR(J181/H181,"")</f>
        <v/>
      </c>
      <c r="M181" s="25" t="inlineStr">
        <is>
          <t>2.5.12</t>
        </is>
      </c>
      <c r="N181" s="25">
        <f>IF(J181&gt;300,1,0)</f>
        <v/>
      </c>
      <c r="O181" s="25">
        <f>IF(J181&gt;600,1,0)</f>
        <v/>
      </c>
      <c r="P181" s="25">
        <f>IF(H181&gt;0,J181,"")</f>
        <v/>
      </c>
      <c r="Q181" s="25">
        <f>TEXT(A181,"YYYY-MM-DD HH")</f>
        <v/>
      </c>
      <c r="R181" s="25">
        <f>COUNTIF($Q$2:$Q$5295,Q181)</f>
        <v/>
      </c>
      <c r="S181" s="25">
        <f>IF(R181&lt;=2,"1-2",IF(R181&lt;=5,"3-5",IF(R181&lt;=10,"6-10","11+")))</f>
        <v/>
      </c>
    </row>
    <row r="182">
      <c r="A182" s="39" t="n">
        <v>46153.153125</v>
      </c>
      <c r="B182" s="25">
        <f>TEXT(A182,"YYYY-MM")</f>
        <v/>
      </c>
      <c r="C182" s="25">
        <f>TEXT(A182,"MMM-YYYY")</f>
        <v/>
      </c>
      <c r="D182" s="40">
        <f>INT(A182)-WEEKDAY(A182,2)+1</f>
        <v/>
      </c>
      <c r="E182" s="25" t="inlineStr">
        <is>
          <t>smukhopadhyay</t>
        </is>
      </c>
      <c r="F182" s="25" t="n">
        <v>71304</v>
      </c>
      <c r="G182" s="25" t="n">
        <v>1</v>
      </c>
      <c r="H182" s="25" t="n">
        <v>7</v>
      </c>
      <c r="I182" s="25" t="inlineStr">
        <is>
          <t>1 minute(s) and 36 second(s)</t>
        </is>
      </c>
      <c r="J182" s="25">
        <f>IFERROR(VALUE(TRIM(LEFT(I182,FIND("minute",I182)-1)))*60,0)+IFERROR(VALUE(SUBSTITUTE(MID(I182,IFERROR(FIND("and",I182)+3,1),20),"second(s)","")),0)</f>
        <v/>
      </c>
      <c r="K182" s="41">
        <f>J182/60</f>
        <v/>
      </c>
      <c r="L182" s="41">
        <f>IFERROR(J182/H182,"")</f>
        <v/>
      </c>
      <c r="M182" s="25" t="inlineStr">
        <is>
          <t>2.5.12</t>
        </is>
      </c>
      <c r="N182" s="25">
        <f>IF(J182&gt;300,1,0)</f>
        <v/>
      </c>
      <c r="O182" s="25">
        <f>IF(J182&gt;600,1,0)</f>
        <v/>
      </c>
      <c r="P182" s="25">
        <f>IF(H182&gt;0,J182,"")</f>
        <v/>
      </c>
      <c r="Q182" s="25">
        <f>TEXT(A182,"YYYY-MM-DD HH")</f>
        <v/>
      </c>
      <c r="R182" s="25">
        <f>COUNTIF($Q$2:$Q$5295,Q182)</f>
        <v/>
      </c>
      <c r="S182" s="25">
        <f>IF(R182&lt;=2,"1-2",IF(R182&lt;=5,"3-5",IF(R182&lt;=10,"6-10","11+")))</f>
        <v/>
      </c>
    </row>
    <row r="183">
      <c r="A183" s="39" t="n">
        <v>46153.15438657408</v>
      </c>
      <c r="B183" s="25">
        <f>TEXT(A183,"YYYY-MM")</f>
        <v/>
      </c>
      <c r="C183" s="25">
        <f>TEXT(A183,"MMM-YYYY")</f>
        <v/>
      </c>
      <c r="D183" s="40">
        <f>INT(A183)-WEEKDAY(A183,2)+1</f>
        <v/>
      </c>
      <c r="E183" s="25" t="inlineStr">
        <is>
          <t>npriya</t>
        </is>
      </c>
      <c r="F183" s="25" t="n">
        <v>94455</v>
      </c>
      <c r="G183" s="25" t="n">
        <v>2</v>
      </c>
      <c r="H183" s="25" t="n">
        <v>12</v>
      </c>
      <c r="I183" s="25" t="inlineStr">
        <is>
          <t>3 minute(s) and 2 second(s)</t>
        </is>
      </c>
      <c r="J183" s="25">
        <f>IFERROR(VALUE(TRIM(LEFT(I183,FIND("minute",I183)-1)))*60,0)+IFERROR(VALUE(SUBSTITUTE(MID(I183,IFERROR(FIND("and",I183)+3,1),20),"second(s)","")),0)</f>
        <v/>
      </c>
      <c r="K183" s="41">
        <f>J183/60</f>
        <v/>
      </c>
      <c r="L183" s="41">
        <f>IFERROR(J183/H183,"")</f>
        <v/>
      </c>
      <c r="M183" s="25" t="inlineStr">
        <is>
          <t>2.5.12</t>
        </is>
      </c>
      <c r="N183" s="25">
        <f>IF(J183&gt;300,1,0)</f>
        <v/>
      </c>
      <c r="O183" s="25">
        <f>IF(J183&gt;600,1,0)</f>
        <v/>
      </c>
      <c r="P183" s="25">
        <f>IF(H183&gt;0,J183,"")</f>
        <v/>
      </c>
      <c r="Q183" s="25">
        <f>TEXT(A183,"YYYY-MM-DD HH")</f>
        <v/>
      </c>
      <c r="R183" s="25">
        <f>COUNTIF($Q$2:$Q$5295,Q183)</f>
        <v/>
      </c>
      <c r="S183" s="25">
        <f>IF(R183&lt;=2,"1-2",IF(R183&lt;=5,"3-5",IF(R183&lt;=10,"6-10","11+")))</f>
        <v/>
      </c>
    </row>
    <row r="184">
      <c r="A184" s="39" t="n">
        <v>46153.15815972222</v>
      </c>
      <c r="B184" s="25">
        <f>TEXT(A184,"YYYY-MM")</f>
        <v/>
      </c>
      <c r="C184" s="25">
        <f>TEXT(A184,"MMM-YYYY")</f>
        <v/>
      </c>
      <c r="D184" s="40">
        <f>INT(A184)-WEEKDAY(A184,2)+1</f>
        <v/>
      </c>
      <c r="E184" s="25" t="inlineStr">
        <is>
          <t>shassan</t>
        </is>
      </c>
      <c r="F184" s="25" t="n">
        <v>7909</v>
      </c>
      <c r="G184" s="25" t="n">
        <v>2</v>
      </c>
      <c r="H184" s="25" t="n">
        <v>6</v>
      </c>
      <c r="I184" s="25" t="inlineStr">
        <is>
          <t>2 minute(s) and 41 second(s)</t>
        </is>
      </c>
      <c r="J184" s="25">
        <f>IFERROR(VALUE(TRIM(LEFT(I184,FIND("minute",I184)-1)))*60,0)+IFERROR(VALUE(SUBSTITUTE(MID(I184,IFERROR(FIND("and",I184)+3,1),20),"second(s)","")),0)</f>
        <v/>
      </c>
      <c r="K184" s="41">
        <f>J184/60</f>
        <v/>
      </c>
      <c r="L184" s="41">
        <f>IFERROR(J184/H184,"")</f>
        <v/>
      </c>
      <c r="M184" s="25" t="inlineStr">
        <is>
          <t>2.5.12</t>
        </is>
      </c>
      <c r="N184" s="25">
        <f>IF(J184&gt;300,1,0)</f>
        <v/>
      </c>
      <c r="O184" s="25">
        <f>IF(J184&gt;600,1,0)</f>
        <v/>
      </c>
      <c r="P184" s="25">
        <f>IF(H184&gt;0,J184,"")</f>
        <v/>
      </c>
      <c r="Q184" s="25">
        <f>TEXT(A184,"YYYY-MM-DD HH")</f>
        <v/>
      </c>
      <c r="R184" s="25">
        <f>COUNTIF($Q$2:$Q$5295,Q184)</f>
        <v/>
      </c>
      <c r="S184" s="25">
        <f>IF(R184&lt;=2,"1-2",IF(R184&lt;=5,"3-5",IF(R184&lt;=10,"6-10","11+")))</f>
        <v/>
      </c>
    </row>
    <row r="185">
      <c r="A185" s="39" t="n">
        <v>46153.1628587963</v>
      </c>
      <c r="B185" s="25">
        <f>TEXT(A185,"YYYY-MM")</f>
        <v/>
      </c>
      <c r="C185" s="25">
        <f>TEXT(A185,"MMM-YYYY")</f>
        <v/>
      </c>
      <c r="D185" s="40">
        <f>INT(A185)-WEEKDAY(A185,2)+1</f>
        <v/>
      </c>
      <c r="E185" s="25" t="inlineStr">
        <is>
          <t>ptomar</t>
        </is>
      </c>
      <c r="F185" s="25" t="n">
        <v>104342</v>
      </c>
      <c r="G185" s="25" t="n">
        <v>1</v>
      </c>
      <c r="H185" s="25" t="n">
        <v>7</v>
      </c>
      <c r="I185" s="25" t="inlineStr">
        <is>
          <t>1 minute(s) and 12 second(s)</t>
        </is>
      </c>
      <c r="J185" s="25">
        <f>IFERROR(VALUE(TRIM(LEFT(I185,FIND("minute",I185)-1)))*60,0)+IFERROR(VALUE(SUBSTITUTE(MID(I185,IFERROR(FIND("and",I185)+3,1),20),"second(s)","")),0)</f>
        <v/>
      </c>
      <c r="K185" s="41">
        <f>J185/60</f>
        <v/>
      </c>
      <c r="L185" s="41">
        <f>IFERROR(J185/H185,"")</f>
        <v/>
      </c>
      <c r="M185" s="25" t="inlineStr">
        <is>
          <t>2.5.12</t>
        </is>
      </c>
      <c r="N185" s="25">
        <f>IF(J185&gt;300,1,0)</f>
        <v/>
      </c>
      <c r="O185" s="25">
        <f>IF(J185&gt;600,1,0)</f>
        <v/>
      </c>
      <c r="P185" s="25">
        <f>IF(H185&gt;0,J185,"")</f>
        <v/>
      </c>
      <c r="Q185" s="25">
        <f>TEXT(A185,"YYYY-MM-DD HH")</f>
        <v/>
      </c>
      <c r="R185" s="25">
        <f>COUNTIF($Q$2:$Q$5295,Q185)</f>
        <v/>
      </c>
      <c r="S185" s="25">
        <f>IF(R185&lt;=2,"1-2",IF(R185&lt;=5,"3-5",IF(R185&lt;=10,"6-10","11+")))</f>
        <v/>
      </c>
    </row>
    <row r="186">
      <c r="A186" s="39" t="n">
        <v>46153.16660879629</v>
      </c>
      <c r="B186" s="25">
        <f>TEXT(A186,"YYYY-MM")</f>
        <v/>
      </c>
      <c r="C186" s="25">
        <f>TEXT(A186,"MMM-YYYY")</f>
        <v/>
      </c>
      <c r="D186" s="40">
        <f>INT(A186)-WEEKDAY(A186,2)+1</f>
        <v/>
      </c>
      <c r="E186" s="25" t="inlineStr">
        <is>
          <t>arsarkar</t>
        </is>
      </c>
      <c r="F186" s="25" t="n">
        <v>113758</v>
      </c>
      <c r="G186" s="25" t="n">
        <v>5</v>
      </c>
      <c r="H186" s="25" t="n">
        <v>17</v>
      </c>
      <c r="I186" s="25" t="inlineStr">
        <is>
          <t>5 minute(s) and 53 second(s)</t>
        </is>
      </c>
      <c r="J186" s="25">
        <f>IFERROR(VALUE(TRIM(LEFT(I186,FIND("minute",I186)-1)))*60,0)+IFERROR(VALUE(SUBSTITUTE(MID(I186,IFERROR(FIND("and",I186)+3,1),20),"second(s)","")),0)</f>
        <v/>
      </c>
      <c r="K186" s="41">
        <f>J186/60</f>
        <v/>
      </c>
      <c r="L186" s="41">
        <f>IFERROR(J186/H186,"")</f>
        <v/>
      </c>
      <c r="M186" s="25" t="inlineStr">
        <is>
          <t>2.5.12</t>
        </is>
      </c>
      <c r="N186" s="25">
        <f>IF(J186&gt;300,1,0)</f>
        <v/>
      </c>
      <c r="O186" s="25">
        <f>IF(J186&gt;600,1,0)</f>
        <v/>
      </c>
      <c r="P186" s="25">
        <f>IF(H186&gt;0,J186,"")</f>
        <v/>
      </c>
      <c r="Q186" s="25">
        <f>TEXT(A186,"YYYY-MM-DD HH")</f>
        <v/>
      </c>
      <c r="R186" s="25">
        <f>COUNTIF($Q$2:$Q$5295,Q186)</f>
        <v/>
      </c>
      <c r="S186" s="25">
        <f>IF(R186&lt;=2,"1-2",IF(R186&lt;=5,"3-5",IF(R186&lt;=10,"6-10","11+")))</f>
        <v/>
      </c>
    </row>
    <row r="187">
      <c r="A187" s="39" t="n">
        <v>46153.16833333333</v>
      </c>
      <c r="B187" s="25">
        <f>TEXT(A187,"YYYY-MM")</f>
        <v/>
      </c>
      <c r="C187" s="25">
        <f>TEXT(A187,"MMM-YYYY")</f>
        <v/>
      </c>
      <c r="D187" s="40">
        <f>INT(A187)-WEEKDAY(A187,2)+1</f>
        <v/>
      </c>
      <c r="E187" s="25" t="inlineStr">
        <is>
          <t>psathwika</t>
        </is>
      </c>
      <c r="F187" s="25" t="n">
        <v>114734</v>
      </c>
      <c r="G187" s="25" t="n">
        <v>3</v>
      </c>
      <c r="H187" s="25" t="n">
        <v>15</v>
      </c>
      <c r="I187" s="25" t="inlineStr">
        <is>
          <t>8 minute(s) and 18 second(s)</t>
        </is>
      </c>
      <c r="J187" s="25">
        <f>IFERROR(VALUE(TRIM(LEFT(I187,FIND("minute",I187)-1)))*60,0)+IFERROR(VALUE(SUBSTITUTE(MID(I187,IFERROR(FIND("and",I187)+3,1),20),"second(s)","")),0)</f>
        <v/>
      </c>
      <c r="K187" s="41">
        <f>J187/60</f>
        <v/>
      </c>
      <c r="L187" s="41">
        <f>IFERROR(J187/H187,"")</f>
        <v/>
      </c>
      <c r="M187" s="25" t="inlineStr">
        <is>
          <t>2.5.12</t>
        </is>
      </c>
      <c r="N187" s="25">
        <f>IF(J187&gt;300,1,0)</f>
        <v/>
      </c>
      <c r="O187" s="25">
        <f>IF(J187&gt;600,1,0)</f>
        <v/>
      </c>
      <c r="P187" s="25">
        <f>IF(H187&gt;0,J187,"")</f>
        <v/>
      </c>
      <c r="Q187" s="25">
        <f>TEXT(A187,"YYYY-MM-DD HH")</f>
        <v/>
      </c>
      <c r="R187" s="25">
        <f>COUNTIF($Q$2:$Q$5295,Q187)</f>
        <v/>
      </c>
      <c r="S187" s="25">
        <f>IF(R187&lt;=2,"1-2",IF(R187&lt;=5,"3-5",IF(R187&lt;=10,"6-10","11+")))</f>
        <v/>
      </c>
    </row>
    <row r="188">
      <c r="A188" s="39" t="n">
        <v>46153.16923611111</v>
      </c>
      <c r="B188" s="25">
        <f>TEXT(A188,"YYYY-MM")</f>
        <v/>
      </c>
      <c r="C188" s="25">
        <f>TEXT(A188,"MMM-YYYY")</f>
        <v/>
      </c>
      <c r="D188" s="40">
        <f>INT(A188)-WEEKDAY(A188,2)+1</f>
        <v/>
      </c>
      <c r="E188" s="25" t="inlineStr">
        <is>
          <t>vreddy</t>
        </is>
      </c>
      <c r="F188" s="25" t="n">
        <v>67741</v>
      </c>
      <c r="G188" s="25" t="n">
        <v>1</v>
      </c>
      <c r="H188" s="25" t="n">
        <v>5</v>
      </c>
      <c r="I188" s="25" t="inlineStr">
        <is>
          <t>46 second(s)</t>
        </is>
      </c>
      <c r="J188" s="25">
        <f>IFERROR(VALUE(TRIM(LEFT(I188,FIND("minute",I188)-1)))*60,0)+IFERROR(VALUE(SUBSTITUTE(MID(I188,IFERROR(FIND("and",I188)+3,1),20),"second(s)","")),0)</f>
        <v/>
      </c>
      <c r="K188" s="41">
        <f>J188/60</f>
        <v/>
      </c>
      <c r="L188" s="41">
        <f>IFERROR(J188/H188,"")</f>
        <v/>
      </c>
      <c r="M188" s="25" t="inlineStr">
        <is>
          <t>2.5.12</t>
        </is>
      </c>
      <c r="N188" s="25">
        <f>IF(J188&gt;300,1,0)</f>
        <v/>
      </c>
      <c r="O188" s="25">
        <f>IF(J188&gt;600,1,0)</f>
        <v/>
      </c>
      <c r="P188" s="25">
        <f>IF(H188&gt;0,J188,"")</f>
        <v/>
      </c>
      <c r="Q188" s="25">
        <f>TEXT(A188,"YYYY-MM-DD HH")</f>
        <v/>
      </c>
      <c r="R188" s="25">
        <f>COUNTIF($Q$2:$Q$5295,Q188)</f>
        <v/>
      </c>
      <c r="S188" s="25">
        <f>IF(R188&lt;=2,"1-2",IF(R188&lt;=5,"3-5",IF(R188&lt;=10,"6-10","11+")))</f>
        <v/>
      </c>
    </row>
    <row r="189">
      <c r="A189" s="39" t="n">
        <v>46153.16930555556</v>
      </c>
      <c r="B189" s="25">
        <f>TEXT(A189,"YYYY-MM")</f>
        <v/>
      </c>
      <c r="C189" s="25">
        <f>TEXT(A189,"MMM-YYYY")</f>
        <v/>
      </c>
      <c r="D189" s="40">
        <f>INT(A189)-WEEKDAY(A189,2)+1</f>
        <v/>
      </c>
      <c r="E189" s="25" t="inlineStr">
        <is>
          <t>aghosh</t>
        </is>
      </c>
      <c r="F189" s="25" t="n">
        <v>19786</v>
      </c>
      <c r="G189" s="25" t="n">
        <v>4</v>
      </c>
      <c r="H189" s="25" t="n">
        <v>22</v>
      </c>
      <c r="I189" s="25" t="inlineStr">
        <is>
          <t>6 minute(s) and 39 second(s)</t>
        </is>
      </c>
      <c r="J189" s="25">
        <f>IFERROR(VALUE(TRIM(LEFT(I189,FIND("minute",I189)-1)))*60,0)+IFERROR(VALUE(SUBSTITUTE(MID(I189,IFERROR(FIND("and",I189)+3,1),20),"second(s)","")),0)</f>
        <v/>
      </c>
      <c r="K189" s="41">
        <f>J189/60</f>
        <v/>
      </c>
      <c r="L189" s="41">
        <f>IFERROR(J189/H189,"")</f>
        <v/>
      </c>
      <c r="M189" s="25" t="inlineStr">
        <is>
          <t>2.5.12</t>
        </is>
      </c>
      <c r="N189" s="25">
        <f>IF(J189&gt;300,1,0)</f>
        <v/>
      </c>
      <c r="O189" s="25">
        <f>IF(J189&gt;600,1,0)</f>
        <v/>
      </c>
      <c r="P189" s="25">
        <f>IF(H189&gt;0,J189,"")</f>
        <v/>
      </c>
      <c r="Q189" s="25">
        <f>TEXT(A189,"YYYY-MM-DD HH")</f>
        <v/>
      </c>
      <c r="R189" s="25">
        <f>COUNTIF($Q$2:$Q$5295,Q189)</f>
        <v/>
      </c>
      <c r="S189" s="25">
        <f>IF(R189&lt;=2,"1-2",IF(R189&lt;=5,"3-5",IF(R189&lt;=10,"6-10","11+")))</f>
        <v/>
      </c>
    </row>
    <row r="190">
      <c r="A190" s="39" t="n">
        <v>46153.1706712963</v>
      </c>
      <c r="B190" s="25">
        <f>TEXT(A190,"YYYY-MM")</f>
        <v/>
      </c>
      <c r="C190" s="25">
        <f>TEXT(A190,"MMM-YYYY")</f>
        <v/>
      </c>
      <c r="D190" s="40">
        <f>INT(A190)-WEEKDAY(A190,2)+1</f>
        <v/>
      </c>
      <c r="E190" s="25" t="inlineStr">
        <is>
          <t>taggarwal</t>
        </is>
      </c>
      <c r="F190" s="25" t="n">
        <v>92783</v>
      </c>
      <c r="G190" s="25" t="n">
        <v>1</v>
      </c>
      <c r="H190" s="25" t="n">
        <v>5</v>
      </c>
      <c r="I190" s="25" t="inlineStr">
        <is>
          <t>46 second(s)</t>
        </is>
      </c>
      <c r="J190" s="25">
        <f>IFERROR(VALUE(TRIM(LEFT(I190,FIND("minute",I190)-1)))*60,0)+IFERROR(VALUE(SUBSTITUTE(MID(I190,IFERROR(FIND("and",I190)+3,1),20),"second(s)","")),0)</f>
        <v/>
      </c>
      <c r="K190" s="41">
        <f>J190/60</f>
        <v/>
      </c>
      <c r="L190" s="41">
        <f>IFERROR(J190/H190,"")</f>
        <v/>
      </c>
      <c r="M190" s="25" t="inlineStr">
        <is>
          <t>2.5.12</t>
        </is>
      </c>
      <c r="N190" s="25">
        <f>IF(J190&gt;300,1,0)</f>
        <v/>
      </c>
      <c r="O190" s="25">
        <f>IF(J190&gt;600,1,0)</f>
        <v/>
      </c>
      <c r="P190" s="25">
        <f>IF(H190&gt;0,J190,"")</f>
        <v/>
      </c>
      <c r="Q190" s="25">
        <f>TEXT(A190,"YYYY-MM-DD HH")</f>
        <v/>
      </c>
      <c r="R190" s="25">
        <f>COUNTIF($Q$2:$Q$5295,Q190)</f>
        <v/>
      </c>
      <c r="S190" s="25">
        <f>IF(R190&lt;=2,"1-2",IF(R190&lt;=5,"3-5",IF(R190&lt;=10,"6-10","11+")))</f>
        <v/>
      </c>
    </row>
    <row r="191">
      <c r="A191" s="39" t="n">
        <v>46153.17207175926</v>
      </c>
      <c r="B191" s="25">
        <f>TEXT(A191,"YYYY-MM")</f>
        <v/>
      </c>
      <c r="C191" s="25">
        <f>TEXT(A191,"MMM-YYYY")</f>
        <v/>
      </c>
      <c r="D191" s="40">
        <f>INT(A191)-WEEKDAY(A191,2)+1</f>
        <v/>
      </c>
      <c r="E191" s="25" t="inlineStr">
        <is>
          <t>kananya</t>
        </is>
      </c>
      <c r="F191" s="25" t="n">
        <v>93957</v>
      </c>
      <c r="G191" s="25" t="n">
        <v>5</v>
      </c>
      <c r="H191" s="25" t="n">
        <v>34</v>
      </c>
      <c r="I191" s="25" t="inlineStr">
        <is>
          <t>7 minute(s) and 37 second(s)</t>
        </is>
      </c>
      <c r="J191" s="25">
        <f>IFERROR(VALUE(TRIM(LEFT(I191,FIND("minute",I191)-1)))*60,0)+IFERROR(VALUE(SUBSTITUTE(MID(I191,IFERROR(FIND("and",I191)+3,1),20),"second(s)","")),0)</f>
        <v/>
      </c>
      <c r="K191" s="41">
        <f>J191/60</f>
        <v/>
      </c>
      <c r="L191" s="41">
        <f>IFERROR(J191/H191,"")</f>
        <v/>
      </c>
      <c r="M191" s="25" t="inlineStr">
        <is>
          <t>2.5.12</t>
        </is>
      </c>
      <c r="N191" s="25">
        <f>IF(J191&gt;300,1,0)</f>
        <v/>
      </c>
      <c r="O191" s="25">
        <f>IF(J191&gt;600,1,0)</f>
        <v/>
      </c>
      <c r="P191" s="25">
        <f>IF(H191&gt;0,J191,"")</f>
        <v/>
      </c>
      <c r="Q191" s="25">
        <f>TEXT(A191,"YYYY-MM-DD HH")</f>
        <v/>
      </c>
      <c r="R191" s="25">
        <f>COUNTIF($Q$2:$Q$5295,Q191)</f>
        <v/>
      </c>
      <c r="S191" s="25">
        <f>IF(R191&lt;=2,"1-2",IF(R191&lt;=5,"3-5",IF(R191&lt;=10,"6-10","11+")))</f>
        <v/>
      </c>
    </row>
    <row r="192">
      <c r="A192" s="39" t="n">
        <v>46153.1760300926</v>
      </c>
      <c r="B192" s="25">
        <f>TEXT(A192,"YYYY-MM")</f>
        <v/>
      </c>
      <c r="C192" s="25">
        <f>TEXT(A192,"MMM-YYYY")</f>
        <v/>
      </c>
      <c r="D192" s="40">
        <f>INT(A192)-WEEKDAY(A192,2)+1</f>
        <v/>
      </c>
      <c r="E192" s="25" t="inlineStr">
        <is>
          <t>mgupta</t>
        </is>
      </c>
      <c r="F192" s="25" t="n">
        <v>107267</v>
      </c>
      <c r="G192" s="25" t="n">
        <v>2</v>
      </c>
      <c r="H192" s="25" t="n">
        <v>10</v>
      </c>
      <c r="I192" s="25" t="inlineStr">
        <is>
          <t>2 minute(s) and 34 second(s)</t>
        </is>
      </c>
      <c r="J192" s="25">
        <f>IFERROR(VALUE(TRIM(LEFT(I192,FIND("minute",I192)-1)))*60,0)+IFERROR(VALUE(SUBSTITUTE(MID(I192,IFERROR(FIND("and",I192)+3,1),20),"second(s)","")),0)</f>
        <v/>
      </c>
      <c r="K192" s="41">
        <f>J192/60</f>
        <v/>
      </c>
      <c r="L192" s="41">
        <f>IFERROR(J192/H192,"")</f>
        <v/>
      </c>
      <c r="M192" s="25" t="inlineStr">
        <is>
          <t>2.5.12</t>
        </is>
      </c>
      <c r="N192" s="25">
        <f>IF(J192&gt;300,1,0)</f>
        <v/>
      </c>
      <c r="O192" s="25">
        <f>IF(J192&gt;600,1,0)</f>
        <v/>
      </c>
      <c r="P192" s="25">
        <f>IF(H192&gt;0,J192,"")</f>
        <v/>
      </c>
      <c r="Q192" s="25">
        <f>TEXT(A192,"YYYY-MM-DD HH")</f>
        <v/>
      </c>
      <c r="R192" s="25">
        <f>COUNTIF($Q$2:$Q$5295,Q192)</f>
        <v/>
      </c>
      <c r="S192" s="25">
        <f>IF(R192&lt;=2,"1-2",IF(R192&lt;=5,"3-5",IF(R192&lt;=10,"6-10","11+")))</f>
        <v/>
      </c>
    </row>
    <row r="193">
      <c r="A193" s="39" t="n">
        <v>46153.17728009259</v>
      </c>
      <c r="B193" s="25">
        <f>TEXT(A193,"YYYY-MM")</f>
        <v/>
      </c>
      <c r="C193" s="25">
        <f>TEXT(A193,"MMM-YYYY")</f>
        <v/>
      </c>
      <c r="D193" s="40">
        <f>INT(A193)-WEEKDAY(A193,2)+1</f>
        <v/>
      </c>
      <c r="E193" s="25" t="inlineStr">
        <is>
          <t>sswati</t>
        </is>
      </c>
      <c r="F193" s="25" t="n">
        <v>93067</v>
      </c>
      <c r="G193" s="25" t="n">
        <v>2</v>
      </c>
      <c r="H193" s="25" t="n">
        <v>13</v>
      </c>
      <c r="I193" s="25" t="inlineStr">
        <is>
          <t>3 minute(s) and 6 second(s)</t>
        </is>
      </c>
      <c r="J193" s="25">
        <f>IFERROR(VALUE(TRIM(LEFT(I193,FIND("minute",I193)-1)))*60,0)+IFERROR(VALUE(SUBSTITUTE(MID(I193,IFERROR(FIND("and",I193)+3,1),20),"second(s)","")),0)</f>
        <v/>
      </c>
      <c r="K193" s="41">
        <f>J193/60</f>
        <v/>
      </c>
      <c r="L193" s="41">
        <f>IFERROR(J193/H193,"")</f>
        <v/>
      </c>
      <c r="M193" s="25" t="inlineStr">
        <is>
          <t>2.5.12</t>
        </is>
      </c>
      <c r="N193" s="25">
        <f>IF(J193&gt;300,1,0)</f>
        <v/>
      </c>
      <c r="O193" s="25">
        <f>IF(J193&gt;600,1,0)</f>
        <v/>
      </c>
      <c r="P193" s="25">
        <f>IF(H193&gt;0,J193,"")</f>
        <v/>
      </c>
      <c r="Q193" s="25">
        <f>TEXT(A193,"YYYY-MM-DD HH")</f>
        <v/>
      </c>
      <c r="R193" s="25">
        <f>COUNTIF($Q$2:$Q$5295,Q193)</f>
        <v/>
      </c>
      <c r="S193" s="25">
        <f>IF(R193&lt;=2,"1-2",IF(R193&lt;=5,"3-5",IF(R193&lt;=10,"6-10","11+")))</f>
        <v/>
      </c>
    </row>
    <row r="194">
      <c r="A194" s="39" t="n">
        <v>46153.18267361111</v>
      </c>
      <c r="B194" s="25">
        <f>TEXT(A194,"YYYY-MM")</f>
        <v/>
      </c>
      <c r="C194" s="25">
        <f>TEXT(A194,"MMM-YYYY")</f>
        <v/>
      </c>
      <c r="D194" s="40">
        <f>INT(A194)-WEEKDAY(A194,2)+1</f>
        <v/>
      </c>
      <c r="E194" s="25" t="inlineStr">
        <is>
          <t>aupadhayay</t>
        </is>
      </c>
      <c r="F194" s="25" t="n">
        <v>98531</v>
      </c>
      <c r="G194" s="25" t="n">
        <v>6</v>
      </c>
      <c r="H194" s="25" t="n">
        <v>20</v>
      </c>
      <c r="I194" s="25" t="inlineStr">
        <is>
          <t>5 minute(s) and 6 second(s)</t>
        </is>
      </c>
      <c r="J194" s="25">
        <f>IFERROR(VALUE(TRIM(LEFT(I194,FIND("minute",I194)-1)))*60,0)+IFERROR(VALUE(SUBSTITUTE(MID(I194,IFERROR(FIND("and",I194)+3,1),20),"second(s)","")),0)</f>
        <v/>
      </c>
      <c r="K194" s="41">
        <f>J194/60</f>
        <v/>
      </c>
      <c r="L194" s="41">
        <f>IFERROR(J194/H194,"")</f>
        <v/>
      </c>
      <c r="M194" s="25" t="inlineStr">
        <is>
          <t>2.5.12</t>
        </is>
      </c>
      <c r="N194" s="25">
        <f>IF(J194&gt;300,1,0)</f>
        <v/>
      </c>
      <c r="O194" s="25">
        <f>IF(J194&gt;600,1,0)</f>
        <v/>
      </c>
      <c r="P194" s="25">
        <f>IF(H194&gt;0,J194,"")</f>
        <v/>
      </c>
      <c r="Q194" s="25">
        <f>TEXT(A194,"YYYY-MM-DD HH")</f>
        <v/>
      </c>
      <c r="R194" s="25">
        <f>COUNTIF($Q$2:$Q$5295,Q194)</f>
        <v/>
      </c>
      <c r="S194" s="25">
        <f>IF(R194&lt;=2,"1-2",IF(R194&lt;=5,"3-5",IF(R194&lt;=10,"6-10","11+")))</f>
        <v/>
      </c>
    </row>
    <row r="195">
      <c r="A195" s="39" t="n">
        <v>46153.19541666667</v>
      </c>
      <c r="B195" s="25">
        <f>TEXT(A195,"YYYY-MM")</f>
        <v/>
      </c>
      <c r="C195" s="25">
        <f>TEXT(A195,"MMM-YYYY")</f>
        <v/>
      </c>
      <c r="D195" s="40">
        <f>INT(A195)-WEEKDAY(A195,2)+1</f>
        <v/>
      </c>
      <c r="E195" s="25" t="inlineStr">
        <is>
          <t>rts</t>
        </is>
      </c>
      <c r="F195" s="25" t="n">
        <v>116334</v>
      </c>
      <c r="G195" s="25" t="n">
        <v>2</v>
      </c>
      <c r="H195" s="25" t="n">
        <v>6</v>
      </c>
      <c r="I195" s="25" t="inlineStr">
        <is>
          <t>3 minute(s) and 21 second(s)</t>
        </is>
      </c>
      <c r="J195" s="25">
        <f>IFERROR(VALUE(TRIM(LEFT(I195,FIND("minute",I195)-1)))*60,0)+IFERROR(VALUE(SUBSTITUTE(MID(I195,IFERROR(FIND("and",I195)+3,1),20),"second(s)","")),0)</f>
        <v/>
      </c>
      <c r="K195" s="41">
        <f>J195/60</f>
        <v/>
      </c>
      <c r="L195" s="41">
        <f>IFERROR(J195/H195,"")</f>
        <v/>
      </c>
      <c r="M195" s="25" t="inlineStr">
        <is>
          <t>2.5.12</t>
        </is>
      </c>
      <c r="N195" s="25">
        <f>IF(J195&gt;300,1,0)</f>
        <v/>
      </c>
      <c r="O195" s="25">
        <f>IF(J195&gt;600,1,0)</f>
        <v/>
      </c>
      <c r="P195" s="25">
        <f>IF(H195&gt;0,J195,"")</f>
        <v/>
      </c>
      <c r="Q195" s="25">
        <f>TEXT(A195,"YYYY-MM-DD HH")</f>
        <v/>
      </c>
      <c r="R195" s="25">
        <f>COUNTIF($Q$2:$Q$5295,Q195)</f>
        <v/>
      </c>
      <c r="S195" s="25">
        <f>IF(R195&lt;=2,"1-2",IF(R195&lt;=5,"3-5",IF(R195&lt;=10,"6-10","11+")))</f>
        <v/>
      </c>
    </row>
    <row r="196">
      <c r="A196" s="39" t="n">
        <v>46153.24711805556</v>
      </c>
      <c r="B196" s="25">
        <f>TEXT(A196,"YYYY-MM")</f>
        <v/>
      </c>
      <c r="C196" s="25">
        <f>TEXT(A196,"MMM-YYYY")</f>
        <v/>
      </c>
      <c r="D196" s="40">
        <f>INT(A196)-WEEKDAY(A196,2)+1</f>
        <v/>
      </c>
      <c r="E196" s="25" t="inlineStr">
        <is>
          <t>rts</t>
        </is>
      </c>
      <c r="F196" s="25" t="n">
        <v>82616</v>
      </c>
      <c r="G196" s="25" t="n">
        <v>5</v>
      </c>
      <c r="H196" s="25" t="n">
        <v>19</v>
      </c>
      <c r="I196" s="25" t="inlineStr">
        <is>
          <t>7 minute(s) and 24 second(s)</t>
        </is>
      </c>
      <c r="J196" s="25">
        <f>IFERROR(VALUE(TRIM(LEFT(I196,FIND("minute",I196)-1)))*60,0)+IFERROR(VALUE(SUBSTITUTE(MID(I196,IFERROR(FIND("and",I196)+3,1),20),"second(s)","")),0)</f>
        <v/>
      </c>
      <c r="K196" s="41">
        <f>J196/60</f>
        <v/>
      </c>
      <c r="L196" s="41">
        <f>IFERROR(J196/H196,"")</f>
        <v/>
      </c>
      <c r="M196" s="25" t="inlineStr">
        <is>
          <t>2.5.12</t>
        </is>
      </c>
      <c r="N196" s="25">
        <f>IF(J196&gt;300,1,0)</f>
        <v/>
      </c>
      <c r="O196" s="25">
        <f>IF(J196&gt;600,1,0)</f>
        <v/>
      </c>
      <c r="P196" s="25">
        <f>IF(H196&gt;0,J196,"")</f>
        <v/>
      </c>
      <c r="Q196" s="25">
        <f>TEXT(A196,"YYYY-MM-DD HH")</f>
        <v/>
      </c>
      <c r="R196" s="25">
        <f>COUNTIF($Q$2:$Q$5295,Q196)</f>
        <v/>
      </c>
      <c r="S196" s="25">
        <f>IF(R196&lt;=2,"1-2",IF(R196&lt;=5,"3-5",IF(R196&lt;=10,"6-10","11+")))</f>
        <v/>
      </c>
    </row>
    <row r="197">
      <c r="A197" s="39" t="n">
        <v>46153.25696759259</v>
      </c>
      <c r="B197" s="25">
        <f>TEXT(A197,"YYYY-MM")</f>
        <v/>
      </c>
      <c r="C197" s="25">
        <f>TEXT(A197,"MMM-YYYY")</f>
        <v/>
      </c>
      <c r="D197" s="40">
        <f>INT(A197)-WEEKDAY(A197,2)+1</f>
        <v/>
      </c>
      <c r="E197" s="25" t="inlineStr">
        <is>
          <t>aupadhayay</t>
        </is>
      </c>
      <c r="F197" s="25" t="n">
        <v>116332</v>
      </c>
      <c r="G197" s="25" t="n">
        <v>1</v>
      </c>
      <c r="H197" s="25" t="n">
        <v>7</v>
      </c>
      <c r="I197" s="25" t="inlineStr">
        <is>
          <t>1 minute(s) and 10 second(s)</t>
        </is>
      </c>
      <c r="J197" s="25">
        <f>IFERROR(VALUE(TRIM(LEFT(I197,FIND("minute",I197)-1)))*60,0)+IFERROR(VALUE(SUBSTITUTE(MID(I197,IFERROR(FIND("and",I197)+3,1),20),"second(s)","")),0)</f>
        <v/>
      </c>
      <c r="K197" s="41">
        <f>J197/60</f>
        <v/>
      </c>
      <c r="L197" s="41">
        <f>IFERROR(J197/H197,"")</f>
        <v/>
      </c>
      <c r="M197" s="25" t="inlineStr">
        <is>
          <t>2.5.12</t>
        </is>
      </c>
      <c r="N197" s="25">
        <f>IF(J197&gt;300,1,0)</f>
        <v/>
      </c>
      <c r="O197" s="25">
        <f>IF(J197&gt;600,1,0)</f>
        <v/>
      </c>
      <c r="P197" s="25">
        <f>IF(H197&gt;0,J197,"")</f>
        <v/>
      </c>
      <c r="Q197" s="25">
        <f>TEXT(A197,"YYYY-MM-DD HH")</f>
        <v/>
      </c>
      <c r="R197" s="25">
        <f>COUNTIF($Q$2:$Q$5295,Q197)</f>
        <v/>
      </c>
      <c r="S197" s="25">
        <f>IF(R197&lt;=2,"1-2",IF(R197&lt;=5,"3-5",IF(R197&lt;=10,"6-10","11+")))</f>
        <v/>
      </c>
    </row>
    <row r="198">
      <c r="A198" s="39" t="n">
        <v>46153.36508101852</v>
      </c>
      <c r="B198" s="25">
        <f>TEXT(A198,"YYYY-MM")</f>
        <v/>
      </c>
      <c r="C198" s="25">
        <f>TEXT(A198,"MMM-YYYY")</f>
        <v/>
      </c>
      <c r="D198" s="40">
        <f>INT(A198)-WEEKDAY(A198,2)+1</f>
        <v/>
      </c>
      <c r="E198" s="25" t="inlineStr">
        <is>
          <t>agandhi</t>
        </is>
      </c>
      <c r="F198" s="25" t="n">
        <v>105745</v>
      </c>
      <c r="G198" s="25" t="n">
        <v>1</v>
      </c>
      <c r="H198" s="25" t="n">
        <v>5</v>
      </c>
      <c r="I198" s="25" t="inlineStr">
        <is>
          <t>1 minute(s) and 2 second(s)</t>
        </is>
      </c>
      <c r="J198" s="25">
        <f>IFERROR(VALUE(TRIM(LEFT(I198,FIND("minute",I198)-1)))*60,0)+IFERROR(VALUE(SUBSTITUTE(MID(I198,IFERROR(FIND("and",I198)+3,1),20),"second(s)","")),0)</f>
        <v/>
      </c>
      <c r="K198" s="41">
        <f>J198/60</f>
        <v/>
      </c>
      <c r="L198" s="41">
        <f>IFERROR(J198/H198,"")</f>
        <v/>
      </c>
      <c r="M198" s="25" t="inlineStr">
        <is>
          <t>2.5.12</t>
        </is>
      </c>
      <c r="N198" s="25">
        <f>IF(J198&gt;300,1,0)</f>
        <v/>
      </c>
      <c r="O198" s="25">
        <f>IF(J198&gt;600,1,0)</f>
        <v/>
      </c>
      <c r="P198" s="25">
        <f>IF(H198&gt;0,J198,"")</f>
        <v/>
      </c>
      <c r="Q198" s="25">
        <f>TEXT(A198,"YYYY-MM-DD HH")</f>
        <v/>
      </c>
      <c r="R198" s="25">
        <f>COUNTIF($Q$2:$Q$5295,Q198)</f>
        <v/>
      </c>
      <c r="S198" s="25">
        <f>IF(R198&lt;=2,"1-2",IF(R198&lt;=5,"3-5",IF(R198&lt;=10,"6-10","11+")))</f>
        <v/>
      </c>
    </row>
    <row r="199">
      <c r="A199" s="39" t="n">
        <v>46153.57912037037</v>
      </c>
      <c r="B199" s="25">
        <f>TEXT(A199,"YYYY-MM")</f>
        <v/>
      </c>
      <c r="C199" s="25">
        <f>TEXT(A199,"MMM-YYYY")</f>
        <v/>
      </c>
      <c r="D199" s="40">
        <f>INT(A199)-WEEKDAY(A199,2)+1</f>
        <v/>
      </c>
      <c r="E199" s="25" t="inlineStr">
        <is>
          <t>agandhi</t>
        </is>
      </c>
      <c r="F199" s="25" t="n">
        <v>83298</v>
      </c>
      <c r="G199" s="25" t="n">
        <v>5</v>
      </c>
      <c r="H199" s="25" t="n">
        <v>27</v>
      </c>
      <c r="I199" s="25" t="inlineStr">
        <is>
          <t>5 minute(s) and 30 second(s)</t>
        </is>
      </c>
      <c r="J199" s="25">
        <f>IFERROR(VALUE(TRIM(LEFT(I199,FIND("minute",I199)-1)))*60,0)+IFERROR(VALUE(SUBSTITUTE(MID(I199,IFERROR(FIND("and",I199)+3,1),20),"second(s)","")),0)</f>
        <v/>
      </c>
      <c r="K199" s="41">
        <f>J199/60</f>
        <v/>
      </c>
      <c r="L199" s="41">
        <f>IFERROR(J199/H199,"")</f>
        <v/>
      </c>
      <c r="M199" s="25" t="inlineStr">
        <is>
          <t>2.5.12</t>
        </is>
      </c>
      <c r="N199" s="25">
        <f>IF(J199&gt;300,1,0)</f>
        <v/>
      </c>
      <c r="O199" s="25">
        <f>IF(J199&gt;600,1,0)</f>
        <v/>
      </c>
      <c r="P199" s="25">
        <f>IF(H199&gt;0,J199,"")</f>
        <v/>
      </c>
      <c r="Q199" s="25">
        <f>TEXT(A199,"YYYY-MM-DD HH")</f>
        <v/>
      </c>
      <c r="R199" s="25">
        <f>COUNTIF($Q$2:$Q$5295,Q199)</f>
        <v/>
      </c>
      <c r="S199" s="25">
        <f>IF(R199&lt;=2,"1-2",IF(R199&lt;=5,"3-5",IF(R199&lt;=10,"6-10","11+")))</f>
        <v/>
      </c>
    </row>
    <row r="200">
      <c r="A200" s="39" t="n">
        <v>46153.59366898148</v>
      </c>
      <c r="B200" s="25">
        <f>TEXT(A200,"YYYY-MM")</f>
        <v/>
      </c>
      <c r="C200" s="25">
        <f>TEXT(A200,"MMM-YYYY")</f>
        <v/>
      </c>
      <c r="D200" s="40">
        <f>INT(A200)-WEEKDAY(A200,2)+1</f>
        <v/>
      </c>
      <c r="E200" s="25" t="inlineStr">
        <is>
          <t>ssaha</t>
        </is>
      </c>
      <c r="F200" s="25" t="n">
        <v>81022</v>
      </c>
      <c r="G200" s="25" t="n">
        <v>1</v>
      </c>
      <c r="H200" s="25" t="n">
        <v>7</v>
      </c>
      <c r="I200" s="25" t="inlineStr">
        <is>
          <t>1 minute(s) and 38 second(s)</t>
        </is>
      </c>
      <c r="J200" s="25">
        <f>IFERROR(VALUE(TRIM(LEFT(I200,FIND("minute",I200)-1)))*60,0)+IFERROR(VALUE(SUBSTITUTE(MID(I200,IFERROR(FIND("and",I200)+3,1),20),"second(s)","")),0)</f>
        <v/>
      </c>
      <c r="K200" s="41">
        <f>J200/60</f>
        <v/>
      </c>
      <c r="L200" s="41">
        <f>IFERROR(J200/H200,"")</f>
        <v/>
      </c>
      <c r="M200" s="25" t="inlineStr">
        <is>
          <t>2.5.12</t>
        </is>
      </c>
      <c r="N200" s="25">
        <f>IF(J200&gt;300,1,0)</f>
        <v/>
      </c>
      <c r="O200" s="25">
        <f>IF(J200&gt;600,1,0)</f>
        <v/>
      </c>
      <c r="P200" s="25">
        <f>IF(H200&gt;0,J200,"")</f>
        <v/>
      </c>
      <c r="Q200" s="25">
        <f>TEXT(A200,"YYYY-MM-DD HH")</f>
        <v/>
      </c>
      <c r="R200" s="25">
        <f>COUNTIF($Q$2:$Q$5295,Q200)</f>
        <v/>
      </c>
      <c r="S200" s="25">
        <f>IF(R200&lt;=2,"1-2",IF(R200&lt;=5,"3-5",IF(R200&lt;=10,"6-10","11+")))</f>
        <v/>
      </c>
    </row>
    <row r="201">
      <c r="A201" s="39" t="n">
        <v>46153.63947916667</v>
      </c>
      <c r="B201" s="25">
        <f>TEXT(A201,"YYYY-MM")</f>
        <v/>
      </c>
      <c r="C201" s="25">
        <f>TEXT(A201,"MMM-YYYY")</f>
        <v/>
      </c>
      <c r="D201" s="40">
        <f>INT(A201)-WEEKDAY(A201,2)+1</f>
        <v/>
      </c>
      <c r="E201" s="25" t="inlineStr">
        <is>
          <t>ssaha</t>
        </is>
      </c>
      <c r="F201" s="25" t="n">
        <v>93667</v>
      </c>
      <c r="G201" s="25" t="n">
        <v>5</v>
      </c>
      <c r="H201" s="25" t="n">
        <v>17</v>
      </c>
      <c r="I201" s="25" t="inlineStr">
        <is>
          <t>5 minute(s) and 10 second(s)</t>
        </is>
      </c>
      <c r="J201" s="25">
        <f>IFERROR(VALUE(TRIM(LEFT(I201,FIND("minute",I201)-1)))*60,0)+IFERROR(VALUE(SUBSTITUTE(MID(I201,IFERROR(FIND("and",I201)+3,1),20),"second(s)","")),0)</f>
        <v/>
      </c>
      <c r="K201" s="41">
        <f>J201/60</f>
        <v/>
      </c>
      <c r="L201" s="41">
        <f>IFERROR(J201/H201,"")</f>
        <v/>
      </c>
      <c r="M201" s="25" t="inlineStr">
        <is>
          <t>2.5.12</t>
        </is>
      </c>
      <c r="N201" s="25">
        <f>IF(J201&gt;300,1,0)</f>
        <v/>
      </c>
      <c r="O201" s="25">
        <f>IF(J201&gt;600,1,0)</f>
        <v/>
      </c>
      <c r="P201" s="25">
        <f>IF(H201&gt;0,J201,"")</f>
        <v/>
      </c>
      <c r="Q201" s="25">
        <f>TEXT(A201,"YYYY-MM-DD HH")</f>
        <v/>
      </c>
      <c r="R201" s="25">
        <f>COUNTIF($Q$2:$Q$5295,Q201)</f>
        <v/>
      </c>
      <c r="S201" s="25">
        <f>IF(R201&lt;=2,"1-2",IF(R201&lt;=5,"3-5",IF(R201&lt;=10,"6-10","11+")))</f>
        <v/>
      </c>
    </row>
    <row r="202">
      <c r="A202" s="39" t="n">
        <v>46153.6478125</v>
      </c>
      <c r="B202" s="25">
        <f>TEXT(A202,"YYYY-MM")</f>
        <v/>
      </c>
      <c r="C202" s="25">
        <f>TEXT(A202,"MMM-YYYY")</f>
        <v/>
      </c>
      <c r="D202" s="40">
        <f>INT(A202)-WEEKDAY(A202,2)+1</f>
        <v/>
      </c>
      <c r="E202" s="25" t="inlineStr">
        <is>
          <t>ssaha</t>
        </is>
      </c>
      <c r="F202" s="25" t="n">
        <v>93667</v>
      </c>
      <c r="G202" s="25" t="n">
        <v>4</v>
      </c>
      <c r="H202" s="25" t="n">
        <v>20</v>
      </c>
      <c r="I202" s="25" t="inlineStr">
        <is>
          <t>5 minute(s) and 21 second(s)</t>
        </is>
      </c>
      <c r="J202" s="25">
        <f>IFERROR(VALUE(TRIM(LEFT(I202,FIND("minute",I202)-1)))*60,0)+IFERROR(VALUE(SUBSTITUTE(MID(I202,IFERROR(FIND("and",I202)+3,1),20),"second(s)","")),0)</f>
        <v/>
      </c>
      <c r="K202" s="41">
        <f>J202/60</f>
        <v/>
      </c>
      <c r="L202" s="41">
        <f>IFERROR(J202/H202,"")</f>
        <v/>
      </c>
      <c r="M202" s="25" t="inlineStr">
        <is>
          <t>2.5.12</t>
        </is>
      </c>
      <c r="N202" s="25">
        <f>IF(J202&gt;300,1,0)</f>
        <v/>
      </c>
      <c r="O202" s="25">
        <f>IF(J202&gt;600,1,0)</f>
        <v/>
      </c>
      <c r="P202" s="25">
        <f>IF(H202&gt;0,J202,"")</f>
        <v/>
      </c>
      <c r="Q202" s="25">
        <f>TEXT(A202,"YYYY-MM-DD HH")</f>
        <v/>
      </c>
      <c r="R202" s="25">
        <f>COUNTIF($Q$2:$Q$5295,Q202)</f>
        <v/>
      </c>
      <c r="S202" s="25">
        <f>IF(R202&lt;=2,"1-2",IF(R202&lt;=5,"3-5",IF(R202&lt;=10,"6-10","11+")))</f>
        <v/>
      </c>
    </row>
    <row r="203">
      <c r="A203" s="39" t="n">
        <v>46153.70481481482</v>
      </c>
      <c r="B203" s="25">
        <f>TEXT(A203,"YYYY-MM")</f>
        <v/>
      </c>
      <c r="C203" s="25">
        <f>TEXT(A203,"MMM-YYYY")</f>
        <v/>
      </c>
      <c r="D203" s="40">
        <f>INT(A203)-WEEKDAY(A203,2)+1</f>
        <v/>
      </c>
      <c r="E203" s="25" t="inlineStr">
        <is>
          <t>ssaha</t>
        </is>
      </c>
      <c r="F203" s="25" t="n">
        <v>108993</v>
      </c>
      <c r="G203" s="25" t="n">
        <v>2</v>
      </c>
      <c r="H203" s="25" t="n">
        <v>6</v>
      </c>
      <c r="I203" s="25" t="inlineStr">
        <is>
          <t>1 minute(s) and 7 second(s)</t>
        </is>
      </c>
      <c r="J203" s="25">
        <f>IFERROR(VALUE(TRIM(LEFT(I203,FIND("minute",I203)-1)))*60,0)+IFERROR(VALUE(SUBSTITUTE(MID(I203,IFERROR(FIND("and",I203)+3,1),20),"second(s)","")),0)</f>
        <v/>
      </c>
      <c r="K203" s="41">
        <f>J203/60</f>
        <v/>
      </c>
      <c r="L203" s="41">
        <f>IFERROR(J203/H203,"")</f>
        <v/>
      </c>
      <c r="M203" s="25" t="inlineStr">
        <is>
          <t>2.5.12</t>
        </is>
      </c>
      <c r="N203" s="25">
        <f>IF(J203&gt;300,1,0)</f>
        <v/>
      </c>
      <c r="O203" s="25">
        <f>IF(J203&gt;600,1,0)</f>
        <v/>
      </c>
      <c r="P203" s="25">
        <f>IF(H203&gt;0,J203,"")</f>
        <v/>
      </c>
      <c r="Q203" s="25">
        <f>TEXT(A203,"YYYY-MM-DD HH")</f>
        <v/>
      </c>
      <c r="R203" s="25">
        <f>COUNTIF($Q$2:$Q$5295,Q203)</f>
        <v/>
      </c>
      <c r="S203" s="25">
        <f>IF(R203&lt;=2,"1-2",IF(R203&lt;=5,"3-5",IF(R203&lt;=10,"6-10","11+")))</f>
        <v/>
      </c>
    </row>
    <row r="204">
      <c r="A204" s="39" t="n">
        <v>46154.09288194445</v>
      </c>
      <c r="B204" s="25">
        <f>TEXT(A204,"YYYY-MM")</f>
        <v/>
      </c>
      <c r="C204" s="25">
        <f>TEXT(A204,"MMM-YYYY")</f>
        <v/>
      </c>
      <c r="D204" s="40">
        <f>INT(A204)-WEEKDAY(A204,2)+1</f>
        <v/>
      </c>
      <c r="E204" s="25" t="inlineStr">
        <is>
          <t>abhaskarkp</t>
        </is>
      </c>
      <c r="F204" s="25" t="n">
        <v>96236</v>
      </c>
      <c r="G204" s="25" t="n">
        <v>2</v>
      </c>
      <c r="H204" s="25" t="n">
        <v>9</v>
      </c>
      <c r="I204" s="25" t="inlineStr">
        <is>
          <t>1 minute(s) and 51 second(s)</t>
        </is>
      </c>
      <c r="J204" s="25">
        <f>IFERROR(VALUE(TRIM(LEFT(I204,FIND("minute",I204)-1)))*60,0)+IFERROR(VALUE(SUBSTITUTE(MID(I204,IFERROR(FIND("and",I204)+3,1),20),"second(s)","")),0)</f>
        <v/>
      </c>
      <c r="K204" s="41">
        <f>J204/60</f>
        <v/>
      </c>
      <c r="L204" s="41">
        <f>IFERROR(J204/H204,"")</f>
        <v/>
      </c>
      <c r="M204" s="25" t="inlineStr">
        <is>
          <t>2.5.12</t>
        </is>
      </c>
      <c r="N204" s="25">
        <f>IF(J204&gt;300,1,0)</f>
        <v/>
      </c>
      <c r="O204" s="25">
        <f>IF(J204&gt;600,1,0)</f>
        <v/>
      </c>
      <c r="P204" s="25">
        <f>IF(H204&gt;0,J204,"")</f>
        <v/>
      </c>
      <c r="Q204" s="25">
        <f>TEXT(A204,"YYYY-MM-DD HH")</f>
        <v/>
      </c>
      <c r="R204" s="25">
        <f>COUNTIF($Q$2:$Q$5295,Q204)</f>
        <v/>
      </c>
      <c r="S204" s="25">
        <f>IF(R204&lt;=2,"1-2",IF(R204&lt;=5,"3-5",IF(R204&lt;=10,"6-10","11+")))</f>
        <v/>
      </c>
    </row>
    <row r="205">
      <c r="A205" s="39" t="n">
        <v>46154.09355324074</v>
      </c>
      <c r="B205" s="25">
        <f>TEXT(A205,"YYYY-MM")</f>
        <v/>
      </c>
      <c r="C205" s="25">
        <f>TEXT(A205,"MMM-YYYY")</f>
        <v/>
      </c>
      <c r="D205" s="40">
        <f>INT(A205)-WEEKDAY(A205,2)+1</f>
        <v/>
      </c>
      <c r="E205" s="25" t="inlineStr">
        <is>
          <t>atiwari</t>
        </is>
      </c>
      <c r="F205" s="25" t="n">
        <v>24131</v>
      </c>
      <c r="G205" s="25" t="n">
        <v>3</v>
      </c>
      <c r="H205" s="25" t="n">
        <v>21</v>
      </c>
      <c r="I205" s="25" t="inlineStr">
        <is>
          <t>5 minute(s) and 2 second(s)</t>
        </is>
      </c>
      <c r="J205" s="25">
        <f>IFERROR(VALUE(TRIM(LEFT(I205,FIND("minute",I205)-1)))*60,0)+IFERROR(VALUE(SUBSTITUTE(MID(I205,IFERROR(FIND("and",I205)+3,1),20),"second(s)","")),0)</f>
        <v/>
      </c>
      <c r="K205" s="41">
        <f>J205/60</f>
        <v/>
      </c>
      <c r="L205" s="41">
        <f>IFERROR(J205/H205,"")</f>
        <v/>
      </c>
      <c r="M205" s="25" t="inlineStr">
        <is>
          <t>2.5.12</t>
        </is>
      </c>
      <c r="N205" s="25">
        <f>IF(J205&gt;300,1,0)</f>
        <v/>
      </c>
      <c r="O205" s="25">
        <f>IF(J205&gt;600,1,0)</f>
        <v/>
      </c>
      <c r="P205" s="25">
        <f>IF(H205&gt;0,J205,"")</f>
        <v/>
      </c>
      <c r="Q205" s="25">
        <f>TEXT(A205,"YYYY-MM-DD HH")</f>
        <v/>
      </c>
      <c r="R205" s="25">
        <f>COUNTIF($Q$2:$Q$5295,Q205)</f>
        <v/>
      </c>
      <c r="S205" s="25">
        <f>IF(R205&lt;=2,"1-2",IF(R205&lt;=5,"3-5",IF(R205&lt;=10,"6-10","11+")))</f>
        <v/>
      </c>
    </row>
    <row r="206">
      <c r="A206" s="39" t="n">
        <v>46154.09452546296</v>
      </c>
      <c r="B206" s="25">
        <f>TEXT(A206,"YYYY-MM")</f>
        <v/>
      </c>
      <c r="C206" s="25">
        <f>TEXT(A206,"MMM-YYYY")</f>
        <v/>
      </c>
      <c r="D206" s="40">
        <f>INT(A206)-WEEKDAY(A206,2)+1</f>
        <v/>
      </c>
      <c r="E206" s="25" t="inlineStr">
        <is>
          <t>rts</t>
        </is>
      </c>
      <c r="F206" s="25" t="n">
        <v>98443</v>
      </c>
      <c r="G206" s="25" t="n">
        <v>2</v>
      </c>
      <c r="H206" s="25" t="n">
        <v>6</v>
      </c>
      <c r="I206" s="25" t="inlineStr">
        <is>
          <t>1 minute(s) and 32 second(s)</t>
        </is>
      </c>
      <c r="J206" s="25">
        <f>IFERROR(VALUE(TRIM(LEFT(I206,FIND("minute",I206)-1)))*60,0)+IFERROR(VALUE(SUBSTITUTE(MID(I206,IFERROR(FIND("and",I206)+3,1),20),"second(s)","")),0)</f>
        <v/>
      </c>
      <c r="K206" s="41">
        <f>J206/60</f>
        <v/>
      </c>
      <c r="L206" s="41">
        <f>IFERROR(J206/H206,"")</f>
        <v/>
      </c>
      <c r="M206" s="25" t="inlineStr">
        <is>
          <t>2.5.12</t>
        </is>
      </c>
      <c r="N206" s="25">
        <f>IF(J206&gt;300,1,0)</f>
        <v/>
      </c>
      <c r="O206" s="25">
        <f>IF(J206&gt;600,1,0)</f>
        <v/>
      </c>
      <c r="P206" s="25">
        <f>IF(H206&gt;0,J206,"")</f>
        <v/>
      </c>
      <c r="Q206" s="25">
        <f>TEXT(A206,"YYYY-MM-DD HH")</f>
        <v/>
      </c>
      <c r="R206" s="25">
        <f>COUNTIF($Q$2:$Q$5295,Q206)</f>
        <v/>
      </c>
      <c r="S206" s="25">
        <f>IF(R206&lt;=2,"1-2",IF(R206&lt;=5,"3-5",IF(R206&lt;=10,"6-10","11+")))</f>
        <v/>
      </c>
    </row>
    <row r="207">
      <c r="A207" s="39" t="n">
        <v>46154.09540509259</v>
      </c>
      <c r="B207" s="25">
        <f>TEXT(A207,"YYYY-MM")</f>
        <v/>
      </c>
      <c r="C207" s="25">
        <f>TEXT(A207,"MMM-YYYY")</f>
        <v/>
      </c>
      <c r="D207" s="40">
        <f>INT(A207)-WEEKDAY(A207,2)+1</f>
        <v/>
      </c>
      <c r="E207" s="25" t="inlineStr">
        <is>
          <t>taggarwal</t>
        </is>
      </c>
      <c r="F207" s="25" t="n">
        <v>68251</v>
      </c>
      <c r="G207" s="25" t="n">
        <v>5</v>
      </c>
      <c r="H207" s="25" t="n">
        <v>25</v>
      </c>
      <c r="I207" s="25" t="inlineStr">
        <is>
          <t>4 minute(s) and 58 second(s)</t>
        </is>
      </c>
      <c r="J207" s="25">
        <f>IFERROR(VALUE(TRIM(LEFT(I207,FIND("minute",I207)-1)))*60,0)+IFERROR(VALUE(SUBSTITUTE(MID(I207,IFERROR(FIND("and",I207)+3,1),20),"second(s)","")),0)</f>
        <v/>
      </c>
      <c r="K207" s="41">
        <f>J207/60</f>
        <v/>
      </c>
      <c r="L207" s="41">
        <f>IFERROR(J207/H207,"")</f>
        <v/>
      </c>
      <c r="M207" s="25" t="inlineStr">
        <is>
          <t>2.5.12</t>
        </is>
      </c>
      <c r="N207" s="25">
        <f>IF(J207&gt;300,1,0)</f>
        <v/>
      </c>
      <c r="O207" s="25">
        <f>IF(J207&gt;600,1,0)</f>
        <v/>
      </c>
      <c r="P207" s="25">
        <f>IF(H207&gt;0,J207,"")</f>
        <v/>
      </c>
      <c r="Q207" s="25">
        <f>TEXT(A207,"YYYY-MM-DD HH")</f>
        <v/>
      </c>
      <c r="R207" s="25">
        <f>COUNTIF($Q$2:$Q$5295,Q207)</f>
        <v/>
      </c>
      <c r="S207" s="25">
        <f>IF(R207&lt;=2,"1-2",IF(R207&lt;=5,"3-5",IF(R207&lt;=10,"6-10","11+")))</f>
        <v/>
      </c>
    </row>
    <row r="208">
      <c r="A208" s="39" t="n">
        <v>46154.10252314815</v>
      </c>
      <c r="B208" s="25">
        <f>TEXT(A208,"YYYY-MM")</f>
        <v/>
      </c>
      <c r="C208" s="25">
        <f>TEXT(A208,"MMM-YYYY")</f>
        <v/>
      </c>
      <c r="D208" s="40">
        <f>INT(A208)-WEEKDAY(A208,2)+1</f>
        <v/>
      </c>
      <c r="E208" s="25" t="inlineStr">
        <is>
          <t>arsarkar</t>
        </is>
      </c>
      <c r="F208" s="25" t="n">
        <v>92774</v>
      </c>
      <c r="G208" s="25" t="n">
        <v>2</v>
      </c>
      <c r="H208" s="25" t="n">
        <v>8</v>
      </c>
      <c r="I208" s="25" t="inlineStr">
        <is>
          <t>1 minute(s) and 43 second(s)</t>
        </is>
      </c>
      <c r="J208" s="25">
        <f>IFERROR(VALUE(TRIM(LEFT(I208,FIND("minute",I208)-1)))*60,0)+IFERROR(VALUE(SUBSTITUTE(MID(I208,IFERROR(FIND("and",I208)+3,1),20),"second(s)","")),0)</f>
        <v/>
      </c>
      <c r="K208" s="41">
        <f>J208/60</f>
        <v/>
      </c>
      <c r="L208" s="41">
        <f>IFERROR(J208/H208,"")</f>
        <v/>
      </c>
      <c r="M208" s="25" t="inlineStr">
        <is>
          <t>2.5.12</t>
        </is>
      </c>
      <c r="N208" s="25">
        <f>IF(J208&gt;300,1,0)</f>
        <v/>
      </c>
      <c r="O208" s="25">
        <f>IF(J208&gt;600,1,0)</f>
        <v/>
      </c>
      <c r="P208" s="25">
        <f>IF(H208&gt;0,J208,"")</f>
        <v/>
      </c>
      <c r="Q208" s="25">
        <f>TEXT(A208,"YYYY-MM-DD HH")</f>
        <v/>
      </c>
      <c r="R208" s="25">
        <f>COUNTIF($Q$2:$Q$5295,Q208)</f>
        <v/>
      </c>
      <c r="S208" s="25">
        <f>IF(R208&lt;=2,"1-2",IF(R208&lt;=5,"3-5",IF(R208&lt;=10,"6-10","11+")))</f>
        <v/>
      </c>
    </row>
    <row r="209">
      <c r="A209" s="39" t="n">
        <v>46154.10673611111</v>
      </c>
      <c r="B209" s="25">
        <f>TEXT(A209,"YYYY-MM")</f>
        <v/>
      </c>
      <c r="C209" s="25">
        <f>TEXT(A209,"MMM-YYYY")</f>
        <v/>
      </c>
      <c r="D209" s="40">
        <f>INT(A209)-WEEKDAY(A209,2)+1</f>
        <v/>
      </c>
      <c r="E209" s="25" t="inlineStr">
        <is>
          <t>psathwika</t>
        </is>
      </c>
      <c r="F209" s="25" t="n">
        <v>70064</v>
      </c>
      <c r="G209" s="25" t="n">
        <v>5</v>
      </c>
      <c r="H209" s="25" t="n">
        <v>27</v>
      </c>
      <c r="I209" s="25" t="inlineStr">
        <is>
          <t>7 minute(s) and 6 second(s)</t>
        </is>
      </c>
      <c r="J209" s="25">
        <f>IFERROR(VALUE(TRIM(LEFT(I209,FIND("minute",I209)-1)))*60,0)+IFERROR(VALUE(SUBSTITUTE(MID(I209,IFERROR(FIND("and",I209)+3,1),20),"second(s)","")),0)</f>
        <v/>
      </c>
      <c r="K209" s="41">
        <f>J209/60</f>
        <v/>
      </c>
      <c r="L209" s="41">
        <f>IFERROR(J209/H209,"")</f>
        <v/>
      </c>
      <c r="M209" s="25" t="inlineStr">
        <is>
          <t>2.5.12</t>
        </is>
      </c>
      <c r="N209" s="25">
        <f>IF(J209&gt;300,1,0)</f>
        <v/>
      </c>
      <c r="O209" s="25">
        <f>IF(J209&gt;600,1,0)</f>
        <v/>
      </c>
      <c r="P209" s="25">
        <f>IF(H209&gt;0,J209,"")</f>
        <v/>
      </c>
      <c r="Q209" s="25">
        <f>TEXT(A209,"YYYY-MM-DD HH")</f>
        <v/>
      </c>
      <c r="R209" s="25">
        <f>COUNTIF($Q$2:$Q$5295,Q209)</f>
        <v/>
      </c>
      <c r="S209" s="25">
        <f>IF(R209&lt;=2,"1-2",IF(R209&lt;=5,"3-5",IF(R209&lt;=10,"6-10","11+")))</f>
        <v/>
      </c>
    </row>
    <row r="210">
      <c r="A210" s="39" t="n">
        <v>46154.10711805556</v>
      </c>
      <c r="B210" s="25">
        <f>TEXT(A210,"YYYY-MM")</f>
        <v/>
      </c>
      <c r="C210" s="25">
        <f>TEXT(A210,"MMM-YYYY")</f>
        <v/>
      </c>
      <c r="D210" s="40">
        <f>INT(A210)-WEEKDAY(A210,2)+1</f>
        <v/>
      </c>
      <c r="E210" s="25" t="inlineStr">
        <is>
          <t>nlnu</t>
        </is>
      </c>
      <c r="F210" s="25" t="n">
        <v>68217</v>
      </c>
      <c r="G210" s="25" t="n">
        <v>4</v>
      </c>
      <c r="H210" s="25" t="n">
        <v>20</v>
      </c>
      <c r="I210" s="25" t="inlineStr">
        <is>
          <t>4 minute(s) and 7 second(s)</t>
        </is>
      </c>
      <c r="J210" s="25">
        <f>IFERROR(VALUE(TRIM(LEFT(I210,FIND("minute",I210)-1)))*60,0)+IFERROR(VALUE(SUBSTITUTE(MID(I210,IFERROR(FIND("and",I210)+3,1),20),"second(s)","")),0)</f>
        <v/>
      </c>
      <c r="K210" s="41">
        <f>J210/60</f>
        <v/>
      </c>
      <c r="L210" s="41">
        <f>IFERROR(J210/H210,"")</f>
        <v/>
      </c>
      <c r="M210" s="25" t="inlineStr">
        <is>
          <t>2.5.12</t>
        </is>
      </c>
      <c r="N210" s="25">
        <f>IF(J210&gt;300,1,0)</f>
        <v/>
      </c>
      <c r="O210" s="25">
        <f>IF(J210&gt;600,1,0)</f>
        <v/>
      </c>
      <c r="P210" s="25">
        <f>IF(H210&gt;0,J210,"")</f>
        <v/>
      </c>
      <c r="Q210" s="25">
        <f>TEXT(A210,"YYYY-MM-DD HH")</f>
        <v/>
      </c>
      <c r="R210" s="25">
        <f>COUNTIF($Q$2:$Q$5295,Q210)</f>
        <v/>
      </c>
      <c r="S210" s="25">
        <f>IF(R210&lt;=2,"1-2",IF(R210&lt;=5,"3-5",IF(R210&lt;=10,"6-10","11+")))</f>
        <v/>
      </c>
    </row>
    <row r="211">
      <c r="A211" s="39" t="n">
        <v>46154.10769675926</v>
      </c>
      <c r="B211" s="25">
        <f>TEXT(A211,"YYYY-MM")</f>
        <v/>
      </c>
      <c r="C211" s="25">
        <f>TEXT(A211,"MMM-YYYY")</f>
        <v/>
      </c>
      <c r="D211" s="40">
        <f>INT(A211)-WEEKDAY(A211,2)+1</f>
        <v/>
      </c>
      <c r="E211" s="25" t="inlineStr">
        <is>
          <t>npriya</t>
        </is>
      </c>
      <c r="F211" s="25" t="n">
        <v>116422</v>
      </c>
      <c r="G211" s="25" t="n">
        <v>4</v>
      </c>
      <c r="H211" s="25" t="n">
        <v>26</v>
      </c>
      <c r="I211" s="25" t="inlineStr">
        <is>
          <t>6 minute(s) and 1 second(s)</t>
        </is>
      </c>
      <c r="J211" s="25">
        <f>IFERROR(VALUE(TRIM(LEFT(I211,FIND("minute",I211)-1)))*60,0)+IFERROR(VALUE(SUBSTITUTE(MID(I211,IFERROR(FIND("and",I211)+3,1),20),"second(s)","")),0)</f>
        <v/>
      </c>
      <c r="K211" s="41">
        <f>J211/60</f>
        <v/>
      </c>
      <c r="L211" s="41">
        <f>IFERROR(J211/H211,"")</f>
        <v/>
      </c>
      <c r="M211" s="25" t="inlineStr">
        <is>
          <t>2.5.12</t>
        </is>
      </c>
      <c r="N211" s="25">
        <f>IF(J211&gt;300,1,0)</f>
        <v/>
      </c>
      <c r="O211" s="25">
        <f>IF(J211&gt;600,1,0)</f>
        <v/>
      </c>
      <c r="P211" s="25">
        <f>IF(H211&gt;0,J211,"")</f>
        <v/>
      </c>
      <c r="Q211" s="25">
        <f>TEXT(A211,"YYYY-MM-DD HH")</f>
        <v/>
      </c>
      <c r="R211" s="25">
        <f>COUNTIF($Q$2:$Q$5295,Q211)</f>
        <v/>
      </c>
      <c r="S211" s="25">
        <f>IF(R211&lt;=2,"1-2",IF(R211&lt;=5,"3-5",IF(R211&lt;=10,"6-10","11+")))</f>
        <v/>
      </c>
    </row>
    <row r="212">
      <c r="A212" s="39" t="n">
        <v>46154.10833333333</v>
      </c>
      <c r="B212" s="25">
        <f>TEXT(A212,"YYYY-MM")</f>
        <v/>
      </c>
      <c r="C212" s="25">
        <f>TEXT(A212,"MMM-YYYY")</f>
        <v/>
      </c>
      <c r="D212" s="40">
        <f>INT(A212)-WEEKDAY(A212,2)+1</f>
        <v/>
      </c>
      <c r="E212" s="25" t="inlineStr">
        <is>
          <t>akumari</t>
        </is>
      </c>
      <c r="F212" s="25" t="n">
        <v>67874</v>
      </c>
      <c r="G212" s="25" t="n">
        <v>2</v>
      </c>
      <c r="H212" s="25" t="n">
        <v>14</v>
      </c>
      <c r="I212" s="25" t="inlineStr">
        <is>
          <t>2 minute(s) and 9 second(s)</t>
        </is>
      </c>
      <c r="J212" s="25">
        <f>IFERROR(VALUE(TRIM(LEFT(I212,FIND("minute",I212)-1)))*60,0)+IFERROR(VALUE(SUBSTITUTE(MID(I212,IFERROR(FIND("and",I212)+3,1),20),"second(s)","")),0)</f>
        <v/>
      </c>
      <c r="K212" s="41">
        <f>J212/60</f>
        <v/>
      </c>
      <c r="L212" s="41">
        <f>IFERROR(J212/H212,"")</f>
        <v/>
      </c>
      <c r="M212" s="25" t="inlineStr">
        <is>
          <t>2.5.12</t>
        </is>
      </c>
      <c r="N212" s="25">
        <f>IF(J212&gt;300,1,0)</f>
        <v/>
      </c>
      <c r="O212" s="25">
        <f>IF(J212&gt;600,1,0)</f>
        <v/>
      </c>
      <c r="P212" s="25">
        <f>IF(H212&gt;0,J212,"")</f>
        <v/>
      </c>
      <c r="Q212" s="25">
        <f>TEXT(A212,"YYYY-MM-DD HH")</f>
        <v/>
      </c>
      <c r="R212" s="25">
        <f>COUNTIF($Q$2:$Q$5295,Q212)</f>
        <v/>
      </c>
      <c r="S212" s="25">
        <f>IF(R212&lt;=2,"1-2",IF(R212&lt;=5,"3-5",IF(R212&lt;=10,"6-10","11+")))</f>
        <v/>
      </c>
    </row>
    <row r="213">
      <c r="A213" s="39" t="n">
        <v>46154.10987268519</v>
      </c>
      <c r="B213" s="25">
        <f>TEXT(A213,"YYYY-MM")</f>
        <v/>
      </c>
      <c r="C213" s="25">
        <f>TEXT(A213,"MMM-YYYY")</f>
        <v/>
      </c>
      <c r="D213" s="40">
        <f>INT(A213)-WEEKDAY(A213,2)+1</f>
        <v/>
      </c>
      <c r="E213" s="25" t="inlineStr">
        <is>
          <t>mgupta</t>
        </is>
      </c>
      <c r="F213" s="25" t="n">
        <v>105599</v>
      </c>
      <c r="G213" s="25" t="n">
        <v>5</v>
      </c>
      <c r="H213" s="25" t="n">
        <v>25</v>
      </c>
      <c r="I213" s="25" t="inlineStr">
        <is>
          <t>5 minute(s) and 13 second(s)</t>
        </is>
      </c>
      <c r="J213" s="25">
        <f>IFERROR(VALUE(TRIM(LEFT(I213,FIND("minute",I213)-1)))*60,0)+IFERROR(VALUE(SUBSTITUTE(MID(I213,IFERROR(FIND("and",I213)+3,1),20),"second(s)","")),0)</f>
        <v/>
      </c>
      <c r="K213" s="41">
        <f>J213/60</f>
        <v/>
      </c>
      <c r="L213" s="41">
        <f>IFERROR(J213/H213,"")</f>
        <v/>
      </c>
      <c r="M213" s="25" t="inlineStr">
        <is>
          <t>2.5.12</t>
        </is>
      </c>
      <c r="N213" s="25">
        <f>IF(J213&gt;300,1,0)</f>
        <v/>
      </c>
      <c r="O213" s="25">
        <f>IF(J213&gt;600,1,0)</f>
        <v/>
      </c>
      <c r="P213" s="25">
        <f>IF(H213&gt;0,J213,"")</f>
        <v/>
      </c>
      <c r="Q213" s="25">
        <f>TEXT(A213,"YYYY-MM-DD HH")</f>
        <v/>
      </c>
      <c r="R213" s="25">
        <f>COUNTIF($Q$2:$Q$5295,Q213)</f>
        <v/>
      </c>
      <c r="S213" s="25">
        <f>IF(R213&lt;=2,"1-2",IF(R213&lt;=5,"3-5",IF(R213&lt;=10,"6-10","11+")))</f>
        <v/>
      </c>
    </row>
    <row r="214">
      <c r="A214" s="39" t="n">
        <v>46154.1156712963</v>
      </c>
      <c r="B214" s="25">
        <f>TEXT(A214,"YYYY-MM")</f>
        <v/>
      </c>
      <c r="C214" s="25">
        <f>TEXT(A214,"MMM-YYYY")</f>
        <v/>
      </c>
      <c r="D214" s="40">
        <f>INT(A214)-WEEKDAY(A214,2)+1</f>
        <v/>
      </c>
      <c r="E214" s="25" t="inlineStr">
        <is>
          <t>ssrinivasan</t>
        </is>
      </c>
      <c r="F214" s="25" t="n">
        <v>117590</v>
      </c>
      <c r="G214" s="25" t="n">
        <v>2</v>
      </c>
      <c r="H214" s="25" t="n">
        <v>8</v>
      </c>
      <c r="I214" s="25" t="inlineStr">
        <is>
          <t>3 minute(s) and 13 second(s)</t>
        </is>
      </c>
      <c r="J214" s="25">
        <f>IFERROR(VALUE(TRIM(LEFT(I214,FIND("minute",I214)-1)))*60,0)+IFERROR(VALUE(SUBSTITUTE(MID(I214,IFERROR(FIND("and",I214)+3,1),20),"second(s)","")),0)</f>
        <v/>
      </c>
      <c r="K214" s="41">
        <f>J214/60</f>
        <v/>
      </c>
      <c r="L214" s="41">
        <f>IFERROR(J214/H214,"")</f>
        <v/>
      </c>
      <c r="M214" s="25" t="inlineStr">
        <is>
          <t>2.5.12</t>
        </is>
      </c>
      <c r="N214" s="25">
        <f>IF(J214&gt;300,1,0)</f>
        <v/>
      </c>
      <c r="O214" s="25">
        <f>IF(J214&gt;600,1,0)</f>
        <v/>
      </c>
      <c r="P214" s="25">
        <f>IF(H214&gt;0,J214,"")</f>
        <v/>
      </c>
      <c r="Q214" s="25">
        <f>TEXT(A214,"YYYY-MM-DD HH")</f>
        <v/>
      </c>
      <c r="R214" s="25">
        <f>COUNTIF($Q$2:$Q$5295,Q214)</f>
        <v/>
      </c>
      <c r="S214" s="25">
        <f>IF(R214&lt;=2,"1-2",IF(R214&lt;=5,"3-5",IF(R214&lt;=10,"6-10","11+")))</f>
        <v/>
      </c>
    </row>
    <row r="215">
      <c r="A215" s="39" t="n">
        <v>46154.12693287037</v>
      </c>
      <c r="B215" s="25">
        <f>TEXT(A215,"YYYY-MM")</f>
        <v/>
      </c>
      <c r="C215" s="25">
        <f>TEXT(A215,"MMM-YYYY")</f>
        <v/>
      </c>
      <c r="D215" s="40">
        <f>INT(A215)-WEEKDAY(A215,2)+1</f>
        <v/>
      </c>
      <c r="E215" s="25" t="inlineStr">
        <is>
          <t>abhaskarkp</t>
        </is>
      </c>
      <c r="F215" s="25" t="n">
        <v>107166</v>
      </c>
      <c r="G215" s="25" t="n">
        <v>1</v>
      </c>
      <c r="H215" s="25" t="n">
        <v>5</v>
      </c>
      <c r="I215" s="25" t="inlineStr">
        <is>
          <t>55 second(s)</t>
        </is>
      </c>
      <c r="J215" s="25">
        <f>IFERROR(VALUE(TRIM(LEFT(I215,FIND("minute",I215)-1)))*60,0)+IFERROR(VALUE(SUBSTITUTE(MID(I215,IFERROR(FIND("and",I215)+3,1),20),"second(s)","")),0)</f>
        <v/>
      </c>
      <c r="K215" s="41">
        <f>J215/60</f>
        <v/>
      </c>
      <c r="L215" s="41">
        <f>IFERROR(J215/H215,"")</f>
        <v/>
      </c>
      <c r="M215" s="25" t="inlineStr">
        <is>
          <t>2.5.12</t>
        </is>
      </c>
      <c r="N215" s="25">
        <f>IF(J215&gt;300,1,0)</f>
        <v/>
      </c>
      <c r="O215" s="25">
        <f>IF(J215&gt;600,1,0)</f>
        <v/>
      </c>
      <c r="P215" s="25">
        <f>IF(H215&gt;0,J215,"")</f>
        <v/>
      </c>
      <c r="Q215" s="25">
        <f>TEXT(A215,"YYYY-MM-DD HH")</f>
        <v/>
      </c>
      <c r="R215" s="25">
        <f>COUNTIF($Q$2:$Q$5295,Q215)</f>
        <v/>
      </c>
      <c r="S215" s="25">
        <f>IF(R215&lt;=2,"1-2",IF(R215&lt;=5,"3-5",IF(R215&lt;=10,"6-10","11+")))</f>
        <v/>
      </c>
    </row>
    <row r="216">
      <c r="A216" s="39" t="n">
        <v>46154.12708333333</v>
      </c>
      <c r="B216" s="25">
        <f>TEXT(A216,"YYYY-MM")</f>
        <v/>
      </c>
      <c r="C216" s="25">
        <f>TEXT(A216,"MMM-YYYY")</f>
        <v/>
      </c>
      <c r="D216" s="40">
        <f>INT(A216)-WEEKDAY(A216,2)+1</f>
        <v/>
      </c>
      <c r="E216" s="25" t="inlineStr">
        <is>
          <t>hdutt</t>
        </is>
      </c>
      <c r="F216" s="25" t="n">
        <v>94529</v>
      </c>
      <c r="G216" s="25" t="n">
        <v>4</v>
      </c>
      <c r="H216" s="25" t="n">
        <v>25</v>
      </c>
      <c r="I216" s="25" t="inlineStr">
        <is>
          <t>5 minute(s) and 5 second(s)</t>
        </is>
      </c>
      <c r="J216" s="25">
        <f>IFERROR(VALUE(TRIM(LEFT(I216,FIND("minute",I216)-1)))*60,0)+IFERROR(VALUE(SUBSTITUTE(MID(I216,IFERROR(FIND("and",I216)+3,1),20),"second(s)","")),0)</f>
        <v/>
      </c>
      <c r="K216" s="41">
        <f>J216/60</f>
        <v/>
      </c>
      <c r="L216" s="41">
        <f>IFERROR(J216/H216,"")</f>
        <v/>
      </c>
      <c r="M216" s="25" t="inlineStr">
        <is>
          <t>2.5.12</t>
        </is>
      </c>
      <c r="N216" s="25">
        <f>IF(J216&gt;300,1,0)</f>
        <v/>
      </c>
      <c r="O216" s="25">
        <f>IF(J216&gt;600,1,0)</f>
        <v/>
      </c>
      <c r="P216" s="25">
        <f>IF(H216&gt;0,J216,"")</f>
        <v/>
      </c>
      <c r="Q216" s="25">
        <f>TEXT(A216,"YYYY-MM-DD HH")</f>
        <v/>
      </c>
      <c r="R216" s="25">
        <f>COUNTIF($Q$2:$Q$5295,Q216)</f>
        <v/>
      </c>
      <c r="S216" s="25">
        <f>IF(R216&lt;=2,"1-2",IF(R216&lt;=5,"3-5",IF(R216&lt;=10,"6-10","11+")))</f>
        <v/>
      </c>
    </row>
    <row r="217">
      <c r="A217" s="39" t="n">
        <v>46154.12806712963</v>
      </c>
      <c r="B217" s="25">
        <f>TEXT(A217,"YYYY-MM")</f>
        <v/>
      </c>
      <c r="C217" s="25">
        <f>TEXT(A217,"MMM-YYYY")</f>
        <v/>
      </c>
      <c r="D217" s="40">
        <f>INT(A217)-WEEKDAY(A217,2)+1</f>
        <v/>
      </c>
      <c r="E217" s="25" t="inlineStr">
        <is>
          <t>nbindu</t>
        </is>
      </c>
      <c r="F217" s="25" t="n">
        <v>68502</v>
      </c>
      <c r="G217" s="25" t="n">
        <v>5</v>
      </c>
      <c r="H217" s="25" t="n">
        <v>25</v>
      </c>
      <c r="I217" s="25" t="inlineStr">
        <is>
          <t>4 minute(s) and 56 second(s)</t>
        </is>
      </c>
      <c r="J217" s="25">
        <f>IFERROR(VALUE(TRIM(LEFT(I217,FIND("minute",I217)-1)))*60,0)+IFERROR(VALUE(SUBSTITUTE(MID(I217,IFERROR(FIND("and",I217)+3,1),20),"second(s)","")),0)</f>
        <v/>
      </c>
      <c r="K217" s="41">
        <f>J217/60</f>
        <v/>
      </c>
      <c r="L217" s="41">
        <f>IFERROR(J217/H217,"")</f>
        <v/>
      </c>
      <c r="M217" s="25" t="inlineStr">
        <is>
          <t>2.5.12</t>
        </is>
      </c>
      <c r="N217" s="25">
        <f>IF(J217&gt;300,1,0)</f>
        <v/>
      </c>
      <c r="O217" s="25">
        <f>IF(J217&gt;600,1,0)</f>
        <v/>
      </c>
      <c r="P217" s="25">
        <f>IF(H217&gt;0,J217,"")</f>
        <v/>
      </c>
      <c r="Q217" s="25">
        <f>TEXT(A217,"YYYY-MM-DD HH")</f>
        <v/>
      </c>
      <c r="R217" s="25">
        <f>COUNTIF($Q$2:$Q$5295,Q217)</f>
        <v/>
      </c>
      <c r="S217" s="25">
        <f>IF(R217&lt;=2,"1-2",IF(R217&lt;=5,"3-5",IF(R217&lt;=10,"6-10","11+")))</f>
        <v/>
      </c>
    </row>
    <row r="218">
      <c r="A218" s="39" t="n">
        <v>46154.13549768519</v>
      </c>
      <c r="B218" s="25">
        <f>TEXT(A218,"YYYY-MM")</f>
        <v/>
      </c>
      <c r="C218" s="25">
        <f>TEXT(A218,"MMM-YYYY")</f>
        <v/>
      </c>
      <c r="D218" s="40">
        <f>INT(A218)-WEEKDAY(A218,2)+1</f>
        <v/>
      </c>
      <c r="E218" s="25" t="inlineStr">
        <is>
          <t>smukhopadhyay</t>
        </is>
      </c>
      <c r="F218" s="25" t="n">
        <v>95837</v>
      </c>
      <c r="G218" s="25" t="n">
        <v>2</v>
      </c>
      <c r="H218" s="25" t="n">
        <v>13</v>
      </c>
      <c r="I218" s="25" t="inlineStr">
        <is>
          <t>4 minute(s) and 19 second(s)</t>
        </is>
      </c>
      <c r="J218" s="25">
        <f>IFERROR(VALUE(TRIM(LEFT(I218,FIND("minute",I218)-1)))*60,0)+IFERROR(VALUE(SUBSTITUTE(MID(I218,IFERROR(FIND("and",I218)+3,1),20),"second(s)","")),0)</f>
        <v/>
      </c>
      <c r="K218" s="41">
        <f>J218/60</f>
        <v/>
      </c>
      <c r="L218" s="41">
        <f>IFERROR(J218/H218,"")</f>
        <v/>
      </c>
      <c r="M218" s="25" t="inlineStr">
        <is>
          <t>2.5.12</t>
        </is>
      </c>
      <c r="N218" s="25">
        <f>IF(J218&gt;300,1,0)</f>
        <v/>
      </c>
      <c r="O218" s="25">
        <f>IF(J218&gt;600,1,0)</f>
        <v/>
      </c>
      <c r="P218" s="25">
        <f>IF(H218&gt;0,J218,"")</f>
        <v/>
      </c>
      <c r="Q218" s="25">
        <f>TEXT(A218,"YYYY-MM-DD HH")</f>
        <v/>
      </c>
      <c r="R218" s="25">
        <f>COUNTIF($Q$2:$Q$5295,Q218)</f>
        <v/>
      </c>
      <c r="S218" s="25">
        <f>IF(R218&lt;=2,"1-2",IF(R218&lt;=5,"3-5",IF(R218&lt;=10,"6-10","11+")))</f>
        <v/>
      </c>
    </row>
    <row r="219">
      <c r="A219" s="39" t="n">
        <v>46154.13631944444</v>
      </c>
      <c r="B219" s="25">
        <f>TEXT(A219,"YYYY-MM")</f>
        <v/>
      </c>
      <c r="C219" s="25">
        <f>TEXT(A219,"MMM-YYYY")</f>
        <v/>
      </c>
      <c r="D219" s="40">
        <f>INT(A219)-WEEKDAY(A219,2)+1</f>
        <v/>
      </c>
      <c r="E219" s="25" t="inlineStr">
        <is>
          <t>csaha</t>
        </is>
      </c>
      <c r="F219" s="25" t="n">
        <v>117502</v>
      </c>
      <c r="G219" s="25" t="n">
        <v>2</v>
      </c>
      <c r="H219" s="25" t="n">
        <v>6</v>
      </c>
      <c r="I219" s="25" t="inlineStr">
        <is>
          <t>1 minute(s) and 11 second(s)</t>
        </is>
      </c>
      <c r="J219" s="25">
        <f>IFERROR(VALUE(TRIM(LEFT(I219,FIND("minute",I219)-1)))*60,0)+IFERROR(VALUE(SUBSTITUTE(MID(I219,IFERROR(FIND("and",I219)+3,1),20),"second(s)","")),0)</f>
        <v/>
      </c>
      <c r="K219" s="41">
        <f>J219/60</f>
        <v/>
      </c>
      <c r="L219" s="41">
        <f>IFERROR(J219/H219,"")</f>
        <v/>
      </c>
      <c r="M219" s="25" t="inlineStr">
        <is>
          <t>2.5.12</t>
        </is>
      </c>
      <c r="N219" s="25">
        <f>IF(J219&gt;300,1,0)</f>
        <v/>
      </c>
      <c r="O219" s="25">
        <f>IF(J219&gt;600,1,0)</f>
        <v/>
      </c>
      <c r="P219" s="25">
        <f>IF(H219&gt;0,J219,"")</f>
        <v/>
      </c>
      <c r="Q219" s="25">
        <f>TEXT(A219,"YYYY-MM-DD HH")</f>
        <v/>
      </c>
      <c r="R219" s="25">
        <f>COUNTIF($Q$2:$Q$5295,Q219)</f>
        <v/>
      </c>
      <c r="S219" s="25">
        <f>IF(R219&lt;=2,"1-2",IF(R219&lt;=5,"3-5",IF(R219&lt;=10,"6-10","11+")))</f>
        <v/>
      </c>
    </row>
    <row r="220">
      <c r="A220" s="39" t="n">
        <v>46154.13839120371</v>
      </c>
      <c r="B220" s="25">
        <f>TEXT(A220,"YYYY-MM")</f>
        <v/>
      </c>
      <c r="C220" s="25">
        <f>TEXT(A220,"MMM-YYYY")</f>
        <v/>
      </c>
      <c r="D220" s="40">
        <f>INT(A220)-WEEKDAY(A220,2)+1</f>
        <v/>
      </c>
      <c r="E220" s="25" t="inlineStr">
        <is>
          <t>vreddy</t>
        </is>
      </c>
      <c r="F220" s="25" t="n">
        <v>97502</v>
      </c>
      <c r="G220" s="25" t="n">
        <v>2</v>
      </c>
      <c r="H220" s="25" t="n">
        <v>10</v>
      </c>
      <c r="I220" s="25" t="inlineStr">
        <is>
          <t>2 minute(s) and 7 second(s)</t>
        </is>
      </c>
      <c r="J220" s="25">
        <f>IFERROR(VALUE(TRIM(LEFT(I220,FIND("minute",I220)-1)))*60,0)+IFERROR(VALUE(SUBSTITUTE(MID(I220,IFERROR(FIND("and",I220)+3,1),20),"second(s)","")),0)</f>
        <v/>
      </c>
      <c r="K220" s="41">
        <f>J220/60</f>
        <v/>
      </c>
      <c r="L220" s="41">
        <f>IFERROR(J220/H220,"")</f>
        <v/>
      </c>
      <c r="M220" s="25" t="inlineStr">
        <is>
          <t>2.5.12</t>
        </is>
      </c>
      <c r="N220" s="25">
        <f>IF(J220&gt;300,1,0)</f>
        <v/>
      </c>
      <c r="O220" s="25">
        <f>IF(J220&gt;600,1,0)</f>
        <v/>
      </c>
      <c r="P220" s="25">
        <f>IF(H220&gt;0,J220,"")</f>
        <v/>
      </c>
      <c r="Q220" s="25">
        <f>TEXT(A220,"YYYY-MM-DD HH")</f>
        <v/>
      </c>
      <c r="R220" s="25">
        <f>COUNTIF($Q$2:$Q$5295,Q220)</f>
        <v/>
      </c>
      <c r="S220" s="25">
        <f>IF(R220&lt;=2,"1-2",IF(R220&lt;=5,"3-5",IF(R220&lt;=10,"6-10","11+")))</f>
        <v/>
      </c>
    </row>
    <row r="221">
      <c r="A221" s="39" t="n">
        <v>46154.15070601852</v>
      </c>
      <c r="B221" s="25">
        <f>TEXT(A221,"YYYY-MM")</f>
        <v/>
      </c>
      <c r="C221" s="25">
        <f>TEXT(A221,"MMM-YYYY")</f>
        <v/>
      </c>
      <c r="D221" s="40">
        <f>INT(A221)-WEEKDAY(A221,2)+1</f>
        <v/>
      </c>
      <c r="E221" s="25" t="inlineStr">
        <is>
          <t>shasikha</t>
        </is>
      </c>
      <c r="F221" s="25" t="n">
        <v>81224</v>
      </c>
      <c r="G221" s="25" t="n">
        <v>5</v>
      </c>
      <c r="H221" s="25" t="n">
        <v>31</v>
      </c>
      <c r="I221" s="25" t="inlineStr">
        <is>
          <t>7 minute(s) and 33 second(s)</t>
        </is>
      </c>
      <c r="J221" s="25">
        <f>IFERROR(VALUE(TRIM(LEFT(I221,FIND("minute",I221)-1)))*60,0)+IFERROR(VALUE(SUBSTITUTE(MID(I221,IFERROR(FIND("and",I221)+3,1),20),"second(s)","")),0)</f>
        <v/>
      </c>
      <c r="K221" s="41">
        <f>J221/60</f>
        <v/>
      </c>
      <c r="L221" s="41">
        <f>IFERROR(J221/H221,"")</f>
        <v/>
      </c>
      <c r="M221" s="25" t="inlineStr">
        <is>
          <t>2.5.12</t>
        </is>
      </c>
      <c r="N221" s="25">
        <f>IF(J221&gt;300,1,0)</f>
        <v/>
      </c>
      <c r="O221" s="25">
        <f>IF(J221&gt;600,1,0)</f>
        <v/>
      </c>
      <c r="P221" s="25">
        <f>IF(H221&gt;0,J221,"")</f>
        <v/>
      </c>
      <c r="Q221" s="25">
        <f>TEXT(A221,"YYYY-MM-DD HH")</f>
        <v/>
      </c>
      <c r="R221" s="25">
        <f>COUNTIF($Q$2:$Q$5295,Q221)</f>
        <v/>
      </c>
      <c r="S221" s="25">
        <f>IF(R221&lt;=2,"1-2",IF(R221&lt;=5,"3-5",IF(R221&lt;=10,"6-10","11+")))</f>
        <v/>
      </c>
    </row>
    <row r="222">
      <c r="A222" s="39" t="n">
        <v>46154.15140046296</v>
      </c>
      <c r="B222" s="25">
        <f>TEXT(A222,"YYYY-MM")</f>
        <v/>
      </c>
      <c r="C222" s="25">
        <f>TEXT(A222,"MMM-YYYY")</f>
        <v/>
      </c>
      <c r="D222" s="40">
        <f>INT(A222)-WEEKDAY(A222,2)+1</f>
        <v/>
      </c>
      <c r="E222" s="25" t="inlineStr">
        <is>
          <t>dbhattacharyya</t>
        </is>
      </c>
      <c r="F222" s="25" t="n">
        <v>82318</v>
      </c>
      <c r="G222" s="25" t="n">
        <v>5</v>
      </c>
      <c r="H222" s="25" t="n">
        <v>25</v>
      </c>
      <c r="I222" s="25" t="inlineStr">
        <is>
          <t>4 minute(s) and 7 second(s)</t>
        </is>
      </c>
      <c r="J222" s="25">
        <f>IFERROR(VALUE(TRIM(LEFT(I222,FIND("minute",I222)-1)))*60,0)+IFERROR(VALUE(SUBSTITUTE(MID(I222,IFERROR(FIND("and",I222)+3,1),20),"second(s)","")),0)</f>
        <v/>
      </c>
      <c r="K222" s="41">
        <f>J222/60</f>
        <v/>
      </c>
      <c r="L222" s="41">
        <f>IFERROR(J222/H222,"")</f>
        <v/>
      </c>
      <c r="M222" s="25" t="inlineStr">
        <is>
          <t>2.5.12</t>
        </is>
      </c>
      <c r="N222" s="25">
        <f>IF(J222&gt;300,1,0)</f>
        <v/>
      </c>
      <c r="O222" s="25">
        <f>IF(J222&gt;600,1,0)</f>
        <v/>
      </c>
      <c r="P222" s="25">
        <f>IF(H222&gt;0,J222,"")</f>
        <v/>
      </c>
      <c r="Q222" s="25">
        <f>TEXT(A222,"YYYY-MM-DD HH")</f>
        <v/>
      </c>
      <c r="R222" s="25">
        <f>COUNTIF($Q$2:$Q$5295,Q222)</f>
        <v/>
      </c>
      <c r="S222" s="25">
        <f>IF(R222&lt;=2,"1-2",IF(R222&lt;=5,"3-5",IF(R222&lt;=10,"6-10","11+")))</f>
        <v/>
      </c>
    </row>
    <row r="223">
      <c r="A223" s="39" t="n">
        <v>46154.15479166667</v>
      </c>
      <c r="B223" s="25">
        <f>TEXT(A223,"YYYY-MM")</f>
        <v/>
      </c>
      <c r="C223" s="25">
        <f>TEXT(A223,"MMM-YYYY")</f>
        <v/>
      </c>
      <c r="D223" s="40">
        <f>INT(A223)-WEEKDAY(A223,2)+1</f>
        <v/>
      </c>
      <c r="E223" s="25" t="inlineStr">
        <is>
          <t>arsarkar</t>
        </is>
      </c>
      <c r="F223" s="25" t="n">
        <v>95444</v>
      </c>
      <c r="G223" s="25" t="n">
        <v>2</v>
      </c>
      <c r="H223" s="25" t="n">
        <v>11</v>
      </c>
      <c r="I223" s="25" t="inlineStr">
        <is>
          <t>3 minute(s) and 23 second(s)</t>
        </is>
      </c>
      <c r="J223" s="25">
        <f>IFERROR(VALUE(TRIM(LEFT(I223,FIND("minute",I223)-1)))*60,0)+IFERROR(VALUE(SUBSTITUTE(MID(I223,IFERROR(FIND("and",I223)+3,1),20),"second(s)","")),0)</f>
        <v/>
      </c>
      <c r="K223" s="41">
        <f>J223/60</f>
        <v/>
      </c>
      <c r="L223" s="41">
        <f>IFERROR(J223/H223,"")</f>
        <v/>
      </c>
      <c r="M223" s="25" t="inlineStr">
        <is>
          <t>2.5.12</t>
        </is>
      </c>
      <c r="N223" s="25">
        <f>IF(J223&gt;300,1,0)</f>
        <v/>
      </c>
      <c r="O223" s="25">
        <f>IF(J223&gt;600,1,0)</f>
        <v/>
      </c>
      <c r="P223" s="25">
        <f>IF(H223&gt;0,J223,"")</f>
        <v/>
      </c>
      <c r="Q223" s="25">
        <f>TEXT(A223,"YYYY-MM-DD HH")</f>
        <v/>
      </c>
      <c r="R223" s="25">
        <f>COUNTIF($Q$2:$Q$5295,Q223)</f>
        <v/>
      </c>
      <c r="S223" s="25">
        <f>IF(R223&lt;=2,"1-2",IF(R223&lt;=5,"3-5",IF(R223&lt;=10,"6-10","11+")))</f>
        <v/>
      </c>
    </row>
    <row r="224">
      <c r="A224" s="39" t="n">
        <v>46154.15517361111</v>
      </c>
      <c r="B224" s="25">
        <f>TEXT(A224,"YYYY-MM")</f>
        <v/>
      </c>
      <c r="C224" s="25">
        <f>TEXT(A224,"MMM-YYYY")</f>
        <v/>
      </c>
      <c r="D224" s="40">
        <f>INT(A224)-WEEKDAY(A224,2)+1</f>
        <v/>
      </c>
      <c r="E224" s="25" t="inlineStr">
        <is>
          <t>abhaskarkp</t>
        </is>
      </c>
      <c r="F224" s="25" t="n">
        <v>106783</v>
      </c>
      <c r="G224" s="25" t="n">
        <v>3</v>
      </c>
      <c r="H224" s="25" t="n">
        <v>11</v>
      </c>
      <c r="I224" s="25" t="inlineStr">
        <is>
          <t>2 minute(s) and 45 second(s)</t>
        </is>
      </c>
      <c r="J224" s="25">
        <f>IFERROR(VALUE(TRIM(LEFT(I224,FIND("minute",I224)-1)))*60,0)+IFERROR(VALUE(SUBSTITUTE(MID(I224,IFERROR(FIND("and",I224)+3,1),20),"second(s)","")),0)</f>
        <v/>
      </c>
      <c r="K224" s="41">
        <f>J224/60</f>
        <v/>
      </c>
      <c r="L224" s="41">
        <f>IFERROR(J224/H224,"")</f>
        <v/>
      </c>
      <c r="M224" s="25" t="inlineStr">
        <is>
          <t>2.5.12</t>
        </is>
      </c>
      <c r="N224" s="25">
        <f>IF(J224&gt;300,1,0)</f>
        <v/>
      </c>
      <c r="O224" s="25">
        <f>IF(J224&gt;600,1,0)</f>
        <v/>
      </c>
      <c r="P224" s="25">
        <f>IF(H224&gt;0,J224,"")</f>
        <v/>
      </c>
      <c r="Q224" s="25">
        <f>TEXT(A224,"YYYY-MM-DD HH")</f>
        <v/>
      </c>
      <c r="R224" s="25">
        <f>COUNTIF($Q$2:$Q$5295,Q224)</f>
        <v/>
      </c>
      <c r="S224" s="25">
        <f>IF(R224&lt;=2,"1-2",IF(R224&lt;=5,"3-5",IF(R224&lt;=10,"6-10","11+")))</f>
        <v/>
      </c>
    </row>
    <row r="225">
      <c r="A225" s="39" t="n">
        <v>46154.15880787037</v>
      </c>
      <c r="B225" s="25">
        <f>TEXT(A225,"YYYY-MM")</f>
        <v/>
      </c>
      <c r="C225" s="25">
        <f>TEXT(A225,"MMM-YYYY")</f>
        <v/>
      </c>
      <c r="D225" s="40">
        <f>INT(A225)-WEEKDAY(A225,2)+1</f>
        <v/>
      </c>
      <c r="E225" s="25" t="inlineStr">
        <is>
          <t>ssrinivasan</t>
        </is>
      </c>
      <c r="F225" s="25" t="n">
        <v>104308</v>
      </c>
      <c r="G225" s="25" t="n">
        <v>2</v>
      </c>
      <c r="H225" s="25" t="n">
        <v>6</v>
      </c>
      <c r="I225" s="25" t="inlineStr">
        <is>
          <t>1 minute(s) and 48 second(s)</t>
        </is>
      </c>
      <c r="J225" s="25">
        <f>IFERROR(VALUE(TRIM(LEFT(I225,FIND("minute",I225)-1)))*60,0)+IFERROR(VALUE(SUBSTITUTE(MID(I225,IFERROR(FIND("and",I225)+3,1),20),"second(s)","")),0)</f>
        <v/>
      </c>
      <c r="K225" s="41">
        <f>J225/60</f>
        <v/>
      </c>
      <c r="L225" s="41">
        <f>IFERROR(J225/H225,"")</f>
        <v/>
      </c>
      <c r="M225" s="25" t="inlineStr">
        <is>
          <t>2.5.12</t>
        </is>
      </c>
      <c r="N225" s="25">
        <f>IF(J225&gt;300,1,0)</f>
        <v/>
      </c>
      <c r="O225" s="25">
        <f>IF(J225&gt;600,1,0)</f>
        <v/>
      </c>
      <c r="P225" s="25">
        <f>IF(H225&gt;0,J225,"")</f>
        <v/>
      </c>
      <c r="Q225" s="25">
        <f>TEXT(A225,"YYYY-MM-DD HH")</f>
        <v/>
      </c>
      <c r="R225" s="25">
        <f>COUNTIF($Q$2:$Q$5295,Q225)</f>
        <v/>
      </c>
      <c r="S225" s="25">
        <f>IF(R225&lt;=2,"1-2",IF(R225&lt;=5,"3-5",IF(R225&lt;=10,"6-10","11+")))</f>
        <v/>
      </c>
    </row>
    <row r="226">
      <c r="A226" s="39" t="n">
        <v>46154.16135416667</v>
      </c>
      <c r="B226" s="25">
        <f>TEXT(A226,"YYYY-MM")</f>
        <v/>
      </c>
      <c r="C226" s="25">
        <f>TEXT(A226,"MMM-YYYY")</f>
        <v/>
      </c>
      <c r="D226" s="40">
        <f>INT(A226)-WEEKDAY(A226,2)+1</f>
        <v/>
      </c>
      <c r="E226" s="25" t="inlineStr">
        <is>
          <t>rts</t>
        </is>
      </c>
      <c r="F226" s="25" t="n">
        <v>69551</v>
      </c>
      <c r="G226" s="25" t="n">
        <v>3</v>
      </c>
      <c r="H226" s="25" t="n">
        <v>13</v>
      </c>
      <c r="I226" s="25" t="inlineStr">
        <is>
          <t>4 minute(s) and 35 second(s)</t>
        </is>
      </c>
      <c r="J226" s="25">
        <f>IFERROR(VALUE(TRIM(LEFT(I226,FIND("minute",I226)-1)))*60,0)+IFERROR(VALUE(SUBSTITUTE(MID(I226,IFERROR(FIND("and",I226)+3,1),20),"second(s)","")),0)</f>
        <v/>
      </c>
      <c r="K226" s="41">
        <f>J226/60</f>
        <v/>
      </c>
      <c r="L226" s="41">
        <f>IFERROR(J226/H226,"")</f>
        <v/>
      </c>
      <c r="M226" s="25" t="inlineStr">
        <is>
          <t>2.5.12</t>
        </is>
      </c>
      <c r="N226" s="25">
        <f>IF(J226&gt;300,1,0)</f>
        <v/>
      </c>
      <c r="O226" s="25">
        <f>IF(J226&gt;600,1,0)</f>
        <v/>
      </c>
      <c r="P226" s="25">
        <f>IF(H226&gt;0,J226,"")</f>
        <v/>
      </c>
      <c r="Q226" s="25">
        <f>TEXT(A226,"YYYY-MM-DD HH")</f>
        <v/>
      </c>
      <c r="R226" s="25">
        <f>COUNTIF($Q$2:$Q$5295,Q226)</f>
        <v/>
      </c>
      <c r="S226" s="25">
        <f>IF(R226&lt;=2,"1-2",IF(R226&lt;=5,"3-5",IF(R226&lt;=10,"6-10","11+")))</f>
        <v/>
      </c>
    </row>
    <row r="227">
      <c r="A227" s="39" t="n">
        <v>46154.16600694445</v>
      </c>
      <c r="B227" s="25">
        <f>TEXT(A227,"YYYY-MM")</f>
        <v/>
      </c>
      <c r="C227" s="25">
        <f>TEXT(A227,"MMM-YYYY")</f>
        <v/>
      </c>
      <c r="D227" s="40">
        <f>INT(A227)-WEEKDAY(A227,2)+1</f>
        <v/>
      </c>
      <c r="E227" s="25" t="inlineStr">
        <is>
          <t>npriya</t>
        </is>
      </c>
      <c r="F227" s="25" t="n">
        <v>85692</v>
      </c>
      <c r="G227" s="25" t="n">
        <v>5</v>
      </c>
      <c r="H227" s="25" t="n">
        <v>29</v>
      </c>
      <c r="I227" s="25" t="inlineStr">
        <is>
          <t>6 minute(s) and 6 second(s)</t>
        </is>
      </c>
      <c r="J227" s="25">
        <f>IFERROR(VALUE(TRIM(LEFT(I227,FIND("minute",I227)-1)))*60,0)+IFERROR(VALUE(SUBSTITUTE(MID(I227,IFERROR(FIND("and",I227)+3,1),20),"second(s)","")),0)</f>
        <v/>
      </c>
      <c r="K227" s="41">
        <f>J227/60</f>
        <v/>
      </c>
      <c r="L227" s="41">
        <f>IFERROR(J227/H227,"")</f>
        <v/>
      </c>
      <c r="M227" s="25" t="inlineStr">
        <is>
          <t>2.5.12</t>
        </is>
      </c>
      <c r="N227" s="25">
        <f>IF(J227&gt;300,1,0)</f>
        <v/>
      </c>
      <c r="O227" s="25">
        <f>IF(J227&gt;600,1,0)</f>
        <v/>
      </c>
      <c r="P227" s="25">
        <f>IF(H227&gt;0,J227,"")</f>
        <v/>
      </c>
      <c r="Q227" s="25">
        <f>TEXT(A227,"YYYY-MM-DD HH")</f>
        <v/>
      </c>
      <c r="R227" s="25">
        <f>COUNTIF($Q$2:$Q$5295,Q227)</f>
        <v/>
      </c>
      <c r="S227" s="25">
        <f>IF(R227&lt;=2,"1-2",IF(R227&lt;=5,"3-5",IF(R227&lt;=10,"6-10","11+")))</f>
        <v/>
      </c>
    </row>
    <row r="228">
      <c r="A228" s="39" t="n">
        <v>46154.17261574074</v>
      </c>
      <c r="B228" s="25">
        <f>TEXT(A228,"YYYY-MM")</f>
        <v/>
      </c>
      <c r="C228" s="25">
        <f>TEXT(A228,"MMM-YYYY")</f>
        <v/>
      </c>
      <c r="D228" s="40">
        <f>INT(A228)-WEEKDAY(A228,2)+1</f>
        <v/>
      </c>
      <c r="E228" s="25" t="inlineStr">
        <is>
          <t>psathwika</t>
        </is>
      </c>
      <c r="F228" s="25" t="n">
        <v>71262</v>
      </c>
      <c r="G228" s="25" t="n">
        <v>2</v>
      </c>
      <c r="H228" s="25" t="n">
        <v>12</v>
      </c>
      <c r="I228" s="25" t="inlineStr">
        <is>
          <t>2 minute(s) and 50 second(s)</t>
        </is>
      </c>
      <c r="J228" s="25">
        <f>IFERROR(VALUE(TRIM(LEFT(I228,FIND("minute",I228)-1)))*60,0)+IFERROR(VALUE(SUBSTITUTE(MID(I228,IFERROR(FIND("and",I228)+3,1),20),"second(s)","")),0)</f>
        <v/>
      </c>
      <c r="K228" s="41">
        <f>J228/60</f>
        <v/>
      </c>
      <c r="L228" s="41">
        <f>IFERROR(J228/H228,"")</f>
        <v/>
      </c>
      <c r="M228" s="25" t="inlineStr">
        <is>
          <t>2.5.12</t>
        </is>
      </c>
      <c r="N228" s="25">
        <f>IF(J228&gt;300,1,0)</f>
        <v/>
      </c>
      <c r="O228" s="25">
        <f>IF(J228&gt;600,1,0)</f>
        <v/>
      </c>
      <c r="P228" s="25">
        <f>IF(H228&gt;0,J228,"")</f>
        <v/>
      </c>
      <c r="Q228" s="25">
        <f>TEXT(A228,"YYYY-MM-DD HH")</f>
        <v/>
      </c>
      <c r="R228" s="25">
        <f>COUNTIF($Q$2:$Q$5295,Q228)</f>
        <v/>
      </c>
      <c r="S228" s="25">
        <f>IF(R228&lt;=2,"1-2",IF(R228&lt;=5,"3-5",IF(R228&lt;=10,"6-10","11+")))</f>
        <v/>
      </c>
    </row>
    <row r="229">
      <c r="A229" s="39" t="n">
        <v>46154.17667824074</v>
      </c>
      <c r="B229" s="25">
        <f>TEXT(A229,"YYYY-MM")</f>
        <v/>
      </c>
      <c r="C229" s="25">
        <f>TEXT(A229,"MMM-YYYY")</f>
        <v/>
      </c>
      <c r="D229" s="40">
        <f>INT(A229)-WEEKDAY(A229,2)+1</f>
        <v/>
      </c>
      <c r="E229" s="25" t="inlineStr">
        <is>
          <t>vraina</t>
        </is>
      </c>
      <c r="F229" s="25" t="n">
        <v>84503</v>
      </c>
      <c r="G229" s="25" t="n">
        <v>1</v>
      </c>
      <c r="H229" s="25" t="n">
        <v>5</v>
      </c>
      <c r="I229" s="25" t="inlineStr">
        <is>
          <t>45 second(s)</t>
        </is>
      </c>
      <c r="J229" s="25">
        <f>IFERROR(VALUE(TRIM(LEFT(I229,FIND("minute",I229)-1)))*60,0)+IFERROR(VALUE(SUBSTITUTE(MID(I229,IFERROR(FIND("and",I229)+3,1),20),"second(s)","")),0)</f>
        <v/>
      </c>
      <c r="K229" s="41">
        <f>J229/60</f>
        <v/>
      </c>
      <c r="L229" s="41">
        <f>IFERROR(J229/H229,"")</f>
        <v/>
      </c>
      <c r="M229" s="25" t="inlineStr">
        <is>
          <t>2.5.12</t>
        </is>
      </c>
      <c r="N229" s="25">
        <f>IF(J229&gt;300,1,0)</f>
        <v/>
      </c>
      <c r="O229" s="25">
        <f>IF(J229&gt;600,1,0)</f>
        <v/>
      </c>
      <c r="P229" s="25">
        <f>IF(H229&gt;0,J229,"")</f>
        <v/>
      </c>
      <c r="Q229" s="25">
        <f>TEXT(A229,"YYYY-MM-DD HH")</f>
        <v/>
      </c>
      <c r="R229" s="25">
        <f>COUNTIF($Q$2:$Q$5295,Q229)</f>
        <v/>
      </c>
      <c r="S229" s="25">
        <f>IF(R229&lt;=2,"1-2",IF(R229&lt;=5,"3-5",IF(R229&lt;=10,"6-10","11+")))</f>
        <v/>
      </c>
    </row>
    <row r="230">
      <c r="A230" s="39" t="n">
        <v>46154.18481481481</v>
      </c>
      <c r="B230" s="25">
        <f>TEXT(A230,"YYYY-MM")</f>
        <v/>
      </c>
      <c r="C230" s="25">
        <f>TEXT(A230,"MMM-YYYY")</f>
        <v/>
      </c>
      <c r="D230" s="40">
        <f>INT(A230)-WEEKDAY(A230,2)+1</f>
        <v/>
      </c>
      <c r="E230" s="25" t="inlineStr">
        <is>
          <t>sswati</t>
        </is>
      </c>
      <c r="F230" s="25" t="n">
        <v>80786</v>
      </c>
      <c r="G230" s="25" t="n">
        <v>2</v>
      </c>
      <c r="H230" s="25" t="n">
        <v>6</v>
      </c>
      <c r="I230" s="25" t="inlineStr">
        <is>
          <t>1 minute(s) and 25 second(s)</t>
        </is>
      </c>
      <c r="J230" s="25">
        <f>IFERROR(VALUE(TRIM(LEFT(I230,FIND("minute",I230)-1)))*60,0)+IFERROR(VALUE(SUBSTITUTE(MID(I230,IFERROR(FIND("and",I230)+3,1),20),"second(s)","")),0)</f>
        <v/>
      </c>
      <c r="K230" s="41">
        <f>J230/60</f>
        <v/>
      </c>
      <c r="L230" s="41">
        <f>IFERROR(J230/H230,"")</f>
        <v/>
      </c>
      <c r="M230" s="25" t="inlineStr">
        <is>
          <t>2.5.12</t>
        </is>
      </c>
      <c r="N230" s="25">
        <f>IF(J230&gt;300,1,0)</f>
        <v/>
      </c>
      <c r="O230" s="25">
        <f>IF(J230&gt;600,1,0)</f>
        <v/>
      </c>
      <c r="P230" s="25">
        <f>IF(H230&gt;0,J230,"")</f>
        <v/>
      </c>
      <c r="Q230" s="25">
        <f>TEXT(A230,"YYYY-MM-DD HH")</f>
        <v/>
      </c>
      <c r="R230" s="25">
        <f>COUNTIF($Q$2:$Q$5295,Q230)</f>
        <v/>
      </c>
      <c r="S230" s="25">
        <f>IF(R230&lt;=2,"1-2",IF(R230&lt;=5,"3-5",IF(R230&lt;=10,"6-10","11+")))</f>
        <v/>
      </c>
    </row>
    <row r="231">
      <c r="A231" s="39" t="n">
        <v>46154.18848379629</v>
      </c>
      <c r="B231" s="25">
        <f>TEXT(A231,"YYYY-MM")</f>
        <v/>
      </c>
      <c r="C231" s="25">
        <f>TEXT(A231,"MMM-YYYY")</f>
        <v/>
      </c>
      <c r="D231" s="40">
        <f>INT(A231)-WEEKDAY(A231,2)+1</f>
        <v/>
      </c>
      <c r="E231" s="25" t="inlineStr">
        <is>
          <t>hdutt</t>
        </is>
      </c>
      <c r="F231" s="25" t="n">
        <v>114033</v>
      </c>
      <c r="G231" s="25" t="n">
        <v>5</v>
      </c>
      <c r="H231" s="25" t="n">
        <v>30</v>
      </c>
      <c r="I231" s="25" t="inlineStr">
        <is>
          <t>7 minute(s) and 23 second(s)</t>
        </is>
      </c>
      <c r="J231" s="25">
        <f>IFERROR(VALUE(TRIM(LEFT(I231,FIND("minute",I231)-1)))*60,0)+IFERROR(VALUE(SUBSTITUTE(MID(I231,IFERROR(FIND("and",I231)+3,1),20),"second(s)","")),0)</f>
        <v/>
      </c>
      <c r="K231" s="41">
        <f>J231/60</f>
        <v/>
      </c>
      <c r="L231" s="41">
        <f>IFERROR(J231/H231,"")</f>
        <v/>
      </c>
      <c r="M231" s="25" t="inlineStr">
        <is>
          <t>2.5.12</t>
        </is>
      </c>
      <c r="N231" s="25">
        <f>IF(J231&gt;300,1,0)</f>
        <v/>
      </c>
      <c r="O231" s="25">
        <f>IF(J231&gt;600,1,0)</f>
        <v/>
      </c>
      <c r="P231" s="25">
        <f>IF(H231&gt;0,J231,"")</f>
        <v/>
      </c>
      <c r="Q231" s="25">
        <f>TEXT(A231,"YYYY-MM-DD HH")</f>
        <v/>
      </c>
      <c r="R231" s="25">
        <f>COUNTIF($Q$2:$Q$5295,Q231)</f>
        <v/>
      </c>
      <c r="S231" s="25">
        <f>IF(R231&lt;=2,"1-2",IF(R231&lt;=5,"3-5",IF(R231&lt;=10,"6-10","11+")))</f>
        <v/>
      </c>
    </row>
    <row r="232">
      <c r="A232" s="39" t="n">
        <v>46154.18858796296</v>
      </c>
      <c r="B232" s="25">
        <f>TEXT(A232,"YYYY-MM")</f>
        <v/>
      </c>
      <c r="C232" s="25">
        <f>TEXT(A232,"MMM-YYYY")</f>
        <v/>
      </c>
      <c r="D232" s="40">
        <f>INT(A232)-WEEKDAY(A232,2)+1</f>
        <v/>
      </c>
      <c r="E232" s="25" t="inlineStr">
        <is>
          <t>ptomar</t>
        </is>
      </c>
      <c r="F232" s="25" t="n">
        <v>83079</v>
      </c>
      <c r="G232" s="25" t="n">
        <v>1</v>
      </c>
      <c r="H232" s="25" t="n">
        <v>6</v>
      </c>
      <c r="I232" s="25" t="inlineStr">
        <is>
          <t>1 minute(s) and 44 second(s)</t>
        </is>
      </c>
      <c r="J232" s="25">
        <f>IFERROR(VALUE(TRIM(LEFT(I232,FIND("minute",I232)-1)))*60,0)+IFERROR(VALUE(SUBSTITUTE(MID(I232,IFERROR(FIND("and",I232)+3,1),20),"second(s)","")),0)</f>
        <v/>
      </c>
      <c r="K232" s="41">
        <f>J232/60</f>
        <v/>
      </c>
      <c r="L232" s="41">
        <f>IFERROR(J232/H232,"")</f>
        <v/>
      </c>
      <c r="M232" s="25" t="inlineStr">
        <is>
          <t>2.5.12</t>
        </is>
      </c>
      <c r="N232" s="25">
        <f>IF(J232&gt;300,1,0)</f>
        <v/>
      </c>
      <c r="O232" s="25">
        <f>IF(J232&gt;600,1,0)</f>
        <v/>
      </c>
      <c r="P232" s="25">
        <f>IF(H232&gt;0,J232,"")</f>
        <v/>
      </c>
      <c r="Q232" s="25">
        <f>TEXT(A232,"YYYY-MM-DD HH")</f>
        <v/>
      </c>
      <c r="R232" s="25">
        <f>COUNTIF($Q$2:$Q$5295,Q232)</f>
        <v/>
      </c>
      <c r="S232" s="25">
        <f>IF(R232&lt;=2,"1-2",IF(R232&lt;=5,"3-5",IF(R232&lt;=10,"6-10","11+")))</f>
        <v/>
      </c>
    </row>
    <row r="233">
      <c r="A233" s="39" t="n">
        <v>46154.19016203703</v>
      </c>
      <c r="B233" s="25">
        <f>TEXT(A233,"YYYY-MM")</f>
        <v/>
      </c>
      <c r="C233" s="25">
        <f>TEXT(A233,"MMM-YYYY")</f>
        <v/>
      </c>
      <c r="D233" s="40">
        <f>INT(A233)-WEEKDAY(A233,2)+1</f>
        <v/>
      </c>
      <c r="E233" s="25" t="inlineStr">
        <is>
          <t>atiwari</t>
        </is>
      </c>
      <c r="F233" s="25" t="n">
        <v>60217</v>
      </c>
      <c r="G233" s="25" t="n">
        <v>5</v>
      </c>
      <c r="H233" s="25" t="n">
        <v>36</v>
      </c>
      <c r="I233" s="25" t="inlineStr">
        <is>
          <t>6 minute(s) and 39 second(s)</t>
        </is>
      </c>
      <c r="J233" s="25">
        <f>IFERROR(VALUE(TRIM(LEFT(I233,FIND("minute",I233)-1)))*60,0)+IFERROR(VALUE(SUBSTITUTE(MID(I233,IFERROR(FIND("and",I233)+3,1),20),"second(s)","")),0)</f>
        <v/>
      </c>
      <c r="K233" s="41">
        <f>J233/60</f>
        <v/>
      </c>
      <c r="L233" s="41">
        <f>IFERROR(J233/H233,"")</f>
        <v/>
      </c>
      <c r="M233" s="25" t="inlineStr">
        <is>
          <t>2.5.12</t>
        </is>
      </c>
      <c r="N233" s="25">
        <f>IF(J233&gt;300,1,0)</f>
        <v/>
      </c>
      <c r="O233" s="25">
        <f>IF(J233&gt;600,1,0)</f>
        <v/>
      </c>
      <c r="P233" s="25">
        <f>IF(H233&gt;0,J233,"")</f>
        <v/>
      </c>
      <c r="Q233" s="25">
        <f>TEXT(A233,"YYYY-MM-DD HH")</f>
        <v/>
      </c>
      <c r="R233" s="25">
        <f>COUNTIF($Q$2:$Q$5295,Q233)</f>
        <v/>
      </c>
      <c r="S233" s="25">
        <f>IF(R233&lt;=2,"1-2",IF(R233&lt;=5,"3-5",IF(R233&lt;=10,"6-10","11+")))</f>
        <v/>
      </c>
    </row>
    <row r="234">
      <c r="A234" s="39" t="n">
        <v>46154.19175925926</v>
      </c>
      <c r="B234" s="25">
        <f>TEXT(A234,"YYYY-MM")</f>
        <v/>
      </c>
      <c r="C234" s="25">
        <f>TEXT(A234,"MMM-YYYY")</f>
        <v/>
      </c>
      <c r="D234" s="40">
        <f>INT(A234)-WEEKDAY(A234,2)+1</f>
        <v/>
      </c>
      <c r="E234" s="25" t="inlineStr">
        <is>
          <t>emishra</t>
        </is>
      </c>
      <c r="F234" s="25" t="n">
        <v>116549</v>
      </c>
      <c r="G234" s="25" t="n">
        <v>1</v>
      </c>
      <c r="H234" s="25" t="n">
        <v>7</v>
      </c>
      <c r="I234" s="25" t="inlineStr">
        <is>
          <t>1 minute(s) and 9 second(s)</t>
        </is>
      </c>
      <c r="J234" s="25">
        <f>IFERROR(VALUE(TRIM(LEFT(I234,FIND("minute",I234)-1)))*60,0)+IFERROR(VALUE(SUBSTITUTE(MID(I234,IFERROR(FIND("and",I234)+3,1),20),"second(s)","")),0)</f>
        <v/>
      </c>
      <c r="K234" s="41">
        <f>J234/60</f>
        <v/>
      </c>
      <c r="L234" s="41">
        <f>IFERROR(J234/H234,"")</f>
        <v/>
      </c>
      <c r="M234" s="25" t="inlineStr">
        <is>
          <t>2.5.12</t>
        </is>
      </c>
      <c r="N234" s="25">
        <f>IF(J234&gt;300,1,0)</f>
        <v/>
      </c>
      <c r="O234" s="25">
        <f>IF(J234&gt;600,1,0)</f>
        <v/>
      </c>
      <c r="P234" s="25">
        <f>IF(H234&gt;0,J234,"")</f>
        <v/>
      </c>
      <c r="Q234" s="25">
        <f>TEXT(A234,"YYYY-MM-DD HH")</f>
        <v/>
      </c>
      <c r="R234" s="25">
        <f>COUNTIF($Q$2:$Q$5295,Q234)</f>
        <v/>
      </c>
      <c r="S234" s="25">
        <f>IF(R234&lt;=2,"1-2",IF(R234&lt;=5,"3-5",IF(R234&lt;=10,"6-10","11+")))</f>
        <v/>
      </c>
    </row>
    <row r="235">
      <c r="A235" s="39" t="n">
        <v>46154.1924537037</v>
      </c>
      <c r="B235" s="25">
        <f>TEXT(A235,"YYYY-MM")</f>
        <v/>
      </c>
      <c r="C235" s="25">
        <f>TEXT(A235,"MMM-YYYY")</f>
        <v/>
      </c>
      <c r="D235" s="40">
        <f>INT(A235)-WEEKDAY(A235,2)+1</f>
        <v/>
      </c>
      <c r="E235" s="25" t="inlineStr">
        <is>
          <t>sswati</t>
        </is>
      </c>
      <c r="F235" s="25" t="n">
        <v>80786</v>
      </c>
      <c r="G235" s="25" t="n">
        <v>2</v>
      </c>
      <c r="H235" s="25" t="n">
        <v>6</v>
      </c>
      <c r="I235" s="25" t="inlineStr">
        <is>
          <t>1 minute(s) and 56 second(s)</t>
        </is>
      </c>
      <c r="J235" s="25">
        <f>IFERROR(VALUE(TRIM(LEFT(I235,FIND("minute",I235)-1)))*60,0)+IFERROR(VALUE(SUBSTITUTE(MID(I235,IFERROR(FIND("and",I235)+3,1),20),"second(s)","")),0)</f>
        <v/>
      </c>
      <c r="K235" s="41">
        <f>J235/60</f>
        <v/>
      </c>
      <c r="L235" s="41">
        <f>IFERROR(J235/H235,"")</f>
        <v/>
      </c>
      <c r="M235" s="25" t="inlineStr">
        <is>
          <t>2.5.12</t>
        </is>
      </c>
      <c r="N235" s="25">
        <f>IF(J235&gt;300,1,0)</f>
        <v/>
      </c>
      <c r="O235" s="25">
        <f>IF(J235&gt;600,1,0)</f>
        <v/>
      </c>
      <c r="P235" s="25">
        <f>IF(H235&gt;0,J235,"")</f>
        <v/>
      </c>
      <c r="Q235" s="25">
        <f>TEXT(A235,"YYYY-MM-DD HH")</f>
        <v/>
      </c>
      <c r="R235" s="25">
        <f>COUNTIF($Q$2:$Q$5295,Q235)</f>
        <v/>
      </c>
      <c r="S235" s="25">
        <f>IF(R235&lt;=2,"1-2",IF(R235&lt;=5,"3-5",IF(R235&lt;=10,"6-10","11+")))</f>
        <v/>
      </c>
    </row>
    <row r="236">
      <c r="A236" s="39" t="n">
        <v>46154.19431712963</v>
      </c>
      <c r="B236" s="25">
        <f>TEXT(A236,"YYYY-MM")</f>
        <v/>
      </c>
      <c r="C236" s="25">
        <f>TEXT(A236,"MMM-YYYY")</f>
        <v/>
      </c>
      <c r="D236" s="40">
        <f>INT(A236)-WEEKDAY(A236,2)+1</f>
        <v/>
      </c>
      <c r="E236" s="25" t="inlineStr">
        <is>
          <t>csaha</t>
        </is>
      </c>
      <c r="F236" s="25" t="n">
        <v>73812</v>
      </c>
      <c r="G236" s="25" t="n">
        <v>3</v>
      </c>
      <c r="H236" s="25" t="n">
        <v>9</v>
      </c>
      <c r="I236" s="25" t="inlineStr">
        <is>
          <t>1 minute(s) and 41 second(s)</t>
        </is>
      </c>
      <c r="J236" s="25">
        <f>IFERROR(VALUE(TRIM(LEFT(I236,FIND("minute",I236)-1)))*60,0)+IFERROR(VALUE(SUBSTITUTE(MID(I236,IFERROR(FIND("and",I236)+3,1),20),"second(s)","")),0)</f>
        <v/>
      </c>
      <c r="K236" s="41">
        <f>J236/60</f>
        <v/>
      </c>
      <c r="L236" s="41">
        <f>IFERROR(J236/H236,"")</f>
        <v/>
      </c>
      <c r="M236" s="25" t="inlineStr">
        <is>
          <t>2.5.12</t>
        </is>
      </c>
      <c r="N236" s="25">
        <f>IF(J236&gt;300,1,0)</f>
        <v/>
      </c>
      <c r="O236" s="25">
        <f>IF(J236&gt;600,1,0)</f>
        <v/>
      </c>
      <c r="P236" s="25">
        <f>IF(H236&gt;0,J236,"")</f>
        <v/>
      </c>
      <c r="Q236" s="25">
        <f>TEXT(A236,"YYYY-MM-DD HH")</f>
        <v/>
      </c>
      <c r="R236" s="25">
        <f>COUNTIF($Q$2:$Q$5295,Q236)</f>
        <v/>
      </c>
      <c r="S236" s="25">
        <f>IF(R236&lt;=2,"1-2",IF(R236&lt;=5,"3-5",IF(R236&lt;=10,"6-10","11+")))</f>
        <v/>
      </c>
    </row>
    <row r="237">
      <c r="A237" s="39" t="n">
        <v>46154.19655092592</v>
      </c>
      <c r="B237" s="25">
        <f>TEXT(A237,"YYYY-MM")</f>
        <v/>
      </c>
      <c r="C237" s="25">
        <f>TEXT(A237,"MMM-YYYY")</f>
        <v/>
      </c>
      <c r="D237" s="40">
        <f>INT(A237)-WEEKDAY(A237,2)+1</f>
        <v/>
      </c>
      <c r="E237" s="25" t="inlineStr">
        <is>
          <t>mgupta</t>
        </is>
      </c>
      <c r="F237" s="25" t="n">
        <v>68328</v>
      </c>
      <c r="G237" s="25" t="n">
        <v>4</v>
      </c>
      <c r="H237" s="25" t="n">
        <v>14</v>
      </c>
      <c r="I237" s="25" t="inlineStr">
        <is>
          <t>2 minute(s) and 37 second(s)</t>
        </is>
      </c>
      <c r="J237" s="25">
        <f>IFERROR(VALUE(TRIM(LEFT(I237,FIND("minute",I237)-1)))*60,0)+IFERROR(VALUE(SUBSTITUTE(MID(I237,IFERROR(FIND("and",I237)+3,1),20),"second(s)","")),0)</f>
        <v/>
      </c>
      <c r="K237" s="41">
        <f>J237/60</f>
        <v/>
      </c>
      <c r="L237" s="41">
        <f>IFERROR(J237/H237,"")</f>
        <v/>
      </c>
      <c r="M237" s="25" t="inlineStr">
        <is>
          <t>2.5.12</t>
        </is>
      </c>
      <c r="N237" s="25">
        <f>IF(J237&gt;300,1,0)</f>
        <v/>
      </c>
      <c r="O237" s="25">
        <f>IF(J237&gt;600,1,0)</f>
        <v/>
      </c>
      <c r="P237" s="25">
        <f>IF(H237&gt;0,J237,"")</f>
        <v/>
      </c>
      <c r="Q237" s="25">
        <f>TEXT(A237,"YYYY-MM-DD HH")</f>
        <v/>
      </c>
      <c r="R237" s="25">
        <f>COUNTIF($Q$2:$Q$5295,Q237)</f>
        <v/>
      </c>
      <c r="S237" s="25">
        <f>IF(R237&lt;=2,"1-2",IF(R237&lt;=5,"3-5",IF(R237&lt;=10,"6-10","11+")))</f>
        <v/>
      </c>
    </row>
    <row r="238">
      <c r="A238" s="39" t="n">
        <v>46154.19835648148</v>
      </c>
      <c r="B238" s="25">
        <f>TEXT(A238,"YYYY-MM")</f>
        <v/>
      </c>
      <c r="C238" s="25">
        <f>TEXT(A238,"MMM-YYYY")</f>
        <v/>
      </c>
      <c r="D238" s="40">
        <f>INT(A238)-WEEKDAY(A238,2)+1</f>
        <v/>
      </c>
      <c r="E238" s="25" t="inlineStr">
        <is>
          <t>ssrinivasan</t>
        </is>
      </c>
      <c r="F238" s="25" t="n">
        <v>95276</v>
      </c>
      <c r="G238" s="25" t="n">
        <v>3</v>
      </c>
      <c r="H238" s="25" t="n">
        <v>13</v>
      </c>
      <c r="I238" s="25" t="inlineStr">
        <is>
          <t>3 minute(s) and 14 second(s)</t>
        </is>
      </c>
      <c r="J238" s="25">
        <f>IFERROR(VALUE(TRIM(LEFT(I238,FIND("minute",I238)-1)))*60,0)+IFERROR(VALUE(SUBSTITUTE(MID(I238,IFERROR(FIND("and",I238)+3,1),20),"second(s)","")),0)</f>
        <v/>
      </c>
      <c r="K238" s="41">
        <f>J238/60</f>
        <v/>
      </c>
      <c r="L238" s="41">
        <f>IFERROR(J238/H238,"")</f>
        <v/>
      </c>
      <c r="M238" s="25" t="inlineStr">
        <is>
          <t>2.5.12</t>
        </is>
      </c>
      <c r="N238" s="25">
        <f>IF(J238&gt;300,1,0)</f>
        <v/>
      </c>
      <c r="O238" s="25">
        <f>IF(J238&gt;600,1,0)</f>
        <v/>
      </c>
      <c r="P238" s="25">
        <f>IF(H238&gt;0,J238,"")</f>
        <v/>
      </c>
      <c r="Q238" s="25">
        <f>TEXT(A238,"YYYY-MM-DD HH")</f>
        <v/>
      </c>
      <c r="R238" s="25">
        <f>COUNTIF($Q$2:$Q$5295,Q238)</f>
        <v/>
      </c>
      <c r="S238" s="25">
        <f>IF(R238&lt;=2,"1-2",IF(R238&lt;=5,"3-5",IF(R238&lt;=10,"6-10","11+")))</f>
        <v/>
      </c>
    </row>
    <row r="239">
      <c r="A239" s="39" t="n">
        <v>46154.20575231482</v>
      </c>
      <c r="B239" s="25">
        <f>TEXT(A239,"YYYY-MM")</f>
        <v/>
      </c>
      <c r="C239" s="25">
        <f>TEXT(A239,"MMM-YYYY")</f>
        <v/>
      </c>
      <c r="D239" s="40">
        <f>INT(A239)-WEEKDAY(A239,2)+1</f>
        <v/>
      </c>
      <c r="E239" s="25" t="inlineStr">
        <is>
          <t>dbhattacharyya</t>
        </is>
      </c>
      <c r="F239" s="25" t="n">
        <v>95808</v>
      </c>
      <c r="G239" s="25" t="n">
        <v>5</v>
      </c>
      <c r="H239" s="25" t="n">
        <v>25</v>
      </c>
      <c r="I239" s="25" t="inlineStr">
        <is>
          <t>4 minute(s) and 40 second(s)</t>
        </is>
      </c>
      <c r="J239" s="25">
        <f>IFERROR(VALUE(TRIM(LEFT(I239,FIND("minute",I239)-1)))*60,0)+IFERROR(VALUE(SUBSTITUTE(MID(I239,IFERROR(FIND("and",I239)+3,1),20),"second(s)","")),0)</f>
        <v/>
      </c>
      <c r="K239" s="41">
        <f>J239/60</f>
        <v/>
      </c>
      <c r="L239" s="41">
        <f>IFERROR(J239/H239,"")</f>
        <v/>
      </c>
      <c r="M239" s="25" t="inlineStr">
        <is>
          <t>2.5.12</t>
        </is>
      </c>
      <c r="N239" s="25">
        <f>IF(J239&gt;300,1,0)</f>
        <v/>
      </c>
      <c r="O239" s="25">
        <f>IF(J239&gt;600,1,0)</f>
        <v/>
      </c>
      <c r="P239" s="25">
        <f>IF(H239&gt;0,J239,"")</f>
        <v/>
      </c>
      <c r="Q239" s="25">
        <f>TEXT(A239,"YYYY-MM-DD HH")</f>
        <v/>
      </c>
      <c r="R239" s="25">
        <f>COUNTIF($Q$2:$Q$5295,Q239)</f>
        <v/>
      </c>
      <c r="S239" s="25">
        <f>IF(R239&lt;=2,"1-2",IF(R239&lt;=5,"3-5",IF(R239&lt;=10,"6-10","11+")))</f>
        <v/>
      </c>
    </row>
    <row r="240">
      <c r="A240" s="39" t="n">
        <v>46154.20946759259</v>
      </c>
      <c r="B240" s="25">
        <f>TEXT(A240,"YYYY-MM")</f>
        <v/>
      </c>
      <c r="C240" s="25">
        <f>TEXT(A240,"MMM-YYYY")</f>
        <v/>
      </c>
      <c r="D240" s="40">
        <f>INT(A240)-WEEKDAY(A240,2)+1</f>
        <v/>
      </c>
      <c r="E240" s="25" t="inlineStr">
        <is>
          <t>akumari</t>
        </is>
      </c>
      <c r="F240" s="25" t="n">
        <v>86157</v>
      </c>
      <c r="G240" s="25" t="n">
        <v>5</v>
      </c>
      <c r="H240" s="25" t="n">
        <v>31</v>
      </c>
      <c r="I240" s="25" t="inlineStr">
        <is>
          <t>5 minute(s) and 49 second(s)</t>
        </is>
      </c>
      <c r="J240" s="25">
        <f>IFERROR(VALUE(TRIM(LEFT(I240,FIND("minute",I240)-1)))*60,0)+IFERROR(VALUE(SUBSTITUTE(MID(I240,IFERROR(FIND("and",I240)+3,1),20),"second(s)","")),0)</f>
        <v/>
      </c>
      <c r="K240" s="41">
        <f>J240/60</f>
        <v/>
      </c>
      <c r="L240" s="41">
        <f>IFERROR(J240/H240,"")</f>
        <v/>
      </c>
      <c r="M240" s="25" t="inlineStr">
        <is>
          <t>2.5.12</t>
        </is>
      </c>
      <c r="N240" s="25">
        <f>IF(J240&gt;300,1,0)</f>
        <v/>
      </c>
      <c r="O240" s="25">
        <f>IF(J240&gt;600,1,0)</f>
        <v/>
      </c>
      <c r="P240" s="25">
        <f>IF(H240&gt;0,J240,"")</f>
        <v/>
      </c>
      <c r="Q240" s="25">
        <f>TEXT(A240,"YYYY-MM-DD HH")</f>
        <v/>
      </c>
      <c r="R240" s="25">
        <f>COUNTIF($Q$2:$Q$5295,Q240)</f>
        <v/>
      </c>
      <c r="S240" s="25">
        <f>IF(R240&lt;=2,"1-2",IF(R240&lt;=5,"3-5",IF(R240&lt;=10,"6-10","11+")))</f>
        <v/>
      </c>
    </row>
    <row r="241">
      <c r="A241" s="39" t="n">
        <v>46154.24040509259</v>
      </c>
      <c r="B241" s="25">
        <f>TEXT(A241,"YYYY-MM")</f>
        <v/>
      </c>
      <c r="C241" s="25">
        <f>TEXT(A241,"MMM-YYYY")</f>
        <v/>
      </c>
      <c r="D241" s="40">
        <f>INT(A241)-WEEKDAY(A241,2)+1</f>
        <v/>
      </c>
      <c r="E241" s="25" t="inlineStr">
        <is>
          <t>hdutt</t>
        </is>
      </c>
      <c r="F241" s="25" t="n">
        <v>109291</v>
      </c>
      <c r="G241" s="25" t="n">
        <v>5</v>
      </c>
      <c r="H241" s="25" t="n">
        <v>34</v>
      </c>
      <c r="I241" s="25" t="inlineStr">
        <is>
          <t>6 minute(s) and 35 second(s)</t>
        </is>
      </c>
      <c r="J241" s="25">
        <f>IFERROR(VALUE(TRIM(LEFT(I241,FIND("minute",I241)-1)))*60,0)+IFERROR(VALUE(SUBSTITUTE(MID(I241,IFERROR(FIND("and",I241)+3,1),20),"second(s)","")),0)</f>
        <v/>
      </c>
      <c r="K241" s="41">
        <f>J241/60</f>
        <v/>
      </c>
      <c r="L241" s="41">
        <f>IFERROR(J241/H241,"")</f>
        <v/>
      </c>
      <c r="M241" s="25" t="inlineStr">
        <is>
          <t>2.5.12</t>
        </is>
      </c>
      <c r="N241" s="25">
        <f>IF(J241&gt;300,1,0)</f>
        <v/>
      </c>
      <c r="O241" s="25">
        <f>IF(J241&gt;600,1,0)</f>
        <v/>
      </c>
      <c r="P241" s="25">
        <f>IF(H241&gt;0,J241,"")</f>
        <v/>
      </c>
      <c r="Q241" s="25">
        <f>TEXT(A241,"YYYY-MM-DD HH")</f>
        <v/>
      </c>
      <c r="R241" s="25">
        <f>COUNTIF($Q$2:$Q$5295,Q241)</f>
        <v/>
      </c>
      <c r="S241" s="25">
        <f>IF(R241&lt;=2,"1-2",IF(R241&lt;=5,"3-5",IF(R241&lt;=10,"6-10","11+")))</f>
        <v/>
      </c>
    </row>
    <row r="242">
      <c r="A242" s="39" t="n">
        <v>46154.24210648148</v>
      </c>
      <c r="B242" s="25">
        <f>TEXT(A242,"YYYY-MM")</f>
        <v/>
      </c>
      <c r="C242" s="25">
        <f>TEXT(A242,"MMM-YYYY")</f>
        <v/>
      </c>
      <c r="D242" s="40">
        <f>INT(A242)-WEEKDAY(A242,2)+1</f>
        <v/>
      </c>
      <c r="E242" s="25" t="inlineStr">
        <is>
          <t>atiwari</t>
        </is>
      </c>
      <c r="F242" s="25" t="n">
        <v>71700</v>
      </c>
      <c r="G242" s="25" t="n">
        <v>5</v>
      </c>
      <c r="H242" s="25" t="n">
        <v>25</v>
      </c>
      <c r="I242" s="25" t="inlineStr">
        <is>
          <t>5 minute(s) and 7 second(s)</t>
        </is>
      </c>
      <c r="J242" s="25">
        <f>IFERROR(VALUE(TRIM(LEFT(I242,FIND("minute",I242)-1)))*60,0)+IFERROR(VALUE(SUBSTITUTE(MID(I242,IFERROR(FIND("and",I242)+3,1),20),"second(s)","")),0)</f>
        <v/>
      </c>
      <c r="K242" s="41">
        <f>J242/60</f>
        <v/>
      </c>
      <c r="L242" s="41">
        <f>IFERROR(J242/H242,"")</f>
        <v/>
      </c>
      <c r="M242" s="25" t="inlineStr">
        <is>
          <t>2.5.12</t>
        </is>
      </c>
      <c r="N242" s="25">
        <f>IF(J242&gt;300,1,0)</f>
        <v/>
      </c>
      <c r="O242" s="25">
        <f>IF(J242&gt;600,1,0)</f>
        <v/>
      </c>
      <c r="P242" s="25">
        <f>IF(H242&gt;0,J242,"")</f>
        <v/>
      </c>
      <c r="Q242" s="25">
        <f>TEXT(A242,"YYYY-MM-DD HH")</f>
        <v/>
      </c>
      <c r="R242" s="25">
        <f>COUNTIF($Q$2:$Q$5295,Q242)</f>
        <v/>
      </c>
      <c r="S242" s="25">
        <f>IF(R242&lt;=2,"1-2",IF(R242&lt;=5,"3-5",IF(R242&lt;=10,"6-10","11+")))</f>
        <v/>
      </c>
    </row>
    <row r="243">
      <c r="A243" s="39" t="n">
        <v>46154.24267361111</v>
      </c>
      <c r="B243" s="25">
        <f>TEXT(A243,"YYYY-MM")</f>
        <v/>
      </c>
      <c r="C243" s="25">
        <f>TEXT(A243,"MMM-YYYY")</f>
        <v/>
      </c>
      <c r="D243" s="40">
        <f>INT(A243)-WEEKDAY(A243,2)+1</f>
        <v/>
      </c>
      <c r="E243" s="25" t="inlineStr">
        <is>
          <t>sswati</t>
        </is>
      </c>
      <c r="F243" s="25" t="n">
        <v>98410</v>
      </c>
      <c r="G243" s="25" t="n">
        <v>2</v>
      </c>
      <c r="H243" s="25" t="n">
        <v>6</v>
      </c>
      <c r="I243" s="25" t="inlineStr">
        <is>
          <t>1 minute(s) and 4 second(s)</t>
        </is>
      </c>
      <c r="J243" s="25">
        <f>IFERROR(VALUE(TRIM(LEFT(I243,FIND("minute",I243)-1)))*60,0)+IFERROR(VALUE(SUBSTITUTE(MID(I243,IFERROR(FIND("and",I243)+3,1),20),"second(s)","")),0)</f>
        <v/>
      </c>
      <c r="K243" s="41">
        <f>J243/60</f>
        <v/>
      </c>
      <c r="L243" s="41">
        <f>IFERROR(J243/H243,"")</f>
        <v/>
      </c>
      <c r="M243" s="25" t="inlineStr">
        <is>
          <t>2.5.12</t>
        </is>
      </c>
      <c r="N243" s="25">
        <f>IF(J243&gt;300,1,0)</f>
        <v/>
      </c>
      <c r="O243" s="25">
        <f>IF(J243&gt;600,1,0)</f>
        <v/>
      </c>
      <c r="P243" s="25">
        <f>IF(H243&gt;0,J243,"")</f>
        <v/>
      </c>
      <c r="Q243" s="25">
        <f>TEXT(A243,"YYYY-MM-DD HH")</f>
        <v/>
      </c>
      <c r="R243" s="25">
        <f>COUNTIF($Q$2:$Q$5295,Q243)</f>
        <v/>
      </c>
      <c r="S243" s="25">
        <f>IF(R243&lt;=2,"1-2",IF(R243&lt;=5,"3-5",IF(R243&lt;=10,"6-10","11+")))</f>
        <v/>
      </c>
    </row>
    <row r="244">
      <c r="A244" s="39" t="n">
        <v>46154.24358796296</v>
      </c>
      <c r="B244" s="25">
        <f>TEXT(A244,"YYYY-MM")</f>
        <v/>
      </c>
      <c r="C244" s="25">
        <f>TEXT(A244,"MMM-YYYY")</f>
        <v/>
      </c>
      <c r="D244" s="40">
        <f>INT(A244)-WEEKDAY(A244,2)+1</f>
        <v/>
      </c>
      <c r="E244" s="25" t="inlineStr">
        <is>
          <t>mbhalla</t>
        </is>
      </c>
      <c r="F244" s="25" t="n">
        <v>98566</v>
      </c>
      <c r="G244" s="25" t="n">
        <v>5</v>
      </c>
      <c r="H244" s="25" t="n">
        <v>25</v>
      </c>
      <c r="I244" s="25" t="inlineStr">
        <is>
          <t>4 minute(s) and 36 second(s)</t>
        </is>
      </c>
      <c r="J244" s="25">
        <f>IFERROR(VALUE(TRIM(LEFT(I244,FIND("minute",I244)-1)))*60,0)+IFERROR(VALUE(SUBSTITUTE(MID(I244,IFERROR(FIND("and",I244)+3,1),20),"second(s)","")),0)</f>
        <v/>
      </c>
      <c r="K244" s="41">
        <f>J244/60</f>
        <v/>
      </c>
      <c r="L244" s="41">
        <f>IFERROR(J244/H244,"")</f>
        <v/>
      </c>
      <c r="M244" s="25" t="inlineStr">
        <is>
          <t>2.5.12</t>
        </is>
      </c>
      <c r="N244" s="25">
        <f>IF(J244&gt;300,1,0)</f>
        <v/>
      </c>
      <c r="O244" s="25">
        <f>IF(J244&gt;600,1,0)</f>
        <v/>
      </c>
      <c r="P244" s="25">
        <f>IF(H244&gt;0,J244,"")</f>
        <v/>
      </c>
      <c r="Q244" s="25">
        <f>TEXT(A244,"YYYY-MM-DD HH")</f>
        <v/>
      </c>
      <c r="R244" s="25">
        <f>COUNTIF($Q$2:$Q$5295,Q244)</f>
        <v/>
      </c>
      <c r="S244" s="25">
        <f>IF(R244&lt;=2,"1-2",IF(R244&lt;=5,"3-5",IF(R244&lt;=10,"6-10","11+")))</f>
        <v/>
      </c>
    </row>
    <row r="245">
      <c r="A245" s="39" t="n">
        <v>46154.25478009259</v>
      </c>
      <c r="B245" s="25">
        <f>TEXT(A245,"YYYY-MM")</f>
        <v/>
      </c>
      <c r="C245" s="25">
        <f>TEXT(A245,"MMM-YYYY")</f>
        <v/>
      </c>
      <c r="D245" s="40">
        <f>INT(A245)-WEEKDAY(A245,2)+1</f>
        <v/>
      </c>
      <c r="E245" s="25" t="inlineStr">
        <is>
          <t>dbhattacharyya</t>
        </is>
      </c>
      <c r="F245" s="25" t="n">
        <v>105738</v>
      </c>
      <c r="G245" s="25" t="n">
        <v>5</v>
      </c>
      <c r="H245" s="25" t="n">
        <v>25</v>
      </c>
      <c r="I245" s="25" t="inlineStr">
        <is>
          <t>4 minute(s) and 39 second(s)</t>
        </is>
      </c>
      <c r="J245" s="25">
        <f>IFERROR(VALUE(TRIM(LEFT(I245,FIND("minute",I245)-1)))*60,0)+IFERROR(VALUE(SUBSTITUTE(MID(I245,IFERROR(FIND("and",I245)+3,1),20),"second(s)","")),0)</f>
        <v/>
      </c>
      <c r="K245" s="41">
        <f>J245/60</f>
        <v/>
      </c>
      <c r="L245" s="41">
        <f>IFERROR(J245/H245,"")</f>
        <v/>
      </c>
      <c r="M245" s="25" t="inlineStr">
        <is>
          <t>2.5.12</t>
        </is>
      </c>
      <c r="N245" s="25">
        <f>IF(J245&gt;300,1,0)</f>
        <v/>
      </c>
      <c r="O245" s="25">
        <f>IF(J245&gt;600,1,0)</f>
        <v/>
      </c>
      <c r="P245" s="25">
        <f>IF(H245&gt;0,J245,"")</f>
        <v/>
      </c>
      <c r="Q245" s="25">
        <f>TEXT(A245,"YYYY-MM-DD HH")</f>
        <v/>
      </c>
      <c r="R245" s="25">
        <f>COUNTIF($Q$2:$Q$5295,Q245)</f>
        <v/>
      </c>
      <c r="S245" s="25">
        <f>IF(R245&lt;=2,"1-2",IF(R245&lt;=5,"3-5",IF(R245&lt;=10,"6-10","11+")))</f>
        <v/>
      </c>
    </row>
    <row r="246">
      <c r="A246" s="39" t="n">
        <v>46154.25592592593</v>
      </c>
      <c r="B246" s="25">
        <f>TEXT(A246,"YYYY-MM")</f>
        <v/>
      </c>
      <c r="C246" s="25">
        <f>TEXT(A246,"MMM-YYYY")</f>
        <v/>
      </c>
      <c r="D246" s="40">
        <f>INT(A246)-WEEKDAY(A246,2)+1</f>
        <v/>
      </c>
      <c r="E246" s="25" t="inlineStr">
        <is>
          <t>psathwika</t>
        </is>
      </c>
      <c r="F246" s="25" t="n">
        <v>45864</v>
      </c>
      <c r="G246" s="25" t="n">
        <v>2</v>
      </c>
      <c r="H246" s="25" t="n">
        <v>12</v>
      </c>
      <c r="I246" s="25" t="inlineStr">
        <is>
          <t>6 minute(s) and 4 second(s)</t>
        </is>
      </c>
      <c r="J246" s="25">
        <f>IFERROR(VALUE(TRIM(LEFT(I246,FIND("minute",I246)-1)))*60,0)+IFERROR(VALUE(SUBSTITUTE(MID(I246,IFERROR(FIND("and",I246)+3,1),20),"second(s)","")),0)</f>
        <v/>
      </c>
      <c r="K246" s="41">
        <f>J246/60</f>
        <v/>
      </c>
      <c r="L246" s="41">
        <f>IFERROR(J246/H246,"")</f>
        <v/>
      </c>
      <c r="M246" s="25" t="inlineStr">
        <is>
          <t>2.5.12</t>
        </is>
      </c>
      <c r="N246" s="25">
        <f>IF(J246&gt;300,1,0)</f>
        <v/>
      </c>
      <c r="O246" s="25">
        <f>IF(J246&gt;600,1,0)</f>
        <v/>
      </c>
      <c r="P246" s="25">
        <f>IF(H246&gt;0,J246,"")</f>
        <v/>
      </c>
      <c r="Q246" s="25">
        <f>TEXT(A246,"YYYY-MM-DD HH")</f>
        <v/>
      </c>
      <c r="R246" s="25">
        <f>COUNTIF($Q$2:$Q$5295,Q246)</f>
        <v/>
      </c>
      <c r="S246" s="25">
        <f>IF(R246&lt;=2,"1-2",IF(R246&lt;=5,"3-5",IF(R246&lt;=10,"6-10","11+")))</f>
        <v/>
      </c>
    </row>
    <row r="247">
      <c r="A247" s="39" t="n">
        <v>46154.26405092593</v>
      </c>
      <c r="B247" s="25">
        <f>TEXT(A247,"YYYY-MM")</f>
        <v/>
      </c>
      <c r="C247" s="25">
        <f>TEXT(A247,"MMM-YYYY")</f>
        <v/>
      </c>
      <c r="D247" s="40">
        <f>INT(A247)-WEEKDAY(A247,2)+1</f>
        <v/>
      </c>
      <c r="E247" s="25" t="inlineStr">
        <is>
          <t>rts</t>
        </is>
      </c>
      <c r="F247" s="25" t="n">
        <v>58495</v>
      </c>
      <c r="G247" s="25" t="n">
        <v>3</v>
      </c>
      <c r="H247" s="25" t="n">
        <v>9</v>
      </c>
      <c r="I247" s="25" t="inlineStr">
        <is>
          <t>1 minute(s) and 51 second(s)</t>
        </is>
      </c>
      <c r="J247" s="25">
        <f>IFERROR(VALUE(TRIM(LEFT(I247,FIND("minute",I247)-1)))*60,0)+IFERROR(VALUE(SUBSTITUTE(MID(I247,IFERROR(FIND("and",I247)+3,1),20),"second(s)","")),0)</f>
        <v/>
      </c>
      <c r="K247" s="41">
        <f>J247/60</f>
        <v/>
      </c>
      <c r="L247" s="41">
        <f>IFERROR(J247/H247,"")</f>
        <v/>
      </c>
      <c r="M247" s="25" t="inlineStr">
        <is>
          <t>2.5.12</t>
        </is>
      </c>
      <c r="N247" s="25">
        <f>IF(J247&gt;300,1,0)</f>
        <v/>
      </c>
      <c r="O247" s="25">
        <f>IF(J247&gt;600,1,0)</f>
        <v/>
      </c>
      <c r="P247" s="25">
        <f>IF(H247&gt;0,J247,"")</f>
        <v/>
      </c>
      <c r="Q247" s="25">
        <f>TEXT(A247,"YYYY-MM-DD HH")</f>
        <v/>
      </c>
      <c r="R247" s="25">
        <f>COUNTIF($Q$2:$Q$5295,Q247)</f>
        <v/>
      </c>
      <c r="S247" s="25">
        <f>IF(R247&lt;=2,"1-2",IF(R247&lt;=5,"3-5",IF(R247&lt;=10,"6-10","11+")))</f>
        <v/>
      </c>
    </row>
    <row r="248">
      <c r="A248" s="39" t="n">
        <v>46154.26612268519</v>
      </c>
      <c r="B248" s="25">
        <f>TEXT(A248,"YYYY-MM")</f>
        <v/>
      </c>
      <c r="C248" s="25">
        <f>TEXT(A248,"MMM-YYYY")</f>
        <v/>
      </c>
      <c r="D248" s="40">
        <f>INT(A248)-WEEKDAY(A248,2)+1</f>
        <v/>
      </c>
      <c r="E248" s="25" t="inlineStr">
        <is>
          <t>akumari</t>
        </is>
      </c>
      <c r="F248" s="25" t="n">
        <v>53382</v>
      </c>
      <c r="G248" s="25" t="n">
        <v>3</v>
      </c>
      <c r="H248" s="25" t="n">
        <v>11</v>
      </c>
      <c r="I248" s="25" t="inlineStr">
        <is>
          <t>1 minute(s) and 46 second(s)</t>
        </is>
      </c>
      <c r="J248" s="25">
        <f>IFERROR(VALUE(TRIM(LEFT(I248,FIND("minute",I248)-1)))*60,0)+IFERROR(VALUE(SUBSTITUTE(MID(I248,IFERROR(FIND("and",I248)+3,1),20),"second(s)","")),0)</f>
        <v/>
      </c>
      <c r="K248" s="41">
        <f>J248/60</f>
        <v/>
      </c>
      <c r="L248" s="41">
        <f>IFERROR(J248/H248,"")</f>
        <v/>
      </c>
      <c r="M248" s="25" t="inlineStr">
        <is>
          <t>2.5.12</t>
        </is>
      </c>
      <c r="N248" s="25">
        <f>IF(J248&gt;300,1,0)</f>
        <v/>
      </c>
      <c r="O248" s="25">
        <f>IF(J248&gt;600,1,0)</f>
        <v/>
      </c>
      <c r="P248" s="25">
        <f>IF(H248&gt;0,J248,"")</f>
        <v/>
      </c>
      <c r="Q248" s="25">
        <f>TEXT(A248,"YYYY-MM-DD HH")</f>
        <v/>
      </c>
      <c r="R248" s="25">
        <f>COUNTIF($Q$2:$Q$5295,Q248)</f>
        <v/>
      </c>
      <c r="S248" s="25">
        <f>IF(R248&lt;=2,"1-2",IF(R248&lt;=5,"3-5",IF(R248&lt;=10,"6-10","11+")))</f>
        <v/>
      </c>
    </row>
    <row r="249">
      <c r="A249" s="39" t="n">
        <v>46154.27478009259</v>
      </c>
      <c r="B249" s="25">
        <f>TEXT(A249,"YYYY-MM")</f>
        <v/>
      </c>
      <c r="C249" s="25">
        <f>TEXT(A249,"MMM-YYYY")</f>
        <v/>
      </c>
      <c r="D249" s="40">
        <f>INT(A249)-WEEKDAY(A249,2)+1</f>
        <v/>
      </c>
      <c r="E249" s="25" t="inlineStr">
        <is>
          <t>vraina</t>
        </is>
      </c>
      <c r="F249" s="25" t="n">
        <v>107112</v>
      </c>
      <c r="G249" s="25" t="n">
        <v>5</v>
      </c>
      <c r="H249" s="25" t="n">
        <v>25</v>
      </c>
      <c r="I249" s="25" t="inlineStr">
        <is>
          <t>4 minute(s) and 54 second(s)</t>
        </is>
      </c>
      <c r="J249" s="25">
        <f>IFERROR(VALUE(TRIM(LEFT(I249,FIND("minute",I249)-1)))*60,0)+IFERROR(VALUE(SUBSTITUTE(MID(I249,IFERROR(FIND("and",I249)+3,1),20),"second(s)","")),0)</f>
        <v/>
      </c>
      <c r="K249" s="41">
        <f>J249/60</f>
        <v/>
      </c>
      <c r="L249" s="41">
        <f>IFERROR(J249/H249,"")</f>
        <v/>
      </c>
      <c r="M249" s="25" t="inlineStr">
        <is>
          <t>2.5.12</t>
        </is>
      </c>
      <c r="N249" s="25">
        <f>IF(J249&gt;300,1,0)</f>
        <v/>
      </c>
      <c r="O249" s="25">
        <f>IF(J249&gt;600,1,0)</f>
        <v/>
      </c>
      <c r="P249" s="25">
        <f>IF(H249&gt;0,J249,"")</f>
        <v/>
      </c>
      <c r="Q249" s="25">
        <f>TEXT(A249,"YYYY-MM-DD HH")</f>
        <v/>
      </c>
      <c r="R249" s="25">
        <f>COUNTIF($Q$2:$Q$5295,Q249)</f>
        <v/>
      </c>
      <c r="S249" s="25">
        <f>IF(R249&lt;=2,"1-2",IF(R249&lt;=5,"3-5",IF(R249&lt;=10,"6-10","11+")))</f>
        <v/>
      </c>
    </row>
    <row r="250">
      <c r="A250" s="39" t="n">
        <v>46154.28138888889</v>
      </c>
      <c r="B250" s="25">
        <f>TEXT(A250,"YYYY-MM")</f>
        <v/>
      </c>
      <c r="C250" s="25">
        <f>TEXT(A250,"MMM-YYYY")</f>
        <v/>
      </c>
      <c r="D250" s="40">
        <f>INT(A250)-WEEKDAY(A250,2)+1</f>
        <v/>
      </c>
      <c r="E250" s="25" t="inlineStr">
        <is>
          <t>psathwika</t>
        </is>
      </c>
      <c r="F250" s="25" t="n">
        <v>45864</v>
      </c>
      <c r="G250" s="25" t="n">
        <v>1</v>
      </c>
      <c r="H250" s="25" t="n">
        <v>5</v>
      </c>
      <c r="I250" s="25" t="inlineStr">
        <is>
          <t>1 minute(s) and 13 second(s)</t>
        </is>
      </c>
      <c r="J250" s="25">
        <f>IFERROR(VALUE(TRIM(LEFT(I250,FIND("minute",I250)-1)))*60,0)+IFERROR(VALUE(SUBSTITUTE(MID(I250,IFERROR(FIND("and",I250)+3,1),20),"second(s)","")),0)</f>
        <v/>
      </c>
      <c r="K250" s="41">
        <f>J250/60</f>
        <v/>
      </c>
      <c r="L250" s="41">
        <f>IFERROR(J250/H250,"")</f>
        <v/>
      </c>
      <c r="M250" s="25" t="inlineStr">
        <is>
          <t>2.5.12</t>
        </is>
      </c>
      <c r="N250" s="25">
        <f>IF(J250&gt;300,1,0)</f>
        <v/>
      </c>
      <c r="O250" s="25">
        <f>IF(J250&gt;600,1,0)</f>
        <v/>
      </c>
      <c r="P250" s="25">
        <f>IF(H250&gt;0,J250,"")</f>
        <v/>
      </c>
      <c r="Q250" s="25">
        <f>TEXT(A250,"YYYY-MM-DD HH")</f>
        <v/>
      </c>
      <c r="R250" s="25">
        <f>COUNTIF($Q$2:$Q$5295,Q250)</f>
        <v/>
      </c>
      <c r="S250" s="25">
        <f>IF(R250&lt;=2,"1-2",IF(R250&lt;=5,"3-5",IF(R250&lt;=10,"6-10","11+")))</f>
        <v/>
      </c>
    </row>
    <row r="251">
      <c r="A251" s="39" t="n">
        <v>46154.41265046296</v>
      </c>
      <c r="B251" s="25">
        <f>TEXT(A251,"YYYY-MM")</f>
        <v/>
      </c>
      <c r="C251" s="25">
        <f>TEXT(A251,"MMM-YYYY")</f>
        <v/>
      </c>
      <c r="D251" s="40">
        <f>INT(A251)-WEEKDAY(A251,2)+1</f>
        <v/>
      </c>
      <c r="E251" s="25" t="inlineStr">
        <is>
          <t>ssaha</t>
        </is>
      </c>
      <c r="F251" s="25" t="n">
        <v>108594</v>
      </c>
      <c r="G251" s="25" t="n">
        <v>2</v>
      </c>
      <c r="H251" s="25" t="n">
        <v>8</v>
      </c>
      <c r="I251" s="25" t="inlineStr">
        <is>
          <t>1 minute(s) and 46 second(s)</t>
        </is>
      </c>
      <c r="J251" s="25">
        <f>IFERROR(VALUE(TRIM(LEFT(I251,FIND("minute",I251)-1)))*60,0)+IFERROR(VALUE(SUBSTITUTE(MID(I251,IFERROR(FIND("and",I251)+3,1),20),"second(s)","")),0)</f>
        <v/>
      </c>
      <c r="K251" s="41">
        <f>J251/60</f>
        <v/>
      </c>
      <c r="L251" s="41">
        <f>IFERROR(J251/H251,"")</f>
        <v/>
      </c>
      <c r="M251" s="25" t="inlineStr">
        <is>
          <t>2.5.12</t>
        </is>
      </c>
      <c r="N251" s="25">
        <f>IF(J251&gt;300,1,0)</f>
        <v/>
      </c>
      <c r="O251" s="25">
        <f>IF(J251&gt;600,1,0)</f>
        <v/>
      </c>
      <c r="P251" s="25">
        <f>IF(H251&gt;0,J251,"")</f>
        <v/>
      </c>
      <c r="Q251" s="25">
        <f>TEXT(A251,"YYYY-MM-DD HH")</f>
        <v/>
      </c>
      <c r="R251" s="25">
        <f>COUNTIF($Q$2:$Q$5295,Q251)</f>
        <v/>
      </c>
      <c r="S251" s="25">
        <f>IF(R251&lt;=2,"1-2",IF(R251&lt;=5,"3-5",IF(R251&lt;=10,"6-10","11+")))</f>
        <v/>
      </c>
    </row>
    <row r="252">
      <c r="A252" s="39" t="n">
        <v>46154.48179398148</v>
      </c>
      <c r="B252" s="25">
        <f>TEXT(A252,"YYYY-MM")</f>
        <v/>
      </c>
      <c r="C252" s="25">
        <f>TEXT(A252,"MMM-YYYY")</f>
        <v/>
      </c>
      <c r="D252" s="40">
        <f>INT(A252)-WEEKDAY(A252,2)+1</f>
        <v/>
      </c>
      <c r="E252" s="25" t="inlineStr">
        <is>
          <t>ssaha</t>
        </is>
      </c>
      <c r="F252" s="25" t="n">
        <v>83931</v>
      </c>
      <c r="G252" s="25" t="n">
        <v>3</v>
      </c>
      <c r="H252" s="25" t="n">
        <v>19</v>
      </c>
      <c r="I252" s="25" t="inlineStr">
        <is>
          <t>3 minute(s) and 45 second(s)</t>
        </is>
      </c>
      <c r="J252" s="25">
        <f>IFERROR(VALUE(TRIM(LEFT(I252,FIND("minute",I252)-1)))*60,0)+IFERROR(VALUE(SUBSTITUTE(MID(I252,IFERROR(FIND("and",I252)+3,1),20),"second(s)","")),0)</f>
        <v/>
      </c>
      <c r="K252" s="41">
        <f>J252/60</f>
        <v/>
      </c>
      <c r="L252" s="41">
        <f>IFERROR(J252/H252,"")</f>
        <v/>
      </c>
      <c r="M252" s="25" t="inlineStr">
        <is>
          <t>2.5.12</t>
        </is>
      </c>
      <c r="N252" s="25">
        <f>IF(J252&gt;300,1,0)</f>
        <v/>
      </c>
      <c r="O252" s="25">
        <f>IF(J252&gt;600,1,0)</f>
        <v/>
      </c>
      <c r="P252" s="25">
        <f>IF(H252&gt;0,J252,"")</f>
        <v/>
      </c>
      <c r="Q252" s="25">
        <f>TEXT(A252,"YYYY-MM-DD HH")</f>
        <v/>
      </c>
      <c r="R252" s="25">
        <f>COUNTIF($Q$2:$Q$5295,Q252)</f>
        <v/>
      </c>
      <c r="S252" s="25">
        <f>IF(R252&lt;=2,"1-2",IF(R252&lt;=5,"3-5",IF(R252&lt;=10,"6-10","11+")))</f>
        <v/>
      </c>
    </row>
    <row r="253">
      <c r="A253" s="39" t="n">
        <v>46154.673125</v>
      </c>
      <c r="B253" s="25">
        <f>TEXT(A253,"YYYY-MM")</f>
        <v/>
      </c>
      <c r="C253" s="25">
        <f>TEXT(A253,"MMM-YYYY")</f>
        <v/>
      </c>
      <c r="D253" s="40">
        <f>INT(A253)-WEEKDAY(A253,2)+1</f>
        <v/>
      </c>
      <c r="E253" s="25" t="inlineStr">
        <is>
          <t>agandhi</t>
        </is>
      </c>
      <c r="F253" s="25" t="n">
        <v>72115</v>
      </c>
      <c r="G253" s="25" t="n">
        <v>5</v>
      </c>
      <c r="H253" s="25" t="n">
        <v>27</v>
      </c>
      <c r="I253" s="25" t="inlineStr">
        <is>
          <t>5 minute(s) and 59 second(s)</t>
        </is>
      </c>
      <c r="J253" s="25">
        <f>IFERROR(VALUE(TRIM(LEFT(I253,FIND("minute",I253)-1)))*60,0)+IFERROR(VALUE(SUBSTITUTE(MID(I253,IFERROR(FIND("and",I253)+3,1),20),"second(s)","")),0)</f>
        <v/>
      </c>
      <c r="K253" s="41">
        <f>J253/60</f>
        <v/>
      </c>
      <c r="L253" s="41">
        <f>IFERROR(J253/H253,"")</f>
        <v/>
      </c>
      <c r="M253" s="25" t="inlineStr">
        <is>
          <t>2.5.12</t>
        </is>
      </c>
      <c r="N253" s="25">
        <f>IF(J253&gt;300,1,0)</f>
        <v/>
      </c>
      <c r="O253" s="25">
        <f>IF(J253&gt;600,1,0)</f>
        <v/>
      </c>
      <c r="P253" s="25">
        <f>IF(H253&gt;0,J253,"")</f>
        <v/>
      </c>
      <c r="Q253" s="25">
        <f>TEXT(A253,"YYYY-MM-DD HH")</f>
        <v/>
      </c>
      <c r="R253" s="25">
        <f>COUNTIF($Q$2:$Q$5295,Q253)</f>
        <v/>
      </c>
      <c r="S253" s="25">
        <f>IF(R253&lt;=2,"1-2",IF(R253&lt;=5,"3-5",IF(R253&lt;=10,"6-10","11+")))</f>
        <v/>
      </c>
    </row>
    <row r="254">
      <c r="A254" s="39" t="n">
        <v>46155.54857638889</v>
      </c>
      <c r="B254" s="25">
        <f>TEXT(A254,"YYYY-MM")</f>
        <v/>
      </c>
      <c r="C254" s="25">
        <f>TEXT(A254,"MMM-YYYY")</f>
        <v/>
      </c>
      <c r="D254" s="40">
        <f>INT(A254)-WEEKDAY(A254,2)+1</f>
        <v/>
      </c>
      <c r="E254" s="25" t="inlineStr">
        <is>
          <t>csaha</t>
        </is>
      </c>
      <c r="F254" s="25" t="n">
        <v>10558</v>
      </c>
      <c r="G254" s="25" t="n">
        <v>2</v>
      </c>
      <c r="H254" s="25" t="n">
        <v>10</v>
      </c>
      <c r="I254" s="25" t="inlineStr">
        <is>
          <t>1 minute(s) and 40 second(s)</t>
        </is>
      </c>
      <c r="J254" s="25">
        <f>IFERROR(VALUE(TRIM(LEFT(I254,FIND("minute",I254)-1)))*60,0)+IFERROR(VALUE(SUBSTITUTE(MID(I254,IFERROR(FIND("and",I254)+3,1),20),"second(s)","")),0)</f>
        <v/>
      </c>
      <c r="K254" s="41">
        <f>J254/60</f>
        <v/>
      </c>
      <c r="L254" s="41">
        <f>IFERROR(J254/H254,"")</f>
        <v/>
      </c>
      <c r="M254" s="25" t="inlineStr">
        <is>
          <t>2.5.12</t>
        </is>
      </c>
      <c r="N254" s="25">
        <f>IF(J254&gt;300,1,0)</f>
        <v/>
      </c>
      <c r="O254" s="25">
        <f>IF(J254&gt;600,1,0)</f>
        <v/>
      </c>
      <c r="P254" s="25">
        <f>IF(H254&gt;0,J254,"")</f>
        <v/>
      </c>
      <c r="Q254" s="25">
        <f>TEXT(A254,"YYYY-MM-DD HH")</f>
        <v/>
      </c>
      <c r="R254" s="25">
        <f>COUNTIF($Q$2:$Q$5295,Q254)</f>
        <v/>
      </c>
      <c r="S254" s="25">
        <f>IF(R254&lt;=2,"1-2",IF(R254&lt;=5,"3-5",IF(R254&lt;=10,"6-10","11+")))</f>
        <v/>
      </c>
    </row>
    <row r="255">
      <c r="A255" s="39" t="n">
        <v>46155.58063657407</v>
      </c>
      <c r="B255" s="25">
        <f>TEXT(A255,"YYYY-MM")</f>
        <v/>
      </c>
      <c r="C255" s="25">
        <f>TEXT(A255,"MMM-YYYY")</f>
        <v/>
      </c>
      <c r="D255" s="40">
        <f>INT(A255)-WEEKDAY(A255,2)+1</f>
        <v/>
      </c>
      <c r="E255" s="25" t="inlineStr">
        <is>
          <t>dbhattacharyya</t>
        </is>
      </c>
      <c r="F255" s="25" t="n">
        <v>109337</v>
      </c>
      <c r="G255" s="25" t="n">
        <v>5</v>
      </c>
      <c r="H255" s="25" t="n">
        <v>17</v>
      </c>
      <c r="I255" s="25" t="inlineStr">
        <is>
          <t>3 minute(s) and 4 second(s)</t>
        </is>
      </c>
      <c r="J255" s="25">
        <f>IFERROR(VALUE(TRIM(LEFT(I255,FIND("minute",I255)-1)))*60,0)+IFERROR(VALUE(SUBSTITUTE(MID(I255,IFERROR(FIND("and",I255)+3,1),20),"second(s)","")),0)</f>
        <v/>
      </c>
      <c r="K255" s="41">
        <f>J255/60</f>
        <v/>
      </c>
      <c r="L255" s="41">
        <f>IFERROR(J255/H255,"")</f>
        <v/>
      </c>
      <c r="M255" s="25" t="inlineStr">
        <is>
          <t>2.5.12</t>
        </is>
      </c>
      <c r="N255" s="25">
        <f>IF(J255&gt;300,1,0)</f>
        <v/>
      </c>
      <c r="O255" s="25">
        <f>IF(J255&gt;600,1,0)</f>
        <v/>
      </c>
      <c r="P255" s="25">
        <f>IF(H255&gt;0,J255,"")</f>
        <v/>
      </c>
      <c r="Q255" s="25">
        <f>TEXT(A255,"YYYY-MM-DD HH")</f>
        <v/>
      </c>
      <c r="R255" s="25">
        <f>COUNTIF($Q$2:$Q$5295,Q255)</f>
        <v/>
      </c>
      <c r="S255" s="25">
        <f>IF(R255&lt;=2,"1-2",IF(R255&lt;=5,"3-5",IF(R255&lt;=10,"6-10","11+")))</f>
        <v/>
      </c>
    </row>
    <row r="256">
      <c r="A256" s="39" t="n">
        <v>46155.59626157407</v>
      </c>
      <c r="B256" s="25">
        <f>TEXT(A256,"YYYY-MM")</f>
        <v/>
      </c>
      <c r="C256" s="25">
        <f>TEXT(A256,"MMM-YYYY")</f>
        <v/>
      </c>
      <c r="D256" s="40">
        <f>INT(A256)-WEEKDAY(A256,2)+1</f>
        <v/>
      </c>
      <c r="E256" s="25" t="inlineStr">
        <is>
          <t>csaha</t>
        </is>
      </c>
      <c r="F256" s="25" t="n">
        <v>9550</v>
      </c>
      <c r="G256" s="25" t="n">
        <v>1</v>
      </c>
      <c r="H256" s="25" t="n">
        <v>5</v>
      </c>
      <c r="I256" s="25" t="inlineStr">
        <is>
          <t>44 second(s)</t>
        </is>
      </c>
      <c r="J256" s="25">
        <f>IFERROR(VALUE(TRIM(LEFT(I256,FIND("minute",I256)-1)))*60,0)+IFERROR(VALUE(SUBSTITUTE(MID(I256,IFERROR(FIND("and",I256)+3,1),20),"second(s)","")),0)</f>
        <v/>
      </c>
      <c r="K256" s="41">
        <f>J256/60</f>
        <v/>
      </c>
      <c r="L256" s="41">
        <f>IFERROR(J256/H256,"")</f>
        <v/>
      </c>
      <c r="M256" s="25" t="inlineStr">
        <is>
          <t>2.5.12</t>
        </is>
      </c>
      <c r="N256" s="25">
        <f>IF(J256&gt;300,1,0)</f>
        <v/>
      </c>
      <c r="O256" s="25">
        <f>IF(J256&gt;600,1,0)</f>
        <v/>
      </c>
      <c r="P256" s="25">
        <f>IF(H256&gt;0,J256,"")</f>
        <v/>
      </c>
      <c r="Q256" s="25">
        <f>TEXT(A256,"YYYY-MM-DD HH")</f>
        <v/>
      </c>
      <c r="R256" s="25">
        <f>COUNTIF($Q$2:$Q$5295,Q256)</f>
        <v/>
      </c>
      <c r="S256" s="25">
        <f>IF(R256&lt;=2,"1-2",IF(R256&lt;=5,"3-5",IF(R256&lt;=10,"6-10","11+")))</f>
        <v/>
      </c>
    </row>
    <row r="257">
      <c r="A257" s="39" t="n">
        <v>46155.64582175926</v>
      </c>
      <c r="B257" s="25">
        <f>TEXT(A257,"YYYY-MM")</f>
        <v/>
      </c>
      <c r="C257" s="25">
        <f>TEXT(A257,"MMM-YYYY")</f>
        <v/>
      </c>
      <c r="D257" s="40">
        <f>INT(A257)-WEEKDAY(A257,2)+1</f>
        <v/>
      </c>
      <c r="E257" s="25" t="inlineStr">
        <is>
          <t>vraina</t>
        </is>
      </c>
      <c r="F257" s="25" t="n">
        <v>105932</v>
      </c>
      <c r="G257" s="25" t="n">
        <v>5</v>
      </c>
      <c r="H257" s="25" t="n">
        <v>29</v>
      </c>
      <c r="I257" s="25" t="inlineStr">
        <is>
          <t>7 minute(s) and 32 second(s)</t>
        </is>
      </c>
      <c r="J257" s="25">
        <f>IFERROR(VALUE(TRIM(LEFT(I257,FIND("minute",I257)-1)))*60,0)+IFERROR(VALUE(SUBSTITUTE(MID(I257,IFERROR(FIND("and",I257)+3,1),20),"second(s)","")),0)</f>
        <v/>
      </c>
      <c r="K257" s="41">
        <f>J257/60</f>
        <v/>
      </c>
      <c r="L257" s="41">
        <f>IFERROR(J257/H257,"")</f>
        <v/>
      </c>
      <c r="M257" s="25" t="inlineStr">
        <is>
          <t>2.5.12</t>
        </is>
      </c>
      <c r="N257" s="25">
        <f>IF(J257&gt;300,1,0)</f>
        <v/>
      </c>
      <c r="O257" s="25">
        <f>IF(J257&gt;600,1,0)</f>
        <v/>
      </c>
      <c r="P257" s="25">
        <f>IF(H257&gt;0,J257,"")</f>
        <v/>
      </c>
      <c r="Q257" s="25">
        <f>TEXT(A257,"YYYY-MM-DD HH")</f>
        <v/>
      </c>
      <c r="R257" s="25">
        <f>COUNTIF($Q$2:$Q$5295,Q257)</f>
        <v/>
      </c>
      <c r="S257" s="25">
        <f>IF(R257&lt;=2,"1-2",IF(R257&lt;=5,"3-5",IF(R257&lt;=10,"6-10","11+")))</f>
        <v/>
      </c>
    </row>
    <row r="258">
      <c r="A258" s="39" t="n">
        <v>46155.66065972222</v>
      </c>
      <c r="B258" s="25">
        <f>TEXT(A258,"YYYY-MM")</f>
        <v/>
      </c>
      <c r="C258" s="25">
        <f>TEXT(A258,"MMM-YYYY")</f>
        <v/>
      </c>
      <c r="D258" s="40">
        <f>INT(A258)-WEEKDAY(A258,2)+1</f>
        <v/>
      </c>
      <c r="E258" s="25" t="inlineStr">
        <is>
          <t>ssaha</t>
        </is>
      </c>
      <c r="F258" s="25" t="n">
        <v>115007</v>
      </c>
      <c r="G258" s="25" t="n">
        <v>5</v>
      </c>
      <c r="H258" s="25" t="n">
        <v>31</v>
      </c>
      <c r="I258" s="25" t="inlineStr">
        <is>
          <t>5 minute(s) and 11 second(s)</t>
        </is>
      </c>
      <c r="J258" s="25">
        <f>IFERROR(VALUE(TRIM(LEFT(I258,FIND("minute",I258)-1)))*60,0)+IFERROR(VALUE(SUBSTITUTE(MID(I258,IFERROR(FIND("and",I258)+3,1),20),"second(s)","")),0)</f>
        <v/>
      </c>
      <c r="K258" s="41">
        <f>J258/60</f>
        <v/>
      </c>
      <c r="L258" s="41">
        <f>IFERROR(J258/H258,"")</f>
        <v/>
      </c>
      <c r="M258" s="25" t="inlineStr">
        <is>
          <t>2.5.12</t>
        </is>
      </c>
      <c r="N258" s="25">
        <f>IF(J258&gt;300,1,0)</f>
        <v/>
      </c>
      <c r="O258" s="25">
        <f>IF(J258&gt;600,1,0)</f>
        <v/>
      </c>
      <c r="P258" s="25">
        <f>IF(H258&gt;0,J258,"")</f>
        <v/>
      </c>
      <c r="Q258" s="25">
        <f>TEXT(A258,"YYYY-MM-DD HH")</f>
        <v/>
      </c>
      <c r="R258" s="25">
        <f>COUNTIF($Q$2:$Q$5295,Q258)</f>
        <v/>
      </c>
      <c r="S258" s="25">
        <f>IF(R258&lt;=2,"1-2",IF(R258&lt;=5,"3-5",IF(R258&lt;=10,"6-10","11+")))</f>
        <v/>
      </c>
    </row>
    <row r="259">
      <c r="A259" s="39" t="n">
        <v>46155.66072916667</v>
      </c>
      <c r="B259" s="25">
        <f>TEXT(A259,"YYYY-MM")</f>
        <v/>
      </c>
      <c r="C259" s="25">
        <f>TEXT(A259,"MMM-YYYY")</f>
        <v/>
      </c>
      <c r="D259" s="40">
        <f>INT(A259)-WEEKDAY(A259,2)+1</f>
        <v/>
      </c>
      <c r="E259" s="25" t="inlineStr">
        <is>
          <t>hsindwani</t>
        </is>
      </c>
      <c r="F259" s="25" t="n">
        <v>114912</v>
      </c>
      <c r="G259" s="25" t="n">
        <v>1</v>
      </c>
      <c r="H259" s="25" t="n">
        <v>5</v>
      </c>
      <c r="I259" s="25" t="inlineStr">
        <is>
          <t>5 minute(s) and 3 second(s)</t>
        </is>
      </c>
      <c r="J259" s="25">
        <f>IFERROR(VALUE(TRIM(LEFT(I259,FIND("minute",I259)-1)))*60,0)+IFERROR(VALUE(SUBSTITUTE(MID(I259,IFERROR(FIND("and",I259)+3,1),20),"second(s)","")),0)</f>
        <v/>
      </c>
      <c r="K259" s="41">
        <f>J259/60</f>
        <v/>
      </c>
      <c r="L259" s="41">
        <f>IFERROR(J259/H259,"")</f>
        <v/>
      </c>
      <c r="M259" s="25" t="inlineStr">
        <is>
          <t>2.5.12</t>
        </is>
      </c>
      <c r="N259" s="25">
        <f>IF(J259&gt;300,1,0)</f>
        <v/>
      </c>
      <c r="O259" s="25">
        <f>IF(J259&gt;600,1,0)</f>
        <v/>
      </c>
      <c r="P259" s="25">
        <f>IF(H259&gt;0,J259,"")</f>
        <v/>
      </c>
      <c r="Q259" s="25">
        <f>TEXT(A259,"YYYY-MM-DD HH")</f>
        <v/>
      </c>
      <c r="R259" s="25">
        <f>COUNTIF($Q$2:$Q$5295,Q259)</f>
        <v/>
      </c>
      <c r="S259" s="25">
        <f>IF(R259&lt;=2,"1-2",IF(R259&lt;=5,"3-5",IF(R259&lt;=10,"6-10","11+")))</f>
        <v/>
      </c>
    </row>
    <row r="260">
      <c r="A260" s="39" t="n">
        <v>46155.6697337963</v>
      </c>
      <c r="B260" s="25">
        <f>TEXT(A260,"YYYY-MM")</f>
        <v/>
      </c>
      <c r="C260" s="25">
        <f>TEXT(A260,"MMM-YYYY")</f>
        <v/>
      </c>
      <c r="D260" s="40">
        <f>INT(A260)-WEEKDAY(A260,2)+1</f>
        <v/>
      </c>
      <c r="E260" s="25" t="inlineStr">
        <is>
          <t>csaha</t>
        </is>
      </c>
      <c r="F260" s="25" t="n">
        <v>106405</v>
      </c>
      <c r="G260" s="25" t="n">
        <v>2</v>
      </c>
      <c r="H260" s="25" t="n">
        <v>10</v>
      </c>
      <c r="I260" s="25" t="inlineStr">
        <is>
          <t>2 minute(s) and 13 second(s)</t>
        </is>
      </c>
      <c r="J260" s="25">
        <f>IFERROR(VALUE(TRIM(LEFT(I260,FIND("minute",I260)-1)))*60,0)+IFERROR(VALUE(SUBSTITUTE(MID(I260,IFERROR(FIND("and",I260)+3,1),20),"second(s)","")),0)</f>
        <v/>
      </c>
      <c r="K260" s="41">
        <f>J260/60</f>
        <v/>
      </c>
      <c r="L260" s="41">
        <f>IFERROR(J260/H260,"")</f>
        <v/>
      </c>
      <c r="M260" s="25" t="inlineStr">
        <is>
          <t>2.5.12</t>
        </is>
      </c>
      <c r="N260" s="25">
        <f>IF(J260&gt;300,1,0)</f>
        <v/>
      </c>
      <c r="O260" s="25">
        <f>IF(J260&gt;600,1,0)</f>
        <v/>
      </c>
      <c r="P260" s="25">
        <f>IF(H260&gt;0,J260,"")</f>
        <v/>
      </c>
      <c r="Q260" s="25">
        <f>TEXT(A260,"YYYY-MM-DD HH")</f>
        <v/>
      </c>
      <c r="R260" s="25">
        <f>COUNTIF($Q$2:$Q$5295,Q260)</f>
        <v/>
      </c>
      <c r="S260" s="25">
        <f>IF(R260&lt;=2,"1-2",IF(R260&lt;=5,"3-5",IF(R260&lt;=10,"6-10","11+")))</f>
        <v/>
      </c>
    </row>
    <row r="261">
      <c r="A261" s="39" t="n">
        <v>46155.67768518518</v>
      </c>
      <c r="B261" s="25">
        <f>TEXT(A261,"YYYY-MM")</f>
        <v/>
      </c>
      <c r="C261" s="25">
        <f>TEXT(A261,"MMM-YYYY")</f>
        <v/>
      </c>
      <c r="D261" s="40">
        <f>INT(A261)-WEEKDAY(A261,2)+1</f>
        <v/>
      </c>
      <c r="E261" s="25" t="inlineStr">
        <is>
          <t>hdutt</t>
        </is>
      </c>
      <c r="F261" s="25" t="n">
        <v>70821</v>
      </c>
      <c r="G261" s="25" t="n">
        <v>6</v>
      </c>
      <c r="H261" s="25" t="n">
        <v>40</v>
      </c>
      <c r="I261" s="25" t="inlineStr">
        <is>
          <t>10 minute(s) and 32 second(s)</t>
        </is>
      </c>
      <c r="J261" s="25">
        <f>IFERROR(VALUE(TRIM(LEFT(I261,FIND("minute",I261)-1)))*60,0)+IFERROR(VALUE(SUBSTITUTE(MID(I261,IFERROR(FIND("and",I261)+3,1),20),"second(s)","")),0)</f>
        <v/>
      </c>
      <c r="K261" s="41">
        <f>J261/60</f>
        <v/>
      </c>
      <c r="L261" s="41">
        <f>IFERROR(J261/H261,"")</f>
        <v/>
      </c>
      <c r="M261" s="25" t="inlineStr">
        <is>
          <t>2.5.12</t>
        </is>
      </c>
      <c r="N261" s="25">
        <f>IF(J261&gt;300,1,0)</f>
        <v/>
      </c>
      <c r="O261" s="25">
        <f>IF(J261&gt;600,1,0)</f>
        <v/>
      </c>
      <c r="P261" s="25">
        <f>IF(H261&gt;0,J261,"")</f>
        <v/>
      </c>
      <c r="Q261" s="25">
        <f>TEXT(A261,"YYYY-MM-DD HH")</f>
        <v/>
      </c>
      <c r="R261" s="25">
        <f>COUNTIF($Q$2:$Q$5295,Q261)</f>
        <v/>
      </c>
      <c r="S261" s="25">
        <f>IF(R261&lt;=2,"1-2",IF(R261&lt;=5,"3-5",IF(R261&lt;=10,"6-10","11+")))</f>
        <v/>
      </c>
    </row>
    <row r="262">
      <c r="A262" s="39" t="n">
        <v>46155.74060185185</v>
      </c>
      <c r="B262" s="25">
        <f>TEXT(A262,"YYYY-MM")</f>
        <v/>
      </c>
      <c r="C262" s="25">
        <f>TEXT(A262,"MMM-YYYY")</f>
        <v/>
      </c>
      <c r="D262" s="40">
        <f>INT(A262)-WEEKDAY(A262,2)+1</f>
        <v/>
      </c>
      <c r="E262" s="25" t="inlineStr">
        <is>
          <t>ssaha</t>
        </is>
      </c>
      <c r="F262" s="25" t="n">
        <v>92755</v>
      </c>
      <c r="G262" s="25" t="n">
        <v>5</v>
      </c>
      <c r="H262" s="25" t="n">
        <v>26</v>
      </c>
      <c r="I262" s="25" t="inlineStr">
        <is>
          <t>8 minute(s) and 46 second(s)</t>
        </is>
      </c>
      <c r="J262" s="25">
        <f>IFERROR(VALUE(TRIM(LEFT(I262,FIND("minute",I262)-1)))*60,0)+IFERROR(VALUE(SUBSTITUTE(MID(I262,IFERROR(FIND("and",I262)+3,1),20),"second(s)","")),0)</f>
        <v/>
      </c>
      <c r="K262" s="41">
        <f>J262/60</f>
        <v/>
      </c>
      <c r="L262" s="41">
        <f>IFERROR(J262/H262,"")</f>
        <v/>
      </c>
      <c r="M262" s="25" t="inlineStr">
        <is>
          <t>2.5.12</t>
        </is>
      </c>
      <c r="N262" s="25">
        <f>IF(J262&gt;300,1,0)</f>
        <v/>
      </c>
      <c r="O262" s="25">
        <f>IF(J262&gt;600,1,0)</f>
        <v/>
      </c>
      <c r="P262" s="25">
        <f>IF(H262&gt;0,J262,"")</f>
        <v/>
      </c>
      <c r="Q262" s="25">
        <f>TEXT(A262,"YYYY-MM-DD HH")</f>
        <v/>
      </c>
      <c r="R262" s="25">
        <f>COUNTIF($Q$2:$Q$5295,Q262)</f>
        <v/>
      </c>
      <c r="S262" s="25">
        <f>IF(R262&lt;=2,"1-2",IF(R262&lt;=5,"3-5",IF(R262&lt;=10,"6-10","11+")))</f>
        <v/>
      </c>
    </row>
    <row r="263">
      <c r="A263" s="39" t="n">
        <v>46155.81100694444</v>
      </c>
      <c r="B263" s="25">
        <f>TEXT(A263,"YYYY-MM")</f>
        <v/>
      </c>
      <c r="C263" s="25">
        <f>TEXT(A263,"MMM-YYYY")</f>
        <v/>
      </c>
      <c r="D263" s="40">
        <f>INT(A263)-WEEKDAY(A263,2)+1</f>
        <v/>
      </c>
      <c r="E263" s="25" t="inlineStr">
        <is>
          <t>ssaha</t>
        </is>
      </c>
      <c r="F263" s="25" t="n">
        <v>113068</v>
      </c>
      <c r="G263" s="25" t="n">
        <v>5</v>
      </c>
      <c r="H263" s="25" t="n">
        <v>26</v>
      </c>
      <c r="I263" s="25" t="inlineStr">
        <is>
          <t>4 minute(s) and 33 second(s)</t>
        </is>
      </c>
      <c r="J263" s="25">
        <f>IFERROR(VALUE(TRIM(LEFT(I263,FIND("minute",I263)-1)))*60,0)+IFERROR(VALUE(SUBSTITUTE(MID(I263,IFERROR(FIND("and",I263)+3,1),20),"second(s)","")),0)</f>
        <v/>
      </c>
      <c r="K263" s="41">
        <f>J263/60</f>
        <v/>
      </c>
      <c r="L263" s="41">
        <f>IFERROR(J263/H263,"")</f>
        <v/>
      </c>
      <c r="M263" s="25" t="inlineStr">
        <is>
          <t>2.5.12</t>
        </is>
      </c>
      <c r="N263" s="25">
        <f>IF(J263&gt;300,1,0)</f>
        <v/>
      </c>
      <c r="O263" s="25">
        <f>IF(J263&gt;600,1,0)</f>
        <v/>
      </c>
      <c r="P263" s="25">
        <f>IF(H263&gt;0,J263,"")</f>
        <v/>
      </c>
      <c r="Q263" s="25">
        <f>TEXT(A263,"YYYY-MM-DD HH")</f>
        <v/>
      </c>
      <c r="R263" s="25">
        <f>COUNTIF($Q$2:$Q$5295,Q263)</f>
        <v/>
      </c>
      <c r="S263" s="25">
        <f>IF(R263&lt;=2,"1-2",IF(R263&lt;=5,"3-5",IF(R263&lt;=10,"6-10","11+")))</f>
        <v/>
      </c>
    </row>
    <row r="264">
      <c r="A264" s="39" t="n">
        <v>46155.86313657407</v>
      </c>
      <c r="B264" s="25">
        <f>TEXT(A264,"YYYY-MM")</f>
        <v/>
      </c>
      <c r="C264" s="25">
        <f>TEXT(A264,"MMM-YYYY")</f>
        <v/>
      </c>
      <c r="D264" s="40">
        <f>INT(A264)-WEEKDAY(A264,2)+1</f>
        <v/>
      </c>
      <c r="E264" s="25" t="inlineStr">
        <is>
          <t>ssaha</t>
        </is>
      </c>
      <c r="F264" s="25" t="n">
        <v>113068</v>
      </c>
      <c r="G264" s="25" t="n">
        <v>1</v>
      </c>
      <c r="H264" s="25" t="n">
        <v>5</v>
      </c>
      <c r="I264" s="25" t="inlineStr">
        <is>
          <t>2 minute(s) and 27 second(s)</t>
        </is>
      </c>
      <c r="J264" s="25">
        <f>IFERROR(VALUE(TRIM(LEFT(I264,FIND("minute",I264)-1)))*60,0)+IFERROR(VALUE(SUBSTITUTE(MID(I264,IFERROR(FIND("and",I264)+3,1),20),"second(s)","")),0)</f>
        <v/>
      </c>
      <c r="K264" s="41">
        <f>J264/60</f>
        <v/>
      </c>
      <c r="L264" s="41">
        <f>IFERROR(J264/H264,"")</f>
        <v/>
      </c>
      <c r="M264" s="25" t="inlineStr">
        <is>
          <t>2.5.12</t>
        </is>
      </c>
      <c r="N264" s="25">
        <f>IF(J264&gt;300,1,0)</f>
        <v/>
      </c>
      <c r="O264" s="25">
        <f>IF(J264&gt;600,1,0)</f>
        <v/>
      </c>
      <c r="P264" s="25">
        <f>IF(H264&gt;0,J264,"")</f>
        <v/>
      </c>
      <c r="Q264" s="25">
        <f>TEXT(A264,"YYYY-MM-DD HH")</f>
        <v/>
      </c>
      <c r="R264" s="25">
        <f>COUNTIF($Q$2:$Q$5295,Q264)</f>
        <v/>
      </c>
      <c r="S264" s="25">
        <f>IF(R264&lt;=2,"1-2",IF(R264&lt;=5,"3-5",IF(R264&lt;=10,"6-10","11+")))</f>
        <v/>
      </c>
    </row>
    <row r="265">
      <c r="A265" s="39" t="n">
        <v>46155.89233796296</v>
      </c>
      <c r="B265" s="25">
        <f>TEXT(A265,"YYYY-MM")</f>
        <v/>
      </c>
      <c r="C265" s="25">
        <f>TEXT(A265,"MMM-YYYY")</f>
        <v/>
      </c>
      <c r="D265" s="40">
        <f>INT(A265)-WEEKDAY(A265,2)+1</f>
        <v/>
      </c>
      <c r="E265" s="25" t="inlineStr">
        <is>
          <t>ssaha</t>
        </is>
      </c>
      <c r="F265" s="25" t="n">
        <v>113078</v>
      </c>
      <c r="G265" s="25" t="n">
        <v>5</v>
      </c>
      <c r="H265" s="25" t="n">
        <v>26</v>
      </c>
      <c r="I265" s="25" t="inlineStr">
        <is>
          <t>4 minute(s) and 44 second(s)</t>
        </is>
      </c>
      <c r="J265" s="25">
        <f>IFERROR(VALUE(TRIM(LEFT(I265,FIND("minute",I265)-1)))*60,0)+IFERROR(VALUE(SUBSTITUTE(MID(I265,IFERROR(FIND("and",I265)+3,1),20),"second(s)","")),0)</f>
        <v/>
      </c>
      <c r="K265" s="41">
        <f>J265/60</f>
        <v/>
      </c>
      <c r="L265" s="41">
        <f>IFERROR(J265/H265,"")</f>
        <v/>
      </c>
      <c r="M265" s="25" t="inlineStr">
        <is>
          <t>2.5.12</t>
        </is>
      </c>
      <c r="N265" s="25">
        <f>IF(J265&gt;300,1,0)</f>
        <v/>
      </c>
      <c r="O265" s="25">
        <f>IF(J265&gt;600,1,0)</f>
        <v/>
      </c>
      <c r="P265" s="25">
        <f>IF(H265&gt;0,J265,"")</f>
        <v/>
      </c>
      <c r="Q265" s="25">
        <f>TEXT(A265,"YYYY-MM-DD HH")</f>
        <v/>
      </c>
      <c r="R265" s="25">
        <f>COUNTIF($Q$2:$Q$5295,Q265)</f>
        <v/>
      </c>
      <c r="S265" s="25">
        <f>IF(R265&lt;=2,"1-2",IF(R265&lt;=5,"3-5",IF(R265&lt;=10,"6-10","11+")))</f>
        <v/>
      </c>
    </row>
    <row r="266">
      <c r="A266" s="39" t="n">
        <v>46155.94077546296</v>
      </c>
      <c r="B266" s="25">
        <f>TEXT(A266,"YYYY-MM")</f>
        <v/>
      </c>
      <c r="C266" s="25">
        <f>TEXT(A266,"MMM-YYYY")</f>
        <v/>
      </c>
      <c r="D266" s="40">
        <f>INT(A266)-WEEKDAY(A266,2)+1</f>
        <v/>
      </c>
      <c r="E266" s="25" t="inlineStr">
        <is>
          <t>ssaha</t>
        </is>
      </c>
      <c r="F266" s="25" t="n">
        <v>73651</v>
      </c>
      <c r="G266" s="25" t="n">
        <v>2</v>
      </c>
      <c r="H266" s="25" t="n">
        <v>6</v>
      </c>
      <c r="I266" s="25" t="inlineStr">
        <is>
          <t>1 minute(s) and 26 second(s)</t>
        </is>
      </c>
      <c r="J266" s="25">
        <f>IFERROR(VALUE(TRIM(LEFT(I266,FIND("minute",I266)-1)))*60,0)+IFERROR(VALUE(SUBSTITUTE(MID(I266,IFERROR(FIND("and",I266)+3,1),20),"second(s)","")),0)</f>
        <v/>
      </c>
      <c r="K266" s="41">
        <f>J266/60</f>
        <v/>
      </c>
      <c r="L266" s="41">
        <f>IFERROR(J266/H266,"")</f>
        <v/>
      </c>
      <c r="M266" s="25" t="inlineStr">
        <is>
          <t>2.5.12</t>
        </is>
      </c>
      <c r="N266" s="25">
        <f>IF(J266&gt;300,1,0)</f>
        <v/>
      </c>
      <c r="O266" s="25">
        <f>IF(J266&gt;600,1,0)</f>
        <v/>
      </c>
      <c r="P266" s="25">
        <f>IF(H266&gt;0,J266,"")</f>
        <v/>
      </c>
      <c r="Q266" s="25">
        <f>TEXT(A266,"YYYY-MM-DD HH")</f>
        <v/>
      </c>
      <c r="R266" s="25">
        <f>COUNTIF($Q$2:$Q$5295,Q266)</f>
        <v/>
      </c>
      <c r="S266" s="25">
        <f>IF(R266&lt;=2,"1-2",IF(R266&lt;=5,"3-5",IF(R266&lt;=10,"6-10","11+")))</f>
        <v/>
      </c>
    </row>
    <row r="267">
      <c r="A267" s="39" t="n">
        <v>46155.95502314815</v>
      </c>
      <c r="B267" s="25">
        <f>TEXT(A267,"YYYY-MM")</f>
        <v/>
      </c>
      <c r="C267" s="25">
        <f>TEXT(A267,"MMM-YYYY")</f>
        <v/>
      </c>
      <c r="D267" s="40">
        <f>INT(A267)-WEEKDAY(A267,2)+1</f>
        <v/>
      </c>
      <c r="E267" s="25" t="inlineStr">
        <is>
          <t>sswati</t>
        </is>
      </c>
      <c r="F267" s="25" t="n">
        <v>98498</v>
      </c>
      <c r="G267" s="25" t="n">
        <v>2</v>
      </c>
      <c r="H267" s="25" t="n">
        <v>6</v>
      </c>
      <c r="I267" s="25" t="inlineStr">
        <is>
          <t>2 minute(s) and 31 second(s)</t>
        </is>
      </c>
      <c r="J267" s="25">
        <f>IFERROR(VALUE(TRIM(LEFT(I267,FIND("minute",I267)-1)))*60,0)+IFERROR(VALUE(SUBSTITUTE(MID(I267,IFERROR(FIND("and",I267)+3,1),20),"second(s)","")),0)</f>
        <v/>
      </c>
      <c r="K267" s="41">
        <f>J267/60</f>
        <v/>
      </c>
      <c r="L267" s="41">
        <f>IFERROR(J267/H267,"")</f>
        <v/>
      </c>
      <c r="M267" s="25" t="inlineStr">
        <is>
          <t>2.5.12</t>
        </is>
      </c>
      <c r="N267" s="25">
        <f>IF(J267&gt;300,1,0)</f>
        <v/>
      </c>
      <c r="O267" s="25">
        <f>IF(J267&gt;600,1,0)</f>
        <v/>
      </c>
      <c r="P267" s="25">
        <f>IF(H267&gt;0,J267,"")</f>
        <v/>
      </c>
      <c r="Q267" s="25">
        <f>TEXT(A267,"YYYY-MM-DD HH")</f>
        <v/>
      </c>
      <c r="R267" s="25">
        <f>COUNTIF($Q$2:$Q$5295,Q267)</f>
        <v/>
      </c>
      <c r="S267" s="25">
        <f>IF(R267&lt;=2,"1-2",IF(R267&lt;=5,"3-5",IF(R267&lt;=10,"6-10","11+")))</f>
        <v/>
      </c>
    </row>
    <row r="268">
      <c r="A268" s="39" t="n">
        <v>46155.96297453704</v>
      </c>
      <c r="B268" s="25">
        <f>TEXT(A268,"YYYY-MM")</f>
        <v/>
      </c>
      <c r="C268" s="25">
        <f>TEXT(A268,"MMM-YYYY")</f>
        <v/>
      </c>
      <c r="D268" s="40">
        <f>INT(A268)-WEEKDAY(A268,2)+1</f>
        <v/>
      </c>
      <c r="E268" s="25" t="inlineStr">
        <is>
          <t>ssaha</t>
        </is>
      </c>
      <c r="F268" s="25" t="n">
        <v>70475</v>
      </c>
      <c r="G268" s="25" t="n">
        <v>2</v>
      </c>
      <c r="H268" s="25" t="n">
        <v>6</v>
      </c>
      <c r="I268" s="25" t="inlineStr">
        <is>
          <t>1 minute(s) and 24 second(s)</t>
        </is>
      </c>
      <c r="J268" s="25">
        <f>IFERROR(VALUE(TRIM(LEFT(I268,FIND("minute",I268)-1)))*60,0)+IFERROR(VALUE(SUBSTITUTE(MID(I268,IFERROR(FIND("and",I268)+3,1),20),"second(s)","")),0)</f>
        <v/>
      </c>
      <c r="K268" s="41">
        <f>J268/60</f>
        <v/>
      </c>
      <c r="L268" s="41">
        <f>IFERROR(J268/H268,"")</f>
        <v/>
      </c>
      <c r="M268" s="25" t="inlineStr">
        <is>
          <t>2.5.12</t>
        </is>
      </c>
      <c r="N268" s="25">
        <f>IF(J268&gt;300,1,0)</f>
        <v/>
      </c>
      <c r="O268" s="25">
        <f>IF(J268&gt;600,1,0)</f>
        <v/>
      </c>
      <c r="P268" s="25">
        <f>IF(H268&gt;0,J268,"")</f>
        <v/>
      </c>
      <c r="Q268" s="25">
        <f>TEXT(A268,"YYYY-MM-DD HH")</f>
        <v/>
      </c>
      <c r="R268" s="25">
        <f>COUNTIF($Q$2:$Q$5295,Q268)</f>
        <v/>
      </c>
      <c r="S268" s="25">
        <f>IF(R268&lt;=2,"1-2",IF(R268&lt;=5,"3-5",IF(R268&lt;=10,"6-10","11+")))</f>
        <v/>
      </c>
    </row>
    <row r="269">
      <c r="A269" s="39" t="n">
        <v>46156.03633101852</v>
      </c>
      <c r="B269" s="25">
        <f>TEXT(A269,"YYYY-MM")</f>
        <v/>
      </c>
      <c r="C269" s="25">
        <f>TEXT(A269,"MMM-YYYY")</f>
        <v/>
      </c>
      <c r="D269" s="40">
        <f>INT(A269)-WEEKDAY(A269,2)+1</f>
        <v/>
      </c>
      <c r="E269" s="25" t="inlineStr">
        <is>
          <t>rts</t>
        </is>
      </c>
      <c r="F269" s="25" t="n">
        <v>110266</v>
      </c>
      <c r="G269" s="25" t="n">
        <v>2</v>
      </c>
      <c r="H269" s="25" t="n">
        <v>10</v>
      </c>
      <c r="I269" s="25" t="inlineStr">
        <is>
          <t>2 minute(s) and 51 second(s)</t>
        </is>
      </c>
      <c r="J269" s="25">
        <f>IFERROR(VALUE(TRIM(LEFT(I269,FIND("minute",I269)-1)))*60,0)+IFERROR(VALUE(SUBSTITUTE(MID(I269,IFERROR(FIND("and",I269)+3,1),20),"second(s)","")),0)</f>
        <v/>
      </c>
      <c r="K269" s="41">
        <f>J269/60</f>
        <v/>
      </c>
      <c r="L269" s="41">
        <f>IFERROR(J269/H269,"")</f>
        <v/>
      </c>
      <c r="M269" s="25" t="inlineStr">
        <is>
          <t>2.5.12</t>
        </is>
      </c>
      <c r="N269" s="25">
        <f>IF(J269&gt;300,1,0)</f>
        <v/>
      </c>
      <c r="O269" s="25">
        <f>IF(J269&gt;600,1,0)</f>
        <v/>
      </c>
      <c r="P269" s="25">
        <f>IF(H269&gt;0,J269,"")</f>
        <v/>
      </c>
      <c r="Q269" s="25">
        <f>TEXT(A269,"YYYY-MM-DD HH")</f>
        <v/>
      </c>
      <c r="R269" s="25">
        <f>COUNTIF($Q$2:$Q$5295,Q269)</f>
        <v/>
      </c>
      <c r="S269" s="25">
        <f>IF(R269&lt;=2,"1-2",IF(R269&lt;=5,"3-5",IF(R269&lt;=10,"6-10","11+")))</f>
        <v/>
      </c>
    </row>
    <row r="270">
      <c r="A270" s="39" t="n">
        <v>46156.03759259259</v>
      </c>
      <c r="B270" s="25">
        <f>TEXT(A270,"YYYY-MM")</f>
        <v/>
      </c>
      <c r="C270" s="25">
        <f>TEXT(A270,"MMM-YYYY")</f>
        <v/>
      </c>
      <c r="D270" s="40">
        <f>INT(A270)-WEEKDAY(A270,2)+1</f>
        <v/>
      </c>
      <c r="E270" s="25" t="inlineStr">
        <is>
          <t>ssrinivasan</t>
        </is>
      </c>
      <c r="F270" s="25" t="n">
        <v>116877</v>
      </c>
      <c r="G270" s="25" t="n">
        <v>5</v>
      </c>
      <c r="H270" s="25" t="n">
        <v>17</v>
      </c>
      <c r="I270" s="25" t="inlineStr">
        <is>
          <t>8 minute(s) and 11 second(s)</t>
        </is>
      </c>
      <c r="J270" s="25">
        <f>IFERROR(VALUE(TRIM(LEFT(I270,FIND("minute",I270)-1)))*60,0)+IFERROR(VALUE(SUBSTITUTE(MID(I270,IFERROR(FIND("and",I270)+3,1),20),"second(s)","")),0)</f>
        <v/>
      </c>
      <c r="K270" s="41">
        <f>J270/60</f>
        <v/>
      </c>
      <c r="L270" s="41">
        <f>IFERROR(J270/H270,"")</f>
        <v/>
      </c>
      <c r="M270" s="25" t="inlineStr">
        <is>
          <t>2.5.12</t>
        </is>
      </c>
      <c r="N270" s="25">
        <f>IF(J270&gt;300,1,0)</f>
        <v/>
      </c>
      <c r="O270" s="25">
        <f>IF(J270&gt;600,1,0)</f>
        <v/>
      </c>
      <c r="P270" s="25">
        <f>IF(H270&gt;0,J270,"")</f>
        <v/>
      </c>
      <c r="Q270" s="25">
        <f>TEXT(A270,"YYYY-MM-DD HH")</f>
        <v/>
      </c>
      <c r="R270" s="25">
        <f>COUNTIF($Q$2:$Q$5295,Q270)</f>
        <v/>
      </c>
      <c r="S270" s="25">
        <f>IF(R270&lt;=2,"1-2",IF(R270&lt;=5,"3-5",IF(R270&lt;=10,"6-10","11+")))</f>
        <v/>
      </c>
    </row>
    <row r="271">
      <c r="A271" s="39" t="n">
        <v>46156.04077546296</v>
      </c>
      <c r="B271" s="25">
        <f>TEXT(A271,"YYYY-MM")</f>
        <v/>
      </c>
      <c r="C271" s="25">
        <f>TEXT(A271,"MMM-YYYY")</f>
        <v/>
      </c>
      <c r="D271" s="40">
        <f>INT(A271)-WEEKDAY(A271,2)+1</f>
        <v/>
      </c>
      <c r="E271" s="25" t="inlineStr">
        <is>
          <t>asahoo</t>
        </is>
      </c>
      <c r="F271" s="25" t="n">
        <v>66784</v>
      </c>
      <c r="G271" s="25" t="n">
        <v>2</v>
      </c>
      <c r="H271" s="25" t="n">
        <v>8</v>
      </c>
      <c r="I271" s="25" t="inlineStr">
        <is>
          <t>2 minute(s) and 9 second(s)</t>
        </is>
      </c>
      <c r="J271" s="25">
        <f>IFERROR(VALUE(TRIM(LEFT(I271,FIND("minute",I271)-1)))*60,0)+IFERROR(VALUE(SUBSTITUTE(MID(I271,IFERROR(FIND("and",I271)+3,1),20),"second(s)","")),0)</f>
        <v/>
      </c>
      <c r="K271" s="41">
        <f>J271/60</f>
        <v/>
      </c>
      <c r="L271" s="41">
        <f>IFERROR(J271/H271,"")</f>
        <v/>
      </c>
      <c r="M271" s="25" t="inlineStr">
        <is>
          <t>2.5.12</t>
        </is>
      </c>
      <c r="N271" s="25">
        <f>IF(J271&gt;300,1,0)</f>
        <v/>
      </c>
      <c r="O271" s="25">
        <f>IF(J271&gt;600,1,0)</f>
        <v/>
      </c>
      <c r="P271" s="25">
        <f>IF(H271&gt;0,J271,"")</f>
        <v/>
      </c>
      <c r="Q271" s="25">
        <f>TEXT(A271,"YYYY-MM-DD HH")</f>
        <v/>
      </c>
      <c r="R271" s="25">
        <f>COUNTIF($Q$2:$Q$5295,Q271)</f>
        <v/>
      </c>
      <c r="S271" s="25">
        <f>IF(R271&lt;=2,"1-2",IF(R271&lt;=5,"3-5",IF(R271&lt;=10,"6-10","11+")))</f>
        <v/>
      </c>
    </row>
    <row r="272">
      <c r="A272" s="39" t="n">
        <v>46156.05950231481</v>
      </c>
      <c r="B272" s="25">
        <f>TEXT(A272,"YYYY-MM")</f>
        <v/>
      </c>
      <c r="C272" s="25">
        <f>TEXT(A272,"MMM-YYYY")</f>
        <v/>
      </c>
      <c r="D272" s="40">
        <f>INT(A272)-WEEKDAY(A272,2)+1</f>
        <v/>
      </c>
      <c r="E272" s="25" t="inlineStr">
        <is>
          <t>dbhattacharyya</t>
        </is>
      </c>
      <c r="F272" s="25" t="n">
        <v>82216</v>
      </c>
      <c r="G272" s="25" t="n">
        <v>5</v>
      </c>
      <c r="H272" s="25" t="n">
        <v>25</v>
      </c>
      <c r="I272" s="25" t="inlineStr">
        <is>
          <t>4 minute(s) and 17 second(s)</t>
        </is>
      </c>
      <c r="J272" s="25">
        <f>IFERROR(VALUE(TRIM(LEFT(I272,FIND("minute",I272)-1)))*60,0)+IFERROR(VALUE(SUBSTITUTE(MID(I272,IFERROR(FIND("and",I272)+3,1),20),"second(s)","")),0)</f>
        <v/>
      </c>
      <c r="K272" s="41">
        <f>J272/60</f>
        <v/>
      </c>
      <c r="L272" s="41">
        <f>IFERROR(J272/H272,"")</f>
        <v/>
      </c>
      <c r="M272" s="25" t="inlineStr">
        <is>
          <t>2.5.12</t>
        </is>
      </c>
      <c r="N272" s="25">
        <f>IF(J272&gt;300,1,0)</f>
        <v/>
      </c>
      <c r="O272" s="25">
        <f>IF(J272&gt;600,1,0)</f>
        <v/>
      </c>
      <c r="P272" s="25">
        <f>IF(H272&gt;0,J272,"")</f>
        <v/>
      </c>
      <c r="Q272" s="25">
        <f>TEXT(A272,"YYYY-MM-DD HH")</f>
        <v/>
      </c>
      <c r="R272" s="25">
        <f>COUNTIF($Q$2:$Q$5295,Q272)</f>
        <v/>
      </c>
      <c r="S272" s="25">
        <f>IF(R272&lt;=2,"1-2",IF(R272&lt;=5,"3-5",IF(R272&lt;=10,"6-10","11+")))</f>
        <v/>
      </c>
    </row>
    <row r="273">
      <c r="A273" s="39" t="n">
        <v>46156.07010416667</v>
      </c>
      <c r="B273" s="25">
        <f>TEXT(A273,"YYYY-MM")</f>
        <v/>
      </c>
      <c r="C273" s="25">
        <f>TEXT(A273,"MMM-YYYY")</f>
        <v/>
      </c>
      <c r="D273" s="40">
        <f>INT(A273)-WEEKDAY(A273,2)+1</f>
        <v/>
      </c>
      <c r="E273" s="25" t="inlineStr">
        <is>
          <t>smukhopadhyay</t>
        </is>
      </c>
      <c r="F273" s="25" t="n">
        <v>107819</v>
      </c>
      <c r="G273" s="25" t="n">
        <v>1</v>
      </c>
      <c r="H273" s="25" t="n">
        <v>6</v>
      </c>
      <c r="I273" s="25" t="inlineStr">
        <is>
          <t>2 minute(s) and 4 second(s)</t>
        </is>
      </c>
      <c r="J273" s="25">
        <f>IFERROR(VALUE(TRIM(LEFT(I273,FIND("minute",I273)-1)))*60,0)+IFERROR(VALUE(SUBSTITUTE(MID(I273,IFERROR(FIND("and",I273)+3,1),20),"second(s)","")),0)</f>
        <v/>
      </c>
      <c r="K273" s="41">
        <f>J273/60</f>
        <v/>
      </c>
      <c r="L273" s="41">
        <f>IFERROR(J273/H273,"")</f>
        <v/>
      </c>
      <c r="M273" s="25" t="inlineStr">
        <is>
          <t>2.5.12</t>
        </is>
      </c>
      <c r="N273" s="25">
        <f>IF(J273&gt;300,1,0)</f>
        <v/>
      </c>
      <c r="O273" s="25">
        <f>IF(J273&gt;600,1,0)</f>
        <v/>
      </c>
      <c r="P273" s="25">
        <f>IF(H273&gt;0,J273,"")</f>
        <v/>
      </c>
      <c r="Q273" s="25">
        <f>TEXT(A273,"YYYY-MM-DD HH")</f>
        <v/>
      </c>
      <c r="R273" s="25">
        <f>COUNTIF($Q$2:$Q$5295,Q273)</f>
        <v/>
      </c>
      <c r="S273" s="25">
        <f>IF(R273&lt;=2,"1-2",IF(R273&lt;=5,"3-5",IF(R273&lt;=10,"6-10","11+")))</f>
        <v/>
      </c>
    </row>
    <row r="274">
      <c r="A274" s="39" t="n">
        <v>46156.07069444445</v>
      </c>
      <c r="B274" s="25">
        <f>TEXT(A274,"YYYY-MM")</f>
        <v/>
      </c>
      <c r="C274" s="25">
        <f>TEXT(A274,"MMM-YYYY")</f>
        <v/>
      </c>
      <c r="D274" s="40">
        <f>INT(A274)-WEEKDAY(A274,2)+1</f>
        <v/>
      </c>
      <c r="E274" s="25" t="inlineStr">
        <is>
          <t>smukhopadhyay</t>
        </is>
      </c>
      <c r="F274" s="25" t="n">
        <v>107819</v>
      </c>
      <c r="G274" s="25" t="n">
        <v>1</v>
      </c>
      <c r="H274" s="25" t="n">
        <v>6</v>
      </c>
      <c r="I274" s="25" t="inlineStr">
        <is>
          <t>4 minute(s) and 16 second(s)</t>
        </is>
      </c>
      <c r="J274" s="25">
        <f>IFERROR(VALUE(TRIM(LEFT(I274,FIND("minute",I274)-1)))*60,0)+IFERROR(VALUE(SUBSTITUTE(MID(I274,IFERROR(FIND("and",I274)+3,1),20),"second(s)","")),0)</f>
        <v/>
      </c>
      <c r="K274" s="41">
        <f>J274/60</f>
        <v/>
      </c>
      <c r="L274" s="41">
        <f>IFERROR(J274/H274,"")</f>
        <v/>
      </c>
      <c r="M274" s="25" t="inlineStr">
        <is>
          <t>2.5.12</t>
        </is>
      </c>
      <c r="N274" s="25">
        <f>IF(J274&gt;300,1,0)</f>
        <v/>
      </c>
      <c r="O274" s="25">
        <f>IF(J274&gt;600,1,0)</f>
        <v/>
      </c>
      <c r="P274" s="25">
        <f>IF(H274&gt;0,J274,"")</f>
        <v/>
      </c>
      <c r="Q274" s="25">
        <f>TEXT(A274,"YYYY-MM-DD HH")</f>
        <v/>
      </c>
      <c r="R274" s="25">
        <f>COUNTIF($Q$2:$Q$5295,Q274)</f>
        <v/>
      </c>
      <c r="S274" s="25">
        <f>IF(R274&lt;=2,"1-2",IF(R274&lt;=5,"3-5",IF(R274&lt;=10,"6-10","11+")))</f>
        <v/>
      </c>
    </row>
    <row r="275">
      <c r="A275" s="39" t="n">
        <v>46156.07834490741</v>
      </c>
      <c r="B275" s="25">
        <f>TEXT(A275,"YYYY-MM")</f>
        <v/>
      </c>
      <c r="C275" s="25">
        <f>TEXT(A275,"MMM-YYYY")</f>
        <v/>
      </c>
      <c r="D275" s="40">
        <f>INT(A275)-WEEKDAY(A275,2)+1</f>
        <v/>
      </c>
      <c r="E275" s="25" t="inlineStr">
        <is>
          <t>vreddy</t>
        </is>
      </c>
      <c r="F275" s="25" t="n">
        <v>104322</v>
      </c>
      <c r="G275" s="25" t="n">
        <v>1</v>
      </c>
      <c r="H275" s="25" t="n">
        <v>5</v>
      </c>
      <c r="I275" s="25" t="inlineStr">
        <is>
          <t>58 second(s)</t>
        </is>
      </c>
      <c r="J275" s="25">
        <f>IFERROR(VALUE(TRIM(LEFT(I275,FIND("minute",I275)-1)))*60,0)+IFERROR(VALUE(SUBSTITUTE(MID(I275,IFERROR(FIND("and",I275)+3,1),20),"second(s)","")),0)</f>
        <v/>
      </c>
      <c r="K275" s="41">
        <f>J275/60</f>
        <v/>
      </c>
      <c r="L275" s="41">
        <f>IFERROR(J275/H275,"")</f>
        <v/>
      </c>
      <c r="M275" s="25" t="inlineStr">
        <is>
          <t>2.5.12</t>
        </is>
      </c>
      <c r="N275" s="25">
        <f>IF(J275&gt;300,1,0)</f>
        <v/>
      </c>
      <c r="O275" s="25">
        <f>IF(J275&gt;600,1,0)</f>
        <v/>
      </c>
      <c r="P275" s="25">
        <f>IF(H275&gt;0,J275,"")</f>
        <v/>
      </c>
      <c r="Q275" s="25">
        <f>TEXT(A275,"YYYY-MM-DD HH")</f>
        <v/>
      </c>
      <c r="R275" s="25">
        <f>COUNTIF($Q$2:$Q$5295,Q275)</f>
        <v/>
      </c>
      <c r="S275" s="25">
        <f>IF(R275&lt;=2,"1-2",IF(R275&lt;=5,"3-5",IF(R275&lt;=10,"6-10","11+")))</f>
        <v/>
      </c>
    </row>
    <row r="276">
      <c r="A276" s="39" t="n">
        <v>46156.08400462963</v>
      </c>
      <c r="B276" s="25">
        <f>TEXT(A276,"YYYY-MM")</f>
        <v/>
      </c>
      <c r="C276" s="25">
        <f>TEXT(A276,"MMM-YYYY")</f>
        <v/>
      </c>
      <c r="D276" s="40">
        <f>INT(A276)-WEEKDAY(A276,2)+1</f>
        <v/>
      </c>
      <c r="E276" s="25" t="inlineStr">
        <is>
          <t>akumari</t>
        </is>
      </c>
      <c r="F276" s="25" t="n">
        <v>35262</v>
      </c>
      <c r="G276" s="25" t="n">
        <v>1</v>
      </c>
      <c r="H276" s="25" t="n">
        <v>5</v>
      </c>
      <c r="I276" s="25" t="inlineStr">
        <is>
          <t>50 second(s)</t>
        </is>
      </c>
      <c r="J276" s="25">
        <f>IFERROR(VALUE(TRIM(LEFT(I276,FIND("minute",I276)-1)))*60,0)+IFERROR(VALUE(SUBSTITUTE(MID(I276,IFERROR(FIND("and",I276)+3,1),20),"second(s)","")),0)</f>
        <v/>
      </c>
      <c r="K276" s="41">
        <f>J276/60</f>
        <v/>
      </c>
      <c r="L276" s="41">
        <f>IFERROR(J276/H276,"")</f>
        <v/>
      </c>
      <c r="M276" s="25" t="inlineStr">
        <is>
          <t>2.5.12</t>
        </is>
      </c>
      <c r="N276" s="25">
        <f>IF(J276&gt;300,1,0)</f>
        <v/>
      </c>
      <c r="O276" s="25">
        <f>IF(J276&gt;600,1,0)</f>
        <v/>
      </c>
      <c r="P276" s="25">
        <f>IF(H276&gt;0,J276,"")</f>
        <v/>
      </c>
      <c r="Q276" s="25">
        <f>TEXT(A276,"YYYY-MM-DD HH")</f>
        <v/>
      </c>
      <c r="R276" s="25">
        <f>COUNTIF($Q$2:$Q$5295,Q276)</f>
        <v/>
      </c>
      <c r="S276" s="25">
        <f>IF(R276&lt;=2,"1-2",IF(R276&lt;=5,"3-5",IF(R276&lt;=10,"6-10","11+")))</f>
        <v/>
      </c>
    </row>
    <row r="277">
      <c r="A277" s="39" t="n">
        <v>46156.09479166667</v>
      </c>
      <c r="B277" s="25">
        <f>TEXT(A277,"YYYY-MM")</f>
        <v/>
      </c>
      <c r="C277" s="25">
        <f>TEXT(A277,"MMM-YYYY")</f>
        <v/>
      </c>
      <c r="D277" s="40">
        <f>INT(A277)-WEEKDAY(A277,2)+1</f>
        <v/>
      </c>
      <c r="E277" s="25" t="inlineStr">
        <is>
          <t>shasikha</t>
        </is>
      </c>
      <c r="F277" s="25" t="n">
        <v>106808</v>
      </c>
      <c r="G277" s="25" t="n">
        <v>2</v>
      </c>
      <c r="H277" s="25" t="n">
        <v>12</v>
      </c>
      <c r="I277" s="25" t="inlineStr">
        <is>
          <t>3 minute(s) and 46 second(s)</t>
        </is>
      </c>
      <c r="J277" s="25">
        <f>IFERROR(VALUE(TRIM(LEFT(I277,FIND("minute",I277)-1)))*60,0)+IFERROR(VALUE(SUBSTITUTE(MID(I277,IFERROR(FIND("and",I277)+3,1),20),"second(s)","")),0)</f>
        <v/>
      </c>
      <c r="K277" s="41">
        <f>J277/60</f>
        <v/>
      </c>
      <c r="L277" s="41">
        <f>IFERROR(J277/H277,"")</f>
        <v/>
      </c>
      <c r="M277" s="25" t="inlineStr">
        <is>
          <t>2.5.12</t>
        </is>
      </c>
      <c r="N277" s="25">
        <f>IF(J277&gt;300,1,0)</f>
        <v/>
      </c>
      <c r="O277" s="25">
        <f>IF(J277&gt;600,1,0)</f>
        <v/>
      </c>
      <c r="P277" s="25">
        <f>IF(H277&gt;0,J277,"")</f>
        <v/>
      </c>
      <c r="Q277" s="25">
        <f>TEXT(A277,"YYYY-MM-DD HH")</f>
        <v/>
      </c>
      <c r="R277" s="25">
        <f>COUNTIF($Q$2:$Q$5295,Q277)</f>
        <v/>
      </c>
      <c r="S277" s="25">
        <f>IF(R277&lt;=2,"1-2",IF(R277&lt;=5,"3-5",IF(R277&lt;=10,"6-10","11+")))</f>
        <v/>
      </c>
    </row>
    <row r="278">
      <c r="A278" s="39" t="n">
        <v>46156.09601851852</v>
      </c>
      <c r="B278" s="25">
        <f>TEXT(A278,"YYYY-MM")</f>
        <v/>
      </c>
      <c r="C278" s="25">
        <f>TEXT(A278,"MMM-YYYY")</f>
        <v/>
      </c>
      <c r="D278" s="40">
        <f>INT(A278)-WEEKDAY(A278,2)+1</f>
        <v/>
      </c>
      <c r="E278" s="25" t="inlineStr">
        <is>
          <t>rts</t>
        </is>
      </c>
      <c r="F278" s="25" t="n">
        <v>108713</v>
      </c>
      <c r="G278" s="25" t="n">
        <v>2</v>
      </c>
      <c r="H278" s="25" t="n">
        <v>10</v>
      </c>
      <c r="I278" s="25" t="inlineStr">
        <is>
          <t>2 minute(s) and 43 second(s)</t>
        </is>
      </c>
      <c r="J278" s="25">
        <f>IFERROR(VALUE(TRIM(LEFT(I278,FIND("minute",I278)-1)))*60,0)+IFERROR(VALUE(SUBSTITUTE(MID(I278,IFERROR(FIND("and",I278)+3,1),20),"second(s)","")),0)</f>
        <v/>
      </c>
      <c r="K278" s="41">
        <f>J278/60</f>
        <v/>
      </c>
      <c r="L278" s="41">
        <f>IFERROR(J278/H278,"")</f>
        <v/>
      </c>
      <c r="M278" s="25" t="inlineStr">
        <is>
          <t>2.5.12</t>
        </is>
      </c>
      <c r="N278" s="25">
        <f>IF(J278&gt;300,1,0)</f>
        <v/>
      </c>
      <c r="O278" s="25">
        <f>IF(J278&gt;600,1,0)</f>
        <v/>
      </c>
      <c r="P278" s="25">
        <f>IF(H278&gt;0,J278,"")</f>
        <v/>
      </c>
      <c r="Q278" s="25">
        <f>TEXT(A278,"YYYY-MM-DD HH")</f>
        <v/>
      </c>
      <c r="R278" s="25">
        <f>COUNTIF($Q$2:$Q$5295,Q278)</f>
        <v/>
      </c>
      <c r="S278" s="25">
        <f>IF(R278&lt;=2,"1-2",IF(R278&lt;=5,"3-5",IF(R278&lt;=10,"6-10","11+")))</f>
        <v/>
      </c>
    </row>
    <row r="279">
      <c r="A279" s="39" t="n">
        <v>46156.09798611111</v>
      </c>
      <c r="B279" s="25">
        <f>TEXT(A279,"YYYY-MM")</f>
        <v/>
      </c>
      <c r="C279" s="25">
        <f>TEXT(A279,"MMM-YYYY")</f>
        <v/>
      </c>
      <c r="D279" s="40">
        <f>INT(A279)-WEEKDAY(A279,2)+1</f>
        <v/>
      </c>
      <c r="E279" s="25" t="inlineStr">
        <is>
          <t>ptomar</t>
        </is>
      </c>
      <c r="F279" s="25" t="n">
        <v>116708</v>
      </c>
      <c r="G279" s="25" t="n">
        <v>5</v>
      </c>
      <c r="H279" s="25" t="n">
        <v>26</v>
      </c>
      <c r="I279" s="25" t="inlineStr">
        <is>
          <t>4 minute(s) and 34 second(s)</t>
        </is>
      </c>
      <c r="J279" s="25">
        <f>IFERROR(VALUE(TRIM(LEFT(I279,FIND("minute",I279)-1)))*60,0)+IFERROR(VALUE(SUBSTITUTE(MID(I279,IFERROR(FIND("and",I279)+3,1),20),"second(s)","")),0)</f>
        <v/>
      </c>
      <c r="K279" s="41">
        <f>J279/60</f>
        <v/>
      </c>
      <c r="L279" s="41">
        <f>IFERROR(J279/H279,"")</f>
        <v/>
      </c>
      <c r="M279" s="25" t="inlineStr">
        <is>
          <t>2.5.12</t>
        </is>
      </c>
      <c r="N279" s="25">
        <f>IF(J279&gt;300,1,0)</f>
        <v/>
      </c>
      <c r="O279" s="25">
        <f>IF(J279&gt;600,1,0)</f>
        <v/>
      </c>
      <c r="P279" s="25">
        <f>IF(H279&gt;0,J279,"")</f>
        <v/>
      </c>
      <c r="Q279" s="25">
        <f>TEXT(A279,"YYYY-MM-DD HH")</f>
        <v/>
      </c>
      <c r="R279" s="25">
        <f>COUNTIF($Q$2:$Q$5295,Q279)</f>
        <v/>
      </c>
      <c r="S279" s="25">
        <f>IF(R279&lt;=2,"1-2",IF(R279&lt;=5,"3-5",IF(R279&lt;=10,"6-10","11+")))</f>
        <v/>
      </c>
    </row>
    <row r="280">
      <c r="A280" s="39" t="n">
        <v>46156.09982638889</v>
      </c>
      <c r="B280" s="25">
        <f>TEXT(A280,"YYYY-MM")</f>
        <v/>
      </c>
      <c r="C280" s="25">
        <f>TEXT(A280,"MMM-YYYY")</f>
        <v/>
      </c>
      <c r="D280" s="40">
        <f>INT(A280)-WEEKDAY(A280,2)+1</f>
        <v/>
      </c>
      <c r="E280" s="25" t="inlineStr">
        <is>
          <t>ns</t>
        </is>
      </c>
      <c r="F280" s="25" t="n">
        <v>117159</v>
      </c>
      <c r="G280" s="25" t="n">
        <v>1</v>
      </c>
      <c r="H280" s="25" t="n">
        <v>5</v>
      </c>
      <c r="I280" s="25" t="inlineStr">
        <is>
          <t>2 minute(s) and 21 second(s)</t>
        </is>
      </c>
      <c r="J280" s="25">
        <f>IFERROR(VALUE(TRIM(LEFT(I280,FIND("minute",I280)-1)))*60,0)+IFERROR(VALUE(SUBSTITUTE(MID(I280,IFERROR(FIND("and",I280)+3,1),20),"second(s)","")),0)</f>
        <v/>
      </c>
      <c r="K280" s="41">
        <f>J280/60</f>
        <v/>
      </c>
      <c r="L280" s="41">
        <f>IFERROR(J280/H280,"")</f>
        <v/>
      </c>
      <c r="M280" s="25" t="inlineStr">
        <is>
          <t>2.5.12</t>
        </is>
      </c>
      <c r="N280" s="25">
        <f>IF(J280&gt;300,1,0)</f>
        <v/>
      </c>
      <c r="O280" s="25">
        <f>IF(J280&gt;600,1,0)</f>
        <v/>
      </c>
      <c r="P280" s="25">
        <f>IF(H280&gt;0,J280,"")</f>
        <v/>
      </c>
      <c r="Q280" s="25">
        <f>TEXT(A280,"YYYY-MM-DD HH")</f>
        <v/>
      </c>
      <c r="R280" s="25">
        <f>COUNTIF($Q$2:$Q$5295,Q280)</f>
        <v/>
      </c>
      <c r="S280" s="25">
        <f>IF(R280&lt;=2,"1-2",IF(R280&lt;=5,"3-5",IF(R280&lt;=10,"6-10","11+")))</f>
        <v/>
      </c>
    </row>
    <row r="281">
      <c r="A281" s="39" t="n">
        <v>46156.10362268519</v>
      </c>
      <c r="B281" s="25">
        <f>TEXT(A281,"YYYY-MM")</f>
        <v/>
      </c>
      <c r="C281" s="25">
        <f>TEXT(A281,"MMM-YYYY")</f>
        <v/>
      </c>
      <c r="D281" s="40">
        <f>INT(A281)-WEEKDAY(A281,2)+1</f>
        <v/>
      </c>
      <c r="E281" s="25" t="inlineStr">
        <is>
          <t>ns</t>
        </is>
      </c>
      <c r="F281" s="25" t="n">
        <v>117159</v>
      </c>
      <c r="G281" s="25" t="n">
        <v>3</v>
      </c>
      <c r="H281" s="25" t="n">
        <v>13</v>
      </c>
      <c r="I281" s="25" t="inlineStr">
        <is>
          <t>2 minute(s) and 38 second(s)</t>
        </is>
      </c>
      <c r="J281" s="25">
        <f>IFERROR(VALUE(TRIM(LEFT(I281,FIND("minute",I281)-1)))*60,0)+IFERROR(VALUE(SUBSTITUTE(MID(I281,IFERROR(FIND("and",I281)+3,1),20),"second(s)","")),0)</f>
        <v/>
      </c>
      <c r="K281" s="41">
        <f>J281/60</f>
        <v/>
      </c>
      <c r="L281" s="41">
        <f>IFERROR(J281/H281,"")</f>
        <v/>
      </c>
      <c r="M281" s="25" t="inlineStr">
        <is>
          <t>2.5.12</t>
        </is>
      </c>
      <c r="N281" s="25">
        <f>IF(J281&gt;300,1,0)</f>
        <v/>
      </c>
      <c r="O281" s="25">
        <f>IF(J281&gt;600,1,0)</f>
        <v/>
      </c>
      <c r="P281" s="25">
        <f>IF(H281&gt;0,J281,"")</f>
        <v/>
      </c>
      <c r="Q281" s="25">
        <f>TEXT(A281,"YYYY-MM-DD HH")</f>
        <v/>
      </c>
      <c r="R281" s="25">
        <f>COUNTIF($Q$2:$Q$5295,Q281)</f>
        <v/>
      </c>
      <c r="S281" s="25">
        <f>IF(R281&lt;=2,"1-2",IF(R281&lt;=5,"3-5",IF(R281&lt;=10,"6-10","11+")))</f>
        <v/>
      </c>
    </row>
    <row r="282">
      <c r="A282" s="39" t="n">
        <v>46156.10577546297</v>
      </c>
      <c r="B282" s="25">
        <f>TEXT(A282,"YYYY-MM")</f>
        <v/>
      </c>
      <c r="C282" s="25">
        <f>TEXT(A282,"MMM-YYYY")</f>
        <v/>
      </c>
      <c r="D282" s="40">
        <f>INT(A282)-WEEKDAY(A282,2)+1</f>
        <v/>
      </c>
      <c r="E282" s="25" t="inlineStr">
        <is>
          <t>akumari</t>
        </is>
      </c>
      <c r="F282" s="25" t="n">
        <v>57588</v>
      </c>
      <c r="G282" s="25" t="n">
        <v>4</v>
      </c>
      <c r="H282" s="25" t="n">
        <v>14</v>
      </c>
      <c r="I282" s="25" t="inlineStr">
        <is>
          <t>2 minute(s) and 10 second(s)</t>
        </is>
      </c>
      <c r="J282" s="25">
        <f>IFERROR(VALUE(TRIM(LEFT(I282,FIND("minute",I282)-1)))*60,0)+IFERROR(VALUE(SUBSTITUTE(MID(I282,IFERROR(FIND("and",I282)+3,1),20),"second(s)","")),0)</f>
        <v/>
      </c>
      <c r="K282" s="41">
        <f>J282/60</f>
        <v/>
      </c>
      <c r="L282" s="41">
        <f>IFERROR(J282/H282,"")</f>
        <v/>
      </c>
      <c r="M282" s="25" t="inlineStr">
        <is>
          <t>2.5.12</t>
        </is>
      </c>
      <c r="N282" s="25">
        <f>IF(J282&gt;300,1,0)</f>
        <v/>
      </c>
      <c r="O282" s="25">
        <f>IF(J282&gt;600,1,0)</f>
        <v/>
      </c>
      <c r="P282" s="25">
        <f>IF(H282&gt;0,J282,"")</f>
        <v/>
      </c>
      <c r="Q282" s="25">
        <f>TEXT(A282,"YYYY-MM-DD HH")</f>
        <v/>
      </c>
      <c r="R282" s="25">
        <f>COUNTIF($Q$2:$Q$5295,Q282)</f>
        <v/>
      </c>
      <c r="S282" s="25">
        <f>IF(R282&lt;=2,"1-2",IF(R282&lt;=5,"3-5",IF(R282&lt;=10,"6-10","11+")))</f>
        <v/>
      </c>
    </row>
    <row r="283">
      <c r="A283" s="39" t="n">
        <v>46156.10855324074</v>
      </c>
      <c r="B283" s="25">
        <f>TEXT(A283,"YYYY-MM")</f>
        <v/>
      </c>
      <c r="C283" s="25">
        <f>TEXT(A283,"MMM-YYYY")</f>
        <v/>
      </c>
      <c r="D283" s="40">
        <f>INT(A283)-WEEKDAY(A283,2)+1</f>
        <v/>
      </c>
      <c r="E283" s="25" t="inlineStr">
        <is>
          <t>abhaskarkp</t>
        </is>
      </c>
      <c r="F283" s="25" t="n">
        <v>67896</v>
      </c>
      <c r="G283" s="25" t="n">
        <v>5</v>
      </c>
      <c r="H283" s="25" t="n">
        <v>17</v>
      </c>
      <c r="I283" s="25" t="inlineStr">
        <is>
          <t>5 minute(s) and 22 second(s)</t>
        </is>
      </c>
      <c r="J283" s="25">
        <f>IFERROR(VALUE(TRIM(LEFT(I283,FIND("minute",I283)-1)))*60,0)+IFERROR(VALUE(SUBSTITUTE(MID(I283,IFERROR(FIND("and",I283)+3,1),20),"second(s)","")),0)</f>
        <v/>
      </c>
      <c r="K283" s="41">
        <f>J283/60</f>
        <v/>
      </c>
      <c r="L283" s="41">
        <f>IFERROR(J283/H283,"")</f>
        <v/>
      </c>
      <c r="M283" s="25" t="inlineStr">
        <is>
          <t>2.5.12</t>
        </is>
      </c>
      <c r="N283" s="25">
        <f>IF(J283&gt;300,1,0)</f>
        <v/>
      </c>
      <c r="O283" s="25">
        <f>IF(J283&gt;600,1,0)</f>
        <v/>
      </c>
      <c r="P283" s="25">
        <f>IF(H283&gt;0,J283,"")</f>
        <v/>
      </c>
      <c r="Q283" s="25">
        <f>TEXT(A283,"YYYY-MM-DD HH")</f>
        <v/>
      </c>
      <c r="R283" s="25">
        <f>COUNTIF($Q$2:$Q$5295,Q283)</f>
        <v/>
      </c>
      <c r="S283" s="25">
        <f>IF(R283&lt;=2,"1-2",IF(R283&lt;=5,"3-5",IF(R283&lt;=10,"6-10","11+")))</f>
        <v/>
      </c>
    </row>
    <row r="284">
      <c r="A284" s="39" t="n">
        <v>46156.10983796296</v>
      </c>
      <c r="B284" s="25">
        <f>TEXT(A284,"YYYY-MM")</f>
        <v/>
      </c>
      <c r="C284" s="25">
        <f>TEXT(A284,"MMM-YYYY")</f>
        <v/>
      </c>
      <c r="D284" s="40">
        <f>INT(A284)-WEEKDAY(A284,2)+1</f>
        <v/>
      </c>
      <c r="E284" s="25" t="inlineStr">
        <is>
          <t>npriya</t>
        </is>
      </c>
      <c r="F284" s="25" t="n">
        <v>115841</v>
      </c>
      <c r="G284" s="25" t="n">
        <v>5</v>
      </c>
      <c r="H284" s="25" t="n">
        <v>29</v>
      </c>
      <c r="I284" s="25" t="inlineStr">
        <is>
          <t>9 minute(s) and 8 second(s)</t>
        </is>
      </c>
      <c r="J284" s="25">
        <f>IFERROR(VALUE(TRIM(LEFT(I284,FIND("minute",I284)-1)))*60,0)+IFERROR(VALUE(SUBSTITUTE(MID(I284,IFERROR(FIND("and",I284)+3,1),20),"second(s)","")),0)</f>
        <v/>
      </c>
      <c r="K284" s="41">
        <f>J284/60</f>
        <v/>
      </c>
      <c r="L284" s="41">
        <f>IFERROR(J284/H284,"")</f>
        <v/>
      </c>
      <c r="M284" s="25" t="inlineStr">
        <is>
          <t>2.5.12</t>
        </is>
      </c>
      <c r="N284" s="25">
        <f>IF(J284&gt;300,1,0)</f>
        <v/>
      </c>
      <c r="O284" s="25">
        <f>IF(J284&gt;600,1,0)</f>
        <v/>
      </c>
      <c r="P284" s="25">
        <f>IF(H284&gt;0,J284,"")</f>
        <v/>
      </c>
      <c r="Q284" s="25">
        <f>TEXT(A284,"YYYY-MM-DD HH")</f>
        <v/>
      </c>
      <c r="R284" s="25">
        <f>COUNTIF($Q$2:$Q$5295,Q284)</f>
        <v/>
      </c>
      <c r="S284" s="25">
        <f>IF(R284&lt;=2,"1-2",IF(R284&lt;=5,"3-5",IF(R284&lt;=10,"6-10","11+")))</f>
        <v/>
      </c>
    </row>
    <row r="285">
      <c r="A285" s="39" t="n">
        <v>46156.11171296296</v>
      </c>
      <c r="B285" s="25">
        <f>TEXT(A285,"YYYY-MM")</f>
        <v/>
      </c>
      <c r="C285" s="25">
        <f>TEXT(A285,"MMM-YYYY")</f>
        <v/>
      </c>
      <c r="D285" s="40">
        <f>INT(A285)-WEEKDAY(A285,2)+1</f>
        <v/>
      </c>
      <c r="E285" s="25" t="inlineStr">
        <is>
          <t>ns</t>
        </is>
      </c>
      <c r="F285" s="25" t="n">
        <v>117159</v>
      </c>
      <c r="G285" s="25" t="n">
        <v>5</v>
      </c>
      <c r="H285" s="25" t="n">
        <v>15</v>
      </c>
      <c r="I285" s="25" t="inlineStr">
        <is>
          <t>3 minute(s) and 27 second(s)</t>
        </is>
      </c>
      <c r="J285" s="25">
        <f>IFERROR(VALUE(TRIM(LEFT(I285,FIND("minute",I285)-1)))*60,0)+IFERROR(VALUE(SUBSTITUTE(MID(I285,IFERROR(FIND("and",I285)+3,1),20),"second(s)","")),0)</f>
        <v/>
      </c>
      <c r="K285" s="41">
        <f>J285/60</f>
        <v/>
      </c>
      <c r="L285" s="41">
        <f>IFERROR(J285/H285,"")</f>
        <v/>
      </c>
      <c r="M285" s="25" t="inlineStr">
        <is>
          <t>2.5.12</t>
        </is>
      </c>
      <c r="N285" s="25">
        <f>IF(J285&gt;300,1,0)</f>
        <v/>
      </c>
      <c r="O285" s="25">
        <f>IF(J285&gt;600,1,0)</f>
        <v/>
      </c>
      <c r="P285" s="25">
        <f>IF(H285&gt;0,J285,"")</f>
        <v/>
      </c>
      <c r="Q285" s="25">
        <f>TEXT(A285,"YYYY-MM-DD HH")</f>
        <v/>
      </c>
      <c r="R285" s="25">
        <f>COUNTIF($Q$2:$Q$5295,Q285)</f>
        <v/>
      </c>
      <c r="S285" s="25">
        <f>IF(R285&lt;=2,"1-2",IF(R285&lt;=5,"3-5",IF(R285&lt;=10,"6-10","11+")))</f>
        <v/>
      </c>
    </row>
    <row r="286">
      <c r="A286" s="39" t="n">
        <v>46156.11240740741</v>
      </c>
      <c r="B286" s="25">
        <f>TEXT(A286,"YYYY-MM")</f>
        <v/>
      </c>
      <c r="C286" s="25">
        <f>TEXT(A286,"MMM-YYYY")</f>
        <v/>
      </c>
      <c r="D286" s="40">
        <f>INT(A286)-WEEKDAY(A286,2)+1</f>
        <v/>
      </c>
      <c r="E286" s="25" t="inlineStr">
        <is>
          <t>emishra</t>
        </is>
      </c>
      <c r="F286" s="25" t="n">
        <v>94641</v>
      </c>
      <c r="G286" s="25" t="n">
        <v>3</v>
      </c>
      <c r="H286" s="25" t="n">
        <v>17</v>
      </c>
      <c r="I286" s="25" t="inlineStr">
        <is>
          <t>2 minute(s) and 36 second(s)</t>
        </is>
      </c>
      <c r="J286" s="25">
        <f>IFERROR(VALUE(TRIM(LEFT(I286,FIND("minute",I286)-1)))*60,0)+IFERROR(VALUE(SUBSTITUTE(MID(I286,IFERROR(FIND("and",I286)+3,1),20),"second(s)","")),0)</f>
        <v/>
      </c>
      <c r="K286" s="41">
        <f>J286/60</f>
        <v/>
      </c>
      <c r="L286" s="41">
        <f>IFERROR(J286/H286,"")</f>
        <v/>
      </c>
      <c r="M286" s="25" t="inlineStr">
        <is>
          <t>2.5.12</t>
        </is>
      </c>
      <c r="N286" s="25">
        <f>IF(J286&gt;300,1,0)</f>
        <v/>
      </c>
      <c r="O286" s="25">
        <f>IF(J286&gt;600,1,0)</f>
        <v/>
      </c>
      <c r="P286" s="25">
        <f>IF(H286&gt;0,J286,"")</f>
        <v/>
      </c>
      <c r="Q286" s="25">
        <f>TEXT(A286,"YYYY-MM-DD HH")</f>
        <v/>
      </c>
      <c r="R286" s="25">
        <f>COUNTIF($Q$2:$Q$5295,Q286)</f>
        <v/>
      </c>
      <c r="S286" s="25">
        <f>IF(R286&lt;=2,"1-2",IF(R286&lt;=5,"3-5",IF(R286&lt;=10,"6-10","11+")))</f>
        <v/>
      </c>
    </row>
    <row r="287">
      <c r="A287" s="39" t="n">
        <v>46156.11903935186</v>
      </c>
      <c r="B287" s="25">
        <f>TEXT(A287,"YYYY-MM")</f>
        <v/>
      </c>
      <c r="C287" s="25">
        <f>TEXT(A287,"MMM-YYYY")</f>
        <v/>
      </c>
      <c r="D287" s="40">
        <f>INT(A287)-WEEKDAY(A287,2)+1</f>
        <v/>
      </c>
      <c r="E287" s="25" t="inlineStr">
        <is>
          <t>smukhopadhyay</t>
        </is>
      </c>
      <c r="F287" s="25" t="n">
        <v>71590</v>
      </c>
      <c r="G287" s="25" t="n">
        <v>2</v>
      </c>
      <c r="H287" s="25" t="n">
        <v>12</v>
      </c>
      <c r="I287" s="25" t="inlineStr">
        <is>
          <t>3 minute(s) and 48 second(s)</t>
        </is>
      </c>
      <c r="J287" s="25">
        <f>IFERROR(VALUE(TRIM(LEFT(I287,FIND("minute",I287)-1)))*60,0)+IFERROR(VALUE(SUBSTITUTE(MID(I287,IFERROR(FIND("and",I287)+3,1),20),"second(s)","")),0)</f>
        <v/>
      </c>
      <c r="K287" s="41">
        <f>J287/60</f>
        <v/>
      </c>
      <c r="L287" s="41">
        <f>IFERROR(J287/H287,"")</f>
        <v/>
      </c>
      <c r="M287" s="25" t="inlineStr">
        <is>
          <t>2.5.12</t>
        </is>
      </c>
      <c r="N287" s="25">
        <f>IF(J287&gt;300,1,0)</f>
        <v/>
      </c>
      <c r="O287" s="25">
        <f>IF(J287&gt;600,1,0)</f>
        <v/>
      </c>
      <c r="P287" s="25">
        <f>IF(H287&gt;0,J287,"")</f>
        <v/>
      </c>
      <c r="Q287" s="25">
        <f>TEXT(A287,"YYYY-MM-DD HH")</f>
        <v/>
      </c>
      <c r="R287" s="25">
        <f>COUNTIF($Q$2:$Q$5295,Q287)</f>
        <v/>
      </c>
      <c r="S287" s="25">
        <f>IF(R287&lt;=2,"1-2",IF(R287&lt;=5,"3-5",IF(R287&lt;=10,"6-10","11+")))</f>
        <v/>
      </c>
    </row>
    <row r="288">
      <c r="A288" s="39" t="n">
        <v>46156.12502314815</v>
      </c>
      <c r="B288" s="25">
        <f>TEXT(A288,"YYYY-MM")</f>
        <v/>
      </c>
      <c r="C288" s="25">
        <f>TEXT(A288,"MMM-YYYY")</f>
        <v/>
      </c>
      <c r="D288" s="40">
        <f>INT(A288)-WEEKDAY(A288,2)+1</f>
        <v/>
      </c>
      <c r="E288" s="25" t="inlineStr">
        <is>
          <t>psathwika</t>
        </is>
      </c>
      <c r="F288" s="25" t="n">
        <v>96745</v>
      </c>
      <c r="G288" s="25" t="n">
        <v>2</v>
      </c>
      <c r="H288" s="25" t="n">
        <v>12</v>
      </c>
      <c r="I288" s="25" t="inlineStr">
        <is>
          <t>4 minute(s) and 11 second(s)</t>
        </is>
      </c>
      <c r="J288" s="25">
        <f>IFERROR(VALUE(TRIM(LEFT(I288,FIND("minute",I288)-1)))*60,0)+IFERROR(VALUE(SUBSTITUTE(MID(I288,IFERROR(FIND("and",I288)+3,1),20),"second(s)","")),0)</f>
        <v/>
      </c>
      <c r="K288" s="41">
        <f>J288/60</f>
        <v/>
      </c>
      <c r="L288" s="41">
        <f>IFERROR(J288/H288,"")</f>
        <v/>
      </c>
      <c r="M288" s="25" t="inlineStr">
        <is>
          <t>2.5.12</t>
        </is>
      </c>
      <c r="N288" s="25">
        <f>IF(J288&gt;300,1,0)</f>
        <v/>
      </c>
      <c r="O288" s="25">
        <f>IF(J288&gt;600,1,0)</f>
        <v/>
      </c>
      <c r="P288" s="25">
        <f>IF(H288&gt;0,J288,"")</f>
        <v/>
      </c>
      <c r="Q288" s="25">
        <f>TEXT(A288,"YYYY-MM-DD HH")</f>
        <v/>
      </c>
      <c r="R288" s="25">
        <f>COUNTIF($Q$2:$Q$5295,Q288)</f>
        <v/>
      </c>
      <c r="S288" s="25">
        <f>IF(R288&lt;=2,"1-2",IF(R288&lt;=5,"3-5",IF(R288&lt;=10,"6-10","11+")))</f>
        <v/>
      </c>
    </row>
    <row r="289">
      <c r="A289" s="39" t="n">
        <v>46156.14277777778</v>
      </c>
      <c r="B289" s="25">
        <f>TEXT(A289,"YYYY-MM")</f>
        <v/>
      </c>
      <c r="C289" s="25">
        <f>TEXT(A289,"MMM-YYYY")</f>
        <v/>
      </c>
      <c r="D289" s="40">
        <f>INT(A289)-WEEKDAY(A289,2)+1</f>
        <v/>
      </c>
      <c r="E289" s="25" t="inlineStr">
        <is>
          <t>akumari</t>
        </is>
      </c>
      <c r="F289" s="25" t="n">
        <v>12122</v>
      </c>
      <c r="G289" s="25" t="n">
        <v>1</v>
      </c>
      <c r="H289" s="25" t="n">
        <v>5</v>
      </c>
      <c r="I289" s="25" t="inlineStr">
        <is>
          <t>45 second(s)</t>
        </is>
      </c>
      <c r="J289" s="25">
        <f>IFERROR(VALUE(TRIM(LEFT(I289,FIND("minute",I289)-1)))*60,0)+IFERROR(VALUE(SUBSTITUTE(MID(I289,IFERROR(FIND("and",I289)+3,1),20),"second(s)","")),0)</f>
        <v/>
      </c>
      <c r="K289" s="41">
        <f>J289/60</f>
        <v/>
      </c>
      <c r="L289" s="41">
        <f>IFERROR(J289/H289,"")</f>
        <v/>
      </c>
      <c r="M289" s="25" t="inlineStr">
        <is>
          <t>2.5.12</t>
        </is>
      </c>
      <c r="N289" s="25">
        <f>IF(J289&gt;300,1,0)</f>
        <v/>
      </c>
      <c r="O289" s="25">
        <f>IF(J289&gt;600,1,0)</f>
        <v/>
      </c>
      <c r="P289" s="25">
        <f>IF(H289&gt;0,J289,"")</f>
        <v/>
      </c>
      <c r="Q289" s="25">
        <f>TEXT(A289,"YYYY-MM-DD HH")</f>
        <v/>
      </c>
      <c r="R289" s="25">
        <f>COUNTIF($Q$2:$Q$5295,Q289)</f>
        <v/>
      </c>
      <c r="S289" s="25">
        <f>IF(R289&lt;=2,"1-2",IF(R289&lt;=5,"3-5",IF(R289&lt;=10,"6-10","11+")))</f>
        <v/>
      </c>
    </row>
    <row r="290">
      <c r="A290" s="39" t="n">
        <v>46156.14434027778</v>
      </c>
      <c r="B290" s="25">
        <f>TEXT(A290,"YYYY-MM")</f>
        <v/>
      </c>
      <c r="C290" s="25">
        <f>TEXT(A290,"MMM-YYYY")</f>
        <v/>
      </c>
      <c r="D290" s="40">
        <f>INT(A290)-WEEKDAY(A290,2)+1</f>
        <v/>
      </c>
      <c r="E290" s="25" t="inlineStr">
        <is>
          <t>vraina</t>
        </is>
      </c>
      <c r="F290" s="25" t="n">
        <v>93199</v>
      </c>
      <c r="G290" s="25" t="n">
        <v>5</v>
      </c>
      <c r="H290" s="25" t="n">
        <v>25</v>
      </c>
      <c r="I290" s="25" t="inlineStr">
        <is>
          <t>5 minute(s) and 32 second(s)</t>
        </is>
      </c>
      <c r="J290" s="25">
        <f>IFERROR(VALUE(TRIM(LEFT(I290,FIND("minute",I290)-1)))*60,0)+IFERROR(VALUE(SUBSTITUTE(MID(I290,IFERROR(FIND("and",I290)+3,1),20),"second(s)","")),0)</f>
        <v/>
      </c>
      <c r="K290" s="41">
        <f>J290/60</f>
        <v/>
      </c>
      <c r="L290" s="41">
        <f>IFERROR(J290/H290,"")</f>
        <v/>
      </c>
      <c r="M290" s="25" t="inlineStr">
        <is>
          <t>2.5.12</t>
        </is>
      </c>
      <c r="N290" s="25">
        <f>IF(J290&gt;300,1,0)</f>
        <v/>
      </c>
      <c r="O290" s="25">
        <f>IF(J290&gt;600,1,0)</f>
        <v/>
      </c>
      <c r="P290" s="25">
        <f>IF(H290&gt;0,J290,"")</f>
        <v/>
      </c>
      <c r="Q290" s="25">
        <f>TEXT(A290,"YYYY-MM-DD HH")</f>
        <v/>
      </c>
      <c r="R290" s="25">
        <f>COUNTIF($Q$2:$Q$5295,Q290)</f>
        <v/>
      </c>
      <c r="S290" s="25">
        <f>IF(R290&lt;=2,"1-2",IF(R290&lt;=5,"3-5",IF(R290&lt;=10,"6-10","11+")))</f>
        <v/>
      </c>
    </row>
    <row r="291">
      <c r="A291" s="39" t="n">
        <v>46156.15092592593</v>
      </c>
      <c r="B291" s="25">
        <f>TEXT(A291,"YYYY-MM")</f>
        <v/>
      </c>
      <c r="C291" s="25">
        <f>TEXT(A291,"MMM-YYYY")</f>
        <v/>
      </c>
      <c r="D291" s="40">
        <f>INT(A291)-WEEKDAY(A291,2)+1</f>
        <v/>
      </c>
      <c r="E291" s="25" t="inlineStr">
        <is>
          <t>ptomar</t>
        </is>
      </c>
      <c r="F291" s="25" t="n">
        <v>71418</v>
      </c>
      <c r="G291" s="25" t="n">
        <v>5</v>
      </c>
      <c r="H291" s="25" t="n">
        <v>35</v>
      </c>
      <c r="I291" s="25" t="inlineStr">
        <is>
          <t>5 minute(s) and 54 second(s)</t>
        </is>
      </c>
      <c r="J291" s="25">
        <f>IFERROR(VALUE(TRIM(LEFT(I291,FIND("minute",I291)-1)))*60,0)+IFERROR(VALUE(SUBSTITUTE(MID(I291,IFERROR(FIND("and",I291)+3,1),20),"second(s)","")),0)</f>
        <v/>
      </c>
      <c r="K291" s="41">
        <f>J291/60</f>
        <v/>
      </c>
      <c r="L291" s="41">
        <f>IFERROR(J291/H291,"")</f>
        <v/>
      </c>
      <c r="M291" s="25" t="inlineStr">
        <is>
          <t>2.5.12</t>
        </is>
      </c>
      <c r="N291" s="25">
        <f>IF(J291&gt;300,1,0)</f>
        <v/>
      </c>
      <c r="O291" s="25">
        <f>IF(J291&gt;600,1,0)</f>
        <v/>
      </c>
      <c r="P291" s="25">
        <f>IF(H291&gt;0,J291,"")</f>
        <v/>
      </c>
      <c r="Q291" s="25">
        <f>TEXT(A291,"YYYY-MM-DD HH")</f>
        <v/>
      </c>
      <c r="R291" s="25">
        <f>COUNTIF($Q$2:$Q$5295,Q291)</f>
        <v/>
      </c>
      <c r="S291" s="25">
        <f>IF(R291&lt;=2,"1-2",IF(R291&lt;=5,"3-5",IF(R291&lt;=10,"6-10","11+")))</f>
        <v/>
      </c>
    </row>
    <row r="292">
      <c r="A292" s="39" t="n">
        <v>46156.15296296297</v>
      </c>
      <c r="B292" s="25">
        <f>TEXT(A292,"YYYY-MM")</f>
        <v/>
      </c>
      <c r="C292" s="25">
        <f>TEXT(A292,"MMM-YYYY")</f>
        <v/>
      </c>
      <c r="D292" s="40">
        <f>INT(A292)-WEEKDAY(A292,2)+1</f>
        <v/>
      </c>
      <c r="E292" s="25" t="inlineStr">
        <is>
          <t>abhaskarkp</t>
        </is>
      </c>
      <c r="F292" s="25" t="n">
        <v>103770</v>
      </c>
      <c r="G292" s="25" t="n">
        <v>1</v>
      </c>
      <c r="H292" s="25" t="n">
        <v>5</v>
      </c>
      <c r="I292" s="25" t="inlineStr">
        <is>
          <t>1 minute(s) and 27 second(s)</t>
        </is>
      </c>
      <c r="J292" s="25">
        <f>IFERROR(VALUE(TRIM(LEFT(I292,FIND("minute",I292)-1)))*60,0)+IFERROR(VALUE(SUBSTITUTE(MID(I292,IFERROR(FIND("and",I292)+3,1),20),"second(s)","")),0)</f>
        <v/>
      </c>
      <c r="K292" s="41">
        <f>J292/60</f>
        <v/>
      </c>
      <c r="L292" s="41">
        <f>IFERROR(J292/H292,"")</f>
        <v/>
      </c>
      <c r="M292" s="25" t="inlineStr">
        <is>
          <t>2.5.12</t>
        </is>
      </c>
      <c r="N292" s="25">
        <f>IF(J292&gt;300,1,0)</f>
        <v/>
      </c>
      <c r="O292" s="25">
        <f>IF(J292&gt;600,1,0)</f>
        <v/>
      </c>
      <c r="P292" s="25">
        <f>IF(H292&gt;0,J292,"")</f>
        <v/>
      </c>
      <c r="Q292" s="25">
        <f>TEXT(A292,"YYYY-MM-DD HH")</f>
        <v/>
      </c>
      <c r="R292" s="25">
        <f>COUNTIF($Q$2:$Q$5295,Q292)</f>
        <v/>
      </c>
      <c r="S292" s="25">
        <f>IF(R292&lt;=2,"1-2",IF(R292&lt;=5,"3-5",IF(R292&lt;=10,"6-10","11+")))</f>
        <v/>
      </c>
    </row>
    <row r="293">
      <c r="A293" s="39" t="n">
        <v>46156.16212962963</v>
      </c>
      <c r="B293" s="25">
        <f>TEXT(A293,"YYYY-MM")</f>
        <v/>
      </c>
      <c r="C293" s="25">
        <f>TEXT(A293,"MMM-YYYY")</f>
        <v/>
      </c>
      <c r="D293" s="40">
        <f>INT(A293)-WEEKDAY(A293,2)+1</f>
        <v/>
      </c>
      <c r="E293" s="25" t="inlineStr">
        <is>
          <t>atiwari</t>
        </is>
      </c>
      <c r="F293" s="25" t="n">
        <v>96669</v>
      </c>
      <c r="G293" s="25" t="n">
        <v>6</v>
      </c>
      <c r="H293" s="25" t="n">
        <v>34</v>
      </c>
      <c r="I293" s="25" t="inlineStr">
        <is>
          <t>7 minute(s) and 10 second(s)</t>
        </is>
      </c>
      <c r="J293" s="25">
        <f>IFERROR(VALUE(TRIM(LEFT(I293,FIND("minute",I293)-1)))*60,0)+IFERROR(VALUE(SUBSTITUTE(MID(I293,IFERROR(FIND("and",I293)+3,1),20),"second(s)","")),0)</f>
        <v/>
      </c>
      <c r="K293" s="41">
        <f>J293/60</f>
        <v/>
      </c>
      <c r="L293" s="41">
        <f>IFERROR(J293/H293,"")</f>
        <v/>
      </c>
      <c r="M293" s="25" t="inlineStr">
        <is>
          <t>2.5.12</t>
        </is>
      </c>
      <c r="N293" s="25">
        <f>IF(J293&gt;300,1,0)</f>
        <v/>
      </c>
      <c r="O293" s="25">
        <f>IF(J293&gt;600,1,0)</f>
        <v/>
      </c>
      <c r="P293" s="25">
        <f>IF(H293&gt;0,J293,"")</f>
        <v/>
      </c>
      <c r="Q293" s="25">
        <f>TEXT(A293,"YYYY-MM-DD HH")</f>
        <v/>
      </c>
      <c r="R293" s="25">
        <f>COUNTIF($Q$2:$Q$5295,Q293)</f>
        <v/>
      </c>
      <c r="S293" s="25">
        <f>IF(R293&lt;=2,"1-2",IF(R293&lt;=5,"3-5",IF(R293&lt;=10,"6-10","11+")))</f>
        <v/>
      </c>
    </row>
    <row r="294">
      <c r="A294" s="39" t="n">
        <v>46156.17520833333</v>
      </c>
      <c r="B294" s="25">
        <f>TEXT(A294,"YYYY-MM")</f>
        <v/>
      </c>
      <c r="C294" s="25">
        <f>TEXT(A294,"MMM-YYYY")</f>
        <v/>
      </c>
      <c r="D294" s="40">
        <f>INT(A294)-WEEKDAY(A294,2)+1</f>
        <v/>
      </c>
      <c r="E294" s="25" t="inlineStr">
        <is>
          <t>psathwika</t>
        </is>
      </c>
      <c r="F294" s="25" t="n">
        <v>96382</v>
      </c>
      <c r="G294" s="25" t="n">
        <v>1</v>
      </c>
      <c r="H294" s="25" t="n">
        <v>5</v>
      </c>
      <c r="I294" s="25" t="inlineStr">
        <is>
          <t>1 minute(s) and 30 second(s)</t>
        </is>
      </c>
      <c r="J294" s="25">
        <f>IFERROR(VALUE(TRIM(LEFT(I294,FIND("minute",I294)-1)))*60,0)+IFERROR(VALUE(SUBSTITUTE(MID(I294,IFERROR(FIND("and",I294)+3,1),20),"second(s)","")),0)</f>
        <v/>
      </c>
      <c r="K294" s="41">
        <f>J294/60</f>
        <v/>
      </c>
      <c r="L294" s="41">
        <f>IFERROR(J294/H294,"")</f>
        <v/>
      </c>
      <c r="M294" s="25" t="inlineStr">
        <is>
          <t>2.5.12</t>
        </is>
      </c>
      <c r="N294" s="25">
        <f>IF(J294&gt;300,1,0)</f>
        <v/>
      </c>
      <c r="O294" s="25">
        <f>IF(J294&gt;600,1,0)</f>
        <v/>
      </c>
      <c r="P294" s="25">
        <f>IF(H294&gt;0,J294,"")</f>
        <v/>
      </c>
      <c r="Q294" s="25">
        <f>TEXT(A294,"YYYY-MM-DD HH")</f>
        <v/>
      </c>
      <c r="R294" s="25">
        <f>COUNTIF($Q$2:$Q$5295,Q294)</f>
        <v/>
      </c>
      <c r="S294" s="25">
        <f>IF(R294&lt;=2,"1-2",IF(R294&lt;=5,"3-5",IF(R294&lt;=10,"6-10","11+")))</f>
        <v/>
      </c>
    </row>
    <row r="295">
      <c r="A295" s="39" t="n">
        <v>46156.18173611111</v>
      </c>
      <c r="B295" s="25">
        <f>TEXT(A295,"YYYY-MM")</f>
        <v/>
      </c>
      <c r="C295" s="25">
        <f>TEXT(A295,"MMM-YYYY")</f>
        <v/>
      </c>
      <c r="D295" s="40">
        <f>INT(A295)-WEEKDAY(A295,2)+1</f>
        <v/>
      </c>
      <c r="E295" s="25" t="inlineStr">
        <is>
          <t>shasikha</t>
        </is>
      </c>
      <c r="F295" s="25" t="n">
        <v>105655</v>
      </c>
      <c r="G295" s="25" t="n">
        <v>2</v>
      </c>
      <c r="H295" s="25" t="n">
        <v>12</v>
      </c>
      <c r="I295" s="25" t="inlineStr">
        <is>
          <t>2 minute(s) and 24 second(s)</t>
        </is>
      </c>
      <c r="J295" s="25">
        <f>IFERROR(VALUE(TRIM(LEFT(I295,FIND("minute",I295)-1)))*60,0)+IFERROR(VALUE(SUBSTITUTE(MID(I295,IFERROR(FIND("and",I295)+3,1),20),"second(s)","")),0)</f>
        <v/>
      </c>
      <c r="K295" s="41">
        <f>J295/60</f>
        <v/>
      </c>
      <c r="L295" s="41">
        <f>IFERROR(J295/H295,"")</f>
        <v/>
      </c>
      <c r="M295" s="25" t="inlineStr">
        <is>
          <t>2.5.12</t>
        </is>
      </c>
      <c r="N295" s="25">
        <f>IF(J295&gt;300,1,0)</f>
        <v/>
      </c>
      <c r="O295" s="25">
        <f>IF(J295&gt;600,1,0)</f>
        <v/>
      </c>
      <c r="P295" s="25">
        <f>IF(H295&gt;0,J295,"")</f>
        <v/>
      </c>
      <c r="Q295" s="25">
        <f>TEXT(A295,"YYYY-MM-DD HH")</f>
        <v/>
      </c>
      <c r="R295" s="25">
        <f>COUNTIF($Q$2:$Q$5295,Q295)</f>
        <v/>
      </c>
      <c r="S295" s="25">
        <f>IF(R295&lt;=2,"1-2",IF(R295&lt;=5,"3-5",IF(R295&lt;=10,"6-10","11+")))</f>
        <v/>
      </c>
    </row>
    <row r="296">
      <c r="A296" s="39" t="n">
        <v>46156.18267361111</v>
      </c>
      <c r="B296" s="25">
        <f>TEXT(A296,"YYYY-MM")</f>
        <v/>
      </c>
      <c r="C296" s="25">
        <f>TEXT(A296,"MMM-YYYY")</f>
        <v/>
      </c>
      <c r="D296" s="40">
        <f>INT(A296)-WEEKDAY(A296,2)+1</f>
        <v/>
      </c>
      <c r="E296" s="25" t="inlineStr">
        <is>
          <t>mgupta</t>
        </is>
      </c>
      <c r="F296" s="25" t="n">
        <v>84776</v>
      </c>
      <c r="G296" s="25" t="n">
        <v>2</v>
      </c>
      <c r="H296" s="25" t="n">
        <v>10</v>
      </c>
      <c r="I296" s="25" t="inlineStr">
        <is>
          <t>1 minute(s) and 35 second(s)</t>
        </is>
      </c>
      <c r="J296" s="25">
        <f>IFERROR(VALUE(TRIM(LEFT(I296,FIND("minute",I296)-1)))*60,0)+IFERROR(VALUE(SUBSTITUTE(MID(I296,IFERROR(FIND("and",I296)+3,1),20),"second(s)","")),0)</f>
        <v/>
      </c>
      <c r="K296" s="41">
        <f>J296/60</f>
        <v/>
      </c>
      <c r="L296" s="41">
        <f>IFERROR(J296/H296,"")</f>
        <v/>
      </c>
      <c r="M296" s="25" t="inlineStr">
        <is>
          <t>2.5.12</t>
        </is>
      </c>
      <c r="N296" s="25">
        <f>IF(J296&gt;300,1,0)</f>
        <v/>
      </c>
      <c r="O296" s="25">
        <f>IF(J296&gt;600,1,0)</f>
        <v/>
      </c>
      <c r="P296" s="25">
        <f>IF(H296&gt;0,J296,"")</f>
        <v/>
      </c>
      <c r="Q296" s="25">
        <f>TEXT(A296,"YYYY-MM-DD HH")</f>
        <v/>
      </c>
      <c r="R296" s="25">
        <f>COUNTIF($Q$2:$Q$5295,Q296)</f>
        <v/>
      </c>
      <c r="S296" s="25">
        <f>IF(R296&lt;=2,"1-2",IF(R296&lt;=5,"3-5",IF(R296&lt;=10,"6-10","11+")))</f>
        <v/>
      </c>
    </row>
    <row r="297">
      <c r="A297" s="39" t="n">
        <v>46156.18400462963</v>
      </c>
      <c r="B297" s="25">
        <f>TEXT(A297,"YYYY-MM")</f>
        <v/>
      </c>
      <c r="C297" s="25">
        <f>TEXT(A297,"MMM-YYYY")</f>
        <v/>
      </c>
      <c r="D297" s="40">
        <f>INT(A297)-WEEKDAY(A297,2)+1</f>
        <v/>
      </c>
      <c r="E297" s="25" t="inlineStr">
        <is>
          <t>hdutt</t>
        </is>
      </c>
      <c r="F297" s="25" t="n">
        <v>109858</v>
      </c>
      <c r="G297" s="25" t="n">
        <v>5</v>
      </c>
      <c r="H297" s="25" t="n">
        <v>29</v>
      </c>
      <c r="I297" s="25" t="inlineStr">
        <is>
          <t>6 minute(s) and 57 second(s)</t>
        </is>
      </c>
      <c r="J297" s="25">
        <f>IFERROR(VALUE(TRIM(LEFT(I297,FIND("minute",I297)-1)))*60,0)+IFERROR(VALUE(SUBSTITUTE(MID(I297,IFERROR(FIND("and",I297)+3,1),20),"second(s)","")),0)</f>
        <v/>
      </c>
      <c r="K297" s="41">
        <f>J297/60</f>
        <v/>
      </c>
      <c r="L297" s="41">
        <f>IFERROR(J297/H297,"")</f>
        <v/>
      </c>
      <c r="M297" s="25" t="inlineStr">
        <is>
          <t>2.5.12</t>
        </is>
      </c>
      <c r="N297" s="25">
        <f>IF(J297&gt;300,1,0)</f>
        <v/>
      </c>
      <c r="O297" s="25">
        <f>IF(J297&gt;600,1,0)</f>
        <v/>
      </c>
      <c r="P297" s="25">
        <f>IF(H297&gt;0,J297,"")</f>
        <v/>
      </c>
      <c r="Q297" s="25">
        <f>TEXT(A297,"YYYY-MM-DD HH")</f>
        <v/>
      </c>
      <c r="R297" s="25">
        <f>COUNTIF($Q$2:$Q$5295,Q297)</f>
        <v/>
      </c>
      <c r="S297" s="25">
        <f>IF(R297&lt;=2,"1-2",IF(R297&lt;=5,"3-5",IF(R297&lt;=10,"6-10","11+")))</f>
        <v/>
      </c>
    </row>
    <row r="298">
      <c r="A298" s="39" t="n">
        <v>46156.18413194444</v>
      </c>
      <c r="B298" s="25">
        <f>TEXT(A298,"YYYY-MM")</f>
        <v/>
      </c>
      <c r="C298" s="25">
        <f>TEXT(A298,"MMM-YYYY")</f>
        <v/>
      </c>
      <c r="D298" s="40">
        <f>INT(A298)-WEEKDAY(A298,2)+1</f>
        <v/>
      </c>
      <c r="E298" s="25" t="inlineStr">
        <is>
          <t>emishra</t>
        </is>
      </c>
      <c r="F298" s="25" t="n">
        <v>98426</v>
      </c>
      <c r="G298" s="25" t="n">
        <v>1</v>
      </c>
      <c r="H298" s="25" t="n">
        <v>5</v>
      </c>
      <c r="I298" s="25" t="inlineStr">
        <is>
          <t>1 minute(s) and 57 second(s)</t>
        </is>
      </c>
      <c r="J298" s="25">
        <f>IFERROR(VALUE(TRIM(LEFT(I298,FIND("minute",I298)-1)))*60,0)+IFERROR(VALUE(SUBSTITUTE(MID(I298,IFERROR(FIND("and",I298)+3,1),20),"second(s)","")),0)</f>
        <v/>
      </c>
      <c r="K298" s="41">
        <f>J298/60</f>
        <v/>
      </c>
      <c r="L298" s="41">
        <f>IFERROR(J298/H298,"")</f>
        <v/>
      </c>
      <c r="M298" s="25" t="inlineStr">
        <is>
          <t>2.5.12</t>
        </is>
      </c>
      <c r="N298" s="25">
        <f>IF(J298&gt;300,1,0)</f>
        <v/>
      </c>
      <c r="O298" s="25">
        <f>IF(J298&gt;600,1,0)</f>
        <v/>
      </c>
      <c r="P298" s="25">
        <f>IF(H298&gt;0,J298,"")</f>
        <v/>
      </c>
      <c r="Q298" s="25">
        <f>TEXT(A298,"YYYY-MM-DD HH")</f>
        <v/>
      </c>
      <c r="R298" s="25">
        <f>COUNTIF($Q$2:$Q$5295,Q298)</f>
        <v/>
      </c>
      <c r="S298" s="25">
        <f>IF(R298&lt;=2,"1-2",IF(R298&lt;=5,"3-5",IF(R298&lt;=10,"6-10","11+")))</f>
        <v/>
      </c>
    </row>
    <row r="299">
      <c r="A299" s="39" t="n">
        <v>46156.18582175926</v>
      </c>
      <c r="B299" s="25">
        <f>TEXT(A299,"YYYY-MM")</f>
        <v/>
      </c>
      <c r="C299" s="25">
        <f>TEXT(A299,"MMM-YYYY")</f>
        <v/>
      </c>
      <c r="D299" s="40">
        <f>INT(A299)-WEEKDAY(A299,2)+1</f>
        <v/>
      </c>
      <c r="E299" s="25" t="inlineStr">
        <is>
          <t>ns</t>
        </is>
      </c>
      <c r="F299" s="25" t="n">
        <v>112751</v>
      </c>
      <c r="G299" s="25" t="n">
        <v>5</v>
      </c>
      <c r="H299" s="25" t="n">
        <v>17</v>
      </c>
      <c r="I299" s="25" t="inlineStr">
        <is>
          <t>3 minute(s) and 32 second(s)</t>
        </is>
      </c>
      <c r="J299" s="25">
        <f>IFERROR(VALUE(TRIM(LEFT(I299,FIND("minute",I299)-1)))*60,0)+IFERROR(VALUE(SUBSTITUTE(MID(I299,IFERROR(FIND("and",I299)+3,1),20),"second(s)","")),0)</f>
        <v/>
      </c>
      <c r="K299" s="41">
        <f>J299/60</f>
        <v/>
      </c>
      <c r="L299" s="41">
        <f>IFERROR(J299/H299,"")</f>
        <v/>
      </c>
      <c r="M299" s="25" t="inlineStr">
        <is>
          <t>2.5.12</t>
        </is>
      </c>
      <c r="N299" s="25">
        <f>IF(J299&gt;300,1,0)</f>
        <v/>
      </c>
      <c r="O299" s="25">
        <f>IF(J299&gt;600,1,0)</f>
        <v/>
      </c>
      <c r="P299" s="25">
        <f>IF(H299&gt;0,J299,"")</f>
        <v/>
      </c>
      <c r="Q299" s="25">
        <f>TEXT(A299,"YYYY-MM-DD HH")</f>
        <v/>
      </c>
      <c r="R299" s="25">
        <f>COUNTIF($Q$2:$Q$5295,Q299)</f>
        <v/>
      </c>
      <c r="S299" s="25">
        <f>IF(R299&lt;=2,"1-2",IF(R299&lt;=5,"3-5",IF(R299&lt;=10,"6-10","11+")))</f>
        <v/>
      </c>
    </row>
    <row r="300">
      <c r="A300" s="39" t="n">
        <v>46156.18777777778</v>
      </c>
      <c r="B300" s="25">
        <f>TEXT(A300,"YYYY-MM")</f>
        <v/>
      </c>
      <c r="C300" s="25">
        <f>TEXT(A300,"MMM-YYYY")</f>
        <v/>
      </c>
      <c r="D300" s="40">
        <f>INT(A300)-WEEKDAY(A300,2)+1</f>
        <v/>
      </c>
      <c r="E300" s="25" t="inlineStr">
        <is>
          <t>rts</t>
        </is>
      </c>
      <c r="F300" s="25" t="n">
        <v>86170</v>
      </c>
      <c r="G300" s="25" t="n">
        <v>5</v>
      </c>
      <c r="H300" s="25" t="n">
        <v>27</v>
      </c>
      <c r="I300" s="25" t="inlineStr">
        <is>
          <t>7 minute(s) and 45 second(s)</t>
        </is>
      </c>
      <c r="J300" s="25">
        <f>IFERROR(VALUE(TRIM(LEFT(I300,FIND("minute",I300)-1)))*60,0)+IFERROR(VALUE(SUBSTITUTE(MID(I300,IFERROR(FIND("and",I300)+3,1),20),"second(s)","")),0)</f>
        <v/>
      </c>
      <c r="K300" s="41">
        <f>J300/60</f>
        <v/>
      </c>
      <c r="L300" s="41">
        <f>IFERROR(J300/H300,"")</f>
        <v/>
      </c>
      <c r="M300" s="25" t="inlineStr">
        <is>
          <t>2.5.12</t>
        </is>
      </c>
      <c r="N300" s="25">
        <f>IF(J300&gt;300,1,0)</f>
        <v/>
      </c>
      <c r="O300" s="25">
        <f>IF(J300&gt;600,1,0)</f>
        <v/>
      </c>
      <c r="P300" s="25">
        <f>IF(H300&gt;0,J300,"")</f>
        <v/>
      </c>
      <c r="Q300" s="25">
        <f>TEXT(A300,"YYYY-MM-DD HH")</f>
        <v/>
      </c>
      <c r="R300" s="25">
        <f>COUNTIF($Q$2:$Q$5295,Q300)</f>
        <v/>
      </c>
      <c r="S300" s="25">
        <f>IF(R300&lt;=2,"1-2",IF(R300&lt;=5,"3-5",IF(R300&lt;=10,"6-10","11+")))</f>
        <v/>
      </c>
    </row>
    <row r="301">
      <c r="A301" s="39" t="n">
        <v>46156.18962962963</v>
      </c>
      <c r="B301" s="25">
        <f>TEXT(A301,"YYYY-MM")</f>
        <v/>
      </c>
      <c r="C301" s="25">
        <f>TEXT(A301,"MMM-YYYY")</f>
        <v/>
      </c>
      <c r="D301" s="40">
        <f>INT(A301)-WEEKDAY(A301,2)+1</f>
        <v/>
      </c>
      <c r="E301" s="25" t="inlineStr">
        <is>
          <t>hsindwani</t>
        </is>
      </c>
      <c r="F301" s="25" t="n">
        <v>68622</v>
      </c>
      <c r="G301" s="25" t="n">
        <v>2</v>
      </c>
      <c r="H301" s="25" t="n">
        <v>8</v>
      </c>
      <c r="I301" s="25" t="inlineStr">
        <is>
          <t>2 minute(s) and 6 second(s)</t>
        </is>
      </c>
      <c r="J301" s="25">
        <f>IFERROR(VALUE(TRIM(LEFT(I301,FIND("minute",I301)-1)))*60,0)+IFERROR(VALUE(SUBSTITUTE(MID(I301,IFERROR(FIND("and",I301)+3,1),20),"second(s)","")),0)</f>
        <v/>
      </c>
      <c r="K301" s="41">
        <f>J301/60</f>
        <v/>
      </c>
      <c r="L301" s="41">
        <f>IFERROR(J301/H301,"")</f>
        <v/>
      </c>
      <c r="M301" s="25" t="inlineStr">
        <is>
          <t>2.5.12</t>
        </is>
      </c>
      <c r="N301" s="25">
        <f>IF(J301&gt;300,1,0)</f>
        <v/>
      </c>
      <c r="O301" s="25">
        <f>IF(J301&gt;600,1,0)</f>
        <v/>
      </c>
      <c r="P301" s="25">
        <f>IF(H301&gt;0,J301,"")</f>
        <v/>
      </c>
      <c r="Q301" s="25">
        <f>TEXT(A301,"YYYY-MM-DD HH")</f>
        <v/>
      </c>
      <c r="R301" s="25">
        <f>COUNTIF($Q$2:$Q$5295,Q301)</f>
        <v/>
      </c>
      <c r="S301" s="25">
        <f>IF(R301&lt;=2,"1-2",IF(R301&lt;=5,"3-5",IF(R301&lt;=10,"6-10","11+")))</f>
        <v/>
      </c>
    </row>
    <row r="302">
      <c r="A302" s="39" t="n">
        <v>46156.19658564815</v>
      </c>
      <c r="B302" s="25">
        <f>TEXT(A302,"YYYY-MM")</f>
        <v/>
      </c>
      <c r="C302" s="25">
        <f>TEXT(A302,"MMM-YYYY")</f>
        <v/>
      </c>
      <c r="D302" s="40">
        <f>INT(A302)-WEEKDAY(A302,2)+1</f>
        <v/>
      </c>
      <c r="E302" s="25" t="inlineStr">
        <is>
          <t>mgupta</t>
        </is>
      </c>
      <c r="F302" s="25" t="n">
        <v>84776</v>
      </c>
      <c r="G302" s="25" t="n">
        <v>1</v>
      </c>
      <c r="H302" s="25" t="n">
        <v>5</v>
      </c>
      <c r="I302" s="25" t="inlineStr">
        <is>
          <t>55 second(s)</t>
        </is>
      </c>
      <c r="J302" s="25">
        <f>IFERROR(VALUE(TRIM(LEFT(I302,FIND("minute",I302)-1)))*60,0)+IFERROR(VALUE(SUBSTITUTE(MID(I302,IFERROR(FIND("and",I302)+3,1),20),"second(s)","")),0)</f>
        <v/>
      </c>
      <c r="K302" s="41">
        <f>J302/60</f>
        <v/>
      </c>
      <c r="L302" s="41">
        <f>IFERROR(J302/H302,"")</f>
        <v/>
      </c>
      <c r="M302" s="25" t="inlineStr">
        <is>
          <t>2.5.12</t>
        </is>
      </c>
      <c r="N302" s="25">
        <f>IF(J302&gt;300,1,0)</f>
        <v/>
      </c>
      <c r="O302" s="25">
        <f>IF(J302&gt;600,1,0)</f>
        <v/>
      </c>
      <c r="P302" s="25">
        <f>IF(H302&gt;0,J302,"")</f>
        <v/>
      </c>
      <c r="Q302" s="25">
        <f>TEXT(A302,"YYYY-MM-DD HH")</f>
        <v/>
      </c>
      <c r="R302" s="25">
        <f>COUNTIF($Q$2:$Q$5295,Q302)</f>
        <v/>
      </c>
      <c r="S302" s="25">
        <f>IF(R302&lt;=2,"1-2",IF(R302&lt;=5,"3-5",IF(R302&lt;=10,"6-10","11+")))</f>
        <v/>
      </c>
    </row>
    <row r="303">
      <c r="A303" s="39" t="n">
        <v>46156.20600694444</v>
      </c>
      <c r="B303" s="25">
        <f>TEXT(A303,"YYYY-MM")</f>
        <v/>
      </c>
      <c r="C303" s="25">
        <f>TEXT(A303,"MMM-YYYY")</f>
        <v/>
      </c>
      <c r="D303" s="40">
        <f>INT(A303)-WEEKDAY(A303,2)+1</f>
        <v/>
      </c>
      <c r="E303" s="25" t="inlineStr">
        <is>
          <t>akumari</t>
        </is>
      </c>
      <c r="F303" s="25" t="n">
        <v>12126</v>
      </c>
      <c r="G303" s="25" t="n">
        <v>1</v>
      </c>
      <c r="H303" s="25" t="n">
        <v>5</v>
      </c>
      <c r="I303" s="25" t="inlineStr">
        <is>
          <t>46 second(s)</t>
        </is>
      </c>
      <c r="J303" s="25">
        <f>IFERROR(VALUE(TRIM(LEFT(I303,FIND("minute",I303)-1)))*60,0)+IFERROR(VALUE(SUBSTITUTE(MID(I303,IFERROR(FIND("and",I303)+3,1),20),"second(s)","")),0)</f>
        <v/>
      </c>
      <c r="K303" s="41">
        <f>J303/60</f>
        <v/>
      </c>
      <c r="L303" s="41">
        <f>IFERROR(J303/H303,"")</f>
        <v/>
      </c>
      <c r="M303" s="25" t="inlineStr">
        <is>
          <t>2.5.12</t>
        </is>
      </c>
      <c r="N303" s="25">
        <f>IF(J303&gt;300,1,0)</f>
        <v/>
      </c>
      <c r="O303" s="25">
        <f>IF(J303&gt;600,1,0)</f>
        <v/>
      </c>
      <c r="P303" s="25">
        <f>IF(H303&gt;0,J303,"")</f>
        <v/>
      </c>
      <c r="Q303" s="25">
        <f>TEXT(A303,"YYYY-MM-DD HH")</f>
        <v/>
      </c>
      <c r="R303" s="25">
        <f>COUNTIF($Q$2:$Q$5295,Q303)</f>
        <v/>
      </c>
      <c r="S303" s="25">
        <f>IF(R303&lt;=2,"1-2",IF(R303&lt;=5,"3-5",IF(R303&lt;=10,"6-10","11+")))</f>
        <v/>
      </c>
    </row>
    <row r="304">
      <c r="A304" s="39" t="n">
        <v>46156.21087962963</v>
      </c>
      <c r="B304" s="25">
        <f>TEXT(A304,"YYYY-MM")</f>
        <v/>
      </c>
      <c r="C304" s="25">
        <f>TEXT(A304,"MMM-YYYY")</f>
        <v/>
      </c>
      <c r="D304" s="40">
        <f>INT(A304)-WEEKDAY(A304,2)+1</f>
        <v/>
      </c>
      <c r="E304" s="25" t="inlineStr">
        <is>
          <t>sswati</t>
        </is>
      </c>
      <c r="F304" s="25" t="n">
        <v>114682</v>
      </c>
      <c r="G304" s="25" t="n">
        <v>2</v>
      </c>
      <c r="H304" s="25" t="n">
        <v>8</v>
      </c>
      <c r="I304" s="25" t="inlineStr">
        <is>
          <t>3 minute(s) and 15 second(s)</t>
        </is>
      </c>
      <c r="J304" s="25">
        <f>IFERROR(VALUE(TRIM(LEFT(I304,FIND("minute",I304)-1)))*60,0)+IFERROR(VALUE(SUBSTITUTE(MID(I304,IFERROR(FIND("and",I304)+3,1),20),"second(s)","")),0)</f>
        <v/>
      </c>
      <c r="K304" s="41">
        <f>J304/60</f>
        <v/>
      </c>
      <c r="L304" s="41">
        <f>IFERROR(J304/H304,"")</f>
        <v/>
      </c>
      <c r="M304" s="25" t="inlineStr">
        <is>
          <t>2.5.12</t>
        </is>
      </c>
      <c r="N304" s="25">
        <f>IF(J304&gt;300,1,0)</f>
        <v/>
      </c>
      <c r="O304" s="25">
        <f>IF(J304&gt;600,1,0)</f>
        <v/>
      </c>
      <c r="P304" s="25">
        <f>IF(H304&gt;0,J304,"")</f>
        <v/>
      </c>
      <c r="Q304" s="25">
        <f>TEXT(A304,"YYYY-MM-DD HH")</f>
        <v/>
      </c>
      <c r="R304" s="25">
        <f>COUNTIF($Q$2:$Q$5295,Q304)</f>
        <v/>
      </c>
      <c r="S304" s="25">
        <f>IF(R304&lt;=2,"1-2",IF(R304&lt;=5,"3-5",IF(R304&lt;=10,"6-10","11+")))</f>
        <v/>
      </c>
    </row>
    <row r="305">
      <c r="A305" s="39" t="n">
        <v>46156.21694444444</v>
      </c>
      <c r="B305" s="25">
        <f>TEXT(A305,"YYYY-MM")</f>
        <v/>
      </c>
      <c r="C305" s="25">
        <f>TEXT(A305,"MMM-YYYY")</f>
        <v/>
      </c>
      <c r="D305" s="40">
        <f>INT(A305)-WEEKDAY(A305,2)+1</f>
        <v/>
      </c>
      <c r="E305" s="25" t="inlineStr">
        <is>
          <t>emishra</t>
        </is>
      </c>
      <c r="F305" s="25" t="n">
        <v>108670</v>
      </c>
      <c r="G305" s="25" t="n">
        <v>2</v>
      </c>
      <c r="H305" s="25" t="n">
        <v>12</v>
      </c>
      <c r="I305" s="25" t="inlineStr">
        <is>
          <t>2 minute(s) and 5 second(s)</t>
        </is>
      </c>
      <c r="J305" s="25">
        <f>IFERROR(VALUE(TRIM(LEFT(I305,FIND("minute",I305)-1)))*60,0)+IFERROR(VALUE(SUBSTITUTE(MID(I305,IFERROR(FIND("and",I305)+3,1),20),"second(s)","")),0)</f>
        <v/>
      </c>
      <c r="K305" s="41">
        <f>J305/60</f>
        <v/>
      </c>
      <c r="L305" s="41">
        <f>IFERROR(J305/H305,"")</f>
        <v/>
      </c>
      <c r="M305" s="25" t="inlineStr">
        <is>
          <t>2.5.12</t>
        </is>
      </c>
      <c r="N305" s="25">
        <f>IF(J305&gt;300,1,0)</f>
        <v/>
      </c>
      <c r="O305" s="25">
        <f>IF(J305&gt;600,1,0)</f>
        <v/>
      </c>
      <c r="P305" s="25">
        <f>IF(H305&gt;0,J305,"")</f>
        <v/>
      </c>
      <c r="Q305" s="25">
        <f>TEXT(A305,"YYYY-MM-DD HH")</f>
        <v/>
      </c>
      <c r="R305" s="25">
        <f>COUNTIF($Q$2:$Q$5295,Q305)</f>
        <v/>
      </c>
      <c r="S305" s="25">
        <f>IF(R305&lt;=2,"1-2",IF(R305&lt;=5,"3-5",IF(R305&lt;=10,"6-10","11+")))</f>
        <v/>
      </c>
    </row>
    <row r="306">
      <c r="A306" s="39" t="n">
        <v>46156.22238425926</v>
      </c>
      <c r="B306" s="25">
        <f>TEXT(A306,"YYYY-MM")</f>
        <v/>
      </c>
      <c r="C306" s="25">
        <f>TEXT(A306,"MMM-YYYY")</f>
        <v/>
      </c>
      <c r="D306" s="40">
        <f>INT(A306)-WEEKDAY(A306,2)+1</f>
        <v/>
      </c>
      <c r="E306" s="25" t="inlineStr">
        <is>
          <t>nbindu</t>
        </is>
      </c>
      <c r="F306" s="25" t="n">
        <v>113450</v>
      </c>
      <c r="G306" s="25" t="n">
        <v>4</v>
      </c>
      <c r="H306" s="25" t="n">
        <v>20</v>
      </c>
      <c r="I306" s="25" t="inlineStr">
        <is>
          <t>4 minute(s) and 10 second(s)</t>
        </is>
      </c>
      <c r="J306" s="25">
        <f>IFERROR(VALUE(TRIM(LEFT(I306,FIND("minute",I306)-1)))*60,0)+IFERROR(VALUE(SUBSTITUTE(MID(I306,IFERROR(FIND("and",I306)+3,1),20),"second(s)","")),0)</f>
        <v/>
      </c>
      <c r="K306" s="41">
        <f>J306/60</f>
        <v/>
      </c>
      <c r="L306" s="41">
        <f>IFERROR(J306/H306,"")</f>
        <v/>
      </c>
      <c r="M306" s="25" t="inlineStr">
        <is>
          <t>2.5.12</t>
        </is>
      </c>
      <c r="N306" s="25">
        <f>IF(J306&gt;300,1,0)</f>
        <v/>
      </c>
      <c r="O306" s="25">
        <f>IF(J306&gt;600,1,0)</f>
        <v/>
      </c>
      <c r="P306" s="25">
        <f>IF(H306&gt;0,J306,"")</f>
        <v/>
      </c>
      <c r="Q306" s="25">
        <f>TEXT(A306,"YYYY-MM-DD HH")</f>
        <v/>
      </c>
      <c r="R306" s="25">
        <f>COUNTIF($Q$2:$Q$5295,Q306)</f>
        <v/>
      </c>
      <c r="S306" s="25">
        <f>IF(R306&lt;=2,"1-2",IF(R306&lt;=5,"3-5",IF(R306&lt;=10,"6-10","11+")))</f>
        <v/>
      </c>
    </row>
    <row r="307">
      <c r="A307" s="39" t="n">
        <v>46156.22422453704</v>
      </c>
      <c r="B307" s="25">
        <f>TEXT(A307,"YYYY-MM")</f>
        <v/>
      </c>
      <c r="C307" s="25">
        <f>TEXT(A307,"MMM-YYYY")</f>
        <v/>
      </c>
      <c r="D307" s="40">
        <f>INT(A307)-WEEKDAY(A307,2)+1</f>
        <v/>
      </c>
      <c r="E307" s="25" t="inlineStr">
        <is>
          <t>abhaskarkp</t>
        </is>
      </c>
      <c r="F307" s="25" t="n">
        <v>82296</v>
      </c>
      <c r="G307" s="25" t="n">
        <v>1</v>
      </c>
      <c r="H307" s="25" t="n">
        <v>5</v>
      </c>
      <c r="I307" s="25" t="inlineStr">
        <is>
          <t>57 second(s)</t>
        </is>
      </c>
      <c r="J307" s="25">
        <f>IFERROR(VALUE(TRIM(LEFT(I307,FIND("minute",I307)-1)))*60,0)+IFERROR(VALUE(SUBSTITUTE(MID(I307,IFERROR(FIND("and",I307)+3,1),20),"second(s)","")),0)</f>
        <v/>
      </c>
      <c r="K307" s="41">
        <f>J307/60</f>
        <v/>
      </c>
      <c r="L307" s="41">
        <f>IFERROR(J307/H307,"")</f>
        <v/>
      </c>
      <c r="M307" s="25" t="inlineStr">
        <is>
          <t>2.5.12</t>
        </is>
      </c>
      <c r="N307" s="25">
        <f>IF(J307&gt;300,1,0)</f>
        <v/>
      </c>
      <c r="O307" s="25">
        <f>IF(J307&gt;600,1,0)</f>
        <v/>
      </c>
      <c r="P307" s="25">
        <f>IF(H307&gt;0,J307,"")</f>
        <v/>
      </c>
      <c r="Q307" s="25">
        <f>TEXT(A307,"YYYY-MM-DD HH")</f>
        <v/>
      </c>
      <c r="R307" s="25">
        <f>COUNTIF($Q$2:$Q$5295,Q307)</f>
        <v/>
      </c>
      <c r="S307" s="25">
        <f>IF(R307&lt;=2,"1-2",IF(R307&lt;=5,"3-5",IF(R307&lt;=10,"6-10","11+")))</f>
        <v/>
      </c>
    </row>
    <row r="308">
      <c r="A308" s="39" t="n">
        <v>46156.22686342592</v>
      </c>
      <c r="B308" s="25">
        <f>TEXT(A308,"YYYY-MM")</f>
        <v/>
      </c>
      <c r="C308" s="25">
        <f>TEXT(A308,"MMM-YYYY")</f>
        <v/>
      </c>
      <c r="D308" s="40">
        <f>INT(A308)-WEEKDAY(A308,2)+1</f>
        <v/>
      </c>
      <c r="E308" s="25" t="inlineStr">
        <is>
          <t>dbhattacharyya</t>
        </is>
      </c>
      <c r="F308" s="25" t="n">
        <v>109337</v>
      </c>
      <c r="G308" s="25" t="n">
        <v>5</v>
      </c>
      <c r="H308" s="25" t="n">
        <v>17</v>
      </c>
      <c r="I308" s="25" t="inlineStr">
        <is>
          <t>3 minute(s) and 38 second(s)</t>
        </is>
      </c>
      <c r="J308" s="25">
        <f>IFERROR(VALUE(TRIM(LEFT(I308,FIND("minute",I308)-1)))*60,0)+IFERROR(VALUE(SUBSTITUTE(MID(I308,IFERROR(FIND("and",I308)+3,1),20),"second(s)","")),0)</f>
        <v/>
      </c>
      <c r="K308" s="41">
        <f>J308/60</f>
        <v/>
      </c>
      <c r="L308" s="41">
        <f>IFERROR(J308/H308,"")</f>
        <v/>
      </c>
      <c r="M308" s="25" t="inlineStr">
        <is>
          <t>2.5.12</t>
        </is>
      </c>
      <c r="N308" s="25">
        <f>IF(J308&gt;300,1,0)</f>
        <v/>
      </c>
      <c r="O308" s="25">
        <f>IF(J308&gt;600,1,0)</f>
        <v/>
      </c>
      <c r="P308" s="25">
        <f>IF(H308&gt;0,J308,"")</f>
        <v/>
      </c>
      <c r="Q308" s="25">
        <f>TEXT(A308,"YYYY-MM-DD HH")</f>
        <v/>
      </c>
      <c r="R308" s="25">
        <f>COUNTIF($Q$2:$Q$5295,Q308)</f>
        <v/>
      </c>
      <c r="S308" s="25">
        <f>IF(R308&lt;=2,"1-2",IF(R308&lt;=5,"3-5",IF(R308&lt;=10,"6-10","11+")))</f>
        <v/>
      </c>
    </row>
    <row r="309">
      <c r="A309" s="39" t="n">
        <v>46156.23027777778</v>
      </c>
      <c r="B309" s="25">
        <f>TEXT(A309,"YYYY-MM")</f>
        <v/>
      </c>
      <c r="C309" s="25">
        <f>TEXT(A309,"MMM-YYYY")</f>
        <v/>
      </c>
      <c r="D309" s="40">
        <f>INT(A309)-WEEKDAY(A309,2)+1</f>
        <v/>
      </c>
      <c r="E309" s="25" t="inlineStr">
        <is>
          <t>npriya</t>
        </is>
      </c>
      <c r="F309" s="25" t="n">
        <v>97241</v>
      </c>
      <c r="G309" s="25" t="n">
        <v>5</v>
      </c>
      <c r="H309" s="25" t="n">
        <v>31</v>
      </c>
      <c r="I309" s="25" t="inlineStr">
        <is>
          <t>8 minute(s) and 12 second(s)</t>
        </is>
      </c>
      <c r="J309" s="25">
        <f>IFERROR(VALUE(TRIM(LEFT(I309,FIND("minute",I309)-1)))*60,0)+IFERROR(VALUE(SUBSTITUTE(MID(I309,IFERROR(FIND("and",I309)+3,1),20),"second(s)","")),0)</f>
        <v/>
      </c>
      <c r="K309" s="41">
        <f>J309/60</f>
        <v/>
      </c>
      <c r="L309" s="41">
        <f>IFERROR(J309/H309,"")</f>
        <v/>
      </c>
      <c r="M309" s="25" t="inlineStr">
        <is>
          <t>2.5.12</t>
        </is>
      </c>
      <c r="N309" s="25">
        <f>IF(J309&gt;300,1,0)</f>
        <v/>
      </c>
      <c r="O309" s="25">
        <f>IF(J309&gt;600,1,0)</f>
        <v/>
      </c>
      <c r="P309" s="25">
        <f>IF(H309&gt;0,J309,"")</f>
        <v/>
      </c>
      <c r="Q309" s="25">
        <f>TEXT(A309,"YYYY-MM-DD HH")</f>
        <v/>
      </c>
      <c r="R309" s="25">
        <f>COUNTIF($Q$2:$Q$5295,Q309)</f>
        <v/>
      </c>
      <c r="S309" s="25">
        <f>IF(R309&lt;=2,"1-2",IF(R309&lt;=5,"3-5",IF(R309&lt;=10,"6-10","11+")))</f>
        <v/>
      </c>
    </row>
    <row r="310">
      <c r="A310" s="39" t="n">
        <v>46156.23100694444</v>
      </c>
      <c r="B310" s="25">
        <f>TEXT(A310,"YYYY-MM")</f>
        <v/>
      </c>
      <c r="C310" s="25">
        <f>TEXT(A310,"MMM-YYYY")</f>
        <v/>
      </c>
      <c r="D310" s="40">
        <f>INT(A310)-WEEKDAY(A310,2)+1</f>
        <v/>
      </c>
      <c r="E310" s="25" t="inlineStr">
        <is>
          <t>ssrinivasan</t>
        </is>
      </c>
      <c r="F310" s="25" t="n">
        <v>71205</v>
      </c>
      <c r="G310" s="25" t="n">
        <v>5</v>
      </c>
      <c r="H310" s="25" t="n">
        <v>31</v>
      </c>
      <c r="I310" s="25" t="inlineStr">
        <is>
          <t>7 minute(s) and 21 second(s)</t>
        </is>
      </c>
      <c r="J310" s="25">
        <f>IFERROR(VALUE(TRIM(LEFT(I310,FIND("minute",I310)-1)))*60,0)+IFERROR(VALUE(SUBSTITUTE(MID(I310,IFERROR(FIND("and",I310)+3,1),20),"second(s)","")),0)</f>
        <v/>
      </c>
      <c r="K310" s="41">
        <f>J310/60</f>
        <v/>
      </c>
      <c r="L310" s="41">
        <f>IFERROR(J310/H310,"")</f>
        <v/>
      </c>
      <c r="M310" s="25" t="inlineStr">
        <is>
          <t>2.5.12</t>
        </is>
      </c>
      <c r="N310" s="25">
        <f>IF(J310&gt;300,1,0)</f>
        <v/>
      </c>
      <c r="O310" s="25">
        <f>IF(J310&gt;600,1,0)</f>
        <v/>
      </c>
      <c r="P310" s="25">
        <f>IF(H310&gt;0,J310,"")</f>
        <v/>
      </c>
      <c r="Q310" s="25">
        <f>TEXT(A310,"YYYY-MM-DD HH")</f>
        <v/>
      </c>
      <c r="R310" s="25">
        <f>COUNTIF($Q$2:$Q$5295,Q310)</f>
        <v/>
      </c>
      <c r="S310" s="25">
        <f>IF(R310&lt;=2,"1-2",IF(R310&lt;=5,"3-5",IF(R310&lt;=10,"6-10","11+")))</f>
        <v/>
      </c>
    </row>
    <row r="311">
      <c r="A311" s="39" t="n">
        <v>46156.24674768518</v>
      </c>
      <c r="B311" s="25">
        <f>TEXT(A311,"YYYY-MM")</f>
        <v/>
      </c>
      <c r="C311" s="25">
        <f>TEXT(A311,"MMM-YYYY")</f>
        <v/>
      </c>
      <c r="D311" s="40">
        <f>INT(A311)-WEEKDAY(A311,2)+1</f>
        <v/>
      </c>
      <c r="E311" s="25" t="inlineStr">
        <is>
          <t>akumari</t>
        </is>
      </c>
      <c r="F311" s="25" t="n">
        <v>108193</v>
      </c>
      <c r="G311" s="25" t="n">
        <v>3</v>
      </c>
      <c r="H311" s="25" t="n">
        <v>11</v>
      </c>
      <c r="I311" s="25" t="inlineStr">
        <is>
          <t>2 minute(s) and 27 second(s)</t>
        </is>
      </c>
      <c r="J311" s="25">
        <f>IFERROR(VALUE(TRIM(LEFT(I311,FIND("minute",I311)-1)))*60,0)+IFERROR(VALUE(SUBSTITUTE(MID(I311,IFERROR(FIND("and",I311)+3,1),20),"second(s)","")),0)</f>
        <v/>
      </c>
      <c r="K311" s="41">
        <f>J311/60</f>
        <v/>
      </c>
      <c r="L311" s="41">
        <f>IFERROR(J311/H311,"")</f>
        <v/>
      </c>
      <c r="M311" s="25" t="inlineStr">
        <is>
          <t>2.5.12</t>
        </is>
      </c>
      <c r="N311" s="25">
        <f>IF(J311&gt;300,1,0)</f>
        <v/>
      </c>
      <c r="O311" s="25">
        <f>IF(J311&gt;600,1,0)</f>
        <v/>
      </c>
      <c r="P311" s="25">
        <f>IF(H311&gt;0,J311,"")</f>
        <v/>
      </c>
      <c r="Q311" s="25">
        <f>TEXT(A311,"YYYY-MM-DD HH")</f>
        <v/>
      </c>
      <c r="R311" s="25">
        <f>COUNTIF($Q$2:$Q$5295,Q311)</f>
        <v/>
      </c>
      <c r="S311" s="25">
        <f>IF(R311&lt;=2,"1-2",IF(R311&lt;=5,"3-5",IF(R311&lt;=10,"6-10","11+")))</f>
        <v/>
      </c>
    </row>
    <row r="312">
      <c r="A312" s="39" t="n">
        <v>46156.24978009259</v>
      </c>
      <c r="B312" s="25">
        <f>TEXT(A312,"YYYY-MM")</f>
        <v/>
      </c>
      <c r="C312" s="25">
        <f>TEXT(A312,"MMM-YYYY")</f>
        <v/>
      </c>
      <c r="D312" s="40">
        <f>INT(A312)-WEEKDAY(A312,2)+1</f>
        <v/>
      </c>
      <c r="E312" s="25" t="inlineStr">
        <is>
          <t>mgupta</t>
        </is>
      </c>
      <c r="F312" s="25" t="n">
        <v>107284</v>
      </c>
      <c r="G312" s="25" t="n">
        <v>2</v>
      </c>
      <c r="H312" s="25" t="n">
        <v>10</v>
      </c>
      <c r="I312" s="25" t="inlineStr">
        <is>
          <t>1 minute(s) and 59 second(s)</t>
        </is>
      </c>
      <c r="J312" s="25">
        <f>IFERROR(VALUE(TRIM(LEFT(I312,FIND("minute",I312)-1)))*60,0)+IFERROR(VALUE(SUBSTITUTE(MID(I312,IFERROR(FIND("and",I312)+3,1),20),"second(s)","")),0)</f>
        <v/>
      </c>
      <c r="K312" s="41">
        <f>J312/60</f>
        <v/>
      </c>
      <c r="L312" s="41">
        <f>IFERROR(J312/H312,"")</f>
        <v/>
      </c>
      <c r="M312" s="25" t="inlineStr">
        <is>
          <t>2.5.12</t>
        </is>
      </c>
      <c r="N312" s="25">
        <f>IF(J312&gt;300,1,0)</f>
        <v/>
      </c>
      <c r="O312" s="25">
        <f>IF(J312&gt;600,1,0)</f>
        <v/>
      </c>
      <c r="P312" s="25">
        <f>IF(H312&gt;0,J312,"")</f>
        <v/>
      </c>
      <c r="Q312" s="25">
        <f>TEXT(A312,"YYYY-MM-DD HH")</f>
        <v/>
      </c>
      <c r="R312" s="25">
        <f>COUNTIF($Q$2:$Q$5295,Q312)</f>
        <v/>
      </c>
      <c r="S312" s="25">
        <f>IF(R312&lt;=2,"1-2",IF(R312&lt;=5,"3-5",IF(R312&lt;=10,"6-10","11+")))</f>
        <v/>
      </c>
    </row>
    <row r="313">
      <c r="A313" s="39" t="n">
        <v>46156.26292824074</v>
      </c>
      <c r="B313" s="25">
        <f>TEXT(A313,"YYYY-MM")</f>
        <v/>
      </c>
      <c r="C313" s="25">
        <f>TEXT(A313,"MMM-YYYY")</f>
        <v/>
      </c>
      <c r="D313" s="40">
        <f>INT(A313)-WEEKDAY(A313,2)+1</f>
        <v/>
      </c>
      <c r="E313" s="25" t="inlineStr">
        <is>
          <t>emishra</t>
        </is>
      </c>
      <c r="F313" s="25" t="n">
        <v>114064</v>
      </c>
      <c r="G313" s="25" t="n">
        <v>4</v>
      </c>
      <c r="H313" s="25" t="n">
        <v>24</v>
      </c>
      <c r="I313" s="25" t="inlineStr">
        <is>
          <t>6 minute(s) and 46 second(s)</t>
        </is>
      </c>
      <c r="J313" s="25">
        <f>IFERROR(VALUE(TRIM(LEFT(I313,FIND("minute",I313)-1)))*60,0)+IFERROR(VALUE(SUBSTITUTE(MID(I313,IFERROR(FIND("and",I313)+3,1),20),"second(s)","")),0)</f>
        <v/>
      </c>
      <c r="K313" s="41">
        <f>J313/60</f>
        <v/>
      </c>
      <c r="L313" s="41">
        <f>IFERROR(J313/H313,"")</f>
        <v/>
      </c>
      <c r="M313" s="25" t="inlineStr">
        <is>
          <t>2.5.12</t>
        </is>
      </c>
      <c r="N313" s="25">
        <f>IF(J313&gt;300,1,0)</f>
        <v/>
      </c>
      <c r="O313" s="25">
        <f>IF(J313&gt;600,1,0)</f>
        <v/>
      </c>
      <c r="P313" s="25">
        <f>IF(H313&gt;0,J313,"")</f>
        <v/>
      </c>
      <c r="Q313" s="25">
        <f>TEXT(A313,"YYYY-MM-DD HH")</f>
        <v/>
      </c>
      <c r="R313" s="25">
        <f>COUNTIF($Q$2:$Q$5295,Q313)</f>
        <v/>
      </c>
      <c r="S313" s="25">
        <f>IF(R313&lt;=2,"1-2",IF(R313&lt;=5,"3-5",IF(R313&lt;=10,"6-10","11+")))</f>
        <v/>
      </c>
    </row>
    <row r="314">
      <c r="A314" s="39" t="n">
        <v>46156.26346064815</v>
      </c>
      <c r="B314" s="25">
        <f>TEXT(A314,"YYYY-MM")</f>
        <v/>
      </c>
      <c r="C314" s="25">
        <f>TEXT(A314,"MMM-YYYY")</f>
        <v/>
      </c>
      <c r="D314" s="40">
        <f>INT(A314)-WEEKDAY(A314,2)+1</f>
        <v/>
      </c>
      <c r="E314" s="25" t="inlineStr">
        <is>
          <t>mbhalla</t>
        </is>
      </c>
      <c r="F314" s="25" t="n">
        <v>115225</v>
      </c>
      <c r="G314" s="25" t="n">
        <v>2</v>
      </c>
      <c r="H314" s="25" t="n">
        <v>14</v>
      </c>
      <c r="I314" s="25" t="inlineStr">
        <is>
          <t>2 minute(s) and 35 second(s)</t>
        </is>
      </c>
      <c r="J314" s="25">
        <f>IFERROR(VALUE(TRIM(LEFT(I314,FIND("minute",I314)-1)))*60,0)+IFERROR(VALUE(SUBSTITUTE(MID(I314,IFERROR(FIND("and",I314)+3,1),20),"second(s)","")),0)</f>
        <v/>
      </c>
      <c r="K314" s="41">
        <f>J314/60</f>
        <v/>
      </c>
      <c r="L314" s="41">
        <f>IFERROR(J314/H314,"")</f>
        <v/>
      </c>
      <c r="M314" s="25" t="inlineStr">
        <is>
          <t>2.5.12</t>
        </is>
      </c>
      <c r="N314" s="25">
        <f>IF(J314&gt;300,1,0)</f>
        <v/>
      </c>
      <c r="O314" s="25">
        <f>IF(J314&gt;600,1,0)</f>
        <v/>
      </c>
      <c r="P314" s="25">
        <f>IF(H314&gt;0,J314,"")</f>
        <v/>
      </c>
      <c r="Q314" s="25">
        <f>TEXT(A314,"YYYY-MM-DD HH")</f>
        <v/>
      </c>
      <c r="R314" s="25">
        <f>COUNTIF($Q$2:$Q$5295,Q314)</f>
        <v/>
      </c>
      <c r="S314" s="25">
        <f>IF(R314&lt;=2,"1-2",IF(R314&lt;=5,"3-5",IF(R314&lt;=10,"6-10","11+")))</f>
        <v/>
      </c>
    </row>
    <row r="315">
      <c r="A315" s="39" t="n">
        <v>46156.26824074074</v>
      </c>
      <c r="B315" s="25">
        <f>TEXT(A315,"YYYY-MM")</f>
        <v/>
      </c>
      <c r="C315" s="25">
        <f>TEXT(A315,"MMM-YYYY")</f>
        <v/>
      </c>
      <c r="D315" s="40">
        <f>INT(A315)-WEEKDAY(A315,2)+1</f>
        <v/>
      </c>
      <c r="E315" s="25" t="inlineStr">
        <is>
          <t>ssaha</t>
        </is>
      </c>
      <c r="F315" s="25" t="n">
        <v>84566</v>
      </c>
      <c r="G315" s="25" t="n">
        <v>2</v>
      </c>
      <c r="H315" s="25" t="n">
        <v>6</v>
      </c>
      <c r="I315" s="25" t="inlineStr">
        <is>
          <t>1 minute(s) and 12 second(s)</t>
        </is>
      </c>
      <c r="J315" s="25">
        <f>IFERROR(VALUE(TRIM(LEFT(I315,FIND("minute",I315)-1)))*60,0)+IFERROR(VALUE(SUBSTITUTE(MID(I315,IFERROR(FIND("and",I315)+3,1),20),"second(s)","")),0)</f>
        <v/>
      </c>
      <c r="K315" s="41">
        <f>J315/60</f>
        <v/>
      </c>
      <c r="L315" s="41">
        <f>IFERROR(J315/H315,"")</f>
        <v/>
      </c>
      <c r="M315" s="25" t="inlineStr">
        <is>
          <t>2.5.12</t>
        </is>
      </c>
      <c r="N315" s="25">
        <f>IF(J315&gt;300,1,0)</f>
        <v/>
      </c>
      <c r="O315" s="25">
        <f>IF(J315&gt;600,1,0)</f>
        <v/>
      </c>
      <c r="P315" s="25">
        <f>IF(H315&gt;0,J315,"")</f>
        <v/>
      </c>
      <c r="Q315" s="25">
        <f>TEXT(A315,"YYYY-MM-DD HH")</f>
        <v/>
      </c>
      <c r="R315" s="25">
        <f>COUNTIF($Q$2:$Q$5295,Q315)</f>
        <v/>
      </c>
      <c r="S315" s="25">
        <f>IF(R315&lt;=2,"1-2",IF(R315&lt;=5,"3-5",IF(R315&lt;=10,"6-10","11+")))</f>
        <v/>
      </c>
    </row>
    <row r="316">
      <c r="A316" s="39" t="n">
        <v>46156.2696875</v>
      </c>
      <c r="B316" s="25">
        <f>TEXT(A316,"YYYY-MM")</f>
        <v/>
      </c>
      <c r="C316" s="25">
        <f>TEXT(A316,"MMM-YYYY")</f>
        <v/>
      </c>
      <c r="D316" s="40">
        <f>INT(A316)-WEEKDAY(A316,2)+1</f>
        <v/>
      </c>
      <c r="E316" s="25" t="inlineStr">
        <is>
          <t>akumari</t>
        </is>
      </c>
      <c r="F316" s="25" t="n">
        <v>108193</v>
      </c>
      <c r="G316" s="25" t="n">
        <v>1</v>
      </c>
      <c r="H316" s="25" t="n">
        <v>5</v>
      </c>
      <c r="I316" s="25" t="inlineStr">
        <is>
          <t>51 second(s)</t>
        </is>
      </c>
      <c r="J316" s="25">
        <f>IFERROR(VALUE(TRIM(LEFT(I316,FIND("minute",I316)-1)))*60,0)+IFERROR(VALUE(SUBSTITUTE(MID(I316,IFERROR(FIND("and",I316)+3,1),20),"second(s)","")),0)</f>
        <v/>
      </c>
      <c r="K316" s="41">
        <f>J316/60</f>
        <v/>
      </c>
      <c r="L316" s="41">
        <f>IFERROR(J316/H316,"")</f>
        <v/>
      </c>
      <c r="M316" s="25" t="inlineStr">
        <is>
          <t>2.5.12</t>
        </is>
      </c>
      <c r="N316" s="25">
        <f>IF(J316&gt;300,1,0)</f>
        <v/>
      </c>
      <c r="O316" s="25">
        <f>IF(J316&gt;600,1,0)</f>
        <v/>
      </c>
      <c r="P316" s="25">
        <f>IF(H316&gt;0,J316,"")</f>
        <v/>
      </c>
      <c r="Q316" s="25">
        <f>TEXT(A316,"YYYY-MM-DD HH")</f>
        <v/>
      </c>
      <c r="R316" s="25">
        <f>COUNTIF($Q$2:$Q$5295,Q316)</f>
        <v/>
      </c>
      <c r="S316" s="25">
        <f>IF(R316&lt;=2,"1-2",IF(R316&lt;=5,"3-5",IF(R316&lt;=10,"6-10","11+")))</f>
        <v/>
      </c>
    </row>
    <row r="317">
      <c r="A317" s="39" t="n">
        <v>46156.2702199074</v>
      </c>
      <c r="B317" s="25">
        <f>TEXT(A317,"YYYY-MM")</f>
        <v/>
      </c>
      <c r="C317" s="25">
        <f>TEXT(A317,"MMM-YYYY")</f>
        <v/>
      </c>
      <c r="D317" s="40">
        <f>INT(A317)-WEEKDAY(A317,2)+1</f>
        <v/>
      </c>
      <c r="E317" s="25" t="inlineStr">
        <is>
          <t>abhaskarkp</t>
        </is>
      </c>
      <c r="F317" s="25" t="n">
        <v>109738</v>
      </c>
      <c r="G317" s="25" t="n">
        <v>1</v>
      </c>
      <c r="H317" s="25" t="n">
        <v>5</v>
      </c>
      <c r="I317" s="25" t="inlineStr">
        <is>
          <t>1 minute(s) and 34 second(s)</t>
        </is>
      </c>
      <c r="J317" s="25">
        <f>IFERROR(VALUE(TRIM(LEFT(I317,FIND("minute",I317)-1)))*60,0)+IFERROR(VALUE(SUBSTITUTE(MID(I317,IFERROR(FIND("and",I317)+3,1),20),"second(s)","")),0)</f>
        <v/>
      </c>
      <c r="K317" s="41">
        <f>J317/60</f>
        <v/>
      </c>
      <c r="L317" s="41">
        <f>IFERROR(J317/H317,"")</f>
        <v/>
      </c>
      <c r="M317" s="25" t="inlineStr">
        <is>
          <t>2.5.12</t>
        </is>
      </c>
      <c r="N317" s="25">
        <f>IF(J317&gt;300,1,0)</f>
        <v/>
      </c>
      <c r="O317" s="25">
        <f>IF(J317&gt;600,1,0)</f>
        <v/>
      </c>
      <c r="P317" s="25">
        <f>IF(H317&gt;0,J317,"")</f>
        <v/>
      </c>
      <c r="Q317" s="25">
        <f>TEXT(A317,"YYYY-MM-DD HH")</f>
        <v/>
      </c>
      <c r="R317" s="25">
        <f>COUNTIF($Q$2:$Q$5295,Q317)</f>
        <v/>
      </c>
      <c r="S317" s="25">
        <f>IF(R317&lt;=2,"1-2",IF(R317&lt;=5,"3-5",IF(R317&lt;=10,"6-10","11+")))</f>
        <v/>
      </c>
    </row>
    <row r="318">
      <c r="A318" s="39" t="n">
        <v>46156.27084490741</v>
      </c>
      <c r="B318" s="25">
        <f>TEXT(A318,"YYYY-MM")</f>
        <v/>
      </c>
      <c r="C318" s="25">
        <f>TEXT(A318,"MMM-YYYY")</f>
        <v/>
      </c>
      <c r="D318" s="40">
        <f>INT(A318)-WEEKDAY(A318,2)+1</f>
        <v/>
      </c>
      <c r="E318" s="25" t="inlineStr">
        <is>
          <t>hsindwani</t>
        </is>
      </c>
      <c r="F318" s="25" t="n">
        <v>116715</v>
      </c>
      <c r="G318" s="25" t="n">
        <v>2</v>
      </c>
      <c r="H318" s="25" t="n">
        <v>12</v>
      </c>
      <c r="I318" s="25" t="inlineStr">
        <is>
          <t>7 minute(s) and 23 second(s)</t>
        </is>
      </c>
      <c r="J318" s="25">
        <f>IFERROR(VALUE(TRIM(LEFT(I318,FIND("minute",I318)-1)))*60,0)+IFERROR(VALUE(SUBSTITUTE(MID(I318,IFERROR(FIND("and",I318)+3,1),20),"second(s)","")),0)</f>
        <v/>
      </c>
      <c r="K318" s="41">
        <f>J318/60</f>
        <v/>
      </c>
      <c r="L318" s="41">
        <f>IFERROR(J318/H318,"")</f>
        <v/>
      </c>
      <c r="M318" s="25" t="inlineStr">
        <is>
          <t>2.5.12</t>
        </is>
      </c>
      <c r="N318" s="25">
        <f>IF(J318&gt;300,1,0)</f>
        <v/>
      </c>
      <c r="O318" s="25">
        <f>IF(J318&gt;600,1,0)</f>
        <v/>
      </c>
      <c r="P318" s="25">
        <f>IF(H318&gt;0,J318,"")</f>
        <v/>
      </c>
      <c r="Q318" s="25">
        <f>TEXT(A318,"YYYY-MM-DD HH")</f>
        <v/>
      </c>
      <c r="R318" s="25">
        <f>COUNTIF($Q$2:$Q$5295,Q318)</f>
        <v/>
      </c>
      <c r="S318" s="25">
        <f>IF(R318&lt;=2,"1-2",IF(R318&lt;=5,"3-5",IF(R318&lt;=10,"6-10","11+")))</f>
        <v/>
      </c>
    </row>
    <row r="319">
      <c r="A319" s="39" t="n">
        <v>46156.27202546296</v>
      </c>
      <c r="B319" s="25">
        <f>TEXT(A319,"YYYY-MM")</f>
        <v/>
      </c>
      <c r="C319" s="25">
        <f>TEXT(A319,"MMM-YYYY")</f>
        <v/>
      </c>
      <c r="D319" s="40">
        <f>INT(A319)-WEEKDAY(A319,2)+1</f>
        <v/>
      </c>
      <c r="E319" s="25" t="inlineStr">
        <is>
          <t>rts</t>
        </is>
      </c>
      <c r="F319" s="25" t="n">
        <v>115739</v>
      </c>
      <c r="G319" s="25" t="n">
        <v>2</v>
      </c>
      <c r="H319" s="25" t="n">
        <v>10</v>
      </c>
      <c r="I319" s="25" t="inlineStr">
        <is>
          <t>2 minute(s) and 44 second(s)</t>
        </is>
      </c>
      <c r="J319" s="25">
        <f>IFERROR(VALUE(TRIM(LEFT(I319,FIND("minute",I319)-1)))*60,0)+IFERROR(VALUE(SUBSTITUTE(MID(I319,IFERROR(FIND("and",I319)+3,1),20),"second(s)","")),0)</f>
        <v/>
      </c>
      <c r="K319" s="41">
        <f>J319/60</f>
        <v/>
      </c>
      <c r="L319" s="41">
        <f>IFERROR(J319/H319,"")</f>
        <v/>
      </c>
      <c r="M319" s="25" t="inlineStr">
        <is>
          <t>2.5.12</t>
        </is>
      </c>
      <c r="N319" s="25">
        <f>IF(J319&gt;300,1,0)</f>
        <v/>
      </c>
      <c r="O319" s="25">
        <f>IF(J319&gt;600,1,0)</f>
        <v/>
      </c>
      <c r="P319" s="25">
        <f>IF(H319&gt;0,J319,"")</f>
        <v/>
      </c>
      <c r="Q319" s="25">
        <f>TEXT(A319,"YYYY-MM-DD HH")</f>
        <v/>
      </c>
      <c r="R319" s="25">
        <f>COUNTIF($Q$2:$Q$5295,Q319)</f>
        <v/>
      </c>
      <c r="S319" s="25">
        <f>IF(R319&lt;=2,"1-2",IF(R319&lt;=5,"3-5",IF(R319&lt;=10,"6-10","11+")))</f>
        <v/>
      </c>
    </row>
    <row r="320">
      <c r="A320" s="39" t="n">
        <v>46156.2806712963</v>
      </c>
      <c r="B320" s="25">
        <f>TEXT(A320,"YYYY-MM")</f>
        <v/>
      </c>
      <c r="C320" s="25">
        <f>TEXT(A320,"MMM-YYYY")</f>
        <v/>
      </c>
      <c r="D320" s="40">
        <f>INT(A320)-WEEKDAY(A320,2)+1</f>
        <v/>
      </c>
      <c r="E320" s="25" t="inlineStr">
        <is>
          <t>atiwari</t>
        </is>
      </c>
      <c r="F320" s="25" t="n">
        <v>115875</v>
      </c>
      <c r="G320" s="25" t="n">
        <v>6</v>
      </c>
      <c r="H320" s="25" t="n">
        <v>32</v>
      </c>
      <c r="I320" s="25" t="inlineStr">
        <is>
          <t>6 minute(s) and 33 second(s)</t>
        </is>
      </c>
      <c r="J320" s="25">
        <f>IFERROR(VALUE(TRIM(LEFT(I320,FIND("minute",I320)-1)))*60,0)+IFERROR(VALUE(SUBSTITUTE(MID(I320,IFERROR(FIND("and",I320)+3,1),20),"second(s)","")),0)</f>
        <v/>
      </c>
      <c r="K320" s="41">
        <f>J320/60</f>
        <v/>
      </c>
      <c r="L320" s="41">
        <f>IFERROR(J320/H320,"")</f>
        <v/>
      </c>
      <c r="M320" s="25" t="inlineStr">
        <is>
          <t>2.5.12</t>
        </is>
      </c>
      <c r="N320" s="25">
        <f>IF(J320&gt;300,1,0)</f>
        <v/>
      </c>
      <c r="O320" s="25">
        <f>IF(J320&gt;600,1,0)</f>
        <v/>
      </c>
      <c r="P320" s="25">
        <f>IF(H320&gt;0,J320,"")</f>
        <v/>
      </c>
      <c r="Q320" s="25">
        <f>TEXT(A320,"YYYY-MM-DD HH")</f>
        <v/>
      </c>
      <c r="R320" s="25">
        <f>COUNTIF($Q$2:$Q$5295,Q320)</f>
        <v/>
      </c>
      <c r="S320" s="25">
        <f>IF(R320&lt;=2,"1-2",IF(R320&lt;=5,"3-5",IF(R320&lt;=10,"6-10","11+")))</f>
        <v/>
      </c>
    </row>
    <row r="321">
      <c r="A321" s="39" t="n">
        <v>46156.28354166666</v>
      </c>
      <c r="B321" s="25">
        <f>TEXT(A321,"YYYY-MM")</f>
        <v/>
      </c>
      <c r="C321" s="25">
        <f>TEXT(A321,"MMM-YYYY")</f>
        <v/>
      </c>
      <c r="D321" s="40">
        <f>INT(A321)-WEEKDAY(A321,2)+1</f>
        <v/>
      </c>
      <c r="E321" s="25" t="inlineStr">
        <is>
          <t>nbindu</t>
        </is>
      </c>
      <c r="F321" s="25" t="n">
        <v>113661</v>
      </c>
      <c r="G321" s="25" t="n">
        <v>6</v>
      </c>
      <c r="H321" s="25" t="n">
        <v>30</v>
      </c>
      <c r="I321" s="25" t="inlineStr">
        <is>
          <t>5 minute(s) and 31 second(s)</t>
        </is>
      </c>
      <c r="J321" s="25">
        <f>IFERROR(VALUE(TRIM(LEFT(I321,FIND("minute",I321)-1)))*60,0)+IFERROR(VALUE(SUBSTITUTE(MID(I321,IFERROR(FIND("and",I321)+3,1),20),"second(s)","")),0)</f>
        <v/>
      </c>
      <c r="K321" s="41">
        <f>J321/60</f>
        <v/>
      </c>
      <c r="L321" s="41">
        <f>IFERROR(J321/H321,"")</f>
        <v/>
      </c>
      <c r="M321" s="25" t="inlineStr">
        <is>
          <t>2.5.12</t>
        </is>
      </c>
      <c r="N321" s="25">
        <f>IF(J321&gt;300,1,0)</f>
        <v/>
      </c>
      <c r="O321" s="25">
        <f>IF(J321&gt;600,1,0)</f>
        <v/>
      </c>
      <c r="P321" s="25">
        <f>IF(H321&gt;0,J321,"")</f>
        <v/>
      </c>
      <c r="Q321" s="25">
        <f>TEXT(A321,"YYYY-MM-DD HH")</f>
        <v/>
      </c>
      <c r="R321" s="25">
        <f>COUNTIF($Q$2:$Q$5295,Q321)</f>
        <v/>
      </c>
      <c r="S321" s="25">
        <f>IF(R321&lt;=2,"1-2",IF(R321&lt;=5,"3-5",IF(R321&lt;=10,"6-10","11+")))</f>
        <v/>
      </c>
    </row>
    <row r="322">
      <c r="A322" s="39" t="n">
        <v>46156.28396990741</v>
      </c>
      <c r="B322" s="25">
        <f>TEXT(A322,"YYYY-MM")</f>
        <v/>
      </c>
      <c r="C322" s="25">
        <f>TEXT(A322,"MMM-YYYY")</f>
        <v/>
      </c>
      <c r="D322" s="40">
        <f>INT(A322)-WEEKDAY(A322,2)+1</f>
        <v/>
      </c>
      <c r="E322" s="25" t="inlineStr">
        <is>
          <t>smukhopadhyay</t>
        </is>
      </c>
      <c r="F322" s="25" t="n">
        <v>115204</v>
      </c>
      <c r="G322" s="25" t="n">
        <v>1</v>
      </c>
      <c r="H322" s="25" t="n">
        <v>5</v>
      </c>
      <c r="I322" s="25" t="inlineStr">
        <is>
          <t>59 second(s)</t>
        </is>
      </c>
      <c r="J322" s="25">
        <f>IFERROR(VALUE(TRIM(LEFT(I322,FIND("minute",I322)-1)))*60,0)+IFERROR(VALUE(SUBSTITUTE(MID(I322,IFERROR(FIND("and",I322)+3,1),20),"second(s)","")),0)</f>
        <v/>
      </c>
      <c r="K322" s="41">
        <f>J322/60</f>
        <v/>
      </c>
      <c r="L322" s="41">
        <f>IFERROR(J322/H322,"")</f>
        <v/>
      </c>
      <c r="M322" s="25" t="inlineStr">
        <is>
          <t>2.5.12</t>
        </is>
      </c>
      <c r="N322" s="25">
        <f>IF(J322&gt;300,1,0)</f>
        <v/>
      </c>
      <c r="O322" s="25">
        <f>IF(J322&gt;600,1,0)</f>
        <v/>
      </c>
      <c r="P322" s="25">
        <f>IF(H322&gt;0,J322,"")</f>
        <v/>
      </c>
      <c r="Q322" s="25">
        <f>TEXT(A322,"YYYY-MM-DD HH")</f>
        <v/>
      </c>
      <c r="R322" s="25">
        <f>COUNTIF($Q$2:$Q$5295,Q322)</f>
        <v/>
      </c>
      <c r="S322" s="25">
        <f>IF(R322&lt;=2,"1-2",IF(R322&lt;=5,"3-5",IF(R322&lt;=10,"6-10","11+")))</f>
        <v/>
      </c>
    </row>
    <row r="323">
      <c r="A323" s="39" t="n">
        <v>46156.2850925926</v>
      </c>
      <c r="B323" s="25">
        <f>TEXT(A323,"YYYY-MM")</f>
        <v/>
      </c>
      <c r="C323" s="25">
        <f>TEXT(A323,"MMM-YYYY")</f>
        <v/>
      </c>
      <c r="D323" s="40">
        <f>INT(A323)-WEEKDAY(A323,2)+1</f>
        <v/>
      </c>
      <c r="E323" s="25" t="inlineStr">
        <is>
          <t>taggarwal</t>
        </is>
      </c>
      <c r="F323" s="25" t="n">
        <v>104296</v>
      </c>
      <c r="G323" s="25" t="n">
        <v>1</v>
      </c>
      <c r="H323" s="25" t="n">
        <v>7</v>
      </c>
      <c r="I323" s="25" t="inlineStr">
        <is>
          <t>2 minute(s) and 15 second(s)</t>
        </is>
      </c>
      <c r="J323" s="25">
        <f>IFERROR(VALUE(TRIM(LEFT(I323,FIND("minute",I323)-1)))*60,0)+IFERROR(VALUE(SUBSTITUTE(MID(I323,IFERROR(FIND("and",I323)+3,1),20),"second(s)","")),0)</f>
        <v/>
      </c>
      <c r="K323" s="41">
        <f>J323/60</f>
        <v/>
      </c>
      <c r="L323" s="41">
        <f>IFERROR(J323/H323,"")</f>
        <v/>
      </c>
      <c r="M323" s="25" t="inlineStr">
        <is>
          <t>2.5.12</t>
        </is>
      </c>
      <c r="N323" s="25">
        <f>IF(J323&gt;300,1,0)</f>
        <v/>
      </c>
      <c r="O323" s="25">
        <f>IF(J323&gt;600,1,0)</f>
        <v/>
      </c>
      <c r="P323" s="25">
        <f>IF(H323&gt;0,J323,"")</f>
        <v/>
      </c>
      <c r="Q323" s="25">
        <f>TEXT(A323,"YYYY-MM-DD HH")</f>
        <v/>
      </c>
      <c r="R323" s="25">
        <f>COUNTIF($Q$2:$Q$5295,Q323)</f>
        <v/>
      </c>
      <c r="S323" s="25">
        <f>IF(R323&lt;=2,"1-2",IF(R323&lt;=5,"3-5",IF(R323&lt;=10,"6-10","11+")))</f>
        <v/>
      </c>
    </row>
    <row r="324">
      <c r="A324" s="39" t="n">
        <v>46156.28887731482</v>
      </c>
      <c r="B324" s="25">
        <f>TEXT(A324,"YYYY-MM")</f>
        <v/>
      </c>
      <c r="C324" s="25">
        <f>TEXT(A324,"MMM-YYYY")</f>
        <v/>
      </c>
      <c r="D324" s="40">
        <f>INT(A324)-WEEKDAY(A324,2)+1</f>
        <v/>
      </c>
      <c r="E324" s="25" t="inlineStr">
        <is>
          <t>vreddy</t>
        </is>
      </c>
      <c r="F324" s="25" t="n">
        <v>115467</v>
      </c>
      <c r="G324" s="25" t="n">
        <v>1</v>
      </c>
      <c r="H324" s="25" t="n">
        <v>6</v>
      </c>
      <c r="I324" s="25" t="inlineStr">
        <is>
          <t>1 minute(s) and 17 second(s)</t>
        </is>
      </c>
      <c r="J324" s="25">
        <f>IFERROR(VALUE(TRIM(LEFT(I324,FIND("minute",I324)-1)))*60,0)+IFERROR(VALUE(SUBSTITUTE(MID(I324,IFERROR(FIND("and",I324)+3,1),20),"second(s)","")),0)</f>
        <v/>
      </c>
      <c r="K324" s="41">
        <f>J324/60</f>
        <v/>
      </c>
      <c r="L324" s="41">
        <f>IFERROR(J324/H324,"")</f>
        <v/>
      </c>
      <c r="M324" s="25" t="inlineStr">
        <is>
          <t>2.5.12</t>
        </is>
      </c>
      <c r="N324" s="25">
        <f>IF(J324&gt;300,1,0)</f>
        <v/>
      </c>
      <c r="O324" s="25">
        <f>IF(J324&gt;600,1,0)</f>
        <v/>
      </c>
      <c r="P324" s="25">
        <f>IF(H324&gt;0,J324,"")</f>
        <v/>
      </c>
      <c r="Q324" s="25">
        <f>TEXT(A324,"YYYY-MM-DD HH")</f>
        <v/>
      </c>
      <c r="R324" s="25">
        <f>COUNTIF($Q$2:$Q$5295,Q324)</f>
        <v/>
      </c>
      <c r="S324" s="25">
        <f>IF(R324&lt;=2,"1-2",IF(R324&lt;=5,"3-5",IF(R324&lt;=10,"6-10","11+")))</f>
        <v/>
      </c>
    </row>
    <row r="325">
      <c r="A325" s="39" t="n">
        <v>46156.28922453704</v>
      </c>
      <c r="B325" s="25">
        <f>TEXT(A325,"YYYY-MM")</f>
        <v/>
      </c>
      <c r="C325" s="25">
        <f>TEXT(A325,"MMM-YYYY")</f>
        <v/>
      </c>
      <c r="D325" s="40">
        <f>INT(A325)-WEEKDAY(A325,2)+1</f>
        <v/>
      </c>
      <c r="E325" s="25" t="inlineStr">
        <is>
          <t>ptomar</t>
        </is>
      </c>
      <c r="F325" s="25" t="n">
        <v>93875</v>
      </c>
      <c r="G325" s="25" t="n">
        <v>5</v>
      </c>
      <c r="H325" s="25" t="n">
        <v>19</v>
      </c>
      <c r="I325" s="25" t="inlineStr">
        <is>
          <t>2 minute(s) and 45 second(s)</t>
        </is>
      </c>
      <c r="J325" s="25">
        <f>IFERROR(VALUE(TRIM(LEFT(I325,FIND("minute",I325)-1)))*60,0)+IFERROR(VALUE(SUBSTITUTE(MID(I325,IFERROR(FIND("and",I325)+3,1),20),"second(s)","")),0)</f>
        <v/>
      </c>
      <c r="K325" s="41">
        <f>J325/60</f>
        <v/>
      </c>
      <c r="L325" s="41">
        <f>IFERROR(J325/H325,"")</f>
        <v/>
      </c>
      <c r="M325" s="25" t="inlineStr">
        <is>
          <t>2.5.12</t>
        </is>
      </c>
      <c r="N325" s="25">
        <f>IF(J325&gt;300,1,0)</f>
        <v/>
      </c>
      <c r="O325" s="25">
        <f>IF(J325&gt;600,1,0)</f>
        <v/>
      </c>
      <c r="P325" s="25">
        <f>IF(H325&gt;0,J325,"")</f>
        <v/>
      </c>
      <c r="Q325" s="25">
        <f>TEXT(A325,"YYYY-MM-DD HH")</f>
        <v/>
      </c>
      <c r="R325" s="25">
        <f>COUNTIF($Q$2:$Q$5295,Q325)</f>
        <v/>
      </c>
      <c r="S325" s="25">
        <f>IF(R325&lt;=2,"1-2",IF(R325&lt;=5,"3-5",IF(R325&lt;=10,"6-10","11+")))</f>
        <v/>
      </c>
    </row>
    <row r="326">
      <c r="A326" s="39" t="n">
        <v>46156.29586805555</v>
      </c>
      <c r="B326" s="25">
        <f>TEXT(A326,"YYYY-MM")</f>
        <v/>
      </c>
      <c r="C326" s="25">
        <f>TEXT(A326,"MMM-YYYY")</f>
        <v/>
      </c>
      <c r="D326" s="40">
        <f>INT(A326)-WEEKDAY(A326,2)+1</f>
        <v/>
      </c>
      <c r="E326" s="25" t="inlineStr">
        <is>
          <t>ssrinivasan</t>
        </is>
      </c>
      <c r="F326" s="25" t="n">
        <v>71338</v>
      </c>
      <c r="G326" s="25" t="n">
        <v>2</v>
      </c>
      <c r="H326" s="25" t="n">
        <v>12</v>
      </c>
      <c r="I326" s="25" t="inlineStr">
        <is>
          <t>4 minute(s) and 33 second(s)</t>
        </is>
      </c>
      <c r="J326" s="25">
        <f>IFERROR(VALUE(TRIM(LEFT(I326,FIND("minute",I326)-1)))*60,0)+IFERROR(VALUE(SUBSTITUTE(MID(I326,IFERROR(FIND("and",I326)+3,1),20),"second(s)","")),0)</f>
        <v/>
      </c>
      <c r="K326" s="41">
        <f>J326/60</f>
        <v/>
      </c>
      <c r="L326" s="41">
        <f>IFERROR(J326/H326,"")</f>
        <v/>
      </c>
      <c r="M326" s="25" t="inlineStr">
        <is>
          <t>2.5.12</t>
        </is>
      </c>
      <c r="N326" s="25">
        <f>IF(J326&gt;300,1,0)</f>
        <v/>
      </c>
      <c r="O326" s="25">
        <f>IF(J326&gt;600,1,0)</f>
        <v/>
      </c>
      <c r="P326" s="25">
        <f>IF(H326&gt;0,J326,"")</f>
        <v/>
      </c>
      <c r="Q326" s="25">
        <f>TEXT(A326,"YYYY-MM-DD HH")</f>
        <v/>
      </c>
      <c r="R326" s="25">
        <f>COUNTIF($Q$2:$Q$5295,Q326)</f>
        <v/>
      </c>
      <c r="S326" s="25">
        <f>IF(R326&lt;=2,"1-2",IF(R326&lt;=5,"3-5",IF(R326&lt;=10,"6-10","11+")))</f>
        <v/>
      </c>
    </row>
    <row r="327">
      <c r="A327" s="39" t="n">
        <v>46156.30541666667</v>
      </c>
      <c r="B327" s="25">
        <f>TEXT(A327,"YYYY-MM")</f>
        <v/>
      </c>
      <c r="C327" s="25">
        <f>TEXT(A327,"MMM-YYYY")</f>
        <v/>
      </c>
      <c r="D327" s="40">
        <f>INT(A327)-WEEKDAY(A327,2)+1</f>
        <v/>
      </c>
      <c r="E327" s="25" t="inlineStr">
        <is>
          <t>dbhattacharyya</t>
        </is>
      </c>
      <c r="F327" s="25" t="n">
        <v>117513</v>
      </c>
      <c r="G327" s="25" t="n">
        <v>2</v>
      </c>
      <c r="H327" s="25" t="n">
        <v>6</v>
      </c>
      <c r="I327" s="25" t="inlineStr">
        <is>
          <t>2 minute(s) and 13 second(s)</t>
        </is>
      </c>
      <c r="J327" s="25">
        <f>IFERROR(VALUE(TRIM(LEFT(I327,FIND("minute",I327)-1)))*60,0)+IFERROR(VALUE(SUBSTITUTE(MID(I327,IFERROR(FIND("and",I327)+3,1),20),"second(s)","")),0)</f>
        <v/>
      </c>
      <c r="K327" s="41">
        <f>J327/60</f>
        <v/>
      </c>
      <c r="L327" s="41">
        <f>IFERROR(J327/H327,"")</f>
        <v/>
      </c>
      <c r="M327" s="25" t="inlineStr">
        <is>
          <t>2.5.12</t>
        </is>
      </c>
      <c r="N327" s="25">
        <f>IF(J327&gt;300,1,0)</f>
        <v/>
      </c>
      <c r="O327" s="25">
        <f>IF(J327&gt;600,1,0)</f>
        <v/>
      </c>
      <c r="P327" s="25">
        <f>IF(H327&gt;0,J327,"")</f>
        <v/>
      </c>
      <c r="Q327" s="25">
        <f>TEXT(A327,"YYYY-MM-DD HH")</f>
        <v/>
      </c>
      <c r="R327" s="25">
        <f>COUNTIF($Q$2:$Q$5295,Q327)</f>
        <v/>
      </c>
      <c r="S327" s="25">
        <f>IF(R327&lt;=2,"1-2",IF(R327&lt;=5,"3-5",IF(R327&lt;=10,"6-10","11+")))</f>
        <v/>
      </c>
    </row>
    <row r="328">
      <c r="A328" s="39" t="n">
        <v>46156.30567129629</v>
      </c>
      <c r="B328" s="25">
        <f>TEXT(A328,"YYYY-MM")</f>
        <v/>
      </c>
      <c r="C328" s="25">
        <f>TEXT(A328,"MMM-YYYY")</f>
        <v/>
      </c>
      <c r="D328" s="40">
        <f>INT(A328)-WEEKDAY(A328,2)+1</f>
        <v/>
      </c>
      <c r="E328" s="25" t="inlineStr">
        <is>
          <t>npriya</t>
        </is>
      </c>
      <c r="F328" s="25" t="n">
        <v>107217</v>
      </c>
      <c r="G328" s="25" t="n">
        <v>5</v>
      </c>
      <c r="H328" s="25" t="n">
        <v>29</v>
      </c>
      <c r="I328" s="25" t="inlineStr">
        <is>
          <t>10 minute(s) and 12 second(s)</t>
        </is>
      </c>
      <c r="J328" s="25">
        <f>IFERROR(VALUE(TRIM(LEFT(I328,FIND("minute",I328)-1)))*60,0)+IFERROR(VALUE(SUBSTITUTE(MID(I328,IFERROR(FIND("and",I328)+3,1),20),"second(s)","")),0)</f>
        <v/>
      </c>
      <c r="K328" s="41">
        <f>J328/60</f>
        <v/>
      </c>
      <c r="L328" s="41">
        <f>IFERROR(J328/H328,"")</f>
        <v/>
      </c>
      <c r="M328" s="25" t="inlineStr">
        <is>
          <t>2.5.12</t>
        </is>
      </c>
      <c r="N328" s="25">
        <f>IF(J328&gt;300,1,0)</f>
        <v/>
      </c>
      <c r="O328" s="25">
        <f>IF(J328&gt;600,1,0)</f>
        <v/>
      </c>
      <c r="P328" s="25">
        <f>IF(H328&gt;0,J328,"")</f>
        <v/>
      </c>
      <c r="Q328" s="25">
        <f>TEXT(A328,"YYYY-MM-DD HH")</f>
        <v/>
      </c>
      <c r="R328" s="25">
        <f>COUNTIF($Q$2:$Q$5295,Q328)</f>
        <v/>
      </c>
      <c r="S328" s="25">
        <f>IF(R328&lt;=2,"1-2",IF(R328&lt;=5,"3-5",IF(R328&lt;=10,"6-10","11+")))</f>
        <v/>
      </c>
    </row>
    <row r="329">
      <c r="A329" s="39" t="n">
        <v>46156.30997685185</v>
      </c>
      <c r="B329" s="25">
        <f>TEXT(A329,"YYYY-MM")</f>
        <v/>
      </c>
      <c r="C329" s="25">
        <f>TEXT(A329,"MMM-YYYY")</f>
        <v/>
      </c>
      <c r="D329" s="40">
        <f>INT(A329)-WEEKDAY(A329,2)+1</f>
        <v/>
      </c>
      <c r="E329" s="25" t="inlineStr">
        <is>
          <t>emishra</t>
        </is>
      </c>
      <c r="F329" s="25" t="n">
        <v>105808</v>
      </c>
      <c r="G329" s="25" t="n">
        <v>5</v>
      </c>
      <c r="H329" s="25" t="n">
        <v>27</v>
      </c>
      <c r="I329" s="25" t="inlineStr">
        <is>
          <t>4 minute(s) and 9 second(s)</t>
        </is>
      </c>
      <c r="J329" s="25">
        <f>IFERROR(VALUE(TRIM(LEFT(I329,FIND("minute",I329)-1)))*60,0)+IFERROR(VALUE(SUBSTITUTE(MID(I329,IFERROR(FIND("and",I329)+3,1),20),"second(s)","")),0)</f>
        <v/>
      </c>
      <c r="K329" s="41">
        <f>J329/60</f>
        <v/>
      </c>
      <c r="L329" s="41">
        <f>IFERROR(J329/H329,"")</f>
        <v/>
      </c>
      <c r="M329" s="25" t="inlineStr">
        <is>
          <t>2.5.12</t>
        </is>
      </c>
      <c r="N329" s="25">
        <f>IF(J329&gt;300,1,0)</f>
        <v/>
      </c>
      <c r="O329" s="25">
        <f>IF(J329&gt;600,1,0)</f>
        <v/>
      </c>
      <c r="P329" s="25">
        <f>IF(H329&gt;0,J329,"")</f>
        <v/>
      </c>
      <c r="Q329" s="25">
        <f>TEXT(A329,"YYYY-MM-DD HH")</f>
        <v/>
      </c>
      <c r="R329" s="25">
        <f>COUNTIF($Q$2:$Q$5295,Q329)</f>
        <v/>
      </c>
      <c r="S329" s="25">
        <f>IF(R329&lt;=2,"1-2",IF(R329&lt;=5,"3-5",IF(R329&lt;=10,"6-10","11+")))</f>
        <v/>
      </c>
    </row>
    <row r="330">
      <c r="A330" s="39" t="n">
        <v>46156.31120370371</v>
      </c>
      <c r="B330" s="25">
        <f>TEXT(A330,"YYYY-MM")</f>
        <v/>
      </c>
      <c r="C330" s="25">
        <f>TEXT(A330,"MMM-YYYY")</f>
        <v/>
      </c>
      <c r="D330" s="40">
        <f>INT(A330)-WEEKDAY(A330,2)+1</f>
        <v/>
      </c>
      <c r="E330" s="25" t="inlineStr">
        <is>
          <t>mgupta</t>
        </is>
      </c>
      <c r="F330" s="25" t="n">
        <v>113097</v>
      </c>
      <c r="G330" s="25" t="n">
        <v>3</v>
      </c>
      <c r="H330" s="25" t="n">
        <v>13</v>
      </c>
      <c r="I330" s="25" t="inlineStr">
        <is>
          <t>2 minute(s) and 21 second(s)</t>
        </is>
      </c>
      <c r="J330" s="25">
        <f>IFERROR(VALUE(TRIM(LEFT(I330,FIND("minute",I330)-1)))*60,0)+IFERROR(VALUE(SUBSTITUTE(MID(I330,IFERROR(FIND("and",I330)+3,1),20),"second(s)","")),0)</f>
        <v/>
      </c>
      <c r="K330" s="41">
        <f>J330/60</f>
        <v/>
      </c>
      <c r="L330" s="41">
        <f>IFERROR(J330/H330,"")</f>
        <v/>
      </c>
      <c r="M330" s="25" t="inlineStr">
        <is>
          <t>2.5.12</t>
        </is>
      </c>
      <c r="N330" s="25">
        <f>IF(J330&gt;300,1,0)</f>
        <v/>
      </c>
      <c r="O330" s="25">
        <f>IF(J330&gt;600,1,0)</f>
        <v/>
      </c>
      <c r="P330" s="25">
        <f>IF(H330&gt;0,J330,"")</f>
        <v/>
      </c>
      <c r="Q330" s="25">
        <f>TEXT(A330,"YYYY-MM-DD HH")</f>
        <v/>
      </c>
      <c r="R330" s="25">
        <f>COUNTIF($Q$2:$Q$5295,Q330)</f>
        <v/>
      </c>
      <c r="S330" s="25">
        <f>IF(R330&lt;=2,"1-2",IF(R330&lt;=5,"3-5",IF(R330&lt;=10,"6-10","11+")))</f>
        <v/>
      </c>
    </row>
    <row r="331">
      <c r="A331" s="39" t="n">
        <v>46156.31577546296</v>
      </c>
      <c r="B331" s="25">
        <f>TEXT(A331,"YYYY-MM")</f>
        <v/>
      </c>
      <c r="C331" s="25">
        <f>TEXT(A331,"MMM-YYYY")</f>
        <v/>
      </c>
      <c r="D331" s="40">
        <f>INT(A331)-WEEKDAY(A331,2)+1</f>
        <v/>
      </c>
      <c r="E331" s="25" t="inlineStr">
        <is>
          <t>akumari</t>
        </is>
      </c>
      <c r="F331" s="25" t="n">
        <v>116808</v>
      </c>
      <c r="G331" s="25" t="n">
        <v>2</v>
      </c>
      <c r="H331" s="25" t="n">
        <v>10</v>
      </c>
      <c r="I331" s="25" t="inlineStr">
        <is>
          <t>1 minute(s) and 43 second(s)</t>
        </is>
      </c>
      <c r="J331" s="25">
        <f>IFERROR(VALUE(TRIM(LEFT(I331,FIND("minute",I331)-1)))*60,0)+IFERROR(VALUE(SUBSTITUTE(MID(I331,IFERROR(FIND("and",I331)+3,1),20),"second(s)","")),0)</f>
        <v/>
      </c>
      <c r="K331" s="41">
        <f>J331/60</f>
        <v/>
      </c>
      <c r="L331" s="41">
        <f>IFERROR(J331/H331,"")</f>
        <v/>
      </c>
      <c r="M331" s="25" t="inlineStr">
        <is>
          <t>2.5.12</t>
        </is>
      </c>
      <c r="N331" s="25">
        <f>IF(J331&gt;300,1,0)</f>
        <v/>
      </c>
      <c r="O331" s="25">
        <f>IF(J331&gt;600,1,0)</f>
        <v/>
      </c>
      <c r="P331" s="25">
        <f>IF(H331&gt;0,J331,"")</f>
        <v/>
      </c>
      <c r="Q331" s="25">
        <f>TEXT(A331,"YYYY-MM-DD HH")</f>
        <v/>
      </c>
      <c r="R331" s="25">
        <f>COUNTIF($Q$2:$Q$5295,Q331)</f>
        <v/>
      </c>
      <c r="S331" s="25">
        <f>IF(R331&lt;=2,"1-2",IF(R331&lt;=5,"3-5",IF(R331&lt;=10,"6-10","11+")))</f>
        <v/>
      </c>
    </row>
    <row r="332">
      <c r="A332" s="39" t="n">
        <v>46156.31652777778</v>
      </c>
      <c r="B332" s="25">
        <f>TEXT(A332,"YYYY-MM")</f>
        <v/>
      </c>
      <c r="C332" s="25">
        <f>TEXT(A332,"MMM-YYYY")</f>
        <v/>
      </c>
      <c r="D332" s="40">
        <f>INT(A332)-WEEKDAY(A332,2)+1</f>
        <v/>
      </c>
      <c r="E332" s="25" t="inlineStr">
        <is>
          <t>vreddy</t>
        </is>
      </c>
      <c r="F332" s="25" t="n">
        <v>84941</v>
      </c>
      <c r="G332" s="25" t="n">
        <v>1</v>
      </c>
      <c r="H332" s="25" t="n">
        <v>5</v>
      </c>
      <c r="I332" s="25" t="inlineStr">
        <is>
          <t>1 minute(s) and 9 second(s)</t>
        </is>
      </c>
      <c r="J332" s="25">
        <f>IFERROR(VALUE(TRIM(LEFT(I332,FIND("minute",I332)-1)))*60,0)+IFERROR(VALUE(SUBSTITUTE(MID(I332,IFERROR(FIND("and",I332)+3,1),20),"second(s)","")),0)</f>
        <v/>
      </c>
      <c r="K332" s="41">
        <f>J332/60</f>
        <v/>
      </c>
      <c r="L332" s="41">
        <f>IFERROR(J332/H332,"")</f>
        <v/>
      </c>
      <c r="M332" s="25" t="inlineStr">
        <is>
          <t>2.5.12</t>
        </is>
      </c>
      <c r="N332" s="25">
        <f>IF(J332&gt;300,1,0)</f>
        <v/>
      </c>
      <c r="O332" s="25">
        <f>IF(J332&gt;600,1,0)</f>
        <v/>
      </c>
      <c r="P332" s="25">
        <f>IF(H332&gt;0,J332,"")</f>
        <v/>
      </c>
      <c r="Q332" s="25">
        <f>TEXT(A332,"YYYY-MM-DD HH")</f>
        <v/>
      </c>
      <c r="R332" s="25">
        <f>COUNTIF($Q$2:$Q$5295,Q332)</f>
        <v/>
      </c>
      <c r="S332" s="25">
        <f>IF(R332&lt;=2,"1-2",IF(R332&lt;=5,"3-5",IF(R332&lt;=10,"6-10","11+")))</f>
        <v/>
      </c>
    </row>
    <row r="333">
      <c r="A333" s="39" t="n">
        <v>46156.31770833334</v>
      </c>
      <c r="B333" s="25">
        <f>TEXT(A333,"YYYY-MM")</f>
        <v/>
      </c>
      <c r="C333" s="25">
        <f>TEXT(A333,"MMM-YYYY")</f>
        <v/>
      </c>
      <c r="D333" s="40">
        <f>INT(A333)-WEEKDAY(A333,2)+1</f>
        <v/>
      </c>
      <c r="E333" s="25" t="inlineStr">
        <is>
          <t>taggarwal</t>
        </is>
      </c>
      <c r="F333" s="25" t="n">
        <v>103930</v>
      </c>
      <c r="G333" s="25" t="n">
        <v>1</v>
      </c>
      <c r="H333" s="25" t="n">
        <v>7</v>
      </c>
      <c r="I333" s="25" t="inlineStr">
        <is>
          <t>1 minute(s) and 42 second(s)</t>
        </is>
      </c>
      <c r="J333" s="25">
        <f>IFERROR(VALUE(TRIM(LEFT(I333,FIND("minute",I333)-1)))*60,0)+IFERROR(VALUE(SUBSTITUTE(MID(I333,IFERROR(FIND("and",I333)+3,1),20),"second(s)","")),0)</f>
        <v/>
      </c>
      <c r="K333" s="41">
        <f>J333/60</f>
        <v/>
      </c>
      <c r="L333" s="41">
        <f>IFERROR(J333/H333,"")</f>
        <v/>
      </c>
      <c r="M333" s="25" t="inlineStr">
        <is>
          <t>2.5.12</t>
        </is>
      </c>
      <c r="N333" s="25">
        <f>IF(J333&gt;300,1,0)</f>
        <v/>
      </c>
      <c r="O333" s="25">
        <f>IF(J333&gt;600,1,0)</f>
        <v/>
      </c>
      <c r="P333" s="25">
        <f>IF(H333&gt;0,J333,"")</f>
        <v/>
      </c>
      <c r="Q333" s="25">
        <f>TEXT(A333,"YYYY-MM-DD HH")</f>
        <v/>
      </c>
      <c r="R333" s="25">
        <f>COUNTIF($Q$2:$Q$5295,Q333)</f>
        <v/>
      </c>
      <c r="S333" s="25">
        <f>IF(R333&lt;=2,"1-2",IF(R333&lt;=5,"3-5",IF(R333&lt;=10,"6-10","11+")))</f>
        <v/>
      </c>
    </row>
    <row r="334">
      <c r="A334" s="39" t="n">
        <v>46156.33324074074</v>
      </c>
      <c r="B334" s="25">
        <f>TEXT(A334,"YYYY-MM")</f>
        <v/>
      </c>
      <c r="C334" s="25">
        <f>TEXT(A334,"MMM-YYYY")</f>
        <v/>
      </c>
      <c r="D334" s="40">
        <f>INT(A334)-WEEKDAY(A334,2)+1</f>
        <v/>
      </c>
      <c r="E334" s="25" t="inlineStr">
        <is>
          <t>mbhalla</t>
        </is>
      </c>
      <c r="F334" s="25" t="n">
        <v>115357</v>
      </c>
      <c r="G334" s="25" t="n">
        <v>3</v>
      </c>
      <c r="H334" s="25" t="n">
        <v>17</v>
      </c>
      <c r="I334" s="25" t="inlineStr">
        <is>
          <t>3 minute(s) and 39 second(s)</t>
        </is>
      </c>
      <c r="J334" s="25">
        <f>IFERROR(VALUE(TRIM(LEFT(I334,FIND("minute",I334)-1)))*60,0)+IFERROR(VALUE(SUBSTITUTE(MID(I334,IFERROR(FIND("and",I334)+3,1),20),"second(s)","")),0)</f>
        <v/>
      </c>
      <c r="K334" s="41">
        <f>J334/60</f>
        <v/>
      </c>
      <c r="L334" s="41">
        <f>IFERROR(J334/H334,"")</f>
        <v/>
      </c>
      <c r="M334" s="25" t="inlineStr">
        <is>
          <t>2.5.12</t>
        </is>
      </c>
      <c r="N334" s="25">
        <f>IF(J334&gt;300,1,0)</f>
        <v/>
      </c>
      <c r="O334" s="25">
        <f>IF(J334&gt;600,1,0)</f>
        <v/>
      </c>
      <c r="P334" s="25">
        <f>IF(H334&gt;0,J334,"")</f>
        <v/>
      </c>
      <c r="Q334" s="25">
        <f>TEXT(A334,"YYYY-MM-DD HH")</f>
        <v/>
      </c>
      <c r="R334" s="25">
        <f>COUNTIF($Q$2:$Q$5295,Q334)</f>
        <v/>
      </c>
      <c r="S334" s="25">
        <f>IF(R334&lt;=2,"1-2",IF(R334&lt;=5,"3-5",IF(R334&lt;=10,"6-10","11+")))</f>
        <v/>
      </c>
    </row>
    <row r="335">
      <c r="A335" s="39" t="n">
        <v>46156.34186342593</v>
      </c>
      <c r="B335" s="25">
        <f>TEXT(A335,"YYYY-MM")</f>
        <v/>
      </c>
      <c r="C335" s="25">
        <f>TEXT(A335,"MMM-YYYY")</f>
        <v/>
      </c>
      <c r="D335" s="40">
        <f>INT(A335)-WEEKDAY(A335,2)+1</f>
        <v/>
      </c>
      <c r="E335" s="25" t="inlineStr">
        <is>
          <t>emishra</t>
        </is>
      </c>
      <c r="F335" s="25" t="n">
        <v>116099</v>
      </c>
      <c r="G335" s="25" t="n">
        <v>3</v>
      </c>
      <c r="H335" s="25" t="n">
        <v>17</v>
      </c>
      <c r="I335" s="25" t="inlineStr">
        <is>
          <t>2 minute(s) and 30 second(s)</t>
        </is>
      </c>
      <c r="J335" s="25">
        <f>IFERROR(VALUE(TRIM(LEFT(I335,FIND("minute",I335)-1)))*60,0)+IFERROR(VALUE(SUBSTITUTE(MID(I335,IFERROR(FIND("and",I335)+3,1),20),"second(s)","")),0)</f>
        <v/>
      </c>
      <c r="K335" s="41">
        <f>J335/60</f>
        <v/>
      </c>
      <c r="L335" s="41">
        <f>IFERROR(J335/H335,"")</f>
        <v/>
      </c>
      <c r="M335" s="25" t="inlineStr">
        <is>
          <t>2.5.12</t>
        </is>
      </c>
      <c r="N335" s="25">
        <f>IF(J335&gt;300,1,0)</f>
        <v/>
      </c>
      <c r="O335" s="25">
        <f>IF(J335&gt;600,1,0)</f>
        <v/>
      </c>
      <c r="P335" s="25">
        <f>IF(H335&gt;0,J335,"")</f>
        <v/>
      </c>
      <c r="Q335" s="25">
        <f>TEXT(A335,"YYYY-MM-DD HH")</f>
        <v/>
      </c>
      <c r="R335" s="25">
        <f>COUNTIF($Q$2:$Q$5295,Q335)</f>
        <v/>
      </c>
      <c r="S335" s="25">
        <f>IF(R335&lt;=2,"1-2",IF(R335&lt;=5,"3-5",IF(R335&lt;=10,"6-10","11+")))</f>
        <v/>
      </c>
    </row>
    <row r="336">
      <c r="A336" s="39" t="n">
        <v>46156.34375</v>
      </c>
      <c r="B336" s="25">
        <f>TEXT(A336,"YYYY-MM")</f>
        <v/>
      </c>
      <c r="C336" s="25">
        <f>TEXT(A336,"MMM-YYYY")</f>
        <v/>
      </c>
      <c r="D336" s="40">
        <f>INT(A336)-WEEKDAY(A336,2)+1</f>
        <v/>
      </c>
      <c r="E336" s="25" t="inlineStr">
        <is>
          <t>sswati</t>
        </is>
      </c>
      <c r="F336" s="25" t="n">
        <v>85532</v>
      </c>
      <c r="G336" s="25" t="n">
        <v>3</v>
      </c>
      <c r="H336" s="25" t="n">
        <v>19</v>
      </c>
      <c r="I336" s="25" t="inlineStr">
        <is>
          <t>6 minute(s) and 22 second(s)</t>
        </is>
      </c>
      <c r="J336" s="25">
        <f>IFERROR(VALUE(TRIM(LEFT(I336,FIND("minute",I336)-1)))*60,0)+IFERROR(VALUE(SUBSTITUTE(MID(I336,IFERROR(FIND("and",I336)+3,1),20),"second(s)","")),0)</f>
        <v/>
      </c>
      <c r="K336" s="41">
        <f>J336/60</f>
        <v/>
      </c>
      <c r="L336" s="41">
        <f>IFERROR(J336/H336,"")</f>
        <v/>
      </c>
      <c r="M336" s="25" t="inlineStr">
        <is>
          <t>2.5.12</t>
        </is>
      </c>
      <c r="N336" s="25">
        <f>IF(J336&gt;300,1,0)</f>
        <v/>
      </c>
      <c r="O336" s="25">
        <f>IF(J336&gt;600,1,0)</f>
        <v/>
      </c>
      <c r="P336" s="25">
        <f>IF(H336&gt;0,J336,"")</f>
        <v/>
      </c>
      <c r="Q336" s="25">
        <f>TEXT(A336,"YYYY-MM-DD HH")</f>
        <v/>
      </c>
      <c r="R336" s="25">
        <f>COUNTIF($Q$2:$Q$5295,Q336)</f>
        <v/>
      </c>
      <c r="S336" s="25">
        <f>IF(R336&lt;=2,"1-2",IF(R336&lt;=5,"3-5",IF(R336&lt;=10,"6-10","11+")))</f>
        <v/>
      </c>
    </row>
    <row r="337">
      <c r="A337" s="39" t="n">
        <v>46156.34481481482</v>
      </c>
      <c r="B337" s="25">
        <f>TEXT(A337,"YYYY-MM")</f>
        <v/>
      </c>
      <c r="C337" s="25">
        <f>TEXT(A337,"MMM-YYYY")</f>
        <v/>
      </c>
      <c r="D337" s="40">
        <f>INT(A337)-WEEKDAY(A337,2)+1</f>
        <v/>
      </c>
      <c r="E337" s="25" t="inlineStr">
        <is>
          <t>hdutt</t>
        </is>
      </c>
      <c r="F337" s="25" t="n">
        <v>115746</v>
      </c>
      <c r="G337" s="25" t="n">
        <v>5</v>
      </c>
      <c r="H337" s="25" t="n">
        <v>29</v>
      </c>
      <c r="I337" s="25" t="inlineStr">
        <is>
          <t>8 minute(s) and 4 second(s)</t>
        </is>
      </c>
      <c r="J337" s="25">
        <f>IFERROR(VALUE(TRIM(LEFT(I337,FIND("minute",I337)-1)))*60,0)+IFERROR(VALUE(SUBSTITUTE(MID(I337,IFERROR(FIND("and",I337)+3,1),20),"second(s)","")),0)</f>
        <v/>
      </c>
      <c r="K337" s="41">
        <f>J337/60</f>
        <v/>
      </c>
      <c r="L337" s="41">
        <f>IFERROR(J337/H337,"")</f>
        <v/>
      </c>
      <c r="M337" s="25" t="inlineStr">
        <is>
          <t>2.5.12</t>
        </is>
      </c>
      <c r="N337" s="25">
        <f>IF(J337&gt;300,1,0)</f>
        <v/>
      </c>
      <c r="O337" s="25">
        <f>IF(J337&gt;600,1,0)</f>
        <v/>
      </c>
      <c r="P337" s="25">
        <f>IF(H337&gt;0,J337,"")</f>
        <v/>
      </c>
      <c r="Q337" s="25">
        <f>TEXT(A337,"YYYY-MM-DD HH")</f>
        <v/>
      </c>
      <c r="R337" s="25">
        <f>COUNTIF($Q$2:$Q$5295,Q337)</f>
        <v/>
      </c>
      <c r="S337" s="25">
        <f>IF(R337&lt;=2,"1-2",IF(R337&lt;=5,"3-5",IF(R337&lt;=10,"6-10","11+")))</f>
        <v/>
      </c>
    </row>
    <row r="338">
      <c r="A338" s="39" t="n">
        <v>46156.34542824074</v>
      </c>
      <c r="B338" s="25">
        <f>TEXT(A338,"YYYY-MM")</f>
        <v/>
      </c>
      <c r="C338" s="25">
        <f>TEXT(A338,"MMM-YYYY")</f>
        <v/>
      </c>
      <c r="D338" s="40">
        <f>INT(A338)-WEEKDAY(A338,2)+1</f>
        <v/>
      </c>
      <c r="E338" s="25" t="inlineStr">
        <is>
          <t>abhaskarkp</t>
        </is>
      </c>
      <c r="F338" s="25" t="n">
        <v>103838</v>
      </c>
      <c r="G338" s="25" t="n">
        <v>1</v>
      </c>
      <c r="H338" s="25" t="n">
        <v>6</v>
      </c>
      <c r="I338" s="25" t="inlineStr">
        <is>
          <t>1 minute(s) and 27 second(s)</t>
        </is>
      </c>
      <c r="J338" s="25">
        <f>IFERROR(VALUE(TRIM(LEFT(I338,FIND("minute",I338)-1)))*60,0)+IFERROR(VALUE(SUBSTITUTE(MID(I338,IFERROR(FIND("and",I338)+3,1),20),"second(s)","")),0)</f>
        <v/>
      </c>
      <c r="K338" s="41">
        <f>J338/60</f>
        <v/>
      </c>
      <c r="L338" s="41">
        <f>IFERROR(J338/H338,"")</f>
        <v/>
      </c>
      <c r="M338" s="25" t="inlineStr">
        <is>
          <t>2.5.12</t>
        </is>
      </c>
      <c r="N338" s="25">
        <f>IF(J338&gt;300,1,0)</f>
        <v/>
      </c>
      <c r="O338" s="25">
        <f>IF(J338&gt;600,1,0)</f>
        <v/>
      </c>
      <c r="P338" s="25">
        <f>IF(H338&gt;0,J338,"")</f>
        <v/>
      </c>
      <c r="Q338" s="25">
        <f>TEXT(A338,"YYYY-MM-DD HH")</f>
        <v/>
      </c>
      <c r="R338" s="25">
        <f>COUNTIF($Q$2:$Q$5295,Q338)</f>
        <v/>
      </c>
      <c r="S338" s="25">
        <f>IF(R338&lt;=2,"1-2",IF(R338&lt;=5,"3-5",IF(R338&lt;=10,"6-10","11+")))</f>
        <v/>
      </c>
    </row>
    <row r="339">
      <c r="A339" s="39" t="n">
        <v>46156.35239583333</v>
      </c>
      <c r="B339" s="25">
        <f>TEXT(A339,"YYYY-MM")</f>
        <v/>
      </c>
      <c r="C339" s="25">
        <f>TEXT(A339,"MMM-YYYY")</f>
        <v/>
      </c>
      <c r="D339" s="40">
        <f>INT(A339)-WEEKDAY(A339,2)+1</f>
        <v/>
      </c>
      <c r="E339" s="25" t="inlineStr">
        <is>
          <t>dbhattacharyya</t>
        </is>
      </c>
      <c r="F339" s="25" t="n">
        <v>115512</v>
      </c>
      <c r="G339" s="25" t="n">
        <v>2</v>
      </c>
      <c r="H339" s="25" t="n">
        <v>10</v>
      </c>
      <c r="I339" s="25" t="inlineStr">
        <is>
          <t>1 minute(s) and 21 second(s)</t>
        </is>
      </c>
      <c r="J339" s="25">
        <f>IFERROR(VALUE(TRIM(LEFT(I339,FIND("minute",I339)-1)))*60,0)+IFERROR(VALUE(SUBSTITUTE(MID(I339,IFERROR(FIND("and",I339)+3,1),20),"second(s)","")),0)</f>
        <v/>
      </c>
      <c r="K339" s="41">
        <f>J339/60</f>
        <v/>
      </c>
      <c r="L339" s="41">
        <f>IFERROR(J339/H339,"")</f>
        <v/>
      </c>
      <c r="M339" s="25" t="inlineStr">
        <is>
          <t>2.5.12</t>
        </is>
      </c>
      <c r="N339" s="25">
        <f>IF(J339&gt;300,1,0)</f>
        <v/>
      </c>
      <c r="O339" s="25">
        <f>IF(J339&gt;600,1,0)</f>
        <v/>
      </c>
      <c r="P339" s="25">
        <f>IF(H339&gt;0,J339,"")</f>
        <v/>
      </c>
      <c r="Q339" s="25">
        <f>TEXT(A339,"YYYY-MM-DD HH")</f>
        <v/>
      </c>
      <c r="R339" s="25">
        <f>COUNTIF($Q$2:$Q$5295,Q339)</f>
        <v/>
      </c>
      <c r="S339" s="25">
        <f>IF(R339&lt;=2,"1-2",IF(R339&lt;=5,"3-5",IF(R339&lt;=10,"6-10","11+")))</f>
        <v/>
      </c>
    </row>
    <row r="340">
      <c r="A340" s="39" t="n">
        <v>46156.36586805555</v>
      </c>
      <c r="B340" s="25">
        <f>TEXT(A340,"YYYY-MM")</f>
        <v/>
      </c>
      <c r="C340" s="25">
        <f>TEXT(A340,"MMM-YYYY")</f>
        <v/>
      </c>
      <c r="D340" s="40">
        <f>INT(A340)-WEEKDAY(A340,2)+1</f>
        <v/>
      </c>
      <c r="E340" s="25" t="inlineStr">
        <is>
          <t>hsindwani</t>
        </is>
      </c>
      <c r="F340" s="25" t="n">
        <v>93119</v>
      </c>
      <c r="G340" s="25" t="n">
        <v>1</v>
      </c>
      <c r="H340" s="25" t="n">
        <v>5</v>
      </c>
      <c r="I340" s="25" t="inlineStr">
        <is>
          <t>1 minute(s) and 16 second(s)</t>
        </is>
      </c>
      <c r="J340" s="25">
        <f>IFERROR(VALUE(TRIM(LEFT(I340,FIND("minute",I340)-1)))*60,0)+IFERROR(VALUE(SUBSTITUTE(MID(I340,IFERROR(FIND("and",I340)+3,1),20),"second(s)","")),0)</f>
        <v/>
      </c>
      <c r="K340" s="41">
        <f>J340/60</f>
        <v/>
      </c>
      <c r="L340" s="41">
        <f>IFERROR(J340/H340,"")</f>
        <v/>
      </c>
      <c r="M340" s="25" t="inlineStr">
        <is>
          <t>2.5.12</t>
        </is>
      </c>
      <c r="N340" s="25">
        <f>IF(J340&gt;300,1,0)</f>
        <v/>
      </c>
      <c r="O340" s="25">
        <f>IF(J340&gt;600,1,0)</f>
        <v/>
      </c>
      <c r="P340" s="25">
        <f>IF(H340&gt;0,J340,"")</f>
        <v/>
      </c>
      <c r="Q340" s="25">
        <f>TEXT(A340,"YYYY-MM-DD HH")</f>
        <v/>
      </c>
      <c r="R340" s="25">
        <f>COUNTIF($Q$2:$Q$5295,Q340)</f>
        <v/>
      </c>
      <c r="S340" s="25">
        <f>IF(R340&lt;=2,"1-2",IF(R340&lt;=5,"3-5",IF(R340&lt;=10,"6-10","11+")))</f>
        <v/>
      </c>
    </row>
    <row r="341">
      <c r="A341" s="39" t="n">
        <v>46156.36659722222</v>
      </c>
      <c r="B341" s="25">
        <f>TEXT(A341,"YYYY-MM")</f>
        <v/>
      </c>
      <c r="C341" s="25">
        <f>TEXT(A341,"MMM-YYYY")</f>
        <v/>
      </c>
      <c r="D341" s="40">
        <f>INT(A341)-WEEKDAY(A341,2)+1</f>
        <v/>
      </c>
      <c r="E341" s="25" t="inlineStr">
        <is>
          <t>akumari</t>
        </is>
      </c>
      <c r="F341" s="25" t="n">
        <v>98384</v>
      </c>
      <c r="G341" s="25" t="n">
        <v>5</v>
      </c>
      <c r="H341" s="25" t="n">
        <v>31</v>
      </c>
      <c r="I341" s="25" t="inlineStr">
        <is>
          <t>4 minute(s) and 50 second(s)</t>
        </is>
      </c>
      <c r="J341" s="25">
        <f>IFERROR(VALUE(TRIM(LEFT(I341,FIND("minute",I341)-1)))*60,0)+IFERROR(VALUE(SUBSTITUTE(MID(I341,IFERROR(FIND("and",I341)+3,1),20),"second(s)","")),0)</f>
        <v/>
      </c>
      <c r="K341" s="41">
        <f>J341/60</f>
        <v/>
      </c>
      <c r="L341" s="41">
        <f>IFERROR(J341/H341,"")</f>
        <v/>
      </c>
      <c r="M341" s="25" t="inlineStr">
        <is>
          <t>2.5.12</t>
        </is>
      </c>
      <c r="N341" s="25">
        <f>IF(J341&gt;300,1,0)</f>
        <v/>
      </c>
      <c r="O341" s="25">
        <f>IF(J341&gt;600,1,0)</f>
        <v/>
      </c>
      <c r="P341" s="25">
        <f>IF(H341&gt;0,J341,"")</f>
        <v/>
      </c>
      <c r="Q341" s="25">
        <f>TEXT(A341,"YYYY-MM-DD HH")</f>
        <v/>
      </c>
      <c r="R341" s="25">
        <f>COUNTIF($Q$2:$Q$5295,Q341)</f>
        <v/>
      </c>
      <c r="S341" s="25">
        <f>IF(R341&lt;=2,"1-2",IF(R341&lt;=5,"3-5",IF(R341&lt;=10,"6-10","11+")))</f>
        <v/>
      </c>
    </row>
    <row r="342">
      <c r="A342" s="39" t="n">
        <v>46156.37054398148</v>
      </c>
      <c r="B342" s="25">
        <f>TEXT(A342,"YYYY-MM")</f>
        <v/>
      </c>
      <c r="C342" s="25">
        <f>TEXT(A342,"MMM-YYYY")</f>
        <v/>
      </c>
      <c r="D342" s="40">
        <f>INT(A342)-WEEKDAY(A342,2)+1</f>
        <v/>
      </c>
      <c r="E342" s="25" t="inlineStr">
        <is>
          <t>psathwika</t>
        </is>
      </c>
      <c r="F342" s="25" t="n">
        <v>104419</v>
      </c>
      <c r="G342" s="25" t="n">
        <v>2</v>
      </c>
      <c r="H342" s="25" t="n">
        <v>12</v>
      </c>
      <c r="I342" s="25" t="inlineStr">
        <is>
          <t>7 minute(s) and 3 second(s)</t>
        </is>
      </c>
      <c r="J342" s="25">
        <f>IFERROR(VALUE(TRIM(LEFT(I342,FIND("minute",I342)-1)))*60,0)+IFERROR(VALUE(SUBSTITUTE(MID(I342,IFERROR(FIND("and",I342)+3,1),20),"second(s)","")),0)</f>
        <v/>
      </c>
      <c r="K342" s="41">
        <f>J342/60</f>
        <v/>
      </c>
      <c r="L342" s="41">
        <f>IFERROR(J342/H342,"")</f>
        <v/>
      </c>
      <c r="M342" s="25" t="inlineStr">
        <is>
          <t>2.5.12</t>
        </is>
      </c>
      <c r="N342" s="25">
        <f>IF(J342&gt;300,1,0)</f>
        <v/>
      </c>
      <c r="O342" s="25">
        <f>IF(J342&gt;600,1,0)</f>
        <v/>
      </c>
      <c r="P342" s="25">
        <f>IF(H342&gt;0,J342,"")</f>
        <v/>
      </c>
      <c r="Q342" s="25">
        <f>TEXT(A342,"YYYY-MM-DD HH")</f>
        <v/>
      </c>
      <c r="R342" s="25">
        <f>COUNTIF($Q$2:$Q$5295,Q342)</f>
        <v/>
      </c>
      <c r="S342" s="25">
        <f>IF(R342&lt;=2,"1-2",IF(R342&lt;=5,"3-5",IF(R342&lt;=10,"6-10","11+")))</f>
        <v/>
      </c>
    </row>
    <row r="343">
      <c r="A343" s="39" t="n">
        <v>46156.37662037037</v>
      </c>
      <c r="B343" s="25">
        <f>TEXT(A343,"YYYY-MM")</f>
        <v/>
      </c>
      <c r="C343" s="25">
        <f>TEXT(A343,"MMM-YYYY")</f>
        <v/>
      </c>
      <c r="D343" s="40">
        <f>INT(A343)-WEEKDAY(A343,2)+1</f>
        <v/>
      </c>
      <c r="E343" s="25" t="inlineStr">
        <is>
          <t>npriya</t>
        </is>
      </c>
      <c r="F343" s="25" t="n">
        <v>96357</v>
      </c>
      <c r="G343" s="25" t="n">
        <v>5</v>
      </c>
      <c r="H343" s="25" t="n">
        <v>29</v>
      </c>
      <c r="I343" s="25" t="inlineStr">
        <is>
          <t>6 minute(s) and 42 second(s)</t>
        </is>
      </c>
      <c r="J343" s="25">
        <f>IFERROR(VALUE(TRIM(LEFT(I343,FIND("minute",I343)-1)))*60,0)+IFERROR(VALUE(SUBSTITUTE(MID(I343,IFERROR(FIND("and",I343)+3,1),20),"second(s)","")),0)</f>
        <v/>
      </c>
      <c r="K343" s="41">
        <f>J343/60</f>
        <v/>
      </c>
      <c r="L343" s="41">
        <f>IFERROR(J343/H343,"")</f>
        <v/>
      </c>
      <c r="M343" s="25" t="inlineStr">
        <is>
          <t>2.5.12</t>
        </is>
      </c>
      <c r="N343" s="25">
        <f>IF(J343&gt;300,1,0)</f>
        <v/>
      </c>
      <c r="O343" s="25">
        <f>IF(J343&gt;600,1,0)</f>
        <v/>
      </c>
      <c r="P343" s="25">
        <f>IF(H343&gt;0,J343,"")</f>
        <v/>
      </c>
      <c r="Q343" s="25">
        <f>TEXT(A343,"YYYY-MM-DD HH")</f>
        <v/>
      </c>
      <c r="R343" s="25">
        <f>COUNTIF($Q$2:$Q$5295,Q343)</f>
        <v/>
      </c>
      <c r="S343" s="25">
        <f>IF(R343&lt;=2,"1-2",IF(R343&lt;=5,"3-5",IF(R343&lt;=10,"6-10","11+")))</f>
        <v/>
      </c>
    </row>
    <row r="344">
      <c r="A344" s="39" t="n">
        <v>46156.37914351852</v>
      </c>
      <c r="B344" s="25">
        <f>TEXT(A344,"YYYY-MM")</f>
        <v/>
      </c>
      <c r="C344" s="25">
        <f>TEXT(A344,"MMM-YYYY")</f>
        <v/>
      </c>
      <c r="D344" s="40">
        <f>INT(A344)-WEEKDAY(A344,2)+1</f>
        <v/>
      </c>
      <c r="E344" s="25" t="inlineStr">
        <is>
          <t>abhaskarkp</t>
        </is>
      </c>
      <c r="F344" s="25" t="n">
        <v>69534</v>
      </c>
      <c r="G344" s="25" t="n">
        <v>1</v>
      </c>
      <c r="H344" s="25" t="n">
        <v>5</v>
      </c>
      <c r="I344" s="25" t="inlineStr">
        <is>
          <t>1 minute(s) and 39 second(s)</t>
        </is>
      </c>
      <c r="J344" s="25">
        <f>IFERROR(VALUE(TRIM(LEFT(I344,FIND("minute",I344)-1)))*60,0)+IFERROR(VALUE(SUBSTITUTE(MID(I344,IFERROR(FIND("and",I344)+3,1),20),"second(s)","")),0)</f>
        <v/>
      </c>
      <c r="K344" s="41">
        <f>J344/60</f>
        <v/>
      </c>
      <c r="L344" s="41">
        <f>IFERROR(J344/H344,"")</f>
        <v/>
      </c>
      <c r="M344" s="25" t="inlineStr">
        <is>
          <t>2.5.12</t>
        </is>
      </c>
      <c r="N344" s="25">
        <f>IF(J344&gt;300,1,0)</f>
        <v/>
      </c>
      <c r="O344" s="25">
        <f>IF(J344&gt;600,1,0)</f>
        <v/>
      </c>
      <c r="P344" s="25">
        <f>IF(H344&gt;0,J344,"")</f>
        <v/>
      </c>
      <c r="Q344" s="25">
        <f>TEXT(A344,"YYYY-MM-DD HH")</f>
        <v/>
      </c>
      <c r="R344" s="25">
        <f>COUNTIF($Q$2:$Q$5295,Q344)</f>
        <v/>
      </c>
      <c r="S344" s="25">
        <f>IF(R344&lt;=2,"1-2",IF(R344&lt;=5,"3-5",IF(R344&lt;=10,"6-10","11+")))</f>
        <v/>
      </c>
    </row>
    <row r="345">
      <c r="A345" s="39" t="n">
        <v>46156.38167824074</v>
      </c>
      <c r="B345" s="25">
        <f>TEXT(A345,"YYYY-MM")</f>
        <v/>
      </c>
      <c r="C345" s="25">
        <f>TEXT(A345,"MMM-YYYY")</f>
        <v/>
      </c>
      <c r="D345" s="40">
        <f>INT(A345)-WEEKDAY(A345,2)+1</f>
        <v/>
      </c>
      <c r="E345" s="25" t="inlineStr">
        <is>
          <t>vreddy</t>
        </is>
      </c>
      <c r="F345" s="25" t="n">
        <v>97235</v>
      </c>
      <c r="G345" s="25" t="n">
        <v>1</v>
      </c>
      <c r="H345" s="25" t="n">
        <v>5</v>
      </c>
      <c r="I345" s="25" t="inlineStr">
        <is>
          <t>59 second(s)</t>
        </is>
      </c>
      <c r="J345" s="25">
        <f>IFERROR(VALUE(TRIM(LEFT(I345,FIND("minute",I345)-1)))*60,0)+IFERROR(VALUE(SUBSTITUTE(MID(I345,IFERROR(FIND("and",I345)+3,1),20),"second(s)","")),0)</f>
        <v/>
      </c>
      <c r="K345" s="41">
        <f>J345/60</f>
        <v/>
      </c>
      <c r="L345" s="41">
        <f>IFERROR(J345/H345,"")</f>
        <v/>
      </c>
      <c r="M345" s="25" t="inlineStr">
        <is>
          <t>2.5.12</t>
        </is>
      </c>
      <c r="N345" s="25">
        <f>IF(J345&gt;300,1,0)</f>
        <v/>
      </c>
      <c r="O345" s="25">
        <f>IF(J345&gt;600,1,0)</f>
        <v/>
      </c>
      <c r="P345" s="25">
        <f>IF(H345&gt;0,J345,"")</f>
        <v/>
      </c>
      <c r="Q345" s="25">
        <f>TEXT(A345,"YYYY-MM-DD HH")</f>
        <v/>
      </c>
      <c r="R345" s="25">
        <f>COUNTIF($Q$2:$Q$5295,Q345)</f>
        <v/>
      </c>
      <c r="S345" s="25">
        <f>IF(R345&lt;=2,"1-2",IF(R345&lt;=5,"3-5",IF(R345&lt;=10,"6-10","11+")))</f>
        <v/>
      </c>
    </row>
    <row r="346">
      <c r="A346" s="39" t="n">
        <v>46156.38730324074</v>
      </c>
      <c r="B346" s="25">
        <f>TEXT(A346,"YYYY-MM")</f>
        <v/>
      </c>
      <c r="C346" s="25">
        <f>TEXT(A346,"MMM-YYYY")</f>
        <v/>
      </c>
      <c r="D346" s="40">
        <f>INT(A346)-WEEKDAY(A346,2)+1</f>
        <v/>
      </c>
      <c r="E346" s="25" t="inlineStr">
        <is>
          <t>vraina</t>
        </is>
      </c>
      <c r="F346" s="25" t="n">
        <v>81006</v>
      </c>
      <c r="G346" s="25" t="n">
        <v>5</v>
      </c>
      <c r="H346" s="25" t="n">
        <v>25</v>
      </c>
      <c r="I346" s="25" t="inlineStr">
        <is>
          <t>5 minute(s) and 12 second(s)</t>
        </is>
      </c>
      <c r="J346" s="25">
        <f>IFERROR(VALUE(TRIM(LEFT(I346,FIND("minute",I346)-1)))*60,0)+IFERROR(VALUE(SUBSTITUTE(MID(I346,IFERROR(FIND("and",I346)+3,1),20),"second(s)","")),0)</f>
        <v/>
      </c>
      <c r="K346" s="41">
        <f>J346/60</f>
        <v/>
      </c>
      <c r="L346" s="41">
        <f>IFERROR(J346/H346,"")</f>
        <v/>
      </c>
      <c r="M346" s="25" t="inlineStr">
        <is>
          <t>2.5.12</t>
        </is>
      </c>
      <c r="N346" s="25">
        <f>IF(J346&gt;300,1,0)</f>
        <v/>
      </c>
      <c r="O346" s="25">
        <f>IF(J346&gt;600,1,0)</f>
        <v/>
      </c>
      <c r="P346" s="25">
        <f>IF(H346&gt;0,J346,"")</f>
        <v/>
      </c>
      <c r="Q346" s="25">
        <f>TEXT(A346,"YYYY-MM-DD HH")</f>
        <v/>
      </c>
      <c r="R346" s="25">
        <f>COUNTIF($Q$2:$Q$5295,Q346)</f>
        <v/>
      </c>
      <c r="S346" s="25">
        <f>IF(R346&lt;=2,"1-2",IF(R346&lt;=5,"3-5",IF(R346&lt;=10,"6-10","11+")))</f>
        <v/>
      </c>
    </row>
    <row r="347">
      <c r="A347" s="39" t="n">
        <v>46156.39362268519</v>
      </c>
      <c r="B347" s="25">
        <f>TEXT(A347,"YYYY-MM")</f>
        <v/>
      </c>
      <c r="C347" s="25">
        <f>TEXT(A347,"MMM-YYYY")</f>
        <v/>
      </c>
      <c r="D347" s="40">
        <f>INT(A347)-WEEKDAY(A347,2)+1</f>
        <v/>
      </c>
      <c r="E347" s="25" t="inlineStr">
        <is>
          <t>atiwari</t>
        </is>
      </c>
      <c r="F347" s="25" t="n">
        <v>115876</v>
      </c>
      <c r="G347" s="25" t="n">
        <v>6</v>
      </c>
      <c r="H347" s="25" t="n">
        <v>39</v>
      </c>
      <c r="I347" s="25" t="inlineStr">
        <is>
          <t>9 minute(s) and 20 second(s)</t>
        </is>
      </c>
      <c r="J347" s="25">
        <f>IFERROR(VALUE(TRIM(LEFT(I347,FIND("minute",I347)-1)))*60,0)+IFERROR(VALUE(SUBSTITUTE(MID(I347,IFERROR(FIND("and",I347)+3,1),20),"second(s)","")),0)</f>
        <v/>
      </c>
      <c r="K347" s="41">
        <f>J347/60</f>
        <v/>
      </c>
      <c r="L347" s="41">
        <f>IFERROR(J347/H347,"")</f>
        <v/>
      </c>
      <c r="M347" s="25" t="inlineStr">
        <is>
          <t>2.5.12</t>
        </is>
      </c>
      <c r="N347" s="25">
        <f>IF(J347&gt;300,1,0)</f>
        <v/>
      </c>
      <c r="O347" s="25">
        <f>IF(J347&gt;600,1,0)</f>
        <v/>
      </c>
      <c r="P347" s="25">
        <f>IF(H347&gt;0,J347,"")</f>
        <v/>
      </c>
      <c r="Q347" s="25">
        <f>TEXT(A347,"YYYY-MM-DD HH")</f>
        <v/>
      </c>
      <c r="R347" s="25">
        <f>COUNTIF($Q$2:$Q$5295,Q347)</f>
        <v/>
      </c>
      <c r="S347" s="25">
        <f>IF(R347&lt;=2,"1-2",IF(R347&lt;=5,"3-5",IF(R347&lt;=10,"6-10","11+")))</f>
        <v/>
      </c>
    </row>
    <row r="348">
      <c r="A348" s="39" t="n">
        <v>46156.40650462963</v>
      </c>
      <c r="B348" s="25">
        <f>TEXT(A348,"YYYY-MM")</f>
        <v/>
      </c>
      <c r="C348" s="25">
        <f>TEXT(A348,"MMM-YYYY")</f>
        <v/>
      </c>
      <c r="D348" s="40">
        <f>INT(A348)-WEEKDAY(A348,2)+1</f>
        <v/>
      </c>
      <c r="E348" s="25" t="inlineStr">
        <is>
          <t>shasikha</t>
        </is>
      </c>
      <c r="F348" s="25" t="n">
        <v>114042</v>
      </c>
      <c r="G348" s="25" t="n">
        <v>5</v>
      </c>
      <c r="H348" s="25" t="n">
        <v>28</v>
      </c>
      <c r="I348" s="25" t="inlineStr">
        <is>
          <t>7 minute(s) and 59 second(s)</t>
        </is>
      </c>
      <c r="J348" s="25">
        <f>IFERROR(VALUE(TRIM(LEFT(I348,FIND("minute",I348)-1)))*60,0)+IFERROR(VALUE(SUBSTITUTE(MID(I348,IFERROR(FIND("and",I348)+3,1),20),"second(s)","")),0)</f>
        <v/>
      </c>
      <c r="K348" s="41">
        <f>J348/60</f>
        <v/>
      </c>
      <c r="L348" s="41">
        <f>IFERROR(J348/H348,"")</f>
        <v/>
      </c>
      <c r="M348" s="25" t="inlineStr">
        <is>
          <t>2.5.12</t>
        </is>
      </c>
      <c r="N348" s="25">
        <f>IF(J348&gt;300,1,0)</f>
        <v/>
      </c>
      <c r="O348" s="25">
        <f>IF(J348&gt;600,1,0)</f>
        <v/>
      </c>
      <c r="P348" s="25">
        <f>IF(H348&gt;0,J348,"")</f>
        <v/>
      </c>
      <c r="Q348" s="25">
        <f>TEXT(A348,"YYYY-MM-DD HH")</f>
        <v/>
      </c>
      <c r="R348" s="25">
        <f>COUNTIF($Q$2:$Q$5295,Q348)</f>
        <v/>
      </c>
      <c r="S348" s="25">
        <f>IF(R348&lt;=2,"1-2",IF(R348&lt;=5,"3-5",IF(R348&lt;=10,"6-10","11+")))</f>
        <v/>
      </c>
    </row>
    <row r="349">
      <c r="A349" s="39" t="n">
        <v>46156.4099074074</v>
      </c>
      <c r="B349" s="25">
        <f>TEXT(A349,"YYYY-MM")</f>
        <v/>
      </c>
      <c r="C349" s="25">
        <f>TEXT(A349,"MMM-YYYY")</f>
        <v/>
      </c>
      <c r="D349" s="40">
        <f>INT(A349)-WEEKDAY(A349,2)+1</f>
        <v/>
      </c>
      <c r="E349" s="25" t="inlineStr">
        <is>
          <t>dbhattacharyya</t>
        </is>
      </c>
      <c r="F349" s="25" t="n">
        <v>69531</v>
      </c>
      <c r="G349" s="25" t="n">
        <v>5</v>
      </c>
      <c r="H349" s="25" t="n">
        <v>25</v>
      </c>
      <c r="I349" s="25" t="inlineStr">
        <is>
          <t>3 minute(s) and 57 second(s)</t>
        </is>
      </c>
      <c r="J349" s="25">
        <f>IFERROR(VALUE(TRIM(LEFT(I349,FIND("minute",I349)-1)))*60,0)+IFERROR(VALUE(SUBSTITUTE(MID(I349,IFERROR(FIND("and",I349)+3,1),20),"second(s)","")),0)</f>
        <v/>
      </c>
      <c r="K349" s="41">
        <f>J349/60</f>
        <v/>
      </c>
      <c r="L349" s="41">
        <f>IFERROR(J349/H349,"")</f>
        <v/>
      </c>
      <c r="M349" s="25" t="inlineStr">
        <is>
          <t>2.5.12</t>
        </is>
      </c>
      <c r="N349" s="25">
        <f>IF(J349&gt;300,1,0)</f>
        <v/>
      </c>
      <c r="O349" s="25">
        <f>IF(J349&gt;600,1,0)</f>
        <v/>
      </c>
      <c r="P349" s="25">
        <f>IF(H349&gt;0,J349,"")</f>
        <v/>
      </c>
      <c r="Q349" s="25">
        <f>TEXT(A349,"YYYY-MM-DD HH")</f>
        <v/>
      </c>
      <c r="R349" s="25">
        <f>COUNTIF($Q$2:$Q$5295,Q349)</f>
        <v/>
      </c>
      <c r="S349" s="25">
        <f>IF(R349&lt;=2,"1-2",IF(R349&lt;=5,"3-5",IF(R349&lt;=10,"6-10","11+")))</f>
        <v/>
      </c>
    </row>
    <row r="350">
      <c r="A350" s="39" t="n">
        <v>46156.41603009259</v>
      </c>
      <c r="B350" s="25">
        <f>TEXT(A350,"YYYY-MM")</f>
        <v/>
      </c>
      <c r="C350" s="25">
        <f>TEXT(A350,"MMM-YYYY")</f>
        <v/>
      </c>
      <c r="D350" s="40">
        <f>INT(A350)-WEEKDAY(A350,2)+1</f>
        <v/>
      </c>
      <c r="E350" s="25" t="inlineStr">
        <is>
          <t>arsarkar</t>
        </is>
      </c>
      <c r="F350" s="25" t="n">
        <v>103896</v>
      </c>
      <c r="G350" s="25" t="n">
        <v>1</v>
      </c>
      <c r="H350" s="25" t="n">
        <v>5</v>
      </c>
      <c r="I350" s="25" t="inlineStr">
        <is>
          <t>1 minute(s) and 21 second(s)</t>
        </is>
      </c>
      <c r="J350" s="25">
        <f>IFERROR(VALUE(TRIM(LEFT(I350,FIND("minute",I350)-1)))*60,0)+IFERROR(VALUE(SUBSTITUTE(MID(I350,IFERROR(FIND("and",I350)+3,1),20),"second(s)","")),0)</f>
        <v/>
      </c>
      <c r="K350" s="41">
        <f>J350/60</f>
        <v/>
      </c>
      <c r="L350" s="41">
        <f>IFERROR(J350/H350,"")</f>
        <v/>
      </c>
      <c r="M350" s="25" t="inlineStr">
        <is>
          <t>2.5.12</t>
        </is>
      </c>
      <c r="N350" s="25">
        <f>IF(J350&gt;300,1,0)</f>
        <v/>
      </c>
      <c r="O350" s="25">
        <f>IF(J350&gt;600,1,0)</f>
        <v/>
      </c>
      <c r="P350" s="25">
        <f>IF(H350&gt;0,J350,"")</f>
        <v/>
      </c>
      <c r="Q350" s="25">
        <f>TEXT(A350,"YYYY-MM-DD HH")</f>
        <v/>
      </c>
      <c r="R350" s="25">
        <f>COUNTIF($Q$2:$Q$5295,Q350)</f>
        <v/>
      </c>
      <c r="S350" s="25">
        <f>IF(R350&lt;=2,"1-2",IF(R350&lt;=5,"3-5",IF(R350&lt;=10,"6-10","11+")))</f>
        <v/>
      </c>
    </row>
    <row r="351">
      <c r="A351" s="39" t="n">
        <v>46156.42018518518</v>
      </c>
      <c r="B351" s="25">
        <f>TEXT(A351,"YYYY-MM")</f>
        <v/>
      </c>
      <c r="C351" s="25">
        <f>TEXT(A351,"MMM-YYYY")</f>
        <v/>
      </c>
      <c r="D351" s="40">
        <f>INT(A351)-WEEKDAY(A351,2)+1</f>
        <v/>
      </c>
      <c r="E351" s="25" t="inlineStr">
        <is>
          <t>nbindu</t>
        </is>
      </c>
      <c r="F351" s="25" t="n">
        <v>70789</v>
      </c>
      <c r="G351" s="25" t="n">
        <v>4</v>
      </c>
      <c r="H351" s="25" t="n">
        <v>20</v>
      </c>
      <c r="I351" s="25" t="inlineStr">
        <is>
          <t>4 minute(s) and 20 second(s)</t>
        </is>
      </c>
      <c r="J351" s="25">
        <f>IFERROR(VALUE(TRIM(LEFT(I351,FIND("minute",I351)-1)))*60,0)+IFERROR(VALUE(SUBSTITUTE(MID(I351,IFERROR(FIND("and",I351)+3,1),20),"second(s)","")),0)</f>
        <v/>
      </c>
      <c r="K351" s="41">
        <f>J351/60</f>
        <v/>
      </c>
      <c r="L351" s="41">
        <f>IFERROR(J351/H351,"")</f>
        <v/>
      </c>
      <c r="M351" s="25" t="inlineStr">
        <is>
          <t>2.5.12</t>
        </is>
      </c>
      <c r="N351" s="25">
        <f>IF(J351&gt;300,1,0)</f>
        <v/>
      </c>
      <c r="O351" s="25">
        <f>IF(J351&gt;600,1,0)</f>
        <v/>
      </c>
      <c r="P351" s="25">
        <f>IF(H351&gt;0,J351,"")</f>
        <v/>
      </c>
      <c r="Q351" s="25">
        <f>TEXT(A351,"YYYY-MM-DD HH")</f>
        <v/>
      </c>
      <c r="R351" s="25">
        <f>COUNTIF($Q$2:$Q$5295,Q351)</f>
        <v/>
      </c>
      <c r="S351" s="25">
        <f>IF(R351&lt;=2,"1-2",IF(R351&lt;=5,"3-5",IF(R351&lt;=10,"6-10","11+")))</f>
        <v/>
      </c>
    </row>
    <row r="352">
      <c r="A352" s="39" t="n">
        <v>46156.4221875</v>
      </c>
      <c r="B352" s="25">
        <f>TEXT(A352,"YYYY-MM")</f>
        <v/>
      </c>
      <c r="C352" s="25">
        <f>TEXT(A352,"MMM-YYYY")</f>
        <v/>
      </c>
      <c r="D352" s="40">
        <f>INT(A352)-WEEKDAY(A352,2)+1</f>
        <v/>
      </c>
      <c r="E352" s="25" t="inlineStr">
        <is>
          <t>ssneha</t>
        </is>
      </c>
      <c r="F352" s="25" t="n">
        <v>107302</v>
      </c>
      <c r="G352" s="25" t="n">
        <v>1</v>
      </c>
      <c r="H352" s="25" t="n">
        <v>5</v>
      </c>
      <c r="I352" s="25" t="inlineStr">
        <is>
          <t>3 minute(s) and 55 second(s)</t>
        </is>
      </c>
      <c r="J352" s="25">
        <f>IFERROR(VALUE(TRIM(LEFT(I352,FIND("minute",I352)-1)))*60,0)+IFERROR(VALUE(SUBSTITUTE(MID(I352,IFERROR(FIND("and",I352)+3,1),20),"second(s)","")),0)</f>
        <v/>
      </c>
      <c r="K352" s="41">
        <f>J352/60</f>
        <v/>
      </c>
      <c r="L352" s="41">
        <f>IFERROR(J352/H352,"")</f>
        <v/>
      </c>
      <c r="M352" s="25" t="inlineStr">
        <is>
          <t>2.5.12</t>
        </is>
      </c>
      <c r="N352" s="25">
        <f>IF(J352&gt;300,1,0)</f>
        <v/>
      </c>
      <c r="O352" s="25">
        <f>IF(J352&gt;600,1,0)</f>
        <v/>
      </c>
      <c r="P352" s="25">
        <f>IF(H352&gt;0,J352,"")</f>
        <v/>
      </c>
      <c r="Q352" s="25">
        <f>TEXT(A352,"YYYY-MM-DD HH")</f>
        <v/>
      </c>
      <c r="R352" s="25">
        <f>COUNTIF($Q$2:$Q$5295,Q352)</f>
        <v/>
      </c>
      <c r="S352" s="25">
        <f>IF(R352&lt;=2,"1-2",IF(R352&lt;=5,"3-5",IF(R352&lt;=10,"6-10","11+")))</f>
        <v/>
      </c>
    </row>
    <row r="353">
      <c r="A353" s="39" t="n">
        <v>46156.43083333333</v>
      </c>
      <c r="B353" s="25">
        <f>TEXT(A353,"YYYY-MM")</f>
        <v/>
      </c>
      <c r="C353" s="25">
        <f>TEXT(A353,"MMM-YYYY")</f>
        <v/>
      </c>
      <c r="D353" s="40">
        <f>INT(A353)-WEEKDAY(A353,2)+1</f>
        <v/>
      </c>
      <c r="E353" s="25" t="inlineStr">
        <is>
          <t>psathwika</t>
        </is>
      </c>
      <c r="F353" s="25" t="n">
        <v>113817</v>
      </c>
      <c r="G353" s="25" t="n">
        <v>2</v>
      </c>
      <c r="H353" s="25" t="n">
        <v>12</v>
      </c>
      <c r="I353" s="25" t="inlineStr">
        <is>
          <t>4 minute(s) and 51 second(s)</t>
        </is>
      </c>
      <c r="J353" s="25">
        <f>IFERROR(VALUE(TRIM(LEFT(I353,FIND("minute",I353)-1)))*60,0)+IFERROR(VALUE(SUBSTITUTE(MID(I353,IFERROR(FIND("and",I353)+3,1),20),"second(s)","")),0)</f>
        <v/>
      </c>
      <c r="K353" s="41">
        <f>J353/60</f>
        <v/>
      </c>
      <c r="L353" s="41">
        <f>IFERROR(J353/H353,"")</f>
        <v/>
      </c>
      <c r="M353" s="25" t="inlineStr">
        <is>
          <t>2.5.12</t>
        </is>
      </c>
      <c r="N353" s="25">
        <f>IF(J353&gt;300,1,0)</f>
        <v/>
      </c>
      <c r="O353" s="25">
        <f>IF(J353&gt;600,1,0)</f>
        <v/>
      </c>
      <c r="P353" s="25">
        <f>IF(H353&gt;0,J353,"")</f>
        <v/>
      </c>
      <c r="Q353" s="25">
        <f>TEXT(A353,"YYYY-MM-DD HH")</f>
        <v/>
      </c>
      <c r="R353" s="25">
        <f>COUNTIF($Q$2:$Q$5295,Q353)</f>
        <v/>
      </c>
      <c r="S353" s="25">
        <f>IF(R353&lt;=2,"1-2",IF(R353&lt;=5,"3-5",IF(R353&lt;=10,"6-10","11+")))</f>
        <v/>
      </c>
    </row>
    <row r="354">
      <c r="A354" s="39" t="n">
        <v>46156.44723379629</v>
      </c>
      <c r="B354" s="25">
        <f>TEXT(A354,"YYYY-MM")</f>
        <v/>
      </c>
      <c r="C354" s="25">
        <f>TEXT(A354,"MMM-YYYY")</f>
        <v/>
      </c>
      <c r="D354" s="40">
        <f>INT(A354)-WEEKDAY(A354,2)+1</f>
        <v/>
      </c>
      <c r="E354" s="25" t="inlineStr">
        <is>
          <t>ssrinivasan</t>
        </is>
      </c>
      <c r="F354" s="25" t="n">
        <v>108567</v>
      </c>
      <c r="G354" s="25" t="n">
        <v>4</v>
      </c>
      <c r="H354" s="25" t="n">
        <v>28</v>
      </c>
      <c r="I354" s="25" t="inlineStr">
        <is>
          <t>7 minute(s) and 15 second(s)</t>
        </is>
      </c>
      <c r="J354" s="25">
        <f>IFERROR(VALUE(TRIM(LEFT(I354,FIND("minute",I354)-1)))*60,0)+IFERROR(VALUE(SUBSTITUTE(MID(I354,IFERROR(FIND("and",I354)+3,1),20),"second(s)","")),0)</f>
        <v/>
      </c>
      <c r="K354" s="41">
        <f>J354/60</f>
        <v/>
      </c>
      <c r="L354" s="41">
        <f>IFERROR(J354/H354,"")</f>
        <v/>
      </c>
      <c r="M354" s="25" t="inlineStr">
        <is>
          <t>2.5.12</t>
        </is>
      </c>
      <c r="N354" s="25">
        <f>IF(J354&gt;300,1,0)</f>
        <v/>
      </c>
      <c r="O354" s="25">
        <f>IF(J354&gt;600,1,0)</f>
        <v/>
      </c>
      <c r="P354" s="25">
        <f>IF(H354&gt;0,J354,"")</f>
        <v/>
      </c>
      <c r="Q354" s="25">
        <f>TEXT(A354,"YYYY-MM-DD HH")</f>
        <v/>
      </c>
      <c r="R354" s="25">
        <f>COUNTIF($Q$2:$Q$5295,Q354)</f>
        <v/>
      </c>
      <c r="S354" s="25">
        <f>IF(R354&lt;=2,"1-2",IF(R354&lt;=5,"3-5",IF(R354&lt;=10,"6-10","11+")))</f>
        <v/>
      </c>
    </row>
    <row r="355">
      <c r="A355" s="39" t="n">
        <v>46156.46167824074</v>
      </c>
      <c r="B355" s="25">
        <f>TEXT(A355,"YYYY-MM")</f>
        <v/>
      </c>
      <c r="C355" s="25">
        <f>TEXT(A355,"MMM-YYYY")</f>
        <v/>
      </c>
      <c r="D355" s="40">
        <f>INT(A355)-WEEKDAY(A355,2)+1</f>
        <v/>
      </c>
      <c r="E355" s="25" t="inlineStr">
        <is>
          <t>ns</t>
        </is>
      </c>
      <c r="F355" s="25" t="n">
        <v>96806</v>
      </c>
      <c r="G355" s="25" t="n">
        <v>1</v>
      </c>
      <c r="H355" s="25" t="n">
        <v>5</v>
      </c>
      <c r="I355" s="25" t="inlineStr">
        <is>
          <t>1 minute(s) and 10 second(s)</t>
        </is>
      </c>
      <c r="J355" s="25">
        <f>IFERROR(VALUE(TRIM(LEFT(I355,FIND("minute",I355)-1)))*60,0)+IFERROR(VALUE(SUBSTITUTE(MID(I355,IFERROR(FIND("and",I355)+3,1),20),"second(s)","")),0)</f>
        <v/>
      </c>
      <c r="K355" s="41">
        <f>J355/60</f>
        <v/>
      </c>
      <c r="L355" s="41">
        <f>IFERROR(J355/H355,"")</f>
        <v/>
      </c>
      <c r="M355" s="25" t="inlineStr">
        <is>
          <t>2.5.12</t>
        </is>
      </c>
      <c r="N355" s="25">
        <f>IF(J355&gt;300,1,0)</f>
        <v/>
      </c>
      <c r="O355" s="25">
        <f>IF(J355&gt;600,1,0)</f>
        <v/>
      </c>
      <c r="P355" s="25">
        <f>IF(H355&gt;0,J355,"")</f>
        <v/>
      </c>
      <c r="Q355" s="25">
        <f>TEXT(A355,"YYYY-MM-DD HH")</f>
        <v/>
      </c>
      <c r="R355" s="25">
        <f>COUNTIF($Q$2:$Q$5295,Q355)</f>
        <v/>
      </c>
      <c r="S355" s="25">
        <f>IF(R355&lt;=2,"1-2",IF(R355&lt;=5,"3-5",IF(R355&lt;=10,"6-10","11+")))</f>
        <v/>
      </c>
    </row>
    <row r="356">
      <c r="A356" s="39" t="n">
        <v>46156.47451388889</v>
      </c>
      <c r="B356" s="25">
        <f>TEXT(A356,"YYYY-MM")</f>
        <v/>
      </c>
      <c r="C356" s="25">
        <f>TEXT(A356,"MMM-YYYY")</f>
        <v/>
      </c>
      <c r="D356" s="40">
        <f>INT(A356)-WEEKDAY(A356,2)+1</f>
        <v/>
      </c>
      <c r="E356" s="25" t="inlineStr">
        <is>
          <t>shasikha</t>
        </is>
      </c>
      <c r="F356" s="25" t="n">
        <v>83720</v>
      </c>
      <c r="G356" s="25" t="n">
        <v>2</v>
      </c>
      <c r="H356" s="25" t="n">
        <v>6</v>
      </c>
      <c r="I356" s="25" t="inlineStr">
        <is>
          <t>1 minute(s) and 3 second(s)</t>
        </is>
      </c>
      <c r="J356" s="25">
        <f>IFERROR(VALUE(TRIM(LEFT(I356,FIND("minute",I356)-1)))*60,0)+IFERROR(VALUE(SUBSTITUTE(MID(I356,IFERROR(FIND("and",I356)+3,1),20),"second(s)","")),0)</f>
        <v/>
      </c>
      <c r="K356" s="41">
        <f>J356/60</f>
        <v/>
      </c>
      <c r="L356" s="41">
        <f>IFERROR(J356/H356,"")</f>
        <v/>
      </c>
      <c r="M356" s="25" t="inlineStr">
        <is>
          <t>2.5.12</t>
        </is>
      </c>
      <c r="N356" s="25">
        <f>IF(J356&gt;300,1,0)</f>
        <v/>
      </c>
      <c r="O356" s="25">
        <f>IF(J356&gt;600,1,0)</f>
        <v/>
      </c>
      <c r="P356" s="25">
        <f>IF(H356&gt;0,J356,"")</f>
        <v/>
      </c>
      <c r="Q356" s="25">
        <f>TEXT(A356,"YYYY-MM-DD HH")</f>
        <v/>
      </c>
      <c r="R356" s="25">
        <f>COUNTIF($Q$2:$Q$5295,Q356)</f>
        <v/>
      </c>
      <c r="S356" s="25">
        <f>IF(R356&lt;=2,"1-2",IF(R356&lt;=5,"3-5",IF(R356&lt;=10,"6-10","11+")))</f>
        <v/>
      </c>
    </row>
    <row r="357">
      <c r="A357" s="39" t="n">
        <v>46156.49482638889</v>
      </c>
      <c r="B357" s="25">
        <f>TEXT(A357,"YYYY-MM")</f>
        <v/>
      </c>
      <c r="C357" s="25">
        <f>TEXT(A357,"MMM-YYYY")</f>
        <v/>
      </c>
      <c r="D357" s="40">
        <f>INT(A357)-WEEKDAY(A357,2)+1</f>
        <v/>
      </c>
      <c r="E357" s="25" t="inlineStr">
        <is>
          <t>agandhi</t>
        </is>
      </c>
      <c r="F357" s="25" t="n">
        <v>114189</v>
      </c>
      <c r="G357" s="25" t="n">
        <v>5</v>
      </c>
      <c r="H357" s="25" t="n">
        <v>27</v>
      </c>
      <c r="I357" s="25" t="inlineStr">
        <is>
          <t>4 minute(s) and 53 second(s)</t>
        </is>
      </c>
      <c r="J357" s="25">
        <f>IFERROR(VALUE(TRIM(LEFT(I357,FIND("minute",I357)-1)))*60,0)+IFERROR(VALUE(SUBSTITUTE(MID(I357,IFERROR(FIND("and",I357)+3,1),20),"second(s)","")),0)</f>
        <v/>
      </c>
      <c r="K357" s="41">
        <f>J357/60</f>
        <v/>
      </c>
      <c r="L357" s="41">
        <f>IFERROR(J357/H357,"")</f>
        <v/>
      </c>
      <c r="M357" s="25" t="inlineStr">
        <is>
          <t>2.5.12</t>
        </is>
      </c>
      <c r="N357" s="25">
        <f>IF(J357&gt;300,1,0)</f>
        <v/>
      </c>
      <c r="O357" s="25">
        <f>IF(J357&gt;600,1,0)</f>
        <v/>
      </c>
      <c r="P357" s="25">
        <f>IF(H357&gt;0,J357,"")</f>
        <v/>
      </c>
      <c r="Q357" s="25">
        <f>TEXT(A357,"YYYY-MM-DD HH")</f>
        <v/>
      </c>
      <c r="R357" s="25">
        <f>COUNTIF($Q$2:$Q$5295,Q357)</f>
        <v/>
      </c>
      <c r="S357" s="25">
        <f>IF(R357&lt;=2,"1-2",IF(R357&lt;=5,"3-5",IF(R357&lt;=10,"6-10","11+")))</f>
        <v/>
      </c>
    </row>
    <row r="358">
      <c r="A358" s="39" t="n">
        <v>46156.50378472222</v>
      </c>
      <c r="B358" s="25">
        <f>TEXT(A358,"YYYY-MM")</f>
        <v/>
      </c>
      <c r="C358" s="25">
        <f>TEXT(A358,"MMM-YYYY")</f>
        <v/>
      </c>
      <c r="D358" s="40">
        <f>INT(A358)-WEEKDAY(A358,2)+1</f>
        <v/>
      </c>
      <c r="E358" s="25" t="inlineStr">
        <is>
          <t>hdutt</t>
        </is>
      </c>
      <c r="F358" s="25" t="n">
        <v>83828</v>
      </c>
      <c r="G358" s="25" t="n">
        <v>2</v>
      </c>
      <c r="H358" s="25" t="n">
        <v>12</v>
      </c>
      <c r="I358" s="25" t="inlineStr">
        <is>
          <t>3 minute(s) and 14 second(s)</t>
        </is>
      </c>
      <c r="J358" s="25">
        <f>IFERROR(VALUE(TRIM(LEFT(I358,FIND("minute",I358)-1)))*60,0)+IFERROR(VALUE(SUBSTITUTE(MID(I358,IFERROR(FIND("and",I358)+3,1),20),"second(s)","")),0)</f>
        <v/>
      </c>
      <c r="K358" s="41">
        <f>J358/60</f>
        <v/>
      </c>
      <c r="L358" s="41">
        <f>IFERROR(J358/H358,"")</f>
        <v/>
      </c>
      <c r="M358" s="25" t="inlineStr">
        <is>
          <t>2.5.12</t>
        </is>
      </c>
      <c r="N358" s="25">
        <f>IF(J358&gt;300,1,0)</f>
        <v/>
      </c>
      <c r="O358" s="25">
        <f>IF(J358&gt;600,1,0)</f>
        <v/>
      </c>
      <c r="P358" s="25">
        <f>IF(H358&gt;0,J358,"")</f>
        <v/>
      </c>
      <c r="Q358" s="25">
        <f>TEXT(A358,"YYYY-MM-DD HH")</f>
        <v/>
      </c>
      <c r="R358" s="25">
        <f>COUNTIF($Q$2:$Q$5295,Q358)</f>
        <v/>
      </c>
      <c r="S358" s="25">
        <f>IF(R358&lt;=2,"1-2",IF(R358&lt;=5,"3-5",IF(R358&lt;=10,"6-10","11+")))</f>
        <v/>
      </c>
    </row>
    <row r="359">
      <c r="A359" s="39" t="n">
        <v>46156.50590277778</v>
      </c>
      <c r="B359" s="25">
        <f>TEXT(A359,"YYYY-MM")</f>
        <v/>
      </c>
      <c r="C359" s="25">
        <f>TEXT(A359,"MMM-YYYY")</f>
        <v/>
      </c>
      <c r="D359" s="40">
        <f>INT(A359)-WEEKDAY(A359,2)+1</f>
        <v/>
      </c>
      <c r="E359" s="25" t="inlineStr">
        <is>
          <t>ns</t>
        </is>
      </c>
      <c r="F359" s="25" t="n">
        <v>115302</v>
      </c>
      <c r="G359" s="25" t="n">
        <v>2</v>
      </c>
      <c r="H359" s="25" t="n">
        <v>12</v>
      </c>
      <c r="I359" s="25" t="inlineStr">
        <is>
          <t>2 minute(s) and 33 second(s)</t>
        </is>
      </c>
      <c r="J359" s="25">
        <f>IFERROR(VALUE(TRIM(LEFT(I359,FIND("minute",I359)-1)))*60,0)+IFERROR(VALUE(SUBSTITUTE(MID(I359,IFERROR(FIND("and",I359)+3,1),20),"second(s)","")),0)</f>
        <v/>
      </c>
      <c r="K359" s="41">
        <f>J359/60</f>
        <v/>
      </c>
      <c r="L359" s="41">
        <f>IFERROR(J359/H359,"")</f>
        <v/>
      </c>
      <c r="M359" s="25" t="inlineStr">
        <is>
          <t>2.5.12</t>
        </is>
      </c>
      <c r="N359" s="25">
        <f>IF(J359&gt;300,1,0)</f>
        <v/>
      </c>
      <c r="O359" s="25">
        <f>IF(J359&gt;600,1,0)</f>
        <v/>
      </c>
      <c r="P359" s="25">
        <f>IF(H359&gt;0,J359,"")</f>
        <v/>
      </c>
      <c r="Q359" s="25">
        <f>TEXT(A359,"YYYY-MM-DD HH")</f>
        <v/>
      </c>
      <c r="R359" s="25">
        <f>COUNTIF($Q$2:$Q$5295,Q359)</f>
        <v/>
      </c>
      <c r="S359" s="25">
        <f>IF(R359&lt;=2,"1-2",IF(R359&lt;=5,"3-5",IF(R359&lt;=10,"6-10","11+")))</f>
        <v/>
      </c>
    </row>
    <row r="360">
      <c r="A360" s="39" t="n">
        <v>46156.52429398148</v>
      </c>
      <c r="B360" s="25">
        <f>TEXT(A360,"YYYY-MM")</f>
        <v/>
      </c>
      <c r="C360" s="25">
        <f>TEXT(A360,"MMM-YYYY")</f>
        <v/>
      </c>
      <c r="D360" s="40">
        <f>INT(A360)-WEEKDAY(A360,2)+1</f>
        <v/>
      </c>
      <c r="E360" s="25" t="inlineStr">
        <is>
          <t>mbhalla</t>
        </is>
      </c>
      <c r="F360" s="25" t="n">
        <v>104333</v>
      </c>
      <c r="G360" s="25" t="n">
        <v>3</v>
      </c>
      <c r="H360" s="25" t="n">
        <v>15</v>
      </c>
      <c r="I360" s="25" t="inlineStr">
        <is>
          <t>3 minute(s) and 11 second(s)</t>
        </is>
      </c>
      <c r="J360" s="25">
        <f>IFERROR(VALUE(TRIM(LEFT(I360,FIND("minute",I360)-1)))*60,0)+IFERROR(VALUE(SUBSTITUTE(MID(I360,IFERROR(FIND("and",I360)+3,1),20),"second(s)","")),0)</f>
        <v/>
      </c>
      <c r="K360" s="41">
        <f>J360/60</f>
        <v/>
      </c>
      <c r="L360" s="41">
        <f>IFERROR(J360/H360,"")</f>
        <v/>
      </c>
      <c r="M360" s="25" t="inlineStr">
        <is>
          <t>2.5.12</t>
        </is>
      </c>
      <c r="N360" s="25">
        <f>IF(J360&gt;300,1,0)</f>
        <v/>
      </c>
      <c r="O360" s="25">
        <f>IF(J360&gt;600,1,0)</f>
        <v/>
      </c>
      <c r="P360" s="25">
        <f>IF(H360&gt;0,J360,"")</f>
        <v/>
      </c>
      <c r="Q360" s="25">
        <f>TEXT(A360,"YYYY-MM-DD HH")</f>
        <v/>
      </c>
      <c r="R360" s="25">
        <f>COUNTIF($Q$2:$Q$5295,Q360)</f>
        <v/>
      </c>
      <c r="S360" s="25">
        <f>IF(R360&lt;=2,"1-2",IF(R360&lt;=5,"3-5",IF(R360&lt;=10,"6-10","11+")))</f>
        <v/>
      </c>
    </row>
    <row r="361">
      <c r="A361" s="39" t="n">
        <v>46156.53023148148</v>
      </c>
      <c r="B361" s="25">
        <f>TEXT(A361,"YYYY-MM")</f>
        <v/>
      </c>
      <c r="C361" s="25">
        <f>TEXT(A361,"MMM-YYYY")</f>
        <v/>
      </c>
      <c r="D361" s="40">
        <f>INT(A361)-WEEKDAY(A361,2)+1</f>
        <v/>
      </c>
      <c r="E361" s="25" t="inlineStr">
        <is>
          <t>rts</t>
        </is>
      </c>
      <c r="F361" s="25" t="n">
        <v>117540</v>
      </c>
      <c r="G361" s="25" t="n">
        <v>5</v>
      </c>
      <c r="H361" s="25" t="n">
        <v>17</v>
      </c>
      <c r="I361" s="25" t="inlineStr">
        <is>
          <t>4 minute(s) and 4 second(s)</t>
        </is>
      </c>
      <c r="J361" s="25">
        <f>IFERROR(VALUE(TRIM(LEFT(I361,FIND("minute",I361)-1)))*60,0)+IFERROR(VALUE(SUBSTITUTE(MID(I361,IFERROR(FIND("and",I361)+3,1),20),"second(s)","")),0)</f>
        <v/>
      </c>
      <c r="K361" s="41">
        <f>J361/60</f>
        <v/>
      </c>
      <c r="L361" s="41">
        <f>IFERROR(J361/H361,"")</f>
        <v/>
      </c>
      <c r="M361" s="25" t="inlineStr">
        <is>
          <t>2.5.12</t>
        </is>
      </c>
      <c r="N361" s="25">
        <f>IF(J361&gt;300,1,0)</f>
        <v/>
      </c>
      <c r="O361" s="25">
        <f>IF(J361&gt;600,1,0)</f>
        <v/>
      </c>
      <c r="P361" s="25">
        <f>IF(H361&gt;0,J361,"")</f>
        <v/>
      </c>
      <c r="Q361" s="25">
        <f>TEXT(A361,"YYYY-MM-DD HH")</f>
        <v/>
      </c>
      <c r="R361" s="25">
        <f>COUNTIF($Q$2:$Q$5295,Q361)</f>
        <v/>
      </c>
      <c r="S361" s="25">
        <f>IF(R361&lt;=2,"1-2",IF(R361&lt;=5,"3-5",IF(R361&lt;=10,"6-10","11+")))</f>
        <v/>
      </c>
    </row>
    <row r="362">
      <c r="A362" s="39" t="n">
        <v>46156.53554398148</v>
      </c>
      <c r="B362" s="25">
        <f>TEXT(A362,"YYYY-MM")</f>
        <v/>
      </c>
      <c r="C362" s="25">
        <f>TEXT(A362,"MMM-YYYY")</f>
        <v/>
      </c>
      <c r="D362" s="40">
        <f>INT(A362)-WEEKDAY(A362,2)+1</f>
        <v/>
      </c>
      <c r="E362" s="25" t="inlineStr">
        <is>
          <t>vraina</t>
        </is>
      </c>
      <c r="F362" s="25" t="n">
        <v>85067</v>
      </c>
      <c r="G362" s="25" t="n">
        <v>1</v>
      </c>
      <c r="H362" s="25" t="n">
        <v>5</v>
      </c>
      <c r="I362" s="25" t="inlineStr">
        <is>
          <t>59 second(s)</t>
        </is>
      </c>
      <c r="J362" s="25">
        <f>IFERROR(VALUE(TRIM(LEFT(I362,FIND("minute",I362)-1)))*60,0)+IFERROR(VALUE(SUBSTITUTE(MID(I362,IFERROR(FIND("and",I362)+3,1),20),"second(s)","")),0)</f>
        <v/>
      </c>
      <c r="K362" s="41">
        <f>J362/60</f>
        <v/>
      </c>
      <c r="L362" s="41">
        <f>IFERROR(J362/H362,"")</f>
        <v/>
      </c>
      <c r="M362" s="25" t="inlineStr">
        <is>
          <t>2.5.12</t>
        </is>
      </c>
      <c r="N362" s="25">
        <f>IF(J362&gt;300,1,0)</f>
        <v/>
      </c>
      <c r="O362" s="25">
        <f>IF(J362&gt;600,1,0)</f>
        <v/>
      </c>
      <c r="P362" s="25">
        <f>IF(H362&gt;0,J362,"")</f>
        <v/>
      </c>
      <c r="Q362" s="25">
        <f>TEXT(A362,"YYYY-MM-DD HH")</f>
        <v/>
      </c>
      <c r="R362" s="25">
        <f>COUNTIF($Q$2:$Q$5295,Q362)</f>
        <v/>
      </c>
      <c r="S362" s="25">
        <f>IF(R362&lt;=2,"1-2",IF(R362&lt;=5,"3-5",IF(R362&lt;=10,"6-10","11+")))</f>
        <v/>
      </c>
    </row>
    <row r="363">
      <c r="A363" s="39" t="n">
        <v>46156.55861111111</v>
      </c>
      <c r="B363" s="25">
        <f>TEXT(A363,"YYYY-MM")</f>
        <v/>
      </c>
      <c r="C363" s="25">
        <f>TEXT(A363,"MMM-YYYY")</f>
        <v/>
      </c>
      <c r="D363" s="40">
        <f>INT(A363)-WEEKDAY(A363,2)+1</f>
        <v/>
      </c>
      <c r="E363" s="25" t="inlineStr">
        <is>
          <t>shasikha</t>
        </is>
      </c>
      <c r="F363" s="25" t="n">
        <v>95195</v>
      </c>
      <c r="G363" s="25" t="n">
        <v>5</v>
      </c>
      <c r="H363" s="25" t="n">
        <v>19</v>
      </c>
      <c r="I363" s="25" t="inlineStr">
        <is>
          <t>5 minute(s) and 38 second(s)</t>
        </is>
      </c>
      <c r="J363" s="25">
        <f>IFERROR(VALUE(TRIM(LEFT(I363,FIND("minute",I363)-1)))*60,0)+IFERROR(VALUE(SUBSTITUTE(MID(I363,IFERROR(FIND("and",I363)+3,1),20),"second(s)","")),0)</f>
        <v/>
      </c>
      <c r="K363" s="41">
        <f>J363/60</f>
        <v/>
      </c>
      <c r="L363" s="41">
        <f>IFERROR(J363/H363,"")</f>
        <v/>
      </c>
      <c r="M363" s="25" t="inlineStr">
        <is>
          <t>2.5.12</t>
        </is>
      </c>
      <c r="N363" s="25">
        <f>IF(J363&gt;300,1,0)</f>
        <v/>
      </c>
      <c r="O363" s="25">
        <f>IF(J363&gt;600,1,0)</f>
        <v/>
      </c>
      <c r="P363" s="25">
        <f>IF(H363&gt;0,J363,"")</f>
        <v/>
      </c>
      <c r="Q363" s="25">
        <f>TEXT(A363,"YYYY-MM-DD HH")</f>
        <v/>
      </c>
      <c r="R363" s="25">
        <f>COUNTIF($Q$2:$Q$5295,Q363)</f>
        <v/>
      </c>
      <c r="S363" s="25">
        <f>IF(R363&lt;=2,"1-2",IF(R363&lt;=5,"3-5",IF(R363&lt;=10,"6-10","11+")))</f>
        <v/>
      </c>
    </row>
    <row r="364">
      <c r="A364" s="39" t="n">
        <v>46156.55965277777</v>
      </c>
      <c r="B364" s="25">
        <f>TEXT(A364,"YYYY-MM")</f>
        <v/>
      </c>
      <c r="C364" s="25">
        <f>TEXT(A364,"MMM-YYYY")</f>
        <v/>
      </c>
      <c r="D364" s="40">
        <f>INT(A364)-WEEKDAY(A364,2)+1</f>
        <v/>
      </c>
      <c r="E364" s="25" t="inlineStr">
        <is>
          <t>hdutt</t>
        </is>
      </c>
      <c r="F364" s="25" t="n">
        <v>115370</v>
      </c>
      <c r="G364" s="25" t="n">
        <v>2</v>
      </c>
      <c r="H364" s="25" t="n">
        <v>14</v>
      </c>
      <c r="I364" s="25" t="inlineStr">
        <is>
          <t>4 minute(s) and 0 second(s)</t>
        </is>
      </c>
      <c r="J364" s="25">
        <f>IFERROR(VALUE(TRIM(LEFT(I364,FIND("minute",I364)-1)))*60,0)+IFERROR(VALUE(SUBSTITUTE(MID(I364,IFERROR(FIND("and",I364)+3,1),20),"second(s)","")),0)</f>
        <v/>
      </c>
      <c r="K364" s="41">
        <f>J364/60</f>
        <v/>
      </c>
      <c r="L364" s="41">
        <f>IFERROR(J364/H364,"")</f>
        <v/>
      </c>
      <c r="M364" s="25" t="inlineStr">
        <is>
          <t>2.5.12</t>
        </is>
      </c>
      <c r="N364" s="25">
        <f>IF(J364&gt;300,1,0)</f>
        <v/>
      </c>
      <c r="O364" s="25">
        <f>IF(J364&gt;600,1,0)</f>
        <v/>
      </c>
      <c r="P364" s="25">
        <f>IF(H364&gt;0,J364,"")</f>
        <v/>
      </c>
      <c r="Q364" s="25">
        <f>TEXT(A364,"YYYY-MM-DD HH")</f>
        <v/>
      </c>
      <c r="R364" s="25">
        <f>COUNTIF($Q$2:$Q$5295,Q364)</f>
        <v/>
      </c>
      <c r="S364" s="25">
        <f>IF(R364&lt;=2,"1-2",IF(R364&lt;=5,"3-5",IF(R364&lt;=10,"6-10","11+")))</f>
        <v/>
      </c>
    </row>
    <row r="365">
      <c r="A365" s="39" t="n">
        <v>46156.57055555555</v>
      </c>
      <c r="B365" s="25">
        <f>TEXT(A365,"YYYY-MM")</f>
        <v/>
      </c>
      <c r="C365" s="25">
        <f>TEXT(A365,"MMM-YYYY")</f>
        <v/>
      </c>
      <c r="D365" s="40">
        <f>INT(A365)-WEEKDAY(A365,2)+1</f>
        <v/>
      </c>
      <c r="E365" s="25" t="inlineStr">
        <is>
          <t>hsindwani</t>
        </is>
      </c>
      <c r="F365" s="25" t="n">
        <v>93119</v>
      </c>
      <c r="G365" s="25" t="n">
        <v>4</v>
      </c>
      <c r="H365" s="25" t="n">
        <v>20</v>
      </c>
      <c r="I365" s="25" t="inlineStr">
        <is>
          <t>13 minute(s) and 27 second(s)</t>
        </is>
      </c>
      <c r="J365" s="25">
        <f>IFERROR(VALUE(TRIM(LEFT(I365,FIND("minute",I365)-1)))*60,0)+IFERROR(VALUE(SUBSTITUTE(MID(I365,IFERROR(FIND("and",I365)+3,1),20),"second(s)","")),0)</f>
        <v/>
      </c>
      <c r="K365" s="41">
        <f>J365/60</f>
        <v/>
      </c>
      <c r="L365" s="41">
        <f>IFERROR(J365/H365,"")</f>
        <v/>
      </c>
      <c r="M365" s="25" t="inlineStr">
        <is>
          <t>2.5.12</t>
        </is>
      </c>
      <c r="N365" s="25">
        <f>IF(J365&gt;300,1,0)</f>
        <v/>
      </c>
      <c r="O365" s="25">
        <f>IF(J365&gt;600,1,0)</f>
        <v/>
      </c>
      <c r="P365" s="25">
        <f>IF(H365&gt;0,J365,"")</f>
        <v/>
      </c>
      <c r="Q365" s="25">
        <f>TEXT(A365,"YYYY-MM-DD HH")</f>
        <v/>
      </c>
      <c r="R365" s="25">
        <f>COUNTIF($Q$2:$Q$5295,Q365)</f>
        <v/>
      </c>
      <c r="S365" s="25">
        <f>IF(R365&lt;=2,"1-2",IF(R365&lt;=5,"3-5",IF(R365&lt;=10,"6-10","11+")))</f>
        <v/>
      </c>
    </row>
    <row r="366">
      <c r="A366" s="39" t="n">
        <v>46156.57101851852</v>
      </c>
      <c r="B366" s="25">
        <f>TEXT(A366,"YYYY-MM")</f>
        <v/>
      </c>
      <c r="C366" s="25">
        <f>TEXT(A366,"MMM-YYYY")</f>
        <v/>
      </c>
      <c r="D366" s="40">
        <f>INT(A366)-WEEKDAY(A366,2)+1</f>
        <v/>
      </c>
      <c r="E366" s="25" t="inlineStr">
        <is>
          <t>shasikha</t>
        </is>
      </c>
      <c r="F366" s="25" t="n">
        <v>95195</v>
      </c>
      <c r="G366" s="25" t="n">
        <v>1</v>
      </c>
      <c r="H366" s="25" t="n">
        <v>5</v>
      </c>
      <c r="I366" s="25" t="inlineStr">
        <is>
          <t>1 minute(s) and 18 second(s)</t>
        </is>
      </c>
      <c r="J366" s="25">
        <f>IFERROR(VALUE(TRIM(LEFT(I366,FIND("minute",I366)-1)))*60,0)+IFERROR(VALUE(SUBSTITUTE(MID(I366,IFERROR(FIND("and",I366)+3,1),20),"second(s)","")),0)</f>
        <v/>
      </c>
      <c r="K366" s="41">
        <f>J366/60</f>
        <v/>
      </c>
      <c r="L366" s="41">
        <f>IFERROR(J366/H366,"")</f>
        <v/>
      </c>
      <c r="M366" s="25" t="inlineStr">
        <is>
          <t>2.5.12</t>
        </is>
      </c>
      <c r="N366" s="25">
        <f>IF(J366&gt;300,1,0)</f>
        <v/>
      </c>
      <c r="O366" s="25">
        <f>IF(J366&gt;600,1,0)</f>
        <v/>
      </c>
      <c r="P366" s="25">
        <f>IF(H366&gt;0,J366,"")</f>
        <v/>
      </c>
      <c r="Q366" s="25">
        <f>TEXT(A366,"YYYY-MM-DD HH")</f>
        <v/>
      </c>
      <c r="R366" s="25">
        <f>COUNTIF($Q$2:$Q$5295,Q366)</f>
        <v/>
      </c>
      <c r="S366" s="25">
        <f>IF(R366&lt;=2,"1-2",IF(R366&lt;=5,"3-5",IF(R366&lt;=10,"6-10","11+")))</f>
        <v/>
      </c>
    </row>
    <row r="367">
      <c r="A367" s="39" t="n">
        <v>46156.58546296296</v>
      </c>
      <c r="B367" s="25">
        <f>TEXT(A367,"YYYY-MM")</f>
        <v/>
      </c>
      <c r="C367" s="25">
        <f>TEXT(A367,"MMM-YYYY")</f>
        <v/>
      </c>
      <c r="D367" s="40">
        <f>INT(A367)-WEEKDAY(A367,2)+1</f>
        <v/>
      </c>
      <c r="E367" s="25" t="inlineStr">
        <is>
          <t>emishra</t>
        </is>
      </c>
      <c r="F367" s="25" t="n">
        <v>114950</v>
      </c>
      <c r="G367" s="25" t="n">
        <v>2</v>
      </c>
      <c r="H367" s="25" t="n">
        <v>10</v>
      </c>
      <c r="I367" s="25" t="inlineStr">
        <is>
          <t>1 minute(s) and 24 second(s)</t>
        </is>
      </c>
      <c r="J367" s="25">
        <f>IFERROR(VALUE(TRIM(LEFT(I367,FIND("minute",I367)-1)))*60,0)+IFERROR(VALUE(SUBSTITUTE(MID(I367,IFERROR(FIND("and",I367)+3,1),20),"second(s)","")),0)</f>
        <v/>
      </c>
      <c r="K367" s="41">
        <f>J367/60</f>
        <v/>
      </c>
      <c r="L367" s="41">
        <f>IFERROR(J367/H367,"")</f>
        <v/>
      </c>
      <c r="M367" s="25" t="inlineStr">
        <is>
          <t>2.5.12</t>
        </is>
      </c>
      <c r="N367" s="25">
        <f>IF(J367&gt;300,1,0)</f>
        <v/>
      </c>
      <c r="O367" s="25">
        <f>IF(J367&gt;600,1,0)</f>
        <v/>
      </c>
      <c r="P367" s="25">
        <f>IF(H367&gt;0,J367,"")</f>
        <v/>
      </c>
      <c r="Q367" s="25">
        <f>TEXT(A367,"YYYY-MM-DD HH")</f>
        <v/>
      </c>
      <c r="R367" s="25">
        <f>COUNTIF($Q$2:$Q$5295,Q367)</f>
        <v/>
      </c>
      <c r="S367" s="25">
        <f>IF(R367&lt;=2,"1-2",IF(R367&lt;=5,"3-5",IF(R367&lt;=10,"6-10","11+")))</f>
        <v/>
      </c>
    </row>
    <row r="368">
      <c r="A368" s="39" t="n">
        <v>46156.5887962963</v>
      </c>
      <c r="B368" s="25">
        <f>TEXT(A368,"YYYY-MM")</f>
        <v/>
      </c>
      <c r="C368" s="25">
        <f>TEXT(A368,"MMM-YYYY")</f>
        <v/>
      </c>
      <c r="D368" s="40">
        <f>INT(A368)-WEEKDAY(A368,2)+1</f>
        <v/>
      </c>
      <c r="E368" s="25" t="inlineStr">
        <is>
          <t>psathwika</t>
        </is>
      </c>
      <c r="F368" s="25" t="n">
        <v>115738</v>
      </c>
      <c r="G368" s="25" t="n">
        <v>1</v>
      </c>
      <c r="H368" s="25" t="n">
        <v>8</v>
      </c>
      <c r="I368" s="25" t="inlineStr">
        <is>
          <t>1 minute(s) and 45 second(s)</t>
        </is>
      </c>
      <c r="J368" s="25">
        <f>IFERROR(VALUE(TRIM(LEFT(I368,FIND("minute",I368)-1)))*60,0)+IFERROR(VALUE(SUBSTITUTE(MID(I368,IFERROR(FIND("and",I368)+3,1),20),"second(s)","")),0)</f>
        <v/>
      </c>
      <c r="K368" s="41">
        <f>J368/60</f>
        <v/>
      </c>
      <c r="L368" s="41">
        <f>IFERROR(J368/H368,"")</f>
        <v/>
      </c>
      <c r="M368" s="25" t="inlineStr">
        <is>
          <t>2.5.12</t>
        </is>
      </c>
      <c r="N368" s="25">
        <f>IF(J368&gt;300,1,0)</f>
        <v/>
      </c>
      <c r="O368" s="25">
        <f>IF(J368&gt;600,1,0)</f>
        <v/>
      </c>
      <c r="P368" s="25">
        <f>IF(H368&gt;0,J368,"")</f>
        <v/>
      </c>
      <c r="Q368" s="25">
        <f>TEXT(A368,"YYYY-MM-DD HH")</f>
        <v/>
      </c>
      <c r="R368" s="25">
        <f>COUNTIF($Q$2:$Q$5295,Q368)</f>
        <v/>
      </c>
      <c r="S368" s="25">
        <f>IF(R368&lt;=2,"1-2",IF(R368&lt;=5,"3-5",IF(R368&lt;=10,"6-10","11+")))</f>
        <v/>
      </c>
    </row>
    <row r="369">
      <c r="A369" s="39" t="n">
        <v>46156.59991898148</v>
      </c>
      <c r="B369" s="25">
        <f>TEXT(A369,"YYYY-MM")</f>
        <v/>
      </c>
      <c r="C369" s="25">
        <f>TEXT(A369,"MMM-YYYY")</f>
        <v/>
      </c>
      <c r="D369" s="40">
        <f>INT(A369)-WEEKDAY(A369,2)+1</f>
        <v/>
      </c>
      <c r="E369" s="25" t="inlineStr">
        <is>
          <t>hdutt</t>
        </is>
      </c>
      <c r="F369" s="25" t="n">
        <v>114667</v>
      </c>
      <c r="G369" s="25" t="n">
        <v>2</v>
      </c>
      <c r="H369" s="25" t="n">
        <v>14</v>
      </c>
      <c r="I369" s="25" t="inlineStr">
        <is>
          <t>4 minute(s) and 31 second(s)</t>
        </is>
      </c>
      <c r="J369" s="25">
        <f>IFERROR(VALUE(TRIM(LEFT(I369,FIND("minute",I369)-1)))*60,0)+IFERROR(VALUE(SUBSTITUTE(MID(I369,IFERROR(FIND("and",I369)+3,1),20),"second(s)","")),0)</f>
        <v/>
      </c>
      <c r="K369" s="41">
        <f>J369/60</f>
        <v/>
      </c>
      <c r="L369" s="41">
        <f>IFERROR(J369/H369,"")</f>
        <v/>
      </c>
      <c r="M369" s="25" t="inlineStr">
        <is>
          <t>2.5.12</t>
        </is>
      </c>
      <c r="N369" s="25">
        <f>IF(J369&gt;300,1,0)</f>
        <v/>
      </c>
      <c r="O369" s="25">
        <f>IF(J369&gt;600,1,0)</f>
        <v/>
      </c>
      <c r="P369" s="25">
        <f>IF(H369&gt;0,J369,"")</f>
        <v/>
      </c>
      <c r="Q369" s="25">
        <f>TEXT(A369,"YYYY-MM-DD HH")</f>
        <v/>
      </c>
      <c r="R369" s="25">
        <f>COUNTIF($Q$2:$Q$5295,Q369)</f>
        <v/>
      </c>
      <c r="S369" s="25">
        <f>IF(R369&lt;=2,"1-2",IF(R369&lt;=5,"3-5",IF(R369&lt;=10,"6-10","11+")))</f>
        <v/>
      </c>
    </row>
    <row r="370">
      <c r="A370" s="39" t="n">
        <v>46156.62965277778</v>
      </c>
      <c r="B370" s="25">
        <f>TEXT(A370,"YYYY-MM")</f>
        <v/>
      </c>
      <c r="C370" s="25">
        <f>TEXT(A370,"MMM-YYYY")</f>
        <v/>
      </c>
      <c r="D370" s="40">
        <f>INT(A370)-WEEKDAY(A370,2)+1</f>
        <v/>
      </c>
      <c r="E370" s="25" t="inlineStr">
        <is>
          <t>hsindwani</t>
        </is>
      </c>
      <c r="F370" s="25" t="n">
        <v>105872</v>
      </c>
      <c r="G370" s="25" t="n">
        <v>5</v>
      </c>
      <c r="H370" s="25" t="n">
        <v>27</v>
      </c>
      <c r="I370" s="25" t="inlineStr">
        <is>
          <t>16 minute(s) and 18 second(s)</t>
        </is>
      </c>
      <c r="J370" s="25">
        <f>IFERROR(VALUE(TRIM(LEFT(I370,FIND("minute",I370)-1)))*60,0)+IFERROR(VALUE(SUBSTITUTE(MID(I370,IFERROR(FIND("and",I370)+3,1),20),"second(s)","")),0)</f>
        <v/>
      </c>
      <c r="K370" s="41">
        <f>J370/60</f>
        <v/>
      </c>
      <c r="L370" s="41">
        <f>IFERROR(J370/H370,"")</f>
        <v/>
      </c>
      <c r="M370" s="25" t="inlineStr">
        <is>
          <t>2.5.12</t>
        </is>
      </c>
      <c r="N370" s="25">
        <f>IF(J370&gt;300,1,0)</f>
        <v/>
      </c>
      <c r="O370" s="25">
        <f>IF(J370&gt;600,1,0)</f>
        <v/>
      </c>
      <c r="P370" s="25">
        <f>IF(H370&gt;0,J370,"")</f>
        <v/>
      </c>
      <c r="Q370" s="25">
        <f>TEXT(A370,"YYYY-MM-DD HH")</f>
        <v/>
      </c>
      <c r="R370" s="25">
        <f>COUNTIF($Q$2:$Q$5295,Q370)</f>
        <v/>
      </c>
      <c r="S370" s="25">
        <f>IF(R370&lt;=2,"1-2",IF(R370&lt;=5,"3-5",IF(R370&lt;=10,"6-10","11+")))</f>
        <v/>
      </c>
    </row>
    <row r="371">
      <c r="A371" s="39" t="n">
        <v>46156.63447916666</v>
      </c>
      <c r="B371" s="25">
        <f>TEXT(A371,"YYYY-MM")</f>
        <v/>
      </c>
      <c r="C371" s="25">
        <f>TEXT(A371,"MMM-YYYY")</f>
        <v/>
      </c>
      <c r="D371" s="40">
        <f>INT(A371)-WEEKDAY(A371,2)+1</f>
        <v/>
      </c>
      <c r="E371" s="25" t="inlineStr">
        <is>
          <t>hdutt</t>
        </is>
      </c>
      <c r="F371" s="25" t="n">
        <v>108751</v>
      </c>
      <c r="G371" s="25" t="n">
        <v>2</v>
      </c>
      <c r="H371" s="25" t="n">
        <v>10</v>
      </c>
      <c r="I371" s="25" t="inlineStr">
        <is>
          <t>3 minute(s) and 21 second(s)</t>
        </is>
      </c>
      <c r="J371" s="25">
        <f>IFERROR(VALUE(TRIM(LEFT(I371,FIND("minute",I371)-1)))*60,0)+IFERROR(VALUE(SUBSTITUTE(MID(I371,IFERROR(FIND("and",I371)+3,1),20),"second(s)","")),0)</f>
        <v/>
      </c>
      <c r="K371" s="41">
        <f>J371/60</f>
        <v/>
      </c>
      <c r="L371" s="41">
        <f>IFERROR(J371/H371,"")</f>
        <v/>
      </c>
      <c r="M371" s="25" t="inlineStr">
        <is>
          <t>2.5.12</t>
        </is>
      </c>
      <c r="N371" s="25">
        <f>IF(J371&gt;300,1,0)</f>
        <v/>
      </c>
      <c r="O371" s="25">
        <f>IF(J371&gt;600,1,0)</f>
        <v/>
      </c>
      <c r="P371" s="25">
        <f>IF(H371&gt;0,J371,"")</f>
        <v/>
      </c>
      <c r="Q371" s="25">
        <f>TEXT(A371,"YYYY-MM-DD HH")</f>
        <v/>
      </c>
      <c r="R371" s="25">
        <f>COUNTIF($Q$2:$Q$5295,Q371)</f>
        <v/>
      </c>
      <c r="S371" s="25">
        <f>IF(R371&lt;=2,"1-2",IF(R371&lt;=5,"3-5",IF(R371&lt;=10,"6-10","11+")))</f>
        <v/>
      </c>
    </row>
    <row r="372">
      <c r="A372" s="39" t="n">
        <v>46156.65357638889</v>
      </c>
      <c r="B372" s="25">
        <f>TEXT(A372,"YYYY-MM")</f>
        <v/>
      </c>
      <c r="C372" s="25">
        <f>TEXT(A372,"MMM-YYYY")</f>
        <v/>
      </c>
      <c r="D372" s="40">
        <f>INT(A372)-WEEKDAY(A372,2)+1</f>
        <v/>
      </c>
      <c r="E372" s="25" t="inlineStr">
        <is>
          <t>vraina</t>
        </is>
      </c>
      <c r="F372" s="25" t="n">
        <v>80808</v>
      </c>
      <c r="G372" s="25" t="n">
        <v>2</v>
      </c>
      <c r="H372" s="25" t="n">
        <v>12</v>
      </c>
      <c r="I372" s="25" t="inlineStr">
        <is>
          <t>2 minute(s) and 23 second(s)</t>
        </is>
      </c>
      <c r="J372" s="25">
        <f>IFERROR(VALUE(TRIM(LEFT(I372,FIND("minute",I372)-1)))*60,0)+IFERROR(VALUE(SUBSTITUTE(MID(I372,IFERROR(FIND("and",I372)+3,1),20),"second(s)","")),0)</f>
        <v/>
      </c>
      <c r="K372" s="41">
        <f>J372/60</f>
        <v/>
      </c>
      <c r="L372" s="41">
        <f>IFERROR(J372/H372,"")</f>
        <v/>
      </c>
      <c r="M372" s="25" t="inlineStr">
        <is>
          <t>2.5.12</t>
        </is>
      </c>
      <c r="N372" s="25">
        <f>IF(J372&gt;300,1,0)</f>
        <v/>
      </c>
      <c r="O372" s="25">
        <f>IF(J372&gt;600,1,0)</f>
        <v/>
      </c>
      <c r="P372" s="25">
        <f>IF(H372&gt;0,J372,"")</f>
        <v/>
      </c>
      <c r="Q372" s="25">
        <f>TEXT(A372,"YYYY-MM-DD HH")</f>
        <v/>
      </c>
      <c r="R372" s="25">
        <f>COUNTIF($Q$2:$Q$5295,Q372)</f>
        <v/>
      </c>
      <c r="S372" s="25">
        <f>IF(R372&lt;=2,"1-2",IF(R372&lt;=5,"3-5",IF(R372&lt;=10,"6-10","11+")))</f>
        <v/>
      </c>
    </row>
    <row r="373">
      <c r="A373" s="39" t="n">
        <v>46156.73207175926</v>
      </c>
      <c r="B373" s="25">
        <f>TEXT(A373,"YYYY-MM")</f>
        <v/>
      </c>
      <c r="C373" s="25">
        <f>TEXT(A373,"MMM-YYYY")</f>
        <v/>
      </c>
      <c r="D373" s="40">
        <f>INT(A373)-WEEKDAY(A373,2)+1</f>
        <v/>
      </c>
      <c r="E373" s="25" t="inlineStr">
        <is>
          <t>hsindwani</t>
        </is>
      </c>
      <c r="F373" s="25" t="n">
        <v>18384</v>
      </c>
      <c r="G373" s="25" t="n">
        <v>5</v>
      </c>
      <c r="H373" s="25" t="n">
        <v>19</v>
      </c>
      <c r="I373" s="25" t="inlineStr">
        <is>
          <t>9 minute(s) and 35 second(s)</t>
        </is>
      </c>
      <c r="J373" s="25">
        <f>IFERROR(VALUE(TRIM(LEFT(I373,FIND("minute",I373)-1)))*60,0)+IFERROR(VALUE(SUBSTITUTE(MID(I373,IFERROR(FIND("and",I373)+3,1),20),"second(s)","")),0)</f>
        <v/>
      </c>
      <c r="K373" s="41">
        <f>J373/60</f>
        <v/>
      </c>
      <c r="L373" s="41">
        <f>IFERROR(J373/H373,"")</f>
        <v/>
      </c>
      <c r="M373" s="25" t="inlineStr">
        <is>
          <t>2.5.12</t>
        </is>
      </c>
      <c r="N373" s="25">
        <f>IF(J373&gt;300,1,0)</f>
        <v/>
      </c>
      <c r="O373" s="25">
        <f>IF(J373&gt;600,1,0)</f>
        <v/>
      </c>
      <c r="P373" s="25">
        <f>IF(H373&gt;0,J373,"")</f>
        <v/>
      </c>
      <c r="Q373" s="25">
        <f>TEXT(A373,"YYYY-MM-DD HH")</f>
        <v/>
      </c>
      <c r="R373" s="25">
        <f>COUNTIF($Q$2:$Q$5295,Q373)</f>
        <v/>
      </c>
      <c r="S373" s="25">
        <f>IF(R373&lt;=2,"1-2",IF(R373&lt;=5,"3-5",IF(R373&lt;=10,"6-10","11+")))</f>
        <v/>
      </c>
    </row>
    <row r="374">
      <c r="A374" s="39" t="n">
        <v>46156.76232638889</v>
      </c>
      <c r="B374" s="25">
        <f>TEXT(A374,"YYYY-MM")</f>
        <v/>
      </c>
      <c r="C374" s="25">
        <f>TEXT(A374,"MMM-YYYY")</f>
        <v/>
      </c>
      <c r="D374" s="40">
        <f>INT(A374)-WEEKDAY(A374,2)+1</f>
        <v/>
      </c>
      <c r="E374" s="25" t="inlineStr">
        <is>
          <t>agandhi</t>
        </is>
      </c>
      <c r="F374" s="25" t="n">
        <v>70841</v>
      </c>
      <c r="G374" s="25" t="n">
        <v>5</v>
      </c>
      <c r="H374" s="25" t="n">
        <v>25</v>
      </c>
      <c r="I374" s="25" t="inlineStr">
        <is>
          <t>4 minute(s) and 40 second(s)</t>
        </is>
      </c>
      <c r="J374" s="25">
        <f>IFERROR(VALUE(TRIM(LEFT(I374,FIND("minute",I374)-1)))*60,0)+IFERROR(VALUE(SUBSTITUTE(MID(I374,IFERROR(FIND("and",I374)+3,1),20),"second(s)","")),0)</f>
        <v/>
      </c>
      <c r="K374" s="41">
        <f>J374/60</f>
        <v/>
      </c>
      <c r="L374" s="41">
        <f>IFERROR(J374/H374,"")</f>
        <v/>
      </c>
      <c r="M374" s="25" t="inlineStr">
        <is>
          <t>2.5.12</t>
        </is>
      </c>
      <c r="N374" s="25">
        <f>IF(J374&gt;300,1,0)</f>
        <v/>
      </c>
      <c r="O374" s="25">
        <f>IF(J374&gt;600,1,0)</f>
        <v/>
      </c>
      <c r="P374" s="25">
        <f>IF(H374&gt;0,J374,"")</f>
        <v/>
      </c>
      <c r="Q374" s="25">
        <f>TEXT(A374,"YYYY-MM-DD HH")</f>
        <v/>
      </c>
      <c r="R374" s="25">
        <f>COUNTIF($Q$2:$Q$5295,Q374)</f>
        <v/>
      </c>
      <c r="S374" s="25">
        <f>IF(R374&lt;=2,"1-2",IF(R374&lt;=5,"3-5",IF(R374&lt;=10,"6-10","11+")))</f>
        <v/>
      </c>
    </row>
    <row r="375">
      <c r="A375" s="39" t="n">
        <v>46156.89881944445</v>
      </c>
      <c r="B375" s="25">
        <f>TEXT(A375,"YYYY-MM")</f>
        <v/>
      </c>
      <c r="C375" s="25">
        <f>TEXT(A375,"MMM-YYYY")</f>
        <v/>
      </c>
      <c r="D375" s="40">
        <f>INT(A375)-WEEKDAY(A375,2)+1</f>
        <v/>
      </c>
      <c r="E375" s="25" t="inlineStr">
        <is>
          <t>sswati</t>
        </is>
      </c>
      <c r="F375" s="25" t="n">
        <v>106846</v>
      </c>
      <c r="G375" s="25" t="n">
        <v>5</v>
      </c>
      <c r="H375" s="25" t="n">
        <v>31</v>
      </c>
      <c r="I375" s="25" t="inlineStr">
        <is>
          <t>10 minute(s) and 58 second(s)</t>
        </is>
      </c>
      <c r="J375" s="25">
        <f>IFERROR(VALUE(TRIM(LEFT(I375,FIND("minute",I375)-1)))*60,0)+IFERROR(VALUE(SUBSTITUTE(MID(I375,IFERROR(FIND("and",I375)+3,1),20),"second(s)","")),0)</f>
        <v/>
      </c>
      <c r="K375" s="41">
        <f>J375/60</f>
        <v/>
      </c>
      <c r="L375" s="41">
        <f>IFERROR(J375/H375,"")</f>
        <v/>
      </c>
      <c r="M375" s="25" t="inlineStr">
        <is>
          <t>2.5.12</t>
        </is>
      </c>
      <c r="N375" s="25">
        <f>IF(J375&gt;300,1,0)</f>
        <v/>
      </c>
      <c r="O375" s="25">
        <f>IF(J375&gt;600,1,0)</f>
        <v/>
      </c>
      <c r="P375" s="25">
        <f>IF(H375&gt;0,J375,"")</f>
        <v/>
      </c>
      <c r="Q375" s="25">
        <f>TEXT(A375,"YYYY-MM-DD HH")</f>
        <v/>
      </c>
      <c r="R375" s="25">
        <f>COUNTIF($Q$2:$Q$5295,Q375)</f>
        <v/>
      </c>
      <c r="S375" s="25">
        <f>IF(R375&lt;=2,"1-2",IF(R375&lt;=5,"3-5",IF(R375&lt;=10,"6-10","11+")))</f>
        <v/>
      </c>
    </row>
    <row r="376">
      <c r="A376" s="39" t="n">
        <v>46156.92103009259</v>
      </c>
      <c r="B376" s="25">
        <f>TEXT(A376,"YYYY-MM")</f>
        <v/>
      </c>
      <c r="C376" s="25">
        <f>TEXT(A376,"MMM-YYYY")</f>
        <v/>
      </c>
      <c r="D376" s="40">
        <f>INT(A376)-WEEKDAY(A376,2)+1</f>
        <v/>
      </c>
      <c r="E376" s="25" t="inlineStr">
        <is>
          <t>hsindwani</t>
        </is>
      </c>
      <c r="F376" s="25" t="n">
        <v>68622</v>
      </c>
      <c r="G376" s="25" t="n">
        <v>1</v>
      </c>
      <c r="H376" s="25" t="n">
        <v>3</v>
      </c>
      <c r="I376" s="25" t="inlineStr">
        <is>
          <t>57 second(s)</t>
        </is>
      </c>
      <c r="J376" s="25">
        <f>IFERROR(VALUE(TRIM(LEFT(I376,FIND("minute",I376)-1)))*60,0)+IFERROR(VALUE(SUBSTITUTE(MID(I376,IFERROR(FIND("and",I376)+3,1),20),"second(s)","")),0)</f>
        <v/>
      </c>
      <c r="K376" s="41">
        <f>J376/60</f>
        <v/>
      </c>
      <c r="L376" s="41">
        <f>IFERROR(J376/H376,"")</f>
        <v/>
      </c>
      <c r="M376" s="25" t="inlineStr">
        <is>
          <t>2.5.12</t>
        </is>
      </c>
      <c r="N376" s="25">
        <f>IF(J376&gt;300,1,0)</f>
        <v/>
      </c>
      <c r="O376" s="25">
        <f>IF(J376&gt;600,1,0)</f>
        <v/>
      </c>
      <c r="P376" s="25">
        <f>IF(H376&gt;0,J376,"")</f>
        <v/>
      </c>
      <c r="Q376" s="25">
        <f>TEXT(A376,"YYYY-MM-DD HH")</f>
        <v/>
      </c>
      <c r="R376" s="25">
        <f>COUNTIF($Q$2:$Q$5295,Q376)</f>
        <v/>
      </c>
      <c r="S376" s="25">
        <f>IF(R376&lt;=2,"1-2",IF(R376&lt;=5,"3-5",IF(R376&lt;=10,"6-10","11+")))</f>
        <v/>
      </c>
    </row>
    <row r="377">
      <c r="A377" s="39" t="n">
        <v>46156.93634259259</v>
      </c>
      <c r="B377" s="25">
        <f>TEXT(A377,"YYYY-MM")</f>
        <v/>
      </c>
      <c r="C377" s="25">
        <f>TEXT(A377,"MMM-YYYY")</f>
        <v/>
      </c>
      <c r="D377" s="40">
        <f>INT(A377)-WEEKDAY(A377,2)+1</f>
        <v/>
      </c>
      <c r="E377" s="25" t="inlineStr">
        <is>
          <t>agandhi</t>
        </is>
      </c>
      <c r="F377" s="25" t="n">
        <v>114022</v>
      </c>
      <c r="G377" s="25" t="n">
        <v>5</v>
      </c>
      <c r="H377" s="25" t="n">
        <v>25</v>
      </c>
      <c r="I377" s="25" t="inlineStr">
        <is>
          <t>7 minute(s) and 0 second(s)</t>
        </is>
      </c>
      <c r="J377" s="25">
        <f>IFERROR(VALUE(TRIM(LEFT(I377,FIND("minute",I377)-1)))*60,0)+IFERROR(VALUE(SUBSTITUTE(MID(I377,IFERROR(FIND("and",I377)+3,1),20),"second(s)","")),0)</f>
        <v/>
      </c>
      <c r="K377" s="41">
        <f>J377/60</f>
        <v/>
      </c>
      <c r="L377" s="41">
        <f>IFERROR(J377/H377,"")</f>
        <v/>
      </c>
      <c r="M377" s="25" t="inlineStr">
        <is>
          <t>2.5.12</t>
        </is>
      </c>
      <c r="N377" s="25">
        <f>IF(J377&gt;300,1,0)</f>
        <v/>
      </c>
      <c r="O377" s="25">
        <f>IF(J377&gt;600,1,0)</f>
        <v/>
      </c>
      <c r="P377" s="25">
        <f>IF(H377&gt;0,J377,"")</f>
        <v/>
      </c>
      <c r="Q377" s="25">
        <f>TEXT(A377,"YYYY-MM-DD HH")</f>
        <v/>
      </c>
      <c r="R377" s="25">
        <f>COUNTIF($Q$2:$Q$5295,Q377)</f>
        <v/>
      </c>
      <c r="S377" s="25">
        <f>IF(R377&lt;=2,"1-2",IF(R377&lt;=5,"3-5",IF(R377&lt;=10,"6-10","11+")))</f>
        <v/>
      </c>
    </row>
    <row r="378">
      <c r="A378" s="39" t="n">
        <v>46156.94259259259</v>
      </c>
      <c r="B378" s="25">
        <f>TEXT(A378,"YYYY-MM")</f>
        <v/>
      </c>
      <c r="C378" s="25">
        <f>TEXT(A378,"MMM-YYYY")</f>
        <v/>
      </c>
      <c r="D378" s="40">
        <f>INT(A378)-WEEKDAY(A378,2)+1</f>
        <v/>
      </c>
      <c r="E378" s="25" t="inlineStr">
        <is>
          <t>sswati</t>
        </is>
      </c>
      <c r="F378" s="25" t="n">
        <v>107056</v>
      </c>
      <c r="G378" s="25" t="n">
        <v>2</v>
      </c>
      <c r="H378" s="25" t="n">
        <v>10</v>
      </c>
      <c r="I378" s="25" t="inlineStr">
        <is>
          <t>2 minute(s) and 57 second(s)</t>
        </is>
      </c>
      <c r="J378" s="25">
        <f>IFERROR(VALUE(TRIM(LEFT(I378,FIND("minute",I378)-1)))*60,0)+IFERROR(VALUE(SUBSTITUTE(MID(I378,IFERROR(FIND("and",I378)+3,1),20),"second(s)","")),0)</f>
        <v/>
      </c>
      <c r="K378" s="41">
        <f>J378/60</f>
        <v/>
      </c>
      <c r="L378" s="41">
        <f>IFERROR(J378/H378,"")</f>
        <v/>
      </c>
      <c r="M378" s="25" t="inlineStr">
        <is>
          <t>2.5.12</t>
        </is>
      </c>
      <c r="N378" s="25">
        <f>IF(J378&gt;300,1,0)</f>
        <v/>
      </c>
      <c r="O378" s="25">
        <f>IF(J378&gt;600,1,0)</f>
        <v/>
      </c>
      <c r="P378" s="25">
        <f>IF(H378&gt;0,J378,"")</f>
        <v/>
      </c>
      <c r="Q378" s="25">
        <f>TEXT(A378,"YYYY-MM-DD HH")</f>
        <v/>
      </c>
      <c r="R378" s="25">
        <f>COUNTIF($Q$2:$Q$5295,Q378)</f>
        <v/>
      </c>
      <c r="S378" s="25">
        <f>IF(R378&lt;=2,"1-2",IF(R378&lt;=5,"3-5",IF(R378&lt;=10,"6-10","11+")))</f>
        <v/>
      </c>
    </row>
    <row r="379">
      <c r="A379" s="39" t="n">
        <v>46156.95888888889</v>
      </c>
      <c r="B379" s="25">
        <f>TEXT(A379,"YYYY-MM")</f>
        <v/>
      </c>
      <c r="C379" s="25">
        <f>TEXT(A379,"MMM-YYYY")</f>
        <v/>
      </c>
      <c r="D379" s="40">
        <f>INT(A379)-WEEKDAY(A379,2)+1</f>
        <v/>
      </c>
      <c r="E379" s="25" t="inlineStr">
        <is>
          <t>vraina</t>
        </is>
      </c>
      <c r="F379" s="25" t="n">
        <v>69363</v>
      </c>
      <c r="G379" s="25" t="n">
        <v>2</v>
      </c>
      <c r="H379" s="25" t="n">
        <v>10</v>
      </c>
      <c r="I379" s="25" t="inlineStr">
        <is>
          <t>2 minute(s) and 12 second(s)</t>
        </is>
      </c>
      <c r="J379" s="25">
        <f>IFERROR(VALUE(TRIM(LEFT(I379,FIND("minute",I379)-1)))*60,0)+IFERROR(VALUE(SUBSTITUTE(MID(I379,IFERROR(FIND("and",I379)+3,1),20),"second(s)","")),0)</f>
        <v/>
      </c>
      <c r="K379" s="41">
        <f>J379/60</f>
        <v/>
      </c>
      <c r="L379" s="41">
        <f>IFERROR(J379/H379,"")</f>
        <v/>
      </c>
      <c r="M379" s="25" t="inlineStr">
        <is>
          <t>2.5.12</t>
        </is>
      </c>
      <c r="N379" s="25">
        <f>IF(J379&gt;300,1,0)</f>
        <v/>
      </c>
      <c r="O379" s="25">
        <f>IF(J379&gt;600,1,0)</f>
        <v/>
      </c>
      <c r="P379" s="25">
        <f>IF(H379&gt;0,J379,"")</f>
        <v/>
      </c>
      <c r="Q379" s="25">
        <f>TEXT(A379,"YYYY-MM-DD HH")</f>
        <v/>
      </c>
      <c r="R379" s="25">
        <f>COUNTIF($Q$2:$Q$5295,Q379)</f>
        <v/>
      </c>
      <c r="S379" s="25">
        <f>IF(R379&lt;=2,"1-2",IF(R379&lt;=5,"3-5",IF(R379&lt;=10,"6-10","11+")))</f>
        <v/>
      </c>
    </row>
    <row r="380">
      <c r="A380" s="39" t="n">
        <v>46156.96790509259</v>
      </c>
      <c r="B380" s="25">
        <f>TEXT(A380,"YYYY-MM")</f>
        <v/>
      </c>
      <c r="C380" s="25">
        <f>TEXT(A380,"MMM-YYYY")</f>
        <v/>
      </c>
      <c r="D380" s="40">
        <f>INT(A380)-WEEKDAY(A380,2)+1</f>
        <v/>
      </c>
      <c r="E380" s="25" t="inlineStr">
        <is>
          <t>sswati</t>
        </is>
      </c>
      <c r="F380" s="25" t="n">
        <v>96213</v>
      </c>
      <c r="G380" s="25" t="n">
        <v>2</v>
      </c>
      <c r="H380" s="25" t="n">
        <v>6</v>
      </c>
      <c r="I380" s="25" t="inlineStr">
        <is>
          <t>1 minute(s) and 45 second(s)</t>
        </is>
      </c>
      <c r="J380" s="25">
        <f>IFERROR(VALUE(TRIM(LEFT(I380,FIND("minute",I380)-1)))*60,0)+IFERROR(VALUE(SUBSTITUTE(MID(I380,IFERROR(FIND("and",I380)+3,1),20),"second(s)","")),0)</f>
        <v/>
      </c>
      <c r="K380" s="41">
        <f>J380/60</f>
        <v/>
      </c>
      <c r="L380" s="41">
        <f>IFERROR(J380/H380,"")</f>
        <v/>
      </c>
      <c r="M380" s="25" t="inlineStr">
        <is>
          <t>2.5.12</t>
        </is>
      </c>
      <c r="N380" s="25">
        <f>IF(J380&gt;300,1,0)</f>
        <v/>
      </c>
      <c r="O380" s="25">
        <f>IF(J380&gt;600,1,0)</f>
        <v/>
      </c>
      <c r="P380" s="25">
        <f>IF(H380&gt;0,J380,"")</f>
        <v/>
      </c>
      <c r="Q380" s="25">
        <f>TEXT(A380,"YYYY-MM-DD HH")</f>
        <v/>
      </c>
      <c r="R380" s="25">
        <f>COUNTIF($Q$2:$Q$5295,Q380)</f>
        <v/>
      </c>
      <c r="S380" s="25">
        <f>IF(R380&lt;=2,"1-2",IF(R380&lt;=5,"3-5",IF(R380&lt;=10,"6-10","11+")))</f>
        <v/>
      </c>
    </row>
    <row r="381">
      <c r="A381" s="39" t="n">
        <v>46156.98460648148</v>
      </c>
      <c r="B381" s="25">
        <f>TEXT(A381,"YYYY-MM")</f>
        <v/>
      </c>
      <c r="C381" s="25">
        <f>TEXT(A381,"MMM-YYYY")</f>
        <v/>
      </c>
      <c r="D381" s="40">
        <f>INT(A381)-WEEKDAY(A381,2)+1</f>
        <v/>
      </c>
      <c r="E381" s="25" t="inlineStr">
        <is>
          <t>sswati</t>
        </is>
      </c>
      <c r="F381" s="25" t="n">
        <v>72277</v>
      </c>
      <c r="G381" s="25" t="n">
        <v>1</v>
      </c>
      <c r="H381" s="25" t="n">
        <v>5</v>
      </c>
      <c r="I381" s="25" t="inlineStr">
        <is>
          <t>2 minute(s) and 34 second(s)</t>
        </is>
      </c>
      <c r="J381" s="25">
        <f>IFERROR(VALUE(TRIM(LEFT(I381,FIND("minute",I381)-1)))*60,0)+IFERROR(VALUE(SUBSTITUTE(MID(I381,IFERROR(FIND("and",I381)+3,1),20),"second(s)","")),0)</f>
        <v/>
      </c>
      <c r="K381" s="41">
        <f>J381/60</f>
        <v/>
      </c>
      <c r="L381" s="41">
        <f>IFERROR(J381/H381,"")</f>
        <v/>
      </c>
      <c r="M381" s="25" t="inlineStr">
        <is>
          <t>2.5.12</t>
        </is>
      </c>
      <c r="N381" s="25">
        <f>IF(J381&gt;300,1,0)</f>
        <v/>
      </c>
      <c r="O381" s="25">
        <f>IF(J381&gt;600,1,0)</f>
        <v/>
      </c>
      <c r="P381" s="25">
        <f>IF(H381&gt;0,J381,"")</f>
        <v/>
      </c>
      <c r="Q381" s="25">
        <f>TEXT(A381,"YYYY-MM-DD HH")</f>
        <v/>
      </c>
      <c r="R381" s="25">
        <f>COUNTIF($Q$2:$Q$5295,Q381)</f>
        <v/>
      </c>
      <c r="S381" s="25">
        <f>IF(R381&lt;=2,"1-2",IF(R381&lt;=5,"3-5",IF(R381&lt;=10,"6-10","11+")))</f>
        <v/>
      </c>
    </row>
    <row r="382">
      <c r="A382" s="39" t="n">
        <v>46157.09351851852</v>
      </c>
      <c r="B382" s="25">
        <f>TEXT(A382,"YYYY-MM")</f>
        <v/>
      </c>
      <c r="C382" s="25">
        <f>TEXT(A382,"MMM-YYYY")</f>
        <v/>
      </c>
      <c r="D382" s="40">
        <f>INT(A382)-WEEKDAY(A382,2)+1</f>
        <v/>
      </c>
      <c r="E382" s="25" t="inlineStr">
        <is>
          <t>ssrinivasan</t>
        </is>
      </c>
      <c r="F382" s="25" t="n">
        <v>72236</v>
      </c>
      <c r="G382" s="25" t="n">
        <v>2</v>
      </c>
      <c r="H382" s="25" t="n">
        <v>12</v>
      </c>
      <c r="I382" s="25" t="inlineStr">
        <is>
          <t>3 minute(s) and 0 second(s)</t>
        </is>
      </c>
      <c r="J382" s="25">
        <f>IFERROR(VALUE(TRIM(LEFT(I382,FIND("minute",I382)-1)))*60,0)+IFERROR(VALUE(SUBSTITUTE(MID(I382,IFERROR(FIND("and",I382)+3,1),20),"second(s)","")),0)</f>
        <v/>
      </c>
      <c r="K382" s="41">
        <f>J382/60</f>
        <v/>
      </c>
      <c r="L382" s="41">
        <f>IFERROR(J382/H382,"")</f>
        <v/>
      </c>
      <c r="M382" s="25" t="inlineStr">
        <is>
          <t>2.5.12</t>
        </is>
      </c>
      <c r="N382" s="25">
        <f>IF(J382&gt;300,1,0)</f>
        <v/>
      </c>
      <c r="O382" s="25">
        <f>IF(J382&gt;600,1,0)</f>
        <v/>
      </c>
      <c r="P382" s="25">
        <f>IF(H382&gt;0,J382,"")</f>
        <v/>
      </c>
      <c r="Q382" s="25">
        <f>TEXT(A382,"YYYY-MM-DD HH")</f>
        <v/>
      </c>
      <c r="R382" s="25">
        <f>COUNTIF($Q$2:$Q$5295,Q382)</f>
        <v/>
      </c>
      <c r="S382" s="25">
        <f>IF(R382&lt;=2,"1-2",IF(R382&lt;=5,"3-5",IF(R382&lt;=10,"6-10","11+")))</f>
        <v/>
      </c>
    </row>
    <row r="383">
      <c r="A383" s="39" t="n">
        <v>46157.09644675926</v>
      </c>
      <c r="B383" s="25">
        <f>TEXT(A383,"YYYY-MM")</f>
        <v/>
      </c>
      <c r="C383" s="25">
        <f>TEXT(A383,"MMM-YYYY")</f>
        <v/>
      </c>
      <c r="D383" s="40">
        <f>INT(A383)-WEEKDAY(A383,2)+1</f>
        <v/>
      </c>
      <c r="E383" s="25" t="inlineStr">
        <is>
          <t>shasikha</t>
        </is>
      </c>
      <c r="F383" s="25" t="n">
        <v>114787</v>
      </c>
      <c r="G383" s="25" t="n">
        <v>4</v>
      </c>
      <c r="H383" s="25" t="n">
        <v>12</v>
      </c>
      <c r="I383" s="25" t="inlineStr">
        <is>
          <t>3 minute(s) and 47 second(s)</t>
        </is>
      </c>
      <c r="J383" s="25">
        <f>IFERROR(VALUE(TRIM(LEFT(I383,FIND("minute",I383)-1)))*60,0)+IFERROR(VALUE(SUBSTITUTE(MID(I383,IFERROR(FIND("and",I383)+3,1),20),"second(s)","")),0)</f>
        <v/>
      </c>
      <c r="K383" s="41">
        <f>J383/60</f>
        <v/>
      </c>
      <c r="L383" s="41">
        <f>IFERROR(J383/H383,"")</f>
        <v/>
      </c>
      <c r="M383" s="25" t="inlineStr">
        <is>
          <t>2.5.12</t>
        </is>
      </c>
      <c r="N383" s="25">
        <f>IF(J383&gt;300,1,0)</f>
        <v/>
      </c>
      <c r="O383" s="25">
        <f>IF(J383&gt;600,1,0)</f>
        <v/>
      </c>
      <c r="P383" s="25">
        <f>IF(H383&gt;0,J383,"")</f>
        <v/>
      </c>
      <c r="Q383" s="25">
        <f>TEXT(A383,"YYYY-MM-DD HH")</f>
        <v/>
      </c>
      <c r="R383" s="25">
        <f>COUNTIF($Q$2:$Q$5295,Q383)</f>
        <v/>
      </c>
      <c r="S383" s="25">
        <f>IF(R383&lt;=2,"1-2",IF(R383&lt;=5,"3-5",IF(R383&lt;=10,"6-10","11+")))</f>
        <v/>
      </c>
    </row>
    <row r="384">
      <c r="A384" s="39" t="n">
        <v>46157.09797453704</v>
      </c>
      <c r="B384" s="25">
        <f>TEXT(A384,"YYYY-MM")</f>
        <v/>
      </c>
      <c r="C384" s="25">
        <f>TEXT(A384,"MMM-YYYY")</f>
        <v/>
      </c>
      <c r="D384" s="40">
        <f>INT(A384)-WEEKDAY(A384,2)+1</f>
        <v/>
      </c>
      <c r="E384" s="25" t="inlineStr">
        <is>
          <t>dbhattacharyya</t>
        </is>
      </c>
      <c r="F384" s="25" t="n">
        <v>70872</v>
      </c>
      <c r="G384" s="25" t="n">
        <v>1</v>
      </c>
      <c r="H384" s="25" t="n">
        <v>5</v>
      </c>
      <c r="I384" s="25" t="inlineStr">
        <is>
          <t>2 minute(s) and 1 second(s)</t>
        </is>
      </c>
      <c r="J384" s="25">
        <f>IFERROR(VALUE(TRIM(LEFT(I384,FIND("minute",I384)-1)))*60,0)+IFERROR(VALUE(SUBSTITUTE(MID(I384,IFERROR(FIND("and",I384)+3,1),20),"second(s)","")),0)</f>
        <v/>
      </c>
      <c r="K384" s="41">
        <f>J384/60</f>
        <v/>
      </c>
      <c r="L384" s="41">
        <f>IFERROR(J384/H384,"")</f>
        <v/>
      </c>
      <c r="M384" s="25" t="inlineStr">
        <is>
          <t>2.5.12</t>
        </is>
      </c>
      <c r="N384" s="25">
        <f>IF(J384&gt;300,1,0)</f>
        <v/>
      </c>
      <c r="O384" s="25">
        <f>IF(J384&gt;600,1,0)</f>
        <v/>
      </c>
      <c r="P384" s="25">
        <f>IF(H384&gt;0,J384,"")</f>
        <v/>
      </c>
      <c r="Q384" s="25">
        <f>TEXT(A384,"YYYY-MM-DD HH")</f>
        <v/>
      </c>
      <c r="R384" s="25">
        <f>COUNTIF($Q$2:$Q$5295,Q384)</f>
        <v/>
      </c>
      <c r="S384" s="25">
        <f>IF(R384&lt;=2,"1-2",IF(R384&lt;=5,"3-5",IF(R384&lt;=10,"6-10","11+")))</f>
        <v/>
      </c>
    </row>
    <row r="385">
      <c r="A385" s="39" t="n">
        <v>46157.10142361111</v>
      </c>
      <c r="B385" s="25">
        <f>TEXT(A385,"YYYY-MM")</f>
        <v/>
      </c>
      <c r="C385" s="25">
        <f>TEXT(A385,"MMM-YYYY")</f>
        <v/>
      </c>
      <c r="D385" s="40">
        <f>INT(A385)-WEEKDAY(A385,2)+1</f>
        <v/>
      </c>
      <c r="E385" s="25" t="inlineStr">
        <is>
          <t>rts</t>
        </is>
      </c>
      <c r="F385" s="25" t="n">
        <v>11424</v>
      </c>
      <c r="G385" s="25" t="n">
        <v>2</v>
      </c>
      <c r="H385" s="25" t="n">
        <v>6</v>
      </c>
      <c r="I385" s="25" t="inlineStr">
        <is>
          <t>1 minute(s) and 43 second(s)</t>
        </is>
      </c>
      <c r="J385" s="25">
        <f>IFERROR(VALUE(TRIM(LEFT(I385,FIND("minute",I385)-1)))*60,0)+IFERROR(VALUE(SUBSTITUTE(MID(I385,IFERROR(FIND("and",I385)+3,1),20),"second(s)","")),0)</f>
        <v/>
      </c>
      <c r="K385" s="41">
        <f>J385/60</f>
        <v/>
      </c>
      <c r="L385" s="41">
        <f>IFERROR(J385/H385,"")</f>
        <v/>
      </c>
      <c r="M385" s="25" t="inlineStr">
        <is>
          <t>2.5.12</t>
        </is>
      </c>
      <c r="N385" s="25">
        <f>IF(J385&gt;300,1,0)</f>
        <v/>
      </c>
      <c r="O385" s="25">
        <f>IF(J385&gt;600,1,0)</f>
        <v/>
      </c>
      <c r="P385" s="25">
        <f>IF(H385&gt;0,J385,"")</f>
        <v/>
      </c>
      <c r="Q385" s="25">
        <f>TEXT(A385,"YYYY-MM-DD HH")</f>
        <v/>
      </c>
      <c r="R385" s="25">
        <f>COUNTIF($Q$2:$Q$5295,Q385)</f>
        <v/>
      </c>
      <c r="S385" s="25">
        <f>IF(R385&lt;=2,"1-2",IF(R385&lt;=5,"3-5",IF(R385&lt;=10,"6-10","11+")))</f>
        <v/>
      </c>
    </row>
    <row r="386">
      <c r="A386" s="39" t="n">
        <v>46157.1016087963</v>
      </c>
      <c r="B386" s="25">
        <f>TEXT(A386,"YYYY-MM")</f>
        <v/>
      </c>
      <c r="C386" s="25">
        <f>TEXT(A386,"MMM-YYYY")</f>
        <v/>
      </c>
      <c r="D386" s="40">
        <f>INT(A386)-WEEKDAY(A386,2)+1</f>
        <v/>
      </c>
      <c r="E386" s="25" t="inlineStr">
        <is>
          <t>nbindu</t>
        </is>
      </c>
      <c r="F386" s="25" t="n">
        <v>70904</v>
      </c>
      <c r="G386" s="25" t="n">
        <v>2</v>
      </c>
      <c r="H386" s="25" t="n">
        <v>8</v>
      </c>
      <c r="I386" s="25" t="inlineStr">
        <is>
          <t>1 minute(s) and 37 second(s)</t>
        </is>
      </c>
      <c r="J386" s="25">
        <f>IFERROR(VALUE(TRIM(LEFT(I386,FIND("minute",I386)-1)))*60,0)+IFERROR(VALUE(SUBSTITUTE(MID(I386,IFERROR(FIND("and",I386)+3,1),20),"second(s)","")),0)</f>
        <v/>
      </c>
      <c r="K386" s="41">
        <f>J386/60</f>
        <v/>
      </c>
      <c r="L386" s="41">
        <f>IFERROR(J386/H386,"")</f>
        <v/>
      </c>
      <c r="M386" s="25" t="inlineStr">
        <is>
          <t>2.5.12</t>
        </is>
      </c>
      <c r="N386" s="25">
        <f>IF(J386&gt;300,1,0)</f>
        <v/>
      </c>
      <c r="O386" s="25">
        <f>IF(J386&gt;600,1,0)</f>
        <v/>
      </c>
      <c r="P386" s="25">
        <f>IF(H386&gt;0,J386,"")</f>
        <v/>
      </c>
      <c r="Q386" s="25">
        <f>TEXT(A386,"YYYY-MM-DD HH")</f>
        <v/>
      </c>
      <c r="R386" s="25">
        <f>COUNTIF($Q$2:$Q$5295,Q386)</f>
        <v/>
      </c>
      <c r="S386" s="25">
        <f>IF(R386&lt;=2,"1-2",IF(R386&lt;=5,"3-5",IF(R386&lt;=10,"6-10","11+")))</f>
        <v/>
      </c>
    </row>
    <row r="387">
      <c r="A387" s="39" t="n">
        <v>46157.10194444445</v>
      </c>
      <c r="B387" s="25">
        <f>TEXT(A387,"YYYY-MM")</f>
        <v/>
      </c>
      <c r="C387" s="25">
        <f>TEXT(A387,"MMM-YYYY")</f>
        <v/>
      </c>
      <c r="D387" s="40">
        <f>INT(A387)-WEEKDAY(A387,2)+1</f>
        <v/>
      </c>
      <c r="E387" s="25" t="inlineStr">
        <is>
          <t>abhaskarkp</t>
        </is>
      </c>
      <c r="F387" s="25" t="n">
        <v>95367</v>
      </c>
      <c r="G387" s="25" t="n">
        <v>2</v>
      </c>
      <c r="H387" s="25" t="n">
        <v>10</v>
      </c>
      <c r="I387" s="25" t="inlineStr">
        <is>
          <t>2 minute(s) and 43 second(s)</t>
        </is>
      </c>
      <c r="J387" s="25">
        <f>IFERROR(VALUE(TRIM(LEFT(I387,FIND("minute",I387)-1)))*60,0)+IFERROR(VALUE(SUBSTITUTE(MID(I387,IFERROR(FIND("and",I387)+3,1),20),"second(s)","")),0)</f>
        <v/>
      </c>
      <c r="K387" s="41">
        <f>J387/60</f>
        <v/>
      </c>
      <c r="L387" s="41">
        <f>IFERROR(J387/H387,"")</f>
        <v/>
      </c>
      <c r="M387" s="25" t="inlineStr">
        <is>
          <t>2.5.12</t>
        </is>
      </c>
      <c r="N387" s="25">
        <f>IF(J387&gt;300,1,0)</f>
        <v/>
      </c>
      <c r="O387" s="25">
        <f>IF(J387&gt;600,1,0)</f>
        <v/>
      </c>
      <c r="P387" s="25">
        <f>IF(H387&gt;0,J387,"")</f>
        <v/>
      </c>
      <c r="Q387" s="25">
        <f>TEXT(A387,"YYYY-MM-DD HH")</f>
        <v/>
      </c>
      <c r="R387" s="25">
        <f>COUNTIF($Q$2:$Q$5295,Q387)</f>
        <v/>
      </c>
      <c r="S387" s="25">
        <f>IF(R387&lt;=2,"1-2",IF(R387&lt;=5,"3-5",IF(R387&lt;=10,"6-10","11+")))</f>
        <v/>
      </c>
    </row>
    <row r="388">
      <c r="A388" s="39" t="n">
        <v>46157.10675925926</v>
      </c>
      <c r="B388" s="25">
        <f>TEXT(A388,"YYYY-MM")</f>
        <v/>
      </c>
      <c r="C388" s="25">
        <f>TEXT(A388,"MMM-YYYY")</f>
        <v/>
      </c>
      <c r="D388" s="40">
        <f>INT(A388)-WEEKDAY(A388,2)+1</f>
        <v/>
      </c>
      <c r="E388" s="25" t="inlineStr">
        <is>
          <t>akumari</t>
        </is>
      </c>
      <c r="F388" s="25" t="n">
        <v>84454</v>
      </c>
      <c r="G388" s="25" t="n">
        <v>3</v>
      </c>
      <c r="H388" s="25" t="n">
        <v>18</v>
      </c>
      <c r="I388" s="25" t="inlineStr">
        <is>
          <t>4 minute(s) and 34 second(s)</t>
        </is>
      </c>
      <c r="J388" s="25">
        <f>IFERROR(VALUE(TRIM(LEFT(I388,FIND("minute",I388)-1)))*60,0)+IFERROR(VALUE(SUBSTITUTE(MID(I388,IFERROR(FIND("and",I388)+3,1),20),"second(s)","")),0)</f>
        <v/>
      </c>
      <c r="K388" s="41">
        <f>J388/60</f>
        <v/>
      </c>
      <c r="L388" s="41">
        <f>IFERROR(J388/H388,"")</f>
        <v/>
      </c>
      <c r="M388" s="25" t="inlineStr">
        <is>
          <t>2.5.12</t>
        </is>
      </c>
      <c r="N388" s="25">
        <f>IF(J388&gt;300,1,0)</f>
        <v/>
      </c>
      <c r="O388" s="25">
        <f>IF(J388&gt;600,1,0)</f>
        <v/>
      </c>
      <c r="P388" s="25">
        <f>IF(H388&gt;0,J388,"")</f>
        <v/>
      </c>
      <c r="Q388" s="25">
        <f>TEXT(A388,"YYYY-MM-DD HH")</f>
        <v/>
      </c>
      <c r="R388" s="25">
        <f>COUNTIF($Q$2:$Q$5295,Q388)</f>
        <v/>
      </c>
      <c r="S388" s="25">
        <f>IF(R388&lt;=2,"1-2",IF(R388&lt;=5,"3-5",IF(R388&lt;=10,"6-10","11+")))</f>
        <v/>
      </c>
    </row>
    <row r="389">
      <c r="A389" s="39" t="n">
        <v>46157.10844907408</v>
      </c>
      <c r="B389" s="25">
        <f>TEXT(A389,"YYYY-MM")</f>
        <v/>
      </c>
      <c r="C389" s="25">
        <f>TEXT(A389,"MMM-YYYY")</f>
        <v/>
      </c>
      <c r="D389" s="40">
        <f>INT(A389)-WEEKDAY(A389,2)+1</f>
        <v/>
      </c>
      <c r="E389" s="25" t="inlineStr">
        <is>
          <t>csaha</t>
        </is>
      </c>
      <c r="F389" s="25" t="n">
        <v>22736</v>
      </c>
      <c r="G389" s="25" t="n">
        <v>2</v>
      </c>
      <c r="H389" s="25" t="n">
        <v>10</v>
      </c>
      <c r="I389" s="25" t="inlineStr">
        <is>
          <t>1 minute(s) and 57 second(s)</t>
        </is>
      </c>
      <c r="J389" s="25">
        <f>IFERROR(VALUE(TRIM(LEFT(I389,FIND("minute",I389)-1)))*60,0)+IFERROR(VALUE(SUBSTITUTE(MID(I389,IFERROR(FIND("and",I389)+3,1),20),"second(s)","")),0)</f>
        <v/>
      </c>
      <c r="K389" s="41">
        <f>J389/60</f>
        <v/>
      </c>
      <c r="L389" s="41">
        <f>IFERROR(J389/H389,"")</f>
        <v/>
      </c>
      <c r="M389" s="25" t="inlineStr">
        <is>
          <t>2.5.12</t>
        </is>
      </c>
      <c r="N389" s="25">
        <f>IF(J389&gt;300,1,0)</f>
        <v/>
      </c>
      <c r="O389" s="25">
        <f>IF(J389&gt;600,1,0)</f>
        <v/>
      </c>
      <c r="P389" s="25">
        <f>IF(H389&gt;0,J389,"")</f>
        <v/>
      </c>
      <c r="Q389" s="25">
        <f>TEXT(A389,"YYYY-MM-DD HH")</f>
        <v/>
      </c>
      <c r="R389" s="25">
        <f>COUNTIF($Q$2:$Q$5295,Q389)</f>
        <v/>
      </c>
      <c r="S389" s="25">
        <f>IF(R389&lt;=2,"1-2",IF(R389&lt;=5,"3-5",IF(R389&lt;=10,"6-10","11+")))</f>
        <v/>
      </c>
    </row>
    <row r="390">
      <c r="A390" s="39" t="n">
        <v>46157.12274305556</v>
      </c>
      <c r="B390" s="25">
        <f>TEXT(A390,"YYYY-MM")</f>
        <v/>
      </c>
      <c r="C390" s="25">
        <f>TEXT(A390,"MMM-YYYY")</f>
        <v/>
      </c>
      <c r="D390" s="40">
        <f>INT(A390)-WEEKDAY(A390,2)+1</f>
        <v/>
      </c>
      <c r="E390" s="25" t="inlineStr">
        <is>
          <t>hdutt</t>
        </is>
      </c>
      <c r="F390" s="25" t="n">
        <v>108714</v>
      </c>
      <c r="G390" s="25" t="n">
        <v>5</v>
      </c>
      <c r="H390" s="25" t="n">
        <v>35</v>
      </c>
      <c r="I390" s="25" t="inlineStr">
        <is>
          <t>10 minute(s) and 43 second(s)</t>
        </is>
      </c>
      <c r="J390" s="25">
        <f>IFERROR(VALUE(TRIM(LEFT(I390,FIND("minute",I390)-1)))*60,0)+IFERROR(VALUE(SUBSTITUTE(MID(I390,IFERROR(FIND("and",I390)+3,1),20),"second(s)","")),0)</f>
        <v/>
      </c>
      <c r="K390" s="41">
        <f>J390/60</f>
        <v/>
      </c>
      <c r="L390" s="41">
        <f>IFERROR(J390/H390,"")</f>
        <v/>
      </c>
      <c r="M390" s="25" t="inlineStr">
        <is>
          <t>2.5.12</t>
        </is>
      </c>
      <c r="N390" s="25">
        <f>IF(J390&gt;300,1,0)</f>
        <v/>
      </c>
      <c r="O390" s="25">
        <f>IF(J390&gt;600,1,0)</f>
        <v/>
      </c>
      <c r="P390" s="25">
        <f>IF(H390&gt;0,J390,"")</f>
        <v/>
      </c>
      <c r="Q390" s="25">
        <f>TEXT(A390,"YYYY-MM-DD HH")</f>
        <v/>
      </c>
      <c r="R390" s="25">
        <f>COUNTIF($Q$2:$Q$5295,Q390)</f>
        <v/>
      </c>
      <c r="S390" s="25">
        <f>IF(R390&lt;=2,"1-2",IF(R390&lt;=5,"3-5",IF(R390&lt;=10,"6-10","11+")))</f>
        <v/>
      </c>
    </row>
    <row r="391">
      <c r="A391" s="39" t="n">
        <v>46157.13997685185</v>
      </c>
      <c r="B391" s="25">
        <f>TEXT(A391,"YYYY-MM")</f>
        <v/>
      </c>
      <c r="C391" s="25">
        <f>TEXT(A391,"MMM-YYYY")</f>
        <v/>
      </c>
      <c r="D391" s="40">
        <f>INT(A391)-WEEKDAY(A391,2)+1</f>
        <v/>
      </c>
      <c r="E391" s="25" t="inlineStr">
        <is>
          <t>atiwari</t>
        </is>
      </c>
      <c r="F391" s="25" t="n">
        <v>85268</v>
      </c>
      <c r="G391" s="25" t="n">
        <v>6</v>
      </c>
      <c r="H391" s="25" t="n">
        <v>34</v>
      </c>
      <c r="I391" s="25" t="inlineStr">
        <is>
          <t>7 minute(s) and 30 second(s)</t>
        </is>
      </c>
      <c r="J391" s="25">
        <f>IFERROR(VALUE(TRIM(LEFT(I391,FIND("minute",I391)-1)))*60,0)+IFERROR(VALUE(SUBSTITUTE(MID(I391,IFERROR(FIND("and",I391)+3,1),20),"second(s)","")),0)</f>
        <v/>
      </c>
      <c r="K391" s="41">
        <f>J391/60</f>
        <v/>
      </c>
      <c r="L391" s="41">
        <f>IFERROR(J391/H391,"")</f>
        <v/>
      </c>
      <c r="M391" s="25" t="inlineStr">
        <is>
          <t>2.5.12</t>
        </is>
      </c>
      <c r="N391" s="25">
        <f>IF(J391&gt;300,1,0)</f>
        <v/>
      </c>
      <c r="O391" s="25">
        <f>IF(J391&gt;600,1,0)</f>
        <v/>
      </c>
      <c r="P391" s="25">
        <f>IF(H391&gt;0,J391,"")</f>
        <v/>
      </c>
      <c r="Q391" s="25">
        <f>TEXT(A391,"YYYY-MM-DD HH")</f>
        <v/>
      </c>
      <c r="R391" s="25">
        <f>COUNTIF($Q$2:$Q$5295,Q391)</f>
        <v/>
      </c>
      <c r="S391" s="25">
        <f>IF(R391&lt;=2,"1-2",IF(R391&lt;=5,"3-5",IF(R391&lt;=10,"6-10","11+")))</f>
        <v/>
      </c>
    </row>
    <row r="392">
      <c r="A392" s="39" t="n">
        <v>46157.14040509259</v>
      </c>
      <c r="B392" s="25">
        <f>TEXT(A392,"YYYY-MM")</f>
        <v/>
      </c>
      <c r="C392" s="25">
        <f>TEXT(A392,"MMM-YYYY")</f>
        <v/>
      </c>
      <c r="D392" s="40">
        <f>INT(A392)-WEEKDAY(A392,2)+1</f>
        <v/>
      </c>
      <c r="E392" s="25" t="inlineStr">
        <is>
          <t>mbhalla</t>
        </is>
      </c>
      <c r="F392" s="25" t="n">
        <v>115550</v>
      </c>
      <c r="G392" s="25" t="n">
        <v>2</v>
      </c>
      <c r="H392" s="25" t="n">
        <v>12</v>
      </c>
      <c r="I392" s="25" t="inlineStr">
        <is>
          <t>2 minute(s) and 11 second(s)</t>
        </is>
      </c>
      <c r="J392" s="25">
        <f>IFERROR(VALUE(TRIM(LEFT(I392,FIND("minute",I392)-1)))*60,0)+IFERROR(VALUE(SUBSTITUTE(MID(I392,IFERROR(FIND("and",I392)+3,1),20),"second(s)","")),0)</f>
        <v/>
      </c>
      <c r="K392" s="41">
        <f>J392/60</f>
        <v/>
      </c>
      <c r="L392" s="41">
        <f>IFERROR(J392/H392,"")</f>
        <v/>
      </c>
      <c r="M392" s="25" t="inlineStr">
        <is>
          <t>2.5.12</t>
        </is>
      </c>
      <c r="N392" s="25">
        <f>IF(J392&gt;300,1,0)</f>
        <v/>
      </c>
      <c r="O392" s="25">
        <f>IF(J392&gt;600,1,0)</f>
        <v/>
      </c>
      <c r="P392" s="25">
        <f>IF(H392&gt;0,J392,"")</f>
        <v/>
      </c>
      <c r="Q392" s="25">
        <f>TEXT(A392,"YYYY-MM-DD HH")</f>
        <v/>
      </c>
      <c r="R392" s="25">
        <f>COUNTIF($Q$2:$Q$5295,Q392)</f>
        <v/>
      </c>
      <c r="S392" s="25">
        <f>IF(R392&lt;=2,"1-2",IF(R392&lt;=5,"3-5",IF(R392&lt;=10,"6-10","11+")))</f>
        <v/>
      </c>
    </row>
    <row r="393">
      <c r="A393" s="39" t="n">
        <v>46157.14886574074</v>
      </c>
      <c r="B393" s="25">
        <f>TEXT(A393,"YYYY-MM")</f>
        <v/>
      </c>
      <c r="C393" s="25">
        <f>TEXT(A393,"MMM-YYYY")</f>
        <v/>
      </c>
      <c r="D393" s="40">
        <f>INT(A393)-WEEKDAY(A393,2)+1</f>
        <v/>
      </c>
      <c r="E393" s="25" t="inlineStr">
        <is>
          <t>abhaskarkp</t>
        </is>
      </c>
      <c r="F393" s="25" t="n">
        <v>96872</v>
      </c>
      <c r="G393" s="25" t="n">
        <v>3</v>
      </c>
      <c r="H393" s="25" t="n">
        <v>11</v>
      </c>
      <c r="I393" s="25" t="inlineStr">
        <is>
          <t>4 minute(s) and 26 second(s)</t>
        </is>
      </c>
      <c r="J393" s="25">
        <f>IFERROR(VALUE(TRIM(LEFT(I393,FIND("minute",I393)-1)))*60,0)+IFERROR(VALUE(SUBSTITUTE(MID(I393,IFERROR(FIND("and",I393)+3,1),20),"second(s)","")),0)</f>
        <v/>
      </c>
      <c r="K393" s="41">
        <f>J393/60</f>
        <v/>
      </c>
      <c r="L393" s="41">
        <f>IFERROR(J393/H393,"")</f>
        <v/>
      </c>
      <c r="M393" s="25" t="inlineStr">
        <is>
          <t>2.5.12</t>
        </is>
      </c>
      <c r="N393" s="25">
        <f>IF(J393&gt;300,1,0)</f>
        <v/>
      </c>
      <c r="O393" s="25">
        <f>IF(J393&gt;600,1,0)</f>
        <v/>
      </c>
      <c r="P393" s="25">
        <f>IF(H393&gt;0,J393,"")</f>
        <v/>
      </c>
      <c r="Q393" s="25">
        <f>TEXT(A393,"YYYY-MM-DD HH")</f>
        <v/>
      </c>
      <c r="R393" s="25">
        <f>COUNTIF($Q$2:$Q$5295,Q393)</f>
        <v/>
      </c>
      <c r="S393" s="25">
        <f>IF(R393&lt;=2,"1-2",IF(R393&lt;=5,"3-5",IF(R393&lt;=10,"6-10","11+")))</f>
        <v/>
      </c>
    </row>
    <row r="394">
      <c r="A394" s="39" t="n">
        <v>46157.15119212963</v>
      </c>
      <c r="B394" s="25">
        <f>TEXT(A394,"YYYY-MM")</f>
        <v/>
      </c>
      <c r="C394" s="25">
        <f>TEXT(A394,"MMM-YYYY")</f>
        <v/>
      </c>
      <c r="D394" s="40">
        <f>INT(A394)-WEEKDAY(A394,2)+1</f>
        <v/>
      </c>
      <c r="E394" s="25" t="inlineStr">
        <is>
          <t>hsindwani</t>
        </is>
      </c>
      <c r="F394" s="25" t="n">
        <v>81996</v>
      </c>
      <c r="G394" s="25" t="n">
        <v>1</v>
      </c>
      <c r="H394" s="25" t="n">
        <v>5</v>
      </c>
      <c r="I394" s="25" t="inlineStr">
        <is>
          <t>3 minute(s) and 2 second(s)</t>
        </is>
      </c>
      <c r="J394" s="25">
        <f>IFERROR(VALUE(TRIM(LEFT(I394,FIND("minute",I394)-1)))*60,0)+IFERROR(VALUE(SUBSTITUTE(MID(I394,IFERROR(FIND("and",I394)+3,1),20),"second(s)","")),0)</f>
        <v/>
      </c>
      <c r="K394" s="41">
        <f>J394/60</f>
        <v/>
      </c>
      <c r="L394" s="41">
        <f>IFERROR(J394/H394,"")</f>
        <v/>
      </c>
      <c r="M394" s="25" t="inlineStr">
        <is>
          <t>2.5.12</t>
        </is>
      </c>
      <c r="N394" s="25">
        <f>IF(J394&gt;300,1,0)</f>
        <v/>
      </c>
      <c r="O394" s="25">
        <f>IF(J394&gt;600,1,0)</f>
        <v/>
      </c>
      <c r="P394" s="25">
        <f>IF(H394&gt;0,J394,"")</f>
        <v/>
      </c>
      <c r="Q394" s="25">
        <f>TEXT(A394,"YYYY-MM-DD HH")</f>
        <v/>
      </c>
      <c r="R394" s="25">
        <f>COUNTIF($Q$2:$Q$5295,Q394)</f>
        <v/>
      </c>
      <c r="S394" s="25">
        <f>IF(R394&lt;=2,"1-2",IF(R394&lt;=5,"3-5",IF(R394&lt;=10,"6-10","11+")))</f>
        <v/>
      </c>
    </row>
    <row r="395">
      <c r="A395" s="39" t="n">
        <v>46157.15150462963</v>
      </c>
      <c r="B395" s="25">
        <f>TEXT(A395,"YYYY-MM")</f>
        <v/>
      </c>
      <c r="C395" s="25">
        <f>TEXT(A395,"MMM-YYYY")</f>
        <v/>
      </c>
      <c r="D395" s="40">
        <f>INT(A395)-WEEKDAY(A395,2)+1</f>
        <v/>
      </c>
      <c r="E395" s="25" t="inlineStr">
        <is>
          <t>npriya</t>
        </is>
      </c>
      <c r="F395" s="25" t="n">
        <v>96434</v>
      </c>
      <c r="G395" s="25" t="n">
        <v>2</v>
      </c>
      <c r="H395" s="25" t="n">
        <v>6</v>
      </c>
      <c r="I395" s="25" t="inlineStr">
        <is>
          <t>1 minute(s) and 20 second(s)</t>
        </is>
      </c>
      <c r="J395" s="25">
        <f>IFERROR(VALUE(TRIM(LEFT(I395,FIND("minute",I395)-1)))*60,0)+IFERROR(VALUE(SUBSTITUTE(MID(I395,IFERROR(FIND("and",I395)+3,1),20),"second(s)","")),0)</f>
        <v/>
      </c>
      <c r="K395" s="41">
        <f>J395/60</f>
        <v/>
      </c>
      <c r="L395" s="41">
        <f>IFERROR(J395/H395,"")</f>
        <v/>
      </c>
      <c r="M395" s="25" t="inlineStr">
        <is>
          <t>2.5.12</t>
        </is>
      </c>
      <c r="N395" s="25">
        <f>IF(J395&gt;300,1,0)</f>
        <v/>
      </c>
      <c r="O395" s="25">
        <f>IF(J395&gt;600,1,0)</f>
        <v/>
      </c>
      <c r="P395" s="25">
        <f>IF(H395&gt;0,J395,"")</f>
        <v/>
      </c>
      <c r="Q395" s="25">
        <f>TEXT(A395,"YYYY-MM-DD HH")</f>
        <v/>
      </c>
      <c r="R395" s="25">
        <f>COUNTIF($Q$2:$Q$5295,Q395)</f>
        <v/>
      </c>
      <c r="S395" s="25">
        <f>IF(R395&lt;=2,"1-2",IF(R395&lt;=5,"3-5",IF(R395&lt;=10,"6-10","11+")))</f>
        <v/>
      </c>
    </row>
    <row r="396">
      <c r="A396" s="39" t="n">
        <v>46157.15467592593</v>
      </c>
      <c r="B396" s="25">
        <f>TEXT(A396,"YYYY-MM")</f>
        <v/>
      </c>
      <c r="C396" s="25">
        <f>TEXT(A396,"MMM-YYYY")</f>
        <v/>
      </c>
      <c r="D396" s="40">
        <f>INT(A396)-WEEKDAY(A396,2)+1</f>
        <v/>
      </c>
      <c r="E396" s="25" t="inlineStr">
        <is>
          <t>psathwika</t>
        </is>
      </c>
      <c r="F396" s="25" t="n">
        <v>96359</v>
      </c>
      <c r="G396" s="25" t="n">
        <v>3</v>
      </c>
      <c r="H396" s="25" t="n">
        <v>22</v>
      </c>
      <c r="I396" s="25" t="inlineStr">
        <is>
          <t>6 minute(s) and 50 second(s)</t>
        </is>
      </c>
      <c r="J396" s="25">
        <f>IFERROR(VALUE(TRIM(LEFT(I396,FIND("minute",I396)-1)))*60,0)+IFERROR(VALUE(SUBSTITUTE(MID(I396,IFERROR(FIND("and",I396)+3,1),20),"second(s)","")),0)</f>
        <v/>
      </c>
      <c r="K396" s="41">
        <f>J396/60</f>
        <v/>
      </c>
      <c r="L396" s="41">
        <f>IFERROR(J396/H396,"")</f>
        <v/>
      </c>
      <c r="M396" s="25" t="inlineStr">
        <is>
          <t>2.5.12</t>
        </is>
      </c>
      <c r="N396" s="25">
        <f>IF(J396&gt;300,1,0)</f>
        <v/>
      </c>
      <c r="O396" s="25">
        <f>IF(J396&gt;600,1,0)</f>
        <v/>
      </c>
      <c r="P396" s="25">
        <f>IF(H396&gt;0,J396,"")</f>
        <v/>
      </c>
      <c r="Q396" s="25">
        <f>TEXT(A396,"YYYY-MM-DD HH")</f>
        <v/>
      </c>
      <c r="R396" s="25">
        <f>COUNTIF($Q$2:$Q$5295,Q396)</f>
        <v/>
      </c>
      <c r="S396" s="25">
        <f>IF(R396&lt;=2,"1-2",IF(R396&lt;=5,"3-5",IF(R396&lt;=10,"6-10","11+")))</f>
        <v/>
      </c>
    </row>
    <row r="397">
      <c r="A397" s="39" t="n">
        <v>46157.16627314815</v>
      </c>
      <c r="B397" s="25">
        <f>TEXT(A397,"YYYY-MM")</f>
        <v/>
      </c>
      <c r="C397" s="25">
        <f>TEXT(A397,"MMM-YYYY")</f>
        <v/>
      </c>
      <c r="D397" s="40">
        <f>INT(A397)-WEEKDAY(A397,2)+1</f>
        <v/>
      </c>
      <c r="E397" s="25" t="inlineStr">
        <is>
          <t>nbindu</t>
        </is>
      </c>
      <c r="F397" s="25" t="n">
        <v>70910</v>
      </c>
      <c r="G397" s="25" t="n">
        <v>2</v>
      </c>
      <c r="H397" s="25" t="n">
        <v>8</v>
      </c>
      <c r="I397" s="25" t="inlineStr">
        <is>
          <t>2 minute(s) and 29 second(s)</t>
        </is>
      </c>
      <c r="J397" s="25">
        <f>IFERROR(VALUE(TRIM(LEFT(I397,FIND("minute",I397)-1)))*60,0)+IFERROR(VALUE(SUBSTITUTE(MID(I397,IFERROR(FIND("and",I397)+3,1),20),"second(s)","")),0)</f>
        <v/>
      </c>
      <c r="K397" s="41">
        <f>J397/60</f>
        <v/>
      </c>
      <c r="L397" s="41">
        <f>IFERROR(J397/H397,"")</f>
        <v/>
      </c>
      <c r="M397" s="25" t="inlineStr">
        <is>
          <t>2.5.12</t>
        </is>
      </c>
      <c r="N397" s="25">
        <f>IF(J397&gt;300,1,0)</f>
        <v/>
      </c>
      <c r="O397" s="25">
        <f>IF(J397&gt;600,1,0)</f>
        <v/>
      </c>
      <c r="P397" s="25">
        <f>IF(H397&gt;0,J397,"")</f>
        <v/>
      </c>
      <c r="Q397" s="25">
        <f>TEXT(A397,"YYYY-MM-DD HH")</f>
        <v/>
      </c>
      <c r="R397" s="25">
        <f>COUNTIF($Q$2:$Q$5295,Q397)</f>
        <v/>
      </c>
      <c r="S397" s="25">
        <f>IF(R397&lt;=2,"1-2",IF(R397&lt;=5,"3-5",IF(R397&lt;=10,"6-10","11+")))</f>
        <v/>
      </c>
    </row>
    <row r="398">
      <c r="A398" s="39" t="n">
        <v>46157.1671412037</v>
      </c>
      <c r="B398" s="25">
        <f>TEXT(A398,"YYYY-MM")</f>
        <v/>
      </c>
      <c r="C398" s="25">
        <f>TEXT(A398,"MMM-YYYY")</f>
        <v/>
      </c>
      <c r="D398" s="40">
        <f>INT(A398)-WEEKDAY(A398,2)+1</f>
        <v/>
      </c>
      <c r="E398" s="25" t="inlineStr">
        <is>
          <t>shasikha</t>
        </is>
      </c>
      <c r="F398" s="25" t="n">
        <v>69654</v>
      </c>
      <c r="G398" s="25" t="n">
        <v>1</v>
      </c>
      <c r="H398" s="25" t="n">
        <v>5</v>
      </c>
      <c r="I398" s="25" t="inlineStr">
        <is>
          <t>4 minute(s) and 41 second(s)</t>
        </is>
      </c>
      <c r="J398" s="25">
        <f>IFERROR(VALUE(TRIM(LEFT(I398,FIND("minute",I398)-1)))*60,0)+IFERROR(VALUE(SUBSTITUTE(MID(I398,IFERROR(FIND("and",I398)+3,1),20),"second(s)","")),0)</f>
        <v/>
      </c>
      <c r="K398" s="41">
        <f>J398/60</f>
        <v/>
      </c>
      <c r="L398" s="41">
        <f>IFERROR(J398/H398,"")</f>
        <v/>
      </c>
      <c r="M398" s="25" t="inlineStr">
        <is>
          <t>2.5.12</t>
        </is>
      </c>
      <c r="N398" s="25">
        <f>IF(J398&gt;300,1,0)</f>
        <v/>
      </c>
      <c r="O398" s="25">
        <f>IF(J398&gt;600,1,0)</f>
        <v/>
      </c>
      <c r="P398" s="25">
        <f>IF(H398&gt;0,J398,"")</f>
        <v/>
      </c>
      <c r="Q398" s="25">
        <f>TEXT(A398,"YYYY-MM-DD HH")</f>
        <v/>
      </c>
      <c r="R398" s="25">
        <f>COUNTIF($Q$2:$Q$5295,Q398)</f>
        <v/>
      </c>
      <c r="S398" s="25">
        <f>IF(R398&lt;=2,"1-2",IF(R398&lt;=5,"3-5",IF(R398&lt;=10,"6-10","11+")))</f>
        <v/>
      </c>
    </row>
    <row r="399">
      <c r="A399" s="39" t="n">
        <v>46157.16765046296</v>
      </c>
      <c r="B399" s="25">
        <f>TEXT(A399,"YYYY-MM")</f>
        <v/>
      </c>
      <c r="C399" s="25">
        <f>TEXT(A399,"MMM-YYYY")</f>
        <v/>
      </c>
      <c r="D399" s="40">
        <f>INT(A399)-WEEKDAY(A399,2)+1</f>
        <v/>
      </c>
      <c r="E399" s="25" t="inlineStr">
        <is>
          <t>pmishra</t>
        </is>
      </c>
      <c r="F399" s="25" t="n">
        <v>92899</v>
      </c>
      <c r="G399" s="25" t="n">
        <v>2</v>
      </c>
      <c r="H399" s="25" t="n">
        <v>8</v>
      </c>
      <c r="I399" s="25" t="inlineStr">
        <is>
          <t>1 minute(s) and 19 second(s)</t>
        </is>
      </c>
      <c r="J399" s="25">
        <f>IFERROR(VALUE(TRIM(LEFT(I399,FIND("minute",I399)-1)))*60,0)+IFERROR(VALUE(SUBSTITUTE(MID(I399,IFERROR(FIND("and",I399)+3,1),20),"second(s)","")),0)</f>
        <v/>
      </c>
      <c r="K399" s="41">
        <f>J399/60</f>
        <v/>
      </c>
      <c r="L399" s="41">
        <f>IFERROR(J399/H399,"")</f>
        <v/>
      </c>
      <c r="M399" s="25" t="inlineStr">
        <is>
          <t>2.5.12</t>
        </is>
      </c>
      <c r="N399" s="25">
        <f>IF(J399&gt;300,1,0)</f>
        <v/>
      </c>
      <c r="O399" s="25">
        <f>IF(J399&gt;600,1,0)</f>
        <v/>
      </c>
      <c r="P399" s="25">
        <f>IF(H399&gt;0,J399,"")</f>
        <v/>
      </c>
      <c r="Q399" s="25">
        <f>TEXT(A399,"YYYY-MM-DD HH")</f>
        <v/>
      </c>
      <c r="R399" s="25">
        <f>COUNTIF($Q$2:$Q$5295,Q399)</f>
        <v/>
      </c>
      <c r="S399" s="25">
        <f>IF(R399&lt;=2,"1-2",IF(R399&lt;=5,"3-5",IF(R399&lt;=10,"6-10","11+")))</f>
        <v/>
      </c>
    </row>
    <row r="400">
      <c r="A400" s="39" t="n">
        <v>46157.17137731481</v>
      </c>
      <c r="B400" s="25">
        <f>TEXT(A400,"YYYY-MM")</f>
        <v/>
      </c>
      <c r="C400" s="25">
        <f>TEXT(A400,"MMM-YYYY")</f>
        <v/>
      </c>
      <c r="D400" s="40">
        <f>INT(A400)-WEEKDAY(A400,2)+1</f>
        <v/>
      </c>
      <c r="E400" s="25" t="inlineStr">
        <is>
          <t>psathwika</t>
        </is>
      </c>
      <c r="F400" s="25" t="n">
        <v>96359</v>
      </c>
      <c r="G400" s="25" t="n">
        <v>4</v>
      </c>
      <c r="H400" s="25" t="n">
        <v>20</v>
      </c>
      <c r="I400" s="25" t="inlineStr">
        <is>
          <t>5 minute(s) and 56 second(s)</t>
        </is>
      </c>
      <c r="J400" s="25">
        <f>IFERROR(VALUE(TRIM(LEFT(I400,FIND("minute",I400)-1)))*60,0)+IFERROR(VALUE(SUBSTITUTE(MID(I400,IFERROR(FIND("and",I400)+3,1),20),"second(s)","")),0)</f>
        <v/>
      </c>
      <c r="K400" s="41">
        <f>J400/60</f>
        <v/>
      </c>
      <c r="L400" s="41">
        <f>IFERROR(J400/H400,"")</f>
        <v/>
      </c>
      <c r="M400" s="25" t="inlineStr">
        <is>
          <t>2.5.12</t>
        </is>
      </c>
      <c r="N400" s="25">
        <f>IF(J400&gt;300,1,0)</f>
        <v/>
      </c>
      <c r="O400" s="25">
        <f>IF(J400&gt;600,1,0)</f>
        <v/>
      </c>
      <c r="P400" s="25">
        <f>IF(H400&gt;0,J400,"")</f>
        <v/>
      </c>
      <c r="Q400" s="25">
        <f>TEXT(A400,"YYYY-MM-DD HH")</f>
        <v/>
      </c>
      <c r="R400" s="25">
        <f>COUNTIF($Q$2:$Q$5295,Q400)</f>
        <v/>
      </c>
      <c r="S400" s="25">
        <f>IF(R400&lt;=2,"1-2",IF(R400&lt;=5,"3-5",IF(R400&lt;=10,"6-10","11+")))</f>
        <v/>
      </c>
    </row>
    <row r="401">
      <c r="A401" s="39" t="n">
        <v>46157.17291666667</v>
      </c>
      <c r="B401" s="25">
        <f>TEXT(A401,"YYYY-MM")</f>
        <v/>
      </c>
      <c r="C401" s="25">
        <f>TEXT(A401,"MMM-YYYY")</f>
        <v/>
      </c>
      <c r="D401" s="40">
        <f>INT(A401)-WEEKDAY(A401,2)+1</f>
        <v/>
      </c>
      <c r="E401" s="25" t="inlineStr">
        <is>
          <t>akumari</t>
        </is>
      </c>
      <c r="F401" s="25" t="n">
        <v>47125</v>
      </c>
      <c r="G401" s="25" t="n">
        <v>2</v>
      </c>
      <c r="H401" s="25" t="n">
        <v>12</v>
      </c>
      <c r="I401" s="25" t="inlineStr">
        <is>
          <t>1 minute(s) and 45 second(s)</t>
        </is>
      </c>
      <c r="J401" s="25">
        <f>IFERROR(VALUE(TRIM(LEFT(I401,FIND("minute",I401)-1)))*60,0)+IFERROR(VALUE(SUBSTITUTE(MID(I401,IFERROR(FIND("and",I401)+3,1),20),"second(s)","")),0)</f>
        <v/>
      </c>
      <c r="K401" s="41">
        <f>J401/60</f>
        <v/>
      </c>
      <c r="L401" s="41">
        <f>IFERROR(J401/H401,"")</f>
        <v/>
      </c>
      <c r="M401" s="25" t="inlineStr">
        <is>
          <t>2.5.12</t>
        </is>
      </c>
      <c r="N401" s="25">
        <f>IF(J401&gt;300,1,0)</f>
        <v/>
      </c>
      <c r="O401" s="25">
        <f>IF(J401&gt;600,1,0)</f>
        <v/>
      </c>
      <c r="P401" s="25">
        <f>IF(H401&gt;0,J401,"")</f>
        <v/>
      </c>
      <c r="Q401" s="25">
        <f>TEXT(A401,"YYYY-MM-DD HH")</f>
        <v/>
      </c>
      <c r="R401" s="25">
        <f>COUNTIF($Q$2:$Q$5295,Q401)</f>
        <v/>
      </c>
      <c r="S401" s="25">
        <f>IF(R401&lt;=2,"1-2",IF(R401&lt;=5,"3-5",IF(R401&lt;=10,"6-10","11+")))</f>
        <v/>
      </c>
    </row>
    <row r="402">
      <c r="A402" s="39" t="n">
        <v>46157.18101851852</v>
      </c>
      <c r="B402" s="25">
        <f>TEXT(A402,"YYYY-MM")</f>
        <v/>
      </c>
      <c r="C402" s="25">
        <f>TEXT(A402,"MMM-YYYY")</f>
        <v/>
      </c>
      <c r="D402" s="40">
        <f>INT(A402)-WEEKDAY(A402,2)+1</f>
        <v/>
      </c>
      <c r="E402" s="25" t="inlineStr">
        <is>
          <t>ssneha</t>
        </is>
      </c>
      <c r="F402" s="25" t="n">
        <v>45704</v>
      </c>
      <c r="G402" s="25" t="n">
        <v>2</v>
      </c>
      <c r="H402" s="25" t="n">
        <v>6</v>
      </c>
      <c r="I402" s="25" t="inlineStr">
        <is>
          <t>1 minute(s) and 53 second(s)</t>
        </is>
      </c>
      <c r="J402" s="25">
        <f>IFERROR(VALUE(TRIM(LEFT(I402,FIND("minute",I402)-1)))*60,0)+IFERROR(VALUE(SUBSTITUTE(MID(I402,IFERROR(FIND("and",I402)+3,1),20),"second(s)","")),0)</f>
        <v/>
      </c>
      <c r="K402" s="41">
        <f>J402/60</f>
        <v/>
      </c>
      <c r="L402" s="41">
        <f>IFERROR(J402/H402,"")</f>
        <v/>
      </c>
      <c r="M402" s="25" t="inlineStr">
        <is>
          <t>2.5.12</t>
        </is>
      </c>
      <c r="N402" s="25">
        <f>IF(J402&gt;300,1,0)</f>
        <v/>
      </c>
      <c r="O402" s="25">
        <f>IF(J402&gt;600,1,0)</f>
        <v/>
      </c>
      <c r="P402" s="25">
        <f>IF(H402&gt;0,J402,"")</f>
        <v/>
      </c>
      <c r="Q402" s="25">
        <f>TEXT(A402,"YYYY-MM-DD HH")</f>
        <v/>
      </c>
      <c r="R402" s="25">
        <f>COUNTIF($Q$2:$Q$5295,Q402)</f>
        <v/>
      </c>
      <c r="S402" s="25">
        <f>IF(R402&lt;=2,"1-2",IF(R402&lt;=5,"3-5",IF(R402&lt;=10,"6-10","11+")))</f>
        <v/>
      </c>
    </row>
    <row r="403">
      <c r="A403" s="39" t="n">
        <v>46157.18364583333</v>
      </c>
      <c r="B403" s="25">
        <f>TEXT(A403,"YYYY-MM")</f>
        <v/>
      </c>
      <c r="C403" s="25">
        <f>TEXT(A403,"MMM-YYYY")</f>
        <v/>
      </c>
      <c r="D403" s="40">
        <f>INT(A403)-WEEKDAY(A403,2)+1</f>
        <v/>
      </c>
      <c r="E403" s="25" t="inlineStr">
        <is>
          <t>ssrinivasan</t>
        </is>
      </c>
      <c r="F403" s="25" t="n">
        <v>73417</v>
      </c>
      <c r="G403" s="25" t="n">
        <v>5</v>
      </c>
      <c r="H403" s="25" t="n">
        <v>19</v>
      </c>
      <c r="I403" s="25" t="inlineStr">
        <is>
          <t>5 minute(s) and 54 second(s)</t>
        </is>
      </c>
      <c r="J403" s="25">
        <f>IFERROR(VALUE(TRIM(LEFT(I403,FIND("minute",I403)-1)))*60,0)+IFERROR(VALUE(SUBSTITUTE(MID(I403,IFERROR(FIND("and",I403)+3,1),20),"second(s)","")),0)</f>
        <v/>
      </c>
      <c r="K403" s="41">
        <f>J403/60</f>
        <v/>
      </c>
      <c r="L403" s="41">
        <f>IFERROR(J403/H403,"")</f>
        <v/>
      </c>
      <c r="M403" s="25" t="inlineStr">
        <is>
          <t>2.5.12</t>
        </is>
      </c>
      <c r="N403" s="25">
        <f>IF(J403&gt;300,1,0)</f>
        <v/>
      </c>
      <c r="O403" s="25">
        <f>IF(J403&gt;600,1,0)</f>
        <v/>
      </c>
      <c r="P403" s="25">
        <f>IF(H403&gt;0,J403,"")</f>
        <v/>
      </c>
      <c r="Q403" s="25">
        <f>TEXT(A403,"YYYY-MM-DD HH")</f>
        <v/>
      </c>
      <c r="R403" s="25">
        <f>COUNTIF($Q$2:$Q$5295,Q403)</f>
        <v/>
      </c>
      <c r="S403" s="25">
        <f>IF(R403&lt;=2,"1-2",IF(R403&lt;=5,"3-5",IF(R403&lt;=10,"6-10","11+")))</f>
        <v/>
      </c>
    </row>
    <row r="404">
      <c r="A404" s="39" t="n">
        <v>46157.18940972222</v>
      </c>
      <c r="B404" s="25">
        <f>TEXT(A404,"YYYY-MM")</f>
        <v/>
      </c>
      <c r="C404" s="25">
        <f>TEXT(A404,"MMM-YYYY")</f>
        <v/>
      </c>
      <c r="D404" s="40">
        <f>INT(A404)-WEEKDAY(A404,2)+1</f>
        <v/>
      </c>
      <c r="E404" s="25" t="inlineStr">
        <is>
          <t>emishra</t>
        </is>
      </c>
      <c r="F404" s="25" t="n">
        <v>106879</v>
      </c>
      <c r="G404" s="25" t="n">
        <v>2</v>
      </c>
      <c r="H404" s="25" t="n">
        <v>13</v>
      </c>
      <c r="I404" s="25" t="inlineStr">
        <is>
          <t>2 minute(s) and 33 second(s)</t>
        </is>
      </c>
      <c r="J404" s="25">
        <f>IFERROR(VALUE(TRIM(LEFT(I404,FIND("minute",I404)-1)))*60,0)+IFERROR(VALUE(SUBSTITUTE(MID(I404,IFERROR(FIND("and",I404)+3,1),20),"second(s)","")),0)</f>
        <v/>
      </c>
      <c r="K404" s="41">
        <f>J404/60</f>
        <v/>
      </c>
      <c r="L404" s="41">
        <f>IFERROR(J404/H404,"")</f>
        <v/>
      </c>
      <c r="M404" s="25" t="inlineStr">
        <is>
          <t>2.5.12</t>
        </is>
      </c>
      <c r="N404" s="25">
        <f>IF(J404&gt;300,1,0)</f>
        <v/>
      </c>
      <c r="O404" s="25">
        <f>IF(J404&gt;600,1,0)</f>
        <v/>
      </c>
      <c r="P404" s="25">
        <f>IF(H404&gt;0,J404,"")</f>
        <v/>
      </c>
      <c r="Q404" s="25">
        <f>TEXT(A404,"YYYY-MM-DD HH")</f>
        <v/>
      </c>
      <c r="R404" s="25">
        <f>COUNTIF($Q$2:$Q$5295,Q404)</f>
        <v/>
      </c>
      <c r="S404" s="25">
        <f>IF(R404&lt;=2,"1-2",IF(R404&lt;=5,"3-5",IF(R404&lt;=10,"6-10","11+")))</f>
        <v/>
      </c>
    </row>
    <row r="405">
      <c r="A405" s="39" t="n">
        <v>46157.2006712963</v>
      </c>
      <c r="B405" s="25">
        <f>TEXT(A405,"YYYY-MM")</f>
        <v/>
      </c>
      <c r="C405" s="25">
        <f>TEXT(A405,"MMM-YYYY")</f>
        <v/>
      </c>
      <c r="D405" s="40">
        <f>INT(A405)-WEEKDAY(A405,2)+1</f>
        <v/>
      </c>
      <c r="E405" s="25" t="inlineStr">
        <is>
          <t>atiwari</t>
        </is>
      </c>
      <c r="F405" s="25" t="n">
        <v>72396</v>
      </c>
      <c r="G405" s="25" t="n">
        <v>4</v>
      </c>
      <c r="H405" s="25" t="n">
        <v>25</v>
      </c>
      <c r="I405" s="25" t="inlineStr">
        <is>
          <t>4 minute(s) and 37 second(s)</t>
        </is>
      </c>
      <c r="J405" s="25">
        <f>IFERROR(VALUE(TRIM(LEFT(I405,FIND("minute",I405)-1)))*60,0)+IFERROR(VALUE(SUBSTITUTE(MID(I405,IFERROR(FIND("and",I405)+3,1),20),"second(s)","")),0)</f>
        <v/>
      </c>
      <c r="K405" s="41">
        <f>J405/60</f>
        <v/>
      </c>
      <c r="L405" s="41">
        <f>IFERROR(J405/H405,"")</f>
        <v/>
      </c>
      <c r="M405" s="25" t="inlineStr">
        <is>
          <t>2.5.12</t>
        </is>
      </c>
      <c r="N405" s="25">
        <f>IF(J405&gt;300,1,0)</f>
        <v/>
      </c>
      <c r="O405" s="25">
        <f>IF(J405&gt;600,1,0)</f>
        <v/>
      </c>
      <c r="P405" s="25">
        <f>IF(H405&gt;0,J405,"")</f>
        <v/>
      </c>
      <c r="Q405" s="25">
        <f>TEXT(A405,"YYYY-MM-DD HH")</f>
        <v/>
      </c>
      <c r="R405" s="25">
        <f>COUNTIF($Q$2:$Q$5295,Q405)</f>
        <v/>
      </c>
      <c r="S405" s="25">
        <f>IF(R405&lt;=2,"1-2",IF(R405&lt;=5,"3-5",IF(R405&lt;=10,"6-10","11+")))</f>
        <v/>
      </c>
    </row>
    <row r="406">
      <c r="A406" s="39" t="n">
        <v>46157.21877314815</v>
      </c>
      <c r="B406" s="25">
        <f>TEXT(A406,"YYYY-MM")</f>
        <v/>
      </c>
      <c r="C406" s="25">
        <f>TEXT(A406,"MMM-YYYY")</f>
        <v/>
      </c>
      <c r="D406" s="40">
        <f>INT(A406)-WEEKDAY(A406,2)+1</f>
        <v/>
      </c>
      <c r="E406" s="25" t="inlineStr">
        <is>
          <t>mgupta</t>
        </is>
      </c>
      <c r="F406" s="25" t="n">
        <v>25272</v>
      </c>
      <c r="G406" s="25" t="n">
        <v>2</v>
      </c>
      <c r="H406" s="25" t="n">
        <v>8</v>
      </c>
      <c r="I406" s="25" t="inlineStr">
        <is>
          <t>1 minute(s) and 7 second(s)</t>
        </is>
      </c>
      <c r="J406" s="25">
        <f>IFERROR(VALUE(TRIM(LEFT(I406,FIND("minute",I406)-1)))*60,0)+IFERROR(VALUE(SUBSTITUTE(MID(I406,IFERROR(FIND("and",I406)+3,1),20),"second(s)","")),0)</f>
        <v/>
      </c>
      <c r="K406" s="41">
        <f>J406/60</f>
        <v/>
      </c>
      <c r="L406" s="41">
        <f>IFERROR(J406/H406,"")</f>
        <v/>
      </c>
      <c r="M406" s="25" t="inlineStr">
        <is>
          <t>2.5.12</t>
        </is>
      </c>
      <c r="N406" s="25">
        <f>IF(J406&gt;300,1,0)</f>
        <v/>
      </c>
      <c r="O406" s="25">
        <f>IF(J406&gt;600,1,0)</f>
        <v/>
      </c>
      <c r="P406" s="25">
        <f>IF(H406&gt;0,J406,"")</f>
        <v/>
      </c>
      <c r="Q406" s="25">
        <f>TEXT(A406,"YYYY-MM-DD HH")</f>
        <v/>
      </c>
      <c r="R406" s="25">
        <f>COUNTIF($Q$2:$Q$5295,Q406)</f>
        <v/>
      </c>
      <c r="S406" s="25">
        <f>IF(R406&lt;=2,"1-2",IF(R406&lt;=5,"3-5",IF(R406&lt;=10,"6-10","11+")))</f>
        <v/>
      </c>
    </row>
    <row r="407">
      <c r="A407" s="39" t="n">
        <v>46157.22335648148</v>
      </c>
      <c r="B407" s="25">
        <f>TEXT(A407,"YYYY-MM")</f>
        <v/>
      </c>
      <c r="C407" s="25">
        <f>TEXT(A407,"MMM-YYYY")</f>
        <v/>
      </c>
      <c r="D407" s="40">
        <f>INT(A407)-WEEKDAY(A407,2)+1</f>
        <v/>
      </c>
      <c r="E407" s="25" t="inlineStr">
        <is>
          <t>akumari</t>
        </is>
      </c>
      <c r="F407" s="25" t="n">
        <v>83564</v>
      </c>
      <c r="G407" s="25" t="n">
        <v>1</v>
      </c>
      <c r="H407" s="25" t="n">
        <v>8</v>
      </c>
      <c r="I407" s="25" t="inlineStr">
        <is>
          <t>1 minute(s) and 18 second(s)</t>
        </is>
      </c>
      <c r="J407" s="25">
        <f>IFERROR(VALUE(TRIM(LEFT(I407,FIND("minute",I407)-1)))*60,0)+IFERROR(VALUE(SUBSTITUTE(MID(I407,IFERROR(FIND("and",I407)+3,1),20),"second(s)","")),0)</f>
        <v/>
      </c>
      <c r="K407" s="41">
        <f>J407/60</f>
        <v/>
      </c>
      <c r="L407" s="41">
        <f>IFERROR(J407/H407,"")</f>
        <v/>
      </c>
      <c r="M407" s="25" t="inlineStr">
        <is>
          <t>2.5.12</t>
        </is>
      </c>
      <c r="N407" s="25">
        <f>IF(J407&gt;300,1,0)</f>
        <v/>
      </c>
      <c r="O407" s="25">
        <f>IF(J407&gt;600,1,0)</f>
        <v/>
      </c>
      <c r="P407" s="25">
        <f>IF(H407&gt;0,J407,"")</f>
        <v/>
      </c>
      <c r="Q407" s="25">
        <f>TEXT(A407,"YYYY-MM-DD HH")</f>
        <v/>
      </c>
      <c r="R407" s="25">
        <f>COUNTIF($Q$2:$Q$5295,Q407)</f>
        <v/>
      </c>
      <c r="S407" s="25">
        <f>IF(R407&lt;=2,"1-2",IF(R407&lt;=5,"3-5",IF(R407&lt;=10,"6-10","11+")))</f>
        <v/>
      </c>
    </row>
    <row r="408">
      <c r="A408" s="39" t="n">
        <v>46157.22724537037</v>
      </c>
      <c r="B408" s="25">
        <f>TEXT(A408,"YYYY-MM")</f>
        <v/>
      </c>
      <c r="C408" s="25">
        <f>TEXT(A408,"MMM-YYYY")</f>
        <v/>
      </c>
      <c r="D408" s="40">
        <f>INT(A408)-WEEKDAY(A408,2)+1</f>
        <v/>
      </c>
      <c r="E408" s="25" t="inlineStr">
        <is>
          <t>pmishra</t>
        </is>
      </c>
      <c r="F408" s="25" t="n">
        <v>92899</v>
      </c>
      <c r="G408" s="25" t="n">
        <v>2</v>
      </c>
      <c r="H408" s="25" t="n">
        <v>8</v>
      </c>
      <c r="I408" s="25" t="inlineStr">
        <is>
          <t>1 minute(s) and 59 second(s)</t>
        </is>
      </c>
      <c r="J408" s="25">
        <f>IFERROR(VALUE(TRIM(LEFT(I408,FIND("minute",I408)-1)))*60,0)+IFERROR(VALUE(SUBSTITUTE(MID(I408,IFERROR(FIND("and",I408)+3,1),20),"second(s)","")),0)</f>
        <v/>
      </c>
      <c r="K408" s="41">
        <f>J408/60</f>
        <v/>
      </c>
      <c r="L408" s="41">
        <f>IFERROR(J408/H408,"")</f>
        <v/>
      </c>
      <c r="M408" s="25" t="inlineStr">
        <is>
          <t>2.5.12</t>
        </is>
      </c>
      <c r="N408" s="25">
        <f>IF(J408&gt;300,1,0)</f>
        <v/>
      </c>
      <c r="O408" s="25">
        <f>IF(J408&gt;600,1,0)</f>
        <v/>
      </c>
      <c r="P408" s="25">
        <f>IF(H408&gt;0,J408,"")</f>
        <v/>
      </c>
      <c r="Q408" s="25">
        <f>TEXT(A408,"YYYY-MM-DD HH")</f>
        <v/>
      </c>
      <c r="R408" s="25">
        <f>COUNTIF($Q$2:$Q$5295,Q408)</f>
        <v/>
      </c>
      <c r="S408" s="25">
        <f>IF(R408&lt;=2,"1-2",IF(R408&lt;=5,"3-5",IF(R408&lt;=10,"6-10","11+")))</f>
        <v/>
      </c>
    </row>
    <row r="409">
      <c r="A409" s="39" t="n">
        <v>46157.2325</v>
      </c>
      <c r="B409" s="25">
        <f>TEXT(A409,"YYYY-MM")</f>
        <v/>
      </c>
      <c r="C409" s="25">
        <f>TEXT(A409,"MMM-YYYY")</f>
        <v/>
      </c>
      <c r="D409" s="40">
        <f>INT(A409)-WEEKDAY(A409,2)+1</f>
        <v/>
      </c>
      <c r="E409" s="25" t="inlineStr">
        <is>
          <t>abhaskarkp</t>
        </is>
      </c>
      <c r="F409" s="25" t="n">
        <v>115914</v>
      </c>
      <c r="G409" s="25" t="n">
        <v>5</v>
      </c>
      <c r="H409" s="25" t="n">
        <v>17</v>
      </c>
      <c r="I409" s="25" t="inlineStr">
        <is>
          <t>4 minute(s) and 2 second(s)</t>
        </is>
      </c>
      <c r="J409" s="25">
        <f>IFERROR(VALUE(TRIM(LEFT(I409,FIND("minute",I409)-1)))*60,0)+IFERROR(VALUE(SUBSTITUTE(MID(I409,IFERROR(FIND("and",I409)+3,1),20),"second(s)","")),0)</f>
        <v/>
      </c>
      <c r="K409" s="41">
        <f>J409/60</f>
        <v/>
      </c>
      <c r="L409" s="41">
        <f>IFERROR(J409/H409,"")</f>
        <v/>
      </c>
      <c r="M409" s="25" t="inlineStr">
        <is>
          <t>2.5.12</t>
        </is>
      </c>
      <c r="N409" s="25">
        <f>IF(J409&gt;300,1,0)</f>
        <v/>
      </c>
      <c r="O409" s="25">
        <f>IF(J409&gt;600,1,0)</f>
        <v/>
      </c>
      <c r="P409" s="25">
        <f>IF(H409&gt;0,J409,"")</f>
        <v/>
      </c>
      <c r="Q409" s="25">
        <f>TEXT(A409,"YYYY-MM-DD HH")</f>
        <v/>
      </c>
      <c r="R409" s="25">
        <f>COUNTIF($Q$2:$Q$5295,Q409)</f>
        <v/>
      </c>
      <c r="S409" s="25">
        <f>IF(R409&lt;=2,"1-2",IF(R409&lt;=5,"3-5",IF(R409&lt;=10,"6-10","11+")))</f>
        <v/>
      </c>
    </row>
    <row r="410">
      <c r="A410" s="39" t="n">
        <v>46157.23354166667</v>
      </c>
      <c r="B410" s="25">
        <f>TEXT(A410,"YYYY-MM")</f>
        <v/>
      </c>
      <c r="C410" s="25">
        <f>TEXT(A410,"MMM-YYYY")</f>
        <v/>
      </c>
      <c r="D410" s="40">
        <f>INT(A410)-WEEKDAY(A410,2)+1</f>
        <v/>
      </c>
      <c r="E410" s="25" t="inlineStr">
        <is>
          <t>mbhalla</t>
        </is>
      </c>
      <c r="F410" s="25" t="n">
        <v>81483</v>
      </c>
      <c r="G410" s="25" t="n">
        <v>4</v>
      </c>
      <c r="H410" s="25" t="n">
        <v>22</v>
      </c>
      <c r="I410" s="25" t="inlineStr">
        <is>
          <t>4 minute(s) and 59 second(s)</t>
        </is>
      </c>
      <c r="J410" s="25">
        <f>IFERROR(VALUE(TRIM(LEFT(I410,FIND("minute",I410)-1)))*60,0)+IFERROR(VALUE(SUBSTITUTE(MID(I410,IFERROR(FIND("and",I410)+3,1),20),"second(s)","")),0)</f>
        <v/>
      </c>
      <c r="K410" s="41">
        <f>J410/60</f>
        <v/>
      </c>
      <c r="L410" s="41">
        <f>IFERROR(J410/H410,"")</f>
        <v/>
      </c>
      <c r="M410" s="25" t="inlineStr">
        <is>
          <t>2.5.12</t>
        </is>
      </c>
      <c r="N410" s="25">
        <f>IF(J410&gt;300,1,0)</f>
        <v/>
      </c>
      <c r="O410" s="25">
        <f>IF(J410&gt;600,1,0)</f>
        <v/>
      </c>
      <c r="P410" s="25">
        <f>IF(H410&gt;0,J410,"")</f>
        <v/>
      </c>
      <c r="Q410" s="25">
        <f>TEXT(A410,"YYYY-MM-DD HH")</f>
        <v/>
      </c>
      <c r="R410" s="25">
        <f>COUNTIF($Q$2:$Q$5295,Q410)</f>
        <v/>
      </c>
      <c r="S410" s="25">
        <f>IF(R410&lt;=2,"1-2",IF(R410&lt;=5,"3-5",IF(R410&lt;=10,"6-10","11+")))</f>
        <v/>
      </c>
    </row>
    <row r="411">
      <c r="A411" s="39" t="n">
        <v>46157.23447916667</v>
      </c>
      <c r="B411" s="25">
        <f>TEXT(A411,"YYYY-MM")</f>
        <v/>
      </c>
      <c r="C411" s="25">
        <f>TEXT(A411,"MMM-YYYY")</f>
        <v/>
      </c>
      <c r="D411" s="40">
        <f>INT(A411)-WEEKDAY(A411,2)+1</f>
        <v/>
      </c>
      <c r="E411" s="25" t="inlineStr">
        <is>
          <t>rts</t>
        </is>
      </c>
      <c r="F411" s="25" t="n">
        <v>97950</v>
      </c>
      <c r="G411" s="25" t="n">
        <v>2</v>
      </c>
      <c r="H411" s="25" t="n">
        <v>10</v>
      </c>
      <c r="I411" s="25" t="inlineStr">
        <is>
          <t>3 minute(s) and 55 second(s)</t>
        </is>
      </c>
      <c r="J411" s="25">
        <f>IFERROR(VALUE(TRIM(LEFT(I411,FIND("minute",I411)-1)))*60,0)+IFERROR(VALUE(SUBSTITUTE(MID(I411,IFERROR(FIND("and",I411)+3,1),20),"second(s)","")),0)</f>
        <v/>
      </c>
      <c r="K411" s="41">
        <f>J411/60</f>
        <v/>
      </c>
      <c r="L411" s="41">
        <f>IFERROR(J411/H411,"")</f>
        <v/>
      </c>
      <c r="M411" s="25" t="inlineStr">
        <is>
          <t>2.5.12</t>
        </is>
      </c>
      <c r="N411" s="25">
        <f>IF(J411&gt;300,1,0)</f>
        <v/>
      </c>
      <c r="O411" s="25">
        <f>IF(J411&gt;600,1,0)</f>
        <v/>
      </c>
      <c r="P411" s="25">
        <f>IF(H411&gt;0,J411,"")</f>
        <v/>
      </c>
      <c r="Q411" s="25">
        <f>TEXT(A411,"YYYY-MM-DD HH")</f>
        <v/>
      </c>
      <c r="R411" s="25">
        <f>COUNTIF($Q$2:$Q$5295,Q411)</f>
        <v/>
      </c>
      <c r="S411" s="25">
        <f>IF(R411&lt;=2,"1-2",IF(R411&lt;=5,"3-5",IF(R411&lt;=10,"6-10","11+")))</f>
        <v/>
      </c>
    </row>
    <row r="412">
      <c r="A412" s="39" t="n">
        <v>46157.23582175926</v>
      </c>
      <c r="B412" s="25">
        <f>TEXT(A412,"YYYY-MM")</f>
        <v/>
      </c>
      <c r="C412" s="25">
        <f>TEXT(A412,"MMM-YYYY")</f>
        <v/>
      </c>
      <c r="D412" s="40">
        <f>INT(A412)-WEEKDAY(A412,2)+1</f>
        <v/>
      </c>
      <c r="E412" s="25" t="inlineStr">
        <is>
          <t>shasikha</t>
        </is>
      </c>
      <c r="F412" s="25" t="n">
        <v>98467</v>
      </c>
      <c r="G412" s="25" t="n">
        <v>2</v>
      </c>
      <c r="H412" s="25" t="n">
        <v>14</v>
      </c>
      <c r="I412" s="25" t="inlineStr">
        <is>
          <t>3 minute(s) and 43 second(s)</t>
        </is>
      </c>
      <c r="J412" s="25">
        <f>IFERROR(VALUE(TRIM(LEFT(I412,FIND("minute",I412)-1)))*60,0)+IFERROR(VALUE(SUBSTITUTE(MID(I412,IFERROR(FIND("and",I412)+3,1),20),"second(s)","")),0)</f>
        <v/>
      </c>
      <c r="K412" s="41">
        <f>J412/60</f>
        <v/>
      </c>
      <c r="L412" s="41">
        <f>IFERROR(J412/H412,"")</f>
        <v/>
      </c>
      <c r="M412" s="25" t="inlineStr">
        <is>
          <t>2.5.12</t>
        </is>
      </c>
      <c r="N412" s="25">
        <f>IF(J412&gt;300,1,0)</f>
        <v/>
      </c>
      <c r="O412" s="25">
        <f>IF(J412&gt;600,1,0)</f>
        <v/>
      </c>
      <c r="P412" s="25">
        <f>IF(H412&gt;0,J412,"")</f>
        <v/>
      </c>
      <c r="Q412" s="25">
        <f>TEXT(A412,"YYYY-MM-DD HH")</f>
        <v/>
      </c>
      <c r="R412" s="25">
        <f>COUNTIF($Q$2:$Q$5295,Q412)</f>
        <v/>
      </c>
      <c r="S412" s="25">
        <f>IF(R412&lt;=2,"1-2",IF(R412&lt;=5,"3-5",IF(R412&lt;=10,"6-10","11+")))</f>
        <v/>
      </c>
    </row>
    <row r="413">
      <c r="A413" s="39" t="n">
        <v>46157.241875</v>
      </c>
      <c r="B413" s="25">
        <f>TEXT(A413,"YYYY-MM")</f>
        <v/>
      </c>
      <c r="C413" s="25">
        <f>TEXT(A413,"MMM-YYYY")</f>
        <v/>
      </c>
      <c r="D413" s="40">
        <f>INT(A413)-WEEKDAY(A413,2)+1</f>
        <v/>
      </c>
      <c r="E413" s="25" t="inlineStr">
        <is>
          <t>ns</t>
        </is>
      </c>
      <c r="F413" s="25" t="n">
        <v>115513</v>
      </c>
      <c r="G413" s="25" t="n">
        <v>3</v>
      </c>
      <c r="H413" s="25" t="n">
        <v>15</v>
      </c>
      <c r="I413" s="25" t="inlineStr">
        <is>
          <t>3 minute(s) and 3 second(s)</t>
        </is>
      </c>
      <c r="J413" s="25">
        <f>IFERROR(VALUE(TRIM(LEFT(I413,FIND("minute",I413)-1)))*60,0)+IFERROR(VALUE(SUBSTITUTE(MID(I413,IFERROR(FIND("and",I413)+3,1),20),"second(s)","")),0)</f>
        <v/>
      </c>
      <c r="K413" s="41">
        <f>J413/60</f>
        <v/>
      </c>
      <c r="L413" s="41">
        <f>IFERROR(J413/H413,"")</f>
        <v/>
      </c>
      <c r="M413" s="25" t="inlineStr">
        <is>
          <t>2.5.12</t>
        </is>
      </c>
      <c r="N413" s="25">
        <f>IF(J413&gt;300,1,0)</f>
        <v/>
      </c>
      <c r="O413" s="25">
        <f>IF(J413&gt;600,1,0)</f>
        <v/>
      </c>
      <c r="P413" s="25">
        <f>IF(H413&gt;0,J413,"")</f>
        <v/>
      </c>
      <c r="Q413" s="25">
        <f>TEXT(A413,"YYYY-MM-DD HH")</f>
        <v/>
      </c>
      <c r="R413" s="25">
        <f>COUNTIF($Q$2:$Q$5295,Q413)</f>
        <v/>
      </c>
      <c r="S413" s="25">
        <f>IF(R413&lt;=2,"1-2",IF(R413&lt;=5,"3-5",IF(R413&lt;=10,"6-10","11+")))</f>
        <v/>
      </c>
    </row>
    <row r="414">
      <c r="A414" s="39" t="n">
        <v>46157.24422453704</v>
      </c>
      <c r="B414" s="25">
        <f>TEXT(A414,"YYYY-MM")</f>
        <v/>
      </c>
      <c r="C414" s="25">
        <f>TEXT(A414,"MMM-YYYY")</f>
        <v/>
      </c>
      <c r="D414" s="40">
        <f>INT(A414)-WEEKDAY(A414,2)+1</f>
        <v/>
      </c>
      <c r="E414" s="25" t="inlineStr">
        <is>
          <t>emishra</t>
        </is>
      </c>
      <c r="F414" s="25" t="n">
        <v>94425</v>
      </c>
      <c r="G414" s="25" t="n">
        <v>2</v>
      </c>
      <c r="H414" s="25" t="n">
        <v>12</v>
      </c>
      <c r="I414" s="25" t="inlineStr">
        <is>
          <t>1 minute(s) and 35 second(s)</t>
        </is>
      </c>
      <c r="J414" s="25">
        <f>IFERROR(VALUE(TRIM(LEFT(I414,FIND("minute",I414)-1)))*60,0)+IFERROR(VALUE(SUBSTITUTE(MID(I414,IFERROR(FIND("and",I414)+3,1),20),"second(s)","")),0)</f>
        <v/>
      </c>
      <c r="K414" s="41">
        <f>J414/60</f>
        <v/>
      </c>
      <c r="L414" s="41">
        <f>IFERROR(J414/H414,"")</f>
        <v/>
      </c>
      <c r="M414" s="25" t="inlineStr">
        <is>
          <t>2.5.12</t>
        </is>
      </c>
      <c r="N414" s="25">
        <f>IF(J414&gt;300,1,0)</f>
        <v/>
      </c>
      <c r="O414" s="25">
        <f>IF(J414&gt;600,1,0)</f>
        <v/>
      </c>
      <c r="P414" s="25">
        <f>IF(H414&gt;0,J414,"")</f>
        <v/>
      </c>
      <c r="Q414" s="25">
        <f>TEXT(A414,"YYYY-MM-DD HH")</f>
        <v/>
      </c>
      <c r="R414" s="25">
        <f>COUNTIF($Q$2:$Q$5295,Q414)</f>
        <v/>
      </c>
      <c r="S414" s="25">
        <f>IF(R414&lt;=2,"1-2",IF(R414&lt;=5,"3-5",IF(R414&lt;=10,"6-10","11+")))</f>
        <v/>
      </c>
    </row>
    <row r="415">
      <c r="A415" s="39" t="n">
        <v>46157.25028935185</v>
      </c>
      <c r="B415" s="25">
        <f>TEXT(A415,"YYYY-MM")</f>
        <v/>
      </c>
      <c r="C415" s="25">
        <f>TEXT(A415,"MMM-YYYY")</f>
        <v/>
      </c>
      <c r="D415" s="40">
        <f>INT(A415)-WEEKDAY(A415,2)+1</f>
        <v/>
      </c>
      <c r="E415" s="25" t="inlineStr">
        <is>
          <t>dbhattacharyya</t>
        </is>
      </c>
      <c r="F415" s="25" t="n">
        <v>70873</v>
      </c>
      <c r="G415" s="25" t="n">
        <v>2</v>
      </c>
      <c r="H415" s="25" t="n">
        <v>10</v>
      </c>
      <c r="I415" s="25" t="inlineStr">
        <is>
          <t>1 minute(s) and 28 second(s)</t>
        </is>
      </c>
      <c r="J415" s="25">
        <f>IFERROR(VALUE(TRIM(LEFT(I415,FIND("minute",I415)-1)))*60,0)+IFERROR(VALUE(SUBSTITUTE(MID(I415,IFERROR(FIND("and",I415)+3,1),20),"second(s)","")),0)</f>
        <v/>
      </c>
      <c r="K415" s="41">
        <f>J415/60</f>
        <v/>
      </c>
      <c r="L415" s="41">
        <f>IFERROR(J415/H415,"")</f>
        <v/>
      </c>
      <c r="M415" s="25" t="inlineStr">
        <is>
          <t>2.5.12</t>
        </is>
      </c>
      <c r="N415" s="25">
        <f>IF(J415&gt;300,1,0)</f>
        <v/>
      </c>
      <c r="O415" s="25">
        <f>IF(J415&gt;600,1,0)</f>
        <v/>
      </c>
      <c r="P415" s="25">
        <f>IF(H415&gt;0,J415,"")</f>
        <v/>
      </c>
      <c r="Q415" s="25">
        <f>TEXT(A415,"YYYY-MM-DD HH")</f>
        <v/>
      </c>
      <c r="R415" s="25">
        <f>COUNTIF($Q$2:$Q$5295,Q415)</f>
        <v/>
      </c>
      <c r="S415" s="25">
        <f>IF(R415&lt;=2,"1-2",IF(R415&lt;=5,"3-5",IF(R415&lt;=10,"6-10","11+")))</f>
        <v/>
      </c>
    </row>
    <row r="416">
      <c r="A416" s="39" t="n">
        <v>46157.25358796296</v>
      </c>
      <c r="B416" s="25">
        <f>TEXT(A416,"YYYY-MM")</f>
        <v/>
      </c>
      <c r="C416" s="25">
        <f>TEXT(A416,"MMM-YYYY")</f>
        <v/>
      </c>
      <c r="D416" s="40">
        <f>INT(A416)-WEEKDAY(A416,2)+1</f>
        <v/>
      </c>
      <c r="E416" s="25" t="inlineStr">
        <is>
          <t>npriya</t>
        </is>
      </c>
      <c r="F416" s="25" t="n">
        <v>94215</v>
      </c>
      <c r="G416" s="25" t="n">
        <v>2</v>
      </c>
      <c r="H416" s="25" t="n">
        <v>6</v>
      </c>
      <c r="I416" s="25" t="inlineStr">
        <is>
          <t>1 minute(s) and 27 second(s)</t>
        </is>
      </c>
      <c r="J416" s="25">
        <f>IFERROR(VALUE(TRIM(LEFT(I416,FIND("minute",I416)-1)))*60,0)+IFERROR(VALUE(SUBSTITUTE(MID(I416,IFERROR(FIND("and",I416)+3,1),20),"second(s)","")),0)</f>
        <v/>
      </c>
      <c r="K416" s="41">
        <f>J416/60</f>
        <v/>
      </c>
      <c r="L416" s="41">
        <f>IFERROR(J416/H416,"")</f>
        <v/>
      </c>
      <c r="M416" s="25" t="inlineStr">
        <is>
          <t>2.5.12</t>
        </is>
      </c>
      <c r="N416" s="25">
        <f>IF(J416&gt;300,1,0)</f>
        <v/>
      </c>
      <c r="O416" s="25">
        <f>IF(J416&gt;600,1,0)</f>
        <v/>
      </c>
      <c r="P416" s="25">
        <f>IF(H416&gt;0,J416,"")</f>
        <v/>
      </c>
      <c r="Q416" s="25">
        <f>TEXT(A416,"YYYY-MM-DD HH")</f>
        <v/>
      </c>
      <c r="R416" s="25">
        <f>COUNTIF($Q$2:$Q$5295,Q416)</f>
        <v/>
      </c>
      <c r="S416" s="25">
        <f>IF(R416&lt;=2,"1-2",IF(R416&lt;=5,"3-5",IF(R416&lt;=10,"6-10","11+")))</f>
        <v/>
      </c>
    </row>
    <row r="417">
      <c r="A417" s="39" t="n">
        <v>46157.25965277778</v>
      </c>
      <c r="B417" s="25">
        <f>TEXT(A417,"YYYY-MM")</f>
        <v/>
      </c>
      <c r="C417" s="25">
        <f>TEXT(A417,"MMM-YYYY")</f>
        <v/>
      </c>
      <c r="D417" s="40">
        <f>INT(A417)-WEEKDAY(A417,2)+1</f>
        <v/>
      </c>
      <c r="E417" s="25" t="inlineStr">
        <is>
          <t>akumari</t>
        </is>
      </c>
      <c r="F417" s="25" t="n">
        <v>84208</v>
      </c>
      <c r="G417" s="25" t="n">
        <v>2</v>
      </c>
      <c r="H417" s="25" t="n">
        <v>11</v>
      </c>
      <c r="I417" s="25" t="inlineStr">
        <is>
          <t>1 minute(s) and 38 second(s)</t>
        </is>
      </c>
      <c r="J417" s="25">
        <f>IFERROR(VALUE(TRIM(LEFT(I417,FIND("minute",I417)-1)))*60,0)+IFERROR(VALUE(SUBSTITUTE(MID(I417,IFERROR(FIND("and",I417)+3,1),20),"second(s)","")),0)</f>
        <v/>
      </c>
      <c r="K417" s="41">
        <f>J417/60</f>
        <v/>
      </c>
      <c r="L417" s="41">
        <f>IFERROR(J417/H417,"")</f>
        <v/>
      </c>
      <c r="M417" s="25" t="inlineStr">
        <is>
          <t>2.5.12</t>
        </is>
      </c>
      <c r="N417" s="25">
        <f>IF(J417&gt;300,1,0)</f>
        <v/>
      </c>
      <c r="O417" s="25">
        <f>IF(J417&gt;600,1,0)</f>
        <v/>
      </c>
      <c r="P417" s="25">
        <f>IF(H417&gt;0,J417,"")</f>
        <v/>
      </c>
      <c r="Q417" s="25">
        <f>TEXT(A417,"YYYY-MM-DD HH")</f>
        <v/>
      </c>
      <c r="R417" s="25">
        <f>COUNTIF($Q$2:$Q$5295,Q417)</f>
        <v/>
      </c>
      <c r="S417" s="25">
        <f>IF(R417&lt;=2,"1-2",IF(R417&lt;=5,"3-5",IF(R417&lt;=10,"6-10","11+")))</f>
        <v/>
      </c>
    </row>
    <row r="418">
      <c r="A418" s="39" t="n">
        <v>46157.26168981481</v>
      </c>
      <c r="B418" s="25">
        <f>TEXT(A418,"YYYY-MM")</f>
        <v/>
      </c>
      <c r="C418" s="25">
        <f>TEXT(A418,"MMM-YYYY")</f>
        <v/>
      </c>
      <c r="D418" s="40">
        <f>INT(A418)-WEEKDAY(A418,2)+1</f>
        <v/>
      </c>
      <c r="E418" s="25" t="inlineStr">
        <is>
          <t>pmishra</t>
        </is>
      </c>
      <c r="F418" s="25" t="n">
        <v>97138</v>
      </c>
      <c r="G418" s="25" t="n">
        <v>1</v>
      </c>
      <c r="H418" s="25" t="n">
        <v>5</v>
      </c>
      <c r="I418" s="25" t="inlineStr">
        <is>
          <t>1 minute(s) and 22 second(s)</t>
        </is>
      </c>
      <c r="J418" s="25">
        <f>IFERROR(VALUE(TRIM(LEFT(I418,FIND("minute",I418)-1)))*60,0)+IFERROR(VALUE(SUBSTITUTE(MID(I418,IFERROR(FIND("and",I418)+3,1),20),"second(s)","")),0)</f>
        <v/>
      </c>
      <c r="K418" s="41">
        <f>J418/60</f>
        <v/>
      </c>
      <c r="L418" s="41">
        <f>IFERROR(J418/H418,"")</f>
        <v/>
      </c>
      <c r="M418" s="25" t="inlineStr">
        <is>
          <t>2.5.12</t>
        </is>
      </c>
      <c r="N418" s="25">
        <f>IF(J418&gt;300,1,0)</f>
        <v/>
      </c>
      <c r="O418" s="25">
        <f>IF(J418&gt;600,1,0)</f>
        <v/>
      </c>
      <c r="P418" s="25">
        <f>IF(H418&gt;0,J418,"")</f>
        <v/>
      </c>
      <c r="Q418" s="25">
        <f>TEXT(A418,"YYYY-MM-DD HH")</f>
        <v/>
      </c>
      <c r="R418" s="25">
        <f>COUNTIF($Q$2:$Q$5295,Q418)</f>
        <v/>
      </c>
      <c r="S418" s="25">
        <f>IF(R418&lt;=2,"1-2",IF(R418&lt;=5,"3-5",IF(R418&lt;=10,"6-10","11+")))</f>
        <v/>
      </c>
    </row>
    <row r="419">
      <c r="A419" s="39" t="n">
        <v>46157.28061342592</v>
      </c>
      <c r="B419" s="25">
        <f>TEXT(A419,"YYYY-MM")</f>
        <v/>
      </c>
      <c r="C419" s="25">
        <f>TEXT(A419,"MMM-YYYY")</f>
        <v/>
      </c>
      <c r="D419" s="40">
        <f>INT(A419)-WEEKDAY(A419,2)+1</f>
        <v/>
      </c>
      <c r="E419" s="25" t="inlineStr">
        <is>
          <t>shassan</t>
        </is>
      </c>
      <c r="F419" s="25" t="n">
        <v>117253</v>
      </c>
      <c r="G419" s="25" t="n">
        <v>4</v>
      </c>
      <c r="H419" s="25" t="n">
        <v>10</v>
      </c>
      <c r="I419" s="25" t="inlineStr">
        <is>
          <t>2 minute(s) and 41 second(s)</t>
        </is>
      </c>
      <c r="J419" s="25">
        <f>IFERROR(VALUE(TRIM(LEFT(I419,FIND("minute",I419)-1)))*60,0)+IFERROR(VALUE(SUBSTITUTE(MID(I419,IFERROR(FIND("and",I419)+3,1),20),"second(s)","")),0)</f>
        <v/>
      </c>
      <c r="K419" s="41">
        <f>J419/60</f>
        <v/>
      </c>
      <c r="L419" s="41">
        <f>IFERROR(J419/H419,"")</f>
        <v/>
      </c>
      <c r="M419" s="25" t="inlineStr">
        <is>
          <t>2.5.12</t>
        </is>
      </c>
      <c r="N419" s="25">
        <f>IF(J419&gt;300,1,0)</f>
        <v/>
      </c>
      <c r="O419" s="25">
        <f>IF(J419&gt;600,1,0)</f>
        <v/>
      </c>
      <c r="P419" s="25">
        <f>IF(H419&gt;0,J419,"")</f>
        <v/>
      </c>
      <c r="Q419" s="25">
        <f>TEXT(A419,"YYYY-MM-DD HH")</f>
        <v/>
      </c>
      <c r="R419" s="25">
        <f>COUNTIF($Q$2:$Q$5295,Q419)</f>
        <v/>
      </c>
      <c r="S419" s="25">
        <f>IF(R419&lt;=2,"1-2",IF(R419&lt;=5,"3-5",IF(R419&lt;=10,"6-10","11+")))</f>
        <v/>
      </c>
    </row>
    <row r="420">
      <c r="A420" s="39" t="n">
        <v>46157.2809375</v>
      </c>
      <c r="B420" s="25">
        <f>TEXT(A420,"YYYY-MM")</f>
        <v/>
      </c>
      <c r="C420" s="25">
        <f>TEXT(A420,"MMM-YYYY")</f>
        <v/>
      </c>
      <c r="D420" s="40">
        <f>INT(A420)-WEEKDAY(A420,2)+1</f>
        <v/>
      </c>
      <c r="E420" s="25" t="inlineStr">
        <is>
          <t>ssrinivasan</t>
        </is>
      </c>
      <c r="F420" s="25" t="n">
        <v>103786</v>
      </c>
      <c r="G420" s="25" t="n">
        <v>5</v>
      </c>
      <c r="H420" s="25" t="n">
        <v>19</v>
      </c>
      <c r="I420" s="25" t="inlineStr">
        <is>
          <t>4 minute(s) and 58 second(s)</t>
        </is>
      </c>
      <c r="J420" s="25">
        <f>IFERROR(VALUE(TRIM(LEFT(I420,FIND("minute",I420)-1)))*60,0)+IFERROR(VALUE(SUBSTITUTE(MID(I420,IFERROR(FIND("and",I420)+3,1),20),"second(s)","")),0)</f>
        <v/>
      </c>
      <c r="K420" s="41">
        <f>J420/60</f>
        <v/>
      </c>
      <c r="L420" s="41">
        <f>IFERROR(J420/H420,"")</f>
        <v/>
      </c>
      <c r="M420" s="25" t="inlineStr">
        <is>
          <t>2.5.12</t>
        </is>
      </c>
      <c r="N420" s="25">
        <f>IF(J420&gt;300,1,0)</f>
        <v/>
      </c>
      <c r="O420" s="25">
        <f>IF(J420&gt;600,1,0)</f>
        <v/>
      </c>
      <c r="P420" s="25">
        <f>IF(H420&gt;0,J420,"")</f>
        <v/>
      </c>
      <c r="Q420" s="25">
        <f>TEXT(A420,"YYYY-MM-DD HH")</f>
        <v/>
      </c>
      <c r="R420" s="25">
        <f>COUNTIF($Q$2:$Q$5295,Q420)</f>
        <v/>
      </c>
      <c r="S420" s="25">
        <f>IF(R420&lt;=2,"1-2",IF(R420&lt;=5,"3-5",IF(R420&lt;=10,"6-10","11+")))</f>
        <v/>
      </c>
    </row>
    <row r="421">
      <c r="A421" s="39" t="n">
        <v>46157.28840277778</v>
      </c>
      <c r="B421" s="25">
        <f>TEXT(A421,"YYYY-MM")</f>
        <v/>
      </c>
      <c r="C421" s="25">
        <f>TEXT(A421,"MMM-YYYY")</f>
        <v/>
      </c>
      <c r="D421" s="40">
        <f>INT(A421)-WEEKDAY(A421,2)+1</f>
        <v/>
      </c>
      <c r="E421" s="25" t="inlineStr">
        <is>
          <t>vraina</t>
        </is>
      </c>
      <c r="F421" s="25" t="n">
        <v>113868</v>
      </c>
      <c r="G421" s="25" t="n">
        <v>4</v>
      </c>
      <c r="H421" s="25" t="n">
        <v>20</v>
      </c>
      <c r="I421" s="25" t="inlineStr">
        <is>
          <t>5 minute(s) and 34 second(s)</t>
        </is>
      </c>
      <c r="J421" s="25">
        <f>IFERROR(VALUE(TRIM(LEFT(I421,FIND("minute",I421)-1)))*60,0)+IFERROR(VALUE(SUBSTITUTE(MID(I421,IFERROR(FIND("and",I421)+3,1),20),"second(s)","")),0)</f>
        <v/>
      </c>
      <c r="K421" s="41">
        <f>J421/60</f>
        <v/>
      </c>
      <c r="L421" s="41">
        <f>IFERROR(J421/H421,"")</f>
        <v/>
      </c>
      <c r="M421" s="25" t="inlineStr">
        <is>
          <t>2.5.12</t>
        </is>
      </c>
      <c r="N421" s="25">
        <f>IF(J421&gt;300,1,0)</f>
        <v/>
      </c>
      <c r="O421" s="25">
        <f>IF(J421&gt;600,1,0)</f>
        <v/>
      </c>
      <c r="P421" s="25">
        <f>IF(H421&gt;0,J421,"")</f>
        <v/>
      </c>
      <c r="Q421" s="25">
        <f>TEXT(A421,"YYYY-MM-DD HH")</f>
        <v/>
      </c>
      <c r="R421" s="25">
        <f>COUNTIF($Q$2:$Q$5295,Q421)</f>
        <v/>
      </c>
      <c r="S421" s="25">
        <f>IF(R421&lt;=2,"1-2",IF(R421&lt;=5,"3-5",IF(R421&lt;=10,"6-10","11+")))</f>
        <v/>
      </c>
    </row>
    <row r="422">
      <c r="A422" s="39" t="n">
        <v>46157.28973379629</v>
      </c>
      <c r="B422" s="25">
        <f>TEXT(A422,"YYYY-MM")</f>
        <v/>
      </c>
      <c r="C422" s="25">
        <f>TEXT(A422,"MMM-YYYY")</f>
        <v/>
      </c>
      <c r="D422" s="40">
        <f>INT(A422)-WEEKDAY(A422,2)+1</f>
        <v/>
      </c>
      <c r="E422" s="25" t="inlineStr">
        <is>
          <t>mbhalla</t>
        </is>
      </c>
      <c r="F422" s="25" t="n">
        <v>71889</v>
      </c>
      <c r="G422" s="25" t="n">
        <v>2</v>
      </c>
      <c r="H422" s="25" t="n">
        <v>10</v>
      </c>
      <c r="I422" s="25" t="inlineStr">
        <is>
          <t>2 minute(s) and 19 second(s)</t>
        </is>
      </c>
      <c r="J422" s="25">
        <f>IFERROR(VALUE(TRIM(LEFT(I422,FIND("minute",I422)-1)))*60,0)+IFERROR(VALUE(SUBSTITUTE(MID(I422,IFERROR(FIND("and",I422)+3,1),20),"second(s)","")),0)</f>
        <v/>
      </c>
      <c r="K422" s="41">
        <f>J422/60</f>
        <v/>
      </c>
      <c r="L422" s="41">
        <f>IFERROR(J422/H422,"")</f>
        <v/>
      </c>
      <c r="M422" s="25" t="inlineStr">
        <is>
          <t>2.5.12</t>
        </is>
      </c>
      <c r="N422" s="25">
        <f>IF(J422&gt;300,1,0)</f>
        <v/>
      </c>
      <c r="O422" s="25">
        <f>IF(J422&gt;600,1,0)</f>
        <v/>
      </c>
      <c r="P422" s="25">
        <f>IF(H422&gt;0,J422,"")</f>
        <v/>
      </c>
      <c r="Q422" s="25">
        <f>TEXT(A422,"YYYY-MM-DD HH")</f>
        <v/>
      </c>
      <c r="R422" s="25">
        <f>COUNTIF($Q$2:$Q$5295,Q422)</f>
        <v/>
      </c>
      <c r="S422" s="25">
        <f>IF(R422&lt;=2,"1-2",IF(R422&lt;=5,"3-5",IF(R422&lt;=10,"6-10","11+")))</f>
        <v/>
      </c>
    </row>
    <row r="423">
      <c r="A423" s="39" t="n">
        <v>46157.29295138889</v>
      </c>
      <c r="B423" s="25">
        <f>TEXT(A423,"YYYY-MM")</f>
        <v/>
      </c>
      <c r="C423" s="25">
        <f>TEXT(A423,"MMM-YYYY")</f>
        <v/>
      </c>
      <c r="D423" s="40">
        <f>INT(A423)-WEEKDAY(A423,2)+1</f>
        <v/>
      </c>
      <c r="E423" s="25" t="inlineStr">
        <is>
          <t>akumari</t>
        </is>
      </c>
      <c r="F423" s="25" t="n">
        <v>2232</v>
      </c>
      <c r="G423" s="25" t="n">
        <v>2</v>
      </c>
      <c r="H423" s="25" t="n">
        <v>13</v>
      </c>
      <c r="I423" s="25" t="inlineStr">
        <is>
          <t>2 minute(s) and 7 second(s)</t>
        </is>
      </c>
      <c r="J423" s="25">
        <f>IFERROR(VALUE(TRIM(LEFT(I423,FIND("minute",I423)-1)))*60,0)+IFERROR(VALUE(SUBSTITUTE(MID(I423,IFERROR(FIND("and",I423)+3,1),20),"second(s)","")),0)</f>
        <v/>
      </c>
      <c r="K423" s="41">
        <f>J423/60</f>
        <v/>
      </c>
      <c r="L423" s="41">
        <f>IFERROR(J423/H423,"")</f>
        <v/>
      </c>
      <c r="M423" s="25" t="inlineStr">
        <is>
          <t>2.5.12</t>
        </is>
      </c>
      <c r="N423" s="25">
        <f>IF(J423&gt;300,1,0)</f>
        <v/>
      </c>
      <c r="O423" s="25">
        <f>IF(J423&gt;600,1,0)</f>
        <v/>
      </c>
      <c r="P423" s="25">
        <f>IF(H423&gt;0,J423,"")</f>
        <v/>
      </c>
      <c r="Q423" s="25">
        <f>TEXT(A423,"YYYY-MM-DD HH")</f>
        <v/>
      </c>
      <c r="R423" s="25">
        <f>COUNTIF($Q$2:$Q$5295,Q423)</f>
        <v/>
      </c>
      <c r="S423" s="25">
        <f>IF(R423&lt;=2,"1-2",IF(R423&lt;=5,"3-5",IF(R423&lt;=10,"6-10","11+")))</f>
        <v/>
      </c>
    </row>
    <row r="424">
      <c r="A424" s="39" t="n">
        <v>46157.29525462963</v>
      </c>
      <c r="B424" s="25">
        <f>TEXT(A424,"YYYY-MM")</f>
        <v/>
      </c>
      <c r="C424" s="25">
        <f>TEXT(A424,"MMM-YYYY")</f>
        <v/>
      </c>
      <c r="D424" s="40">
        <f>INT(A424)-WEEKDAY(A424,2)+1</f>
        <v/>
      </c>
      <c r="E424" s="25" t="inlineStr">
        <is>
          <t>npriya</t>
        </is>
      </c>
      <c r="F424" s="25" t="n">
        <v>94047</v>
      </c>
      <c r="G424" s="25" t="n">
        <v>2</v>
      </c>
      <c r="H424" s="25" t="n">
        <v>6</v>
      </c>
      <c r="I424" s="25" t="inlineStr">
        <is>
          <t>1 minute(s) and 33 second(s)</t>
        </is>
      </c>
      <c r="J424" s="25">
        <f>IFERROR(VALUE(TRIM(LEFT(I424,FIND("minute",I424)-1)))*60,0)+IFERROR(VALUE(SUBSTITUTE(MID(I424,IFERROR(FIND("and",I424)+3,1),20),"second(s)","")),0)</f>
        <v/>
      </c>
      <c r="K424" s="41">
        <f>J424/60</f>
        <v/>
      </c>
      <c r="L424" s="41">
        <f>IFERROR(J424/H424,"")</f>
        <v/>
      </c>
      <c r="M424" s="25" t="inlineStr">
        <is>
          <t>2.5.12</t>
        </is>
      </c>
      <c r="N424" s="25">
        <f>IF(J424&gt;300,1,0)</f>
        <v/>
      </c>
      <c r="O424" s="25">
        <f>IF(J424&gt;600,1,0)</f>
        <v/>
      </c>
      <c r="P424" s="25">
        <f>IF(H424&gt;0,J424,"")</f>
        <v/>
      </c>
      <c r="Q424" s="25">
        <f>TEXT(A424,"YYYY-MM-DD HH")</f>
        <v/>
      </c>
      <c r="R424" s="25">
        <f>COUNTIF($Q$2:$Q$5295,Q424)</f>
        <v/>
      </c>
      <c r="S424" s="25">
        <f>IF(R424&lt;=2,"1-2",IF(R424&lt;=5,"3-5",IF(R424&lt;=10,"6-10","11+")))</f>
        <v/>
      </c>
    </row>
    <row r="425">
      <c r="A425" s="39" t="n">
        <v>46157.29670138889</v>
      </c>
      <c r="B425" s="25">
        <f>TEXT(A425,"YYYY-MM")</f>
        <v/>
      </c>
      <c r="C425" s="25">
        <f>TEXT(A425,"MMM-YYYY")</f>
        <v/>
      </c>
      <c r="D425" s="40">
        <f>INT(A425)-WEEKDAY(A425,2)+1</f>
        <v/>
      </c>
      <c r="E425" s="25" t="inlineStr">
        <is>
          <t>atiwari</t>
        </is>
      </c>
      <c r="F425" s="25" t="n">
        <v>113055</v>
      </c>
      <c r="G425" s="25" t="n">
        <v>4</v>
      </c>
      <c r="H425" s="25" t="n">
        <v>26</v>
      </c>
      <c r="I425" s="25" t="inlineStr">
        <is>
          <t>4 minute(s) and 39 second(s)</t>
        </is>
      </c>
      <c r="J425" s="25">
        <f>IFERROR(VALUE(TRIM(LEFT(I425,FIND("minute",I425)-1)))*60,0)+IFERROR(VALUE(SUBSTITUTE(MID(I425,IFERROR(FIND("and",I425)+3,1),20),"second(s)","")),0)</f>
        <v/>
      </c>
      <c r="K425" s="41">
        <f>J425/60</f>
        <v/>
      </c>
      <c r="L425" s="41">
        <f>IFERROR(J425/H425,"")</f>
        <v/>
      </c>
      <c r="M425" s="25" t="inlineStr">
        <is>
          <t>2.5.12</t>
        </is>
      </c>
      <c r="N425" s="25">
        <f>IF(J425&gt;300,1,0)</f>
        <v/>
      </c>
      <c r="O425" s="25">
        <f>IF(J425&gt;600,1,0)</f>
        <v/>
      </c>
      <c r="P425" s="25">
        <f>IF(H425&gt;0,J425,"")</f>
        <v/>
      </c>
      <c r="Q425" s="25">
        <f>TEXT(A425,"YYYY-MM-DD HH")</f>
        <v/>
      </c>
      <c r="R425" s="25">
        <f>COUNTIF($Q$2:$Q$5295,Q425)</f>
        <v/>
      </c>
      <c r="S425" s="25">
        <f>IF(R425&lt;=2,"1-2",IF(R425&lt;=5,"3-5",IF(R425&lt;=10,"6-10","11+")))</f>
        <v/>
      </c>
    </row>
    <row r="426">
      <c r="A426" s="39" t="n">
        <v>46157.3095949074</v>
      </c>
      <c r="B426" s="25">
        <f>TEXT(A426,"YYYY-MM")</f>
        <v/>
      </c>
      <c r="C426" s="25">
        <f>TEXT(A426,"MMM-YYYY")</f>
        <v/>
      </c>
      <c r="D426" s="40">
        <f>INT(A426)-WEEKDAY(A426,2)+1</f>
        <v/>
      </c>
      <c r="E426" s="25" t="inlineStr">
        <is>
          <t>abhaskarkp</t>
        </is>
      </c>
      <c r="F426" s="25" t="n">
        <v>107186</v>
      </c>
      <c r="G426" s="25" t="n">
        <v>1</v>
      </c>
      <c r="H426" s="25" t="n">
        <v>5</v>
      </c>
      <c r="I426" s="25" t="inlineStr">
        <is>
          <t>49 second(s)</t>
        </is>
      </c>
      <c r="J426" s="25">
        <f>IFERROR(VALUE(TRIM(LEFT(I426,FIND("minute",I426)-1)))*60,0)+IFERROR(VALUE(SUBSTITUTE(MID(I426,IFERROR(FIND("and",I426)+3,1),20),"second(s)","")),0)</f>
        <v/>
      </c>
      <c r="K426" s="41">
        <f>J426/60</f>
        <v/>
      </c>
      <c r="L426" s="41">
        <f>IFERROR(J426/H426,"")</f>
        <v/>
      </c>
      <c r="M426" s="25" t="inlineStr">
        <is>
          <t>2.5.12</t>
        </is>
      </c>
      <c r="N426" s="25">
        <f>IF(J426&gt;300,1,0)</f>
        <v/>
      </c>
      <c r="O426" s="25">
        <f>IF(J426&gt;600,1,0)</f>
        <v/>
      </c>
      <c r="P426" s="25">
        <f>IF(H426&gt;0,J426,"")</f>
        <v/>
      </c>
      <c r="Q426" s="25">
        <f>TEXT(A426,"YYYY-MM-DD HH")</f>
        <v/>
      </c>
      <c r="R426" s="25">
        <f>COUNTIF($Q$2:$Q$5295,Q426)</f>
        <v/>
      </c>
      <c r="S426" s="25">
        <f>IF(R426&lt;=2,"1-2",IF(R426&lt;=5,"3-5",IF(R426&lt;=10,"6-10","11+")))</f>
        <v/>
      </c>
    </row>
    <row r="427">
      <c r="A427" s="39" t="n">
        <v>46157.3096412037</v>
      </c>
      <c r="B427" s="25">
        <f>TEXT(A427,"YYYY-MM")</f>
        <v/>
      </c>
      <c r="C427" s="25">
        <f>TEXT(A427,"MMM-YYYY")</f>
        <v/>
      </c>
      <c r="D427" s="40">
        <f>INT(A427)-WEEKDAY(A427,2)+1</f>
        <v/>
      </c>
      <c r="E427" s="25" t="inlineStr">
        <is>
          <t>dbhattacharyya</t>
        </is>
      </c>
      <c r="F427" s="25" t="n">
        <v>106619</v>
      </c>
      <c r="G427" s="25" t="n">
        <v>5</v>
      </c>
      <c r="H427" s="25" t="n">
        <v>25</v>
      </c>
      <c r="I427" s="25" t="inlineStr">
        <is>
          <t>4 minute(s) and 56 second(s)</t>
        </is>
      </c>
      <c r="J427" s="25">
        <f>IFERROR(VALUE(TRIM(LEFT(I427,FIND("minute",I427)-1)))*60,0)+IFERROR(VALUE(SUBSTITUTE(MID(I427,IFERROR(FIND("and",I427)+3,1),20),"second(s)","")),0)</f>
        <v/>
      </c>
      <c r="K427" s="41">
        <f>J427/60</f>
        <v/>
      </c>
      <c r="L427" s="41">
        <f>IFERROR(J427/H427,"")</f>
        <v/>
      </c>
      <c r="M427" s="25" t="inlineStr">
        <is>
          <t>2.5.12</t>
        </is>
      </c>
      <c r="N427" s="25">
        <f>IF(J427&gt;300,1,0)</f>
        <v/>
      </c>
      <c r="O427" s="25">
        <f>IF(J427&gt;600,1,0)</f>
        <v/>
      </c>
      <c r="P427" s="25">
        <f>IF(H427&gt;0,J427,"")</f>
        <v/>
      </c>
      <c r="Q427" s="25">
        <f>TEXT(A427,"YYYY-MM-DD HH")</f>
        <v/>
      </c>
      <c r="R427" s="25">
        <f>COUNTIF($Q$2:$Q$5295,Q427)</f>
        <v/>
      </c>
      <c r="S427" s="25">
        <f>IF(R427&lt;=2,"1-2",IF(R427&lt;=5,"3-5",IF(R427&lt;=10,"6-10","11+")))</f>
        <v/>
      </c>
    </row>
    <row r="428">
      <c r="A428" s="39" t="n">
        <v>46157.31107638889</v>
      </c>
      <c r="B428" s="25">
        <f>TEXT(A428,"YYYY-MM")</f>
        <v/>
      </c>
      <c r="C428" s="25">
        <f>TEXT(A428,"MMM-YYYY")</f>
        <v/>
      </c>
      <c r="D428" s="40">
        <f>INT(A428)-WEEKDAY(A428,2)+1</f>
        <v/>
      </c>
      <c r="E428" s="25" t="inlineStr">
        <is>
          <t>smukhopadhyay</t>
        </is>
      </c>
      <c r="F428" s="25" t="n">
        <v>69085</v>
      </c>
      <c r="G428" s="25" t="n">
        <v>2</v>
      </c>
      <c r="H428" s="25" t="n">
        <v>10</v>
      </c>
      <c r="I428" s="25" t="inlineStr">
        <is>
          <t>2 minute(s) and 32 second(s)</t>
        </is>
      </c>
      <c r="J428" s="25">
        <f>IFERROR(VALUE(TRIM(LEFT(I428,FIND("minute",I428)-1)))*60,0)+IFERROR(VALUE(SUBSTITUTE(MID(I428,IFERROR(FIND("and",I428)+3,1),20),"second(s)","")),0)</f>
        <v/>
      </c>
      <c r="K428" s="41">
        <f>J428/60</f>
        <v/>
      </c>
      <c r="L428" s="41">
        <f>IFERROR(J428/H428,"")</f>
        <v/>
      </c>
      <c r="M428" s="25" t="inlineStr">
        <is>
          <t>2.5.12</t>
        </is>
      </c>
      <c r="N428" s="25">
        <f>IF(J428&gt;300,1,0)</f>
        <v/>
      </c>
      <c r="O428" s="25">
        <f>IF(J428&gt;600,1,0)</f>
        <v/>
      </c>
      <c r="P428" s="25">
        <f>IF(H428&gt;0,J428,"")</f>
        <v/>
      </c>
      <c r="Q428" s="25">
        <f>TEXT(A428,"YYYY-MM-DD HH")</f>
        <v/>
      </c>
      <c r="R428" s="25">
        <f>COUNTIF($Q$2:$Q$5295,Q428)</f>
        <v/>
      </c>
      <c r="S428" s="25">
        <f>IF(R428&lt;=2,"1-2",IF(R428&lt;=5,"3-5",IF(R428&lt;=10,"6-10","11+")))</f>
        <v/>
      </c>
    </row>
    <row r="429">
      <c r="A429" s="39" t="n">
        <v>46157.31269675926</v>
      </c>
      <c r="B429" s="25">
        <f>TEXT(A429,"YYYY-MM")</f>
        <v/>
      </c>
      <c r="C429" s="25">
        <f>TEXT(A429,"MMM-YYYY")</f>
        <v/>
      </c>
      <c r="D429" s="40">
        <f>INT(A429)-WEEKDAY(A429,2)+1</f>
        <v/>
      </c>
      <c r="E429" s="25" t="inlineStr">
        <is>
          <t>csaha</t>
        </is>
      </c>
      <c r="F429" s="25" t="n">
        <v>115319</v>
      </c>
      <c r="G429" s="25" t="n">
        <v>2</v>
      </c>
      <c r="H429" s="25" t="n">
        <v>10</v>
      </c>
      <c r="I429" s="25" t="inlineStr">
        <is>
          <t>3 minute(s) and 9 second(s)</t>
        </is>
      </c>
      <c r="J429" s="25">
        <f>IFERROR(VALUE(TRIM(LEFT(I429,FIND("minute",I429)-1)))*60,0)+IFERROR(VALUE(SUBSTITUTE(MID(I429,IFERROR(FIND("and",I429)+3,1),20),"second(s)","")),0)</f>
        <v/>
      </c>
      <c r="K429" s="41">
        <f>J429/60</f>
        <v/>
      </c>
      <c r="L429" s="41">
        <f>IFERROR(J429/H429,"")</f>
        <v/>
      </c>
      <c r="M429" s="25" t="inlineStr">
        <is>
          <t>2.5.12</t>
        </is>
      </c>
      <c r="N429" s="25">
        <f>IF(J429&gt;300,1,0)</f>
        <v/>
      </c>
      <c r="O429" s="25">
        <f>IF(J429&gt;600,1,0)</f>
        <v/>
      </c>
      <c r="P429" s="25">
        <f>IF(H429&gt;0,J429,"")</f>
        <v/>
      </c>
      <c r="Q429" s="25">
        <f>TEXT(A429,"YYYY-MM-DD HH")</f>
        <v/>
      </c>
      <c r="R429" s="25">
        <f>COUNTIF($Q$2:$Q$5295,Q429)</f>
        <v/>
      </c>
      <c r="S429" s="25">
        <f>IF(R429&lt;=2,"1-2",IF(R429&lt;=5,"3-5",IF(R429&lt;=10,"6-10","11+")))</f>
        <v/>
      </c>
    </row>
    <row r="430">
      <c r="A430" s="39" t="n">
        <v>46157.33292824074</v>
      </c>
      <c r="B430" s="25">
        <f>TEXT(A430,"YYYY-MM")</f>
        <v/>
      </c>
      <c r="C430" s="25">
        <f>TEXT(A430,"MMM-YYYY")</f>
        <v/>
      </c>
      <c r="D430" s="40">
        <f>INT(A430)-WEEKDAY(A430,2)+1</f>
        <v/>
      </c>
      <c r="E430" s="25" t="inlineStr">
        <is>
          <t>shasikha</t>
        </is>
      </c>
      <c r="F430" s="25" t="n">
        <v>106897</v>
      </c>
      <c r="G430" s="25" t="n">
        <v>2</v>
      </c>
      <c r="H430" s="25" t="n">
        <v>14</v>
      </c>
      <c r="I430" s="25" t="inlineStr">
        <is>
          <t>4 minute(s) and 19 second(s)</t>
        </is>
      </c>
      <c r="J430" s="25">
        <f>IFERROR(VALUE(TRIM(LEFT(I430,FIND("minute",I430)-1)))*60,0)+IFERROR(VALUE(SUBSTITUTE(MID(I430,IFERROR(FIND("and",I430)+3,1),20),"second(s)","")),0)</f>
        <v/>
      </c>
      <c r="K430" s="41">
        <f>J430/60</f>
        <v/>
      </c>
      <c r="L430" s="41">
        <f>IFERROR(J430/H430,"")</f>
        <v/>
      </c>
      <c r="M430" s="25" t="inlineStr">
        <is>
          <t>2.5.12</t>
        </is>
      </c>
      <c r="N430" s="25">
        <f>IF(J430&gt;300,1,0)</f>
        <v/>
      </c>
      <c r="O430" s="25">
        <f>IF(J430&gt;600,1,0)</f>
        <v/>
      </c>
      <c r="P430" s="25">
        <f>IF(H430&gt;0,J430,"")</f>
        <v/>
      </c>
      <c r="Q430" s="25">
        <f>TEXT(A430,"YYYY-MM-DD HH")</f>
        <v/>
      </c>
      <c r="R430" s="25">
        <f>COUNTIF($Q$2:$Q$5295,Q430)</f>
        <v/>
      </c>
      <c r="S430" s="25">
        <f>IF(R430&lt;=2,"1-2",IF(R430&lt;=5,"3-5",IF(R430&lt;=10,"6-10","11+")))</f>
        <v/>
      </c>
    </row>
    <row r="431">
      <c r="A431" s="39" t="n">
        <v>46157.33333333334</v>
      </c>
      <c r="B431" s="25">
        <f>TEXT(A431,"YYYY-MM")</f>
        <v/>
      </c>
      <c r="C431" s="25">
        <f>TEXT(A431,"MMM-YYYY")</f>
        <v/>
      </c>
      <c r="D431" s="40">
        <f>INT(A431)-WEEKDAY(A431,2)+1</f>
        <v/>
      </c>
      <c r="E431" s="25" t="inlineStr">
        <is>
          <t>shassan</t>
        </is>
      </c>
      <c r="F431" s="25" t="n">
        <v>105916</v>
      </c>
      <c r="G431" s="25" t="n">
        <v>4</v>
      </c>
      <c r="H431" s="25" t="n">
        <v>20</v>
      </c>
      <c r="I431" s="25" t="inlineStr">
        <is>
          <t>6 minute(s) and 11 second(s)</t>
        </is>
      </c>
      <c r="J431" s="25">
        <f>IFERROR(VALUE(TRIM(LEFT(I431,FIND("minute",I431)-1)))*60,0)+IFERROR(VALUE(SUBSTITUTE(MID(I431,IFERROR(FIND("and",I431)+3,1),20),"second(s)","")),0)</f>
        <v/>
      </c>
      <c r="K431" s="41">
        <f>J431/60</f>
        <v/>
      </c>
      <c r="L431" s="41">
        <f>IFERROR(J431/H431,"")</f>
        <v/>
      </c>
      <c r="M431" s="25" t="inlineStr">
        <is>
          <t>2.5.12</t>
        </is>
      </c>
      <c r="N431" s="25">
        <f>IF(J431&gt;300,1,0)</f>
        <v/>
      </c>
      <c r="O431" s="25">
        <f>IF(J431&gt;600,1,0)</f>
        <v/>
      </c>
      <c r="P431" s="25">
        <f>IF(H431&gt;0,J431,"")</f>
        <v/>
      </c>
      <c r="Q431" s="25">
        <f>TEXT(A431,"YYYY-MM-DD HH")</f>
        <v/>
      </c>
      <c r="R431" s="25">
        <f>COUNTIF($Q$2:$Q$5295,Q431)</f>
        <v/>
      </c>
      <c r="S431" s="25">
        <f>IF(R431&lt;=2,"1-2",IF(R431&lt;=5,"3-5",IF(R431&lt;=10,"6-10","11+")))</f>
        <v/>
      </c>
    </row>
    <row r="432">
      <c r="A432" s="39" t="n">
        <v>46157.33787037037</v>
      </c>
      <c r="B432" s="25">
        <f>TEXT(A432,"YYYY-MM")</f>
        <v/>
      </c>
      <c r="C432" s="25">
        <f>TEXT(A432,"MMM-YYYY")</f>
        <v/>
      </c>
      <c r="D432" s="40">
        <f>INT(A432)-WEEKDAY(A432,2)+1</f>
        <v/>
      </c>
      <c r="E432" s="25" t="inlineStr">
        <is>
          <t>psathwika</t>
        </is>
      </c>
      <c r="F432" s="25" t="n">
        <v>105845</v>
      </c>
      <c r="G432" s="25" t="n">
        <v>2</v>
      </c>
      <c r="H432" s="25" t="n">
        <v>6</v>
      </c>
      <c r="I432" s="25" t="inlineStr">
        <is>
          <t>1 minute(s) and 28 second(s)</t>
        </is>
      </c>
      <c r="J432" s="25">
        <f>IFERROR(VALUE(TRIM(LEFT(I432,FIND("minute",I432)-1)))*60,0)+IFERROR(VALUE(SUBSTITUTE(MID(I432,IFERROR(FIND("and",I432)+3,1),20),"second(s)","")),0)</f>
        <v/>
      </c>
      <c r="K432" s="41">
        <f>J432/60</f>
        <v/>
      </c>
      <c r="L432" s="41">
        <f>IFERROR(J432/H432,"")</f>
        <v/>
      </c>
      <c r="M432" s="25" t="inlineStr">
        <is>
          <t>2.5.12</t>
        </is>
      </c>
      <c r="N432" s="25">
        <f>IF(J432&gt;300,1,0)</f>
        <v/>
      </c>
      <c r="O432" s="25">
        <f>IF(J432&gt;600,1,0)</f>
        <v/>
      </c>
      <c r="P432" s="25">
        <f>IF(H432&gt;0,J432,"")</f>
        <v/>
      </c>
      <c r="Q432" s="25">
        <f>TEXT(A432,"YYYY-MM-DD HH")</f>
        <v/>
      </c>
      <c r="R432" s="25">
        <f>COUNTIF($Q$2:$Q$5295,Q432)</f>
        <v/>
      </c>
      <c r="S432" s="25">
        <f>IF(R432&lt;=2,"1-2",IF(R432&lt;=5,"3-5",IF(R432&lt;=10,"6-10","11+")))</f>
        <v/>
      </c>
    </row>
    <row r="433">
      <c r="A433" s="39" t="n">
        <v>46157.33810185185</v>
      </c>
      <c r="B433" s="25">
        <f>TEXT(A433,"YYYY-MM")</f>
        <v/>
      </c>
      <c r="C433" s="25">
        <f>TEXT(A433,"MMM-YYYY")</f>
        <v/>
      </c>
      <c r="D433" s="40">
        <f>INT(A433)-WEEKDAY(A433,2)+1</f>
        <v/>
      </c>
      <c r="E433" s="25" t="inlineStr">
        <is>
          <t>rts</t>
        </is>
      </c>
      <c r="F433" s="25" t="n">
        <v>74023</v>
      </c>
      <c r="G433" s="25" t="n">
        <v>1</v>
      </c>
      <c r="H433" s="25" t="n">
        <v>5</v>
      </c>
      <c r="I433" s="25" t="inlineStr">
        <is>
          <t>2 minute(s) and 7 second(s)</t>
        </is>
      </c>
      <c r="J433" s="25">
        <f>IFERROR(VALUE(TRIM(LEFT(I433,FIND("minute",I433)-1)))*60,0)+IFERROR(VALUE(SUBSTITUTE(MID(I433,IFERROR(FIND("and",I433)+3,1),20),"second(s)","")),0)</f>
        <v/>
      </c>
      <c r="K433" s="41">
        <f>J433/60</f>
        <v/>
      </c>
      <c r="L433" s="41">
        <f>IFERROR(J433/H433,"")</f>
        <v/>
      </c>
      <c r="M433" s="25" t="inlineStr">
        <is>
          <t>2.5.12</t>
        </is>
      </c>
      <c r="N433" s="25">
        <f>IF(J433&gt;300,1,0)</f>
        <v/>
      </c>
      <c r="O433" s="25">
        <f>IF(J433&gt;600,1,0)</f>
        <v/>
      </c>
      <c r="P433" s="25">
        <f>IF(H433&gt;0,J433,"")</f>
        <v/>
      </c>
      <c r="Q433" s="25">
        <f>TEXT(A433,"YYYY-MM-DD HH")</f>
        <v/>
      </c>
      <c r="R433" s="25">
        <f>COUNTIF($Q$2:$Q$5295,Q433)</f>
        <v/>
      </c>
      <c r="S433" s="25">
        <f>IF(R433&lt;=2,"1-2",IF(R433&lt;=5,"3-5",IF(R433&lt;=10,"6-10","11+")))</f>
        <v/>
      </c>
    </row>
    <row r="434">
      <c r="A434" s="39" t="n">
        <v>46157.34576388889</v>
      </c>
      <c r="B434" s="25">
        <f>TEXT(A434,"YYYY-MM")</f>
        <v/>
      </c>
      <c r="C434" s="25">
        <f>TEXT(A434,"MMM-YYYY")</f>
        <v/>
      </c>
      <c r="D434" s="40">
        <f>INT(A434)-WEEKDAY(A434,2)+1</f>
        <v/>
      </c>
      <c r="E434" s="25" t="inlineStr">
        <is>
          <t>hdutt</t>
        </is>
      </c>
      <c r="F434" s="25" t="n">
        <v>117482</v>
      </c>
      <c r="G434" s="25" t="n">
        <v>1</v>
      </c>
      <c r="H434" s="25" t="n">
        <v>7</v>
      </c>
      <c r="I434" s="25" t="inlineStr">
        <is>
          <t>1 minute(s) and 6 second(s)</t>
        </is>
      </c>
      <c r="J434" s="25">
        <f>IFERROR(VALUE(TRIM(LEFT(I434,FIND("minute",I434)-1)))*60,0)+IFERROR(VALUE(SUBSTITUTE(MID(I434,IFERROR(FIND("and",I434)+3,1),20),"second(s)","")),0)</f>
        <v/>
      </c>
      <c r="K434" s="41">
        <f>J434/60</f>
        <v/>
      </c>
      <c r="L434" s="41">
        <f>IFERROR(J434/H434,"")</f>
        <v/>
      </c>
      <c r="M434" s="25" t="inlineStr">
        <is>
          <t>2.5.12</t>
        </is>
      </c>
      <c r="N434" s="25">
        <f>IF(J434&gt;300,1,0)</f>
        <v/>
      </c>
      <c r="O434" s="25">
        <f>IF(J434&gt;600,1,0)</f>
        <v/>
      </c>
      <c r="P434" s="25">
        <f>IF(H434&gt;0,J434,"")</f>
        <v/>
      </c>
      <c r="Q434" s="25">
        <f>TEXT(A434,"YYYY-MM-DD HH")</f>
        <v/>
      </c>
      <c r="R434" s="25">
        <f>COUNTIF($Q$2:$Q$5295,Q434)</f>
        <v/>
      </c>
      <c r="S434" s="25">
        <f>IF(R434&lt;=2,"1-2",IF(R434&lt;=5,"3-5",IF(R434&lt;=10,"6-10","11+")))</f>
        <v/>
      </c>
    </row>
    <row r="435">
      <c r="A435" s="39" t="n">
        <v>46157.35682870371</v>
      </c>
      <c r="B435" s="25">
        <f>TEXT(A435,"YYYY-MM")</f>
        <v/>
      </c>
      <c r="C435" s="25">
        <f>TEXT(A435,"MMM-YYYY")</f>
        <v/>
      </c>
      <c r="D435" s="40">
        <f>INT(A435)-WEEKDAY(A435,2)+1</f>
        <v/>
      </c>
      <c r="E435" s="25" t="inlineStr">
        <is>
          <t>atiwari</t>
        </is>
      </c>
      <c r="F435" s="25" t="n">
        <v>115842</v>
      </c>
      <c r="G435" s="25" t="n">
        <v>2</v>
      </c>
      <c r="H435" s="25" t="n">
        <v>12</v>
      </c>
      <c r="I435" s="25" t="inlineStr">
        <is>
          <t>2 minute(s) and 2 second(s)</t>
        </is>
      </c>
      <c r="J435" s="25">
        <f>IFERROR(VALUE(TRIM(LEFT(I435,FIND("minute",I435)-1)))*60,0)+IFERROR(VALUE(SUBSTITUTE(MID(I435,IFERROR(FIND("and",I435)+3,1),20),"second(s)","")),0)</f>
        <v/>
      </c>
      <c r="K435" s="41">
        <f>J435/60</f>
        <v/>
      </c>
      <c r="L435" s="41">
        <f>IFERROR(J435/H435,"")</f>
        <v/>
      </c>
      <c r="M435" s="25" t="inlineStr">
        <is>
          <t>2.5.12</t>
        </is>
      </c>
      <c r="N435" s="25">
        <f>IF(J435&gt;300,1,0)</f>
        <v/>
      </c>
      <c r="O435" s="25">
        <f>IF(J435&gt;600,1,0)</f>
        <v/>
      </c>
      <c r="P435" s="25">
        <f>IF(H435&gt;0,J435,"")</f>
        <v/>
      </c>
      <c r="Q435" s="25">
        <f>TEXT(A435,"YYYY-MM-DD HH")</f>
        <v/>
      </c>
      <c r="R435" s="25">
        <f>COUNTIF($Q$2:$Q$5295,Q435)</f>
        <v/>
      </c>
      <c r="S435" s="25">
        <f>IF(R435&lt;=2,"1-2",IF(R435&lt;=5,"3-5",IF(R435&lt;=10,"6-10","11+")))</f>
        <v/>
      </c>
    </row>
    <row r="436">
      <c r="A436" s="39" t="n">
        <v>46157.35864583333</v>
      </c>
      <c r="B436" s="25">
        <f>TEXT(A436,"YYYY-MM")</f>
        <v/>
      </c>
      <c r="C436" s="25">
        <f>TEXT(A436,"MMM-YYYY")</f>
        <v/>
      </c>
      <c r="D436" s="40">
        <f>INT(A436)-WEEKDAY(A436,2)+1</f>
        <v/>
      </c>
      <c r="E436" s="25" t="inlineStr">
        <is>
          <t>nbindu</t>
        </is>
      </c>
      <c r="F436" s="25" t="n">
        <v>114418</v>
      </c>
      <c r="G436" s="25" t="n">
        <v>5</v>
      </c>
      <c r="H436" s="25" t="n">
        <v>25</v>
      </c>
      <c r="I436" s="25" t="inlineStr">
        <is>
          <t>5 minute(s) and 44 second(s)</t>
        </is>
      </c>
      <c r="J436" s="25">
        <f>IFERROR(VALUE(TRIM(LEFT(I436,FIND("minute",I436)-1)))*60,0)+IFERROR(VALUE(SUBSTITUTE(MID(I436,IFERROR(FIND("and",I436)+3,1),20),"second(s)","")),0)</f>
        <v/>
      </c>
      <c r="K436" s="41">
        <f>J436/60</f>
        <v/>
      </c>
      <c r="L436" s="41">
        <f>IFERROR(J436/H436,"")</f>
        <v/>
      </c>
      <c r="M436" s="25" t="inlineStr">
        <is>
          <t>2.5.12</t>
        </is>
      </c>
      <c r="N436" s="25">
        <f>IF(J436&gt;300,1,0)</f>
        <v/>
      </c>
      <c r="O436" s="25">
        <f>IF(J436&gt;600,1,0)</f>
        <v/>
      </c>
      <c r="P436" s="25">
        <f>IF(H436&gt;0,J436,"")</f>
        <v/>
      </c>
      <c r="Q436" s="25">
        <f>TEXT(A436,"YYYY-MM-DD HH")</f>
        <v/>
      </c>
      <c r="R436" s="25">
        <f>COUNTIF($Q$2:$Q$5295,Q436)</f>
        <v/>
      </c>
      <c r="S436" s="25">
        <f>IF(R436&lt;=2,"1-2",IF(R436&lt;=5,"3-5",IF(R436&lt;=10,"6-10","11+")))</f>
        <v/>
      </c>
    </row>
    <row r="437">
      <c r="A437" s="39" t="n">
        <v>46157.36818287037</v>
      </c>
      <c r="B437" s="25">
        <f>TEXT(A437,"YYYY-MM")</f>
        <v/>
      </c>
      <c r="C437" s="25">
        <f>TEXT(A437,"MMM-YYYY")</f>
        <v/>
      </c>
      <c r="D437" s="40">
        <f>INT(A437)-WEEKDAY(A437,2)+1</f>
        <v/>
      </c>
      <c r="E437" s="25" t="inlineStr">
        <is>
          <t>csaha</t>
        </is>
      </c>
      <c r="F437" s="25" t="n">
        <v>93281</v>
      </c>
      <c r="G437" s="25" t="n">
        <v>1</v>
      </c>
      <c r="H437" s="25" t="n">
        <v>7</v>
      </c>
      <c r="I437" s="25" t="inlineStr">
        <is>
          <t>2 minute(s) and 23 second(s)</t>
        </is>
      </c>
      <c r="J437" s="25">
        <f>IFERROR(VALUE(TRIM(LEFT(I437,FIND("minute",I437)-1)))*60,0)+IFERROR(VALUE(SUBSTITUTE(MID(I437,IFERROR(FIND("and",I437)+3,1),20),"second(s)","")),0)</f>
        <v/>
      </c>
      <c r="K437" s="41">
        <f>J437/60</f>
        <v/>
      </c>
      <c r="L437" s="41">
        <f>IFERROR(J437/H437,"")</f>
        <v/>
      </c>
      <c r="M437" s="25" t="inlineStr">
        <is>
          <t>2.5.12</t>
        </is>
      </c>
      <c r="N437" s="25">
        <f>IF(J437&gt;300,1,0)</f>
        <v/>
      </c>
      <c r="O437" s="25">
        <f>IF(J437&gt;600,1,0)</f>
        <v/>
      </c>
      <c r="P437" s="25">
        <f>IF(H437&gt;0,J437,"")</f>
        <v/>
      </c>
      <c r="Q437" s="25">
        <f>TEXT(A437,"YYYY-MM-DD HH")</f>
        <v/>
      </c>
      <c r="R437" s="25">
        <f>COUNTIF($Q$2:$Q$5295,Q437)</f>
        <v/>
      </c>
      <c r="S437" s="25">
        <f>IF(R437&lt;=2,"1-2",IF(R437&lt;=5,"3-5",IF(R437&lt;=10,"6-10","11+")))</f>
        <v/>
      </c>
    </row>
    <row r="438">
      <c r="A438" s="39" t="n">
        <v>46157.37304398148</v>
      </c>
      <c r="B438" s="25">
        <f>TEXT(A438,"YYYY-MM")</f>
        <v/>
      </c>
      <c r="C438" s="25">
        <f>TEXT(A438,"MMM-YYYY")</f>
        <v/>
      </c>
      <c r="D438" s="40">
        <f>INT(A438)-WEEKDAY(A438,2)+1</f>
        <v/>
      </c>
      <c r="E438" s="25" t="inlineStr">
        <is>
          <t>rts</t>
        </is>
      </c>
      <c r="F438" s="25" t="n">
        <v>80085</v>
      </c>
      <c r="G438" s="25" t="n">
        <v>1</v>
      </c>
      <c r="H438" s="25" t="n">
        <v>5</v>
      </c>
      <c r="I438" s="25" t="inlineStr">
        <is>
          <t>1 minute(s) and 42 second(s)</t>
        </is>
      </c>
      <c r="J438" s="25">
        <f>IFERROR(VALUE(TRIM(LEFT(I438,FIND("minute",I438)-1)))*60,0)+IFERROR(VALUE(SUBSTITUTE(MID(I438,IFERROR(FIND("and",I438)+3,1),20),"second(s)","")),0)</f>
        <v/>
      </c>
      <c r="K438" s="41">
        <f>J438/60</f>
        <v/>
      </c>
      <c r="L438" s="41">
        <f>IFERROR(J438/H438,"")</f>
        <v/>
      </c>
      <c r="M438" s="25" t="inlineStr">
        <is>
          <t>2.5.12</t>
        </is>
      </c>
      <c r="N438" s="25">
        <f>IF(J438&gt;300,1,0)</f>
        <v/>
      </c>
      <c r="O438" s="25">
        <f>IF(J438&gt;600,1,0)</f>
        <v/>
      </c>
      <c r="P438" s="25">
        <f>IF(H438&gt;0,J438,"")</f>
        <v/>
      </c>
      <c r="Q438" s="25">
        <f>TEXT(A438,"YYYY-MM-DD HH")</f>
        <v/>
      </c>
      <c r="R438" s="25">
        <f>COUNTIF($Q$2:$Q$5295,Q438)</f>
        <v/>
      </c>
      <c r="S438" s="25">
        <f>IF(R438&lt;=2,"1-2",IF(R438&lt;=5,"3-5",IF(R438&lt;=10,"6-10","11+")))</f>
        <v/>
      </c>
    </row>
    <row r="439">
      <c r="A439" s="39" t="n">
        <v>46157.37331018518</v>
      </c>
      <c r="B439" s="25">
        <f>TEXT(A439,"YYYY-MM")</f>
        <v/>
      </c>
      <c r="C439" s="25">
        <f>TEXT(A439,"MMM-YYYY")</f>
        <v/>
      </c>
      <c r="D439" s="40">
        <f>INT(A439)-WEEKDAY(A439,2)+1</f>
        <v/>
      </c>
      <c r="E439" s="25" t="inlineStr">
        <is>
          <t>mgupta</t>
        </is>
      </c>
      <c r="F439" s="25" t="n">
        <v>94466</v>
      </c>
      <c r="G439" s="25" t="n">
        <v>5</v>
      </c>
      <c r="H439" s="25" t="n">
        <v>22</v>
      </c>
      <c r="I439" s="25" t="inlineStr">
        <is>
          <t>4 minute(s) and 8 second(s)</t>
        </is>
      </c>
      <c r="J439" s="25">
        <f>IFERROR(VALUE(TRIM(LEFT(I439,FIND("minute",I439)-1)))*60,0)+IFERROR(VALUE(SUBSTITUTE(MID(I439,IFERROR(FIND("and",I439)+3,1),20),"second(s)","")),0)</f>
        <v/>
      </c>
      <c r="K439" s="41">
        <f>J439/60</f>
        <v/>
      </c>
      <c r="L439" s="41">
        <f>IFERROR(J439/H439,"")</f>
        <v/>
      </c>
      <c r="M439" s="25" t="inlineStr">
        <is>
          <t>2.5.12</t>
        </is>
      </c>
      <c r="N439" s="25">
        <f>IF(J439&gt;300,1,0)</f>
        <v/>
      </c>
      <c r="O439" s="25">
        <f>IF(J439&gt;600,1,0)</f>
        <v/>
      </c>
      <c r="P439" s="25">
        <f>IF(H439&gt;0,J439,"")</f>
        <v/>
      </c>
      <c r="Q439" s="25">
        <f>TEXT(A439,"YYYY-MM-DD HH")</f>
        <v/>
      </c>
      <c r="R439" s="25">
        <f>COUNTIF($Q$2:$Q$5295,Q439)</f>
        <v/>
      </c>
      <c r="S439" s="25">
        <f>IF(R439&lt;=2,"1-2",IF(R439&lt;=5,"3-5",IF(R439&lt;=10,"6-10","11+")))</f>
        <v/>
      </c>
    </row>
    <row r="440">
      <c r="A440" s="39" t="n">
        <v>46157.37337962963</v>
      </c>
      <c r="B440" s="25">
        <f>TEXT(A440,"YYYY-MM")</f>
        <v/>
      </c>
      <c r="C440" s="25">
        <f>TEXT(A440,"MMM-YYYY")</f>
        <v/>
      </c>
      <c r="D440" s="40">
        <f>INT(A440)-WEEKDAY(A440,2)+1</f>
        <v/>
      </c>
      <c r="E440" s="25" t="inlineStr">
        <is>
          <t>hdutt</t>
        </is>
      </c>
      <c r="F440" s="25" t="n">
        <v>104341</v>
      </c>
      <c r="G440" s="25" t="n">
        <v>1</v>
      </c>
      <c r="H440" s="25" t="n">
        <v>8</v>
      </c>
      <c r="I440" s="25" t="inlineStr">
        <is>
          <t>1 minute(s) and 27 second(s)</t>
        </is>
      </c>
      <c r="J440" s="25">
        <f>IFERROR(VALUE(TRIM(LEFT(I440,FIND("minute",I440)-1)))*60,0)+IFERROR(VALUE(SUBSTITUTE(MID(I440,IFERROR(FIND("and",I440)+3,1),20),"second(s)","")),0)</f>
        <v/>
      </c>
      <c r="K440" s="41">
        <f>J440/60</f>
        <v/>
      </c>
      <c r="L440" s="41">
        <f>IFERROR(J440/H440,"")</f>
        <v/>
      </c>
      <c r="M440" s="25" t="inlineStr">
        <is>
          <t>2.5.12</t>
        </is>
      </c>
      <c r="N440" s="25">
        <f>IF(J440&gt;300,1,0)</f>
        <v/>
      </c>
      <c r="O440" s="25">
        <f>IF(J440&gt;600,1,0)</f>
        <v/>
      </c>
      <c r="P440" s="25">
        <f>IF(H440&gt;0,J440,"")</f>
        <v/>
      </c>
      <c r="Q440" s="25">
        <f>TEXT(A440,"YYYY-MM-DD HH")</f>
        <v/>
      </c>
      <c r="R440" s="25">
        <f>COUNTIF($Q$2:$Q$5295,Q440)</f>
        <v/>
      </c>
      <c r="S440" s="25">
        <f>IF(R440&lt;=2,"1-2",IF(R440&lt;=5,"3-5",IF(R440&lt;=10,"6-10","11+")))</f>
        <v/>
      </c>
    </row>
    <row r="441">
      <c r="A441" s="39" t="n">
        <v>46157.37559027778</v>
      </c>
      <c r="B441" s="25">
        <f>TEXT(A441,"YYYY-MM")</f>
        <v/>
      </c>
      <c r="C441" s="25">
        <f>TEXT(A441,"MMM-YYYY")</f>
        <v/>
      </c>
      <c r="D441" s="40">
        <f>INT(A441)-WEEKDAY(A441,2)+1</f>
        <v/>
      </c>
      <c r="E441" s="25" t="inlineStr">
        <is>
          <t>dbhattacharyya</t>
        </is>
      </c>
      <c r="F441" s="25" t="n">
        <v>70888</v>
      </c>
      <c r="G441" s="25" t="n">
        <v>2</v>
      </c>
      <c r="H441" s="25" t="n">
        <v>6</v>
      </c>
      <c r="I441" s="25" t="inlineStr">
        <is>
          <t>54 second(s)</t>
        </is>
      </c>
      <c r="J441" s="25">
        <f>IFERROR(VALUE(TRIM(LEFT(I441,FIND("minute",I441)-1)))*60,0)+IFERROR(VALUE(SUBSTITUTE(MID(I441,IFERROR(FIND("and",I441)+3,1),20),"second(s)","")),0)</f>
        <v/>
      </c>
      <c r="K441" s="41">
        <f>J441/60</f>
        <v/>
      </c>
      <c r="L441" s="41">
        <f>IFERROR(J441/H441,"")</f>
        <v/>
      </c>
      <c r="M441" s="25" t="inlineStr">
        <is>
          <t>2.5.12</t>
        </is>
      </c>
      <c r="N441" s="25">
        <f>IF(J441&gt;300,1,0)</f>
        <v/>
      </c>
      <c r="O441" s="25">
        <f>IF(J441&gt;600,1,0)</f>
        <v/>
      </c>
      <c r="P441" s="25">
        <f>IF(H441&gt;0,J441,"")</f>
        <v/>
      </c>
      <c r="Q441" s="25">
        <f>TEXT(A441,"YYYY-MM-DD HH")</f>
        <v/>
      </c>
      <c r="R441" s="25">
        <f>COUNTIF($Q$2:$Q$5295,Q441)</f>
        <v/>
      </c>
      <c r="S441" s="25">
        <f>IF(R441&lt;=2,"1-2",IF(R441&lt;=5,"3-5",IF(R441&lt;=10,"6-10","11+")))</f>
        <v/>
      </c>
    </row>
    <row r="442">
      <c r="A442" s="39" t="n">
        <v>46157.38828703704</v>
      </c>
      <c r="B442" s="25">
        <f>TEXT(A442,"YYYY-MM")</f>
        <v/>
      </c>
      <c r="C442" s="25">
        <f>TEXT(A442,"MMM-YYYY")</f>
        <v/>
      </c>
      <c r="D442" s="40">
        <f>INT(A442)-WEEKDAY(A442,2)+1</f>
        <v/>
      </c>
      <c r="E442" s="25" t="inlineStr">
        <is>
          <t>shasikha</t>
        </is>
      </c>
      <c r="F442" s="25" t="n">
        <v>115307</v>
      </c>
      <c r="G442" s="25" t="n">
        <v>2</v>
      </c>
      <c r="H442" s="25" t="n">
        <v>10</v>
      </c>
      <c r="I442" s="25" t="inlineStr">
        <is>
          <t>2 minute(s) and 33 second(s)</t>
        </is>
      </c>
      <c r="J442" s="25">
        <f>IFERROR(VALUE(TRIM(LEFT(I442,FIND("minute",I442)-1)))*60,0)+IFERROR(VALUE(SUBSTITUTE(MID(I442,IFERROR(FIND("and",I442)+3,1),20),"second(s)","")),0)</f>
        <v/>
      </c>
      <c r="K442" s="41">
        <f>J442/60</f>
        <v/>
      </c>
      <c r="L442" s="41">
        <f>IFERROR(J442/H442,"")</f>
        <v/>
      </c>
      <c r="M442" s="25" t="inlineStr">
        <is>
          <t>2.5.12</t>
        </is>
      </c>
      <c r="N442" s="25">
        <f>IF(J442&gt;300,1,0)</f>
        <v/>
      </c>
      <c r="O442" s="25">
        <f>IF(J442&gt;600,1,0)</f>
        <v/>
      </c>
      <c r="P442" s="25">
        <f>IF(H442&gt;0,J442,"")</f>
        <v/>
      </c>
      <c r="Q442" s="25">
        <f>TEXT(A442,"YYYY-MM-DD HH")</f>
        <v/>
      </c>
      <c r="R442" s="25">
        <f>COUNTIF($Q$2:$Q$5295,Q442)</f>
        <v/>
      </c>
      <c r="S442" s="25">
        <f>IF(R442&lt;=2,"1-2",IF(R442&lt;=5,"3-5",IF(R442&lt;=10,"6-10","11+")))</f>
        <v/>
      </c>
    </row>
    <row r="443">
      <c r="A443" s="39" t="n">
        <v>46157.3890625</v>
      </c>
      <c r="B443" s="25">
        <f>TEXT(A443,"YYYY-MM")</f>
        <v/>
      </c>
      <c r="C443" s="25">
        <f>TEXT(A443,"MMM-YYYY")</f>
        <v/>
      </c>
      <c r="D443" s="40">
        <f>INT(A443)-WEEKDAY(A443,2)+1</f>
        <v/>
      </c>
      <c r="E443" s="25" t="inlineStr">
        <is>
          <t>dbhattacharyya</t>
        </is>
      </c>
      <c r="F443" s="25" t="n">
        <v>98046</v>
      </c>
      <c r="G443" s="25" t="n">
        <v>2</v>
      </c>
      <c r="H443" s="25" t="n">
        <v>10</v>
      </c>
      <c r="I443" s="25" t="inlineStr">
        <is>
          <t>1 minute(s) and 28 second(s)</t>
        </is>
      </c>
      <c r="J443" s="25">
        <f>IFERROR(VALUE(TRIM(LEFT(I443,FIND("minute",I443)-1)))*60,0)+IFERROR(VALUE(SUBSTITUTE(MID(I443,IFERROR(FIND("and",I443)+3,1),20),"second(s)","")),0)</f>
        <v/>
      </c>
      <c r="K443" s="41">
        <f>J443/60</f>
        <v/>
      </c>
      <c r="L443" s="41">
        <f>IFERROR(J443/H443,"")</f>
        <v/>
      </c>
      <c r="M443" s="25" t="inlineStr">
        <is>
          <t>2.5.12</t>
        </is>
      </c>
      <c r="N443" s="25">
        <f>IF(J443&gt;300,1,0)</f>
        <v/>
      </c>
      <c r="O443" s="25">
        <f>IF(J443&gt;600,1,0)</f>
        <v/>
      </c>
      <c r="P443" s="25">
        <f>IF(H443&gt;0,J443,"")</f>
        <v/>
      </c>
      <c r="Q443" s="25">
        <f>TEXT(A443,"YYYY-MM-DD HH")</f>
        <v/>
      </c>
      <c r="R443" s="25">
        <f>COUNTIF($Q$2:$Q$5295,Q443)</f>
        <v/>
      </c>
      <c r="S443" s="25">
        <f>IF(R443&lt;=2,"1-2",IF(R443&lt;=5,"3-5",IF(R443&lt;=10,"6-10","11+")))</f>
        <v/>
      </c>
    </row>
    <row r="444">
      <c r="A444" s="39" t="n">
        <v>46157.38997685185</v>
      </c>
      <c r="B444" s="25">
        <f>TEXT(A444,"YYYY-MM")</f>
        <v/>
      </c>
      <c r="C444" s="25">
        <f>TEXT(A444,"MMM-YYYY")</f>
        <v/>
      </c>
      <c r="D444" s="40">
        <f>INT(A444)-WEEKDAY(A444,2)+1</f>
        <v/>
      </c>
      <c r="E444" s="25" t="inlineStr">
        <is>
          <t>psathwika</t>
        </is>
      </c>
      <c r="F444" s="25" t="n">
        <v>25017</v>
      </c>
      <c r="G444" s="25" t="n">
        <v>1</v>
      </c>
      <c r="H444" s="25" t="n">
        <v>7</v>
      </c>
      <c r="I444" s="25" t="inlineStr">
        <is>
          <t>3 minute(s) and 2 second(s)</t>
        </is>
      </c>
      <c r="J444" s="25">
        <f>IFERROR(VALUE(TRIM(LEFT(I444,FIND("minute",I444)-1)))*60,0)+IFERROR(VALUE(SUBSTITUTE(MID(I444,IFERROR(FIND("and",I444)+3,1),20),"second(s)","")),0)</f>
        <v/>
      </c>
      <c r="K444" s="41">
        <f>J444/60</f>
        <v/>
      </c>
      <c r="L444" s="41">
        <f>IFERROR(J444/H444,"")</f>
        <v/>
      </c>
      <c r="M444" s="25" t="inlineStr">
        <is>
          <t>2.5.12</t>
        </is>
      </c>
      <c r="N444" s="25">
        <f>IF(J444&gt;300,1,0)</f>
        <v/>
      </c>
      <c r="O444" s="25">
        <f>IF(J444&gt;600,1,0)</f>
        <v/>
      </c>
      <c r="P444" s="25">
        <f>IF(H444&gt;0,J444,"")</f>
        <v/>
      </c>
      <c r="Q444" s="25">
        <f>TEXT(A444,"YYYY-MM-DD HH")</f>
        <v/>
      </c>
      <c r="R444" s="25">
        <f>COUNTIF($Q$2:$Q$5295,Q444)</f>
        <v/>
      </c>
      <c r="S444" s="25">
        <f>IF(R444&lt;=2,"1-2",IF(R444&lt;=5,"3-5",IF(R444&lt;=10,"6-10","11+")))</f>
        <v/>
      </c>
    </row>
    <row r="445">
      <c r="A445" s="39" t="n">
        <v>46157.39400462963</v>
      </c>
      <c r="B445" s="25">
        <f>TEXT(A445,"YYYY-MM")</f>
        <v/>
      </c>
      <c r="C445" s="25">
        <f>TEXT(A445,"MMM-YYYY")</f>
        <v/>
      </c>
      <c r="D445" s="40">
        <f>INT(A445)-WEEKDAY(A445,2)+1</f>
        <v/>
      </c>
      <c r="E445" s="25" t="inlineStr">
        <is>
          <t>abhaskarkp</t>
        </is>
      </c>
      <c r="F445" s="25" t="n">
        <v>116737</v>
      </c>
      <c r="G445" s="25" t="n">
        <v>5</v>
      </c>
      <c r="H445" s="25" t="n">
        <v>17</v>
      </c>
      <c r="I445" s="25" t="inlineStr">
        <is>
          <t>5 minute(s) and 43 second(s)</t>
        </is>
      </c>
      <c r="J445" s="25">
        <f>IFERROR(VALUE(TRIM(LEFT(I445,FIND("minute",I445)-1)))*60,0)+IFERROR(VALUE(SUBSTITUTE(MID(I445,IFERROR(FIND("and",I445)+3,1),20),"second(s)","")),0)</f>
        <v/>
      </c>
      <c r="K445" s="41">
        <f>J445/60</f>
        <v/>
      </c>
      <c r="L445" s="41">
        <f>IFERROR(J445/H445,"")</f>
        <v/>
      </c>
      <c r="M445" s="25" t="inlineStr">
        <is>
          <t>2.5.12</t>
        </is>
      </c>
      <c r="N445" s="25">
        <f>IF(J445&gt;300,1,0)</f>
        <v/>
      </c>
      <c r="O445" s="25">
        <f>IF(J445&gt;600,1,0)</f>
        <v/>
      </c>
      <c r="P445" s="25">
        <f>IF(H445&gt;0,J445,"")</f>
        <v/>
      </c>
      <c r="Q445" s="25">
        <f>TEXT(A445,"YYYY-MM-DD HH")</f>
        <v/>
      </c>
      <c r="R445" s="25">
        <f>COUNTIF($Q$2:$Q$5295,Q445)</f>
        <v/>
      </c>
      <c r="S445" s="25">
        <f>IF(R445&lt;=2,"1-2",IF(R445&lt;=5,"3-5",IF(R445&lt;=10,"6-10","11+")))</f>
        <v/>
      </c>
    </row>
    <row r="446">
      <c r="A446" s="39" t="n">
        <v>46157.39626157407</v>
      </c>
      <c r="B446" s="25">
        <f>TEXT(A446,"YYYY-MM")</f>
        <v/>
      </c>
      <c r="C446" s="25">
        <f>TEXT(A446,"MMM-YYYY")</f>
        <v/>
      </c>
      <c r="D446" s="40">
        <f>INT(A446)-WEEKDAY(A446,2)+1</f>
        <v/>
      </c>
      <c r="E446" s="25" t="inlineStr">
        <is>
          <t>csaha</t>
        </is>
      </c>
      <c r="F446" s="25" t="n">
        <v>113962</v>
      </c>
      <c r="G446" s="25" t="n">
        <v>4</v>
      </c>
      <c r="H446" s="25" t="n">
        <v>8</v>
      </c>
      <c r="I446" s="25" t="inlineStr">
        <is>
          <t>2 minute(s) and 58 second(s)</t>
        </is>
      </c>
      <c r="J446" s="25">
        <f>IFERROR(VALUE(TRIM(LEFT(I446,FIND("minute",I446)-1)))*60,0)+IFERROR(VALUE(SUBSTITUTE(MID(I446,IFERROR(FIND("and",I446)+3,1),20),"second(s)","")),0)</f>
        <v/>
      </c>
      <c r="K446" s="41">
        <f>J446/60</f>
        <v/>
      </c>
      <c r="L446" s="41">
        <f>IFERROR(J446/H446,"")</f>
        <v/>
      </c>
      <c r="M446" s="25" t="inlineStr">
        <is>
          <t>2.5.12</t>
        </is>
      </c>
      <c r="N446" s="25">
        <f>IF(J446&gt;300,1,0)</f>
        <v/>
      </c>
      <c r="O446" s="25">
        <f>IF(J446&gt;600,1,0)</f>
        <v/>
      </c>
      <c r="P446" s="25">
        <f>IF(H446&gt;0,J446,"")</f>
        <v/>
      </c>
      <c r="Q446" s="25">
        <f>TEXT(A446,"YYYY-MM-DD HH")</f>
        <v/>
      </c>
      <c r="R446" s="25">
        <f>COUNTIF($Q$2:$Q$5295,Q446)</f>
        <v/>
      </c>
      <c r="S446" s="25">
        <f>IF(R446&lt;=2,"1-2",IF(R446&lt;=5,"3-5",IF(R446&lt;=10,"6-10","11+")))</f>
        <v/>
      </c>
    </row>
    <row r="447">
      <c r="A447" s="39" t="n">
        <v>46157.39652777778</v>
      </c>
      <c r="B447" s="25">
        <f>TEXT(A447,"YYYY-MM")</f>
        <v/>
      </c>
      <c r="C447" s="25">
        <f>TEXT(A447,"MMM-YYYY")</f>
        <v/>
      </c>
      <c r="D447" s="40">
        <f>INT(A447)-WEEKDAY(A447,2)+1</f>
        <v/>
      </c>
      <c r="E447" s="25" t="inlineStr">
        <is>
          <t>smukhopadhyay</t>
        </is>
      </c>
      <c r="F447" s="25" t="n">
        <v>73828</v>
      </c>
      <c r="G447" s="25" t="n">
        <v>4</v>
      </c>
      <c r="H447" s="25" t="n">
        <v>24</v>
      </c>
      <c r="I447" s="25" t="inlineStr">
        <is>
          <t>6 minute(s) and 50 second(s)</t>
        </is>
      </c>
      <c r="J447" s="25">
        <f>IFERROR(VALUE(TRIM(LEFT(I447,FIND("minute",I447)-1)))*60,0)+IFERROR(VALUE(SUBSTITUTE(MID(I447,IFERROR(FIND("and",I447)+3,1),20),"second(s)","")),0)</f>
        <v/>
      </c>
      <c r="K447" s="41">
        <f>J447/60</f>
        <v/>
      </c>
      <c r="L447" s="41">
        <f>IFERROR(J447/H447,"")</f>
        <v/>
      </c>
      <c r="M447" s="25" t="inlineStr">
        <is>
          <t>2.5.12</t>
        </is>
      </c>
      <c r="N447" s="25">
        <f>IF(J447&gt;300,1,0)</f>
        <v/>
      </c>
      <c r="O447" s="25">
        <f>IF(J447&gt;600,1,0)</f>
        <v/>
      </c>
      <c r="P447" s="25">
        <f>IF(H447&gt;0,J447,"")</f>
        <v/>
      </c>
      <c r="Q447" s="25">
        <f>TEXT(A447,"YYYY-MM-DD HH")</f>
        <v/>
      </c>
      <c r="R447" s="25">
        <f>COUNTIF($Q$2:$Q$5295,Q447)</f>
        <v/>
      </c>
      <c r="S447" s="25">
        <f>IF(R447&lt;=2,"1-2",IF(R447&lt;=5,"3-5",IF(R447&lt;=10,"6-10","11+")))</f>
        <v/>
      </c>
    </row>
    <row r="448">
      <c r="A448" s="39" t="n">
        <v>46157.40148148148</v>
      </c>
      <c r="B448" s="25">
        <f>TEXT(A448,"YYYY-MM")</f>
        <v/>
      </c>
      <c r="C448" s="25">
        <f>TEXT(A448,"MMM-YYYY")</f>
        <v/>
      </c>
      <c r="D448" s="40">
        <f>INT(A448)-WEEKDAY(A448,2)+1</f>
        <v/>
      </c>
      <c r="E448" s="25" t="inlineStr">
        <is>
          <t>akumari</t>
        </is>
      </c>
      <c r="F448" s="25" t="n">
        <v>114732</v>
      </c>
      <c r="G448" s="25" t="n">
        <v>2</v>
      </c>
      <c r="H448" s="25" t="n">
        <v>10</v>
      </c>
      <c r="I448" s="25" t="inlineStr">
        <is>
          <t>1 minute(s) and 21 second(s)</t>
        </is>
      </c>
      <c r="J448" s="25">
        <f>IFERROR(VALUE(TRIM(LEFT(I448,FIND("minute",I448)-1)))*60,0)+IFERROR(VALUE(SUBSTITUTE(MID(I448,IFERROR(FIND("and",I448)+3,1),20),"second(s)","")),0)</f>
        <v/>
      </c>
      <c r="K448" s="41">
        <f>J448/60</f>
        <v/>
      </c>
      <c r="L448" s="41">
        <f>IFERROR(J448/H448,"")</f>
        <v/>
      </c>
      <c r="M448" s="25" t="inlineStr">
        <is>
          <t>2.5.12</t>
        </is>
      </c>
      <c r="N448" s="25">
        <f>IF(J448&gt;300,1,0)</f>
        <v/>
      </c>
      <c r="O448" s="25">
        <f>IF(J448&gt;600,1,0)</f>
        <v/>
      </c>
      <c r="P448" s="25">
        <f>IF(H448&gt;0,J448,"")</f>
        <v/>
      </c>
      <c r="Q448" s="25">
        <f>TEXT(A448,"YYYY-MM-DD HH")</f>
        <v/>
      </c>
      <c r="R448" s="25">
        <f>COUNTIF($Q$2:$Q$5295,Q448)</f>
        <v/>
      </c>
      <c r="S448" s="25">
        <f>IF(R448&lt;=2,"1-2",IF(R448&lt;=5,"3-5",IF(R448&lt;=10,"6-10","11+")))</f>
        <v/>
      </c>
    </row>
    <row r="449">
      <c r="A449" s="39" t="n">
        <v>46157.40427083334</v>
      </c>
      <c r="B449" s="25">
        <f>TEXT(A449,"YYYY-MM")</f>
        <v/>
      </c>
      <c r="C449" s="25">
        <f>TEXT(A449,"MMM-YYYY")</f>
        <v/>
      </c>
      <c r="D449" s="40">
        <f>INT(A449)-WEEKDAY(A449,2)+1</f>
        <v/>
      </c>
      <c r="E449" s="25" t="inlineStr">
        <is>
          <t>atiwari</t>
        </is>
      </c>
      <c r="F449" s="25" t="n">
        <v>94542</v>
      </c>
      <c r="G449" s="25" t="n">
        <v>3</v>
      </c>
      <c r="H449" s="25" t="n">
        <v>20</v>
      </c>
      <c r="I449" s="25" t="inlineStr">
        <is>
          <t>5 minute(s) and 6 second(s)</t>
        </is>
      </c>
      <c r="J449" s="25">
        <f>IFERROR(VALUE(TRIM(LEFT(I449,FIND("minute",I449)-1)))*60,0)+IFERROR(VALUE(SUBSTITUTE(MID(I449,IFERROR(FIND("and",I449)+3,1),20),"second(s)","")),0)</f>
        <v/>
      </c>
      <c r="K449" s="41">
        <f>J449/60</f>
        <v/>
      </c>
      <c r="L449" s="41">
        <f>IFERROR(J449/H449,"")</f>
        <v/>
      </c>
      <c r="M449" s="25" t="inlineStr">
        <is>
          <t>2.5.12</t>
        </is>
      </c>
      <c r="N449" s="25">
        <f>IF(J449&gt;300,1,0)</f>
        <v/>
      </c>
      <c r="O449" s="25">
        <f>IF(J449&gt;600,1,0)</f>
        <v/>
      </c>
      <c r="P449" s="25">
        <f>IF(H449&gt;0,J449,"")</f>
        <v/>
      </c>
      <c r="Q449" s="25">
        <f>TEXT(A449,"YYYY-MM-DD HH")</f>
        <v/>
      </c>
      <c r="R449" s="25">
        <f>COUNTIF($Q$2:$Q$5295,Q449)</f>
        <v/>
      </c>
      <c r="S449" s="25">
        <f>IF(R449&lt;=2,"1-2",IF(R449&lt;=5,"3-5",IF(R449&lt;=10,"6-10","11+")))</f>
        <v/>
      </c>
    </row>
    <row r="450">
      <c r="A450" s="39" t="n">
        <v>46157.40814814815</v>
      </c>
      <c r="B450" s="25">
        <f>TEXT(A450,"YYYY-MM")</f>
        <v/>
      </c>
      <c r="C450" s="25">
        <f>TEXT(A450,"MMM-YYYY")</f>
        <v/>
      </c>
      <c r="D450" s="40">
        <f>INT(A450)-WEEKDAY(A450,2)+1</f>
        <v/>
      </c>
      <c r="E450" s="25" t="inlineStr">
        <is>
          <t>npriya</t>
        </is>
      </c>
      <c r="F450" s="25" t="n">
        <v>93732</v>
      </c>
      <c r="G450" s="25" t="n">
        <v>2</v>
      </c>
      <c r="H450" s="25" t="n">
        <v>6</v>
      </c>
      <c r="I450" s="25" t="inlineStr">
        <is>
          <t>2 minute(s) and 24 second(s)</t>
        </is>
      </c>
      <c r="J450" s="25">
        <f>IFERROR(VALUE(TRIM(LEFT(I450,FIND("minute",I450)-1)))*60,0)+IFERROR(VALUE(SUBSTITUTE(MID(I450,IFERROR(FIND("and",I450)+3,1),20),"second(s)","")),0)</f>
        <v/>
      </c>
      <c r="K450" s="41">
        <f>J450/60</f>
        <v/>
      </c>
      <c r="L450" s="41">
        <f>IFERROR(J450/H450,"")</f>
        <v/>
      </c>
      <c r="M450" s="25" t="inlineStr">
        <is>
          <t>2.5.12</t>
        </is>
      </c>
      <c r="N450" s="25">
        <f>IF(J450&gt;300,1,0)</f>
        <v/>
      </c>
      <c r="O450" s="25">
        <f>IF(J450&gt;600,1,0)</f>
        <v/>
      </c>
      <c r="P450" s="25">
        <f>IF(H450&gt;0,J450,"")</f>
        <v/>
      </c>
      <c r="Q450" s="25">
        <f>TEXT(A450,"YYYY-MM-DD HH")</f>
        <v/>
      </c>
      <c r="R450" s="25">
        <f>COUNTIF($Q$2:$Q$5295,Q450)</f>
        <v/>
      </c>
      <c r="S450" s="25">
        <f>IF(R450&lt;=2,"1-2",IF(R450&lt;=5,"3-5",IF(R450&lt;=10,"6-10","11+")))</f>
        <v/>
      </c>
    </row>
    <row r="451">
      <c r="A451" s="39" t="n">
        <v>46157.41319444445</v>
      </c>
      <c r="B451" s="25">
        <f>TEXT(A451,"YYYY-MM")</f>
        <v/>
      </c>
      <c r="C451" s="25">
        <f>TEXT(A451,"MMM-YYYY")</f>
        <v/>
      </c>
      <c r="D451" s="40">
        <f>INT(A451)-WEEKDAY(A451,2)+1</f>
        <v/>
      </c>
      <c r="E451" s="25" t="inlineStr">
        <is>
          <t>hsindwani</t>
        </is>
      </c>
      <c r="F451" s="25" t="n">
        <v>104421</v>
      </c>
      <c r="G451" s="25" t="n">
        <v>3</v>
      </c>
      <c r="H451" s="25" t="n">
        <v>15</v>
      </c>
      <c r="I451" s="25" t="inlineStr">
        <is>
          <t>6 minute(s) and 35 second(s)</t>
        </is>
      </c>
      <c r="J451" s="25">
        <f>IFERROR(VALUE(TRIM(LEFT(I451,FIND("minute",I451)-1)))*60,0)+IFERROR(VALUE(SUBSTITUTE(MID(I451,IFERROR(FIND("and",I451)+3,1),20),"second(s)","")),0)</f>
        <v/>
      </c>
      <c r="K451" s="41">
        <f>J451/60</f>
        <v/>
      </c>
      <c r="L451" s="41">
        <f>IFERROR(J451/H451,"")</f>
        <v/>
      </c>
      <c r="M451" s="25" t="inlineStr">
        <is>
          <t>2.5.12</t>
        </is>
      </c>
      <c r="N451" s="25">
        <f>IF(J451&gt;300,1,0)</f>
        <v/>
      </c>
      <c r="O451" s="25">
        <f>IF(J451&gt;600,1,0)</f>
        <v/>
      </c>
      <c r="P451" s="25">
        <f>IF(H451&gt;0,J451,"")</f>
        <v/>
      </c>
      <c r="Q451" s="25">
        <f>TEXT(A451,"YYYY-MM-DD HH")</f>
        <v/>
      </c>
      <c r="R451" s="25">
        <f>COUNTIF($Q$2:$Q$5295,Q451)</f>
        <v/>
      </c>
      <c r="S451" s="25">
        <f>IF(R451&lt;=2,"1-2",IF(R451&lt;=5,"3-5",IF(R451&lt;=10,"6-10","11+")))</f>
        <v/>
      </c>
    </row>
    <row r="452">
      <c r="A452" s="39" t="n">
        <v>46157.41474537037</v>
      </c>
      <c r="B452" s="25">
        <f>TEXT(A452,"YYYY-MM")</f>
        <v/>
      </c>
      <c r="C452" s="25">
        <f>TEXT(A452,"MMM-YYYY")</f>
        <v/>
      </c>
      <c r="D452" s="40">
        <f>INT(A452)-WEEKDAY(A452,2)+1</f>
        <v/>
      </c>
      <c r="E452" s="25" t="inlineStr">
        <is>
          <t>dbhattacharyya</t>
        </is>
      </c>
      <c r="F452" s="25" t="n">
        <v>97329</v>
      </c>
      <c r="G452" s="25" t="n">
        <v>1</v>
      </c>
      <c r="H452" s="25" t="n">
        <v>7</v>
      </c>
      <c r="I452" s="25" t="inlineStr">
        <is>
          <t>1 minute(s) and 6 second(s)</t>
        </is>
      </c>
      <c r="J452" s="25">
        <f>IFERROR(VALUE(TRIM(LEFT(I452,FIND("minute",I452)-1)))*60,0)+IFERROR(VALUE(SUBSTITUTE(MID(I452,IFERROR(FIND("and",I452)+3,1),20),"second(s)","")),0)</f>
        <v/>
      </c>
      <c r="K452" s="41">
        <f>J452/60</f>
        <v/>
      </c>
      <c r="L452" s="41">
        <f>IFERROR(J452/H452,"")</f>
        <v/>
      </c>
      <c r="M452" s="25" t="inlineStr">
        <is>
          <t>2.5.12</t>
        </is>
      </c>
      <c r="N452" s="25">
        <f>IF(J452&gt;300,1,0)</f>
        <v/>
      </c>
      <c r="O452" s="25">
        <f>IF(J452&gt;600,1,0)</f>
        <v/>
      </c>
      <c r="P452" s="25">
        <f>IF(H452&gt;0,J452,"")</f>
        <v/>
      </c>
      <c r="Q452" s="25">
        <f>TEXT(A452,"YYYY-MM-DD HH")</f>
        <v/>
      </c>
      <c r="R452" s="25">
        <f>COUNTIF($Q$2:$Q$5295,Q452)</f>
        <v/>
      </c>
      <c r="S452" s="25">
        <f>IF(R452&lt;=2,"1-2",IF(R452&lt;=5,"3-5",IF(R452&lt;=10,"6-10","11+")))</f>
        <v/>
      </c>
    </row>
    <row r="453">
      <c r="A453" s="39" t="n">
        <v>46157.42990740741</v>
      </c>
      <c r="B453" s="25">
        <f>TEXT(A453,"YYYY-MM")</f>
        <v/>
      </c>
      <c r="C453" s="25">
        <f>TEXT(A453,"MMM-YYYY")</f>
        <v/>
      </c>
      <c r="D453" s="40">
        <f>INT(A453)-WEEKDAY(A453,2)+1</f>
        <v/>
      </c>
      <c r="E453" s="25" t="inlineStr">
        <is>
          <t>vraina</t>
        </is>
      </c>
      <c r="F453" s="25" t="n">
        <v>69544</v>
      </c>
      <c r="G453" s="25" t="n">
        <v>1</v>
      </c>
      <c r="H453" s="25" t="n">
        <v>5</v>
      </c>
      <c r="I453" s="25" t="inlineStr">
        <is>
          <t>54 second(s)</t>
        </is>
      </c>
      <c r="J453" s="25">
        <f>IFERROR(VALUE(TRIM(LEFT(I453,FIND("minute",I453)-1)))*60,0)+IFERROR(VALUE(SUBSTITUTE(MID(I453,IFERROR(FIND("and",I453)+3,1),20),"second(s)","")),0)</f>
        <v/>
      </c>
      <c r="K453" s="41">
        <f>J453/60</f>
        <v/>
      </c>
      <c r="L453" s="41">
        <f>IFERROR(J453/H453,"")</f>
        <v/>
      </c>
      <c r="M453" s="25" t="inlineStr">
        <is>
          <t>2.5.12</t>
        </is>
      </c>
      <c r="N453" s="25">
        <f>IF(J453&gt;300,1,0)</f>
        <v/>
      </c>
      <c r="O453" s="25">
        <f>IF(J453&gt;600,1,0)</f>
        <v/>
      </c>
      <c r="P453" s="25">
        <f>IF(H453&gt;0,J453,"")</f>
        <v/>
      </c>
      <c r="Q453" s="25">
        <f>TEXT(A453,"YYYY-MM-DD HH")</f>
        <v/>
      </c>
      <c r="R453" s="25">
        <f>COUNTIF($Q$2:$Q$5295,Q453)</f>
        <v/>
      </c>
      <c r="S453" s="25">
        <f>IF(R453&lt;=2,"1-2",IF(R453&lt;=5,"3-5",IF(R453&lt;=10,"6-10","11+")))</f>
        <v/>
      </c>
    </row>
    <row r="454">
      <c r="A454" s="39" t="n">
        <v>46157.43293981482</v>
      </c>
      <c r="B454" s="25">
        <f>TEXT(A454,"YYYY-MM")</f>
        <v/>
      </c>
      <c r="C454" s="25">
        <f>TEXT(A454,"MMM-YYYY")</f>
        <v/>
      </c>
      <c r="D454" s="40">
        <f>INT(A454)-WEEKDAY(A454,2)+1</f>
        <v/>
      </c>
      <c r="E454" s="25" t="inlineStr">
        <is>
          <t>shassan</t>
        </is>
      </c>
      <c r="F454" s="25" t="n">
        <v>117181</v>
      </c>
      <c r="G454" s="25" t="n">
        <v>5</v>
      </c>
      <c r="H454" s="25" t="n">
        <v>11</v>
      </c>
      <c r="I454" s="25" t="inlineStr">
        <is>
          <t>4 minute(s) and 32 second(s)</t>
        </is>
      </c>
      <c r="J454" s="25">
        <f>IFERROR(VALUE(TRIM(LEFT(I454,FIND("minute",I454)-1)))*60,0)+IFERROR(VALUE(SUBSTITUTE(MID(I454,IFERROR(FIND("and",I454)+3,1),20),"second(s)","")),0)</f>
        <v/>
      </c>
      <c r="K454" s="41">
        <f>J454/60</f>
        <v/>
      </c>
      <c r="L454" s="41">
        <f>IFERROR(J454/H454,"")</f>
        <v/>
      </c>
      <c r="M454" s="25" t="inlineStr">
        <is>
          <t>2.5.12</t>
        </is>
      </c>
      <c r="N454" s="25">
        <f>IF(J454&gt;300,1,0)</f>
        <v/>
      </c>
      <c r="O454" s="25">
        <f>IF(J454&gt;600,1,0)</f>
        <v/>
      </c>
      <c r="P454" s="25">
        <f>IF(H454&gt;0,J454,"")</f>
        <v/>
      </c>
      <c r="Q454" s="25">
        <f>TEXT(A454,"YYYY-MM-DD HH")</f>
        <v/>
      </c>
      <c r="R454" s="25">
        <f>COUNTIF($Q$2:$Q$5295,Q454)</f>
        <v/>
      </c>
      <c r="S454" s="25">
        <f>IF(R454&lt;=2,"1-2",IF(R454&lt;=5,"3-5",IF(R454&lt;=10,"6-10","11+")))</f>
        <v/>
      </c>
    </row>
    <row r="455">
      <c r="A455" s="39" t="n">
        <v>46157.4415162037</v>
      </c>
      <c r="B455" s="25">
        <f>TEXT(A455,"YYYY-MM")</f>
        <v/>
      </c>
      <c r="C455" s="25">
        <f>TEXT(A455,"MMM-YYYY")</f>
        <v/>
      </c>
      <c r="D455" s="40">
        <f>INT(A455)-WEEKDAY(A455,2)+1</f>
        <v/>
      </c>
      <c r="E455" s="25" t="inlineStr">
        <is>
          <t>abhaskarkp</t>
        </is>
      </c>
      <c r="F455" s="25" t="n">
        <v>114406</v>
      </c>
      <c r="G455" s="25" t="n">
        <v>5</v>
      </c>
      <c r="H455" s="25" t="n">
        <v>17</v>
      </c>
      <c r="I455" s="25" t="inlineStr">
        <is>
          <t>3 minute(s) and 47 second(s)</t>
        </is>
      </c>
      <c r="J455" s="25">
        <f>IFERROR(VALUE(TRIM(LEFT(I455,FIND("minute",I455)-1)))*60,0)+IFERROR(VALUE(SUBSTITUTE(MID(I455,IFERROR(FIND("and",I455)+3,1),20),"second(s)","")),0)</f>
        <v/>
      </c>
      <c r="K455" s="41">
        <f>J455/60</f>
        <v/>
      </c>
      <c r="L455" s="41">
        <f>IFERROR(J455/H455,"")</f>
        <v/>
      </c>
      <c r="M455" s="25" t="inlineStr">
        <is>
          <t>2.5.12</t>
        </is>
      </c>
      <c r="N455" s="25">
        <f>IF(J455&gt;300,1,0)</f>
        <v/>
      </c>
      <c r="O455" s="25">
        <f>IF(J455&gt;600,1,0)</f>
        <v/>
      </c>
      <c r="P455" s="25">
        <f>IF(H455&gt;0,J455,"")</f>
        <v/>
      </c>
      <c r="Q455" s="25">
        <f>TEXT(A455,"YYYY-MM-DD HH")</f>
        <v/>
      </c>
      <c r="R455" s="25">
        <f>COUNTIF($Q$2:$Q$5295,Q455)</f>
        <v/>
      </c>
      <c r="S455" s="25">
        <f>IF(R455&lt;=2,"1-2",IF(R455&lt;=5,"3-5",IF(R455&lt;=10,"6-10","11+")))</f>
        <v/>
      </c>
    </row>
    <row r="456">
      <c r="A456" s="39" t="n">
        <v>46157.44997685185</v>
      </c>
      <c r="B456" s="25">
        <f>TEXT(A456,"YYYY-MM")</f>
        <v/>
      </c>
      <c r="C456" s="25">
        <f>TEXT(A456,"MMM-YYYY")</f>
        <v/>
      </c>
      <c r="D456" s="40">
        <f>INT(A456)-WEEKDAY(A456,2)+1</f>
        <v/>
      </c>
      <c r="E456" s="25" t="inlineStr">
        <is>
          <t>npriya</t>
        </is>
      </c>
      <c r="F456" s="25" t="n">
        <v>69239</v>
      </c>
      <c r="G456" s="25" t="n">
        <v>2</v>
      </c>
      <c r="H456" s="25" t="n">
        <v>12</v>
      </c>
      <c r="I456" s="25" t="inlineStr">
        <is>
          <t>2 minute(s) and 31 second(s)</t>
        </is>
      </c>
      <c r="J456" s="25">
        <f>IFERROR(VALUE(TRIM(LEFT(I456,FIND("minute",I456)-1)))*60,0)+IFERROR(VALUE(SUBSTITUTE(MID(I456,IFERROR(FIND("and",I456)+3,1),20),"second(s)","")),0)</f>
        <v/>
      </c>
      <c r="K456" s="41">
        <f>J456/60</f>
        <v/>
      </c>
      <c r="L456" s="41">
        <f>IFERROR(J456/H456,"")</f>
        <v/>
      </c>
      <c r="M456" s="25" t="inlineStr">
        <is>
          <t>2.5.12</t>
        </is>
      </c>
      <c r="N456" s="25">
        <f>IF(J456&gt;300,1,0)</f>
        <v/>
      </c>
      <c r="O456" s="25">
        <f>IF(J456&gt;600,1,0)</f>
        <v/>
      </c>
      <c r="P456" s="25">
        <f>IF(H456&gt;0,J456,"")</f>
        <v/>
      </c>
      <c r="Q456" s="25">
        <f>TEXT(A456,"YYYY-MM-DD HH")</f>
        <v/>
      </c>
      <c r="R456" s="25">
        <f>COUNTIF($Q$2:$Q$5295,Q456)</f>
        <v/>
      </c>
      <c r="S456" s="25">
        <f>IF(R456&lt;=2,"1-2",IF(R456&lt;=5,"3-5",IF(R456&lt;=10,"6-10","11+")))</f>
        <v/>
      </c>
    </row>
    <row r="457">
      <c r="A457" s="39" t="n">
        <v>46157.45925925926</v>
      </c>
      <c r="B457" s="25">
        <f>TEXT(A457,"YYYY-MM")</f>
        <v/>
      </c>
      <c r="C457" s="25">
        <f>TEXT(A457,"MMM-YYYY")</f>
        <v/>
      </c>
      <c r="D457" s="40">
        <f>INT(A457)-WEEKDAY(A457,2)+1</f>
        <v/>
      </c>
      <c r="E457" s="25" t="inlineStr">
        <is>
          <t>svora</t>
        </is>
      </c>
      <c r="F457" s="25" t="n">
        <v>108070</v>
      </c>
      <c r="G457" s="25" t="n">
        <v>3</v>
      </c>
      <c r="H457" s="25" t="n">
        <v>9</v>
      </c>
      <c r="I457" s="25" t="inlineStr">
        <is>
          <t>2 minute(s) and 39 second(s)</t>
        </is>
      </c>
      <c r="J457" s="25">
        <f>IFERROR(VALUE(TRIM(LEFT(I457,FIND("minute",I457)-1)))*60,0)+IFERROR(VALUE(SUBSTITUTE(MID(I457,IFERROR(FIND("and",I457)+3,1),20),"second(s)","")),0)</f>
        <v/>
      </c>
      <c r="K457" s="41">
        <f>J457/60</f>
        <v/>
      </c>
      <c r="L457" s="41">
        <f>IFERROR(J457/H457,"")</f>
        <v/>
      </c>
      <c r="M457" s="25" t="inlineStr">
        <is>
          <t>2.5.12</t>
        </is>
      </c>
      <c r="N457" s="25">
        <f>IF(J457&gt;300,1,0)</f>
        <v/>
      </c>
      <c r="O457" s="25">
        <f>IF(J457&gt;600,1,0)</f>
        <v/>
      </c>
      <c r="P457" s="25">
        <f>IF(H457&gt;0,J457,"")</f>
        <v/>
      </c>
      <c r="Q457" s="25">
        <f>TEXT(A457,"YYYY-MM-DD HH")</f>
        <v/>
      </c>
      <c r="R457" s="25">
        <f>COUNTIF($Q$2:$Q$5295,Q457)</f>
        <v/>
      </c>
      <c r="S457" s="25">
        <f>IF(R457&lt;=2,"1-2",IF(R457&lt;=5,"3-5",IF(R457&lt;=10,"6-10","11+")))</f>
        <v/>
      </c>
    </row>
    <row r="458">
      <c r="A458" s="39" t="n">
        <v>46157.46305555556</v>
      </c>
      <c r="B458" s="25">
        <f>TEXT(A458,"YYYY-MM")</f>
        <v/>
      </c>
      <c r="C458" s="25">
        <f>TEXT(A458,"MMM-YYYY")</f>
        <v/>
      </c>
      <c r="D458" s="40">
        <f>INT(A458)-WEEKDAY(A458,2)+1</f>
        <v/>
      </c>
      <c r="E458" s="25" t="inlineStr">
        <is>
          <t>smukhopadhyay</t>
        </is>
      </c>
      <c r="F458" s="25" t="n">
        <v>105761</v>
      </c>
      <c r="G458" s="25" t="n">
        <v>5</v>
      </c>
      <c r="H458" s="25" t="n">
        <v>30</v>
      </c>
      <c r="I458" s="25" t="inlineStr">
        <is>
          <t>9 minute(s) and 5 second(s)</t>
        </is>
      </c>
      <c r="J458" s="25">
        <f>IFERROR(VALUE(TRIM(LEFT(I458,FIND("minute",I458)-1)))*60,0)+IFERROR(VALUE(SUBSTITUTE(MID(I458,IFERROR(FIND("and",I458)+3,1),20),"second(s)","")),0)</f>
        <v/>
      </c>
      <c r="K458" s="41">
        <f>J458/60</f>
        <v/>
      </c>
      <c r="L458" s="41">
        <f>IFERROR(J458/H458,"")</f>
        <v/>
      </c>
      <c r="M458" s="25" t="inlineStr">
        <is>
          <t>2.5.12</t>
        </is>
      </c>
      <c r="N458" s="25">
        <f>IF(J458&gt;300,1,0)</f>
        <v/>
      </c>
      <c r="O458" s="25">
        <f>IF(J458&gt;600,1,0)</f>
        <v/>
      </c>
      <c r="P458" s="25">
        <f>IF(H458&gt;0,J458,"")</f>
        <v/>
      </c>
      <c r="Q458" s="25">
        <f>TEXT(A458,"YYYY-MM-DD HH")</f>
        <v/>
      </c>
      <c r="R458" s="25">
        <f>COUNTIF($Q$2:$Q$5295,Q458)</f>
        <v/>
      </c>
      <c r="S458" s="25">
        <f>IF(R458&lt;=2,"1-2",IF(R458&lt;=5,"3-5",IF(R458&lt;=10,"6-10","11+")))</f>
        <v/>
      </c>
    </row>
    <row r="459">
      <c r="A459" s="39" t="n">
        <v>46157.47387731481</v>
      </c>
      <c r="B459" s="25">
        <f>TEXT(A459,"YYYY-MM")</f>
        <v/>
      </c>
      <c r="C459" s="25">
        <f>TEXT(A459,"MMM-YYYY")</f>
        <v/>
      </c>
      <c r="D459" s="40">
        <f>INT(A459)-WEEKDAY(A459,2)+1</f>
        <v/>
      </c>
      <c r="E459" s="25" t="inlineStr">
        <is>
          <t>mgupta</t>
        </is>
      </c>
      <c r="F459" s="25" t="n">
        <v>27670</v>
      </c>
      <c r="G459" s="25" t="n">
        <v>5</v>
      </c>
      <c r="H459" s="25" t="n">
        <v>29</v>
      </c>
      <c r="I459" s="25" t="inlineStr">
        <is>
          <t>4 minute(s) and 53 second(s)</t>
        </is>
      </c>
      <c r="J459" s="25">
        <f>IFERROR(VALUE(TRIM(LEFT(I459,FIND("minute",I459)-1)))*60,0)+IFERROR(VALUE(SUBSTITUTE(MID(I459,IFERROR(FIND("and",I459)+3,1),20),"second(s)","")),0)</f>
        <v/>
      </c>
      <c r="K459" s="41">
        <f>J459/60</f>
        <v/>
      </c>
      <c r="L459" s="41">
        <f>IFERROR(J459/H459,"")</f>
        <v/>
      </c>
      <c r="M459" s="25" t="inlineStr">
        <is>
          <t>2.5.12</t>
        </is>
      </c>
      <c r="N459" s="25">
        <f>IF(J459&gt;300,1,0)</f>
        <v/>
      </c>
      <c r="O459" s="25">
        <f>IF(J459&gt;600,1,0)</f>
        <v/>
      </c>
      <c r="P459" s="25">
        <f>IF(H459&gt;0,J459,"")</f>
        <v/>
      </c>
      <c r="Q459" s="25">
        <f>TEXT(A459,"YYYY-MM-DD HH")</f>
        <v/>
      </c>
      <c r="R459" s="25">
        <f>COUNTIF($Q$2:$Q$5295,Q459)</f>
        <v/>
      </c>
      <c r="S459" s="25">
        <f>IF(R459&lt;=2,"1-2",IF(R459&lt;=5,"3-5",IF(R459&lt;=10,"6-10","11+")))</f>
        <v/>
      </c>
    </row>
    <row r="460">
      <c r="A460" s="39" t="n">
        <v>46157.49439814815</v>
      </c>
      <c r="B460" s="25">
        <f>TEXT(A460,"YYYY-MM")</f>
        <v/>
      </c>
      <c r="C460" s="25">
        <f>TEXT(A460,"MMM-YYYY")</f>
        <v/>
      </c>
      <c r="D460" s="40">
        <f>INT(A460)-WEEKDAY(A460,2)+1</f>
        <v/>
      </c>
      <c r="E460" s="25" t="inlineStr">
        <is>
          <t>emishra</t>
        </is>
      </c>
      <c r="F460" s="25" t="n">
        <v>108633</v>
      </c>
      <c r="G460" s="25" t="n">
        <v>2</v>
      </c>
      <c r="H460" s="25" t="n">
        <v>10</v>
      </c>
      <c r="I460" s="25" t="inlineStr">
        <is>
          <t>1 minute(s) and 27 second(s)</t>
        </is>
      </c>
      <c r="J460" s="25">
        <f>IFERROR(VALUE(TRIM(LEFT(I460,FIND("minute",I460)-1)))*60,0)+IFERROR(VALUE(SUBSTITUTE(MID(I460,IFERROR(FIND("and",I460)+3,1),20),"second(s)","")),0)</f>
        <v/>
      </c>
      <c r="K460" s="41">
        <f>J460/60</f>
        <v/>
      </c>
      <c r="L460" s="41">
        <f>IFERROR(J460/H460,"")</f>
        <v/>
      </c>
      <c r="M460" s="25" t="inlineStr">
        <is>
          <t>2.5.12</t>
        </is>
      </c>
      <c r="N460" s="25">
        <f>IF(J460&gt;300,1,0)</f>
        <v/>
      </c>
      <c r="O460" s="25">
        <f>IF(J460&gt;600,1,0)</f>
        <v/>
      </c>
      <c r="P460" s="25">
        <f>IF(H460&gt;0,J460,"")</f>
        <v/>
      </c>
      <c r="Q460" s="25">
        <f>TEXT(A460,"YYYY-MM-DD HH")</f>
        <v/>
      </c>
      <c r="R460" s="25">
        <f>COUNTIF($Q$2:$Q$5295,Q460)</f>
        <v/>
      </c>
      <c r="S460" s="25">
        <f>IF(R460&lt;=2,"1-2",IF(R460&lt;=5,"3-5",IF(R460&lt;=10,"6-10","11+")))</f>
        <v/>
      </c>
    </row>
    <row r="461">
      <c r="A461" s="39" t="n">
        <v>46157.49496527778</v>
      </c>
      <c r="B461" s="25">
        <f>TEXT(A461,"YYYY-MM")</f>
        <v/>
      </c>
      <c r="C461" s="25">
        <f>TEXT(A461,"MMM-YYYY")</f>
        <v/>
      </c>
      <c r="D461" s="40">
        <f>INT(A461)-WEEKDAY(A461,2)+1</f>
        <v/>
      </c>
      <c r="E461" s="25" t="inlineStr">
        <is>
          <t>psathwika</t>
        </is>
      </c>
      <c r="F461" s="25" t="n">
        <v>56523</v>
      </c>
      <c r="G461" s="25" t="n">
        <v>2</v>
      </c>
      <c r="H461" s="25" t="n">
        <v>11</v>
      </c>
      <c r="I461" s="25" t="inlineStr">
        <is>
          <t>5 minute(s) and 9 second(s)</t>
        </is>
      </c>
      <c r="J461" s="25">
        <f>IFERROR(VALUE(TRIM(LEFT(I461,FIND("minute",I461)-1)))*60,0)+IFERROR(VALUE(SUBSTITUTE(MID(I461,IFERROR(FIND("and",I461)+3,1),20),"second(s)","")),0)</f>
        <v/>
      </c>
      <c r="K461" s="41">
        <f>J461/60</f>
        <v/>
      </c>
      <c r="L461" s="41">
        <f>IFERROR(J461/H461,"")</f>
        <v/>
      </c>
      <c r="M461" s="25" t="inlineStr">
        <is>
          <t>2.5.12</t>
        </is>
      </c>
      <c r="N461" s="25">
        <f>IF(J461&gt;300,1,0)</f>
        <v/>
      </c>
      <c r="O461" s="25">
        <f>IF(J461&gt;600,1,0)</f>
        <v/>
      </c>
      <c r="P461" s="25">
        <f>IF(H461&gt;0,J461,"")</f>
        <v/>
      </c>
      <c r="Q461" s="25">
        <f>TEXT(A461,"YYYY-MM-DD HH")</f>
        <v/>
      </c>
      <c r="R461" s="25">
        <f>COUNTIF($Q$2:$Q$5295,Q461)</f>
        <v/>
      </c>
      <c r="S461" s="25">
        <f>IF(R461&lt;=2,"1-2",IF(R461&lt;=5,"3-5",IF(R461&lt;=10,"6-10","11+")))</f>
        <v/>
      </c>
    </row>
    <row r="462">
      <c r="A462" s="39" t="n">
        <v>46157.49878472222</v>
      </c>
      <c r="B462" s="25">
        <f>TEXT(A462,"YYYY-MM")</f>
        <v/>
      </c>
      <c r="C462" s="25">
        <f>TEXT(A462,"MMM-YYYY")</f>
        <v/>
      </c>
      <c r="D462" s="40">
        <f>INT(A462)-WEEKDAY(A462,2)+1</f>
        <v/>
      </c>
      <c r="E462" s="25" t="inlineStr">
        <is>
          <t>rts</t>
        </is>
      </c>
      <c r="F462" s="25" t="n">
        <v>116148</v>
      </c>
      <c r="G462" s="25" t="n">
        <v>2</v>
      </c>
      <c r="H462" s="25" t="n">
        <v>10</v>
      </c>
      <c r="I462" s="25" t="inlineStr">
        <is>
          <t>2 minute(s) and 33 second(s)</t>
        </is>
      </c>
      <c r="J462" s="25">
        <f>IFERROR(VALUE(TRIM(LEFT(I462,FIND("minute",I462)-1)))*60,0)+IFERROR(VALUE(SUBSTITUTE(MID(I462,IFERROR(FIND("and",I462)+3,1),20),"second(s)","")),0)</f>
        <v/>
      </c>
      <c r="K462" s="41">
        <f>J462/60</f>
        <v/>
      </c>
      <c r="L462" s="41">
        <f>IFERROR(J462/H462,"")</f>
        <v/>
      </c>
      <c r="M462" s="25" t="inlineStr">
        <is>
          <t>2.5.12</t>
        </is>
      </c>
      <c r="N462" s="25">
        <f>IF(J462&gt;300,1,0)</f>
        <v/>
      </c>
      <c r="O462" s="25">
        <f>IF(J462&gt;600,1,0)</f>
        <v/>
      </c>
      <c r="P462" s="25">
        <f>IF(H462&gt;0,J462,"")</f>
        <v/>
      </c>
      <c r="Q462" s="25">
        <f>TEXT(A462,"YYYY-MM-DD HH")</f>
        <v/>
      </c>
      <c r="R462" s="25">
        <f>COUNTIF($Q$2:$Q$5295,Q462)</f>
        <v/>
      </c>
      <c r="S462" s="25">
        <f>IF(R462&lt;=2,"1-2",IF(R462&lt;=5,"3-5",IF(R462&lt;=10,"6-10","11+")))</f>
        <v/>
      </c>
    </row>
    <row r="463">
      <c r="A463" s="39" t="n">
        <v>46157.5072337963</v>
      </c>
      <c r="B463" s="25">
        <f>TEXT(A463,"YYYY-MM")</f>
        <v/>
      </c>
      <c r="C463" s="25">
        <f>TEXT(A463,"MMM-YYYY")</f>
        <v/>
      </c>
      <c r="D463" s="40">
        <f>INT(A463)-WEEKDAY(A463,2)+1</f>
        <v/>
      </c>
      <c r="E463" s="25" t="inlineStr">
        <is>
          <t>nbindu</t>
        </is>
      </c>
      <c r="F463" s="25" t="n">
        <v>114564</v>
      </c>
      <c r="G463" s="25" t="n">
        <v>4</v>
      </c>
      <c r="H463" s="25" t="n">
        <v>14</v>
      </c>
      <c r="I463" s="25" t="inlineStr">
        <is>
          <t>2 minute(s) and 45 second(s)</t>
        </is>
      </c>
      <c r="J463" s="25">
        <f>IFERROR(VALUE(TRIM(LEFT(I463,FIND("minute",I463)-1)))*60,0)+IFERROR(VALUE(SUBSTITUTE(MID(I463,IFERROR(FIND("and",I463)+3,1),20),"second(s)","")),0)</f>
        <v/>
      </c>
      <c r="K463" s="41">
        <f>J463/60</f>
        <v/>
      </c>
      <c r="L463" s="41">
        <f>IFERROR(J463/H463,"")</f>
        <v/>
      </c>
      <c r="M463" s="25" t="inlineStr">
        <is>
          <t>2.5.12</t>
        </is>
      </c>
      <c r="N463" s="25">
        <f>IF(J463&gt;300,1,0)</f>
        <v/>
      </c>
      <c r="O463" s="25">
        <f>IF(J463&gt;600,1,0)</f>
        <v/>
      </c>
      <c r="P463" s="25">
        <f>IF(H463&gt;0,J463,"")</f>
        <v/>
      </c>
      <c r="Q463" s="25">
        <f>TEXT(A463,"YYYY-MM-DD HH")</f>
        <v/>
      </c>
      <c r="R463" s="25">
        <f>COUNTIF($Q$2:$Q$5295,Q463)</f>
        <v/>
      </c>
      <c r="S463" s="25">
        <f>IF(R463&lt;=2,"1-2",IF(R463&lt;=5,"3-5",IF(R463&lt;=10,"6-10","11+")))</f>
        <v/>
      </c>
    </row>
    <row r="464">
      <c r="A464" s="39" t="n">
        <v>46157.52311342592</v>
      </c>
      <c r="B464" s="25">
        <f>TEXT(A464,"YYYY-MM")</f>
        <v/>
      </c>
      <c r="C464" s="25">
        <f>TEXT(A464,"MMM-YYYY")</f>
        <v/>
      </c>
      <c r="D464" s="40">
        <f>INT(A464)-WEEKDAY(A464,2)+1</f>
        <v/>
      </c>
      <c r="E464" s="25" t="inlineStr">
        <is>
          <t>emishra</t>
        </is>
      </c>
      <c r="F464" s="25" t="n">
        <v>97172</v>
      </c>
      <c r="G464" s="25" t="n">
        <v>2</v>
      </c>
      <c r="H464" s="25" t="n">
        <v>10</v>
      </c>
      <c r="I464" s="25" t="inlineStr">
        <is>
          <t>1 minute(s) and 31 second(s)</t>
        </is>
      </c>
      <c r="J464" s="25">
        <f>IFERROR(VALUE(TRIM(LEFT(I464,FIND("minute",I464)-1)))*60,0)+IFERROR(VALUE(SUBSTITUTE(MID(I464,IFERROR(FIND("and",I464)+3,1),20),"second(s)","")),0)</f>
        <v/>
      </c>
      <c r="K464" s="41">
        <f>J464/60</f>
        <v/>
      </c>
      <c r="L464" s="41">
        <f>IFERROR(J464/H464,"")</f>
        <v/>
      </c>
      <c r="M464" s="25" t="inlineStr">
        <is>
          <t>2.5.12</t>
        </is>
      </c>
      <c r="N464" s="25">
        <f>IF(J464&gt;300,1,0)</f>
        <v/>
      </c>
      <c r="O464" s="25">
        <f>IF(J464&gt;600,1,0)</f>
        <v/>
      </c>
      <c r="P464" s="25">
        <f>IF(H464&gt;0,J464,"")</f>
        <v/>
      </c>
      <c r="Q464" s="25">
        <f>TEXT(A464,"YYYY-MM-DD HH")</f>
        <v/>
      </c>
      <c r="R464" s="25">
        <f>COUNTIF($Q$2:$Q$5295,Q464)</f>
        <v/>
      </c>
      <c r="S464" s="25">
        <f>IF(R464&lt;=2,"1-2",IF(R464&lt;=5,"3-5",IF(R464&lt;=10,"6-10","11+")))</f>
        <v/>
      </c>
    </row>
    <row r="465">
      <c r="A465" s="39" t="n">
        <v>46157.52340277778</v>
      </c>
      <c r="B465" s="25">
        <f>TEXT(A465,"YYYY-MM")</f>
        <v/>
      </c>
      <c r="C465" s="25">
        <f>TEXT(A465,"MMM-YYYY")</f>
        <v/>
      </c>
      <c r="D465" s="40">
        <f>INT(A465)-WEEKDAY(A465,2)+1</f>
        <v/>
      </c>
      <c r="E465" s="25" t="inlineStr">
        <is>
          <t>hsindwani</t>
        </is>
      </c>
      <c r="F465" s="25" t="n">
        <v>96442</v>
      </c>
      <c r="G465" s="25" t="n">
        <v>4</v>
      </c>
      <c r="H465" s="25" t="n">
        <v>24</v>
      </c>
      <c r="I465" s="25" t="inlineStr">
        <is>
          <t>10 minute(s) and 37 second(s)</t>
        </is>
      </c>
      <c r="J465" s="25">
        <f>IFERROR(VALUE(TRIM(LEFT(I465,FIND("minute",I465)-1)))*60,0)+IFERROR(VALUE(SUBSTITUTE(MID(I465,IFERROR(FIND("and",I465)+3,1),20),"second(s)","")),0)</f>
        <v/>
      </c>
      <c r="K465" s="41">
        <f>J465/60</f>
        <v/>
      </c>
      <c r="L465" s="41">
        <f>IFERROR(J465/H465,"")</f>
        <v/>
      </c>
      <c r="M465" s="25" t="inlineStr">
        <is>
          <t>2.5.12</t>
        </is>
      </c>
      <c r="N465" s="25">
        <f>IF(J465&gt;300,1,0)</f>
        <v/>
      </c>
      <c r="O465" s="25">
        <f>IF(J465&gt;600,1,0)</f>
        <v/>
      </c>
      <c r="P465" s="25">
        <f>IF(H465&gt;0,J465,"")</f>
        <v/>
      </c>
      <c r="Q465" s="25">
        <f>TEXT(A465,"YYYY-MM-DD HH")</f>
        <v/>
      </c>
      <c r="R465" s="25">
        <f>COUNTIF($Q$2:$Q$5295,Q465)</f>
        <v/>
      </c>
      <c r="S465" s="25">
        <f>IF(R465&lt;=2,"1-2",IF(R465&lt;=5,"3-5",IF(R465&lt;=10,"6-10","11+")))</f>
        <v/>
      </c>
    </row>
    <row r="466">
      <c r="A466" s="39" t="n">
        <v>46157.5341087963</v>
      </c>
      <c r="B466" s="25">
        <f>TEXT(A466,"YYYY-MM")</f>
        <v/>
      </c>
      <c r="C466" s="25">
        <f>TEXT(A466,"MMM-YYYY")</f>
        <v/>
      </c>
      <c r="D466" s="40">
        <f>INT(A466)-WEEKDAY(A466,2)+1</f>
        <v/>
      </c>
      <c r="E466" s="25" t="inlineStr">
        <is>
          <t>vraina</t>
        </is>
      </c>
      <c r="F466" s="25" t="n">
        <v>115308</v>
      </c>
      <c r="G466" s="25" t="n">
        <v>2</v>
      </c>
      <c r="H466" s="25" t="n">
        <v>10</v>
      </c>
      <c r="I466" s="25" t="inlineStr">
        <is>
          <t>2 minute(s) and 31 second(s)</t>
        </is>
      </c>
      <c r="J466" s="25">
        <f>IFERROR(VALUE(TRIM(LEFT(I466,FIND("minute",I466)-1)))*60,0)+IFERROR(VALUE(SUBSTITUTE(MID(I466,IFERROR(FIND("and",I466)+3,1),20),"second(s)","")),0)</f>
        <v/>
      </c>
      <c r="K466" s="41">
        <f>J466/60</f>
        <v/>
      </c>
      <c r="L466" s="41">
        <f>IFERROR(J466/H466,"")</f>
        <v/>
      </c>
      <c r="M466" s="25" t="inlineStr">
        <is>
          <t>2.5.12</t>
        </is>
      </c>
      <c r="N466" s="25">
        <f>IF(J466&gt;300,1,0)</f>
        <v/>
      </c>
      <c r="O466" s="25">
        <f>IF(J466&gt;600,1,0)</f>
        <v/>
      </c>
      <c r="P466" s="25">
        <f>IF(H466&gt;0,J466,"")</f>
        <v/>
      </c>
      <c r="Q466" s="25">
        <f>TEXT(A466,"YYYY-MM-DD HH")</f>
        <v/>
      </c>
      <c r="R466" s="25">
        <f>COUNTIF($Q$2:$Q$5295,Q466)</f>
        <v/>
      </c>
      <c r="S466" s="25">
        <f>IF(R466&lt;=2,"1-2",IF(R466&lt;=5,"3-5",IF(R466&lt;=10,"6-10","11+")))</f>
        <v/>
      </c>
    </row>
    <row r="467">
      <c r="A467" s="39" t="n">
        <v>46157.54085648148</v>
      </c>
      <c r="B467" s="25">
        <f>TEXT(A467,"YYYY-MM")</f>
        <v/>
      </c>
      <c r="C467" s="25">
        <f>TEXT(A467,"MMM-YYYY")</f>
        <v/>
      </c>
      <c r="D467" s="40">
        <f>INT(A467)-WEEKDAY(A467,2)+1</f>
        <v/>
      </c>
      <c r="E467" s="25" t="inlineStr">
        <is>
          <t>shasikha</t>
        </is>
      </c>
      <c r="F467" s="25" t="n">
        <v>93338</v>
      </c>
      <c r="G467" s="25" t="n">
        <v>5</v>
      </c>
      <c r="H467" s="25" t="n">
        <v>17</v>
      </c>
      <c r="I467" s="25" t="inlineStr">
        <is>
          <t>5 minute(s) and 51 second(s)</t>
        </is>
      </c>
      <c r="J467" s="25">
        <f>IFERROR(VALUE(TRIM(LEFT(I467,FIND("minute",I467)-1)))*60,0)+IFERROR(VALUE(SUBSTITUTE(MID(I467,IFERROR(FIND("and",I467)+3,1),20),"second(s)","")),0)</f>
        <v/>
      </c>
      <c r="K467" s="41">
        <f>J467/60</f>
        <v/>
      </c>
      <c r="L467" s="41">
        <f>IFERROR(J467/H467,"")</f>
        <v/>
      </c>
      <c r="M467" s="25" t="inlineStr">
        <is>
          <t>2.5.12</t>
        </is>
      </c>
      <c r="N467" s="25">
        <f>IF(J467&gt;300,1,0)</f>
        <v/>
      </c>
      <c r="O467" s="25">
        <f>IF(J467&gt;600,1,0)</f>
        <v/>
      </c>
      <c r="P467" s="25">
        <f>IF(H467&gt;0,J467,"")</f>
        <v/>
      </c>
      <c r="Q467" s="25">
        <f>TEXT(A467,"YYYY-MM-DD HH")</f>
        <v/>
      </c>
      <c r="R467" s="25">
        <f>COUNTIF($Q$2:$Q$5295,Q467)</f>
        <v/>
      </c>
      <c r="S467" s="25">
        <f>IF(R467&lt;=2,"1-2",IF(R467&lt;=5,"3-5",IF(R467&lt;=10,"6-10","11+")))</f>
        <v/>
      </c>
    </row>
    <row r="468">
      <c r="A468" s="39" t="n">
        <v>46157.55625</v>
      </c>
      <c r="B468" s="25">
        <f>TEXT(A468,"YYYY-MM")</f>
        <v/>
      </c>
      <c r="C468" s="25">
        <f>TEXT(A468,"MMM-YYYY")</f>
        <v/>
      </c>
      <c r="D468" s="40">
        <f>INT(A468)-WEEKDAY(A468,2)+1</f>
        <v/>
      </c>
      <c r="E468" s="25" t="inlineStr">
        <is>
          <t>rts</t>
        </is>
      </c>
      <c r="F468" s="25" t="n">
        <v>116148</v>
      </c>
      <c r="G468" s="25" t="n">
        <v>2</v>
      </c>
      <c r="H468" s="25" t="n">
        <v>12</v>
      </c>
      <c r="I468" s="25" t="inlineStr">
        <is>
          <t>4 minute(s) and 38 second(s)</t>
        </is>
      </c>
      <c r="J468" s="25">
        <f>IFERROR(VALUE(TRIM(LEFT(I468,FIND("minute",I468)-1)))*60,0)+IFERROR(VALUE(SUBSTITUTE(MID(I468,IFERROR(FIND("and",I468)+3,1),20),"second(s)","")),0)</f>
        <v/>
      </c>
      <c r="K468" s="41">
        <f>J468/60</f>
        <v/>
      </c>
      <c r="L468" s="41">
        <f>IFERROR(J468/H468,"")</f>
        <v/>
      </c>
      <c r="M468" s="25" t="inlineStr">
        <is>
          <t>2.5.12</t>
        </is>
      </c>
      <c r="N468" s="25">
        <f>IF(J468&gt;300,1,0)</f>
        <v/>
      </c>
      <c r="O468" s="25">
        <f>IF(J468&gt;600,1,0)</f>
        <v/>
      </c>
      <c r="P468" s="25">
        <f>IF(H468&gt;0,J468,"")</f>
        <v/>
      </c>
      <c r="Q468" s="25">
        <f>TEXT(A468,"YYYY-MM-DD HH")</f>
        <v/>
      </c>
      <c r="R468" s="25">
        <f>COUNTIF($Q$2:$Q$5295,Q468)</f>
        <v/>
      </c>
      <c r="S468" s="25">
        <f>IF(R468&lt;=2,"1-2",IF(R468&lt;=5,"3-5",IF(R468&lt;=10,"6-10","11+")))</f>
        <v/>
      </c>
    </row>
    <row r="469">
      <c r="A469" s="39" t="n">
        <v>46157.56453703704</v>
      </c>
      <c r="B469" s="25">
        <f>TEXT(A469,"YYYY-MM")</f>
        <v/>
      </c>
      <c r="C469" s="25">
        <f>TEXT(A469,"MMM-YYYY")</f>
        <v/>
      </c>
      <c r="D469" s="40">
        <f>INT(A469)-WEEKDAY(A469,2)+1</f>
        <v/>
      </c>
      <c r="E469" s="25" t="inlineStr">
        <is>
          <t>hdutt</t>
        </is>
      </c>
      <c r="F469" s="25" t="n">
        <v>95925</v>
      </c>
      <c r="G469" s="25" t="n">
        <v>3</v>
      </c>
      <c r="H469" s="25" t="n">
        <v>19</v>
      </c>
      <c r="I469" s="25" t="inlineStr">
        <is>
          <t>5 minute(s) and 59 second(s)</t>
        </is>
      </c>
      <c r="J469" s="25">
        <f>IFERROR(VALUE(TRIM(LEFT(I469,FIND("minute",I469)-1)))*60,0)+IFERROR(VALUE(SUBSTITUTE(MID(I469,IFERROR(FIND("and",I469)+3,1),20),"second(s)","")),0)</f>
        <v/>
      </c>
      <c r="K469" s="41">
        <f>J469/60</f>
        <v/>
      </c>
      <c r="L469" s="41">
        <f>IFERROR(J469/H469,"")</f>
        <v/>
      </c>
      <c r="M469" s="25" t="inlineStr">
        <is>
          <t>2.5.12</t>
        </is>
      </c>
      <c r="N469" s="25">
        <f>IF(J469&gt;300,1,0)</f>
        <v/>
      </c>
      <c r="O469" s="25">
        <f>IF(J469&gt;600,1,0)</f>
        <v/>
      </c>
      <c r="P469" s="25">
        <f>IF(H469&gt;0,J469,"")</f>
        <v/>
      </c>
      <c r="Q469" s="25">
        <f>TEXT(A469,"YYYY-MM-DD HH")</f>
        <v/>
      </c>
      <c r="R469" s="25">
        <f>COUNTIF($Q$2:$Q$5295,Q469)</f>
        <v/>
      </c>
      <c r="S469" s="25">
        <f>IF(R469&lt;=2,"1-2",IF(R469&lt;=5,"3-5",IF(R469&lt;=10,"6-10","11+")))</f>
        <v/>
      </c>
    </row>
    <row r="470">
      <c r="A470" s="39" t="n">
        <v>46157.64234953704</v>
      </c>
      <c r="B470" s="25">
        <f>TEXT(A470,"YYYY-MM")</f>
        <v/>
      </c>
      <c r="C470" s="25">
        <f>TEXT(A470,"MMM-YYYY")</f>
        <v/>
      </c>
      <c r="D470" s="40">
        <f>INT(A470)-WEEKDAY(A470,2)+1</f>
        <v/>
      </c>
      <c r="E470" s="25" t="inlineStr">
        <is>
          <t>mbhalla</t>
        </is>
      </c>
      <c r="F470" s="25" t="n">
        <v>83344</v>
      </c>
      <c r="G470" s="25" t="n">
        <v>2</v>
      </c>
      <c r="H470" s="25" t="n">
        <v>12</v>
      </c>
      <c r="I470" s="25" t="inlineStr">
        <is>
          <t>2 minute(s) and 26 second(s)</t>
        </is>
      </c>
      <c r="J470" s="25">
        <f>IFERROR(VALUE(TRIM(LEFT(I470,FIND("minute",I470)-1)))*60,0)+IFERROR(VALUE(SUBSTITUTE(MID(I470,IFERROR(FIND("and",I470)+3,1),20),"second(s)","")),0)</f>
        <v/>
      </c>
      <c r="K470" s="41">
        <f>J470/60</f>
        <v/>
      </c>
      <c r="L470" s="41">
        <f>IFERROR(J470/H470,"")</f>
        <v/>
      </c>
      <c r="M470" s="25" t="inlineStr">
        <is>
          <t>2.5.12</t>
        </is>
      </c>
      <c r="N470" s="25">
        <f>IF(J470&gt;300,1,0)</f>
        <v/>
      </c>
      <c r="O470" s="25">
        <f>IF(J470&gt;600,1,0)</f>
        <v/>
      </c>
      <c r="P470" s="25">
        <f>IF(H470&gt;0,J470,"")</f>
        <v/>
      </c>
      <c r="Q470" s="25">
        <f>TEXT(A470,"YYYY-MM-DD HH")</f>
        <v/>
      </c>
      <c r="R470" s="25">
        <f>COUNTIF($Q$2:$Q$5295,Q470)</f>
        <v/>
      </c>
      <c r="S470" s="25">
        <f>IF(R470&lt;=2,"1-2",IF(R470&lt;=5,"3-5",IF(R470&lt;=10,"6-10","11+")))</f>
        <v/>
      </c>
    </row>
    <row r="471">
      <c r="A471" s="39" t="n">
        <v>46157.6522800926</v>
      </c>
      <c r="B471" s="25">
        <f>TEXT(A471,"YYYY-MM")</f>
        <v/>
      </c>
      <c r="C471" s="25">
        <f>TEXT(A471,"MMM-YYYY")</f>
        <v/>
      </c>
      <c r="D471" s="40">
        <f>INT(A471)-WEEKDAY(A471,2)+1</f>
        <v/>
      </c>
      <c r="E471" s="25" t="inlineStr">
        <is>
          <t>vraina</t>
        </is>
      </c>
      <c r="F471" s="25" t="n">
        <v>83943</v>
      </c>
      <c r="G471" s="25" t="n">
        <v>1</v>
      </c>
      <c r="H471" s="25" t="n">
        <v>5</v>
      </c>
      <c r="I471" s="25" t="inlineStr">
        <is>
          <t>1 minute(s) and 45 second(s)</t>
        </is>
      </c>
      <c r="J471" s="25">
        <f>IFERROR(VALUE(TRIM(LEFT(I471,FIND("minute",I471)-1)))*60,0)+IFERROR(VALUE(SUBSTITUTE(MID(I471,IFERROR(FIND("and",I471)+3,1),20),"second(s)","")),0)</f>
        <v/>
      </c>
      <c r="K471" s="41">
        <f>J471/60</f>
        <v/>
      </c>
      <c r="L471" s="41">
        <f>IFERROR(J471/H471,"")</f>
        <v/>
      </c>
      <c r="M471" s="25" t="inlineStr">
        <is>
          <t>2.5.12</t>
        </is>
      </c>
      <c r="N471" s="25">
        <f>IF(J471&gt;300,1,0)</f>
        <v/>
      </c>
      <c r="O471" s="25">
        <f>IF(J471&gt;600,1,0)</f>
        <v/>
      </c>
      <c r="P471" s="25">
        <f>IF(H471&gt;0,J471,"")</f>
        <v/>
      </c>
      <c r="Q471" s="25">
        <f>TEXT(A471,"YYYY-MM-DD HH")</f>
        <v/>
      </c>
      <c r="R471" s="25">
        <f>COUNTIF($Q$2:$Q$5295,Q471)</f>
        <v/>
      </c>
      <c r="S471" s="25">
        <f>IF(R471&lt;=2,"1-2",IF(R471&lt;=5,"3-5",IF(R471&lt;=10,"6-10","11+")))</f>
        <v/>
      </c>
    </row>
    <row r="472">
      <c r="A472" s="39" t="n">
        <v>46157.65811342592</v>
      </c>
      <c r="B472" s="25">
        <f>TEXT(A472,"YYYY-MM")</f>
        <v/>
      </c>
      <c r="C472" s="25">
        <f>TEXT(A472,"MMM-YYYY")</f>
        <v/>
      </c>
      <c r="D472" s="40">
        <f>INT(A472)-WEEKDAY(A472,2)+1</f>
        <v/>
      </c>
      <c r="E472" s="25" t="inlineStr">
        <is>
          <t>hdutt</t>
        </is>
      </c>
      <c r="F472" s="25" t="n">
        <v>67868</v>
      </c>
      <c r="G472" s="25" t="n">
        <v>2</v>
      </c>
      <c r="H472" s="25" t="n">
        <v>12</v>
      </c>
      <c r="I472" s="25" t="inlineStr">
        <is>
          <t>3 minute(s) and 41 second(s)</t>
        </is>
      </c>
      <c r="J472" s="25">
        <f>IFERROR(VALUE(TRIM(LEFT(I472,FIND("minute",I472)-1)))*60,0)+IFERROR(VALUE(SUBSTITUTE(MID(I472,IFERROR(FIND("and",I472)+3,1),20),"second(s)","")),0)</f>
        <v/>
      </c>
      <c r="K472" s="41">
        <f>J472/60</f>
        <v/>
      </c>
      <c r="L472" s="41">
        <f>IFERROR(J472/H472,"")</f>
        <v/>
      </c>
      <c r="M472" s="25" t="inlineStr">
        <is>
          <t>2.5.12</t>
        </is>
      </c>
      <c r="N472" s="25">
        <f>IF(J472&gt;300,1,0)</f>
        <v/>
      </c>
      <c r="O472" s="25">
        <f>IF(J472&gt;600,1,0)</f>
        <v/>
      </c>
      <c r="P472" s="25">
        <f>IF(H472&gt;0,J472,"")</f>
        <v/>
      </c>
      <c r="Q472" s="25">
        <f>TEXT(A472,"YYYY-MM-DD HH")</f>
        <v/>
      </c>
      <c r="R472" s="25">
        <f>COUNTIF($Q$2:$Q$5295,Q472)</f>
        <v/>
      </c>
      <c r="S472" s="25">
        <f>IF(R472&lt;=2,"1-2",IF(R472&lt;=5,"3-5",IF(R472&lt;=10,"6-10","11+")))</f>
        <v/>
      </c>
    </row>
    <row r="473">
      <c r="A473" s="39" t="n">
        <v>46157.66138888889</v>
      </c>
      <c r="B473" s="25">
        <f>TEXT(A473,"YYYY-MM")</f>
        <v/>
      </c>
      <c r="C473" s="25">
        <f>TEXT(A473,"MMM-YYYY")</f>
        <v/>
      </c>
      <c r="D473" s="40">
        <f>INT(A473)-WEEKDAY(A473,2)+1</f>
        <v/>
      </c>
      <c r="E473" s="25" t="inlineStr">
        <is>
          <t>hsindwani</t>
        </is>
      </c>
      <c r="F473" s="25" t="n">
        <v>106771</v>
      </c>
      <c r="G473" s="25" t="n">
        <v>5</v>
      </c>
      <c r="H473" s="25" t="n">
        <v>35</v>
      </c>
      <c r="I473" s="25" t="inlineStr">
        <is>
          <t>9 minute(s) and 24 second(s)</t>
        </is>
      </c>
      <c r="J473" s="25">
        <f>IFERROR(VALUE(TRIM(LEFT(I473,FIND("minute",I473)-1)))*60,0)+IFERROR(VALUE(SUBSTITUTE(MID(I473,IFERROR(FIND("and",I473)+3,1),20),"second(s)","")),0)</f>
        <v/>
      </c>
      <c r="K473" s="41">
        <f>J473/60</f>
        <v/>
      </c>
      <c r="L473" s="41">
        <f>IFERROR(J473/H473,"")</f>
        <v/>
      </c>
      <c r="M473" s="25" t="inlineStr">
        <is>
          <t>2.5.12</t>
        </is>
      </c>
      <c r="N473" s="25">
        <f>IF(J473&gt;300,1,0)</f>
        <v/>
      </c>
      <c r="O473" s="25">
        <f>IF(J473&gt;600,1,0)</f>
        <v/>
      </c>
      <c r="P473" s="25">
        <f>IF(H473&gt;0,J473,"")</f>
        <v/>
      </c>
      <c r="Q473" s="25">
        <f>TEXT(A473,"YYYY-MM-DD HH")</f>
        <v/>
      </c>
      <c r="R473" s="25">
        <f>COUNTIF($Q$2:$Q$5295,Q473)</f>
        <v/>
      </c>
      <c r="S473" s="25">
        <f>IF(R473&lt;=2,"1-2",IF(R473&lt;=5,"3-5",IF(R473&lt;=10,"6-10","11+")))</f>
        <v/>
      </c>
    </row>
    <row r="474">
      <c r="A474" s="39" t="n">
        <v>46157.66582175926</v>
      </c>
      <c r="B474" s="25">
        <f>TEXT(A474,"YYYY-MM")</f>
        <v/>
      </c>
      <c r="C474" s="25">
        <f>TEXT(A474,"MMM-YYYY")</f>
        <v/>
      </c>
      <c r="D474" s="40">
        <f>INT(A474)-WEEKDAY(A474,2)+1</f>
        <v/>
      </c>
      <c r="E474" s="25" t="inlineStr">
        <is>
          <t>agandhi</t>
        </is>
      </c>
      <c r="F474" s="25" t="n">
        <v>109525</v>
      </c>
      <c r="G474" s="25" t="n">
        <v>5</v>
      </c>
      <c r="H474" s="25" t="n">
        <v>25</v>
      </c>
      <c r="I474" s="25" t="inlineStr">
        <is>
          <t>5 minute(s) and 37 second(s)</t>
        </is>
      </c>
      <c r="J474" s="25">
        <f>IFERROR(VALUE(TRIM(LEFT(I474,FIND("minute",I474)-1)))*60,0)+IFERROR(VALUE(SUBSTITUTE(MID(I474,IFERROR(FIND("and",I474)+3,1),20),"second(s)","")),0)</f>
        <v/>
      </c>
      <c r="K474" s="41">
        <f>J474/60</f>
        <v/>
      </c>
      <c r="L474" s="41">
        <f>IFERROR(J474/H474,"")</f>
        <v/>
      </c>
      <c r="M474" s="25" t="inlineStr">
        <is>
          <t>2.5.12</t>
        </is>
      </c>
      <c r="N474" s="25">
        <f>IF(J474&gt;300,1,0)</f>
        <v/>
      </c>
      <c r="O474" s="25">
        <f>IF(J474&gt;600,1,0)</f>
        <v/>
      </c>
      <c r="P474" s="25">
        <f>IF(H474&gt;0,J474,"")</f>
        <v/>
      </c>
      <c r="Q474" s="25">
        <f>TEXT(A474,"YYYY-MM-DD HH")</f>
        <v/>
      </c>
      <c r="R474" s="25">
        <f>COUNTIF($Q$2:$Q$5295,Q474)</f>
        <v/>
      </c>
      <c r="S474" s="25">
        <f>IF(R474&lt;=2,"1-2",IF(R474&lt;=5,"3-5",IF(R474&lt;=10,"6-10","11+")))</f>
        <v/>
      </c>
    </row>
    <row r="475">
      <c r="A475" s="39" t="n">
        <v>46157.70724537037</v>
      </c>
      <c r="B475" s="25">
        <f>TEXT(A475,"YYYY-MM")</f>
        <v/>
      </c>
      <c r="C475" s="25">
        <f>TEXT(A475,"MMM-YYYY")</f>
        <v/>
      </c>
      <c r="D475" s="40">
        <f>INT(A475)-WEEKDAY(A475,2)+1</f>
        <v/>
      </c>
      <c r="E475" s="25" t="inlineStr">
        <is>
          <t>mbhalla</t>
        </is>
      </c>
      <c r="F475" s="25" t="n">
        <v>97761</v>
      </c>
      <c r="G475" s="25" t="n">
        <v>3</v>
      </c>
      <c r="H475" s="25" t="n">
        <v>17</v>
      </c>
      <c r="I475" s="25" t="inlineStr">
        <is>
          <t>4 minute(s) and 0 second(s)</t>
        </is>
      </c>
      <c r="J475" s="25">
        <f>IFERROR(VALUE(TRIM(LEFT(I475,FIND("minute",I475)-1)))*60,0)+IFERROR(VALUE(SUBSTITUTE(MID(I475,IFERROR(FIND("and",I475)+3,1),20),"second(s)","")),0)</f>
        <v/>
      </c>
      <c r="K475" s="41">
        <f>J475/60</f>
        <v/>
      </c>
      <c r="L475" s="41">
        <f>IFERROR(J475/H475,"")</f>
        <v/>
      </c>
      <c r="M475" s="25" t="inlineStr">
        <is>
          <t>2.5.12</t>
        </is>
      </c>
      <c r="N475" s="25">
        <f>IF(J475&gt;300,1,0)</f>
        <v/>
      </c>
      <c r="O475" s="25">
        <f>IF(J475&gt;600,1,0)</f>
        <v/>
      </c>
      <c r="P475" s="25">
        <f>IF(H475&gt;0,J475,"")</f>
        <v/>
      </c>
      <c r="Q475" s="25">
        <f>TEXT(A475,"YYYY-MM-DD HH")</f>
        <v/>
      </c>
      <c r="R475" s="25">
        <f>COUNTIF($Q$2:$Q$5295,Q475)</f>
        <v/>
      </c>
      <c r="S475" s="25">
        <f>IF(R475&lt;=2,"1-2",IF(R475&lt;=5,"3-5",IF(R475&lt;=10,"6-10","11+")))</f>
        <v/>
      </c>
    </row>
    <row r="476">
      <c r="A476" s="39" t="n">
        <v>46157.75578703704</v>
      </c>
      <c r="B476" s="25">
        <f>TEXT(A476,"YYYY-MM")</f>
        <v/>
      </c>
      <c r="C476" s="25">
        <f>TEXT(A476,"MMM-YYYY")</f>
        <v/>
      </c>
      <c r="D476" s="40">
        <f>INT(A476)-WEEKDAY(A476,2)+1</f>
        <v/>
      </c>
      <c r="E476" s="25" t="inlineStr">
        <is>
          <t>hsindwani</t>
        </is>
      </c>
      <c r="F476" s="25" t="n">
        <v>113964</v>
      </c>
      <c r="G476" s="25" t="n">
        <v>5</v>
      </c>
      <c r="H476" s="25" t="n">
        <v>27</v>
      </c>
      <c r="I476" s="25" t="inlineStr">
        <is>
          <t>10 minute(s) and 49 second(s)</t>
        </is>
      </c>
      <c r="J476" s="25">
        <f>IFERROR(VALUE(TRIM(LEFT(I476,FIND("minute",I476)-1)))*60,0)+IFERROR(VALUE(SUBSTITUTE(MID(I476,IFERROR(FIND("and",I476)+3,1),20),"second(s)","")),0)</f>
        <v/>
      </c>
      <c r="K476" s="41">
        <f>J476/60</f>
        <v/>
      </c>
      <c r="L476" s="41">
        <f>IFERROR(J476/H476,"")</f>
        <v/>
      </c>
      <c r="M476" s="25" t="inlineStr">
        <is>
          <t>2.5.12</t>
        </is>
      </c>
      <c r="N476" s="25">
        <f>IF(J476&gt;300,1,0)</f>
        <v/>
      </c>
      <c r="O476" s="25">
        <f>IF(J476&gt;600,1,0)</f>
        <v/>
      </c>
      <c r="P476" s="25">
        <f>IF(H476&gt;0,J476,"")</f>
        <v/>
      </c>
      <c r="Q476" s="25">
        <f>TEXT(A476,"YYYY-MM-DD HH")</f>
        <v/>
      </c>
      <c r="R476" s="25">
        <f>COUNTIF($Q$2:$Q$5295,Q476)</f>
        <v/>
      </c>
      <c r="S476" s="25">
        <f>IF(R476&lt;=2,"1-2",IF(R476&lt;=5,"3-5",IF(R476&lt;=10,"6-10","11+")))</f>
        <v/>
      </c>
    </row>
    <row r="477">
      <c r="A477" s="39" t="n">
        <v>46157.76046296296</v>
      </c>
      <c r="B477" s="25">
        <f>TEXT(A477,"YYYY-MM")</f>
        <v/>
      </c>
      <c r="C477" s="25">
        <f>TEXT(A477,"MMM-YYYY")</f>
        <v/>
      </c>
      <c r="D477" s="40">
        <f>INT(A477)-WEEKDAY(A477,2)+1</f>
        <v/>
      </c>
      <c r="E477" s="25" t="inlineStr">
        <is>
          <t>mbhalla</t>
        </is>
      </c>
      <c r="F477" s="25" t="n">
        <v>113390</v>
      </c>
      <c r="G477" s="25" t="n">
        <v>1</v>
      </c>
      <c r="H477" s="25" t="n">
        <v>5</v>
      </c>
      <c r="I477" s="25" t="inlineStr">
        <is>
          <t>58 second(s)</t>
        </is>
      </c>
      <c r="J477" s="25">
        <f>IFERROR(VALUE(TRIM(LEFT(I477,FIND("minute",I477)-1)))*60,0)+IFERROR(VALUE(SUBSTITUTE(MID(I477,IFERROR(FIND("and",I477)+3,1),20),"second(s)","")),0)</f>
        <v/>
      </c>
      <c r="K477" s="41">
        <f>J477/60</f>
        <v/>
      </c>
      <c r="L477" s="41">
        <f>IFERROR(J477/H477,"")</f>
        <v/>
      </c>
      <c r="M477" s="25" t="inlineStr">
        <is>
          <t>2.5.12</t>
        </is>
      </c>
      <c r="N477" s="25">
        <f>IF(J477&gt;300,1,0)</f>
        <v/>
      </c>
      <c r="O477" s="25">
        <f>IF(J477&gt;600,1,0)</f>
        <v/>
      </c>
      <c r="P477" s="25">
        <f>IF(H477&gt;0,J477,"")</f>
        <v/>
      </c>
      <c r="Q477" s="25">
        <f>TEXT(A477,"YYYY-MM-DD HH")</f>
        <v/>
      </c>
      <c r="R477" s="25">
        <f>COUNTIF($Q$2:$Q$5295,Q477)</f>
        <v/>
      </c>
      <c r="S477" s="25">
        <f>IF(R477&lt;=2,"1-2",IF(R477&lt;=5,"3-5",IF(R477&lt;=10,"6-10","11+")))</f>
        <v/>
      </c>
    </row>
    <row r="478">
      <c r="A478" s="39" t="n">
        <v>46157.76068287037</v>
      </c>
      <c r="B478" s="25">
        <f>TEXT(A478,"YYYY-MM")</f>
        <v/>
      </c>
      <c r="C478" s="25">
        <f>TEXT(A478,"MMM-YYYY")</f>
        <v/>
      </c>
      <c r="D478" s="40">
        <f>INT(A478)-WEEKDAY(A478,2)+1</f>
        <v/>
      </c>
      <c r="E478" s="25" t="inlineStr">
        <is>
          <t>agandhi</t>
        </is>
      </c>
      <c r="F478" s="25" t="n">
        <v>109525</v>
      </c>
      <c r="G478" s="25" t="n">
        <v>1</v>
      </c>
      <c r="H478" s="25" t="n">
        <v>5</v>
      </c>
      <c r="I478" s="25" t="inlineStr">
        <is>
          <t>1 minute(s) and 24 second(s)</t>
        </is>
      </c>
      <c r="J478" s="25">
        <f>IFERROR(VALUE(TRIM(LEFT(I478,FIND("minute",I478)-1)))*60,0)+IFERROR(VALUE(SUBSTITUTE(MID(I478,IFERROR(FIND("and",I478)+3,1),20),"second(s)","")),0)</f>
        <v/>
      </c>
      <c r="K478" s="41">
        <f>J478/60</f>
        <v/>
      </c>
      <c r="L478" s="41">
        <f>IFERROR(J478/H478,"")</f>
        <v/>
      </c>
      <c r="M478" s="25" t="inlineStr">
        <is>
          <t>2.5.12</t>
        </is>
      </c>
      <c r="N478" s="25">
        <f>IF(J478&gt;300,1,0)</f>
        <v/>
      </c>
      <c r="O478" s="25">
        <f>IF(J478&gt;600,1,0)</f>
        <v/>
      </c>
      <c r="P478" s="25">
        <f>IF(H478&gt;0,J478,"")</f>
        <v/>
      </c>
      <c r="Q478" s="25">
        <f>TEXT(A478,"YYYY-MM-DD HH")</f>
        <v/>
      </c>
      <c r="R478" s="25">
        <f>COUNTIF($Q$2:$Q$5295,Q478)</f>
        <v/>
      </c>
      <c r="S478" s="25">
        <f>IF(R478&lt;=2,"1-2",IF(R478&lt;=5,"3-5",IF(R478&lt;=10,"6-10","11+")))</f>
        <v/>
      </c>
    </row>
    <row r="479">
      <c r="A479" s="39" t="n">
        <v>46157.77987268518</v>
      </c>
      <c r="B479" s="25">
        <f>TEXT(A479,"YYYY-MM")</f>
        <v/>
      </c>
      <c r="C479" s="25">
        <f>TEXT(A479,"MMM-YYYY")</f>
        <v/>
      </c>
      <c r="D479" s="40">
        <f>INT(A479)-WEEKDAY(A479,2)+1</f>
        <v/>
      </c>
      <c r="E479" s="25" t="inlineStr">
        <is>
          <t>rsingh</t>
        </is>
      </c>
      <c r="F479" s="25" t="n">
        <v>104993</v>
      </c>
      <c r="G479" s="25" t="n">
        <v>2</v>
      </c>
      <c r="H479" s="25" t="n">
        <v>12</v>
      </c>
      <c r="I479" s="25" t="inlineStr">
        <is>
          <t>5 minute(s) and 4 second(s)</t>
        </is>
      </c>
      <c r="J479" s="25">
        <f>IFERROR(VALUE(TRIM(LEFT(I479,FIND("minute",I479)-1)))*60,0)+IFERROR(VALUE(SUBSTITUTE(MID(I479,IFERROR(FIND("and",I479)+3,1),20),"second(s)","")),0)</f>
        <v/>
      </c>
      <c r="K479" s="41">
        <f>J479/60</f>
        <v/>
      </c>
      <c r="L479" s="41">
        <f>IFERROR(J479/H479,"")</f>
        <v/>
      </c>
      <c r="M479" s="25" t="inlineStr">
        <is>
          <t>2.5.12</t>
        </is>
      </c>
      <c r="N479" s="25">
        <f>IF(J479&gt;300,1,0)</f>
        <v/>
      </c>
      <c r="O479" s="25">
        <f>IF(J479&gt;600,1,0)</f>
        <v/>
      </c>
      <c r="P479" s="25">
        <f>IF(H479&gt;0,J479,"")</f>
        <v/>
      </c>
      <c r="Q479" s="25">
        <f>TEXT(A479,"YYYY-MM-DD HH")</f>
        <v/>
      </c>
      <c r="R479" s="25">
        <f>COUNTIF($Q$2:$Q$5295,Q479)</f>
        <v/>
      </c>
      <c r="S479" s="25">
        <f>IF(R479&lt;=2,"1-2",IF(R479&lt;=5,"3-5",IF(R479&lt;=10,"6-10","11+")))</f>
        <v/>
      </c>
    </row>
    <row r="480">
      <c r="A480" s="39" t="n">
        <v>46157.82086805555</v>
      </c>
      <c r="B480" s="25">
        <f>TEXT(A480,"YYYY-MM")</f>
        <v/>
      </c>
      <c r="C480" s="25">
        <f>TEXT(A480,"MMM-YYYY")</f>
        <v/>
      </c>
      <c r="D480" s="40">
        <f>INT(A480)-WEEKDAY(A480,2)+1</f>
        <v/>
      </c>
      <c r="E480" s="25" t="inlineStr">
        <is>
          <t>agandhi</t>
        </is>
      </c>
      <c r="F480" s="25" t="n">
        <v>113266</v>
      </c>
      <c r="G480" s="25" t="n">
        <v>6</v>
      </c>
      <c r="H480" s="25" t="n">
        <v>34</v>
      </c>
      <c r="I480" s="25" t="inlineStr">
        <is>
          <t>8 minute(s) and 19 second(s)</t>
        </is>
      </c>
      <c r="J480" s="25">
        <f>IFERROR(VALUE(TRIM(LEFT(I480,FIND("minute",I480)-1)))*60,0)+IFERROR(VALUE(SUBSTITUTE(MID(I480,IFERROR(FIND("and",I480)+3,1),20),"second(s)","")),0)</f>
        <v/>
      </c>
      <c r="K480" s="41">
        <f>J480/60</f>
        <v/>
      </c>
      <c r="L480" s="41">
        <f>IFERROR(J480/H480,"")</f>
        <v/>
      </c>
      <c r="M480" s="25" t="inlineStr">
        <is>
          <t>2.5.12</t>
        </is>
      </c>
      <c r="N480" s="25">
        <f>IF(J480&gt;300,1,0)</f>
        <v/>
      </c>
      <c r="O480" s="25">
        <f>IF(J480&gt;600,1,0)</f>
        <v/>
      </c>
      <c r="P480" s="25">
        <f>IF(H480&gt;0,J480,"")</f>
        <v/>
      </c>
      <c r="Q480" s="25">
        <f>TEXT(A480,"YYYY-MM-DD HH")</f>
        <v/>
      </c>
      <c r="R480" s="25">
        <f>COUNTIF($Q$2:$Q$5295,Q480)</f>
        <v/>
      </c>
      <c r="S480" s="25">
        <f>IF(R480&lt;=2,"1-2",IF(R480&lt;=5,"3-5",IF(R480&lt;=10,"6-10","11+")))</f>
        <v/>
      </c>
    </row>
    <row r="481">
      <c r="A481" s="39" t="n">
        <v>46157.89137731482</v>
      </c>
      <c r="B481" s="25">
        <f>TEXT(A481,"YYYY-MM")</f>
        <v/>
      </c>
      <c r="C481" s="25">
        <f>TEXT(A481,"MMM-YYYY")</f>
        <v/>
      </c>
      <c r="D481" s="40">
        <f>INT(A481)-WEEKDAY(A481,2)+1</f>
        <v/>
      </c>
      <c r="E481" s="25" t="inlineStr">
        <is>
          <t>ssrinivasan</t>
        </is>
      </c>
      <c r="F481" s="25" t="n">
        <v>38199</v>
      </c>
      <c r="G481" s="25" t="n">
        <v>5</v>
      </c>
      <c r="H481" s="25" t="n">
        <v>33</v>
      </c>
      <c r="I481" s="25" t="inlineStr">
        <is>
          <t>9 minute(s) and 36 second(s)</t>
        </is>
      </c>
      <c r="J481" s="25">
        <f>IFERROR(VALUE(TRIM(LEFT(I481,FIND("minute",I481)-1)))*60,0)+IFERROR(VALUE(SUBSTITUTE(MID(I481,IFERROR(FIND("and",I481)+3,1),20),"second(s)","")),0)</f>
        <v/>
      </c>
      <c r="K481" s="41">
        <f>J481/60</f>
        <v/>
      </c>
      <c r="L481" s="41">
        <f>IFERROR(J481/H481,"")</f>
        <v/>
      </c>
      <c r="M481" s="25" t="inlineStr">
        <is>
          <t>2.5.12</t>
        </is>
      </c>
      <c r="N481" s="25">
        <f>IF(J481&gt;300,1,0)</f>
        <v/>
      </c>
      <c r="O481" s="25">
        <f>IF(J481&gt;600,1,0)</f>
        <v/>
      </c>
      <c r="P481" s="25">
        <f>IF(H481&gt;0,J481,"")</f>
        <v/>
      </c>
      <c r="Q481" s="25">
        <f>TEXT(A481,"YYYY-MM-DD HH")</f>
        <v/>
      </c>
      <c r="R481" s="25">
        <f>COUNTIF($Q$2:$Q$5295,Q481)</f>
        <v/>
      </c>
      <c r="S481" s="25">
        <f>IF(R481&lt;=2,"1-2",IF(R481&lt;=5,"3-5",IF(R481&lt;=10,"6-10","11+")))</f>
        <v/>
      </c>
    </row>
    <row r="482">
      <c r="A482" s="39" t="n">
        <v>46157.97098379629</v>
      </c>
      <c r="B482" s="25">
        <f>TEXT(A482,"YYYY-MM")</f>
        <v/>
      </c>
      <c r="C482" s="25">
        <f>TEXT(A482,"MMM-YYYY")</f>
        <v/>
      </c>
      <c r="D482" s="40">
        <f>INT(A482)-WEEKDAY(A482,2)+1</f>
        <v/>
      </c>
      <c r="E482" s="25" t="inlineStr">
        <is>
          <t>ssrinivasan</t>
        </is>
      </c>
      <c r="F482" s="25" t="n">
        <v>112952</v>
      </c>
      <c r="G482" s="25" t="n">
        <v>7</v>
      </c>
      <c r="H482" s="25" t="n">
        <v>25</v>
      </c>
      <c r="I482" s="25" t="inlineStr">
        <is>
          <t>11 minute(s) and 2 second(s)</t>
        </is>
      </c>
      <c r="J482" s="25">
        <f>IFERROR(VALUE(TRIM(LEFT(I482,FIND("minute",I482)-1)))*60,0)+IFERROR(VALUE(SUBSTITUTE(MID(I482,IFERROR(FIND("and",I482)+3,1),20),"second(s)","")),0)</f>
        <v/>
      </c>
      <c r="K482" s="41">
        <f>J482/60</f>
        <v/>
      </c>
      <c r="L482" s="41">
        <f>IFERROR(J482/H482,"")</f>
        <v/>
      </c>
      <c r="M482" s="25" t="inlineStr">
        <is>
          <t>2.5.12</t>
        </is>
      </c>
      <c r="N482" s="25">
        <f>IF(J482&gt;300,1,0)</f>
        <v/>
      </c>
      <c r="O482" s="25">
        <f>IF(J482&gt;600,1,0)</f>
        <v/>
      </c>
      <c r="P482" s="25">
        <f>IF(H482&gt;0,J482,"")</f>
        <v/>
      </c>
      <c r="Q482" s="25">
        <f>TEXT(A482,"YYYY-MM-DD HH")</f>
        <v/>
      </c>
      <c r="R482" s="25">
        <f>COUNTIF($Q$2:$Q$5295,Q482)</f>
        <v/>
      </c>
      <c r="S482" s="25">
        <f>IF(R482&lt;=2,"1-2",IF(R482&lt;=5,"3-5",IF(R482&lt;=10,"6-10","11+")))</f>
        <v/>
      </c>
    </row>
    <row r="483">
      <c r="A483" s="39" t="n">
        <v>46158.13883101852</v>
      </c>
      <c r="B483" s="25">
        <f>TEXT(A483,"YYYY-MM")</f>
        <v/>
      </c>
      <c r="C483" s="25">
        <f>TEXT(A483,"MMM-YYYY")</f>
        <v/>
      </c>
      <c r="D483" s="40">
        <f>INT(A483)-WEEKDAY(A483,2)+1</f>
        <v/>
      </c>
      <c r="E483" s="25" t="inlineStr">
        <is>
          <t>shassan</t>
        </is>
      </c>
      <c r="F483" s="25" t="n">
        <v>105515</v>
      </c>
      <c r="G483" s="25" t="n">
        <v>4</v>
      </c>
      <c r="H483" s="25" t="n">
        <v>20</v>
      </c>
      <c r="I483" s="25" t="inlineStr">
        <is>
          <t>5 minute(s) and 25 second(s)</t>
        </is>
      </c>
      <c r="J483" s="25">
        <f>IFERROR(VALUE(TRIM(LEFT(I483,FIND("minute",I483)-1)))*60,0)+IFERROR(VALUE(SUBSTITUTE(MID(I483,IFERROR(FIND("and",I483)+3,1),20),"second(s)","")),0)</f>
        <v/>
      </c>
      <c r="K483" s="41">
        <f>J483/60</f>
        <v/>
      </c>
      <c r="L483" s="41">
        <f>IFERROR(J483/H483,"")</f>
        <v/>
      </c>
      <c r="M483" s="25" t="inlineStr">
        <is>
          <t>2.5.12</t>
        </is>
      </c>
      <c r="N483" s="25">
        <f>IF(J483&gt;300,1,0)</f>
        <v/>
      </c>
      <c r="O483" s="25">
        <f>IF(J483&gt;600,1,0)</f>
        <v/>
      </c>
      <c r="P483" s="25">
        <f>IF(H483&gt;0,J483,"")</f>
        <v/>
      </c>
      <c r="Q483" s="25">
        <f>TEXT(A483,"YYYY-MM-DD HH")</f>
        <v/>
      </c>
      <c r="R483" s="25">
        <f>COUNTIF($Q$2:$Q$5295,Q483)</f>
        <v/>
      </c>
      <c r="S483" s="25">
        <f>IF(R483&lt;=2,"1-2",IF(R483&lt;=5,"3-5",IF(R483&lt;=10,"6-10","11+")))</f>
        <v/>
      </c>
    </row>
    <row r="484">
      <c r="A484" s="39" t="n">
        <v>46158.35520833333</v>
      </c>
      <c r="B484" s="25">
        <f>TEXT(A484,"YYYY-MM")</f>
        <v/>
      </c>
      <c r="C484" s="25">
        <f>TEXT(A484,"MMM-YYYY")</f>
        <v/>
      </c>
      <c r="D484" s="40">
        <f>INT(A484)-WEEKDAY(A484,2)+1</f>
        <v/>
      </c>
      <c r="E484" s="25" t="inlineStr">
        <is>
          <t>sswati</t>
        </is>
      </c>
      <c r="F484" s="25" t="n">
        <v>113413</v>
      </c>
      <c r="G484" s="25" t="n">
        <v>5</v>
      </c>
      <c r="H484" s="25" t="n">
        <v>17</v>
      </c>
      <c r="I484" s="25" t="inlineStr">
        <is>
          <t>5 minute(s) and 58 second(s)</t>
        </is>
      </c>
      <c r="J484" s="25">
        <f>IFERROR(VALUE(TRIM(LEFT(I484,FIND("minute",I484)-1)))*60,0)+IFERROR(VALUE(SUBSTITUTE(MID(I484,IFERROR(FIND("and",I484)+3,1),20),"second(s)","")),0)</f>
        <v/>
      </c>
      <c r="K484" s="41">
        <f>J484/60</f>
        <v/>
      </c>
      <c r="L484" s="41">
        <f>IFERROR(J484/H484,"")</f>
        <v/>
      </c>
      <c r="M484" s="25" t="inlineStr">
        <is>
          <t>2.5.12</t>
        </is>
      </c>
      <c r="N484" s="25">
        <f>IF(J484&gt;300,1,0)</f>
        <v/>
      </c>
      <c r="O484" s="25">
        <f>IF(J484&gt;600,1,0)</f>
        <v/>
      </c>
      <c r="P484" s="25">
        <f>IF(H484&gt;0,J484,"")</f>
        <v/>
      </c>
      <c r="Q484" s="25">
        <f>TEXT(A484,"YYYY-MM-DD HH")</f>
        <v/>
      </c>
      <c r="R484" s="25">
        <f>COUNTIF($Q$2:$Q$5295,Q484)</f>
        <v/>
      </c>
      <c r="S484" s="25">
        <f>IF(R484&lt;=2,"1-2",IF(R484&lt;=5,"3-5",IF(R484&lt;=10,"6-10","11+")))</f>
        <v/>
      </c>
    </row>
    <row r="485">
      <c r="A485" s="39" t="n">
        <v>46158.43328703703</v>
      </c>
      <c r="B485" s="25">
        <f>TEXT(A485,"YYYY-MM")</f>
        <v/>
      </c>
      <c r="C485" s="25">
        <f>TEXT(A485,"MMM-YYYY")</f>
        <v/>
      </c>
      <c r="D485" s="40">
        <f>INT(A485)-WEEKDAY(A485,2)+1</f>
        <v/>
      </c>
      <c r="E485" s="25" t="inlineStr">
        <is>
          <t>sswati</t>
        </is>
      </c>
      <c r="F485" s="25" t="n">
        <v>113115</v>
      </c>
      <c r="G485" s="25" t="n">
        <v>5</v>
      </c>
      <c r="H485" s="25" t="n">
        <v>18</v>
      </c>
      <c r="I485" s="25" t="inlineStr">
        <is>
          <t>5 minute(s) and 24 second(s)</t>
        </is>
      </c>
      <c r="J485" s="25">
        <f>IFERROR(VALUE(TRIM(LEFT(I485,FIND("minute",I485)-1)))*60,0)+IFERROR(VALUE(SUBSTITUTE(MID(I485,IFERROR(FIND("and",I485)+3,1),20),"second(s)","")),0)</f>
        <v/>
      </c>
      <c r="K485" s="41">
        <f>J485/60</f>
        <v/>
      </c>
      <c r="L485" s="41">
        <f>IFERROR(J485/H485,"")</f>
        <v/>
      </c>
      <c r="M485" s="25" t="inlineStr">
        <is>
          <t>2.5.12</t>
        </is>
      </c>
      <c r="N485" s="25">
        <f>IF(J485&gt;300,1,0)</f>
        <v/>
      </c>
      <c r="O485" s="25">
        <f>IF(J485&gt;600,1,0)</f>
        <v/>
      </c>
      <c r="P485" s="25">
        <f>IF(H485&gt;0,J485,"")</f>
        <v/>
      </c>
      <c r="Q485" s="25">
        <f>TEXT(A485,"YYYY-MM-DD HH")</f>
        <v/>
      </c>
      <c r="R485" s="25">
        <f>COUNTIF($Q$2:$Q$5295,Q485)</f>
        <v/>
      </c>
      <c r="S485" s="25">
        <f>IF(R485&lt;=2,"1-2",IF(R485&lt;=5,"3-5",IF(R485&lt;=10,"6-10","11+")))</f>
        <v/>
      </c>
    </row>
    <row r="486">
      <c r="A486" s="39" t="n">
        <v>46158.51797453704</v>
      </c>
      <c r="B486" s="25">
        <f>TEXT(A486,"YYYY-MM")</f>
        <v/>
      </c>
      <c r="C486" s="25">
        <f>TEXT(A486,"MMM-YYYY")</f>
        <v/>
      </c>
      <c r="D486" s="40">
        <f>INT(A486)-WEEKDAY(A486,2)+1</f>
        <v/>
      </c>
      <c r="E486" s="25" t="inlineStr">
        <is>
          <t>rts</t>
        </is>
      </c>
      <c r="F486" s="25" t="n">
        <v>110364</v>
      </c>
      <c r="G486" s="25" t="n">
        <v>5</v>
      </c>
      <c r="H486" s="25" t="n">
        <v>28</v>
      </c>
      <c r="I486" s="25" t="inlineStr">
        <is>
          <t>8 minute(s) and 16 second(s)</t>
        </is>
      </c>
      <c r="J486" s="25">
        <f>IFERROR(VALUE(TRIM(LEFT(I486,FIND("minute",I486)-1)))*60,0)+IFERROR(VALUE(SUBSTITUTE(MID(I486,IFERROR(FIND("and",I486)+3,1),20),"second(s)","")),0)</f>
        <v/>
      </c>
      <c r="K486" s="41">
        <f>J486/60</f>
        <v/>
      </c>
      <c r="L486" s="41">
        <f>IFERROR(J486/H486,"")</f>
        <v/>
      </c>
      <c r="M486" s="25" t="inlineStr">
        <is>
          <t>2.5.12</t>
        </is>
      </c>
      <c r="N486" s="25">
        <f>IF(J486&gt;300,1,0)</f>
        <v/>
      </c>
      <c r="O486" s="25">
        <f>IF(J486&gt;600,1,0)</f>
        <v/>
      </c>
      <c r="P486" s="25">
        <f>IF(H486&gt;0,J486,"")</f>
        <v/>
      </c>
      <c r="Q486" s="25">
        <f>TEXT(A486,"YYYY-MM-DD HH")</f>
        <v/>
      </c>
      <c r="R486" s="25">
        <f>COUNTIF($Q$2:$Q$5295,Q486)</f>
        <v/>
      </c>
      <c r="S486" s="25">
        <f>IF(R486&lt;=2,"1-2",IF(R486&lt;=5,"3-5",IF(R486&lt;=10,"6-10","11+")))</f>
        <v/>
      </c>
    </row>
    <row r="487">
      <c r="A487" s="39" t="n">
        <v>46158.57061342592</v>
      </c>
      <c r="B487" s="25">
        <f>TEXT(A487,"YYYY-MM")</f>
        <v/>
      </c>
      <c r="C487" s="25">
        <f>TEXT(A487,"MMM-YYYY")</f>
        <v/>
      </c>
      <c r="D487" s="40">
        <f>INT(A487)-WEEKDAY(A487,2)+1</f>
        <v/>
      </c>
      <c r="E487" s="25" t="inlineStr">
        <is>
          <t>sswati</t>
        </is>
      </c>
      <c r="F487" s="25" t="n">
        <v>113437</v>
      </c>
      <c r="G487" s="25" t="n">
        <v>4</v>
      </c>
      <c r="H487" s="25" t="n">
        <v>16</v>
      </c>
      <c r="I487" s="25" t="inlineStr">
        <is>
          <t>3 minute(s) and 13 second(s)</t>
        </is>
      </c>
      <c r="J487" s="25">
        <f>IFERROR(VALUE(TRIM(LEFT(I487,FIND("minute",I487)-1)))*60,0)+IFERROR(VALUE(SUBSTITUTE(MID(I487,IFERROR(FIND("and",I487)+3,1),20),"second(s)","")),0)</f>
        <v/>
      </c>
      <c r="K487" s="41">
        <f>J487/60</f>
        <v/>
      </c>
      <c r="L487" s="41">
        <f>IFERROR(J487/H487,"")</f>
        <v/>
      </c>
      <c r="M487" s="25" t="inlineStr">
        <is>
          <t>2.5.12</t>
        </is>
      </c>
      <c r="N487" s="25">
        <f>IF(J487&gt;300,1,0)</f>
        <v/>
      </c>
      <c r="O487" s="25">
        <f>IF(J487&gt;600,1,0)</f>
        <v/>
      </c>
      <c r="P487" s="25">
        <f>IF(H487&gt;0,J487,"")</f>
        <v/>
      </c>
      <c r="Q487" s="25">
        <f>TEXT(A487,"YYYY-MM-DD HH")</f>
        <v/>
      </c>
      <c r="R487" s="25">
        <f>COUNTIF($Q$2:$Q$5295,Q487)</f>
        <v/>
      </c>
      <c r="S487" s="25">
        <f>IF(R487&lt;=2,"1-2",IF(R487&lt;=5,"3-5",IF(R487&lt;=10,"6-10","11+")))</f>
        <v/>
      </c>
    </row>
    <row r="488">
      <c r="A488" s="39" t="n">
        <v>46158.6465625</v>
      </c>
      <c r="B488" s="25">
        <f>TEXT(A488,"YYYY-MM")</f>
        <v/>
      </c>
      <c r="C488" s="25">
        <f>TEXT(A488,"MMM-YYYY")</f>
        <v/>
      </c>
      <c r="D488" s="40">
        <f>INT(A488)-WEEKDAY(A488,2)+1</f>
        <v/>
      </c>
      <c r="E488" s="25" t="inlineStr">
        <is>
          <t>sswati</t>
        </is>
      </c>
      <c r="F488" s="25" t="n">
        <v>114370</v>
      </c>
      <c r="G488" s="25" t="n">
        <v>2</v>
      </c>
      <c r="H488" s="25" t="n">
        <v>8</v>
      </c>
      <c r="I488" s="25" t="inlineStr">
        <is>
          <t>1 minute(s) and 38 second(s)</t>
        </is>
      </c>
      <c r="J488" s="25">
        <f>IFERROR(VALUE(TRIM(LEFT(I488,FIND("minute",I488)-1)))*60,0)+IFERROR(VALUE(SUBSTITUTE(MID(I488,IFERROR(FIND("and",I488)+3,1),20),"second(s)","")),0)</f>
        <v/>
      </c>
      <c r="K488" s="41">
        <f>J488/60</f>
        <v/>
      </c>
      <c r="L488" s="41">
        <f>IFERROR(J488/H488,"")</f>
        <v/>
      </c>
      <c r="M488" s="25" t="inlineStr">
        <is>
          <t>2.5.12</t>
        </is>
      </c>
      <c r="N488" s="25">
        <f>IF(J488&gt;300,1,0)</f>
        <v/>
      </c>
      <c r="O488" s="25">
        <f>IF(J488&gt;600,1,0)</f>
        <v/>
      </c>
      <c r="P488" s="25">
        <f>IF(H488&gt;0,J488,"")</f>
        <v/>
      </c>
      <c r="Q488" s="25">
        <f>TEXT(A488,"YYYY-MM-DD HH")</f>
        <v/>
      </c>
      <c r="R488" s="25">
        <f>COUNTIF($Q$2:$Q$5295,Q488)</f>
        <v/>
      </c>
      <c r="S488" s="25">
        <f>IF(R488&lt;=2,"1-2",IF(R488&lt;=5,"3-5",IF(R488&lt;=10,"6-10","11+")))</f>
        <v/>
      </c>
    </row>
    <row r="489">
      <c r="A489" s="39" t="n">
        <v>46158.68575231481</v>
      </c>
      <c r="B489" s="25">
        <f>TEXT(A489,"YYYY-MM")</f>
        <v/>
      </c>
      <c r="C489" s="25">
        <f>TEXT(A489,"MMM-YYYY")</f>
        <v/>
      </c>
      <c r="D489" s="40">
        <f>INT(A489)-WEEKDAY(A489,2)+1</f>
        <v/>
      </c>
      <c r="E489" s="25" t="inlineStr">
        <is>
          <t>sswati</t>
        </is>
      </c>
      <c r="F489" s="25" t="n">
        <v>114736</v>
      </c>
      <c r="G489" s="25" t="n">
        <v>2</v>
      </c>
      <c r="H489" s="25" t="n">
        <v>8</v>
      </c>
      <c r="I489" s="25" t="inlineStr">
        <is>
          <t>3 minute(s) and 23 second(s)</t>
        </is>
      </c>
      <c r="J489" s="25">
        <f>IFERROR(VALUE(TRIM(LEFT(I489,FIND("minute",I489)-1)))*60,0)+IFERROR(VALUE(SUBSTITUTE(MID(I489,IFERROR(FIND("and",I489)+3,1),20),"second(s)","")),0)</f>
        <v/>
      </c>
      <c r="K489" s="41">
        <f>J489/60</f>
        <v/>
      </c>
      <c r="L489" s="41">
        <f>IFERROR(J489/H489,"")</f>
        <v/>
      </c>
      <c r="M489" s="25" t="inlineStr">
        <is>
          <t>2.5.12</t>
        </is>
      </c>
      <c r="N489" s="25">
        <f>IF(J489&gt;300,1,0)</f>
        <v/>
      </c>
      <c r="O489" s="25">
        <f>IF(J489&gt;600,1,0)</f>
        <v/>
      </c>
      <c r="P489" s="25">
        <f>IF(H489&gt;0,J489,"")</f>
        <v/>
      </c>
      <c r="Q489" s="25">
        <f>TEXT(A489,"YYYY-MM-DD HH")</f>
        <v/>
      </c>
      <c r="R489" s="25">
        <f>COUNTIF($Q$2:$Q$5295,Q489)</f>
        <v/>
      </c>
      <c r="S489" s="25">
        <f>IF(R489&lt;=2,"1-2",IF(R489&lt;=5,"3-5",IF(R489&lt;=10,"6-10","11+")))</f>
        <v/>
      </c>
    </row>
    <row r="490">
      <c r="A490" s="39" t="n">
        <v>46160.03377314815</v>
      </c>
      <c r="B490" s="25">
        <f>TEXT(A490,"YYYY-MM")</f>
        <v/>
      </c>
      <c r="C490" s="25">
        <f>TEXT(A490,"MMM-YYYY")</f>
        <v/>
      </c>
      <c r="D490" s="40">
        <f>INT(A490)-WEEKDAY(A490,2)+1</f>
        <v/>
      </c>
      <c r="E490" s="25" t="inlineStr">
        <is>
          <t>vreddy</t>
        </is>
      </c>
      <c r="F490" s="25" t="n">
        <v>93219</v>
      </c>
      <c r="G490" s="25" t="n">
        <v>1</v>
      </c>
      <c r="H490" s="25" t="n">
        <v>5</v>
      </c>
      <c r="I490" s="25" t="inlineStr">
        <is>
          <t>56 second(s)</t>
        </is>
      </c>
      <c r="J490" s="25">
        <f>IFERROR(VALUE(TRIM(LEFT(I490,FIND("minute",I490)-1)))*60,0)+IFERROR(VALUE(SUBSTITUTE(MID(I490,IFERROR(FIND("and",I490)+3,1),20),"second(s)","")),0)</f>
        <v/>
      </c>
      <c r="K490" s="41">
        <f>J490/60</f>
        <v/>
      </c>
      <c r="L490" s="41">
        <f>IFERROR(J490/H490,"")</f>
        <v/>
      </c>
      <c r="M490" s="25" t="inlineStr">
        <is>
          <t>2.5.12</t>
        </is>
      </c>
      <c r="N490" s="25">
        <f>IF(J490&gt;300,1,0)</f>
        <v/>
      </c>
      <c r="O490" s="25">
        <f>IF(J490&gt;600,1,0)</f>
        <v/>
      </c>
      <c r="P490" s="25">
        <f>IF(H490&gt;0,J490,"")</f>
        <v/>
      </c>
      <c r="Q490" s="25">
        <f>TEXT(A490,"YYYY-MM-DD HH")</f>
        <v/>
      </c>
      <c r="R490" s="25">
        <f>COUNTIF($Q$2:$Q$5295,Q490)</f>
        <v/>
      </c>
      <c r="S490" s="25">
        <f>IF(R490&lt;=2,"1-2",IF(R490&lt;=5,"3-5",IF(R490&lt;=10,"6-10","11+")))</f>
        <v/>
      </c>
    </row>
    <row r="491">
      <c r="A491" s="39" t="n">
        <v>46160.07167824074</v>
      </c>
      <c r="B491" s="25">
        <f>TEXT(A491,"YYYY-MM")</f>
        <v/>
      </c>
      <c r="C491" s="25">
        <f>TEXT(A491,"MMM-YYYY")</f>
        <v/>
      </c>
      <c r="D491" s="40">
        <f>INT(A491)-WEEKDAY(A491,2)+1</f>
        <v/>
      </c>
      <c r="E491" s="25" t="inlineStr">
        <is>
          <t>ns</t>
        </is>
      </c>
      <c r="F491" s="25" t="n">
        <v>95129</v>
      </c>
      <c r="G491" s="25" t="n">
        <v>3</v>
      </c>
      <c r="H491" s="25" t="n">
        <v>19</v>
      </c>
      <c r="I491" s="25" t="inlineStr">
        <is>
          <t>3 minute(s) and 44 second(s)</t>
        </is>
      </c>
      <c r="J491" s="25">
        <f>IFERROR(VALUE(TRIM(LEFT(I491,FIND("minute",I491)-1)))*60,0)+IFERROR(VALUE(SUBSTITUTE(MID(I491,IFERROR(FIND("and",I491)+3,1),20),"second(s)","")),0)</f>
        <v/>
      </c>
      <c r="K491" s="41">
        <f>J491/60</f>
        <v/>
      </c>
      <c r="L491" s="41">
        <f>IFERROR(J491/H491,"")</f>
        <v/>
      </c>
      <c r="M491" s="25" t="inlineStr">
        <is>
          <t>2.5.12</t>
        </is>
      </c>
      <c r="N491" s="25">
        <f>IF(J491&gt;300,1,0)</f>
        <v/>
      </c>
      <c r="O491" s="25">
        <f>IF(J491&gt;600,1,0)</f>
        <v/>
      </c>
      <c r="P491" s="25">
        <f>IF(H491&gt;0,J491,"")</f>
        <v/>
      </c>
      <c r="Q491" s="25">
        <f>TEXT(A491,"YYYY-MM-DD HH")</f>
        <v/>
      </c>
      <c r="R491" s="25">
        <f>COUNTIF($Q$2:$Q$5295,Q491)</f>
        <v/>
      </c>
      <c r="S491" s="25">
        <f>IF(R491&lt;=2,"1-2",IF(R491&lt;=5,"3-5",IF(R491&lt;=10,"6-10","11+")))</f>
        <v/>
      </c>
    </row>
    <row r="492">
      <c r="A492" s="39" t="n">
        <v>46160.08262731481</v>
      </c>
      <c r="B492" s="25">
        <f>TEXT(A492,"YYYY-MM")</f>
        <v/>
      </c>
      <c r="C492" s="25">
        <f>TEXT(A492,"MMM-YYYY")</f>
        <v/>
      </c>
      <c r="D492" s="40">
        <f>INT(A492)-WEEKDAY(A492,2)+1</f>
        <v/>
      </c>
      <c r="E492" s="25" t="inlineStr">
        <is>
          <t>psathwika</t>
        </is>
      </c>
      <c r="F492" s="25" t="n">
        <v>108740</v>
      </c>
      <c r="G492" s="25" t="n">
        <v>2</v>
      </c>
      <c r="H492" s="25" t="n">
        <v>13</v>
      </c>
      <c r="I492" s="25" t="inlineStr">
        <is>
          <t>3 minute(s) and 15 second(s)</t>
        </is>
      </c>
      <c r="J492" s="25">
        <f>IFERROR(VALUE(TRIM(LEFT(I492,FIND("minute",I492)-1)))*60,0)+IFERROR(VALUE(SUBSTITUTE(MID(I492,IFERROR(FIND("and",I492)+3,1),20),"second(s)","")),0)</f>
        <v/>
      </c>
      <c r="K492" s="41">
        <f>J492/60</f>
        <v/>
      </c>
      <c r="L492" s="41">
        <f>IFERROR(J492/H492,"")</f>
        <v/>
      </c>
      <c r="M492" s="25" t="inlineStr">
        <is>
          <t>2.5.12</t>
        </is>
      </c>
      <c r="N492" s="25">
        <f>IF(J492&gt;300,1,0)</f>
        <v/>
      </c>
      <c r="O492" s="25">
        <f>IF(J492&gt;600,1,0)</f>
        <v/>
      </c>
      <c r="P492" s="25">
        <f>IF(H492&gt;0,J492,"")</f>
        <v/>
      </c>
      <c r="Q492" s="25">
        <f>TEXT(A492,"YYYY-MM-DD HH")</f>
        <v/>
      </c>
      <c r="R492" s="25">
        <f>COUNTIF($Q$2:$Q$5295,Q492)</f>
        <v/>
      </c>
      <c r="S492" s="25">
        <f>IF(R492&lt;=2,"1-2",IF(R492&lt;=5,"3-5",IF(R492&lt;=10,"6-10","11+")))</f>
        <v/>
      </c>
    </row>
    <row r="493">
      <c r="A493" s="39" t="n">
        <v>46160.08434027778</v>
      </c>
      <c r="B493" s="25">
        <f>TEXT(A493,"YYYY-MM")</f>
        <v/>
      </c>
      <c r="C493" s="25">
        <f>TEXT(A493,"MMM-YYYY")</f>
        <v/>
      </c>
      <c r="D493" s="40">
        <f>INT(A493)-WEEKDAY(A493,2)+1</f>
        <v/>
      </c>
      <c r="E493" s="25" t="inlineStr">
        <is>
          <t>nbindu</t>
        </is>
      </c>
      <c r="F493" s="25" t="n">
        <v>116977</v>
      </c>
      <c r="G493" s="25" t="n">
        <v>2</v>
      </c>
      <c r="H493" s="25" t="n">
        <v>8</v>
      </c>
      <c r="I493" s="25" t="inlineStr">
        <is>
          <t>1 minute(s) and 21 second(s)</t>
        </is>
      </c>
      <c r="J493" s="25">
        <f>IFERROR(VALUE(TRIM(LEFT(I493,FIND("minute",I493)-1)))*60,0)+IFERROR(VALUE(SUBSTITUTE(MID(I493,IFERROR(FIND("and",I493)+3,1),20),"second(s)","")),0)</f>
        <v/>
      </c>
      <c r="K493" s="41">
        <f>J493/60</f>
        <v/>
      </c>
      <c r="L493" s="41">
        <f>IFERROR(J493/H493,"")</f>
        <v/>
      </c>
      <c r="M493" s="25" t="inlineStr">
        <is>
          <t>2.5.12</t>
        </is>
      </c>
      <c r="N493" s="25">
        <f>IF(J493&gt;300,1,0)</f>
        <v/>
      </c>
      <c r="O493" s="25">
        <f>IF(J493&gt;600,1,0)</f>
        <v/>
      </c>
      <c r="P493" s="25">
        <f>IF(H493&gt;0,J493,"")</f>
        <v/>
      </c>
      <c r="Q493" s="25">
        <f>TEXT(A493,"YYYY-MM-DD HH")</f>
        <v/>
      </c>
      <c r="R493" s="25">
        <f>COUNTIF($Q$2:$Q$5295,Q493)</f>
        <v/>
      </c>
      <c r="S493" s="25">
        <f>IF(R493&lt;=2,"1-2",IF(R493&lt;=5,"3-5",IF(R493&lt;=10,"6-10","11+")))</f>
        <v/>
      </c>
    </row>
    <row r="494">
      <c r="A494" s="39" t="n">
        <v>46160.085</v>
      </c>
      <c r="B494" s="25">
        <f>TEXT(A494,"YYYY-MM")</f>
        <v/>
      </c>
      <c r="C494" s="25">
        <f>TEXT(A494,"MMM-YYYY")</f>
        <v/>
      </c>
      <c r="D494" s="40">
        <f>INT(A494)-WEEKDAY(A494,2)+1</f>
        <v/>
      </c>
      <c r="E494" s="25" t="inlineStr">
        <is>
          <t>abhaskarkp</t>
        </is>
      </c>
      <c r="F494" s="25" t="n">
        <v>116078</v>
      </c>
      <c r="G494" s="25" t="n">
        <v>5</v>
      </c>
      <c r="H494" s="25" t="n">
        <v>17</v>
      </c>
      <c r="I494" s="25" t="inlineStr">
        <is>
          <t>4 minute(s) and 37 second(s)</t>
        </is>
      </c>
      <c r="J494" s="25">
        <f>IFERROR(VALUE(TRIM(LEFT(I494,FIND("minute",I494)-1)))*60,0)+IFERROR(VALUE(SUBSTITUTE(MID(I494,IFERROR(FIND("and",I494)+3,1),20),"second(s)","")),0)</f>
        <v/>
      </c>
      <c r="K494" s="41">
        <f>J494/60</f>
        <v/>
      </c>
      <c r="L494" s="41">
        <f>IFERROR(J494/H494,"")</f>
        <v/>
      </c>
      <c r="M494" s="25" t="inlineStr">
        <is>
          <t>2.5.12</t>
        </is>
      </c>
      <c r="N494" s="25">
        <f>IF(J494&gt;300,1,0)</f>
        <v/>
      </c>
      <c r="O494" s="25">
        <f>IF(J494&gt;600,1,0)</f>
        <v/>
      </c>
      <c r="P494" s="25">
        <f>IF(H494&gt;0,J494,"")</f>
        <v/>
      </c>
      <c r="Q494" s="25">
        <f>TEXT(A494,"YYYY-MM-DD HH")</f>
        <v/>
      </c>
      <c r="R494" s="25">
        <f>COUNTIF($Q$2:$Q$5295,Q494)</f>
        <v/>
      </c>
      <c r="S494" s="25">
        <f>IF(R494&lt;=2,"1-2",IF(R494&lt;=5,"3-5",IF(R494&lt;=10,"6-10","11+")))</f>
        <v/>
      </c>
    </row>
    <row r="495">
      <c r="A495" s="39" t="n">
        <v>46160.09278935185</v>
      </c>
      <c r="B495" s="25">
        <f>TEXT(A495,"YYYY-MM")</f>
        <v/>
      </c>
      <c r="C495" s="25">
        <f>TEXT(A495,"MMM-YYYY")</f>
        <v/>
      </c>
      <c r="D495" s="40">
        <f>INT(A495)-WEEKDAY(A495,2)+1</f>
        <v/>
      </c>
      <c r="E495" s="25" t="inlineStr">
        <is>
          <t>ptomar</t>
        </is>
      </c>
      <c r="F495" s="25" t="n">
        <v>71532</v>
      </c>
      <c r="G495" s="25" t="n">
        <v>2</v>
      </c>
      <c r="H495" s="25" t="n">
        <v>8</v>
      </c>
      <c r="I495" s="25" t="inlineStr">
        <is>
          <t>1 minute(s) and 18 second(s)</t>
        </is>
      </c>
      <c r="J495" s="25">
        <f>IFERROR(VALUE(TRIM(LEFT(I495,FIND("minute",I495)-1)))*60,0)+IFERROR(VALUE(SUBSTITUTE(MID(I495,IFERROR(FIND("and",I495)+3,1),20),"second(s)","")),0)</f>
        <v/>
      </c>
      <c r="K495" s="41">
        <f>J495/60</f>
        <v/>
      </c>
      <c r="L495" s="41">
        <f>IFERROR(J495/H495,"")</f>
        <v/>
      </c>
      <c r="M495" s="25" t="inlineStr">
        <is>
          <t>2.5.12</t>
        </is>
      </c>
      <c r="N495" s="25">
        <f>IF(J495&gt;300,1,0)</f>
        <v/>
      </c>
      <c r="O495" s="25">
        <f>IF(J495&gt;600,1,0)</f>
        <v/>
      </c>
      <c r="P495" s="25">
        <f>IF(H495&gt;0,J495,"")</f>
        <v/>
      </c>
      <c r="Q495" s="25">
        <f>TEXT(A495,"YYYY-MM-DD HH")</f>
        <v/>
      </c>
      <c r="R495" s="25">
        <f>COUNTIF($Q$2:$Q$5295,Q495)</f>
        <v/>
      </c>
      <c r="S495" s="25">
        <f>IF(R495&lt;=2,"1-2",IF(R495&lt;=5,"3-5",IF(R495&lt;=10,"6-10","11+")))</f>
        <v/>
      </c>
    </row>
    <row r="496">
      <c r="A496" s="39" t="n">
        <v>46160.11697916667</v>
      </c>
      <c r="B496" s="25">
        <f>TEXT(A496,"YYYY-MM")</f>
        <v/>
      </c>
      <c r="C496" s="25">
        <f>TEXT(A496,"MMM-YYYY")</f>
        <v/>
      </c>
      <c r="D496" s="40">
        <f>INT(A496)-WEEKDAY(A496,2)+1</f>
        <v/>
      </c>
      <c r="E496" s="25" t="inlineStr">
        <is>
          <t>vreddy</t>
        </is>
      </c>
      <c r="F496" s="25" t="n">
        <v>104322</v>
      </c>
      <c r="G496" s="25" t="n">
        <v>1</v>
      </c>
      <c r="H496" s="25" t="n">
        <v>5</v>
      </c>
      <c r="I496" s="25" t="inlineStr">
        <is>
          <t>1 minute(s) and 24 second(s)</t>
        </is>
      </c>
      <c r="J496" s="25">
        <f>IFERROR(VALUE(TRIM(LEFT(I496,FIND("minute",I496)-1)))*60,0)+IFERROR(VALUE(SUBSTITUTE(MID(I496,IFERROR(FIND("and",I496)+3,1),20),"second(s)","")),0)</f>
        <v/>
      </c>
      <c r="K496" s="41">
        <f>J496/60</f>
        <v/>
      </c>
      <c r="L496" s="41">
        <f>IFERROR(J496/H496,"")</f>
        <v/>
      </c>
      <c r="M496" s="25" t="inlineStr">
        <is>
          <t>2.5.12</t>
        </is>
      </c>
      <c r="N496" s="25">
        <f>IF(J496&gt;300,1,0)</f>
        <v/>
      </c>
      <c r="O496" s="25">
        <f>IF(J496&gt;600,1,0)</f>
        <v/>
      </c>
      <c r="P496" s="25">
        <f>IF(H496&gt;0,J496,"")</f>
        <v/>
      </c>
      <c r="Q496" s="25">
        <f>TEXT(A496,"YYYY-MM-DD HH")</f>
        <v/>
      </c>
      <c r="R496" s="25">
        <f>COUNTIF($Q$2:$Q$5295,Q496)</f>
        <v/>
      </c>
      <c r="S496" s="25">
        <f>IF(R496&lt;=2,"1-2",IF(R496&lt;=5,"3-5",IF(R496&lt;=10,"6-10","11+")))</f>
        <v/>
      </c>
    </row>
    <row r="497">
      <c r="A497" s="39" t="n">
        <v>46160.11945601852</v>
      </c>
      <c r="B497" s="25">
        <f>TEXT(A497,"YYYY-MM")</f>
        <v/>
      </c>
      <c r="C497" s="25">
        <f>TEXT(A497,"MMM-YYYY")</f>
        <v/>
      </c>
      <c r="D497" s="40">
        <f>INT(A497)-WEEKDAY(A497,2)+1</f>
        <v/>
      </c>
      <c r="E497" s="25" t="inlineStr">
        <is>
          <t>asahoo</t>
        </is>
      </c>
      <c r="F497" s="25" t="n">
        <v>108169</v>
      </c>
      <c r="G497" s="25" t="n">
        <v>1</v>
      </c>
      <c r="H497" s="25" t="n">
        <v>5</v>
      </c>
      <c r="I497" s="25" t="inlineStr">
        <is>
          <t>1 minute(s) and 51 second(s)</t>
        </is>
      </c>
      <c r="J497" s="25">
        <f>IFERROR(VALUE(TRIM(LEFT(I497,FIND("minute",I497)-1)))*60,0)+IFERROR(VALUE(SUBSTITUTE(MID(I497,IFERROR(FIND("and",I497)+3,1),20),"second(s)","")),0)</f>
        <v/>
      </c>
      <c r="K497" s="41">
        <f>J497/60</f>
        <v/>
      </c>
      <c r="L497" s="41">
        <f>IFERROR(J497/H497,"")</f>
        <v/>
      </c>
      <c r="M497" s="25" t="inlineStr">
        <is>
          <t>2.5.12</t>
        </is>
      </c>
      <c r="N497" s="25">
        <f>IF(J497&gt;300,1,0)</f>
        <v/>
      </c>
      <c r="O497" s="25">
        <f>IF(J497&gt;600,1,0)</f>
        <v/>
      </c>
      <c r="P497" s="25">
        <f>IF(H497&gt;0,J497,"")</f>
        <v/>
      </c>
      <c r="Q497" s="25">
        <f>TEXT(A497,"YYYY-MM-DD HH")</f>
        <v/>
      </c>
      <c r="R497" s="25">
        <f>COUNTIF($Q$2:$Q$5295,Q497)</f>
        <v/>
      </c>
      <c r="S497" s="25">
        <f>IF(R497&lt;=2,"1-2",IF(R497&lt;=5,"3-5",IF(R497&lt;=10,"6-10","11+")))</f>
        <v/>
      </c>
    </row>
    <row r="498">
      <c r="A498" s="39" t="n">
        <v>46160.12396990741</v>
      </c>
      <c r="B498" s="25">
        <f>TEXT(A498,"YYYY-MM")</f>
        <v/>
      </c>
      <c r="C498" s="25">
        <f>TEXT(A498,"MMM-YYYY")</f>
        <v/>
      </c>
      <c r="D498" s="40">
        <f>INT(A498)-WEEKDAY(A498,2)+1</f>
        <v/>
      </c>
      <c r="E498" s="25" t="inlineStr">
        <is>
          <t>vreddy</t>
        </is>
      </c>
      <c r="F498" s="25" t="n">
        <v>49803</v>
      </c>
      <c r="G498" s="25" t="n">
        <v>1</v>
      </c>
      <c r="H498" s="25" t="n">
        <v>5</v>
      </c>
      <c r="I498" s="25" t="inlineStr">
        <is>
          <t>1 minute(s) and 4 second(s)</t>
        </is>
      </c>
      <c r="J498" s="25">
        <f>IFERROR(VALUE(TRIM(LEFT(I498,FIND("minute",I498)-1)))*60,0)+IFERROR(VALUE(SUBSTITUTE(MID(I498,IFERROR(FIND("and",I498)+3,1),20),"second(s)","")),0)</f>
        <v/>
      </c>
      <c r="K498" s="41">
        <f>J498/60</f>
        <v/>
      </c>
      <c r="L498" s="41">
        <f>IFERROR(J498/H498,"")</f>
        <v/>
      </c>
      <c r="M498" s="25" t="inlineStr">
        <is>
          <t>2.5.12</t>
        </is>
      </c>
      <c r="N498" s="25">
        <f>IF(J498&gt;300,1,0)</f>
        <v/>
      </c>
      <c r="O498" s="25">
        <f>IF(J498&gt;600,1,0)</f>
        <v/>
      </c>
      <c r="P498" s="25">
        <f>IF(H498&gt;0,J498,"")</f>
        <v/>
      </c>
      <c r="Q498" s="25">
        <f>TEXT(A498,"YYYY-MM-DD HH")</f>
        <v/>
      </c>
      <c r="R498" s="25">
        <f>COUNTIF($Q$2:$Q$5295,Q498)</f>
        <v/>
      </c>
      <c r="S498" s="25">
        <f>IF(R498&lt;=2,"1-2",IF(R498&lt;=5,"3-5",IF(R498&lt;=10,"6-10","11+")))</f>
        <v/>
      </c>
    </row>
    <row r="499">
      <c r="A499" s="39" t="n">
        <v>46160.12730324074</v>
      </c>
      <c r="B499" s="25">
        <f>TEXT(A499,"YYYY-MM")</f>
        <v/>
      </c>
      <c r="C499" s="25">
        <f>TEXT(A499,"MMM-YYYY")</f>
        <v/>
      </c>
      <c r="D499" s="40">
        <f>INT(A499)-WEEKDAY(A499,2)+1</f>
        <v/>
      </c>
      <c r="E499" s="25" t="inlineStr">
        <is>
          <t>atiwari</t>
        </is>
      </c>
      <c r="F499" s="25" t="n">
        <v>93036</v>
      </c>
      <c r="G499" s="25" t="n">
        <v>4</v>
      </c>
      <c r="H499" s="25" t="n">
        <v>22</v>
      </c>
      <c r="I499" s="25" t="inlineStr">
        <is>
          <t>6 minute(s) and 47 second(s)</t>
        </is>
      </c>
      <c r="J499" s="25">
        <f>IFERROR(VALUE(TRIM(LEFT(I499,FIND("minute",I499)-1)))*60,0)+IFERROR(VALUE(SUBSTITUTE(MID(I499,IFERROR(FIND("and",I499)+3,1),20),"second(s)","")),0)</f>
        <v/>
      </c>
      <c r="K499" s="41">
        <f>J499/60</f>
        <v/>
      </c>
      <c r="L499" s="41">
        <f>IFERROR(J499/H499,"")</f>
        <v/>
      </c>
      <c r="M499" s="25" t="inlineStr">
        <is>
          <t>2.5.12</t>
        </is>
      </c>
      <c r="N499" s="25">
        <f>IF(J499&gt;300,1,0)</f>
        <v/>
      </c>
      <c r="O499" s="25">
        <f>IF(J499&gt;600,1,0)</f>
        <v/>
      </c>
      <c r="P499" s="25">
        <f>IF(H499&gt;0,J499,"")</f>
        <v/>
      </c>
      <c r="Q499" s="25">
        <f>TEXT(A499,"YYYY-MM-DD HH")</f>
        <v/>
      </c>
      <c r="R499" s="25">
        <f>COUNTIF($Q$2:$Q$5295,Q499)</f>
        <v/>
      </c>
      <c r="S499" s="25">
        <f>IF(R499&lt;=2,"1-2",IF(R499&lt;=5,"3-5",IF(R499&lt;=10,"6-10","11+")))</f>
        <v/>
      </c>
    </row>
    <row r="500">
      <c r="A500" s="39" t="n">
        <v>46160.12744212963</v>
      </c>
      <c r="B500" s="25">
        <f>TEXT(A500,"YYYY-MM")</f>
        <v/>
      </c>
      <c r="C500" s="25">
        <f>TEXT(A500,"MMM-YYYY")</f>
        <v/>
      </c>
      <c r="D500" s="40">
        <f>INT(A500)-WEEKDAY(A500,2)+1</f>
        <v/>
      </c>
      <c r="E500" s="25" t="inlineStr">
        <is>
          <t>vraina</t>
        </is>
      </c>
      <c r="F500" s="25" t="n">
        <v>105955</v>
      </c>
      <c r="G500" s="25" t="n">
        <v>2</v>
      </c>
      <c r="H500" s="25" t="n">
        <v>10</v>
      </c>
      <c r="I500" s="25" t="inlineStr">
        <is>
          <t>4 minute(s) and 8 second(s)</t>
        </is>
      </c>
      <c r="J500" s="25">
        <f>IFERROR(VALUE(TRIM(LEFT(I500,FIND("minute",I500)-1)))*60,0)+IFERROR(VALUE(SUBSTITUTE(MID(I500,IFERROR(FIND("and",I500)+3,1),20),"second(s)","")),0)</f>
        <v/>
      </c>
      <c r="K500" s="41">
        <f>J500/60</f>
        <v/>
      </c>
      <c r="L500" s="41">
        <f>IFERROR(J500/H500,"")</f>
        <v/>
      </c>
      <c r="M500" s="25" t="inlineStr">
        <is>
          <t>2.5.12</t>
        </is>
      </c>
      <c r="N500" s="25">
        <f>IF(J500&gt;300,1,0)</f>
        <v/>
      </c>
      <c r="O500" s="25">
        <f>IF(J500&gt;600,1,0)</f>
        <v/>
      </c>
      <c r="P500" s="25">
        <f>IF(H500&gt;0,J500,"")</f>
        <v/>
      </c>
      <c r="Q500" s="25">
        <f>TEXT(A500,"YYYY-MM-DD HH")</f>
        <v/>
      </c>
      <c r="R500" s="25">
        <f>COUNTIF($Q$2:$Q$5295,Q500)</f>
        <v/>
      </c>
      <c r="S500" s="25">
        <f>IF(R500&lt;=2,"1-2",IF(R500&lt;=5,"3-5",IF(R500&lt;=10,"6-10","11+")))</f>
        <v/>
      </c>
    </row>
    <row r="501">
      <c r="A501" s="39" t="n">
        <v>46160.13209490741</v>
      </c>
      <c r="B501" s="25">
        <f>TEXT(A501,"YYYY-MM")</f>
        <v/>
      </c>
      <c r="C501" s="25">
        <f>TEXT(A501,"MMM-YYYY")</f>
        <v/>
      </c>
      <c r="D501" s="40">
        <f>INT(A501)-WEEKDAY(A501,2)+1</f>
        <v/>
      </c>
      <c r="E501" s="25" t="inlineStr">
        <is>
          <t>ptomar</t>
        </is>
      </c>
      <c r="F501" s="25" t="n">
        <v>69460</v>
      </c>
      <c r="G501" s="25" t="n">
        <v>2</v>
      </c>
      <c r="H501" s="25" t="n">
        <v>14</v>
      </c>
      <c r="I501" s="25" t="inlineStr">
        <is>
          <t>2 minute(s) and 3 second(s)</t>
        </is>
      </c>
      <c r="J501" s="25">
        <f>IFERROR(VALUE(TRIM(LEFT(I501,FIND("minute",I501)-1)))*60,0)+IFERROR(VALUE(SUBSTITUTE(MID(I501,IFERROR(FIND("and",I501)+3,1),20),"second(s)","")),0)</f>
        <v/>
      </c>
      <c r="K501" s="41">
        <f>J501/60</f>
        <v/>
      </c>
      <c r="L501" s="41">
        <f>IFERROR(J501/H501,"")</f>
        <v/>
      </c>
      <c r="M501" s="25" t="inlineStr">
        <is>
          <t>2.5.12</t>
        </is>
      </c>
      <c r="N501" s="25">
        <f>IF(J501&gt;300,1,0)</f>
        <v/>
      </c>
      <c r="O501" s="25">
        <f>IF(J501&gt;600,1,0)</f>
        <v/>
      </c>
      <c r="P501" s="25">
        <f>IF(H501&gt;0,J501,"")</f>
        <v/>
      </c>
      <c r="Q501" s="25">
        <f>TEXT(A501,"YYYY-MM-DD HH")</f>
        <v/>
      </c>
      <c r="R501" s="25">
        <f>COUNTIF($Q$2:$Q$5295,Q501)</f>
        <v/>
      </c>
      <c r="S501" s="25">
        <f>IF(R501&lt;=2,"1-2",IF(R501&lt;=5,"3-5",IF(R501&lt;=10,"6-10","11+")))</f>
        <v/>
      </c>
    </row>
    <row r="502">
      <c r="A502" s="39" t="n">
        <v>46160.13715277778</v>
      </c>
      <c r="B502" s="25">
        <f>TEXT(A502,"YYYY-MM")</f>
        <v/>
      </c>
      <c r="C502" s="25">
        <f>TEXT(A502,"MMM-YYYY")</f>
        <v/>
      </c>
      <c r="D502" s="40">
        <f>INT(A502)-WEEKDAY(A502,2)+1</f>
        <v/>
      </c>
      <c r="E502" s="25" t="inlineStr">
        <is>
          <t>mgupta</t>
        </is>
      </c>
      <c r="F502" s="25" t="n">
        <v>115313</v>
      </c>
      <c r="G502" s="25" t="n">
        <v>2</v>
      </c>
      <c r="H502" s="25" t="n">
        <v>10</v>
      </c>
      <c r="I502" s="25" t="inlineStr">
        <is>
          <t>1 minute(s) and 34 second(s)</t>
        </is>
      </c>
      <c r="J502" s="25">
        <f>IFERROR(VALUE(TRIM(LEFT(I502,FIND("minute",I502)-1)))*60,0)+IFERROR(VALUE(SUBSTITUTE(MID(I502,IFERROR(FIND("and",I502)+3,1),20),"second(s)","")),0)</f>
        <v/>
      </c>
      <c r="K502" s="41">
        <f>J502/60</f>
        <v/>
      </c>
      <c r="L502" s="41">
        <f>IFERROR(J502/H502,"")</f>
        <v/>
      </c>
      <c r="M502" s="25" t="inlineStr">
        <is>
          <t>2.5.12</t>
        </is>
      </c>
      <c r="N502" s="25">
        <f>IF(J502&gt;300,1,0)</f>
        <v/>
      </c>
      <c r="O502" s="25">
        <f>IF(J502&gt;600,1,0)</f>
        <v/>
      </c>
      <c r="P502" s="25">
        <f>IF(H502&gt;0,J502,"")</f>
        <v/>
      </c>
      <c r="Q502" s="25">
        <f>TEXT(A502,"YYYY-MM-DD HH")</f>
        <v/>
      </c>
      <c r="R502" s="25">
        <f>COUNTIF($Q$2:$Q$5295,Q502)</f>
        <v/>
      </c>
      <c r="S502" s="25">
        <f>IF(R502&lt;=2,"1-2",IF(R502&lt;=5,"3-5",IF(R502&lt;=10,"6-10","11+")))</f>
        <v/>
      </c>
    </row>
    <row r="503">
      <c r="A503" s="39" t="n">
        <v>46160.13909722222</v>
      </c>
      <c r="B503" s="25">
        <f>TEXT(A503,"YYYY-MM")</f>
        <v/>
      </c>
      <c r="C503" s="25">
        <f>TEXT(A503,"MMM-YYYY")</f>
        <v/>
      </c>
      <c r="D503" s="40">
        <f>INT(A503)-WEEKDAY(A503,2)+1</f>
        <v/>
      </c>
      <c r="E503" s="25" t="inlineStr">
        <is>
          <t>apriyadarshi</t>
        </is>
      </c>
      <c r="F503" s="25" t="n">
        <v>113903</v>
      </c>
      <c r="G503" s="25" t="n">
        <v>5</v>
      </c>
      <c r="H503" s="25" t="n">
        <v>25</v>
      </c>
      <c r="I503" s="25" t="inlineStr">
        <is>
          <t>4 minute(s) and 30 second(s)</t>
        </is>
      </c>
      <c r="J503" s="25">
        <f>IFERROR(VALUE(TRIM(LEFT(I503,FIND("minute",I503)-1)))*60,0)+IFERROR(VALUE(SUBSTITUTE(MID(I503,IFERROR(FIND("and",I503)+3,1),20),"second(s)","")),0)</f>
        <v/>
      </c>
      <c r="K503" s="41">
        <f>J503/60</f>
        <v/>
      </c>
      <c r="L503" s="41">
        <f>IFERROR(J503/H503,"")</f>
        <v/>
      </c>
      <c r="M503" s="25" t="inlineStr">
        <is>
          <t>2.5.12</t>
        </is>
      </c>
      <c r="N503" s="25">
        <f>IF(J503&gt;300,1,0)</f>
        <v/>
      </c>
      <c r="O503" s="25">
        <f>IF(J503&gt;600,1,0)</f>
        <v/>
      </c>
      <c r="P503" s="25">
        <f>IF(H503&gt;0,J503,"")</f>
        <v/>
      </c>
      <c r="Q503" s="25">
        <f>TEXT(A503,"YYYY-MM-DD HH")</f>
        <v/>
      </c>
      <c r="R503" s="25">
        <f>COUNTIF($Q$2:$Q$5295,Q503)</f>
        <v/>
      </c>
      <c r="S503" s="25">
        <f>IF(R503&lt;=2,"1-2",IF(R503&lt;=5,"3-5",IF(R503&lt;=10,"6-10","11+")))</f>
        <v/>
      </c>
    </row>
    <row r="504">
      <c r="A504" s="39" t="n">
        <v>46160.14671296296</v>
      </c>
      <c r="B504" s="25">
        <f>TEXT(A504,"YYYY-MM")</f>
        <v/>
      </c>
      <c r="C504" s="25">
        <f>TEXT(A504,"MMM-YYYY")</f>
        <v/>
      </c>
      <c r="D504" s="40">
        <f>INT(A504)-WEEKDAY(A504,2)+1</f>
        <v/>
      </c>
      <c r="E504" s="25" t="inlineStr">
        <is>
          <t>smukhopadhyay</t>
        </is>
      </c>
      <c r="F504" s="25" t="n">
        <v>42158</v>
      </c>
      <c r="G504" s="25" t="n">
        <v>1</v>
      </c>
      <c r="H504" s="25" t="n">
        <v>7</v>
      </c>
      <c r="I504" s="25" t="inlineStr">
        <is>
          <t>1 minute(s) and 13 second(s)</t>
        </is>
      </c>
      <c r="J504" s="25">
        <f>IFERROR(VALUE(TRIM(LEFT(I504,FIND("minute",I504)-1)))*60,0)+IFERROR(VALUE(SUBSTITUTE(MID(I504,IFERROR(FIND("and",I504)+3,1),20),"second(s)","")),0)</f>
        <v/>
      </c>
      <c r="K504" s="41">
        <f>J504/60</f>
        <v/>
      </c>
      <c r="L504" s="41">
        <f>IFERROR(J504/H504,"")</f>
        <v/>
      </c>
      <c r="M504" s="25" t="inlineStr">
        <is>
          <t>2.5.12</t>
        </is>
      </c>
      <c r="N504" s="25">
        <f>IF(J504&gt;300,1,0)</f>
        <v/>
      </c>
      <c r="O504" s="25">
        <f>IF(J504&gt;600,1,0)</f>
        <v/>
      </c>
      <c r="P504" s="25">
        <f>IF(H504&gt;0,J504,"")</f>
        <v/>
      </c>
      <c r="Q504" s="25">
        <f>TEXT(A504,"YYYY-MM-DD HH")</f>
        <v/>
      </c>
      <c r="R504" s="25">
        <f>COUNTIF($Q$2:$Q$5295,Q504)</f>
        <v/>
      </c>
      <c r="S504" s="25">
        <f>IF(R504&lt;=2,"1-2",IF(R504&lt;=5,"3-5",IF(R504&lt;=10,"6-10","11+")))</f>
        <v/>
      </c>
    </row>
    <row r="505">
      <c r="A505" s="39" t="n">
        <v>46160.14730324074</v>
      </c>
      <c r="B505" s="25">
        <f>TEXT(A505,"YYYY-MM")</f>
        <v/>
      </c>
      <c r="C505" s="25">
        <f>TEXT(A505,"MMM-YYYY")</f>
        <v/>
      </c>
      <c r="D505" s="40">
        <f>INT(A505)-WEEKDAY(A505,2)+1</f>
        <v/>
      </c>
      <c r="E505" s="25" t="inlineStr">
        <is>
          <t>psathwika</t>
        </is>
      </c>
      <c r="F505" s="25" t="n">
        <v>56059</v>
      </c>
      <c r="G505" s="25" t="n">
        <v>5</v>
      </c>
      <c r="H505" s="25" t="n">
        <v>27</v>
      </c>
      <c r="I505" s="25" t="inlineStr">
        <is>
          <t>8 minute(s) and 37 second(s)</t>
        </is>
      </c>
      <c r="J505" s="25">
        <f>IFERROR(VALUE(TRIM(LEFT(I505,FIND("minute",I505)-1)))*60,0)+IFERROR(VALUE(SUBSTITUTE(MID(I505,IFERROR(FIND("and",I505)+3,1),20),"second(s)","")),0)</f>
        <v/>
      </c>
      <c r="K505" s="41">
        <f>J505/60</f>
        <v/>
      </c>
      <c r="L505" s="41">
        <f>IFERROR(J505/H505,"")</f>
        <v/>
      </c>
      <c r="M505" s="25" t="inlineStr">
        <is>
          <t>2.5.12</t>
        </is>
      </c>
      <c r="N505" s="25">
        <f>IF(J505&gt;300,1,0)</f>
        <v/>
      </c>
      <c r="O505" s="25">
        <f>IF(J505&gt;600,1,0)</f>
        <v/>
      </c>
      <c r="P505" s="25">
        <f>IF(H505&gt;0,J505,"")</f>
        <v/>
      </c>
      <c r="Q505" s="25">
        <f>TEXT(A505,"YYYY-MM-DD HH")</f>
        <v/>
      </c>
      <c r="R505" s="25">
        <f>COUNTIF($Q$2:$Q$5295,Q505)</f>
        <v/>
      </c>
      <c r="S505" s="25">
        <f>IF(R505&lt;=2,"1-2",IF(R505&lt;=5,"3-5",IF(R505&lt;=10,"6-10","11+")))</f>
        <v/>
      </c>
    </row>
    <row r="506">
      <c r="A506" s="39" t="n">
        <v>46160.14957175926</v>
      </c>
      <c r="B506" s="25">
        <f>TEXT(A506,"YYYY-MM")</f>
        <v/>
      </c>
      <c r="C506" s="25">
        <f>TEXT(A506,"MMM-YYYY")</f>
        <v/>
      </c>
      <c r="D506" s="40">
        <f>INT(A506)-WEEKDAY(A506,2)+1</f>
        <v/>
      </c>
      <c r="E506" s="25" t="inlineStr">
        <is>
          <t>shassan</t>
        </is>
      </c>
      <c r="F506" s="25" t="n">
        <v>105497</v>
      </c>
      <c r="G506" s="25" t="n">
        <v>5</v>
      </c>
      <c r="H506" s="25" t="n">
        <v>31</v>
      </c>
      <c r="I506" s="25" t="inlineStr">
        <is>
          <t>7 minute(s) and 49 second(s)</t>
        </is>
      </c>
      <c r="J506" s="25">
        <f>IFERROR(VALUE(TRIM(LEFT(I506,FIND("minute",I506)-1)))*60,0)+IFERROR(VALUE(SUBSTITUTE(MID(I506,IFERROR(FIND("and",I506)+3,1),20),"second(s)","")),0)</f>
        <v/>
      </c>
      <c r="K506" s="41">
        <f>J506/60</f>
        <v/>
      </c>
      <c r="L506" s="41">
        <f>IFERROR(J506/H506,"")</f>
        <v/>
      </c>
      <c r="M506" s="25" t="inlineStr">
        <is>
          <t>2.5.12</t>
        </is>
      </c>
      <c r="N506" s="25">
        <f>IF(J506&gt;300,1,0)</f>
        <v/>
      </c>
      <c r="O506" s="25">
        <f>IF(J506&gt;600,1,0)</f>
        <v/>
      </c>
      <c r="P506" s="25">
        <f>IF(H506&gt;0,J506,"")</f>
        <v/>
      </c>
      <c r="Q506" s="25">
        <f>TEXT(A506,"YYYY-MM-DD HH")</f>
        <v/>
      </c>
      <c r="R506" s="25">
        <f>COUNTIF($Q$2:$Q$5295,Q506)</f>
        <v/>
      </c>
      <c r="S506" s="25">
        <f>IF(R506&lt;=2,"1-2",IF(R506&lt;=5,"3-5",IF(R506&lt;=10,"6-10","11+")))</f>
        <v/>
      </c>
    </row>
    <row r="507">
      <c r="A507" s="39" t="n">
        <v>46160.15103009259</v>
      </c>
      <c r="B507" s="25">
        <f>TEXT(A507,"YYYY-MM")</f>
        <v/>
      </c>
      <c r="C507" s="25">
        <f>TEXT(A507,"MMM-YYYY")</f>
        <v/>
      </c>
      <c r="D507" s="40">
        <f>INT(A507)-WEEKDAY(A507,2)+1</f>
        <v/>
      </c>
      <c r="E507" s="25" t="inlineStr">
        <is>
          <t>npriya</t>
        </is>
      </c>
      <c r="F507" s="25" t="n">
        <v>80947</v>
      </c>
      <c r="G507" s="25" t="n">
        <v>3</v>
      </c>
      <c r="H507" s="25" t="n">
        <v>12</v>
      </c>
      <c r="I507" s="25" t="inlineStr">
        <is>
          <t>3 minute(s) and 43 second(s)</t>
        </is>
      </c>
      <c r="J507" s="25">
        <f>IFERROR(VALUE(TRIM(LEFT(I507,FIND("minute",I507)-1)))*60,0)+IFERROR(VALUE(SUBSTITUTE(MID(I507,IFERROR(FIND("and",I507)+3,1),20),"second(s)","")),0)</f>
        <v/>
      </c>
      <c r="K507" s="41">
        <f>J507/60</f>
        <v/>
      </c>
      <c r="L507" s="41">
        <f>IFERROR(J507/H507,"")</f>
        <v/>
      </c>
      <c r="M507" s="25" t="inlineStr">
        <is>
          <t>2.5.12</t>
        </is>
      </c>
      <c r="N507" s="25">
        <f>IF(J507&gt;300,1,0)</f>
        <v/>
      </c>
      <c r="O507" s="25">
        <f>IF(J507&gt;600,1,0)</f>
        <v/>
      </c>
      <c r="P507" s="25">
        <f>IF(H507&gt;0,J507,"")</f>
        <v/>
      </c>
      <c r="Q507" s="25">
        <f>TEXT(A507,"YYYY-MM-DD HH")</f>
        <v/>
      </c>
      <c r="R507" s="25">
        <f>COUNTIF($Q$2:$Q$5295,Q507)</f>
        <v/>
      </c>
      <c r="S507" s="25">
        <f>IF(R507&lt;=2,"1-2",IF(R507&lt;=5,"3-5",IF(R507&lt;=10,"6-10","11+")))</f>
        <v/>
      </c>
    </row>
    <row r="508">
      <c r="A508" s="39" t="n">
        <v>46160.16003472222</v>
      </c>
      <c r="B508" s="25">
        <f>TEXT(A508,"YYYY-MM")</f>
        <v/>
      </c>
      <c r="C508" s="25">
        <f>TEXT(A508,"MMM-YYYY")</f>
        <v/>
      </c>
      <c r="D508" s="40">
        <f>INT(A508)-WEEKDAY(A508,2)+1</f>
        <v/>
      </c>
      <c r="E508" s="25" t="inlineStr">
        <is>
          <t>hsindwani</t>
        </is>
      </c>
      <c r="F508" s="25" t="n">
        <v>113352</v>
      </c>
      <c r="G508" s="25" t="n">
        <v>5</v>
      </c>
      <c r="H508" s="25" t="n">
        <v>33</v>
      </c>
      <c r="I508" s="25" t="inlineStr">
        <is>
          <t>16 minute(s) and 9 second(s)</t>
        </is>
      </c>
      <c r="J508" s="25">
        <f>IFERROR(VALUE(TRIM(LEFT(I508,FIND("minute",I508)-1)))*60,0)+IFERROR(VALUE(SUBSTITUTE(MID(I508,IFERROR(FIND("and",I508)+3,1),20),"second(s)","")),0)</f>
        <v/>
      </c>
      <c r="K508" s="41">
        <f>J508/60</f>
        <v/>
      </c>
      <c r="L508" s="41">
        <f>IFERROR(J508/H508,"")</f>
        <v/>
      </c>
      <c r="M508" s="25" t="inlineStr">
        <is>
          <t>2.5.12</t>
        </is>
      </c>
      <c r="N508" s="25">
        <f>IF(J508&gt;300,1,0)</f>
        <v/>
      </c>
      <c r="O508" s="25">
        <f>IF(J508&gt;600,1,0)</f>
        <v/>
      </c>
      <c r="P508" s="25">
        <f>IF(H508&gt;0,J508,"")</f>
        <v/>
      </c>
      <c r="Q508" s="25">
        <f>TEXT(A508,"YYYY-MM-DD HH")</f>
        <v/>
      </c>
      <c r="R508" s="25">
        <f>COUNTIF($Q$2:$Q$5295,Q508)</f>
        <v/>
      </c>
      <c r="S508" s="25">
        <f>IF(R508&lt;=2,"1-2",IF(R508&lt;=5,"3-5",IF(R508&lt;=10,"6-10","11+")))</f>
        <v/>
      </c>
    </row>
    <row r="509">
      <c r="A509" s="39" t="n">
        <v>46160.16652777778</v>
      </c>
      <c r="B509" s="25">
        <f>TEXT(A509,"YYYY-MM")</f>
        <v/>
      </c>
      <c r="C509" s="25">
        <f>TEXT(A509,"MMM-YYYY")</f>
        <v/>
      </c>
      <c r="D509" s="40">
        <f>INT(A509)-WEEKDAY(A509,2)+1</f>
        <v/>
      </c>
      <c r="E509" s="25" t="inlineStr">
        <is>
          <t>vreddy</t>
        </is>
      </c>
      <c r="F509" s="25" t="n">
        <v>36553</v>
      </c>
      <c r="G509" s="25" t="n">
        <v>1</v>
      </c>
      <c r="H509" s="25" t="n">
        <v>5</v>
      </c>
      <c r="I509" s="25" t="inlineStr">
        <is>
          <t>49 second(s)</t>
        </is>
      </c>
      <c r="J509" s="25">
        <f>IFERROR(VALUE(TRIM(LEFT(I509,FIND("minute",I509)-1)))*60,0)+IFERROR(VALUE(SUBSTITUTE(MID(I509,IFERROR(FIND("and",I509)+3,1),20),"second(s)","")),0)</f>
        <v/>
      </c>
      <c r="K509" s="41">
        <f>J509/60</f>
        <v/>
      </c>
      <c r="L509" s="41">
        <f>IFERROR(J509/H509,"")</f>
        <v/>
      </c>
      <c r="M509" s="25" t="inlineStr">
        <is>
          <t>2.5.12</t>
        </is>
      </c>
      <c r="N509" s="25">
        <f>IF(J509&gt;300,1,0)</f>
        <v/>
      </c>
      <c r="O509" s="25">
        <f>IF(J509&gt;600,1,0)</f>
        <v/>
      </c>
      <c r="P509" s="25">
        <f>IF(H509&gt;0,J509,"")</f>
        <v/>
      </c>
      <c r="Q509" s="25">
        <f>TEXT(A509,"YYYY-MM-DD HH")</f>
        <v/>
      </c>
      <c r="R509" s="25">
        <f>COUNTIF($Q$2:$Q$5295,Q509)</f>
        <v/>
      </c>
      <c r="S509" s="25">
        <f>IF(R509&lt;=2,"1-2",IF(R509&lt;=5,"3-5",IF(R509&lt;=10,"6-10","11+")))</f>
        <v/>
      </c>
    </row>
    <row r="510">
      <c r="A510" s="39" t="n">
        <v>46160.17260416667</v>
      </c>
      <c r="B510" s="25">
        <f>TEXT(A510,"YYYY-MM")</f>
        <v/>
      </c>
      <c r="C510" s="25">
        <f>TEXT(A510,"MMM-YYYY")</f>
        <v/>
      </c>
      <c r="D510" s="40">
        <f>INT(A510)-WEEKDAY(A510,2)+1</f>
        <v/>
      </c>
      <c r="E510" s="25" t="inlineStr">
        <is>
          <t>mbhalla</t>
        </is>
      </c>
      <c r="F510" s="25" t="n">
        <v>34196</v>
      </c>
      <c r="G510" s="25" t="n">
        <v>1</v>
      </c>
      <c r="H510" s="25" t="n">
        <v>7</v>
      </c>
      <c r="I510" s="25" t="inlineStr">
        <is>
          <t>1 minute(s) and 13 second(s)</t>
        </is>
      </c>
      <c r="J510" s="25">
        <f>IFERROR(VALUE(TRIM(LEFT(I510,FIND("minute",I510)-1)))*60,0)+IFERROR(VALUE(SUBSTITUTE(MID(I510,IFERROR(FIND("and",I510)+3,1),20),"second(s)","")),0)</f>
        <v/>
      </c>
      <c r="K510" s="41">
        <f>J510/60</f>
        <v/>
      </c>
      <c r="L510" s="41">
        <f>IFERROR(J510/H510,"")</f>
        <v/>
      </c>
      <c r="M510" s="25" t="inlineStr">
        <is>
          <t>2.5.12</t>
        </is>
      </c>
      <c r="N510" s="25">
        <f>IF(J510&gt;300,1,0)</f>
        <v/>
      </c>
      <c r="O510" s="25">
        <f>IF(J510&gt;600,1,0)</f>
        <v/>
      </c>
      <c r="P510" s="25">
        <f>IF(H510&gt;0,J510,"")</f>
        <v/>
      </c>
      <c r="Q510" s="25">
        <f>TEXT(A510,"YYYY-MM-DD HH")</f>
        <v/>
      </c>
      <c r="R510" s="25">
        <f>COUNTIF($Q$2:$Q$5295,Q510)</f>
        <v/>
      </c>
      <c r="S510" s="25">
        <f>IF(R510&lt;=2,"1-2",IF(R510&lt;=5,"3-5",IF(R510&lt;=10,"6-10","11+")))</f>
        <v/>
      </c>
    </row>
    <row r="511">
      <c r="A511" s="39" t="n">
        <v>46160.1753125</v>
      </c>
      <c r="B511" s="25">
        <f>TEXT(A511,"YYYY-MM")</f>
        <v/>
      </c>
      <c r="C511" s="25">
        <f>TEXT(A511,"MMM-YYYY")</f>
        <v/>
      </c>
      <c r="D511" s="40">
        <f>INT(A511)-WEEKDAY(A511,2)+1</f>
        <v/>
      </c>
      <c r="E511" s="25" t="inlineStr">
        <is>
          <t>emishra</t>
        </is>
      </c>
      <c r="F511" s="25" t="n">
        <v>109070</v>
      </c>
      <c r="G511" s="25" t="n">
        <v>1</v>
      </c>
      <c r="H511" s="25" t="n">
        <v>5</v>
      </c>
      <c r="I511" s="25" t="inlineStr">
        <is>
          <t>44 second(s)</t>
        </is>
      </c>
      <c r="J511" s="25">
        <f>IFERROR(VALUE(TRIM(LEFT(I511,FIND("minute",I511)-1)))*60,0)+IFERROR(VALUE(SUBSTITUTE(MID(I511,IFERROR(FIND("and",I511)+3,1),20),"second(s)","")),0)</f>
        <v/>
      </c>
      <c r="K511" s="41">
        <f>J511/60</f>
        <v/>
      </c>
      <c r="L511" s="41">
        <f>IFERROR(J511/H511,"")</f>
        <v/>
      </c>
      <c r="M511" s="25" t="inlineStr">
        <is>
          <t>2.5.12</t>
        </is>
      </c>
      <c r="N511" s="25">
        <f>IF(J511&gt;300,1,0)</f>
        <v/>
      </c>
      <c r="O511" s="25">
        <f>IF(J511&gt;600,1,0)</f>
        <v/>
      </c>
      <c r="P511" s="25">
        <f>IF(H511&gt;0,J511,"")</f>
        <v/>
      </c>
      <c r="Q511" s="25">
        <f>TEXT(A511,"YYYY-MM-DD HH")</f>
        <v/>
      </c>
      <c r="R511" s="25">
        <f>COUNTIF($Q$2:$Q$5295,Q511)</f>
        <v/>
      </c>
      <c r="S511" s="25">
        <f>IF(R511&lt;=2,"1-2",IF(R511&lt;=5,"3-5",IF(R511&lt;=10,"6-10","11+")))</f>
        <v/>
      </c>
    </row>
    <row r="512">
      <c r="A512" s="39" t="n">
        <v>46160.17583333333</v>
      </c>
      <c r="B512" s="25">
        <f>TEXT(A512,"YYYY-MM")</f>
        <v/>
      </c>
      <c r="C512" s="25">
        <f>TEXT(A512,"MMM-YYYY")</f>
        <v/>
      </c>
      <c r="D512" s="40">
        <f>INT(A512)-WEEKDAY(A512,2)+1</f>
        <v/>
      </c>
      <c r="E512" s="25" t="inlineStr">
        <is>
          <t>abhaskarkp</t>
        </is>
      </c>
      <c r="F512" s="25" t="n">
        <v>82305</v>
      </c>
      <c r="G512" s="25" t="n">
        <v>1</v>
      </c>
      <c r="H512" s="25" t="n">
        <v>7</v>
      </c>
      <c r="I512" s="25" t="inlineStr">
        <is>
          <t>1 minute(s) and 19 second(s)</t>
        </is>
      </c>
      <c r="J512" s="25">
        <f>IFERROR(VALUE(TRIM(LEFT(I512,FIND("minute",I512)-1)))*60,0)+IFERROR(VALUE(SUBSTITUTE(MID(I512,IFERROR(FIND("and",I512)+3,1),20),"second(s)","")),0)</f>
        <v/>
      </c>
      <c r="K512" s="41">
        <f>J512/60</f>
        <v/>
      </c>
      <c r="L512" s="41">
        <f>IFERROR(J512/H512,"")</f>
        <v/>
      </c>
      <c r="M512" s="25" t="inlineStr">
        <is>
          <t>2.5.12</t>
        </is>
      </c>
      <c r="N512" s="25">
        <f>IF(J512&gt;300,1,0)</f>
        <v/>
      </c>
      <c r="O512" s="25">
        <f>IF(J512&gt;600,1,0)</f>
        <v/>
      </c>
      <c r="P512" s="25">
        <f>IF(H512&gt;0,J512,"")</f>
        <v/>
      </c>
      <c r="Q512" s="25">
        <f>TEXT(A512,"YYYY-MM-DD HH")</f>
        <v/>
      </c>
      <c r="R512" s="25">
        <f>COUNTIF($Q$2:$Q$5295,Q512)</f>
        <v/>
      </c>
      <c r="S512" s="25">
        <f>IF(R512&lt;=2,"1-2",IF(R512&lt;=5,"3-5",IF(R512&lt;=10,"6-10","11+")))</f>
        <v/>
      </c>
    </row>
    <row r="513">
      <c r="A513" s="39" t="n">
        <v>46160.17696759259</v>
      </c>
      <c r="B513" s="25">
        <f>TEXT(A513,"YYYY-MM")</f>
        <v/>
      </c>
      <c r="C513" s="25">
        <f>TEXT(A513,"MMM-YYYY")</f>
        <v/>
      </c>
      <c r="D513" s="40">
        <f>INT(A513)-WEEKDAY(A513,2)+1</f>
        <v/>
      </c>
      <c r="E513" s="25" t="inlineStr">
        <is>
          <t>ptomar</t>
        </is>
      </c>
      <c r="F513" s="25" t="n">
        <v>71952</v>
      </c>
      <c r="G513" s="25" t="n">
        <v>5</v>
      </c>
      <c r="H513" s="25" t="n">
        <v>31</v>
      </c>
      <c r="I513" s="25" t="inlineStr">
        <is>
          <t>6 minute(s) and 2 second(s)</t>
        </is>
      </c>
      <c r="J513" s="25">
        <f>IFERROR(VALUE(TRIM(LEFT(I513,FIND("minute",I513)-1)))*60,0)+IFERROR(VALUE(SUBSTITUTE(MID(I513,IFERROR(FIND("and",I513)+3,1),20),"second(s)","")),0)</f>
        <v/>
      </c>
      <c r="K513" s="41">
        <f>J513/60</f>
        <v/>
      </c>
      <c r="L513" s="41">
        <f>IFERROR(J513/H513,"")</f>
        <v/>
      </c>
      <c r="M513" s="25" t="inlineStr">
        <is>
          <t>2.5.12</t>
        </is>
      </c>
      <c r="N513" s="25">
        <f>IF(J513&gt;300,1,0)</f>
        <v/>
      </c>
      <c r="O513" s="25">
        <f>IF(J513&gt;600,1,0)</f>
        <v/>
      </c>
      <c r="P513" s="25">
        <f>IF(H513&gt;0,J513,"")</f>
        <v/>
      </c>
      <c r="Q513" s="25">
        <f>TEXT(A513,"YYYY-MM-DD HH")</f>
        <v/>
      </c>
      <c r="R513" s="25">
        <f>COUNTIF($Q$2:$Q$5295,Q513)</f>
        <v/>
      </c>
      <c r="S513" s="25">
        <f>IF(R513&lt;=2,"1-2",IF(R513&lt;=5,"3-5",IF(R513&lt;=10,"6-10","11+")))</f>
        <v/>
      </c>
    </row>
    <row r="514">
      <c r="A514" s="39" t="n">
        <v>46160.18042824074</v>
      </c>
      <c r="B514" s="25">
        <f>TEXT(A514,"YYYY-MM")</f>
        <v/>
      </c>
      <c r="C514" s="25">
        <f>TEXT(A514,"MMM-YYYY")</f>
        <v/>
      </c>
      <c r="D514" s="40">
        <f>INT(A514)-WEEKDAY(A514,2)+1</f>
        <v/>
      </c>
      <c r="E514" s="25" t="inlineStr">
        <is>
          <t>akumari</t>
        </is>
      </c>
      <c r="F514" s="25" t="n">
        <v>60811</v>
      </c>
      <c r="G514" s="25" t="n">
        <v>5</v>
      </c>
      <c r="H514" s="25" t="n">
        <v>31</v>
      </c>
      <c r="I514" s="25" t="inlineStr">
        <is>
          <t>5 minute(s) and 8 second(s)</t>
        </is>
      </c>
      <c r="J514" s="25">
        <f>IFERROR(VALUE(TRIM(LEFT(I514,FIND("minute",I514)-1)))*60,0)+IFERROR(VALUE(SUBSTITUTE(MID(I514,IFERROR(FIND("and",I514)+3,1),20),"second(s)","")),0)</f>
        <v/>
      </c>
      <c r="K514" s="41">
        <f>J514/60</f>
        <v/>
      </c>
      <c r="L514" s="41">
        <f>IFERROR(J514/H514,"")</f>
        <v/>
      </c>
      <c r="M514" s="25" t="inlineStr">
        <is>
          <t>2.5.12</t>
        </is>
      </c>
      <c r="N514" s="25">
        <f>IF(J514&gt;300,1,0)</f>
        <v/>
      </c>
      <c r="O514" s="25">
        <f>IF(J514&gt;600,1,0)</f>
        <v/>
      </c>
      <c r="P514" s="25">
        <f>IF(H514&gt;0,J514,"")</f>
        <v/>
      </c>
      <c r="Q514" s="25">
        <f>TEXT(A514,"YYYY-MM-DD HH")</f>
        <v/>
      </c>
      <c r="R514" s="25">
        <f>COUNTIF($Q$2:$Q$5295,Q514)</f>
        <v/>
      </c>
      <c r="S514" s="25">
        <f>IF(R514&lt;=2,"1-2",IF(R514&lt;=5,"3-5",IF(R514&lt;=10,"6-10","11+")))</f>
        <v/>
      </c>
    </row>
    <row r="515">
      <c r="A515" s="39" t="n">
        <v>46160.18739583333</v>
      </c>
      <c r="B515" s="25">
        <f>TEXT(A515,"YYYY-MM")</f>
        <v/>
      </c>
      <c r="C515" s="25">
        <f>TEXT(A515,"MMM-YYYY")</f>
        <v/>
      </c>
      <c r="D515" s="40">
        <f>INT(A515)-WEEKDAY(A515,2)+1</f>
        <v/>
      </c>
      <c r="E515" s="25" t="inlineStr">
        <is>
          <t>csaha</t>
        </is>
      </c>
      <c r="F515" s="25" t="n">
        <v>84909</v>
      </c>
      <c r="G515" s="25" t="n">
        <v>3</v>
      </c>
      <c r="H515" s="25" t="n">
        <v>13</v>
      </c>
      <c r="I515" s="25" t="inlineStr">
        <is>
          <t>2 minute(s) and 32 second(s)</t>
        </is>
      </c>
      <c r="J515" s="25">
        <f>IFERROR(VALUE(TRIM(LEFT(I515,FIND("minute",I515)-1)))*60,0)+IFERROR(VALUE(SUBSTITUTE(MID(I515,IFERROR(FIND("and",I515)+3,1),20),"second(s)","")),0)</f>
        <v/>
      </c>
      <c r="K515" s="41">
        <f>J515/60</f>
        <v/>
      </c>
      <c r="L515" s="41">
        <f>IFERROR(J515/H515,"")</f>
        <v/>
      </c>
      <c r="M515" s="25" t="inlineStr">
        <is>
          <t>2.5.12</t>
        </is>
      </c>
      <c r="N515" s="25">
        <f>IF(J515&gt;300,1,0)</f>
        <v/>
      </c>
      <c r="O515" s="25">
        <f>IF(J515&gt;600,1,0)</f>
        <v/>
      </c>
      <c r="P515" s="25">
        <f>IF(H515&gt;0,J515,"")</f>
        <v/>
      </c>
      <c r="Q515" s="25">
        <f>TEXT(A515,"YYYY-MM-DD HH")</f>
        <v/>
      </c>
      <c r="R515" s="25">
        <f>COUNTIF($Q$2:$Q$5295,Q515)</f>
        <v/>
      </c>
      <c r="S515" s="25">
        <f>IF(R515&lt;=2,"1-2",IF(R515&lt;=5,"3-5",IF(R515&lt;=10,"6-10","11+")))</f>
        <v/>
      </c>
    </row>
    <row r="516">
      <c r="A516" s="39" t="n">
        <v>46160.19483796296</v>
      </c>
      <c r="B516" s="25">
        <f>TEXT(A516,"YYYY-MM")</f>
        <v/>
      </c>
      <c r="C516" s="25">
        <f>TEXT(A516,"MMM-YYYY")</f>
        <v/>
      </c>
      <c r="D516" s="40">
        <f>INT(A516)-WEEKDAY(A516,2)+1</f>
        <v/>
      </c>
      <c r="E516" s="25" t="inlineStr">
        <is>
          <t>npriya</t>
        </is>
      </c>
      <c r="F516" s="25" t="n">
        <v>114258</v>
      </c>
      <c r="G516" s="25" t="n">
        <v>5</v>
      </c>
      <c r="H516" s="25" t="n">
        <v>31</v>
      </c>
      <c r="I516" s="25" t="inlineStr">
        <is>
          <t>7 minute(s) and 55 second(s)</t>
        </is>
      </c>
      <c r="J516" s="25">
        <f>IFERROR(VALUE(TRIM(LEFT(I516,FIND("minute",I516)-1)))*60,0)+IFERROR(VALUE(SUBSTITUTE(MID(I516,IFERROR(FIND("and",I516)+3,1),20),"second(s)","")),0)</f>
        <v/>
      </c>
      <c r="K516" s="41">
        <f>J516/60</f>
        <v/>
      </c>
      <c r="L516" s="41">
        <f>IFERROR(J516/H516,"")</f>
        <v/>
      </c>
      <c r="M516" s="25" t="inlineStr">
        <is>
          <t>2.5.12</t>
        </is>
      </c>
      <c r="N516" s="25">
        <f>IF(J516&gt;300,1,0)</f>
        <v/>
      </c>
      <c r="O516" s="25">
        <f>IF(J516&gt;600,1,0)</f>
        <v/>
      </c>
      <c r="P516" s="25">
        <f>IF(H516&gt;0,J516,"")</f>
        <v/>
      </c>
      <c r="Q516" s="25">
        <f>TEXT(A516,"YYYY-MM-DD HH")</f>
        <v/>
      </c>
      <c r="R516" s="25">
        <f>COUNTIF($Q$2:$Q$5295,Q516)</f>
        <v/>
      </c>
      <c r="S516" s="25">
        <f>IF(R516&lt;=2,"1-2",IF(R516&lt;=5,"3-5",IF(R516&lt;=10,"6-10","11+")))</f>
        <v/>
      </c>
    </row>
    <row r="517">
      <c r="A517" s="39" t="n">
        <v>46160.19515046296</v>
      </c>
      <c r="B517" s="25">
        <f>TEXT(A517,"YYYY-MM")</f>
        <v/>
      </c>
      <c r="C517" s="25">
        <f>TEXT(A517,"MMM-YYYY")</f>
        <v/>
      </c>
      <c r="D517" s="40">
        <f>INT(A517)-WEEKDAY(A517,2)+1</f>
        <v/>
      </c>
      <c r="E517" s="25" t="inlineStr">
        <is>
          <t>ssrinivasan</t>
        </is>
      </c>
      <c r="F517" s="25" t="n">
        <v>46520</v>
      </c>
      <c r="G517" s="25" t="n">
        <v>1</v>
      </c>
      <c r="H517" s="25" t="n">
        <v>7</v>
      </c>
      <c r="I517" s="25" t="inlineStr">
        <is>
          <t>1 minute(s) and 25 second(s)</t>
        </is>
      </c>
      <c r="J517" s="25">
        <f>IFERROR(VALUE(TRIM(LEFT(I517,FIND("minute",I517)-1)))*60,0)+IFERROR(VALUE(SUBSTITUTE(MID(I517,IFERROR(FIND("and",I517)+3,1),20),"second(s)","")),0)</f>
        <v/>
      </c>
      <c r="K517" s="41">
        <f>J517/60</f>
        <v/>
      </c>
      <c r="L517" s="41">
        <f>IFERROR(J517/H517,"")</f>
        <v/>
      </c>
      <c r="M517" s="25" t="inlineStr">
        <is>
          <t>2.5.12</t>
        </is>
      </c>
      <c r="N517" s="25">
        <f>IF(J517&gt;300,1,0)</f>
        <v/>
      </c>
      <c r="O517" s="25">
        <f>IF(J517&gt;600,1,0)</f>
        <v/>
      </c>
      <c r="P517" s="25">
        <f>IF(H517&gt;0,J517,"")</f>
        <v/>
      </c>
      <c r="Q517" s="25">
        <f>TEXT(A517,"YYYY-MM-DD HH")</f>
        <v/>
      </c>
      <c r="R517" s="25">
        <f>COUNTIF($Q$2:$Q$5295,Q517)</f>
        <v/>
      </c>
      <c r="S517" s="25">
        <f>IF(R517&lt;=2,"1-2",IF(R517&lt;=5,"3-5",IF(R517&lt;=10,"6-10","11+")))</f>
        <v/>
      </c>
    </row>
    <row r="518">
      <c r="A518" s="39" t="n">
        <v>46160.19923611111</v>
      </c>
      <c r="B518" s="25">
        <f>TEXT(A518,"YYYY-MM")</f>
        <v/>
      </c>
      <c r="C518" s="25">
        <f>TEXT(A518,"MMM-YYYY")</f>
        <v/>
      </c>
      <c r="D518" s="40">
        <f>INT(A518)-WEEKDAY(A518,2)+1</f>
        <v/>
      </c>
      <c r="E518" s="25" t="inlineStr">
        <is>
          <t>arsarkar</t>
        </is>
      </c>
      <c r="F518" s="25" t="n">
        <v>58723</v>
      </c>
      <c r="G518" s="25" t="n">
        <v>1</v>
      </c>
      <c r="H518" s="25" t="n">
        <v>5</v>
      </c>
      <c r="I518" s="25" t="inlineStr">
        <is>
          <t>55 second(s)</t>
        </is>
      </c>
      <c r="J518" s="25">
        <f>IFERROR(VALUE(TRIM(LEFT(I518,FIND("minute",I518)-1)))*60,0)+IFERROR(VALUE(SUBSTITUTE(MID(I518,IFERROR(FIND("and",I518)+3,1),20),"second(s)","")),0)</f>
        <v/>
      </c>
      <c r="K518" s="41">
        <f>J518/60</f>
        <v/>
      </c>
      <c r="L518" s="41">
        <f>IFERROR(J518/H518,"")</f>
        <v/>
      </c>
      <c r="M518" s="25" t="inlineStr">
        <is>
          <t>2.5.12</t>
        </is>
      </c>
      <c r="N518" s="25">
        <f>IF(J518&gt;300,1,0)</f>
        <v/>
      </c>
      <c r="O518" s="25">
        <f>IF(J518&gt;600,1,0)</f>
        <v/>
      </c>
      <c r="P518" s="25">
        <f>IF(H518&gt;0,J518,"")</f>
        <v/>
      </c>
      <c r="Q518" s="25">
        <f>TEXT(A518,"YYYY-MM-DD HH")</f>
        <v/>
      </c>
      <c r="R518" s="25">
        <f>COUNTIF($Q$2:$Q$5295,Q518)</f>
        <v/>
      </c>
      <c r="S518" s="25">
        <f>IF(R518&lt;=2,"1-2",IF(R518&lt;=5,"3-5",IF(R518&lt;=10,"6-10","11+")))</f>
        <v/>
      </c>
    </row>
    <row r="519">
      <c r="A519" s="39" t="n">
        <v>46160.2028125</v>
      </c>
      <c r="B519" s="25">
        <f>TEXT(A519,"YYYY-MM")</f>
        <v/>
      </c>
      <c r="C519" s="25">
        <f>TEXT(A519,"MMM-YYYY")</f>
        <v/>
      </c>
      <c r="D519" s="40">
        <f>INT(A519)-WEEKDAY(A519,2)+1</f>
        <v/>
      </c>
      <c r="E519" s="25" t="inlineStr">
        <is>
          <t>taggarwal</t>
        </is>
      </c>
      <c r="F519" s="25" t="n">
        <v>109907</v>
      </c>
      <c r="G519" s="25" t="n">
        <v>1</v>
      </c>
      <c r="H519" s="25" t="n">
        <v>7</v>
      </c>
      <c r="I519" s="25" t="inlineStr">
        <is>
          <t>2 minute(s) and 9 second(s)</t>
        </is>
      </c>
      <c r="J519" s="25">
        <f>IFERROR(VALUE(TRIM(LEFT(I519,FIND("minute",I519)-1)))*60,0)+IFERROR(VALUE(SUBSTITUTE(MID(I519,IFERROR(FIND("and",I519)+3,1),20),"second(s)","")),0)</f>
        <v/>
      </c>
      <c r="K519" s="41">
        <f>J519/60</f>
        <v/>
      </c>
      <c r="L519" s="41">
        <f>IFERROR(J519/H519,"")</f>
        <v/>
      </c>
      <c r="M519" s="25" t="inlineStr">
        <is>
          <t>2.5.12</t>
        </is>
      </c>
      <c r="N519" s="25">
        <f>IF(J519&gt;300,1,0)</f>
        <v/>
      </c>
      <c r="O519" s="25">
        <f>IF(J519&gt;600,1,0)</f>
        <v/>
      </c>
      <c r="P519" s="25">
        <f>IF(H519&gt;0,J519,"")</f>
        <v/>
      </c>
      <c r="Q519" s="25">
        <f>TEXT(A519,"YYYY-MM-DD HH")</f>
        <v/>
      </c>
      <c r="R519" s="25">
        <f>COUNTIF($Q$2:$Q$5295,Q519)</f>
        <v/>
      </c>
      <c r="S519" s="25">
        <f>IF(R519&lt;=2,"1-2",IF(R519&lt;=5,"3-5",IF(R519&lt;=10,"6-10","11+")))</f>
        <v/>
      </c>
    </row>
    <row r="520">
      <c r="A520" s="39" t="n">
        <v>46160.20653935185</v>
      </c>
      <c r="B520" s="25">
        <f>TEXT(A520,"YYYY-MM")</f>
        <v/>
      </c>
      <c r="C520" s="25">
        <f>TEXT(A520,"MMM-YYYY")</f>
        <v/>
      </c>
      <c r="D520" s="40">
        <f>INT(A520)-WEEKDAY(A520,2)+1</f>
        <v/>
      </c>
      <c r="E520" s="25" t="inlineStr">
        <is>
          <t>mgupta</t>
        </is>
      </c>
      <c r="F520" s="25" t="n">
        <v>113907</v>
      </c>
      <c r="G520" s="25" t="n">
        <v>5</v>
      </c>
      <c r="H520" s="25" t="n">
        <v>25</v>
      </c>
      <c r="I520" s="25" t="inlineStr">
        <is>
          <t>6 minute(s) and 49 second(s)</t>
        </is>
      </c>
      <c r="J520" s="25">
        <f>IFERROR(VALUE(TRIM(LEFT(I520,FIND("minute",I520)-1)))*60,0)+IFERROR(VALUE(SUBSTITUTE(MID(I520,IFERROR(FIND("and",I520)+3,1),20),"second(s)","")),0)</f>
        <v/>
      </c>
      <c r="K520" s="41">
        <f>J520/60</f>
        <v/>
      </c>
      <c r="L520" s="41">
        <f>IFERROR(J520/H520,"")</f>
        <v/>
      </c>
      <c r="M520" s="25" t="inlineStr">
        <is>
          <t>2.5.12</t>
        </is>
      </c>
      <c r="N520" s="25">
        <f>IF(J520&gt;300,1,0)</f>
        <v/>
      </c>
      <c r="O520" s="25">
        <f>IF(J520&gt;600,1,0)</f>
        <v/>
      </c>
      <c r="P520" s="25">
        <f>IF(H520&gt;0,J520,"")</f>
        <v/>
      </c>
      <c r="Q520" s="25">
        <f>TEXT(A520,"YYYY-MM-DD HH")</f>
        <v/>
      </c>
      <c r="R520" s="25">
        <f>COUNTIF($Q$2:$Q$5295,Q520)</f>
        <v/>
      </c>
      <c r="S520" s="25">
        <f>IF(R520&lt;=2,"1-2",IF(R520&lt;=5,"3-5",IF(R520&lt;=10,"6-10","11+")))</f>
        <v/>
      </c>
    </row>
    <row r="521">
      <c r="A521" s="39" t="n">
        <v>46160.20791666667</v>
      </c>
      <c r="B521" s="25">
        <f>TEXT(A521,"YYYY-MM")</f>
        <v/>
      </c>
      <c r="C521" s="25">
        <f>TEXT(A521,"MMM-YYYY")</f>
        <v/>
      </c>
      <c r="D521" s="40">
        <f>INT(A521)-WEEKDAY(A521,2)+1</f>
        <v/>
      </c>
      <c r="E521" s="25" t="inlineStr">
        <is>
          <t>ptomar</t>
        </is>
      </c>
      <c r="F521" s="25" t="n">
        <v>115183</v>
      </c>
      <c r="G521" s="25" t="n">
        <v>3</v>
      </c>
      <c r="H521" s="25" t="n">
        <v>17</v>
      </c>
      <c r="I521" s="25" t="inlineStr">
        <is>
          <t>2 minute(s) and 25 second(s)</t>
        </is>
      </c>
      <c r="J521" s="25">
        <f>IFERROR(VALUE(TRIM(LEFT(I521,FIND("minute",I521)-1)))*60,0)+IFERROR(VALUE(SUBSTITUTE(MID(I521,IFERROR(FIND("and",I521)+3,1),20),"second(s)","")),0)</f>
        <v/>
      </c>
      <c r="K521" s="41">
        <f>J521/60</f>
        <v/>
      </c>
      <c r="L521" s="41">
        <f>IFERROR(J521/H521,"")</f>
        <v/>
      </c>
      <c r="M521" s="25" t="inlineStr">
        <is>
          <t>2.5.12</t>
        </is>
      </c>
      <c r="N521" s="25">
        <f>IF(J521&gt;300,1,0)</f>
        <v/>
      </c>
      <c r="O521" s="25">
        <f>IF(J521&gt;600,1,0)</f>
        <v/>
      </c>
      <c r="P521" s="25">
        <f>IF(H521&gt;0,J521,"")</f>
        <v/>
      </c>
      <c r="Q521" s="25">
        <f>TEXT(A521,"YYYY-MM-DD HH")</f>
        <v/>
      </c>
      <c r="R521" s="25">
        <f>COUNTIF($Q$2:$Q$5295,Q521)</f>
        <v/>
      </c>
      <c r="S521" s="25">
        <f>IF(R521&lt;=2,"1-2",IF(R521&lt;=5,"3-5",IF(R521&lt;=10,"6-10","11+")))</f>
        <v/>
      </c>
    </row>
    <row r="522">
      <c r="A522" s="39" t="n">
        <v>46160.211875</v>
      </c>
      <c r="B522" s="25">
        <f>TEXT(A522,"YYYY-MM")</f>
        <v/>
      </c>
      <c r="C522" s="25">
        <f>TEXT(A522,"MMM-YYYY")</f>
        <v/>
      </c>
      <c r="D522" s="40">
        <f>INT(A522)-WEEKDAY(A522,2)+1</f>
        <v/>
      </c>
      <c r="E522" s="25" t="inlineStr">
        <is>
          <t>mbohra</t>
        </is>
      </c>
      <c r="F522" s="25" t="n">
        <v>95676</v>
      </c>
      <c r="G522" s="25" t="n">
        <v>2</v>
      </c>
      <c r="H522" s="25" t="n">
        <v>8</v>
      </c>
      <c r="I522" s="25" t="inlineStr">
        <is>
          <t>1 minute(s) and 44 second(s)</t>
        </is>
      </c>
      <c r="J522" s="25">
        <f>IFERROR(VALUE(TRIM(LEFT(I522,FIND("minute",I522)-1)))*60,0)+IFERROR(VALUE(SUBSTITUTE(MID(I522,IFERROR(FIND("and",I522)+3,1),20),"second(s)","")),0)</f>
        <v/>
      </c>
      <c r="K522" s="41">
        <f>J522/60</f>
        <v/>
      </c>
      <c r="L522" s="41">
        <f>IFERROR(J522/H522,"")</f>
        <v/>
      </c>
      <c r="M522" s="25" t="inlineStr">
        <is>
          <t>2.5.12</t>
        </is>
      </c>
      <c r="N522" s="25">
        <f>IF(J522&gt;300,1,0)</f>
        <v/>
      </c>
      <c r="O522" s="25">
        <f>IF(J522&gt;600,1,0)</f>
        <v/>
      </c>
      <c r="P522" s="25">
        <f>IF(H522&gt;0,J522,"")</f>
        <v/>
      </c>
      <c r="Q522" s="25">
        <f>TEXT(A522,"YYYY-MM-DD HH")</f>
        <v/>
      </c>
      <c r="R522" s="25">
        <f>COUNTIF($Q$2:$Q$5295,Q522)</f>
        <v/>
      </c>
      <c r="S522" s="25">
        <f>IF(R522&lt;=2,"1-2",IF(R522&lt;=5,"3-5",IF(R522&lt;=10,"6-10","11+")))</f>
        <v/>
      </c>
    </row>
    <row r="523">
      <c r="A523" s="39" t="n">
        <v>46160.2149537037</v>
      </c>
      <c r="B523" s="25">
        <f>TEXT(A523,"YYYY-MM")</f>
        <v/>
      </c>
      <c r="C523" s="25">
        <f>TEXT(A523,"MMM-YYYY")</f>
        <v/>
      </c>
      <c r="D523" s="40">
        <f>INT(A523)-WEEKDAY(A523,2)+1</f>
        <v/>
      </c>
      <c r="E523" s="25" t="inlineStr">
        <is>
          <t>smukhopadhyay</t>
        </is>
      </c>
      <c r="F523" s="25" t="n">
        <v>42325</v>
      </c>
      <c r="G523" s="25" t="n">
        <v>1</v>
      </c>
      <c r="H523" s="25" t="n">
        <v>5</v>
      </c>
      <c r="I523" s="25" t="inlineStr">
        <is>
          <t>2 minute(s) and 23 second(s)</t>
        </is>
      </c>
      <c r="J523" s="25">
        <f>IFERROR(VALUE(TRIM(LEFT(I523,FIND("minute",I523)-1)))*60,0)+IFERROR(VALUE(SUBSTITUTE(MID(I523,IFERROR(FIND("and",I523)+3,1),20),"second(s)","")),0)</f>
        <v/>
      </c>
      <c r="K523" s="41">
        <f>J523/60</f>
        <v/>
      </c>
      <c r="L523" s="41">
        <f>IFERROR(J523/H523,"")</f>
        <v/>
      </c>
      <c r="M523" s="25" t="inlineStr">
        <is>
          <t>2.5.12</t>
        </is>
      </c>
      <c r="N523" s="25">
        <f>IF(J523&gt;300,1,0)</f>
        <v/>
      </c>
      <c r="O523" s="25">
        <f>IF(J523&gt;600,1,0)</f>
        <v/>
      </c>
      <c r="P523" s="25">
        <f>IF(H523&gt;0,J523,"")</f>
        <v/>
      </c>
      <c r="Q523" s="25">
        <f>TEXT(A523,"YYYY-MM-DD HH")</f>
        <v/>
      </c>
      <c r="R523" s="25">
        <f>COUNTIF($Q$2:$Q$5295,Q523)</f>
        <v/>
      </c>
      <c r="S523" s="25">
        <f>IF(R523&lt;=2,"1-2",IF(R523&lt;=5,"3-5",IF(R523&lt;=10,"6-10","11+")))</f>
        <v/>
      </c>
    </row>
    <row r="524">
      <c r="A524" s="39" t="n">
        <v>46160.21596064815</v>
      </c>
      <c r="B524" s="25">
        <f>TEXT(A524,"YYYY-MM")</f>
        <v/>
      </c>
      <c r="C524" s="25">
        <f>TEXT(A524,"MMM-YYYY")</f>
        <v/>
      </c>
      <c r="D524" s="40">
        <f>INT(A524)-WEEKDAY(A524,2)+1</f>
        <v/>
      </c>
      <c r="E524" s="25" t="inlineStr">
        <is>
          <t>abhaskarkp</t>
        </is>
      </c>
      <c r="F524" s="25" t="n">
        <v>83357</v>
      </c>
      <c r="G524" s="25" t="n">
        <v>3</v>
      </c>
      <c r="H524" s="25" t="n">
        <v>15</v>
      </c>
      <c r="I524" s="25" t="inlineStr">
        <is>
          <t>3 minute(s) and 18 second(s)</t>
        </is>
      </c>
      <c r="J524" s="25">
        <f>IFERROR(VALUE(TRIM(LEFT(I524,FIND("minute",I524)-1)))*60,0)+IFERROR(VALUE(SUBSTITUTE(MID(I524,IFERROR(FIND("and",I524)+3,1),20),"second(s)","")),0)</f>
        <v/>
      </c>
      <c r="K524" s="41">
        <f>J524/60</f>
        <v/>
      </c>
      <c r="L524" s="41">
        <f>IFERROR(J524/H524,"")</f>
        <v/>
      </c>
      <c r="M524" s="25" t="inlineStr">
        <is>
          <t>2.5.12</t>
        </is>
      </c>
      <c r="N524" s="25">
        <f>IF(J524&gt;300,1,0)</f>
        <v/>
      </c>
      <c r="O524" s="25">
        <f>IF(J524&gt;600,1,0)</f>
        <v/>
      </c>
      <c r="P524" s="25">
        <f>IF(H524&gt;0,J524,"")</f>
        <v/>
      </c>
      <c r="Q524" s="25">
        <f>TEXT(A524,"YYYY-MM-DD HH")</f>
        <v/>
      </c>
      <c r="R524" s="25">
        <f>COUNTIF($Q$2:$Q$5295,Q524)</f>
        <v/>
      </c>
      <c r="S524" s="25">
        <f>IF(R524&lt;=2,"1-2",IF(R524&lt;=5,"3-5",IF(R524&lt;=10,"6-10","11+")))</f>
        <v/>
      </c>
    </row>
    <row r="525">
      <c r="A525" s="39" t="n">
        <v>46160.21773148148</v>
      </c>
      <c r="B525" s="25">
        <f>TEXT(A525,"YYYY-MM")</f>
        <v/>
      </c>
      <c r="C525" s="25">
        <f>TEXT(A525,"MMM-YYYY")</f>
        <v/>
      </c>
      <c r="D525" s="40">
        <f>INT(A525)-WEEKDAY(A525,2)+1</f>
        <v/>
      </c>
      <c r="E525" s="25" t="inlineStr">
        <is>
          <t>dchoudhury</t>
        </is>
      </c>
      <c r="F525" s="25" t="n">
        <v>2</v>
      </c>
      <c r="G525" s="25" t="n">
        <v>1</v>
      </c>
      <c r="H525" s="25" t="n">
        <v>5</v>
      </c>
      <c r="I525" s="25" t="inlineStr">
        <is>
          <t>1 minute(s) and 7 second(s)</t>
        </is>
      </c>
      <c r="J525" s="25">
        <f>IFERROR(VALUE(TRIM(LEFT(I525,FIND("minute",I525)-1)))*60,0)+IFERROR(VALUE(SUBSTITUTE(MID(I525,IFERROR(FIND("and",I525)+3,1),20),"second(s)","")),0)</f>
        <v/>
      </c>
      <c r="K525" s="41">
        <f>J525/60</f>
        <v/>
      </c>
      <c r="L525" s="41">
        <f>IFERROR(J525/H525,"")</f>
        <v/>
      </c>
      <c r="M525" s="25" t="inlineStr">
        <is>
          <t>2.5.12</t>
        </is>
      </c>
      <c r="N525" s="25">
        <f>IF(J525&gt;300,1,0)</f>
        <v/>
      </c>
      <c r="O525" s="25">
        <f>IF(J525&gt;600,1,0)</f>
        <v/>
      </c>
      <c r="P525" s="25">
        <f>IF(H525&gt;0,J525,"")</f>
        <v/>
      </c>
      <c r="Q525" s="25">
        <f>TEXT(A525,"YYYY-MM-DD HH")</f>
        <v/>
      </c>
      <c r="R525" s="25">
        <f>COUNTIF($Q$2:$Q$5295,Q525)</f>
        <v/>
      </c>
      <c r="S525" s="25">
        <f>IF(R525&lt;=2,"1-2",IF(R525&lt;=5,"3-5",IF(R525&lt;=10,"6-10","11+")))</f>
        <v/>
      </c>
    </row>
    <row r="526">
      <c r="A526" s="39" t="n">
        <v>46160.21986111111</v>
      </c>
      <c r="B526" s="25">
        <f>TEXT(A526,"YYYY-MM")</f>
        <v/>
      </c>
      <c r="C526" s="25">
        <f>TEXT(A526,"MMM-YYYY")</f>
        <v/>
      </c>
      <c r="D526" s="40">
        <f>INT(A526)-WEEKDAY(A526,2)+1</f>
        <v/>
      </c>
      <c r="E526" s="25" t="inlineStr">
        <is>
          <t>akumari</t>
        </is>
      </c>
      <c r="F526" s="25" t="n">
        <v>11</v>
      </c>
      <c r="G526" s="25" t="n">
        <v>1</v>
      </c>
      <c r="H526" s="25" t="n">
        <v>5</v>
      </c>
      <c r="I526" s="25" t="inlineStr">
        <is>
          <t>44 second(s)</t>
        </is>
      </c>
      <c r="J526" s="25">
        <f>IFERROR(VALUE(TRIM(LEFT(I526,FIND("minute",I526)-1)))*60,0)+IFERROR(VALUE(SUBSTITUTE(MID(I526,IFERROR(FIND("and",I526)+3,1),20),"second(s)","")),0)</f>
        <v/>
      </c>
      <c r="K526" s="41">
        <f>J526/60</f>
        <v/>
      </c>
      <c r="L526" s="41">
        <f>IFERROR(J526/H526,"")</f>
        <v/>
      </c>
      <c r="M526" s="25" t="inlineStr">
        <is>
          <t>2.5.12</t>
        </is>
      </c>
      <c r="N526" s="25">
        <f>IF(J526&gt;300,1,0)</f>
        <v/>
      </c>
      <c r="O526" s="25">
        <f>IF(J526&gt;600,1,0)</f>
        <v/>
      </c>
      <c r="P526" s="25">
        <f>IF(H526&gt;0,J526,"")</f>
        <v/>
      </c>
      <c r="Q526" s="25">
        <f>TEXT(A526,"YYYY-MM-DD HH")</f>
        <v/>
      </c>
      <c r="R526" s="25">
        <f>COUNTIF($Q$2:$Q$5295,Q526)</f>
        <v/>
      </c>
      <c r="S526" s="25">
        <f>IF(R526&lt;=2,"1-2",IF(R526&lt;=5,"3-5",IF(R526&lt;=10,"6-10","11+")))</f>
        <v/>
      </c>
    </row>
    <row r="527">
      <c r="A527" s="39" t="n">
        <v>46160.22416666667</v>
      </c>
      <c r="B527" s="25">
        <f>TEXT(A527,"YYYY-MM")</f>
        <v/>
      </c>
      <c r="C527" s="25">
        <f>TEXT(A527,"MMM-YYYY")</f>
        <v/>
      </c>
      <c r="D527" s="40">
        <f>INT(A527)-WEEKDAY(A527,2)+1</f>
        <v/>
      </c>
      <c r="E527" s="25" t="inlineStr">
        <is>
          <t>kananya</t>
        </is>
      </c>
      <c r="F527" s="25" t="n">
        <v>94745</v>
      </c>
      <c r="G527" s="25" t="n">
        <v>5</v>
      </c>
      <c r="H527" s="25" t="n">
        <v>31</v>
      </c>
      <c r="I527" s="25" t="inlineStr">
        <is>
          <t>7 minute(s) and 39 second(s)</t>
        </is>
      </c>
      <c r="J527" s="25">
        <f>IFERROR(VALUE(TRIM(LEFT(I527,FIND("minute",I527)-1)))*60,0)+IFERROR(VALUE(SUBSTITUTE(MID(I527,IFERROR(FIND("and",I527)+3,1),20),"second(s)","")),0)</f>
        <v/>
      </c>
      <c r="K527" s="41">
        <f>J527/60</f>
        <v/>
      </c>
      <c r="L527" s="41">
        <f>IFERROR(J527/H527,"")</f>
        <v/>
      </c>
      <c r="M527" s="25" t="inlineStr">
        <is>
          <t>2.5.12</t>
        </is>
      </c>
      <c r="N527" s="25">
        <f>IF(J527&gt;300,1,0)</f>
        <v/>
      </c>
      <c r="O527" s="25">
        <f>IF(J527&gt;600,1,0)</f>
        <v/>
      </c>
      <c r="P527" s="25">
        <f>IF(H527&gt;0,J527,"")</f>
        <v/>
      </c>
      <c r="Q527" s="25">
        <f>TEXT(A527,"YYYY-MM-DD HH")</f>
        <v/>
      </c>
      <c r="R527" s="25">
        <f>COUNTIF($Q$2:$Q$5295,Q527)</f>
        <v/>
      </c>
      <c r="S527" s="25">
        <f>IF(R527&lt;=2,"1-2",IF(R527&lt;=5,"3-5",IF(R527&lt;=10,"6-10","11+")))</f>
        <v/>
      </c>
    </row>
    <row r="528">
      <c r="A528" s="39" t="n">
        <v>46160.2280787037</v>
      </c>
      <c r="B528" s="25">
        <f>TEXT(A528,"YYYY-MM")</f>
        <v/>
      </c>
      <c r="C528" s="25">
        <f>TEXT(A528,"MMM-YYYY")</f>
        <v/>
      </c>
      <c r="D528" s="40">
        <f>INT(A528)-WEEKDAY(A528,2)+1</f>
        <v/>
      </c>
      <c r="E528" s="25" t="inlineStr">
        <is>
          <t>nlnu</t>
        </is>
      </c>
      <c r="F528" s="25" t="n">
        <v>41</v>
      </c>
      <c r="G528" s="25" t="n">
        <v>1</v>
      </c>
      <c r="H528" s="25" t="n">
        <v>5</v>
      </c>
      <c r="I528" s="25" t="inlineStr">
        <is>
          <t>2 minute(s) and 31 second(s)</t>
        </is>
      </c>
      <c r="J528" s="25">
        <f>IFERROR(VALUE(TRIM(LEFT(I528,FIND("minute",I528)-1)))*60,0)+IFERROR(VALUE(SUBSTITUTE(MID(I528,IFERROR(FIND("and",I528)+3,1),20),"second(s)","")),0)</f>
        <v/>
      </c>
      <c r="K528" s="41">
        <f>J528/60</f>
        <v/>
      </c>
      <c r="L528" s="41">
        <f>IFERROR(J528/H528,"")</f>
        <v/>
      </c>
      <c r="M528" s="25" t="inlineStr">
        <is>
          <t>2.5.12</t>
        </is>
      </c>
      <c r="N528" s="25">
        <f>IF(J528&gt;300,1,0)</f>
        <v/>
      </c>
      <c r="O528" s="25">
        <f>IF(J528&gt;600,1,0)</f>
        <v/>
      </c>
      <c r="P528" s="25">
        <f>IF(H528&gt;0,J528,"")</f>
        <v/>
      </c>
      <c r="Q528" s="25">
        <f>TEXT(A528,"YYYY-MM-DD HH")</f>
        <v/>
      </c>
      <c r="R528" s="25">
        <f>COUNTIF($Q$2:$Q$5295,Q528)</f>
        <v/>
      </c>
      <c r="S528" s="25">
        <f>IF(R528&lt;=2,"1-2",IF(R528&lt;=5,"3-5",IF(R528&lt;=10,"6-10","11+")))</f>
        <v/>
      </c>
    </row>
    <row r="529">
      <c r="A529" s="39" t="n">
        <v>46160.23174768518</v>
      </c>
      <c r="B529" s="25">
        <f>TEXT(A529,"YYYY-MM")</f>
        <v/>
      </c>
      <c r="C529" s="25">
        <f>TEXT(A529,"MMM-YYYY")</f>
        <v/>
      </c>
      <c r="D529" s="40">
        <f>INT(A529)-WEEKDAY(A529,2)+1</f>
        <v/>
      </c>
      <c r="E529" s="25" t="inlineStr">
        <is>
          <t>anusharma</t>
        </is>
      </c>
      <c r="F529" s="25" t="n">
        <v>133</v>
      </c>
      <c r="G529" s="25" t="n">
        <v>1</v>
      </c>
      <c r="H529" s="25" t="n">
        <v>5</v>
      </c>
      <c r="I529" s="25" t="inlineStr">
        <is>
          <t>2 minute(s) and 25 second(s)</t>
        </is>
      </c>
      <c r="J529" s="25">
        <f>IFERROR(VALUE(TRIM(LEFT(I529,FIND("minute",I529)-1)))*60,0)+IFERROR(VALUE(SUBSTITUTE(MID(I529,IFERROR(FIND("and",I529)+3,1),20),"second(s)","")),0)</f>
        <v/>
      </c>
      <c r="K529" s="41">
        <f>J529/60</f>
        <v/>
      </c>
      <c r="L529" s="41">
        <f>IFERROR(J529/H529,"")</f>
        <v/>
      </c>
      <c r="M529" s="25" t="inlineStr">
        <is>
          <t>2.5.12</t>
        </is>
      </c>
      <c r="N529" s="25">
        <f>IF(J529&gt;300,1,0)</f>
        <v/>
      </c>
      <c r="O529" s="25">
        <f>IF(J529&gt;600,1,0)</f>
        <v/>
      </c>
      <c r="P529" s="25">
        <f>IF(H529&gt;0,J529,"")</f>
        <v/>
      </c>
      <c r="Q529" s="25">
        <f>TEXT(A529,"YYYY-MM-DD HH")</f>
        <v/>
      </c>
      <c r="R529" s="25">
        <f>COUNTIF($Q$2:$Q$5295,Q529)</f>
        <v/>
      </c>
      <c r="S529" s="25">
        <f>IF(R529&lt;=2,"1-2",IF(R529&lt;=5,"3-5",IF(R529&lt;=10,"6-10","11+")))</f>
        <v/>
      </c>
    </row>
    <row r="530">
      <c r="A530" s="39" t="n">
        <v>46160.23988425926</v>
      </c>
      <c r="B530" s="25">
        <f>TEXT(A530,"YYYY-MM")</f>
        <v/>
      </c>
      <c r="C530" s="25">
        <f>TEXT(A530,"MMM-YYYY")</f>
        <v/>
      </c>
      <c r="D530" s="40">
        <f>INT(A530)-WEEKDAY(A530,2)+1</f>
        <v/>
      </c>
      <c r="E530" s="25" t="inlineStr">
        <is>
          <t>akumari</t>
        </is>
      </c>
      <c r="F530" s="25" t="n">
        <v>14</v>
      </c>
      <c r="G530" s="25" t="n">
        <v>1</v>
      </c>
      <c r="H530" s="25" t="n">
        <v>7</v>
      </c>
      <c r="I530" s="25" t="inlineStr">
        <is>
          <t>59 second(s)</t>
        </is>
      </c>
      <c r="J530" s="25">
        <f>IFERROR(VALUE(TRIM(LEFT(I530,FIND("minute",I530)-1)))*60,0)+IFERROR(VALUE(SUBSTITUTE(MID(I530,IFERROR(FIND("and",I530)+3,1),20),"second(s)","")),0)</f>
        <v/>
      </c>
      <c r="K530" s="41">
        <f>J530/60</f>
        <v/>
      </c>
      <c r="L530" s="41">
        <f>IFERROR(J530/H530,"")</f>
        <v/>
      </c>
      <c r="M530" s="25" t="inlineStr">
        <is>
          <t>2.5.12</t>
        </is>
      </c>
      <c r="N530" s="25">
        <f>IF(J530&gt;300,1,0)</f>
        <v/>
      </c>
      <c r="O530" s="25">
        <f>IF(J530&gt;600,1,0)</f>
        <v/>
      </c>
      <c r="P530" s="25">
        <f>IF(H530&gt;0,J530,"")</f>
        <v/>
      </c>
      <c r="Q530" s="25">
        <f>TEXT(A530,"YYYY-MM-DD HH")</f>
        <v/>
      </c>
      <c r="R530" s="25">
        <f>COUNTIF($Q$2:$Q$5295,Q530)</f>
        <v/>
      </c>
      <c r="S530" s="25">
        <f>IF(R530&lt;=2,"1-2",IF(R530&lt;=5,"3-5",IF(R530&lt;=10,"6-10","11+")))</f>
        <v/>
      </c>
    </row>
    <row r="531">
      <c r="A531" s="39" t="n">
        <v>46160.24140046296</v>
      </c>
      <c r="B531" s="25">
        <f>TEXT(A531,"YYYY-MM")</f>
        <v/>
      </c>
      <c r="C531" s="25">
        <f>TEXT(A531,"MMM-YYYY")</f>
        <v/>
      </c>
      <c r="D531" s="40">
        <f>INT(A531)-WEEKDAY(A531,2)+1</f>
        <v/>
      </c>
      <c r="E531" s="25" t="inlineStr">
        <is>
          <t>mbhalla</t>
        </is>
      </c>
      <c r="F531" s="25" t="n">
        <v>22</v>
      </c>
      <c r="G531" s="25" t="n">
        <v>1</v>
      </c>
      <c r="H531" s="25" t="n">
        <v>7</v>
      </c>
      <c r="I531" s="25" t="inlineStr">
        <is>
          <t>1 minute(s) and 24 second(s)</t>
        </is>
      </c>
      <c r="J531" s="25">
        <f>IFERROR(VALUE(TRIM(LEFT(I531,FIND("minute",I531)-1)))*60,0)+IFERROR(VALUE(SUBSTITUTE(MID(I531,IFERROR(FIND("and",I531)+3,1),20),"second(s)","")),0)</f>
        <v/>
      </c>
      <c r="K531" s="41">
        <f>J531/60</f>
        <v/>
      </c>
      <c r="L531" s="41">
        <f>IFERROR(J531/H531,"")</f>
        <v/>
      </c>
      <c r="M531" s="25" t="inlineStr">
        <is>
          <t>2.5.12</t>
        </is>
      </c>
      <c r="N531" s="25">
        <f>IF(J531&gt;300,1,0)</f>
        <v/>
      </c>
      <c r="O531" s="25">
        <f>IF(J531&gt;600,1,0)</f>
        <v/>
      </c>
      <c r="P531" s="25">
        <f>IF(H531&gt;0,J531,"")</f>
        <v/>
      </c>
      <c r="Q531" s="25">
        <f>TEXT(A531,"YYYY-MM-DD HH")</f>
        <v/>
      </c>
      <c r="R531" s="25">
        <f>COUNTIF($Q$2:$Q$5295,Q531)</f>
        <v/>
      </c>
      <c r="S531" s="25">
        <f>IF(R531&lt;=2,"1-2",IF(R531&lt;=5,"3-5",IF(R531&lt;=10,"6-10","11+")))</f>
        <v/>
      </c>
    </row>
    <row r="532">
      <c r="A532" s="39" t="n">
        <v>46160.24158564815</v>
      </c>
      <c r="B532" s="25">
        <f>TEXT(A532,"YYYY-MM")</f>
        <v/>
      </c>
      <c r="C532" s="25">
        <f>TEXT(A532,"MMM-YYYY")</f>
        <v/>
      </c>
      <c r="D532" s="40">
        <f>INT(A532)-WEEKDAY(A532,2)+1</f>
        <v/>
      </c>
      <c r="E532" s="25" t="inlineStr">
        <is>
          <t>psathwika</t>
        </is>
      </c>
      <c r="F532" s="25" t="n">
        <v>113745</v>
      </c>
      <c r="G532" s="25" t="n">
        <v>2</v>
      </c>
      <c r="H532" s="25" t="n">
        <v>11</v>
      </c>
      <c r="I532" s="25" t="inlineStr">
        <is>
          <t>4 minute(s) and 14 second(s)</t>
        </is>
      </c>
      <c r="J532" s="25">
        <f>IFERROR(VALUE(TRIM(LEFT(I532,FIND("minute",I532)-1)))*60,0)+IFERROR(VALUE(SUBSTITUTE(MID(I532,IFERROR(FIND("and",I532)+3,1),20),"second(s)","")),0)</f>
        <v/>
      </c>
      <c r="K532" s="41">
        <f>J532/60</f>
        <v/>
      </c>
      <c r="L532" s="41">
        <f>IFERROR(J532/H532,"")</f>
        <v/>
      </c>
      <c r="M532" s="25" t="inlineStr">
        <is>
          <t>2.5.12</t>
        </is>
      </c>
      <c r="N532" s="25">
        <f>IF(J532&gt;300,1,0)</f>
        <v/>
      </c>
      <c r="O532" s="25">
        <f>IF(J532&gt;600,1,0)</f>
        <v/>
      </c>
      <c r="P532" s="25">
        <f>IF(H532&gt;0,J532,"")</f>
        <v/>
      </c>
      <c r="Q532" s="25">
        <f>TEXT(A532,"YYYY-MM-DD HH")</f>
        <v/>
      </c>
      <c r="R532" s="25">
        <f>COUNTIF($Q$2:$Q$5295,Q532)</f>
        <v/>
      </c>
      <c r="S532" s="25">
        <f>IF(R532&lt;=2,"1-2",IF(R532&lt;=5,"3-5",IF(R532&lt;=10,"6-10","11+")))</f>
        <v/>
      </c>
    </row>
    <row r="533">
      <c r="A533" s="39" t="n">
        <v>46160.24313657408</v>
      </c>
      <c r="B533" s="25">
        <f>TEXT(A533,"YYYY-MM")</f>
        <v/>
      </c>
      <c r="C533" s="25">
        <f>TEXT(A533,"MMM-YYYY")</f>
        <v/>
      </c>
      <c r="D533" s="40">
        <f>INT(A533)-WEEKDAY(A533,2)+1</f>
        <v/>
      </c>
      <c r="E533" s="25" t="inlineStr">
        <is>
          <t>ptomar</t>
        </is>
      </c>
      <c r="F533" s="25" t="n">
        <v>122</v>
      </c>
      <c r="G533" s="25" t="n">
        <v>1</v>
      </c>
      <c r="H533" s="25" t="n">
        <v>5</v>
      </c>
      <c r="I533" s="25" t="inlineStr">
        <is>
          <t>39 second(s)</t>
        </is>
      </c>
      <c r="J533" s="25">
        <f>IFERROR(VALUE(TRIM(LEFT(I533,FIND("minute",I533)-1)))*60,0)+IFERROR(VALUE(SUBSTITUTE(MID(I533,IFERROR(FIND("and",I533)+3,1),20),"second(s)","")),0)</f>
        <v/>
      </c>
      <c r="K533" s="41">
        <f>J533/60</f>
        <v/>
      </c>
      <c r="L533" s="41">
        <f>IFERROR(J533/H533,"")</f>
        <v/>
      </c>
      <c r="M533" s="25" t="inlineStr">
        <is>
          <t>2.5.12</t>
        </is>
      </c>
      <c r="N533" s="25">
        <f>IF(J533&gt;300,1,0)</f>
        <v/>
      </c>
      <c r="O533" s="25">
        <f>IF(J533&gt;600,1,0)</f>
        <v/>
      </c>
      <c r="P533" s="25">
        <f>IF(H533&gt;0,J533,"")</f>
        <v/>
      </c>
      <c r="Q533" s="25">
        <f>TEXT(A533,"YYYY-MM-DD HH")</f>
        <v/>
      </c>
      <c r="R533" s="25">
        <f>COUNTIF($Q$2:$Q$5295,Q533)</f>
        <v/>
      </c>
      <c r="S533" s="25">
        <f>IF(R533&lt;=2,"1-2",IF(R533&lt;=5,"3-5",IF(R533&lt;=10,"6-10","11+")))</f>
        <v/>
      </c>
    </row>
    <row r="534">
      <c r="A534" s="39" t="n">
        <v>46160.24388888889</v>
      </c>
      <c r="B534" s="25">
        <f>TEXT(A534,"YYYY-MM")</f>
        <v/>
      </c>
      <c r="C534" s="25">
        <f>TEXT(A534,"MMM-YYYY")</f>
        <v/>
      </c>
      <c r="D534" s="40">
        <f>INT(A534)-WEEKDAY(A534,2)+1</f>
        <v/>
      </c>
      <c r="E534" s="25" t="inlineStr">
        <is>
          <t>abhaskarkp</t>
        </is>
      </c>
      <c r="F534" s="25" t="n">
        <v>83364</v>
      </c>
      <c r="G534" s="25" t="n">
        <v>1</v>
      </c>
      <c r="H534" s="25" t="n">
        <v>5</v>
      </c>
      <c r="I534" s="25" t="inlineStr">
        <is>
          <t>1 minute(s) and 0 second(s)</t>
        </is>
      </c>
      <c r="J534" s="25">
        <f>IFERROR(VALUE(TRIM(LEFT(I534,FIND("minute",I534)-1)))*60,0)+IFERROR(VALUE(SUBSTITUTE(MID(I534,IFERROR(FIND("and",I534)+3,1),20),"second(s)","")),0)</f>
        <v/>
      </c>
      <c r="K534" s="41">
        <f>J534/60</f>
        <v/>
      </c>
      <c r="L534" s="41">
        <f>IFERROR(J534/H534,"")</f>
        <v/>
      </c>
      <c r="M534" s="25" t="inlineStr">
        <is>
          <t>2.5.12</t>
        </is>
      </c>
      <c r="N534" s="25">
        <f>IF(J534&gt;300,1,0)</f>
        <v/>
      </c>
      <c r="O534" s="25">
        <f>IF(J534&gt;600,1,0)</f>
        <v/>
      </c>
      <c r="P534" s="25">
        <f>IF(H534&gt;0,J534,"")</f>
        <v/>
      </c>
      <c r="Q534" s="25">
        <f>TEXT(A534,"YYYY-MM-DD HH")</f>
        <v/>
      </c>
      <c r="R534" s="25">
        <f>COUNTIF($Q$2:$Q$5295,Q534)</f>
        <v/>
      </c>
      <c r="S534" s="25">
        <f>IF(R534&lt;=2,"1-2",IF(R534&lt;=5,"3-5",IF(R534&lt;=10,"6-10","11+")))</f>
        <v/>
      </c>
    </row>
    <row r="535">
      <c r="A535" s="39" t="n">
        <v>46160.24575231481</v>
      </c>
      <c r="B535" s="25">
        <f>TEXT(A535,"YYYY-MM")</f>
        <v/>
      </c>
      <c r="C535" s="25">
        <f>TEXT(A535,"MMM-YYYY")</f>
        <v/>
      </c>
      <c r="D535" s="40">
        <f>INT(A535)-WEEKDAY(A535,2)+1</f>
        <v/>
      </c>
      <c r="E535" s="25" t="inlineStr">
        <is>
          <t>arsarkar</t>
        </is>
      </c>
      <c r="F535" s="25" t="n">
        <v>58991</v>
      </c>
      <c r="G535" s="25" t="n">
        <v>1</v>
      </c>
      <c r="H535" s="25" t="n">
        <v>5</v>
      </c>
      <c r="I535" s="25" t="inlineStr">
        <is>
          <t>2 minute(s) and 28 second(s)</t>
        </is>
      </c>
      <c r="J535" s="25">
        <f>IFERROR(VALUE(TRIM(LEFT(I535,FIND("minute",I535)-1)))*60,0)+IFERROR(VALUE(SUBSTITUTE(MID(I535,IFERROR(FIND("and",I535)+3,1),20),"second(s)","")),0)</f>
        <v/>
      </c>
      <c r="K535" s="41">
        <f>J535/60</f>
        <v/>
      </c>
      <c r="L535" s="41">
        <f>IFERROR(J535/H535,"")</f>
        <v/>
      </c>
      <c r="M535" s="25" t="inlineStr">
        <is>
          <t>2.5.12</t>
        </is>
      </c>
      <c r="N535" s="25">
        <f>IF(J535&gt;300,1,0)</f>
        <v/>
      </c>
      <c r="O535" s="25">
        <f>IF(J535&gt;600,1,0)</f>
        <v/>
      </c>
      <c r="P535" s="25">
        <f>IF(H535&gt;0,J535,"")</f>
        <v/>
      </c>
      <c r="Q535" s="25">
        <f>TEXT(A535,"YYYY-MM-DD HH")</f>
        <v/>
      </c>
      <c r="R535" s="25">
        <f>COUNTIF($Q$2:$Q$5295,Q535)</f>
        <v/>
      </c>
      <c r="S535" s="25">
        <f>IF(R535&lt;=2,"1-2",IF(R535&lt;=5,"3-5",IF(R535&lt;=10,"6-10","11+")))</f>
        <v/>
      </c>
    </row>
    <row r="536">
      <c r="A536" s="39" t="n">
        <v>46160.24753472222</v>
      </c>
      <c r="B536" s="25">
        <f>TEXT(A536,"YYYY-MM")</f>
        <v/>
      </c>
      <c r="C536" s="25">
        <f>TEXT(A536,"MMM-YYYY")</f>
        <v/>
      </c>
      <c r="D536" s="40">
        <f>INT(A536)-WEEKDAY(A536,2)+1</f>
        <v/>
      </c>
      <c r="E536" s="25" t="inlineStr">
        <is>
          <t>atiwari</t>
        </is>
      </c>
      <c r="F536" s="25" t="n">
        <v>171</v>
      </c>
      <c r="G536" s="25" t="n">
        <v>2</v>
      </c>
      <c r="H536" s="25" t="n">
        <v>8</v>
      </c>
      <c r="I536" s="25" t="inlineStr">
        <is>
          <t>2 minute(s) and 48 second(s)</t>
        </is>
      </c>
      <c r="J536" s="25">
        <f>IFERROR(VALUE(TRIM(LEFT(I536,FIND("minute",I536)-1)))*60,0)+IFERROR(VALUE(SUBSTITUTE(MID(I536,IFERROR(FIND("and",I536)+3,1),20),"second(s)","")),0)</f>
        <v/>
      </c>
      <c r="K536" s="41">
        <f>J536/60</f>
        <v/>
      </c>
      <c r="L536" s="41">
        <f>IFERROR(J536/H536,"")</f>
        <v/>
      </c>
      <c r="M536" s="25" t="inlineStr">
        <is>
          <t>2.5.12</t>
        </is>
      </c>
      <c r="N536" s="25">
        <f>IF(J536&gt;300,1,0)</f>
        <v/>
      </c>
      <c r="O536" s="25">
        <f>IF(J536&gt;600,1,0)</f>
        <v/>
      </c>
      <c r="P536" s="25">
        <f>IF(H536&gt;0,J536,"")</f>
        <v/>
      </c>
      <c r="Q536" s="25">
        <f>TEXT(A536,"YYYY-MM-DD HH")</f>
        <v/>
      </c>
      <c r="R536" s="25">
        <f>COUNTIF($Q$2:$Q$5295,Q536)</f>
        <v/>
      </c>
      <c r="S536" s="25">
        <f>IF(R536&lt;=2,"1-2",IF(R536&lt;=5,"3-5",IF(R536&lt;=10,"6-10","11+")))</f>
        <v/>
      </c>
    </row>
    <row r="537">
      <c r="A537" s="39" t="n">
        <v>46160.24922453704</v>
      </c>
      <c r="B537" s="25">
        <f>TEXT(A537,"YYYY-MM")</f>
        <v/>
      </c>
      <c r="C537" s="25">
        <f>TEXT(A537,"MMM-YYYY")</f>
        <v/>
      </c>
      <c r="D537" s="40">
        <f>INT(A537)-WEEKDAY(A537,2)+1</f>
        <v/>
      </c>
      <c r="E537" s="25" t="inlineStr">
        <is>
          <t>emishra</t>
        </is>
      </c>
      <c r="F537" s="25" t="n">
        <v>94813</v>
      </c>
      <c r="G537" s="25" t="n">
        <v>5</v>
      </c>
      <c r="H537" s="25" t="n">
        <v>35</v>
      </c>
      <c r="I537" s="25" t="inlineStr">
        <is>
          <t>5 minute(s) and 15 second(s)</t>
        </is>
      </c>
      <c r="J537" s="25">
        <f>IFERROR(VALUE(TRIM(LEFT(I537,FIND("minute",I537)-1)))*60,0)+IFERROR(VALUE(SUBSTITUTE(MID(I537,IFERROR(FIND("and",I537)+3,1),20),"second(s)","")),0)</f>
        <v/>
      </c>
      <c r="K537" s="41">
        <f>J537/60</f>
        <v/>
      </c>
      <c r="L537" s="41">
        <f>IFERROR(J537/H537,"")</f>
        <v/>
      </c>
      <c r="M537" s="25" t="inlineStr">
        <is>
          <t>2.5.12</t>
        </is>
      </c>
      <c r="N537" s="25">
        <f>IF(J537&gt;300,1,0)</f>
        <v/>
      </c>
      <c r="O537" s="25">
        <f>IF(J537&gt;600,1,0)</f>
        <v/>
      </c>
      <c r="P537" s="25">
        <f>IF(H537&gt;0,J537,"")</f>
        <v/>
      </c>
      <c r="Q537" s="25">
        <f>TEXT(A537,"YYYY-MM-DD HH")</f>
        <v/>
      </c>
      <c r="R537" s="25">
        <f>COUNTIF($Q$2:$Q$5295,Q537)</f>
        <v/>
      </c>
      <c r="S537" s="25">
        <f>IF(R537&lt;=2,"1-2",IF(R537&lt;=5,"3-5",IF(R537&lt;=10,"6-10","11+")))</f>
        <v/>
      </c>
    </row>
    <row r="538">
      <c r="A538" s="39" t="n">
        <v>46160.25332175926</v>
      </c>
      <c r="B538" s="25">
        <f>TEXT(A538,"YYYY-MM")</f>
        <v/>
      </c>
      <c r="C538" s="25">
        <f>TEXT(A538,"MMM-YYYY")</f>
        <v/>
      </c>
      <c r="D538" s="40">
        <f>INT(A538)-WEEKDAY(A538,2)+1</f>
        <v/>
      </c>
      <c r="E538" s="25" t="inlineStr">
        <is>
          <t>dbhattacharyya</t>
        </is>
      </c>
      <c r="F538" s="25" t="n">
        <v>69224</v>
      </c>
      <c r="G538" s="25" t="n">
        <v>2</v>
      </c>
      <c r="H538" s="25" t="n">
        <v>10</v>
      </c>
      <c r="I538" s="25" t="inlineStr">
        <is>
          <t>1 minute(s) and 28 second(s)</t>
        </is>
      </c>
      <c r="J538" s="25">
        <f>IFERROR(VALUE(TRIM(LEFT(I538,FIND("minute",I538)-1)))*60,0)+IFERROR(VALUE(SUBSTITUTE(MID(I538,IFERROR(FIND("and",I538)+3,1),20),"second(s)","")),0)</f>
        <v/>
      </c>
      <c r="K538" s="41">
        <f>J538/60</f>
        <v/>
      </c>
      <c r="L538" s="41">
        <f>IFERROR(J538/H538,"")</f>
        <v/>
      </c>
      <c r="M538" s="25" t="inlineStr">
        <is>
          <t>2.5.12</t>
        </is>
      </c>
      <c r="N538" s="25">
        <f>IF(J538&gt;300,1,0)</f>
        <v/>
      </c>
      <c r="O538" s="25">
        <f>IF(J538&gt;600,1,0)</f>
        <v/>
      </c>
      <c r="P538" s="25">
        <f>IF(H538&gt;0,J538,"")</f>
        <v/>
      </c>
      <c r="Q538" s="25">
        <f>TEXT(A538,"YYYY-MM-DD HH")</f>
        <v/>
      </c>
      <c r="R538" s="25">
        <f>COUNTIF($Q$2:$Q$5295,Q538)</f>
        <v/>
      </c>
      <c r="S538" s="25">
        <f>IF(R538&lt;=2,"1-2",IF(R538&lt;=5,"3-5",IF(R538&lt;=10,"6-10","11+")))</f>
        <v/>
      </c>
    </row>
    <row r="539">
      <c r="A539" s="39" t="n">
        <v>46160.25671296296</v>
      </c>
      <c r="B539" s="25">
        <f>TEXT(A539,"YYYY-MM")</f>
        <v/>
      </c>
      <c r="C539" s="25">
        <f>TEXT(A539,"MMM-YYYY")</f>
        <v/>
      </c>
      <c r="D539" s="40">
        <f>INT(A539)-WEEKDAY(A539,2)+1</f>
        <v/>
      </c>
      <c r="E539" s="25" t="inlineStr">
        <is>
          <t>npriya</t>
        </is>
      </c>
      <c r="F539" s="25" t="n">
        <v>81120</v>
      </c>
      <c r="G539" s="25" t="n">
        <v>1</v>
      </c>
      <c r="H539" s="25" t="n">
        <v>7</v>
      </c>
      <c r="I539" s="25" t="inlineStr">
        <is>
          <t>2 minute(s) and 47 second(s)</t>
        </is>
      </c>
      <c r="J539" s="25">
        <f>IFERROR(VALUE(TRIM(LEFT(I539,FIND("minute",I539)-1)))*60,0)+IFERROR(VALUE(SUBSTITUTE(MID(I539,IFERROR(FIND("and",I539)+3,1),20),"second(s)","")),0)</f>
        <v/>
      </c>
      <c r="K539" s="41">
        <f>J539/60</f>
        <v/>
      </c>
      <c r="L539" s="41">
        <f>IFERROR(J539/H539,"")</f>
        <v/>
      </c>
      <c r="M539" s="25" t="inlineStr">
        <is>
          <t>2.5.12</t>
        </is>
      </c>
      <c r="N539" s="25">
        <f>IF(J539&gt;300,1,0)</f>
        <v/>
      </c>
      <c r="O539" s="25">
        <f>IF(J539&gt;600,1,0)</f>
        <v/>
      </c>
      <c r="P539" s="25">
        <f>IF(H539&gt;0,J539,"")</f>
        <v/>
      </c>
      <c r="Q539" s="25">
        <f>TEXT(A539,"YYYY-MM-DD HH")</f>
        <v/>
      </c>
      <c r="R539" s="25">
        <f>COUNTIF($Q$2:$Q$5295,Q539)</f>
        <v/>
      </c>
      <c r="S539" s="25">
        <f>IF(R539&lt;=2,"1-2",IF(R539&lt;=5,"3-5",IF(R539&lt;=10,"6-10","11+")))</f>
        <v/>
      </c>
    </row>
    <row r="540">
      <c r="A540" s="39" t="n">
        <v>46160.26475694445</v>
      </c>
      <c r="B540" s="25">
        <f>TEXT(A540,"YYYY-MM")</f>
        <v/>
      </c>
      <c r="C540" s="25">
        <f>TEXT(A540,"MMM-YYYY")</f>
        <v/>
      </c>
      <c r="D540" s="40">
        <f>INT(A540)-WEEKDAY(A540,2)+1</f>
        <v/>
      </c>
      <c r="E540" s="25" t="inlineStr">
        <is>
          <t>mbohra</t>
        </is>
      </c>
      <c r="F540" s="25" t="n">
        <v>214</v>
      </c>
      <c r="G540" s="25" t="n">
        <v>7</v>
      </c>
      <c r="H540" s="25" t="n">
        <v>25</v>
      </c>
      <c r="I540" s="25" t="inlineStr">
        <is>
          <t>6 minute(s) and 22 second(s)</t>
        </is>
      </c>
      <c r="J540" s="25">
        <f>IFERROR(VALUE(TRIM(LEFT(I540,FIND("minute",I540)-1)))*60,0)+IFERROR(VALUE(SUBSTITUTE(MID(I540,IFERROR(FIND("and",I540)+3,1),20),"second(s)","")),0)</f>
        <v/>
      </c>
      <c r="K540" s="41">
        <f>J540/60</f>
        <v/>
      </c>
      <c r="L540" s="41">
        <f>IFERROR(J540/H540,"")</f>
        <v/>
      </c>
      <c r="M540" s="25" t="inlineStr">
        <is>
          <t>2.5.12</t>
        </is>
      </c>
      <c r="N540" s="25">
        <f>IF(J540&gt;300,1,0)</f>
        <v/>
      </c>
      <c r="O540" s="25">
        <f>IF(J540&gt;600,1,0)</f>
        <v/>
      </c>
      <c r="P540" s="25">
        <f>IF(H540&gt;0,J540,"")</f>
        <v/>
      </c>
      <c r="Q540" s="25">
        <f>TEXT(A540,"YYYY-MM-DD HH")</f>
        <v/>
      </c>
      <c r="R540" s="25">
        <f>COUNTIF($Q$2:$Q$5295,Q540)</f>
        <v/>
      </c>
      <c r="S540" s="25">
        <f>IF(R540&lt;=2,"1-2",IF(R540&lt;=5,"3-5",IF(R540&lt;=10,"6-10","11+")))</f>
        <v/>
      </c>
    </row>
    <row r="541">
      <c r="A541" s="39" t="n">
        <v>46160.26670138889</v>
      </c>
      <c r="B541" s="25">
        <f>TEXT(A541,"YYYY-MM")</f>
        <v/>
      </c>
      <c r="C541" s="25">
        <f>TEXT(A541,"MMM-YYYY")</f>
        <v/>
      </c>
      <c r="D541" s="40">
        <f>INT(A541)-WEEKDAY(A541,2)+1</f>
        <v/>
      </c>
      <c r="E541" s="25" t="inlineStr">
        <is>
          <t>emishra</t>
        </is>
      </c>
      <c r="F541" s="25" t="n">
        <v>71</v>
      </c>
      <c r="G541" s="25" t="n">
        <v>1</v>
      </c>
      <c r="H541" s="25" t="n">
        <v>7</v>
      </c>
      <c r="I541" s="25" t="inlineStr">
        <is>
          <t>1 minute(s) and 1 second(s)</t>
        </is>
      </c>
      <c r="J541" s="25">
        <f>IFERROR(VALUE(TRIM(LEFT(I541,FIND("minute",I541)-1)))*60,0)+IFERROR(VALUE(SUBSTITUTE(MID(I541,IFERROR(FIND("and",I541)+3,1),20),"second(s)","")),0)</f>
        <v/>
      </c>
      <c r="K541" s="41">
        <f>J541/60</f>
        <v/>
      </c>
      <c r="L541" s="41">
        <f>IFERROR(J541/H541,"")</f>
        <v/>
      </c>
      <c r="M541" s="25" t="inlineStr">
        <is>
          <t>2.5.12</t>
        </is>
      </c>
      <c r="N541" s="25">
        <f>IF(J541&gt;300,1,0)</f>
        <v/>
      </c>
      <c r="O541" s="25">
        <f>IF(J541&gt;600,1,0)</f>
        <v/>
      </c>
      <c r="P541" s="25">
        <f>IF(H541&gt;0,J541,"")</f>
        <v/>
      </c>
      <c r="Q541" s="25">
        <f>TEXT(A541,"YYYY-MM-DD HH")</f>
        <v/>
      </c>
      <c r="R541" s="25">
        <f>COUNTIF($Q$2:$Q$5295,Q541)</f>
        <v/>
      </c>
      <c r="S541" s="25">
        <f>IF(R541&lt;=2,"1-2",IF(R541&lt;=5,"3-5",IF(R541&lt;=10,"6-10","11+")))</f>
        <v/>
      </c>
    </row>
    <row r="542">
      <c r="A542" s="39" t="n">
        <v>46160.26734953704</v>
      </c>
      <c r="B542" s="25">
        <f>TEXT(A542,"YYYY-MM")</f>
        <v/>
      </c>
      <c r="C542" s="25">
        <f>TEXT(A542,"MMM-YYYY")</f>
        <v/>
      </c>
      <c r="D542" s="40">
        <f>INT(A542)-WEEKDAY(A542,2)+1</f>
        <v/>
      </c>
      <c r="E542" s="25" t="inlineStr">
        <is>
          <t>asahoo</t>
        </is>
      </c>
      <c r="F542" s="25" t="n">
        <v>152</v>
      </c>
      <c r="G542" s="25" t="n">
        <v>1</v>
      </c>
      <c r="H542" s="25" t="n">
        <v>5</v>
      </c>
      <c r="I542" s="25" t="inlineStr">
        <is>
          <t>1 minute(s) and 55 second(s)</t>
        </is>
      </c>
      <c r="J542" s="25">
        <f>IFERROR(VALUE(TRIM(LEFT(I542,FIND("minute",I542)-1)))*60,0)+IFERROR(VALUE(SUBSTITUTE(MID(I542,IFERROR(FIND("and",I542)+3,1),20),"second(s)","")),0)</f>
        <v/>
      </c>
      <c r="K542" s="41">
        <f>J542/60</f>
        <v/>
      </c>
      <c r="L542" s="41">
        <f>IFERROR(J542/H542,"")</f>
        <v/>
      </c>
      <c r="M542" s="25" t="inlineStr">
        <is>
          <t>2.5.12</t>
        </is>
      </c>
      <c r="N542" s="25">
        <f>IF(J542&gt;300,1,0)</f>
        <v/>
      </c>
      <c r="O542" s="25">
        <f>IF(J542&gt;600,1,0)</f>
        <v/>
      </c>
      <c r="P542" s="25">
        <f>IF(H542&gt;0,J542,"")</f>
        <v/>
      </c>
      <c r="Q542" s="25">
        <f>TEXT(A542,"YYYY-MM-DD HH")</f>
        <v/>
      </c>
      <c r="R542" s="25">
        <f>COUNTIF($Q$2:$Q$5295,Q542)</f>
        <v/>
      </c>
      <c r="S542" s="25">
        <f>IF(R542&lt;=2,"1-2",IF(R542&lt;=5,"3-5",IF(R542&lt;=10,"6-10","11+")))</f>
        <v/>
      </c>
    </row>
    <row r="543">
      <c r="A543" s="39" t="n">
        <v>46160.26773148148</v>
      </c>
      <c r="B543" s="25">
        <f>TEXT(A543,"YYYY-MM")</f>
        <v/>
      </c>
      <c r="C543" s="25">
        <f>TEXT(A543,"MMM-YYYY")</f>
        <v/>
      </c>
      <c r="D543" s="40">
        <f>INT(A543)-WEEKDAY(A543,2)+1</f>
        <v/>
      </c>
      <c r="E543" s="25" t="inlineStr">
        <is>
          <t>sphatak</t>
        </is>
      </c>
      <c r="F543" s="25" t="n">
        <v>207</v>
      </c>
      <c r="G543" s="25" t="n">
        <v>1</v>
      </c>
      <c r="H543" s="25" t="n">
        <v>5</v>
      </c>
      <c r="I543" s="25" t="inlineStr">
        <is>
          <t>2 minute(s) and 33 second(s)</t>
        </is>
      </c>
      <c r="J543" s="25">
        <f>IFERROR(VALUE(TRIM(LEFT(I543,FIND("minute",I543)-1)))*60,0)+IFERROR(VALUE(SUBSTITUTE(MID(I543,IFERROR(FIND("and",I543)+3,1),20),"second(s)","")),0)</f>
        <v/>
      </c>
      <c r="K543" s="41">
        <f>J543/60</f>
        <v/>
      </c>
      <c r="L543" s="41">
        <f>IFERROR(J543/H543,"")</f>
        <v/>
      </c>
      <c r="M543" s="25" t="inlineStr">
        <is>
          <t>2.5.12</t>
        </is>
      </c>
      <c r="N543" s="25">
        <f>IF(J543&gt;300,1,0)</f>
        <v/>
      </c>
      <c r="O543" s="25">
        <f>IF(J543&gt;600,1,0)</f>
        <v/>
      </c>
      <c r="P543" s="25">
        <f>IF(H543&gt;0,J543,"")</f>
        <v/>
      </c>
      <c r="Q543" s="25">
        <f>TEXT(A543,"YYYY-MM-DD HH")</f>
        <v/>
      </c>
      <c r="R543" s="25">
        <f>COUNTIF($Q$2:$Q$5295,Q543)</f>
        <v/>
      </c>
      <c r="S543" s="25">
        <f>IF(R543&lt;=2,"1-2",IF(R543&lt;=5,"3-5",IF(R543&lt;=10,"6-10","11+")))</f>
        <v/>
      </c>
    </row>
    <row r="544">
      <c r="A544" s="39" t="n">
        <v>46160.26862268519</v>
      </c>
      <c r="B544" s="25">
        <f>TEXT(A544,"YYYY-MM")</f>
        <v/>
      </c>
      <c r="C544" s="25">
        <f>TEXT(A544,"MMM-YYYY")</f>
        <v/>
      </c>
      <c r="D544" s="40">
        <f>INT(A544)-WEEKDAY(A544,2)+1</f>
        <v/>
      </c>
      <c r="E544" s="25" t="inlineStr">
        <is>
          <t>smukhopadhyay</t>
        </is>
      </c>
      <c r="F544" s="25" t="n">
        <v>42318</v>
      </c>
      <c r="G544" s="25" t="n">
        <v>1</v>
      </c>
      <c r="H544" s="25" t="n">
        <v>5</v>
      </c>
      <c r="I544" s="25" t="inlineStr">
        <is>
          <t>2 minute(s) and 34 second(s)</t>
        </is>
      </c>
      <c r="J544" s="25">
        <f>IFERROR(VALUE(TRIM(LEFT(I544,FIND("minute",I544)-1)))*60,0)+IFERROR(VALUE(SUBSTITUTE(MID(I544,IFERROR(FIND("and",I544)+3,1),20),"second(s)","")),0)</f>
        <v/>
      </c>
      <c r="K544" s="41">
        <f>J544/60</f>
        <v/>
      </c>
      <c r="L544" s="41">
        <f>IFERROR(J544/H544,"")</f>
        <v/>
      </c>
      <c r="M544" s="25" t="inlineStr">
        <is>
          <t>2.5.12</t>
        </is>
      </c>
      <c r="N544" s="25">
        <f>IF(J544&gt;300,1,0)</f>
        <v/>
      </c>
      <c r="O544" s="25">
        <f>IF(J544&gt;600,1,0)</f>
        <v/>
      </c>
      <c r="P544" s="25">
        <f>IF(H544&gt;0,J544,"")</f>
        <v/>
      </c>
      <c r="Q544" s="25">
        <f>TEXT(A544,"YYYY-MM-DD HH")</f>
        <v/>
      </c>
      <c r="R544" s="25">
        <f>COUNTIF($Q$2:$Q$5295,Q544)</f>
        <v/>
      </c>
      <c r="S544" s="25">
        <f>IF(R544&lt;=2,"1-2",IF(R544&lt;=5,"3-5",IF(R544&lt;=10,"6-10","11+")))</f>
        <v/>
      </c>
    </row>
    <row r="545">
      <c r="A545" s="39" t="n">
        <v>46160.26945601852</v>
      </c>
      <c r="B545" s="25">
        <f>TEXT(A545,"YYYY-MM")</f>
        <v/>
      </c>
      <c r="C545" s="25">
        <f>TEXT(A545,"MMM-YYYY")</f>
        <v/>
      </c>
      <c r="D545" s="40">
        <f>INT(A545)-WEEKDAY(A545,2)+1</f>
        <v/>
      </c>
      <c r="E545" s="25" t="inlineStr">
        <is>
          <t>nlnu</t>
        </is>
      </c>
      <c r="F545" s="25" t="n">
        <v>47</v>
      </c>
      <c r="G545" s="25" t="n">
        <v>1</v>
      </c>
      <c r="H545" s="25" t="n">
        <v>7</v>
      </c>
      <c r="I545" s="25" t="inlineStr">
        <is>
          <t>1 minute(s) and 12 second(s)</t>
        </is>
      </c>
      <c r="J545" s="25">
        <f>IFERROR(VALUE(TRIM(LEFT(I545,FIND("minute",I545)-1)))*60,0)+IFERROR(VALUE(SUBSTITUTE(MID(I545,IFERROR(FIND("and",I545)+3,1),20),"second(s)","")),0)</f>
        <v/>
      </c>
      <c r="K545" s="41">
        <f>J545/60</f>
        <v/>
      </c>
      <c r="L545" s="41">
        <f>IFERROR(J545/H545,"")</f>
        <v/>
      </c>
      <c r="M545" s="25" t="inlineStr">
        <is>
          <t>2.5.12</t>
        </is>
      </c>
      <c r="N545" s="25">
        <f>IF(J545&gt;300,1,0)</f>
        <v/>
      </c>
      <c r="O545" s="25">
        <f>IF(J545&gt;600,1,0)</f>
        <v/>
      </c>
      <c r="P545" s="25">
        <f>IF(H545&gt;0,J545,"")</f>
        <v/>
      </c>
      <c r="Q545" s="25">
        <f>TEXT(A545,"YYYY-MM-DD HH")</f>
        <v/>
      </c>
      <c r="R545" s="25">
        <f>COUNTIF($Q$2:$Q$5295,Q545)</f>
        <v/>
      </c>
      <c r="S545" s="25">
        <f>IF(R545&lt;=2,"1-2",IF(R545&lt;=5,"3-5",IF(R545&lt;=10,"6-10","11+")))</f>
        <v/>
      </c>
    </row>
    <row r="546">
      <c r="A546" s="39" t="n">
        <v>46160.27092592593</v>
      </c>
      <c r="B546" s="25">
        <f>TEXT(A546,"YYYY-MM")</f>
        <v/>
      </c>
      <c r="C546" s="25">
        <f>TEXT(A546,"MMM-YYYY")</f>
        <v/>
      </c>
      <c r="D546" s="40">
        <f>INT(A546)-WEEKDAY(A546,2)+1</f>
        <v/>
      </c>
      <c r="E546" s="25" t="inlineStr">
        <is>
          <t>ns</t>
        </is>
      </c>
      <c r="F546" s="25" t="n">
        <v>71958</v>
      </c>
      <c r="G546" s="25" t="n">
        <v>1</v>
      </c>
      <c r="H546" s="25" t="n">
        <v>5</v>
      </c>
      <c r="I546" s="25" t="inlineStr">
        <is>
          <t>2 minute(s) and 20 second(s)</t>
        </is>
      </c>
      <c r="J546" s="25">
        <f>IFERROR(VALUE(TRIM(LEFT(I546,FIND("minute",I546)-1)))*60,0)+IFERROR(VALUE(SUBSTITUTE(MID(I546,IFERROR(FIND("and",I546)+3,1),20),"second(s)","")),0)</f>
        <v/>
      </c>
      <c r="K546" s="41">
        <f>J546/60</f>
        <v/>
      </c>
      <c r="L546" s="41">
        <f>IFERROR(J546/H546,"")</f>
        <v/>
      </c>
      <c r="M546" s="25" t="inlineStr">
        <is>
          <t>2.5.12</t>
        </is>
      </c>
      <c r="N546" s="25">
        <f>IF(J546&gt;300,1,0)</f>
        <v/>
      </c>
      <c r="O546" s="25">
        <f>IF(J546&gt;600,1,0)</f>
        <v/>
      </c>
      <c r="P546" s="25">
        <f>IF(H546&gt;0,J546,"")</f>
        <v/>
      </c>
      <c r="Q546" s="25">
        <f>TEXT(A546,"YYYY-MM-DD HH")</f>
        <v/>
      </c>
      <c r="R546" s="25">
        <f>COUNTIF($Q$2:$Q$5295,Q546)</f>
        <v/>
      </c>
      <c r="S546" s="25">
        <f>IF(R546&lt;=2,"1-2",IF(R546&lt;=5,"3-5",IF(R546&lt;=10,"6-10","11+")))</f>
        <v/>
      </c>
    </row>
    <row r="547">
      <c r="A547" s="39" t="n">
        <v>46160.27263888889</v>
      </c>
      <c r="B547" s="25">
        <f>TEXT(A547,"YYYY-MM")</f>
        <v/>
      </c>
      <c r="C547" s="25">
        <f>TEXT(A547,"MMM-YYYY")</f>
        <v/>
      </c>
      <c r="D547" s="40">
        <f>INT(A547)-WEEKDAY(A547,2)+1</f>
        <v/>
      </c>
      <c r="E547" s="25" t="inlineStr">
        <is>
          <t>nlnu</t>
        </is>
      </c>
      <c r="F547" s="25" t="n">
        <v>47</v>
      </c>
      <c r="G547" s="25" t="n">
        <v>1</v>
      </c>
      <c r="H547" s="25" t="n">
        <v>7</v>
      </c>
      <c r="I547" s="25" t="inlineStr">
        <is>
          <t>1 minute(s) and 51 second(s)</t>
        </is>
      </c>
      <c r="J547" s="25">
        <f>IFERROR(VALUE(TRIM(LEFT(I547,FIND("minute",I547)-1)))*60,0)+IFERROR(VALUE(SUBSTITUTE(MID(I547,IFERROR(FIND("and",I547)+3,1),20),"second(s)","")),0)</f>
        <v/>
      </c>
      <c r="K547" s="41">
        <f>J547/60</f>
        <v/>
      </c>
      <c r="L547" s="41">
        <f>IFERROR(J547/H547,"")</f>
        <v/>
      </c>
      <c r="M547" s="25" t="inlineStr">
        <is>
          <t>2.5.12</t>
        </is>
      </c>
      <c r="N547" s="25">
        <f>IF(J547&gt;300,1,0)</f>
        <v/>
      </c>
      <c r="O547" s="25">
        <f>IF(J547&gt;600,1,0)</f>
        <v/>
      </c>
      <c r="P547" s="25">
        <f>IF(H547&gt;0,J547,"")</f>
        <v/>
      </c>
      <c r="Q547" s="25">
        <f>TEXT(A547,"YYYY-MM-DD HH")</f>
        <v/>
      </c>
      <c r="R547" s="25">
        <f>COUNTIF($Q$2:$Q$5295,Q547)</f>
        <v/>
      </c>
      <c r="S547" s="25">
        <f>IF(R547&lt;=2,"1-2",IF(R547&lt;=5,"3-5",IF(R547&lt;=10,"6-10","11+")))</f>
        <v/>
      </c>
    </row>
    <row r="548">
      <c r="A548" s="39" t="n">
        <v>46160.28090277778</v>
      </c>
      <c r="B548" s="25">
        <f>TEXT(A548,"YYYY-MM")</f>
        <v/>
      </c>
      <c r="C548" s="25">
        <f>TEXT(A548,"MMM-YYYY")</f>
        <v/>
      </c>
      <c r="D548" s="40">
        <f>INT(A548)-WEEKDAY(A548,2)+1</f>
        <v/>
      </c>
      <c r="E548" s="25" t="inlineStr">
        <is>
          <t>vreddy</t>
        </is>
      </c>
      <c r="F548" s="25" t="n">
        <v>38453</v>
      </c>
      <c r="G548" s="25" t="n">
        <v>1</v>
      </c>
      <c r="H548" s="25" t="n">
        <v>5</v>
      </c>
      <c r="I548" s="25" t="inlineStr">
        <is>
          <t>2 minute(s) and 16 second(s)</t>
        </is>
      </c>
      <c r="J548" s="25">
        <f>IFERROR(VALUE(TRIM(LEFT(I548,FIND("minute",I548)-1)))*60,0)+IFERROR(VALUE(SUBSTITUTE(MID(I548,IFERROR(FIND("and",I548)+3,1),20),"second(s)","")),0)</f>
        <v/>
      </c>
      <c r="K548" s="41">
        <f>J548/60</f>
        <v/>
      </c>
      <c r="L548" s="41">
        <f>IFERROR(J548/H548,"")</f>
        <v/>
      </c>
      <c r="M548" s="25" t="inlineStr">
        <is>
          <t>2.5.12</t>
        </is>
      </c>
      <c r="N548" s="25">
        <f>IF(J548&gt;300,1,0)</f>
        <v/>
      </c>
      <c r="O548" s="25">
        <f>IF(J548&gt;600,1,0)</f>
        <v/>
      </c>
      <c r="P548" s="25">
        <f>IF(H548&gt;0,J548,"")</f>
        <v/>
      </c>
      <c r="Q548" s="25">
        <f>TEXT(A548,"YYYY-MM-DD HH")</f>
        <v/>
      </c>
      <c r="R548" s="25">
        <f>COUNTIF($Q$2:$Q$5295,Q548)</f>
        <v/>
      </c>
      <c r="S548" s="25">
        <f>IF(R548&lt;=2,"1-2",IF(R548&lt;=5,"3-5",IF(R548&lt;=10,"6-10","11+")))</f>
        <v/>
      </c>
    </row>
    <row r="549">
      <c r="A549" s="39" t="n">
        <v>46160.28185185185</v>
      </c>
      <c r="B549" s="25">
        <f>TEXT(A549,"YYYY-MM")</f>
        <v/>
      </c>
      <c r="C549" s="25">
        <f>TEXT(A549,"MMM-YYYY")</f>
        <v/>
      </c>
      <c r="D549" s="40">
        <f>INT(A549)-WEEKDAY(A549,2)+1</f>
        <v/>
      </c>
      <c r="E549" s="25" t="inlineStr">
        <is>
          <t>mgupta</t>
        </is>
      </c>
      <c r="F549" s="25" t="n">
        <v>115616</v>
      </c>
      <c r="G549" s="25" t="n">
        <v>1</v>
      </c>
      <c r="H549" s="25" t="n">
        <v>8</v>
      </c>
      <c r="I549" s="25" t="inlineStr">
        <is>
          <t>1 minute(s) and 52 second(s)</t>
        </is>
      </c>
      <c r="J549" s="25">
        <f>IFERROR(VALUE(TRIM(LEFT(I549,FIND("minute",I549)-1)))*60,0)+IFERROR(VALUE(SUBSTITUTE(MID(I549,IFERROR(FIND("and",I549)+3,1),20),"second(s)","")),0)</f>
        <v/>
      </c>
      <c r="K549" s="41">
        <f>J549/60</f>
        <v/>
      </c>
      <c r="L549" s="41">
        <f>IFERROR(J549/H549,"")</f>
        <v/>
      </c>
      <c r="M549" s="25" t="inlineStr">
        <is>
          <t>2.5.12</t>
        </is>
      </c>
      <c r="N549" s="25">
        <f>IF(J549&gt;300,1,0)</f>
        <v/>
      </c>
      <c r="O549" s="25">
        <f>IF(J549&gt;600,1,0)</f>
        <v/>
      </c>
      <c r="P549" s="25">
        <f>IF(H549&gt;0,J549,"")</f>
        <v/>
      </c>
      <c r="Q549" s="25">
        <f>TEXT(A549,"YYYY-MM-DD HH")</f>
        <v/>
      </c>
      <c r="R549" s="25">
        <f>COUNTIF($Q$2:$Q$5295,Q549)</f>
        <v/>
      </c>
      <c r="S549" s="25">
        <f>IF(R549&lt;=2,"1-2",IF(R549&lt;=5,"3-5",IF(R549&lt;=10,"6-10","11+")))</f>
        <v/>
      </c>
    </row>
    <row r="550">
      <c r="A550" s="39" t="n">
        <v>46160.28498842593</v>
      </c>
      <c r="B550" s="25">
        <f>TEXT(A550,"YYYY-MM")</f>
        <v/>
      </c>
      <c r="C550" s="25">
        <f>TEXT(A550,"MMM-YYYY")</f>
        <v/>
      </c>
      <c r="D550" s="40">
        <f>INT(A550)-WEEKDAY(A550,2)+1</f>
        <v/>
      </c>
      <c r="E550" s="25" t="inlineStr">
        <is>
          <t>emishra</t>
        </is>
      </c>
      <c r="F550" s="25" t="n">
        <v>73</v>
      </c>
      <c r="G550" s="25" t="n">
        <v>1</v>
      </c>
      <c r="H550" s="25" t="n">
        <v>7</v>
      </c>
      <c r="I550" s="25" t="inlineStr">
        <is>
          <t>1 minute(s) and 0 second(s)</t>
        </is>
      </c>
      <c r="J550" s="25">
        <f>IFERROR(VALUE(TRIM(LEFT(I550,FIND("minute",I550)-1)))*60,0)+IFERROR(VALUE(SUBSTITUTE(MID(I550,IFERROR(FIND("and",I550)+3,1),20),"second(s)","")),0)</f>
        <v/>
      </c>
      <c r="K550" s="41">
        <f>J550/60</f>
        <v/>
      </c>
      <c r="L550" s="41">
        <f>IFERROR(J550/H550,"")</f>
        <v/>
      </c>
      <c r="M550" s="25" t="inlineStr">
        <is>
          <t>2.5.12</t>
        </is>
      </c>
      <c r="N550" s="25">
        <f>IF(J550&gt;300,1,0)</f>
        <v/>
      </c>
      <c r="O550" s="25">
        <f>IF(J550&gt;600,1,0)</f>
        <v/>
      </c>
      <c r="P550" s="25">
        <f>IF(H550&gt;0,J550,"")</f>
        <v/>
      </c>
      <c r="Q550" s="25">
        <f>TEXT(A550,"YYYY-MM-DD HH")</f>
        <v/>
      </c>
      <c r="R550" s="25">
        <f>COUNTIF($Q$2:$Q$5295,Q550)</f>
        <v/>
      </c>
      <c r="S550" s="25">
        <f>IF(R550&lt;=2,"1-2",IF(R550&lt;=5,"3-5",IF(R550&lt;=10,"6-10","11+")))</f>
        <v/>
      </c>
    </row>
    <row r="551">
      <c r="A551" s="39" t="n">
        <v>46160.28818287037</v>
      </c>
      <c r="B551" s="25">
        <f>TEXT(A551,"YYYY-MM")</f>
        <v/>
      </c>
      <c r="C551" s="25">
        <f>TEXT(A551,"MMM-YYYY")</f>
        <v/>
      </c>
      <c r="D551" s="40">
        <f>INT(A551)-WEEKDAY(A551,2)+1</f>
        <v/>
      </c>
      <c r="E551" s="25" t="inlineStr">
        <is>
          <t>anusharma</t>
        </is>
      </c>
      <c r="F551" s="25" t="n">
        <v>135</v>
      </c>
      <c r="G551" s="25" t="n">
        <v>1</v>
      </c>
      <c r="H551" s="25" t="n">
        <v>5</v>
      </c>
      <c r="I551" s="25" t="inlineStr">
        <is>
          <t>2 minute(s) and 0 second(s)</t>
        </is>
      </c>
      <c r="J551" s="25">
        <f>IFERROR(VALUE(TRIM(LEFT(I551,FIND("minute",I551)-1)))*60,0)+IFERROR(VALUE(SUBSTITUTE(MID(I551,IFERROR(FIND("and",I551)+3,1),20),"second(s)","")),0)</f>
        <v/>
      </c>
      <c r="K551" s="41">
        <f>J551/60</f>
        <v/>
      </c>
      <c r="L551" s="41">
        <f>IFERROR(J551/H551,"")</f>
        <v/>
      </c>
      <c r="M551" s="25" t="inlineStr">
        <is>
          <t>2.5.12</t>
        </is>
      </c>
      <c r="N551" s="25">
        <f>IF(J551&gt;300,1,0)</f>
        <v/>
      </c>
      <c r="O551" s="25">
        <f>IF(J551&gt;600,1,0)</f>
        <v/>
      </c>
      <c r="P551" s="25">
        <f>IF(H551&gt;0,J551,"")</f>
        <v/>
      </c>
      <c r="Q551" s="25">
        <f>TEXT(A551,"YYYY-MM-DD HH")</f>
        <v/>
      </c>
      <c r="R551" s="25">
        <f>COUNTIF($Q$2:$Q$5295,Q551)</f>
        <v/>
      </c>
      <c r="S551" s="25">
        <f>IF(R551&lt;=2,"1-2",IF(R551&lt;=5,"3-5",IF(R551&lt;=10,"6-10","11+")))</f>
        <v/>
      </c>
    </row>
    <row r="552">
      <c r="A552" s="39" t="n">
        <v>46160.29042824074</v>
      </c>
      <c r="B552" s="25">
        <f>TEXT(A552,"YYYY-MM")</f>
        <v/>
      </c>
      <c r="C552" s="25">
        <f>TEXT(A552,"MMM-YYYY")</f>
        <v/>
      </c>
      <c r="D552" s="40">
        <f>INT(A552)-WEEKDAY(A552,2)+1</f>
        <v/>
      </c>
      <c r="E552" s="25" t="inlineStr">
        <is>
          <t>arsarkar</t>
        </is>
      </c>
      <c r="F552" s="25" t="n">
        <v>81</v>
      </c>
      <c r="G552" s="25" t="n">
        <v>1</v>
      </c>
      <c r="H552" s="25" t="n">
        <v>5</v>
      </c>
      <c r="I552" s="25" t="inlineStr">
        <is>
          <t>55 second(s)</t>
        </is>
      </c>
      <c r="J552" s="25">
        <f>IFERROR(VALUE(TRIM(LEFT(I552,FIND("minute",I552)-1)))*60,0)+IFERROR(VALUE(SUBSTITUTE(MID(I552,IFERROR(FIND("and",I552)+3,1),20),"second(s)","")),0)</f>
        <v/>
      </c>
      <c r="K552" s="41">
        <f>J552/60</f>
        <v/>
      </c>
      <c r="L552" s="41">
        <f>IFERROR(J552/H552,"")</f>
        <v/>
      </c>
      <c r="M552" s="25" t="inlineStr">
        <is>
          <t>2.5.12</t>
        </is>
      </c>
      <c r="N552" s="25">
        <f>IF(J552&gt;300,1,0)</f>
        <v/>
      </c>
      <c r="O552" s="25">
        <f>IF(J552&gt;600,1,0)</f>
        <v/>
      </c>
      <c r="P552" s="25">
        <f>IF(H552&gt;0,J552,"")</f>
        <v/>
      </c>
      <c r="Q552" s="25">
        <f>TEXT(A552,"YYYY-MM-DD HH")</f>
        <v/>
      </c>
      <c r="R552" s="25">
        <f>COUNTIF($Q$2:$Q$5295,Q552)</f>
        <v/>
      </c>
      <c r="S552" s="25">
        <f>IF(R552&lt;=2,"1-2",IF(R552&lt;=5,"3-5",IF(R552&lt;=10,"6-10","11+")))</f>
        <v/>
      </c>
    </row>
    <row r="553">
      <c r="A553" s="39" t="n">
        <v>46160.29077546296</v>
      </c>
      <c r="B553" s="25">
        <f>TEXT(A553,"YYYY-MM")</f>
        <v/>
      </c>
      <c r="C553" s="25">
        <f>TEXT(A553,"MMM-YYYY")</f>
        <v/>
      </c>
      <c r="D553" s="40">
        <f>INT(A553)-WEEKDAY(A553,2)+1</f>
        <v/>
      </c>
      <c r="E553" s="25" t="inlineStr">
        <is>
          <t>shassan</t>
        </is>
      </c>
      <c r="F553" s="25" t="n">
        <v>113842</v>
      </c>
      <c r="G553" s="25" t="n">
        <v>5</v>
      </c>
      <c r="H553" s="25" t="n">
        <v>19</v>
      </c>
      <c r="I553" s="25" t="inlineStr">
        <is>
          <t>5 minute(s) and 10 second(s)</t>
        </is>
      </c>
      <c r="J553" s="25">
        <f>IFERROR(VALUE(TRIM(LEFT(I553,FIND("minute",I553)-1)))*60,0)+IFERROR(VALUE(SUBSTITUTE(MID(I553,IFERROR(FIND("and",I553)+3,1),20),"second(s)","")),0)</f>
        <v/>
      </c>
      <c r="K553" s="41">
        <f>J553/60</f>
        <v/>
      </c>
      <c r="L553" s="41">
        <f>IFERROR(J553/H553,"")</f>
        <v/>
      </c>
      <c r="M553" s="25" t="inlineStr">
        <is>
          <t>2.5.12</t>
        </is>
      </c>
      <c r="N553" s="25">
        <f>IF(J553&gt;300,1,0)</f>
        <v/>
      </c>
      <c r="O553" s="25">
        <f>IF(J553&gt;600,1,0)</f>
        <v/>
      </c>
      <c r="P553" s="25">
        <f>IF(H553&gt;0,J553,"")</f>
        <v/>
      </c>
      <c r="Q553" s="25">
        <f>TEXT(A553,"YYYY-MM-DD HH")</f>
        <v/>
      </c>
      <c r="R553" s="25">
        <f>COUNTIF($Q$2:$Q$5295,Q553)</f>
        <v/>
      </c>
      <c r="S553" s="25">
        <f>IF(R553&lt;=2,"1-2",IF(R553&lt;=5,"3-5",IF(R553&lt;=10,"6-10","11+")))</f>
        <v/>
      </c>
    </row>
    <row r="554">
      <c r="A554" s="39" t="n">
        <v>46160.29130787037</v>
      </c>
      <c r="B554" s="25">
        <f>TEXT(A554,"YYYY-MM")</f>
        <v/>
      </c>
      <c r="C554" s="25">
        <f>TEXT(A554,"MMM-YYYY")</f>
        <v/>
      </c>
      <c r="D554" s="40">
        <f>INT(A554)-WEEKDAY(A554,2)+1</f>
        <v/>
      </c>
      <c r="E554" s="25" t="inlineStr">
        <is>
          <t>nbindu</t>
        </is>
      </c>
      <c r="F554" s="25" t="n">
        <v>116887</v>
      </c>
      <c r="G554" s="25" t="n">
        <v>3</v>
      </c>
      <c r="H554" s="25" t="n">
        <v>11</v>
      </c>
      <c r="I554" s="25" t="inlineStr">
        <is>
          <t>2 minute(s) and 8 second(s)</t>
        </is>
      </c>
      <c r="J554" s="25">
        <f>IFERROR(VALUE(TRIM(LEFT(I554,FIND("minute",I554)-1)))*60,0)+IFERROR(VALUE(SUBSTITUTE(MID(I554,IFERROR(FIND("and",I554)+3,1),20),"second(s)","")),0)</f>
        <v/>
      </c>
      <c r="K554" s="41">
        <f>J554/60</f>
        <v/>
      </c>
      <c r="L554" s="41">
        <f>IFERROR(J554/H554,"")</f>
        <v/>
      </c>
      <c r="M554" s="25" t="inlineStr">
        <is>
          <t>2.5.12</t>
        </is>
      </c>
      <c r="N554" s="25">
        <f>IF(J554&gt;300,1,0)</f>
        <v/>
      </c>
      <c r="O554" s="25">
        <f>IF(J554&gt;600,1,0)</f>
        <v/>
      </c>
      <c r="P554" s="25">
        <f>IF(H554&gt;0,J554,"")</f>
        <v/>
      </c>
      <c r="Q554" s="25">
        <f>TEXT(A554,"YYYY-MM-DD HH")</f>
        <v/>
      </c>
      <c r="R554" s="25">
        <f>COUNTIF($Q$2:$Q$5295,Q554)</f>
        <v/>
      </c>
      <c r="S554" s="25">
        <f>IF(R554&lt;=2,"1-2",IF(R554&lt;=5,"3-5",IF(R554&lt;=10,"6-10","11+")))</f>
        <v/>
      </c>
    </row>
    <row r="555">
      <c r="A555" s="39" t="n">
        <v>46160.2932175926</v>
      </c>
      <c r="B555" s="25">
        <f>TEXT(A555,"YYYY-MM")</f>
        <v/>
      </c>
      <c r="C555" s="25">
        <f>TEXT(A555,"MMM-YYYY")</f>
        <v/>
      </c>
      <c r="D555" s="40">
        <f>INT(A555)-WEEKDAY(A555,2)+1</f>
        <v/>
      </c>
      <c r="E555" s="25" t="inlineStr">
        <is>
          <t>ssrinivasan</t>
        </is>
      </c>
      <c r="F555" s="25" t="n">
        <v>46107</v>
      </c>
      <c r="G555" s="25" t="n">
        <v>1</v>
      </c>
      <c r="H555" s="25" t="n">
        <v>7</v>
      </c>
      <c r="I555" s="25" t="inlineStr">
        <is>
          <t>3 minute(s) and 4 second(s)</t>
        </is>
      </c>
      <c r="J555" s="25">
        <f>IFERROR(VALUE(TRIM(LEFT(I555,FIND("minute",I555)-1)))*60,0)+IFERROR(VALUE(SUBSTITUTE(MID(I555,IFERROR(FIND("and",I555)+3,1),20),"second(s)","")),0)</f>
        <v/>
      </c>
      <c r="K555" s="41">
        <f>J555/60</f>
        <v/>
      </c>
      <c r="L555" s="41">
        <f>IFERROR(J555/H555,"")</f>
        <v/>
      </c>
      <c r="M555" s="25" t="inlineStr">
        <is>
          <t>2.5.12</t>
        </is>
      </c>
      <c r="N555" s="25">
        <f>IF(J555&gt;300,1,0)</f>
        <v/>
      </c>
      <c r="O555" s="25">
        <f>IF(J555&gt;600,1,0)</f>
        <v/>
      </c>
      <c r="P555" s="25">
        <f>IF(H555&gt;0,J555,"")</f>
        <v/>
      </c>
      <c r="Q555" s="25">
        <f>TEXT(A555,"YYYY-MM-DD HH")</f>
        <v/>
      </c>
      <c r="R555" s="25">
        <f>COUNTIF($Q$2:$Q$5295,Q555)</f>
        <v/>
      </c>
      <c r="S555" s="25">
        <f>IF(R555&lt;=2,"1-2",IF(R555&lt;=5,"3-5",IF(R555&lt;=10,"6-10","11+")))</f>
        <v/>
      </c>
    </row>
    <row r="556">
      <c r="A556" s="39" t="n">
        <v>46160.29346064815</v>
      </c>
      <c r="B556" s="25">
        <f>TEXT(A556,"YYYY-MM")</f>
        <v/>
      </c>
      <c r="C556" s="25">
        <f>TEXT(A556,"MMM-YYYY")</f>
        <v/>
      </c>
      <c r="D556" s="40">
        <f>INT(A556)-WEEKDAY(A556,2)+1</f>
        <v/>
      </c>
      <c r="E556" s="25" t="inlineStr">
        <is>
          <t>csaha</t>
        </is>
      </c>
      <c r="F556" s="25" t="n">
        <v>108653</v>
      </c>
      <c r="G556" s="25" t="n">
        <v>4</v>
      </c>
      <c r="H556" s="25" t="n">
        <v>18</v>
      </c>
      <c r="I556" s="25" t="inlineStr">
        <is>
          <t>3 minute(s) and 55 second(s)</t>
        </is>
      </c>
      <c r="J556" s="25">
        <f>IFERROR(VALUE(TRIM(LEFT(I556,FIND("minute",I556)-1)))*60,0)+IFERROR(VALUE(SUBSTITUTE(MID(I556,IFERROR(FIND("and",I556)+3,1),20),"second(s)","")),0)</f>
        <v/>
      </c>
      <c r="K556" s="41">
        <f>J556/60</f>
        <v/>
      </c>
      <c r="L556" s="41">
        <f>IFERROR(J556/H556,"")</f>
        <v/>
      </c>
      <c r="M556" s="25" t="inlineStr">
        <is>
          <t>2.5.12</t>
        </is>
      </c>
      <c r="N556" s="25">
        <f>IF(J556&gt;300,1,0)</f>
        <v/>
      </c>
      <c r="O556" s="25">
        <f>IF(J556&gt;600,1,0)</f>
        <v/>
      </c>
      <c r="P556" s="25">
        <f>IF(H556&gt;0,J556,"")</f>
        <v/>
      </c>
      <c r="Q556" s="25">
        <f>TEXT(A556,"YYYY-MM-DD HH")</f>
        <v/>
      </c>
      <c r="R556" s="25">
        <f>COUNTIF($Q$2:$Q$5295,Q556)</f>
        <v/>
      </c>
      <c r="S556" s="25">
        <f>IF(R556&lt;=2,"1-2",IF(R556&lt;=5,"3-5",IF(R556&lt;=10,"6-10","11+")))</f>
        <v/>
      </c>
    </row>
    <row r="557">
      <c r="A557" s="39" t="n">
        <v>46160.29611111111</v>
      </c>
      <c r="B557" s="25">
        <f>TEXT(A557,"YYYY-MM")</f>
        <v/>
      </c>
      <c r="C557" s="25">
        <f>TEXT(A557,"MMM-YYYY")</f>
        <v/>
      </c>
      <c r="D557" s="40">
        <f>INT(A557)-WEEKDAY(A557,2)+1</f>
        <v/>
      </c>
      <c r="E557" s="25" t="inlineStr">
        <is>
          <t>asahoo</t>
        </is>
      </c>
      <c r="F557" s="25" t="n">
        <v>153</v>
      </c>
      <c r="G557" s="25" t="n">
        <v>1</v>
      </c>
      <c r="H557" s="25" t="n">
        <v>7</v>
      </c>
      <c r="I557" s="25" t="inlineStr">
        <is>
          <t>3 minute(s) and 13 second(s)</t>
        </is>
      </c>
      <c r="J557" s="25">
        <f>IFERROR(VALUE(TRIM(LEFT(I557,FIND("minute",I557)-1)))*60,0)+IFERROR(VALUE(SUBSTITUTE(MID(I557,IFERROR(FIND("and",I557)+3,1),20),"second(s)","")),0)</f>
        <v/>
      </c>
      <c r="K557" s="41">
        <f>J557/60</f>
        <v/>
      </c>
      <c r="L557" s="41">
        <f>IFERROR(J557/H557,"")</f>
        <v/>
      </c>
      <c r="M557" s="25" t="inlineStr">
        <is>
          <t>2.5.12</t>
        </is>
      </c>
      <c r="N557" s="25">
        <f>IF(J557&gt;300,1,0)</f>
        <v/>
      </c>
      <c r="O557" s="25">
        <f>IF(J557&gt;600,1,0)</f>
        <v/>
      </c>
      <c r="P557" s="25">
        <f>IF(H557&gt;0,J557,"")</f>
        <v/>
      </c>
      <c r="Q557" s="25">
        <f>TEXT(A557,"YYYY-MM-DD HH")</f>
        <v/>
      </c>
      <c r="R557" s="25">
        <f>COUNTIF($Q$2:$Q$5295,Q557)</f>
        <v/>
      </c>
      <c r="S557" s="25">
        <f>IF(R557&lt;=2,"1-2",IF(R557&lt;=5,"3-5",IF(R557&lt;=10,"6-10","11+")))</f>
        <v/>
      </c>
    </row>
    <row r="558">
      <c r="A558" s="39" t="n">
        <v>46160.29802083333</v>
      </c>
      <c r="B558" s="25">
        <f>TEXT(A558,"YYYY-MM")</f>
        <v/>
      </c>
      <c r="C558" s="25">
        <f>TEXT(A558,"MMM-YYYY")</f>
        <v/>
      </c>
      <c r="D558" s="40">
        <f>INT(A558)-WEEKDAY(A558,2)+1</f>
        <v/>
      </c>
      <c r="E558" s="25" t="inlineStr">
        <is>
          <t>sswati</t>
        </is>
      </c>
      <c r="F558" s="25" t="n">
        <v>94</v>
      </c>
      <c r="G558" s="25" t="n">
        <v>1</v>
      </c>
      <c r="H558" s="25" t="n">
        <v>7</v>
      </c>
      <c r="I558" s="25" t="inlineStr">
        <is>
          <t>1 minute(s) and 52 second(s)</t>
        </is>
      </c>
      <c r="J558" s="25">
        <f>IFERROR(VALUE(TRIM(LEFT(I558,FIND("minute",I558)-1)))*60,0)+IFERROR(VALUE(SUBSTITUTE(MID(I558,IFERROR(FIND("and",I558)+3,1),20),"second(s)","")),0)</f>
        <v/>
      </c>
      <c r="K558" s="41">
        <f>J558/60</f>
        <v/>
      </c>
      <c r="L558" s="41">
        <f>IFERROR(J558/H558,"")</f>
        <v/>
      </c>
      <c r="M558" s="25" t="inlineStr">
        <is>
          <t>2.5.12</t>
        </is>
      </c>
      <c r="N558" s="25">
        <f>IF(J558&gt;300,1,0)</f>
        <v/>
      </c>
      <c r="O558" s="25">
        <f>IF(J558&gt;600,1,0)</f>
        <v/>
      </c>
      <c r="P558" s="25">
        <f>IF(H558&gt;0,J558,"")</f>
        <v/>
      </c>
      <c r="Q558" s="25">
        <f>TEXT(A558,"YYYY-MM-DD HH")</f>
        <v/>
      </c>
      <c r="R558" s="25">
        <f>COUNTIF($Q$2:$Q$5295,Q558)</f>
        <v/>
      </c>
      <c r="S558" s="25">
        <f>IF(R558&lt;=2,"1-2",IF(R558&lt;=5,"3-5",IF(R558&lt;=10,"6-10","11+")))</f>
        <v/>
      </c>
    </row>
    <row r="559">
      <c r="A559" s="39" t="n">
        <v>46160.29916666666</v>
      </c>
      <c r="B559" s="25">
        <f>TEXT(A559,"YYYY-MM")</f>
        <v/>
      </c>
      <c r="C559" s="25">
        <f>TEXT(A559,"MMM-YYYY")</f>
        <v/>
      </c>
      <c r="D559" s="40">
        <f>INT(A559)-WEEKDAY(A559,2)+1</f>
        <v/>
      </c>
      <c r="E559" s="25" t="inlineStr">
        <is>
          <t>vreddy</t>
        </is>
      </c>
      <c r="F559" s="25" t="n">
        <v>38512</v>
      </c>
      <c r="G559" s="25" t="n">
        <v>1</v>
      </c>
      <c r="H559" s="25" t="n">
        <v>5</v>
      </c>
      <c r="I559" s="25" t="inlineStr">
        <is>
          <t>49 second(s)</t>
        </is>
      </c>
      <c r="J559" s="25">
        <f>IFERROR(VALUE(TRIM(LEFT(I559,FIND("minute",I559)-1)))*60,0)+IFERROR(VALUE(SUBSTITUTE(MID(I559,IFERROR(FIND("and",I559)+3,1),20),"second(s)","")),0)</f>
        <v/>
      </c>
      <c r="K559" s="41">
        <f>J559/60</f>
        <v/>
      </c>
      <c r="L559" s="41">
        <f>IFERROR(J559/H559,"")</f>
        <v/>
      </c>
      <c r="M559" s="25" t="inlineStr">
        <is>
          <t>2.5.12</t>
        </is>
      </c>
      <c r="N559" s="25">
        <f>IF(J559&gt;300,1,0)</f>
        <v/>
      </c>
      <c r="O559" s="25">
        <f>IF(J559&gt;600,1,0)</f>
        <v/>
      </c>
      <c r="P559" s="25">
        <f>IF(H559&gt;0,J559,"")</f>
        <v/>
      </c>
      <c r="Q559" s="25">
        <f>TEXT(A559,"YYYY-MM-DD HH")</f>
        <v/>
      </c>
      <c r="R559" s="25">
        <f>COUNTIF($Q$2:$Q$5295,Q559)</f>
        <v/>
      </c>
      <c r="S559" s="25">
        <f>IF(R559&lt;=2,"1-2",IF(R559&lt;=5,"3-5",IF(R559&lt;=10,"6-10","11+")))</f>
        <v/>
      </c>
    </row>
    <row r="560">
      <c r="A560" s="39" t="n">
        <v>46160.30302083334</v>
      </c>
      <c r="B560" s="25">
        <f>TEXT(A560,"YYYY-MM")</f>
        <v/>
      </c>
      <c r="C560" s="25">
        <f>TEXT(A560,"MMM-YYYY")</f>
        <v/>
      </c>
      <c r="D560" s="40">
        <f>INT(A560)-WEEKDAY(A560,2)+1</f>
        <v/>
      </c>
      <c r="E560" s="25" t="inlineStr">
        <is>
          <t>shassan</t>
        </is>
      </c>
      <c r="F560" s="25" t="n">
        <v>113842</v>
      </c>
      <c r="G560" s="25" t="n">
        <v>5</v>
      </c>
      <c r="H560" s="25" t="n">
        <v>23</v>
      </c>
      <c r="I560" s="25" t="inlineStr">
        <is>
          <t>7 minute(s) and 8 second(s)</t>
        </is>
      </c>
      <c r="J560" s="25">
        <f>IFERROR(VALUE(TRIM(LEFT(I560,FIND("minute",I560)-1)))*60,0)+IFERROR(VALUE(SUBSTITUTE(MID(I560,IFERROR(FIND("and",I560)+3,1),20),"second(s)","")),0)</f>
        <v/>
      </c>
      <c r="K560" s="41">
        <f>J560/60</f>
        <v/>
      </c>
      <c r="L560" s="41">
        <f>IFERROR(J560/H560,"")</f>
        <v/>
      </c>
      <c r="M560" s="25" t="inlineStr">
        <is>
          <t>2.5.12</t>
        </is>
      </c>
      <c r="N560" s="25">
        <f>IF(J560&gt;300,1,0)</f>
        <v/>
      </c>
      <c r="O560" s="25">
        <f>IF(J560&gt;600,1,0)</f>
        <v/>
      </c>
      <c r="P560" s="25">
        <f>IF(H560&gt;0,J560,"")</f>
        <v/>
      </c>
      <c r="Q560" s="25">
        <f>TEXT(A560,"YYYY-MM-DD HH")</f>
        <v/>
      </c>
      <c r="R560" s="25">
        <f>COUNTIF($Q$2:$Q$5295,Q560)</f>
        <v/>
      </c>
      <c r="S560" s="25">
        <f>IF(R560&lt;=2,"1-2",IF(R560&lt;=5,"3-5",IF(R560&lt;=10,"6-10","11+")))</f>
        <v/>
      </c>
    </row>
    <row r="561">
      <c r="A561" s="39" t="n">
        <v>46160.3047337963</v>
      </c>
      <c r="B561" s="25">
        <f>TEXT(A561,"YYYY-MM")</f>
        <v/>
      </c>
      <c r="C561" s="25">
        <f>TEXT(A561,"MMM-YYYY")</f>
        <v/>
      </c>
      <c r="D561" s="40">
        <f>INT(A561)-WEEKDAY(A561,2)+1</f>
        <v/>
      </c>
      <c r="E561" s="25" t="inlineStr">
        <is>
          <t>nlnu</t>
        </is>
      </c>
      <c r="F561" s="25" t="n">
        <v>48</v>
      </c>
      <c r="G561" s="25" t="n">
        <v>1</v>
      </c>
      <c r="H561" s="25" t="n">
        <v>7</v>
      </c>
      <c r="I561" s="25" t="inlineStr">
        <is>
          <t>2 minute(s) and 39 second(s)</t>
        </is>
      </c>
      <c r="J561" s="25">
        <f>IFERROR(VALUE(TRIM(LEFT(I561,FIND("minute",I561)-1)))*60,0)+IFERROR(VALUE(SUBSTITUTE(MID(I561,IFERROR(FIND("and",I561)+3,1),20),"second(s)","")),0)</f>
        <v/>
      </c>
      <c r="K561" s="41">
        <f>J561/60</f>
        <v/>
      </c>
      <c r="L561" s="41">
        <f>IFERROR(J561/H561,"")</f>
        <v/>
      </c>
      <c r="M561" s="25" t="inlineStr">
        <is>
          <t>2.5.12</t>
        </is>
      </c>
      <c r="N561" s="25">
        <f>IF(J561&gt;300,1,0)</f>
        <v/>
      </c>
      <c r="O561" s="25">
        <f>IF(J561&gt;600,1,0)</f>
        <v/>
      </c>
      <c r="P561" s="25">
        <f>IF(H561&gt;0,J561,"")</f>
        <v/>
      </c>
      <c r="Q561" s="25">
        <f>TEXT(A561,"YYYY-MM-DD HH")</f>
        <v/>
      </c>
      <c r="R561" s="25">
        <f>COUNTIF($Q$2:$Q$5295,Q561)</f>
        <v/>
      </c>
      <c r="S561" s="25">
        <f>IF(R561&lt;=2,"1-2",IF(R561&lt;=5,"3-5",IF(R561&lt;=10,"6-10","11+")))</f>
        <v/>
      </c>
    </row>
    <row r="562">
      <c r="A562" s="39" t="n">
        <v>46160.30726851852</v>
      </c>
      <c r="B562" s="25">
        <f>TEXT(A562,"YYYY-MM")</f>
        <v/>
      </c>
      <c r="C562" s="25">
        <f>TEXT(A562,"MMM-YYYY")</f>
        <v/>
      </c>
      <c r="D562" s="40">
        <f>INT(A562)-WEEKDAY(A562,2)+1</f>
        <v/>
      </c>
      <c r="E562" s="25" t="inlineStr">
        <is>
          <t>smukhopadhyay</t>
        </is>
      </c>
      <c r="F562" s="25" t="n">
        <v>42497</v>
      </c>
      <c r="G562" s="25" t="n">
        <v>1</v>
      </c>
      <c r="H562" s="25" t="n">
        <v>7</v>
      </c>
      <c r="I562" s="25" t="inlineStr">
        <is>
          <t>2 minute(s) and 37 second(s)</t>
        </is>
      </c>
      <c r="J562" s="25">
        <f>IFERROR(VALUE(TRIM(LEFT(I562,FIND("minute",I562)-1)))*60,0)+IFERROR(VALUE(SUBSTITUTE(MID(I562,IFERROR(FIND("and",I562)+3,1),20),"second(s)","")),0)</f>
        <v/>
      </c>
      <c r="K562" s="41">
        <f>J562/60</f>
        <v/>
      </c>
      <c r="L562" s="41">
        <f>IFERROR(J562/H562,"")</f>
        <v/>
      </c>
      <c r="M562" s="25" t="inlineStr">
        <is>
          <t>2.5.12</t>
        </is>
      </c>
      <c r="N562" s="25">
        <f>IF(J562&gt;300,1,0)</f>
        <v/>
      </c>
      <c r="O562" s="25">
        <f>IF(J562&gt;600,1,0)</f>
        <v/>
      </c>
      <c r="P562" s="25">
        <f>IF(H562&gt;0,J562,"")</f>
        <v/>
      </c>
      <c r="Q562" s="25">
        <f>TEXT(A562,"YYYY-MM-DD HH")</f>
        <v/>
      </c>
      <c r="R562" s="25">
        <f>COUNTIF($Q$2:$Q$5295,Q562)</f>
        <v/>
      </c>
      <c r="S562" s="25">
        <f>IF(R562&lt;=2,"1-2",IF(R562&lt;=5,"3-5",IF(R562&lt;=10,"6-10","11+")))</f>
        <v/>
      </c>
    </row>
    <row r="563">
      <c r="A563" s="39" t="n">
        <v>46160.31378472222</v>
      </c>
      <c r="B563" s="25">
        <f>TEXT(A563,"YYYY-MM")</f>
        <v/>
      </c>
      <c r="C563" s="25">
        <f>TEXT(A563,"MMM-YYYY")</f>
        <v/>
      </c>
      <c r="D563" s="40">
        <f>INT(A563)-WEEKDAY(A563,2)+1</f>
        <v/>
      </c>
      <c r="E563" s="25" t="inlineStr">
        <is>
          <t>sswati</t>
        </is>
      </c>
      <c r="F563" s="25" t="n">
        <v>95</v>
      </c>
      <c r="G563" s="25" t="n">
        <v>1</v>
      </c>
      <c r="H563" s="25" t="n">
        <v>7</v>
      </c>
      <c r="I563" s="25" t="inlineStr">
        <is>
          <t>1 minute(s) and 57 second(s)</t>
        </is>
      </c>
      <c r="J563" s="25">
        <f>IFERROR(VALUE(TRIM(LEFT(I563,FIND("minute",I563)-1)))*60,0)+IFERROR(VALUE(SUBSTITUTE(MID(I563,IFERROR(FIND("and",I563)+3,1),20),"second(s)","")),0)</f>
        <v/>
      </c>
      <c r="K563" s="41">
        <f>J563/60</f>
        <v/>
      </c>
      <c r="L563" s="41">
        <f>IFERROR(J563/H563,"")</f>
        <v/>
      </c>
      <c r="M563" s="25" t="inlineStr">
        <is>
          <t>2.5.12</t>
        </is>
      </c>
      <c r="N563" s="25">
        <f>IF(J563&gt;300,1,0)</f>
        <v/>
      </c>
      <c r="O563" s="25">
        <f>IF(J563&gt;600,1,0)</f>
        <v/>
      </c>
      <c r="P563" s="25">
        <f>IF(H563&gt;0,J563,"")</f>
        <v/>
      </c>
      <c r="Q563" s="25">
        <f>TEXT(A563,"YYYY-MM-DD HH")</f>
        <v/>
      </c>
      <c r="R563" s="25">
        <f>COUNTIF($Q$2:$Q$5295,Q563)</f>
        <v/>
      </c>
      <c r="S563" s="25">
        <f>IF(R563&lt;=2,"1-2",IF(R563&lt;=5,"3-5",IF(R563&lt;=10,"6-10","11+")))</f>
        <v/>
      </c>
    </row>
    <row r="564">
      <c r="A564" s="39" t="n">
        <v>46160.31403935186</v>
      </c>
      <c r="B564" s="25">
        <f>TEXT(A564,"YYYY-MM")</f>
        <v/>
      </c>
      <c r="C564" s="25">
        <f>TEXT(A564,"MMM-YYYY")</f>
        <v/>
      </c>
      <c r="D564" s="40">
        <f>INT(A564)-WEEKDAY(A564,2)+1</f>
        <v/>
      </c>
      <c r="E564" s="25" t="inlineStr">
        <is>
          <t>ns</t>
        </is>
      </c>
      <c r="F564" s="25" t="n">
        <v>72009</v>
      </c>
      <c r="G564" s="25" t="n">
        <v>4</v>
      </c>
      <c r="H564" s="25" t="n">
        <v>20</v>
      </c>
      <c r="I564" s="25" t="inlineStr">
        <is>
          <t>4 minute(s) and 0 second(s)</t>
        </is>
      </c>
      <c r="J564" s="25">
        <f>IFERROR(VALUE(TRIM(LEFT(I564,FIND("minute",I564)-1)))*60,0)+IFERROR(VALUE(SUBSTITUTE(MID(I564,IFERROR(FIND("and",I564)+3,1),20),"second(s)","")),0)</f>
        <v/>
      </c>
      <c r="K564" s="41">
        <f>J564/60</f>
        <v/>
      </c>
      <c r="L564" s="41">
        <f>IFERROR(J564/H564,"")</f>
        <v/>
      </c>
      <c r="M564" s="25" t="inlineStr">
        <is>
          <t>2.5.12</t>
        </is>
      </c>
      <c r="N564" s="25">
        <f>IF(J564&gt;300,1,0)</f>
        <v/>
      </c>
      <c r="O564" s="25">
        <f>IF(J564&gt;600,1,0)</f>
        <v/>
      </c>
      <c r="P564" s="25">
        <f>IF(H564&gt;0,J564,"")</f>
        <v/>
      </c>
      <c r="Q564" s="25">
        <f>TEXT(A564,"YYYY-MM-DD HH")</f>
        <v/>
      </c>
      <c r="R564" s="25">
        <f>COUNTIF($Q$2:$Q$5295,Q564)</f>
        <v/>
      </c>
      <c r="S564" s="25">
        <f>IF(R564&lt;=2,"1-2",IF(R564&lt;=5,"3-5",IF(R564&lt;=10,"6-10","11+")))</f>
        <v/>
      </c>
    </row>
    <row r="565">
      <c r="A565" s="39" t="n">
        <v>46160.32101851852</v>
      </c>
      <c r="B565" s="25">
        <f>TEXT(A565,"YYYY-MM")</f>
        <v/>
      </c>
      <c r="C565" s="25">
        <f>TEXT(A565,"MMM-YYYY")</f>
        <v/>
      </c>
      <c r="D565" s="40">
        <f>INT(A565)-WEEKDAY(A565,2)+1</f>
        <v/>
      </c>
      <c r="E565" s="25" t="inlineStr">
        <is>
          <t>akumari</t>
        </is>
      </c>
      <c r="F565" s="25" t="n">
        <v>17</v>
      </c>
      <c r="G565" s="25" t="n">
        <v>1</v>
      </c>
      <c r="H565" s="25" t="n">
        <v>7</v>
      </c>
      <c r="I565" s="25" t="inlineStr">
        <is>
          <t>1 minute(s) and 9 second(s)</t>
        </is>
      </c>
      <c r="J565" s="25">
        <f>IFERROR(VALUE(TRIM(LEFT(I565,FIND("minute",I565)-1)))*60,0)+IFERROR(VALUE(SUBSTITUTE(MID(I565,IFERROR(FIND("and",I565)+3,1),20),"second(s)","")),0)</f>
        <v/>
      </c>
      <c r="K565" s="41">
        <f>J565/60</f>
        <v/>
      </c>
      <c r="L565" s="41">
        <f>IFERROR(J565/H565,"")</f>
        <v/>
      </c>
      <c r="M565" s="25" t="inlineStr">
        <is>
          <t>2.5.12</t>
        </is>
      </c>
      <c r="N565" s="25">
        <f>IF(J565&gt;300,1,0)</f>
        <v/>
      </c>
      <c r="O565" s="25">
        <f>IF(J565&gt;600,1,0)</f>
        <v/>
      </c>
      <c r="P565" s="25">
        <f>IF(H565&gt;0,J565,"")</f>
        <v/>
      </c>
      <c r="Q565" s="25">
        <f>TEXT(A565,"YYYY-MM-DD HH")</f>
        <v/>
      </c>
      <c r="R565" s="25">
        <f>COUNTIF($Q$2:$Q$5295,Q565)</f>
        <v/>
      </c>
      <c r="S565" s="25">
        <f>IF(R565&lt;=2,"1-2",IF(R565&lt;=5,"3-5",IF(R565&lt;=10,"6-10","11+")))</f>
        <v/>
      </c>
    </row>
    <row r="566">
      <c r="A566" s="39" t="n">
        <v>46160.32430555556</v>
      </c>
      <c r="B566" s="25">
        <f>TEXT(A566,"YYYY-MM")</f>
        <v/>
      </c>
      <c r="C566" s="25">
        <f>TEXT(A566,"MMM-YYYY")</f>
        <v/>
      </c>
      <c r="D566" s="40">
        <f>INT(A566)-WEEKDAY(A566,2)+1</f>
        <v/>
      </c>
      <c r="E566" s="25" t="inlineStr">
        <is>
          <t>shassan</t>
        </is>
      </c>
      <c r="F566" s="25" t="n">
        <v>96758</v>
      </c>
      <c r="G566" s="25" t="n">
        <v>2</v>
      </c>
      <c r="H566" s="25" t="n">
        <v>6</v>
      </c>
      <c r="I566" s="25" t="inlineStr">
        <is>
          <t>1 minute(s) and 9 second(s)</t>
        </is>
      </c>
      <c r="J566" s="25">
        <f>IFERROR(VALUE(TRIM(LEFT(I566,FIND("minute",I566)-1)))*60,0)+IFERROR(VALUE(SUBSTITUTE(MID(I566,IFERROR(FIND("and",I566)+3,1),20),"second(s)","")),0)</f>
        <v/>
      </c>
      <c r="K566" s="41">
        <f>J566/60</f>
        <v/>
      </c>
      <c r="L566" s="41">
        <f>IFERROR(J566/H566,"")</f>
        <v/>
      </c>
      <c r="M566" s="25" t="inlineStr">
        <is>
          <t>2.5.12</t>
        </is>
      </c>
      <c r="N566" s="25">
        <f>IF(J566&gt;300,1,0)</f>
        <v/>
      </c>
      <c r="O566" s="25">
        <f>IF(J566&gt;600,1,0)</f>
        <v/>
      </c>
      <c r="P566" s="25">
        <f>IF(H566&gt;0,J566,"")</f>
        <v/>
      </c>
      <c r="Q566" s="25">
        <f>TEXT(A566,"YYYY-MM-DD HH")</f>
        <v/>
      </c>
      <c r="R566" s="25">
        <f>COUNTIF($Q$2:$Q$5295,Q566)</f>
        <v/>
      </c>
      <c r="S566" s="25">
        <f>IF(R566&lt;=2,"1-2",IF(R566&lt;=5,"3-5",IF(R566&lt;=10,"6-10","11+")))</f>
        <v/>
      </c>
    </row>
    <row r="567">
      <c r="A567" s="39" t="n">
        <v>46160.3249537037</v>
      </c>
      <c r="B567" s="25">
        <f>TEXT(A567,"YYYY-MM")</f>
        <v/>
      </c>
      <c r="C567" s="25">
        <f>TEXT(A567,"MMM-YYYY")</f>
        <v/>
      </c>
      <c r="D567" s="40">
        <f>INT(A567)-WEEKDAY(A567,2)+1</f>
        <v/>
      </c>
      <c r="E567" s="25" t="inlineStr">
        <is>
          <t>kananya</t>
        </is>
      </c>
      <c r="F567" s="25" t="n">
        <v>85173</v>
      </c>
      <c r="G567" s="25" t="n">
        <v>2</v>
      </c>
      <c r="H567" s="25" t="n">
        <v>12</v>
      </c>
      <c r="I567" s="25" t="inlineStr">
        <is>
          <t>2 minute(s) and 25 second(s)</t>
        </is>
      </c>
      <c r="J567" s="25">
        <f>IFERROR(VALUE(TRIM(LEFT(I567,FIND("minute",I567)-1)))*60,0)+IFERROR(VALUE(SUBSTITUTE(MID(I567,IFERROR(FIND("and",I567)+3,1),20),"second(s)","")),0)</f>
        <v/>
      </c>
      <c r="K567" s="41">
        <f>J567/60</f>
        <v/>
      </c>
      <c r="L567" s="41">
        <f>IFERROR(J567/H567,"")</f>
        <v/>
      </c>
      <c r="M567" s="25" t="inlineStr">
        <is>
          <t>2.5.12</t>
        </is>
      </c>
      <c r="N567" s="25">
        <f>IF(J567&gt;300,1,0)</f>
        <v/>
      </c>
      <c r="O567" s="25">
        <f>IF(J567&gt;600,1,0)</f>
        <v/>
      </c>
      <c r="P567" s="25">
        <f>IF(H567&gt;0,J567,"")</f>
        <v/>
      </c>
      <c r="Q567" s="25">
        <f>TEXT(A567,"YYYY-MM-DD HH")</f>
        <v/>
      </c>
      <c r="R567" s="25">
        <f>COUNTIF($Q$2:$Q$5295,Q567)</f>
        <v/>
      </c>
      <c r="S567" s="25">
        <f>IF(R567&lt;=2,"1-2",IF(R567&lt;=5,"3-5",IF(R567&lt;=10,"6-10","11+")))</f>
        <v/>
      </c>
    </row>
    <row r="568">
      <c r="A568" s="39" t="n">
        <v>46160.32637731481</v>
      </c>
      <c r="B568" s="25">
        <f>TEXT(A568,"YYYY-MM")</f>
        <v/>
      </c>
      <c r="C568" s="25">
        <f>TEXT(A568,"MMM-YYYY")</f>
        <v/>
      </c>
      <c r="D568" s="40">
        <f>INT(A568)-WEEKDAY(A568,2)+1</f>
        <v/>
      </c>
      <c r="E568" s="25" t="inlineStr">
        <is>
          <t>atiwari</t>
        </is>
      </c>
      <c r="F568" s="25" t="n">
        <v>176</v>
      </c>
      <c r="G568" s="25" t="n">
        <v>1</v>
      </c>
      <c r="H568" s="25" t="n">
        <v>5</v>
      </c>
      <c r="I568" s="25" t="inlineStr">
        <is>
          <t>1 minute(s) and 28 second(s)</t>
        </is>
      </c>
      <c r="J568" s="25">
        <f>IFERROR(VALUE(TRIM(LEFT(I568,FIND("minute",I568)-1)))*60,0)+IFERROR(VALUE(SUBSTITUTE(MID(I568,IFERROR(FIND("and",I568)+3,1),20),"second(s)","")),0)</f>
        <v/>
      </c>
      <c r="K568" s="41">
        <f>J568/60</f>
        <v/>
      </c>
      <c r="L568" s="41">
        <f>IFERROR(J568/H568,"")</f>
        <v/>
      </c>
      <c r="M568" s="25" t="inlineStr">
        <is>
          <t>2.5.12</t>
        </is>
      </c>
      <c r="N568" s="25">
        <f>IF(J568&gt;300,1,0)</f>
        <v/>
      </c>
      <c r="O568" s="25">
        <f>IF(J568&gt;600,1,0)</f>
        <v/>
      </c>
      <c r="P568" s="25">
        <f>IF(H568&gt;0,J568,"")</f>
        <v/>
      </c>
      <c r="Q568" s="25">
        <f>TEXT(A568,"YYYY-MM-DD HH")</f>
        <v/>
      </c>
      <c r="R568" s="25">
        <f>COUNTIF($Q$2:$Q$5295,Q568)</f>
        <v/>
      </c>
      <c r="S568" s="25">
        <f>IF(R568&lt;=2,"1-2",IF(R568&lt;=5,"3-5",IF(R568&lt;=10,"6-10","11+")))</f>
        <v/>
      </c>
    </row>
    <row r="569">
      <c r="A569" s="39" t="n">
        <v>46160.32879629629</v>
      </c>
      <c r="B569" s="25">
        <f>TEXT(A569,"YYYY-MM")</f>
        <v/>
      </c>
      <c r="C569" s="25">
        <f>TEXT(A569,"MMM-YYYY")</f>
        <v/>
      </c>
      <c r="D569" s="40">
        <f>INT(A569)-WEEKDAY(A569,2)+1</f>
        <v/>
      </c>
      <c r="E569" s="25" t="inlineStr">
        <is>
          <t>mgupta</t>
        </is>
      </c>
      <c r="F569" s="25" t="n">
        <v>262</v>
      </c>
      <c r="G569" s="25" t="n">
        <v>1</v>
      </c>
      <c r="H569" s="25" t="n">
        <v>7</v>
      </c>
      <c r="I569" s="25" t="inlineStr">
        <is>
          <t>1 minute(s) and 8 second(s)</t>
        </is>
      </c>
      <c r="J569" s="25">
        <f>IFERROR(VALUE(TRIM(LEFT(I569,FIND("minute",I569)-1)))*60,0)+IFERROR(VALUE(SUBSTITUTE(MID(I569,IFERROR(FIND("and",I569)+3,1),20),"second(s)","")),0)</f>
        <v/>
      </c>
      <c r="K569" s="41">
        <f>J569/60</f>
        <v/>
      </c>
      <c r="L569" s="41">
        <f>IFERROR(J569/H569,"")</f>
        <v/>
      </c>
      <c r="M569" s="25" t="inlineStr">
        <is>
          <t>2.5.12</t>
        </is>
      </c>
      <c r="N569" s="25">
        <f>IF(J569&gt;300,1,0)</f>
        <v/>
      </c>
      <c r="O569" s="25">
        <f>IF(J569&gt;600,1,0)</f>
        <v/>
      </c>
      <c r="P569" s="25">
        <f>IF(H569&gt;0,J569,"")</f>
        <v/>
      </c>
      <c r="Q569" s="25">
        <f>TEXT(A569,"YYYY-MM-DD HH")</f>
        <v/>
      </c>
      <c r="R569" s="25">
        <f>COUNTIF($Q$2:$Q$5295,Q569)</f>
        <v/>
      </c>
      <c r="S569" s="25">
        <f>IF(R569&lt;=2,"1-2",IF(R569&lt;=5,"3-5",IF(R569&lt;=10,"6-10","11+")))</f>
        <v/>
      </c>
    </row>
    <row r="570">
      <c r="A570" s="39" t="n">
        <v>46160.3290162037</v>
      </c>
      <c r="B570" s="25">
        <f>TEXT(A570,"YYYY-MM")</f>
        <v/>
      </c>
      <c r="C570" s="25">
        <f>TEXT(A570,"MMM-YYYY")</f>
        <v/>
      </c>
      <c r="D570" s="40">
        <f>INT(A570)-WEEKDAY(A570,2)+1</f>
        <v/>
      </c>
      <c r="E570" s="25" t="inlineStr">
        <is>
          <t>dchoudhury</t>
        </is>
      </c>
      <c r="F570" s="25" t="n">
        <v>3</v>
      </c>
      <c r="G570" s="25" t="n">
        <v>1</v>
      </c>
      <c r="H570" s="25" t="n">
        <v>7</v>
      </c>
      <c r="I570" s="25" t="inlineStr">
        <is>
          <t>1 minute(s) and 9 second(s)</t>
        </is>
      </c>
      <c r="J570" s="25">
        <f>IFERROR(VALUE(TRIM(LEFT(I570,FIND("minute",I570)-1)))*60,0)+IFERROR(VALUE(SUBSTITUTE(MID(I570,IFERROR(FIND("and",I570)+3,1),20),"second(s)","")),0)</f>
        <v/>
      </c>
      <c r="K570" s="41">
        <f>J570/60</f>
        <v/>
      </c>
      <c r="L570" s="41">
        <f>IFERROR(J570/H570,"")</f>
        <v/>
      </c>
      <c r="M570" s="25" t="inlineStr">
        <is>
          <t>2.5.12</t>
        </is>
      </c>
      <c r="N570" s="25">
        <f>IF(J570&gt;300,1,0)</f>
        <v/>
      </c>
      <c r="O570" s="25">
        <f>IF(J570&gt;600,1,0)</f>
        <v/>
      </c>
      <c r="P570" s="25">
        <f>IF(H570&gt;0,J570,"")</f>
        <v/>
      </c>
      <c r="Q570" s="25">
        <f>TEXT(A570,"YYYY-MM-DD HH")</f>
        <v/>
      </c>
      <c r="R570" s="25">
        <f>COUNTIF($Q$2:$Q$5295,Q570)</f>
        <v/>
      </c>
      <c r="S570" s="25">
        <f>IF(R570&lt;=2,"1-2",IF(R570&lt;=5,"3-5",IF(R570&lt;=10,"6-10","11+")))</f>
        <v/>
      </c>
    </row>
    <row r="571">
      <c r="A571" s="39" t="n">
        <v>46160.3317824074</v>
      </c>
      <c r="B571" s="25">
        <f>TEXT(A571,"YYYY-MM")</f>
        <v/>
      </c>
      <c r="C571" s="25">
        <f>TEXT(A571,"MMM-YYYY")</f>
        <v/>
      </c>
      <c r="D571" s="40">
        <f>INT(A571)-WEEKDAY(A571,2)+1</f>
        <v/>
      </c>
      <c r="E571" s="25" t="inlineStr">
        <is>
          <t>npriya</t>
        </is>
      </c>
      <c r="F571" s="25" t="n">
        <v>81297</v>
      </c>
      <c r="G571" s="25" t="n">
        <v>5</v>
      </c>
      <c r="H571" s="25" t="n">
        <v>17</v>
      </c>
      <c r="I571" s="25" t="inlineStr">
        <is>
          <t>3 minute(s) and 55 second(s)</t>
        </is>
      </c>
      <c r="J571" s="25">
        <f>IFERROR(VALUE(TRIM(LEFT(I571,FIND("minute",I571)-1)))*60,0)+IFERROR(VALUE(SUBSTITUTE(MID(I571,IFERROR(FIND("and",I571)+3,1),20),"second(s)","")),0)</f>
        <v/>
      </c>
      <c r="K571" s="41">
        <f>J571/60</f>
        <v/>
      </c>
      <c r="L571" s="41">
        <f>IFERROR(J571/H571,"")</f>
        <v/>
      </c>
      <c r="M571" s="25" t="inlineStr">
        <is>
          <t>2.5.12</t>
        </is>
      </c>
      <c r="N571" s="25">
        <f>IF(J571&gt;300,1,0)</f>
        <v/>
      </c>
      <c r="O571" s="25">
        <f>IF(J571&gt;600,1,0)</f>
        <v/>
      </c>
      <c r="P571" s="25">
        <f>IF(H571&gt;0,J571,"")</f>
        <v/>
      </c>
      <c r="Q571" s="25">
        <f>TEXT(A571,"YYYY-MM-DD HH")</f>
        <v/>
      </c>
      <c r="R571" s="25">
        <f>COUNTIF($Q$2:$Q$5295,Q571)</f>
        <v/>
      </c>
      <c r="S571" s="25">
        <f>IF(R571&lt;=2,"1-2",IF(R571&lt;=5,"3-5",IF(R571&lt;=10,"6-10","11+")))</f>
        <v/>
      </c>
    </row>
    <row r="572">
      <c r="A572" s="39" t="n">
        <v>46160.33482638889</v>
      </c>
      <c r="B572" s="25">
        <f>TEXT(A572,"YYYY-MM")</f>
        <v/>
      </c>
      <c r="C572" s="25">
        <f>TEXT(A572,"MMM-YYYY")</f>
        <v/>
      </c>
      <c r="D572" s="40">
        <f>INT(A572)-WEEKDAY(A572,2)+1</f>
        <v/>
      </c>
      <c r="E572" s="25" t="inlineStr">
        <is>
          <t>sswati</t>
        </is>
      </c>
      <c r="F572" s="25" t="n">
        <v>95</v>
      </c>
      <c r="G572" s="25" t="n">
        <v>2</v>
      </c>
      <c r="H572" s="25" t="n">
        <v>10</v>
      </c>
      <c r="I572" s="25" t="inlineStr">
        <is>
          <t>3 minute(s) and 6 second(s)</t>
        </is>
      </c>
      <c r="J572" s="25">
        <f>IFERROR(VALUE(TRIM(LEFT(I572,FIND("minute",I572)-1)))*60,0)+IFERROR(VALUE(SUBSTITUTE(MID(I572,IFERROR(FIND("and",I572)+3,1),20),"second(s)","")),0)</f>
        <v/>
      </c>
      <c r="K572" s="41">
        <f>J572/60</f>
        <v/>
      </c>
      <c r="L572" s="41">
        <f>IFERROR(J572/H572,"")</f>
        <v/>
      </c>
      <c r="M572" s="25" t="inlineStr">
        <is>
          <t>2.5.12</t>
        </is>
      </c>
      <c r="N572" s="25">
        <f>IF(J572&gt;300,1,0)</f>
        <v/>
      </c>
      <c r="O572" s="25">
        <f>IF(J572&gt;600,1,0)</f>
        <v/>
      </c>
      <c r="P572" s="25">
        <f>IF(H572&gt;0,J572,"")</f>
        <v/>
      </c>
      <c r="Q572" s="25">
        <f>TEXT(A572,"YYYY-MM-DD HH")</f>
        <v/>
      </c>
      <c r="R572" s="25">
        <f>COUNTIF($Q$2:$Q$5295,Q572)</f>
        <v/>
      </c>
      <c r="S572" s="25">
        <f>IF(R572&lt;=2,"1-2",IF(R572&lt;=5,"3-5",IF(R572&lt;=10,"6-10","11+")))</f>
        <v/>
      </c>
    </row>
    <row r="573">
      <c r="A573" s="39" t="n">
        <v>46160.33545138889</v>
      </c>
      <c r="B573" s="25">
        <f>TEXT(A573,"YYYY-MM")</f>
        <v/>
      </c>
      <c r="C573" s="25">
        <f>TEXT(A573,"MMM-YYYY")</f>
        <v/>
      </c>
      <c r="D573" s="40">
        <f>INT(A573)-WEEKDAY(A573,2)+1</f>
        <v/>
      </c>
      <c r="E573" s="25" t="inlineStr">
        <is>
          <t>vraina</t>
        </is>
      </c>
      <c r="F573" s="25" t="n">
        <v>162</v>
      </c>
      <c r="G573" s="25" t="n">
        <v>1</v>
      </c>
      <c r="H573" s="25" t="n">
        <v>5</v>
      </c>
      <c r="I573" s="25" t="inlineStr">
        <is>
          <t>1 minute(s) and 4 second(s)</t>
        </is>
      </c>
      <c r="J573" s="25">
        <f>IFERROR(VALUE(TRIM(LEFT(I573,FIND("minute",I573)-1)))*60,0)+IFERROR(VALUE(SUBSTITUTE(MID(I573,IFERROR(FIND("and",I573)+3,1),20),"second(s)","")),0)</f>
        <v/>
      </c>
      <c r="K573" s="41">
        <f>J573/60</f>
        <v/>
      </c>
      <c r="L573" s="41">
        <f>IFERROR(J573/H573,"")</f>
        <v/>
      </c>
      <c r="M573" s="25" t="inlineStr">
        <is>
          <t>2.5.12</t>
        </is>
      </c>
      <c r="N573" s="25">
        <f>IF(J573&gt;300,1,0)</f>
        <v/>
      </c>
      <c r="O573" s="25">
        <f>IF(J573&gt;600,1,0)</f>
        <v/>
      </c>
      <c r="P573" s="25">
        <f>IF(H573&gt;0,J573,"")</f>
        <v/>
      </c>
      <c r="Q573" s="25">
        <f>TEXT(A573,"YYYY-MM-DD HH")</f>
        <v/>
      </c>
      <c r="R573" s="25">
        <f>COUNTIF($Q$2:$Q$5295,Q573)</f>
        <v/>
      </c>
      <c r="S573" s="25">
        <f>IF(R573&lt;=2,"1-2",IF(R573&lt;=5,"3-5",IF(R573&lt;=10,"6-10","11+")))</f>
        <v/>
      </c>
    </row>
    <row r="574">
      <c r="A574" s="39" t="n">
        <v>46160.33832175926</v>
      </c>
      <c r="B574" s="25">
        <f>TEXT(A574,"YYYY-MM")</f>
        <v/>
      </c>
      <c r="C574" s="25">
        <f>TEXT(A574,"MMM-YYYY")</f>
        <v/>
      </c>
      <c r="D574" s="40">
        <f>INT(A574)-WEEKDAY(A574,2)+1</f>
        <v/>
      </c>
      <c r="E574" s="25" t="inlineStr">
        <is>
          <t>arsarkar</t>
        </is>
      </c>
      <c r="F574" s="25" t="n">
        <v>86</v>
      </c>
      <c r="G574" s="25" t="n">
        <v>1</v>
      </c>
      <c r="H574" s="25" t="n">
        <v>5</v>
      </c>
      <c r="I574" s="25" t="inlineStr">
        <is>
          <t>1 minute(s) and 27 second(s)</t>
        </is>
      </c>
      <c r="J574" s="25">
        <f>IFERROR(VALUE(TRIM(LEFT(I574,FIND("minute",I574)-1)))*60,0)+IFERROR(VALUE(SUBSTITUTE(MID(I574,IFERROR(FIND("and",I574)+3,1),20),"second(s)","")),0)</f>
        <v/>
      </c>
      <c r="K574" s="41">
        <f>J574/60</f>
        <v/>
      </c>
      <c r="L574" s="41">
        <f>IFERROR(J574/H574,"")</f>
        <v/>
      </c>
      <c r="M574" s="25" t="inlineStr">
        <is>
          <t>2.5.12</t>
        </is>
      </c>
      <c r="N574" s="25">
        <f>IF(J574&gt;300,1,0)</f>
        <v/>
      </c>
      <c r="O574" s="25">
        <f>IF(J574&gt;600,1,0)</f>
        <v/>
      </c>
      <c r="P574" s="25">
        <f>IF(H574&gt;0,J574,"")</f>
        <v/>
      </c>
      <c r="Q574" s="25">
        <f>TEXT(A574,"YYYY-MM-DD HH")</f>
        <v/>
      </c>
      <c r="R574" s="25">
        <f>COUNTIF($Q$2:$Q$5295,Q574)</f>
        <v/>
      </c>
      <c r="S574" s="25">
        <f>IF(R574&lt;=2,"1-2",IF(R574&lt;=5,"3-5",IF(R574&lt;=10,"6-10","11+")))</f>
        <v/>
      </c>
    </row>
    <row r="575">
      <c r="A575" s="39" t="n">
        <v>46160.33961805556</v>
      </c>
      <c r="B575" s="25">
        <f>TEXT(A575,"YYYY-MM")</f>
        <v/>
      </c>
      <c r="C575" s="25">
        <f>TEXT(A575,"MMM-YYYY")</f>
        <v/>
      </c>
      <c r="D575" s="40">
        <f>INT(A575)-WEEKDAY(A575,2)+1</f>
        <v/>
      </c>
      <c r="E575" s="25" t="inlineStr">
        <is>
          <t>anusharma</t>
        </is>
      </c>
      <c r="F575" s="25" t="n">
        <v>139</v>
      </c>
      <c r="G575" s="25" t="n">
        <v>2</v>
      </c>
      <c r="H575" s="25" t="n">
        <v>10</v>
      </c>
      <c r="I575" s="25" t="inlineStr">
        <is>
          <t>3 minute(s) and 6 second(s)</t>
        </is>
      </c>
      <c r="J575" s="25">
        <f>IFERROR(VALUE(TRIM(LEFT(I575,FIND("minute",I575)-1)))*60,0)+IFERROR(VALUE(SUBSTITUTE(MID(I575,IFERROR(FIND("and",I575)+3,1),20),"second(s)","")),0)</f>
        <v/>
      </c>
      <c r="K575" s="41">
        <f>J575/60</f>
        <v/>
      </c>
      <c r="L575" s="41">
        <f>IFERROR(J575/H575,"")</f>
        <v/>
      </c>
      <c r="M575" s="25" t="inlineStr">
        <is>
          <t>2.5.12</t>
        </is>
      </c>
      <c r="N575" s="25">
        <f>IF(J575&gt;300,1,0)</f>
        <v/>
      </c>
      <c r="O575" s="25">
        <f>IF(J575&gt;600,1,0)</f>
        <v/>
      </c>
      <c r="P575" s="25">
        <f>IF(H575&gt;0,J575,"")</f>
        <v/>
      </c>
      <c r="Q575" s="25">
        <f>TEXT(A575,"YYYY-MM-DD HH")</f>
        <v/>
      </c>
      <c r="R575" s="25">
        <f>COUNTIF($Q$2:$Q$5295,Q575)</f>
        <v/>
      </c>
      <c r="S575" s="25">
        <f>IF(R575&lt;=2,"1-2",IF(R575&lt;=5,"3-5",IF(R575&lt;=10,"6-10","11+")))</f>
        <v/>
      </c>
    </row>
    <row r="576">
      <c r="A576" s="39" t="n">
        <v>46160.34621527778</v>
      </c>
      <c r="B576" s="25">
        <f>TEXT(A576,"YYYY-MM")</f>
        <v/>
      </c>
      <c r="C576" s="25">
        <f>TEXT(A576,"MMM-YYYY")</f>
        <v/>
      </c>
      <c r="D576" s="40">
        <f>INT(A576)-WEEKDAY(A576,2)+1</f>
        <v/>
      </c>
      <c r="E576" s="25" t="inlineStr">
        <is>
          <t>atiwari</t>
        </is>
      </c>
      <c r="F576" s="25" t="n">
        <v>183</v>
      </c>
      <c r="G576" s="25" t="n">
        <v>2</v>
      </c>
      <c r="H576" s="25" t="n">
        <v>12</v>
      </c>
      <c r="I576" s="25" t="inlineStr">
        <is>
          <t>2 minute(s) and 57 second(s)</t>
        </is>
      </c>
      <c r="J576" s="25">
        <f>IFERROR(VALUE(TRIM(LEFT(I576,FIND("minute",I576)-1)))*60,0)+IFERROR(VALUE(SUBSTITUTE(MID(I576,IFERROR(FIND("and",I576)+3,1),20),"second(s)","")),0)</f>
        <v/>
      </c>
      <c r="K576" s="41">
        <f>J576/60</f>
        <v/>
      </c>
      <c r="L576" s="41">
        <f>IFERROR(J576/H576,"")</f>
        <v/>
      </c>
      <c r="M576" s="25" t="inlineStr">
        <is>
          <t>2.5.12</t>
        </is>
      </c>
      <c r="N576" s="25">
        <f>IF(J576&gt;300,1,0)</f>
        <v/>
      </c>
      <c r="O576" s="25">
        <f>IF(J576&gt;600,1,0)</f>
        <v/>
      </c>
      <c r="P576" s="25">
        <f>IF(H576&gt;0,J576,"")</f>
        <v/>
      </c>
      <c r="Q576" s="25">
        <f>TEXT(A576,"YYYY-MM-DD HH")</f>
        <v/>
      </c>
      <c r="R576" s="25">
        <f>COUNTIF($Q$2:$Q$5295,Q576)</f>
        <v/>
      </c>
      <c r="S576" s="25">
        <f>IF(R576&lt;=2,"1-2",IF(R576&lt;=5,"3-5",IF(R576&lt;=10,"6-10","11+")))</f>
        <v/>
      </c>
    </row>
    <row r="577">
      <c r="A577" s="39" t="n">
        <v>46160.35020833334</v>
      </c>
      <c r="B577" s="25">
        <f>TEXT(A577,"YYYY-MM")</f>
        <v/>
      </c>
      <c r="C577" s="25">
        <f>TEXT(A577,"MMM-YYYY")</f>
        <v/>
      </c>
      <c r="D577" s="40">
        <f>INT(A577)-WEEKDAY(A577,2)+1</f>
        <v/>
      </c>
      <c r="E577" s="25" t="inlineStr">
        <is>
          <t>smukhopadhyay</t>
        </is>
      </c>
      <c r="F577" s="25" t="n">
        <v>55345</v>
      </c>
      <c r="G577" s="25" t="n">
        <v>1</v>
      </c>
      <c r="H577" s="25" t="n">
        <v>7</v>
      </c>
      <c r="I577" s="25" t="inlineStr">
        <is>
          <t>1 minute(s) and 44 second(s)</t>
        </is>
      </c>
      <c r="J577" s="25">
        <f>IFERROR(VALUE(TRIM(LEFT(I577,FIND("minute",I577)-1)))*60,0)+IFERROR(VALUE(SUBSTITUTE(MID(I577,IFERROR(FIND("and",I577)+3,1),20),"second(s)","")),0)</f>
        <v/>
      </c>
      <c r="K577" s="41">
        <f>J577/60</f>
        <v/>
      </c>
      <c r="L577" s="41">
        <f>IFERROR(J577/H577,"")</f>
        <v/>
      </c>
      <c r="M577" s="25" t="inlineStr">
        <is>
          <t>2.5.12</t>
        </is>
      </c>
      <c r="N577" s="25">
        <f>IF(J577&gt;300,1,0)</f>
        <v/>
      </c>
      <c r="O577" s="25">
        <f>IF(J577&gt;600,1,0)</f>
        <v/>
      </c>
      <c r="P577" s="25">
        <f>IF(H577&gt;0,J577,"")</f>
        <v/>
      </c>
      <c r="Q577" s="25">
        <f>TEXT(A577,"YYYY-MM-DD HH")</f>
        <v/>
      </c>
      <c r="R577" s="25">
        <f>COUNTIF($Q$2:$Q$5295,Q577)</f>
        <v/>
      </c>
      <c r="S577" s="25">
        <f>IF(R577&lt;=2,"1-2",IF(R577&lt;=5,"3-5",IF(R577&lt;=10,"6-10","11+")))</f>
        <v/>
      </c>
    </row>
    <row r="578">
      <c r="A578" s="39" t="n">
        <v>46160.35422453703</v>
      </c>
      <c r="B578" s="25">
        <f>TEXT(A578,"YYYY-MM")</f>
        <v/>
      </c>
      <c r="C578" s="25">
        <f>TEXT(A578,"MMM-YYYY")</f>
        <v/>
      </c>
      <c r="D578" s="40">
        <f>INT(A578)-WEEKDAY(A578,2)+1</f>
        <v/>
      </c>
      <c r="E578" s="25" t="inlineStr">
        <is>
          <t>mbohra</t>
        </is>
      </c>
      <c r="F578" s="25" t="n">
        <v>218</v>
      </c>
      <c r="G578" s="25" t="n">
        <v>1</v>
      </c>
      <c r="H578" s="25" t="n">
        <v>7</v>
      </c>
      <c r="I578" s="25" t="inlineStr">
        <is>
          <t>3 minute(s) and 2 second(s)</t>
        </is>
      </c>
      <c r="J578" s="25">
        <f>IFERROR(VALUE(TRIM(LEFT(I578,FIND("minute",I578)-1)))*60,0)+IFERROR(VALUE(SUBSTITUTE(MID(I578,IFERROR(FIND("and",I578)+3,1),20),"second(s)","")),0)</f>
        <v/>
      </c>
      <c r="K578" s="41">
        <f>J578/60</f>
        <v/>
      </c>
      <c r="L578" s="41">
        <f>IFERROR(J578/H578,"")</f>
        <v/>
      </c>
      <c r="M578" s="25" t="inlineStr">
        <is>
          <t>2.5.12</t>
        </is>
      </c>
      <c r="N578" s="25">
        <f>IF(J578&gt;300,1,0)</f>
        <v/>
      </c>
      <c r="O578" s="25">
        <f>IF(J578&gt;600,1,0)</f>
        <v/>
      </c>
      <c r="P578" s="25">
        <f>IF(H578&gt;0,J578,"")</f>
        <v/>
      </c>
      <c r="Q578" s="25">
        <f>TEXT(A578,"YYYY-MM-DD HH")</f>
        <v/>
      </c>
      <c r="R578" s="25">
        <f>COUNTIF($Q$2:$Q$5295,Q578)</f>
        <v/>
      </c>
      <c r="S578" s="25">
        <f>IF(R578&lt;=2,"1-2",IF(R578&lt;=5,"3-5",IF(R578&lt;=10,"6-10","11+")))</f>
        <v/>
      </c>
    </row>
    <row r="579">
      <c r="A579" s="39" t="n">
        <v>46160.36162037037</v>
      </c>
      <c r="B579" s="25">
        <f>TEXT(A579,"YYYY-MM")</f>
        <v/>
      </c>
      <c r="C579" s="25">
        <f>TEXT(A579,"MMM-YYYY")</f>
        <v/>
      </c>
      <c r="D579" s="40">
        <f>INT(A579)-WEEKDAY(A579,2)+1</f>
        <v/>
      </c>
      <c r="E579" s="25" t="inlineStr">
        <is>
          <t>akumari</t>
        </is>
      </c>
      <c r="F579" s="25" t="n">
        <v>18</v>
      </c>
      <c r="G579" s="25" t="n">
        <v>1</v>
      </c>
      <c r="H579" s="25" t="n">
        <v>7</v>
      </c>
      <c r="I579" s="25" t="inlineStr">
        <is>
          <t>1 minute(s) and 8 second(s)</t>
        </is>
      </c>
      <c r="J579" s="25">
        <f>IFERROR(VALUE(TRIM(LEFT(I579,FIND("minute",I579)-1)))*60,0)+IFERROR(VALUE(SUBSTITUTE(MID(I579,IFERROR(FIND("and",I579)+3,1),20),"second(s)","")),0)</f>
        <v/>
      </c>
      <c r="K579" s="41">
        <f>J579/60</f>
        <v/>
      </c>
      <c r="L579" s="41">
        <f>IFERROR(J579/H579,"")</f>
        <v/>
      </c>
      <c r="M579" s="25" t="inlineStr">
        <is>
          <t>2.5.12</t>
        </is>
      </c>
      <c r="N579" s="25">
        <f>IF(J579&gt;300,1,0)</f>
        <v/>
      </c>
      <c r="O579" s="25">
        <f>IF(J579&gt;600,1,0)</f>
        <v/>
      </c>
      <c r="P579" s="25">
        <f>IF(H579&gt;0,J579,"")</f>
        <v/>
      </c>
      <c r="Q579" s="25">
        <f>TEXT(A579,"YYYY-MM-DD HH")</f>
        <v/>
      </c>
      <c r="R579" s="25">
        <f>COUNTIF($Q$2:$Q$5295,Q579)</f>
        <v/>
      </c>
      <c r="S579" s="25">
        <f>IF(R579&lt;=2,"1-2",IF(R579&lt;=5,"3-5",IF(R579&lt;=10,"6-10","11+")))</f>
        <v/>
      </c>
    </row>
    <row r="580">
      <c r="A580" s="39" t="n">
        <v>46160.36236111111</v>
      </c>
      <c r="B580" s="25">
        <f>TEXT(A580,"YYYY-MM")</f>
        <v/>
      </c>
      <c r="C580" s="25">
        <f>TEXT(A580,"MMM-YYYY")</f>
        <v/>
      </c>
      <c r="D580" s="40">
        <f>INT(A580)-WEEKDAY(A580,2)+1</f>
        <v/>
      </c>
      <c r="E580" s="25" t="inlineStr">
        <is>
          <t>asahoo</t>
        </is>
      </c>
      <c r="F580" s="25" t="n">
        <v>154</v>
      </c>
      <c r="G580" s="25" t="n">
        <v>2</v>
      </c>
      <c r="H580" s="25" t="n">
        <v>10</v>
      </c>
      <c r="I580" s="25" t="inlineStr">
        <is>
          <t>2 minute(s) and 18 second(s)</t>
        </is>
      </c>
      <c r="J580" s="25">
        <f>IFERROR(VALUE(TRIM(LEFT(I580,FIND("minute",I580)-1)))*60,0)+IFERROR(VALUE(SUBSTITUTE(MID(I580,IFERROR(FIND("and",I580)+3,1),20),"second(s)","")),0)</f>
        <v/>
      </c>
      <c r="K580" s="41">
        <f>J580/60</f>
        <v/>
      </c>
      <c r="L580" s="41">
        <f>IFERROR(J580/H580,"")</f>
        <v/>
      </c>
      <c r="M580" s="25" t="inlineStr">
        <is>
          <t>2.5.12</t>
        </is>
      </c>
      <c r="N580" s="25">
        <f>IF(J580&gt;300,1,0)</f>
        <v/>
      </c>
      <c r="O580" s="25">
        <f>IF(J580&gt;600,1,0)</f>
        <v/>
      </c>
      <c r="P580" s="25">
        <f>IF(H580&gt;0,J580,"")</f>
        <v/>
      </c>
      <c r="Q580" s="25">
        <f>TEXT(A580,"YYYY-MM-DD HH")</f>
        <v/>
      </c>
      <c r="R580" s="25">
        <f>COUNTIF($Q$2:$Q$5295,Q580)</f>
        <v/>
      </c>
      <c r="S580" s="25">
        <f>IF(R580&lt;=2,"1-2",IF(R580&lt;=5,"3-5",IF(R580&lt;=10,"6-10","11+")))</f>
        <v/>
      </c>
    </row>
    <row r="581">
      <c r="A581" s="39" t="n">
        <v>46160.36449074074</v>
      </c>
      <c r="B581" s="25">
        <f>TEXT(A581,"YYYY-MM")</f>
        <v/>
      </c>
      <c r="C581" s="25">
        <f>TEXT(A581,"MMM-YYYY")</f>
        <v/>
      </c>
      <c r="D581" s="40">
        <f>INT(A581)-WEEKDAY(A581,2)+1</f>
        <v/>
      </c>
      <c r="E581" s="25" t="inlineStr">
        <is>
          <t>npriya</t>
        </is>
      </c>
      <c r="F581" s="25" t="n">
        <v>81396</v>
      </c>
      <c r="G581" s="25" t="n">
        <v>3</v>
      </c>
      <c r="H581" s="25" t="n">
        <v>9</v>
      </c>
      <c r="I581" s="25" t="inlineStr">
        <is>
          <t>3 minute(s) and 2 second(s)</t>
        </is>
      </c>
      <c r="J581" s="25">
        <f>IFERROR(VALUE(TRIM(LEFT(I581,FIND("minute",I581)-1)))*60,0)+IFERROR(VALUE(SUBSTITUTE(MID(I581,IFERROR(FIND("and",I581)+3,1),20),"second(s)","")),0)</f>
        <v/>
      </c>
      <c r="K581" s="41">
        <f>J581/60</f>
        <v/>
      </c>
      <c r="L581" s="41">
        <f>IFERROR(J581/H581,"")</f>
        <v/>
      </c>
      <c r="M581" s="25" t="inlineStr">
        <is>
          <t>2.5.12</t>
        </is>
      </c>
      <c r="N581" s="25">
        <f>IF(J581&gt;300,1,0)</f>
        <v/>
      </c>
      <c r="O581" s="25">
        <f>IF(J581&gt;600,1,0)</f>
        <v/>
      </c>
      <c r="P581" s="25">
        <f>IF(H581&gt;0,J581,"")</f>
        <v/>
      </c>
      <c r="Q581" s="25">
        <f>TEXT(A581,"YYYY-MM-DD HH")</f>
        <v/>
      </c>
      <c r="R581" s="25">
        <f>COUNTIF($Q$2:$Q$5295,Q581)</f>
        <v/>
      </c>
      <c r="S581" s="25">
        <f>IF(R581&lt;=2,"1-2",IF(R581&lt;=5,"3-5",IF(R581&lt;=10,"6-10","11+")))</f>
        <v/>
      </c>
    </row>
    <row r="582">
      <c r="A582" s="39" t="n">
        <v>46160.36457175926</v>
      </c>
      <c r="B582" s="25">
        <f>TEXT(A582,"YYYY-MM")</f>
        <v/>
      </c>
      <c r="C582" s="25">
        <f>TEXT(A582,"MMM-YYYY")</f>
        <v/>
      </c>
      <c r="D582" s="40">
        <f>INT(A582)-WEEKDAY(A582,2)+1</f>
        <v/>
      </c>
      <c r="E582" s="25" t="inlineStr">
        <is>
          <t>shassan</t>
        </is>
      </c>
      <c r="F582" s="25" t="n">
        <v>105635</v>
      </c>
      <c r="G582" s="25" t="n">
        <v>5</v>
      </c>
      <c r="H582" s="25" t="n">
        <v>31</v>
      </c>
      <c r="I582" s="25" t="inlineStr">
        <is>
          <t>6 minute(s) and 19 second(s)</t>
        </is>
      </c>
      <c r="J582" s="25">
        <f>IFERROR(VALUE(TRIM(LEFT(I582,FIND("minute",I582)-1)))*60,0)+IFERROR(VALUE(SUBSTITUTE(MID(I582,IFERROR(FIND("and",I582)+3,1),20),"second(s)","")),0)</f>
        <v/>
      </c>
      <c r="K582" s="41">
        <f>J582/60</f>
        <v/>
      </c>
      <c r="L582" s="41">
        <f>IFERROR(J582/H582,"")</f>
        <v/>
      </c>
      <c r="M582" s="25" t="inlineStr">
        <is>
          <t>2.5.12</t>
        </is>
      </c>
      <c r="N582" s="25">
        <f>IF(J582&gt;300,1,0)</f>
        <v/>
      </c>
      <c r="O582" s="25">
        <f>IF(J582&gt;600,1,0)</f>
        <v/>
      </c>
      <c r="P582" s="25">
        <f>IF(H582&gt;0,J582,"")</f>
        <v/>
      </c>
      <c r="Q582" s="25">
        <f>TEXT(A582,"YYYY-MM-DD HH")</f>
        <v/>
      </c>
      <c r="R582" s="25">
        <f>COUNTIF($Q$2:$Q$5295,Q582)</f>
        <v/>
      </c>
      <c r="S582" s="25">
        <f>IF(R582&lt;=2,"1-2",IF(R582&lt;=5,"3-5",IF(R582&lt;=10,"6-10","11+")))</f>
        <v/>
      </c>
    </row>
    <row r="583">
      <c r="A583" s="39" t="n">
        <v>46160.36513888889</v>
      </c>
      <c r="B583" s="25">
        <f>TEXT(A583,"YYYY-MM")</f>
        <v/>
      </c>
      <c r="C583" s="25">
        <f>TEXT(A583,"MMM-YYYY")</f>
        <v/>
      </c>
      <c r="D583" s="40">
        <f>INT(A583)-WEEKDAY(A583,2)+1</f>
        <v/>
      </c>
      <c r="E583" s="25" t="inlineStr">
        <is>
          <t>arsarkar</t>
        </is>
      </c>
      <c r="F583" s="25" t="n">
        <v>87</v>
      </c>
      <c r="G583" s="25" t="n">
        <v>1</v>
      </c>
      <c r="H583" s="25" t="n">
        <v>5</v>
      </c>
      <c r="I583" s="25" t="inlineStr">
        <is>
          <t>2 minute(s) and 18 second(s)</t>
        </is>
      </c>
      <c r="J583" s="25">
        <f>IFERROR(VALUE(TRIM(LEFT(I583,FIND("minute",I583)-1)))*60,0)+IFERROR(VALUE(SUBSTITUTE(MID(I583,IFERROR(FIND("and",I583)+3,1),20),"second(s)","")),0)</f>
        <v/>
      </c>
      <c r="K583" s="41">
        <f>J583/60</f>
        <v/>
      </c>
      <c r="L583" s="41">
        <f>IFERROR(J583/H583,"")</f>
        <v/>
      </c>
      <c r="M583" s="25" t="inlineStr">
        <is>
          <t>2.5.12</t>
        </is>
      </c>
      <c r="N583" s="25">
        <f>IF(J583&gt;300,1,0)</f>
        <v/>
      </c>
      <c r="O583" s="25">
        <f>IF(J583&gt;600,1,0)</f>
        <v/>
      </c>
      <c r="P583" s="25">
        <f>IF(H583&gt;0,J583,"")</f>
        <v/>
      </c>
      <c r="Q583" s="25">
        <f>TEXT(A583,"YYYY-MM-DD HH")</f>
        <v/>
      </c>
      <c r="R583" s="25">
        <f>COUNTIF($Q$2:$Q$5295,Q583)</f>
        <v/>
      </c>
      <c r="S583" s="25">
        <f>IF(R583&lt;=2,"1-2",IF(R583&lt;=5,"3-5",IF(R583&lt;=10,"6-10","11+")))</f>
        <v/>
      </c>
    </row>
    <row r="584">
      <c r="A584" s="39" t="n">
        <v>46160.36706018518</v>
      </c>
      <c r="B584" s="25">
        <f>TEXT(A584,"YYYY-MM")</f>
        <v/>
      </c>
      <c r="C584" s="25">
        <f>TEXT(A584,"MMM-YYYY")</f>
        <v/>
      </c>
      <c r="D584" s="40">
        <f>INT(A584)-WEEKDAY(A584,2)+1</f>
        <v/>
      </c>
      <c r="E584" s="25" t="inlineStr">
        <is>
          <t>atiwari</t>
        </is>
      </c>
      <c r="F584" s="25" t="n">
        <v>184</v>
      </c>
      <c r="G584" s="25" t="n">
        <v>1</v>
      </c>
      <c r="H584" s="25" t="n">
        <v>7</v>
      </c>
      <c r="I584" s="25" t="inlineStr">
        <is>
          <t>1 minute(s) and 45 second(s)</t>
        </is>
      </c>
      <c r="J584" s="25">
        <f>IFERROR(VALUE(TRIM(LEFT(I584,FIND("minute",I584)-1)))*60,0)+IFERROR(VALUE(SUBSTITUTE(MID(I584,IFERROR(FIND("and",I584)+3,1),20),"second(s)","")),0)</f>
        <v/>
      </c>
      <c r="K584" s="41">
        <f>J584/60</f>
        <v/>
      </c>
      <c r="L584" s="41">
        <f>IFERROR(J584/H584,"")</f>
        <v/>
      </c>
      <c r="M584" s="25" t="inlineStr">
        <is>
          <t>2.5.12</t>
        </is>
      </c>
      <c r="N584" s="25">
        <f>IF(J584&gt;300,1,0)</f>
        <v/>
      </c>
      <c r="O584" s="25">
        <f>IF(J584&gt;600,1,0)</f>
        <v/>
      </c>
      <c r="P584" s="25">
        <f>IF(H584&gt;0,J584,"")</f>
        <v/>
      </c>
      <c r="Q584" s="25">
        <f>TEXT(A584,"YYYY-MM-DD HH")</f>
        <v/>
      </c>
      <c r="R584" s="25">
        <f>COUNTIF($Q$2:$Q$5295,Q584)</f>
        <v/>
      </c>
      <c r="S584" s="25">
        <f>IF(R584&lt;=2,"1-2",IF(R584&lt;=5,"3-5",IF(R584&lt;=10,"6-10","11+")))</f>
        <v/>
      </c>
    </row>
    <row r="585">
      <c r="A585" s="39" t="n">
        <v>46160.3705787037</v>
      </c>
      <c r="B585" s="25">
        <f>TEXT(A585,"YYYY-MM")</f>
        <v/>
      </c>
      <c r="C585" s="25">
        <f>TEXT(A585,"MMM-YYYY")</f>
        <v/>
      </c>
      <c r="D585" s="40">
        <f>INT(A585)-WEEKDAY(A585,2)+1</f>
        <v/>
      </c>
      <c r="E585" s="25" t="inlineStr">
        <is>
          <t>ns</t>
        </is>
      </c>
      <c r="F585" s="25" t="n">
        <v>72195</v>
      </c>
      <c r="G585" s="25" t="n">
        <v>4</v>
      </c>
      <c r="H585" s="25" t="n">
        <v>20</v>
      </c>
      <c r="I585" s="25" t="inlineStr">
        <is>
          <t>4 minute(s) and 15 second(s)</t>
        </is>
      </c>
      <c r="J585" s="25">
        <f>IFERROR(VALUE(TRIM(LEFT(I585,FIND("minute",I585)-1)))*60,0)+IFERROR(VALUE(SUBSTITUTE(MID(I585,IFERROR(FIND("and",I585)+3,1),20),"second(s)","")),0)</f>
        <v/>
      </c>
      <c r="K585" s="41">
        <f>J585/60</f>
        <v/>
      </c>
      <c r="L585" s="41">
        <f>IFERROR(J585/H585,"")</f>
        <v/>
      </c>
      <c r="M585" s="25" t="inlineStr">
        <is>
          <t>2.5.12</t>
        </is>
      </c>
      <c r="N585" s="25">
        <f>IF(J585&gt;300,1,0)</f>
        <v/>
      </c>
      <c r="O585" s="25">
        <f>IF(J585&gt;600,1,0)</f>
        <v/>
      </c>
      <c r="P585" s="25">
        <f>IF(H585&gt;0,J585,"")</f>
        <v/>
      </c>
      <c r="Q585" s="25">
        <f>TEXT(A585,"YYYY-MM-DD HH")</f>
        <v/>
      </c>
      <c r="R585" s="25">
        <f>COUNTIF($Q$2:$Q$5295,Q585)</f>
        <v/>
      </c>
      <c r="S585" s="25">
        <f>IF(R585&lt;=2,"1-2",IF(R585&lt;=5,"3-5",IF(R585&lt;=10,"6-10","11+")))</f>
        <v/>
      </c>
    </row>
    <row r="586">
      <c r="A586" s="39" t="n">
        <v>46160.37199074074</v>
      </c>
      <c r="B586" s="25">
        <f>TEXT(A586,"YYYY-MM")</f>
        <v/>
      </c>
      <c r="C586" s="25">
        <f>TEXT(A586,"MMM-YYYY")</f>
        <v/>
      </c>
      <c r="D586" s="40">
        <f>INT(A586)-WEEKDAY(A586,2)+1</f>
        <v/>
      </c>
      <c r="E586" s="25" t="inlineStr">
        <is>
          <t>abhaskarkp</t>
        </is>
      </c>
      <c r="F586" s="25" t="n">
        <v>113479</v>
      </c>
      <c r="G586" s="25" t="n">
        <v>3</v>
      </c>
      <c r="H586" s="25" t="n">
        <v>11</v>
      </c>
      <c r="I586" s="25" t="inlineStr">
        <is>
          <t>3 minute(s) and 22 second(s)</t>
        </is>
      </c>
      <c r="J586" s="25">
        <f>IFERROR(VALUE(TRIM(LEFT(I586,FIND("minute",I586)-1)))*60,0)+IFERROR(VALUE(SUBSTITUTE(MID(I586,IFERROR(FIND("and",I586)+3,1),20),"second(s)","")),0)</f>
        <v/>
      </c>
      <c r="K586" s="41">
        <f>J586/60</f>
        <v/>
      </c>
      <c r="L586" s="41">
        <f>IFERROR(J586/H586,"")</f>
        <v/>
      </c>
      <c r="M586" s="25" t="inlineStr">
        <is>
          <t>2.5.12</t>
        </is>
      </c>
      <c r="N586" s="25">
        <f>IF(J586&gt;300,1,0)</f>
        <v/>
      </c>
      <c r="O586" s="25">
        <f>IF(J586&gt;600,1,0)</f>
        <v/>
      </c>
      <c r="P586" s="25">
        <f>IF(H586&gt;0,J586,"")</f>
        <v/>
      </c>
      <c r="Q586" s="25">
        <f>TEXT(A586,"YYYY-MM-DD HH")</f>
        <v/>
      </c>
      <c r="R586" s="25">
        <f>COUNTIF($Q$2:$Q$5295,Q586)</f>
        <v/>
      </c>
      <c r="S586" s="25">
        <f>IF(R586&lt;=2,"1-2",IF(R586&lt;=5,"3-5",IF(R586&lt;=10,"6-10","11+")))</f>
        <v/>
      </c>
    </row>
    <row r="587">
      <c r="A587" s="39" t="n">
        <v>46160.37405092592</v>
      </c>
      <c r="B587" s="25">
        <f>TEXT(A587,"YYYY-MM")</f>
        <v/>
      </c>
      <c r="C587" s="25">
        <f>TEXT(A587,"MMM-YYYY")</f>
        <v/>
      </c>
      <c r="D587" s="40">
        <f>INT(A587)-WEEKDAY(A587,2)+1</f>
        <v/>
      </c>
      <c r="E587" s="25" t="inlineStr">
        <is>
          <t>kananya</t>
        </is>
      </c>
      <c r="F587" s="25" t="n">
        <v>85197</v>
      </c>
      <c r="G587" s="25" t="n">
        <v>2</v>
      </c>
      <c r="H587" s="25" t="n">
        <v>6</v>
      </c>
      <c r="I587" s="25" t="inlineStr">
        <is>
          <t>1 minute(s) and 22 second(s)</t>
        </is>
      </c>
      <c r="J587" s="25">
        <f>IFERROR(VALUE(TRIM(LEFT(I587,FIND("minute",I587)-1)))*60,0)+IFERROR(VALUE(SUBSTITUTE(MID(I587,IFERROR(FIND("and",I587)+3,1),20),"second(s)","")),0)</f>
        <v/>
      </c>
      <c r="K587" s="41">
        <f>J587/60</f>
        <v/>
      </c>
      <c r="L587" s="41">
        <f>IFERROR(J587/H587,"")</f>
        <v/>
      </c>
      <c r="M587" s="25" t="inlineStr">
        <is>
          <t>2.5.12</t>
        </is>
      </c>
      <c r="N587" s="25">
        <f>IF(J587&gt;300,1,0)</f>
        <v/>
      </c>
      <c r="O587" s="25">
        <f>IF(J587&gt;600,1,0)</f>
        <v/>
      </c>
      <c r="P587" s="25">
        <f>IF(H587&gt;0,J587,"")</f>
        <v/>
      </c>
      <c r="Q587" s="25">
        <f>TEXT(A587,"YYYY-MM-DD HH")</f>
        <v/>
      </c>
      <c r="R587" s="25">
        <f>COUNTIF($Q$2:$Q$5295,Q587)</f>
        <v/>
      </c>
      <c r="S587" s="25">
        <f>IF(R587&lt;=2,"1-2",IF(R587&lt;=5,"3-5",IF(R587&lt;=10,"6-10","11+")))</f>
        <v/>
      </c>
    </row>
    <row r="588">
      <c r="A588" s="39" t="n">
        <v>46160.3778125</v>
      </c>
      <c r="B588" s="25">
        <f>TEXT(A588,"YYYY-MM")</f>
        <v/>
      </c>
      <c r="C588" s="25">
        <f>TEXT(A588,"MMM-YYYY")</f>
        <v/>
      </c>
      <c r="D588" s="40">
        <f>INT(A588)-WEEKDAY(A588,2)+1</f>
        <v/>
      </c>
      <c r="E588" s="25" t="inlineStr">
        <is>
          <t>emishra</t>
        </is>
      </c>
      <c r="F588" s="25" t="n">
        <v>74</v>
      </c>
      <c r="G588" s="25" t="n">
        <v>1</v>
      </c>
      <c r="H588" s="25" t="n">
        <v>7</v>
      </c>
      <c r="I588" s="25" t="inlineStr">
        <is>
          <t>1 minute(s) and 1 second(s)</t>
        </is>
      </c>
      <c r="J588" s="25">
        <f>IFERROR(VALUE(TRIM(LEFT(I588,FIND("minute",I588)-1)))*60,0)+IFERROR(VALUE(SUBSTITUTE(MID(I588,IFERROR(FIND("and",I588)+3,1),20),"second(s)","")),0)</f>
        <v/>
      </c>
      <c r="K588" s="41">
        <f>J588/60</f>
        <v/>
      </c>
      <c r="L588" s="41">
        <f>IFERROR(J588/H588,"")</f>
        <v/>
      </c>
      <c r="M588" s="25" t="inlineStr">
        <is>
          <t>2.5.12</t>
        </is>
      </c>
      <c r="N588" s="25">
        <f>IF(J588&gt;300,1,0)</f>
        <v/>
      </c>
      <c r="O588" s="25">
        <f>IF(J588&gt;600,1,0)</f>
        <v/>
      </c>
      <c r="P588" s="25">
        <f>IF(H588&gt;0,J588,"")</f>
        <v/>
      </c>
      <c r="Q588" s="25">
        <f>TEXT(A588,"YYYY-MM-DD HH")</f>
        <v/>
      </c>
      <c r="R588" s="25">
        <f>COUNTIF($Q$2:$Q$5295,Q588)</f>
        <v/>
      </c>
      <c r="S588" s="25">
        <f>IF(R588&lt;=2,"1-2",IF(R588&lt;=5,"3-5",IF(R588&lt;=10,"6-10","11+")))</f>
        <v/>
      </c>
    </row>
    <row r="589">
      <c r="A589" s="39" t="n">
        <v>46160.37841435185</v>
      </c>
      <c r="B589" s="25">
        <f>TEXT(A589,"YYYY-MM")</f>
        <v/>
      </c>
      <c r="C589" s="25">
        <f>TEXT(A589,"MMM-YYYY")</f>
        <v/>
      </c>
      <c r="D589" s="40">
        <f>INT(A589)-WEEKDAY(A589,2)+1</f>
        <v/>
      </c>
      <c r="E589" s="25" t="inlineStr">
        <is>
          <t>csaha</t>
        </is>
      </c>
      <c r="F589" s="25" t="n">
        <v>227</v>
      </c>
      <c r="G589" s="25" t="n">
        <v>1</v>
      </c>
      <c r="H589" s="25" t="n">
        <v>7</v>
      </c>
      <c r="I589" s="25" t="inlineStr">
        <is>
          <t>2 minute(s) and 53 second(s)</t>
        </is>
      </c>
      <c r="J589" s="25">
        <f>IFERROR(VALUE(TRIM(LEFT(I589,FIND("minute",I589)-1)))*60,0)+IFERROR(VALUE(SUBSTITUTE(MID(I589,IFERROR(FIND("and",I589)+3,1),20),"second(s)","")),0)</f>
        <v/>
      </c>
      <c r="K589" s="41">
        <f>J589/60</f>
        <v/>
      </c>
      <c r="L589" s="41">
        <f>IFERROR(J589/H589,"")</f>
        <v/>
      </c>
      <c r="M589" s="25" t="inlineStr">
        <is>
          <t>2.5.12</t>
        </is>
      </c>
      <c r="N589" s="25">
        <f>IF(J589&gt;300,1,0)</f>
        <v/>
      </c>
      <c r="O589" s="25">
        <f>IF(J589&gt;600,1,0)</f>
        <v/>
      </c>
      <c r="P589" s="25">
        <f>IF(H589&gt;0,J589,"")</f>
        <v/>
      </c>
      <c r="Q589" s="25">
        <f>TEXT(A589,"YYYY-MM-DD HH")</f>
        <v/>
      </c>
      <c r="R589" s="25">
        <f>COUNTIF($Q$2:$Q$5295,Q589)</f>
        <v/>
      </c>
      <c r="S589" s="25">
        <f>IF(R589&lt;=2,"1-2",IF(R589&lt;=5,"3-5",IF(R589&lt;=10,"6-10","11+")))</f>
        <v/>
      </c>
    </row>
    <row r="590">
      <c r="A590" s="39" t="n">
        <v>46160.38289351852</v>
      </c>
      <c r="B590" s="25">
        <f>TEXT(A590,"YYYY-MM")</f>
        <v/>
      </c>
      <c r="C590" s="25">
        <f>TEXT(A590,"MMM-YYYY")</f>
        <v/>
      </c>
      <c r="D590" s="40">
        <f>INT(A590)-WEEKDAY(A590,2)+1</f>
        <v/>
      </c>
      <c r="E590" s="25" t="inlineStr">
        <is>
          <t>anusharma</t>
        </is>
      </c>
      <c r="F590" s="25" t="n">
        <v>140</v>
      </c>
      <c r="G590" s="25" t="n">
        <v>1</v>
      </c>
      <c r="H590" s="25" t="n">
        <v>7</v>
      </c>
      <c r="I590" s="25" t="inlineStr">
        <is>
          <t>1 minute(s) and 18 second(s)</t>
        </is>
      </c>
      <c r="J590" s="25">
        <f>IFERROR(VALUE(TRIM(LEFT(I590,FIND("minute",I590)-1)))*60,0)+IFERROR(VALUE(SUBSTITUTE(MID(I590,IFERROR(FIND("and",I590)+3,1),20),"second(s)","")),0)</f>
        <v/>
      </c>
      <c r="K590" s="41">
        <f>J590/60</f>
        <v/>
      </c>
      <c r="L590" s="41">
        <f>IFERROR(J590/H590,"")</f>
        <v/>
      </c>
      <c r="M590" s="25" t="inlineStr">
        <is>
          <t>2.5.12</t>
        </is>
      </c>
      <c r="N590" s="25">
        <f>IF(J590&gt;300,1,0)</f>
        <v/>
      </c>
      <c r="O590" s="25">
        <f>IF(J590&gt;600,1,0)</f>
        <v/>
      </c>
      <c r="P590" s="25">
        <f>IF(H590&gt;0,J590,"")</f>
        <v/>
      </c>
      <c r="Q590" s="25">
        <f>TEXT(A590,"YYYY-MM-DD HH")</f>
        <v/>
      </c>
      <c r="R590" s="25">
        <f>COUNTIF($Q$2:$Q$5295,Q590)</f>
        <v/>
      </c>
      <c r="S590" s="25">
        <f>IF(R590&lt;=2,"1-2",IF(R590&lt;=5,"3-5",IF(R590&lt;=10,"6-10","11+")))</f>
        <v/>
      </c>
    </row>
    <row r="591">
      <c r="A591" s="39" t="n">
        <v>46160.38349537037</v>
      </c>
      <c r="B591" s="25">
        <f>TEXT(A591,"YYYY-MM")</f>
        <v/>
      </c>
      <c r="C591" s="25">
        <f>TEXT(A591,"MMM-YYYY")</f>
        <v/>
      </c>
      <c r="D591" s="40">
        <f>INT(A591)-WEEKDAY(A591,2)+1</f>
        <v/>
      </c>
      <c r="E591" s="25" t="inlineStr">
        <is>
          <t>atiwari</t>
        </is>
      </c>
      <c r="F591" s="25" t="n">
        <v>186</v>
      </c>
      <c r="G591" s="25" t="n">
        <v>1</v>
      </c>
      <c r="H591" s="25" t="n">
        <v>7</v>
      </c>
      <c r="I591" s="25" t="inlineStr">
        <is>
          <t>3 minute(s) and 16 second(s)</t>
        </is>
      </c>
      <c r="J591" s="25">
        <f>IFERROR(VALUE(TRIM(LEFT(I591,FIND("minute",I591)-1)))*60,0)+IFERROR(VALUE(SUBSTITUTE(MID(I591,IFERROR(FIND("and",I591)+3,1),20),"second(s)","")),0)</f>
        <v/>
      </c>
      <c r="K591" s="41">
        <f>J591/60</f>
        <v/>
      </c>
      <c r="L591" s="41">
        <f>IFERROR(J591/H591,"")</f>
        <v/>
      </c>
      <c r="M591" s="25" t="inlineStr">
        <is>
          <t>2.5.12</t>
        </is>
      </c>
      <c r="N591" s="25">
        <f>IF(J591&gt;300,1,0)</f>
        <v/>
      </c>
      <c r="O591" s="25">
        <f>IF(J591&gt;600,1,0)</f>
        <v/>
      </c>
      <c r="P591" s="25">
        <f>IF(H591&gt;0,J591,"")</f>
        <v/>
      </c>
      <c r="Q591" s="25">
        <f>TEXT(A591,"YYYY-MM-DD HH")</f>
        <v/>
      </c>
      <c r="R591" s="25">
        <f>COUNTIF($Q$2:$Q$5295,Q591)</f>
        <v/>
      </c>
      <c r="S591" s="25">
        <f>IF(R591&lt;=2,"1-2",IF(R591&lt;=5,"3-5",IF(R591&lt;=10,"6-10","11+")))</f>
        <v/>
      </c>
    </row>
    <row r="592">
      <c r="A592" s="39" t="n">
        <v>46160.38702546297</v>
      </c>
      <c r="B592" s="25">
        <f>TEXT(A592,"YYYY-MM")</f>
        <v/>
      </c>
      <c r="C592" s="25">
        <f>TEXT(A592,"MMM-YYYY")</f>
        <v/>
      </c>
      <c r="D592" s="40">
        <f>INT(A592)-WEEKDAY(A592,2)+1</f>
        <v/>
      </c>
      <c r="E592" s="25" t="inlineStr">
        <is>
          <t>nbindu</t>
        </is>
      </c>
      <c r="F592" s="25" t="n">
        <v>272</v>
      </c>
      <c r="G592" s="25" t="n">
        <v>1</v>
      </c>
      <c r="H592" s="25" t="n">
        <v>5</v>
      </c>
      <c r="I592" s="25" t="inlineStr">
        <is>
          <t>1 minute(s) and 25 second(s)</t>
        </is>
      </c>
      <c r="J592" s="25">
        <f>IFERROR(VALUE(TRIM(LEFT(I592,FIND("minute",I592)-1)))*60,0)+IFERROR(VALUE(SUBSTITUTE(MID(I592,IFERROR(FIND("and",I592)+3,1),20),"second(s)","")),0)</f>
        <v/>
      </c>
      <c r="K592" s="41">
        <f>J592/60</f>
        <v/>
      </c>
      <c r="L592" s="41">
        <f>IFERROR(J592/H592,"")</f>
        <v/>
      </c>
      <c r="M592" s="25" t="inlineStr">
        <is>
          <t>2.5.12</t>
        </is>
      </c>
      <c r="N592" s="25">
        <f>IF(J592&gt;300,1,0)</f>
        <v/>
      </c>
      <c r="O592" s="25">
        <f>IF(J592&gt;600,1,0)</f>
        <v/>
      </c>
      <c r="P592" s="25">
        <f>IF(H592&gt;0,J592,"")</f>
        <v/>
      </c>
      <c r="Q592" s="25">
        <f>TEXT(A592,"YYYY-MM-DD HH")</f>
        <v/>
      </c>
      <c r="R592" s="25">
        <f>COUNTIF($Q$2:$Q$5295,Q592)</f>
        <v/>
      </c>
      <c r="S592" s="25">
        <f>IF(R592&lt;=2,"1-2",IF(R592&lt;=5,"3-5",IF(R592&lt;=10,"6-10","11+")))</f>
        <v/>
      </c>
    </row>
    <row r="593">
      <c r="A593" s="39" t="n">
        <v>46160.38760416667</v>
      </c>
      <c r="B593" s="25">
        <f>TEXT(A593,"YYYY-MM")</f>
        <v/>
      </c>
      <c r="C593" s="25">
        <f>TEXT(A593,"MMM-YYYY")</f>
        <v/>
      </c>
      <c r="D593" s="40">
        <f>INT(A593)-WEEKDAY(A593,2)+1</f>
        <v/>
      </c>
      <c r="E593" s="25" t="inlineStr">
        <is>
          <t>nlnu</t>
        </is>
      </c>
      <c r="F593" s="25" t="n">
        <v>53</v>
      </c>
      <c r="G593" s="25" t="n">
        <v>5</v>
      </c>
      <c r="H593" s="25" t="n">
        <v>18</v>
      </c>
      <c r="I593" s="25" t="inlineStr">
        <is>
          <t>3 minute(s) and 57 second(s)</t>
        </is>
      </c>
      <c r="J593" s="25">
        <f>IFERROR(VALUE(TRIM(LEFT(I593,FIND("minute",I593)-1)))*60,0)+IFERROR(VALUE(SUBSTITUTE(MID(I593,IFERROR(FIND("and",I593)+3,1),20),"second(s)","")),0)</f>
        <v/>
      </c>
      <c r="K593" s="41">
        <f>J593/60</f>
        <v/>
      </c>
      <c r="L593" s="41">
        <f>IFERROR(J593/H593,"")</f>
        <v/>
      </c>
      <c r="M593" s="25" t="inlineStr">
        <is>
          <t>2.5.12</t>
        </is>
      </c>
      <c r="N593" s="25">
        <f>IF(J593&gt;300,1,0)</f>
        <v/>
      </c>
      <c r="O593" s="25">
        <f>IF(J593&gt;600,1,0)</f>
        <v/>
      </c>
      <c r="P593" s="25">
        <f>IF(H593&gt;0,J593,"")</f>
        <v/>
      </c>
      <c r="Q593" s="25">
        <f>TEXT(A593,"YYYY-MM-DD HH")</f>
        <v/>
      </c>
      <c r="R593" s="25">
        <f>COUNTIF($Q$2:$Q$5295,Q593)</f>
        <v/>
      </c>
      <c r="S593" s="25">
        <f>IF(R593&lt;=2,"1-2",IF(R593&lt;=5,"3-5",IF(R593&lt;=10,"6-10","11+")))</f>
        <v/>
      </c>
    </row>
    <row r="594">
      <c r="A594" s="39" t="n">
        <v>46160.3878587963</v>
      </c>
      <c r="B594" s="25">
        <f>TEXT(A594,"YYYY-MM")</f>
        <v/>
      </c>
      <c r="C594" s="25">
        <f>TEXT(A594,"MMM-YYYY")</f>
        <v/>
      </c>
      <c r="D594" s="40">
        <f>INT(A594)-WEEKDAY(A594,2)+1</f>
        <v/>
      </c>
      <c r="E594" s="25" t="inlineStr">
        <is>
          <t>dchoudhury</t>
        </is>
      </c>
      <c r="F594" s="25" t="n">
        <v>7</v>
      </c>
      <c r="G594" s="25" t="n">
        <v>1</v>
      </c>
      <c r="H594" s="25" t="n">
        <v>7</v>
      </c>
      <c r="I594" s="25" t="inlineStr">
        <is>
          <t>2 minute(s) and 40 second(s)</t>
        </is>
      </c>
      <c r="J594" s="25">
        <f>IFERROR(VALUE(TRIM(LEFT(I594,FIND("minute",I594)-1)))*60,0)+IFERROR(VALUE(SUBSTITUTE(MID(I594,IFERROR(FIND("and",I594)+3,1),20),"second(s)","")),0)</f>
        <v/>
      </c>
      <c r="K594" s="41">
        <f>J594/60</f>
        <v/>
      </c>
      <c r="L594" s="41">
        <f>IFERROR(J594/H594,"")</f>
        <v/>
      </c>
      <c r="M594" s="25" t="inlineStr">
        <is>
          <t>2.5.12</t>
        </is>
      </c>
      <c r="N594" s="25">
        <f>IF(J594&gt;300,1,0)</f>
        <v/>
      </c>
      <c r="O594" s="25">
        <f>IF(J594&gt;600,1,0)</f>
        <v/>
      </c>
      <c r="P594" s="25">
        <f>IF(H594&gt;0,J594,"")</f>
        <v/>
      </c>
      <c r="Q594" s="25">
        <f>TEXT(A594,"YYYY-MM-DD HH")</f>
        <v/>
      </c>
      <c r="R594" s="25">
        <f>COUNTIF($Q$2:$Q$5295,Q594)</f>
        <v/>
      </c>
      <c r="S594" s="25">
        <f>IF(R594&lt;=2,"1-2",IF(R594&lt;=5,"3-5",IF(R594&lt;=10,"6-10","11+")))</f>
        <v/>
      </c>
    </row>
    <row r="595">
      <c r="A595" s="39" t="n">
        <v>46160.39037037037</v>
      </c>
      <c r="B595" s="25">
        <f>TEXT(A595,"YYYY-MM")</f>
        <v/>
      </c>
      <c r="C595" s="25">
        <f>TEXT(A595,"MMM-YYYY")</f>
        <v/>
      </c>
      <c r="D595" s="40">
        <f>INT(A595)-WEEKDAY(A595,2)+1</f>
        <v/>
      </c>
      <c r="E595" s="25" t="inlineStr">
        <is>
          <t>dbhattacharyya</t>
        </is>
      </c>
      <c r="F595" s="25" t="n">
        <v>71263</v>
      </c>
      <c r="G595" s="25" t="n">
        <v>1</v>
      </c>
      <c r="H595" s="25" t="n">
        <v>7</v>
      </c>
      <c r="I595" s="25" t="inlineStr">
        <is>
          <t>2 minute(s) and 27 second(s)</t>
        </is>
      </c>
      <c r="J595" s="25">
        <f>IFERROR(VALUE(TRIM(LEFT(I595,FIND("minute",I595)-1)))*60,0)+IFERROR(VALUE(SUBSTITUTE(MID(I595,IFERROR(FIND("and",I595)+3,1),20),"second(s)","")),0)</f>
        <v/>
      </c>
      <c r="K595" s="41">
        <f>J595/60</f>
        <v/>
      </c>
      <c r="L595" s="41">
        <f>IFERROR(J595/H595,"")</f>
        <v/>
      </c>
      <c r="M595" s="25" t="inlineStr">
        <is>
          <t>2.5.12</t>
        </is>
      </c>
      <c r="N595" s="25">
        <f>IF(J595&gt;300,1,0)</f>
        <v/>
      </c>
      <c r="O595" s="25">
        <f>IF(J595&gt;600,1,0)</f>
        <v/>
      </c>
      <c r="P595" s="25">
        <f>IF(H595&gt;0,J595,"")</f>
        <v/>
      </c>
      <c r="Q595" s="25">
        <f>TEXT(A595,"YYYY-MM-DD HH")</f>
        <v/>
      </c>
      <c r="R595" s="25">
        <f>COUNTIF($Q$2:$Q$5295,Q595)</f>
        <v/>
      </c>
      <c r="S595" s="25">
        <f>IF(R595&lt;=2,"1-2",IF(R595&lt;=5,"3-5",IF(R595&lt;=10,"6-10","11+")))</f>
        <v/>
      </c>
    </row>
    <row r="596">
      <c r="A596" s="39" t="n">
        <v>46160.39549768518</v>
      </c>
      <c r="B596" s="25">
        <f>TEXT(A596,"YYYY-MM")</f>
        <v/>
      </c>
      <c r="C596" s="25">
        <f>TEXT(A596,"MMM-YYYY")</f>
        <v/>
      </c>
      <c r="D596" s="40">
        <f>INT(A596)-WEEKDAY(A596,2)+1</f>
        <v/>
      </c>
      <c r="E596" s="25" t="inlineStr">
        <is>
          <t>arsarkar</t>
        </is>
      </c>
      <c r="F596" s="25" t="n">
        <v>89</v>
      </c>
      <c r="G596" s="25" t="n">
        <v>1</v>
      </c>
      <c r="H596" s="25" t="n">
        <v>5</v>
      </c>
      <c r="I596" s="25" t="inlineStr">
        <is>
          <t>1 minute(s) and 27 second(s)</t>
        </is>
      </c>
      <c r="J596" s="25">
        <f>IFERROR(VALUE(TRIM(LEFT(I596,FIND("minute",I596)-1)))*60,0)+IFERROR(VALUE(SUBSTITUTE(MID(I596,IFERROR(FIND("and",I596)+3,1),20),"second(s)","")),0)</f>
        <v/>
      </c>
      <c r="K596" s="41">
        <f>J596/60</f>
        <v/>
      </c>
      <c r="L596" s="41">
        <f>IFERROR(J596/H596,"")</f>
        <v/>
      </c>
      <c r="M596" s="25" t="inlineStr">
        <is>
          <t>2.5.12</t>
        </is>
      </c>
      <c r="N596" s="25">
        <f>IF(J596&gt;300,1,0)</f>
        <v/>
      </c>
      <c r="O596" s="25">
        <f>IF(J596&gt;600,1,0)</f>
        <v/>
      </c>
      <c r="P596" s="25">
        <f>IF(H596&gt;0,J596,"")</f>
        <v/>
      </c>
      <c r="Q596" s="25">
        <f>TEXT(A596,"YYYY-MM-DD HH")</f>
        <v/>
      </c>
      <c r="R596" s="25">
        <f>COUNTIF($Q$2:$Q$5295,Q596)</f>
        <v/>
      </c>
      <c r="S596" s="25">
        <f>IF(R596&lt;=2,"1-2",IF(R596&lt;=5,"3-5",IF(R596&lt;=10,"6-10","11+")))</f>
        <v/>
      </c>
    </row>
    <row r="597">
      <c r="A597" s="39" t="n">
        <v>46160.39560185185</v>
      </c>
      <c r="B597" s="25">
        <f>TEXT(A597,"YYYY-MM")</f>
        <v/>
      </c>
      <c r="C597" s="25">
        <f>TEXT(A597,"MMM-YYYY")</f>
        <v/>
      </c>
      <c r="D597" s="40">
        <f>INT(A597)-WEEKDAY(A597,2)+1</f>
        <v/>
      </c>
      <c r="E597" s="25" t="inlineStr">
        <is>
          <t>mbhalla</t>
        </is>
      </c>
      <c r="F597" s="25" t="n">
        <v>27</v>
      </c>
      <c r="G597" s="25" t="n">
        <v>2</v>
      </c>
      <c r="H597" s="25" t="n">
        <v>10</v>
      </c>
      <c r="I597" s="25" t="inlineStr">
        <is>
          <t>1 minute(s) and 38 second(s)</t>
        </is>
      </c>
      <c r="J597" s="25">
        <f>IFERROR(VALUE(TRIM(LEFT(I597,FIND("minute",I597)-1)))*60,0)+IFERROR(VALUE(SUBSTITUTE(MID(I597,IFERROR(FIND("and",I597)+3,1),20),"second(s)","")),0)</f>
        <v/>
      </c>
      <c r="K597" s="41">
        <f>J597/60</f>
        <v/>
      </c>
      <c r="L597" s="41">
        <f>IFERROR(J597/H597,"")</f>
        <v/>
      </c>
      <c r="M597" s="25" t="inlineStr">
        <is>
          <t>2.5.12</t>
        </is>
      </c>
      <c r="N597" s="25">
        <f>IF(J597&gt;300,1,0)</f>
        <v/>
      </c>
      <c r="O597" s="25">
        <f>IF(J597&gt;600,1,0)</f>
        <v/>
      </c>
      <c r="P597" s="25">
        <f>IF(H597&gt;0,J597,"")</f>
        <v/>
      </c>
      <c r="Q597" s="25">
        <f>TEXT(A597,"YYYY-MM-DD HH")</f>
        <v/>
      </c>
      <c r="R597" s="25">
        <f>COUNTIF($Q$2:$Q$5295,Q597)</f>
        <v/>
      </c>
      <c r="S597" s="25">
        <f>IF(R597&lt;=2,"1-2",IF(R597&lt;=5,"3-5",IF(R597&lt;=10,"6-10","11+")))</f>
        <v/>
      </c>
    </row>
    <row r="598">
      <c r="A598" s="39" t="n">
        <v>46160.39877314815</v>
      </c>
      <c r="B598" s="25">
        <f>TEXT(A598,"YYYY-MM")</f>
        <v/>
      </c>
      <c r="C598" s="25">
        <f>TEXT(A598,"MMM-YYYY")</f>
        <v/>
      </c>
      <c r="D598" s="40">
        <f>INT(A598)-WEEKDAY(A598,2)+1</f>
        <v/>
      </c>
      <c r="E598" s="25" t="inlineStr">
        <is>
          <t>atiwari</t>
        </is>
      </c>
      <c r="F598" s="25" t="n">
        <v>187</v>
      </c>
      <c r="G598" s="25" t="n">
        <v>1</v>
      </c>
      <c r="H598" s="25" t="n">
        <v>7</v>
      </c>
      <c r="I598" s="25" t="inlineStr">
        <is>
          <t>4 minute(s) and 33 second(s)</t>
        </is>
      </c>
      <c r="J598" s="25">
        <f>IFERROR(VALUE(TRIM(LEFT(I598,FIND("minute",I598)-1)))*60,0)+IFERROR(VALUE(SUBSTITUTE(MID(I598,IFERROR(FIND("and",I598)+3,1),20),"second(s)","")),0)</f>
        <v/>
      </c>
      <c r="K598" s="41">
        <f>J598/60</f>
        <v/>
      </c>
      <c r="L598" s="41">
        <f>IFERROR(J598/H598,"")</f>
        <v/>
      </c>
      <c r="M598" s="25" t="inlineStr">
        <is>
          <t>2.5.12</t>
        </is>
      </c>
      <c r="N598" s="25">
        <f>IF(J598&gt;300,1,0)</f>
        <v/>
      </c>
      <c r="O598" s="25">
        <f>IF(J598&gt;600,1,0)</f>
        <v/>
      </c>
      <c r="P598" s="25">
        <f>IF(H598&gt;0,J598,"")</f>
        <v/>
      </c>
      <c r="Q598" s="25">
        <f>TEXT(A598,"YYYY-MM-DD HH")</f>
        <v/>
      </c>
      <c r="R598" s="25">
        <f>COUNTIF($Q$2:$Q$5295,Q598)</f>
        <v/>
      </c>
      <c r="S598" s="25">
        <f>IF(R598&lt;=2,"1-2",IF(R598&lt;=5,"3-5",IF(R598&lt;=10,"6-10","11+")))</f>
        <v/>
      </c>
    </row>
    <row r="599">
      <c r="A599" s="39" t="n">
        <v>46160.39942129629</v>
      </c>
      <c r="B599" s="25">
        <f>TEXT(A599,"YYYY-MM")</f>
        <v/>
      </c>
      <c r="C599" s="25">
        <f>TEXT(A599,"MMM-YYYY")</f>
        <v/>
      </c>
      <c r="D599" s="40">
        <f>INT(A599)-WEEKDAY(A599,2)+1</f>
        <v/>
      </c>
      <c r="E599" s="25" t="inlineStr">
        <is>
          <t>asahoo</t>
        </is>
      </c>
      <c r="F599" s="25" t="n">
        <v>155</v>
      </c>
      <c r="G599" s="25" t="n">
        <v>1</v>
      </c>
      <c r="H599" s="25" t="n">
        <v>7</v>
      </c>
      <c r="I599" s="25" t="inlineStr">
        <is>
          <t>1 minute(s) and 35 second(s)</t>
        </is>
      </c>
      <c r="J599" s="25">
        <f>IFERROR(VALUE(TRIM(LEFT(I599,FIND("minute",I599)-1)))*60,0)+IFERROR(VALUE(SUBSTITUTE(MID(I599,IFERROR(FIND("and",I599)+3,1),20),"second(s)","")),0)</f>
        <v/>
      </c>
      <c r="K599" s="41">
        <f>J599/60</f>
        <v/>
      </c>
      <c r="L599" s="41">
        <f>IFERROR(J599/H599,"")</f>
        <v/>
      </c>
      <c r="M599" s="25" t="inlineStr">
        <is>
          <t>2.5.12</t>
        </is>
      </c>
      <c r="N599" s="25">
        <f>IF(J599&gt;300,1,0)</f>
        <v/>
      </c>
      <c r="O599" s="25">
        <f>IF(J599&gt;600,1,0)</f>
        <v/>
      </c>
      <c r="P599" s="25">
        <f>IF(H599&gt;0,J599,"")</f>
        <v/>
      </c>
      <c r="Q599" s="25">
        <f>TEXT(A599,"YYYY-MM-DD HH")</f>
        <v/>
      </c>
      <c r="R599" s="25">
        <f>COUNTIF($Q$2:$Q$5295,Q599)</f>
        <v/>
      </c>
      <c r="S599" s="25">
        <f>IF(R599&lt;=2,"1-2",IF(R599&lt;=5,"3-5",IF(R599&lt;=10,"6-10","11+")))</f>
        <v/>
      </c>
    </row>
    <row r="600">
      <c r="A600" s="39" t="n">
        <v>46160.39951388889</v>
      </c>
      <c r="B600" s="25">
        <f>TEXT(A600,"YYYY-MM")</f>
        <v/>
      </c>
      <c r="C600" s="25">
        <f>TEXT(A600,"MMM-YYYY")</f>
        <v/>
      </c>
      <c r="D600" s="40">
        <f>INT(A600)-WEEKDAY(A600,2)+1</f>
        <v/>
      </c>
      <c r="E600" s="25" t="inlineStr">
        <is>
          <t>mbohra</t>
        </is>
      </c>
      <c r="F600" s="25" t="n">
        <v>220</v>
      </c>
      <c r="G600" s="25" t="n">
        <v>1</v>
      </c>
      <c r="H600" s="25" t="n">
        <v>7</v>
      </c>
      <c r="I600" s="25" t="inlineStr">
        <is>
          <t>1 minute(s) and 37 second(s)</t>
        </is>
      </c>
      <c r="J600" s="25">
        <f>IFERROR(VALUE(TRIM(LEFT(I600,FIND("minute",I600)-1)))*60,0)+IFERROR(VALUE(SUBSTITUTE(MID(I600,IFERROR(FIND("and",I600)+3,1),20),"second(s)","")),0)</f>
        <v/>
      </c>
      <c r="K600" s="41">
        <f>J600/60</f>
        <v/>
      </c>
      <c r="L600" s="41">
        <f>IFERROR(J600/H600,"")</f>
        <v/>
      </c>
      <c r="M600" s="25" t="inlineStr">
        <is>
          <t>2.5.12</t>
        </is>
      </c>
      <c r="N600" s="25">
        <f>IF(J600&gt;300,1,0)</f>
        <v/>
      </c>
      <c r="O600" s="25">
        <f>IF(J600&gt;600,1,0)</f>
        <v/>
      </c>
      <c r="P600" s="25">
        <f>IF(H600&gt;0,J600,"")</f>
        <v/>
      </c>
      <c r="Q600" s="25">
        <f>TEXT(A600,"YYYY-MM-DD HH")</f>
        <v/>
      </c>
      <c r="R600" s="25">
        <f>COUNTIF($Q$2:$Q$5295,Q600)</f>
        <v/>
      </c>
      <c r="S600" s="25">
        <f>IF(R600&lt;=2,"1-2",IF(R600&lt;=5,"3-5",IF(R600&lt;=10,"6-10","11+")))</f>
        <v/>
      </c>
    </row>
    <row r="601">
      <c r="A601" s="39" t="n">
        <v>46160.39976851852</v>
      </c>
      <c r="B601" s="25">
        <f>TEXT(A601,"YYYY-MM")</f>
        <v/>
      </c>
      <c r="C601" s="25">
        <f>TEXT(A601,"MMM-YYYY")</f>
        <v/>
      </c>
      <c r="D601" s="40">
        <f>INT(A601)-WEEKDAY(A601,2)+1</f>
        <v/>
      </c>
      <c r="E601" s="25" t="inlineStr">
        <is>
          <t>csaha</t>
        </is>
      </c>
      <c r="F601" s="25" t="n">
        <v>228</v>
      </c>
      <c r="G601" s="25" t="n">
        <v>1</v>
      </c>
      <c r="H601" s="25" t="n">
        <v>7</v>
      </c>
      <c r="I601" s="25" t="inlineStr">
        <is>
          <t>1 minute(s) and 12 second(s)</t>
        </is>
      </c>
      <c r="J601" s="25">
        <f>IFERROR(VALUE(TRIM(LEFT(I601,FIND("minute",I601)-1)))*60,0)+IFERROR(VALUE(SUBSTITUTE(MID(I601,IFERROR(FIND("and",I601)+3,1),20),"second(s)","")),0)</f>
        <v/>
      </c>
      <c r="K601" s="41">
        <f>J601/60</f>
        <v/>
      </c>
      <c r="L601" s="41">
        <f>IFERROR(J601/H601,"")</f>
        <v/>
      </c>
      <c r="M601" s="25" t="inlineStr">
        <is>
          <t>2.5.12</t>
        </is>
      </c>
      <c r="N601" s="25">
        <f>IF(J601&gt;300,1,0)</f>
        <v/>
      </c>
      <c r="O601" s="25">
        <f>IF(J601&gt;600,1,0)</f>
        <v/>
      </c>
      <c r="P601" s="25">
        <f>IF(H601&gt;0,J601,"")</f>
        <v/>
      </c>
      <c r="Q601" s="25">
        <f>TEXT(A601,"YYYY-MM-DD HH")</f>
        <v/>
      </c>
      <c r="R601" s="25">
        <f>COUNTIF($Q$2:$Q$5295,Q601)</f>
        <v/>
      </c>
      <c r="S601" s="25">
        <f>IF(R601&lt;=2,"1-2",IF(R601&lt;=5,"3-5",IF(R601&lt;=10,"6-10","11+")))</f>
        <v/>
      </c>
    </row>
    <row r="602">
      <c r="A602" s="39" t="n">
        <v>46160.40403935185</v>
      </c>
      <c r="B602" s="25">
        <f>TEXT(A602,"YYYY-MM")</f>
        <v/>
      </c>
      <c r="C602" s="25">
        <f>TEXT(A602,"MMM-YYYY")</f>
        <v/>
      </c>
      <c r="D602" s="40">
        <f>INT(A602)-WEEKDAY(A602,2)+1</f>
        <v/>
      </c>
      <c r="E602" s="25" t="inlineStr">
        <is>
          <t>ssrinivasan</t>
        </is>
      </c>
      <c r="F602" s="25" t="n">
        <v>46737</v>
      </c>
      <c r="G602" s="25" t="n">
        <v>1</v>
      </c>
      <c r="H602" s="25" t="n">
        <v>7</v>
      </c>
      <c r="I602" s="25" t="inlineStr">
        <is>
          <t>3 minute(s) and 18 second(s)</t>
        </is>
      </c>
      <c r="J602" s="25">
        <f>IFERROR(VALUE(TRIM(LEFT(I602,FIND("minute",I602)-1)))*60,0)+IFERROR(VALUE(SUBSTITUTE(MID(I602,IFERROR(FIND("and",I602)+3,1),20),"second(s)","")),0)</f>
        <v/>
      </c>
      <c r="K602" s="41">
        <f>J602/60</f>
        <v/>
      </c>
      <c r="L602" s="41">
        <f>IFERROR(J602/H602,"")</f>
        <v/>
      </c>
      <c r="M602" s="25" t="inlineStr">
        <is>
          <t>2.5.12</t>
        </is>
      </c>
      <c r="N602" s="25">
        <f>IF(J602&gt;300,1,0)</f>
        <v/>
      </c>
      <c r="O602" s="25">
        <f>IF(J602&gt;600,1,0)</f>
        <v/>
      </c>
      <c r="P602" s="25">
        <f>IF(H602&gt;0,J602,"")</f>
        <v/>
      </c>
      <c r="Q602" s="25">
        <f>TEXT(A602,"YYYY-MM-DD HH")</f>
        <v/>
      </c>
      <c r="R602" s="25">
        <f>COUNTIF($Q$2:$Q$5295,Q602)</f>
        <v/>
      </c>
      <c r="S602" s="25">
        <f>IF(R602&lt;=2,"1-2",IF(R602&lt;=5,"3-5",IF(R602&lt;=10,"6-10","11+")))</f>
        <v/>
      </c>
    </row>
    <row r="603">
      <c r="A603" s="39" t="n">
        <v>46160.40464120371</v>
      </c>
      <c r="B603" s="25">
        <f>TEXT(A603,"YYYY-MM")</f>
        <v/>
      </c>
      <c r="C603" s="25">
        <f>TEXT(A603,"MMM-YYYY")</f>
        <v/>
      </c>
      <c r="D603" s="40">
        <f>INT(A603)-WEEKDAY(A603,2)+1</f>
        <v/>
      </c>
      <c r="E603" s="25" t="inlineStr">
        <is>
          <t>npriya</t>
        </is>
      </c>
      <c r="F603" s="25" t="n">
        <v>93928</v>
      </c>
      <c r="G603" s="25" t="n">
        <v>2</v>
      </c>
      <c r="H603" s="25" t="n">
        <v>6</v>
      </c>
      <c r="I603" s="25" t="inlineStr">
        <is>
          <t>1 minute(s) and 7 second(s)</t>
        </is>
      </c>
      <c r="J603" s="25">
        <f>IFERROR(VALUE(TRIM(LEFT(I603,FIND("minute",I603)-1)))*60,0)+IFERROR(VALUE(SUBSTITUTE(MID(I603,IFERROR(FIND("and",I603)+3,1),20),"second(s)","")),0)</f>
        <v/>
      </c>
      <c r="K603" s="41">
        <f>J603/60</f>
        <v/>
      </c>
      <c r="L603" s="41">
        <f>IFERROR(J603/H603,"")</f>
        <v/>
      </c>
      <c r="M603" s="25" t="inlineStr">
        <is>
          <t>2.5.12</t>
        </is>
      </c>
      <c r="N603" s="25">
        <f>IF(J603&gt;300,1,0)</f>
        <v/>
      </c>
      <c r="O603" s="25">
        <f>IF(J603&gt;600,1,0)</f>
        <v/>
      </c>
      <c r="P603" s="25">
        <f>IF(H603&gt;0,J603,"")</f>
        <v/>
      </c>
      <c r="Q603" s="25">
        <f>TEXT(A603,"YYYY-MM-DD HH")</f>
        <v/>
      </c>
      <c r="R603" s="25">
        <f>COUNTIF($Q$2:$Q$5295,Q603)</f>
        <v/>
      </c>
      <c r="S603" s="25">
        <f>IF(R603&lt;=2,"1-2",IF(R603&lt;=5,"3-5",IF(R603&lt;=10,"6-10","11+")))</f>
        <v/>
      </c>
    </row>
    <row r="604">
      <c r="A604" s="39" t="n">
        <v>46160.40826388889</v>
      </c>
      <c r="B604" s="25">
        <f>TEXT(A604,"YYYY-MM")</f>
        <v/>
      </c>
      <c r="C604" s="25">
        <f>TEXT(A604,"MMM-YYYY")</f>
        <v/>
      </c>
      <c r="D604" s="40">
        <f>INT(A604)-WEEKDAY(A604,2)+1</f>
        <v/>
      </c>
      <c r="E604" s="25" t="inlineStr">
        <is>
          <t>kananya</t>
        </is>
      </c>
      <c r="F604" s="25" t="n">
        <v>85243</v>
      </c>
      <c r="G604" s="25" t="n">
        <v>4</v>
      </c>
      <c r="H604" s="25" t="n">
        <v>20</v>
      </c>
      <c r="I604" s="25" t="inlineStr">
        <is>
          <t>5 minute(s) and 16 second(s)</t>
        </is>
      </c>
      <c r="J604" s="25">
        <f>IFERROR(VALUE(TRIM(LEFT(I604,FIND("minute",I604)-1)))*60,0)+IFERROR(VALUE(SUBSTITUTE(MID(I604,IFERROR(FIND("and",I604)+3,1),20),"second(s)","")),0)</f>
        <v/>
      </c>
      <c r="K604" s="41">
        <f>J604/60</f>
        <v/>
      </c>
      <c r="L604" s="41">
        <f>IFERROR(J604/H604,"")</f>
        <v/>
      </c>
      <c r="M604" s="25" t="inlineStr">
        <is>
          <t>2.5.12</t>
        </is>
      </c>
      <c r="N604" s="25">
        <f>IF(J604&gt;300,1,0)</f>
        <v/>
      </c>
      <c r="O604" s="25">
        <f>IF(J604&gt;600,1,0)</f>
        <v/>
      </c>
      <c r="P604" s="25">
        <f>IF(H604&gt;0,J604,"")</f>
        <v/>
      </c>
      <c r="Q604" s="25">
        <f>TEXT(A604,"YYYY-MM-DD HH")</f>
        <v/>
      </c>
      <c r="R604" s="25">
        <f>COUNTIF($Q$2:$Q$5295,Q604)</f>
        <v/>
      </c>
      <c r="S604" s="25">
        <f>IF(R604&lt;=2,"1-2",IF(R604&lt;=5,"3-5",IF(R604&lt;=10,"6-10","11+")))</f>
        <v/>
      </c>
    </row>
    <row r="605">
      <c r="A605" s="39" t="n">
        <v>46160.40886574074</v>
      </c>
      <c r="B605" s="25">
        <f>TEXT(A605,"YYYY-MM")</f>
        <v/>
      </c>
      <c r="C605" s="25">
        <f>TEXT(A605,"MMM-YYYY")</f>
        <v/>
      </c>
      <c r="D605" s="40">
        <f>INT(A605)-WEEKDAY(A605,2)+1</f>
        <v/>
      </c>
      <c r="E605" s="25" t="inlineStr">
        <is>
          <t>asahoo</t>
        </is>
      </c>
      <c r="F605" s="25" t="n">
        <v>156</v>
      </c>
      <c r="G605" s="25" t="n">
        <v>1</v>
      </c>
      <c r="H605" s="25" t="n">
        <v>7</v>
      </c>
      <c r="I605" s="25" t="inlineStr">
        <is>
          <t>1 minute(s) and 31 second(s)</t>
        </is>
      </c>
      <c r="J605" s="25">
        <f>IFERROR(VALUE(TRIM(LEFT(I605,FIND("minute",I605)-1)))*60,0)+IFERROR(VALUE(SUBSTITUTE(MID(I605,IFERROR(FIND("and",I605)+3,1),20),"second(s)","")),0)</f>
        <v/>
      </c>
      <c r="K605" s="41">
        <f>J605/60</f>
        <v/>
      </c>
      <c r="L605" s="41">
        <f>IFERROR(J605/H605,"")</f>
        <v/>
      </c>
      <c r="M605" s="25" t="inlineStr">
        <is>
          <t>2.5.12</t>
        </is>
      </c>
      <c r="N605" s="25">
        <f>IF(J605&gt;300,1,0)</f>
        <v/>
      </c>
      <c r="O605" s="25">
        <f>IF(J605&gt;600,1,0)</f>
        <v/>
      </c>
      <c r="P605" s="25">
        <f>IF(H605&gt;0,J605,"")</f>
        <v/>
      </c>
      <c r="Q605" s="25">
        <f>TEXT(A605,"YYYY-MM-DD HH")</f>
        <v/>
      </c>
      <c r="R605" s="25">
        <f>COUNTIF($Q$2:$Q$5295,Q605)</f>
        <v/>
      </c>
      <c r="S605" s="25">
        <f>IF(R605&lt;=2,"1-2",IF(R605&lt;=5,"3-5",IF(R605&lt;=10,"6-10","11+")))</f>
        <v/>
      </c>
    </row>
    <row r="606">
      <c r="A606" s="39" t="n">
        <v>46160.41501157408</v>
      </c>
      <c r="B606" s="25">
        <f>TEXT(A606,"YYYY-MM")</f>
        <v/>
      </c>
      <c r="C606" s="25">
        <f>TEXT(A606,"MMM-YYYY")</f>
        <v/>
      </c>
      <c r="D606" s="40">
        <f>INT(A606)-WEEKDAY(A606,2)+1</f>
        <v/>
      </c>
      <c r="E606" s="25" t="inlineStr">
        <is>
          <t>shasikha</t>
        </is>
      </c>
      <c r="F606" s="25" t="n">
        <v>296</v>
      </c>
      <c r="G606" s="25" t="n">
        <v>2</v>
      </c>
      <c r="H606" s="25" t="n">
        <v>8</v>
      </c>
      <c r="I606" s="25" t="inlineStr">
        <is>
          <t>3 minute(s) and 37 second(s)</t>
        </is>
      </c>
      <c r="J606" s="25">
        <f>IFERROR(VALUE(TRIM(LEFT(I606,FIND("minute",I606)-1)))*60,0)+IFERROR(VALUE(SUBSTITUTE(MID(I606,IFERROR(FIND("and",I606)+3,1),20),"second(s)","")),0)</f>
        <v/>
      </c>
      <c r="K606" s="41">
        <f>J606/60</f>
        <v/>
      </c>
      <c r="L606" s="41">
        <f>IFERROR(J606/H606,"")</f>
        <v/>
      </c>
      <c r="M606" s="25" t="inlineStr">
        <is>
          <t>2.5.12</t>
        </is>
      </c>
      <c r="N606" s="25">
        <f>IF(J606&gt;300,1,0)</f>
        <v/>
      </c>
      <c r="O606" s="25">
        <f>IF(J606&gt;600,1,0)</f>
        <v/>
      </c>
      <c r="P606" s="25">
        <f>IF(H606&gt;0,J606,"")</f>
        <v/>
      </c>
      <c r="Q606" s="25">
        <f>TEXT(A606,"YYYY-MM-DD HH")</f>
        <v/>
      </c>
      <c r="R606" s="25">
        <f>COUNTIF($Q$2:$Q$5295,Q606)</f>
        <v/>
      </c>
      <c r="S606" s="25">
        <f>IF(R606&lt;=2,"1-2",IF(R606&lt;=5,"3-5",IF(R606&lt;=10,"6-10","11+")))</f>
        <v/>
      </c>
    </row>
    <row r="607">
      <c r="A607" s="39" t="n">
        <v>46160.41700231482</v>
      </c>
      <c r="B607" s="25">
        <f>TEXT(A607,"YYYY-MM")</f>
        <v/>
      </c>
      <c r="C607" s="25">
        <f>TEXT(A607,"MMM-YYYY")</f>
        <v/>
      </c>
      <c r="D607" s="40">
        <f>INT(A607)-WEEKDAY(A607,2)+1</f>
        <v/>
      </c>
      <c r="E607" s="25" t="inlineStr">
        <is>
          <t>mbohra</t>
        </is>
      </c>
      <c r="F607" s="25" t="n">
        <v>221</v>
      </c>
      <c r="G607" s="25" t="n">
        <v>1</v>
      </c>
      <c r="H607" s="25" t="n">
        <v>5</v>
      </c>
      <c r="I607" s="25" t="inlineStr">
        <is>
          <t>1 minute(s) and 2 second(s)</t>
        </is>
      </c>
      <c r="J607" s="25">
        <f>IFERROR(VALUE(TRIM(LEFT(I607,FIND("minute",I607)-1)))*60,0)+IFERROR(VALUE(SUBSTITUTE(MID(I607,IFERROR(FIND("and",I607)+3,1),20),"second(s)","")),0)</f>
        <v/>
      </c>
      <c r="K607" s="41">
        <f>J607/60</f>
        <v/>
      </c>
      <c r="L607" s="41">
        <f>IFERROR(J607/H607,"")</f>
        <v/>
      </c>
      <c r="M607" s="25" t="inlineStr">
        <is>
          <t>2.5.12</t>
        </is>
      </c>
      <c r="N607" s="25">
        <f>IF(J607&gt;300,1,0)</f>
        <v/>
      </c>
      <c r="O607" s="25">
        <f>IF(J607&gt;600,1,0)</f>
        <v/>
      </c>
      <c r="P607" s="25">
        <f>IF(H607&gt;0,J607,"")</f>
        <v/>
      </c>
      <c r="Q607" s="25">
        <f>TEXT(A607,"YYYY-MM-DD HH")</f>
        <v/>
      </c>
      <c r="R607" s="25">
        <f>COUNTIF($Q$2:$Q$5295,Q607)</f>
        <v/>
      </c>
      <c r="S607" s="25">
        <f>IF(R607&lt;=2,"1-2",IF(R607&lt;=5,"3-5",IF(R607&lt;=10,"6-10","11+")))</f>
        <v/>
      </c>
    </row>
    <row r="608">
      <c r="A608" s="39" t="n">
        <v>46160.42075231481</v>
      </c>
      <c r="B608" s="25">
        <f>TEXT(A608,"YYYY-MM")</f>
        <v/>
      </c>
      <c r="C608" s="25">
        <f>TEXT(A608,"MMM-YYYY")</f>
        <v/>
      </c>
      <c r="D608" s="40">
        <f>INT(A608)-WEEKDAY(A608,2)+1</f>
        <v/>
      </c>
      <c r="E608" s="25" t="inlineStr">
        <is>
          <t>emishra</t>
        </is>
      </c>
      <c r="F608" s="25" t="n">
        <v>75</v>
      </c>
      <c r="G608" s="25" t="n">
        <v>1</v>
      </c>
      <c r="H608" s="25" t="n">
        <v>5</v>
      </c>
      <c r="I608" s="25" t="inlineStr">
        <is>
          <t>1 minute(s) and 25 second(s)</t>
        </is>
      </c>
      <c r="J608" s="25">
        <f>IFERROR(VALUE(TRIM(LEFT(I608,FIND("minute",I608)-1)))*60,0)+IFERROR(VALUE(SUBSTITUTE(MID(I608,IFERROR(FIND("and",I608)+3,1),20),"second(s)","")),0)</f>
        <v/>
      </c>
      <c r="K608" s="41">
        <f>J608/60</f>
        <v/>
      </c>
      <c r="L608" s="41">
        <f>IFERROR(J608/H608,"")</f>
        <v/>
      </c>
      <c r="M608" s="25" t="inlineStr">
        <is>
          <t>2.5.12</t>
        </is>
      </c>
      <c r="N608" s="25">
        <f>IF(J608&gt;300,1,0)</f>
        <v/>
      </c>
      <c r="O608" s="25">
        <f>IF(J608&gt;600,1,0)</f>
        <v/>
      </c>
      <c r="P608" s="25">
        <f>IF(H608&gt;0,J608,"")</f>
        <v/>
      </c>
      <c r="Q608" s="25">
        <f>TEXT(A608,"YYYY-MM-DD HH")</f>
        <v/>
      </c>
      <c r="R608" s="25">
        <f>COUNTIF($Q$2:$Q$5295,Q608)</f>
        <v/>
      </c>
      <c r="S608" s="25">
        <f>IF(R608&lt;=2,"1-2",IF(R608&lt;=5,"3-5",IF(R608&lt;=10,"6-10","11+")))</f>
        <v/>
      </c>
    </row>
    <row r="609">
      <c r="A609" s="39" t="n">
        <v>46160.43056712963</v>
      </c>
      <c r="B609" s="25">
        <f>TEXT(A609,"YYYY-MM")</f>
        <v/>
      </c>
      <c r="C609" s="25">
        <f>TEXT(A609,"MMM-YYYY")</f>
        <v/>
      </c>
      <c r="D609" s="40">
        <f>INT(A609)-WEEKDAY(A609,2)+1</f>
        <v/>
      </c>
      <c r="E609" s="25" t="inlineStr">
        <is>
          <t>anusharma</t>
        </is>
      </c>
      <c r="F609" s="25" t="n">
        <v>141</v>
      </c>
      <c r="G609" s="25" t="n">
        <v>1</v>
      </c>
      <c r="H609" s="25" t="n">
        <v>7</v>
      </c>
      <c r="I609" s="25" t="inlineStr">
        <is>
          <t>2 minute(s) and 54 second(s)</t>
        </is>
      </c>
      <c r="J609" s="25">
        <f>IFERROR(VALUE(TRIM(LEFT(I609,FIND("minute",I609)-1)))*60,0)+IFERROR(VALUE(SUBSTITUTE(MID(I609,IFERROR(FIND("and",I609)+3,1),20),"second(s)","")),0)</f>
        <v/>
      </c>
      <c r="K609" s="41">
        <f>J609/60</f>
        <v/>
      </c>
      <c r="L609" s="41">
        <f>IFERROR(J609/H609,"")</f>
        <v/>
      </c>
      <c r="M609" s="25" t="inlineStr">
        <is>
          <t>2.5.12</t>
        </is>
      </c>
      <c r="N609" s="25">
        <f>IF(J609&gt;300,1,0)</f>
        <v/>
      </c>
      <c r="O609" s="25">
        <f>IF(J609&gt;600,1,0)</f>
        <v/>
      </c>
      <c r="P609" s="25">
        <f>IF(H609&gt;0,J609,"")</f>
        <v/>
      </c>
      <c r="Q609" s="25">
        <f>TEXT(A609,"YYYY-MM-DD HH")</f>
        <v/>
      </c>
      <c r="R609" s="25">
        <f>COUNTIF($Q$2:$Q$5295,Q609)</f>
        <v/>
      </c>
      <c r="S609" s="25">
        <f>IF(R609&lt;=2,"1-2",IF(R609&lt;=5,"3-5",IF(R609&lt;=10,"6-10","11+")))</f>
        <v/>
      </c>
    </row>
    <row r="610">
      <c r="A610" s="39" t="n">
        <v>46160.43103009259</v>
      </c>
      <c r="B610" s="25">
        <f>TEXT(A610,"YYYY-MM")</f>
        <v/>
      </c>
      <c r="C610" s="25">
        <f>TEXT(A610,"MMM-YYYY")</f>
        <v/>
      </c>
      <c r="D610" s="40">
        <f>INT(A610)-WEEKDAY(A610,2)+1</f>
        <v/>
      </c>
      <c r="E610" s="25" t="inlineStr">
        <is>
          <t>csaha</t>
        </is>
      </c>
      <c r="F610" s="25" t="n">
        <v>229</v>
      </c>
      <c r="G610" s="25" t="n">
        <v>1</v>
      </c>
      <c r="H610" s="25" t="n">
        <v>5</v>
      </c>
      <c r="I610" s="25" t="inlineStr">
        <is>
          <t>1 minute(s) and 27 second(s)</t>
        </is>
      </c>
      <c r="J610" s="25">
        <f>IFERROR(VALUE(TRIM(LEFT(I610,FIND("minute",I610)-1)))*60,0)+IFERROR(VALUE(SUBSTITUTE(MID(I610,IFERROR(FIND("and",I610)+3,1),20),"second(s)","")),0)</f>
        <v/>
      </c>
      <c r="K610" s="41">
        <f>J610/60</f>
        <v/>
      </c>
      <c r="L610" s="41">
        <f>IFERROR(J610/H610,"")</f>
        <v/>
      </c>
      <c r="M610" s="25" t="inlineStr">
        <is>
          <t>2.5.12</t>
        </is>
      </c>
      <c r="N610" s="25">
        <f>IF(J610&gt;300,1,0)</f>
        <v/>
      </c>
      <c r="O610" s="25">
        <f>IF(J610&gt;600,1,0)</f>
        <v/>
      </c>
      <c r="P610" s="25">
        <f>IF(H610&gt;0,J610,"")</f>
        <v/>
      </c>
      <c r="Q610" s="25">
        <f>TEXT(A610,"YYYY-MM-DD HH")</f>
        <v/>
      </c>
      <c r="R610" s="25">
        <f>COUNTIF($Q$2:$Q$5295,Q610)</f>
        <v/>
      </c>
      <c r="S610" s="25">
        <f>IF(R610&lt;=2,"1-2",IF(R610&lt;=5,"3-5",IF(R610&lt;=10,"6-10","11+")))</f>
        <v/>
      </c>
    </row>
    <row r="611">
      <c r="A611" s="39" t="n">
        <v>46160.43695601852</v>
      </c>
      <c r="B611" s="25">
        <f>TEXT(A611,"YYYY-MM")</f>
        <v/>
      </c>
      <c r="C611" s="25">
        <f>TEXT(A611,"MMM-YYYY")</f>
        <v/>
      </c>
      <c r="D611" s="40">
        <f>INT(A611)-WEEKDAY(A611,2)+1</f>
        <v/>
      </c>
      <c r="E611" s="25" t="inlineStr">
        <is>
          <t>ptomar</t>
        </is>
      </c>
      <c r="F611" s="25" t="n">
        <v>123</v>
      </c>
      <c r="G611" s="25" t="n">
        <v>2</v>
      </c>
      <c r="H611" s="25" t="n">
        <v>12</v>
      </c>
      <c r="I611" s="25" t="inlineStr">
        <is>
          <t>2 minute(s) and 47 second(s)</t>
        </is>
      </c>
      <c r="J611" s="25">
        <f>IFERROR(VALUE(TRIM(LEFT(I611,FIND("minute",I611)-1)))*60,0)+IFERROR(VALUE(SUBSTITUTE(MID(I611,IFERROR(FIND("and",I611)+3,1),20),"second(s)","")),0)</f>
        <v/>
      </c>
      <c r="K611" s="41">
        <f>J611/60</f>
        <v/>
      </c>
      <c r="L611" s="41">
        <f>IFERROR(J611/H611,"")</f>
        <v/>
      </c>
      <c r="M611" s="25" t="inlineStr">
        <is>
          <t>2.5.12</t>
        </is>
      </c>
      <c r="N611" s="25">
        <f>IF(J611&gt;300,1,0)</f>
        <v/>
      </c>
      <c r="O611" s="25">
        <f>IF(J611&gt;600,1,0)</f>
        <v/>
      </c>
      <c r="P611" s="25">
        <f>IF(H611&gt;0,J611,"")</f>
        <v/>
      </c>
      <c r="Q611" s="25">
        <f>TEXT(A611,"YYYY-MM-DD HH")</f>
        <v/>
      </c>
      <c r="R611" s="25">
        <f>COUNTIF($Q$2:$Q$5295,Q611)</f>
        <v/>
      </c>
      <c r="S611" s="25">
        <f>IF(R611&lt;=2,"1-2",IF(R611&lt;=5,"3-5",IF(R611&lt;=10,"6-10","11+")))</f>
        <v/>
      </c>
    </row>
    <row r="612">
      <c r="A612" s="39" t="n">
        <v>46160.44364583334</v>
      </c>
      <c r="B612" s="25">
        <f>TEXT(A612,"YYYY-MM")</f>
        <v/>
      </c>
      <c r="C612" s="25">
        <f>TEXT(A612,"MMM-YYYY")</f>
        <v/>
      </c>
      <c r="D612" s="40">
        <f>INT(A612)-WEEKDAY(A612,2)+1</f>
        <v/>
      </c>
      <c r="E612" s="25" t="inlineStr">
        <is>
          <t>nbindu</t>
        </is>
      </c>
      <c r="F612" s="25" t="n">
        <v>278</v>
      </c>
      <c r="G612" s="25" t="n">
        <v>1</v>
      </c>
      <c r="H612" s="25" t="n">
        <v>5</v>
      </c>
      <c r="I612" s="25" t="inlineStr">
        <is>
          <t>57 second(s)</t>
        </is>
      </c>
      <c r="J612" s="25">
        <f>IFERROR(VALUE(TRIM(LEFT(I612,FIND("minute",I612)-1)))*60,0)+IFERROR(VALUE(SUBSTITUTE(MID(I612,IFERROR(FIND("and",I612)+3,1),20),"second(s)","")),0)</f>
        <v/>
      </c>
      <c r="K612" s="41">
        <f>J612/60</f>
        <v/>
      </c>
      <c r="L612" s="41">
        <f>IFERROR(J612/H612,"")</f>
        <v/>
      </c>
      <c r="M612" s="25" t="inlineStr">
        <is>
          <t>2.5.12</t>
        </is>
      </c>
      <c r="N612" s="25">
        <f>IF(J612&gt;300,1,0)</f>
        <v/>
      </c>
      <c r="O612" s="25">
        <f>IF(J612&gt;600,1,0)</f>
        <v/>
      </c>
      <c r="P612" s="25">
        <f>IF(H612&gt;0,J612,"")</f>
        <v/>
      </c>
      <c r="Q612" s="25">
        <f>TEXT(A612,"YYYY-MM-DD HH")</f>
        <v/>
      </c>
      <c r="R612" s="25">
        <f>COUNTIF($Q$2:$Q$5295,Q612)</f>
        <v/>
      </c>
      <c r="S612" s="25">
        <f>IF(R612&lt;=2,"1-2",IF(R612&lt;=5,"3-5",IF(R612&lt;=10,"6-10","11+")))</f>
        <v/>
      </c>
    </row>
    <row r="613">
      <c r="A613" s="39" t="n">
        <v>46160.44533564815</v>
      </c>
      <c r="B613" s="25">
        <f>TEXT(A613,"YYYY-MM")</f>
        <v/>
      </c>
      <c r="C613" s="25">
        <f>TEXT(A613,"MMM-YYYY")</f>
        <v/>
      </c>
      <c r="D613" s="40">
        <f>INT(A613)-WEEKDAY(A613,2)+1</f>
        <v/>
      </c>
      <c r="E613" s="25" t="inlineStr">
        <is>
          <t>mbohra</t>
        </is>
      </c>
      <c r="F613" s="25" t="n">
        <v>224</v>
      </c>
      <c r="G613" s="25" t="n">
        <v>1</v>
      </c>
      <c r="H613" s="25" t="n">
        <v>7</v>
      </c>
      <c r="I613" s="25" t="inlineStr">
        <is>
          <t>2 minute(s) and 40 second(s)</t>
        </is>
      </c>
      <c r="J613" s="25">
        <f>IFERROR(VALUE(TRIM(LEFT(I613,FIND("minute",I613)-1)))*60,0)+IFERROR(VALUE(SUBSTITUTE(MID(I613,IFERROR(FIND("and",I613)+3,1),20),"second(s)","")),0)</f>
        <v/>
      </c>
      <c r="K613" s="41">
        <f>J613/60</f>
        <v/>
      </c>
      <c r="L613" s="41">
        <f>IFERROR(J613/H613,"")</f>
        <v/>
      </c>
      <c r="M613" s="25" t="inlineStr">
        <is>
          <t>2.5.12</t>
        </is>
      </c>
      <c r="N613" s="25">
        <f>IF(J613&gt;300,1,0)</f>
        <v/>
      </c>
      <c r="O613" s="25">
        <f>IF(J613&gt;600,1,0)</f>
        <v/>
      </c>
      <c r="P613" s="25">
        <f>IF(H613&gt;0,J613,"")</f>
        <v/>
      </c>
      <c r="Q613" s="25">
        <f>TEXT(A613,"YYYY-MM-DD HH")</f>
        <v/>
      </c>
      <c r="R613" s="25">
        <f>COUNTIF($Q$2:$Q$5295,Q613)</f>
        <v/>
      </c>
      <c r="S613" s="25">
        <f>IF(R613&lt;=2,"1-2",IF(R613&lt;=5,"3-5",IF(R613&lt;=10,"6-10","11+")))</f>
        <v/>
      </c>
    </row>
    <row r="614">
      <c r="A614" s="39" t="n">
        <v>46160.44752314815</v>
      </c>
      <c r="B614" s="25">
        <f>TEXT(A614,"YYYY-MM")</f>
        <v/>
      </c>
      <c r="C614" s="25">
        <f>TEXT(A614,"MMM-YYYY")</f>
        <v/>
      </c>
      <c r="D614" s="40">
        <f>INT(A614)-WEEKDAY(A614,2)+1</f>
        <v/>
      </c>
      <c r="E614" s="25" t="inlineStr">
        <is>
          <t>mbohra</t>
        </is>
      </c>
      <c r="F614" s="25" t="n">
        <v>224</v>
      </c>
      <c r="G614" s="25" t="n">
        <v>1</v>
      </c>
      <c r="H614" s="25" t="n">
        <v>7</v>
      </c>
      <c r="I614" s="25" t="inlineStr">
        <is>
          <t>1 minute(s) and 55 second(s)</t>
        </is>
      </c>
      <c r="J614" s="25">
        <f>IFERROR(VALUE(TRIM(LEFT(I614,FIND("minute",I614)-1)))*60,0)+IFERROR(VALUE(SUBSTITUTE(MID(I614,IFERROR(FIND("and",I614)+3,1),20),"second(s)","")),0)</f>
        <v/>
      </c>
      <c r="K614" s="41">
        <f>J614/60</f>
        <v/>
      </c>
      <c r="L614" s="41">
        <f>IFERROR(J614/H614,"")</f>
        <v/>
      </c>
      <c r="M614" s="25" t="inlineStr">
        <is>
          <t>2.5.12</t>
        </is>
      </c>
      <c r="N614" s="25">
        <f>IF(J614&gt;300,1,0)</f>
        <v/>
      </c>
      <c r="O614" s="25">
        <f>IF(J614&gt;600,1,0)</f>
        <v/>
      </c>
      <c r="P614" s="25">
        <f>IF(H614&gt;0,J614,"")</f>
        <v/>
      </c>
      <c r="Q614" s="25">
        <f>TEXT(A614,"YYYY-MM-DD HH")</f>
        <v/>
      </c>
      <c r="R614" s="25">
        <f>COUNTIF($Q$2:$Q$5295,Q614)</f>
        <v/>
      </c>
      <c r="S614" s="25">
        <f>IF(R614&lt;=2,"1-2",IF(R614&lt;=5,"3-5",IF(R614&lt;=10,"6-10","11+")))</f>
        <v/>
      </c>
    </row>
    <row r="615">
      <c r="A615" s="39" t="n">
        <v>46160.44951388889</v>
      </c>
      <c r="B615" s="25">
        <f>TEXT(A615,"YYYY-MM")</f>
        <v/>
      </c>
      <c r="C615" s="25">
        <f>TEXT(A615,"MMM-YYYY")</f>
        <v/>
      </c>
      <c r="D615" s="40">
        <f>INT(A615)-WEEKDAY(A615,2)+1</f>
        <v/>
      </c>
      <c r="E615" s="25" t="inlineStr">
        <is>
          <t>dbhattacharyya</t>
        </is>
      </c>
      <c r="F615" s="25" t="n">
        <v>71297</v>
      </c>
      <c r="G615" s="25" t="n">
        <v>5</v>
      </c>
      <c r="H615" s="25" t="n">
        <v>31</v>
      </c>
      <c r="I615" s="25" t="inlineStr">
        <is>
          <t>4 minute(s) and 56 second(s)</t>
        </is>
      </c>
      <c r="J615" s="25">
        <f>IFERROR(VALUE(TRIM(LEFT(I615,FIND("minute",I615)-1)))*60,0)+IFERROR(VALUE(SUBSTITUTE(MID(I615,IFERROR(FIND("and",I615)+3,1),20),"second(s)","")),0)</f>
        <v/>
      </c>
      <c r="K615" s="41">
        <f>J615/60</f>
        <v/>
      </c>
      <c r="L615" s="41">
        <f>IFERROR(J615/H615,"")</f>
        <v/>
      </c>
      <c r="M615" s="25" t="inlineStr">
        <is>
          <t>2.5.12</t>
        </is>
      </c>
      <c r="N615" s="25">
        <f>IF(J615&gt;300,1,0)</f>
        <v/>
      </c>
      <c r="O615" s="25">
        <f>IF(J615&gt;600,1,0)</f>
        <v/>
      </c>
      <c r="P615" s="25">
        <f>IF(H615&gt;0,J615,"")</f>
        <v/>
      </c>
      <c r="Q615" s="25">
        <f>TEXT(A615,"YYYY-MM-DD HH")</f>
        <v/>
      </c>
      <c r="R615" s="25">
        <f>COUNTIF($Q$2:$Q$5295,Q615)</f>
        <v/>
      </c>
      <c r="S615" s="25">
        <f>IF(R615&lt;=2,"1-2",IF(R615&lt;=5,"3-5",IF(R615&lt;=10,"6-10","11+")))</f>
        <v/>
      </c>
    </row>
    <row r="616">
      <c r="A616" s="39" t="n">
        <v>46160.45409722222</v>
      </c>
      <c r="B616" s="25">
        <f>TEXT(A616,"YYYY-MM")</f>
        <v/>
      </c>
      <c r="C616" s="25">
        <f>TEXT(A616,"MMM-YYYY")</f>
        <v/>
      </c>
      <c r="D616" s="40">
        <f>INT(A616)-WEEKDAY(A616,2)+1</f>
        <v/>
      </c>
      <c r="E616" s="25" t="inlineStr">
        <is>
          <t>kananya</t>
        </is>
      </c>
      <c r="F616" s="25" t="n">
        <v>85394</v>
      </c>
      <c r="G616" s="25" t="n">
        <v>3</v>
      </c>
      <c r="H616" s="25" t="n">
        <v>21</v>
      </c>
      <c r="I616" s="25" t="inlineStr">
        <is>
          <t>4 minute(s) and 1 second(s)</t>
        </is>
      </c>
      <c r="J616" s="25">
        <f>IFERROR(VALUE(TRIM(LEFT(I616,FIND("minute",I616)-1)))*60,0)+IFERROR(VALUE(SUBSTITUTE(MID(I616,IFERROR(FIND("and",I616)+3,1),20),"second(s)","")),0)</f>
        <v/>
      </c>
      <c r="K616" s="41">
        <f>J616/60</f>
        <v/>
      </c>
      <c r="L616" s="41">
        <f>IFERROR(J616/H616,"")</f>
        <v/>
      </c>
      <c r="M616" s="25" t="inlineStr">
        <is>
          <t>2.5.12</t>
        </is>
      </c>
      <c r="N616" s="25">
        <f>IF(J616&gt;300,1,0)</f>
        <v/>
      </c>
      <c r="O616" s="25">
        <f>IF(J616&gt;600,1,0)</f>
        <v/>
      </c>
      <c r="P616" s="25">
        <f>IF(H616&gt;0,J616,"")</f>
        <v/>
      </c>
      <c r="Q616" s="25">
        <f>TEXT(A616,"YYYY-MM-DD HH")</f>
        <v/>
      </c>
      <c r="R616" s="25">
        <f>COUNTIF($Q$2:$Q$5295,Q616)</f>
        <v/>
      </c>
      <c r="S616" s="25">
        <f>IF(R616&lt;=2,"1-2",IF(R616&lt;=5,"3-5",IF(R616&lt;=10,"6-10","11+")))</f>
        <v/>
      </c>
    </row>
    <row r="617">
      <c r="A617" s="39" t="n">
        <v>46160.46461805556</v>
      </c>
      <c r="B617" s="25">
        <f>TEXT(A617,"YYYY-MM")</f>
        <v/>
      </c>
      <c r="C617" s="25">
        <f>TEXT(A617,"MMM-YYYY")</f>
        <v/>
      </c>
      <c r="D617" s="40">
        <f>INT(A617)-WEEKDAY(A617,2)+1</f>
        <v/>
      </c>
      <c r="E617" s="25" t="inlineStr">
        <is>
          <t>csaha</t>
        </is>
      </c>
      <c r="F617" s="25" t="n">
        <v>234</v>
      </c>
      <c r="G617" s="25" t="n">
        <v>1</v>
      </c>
      <c r="H617" s="25" t="n">
        <v>7</v>
      </c>
      <c r="I617" s="25" t="inlineStr">
        <is>
          <t>3 minute(s) and 2 second(s)</t>
        </is>
      </c>
      <c r="J617" s="25">
        <f>IFERROR(VALUE(TRIM(LEFT(I617,FIND("minute",I617)-1)))*60,0)+IFERROR(VALUE(SUBSTITUTE(MID(I617,IFERROR(FIND("and",I617)+3,1),20),"second(s)","")),0)</f>
        <v/>
      </c>
      <c r="K617" s="41">
        <f>J617/60</f>
        <v/>
      </c>
      <c r="L617" s="41">
        <f>IFERROR(J617/H617,"")</f>
        <v/>
      </c>
      <c r="M617" s="25" t="inlineStr">
        <is>
          <t>2.5.12</t>
        </is>
      </c>
      <c r="N617" s="25">
        <f>IF(J617&gt;300,1,0)</f>
        <v/>
      </c>
      <c r="O617" s="25">
        <f>IF(J617&gt;600,1,0)</f>
        <v/>
      </c>
      <c r="P617" s="25">
        <f>IF(H617&gt;0,J617,"")</f>
        <v/>
      </c>
      <c r="Q617" s="25">
        <f>TEXT(A617,"YYYY-MM-DD HH")</f>
        <v/>
      </c>
      <c r="R617" s="25">
        <f>COUNTIF($Q$2:$Q$5295,Q617)</f>
        <v/>
      </c>
      <c r="S617" s="25">
        <f>IF(R617&lt;=2,"1-2",IF(R617&lt;=5,"3-5",IF(R617&lt;=10,"6-10","11+")))</f>
        <v/>
      </c>
    </row>
    <row r="618">
      <c r="A618" s="39" t="n">
        <v>46160.46550925926</v>
      </c>
      <c r="B618" s="25">
        <f>TEXT(A618,"YYYY-MM")</f>
        <v/>
      </c>
      <c r="C618" s="25">
        <f>TEXT(A618,"MMM-YYYY")</f>
        <v/>
      </c>
      <c r="D618" s="40">
        <f>INT(A618)-WEEKDAY(A618,2)+1</f>
        <v/>
      </c>
      <c r="E618" s="25" t="inlineStr">
        <is>
          <t>npriya</t>
        </is>
      </c>
      <c r="F618" s="25" t="n">
        <v>115919</v>
      </c>
      <c r="G618" s="25" t="n">
        <v>4</v>
      </c>
      <c r="H618" s="25" t="n">
        <v>26</v>
      </c>
      <c r="I618" s="25" t="inlineStr">
        <is>
          <t>6 minute(s) and 15 second(s)</t>
        </is>
      </c>
      <c r="J618" s="25">
        <f>IFERROR(VALUE(TRIM(LEFT(I618,FIND("minute",I618)-1)))*60,0)+IFERROR(VALUE(SUBSTITUTE(MID(I618,IFERROR(FIND("and",I618)+3,1),20),"second(s)","")),0)</f>
        <v/>
      </c>
      <c r="K618" s="41">
        <f>J618/60</f>
        <v/>
      </c>
      <c r="L618" s="41">
        <f>IFERROR(J618/H618,"")</f>
        <v/>
      </c>
      <c r="M618" s="25" t="inlineStr">
        <is>
          <t>2.5.12</t>
        </is>
      </c>
      <c r="N618" s="25">
        <f>IF(J618&gt;300,1,0)</f>
        <v/>
      </c>
      <c r="O618" s="25">
        <f>IF(J618&gt;600,1,0)</f>
        <v/>
      </c>
      <c r="P618" s="25">
        <f>IF(H618&gt;0,J618,"")</f>
        <v/>
      </c>
      <c r="Q618" s="25">
        <f>TEXT(A618,"YYYY-MM-DD HH")</f>
        <v/>
      </c>
      <c r="R618" s="25">
        <f>COUNTIF($Q$2:$Q$5295,Q618)</f>
        <v/>
      </c>
      <c r="S618" s="25">
        <f>IF(R618&lt;=2,"1-2",IF(R618&lt;=5,"3-5",IF(R618&lt;=10,"6-10","11+")))</f>
        <v/>
      </c>
    </row>
    <row r="619">
      <c r="A619" s="39" t="n">
        <v>46160.46621527777</v>
      </c>
      <c r="B619" s="25">
        <f>TEXT(A619,"YYYY-MM")</f>
        <v/>
      </c>
      <c r="C619" s="25">
        <f>TEXT(A619,"MMM-YYYY")</f>
        <v/>
      </c>
      <c r="D619" s="40">
        <f>INT(A619)-WEEKDAY(A619,2)+1</f>
        <v/>
      </c>
      <c r="E619" s="25" t="inlineStr">
        <is>
          <t>nbindu</t>
        </is>
      </c>
      <c r="F619" s="25" t="n">
        <v>281</v>
      </c>
      <c r="G619" s="25" t="n">
        <v>1</v>
      </c>
      <c r="H619" s="25" t="n">
        <v>5</v>
      </c>
      <c r="I619" s="25" t="inlineStr">
        <is>
          <t>52 second(s)</t>
        </is>
      </c>
      <c r="J619" s="25">
        <f>IFERROR(VALUE(TRIM(LEFT(I619,FIND("minute",I619)-1)))*60,0)+IFERROR(VALUE(SUBSTITUTE(MID(I619,IFERROR(FIND("and",I619)+3,1),20),"second(s)","")),0)</f>
        <v/>
      </c>
      <c r="K619" s="41">
        <f>J619/60</f>
        <v/>
      </c>
      <c r="L619" s="41">
        <f>IFERROR(J619/H619,"")</f>
        <v/>
      </c>
      <c r="M619" s="25" t="inlineStr">
        <is>
          <t>2.5.12</t>
        </is>
      </c>
      <c r="N619" s="25">
        <f>IF(J619&gt;300,1,0)</f>
        <v/>
      </c>
      <c r="O619" s="25">
        <f>IF(J619&gt;600,1,0)</f>
        <v/>
      </c>
      <c r="P619" s="25">
        <f>IF(H619&gt;0,J619,"")</f>
        <v/>
      </c>
      <c r="Q619" s="25">
        <f>TEXT(A619,"YYYY-MM-DD HH")</f>
        <v/>
      </c>
      <c r="R619" s="25">
        <f>COUNTIF($Q$2:$Q$5295,Q619)</f>
        <v/>
      </c>
      <c r="S619" s="25">
        <f>IF(R619&lt;=2,"1-2",IF(R619&lt;=5,"3-5",IF(R619&lt;=10,"6-10","11+")))</f>
        <v/>
      </c>
    </row>
    <row r="620">
      <c r="A620" s="39" t="n">
        <v>46160.4846875</v>
      </c>
      <c r="B620" s="25">
        <f>TEXT(A620,"YYYY-MM")</f>
        <v/>
      </c>
      <c r="C620" s="25">
        <f>TEXT(A620,"MMM-YYYY")</f>
        <v/>
      </c>
      <c r="D620" s="40">
        <f>INT(A620)-WEEKDAY(A620,2)+1</f>
        <v/>
      </c>
      <c r="E620" s="25" t="inlineStr">
        <is>
          <t>mbhalla</t>
        </is>
      </c>
      <c r="F620" s="25" t="n">
        <v>28</v>
      </c>
      <c r="G620" s="25" t="n">
        <v>1</v>
      </c>
      <c r="H620" s="25" t="n">
        <v>7</v>
      </c>
      <c r="I620" s="25" t="inlineStr">
        <is>
          <t>1 minute(s) and 21 second(s)</t>
        </is>
      </c>
      <c r="J620" s="25">
        <f>IFERROR(VALUE(TRIM(LEFT(I620,FIND("minute",I620)-1)))*60,0)+IFERROR(VALUE(SUBSTITUTE(MID(I620,IFERROR(FIND("and",I620)+3,1),20),"second(s)","")),0)</f>
        <v/>
      </c>
      <c r="K620" s="41">
        <f>J620/60</f>
        <v/>
      </c>
      <c r="L620" s="41">
        <f>IFERROR(J620/H620,"")</f>
        <v/>
      </c>
      <c r="M620" s="25" t="inlineStr">
        <is>
          <t>2.5.12</t>
        </is>
      </c>
      <c r="N620" s="25">
        <f>IF(J620&gt;300,1,0)</f>
        <v/>
      </c>
      <c r="O620" s="25">
        <f>IF(J620&gt;600,1,0)</f>
        <v/>
      </c>
      <c r="P620" s="25">
        <f>IF(H620&gt;0,J620,"")</f>
        <v/>
      </c>
      <c r="Q620" s="25">
        <f>TEXT(A620,"YYYY-MM-DD HH")</f>
        <v/>
      </c>
      <c r="R620" s="25">
        <f>COUNTIF($Q$2:$Q$5295,Q620)</f>
        <v/>
      </c>
      <c r="S620" s="25">
        <f>IF(R620&lt;=2,"1-2",IF(R620&lt;=5,"3-5",IF(R620&lt;=10,"6-10","11+")))</f>
        <v/>
      </c>
    </row>
    <row r="621">
      <c r="A621" s="39" t="n">
        <v>46160.48478009259</v>
      </c>
      <c r="B621" s="25">
        <f>TEXT(A621,"YYYY-MM")</f>
        <v/>
      </c>
      <c r="C621" s="25">
        <f>TEXT(A621,"MMM-YYYY")</f>
        <v/>
      </c>
      <c r="D621" s="40">
        <f>INT(A621)-WEEKDAY(A621,2)+1</f>
        <v/>
      </c>
      <c r="E621" s="25" t="inlineStr">
        <is>
          <t>nbindu</t>
        </is>
      </c>
      <c r="F621" s="25" t="n">
        <v>291</v>
      </c>
      <c r="G621" s="25" t="n">
        <v>1</v>
      </c>
      <c r="H621" s="25" t="n">
        <v>5</v>
      </c>
      <c r="I621" s="25" t="inlineStr">
        <is>
          <t>1 minute(s) and 9 second(s)</t>
        </is>
      </c>
      <c r="J621" s="25">
        <f>IFERROR(VALUE(TRIM(LEFT(I621,FIND("minute",I621)-1)))*60,0)+IFERROR(VALUE(SUBSTITUTE(MID(I621,IFERROR(FIND("and",I621)+3,1),20),"second(s)","")),0)</f>
        <v/>
      </c>
      <c r="K621" s="41">
        <f>J621/60</f>
        <v/>
      </c>
      <c r="L621" s="41">
        <f>IFERROR(J621/H621,"")</f>
        <v/>
      </c>
      <c r="M621" s="25" t="inlineStr">
        <is>
          <t>2.5.12</t>
        </is>
      </c>
      <c r="N621" s="25">
        <f>IF(J621&gt;300,1,0)</f>
        <v/>
      </c>
      <c r="O621" s="25">
        <f>IF(J621&gt;600,1,0)</f>
        <v/>
      </c>
      <c r="P621" s="25">
        <f>IF(H621&gt;0,J621,"")</f>
        <v/>
      </c>
      <c r="Q621" s="25">
        <f>TEXT(A621,"YYYY-MM-DD HH")</f>
        <v/>
      </c>
      <c r="R621" s="25">
        <f>COUNTIF($Q$2:$Q$5295,Q621)</f>
        <v/>
      </c>
      <c r="S621" s="25">
        <f>IF(R621&lt;=2,"1-2",IF(R621&lt;=5,"3-5",IF(R621&lt;=10,"6-10","11+")))</f>
        <v/>
      </c>
    </row>
    <row r="622">
      <c r="A622" s="39" t="n">
        <v>46160.49413194445</v>
      </c>
      <c r="B622" s="25">
        <f>TEXT(A622,"YYYY-MM")</f>
        <v/>
      </c>
      <c r="C622" s="25">
        <f>TEXT(A622,"MMM-YYYY")</f>
        <v/>
      </c>
      <c r="D622" s="40">
        <f>INT(A622)-WEEKDAY(A622,2)+1</f>
        <v/>
      </c>
      <c r="E622" s="25" t="inlineStr">
        <is>
          <t>shasikha</t>
        </is>
      </c>
      <c r="F622" s="25" t="n">
        <v>298</v>
      </c>
      <c r="G622" s="25" t="n">
        <v>1</v>
      </c>
      <c r="H622" s="25" t="n">
        <v>7</v>
      </c>
      <c r="I622" s="25" t="inlineStr">
        <is>
          <t>2 minute(s) and 37 second(s)</t>
        </is>
      </c>
      <c r="J622" s="25">
        <f>IFERROR(VALUE(TRIM(LEFT(I622,FIND("minute",I622)-1)))*60,0)+IFERROR(VALUE(SUBSTITUTE(MID(I622,IFERROR(FIND("and",I622)+3,1),20),"second(s)","")),0)</f>
        <v/>
      </c>
      <c r="K622" s="41">
        <f>J622/60</f>
        <v/>
      </c>
      <c r="L622" s="41">
        <f>IFERROR(J622/H622,"")</f>
        <v/>
      </c>
      <c r="M622" s="25" t="inlineStr">
        <is>
          <t>2.5.12</t>
        </is>
      </c>
      <c r="N622" s="25">
        <f>IF(J622&gt;300,1,0)</f>
        <v/>
      </c>
      <c r="O622" s="25">
        <f>IF(J622&gt;600,1,0)</f>
        <v/>
      </c>
      <c r="P622" s="25">
        <f>IF(H622&gt;0,J622,"")</f>
        <v/>
      </c>
      <c r="Q622" s="25">
        <f>TEXT(A622,"YYYY-MM-DD HH")</f>
        <v/>
      </c>
      <c r="R622" s="25">
        <f>COUNTIF($Q$2:$Q$5295,Q622)</f>
        <v/>
      </c>
      <c r="S622" s="25">
        <f>IF(R622&lt;=2,"1-2",IF(R622&lt;=5,"3-5",IF(R622&lt;=10,"6-10","11+")))</f>
        <v/>
      </c>
    </row>
    <row r="623">
      <c r="A623" s="39" t="n">
        <v>46160.50063657408</v>
      </c>
      <c r="B623" s="25">
        <f>TEXT(A623,"YYYY-MM")</f>
        <v/>
      </c>
      <c r="C623" s="25">
        <f>TEXT(A623,"MMM-YYYY")</f>
        <v/>
      </c>
      <c r="D623" s="40">
        <f>INT(A623)-WEEKDAY(A623,2)+1</f>
        <v/>
      </c>
      <c r="E623" s="25" t="inlineStr">
        <is>
          <t>csaha</t>
        </is>
      </c>
      <c r="F623" s="25" t="n">
        <v>237</v>
      </c>
      <c r="G623" s="25" t="n">
        <v>1</v>
      </c>
      <c r="H623" s="25" t="n">
        <v>5</v>
      </c>
      <c r="I623" s="25" t="inlineStr">
        <is>
          <t>1 minute(s) and 28 second(s)</t>
        </is>
      </c>
      <c r="J623" s="25">
        <f>IFERROR(VALUE(TRIM(LEFT(I623,FIND("minute",I623)-1)))*60,0)+IFERROR(VALUE(SUBSTITUTE(MID(I623,IFERROR(FIND("and",I623)+3,1),20),"second(s)","")),0)</f>
        <v/>
      </c>
      <c r="K623" s="41">
        <f>J623/60</f>
        <v/>
      </c>
      <c r="L623" s="41">
        <f>IFERROR(J623/H623,"")</f>
        <v/>
      </c>
      <c r="M623" s="25" t="inlineStr">
        <is>
          <t>2.5.12</t>
        </is>
      </c>
      <c r="N623" s="25">
        <f>IF(J623&gt;300,1,0)</f>
        <v/>
      </c>
      <c r="O623" s="25">
        <f>IF(J623&gt;600,1,0)</f>
        <v/>
      </c>
      <c r="P623" s="25">
        <f>IF(H623&gt;0,J623,"")</f>
        <v/>
      </c>
      <c r="Q623" s="25">
        <f>TEXT(A623,"YYYY-MM-DD HH")</f>
        <v/>
      </c>
      <c r="R623" s="25">
        <f>COUNTIF($Q$2:$Q$5295,Q623)</f>
        <v/>
      </c>
      <c r="S623" s="25">
        <f>IF(R623&lt;=2,"1-2",IF(R623&lt;=5,"3-5",IF(R623&lt;=10,"6-10","11+")))</f>
        <v/>
      </c>
    </row>
    <row r="624">
      <c r="A624" s="39" t="n">
        <v>46160.51581018518</v>
      </c>
      <c r="B624" s="25">
        <f>TEXT(A624,"YYYY-MM")</f>
        <v/>
      </c>
      <c r="C624" s="25">
        <f>TEXT(A624,"MMM-YYYY")</f>
        <v/>
      </c>
      <c r="D624" s="40">
        <f>INT(A624)-WEEKDAY(A624,2)+1</f>
        <v/>
      </c>
      <c r="E624" s="25" t="inlineStr">
        <is>
          <t>shasikha</t>
        </is>
      </c>
      <c r="F624" s="25" t="n">
        <v>299</v>
      </c>
      <c r="G624" s="25" t="n">
        <v>1</v>
      </c>
      <c r="H624" s="25" t="n">
        <v>7</v>
      </c>
      <c r="I624" s="25" t="inlineStr">
        <is>
          <t>1 minute(s) and 43 second(s)</t>
        </is>
      </c>
      <c r="J624" s="25">
        <f>IFERROR(VALUE(TRIM(LEFT(I624,FIND("minute",I624)-1)))*60,0)+IFERROR(VALUE(SUBSTITUTE(MID(I624,IFERROR(FIND("and",I624)+3,1),20),"second(s)","")),0)</f>
        <v/>
      </c>
      <c r="K624" s="41">
        <f>J624/60</f>
        <v/>
      </c>
      <c r="L624" s="41">
        <f>IFERROR(J624/H624,"")</f>
        <v/>
      </c>
      <c r="M624" s="25" t="inlineStr">
        <is>
          <t>2.5.12</t>
        </is>
      </c>
      <c r="N624" s="25">
        <f>IF(J624&gt;300,1,0)</f>
        <v/>
      </c>
      <c r="O624" s="25">
        <f>IF(J624&gt;600,1,0)</f>
        <v/>
      </c>
      <c r="P624" s="25">
        <f>IF(H624&gt;0,J624,"")</f>
        <v/>
      </c>
      <c r="Q624" s="25">
        <f>TEXT(A624,"YYYY-MM-DD HH")</f>
        <v/>
      </c>
      <c r="R624" s="25">
        <f>COUNTIF($Q$2:$Q$5295,Q624)</f>
        <v/>
      </c>
      <c r="S624" s="25">
        <f>IF(R624&lt;=2,"1-2",IF(R624&lt;=5,"3-5",IF(R624&lt;=10,"6-10","11+")))</f>
        <v/>
      </c>
    </row>
    <row r="625">
      <c r="A625" s="39" t="n">
        <v>46160.51743055556</v>
      </c>
      <c r="B625" s="25">
        <f>TEXT(A625,"YYYY-MM")</f>
        <v/>
      </c>
      <c r="C625" s="25">
        <f>TEXT(A625,"MMM-YYYY")</f>
        <v/>
      </c>
      <c r="D625" s="40">
        <f>INT(A625)-WEEKDAY(A625,2)+1</f>
        <v/>
      </c>
      <c r="E625" s="25" t="inlineStr">
        <is>
          <t>vraina</t>
        </is>
      </c>
      <c r="F625" s="25" t="n">
        <v>165</v>
      </c>
      <c r="G625" s="25" t="n">
        <v>1</v>
      </c>
      <c r="H625" s="25" t="n">
        <v>7</v>
      </c>
      <c r="I625" s="25" t="inlineStr">
        <is>
          <t>1 minute(s) and 35 second(s)</t>
        </is>
      </c>
      <c r="J625" s="25">
        <f>IFERROR(VALUE(TRIM(LEFT(I625,FIND("minute",I625)-1)))*60,0)+IFERROR(VALUE(SUBSTITUTE(MID(I625,IFERROR(FIND("and",I625)+3,1),20),"second(s)","")),0)</f>
        <v/>
      </c>
      <c r="K625" s="41">
        <f>J625/60</f>
        <v/>
      </c>
      <c r="L625" s="41">
        <f>IFERROR(J625/H625,"")</f>
        <v/>
      </c>
      <c r="M625" s="25" t="inlineStr">
        <is>
          <t>2.5.12</t>
        </is>
      </c>
      <c r="N625" s="25">
        <f>IF(J625&gt;300,1,0)</f>
        <v/>
      </c>
      <c r="O625" s="25">
        <f>IF(J625&gt;600,1,0)</f>
        <v/>
      </c>
      <c r="P625" s="25">
        <f>IF(H625&gt;0,J625,"")</f>
        <v/>
      </c>
      <c r="Q625" s="25">
        <f>TEXT(A625,"YYYY-MM-DD HH")</f>
        <v/>
      </c>
      <c r="R625" s="25">
        <f>COUNTIF($Q$2:$Q$5295,Q625)</f>
        <v/>
      </c>
      <c r="S625" s="25">
        <f>IF(R625&lt;=2,"1-2",IF(R625&lt;=5,"3-5",IF(R625&lt;=10,"6-10","11+")))</f>
        <v/>
      </c>
    </row>
    <row r="626">
      <c r="A626" s="39" t="n">
        <v>46160.5185300926</v>
      </c>
      <c r="B626" s="25">
        <f>TEXT(A626,"YYYY-MM")</f>
        <v/>
      </c>
      <c r="C626" s="25">
        <f>TEXT(A626,"MMM-YYYY")</f>
        <v/>
      </c>
      <c r="D626" s="40">
        <f>INT(A626)-WEEKDAY(A626,2)+1</f>
        <v/>
      </c>
      <c r="E626" s="25" t="inlineStr">
        <is>
          <t>kananya</t>
        </is>
      </c>
      <c r="F626" s="25" t="n">
        <v>85407</v>
      </c>
      <c r="G626" s="25" t="n">
        <v>3</v>
      </c>
      <c r="H626" s="25" t="n">
        <v>21</v>
      </c>
      <c r="I626" s="25" t="inlineStr">
        <is>
          <t>4 minute(s) and 47 second(s)</t>
        </is>
      </c>
      <c r="J626" s="25">
        <f>IFERROR(VALUE(TRIM(LEFT(I626,FIND("minute",I626)-1)))*60,0)+IFERROR(VALUE(SUBSTITUTE(MID(I626,IFERROR(FIND("and",I626)+3,1),20),"second(s)","")),0)</f>
        <v/>
      </c>
      <c r="K626" s="41">
        <f>J626/60</f>
        <v/>
      </c>
      <c r="L626" s="41">
        <f>IFERROR(J626/H626,"")</f>
        <v/>
      </c>
      <c r="M626" s="25" t="inlineStr">
        <is>
          <t>2.5.12</t>
        </is>
      </c>
      <c r="N626" s="25">
        <f>IF(J626&gt;300,1,0)</f>
        <v/>
      </c>
      <c r="O626" s="25">
        <f>IF(J626&gt;600,1,0)</f>
        <v/>
      </c>
      <c r="P626" s="25">
        <f>IF(H626&gt;0,J626,"")</f>
        <v/>
      </c>
      <c r="Q626" s="25">
        <f>TEXT(A626,"YYYY-MM-DD HH")</f>
        <v/>
      </c>
      <c r="R626" s="25">
        <f>COUNTIF($Q$2:$Q$5295,Q626)</f>
        <v/>
      </c>
      <c r="S626" s="25">
        <f>IF(R626&lt;=2,"1-2",IF(R626&lt;=5,"3-5",IF(R626&lt;=10,"6-10","11+")))</f>
        <v/>
      </c>
    </row>
    <row r="627">
      <c r="A627" s="39" t="n">
        <v>46160.52372685185</v>
      </c>
      <c r="B627" s="25">
        <f>TEXT(A627,"YYYY-MM")</f>
        <v/>
      </c>
      <c r="C627" s="25">
        <f>TEXT(A627,"MMM-YYYY")</f>
        <v/>
      </c>
      <c r="D627" s="40">
        <f>INT(A627)-WEEKDAY(A627,2)+1</f>
        <v/>
      </c>
      <c r="E627" s="25" t="inlineStr">
        <is>
          <t>rts</t>
        </is>
      </c>
      <c r="F627" s="25" t="n">
        <v>116440</v>
      </c>
      <c r="G627" s="25" t="n">
        <v>1</v>
      </c>
      <c r="H627" s="25" t="n">
        <v>6</v>
      </c>
      <c r="I627" s="25" t="inlineStr">
        <is>
          <t>1 minute(s) and 11 second(s)</t>
        </is>
      </c>
      <c r="J627" s="25">
        <f>IFERROR(VALUE(TRIM(LEFT(I627,FIND("minute",I627)-1)))*60,0)+IFERROR(VALUE(SUBSTITUTE(MID(I627,IFERROR(FIND("and",I627)+3,1),20),"second(s)","")),0)</f>
        <v/>
      </c>
      <c r="K627" s="41">
        <f>J627/60</f>
        <v/>
      </c>
      <c r="L627" s="41">
        <f>IFERROR(J627/H627,"")</f>
        <v/>
      </c>
      <c r="M627" s="25" t="inlineStr">
        <is>
          <t>2.5.12</t>
        </is>
      </c>
      <c r="N627" s="25">
        <f>IF(J627&gt;300,1,0)</f>
        <v/>
      </c>
      <c r="O627" s="25">
        <f>IF(J627&gt;600,1,0)</f>
        <v/>
      </c>
      <c r="P627" s="25">
        <f>IF(H627&gt;0,J627,"")</f>
        <v/>
      </c>
      <c r="Q627" s="25">
        <f>TEXT(A627,"YYYY-MM-DD HH")</f>
        <v/>
      </c>
      <c r="R627" s="25">
        <f>COUNTIF($Q$2:$Q$5295,Q627)</f>
        <v/>
      </c>
      <c r="S627" s="25">
        <f>IF(R627&lt;=2,"1-2",IF(R627&lt;=5,"3-5",IF(R627&lt;=10,"6-10","11+")))</f>
        <v/>
      </c>
    </row>
    <row r="628">
      <c r="A628" s="39" t="n">
        <v>46160.52815972222</v>
      </c>
      <c r="B628" s="25">
        <f>TEXT(A628,"YYYY-MM")</f>
        <v/>
      </c>
      <c r="C628" s="25">
        <f>TEXT(A628,"MMM-YYYY")</f>
        <v/>
      </c>
      <c r="D628" s="40">
        <f>INT(A628)-WEEKDAY(A628,2)+1</f>
        <v/>
      </c>
      <c r="E628" s="25" t="inlineStr">
        <is>
          <t>mgupta</t>
        </is>
      </c>
      <c r="F628" s="25" t="n">
        <v>60766</v>
      </c>
      <c r="G628" s="25" t="n">
        <v>5</v>
      </c>
      <c r="H628" s="25" t="n">
        <v>25</v>
      </c>
      <c r="I628" s="25" t="inlineStr">
        <is>
          <t>4 minute(s) and 39 second(s)</t>
        </is>
      </c>
      <c r="J628" s="25">
        <f>IFERROR(VALUE(TRIM(LEFT(I628,FIND("minute",I628)-1)))*60,0)+IFERROR(VALUE(SUBSTITUTE(MID(I628,IFERROR(FIND("and",I628)+3,1),20),"second(s)","")),0)</f>
        <v/>
      </c>
      <c r="K628" s="41">
        <f>J628/60</f>
        <v/>
      </c>
      <c r="L628" s="41">
        <f>IFERROR(J628/H628,"")</f>
        <v/>
      </c>
      <c r="M628" s="25" t="inlineStr">
        <is>
          <t>2.5.12</t>
        </is>
      </c>
      <c r="N628" s="25">
        <f>IF(J628&gt;300,1,0)</f>
        <v/>
      </c>
      <c r="O628" s="25">
        <f>IF(J628&gt;600,1,0)</f>
        <v/>
      </c>
      <c r="P628" s="25">
        <f>IF(H628&gt;0,J628,"")</f>
        <v/>
      </c>
      <c r="Q628" s="25">
        <f>TEXT(A628,"YYYY-MM-DD HH")</f>
        <v/>
      </c>
      <c r="R628" s="25">
        <f>COUNTIF($Q$2:$Q$5295,Q628)</f>
        <v/>
      </c>
      <c r="S628" s="25">
        <f>IF(R628&lt;=2,"1-2",IF(R628&lt;=5,"3-5",IF(R628&lt;=10,"6-10","11+")))</f>
        <v/>
      </c>
    </row>
    <row r="629">
      <c r="A629" s="39" t="n">
        <v>46160.53322916666</v>
      </c>
      <c r="B629" s="25">
        <f>TEXT(A629,"YYYY-MM")</f>
        <v/>
      </c>
      <c r="C629" s="25">
        <f>TEXT(A629,"MMM-YYYY")</f>
        <v/>
      </c>
      <c r="D629" s="40">
        <f>INT(A629)-WEEKDAY(A629,2)+1</f>
        <v/>
      </c>
      <c r="E629" s="25" t="inlineStr">
        <is>
          <t>mbhalla</t>
        </is>
      </c>
      <c r="F629" s="25" t="n">
        <v>29</v>
      </c>
      <c r="G629" s="25" t="n">
        <v>1</v>
      </c>
      <c r="H629" s="25" t="n">
        <v>7</v>
      </c>
      <c r="I629" s="25" t="inlineStr">
        <is>
          <t>1 minute(s) and 13 second(s)</t>
        </is>
      </c>
      <c r="J629" s="25">
        <f>IFERROR(VALUE(TRIM(LEFT(I629,FIND("minute",I629)-1)))*60,0)+IFERROR(VALUE(SUBSTITUTE(MID(I629,IFERROR(FIND("and",I629)+3,1),20),"second(s)","")),0)</f>
        <v/>
      </c>
      <c r="K629" s="41">
        <f>J629/60</f>
        <v/>
      </c>
      <c r="L629" s="41">
        <f>IFERROR(J629/H629,"")</f>
        <v/>
      </c>
      <c r="M629" s="25" t="inlineStr">
        <is>
          <t>2.5.12</t>
        </is>
      </c>
      <c r="N629" s="25">
        <f>IF(J629&gt;300,1,0)</f>
        <v/>
      </c>
      <c r="O629" s="25">
        <f>IF(J629&gt;600,1,0)</f>
        <v/>
      </c>
      <c r="P629" s="25">
        <f>IF(H629&gt;0,J629,"")</f>
        <v/>
      </c>
      <c r="Q629" s="25">
        <f>TEXT(A629,"YYYY-MM-DD HH")</f>
        <v/>
      </c>
      <c r="R629" s="25">
        <f>COUNTIF($Q$2:$Q$5295,Q629)</f>
        <v/>
      </c>
      <c r="S629" s="25">
        <f>IF(R629&lt;=2,"1-2",IF(R629&lt;=5,"3-5",IF(R629&lt;=10,"6-10","11+")))</f>
        <v/>
      </c>
    </row>
    <row r="630">
      <c r="A630" s="39" t="n">
        <v>46160.5496875</v>
      </c>
      <c r="B630" s="25">
        <f>TEXT(A630,"YYYY-MM")</f>
        <v/>
      </c>
      <c r="C630" s="25">
        <f>TEXT(A630,"MMM-YYYY")</f>
        <v/>
      </c>
      <c r="D630" s="40">
        <f>INT(A630)-WEEKDAY(A630,2)+1</f>
        <v/>
      </c>
      <c r="E630" s="25" t="inlineStr">
        <is>
          <t>shasikha</t>
        </is>
      </c>
      <c r="F630" s="25" t="n">
        <v>303</v>
      </c>
      <c r="G630" s="25" t="n">
        <v>1</v>
      </c>
      <c r="H630" s="25" t="n">
        <v>7</v>
      </c>
      <c r="I630" s="25" t="inlineStr">
        <is>
          <t>2 minute(s) and 12 second(s)</t>
        </is>
      </c>
      <c r="J630" s="25">
        <f>IFERROR(VALUE(TRIM(LEFT(I630,FIND("minute",I630)-1)))*60,0)+IFERROR(VALUE(SUBSTITUTE(MID(I630,IFERROR(FIND("and",I630)+3,1),20),"second(s)","")),0)</f>
        <v/>
      </c>
      <c r="K630" s="41">
        <f>J630/60</f>
        <v/>
      </c>
      <c r="L630" s="41">
        <f>IFERROR(J630/H630,"")</f>
        <v/>
      </c>
      <c r="M630" s="25" t="inlineStr">
        <is>
          <t>2.5.12</t>
        </is>
      </c>
      <c r="N630" s="25">
        <f>IF(J630&gt;300,1,0)</f>
        <v/>
      </c>
      <c r="O630" s="25">
        <f>IF(J630&gt;600,1,0)</f>
        <v/>
      </c>
      <c r="P630" s="25">
        <f>IF(H630&gt;0,J630,"")</f>
        <v/>
      </c>
      <c r="Q630" s="25">
        <f>TEXT(A630,"YYYY-MM-DD HH")</f>
        <v/>
      </c>
      <c r="R630" s="25">
        <f>COUNTIF($Q$2:$Q$5295,Q630)</f>
        <v/>
      </c>
      <c r="S630" s="25">
        <f>IF(R630&lt;=2,"1-2",IF(R630&lt;=5,"3-5",IF(R630&lt;=10,"6-10","11+")))</f>
        <v/>
      </c>
    </row>
    <row r="631">
      <c r="A631" s="39" t="n">
        <v>46160.56931712963</v>
      </c>
      <c r="B631" s="25">
        <f>TEXT(A631,"YYYY-MM")</f>
        <v/>
      </c>
      <c r="C631" s="25">
        <f>TEXT(A631,"MMM-YYYY")</f>
        <v/>
      </c>
      <c r="D631" s="40">
        <f>INT(A631)-WEEKDAY(A631,2)+1</f>
        <v/>
      </c>
      <c r="E631" s="25" t="inlineStr">
        <is>
          <t>hdutt</t>
        </is>
      </c>
      <c r="F631" s="25" t="n">
        <v>263</v>
      </c>
      <c r="G631" s="25" t="n">
        <v>1</v>
      </c>
      <c r="H631" s="25" t="n">
        <v>7</v>
      </c>
      <c r="I631" s="25" t="inlineStr">
        <is>
          <t>1 minute(s) and 23 second(s)</t>
        </is>
      </c>
      <c r="J631" s="25">
        <f>IFERROR(VALUE(TRIM(LEFT(I631,FIND("minute",I631)-1)))*60,0)+IFERROR(VALUE(SUBSTITUTE(MID(I631,IFERROR(FIND("and",I631)+3,1),20),"second(s)","")),0)</f>
        <v/>
      </c>
      <c r="K631" s="41">
        <f>J631/60</f>
        <v/>
      </c>
      <c r="L631" s="41">
        <f>IFERROR(J631/H631,"")</f>
        <v/>
      </c>
      <c r="M631" s="25" t="inlineStr">
        <is>
          <t>2.5.12</t>
        </is>
      </c>
      <c r="N631" s="25">
        <f>IF(J631&gt;300,1,0)</f>
        <v/>
      </c>
      <c r="O631" s="25">
        <f>IF(J631&gt;600,1,0)</f>
        <v/>
      </c>
      <c r="P631" s="25">
        <f>IF(H631&gt;0,J631,"")</f>
        <v/>
      </c>
      <c r="Q631" s="25">
        <f>TEXT(A631,"YYYY-MM-DD HH")</f>
        <v/>
      </c>
      <c r="R631" s="25">
        <f>COUNTIF($Q$2:$Q$5295,Q631)</f>
        <v/>
      </c>
      <c r="S631" s="25">
        <f>IF(R631&lt;=2,"1-2",IF(R631&lt;=5,"3-5",IF(R631&lt;=10,"6-10","11+")))</f>
        <v/>
      </c>
    </row>
    <row r="632">
      <c r="A632" s="39" t="n">
        <v>46160.60678240741</v>
      </c>
      <c r="B632" s="25">
        <f>TEXT(A632,"YYYY-MM")</f>
        <v/>
      </c>
      <c r="C632" s="25">
        <f>TEXT(A632,"MMM-YYYY")</f>
        <v/>
      </c>
      <c r="D632" s="40">
        <f>INT(A632)-WEEKDAY(A632,2)+1</f>
        <v/>
      </c>
      <c r="E632" s="25" t="inlineStr">
        <is>
          <t>arsarkar</t>
        </is>
      </c>
      <c r="F632" s="25" t="n">
        <v>90</v>
      </c>
      <c r="G632" s="25" t="n">
        <v>1</v>
      </c>
      <c r="H632" s="25" t="n">
        <v>5</v>
      </c>
      <c r="I632" s="25" t="inlineStr">
        <is>
          <t>1 minute(s) and 14 second(s)</t>
        </is>
      </c>
      <c r="J632" s="25">
        <f>IFERROR(VALUE(TRIM(LEFT(I632,FIND("minute",I632)-1)))*60,0)+IFERROR(VALUE(SUBSTITUTE(MID(I632,IFERROR(FIND("and",I632)+3,1),20),"second(s)","")),0)</f>
        <v/>
      </c>
      <c r="K632" s="41">
        <f>J632/60</f>
        <v/>
      </c>
      <c r="L632" s="41">
        <f>IFERROR(J632/H632,"")</f>
        <v/>
      </c>
      <c r="M632" s="25" t="inlineStr">
        <is>
          <t>2.5.12</t>
        </is>
      </c>
      <c r="N632" s="25">
        <f>IF(J632&gt;300,1,0)</f>
        <v/>
      </c>
      <c r="O632" s="25">
        <f>IF(J632&gt;600,1,0)</f>
        <v/>
      </c>
      <c r="P632" s="25">
        <f>IF(H632&gt;0,J632,"")</f>
        <v/>
      </c>
      <c r="Q632" s="25">
        <f>TEXT(A632,"YYYY-MM-DD HH")</f>
        <v/>
      </c>
      <c r="R632" s="25">
        <f>COUNTIF($Q$2:$Q$5295,Q632)</f>
        <v/>
      </c>
      <c r="S632" s="25">
        <f>IF(R632&lt;=2,"1-2",IF(R632&lt;=5,"3-5",IF(R632&lt;=10,"6-10","11+")))</f>
        <v/>
      </c>
    </row>
    <row r="633">
      <c r="A633" s="39" t="n">
        <v>46160.62787037037</v>
      </c>
      <c r="B633" s="25">
        <f>TEXT(A633,"YYYY-MM")</f>
        <v/>
      </c>
      <c r="C633" s="25">
        <f>TEXT(A633,"MMM-YYYY")</f>
        <v/>
      </c>
      <c r="D633" s="40">
        <f>INT(A633)-WEEKDAY(A633,2)+1</f>
        <v/>
      </c>
      <c r="E633" s="25" t="inlineStr">
        <is>
          <t>hdutt</t>
        </is>
      </c>
      <c r="F633" s="25" t="n">
        <v>265</v>
      </c>
      <c r="G633" s="25" t="n">
        <v>1</v>
      </c>
      <c r="H633" s="25" t="n">
        <v>7</v>
      </c>
      <c r="I633" s="25" t="inlineStr">
        <is>
          <t>1 minute(s) and 27 second(s)</t>
        </is>
      </c>
      <c r="J633" s="25">
        <f>IFERROR(VALUE(TRIM(LEFT(I633,FIND("minute",I633)-1)))*60,0)+IFERROR(VALUE(SUBSTITUTE(MID(I633,IFERROR(FIND("and",I633)+3,1),20),"second(s)","")),0)</f>
        <v/>
      </c>
      <c r="K633" s="41">
        <f>J633/60</f>
        <v/>
      </c>
      <c r="L633" s="41">
        <f>IFERROR(J633/H633,"")</f>
        <v/>
      </c>
      <c r="M633" s="25" t="inlineStr">
        <is>
          <t>2.5.12</t>
        </is>
      </c>
      <c r="N633" s="25">
        <f>IF(J633&gt;300,1,0)</f>
        <v/>
      </c>
      <c r="O633" s="25">
        <f>IF(J633&gt;600,1,0)</f>
        <v/>
      </c>
      <c r="P633" s="25">
        <f>IF(H633&gt;0,J633,"")</f>
        <v/>
      </c>
      <c r="Q633" s="25">
        <f>TEXT(A633,"YYYY-MM-DD HH")</f>
        <v/>
      </c>
      <c r="R633" s="25">
        <f>COUNTIF($Q$2:$Q$5295,Q633)</f>
        <v/>
      </c>
      <c r="S633" s="25">
        <f>IF(R633&lt;=2,"1-2",IF(R633&lt;=5,"3-5",IF(R633&lt;=10,"6-10","11+")))</f>
        <v/>
      </c>
    </row>
    <row r="634">
      <c r="A634" s="39" t="n">
        <v>46160.65304398148</v>
      </c>
      <c r="B634" s="25">
        <f>TEXT(A634,"YYYY-MM")</f>
        <v/>
      </c>
      <c r="C634" s="25">
        <f>TEXT(A634,"MMM-YYYY")</f>
        <v/>
      </c>
      <c r="D634" s="40">
        <f>INT(A634)-WEEKDAY(A634,2)+1</f>
        <v/>
      </c>
      <c r="E634" s="25" t="inlineStr">
        <is>
          <t>hdutt</t>
        </is>
      </c>
      <c r="F634" s="25" t="n">
        <v>270</v>
      </c>
      <c r="G634" s="25" t="n">
        <v>1</v>
      </c>
      <c r="H634" s="25" t="n">
        <v>7</v>
      </c>
      <c r="I634" s="25" t="inlineStr">
        <is>
          <t>3 minute(s) and 14 second(s)</t>
        </is>
      </c>
      <c r="J634" s="25">
        <f>IFERROR(VALUE(TRIM(LEFT(I634,FIND("minute",I634)-1)))*60,0)+IFERROR(VALUE(SUBSTITUTE(MID(I634,IFERROR(FIND("and",I634)+3,1),20),"second(s)","")),0)</f>
        <v/>
      </c>
      <c r="K634" s="41">
        <f>J634/60</f>
        <v/>
      </c>
      <c r="L634" s="41">
        <f>IFERROR(J634/H634,"")</f>
        <v/>
      </c>
      <c r="M634" s="25" t="inlineStr">
        <is>
          <t>2.5.12</t>
        </is>
      </c>
      <c r="N634" s="25">
        <f>IF(J634&gt;300,1,0)</f>
        <v/>
      </c>
      <c r="O634" s="25">
        <f>IF(J634&gt;600,1,0)</f>
        <v/>
      </c>
      <c r="P634" s="25">
        <f>IF(H634&gt;0,J634,"")</f>
        <v/>
      </c>
      <c r="Q634" s="25">
        <f>TEXT(A634,"YYYY-MM-DD HH")</f>
        <v/>
      </c>
      <c r="R634" s="25">
        <f>COUNTIF($Q$2:$Q$5295,Q634)</f>
        <v/>
      </c>
      <c r="S634" s="25">
        <f>IF(R634&lt;=2,"1-2",IF(R634&lt;=5,"3-5",IF(R634&lt;=10,"6-10","11+")))</f>
        <v/>
      </c>
    </row>
    <row r="635">
      <c r="A635" s="39" t="n">
        <v>46160.65591435185</v>
      </c>
      <c r="B635" s="25">
        <f>TEXT(A635,"YYYY-MM")</f>
        <v/>
      </c>
      <c r="C635" s="25">
        <f>TEXT(A635,"MMM-YYYY")</f>
        <v/>
      </c>
      <c r="D635" s="40">
        <f>INT(A635)-WEEKDAY(A635,2)+1</f>
        <v/>
      </c>
      <c r="E635" s="25" t="inlineStr">
        <is>
          <t>emishra</t>
        </is>
      </c>
      <c r="F635" s="25" t="n">
        <v>78</v>
      </c>
      <c r="G635" s="25" t="n">
        <v>1</v>
      </c>
      <c r="H635" s="25" t="n">
        <v>5</v>
      </c>
      <c r="I635" s="25" t="inlineStr">
        <is>
          <t>51 second(s)</t>
        </is>
      </c>
      <c r="J635" s="25">
        <f>IFERROR(VALUE(TRIM(LEFT(I635,FIND("minute",I635)-1)))*60,0)+IFERROR(VALUE(SUBSTITUTE(MID(I635,IFERROR(FIND("and",I635)+3,1),20),"second(s)","")),0)</f>
        <v/>
      </c>
      <c r="K635" s="41">
        <f>J635/60</f>
        <v/>
      </c>
      <c r="L635" s="41">
        <f>IFERROR(J635/H635,"")</f>
        <v/>
      </c>
      <c r="M635" s="25" t="inlineStr">
        <is>
          <t>2.5.12</t>
        </is>
      </c>
      <c r="N635" s="25">
        <f>IF(J635&gt;300,1,0)</f>
        <v/>
      </c>
      <c r="O635" s="25">
        <f>IF(J635&gt;600,1,0)</f>
        <v/>
      </c>
      <c r="P635" s="25">
        <f>IF(H635&gt;0,J635,"")</f>
        <v/>
      </c>
      <c r="Q635" s="25">
        <f>TEXT(A635,"YYYY-MM-DD HH")</f>
        <v/>
      </c>
      <c r="R635" s="25">
        <f>COUNTIF($Q$2:$Q$5295,Q635)</f>
        <v/>
      </c>
      <c r="S635" s="25">
        <f>IF(R635&lt;=2,"1-2",IF(R635&lt;=5,"3-5",IF(R635&lt;=10,"6-10","11+")))</f>
        <v/>
      </c>
    </row>
    <row r="636">
      <c r="A636" s="39" t="n">
        <v>46160.68328703703</v>
      </c>
      <c r="B636" s="25">
        <f>TEXT(A636,"YYYY-MM")</f>
        <v/>
      </c>
      <c r="C636" s="25">
        <f>TEXT(A636,"MMM-YYYY")</f>
        <v/>
      </c>
      <c r="D636" s="40">
        <f>INT(A636)-WEEKDAY(A636,2)+1</f>
        <v/>
      </c>
      <c r="E636" s="25" t="inlineStr">
        <is>
          <t>vraina</t>
        </is>
      </c>
      <c r="F636" s="25" t="n">
        <v>170</v>
      </c>
      <c r="G636" s="25" t="n">
        <v>2</v>
      </c>
      <c r="H636" s="25" t="n">
        <v>10</v>
      </c>
      <c r="I636" s="25" t="inlineStr">
        <is>
          <t>3 minute(s) and 42 second(s)</t>
        </is>
      </c>
      <c r="J636" s="25">
        <f>IFERROR(VALUE(TRIM(LEFT(I636,FIND("minute",I636)-1)))*60,0)+IFERROR(VALUE(SUBSTITUTE(MID(I636,IFERROR(FIND("and",I636)+3,1),20),"second(s)","")),0)</f>
        <v/>
      </c>
      <c r="K636" s="41">
        <f>J636/60</f>
        <v/>
      </c>
      <c r="L636" s="41">
        <f>IFERROR(J636/H636,"")</f>
        <v/>
      </c>
      <c r="M636" s="25" t="inlineStr">
        <is>
          <t>2.5.12</t>
        </is>
      </c>
      <c r="N636" s="25">
        <f>IF(J636&gt;300,1,0)</f>
        <v/>
      </c>
      <c r="O636" s="25">
        <f>IF(J636&gt;600,1,0)</f>
        <v/>
      </c>
      <c r="P636" s="25">
        <f>IF(H636&gt;0,J636,"")</f>
        <v/>
      </c>
      <c r="Q636" s="25">
        <f>TEXT(A636,"YYYY-MM-DD HH")</f>
        <v/>
      </c>
      <c r="R636" s="25">
        <f>COUNTIF($Q$2:$Q$5295,Q636)</f>
        <v/>
      </c>
      <c r="S636" s="25">
        <f>IF(R636&lt;=2,"1-2",IF(R636&lt;=5,"3-5",IF(R636&lt;=10,"6-10","11+")))</f>
        <v/>
      </c>
    </row>
    <row r="637">
      <c r="A637" s="39" t="n">
        <v>46160.68766203704</v>
      </c>
      <c r="B637" s="25">
        <f>TEXT(A637,"YYYY-MM")</f>
        <v/>
      </c>
      <c r="C637" s="25">
        <f>TEXT(A637,"MMM-YYYY")</f>
        <v/>
      </c>
      <c r="D637" s="40">
        <f>INT(A637)-WEEKDAY(A637,2)+1</f>
        <v/>
      </c>
      <c r="E637" s="25" t="inlineStr">
        <is>
          <t>hsindwani</t>
        </is>
      </c>
      <c r="F637" s="25" t="n">
        <v>97679</v>
      </c>
      <c r="G637" s="25" t="n">
        <v>3</v>
      </c>
      <c r="H637" s="25" t="n">
        <v>17</v>
      </c>
      <c r="I637" s="25" t="inlineStr">
        <is>
          <t>5 minute(s) and 13 second(s)</t>
        </is>
      </c>
      <c r="J637" s="25">
        <f>IFERROR(VALUE(TRIM(LEFT(I637,FIND("minute",I637)-1)))*60,0)+IFERROR(VALUE(SUBSTITUTE(MID(I637,IFERROR(FIND("and",I637)+3,1),20),"second(s)","")),0)</f>
        <v/>
      </c>
      <c r="K637" s="41">
        <f>J637/60</f>
        <v/>
      </c>
      <c r="L637" s="41">
        <f>IFERROR(J637/H637,"")</f>
        <v/>
      </c>
      <c r="M637" s="25" t="inlineStr">
        <is>
          <t>2.5.12</t>
        </is>
      </c>
      <c r="N637" s="25">
        <f>IF(J637&gt;300,1,0)</f>
        <v/>
      </c>
      <c r="O637" s="25">
        <f>IF(J637&gt;600,1,0)</f>
        <v/>
      </c>
      <c r="P637" s="25">
        <f>IF(H637&gt;0,J637,"")</f>
        <v/>
      </c>
      <c r="Q637" s="25">
        <f>TEXT(A637,"YYYY-MM-DD HH")</f>
        <v/>
      </c>
      <c r="R637" s="25">
        <f>COUNTIF($Q$2:$Q$5295,Q637)</f>
        <v/>
      </c>
      <c r="S637" s="25">
        <f>IF(R637&lt;=2,"1-2",IF(R637&lt;=5,"3-5",IF(R637&lt;=10,"6-10","11+")))</f>
        <v/>
      </c>
    </row>
    <row r="638">
      <c r="A638" s="39" t="n">
        <v>46160.87322916667</v>
      </c>
      <c r="B638" s="25">
        <f>TEXT(A638,"YYYY-MM")</f>
        <v/>
      </c>
      <c r="C638" s="25">
        <f>TEXT(A638,"MMM-YYYY")</f>
        <v/>
      </c>
      <c r="D638" s="40">
        <f>INT(A638)-WEEKDAY(A638,2)+1</f>
        <v/>
      </c>
      <c r="E638" s="25" t="inlineStr">
        <is>
          <t>sswati</t>
        </is>
      </c>
      <c r="F638" s="25" t="n">
        <v>97</v>
      </c>
      <c r="G638" s="25" t="n">
        <v>1</v>
      </c>
      <c r="H638" s="25" t="n">
        <v>7</v>
      </c>
      <c r="I638" s="25" t="inlineStr">
        <is>
          <t>1 minute(s) and 31 second(s)</t>
        </is>
      </c>
      <c r="J638" s="25">
        <f>IFERROR(VALUE(TRIM(LEFT(I638,FIND("minute",I638)-1)))*60,0)+IFERROR(VALUE(SUBSTITUTE(MID(I638,IFERROR(FIND("and",I638)+3,1),20),"second(s)","")),0)</f>
        <v/>
      </c>
      <c r="K638" s="41">
        <f>J638/60</f>
        <v/>
      </c>
      <c r="L638" s="41">
        <f>IFERROR(J638/H638,"")</f>
        <v/>
      </c>
      <c r="M638" s="25" t="inlineStr">
        <is>
          <t>2.5.12</t>
        </is>
      </c>
      <c r="N638" s="25">
        <f>IF(J638&gt;300,1,0)</f>
        <v/>
      </c>
      <c r="O638" s="25">
        <f>IF(J638&gt;600,1,0)</f>
        <v/>
      </c>
      <c r="P638" s="25">
        <f>IF(H638&gt;0,J638,"")</f>
        <v/>
      </c>
      <c r="Q638" s="25">
        <f>TEXT(A638,"YYYY-MM-DD HH")</f>
        <v/>
      </c>
      <c r="R638" s="25">
        <f>COUNTIF($Q$2:$Q$5295,Q638)</f>
        <v/>
      </c>
      <c r="S638" s="25">
        <f>IF(R638&lt;=2,"1-2",IF(R638&lt;=5,"3-5",IF(R638&lt;=10,"6-10","11+")))</f>
        <v/>
      </c>
    </row>
    <row r="639">
      <c r="A639" s="39" t="n">
        <v>46160.87767361111</v>
      </c>
      <c r="B639" s="25">
        <f>TEXT(A639,"YYYY-MM")</f>
        <v/>
      </c>
      <c r="C639" s="25">
        <f>TEXT(A639,"MMM-YYYY")</f>
        <v/>
      </c>
      <c r="D639" s="40">
        <f>INT(A639)-WEEKDAY(A639,2)+1</f>
        <v/>
      </c>
      <c r="E639" s="25" t="inlineStr">
        <is>
          <t>dchoudhury</t>
        </is>
      </c>
      <c r="F639" s="25" t="n">
        <v>8</v>
      </c>
      <c r="G639" s="25" t="n">
        <v>1</v>
      </c>
      <c r="H639" s="25" t="n">
        <v>7</v>
      </c>
      <c r="I639" s="25" t="inlineStr">
        <is>
          <t>3 minute(s) and 26 second(s)</t>
        </is>
      </c>
      <c r="J639" s="25">
        <f>IFERROR(VALUE(TRIM(LEFT(I639,FIND("minute",I639)-1)))*60,0)+IFERROR(VALUE(SUBSTITUTE(MID(I639,IFERROR(FIND("and",I639)+3,1),20),"second(s)","")),0)</f>
        <v/>
      </c>
      <c r="K639" s="41">
        <f>J639/60</f>
        <v/>
      </c>
      <c r="L639" s="41">
        <f>IFERROR(J639/H639,"")</f>
        <v/>
      </c>
      <c r="M639" s="25" t="inlineStr">
        <is>
          <t>2.5.12</t>
        </is>
      </c>
      <c r="N639" s="25">
        <f>IF(J639&gt;300,1,0)</f>
        <v/>
      </c>
      <c r="O639" s="25">
        <f>IF(J639&gt;600,1,0)</f>
        <v/>
      </c>
      <c r="P639" s="25">
        <f>IF(H639&gt;0,J639,"")</f>
        <v/>
      </c>
      <c r="Q639" s="25">
        <f>TEXT(A639,"YYYY-MM-DD HH")</f>
        <v/>
      </c>
      <c r="R639" s="25">
        <f>COUNTIF($Q$2:$Q$5295,Q639)</f>
        <v/>
      </c>
      <c r="S639" s="25">
        <f>IF(R639&lt;=2,"1-2",IF(R639&lt;=5,"3-5",IF(R639&lt;=10,"6-10","11+")))</f>
        <v/>
      </c>
    </row>
    <row r="640">
      <c r="A640" s="39" t="n">
        <v>46160.92758101852</v>
      </c>
      <c r="B640" s="25">
        <f>TEXT(A640,"YYYY-MM")</f>
        <v/>
      </c>
      <c r="C640" s="25">
        <f>TEXT(A640,"MMM-YYYY")</f>
        <v/>
      </c>
      <c r="D640" s="40">
        <f>INT(A640)-WEEKDAY(A640,2)+1</f>
        <v/>
      </c>
      <c r="E640" s="25" t="inlineStr">
        <is>
          <t>dchoudhury</t>
        </is>
      </c>
      <c r="F640" s="25" t="n">
        <v>9</v>
      </c>
      <c r="G640" s="25" t="n">
        <v>1</v>
      </c>
      <c r="H640" s="25" t="n">
        <v>7</v>
      </c>
      <c r="I640" s="25" t="inlineStr">
        <is>
          <t>3 minute(s) and 16 second(s)</t>
        </is>
      </c>
      <c r="J640" s="25">
        <f>IFERROR(VALUE(TRIM(LEFT(I640,FIND("minute",I640)-1)))*60,0)+IFERROR(VALUE(SUBSTITUTE(MID(I640,IFERROR(FIND("and",I640)+3,1),20),"second(s)","")),0)</f>
        <v/>
      </c>
      <c r="K640" s="41">
        <f>J640/60</f>
        <v/>
      </c>
      <c r="L640" s="41">
        <f>IFERROR(J640/H640,"")</f>
        <v/>
      </c>
      <c r="M640" s="25" t="inlineStr">
        <is>
          <t>2.5.12</t>
        </is>
      </c>
      <c r="N640" s="25">
        <f>IF(J640&gt;300,1,0)</f>
        <v/>
      </c>
      <c r="O640" s="25">
        <f>IF(J640&gt;600,1,0)</f>
        <v/>
      </c>
      <c r="P640" s="25">
        <f>IF(H640&gt;0,J640,"")</f>
        <v/>
      </c>
      <c r="Q640" s="25">
        <f>TEXT(A640,"YYYY-MM-DD HH")</f>
        <v/>
      </c>
      <c r="R640" s="25">
        <f>COUNTIF($Q$2:$Q$5295,Q640)</f>
        <v/>
      </c>
      <c r="S640" s="25">
        <f>IF(R640&lt;=2,"1-2",IF(R640&lt;=5,"3-5",IF(R640&lt;=10,"6-10","11+")))</f>
        <v/>
      </c>
    </row>
    <row r="641">
      <c r="A641" s="39" t="n">
        <v>46160.94653935185</v>
      </c>
      <c r="B641" s="25">
        <f>TEXT(A641,"YYYY-MM")</f>
        <v/>
      </c>
      <c r="C641" s="25">
        <f>TEXT(A641,"MMM-YYYY")</f>
        <v/>
      </c>
      <c r="D641" s="40">
        <f>INT(A641)-WEEKDAY(A641,2)+1</f>
        <v/>
      </c>
      <c r="E641" s="25" t="inlineStr">
        <is>
          <t>sswati</t>
        </is>
      </c>
      <c r="F641" s="25" t="n">
        <v>100</v>
      </c>
      <c r="G641" s="25" t="n">
        <v>1</v>
      </c>
      <c r="H641" s="25" t="n">
        <v>7</v>
      </c>
      <c r="I641" s="25" t="inlineStr">
        <is>
          <t>1 minute(s) and 46 second(s)</t>
        </is>
      </c>
      <c r="J641" s="25">
        <f>IFERROR(VALUE(TRIM(LEFT(I641,FIND("minute",I641)-1)))*60,0)+IFERROR(VALUE(SUBSTITUTE(MID(I641,IFERROR(FIND("and",I641)+3,1),20),"second(s)","")),0)</f>
        <v/>
      </c>
      <c r="K641" s="41">
        <f>J641/60</f>
        <v/>
      </c>
      <c r="L641" s="41">
        <f>IFERROR(J641/H641,"")</f>
        <v/>
      </c>
      <c r="M641" s="25" t="inlineStr">
        <is>
          <t>2.5.12</t>
        </is>
      </c>
      <c r="N641" s="25">
        <f>IF(J641&gt;300,1,0)</f>
        <v/>
      </c>
      <c r="O641" s="25">
        <f>IF(J641&gt;600,1,0)</f>
        <v/>
      </c>
      <c r="P641" s="25">
        <f>IF(H641&gt;0,J641,"")</f>
        <v/>
      </c>
      <c r="Q641" s="25">
        <f>TEXT(A641,"YYYY-MM-DD HH")</f>
        <v/>
      </c>
      <c r="R641" s="25">
        <f>COUNTIF($Q$2:$Q$5295,Q641)</f>
        <v/>
      </c>
      <c r="S641" s="25">
        <f>IF(R641&lt;=2,"1-2",IF(R641&lt;=5,"3-5",IF(R641&lt;=10,"6-10","11+")))</f>
        <v/>
      </c>
    </row>
    <row r="642">
      <c r="A642" s="39" t="n">
        <v>46160.96057870371</v>
      </c>
      <c r="B642" s="25">
        <f>TEXT(A642,"YYYY-MM")</f>
        <v/>
      </c>
      <c r="C642" s="25">
        <f>TEXT(A642,"MMM-YYYY")</f>
        <v/>
      </c>
      <c r="D642" s="40">
        <f>INT(A642)-WEEKDAY(A642,2)+1</f>
        <v/>
      </c>
      <c r="E642" s="25" t="inlineStr">
        <is>
          <t>sswati</t>
        </is>
      </c>
      <c r="F642" s="25" t="n">
        <v>102</v>
      </c>
      <c r="G642" s="25" t="n">
        <v>1</v>
      </c>
      <c r="H642" s="25" t="n">
        <v>6</v>
      </c>
      <c r="I642" s="25" t="inlineStr">
        <is>
          <t>53 second(s)</t>
        </is>
      </c>
      <c r="J642" s="25">
        <f>IFERROR(VALUE(TRIM(LEFT(I642,FIND("minute",I642)-1)))*60,0)+IFERROR(VALUE(SUBSTITUTE(MID(I642,IFERROR(FIND("and",I642)+3,1),20),"second(s)","")),0)</f>
        <v/>
      </c>
      <c r="K642" s="41">
        <f>J642/60</f>
        <v/>
      </c>
      <c r="L642" s="41">
        <f>IFERROR(J642/H642,"")</f>
        <v/>
      </c>
      <c r="M642" s="25" t="inlineStr">
        <is>
          <t>2.5.12</t>
        </is>
      </c>
      <c r="N642" s="25">
        <f>IF(J642&gt;300,1,0)</f>
        <v/>
      </c>
      <c r="O642" s="25">
        <f>IF(J642&gt;600,1,0)</f>
        <v/>
      </c>
      <c r="P642" s="25">
        <f>IF(H642&gt;0,J642,"")</f>
        <v/>
      </c>
      <c r="Q642" s="25">
        <f>TEXT(A642,"YYYY-MM-DD HH")</f>
        <v/>
      </c>
      <c r="R642" s="25">
        <f>COUNTIF($Q$2:$Q$5295,Q642)</f>
        <v/>
      </c>
      <c r="S642" s="25">
        <f>IF(R642&lt;=2,"1-2",IF(R642&lt;=5,"3-5",IF(R642&lt;=10,"6-10","11+")))</f>
        <v/>
      </c>
    </row>
    <row r="643">
      <c r="A643" s="39" t="n">
        <v>46160.96511574074</v>
      </c>
      <c r="B643" s="25">
        <f>TEXT(A643,"YYYY-MM")</f>
        <v/>
      </c>
      <c r="C643" s="25">
        <f>TEXT(A643,"MMM-YYYY")</f>
        <v/>
      </c>
      <c r="D643" s="40">
        <f>INT(A643)-WEEKDAY(A643,2)+1</f>
        <v/>
      </c>
      <c r="E643" s="25" t="inlineStr">
        <is>
          <t>asahoo</t>
        </is>
      </c>
      <c r="F643" s="25" t="n">
        <v>158</v>
      </c>
      <c r="G643" s="25" t="n">
        <v>1</v>
      </c>
      <c r="H643" s="25" t="n">
        <v>7</v>
      </c>
      <c r="I643" s="25" t="inlineStr">
        <is>
          <t>1 minute(s) and 37 second(s)</t>
        </is>
      </c>
      <c r="J643" s="25">
        <f>IFERROR(VALUE(TRIM(LEFT(I643,FIND("minute",I643)-1)))*60,0)+IFERROR(VALUE(SUBSTITUTE(MID(I643,IFERROR(FIND("and",I643)+3,1),20),"second(s)","")),0)</f>
        <v/>
      </c>
      <c r="K643" s="41">
        <f>J643/60</f>
        <v/>
      </c>
      <c r="L643" s="41">
        <f>IFERROR(J643/H643,"")</f>
        <v/>
      </c>
      <c r="M643" s="25" t="inlineStr">
        <is>
          <t>2.5.12</t>
        </is>
      </c>
      <c r="N643" s="25">
        <f>IF(J643&gt;300,1,0)</f>
        <v/>
      </c>
      <c r="O643" s="25">
        <f>IF(J643&gt;600,1,0)</f>
        <v/>
      </c>
      <c r="P643" s="25">
        <f>IF(H643&gt;0,J643,"")</f>
        <v/>
      </c>
      <c r="Q643" s="25">
        <f>TEXT(A643,"YYYY-MM-DD HH")</f>
        <v/>
      </c>
      <c r="R643" s="25">
        <f>COUNTIF($Q$2:$Q$5295,Q643)</f>
        <v/>
      </c>
      <c r="S643" s="25">
        <f>IF(R643&lt;=2,"1-2",IF(R643&lt;=5,"3-5",IF(R643&lt;=10,"6-10","11+")))</f>
        <v/>
      </c>
    </row>
    <row r="644">
      <c r="A644" s="39" t="n">
        <v>46160.96766203704</v>
      </c>
      <c r="B644" s="25">
        <f>TEXT(A644,"YYYY-MM")</f>
        <v/>
      </c>
      <c r="C644" s="25">
        <f>TEXT(A644,"MMM-YYYY")</f>
        <v/>
      </c>
      <c r="D644" s="40">
        <f>INT(A644)-WEEKDAY(A644,2)+1</f>
        <v/>
      </c>
      <c r="E644" s="25" t="inlineStr">
        <is>
          <t>dchoudhury</t>
        </is>
      </c>
      <c r="F644" s="25" t="n">
        <v>10</v>
      </c>
      <c r="G644" s="25" t="n">
        <v>1</v>
      </c>
      <c r="H644" s="25" t="n">
        <v>7</v>
      </c>
      <c r="I644" s="25" t="inlineStr">
        <is>
          <t>2 minute(s) and 14 second(s)</t>
        </is>
      </c>
      <c r="J644" s="25">
        <f>IFERROR(VALUE(TRIM(LEFT(I644,FIND("minute",I644)-1)))*60,0)+IFERROR(VALUE(SUBSTITUTE(MID(I644,IFERROR(FIND("and",I644)+3,1),20),"second(s)","")),0)</f>
        <v/>
      </c>
      <c r="K644" s="41">
        <f>J644/60</f>
        <v/>
      </c>
      <c r="L644" s="41">
        <f>IFERROR(J644/H644,"")</f>
        <v/>
      </c>
      <c r="M644" s="25" t="inlineStr">
        <is>
          <t>2.5.12</t>
        </is>
      </c>
      <c r="N644" s="25">
        <f>IF(J644&gt;300,1,0)</f>
        <v/>
      </c>
      <c r="O644" s="25">
        <f>IF(J644&gt;600,1,0)</f>
        <v/>
      </c>
      <c r="P644" s="25">
        <f>IF(H644&gt;0,J644,"")</f>
        <v/>
      </c>
      <c r="Q644" s="25">
        <f>TEXT(A644,"YYYY-MM-DD HH")</f>
        <v/>
      </c>
      <c r="R644" s="25">
        <f>COUNTIF($Q$2:$Q$5295,Q644)</f>
        <v/>
      </c>
      <c r="S644" s="25">
        <f>IF(R644&lt;=2,"1-2",IF(R644&lt;=5,"3-5",IF(R644&lt;=10,"6-10","11+")))</f>
        <v/>
      </c>
    </row>
    <row r="645">
      <c r="A645" s="39" t="n">
        <v>46160.97042824074</v>
      </c>
      <c r="B645" s="25">
        <f>TEXT(A645,"YYYY-MM")</f>
        <v/>
      </c>
      <c r="C645" s="25">
        <f>TEXT(A645,"MMM-YYYY")</f>
        <v/>
      </c>
      <c r="D645" s="40">
        <f>INT(A645)-WEEKDAY(A645,2)+1</f>
        <v/>
      </c>
      <c r="E645" s="25" t="inlineStr">
        <is>
          <t>asahoo</t>
        </is>
      </c>
      <c r="F645" s="25" t="n">
        <v>161</v>
      </c>
      <c r="G645" s="25" t="n">
        <v>1</v>
      </c>
      <c r="H645" s="25" t="n">
        <v>7</v>
      </c>
      <c r="I645" s="25" t="inlineStr">
        <is>
          <t>3 minute(s) and 7 second(s)</t>
        </is>
      </c>
      <c r="J645" s="25">
        <f>IFERROR(VALUE(TRIM(LEFT(I645,FIND("minute",I645)-1)))*60,0)+IFERROR(VALUE(SUBSTITUTE(MID(I645,IFERROR(FIND("and",I645)+3,1),20),"second(s)","")),0)</f>
        <v/>
      </c>
      <c r="K645" s="41">
        <f>J645/60</f>
        <v/>
      </c>
      <c r="L645" s="41">
        <f>IFERROR(J645/H645,"")</f>
        <v/>
      </c>
      <c r="M645" s="25" t="inlineStr">
        <is>
          <t>2.5.12</t>
        </is>
      </c>
      <c r="N645" s="25">
        <f>IF(J645&gt;300,1,0)</f>
        <v/>
      </c>
      <c r="O645" s="25">
        <f>IF(J645&gt;600,1,0)</f>
        <v/>
      </c>
      <c r="P645" s="25">
        <f>IF(H645&gt;0,J645,"")</f>
        <v/>
      </c>
      <c r="Q645" s="25">
        <f>TEXT(A645,"YYYY-MM-DD HH")</f>
        <v/>
      </c>
      <c r="R645" s="25">
        <f>COUNTIF($Q$2:$Q$5295,Q645)</f>
        <v/>
      </c>
      <c r="S645" s="25">
        <f>IF(R645&lt;=2,"1-2",IF(R645&lt;=5,"3-5",IF(R645&lt;=10,"6-10","11+")))</f>
        <v/>
      </c>
    </row>
    <row r="646">
      <c r="A646" s="39" t="n">
        <v>46160.97399305556</v>
      </c>
      <c r="B646" s="25">
        <f>TEXT(A646,"YYYY-MM")</f>
        <v/>
      </c>
      <c r="C646" s="25">
        <f>TEXT(A646,"MMM-YYYY")</f>
        <v/>
      </c>
      <c r="D646" s="40">
        <f>INT(A646)-WEEKDAY(A646,2)+1</f>
        <v/>
      </c>
      <c r="E646" s="25" t="inlineStr">
        <is>
          <t>sswati</t>
        </is>
      </c>
      <c r="F646" s="25" t="n">
        <v>106</v>
      </c>
      <c r="G646" s="25" t="n">
        <v>1</v>
      </c>
      <c r="H646" s="25" t="n">
        <v>7</v>
      </c>
      <c r="I646" s="25" t="inlineStr">
        <is>
          <t>1 minute(s) and 43 second(s)</t>
        </is>
      </c>
      <c r="J646" s="25">
        <f>IFERROR(VALUE(TRIM(LEFT(I646,FIND("minute",I646)-1)))*60,0)+IFERROR(VALUE(SUBSTITUTE(MID(I646,IFERROR(FIND("and",I646)+3,1),20),"second(s)","")),0)</f>
        <v/>
      </c>
      <c r="K646" s="41">
        <f>J646/60</f>
        <v/>
      </c>
      <c r="L646" s="41">
        <f>IFERROR(J646/H646,"")</f>
        <v/>
      </c>
      <c r="M646" s="25" t="inlineStr">
        <is>
          <t>2.5.12</t>
        </is>
      </c>
      <c r="N646" s="25">
        <f>IF(J646&gt;300,1,0)</f>
        <v/>
      </c>
      <c r="O646" s="25">
        <f>IF(J646&gt;600,1,0)</f>
        <v/>
      </c>
      <c r="P646" s="25">
        <f>IF(H646&gt;0,J646,"")</f>
        <v/>
      </c>
      <c r="Q646" s="25">
        <f>TEXT(A646,"YYYY-MM-DD HH")</f>
        <v/>
      </c>
      <c r="R646" s="25">
        <f>COUNTIF($Q$2:$Q$5295,Q646)</f>
        <v/>
      </c>
      <c r="S646" s="25">
        <f>IF(R646&lt;=2,"1-2",IF(R646&lt;=5,"3-5",IF(R646&lt;=10,"6-10","11+")))</f>
        <v/>
      </c>
    </row>
    <row r="647">
      <c r="A647" s="39" t="n">
        <v>46161.03429398148</v>
      </c>
      <c r="B647" s="25">
        <f>TEXT(A647,"YYYY-MM")</f>
        <v/>
      </c>
      <c r="C647" s="25">
        <f>TEXT(A647,"MMM-YYYY")</f>
        <v/>
      </c>
      <c r="D647" s="40">
        <f>INT(A647)-WEEKDAY(A647,2)+1</f>
        <v/>
      </c>
      <c r="E647" s="25" t="inlineStr">
        <is>
          <t>anusharma</t>
        </is>
      </c>
      <c r="F647" s="25" t="n">
        <v>142</v>
      </c>
      <c r="G647" s="25" t="n">
        <v>2</v>
      </c>
      <c r="H647" s="25" t="n">
        <v>11</v>
      </c>
      <c r="I647" s="25" t="inlineStr">
        <is>
          <t>2 minute(s) and 45 second(s)</t>
        </is>
      </c>
      <c r="J647" s="25">
        <f>IFERROR(VALUE(TRIM(LEFT(I647,FIND("minute",I647)-1)))*60,0)+IFERROR(VALUE(SUBSTITUTE(MID(I647,IFERROR(FIND("and",I647)+3,1),20),"second(s)","")),0)</f>
        <v/>
      </c>
      <c r="K647" s="41">
        <f>J647/60</f>
        <v/>
      </c>
      <c r="L647" s="41">
        <f>IFERROR(J647/H647,"")</f>
        <v/>
      </c>
      <c r="M647" s="25" t="inlineStr">
        <is>
          <t>2.5.12</t>
        </is>
      </c>
      <c r="N647" s="25">
        <f>IF(J647&gt;300,1,0)</f>
        <v/>
      </c>
      <c r="O647" s="25">
        <f>IF(J647&gt;600,1,0)</f>
        <v/>
      </c>
      <c r="P647" s="25">
        <f>IF(H647&gt;0,J647,"")</f>
        <v/>
      </c>
      <c r="Q647" s="25">
        <f>TEXT(A647,"YYYY-MM-DD HH")</f>
        <v/>
      </c>
      <c r="R647" s="25">
        <f>COUNTIF($Q$2:$Q$5295,Q647)</f>
        <v/>
      </c>
      <c r="S647" s="25">
        <f>IF(R647&lt;=2,"1-2",IF(R647&lt;=5,"3-5",IF(R647&lt;=10,"6-10","11+")))</f>
        <v/>
      </c>
    </row>
    <row r="648">
      <c r="A648" s="39" t="n">
        <v>46161.06556712963</v>
      </c>
      <c r="B648" s="25">
        <f>TEXT(A648,"YYYY-MM")</f>
        <v/>
      </c>
      <c r="C648" s="25">
        <f>TEXT(A648,"MMM-YYYY")</f>
        <v/>
      </c>
      <c r="D648" s="40">
        <f>INT(A648)-WEEKDAY(A648,2)+1</f>
        <v/>
      </c>
      <c r="E648" s="25" t="inlineStr">
        <is>
          <t>akumari</t>
        </is>
      </c>
      <c r="F648" s="25" t="n">
        <v>20</v>
      </c>
      <c r="G648" s="25" t="n">
        <v>1</v>
      </c>
      <c r="H648" s="25" t="n">
        <v>7</v>
      </c>
      <c r="I648" s="25" t="inlineStr">
        <is>
          <t>1 minute(s) and 7 second(s)</t>
        </is>
      </c>
      <c r="J648" s="25">
        <f>IFERROR(VALUE(TRIM(LEFT(I648,FIND("minute",I648)-1)))*60,0)+IFERROR(VALUE(SUBSTITUTE(MID(I648,IFERROR(FIND("and",I648)+3,1),20),"second(s)","")),0)</f>
        <v/>
      </c>
      <c r="K648" s="41">
        <f>J648/60</f>
        <v/>
      </c>
      <c r="L648" s="41">
        <f>IFERROR(J648/H648,"")</f>
        <v/>
      </c>
      <c r="M648" s="25" t="inlineStr">
        <is>
          <t>2.5.12</t>
        </is>
      </c>
      <c r="N648" s="25">
        <f>IF(J648&gt;300,1,0)</f>
        <v/>
      </c>
      <c r="O648" s="25">
        <f>IF(J648&gt;600,1,0)</f>
        <v/>
      </c>
      <c r="P648" s="25">
        <f>IF(H648&gt;0,J648,"")</f>
        <v/>
      </c>
      <c r="Q648" s="25">
        <f>TEXT(A648,"YYYY-MM-DD HH")</f>
        <v/>
      </c>
      <c r="R648" s="25">
        <f>COUNTIF($Q$2:$Q$5295,Q648)</f>
        <v/>
      </c>
      <c r="S648" s="25">
        <f>IF(R648&lt;=2,"1-2",IF(R648&lt;=5,"3-5",IF(R648&lt;=10,"6-10","11+")))</f>
        <v/>
      </c>
    </row>
    <row r="649">
      <c r="A649" s="39" t="n">
        <v>46161.06673611111</v>
      </c>
      <c r="B649" s="25">
        <f>TEXT(A649,"YYYY-MM")</f>
        <v/>
      </c>
      <c r="C649" s="25">
        <f>TEXT(A649,"MMM-YYYY")</f>
        <v/>
      </c>
      <c r="D649" s="40">
        <f>INT(A649)-WEEKDAY(A649,2)+1</f>
        <v/>
      </c>
      <c r="E649" s="25" t="inlineStr">
        <is>
          <t>ns</t>
        </is>
      </c>
      <c r="F649" s="25" t="n">
        <v>73801</v>
      </c>
      <c r="G649" s="25" t="n">
        <v>2</v>
      </c>
      <c r="H649" s="25" t="n">
        <v>12</v>
      </c>
      <c r="I649" s="25" t="inlineStr">
        <is>
          <t>2 minute(s) and 42 second(s)</t>
        </is>
      </c>
      <c r="J649" s="25">
        <f>IFERROR(VALUE(TRIM(LEFT(I649,FIND("minute",I649)-1)))*60,0)+IFERROR(VALUE(SUBSTITUTE(MID(I649,IFERROR(FIND("and",I649)+3,1),20),"second(s)","")),0)</f>
        <v/>
      </c>
      <c r="K649" s="41">
        <f>J649/60</f>
        <v/>
      </c>
      <c r="L649" s="41">
        <f>IFERROR(J649/H649,"")</f>
        <v/>
      </c>
      <c r="M649" s="25" t="inlineStr">
        <is>
          <t>2.5.12</t>
        </is>
      </c>
      <c r="N649" s="25">
        <f>IF(J649&gt;300,1,0)</f>
        <v/>
      </c>
      <c r="O649" s="25">
        <f>IF(J649&gt;600,1,0)</f>
        <v/>
      </c>
      <c r="P649" s="25">
        <f>IF(H649&gt;0,J649,"")</f>
        <v/>
      </c>
      <c r="Q649" s="25">
        <f>TEXT(A649,"YYYY-MM-DD HH")</f>
        <v/>
      </c>
      <c r="R649" s="25">
        <f>COUNTIF($Q$2:$Q$5295,Q649)</f>
        <v/>
      </c>
      <c r="S649" s="25">
        <f>IF(R649&lt;=2,"1-2",IF(R649&lt;=5,"3-5",IF(R649&lt;=10,"6-10","11+")))</f>
        <v/>
      </c>
    </row>
    <row r="650">
      <c r="A650" s="39" t="n">
        <v>46161.06706018518</v>
      </c>
      <c r="B650" s="25">
        <f>TEXT(A650,"YYYY-MM")</f>
        <v/>
      </c>
      <c r="C650" s="25">
        <f>TEXT(A650,"MMM-YYYY")</f>
        <v/>
      </c>
      <c r="D650" s="40">
        <f>INT(A650)-WEEKDAY(A650,2)+1</f>
        <v/>
      </c>
      <c r="E650" s="25" t="inlineStr">
        <is>
          <t>vreddy</t>
        </is>
      </c>
      <c r="F650" s="25" t="n">
        <v>39597</v>
      </c>
      <c r="G650" s="25" t="n">
        <v>1</v>
      </c>
      <c r="H650" s="25" t="n">
        <v>5</v>
      </c>
      <c r="I650" s="25" t="inlineStr">
        <is>
          <t>59 second(s)</t>
        </is>
      </c>
      <c r="J650" s="25">
        <f>IFERROR(VALUE(TRIM(LEFT(I650,FIND("minute",I650)-1)))*60,0)+IFERROR(VALUE(SUBSTITUTE(MID(I650,IFERROR(FIND("and",I650)+3,1),20),"second(s)","")),0)</f>
        <v/>
      </c>
      <c r="K650" s="41">
        <f>J650/60</f>
        <v/>
      </c>
      <c r="L650" s="41">
        <f>IFERROR(J650/H650,"")</f>
        <v/>
      </c>
      <c r="M650" s="25" t="inlineStr">
        <is>
          <t>2.5.12</t>
        </is>
      </c>
      <c r="N650" s="25">
        <f>IF(J650&gt;300,1,0)</f>
        <v/>
      </c>
      <c r="O650" s="25">
        <f>IF(J650&gt;600,1,0)</f>
        <v/>
      </c>
      <c r="P650" s="25">
        <f>IF(H650&gt;0,J650,"")</f>
        <v/>
      </c>
      <c r="Q650" s="25">
        <f>TEXT(A650,"YYYY-MM-DD HH")</f>
        <v/>
      </c>
      <c r="R650" s="25">
        <f>COUNTIF($Q$2:$Q$5295,Q650)</f>
        <v/>
      </c>
      <c r="S650" s="25">
        <f>IF(R650&lt;=2,"1-2",IF(R650&lt;=5,"3-5",IF(R650&lt;=10,"6-10","11+")))</f>
        <v/>
      </c>
    </row>
    <row r="651">
      <c r="A651" s="39" t="n">
        <v>46161.0727662037</v>
      </c>
      <c r="B651" s="25">
        <f>TEXT(A651,"YYYY-MM")</f>
        <v/>
      </c>
      <c r="C651" s="25">
        <f>TEXT(A651,"MMM-YYYY")</f>
        <v/>
      </c>
      <c r="D651" s="40">
        <f>INT(A651)-WEEKDAY(A651,2)+1</f>
        <v/>
      </c>
      <c r="E651" s="25" t="inlineStr">
        <is>
          <t>nbindu</t>
        </is>
      </c>
      <c r="F651" s="25" t="n">
        <v>372</v>
      </c>
      <c r="G651" s="25" t="n">
        <v>1</v>
      </c>
      <c r="H651" s="25" t="n">
        <v>5</v>
      </c>
      <c r="I651" s="25" t="inlineStr">
        <is>
          <t>2 minute(s) and 31 second(s)</t>
        </is>
      </c>
      <c r="J651" s="25">
        <f>IFERROR(VALUE(TRIM(LEFT(I651,FIND("minute",I651)-1)))*60,0)+IFERROR(VALUE(SUBSTITUTE(MID(I651,IFERROR(FIND("and",I651)+3,1),20),"second(s)","")),0)</f>
        <v/>
      </c>
      <c r="K651" s="41">
        <f>J651/60</f>
        <v/>
      </c>
      <c r="L651" s="41">
        <f>IFERROR(J651/H651,"")</f>
        <v/>
      </c>
      <c r="M651" s="25" t="inlineStr">
        <is>
          <t>2.5.12</t>
        </is>
      </c>
      <c r="N651" s="25">
        <f>IF(J651&gt;300,1,0)</f>
        <v/>
      </c>
      <c r="O651" s="25">
        <f>IF(J651&gt;600,1,0)</f>
        <v/>
      </c>
      <c r="P651" s="25">
        <f>IF(H651&gt;0,J651,"")</f>
        <v/>
      </c>
      <c r="Q651" s="25">
        <f>TEXT(A651,"YYYY-MM-DD HH")</f>
        <v/>
      </c>
      <c r="R651" s="25">
        <f>COUNTIF($Q$2:$Q$5295,Q651)</f>
        <v/>
      </c>
      <c r="S651" s="25">
        <f>IF(R651&lt;=2,"1-2",IF(R651&lt;=5,"3-5",IF(R651&lt;=10,"6-10","11+")))</f>
        <v/>
      </c>
    </row>
    <row r="652">
      <c r="A652" s="39" t="n">
        <v>46161.07385416667</v>
      </c>
      <c r="B652" s="25">
        <f>TEXT(A652,"YYYY-MM")</f>
        <v/>
      </c>
      <c r="C652" s="25">
        <f>TEXT(A652,"MMM-YYYY")</f>
        <v/>
      </c>
      <c r="D652" s="40">
        <f>INT(A652)-WEEKDAY(A652,2)+1</f>
        <v/>
      </c>
      <c r="E652" s="25" t="inlineStr">
        <is>
          <t>anusharma</t>
        </is>
      </c>
      <c r="F652" s="25" t="n">
        <v>144</v>
      </c>
      <c r="G652" s="25" t="n">
        <v>2</v>
      </c>
      <c r="H652" s="25" t="n">
        <v>8</v>
      </c>
      <c r="I652" s="25" t="inlineStr">
        <is>
          <t>2 minute(s) and 9 second(s)</t>
        </is>
      </c>
      <c r="J652" s="25">
        <f>IFERROR(VALUE(TRIM(LEFT(I652,FIND("minute",I652)-1)))*60,0)+IFERROR(VALUE(SUBSTITUTE(MID(I652,IFERROR(FIND("and",I652)+3,1),20),"second(s)","")),0)</f>
        <v/>
      </c>
      <c r="K652" s="41">
        <f>J652/60</f>
        <v/>
      </c>
      <c r="L652" s="41">
        <f>IFERROR(J652/H652,"")</f>
        <v/>
      </c>
      <c r="M652" s="25" t="inlineStr">
        <is>
          <t>2.5.12</t>
        </is>
      </c>
      <c r="N652" s="25">
        <f>IF(J652&gt;300,1,0)</f>
        <v/>
      </c>
      <c r="O652" s="25">
        <f>IF(J652&gt;600,1,0)</f>
        <v/>
      </c>
      <c r="P652" s="25">
        <f>IF(H652&gt;0,J652,"")</f>
        <v/>
      </c>
      <c r="Q652" s="25">
        <f>TEXT(A652,"YYYY-MM-DD HH")</f>
        <v/>
      </c>
      <c r="R652" s="25">
        <f>COUNTIF($Q$2:$Q$5295,Q652)</f>
        <v/>
      </c>
      <c r="S652" s="25">
        <f>IF(R652&lt;=2,"1-2",IF(R652&lt;=5,"3-5",IF(R652&lt;=10,"6-10","11+")))</f>
        <v/>
      </c>
    </row>
    <row r="653">
      <c r="A653" s="39" t="n">
        <v>46161.08278935185</v>
      </c>
      <c r="B653" s="25">
        <f>TEXT(A653,"YYYY-MM")</f>
        <v/>
      </c>
      <c r="C653" s="25">
        <f>TEXT(A653,"MMM-YYYY")</f>
        <v/>
      </c>
      <c r="D653" s="40">
        <f>INT(A653)-WEEKDAY(A653,2)+1</f>
        <v/>
      </c>
      <c r="E653" s="25" t="inlineStr">
        <is>
          <t>abhaskarkp</t>
        </is>
      </c>
      <c r="F653" s="25" t="n">
        <v>342</v>
      </c>
      <c r="G653" s="25" t="n">
        <v>1</v>
      </c>
      <c r="H653" s="25" t="n">
        <v>7</v>
      </c>
      <c r="I653" s="25" t="inlineStr">
        <is>
          <t>1 minute(s) and 50 second(s)</t>
        </is>
      </c>
      <c r="J653" s="25">
        <f>IFERROR(VALUE(TRIM(LEFT(I653,FIND("minute",I653)-1)))*60,0)+IFERROR(VALUE(SUBSTITUTE(MID(I653,IFERROR(FIND("and",I653)+3,1),20),"second(s)","")),0)</f>
        <v/>
      </c>
      <c r="K653" s="41">
        <f>J653/60</f>
        <v/>
      </c>
      <c r="L653" s="41">
        <f>IFERROR(J653/H653,"")</f>
        <v/>
      </c>
      <c r="M653" s="25" t="inlineStr">
        <is>
          <t>2.5.12</t>
        </is>
      </c>
      <c r="N653" s="25">
        <f>IF(J653&gt;300,1,0)</f>
        <v/>
      </c>
      <c r="O653" s="25">
        <f>IF(J653&gt;600,1,0)</f>
        <v/>
      </c>
      <c r="P653" s="25">
        <f>IF(H653&gt;0,J653,"")</f>
        <v/>
      </c>
      <c r="Q653" s="25">
        <f>TEXT(A653,"YYYY-MM-DD HH")</f>
        <v/>
      </c>
      <c r="R653" s="25">
        <f>COUNTIF($Q$2:$Q$5295,Q653)</f>
        <v/>
      </c>
      <c r="S653" s="25">
        <f>IF(R653&lt;=2,"1-2",IF(R653&lt;=5,"3-5",IF(R653&lt;=10,"6-10","11+")))</f>
        <v/>
      </c>
    </row>
    <row r="654">
      <c r="A654" s="39" t="n">
        <v>46161.08817129629</v>
      </c>
      <c r="B654" s="25">
        <f>TEXT(A654,"YYYY-MM")</f>
        <v/>
      </c>
      <c r="C654" s="25">
        <f>TEXT(A654,"MMM-YYYY")</f>
        <v/>
      </c>
      <c r="D654" s="40">
        <f>INT(A654)-WEEKDAY(A654,2)+1</f>
        <v/>
      </c>
      <c r="E654" s="25" t="inlineStr">
        <is>
          <t>nlnu</t>
        </is>
      </c>
      <c r="F654" s="25" t="n">
        <v>58</v>
      </c>
      <c r="G654" s="25" t="n">
        <v>1</v>
      </c>
      <c r="H654" s="25" t="n">
        <v>7</v>
      </c>
      <c r="I654" s="25" t="inlineStr">
        <is>
          <t>2 minute(s) and 44 second(s)</t>
        </is>
      </c>
      <c r="J654" s="25">
        <f>IFERROR(VALUE(TRIM(LEFT(I654,FIND("minute",I654)-1)))*60,0)+IFERROR(VALUE(SUBSTITUTE(MID(I654,IFERROR(FIND("and",I654)+3,1),20),"second(s)","")),0)</f>
        <v/>
      </c>
      <c r="K654" s="41">
        <f>J654/60</f>
        <v/>
      </c>
      <c r="L654" s="41">
        <f>IFERROR(J654/H654,"")</f>
        <v/>
      </c>
      <c r="M654" s="25" t="inlineStr">
        <is>
          <t>2.5.12</t>
        </is>
      </c>
      <c r="N654" s="25">
        <f>IF(J654&gt;300,1,0)</f>
        <v/>
      </c>
      <c r="O654" s="25">
        <f>IF(J654&gt;600,1,0)</f>
        <v/>
      </c>
      <c r="P654" s="25">
        <f>IF(H654&gt;0,J654,"")</f>
        <v/>
      </c>
      <c r="Q654" s="25">
        <f>TEXT(A654,"YYYY-MM-DD HH")</f>
        <v/>
      </c>
      <c r="R654" s="25">
        <f>COUNTIF($Q$2:$Q$5295,Q654)</f>
        <v/>
      </c>
      <c r="S654" s="25">
        <f>IF(R654&lt;=2,"1-2",IF(R654&lt;=5,"3-5",IF(R654&lt;=10,"6-10","11+")))</f>
        <v/>
      </c>
    </row>
    <row r="655">
      <c r="A655" s="39" t="n">
        <v>46161.09454861111</v>
      </c>
      <c r="B655" s="25">
        <f>TEXT(A655,"YYYY-MM")</f>
        <v/>
      </c>
      <c r="C655" s="25">
        <f>TEXT(A655,"MMM-YYYY")</f>
        <v/>
      </c>
      <c r="D655" s="40">
        <f>INT(A655)-WEEKDAY(A655,2)+1</f>
        <v/>
      </c>
      <c r="E655" s="25" t="inlineStr">
        <is>
          <t>akumari</t>
        </is>
      </c>
      <c r="F655" s="25" t="n">
        <v>349</v>
      </c>
      <c r="G655" s="25" t="n">
        <v>1</v>
      </c>
      <c r="H655" s="25" t="n">
        <v>7</v>
      </c>
      <c r="I655" s="25" t="inlineStr">
        <is>
          <t>1 minute(s) and 5 second(s)</t>
        </is>
      </c>
      <c r="J655" s="25">
        <f>IFERROR(VALUE(TRIM(LEFT(I655,FIND("minute",I655)-1)))*60,0)+IFERROR(VALUE(SUBSTITUTE(MID(I655,IFERROR(FIND("and",I655)+3,1),20),"second(s)","")),0)</f>
        <v/>
      </c>
      <c r="K655" s="41">
        <f>J655/60</f>
        <v/>
      </c>
      <c r="L655" s="41">
        <f>IFERROR(J655/H655,"")</f>
        <v/>
      </c>
      <c r="M655" s="25" t="inlineStr">
        <is>
          <t>2.5.12</t>
        </is>
      </c>
      <c r="N655" s="25">
        <f>IF(J655&gt;300,1,0)</f>
        <v/>
      </c>
      <c r="O655" s="25">
        <f>IF(J655&gt;600,1,0)</f>
        <v/>
      </c>
      <c r="P655" s="25">
        <f>IF(H655&gt;0,J655,"")</f>
        <v/>
      </c>
      <c r="Q655" s="25">
        <f>TEXT(A655,"YYYY-MM-DD HH")</f>
        <v/>
      </c>
      <c r="R655" s="25">
        <f>COUNTIF($Q$2:$Q$5295,Q655)</f>
        <v/>
      </c>
      <c r="S655" s="25">
        <f>IF(R655&lt;=2,"1-2",IF(R655&lt;=5,"3-5",IF(R655&lt;=10,"6-10","11+")))</f>
        <v/>
      </c>
    </row>
    <row r="656">
      <c r="A656" s="39" t="n">
        <v>46161.09670138889</v>
      </c>
      <c r="B656" s="25">
        <f>TEXT(A656,"YYYY-MM")</f>
        <v/>
      </c>
      <c r="C656" s="25">
        <f>TEXT(A656,"MMM-YYYY")</f>
        <v/>
      </c>
      <c r="D656" s="40">
        <f>INT(A656)-WEEKDAY(A656,2)+1</f>
        <v/>
      </c>
      <c r="E656" s="25" t="inlineStr">
        <is>
          <t>mgupta</t>
        </is>
      </c>
      <c r="F656" s="25" t="n">
        <v>114303</v>
      </c>
      <c r="G656" s="25" t="n">
        <v>7</v>
      </c>
      <c r="H656" s="25" t="n">
        <v>40</v>
      </c>
      <c r="I656" s="25" t="inlineStr">
        <is>
          <t>8 minute(s) and 27 second(s)</t>
        </is>
      </c>
      <c r="J656" s="25">
        <f>IFERROR(VALUE(TRIM(LEFT(I656,FIND("minute",I656)-1)))*60,0)+IFERROR(VALUE(SUBSTITUTE(MID(I656,IFERROR(FIND("and",I656)+3,1),20),"second(s)","")),0)</f>
        <v/>
      </c>
      <c r="K656" s="41">
        <f>J656/60</f>
        <v/>
      </c>
      <c r="L656" s="41">
        <f>IFERROR(J656/H656,"")</f>
        <v/>
      </c>
      <c r="M656" s="25" t="inlineStr">
        <is>
          <t>2.5.12</t>
        </is>
      </c>
      <c r="N656" s="25">
        <f>IF(J656&gt;300,1,0)</f>
        <v/>
      </c>
      <c r="O656" s="25">
        <f>IF(J656&gt;600,1,0)</f>
        <v/>
      </c>
      <c r="P656" s="25">
        <f>IF(H656&gt;0,J656,"")</f>
        <v/>
      </c>
      <c r="Q656" s="25">
        <f>TEXT(A656,"YYYY-MM-DD HH")</f>
        <v/>
      </c>
      <c r="R656" s="25">
        <f>COUNTIF($Q$2:$Q$5295,Q656)</f>
        <v/>
      </c>
      <c r="S656" s="25">
        <f>IF(R656&lt;=2,"1-2",IF(R656&lt;=5,"3-5",IF(R656&lt;=10,"6-10","11+")))</f>
        <v/>
      </c>
    </row>
    <row r="657">
      <c r="A657" s="39" t="n">
        <v>46161.10436342593</v>
      </c>
      <c r="B657" s="25">
        <f>TEXT(A657,"YYYY-MM")</f>
        <v/>
      </c>
      <c r="C657" s="25">
        <f>TEXT(A657,"MMM-YYYY")</f>
        <v/>
      </c>
      <c r="D657" s="40">
        <f>INT(A657)-WEEKDAY(A657,2)+1</f>
        <v/>
      </c>
      <c r="E657" s="25" t="inlineStr">
        <is>
          <t>shasikha</t>
        </is>
      </c>
      <c r="F657" s="25" t="n">
        <v>307</v>
      </c>
      <c r="G657" s="25" t="n">
        <v>1</v>
      </c>
      <c r="H657" s="25" t="n">
        <v>5</v>
      </c>
      <c r="I657" s="25" t="inlineStr">
        <is>
          <t>1 minute(s) and 42 second(s)</t>
        </is>
      </c>
      <c r="J657" s="25">
        <f>IFERROR(VALUE(TRIM(LEFT(I657,FIND("minute",I657)-1)))*60,0)+IFERROR(VALUE(SUBSTITUTE(MID(I657,IFERROR(FIND("and",I657)+3,1),20),"second(s)","")),0)</f>
        <v/>
      </c>
      <c r="K657" s="41">
        <f>J657/60</f>
        <v/>
      </c>
      <c r="L657" s="41">
        <f>IFERROR(J657/H657,"")</f>
        <v/>
      </c>
      <c r="M657" s="25" t="inlineStr">
        <is>
          <t>2.5.12</t>
        </is>
      </c>
      <c r="N657" s="25">
        <f>IF(J657&gt;300,1,0)</f>
        <v/>
      </c>
      <c r="O657" s="25">
        <f>IF(J657&gt;600,1,0)</f>
        <v/>
      </c>
      <c r="P657" s="25">
        <f>IF(H657&gt;0,J657,"")</f>
        <v/>
      </c>
      <c r="Q657" s="25">
        <f>TEXT(A657,"YYYY-MM-DD HH")</f>
        <v/>
      </c>
      <c r="R657" s="25">
        <f>COUNTIF($Q$2:$Q$5295,Q657)</f>
        <v/>
      </c>
      <c r="S657" s="25">
        <f>IF(R657&lt;=2,"1-2",IF(R657&lt;=5,"3-5",IF(R657&lt;=10,"6-10","11+")))</f>
        <v/>
      </c>
    </row>
    <row r="658">
      <c r="A658" s="39" t="n">
        <v>46161.1430787037</v>
      </c>
      <c r="B658" s="25">
        <f>TEXT(A658,"YYYY-MM")</f>
        <v/>
      </c>
      <c r="C658" s="25">
        <f>TEXT(A658,"MMM-YYYY")</f>
        <v/>
      </c>
      <c r="D658" s="40">
        <f>INT(A658)-WEEKDAY(A658,2)+1</f>
        <v/>
      </c>
      <c r="E658" s="25" t="inlineStr">
        <is>
          <t>taggarwal</t>
        </is>
      </c>
      <c r="F658" s="25" t="n">
        <v>95877</v>
      </c>
      <c r="G658" s="25" t="n">
        <v>2</v>
      </c>
      <c r="H658" s="25" t="n">
        <v>12</v>
      </c>
      <c r="I658" s="25" t="inlineStr">
        <is>
          <t>2 minute(s) and 41 second(s)</t>
        </is>
      </c>
      <c r="J658" s="25">
        <f>IFERROR(VALUE(TRIM(LEFT(I658,FIND("minute",I658)-1)))*60,0)+IFERROR(VALUE(SUBSTITUTE(MID(I658,IFERROR(FIND("and",I658)+3,1),20),"second(s)","")),0)</f>
        <v/>
      </c>
      <c r="K658" s="41">
        <f>J658/60</f>
        <v/>
      </c>
      <c r="L658" s="41">
        <f>IFERROR(J658/H658,"")</f>
        <v/>
      </c>
      <c r="M658" s="25" t="inlineStr">
        <is>
          <t>2.5.12</t>
        </is>
      </c>
      <c r="N658" s="25">
        <f>IF(J658&gt;300,1,0)</f>
        <v/>
      </c>
      <c r="O658" s="25">
        <f>IF(J658&gt;600,1,0)</f>
        <v/>
      </c>
      <c r="P658" s="25">
        <f>IF(H658&gt;0,J658,"")</f>
        <v/>
      </c>
      <c r="Q658" s="25">
        <f>TEXT(A658,"YYYY-MM-DD HH")</f>
        <v/>
      </c>
      <c r="R658" s="25">
        <f>COUNTIF($Q$2:$Q$5295,Q658)</f>
        <v/>
      </c>
      <c r="S658" s="25">
        <f>IF(R658&lt;=2,"1-2",IF(R658&lt;=5,"3-5",IF(R658&lt;=10,"6-10","11+")))</f>
        <v/>
      </c>
    </row>
    <row r="659">
      <c r="A659" s="39" t="n">
        <v>46161.14393518519</v>
      </c>
      <c r="B659" s="25">
        <f>TEXT(A659,"YYYY-MM")</f>
        <v/>
      </c>
      <c r="C659" s="25">
        <f>TEXT(A659,"MMM-YYYY")</f>
        <v/>
      </c>
      <c r="D659" s="40">
        <f>INT(A659)-WEEKDAY(A659,2)+1</f>
        <v/>
      </c>
      <c r="E659" s="25" t="inlineStr">
        <is>
          <t>ethomas</t>
        </is>
      </c>
      <c r="F659" s="25" t="n">
        <v>96116</v>
      </c>
      <c r="G659" s="25" t="n">
        <v>2</v>
      </c>
      <c r="H659" s="25" t="n">
        <v>8</v>
      </c>
      <c r="I659" s="25" t="inlineStr">
        <is>
          <t>1 minute(s) and 57 second(s)</t>
        </is>
      </c>
      <c r="J659" s="25">
        <f>IFERROR(VALUE(TRIM(LEFT(I659,FIND("minute",I659)-1)))*60,0)+IFERROR(VALUE(SUBSTITUTE(MID(I659,IFERROR(FIND("and",I659)+3,1),20),"second(s)","")),0)</f>
        <v/>
      </c>
      <c r="K659" s="41">
        <f>J659/60</f>
        <v/>
      </c>
      <c r="L659" s="41">
        <f>IFERROR(J659/H659,"")</f>
        <v/>
      </c>
      <c r="M659" s="25" t="inlineStr">
        <is>
          <t>2.5.12</t>
        </is>
      </c>
      <c r="N659" s="25">
        <f>IF(J659&gt;300,1,0)</f>
        <v/>
      </c>
      <c r="O659" s="25">
        <f>IF(J659&gt;600,1,0)</f>
        <v/>
      </c>
      <c r="P659" s="25">
        <f>IF(H659&gt;0,J659,"")</f>
        <v/>
      </c>
      <c r="Q659" s="25">
        <f>TEXT(A659,"YYYY-MM-DD HH")</f>
        <v/>
      </c>
      <c r="R659" s="25">
        <f>COUNTIF($Q$2:$Q$5295,Q659)</f>
        <v/>
      </c>
      <c r="S659" s="25">
        <f>IF(R659&lt;=2,"1-2",IF(R659&lt;=5,"3-5",IF(R659&lt;=10,"6-10","11+")))</f>
        <v/>
      </c>
    </row>
    <row r="660">
      <c r="A660" s="39" t="n">
        <v>46161.14728009259</v>
      </c>
      <c r="B660" s="25">
        <f>TEXT(A660,"YYYY-MM")</f>
        <v/>
      </c>
      <c r="C660" s="25">
        <f>TEXT(A660,"MMM-YYYY")</f>
        <v/>
      </c>
      <c r="D660" s="40">
        <f>INT(A660)-WEEKDAY(A660,2)+1</f>
        <v/>
      </c>
      <c r="E660" s="25" t="inlineStr">
        <is>
          <t>ptomar</t>
        </is>
      </c>
      <c r="F660" s="25" t="n">
        <v>129</v>
      </c>
      <c r="G660" s="25" t="n">
        <v>1</v>
      </c>
      <c r="H660" s="25" t="n">
        <v>5</v>
      </c>
      <c r="I660" s="25" t="inlineStr">
        <is>
          <t>34 second(s)</t>
        </is>
      </c>
      <c r="J660" s="25">
        <f>IFERROR(VALUE(TRIM(LEFT(I660,FIND("minute",I660)-1)))*60,0)+IFERROR(VALUE(SUBSTITUTE(MID(I660,IFERROR(FIND("and",I660)+3,1),20),"second(s)","")),0)</f>
        <v/>
      </c>
      <c r="K660" s="41">
        <f>J660/60</f>
        <v/>
      </c>
      <c r="L660" s="41">
        <f>IFERROR(J660/H660,"")</f>
        <v/>
      </c>
      <c r="M660" s="25" t="inlineStr">
        <is>
          <t>2.5.12</t>
        </is>
      </c>
      <c r="N660" s="25">
        <f>IF(J660&gt;300,1,0)</f>
        <v/>
      </c>
      <c r="O660" s="25">
        <f>IF(J660&gt;600,1,0)</f>
        <v/>
      </c>
      <c r="P660" s="25">
        <f>IF(H660&gt;0,J660,"")</f>
        <v/>
      </c>
      <c r="Q660" s="25">
        <f>TEXT(A660,"YYYY-MM-DD HH")</f>
        <v/>
      </c>
      <c r="R660" s="25">
        <f>COUNTIF($Q$2:$Q$5295,Q660)</f>
        <v/>
      </c>
      <c r="S660" s="25">
        <f>IF(R660&lt;=2,"1-2",IF(R660&lt;=5,"3-5",IF(R660&lt;=10,"6-10","11+")))</f>
        <v/>
      </c>
    </row>
    <row r="661">
      <c r="A661" s="39" t="n">
        <v>46161.14805555555</v>
      </c>
      <c r="B661" s="25">
        <f>TEXT(A661,"YYYY-MM")</f>
        <v/>
      </c>
      <c r="C661" s="25">
        <f>TEXT(A661,"MMM-YYYY")</f>
        <v/>
      </c>
      <c r="D661" s="40">
        <f>INT(A661)-WEEKDAY(A661,2)+1</f>
        <v/>
      </c>
      <c r="E661" s="25" t="inlineStr">
        <is>
          <t>ssrinivasan</t>
        </is>
      </c>
      <c r="F661" s="25" t="n">
        <v>49532</v>
      </c>
      <c r="G661" s="25" t="n">
        <v>1</v>
      </c>
      <c r="H661" s="25" t="n">
        <v>7</v>
      </c>
      <c r="I661" s="25" t="inlineStr">
        <is>
          <t>1 minute(s) and 38 second(s)</t>
        </is>
      </c>
      <c r="J661" s="25">
        <f>IFERROR(VALUE(TRIM(LEFT(I661,FIND("minute",I661)-1)))*60,0)+IFERROR(VALUE(SUBSTITUTE(MID(I661,IFERROR(FIND("and",I661)+3,1),20),"second(s)","")),0)</f>
        <v/>
      </c>
      <c r="K661" s="41">
        <f>J661/60</f>
        <v/>
      </c>
      <c r="L661" s="41">
        <f>IFERROR(J661/H661,"")</f>
        <v/>
      </c>
      <c r="M661" s="25" t="inlineStr">
        <is>
          <t>2.5.12</t>
        </is>
      </c>
      <c r="N661" s="25">
        <f>IF(J661&gt;300,1,0)</f>
        <v/>
      </c>
      <c r="O661" s="25">
        <f>IF(J661&gt;600,1,0)</f>
        <v/>
      </c>
      <c r="P661" s="25">
        <f>IF(H661&gt;0,J661,"")</f>
        <v/>
      </c>
      <c r="Q661" s="25">
        <f>TEXT(A661,"YYYY-MM-DD HH")</f>
        <v/>
      </c>
      <c r="R661" s="25">
        <f>COUNTIF($Q$2:$Q$5295,Q661)</f>
        <v/>
      </c>
      <c r="S661" s="25">
        <f>IF(R661&lt;=2,"1-2",IF(R661&lt;=5,"3-5",IF(R661&lt;=10,"6-10","11+")))</f>
        <v/>
      </c>
    </row>
    <row r="662">
      <c r="A662" s="39" t="n">
        <v>46161.14877314815</v>
      </c>
      <c r="B662" s="25">
        <f>TEXT(A662,"YYYY-MM")</f>
        <v/>
      </c>
      <c r="C662" s="25">
        <f>TEXT(A662,"MMM-YYYY")</f>
        <v/>
      </c>
      <c r="D662" s="40">
        <f>INT(A662)-WEEKDAY(A662,2)+1</f>
        <v/>
      </c>
      <c r="E662" s="25" t="inlineStr">
        <is>
          <t>shasikha</t>
        </is>
      </c>
      <c r="F662" s="25" t="n">
        <v>309</v>
      </c>
      <c r="G662" s="25" t="n">
        <v>1</v>
      </c>
      <c r="H662" s="25" t="n">
        <v>5</v>
      </c>
      <c r="I662" s="25" t="inlineStr">
        <is>
          <t>1 minute(s) and 13 second(s)</t>
        </is>
      </c>
      <c r="J662" s="25">
        <f>IFERROR(VALUE(TRIM(LEFT(I662,FIND("minute",I662)-1)))*60,0)+IFERROR(VALUE(SUBSTITUTE(MID(I662,IFERROR(FIND("and",I662)+3,1),20),"second(s)","")),0)</f>
        <v/>
      </c>
      <c r="K662" s="41">
        <f>J662/60</f>
        <v/>
      </c>
      <c r="L662" s="41">
        <f>IFERROR(J662/H662,"")</f>
        <v/>
      </c>
      <c r="M662" s="25" t="inlineStr">
        <is>
          <t>2.5.12</t>
        </is>
      </c>
      <c r="N662" s="25">
        <f>IF(J662&gt;300,1,0)</f>
        <v/>
      </c>
      <c r="O662" s="25">
        <f>IF(J662&gt;600,1,0)</f>
        <v/>
      </c>
      <c r="P662" s="25">
        <f>IF(H662&gt;0,J662,"")</f>
        <v/>
      </c>
      <c r="Q662" s="25">
        <f>TEXT(A662,"YYYY-MM-DD HH")</f>
        <v/>
      </c>
      <c r="R662" s="25">
        <f>COUNTIF($Q$2:$Q$5295,Q662)</f>
        <v/>
      </c>
      <c r="S662" s="25">
        <f>IF(R662&lt;=2,"1-2",IF(R662&lt;=5,"3-5",IF(R662&lt;=10,"6-10","11+")))</f>
        <v/>
      </c>
    </row>
    <row r="663">
      <c r="A663" s="39" t="n">
        <v>46161.15071759259</v>
      </c>
      <c r="B663" s="25">
        <f>TEXT(A663,"YYYY-MM")</f>
        <v/>
      </c>
      <c r="C663" s="25">
        <f>TEXT(A663,"MMM-YYYY")</f>
        <v/>
      </c>
      <c r="D663" s="40">
        <f>INT(A663)-WEEKDAY(A663,2)+1</f>
        <v/>
      </c>
      <c r="E663" s="25" t="inlineStr">
        <is>
          <t>vraina</t>
        </is>
      </c>
      <c r="F663" s="25" t="n">
        <v>167</v>
      </c>
      <c r="G663" s="25" t="n">
        <v>1</v>
      </c>
      <c r="H663" s="25" t="n">
        <v>5</v>
      </c>
      <c r="I663" s="25" t="inlineStr">
        <is>
          <t>1 minute(s) and 11 second(s)</t>
        </is>
      </c>
      <c r="J663" s="25">
        <f>IFERROR(VALUE(TRIM(LEFT(I663,FIND("minute",I663)-1)))*60,0)+IFERROR(VALUE(SUBSTITUTE(MID(I663,IFERROR(FIND("and",I663)+3,1),20),"second(s)","")),0)</f>
        <v/>
      </c>
      <c r="K663" s="41">
        <f>J663/60</f>
        <v/>
      </c>
      <c r="L663" s="41">
        <f>IFERROR(J663/H663,"")</f>
        <v/>
      </c>
      <c r="M663" s="25" t="inlineStr">
        <is>
          <t>2.5.12</t>
        </is>
      </c>
      <c r="N663" s="25">
        <f>IF(J663&gt;300,1,0)</f>
        <v/>
      </c>
      <c r="O663" s="25">
        <f>IF(J663&gt;600,1,0)</f>
        <v/>
      </c>
      <c r="P663" s="25">
        <f>IF(H663&gt;0,J663,"")</f>
        <v/>
      </c>
      <c r="Q663" s="25">
        <f>TEXT(A663,"YYYY-MM-DD HH")</f>
        <v/>
      </c>
      <c r="R663" s="25">
        <f>COUNTIF($Q$2:$Q$5295,Q663)</f>
        <v/>
      </c>
      <c r="S663" s="25">
        <f>IF(R663&lt;=2,"1-2",IF(R663&lt;=5,"3-5",IF(R663&lt;=10,"6-10","11+")))</f>
        <v/>
      </c>
    </row>
    <row r="664">
      <c r="A664" s="39" t="n">
        <v>46161.15616898148</v>
      </c>
      <c r="B664" s="25">
        <f>TEXT(A664,"YYYY-MM")</f>
        <v/>
      </c>
      <c r="C664" s="25">
        <f>TEXT(A664,"MMM-YYYY")</f>
        <v/>
      </c>
      <c r="D664" s="40">
        <f>INT(A664)-WEEKDAY(A664,2)+1</f>
        <v/>
      </c>
      <c r="E664" s="25" t="inlineStr">
        <is>
          <t>dbhattacharyya</t>
        </is>
      </c>
      <c r="F664" s="25" t="n">
        <v>94231</v>
      </c>
      <c r="G664" s="25" t="n">
        <v>5</v>
      </c>
      <c r="H664" s="25" t="n">
        <v>21</v>
      </c>
      <c r="I664" s="25" t="inlineStr">
        <is>
          <t>4 minute(s) and 27 second(s)</t>
        </is>
      </c>
      <c r="J664" s="25">
        <f>IFERROR(VALUE(TRIM(LEFT(I664,FIND("minute",I664)-1)))*60,0)+IFERROR(VALUE(SUBSTITUTE(MID(I664,IFERROR(FIND("and",I664)+3,1),20),"second(s)","")),0)</f>
        <v/>
      </c>
      <c r="K664" s="41">
        <f>J664/60</f>
        <v/>
      </c>
      <c r="L664" s="41">
        <f>IFERROR(J664/H664,"")</f>
        <v/>
      </c>
      <c r="M664" s="25" t="inlineStr">
        <is>
          <t>2.5.12</t>
        </is>
      </c>
      <c r="N664" s="25">
        <f>IF(J664&gt;300,1,0)</f>
        <v/>
      </c>
      <c r="O664" s="25">
        <f>IF(J664&gt;600,1,0)</f>
        <v/>
      </c>
      <c r="P664" s="25">
        <f>IF(H664&gt;0,J664,"")</f>
        <v/>
      </c>
      <c r="Q664" s="25">
        <f>TEXT(A664,"YYYY-MM-DD HH")</f>
        <v/>
      </c>
      <c r="R664" s="25">
        <f>COUNTIF($Q$2:$Q$5295,Q664)</f>
        <v/>
      </c>
      <c r="S664" s="25">
        <f>IF(R664&lt;=2,"1-2",IF(R664&lt;=5,"3-5",IF(R664&lt;=10,"6-10","11+")))</f>
        <v/>
      </c>
    </row>
    <row r="665">
      <c r="A665" s="39" t="n">
        <v>46161.16311342592</v>
      </c>
      <c r="B665" s="25">
        <f>TEXT(A665,"YYYY-MM")</f>
        <v/>
      </c>
      <c r="C665" s="25">
        <f>TEXT(A665,"MMM-YYYY")</f>
        <v/>
      </c>
      <c r="D665" s="40">
        <f>INT(A665)-WEEKDAY(A665,2)+1</f>
        <v/>
      </c>
      <c r="E665" s="25" t="inlineStr">
        <is>
          <t>vreddy</t>
        </is>
      </c>
      <c r="F665" s="25" t="n">
        <v>116432</v>
      </c>
      <c r="G665" s="25" t="n">
        <v>4</v>
      </c>
      <c r="H665" s="25" t="n">
        <v>15</v>
      </c>
      <c r="I665" s="25" t="inlineStr">
        <is>
          <t>3 minute(s) and 28 second(s)</t>
        </is>
      </c>
      <c r="J665" s="25">
        <f>IFERROR(VALUE(TRIM(LEFT(I665,FIND("minute",I665)-1)))*60,0)+IFERROR(VALUE(SUBSTITUTE(MID(I665,IFERROR(FIND("and",I665)+3,1),20),"second(s)","")),0)</f>
        <v/>
      </c>
      <c r="K665" s="41">
        <f>J665/60</f>
        <v/>
      </c>
      <c r="L665" s="41">
        <f>IFERROR(J665/H665,"")</f>
        <v/>
      </c>
      <c r="M665" s="25" t="inlineStr">
        <is>
          <t>2.5.12</t>
        </is>
      </c>
      <c r="N665" s="25">
        <f>IF(J665&gt;300,1,0)</f>
        <v/>
      </c>
      <c r="O665" s="25">
        <f>IF(J665&gt;600,1,0)</f>
        <v/>
      </c>
      <c r="P665" s="25">
        <f>IF(H665&gt;0,J665,"")</f>
        <v/>
      </c>
      <c r="Q665" s="25">
        <f>TEXT(A665,"YYYY-MM-DD HH")</f>
        <v/>
      </c>
      <c r="R665" s="25">
        <f>COUNTIF($Q$2:$Q$5295,Q665)</f>
        <v/>
      </c>
      <c r="S665" s="25">
        <f>IF(R665&lt;=2,"1-2",IF(R665&lt;=5,"3-5",IF(R665&lt;=10,"6-10","11+")))</f>
        <v/>
      </c>
    </row>
    <row r="666">
      <c r="A666" s="39" t="n">
        <v>46161.16767361111</v>
      </c>
      <c r="B666" s="25">
        <f>TEXT(A666,"YYYY-MM")</f>
        <v/>
      </c>
      <c r="C666" s="25">
        <f>TEXT(A666,"MMM-YYYY")</f>
        <v/>
      </c>
      <c r="D666" s="40">
        <f>INT(A666)-WEEKDAY(A666,2)+1</f>
        <v/>
      </c>
      <c r="E666" s="25" t="inlineStr">
        <is>
          <t>mgupta</t>
        </is>
      </c>
      <c r="F666" s="25" t="n">
        <v>7735</v>
      </c>
      <c r="G666" s="25" t="n">
        <v>1</v>
      </c>
      <c r="H666" s="25" t="n">
        <v>7</v>
      </c>
      <c r="I666" s="25" t="inlineStr">
        <is>
          <t>1 minute(s) and 27 second(s)</t>
        </is>
      </c>
      <c r="J666" s="25">
        <f>IFERROR(VALUE(TRIM(LEFT(I666,FIND("minute",I666)-1)))*60,0)+IFERROR(VALUE(SUBSTITUTE(MID(I666,IFERROR(FIND("and",I666)+3,1),20),"second(s)","")),0)</f>
        <v/>
      </c>
      <c r="K666" s="41">
        <f>J666/60</f>
        <v/>
      </c>
      <c r="L666" s="41">
        <f>IFERROR(J666/H666,"")</f>
        <v/>
      </c>
      <c r="M666" s="25" t="inlineStr">
        <is>
          <t>2.5.12</t>
        </is>
      </c>
      <c r="N666" s="25">
        <f>IF(J666&gt;300,1,0)</f>
        <v/>
      </c>
      <c r="O666" s="25">
        <f>IF(J666&gt;600,1,0)</f>
        <v/>
      </c>
      <c r="P666" s="25">
        <f>IF(H666&gt;0,J666,"")</f>
        <v/>
      </c>
      <c r="Q666" s="25">
        <f>TEXT(A666,"YYYY-MM-DD HH")</f>
        <v/>
      </c>
      <c r="R666" s="25">
        <f>COUNTIF($Q$2:$Q$5295,Q666)</f>
        <v/>
      </c>
      <c r="S666" s="25">
        <f>IF(R666&lt;=2,"1-2",IF(R666&lt;=5,"3-5",IF(R666&lt;=10,"6-10","11+")))</f>
        <v/>
      </c>
    </row>
    <row r="667">
      <c r="A667" s="39" t="n">
        <v>46161.1696875</v>
      </c>
      <c r="B667" s="25">
        <f>TEXT(A667,"YYYY-MM")</f>
        <v/>
      </c>
      <c r="C667" s="25">
        <f>TEXT(A667,"MMM-YYYY")</f>
        <v/>
      </c>
      <c r="D667" s="40">
        <f>INT(A667)-WEEKDAY(A667,2)+1</f>
        <v/>
      </c>
      <c r="E667" s="25" t="inlineStr">
        <is>
          <t>shassan</t>
        </is>
      </c>
      <c r="F667" s="25" t="n">
        <v>314</v>
      </c>
      <c r="G667" s="25" t="n">
        <v>1</v>
      </c>
      <c r="H667" s="25" t="n">
        <v>7</v>
      </c>
      <c r="I667" s="25" t="inlineStr">
        <is>
          <t>1 minute(s) and 26 second(s)</t>
        </is>
      </c>
      <c r="J667" s="25">
        <f>IFERROR(VALUE(TRIM(LEFT(I667,FIND("minute",I667)-1)))*60,0)+IFERROR(VALUE(SUBSTITUTE(MID(I667,IFERROR(FIND("and",I667)+3,1),20),"second(s)","")),0)</f>
        <v/>
      </c>
      <c r="K667" s="41">
        <f>J667/60</f>
        <v/>
      </c>
      <c r="L667" s="41">
        <f>IFERROR(J667/H667,"")</f>
        <v/>
      </c>
      <c r="M667" s="25" t="inlineStr">
        <is>
          <t>2.5.12</t>
        </is>
      </c>
      <c r="N667" s="25">
        <f>IF(J667&gt;300,1,0)</f>
        <v/>
      </c>
      <c r="O667" s="25">
        <f>IF(J667&gt;600,1,0)</f>
        <v/>
      </c>
      <c r="P667" s="25">
        <f>IF(H667&gt;0,J667,"")</f>
        <v/>
      </c>
      <c r="Q667" s="25">
        <f>TEXT(A667,"YYYY-MM-DD HH")</f>
        <v/>
      </c>
      <c r="R667" s="25">
        <f>COUNTIF($Q$2:$Q$5295,Q667)</f>
        <v/>
      </c>
      <c r="S667" s="25">
        <f>IF(R667&lt;=2,"1-2",IF(R667&lt;=5,"3-5",IF(R667&lt;=10,"6-10","11+")))</f>
        <v/>
      </c>
    </row>
    <row r="668">
      <c r="A668" s="39" t="n">
        <v>46161.170625</v>
      </c>
      <c r="B668" s="25">
        <f>TEXT(A668,"YYYY-MM")</f>
        <v/>
      </c>
      <c r="C668" s="25">
        <f>TEXT(A668,"MMM-YYYY")</f>
        <v/>
      </c>
      <c r="D668" s="40">
        <f>INT(A668)-WEEKDAY(A668,2)+1</f>
        <v/>
      </c>
      <c r="E668" s="25" t="inlineStr">
        <is>
          <t>nbindu</t>
        </is>
      </c>
      <c r="F668" s="25" t="n">
        <v>377</v>
      </c>
      <c r="G668" s="25" t="n">
        <v>1</v>
      </c>
      <c r="H668" s="25" t="n">
        <v>5</v>
      </c>
      <c r="I668" s="25" t="inlineStr">
        <is>
          <t>2 minute(s) and 21 second(s)</t>
        </is>
      </c>
      <c r="J668" s="25">
        <f>IFERROR(VALUE(TRIM(LEFT(I668,FIND("minute",I668)-1)))*60,0)+IFERROR(VALUE(SUBSTITUTE(MID(I668,IFERROR(FIND("and",I668)+3,1),20),"second(s)","")),0)</f>
        <v/>
      </c>
      <c r="K668" s="41">
        <f>J668/60</f>
        <v/>
      </c>
      <c r="L668" s="41">
        <f>IFERROR(J668/H668,"")</f>
        <v/>
      </c>
      <c r="M668" s="25" t="inlineStr">
        <is>
          <t>2.5.12</t>
        </is>
      </c>
      <c r="N668" s="25">
        <f>IF(J668&gt;300,1,0)</f>
        <v/>
      </c>
      <c r="O668" s="25">
        <f>IF(J668&gt;600,1,0)</f>
        <v/>
      </c>
      <c r="P668" s="25">
        <f>IF(H668&gt;0,J668,"")</f>
        <v/>
      </c>
      <c r="Q668" s="25">
        <f>TEXT(A668,"YYYY-MM-DD HH")</f>
        <v/>
      </c>
      <c r="R668" s="25">
        <f>COUNTIF($Q$2:$Q$5295,Q668)</f>
        <v/>
      </c>
      <c r="S668" s="25">
        <f>IF(R668&lt;=2,"1-2",IF(R668&lt;=5,"3-5",IF(R668&lt;=10,"6-10","11+")))</f>
        <v/>
      </c>
    </row>
    <row r="669">
      <c r="A669" s="39" t="n">
        <v>46161.17471064815</v>
      </c>
      <c r="B669" s="25">
        <f>TEXT(A669,"YYYY-MM")</f>
        <v/>
      </c>
      <c r="C669" s="25">
        <f>TEXT(A669,"MMM-YYYY")</f>
        <v/>
      </c>
      <c r="D669" s="40">
        <f>INT(A669)-WEEKDAY(A669,2)+1</f>
        <v/>
      </c>
      <c r="E669" s="25" t="inlineStr">
        <is>
          <t>kananya</t>
        </is>
      </c>
      <c r="F669" s="25" t="n">
        <v>104270</v>
      </c>
      <c r="G669" s="25" t="n">
        <v>4</v>
      </c>
      <c r="H669" s="25" t="n">
        <v>22</v>
      </c>
      <c r="I669" s="25" t="inlineStr">
        <is>
          <t>5 minute(s) and 47 second(s)</t>
        </is>
      </c>
      <c r="J669" s="25">
        <f>IFERROR(VALUE(TRIM(LEFT(I669,FIND("minute",I669)-1)))*60,0)+IFERROR(VALUE(SUBSTITUTE(MID(I669,IFERROR(FIND("and",I669)+3,1),20),"second(s)","")),0)</f>
        <v/>
      </c>
      <c r="K669" s="41">
        <f>J669/60</f>
        <v/>
      </c>
      <c r="L669" s="41">
        <f>IFERROR(J669/H669,"")</f>
        <v/>
      </c>
      <c r="M669" s="25" t="inlineStr">
        <is>
          <t>2.5.12</t>
        </is>
      </c>
      <c r="N669" s="25">
        <f>IF(J669&gt;300,1,0)</f>
        <v/>
      </c>
      <c r="O669" s="25">
        <f>IF(J669&gt;600,1,0)</f>
        <v/>
      </c>
      <c r="P669" s="25">
        <f>IF(H669&gt;0,J669,"")</f>
        <v/>
      </c>
      <c r="Q669" s="25">
        <f>TEXT(A669,"YYYY-MM-DD HH")</f>
        <v/>
      </c>
      <c r="R669" s="25">
        <f>COUNTIF($Q$2:$Q$5295,Q669)</f>
        <v/>
      </c>
      <c r="S669" s="25">
        <f>IF(R669&lt;=2,"1-2",IF(R669&lt;=5,"3-5",IF(R669&lt;=10,"6-10","11+")))</f>
        <v/>
      </c>
    </row>
    <row r="670">
      <c r="A670" s="39" t="n">
        <v>46161.17523148148</v>
      </c>
      <c r="B670" s="25">
        <f>TEXT(A670,"YYYY-MM")</f>
        <v/>
      </c>
      <c r="C670" s="25">
        <f>TEXT(A670,"MMM-YYYY")</f>
        <v/>
      </c>
      <c r="D670" s="40">
        <f>INT(A670)-WEEKDAY(A670,2)+1</f>
        <v/>
      </c>
      <c r="E670" s="25" t="inlineStr">
        <is>
          <t>anusharma</t>
        </is>
      </c>
      <c r="F670" s="25" t="n">
        <v>81509</v>
      </c>
      <c r="G670" s="25" t="n">
        <v>4</v>
      </c>
      <c r="H670" s="25" t="n">
        <v>17</v>
      </c>
      <c r="I670" s="25" t="inlineStr">
        <is>
          <t>3 minute(s) and 29 second(s)</t>
        </is>
      </c>
      <c r="J670" s="25">
        <f>IFERROR(VALUE(TRIM(LEFT(I670,FIND("minute",I670)-1)))*60,0)+IFERROR(VALUE(SUBSTITUTE(MID(I670,IFERROR(FIND("and",I670)+3,1),20),"second(s)","")),0)</f>
        <v/>
      </c>
      <c r="K670" s="41">
        <f>J670/60</f>
        <v/>
      </c>
      <c r="L670" s="41">
        <f>IFERROR(J670/H670,"")</f>
        <v/>
      </c>
      <c r="M670" s="25" t="inlineStr">
        <is>
          <t>2.5.12</t>
        </is>
      </c>
      <c r="N670" s="25">
        <f>IF(J670&gt;300,1,0)</f>
        <v/>
      </c>
      <c r="O670" s="25">
        <f>IF(J670&gt;600,1,0)</f>
        <v/>
      </c>
      <c r="P670" s="25">
        <f>IF(H670&gt;0,J670,"")</f>
        <v/>
      </c>
      <c r="Q670" s="25">
        <f>TEXT(A670,"YYYY-MM-DD HH")</f>
        <v/>
      </c>
      <c r="R670" s="25">
        <f>COUNTIF($Q$2:$Q$5295,Q670)</f>
        <v/>
      </c>
      <c r="S670" s="25">
        <f>IF(R670&lt;=2,"1-2",IF(R670&lt;=5,"3-5",IF(R670&lt;=10,"6-10","11+")))</f>
        <v/>
      </c>
    </row>
    <row r="671">
      <c r="A671" s="39" t="n">
        <v>46161.17581018519</v>
      </c>
      <c r="B671" s="25">
        <f>TEXT(A671,"YYYY-MM")</f>
        <v/>
      </c>
      <c r="C671" s="25">
        <f>TEXT(A671,"MMM-YYYY")</f>
        <v/>
      </c>
      <c r="D671" s="40">
        <f>INT(A671)-WEEKDAY(A671,2)+1</f>
        <v/>
      </c>
      <c r="E671" s="25" t="inlineStr">
        <is>
          <t>akumari</t>
        </is>
      </c>
      <c r="F671" s="25" t="n">
        <v>351</v>
      </c>
      <c r="G671" s="25" t="n">
        <v>1</v>
      </c>
      <c r="H671" s="25" t="n">
        <v>5</v>
      </c>
      <c r="I671" s="25" t="inlineStr">
        <is>
          <t>48 second(s)</t>
        </is>
      </c>
      <c r="J671" s="25">
        <f>IFERROR(VALUE(TRIM(LEFT(I671,FIND("minute",I671)-1)))*60,0)+IFERROR(VALUE(SUBSTITUTE(MID(I671,IFERROR(FIND("and",I671)+3,1),20),"second(s)","")),0)</f>
        <v/>
      </c>
      <c r="K671" s="41">
        <f>J671/60</f>
        <v/>
      </c>
      <c r="L671" s="41">
        <f>IFERROR(J671/H671,"")</f>
        <v/>
      </c>
      <c r="M671" s="25" t="inlineStr">
        <is>
          <t>2.5.12</t>
        </is>
      </c>
      <c r="N671" s="25">
        <f>IF(J671&gt;300,1,0)</f>
        <v/>
      </c>
      <c r="O671" s="25">
        <f>IF(J671&gt;600,1,0)</f>
        <v/>
      </c>
      <c r="P671" s="25">
        <f>IF(H671&gt;0,J671,"")</f>
        <v/>
      </c>
      <c r="Q671" s="25">
        <f>TEXT(A671,"YYYY-MM-DD HH")</f>
        <v/>
      </c>
      <c r="R671" s="25">
        <f>COUNTIF($Q$2:$Q$5295,Q671)</f>
        <v/>
      </c>
      <c r="S671" s="25">
        <f>IF(R671&lt;=2,"1-2",IF(R671&lt;=5,"3-5",IF(R671&lt;=10,"6-10","11+")))</f>
        <v/>
      </c>
    </row>
    <row r="672">
      <c r="A672" s="39" t="n">
        <v>46161.17841435185</v>
      </c>
      <c r="B672" s="25">
        <f>TEXT(A672,"YYYY-MM")</f>
        <v/>
      </c>
      <c r="C672" s="25">
        <f>TEXT(A672,"MMM-YYYY")</f>
        <v/>
      </c>
      <c r="D672" s="40">
        <f>INT(A672)-WEEKDAY(A672,2)+1</f>
        <v/>
      </c>
      <c r="E672" s="25" t="inlineStr">
        <is>
          <t>asahoo</t>
        </is>
      </c>
      <c r="F672" s="25" t="n">
        <v>97889</v>
      </c>
      <c r="G672" s="25" t="n">
        <v>5</v>
      </c>
      <c r="H672" s="25" t="n">
        <v>19</v>
      </c>
      <c r="I672" s="25" t="inlineStr">
        <is>
          <t>4 minute(s) and 57 second(s)</t>
        </is>
      </c>
      <c r="J672" s="25">
        <f>IFERROR(VALUE(TRIM(LEFT(I672,FIND("minute",I672)-1)))*60,0)+IFERROR(VALUE(SUBSTITUTE(MID(I672,IFERROR(FIND("and",I672)+3,1),20),"second(s)","")),0)</f>
        <v/>
      </c>
      <c r="K672" s="41">
        <f>J672/60</f>
        <v/>
      </c>
      <c r="L672" s="41">
        <f>IFERROR(J672/H672,"")</f>
        <v/>
      </c>
      <c r="M672" s="25" t="inlineStr">
        <is>
          <t>2.5.12</t>
        </is>
      </c>
      <c r="N672" s="25">
        <f>IF(J672&gt;300,1,0)</f>
        <v/>
      </c>
      <c r="O672" s="25">
        <f>IF(J672&gt;600,1,0)</f>
        <v/>
      </c>
      <c r="P672" s="25">
        <f>IF(H672&gt;0,J672,"")</f>
        <v/>
      </c>
      <c r="Q672" s="25">
        <f>TEXT(A672,"YYYY-MM-DD HH")</f>
        <v/>
      </c>
      <c r="R672" s="25">
        <f>COUNTIF($Q$2:$Q$5295,Q672)</f>
        <v/>
      </c>
      <c r="S672" s="25">
        <f>IF(R672&lt;=2,"1-2",IF(R672&lt;=5,"3-5",IF(R672&lt;=10,"6-10","11+")))</f>
        <v/>
      </c>
    </row>
    <row r="673">
      <c r="A673" s="39" t="n">
        <v>46161.17877314815</v>
      </c>
      <c r="B673" s="25">
        <f>TEXT(A673,"YYYY-MM")</f>
        <v/>
      </c>
      <c r="C673" s="25">
        <f>TEXT(A673,"MMM-YYYY")</f>
        <v/>
      </c>
      <c r="D673" s="40">
        <f>INT(A673)-WEEKDAY(A673,2)+1</f>
        <v/>
      </c>
      <c r="E673" s="25" t="inlineStr">
        <is>
          <t>ssrinivasan</t>
        </is>
      </c>
      <c r="F673" s="25" t="n">
        <v>53395</v>
      </c>
      <c r="G673" s="25" t="n">
        <v>3</v>
      </c>
      <c r="H673" s="25" t="n">
        <v>7</v>
      </c>
      <c r="I673" s="25" t="inlineStr">
        <is>
          <t>2 minute(s) and 44 second(s)</t>
        </is>
      </c>
      <c r="J673" s="25">
        <f>IFERROR(VALUE(TRIM(LEFT(I673,FIND("minute",I673)-1)))*60,0)+IFERROR(VALUE(SUBSTITUTE(MID(I673,IFERROR(FIND("and",I673)+3,1),20),"second(s)","")),0)</f>
        <v/>
      </c>
      <c r="K673" s="41">
        <f>J673/60</f>
        <v/>
      </c>
      <c r="L673" s="41">
        <f>IFERROR(J673/H673,"")</f>
        <v/>
      </c>
      <c r="M673" s="25" t="inlineStr">
        <is>
          <t>2.5.12</t>
        </is>
      </c>
      <c r="N673" s="25">
        <f>IF(J673&gt;300,1,0)</f>
        <v/>
      </c>
      <c r="O673" s="25">
        <f>IF(J673&gt;600,1,0)</f>
        <v/>
      </c>
      <c r="P673" s="25">
        <f>IF(H673&gt;0,J673,"")</f>
        <v/>
      </c>
      <c r="Q673" s="25">
        <f>TEXT(A673,"YYYY-MM-DD HH")</f>
        <v/>
      </c>
      <c r="R673" s="25">
        <f>COUNTIF($Q$2:$Q$5295,Q673)</f>
        <v/>
      </c>
      <c r="S673" s="25">
        <f>IF(R673&lt;=2,"1-2",IF(R673&lt;=5,"3-5",IF(R673&lt;=10,"6-10","11+")))</f>
        <v/>
      </c>
    </row>
    <row r="674">
      <c r="A674" s="39" t="n">
        <v>46161.18023148148</v>
      </c>
      <c r="B674" s="25">
        <f>TEXT(A674,"YYYY-MM")</f>
        <v/>
      </c>
      <c r="C674" s="25">
        <f>TEXT(A674,"MMM-YYYY")</f>
        <v/>
      </c>
      <c r="D674" s="40">
        <f>INT(A674)-WEEKDAY(A674,2)+1</f>
        <v/>
      </c>
      <c r="E674" s="25" t="inlineStr">
        <is>
          <t>hsindwani</t>
        </is>
      </c>
      <c r="F674" s="25" t="n">
        <v>96108</v>
      </c>
      <c r="G674" s="25" t="n">
        <v>3</v>
      </c>
      <c r="H674" s="25" t="n">
        <v>11</v>
      </c>
      <c r="I674" s="25" t="inlineStr">
        <is>
          <t>5 minute(s) and 41 second(s)</t>
        </is>
      </c>
      <c r="J674" s="25">
        <f>IFERROR(VALUE(TRIM(LEFT(I674,FIND("minute",I674)-1)))*60,0)+IFERROR(VALUE(SUBSTITUTE(MID(I674,IFERROR(FIND("and",I674)+3,1),20),"second(s)","")),0)</f>
        <v/>
      </c>
      <c r="K674" s="41">
        <f>J674/60</f>
        <v/>
      </c>
      <c r="L674" s="41">
        <f>IFERROR(J674/H674,"")</f>
        <v/>
      </c>
      <c r="M674" s="25" t="inlineStr">
        <is>
          <t>2.5.12</t>
        </is>
      </c>
      <c r="N674" s="25">
        <f>IF(J674&gt;300,1,0)</f>
        <v/>
      </c>
      <c r="O674" s="25">
        <f>IF(J674&gt;600,1,0)</f>
        <v/>
      </c>
      <c r="P674" s="25">
        <f>IF(H674&gt;0,J674,"")</f>
        <v/>
      </c>
      <c r="Q674" s="25">
        <f>TEXT(A674,"YYYY-MM-DD HH")</f>
        <v/>
      </c>
      <c r="R674" s="25">
        <f>COUNTIF($Q$2:$Q$5295,Q674)</f>
        <v/>
      </c>
      <c r="S674" s="25">
        <f>IF(R674&lt;=2,"1-2",IF(R674&lt;=5,"3-5",IF(R674&lt;=10,"6-10","11+")))</f>
        <v/>
      </c>
    </row>
    <row r="675">
      <c r="A675" s="39" t="n">
        <v>46161.1805787037</v>
      </c>
      <c r="B675" s="25">
        <f>TEXT(A675,"YYYY-MM")</f>
        <v/>
      </c>
      <c r="C675" s="25">
        <f>TEXT(A675,"MMM-YYYY")</f>
        <v/>
      </c>
      <c r="D675" s="40">
        <f>INT(A675)-WEEKDAY(A675,2)+1</f>
        <v/>
      </c>
      <c r="E675" s="25" t="inlineStr">
        <is>
          <t>hdutt</t>
        </is>
      </c>
      <c r="F675" s="25" t="n">
        <v>104368</v>
      </c>
      <c r="G675" s="25" t="n">
        <v>1</v>
      </c>
      <c r="H675" s="25" t="n">
        <v>7</v>
      </c>
      <c r="I675" s="25" t="inlineStr">
        <is>
          <t>1 minute(s) and 14 second(s)</t>
        </is>
      </c>
      <c r="J675" s="25">
        <f>IFERROR(VALUE(TRIM(LEFT(I675,FIND("minute",I675)-1)))*60,0)+IFERROR(VALUE(SUBSTITUTE(MID(I675,IFERROR(FIND("and",I675)+3,1),20),"second(s)","")),0)</f>
        <v/>
      </c>
      <c r="K675" s="41">
        <f>J675/60</f>
        <v/>
      </c>
      <c r="L675" s="41">
        <f>IFERROR(J675/H675,"")</f>
        <v/>
      </c>
      <c r="M675" s="25" t="inlineStr">
        <is>
          <t>2.5.12</t>
        </is>
      </c>
      <c r="N675" s="25">
        <f>IF(J675&gt;300,1,0)</f>
        <v/>
      </c>
      <c r="O675" s="25">
        <f>IF(J675&gt;600,1,0)</f>
        <v/>
      </c>
      <c r="P675" s="25">
        <f>IF(H675&gt;0,J675,"")</f>
        <v/>
      </c>
      <c r="Q675" s="25">
        <f>TEXT(A675,"YYYY-MM-DD HH")</f>
        <v/>
      </c>
      <c r="R675" s="25">
        <f>COUNTIF($Q$2:$Q$5295,Q675)</f>
        <v/>
      </c>
      <c r="S675" s="25">
        <f>IF(R675&lt;=2,"1-2",IF(R675&lt;=5,"3-5",IF(R675&lt;=10,"6-10","11+")))</f>
        <v/>
      </c>
    </row>
    <row r="676">
      <c r="A676" s="39" t="n">
        <v>46161.18422453704</v>
      </c>
      <c r="B676" s="25">
        <f>TEXT(A676,"YYYY-MM")</f>
        <v/>
      </c>
      <c r="C676" s="25">
        <f>TEXT(A676,"MMM-YYYY")</f>
        <v/>
      </c>
      <c r="D676" s="40">
        <f>INT(A676)-WEEKDAY(A676,2)+1</f>
        <v/>
      </c>
      <c r="E676" s="25" t="inlineStr">
        <is>
          <t>mgupta</t>
        </is>
      </c>
      <c r="F676" s="25" t="n">
        <v>37916</v>
      </c>
      <c r="G676" s="25" t="n">
        <v>1</v>
      </c>
      <c r="H676" s="25" t="n">
        <v>7</v>
      </c>
      <c r="I676" s="25" t="inlineStr">
        <is>
          <t>1 minute(s) and 9 second(s)</t>
        </is>
      </c>
      <c r="J676" s="25">
        <f>IFERROR(VALUE(TRIM(LEFT(I676,FIND("minute",I676)-1)))*60,0)+IFERROR(VALUE(SUBSTITUTE(MID(I676,IFERROR(FIND("and",I676)+3,1),20),"second(s)","")),0)</f>
        <v/>
      </c>
      <c r="K676" s="41">
        <f>J676/60</f>
        <v/>
      </c>
      <c r="L676" s="41">
        <f>IFERROR(J676/H676,"")</f>
        <v/>
      </c>
      <c r="M676" s="25" t="inlineStr">
        <is>
          <t>2.5.12</t>
        </is>
      </c>
      <c r="N676" s="25">
        <f>IF(J676&gt;300,1,0)</f>
        <v/>
      </c>
      <c r="O676" s="25">
        <f>IF(J676&gt;600,1,0)</f>
        <v/>
      </c>
      <c r="P676" s="25">
        <f>IF(H676&gt;0,J676,"")</f>
        <v/>
      </c>
      <c r="Q676" s="25">
        <f>TEXT(A676,"YYYY-MM-DD HH")</f>
        <v/>
      </c>
      <c r="R676" s="25">
        <f>COUNTIF($Q$2:$Q$5295,Q676)</f>
        <v/>
      </c>
      <c r="S676" s="25">
        <f>IF(R676&lt;=2,"1-2",IF(R676&lt;=5,"3-5",IF(R676&lt;=10,"6-10","11+")))</f>
        <v/>
      </c>
    </row>
    <row r="677">
      <c r="A677" s="39" t="n">
        <v>46161.18572916667</v>
      </c>
      <c r="B677" s="25">
        <f>TEXT(A677,"YYYY-MM")</f>
        <v/>
      </c>
      <c r="C677" s="25">
        <f>TEXT(A677,"MMM-YYYY")</f>
        <v/>
      </c>
      <c r="D677" s="40">
        <f>INT(A677)-WEEKDAY(A677,2)+1</f>
        <v/>
      </c>
      <c r="E677" s="25" t="inlineStr">
        <is>
          <t>atiwari</t>
        </is>
      </c>
      <c r="F677" s="25" t="n">
        <v>108255</v>
      </c>
      <c r="G677" s="25" t="n">
        <v>4</v>
      </c>
      <c r="H677" s="25" t="n">
        <v>16</v>
      </c>
      <c r="I677" s="25" t="inlineStr">
        <is>
          <t>4 minute(s) and 20 second(s)</t>
        </is>
      </c>
      <c r="J677" s="25">
        <f>IFERROR(VALUE(TRIM(LEFT(I677,FIND("minute",I677)-1)))*60,0)+IFERROR(VALUE(SUBSTITUTE(MID(I677,IFERROR(FIND("and",I677)+3,1),20),"second(s)","")),0)</f>
        <v/>
      </c>
      <c r="K677" s="41">
        <f>J677/60</f>
        <v/>
      </c>
      <c r="L677" s="41">
        <f>IFERROR(J677/H677,"")</f>
        <v/>
      </c>
      <c r="M677" s="25" t="inlineStr">
        <is>
          <t>2.5.12</t>
        </is>
      </c>
      <c r="N677" s="25">
        <f>IF(J677&gt;300,1,0)</f>
        <v/>
      </c>
      <c r="O677" s="25">
        <f>IF(J677&gt;600,1,0)</f>
        <v/>
      </c>
      <c r="P677" s="25">
        <f>IF(H677&gt;0,J677,"")</f>
        <v/>
      </c>
      <c r="Q677" s="25">
        <f>TEXT(A677,"YYYY-MM-DD HH")</f>
        <v/>
      </c>
      <c r="R677" s="25">
        <f>COUNTIF($Q$2:$Q$5295,Q677)</f>
        <v/>
      </c>
      <c r="S677" s="25">
        <f>IF(R677&lt;=2,"1-2",IF(R677&lt;=5,"3-5",IF(R677&lt;=10,"6-10","11+")))</f>
        <v/>
      </c>
    </row>
    <row r="678">
      <c r="A678" s="39" t="n">
        <v>46161.18655092592</v>
      </c>
      <c r="B678" s="25">
        <f>TEXT(A678,"YYYY-MM")</f>
        <v/>
      </c>
      <c r="C678" s="25">
        <f>TEXT(A678,"MMM-YYYY")</f>
        <v/>
      </c>
      <c r="D678" s="40">
        <f>INT(A678)-WEEKDAY(A678,2)+1</f>
        <v/>
      </c>
      <c r="E678" s="25" t="inlineStr">
        <is>
          <t>aupadhayay</t>
        </is>
      </c>
      <c r="F678" s="25" t="n">
        <v>104355</v>
      </c>
      <c r="G678" s="25" t="n">
        <v>5</v>
      </c>
      <c r="H678" s="25" t="n">
        <v>19</v>
      </c>
      <c r="I678" s="25" t="inlineStr">
        <is>
          <t>5 minute(s) and 10 second(s)</t>
        </is>
      </c>
      <c r="J678" s="25">
        <f>IFERROR(VALUE(TRIM(LEFT(I678,FIND("minute",I678)-1)))*60,0)+IFERROR(VALUE(SUBSTITUTE(MID(I678,IFERROR(FIND("and",I678)+3,1),20),"second(s)","")),0)</f>
        <v/>
      </c>
      <c r="K678" s="41">
        <f>J678/60</f>
        <v/>
      </c>
      <c r="L678" s="41">
        <f>IFERROR(J678/H678,"")</f>
        <v/>
      </c>
      <c r="M678" s="25" t="inlineStr">
        <is>
          <t>2.5.12</t>
        </is>
      </c>
      <c r="N678" s="25">
        <f>IF(J678&gt;300,1,0)</f>
        <v/>
      </c>
      <c r="O678" s="25">
        <f>IF(J678&gt;600,1,0)</f>
        <v/>
      </c>
      <c r="P678" s="25">
        <f>IF(H678&gt;0,J678,"")</f>
        <v/>
      </c>
      <c r="Q678" s="25">
        <f>TEXT(A678,"YYYY-MM-DD HH")</f>
        <v/>
      </c>
      <c r="R678" s="25">
        <f>COUNTIF($Q$2:$Q$5295,Q678)</f>
        <v/>
      </c>
      <c r="S678" s="25">
        <f>IF(R678&lt;=2,"1-2",IF(R678&lt;=5,"3-5",IF(R678&lt;=10,"6-10","11+")))</f>
        <v/>
      </c>
    </row>
    <row r="679">
      <c r="A679" s="39" t="n">
        <v>46161.18702546296</v>
      </c>
      <c r="B679" s="25">
        <f>TEXT(A679,"YYYY-MM")</f>
        <v/>
      </c>
      <c r="C679" s="25">
        <f>TEXT(A679,"MMM-YYYY")</f>
        <v/>
      </c>
      <c r="D679" s="40">
        <f>INT(A679)-WEEKDAY(A679,2)+1</f>
        <v/>
      </c>
      <c r="E679" s="25" t="inlineStr">
        <is>
          <t>stiwari</t>
        </is>
      </c>
      <c r="F679" s="25" t="n">
        <v>114333</v>
      </c>
      <c r="G679" s="25" t="n">
        <v>5</v>
      </c>
      <c r="H679" s="25" t="n">
        <v>19</v>
      </c>
      <c r="I679" s="25" t="inlineStr">
        <is>
          <t>3 minute(s) and 30 second(s)</t>
        </is>
      </c>
      <c r="J679" s="25">
        <f>IFERROR(VALUE(TRIM(LEFT(I679,FIND("minute",I679)-1)))*60,0)+IFERROR(VALUE(SUBSTITUTE(MID(I679,IFERROR(FIND("and",I679)+3,1),20),"second(s)","")),0)</f>
        <v/>
      </c>
      <c r="K679" s="41">
        <f>J679/60</f>
        <v/>
      </c>
      <c r="L679" s="41">
        <f>IFERROR(J679/H679,"")</f>
        <v/>
      </c>
      <c r="M679" s="25" t="inlineStr">
        <is>
          <t>2.5.12</t>
        </is>
      </c>
      <c r="N679" s="25">
        <f>IF(J679&gt;300,1,0)</f>
        <v/>
      </c>
      <c r="O679" s="25">
        <f>IF(J679&gt;600,1,0)</f>
        <v/>
      </c>
      <c r="P679" s="25">
        <f>IF(H679&gt;0,J679,"")</f>
        <v/>
      </c>
      <c r="Q679" s="25">
        <f>TEXT(A679,"YYYY-MM-DD HH")</f>
        <v/>
      </c>
      <c r="R679" s="25">
        <f>COUNTIF($Q$2:$Q$5295,Q679)</f>
        <v/>
      </c>
      <c r="S679" s="25">
        <f>IF(R679&lt;=2,"1-2",IF(R679&lt;=5,"3-5",IF(R679&lt;=10,"6-10","11+")))</f>
        <v/>
      </c>
    </row>
    <row r="680">
      <c r="A680" s="39" t="n">
        <v>46161.18760416667</v>
      </c>
      <c r="B680" s="25">
        <f>TEXT(A680,"YYYY-MM")</f>
        <v/>
      </c>
      <c r="C680" s="25">
        <f>TEXT(A680,"MMM-YYYY")</f>
        <v/>
      </c>
      <c r="D680" s="40">
        <f>INT(A680)-WEEKDAY(A680,2)+1</f>
        <v/>
      </c>
      <c r="E680" s="25" t="inlineStr">
        <is>
          <t>akumari</t>
        </is>
      </c>
      <c r="F680" s="25" t="n">
        <v>351</v>
      </c>
      <c r="G680" s="25" t="n">
        <v>1</v>
      </c>
      <c r="H680" s="25" t="n">
        <v>5</v>
      </c>
      <c r="I680" s="25" t="inlineStr">
        <is>
          <t>41 second(s)</t>
        </is>
      </c>
      <c r="J680" s="25">
        <f>IFERROR(VALUE(TRIM(LEFT(I680,FIND("minute",I680)-1)))*60,0)+IFERROR(VALUE(SUBSTITUTE(MID(I680,IFERROR(FIND("and",I680)+3,1),20),"second(s)","")),0)</f>
        <v/>
      </c>
      <c r="K680" s="41">
        <f>J680/60</f>
        <v/>
      </c>
      <c r="L680" s="41">
        <f>IFERROR(J680/H680,"")</f>
        <v/>
      </c>
      <c r="M680" s="25" t="inlineStr">
        <is>
          <t>2.5.12</t>
        </is>
      </c>
      <c r="N680" s="25">
        <f>IF(J680&gt;300,1,0)</f>
        <v/>
      </c>
      <c r="O680" s="25">
        <f>IF(J680&gt;600,1,0)</f>
        <v/>
      </c>
      <c r="P680" s="25">
        <f>IF(H680&gt;0,J680,"")</f>
        <v/>
      </c>
      <c r="Q680" s="25">
        <f>TEXT(A680,"YYYY-MM-DD HH")</f>
        <v/>
      </c>
      <c r="R680" s="25">
        <f>COUNTIF($Q$2:$Q$5295,Q680)</f>
        <v/>
      </c>
      <c r="S680" s="25">
        <f>IF(R680&lt;=2,"1-2",IF(R680&lt;=5,"3-5",IF(R680&lt;=10,"6-10","11+")))</f>
        <v/>
      </c>
    </row>
    <row r="681">
      <c r="A681" s="39" t="n">
        <v>46161.18783564815</v>
      </c>
      <c r="B681" s="25">
        <f>TEXT(A681,"YYYY-MM")</f>
        <v/>
      </c>
      <c r="C681" s="25">
        <f>TEXT(A681,"MMM-YYYY")</f>
        <v/>
      </c>
      <c r="D681" s="40">
        <f>INT(A681)-WEEKDAY(A681,2)+1</f>
        <v/>
      </c>
      <c r="E681" s="25" t="inlineStr">
        <is>
          <t>nlnu</t>
        </is>
      </c>
      <c r="F681" s="25" t="n">
        <v>80631</v>
      </c>
      <c r="G681" s="25" t="n">
        <v>3</v>
      </c>
      <c r="H681" s="25" t="n">
        <v>11</v>
      </c>
      <c r="I681" s="25" t="inlineStr">
        <is>
          <t>2 minute(s) and 18 second(s)</t>
        </is>
      </c>
      <c r="J681" s="25">
        <f>IFERROR(VALUE(TRIM(LEFT(I681,FIND("minute",I681)-1)))*60,0)+IFERROR(VALUE(SUBSTITUTE(MID(I681,IFERROR(FIND("and",I681)+3,1),20),"second(s)","")),0)</f>
        <v/>
      </c>
      <c r="K681" s="41">
        <f>J681/60</f>
        <v/>
      </c>
      <c r="L681" s="41">
        <f>IFERROR(J681/H681,"")</f>
        <v/>
      </c>
      <c r="M681" s="25" t="inlineStr">
        <is>
          <t>2.5.12</t>
        </is>
      </c>
      <c r="N681" s="25">
        <f>IF(J681&gt;300,1,0)</f>
        <v/>
      </c>
      <c r="O681" s="25">
        <f>IF(J681&gt;600,1,0)</f>
        <v/>
      </c>
      <c r="P681" s="25">
        <f>IF(H681&gt;0,J681,"")</f>
        <v/>
      </c>
      <c r="Q681" s="25">
        <f>TEXT(A681,"YYYY-MM-DD HH")</f>
        <v/>
      </c>
      <c r="R681" s="25">
        <f>COUNTIF($Q$2:$Q$5295,Q681)</f>
        <v/>
      </c>
      <c r="S681" s="25">
        <f>IF(R681&lt;=2,"1-2",IF(R681&lt;=5,"3-5",IF(R681&lt;=10,"6-10","11+")))</f>
        <v/>
      </c>
    </row>
    <row r="682">
      <c r="A682" s="39" t="n">
        <v>46161.19302083334</v>
      </c>
      <c r="B682" s="25">
        <f>TEXT(A682,"YYYY-MM")</f>
        <v/>
      </c>
      <c r="C682" s="25">
        <f>TEXT(A682,"MMM-YYYY")</f>
        <v/>
      </c>
      <c r="D682" s="40">
        <f>INT(A682)-WEEKDAY(A682,2)+1</f>
        <v/>
      </c>
      <c r="E682" s="25" t="inlineStr">
        <is>
          <t>shassan</t>
        </is>
      </c>
      <c r="F682" s="25" t="n">
        <v>315</v>
      </c>
      <c r="G682" s="25" t="n">
        <v>1</v>
      </c>
      <c r="H682" s="25" t="n">
        <v>5</v>
      </c>
      <c r="I682" s="25" t="inlineStr">
        <is>
          <t>2 minute(s) and 29 second(s)</t>
        </is>
      </c>
      <c r="J682" s="25">
        <f>IFERROR(VALUE(TRIM(LEFT(I682,FIND("minute",I682)-1)))*60,0)+IFERROR(VALUE(SUBSTITUTE(MID(I682,IFERROR(FIND("and",I682)+3,1),20),"second(s)","")),0)</f>
        <v/>
      </c>
      <c r="K682" s="41">
        <f>J682/60</f>
        <v/>
      </c>
      <c r="L682" s="41">
        <f>IFERROR(J682/H682,"")</f>
        <v/>
      </c>
      <c r="M682" s="25" t="inlineStr">
        <is>
          <t>2.5.12</t>
        </is>
      </c>
      <c r="N682" s="25">
        <f>IF(J682&gt;300,1,0)</f>
        <v/>
      </c>
      <c r="O682" s="25">
        <f>IF(J682&gt;600,1,0)</f>
        <v/>
      </c>
      <c r="P682" s="25">
        <f>IF(H682&gt;0,J682,"")</f>
        <v/>
      </c>
      <c r="Q682" s="25">
        <f>TEXT(A682,"YYYY-MM-DD HH")</f>
        <v/>
      </c>
      <c r="R682" s="25">
        <f>COUNTIF($Q$2:$Q$5295,Q682)</f>
        <v/>
      </c>
      <c r="S682" s="25">
        <f>IF(R682&lt;=2,"1-2",IF(R682&lt;=5,"3-5",IF(R682&lt;=10,"6-10","11+")))</f>
        <v/>
      </c>
    </row>
    <row r="683">
      <c r="A683" s="39" t="n">
        <v>46161.19370370371</v>
      </c>
      <c r="B683" s="25">
        <f>TEXT(A683,"YYYY-MM")</f>
        <v/>
      </c>
      <c r="C683" s="25">
        <f>TEXT(A683,"MMM-YYYY")</f>
        <v/>
      </c>
      <c r="D683" s="40">
        <f>INT(A683)-WEEKDAY(A683,2)+1</f>
        <v/>
      </c>
      <c r="E683" s="25" t="inlineStr">
        <is>
          <t>aghosh</t>
        </is>
      </c>
      <c r="F683" s="25" t="n">
        <v>114499</v>
      </c>
      <c r="G683" s="25" t="n">
        <v>3</v>
      </c>
      <c r="H683" s="25" t="n">
        <v>11</v>
      </c>
      <c r="I683" s="25" t="inlineStr">
        <is>
          <t>2 minute(s) and 42 second(s)</t>
        </is>
      </c>
      <c r="J683" s="25">
        <f>IFERROR(VALUE(TRIM(LEFT(I683,FIND("minute",I683)-1)))*60,0)+IFERROR(VALUE(SUBSTITUTE(MID(I683,IFERROR(FIND("and",I683)+3,1),20),"second(s)","")),0)</f>
        <v/>
      </c>
      <c r="K683" s="41">
        <f>J683/60</f>
        <v/>
      </c>
      <c r="L683" s="41">
        <f>IFERROR(J683/H683,"")</f>
        <v/>
      </c>
      <c r="M683" s="25" t="inlineStr">
        <is>
          <t>2.5.12</t>
        </is>
      </c>
      <c r="N683" s="25">
        <f>IF(J683&gt;300,1,0)</f>
        <v/>
      </c>
      <c r="O683" s="25">
        <f>IF(J683&gt;600,1,0)</f>
        <v/>
      </c>
      <c r="P683" s="25">
        <f>IF(H683&gt;0,J683,"")</f>
        <v/>
      </c>
      <c r="Q683" s="25">
        <f>TEXT(A683,"YYYY-MM-DD HH")</f>
        <v/>
      </c>
      <c r="R683" s="25">
        <f>COUNTIF($Q$2:$Q$5295,Q683)</f>
        <v/>
      </c>
      <c r="S683" s="25">
        <f>IF(R683&lt;=2,"1-2",IF(R683&lt;=5,"3-5",IF(R683&lt;=10,"6-10","11+")))</f>
        <v/>
      </c>
    </row>
    <row r="684">
      <c r="A684" s="39" t="n">
        <v>46161.19621527778</v>
      </c>
      <c r="B684" s="25">
        <f>TEXT(A684,"YYYY-MM")</f>
        <v/>
      </c>
      <c r="C684" s="25">
        <f>TEXT(A684,"MMM-YYYY")</f>
        <v/>
      </c>
      <c r="D684" s="40">
        <f>INT(A684)-WEEKDAY(A684,2)+1</f>
        <v/>
      </c>
      <c r="E684" s="25" t="inlineStr">
        <is>
          <t>taggarwal</t>
        </is>
      </c>
      <c r="F684" s="25" t="n">
        <v>103925</v>
      </c>
      <c r="G684" s="25" t="n">
        <v>4</v>
      </c>
      <c r="H684" s="25" t="n">
        <v>22</v>
      </c>
      <c r="I684" s="25" t="inlineStr">
        <is>
          <t>6 minute(s) and 37 second(s)</t>
        </is>
      </c>
      <c r="J684" s="25">
        <f>IFERROR(VALUE(TRIM(LEFT(I684,FIND("minute",I684)-1)))*60,0)+IFERROR(VALUE(SUBSTITUTE(MID(I684,IFERROR(FIND("and",I684)+3,1),20),"second(s)","")),0)</f>
        <v/>
      </c>
      <c r="K684" s="41">
        <f>J684/60</f>
        <v/>
      </c>
      <c r="L684" s="41">
        <f>IFERROR(J684/H684,"")</f>
        <v/>
      </c>
      <c r="M684" s="25" t="inlineStr">
        <is>
          <t>2.5.12</t>
        </is>
      </c>
      <c r="N684" s="25">
        <f>IF(J684&gt;300,1,0)</f>
        <v/>
      </c>
      <c r="O684" s="25">
        <f>IF(J684&gt;600,1,0)</f>
        <v/>
      </c>
      <c r="P684" s="25">
        <f>IF(H684&gt;0,J684,"")</f>
        <v/>
      </c>
      <c r="Q684" s="25">
        <f>TEXT(A684,"YYYY-MM-DD HH")</f>
        <v/>
      </c>
      <c r="R684" s="25">
        <f>COUNTIF($Q$2:$Q$5295,Q684)</f>
        <v/>
      </c>
      <c r="S684" s="25">
        <f>IF(R684&lt;=2,"1-2",IF(R684&lt;=5,"3-5",IF(R684&lt;=10,"6-10","11+")))</f>
        <v/>
      </c>
    </row>
    <row r="685">
      <c r="A685" s="39" t="n">
        <v>46161.19677083333</v>
      </c>
      <c r="B685" s="25">
        <f>TEXT(A685,"YYYY-MM")</f>
        <v/>
      </c>
      <c r="C685" s="25">
        <f>TEXT(A685,"MMM-YYYY")</f>
        <v/>
      </c>
      <c r="D685" s="40">
        <f>INT(A685)-WEEKDAY(A685,2)+1</f>
        <v/>
      </c>
      <c r="E685" s="25" t="inlineStr">
        <is>
          <t>vreddy</t>
        </is>
      </c>
      <c r="F685" s="25" t="n">
        <v>80200</v>
      </c>
      <c r="G685" s="25" t="n">
        <v>1</v>
      </c>
      <c r="H685" s="25" t="n">
        <v>5</v>
      </c>
      <c r="I685" s="25" t="inlineStr">
        <is>
          <t>48 second(s)</t>
        </is>
      </c>
      <c r="J685" s="25">
        <f>IFERROR(VALUE(TRIM(LEFT(I685,FIND("minute",I685)-1)))*60,0)+IFERROR(VALUE(SUBSTITUTE(MID(I685,IFERROR(FIND("and",I685)+3,1),20),"second(s)","")),0)</f>
        <v/>
      </c>
      <c r="K685" s="41">
        <f>J685/60</f>
        <v/>
      </c>
      <c r="L685" s="41">
        <f>IFERROR(J685/H685,"")</f>
        <v/>
      </c>
      <c r="M685" s="25" t="inlineStr">
        <is>
          <t>2.5.12</t>
        </is>
      </c>
      <c r="N685" s="25">
        <f>IF(J685&gt;300,1,0)</f>
        <v/>
      </c>
      <c r="O685" s="25">
        <f>IF(J685&gt;600,1,0)</f>
        <v/>
      </c>
      <c r="P685" s="25">
        <f>IF(H685&gt;0,J685,"")</f>
        <v/>
      </c>
      <c r="Q685" s="25">
        <f>TEXT(A685,"YYYY-MM-DD HH")</f>
        <v/>
      </c>
      <c r="R685" s="25">
        <f>COUNTIF($Q$2:$Q$5295,Q685)</f>
        <v/>
      </c>
      <c r="S685" s="25">
        <f>IF(R685&lt;=2,"1-2",IF(R685&lt;=5,"3-5",IF(R685&lt;=10,"6-10","11+")))</f>
        <v/>
      </c>
    </row>
    <row r="686">
      <c r="A686" s="39" t="n">
        <v>46161.19869212963</v>
      </c>
      <c r="B686" s="25">
        <f>TEXT(A686,"YYYY-MM")</f>
        <v/>
      </c>
      <c r="C686" s="25">
        <f>TEXT(A686,"MMM-YYYY")</f>
        <v/>
      </c>
      <c r="D686" s="40">
        <f>INT(A686)-WEEKDAY(A686,2)+1</f>
        <v/>
      </c>
      <c r="E686" s="25" t="inlineStr">
        <is>
          <t>shasikha</t>
        </is>
      </c>
      <c r="F686" s="25" t="n">
        <v>93338</v>
      </c>
      <c r="G686" s="25" t="n">
        <v>5</v>
      </c>
      <c r="H686" s="25" t="n">
        <v>11</v>
      </c>
      <c r="I686" s="25" t="inlineStr">
        <is>
          <t>2 minute(s) and 49 second(s)</t>
        </is>
      </c>
      <c r="J686" s="25">
        <f>IFERROR(VALUE(TRIM(LEFT(I686,FIND("minute",I686)-1)))*60,0)+IFERROR(VALUE(SUBSTITUTE(MID(I686,IFERROR(FIND("and",I686)+3,1),20),"second(s)","")),0)</f>
        <v/>
      </c>
      <c r="K686" s="41">
        <f>J686/60</f>
        <v/>
      </c>
      <c r="L686" s="41">
        <f>IFERROR(J686/H686,"")</f>
        <v/>
      </c>
      <c r="M686" s="25" t="inlineStr">
        <is>
          <t>2.5.12</t>
        </is>
      </c>
      <c r="N686" s="25">
        <f>IF(J686&gt;300,1,0)</f>
        <v/>
      </c>
      <c r="O686" s="25">
        <f>IF(J686&gt;600,1,0)</f>
        <v/>
      </c>
      <c r="P686" s="25">
        <f>IF(H686&gt;0,J686,"")</f>
        <v/>
      </c>
      <c r="Q686" s="25">
        <f>TEXT(A686,"YYYY-MM-DD HH")</f>
        <v/>
      </c>
      <c r="R686" s="25">
        <f>COUNTIF($Q$2:$Q$5295,Q686)</f>
        <v/>
      </c>
      <c r="S686" s="25">
        <f>IF(R686&lt;=2,"1-2",IF(R686&lt;=5,"3-5",IF(R686&lt;=10,"6-10","11+")))</f>
        <v/>
      </c>
    </row>
    <row r="687">
      <c r="A687" s="39" t="n">
        <v>46161.20128472222</v>
      </c>
      <c r="B687" s="25">
        <f>TEXT(A687,"YYYY-MM")</f>
        <v/>
      </c>
      <c r="C687" s="25">
        <f>TEXT(A687,"MMM-YYYY")</f>
        <v/>
      </c>
      <c r="D687" s="40">
        <f>INT(A687)-WEEKDAY(A687,2)+1</f>
        <v/>
      </c>
      <c r="E687" s="25" t="inlineStr">
        <is>
          <t>asahoo</t>
        </is>
      </c>
      <c r="F687" s="25" t="n">
        <v>94234</v>
      </c>
      <c r="G687" s="25" t="n">
        <v>3</v>
      </c>
      <c r="H687" s="25" t="n">
        <v>11</v>
      </c>
      <c r="I687" s="25" t="inlineStr">
        <is>
          <t>2 minute(s) and 23 second(s)</t>
        </is>
      </c>
      <c r="J687" s="25">
        <f>IFERROR(VALUE(TRIM(LEFT(I687,FIND("minute",I687)-1)))*60,0)+IFERROR(VALUE(SUBSTITUTE(MID(I687,IFERROR(FIND("and",I687)+3,1),20),"second(s)","")),0)</f>
        <v/>
      </c>
      <c r="K687" s="41">
        <f>J687/60</f>
        <v/>
      </c>
      <c r="L687" s="41">
        <f>IFERROR(J687/H687,"")</f>
        <v/>
      </c>
      <c r="M687" s="25" t="inlineStr">
        <is>
          <t>2.5.12</t>
        </is>
      </c>
      <c r="N687" s="25">
        <f>IF(J687&gt;300,1,0)</f>
        <v/>
      </c>
      <c r="O687" s="25">
        <f>IF(J687&gt;600,1,0)</f>
        <v/>
      </c>
      <c r="P687" s="25">
        <f>IF(H687&gt;0,J687,"")</f>
        <v/>
      </c>
      <c r="Q687" s="25">
        <f>TEXT(A687,"YYYY-MM-DD HH")</f>
        <v/>
      </c>
      <c r="R687" s="25">
        <f>COUNTIF($Q$2:$Q$5295,Q687)</f>
        <v/>
      </c>
      <c r="S687" s="25">
        <f>IF(R687&lt;=2,"1-2",IF(R687&lt;=5,"3-5",IF(R687&lt;=10,"6-10","11+")))</f>
        <v/>
      </c>
    </row>
    <row r="688">
      <c r="A688" s="39" t="n">
        <v>46161.20789351852</v>
      </c>
      <c r="B688" s="25">
        <f>TEXT(A688,"YYYY-MM")</f>
        <v/>
      </c>
      <c r="C688" s="25">
        <f>TEXT(A688,"MMM-YYYY")</f>
        <v/>
      </c>
      <c r="D688" s="40">
        <f>INT(A688)-WEEKDAY(A688,2)+1</f>
        <v/>
      </c>
      <c r="E688" s="25" t="inlineStr">
        <is>
          <t>mbhalla</t>
        </is>
      </c>
      <c r="F688" s="25" t="n">
        <v>31</v>
      </c>
      <c r="G688" s="25" t="n">
        <v>1</v>
      </c>
      <c r="H688" s="25" t="n">
        <v>5</v>
      </c>
      <c r="I688" s="25" t="inlineStr">
        <is>
          <t>1 minute(s) and 10 second(s)</t>
        </is>
      </c>
      <c r="J688" s="25">
        <f>IFERROR(VALUE(TRIM(LEFT(I688,FIND("minute",I688)-1)))*60,0)+IFERROR(VALUE(SUBSTITUTE(MID(I688,IFERROR(FIND("and",I688)+3,1),20),"second(s)","")),0)</f>
        <v/>
      </c>
      <c r="K688" s="41">
        <f>J688/60</f>
        <v/>
      </c>
      <c r="L688" s="41">
        <f>IFERROR(J688/H688,"")</f>
        <v/>
      </c>
      <c r="M688" s="25" t="inlineStr">
        <is>
          <t>2.5.12</t>
        </is>
      </c>
      <c r="N688" s="25">
        <f>IF(J688&gt;300,1,0)</f>
        <v/>
      </c>
      <c r="O688" s="25">
        <f>IF(J688&gt;600,1,0)</f>
        <v/>
      </c>
      <c r="P688" s="25">
        <f>IF(H688&gt;0,J688,"")</f>
        <v/>
      </c>
      <c r="Q688" s="25">
        <f>TEXT(A688,"YYYY-MM-DD HH")</f>
        <v/>
      </c>
      <c r="R688" s="25">
        <f>COUNTIF($Q$2:$Q$5295,Q688)</f>
        <v/>
      </c>
      <c r="S688" s="25">
        <f>IF(R688&lt;=2,"1-2",IF(R688&lt;=5,"3-5",IF(R688&lt;=10,"6-10","11+")))</f>
        <v/>
      </c>
    </row>
    <row r="689">
      <c r="A689" s="39" t="n">
        <v>46161.21677083334</v>
      </c>
      <c r="B689" s="25">
        <f>TEXT(A689,"YYYY-MM")</f>
        <v/>
      </c>
      <c r="C689" s="25">
        <f>TEXT(A689,"MMM-YYYY")</f>
        <v/>
      </c>
      <c r="D689" s="40">
        <f>INT(A689)-WEEKDAY(A689,2)+1</f>
        <v/>
      </c>
      <c r="E689" s="25" t="inlineStr">
        <is>
          <t>sphatak</t>
        </is>
      </c>
      <c r="F689" s="25" t="n">
        <v>213</v>
      </c>
      <c r="G689" s="25" t="n">
        <v>2</v>
      </c>
      <c r="H689" s="25" t="n">
        <v>8</v>
      </c>
      <c r="I689" s="25" t="inlineStr">
        <is>
          <t>1 minute(s) and 24 second(s)</t>
        </is>
      </c>
      <c r="J689" s="25">
        <f>IFERROR(VALUE(TRIM(LEFT(I689,FIND("minute",I689)-1)))*60,0)+IFERROR(VALUE(SUBSTITUTE(MID(I689,IFERROR(FIND("and",I689)+3,1),20),"second(s)","")),0)</f>
        <v/>
      </c>
      <c r="K689" s="41">
        <f>J689/60</f>
        <v/>
      </c>
      <c r="L689" s="41">
        <f>IFERROR(J689/H689,"")</f>
        <v/>
      </c>
      <c r="M689" s="25" t="inlineStr">
        <is>
          <t>2.5.12</t>
        </is>
      </c>
      <c r="N689" s="25">
        <f>IF(J689&gt;300,1,0)</f>
        <v/>
      </c>
      <c r="O689" s="25">
        <f>IF(J689&gt;600,1,0)</f>
        <v/>
      </c>
      <c r="P689" s="25">
        <f>IF(H689&gt;0,J689,"")</f>
        <v/>
      </c>
      <c r="Q689" s="25">
        <f>TEXT(A689,"YYYY-MM-DD HH")</f>
        <v/>
      </c>
      <c r="R689" s="25">
        <f>COUNTIF($Q$2:$Q$5295,Q689)</f>
        <v/>
      </c>
      <c r="S689" s="25">
        <f>IF(R689&lt;=2,"1-2",IF(R689&lt;=5,"3-5",IF(R689&lt;=10,"6-10","11+")))</f>
        <v/>
      </c>
    </row>
    <row r="690">
      <c r="A690" s="39" t="n">
        <v>46161.2184375</v>
      </c>
      <c r="B690" s="25">
        <f>TEXT(A690,"YYYY-MM")</f>
        <v/>
      </c>
      <c r="C690" s="25">
        <f>TEXT(A690,"MMM-YYYY")</f>
        <v/>
      </c>
      <c r="D690" s="40">
        <f>INT(A690)-WEEKDAY(A690,2)+1</f>
        <v/>
      </c>
      <c r="E690" s="25" t="inlineStr">
        <is>
          <t>akumari</t>
        </is>
      </c>
      <c r="F690" s="25" t="n">
        <v>352</v>
      </c>
      <c r="G690" s="25" t="n">
        <v>1</v>
      </c>
      <c r="H690" s="25" t="n">
        <v>5</v>
      </c>
      <c r="I690" s="25" t="inlineStr">
        <is>
          <t>44 second(s)</t>
        </is>
      </c>
      <c r="J690" s="25">
        <f>IFERROR(VALUE(TRIM(LEFT(I690,FIND("minute",I690)-1)))*60,0)+IFERROR(VALUE(SUBSTITUTE(MID(I690,IFERROR(FIND("and",I690)+3,1),20),"second(s)","")),0)</f>
        <v/>
      </c>
      <c r="K690" s="41">
        <f>J690/60</f>
        <v/>
      </c>
      <c r="L690" s="41">
        <f>IFERROR(J690/H690,"")</f>
        <v/>
      </c>
      <c r="M690" s="25" t="inlineStr">
        <is>
          <t>2.5.12</t>
        </is>
      </c>
      <c r="N690" s="25">
        <f>IF(J690&gt;300,1,0)</f>
        <v/>
      </c>
      <c r="O690" s="25">
        <f>IF(J690&gt;600,1,0)</f>
        <v/>
      </c>
      <c r="P690" s="25">
        <f>IF(H690&gt;0,J690,"")</f>
        <v/>
      </c>
      <c r="Q690" s="25">
        <f>TEXT(A690,"YYYY-MM-DD HH")</f>
        <v/>
      </c>
      <c r="R690" s="25">
        <f>COUNTIF($Q$2:$Q$5295,Q690)</f>
        <v/>
      </c>
      <c r="S690" s="25">
        <f>IF(R690&lt;=2,"1-2",IF(R690&lt;=5,"3-5",IF(R690&lt;=10,"6-10","11+")))</f>
        <v/>
      </c>
    </row>
    <row r="691">
      <c r="A691" s="39" t="n">
        <v>46161.22284722222</v>
      </c>
      <c r="B691" s="25">
        <f>TEXT(A691,"YYYY-MM")</f>
        <v/>
      </c>
      <c r="C691" s="25">
        <f>TEXT(A691,"MMM-YYYY")</f>
        <v/>
      </c>
      <c r="D691" s="40">
        <f>INT(A691)-WEEKDAY(A691,2)+1</f>
        <v/>
      </c>
      <c r="E691" s="25" t="inlineStr">
        <is>
          <t>nbindu</t>
        </is>
      </c>
      <c r="F691" s="25" t="n">
        <v>382</v>
      </c>
      <c r="G691" s="25" t="n">
        <v>1</v>
      </c>
      <c r="H691" s="25" t="n">
        <v>5</v>
      </c>
      <c r="I691" s="25" t="inlineStr">
        <is>
          <t>1 minute(s) and 14 second(s)</t>
        </is>
      </c>
      <c r="J691" s="25">
        <f>IFERROR(VALUE(TRIM(LEFT(I691,FIND("minute",I691)-1)))*60,0)+IFERROR(VALUE(SUBSTITUTE(MID(I691,IFERROR(FIND("and",I691)+3,1),20),"second(s)","")),0)</f>
        <v/>
      </c>
      <c r="K691" s="41">
        <f>J691/60</f>
        <v/>
      </c>
      <c r="L691" s="41">
        <f>IFERROR(J691/H691,"")</f>
        <v/>
      </c>
      <c r="M691" s="25" t="inlineStr">
        <is>
          <t>2.5.12</t>
        </is>
      </c>
      <c r="N691" s="25">
        <f>IF(J691&gt;300,1,0)</f>
        <v/>
      </c>
      <c r="O691" s="25">
        <f>IF(J691&gt;600,1,0)</f>
        <v/>
      </c>
      <c r="P691" s="25">
        <f>IF(H691&gt;0,J691,"")</f>
        <v/>
      </c>
      <c r="Q691" s="25">
        <f>TEXT(A691,"YYYY-MM-DD HH")</f>
        <v/>
      </c>
      <c r="R691" s="25">
        <f>COUNTIF($Q$2:$Q$5295,Q691)</f>
        <v/>
      </c>
      <c r="S691" s="25">
        <f>IF(R691&lt;=2,"1-2",IF(R691&lt;=5,"3-5",IF(R691&lt;=10,"6-10","11+")))</f>
        <v/>
      </c>
    </row>
    <row r="692">
      <c r="A692" s="39" t="n">
        <v>46161.22505787037</v>
      </c>
      <c r="B692" s="25">
        <f>TEXT(A692,"YYYY-MM")</f>
        <v/>
      </c>
      <c r="C692" s="25">
        <f>TEXT(A692,"MMM-YYYY")</f>
        <v/>
      </c>
      <c r="D692" s="40">
        <f>INT(A692)-WEEKDAY(A692,2)+1</f>
        <v/>
      </c>
      <c r="E692" s="25" t="inlineStr">
        <is>
          <t>smukhopadhyay</t>
        </is>
      </c>
      <c r="F692" s="25" t="n">
        <v>93018</v>
      </c>
      <c r="G692" s="25" t="n">
        <v>2</v>
      </c>
      <c r="H692" s="25" t="n">
        <v>10</v>
      </c>
      <c r="I692" s="25" t="inlineStr">
        <is>
          <t>5 minute(s) and 0 second(s)</t>
        </is>
      </c>
      <c r="J692" s="25">
        <f>IFERROR(VALUE(TRIM(LEFT(I692,FIND("minute",I692)-1)))*60,0)+IFERROR(VALUE(SUBSTITUTE(MID(I692,IFERROR(FIND("and",I692)+3,1),20),"second(s)","")),0)</f>
        <v/>
      </c>
      <c r="K692" s="41">
        <f>J692/60</f>
        <v/>
      </c>
      <c r="L692" s="41">
        <f>IFERROR(J692/H692,"")</f>
        <v/>
      </c>
      <c r="M692" s="25" t="inlineStr">
        <is>
          <t>2.5.12</t>
        </is>
      </c>
      <c r="N692" s="25">
        <f>IF(J692&gt;300,1,0)</f>
        <v/>
      </c>
      <c r="O692" s="25">
        <f>IF(J692&gt;600,1,0)</f>
        <v/>
      </c>
      <c r="P692" s="25">
        <f>IF(H692&gt;0,J692,"")</f>
        <v/>
      </c>
      <c r="Q692" s="25">
        <f>TEXT(A692,"YYYY-MM-DD HH")</f>
        <v/>
      </c>
      <c r="R692" s="25">
        <f>COUNTIF($Q$2:$Q$5295,Q692)</f>
        <v/>
      </c>
      <c r="S692" s="25">
        <f>IF(R692&lt;=2,"1-2",IF(R692&lt;=5,"3-5",IF(R692&lt;=10,"6-10","11+")))</f>
        <v/>
      </c>
    </row>
    <row r="693">
      <c r="A693" s="39" t="n">
        <v>46161.22565972222</v>
      </c>
      <c r="B693" s="25">
        <f>TEXT(A693,"YYYY-MM")</f>
        <v/>
      </c>
      <c r="C693" s="25">
        <f>TEXT(A693,"MMM-YYYY")</f>
        <v/>
      </c>
      <c r="D693" s="40">
        <f>INT(A693)-WEEKDAY(A693,2)+1</f>
        <v/>
      </c>
      <c r="E693" s="25" t="inlineStr">
        <is>
          <t>sswati</t>
        </is>
      </c>
      <c r="F693" s="25" t="n">
        <v>114969</v>
      </c>
      <c r="G693" s="25" t="n">
        <v>5</v>
      </c>
      <c r="H693" s="25" t="n">
        <v>21</v>
      </c>
      <c r="I693" s="25" t="inlineStr">
        <is>
          <t>7 minute(s) and 20 second(s)</t>
        </is>
      </c>
      <c r="J693" s="25">
        <f>IFERROR(VALUE(TRIM(LEFT(I693,FIND("minute",I693)-1)))*60,0)+IFERROR(VALUE(SUBSTITUTE(MID(I693,IFERROR(FIND("and",I693)+3,1),20),"second(s)","")),0)</f>
        <v/>
      </c>
      <c r="K693" s="41">
        <f>J693/60</f>
        <v/>
      </c>
      <c r="L693" s="41">
        <f>IFERROR(J693/H693,"")</f>
        <v/>
      </c>
      <c r="M693" s="25" t="inlineStr">
        <is>
          <t>2.5.12</t>
        </is>
      </c>
      <c r="N693" s="25">
        <f>IF(J693&gt;300,1,0)</f>
        <v/>
      </c>
      <c r="O693" s="25">
        <f>IF(J693&gt;600,1,0)</f>
        <v/>
      </c>
      <c r="P693" s="25">
        <f>IF(H693&gt;0,J693,"")</f>
        <v/>
      </c>
      <c r="Q693" s="25">
        <f>TEXT(A693,"YYYY-MM-DD HH")</f>
        <v/>
      </c>
      <c r="R693" s="25">
        <f>COUNTIF($Q$2:$Q$5295,Q693)</f>
        <v/>
      </c>
      <c r="S693" s="25">
        <f>IF(R693&lt;=2,"1-2",IF(R693&lt;=5,"3-5",IF(R693&lt;=10,"6-10","11+")))</f>
        <v/>
      </c>
    </row>
    <row r="694">
      <c r="A694" s="39" t="n">
        <v>46161.22773148148</v>
      </c>
      <c r="B694" s="25">
        <f>TEXT(A694,"YYYY-MM")</f>
        <v/>
      </c>
      <c r="C694" s="25">
        <f>TEXT(A694,"MMM-YYYY")</f>
        <v/>
      </c>
      <c r="D694" s="40">
        <f>INT(A694)-WEEKDAY(A694,2)+1</f>
        <v/>
      </c>
      <c r="E694" s="25" t="inlineStr">
        <is>
          <t>atiwari</t>
        </is>
      </c>
      <c r="F694" s="25" t="n">
        <v>83690</v>
      </c>
      <c r="G694" s="25" t="n">
        <v>6</v>
      </c>
      <c r="H694" s="25" t="n">
        <v>20</v>
      </c>
      <c r="I694" s="25" t="inlineStr">
        <is>
          <t>7 minute(s) and 19 second(s)</t>
        </is>
      </c>
      <c r="J694" s="25">
        <f>IFERROR(VALUE(TRIM(LEFT(I694,FIND("minute",I694)-1)))*60,0)+IFERROR(VALUE(SUBSTITUTE(MID(I694,IFERROR(FIND("and",I694)+3,1),20),"second(s)","")),0)</f>
        <v/>
      </c>
      <c r="K694" s="41">
        <f>J694/60</f>
        <v/>
      </c>
      <c r="L694" s="41">
        <f>IFERROR(J694/H694,"")</f>
        <v/>
      </c>
      <c r="M694" s="25" t="inlineStr">
        <is>
          <t>2.5.12</t>
        </is>
      </c>
      <c r="N694" s="25">
        <f>IF(J694&gt;300,1,0)</f>
        <v/>
      </c>
      <c r="O694" s="25">
        <f>IF(J694&gt;600,1,0)</f>
        <v/>
      </c>
      <c r="P694" s="25">
        <f>IF(H694&gt;0,J694,"")</f>
        <v/>
      </c>
      <c r="Q694" s="25">
        <f>TEXT(A694,"YYYY-MM-DD HH")</f>
        <v/>
      </c>
      <c r="R694" s="25">
        <f>COUNTIF($Q$2:$Q$5295,Q694)</f>
        <v/>
      </c>
      <c r="S694" s="25">
        <f>IF(R694&lt;=2,"1-2",IF(R694&lt;=5,"3-5",IF(R694&lt;=10,"6-10","11+")))</f>
        <v/>
      </c>
    </row>
    <row r="695">
      <c r="A695" s="39" t="n">
        <v>46161.22915509259</v>
      </c>
      <c r="B695" s="25">
        <f>TEXT(A695,"YYYY-MM")</f>
        <v/>
      </c>
      <c r="C695" s="25">
        <f>TEXT(A695,"MMM-YYYY")</f>
        <v/>
      </c>
      <c r="D695" s="40">
        <f>INT(A695)-WEEKDAY(A695,2)+1</f>
        <v/>
      </c>
      <c r="E695" s="25" t="inlineStr">
        <is>
          <t>ethomas</t>
        </is>
      </c>
      <c r="F695" s="25" t="n">
        <v>93630</v>
      </c>
      <c r="G695" s="25" t="n">
        <v>1</v>
      </c>
      <c r="H695" s="25" t="n">
        <v>7</v>
      </c>
      <c r="I695" s="25" t="inlineStr">
        <is>
          <t>1 minute(s) and 59 second(s)</t>
        </is>
      </c>
      <c r="J695" s="25">
        <f>IFERROR(VALUE(TRIM(LEFT(I695,FIND("minute",I695)-1)))*60,0)+IFERROR(VALUE(SUBSTITUTE(MID(I695,IFERROR(FIND("and",I695)+3,1),20),"second(s)","")),0)</f>
        <v/>
      </c>
      <c r="K695" s="41">
        <f>J695/60</f>
        <v/>
      </c>
      <c r="L695" s="41">
        <f>IFERROR(J695/H695,"")</f>
        <v/>
      </c>
      <c r="M695" s="25" t="inlineStr">
        <is>
          <t>2.5.12</t>
        </is>
      </c>
      <c r="N695" s="25">
        <f>IF(J695&gt;300,1,0)</f>
        <v/>
      </c>
      <c r="O695" s="25">
        <f>IF(J695&gt;600,1,0)</f>
        <v/>
      </c>
      <c r="P695" s="25">
        <f>IF(H695&gt;0,J695,"")</f>
        <v/>
      </c>
      <c r="Q695" s="25">
        <f>TEXT(A695,"YYYY-MM-DD HH")</f>
        <v/>
      </c>
      <c r="R695" s="25">
        <f>COUNTIF($Q$2:$Q$5295,Q695)</f>
        <v/>
      </c>
      <c r="S695" s="25">
        <f>IF(R695&lt;=2,"1-2",IF(R695&lt;=5,"3-5",IF(R695&lt;=10,"6-10","11+")))</f>
        <v/>
      </c>
    </row>
    <row r="696">
      <c r="A696" s="39" t="n">
        <v>46161.23399305555</v>
      </c>
      <c r="B696" s="25">
        <f>TEXT(A696,"YYYY-MM")</f>
        <v/>
      </c>
      <c r="C696" s="25">
        <f>TEXT(A696,"MMM-YYYY")</f>
        <v/>
      </c>
      <c r="D696" s="40">
        <f>INT(A696)-WEEKDAY(A696,2)+1</f>
        <v/>
      </c>
      <c r="E696" s="25" t="inlineStr">
        <is>
          <t>mgupta</t>
        </is>
      </c>
      <c r="F696" s="25" t="n">
        <v>38354</v>
      </c>
      <c r="G696" s="25" t="n">
        <v>1</v>
      </c>
      <c r="H696" s="25" t="n">
        <v>7</v>
      </c>
      <c r="I696" s="25" t="inlineStr">
        <is>
          <t>1 minute(s) and 11 second(s)</t>
        </is>
      </c>
      <c r="J696" s="25">
        <f>IFERROR(VALUE(TRIM(LEFT(I696,FIND("minute",I696)-1)))*60,0)+IFERROR(VALUE(SUBSTITUTE(MID(I696,IFERROR(FIND("and",I696)+3,1),20),"second(s)","")),0)</f>
        <v/>
      </c>
      <c r="K696" s="41">
        <f>J696/60</f>
        <v/>
      </c>
      <c r="L696" s="41">
        <f>IFERROR(J696/H696,"")</f>
        <v/>
      </c>
      <c r="M696" s="25" t="inlineStr">
        <is>
          <t>2.5.12</t>
        </is>
      </c>
      <c r="N696" s="25">
        <f>IF(J696&gt;300,1,0)</f>
        <v/>
      </c>
      <c r="O696" s="25">
        <f>IF(J696&gt;600,1,0)</f>
        <v/>
      </c>
      <c r="P696" s="25">
        <f>IF(H696&gt;0,J696,"")</f>
        <v/>
      </c>
      <c r="Q696" s="25">
        <f>TEXT(A696,"YYYY-MM-DD HH")</f>
        <v/>
      </c>
      <c r="R696" s="25">
        <f>COUNTIF($Q$2:$Q$5295,Q696)</f>
        <v/>
      </c>
      <c r="S696" s="25">
        <f>IF(R696&lt;=2,"1-2",IF(R696&lt;=5,"3-5",IF(R696&lt;=10,"6-10","11+")))</f>
        <v/>
      </c>
    </row>
    <row r="697">
      <c r="A697" s="39" t="n">
        <v>46161.23496527778</v>
      </c>
      <c r="B697" s="25">
        <f>TEXT(A697,"YYYY-MM")</f>
        <v/>
      </c>
      <c r="C697" s="25">
        <f>TEXT(A697,"MMM-YYYY")</f>
        <v/>
      </c>
      <c r="D697" s="40">
        <f>INT(A697)-WEEKDAY(A697,2)+1</f>
        <v/>
      </c>
      <c r="E697" s="25" t="inlineStr">
        <is>
          <t>taggarwal</t>
        </is>
      </c>
      <c r="F697" s="25" t="n">
        <v>104293</v>
      </c>
      <c r="G697" s="25" t="n">
        <v>1</v>
      </c>
      <c r="H697" s="25" t="n">
        <v>7</v>
      </c>
      <c r="I697" s="25" t="inlineStr">
        <is>
          <t>3 minute(s) and 4 second(s)</t>
        </is>
      </c>
      <c r="J697" s="25">
        <f>IFERROR(VALUE(TRIM(LEFT(I697,FIND("minute",I697)-1)))*60,0)+IFERROR(VALUE(SUBSTITUTE(MID(I697,IFERROR(FIND("and",I697)+3,1),20),"second(s)","")),0)</f>
        <v/>
      </c>
      <c r="K697" s="41">
        <f>J697/60</f>
        <v/>
      </c>
      <c r="L697" s="41">
        <f>IFERROR(J697/H697,"")</f>
        <v/>
      </c>
      <c r="M697" s="25" t="inlineStr">
        <is>
          <t>2.5.12</t>
        </is>
      </c>
      <c r="N697" s="25">
        <f>IF(J697&gt;300,1,0)</f>
        <v/>
      </c>
      <c r="O697" s="25">
        <f>IF(J697&gt;600,1,0)</f>
        <v/>
      </c>
      <c r="P697" s="25">
        <f>IF(H697&gt;0,J697,"")</f>
        <v/>
      </c>
      <c r="Q697" s="25">
        <f>TEXT(A697,"YYYY-MM-DD HH")</f>
        <v/>
      </c>
      <c r="R697" s="25">
        <f>COUNTIF($Q$2:$Q$5295,Q697)</f>
        <v/>
      </c>
      <c r="S697" s="25">
        <f>IF(R697&lt;=2,"1-2",IF(R697&lt;=5,"3-5",IF(R697&lt;=10,"6-10","11+")))</f>
        <v/>
      </c>
    </row>
    <row r="698">
      <c r="A698" s="39" t="n">
        <v>46161.23513888889</v>
      </c>
      <c r="B698" s="25">
        <f>TEXT(A698,"YYYY-MM")</f>
        <v/>
      </c>
      <c r="C698" s="25">
        <f>TEXT(A698,"MMM-YYYY")</f>
        <v/>
      </c>
      <c r="D698" s="40">
        <f>INT(A698)-WEEKDAY(A698,2)+1</f>
        <v/>
      </c>
      <c r="E698" s="25" t="inlineStr">
        <is>
          <t>mbohra</t>
        </is>
      </c>
      <c r="F698" s="25" t="n">
        <v>226</v>
      </c>
      <c r="G698" s="25" t="n">
        <v>1</v>
      </c>
      <c r="H698" s="25" t="n">
        <v>7</v>
      </c>
      <c r="I698" s="25" t="inlineStr">
        <is>
          <t>1 minute(s) and 35 second(s)</t>
        </is>
      </c>
      <c r="J698" s="25">
        <f>IFERROR(VALUE(TRIM(LEFT(I698,FIND("minute",I698)-1)))*60,0)+IFERROR(VALUE(SUBSTITUTE(MID(I698,IFERROR(FIND("and",I698)+3,1),20),"second(s)","")),0)</f>
        <v/>
      </c>
      <c r="K698" s="41">
        <f>J698/60</f>
        <v/>
      </c>
      <c r="L698" s="41">
        <f>IFERROR(J698/H698,"")</f>
        <v/>
      </c>
      <c r="M698" s="25" t="inlineStr">
        <is>
          <t>2.5.12</t>
        </is>
      </c>
      <c r="N698" s="25">
        <f>IF(J698&gt;300,1,0)</f>
        <v/>
      </c>
      <c r="O698" s="25">
        <f>IF(J698&gt;600,1,0)</f>
        <v/>
      </c>
      <c r="P698" s="25">
        <f>IF(H698&gt;0,J698,"")</f>
        <v/>
      </c>
      <c r="Q698" s="25">
        <f>TEXT(A698,"YYYY-MM-DD HH")</f>
        <v/>
      </c>
      <c r="R698" s="25">
        <f>COUNTIF($Q$2:$Q$5295,Q698)</f>
        <v/>
      </c>
      <c r="S698" s="25">
        <f>IF(R698&lt;=2,"1-2",IF(R698&lt;=5,"3-5",IF(R698&lt;=10,"6-10","11+")))</f>
        <v/>
      </c>
    </row>
    <row r="699">
      <c r="A699" s="39" t="n">
        <v>46161.23774305556</v>
      </c>
      <c r="B699" s="25">
        <f>TEXT(A699,"YYYY-MM")</f>
        <v/>
      </c>
      <c r="C699" s="25">
        <f>TEXT(A699,"MMM-YYYY")</f>
        <v/>
      </c>
      <c r="D699" s="40">
        <f>INT(A699)-WEEKDAY(A699,2)+1</f>
        <v/>
      </c>
      <c r="E699" s="25" t="inlineStr">
        <is>
          <t>ptomar</t>
        </is>
      </c>
      <c r="F699" s="25" t="n">
        <v>131</v>
      </c>
      <c r="G699" s="25" t="n">
        <v>1</v>
      </c>
      <c r="H699" s="25" t="n">
        <v>5</v>
      </c>
      <c r="I699" s="25" t="inlineStr">
        <is>
          <t>30 second(s)</t>
        </is>
      </c>
      <c r="J699" s="25">
        <f>IFERROR(VALUE(TRIM(LEFT(I699,FIND("minute",I699)-1)))*60,0)+IFERROR(VALUE(SUBSTITUTE(MID(I699,IFERROR(FIND("and",I699)+3,1),20),"second(s)","")),0)</f>
        <v/>
      </c>
      <c r="K699" s="41">
        <f>J699/60</f>
        <v/>
      </c>
      <c r="L699" s="41">
        <f>IFERROR(J699/H699,"")</f>
        <v/>
      </c>
      <c r="M699" s="25" t="inlineStr">
        <is>
          <t>2.5.12</t>
        </is>
      </c>
      <c r="N699" s="25">
        <f>IF(J699&gt;300,1,0)</f>
        <v/>
      </c>
      <c r="O699" s="25">
        <f>IF(J699&gt;600,1,0)</f>
        <v/>
      </c>
      <c r="P699" s="25">
        <f>IF(H699&gt;0,J699,"")</f>
        <v/>
      </c>
      <c r="Q699" s="25">
        <f>TEXT(A699,"YYYY-MM-DD HH")</f>
        <v/>
      </c>
      <c r="R699" s="25">
        <f>COUNTIF($Q$2:$Q$5295,Q699)</f>
        <v/>
      </c>
      <c r="S699" s="25">
        <f>IF(R699&lt;=2,"1-2",IF(R699&lt;=5,"3-5",IF(R699&lt;=10,"6-10","11+")))</f>
        <v/>
      </c>
    </row>
    <row r="700">
      <c r="A700" s="39" t="n">
        <v>46161.23931712963</v>
      </c>
      <c r="B700" s="25">
        <f>TEXT(A700,"YYYY-MM")</f>
        <v/>
      </c>
      <c r="C700" s="25">
        <f>TEXT(A700,"MMM-YYYY")</f>
        <v/>
      </c>
      <c r="D700" s="40">
        <f>INT(A700)-WEEKDAY(A700,2)+1</f>
        <v/>
      </c>
      <c r="E700" s="25" t="inlineStr">
        <is>
          <t>nbindu</t>
        </is>
      </c>
      <c r="F700" s="25" t="n">
        <v>383</v>
      </c>
      <c r="G700" s="25" t="n">
        <v>1</v>
      </c>
      <c r="H700" s="25" t="n">
        <v>5</v>
      </c>
      <c r="I700" s="25" t="inlineStr">
        <is>
          <t>2 minute(s) and 7 second(s)</t>
        </is>
      </c>
      <c r="J700" s="25">
        <f>IFERROR(VALUE(TRIM(LEFT(I700,FIND("minute",I700)-1)))*60,0)+IFERROR(VALUE(SUBSTITUTE(MID(I700,IFERROR(FIND("and",I700)+3,1),20),"second(s)","")),0)</f>
        <v/>
      </c>
      <c r="K700" s="41">
        <f>J700/60</f>
        <v/>
      </c>
      <c r="L700" s="41">
        <f>IFERROR(J700/H700,"")</f>
        <v/>
      </c>
      <c r="M700" s="25" t="inlineStr">
        <is>
          <t>2.5.12</t>
        </is>
      </c>
      <c r="N700" s="25">
        <f>IF(J700&gt;300,1,0)</f>
        <v/>
      </c>
      <c r="O700" s="25">
        <f>IF(J700&gt;600,1,0)</f>
        <v/>
      </c>
      <c r="P700" s="25">
        <f>IF(H700&gt;0,J700,"")</f>
        <v/>
      </c>
      <c r="Q700" s="25">
        <f>TEXT(A700,"YYYY-MM-DD HH")</f>
        <v/>
      </c>
      <c r="R700" s="25">
        <f>COUNTIF($Q$2:$Q$5295,Q700)</f>
        <v/>
      </c>
      <c r="S700" s="25">
        <f>IF(R700&lt;=2,"1-2",IF(R700&lt;=5,"3-5",IF(R700&lt;=10,"6-10","11+")))</f>
        <v/>
      </c>
    </row>
    <row r="701">
      <c r="A701" s="39" t="n">
        <v>46161.24321759259</v>
      </c>
      <c r="B701" s="25">
        <f>TEXT(A701,"YYYY-MM")</f>
        <v/>
      </c>
      <c r="C701" s="25">
        <f>TEXT(A701,"MMM-YYYY")</f>
        <v/>
      </c>
      <c r="D701" s="40">
        <f>INT(A701)-WEEKDAY(A701,2)+1</f>
        <v/>
      </c>
      <c r="E701" s="25" t="inlineStr">
        <is>
          <t>emishra</t>
        </is>
      </c>
      <c r="F701" s="25" t="n">
        <v>107674</v>
      </c>
      <c r="G701" s="25" t="n">
        <v>5</v>
      </c>
      <c r="H701" s="25" t="n">
        <v>19</v>
      </c>
      <c r="I701" s="25" t="inlineStr">
        <is>
          <t>2 minute(s) and 55 second(s)</t>
        </is>
      </c>
      <c r="J701" s="25">
        <f>IFERROR(VALUE(TRIM(LEFT(I701,FIND("minute",I701)-1)))*60,0)+IFERROR(VALUE(SUBSTITUTE(MID(I701,IFERROR(FIND("and",I701)+3,1),20),"second(s)","")),0)</f>
        <v/>
      </c>
      <c r="K701" s="41">
        <f>J701/60</f>
        <v/>
      </c>
      <c r="L701" s="41">
        <f>IFERROR(J701/H701,"")</f>
        <v/>
      </c>
      <c r="M701" s="25" t="inlineStr">
        <is>
          <t>2.5.12</t>
        </is>
      </c>
      <c r="N701" s="25">
        <f>IF(J701&gt;300,1,0)</f>
        <v/>
      </c>
      <c r="O701" s="25">
        <f>IF(J701&gt;600,1,0)</f>
        <v/>
      </c>
      <c r="P701" s="25">
        <f>IF(H701&gt;0,J701,"")</f>
        <v/>
      </c>
      <c r="Q701" s="25">
        <f>TEXT(A701,"YYYY-MM-DD HH")</f>
        <v/>
      </c>
      <c r="R701" s="25">
        <f>COUNTIF($Q$2:$Q$5295,Q701)</f>
        <v/>
      </c>
      <c r="S701" s="25">
        <f>IF(R701&lt;=2,"1-2",IF(R701&lt;=5,"3-5",IF(R701&lt;=10,"6-10","11+")))</f>
        <v/>
      </c>
    </row>
    <row r="702">
      <c r="A702" s="39" t="n">
        <v>46161.24569444444</v>
      </c>
      <c r="B702" s="25">
        <f>TEXT(A702,"YYYY-MM")</f>
        <v/>
      </c>
      <c r="C702" s="25">
        <f>TEXT(A702,"MMM-YYYY")</f>
        <v/>
      </c>
      <c r="D702" s="40">
        <f>INT(A702)-WEEKDAY(A702,2)+1</f>
        <v/>
      </c>
      <c r="E702" s="25" t="inlineStr">
        <is>
          <t>aupadhayay</t>
        </is>
      </c>
      <c r="F702" s="25" t="n">
        <v>104363</v>
      </c>
      <c r="G702" s="25" t="n">
        <v>5</v>
      </c>
      <c r="H702" s="25" t="n">
        <v>19</v>
      </c>
      <c r="I702" s="25" t="inlineStr">
        <is>
          <t>7 minute(s) and 1 second(s)</t>
        </is>
      </c>
      <c r="J702" s="25">
        <f>IFERROR(VALUE(TRIM(LEFT(I702,FIND("minute",I702)-1)))*60,0)+IFERROR(VALUE(SUBSTITUTE(MID(I702,IFERROR(FIND("and",I702)+3,1),20),"second(s)","")),0)</f>
        <v/>
      </c>
      <c r="K702" s="41">
        <f>J702/60</f>
        <v/>
      </c>
      <c r="L702" s="41">
        <f>IFERROR(J702/H702,"")</f>
        <v/>
      </c>
      <c r="M702" s="25" t="inlineStr">
        <is>
          <t>2.5.12</t>
        </is>
      </c>
      <c r="N702" s="25">
        <f>IF(J702&gt;300,1,0)</f>
        <v/>
      </c>
      <c r="O702" s="25">
        <f>IF(J702&gt;600,1,0)</f>
        <v/>
      </c>
      <c r="P702" s="25">
        <f>IF(H702&gt;0,J702,"")</f>
        <v/>
      </c>
      <c r="Q702" s="25">
        <f>TEXT(A702,"YYYY-MM-DD HH")</f>
        <v/>
      </c>
      <c r="R702" s="25">
        <f>COUNTIF($Q$2:$Q$5295,Q702)</f>
        <v/>
      </c>
      <c r="S702" s="25">
        <f>IF(R702&lt;=2,"1-2",IF(R702&lt;=5,"3-5",IF(R702&lt;=10,"6-10","11+")))</f>
        <v/>
      </c>
    </row>
    <row r="703">
      <c r="A703" s="39" t="n">
        <v>46161.25038194445</v>
      </c>
      <c r="B703" s="25">
        <f>TEXT(A703,"YYYY-MM")</f>
        <v/>
      </c>
      <c r="C703" s="25">
        <f>TEXT(A703,"MMM-YYYY")</f>
        <v/>
      </c>
      <c r="D703" s="40">
        <f>INT(A703)-WEEKDAY(A703,2)+1</f>
        <v/>
      </c>
      <c r="E703" s="25" t="inlineStr">
        <is>
          <t>vreddy</t>
        </is>
      </c>
      <c r="F703" s="25" t="n">
        <v>116357</v>
      </c>
      <c r="G703" s="25" t="n">
        <v>5</v>
      </c>
      <c r="H703" s="25" t="n">
        <v>18</v>
      </c>
      <c r="I703" s="25" t="inlineStr">
        <is>
          <t>4 minute(s) and 9 second(s)</t>
        </is>
      </c>
      <c r="J703" s="25">
        <f>IFERROR(VALUE(TRIM(LEFT(I703,FIND("minute",I703)-1)))*60,0)+IFERROR(VALUE(SUBSTITUTE(MID(I703,IFERROR(FIND("and",I703)+3,1),20),"second(s)","")),0)</f>
        <v/>
      </c>
      <c r="K703" s="41">
        <f>J703/60</f>
        <v/>
      </c>
      <c r="L703" s="41">
        <f>IFERROR(J703/H703,"")</f>
        <v/>
      </c>
      <c r="M703" s="25" t="inlineStr">
        <is>
          <t>2.5.12</t>
        </is>
      </c>
      <c r="N703" s="25">
        <f>IF(J703&gt;300,1,0)</f>
        <v/>
      </c>
      <c r="O703" s="25">
        <f>IF(J703&gt;600,1,0)</f>
        <v/>
      </c>
      <c r="P703" s="25">
        <f>IF(H703&gt;0,J703,"")</f>
        <v/>
      </c>
      <c r="Q703" s="25">
        <f>TEXT(A703,"YYYY-MM-DD HH")</f>
        <v/>
      </c>
      <c r="R703" s="25">
        <f>COUNTIF($Q$2:$Q$5295,Q703)</f>
        <v/>
      </c>
      <c r="S703" s="25">
        <f>IF(R703&lt;=2,"1-2",IF(R703&lt;=5,"3-5",IF(R703&lt;=10,"6-10","11+")))</f>
        <v/>
      </c>
    </row>
    <row r="704">
      <c r="A704" s="39" t="n">
        <v>46161.25119212963</v>
      </c>
      <c r="B704" s="25">
        <f>TEXT(A704,"YYYY-MM")</f>
        <v/>
      </c>
      <c r="C704" s="25">
        <f>TEXT(A704,"MMM-YYYY")</f>
        <v/>
      </c>
      <c r="D704" s="40">
        <f>INT(A704)-WEEKDAY(A704,2)+1</f>
        <v/>
      </c>
      <c r="E704" s="25" t="inlineStr">
        <is>
          <t>abhaskarkp</t>
        </is>
      </c>
      <c r="F704" s="25" t="n">
        <v>96623</v>
      </c>
      <c r="G704" s="25" t="n">
        <v>3</v>
      </c>
      <c r="H704" s="25" t="n">
        <v>13</v>
      </c>
      <c r="I704" s="25" t="inlineStr">
        <is>
          <t>2 minute(s) and 46 second(s)</t>
        </is>
      </c>
      <c r="J704" s="25">
        <f>IFERROR(VALUE(TRIM(LEFT(I704,FIND("minute",I704)-1)))*60,0)+IFERROR(VALUE(SUBSTITUTE(MID(I704,IFERROR(FIND("and",I704)+3,1),20),"second(s)","")),0)</f>
        <v/>
      </c>
      <c r="K704" s="41">
        <f>J704/60</f>
        <v/>
      </c>
      <c r="L704" s="41">
        <f>IFERROR(J704/H704,"")</f>
        <v/>
      </c>
      <c r="M704" s="25" t="inlineStr">
        <is>
          <t>2.5.12</t>
        </is>
      </c>
      <c r="N704" s="25">
        <f>IF(J704&gt;300,1,0)</f>
        <v/>
      </c>
      <c r="O704" s="25">
        <f>IF(J704&gt;600,1,0)</f>
        <v/>
      </c>
      <c r="P704" s="25">
        <f>IF(H704&gt;0,J704,"")</f>
        <v/>
      </c>
      <c r="Q704" s="25">
        <f>TEXT(A704,"YYYY-MM-DD HH")</f>
        <v/>
      </c>
      <c r="R704" s="25">
        <f>COUNTIF($Q$2:$Q$5295,Q704)</f>
        <v/>
      </c>
      <c r="S704" s="25">
        <f>IF(R704&lt;=2,"1-2",IF(R704&lt;=5,"3-5",IF(R704&lt;=10,"6-10","11+")))</f>
        <v/>
      </c>
    </row>
    <row r="705">
      <c r="A705" s="39" t="n">
        <v>46161.25155092592</v>
      </c>
      <c r="B705" s="25">
        <f>TEXT(A705,"YYYY-MM")</f>
        <v/>
      </c>
      <c r="C705" s="25">
        <f>TEXT(A705,"MMM-YYYY")</f>
        <v/>
      </c>
      <c r="D705" s="40">
        <f>INT(A705)-WEEKDAY(A705,2)+1</f>
        <v/>
      </c>
      <c r="E705" s="25" t="inlineStr">
        <is>
          <t>nlnu</t>
        </is>
      </c>
      <c r="F705" s="25" t="n">
        <v>71898</v>
      </c>
      <c r="G705" s="25" t="n">
        <v>5</v>
      </c>
      <c r="H705" s="25" t="n">
        <v>19</v>
      </c>
      <c r="I705" s="25" t="inlineStr">
        <is>
          <t>6 minute(s) and 58 second(s)</t>
        </is>
      </c>
      <c r="J705" s="25">
        <f>IFERROR(VALUE(TRIM(LEFT(I705,FIND("minute",I705)-1)))*60,0)+IFERROR(VALUE(SUBSTITUTE(MID(I705,IFERROR(FIND("and",I705)+3,1),20),"second(s)","")),0)</f>
        <v/>
      </c>
      <c r="K705" s="41">
        <f>J705/60</f>
        <v/>
      </c>
      <c r="L705" s="41">
        <f>IFERROR(J705/H705,"")</f>
        <v/>
      </c>
      <c r="M705" s="25" t="inlineStr">
        <is>
          <t>2.5.12</t>
        </is>
      </c>
      <c r="N705" s="25">
        <f>IF(J705&gt;300,1,0)</f>
        <v/>
      </c>
      <c r="O705" s="25">
        <f>IF(J705&gt;600,1,0)</f>
        <v/>
      </c>
      <c r="P705" s="25">
        <f>IF(H705&gt;0,J705,"")</f>
        <v/>
      </c>
      <c r="Q705" s="25">
        <f>TEXT(A705,"YYYY-MM-DD HH")</f>
        <v/>
      </c>
      <c r="R705" s="25">
        <f>COUNTIF($Q$2:$Q$5295,Q705)</f>
        <v/>
      </c>
      <c r="S705" s="25">
        <f>IF(R705&lt;=2,"1-2",IF(R705&lt;=5,"3-5",IF(R705&lt;=10,"6-10","11+")))</f>
        <v/>
      </c>
    </row>
    <row r="706">
      <c r="A706" s="39" t="n">
        <v>46161.25310185185</v>
      </c>
      <c r="B706" s="25">
        <f>TEXT(A706,"YYYY-MM")</f>
        <v/>
      </c>
      <c r="C706" s="25">
        <f>TEXT(A706,"MMM-YYYY")</f>
        <v/>
      </c>
      <c r="D706" s="40">
        <f>INT(A706)-WEEKDAY(A706,2)+1</f>
        <v/>
      </c>
      <c r="E706" s="25" t="inlineStr">
        <is>
          <t>ptomar</t>
        </is>
      </c>
      <c r="F706" s="25" t="n">
        <v>103</v>
      </c>
      <c r="G706" s="25" t="n">
        <v>1</v>
      </c>
      <c r="H706" s="25" t="n">
        <v>7</v>
      </c>
      <c r="I706" s="25" t="inlineStr">
        <is>
          <t>49 second(s)</t>
        </is>
      </c>
      <c r="J706" s="25">
        <f>IFERROR(VALUE(TRIM(LEFT(I706,FIND("minute",I706)-1)))*60,0)+IFERROR(VALUE(SUBSTITUTE(MID(I706,IFERROR(FIND("and",I706)+3,1),20),"second(s)","")),0)</f>
        <v/>
      </c>
      <c r="K706" s="41">
        <f>J706/60</f>
        <v/>
      </c>
      <c r="L706" s="41">
        <f>IFERROR(J706/H706,"")</f>
        <v/>
      </c>
      <c r="M706" s="25" t="inlineStr">
        <is>
          <t>2.5.12</t>
        </is>
      </c>
      <c r="N706" s="25">
        <f>IF(J706&gt;300,1,0)</f>
        <v/>
      </c>
      <c r="O706" s="25">
        <f>IF(J706&gt;600,1,0)</f>
        <v/>
      </c>
      <c r="P706" s="25">
        <f>IF(H706&gt;0,J706,"")</f>
        <v/>
      </c>
      <c r="Q706" s="25">
        <f>TEXT(A706,"YYYY-MM-DD HH")</f>
        <v/>
      </c>
      <c r="R706" s="25">
        <f>COUNTIF($Q$2:$Q$5295,Q706)</f>
        <v/>
      </c>
      <c r="S706" s="25">
        <f>IF(R706&lt;=2,"1-2",IF(R706&lt;=5,"3-5",IF(R706&lt;=10,"6-10","11+")))</f>
        <v/>
      </c>
    </row>
    <row r="707">
      <c r="A707" s="39" t="n">
        <v>46161.25452546297</v>
      </c>
      <c r="B707" s="25">
        <f>TEXT(A707,"YYYY-MM")</f>
        <v/>
      </c>
      <c r="C707" s="25">
        <f>TEXT(A707,"MMM-YYYY")</f>
        <v/>
      </c>
      <c r="D707" s="40">
        <f>INT(A707)-WEEKDAY(A707,2)+1</f>
        <v/>
      </c>
      <c r="E707" s="25" t="inlineStr">
        <is>
          <t>aghosh</t>
        </is>
      </c>
      <c r="F707" s="25" t="n">
        <v>114566</v>
      </c>
      <c r="G707" s="25" t="n">
        <v>2</v>
      </c>
      <c r="H707" s="25" t="n">
        <v>12</v>
      </c>
      <c r="I707" s="25" t="inlineStr">
        <is>
          <t>3 minute(s) and 9 second(s)</t>
        </is>
      </c>
      <c r="J707" s="25">
        <f>IFERROR(VALUE(TRIM(LEFT(I707,FIND("minute",I707)-1)))*60,0)+IFERROR(VALUE(SUBSTITUTE(MID(I707,IFERROR(FIND("and",I707)+3,1),20),"second(s)","")),0)</f>
        <v/>
      </c>
      <c r="K707" s="41">
        <f>J707/60</f>
        <v/>
      </c>
      <c r="L707" s="41">
        <f>IFERROR(J707/H707,"")</f>
        <v/>
      </c>
      <c r="M707" s="25" t="inlineStr">
        <is>
          <t>2.5.12</t>
        </is>
      </c>
      <c r="N707" s="25">
        <f>IF(J707&gt;300,1,0)</f>
        <v/>
      </c>
      <c r="O707" s="25">
        <f>IF(J707&gt;600,1,0)</f>
        <v/>
      </c>
      <c r="P707" s="25">
        <f>IF(H707&gt;0,J707,"")</f>
        <v/>
      </c>
      <c r="Q707" s="25">
        <f>TEXT(A707,"YYYY-MM-DD HH")</f>
        <v/>
      </c>
      <c r="R707" s="25">
        <f>COUNTIF($Q$2:$Q$5295,Q707)</f>
        <v/>
      </c>
      <c r="S707" s="25">
        <f>IF(R707&lt;=2,"1-2",IF(R707&lt;=5,"3-5",IF(R707&lt;=10,"6-10","11+")))</f>
        <v/>
      </c>
    </row>
    <row r="708">
      <c r="A708" s="39" t="n">
        <v>46161.25862268519</v>
      </c>
      <c r="B708" s="25">
        <f>TEXT(A708,"YYYY-MM")</f>
        <v/>
      </c>
      <c r="C708" s="25">
        <f>TEXT(A708,"MMM-YYYY")</f>
        <v/>
      </c>
      <c r="D708" s="40">
        <f>INT(A708)-WEEKDAY(A708,2)+1</f>
        <v/>
      </c>
      <c r="E708" s="25" t="inlineStr">
        <is>
          <t>vraina</t>
        </is>
      </c>
      <c r="F708" s="25" t="n">
        <v>168</v>
      </c>
      <c r="G708" s="25" t="n">
        <v>1</v>
      </c>
      <c r="H708" s="25" t="n">
        <v>5</v>
      </c>
      <c r="I708" s="25" t="inlineStr">
        <is>
          <t>1 minute(s) and 4 second(s)</t>
        </is>
      </c>
      <c r="J708" s="25">
        <f>IFERROR(VALUE(TRIM(LEFT(I708,FIND("minute",I708)-1)))*60,0)+IFERROR(VALUE(SUBSTITUTE(MID(I708,IFERROR(FIND("and",I708)+3,1),20),"second(s)","")),0)</f>
        <v/>
      </c>
      <c r="K708" s="41">
        <f>J708/60</f>
        <v/>
      </c>
      <c r="L708" s="41">
        <f>IFERROR(J708/H708,"")</f>
        <v/>
      </c>
      <c r="M708" s="25" t="inlineStr">
        <is>
          <t>2.5.12</t>
        </is>
      </c>
      <c r="N708" s="25">
        <f>IF(J708&gt;300,1,0)</f>
        <v/>
      </c>
      <c r="O708" s="25">
        <f>IF(J708&gt;600,1,0)</f>
        <v/>
      </c>
      <c r="P708" s="25">
        <f>IF(H708&gt;0,J708,"")</f>
        <v/>
      </c>
      <c r="Q708" s="25">
        <f>TEXT(A708,"YYYY-MM-DD HH")</f>
        <v/>
      </c>
      <c r="R708" s="25">
        <f>COUNTIF($Q$2:$Q$5295,Q708)</f>
        <v/>
      </c>
      <c r="S708" s="25">
        <f>IF(R708&lt;=2,"1-2",IF(R708&lt;=5,"3-5",IF(R708&lt;=10,"6-10","11+")))</f>
        <v/>
      </c>
    </row>
    <row r="709">
      <c r="A709" s="39" t="n">
        <v>46161.2590162037</v>
      </c>
      <c r="B709" s="25">
        <f>TEXT(A709,"YYYY-MM")</f>
        <v/>
      </c>
      <c r="C709" s="25">
        <f>TEXT(A709,"MMM-YYYY")</f>
        <v/>
      </c>
      <c r="D709" s="40">
        <f>INT(A709)-WEEKDAY(A709,2)+1</f>
        <v/>
      </c>
      <c r="E709" s="25" t="inlineStr">
        <is>
          <t>ns</t>
        </is>
      </c>
      <c r="F709" s="25" t="n">
        <v>80926</v>
      </c>
      <c r="G709" s="25" t="n">
        <v>1</v>
      </c>
      <c r="H709" s="25" t="n">
        <v>5</v>
      </c>
      <c r="I709" s="25" t="inlineStr">
        <is>
          <t>2 minute(s) and 14 second(s)</t>
        </is>
      </c>
      <c r="J709" s="25">
        <f>IFERROR(VALUE(TRIM(LEFT(I709,FIND("minute",I709)-1)))*60,0)+IFERROR(VALUE(SUBSTITUTE(MID(I709,IFERROR(FIND("and",I709)+3,1),20),"second(s)","")),0)</f>
        <v/>
      </c>
      <c r="K709" s="41">
        <f>J709/60</f>
        <v/>
      </c>
      <c r="L709" s="41">
        <f>IFERROR(J709/H709,"")</f>
        <v/>
      </c>
      <c r="M709" s="25" t="inlineStr">
        <is>
          <t>2.5.12</t>
        </is>
      </c>
      <c r="N709" s="25">
        <f>IF(J709&gt;300,1,0)</f>
        <v/>
      </c>
      <c r="O709" s="25">
        <f>IF(J709&gt;600,1,0)</f>
        <v/>
      </c>
      <c r="P709" s="25">
        <f>IF(H709&gt;0,J709,"")</f>
        <v/>
      </c>
      <c r="Q709" s="25">
        <f>TEXT(A709,"YYYY-MM-DD HH")</f>
        <v/>
      </c>
      <c r="R709" s="25">
        <f>COUNTIF($Q$2:$Q$5295,Q709)</f>
        <v/>
      </c>
      <c r="S709" s="25">
        <f>IF(R709&lt;=2,"1-2",IF(R709&lt;=5,"3-5",IF(R709&lt;=10,"6-10","11+")))</f>
        <v/>
      </c>
    </row>
    <row r="710">
      <c r="A710" s="39" t="n">
        <v>46161.26056712963</v>
      </c>
      <c r="B710" s="25">
        <f>TEXT(A710,"YYYY-MM")</f>
        <v/>
      </c>
      <c r="C710" s="25">
        <f>TEXT(A710,"MMM-YYYY")</f>
        <v/>
      </c>
      <c r="D710" s="40">
        <f>INT(A710)-WEEKDAY(A710,2)+1</f>
        <v/>
      </c>
      <c r="E710" s="25" t="inlineStr">
        <is>
          <t>mbhalla</t>
        </is>
      </c>
      <c r="F710" s="25" t="n">
        <v>33</v>
      </c>
      <c r="G710" s="25" t="n">
        <v>1</v>
      </c>
      <c r="H710" s="25" t="n">
        <v>7</v>
      </c>
      <c r="I710" s="25" t="inlineStr">
        <is>
          <t>1 minute(s) and 27 second(s)</t>
        </is>
      </c>
      <c r="J710" s="25">
        <f>IFERROR(VALUE(TRIM(LEFT(I710,FIND("minute",I710)-1)))*60,0)+IFERROR(VALUE(SUBSTITUTE(MID(I710,IFERROR(FIND("and",I710)+3,1),20),"second(s)","")),0)</f>
        <v/>
      </c>
      <c r="K710" s="41">
        <f>J710/60</f>
        <v/>
      </c>
      <c r="L710" s="41">
        <f>IFERROR(J710/H710,"")</f>
        <v/>
      </c>
      <c r="M710" s="25" t="inlineStr">
        <is>
          <t>2.5.12</t>
        </is>
      </c>
      <c r="N710" s="25">
        <f>IF(J710&gt;300,1,0)</f>
        <v/>
      </c>
      <c r="O710" s="25">
        <f>IF(J710&gt;600,1,0)</f>
        <v/>
      </c>
      <c r="P710" s="25">
        <f>IF(H710&gt;0,J710,"")</f>
        <v/>
      </c>
      <c r="Q710" s="25">
        <f>TEXT(A710,"YYYY-MM-DD HH")</f>
        <v/>
      </c>
      <c r="R710" s="25">
        <f>COUNTIF($Q$2:$Q$5295,Q710)</f>
        <v/>
      </c>
      <c r="S710" s="25">
        <f>IF(R710&lt;=2,"1-2",IF(R710&lt;=5,"3-5",IF(R710&lt;=10,"6-10","11+")))</f>
        <v/>
      </c>
    </row>
    <row r="711">
      <c r="A711" s="39" t="n">
        <v>46161.26244212963</v>
      </c>
      <c r="B711" s="25">
        <f>TEXT(A711,"YYYY-MM")</f>
        <v/>
      </c>
      <c r="C711" s="25">
        <f>TEXT(A711,"MMM-YYYY")</f>
        <v/>
      </c>
      <c r="D711" s="40">
        <f>INT(A711)-WEEKDAY(A711,2)+1</f>
        <v/>
      </c>
      <c r="E711" s="25" t="inlineStr">
        <is>
          <t>psathwika</t>
        </is>
      </c>
      <c r="F711" s="25" t="n">
        <v>81521</v>
      </c>
      <c r="G711" s="25" t="n">
        <v>1</v>
      </c>
      <c r="H711" s="25" t="n">
        <v>8</v>
      </c>
      <c r="I711" s="25" t="inlineStr">
        <is>
          <t>3 minute(s) and 28 second(s)</t>
        </is>
      </c>
      <c r="J711" s="25">
        <f>IFERROR(VALUE(TRIM(LEFT(I711,FIND("minute",I711)-1)))*60,0)+IFERROR(VALUE(SUBSTITUTE(MID(I711,IFERROR(FIND("and",I711)+3,1),20),"second(s)","")),0)</f>
        <v/>
      </c>
      <c r="K711" s="41">
        <f>J711/60</f>
        <v/>
      </c>
      <c r="L711" s="41">
        <f>IFERROR(J711/H711,"")</f>
        <v/>
      </c>
      <c r="M711" s="25" t="inlineStr">
        <is>
          <t>2.5.12</t>
        </is>
      </c>
      <c r="N711" s="25">
        <f>IF(J711&gt;300,1,0)</f>
        <v/>
      </c>
      <c r="O711" s="25">
        <f>IF(J711&gt;600,1,0)</f>
        <v/>
      </c>
      <c r="P711" s="25">
        <f>IF(H711&gt;0,J711,"")</f>
        <v/>
      </c>
      <c r="Q711" s="25">
        <f>TEXT(A711,"YYYY-MM-DD HH")</f>
        <v/>
      </c>
      <c r="R711" s="25">
        <f>COUNTIF($Q$2:$Q$5295,Q711)</f>
        <v/>
      </c>
      <c r="S711" s="25">
        <f>IF(R711&lt;=2,"1-2",IF(R711&lt;=5,"3-5",IF(R711&lt;=10,"6-10","11+")))</f>
        <v/>
      </c>
    </row>
    <row r="712">
      <c r="A712" s="39" t="n">
        <v>46161.26650462963</v>
      </c>
      <c r="B712" s="25">
        <f>TEXT(A712,"YYYY-MM")</f>
        <v/>
      </c>
      <c r="C712" s="25">
        <f>TEXT(A712,"MMM-YYYY")</f>
        <v/>
      </c>
      <c r="D712" s="40">
        <f>INT(A712)-WEEKDAY(A712,2)+1</f>
        <v/>
      </c>
      <c r="E712" s="25" t="inlineStr">
        <is>
          <t>hdutt</t>
        </is>
      </c>
      <c r="F712" s="25" t="n">
        <v>96407</v>
      </c>
      <c r="G712" s="25" t="n">
        <v>2</v>
      </c>
      <c r="H712" s="25" t="n">
        <v>12</v>
      </c>
      <c r="I712" s="25" t="inlineStr">
        <is>
          <t>3 minute(s) and 20 second(s)</t>
        </is>
      </c>
      <c r="J712" s="25">
        <f>IFERROR(VALUE(TRIM(LEFT(I712,FIND("minute",I712)-1)))*60,0)+IFERROR(VALUE(SUBSTITUTE(MID(I712,IFERROR(FIND("and",I712)+3,1),20),"second(s)","")),0)</f>
        <v/>
      </c>
      <c r="K712" s="41">
        <f>J712/60</f>
        <v/>
      </c>
      <c r="L712" s="41">
        <f>IFERROR(J712/H712,"")</f>
        <v/>
      </c>
      <c r="M712" s="25" t="inlineStr">
        <is>
          <t>2.5.12</t>
        </is>
      </c>
      <c r="N712" s="25">
        <f>IF(J712&gt;300,1,0)</f>
        <v/>
      </c>
      <c r="O712" s="25">
        <f>IF(J712&gt;600,1,0)</f>
        <v/>
      </c>
      <c r="P712" s="25">
        <f>IF(H712&gt;0,J712,"")</f>
        <v/>
      </c>
      <c r="Q712" s="25">
        <f>TEXT(A712,"YYYY-MM-DD HH")</f>
        <v/>
      </c>
      <c r="R712" s="25">
        <f>COUNTIF($Q$2:$Q$5295,Q712)</f>
        <v/>
      </c>
      <c r="S712" s="25">
        <f>IF(R712&lt;=2,"1-2",IF(R712&lt;=5,"3-5",IF(R712&lt;=10,"6-10","11+")))</f>
        <v/>
      </c>
    </row>
    <row r="713">
      <c r="A713" s="39" t="n">
        <v>46161.26831018519</v>
      </c>
      <c r="B713" s="25">
        <f>TEXT(A713,"YYYY-MM")</f>
        <v/>
      </c>
      <c r="C713" s="25">
        <f>TEXT(A713,"MMM-YYYY")</f>
        <v/>
      </c>
      <c r="D713" s="40">
        <f>INT(A713)-WEEKDAY(A713,2)+1</f>
        <v/>
      </c>
      <c r="E713" s="25" t="inlineStr">
        <is>
          <t>stiwari</t>
        </is>
      </c>
      <c r="F713" s="25" t="n">
        <v>81134</v>
      </c>
      <c r="G713" s="25" t="n">
        <v>3</v>
      </c>
      <c r="H713" s="25" t="n">
        <v>13</v>
      </c>
      <c r="I713" s="25" t="inlineStr">
        <is>
          <t>2 minute(s) and 33 second(s)</t>
        </is>
      </c>
      <c r="J713" s="25">
        <f>IFERROR(VALUE(TRIM(LEFT(I713,FIND("minute",I713)-1)))*60,0)+IFERROR(VALUE(SUBSTITUTE(MID(I713,IFERROR(FIND("and",I713)+3,1),20),"second(s)","")),0)</f>
        <v/>
      </c>
      <c r="K713" s="41">
        <f>J713/60</f>
        <v/>
      </c>
      <c r="L713" s="41">
        <f>IFERROR(J713/H713,"")</f>
        <v/>
      </c>
      <c r="M713" s="25" t="inlineStr">
        <is>
          <t>2.5.12</t>
        </is>
      </c>
      <c r="N713" s="25">
        <f>IF(J713&gt;300,1,0)</f>
        <v/>
      </c>
      <c r="O713" s="25">
        <f>IF(J713&gt;600,1,0)</f>
        <v/>
      </c>
      <c r="P713" s="25">
        <f>IF(H713&gt;0,J713,"")</f>
        <v/>
      </c>
      <c r="Q713" s="25">
        <f>TEXT(A713,"YYYY-MM-DD HH")</f>
        <v/>
      </c>
      <c r="R713" s="25">
        <f>COUNTIF($Q$2:$Q$5295,Q713)</f>
        <v/>
      </c>
      <c r="S713" s="25">
        <f>IF(R713&lt;=2,"1-2",IF(R713&lt;=5,"3-5",IF(R713&lt;=10,"6-10","11+")))</f>
        <v/>
      </c>
    </row>
    <row r="714">
      <c r="A714" s="39" t="n">
        <v>46161.26940972222</v>
      </c>
      <c r="B714" s="25">
        <f>TEXT(A714,"YYYY-MM")</f>
        <v/>
      </c>
      <c r="C714" s="25">
        <f>TEXT(A714,"MMM-YYYY")</f>
        <v/>
      </c>
      <c r="D714" s="40">
        <f>INT(A714)-WEEKDAY(A714,2)+1</f>
        <v/>
      </c>
      <c r="E714" s="25" t="inlineStr">
        <is>
          <t>kananya</t>
        </is>
      </c>
      <c r="F714" s="25" t="n">
        <v>94926</v>
      </c>
      <c r="G714" s="25" t="n">
        <v>5</v>
      </c>
      <c r="H714" s="25" t="n">
        <v>25</v>
      </c>
      <c r="I714" s="25" t="inlineStr">
        <is>
          <t>6 minute(s) and 20 second(s)</t>
        </is>
      </c>
      <c r="J714" s="25">
        <f>IFERROR(VALUE(TRIM(LEFT(I714,FIND("minute",I714)-1)))*60,0)+IFERROR(VALUE(SUBSTITUTE(MID(I714,IFERROR(FIND("and",I714)+3,1),20),"second(s)","")),0)</f>
        <v/>
      </c>
      <c r="K714" s="41">
        <f>J714/60</f>
        <v/>
      </c>
      <c r="L714" s="41">
        <f>IFERROR(J714/H714,"")</f>
        <v/>
      </c>
      <c r="M714" s="25" t="inlineStr">
        <is>
          <t>2.5.12</t>
        </is>
      </c>
      <c r="N714" s="25">
        <f>IF(J714&gt;300,1,0)</f>
        <v/>
      </c>
      <c r="O714" s="25">
        <f>IF(J714&gt;600,1,0)</f>
        <v/>
      </c>
      <c r="P714" s="25">
        <f>IF(H714&gt;0,J714,"")</f>
        <v/>
      </c>
      <c r="Q714" s="25">
        <f>TEXT(A714,"YYYY-MM-DD HH")</f>
        <v/>
      </c>
      <c r="R714" s="25">
        <f>COUNTIF($Q$2:$Q$5295,Q714)</f>
        <v/>
      </c>
      <c r="S714" s="25">
        <f>IF(R714&lt;=2,"1-2",IF(R714&lt;=5,"3-5",IF(R714&lt;=10,"6-10","11+")))</f>
        <v/>
      </c>
    </row>
    <row r="715">
      <c r="A715" s="39" t="n">
        <v>46161.27114583334</v>
      </c>
      <c r="B715" s="25">
        <f>TEXT(A715,"YYYY-MM")</f>
        <v/>
      </c>
      <c r="C715" s="25">
        <f>TEXT(A715,"MMM-YYYY")</f>
        <v/>
      </c>
      <c r="D715" s="40">
        <f>INT(A715)-WEEKDAY(A715,2)+1</f>
        <v/>
      </c>
      <c r="E715" s="25" t="inlineStr">
        <is>
          <t>atiwari</t>
        </is>
      </c>
      <c r="F715" s="25" t="n">
        <v>107668</v>
      </c>
      <c r="G715" s="25" t="n">
        <v>5</v>
      </c>
      <c r="H715" s="25" t="n">
        <v>19</v>
      </c>
      <c r="I715" s="25" t="inlineStr">
        <is>
          <t>4 minute(s) and 38 second(s)</t>
        </is>
      </c>
      <c r="J715" s="25">
        <f>IFERROR(VALUE(TRIM(LEFT(I715,FIND("minute",I715)-1)))*60,0)+IFERROR(VALUE(SUBSTITUTE(MID(I715,IFERROR(FIND("and",I715)+3,1),20),"second(s)","")),0)</f>
        <v/>
      </c>
      <c r="K715" s="41">
        <f>J715/60</f>
        <v/>
      </c>
      <c r="L715" s="41">
        <f>IFERROR(J715/H715,"")</f>
        <v/>
      </c>
      <c r="M715" s="25" t="inlineStr">
        <is>
          <t>2.5.12</t>
        </is>
      </c>
      <c r="N715" s="25">
        <f>IF(J715&gt;300,1,0)</f>
        <v/>
      </c>
      <c r="O715" s="25">
        <f>IF(J715&gt;600,1,0)</f>
        <v/>
      </c>
      <c r="P715" s="25">
        <f>IF(H715&gt;0,J715,"")</f>
        <v/>
      </c>
      <c r="Q715" s="25">
        <f>TEXT(A715,"YYYY-MM-DD HH")</f>
        <v/>
      </c>
      <c r="R715" s="25">
        <f>COUNTIF($Q$2:$Q$5295,Q715)</f>
        <v/>
      </c>
      <c r="S715" s="25">
        <f>IF(R715&lt;=2,"1-2",IF(R715&lt;=5,"3-5",IF(R715&lt;=10,"6-10","11+")))</f>
        <v/>
      </c>
    </row>
    <row r="716">
      <c r="A716" s="39" t="n">
        <v>46161.27637731482</v>
      </c>
      <c r="B716" s="25">
        <f>TEXT(A716,"YYYY-MM")</f>
        <v/>
      </c>
      <c r="C716" s="25">
        <f>TEXT(A716,"MMM-YYYY")</f>
        <v/>
      </c>
      <c r="D716" s="40">
        <f>INT(A716)-WEEKDAY(A716,2)+1</f>
        <v/>
      </c>
      <c r="E716" s="25" t="inlineStr">
        <is>
          <t>shassan</t>
        </is>
      </c>
      <c r="F716" s="25" t="n">
        <v>316</v>
      </c>
      <c r="G716" s="25" t="n">
        <v>1</v>
      </c>
      <c r="H716" s="25" t="n">
        <v>7</v>
      </c>
      <c r="I716" s="25" t="inlineStr">
        <is>
          <t>1 minute(s) and 30 second(s)</t>
        </is>
      </c>
      <c r="J716" s="25">
        <f>IFERROR(VALUE(TRIM(LEFT(I716,FIND("minute",I716)-1)))*60,0)+IFERROR(VALUE(SUBSTITUTE(MID(I716,IFERROR(FIND("and",I716)+3,1),20),"second(s)","")),0)</f>
        <v/>
      </c>
      <c r="K716" s="41">
        <f>J716/60</f>
        <v/>
      </c>
      <c r="L716" s="41">
        <f>IFERROR(J716/H716,"")</f>
        <v/>
      </c>
      <c r="M716" s="25" t="inlineStr">
        <is>
          <t>2.5.12</t>
        </is>
      </c>
      <c r="N716" s="25">
        <f>IF(J716&gt;300,1,0)</f>
        <v/>
      </c>
      <c r="O716" s="25">
        <f>IF(J716&gt;600,1,0)</f>
        <v/>
      </c>
      <c r="P716" s="25">
        <f>IF(H716&gt;0,J716,"")</f>
        <v/>
      </c>
      <c r="Q716" s="25">
        <f>TEXT(A716,"YYYY-MM-DD HH")</f>
        <v/>
      </c>
      <c r="R716" s="25">
        <f>COUNTIF($Q$2:$Q$5295,Q716)</f>
        <v/>
      </c>
      <c r="S716" s="25">
        <f>IF(R716&lt;=2,"1-2",IF(R716&lt;=5,"3-5",IF(R716&lt;=10,"6-10","11+")))</f>
        <v/>
      </c>
    </row>
    <row r="717">
      <c r="A717" s="39" t="n">
        <v>46161.27829861111</v>
      </c>
      <c r="B717" s="25">
        <f>TEXT(A717,"YYYY-MM")</f>
        <v/>
      </c>
      <c r="C717" s="25">
        <f>TEXT(A717,"MMM-YYYY")</f>
        <v/>
      </c>
      <c r="D717" s="40">
        <f>INT(A717)-WEEKDAY(A717,2)+1</f>
        <v/>
      </c>
      <c r="E717" s="25" t="inlineStr">
        <is>
          <t>asaxena</t>
        </is>
      </c>
      <c r="F717" s="25" t="n">
        <v>103304</v>
      </c>
      <c r="G717" s="25" t="n">
        <v>1</v>
      </c>
      <c r="H717" s="25" t="n">
        <v>6</v>
      </c>
      <c r="I717" s="25" t="inlineStr">
        <is>
          <t>1 minute(s) and 0 second(s)</t>
        </is>
      </c>
      <c r="J717" s="25">
        <f>IFERROR(VALUE(TRIM(LEFT(I717,FIND("minute",I717)-1)))*60,0)+IFERROR(VALUE(SUBSTITUTE(MID(I717,IFERROR(FIND("and",I717)+3,1),20),"second(s)","")),0)</f>
        <v/>
      </c>
      <c r="K717" s="41">
        <f>J717/60</f>
        <v/>
      </c>
      <c r="L717" s="41">
        <f>IFERROR(J717/H717,"")</f>
        <v/>
      </c>
      <c r="M717" s="25" t="inlineStr">
        <is>
          <t>2.5.12</t>
        </is>
      </c>
      <c r="N717" s="25">
        <f>IF(J717&gt;300,1,0)</f>
        <v/>
      </c>
      <c r="O717" s="25">
        <f>IF(J717&gt;600,1,0)</f>
        <v/>
      </c>
      <c r="P717" s="25">
        <f>IF(H717&gt;0,J717,"")</f>
        <v/>
      </c>
      <c r="Q717" s="25">
        <f>TEXT(A717,"YYYY-MM-DD HH")</f>
        <v/>
      </c>
      <c r="R717" s="25">
        <f>COUNTIF($Q$2:$Q$5295,Q717)</f>
        <v/>
      </c>
      <c r="S717" s="25">
        <f>IF(R717&lt;=2,"1-2",IF(R717&lt;=5,"3-5",IF(R717&lt;=10,"6-10","11+")))</f>
        <v/>
      </c>
    </row>
    <row r="718">
      <c r="A718" s="39" t="n">
        <v>46161.27915509259</v>
      </c>
      <c r="B718" s="25">
        <f>TEXT(A718,"YYYY-MM")</f>
        <v/>
      </c>
      <c r="C718" s="25">
        <f>TEXT(A718,"MMM-YYYY")</f>
        <v/>
      </c>
      <c r="D718" s="40">
        <f>INT(A718)-WEEKDAY(A718,2)+1</f>
        <v/>
      </c>
      <c r="E718" s="25" t="inlineStr">
        <is>
          <t>ethomas</t>
        </is>
      </c>
      <c r="F718" s="25" t="n">
        <v>97860</v>
      </c>
      <c r="G718" s="25" t="n">
        <v>5</v>
      </c>
      <c r="H718" s="25" t="n">
        <v>19</v>
      </c>
      <c r="I718" s="25" t="inlineStr">
        <is>
          <t>3 minute(s) and 55 second(s)</t>
        </is>
      </c>
      <c r="J718" s="25">
        <f>IFERROR(VALUE(TRIM(LEFT(I718,FIND("minute",I718)-1)))*60,0)+IFERROR(VALUE(SUBSTITUTE(MID(I718,IFERROR(FIND("and",I718)+3,1),20),"second(s)","")),0)</f>
        <v/>
      </c>
      <c r="K718" s="41">
        <f>J718/60</f>
        <v/>
      </c>
      <c r="L718" s="41">
        <f>IFERROR(J718/H718,"")</f>
        <v/>
      </c>
      <c r="M718" s="25" t="inlineStr">
        <is>
          <t>2.5.12</t>
        </is>
      </c>
      <c r="N718" s="25">
        <f>IF(J718&gt;300,1,0)</f>
        <v/>
      </c>
      <c r="O718" s="25">
        <f>IF(J718&gt;600,1,0)</f>
        <v/>
      </c>
      <c r="P718" s="25">
        <f>IF(H718&gt;0,J718,"")</f>
        <v/>
      </c>
      <c r="Q718" s="25">
        <f>TEXT(A718,"YYYY-MM-DD HH")</f>
        <v/>
      </c>
      <c r="R718" s="25">
        <f>COUNTIF($Q$2:$Q$5295,Q718)</f>
        <v/>
      </c>
      <c r="S718" s="25">
        <f>IF(R718&lt;=2,"1-2",IF(R718&lt;=5,"3-5",IF(R718&lt;=10,"6-10","11+")))</f>
        <v/>
      </c>
    </row>
    <row r="719">
      <c r="A719" s="39" t="n">
        <v>46161.28221064815</v>
      </c>
      <c r="B719" s="25">
        <f>TEXT(A719,"YYYY-MM")</f>
        <v/>
      </c>
      <c r="C719" s="25">
        <f>TEXT(A719,"MMM-YYYY")</f>
        <v/>
      </c>
      <c r="D719" s="40">
        <f>INT(A719)-WEEKDAY(A719,2)+1</f>
        <v/>
      </c>
      <c r="E719" s="25" t="inlineStr">
        <is>
          <t>mbohra</t>
        </is>
      </c>
      <c r="F719" s="25" t="n">
        <v>84556</v>
      </c>
      <c r="G719" s="25" t="n">
        <v>1</v>
      </c>
      <c r="H719" s="25" t="n">
        <v>7</v>
      </c>
      <c r="I719" s="25" t="inlineStr">
        <is>
          <t>1 minute(s) and 11 second(s)</t>
        </is>
      </c>
      <c r="J719" s="25">
        <f>IFERROR(VALUE(TRIM(LEFT(I719,FIND("minute",I719)-1)))*60,0)+IFERROR(VALUE(SUBSTITUTE(MID(I719,IFERROR(FIND("and",I719)+3,1),20),"second(s)","")),0)</f>
        <v/>
      </c>
      <c r="K719" s="41">
        <f>J719/60</f>
        <v/>
      </c>
      <c r="L719" s="41">
        <f>IFERROR(J719/H719,"")</f>
        <v/>
      </c>
      <c r="M719" s="25" t="inlineStr">
        <is>
          <t>2.5.12</t>
        </is>
      </c>
      <c r="N719" s="25">
        <f>IF(J719&gt;300,1,0)</f>
        <v/>
      </c>
      <c r="O719" s="25">
        <f>IF(J719&gt;600,1,0)</f>
        <v/>
      </c>
      <c r="P719" s="25">
        <f>IF(H719&gt;0,J719,"")</f>
        <v/>
      </c>
      <c r="Q719" s="25">
        <f>TEXT(A719,"YYYY-MM-DD HH")</f>
        <v/>
      </c>
      <c r="R719" s="25">
        <f>COUNTIF($Q$2:$Q$5295,Q719)</f>
        <v/>
      </c>
      <c r="S719" s="25">
        <f>IF(R719&lt;=2,"1-2",IF(R719&lt;=5,"3-5",IF(R719&lt;=10,"6-10","11+")))</f>
        <v/>
      </c>
    </row>
    <row r="720">
      <c r="A720" s="39" t="n">
        <v>46161.28314814815</v>
      </c>
      <c r="B720" s="25">
        <f>TEXT(A720,"YYYY-MM")</f>
        <v/>
      </c>
      <c r="C720" s="25">
        <f>TEXT(A720,"MMM-YYYY")</f>
        <v/>
      </c>
      <c r="D720" s="40">
        <f>INT(A720)-WEEKDAY(A720,2)+1</f>
        <v/>
      </c>
      <c r="E720" s="25" t="inlineStr">
        <is>
          <t>asahoo</t>
        </is>
      </c>
      <c r="F720" s="25" t="n">
        <v>70130</v>
      </c>
      <c r="G720" s="25" t="n">
        <v>3</v>
      </c>
      <c r="H720" s="25" t="n">
        <v>10</v>
      </c>
      <c r="I720" s="25" t="inlineStr">
        <is>
          <t>3 minute(s) and 36 second(s)</t>
        </is>
      </c>
      <c r="J720" s="25">
        <f>IFERROR(VALUE(TRIM(LEFT(I720,FIND("minute",I720)-1)))*60,0)+IFERROR(VALUE(SUBSTITUTE(MID(I720,IFERROR(FIND("and",I720)+3,1),20),"second(s)","")),0)</f>
        <v/>
      </c>
      <c r="K720" s="41">
        <f>J720/60</f>
        <v/>
      </c>
      <c r="L720" s="41">
        <f>IFERROR(J720/H720,"")</f>
        <v/>
      </c>
      <c r="M720" s="25" t="inlineStr">
        <is>
          <t>2.5.12</t>
        </is>
      </c>
      <c r="N720" s="25">
        <f>IF(J720&gt;300,1,0)</f>
        <v/>
      </c>
      <c r="O720" s="25">
        <f>IF(J720&gt;600,1,0)</f>
        <v/>
      </c>
      <c r="P720" s="25">
        <f>IF(H720&gt;0,J720,"")</f>
        <v/>
      </c>
      <c r="Q720" s="25">
        <f>TEXT(A720,"YYYY-MM-DD HH")</f>
        <v/>
      </c>
      <c r="R720" s="25">
        <f>COUNTIF($Q$2:$Q$5295,Q720)</f>
        <v/>
      </c>
      <c r="S720" s="25">
        <f>IF(R720&lt;=2,"1-2",IF(R720&lt;=5,"3-5",IF(R720&lt;=10,"6-10","11+")))</f>
        <v/>
      </c>
    </row>
    <row r="721">
      <c r="A721" s="39" t="n">
        <v>46161.2847800926</v>
      </c>
      <c r="B721" s="25">
        <f>TEXT(A721,"YYYY-MM")</f>
        <v/>
      </c>
      <c r="C721" s="25">
        <f>TEXT(A721,"MMM-YYYY")</f>
        <v/>
      </c>
      <c r="D721" s="40">
        <f>INT(A721)-WEEKDAY(A721,2)+1</f>
        <v/>
      </c>
      <c r="E721" s="25" t="inlineStr">
        <is>
          <t>aupadhayay</t>
        </is>
      </c>
      <c r="F721" s="25" t="n">
        <v>98745</v>
      </c>
      <c r="G721" s="25" t="n">
        <v>4</v>
      </c>
      <c r="H721" s="25" t="n">
        <v>14</v>
      </c>
      <c r="I721" s="25" t="inlineStr">
        <is>
          <t>3 minute(s) and 33 second(s)</t>
        </is>
      </c>
      <c r="J721" s="25">
        <f>IFERROR(VALUE(TRIM(LEFT(I721,FIND("minute",I721)-1)))*60,0)+IFERROR(VALUE(SUBSTITUTE(MID(I721,IFERROR(FIND("and",I721)+3,1),20),"second(s)","")),0)</f>
        <v/>
      </c>
      <c r="K721" s="41">
        <f>J721/60</f>
        <v/>
      </c>
      <c r="L721" s="41">
        <f>IFERROR(J721/H721,"")</f>
        <v/>
      </c>
      <c r="M721" s="25" t="inlineStr">
        <is>
          <t>2.5.12</t>
        </is>
      </c>
      <c r="N721" s="25">
        <f>IF(J721&gt;300,1,0)</f>
        <v/>
      </c>
      <c r="O721" s="25">
        <f>IF(J721&gt;600,1,0)</f>
        <v/>
      </c>
      <c r="P721" s="25">
        <f>IF(H721&gt;0,J721,"")</f>
        <v/>
      </c>
      <c r="Q721" s="25">
        <f>TEXT(A721,"YYYY-MM-DD HH")</f>
        <v/>
      </c>
      <c r="R721" s="25">
        <f>COUNTIF($Q$2:$Q$5295,Q721)</f>
        <v/>
      </c>
      <c r="S721" s="25">
        <f>IF(R721&lt;=2,"1-2",IF(R721&lt;=5,"3-5",IF(R721&lt;=10,"6-10","11+")))</f>
        <v/>
      </c>
    </row>
    <row r="722">
      <c r="A722" s="39" t="n">
        <v>46161.28543981481</v>
      </c>
      <c r="B722" s="25">
        <f>TEXT(A722,"YYYY-MM")</f>
        <v/>
      </c>
      <c r="C722" s="25">
        <f>TEXT(A722,"MMM-YYYY")</f>
        <v/>
      </c>
      <c r="D722" s="40">
        <f>INT(A722)-WEEKDAY(A722,2)+1</f>
        <v/>
      </c>
      <c r="E722" s="25" t="inlineStr">
        <is>
          <t>csaha</t>
        </is>
      </c>
      <c r="F722" s="25" t="n">
        <v>98482</v>
      </c>
      <c r="G722" s="25" t="n">
        <v>2</v>
      </c>
      <c r="H722" s="25" t="n">
        <v>8</v>
      </c>
      <c r="I722" s="25" t="inlineStr">
        <is>
          <t>2 minute(s) and 26 second(s)</t>
        </is>
      </c>
      <c r="J722" s="25">
        <f>IFERROR(VALUE(TRIM(LEFT(I722,FIND("minute",I722)-1)))*60,0)+IFERROR(VALUE(SUBSTITUTE(MID(I722,IFERROR(FIND("and",I722)+3,1),20),"second(s)","")),0)</f>
        <v/>
      </c>
      <c r="K722" s="41">
        <f>J722/60</f>
        <v/>
      </c>
      <c r="L722" s="41">
        <f>IFERROR(J722/H722,"")</f>
        <v/>
      </c>
      <c r="M722" s="25" t="inlineStr">
        <is>
          <t>2.5.12</t>
        </is>
      </c>
      <c r="N722" s="25">
        <f>IF(J722&gt;300,1,0)</f>
        <v/>
      </c>
      <c r="O722" s="25">
        <f>IF(J722&gt;600,1,0)</f>
        <v/>
      </c>
      <c r="P722" s="25">
        <f>IF(H722&gt;0,J722,"")</f>
        <v/>
      </c>
      <c r="Q722" s="25">
        <f>TEXT(A722,"YYYY-MM-DD HH")</f>
        <v/>
      </c>
      <c r="R722" s="25">
        <f>COUNTIF($Q$2:$Q$5295,Q722)</f>
        <v/>
      </c>
      <c r="S722" s="25">
        <f>IF(R722&lt;=2,"1-2",IF(R722&lt;=5,"3-5",IF(R722&lt;=10,"6-10","11+")))</f>
        <v/>
      </c>
    </row>
    <row r="723">
      <c r="A723" s="39" t="n">
        <v>46161.28721064814</v>
      </c>
      <c r="B723" s="25">
        <f>TEXT(A723,"YYYY-MM")</f>
        <v/>
      </c>
      <c r="C723" s="25">
        <f>TEXT(A723,"MMM-YYYY")</f>
        <v/>
      </c>
      <c r="D723" s="40">
        <f>INT(A723)-WEEKDAY(A723,2)+1</f>
        <v/>
      </c>
      <c r="E723" s="25" t="inlineStr">
        <is>
          <t>smukhopadhyay</t>
        </is>
      </c>
      <c r="F723" s="25" t="n">
        <v>94245</v>
      </c>
      <c r="G723" s="25" t="n">
        <v>2</v>
      </c>
      <c r="H723" s="25" t="n">
        <v>10</v>
      </c>
      <c r="I723" s="25" t="inlineStr">
        <is>
          <t>2 minute(s) and 41 second(s)</t>
        </is>
      </c>
      <c r="J723" s="25">
        <f>IFERROR(VALUE(TRIM(LEFT(I723,FIND("minute",I723)-1)))*60,0)+IFERROR(VALUE(SUBSTITUTE(MID(I723,IFERROR(FIND("and",I723)+3,1),20),"second(s)","")),0)</f>
        <v/>
      </c>
      <c r="K723" s="41">
        <f>J723/60</f>
        <v/>
      </c>
      <c r="L723" s="41">
        <f>IFERROR(J723/H723,"")</f>
        <v/>
      </c>
      <c r="M723" s="25" t="inlineStr">
        <is>
          <t>2.5.12</t>
        </is>
      </c>
      <c r="N723" s="25">
        <f>IF(J723&gt;300,1,0)</f>
        <v/>
      </c>
      <c r="O723" s="25">
        <f>IF(J723&gt;600,1,0)</f>
        <v/>
      </c>
      <c r="P723" s="25">
        <f>IF(H723&gt;0,J723,"")</f>
        <v/>
      </c>
      <c r="Q723" s="25">
        <f>TEXT(A723,"YYYY-MM-DD HH")</f>
        <v/>
      </c>
      <c r="R723" s="25">
        <f>COUNTIF($Q$2:$Q$5295,Q723)</f>
        <v/>
      </c>
      <c r="S723" s="25">
        <f>IF(R723&lt;=2,"1-2",IF(R723&lt;=5,"3-5",IF(R723&lt;=10,"6-10","11+")))</f>
        <v/>
      </c>
    </row>
    <row r="724">
      <c r="A724" s="39" t="n">
        <v>46161.29087962963</v>
      </c>
      <c r="B724" s="25">
        <f>TEXT(A724,"YYYY-MM")</f>
        <v/>
      </c>
      <c r="C724" s="25">
        <f>TEXT(A724,"MMM-YYYY")</f>
        <v/>
      </c>
      <c r="D724" s="40">
        <f>INT(A724)-WEEKDAY(A724,2)+1</f>
        <v/>
      </c>
      <c r="E724" s="25" t="inlineStr">
        <is>
          <t>pgautam</t>
        </is>
      </c>
      <c r="F724" s="25" t="n">
        <v>116488</v>
      </c>
      <c r="G724" s="25" t="n">
        <v>2</v>
      </c>
      <c r="H724" s="25" t="n">
        <v>12</v>
      </c>
      <c r="I724" s="25" t="inlineStr">
        <is>
          <t>1 minute(s) and 59 second(s)</t>
        </is>
      </c>
      <c r="J724" s="25">
        <f>IFERROR(VALUE(TRIM(LEFT(I724,FIND("minute",I724)-1)))*60,0)+IFERROR(VALUE(SUBSTITUTE(MID(I724,IFERROR(FIND("and",I724)+3,1),20),"second(s)","")),0)</f>
        <v/>
      </c>
      <c r="K724" s="41">
        <f>J724/60</f>
        <v/>
      </c>
      <c r="L724" s="41">
        <f>IFERROR(J724/H724,"")</f>
        <v/>
      </c>
      <c r="M724" s="25" t="inlineStr">
        <is>
          <t>2.5.12</t>
        </is>
      </c>
      <c r="N724" s="25">
        <f>IF(J724&gt;300,1,0)</f>
        <v/>
      </c>
      <c r="O724" s="25">
        <f>IF(J724&gt;600,1,0)</f>
        <v/>
      </c>
      <c r="P724" s="25">
        <f>IF(H724&gt;0,J724,"")</f>
        <v/>
      </c>
      <c r="Q724" s="25">
        <f>TEXT(A724,"YYYY-MM-DD HH")</f>
        <v/>
      </c>
      <c r="R724" s="25">
        <f>COUNTIF($Q$2:$Q$5295,Q724)</f>
        <v/>
      </c>
      <c r="S724" s="25">
        <f>IF(R724&lt;=2,"1-2",IF(R724&lt;=5,"3-5",IF(R724&lt;=10,"6-10","11+")))</f>
        <v/>
      </c>
    </row>
    <row r="725">
      <c r="A725" s="39" t="n">
        <v>46161.29355324074</v>
      </c>
      <c r="B725" s="25">
        <f>TEXT(A725,"YYYY-MM")</f>
        <v/>
      </c>
      <c r="C725" s="25">
        <f>TEXT(A725,"MMM-YYYY")</f>
        <v/>
      </c>
      <c r="D725" s="40">
        <f>INT(A725)-WEEKDAY(A725,2)+1</f>
        <v/>
      </c>
      <c r="E725" s="25" t="inlineStr">
        <is>
          <t>pgautam</t>
        </is>
      </c>
      <c r="F725" s="25" t="n">
        <v>116488</v>
      </c>
      <c r="G725" s="25" t="n">
        <v>1</v>
      </c>
      <c r="H725" s="25" t="n">
        <v>3</v>
      </c>
      <c r="I725" s="25" t="inlineStr">
        <is>
          <t>33 second(s)</t>
        </is>
      </c>
      <c r="J725" s="25">
        <f>IFERROR(VALUE(TRIM(LEFT(I725,FIND("minute",I725)-1)))*60,0)+IFERROR(VALUE(SUBSTITUTE(MID(I725,IFERROR(FIND("and",I725)+3,1),20),"second(s)","")),0)</f>
        <v/>
      </c>
      <c r="K725" s="41">
        <f>J725/60</f>
        <v/>
      </c>
      <c r="L725" s="41">
        <f>IFERROR(J725/H725,"")</f>
        <v/>
      </c>
      <c r="M725" s="25" t="inlineStr">
        <is>
          <t>2.5.12</t>
        </is>
      </c>
      <c r="N725" s="25">
        <f>IF(J725&gt;300,1,0)</f>
        <v/>
      </c>
      <c r="O725" s="25">
        <f>IF(J725&gt;600,1,0)</f>
        <v/>
      </c>
      <c r="P725" s="25">
        <f>IF(H725&gt;0,J725,"")</f>
        <v/>
      </c>
      <c r="Q725" s="25">
        <f>TEXT(A725,"YYYY-MM-DD HH")</f>
        <v/>
      </c>
      <c r="R725" s="25">
        <f>COUNTIF($Q$2:$Q$5295,Q725)</f>
        <v/>
      </c>
      <c r="S725" s="25">
        <f>IF(R725&lt;=2,"1-2",IF(R725&lt;=5,"3-5",IF(R725&lt;=10,"6-10","11+")))</f>
        <v/>
      </c>
    </row>
    <row r="726">
      <c r="A726" s="39" t="n">
        <v>46161.29422453704</v>
      </c>
      <c r="B726" s="25">
        <f>TEXT(A726,"YYYY-MM")</f>
        <v/>
      </c>
      <c r="C726" s="25">
        <f>TEXT(A726,"MMM-YYYY")</f>
        <v/>
      </c>
      <c r="D726" s="40">
        <f>INT(A726)-WEEKDAY(A726,2)+1</f>
        <v/>
      </c>
      <c r="E726" s="25" t="inlineStr">
        <is>
          <t>aghosh</t>
        </is>
      </c>
      <c r="F726" s="25" t="n">
        <v>114697</v>
      </c>
      <c r="G726" s="25" t="n">
        <v>4</v>
      </c>
      <c r="H726" s="25" t="n">
        <v>14</v>
      </c>
      <c r="I726" s="25" t="inlineStr">
        <is>
          <t>3 minute(s) and 23 second(s)</t>
        </is>
      </c>
      <c r="J726" s="25">
        <f>IFERROR(VALUE(TRIM(LEFT(I726,FIND("minute",I726)-1)))*60,0)+IFERROR(VALUE(SUBSTITUTE(MID(I726,IFERROR(FIND("and",I726)+3,1),20),"second(s)","")),0)</f>
        <v/>
      </c>
      <c r="K726" s="41">
        <f>J726/60</f>
        <v/>
      </c>
      <c r="L726" s="41">
        <f>IFERROR(J726/H726,"")</f>
        <v/>
      </c>
      <c r="M726" s="25" t="inlineStr">
        <is>
          <t>2.5.12</t>
        </is>
      </c>
      <c r="N726" s="25">
        <f>IF(J726&gt;300,1,0)</f>
        <v/>
      </c>
      <c r="O726" s="25">
        <f>IF(J726&gt;600,1,0)</f>
        <v/>
      </c>
      <c r="P726" s="25">
        <f>IF(H726&gt;0,J726,"")</f>
        <v/>
      </c>
      <c r="Q726" s="25">
        <f>TEXT(A726,"YYYY-MM-DD HH")</f>
        <v/>
      </c>
      <c r="R726" s="25">
        <f>COUNTIF($Q$2:$Q$5295,Q726)</f>
        <v/>
      </c>
      <c r="S726" s="25">
        <f>IF(R726&lt;=2,"1-2",IF(R726&lt;=5,"3-5",IF(R726&lt;=10,"6-10","11+")))</f>
        <v/>
      </c>
    </row>
    <row r="727">
      <c r="A727" s="39" t="n">
        <v>46161.29533564814</v>
      </c>
      <c r="B727" s="25">
        <f>TEXT(A727,"YYYY-MM")</f>
        <v/>
      </c>
      <c r="C727" s="25">
        <f>TEXT(A727,"MMM-YYYY")</f>
        <v/>
      </c>
      <c r="D727" s="40">
        <f>INT(A727)-WEEKDAY(A727,2)+1</f>
        <v/>
      </c>
      <c r="E727" s="25" t="inlineStr">
        <is>
          <t>akumari</t>
        </is>
      </c>
      <c r="F727" s="25" t="n">
        <v>61500</v>
      </c>
      <c r="G727" s="25" t="n">
        <v>5</v>
      </c>
      <c r="H727" s="25" t="n">
        <v>34</v>
      </c>
      <c r="I727" s="25" t="inlineStr">
        <is>
          <t>6 minute(s) and 8 second(s)</t>
        </is>
      </c>
      <c r="J727" s="25">
        <f>IFERROR(VALUE(TRIM(LEFT(I727,FIND("minute",I727)-1)))*60,0)+IFERROR(VALUE(SUBSTITUTE(MID(I727,IFERROR(FIND("and",I727)+3,1),20),"second(s)","")),0)</f>
        <v/>
      </c>
      <c r="K727" s="41">
        <f>J727/60</f>
        <v/>
      </c>
      <c r="L727" s="41">
        <f>IFERROR(J727/H727,"")</f>
        <v/>
      </c>
      <c r="M727" s="25" t="inlineStr">
        <is>
          <t>2.5.12</t>
        </is>
      </c>
      <c r="N727" s="25">
        <f>IF(J727&gt;300,1,0)</f>
        <v/>
      </c>
      <c r="O727" s="25">
        <f>IF(J727&gt;600,1,0)</f>
        <v/>
      </c>
      <c r="P727" s="25">
        <f>IF(H727&gt;0,J727,"")</f>
        <v/>
      </c>
      <c r="Q727" s="25">
        <f>TEXT(A727,"YYYY-MM-DD HH")</f>
        <v/>
      </c>
      <c r="R727" s="25">
        <f>COUNTIF($Q$2:$Q$5295,Q727)</f>
        <v/>
      </c>
      <c r="S727" s="25">
        <f>IF(R727&lt;=2,"1-2",IF(R727&lt;=5,"3-5",IF(R727&lt;=10,"6-10","11+")))</f>
        <v/>
      </c>
    </row>
    <row r="728">
      <c r="A728" s="39" t="n">
        <v>46161.2956712963</v>
      </c>
      <c r="B728" s="25">
        <f>TEXT(A728,"YYYY-MM")</f>
        <v/>
      </c>
      <c r="C728" s="25">
        <f>TEXT(A728,"MMM-YYYY")</f>
        <v/>
      </c>
      <c r="D728" s="40">
        <f>INT(A728)-WEEKDAY(A728,2)+1</f>
        <v/>
      </c>
      <c r="E728" s="25" t="inlineStr">
        <is>
          <t>nlnu</t>
        </is>
      </c>
      <c r="F728" s="25" t="n">
        <v>107438</v>
      </c>
      <c r="G728" s="25" t="n">
        <v>4</v>
      </c>
      <c r="H728" s="25" t="n">
        <v>16</v>
      </c>
      <c r="I728" s="25" t="inlineStr">
        <is>
          <t>5 minute(s) and 14 second(s)</t>
        </is>
      </c>
      <c r="J728" s="25">
        <f>IFERROR(VALUE(TRIM(LEFT(I728,FIND("minute",I728)-1)))*60,0)+IFERROR(VALUE(SUBSTITUTE(MID(I728,IFERROR(FIND("and",I728)+3,1),20),"second(s)","")),0)</f>
        <v/>
      </c>
      <c r="K728" s="41">
        <f>J728/60</f>
        <v/>
      </c>
      <c r="L728" s="41">
        <f>IFERROR(J728/H728,"")</f>
        <v/>
      </c>
      <c r="M728" s="25" t="inlineStr">
        <is>
          <t>2.5.12</t>
        </is>
      </c>
      <c r="N728" s="25">
        <f>IF(J728&gt;300,1,0)</f>
        <v/>
      </c>
      <c r="O728" s="25">
        <f>IF(J728&gt;600,1,0)</f>
        <v/>
      </c>
      <c r="P728" s="25">
        <f>IF(H728&gt;0,J728,"")</f>
        <v/>
      </c>
      <c r="Q728" s="25">
        <f>TEXT(A728,"YYYY-MM-DD HH")</f>
        <v/>
      </c>
      <c r="R728" s="25">
        <f>COUNTIF($Q$2:$Q$5295,Q728)</f>
        <v/>
      </c>
      <c r="S728" s="25">
        <f>IF(R728&lt;=2,"1-2",IF(R728&lt;=5,"3-5",IF(R728&lt;=10,"6-10","11+")))</f>
        <v/>
      </c>
    </row>
    <row r="729">
      <c r="A729" s="39" t="n">
        <v>46161.29755787037</v>
      </c>
      <c r="B729" s="25">
        <f>TEXT(A729,"YYYY-MM")</f>
        <v/>
      </c>
      <c r="C729" s="25">
        <f>TEXT(A729,"MMM-YYYY")</f>
        <v/>
      </c>
      <c r="D729" s="40">
        <f>INT(A729)-WEEKDAY(A729,2)+1</f>
        <v/>
      </c>
      <c r="E729" s="25" t="inlineStr">
        <is>
          <t>ptomar</t>
        </is>
      </c>
      <c r="F729" s="25" t="n">
        <v>104</v>
      </c>
      <c r="G729" s="25" t="n">
        <v>1</v>
      </c>
      <c r="H729" s="25" t="n">
        <v>7</v>
      </c>
      <c r="I729" s="25" t="inlineStr">
        <is>
          <t>1 minute(s) and 1 second(s)</t>
        </is>
      </c>
      <c r="J729" s="25">
        <f>IFERROR(VALUE(TRIM(LEFT(I729,FIND("minute",I729)-1)))*60,0)+IFERROR(VALUE(SUBSTITUTE(MID(I729,IFERROR(FIND("and",I729)+3,1),20),"second(s)","")),0)</f>
        <v/>
      </c>
      <c r="K729" s="41">
        <f>J729/60</f>
        <v/>
      </c>
      <c r="L729" s="41">
        <f>IFERROR(J729/H729,"")</f>
        <v/>
      </c>
      <c r="M729" s="25" t="inlineStr">
        <is>
          <t>2.5.12</t>
        </is>
      </c>
      <c r="N729" s="25">
        <f>IF(J729&gt;300,1,0)</f>
        <v/>
      </c>
      <c r="O729" s="25">
        <f>IF(J729&gt;600,1,0)</f>
        <v/>
      </c>
      <c r="P729" s="25">
        <f>IF(H729&gt;0,J729,"")</f>
        <v/>
      </c>
      <c r="Q729" s="25">
        <f>TEXT(A729,"YYYY-MM-DD HH")</f>
        <v/>
      </c>
      <c r="R729" s="25">
        <f>COUNTIF($Q$2:$Q$5295,Q729)</f>
        <v/>
      </c>
      <c r="S729" s="25">
        <f>IF(R729&lt;=2,"1-2",IF(R729&lt;=5,"3-5",IF(R729&lt;=10,"6-10","11+")))</f>
        <v/>
      </c>
    </row>
    <row r="730">
      <c r="A730" s="39" t="n">
        <v>46161.29997685185</v>
      </c>
      <c r="B730" s="25">
        <f>TEXT(A730,"YYYY-MM")</f>
        <v/>
      </c>
      <c r="C730" s="25">
        <f>TEXT(A730,"MMM-YYYY")</f>
        <v/>
      </c>
      <c r="D730" s="40">
        <f>INT(A730)-WEEKDAY(A730,2)+1</f>
        <v/>
      </c>
      <c r="E730" s="25" t="inlineStr">
        <is>
          <t>mgupta</t>
        </is>
      </c>
      <c r="F730" s="25" t="n">
        <v>45145</v>
      </c>
      <c r="G730" s="25" t="n">
        <v>1</v>
      </c>
      <c r="H730" s="25" t="n">
        <v>8</v>
      </c>
      <c r="I730" s="25" t="inlineStr">
        <is>
          <t>1 minute(s) and 15 second(s)</t>
        </is>
      </c>
      <c r="J730" s="25">
        <f>IFERROR(VALUE(TRIM(LEFT(I730,FIND("minute",I730)-1)))*60,0)+IFERROR(VALUE(SUBSTITUTE(MID(I730,IFERROR(FIND("and",I730)+3,1),20),"second(s)","")),0)</f>
        <v/>
      </c>
      <c r="K730" s="41">
        <f>J730/60</f>
        <v/>
      </c>
      <c r="L730" s="41">
        <f>IFERROR(J730/H730,"")</f>
        <v/>
      </c>
      <c r="M730" s="25" t="inlineStr">
        <is>
          <t>2.5.12</t>
        </is>
      </c>
      <c r="N730" s="25">
        <f>IF(J730&gt;300,1,0)</f>
        <v/>
      </c>
      <c r="O730" s="25">
        <f>IF(J730&gt;600,1,0)</f>
        <v/>
      </c>
      <c r="P730" s="25">
        <f>IF(H730&gt;0,J730,"")</f>
        <v/>
      </c>
      <c r="Q730" s="25">
        <f>TEXT(A730,"YYYY-MM-DD HH")</f>
        <v/>
      </c>
      <c r="R730" s="25">
        <f>COUNTIF($Q$2:$Q$5295,Q730)</f>
        <v/>
      </c>
      <c r="S730" s="25">
        <f>IF(R730&lt;=2,"1-2",IF(R730&lt;=5,"3-5",IF(R730&lt;=10,"6-10","11+")))</f>
        <v/>
      </c>
    </row>
    <row r="731">
      <c r="A731" s="39" t="n">
        <v>46161.3012037037</v>
      </c>
      <c r="B731" s="25">
        <f>TEXT(A731,"YYYY-MM")</f>
        <v/>
      </c>
      <c r="C731" s="25">
        <f>TEXT(A731,"MMM-YYYY")</f>
        <v/>
      </c>
      <c r="D731" s="40">
        <f>INT(A731)-WEEKDAY(A731,2)+1</f>
        <v/>
      </c>
      <c r="E731" s="25" t="inlineStr">
        <is>
          <t>emishra</t>
        </is>
      </c>
      <c r="F731" s="25" t="n">
        <v>81312</v>
      </c>
      <c r="G731" s="25" t="n">
        <v>2</v>
      </c>
      <c r="H731" s="25" t="n">
        <v>12</v>
      </c>
      <c r="I731" s="25" t="inlineStr">
        <is>
          <t>1 minute(s) and 41 second(s)</t>
        </is>
      </c>
      <c r="J731" s="25">
        <f>IFERROR(VALUE(TRIM(LEFT(I731,FIND("minute",I731)-1)))*60,0)+IFERROR(VALUE(SUBSTITUTE(MID(I731,IFERROR(FIND("and",I731)+3,1),20),"second(s)","")),0)</f>
        <v/>
      </c>
      <c r="K731" s="41">
        <f>J731/60</f>
        <v/>
      </c>
      <c r="L731" s="41">
        <f>IFERROR(J731/H731,"")</f>
        <v/>
      </c>
      <c r="M731" s="25" t="inlineStr">
        <is>
          <t>2.5.12</t>
        </is>
      </c>
      <c r="N731" s="25">
        <f>IF(J731&gt;300,1,0)</f>
        <v/>
      </c>
      <c r="O731" s="25">
        <f>IF(J731&gt;600,1,0)</f>
        <v/>
      </c>
      <c r="P731" s="25">
        <f>IF(H731&gt;0,J731,"")</f>
        <v/>
      </c>
      <c r="Q731" s="25">
        <f>TEXT(A731,"YYYY-MM-DD HH")</f>
        <v/>
      </c>
      <c r="R731" s="25">
        <f>COUNTIF($Q$2:$Q$5295,Q731)</f>
        <v/>
      </c>
      <c r="S731" s="25">
        <f>IF(R731&lt;=2,"1-2",IF(R731&lt;=5,"3-5",IF(R731&lt;=10,"6-10","11+")))</f>
        <v/>
      </c>
    </row>
    <row r="732">
      <c r="A732" s="39" t="n">
        <v>46161.30547453704</v>
      </c>
      <c r="B732" s="25">
        <f>TEXT(A732,"YYYY-MM")</f>
        <v/>
      </c>
      <c r="C732" s="25">
        <f>TEXT(A732,"MMM-YYYY")</f>
        <v/>
      </c>
      <c r="D732" s="40">
        <f>INT(A732)-WEEKDAY(A732,2)+1</f>
        <v/>
      </c>
      <c r="E732" s="25" t="inlineStr">
        <is>
          <t>kananya</t>
        </is>
      </c>
      <c r="F732" s="25" t="n">
        <v>81286</v>
      </c>
      <c r="G732" s="25" t="n">
        <v>5</v>
      </c>
      <c r="H732" s="25" t="n">
        <v>29</v>
      </c>
      <c r="I732" s="25" t="inlineStr">
        <is>
          <t>7 minute(s) and 42 second(s)</t>
        </is>
      </c>
      <c r="J732" s="25">
        <f>IFERROR(VALUE(TRIM(LEFT(I732,FIND("minute",I732)-1)))*60,0)+IFERROR(VALUE(SUBSTITUTE(MID(I732,IFERROR(FIND("and",I732)+3,1),20),"second(s)","")),0)</f>
        <v/>
      </c>
      <c r="K732" s="41">
        <f>J732/60</f>
        <v/>
      </c>
      <c r="L732" s="41">
        <f>IFERROR(J732/H732,"")</f>
        <v/>
      </c>
      <c r="M732" s="25" t="inlineStr">
        <is>
          <t>2.5.12</t>
        </is>
      </c>
      <c r="N732" s="25">
        <f>IF(J732&gt;300,1,0)</f>
        <v/>
      </c>
      <c r="O732" s="25">
        <f>IF(J732&gt;600,1,0)</f>
        <v/>
      </c>
      <c r="P732" s="25">
        <f>IF(H732&gt;0,J732,"")</f>
        <v/>
      </c>
      <c r="Q732" s="25">
        <f>TEXT(A732,"YYYY-MM-DD HH")</f>
        <v/>
      </c>
      <c r="R732" s="25">
        <f>COUNTIF($Q$2:$Q$5295,Q732)</f>
        <v/>
      </c>
      <c r="S732" s="25">
        <f>IF(R732&lt;=2,"1-2",IF(R732&lt;=5,"3-5",IF(R732&lt;=10,"6-10","11+")))</f>
        <v/>
      </c>
    </row>
    <row r="733">
      <c r="A733" s="39" t="n">
        <v>46161.30590277778</v>
      </c>
      <c r="B733" s="25">
        <f>TEXT(A733,"YYYY-MM")</f>
        <v/>
      </c>
      <c r="C733" s="25">
        <f>TEXT(A733,"MMM-YYYY")</f>
        <v/>
      </c>
      <c r="D733" s="40">
        <f>INT(A733)-WEEKDAY(A733,2)+1</f>
        <v/>
      </c>
      <c r="E733" s="25" t="inlineStr">
        <is>
          <t>dbhattacharyya</t>
        </is>
      </c>
      <c r="F733" s="25" t="n">
        <v>98688</v>
      </c>
      <c r="G733" s="25" t="n">
        <v>5</v>
      </c>
      <c r="H733" s="25" t="n">
        <v>17</v>
      </c>
      <c r="I733" s="25" t="inlineStr">
        <is>
          <t>3 minute(s) and 41 second(s)</t>
        </is>
      </c>
      <c r="J733" s="25">
        <f>IFERROR(VALUE(TRIM(LEFT(I733,FIND("minute",I733)-1)))*60,0)+IFERROR(VALUE(SUBSTITUTE(MID(I733,IFERROR(FIND("and",I733)+3,1),20),"second(s)","")),0)</f>
        <v/>
      </c>
      <c r="K733" s="41">
        <f>J733/60</f>
        <v/>
      </c>
      <c r="L733" s="41">
        <f>IFERROR(J733/H733,"")</f>
        <v/>
      </c>
      <c r="M733" s="25" t="inlineStr">
        <is>
          <t>2.5.12</t>
        </is>
      </c>
      <c r="N733" s="25">
        <f>IF(J733&gt;300,1,0)</f>
        <v/>
      </c>
      <c r="O733" s="25">
        <f>IF(J733&gt;600,1,0)</f>
        <v/>
      </c>
      <c r="P733" s="25">
        <f>IF(H733&gt;0,J733,"")</f>
        <v/>
      </c>
      <c r="Q733" s="25">
        <f>TEXT(A733,"YYYY-MM-DD HH")</f>
        <v/>
      </c>
      <c r="R733" s="25">
        <f>COUNTIF($Q$2:$Q$5295,Q733)</f>
        <v/>
      </c>
      <c r="S733" s="25">
        <f>IF(R733&lt;=2,"1-2",IF(R733&lt;=5,"3-5",IF(R733&lt;=10,"6-10","11+")))</f>
        <v/>
      </c>
    </row>
    <row r="734">
      <c r="A734" s="39" t="n">
        <v>46161.31182870371</v>
      </c>
      <c r="B734" s="25">
        <f>TEXT(A734,"YYYY-MM")</f>
        <v/>
      </c>
      <c r="C734" s="25">
        <f>TEXT(A734,"MMM-YYYY")</f>
        <v/>
      </c>
      <c r="D734" s="40">
        <f>INT(A734)-WEEKDAY(A734,2)+1</f>
        <v/>
      </c>
      <c r="E734" s="25" t="inlineStr">
        <is>
          <t>stiwari</t>
        </is>
      </c>
      <c r="F734" s="25" t="n">
        <v>81791</v>
      </c>
      <c r="G734" s="25" t="n">
        <v>5</v>
      </c>
      <c r="H734" s="25" t="n">
        <v>17</v>
      </c>
      <c r="I734" s="25" t="inlineStr">
        <is>
          <t>3 minute(s) and 44 second(s)</t>
        </is>
      </c>
      <c r="J734" s="25">
        <f>IFERROR(VALUE(TRIM(LEFT(I734,FIND("minute",I734)-1)))*60,0)+IFERROR(VALUE(SUBSTITUTE(MID(I734,IFERROR(FIND("and",I734)+3,1),20),"second(s)","")),0)</f>
        <v/>
      </c>
      <c r="K734" s="41">
        <f>J734/60</f>
        <v/>
      </c>
      <c r="L734" s="41">
        <f>IFERROR(J734/H734,"")</f>
        <v/>
      </c>
      <c r="M734" s="25" t="inlineStr">
        <is>
          <t>2.5.12</t>
        </is>
      </c>
      <c r="N734" s="25">
        <f>IF(J734&gt;300,1,0)</f>
        <v/>
      </c>
      <c r="O734" s="25">
        <f>IF(J734&gt;600,1,0)</f>
        <v/>
      </c>
      <c r="P734" s="25">
        <f>IF(H734&gt;0,J734,"")</f>
        <v/>
      </c>
      <c r="Q734" s="25">
        <f>TEXT(A734,"YYYY-MM-DD HH")</f>
        <v/>
      </c>
      <c r="R734" s="25">
        <f>COUNTIF($Q$2:$Q$5295,Q734)</f>
        <v/>
      </c>
      <c r="S734" s="25">
        <f>IF(R734&lt;=2,"1-2",IF(R734&lt;=5,"3-5",IF(R734&lt;=10,"6-10","11+")))</f>
        <v/>
      </c>
    </row>
    <row r="735">
      <c r="A735" s="39" t="n">
        <v>46161.31383101852</v>
      </c>
      <c r="B735" s="25">
        <f>TEXT(A735,"YYYY-MM")</f>
        <v/>
      </c>
      <c r="C735" s="25">
        <f>TEXT(A735,"MMM-YYYY")</f>
        <v/>
      </c>
      <c r="D735" s="40">
        <f>INT(A735)-WEEKDAY(A735,2)+1</f>
        <v/>
      </c>
      <c r="E735" s="25" t="inlineStr">
        <is>
          <t>aupadhayay</t>
        </is>
      </c>
      <c r="F735" s="25" t="n">
        <v>114455</v>
      </c>
      <c r="G735" s="25" t="n">
        <v>3</v>
      </c>
      <c r="H735" s="25" t="n">
        <v>11</v>
      </c>
      <c r="I735" s="25" t="inlineStr">
        <is>
          <t>2 minute(s) and 43 second(s)</t>
        </is>
      </c>
      <c r="J735" s="25">
        <f>IFERROR(VALUE(TRIM(LEFT(I735,FIND("minute",I735)-1)))*60,0)+IFERROR(VALUE(SUBSTITUTE(MID(I735,IFERROR(FIND("and",I735)+3,1),20),"second(s)","")),0)</f>
        <v/>
      </c>
      <c r="K735" s="41">
        <f>J735/60</f>
        <v/>
      </c>
      <c r="L735" s="41">
        <f>IFERROR(J735/H735,"")</f>
        <v/>
      </c>
      <c r="M735" s="25" t="inlineStr">
        <is>
          <t>2.5.12</t>
        </is>
      </c>
      <c r="N735" s="25">
        <f>IF(J735&gt;300,1,0)</f>
        <v/>
      </c>
      <c r="O735" s="25">
        <f>IF(J735&gt;600,1,0)</f>
        <v/>
      </c>
      <c r="P735" s="25">
        <f>IF(H735&gt;0,J735,"")</f>
        <v/>
      </c>
      <c r="Q735" s="25">
        <f>TEXT(A735,"YYYY-MM-DD HH")</f>
        <v/>
      </c>
      <c r="R735" s="25">
        <f>COUNTIF($Q$2:$Q$5295,Q735)</f>
        <v/>
      </c>
      <c r="S735" s="25">
        <f>IF(R735&lt;=2,"1-2",IF(R735&lt;=5,"3-5",IF(R735&lt;=10,"6-10","11+")))</f>
        <v/>
      </c>
    </row>
    <row r="736">
      <c r="A736" s="39" t="n">
        <v>46161.31408564815</v>
      </c>
      <c r="B736" s="25">
        <f>TEXT(A736,"YYYY-MM")</f>
        <v/>
      </c>
      <c r="C736" s="25">
        <f>TEXT(A736,"MMM-YYYY")</f>
        <v/>
      </c>
      <c r="D736" s="40">
        <f>INT(A736)-WEEKDAY(A736,2)+1</f>
        <v/>
      </c>
      <c r="E736" s="25" t="inlineStr">
        <is>
          <t>vreddy</t>
        </is>
      </c>
      <c r="F736" s="25" t="n">
        <v>82131</v>
      </c>
      <c r="G736" s="25" t="n">
        <v>1</v>
      </c>
      <c r="H736" s="25" t="n">
        <v>5</v>
      </c>
      <c r="I736" s="25" t="inlineStr">
        <is>
          <t>45 second(s)</t>
        </is>
      </c>
      <c r="J736" s="25">
        <f>IFERROR(VALUE(TRIM(LEFT(I736,FIND("minute",I736)-1)))*60,0)+IFERROR(VALUE(SUBSTITUTE(MID(I736,IFERROR(FIND("and",I736)+3,1),20),"second(s)","")),0)</f>
        <v/>
      </c>
      <c r="K736" s="41">
        <f>J736/60</f>
        <v/>
      </c>
      <c r="L736" s="41">
        <f>IFERROR(J736/H736,"")</f>
        <v/>
      </c>
      <c r="M736" s="25" t="inlineStr">
        <is>
          <t>2.5.12</t>
        </is>
      </c>
      <c r="N736" s="25">
        <f>IF(J736&gt;300,1,0)</f>
        <v/>
      </c>
      <c r="O736" s="25">
        <f>IF(J736&gt;600,1,0)</f>
        <v/>
      </c>
      <c r="P736" s="25">
        <f>IF(H736&gt;0,J736,"")</f>
        <v/>
      </c>
      <c r="Q736" s="25">
        <f>TEXT(A736,"YYYY-MM-DD HH")</f>
        <v/>
      </c>
      <c r="R736" s="25">
        <f>COUNTIF($Q$2:$Q$5295,Q736)</f>
        <v/>
      </c>
      <c r="S736" s="25">
        <f>IF(R736&lt;=2,"1-2",IF(R736&lt;=5,"3-5",IF(R736&lt;=10,"6-10","11+")))</f>
        <v/>
      </c>
    </row>
    <row r="737">
      <c r="A737" s="39" t="n">
        <v>46161.3168287037</v>
      </c>
      <c r="B737" s="25">
        <f>TEXT(A737,"YYYY-MM")</f>
        <v/>
      </c>
      <c r="C737" s="25">
        <f>TEXT(A737,"MMM-YYYY")</f>
        <v/>
      </c>
      <c r="D737" s="40">
        <f>INT(A737)-WEEKDAY(A737,2)+1</f>
        <v/>
      </c>
      <c r="E737" s="25" t="inlineStr">
        <is>
          <t>anusharma</t>
        </is>
      </c>
      <c r="F737" s="25" t="n">
        <v>83737</v>
      </c>
      <c r="G737" s="25" t="n">
        <v>3</v>
      </c>
      <c r="H737" s="25" t="n">
        <v>11</v>
      </c>
      <c r="I737" s="25" t="inlineStr">
        <is>
          <t>3 minute(s) and 0 second(s)</t>
        </is>
      </c>
      <c r="J737" s="25">
        <f>IFERROR(VALUE(TRIM(LEFT(I737,FIND("minute",I737)-1)))*60,0)+IFERROR(VALUE(SUBSTITUTE(MID(I737,IFERROR(FIND("and",I737)+3,1),20),"second(s)","")),0)</f>
        <v/>
      </c>
      <c r="K737" s="41">
        <f>J737/60</f>
        <v/>
      </c>
      <c r="L737" s="41">
        <f>IFERROR(J737/H737,"")</f>
        <v/>
      </c>
      <c r="M737" s="25" t="inlineStr">
        <is>
          <t>2.5.12</t>
        </is>
      </c>
      <c r="N737" s="25">
        <f>IF(J737&gt;300,1,0)</f>
        <v/>
      </c>
      <c r="O737" s="25">
        <f>IF(J737&gt;600,1,0)</f>
        <v/>
      </c>
      <c r="P737" s="25">
        <f>IF(H737&gt;0,J737,"")</f>
        <v/>
      </c>
      <c r="Q737" s="25">
        <f>TEXT(A737,"YYYY-MM-DD HH")</f>
        <v/>
      </c>
      <c r="R737" s="25">
        <f>COUNTIF($Q$2:$Q$5295,Q737)</f>
        <v/>
      </c>
      <c r="S737" s="25">
        <f>IF(R737&lt;=2,"1-2",IF(R737&lt;=5,"3-5",IF(R737&lt;=10,"6-10","11+")))</f>
        <v/>
      </c>
    </row>
    <row r="738">
      <c r="A738" s="39" t="n">
        <v>46161.31822916667</v>
      </c>
      <c r="B738" s="25">
        <f>TEXT(A738,"YYYY-MM")</f>
        <v/>
      </c>
      <c r="C738" s="25">
        <f>TEXT(A738,"MMM-YYYY")</f>
        <v/>
      </c>
      <c r="D738" s="40">
        <f>INT(A738)-WEEKDAY(A738,2)+1</f>
        <v/>
      </c>
      <c r="E738" s="25" t="inlineStr">
        <is>
          <t>emishra</t>
        </is>
      </c>
      <c r="F738" s="25" t="n">
        <v>79</v>
      </c>
      <c r="G738" s="25" t="n">
        <v>1</v>
      </c>
      <c r="H738" s="25" t="n">
        <v>7</v>
      </c>
      <c r="I738" s="25" t="inlineStr">
        <is>
          <t>58 second(s)</t>
        </is>
      </c>
      <c r="J738" s="25">
        <f>IFERROR(VALUE(TRIM(LEFT(I738,FIND("minute",I738)-1)))*60,0)+IFERROR(VALUE(SUBSTITUTE(MID(I738,IFERROR(FIND("and",I738)+3,1),20),"second(s)","")),0)</f>
        <v/>
      </c>
      <c r="K738" s="41">
        <f>J738/60</f>
        <v/>
      </c>
      <c r="L738" s="41">
        <f>IFERROR(J738/H738,"")</f>
        <v/>
      </c>
      <c r="M738" s="25" t="inlineStr">
        <is>
          <t>2.5.12</t>
        </is>
      </c>
      <c r="N738" s="25">
        <f>IF(J738&gt;300,1,0)</f>
        <v/>
      </c>
      <c r="O738" s="25">
        <f>IF(J738&gt;600,1,0)</f>
        <v/>
      </c>
      <c r="P738" s="25">
        <f>IF(H738&gt;0,J738,"")</f>
        <v/>
      </c>
      <c r="Q738" s="25">
        <f>TEXT(A738,"YYYY-MM-DD HH")</f>
        <v/>
      </c>
      <c r="R738" s="25">
        <f>COUNTIF($Q$2:$Q$5295,Q738)</f>
        <v/>
      </c>
      <c r="S738" s="25">
        <f>IF(R738&lt;=2,"1-2",IF(R738&lt;=5,"3-5",IF(R738&lt;=10,"6-10","11+")))</f>
        <v/>
      </c>
    </row>
    <row r="739">
      <c r="A739" s="39" t="n">
        <v>46161.31932870371</v>
      </c>
      <c r="B739" s="25">
        <f>TEXT(A739,"YYYY-MM")</f>
        <v/>
      </c>
      <c r="C739" s="25">
        <f>TEXT(A739,"MMM-YYYY")</f>
        <v/>
      </c>
      <c r="D739" s="40">
        <f>INT(A739)-WEEKDAY(A739,2)+1</f>
        <v/>
      </c>
      <c r="E739" s="25" t="inlineStr">
        <is>
          <t>psathwika</t>
        </is>
      </c>
      <c r="F739" s="25" t="n">
        <v>45751</v>
      </c>
      <c r="G739" s="25" t="n">
        <v>2</v>
      </c>
      <c r="H739" s="25" t="n">
        <v>10</v>
      </c>
      <c r="I739" s="25" t="inlineStr">
        <is>
          <t>4 minute(s) and 5 second(s)</t>
        </is>
      </c>
      <c r="J739" s="25">
        <f>IFERROR(VALUE(TRIM(LEFT(I739,FIND("minute",I739)-1)))*60,0)+IFERROR(VALUE(SUBSTITUTE(MID(I739,IFERROR(FIND("and",I739)+3,1),20),"second(s)","")),0)</f>
        <v/>
      </c>
      <c r="K739" s="41">
        <f>J739/60</f>
        <v/>
      </c>
      <c r="L739" s="41">
        <f>IFERROR(J739/H739,"")</f>
        <v/>
      </c>
      <c r="M739" s="25" t="inlineStr">
        <is>
          <t>2.5.12</t>
        </is>
      </c>
      <c r="N739" s="25">
        <f>IF(J739&gt;300,1,0)</f>
        <v/>
      </c>
      <c r="O739" s="25">
        <f>IF(J739&gt;600,1,0)</f>
        <v/>
      </c>
      <c r="P739" s="25">
        <f>IF(H739&gt;0,J739,"")</f>
        <v/>
      </c>
      <c r="Q739" s="25">
        <f>TEXT(A739,"YYYY-MM-DD HH")</f>
        <v/>
      </c>
      <c r="R739" s="25">
        <f>COUNTIF($Q$2:$Q$5295,Q739)</f>
        <v/>
      </c>
      <c r="S739" s="25">
        <f>IF(R739&lt;=2,"1-2",IF(R739&lt;=5,"3-5",IF(R739&lt;=10,"6-10","11+")))</f>
        <v/>
      </c>
    </row>
    <row r="740">
      <c r="A740" s="39" t="n">
        <v>46161.321875</v>
      </c>
      <c r="B740" s="25">
        <f>TEXT(A740,"YYYY-MM")</f>
        <v/>
      </c>
      <c r="C740" s="25">
        <f>TEXT(A740,"MMM-YYYY")</f>
        <v/>
      </c>
      <c r="D740" s="40">
        <f>INT(A740)-WEEKDAY(A740,2)+1</f>
        <v/>
      </c>
      <c r="E740" s="25" t="inlineStr">
        <is>
          <t>taggarwal</t>
        </is>
      </c>
      <c r="F740" s="25" t="n">
        <v>104359</v>
      </c>
      <c r="G740" s="25" t="n">
        <v>4</v>
      </c>
      <c r="H740" s="25" t="n">
        <v>22</v>
      </c>
      <c r="I740" s="25" t="inlineStr">
        <is>
          <t>5 minute(s) and 31 second(s)</t>
        </is>
      </c>
      <c r="J740" s="25">
        <f>IFERROR(VALUE(TRIM(LEFT(I740,FIND("minute",I740)-1)))*60,0)+IFERROR(VALUE(SUBSTITUTE(MID(I740,IFERROR(FIND("and",I740)+3,1),20),"second(s)","")),0)</f>
        <v/>
      </c>
      <c r="K740" s="41">
        <f>J740/60</f>
        <v/>
      </c>
      <c r="L740" s="41">
        <f>IFERROR(J740/H740,"")</f>
        <v/>
      </c>
      <c r="M740" s="25" t="inlineStr">
        <is>
          <t>2.5.12</t>
        </is>
      </c>
      <c r="N740" s="25">
        <f>IF(J740&gt;300,1,0)</f>
        <v/>
      </c>
      <c r="O740" s="25">
        <f>IF(J740&gt;600,1,0)</f>
        <v/>
      </c>
      <c r="P740" s="25">
        <f>IF(H740&gt;0,J740,"")</f>
        <v/>
      </c>
      <c r="Q740" s="25">
        <f>TEXT(A740,"YYYY-MM-DD HH")</f>
        <v/>
      </c>
      <c r="R740" s="25">
        <f>COUNTIF($Q$2:$Q$5295,Q740)</f>
        <v/>
      </c>
      <c r="S740" s="25">
        <f>IF(R740&lt;=2,"1-2",IF(R740&lt;=5,"3-5",IF(R740&lt;=10,"6-10","11+")))</f>
        <v/>
      </c>
    </row>
    <row r="741">
      <c r="A741" s="39" t="n">
        <v>46161.33023148148</v>
      </c>
      <c r="B741" s="25">
        <f>TEXT(A741,"YYYY-MM")</f>
        <v/>
      </c>
      <c r="C741" s="25">
        <f>TEXT(A741,"MMM-YYYY")</f>
        <v/>
      </c>
      <c r="D741" s="40">
        <f>INT(A741)-WEEKDAY(A741,2)+1</f>
        <v/>
      </c>
      <c r="E741" s="25" t="inlineStr">
        <is>
          <t>rts</t>
        </is>
      </c>
      <c r="F741" s="25" t="n">
        <v>96201</v>
      </c>
      <c r="G741" s="25" t="n">
        <v>2</v>
      </c>
      <c r="H741" s="25" t="n">
        <v>10</v>
      </c>
      <c r="I741" s="25" t="inlineStr">
        <is>
          <t>2 minute(s) and 44 second(s)</t>
        </is>
      </c>
      <c r="J741" s="25">
        <f>IFERROR(VALUE(TRIM(LEFT(I741,FIND("minute",I741)-1)))*60,0)+IFERROR(VALUE(SUBSTITUTE(MID(I741,IFERROR(FIND("and",I741)+3,1),20),"second(s)","")),0)</f>
        <v/>
      </c>
      <c r="K741" s="41">
        <f>J741/60</f>
        <v/>
      </c>
      <c r="L741" s="41">
        <f>IFERROR(J741/H741,"")</f>
        <v/>
      </c>
      <c r="M741" s="25" t="inlineStr">
        <is>
          <t>2.5.12</t>
        </is>
      </c>
      <c r="N741" s="25">
        <f>IF(J741&gt;300,1,0)</f>
        <v/>
      </c>
      <c r="O741" s="25">
        <f>IF(J741&gt;600,1,0)</f>
        <v/>
      </c>
      <c r="P741" s="25">
        <f>IF(H741&gt;0,J741,"")</f>
        <v/>
      </c>
      <c r="Q741" s="25">
        <f>TEXT(A741,"YYYY-MM-DD HH")</f>
        <v/>
      </c>
      <c r="R741" s="25">
        <f>COUNTIF($Q$2:$Q$5295,Q741)</f>
        <v/>
      </c>
      <c r="S741" s="25">
        <f>IF(R741&lt;=2,"1-2",IF(R741&lt;=5,"3-5",IF(R741&lt;=10,"6-10","11+")))</f>
        <v/>
      </c>
    </row>
    <row r="742">
      <c r="A742" s="39" t="n">
        <v>46161.33173611111</v>
      </c>
      <c r="B742" s="25">
        <f>TEXT(A742,"YYYY-MM")</f>
        <v/>
      </c>
      <c r="C742" s="25">
        <f>TEXT(A742,"MMM-YYYY")</f>
        <v/>
      </c>
      <c r="D742" s="40">
        <f>INT(A742)-WEEKDAY(A742,2)+1</f>
        <v/>
      </c>
      <c r="E742" s="25" t="inlineStr">
        <is>
          <t>csaha</t>
        </is>
      </c>
      <c r="F742" s="25" t="n">
        <v>85725</v>
      </c>
      <c r="G742" s="25" t="n">
        <v>5</v>
      </c>
      <c r="H742" s="25" t="n">
        <v>17</v>
      </c>
      <c r="I742" s="25" t="inlineStr">
        <is>
          <t>3 minute(s) and 51 second(s)</t>
        </is>
      </c>
      <c r="J742" s="25">
        <f>IFERROR(VALUE(TRIM(LEFT(I742,FIND("minute",I742)-1)))*60,0)+IFERROR(VALUE(SUBSTITUTE(MID(I742,IFERROR(FIND("and",I742)+3,1),20),"second(s)","")),0)</f>
        <v/>
      </c>
      <c r="K742" s="41">
        <f>J742/60</f>
        <v/>
      </c>
      <c r="L742" s="41">
        <f>IFERROR(J742/H742,"")</f>
        <v/>
      </c>
      <c r="M742" s="25" t="inlineStr">
        <is>
          <t>2.5.12</t>
        </is>
      </c>
      <c r="N742" s="25">
        <f>IF(J742&gt;300,1,0)</f>
        <v/>
      </c>
      <c r="O742" s="25">
        <f>IF(J742&gt;600,1,0)</f>
        <v/>
      </c>
      <c r="P742" s="25">
        <f>IF(H742&gt;0,J742,"")</f>
        <v/>
      </c>
      <c r="Q742" s="25">
        <f>TEXT(A742,"YYYY-MM-DD HH")</f>
        <v/>
      </c>
      <c r="R742" s="25">
        <f>COUNTIF($Q$2:$Q$5295,Q742)</f>
        <v/>
      </c>
      <c r="S742" s="25">
        <f>IF(R742&lt;=2,"1-2",IF(R742&lt;=5,"3-5",IF(R742&lt;=10,"6-10","11+")))</f>
        <v/>
      </c>
    </row>
    <row r="743">
      <c r="A743" s="39" t="n">
        <v>46161.331875</v>
      </c>
      <c r="B743" s="25">
        <f>TEXT(A743,"YYYY-MM")</f>
        <v/>
      </c>
      <c r="C743" s="25">
        <f>TEXT(A743,"MMM-YYYY")</f>
        <v/>
      </c>
      <c r="D743" s="40">
        <f>INT(A743)-WEEKDAY(A743,2)+1</f>
        <v/>
      </c>
      <c r="E743" s="25" t="inlineStr">
        <is>
          <t>smukhopadhyay</t>
        </is>
      </c>
      <c r="F743" s="25" t="n">
        <v>94588</v>
      </c>
      <c r="G743" s="25" t="n">
        <v>1</v>
      </c>
      <c r="H743" s="25" t="n">
        <v>7</v>
      </c>
      <c r="I743" s="25" t="inlineStr">
        <is>
          <t>1 minute(s) and 48 second(s)</t>
        </is>
      </c>
      <c r="J743" s="25">
        <f>IFERROR(VALUE(TRIM(LEFT(I743,FIND("minute",I743)-1)))*60,0)+IFERROR(VALUE(SUBSTITUTE(MID(I743,IFERROR(FIND("and",I743)+3,1),20),"second(s)","")),0)</f>
        <v/>
      </c>
      <c r="K743" s="41">
        <f>J743/60</f>
        <v/>
      </c>
      <c r="L743" s="41">
        <f>IFERROR(J743/H743,"")</f>
        <v/>
      </c>
      <c r="M743" s="25" t="inlineStr">
        <is>
          <t>2.5.12</t>
        </is>
      </c>
      <c r="N743" s="25">
        <f>IF(J743&gt;300,1,0)</f>
        <v/>
      </c>
      <c r="O743" s="25">
        <f>IF(J743&gt;600,1,0)</f>
        <v/>
      </c>
      <c r="P743" s="25">
        <f>IF(H743&gt;0,J743,"")</f>
        <v/>
      </c>
      <c r="Q743" s="25">
        <f>TEXT(A743,"YYYY-MM-DD HH")</f>
        <v/>
      </c>
      <c r="R743" s="25">
        <f>COUNTIF($Q$2:$Q$5295,Q743)</f>
        <v/>
      </c>
      <c r="S743" s="25">
        <f>IF(R743&lt;=2,"1-2",IF(R743&lt;=5,"3-5",IF(R743&lt;=10,"6-10","11+")))</f>
        <v/>
      </c>
    </row>
    <row r="744">
      <c r="A744" s="39" t="n">
        <v>46161.33274305556</v>
      </c>
      <c r="B744" s="25">
        <f>TEXT(A744,"YYYY-MM")</f>
        <v/>
      </c>
      <c r="C744" s="25">
        <f>TEXT(A744,"MMM-YYYY")</f>
        <v/>
      </c>
      <c r="D744" s="40">
        <f>INT(A744)-WEEKDAY(A744,2)+1</f>
        <v/>
      </c>
      <c r="E744" s="25" t="inlineStr">
        <is>
          <t>npriya</t>
        </is>
      </c>
      <c r="F744" s="25" t="n">
        <v>107951</v>
      </c>
      <c r="G744" s="25" t="n">
        <v>6</v>
      </c>
      <c r="H744" s="25" t="n">
        <v>20</v>
      </c>
      <c r="I744" s="25" t="inlineStr">
        <is>
          <t>5 minute(s) and 18 second(s)</t>
        </is>
      </c>
      <c r="J744" s="25">
        <f>IFERROR(VALUE(TRIM(LEFT(I744,FIND("minute",I744)-1)))*60,0)+IFERROR(VALUE(SUBSTITUTE(MID(I744,IFERROR(FIND("and",I744)+3,1),20),"second(s)","")),0)</f>
        <v/>
      </c>
      <c r="K744" s="41">
        <f>J744/60</f>
        <v/>
      </c>
      <c r="L744" s="41">
        <f>IFERROR(J744/H744,"")</f>
        <v/>
      </c>
      <c r="M744" s="25" t="inlineStr">
        <is>
          <t>2.5.12</t>
        </is>
      </c>
      <c r="N744" s="25">
        <f>IF(J744&gt;300,1,0)</f>
        <v/>
      </c>
      <c r="O744" s="25">
        <f>IF(J744&gt;600,1,0)</f>
        <v/>
      </c>
      <c r="P744" s="25">
        <f>IF(H744&gt;0,J744,"")</f>
        <v/>
      </c>
      <c r="Q744" s="25">
        <f>TEXT(A744,"YYYY-MM-DD HH")</f>
        <v/>
      </c>
      <c r="R744" s="25">
        <f>COUNTIF($Q$2:$Q$5295,Q744)</f>
        <v/>
      </c>
      <c r="S744" s="25">
        <f>IF(R744&lt;=2,"1-2",IF(R744&lt;=5,"3-5",IF(R744&lt;=10,"6-10","11+")))</f>
        <v/>
      </c>
    </row>
    <row r="745">
      <c r="A745" s="39" t="n">
        <v>46161.33967592593</v>
      </c>
      <c r="B745" s="25">
        <f>TEXT(A745,"YYYY-MM")</f>
        <v/>
      </c>
      <c r="C745" s="25">
        <f>TEXT(A745,"MMM-YYYY")</f>
        <v/>
      </c>
      <c r="D745" s="40">
        <f>INT(A745)-WEEKDAY(A745,2)+1</f>
        <v/>
      </c>
      <c r="E745" s="25" t="inlineStr">
        <is>
          <t>kananya</t>
        </is>
      </c>
      <c r="F745" s="25" t="n">
        <v>106174</v>
      </c>
      <c r="G745" s="25" t="n">
        <v>2</v>
      </c>
      <c r="H745" s="25" t="n">
        <v>12</v>
      </c>
      <c r="I745" s="25" t="inlineStr">
        <is>
          <t>3 minute(s) and 48 second(s)</t>
        </is>
      </c>
      <c r="J745" s="25">
        <f>IFERROR(VALUE(TRIM(LEFT(I745,FIND("minute",I745)-1)))*60,0)+IFERROR(VALUE(SUBSTITUTE(MID(I745,IFERROR(FIND("and",I745)+3,1),20),"second(s)","")),0)</f>
        <v/>
      </c>
      <c r="K745" s="41">
        <f>J745/60</f>
        <v/>
      </c>
      <c r="L745" s="41">
        <f>IFERROR(J745/H745,"")</f>
        <v/>
      </c>
      <c r="M745" s="25" t="inlineStr">
        <is>
          <t>2.5.12</t>
        </is>
      </c>
      <c r="N745" s="25">
        <f>IF(J745&gt;300,1,0)</f>
        <v/>
      </c>
      <c r="O745" s="25">
        <f>IF(J745&gt;600,1,0)</f>
        <v/>
      </c>
      <c r="P745" s="25">
        <f>IF(H745&gt;0,J745,"")</f>
        <v/>
      </c>
      <c r="Q745" s="25">
        <f>TEXT(A745,"YYYY-MM-DD HH")</f>
        <v/>
      </c>
      <c r="R745" s="25">
        <f>COUNTIF($Q$2:$Q$5295,Q745)</f>
        <v/>
      </c>
      <c r="S745" s="25">
        <f>IF(R745&lt;=2,"1-2",IF(R745&lt;=5,"3-5",IF(R745&lt;=10,"6-10","11+")))</f>
        <v/>
      </c>
    </row>
    <row r="746">
      <c r="A746" s="39" t="n">
        <v>46161.34119212963</v>
      </c>
      <c r="B746" s="25">
        <f>TEXT(A746,"YYYY-MM")</f>
        <v/>
      </c>
      <c r="C746" s="25">
        <f>TEXT(A746,"MMM-YYYY")</f>
        <v/>
      </c>
      <c r="D746" s="40">
        <f>INT(A746)-WEEKDAY(A746,2)+1</f>
        <v/>
      </c>
      <c r="E746" s="25" t="inlineStr">
        <is>
          <t>aupadhayay</t>
        </is>
      </c>
      <c r="F746" s="25" t="n">
        <v>114840</v>
      </c>
      <c r="G746" s="25" t="n">
        <v>3</v>
      </c>
      <c r="H746" s="25" t="n">
        <v>13</v>
      </c>
      <c r="I746" s="25" t="inlineStr">
        <is>
          <t>3 minute(s) and 39 second(s)</t>
        </is>
      </c>
      <c r="J746" s="25">
        <f>IFERROR(VALUE(TRIM(LEFT(I746,FIND("minute",I746)-1)))*60,0)+IFERROR(VALUE(SUBSTITUTE(MID(I746,IFERROR(FIND("and",I746)+3,1),20),"second(s)","")),0)</f>
        <v/>
      </c>
      <c r="K746" s="41">
        <f>J746/60</f>
        <v/>
      </c>
      <c r="L746" s="41">
        <f>IFERROR(J746/H746,"")</f>
        <v/>
      </c>
      <c r="M746" s="25" t="inlineStr">
        <is>
          <t>2.5.12</t>
        </is>
      </c>
      <c r="N746" s="25">
        <f>IF(J746&gt;300,1,0)</f>
        <v/>
      </c>
      <c r="O746" s="25">
        <f>IF(J746&gt;600,1,0)</f>
        <v/>
      </c>
      <c r="P746" s="25">
        <f>IF(H746&gt;0,J746,"")</f>
        <v/>
      </c>
      <c r="Q746" s="25">
        <f>TEXT(A746,"YYYY-MM-DD HH")</f>
        <v/>
      </c>
      <c r="R746" s="25">
        <f>COUNTIF($Q$2:$Q$5295,Q746)</f>
        <v/>
      </c>
      <c r="S746" s="25">
        <f>IF(R746&lt;=2,"1-2",IF(R746&lt;=5,"3-5",IF(R746&lt;=10,"6-10","11+")))</f>
        <v/>
      </c>
    </row>
    <row r="747">
      <c r="A747" s="39" t="n">
        <v>46161.3496875</v>
      </c>
      <c r="B747" s="25">
        <f>TEXT(A747,"YYYY-MM")</f>
        <v/>
      </c>
      <c r="C747" s="25">
        <f>TEXT(A747,"MMM-YYYY")</f>
        <v/>
      </c>
      <c r="D747" s="40">
        <f>INT(A747)-WEEKDAY(A747,2)+1</f>
        <v/>
      </c>
      <c r="E747" s="25" t="inlineStr">
        <is>
          <t>abhaskarkp</t>
        </is>
      </c>
      <c r="F747" s="25" t="n">
        <v>107967</v>
      </c>
      <c r="G747" s="25" t="n">
        <v>5</v>
      </c>
      <c r="H747" s="25" t="n">
        <v>19</v>
      </c>
      <c r="I747" s="25" t="inlineStr">
        <is>
          <t>8 minute(s) and 41 second(s)</t>
        </is>
      </c>
      <c r="J747" s="25">
        <f>IFERROR(VALUE(TRIM(LEFT(I747,FIND("minute",I747)-1)))*60,0)+IFERROR(VALUE(SUBSTITUTE(MID(I747,IFERROR(FIND("and",I747)+3,1),20),"second(s)","")),0)</f>
        <v/>
      </c>
      <c r="K747" s="41">
        <f>J747/60</f>
        <v/>
      </c>
      <c r="L747" s="41">
        <f>IFERROR(J747/H747,"")</f>
        <v/>
      </c>
      <c r="M747" s="25" t="inlineStr">
        <is>
          <t>2.5.12</t>
        </is>
      </c>
      <c r="N747" s="25">
        <f>IF(J747&gt;300,1,0)</f>
        <v/>
      </c>
      <c r="O747" s="25">
        <f>IF(J747&gt;600,1,0)</f>
        <v/>
      </c>
      <c r="P747" s="25">
        <f>IF(H747&gt;0,J747,"")</f>
        <v/>
      </c>
      <c r="Q747" s="25">
        <f>TEXT(A747,"YYYY-MM-DD HH")</f>
        <v/>
      </c>
      <c r="R747" s="25">
        <f>COUNTIF($Q$2:$Q$5295,Q747)</f>
        <v/>
      </c>
      <c r="S747" s="25">
        <f>IF(R747&lt;=2,"1-2",IF(R747&lt;=5,"3-5",IF(R747&lt;=10,"6-10","11+")))</f>
        <v/>
      </c>
    </row>
    <row r="748">
      <c r="A748" s="39" t="n">
        <v>46161.35023148148</v>
      </c>
      <c r="B748" s="25">
        <f>TEXT(A748,"YYYY-MM")</f>
        <v/>
      </c>
      <c r="C748" s="25">
        <f>TEXT(A748,"MMM-YYYY")</f>
        <v/>
      </c>
      <c r="D748" s="40">
        <f>INT(A748)-WEEKDAY(A748,2)+1</f>
        <v/>
      </c>
      <c r="E748" s="25" t="inlineStr">
        <is>
          <t>hsindwani</t>
        </is>
      </c>
      <c r="F748" s="25" t="n">
        <v>116515</v>
      </c>
      <c r="G748" s="25" t="n">
        <v>1</v>
      </c>
      <c r="H748" s="25" t="n">
        <v>5</v>
      </c>
      <c r="I748" s="25" t="inlineStr">
        <is>
          <t>2 minute(s) and 53 second(s)</t>
        </is>
      </c>
      <c r="J748" s="25">
        <f>IFERROR(VALUE(TRIM(LEFT(I748,FIND("minute",I748)-1)))*60,0)+IFERROR(VALUE(SUBSTITUTE(MID(I748,IFERROR(FIND("and",I748)+3,1),20),"second(s)","")),0)</f>
        <v/>
      </c>
      <c r="K748" s="41">
        <f>J748/60</f>
        <v/>
      </c>
      <c r="L748" s="41">
        <f>IFERROR(J748/H748,"")</f>
        <v/>
      </c>
      <c r="M748" s="25" t="inlineStr">
        <is>
          <t>2.5.12</t>
        </is>
      </c>
      <c r="N748" s="25">
        <f>IF(J748&gt;300,1,0)</f>
        <v/>
      </c>
      <c r="O748" s="25">
        <f>IF(J748&gt;600,1,0)</f>
        <v/>
      </c>
      <c r="P748" s="25">
        <f>IF(H748&gt;0,J748,"")</f>
        <v/>
      </c>
      <c r="Q748" s="25">
        <f>TEXT(A748,"YYYY-MM-DD HH")</f>
        <v/>
      </c>
      <c r="R748" s="25">
        <f>COUNTIF($Q$2:$Q$5295,Q748)</f>
        <v/>
      </c>
      <c r="S748" s="25">
        <f>IF(R748&lt;=2,"1-2",IF(R748&lt;=5,"3-5",IF(R748&lt;=10,"6-10","11+")))</f>
        <v/>
      </c>
    </row>
    <row r="749">
      <c r="A749" s="39" t="n">
        <v>46161.35125</v>
      </c>
      <c r="B749" s="25">
        <f>TEXT(A749,"YYYY-MM")</f>
        <v/>
      </c>
      <c r="C749" s="25">
        <f>TEXT(A749,"MMM-YYYY")</f>
        <v/>
      </c>
      <c r="D749" s="40">
        <f>INT(A749)-WEEKDAY(A749,2)+1</f>
        <v/>
      </c>
      <c r="E749" s="25" t="inlineStr">
        <is>
          <t>mbhalla</t>
        </is>
      </c>
      <c r="F749" s="25" t="n">
        <v>59</v>
      </c>
      <c r="G749" s="25" t="n">
        <v>1</v>
      </c>
      <c r="H749" s="25" t="n">
        <v>5</v>
      </c>
      <c r="I749" s="25" t="inlineStr">
        <is>
          <t>46 second(s)</t>
        </is>
      </c>
      <c r="J749" s="25">
        <f>IFERROR(VALUE(TRIM(LEFT(I749,FIND("minute",I749)-1)))*60,0)+IFERROR(VALUE(SUBSTITUTE(MID(I749,IFERROR(FIND("and",I749)+3,1),20),"second(s)","")),0)</f>
        <v/>
      </c>
      <c r="K749" s="41">
        <f>J749/60</f>
        <v/>
      </c>
      <c r="L749" s="41">
        <f>IFERROR(J749/H749,"")</f>
        <v/>
      </c>
      <c r="M749" s="25" t="inlineStr">
        <is>
          <t>2.5.12</t>
        </is>
      </c>
      <c r="N749" s="25">
        <f>IF(J749&gt;300,1,0)</f>
        <v/>
      </c>
      <c r="O749" s="25">
        <f>IF(J749&gt;600,1,0)</f>
        <v/>
      </c>
      <c r="P749" s="25">
        <f>IF(H749&gt;0,J749,"")</f>
        <v/>
      </c>
      <c r="Q749" s="25">
        <f>TEXT(A749,"YYYY-MM-DD HH")</f>
        <v/>
      </c>
      <c r="R749" s="25">
        <f>COUNTIF($Q$2:$Q$5295,Q749)</f>
        <v/>
      </c>
      <c r="S749" s="25">
        <f>IF(R749&lt;=2,"1-2",IF(R749&lt;=5,"3-5",IF(R749&lt;=10,"6-10","11+")))</f>
        <v/>
      </c>
    </row>
    <row r="750">
      <c r="A750" s="39" t="n">
        <v>46161.35179398148</v>
      </c>
      <c r="B750" s="25">
        <f>TEXT(A750,"YYYY-MM")</f>
        <v/>
      </c>
      <c r="C750" s="25">
        <f>TEXT(A750,"MMM-YYYY")</f>
        <v/>
      </c>
      <c r="D750" s="40">
        <f>INT(A750)-WEEKDAY(A750,2)+1</f>
        <v/>
      </c>
      <c r="E750" s="25" t="inlineStr">
        <is>
          <t>hdutt</t>
        </is>
      </c>
      <c r="F750" s="25" t="n">
        <v>94370</v>
      </c>
      <c r="G750" s="25" t="n">
        <v>2</v>
      </c>
      <c r="H750" s="25" t="n">
        <v>13</v>
      </c>
      <c r="I750" s="25" t="inlineStr">
        <is>
          <t>2 minute(s) and 44 second(s)</t>
        </is>
      </c>
      <c r="J750" s="25">
        <f>IFERROR(VALUE(TRIM(LEFT(I750,FIND("minute",I750)-1)))*60,0)+IFERROR(VALUE(SUBSTITUTE(MID(I750,IFERROR(FIND("and",I750)+3,1),20),"second(s)","")),0)</f>
        <v/>
      </c>
      <c r="K750" s="41">
        <f>J750/60</f>
        <v/>
      </c>
      <c r="L750" s="41">
        <f>IFERROR(J750/H750,"")</f>
        <v/>
      </c>
      <c r="M750" s="25" t="inlineStr">
        <is>
          <t>2.5.12</t>
        </is>
      </c>
      <c r="N750" s="25">
        <f>IF(J750&gt;300,1,0)</f>
        <v/>
      </c>
      <c r="O750" s="25">
        <f>IF(J750&gt;600,1,0)</f>
        <v/>
      </c>
      <c r="P750" s="25">
        <f>IF(H750&gt;0,J750,"")</f>
        <v/>
      </c>
      <c r="Q750" s="25">
        <f>TEXT(A750,"YYYY-MM-DD HH")</f>
        <v/>
      </c>
      <c r="R750" s="25">
        <f>COUNTIF($Q$2:$Q$5295,Q750)</f>
        <v/>
      </c>
      <c r="S750" s="25">
        <f>IF(R750&lt;=2,"1-2",IF(R750&lt;=5,"3-5",IF(R750&lt;=10,"6-10","11+")))</f>
        <v/>
      </c>
    </row>
    <row r="751">
      <c r="A751" s="39" t="n">
        <v>46161.35572916667</v>
      </c>
      <c r="B751" s="25">
        <f>TEXT(A751,"YYYY-MM")</f>
        <v/>
      </c>
      <c r="C751" s="25">
        <f>TEXT(A751,"MMM-YYYY")</f>
        <v/>
      </c>
      <c r="D751" s="40">
        <f>INT(A751)-WEEKDAY(A751,2)+1</f>
        <v/>
      </c>
      <c r="E751" s="25" t="inlineStr">
        <is>
          <t>mbohra</t>
        </is>
      </c>
      <c r="F751" s="25" t="n">
        <v>80475</v>
      </c>
      <c r="G751" s="25" t="n">
        <v>1</v>
      </c>
      <c r="H751" s="25" t="n">
        <v>7</v>
      </c>
      <c r="I751" s="25" t="inlineStr">
        <is>
          <t>1 minute(s) and 29 second(s)</t>
        </is>
      </c>
      <c r="J751" s="25">
        <f>IFERROR(VALUE(TRIM(LEFT(I751,FIND("minute",I751)-1)))*60,0)+IFERROR(VALUE(SUBSTITUTE(MID(I751,IFERROR(FIND("and",I751)+3,1),20),"second(s)","")),0)</f>
        <v/>
      </c>
      <c r="K751" s="41">
        <f>J751/60</f>
        <v/>
      </c>
      <c r="L751" s="41">
        <f>IFERROR(J751/H751,"")</f>
        <v/>
      </c>
      <c r="M751" s="25" t="inlineStr">
        <is>
          <t>2.5.12</t>
        </is>
      </c>
      <c r="N751" s="25">
        <f>IF(J751&gt;300,1,0)</f>
        <v/>
      </c>
      <c r="O751" s="25">
        <f>IF(J751&gt;600,1,0)</f>
        <v/>
      </c>
      <c r="P751" s="25">
        <f>IF(H751&gt;0,J751,"")</f>
        <v/>
      </c>
      <c r="Q751" s="25">
        <f>TEXT(A751,"YYYY-MM-DD HH")</f>
        <v/>
      </c>
      <c r="R751" s="25">
        <f>COUNTIF($Q$2:$Q$5295,Q751)</f>
        <v/>
      </c>
      <c r="S751" s="25">
        <f>IF(R751&lt;=2,"1-2",IF(R751&lt;=5,"3-5",IF(R751&lt;=10,"6-10","11+")))</f>
        <v/>
      </c>
    </row>
    <row r="752">
      <c r="A752" s="39" t="n">
        <v>46161.35864583333</v>
      </c>
      <c r="B752" s="25">
        <f>TEXT(A752,"YYYY-MM")</f>
        <v/>
      </c>
      <c r="C752" s="25">
        <f>TEXT(A752,"MMM-YYYY")</f>
        <v/>
      </c>
      <c r="D752" s="40">
        <f>INT(A752)-WEEKDAY(A752,2)+1</f>
        <v/>
      </c>
      <c r="E752" s="25" t="inlineStr">
        <is>
          <t>asahoo</t>
        </is>
      </c>
      <c r="F752" s="25" t="n">
        <v>95747</v>
      </c>
      <c r="G752" s="25" t="n">
        <v>3</v>
      </c>
      <c r="H752" s="25" t="n">
        <v>15</v>
      </c>
      <c r="I752" s="25" t="inlineStr">
        <is>
          <t>3 minute(s) and 3 second(s)</t>
        </is>
      </c>
      <c r="J752" s="25">
        <f>IFERROR(VALUE(TRIM(LEFT(I752,FIND("minute",I752)-1)))*60,0)+IFERROR(VALUE(SUBSTITUTE(MID(I752,IFERROR(FIND("and",I752)+3,1),20),"second(s)","")),0)</f>
        <v/>
      </c>
      <c r="K752" s="41">
        <f>J752/60</f>
        <v/>
      </c>
      <c r="L752" s="41">
        <f>IFERROR(J752/H752,"")</f>
        <v/>
      </c>
      <c r="M752" s="25" t="inlineStr">
        <is>
          <t>2.5.12</t>
        </is>
      </c>
      <c r="N752" s="25">
        <f>IF(J752&gt;300,1,0)</f>
        <v/>
      </c>
      <c r="O752" s="25">
        <f>IF(J752&gt;600,1,0)</f>
        <v/>
      </c>
      <c r="P752" s="25">
        <f>IF(H752&gt;0,J752,"")</f>
        <v/>
      </c>
      <c r="Q752" s="25">
        <f>TEXT(A752,"YYYY-MM-DD HH")</f>
        <v/>
      </c>
      <c r="R752" s="25">
        <f>COUNTIF($Q$2:$Q$5295,Q752)</f>
        <v/>
      </c>
      <c r="S752" s="25">
        <f>IF(R752&lt;=2,"1-2",IF(R752&lt;=5,"3-5",IF(R752&lt;=10,"6-10","11+")))</f>
        <v/>
      </c>
    </row>
    <row r="753">
      <c r="A753" s="39" t="n">
        <v>46161.36344907407</v>
      </c>
      <c r="B753" s="25">
        <f>TEXT(A753,"YYYY-MM")</f>
        <v/>
      </c>
      <c r="C753" s="25">
        <f>TEXT(A753,"MMM-YYYY")</f>
        <v/>
      </c>
      <c r="D753" s="40">
        <f>INT(A753)-WEEKDAY(A753,2)+1</f>
        <v/>
      </c>
      <c r="E753" s="25" t="inlineStr">
        <is>
          <t>ssrinivasan</t>
        </is>
      </c>
      <c r="F753" s="25" t="n">
        <v>57878</v>
      </c>
      <c r="G753" s="25" t="n">
        <v>2</v>
      </c>
      <c r="H753" s="25" t="n">
        <v>10</v>
      </c>
      <c r="I753" s="25" t="inlineStr">
        <is>
          <t>2 minute(s) and 26 second(s)</t>
        </is>
      </c>
      <c r="J753" s="25">
        <f>IFERROR(VALUE(TRIM(LEFT(I753,FIND("minute",I753)-1)))*60,0)+IFERROR(VALUE(SUBSTITUTE(MID(I753,IFERROR(FIND("and",I753)+3,1),20),"second(s)","")),0)</f>
        <v/>
      </c>
      <c r="K753" s="41">
        <f>J753/60</f>
        <v/>
      </c>
      <c r="L753" s="41">
        <f>IFERROR(J753/H753,"")</f>
        <v/>
      </c>
      <c r="M753" s="25" t="inlineStr">
        <is>
          <t>2.5.12</t>
        </is>
      </c>
      <c r="N753" s="25">
        <f>IF(J753&gt;300,1,0)</f>
        <v/>
      </c>
      <c r="O753" s="25">
        <f>IF(J753&gt;600,1,0)</f>
        <v/>
      </c>
      <c r="P753" s="25">
        <f>IF(H753&gt;0,J753,"")</f>
        <v/>
      </c>
      <c r="Q753" s="25">
        <f>TEXT(A753,"YYYY-MM-DD HH")</f>
        <v/>
      </c>
      <c r="R753" s="25">
        <f>COUNTIF($Q$2:$Q$5295,Q753)</f>
        <v/>
      </c>
      <c r="S753" s="25">
        <f>IF(R753&lt;=2,"1-2",IF(R753&lt;=5,"3-5",IF(R753&lt;=10,"6-10","11+")))</f>
        <v/>
      </c>
    </row>
    <row r="754">
      <c r="A754" s="39" t="n">
        <v>46161.36496527777</v>
      </c>
      <c r="B754" s="25">
        <f>TEXT(A754,"YYYY-MM")</f>
        <v/>
      </c>
      <c r="C754" s="25">
        <f>TEXT(A754,"MMM-YYYY")</f>
        <v/>
      </c>
      <c r="D754" s="40">
        <f>INT(A754)-WEEKDAY(A754,2)+1</f>
        <v/>
      </c>
      <c r="E754" s="25" t="inlineStr">
        <is>
          <t>vraina</t>
        </is>
      </c>
      <c r="F754" s="25" t="n">
        <v>169</v>
      </c>
      <c r="G754" s="25" t="n">
        <v>2</v>
      </c>
      <c r="H754" s="25" t="n">
        <v>10</v>
      </c>
      <c r="I754" s="25" t="inlineStr">
        <is>
          <t>2 minute(s) and 2 second(s)</t>
        </is>
      </c>
      <c r="J754" s="25">
        <f>IFERROR(VALUE(TRIM(LEFT(I754,FIND("minute",I754)-1)))*60,0)+IFERROR(VALUE(SUBSTITUTE(MID(I754,IFERROR(FIND("and",I754)+3,1),20),"second(s)","")),0)</f>
        <v/>
      </c>
      <c r="K754" s="41">
        <f>J754/60</f>
        <v/>
      </c>
      <c r="L754" s="41">
        <f>IFERROR(J754/H754,"")</f>
        <v/>
      </c>
      <c r="M754" s="25" t="inlineStr">
        <is>
          <t>2.5.12</t>
        </is>
      </c>
      <c r="N754" s="25">
        <f>IF(J754&gt;300,1,0)</f>
        <v/>
      </c>
      <c r="O754" s="25">
        <f>IF(J754&gt;600,1,0)</f>
        <v/>
      </c>
      <c r="P754" s="25">
        <f>IF(H754&gt;0,J754,"")</f>
        <v/>
      </c>
      <c r="Q754" s="25">
        <f>TEXT(A754,"YYYY-MM-DD HH")</f>
        <v/>
      </c>
      <c r="R754" s="25">
        <f>COUNTIF($Q$2:$Q$5295,Q754)</f>
        <v/>
      </c>
      <c r="S754" s="25">
        <f>IF(R754&lt;=2,"1-2",IF(R754&lt;=5,"3-5",IF(R754&lt;=10,"6-10","11+")))</f>
        <v/>
      </c>
    </row>
    <row r="755">
      <c r="A755" s="39" t="n">
        <v>46161.36686342592</v>
      </c>
      <c r="B755" s="25">
        <f>TEXT(A755,"YYYY-MM")</f>
        <v/>
      </c>
      <c r="C755" s="25">
        <f>TEXT(A755,"MMM-YYYY")</f>
        <v/>
      </c>
      <c r="D755" s="40">
        <f>INT(A755)-WEEKDAY(A755,2)+1</f>
        <v/>
      </c>
      <c r="E755" s="25" t="inlineStr">
        <is>
          <t>nlnu</t>
        </is>
      </c>
      <c r="F755" s="25" t="n">
        <v>71459</v>
      </c>
      <c r="G755" s="25" t="n">
        <v>2</v>
      </c>
      <c r="H755" s="25" t="n">
        <v>9</v>
      </c>
      <c r="I755" s="25" t="inlineStr">
        <is>
          <t>3 minute(s) and 40 second(s)</t>
        </is>
      </c>
      <c r="J755" s="25">
        <f>IFERROR(VALUE(TRIM(LEFT(I755,FIND("minute",I755)-1)))*60,0)+IFERROR(VALUE(SUBSTITUTE(MID(I755,IFERROR(FIND("and",I755)+3,1),20),"second(s)","")),0)</f>
        <v/>
      </c>
      <c r="K755" s="41">
        <f>J755/60</f>
        <v/>
      </c>
      <c r="L755" s="41">
        <f>IFERROR(J755/H755,"")</f>
        <v/>
      </c>
      <c r="M755" s="25" t="inlineStr">
        <is>
          <t>2.5.12</t>
        </is>
      </c>
      <c r="N755" s="25">
        <f>IF(J755&gt;300,1,0)</f>
        <v/>
      </c>
      <c r="O755" s="25">
        <f>IF(J755&gt;600,1,0)</f>
        <v/>
      </c>
      <c r="P755" s="25">
        <f>IF(H755&gt;0,J755,"")</f>
        <v/>
      </c>
      <c r="Q755" s="25">
        <f>TEXT(A755,"YYYY-MM-DD HH")</f>
        <v/>
      </c>
      <c r="R755" s="25">
        <f>COUNTIF($Q$2:$Q$5295,Q755)</f>
        <v/>
      </c>
      <c r="S755" s="25">
        <f>IF(R755&lt;=2,"1-2",IF(R755&lt;=5,"3-5",IF(R755&lt;=10,"6-10","11+")))</f>
        <v/>
      </c>
    </row>
    <row r="756">
      <c r="A756" s="39" t="n">
        <v>46161.36733796296</v>
      </c>
      <c r="B756" s="25">
        <f>TEXT(A756,"YYYY-MM")</f>
        <v/>
      </c>
      <c r="C756" s="25">
        <f>TEXT(A756,"MMM-YYYY")</f>
        <v/>
      </c>
      <c r="D756" s="40">
        <f>INT(A756)-WEEKDAY(A756,2)+1</f>
        <v/>
      </c>
      <c r="E756" s="25" t="inlineStr">
        <is>
          <t>atiwari</t>
        </is>
      </c>
      <c r="F756" s="25" t="n">
        <v>92769</v>
      </c>
      <c r="G756" s="25" t="n">
        <v>1</v>
      </c>
      <c r="H756" s="25" t="n">
        <v>7</v>
      </c>
      <c r="I756" s="25" t="inlineStr">
        <is>
          <t>1 minute(s) and 26 second(s)</t>
        </is>
      </c>
      <c r="J756" s="25">
        <f>IFERROR(VALUE(TRIM(LEFT(I756,FIND("minute",I756)-1)))*60,0)+IFERROR(VALUE(SUBSTITUTE(MID(I756,IFERROR(FIND("and",I756)+3,1),20),"second(s)","")),0)</f>
        <v/>
      </c>
      <c r="K756" s="41">
        <f>J756/60</f>
        <v/>
      </c>
      <c r="L756" s="41">
        <f>IFERROR(J756/H756,"")</f>
        <v/>
      </c>
      <c r="M756" s="25" t="inlineStr">
        <is>
          <t>2.5.12</t>
        </is>
      </c>
      <c r="N756" s="25">
        <f>IF(J756&gt;300,1,0)</f>
        <v/>
      </c>
      <c r="O756" s="25">
        <f>IF(J756&gt;600,1,0)</f>
        <v/>
      </c>
      <c r="P756" s="25">
        <f>IF(H756&gt;0,J756,"")</f>
        <v/>
      </c>
      <c r="Q756" s="25">
        <f>TEXT(A756,"YYYY-MM-DD HH")</f>
        <v/>
      </c>
      <c r="R756" s="25">
        <f>COUNTIF($Q$2:$Q$5295,Q756)</f>
        <v/>
      </c>
      <c r="S756" s="25">
        <f>IF(R756&lt;=2,"1-2",IF(R756&lt;=5,"3-5",IF(R756&lt;=10,"6-10","11+")))</f>
        <v/>
      </c>
    </row>
    <row r="757">
      <c r="A757" s="39" t="n">
        <v>46161.36802083333</v>
      </c>
      <c r="B757" s="25">
        <f>TEXT(A757,"YYYY-MM")</f>
        <v/>
      </c>
      <c r="C757" s="25">
        <f>TEXT(A757,"MMM-YYYY")</f>
        <v/>
      </c>
      <c r="D757" s="40">
        <f>INT(A757)-WEEKDAY(A757,2)+1</f>
        <v/>
      </c>
      <c r="E757" s="25" t="inlineStr">
        <is>
          <t>psathwika</t>
        </is>
      </c>
      <c r="F757" s="25" t="n">
        <v>6770</v>
      </c>
      <c r="G757" s="25" t="n">
        <v>2</v>
      </c>
      <c r="H757" s="25" t="n">
        <v>12</v>
      </c>
      <c r="I757" s="25" t="inlineStr">
        <is>
          <t>8 minute(s) and 49 second(s)</t>
        </is>
      </c>
      <c r="J757" s="25">
        <f>IFERROR(VALUE(TRIM(LEFT(I757,FIND("minute",I757)-1)))*60,0)+IFERROR(VALUE(SUBSTITUTE(MID(I757,IFERROR(FIND("and",I757)+3,1),20),"second(s)","")),0)</f>
        <v/>
      </c>
      <c r="K757" s="41">
        <f>J757/60</f>
        <v/>
      </c>
      <c r="L757" s="41">
        <f>IFERROR(J757/H757,"")</f>
        <v/>
      </c>
      <c r="M757" s="25" t="inlineStr">
        <is>
          <t>2.5.12</t>
        </is>
      </c>
      <c r="N757" s="25">
        <f>IF(J757&gt;300,1,0)</f>
        <v/>
      </c>
      <c r="O757" s="25">
        <f>IF(J757&gt;600,1,0)</f>
        <v/>
      </c>
      <c r="P757" s="25">
        <f>IF(H757&gt;0,J757,"")</f>
        <v/>
      </c>
      <c r="Q757" s="25">
        <f>TEXT(A757,"YYYY-MM-DD HH")</f>
        <v/>
      </c>
      <c r="R757" s="25">
        <f>COUNTIF($Q$2:$Q$5295,Q757)</f>
        <v/>
      </c>
      <c r="S757" s="25">
        <f>IF(R757&lt;=2,"1-2",IF(R757&lt;=5,"3-5",IF(R757&lt;=10,"6-10","11+")))</f>
        <v/>
      </c>
    </row>
    <row r="758">
      <c r="A758" s="39" t="n">
        <v>46161.3708912037</v>
      </c>
      <c r="B758" s="25">
        <f>TEXT(A758,"YYYY-MM")</f>
        <v/>
      </c>
      <c r="C758" s="25">
        <f>TEXT(A758,"MMM-YYYY")</f>
        <v/>
      </c>
      <c r="D758" s="40">
        <f>INT(A758)-WEEKDAY(A758,2)+1</f>
        <v/>
      </c>
      <c r="E758" s="25" t="inlineStr">
        <is>
          <t>mgupta</t>
        </is>
      </c>
      <c r="F758" s="25" t="n">
        <v>57796</v>
      </c>
      <c r="G758" s="25" t="n">
        <v>5</v>
      </c>
      <c r="H758" s="25" t="n">
        <v>17</v>
      </c>
      <c r="I758" s="25" t="inlineStr">
        <is>
          <t>4 minute(s) and 2 second(s)</t>
        </is>
      </c>
      <c r="J758" s="25">
        <f>IFERROR(VALUE(TRIM(LEFT(I758,FIND("minute",I758)-1)))*60,0)+IFERROR(VALUE(SUBSTITUTE(MID(I758,IFERROR(FIND("and",I758)+3,1),20),"second(s)","")),0)</f>
        <v/>
      </c>
      <c r="K758" s="41">
        <f>J758/60</f>
        <v/>
      </c>
      <c r="L758" s="41">
        <f>IFERROR(J758/H758,"")</f>
        <v/>
      </c>
      <c r="M758" s="25" t="inlineStr">
        <is>
          <t>2.5.12</t>
        </is>
      </c>
      <c r="N758" s="25">
        <f>IF(J758&gt;300,1,0)</f>
        <v/>
      </c>
      <c r="O758" s="25">
        <f>IF(J758&gt;600,1,0)</f>
        <v/>
      </c>
      <c r="P758" s="25">
        <f>IF(H758&gt;0,J758,"")</f>
        <v/>
      </c>
      <c r="Q758" s="25">
        <f>TEXT(A758,"YYYY-MM-DD HH")</f>
        <v/>
      </c>
      <c r="R758" s="25">
        <f>COUNTIF($Q$2:$Q$5295,Q758)</f>
        <v/>
      </c>
      <c r="S758" s="25">
        <f>IF(R758&lt;=2,"1-2",IF(R758&lt;=5,"3-5",IF(R758&lt;=10,"6-10","11+")))</f>
        <v/>
      </c>
    </row>
    <row r="759">
      <c r="A759" s="39" t="n">
        <v>46161.37122685185</v>
      </c>
      <c r="B759" s="25">
        <f>TEXT(A759,"YYYY-MM")</f>
        <v/>
      </c>
      <c r="C759" s="25">
        <f>TEXT(A759,"MMM-YYYY")</f>
        <v/>
      </c>
      <c r="D759" s="40">
        <f>INT(A759)-WEEKDAY(A759,2)+1</f>
        <v/>
      </c>
      <c r="E759" s="25" t="inlineStr">
        <is>
          <t>taggarwal</t>
        </is>
      </c>
      <c r="F759" s="25" t="n">
        <v>108227</v>
      </c>
      <c r="G759" s="25" t="n">
        <v>4</v>
      </c>
      <c r="H759" s="25" t="n">
        <v>22</v>
      </c>
      <c r="I759" s="25" t="inlineStr">
        <is>
          <t>4 minute(s) and 29 second(s)</t>
        </is>
      </c>
      <c r="J759" s="25">
        <f>IFERROR(VALUE(TRIM(LEFT(I759,FIND("minute",I759)-1)))*60,0)+IFERROR(VALUE(SUBSTITUTE(MID(I759,IFERROR(FIND("and",I759)+3,1),20),"second(s)","")),0)</f>
        <v/>
      </c>
      <c r="K759" s="41">
        <f>J759/60</f>
        <v/>
      </c>
      <c r="L759" s="41">
        <f>IFERROR(J759/H759,"")</f>
        <v/>
      </c>
      <c r="M759" s="25" t="inlineStr">
        <is>
          <t>2.5.12</t>
        </is>
      </c>
      <c r="N759" s="25">
        <f>IF(J759&gt;300,1,0)</f>
        <v/>
      </c>
      <c r="O759" s="25">
        <f>IF(J759&gt;600,1,0)</f>
        <v/>
      </c>
      <c r="P759" s="25">
        <f>IF(H759&gt;0,J759,"")</f>
        <v/>
      </c>
      <c r="Q759" s="25">
        <f>TEXT(A759,"YYYY-MM-DD HH")</f>
        <v/>
      </c>
      <c r="R759" s="25">
        <f>COUNTIF($Q$2:$Q$5295,Q759)</f>
        <v/>
      </c>
      <c r="S759" s="25">
        <f>IF(R759&lt;=2,"1-2",IF(R759&lt;=5,"3-5",IF(R759&lt;=10,"6-10","11+")))</f>
        <v/>
      </c>
    </row>
    <row r="760">
      <c r="A760" s="39" t="n">
        <v>46161.37208333334</v>
      </c>
      <c r="B760" s="25">
        <f>TEXT(A760,"YYYY-MM")</f>
        <v/>
      </c>
      <c r="C760" s="25">
        <f>TEXT(A760,"MMM-YYYY")</f>
        <v/>
      </c>
      <c r="D760" s="40">
        <f>INT(A760)-WEEKDAY(A760,2)+1</f>
        <v/>
      </c>
      <c r="E760" s="25" t="inlineStr">
        <is>
          <t>akumari</t>
        </is>
      </c>
      <c r="F760" s="25" t="n">
        <v>116028</v>
      </c>
      <c r="G760" s="25" t="n">
        <v>2</v>
      </c>
      <c r="H760" s="25" t="n">
        <v>12</v>
      </c>
      <c r="I760" s="25" t="inlineStr">
        <is>
          <t>2 minute(s) and 31 second(s)</t>
        </is>
      </c>
      <c r="J760" s="25">
        <f>IFERROR(VALUE(TRIM(LEFT(I760,FIND("minute",I760)-1)))*60,0)+IFERROR(VALUE(SUBSTITUTE(MID(I760,IFERROR(FIND("and",I760)+3,1),20),"second(s)","")),0)</f>
        <v/>
      </c>
      <c r="K760" s="41">
        <f>J760/60</f>
        <v/>
      </c>
      <c r="L760" s="41">
        <f>IFERROR(J760/H760,"")</f>
        <v/>
      </c>
      <c r="M760" s="25" t="inlineStr">
        <is>
          <t>2.5.12</t>
        </is>
      </c>
      <c r="N760" s="25">
        <f>IF(J760&gt;300,1,0)</f>
        <v/>
      </c>
      <c r="O760" s="25">
        <f>IF(J760&gt;600,1,0)</f>
        <v/>
      </c>
      <c r="P760" s="25">
        <f>IF(H760&gt;0,J760,"")</f>
        <v/>
      </c>
      <c r="Q760" s="25">
        <f>TEXT(A760,"YYYY-MM-DD HH")</f>
        <v/>
      </c>
      <c r="R760" s="25">
        <f>COUNTIF($Q$2:$Q$5295,Q760)</f>
        <v/>
      </c>
      <c r="S760" s="25">
        <f>IF(R760&lt;=2,"1-2",IF(R760&lt;=5,"3-5",IF(R760&lt;=10,"6-10","11+")))</f>
        <v/>
      </c>
    </row>
    <row r="761">
      <c r="A761" s="39" t="n">
        <v>46161.3788425926</v>
      </c>
      <c r="B761" s="25">
        <f>TEXT(A761,"YYYY-MM")</f>
        <v/>
      </c>
      <c r="C761" s="25">
        <f>TEXT(A761,"MMM-YYYY")</f>
        <v/>
      </c>
      <c r="D761" s="40">
        <f>INT(A761)-WEEKDAY(A761,2)+1</f>
        <v/>
      </c>
      <c r="E761" s="25" t="inlineStr">
        <is>
          <t>emishra</t>
        </is>
      </c>
      <c r="F761" s="25" t="n">
        <v>83110</v>
      </c>
      <c r="G761" s="25" t="n">
        <v>1</v>
      </c>
      <c r="H761" s="25" t="n">
        <v>5</v>
      </c>
      <c r="I761" s="25" t="inlineStr">
        <is>
          <t>1 minute(s) and 9 second(s)</t>
        </is>
      </c>
      <c r="J761" s="25">
        <f>IFERROR(VALUE(TRIM(LEFT(I761,FIND("minute",I761)-1)))*60,0)+IFERROR(VALUE(SUBSTITUTE(MID(I761,IFERROR(FIND("and",I761)+3,1),20),"second(s)","")),0)</f>
        <v/>
      </c>
      <c r="K761" s="41">
        <f>J761/60</f>
        <v/>
      </c>
      <c r="L761" s="41">
        <f>IFERROR(J761/H761,"")</f>
        <v/>
      </c>
      <c r="M761" s="25" t="inlineStr">
        <is>
          <t>2.5.12</t>
        </is>
      </c>
      <c r="N761" s="25">
        <f>IF(J761&gt;300,1,0)</f>
        <v/>
      </c>
      <c r="O761" s="25">
        <f>IF(J761&gt;600,1,0)</f>
        <v/>
      </c>
      <c r="P761" s="25">
        <f>IF(H761&gt;0,J761,"")</f>
        <v/>
      </c>
      <c r="Q761" s="25">
        <f>TEXT(A761,"YYYY-MM-DD HH")</f>
        <v/>
      </c>
      <c r="R761" s="25">
        <f>COUNTIF($Q$2:$Q$5295,Q761)</f>
        <v/>
      </c>
      <c r="S761" s="25">
        <f>IF(R761&lt;=2,"1-2",IF(R761&lt;=5,"3-5",IF(R761&lt;=10,"6-10","11+")))</f>
        <v/>
      </c>
    </row>
    <row r="762">
      <c r="A762" s="39" t="n">
        <v>46161.37923611111</v>
      </c>
      <c r="B762" s="25">
        <f>TEXT(A762,"YYYY-MM")</f>
        <v/>
      </c>
      <c r="C762" s="25">
        <f>TEXT(A762,"MMM-YYYY")</f>
        <v/>
      </c>
      <c r="D762" s="40">
        <f>INT(A762)-WEEKDAY(A762,2)+1</f>
        <v/>
      </c>
      <c r="E762" s="25" t="inlineStr">
        <is>
          <t>shassan</t>
        </is>
      </c>
      <c r="F762" s="25" t="n">
        <v>322</v>
      </c>
      <c r="G762" s="25" t="n">
        <v>1</v>
      </c>
      <c r="H762" s="25" t="n">
        <v>7</v>
      </c>
      <c r="I762" s="25" t="inlineStr">
        <is>
          <t>1 minute(s) and 20 second(s)</t>
        </is>
      </c>
      <c r="J762" s="25">
        <f>IFERROR(VALUE(TRIM(LEFT(I762,FIND("minute",I762)-1)))*60,0)+IFERROR(VALUE(SUBSTITUTE(MID(I762,IFERROR(FIND("and",I762)+3,1),20),"second(s)","")),0)</f>
        <v/>
      </c>
      <c r="K762" s="41">
        <f>J762/60</f>
        <v/>
      </c>
      <c r="L762" s="41">
        <f>IFERROR(J762/H762,"")</f>
        <v/>
      </c>
      <c r="M762" s="25" t="inlineStr">
        <is>
          <t>2.5.12</t>
        </is>
      </c>
      <c r="N762" s="25">
        <f>IF(J762&gt;300,1,0)</f>
        <v/>
      </c>
      <c r="O762" s="25">
        <f>IF(J762&gt;600,1,0)</f>
        <v/>
      </c>
      <c r="P762" s="25">
        <f>IF(H762&gt;0,J762,"")</f>
        <v/>
      </c>
      <c r="Q762" s="25">
        <f>TEXT(A762,"YYYY-MM-DD HH")</f>
        <v/>
      </c>
      <c r="R762" s="25">
        <f>COUNTIF($Q$2:$Q$5295,Q762)</f>
        <v/>
      </c>
      <c r="S762" s="25">
        <f>IF(R762&lt;=2,"1-2",IF(R762&lt;=5,"3-5",IF(R762&lt;=10,"6-10","11+")))</f>
        <v/>
      </c>
    </row>
    <row r="763">
      <c r="A763" s="39" t="n">
        <v>46161.38655092593</v>
      </c>
      <c r="B763" s="25">
        <f>TEXT(A763,"YYYY-MM")</f>
        <v/>
      </c>
      <c r="C763" s="25">
        <f>TEXT(A763,"MMM-YYYY")</f>
        <v/>
      </c>
      <c r="D763" s="40">
        <f>INT(A763)-WEEKDAY(A763,2)+1</f>
        <v/>
      </c>
      <c r="E763" s="25" t="inlineStr">
        <is>
          <t>sswati</t>
        </is>
      </c>
      <c r="F763" s="25" t="n">
        <v>98281</v>
      </c>
      <c r="G763" s="25" t="n">
        <v>1</v>
      </c>
      <c r="H763" s="25" t="n">
        <v>7</v>
      </c>
      <c r="I763" s="25" t="inlineStr">
        <is>
          <t>2 minute(s) and 56 second(s)</t>
        </is>
      </c>
      <c r="J763" s="25">
        <f>IFERROR(VALUE(TRIM(LEFT(I763,FIND("minute",I763)-1)))*60,0)+IFERROR(VALUE(SUBSTITUTE(MID(I763,IFERROR(FIND("and",I763)+3,1),20),"second(s)","")),0)</f>
        <v/>
      </c>
      <c r="K763" s="41">
        <f>J763/60</f>
        <v/>
      </c>
      <c r="L763" s="41">
        <f>IFERROR(J763/H763,"")</f>
        <v/>
      </c>
      <c r="M763" s="25" t="inlineStr">
        <is>
          <t>2.5.12</t>
        </is>
      </c>
      <c r="N763" s="25">
        <f>IF(J763&gt;300,1,0)</f>
        <v/>
      </c>
      <c r="O763" s="25">
        <f>IF(J763&gt;600,1,0)</f>
        <v/>
      </c>
      <c r="P763" s="25">
        <f>IF(H763&gt;0,J763,"")</f>
        <v/>
      </c>
      <c r="Q763" s="25">
        <f>TEXT(A763,"YYYY-MM-DD HH")</f>
        <v/>
      </c>
      <c r="R763" s="25">
        <f>COUNTIF($Q$2:$Q$5295,Q763)</f>
        <v/>
      </c>
      <c r="S763" s="25">
        <f>IF(R763&lt;=2,"1-2",IF(R763&lt;=5,"3-5",IF(R763&lt;=10,"6-10","11+")))</f>
        <v/>
      </c>
    </row>
    <row r="764">
      <c r="A764" s="39" t="n">
        <v>46161.38833333334</v>
      </c>
      <c r="B764" s="25">
        <f>TEXT(A764,"YYYY-MM")</f>
        <v/>
      </c>
      <c r="C764" s="25">
        <f>TEXT(A764,"MMM-YYYY")</f>
        <v/>
      </c>
      <c r="D764" s="40">
        <f>INT(A764)-WEEKDAY(A764,2)+1</f>
        <v/>
      </c>
      <c r="E764" s="25" t="inlineStr">
        <is>
          <t>aghosh</t>
        </is>
      </c>
      <c r="F764" s="25" t="n">
        <v>114933</v>
      </c>
      <c r="G764" s="25" t="n">
        <v>5</v>
      </c>
      <c r="H764" s="25" t="n">
        <v>17</v>
      </c>
      <c r="I764" s="25" t="inlineStr">
        <is>
          <t>4 minute(s) and 48 second(s)</t>
        </is>
      </c>
      <c r="J764" s="25">
        <f>IFERROR(VALUE(TRIM(LEFT(I764,FIND("minute",I764)-1)))*60,0)+IFERROR(VALUE(SUBSTITUTE(MID(I764,IFERROR(FIND("and",I764)+3,1),20),"second(s)","")),0)</f>
        <v/>
      </c>
      <c r="K764" s="41">
        <f>J764/60</f>
        <v/>
      </c>
      <c r="L764" s="41">
        <f>IFERROR(J764/H764,"")</f>
        <v/>
      </c>
      <c r="M764" s="25" t="inlineStr">
        <is>
          <t>2.5.12</t>
        </is>
      </c>
      <c r="N764" s="25">
        <f>IF(J764&gt;300,1,0)</f>
        <v/>
      </c>
      <c r="O764" s="25">
        <f>IF(J764&gt;600,1,0)</f>
        <v/>
      </c>
      <c r="P764" s="25">
        <f>IF(H764&gt;0,J764,"")</f>
        <v/>
      </c>
      <c r="Q764" s="25">
        <f>TEXT(A764,"YYYY-MM-DD HH")</f>
        <v/>
      </c>
      <c r="R764" s="25">
        <f>COUNTIF($Q$2:$Q$5295,Q764)</f>
        <v/>
      </c>
      <c r="S764" s="25">
        <f>IF(R764&lt;=2,"1-2",IF(R764&lt;=5,"3-5",IF(R764&lt;=10,"6-10","11+")))</f>
        <v/>
      </c>
    </row>
    <row r="765">
      <c r="A765" s="39" t="n">
        <v>46161.39024305555</v>
      </c>
      <c r="B765" s="25">
        <f>TEXT(A765,"YYYY-MM")</f>
        <v/>
      </c>
      <c r="C765" s="25">
        <f>TEXT(A765,"MMM-YYYY")</f>
        <v/>
      </c>
      <c r="D765" s="40">
        <f>INT(A765)-WEEKDAY(A765,2)+1</f>
        <v/>
      </c>
      <c r="E765" s="25" t="inlineStr">
        <is>
          <t>smukhopadhyay</t>
        </is>
      </c>
      <c r="F765" s="25" t="n">
        <v>95623</v>
      </c>
      <c r="G765" s="25" t="n">
        <v>5</v>
      </c>
      <c r="H765" s="25" t="n">
        <v>19</v>
      </c>
      <c r="I765" s="25" t="inlineStr">
        <is>
          <t>6 minute(s) and 52 second(s)</t>
        </is>
      </c>
      <c r="J765" s="25">
        <f>IFERROR(VALUE(TRIM(LEFT(I765,FIND("minute",I765)-1)))*60,0)+IFERROR(VALUE(SUBSTITUTE(MID(I765,IFERROR(FIND("and",I765)+3,1),20),"second(s)","")),0)</f>
        <v/>
      </c>
      <c r="K765" s="41">
        <f>J765/60</f>
        <v/>
      </c>
      <c r="L765" s="41">
        <f>IFERROR(J765/H765,"")</f>
        <v/>
      </c>
      <c r="M765" s="25" t="inlineStr">
        <is>
          <t>2.5.12</t>
        </is>
      </c>
      <c r="N765" s="25">
        <f>IF(J765&gt;300,1,0)</f>
        <v/>
      </c>
      <c r="O765" s="25">
        <f>IF(J765&gt;600,1,0)</f>
        <v/>
      </c>
      <c r="P765" s="25">
        <f>IF(H765&gt;0,J765,"")</f>
        <v/>
      </c>
      <c r="Q765" s="25">
        <f>TEXT(A765,"YYYY-MM-DD HH")</f>
        <v/>
      </c>
      <c r="R765" s="25">
        <f>COUNTIF($Q$2:$Q$5295,Q765)</f>
        <v/>
      </c>
      <c r="S765" s="25">
        <f>IF(R765&lt;=2,"1-2",IF(R765&lt;=5,"3-5",IF(R765&lt;=10,"6-10","11+")))</f>
        <v/>
      </c>
    </row>
    <row r="766">
      <c r="A766" s="39" t="n">
        <v>46161.390625</v>
      </c>
      <c r="B766" s="25">
        <f>TEXT(A766,"YYYY-MM")</f>
        <v/>
      </c>
      <c r="C766" s="25">
        <f>TEXT(A766,"MMM-YYYY")</f>
        <v/>
      </c>
      <c r="D766" s="40">
        <f>INT(A766)-WEEKDAY(A766,2)+1</f>
        <v/>
      </c>
      <c r="E766" s="25" t="inlineStr">
        <is>
          <t>ethomas</t>
        </is>
      </c>
      <c r="F766" s="25" t="n">
        <v>107928</v>
      </c>
      <c r="G766" s="25" t="n">
        <v>4</v>
      </c>
      <c r="H766" s="25" t="n">
        <v>16</v>
      </c>
      <c r="I766" s="25" t="inlineStr">
        <is>
          <t>4 minute(s) and 18 second(s)</t>
        </is>
      </c>
      <c r="J766" s="25">
        <f>IFERROR(VALUE(TRIM(LEFT(I766,FIND("minute",I766)-1)))*60,0)+IFERROR(VALUE(SUBSTITUTE(MID(I766,IFERROR(FIND("and",I766)+3,1),20),"second(s)","")),0)</f>
        <v/>
      </c>
      <c r="K766" s="41">
        <f>J766/60</f>
        <v/>
      </c>
      <c r="L766" s="41">
        <f>IFERROR(J766/H766,"")</f>
        <v/>
      </c>
      <c r="M766" s="25" t="inlineStr">
        <is>
          <t>2.5.12</t>
        </is>
      </c>
      <c r="N766" s="25">
        <f>IF(J766&gt;300,1,0)</f>
        <v/>
      </c>
      <c r="O766" s="25">
        <f>IF(J766&gt;600,1,0)</f>
        <v/>
      </c>
      <c r="P766" s="25">
        <f>IF(H766&gt;0,J766,"")</f>
        <v/>
      </c>
      <c r="Q766" s="25">
        <f>TEXT(A766,"YYYY-MM-DD HH")</f>
        <v/>
      </c>
      <c r="R766" s="25">
        <f>COUNTIF($Q$2:$Q$5295,Q766)</f>
        <v/>
      </c>
      <c r="S766" s="25">
        <f>IF(R766&lt;=2,"1-2",IF(R766&lt;=5,"3-5",IF(R766&lt;=10,"6-10","11+")))</f>
        <v/>
      </c>
    </row>
    <row r="767">
      <c r="A767" s="39" t="n">
        <v>46161.39375</v>
      </c>
      <c r="B767" s="25">
        <f>TEXT(A767,"YYYY-MM")</f>
        <v/>
      </c>
      <c r="C767" s="25">
        <f>TEXT(A767,"MMM-YYYY")</f>
        <v/>
      </c>
      <c r="D767" s="40">
        <f>INT(A767)-WEEKDAY(A767,2)+1</f>
        <v/>
      </c>
      <c r="E767" s="25" t="inlineStr">
        <is>
          <t>rts</t>
        </is>
      </c>
      <c r="F767" s="25" t="n">
        <v>89703</v>
      </c>
      <c r="G767" s="25" t="n">
        <v>4</v>
      </c>
      <c r="H767" s="25" t="n">
        <v>20</v>
      </c>
      <c r="I767" s="25" t="inlineStr">
        <is>
          <t>4 minute(s) and 59 second(s)</t>
        </is>
      </c>
      <c r="J767" s="25">
        <f>IFERROR(VALUE(TRIM(LEFT(I767,FIND("minute",I767)-1)))*60,0)+IFERROR(VALUE(SUBSTITUTE(MID(I767,IFERROR(FIND("and",I767)+3,1),20),"second(s)","")),0)</f>
        <v/>
      </c>
      <c r="K767" s="41">
        <f>J767/60</f>
        <v/>
      </c>
      <c r="L767" s="41">
        <f>IFERROR(J767/H767,"")</f>
        <v/>
      </c>
      <c r="M767" s="25" t="inlineStr">
        <is>
          <t>2.5.12</t>
        </is>
      </c>
      <c r="N767" s="25">
        <f>IF(J767&gt;300,1,0)</f>
        <v/>
      </c>
      <c r="O767" s="25">
        <f>IF(J767&gt;600,1,0)</f>
        <v/>
      </c>
      <c r="P767" s="25">
        <f>IF(H767&gt;0,J767,"")</f>
        <v/>
      </c>
      <c r="Q767" s="25">
        <f>TEXT(A767,"YYYY-MM-DD HH")</f>
        <v/>
      </c>
      <c r="R767" s="25">
        <f>COUNTIF($Q$2:$Q$5295,Q767)</f>
        <v/>
      </c>
      <c r="S767" s="25">
        <f>IF(R767&lt;=2,"1-2",IF(R767&lt;=5,"3-5",IF(R767&lt;=10,"6-10","11+")))</f>
        <v/>
      </c>
    </row>
    <row r="768">
      <c r="A768" s="39" t="n">
        <v>46161.39456018519</v>
      </c>
      <c r="B768" s="25">
        <f>TEXT(A768,"YYYY-MM")</f>
        <v/>
      </c>
      <c r="C768" s="25">
        <f>TEXT(A768,"MMM-YYYY")</f>
        <v/>
      </c>
      <c r="D768" s="40">
        <f>INT(A768)-WEEKDAY(A768,2)+1</f>
        <v/>
      </c>
      <c r="E768" s="25" t="inlineStr">
        <is>
          <t>csaha</t>
        </is>
      </c>
      <c r="F768" s="25" t="n">
        <v>83989</v>
      </c>
      <c r="G768" s="25" t="n">
        <v>5</v>
      </c>
      <c r="H768" s="25" t="n">
        <v>17</v>
      </c>
      <c r="I768" s="25" t="inlineStr">
        <is>
          <t>4 minute(s) and 34 second(s)</t>
        </is>
      </c>
      <c r="J768" s="25">
        <f>IFERROR(VALUE(TRIM(LEFT(I768,FIND("minute",I768)-1)))*60,0)+IFERROR(VALUE(SUBSTITUTE(MID(I768,IFERROR(FIND("and",I768)+3,1),20),"second(s)","")),0)</f>
        <v/>
      </c>
      <c r="K768" s="41">
        <f>J768/60</f>
        <v/>
      </c>
      <c r="L768" s="41">
        <f>IFERROR(J768/H768,"")</f>
        <v/>
      </c>
      <c r="M768" s="25" t="inlineStr">
        <is>
          <t>2.5.12</t>
        </is>
      </c>
      <c r="N768" s="25">
        <f>IF(J768&gt;300,1,0)</f>
        <v/>
      </c>
      <c r="O768" s="25">
        <f>IF(J768&gt;600,1,0)</f>
        <v/>
      </c>
      <c r="P768" s="25">
        <f>IF(H768&gt;0,J768,"")</f>
        <v/>
      </c>
      <c r="Q768" s="25">
        <f>TEXT(A768,"YYYY-MM-DD HH")</f>
        <v/>
      </c>
      <c r="R768" s="25">
        <f>COUNTIF($Q$2:$Q$5295,Q768)</f>
        <v/>
      </c>
      <c r="S768" s="25">
        <f>IF(R768&lt;=2,"1-2",IF(R768&lt;=5,"3-5",IF(R768&lt;=10,"6-10","11+")))</f>
        <v/>
      </c>
    </row>
    <row r="769">
      <c r="A769" s="39" t="n">
        <v>46161.39778935185</v>
      </c>
      <c r="B769" s="25">
        <f>TEXT(A769,"YYYY-MM")</f>
        <v/>
      </c>
      <c r="C769" s="25">
        <f>TEXT(A769,"MMM-YYYY")</f>
        <v/>
      </c>
      <c r="D769" s="40">
        <f>INT(A769)-WEEKDAY(A769,2)+1</f>
        <v/>
      </c>
      <c r="E769" s="25" t="inlineStr">
        <is>
          <t>kananya</t>
        </is>
      </c>
      <c r="F769" s="25" t="n">
        <v>84813</v>
      </c>
      <c r="G769" s="25" t="n">
        <v>5</v>
      </c>
      <c r="H769" s="25" t="n">
        <v>29</v>
      </c>
      <c r="I769" s="25" t="inlineStr">
        <is>
          <t>7 minute(s) and 36 second(s)</t>
        </is>
      </c>
      <c r="J769" s="25">
        <f>IFERROR(VALUE(TRIM(LEFT(I769,FIND("minute",I769)-1)))*60,0)+IFERROR(VALUE(SUBSTITUTE(MID(I769,IFERROR(FIND("and",I769)+3,1),20),"second(s)","")),0)</f>
        <v/>
      </c>
      <c r="K769" s="41">
        <f>J769/60</f>
        <v/>
      </c>
      <c r="L769" s="41">
        <f>IFERROR(J769/H769,"")</f>
        <v/>
      </c>
      <c r="M769" s="25" t="inlineStr">
        <is>
          <t>2.5.12</t>
        </is>
      </c>
      <c r="N769" s="25">
        <f>IF(J769&gt;300,1,0)</f>
        <v/>
      </c>
      <c r="O769" s="25">
        <f>IF(J769&gt;600,1,0)</f>
        <v/>
      </c>
      <c r="P769" s="25">
        <f>IF(H769&gt;0,J769,"")</f>
        <v/>
      </c>
      <c r="Q769" s="25">
        <f>TEXT(A769,"YYYY-MM-DD HH")</f>
        <v/>
      </c>
      <c r="R769" s="25">
        <f>COUNTIF($Q$2:$Q$5295,Q769)</f>
        <v/>
      </c>
      <c r="S769" s="25">
        <f>IF(R769&lt;=2,"1-2",IF(R769&lt;=5,"3-5",IF(R769&lt;=10,"6-10","11+")))</f>
        <v/>
      </c>
    </row>
    <row r="770">
      <c r="A770" s="39" t="n">
        <v>46161.3990162037</v>
      </c>
      <c r="B770" s="25">
        <f>TEXT(A770,"YYYY-MM")</f>
        <v/>
      </c>
      <c r="C770" s="25">
        <f>TEXT(A770,"MMM-YYYY")</f>
        <v/>
      </c>
      <c r="D770" s="40">
        <f>INT(A770)-WEEKDAY(A770,2)+1</f>
        <v/>
      </c>
      <c r="E770" s="25" t="inlineStr">
        <is>
          <t>ssaha</t>
        </is>
      </c>
      <c r="F770" s="25" t="n">
        <v>84576</v>
      </c>
      <c r="G770" s="25" t="n">
        <v>5</v>
      </c>
      <c r="H770" s="25" t="n">
        <v>13</v>
      </c>
      <c r="I770" s="25" t="inlineStr">
        <is>
          <t>3 minute(s) and 0 second(s)</t>
        </is>
      </c>
      <c r="J770" s="25">
        <f>IFERROR(VALUE(TRIM(LEFT(I770,FIND("minute",I770)-1)))*60,0)+IFERROR(VALUE(SUBSTITUTE(MID(I770,IFERROR(FIND("and",I770)+3,1),20),"second(s)","")),0)</f>
        <v/>
      </c>
      <c r="K770" s="41">
        <f>J770/60</f>
        <v/>
      </c>
      <c r="L770" s="41">
        <f>IFERROR(J770/H770,"")</f>
        <v/>
      </c>
      <c r="M770" s="25" t="inlineStr">
        <is>
          <t>2.5.12</t>
        </is>
      </c>
      <c r="N770" s="25">
        <f>IF(J770&gt;300,1,0)</f>
        <v/>
      </c>
      <c r="O770" s="25">
        <f>IF(J770&gt;600,1,0)</f>
        <v/>
      </c>
      <c r="P770" s="25">
        <f>IF(H770&gt;0,J770,"")</f>
        <v/>
      </c>
      <c r="Q770" s="25">
        <f>TEXT(A770,"YYYY-MM-DD HH")</f>
        <v/>
      </c>
      <c r="R770" s="25">
        <f>COUNTIF($Q$2:$Q$5295,Q770)</f>
        <v/>
      </c>
      <c r="S770" s="25">
        <f>IF(R770&lt;=2,"1-2",IF(R770&lt;=5,"3-5",IF(R770&lt;=10,"6-10","11+")))</f>
        <v/>
      </c>
    </row>
    <row r="771">
      <c r="A771" s="39" t="n">
        <v>46161.39981481482</v>
      </c>
      <c r="B771" s="25">
        <f>TEXT(A771,"YYYY-MM")</f>
        <v/>
      </c>
      <c r="C771" s="25">
        <f>TEXT(A771,"MMM-YYYY")</f>
        <v/>
      </c>
      <c r="D771" s="40">
        <f>INT(A771)-WEEKDAY(A771,2)+1</f>
        <v/>
      </c>
      <c r="E771" s="25" t="inlineStr">
        <is>
          <t>sswati</t>
        </is>
      </c>
      <c r="F771" s="25" t="n">
        <v>98281</v>
      </c>
      <c r="G771" s="25" t="n">
        <v>5</v>
      </c>
      <c r="H771" s="25" t="n">
        <v>13</v>
      </c>
      <c r="I771" s="25" t="inlineStr">
        <is>
          <t>3 minute(s) and 39 second(s)</t>
        </is>
      </c>
      <c r="J771" s="25">
        <f>IFERROR(VALUE(TRIM(LEFT(I771,FIND("minute",I771)-1)))*60,0)+IFERROR(VALUE(SUBSTITUTE(MID(I771,IFERROR(FIND("and",I771)+3,1),20),"second(s)","")),0)</f>
        <v/>
      </c>
      <c r="K771" s="41">
        <f>J771/60</f>
        <v/>
      </c>
      <c r="L771" s="41">
        <f>IFERROR(J771/H771,"")</f>
        <v/>
      </c>
      <c r="M771" s="25" t="inlineStr">
        <is>
          <t>2.5.12</t>
        </is>
      </c>
      <c r="N771" s="25">
        <f>IF(J771&gt;300,1,0)</f>
        <v/>
      </c>
      <c r="O771" s="25">
        <f>IF(J771&gt;600,1,0)</f>
        <v/>
      </c>
      <c r="P771" s="25">
        <f>IF(H771&gt;0,J771,"")</f>
        <v/>
      </c>
      <c r="Q771" s="25">
        <f>TEXT(A771,"YYYY-MM-DD HH")</f>
        <v/>
      </c>
      <c r="R771" s="25">
        <f>COUNTIF($Q$2:$Q$5295,Q771)</f>
        <v/>
      </c>
      <c r="S771" s="25">
        <f>IF(R771&lt;=2,"1-2",IF(R771&lt;=5,"3-5",IF(R771&lt;=10,"6-10","11+")))</f>
        <v/>
      </c>
    </row>
    <row r="772">
      <c r="A772" s="39" t="n">
        <v>46161.40916666666</v>
      </c>
      <c r="B772" s="25">
        <f>TEXT(A772,"YYYY-MM")</f>
        <v/>
      </c>
      <c r="C772" s="25">
        <f>TEXT(A772,"MMM-YYYY")</f>
        <v/>
      </c>
      <c r="D772" s="40">
        <f>INT(A772)-WEEKDAY(A772,2)+1</f>
        <v/>
      </c>
      <c r="E772" s="25" t="inlineStr">
        <is>
          <t>aghosh</t>
        </is>
      </c>
      <c r="F772" s="25" t="n">
        <v>116265</v>
      </c>
      <c r="G772" s="25" t="n">
        <v>5</v>
      </c>
      <c r="H772" s="25" t="n">
        <v>13</v>
      </c>
      <c r="I772" s="25" t="inlineStr">
        <is>
          <t>2 minute(s) and 52 second(s)</t>
        </is>
      </c>
      <c r="J772" s="25">
        <f>IFERROR(VALUE(TRIM(LEFT(I772,FIND("minute",I772)-1)))*60,0)+IFERROR(VALUE(SUBSTITUTE(MID(I772,IFERROR(FIND("and",I772)+3,1),20),"second(s)","")),0)</f>
        <v/>
      </c>
      <c r="K772" s="41">
        <f>J772/60</f>
        <v/>
      </c>
      <c r="L772" s="41">
        <f>IFERROR(J772/H772,"")</f>
        <v/>
      </c>
      <c r="M772" s="25" t="inlineStr">
        <is>
          <t>2.5.12</t>
        </is>
      </c>
      <c r="N772" s="25">
        <f>IF(J772&gt;300,1,0)</f>
        <v/>
      </c>
      <c r="O772" s="25">
        <f>IF(J772&gt;600,1,0)</f>
        <v/>
      </c>
      <c r="P772" s="25">
        <f>IF(H772&gt;0,J772,"")</f>
        <v/>
      </c>
      <c r="Q772" s="25">
        <f>TEXT(A772,"YYYY-MM-DD HH")</f>
        <v/>
      </c>
      <c r="R772" s="25">
        <f>COUNTIF($Q$2:$Q$5295,Q772)</f>
        <v/>
      </c>
      <c r="S772" s="25">
        <f>IF(R772&lt;=2,"1-2",IF(R772&lt;=5,"3-5",IF(R772&lt;=10,"6-10","11+")))</f>
        <v/>
      </c>
    </row>
    <row r="773">
      <c r="A773" s="39" t="n">
        <v>46161.41363425926</v>
      </c>
      <c r="B773" s="25">
        <f>TEXT(A773,"YYYY-MM")</f>
        <v/>
      </c>
      <c r="C773" s="25">
        <f>TEXT(A773,"MMM-YYYY")</f>
        <v/>
      </c>
      <c r="D773" s="40">
        <f>INT(A773)-WEEKDAY(A773,2)+1</f>
        <v/>
      </c>
      <c r="E773" s="25" t="inlineStr">
        <is>
          <t>arsarkar</t>
        </is>
      </c>
      <c r="F773" s="25" t="n">
        <v>107023</v>
      </c>
      <c r="G773" s="25" t="n">
        <v>3</v>
      </c>
      <c r="H773" s="25" t="n">
        <v>11</v>
      </c>
      <c r="I773" s="25" t="inlineStr">
        <is>
          <t>4 minute(s) and 26 second(s)</t>
        </is>
      </c>
      <c r="J773" s="25">
        <f>IFERROR(VALUE(TRIM(LEFT(I773,FIND("minute",I773)-1)))*60,0)+IFERROR(VALUE(SUBSTITUTE(MID(I773,IFERROR(FIND("and",I773)+3,1),20),"second(s)","")),0)</f>
        <v/>
      </c>
      <c r="K773" s="41">
        <f>J773/60</f>
        <v/>
      </c>
      <c r="L773" s="41">
        <f>IFERROR(J773/H773,"")</f>
        <v/>
      </c>
      <c r="M773" s="25" t="inlineStr">
        <is>
          <t>2.5.12</t>
        </is>
      </c>
      <c r="N773" s="25">
        <f>IF(J773&gt;300,1,0)</f>
        <v/>
      </c>
      <c r="O773" s="25">
        <f>IF(J773&gt;600,1,0)</f>
        <v/>
      </c>
      <c r="P773" s="25">
        <f>IF(H773&gt;0,J773,"")</f>
        <v/>
      </c>
      <c r="Q773" s="25">
        <f>TEXT(A773,"YYYY-MM-DD HH")</f>
        <v/>
      </c>
      <c r="R773" s="25">
        <f>COUNTIF($Q$2:$Q$5295,Q773)</f>
        <v/>
      </c>
      <c r="S773" s="25">
        <f>IF(R773&lt;=2,"1-2",IF(R773&lt;=5,"3-5",IF(R773&lt;=10,"6-10","11+")))</f>
        <v/>
      </c>
    </row>
    <row r="774">
      <c r="A774" s="39" t="n">
        <v>46161.41395833333</v>
      </c>
      <c r="B774" s="25">
        <f>TEXT(A774,"YYYY-MM")</f>
        <v/>
      </c>
      <c r="C774" s="25">
        <f>TEXT(A774,"MMM-YYYY")</f>
        <v/>
      </c>
      <c r="D774" s="40">
        <f>INT(A774)-WEEKDAY(A774,2)+1</f>
        <v/>
      </c>
      <c r="E774" s="25" t="inlineStr">
        <is>
          <t>shassan</t>
        </is>
      </c>
      <c r="F774" s="25" t="n">
        <v>326</v>
      </c>
      <c r="G774" s="25" t="n">
        <v>1</v>
      </c>
      <c r="H774" s="25" t="n">
        <v>7</v>
      </c>
      <c r="I774" s="25" t="inlineStr">
        <is>
          <t>2 minute(s) and 49 second(s)</t>
        </is>
      </c>
      <c r="J774" s="25">
        <f>IFERROR(VALUE(TRIM(LEFT(I774,FIND("minute",I774)-1)))*60,0)+IFERROR(VALUE(SUBSTITUTE(MID(I774,IFERROR(FIND("and",I774)+3,1),20),"second(s)","")),0)</f>
        <v/>
      </c>
      <c r="K774" s="41">
        <f>J774/60</f>
        <v/>
      </c>
      <c r="L774" s="41">
        <f>IFERROR(J774/H774,"")</f>
        <v/>
      </c>
      <c r="M774" s="25" t="inlineStr">
        <is>
          <t>2.5.12</t>
        </is>
      </c>
      <c r="N774" s="25">
        <f>IF(J774&gt;300,1,0)</f>
        <v/>
      </c>
      <c r="O774" s="25">
        <f>IF(J774&gt;600,1,0)</f>
        <v/>
      </c>
      <c r="P774" s="25">
        <f>IF(H774&gt;0,J774,"")</f>
        <v/>
      </c>
      <c r="Q774" s="25">
        <f>TEXT(A774,"YYYY-MM-DD HH")</f>
        <v/>
      </c>
      <c r="R774" s="25">
        <f>COUNTIF($Q$2:$Q$5295,Q774)</f>
        <v/>
      </c>
      <c r="S774" s="25">
        <f>IF(R774&lt;=2,"1-2",IF(R774&lt;=5,"3-5",IF(R774&lt;=10,"6-10","11+")))</f>
        <v/>
      </c>
    </row>
    <row r="775">
      <c r="A775" s="39" t="n">
        <v>46161.42273148148</v>
      </c>
      <c r="B775" s="25">
        <f>TEXT(A775,"YYYY-MM")</f>
        <v/>
      </c>
      <c r="C775" s="25">
        <f>TEXT(A775,"MMM-YYYY")</f>
        <v/>
      </c>
      <c r="D775" s="40">
        <f>INT(A775)-WEEKDAY(A775,2)+1</f>
        <v/>
      </c>
      <c r="E775" s="25" t="inlineStr">
        <is>
          <t>ethomas</t>
        </is>
      </c>
      <c r="F775" s="25" t="n">
        <v>104364</v>
      </c>
      <c r="G775" s="25" t="n">
        <v>2</v>
      </c>
      <c r="H775" s="25" t="n">
        <v>10</v>
      </c>
      <c r="I775" s="25" t="inlineStr">
        <is>
          <t>3 minute(s) and 53 second(s)</t>
        </is>
      </c>
      <c r="J775" s="25">
        <f>IFERROR(VALUE(TRIM(LEFT(I775,FIND("minute",I775)-1)))*60,0)+IFERROR(VALUE(SUBSTITUTE(MID(I775,IFERROR(FIND("and",I775)+3,1),20),"second(s)","")),0)</f>
        <v/>
      </c>
      <c r="K775" s="41">
        <f>J775/60</f>
        <v/>
      </c>
      <c r="L775" s="41">
        <f>IFERROR(J775/H775,"")</f>
        <v/>
      </c>
      <c r="M775" s="25" t="inlineStr">
        <is>
          <t>2.5.12</t>
        </is>
      </c>
      <c r="N775" s="25">
        <f>IF(J775&gt;300,1,0)</f>
        <v/>
      </c>
      <c r="O775" s="25">
        <f>IF(J775&gt;600,1,0)</f>
        <v/>
      </c>
      <c r="P775" s="25">
        <f>IF(H775&gt;0,J775,"")</f>
        <v/>
      </c>
      <c r="Q775" s="25">
        <f>TEXT(A775,"YYYY-MM-DD HH")</f>
        <v/>
      </c>
      <c r="R775" s="25">
        <f>COUNTIF($Q$2:$Q$5295,Q775)</f>
        <v/>
      </c>
      <c r="S775" s="25">
        <f>IF(R775&lt;=2,"1-2",IF(R775&lt;=5,"3-5",IF(R775&lt;=10,"6-10","11+")))</f>
        <v/>
      </c>
    </row>
    <row r="776">
      <c r="A776" s="39" t="n">
        <v>46161.42328703704</v>
      </c>
      <c r="B776" s="25">
        <f>TEXT(A776,"YYYY-MM")</f>
        <v/>
      </c>
      <c r="C776" s="25">
        <f>TEXT(A776,"MMM-YYYY")</f>
        <v/>
      </c>
      <c r="D776" s="40">
        <f>INT(A776)-WEEKDAY(A776,2)+1</f>
        <v/>
      </c>
      <c r="E776" s="25" t="inlineStr">
        <is>
          <t>atiwari</t>
        </is>
      </c>
      <c r="F776" s="25" t="n">
        <v>104416</v>
      </c>
      <c r="G776" s="25" t="n">
        <v>1</v>
      </c>
      <c r="H776" s="25" t="n">
        <v>7</v>
      </c>
      <c r="I776" s="25" t="inlineStr">
        <is>
          <t>3 minute(s) and 27 second(s)</t>
        </is>
      </c>
      <c r="J776" s="25">
        <f>IFERROR(VALUE(TRIM(LEFT(I776,FIND("minute",I776)-1)))*60,0)+IFERROR(VALUE(SUBSTITUTE(MID(I776,IFERROR(FIND("and",I776)+3,1),20),"second(s)","")),0)</f>
        <v/>
      </c>
      <c r="K776" s="41">
        <f>J776/60</f>
        <v/>
      </c>
      <c r="L776" s="41">
        <f>IFERROR(J776/H776,"")</f>
        <v/>
      </c>
      <c r="M776" s="25" t="inlineStr">
        <is>
          <t>2.5.12</t>
        </is>
      </c>
      <c r="N776" s="25">
        <f>IF(J776&gt;300,1,0)</f>
        <v/>
      </c>
      <c r="O776" s="25">
        <f>IF(J776&gt;600,1,0)</f>
        <v/>
      </c>
      <c r="P776" s="25">
        <f>IF(H776&gt;0,J776,"")</f>
        <v/>
      </c>
      <c r="Q776" s="25">
        <f>TEXT(A776,"YYYY-MM-DD HH")</f>
        <v/>
      </c>
      <c r="R776" s="25">
        <f>COUNTIF($Q$2:$Q$5295,Q776)</f>
        <v/>
      </c>
      <c r="S776" s="25">
        <f>IF(R776&lt;=2,"1-2",IF(R776&lt;=5,"3-5",IF(R776&lt;=10,"6-10","11+")))</f>
        <v/>
      </c>
    </row>
    <row r="777">
      <c r="A777" s="39" t="n">
        <v>46161.42650462963</v>
      </c>
      <c r="B777" s="25">
        <f>TEXT(A777,"YYYY-MM")</f>
        <v/>
      </c>
      <c r="C777" s="25">
        <f>TEXT(A777,"MMM-YYYY")</f>
        <v/>
      </c>
      <c r="D777" s="40">
        <f>INT(A777)-WEEKDAY(A777,2)+1</f>
        <v/>
      </c>
      <c r="E777" s="25" t="inlineStr">
        <is>
          <t>ssaha</t>
        </is>
      </c>
      <c r="F777" s="25" t="n">
        <v>84601</v>
      </c>
      <c r="G777" s="25" t="n">
        <v>1</v>
      </c>
      <c r="H777" s="25" t="n">
        <v>7</v>
      </c>
      <c r="I777" s="25" t="inlineStr">
        <is>
          <t>1 minute(s) and 28 second(s)</t>
        </is>
      </c>
      <c r="J777" s="25">
        <f>IFERROR(VALUE(TRIM(LEFT(I777,FIND("minute",I777)-1)))*60,0)+IFERROR(VALUE(SUBSTITUTE(MID(I777,IFERROR(FIND("and",I777)+3,1),20),"second(s)","")),0)</f>
        <v/>
      </c>
      <c r="K777" s="41">
        <f>J777/60</f>
        <v/>
      </c>
      <c r="L777" s="41">
        <f>IFERROR(J777/H777,"")</f>
        <v/>
      </c>
      <c r="M777" s="25" t="inlineStr">
        <is>
          <t>2.5.12</t>
        </is>
      </c>
      <c r="N777" s="25">
        <f>IF(J777&gt;300,1,0)</f>
        <v/>
      </c>
      <c r="O777" s="25">
        <f>IF(J777&gt;600,1,0)</f>
        <v/>
      </c>
      <c r="P777" s="25">
        <f>IF(H777&gt;0,J777,"")</f>
        <v/>
      </c>
      <c r="Q777" s="25">
        <f>TEXT(A777,"YYYY-MM-DD HH")</f>
        <v/>
      </c>
      <c r="R777" s="25">
        <f>COUNTIF($Q$2:$Q$5295,Q777)</f>
        <v/>
      </c>
      <c r="S777" s="25">
        <f>IF(R777&lt;=2,"1-2",IF(R777&lt;=5,"3-5",IF(R777&lt;=10,"6-10","11+")))</f>
        <v/>
      </c>
    </row>
    <row r="778">
      <c r="A778" s="39" t="n">
        <v>46161.42667824074</v>
      </c>
      <c r="B778" s="25">
        <f>TEXT(A778,"YYYY-MM")</f>
        <v/>
      </c>
      <c r="C778" s="25">
        <f>TEXT(A778,"MMM-YYYY")</f>
        <v/>
      </c>
      <c r="D778" s="40">
        <f>INT(A778)-WEEKDAY(A778,2)+1</f>
        <v/>
      </c>
      <c r="E778" s="25" t="inlineStr">
        <is>
          <t>mbhalla</t>
        </is>
      </c>
      <c r="F778" s="25" t="n">
        <v>60</v>
      </c>
      <c r="G778" s="25" t="n">
        <v>1</v>
      </c>
      <c r="H778" s="25" t="n">
        <v>7</v>
      </c>
      <c r="I778" s="25" t="inlineStr">
        <is>
          <t>1 minute(s) and 20 second(s)</t>
        </is>
      </c>
      <c r="J778" s="25">
        <f>IFERROR(VALUE(TRIM(LEFT(I778,FIND("minute",I778)-1)))*60,0)+IFERROR(VALUE(SUBSTITUTE(MID(I778,IFERROR(FIND("and",I778)+3,1),20),"second(s)","")),0)</f>
        <v/>
      </c>
      <c r="K778" s="41">
        <f>J778/60</f>
        <v/>
      </c>
      <c r="L778" s="41">
        <f>IFERROR(J778/H778,"")</f>
        <v/>
      </c>
      <c r="M778" s="25" t="inlineStr">
        <is>
          <t>2.5.12</t>
        </is>
      </c>
      <c r="N778" s="25">
        <f>IF(J778&gt;300,1,0)</f>
        <v/>
      </c>
      <c r="O778" s="25">
        <f>IF(J778&gt;600,1,0)</f>
        <v/>
      </c>
      <c r="P778" s="25">
        <f>IF(H778&gt;0,J778,"")</f>
        <v/>
      </c>
      <c r="Q778" s="25">
        <f>TEXT(A778,"YYYY-MM-DD HH")</f>
        <v/>
      </c>
      <c r="R778" s="25">
        <f>COUNTIF($Q$2:$Q$5295,Q778)</f>
        <v/>
      </c>
      <c r="S778" s="25">
        <f>IF(R778&lt;=2,"1-2",IF(R778&lt;=5,"3-5",IF(R778&lt;=10,"6-10","11+")))</f>
        <v/>
      </c>
    </row>
    <row r="779">
      <c r="A779" s="39" t="n">
        <v>46161.42674768518</v>
      </c>
      <c r="B779" s="25">
        <f>TEXT(A779,"YYYY-MM")</f>
        <v/>
      </c>
      <c r="C779" s="25">
        <f>TEXT(A779,"MMM-YYYY")</f>
        <v/>
      </c>
      <c r="D779" s="40">
        <f>INT(A779)-WEEKDAY(A779,2)+1</f>
        <v/>
      </c>
      <c r="E779" s="25" t="inlineStr">
        <is>
          <t>emishra</t>
        </is>
      </c>
      <c r="F779" s="25" t="n">
        <v>83110</v>
      </c>
      <c r="G779" s="25" t="n">
        <v>5</v>
      </c>
      <c r="H779" s="25" t="n">
        <v>17</v>
      </c>
      <c r="I779" s="25" t="inlineStr">
        <is>
          <t>2 minute(s) and 44 second(s)</t>
        </is>
      </c>
      <c r="J779" s="25">
        <f>IFERROR(VALUE(TRIM(LEFT(I779,FIND("minute",I779)-1)))*60,0)+IFERROR(VALUE(SUBSTITUTE(MID(I779,IFERROR(FIND("and",I779)+3,1),20),"second(s)","")),0)</f>
        <v/>
      </c>
      <c r="K779" s="41">
        <f>J779/60</f>
        <v/>
      </c>
      <c r="L779" s="41">
        <f>IFERROR(J779/H779,"")</f>
        <v/>
      </c>
      <c r="M779" s="25" t="inlineStr">
        <is>
          <t>2.5.12</t>
        </is>
      </c>
      <c r="N779" s="25">
        <f>IF(J779&gt;300,1,0)</f>
        <v/>
      </c>
      <c r="O779" s="25">
        <f>IF(J779&gt;600,1,0)</f>
        <v/>
      </c>
      <c r="P779" s="25">
        <f>IF(H779&gt;0,J779,"")</f>
        <v/>
      </c>
      <c r="Q779" s="25">
        <f>TEXT(A779,"YYYY-MM-DD HH")</f>
        <v/>
      </c>
      <c r="R779" s="25">
        <f>COUNTIF($Q$2:$Q$5295,Q779)</f>
        <v/>
      </c>
      <c r="S779" s="25">
        <f>IF(R779&lt;=2,"1-2",IF(R779&lt;=5,"3-5",IF(R779&lt;=10,"6-10","11+")))</f>
        <v/>
      </c>
    </row>
    <row r="780">
      <c r="A780" s="39" t="n">
        <v>46161.43232638889</v>
      </c>
      <c r="B780" s="25">
        <f>TEXT(A780,"YYYY-MM")</f>
        <v/>
      </c>
      <c r="C780" s="25">
        <f>TEXT(A780,"MMM-YYYY")</f>
        <v/>
      </c>
      <c r="D780" s="40">
        <f>INT(A780)-WEEKDAY(A780,2)+1</f>
        <v/>
      </c>
      <c r="E780" s="25" t="inlineStr">
        <is>
          <t>abhaskarkp</t>
        </is>
      </c>
      <c r="F780" s="25" t="n">
        <v>95133</v>
      </c>
      <c r="G780" s="25" t="n">
        <v>5</v>
      </c>
      <c r="H780" s="25" t="n">
        <v>19</v>
      </c>
      <c r="I780" s="25" t="inlineStr">
        <is>
          <t>6 minute(s) and 28 second(s)</t>
        </is>
      </c>
      <c r="J780" s="25">
        <f>IFERROR(VALUE(TRIM(LEFT(I780,FIND("minute",I780)-1)))*60,0)+IFERROR(VALUE(SUBSTITUTE(MID(I780,IFERROR(FIND("and",I780)+3,1),20),"second(s)","")),0)</f>
        <v/>
      </c>
      <c r="K780" s="41">
        <f>J780/60</f>
        <v/>
      </c>
      <c r="L780" s="41">
        <f>IFERROR(J780/H780,"")</f>
        <v/>
      </c>
      <c r="M780" s="25" t="inlineStr">
        <is>
          <t>2.5.12</t>
        </is>
      </c>
      <c r="N780" s="25">
        <f>IF(J780&gt;300,1,0)</f>
        <v/>
      </c>
      <c r="O780" s="25">
        <f>IF(J780&gt;600,1,0)</f>
        <v/>
      </c>
      <c r="P780" s="25">
        <f>IF(H780&gt;0,J780,"")</f>
        <v/>
      </c>
      <c r="Q780" s="25">
        <f>TEXT(A780,"YYYY-MM-DD HH")</f>
        <v/>
      </c>
      <c r="R780" s="25">
        <f>COUNTIF($Q$2:$Q$5295,Q780)</f>
        <v/>
      </c>
      <c r="S780" s="25">
        <f>IF(R780&lt;=2,"1-2",IF(R780&lt;=5,"3-5",IF(R780&lt;=10,"6-10","11+")))</f>
        <v/>
      </c>
    </row>
    <row r="781">
      <c r="A781" s="39" t="n">
        <v>46161.43238425926</v>
      </c>
      <c r="B781" s="25">
        <f>TEXT(A781,"YYYY-MM")</f>
        <v/>
      </c>
      <c r="C781" s="25">
        <f>TEXT(A781,"MMM-YYYY")</f>
        <v/>
      </c>
      <c r="D781" s="40">
        <f>INT(A781)-WEEKDAY(A781,2)+1</f>
        <v/>
      </c>
      <c r="E781" s="25" t="inlineStr">
        <is>
          <t>kananya</t>
        </is>
      </c>
      <c r="F781" s="25" t="n">
        <v>107891</v>
      </c>
      <c r="G781" s="25" t="n">
        <v>5</v>
      </c>
      <c r="H781" s="25" t="n">
        <v>31</v>
      </c>
      <c r="I781" s="25" t="inlineStr">
        <is>
          <t>8 minute(s) and 28 second(s)</t>
        </is>
      </c>
      <c r="J781" s="25">
        <f>IFERROR(VALUE(TRIM(LEFT(I781,FIND("minute",I781)-1)))*60,0)+IFERROR(VALUE(SUBSTITUTE(MID(I781,IFERROR(FIND("and",I781)+3,1),20),"second(s)","")),0)</f>
        <v/>
      </c>
      <c r="K781" s="41">
        <f>J781/60</f>
        <v/>
      </c>
      <c r="L781" s="41">
        <f>IFERROR(J781/H781,"")</f>
        <v/>
      </c>
      <c r="M781" s="25" t="inlineStr">
        <is>
          <t>2.5.12</t>
        </is>
      </c>
      <c r="N781" s="25">
        <f>IF(J781&gt;300,1,0)</f>
        <v/>
      </c>
      <c r="O781" s="25">
        <f>IF(J781&gt;600,1,0)</f>
        <v/>
      </c>
      <c r="P781" s="25">
        <f>IF(H781&gt;0,J781,"")</f>
        <v/>
      </c>
      <c r="Q781" s="25">
        <f>TEXT(A781,"YYYY-MM-DD HH")</f>
        <v/>
      </c>
      <c r="R781" s="25">
        <f>COUNTIF($Q$2:$Q$5295,Q781)</f>
        <v/>
      </c>
      <c r="S781" s="25">
        <f>IF(R781&lt;=2,"1-2",IF(R781&lt;=5,"3-5",IF(R781&lt;=10,"6-10","11+")))</f>
        <v/>
      </c>
    </row>
    <row r="782">
      <c r="A782" s="39" t="n">
        <v>46161.44435185185</v>
      </c>
      <c r="B782" s="25">
        <f>TEXT(A782,"YYYY-MM")</f>
        <v/>
      </c>
      <c r="C782" s="25">
        <f>TEXT(A782,"MMM-YYYY")</f>
        <v/>
      </c>
      <c r="D782" s="40">
        <f>INT(A782)-WEEKDAY(A782,2)+1</f>
        <v/>
      </c>
      <c r="E782" s="25" t="inlineStr">
        <is>
          <t>sphatak</t>
        </is>
      </c>
      <c r="F782" s="25" t="n">
        <v>96811</v>
      </c>
      <c r="G782" s="25" t="n">
        <v>2</v>
      </c>
      <c r="H782" s="25" t="n">
        <v>8</v>
      </c>
      <c r="I782" s="25" t="inlineStr">
        <is>
          <t>1 minute(s) and 15 second(s)</t>
        </is>
      </c>
      <c r="J782" s="25">
        <f>IFERROR(VALUE(TRIM(LEFT(I782,FIND("minute",I782)-1)))*60,0)+IFERROR(VALUE(SUBSTITUTE(MID(I782,IFERROR(FIND("and",I782)+3,1),20),"second(s)","")),0)</f>
        <v/>
      </c>
      <c r="K782" s="41">
        <f>J782/60</f>
        <v/>
      </c>
      <c r="L782" s="41">
        <f>IFERROR(J782/H782,"")</f>
        <v/>
      </c>
      <c r="M782" s="25" t="inlineStr">
        <is>
          <t>2.5.12</t>
        </is>
      </c>
      <c r="N782" s="25">
        <f>IF(J782&gt;300,1,0)</f>
        <v/>
      </c>
      <c r="O782" s="25">
        <f>IF(J782&gt;600,1,0)</f>
        <v/>
      </c>
      <c r="P782" s="25">
        <f>IF(H782&gt;0,J782,"")</f>
        <v/>
      </c>
      <c r="Q782" s="25">
        <f>TEXT(A782,"YYYY-MM-DD HH")</f>
        <v/>
      </c>
      <c r="R782" s="25">
        <f>COUNTIF($Q$2:$Q$5295,Q782)</f>
        <v/>
      </c>
      <c r="S782" s="25">
        <f>IF(R782&lt;=2,"1-2",IF(R782&lt;=5,"3-5",IF(R782&lt;=10,"6-10","11+")))</f>
        <v/>
      </c>
    </row>
    <row r="783">
      <c r="A783" s="39" t="n">
        <v>46161.44518518518</v>
      </c>
      <c r="B783" s="25">
        <f>TEXT(A783,"YYYY-MM")</f>
        <v/>
      </c>
      <c r="C783" s="25">
        <f>TEXT(A783,"MMM-YYYY")</f>
        <v/>
      </c>
      <c r="D783" s="40">
        <f>INT(A783)-WEEKDAY(A783,2)+1</f>
        <v/>
      </c>
      <c r="E783" s="25" t="inlineStr">
        <is>
          <t>emishra</t>
        </is>
      </c>
      <c r="F783" s="25" t="n">
        <v>73749</v>
      </c>
      <c r="G783" s="25" t="n">
        <v>4</v>
      </c>
      <c r="H783" s="25" t="n">
        <v>14</v>
      </c>
      <c r="I783" s="25" t="inlineStr">
        <is>
          <t>2 minute(s) and 26 second(s)</t>
        </is>
      </c>
      <c r="J783" s="25">
        <f>IFERROR(VALUE(TRIM(LEFT(I783,FIND("minute",I783)-1)))*60,0)+IFERROR(VALUE(SUBSTITUTE(MID(I783,IFERROR(FIND("and",I783)+3,1),20),"second(s)","")),0)</f>
        <v/>
      </c>
      <c r="K783" s="41">
        <f>J783/60</f>
        <v/>
      </c>
      <c r="L783" s="41">
        <f>IFERROR(J783/H783,"")</f>
        <v/>
      </c>
      <c r="M783" s="25" t="inlineStr">
        <is>
          <t>2.5.12</t>
        </is>
      </c>
      <c r="N783" s="25">
        <f>IF(J783&gt;300,1,0)</f>
        <v/>
      </c>
      <c r="O783" s="25">
        <f>IF(J783&gt;600,1,0)</f>
        <v/>
      </c>
      <c r="P783" s="25">
        <f>IF(H783&gt;0,J783,"")</f>
        <v/>
      </c>
      <c r="Q783" s="25">
        <f>TEXT(A783,"YYYY-MM-DD HH")</f>
        <v/>
      </c>
      <c r="R783" s="25">
        <f>COUNTIF($Q$2:$Q$5295,Q783)</f>
        <v/>
      </c>
      <c r="S783" s="25">
        <f>IF(R783&lt;=2,"1-2",IF(R783&lt;=5,"3-5",IF(R783&lt;=10,"6-10","11+")))</f>
        <v/>
      </c>
    </row>
    <row r="784">
      <c r="A784" s="39" t="n">
        <v>46161.44637731482</v>
      </c>
      <c r="B784" s="25">
        <f>TEXT(A784,"YYYY-MM")</f>
        <v/>
      </c>
      <c r="C784" s="25">
        <f>TEXT(A784,"MMM-YYYY")</f>
        <v/>
      </c>
      <c r="D784" s="40">
        <f>INT(A784)-WEEKDAY(A784,2)+1</f>
        <v/>
      </c>
      <c r="E784" s="25" t="inlineStr">
        <is>
          <t>vraina</t>
        </is>
      </c>
      <c r="F784" s="25" t="n">
        <v>56</v>
      </c>
      <c r="G784" s="25" t="n">
        <v>1</v>
      </c>
      <c r="H784" s="25" t="n">
        <v>7</v>
      </c>
      <c r="I784" s="25" t="inlineStr">
        <is>
          <t>1 minute(s) and 31 second(s)</t>
        </is>
      </c>
      <c r="J784" s="25">
        <f>IFERROR(VALUE(TRIM(LEFT(I784,FIND("minute",I784)-1)))*60,0)+IFERROR(VALUE(SUBSTITUTE(MID(I784,IFERROR(FIND("and",I784)+3,1),20),"second(s)","")),0)</f>
        <v/>
      </c>
      <c r="K784" s="41">
        <f>J784/60</f>
        <v/>
      </c>
      <c r="L784" s="41">
        <f>IFERROR(J784/H784,"")</f>
        <v/>
      </c>
      <c r="M784" s="25" t="inlineStr">
        <is>
          <t>2.5.12</t>
        </is>
      </c>
      <c r="N784" s="25">
        <f>IF(J784&gt;300,1,0)</f>
        <v/>
      </c>
      <c r="O784" s="25">
        <f>IF(J784&gt;600,1,0)</f>
        <v/>
      </c>
      <c r="P784" s="25">
        <f>IF(H784&gt;0,J784,"")</f>
        <v/>
      </c>
      <c r="Q784" s="25">
        <f>TEXT(A784,"YYYY-MM-DD HH")</f>
        <v/>
      </c>
      <c r="R784" s="25">
        <f>COUNTIF($Q$2:$Q$5295,Q784)</f>
        <v/>
      </c>
      <c r="S784" s="25">
        <f>IF(R784&lt;=2,"1-2",IF(R784&lt;=5,"3-5",IF(R784&lt;=10,"6-10","11+")))</f>
        <v/>
      </c>
    </row>
    <row r="785">
      <c r="A785" s="39" t="n">
        <v>46161.44667824074</v>
      </c>
      <c r="B785" s="25">
        <f>TEXT(A785,"YYYY-MM")</f>
        <v/>
      </c>
      <c r="C785" s="25">
        <f>TEXT(A785,"MMM-YYYY")</f>
        <v/>
      </c>
      <c r="D785" s="40">
        <f>INT(A785)-WEEKDAY(A785,2)+1</f>
        <v/>
      </c>
      <c r="E785" s="25" t="inlineStr">
        <is>
          <t>smukhopadhyay</t>
        </is>
      </c>
      <c r="F785" s="25" t="n">
        <v>83964</v>
      </c>
      <c r="G785" s="25" t="n">
        <v>1</v>
      </c>
      <c r="H785" s="25" t="n">
        <v>7</v>
      </c>
      <c r="I785" s="25" t="inlineStr">
        <is>
          <t>4 minute(s) and 32 second(s)</t>
        </is>
      </c>
      <c r="J785" s="25">
        <f>IFERROR(VALUE(TRIM(LEFT(I785,FIND("minute",I785)-1)))*60,0)+IFERROR(VALUE(SUBSTITUTE(MID(I785,IFERROR(FIND("and",I785)+3,1),20),"second(s)","")),0)</f>
        <v/>
      </c>
      <c r="K785" s="41">
        <f>J785/60</f>
        <v/>
      </c>
      <c r="L785" s="41">
        <f>IFERROR(J785/H785,"")</f>
        <v/>
      </c>
      <c r="M785" s="25" t="inlineStr">
        <is>
          <t>2.5.12</t>
        </is>
      </c>
      <c r="N785" s="25">
        <f>IF(J785&gt;300,1,0)</f>
        <v/>
      </c>
      <c r="O785" s="25">
        <f>IF(J785&gt;600,1,0)</f>
        <v/>
      </c>
      <c r="P785" s="25">
        <f>IF(H785&gt;0,J785,"")</f>
        <v/>
      </c>
      <c r="Q785" s="25">
        <f>TEXT(A785,"YYYY-MM-DD HH")</f>
        <v/>
      </c>
      <c r="R785" s="25">
        <f>COUNTIF($Q$2:$Q$5295,Q785)</f>
        <v/>
      </c>
      <c r="S785" s="25">
        <f>IF(R785&lt;=2,"1-2",IF(R785&lt;=5,"3-5",IF(R785&lt;=10,"6-10","11+")))</f>
        <v/>
      </c>
    </row>
    <row r="786">
      <c r="A786" s="39" t="n">
        <v>46161.44730324074</v>
      </c>
      <c r="B786" s="25">
        <f>TEXT(A786,"YYYY-MM")</f>
        <v/>
      </c>
      <c r="C786" s="25">
        <f>TEXT(A786,"MMM-YYYY")</f>
        <v/>
      </c>
      <c r="D786" s="40">
        <f>INT(A786)-WEEKDAY(A786,2)+1</f>
        <v/>
      </c>
      <c r="E786" s="25" t="inlineStr">
        <is>
          <t>dbhattacharyya</t>
        </is>
      </c>
      <c r="F786" s="25" t="n">
        <v>114698</v>
      </c>
      <c r="G786" s="25" t="n">
        <v>5</v>
      </c>
      <c r="H786" s="25" t="n">
        <v>17</v>
      </c>
      <c r="I786" s="25" t="inlineStr">
        <is>
          <t>3 minute(s) and 10 second(s)</t>
        </is>
      </c>
      <c r="J786" s="25">
        <f>IFERROR(VALUE(TRIM(LEFT(I786,FIND("minute",I786)-1)))*60,0)+IFERROR(VALUE(SUBSTITUTE(MID(I786,IFERROR(FIND("and",I786)+3,1),20),"second(s)","")),0)</f>
        <v/>
      </c>
      <c r="K786" s="41">
        <f>J786/60</f>
        <v/>
      </c>
      <c r="L786" s="41">
        <f>IFERROR(J786/H786,"")</f>
        <v/>
      </c>
      <c r="M786" s="25" t="inlineStr">
        <is>
          <t>2.5.12</t>
        </is>
      </c>
      <c r="N786" s="25">
        <f>IF(J786&gt;300,1,0)</f>
        <v/>
      </c>
      <c r="O786" s="25">
        <f>IF(J786&gt;600,1,0)</f>
        <v/>
      </c>
      <c r="P786" s="25">
        <f>IF(H786&gt;0,J786,"")</f>
        <v/>
      </c>
      <c r="Q786" s="25">
        <f>TEXT(A786,"YYYY-MM-DD HH")</f>
        <v/>
      </c>
      <c r="R786" s="25">
        <f>COUNTIF($Q$2:$Q$5295,Q786)</f>
        <v/>
      </c>
      <c r="S786" s="25">
        <f>IF(R786&lt;=2,"1-2",IF(R786&lt;=5,"3-5",IF(R786&lt;=10,"6-10","11+")))</f>
        <v/>
      </c>
    </row>
    <row r="787">
      <c r="A787" s="39" t="n">
        <v>46161.45138888889</v>
      </c>
      <c r="B787" s="25">
        <f>TEXT(A787,"YYYY-MM")</f>
        <v/>
      </c>
      <c r="C787" s="25">
        <f>TEXT(A787,"MMM-YYYY")</f>
        <v/>
      </c>
      <c r="D787" s="40">
        <f>INT(A787)-WEEKDAY(A787,2)+1</f>
        <v/>
      </c>
      <c r="E787" s="25" t="inlineStr">
        <is>
          <t>ethomas</t>
        </is>
      </c>
      <c r="F787" s="25" t="n">
        <v>103790</v>
      </c>
      <c r="G787" s="25" t="n">
        <v>4</v>
      </c>
      <c r="H787" s="25" t="n">
        <v>16</v>
      </c>
      <c r="I787" s="25" t="inlineStr">
        <is>
          <t>3 minute(s) and 16 second(s)</t>
        </is>
      </c>
      <c r="J787" s="25">
        <f>IFERROR(VALUE(TRIM(LEFT(I787,FIND("minute",I787)-1)))*60,0)+IFERROR(VALUE(SUBSTITUTE(MID(I787,IFERROR(FIND("and",I787)+3,1),20),"second(s)","")),0)</f>
        <v/>
      </c>
      <c r="K787" s="41">
        <f>J787/60</f>
        <v/>
      </c>
      <c r="L787" s="41">
        <f>IFERROR(J787/H787,"")</f>
        <v/>
      </c>
      <c r="M787" s="25" t="inlineStr">
        <is>
          <t>2.5.12</t>
        </is>
      </c>
      <c r="N787" s="25">
        <f>IF(J787&gt;300,1,0)</f>
        <v/>
      </c>
      <c r="O787" s="25">
        <f>IF(J787&gt;600,1,0)</f>
        <v/>
      </c>
      <c r="P787" s="25">
        <f>IF(H787&gt;0,J787,"")</f>
        <v/>
      </c>
      <c r="Q787" s="25">
        <f>TEXT(A787,"YYYY-MM-DD HH")</f>
        <v/>
      </c>
      <c r="R787" s="25">
        <f>COUNTIF($Q$2:$Q$5295,Q787)</f>
        <v/>
      </c>
      <c r="S787" s="25">
        <f>IF(R787&lt;=2,"1-2",IF(R787&lt;=5,"3-5",IF(R787&lt;=10,"6-10","11+")))</f>
        <v/>
      </c>
    </row>
    <row r="788">
      <c r="A788" s="39" t="n">
        <v>46161.4534375</v>
      </c>
      <c r="B788" s="25">
        <f>TEXT(A788,"YYYY-MM")</f>
        <v/>
      </c>
      <c r="C788" s="25">
        <f>TEXT(A788,"MMM-YYYY")</f>
        <v/>
      </c>
      <c r="D788" s="40">
        <f>INT(A788)-WEEKDAY(A788,2)+1</f>
        <v/>
      </c>
      <c r="E788" s="25" t="inlineStr">
        <is>
          <t>stiwari</t>
        </is>
      </c>
      <c r="F788" s="25" t="n">
        <v>114626</v>
      </c>
      <c r="G788" s="25" t="n">
        <v>5</v>
      </c>
      <c r="H788" s="25" t="n">
        <v>25</v>
      </c>
      <c r="I788" s="25" t="inlineStr">
        <is>
          <t>7 minute(s) and 18 second(s)</t>
        </is>
      </c>
      <c r="J788" s="25">
        <f>IFERROR(VALUE(TRIM(LEFT(I788,FIND("minute",I788)-1)))*60,0)+IFERROR(VALUE(SUBSTITUTE(MID(I788,IFERROR(FIND("and",I788)+3,1),20),"second(s)","")),0)</f>
        <v/>
      </c>
      <c r="K788" s="41">
        <f>J788/60</f>
        <v/>
      </c>
      <c r="L788" s="41">
        <f>IFERROR(J788/H788,"")</f>
        <v/>
      </c>
      <c r="M788" s="25" t="inlineStr">
        <is>
          <t>2.5.12</t>
        </is>
      </c>
      <c r="N788" s="25">
        <f>IF(J788&gt;300,1,0)</f>
        <v/>
      </c>
      <c r="O788" s="25">
        <f>IF(J788&gt;600,1,0)</f>
        <v/>
      </c>
      <c r="P788" s="25">
        <f>IF(H788&gt;0,J788,"")</f>
        <v/>
      </c>
      <c r="Q788" s="25">
        <f>TEXT(A788,"YYYY-MM-DD HH")</f>
        <v/>
      </c>
      <c r="R788" s="25">
        <f>COUNTIF($Q$2:$Q$5295,Q788)</f>
        <v/>
      </c>
      <c r="S788" s="25">
        <f>IF(R788&lt;=2,"1-2",IF(R788&lt;=5,"3-5",IF(R788&lt;=10,"6-10","11+")))</f>
        <v/>
      </c>
    </row>
    <row r="789">
      <c r="A789" s="39" t="n">
        <v>46161.45532407407</v>
      </c>
      <c r="B789" s="25">
        <f>TEXT(A789,"YYYY-MM")</f>
        <v/>
      </c>
      <c r="C789" s="25">
        <f>TEXT(A789,"MMM-YYYY")</f>
        <v/>
      </c>
      <c r="D789" s="40">
        <f>INT(A789)-WEEKDAY(A789,2)+1</f>
        <v/>
      </c>
      <c r="E789" s="25" t="inlineStr">
        <is>
          <t>psathwika</t>
        </is>
      </c>
      <c r="F789" s="25" t="n">
        <v>69359</v>
      </c>
      <c r="G789" s="25" t="n">
        <v>2</v>
      </c>
      <c r="H789" s="25" t="n">
        <v>13</v>
      </c>
      <c r="I789" s="25" t="inlineStr">
        <is>
          <t>6 minute(s) and 52 second(s)</t>
        </is>
      </c>
      <c r="J789" s="25">
        <f>IFERROR(VALUE(TRIM(LEFT(I789,FIND("minute",I789)-1)))*60,0)+IFERROR(VALUE(SUBSTITUTE(MID(I789,IFERROR(FIND("and",I789)+3,1),20),"second(s)","")),0)</f>
        <v/>
      </c>
      <c r="K789" s="41">
        <f>J789/60</f>
        <v/>
      </c>
      <c r="L789" s="41">
        <f>IFERROR(J789/H789,"")</f>
        <v/>
      </c>
      <c r="M789" s="25" t="inlineStr">
        <is>
          <t>2.5.12</t>
        </is>
      </c>
      <c r="N789" s="25">
        <f>IF(J789&gt;300,1,0)</f>
        <v/>
      </c>
      <c r="O789" s="25">
        <f>IF(J789&gt;600,1,0)</f>
        <v/>
      </c>
      <c r="P789" s="25">
        <f>IF(H789&gt;0,J789,"")</f>
        <v/>
      </c>
      <c r="Q789" s="25">
        <f>TEXT(A789,"YYYY-MM-DD HH")</f>
        <v/>
      </c>
      <c r="R789" s="25">
        <f>COUNTIF($Q$2:$Q$5295,Q789)</f>
        <v/>
      </c>
      <c r="S789" s="25">
        <f>IF(R789&lt;=2,"1-2",IF(R789&lt;=5,"3-5",IF(R789&lt;=10,"6-10","11+")))</f>
        <v/>
      </c>
    </row>
    <row r="790">
      <c r="A790" s="39" t="n">
        <v>46161.45707175926</v>
      </c>
      <c r="B790" s="25">
        <f>TEXT(A790,"YYYY-MM")</f>
        <v/>
      </c>
      <c r="C790" s="25">
        <f>TEXT(A790,"MMM-YYYY")</f>
        <v/>
      </c>
      <c r="D790" s="40">
        <f>INT(A790)-WEEKDAY(A790,2)+1</f>
        <v/>
      </c>
      <c r="E790" s="25" t="inlineStr">
        <is>
          <t>csaha</t>
        </is>
      </c>
      <c r="F790" s="25" t="n">
        <v>73667</v>
      </c>
      <c r="G790" s="25" t="n">
        <v>5</v>
      </c>
      <c r="H790" s="25" t="n">
        <v>11</v>
      </c>
      <c r="I790" s="25" t="inlineStr">
        <is>
          <t>3 minute(s) and 37 second(s)</t>
        </is>
      </c>
      <c r="J790" s="25">
        <f>IFERROR(VALUE(TRIM(LEFT(I790,FIND("minute",I790)-1)))*60,0)+IFERROR(VALUE(SUBSTITUTE(MID(I790,IFERROR(FIND("and",I790)+3,1),20),"second(s)","")),0)</f>
        <v/>
      </c>
      <c r="K790" s="41">
        <f>J790/60</f>
        <v/>
      </c>
      <c r="L790" s="41">
        <f>IFERROR(J790/H790,"")</f>
        <v/>
      </c>
      <c r="M790" s="25" t="inlineStr">
        <is>
          <t>2.5.12</t>
        </is>
      </c>
      <c r="N790" s="25">
        <f>IF(J790&gt;300,1,0)</f>
        <v/>
      </c>
      <c r="O790" s="25">
        <f>IF(J790&gt;600,1,0)</f>
        <v/>
      </c>
      <c r="P790" s="25">
        <f>IF(H790&gt;0,J790,"")</f>
        <v/>
      </c>
      <c r="Q790" s="25">
        <f>TEXT(A790,"YYYY-MM-DD HH")</f>
        <v/>
      </c>
      <c r="R790" s="25">
        <f>COUNTIF($Q$2:$Q$5295,Q790)</f>
        <v/>
      </c>
      <c r="S790" s="25">
        <f>IF(R790&lt;=2,"1-2",IF(R790&lt;=5,"3-5",IF(R790&lt;=10,"6-10","11+")))</f>
        <v/>
      </c>
    </row>
    <row r="791">
      <c r="A791" s="39" t="n">
        <v>46161.45799768518</v>
      </c>
      <c r="B791" s="25">
        <f>TEXT(A791,"YYYY-MM")</f>
        <v/>
      </c>
      <c r="C791" s="25">
        <f>TEXT(A791,"MMM-YYYY")</f>
        <v/>
      </c>
      <c r="D791" s="40">
        <f>INT(A791)-WEEKDAY(A791,2)+1</f>
        <v/>
      </c>
      <c r="E791" s="25" t="inlineStr">
        <is>
          <t>pgautam</t>
        </is>
      </c>
      <c r="F791" s="25" t="n">
        <v>113764</v>
      </c>
      <c r="G791" s="25" t="n">
        <v>2</v>
      </c>
      <c r="H791" s="25" t="n">
        <v>12</v>
      </c>
      <c r="I791" s="25" t="inlineStr">
        <is>
          <t>2 minute(s) and 5 second(s)</t>
        </is>
      </c>
      <c r="J791" s="25">
        <f>IFERROR(VALUE(TRIM(LEFT(I791,FIND("minute",I791)-1)))*60,0)+IFERROR(VALUE(SUBSTITUTE(MID(I791,IFERROR(FIND("and",I791)+3,1),20),"second(s)","")),0)</f>
        <v/>
      </c>
      <c r="K791" s="41">
        <f>J791/60</f>
        <v/>
      </c>
      <c r="L791" s="41">
        <f>IFERROR(J791/H791,"")</f>
        <v/>
      </c>
      <c r="M791" s="25" t="inlineStr">
        <is>
          <t>2.5.12</t>
        </is>
      </c>
      <c r="N791" s="25">
        <f>IF(J791&gt;300,1,0)</f>
        <v/>
      </c>
      <c r="O791" s="25">
        <f>IF(J791&gt;600,1,0)</f>
        <v/>
      </c>
      <c r="P791" s="25">
        <f>IF(H791&gt;0,J791,"")</f>
        <v/>
      </c>
      <c r="Q791" s="25">
        <f>TEXT(A791,"YYYY-MM-DD HH")</f>
        <v/>
      </c>
      <c r="R791" s="25">
        <f>COUNTIF($Q$2:$Q$5295,Q791)</f>
        <v/>
      </c>
      <c r="S791" s="25">
        <f>IF(R791&lt;=2,"1-2",IF(R791&lt;=5,"3-5",IF(R791&lt;=10,"6-10","11+")))</f>
        <v/>
      </c>
    </row>
    <row r="792">
      <c r="A792" s="39" t="n">
        <v>46161.47449074074</v>
      </c>
      <c r="B792" s="25">
        <f>TEXT(A792,"YYYY-MM")</f>
        <v/>
      </c>
      <c r="C792" s="25">
        <f>TEXT(A792,"MMM-YYYY")</f>
        <v/>
      </c>
      <c r="D792" s="40">
        <f>INT(A792)-WEEKDAY(A792,2)+1</f>
        <v/>
      </c>
      <c r="E792" s="25" t="inlineStr">
        <is>
          <t>mgupta</t>
        </is>
      </c>
      <c r="F792" s="25" t="n">
        <v>63967</v>
      </c>
      <c r="G792" s="25" t="n">
        <v>5</v>
      </c>
      <c r="H792" s="25" t="n">
        <v>17</v>
      </c>
      <c r="I792" s="25" t="inlineStr">
        <is>
          <t>3 minute(s) and 21 second(s)</t>
        </is>
      </c>
      <c r="J792" s="25">
        <f>IFERROR(VALUE(TRIM(LEFT(I792,FIND("minute",I792)-1)))*60,0)+IFERROR(VALUE(SUBSTITUTE(MID(I792,IFERROR(FIND("and",I792)+3,1),20),"second(s)","")),0)</f>
        <v/>
      </c>
      <c r="K792" s="41">
        <f>J792/60</f>
        <v/>
      </c>
      <c r="L792" s="41">
        <f>IFERROR(J792/H792,"")</f>
        <v/>
      </c>
      <c r="M792" s="25" t="inlineStr">
        <is>
          <t>2.5.12</t>
        </is>
      </c>
      <c r="N792" s="25">
        <f>IF(J792&gt;300,1,0)</f>
        <v/>
      </c>
      <c r="O792" s="25">
        <f>IF(J792&gt;600,1,0)</f>
        <v/>
      </c>
      <c r="P792" s="25">
        <f>IF(H792&gt;0,J792,"")</f>
        <v/>
      </c>
      <c r="Q792" s="25">
        <f>TEXT(A792,"YYYY-MM-DD HH")</f>
        <v/>
      </c>
      <c r="R792" s="25">
        <f>COUNTIF($Q$2:$Q$5295,Q792)</f>
        <v/>
      </c>
      <c r="S792" s="25">
        <f>IF(R792&lt;=2,"1-2",IF(R792&lt;=5,"3-5",IF(R792&lt;=10,"6-10","11+")))</f>
        <v/>
      </c>
    </row>
    <row r="793">
      <c r="A793" s="39" t="n">
        <v>46161.49082175926</v>
      </c>
      <c r="B793" s="25">
        <f>TEXT(A793,"YYYY-MM")</f>
        <v/>
      </c>
      <c r="C793" s="25">
        <f>TEXT(A793,"MMM-YYYY")</f>
        <v/>
      </c>
      <c r="D793" s="40">
        <f>INT(A793)-WEEKDAY(A793,2)+1</f>
        <v/>
      </c>
      <c r="E793" s="25" t="inlineStr">
        <is>
          <t>sswati</t>
        </is>
      </c>
      <c r="F793" s="25" t="n">
        <v>95489</v>
      </c>
      <c r="G793" s="25" t="n">
        <v>2</v>
      </c>
      <c r="H793" s="25" t="n">
        <v>10</v>
      </c>
      <c r="I793" s="25" t="inlineStr">
        <is>
          <t>2 minute(s) and 53 second(s)</t>
        </is>
      </c>
      <c r="J793" s="25">
        <f>IFERROR(VALUE(TRIM(LEFT(I793,FIND("minute",I793)-1)))*60,0)+IFERROR(VALUE(SUBSTITUTE(MID(I793,IFERROR(FIND("and",I793)+3,1),20),"second(s)","")),0)</f>
        <v/>
      </c>
      <c r="K793" s="41">
        <f>J793/60</f>
        <v/>
      </c>
      <c r="L793" s="41">
        <f>IFERROR(J793/H793,"")</f>
        <v/>
      </c>
      <c r="M793" s="25" t="inlineStr">
        <is>
          <t>2.5.12</t>
        </is>
      </c>
      <c r="N793" s="25">
        <f>IF(J793&gt;300,1,0)</f>
        <v/>
      </c>
      <c r="O793" s="25">
        <f>IF(J793&gt;600,1,0)</f>
        <v/>
      </c>
      <c r="P793" s="25">
        <f>IF(H793&gt;0,J793,"")</f>
        <v/>
      </c>
      <c r="Q793" s="25">
        <f>TEXT(A793,"YYYY-MM-DD HH")</f>
        <v/>
      </c>
      <c r="R793" s="25">
        <f>COUNTIF($Q$2:$Q$5295,Q793)</f>
        <v/>
      </c>
      <c r="S793" s="25">
        <f>IF(R793&lt;=2,"1-2",IF(R793&lt;=5,"3-5",IF(R793&lt;=10,"6-10","11+")))</f>
        <v/>
      </c>
    </row>
    <row r="794">
      <c r="A794" s="39" t="n">
        <v>46161.49146990741</v>
      </c>
      <c r="B794" s="25">
        <f>TEXT(A794,"YYYY-MM")</f>
        <v/>
      </c>
      <c r="C794" s="25">
        <f>TEXT(A794,"MMM-YYYY")</f>
        <v/>
      </c>
      <c r="D794" s="40">
        <f>INT(A794)-WEEKDAY(A794,2)+1</f>
        <v/>
      </c>
      <c r="E794" s="25" t="inlineStr">
        <is>
          <t>smukhopadhyay</t>
        </is>
      </c>
      <c r="F794" s="25" t="n">
        <v>94572</v>
      </c>
      <c r="G794" s="25" t="n">
        <v>3</v>
      </c>
      <c r="H794" s="25" t="n">
        <v>15</v>
      </c>
      <c r="I794" s="25" t="inlineStr">
        <is>
          <t>4 minute(s) and 0 second(s)</t>
        </is>
      </c>
      <c r="J794" s="25">
        <f>IFERROR(VALUE(TRIM(LEFT(I794,FIND("minute",I794)-1)))*60,0)+IFERROR(VALUE(SUBSTITUTE(MID(I794,IFERROR(FIND("and",I794)+3,1),20),"second(s)","")),0)</f>
        <v/>
      </c>
      <c r="K794" s="41">
        <f>J794/60</f>
        <v/>
      </c>
      <c r="L794" s="41">
        <f>IFERROR(J794/H794,"")</f>
        <v/>
      </c>
      <c r="M794" s="25" t="inlineStr">
        <is>
          <t>2.5.12</t>
        </is>
      </c>
      <c r="N794" s="25">
        <f>IF(J794&gt;300,1,0)</f>
        <v/>
      </c>
      <c r="O794" s="25">
        <f>IF(J794&gt;600,1,0)</f>
        <v/>
      </c>
      <c r="P794" s="25">
        <f>IF(H794&gt;0,J794,"")</f>
        <v/>
      </c>
      <c r="Q794" s="25">
        <f>TEXT(A794,"YYYY-MM-DD HH")</f>
        <v/>
      </c>
      <c r="R794" s="25">
        <f>COUNTIF($Q$2:$Q$5295,Q794)</f>
        <v/>
      </c>
      <c r="S794" s="25">
        <f>IF(R794&lt;=2,"1-2",IF(R794&lt;=5,"3-5",IF(R794&lt;=10,"6-10","11+")))</f>
        <v/>
      </c>
    </row>
    <row r="795">
      <c r="A795" s="39" t="n">
        <v>46161.50040509259</v>
      </c>
      <c r="B795" s="25">
        <f>TEXT(A795,"YYYY-MM")</f>
        <v/>
      </c>
      <c r="C795" s="25">
        <f>TEXT(A795,"MMM-YYYY")</f>
        <v/>
      </c>
      <c r="D795" s="40">
        <f>INT(A795)-WEEKDAY(A795,2)+1</f>
        <v/>
      </c>
      <c r="E795" s="25" t="inlineStr">
        <is>
          <t>ssaha</t>
        </is>
      </c>
      <c r="F795" s="25" t="n">
        <v>14566</v>
      </c>
      <c r="G795" s="25" t="n">
        <v>1</v>
      </c>
      <c r="H795" s="25" t="n">
        <v>7</v>
      </c>
      <c r="I795" s="25" t="inlineStr">
        <is>
          <t>4 minute(s) and 9 second(s)</t>
        </is>
      </c>
      <c r="J795" s="25">
        <f>IFERROR(VALUE(TRIM(LEFT(I795,FIND("minute",I795)-1)))*60,0)+IFERROR(VALUE(SUBSTITUTE(MID(I795,IFERROR(FIND("and",I795)+3,1),20),"second(s)","")),0)</f>
        <v/>
      </c>
      <c r="K795" s="41">
        <f>J795/60</f>
        <v/>
      </c>
      <c r="L795" s="41">
        <f>IFERROR(J795/H795,"")</f>
        <v/>
      </c>
      <c r="M795" s="25" t="inlineStr">
        <is>
          <t>2.5.12</t>
        </is>
      </c>
      <c r="N795" s="25">
        <f>IF(J795&gt;300,1,0)</f>
        <v/>
      </c>
      <c r="O795" s="25">
        <f>IF(J795&gt;600,1,0)</f>
        <v/>
      </c>
      <c r="P795" s="25">
        <f>IF(H795&gt;0,J795,"")</f>
        <v/>
      </c>
      <c r="Q795" s="25">
        <f>TEXT(A795,"YYYY-MM-DD HH")</f>
        <v/>
      </c>
      <c r="R795" s="25">
        <f>COUNTIF($Q$2:$Q$5295,Q795)</f>
        <v/>
      </c>
      <c r="S795" s="25">
        <f>IF(R795&lt;=2,"1-2",IF(R795&lt;=5,"3-5",IF(R795&lt;=10,"6-10","11+")))</f>
        <v/>
      </c>
    </row>
    <row r="796">
      <c r="A796" s="39" t="n">
        <v>46161.50118055556</v>
      </c>
      <c r="B796" s="25">
        <f>TEXT(A796,"YYYY-MM")</f>
        <v/>
      </c>
      <c r="C796" s="25">
        <f>TEXT(A796,"MMM-YYYY")</f>
        <v/>
      </c>
      <c r="D796" s="40">
        <f>INT(A796)-WEEKDAY(A796,2)+1</f>
        <v/>
      </c>
      <c r="E796" s="25" t="inlineStr">
        <is>
          <t>aghosh</t>
        </is>
      </c>
      <c r="F796" s="25" t="n">
        <v>116317</v>
      </c>
      <c r="G796" s="25" t="n">
        <v>5</v>
      </c>
      <c r="H796" s="25" t="n">
        <v>15</v>
      </c>
      <c r="I796" s="25" t="inlineStr">
        <is>
          <t>4 minute(s) and 32 second(s)</t>
        </is>
      </c>
      <c r="J796" s="25">
        <f>IFERROR(VALUE(TRIM(LEFT(I796,FIND("minute",I796)-1)))*60,0)+IFERROR(VALUE(SUBSTITUTE(MID(I796,IFERROR(FIND("and",I796)+3,1),20),"second(s)","")),0)</f>
        <v/>
      </c>
      <c r="K796" s="41">
        <f>J796/60</f>
        <v/>
      </c>
      <c r="L796" s="41">
        <f>IFERROR(J796/H796,"")</f>
        <v/>
      </c>
      <c r="M796" s="25" t="inlineStr">
        <is>
          <t>2.5.12</t>
        </is>
      </c>
      <c r="N796" s="25">
        <f>IF(J796&gt;300,1,0)</f>
        <v/>
      </c>
      <c r="O796" s="25">
        <f>IF(J796&gt;600,1,0)</f>
        <v/>
      </c>
      <c r="P796" s="25">
        <f>IF(H796&gt;0,J796,"")</f>
        <v/>
      </c>
      <c r="Q796" s="25">
        <f>TEXT(A796,"YYYY-MM-DD HH")</f>
        <v/>
      </c>
      <c r="R796" s="25">
        <f>COUNTIF($Q$2:$Q$5295,Q796)</f>
        <v/>
      </c>
      <c r="S796" s="25">
        <f>IF(R796&lt;=2,"1-2",IF(R796&lt;=5,"3-5",IF(R796&lt;=10,"6-10","11+")))</f>
        <v/>
      </c>
    </row>
    <row r="797">
      <c r="A797" s="39" t="n">
        <v>46161.50891203704</v>
      </c>
      <c r="B797" s="25">
        <f>TEXT(A797,"YYYY-MM")</f>
        <v/>
      </c>
      <c r="C797" s="25">
        <f>TEXT(A797,"MMM-YYYY")</f>
        <v/>
      </c>
      <c r="D797" s="40">
        <f>INT(A797)-WEEKDAY(A797,2)+1</f>
        <v/>
      </c>
      <c r="E797" s="25" t="inlineStr">
        <is>
          <t>pgautam</t>
        </is>
      </c>
      <c r="F797" s="25" t="n">
        <v>113764</v>
      </c>
      <c r="G797" s="25" t="n">
        <v>2</v>
      </c>
      <c r="H797" s="25" t="n">
        <v>12</v>
      </c>
      <c r="I797" s="25" t="inlineStr">
        <is>
          <t>2 minute(s) and 15 second(s)</t>
        </is>
      </c>
      <c r="J797" s="25">
        <f>IFERROR(VALUE(TRIM(LEFT(I797,FIND("minute",I797)-1)))*60,0)+IFERROR(VALUE(SUBSTITUTE(MID(I797,IFERROR(FIND("and",I797)+3,1),20),"second(s)","")),0)</f>
        <v/>
      </c>
      <c r="K797" s="41">
        <f>J797/60</f>
        <v/>
      </c>
      <c r="L797" s="41">
        <f>IFERROR(J797/H797,"")</f>
        <v/>
      </c>
      <c r="M797" s="25" t="inlineStr">
        <is>
          <t>2.5.12</t>
        </is>
      </c>
      <c r="N797" s="25">
        <f>IF(J797&gt;300,1,0)</f>
        <v/>
      </c>
      <c r="O797" s="25">
        <f>IF(J797&gt;600,1,0)</f>
        <v/>
      </c>
      <c r="P797" s="25">
        <f>IF(H797&gt;0,J797,"")</f>
        <v/>
      </c>
      <c r="Q797" s="25">
        <f>TEXT(A797,"YYYY-MM-DD HH")</f>
        <v/>
      </c>
      <c r="R797" s="25">
        <f>COUNTIF($Q$2:$Q$5295,Q797)</f>
        <v/>
      </c>
      <c r="S797" s="25">
        <f>IF(R797&lt;=2,"1-2",IF(R797&lt;=5,"3-5",IF(R797&lt;=10,"6-10","11+")))</f>
        <v/>
      </c>
    </row>
    <row r="798">
      <c r="A798" s="39" t="n">
        <v>46161.52253472222</v>
      </c>
      <c r="B798" s="25">
        <f>TEXT(A798,"YYYY-MM")</f>
        <v/>
      </c>
      <c r="C798" s="25">
        <f>TEXT(A798,"MMM-YYYY")</f>
        <v/>
      </c>
      <c r="D798" s="40">
        <f>INT(A798)-WEEKDAY(A798,2)+1</f>
        <v/>
      </c>
      <c r="E798" s="25" t="inlineStr">
        <is>
          <t>csaha</t>
        </is>
      </c>
      <c r="F798" s="25" t="n">
        <v>93323</v>
      </c>
      <c r="G798" s="25" t="n">
        <v>5</v>
      </c>
      <c r="H798" s="25" t="n">
        <v>17</v>
      </c>
      <c r="I798" s="25" t="inlineStr">
        <is>
          <t>5 minute(s) and 15 second(s)</t>
        </is>
      </c>
      <c r="J798" s="25">
        <f>IFERROR(VALUE(TRIM(LEFT(I798,FIND("minute",I798)-1)))*60,0)+IFERROR(VALUE(SUBSTITUTE(MID(I798,IFERROR(FIND("and",I798)+3,1),20),"second(s)","")),0)</f>
        <v/>
      </c>
      <c r="K798" s="41">
        <f>J798/60</f>
        <v/>
      </c>
      <c r="L798" s="41">
        <f>IFERROR(J798/H798,"")</f>
        <v/>
      </c>
      <c r="M798" s="25" t="inlineStr">
        <is>
          <t>2.5.12</t>
        </is>
      </c>
      <c r="N798" s="25">
        <f>IF(J798&gt;300,1,0)</f>
        <v/>
      </c>
      <c r="O798" s="25">
        <f>IF(J798&gt;600,1,0)</f>
        <v/>
      </c>
      <c r="P798" s="25">
        <f>IF(H798&gt;0,J798,"")</f>
        <v/>
      </c>
      <c r="Q798" s="25">
        <f>TEXT(A798,"YYYY-MM-DD HH")</f>
        <v/>
      </c>
      <c r="R798" s="25">
        <f>COUNTIF($Q$2:$Q$5295,Q798)</f>
        <v/>
      </c>
      <c r="S798" s="25">
        <f>IF(R798&lt;=2,"1-2",IF(R798&lt;=5,"3-5",IF(R798&lt;=10,"6-10","11+")))</f>
        <v/>
      </c>
    </row>
    <row r="799">
      <c r="A799" s="39" t="n">
        <v>46161.52555555556</v>
      </c>
      <c r="B799" s="25">
        <f>TEXT(A799,"YYYY-MM")</f>
        <v/>
      </c>
      <c r="C799" s="25">
        <f>TEXT(A799,"MMM-YYYY")</f>
        <v/>
      </c>
      <c r="D799" s="40">
        <f>INT(A799)-WEEKDAY(A799,2)+1</f>
        <v/>
      </c>
      <c r="E799" s="25" t="inlineStr">
        <is>
          <t>vraina</t>
        </is>
      </c>
      <c r="F799" s="25" t="n">
        <v>65</v>
      </c>
      <c r="G799" s="25" t="n">
        <v>1</v>
      </c>
      <c r="H799" s="25" t="n">
        <v>7</v>
      </c>
      <c r="I799" s="25" t="inlineStr">
        <is>
          <t>2 minute(s) and 22 second(s)</t>
        </is>
      </c>
      <c r="J799" s="25">
        <f>IFERROR(VALUE(TRIM(LEFT(I799,FIND("minute",I799)-1)))*60,0)+IFERROR(VALUE(SUBSTITUTE(MID(I799,IFERROR(FIND("and",I799)+3,1),20),"second(s)","")),0)</f>
        <v/>
      </c>
      <c r="K799" s="41">
        <f>J799/60</f>
        <v/>
      </c>
      <c r="L799" s="41">
        <f>IFERROR(J799/H799,"")</f>
        <v/>
      </c>
      <c r="M799" s="25" t="inlineStr">
        <is>
          <t>2.5.12</t>
        </is>
      </c>
      <c r="N799" s="25">
        <f>IF(J799&gt;300,1,0)</f>
        <v/>
      </c>
      <c r="O799" s="25">
        <f>IF(J799&gt;600,1,0)</f>
        <v/>
      </c>
      <c r="P799" s="25">
        <f>IF(H799&gt;0,J799,"")</f>
        <v/>
      </c>
      <c r="Q799" s="25">
        <f>TEXT(A799,"YYYY-MM-DD HH")</f>
        <v/>
      </c>
      <c r="R799" s="25">
        <f>COUNTIF($Q$2:$Q$5295,Q799)</f>
        <v/>
      </c>
      <c r="S799" s="25">
        <f>IF(R799&lt;=2,"1-2",IF(R799&lt;=5,"3-5",IF(R799&lt;=10,"6-10","11+")))</f>
        <v/>
      </c>
    </row>
    <row r="800">
      <c r="A800" s="39" t="n">
        <v>46161.53407407407</v>
      </c>
      <c r="B800" s="25">
        <f>TEXT(A800,"YYYY-MM")</f>
        <v/>
      </c>
      <c r="C800" s="25">
        <f>TEXT(A800,"MMM-YYYY")</f>
        <v/>
      </c>
      <c r="D800" s="40">
        <f>INT(A800)-WEEKDAY(A800,2)+1</f>
        <v/>
      </c>
      <c r="E800" s="25" t="inlineStr">
        <is>
          <t>dchoudhury</t>
        </is>
      </c>
      <c r="F800" s="25" t="n">
        <v>23347</v>
      </c>
      <c r="G800" s="25" t="n">
        <v>1</v>
      </c>
      <c r="H800" s="25" t="n">
        <v>5</v>
      </c>
      <c r="I800" s="25" t="inlineStr">
        <is>
          <t>2 minute(s) and 38 second(s)</t>
        </is>
      </c>
      <c r="J800" s="25">
        <f>IFERROR(VALUE(TRIM(LEFT(I800,FIND("minute",I800)-1)))*60,0)+IFERROR(VALUE(SUBSTITUTE(MID(I800,IFERROR(FIND("and",I800)+3,1),20),"second(s)","")),0)</f>
        <v/>
      </c>
      <c r="K800" s="41">
        <f>J800/60</f>
        <v/>
      </c>
      <c r="L800" s="41">
        <f>IFERROR(J800/H800,"")</f>
        <v/>
      </c>
      <c r="M800" s="25" t="inlineStr">
        <is>
          <t>2.5.12</t>
        </is>
      </c>
      <c r="N800" s="25">
        <f>IF(J800&gt;300,1,0)</f>
        <v/>
      </c>
      <c r="O800" s="25">
        <f>IF(J800&gt;600,1,0)</f>
        <v/>
      </c>
      <c r="P800" s="25">
        <f>IF(H800&gt;0,J800,"")</f>
        <v/>
      </c>
      <c r="Q800" s="25">
        <f>TEXT(A800,"YYYY-MM-DD HH")</f>
        <v/>
      </c>
      <c r="R800" s="25">
        <f>COUNTIF($Q$2:$Q$5295,Q800)</f>
        <v/>
      </c>
      <c r="S800" s="25">
        <f>IF(R800&lt;=2,"1-2",IF(R800&lt;=5,"3-5",IF(R800&lt;=10,"6-10","11+")))</f>
        <v/>
      </c>
    </row>
    <row r="801">
      <c r="A801" s="39" t="n">
        <v>46161.53664351852</v>
      </c>
      <c r="B801" s="25">
        <f>TEXT(A801,"YYYY-MM")</f>
        <v/>
      </c>
      <c r="C801" s="25">
        <f>TEXT(A801,"MMM-YYYY")</f>
        <v/>
      </c>
      <c r="D801" s="40">
        <f>INT(A801)-WEEKDAY(A801,2)+1</f>
        <v/>
      </c>
      <c r="E801" s="25" t="inlineStr">
        <is>
          <t>asaxena</t>
        </is>
      </c>
      <c r="F801" s="25" t="n">
        <v>111104</v>
      </c>
      <c r="G801" s="25" t="n">
        <v>4</v>
      </c>
      <c r="H801" s="25" t="n">
        <v>14</v>
      </c>
      <c r="I801" s="25" t="inlineStr">
        <is>
          <t>2 minute(s) and 5 second(s)</t>
        </is>
      </c>
      <c r="J801" s="25">
        <f>IFERROR(VALUE(TRIM(LEFT(I801,FIND("minute",I801)-1)))*60,0)+IFERROR(VALUE(SUBSTITUTE(MID(I801,IFERROR(FIND("and",I801)+3,1),20),"second(s)","")),0)</f>
        <v/>
      </c>
      <c r="K801" s="41">
        <f>J801/60</f>
        <v/>
      </c>
      <c r="L801" s="41">
        <f>IFERROR(J801/H801,"")</f>
        <v/>
      </c>
      <c r="M801" s="25" t="inlineStr">
        <is>
          <t>2.5.12</t>
        </is>
      </c>
      <c r="N801" s="25">
        <f>IF(J801&gt;300,1,0)</f>
        <v/>
      </c>
      <c r="O801" s="25">
        <f>IF(J801&gt;600,1,0)</f>
        <v/>
      </c>
      <c r="P801" s="25">
        <f>IF(H801&gt;0,J801,"")</f>
        <v/>
      </c>
      <c r="Q801" s="25">
        <f>TEXT(A801,"YYYY-MM-DD HH")</f>
        <v/>
      </c>
      <c r="R801" s="25">
        <f>COUNTIF($Q$2:$Q$5295,Q801)</f>
        <v/>
      </c>
      <c r="S801" s="25">
        <f>IF(R801&lt;=2,"1-2",IF(R801&lt;=5,"3-5",IF(R801&lt;=10,"6-10","11+")))</f>
        <v/>
      </c>
    </row>
    <row r="802">
      <c r="A802" s="39" t="n">
        <v>46161.54023148148</v>
      </c>
      <c r="B802" s="25">
        <f>TEXT(A802,"YYYY-MM")</f>
        <v/>
      </c>
      <c r="C802" s="25">
        <f>TEXT(A802,"MMM-YYYY")</f>
        <v/>
      </c>
      <c r="D802" s="40">
        <f>INT(A802)-WEEKDAY(A802,2)+1</f>
        <v/>
      </c>
      <c r="E802" s="25" t="inlineStr">
        <is>
          <t>shasikha</t>
        </is>
      </c>
      <c r="F802" s="25" t="n">
        <v>413</v>
      </c>
      <c r="G802" s="25" t="n">
        <v>1</v>
      </c>
      <c r="H802" s="25" t="n">
        <v>7</v>
      </c>
      <c r="I802" s="25" t="inlineStr">
        <is>
          <t>1 minute(s) and 56 second(s)</t>
        </is>
      </c>
      <c r="J802" s="25">
        <f>IFERROR(VALUE(TRIM(LEFT(I802,FIND("minute",I802)-1)))*60,0)+IFERROR(VALUE(SUBSTITUTE(MID(I802,IFERROR(FIND("and",I802)+3,1),20),"second(s)","")),0)</f>
        <v/>
      </c>
      <c r="K802" s="41">
        <f>J802/60</f>
        <v/>
      </c>
      <c r="L802" s="41">
        <f>IFERROR(J802/H802,"")</f>
        <v/>
      </c>
      <c r="M802" s="25" t="inlineStr">
        <is>
          <t>2.5.12</t>
        </is>
      </c>
      <c r="N802" s="25">
        <f>IF(J802&gt;300,1,0)</f>
        <v/>
      </c>
      <c r="O802" s="25">
        <f>IF(J802&gt;600,1,0)</f>
        <v/>
      </c>
      <c r="P802" s="25">
        <f>IF(H802&gt;0,J802,"")</f>
        <v/>
      </c>
      <c r="Q802" s="25">
        <f>TEXT(A802,"YYYY-MM-DD HH")</f>
        <v/>
      </c>
      <c r="R802" s="25">
        <f>COUNTIF($Q$2:$Q$5295,Q802)</f>
        <v/>
      </c>
      <c r="S802" s="25">
        <f>IF(R802&lt;=2,"1-2",IF(R802&lt;=5,"3-5",IF(R802&lt;=10,"6-10","11+")))</f>
        <v/>
      </c>
    </row>
    <row r="803">
      <c r="A803" s="39" t="n">
        <v>46161.54170138889</v>
      </c>
      <c r="B803" s="25">
        <f>TEXT(A803,"YYYY-MM")</f>
        <v/>
      </c>
      <c r="C803" s="25">
        <f>TEXT(A803,"MMM-YYYY")</f>
        <v/>
      </c>
      <c r="D803" s="40">
        <f>INT(A803)-WEEKDAY(A803,2)+1</f>
        <v/>
      </c>
      <c r="E803" s="25" t="inlineStr">
        <is>
          <t>pgautam</t>
        </is>
      </c>
      <c r="F803" s="25" t="n">
        <v>116406</v>
      </c>
      <c r="G803" s="25" t="n">
        <v>3</v>
      </c>
      <c r="H803" s="25" t="n">
        <v>17</v>
      </c>
      <c r="I803" s="25" t="inlineStr">
        <is>
          <t>3 minute(s) and 6 second(s)</t>
        </is>
      </c>
      <c r="J803" s="25">
        <f>IFERROR(VALUE(TRIM(LEFT(I803,FIND("minute",I803)-1)))*60,0)+IFERROR(VALUE(SUBSTITUTE(MID(I803,IFERROR(FIND("and",I803)+3,1),20),"second(s)","")),0)</f>
        <v/>
      </c>
      <c r="K803" s="41">
        <f>J803/60</f>
        <v/>
      </c>
      <c r="L803" s="41">
        <f>IFERROR(J803/H803,"")</f>
        <v/>
      </c>
      <c r="M803" s="25" t="inlineStr">
        <is>
          <t>2.5.12</t>
        </is>
      </c>
      <c r="N803" s="25">
        <f>IF(J803&gt;300,1,0)</f>
        <v/>
      </c>
      <c r="O803" s="25">
        <f>IF(J803&gt;600,1,0)</f>
        <v/>
      </c>
      <c r="P803" s="25">
        <f>IF(H803&gt;0,J803,"")</f>
        <v/>
      </c>
      <c r="Q803" s="25">
        <f>TEXT(A803,"YYYY-MM-DD HH")</f>
        <v/>
      </c>
      <c r="R803" s="25">
        <f>COUNTIF($Q$2:$Q$5295,Q803)</f>
        <v/>
      </c>
      <c r="S803" s="25">
        <f>IF(R803&lt;=2,"1-2",IF(R803&lt;=5,"3-5",IF(R803&lt;=10,"6-10","11+")))</f>
        <v/>
      </c>
    </row>
    <row r="804">
      <c r="A804" s="39" t="n">
        <v>46161.54947916666</v>
      </c>
      <c r="B804" s="25">
        <f>TEXT(A804,"YYYY-MM")</f>
        <v/>
      </c>
      <c r="C804" s="25">
        <f>TEXT(A804,"MMM-YYYY")</f>
        <v/>
      </c>
      <c r="D804" s="40">
        <f>INT(A804)-WEEKDAY(A804,2)+1</f>
        <v/>
      </c>
      <c r="E804" s="25" t="inlineStr">
        <is>
          <t>arsarkar</t>
        </is>
      </c>
      <c r="F804" s="25" t="n">
        <v>116278</v>
      </c>
      <c r="G804" s="25" t="n">
        <v>7</v>
      </c>
      <c r="H804" s="25" t="n">
        <v>25</v>
      </c>
      <c r="I804" s="25" t="inlineStr">
        <is>
          <t>7 minute(s) and 42 second(s)</t>
        </is>
      </c>
      <c r="J804" s="25">
        <f>IFERROR(VALUE(TRIM(LEFT(I804,FIND("minute",I804)-1)))*60,0)+IFERROR(VALUE(SUBSTITUTE(MID(I804,IFERROR(FIND("and",I804)+3,1),20),"second(s)","")),0)</f>
        <v/>
      </c>
      <c r="K804" s="41">
        <f>J804/60</f>
        <v/>
      </c>
      <c r="L804" s="41">
        <f>IFERROR(J804/H804,"")</f>
        <v/>
      </c>
      <c r="M804" s="25" t="inlineStr">
        <is>
          <t>2.5.12</t>
        </is>
      </c>
      <c r="N804" s="25">
        <f>IF(J804&gt;300,1,0)</f>
        <v/>
      </c>
      <c r="O804" s="25">
        <f>IF(J804&gt;600,1,0)</f>
        <v/>
      </c>
      <c r="P804" s="25">
        <f>IF(H804&gt;0,J804,"")</f>
        <v/>
      </c>
      <c r="Q804" s="25">
        <f>TEXT(A804,"YYYY-MM-DD HH")</f>
        <v/>
      </c>
      <c r="R804" s="25">
        <f>COUNTIF($Q$2:$Q$5295,Q804)</f>
        <v/>
      </c>
      <c r="S804" s="25">
        <f>IF(R804&lt;=2,"1-2",IF(R804&lt;=5,"3-5",IF(R804&lt;=10,"6-10","11+")))</f>
        <v/>
      </c>
    </row>
    <row r="805">
      <c r="A805" s="39" t="n">
        <v>46161.553125</v>
      </c>
      <c r="B805" s="25">
        <f>TEXT(A805,"YYYY-MM")</f>
        <v/>
      </c>
      <c r="C805" s="25">
        <f>TEXT(A805,"MMM-YYYY")</f>
        <v/>
      </c>
      <c r="D805" s="40">
        <f>INT(A805)-WEEKDAY(A805,2)+1</f>
        <v/>
      </c>
      <c r="E805" s="25" t="inlineStr">
        <is>
          <t>rts</t>
        </is>
      </c>
      <c r="F805" s="25" t="n">
        <v>73933</v>
      </c>
      <c r="G805" s="25" t="n">
        <v>2</v>
      </c>
      <c r="H805" s="25" t="n">
        <v>6</v>
      </c>
      <c r="I805" s="25" t="inlineStr">
        <is>
          <t>1 minute(s) and 48 second(s)</t>
        </is>
      </c>
      <c r="J805" s="25">
        <f>IFERROR(VALUE(TRIM(LEFT(I805,FIND("minute",I805)-1)))*60,0)+IFERROR(VALUE(SUBSTITUTE(MID(I805,IFERROR(FIND("and",I805)+3,1),20),"second(s)","")),0)</f>
        <v/>
      </c>
      <c r="K805" s="41">
        <f>J805/60</f>
        <v/>
      </c>
      <c r="L805" s="41">
        <f>IFERROR(J805/H805,"")</f>
        <v/>
      </c>
      <c r="M805" s="25" t="inlineStr">
        <is>
          <t>2.5.12</t>
        </is>
      </c>
      <c r="N805" s="25">
        <f>IF(J805&gt;300,1,0)</f>
        <v/>
      </c>
      <c r="O805" s="25">
        <f>IF(J805&gt;600,1,0)</f>
        <v/>
      </c>
      <c r="P805" s="25">
        <f>IF(H805&gt;0,J805,"")</f>
        <v/>
      </c>
      <c r="Q805" s="25">
        <f>TEXT(A805,"YYYY-MM-DD HH")</f>
        <v/>
      </c>
      <c r="R805" s="25">
        <f>COUNTIF($Q$2:$Q$5295,Q805)</f>
        <v/>
      </c>
      <c r="S805" s="25">
        <f>IF(R805&lt;=2,"1-2",IF(R805&lt;=5,"3-5",IF(R805&lt;=10,"6-10","11+")))</f>
        <v/>
      </c>
    </row>
    <row r="806">
      <c r="A806" s="39" t="n">
        <v>46161.57278935185</v>
      </c>
      <c r="B806" s="25">
        <f>TEXT(A806,"YYYY-MM")</f>
        <v/>
      </c>
      <c r="C806" s="25">
        <f>TEXT(A806,"MMM-YYYY")</f>
        <v/>
      </c>
      <c r="D806" s="40">
        <f>INT(A806)-WEEKDAY(A806,2)+1</f>
        <v/>
      </c>
      <c r="E806" s="25" t="inlineStr">
        <is>
          <t>rsingh</t>
        </is>
      </c>
      <c r="F806" s="25" t="n">
        <v>94524</v>
      </c>
      <c r="G806" s="25" t="n">
        <v>5</v>
      </c>
      <c r="H806" s="25" t="n">
        <v>29</v>
      </c>
      <c r="I806" s="25" t="inlineStr">
        <is>
          <t>11 minute(s) and 52 second(s)</t>
        </is>
      </c>
      <c r="J806" s="25">
        <f>IFERROR(VALUE(TRIM(LEFT(I806,FIND("minute",I806)-1)))*60,0)+IFERROR(VALUE(SUBSTITUTE(MID(I806,IFERROR(FIND("and",I806)+3,1),20),"second(s)","")),0)</f>
        <v/>
      </c>
      <c r="K806" s="41">
        <f>J806/60</f>
        <v/>
      </c>
      <c r="L806" s="41">
        <f>IFERROR(J806/H806,"")</f>
        <v/>
      </c>
      <c r="M806" s="25" t="inlineStr">
        <is>
          <t>2.5.12</t>
        </is>
      </c>
      <c r="N806" s="25">
        <f>IF(J806&gt;300,1,0)</f>
        <v/>
      </c>
      <c r="O806" s="25">
        <f>IF(J806&gt;600,1,0)</f>
        <v/>
      </c>
      <c r="P806" s="25">
        <f>IF(H806&gt;0,J806,"")</f>
        <v/>
      </c>
      <c r="Q806" s="25">
        <f>TEXT(A806,"YYYY-MM-DD HH")</f>
        <v/>
      </c>
      <c r="R806" s="25">
        <f>COUNTIF($Q$2:$Q$5295,Q806)</f>
        <v/>
      </c>
      <c r="S806" s="25">
        <f>IF(R806&lt;=2,"1-2",IF(R806&lt;=5,"3-5",IF(R806&lt;=10,"6-10","11+")))</f>
        <v/>
      </c>
    </row>
    <row r="807">
      <c r="A807" s="39" t="n">
        <v>46161.59770833333</v>
      </c>
      <c r="B807" s="25">
        <f>TEXT(A807,"YYYY-MM")</f>
        <v/>
      </c>
      <c r="C807" s="25">
        <f>TEXT(A807,"MMM-YYYY")</f>
        <v/>
      </c>
      <c r="D807" s="40">
        <f>INT(A807)-WEEKDAY(A807,2)+1</f>
        <v/>
      </c>
      <c r="E807" s="25" t="inlineStr">
        <is>
          <t>hdutt</t>
        </is>
      </c>
      <c r="F807" s="25" t="n">
        <v>104367</v>
      </c>
      <c r="G807" s="25" t="n">
        <v>1</v>
      </c>
      <c r="H807" s="25" t="n">
        <v>7</v>
      </c>
      <c r="I807" s="25" t="inlineStr">
        <is>
          <t>1 minute(s) and 46 second(s)</t>
        </is>
      </c>
      <c r="J807" s="25">
        <f>IFERROR(VALUE(TRIM(LEFT(I807,FIND("minute",I807)-1)))*60,0)+IFERROR(VALUE(SUBSTITUTE(MID(I807,IFERROR(FIND("and",I807)+3,1),20),"second(s)","")),0)</f>
        <v/>
      </c>
      <c r="K807" s="41">
        <f>J807/60</f>
        <v/>
      </c>
      <c r="L807" s="41">
        <f>IFERROR(J807/H807,"")</f>
        <v/>
      </c>
      <c r="M807" s="25" t="inlineStr">
        <is>
          <t>2.5.12</t>
        </is>
      </c>
      <c r="N807" s="25">
        <f>IF(J807&gt;300,1,0)</f>
        <v/>
      </c>
      <c r="O807" s="25">
        <f>IF(J807&gt;600,1,0)</f>
        <v/>
      </c>
      <c r="P807" s="25">
        <f>IF(H807&gt;0,J807,"")</f>
        <v/>
      </c>
      <c r="Q807" s="25">
        <f>TEXT(A807,"YYYY-MM-DD HH")</f>
        <v/>
      </c>
      <c r="R807" s="25">
        <f>COUNTIF($Q$2:$Q$5295,Q807)</f>
        <v/>
      </c>
      <c r="S807" s="25">
        <f>IF(R807&lt;=2,"1-2",IF(R807&lt;=5,"3-5",IF(R807&lt;=10,"6-10","11+")))</f>
        <v/>
      </c>
    </row>
    <row r="808">
      <c r="A808" s="39" t="n">
        <v>46161.6081712963</v>
      </c>
      <c r="B808" s="25">
        <f>TEXT(A808,"YYYY-MM")</f>
        <v/>
      </c>
      <c r="C808" s="25">
        <f>TEXT(A808,"MMM-YYYY")</f>
        <v/>
      </c>
      <c r="D808" s="40">
        <f>INT(A808)-WEEKDAY(A808,2)+1</f>
        <v/>
      </c>
      <c r="E808" s="25" t="inlineStr">
        <is>
          <t>hdutt</t>
        </is>
      </c>
      <c r="F808" s="25" t="n">
        <v>104367</v>
      </c>
      <c r="G808" s="25" t="n">
        <v>2</v>
      </c>
      <c r="H808" s="25" t="n">
        <v>10</v>
      </c>
      <c r="I808" s="25" t="inlineStr">
        <is>
          <t>3 minute(s) and 36 second(s)</t>
        </is>
      </c>
      <c r="J808" s="25">
        <f>IFERROR(VALUE(TRIM(LEFT(I808,FIND("minute",I808)-1)))*60,0)+IFERROR(VALUE(SUBSTITUTE(MID(I808,IFERROR(FIND("and",I808)+3,1),20),"second(s)","")),0)</f>
        <v/>
      </c>
      <c r="K808" s="41">
        <f>J808/60</f>
        <v/>
      </c>
      <c r="L808" s="41">
        <f>IFERROR(J808/H808,"")</f>
        <v/>
      </c>
      <c r="M808" s="25" t="inlineStr">
        <is>
          <t>2.5.12</t>
        </is>
      </c>
      <c r="N808" s="25">
        <f>IF(J808&gt;300,1,0)</f>
        <v/>
      </c>
      <c r="O808" s="25">
        <f>IF(J808&gt;600,1,0)</f>
        <v/>
      </c>
      <c r="P808" s="25">
        <f>IF(H808&gt;0,J808,"")</f>
        <v/>
      </c>
      <c r="Q808" s="25">
        <f>TEXT(A808,"YYYY-MM-DD HH")</f>
        <v/>
      </c>
      <c r="R808" s="25">
        <f>COUNTIF($Q$2:$Q$5295,Q808)</f>
        <v/>
      </c>
      <c r="S808" s="25">
        <f>IF(R808&lt;=2,"1-2",IF(R808&lt;=5,"3-5",IF(R808&lt;=10,"6-10","11+")))</f>
        <v/>
      </c>
    </row>
    <row r="809">
      <c r="A809" s="39" t="n">
        <v>46161.62503472222</v>
      </c>
      <c r="B809" s="25">
        <f>TEXT(A809,"YYYY-MM")</f>
        <v/>
      </c>
      <c r="C809" s="25">
        <f>TEXT(A809,"MMM-YYYY")</f>
        <v/>
      </c>
      <c r="D809" s="40">
        <f>INT(A809)-WEEKDAY(A809,2)+1</f>
        <v/>
      </c>
      <c r="E809" s="25" t="inlineStr">
        <is>
          <t>vraina</t>
        </is>
      </c>
      <c r="F809" s="25" t="n">
        <v>70</v>
      </c>
      <c r="G809" s="25" t="n">
        <v>1</v>
      </c>
      <c r="H809" s="25" t="n">
        <v>5</v>
      </c>
      <c r="I809" s="25" t="inlineStr">
        <is>
          <t>2 minute(s) and 14 second(s)</t>
        </is>
      </c>
      <c r="J809" s="25">
        <f>IFERROR(VALUE(TRIM(LEFT(I809,FIND("minute",I809)-1)))*60,0)+IFERROR(VALUE(SUBSTITUTE(MID(I809,IFERROR(FIND("and",I809)+3,1),20),"second(s)","")),0)</f>
        <v/>
      </c>
      <c r="K809" s="41">
        <f>J809/60</f>
        <v/>
      </c>
      <c r="L809" s="41">
        <f>IFERROR(J809/H809,"")</f>
        <v/>
      </c>
      <c r="M809" s="25" t="inlineStr">
        <is>
          <t>2.5.12</t>
        </is>
      </c>
      <c r="N809" s="25">
        <f>IF(J809&gt;300,1,0)</f>
        <v/>
      </c>
      <c r="O809" s="25">
        <f>IF(J809&gt;600,1,0)</f>
        <v/>
      </c>
      <c r="P809" s="25">
        <f>IF(H809&gt;0,J809,"")</f>
        <v/>
      </c>
      <c r="Q809" s="25">
        <f>TEXT(A809,"YYYY-MM-DD HH")</f>
        <v/>
      </c>
      <c r="R809" s="25">
        <f>COUNTIF($Q$2:$Q$5295,Q809)</f>
        <v/>
      </c>
      <c r="S809" s="25">
        <f>IF(R809&lt;=2,"1-2",IF(R809&lt;=5,"3-5",IF(R809&lt;=10,"6-10","11+")))</f>
        <v/>
      </c>
    </row>
    <row r="810">
      <c r="A810" s="39" t="n">
        <v>46161.63416666666</v>
      </c>
      <c r="B810" s="25">
        <f>TEXT(A810,"YYYY-MM")</f>
        <v/>
      </c>
      <c r="C810" s="25">
        <f>TEXT(A810,"MMM-YYYY")</f>
        <v/>
      </c>
      <c r="D810" s="40">
        <f>INT(A810)-WEEKDAY(A810,2)+1</f>
        <v/>
      </c>
      <c r="E810" s="25" t="inlineStr">
        <is>
          <t>hsindwani</t>
        </is>
      </c>
      <c r="F810" s="25" t="n">
        <v>72264</v>
      </c>
      <c r="G810" s="25" t="n">
        <v>5</v>
      </c>
      <c r="H810" s="25" t="n">
        <v>19</v>
      </c>
      <c r="I810" s="25" t="inlineStr">
        <is>
          <t>7 minute(s) and 47 second(s)</t>
        </is>
      </c>
      <c r="J810" s="25">
        <f>IFERROR(VALUE(TRIM(LEFT(I810,FIND("minute",I810)-1)))*60,0)+IFERROR(VALUE(SUBSTITUTE(MID(I810,IFERROR(FIND("and",I810)+3,1),20),"second(s)","")),0)</f>
        <v/>
      </c>
      <c r="K810" s="41">
        <f>J810/60</f>
        <v/>
      </c>
      <c r="L810" s="41">
        <f>IFERROR(J810/H810,"")</f>
        <v/>
      </c>
      <c r="M810" s="25" t="inlineStr">
        <is>
          <t>2.5.12</t>
        </is>
      </c>
      <c r="N810" s="25">
        <f>IF(J810&gt;300,1,0)</f>
        <v/>
      </c>
      <c r="O810" s="25">
        <f>IF(J810&gt;600,1,0)</f>
        <v/>
      </c>
      <c r="P810" s="25">
        <f>IF(H810&gt;0,J810,"")</f>
        <v/>
      </c>
      <c r="Q810" s="25">
        <f>TEXT(A810,"YYYY-MM-DD HH")</f>
        <v/>
      </c>
      <c r="R810" s="25">
        <f>COUNTIF($Q$2:$Q$5295,Q810)</f>
        <v/>
      </c>
      <c r="S810" s="25">
        <f>IF(R810&lt;=2,"1-2",IF(R810&lt;=5,"3-5",IF(R810&lt;=10,"6-10","11+")))</f>
        <v/>
      </c>
    </row>
    <row r="811">
      <c r="A811" s="39" t="n">
        <v>46161.64694444444</v>
      </c>
      <c r="B811" s="25">
        <f>TEXT(A811,"YYYY-MM")</f>
        <v/>
      </c>
      <c r="C811" s="25">
        <f>TEXT(A811,"MMM-YYYY")</f>
        <v/>
      </c>
      <c r="D811" s="40">
        <f>INT(A811)-WEEKDAY(A811,2)+1</f>
        <v/>
      </c>
      <c r="E811" s="25" t="inlineStr">
        <is>
          <t>dchoudhury</t>
        </is>
      </c>
      <c r="F811" s="25" t="n">
        <v>30102</v>
      </c>
      <c r="G811" s="25" t="n">
        <v>1</v>
      </c>
      <c r="H811" s="25" t="n">
        <v>5</v>
      </c>
      <c r="I811" s="25" t="inlineStr">
        <is>
          <t>2 minute(s) and 44 second(s)</t>
        </is>
      </c>
      <c r="J811" s="25">
        <f>IFERROR(VALUE(TRIM(LEFT(I811,FIND("minute",I811)-1)))*60,0)+IFERROR(VALUE(SUBSTITUTE(MID(I811,IFERROR(FIND("and",I811)+3,1),20),"second(s)","")),0)</f>
        <v/>
      </c>
      <c r="K811" s="41">
        <f>J811/60</f>
        <v/>
      </c>
      <c r="L811" s="41">
        <f>IFERROR(J811/H811,"")</f>
        <v/>
      </c>
      <c r="M811" s="25" t="inlineStr">
        <is>
          <t>2.5.12</t>
        </is>
      </c>
      <c r="N811" s="25">
        <f>IF(J811&gt;300,1,0)</f>
        <v/>
      </c>
      <c r="O811" s="25">
        <f>IF(J811&gt;600,1,0)</f>
        <v/>
      </c>
      <c r="P811" s="25">
        <f>IF(H811&gt;0,J811,"")</f>
        <v/>
      </c>
      <c r="Q811" s="25">
        <f>TEXT(A811,"YYYY-MM-DD HH")</f>
        <v/>
      </c>
      <c r="R811" s="25">
        <f>COUNTIF($Q$2:$Q$5295,Q811)</f>
        <v/>
      </c>
      <c r="S811" s="25">
        <f>IF(R811&lt;=2,"1-2",IF(R811&lt;=5,"3-5",IF(R811&lt;=10,"6-10","11+")))</f>
        <v/>
      </c>
    </row>
    <row r="812">
      <c r="A812" s="39" t="n">
        <v>46161.67025462963</v>
      </c>
      <c r="B812" s="25">
        <f>TEXT(A812,"YYYY-MM")</f>
        <v/>
      </c>
      <c r="C812" s="25">
        <f>TEXT(A812,"MMM-YYYY")</f>
        <v/>
      </c>
      <c r="D812" s="40">
        <f>INT(A812)-WEEKDAY(A812,2)+1</f>
        <v/>
      </c>
      <c r="E812" s="25" t="inlineStr">
        <is>
          <t>psingh</t>
        </is>
      </c>
      <c r="F812" s="25" t="n">
        <v>363</v>
      </c>
      <c r="G812" s="25" t="n">
        <v>1</v>
      </c>
      <c r="H812" s="25" t="n">
        <v>5</v>
      </c>
      <c r="I812" s="25" t="inlineStr">
        <is>
          <t>1 minute(s) and 9 second(s)</t>
        </is>
      </c>
      <c r="J812" s="25">
        <f>IFERROR(VALUE(TRIM(LEFT(I812,FIND("minute",I812)-1)))*60,0)+IFERROR(VALUE(SUBSTITUTE(MID(I812,IFERROR(FIND("and",I812)+3,1),20),"second(s)","")),0)</f>
        <v/>
      </c>
      <c r="K812" s="41">
        <f>J812/60</f>
        <v/>
      </c>
      <c r="L812" s="41">
        <f>IFERROR(J812/H812,"")</f>
        <v/>
      </c>
      <c r="M812" s="25" t="inlineStr">
        <is>
          <t>2.5.12</t>
        </is>
      </c>
      <c r="N812" s="25">
        <f>IF(J812&gt;300,1,0)</f>
        <v/>
      </c>
      <c r="O812" s="25">
        <f>IF(J812&gt;600,1,0)</f>
        <v/>
      </c>
      <c r="P812" s="25">
        <f>IF(H812&gt;0,J812,"")</f>
        <v/>
      </c>
      <c r="Q812" s="25">
        <f>TEXT(A812,"YYYY-MM-DD HH")</f>
        <v/>
      </c>
      <c r="R812" s="25">
        <f>COUNTIF($Q$2:$Q$5295,Q812)</f>
        <v/>
      </c>
      <c r="S812" s="25">
        <f>IF(R812&lt;=2,"1-2",IF(R812&lt;=5,"3-5",IF(R812&lt;=10,"6-10","11+")))</f>
        <v/>
      </c>
    </row>
    <row r="813">
      <c r="A813" s="39" t="n">
        <v>46161.68864583333</v>
      </c>
      <c r="B813" s="25">
        <f>TEXT(A813,"YYYY-MM")</f>
        <v/>
      </c>
      <c r="C813" s="25">
        <f>TEXT(A813,"MMM-YYYY")</f>
        <v/>
      </c>
      <c r="D813" s="40">
        <f>INT(A813)-WEEKDAY(A813,2)+1</f>
        <v/>
      </c>
      <c r="E813" s="25" t="inlineStr">
        <is>
          <t>ssaha</t>
        </is>
      </c>
      <c r="F813" s="25" t="n">
        <v>106793</v>
      </c>
      <c r="G813" s="25" t="n">
        <v>5</v>
      </c>
      <c r="H813" s="25" t="n">
        <v>25</v>
      </c>
      <c r="I813" s="25" t="inlineStr">
        <is>
          <t>6 minute(s) and 24 second(s)</t>
        </is>
      </c>
      <c r="J813" s="25">
        <f>IFERROR(VALUE(TRIM(LEFT(I813,FIND("minute",I813)-1)))*60,0)+IFERROR(VALUE(SUBSTITUTE(MID(I813,IFERROR(FIND("and",I813)+3,1),20),"second(s)","")),0)</f>
        <v/>
      </c>
      <c r="K813" s="41">
        <f>J813/60</f>
        <v/>
      </c>
      <c r="L813" s="41">
        <f>IFERROR(J813/H813,"")</f>
        <v/>
      </c>
      <c r="M813" s="25" t="inlineStr">
        <is>
          <t>2.5.12</t>
        </is>
      </c>
      <c r="N813" s="25">
        <f>IF(J813&gt;300,1,0)</f>
        <v/>
      </c>
      <c r="O813" s="25">
        <f>IF(J813&gt;600,1,0)</f>
        <v/>
      </c>
      <c r="P813" s="25">
        <f>IF(H813&gt;0,J813,"")</f>
        <v/>
      </c>
      <c r="Q813" s="25">
        <f>TEXT(A813,"YYYY-MM-DD HH")</f>
        <v/>
      </c>
      <c r="R813" s="25">
        <f>COUNTIF($Q$2:$Q$5295,Q813)</f>
        <v/>
      </c>
      <c r="S813" s="25">
        <f>IF(R813&lt;=2,"1-2",IF(R813&lt;=5,"3-5",IF(R813&lt;=10,"6-10","11+")))</f>
        <v/>
      </c>
    </row>
    <row r="814">
      <c r="A814" s="39" t="n">
        <v>46161.703125</v>
      </c>
      <c r="B814" s="25">
        <f>TEXT(A814,"YYYY-MM")</f>
        <v/>
      </c>
      <c r="C814" s="25">
        <f>TEXT(A814,"MMM-YYYY")</f>
        <v/>
      </c>
      <c r="D814" s="40">
        <f>INT(A814)-WEEKDAY(A814,2)+1</f>
        <v/>
      </c>
      <c r="E814" s="25" t="inlineStr">
        <is>
          <t>psingh</t>
        </is>
      </c>
      <c r="F814" s="25" t="n">
        <v>364</v>
      </c>
      <c r="G814" s="25" t="n">
        <v>1</v>
      </c>
      <c r="H814" s="25" t="n">
        <v>7</v>
      </c>
      <c r="I814" s="25" t="inlineStr">
        <is>
          <t>3 minute(s) and 26 second(s)</t>
        </is>
      </c>
      <c r="J814" s="25">
        <f>IFERROR(VALUE(TRIM(LEFT(I814,FIND("minute",I814)-1)))*60,0)+IFERROR(VALUE(SUBSTITUTE(MID(I814,IFERROR(FIND("and",I814)+3,1),20),"second(s)","")),0)</f>
        <v/>
      </c>
      <c r="K814" s="41">
        <f>J814/60</f>
        <v/>
      </c>
      <c r="L814" s="41">
        <f>IFERROR(J814/H814,"")</f>
        <v/>
      </c>
      <c r="M814" s="25" t="inlineStr">
        <is>
          <t>2.5.12</t>
        </is>
      </c>
      <c r="N814" s="25">
        <f>IF(J814&gt;300,1,0)</f>
        <v/>
      </c>
      <c r="O814" s="25">
        <f>IF(J814&gt;600,1,0)</f>
        <v/>
      </c>
      <c r="P814" s="25">
        <f>IF(H814&gt;0,J814,"")</f>
        <v/>
      </c>
      <c r="Q814" s="25">
        <f>TEXT(A814,"YYYY-MM-DD HH")</f>
        <v/>
      </c>
      <c r="R814" s="25">
        <f>COUNTIF($Q$2:$Q$5295,Q814)</f>
        <v/>
      </c>
      <c r="S814" s="25">
        <f>IF(R814&lt;=2,"1-2",IF(R814&lt;=5,"3-5",IF(R814&lt;=10,"6-10","11+")))</f>
        <v/>
      </c>
    </row>
    <row r="815">
      <c r="A815" s="39" t="n">
        <v>46161.70471064815</v>
      </c>
      <c r="B815" s="25">
        <f>TEXT(A815,"YYYY-MM")</f>
        <v/>
      </c>
      <c r="C815" s="25">
        <f>TEXT(A815,"MMM-YYYY")</f>
        <v/>
      </c>
      <c r="D815" s="40">
        <f>INT(A815)-WEEKDAY(A815,2)+1</f>
        <v/>
      </c>
      <c r="E815" s="25" t="inlineStr">
        <is>
          <t>rsingh</t>
        </is>
      </c>
      <c r="F815" s="25" t="n">
        <v>116285</v>
      </c>
      <c r="G815" s="25" t="n">
        <v>5</v>
      </c>
      <c r="H815" s="25" t="n">
        <v>19</v>
      </c>
      <c r="I815" s="25" t="inlineStr">
        <is>
          <t>8 minute(s) and 39 second(s)</t>
        </is>
      </c>
      <c r="J815" s="25">
        <f>IFERROR(VALUE(TRIM(LEFT(I815,FIND("minute",I815)-1)))*60,0)+IFERROR(VALUE(SUBSTITUTE(MID(I815,IFERROR(FIND("and",I815)+3,1),20),"second(s)","")),0)</f>
        <v/>
      </c>
      <c r="K815" s="41">
        <f>J815/60</f>
        <v/>
      </c>
      <c r="L815" s="41">
        <f>IFERROR(J815/H815,"")</f>
        <v/>
      </c>
      <c r="M815" s="25" t="inlineStr">
        <is>
          <t>2.5.12</t>
        </is>
      </c>
      <c r="N815" s="25">
        <f>IF(J815&gt;300,1,0)</f>
        <v/>
      </c>
      <c r="O815" s="25">
        <f>IF(J815&gt;600,1,0)</f>
        <v/>
      </c>
      <c r="P815" s="25">
        <f>IF(H815&gt;0,J815,"")</f>
        <v/>
      </c>
      <c r="Q815" s="25">
        <f>TEXT(A815,"YYYY-MM-DD HH")</f>
        <v/>
      </c>
      <c r="R815" s="25">
        <f>COUNTIF($Q$2:$Q$5295,Q815)</f>
        <v/>
      </c>
      <c r="S815" s="25">
        <f>IF(R815&lt;=2,"1-2",IF(R815&lt;=5,"3-5",IF(R815&lt;=10,"6-10","11+")))</f>
        <v/>
      </c>
    </row>
    <row r="816">
      <c r="A816" s="39" t="n">
        <v>46161.72329861111</v>
      </c>
      <c r="B816" s="25">
        <f>TEXT(A816,"YYYY-MM")</f>
        <v/>
      </c>
      <c r="C816" s="25">
        <f>TEXT(A816,"MMM-YYYY")</f>
        <v/>
      </c>
      <c r="D816" s="40">
        <f>INT(A816)-WEEKDAY(A816,2)+1</f>
        <v/>
      </c>
      <c r="E816" s="25" t="inlineStr">
        <is>
          <t>hsindwani</t>
        </is>
      </c>
      <c r="F816" s="25" t="n">
        <v>114659</v>
      </c>
      <c r="G816" s="25" t="n">
        <v>5</v>
      </c>
      <c r="H816" s="25" t="n">
        <v>18</v>
      </c>
      <c r="I816" s="25" t="inlineStr">
        <is>
          <t>12 minute(s) and 12 second(s)</t>
        </is>
      </c>
      <c r="J816" s="25">
        <f>IFERROR(VALUE(TRIM(LEFT(I816,FIND("minute",I816)-1)))*60,0)+IFERROR(VALUE(SUBSTITUTE(MID(I816,IFERROR(FIND("and",I816)+3,1),20),"second(s)","")),0)</f>
        <v/>
      </c>
      <c r="K816" s="41">
        <f>J816/60</f>
        <v/>
      </c>
      <c r="L816" s="41">
        <f>IFERROR(J816/H816,"")</f>
        <v/>
      </c>
      <c r="M816" s="25" t="inlineStr">
        <is>
          <t>2.5.12</t>
        </is>
      </c>
      <c r="N816" s="25">
        <f>IF(J816&gt;300,1,0)</f>
        <v/>
      </c>
      <c r="O816" s="25">
        <f>IF(J816&gt;600,1,0)</f>
        <v/>
      </c>
      <c r="P816" s="25">
        <f>IF(H816&gt;0,J816,"")</f>
        <v/>
      </c>
      <c r="Q816" s="25">
        <f>TEXT(A816,"YYYY-MM-DD HH")</f>
        <v/>
      </c>
      <c r="R816" s="25">
        <f>COUNTIF($Q$2:$Q$5295,Q816)</f>
        <v/>
      </c>
      <c r="S816" s="25">
        <f>IF(R816&lt;=2,"1-2",IF(R816&lt;=5,"3-5",IF(R816&lt;=10,"6-10","11+")))</f>
        <v/>
      </c>
    </row>
    <row r="817">
      <c r="A817" s="39" t="n">
        <v>46161.73591435186</v>
      </c>
      <c r="B817" s="25">
        <f>TEXT(A817,"YYYY-MM")</f>
        <v/>
      </c>
      <c r="C817" s="25">
        <f>TEXT(A817,"MMM-YYYY")</f>
        <v/>
      </c>
      <c r="D817" s="40">
        <f>INT(A817)-WEEKDAY(A817,2)+1</f>
        <v/>
      </c>
      <c r="E817" s="25" t="inlineStr">
        <is>
          <t>psingh</t>
        </is>
      </c>
      <c r="F817" s="25" t="n">
        <v>365</v>
      </c>
      <c r="G817" s="25" t="n">
        <v>1</v>
      </c>
      <c r="H817" s="25" t="n">
        <v>7</v>
      </c>
      <c r="I817" s="25" t="inlineStr">
        <is>
          <t>2 minute(s) and 22 second(s)</t>
        </is>
      </c>
      <c r="J817" s="25">
        <f>IFERROR(VALUE(TRIM(LEFT(I817,FIND("minute",I817)-1)))*60,0)+IFERROR(VALUE(SUBSTITUTE(MID(I817,IFERROR(FIND("and",I817)+3,1),20),"second(s)","")),0)</f>
        <v/>
      </c>
      <c r="K817" s="41">
        <f>J817/60</f>
        <v/>
      </c>
      <c r="L817" s="41">
        <f>IFERROR(J817/H817,"")</f>
        <v/>
      </c>
      <c r="M817" s="25" t="inlineStr">
        <is>
          <t>2.5.12</t>
        </is>
      </c>
      <c r="N817" s="25">
        <f>IF(J817&gt;300,1,0)</f>
        <v/>
      </c>
      <c r="O817" s="25">
        <f>IF(J817&gt;600,1,0)</f>
        <v/>
      </c>
      <c r="P817" s="25">
        <f>IF(H817&gt;0,J817,"")</f>
        <v/>
      </c>
      <c r="Q817" s="25">
        <f>TEXT(A817,"YYYY-MM-DD HH")</f>
        <v/>
      </c>
      <c r="R817" s="25">
        <f>COUNTIF($Q$2:$Q$5295,Q817)</f>
        <v/>
      </c>
      <c r="S817" s="25">
        <f>IF(R817&lt;=2,"1-2",IF(R817&lt;=5,"3-5",IF(R817&lt;=10,"6-10","11+")))</f>
        <v/>
      </c>
    </row>
    <row r="818">
      <c r="A818" s="39" t="n">
        <v>46161.73608796296</v>
      </c>
      <c r="B818" s="25">
        <f>TEXT(A818,"YYYY-MM")</f>
        <v/>
      </c>
      <c r="C818" s="25">
        <f>TEXT(A818,"MMM-YYYY")</f>
        <v/>
      </c>
      <c r="D818" s="40">
        <f>INT(A818)-WEEKDAY(A818,2)+1</f>
        <v/>
      </c>
      <c r="E818" s="25" t="inlineStr">
        <is>
          <t>rsingh</t>
        </is>
      </c>
      <c r="F818" s="25" t="n">
        <v>104285</v>
      </c>
      <c r="G818" s="25" t="n">
        <v>5</v>
      </c>
      <c r="H818" s="25" t="n">
        <v>13</v>
      </c>
      <c r="I818" s="25" t="inlineStr">
        <is>
          <t>4 minute(s) and 5 second(s)</t>
        </is>
      </c>
      <c r="J818" s="25">
        <f>IFERROR(VALUE(TRIM(LEFT(I818,FIND("minute",I818)-1)))*60,0)+IFERROR(VALUE(SUBSTITUTE(MID(I818,IFERROR(FIND("and",I818)+3,1),20),"second(s)","")),0)</f>
        <v/>
      </c>
      <c r="K818" s="41">
        <f>J818/60</f>
        <v/>
      </c>
      <c r="L818" s="41">
        <f>IFERROR(J818/H818,"")</f>
        <v/>
      </c>
      <c r="M818" s="25" t="inlineStr">
        <is>
          <t>2.5.12</t>
        </is>
      </c>
      <c r="N818" s="25">
        <f>IF(J818&gt;300,1,0)</f>
        <v/>
      </c>
      <c r="O818" s="25">
        <f>IF(J818&gt;600,1,0)</f>
        <v/>
      </c>
      <c r="P818" s="25">
        <f>IF(H818&gt;0,J818,"")</f>
        <v/>
      </c>
      <c r="Q818" s="25">
        <f>TEXT(A818,"YYYY-MM-DD HH")</f>
        <v/>
      </c>
      <c r="R818" s="25">
        <f>COUNTIF($Q$2:$Q$5295,Q818)</f>
        <v/>
      </c>
      <c r="S818" s="25">
        <f>IF(R818&lt;=2,"1-2",IF(R818&lt;=5,"3-5",IF(R818&lt;=10,"6-10","11+")))</f>
        <v/>
      </c>
    </row>
    <row r="819">
      <c r="A819" s="39" t="n">
        <v>46161.74835648148</v>
      </c>
      <c r="B819" s="25">
        <f>TEXT(A819,"YYYY-MM")</f>
        <v/>
      </c>
      <c r="C819" s="25">
        <f>TEXT(A819,"MMM-YYYY")</f>
        <v/>
      </c>
      <c r="D819" s="40">
        <f>INT(A819)-WEEKDAY(A819,2)+1</f>
        <v/>
      </c>
      <c r="E819" s="25" t="inlineStr">
        <is>
          <t>dchoudhury</t>
        </is>
      </c>
      <c r="F819" s="25" t="n">
        <v>80600</v>
      </c>
      <c r="G819" s="25" t="n">
        <v>1</v>
      </c>
      <c r="H819" s="25" t="n">
        <v>7</v>
      </c>
      <c r="I819" s="25" t="inlineStr">
        <is>
          <t>1 minute(s) and 37 second(s)</t>
        </is>
      </c>
      <c r="J819" s="25">
        <f>IFERROR(VALUE(TRIM(LEFT(I819,FIND("minute",I819)-1)))*60,0)+IFERROR(VALUE(SUBSTITUTE(MID(I819,IFERROR(FIND("and",I819)+3,1),20),"second(s)","")),0)</f>
        <v/>
      </c>
      <c r="K819" s="41">
        <f>J819/60</f>
        <v/>
      </c>
      <c r="L819" s="41">
        <f>IFERROR(J819/H819,"")</f>
        <v/>
      </c>
      <c r="M819" s="25" t="inlineStr">
        <is>
          <t>2.5.12</t>
        </is>
      </c>
      <c r="N819" s="25">
        <f>IF(J819&gt;300,1,0)</f>
        <v/>
      </c>
      <c r="O819" s="25">
        <f>IF(J819&gt;600,1,0)</f>
        <v/>
      </c>
      <c r="P819" s="25">
        <f>IF(H819&gt;0,J819,"")</f>
        <v/>
      </c>
      <c r="Q819" s="25">
        <f>TEXT(A819,"YYYY-MM-DD HH")</f>
        <v/>
      </c>
      <c r="R819" s="25">
        <f>COUNTIF($Q$2:$Q$5295,Q819)</f>
        <v/>
      </c>
      <c r="S819" s="25">
        <f>IF(R819&lt;=2,"1-2",IF(R819&lt;=5,"3-5",IF(R819&lt;=10,"6-10","11+")))</f>
        <v/>
      </c>
    </row>
    <row r="820">
      <c r="A820" s="39" t="n">
        <v>46161.77743055556</v>
      </c>
      <c r="B820" s="25">
        <f>TEXT(A820,"YYYY-MM")</f>
        <v/>
      </c>
      <c r="C820" s="25">
        <f>TEXT(A820,"MMM-YYYY")</f>
        <v/>
      </c>
      <c r="D820" s="40">
        <f>INT(A820)-WEEKDAY(A820,2)+1</f>
        <v/>
      </c>
      <c r="E820" s="25" t="inlineStr">
        <is>
          <t>rsingh</t>
        </is>
      </c>
      <c r="F820" s="25" t="n">
        <v>98601</v>
      </c>
      <c r="G820" s="25" t="n">
        <v>4</v>
      </c>
      <c r="H820" s="25" t="n">
        <v>14</v>
      </c>
      <c r="I820" s="25" t="inlineStr">
        <is>
          <t>4 minute(s) and 10 second(s)</t>
        </is>
      </c>
      <c r="J820" s="25">
        <f>IFERROR(VALUE(TRIM(LEFT(I820,FIND("minute",I820)-1)))*60,0)+IFERROR(VALUE(SUBSTITUTE(MID(I820,IFERROR(FIND("and",I820)+3,1),20),"second(s)","")),0)</f>
        <v/>
      </c>
      <c r="K820" s="41">
        <f>J820/60</f>
        <v/>
      </c>
      <c r="L820" s="41">
        <f>IFERROR(J820/H820,"")</f>
        <v/>
      </c>
      <c r="M820" s="25" t="inlineStr">
        <is>
          <t>2.5.12</t>
        </is>
      </c>
      <c r="N820" s="25">
        <f>IF(J820&gt;300,1,0)</f>
        <v/>
      </c>
      <c r="O820" s="25">
        <f>IF(J820&gt;600,1,0)</f>
        <v/>
      </c>
      <c r="P820" s="25">
        <f>IF(H820&gt;0,J820,"")</f>
        <v/>
      </c>
      <c r="Q820" s="25">
        <f>TEXT(A820,"YYYY-MM-DD HH")</f>
        <v/>
      </c>
      <c r="R820" s="25">
        <f>COUNTIF($Q$2:$Q$5295,Q820)</f>
        <v/>
      </c>
      <c r="S820" s="25">
        <f>IF(R820&lt;=2,"1-2",IF(R820&lt;=5,"3-5",IF(R820&lt;=10,"6-10","11+")))</f>
        <v/>
      </c>
    </row>
    <row r="821">
      <c r="A821" s="39" t="n">
        <v>46161.79101851852</v>
      </c>
      <c r="B821" s="25">
        <f>TEXT(A821,"YYYY-MM")</f>
        <v/>
      </c>
      <c r="C821" s="25">
        <f>TEXT(A821,"MMM-YYYY")</f>
        <v/>
      </c>
      <c r="D821" s="40">
        <f>INT(A821)-WEEKDAY(A821,2)+1</f>
        <v/>
      </c>
      <c r="E821" s="25" t="inlineStr">
        <is>
          <t>psingh</t>
        </is>
      </c>
      <c r="F821" s="25" t="n">
        <v>366</v>
      </c>
      <c r="G821" s="25" t="n">
        <v>1</v>
      </c>
      <c r="H821" s="25" t="n">
        <v>7</v>
      </c>
      <c r="I821" s="25" t="inlineStr">
        <is>
          <t>1 minute(s) and 24 second(s)</t>
        </is>
      </c>
      <c r="J821" s="25">
        <f>IFERROR(VALUE(TRIM(LEFT(I821,FIND("minute",I821)-1)))*60,0)+IFERROR(VALUE(SUBSTITUTE(MID(I821,IFERROR(FIND("and",I821)+3,1),20),"second(s)","")),0)</f>
        <v/>
      </c>
      <c r="K821" s="41">
        <f>J821/60</f>
        <v/>
      </c>
      <c r="L821" s="41">
        <f>IFERROR(J821/H821,"")</f>
        <v/>
      </c>
      <c r="M821" s="25" t="inlineStr">
        <is>
          <t>2.5.12</t>
        </is>
      </c>
      <c r="N821" s="25">
        <f>IF(J821&gt;300,1,0)</f>
        <v/>
      </c>
      <c r="O821" s="25">
        <f>IF(J821&gt;600,1,0)</f>
        <v/>
      </c>
      <c r="P821" s="25">
        <f>IF(H821&gt;0,J821,"")</f>
        <v/>
      </c>
      <c r="Q821" s="25">
        <f>TEXT(A821,"YYYY-MM-DD HH")</f>
        <v/>
      </c>
      <c r="R821" s="25">
        <f>COUNTIF($Q$2:$Q$5295,Q821)</f>
        <v/>
      </c>
      <c r="S821" s="25">
        <f>IF(R821&lt;=2,"1-2",IF(R821&lt;=5,"3-5",IF(R821&lt;=10,"6-10","11+")))</f>
        <v/>
      </c>
    </row>
    <row r="822">
      <c r="A822" s="39" t="n">
        <v>46161.82045138889</v>
      </c>
      <c r="B822" s="25">
        <f>TEXT(A822,"YYYY-MM")</f>
        <v/>
      </c>
      <c r="C822" s="25">
        <f>TEXT(A822,"MMM-YYYY")</f>
        <v/>
      </c>
      <c r="D822" s="40">
        <f>INT(A822)-WEEKDAY(A822,2)+1</f>
        <v/>
      </c>
      <c r="E822" s="25" t="inlineStr">
        <is>
          <t>psingh</t>
        </is>
      </c>
      <c r="F822" s="25" t="n">
        <v>367</v>
      </c>
      <c r="G822" s="25" t="n">
        <v>1</v>
      </c>
      <c r="H822" s="25" t="n">
        <v>5</v>
      </c>
      <c r="I822" s="25" t="inlineStr">
        <is>
          <t>2 minute(s) and 8 second(s)</t>
        </is>
      </c>
      <c r="J822" s="25">
        <f>IFERROR(VALUE(TRIM(LEFT(I822,FIND("minute",I822)-1)))*60,0)+IFERROR(VALUE(SUBSTITUTE(MID(I822,IFERROR(FIND("and",I822)+3,1),20),"second(s)","")),0)</f>
        <v/>
      </c>
      <c r="K822" s="41">
        <f>J822/60</f>
        <v/>
      </c>
      <c r="L822" s="41">
        <f>IFERROR(J822/H822,"")</f>
        <v/>
      </c>
      <c r="M822" s="25" t="inlineStr">
        <is>
          <t>2.5.12</t>
        </is>
      </c>
      <c r="N822" s="25">
        <f>IF(J822&gt;300,1,0)</f>
        <v/>
      </c>
      <c r="O822" s="25">
        <f>IF(J822&gt;600,1,0)</f>
        <v/>
      </c>
      <c r="P822" s="25">
        <f>IF(H822&gt;0,J822,"")</f>
        <v/>
      </c>
      <c r="Q822" s="25">
        <f>TEXT(A822,"YYYY-MM-DD HH")</f>
        <v/>
      </c>
      <c r="R822" s="25">
        <f>COUNTIF($Q$2:$Q$5295,Q822)</f>
        <v/>
      </c>
      <c r="S822" s="25">
        <f>IF(R822&lt;=2,"1-2",IF(R822&lt;=5,"3-5",IF(R822&lt;=10,"6-10","11+")))</f>
        <v/>
      </c>
    </row>
    <row r="823">
      <c r="A823" s="39" t="n">
        <v>46161.84511574074</v>
      </c>
      <c r="B823" s="25">
        <f>TEXT(A823,"YYYY-MM")</f>
        <v/>
      </c>
      <c r="C823" s="25">
        <f>TEXT(A823,"MMM-YYYY")</f>
        <v/>
      </c>
      <c r="D823" s="40">
        <f>INT(A823)-WEEKDAY(A823,2)+1</f>
        <v/>
      </c>
      <c r="E823" s="25" t="inlineStr">
        <is>
          <t>rsingh</t>
        </is>
      </c>
      <c r="F823" s="25" t="n">
        <v>114957</v>
      </c>
      <c r="G823" s="25" t="n">
        <v>5</v>
      </c>
      <c r="H823" s="25" t="n">
        <v>19</v>
      </c>
      <c r="I823" s="25" t="inlineStr">
        <is>
          <t>6 minute(s) and 47 second(s)</t>
        </is>
      </c>
      <c r="J823" s="25">
        <f>IFERROR(VALUE(TRIM(LEFT(I823,FIND("minute",I823)-1)))*60,0)+IFERROR(VALUE(SUBSTITUTE(MID(I823,IFERROR(FIND("and",I823)+3,1),20),"second(s)","")),0)</f>
        <v/>
      </c>
      <c r="K823" s="41">
        <f>J823/60</f>
        <v/>
      </c>
      <c r="L823" s="41">
        <f>IFERROR(J823/H823,"")</f>
        <v/>
      </c>
      <c r="M823" s="25" t="inlineStr">
        <is>
          <t>2.5.12</t>
        </is>
      </c>
      <c r="N823" s="25">
        <f>IF(J823&gt;300,1,0)</f>
        <v/>
      </c>
      <c r="O823" s="25">
        <f>IF(J823&gt;600,1,0)</f>
        <v/>
      </c>
      <c r="P823" s="25">
        <f>IF(H823&gt;0,J823,"")</f>
        <v/>
      </c>
      <c r="Q823" s="25">
        <f>TEXT(A823,"YYYY-MM-DD HH")</f>
        <v/>
      </c>
      <c r="R823" s="25">
        <f>COUNTIF($Q$2:$Q$5295,Q823)</f>
        <v/>
      </c>
      <c r="S823" s="25">
        <f>IF(R823&lt;=2,"1-2",IF(R823&lt;=5,"3-5",IF(R823&lt;=10,"6-10","11+")))</f>
        <v/>
      </c>
    </row>
    <row r="824">
      <c r="A824" s="39" t="n">
        <v>46161.89773148148</v>
      </c>
      <c r="B824" s="25">
        <f>TEXT(A824,"YYYY-MM")</f>
        <v/>
      </c>
      <c r="C824" s="25">
        <f>TEXT(A824,"MMM-YYYY")</f>
        <v/>
      </c>
      <c r="D824" s="40">
        <f>INT(A824)-WEEKDAY(A824,2)+1</f>
        <v/>
      </c>
      <c r="E824" s="25" t="inlineStr">
        <is>
          <t>dchoudhury</t>
        </is>
      </c>
      <c r="F824" s="25" t="n">
        <v>81503</v>
      </c>
      <c r="G824" s="25" t="n">
        <v>5</v>
      </c>
      <c r="H824" s="25" t="n">
        <v>25</v>
      </c>
      <c r="I824" s="25" t="inlineStr">
        <is>
          <t>6 minute(s) and 38 second(s)</t>
        </is>
      </c>
      <c r="J824" s="25">
        <f>IFERROR(VALUE(TRIM(LEFT(I824,FIND("minute",I824)-1)))*60,0)+IFERROR(VALUE(SUBSTITUTE(MID(I824,IFERROR(FIND("and",I824)+3,1),20),"second(s)","")),0)</f>
        <v/>
      </c>
      <c r="K824" s="41">
        <f>J824/60</f>
        <v/>
      </c>
      <c r="L824" s="41">
        <f>IFERROR(J824/H824,"")</f>
        <v/>
      </c>
      <c r="M824" s="25" t="inlineStr">
        <is>
          <t>2.5.12</t>
        </is>
      </c>
      <c r="N824" s="25">
        <f>IF(J824&gt;300,1,0)</f>
        <v/>
      </c>
      <c r="O824" s="25">
        <f>IF(J824&gt;600,1,0)</f>
        <v/>
      </c>
      <c r="P824" s="25">
        <f>IF(H824&gt;0,J824,"")</f>
        <v/>
      </c>
      <c r="Q824" s="25">
        <f>TEXT(A824,"YYYY-MM-DD HH")</f>
        <v/>
      </c>
      <c r="R824" s="25">
        <f>COUNTIF($Q$2:$Q$5295,Q824)</f>
        <v/>
      </c>
      <c r="S824" s="25">
        <f>IF(R824&lt;=2,"1-2",IF(R824&lt;=5,"3-5",IF(R824&lt;=10,"6-10","11+")))</f>
        <v/>
      </c>
    </row>
    <row r="825">
      <c r="A825" s="39" t="n">
        <v>46161.91726851852</v>
      </c>
      <c r="B825" s="25">
        <f>TEXT(A825,"YYYY-MM")</f>
        <v/>
      </c>
      <c r="C825" s="25">
        <f>TEXT(A825,"MMM-YYYY")</f>
        <v/>
      </c>
      <c r="D825" s="40">
        <f>INT(A825)-WEEKDAY(A825,2)+1</f>
        <v/>
      </c>
      <c r="E825" s="25" t="inlineStr">
        <is>
          <t>hsindwani</t>
        </is>
      </c>
      <c r="F825" s="25" t="n">
        <v>93025</v>
      </c>
      <c r="G825" s="25" t="n">
        <v>2</v>
      </c>
      <c r="H825" s="25" t="n">
        <v>10</v>
      </c>
      <c r="I825" s="25" t="inlineStr">
        <is>
          <t>2 minute(s) and 32 second(s)</t>
        </is>
      </c>
      <c r="J825" s="25">
        <f>IFERROR(VALUE(TRIM(LEFT(I825,FIND("minute",I825)-1)))*60,0)+IFERROR(VALUE(SUBSTITUTE(MID(I825,IFERROR(FIND("and",I825)+3,1),20),"second(s)","")),0)</f>
        <v/>
      </c>
      <c r="K825" s="41">
        <f>J825/60</f>
        <v/>
      </c>
      <c r="L825" s="41">
        <f>IFERROR(J825/H825,"")</f>
        <v/>
      </c>
      <c r="M825" s="25" t="inlineStr">
        <is>
          <t>2.5.12</t>
        </is>
      </c>
      <c r="N825" s="25">
        <f>IF(J825&gt;300,1,0)</f>
        <v/>
      </c>
      <c r="O825" s="25">
        <f>IF(J825&gt;600,1,0)</f>
        <v/>
      </c>
      <c r="P825" s="25">
        <f>IF(H825&gt;0,J825,"")</f>
        <v/>
      </c>
      <c r="Q825" s="25">
        <f>TEXT(A825,"YYYY-MM-DD HH")</f>
        <v/>
      </c>
      <c r="R825" s="25">
        <f>COUNTIF($Q$2:$Q$5295,Q825)</f>
        <v/>
      </c>
      <c r="S825" s="25">
        <f>IF(R825&lt;=2,"1-2",IF(R825&lt;=5,"3-5",IF(R825&lt;=10,"6-10","11+")))</f>
        <v/>
      </c>
    </row>
    <row r="826">
      <c r="A826" s="39" t="n">
        <v>46161.95383101852</v>
      </c>
      <c r="B826" s="25">
        <f>TEXT(A826,"YYYY-MM")</f>
        <v/>
      </c>
      <c r="C826" s="25">
        <f>TEXT(A826,"MMM-YYYY")</f>
        <v/>
      </c>
      <c r="D826" s="40">
        <f>INT(A826)-WEEKDAY(A826,2)+1</f>
        <v/>
      </c>
      <c r="E826" s="25" t="inlineStr">
        <is>
          <t>dchoudhury</t>
        </is>
      </c>
      <c r="F826" s="25" t="n">
        <v>82642</v>
      </c>
      <c r="G826" s="25" t="n">
        <v>2</v>
      </c>
      <c r="H826" s="25" t="n">
        <v>10</v>
      </c>
      <c r="I826" s="25" t="inlineStr">
        <is>
          <t>3 minute(s) and 29 second(s)</t>
        </is>
      </c>
      <c r="J826" s="25">
        <f>IFERROR(VALUE(TRIM(LEFT(I826,FIND("minute",I826)-1)))*60,0)+IFERROR(VALUE(SUBSTITUTE(MID(I826,IFERROR(FIND("and",I826)+3,1),20),"second(s)","")),0)</f>
        <v/>
      </c>
      <c r="K826" s="41">
        <f>J826/60</f>
        <v/>
      </c>
      <c r="L826" s="41">
        <f>IFERROR(J826/H826,"")</f>
        <v/>
      </c>
      <c r="M826" s="25" t="inlineStr">
        <is>
          <t>2.5.12</t>
        </is>
      </c>
      <c r="N826" s="25">
        <f>IF(J826&gt;300,1,0)</f>
        <v/>
      </c>
      <c r="O826" s="25">
        <f>IF(J826&gt;600,1,0)</f>
        <v/>
      </c>
      <c r="P826" s="25">
        <f>IF(H826&gt;0,J826,"")</f>
        <v/>
      </c>
      <c r="Q826" s="25">
        <f>TEXT(A826,"YYYY-MM-DD HH")</f>
        <v/>
      </c>
      <c r="R826" s="25">
        <f>COUNTIF($Q$2:$Q$5295,Q826)</f>
        <v/>
      </c>
      <c r="S826" s="25">
        <f>IF(R826&lt;=2,"1-2",IF(R826&lt;=5,"3-5",IF(R826&lt;=10,"6-10","11+")))</f>
        <v/>
      </c>
    </row>
    <row r="827">
      <c r="A827" s="39" t="n">
        <v>46161.98528935185</v>
      </c>
      <c r="B827" s="25">
        <f>TEXT(A827,"YYYY-MM")</f>
        <v/>
      </c>
      <c r="C827" s="25">
        <f>TEXT(A827,"MMM-YYYY")</f>
        <v/>
      </c>
      <c r="D827" s="40">
        <f>INT(A827)-WEEKDAY(A827,2)+1</f>
        <v/>
      </c>
      <c r="E827" s="25" t="inlineStr">
        <is>
          <t>dchoudhury</t>
        </is>
      </c>
      <c r="F827" s="25" t="n">
        <v>86391</v>
      </c>
      <c r="G827" s="25" t="n">
        <v>5</v>
      </c>
      <c r="H827" s="25" t="n">
        <v>17</v>
      </c>
      <c r="I827" s="25" t="inlineStr">
        <is>
          <t>3 minute(s) and 50 second(s)</t>
        </is>
      </c>
      <c r="J827" s="25">
        <f>IFERROR(VALUE(TRIM(LEFT(I827,FIND("minute",I827)-1)))*60,0)+IFERROR(VALUE(SUBSTITUTE(MID(I827,IFERROR(FIND("and",I827)+3,1),20),"second(s)","")),0)</f>
        <v/>
      </c>
      <c r="K827" s="41">
        <f>J827/60</f>
        <v/>
      </c>
      <c r="L827" s="41">
        <f>IFERROR(J827/H827,"")</f>
        <v/>
      </c>
      <c r="M827" s="25" t="inlineStr">
        <is>
          <t>2.5.12</t>
        </is>
      </c>
      <c r="N827" s="25">
        <f>IF(J827&gt;300,1,0)</f>
        <v/>
      </c>
      <c r="O827" s="25">
        <f>IF(J827&gt;600,1,0)</f>
        <v/>
      </c>
      <c r="P827" s="25">
        <f>IF(H827&gt;0,J827,"")</f>
        <v/>
      </c>
      <c r="Q827" s="25">
        <f>TEXT(A827,"YYYY-MM-DD HH")</f>
        <v/>
      </c>
      <c r="R827" s="25">
        <f>COUNTIF($Q$2:$Q$5295,Q827)</f>
        <v/>
      </c>
      <c r="S827" s="25">
        <f>IF(R827&lt;=2,"1-2",IF(R827&lt;=5,"3-5",IF(R827&lt;=10,"6-10","11+")))</f>
        <v/>
      </c>
    </row>
    <row r="828">
      <c r="A828" s="39" t="n">
        <v>46162.00965277778</v>
      </c>
      <c r="B828" s="25">
        <f>TEXT(A828,"YYYY-MM")</f>
        <v/>
      </c>
      <c r="C828" s="25">
        <f>TEXT(A828,"MMM-YYYY")</f>
        <v/>
      </c>
      <c r="D828" s="40">
        <f>INT(A828)-WEEKDAY(A828,2)+1</f>
        <v/>
      </c>
      <c r="E828" s="25" t="inlineStr">
        <is>
          <t>ns</t>
        </is>
      </c>
      <c r="F828" s="25" t="n">
        <v>433</v>
      </c>
      <c r="G828" s="25" t="n">
        <v>2</v>
      </c>
      <c r="H828" s="25" t="n">
        <v>8</v>
      </c>
      <c r="I828" s="25" t="inlineStr">
        <is>
          <t>2 minute(s) and 54 second(s)</t>
        </is>
      </c>
      <c r="J828" s="25">
        <f>IFERROR(VALUE(TRIM(LEFT(I828,FIND("minute",I828)-1)))*60,0)+IFERROR(VALUE(SUBSTITUTE(MID(I828,IFERROR(FIND("and",I828)+3,1),20),"second(s)","")),0)</f>
        <v/>
      </c>
      <c r="K828" s="41">
        <f>J828/60</f>
        <v/>
      </c>
      <c r="L828" s="41">
        <f>IFERROR(J828/H828,"")</f>
        <v/>
      </c>
      <c r="M828" s="25" t="inlineStr">
        <is>
          <t>2.5.12</t>
        </is>
      </c>
      <c r="N828" s="25">
        <f>IF(J828&gt;300,1,0)</f>
        <v/>
      </c>
      <c r="O828" s="25">
        <f>IF(J828&gt;600,1,0)</f>
        <v/>
      </c>
      <c r="P828" s="25">
        <f>IF(H828&gt;0,J828,"")</f>
        <v/>
      </c>
      <c r="Q828" s="25">
        <f>TEXT(A828,"YYYY-MM-DD HH")</f>
        <v/>
      </c>
      <c r="R828" s="25">
        <f>COUNTIF($Q$2:$Q$5295,Q828)</f>
        <v/>
      </c>
      <c r="S828" s="25">
        <f>IF(R828&lt;=2,"1-2",IF(R828&lt;=5,"3-5",IF(R828&lt;=10,"6-10","11+")))</f>
        <v/>
      </c>
    </row>
    <row r="829">
      <c r="A829" s="39" t="n">
        <v>46162.01484953704</v>
      </c>
      <c r="B829" s="25">
        <f>TEXT(A829,"YYYY-MM")</f>
        <v/>
      </c>
      <c r="C829" s="25">
        <f>TEXT(A829,"MMM-YYYY")</f>
        <v/>
      </c>
      <c r="D829" s="40">
        <f>INT(A829)-WEEKDAY(A829,2)+1</f>
        <v/>
      </c>
      <c r="E829" s="25" t="inlineStr">
        <is>
          <t>smukhopadhyay</t>
        </is>
      </c>
      <c r="F829" s="25" t="n">
        <v>1686</v>
      </c>
      <c r="G829" s="25" t="n">
        <v>2</v>
      </c>
      <c r="H829" s="25" t="n">
        <v>12</v>
      </c>
      <c r="I829" s="25" t="inlineStr">
        <is>
          <t>4 minute(s) and 6 second(s)</t>
        </is>
      </c>
      <c r="J829" s="25">
        <f>IFERROR(VALUE(TRIM(LEFT(I829,FIND("minute",I829)-1)))*60,0)+IFERROR(VALUE(SUBSTITUTE(MID(I829,IFERROR(FIND("and",I829)+3,1),20),"second(s)","")),0)</f>
        <v/>
      </c>
      <c r="K829" s="41">
        <f>J829/60</f>
        <v/>
      </c>
      <c r="L829" s="41">
        <f>IFERROR(J829/H829,"")</f>
        <v/>
      </c>
      <c r="M829" s="25" t="inlineStr">
        <is>
          <t>2.5.12</t>
        </is>
      </c>
      <c r="N829" s="25">
        <f>IF(J829&gt;300,1,0)</f>
        <v/>
      </c>
      <c r="O829" s="25">
        <f>IF(J829&gt;600,1,0)</f>
        <v/>
      </c>
      <c r="P829" s="25">
        <f>IF(H829&gt;0,J829,"")</f>
        <v/>
      </c>
      <c r="Q829" s="25">
        <f>TEXT(A829,"YYYY-MM-DD HH")</f>
        <v/>
      </c>
      <c r="R829" s="25">
        <f>COUNTIF($Q$2:$Q$5295,Q829)</f>
        <v/>
      </c>
      <c r="S829" s="25">
        <f>IF(R829&lt;=2,"1-2",IF(R829&lt;=5,"3-5",IF(R829&lt;=10,"6-10","11+")))</f>
        <v/>
      </c>
    </row>
    <row r="830">
      <c r="A830" s="39" t="n">
        <v>46162.03630787037</v>
      </c>
      <c r="B830" s="25">
        <f>TEXT(A830,"YYYY-MM")</f>
        <v/>
      </c>
      <c r="C830" s="25">
        <f>TEXT(A830,"MMM-YYYY")</f>
        <v/>
      </c>
      <c r="D830" s="40">
        <f>INT(A830)-WEEKDAY(A830,2)+1</f>
        <v/>
      </c>
      <c r="E830" s="25" t="inlineStr">
        <is>
          <t>ssrinivasan</t>
        </is>
      </c>
      <c r="F830" s="25" t="n">
        <v>1582</v>
      </c>
      <c r="G830" s="25" t="n">
        <v>3</v>
      </c>
      <c r="H830" s="25" t="n">
        <v>7</v>
      </c>
      <c r="I830" s="25" t="inlineStr">
        <is>
          <t>1 minute(s) and 51 second(s)</t>
        </is>
      </c>
      <c r="J830" s="25">
        <f>IFERROR(VALUE(TRIM(LEFT(I830,FIND("minute",I830)-1)))*60,0)+IFERROR(VALUE(SUBSTITUTE(MID(I830,IFERROR(FIND("and",I830)+3,1),20),"second(s)","")),0)</f>
        <v/>
      </c>
      <c r="K830" s="41">
        <f>J830/60</f>
        <v/>
      </c>
      <c r="L830" s="41">
        <f>IFERROR(J830/H830,"")</f>
        <v/>
      </c>
      <c r="M830" s="25" t="inlineStr">
        <is>
          <t>2.5.12</t>
        </is>
      </c>
      <c r="N830" s="25">
        <f>IF(J830&gt;300,1,0)</f>
        <v/>
      </c>
      <c r="O830" s="25">
        <f>IF(J830&gt;600,1,0)</f>
        <v/>
      </c>
      <c r="P830" s="25">
        <f>IF(H830&gt;0,J830,"")</f>
        <v/>
      </c>
      <c r="Q830" s="25">
        <f>TEXT(A830,"YYYY-MM-DD HH")</f>
        <v/>
      </c>
      <c r="R830" s="25">
        <f>COUNTIF($Q$2:$Q$5295,Q830)</f>
        <v/>
      </c>
      <c r="S830" s="25">
        <f>IF(R830&lt;=2,"1-2",IF(R830&lt;=5,"3-5",IF(R830&lt;=10,"6-10","11+")))</f>
        <v/>
      </c>
    </row>
    <row r="831">
      <c r="A831" s="39" t="n">
        <v>46162.04013888889</v>
      </c>
      <c r="B831" s="25">
        <f>TEXT(A831,"YYYY-MM")</f>
        <v/>
      </c>
      <c r="C831" s="25">
        <f>TEXT(A831,"MMM-YYYY")</f>
        <v/>
      </c>
      <c r="D831" s="40">
        <f>INT(A831)-WEEKDAY(A831,2)+1</f>
        <v/>
      </c>
      <c r="E831" s="25" t="inlineStr">
        <is>
          <t>abhaskarkp</t>
        </is>
      </c>
      <c r="F831" s="25" t="n">
        <v>114627</v>
      </c>
      <c r="G831" s="25" t="n">
        <v>3</v>
      </c>
      <c r="H831" s="25" t="n">
        <v>13</v>
      </c>
      <c r="I831" s="25" t="inlineStr">
        <is>
          <t>2 minute(s) and 40 second(s)</t>
        </is>
      </c>
      <c r="J831" s="25">
        <f>IFERROR(VALUE(TRIM(LEFT(I831,FIND("minute",I831)-1)))*60,0)+IFERROR(VALUE(SUBSTITUTE(MID(I831,IFERROR(FIND("and",I831)+3,1),20),"second(s)","")),0)</f>
        <v/>
      </c>
      <c r="K831" s="41">
        <f>J831/60</f>
        <v/>
      </c>
      <c r="L831" s="41">
        <f>IFERROR(J831/H831,"")</f>
        <v/>
      </c>
      <c r="M831" s="25" t="inlineStr">
        <is>
          <t>2.5.12</t>
        </is>
      </c>
      <c r="N831" s="25">
        <f>IF(J831&gt;300,1,0)</f>
        <v/>
      </c>
      <c r="O831" s="25">
        <f>IF(J831&gt;600,1,0)</f>
        <v/>
      </c>
      <c r="P831" s="25">
        <f>IF(H831&gt;0,J831,"")</f>
        <v/>
      </c>
      <c r="Q831" s="25">
        <f>TEXT(A831,"YYYY-MM-DD HH")</f>
        <v/>
      </c>
      <c r="R831" s="25">
        <f>COUNTIF($Q$2:$Q$5295,Q831)</f>
        <v/>
      </c>
      <c r="S831" s="25">
        <f>IF(R831&lt;=2,"1-2",IF(R831&lt;=5,"3-5",IF(R831&lt;=10,"6-10","11+")))</f>
        <v/>
      </c>
    </row>
    <row r="832">
      <c r="A832" s="39" t="n">
        <v>46162.04278935185</v>
      </c>
      <c r="B832" s="25">
        <f>TEXT(A832,"YYYY-MM")</f>
        <v/>
      </c>
      <c r="C832" s="25">
        <f>TEXT(A832,"MMM-YYYY")</f>
        <v/>
      </c>
      <c r="D832" s="40">
        <f>INT(A832)-WEEKDAY(A832,2)+1</f>
        <v/>
      </c>
      <c r="E832" s="25" t="inlineStr">
        <is>
          <t>mbhalla</t>
        </is>
      </c>
      <c r="F832" s="25" t="n">
        <v>62</v>
      </c>
      <c r="G832" s="25" t="n">
        <v>1</v>
      </c>
      <c r="H832" s="25" t="n">
        <v>7</v>
      </c>
      <c r="I832" s="25" t="inlineStr">
        <is>
          <t>2 minute(s) and 25 second(s)</t>
        </is>
      </c>
      <c r="J832" s="25">
        <f>IFERROR(VALUE(TRIM(LEFT(I832,FIND("minute",I832)-1)))*60,0)+IFERROR(VALUE(SUBSTITUTE(MID(I832,IFERROR(FIND("and",I832)+3,1),20),"second(s)","")),0)</f>
        <v/>
      </c>
      <c r="K832" s="41">
        <f>J832/60</f>
        <v/>
      </c>
      <c r="L832" s="41">
        <f>IFERROR(J832/H832,"")</f>
        <v/>
      </c>
      <c r="M832" s="25" t="inlineStr">
        <is>
          <t>2.5.12</t>
        </is>
      </c>
      <c r="N832" s="25">
        <f>IF(J832&gt;300,1,0)</f>
        <v/>
      </c>
      <c r="O832" s="25">
        <f>IF(J832&gt;600,1,0)</f>
        <v/>
      </c>
      <c r="P832" s="25">
        <f>IF(H832&gt;0,J832,"")</f>
        <v/>
      </c>
      <c r="Q832" s="25">
        <f>TEXT(A832,"YYYY-MM-DD HH")</f>
        <v/>
      </c>
      <c r="R832" s="25">
        <f>COUNTIF($Q$2:$Q$5295,Q832)</f>
        <v/>
      </c>
      <c r="S832" s="25">
        <f>IF(R832&lt;=2,"1-2",IF(R832&lt;=5,"3-5",IF(R832&lt;=10,"6-10","11+")))</f>
        <v/>
      </c>
    </row>
    <row r="833">
      <c r="A833" s="39" t="n">
        <v>46162.0469212963</v>
      </c>
      <c r="B833" s="25">
        <f>TEXT(A833,"YYYY-MM")</f>
        <v/>
      </c>
      <c r="C833" s="25">
        <f>TEXT(A833,"MMM-YYYY")</f>
        <v/>
      </c>
      <c r="D833" s="40">
        <f>INT(A833)-WEEKDAY(A833,2)+1</f>
        <v/>
      </c>
      <c r="E833" s="25" t="inlineStr">
        <is>
          <t>anusharma</t>
        </is>
      </c>
      <c r="F833" s="25" t="n">
        <v>97330</v>
      </c>
      <c r="G833" s="25" t="n">
        <v>4</v>
      </c>
      <c r="H833" s="25" t="n">
        <v>14</v>
      </c>
      <c r="I833" s="25" t="inlineStr">
        <is>
          <t>5 minute(s) and 57 second(s)</t>
        </is>
      </c>
      <c r="J833" s="25">
        <f>IFERROR(VALUE(TRIM(LEFT(I833,FIND("minute",I833)-1)))*60,0)+IFERROR(VALUE(SUBSTITUTE(MID(I833,IFERROR(FIND("and",I833)+3,1),20),"second(s)","")),0)</f>
        <v/>
      </c>
      <c r="K833" s="41">
        <f>J833/60</f>
        <v/>
      </c>
      <c r="L833" s="41">
        <f>IFERROR(J833/H833,"")</f>
        <v/>
      </c>
      <c r="M833" s="25" t="inlineStr">
        <is>
          <t>2.5.12</t>
        </is>
      </c>
      <c r="N833" s="25">
        <f>IF(J833&gt;300,1,0)</f>
        <v/>
      </c>
      <c r="O833" s="25">
        <f>IF(J833&gt;600,1,0)</f>
        <v/>
      </c>
      <c r="P833" s="25">
        <f>IF(H833&gt;0,J833,"")</f>
        <v/>
      </c>
      <c r="Q833" s="25">
        <f>TEXT(A833,"YYYY-MM-DD HH")</f>
        <v/>
      </c>
      <c r="R833" s="25">
        <f>COUNTIF($Q$2:$Q$5295,Q833)</f>
        <v/>
      </c>
      <c r="S833" s="25">
        <f>IF(R833&lt;=2,"1-2",IF(R833&lt;=5,"3-5",IF(R833&lt;=10,"6-10","11+")))</f>
        <v/>
      </c>
    </row>
    <row r="834">
      <c r="A834" s="39" t="n">
        <v>46162.04810185185</v>
      </c>
      <c r="B834" s="25">
        <f>TEXT(A834,"YYYY-MM")</f>
        <v/>
      </c>
      <c r="C834" s="25">
        <f>TEXT(A834,"MMM-YYYY")</f>
        <v/>
      </c>
      <c r="D834" s="40">
        <f>INT(A834)-WEEKDAY(A834,2)+1</f>
        <v/>
      </c>
      <c r="E834" s="25" t="inlineStr">
        <is>
          <t>rts</t>
        </is>
      </c>
      <c r="F834" s="25" t="n">
        <v>110842</v>
      </c>
      <c r="G834" s="25" t="n">
        <v>2</v>
      </c>
      <c r="H834" s="25" t="n">
        <v>6</v>
      </c>
      <c r="I834" s="25" t="inlineStr">
        <is>
          <t>3 minute(s) and 13 second(s)</t>
        </is>
      </c>
      <c r="J834" s="25">
        <f>IFERROR(VALUE(TRIM(LEFT(I834,FIND("minute",I834)-1)))*60,0)+IFERROR(VALUE(SUBSTITUTE(MID(I834,IFERROR(FIND("and",I834)+3,1),20),"second(s)","")),0)</f>
        <v/>
      </c>
      <c r="K834" s="41">
        <f>J834/60</f>
        <v/>
      </c>
      <c r="L834" s="41">
        <f>IFERROR(J834/H834,"")</f>
        <v/>
      </c>
      <c r="M834" s="25" t="inlineStr">
        <is>
          <t>2.5.12</t>
        </is>
      </c>
      <c r="N834" s="25">
        <f>IF(J834&gt;300,1,0)</f>
        <v/>
      </c>
      <c r="O834" s="25">
        <f>IF(J834&gt;600,1,0)</f>
        <v/>
      </c>
      <c r="P834" s="25">
        <f>IF(H834&gt;0,J834,"")</f>
        <v/>
      </c>
      <c r="Q834" s="25">
        <f>TEXT(A834,"YYYY-MM-DD HH")</f>
        <v/>
      </c>
      <c r="R834" s="25">
        <f>COUNTIF($Q$2:$Q$5295,Q834)</f>
        <v/>
      </c>
      <c r="S834" s="25">
        <f>IF(R834&lt;=2,"1-2",IF(R834&lt;=5,"3-5",IF(R834&lt;=10,"6-10","11+")))</f>
        <v/>
      </c>
    </row>
    <row r="835">
      <c r="A835" s="39" t="n">
        <v>46162.05038194444</v>
      </c>
      <c r="B835" s="25">
        <f>TEXT(A835,"YYYY-MM")</f>
        <v/>
      </c>
      <c r="C835" s="25">
        <f>TEXT(A835,"MMM-YYYY")</f>
        <v/>
      </c>
      <c r="D835" s="40">
        <f>INT(A835)-WEEKDAY(A835,2)+1</f>
        <v/>
      </c>
      <c r="E835" s="25" t="inlineStr">
        <is>
          <t>asahoo</t>
        </is>
      </c>
      <c r="F835" s="25" t="n">
        <v>105178</v>
      </c>
      <c r="G835" s="25" t="n">
        <v>1</v>
      </c>
      <c r="H835" s="25" t="n">
        <v>8</v>
      </c>
      <c r="I835" s="25" t="inlineStr">
        <is>
          <t>1 minute(s) and 33 second(s)</t>
        </is>
      </c>
      <c r="J835" s="25">
        <f>IFERROR(VALUE(TRIM(LEFT(I835,FIND("minute",I835)-1)))*60,0)+IFERROR(VALUE(SUBSTITUTE(MID(I835,IFERROR(FIND("and",I835)+3,1),20),"second(s)","")),0)</f>
        <v/>
      </c>
      <c r="K835" s="41">
        <f>J835/60</f>
        <v/>
      </c>
      <c r="L835" s="41">
        <f>IFERROR(J835/H835,"")</f>
        <v/>
      </c>
      <c r="M835" s="25" t="inlineStr">
        <is>
          <t>2.5.12</t>
        </is>
      </c>
      <c r="N835" s="25">
        <f>IF(J835&gt;300,1,0)</f>
        <v/>
      </c>
      <c r="O835" s="25">
        <f>IF(J835&gt;600,1,0)</f>
        <v/>
      </c>
      <c r="P835" s="25">
        <f>IF(H835&gt;0,J835,"")</f>
        <v/>
      </c>
      <c r="Q835" s="25">
        <f>TEXT(A835,"YYYY-MM-DD HH")</f>
        <v/>
      </c>
      <c r="R835" s="25">
        <f>COUNTIF($Q$2:$Q$5295,Q835)</f>
        <v/>
      </c>
      <c r="S835" s="25">
        <f>IF(R835&lt;=2,"1-2",IF(R835&lt;=5,"3-5",IF(R835&lt;=10,"6-10","11+")))</f>
        <v/>
      </c>
    </row>
    <row r="836">
      <c r="A836" s="39" t="n">
        <v>46162.05255787037</v>
      </c>
      <c r="B836" s="25">
        <f>TEXT(A836,"YYYY-MM")</f>
        <v/>
      </c>
      <c r="C836" s="25">
        <f>TEXT(A836,"MMM-YYYY")</f>
        <v/>
      </c>
      <c r="D836" s="40">
        <f>INT(A836)-WEEKDAY(A836,2)+1</f>
        <v/>
      </c>
      <c r="E836" s="25" t="inlineStr">
        <is>
          <t>smukhopadhyay</t>
        </is>
      </c>
      <c r="F836" s="25" t="n">
        <v>1687</v>
      </c>
      <c r="G836" s="25" t="n">
        <v>2</v>
      </c>
      <c r="H836" s="25" t="n">
        <v>10</v>
      </c>
      <c r="I836" s="25" t="inlineStr">
        <is>
          <t>3 minute(s) and 32 second(s)</t>
        </is>
      </c>
      <c r="J836" s="25">
        <f>IFERROR(VALUE(TRIM(LEFT(I836,FIND("minute",I836)-1)))*60,0)+IFERROR(VALUE(SUBSTITUTE(MID(I836,IFERROR(FIND("and",I836)+3,1),20),"second(s)","")),0)</f>
        <v/>
      </c>
      <c r="K836" s="41">
        <f>J836/60</f>
        <v/>
      </c>
      <c r="L836" s="41">
        <f>IFERROR(J836/H836,"")</f>
        <v/>
      </c>
      <c r="M836" s="25" t="inlineStr">
        <is>
          <t>2.5.12</t>
        </is>
      </c>
      <c r="N836" s="25">
        <f>IF(J836&gt;300,1,0)</f>
        <v/>
      </c>
      <c r="O836" s="25">
        <f>IF(J836&gt;600,1,0)</f>
        <v/>
      </c>
      <c r="P836" s="25">
        <f>IF(H836&gt;0,J836,"")</f>
        <v/>
      </c>
      <c r="Q836" s="25">
        <f>TEXT(A836,"YYYY-MM-DD HH")</f>
        <v/>
      </c>
      <c r="R836" s="25">
        <f>COUNTIF($Q$2:$Q$5295,Q836)</f>
        <v/>
      </c>
      <c r="S836" s="25">
        <f>IF(R836&lt;=2,"1-2",IF(R836&lt;=5,"3-5",IF(R836&lt;=10,"6-10","11+")))</f>
        <v/>
      </c>
    </row>
    <row r="837">
      <c r="A837" s="39" t="n">
        <v>46162.05396990741</v>
      </c>
      <c r="B837" s="25">
        <f>TEXT(A837,"YYYY-MM")</f>
        <v/>
      </c>
      <c r="C837" s="25">
        <f>TEXT(A837,"MMM-YYYY")</f>
        <v/>
      </c>
      <c r="D837" s="40">
        <f>INT(A837)-WEEKDAY(A837,2)+1</f>
        <v/>
      </c>
      <c r="E837" s="25" t="inlineStr">
        <is>
          <t>ethomas</t>
        </is>
      </c>
      <c r="F837" s="25" t="n">
        <v>618</v>
      </c>
      <c r="G837" s="25" t="n">
        <v>4</v>
      </c>
      <c r="H837" s="25" t="n">
        <v>16</v>
      </c>
      <c r="I837" s="25" t="inlineStr">
        <is>
          <t>5 minute(s) and 32 second(s)</t>
        </is>
      </c>
      <c r="J837" s="25">
        <f>IFERROR(VALUE(TRIM(LEFT(I837,FIND("minute",I837)-1)))*60,0)+IFERROR(VALUE(SUBSTITUTE(MID(I837,IFERROR(FIND("and",I837)+3,1),20),"second(s)","")),0)</f>
        <v/>
      </c>
      <c r="K837" s="41">
        <f>J837/60</f>
        <v/>
      </c>
      <c r="L837" s="41">
        <f>IFERROR(J837/H837,"")</f>
        <v/>
      </c>
      <c r="M837" s="25" t="inlineStr">
        <is>
          <t>2.5.12</t>
        </is>
      </c>
      <c r="N837" s="25">
        <f>IF(J837&gt;300,1,0)</f>
        <v/>
      </c>
      <c r="O837" s="25">
        <f>IF(J837&gt;600,1,0)</f>
        <v/>
      </c>
      <c r="P837" s="25">
        <f>IF(H837&gt;0,J837,"")</f>
        <v/>
      </c>
      <c r="Q837" s="25">
        <f>TEXT(A837,"YYYY-MM-DD HH")</f>
        <v/>
      </c>
      <c r="R837" s="25">
        <f>COUNTIF($Q$2:$Q$5295,Q837)</f>
        <v/>
      </c>
      <c r="S837" s="25">
        <f>IF(R837&lt;=2,"1-2",IF(R837&lt;=5,"3-5",IF(R837&lt;=10,"6-10","11+")))</f>
        <v/>
      </c>
    </row>
    <row r="838">
      <c r="A838" s="39" t="n">
        <v>46162.05711805556</v>
      </c>
      <c r="B838" s="25">
        <f>TEXT(A838,"YYYY-MM")</f>
        <v/>
      </c>
      <c r="C838" s="25">
        <f>TEXT(A838,"MMM-YYYY")</f>
        <v/>
      </c>
      <c r="D838" s="40">
        <f>INT(A838)-WEEKDAY(A838,2)+1</f>
        <v/>
      </c>
      <c r="E838" s="25" t="inlineStr">
        <is>
          <t>ns</t>
        </is>
      </c>
      <c r="F838" s="25" t="n">
        <v>434</v>
      </c>
      <c r="G838" s="25" t="n">
        <v>1</v>
      </c>
      <c r="H838" s="25" t="n">
        <v>5</v>
      </c>
      <c r="I838" s="25" t="inlineStr">
        <is>
          <t>2 minute(s) and 25 second(s)</t>
        </is>
      </c>
      <c r="J838" s="25">
        <f>IFERROR(VALUE(TRIM(LEFT(I838,FIND("minute",I838)-1)))*60,0)+IFERROR(VALUE(SUBSTITUTE(MID(I838,IFERROR(FIND("and",I838)+3,1),20),"second(s)","")),0)</f>
        <v/>
      </c>
      <c r="K838" s="41">
        <f>J838/60</f>
        <v/>
      </c>
      <c r="L838" s="41">
        <f>IFERROR(J838/H838,"")</f>
        <v/>
      </c>
      <c r="M838" s="25" t="inlineStr">
        <is>
          <t>2.5.12</t>
        </is>
      </c>
      <c r="N838" s="25">
        <f>IF(J838&gt;300,1,0)</f>
        <v/>
      </c>
      <c r="O838" s="25">
        <f>IF(J838&gt;600,1,0)</f>
        <v/>
      </c>
      <c r="P838" s="25">
        <f>IF(H838&gt;0,J838,"")</f>
        <v/>
      </c>
      <c r="Q838" s="25">
        <f>TEXT(A838,"YYYY-MM-DD HH")</f>
        <v/>
      </c>
      <c r="R838" s="25">
        <f>COUNTIF($Q$2:$Q$5295,Q838)</f>
        <v/>
      </c>
      <c r="S838" s="25">
        <f>IF(R838&lt;=2,"1-2",IF(R838&lt;=5,"3-5",IF(R838&lt;=10,"6-10","11+")))</f>
        <v/>
      </c>
    </row>
    <row r="839">
      <c r="A839" s="39" t="n">
        <v>46162.0600462963</v>
      </c>
      <c r="B839" s="25">
        <f>TEXT(A839,"YYYY-MM")</f>
        <v/>
      </c>
      <c r="C839" s="25">
        <f>TEXT(A839,"MMM-YYYY")</f>
        <v/>
      </c>
      <c r="D839" s="40">
        <f>INT(A839)-WEEKDAY(A839,2)+1</f>
        <v/>
      </c>
      <c r="E839" s="25" t="inlineStr">
        <is>
          <t>akumari</t>
        </is>
      </c>
      <c r="F839" s="25" t="n">
        <v>353</v>
      </c>
      <c r="G839" s="25" t="n">
        <v>1</v>
      </c>
      <c r="H839" s="25" t="n">
        <v>7</v>
      </c>
      <c r="I839" s="25" t="inlineStr">
        <is>
          <t>1 minute(s) and 6 second(s)</t>
        </is>
      </c>
      <c r="J839" s="25">
        <f>IFERROR(VALUE(TRIM(LEFT(I839,FIND("minute",I839)-1)))*60,0)+IFERROR(VALUE(SUBSTITUTE(MID(I839,IFERROR(FIND("and",I839)+3,1),20),"second(s)","")),0)</f>
        <v/>
      </c>
      <c r="K839" s="41">
        <f>J839/60</f>
        <v/>
      </c>
      <c r="L839" s="41">
        <f>IFERROR(J839/H839,"")</f>
        <v/>
      </c>
      <c r="M839" s="25" t="inlineStr">
        <is>
          <t>2.5.12</t>
        </is>
      </c>
      <c r="N839" s="25">
        <f>IF(J839&gt;300,1,0)</f>
        <v/>
      </c>
      <c r="O839" s="25">
        <f>IF(J839&gt;600,1,0)</f>
        <v/>
      </c>
      <c r="P839" s="25">
        <f>IF(H839&gt;0,J839,"")</f>
        <v/>
      </c>
      <c r="Q839" s="25">
        <f>TEXT(A839,"YYYY-MM-DD HH")</f>
        <v/>
      </c>
      <c r="R839" s="25">
        <f>COUNTIF($Q$2:$Q$5295,Q839)</f>
        <v/>
      </c>
      <c r="S839" s="25">
        <f>IF(R839&lt;=2,"1-2",IF(R839&lt;=5,"3-5",IF(R839&lt;=10,"6-10","11+")))</f>
        <v/>
      </c>
    </row>
    <row r="840">
      <c r="A840" s="39" t="n">
        <v>46162.06627314815</v>
      </c>
      <c r="B840" s="25">
        <f>TEXT(A840,"YYYY-MM")</f>
        <v/>
      </c>
      <c r="C840" s="25">
        <f>TEXT(A840,"MMM-YYYY")</f>
        <v/>
      </c>
      <c r="D840" s="40">
        <f>INT(A840)-WEEKDAY(A840,2)+1</f>
        <v/>
      </c>
      <c r="E840" s="25" t="inlineStr">
        <is>
          <t>shasikha</t>
        </is>
      </c>
      <c r="F840" s="25" t="n">
        <v>414</v>
      </c>
      <c r="G840" s="25" t="n">
        <v>1</v>
      </c>
      <c r="H840" s="25" t="n">
        <v>5</v>
      </c>
      <c r="I840" s="25" t="inlineStr">
        <is>
          <t>1 minute(s) and 39 second(s)</t>
        </is>
      </c>
      <c r="J840" s="25">
        <f>IFERROR(VALUE(TRIM(LEFT(I840,FIND("minute",I840)-1)))*60,0)+IFERROR(VALUE(SUBSTITUTE(MID(I840,IFERROR(FIND("and",I840)+3,1),20),"second(s)","")),0)</f>
        <v/>
      </c>
      <c r="K840" s="41">
        <f>J840/60</f>
        <v/>
      </c>
      <c r="L840" s="41">
        <f>IFERROR(J840/H840,"")</f>
        <v/>
      </c>
      <c r="M840" s="25" t="inlineStr">
        <is>
          <t>2.5.12</t>
        </is>
      </c>
      <c r="N840" s="25">
        <f>IF(J840&gt;300,1,0)</f>
        <v/>
      </c>
      <c r="O840" s="25">
        <f>IF(J840&gt;600,1,0)</f>
        <v/>
      </c>
      <c r="P840" s="25">
        <f>IF(H840&gt;0,J840,"")</f>
        <v/>
      </c>
      <c r="Q840" s="25">
        <f>TEXT(A840,"YYYY-MM-DD HH")</f>
        <v/>
      </c>
      <c r="R840" s="25">
        <f>COUNTIF($Q$2:$Q$5295,Q840)</f>
        <v/>
      </c>
      <c r="S840" s="25">
        <f>IF(R840&lt;=2,"1-2",IF(R840&lt;=5,"3-5",IF(R840&lt;=10,"6-10","11+")))</f>
        <v/>
      </c>
    </row>
    <row r="841">
      <c r="A841" s="39" t="n">
        <v>46162.06866898148</v>
      </c>
      <c r="B841" s="25">
        <f>TEXT(A841,"YYYY-MM")</f>
        <v/>
      </c>
      <c r="C841" s="25">
        <f>TEXT(A841,"MMM-YYYY")</f>
        <v/>
      </c>
      <c r="D841" s="40">
        <f>INT(A841)-WEEKDAY(A841,2)+1</f>
        <v/>
      </c>
      <c r="E841" s="25" t="inlineStr">
        <is>
          <t>mgupta</t>
        </is>
      </c>
      <c r="F841" s="25" t="n">
        <v>90042</v>
      </c>
      <c r="G841" s="25" t="n">
        <v>1</v>
      </c>
      <c r="H841" s="25" t="n">
        <v>6</v>
      </c>
      <c r="I841" s="25" t="inlineStr">
        <is>
          <t>1 minute(s) and 12 second(s)</t>
        </is>
      </c>
      <c r="J841" s="25">
        <f>IFERROR(VALUE(TRIM(LEFT(I841,FIND("minute",I841)-1)))*60,0)+IFERROR(VALUE(SUBSTITUTE(MID(I841,IFERROR(FIND("and",I841)+3,1),20),"second(s)","")),0)</f>
        <v/>
      </c>
      <c r="K841" s="41">
        <f>J841/60</f>
        <v/>
      </c>
      <c r="L841" s="41">
        <f>IFERROR(J841/H841,"")</f>
        <v/>
      </c>
      <c r="M841" s="25" t="inlineStr">
        <is>
          <t>2.5.12</t>
        </is>
      </c>
      <c r="N841" s="25">
        <f>IF(J841&gt;300,1,0)</f>
        <v/>
      </c>
      <c r="O841" s="25">
        <f>IF(J841&gt;600,1,0)</f>
        <v/>
      </c>
      <c r="P841" s="25">
        <f>IF(H841&gt;0,J841,"")</f>
        <v/>
      </c>
      <c r="Q841" s="25">
        <f>TEXT(A841,"YYYY-MM-DD HH")</f>
        <v/>
      </c>
      <c r="R841" s="25">
        <f>COUNTIF($Q$2:$Q$5295,Q841)</f>
        <v/>
      </c>
      <c r="S841" s="25">
        <f>IF(R841&lt;=2,"1-2",IF(R841&lt;=5,"3-5",IF(R841&lt;=10,"6-10","11+")))</f>
        <v/>
      </c>
    </row>
    <row r="842">
      <c r="A842" s="39" t="n">
        <v>46162.07206018519</v>
      </c>
      <c r="B842" s="25">
        <f>TEXT(A842,"YYYY-MM")</f>
        <v/>
      </c>
      <c r="C842" s="25">
        <f>TEXT(A842,"MMM-YYYY")</f>
        <v/>
      </c>
      <c r="D842" s="40">
        <f>INT(A842)-WEEKDAY(A842,2)+1</f>
        <v/>
      </c>
      <c r="E842" s="25" t="inlineStr">
        <is>
          <t>mgupta</t>
        </is>
      </c>
      <c r="F842" s="25" t="n">
        <v>90042</v>
      </c>
      <c r="G842" s="25" t="n">
        <v>1</v>
      </c>
      <c r="H842" s="25" t="n">
        <v>5</v>
      </c>
      <c r="I842" s="25" t="inlineStr">
        <is>
          <t>7 minute(s) and 10 second(s)</t>
        </is>
      </c>
      <c r="J842" s="25">
        <f>IFERROR(VALUE(TRIM(LEFT(I842,FIND("minute",I842)-1)))*60,0)+IFERROR(VALUE(SUBSTITUTE(MID(I842,IFERROR(FIND("and",I842)+3,1),20),"second(s)","")),0)</f>
        <v/>
      </c>
      <c r="K842" s="41">
        <f>J842/60</f>
        <v/>
      </c>
      <c r="L842" s="41">
        <f>IFERROR(J842/H842,"")</f>
        <v/>
      </c>
      <c r="M842" s="25" t="inlineStr">
        <is>
          <t>2.5.12</t>
        </is>
      </c>
      <c r="N842" s="25">
        <f>IF(J842&gt;300,1,0)</f>
        <v/>
      </c>
      <c r="O842" s="25">
        <f>IF(J842&gt;600,1,0)</f>
        <v/>
      </c>
      <c r="P842" s="25">
        <f>IF(H842&gt;0,J842,"")</f>
        <v/>
      </c>
      <c r="Q842" s="25">
        <f>TEXT(A842,"YYYY-MM-DD HH")</f>
        <v/>
      </c>
      <c r="R842" s="25">
        <f>COUNTIF($Q$2:$Q$5295,Q842)</f>
        <v/>
      </c>
      <c r="S842" s="25">
        <f>IF(R842&lt;=2,"1-2",IF(R842&lt;=5,"3-5",IF(R842&lt;=10,"6-10","11+")))</f>
        <v/>
      </c>
    </row>
    <row r="843">
      <c r="A843" s="39" t="n">
        <v>46162.07385416667</v>
      </c>
      <c r="B843" s="25">
        <f>TEXT(A843,"YYYY-MM")</f>
        <v/>
      </c>
      <c r="C843" s="25">
        <f>TEXT(A843,"MMM-YYYY")</f>
        <v/>
      </c>
      <c r="D843" s="40">
        <f>INT(A843)-WEEKDAY(A843,2)+1</f>
        <v/>
      </c>
      <c r="E843" s="25" t="inlineStr">
        <is>
          <t>mbohra</t>
        </is>
      </c>
      <c r="F843" s="25" t="n">
        <v>114967</v>
      </c>
      <c r="G843" s="25" t="n">
        <v>3</v>
      </c>
      <c r="H843" s="25" t="n">
        <v>13</v>
      </c>
      <c r="I843" s="25" t="inlineStr">
        <is>
          <t>2 minute(s) and 45 second(s)</t>
        </is>
      </c>
      <c r="J843" s="25">
        <f>IFERROR(VALUE(TRIM(LEFT(I843,FIND("minute",I843)-1)))*60,0)+IFERROR(VALUE(SUBSTITUTE(MID(I843,IFERROR(FIND("and",I843)+3,1),20),"second(s)","")),0)</f>
        <v/>
      </c>
      <c r="K843" s="41">
        <f>J843/60</f>
        <v/>
      </c>
      <c r="L843" s="41">
        <f>IFERROR(J843/H843,"")</f>
        <v/>
      </c>
      <c r="M843" s="25" t="inlineStr">
        <is>
          <t>2.5.12</t>
        </is>
      </c>
      <c r="N843" s="25">
        <f>IF(J843&gt;300,1,0)</f>
        <v/>
      </c>
      <c r="O843" s="25">
        <f>IF(J843&gt;600,1,0)</f>
        <v/>
      </c>
      <c r="P843" s="25">
        <f>IF(H843&gt;0,J843,"")</f>
        <v/>
      </c>
      <c r="Q843" s="25">
        <f>TEXT(A843,"YYYY-MM-DD HH")</f>
        <v/>
      </c>
      <c r="R843" s="25">
        <f>COUNTIF($Q$2:$Q$5295,Q843)</f>
        <v/>
      </c>
      <c r="S843" s="25">
        <f>IF(R843&lt;=2,"1-2",IF(R843&lt;=5,"3-5",IF(R843&lt;=10,"6-10","11+")))</f>
        <v/>
      </c>
    </row>
    <row r="844">
      <c r="A844" s="39" t="n">
        <v>46162.07421296297</v>
      </c>
      <c r="B844" s="25">
        <f>TEXT(A844,"YYYY-MM")</f>
        <v/>
      </c>
      <c r="C844" s="25">
        <f>TEXT(A844,"MMM-YYYY")</f>
        <v/>
      </c>
      <c r="D844" s="40">
        <f>INT(A844)-WEEKDAY(A844,2)+1</f>
        <v/>
      </c>
      <c r="E844" s="25" t="inlineStr">
        <is>
          <t>npriya</t>
        </is>
      </c>
      <c r="F844" s="25" t="n">
        <v>84182</v>
      </c>
      <c r="G844" s="25" t="n">
        <v>5</v>
      </c>
      <c r="H844" s="25" t="n">
        <v>19</v>
      </c>
      <c r="I844" s="25" t="inlineStr">
        <is>
          <t>3 minute(s) and 59 second(s)</t>
        </is>
      </c>
      <c r="J844" s="25">
        <f>IFERROR(VALUE(TRIM(LEFT(I844,FIND("minute",I844)-1)))*60,0)+IFERROR(VALUE(SUBSTITUTE(MID(I844,IFERROR(FIND("and",I844)+3,1),20),"second(s)","")),0)</f>
        <v/>
      </c>
      <c r="K844" s="41">
        <f>J844/60</f>
        <v/>
      </c>
      <c r="L844" s="41">
        <f>IFERROR(J844/H844,"")</f>
        <v/>
      </c>
      <c r="M844" s="25" t="inlineStr">
        <is>
          <t>2.5.12</t>
        </is>
      </c>
      <c r="N844" s="25">
        <f>IF(J844&gt;300,1,0)</f>
        <v/>
      </c>
      <c r="O844" s="25">
        <f>IF(J844&gt;600,1,0)</f>
        <v/>
      </c>
      <c r="P844" s="25">
        <f>IF(H844&gt;0,J844,"")</f>
        <v/>
      </c>
      <c r="Q844" s="25">
        <f>TEXT(A844,"YYYY-MM-DD HH")</f>
        <v/>
      </c>
      <c r="R844" s="25">
        <f>COUNTIF($Q$2:$Q$5295,Q844)</f>
        <v/>
      </c>
      <c r="S844" s="25">
        <f>IF(R844&lt;=2,"1-2",IF(R844&lt;=5,"3-5",IF(R844&lt;=10,"6-10","11+")))</f>
        <v/>
      </c>
    </row>
    <row r="845">
      <c r="A845" s="39" t="n">
        <v>46162.07914351852</v>
      </c>
      <c r="B845" s="25">
        <f>TEXT(A845,"YYYY-MM")</f>
        <v/>
      </c>
      <c r="C845" s="25">
        <f>TEXT(A845,"MMM-YYYY")</f>
        <v/>
      </c>
      <c r="D845" s="40">
        <f>INT(A845)-WEEKDAY(A845,2)+1</f>
        <v/>
      </c>
      <c r="E845" s="25" t="inlineStr">
        <is>
          <t>mbhalla</t>
        </is>
      </c>
      <c r="F845" s="25" t="n">
        <v>66</v>
      </c>
      <c r="G845" s="25" t="n">
        <v>2</v>
      </c>
      <c r="H845" s="25" t="n">
        <v>10</v>
      </c>
      <c r="I845" s="25" t="inlineStr">
        <is>
          <t>2 minute(s) and 18 second(s)</t>
        </is>
      </c>
      <c r="J845" s="25">
        <f>IFERROR(VALUE(TRIM(LEFT(I845,FIND("minute",I845)-1)))*60,0)+IFERROR(VALUE(SUBSTITUTE(MID(I845,IFERROR(FIND("and",I845)+3,1),20),"second(s)","")),0)</f>
        <v/>
      </c>
      <c r="K845" s="41">
        <f>J845/60</f>
        <v/>
      </c>
      <c r="L845" s="41">
        <f>IFERROR(J845/H845,"")</f>
        <v/>
      </c>
      <c r="M845" s="25" t="inlineStr">
        <is>
          <t>2.5.12</t>
        </is>
      </c>
      <c r="N845" s="25">
        <f>IF(J845&gt;300,1,0)</f>
        <v/>
      </c>
      <c r="O845" s="25">
        <f>IF(J845&gt;600,1,0)</f>
        <v/>
      </c>
      <c r="P845" s="25">
        <f>IF(H845&gt;0,J845,"")</f>
        <v/>
      </c>
      <c r="Q845" s="25">
        <f>TEXT(A845,"YYYY-MM-DD HH")</f>
        <v/>
      </c>
      <c r="R845" s="25">
        <f>COUNTIF($Q$2:$Q$5295,Q845)</f>
        <v/>
      </c>
      <c r="S845" s="25">
        <f>IF(R845&lt;=2,"1-2",IF(R845&lt;=5,"3-5",IF(R845&lt;=10,"6-10","11+")))</f>
        <v/>
      </c>
    </row>
    <row r="846">
      <c r="A846" s="39" t="n">
        <v>46162.08241898148</v>
      </c>
      <c r="B846" s="25">
        <f>TEXT(A846,"YYYY-MM")</f>
        <v/>
      </c>
      <c r="C846" s="25">
        <f>TEXT(A846,"MMM-YYYY")</f>
        <v/>
      </c>
      <c r="D846" s="40">
        <f>INT(A846)-WEEKDAY(A846,2)+1</f>
        <v/>
      </c>
      <c r="E846" s="25" t="inlineStr">
        <is>
          <t>dbhattacharyya</t>
        </is>
      </c>
      <c r="F846" s="25" t="n">
        <v>84292</v>
      </c>
      <c r="G846" s="25" t="n">
        <v>3</v>
      </c>
      <c r="H846" s="25" t="n">
        <v>11</v>
      </c>
      <c r="I846" s="25" t="inlineStr">
        <is>
          <t>3 minute(s) and 22 second(s)</t>
        </is>
      </c>
      <c r="J846" s="25">
        <f>IFERROR(VALUE(TRIM(LEFT(I846,FIND("minute",I846)-1)))*60,0)+IFERROR(VALUE(SUBSTITUTE(MID(I846,IFERROR(FIND("and",I846)+3,1),20),"second(s)","")),0)</f>
        <v/>
      </c>
      <c r="K846" s="41">
        <f>J846/60</f>
        <v/>
      </c>
      <c r="L846" s="41">
        <f>IFERROR(J846/H846,"")</f>
        <v/>
      </c>
      <c r="M846" s="25" t="inlineStr">
        <is>
          <t>2.5.12</t>
        </is>
      </c>
      <c r="N846" s="25">
        <f>IF(J846&gt;300,1,0)</f>
        <v/>
      </c>
      <c r="O846" s="25">
        <f>IF(J846&gt;600,1,0)</f>
        <v/>
      </c>
      <c r="P846" s="25">
        <f>IF(H846&gt;0,J846,"")</f>
        <v/>
      </c>
      <c r="Q846" s="25">
        <f>TEXT(A846,"YYYY-MM-DD HH")</f>
        <v/>
      </c>
      <c r="R846" s="25">
        <f>COUNTIF($Q$2:$Q$5295,Q846)</f>
        <v/>
      </c>
      <c r="S846" s="25">
        <f>IF(R846&lt;=2,"1-2",IF(R846&lt;=5,"3-5",IF(R846&lt;=10,"6-10","11+")))</f>
        <v/>
      </c>
    </row>
    <row r="847">
      <c r="A847" s="39" t="n">
        <v>46162.08452546296</v>
      </c>
      <c r="B847" s="25">
        <f>TEXT(A847,"YYYY-MM")</f>
        <v/>
      </c>
      <c r="C847" s="25">
        <f>TEXT(A847,"MMM-YYYY")</f>
        <v/>
      </c>
      <c r="D847" s="40">
        <f>INT(A847)-WEEKDAY(A847,2)+1</f>
        <v/>
      </c>
      <c r="E847" s="25" t="inlineStr">
        <is>
          <t>smukhopadhyay</t>
        </is>
      </c>
      <c r="F847" s="25" t="n">
        <v>1707</v>
      </c>
      <c r="G847" s="25" t="n">
        <v>2</v>
      </c>
      <c r="H847" s="25" t="n">
        <v>10</v>
      </c>
      <c r="I847" s="25" t="inlineStr">
        <is>
          <t>4 minute(s) and 21 second(s)</t>
        </is>
      </c>
      <c r="J847" s="25">
        <f>IFERROR(VALUE(TRIM(LEFT(I847,FIND("minute",I847)-1)))*60,0)+IFERROR(VALUE(SUBSTITUTE(MID(I847,IFERROR(FIND("and",I847)+3,1),20),"second(s)","")),0)</f>
        <v/>
      </c>
      <c r="K847" s="41">
        <f>J847/60</f>
        <v/>
      </c>
      <c r="L847" s="41">
        <f>IFERROR(J847/H847,"")</f>
        <v/>
      </c>
      <c r="M847" s="25" t="inlineStr">
        <is>
          <t>2.5.12</t>
        </is>
      </c>
      <c r="N847" s="25">
        <f>IF(J847&gt;300,1,0)</f>
        <v/>
      </c>
      <c r="O847" s="25">
        <f>IF(J847&gt;600,1,0)</f>
        <v/>
      </c>
      <c r="P847" s="25">
        <f>IF(H847&gt;0,J847,"")</f>
        <v/>
      </c>
      <c r="Q847" s="25">
        <f>TEXT(A847,"YYYY-MM-DD HH")</f>
        <v/>
      </c>
      <c r="R847" s="25">
        <f>COUNTIF($Q$2:$Q$5295,Q847)</f>
        <v/>
      </c>
      <c r="S847" s="25">
        <f>IF(R847&lt;=2,"1-2",IF(R847&lt;=5,"3-5",IF(R847&lt;=10,"6-10","11+")))</f>
        <v/>
      </c>
    </row>
    <row r="848">
      <c r="A848" s="39" t="n">
        <v>46162.08515046296</v>
      </c>
      <c r="B848" s="25">
        <f>TEXT(A848,"YYYY-MM")</f>
        <v/>
      </c>
      <c r="C848" s="25">
        <f>TEXT(A848,"MMM-YYYY")</f>
        <v/>
      </c>
      <c r="D848" s="40">
        <f>INT(A848)-WEEKDAY(A848,2)+1</f>
        <v/>
      </c>
      <c r="E848" s="25" t="inlineStr">
        <is>
          <t>akumari</t>
        </is>
      </c>
      <c r="F848" s="25" t="n">
        <v>354</v>
      </c>
      <c r="G848" s="25" t="n">
        <v>1</v>
      </c>
      <c r="H848" s="25" t="n">
        <v>5</v>
      </c>
      <c r="I848" s="25" t="inlineStr">
        <is>
          <t>43 second(s)</t>
        </is>
      </c>
      <c r="J848" s="25">
        <f>IFERROR(VALUE(TRIM(LEFT(I848,FIND("minute",I848)-1)))*60,0)+IFERROR(VALUE(SUBSTITUTE(MID(I848,IFERROR(FIND("and",I848)+3,1),20),"second(s)","")),0)</f>
        <v/>
      </c>
      <c r="K848" s="41">
        <f>J848/60</f>
        <v/>
      </c>
      <c r="L848" s="41">
        <f>IFERROR(J848/H848,"")</f>
        <v/>
      </c>
      <c r="M848" s="25" t="inlineStr">
        <is>
          <t>2.5.12</t>
        </is>
      </c>
      <c r="N848" s="25">
        <f>IF(J848&gt;300,1,0)</f>
        <v/>
      </c>
      <c r="O848" s="25">
        <f>IF(J848&gt;600,1,0)</f>
        <v/>
      </c>
      <c r="P848" s="25">
        <f>IF(H848&gt;0,J848,"")</f>
        <v/>
      </c>
      <c r="Q848" s="25">
        <f>TEXT(A848,"YYYY-MM-DD HH")</f>
        <v/>
      </c>
      <c r="R848" s="25">
        <f>COUNTIF($Q$2:$Q$5295,Q848)</f>
        <v/>
      </c>
      <c r="S848" s="25">
        <f>IF(R848&lt;=2,"1-2",IF(R848&lt;=5,"3-5",IF(R848&lt;=10,"6-10","11+")))</f>
        <v/>
      </c>
    </row>
    <row r="849">
      <c r="A849" s="39" t="n">
        <v>46162.08854166666</v>
      </c>
      <c r="B849" s="25">
        <f>TEXT(A849,"YYYY-MM")</f>
        <v/>
      </c>
      <c r="C849" s="25">
        <f>TEXT(A849,"MMM-YYYY")</f>
        <v/>
      </c>
      <c r="D849" s="40">
        <f>INT(A849)-WEEKDAY(A849,2)+1</f>
        <v/>
      </c>
      <c r="E849" s="25" t="inlineStr">
        <is>
          <t>psathwika</t>
        </is>
      </c>
      <c r="F849" s="25" t="n">
        <v>14598</v>
      </c>
      <c r="G849" s="25" t="n">
        <v>2</v>
      </c>
      <c r="H849" s="25" t="n">
        <v>13</v>
      </c>
      <c r="I849" s="25" t="inlineStr">
        <is>
          <t>9 minute(s) and 51 second(s)</t>
        </is>
      </c>
      <c r="J849" s="25">
        <f>IFERROR(VALUE(TRIM(LEFT(I849,FIND("minute",I849)-1)))*60,0)+IFERROR(VALUE(SUBSTITUTE(MID(I849,IFERROR(FIND("and",I849)+3,1),20),"second(s)","")),0)</f>
        <v/>
      </c>
      <c r="K849" s="41">
        <f>J849/60</f>
        <v/>
      </c>
      <c r="L849" s="41">
        <f>IFERROR(J849/H849,"")</f>
        <v/>
      </c>
      <c r="M849" s="25" t="inlineStr">
        <is>
          <t>2.5.12</t>
        </is>
      </c>
      <c r="N849" s="25">
        <f>IF(J849&gt;300,1,0)</f>
        <v/>
      </c>
      <c r="O849" s="25">
        <f>IF(J849&gt;600,1,0)</f>
        <v/>
      </c>
      <c r="P849" s="25">
        <f>IF(H849&gt;0,J849,"")</f>
        <v/>
      </c>
      <c r="Q849" s="25">
        <f>TEXT(A849,"YYYY-MM-DD HH")</f>
        <v/>
      </c>
      <c r="R849" s="25">
        <f>COUNTIF($Q$2:$Q$5295,Q849)</f>
        <v/>
      </c>
      <c r="S849" s="25">
        <f>IF(R849&lt;=2,"1-2",IF(R849&lt;=5,"3-5",IF(R849&lt;=10,"6-10","11+")))</f>
        <v/>
      </c>
    </row>
    <row r="850">
      <c r="A850" s="39" t="n">
        <v>46162.08885416666</v>
      </c>
      <c r="B850" s="25">
        <f>TEXT(A850,"YYYY-MM")</f>
        <v/>
      </c>
      <c r="C850" s="25">
        <f>TEXT(A850,"MMM-YYYY")</f>
        <v/>
      </c>
      <c r="D850" s="40">
        <f>INT(A850)-WEEKDAY(A850,2)+1</f>
        <v/>
      </c>
      <c r="E850" s="25" t="inlineStr">
        <is>
          <t>ptomar</t>
        </is>
      </c>
      <c r="F850" s="25" t="n">
        <v>132</v>
      </c>
      <c r="G850" s="25" t="n">
        <v>1</v>
      </c>
      <c r="H850" s="25" t="n">
        <v>5</v>
      </c>
      <c r="I850" s="25" t="inlineStr">
        <is>
          <t>41 second(s)</t>
        </is>
      </c>
      <c r="J850" s="25">
        <f>IFERROR(VALUE(TRIM(LEFT(I850,FIND("minute",I850)-1)))*60,0)+IFERROR(VALUE(SUBSTITUTE(MID(I850,IFERROR(FIND("and",I850)+3,1),20),"second(s)","")),0)</f>
        <v/>
      </c>
      <c r="K850" s="41">
        <f>J850/60</f>
        <v/>
      </c>
      <c r="L850" s="41">
        <f>IFERROR(J850/H850,"")</f>
        <v/>
      </c>
      <c r="M850" s="25" t="inlineStr">
        <is>
          <t>2.5.12</t>
        </is>
      </c>
      <c r="N850" s="25">
        <f>IF(J850&gt;300,1,0)</f>
        <v/>
      </c>
      <c r="O850" s="25">
        <f>IF(J850&gt;600,1,0)</f>
        <v/>
      </c>
      <c r="P850" s="25">
        <f>IF(H850&gt;0,J850,"")</f>
        <v/>
      </c>
      <c r="Q850" s="25">
        <f>TEXT(A850,"YYYY-MM-DD HH")</f>
        <v/>
      </c>
      <c r="R850" s="25">
        <f>COUNTIF($Q$2:$Q$5295,Q850)</f>
        <v/>
      </c>
      <c r="S850" s="25">
        <f>IF(R850&lt;=2,"1-2",IF(R850&lt;=5,"3-5",IF(R850&lt;=10,"6-10","11+")))</f>
        <v/>
      </c>
    </row>
    <row r="851">
      <c r="A851" s="39" t="n">
        <v>46162.09039351852</v>
      </c>
      <c r="B851" s="25">
        <f>TEXT(A851,"YYYY-MM")</f>
        <v/>
      </c>
      <c r="C851" s="25">
        <f>TEXT(A851,"MMM-YYYY")</f>
        <v/>
      </c>
      <c r="D851" s="40">
        <f>INT(A851)-WEEKDAY(A851,2)+1</f>
        <v/>
      </c>
      <c r="E851" s="25" t="inlineStr">
        <is>
          <t>shasikha</t>
        </is>
      </c>
      <c r="F851" s="25" t="n">
        <v>415</v>
      </c>
      <c r="G851" s="25" t="n">
        <v>1</v>
      </c>
      <c r="H851" s="25" t="n">
        <v>7</v>
      </c>
      <c r="I851" s="25" t="inlineStr">
        <is>
          <t>3 minute(s) and 32 second(s)</t>
        </is>
      </c>
      <c r="J851" s="25">
        <f>IFERROR(VALUE(TRIM(LEFT(I851,FIND("minute",I851)-1)))*60,0)+IFERROR(VALUE(SUBSTITUTE(MID(I851,IFERROR(FIND("and",I851)+3,1),20),"second(s)","")),0)</f>
        <v/>
      </c>
      <c r="K851" s="41">
        <f>J851/60</f>
        <v/>
      </c>
      <c r="L851" s="41">
        <f>IFERROR(J851/H851,"")</f>
        <v/>
      </c>
      <c r="M851" s="25" t="inlineStr">
        <is>
          <t>2.5.12</t>
        </is>
      </c>
      <c r="N851" s="25">
        <f>IF(J851&gt;300,1,0)</f>
        <v/>
      </c>
      <c r="O851" s="25">
        <f>IF(J851&gt;600,1,0)</f>
        <v/>
      </c>
      <c r="P851" s="25">
        <f>IF(H851&gt;0,J851,"")</f>
        <v/>
      </c>
      <c r="Q851" s="25">
        <f>TEXT(A851,"YYYY-MM-DD HH")</f>
        <v/>
      </c>
      <c r="R851" s="25">
        <f>COUNTIF($Q$2:$Q$5295,Q851)</f>
        <v/>
      </c>
      <c r="S851" s="25">
        <f>IF(R851&lt;=2,"1-2",IF(R851&lt;=5,"3-5",IF(R851&lt;=10,"6-10","11+")))</f>
        <v/>
      </c>
    </row>
    <row r="852">
      <c r="A852" s="39" t="n">
        <v>46162.09513888889</v>
      </c>
      <c r="B852" s="25">
        <f>TEXT(A852,"YYYY-MM")</f>
        <v/>
      </c>
      <c r="C852" s="25">
        <f>TEXT(A852,"MMM-YYYY")</f>
        <v/>
      </c>
      <c r="D852" s="40">
        <f>INT(A852)-WEEKDAY(A852,2)+1</f>
        <v/>
      </c>
      <c r="E852" s="25" t="inlineStr">
        <is>
          <t>ethomas</t>
        </is>
      </c>
      <c r="F852" s="25" t="n">
        <v>620</v>
      </c>
      <c r="G852" s="25" t="n">
        <v>2</v>
      </c>
      <c r="H852" s="25" t="n">
        <v>10</v>
      </c>
      <c r="I852" s="25" t="inlineStr">
        <is>
          <t>3 minute(s) and 19 second(s)</t>
        </is>
      </c>
      <c r="J852" s="25">
        <f>IFERROR(VALUE(TRIM(LEFT(I852,FIND("minute",I852)-1)))*60,0)+IFERROR(VALUE(SUBSTITUTE(MID(I852,IFERROR(FIND("and",I852)+3,1),20),"second(s)","")),0)</f>
        <v/>
      </c>
      <c r="K852" s="41">
        <f>J852/60</f>
        <v/>
      </c>
      <c r="L852" s="41">
        <f>IFERROR(J852/H852,"")</f>
        <v/>
      </c>
      <c r="M852" s="25" t="inlineStr">
        <is>
          <t>2.5.12</t>
        </is>
      </c>
      <c r="N852" s="25">
        <f>IF(J852&gt;300,1,0)</f>
        <v/>
      </c>
      <c r="O852" s="25">
        <f>IF(J852&gt;600,1,0)</f>
        <v/>
      </c>
      <c r="P852" s="25">
        <f>IF(H852&gt;0,J852,"")</f>
        <v/>
      </c>
      <c r="Q852" s="25">
        <f>TEXT(A852,"YYYY-MM-DD HH")</f>
        <v/>
      </c>
      <c r="R852" s="25">
        <f>COUNTIF($Q$2:$Q$5295,Q852)</f>
        <v/>
      </c>
      <c r="S852" s="25">
        <f>IF(R852&lt;=2,"1-2",IF(R852&lt;=5,"3-5",IF(R852&lt;=10,"6-10","11+")))</f>
        <v/>
      </c>
    </row>
    <row r="853">
      <c r="A853" s="39" t="n">
        <v>46162.09915509259</v>
      </c>
      <c r="B853" s="25">
        <f>TEXT(A853,"YYYY-MM")</f>
        <v/>
      </c>
      <c r="C853" s="25">
        <f>TEXT(A853,"MMM-YYYY")</f>
        <v/>
      </c>
      <c r="D853" s="40">
        <f>INT(A853)-WEEKDAY(A853,2)+1</f>
        <v/>
      </c>
      <c r="E853" s="25" t="inlineStr">
        <is>
          <t>aupadhayay</t>
        </is>
      </c>
      <c r="F853" s="25" t="n">
        <v>86326</v>
      </c>
      <c r="G853" s="25" t="n">
        <v>3</v>
      </c>
      <c r="H853" s="25" t="n">
        <v>13</v>
      </c>
      <c r="I853" s="25" t="inlineStr">
        <is>
          <t>3 minute(s) and 56 second(s)</t>
        </is>
      </c>
      <c r="J853" s="25">
        <f>IFERROR(VALUE(TRIM(LEFT(I853,FIND("minute",I853)-1)))*60,0)+IFERROR(VALUE(SUBSTITUTE(MID(I853,IFERROR(FIND("and",I853)+3,1),20),"second(s)","")),0)</f>
        <v/>
      </c>
      <c r="K853" s="41">
        <f>J853/60</f>
        <v/>
      </c>
      <c r="L853" s="41">
        <f>IFERROR(J853/H853,"")</f>
        <v/>
      </c>
      <c r="M853" s="25" t="inlineStr">
        <is>
          <t>2.5.12</t>
        </is>
      </c>
      <c r="N853" s="25">
        <f>IF(J853&gt;300,1,0)</f>
        <v/>
      </c>
      <c r="O853" s="25">
        <f>IF(J853&gt;600,1,0)</f>
        <v/>
      </c>
      <c r="P853" s="25">
        <f>IF(H853&gt;0,J853,"")</f>
        <v/>
      </c>
      <c r="Q853" s="25">
        <f>TEXT(A853,"YYYY-MM-DD HH")</f>
        <v/>
      </c>
      <c r="R853" s="25">
        <f>COUNTIF($Q$2:$Q$5295,Q853)</f>
        <v/>
      </c>
      <c r="S853" s="25">
        <f>IF(R853&lt;=2,"1-2",IF(R853&lt;=5,"3-5",IF(R853&lt;=10,"6-10","11+")))</f>
        <v/>
      </c>
    </row>
    <row r="854">
      <c r="A854" s="39" t="n">
        <v>46162.10060185185</v>
      </c>
      <c r="B854" s="25">
        <f>TEXT(A854,"YYYY-MM")</f>
        <v/>
      </c>
      <c r="C854" s="25">
        <f>TEXT(A854,"MMM-YYYY")</f>
        <v/>
      </c>
      <c r="D854" s="40">
        <f>INT(A854)-WEEKDAY(A854,2)+1</f>
        <v/>
      </c>
      <c r="E854" s="25" t="inlineStr">
        <is>
          <t>hdutt</t>
        </is>
      </c>
      <c r="F854" s="25" t="n">
        <v>108264</v>
      </c>
      <c r="G854" s="25" t="n">
        <v>5</v>
      </c>
      <c r="H854" s="25" t="n">
        <v>21</v>
      </c>
      <c r="I854" s="25" t="inlineStr">
        <is>
          <t>5 minute(s) and 3 second(s)</t>
        </is>
      </c>
      <c r="J854" s="25">
        <f>IFERROR(VALUE(TRIM(LEFT(I854,FIND("minute",I854)-1)))*60,0)+IFERROR(VALUE(SUBSTITUTE(MID(I854,IFERROR(FIND("and",I854)+3,1),20),"second(s)","")),0)</f>
        <v/>
      </c>
      <c r="K854" s="41">
        <f>J854/60</f>
        <v/>
      </c>
      <c r="L854" s="41">
        <f>IFERROR(J854/H854,"")</f>
        <v/>
      </c>
      <c r="M854" s="25" t="inlineStr">
        <is>
          <t>2.5.12</t>
        </is>
      </c>
      <c r="N854" s="25">
        <f>IF(J854&gt;300,1,0)</f>
        <v/>
      </c>
      <c r="O854" s="25">
        <f>IF(J854&gt;600,1,0)</f>
        <v/>
      </c>
      <c r="P854" s="25">
        <f>IF(H854&gt;0,J854,"")</f>
        <v/>
      </c>
      <c r="Q854" s="25">
        <f>TEXT(A854,"YYYY-MM-DD HH")</f>
        <v/>
      </c>
      <c r="R854" s="25">
        <f>COUNTIF($Q$2:$Q$5295,Q854)</f>
        <v/>
      </c>
      <c r="S854" s="25">
        <f>IF(R854&lt;=2,"1-2",IF(R854&lt;=5,"3-5",IF(R854&lt;=10,"6-10","11+")))</f>
        <v/>
      </c>
    </row>
    <row r="855">
      <c r="A855" s="39" t="n">
        <v>46162.10085648148</v>
      </c>
      <c r="B855" s="25">
        <f>TEXT(A855,"YYYY-MM")</f>
        <v/>
      </c>
      <c r="C855" s="25">
        <f>TEXT(A855,"MMM-YYYY")</f>
        <v/>
      </c>
      <c r="D855" s="40">
        <f>INT(A855)-WEEKDAY(A855,2)+1</f>
        <v/>
      </c>
      <c r="E855" s="25" t="inlineStr">
        <is>
          <t>ns</t>
        </is>
      </c>
      <c r="F855" s="25" t="n">
        <v>435</v>
      </c>
      <c r="G855" s="25" t="n">
        <v>4</v>
      </c>
      <c r="H855" s="25" t="n">
        <v>14</v>
      </c>
      <c r="I855" s="25" t="inlineStr">
        <is>
          <t>4 minute(s) and 31 second(s)</t>
        </is>
      </c>
      <c r="J855" s="25">
        <f>IFERROR(VALUE(TRIM(LEFT(I855,FIND("minute",I855)-1)))*60,0)+IFERROR(VALUE(SUBSTITUTE(MID(I855,IFERROR(FIND("and",I855)+3,1),20),"second(s)","")),0)</f>
        <v/>
      </c>
      <c r="K855" s="41">
        <f>J855/60</f>
        <v/>
      </c>
      <c r="L855" s="41">
        <f>IFERROR(J855/H855,"")</f>
        <v/>
      </c>
      <c r="M855" s="25" t="inlineStr">
        <is>
          <t>2.5.12</t>
        </is>
      </c>
      <c r="N855" s="25">
        <f>IF(J855&gt;300,1,0)</f>
        <v/>
      </c>
      <c r="O855" s="25">
        <f>IF(J855&gt;600,1,0)</f>
        <v/>
      </c>
      <c r="P855" s="25">
        <f>IF(H855&gt;0,J855,"")</f>
        <v/>
      </c>
      <c r="Q855" s="25">
        <f>TEXT(A855,"YYYY-MM-DD HH")</f>
        <v/>
      </c>
      <c r="R855" s="25">
        <f>COUNTIF($Q$2:$Q$5295,Q855)</f>
        <v/>
      </c>
      <c r="S855" s="25">
        <f>IF(R855&lt;=2,"1-2",IF(R855&lt;=5,"3-5",IF(R855&lt;=10,"6-10","11+")))</f>
        <v/>
      </c>
    </row>
    <row r="856">
      <c r="A856" s="39" t="n">
        <v>46162.10136574074</v>
      </c>
      <c r="B856" s="25">
        <f>TEXT(A856,"YYYY-MM")</f>
        <v/>
      </c>
      <c r="C856" s="25">
        <f>TEXT(A856,"MMM-YYYY")</f>
        <v/>
      </c>
      <c r="D856" s="40">
        <f>INT(A856)-WEEKDAY(A856,2)+1</f>
        <v/>
      </c>
      <c r="E856" s="25" t="inlineStr">
        <is>
          <t>nbindu</t>
        </is>
      </c>
      <c r="F856" s="25" t="n">
        <v>402</v>
      </c>
      <c r="G856" s="25" t="n">
        <v>1</v>
      </c>
      <c r="H856" s="25" t="n">
        <v>5</v>
      </c>
      <c r="I856" s="25" t="inlineStr">
        <is>
          <t>3 minute(s) and 23 second(s)</t>
        </is>
      </c>
      <c r="J856" s="25">
        <f>IFERROR(VALUE(TRIM(LEFT(I856,FIND("minute",I856)-1)))*60,0)+IFERROR(VALUE(SUBSTITUTE(MID(I856,IFERROR(FIND("and",I856)+3,1),20),"second(s)","")),0)</f>
        <v/>
      </c>
      <c r="K856" s="41">
        <f>J856/60</f>
        <v/>
      </c>
      <c r="L856" s="41">
        <f>IFERROR(J856/H856,"")</f>
        <v/>
      </c>
      <c r="M856" s="25" t="inlineStr">
        <is>
          <t>2.5.12</t>
        </is>
      </c>
      <c r="N856" s="25">
        <f>IF(J856&gt;300,1,0)</f>
        <v/>
      </c>
      <c r="O856" s="25">
        <f>IF(J856&gt;600,1,0)</f>
        <v/>
      </c>
      <c r="P856" s="25">
        <f>IF(H856&gt;0,J856,"")</f>
        <v/>
      </c>
      <c r="Q856" s="25">
        <f>TEXT(A856,"YYYY-MM-DD HH")</f>
        <v/>
      </c>
      <c r="R856" s="25">
        <f>COUNTIF($Q$2:$Q$5295,Q856)</f>
        <v/>
      </c>
      <c r="S856" s="25">
        <f>IF(R856&lt;=2,"1-2",IF(R856&lt;=5,"3-5",IF(R856&lt;=10,"6-10","11+")))</f>
        <v/>
      </c>
    </row>
    <row r="857">
      <c r="A857" s="39" t="n">
        <v>46162.10722222222</v>
      </c>
      <c r="B857" s="25">
        <f>TEXT(A857,"YYYY-MM")</f>
        <v/>
      </c>
      <c r="C857" s="25">
        <f>TEXT(A857,"MMM-YYYY")</f>
        <v/>
      </c>
      <c r="D857" s="40">
        <f>INT(A857)-WEEKDAY(A857,2)+1</f>
        <v/>
      </c>
      <c r="E857" s="25" t="inlineStr">
        <is>
          <t>atiwari</t>
        </is>
      </c>
      <c r="F857" s="25" t="n">
        <v>104356</v>
      </c>
      <c r="G857" s="25" t="n">
        <v>3</v>
      </c>
      <c r="H857" s="25" t="n">
        <v>15</v>
      </c>
      <c r="I857" s="25" t="inlineStr">
        <is>
          <t>4 minute(s) and 15 second(s)</t>
        </is>
      </c>
      <c r="J857" s="25">
        <f>IFERROR(VALUE(TRIM(LEFT(I857,FIND("minute",I857)-1)))*60,0)+IFERROR(VALUE(SUBSTITUTE(MID(I857,IFERROR(FIND("and",I857)+3,1),20),"second(s)","")),0)</f>
        <v/>
      </c>
      <c r="K857" s="41">
        <f>J857/60</f>
        <v/>
      </c>
      <c r="L857" s="41">
        <f>IFERROR(J857/H857,"")</f>
        <v/>
      </c>
      <c r="M857" s="25" t="inlineStr">
        <is>
          <t>2.5.12</t>
        </is>
      </c>
      <c r="N857" s="25">
        <f>IF(J857&gt;300,1,0)</f>
        <v/>
      </c>
      <c r="O857" s="25">
        <f>IF(J857&gt;600,1,0)</f>
        <v/>
      </c>
      <c r="P857" s="25">
        <f>IF(H857&gt;0,J857,"")</f>
        <v/>
      </c>
      <c r="Q857" s="25">
        <f>TEXT(A857,"YYYY-MM-DD HH")</f>
        <v/>
      </c>
      <c r="R857" s="25">
        <f>COUNTIF($Q$2:$Q$5295,Q857)</f>
        <v/>
      </c>
      <c r="S857" s="25">
        <f>IF(R857&lt;=2,"1-2",IF(R857&lt;=5,"3-5",IF(R857&lt;=10,"6-10","11+")))</f>
        <v/>
      </c>
    </row>
    <row r="858">
      <c r="A858" s="39" t="n">
        <v>46162.10909722222</v>
      </c>
      <c r="B858" s="25">
        <f>TEXT(A858,"YYYY-MM")</f>
        <v/>
      </c>
      <c r="C858" s="25">
        <f>TEXT(A858,"MMM-YYYY")</f>
        <v/>
      </c>
      <c r="D858" s="40">
        <f>INT(A858)-WEEKDAY(A858,2)+1</f>
        <v/>
      </c>
      <c r="E858" s="25" t="inlineStr">
        <is>
          <t>ssrinivasan</t>
        </is>
      </c>
      <c r="F858" s="25" t="n">
        <v>1581</v>
      </c>
      <c r="G858" s="25" t="n">
        <v>2</v>
      </c>
      <c r="H858" s="25" t="n">
        <v>8</v>
      </c>
      <c r="I858" s="25" t="inlineStr">
        <is>
          <t>1 minute(s) and 44 second(s)</t>
        </is>
      </c>
      <c r="J858" s="25">
        <f>IFERROR(VALUE(TRIM(LEFT(I858,FIND("minute",I858)-1)))*60,0)+IFERROR(VALUE(SUBSTITUTE(MID(I858,IFERROR(FIND("and",I858)+3,1),20),"second(s)","")),0)</f>
        <v/>
      </c>
      <c r="K858" s="41">
        <f>J858/60</f>
        <v/>
      </c>
      <c r="L858" s="41">
        <f>IFERROR(J858/H858,"")</f>
        <v/>
      </c>
      <c r="M858" s="25" t="inlineStr">
        <is>
          <t>2.5.12</t>
        </is>
      </c>
      <c r="N858" s="25">
        <f>IF(J858&gt;300,1,0)</f>
        <v/>
      </c>
      <c r="O858" s="25">
        <f>IF(J858&gt;600,1,0)</f>
        <v/>
      </c>
      <c r="P858" s="25">
        <f>IF(H858&gt;0,J858,"")</f>
        <v/>
      </c>
      <c r="Q858" s="25">
        <f>TEXT(A858,"YYYY-MM-DD HH")</f>
        <v/>
      </c>
      <c r="R858" s="25">
        <f>COUNTIF($Q$2:$Q$5295,Q858)</f>
        <v/>
      </c>
      <c r="S858" s="25">
        <f>IF(R858&lt;=2,"1-2",IF(R858&lt;=5,"3-5",IF(R858&lt;=10,"6-10","11+")))</f>
        <v/>
      </c>
    </row>
    <row r="859">
      <c r="A859" s="39" t="n">
        <v>46162.11114583333</v>
      </c>
      <c r="B859" s="25">
        <f>TEXT(A859,"YYYY-MM")</f>
        <v/>
      </c>
      <c r="C859" s="25">
        <f>TEXT(A859,"MMM-YYYY")</f>
        <v/>
      </c>
      <c r="D859" s="40">
        <f>INT(A859)-WEEKDAY(A859,2)+1</f>
        <v/>
      </c>
      <c r="E859" s="25" t="inlineStr">
        <is>
          <t>anusharma</t>
        </is>
      </c>
      <c r="F859" s="25" t="n">
        <v>107469</v>
      </c>
      <c r="G859" s="25" t="n">
        <v>5</v>
      </c>
      <c r="H859" s="25" t="n">
        <v>20</v>
      </c>
      <c r="I859" s="25" t="inlineStr">
        <is>
          <t>4 minute(s) and 52 second(s)</t>
        </is>
      </c>
      <c r="J859" s="25">
        <f>IFERROR(VALUE(TRIM(LEFT(I859,FIND("minute",I859)-1)))*60,0)+IFERROR(VALUE(SUBSTITUTE(MID(I859,IFERROR(FIND("and",I859)+3,1),20),"second(s)","")),0)</f>
        <v/>
      </c>
      <c r="K859" s="41">
        <f>J859/60</f>
        <v/>
      </c>
      <c r="L859" s="41">
        <f>IFERROR(J859/H859,"")</f>
        <v/>
      </c>
      <c r="M859" s="25" t="inlineStr">
        <is>
          <t>2.5.12</t>
        </is>
      </c>
      <c r="N859" s="25">
        <f>IF(J859&gt;300,1,0)</f>
        <v/>
      </c>
      <c r="O859" s="25">
        <f>IF(J859&gt;600,1,0)</f>
        <v/>
      </c>
      <c r="P859" s="25">
        <f>IF(H859&gt;0,J859,"")</f>
        <v/>
      </c>
      <c r="Q859" s="25">
        <f>TEXT(A859,"YYYY-MM-DD HH")</f>
        <v/>
      </c>
      <c r="R859" s="25">
        <f>COUNTIF($Q$2:$Q$5295,Q859)</f>
        <v/>
      </c>
      <c r="S859" s="25">
        <f>IF(R859&lt;=2,"1-2",IF(R859&lt;=5,"3-5",IF(R859&lt;=10,"6-10","11+")))</f>
        <v/>
      </c>
    </row>
    <row r="860">
      <c r="A860" s="39" t="n">
        <v>46162.11201388889</v>
      </c>
      <c r="B860" s="25">
        <f>TEXT(A860,"YYYY-MM")</f>
        <v/>
      </c>
      <c r="C860" s="25">
        <f>TEXT(A860,"MMM-YYYY")</f>
        <v/>
      </c>
      <c r="D860" s="40">
        <f>INT(A860)-WEEKDAY(A860,2)+1</f>
        <v/>
      </c>
      <c r="E860" s="25" t="inlineStr">
        <is>
          <t>stiwari</t>
        </is>
      </c>
      <c r="F860" s="25" t="n">
        <v>114699</v>
      </c>
      <c r="G860" s="25" t="n">
        <v>5</v>
      </c>
      <c r="H860" s="25" t="n">
        <v>21</v>
      </c>
      <c r="I860" s="25" t="inlineStr">
        <is>
          <t>5 minute(s) and 17 second(s)</t>
        </is>
      </c>
      <c r="J860" s="25">
        <f>IFERROR(VALUE(TRIM(LEFT(I860,FIND("minute",I860)-1)))*60,0)+IFERROR(VALUE(SUBSTITUTE(MID(I860,IFERROR(FIND("and",I860)+3,1),20),"second(s)","")),0)</f>
        <v/>
      </c>
      <c r="K860" s="41">
        <f>J860/60</f>
        <v/>
      </c>
      <c r="L860" s="41">
        <f>IFERROR(J860/H860,"")</f>
        <v/>
      </c>
      <c r="M860" s="25" t="inlineStr">
        <is>
          <t>2.5.12</t>
        </is>
      </c>
      <c r="N860" s="25">
        <f>IF(J860&gt;300,1,0)</f>
        <v/>
      </c>
      <c r="O860" s="25">
        <f>IF(J860&gt;600,1,0)</f>
        <v/>
      </c>
      <c r="P860" s="25">
        <f>IF(H860&gt;0,J860,"")</f>
        <v/>
      </c>
      <c r="Q860" s="25">
        <f>TEXT(A860,"YYYY-MM-DD HH")</f>
        <v/>
      </c>
      <c r="R860" s="25">
        <f>COUNTIF($Q$2:$Q$5295,Q860)</f>
        <v/>
      </c>
      <c r="S860" s="25">
        <f>IF(R860&lt;=2,"1-2",IF(R860&lt;=5,"3-5",IF(R860&lt;=10,"6-10","11+")))</f>
        <v/>
      </c>
    </row>
    <row r="861">
      <c r="A861" s="39" t="n">
        <v>46162.1124537037</v>
      </c>
      <c r="B861" s="25">
        <f>TEXT(A861,"YYYY-MM")</f>
        <v/>
      </c>
      <c r="C861" s="25">
        <f>TEXT(A861,"MMM-YYYY")</f>
        <v/>
      </c>
      <c r="D861" s="40">
        <f>INT(A861)-WEEKDAY(A861,2)+1</f>
        <v/>
      </c>
      <c r="E861" s="25" t="inlineStr">
        <is>
          <t>npriya</t>
        </is>
      </c>
      <c r="F861" s="25" t="n">
        <v>114786</v>
      </c>
      <c r="G861" s="25" t="n">
        <v>4</v>
      </c>
      <c r="H861" s="25" t="n">
        <v>16</v>
      </c>
      <c r="I861" s="25" t="inlineStr">
        <is>
          <t>4 minute(s) and 32 second(s)</t>
        </is>
      </c>
      <c r="J861" s="25">
        <f>IFERROR(VALUE(TRIM(LEFT(I861,FIND("minute",I861)-1)))*60,0)+IFERROR(VALUE(SUBSTITUTE(MID(I861,IFERROR(FIND("and",I861)+3,1),20),"second(s)","")),0)</f>
        <v/>
      </c>
      <c r="K861" s="41">
        <f>J861/60</f>
        <v/>
      </c>
      <c r="L861" s="41">
        <f>IFERROR(J861/H861,"")</f>
        <v/>
      </c>
      <c r="M861" s="25" t="inlineStr">
        <is>
          <t>2.5.12</t>
        </is>
      </c>
      <c r="N861" s="25">
        <f>IF(J861&gt;300,1,0)</f>
        <v/>
      </c>
      <c r="O861" s="25">
        <f>IF(J861&gt;600,1,0)</f>
        <v/>
      </c>
      <c r="P861" s="25">
        <f>IF(H861&gt;0,J861,"")</f>
        <v/>
      </c>
      <c r="Q861" s="25">
        <f>TEXT(A861,"YYYY-MM-DD HH")</f>
        <v/>
      </c>
      <c r="R861" s="25">
        <f>COUNTIF($Q$2:$Q$5295,Q861)</f>
        <v/>
      </c>
      <c r="S861" s="25">
        <f>IF(R861&lt;=2,"1-2",IF(R861&lt;=5,"3-5",IF(R861&lt;=10,"6-10","11+")))</f>
        <v/>
      </c>
    </row>
    <row r="862">
      <c r="A862" s="39" t="n">
        <v>46162.11716435185</v>
      </c>
      <c r="B862" s="25">
        <f>TEXT(A862,"YYYY-MM")</f>
        <v/>
      </c>
      <c r="C862" s="25">
        <f>TEXT(A862,"MMM-YYYY")</f>
        <v/>
      </c>
      <c r="D862" s="40">
        <f>INT(A862)-WEEKDAY(A862,2)+1</f>
        <v/>
      </c>
      <c r="E862" s="25" t="inlineStr">
        <is>
          <t>ptomar</t>
        </is>
      </c>
      <c r="F862" s="25" t="n">
        <v>105</v>
      </c>
      <c r="G862" s="25" t="n">
        <v>1</v>
      </c>
      <c r="H862" s="25" t="n">
        <v>7</v>
      </c>
      <c r="I862" s="25" t="inlineStr">
        <is>
          <t>1 minute(s) and 24 second(s)</t>
        </is>
      </c>
      <c r="J862" s="25">
        <f>IFERROR(VALUE(TRIM(LEFT(I862,FIND("minute",I862)-1)))*60,0)+IFERROR(VALUE(SUBSTITUTE(MID(I862,IFERROR(FIND("and",I862)+3,1),20),"second(s)","")),0)</f>
        <v/>
      </c>
      <c r="K862" s="41">
        <f>J862/60</f>
        <v/>
      </c>
      <c r="L862" s="41">
        <f>IFERROR(J862/H862,"")</f>
        <v/>
      </c>
      <c r="M862" s="25" t="inlineStr">
        <is>
          <t>2.5.12</t>
        </is>
      </c>
      <c r="N862" s="25">
        <f>IF(J862&gt;300,1,0)</f>
        <v/>
      </c>
      <c r="O862" s="25">
        <f>IF(J862&gt;600,1,0)</f>
        <v/>
      </c>
      <c r="P862" s="25">
        <f>IF(H862&gt;0,J862,"")</f>
        <v/>
      </c>
      <c r="Q862" s="25">
        <f>TEXT(A862,"YYYY-MM-DD HH")</f>
        <v/>
      </c>
      <c r="R862" s="25">
        <f>COUNTIF($Q$2:$Q$5295,Q862)</f>
        <v/>
      </c>
      <c r="S862" s="25">
        <f>IF(R862&lt;=2,"1-2",IF(R862&lt;=5,"3-5",IF(R862&lt;=10,"6-10","11+")))</f>
        <v/>
      </c>
    </row>
    <row r="863">
      <c r="A863" s="39" t="n">
        <v>46162.1215162037</v>
      </c>
      <c r="B863" s="25">
        <f>TEXT(A863,"YYYY-MM")</f>
        <v/>
      </c>
      <c r="C863" s="25">
        <f>TEXT(A863,"MMM-YYYY")</f>
        <v/>
      </c>
      <c r="D863" s="40">
        <f>INT(A863)-WEEKDAY(A863,2)+1</f>
        <v/>
      </c>
      <c r="E863" s="25" t="inlineStr">
        <is>
          <t>smukhopadhyay</t>
        </is>
      </c>
      <c r="F863" s="25" t="n">
        <v>1708</v>
      </c>
      <c r="G863" s="25" t="n">
        <v>2</v>
      </c>
      <c r="H863" s="25" t="n">
        <v>10</v>
      </c>
      <c r="I863" s="25" t="inlineStr">
        <is>
          <t>2 minute(s) and 30 second(s)</t>
        </is>
      </c>
      <c r="J863" s="25">
        <f>IFERROR(VALUE(TRIM(LEFT(I863,FIND("minute",I863)-1)))*60,0)+IFERROR(VALUE(SUBSTITUTE(MID(I863,IFERROR(FIND("and",I863)+3,1),20),"second(s)","")),0)</f>
        <v/>
      </c>
      <c r="K863" s="41">
        <f>J863/60</f>
        <v/>
      </c>
      <c r="L863" s="41">
        <f>IFERROR(J863/H863,"")</f>
        <v/>
      </c>
      <c r="M863" s="25" t="inlineStr">
        <is>
          <t>2.5.12</t>
        </is>
      </c>
      <c r="N863" s="25">
        <f>IF(J863&gt;300,1,0)</f>
        <v/>
      </c>
      <c r="O863" s="25">
        <f>IF(J863&gt;600,1,0)</f>
        <v/>
      </c>
      <c r="P863" s="25">
        <f>IF(H863&gt;0,J863,"")</f>
        <v/>
      </c>
      <c r="Q863" s="25">
        <f>TEXT(A863,"YYYY-MM-DD HH")</f>
        <v/>
      </c>
      <c r="R863" s="25">
        <f>COUNTIF($Q$2:$Q$5295,Q863)</f>
        <v/>
      </c>
      <c r="S863" s="25">
        <f>IF(R863&lt;=2,"1-2",IF(R863&lt;=5,"3-5",IF(R863&lt;=10,"6-10","11+")))</f>
        <v/>
      </c>
    </row>
    <row r="864">
      <c r="A864" s="39" t="n">
        <v>46162.12292824074</v>
      </c>
      <c r="B864" s="25">
        <f>TEXT(A864,"YYYY-MM")</f>
        <v/>
      </c>
      <c r="C864" s="25">
        <f>TEXT(A864,"MMM-YYYY")</f>
        <v/>
      </c>
      <c r="D864" s="40">
        <f>INT(A864)-WEEKDAY(A864,2)+1</f>
        <v/>
      </c>
      <c r="E864" s="25" t="inlineStr">
        <is>
          <t>nbindu</t>
        </is>
      </c>
      <c r="F864" s="25" t="n">
        <v>403</v>
      </c>
      <c r="G864" s="25" t="n">
        <v>1</v>
      </c>
      <c r="H864" s="25" t="n">
        <v>5</v>
      </c>
      <c r="I864" s="25" t="inlineStr">
        <is>
          <t>54 second(s)</t>
        </is>
      </c>
      <c r="J864" s="25">
        <f>IFERROR(VALUE(TRIM(LEFT(I864,FIND("minute",I864)-1)))*60,0)+IFERROR(VALUE(SUBSTITUTE(MID(I864,IFERROR(FIND("and",I864)+3,1),20),"second(s)","")),0)</f>
        <v/>
      </c>
      <c r="K864" s="41">
        <f>J864/60</f>
        <v/>
      </c>
      <c r="L864" s="41">
        <f>IFERROR(J864/H864,"")</f>
        <v/>
      </c>
      <c r="M864" s="25" t="inlineStr">
        <is>
          <t>2.5.12</t>
        </is>
      </c>
      <c r="N864" s="25">
        <f>IF(J864&gt;300,1,0)</f>
        <v/>
      </c>
      <c r="O864" s="25">
        <f>IF(J864&gt;600,1,0)</f>
        <v/>
      </c>
      <c r="P864" s="25">
        <f>IF(H864&gt;0,J864,"")</f>
        <v/>
      </c>
      <c r="Q864" s="25">
        <f>TEXT(A864,"YYYY-MM-DD HH")</f>
        <v/>
      </c>
      <c r="R864" s="25">
        <f>COUNTIF($Q$2:$Q$5295,Q864)</f>
        <v/>
      </c>
      <c r="S864" s="25">
        <f>IF(R864&lt;=2,"1-2",IF(R864&lt;=5,"3-5",IF(R864&lt;=10,"6-10","11+")))</f>
        <v/>
      </c>
    </row>
    <row r="865">
      <c r="A865" s="39" t="n">
        <v>46162.12319444444</v>
      </c>
      <c r="B865" s="25">
        <f>TEXT(A865,"YYYY-MM")</f>
        <v/>
      </c>
      <c r="C865" s="25">
        <f>TEXT(A865,"MMM-YYYY")</f>
        <v/>
      </c>
      <c r="D865" s="40">
        <f>INT(A865)-WEEKDAY(A865,2)+1</f>
        <v/>
      </c>
      <c r="E865" s="25" t="inlineStr">
        <is>
          <t>abhaskarkp</t>
        </is>
      </c>
      <c r="F865" s="25" t="n">
        <v>96896</v>
      </c>
      <c r="G865" s="25" t="n">
        <v>4</v>
      </c>
      <c r="H865" s="25" t="n">
        <v>16</v>
      </c>
      <c r="I865" s="25" t="inlineStr">
        <is>
          <t>4 minute(s) and 15 second(s)</t>
        </is>
      </c>
      <c r="J865" s="25">
        <f>IFERROR(VALUE(TRIM(LEFT(I865,FIND("minute",I865)-1)))*60,0)+IFERROR(VALUE(SUBSTITUTE(MID(I865,IFERROR(FIND("and",I865)+3,1),20),"second(s)","")),0)</f>
        <v/>
      </c>
      <c r="K865" s="41">
        <f>J865/60</f>
        <v/>
      </c>
      <c r="L865" s="41">
        <f>IFERROR(J865/H865,"")</f>
        <v/>
      </c>
      <c r="M865" s="25" t="inlineStr">
        <is>
          <t>2.5.12</t>
        </is>
      </c>
      <c r="N865" s="25">
        <f>IF(J865&gt;300,1,0)</f>
        <v/>
      </c>
      <c r="O865" s="25">
        <f>IF(J865&gt;600,1,0)</f>
        <v/>
      </c>
      <c r="P865" s="25">
        <f>IF(H865&gt;0,J865,"")</f>
        <v/>
      </c>
      <c r="Q865" s="25">
        <f>TEXT(A865,"YYYY-MM-DD HH")</f>
        <v/>
      </c>
      <c r="R865" s="25">
        <f>COUNTIF($Q$2:$Q$5295,Q865)</f>
        <v/>
      </c>
      <c r="S865" s="25">
        <f>IF(R865&lt;=2,"1-2",IF(R865&lt;=5,"3-5",IF(R865&lt;=10,"6-10","11+")))</f>
        <v/>
      </c>
    </row>
    <row r="866">
      <c r="A866" s="39" t="n">
        <v>46162.12347222222</v>
      </c>
      <c r="B866" s="25">
        <f>TEXT(A866,"YYYY-MM")</f>
        <v/>
      </c>
      <c r="C866" s="25">
        <f>TEXT(A866,"MMM-YYYY")</f>
        <v/>
      </c>
      <c r="D866" s="40">
        <f>INT(A866)-WEEKDAY(A866,2)+1</f>
        <v/>
      </c>
      <c r="E866" s="25" t="inlineStr">
        <is>
          <t>shassan</t>
        </is>
      </c>
      <c r="F866" s="25" t="n">
        <v>423</v>
      </c>
      <c r="G866" s="25" t="n">
        <v>1</v>
      </c>
      <c r="H866" s="25" t="n">
        <v>7</v>
      </c>
      <c r="I866" s="25" t="inlineStr">
        <is>
          <t>2 minute(s) and 29 second(s)</t>
        </is>
      </c>
      <c r="J866" s="25">
        <f>IFERROR(VALUE(TRIM(LEFT(I866,FIND("minute",I866)-1)))*60,0)+IFERROR(VALUE(SUBSTITUTE(MID(I866,IFERROR(FIND("and",I866)+3,1),20),"second(s)","")),0)</f>
        <v/>
      </c>
      <c r="K866" s="41">
        <f>J866/60</f>
        <v/>
      </c>
      <c r="L866" s="41">
        <f>IFERROR(J866/H866,"")</f>
        <v/>
      </c>
      <c r="M866" s="25" t="inlineStr">
        <is>
          <t>2.5.12</t>
        </is>
      </c>
      <c r="N866" s="25">
        <f>IF(J866&gt;300,1,0)</f>
        <v/>
      </c>
      <c r="O866" s="25">
        <f>IF(J866&gt;600,1,0)</f>
        <v/>
      </c>
      <c r="P866" s="25">
        <f>IF(H866&gt;0,J866,"")</f>
        <v/>
      </c>
      <c r="Q866" s="25">
        <f>TEXT(A866,"YYYY-MM-DD HH")</f>
        <v/>
      </c>
      <c r="R866" s="25">
        <f>COUNTIF($Q$2:$Q$5295,Q866)</f>
        <v/>
      </c>
      <c r="S866" s="25">
        <f>IF(R866&lt;=2,"1-2",IF(R866&lt;=5,"3-5",IF(R866&lt;=10,"6-10","11+")))</f>
        <v/>
      </c>
    </row>
    <row r="867">
      <c r="A867" s="39" t="n">
        <v>46162.12530092592</v>
      </c>
      <c r="B867" s="25">
        <f>TEXT(A867,"YYYY-MM")</f>
        <v/>
      </c>
      <c r="C867" s="25">
        <f>TEXT(A867,"MMM-YYYY")</f>
        <v/>
      </c>
      <c r="D867" s="40">
        <f>INT(A867)-WEEKDAY(A867,2)+1</f>
        <v/>
      </c>
      <c r="E867" s="25" t="inlineStr">
        <is>
          <t>mbohra</t>
        </is>
      </c>
      <c r="F867" s="25" t="n">
        <v>13</v>
      </c>
      <c r="G867" s="25" t="n">
        <v>2</v>
      </c>
      <c r="H867" s="25" t="n">
        <v>8</v>
      </c>
      <c r="I867" s="25" t="inlineStr">
        <is>
          <t>1 minute(s) and 58 second(s)</t>
        </is>
      </c>
      <c r="J867" s="25">
        <f>IFERROR(VALUE(TRIM(LEFT(I867,FIND("minute",I867)-1)))*60,0)+IFERROR(VALUE(SUBSTITUTE(MID(I867,IFERROR(FIND("and",I867)+3,1),20),"second(s)","")),0)</f>
        <v/>
      </c>
      <c r="K867" s="41">
        <f>J867/60</f>
        <v/>
      </c>
      <c r="L867" s="41">
        <f>IFERROR(J867/H867,"")</f>
        <v/>
      </c>
      <c r="M867" s="25" t="inlineStr">
        <is>
          <t>2.5.12</t>
        </is>
      </c>
      <c r="N867" s="25">
        <f>IF(J867&gt;300,1,0)</f>
        <v/>
      </c>
      <c r="O867" s="25">
        <f>IF(J867&gt;600,1,0)</f>
        <v/>
      </c>
      <c r="P867" s="25">
        <f>IF(H867&gt;0,J867,"")</f>
        <v/>
      </c>
      <c r="Q867" s="25">
        <f>TEXT(A867,"YYYY-MM-DD HH")</f>
        <v/>
      </c>
      <c r="R867" s="25">
        <f>COUNTIF($Q$2:$Q$5295,Q867)</f>
        <v/>
      </c>
      <c r="S867" s="25">
        <f>IF(R867&lt;=2,"1-2",IF(R867&lt;=5,"3-5",IF(R867&lt;=10,"6-10","11+")))</f>
        <v/>
      </c>
    </row>
    <row r="868">
      <c r="A868" s="39" t="n">
        <v>46162.12648148148</v>
      </c>
      <c r="B868" s="25">
        <f>TEXT(A868,"YYYY-MM")</f>
        <v/>
      </c>
      <c r="C868" s="25">
        <f>TEXT(A868,"MMM-YYYY")</f>
        <v/>
      </c>
      <c r="D868" s="40">
        <f>INT(A868)-WEEKDAY(A868,2)+1</f>
        <v/>
      </c>
      <c r="E868" s="25" t="inlineStr">
        <is>
          <t>taggarwal</t>
        </is>
      </c>
      <c r="F868" s="25" t="n">
        <v>2861</v>
      </c>
      <c r="G868" s="25" t="n">
        <v>1</v>
      </c>
      <c r="H868" s="25" t="n">
        <v>7</v>
      </c>
      <c r="I868" s="25" t="inlineStr">
        <is>
          <t>1 minute(s) and 3 second(s)</t>
        </is>
      </c>
      <c r="J868" s="25">
        <f>IFERROR(VALUE(TRIM(LEFT(I868,FIND("minute",I868)-1)))*60,0)+IFERROR(VALUE(SUBSTITUTE(MID(I868,IFERROR(FIND("and",I868)+3,1),20),"second(s)","")),0)</f>
        <v/>
      </c>
      <c r="K868" s="41">
        <f>J868/60</f>
        <v/>
      </c>
      <c r="L868" s="41">
        <f>IFERROR(J868/H868,"")</f>
        <v/>
      </c>
      <c r="M868" s="25" t="inlineStr">
        <is>
          <t>2.5.12</t>
        </is>
      </c>
      <c r="N868" s="25">
        <f>IF(J868&gt;300,1,0)</f>
        <v/>
      </c>
      <c r="O868" s="25">
        <f>IF(J868&gt;600,1,0)</f>
        <v/>
      </c>
      <c r="P868" s="25">
        <f>IF(H868&gt;0,J868,"")</f>
        <v/>
      </c>
      <c r="Q868" s="25">
        <f>TEXT(A868,"YYYY-MM-DD HH")</f>
        <v/>
      </c>
      <c r="R868" s="25">
        <f>COUNTIF($Q$2:$Q$5295,Q868)</f>
        <v/>
      </c>
      <c r="S868" s="25">
        <f>IF(R868&lt;=2,"1-2",IF(R868&lt;=5,"3-5",IF(R868&lt;=10,"6-10","11+")))</f>
        <v/>
      </c>
    </row>
    <row r="869">
      <c r="A869" s="39" t="n">
        <v>46162.12854166667</v>
      </c>
      <c r="B869" s="25">
        <f>TEXT(A869,"YYYY-MM")</f>
        <v/>
      </c>
      <c r="C869" s="25">
        <f>TEXT(A869,"MMM-YYYY")</f>
        <v/>
      </c>
      <c r="D869" s="40">
        <f>INT(A869)-WEEKDAY(A869,2)+1</f>
        <v/>
      </c>
      <c r="E869" s="25" t="inlineStr">
        <is>
          <t>atiwari</t>
        </is>
      </c>
      <c r="F869" s="25" t="n">
        <v>531</v>
      </c>
      <c r="G869" s="25" t="n">
        <v>1</v>
      </c>
      <c r="H869" s="25" t="n">
        <v>5</v>
      </c>
      <c r="I869" s="25" t="inlineStr">
        <is>
          <t>1 minute(s) and 31 second(s)</t>
        </is>
      </c>
      <c r="J869" s="25">
        <f>IFERROR(VALUE(TRIM(LEFT(I869,FIND("minute",I869)-1)))*60,0)+IFERROR(VALUE(SUBSTITUTE(MID(I869,IFERROR(FIND("and",I869)+3,1),20),"second(s)","")),0)</f>
        <v/>
      </c>
      <c r="K869" s="41">
        <f>J869/60</f>
        <v/>
      </c>
      <c r="L869" s="41">
        <f>IFERROR(J869/H869,"")</f>
        <v/>
      </c>
      <c r="M869" s="25" t="inlineStr">
        <is>
          <t>2.5.12</t>
        </is>
      </c>
      <c r="N869" s="25">
        <f>IF(J869&gt;300,1,0)</f>
        <v/>
      </c>
      <c r="O869" s="25">
        <f>IF(J869&gt;600,1,0)</f>
        <v/>
      </c>
      <c r="P869" s="25">
        <f>IF(H869&gt;0,J869,"")</f>
        <v/>
      </c>
      <c r="Q869" s="25">
        <f>TEXT(A869,"YYYY-MM-DD HH")</f>
        <v/>
      </c>
      <c r="R869" s="25">
        <f>COUNTIF($Q$2:$Q$5295,Q869)</f>
        <v/>
      </c>
      <c r="S869" s="25">
        <f>IF(R869&lt;=2,"1-2",IF(R869&lt;=5,"3-5",IF(R869&lt;=10,"6-10","11+")))</f>
        <v/>
      </c>
    </row>
    <row r="870">
      <c r="A870" s="39" t="n">
        <v>46162.13177083333</v>
      </c>
      <c r="B870" s="25">
        <f>TEXT(A870,"YYYY-MM")</f>
        <v/>
      </c>
      <c r="C870" s="25">
        <f>TEXT(A870,"MMM-YYYY")</f>
        <v/>
      </c>
      <c r="D870" s="40">
        <f>INT(A870)-WEEKDAY(A870,2)+1</f>
        <v/>
      </c>
      <c r="E870" s="25" t="inlineStr">
        <is>
          <t>ethomas</t>
        </is>
      </c>
      <c r="F870" s="25" t="n">
        <v>637</v>
      </c>
      <c r="G870" s="25" t="n">
        <v>2</v>
      </c>
      <c r="H870" s="25" t="n">
        <v>10</v>
      </c>
      <c r="I870" s="25" t="inlineStr">
        <is>
          <t>3 minute(s) and 22 second(s)</t>
        </is>
      </c>
      <c r="J870" s="25">
        <f>IFERROR(VALUE(TRIM(LEFT(I870,FIND("minute",I870)-1)))*60,0)+IFERROR(VALUE(SUBSTITUTE(MID(I870,IFERROR(FIND("and",I870)+3,1),20),"second(s)","")),0)</f>
        <v/>
      </c>
      <c r="K870" s="41">
        <f>J870/60</f>
        <v/>
      </c>
      <c r="L870" s="41">
        <f>IFERROR(J870/H870,"")</f>
        <v/>
      </c>
      <c r="M870" s="25" t="inlineStr">
        <is>
          <t>2.5.12</t>
        </is>
      </c>
      <c r="N870" s="25">
        <f>IF(J870&gt;300,1,0)</f>
        <v/>
      </c>
      <c r="O870" s="25">
        <f>IF(J870&gt;600,1,0)</f>
        <v/>
      </c>
      <c r="P870" s="25">
        <f>IF(H870&gt;0,J870,"")</f>
        <v/>
      </c>
      <c r="Q870" s="25">
        <f>TEXT(A870,"YYYY-MM-DD HH")</f>
        <v/>
      </c>
      <c r="R870" s="25">
        <f>COUNTIF($Q$2:$Q$5295,Q870)</f>
        <v/>
      </c>
      <c r="S870" s="25">
        <f>IF(R870&lt;=2,"1-2",IF(R870&lt;=5,"3-5",IF(R870&lt;=10,"6-10","11+")))</f>
        <v/>
      </c>
    </row>
    <row r="871">
      <c r="A871" s="39" t="n">
        <v>46162.13184027778</v>
      </c>
      <c r="B871" s="25">
        <f>TEXT(A871,"YYYY-MM")</f>
        <v/>
      </c>
      <c r="C871" s="25">
        <f>TEXT(A871,"MMM-YYYY")</f>
        <v/>
      </c>
      <c r="D871" s="40">
        <f>INT(A871)-WEEKDAY(A871,2)+1</f>
        <v/>
      </c>
      <c r="E871" s="25" t="inlineStr">
        <is>
          <t>asahoo</t>
        </is>
      </c>
      <c r="F871" s="25" t="n">
        <v>96136</v>
      </c>
      <c r="G871" s="25" t="n">
        <v>2</v>
      </c>
      <c r="H871" s="25" t="n">
        <v>10</v>
      </c>
      <c r="I871" s="25" t="inlineStr">
        <is>
          <t>2 minute(s) and 17 second(s)</t>
        </is>
      </c>
      <c r="J871" s="25">
        <f>IFERROR(VALUE(TRIM(LEFT(I871,FIND("minute",I871)-1)))*60,0)+IFERROR(VALUE(SUBSTITUTE(MID(I871,IFERROR(FIND("and",I871)+3,1),20),"second(s)","")),0)</f>
        <v/>
      </c>
      <c r="K871" s="41">
        <f>J871/60</f>
        <v/>
      </c>
      <c r="L871" s="41">
        <f>IFERROR(J871/H871,"")</f>
        <v/>
      </c>
      <c r="M871" s="25" t="inlineStr">
        <is>
          <t>2.5.12</t>
        </is>
      </c>
      <c r="N871" s="25">
        <f>IF(J871&gt;300,1,0)</f>
        <v/>
      </c>
      <c r="O871" s="25">
        <f>IF(J871&gt;600,1,0)</f>
        <v/>
      </c>
      <c r="P871" s="25">
        <f>IF(H871&gt;0,J871,"")</f>
        <v/>
      </c>
      <c r="Q871" s="25">
        <f>TEXT(A871,"YYYY-MM-DD HH")</f>
        <v/>
      </c>
      <c r="R871" s="25">
        <f>COUNTIF($Q$2:$Q$5295,Q871)</f>
        <v/>
      </c>
      <c r="S871" s="25">
        <f>IF(R871&lt;=2,"1-2",IF(R871&lt;=5,"3-5",IF(R871&lt;=10,"6-10","11+")))</f>
        <v/>
      </c>
    </row>
    <row r="872">
      <c r="A872" s="39" t="n">
        <v>46162.13300925926</v>
      </c>
      <c r="B872" s="25">
        <f>TEXT(A872,"YYYY-MM")</f>
        <v/>
      </c>
      <c r="C872" s="25">
        <f>TEXT(A872,"MMM-YYYY")</f>
        <v/>
      </c>
      <c r="D872" s="40">
        <f>INT(A872)-WEEKDAY(A872,2)+1</f>
        <v/>
      </c>
      <c r="E872" s="25" t="inlineStr">
        <is>
          <t>akumari</t>
        </is>
      </c>
      <c r="F872" s="25" t="n">
        <v>359</v>
      </c>
      <c r="G872" s="25" t="n">
        <v>1</v>
      </c>
      <c r="H872" s="25" t="n">
        <v>7</v>
      </c>
      <c r="I872" s="25" t="inlineStr">
        <is>
          <t>1 minute(s) and 13 second(s)</t>
        </is>
      </c>
      <c r="J872" s="25">
        <f>IFERROR(VALUE(TRIM(LEFT(I872,FIND("minute",I872)-1)))*60,0)+IFERROR(VALUE(SUBSTITUTE(MID(I872,IFERROR(FIND("and",I872)+3,1),20),"second(s)","")),0)</f>
        <v/>
      </c>
      <c r="K872" s="41">
        <f>J872/60</f>
        <v/>
      </c>
      <c r="L872" s="41">
        <f>IFERROR(J872/H872,"")</f>
        <v/>
      </c>
      <c r="M872" s="25" t="inlineStr">
        <is>
          <t>2.5.12</t>
        </is>
      </c>
      <c r="N872" s="25">
        <f>IF(J872&gt;300,1,0)</f>
        <v/>
      </c>
      <c r="O872" s="25">
        <f>IF(J872&gt;600,1,0)</f>
        <v/>
      </c>
      <c r="P872" s="25">
        <f>IF(H872&gt;0,J872,"")</f>
        <v/>
      </c>
      <c r="Q872" s="25">
        <f>TEXT(A872,"YYYY-MM-DD HH")</f>
        <v/>
      </c>
      <c r="R872" s="25">
        <f>COUNTIF($Q$2:$Q$5295,Q872)</f>
        <v/>
      </c>
      <c r="S872" s="25">
        <f>IF(R872&lt;=2,"1-2",IF(R872&lt;=5,"3-5",IF(R872&lt;=10,"6-10","11+")))</f>
        <v/>
      </c>
    </row>
    <row r="873">
      <c r="A873" s="39" t="n">
        <v>46162.13318287037</v>
      </c>
      <c r="B873" s="25">
        <f>TEXT(A873,"YYYY-MM")</f>
        <v/>
      </c>
      <c r="C873" s="25">
        <f>TEXT(A873,"MMM-YYYY")</f>
        <v/>
      </c>
      <c r="D873" s="40">
        <f>INT(A873)-WEEKDAY(A873,2)+1</f>
        <v/>
      </c>
      <c r="E873" s="25" t="inlineStr">
        <is>
          <t>hsindwani</t>
        </is>
      </c>
      <c r="F873" s="25" t="n">
        <v>1716</v>
      </c>
      <c r="G873" s="25" t="n">
        <v>2</v>
      </c>
      <c r="H873" s="25" t="n">
        <v>10</v>
      </c>
      <c r="I873" s="25" t="inlineStr">
        <is>
          <t>1 minute(s) and 51 second(s)</t>
        </is>
      </c>
      <c r="J873" s="25">
        <f>IFERROR(VALUE(TRIM(LEFT(I873,FIND("minute",I873)-1)))*60,0)+IFERROR(VALUE(SUBSTITUTE(MID(I873,IFERROR(FIND("and",I873)+3,1),20),"second(s)","")),0)</f>
        <v/>
      </c>
      <c r="K873" s="41">
        <f>J873/60</f>
        <v/>
      </c>
      <c r="L873" s="41">
        <f>IFERROR(J873/H873,"")</f>
        <v/>
      </c>
      <c r="M873" s="25" t="inlineStr">
        <is>
          <t>2.5.12</t>
        </is>
      </c>
      <c r="N873" s="25">
        <f>IF(J873&gt;300,1,0)</f>
        <v/>
      </c>
      <c r="O873" s="25">
        <f>IF(J873&gt;600,1,0)</f>
        <v/>
      </c>
      <c r="P873" s="25">
        <f>IF(H873&gt;0,J873,"")</f>
        <v/>
      </c>
      <c r="Q873" s="25">
        <f>TEXT(A873,"YYYY-MM-DD HH")</f>
        <v/>
      </c>
      <c r="R873" s="25">
        <f>COUNTIF($Q$2:$Q$5295,Q873)</f>
        <v/>
      </c>
      <c r="S873" s="25">
        <f>IF(R873&lt;=2,"1-2",IF(R873&lt;=5,"3-5",IF(R873&lt;=10,"6-10","11+")))</f>
        <v/>
      </c>
    </row>
    <row r="874">
      <c r="A874" s="39" t="n">
        <v>46162.13596064815</v>
      </c>
      <c r="B874" s="25">
        <f>TEXT(A874,"YYYY-MM")</f>
        <v/>
      </c>
      <c r="C874" s="25">
        <f>TEXT(A874,"MMM-YYYY")</f>
        <v/>
      </c>
      <c r="D874" s="40">
        <f>INT(A874)-WEEKDAY(A874,2)+1</f>
        <v/>
      </c>
      <c r="E874" s="25" t="inlineStr">
        <is>
          <t>rts</t>
        </is>
      </c>
      <c r="F874" s="25" t="n">
        <v>113399</v>
      </c>
      <c r="G874" s="25" t="n">
        <v>5</v>
      </c>
      <c r="H874" s="25" t="n">
        <v>17</v>
      </c>
      <c r="I874" s="25" t="inlineStr">
        <is>
          <t>3 minute(s) and 58 second(s)</t>
        </is>
      </c>
      <c r="J874" s="25">
        <f>IFERROR(VALUE(TRIM(LEFT(I874,FIND("minute",I874)-1)))*60,0)+IFERROR(VALUE(SUBSTITUTE(MID(I874,IFERROR(FIND("and",I874)+3,1),20),"second(s)","")),0)</f>
        <v/>
      </c>
      <c r="K874" s="41">
        <f>J874/60</f>
        <v/>
      </c>
      <c r="L874" s="41">
        <f>IFERROR(J874/H874,"")</f>
        <v/>
      </c>
      <c r="M874" s="25" t="inlineStr">
        <is>
          <t>2.5.12</t>
        </is>
      </c>
      <c r="N874" s="25">
        <f>IF(J874&gt;300,1,0)</f>
        <v/>
      </c>
      <c r="O874" s="25">
        <f>IF(J874&gt;600,1,0)</f>
        <v/>
      </c>
      <c r="P874" s="25">
        <f>IF(H874&gt;0,J874,"")</f>
        <v/>
      </c>
      <c r="Q874" s="25">
        <f>TEXT(A874,"YYYY-MM-DD HH")</f>
        <v/>
      </c>
      <c r="R874" s="25">
        <f>COUNTIF($Q$2:$Q$5295,Q874)</f>
        <v/>
      </c>
      <c r="S874" s="25">
        <f>IF(R874&lt;=2,"1-2",IF(R874&lt;=5,"3-5",IF(R874&lt;=10,"6-10","11+")))</f>
        <v/>
      </c>
    </row>
    <row r="875">
      <c r="A875" s="39" t="n">
        <v>46162.13636574074</v>
      </c>
      <c r="B875" s="25">
        <f>TEXT(A875,"YYYY-MM")</f>
        <v/>
      </c>
      <c r="C875" s="25">
        <f>TEXT(A875,"MMM-YYYY")</f>
        <v/>
      </c>
      <c r="D875" s="40">
        <f>INT(A875)-WEEKDAY(A875,2)+1</f>
        <v/>
      </c>
      <c r="E875" s="25" t="inlineStr">
        <is>
          <t>ns</t>
        </is>
      </c>
      <c r="F875" s="25" t="n">
        <v>437</v>
      </c>
      <c r="G875" s="25" t="n">
        <v>1</v>
      </c>
      <c r="H875" s="25" t="n">
        <v>5</v>
      </c>
      <c r="I875" s="25" t="inlineStr">
        <is>
          <t>2 minute(s) and 16 second(s)</t>
        </is>
      </c>
      <c r="J875" s="25">
        <f>IFERROR(VALUE(TRIM(LEFT(I875,FIND("minute",I875)-1)))*60,0)+IFERROR(VALUE(SUBSTITUTE(MID(I875,IFERROR(FIND("and",I875)+3,1),20),"second(s)","")),0)</f>
        <v/>
      </c>
      <c r="K875" s="41">
        <f>J875/60</f>
        <v/>
      </c>
      <c r="L875" s="41">
        <f>IFERROR(J875/H875,"")</f>
        <v/>
      </c>
      <c r="M875" s="25" t="inlineStr">
        <is>
          <t>2.5.12</t>
        </is>
      </c>
      <c r="N875" s="25">
        <f>IF(J875&gt;300,1,0)</f>
        <v/>
      </c>
      <c r="O875" s="25">
        <f>IF(J875&gt;600,1,0)</f>
        <v/>
      </c>
      <c r="P875" s="25">
        <f>IF(H875&gt;0,J875,"")</f>
        <v/>
      </c>
      <c r="Q875" s="25">
        <f>TEXT(A875,"YYYY-MM-DD HH")</f>
        <v/>
      </c>
      <c r="R875" s="25">
        <f>COUNTIF($Q$2:$Q$5295,Q875)</f>
        <v/>
      </c>
      <c r="S875" s="25">
        <f>IF(R875&lt;=2,"1-2",IF(R875&lt;=5,"3-5",IF(R875&lt;=10,"6-10","11+")))</f>
        <v/>
      </c>
    </row>
    <row r="876">
      <c r="A876" s="39" t="n">
        <v>46162.13855324074</v>
      </c>
      <c r="B876" s="25">
        <f>TEXT(A876,"YYYY-MM")</f>
        <v/>
      </c>
      <c r="C876" s="25">
        <f>TEXT(A876,"MMM-YYYY")</f>
        <v/>
      </c>
      <c r="D876" s="40">
        <f>INT(A876)-WEEKDAY(A876,2)+1</f>
        <v/>
      </c>
      <c r="E876" s="25" t="inlineStr">
        <is>
          <t>arsarkar</t>
        </is>
      </c>
      <c r="F876" s="25" t="n">
        <v>107683</v>
      </c>
      <c r="G876" s="25" t="n">
        <v>5</v>
      </c>
      <c r="H876" s="25" t="n">
        <v>17</v>
      </c>
      <c r="I876" s="25" t="inlineStr">
        <is>
          <t>5 minute(s) and 26 second(s)</t>
        </is>
      </c>
      <c r="J876" s="25">
        <f>IFERROR(VALUE(TRIM(LEFT(I876,FIND("minute",I876)-1)))*60,0)+IFERROR(VALUE(SUBSTITUTE(MID(I876,IFERROR(FIND("and",I876)+3,1),20),"second(s)","")),0)</f>
        <v/>
      </c>
      <c r="K876" s="41">
        <f>J876/60</f>
        <v/>
      </c>
      <c r="L876" s="41">
        <f>IFERROR(J876/H876,"")</f>
        <v/>
      </c>
      <c r="M876" s="25" t="inlineStr">
        <is>
          <t>2.5.12</t>
        </is>
      </c>
      <c r="N876" s="25">
        <f>IF(J876&gt;300,1,0)</f>
        <v/>
      </c>
      <c r="O876" s="25">
        <f>IF(J876&gt;600,1,0)</f>
        <v/>
      </c>
      <c r="P876" s="25">
        <f>IF(H876&gt;0,J876,"")</f>
        <v/>
      </c>
      <c r="Q876" s="25">
        <f>TEXT(A876,"YYYY-MM-DD HH")</f>
        <v/>
      </c>
      <c r="R876" s="25">
        <f>COUNTIF($Q$2:$Q$5295,Q876)</f>
        <v/>
      </c>
      <c r="S876" s="25">
        <f>IF(R876&lt;=2,"1-2",IF(R876&lt;=5,"3-5",IF(R876&lt;=10,"6-10","11+")))</f>
        <v/>
      </c>
    </row>
    <row r="877">
      <c r="A877" s="39" t="n">
        <v>46162.14026620371</v>
      </c>
      <c r="B877" s="25">
        <f>TEXT(A877,"YYYY-MM")</f>
        <v/>
      </c>
      <c r="C877" s="25">
        <f>TEXT(A877,"MMM-YYYY")</f>
        <v/>
      </c>
      <c r="D877" s="40">
        <f>INT(A877)-WEEKDAY(A877,2)+1</f>
        <v/>
      </c>
      <c r="E877" s="25" t="inlineStr">
        <is>
          <t>nbindu</t>
        </is>
      </c>
      <c r="F877" s="25" t="n">
        <v>405</v>
      </c>
      <c r="G877" s="25" t="n">
        <v>1</v>
      </c>
      <c r="H877" s="25" t="n">
        <v>5</v>
      </c>
      <c r="I877" s="25" t="inlineStr">
        <is>
          <t>1 minute(s) and 2 second(s)</t>
        </is>
      </c>
      <c r="J877" s="25">
        <f>IFERROR(VALUE(TRIM(LEFT(I877,FIND("minute",I877)-1)))*60,0)+IFERROR(VALUE(SUBSTITUTE(MID(I877,IFERROR(FIND("and",I877)+3,1),20),"second(s)","")),0)</f>
        <v/>
      </c>
      <c r="K877" s="41">
        <f>J877/60</f>
        <v/>
      </c>
      <c r="L877" s="41">
        <f>IFERROR(J877/H877,"")</f>
        <v/>
      </c>
      <c r="M877" s="25" t="inlineStr">
        <is>
          <t>2.5.12</t>
        </is>
      </c>
      <c r="N877" s="25">
        <f>IF(J877&gt;300,1,0)</f>
        <v/>
      </c>
      <c r="O877" s="25">
        <f>IF(J877&gt;600,1,0)</f>
        <v/>
      </c>
      <c r="P877" s="25">
        <f>IF(H877&gt;0,J877,"")</f>
        <v/>
      </c>
      <c r="Q877" s="25">
        <f>TEXT(A877,"YYYY-MM-DD HH")</f>
        <v/>
      </c>
      <c r="R877" s="25">
        <f>COUNTIF($Q$2:$Q$5295,Q877)</f>
        <v/>
      </c>
      <c r="S877" s="25">
        <f>IF(R877&lt;=2,"1-2",IF(R877&lt;=5,"3-5",IF(R877&lt;=10,"6-10","11+")))</f>
        <v/>
      </c>
    </row>
    <row r="878">
      <c r="A878" s="39" t="n">
        <v>46162.14115740741</v>
      </c>
      <c r="B878" s="25">
        <f>TEXT(A878,"YYYY-MM")</f>
        <v/>
      </c>
      <c r="C878" s="25">
        <f>TEXT(A878,"MMM-YYYY")</f>
        <v/>
      </c>
      <c r="D878" s="40">
        <f>INT(A878)-WEEKDAY(A878,2)+1</f>
        <v/>
      </c>
      <c r="E878" s="25" t="inlineStr">
        <is>
          <t>aupadhayay</t>
        </is>
      </c>
      <c r="F878" s="25" t="n">
        <v>472</v>
      </c>
      <c r="G878" s="25" t="n">
        <v>1</v>
      </c>
      <c r="H878" s="25" t="n">
        <v>7</v>
      </c>
      <c r="I878" s="25" t="inlineStr">
        <is>
          <t>1 minute(s) and 17 second(s)</t>
        </is>
      </c>
      <c r="J878" s="25">
        <f>IFERROR(VALUE(TRIM(LEFT(I878,FIND("minute",I878)-1)))*60,0)+IFERROR(VALUE(SUBSTITUTE(MID(I878,IFERROR(FIND("and",I878)+3,1),20),"second(s)","")),0)</f>
        <v/>
      </c>
      <c r="K878" s="41">
        <f>J878/60</f>
        <v/>
      </c>
      <c r="L878" s="41">
        <f>IFERROR(J878/H878,"")</f>
        <v/>
      </c>
      <c r="M878" s="25" t="inlineStr">
        <is>
          <t>2.5.12</t>
        </is>
      </c>
      <c r="N878" s="25">
        <f>IF(J878&gt;300,1,0)</f>
        <v/>
      </c>
      <c r="O878" s="25">
        <f>IF(J878&gt;600,1,0)</f>
        <v/>
      </c>
      <c r="P878" s="25">
        <f>IF(H878&gt;0,J878,"")</f>
        <v/>
      </c>
      <c r="Q878" s="25">
        <f>TEXT(A878,"YYYY-MM-DD HH")</f>
        <v/>
      </c>
      <c r="R878" s="25">
        <f>COUNTIF($Q$2:$Q$5295,Q878)</f>
        <v/>
      </c>
      <c r="S878" s="25">
        <f>IF(R878&lt;=2,"1-2",IF(R878&lt;=5,"3-5",IF(R878&lt;=10,"6-10","11+")))</f>
        <v/>
      </c>
    </row>
    <row r="879">
      <c r="A879" s="39" t="n">
        <v>46162.14283564815</v>
      </c>
      <c r="B879" s="25">
        <f>TEXT(A879,"YYYY-MM")</f>
        <v/>
      </c>
      <c r="C879" s="25">
        <f>TEXT(A879,"MMM-YYYY")</f>
        <v/>
      </c>
      <c r="D879" s="40">
        <f>INT(A879)-WEEKDAY(A879,2)+1</f>
        <v/>
      </c>
      <c r="E879" s="25" t="inlineStr">
        <is>
          <t>nlnu</t>
        </is>
      </c>
      <c r="F879" s="25" t="n">
        <v>114941</v>
      </c>
      <c r="G879" s="25" t="n">
        <v>3</v>
      </c>
      <c r="H879" s="25" t="n">
        <v>13</v>
      </c>
      <c r="I879" s="25" t="inlineStr">
        <is>
          <t>3 minute(s) and 33 second(s)</t>
        </is>
      </c>
      <c r="J879" s="25">
        <f>IFERROR(VALUE(TRIM(LEFT(I879,FIND("minute",I879)-1)))*60,0)+IFERROR(VALUE(SUBSTITUTE(MID(I879,IFERROR(FIND("and",I879)+3,1),20),"second(s)","")),0)</f>
        <v/>
      </c>
      <c r="K879" s="41">
        <f>J879/60</f>
        <v/>
      </c>
      <c r="L879" s="41">
        <f>IFERROR(J879/H879,"")</f>
        <v/>
      </c>
      <c r="M879" s="25" t="inlineStr">
        <is>
          <t>2.5.12</t>
        </is>
      </c>
      <c r="N879" s="25">
        <f>IF(J879&gt;300,1,0)</f>
        <v/>
      </c>
      <c r="O879" s="25">
        <f>IF(J879&gt;600,1,0)</f>
        <v/>
      </c>
      <c r="P879" s="25">
        <f>IF(H879&gt;0,J879,"")</f>
        <v/>
      </c>
      <c r="Q879" s="25">
        <f>TEXT(A879,"YYYY-MM-DD HH")</f>
        <v/>
      </c>
      <c r="R879" s="25">
        <f>COUNTIF($Q$2:$Q$5295,Q879)</f>
        <v/>
      </c>
      <c r="S879" s="25">
        <f>IF(R879&lt;=2,"1-2",IF(R879&lt;=5,"3-5",IF(R879&lt;=10,"6-10","11+")))</f>
        <v/>
      </c>
    </row>
    <row r="880">
      <c r="A880" s="39" t="n">
        <v>46162.14334490741</v>
      </c>
      <c r="B880" s="25">
        <f>TEXT(A880,"YYYY-MM")</f>
        <v/>
      </c>
      <c r="C880" s="25">
        <f>TEXT(A880,"MMM-YYYY")</f>
        <v/>
      </c>
      <c r="D880" s="40">
        <f>INT(A880)-WEEKDAY(A880,2)+1</f>
        <v/>
      </c>
      <c r="E880" s="25" t="inlineStr">
        <is>
          <t>vraina</t>
        </is>
      </c>
      <c r="F880" s="25" t="n">
        <v>77</v>
      </c>
      <c r="G880" s="25" t="n">
        <v>1</v>
      </c>
      <c r="H880" s="25" t="n">
        <v>7</v>
      </c>
      <c r="I880" s="25" t="inlineStr">
        <is>
          <t>1 minute(s) and 11 second(s)</t>
        </is>
      </c>
      <c r="J880" s="25">
        <f>IFERROR(VALUE(TRIM(LEFT(I880,FIND("minute",I880)-1)))*60,0)+IFERROR(VALUE(SUBSTITUTE(MID(I880,IFERROR(FIND("and",I880)+3,1),20),"second(s)","")),0)</f>
        <v/>
      </c>
      <c r="K880" s="41">
        <f>J880/60</f>
        <v/>
      </c>
      <c r="L880" s="41">
        <f>IFERROR(J880/H880,"")</f>
        <v/>
      </c>
      <c r="M880" s="25" t="inlineStr">
        <is>
          <t>2.5.12</t>
        </is>
      </c>
      <c r="N880" s="25">
        <f>IF(J880&gt;300,1,0)</f>
        <v/>
      </c>
      <c r="O880" s="25">
        <f>IF(J880&gt;600,1,0)</f>
        <v/>
      </c>
      <c r="P880" s="25">
        <f>IF(H880&gt;0,J880,"")</f>
        <v/>
      </c>
      <c r="Q880" s="25">
        <f>TEXT(A880,"YYYY-MM-DD HH")</f>
        <v/>
      </c>
      <c r="R880" s="25">
        <f>COUNTIF($Q$2:$Q$5295,Q880)</f>
        <v/>
      </c>
      <c r="S880" s="25">
        <f>IF(R880&lt;=2,"1-2",IF(R880&lt;=5,"3-5",IF(R880&lt;=10,"6-10","11+")))</f>
        <v/>
      </c>
    </row>
    <row r="881">
      <c r="A881" s="39" t="n">
        <v>46162.1453587963</v>
      </c>
      <c r="B881" s="25">
        <f>TEXT(A881,"YYYY-MM")</f>
        <v/>
      </c>
      <c r="C881" s="25">
        <f>TEXT(A881,"MMM-YYYY")</f>
        <v/>
      </c>
      <c r="D881" s="40">
        <f>INT(A881)-WEEKDAY(A881,2)+1</f>
        <v/>
      </c>
      <c r="E881" s="25" t="inlineStr">
        <is>
          <t>atiwari</t>
        </is>
      </c>
      <c r="F881" s="25" t="n">
        <v>535</v>
      </c>
      <c r="G881" s="25" t="n">
        <v>1</v>
      </c>
      <c r="H881" s="25" t="n">
        <v>7</v>
      </c>
      <c r="I881" s="25" t="inlineStr">
        <is>
          <t>2 minute(s) and 5 second(s)</t>
        </is>
      </c>
      <c r="J881" s="25">
        <f>IFERROR(VALUE(TRIM(LEFT(I881,FIND("minute",I881)-1)))*60,0)+IFERROR(VALUE(SUBSTITUTE(MID(I881,IFERROR(FIND("and",I881)+3,1),20),"second(s)","")),0)</f>
        <v/>
      </c>
      <c r="K881" s="41">
        <f>J881/60</f>
        <v/>
      </c>
      <c r="L881" s="41">
        <f>IFERROR(J881/H881,"")</f>
        <v/>
      </c>
      <c r="M881" s="25" t="inlineStr">
        <is>
          <t>2.5.12</t>
        </is>
      </c>
      <c r="N881" s="25">
        <f>IF(J881&gt;300,1,0)</f>
        <v/>
      </c>
      <c r="O881" s="25">
        <f>IF(J881&gt;600,1,0)</f>
        <v/>
      </c>
      <c r="P881" s="25">
        <f>IF(H881&gt;0,J881,"")</f>
        <v/>
      </c>
      <c r="Q881" s="25">
        <f>TEXT(A881,"YYYY-MM-DD HH")</f>
        <v/>
      </c>
      <c r="R881" s="25">
        <f>COUNTIF($Q$2:$Q$5295,Q881)</f>
        <v/>
      </c>
      <c r="S881" s="25">
        <f>IF(R881&lt;=2,"1-2",IF(R881&lt;=5,"3-5",IF(R881&lt;=10,"6-10","11+")))</f>
        <v/>
      </c>
    </row>
    <row r="882">
      <c r="A882" s="39" t="n">
        <v>46162.1465625</v>
      </c>
      <c r="B882" s="25">
        <f>TEXT(A882,"YYYY-MM")</f>
        <v/>
      </c>
      <c r="C882" s="25">
        <f>TEXT(A882,"MMM-YYYY")</f>
        <v/>
      </c>
      <c r="D882" s="40">
        <f>INT(A882)-WEEKDAY(A882,2)+1</f>
        <v/>
      </c>
      <c r="E882" s="25" t="inlineStr">
        <is>
          <t>vreddy</t>
        </is>
      </c>
      <c r="F882" s="25" t="n">
        <v>3087</v>
      </c>
      <c r="G882" s="25" t="n">
        <v>1</v>
      </c>
      <c r="H882" s="25" t="n">
        <v>5</v>
      </c>
      <c r="I882" s="25" t="inlineStr">
        <is>
          <t>1 minute(s) and 4 second(s)</t>
        </is>
      </c>
      <c r="J882" s="25">
        <f>IFERROR(VALUE(TRIM(LEFT(I882,FIND("minute",I882)-1)))*60,0)+IFERROR(VALUE(SUBSTITUTE(MID(I882,IFERROR(FIND("and",I882)+3,1),20),"second(s)","")),0)</f>
        <v/>
      </c>
      <c r="K882" s="41">
        <f>J882/60</f>
        <v/>
      </c>
      <c r="L882" s="41">
        <f>IFERROR(J882/H882,"")</f>
        <v/>
      </c>
      <c r="M882" s="25" t="inlineStr">
        <is>
          <t>2.5.12</t>
        </is>
      </c>
      <c r="N882" s="25">
        <f>IF(J882&gt;300,1,0)</f>
        <v/>
      </c>
      <c r="O882" s="25">
        <f>IF(J882&gt;600,1,0)</f>
        <v/>
      </c>
      <c r="P882" s="25">
        <f>IF(H882&gt;0,J882,"")</f>
        <v/>
      </c>
      <c r="Q882" s="25">
        <f>TEXT(A882,"YYYY-MM-DD HH")</f>
        <v/>
      </c>
      <c r="R882" s="25">
        <f>COUNTIF($Q$2:$Q$5295,Q882)</f>
        <v/>
      </c>
      <c r="S882" s="25">
        <f>IF(R882&lt;=2,"1-2",IF(R882&lt;=5,"3-5",IF(R882&lt;=10,"6-10","11+")))</f>
        <v/>
      </c>
    </row>
    <row r="883">
      <c r="A883" s="39" t="n">
        <v>46162.14997685186</v>
      </c>
      <c r="B883" s="25">
        <f>TEXT(A883,"YYYY-MM")</f>
        <v/>
      </c>
      <c r="C883" s="25">
        <f>TEXT(A883,"MMM-YYYY")</f>
        <v/>
      </c>
      <c r="D883" s="40">
        <f>INT(A883)-WEEKDAY(A883,2)+1</f>
        <v/>
      </c>
      <c r="E883" s="25" t="inlineStr">
        <is>
          <t>ptomar</t>
        </is>
      </c>
      <c r="F883" s="25" t="n">
        <v>110</v>
      </c>
      <c r="G883" s="25" t="n">
        <v>1</v>
      </c>
      <c r="H883" s="25" t="n">
        <v>5</v>
      </c>
      <c r="I883" s="25" t="inlineStr">
        <is>
          <t>1 minute(s) and 53 second(s)</t>
        </is>
      </c>
      <c r="J883" s="25">
        <f>IFERROR(VALUE(TRIM(LEFT(I883,FIND("minute",I883)-1)))*60,0)+IFERROR(VALUE(SUBSTITUTE(MID(I883,IFERROR(FIND("and",I883)+3,1),20),"second(s)","")),0)</f>
        <v/>
      </c>
      <c r="K883" s="41">
        <f>J883/60</f>
        <v/>
      </c>
      <c r="L883" s="41">
        <f>IFERROR(J883/H883,"")</f>
        <v/>
      </c>
      <c r="M883" s="25" t="inlineStr">
        <is>
          <t>2.5.12</t>
        </is>
      </c>
      <c r="N883" s="25">
        <f>IF(J883&gt;300,1,0)</f>
        <v/>
      </c>
      <c r="O883" s="25">
        <f>IF(J883&gt;600,1,0)</f>
        <v/>
      </c>
      <c r="P883" s="25">
        <f>IF(H883&gt;0,J883,"")</f>
        <v/>
      </c>
      <c r="Q883" s="25">
        <f>TEXT(A883,"YYYY-MM-DD HH")</f>
        <v/>
      </c>
      <c r="R883" s="25">
        <f>COUNTIF($Q$2:$Q$5295,Q883)</f>
        <v/>
      </c>
      <c r="S883" s="25">
        <f>IF(R883&lt;=2,"1-2",IF(R883&lt;=5,"3-5",IF(R883&lt;=10,"6-10","11+")))</f>
        <v/>
      </c>
    </row>
    <row r="884">
      <c r="A884" s="39" t="n">
        <v>46162.15075231482</v>
      </c>
      <c r="B884" s="25">
        <f>TEXT(A884,"YYYY-MM")</f>
        <v/>
      </c>
      <c r="C884" s="25">
        <f>TEXT(A884,"MMM-YYYY")</f>
        <v/>
      </c>
      <c r="D884" s="40">
        <f>INT(A884)-WEEKDAY(A884,2)+1</f>
        <v/>
      </c>
      <c r="E884" s="25" t="inlineStr">
        <is>
          <t>aghosh</t>
        </is>
      </c>
      <c r="F884" s="25" t="n">
        <v>3292</v>
      </c>
      <c r="G884" s="25" t="n">
        <v>1</v>
      </c>
      <c r="H884" s="25" t="n">
        <v>7</v>
      </c>
      <c r="I884" s="25" t="inlineStr">
        <is>
          <t>2 minute(s) and 22 second(s)</t>
        </is>
      </c>
      <c r="J884" s="25">
        <f>IFERROR(VALUE(TRIM(LEFT(I884,FIND("minute",I884)-1)))*60,0)+IFERROR(VALUE(SUBSTITUTE(MID(I884,IFERROR(FIND("and",I884)+3,1),20),"second(s)","")),0)</f>
        <v/>
      </c>
      <c r="K884" s="41">
        <f>J884/60</f>
        <v/>
      </c>
      <c r="L884" s="41">
        <f>IFERROR(J884/H884,"")</f>
        <v/>
      </c>
      <c r="M884" s="25" t="inlineStr">
        <is>
          <t>2.5.12</t>
        </is>
      </c>
      <c r="N884" s="25">
        <f>IF(J884&gt;300,1,0)</f>
        <v/>
      </c>
      <c r="O884" s="25">
        <f>IF(J884&gt;600,1,0)</f>
        <v/>
      </c>
      <c r="P884" s="25">
        <f>IF(H884&gt;0,J884,"")</f>
        <v/>
      </c>
      <c r="Q884" s="25">
        <f>TEXT(A884,"YYYY-MM-DD HH")</f>
        <v/>
      </c>
      <c r="R884" s="25">
        <f>COUNTIF($Q$2:$Q$5295,Q884)</f>
        <v/>
      </c>
      <c r="S884" s="25">
        <f>IF(R884&lt;=2,"1-2",IF(R884&lt;=5,"3-5",IF(R884&lt;=10,"6-10","11+")))</f>
        <v/>
      </c>
    </row>
    <row r="885">
      <c r="A885" s="39" t="n">
        <v>46162.1533449074</v>
      </c>
      <c r="B885" s="25">
        <f>TEXT(A885,"YYYY-MM")</f>
        <v/>
      </c>
      <c r="C885" s="25">
        <f>TEXT(A885,"MMM-YYYY")</f>
        <v/>
      </c>
      <c r="D885" s="40">
        <f>INT(A885)-WEEKDAY(A885,2)+1</f>
        <v/>
      </c>
      <c r="E885" s="25" t="inlineStr">
        <is>
          <t>dbhattacharyya</t>
        </is>
      </c>
      <c r="F885" s="25" t="n">
        <v>108181</v>
      </c>
      <c r="G885" s="25" t="n">
        <v>5</v>
      </c>
      <c r="H885" s="25" t="n">
        <v>19</v>
      </c>
      <c r="I885" s="25" t="inlineStr">
        <is>
          <t>4 minute(s) and 54 second(s)</t>
        </is>
      </c>
      <c r="J885" s="25">
        <f>IFERROR(VALUE(TRIM(LEFT(I885,FIND("minute",I885)-1)))*60,0)+IFERROR(VALUE(SUBSTITUTE(MID(I885,IFERROR(FIND("and",I885)+3,1),20),"second(s)","")),0)</f>
        <v/>
      </c>
      <c r="K885" s="41">
        <f>J885/60</f>
        <v/>
      </c>
      <c r="L885" s="41">
        <f>IFERROR(J885/H885,"")</f>
        <v/>
      </c>
      <c r="M885" s="25" t="inlineStr">
        <is>
          <t>2.5.12</t>
        </is>
      </c>
      <c r="N885" s="25">
        <f>IF(J885&gt;300,1,0)</f>
        <v/>
      </c>
      <c r="O885" s="25">
        <f>IF(J885&gt;600,1,0)</f>
        <v/>
      </c>
      <c r="P885" s="25">
        <f>IF(H885&gt;0,J885,"")</f>
        <v/>
      </c>
      <c r="Q885" s="25">
        <f>TEXT(A885,"YYYY-MM-DD HH")</f>
        <v/>
      </c>
      <c r="R885" s="25">
        <f>COUNTIF($Q$2:$Q$5295,Q885)</f>
        <v/>
      </c>
      <c r="S885" s="25">
        <f>IF(R885&lt;=2,"1-2",IF(R885&lt;=5,"3-5",IF(R885&lt;=10,"6-10","11+")))</f>
        <v/>
      </c>
    </row>
    <row r="886">
      <c r="A886" s="39" t="n">
        <v>46162.15756944445</v>
      </c>
      <c r="B886" s="25">
        <f>TEXT(A886,"YYYY-MM")</f>
        <v/>
      </c>
      <c r="C886" s="25">
        <f>TEXT(A886,"MMM-YYYY")</f>
        <v/>
      </c>
      <c r="D886" s="40">
        <f>INT(A886)-WEEKDAY(A886,2)+1</f>
        <v/>
      </c>
      <c r="E886" s="25" t="inlineStr">
        <is>
          <t>psathwika</t>
        </is>
      </c>
      <c r="F886" s="25" t="n">
        <v>80485</v>
      </c>
      <c r="G886" s="25" t="n">
        <v>1</v>
      </c>
      <c r="H886" s="25" t="n">
        <v>8</v>
      </c>
      <c r="I886" s="25" t="inlineStr">
        <is>
          <t>1 minute(s) and 52 second(s)</t>
        </is>
      </c>
      <c r="J886" s="25">
        <f>IFERROR(VALUE(TRIM(LEFT(I886,FIND("minute",I886)-1)))*60,0)+IFERROR(VALUE(SUBSTITUTE(MID(I886,IFERROR(FIND("and",I886)+3,1),20),"second(s)","")),0)</f>
        <v/>
      </c>
      <c r="K886" s="41">
        <f>J886/60</f>
        <v/>
      </c>
      <c r="L886" s="41">
        <f>IFERROR(J886/H886,"")</f>
        <v/>
      </c>
      <c r="M886" s="25" t="inlineStr">
        <is>
          <t>2.5.12</t>
        </is>
      </c>
      <c r="N886" s="25">
        <f>IF(J886&gt;300,1,0)</f>
        <v/>
      </c>
      <c r="O886" s="25">
        <f>IF(J886&gt;600,1,0)</f>
        <v/>
      </c>
      <c r="P886" s="25">
        <f>IF(H886&gt;0,J886,"")</f>
        <v/>
      </c>
      <c r="Q886" s="25">
        <f>TEXT(A886,"YYYY-MM-DD HH")</f>
        <v/>
      </c>
      <c r="R886" s="25">
        <f>COUNTIF($Q$2:$Q$5295,Q886)</f>
        <v/>
      </c>
      <c r="S886" s="25">
        <f>IF(R886&lt;=2,"1-2",IF(R886&lt;=5,"3-5",IF(R886&lt;=10,"6-10","11+")))</f>
        <v/>
      </c>
    </row>
    <row r="887">
      <c r="A887" s="39" t="n">
        <v>46162.15825231482</v>
      </c>
      <c r="B887" s="25">
        <f>TEXT(A887,"YYYY-MM")</f>
        <v/>
      </c>
      <c r="C887" s="25">
        <f>TEXT(A887,"MMM-YYYY")</f>
        <v/>
      </c>
      <c r="D887" s="40">
        <f>INT(A887)-WEEKDAY(A887,2)+1</f>
        <v/>
      </c>
      <c r="E887" s="25" t="inlineStr">
        <is>
          <t>ssrinivasan</t>
        </is>
      </c>
      <c r="F887" s="25" t="n">
        <v>671</v>
      </c>
      <c r="G887" s="25" t="n">
        <v>3</v>
      </c>
      <c r="H887" s="25" t="n">
        <v>13</v>
      </c>
      <c r="I887" s="25" t="inlineStr">
        <is>
          <t>5 minute(s) and 54 second(s)</t>
        </is>
      </c>
      <c r="J887" s="25">
        <f>IFERROR(VALUE(TRIM(LEFT(I887,FIND("minute",I887)-1)))*60,0)+IFERROR(VALUE(SUBSTITUTE(MID(I887,IFERROR(FIND("and",I887)+3,1),20),"second(s)","")),0)</f>
        <v/>
      </c>
      <c r="K887" s="41">
        <f>J887/60</f>
        <v/>
      </c>
      <c r="L887" s="41">
        <f>IFERROR(J887/H887,"")</f>
        <v/>
      </c>
      <c r="M887" s="25" t="inlineStr">
        <is>
          <t>2.5.12</t>
        </is>
      </c>
      <c r="N887" s="25">
        <f>IF(J887&gt;300,1,0)</f>
        <v/>
      </c>
      <c r="O887" s="25">
        <f>IF(J887&gt;600,1,0)</f>
        <v/>
      </c>
      <c r="P887" s="25">
        <f>IF(H887&gt;0,J887,"")</f>
        <v/>
      </c>
      <c r="Q887" s="25">
        <f>TEXT(A887,"YYYY-MM-DD HH")</f>
        <v/>
      </c>
      <c r="R887" s="25">
        <f>COUNTIF($Q$2:$Q$5295,Q887)</f>
        <v/>
      </c>
      <c r="S887" s="25">
        <f>IF(R887&lt;=2,"1-2",IF(R887&lt;=5,"3-5",IF(R887&lt;=10,"6-10","11+")))</f>
        <v/>
      </c>
    </row>
    <row r="888">
      <c r="A888" s="39" t="n">
        <v>46162.16214120371</v>
      </c>
      <c r="B888" s="25">
        <f>TEXT(A888,"YYYY-MM")</f>
        <v/>
      </c>
      <c r="C888" s="25">
        <f>TEXT(A888,"MMM-YYYY")</f>
        <v/>
      </c>
      <c r="D888" s="40">
        <f>INT(A888)-WEEKDAY(A888,2)+1</f>
        <v/>
      </c>
      <c r="E888" s="25" t="inlineStr">
        <is>
          <t>aupadhayay</t>
        </is>
      </c>
      <c r="F888" s="25" t="n">
        <v>476</v>
      </c>
      <c r="G888" s="25" t="n">
        <v>1</v>
      </c>
      <c r="H888" s="25" t="n">
        <v>7</v>
      </c>
      <c r="I888" s="25" t="inlineStr">
        <is>
          <t>1 minute(s) and 42 second(s)</t>
        </is>
      </c>
      <c r="J888" s="25">
        <f>IFERROR(VALUE(TRIM(LEFT(I888,FIND("minute",I888)-1)))*60,0)+IFERROR(VALUE(SUBSTITUTE(MID(I888,IFERROR(FIND("and",I888)+3,1),20),"second(s)","")),0)</f>
        <v/>
      </c>
      <c r="K888" s="41">
        <f>J888/60</f>
        <v/>
      </c>
      <c r="L888" s="41">
        <f>IFERROR(J888/H888,"")</f>
        <v/>
      </c>
      <c r="M888" s="25" t="inlineStr">
        <is>
          <t>2.5.12</t>
        </is>
      </c>
      <c r="N888" s="25">
        <f>IF(J888&gt;300,1,0)</f>
        <v/>
      </c>
      <c r="O888" s="25">
        <f>IF(J888&gt;600,1,0)</f>
        <v/>
      </c>
      <c r="P888" s="25">
        <f>IF(H888&gt;0,J888,"")</f>
        <v/>
      </c>
      <c r="Q888" s="25">
        <f>TEXT(A888,"YYYY-MM-DD HH")</f>
        <v/>
      </c>
      <c r="R888" s="25">
        <f>COUNTIF($Q$2:$Q$5295,Q888)</f>
        <v/>
      </c>
      <c r="S888" s="25">
        <f>IF(R888&lt;=2,"1-2",IF(R888&lt;=5,"3-5",IF(R888&lt;=10,"6-10","11+")))</f>
        <v/>
      </c>
    </row>
    <row r="889">
      <c r="A889" s="39" t="n">
        <v>46162.16255787037</v>
      </c>
      <c r="B889" s="25">
        <f>TEXT(A889,"YYYY-MM")</f>
        <v/>
      </c>
      <c r="C889" s="25">
        <f>TEXT(A889,"MMM-YYYY")</f>
        <v/>
      </c>
      <c r="D889" s="40">
        <f>INT(A889)-WEEKDAY(A889,2)+1</f>
        <v/>
      </c>
      <c r="E889" s="25" t="inlineStr">
        <is>
          <t>kananya</t>
        </is>
      </c>
      <c r="F889" s="25" t="n">
        <v>107476</v>
      </c>
      <c r="G889" s="25" t="n">
        <v>4</v>
      </c>
      <c r="H889" s="25" t="n">
        <v>26</v>
      </c>
      <c r="I889" s="25" t="inlineStr">
        <is>
          <t>7 minute(s) and 12 second(s)</t>
        </is>
      </c>
      <c r="J889" s="25">
        <f>IFERROR(VALUE(TRIM(LEFT(I889,FIND("minute",I889)-1)))*60,0)+IFERROR(VALUE(SUBSTITUTE(MID(I889,IFERROR(FIND("and",I889)+3,1),20),"second(s)","")),0)</f>
        <v/>
      </c>
      <c r="K889" s="41">
        <f>J889/60</f>
        <v/>
      </c>
      <c r="L889" s="41">
        <f>IFERROR(J889/H889,"")</f>
        <v/>
      </c>
      <c r="M889" s="25" t="inlineStr">
        <is>
          <t>2.5.12</t>
        </is>
      </c>
      <c r="N889" s="25">
        <f>IF(J889&gt;300,1,0)</f>
        <v/>
      </c>
      <c r="O889" s="25">
        <f>IF(J889&gt;600,1,0)</f>
        <v/>
      </c>
      <c r="P889" s="25">
        <f>IF(H889&gt;0,J889,"")</f>
        <v/>
      </c>
      <c r="Q889" s="25">
        <f>TEXT(A889,"YYYY-MM-DD HH")</f>
        <v/>
      </c>
      <c r="R889" s="25">
        <f>COUNTIF($Q$2:$Q$5295,Q889)</f>
        <v/>
      </c>
      <c r="S889" s="25">
        <f>IF(R889&lt;=2,"1-2",IF(R889&lt;=5,"3-5",IF(R889&lt;=10,"6-10","11+")))</f>
        <v/>
      </c>
    </row>
    <row r="890">
      <c r="A890" s="39" t="n">
        <v>46162.16313657408</v>
      </c>
      <c r="B890" s="25">
        <f>TEXT(A890,"YYYY-MM")</f>
        <v/>
      </c>
      <c r="C890" s="25">
        <f>TEXT(A890,"MMM-YYYY")</f>
        <v/>
      </c>
      <c r="D890" s="40">
        <f>INT(A890)-WEEKDAY(A890,2)+1</f>
        <v/>
      </c>
      <c r="E890" s="25" t="inlineStr">
        <is>
          <t>atiwari</t>
        </is>
      </c>
      <c r="F890" s="25" t="n">
        <v>536</v>
      </c>
      <c r="G890" s="25" t="n">
        <v>3</v>
      </c>
      <c r="H890" s="25" t="n">
        <v>13</v>
      </c>
      <c r="I890" s="25" t="inlineStr">
        <is>
          <t>2 minute(s) and 54 second(s)</t>
        </is>
      </c>
      <c r="J890" s="25">
        <f>IFERROR(VALUE(TRIM(LEFT(I890,FIND("minute",I890)-1)))*60,0)+IFERROR(VALUE(SUBSTITUTE(MID(I890,IFERROR(FIND("and",I890)+3,1),20),"second(s)","")),0)</f>
        <v/>
      </c>
      <c r="K890" s="41">
        <f>J890/60</f>
        <v/>
      </c>
      <c r="L890" s="41">
        <f>IFERROR(J890/H890,"")</f>
        <v/>
      </c>
      <c r="M890" s="25" t="inlineStr">
        <is>
          <t>2.5.12</t>
        </is>
      </c>
      <c r="N890" s="25">
        <f>IF(J890&gt;300,1,0)</f>
        <v/>
      </c>
      <c r="O890" s="25">
        <f>IF(J890&gt;600,1,0)</f>
        <v/>
      </c>
      <c r="P890" s="25">
        <f>IF(H890&gt;0,J890,"")</f>
        <v/>
      </c>
      <c r="Q890" s="25">
        <f>TEXT(A890,"YYYY-MM-DD HH")</f>
        <v/>
      </c>
      <c r="R890" s="25">
        <f>COUNTIF($Q$2:$Q$5295,Q890)</f>
        <v/>
      </c>
      <c r="S890" s="25">
        <f>IF(R890&lt;=2,"1-2",IF(R890&lt;=5,"3-5",IF(R890&lt;=10,"6-10","11+")))</f>
        <v/>
      </c>
    </row>
    <row r="891">
      <c r="A891" s="39" t="n">
        <v>46162.1637962963</v>
      </c>
      <c r="B891" s="25">
        <f>TEXT(A891,"YYYY-MM")</f>
        <v/>
      </c>
      <c r="C891" s="25">
        <f>TEXT(A891,"MMM-YYYY")</f>
        <v/>
      </c>
      <c r="D891" s="40">
        <f>INT(A891)-WEEKDAY(A891,2)+1</f>
        <v/>
      </c>
      <c r="E891" s="25" t="inlineStr">
        <is>
          <t>hdutt</t>
        </is>
      </c>
      <c r="F891" s="25" t="n">
        <v>3113</v>
      </c>
      <c r="G891" s="25" t="n">
        <v>1</v>
      </c>
      <c r="H891" s="25" t="n">
        <v>8</v>
      </c>
      <c r="I891" s="25" t="inlineStr">
        <is>
          <t>1 minute(s) and 40 second(s)</t>
        </is>
      </c>
      <c r="J891" s="25">
        <f>IFERROR(VALUE(TRIM(LEFT(I891,FIND("minute",I891)-1)))*60,0)+IFERROR(VALUE(SUBSTITUTE(MID(I891,IFERROR(FIND("and",I891)+3,1),20),"second(s)","")),0)</f>
        <v/>
      </c>
      <c r="K891" s="41">
        <f>J891/60</f>
        <v/>
      </c>
      <c r="L891" s="41">
        <f>IFERROR(J891/H891,"")</f>
        <v/>
      </c>
      <c r="M891" s="25" t="inlineStr">
        <is>
          <t>2.5.12</t>
        </is>
      </c>
      <c r="N891" s="25">
        <f>IF(J891&gt;300,1,0)</f>
        <v/>
      </c>
      <c r="O891" s="25">
        <f>IF(J891&gt;600,1,0)</f>
        <v/>
      </c>
      <c r="P891" s="25">
        <f>IF(H891&gt;0,J891,"")</f>
        <v/>
      </c>
      <c r="Q891" s="25">
        <f>TEXT(A891,"YYYY-MM-DD HH")</f>
        <v/>
      </c>
      <c r="R891" s="25">
        <f>COUNTIF($Q$2:$Q$5295,Q891)</f>
        <v/>
      </c>
      <c r="S891" s="25">
        <f>IF(R891&lt;=2,"1-2",IF(R891&lt;=5,"3-5",IF(R891&lt;=10,"6-10","11+")))</f>
        <v/>
      </c>
    </row>
    <row r="892">
      <c r="A892" s="39" t="n">
        <v>46162.16393518518</v>
      </c>
      <c r="B892" s="25">
        <f>TEXT(A892,"YYYY-MM")</f>
        <v/>
      </c>
      <c r="C892" s="25">
        <f>TEXT(A892,"MMM-YYYY")</f>
        <v/>
      </c>
      <c r="D892" s="40">
        <f>INT(A892)-WEEKDAY(A892,2)+1</f>
        <v/>
      </c>
      <c r="E892" s="25" t="inlineStr">
        <is>
          <t>akumari</t>
        </is>
      </c>
      <c r="F892" s="25" t="n">
        <v>116182</v>
      </c>
      <c r="G892" s="25" t="n">
        <v>2</v>
      </c>
      <c r="H892" s="25" t="n">
        <v>12</v>
      </c>
      <c r="I892" s="25" t="inlineStr">
        <is>
          <t>2 minute(s) and 25 second(s)</t>
        </is>
      </c>
      <c r="J892" s="25">
        <f>IFERROR(VALUE(TRIM(LEFT(I892,FIND("minute",I892)-1)))*60,0)+IFERROR(VALUE(SUBSTITUTE(MID(I892,IFERROR(FIND("and",I892)+3,1),20),"second(s)","")),0)</f>
        <v/>
      </c>
      <c r="K892" s="41">
        <f>J892/60</f>
        <v/>
      </c>
      <c r="L892" s="41">
        <f>IFERROR(J892/H892,"")</f>
        <v/>
      </c>
      <c r="M892" s="25" t="inlineStr">
        <is>
          <t>2.5.12</t>
        </is>
      </c>
      <c r="N892" s="25">
        <f>IF(J892&gt;300,1,0)</f>
        <v/>
      </c>
      <c r="O892" s="25">
        <f>IF(J892&gt;600,1,0)</f>
        <v/>
      </c>
      <c r="P892" s="25">
        <f>IF(H892&gt;0,J892,"")</f>
        <v/>
      </c>
      <c r="Q892" s="25">
        <f>TEXT(A892,"YYYY-MM-DD HH")</f>
        <v/>
      </c>
      <c r="R892" s="25">
        <f>COUNTIF($Q$2:$Q$5295,Q892)</f>
        <v/>
      </c>
      <c r="S892" s="25">
        <f>IF(R892&lt;=2,"1-2",IF(R892&lt;=5,"3-5",IF(R892&lt;=10,"6-10","11+")))</f>
        <v/>
      </c>
    </row>
    <row r="893">
      <c r="A893" s="39" t="n">
        <v>46162.16607638889</v>
      </c>
      <c r="B893" s="25">
        <f>TEXT(A893,"YYYY-MM")</f>
        <v/>
      </c>
      <c r="C893" s="25">
        <f>TEXT(A893,"MMM-YYYY")</f>
        <v/>
      </c>
      <c r="D893" s="40">
        <f>INT(A893)-WEEKDAY(A893,2)+1</f>
        <v/>
      </c>
      <c r="E893" s="25" t="inlineStr">
        <is>
          <t>stiwari</t>
        </is>
      </c>
      <c r="F893" s="25" t="n">
        <v>84856</v>
      </c>
      <c r="G893" s="25" t="n">
        <v>4</v>
      </c>
      <c r="H893" s="25" t="n">
        <v>16</v>
      </c>
      <c r="I893" s="25" t="inlineStr">
        <is>
          <t>7 minute(s) and 27 second(s)</t>
        </is>
      </c>
      <c r="J893" s="25">
        <f>IFERROR(VALUE(TRIM(LEFT(I893,FIND("minute",I893)-1)))*60,0)+IFERROR(VALUE(SUBSTITUTE(MID(I893,IFERROR(FIND("and",I893)+3,1),20),"second(s)","")),0)</f>
        <v/>
      </c>
      <c r="K893" s="41">
        <f>J893/60</f>
        <v/>
      </c>
      <c r="L893" s="41">
        <f>IFERROR(J893/H893,"")</f>
        <v/>
      </c>
      <c r="M893" s="25" t="inlineStr">
        <is>
          <t>2.5.12</t>
        </is>
      </c>
      <c r="N893" s="25">
        <f>IF(J893&gt;300,1,0)</f>
        <v/>
      </c>
      <c r="O893" s="25">
        <f>IF(J893&gt;600,1,0)</f>
        <v/>
      </c>
      <c r="P893" s="25">
        <f>IF(H893&gt;0,J893,"")</f>
        <v/>
      </c>
      <c r="Q893" s="25">
        <f>TEXT(A893,"YYYY-MM-DD HH")</f>
        <v/>
      </c>
      <c r="R893" s="25">
        <f>COUNTIF($Q$2:$Q$5295,Q893)</f>
        <v/>
      </c>
      <c r="S893" s="25">
        <f>IF(R893&lt;=2,"1-2",IF(R893&lt;=5,"3-5",IF(R893&lt;=10,"6-10","11+")))</f>
        <v/>
      </c>
    </row>
    <row r="894">
      <c r="A894" s="39" t="n">
        <v>46162.16636574074</v>
      </c>
      <c r="B894" s="25">
        <f>TEXT(A894,"YYYY-MM")</f>
        <v/>
      </c>
      <c r="C894" s="25">
        <f>TEXT(A894,"MMM-YYYY")</f>
        <v/>
      </c>
      <c r="D894" s="40">
        <f>INT(A894)-WEEKDAY(A894,2)+1</f>
        <v/>
      </c>
      <c r="E894" s="25" t="inlineStr">
        <is>
          <t>pgautam</t>
        </is>
      </c>
      <c r="F894" s="25" t="n">
        <v>116405</v>
      </c>
      <c r="G894" s="25" t="n">
        <v>2</v>
      </c>
      <c r="H894" s="25" t="n">
        <v>10</v>
      </c>
      <c r="I894" s="25" t="inlineStr">
        <is>
          <t>4 minute(s) and 0 second(s)</t>
        </is>
      </c>
      <c r="J894" s="25">
        <f>IFERROR(VALUE(TRIM(LEFT(I894,FIND("minute",I894)-1)))*60,0)+IFERROR(VALUE(SUBSTITUTE(MID(I894,IFERROR(FIND("and",I894)+3,1),20),"second(s)","")),0)</f>
        <v/>
      </c>
      <c r="K894" s="41">
        <f>J894/60</f>
        <v/>
      </c>
      <c r="L894" s="41">
        <f>IFERROR(J894/H894,"")</f>
        <v/>
      </c>
      <c r="M894" s="25" t="inlineStr">
        <is>
          <t>2.5.12</t>
        </is>
      </c>
      <c r="N894" s="25">
        <f>IF(J894&gt;300,1,0)</f>
        <v/>
      </c>
      <c r="O894" s="25">
        <f>IF(J894&gt;600,1,0)</f>
        <v/>
      </c>
      <c r="P894" s="25">
        <f>IF(H894&gt;0,J894,"")</f>
        <v/>
      </c>
      <c r="Q894" s="25">
        <f>TEXT(A894,"YYYY-MM-DD HH")</f>
        <v/>
      </c>
      <c r="R894" s="25">
        <f>COUNTIF($Q$2:$Q$5295,Q894)</f>
        <v/>
      </c>
      <c r="S894" s="25">
        <f>IF(R894&lt;=2,"1-2",IF(R894&lt;=5,"3-5",IF(R894&lt;=10,"6-10","11+")))</f>
        <v/>
      </c>
    </row>
    <row r="895">
      <c r="A895" s="39" t="n">
        <v>46162.16722222222</v>
      </c>
      <c r="B895" s="25">
        <f>TEXT(A895,"YYYY-MM")</f>
        <v/>
      </c>
      <c r="C895" s="25">
        <f>TEXT(A895,"MMM-YYYY")</f>
        <v/>
      </c>
      <c r="D895" s="40">
        <f>INT(A895)-WEEKDAY(A895,2)+1</f>
        <v/>
      </c>
      <c r="E895" s="25" t="inlineStr">
        <is>
          <t>csaha</t>
        </is>
      </c>
      <c r="F895" s="25" t="n">
        <v>1966</v>
      </c>
      <c r="G895" s="25" t="n">
        <v>3</v>
      </c>
      <c r="H895" s="25" t="n">
        <v>7</v>
      </c>
      <c r="I895" s="25" t="inlineStr">
        <is>
          <t>4 minute(s) and 23 second(s)</t>
        </is>
      </c>
      <c r="J895" s="25">
        <f>IFERROR(VALUE(TRIM(LEFT(I895,FIND("minute",I895)-1)))*60,0)+IFERROR(VALUE(SUBSTITUTE(MID(I895,IFERROR(FIND("and",I895)+3,1),20),"second(s)","")),0)</f>
        <v/>
      </c>
      <c r="K895" s="41">
        <f>J895/60</f>
        <v/>
      </c>
      <c r="L895" s="41">
        <f>IFERROR(J895/H895,"")</f>
        <v/>
      </c>
      <c r="M895" s="25" t="inlineStr">
        <is>
          <t>2.5.12</t>
        </is>
      </c>
      <c r="N895" s="25">
        <f>IF(J895&gt;300,1,0)</f>
        <v/>
      </c>
      <c r="O895" s="25">
        <f>IF(J895&gt;600,1,0)</f>
        <v/>
      </c>
      <c r="P895" s="25">
        <f>IF(H895&gt;0,J895,"")</f>
        <v/>
      </c>
      <c r="Q895" s="25">
        <f>TEXT(A895,"YYYY-MM-DD HH")</f>
        <v/>
      </c>
      <c r="R895" s="25">
        <f>COUNTIF($Q$2:$Q$5295,Q895)</f>
        <v/>
      </c>
      <c r="S895" s="25">
        <f>IF(R895&lt;=2,"1-2",IF(R895&lt;=5,"3-5",IF(R895&lt;=10,"6-10","11+")))</f>
        <v/>
      </c>
    </row>
    <row r="896">
      <c r="A896" s="39" t="n">
        <v>46162.16944444444</v>
      </c>
      <c r="B896" s="25">
        <f>TEXT(A896,"YYYY-MM")</f>
        <v/>
      </c>
      <c r="C896" s="25">
        <f>TEXT(A896,"MMM-YYYY")</f>
        <v/>
      </c>
      <c r="D896" s="40">
        <f>INT(A896)-WEEKDAY(A896,2)+1</f>
        <v/>
      </c>
      <c r="E896" s="25" t="inlineStr">
        <is>
          <t>ptomar</t>
        </is>
      </c>
      <c r="F896" s="25" t="n">
        <v>112</v>
      </c>
      <c r="G896" s="25" t="n">
        <v>1</v>
      </c>
      <c r="H896" s="25" t="n">
        <v>7</v>
      </c>
      <c r="I896" s="25" t="inlineStr">
        <is>
          <t>1 minute(s) and 8 second(s)</t>
        </is>
      </c>
      <c r="J896" s="25">
        <f>IFERROR(VALUE(TRIM(LEFT(I896,FIND("minute",I896)-1)))*60,0)+IFERROR(VALUE(SUBSTITUTE(MID(I896,IFERROR(FIND("and",I896)+3,1),20),"second(s)","")),0)</f>
        <v/>
      </c>
      <c r="K896" s="41">
        <f>J896/60</f>
        <v/>
      </c>
      <c r="L896" s="41">
        <f>IFERROR(J896/H896,"")</f>
        <v/>
      </c>
      <c r="M896" s="25" t="inlineStr">
        <is>
          <t>2.5.12</t>
        </is>
      </c>
      <c r="N896" s="25">
        <f>IF(J896&gt;300,1,0)</f>
        <v/>
      </c>
      <c r="O896" s="25">
        <f>IF(J896&gt;600,1,0)</f>
        <v/>
      </c>
      <c r="P896" s="25">
        <f>IF(H896&gt;0,J896,"")</f>
        <v/>
      </c>
      <c r="Q896" s="25">
        <f>TEXT(A896,"YYYY-MM-DD HH")</f>
        <v/>
      </c>
      <c r="R896" s="25">
        <f>COUNTIF($Q$2:$Q$5295,Q896)</f>
        <v/>
      </c>
      <c r="S896" s="25">
        <f>IF(R896&lt;=2,"1-2",IF(R896&lt;=5,"3-5",IF(R896&lt;=10,"6-10","11+")))</f>
        <v/>
      </c>
    </row>
    <row r="897">
      <c r="A897" s="39" t="n">
        <v>46162.18208333333</v>
      </c>
      <c r="B897" s="25">
        <f>TEXT(A897,"YYYY-MM")</f>
        <v/>
      </c>
      <c r="C897" s="25">
        <f>TEXT(A897,"MMM-YYYY")</f>
        <v/>
      </c>
      <c r="D897" s="40">
        <f>INT(A897)-WEEKDAY(A897,2)+1</f>
        <v/>
      </c>
      <c r="E897" s="25" t="inlineStr">
        <is>
          <t>aupadhayay</t>
        </is>
      </c>
      <c r="F897" s="25" t="n">
        <v>479</v>
      </c>
      <c r="G897" s="25" t="n">
        <v>1</v>
      </c>
      <c r="H897" s="25" t="n">
        <v>7</v>
      </c>
      <c r="I897" s="25" t="inlineStr">
        <is>
          <t>1 minute(s) and 33 second(s)</t>
        </is>
      </c>
      <c r="J897" s="25">
        <f>IFERROR(VALUE(TRIM(LEFT(I897,FIND("minute",I897)-1)))*60,0)+IFERROR(VALUE(SUBSTITUTE(MID(I897,IFERROR(FIND("and",I897)+3,1),20),"second(s)","")),0)</f>
        <v/>
      </c>
      <c r="K897" s="41">
        <f>J897/60</f>
        <v/>
      </c>
      <c r="L897" s="41">
        <f>IFERROR(J897/H897,"")</f>
        <v/>
      </c>
      <c r="M897" s="25" t="inlineStr">
        <is>
          <t>2.5.12</t>
        </is>
      </c>
      <c r="N897" s="25">
        <f>IF(J897&gt;300,1,0)</f>
        <v/>
      </c>
      <c r="O897" s="25">
        <f>IF(J897&gt;600,1,0)</f>
        <v/>
      </c>
      <c r="P897" s="25">
        <f>IF(H897&gt;0,J897,"")</f>
        <v/>
      </c>
      <c r="Q897" s="25">
        <f>TEXT(A897,"YYYY-MM-DD HH")</f>
        <v/>
      </c>
      <c r="R897" s="25">
        <f>COUNTIF($Q$2:$Q$5295,Q897)</f>
        <v/>
      </c>
      <c r="S897" s="25">
        <f>IF(R897&lt;=2,"1-2",IF(R897&lt;=5,"3-5",IF(R897&lt;=10,"6-10","11+")))</f>
        <v/>
      </c>
    </row>
    <row r="898">
      <c r="A898" s="39" t="n">
        <v>46162.1828125</v>
      </c>
      <c r="B898" s="25">
        <f>TEXT(A898,"YYYY-MM")</f>
        <v/>
      </c>
      <c r="C898" s="25">
        <f>TEXT(A898,"MMM-YYYY")</f>
        <v/>
      </c>
      <c r="D898" s="40">
        <f>INT(A898)-WEEKDAY(A898,2)+1</f>
        <v/>
      </c>
      <c r="E898" s="25" t="inlineStr">
        <is>
          <t>asahoo</t>
        </is>
      </c>
      <c r="F898" s="25" t="n">
        <v>116312</v>
      </c>
      <c r="G898" s="25" t="n">
        <v>3</v>
      </c>
      <c r="H898" s="25" t="n">
        <v>13</v>
      </c>
      <c r="I898" s="25" t="inlineStr">
        <is>
          <t>4 minute(s) and 21 second(s)</t>
        </is>
      </c>
      <c r="J898" s="25">
        <f>IFERROR(VALUE(TRIM(LEFT(I898,FIND("minute",I898)-1)))*60,0)+IFERROR(VALUE(SUBSTITUTE(MID(I898,IFERROR(FIND("and",I898)+3,1),20),"second(s)","")),0)</f>
        <v/>
      </c>
      <c r="K898" s="41">
        <f>J898/60</f>
        <v/>
      </c>
      <c r="L898" s="41">
        <f>IFERROR(J898/H898,"")</f>
        <v/>
      </c>
      <c r="M898" s="25" t="inlineStr">
        <is>
          <t>2.5.12</t>
        </is>
      </c>
      <c r="N898" s="25">
        <f>IF(J898&gt;300,1,0)</f>
        <v/>
      </c>
      <c r="O898" s="25">
        <f>IF(J898&gt;600,1,0)</f>
        <v/>
      </c>
      <c r="P898" s="25">
        <f>IF(H898&gt;0,J898,"")</f>
        <v/>
      </c>
      <c r="Q898" s="25">
        <f>TEXT(A898,"YYYY-MM-DD HH")</f>
        <v/>
      </c>
      <c r="R898" s="25">
        <f>COUNTIF($Q$2:$Q$5295,Q898)</f>
        <v/>
      </c>
      <c r="S898" s="25">
        <f>IF(R898&lt;=2,"1-2",IF(R898&lt;=5,"3-5",IF(R898&lt;=10,"6-10","11+")))</f>
        <v/>
      </c>
    </row>
    <row r="899">
      <c r="A899" s="39" t="n">
        <v>46162.18582175926</v>
      </c>
      <c r="B899" s="25">
        <f>TEXT(A899,"YYYY-MM")</f>
        <v/>
      </c>
      <c r="C899" s="25">
        <f>TEXT(A899,"MMM-YYYY")</f>
        <v/>
      </c>
      <c r="D899" s="40">
        <f>INT(A899)-WEEKDAY(A899,2)+1</f>
        <v/>
      </c>
      <c r="E899" s="25" t="inlineStr">
        <is>
          <t>ns</t>
        </is>
      </c>
      <c r="F899" s="25" t="n">
        <v>444</v>
      </c>
      <c r="G899" s="25" t="n">
        <v>1</v>
      </c>
      <c r="H899" s="25" t="n">
        <v>7</v>
      </c>
      <c r="I899" s="25" t="inlineStr">
        <is>
          <t>2 minute(s) and 48 second(s)</t>
        </is>
      </c>
      <c r="J899" s="25">
        <f>IFERROR(VALUE(TRIM(LEFT(I899,FIND("minute",I899)-1)))*60,0)+IFERROR(VALUE(SUBSTITUTE(MID(I899,IFERROR(FIND("and",I899)+3,1),20),"second(s)","")),0)</f>
        <v/>
      </c>
      <c r="K899" s="41">
        <f>J899/60</f>
        <v/>
      </c>
      <c r="L899" s="41">
        <f>IFERROR(J899/H899,"")</f>
        <v/>
      </c>
      <c r="M899" s="25" t="inlineStr">
        <is>
          <t>2.5.12</t>
        </is>
      </c>
      <c r="N899" s="25">
        <f>IF(J899&gt;300,1,0)</f>
        <v/>
      </c>
      <c r="O899" s="25">
        <f>IF(J899&gt;600,1,0)</f>
        <v/>
      </c>
      <c r="P899" s="25">
        <f>IF(H899&gt;0,J899,"")</f>
        <v/>
      </c>
      <c r="Q899" s="25">
        <f>TEXT(A899,"YYYY-MM-DD HH")</f>
        <v/>
      </c>
      <c r="R899" s="25">
        <f>COUNTIF($Q$2:$Q$5295,Q899)</f>
        <v/>
      </c>
      <c r="S899" s="25">
        <f>IF(R899&lt;=2,"1-2",IF(R899&lt;=5,"3-5",IF(R899&lt;=10,"6-10","11+")))</f>
        <v/>
      </c>
    </row>
    <row r="900">
      <c r="A900" s="39" t="n">
        <v>46162.18611111111</v>
      </c>
      <c r="B900" s="25">
        <f>TEXT(A900,"YYYY-MM")</f>
        <v/>
      </c>
      <c r="C900" s="25">
        <f>TEXT(A900,"MMM-YYYY")</f>
        <v/>
      </c>
      <c r="D900" s="40">
        <f>INT(A900)-WEEKDAY(A900,2)+1</f>
        <v/>
      </c>
      <c r="E900" s="25" t="inlineStr">
        <is>
          <t>ptomar</t>
        </is>
      </c>
      <c r="F900" s="25" t="n">
        <v>115</v>
      </c>
      <c r="G900" s="25" t="n">
        <v>1</v>
      </c>
      <c r="H900" s="25" t="n">
        <v>7</v>
      </c>
      <c r="I900" s="25" t="inlineStr">
        <is>
          <t>1 minute(s) and 10 second(s)</t>
        </is>
      </c>
      <c r="J900" s="25">
        <f>IFERROR(VALUE(TRIM(LEFT(I900,FIND("minute",I900)-1)))*60,0)+IFERROR(VALUE(SUBSTITUTE(MID(I900,IFERROR(FIND("and",I900)+3,1),20),"second(s)","")),0)</f>
        <v/>
      </c>
      <c r="K900" s="41">
        <f>J900/60</f>
        <v/>
      </c>
      <c r="L900" s="41">
        <f>IFERROR(J900/H900,"")</f>
        <v/>
      </c>
      <c r="M900" s="25" t="inlineStr">
        <is>
          <t>2.5.12</t>
        </is>
      </c>
      <c r="N900" s="25">
        <f>IF(J900&gt;300,1,0)</f>
        <v/>
      </c>
      <c r="O900" s="25">
        <f>IF(J900&gt;600,1,0)</f>
        <v/>
      </c>
      <c r="P900" s="25">
        <f>IF(H900&gt;0,J900,"")</f>
        <v/>
      </c>
      <c r="Q900" s="25">
        <f>TEXT(A900,"YYYY-MM-DD HH")</f>
        <v/>
      </c>
      <c r="R900" s="25">
        <f>COUNTIF($Q$2:$Q$5295,Q900)</f>
        <v/>
      </c>
      <c r="S900" s="25">
        <f>IF(R900&lt;=2,"1-2",IF(R900&lt;=5,"3-5",IF(R900&lt;=10,"6-10","11+")))</f>
        <v/>
      </c>
    </row>
    <row r="901">
      <c r="A901" s="39" t="n">
        <v>46162.19824074074</v>
      </c>
      <c r="B901" s="25">
        <f>TEXT(A901,"YYYY-MM")</f>
        <v/>
      </c>
      <c r="C901" s="25">
        <f>TEXT(A901,"MMM-YYYY")</f>
        <v/>
      </c>
      <c r="D901" s="40">
        <f>INT(A901)-WEEKDAY(A901,2)+1</f>
        <v/>
      </c>
      <c r="E901" s="25" t="inlineStr">
        <is>
          <t>ethomas</t>
        </is>
      </c>
      <c r="F901" s="25" t="n">
        <v>639</v>
      </c>
      <c r="G901" s="25" t="n">
        <v>1</v>
      </c>
      <c r="H901" s="25" t="n">
        <v>7</v>
      </c>
      <c r="I901" s="25" t="inlineStr">
        <is>
          <t>1 minute(s) and 40 second(s)</t>
        </is>
      </c>
      <c r="J901" s="25">
        <f>IFERROR(VALUE(TRIM(LEFT(I901,FIND("minute",I901)-1)))*60,0)+IFERROR(VALUE(SUBSTITUTE(MID(I901,IFERROR(FIND("and",I901)+3,1),20),"second(s)","")),0)</f>
        <v/>
      </c>
      <c r="K901" s="41">
        <f>J901/60</f>
        <v/>
      </c>
      <c r="L901" s="41">
        <f>IFERROR(J901/H901,"")</f>
        <v/>
      </c>
      <c r="M901" s="25" t="inlineStr">
        <is>
          <t>2.5.12</t>
        </is>
      </c>
      <c r="N901" s="25">
        <f>IF(J901&gt;300,1,0)</f>
        <v/>
      </c>
      <c r="O901" s="25">
        <f>IF(J901&gt;600,1,0)</f>
        <v/>
      </c>
      <c r="P901" s="25">
        <f>IF(H901&gt;0,J901,"")</f>
        <v/>
      </c>
      <c r="Q901" s="25">
        <f>TEXT(A901,"YYYY-MM-DD HH")</f>
        <v/>
      </c>
      <c r="R901" s="25">
        <f>COUNTIF($Q$2:$Q$5295,Q901)</f>
        <v/>
      </c>
      <c r="S901" s="25">
        <f>IF(R901&lt;=2,"1-2",IF(R901&lt;=5,"3-5",IF(R901&lt;=10,"6-10","11+")))</f>
        <v/>
      </c>
    </row>
    <row r="902">
      <c r="A902" s="39" t="n">
        <v>46162.20079861111</v>
      </c>
      <c r="B902" s="25">
        <f>TEXT(A902,"YYYY-MM")</f>
        <v/>
      </c>
      <c r="C902" s="25">
        <f>TEXT(A902,"MMM-YYYY")</f>
        <v/>
      </c>
      <c r="D902" s="40">
        <f>INT(A902)-WEEKDAY(A902,2)+1</f>
        <v/>
      </c>
      <c r="E902" s="25" t="inlineStr">
        <is>
          <t>vreddy</t>
        </is>
      </c>
      <c r="F902" s="25" t="n">
        <v>3088</v>
      </c>
      <c r="G902" s="25" t="n">
        <v>1</v>
      </c>
      <c r="H902" s="25" t="n">
        <v>5</v>
      </c>
      <c r="I902" s="25" t="inlineStr">
        <is>
          <t>1 minute(s) and 11 second(s)</t>
        </is>
      </c>
      <c r="J902" s="25">
        <f>IFERROR(VALUE(TRIM(LEFT(I902,FIND("minute",I902)-1)))*60,0)+IFERROR(VALUE(SUBSTITUTE(MID(I902,IFERROR(FIND("and",I902)+3,1),20),"second(s)","")),0)</f>
        <v/>
      </c>
      <c r="K902" s="41">
        <f>J902/60</f>
        <v/>
      </c>
      <c r="L902" s="41">
        <f>IFERROR(J902/H902,"")</f>
        <v/>
      </c>
      <c r="M902" s="25" t="inlineStr">
        <is>
          <t>2.5.12</t>
        </is>
      </c>
      <c r="N902" s="25">
        <f>IF(J902&gt;300,1,0)</f>
        <v/>
      </c>
      <c r="O902" s="25">
        <f>IF(J902&gt;600,1,0)</f>
        <v/>
      </c>
      <c r="P902" s="25">
        <f>IF(H902&gt;0,J902,"")</f>
        <v/>
      </c>
      <c r="Q902" s="25">
        <f>TEXT(A902,"YYYY-MM-DD HH")</f>
        <v/>
      </c>
      <c r="R902" s="25">
        <f>COUNTIF($Q$2:$Q$5295,Q902)</f>
        <v/>
      </c>
      <c r="S902" s="25">
        <f>IF(R902&lt;=2,"1-2",IF(R902&lt;=5,"3-5",IF(R902&lt;=10,"6-10","11+")))</f>
        <v/>
      </c>
    </row>
    <row r="903">
      <c r="A903" s="39" t="n">
        <v>46162.20103009259</v>
      </c>
      <c r="B903" s="25">
        <f>TEXT(A903,"YYYY-MM")</f>
        <v/>
      </c>
      <c r="C903" s="25">
        <f>TEXT(A903,"MMM-YYYY")</f>
        <v/>
      </c>
      <c r="D903" s="40">
        <f>INT(A903)-WEEKDAY(A903,2)+1</f>
        <v/>
      </c>
      <c r="E903" s="25" t="inlineStr">
        <is>
          <t>taggarwal</t>
        </is>
      </c>
      <c r="F903" s="25" t="n">
        <v>3067</v>
      </c>
      <c r="G903" s="25" t="n">
        <v>1</v>
      </c>
      <c r="H903" s="25" t="n">
        <v>7</v>
      </c>
      <c r="I903" s="25" t="inlineStr">
        <is>
          <t>2 minute(s) and 41 second(s)</t>
        </is>
      </c>
      <c r="J903" s="25">
        <f>IFERROR(VALUE(TRIM(LEFT(I903,FIND("minute",I903)-1)))*60,0)+IFERROR(VALUE(SUBSTITUTE(MID(I903,IFERROR(FIND("and",I903)+3,1),20),"second(s)","")),0)</f>
        <v/>
      </c>
      <c r="K903" s="41">
        <f>J903/60</f>
        <v/>
      </c>
      <c r="L903" s="41">
        <f>IFERROR(J903/H903,"")</f>
        <v/>
      </c>
      <c r="M903" s="25" t="inlineStr">
        <is>
          <t>2.5.12</t>
        </is>
      </c>
      <c r="N903" s="25">
        <f>IF(J903&gt;300,1,0)</f>
        <v/>
      </c>
      <c r="O903" s="25">
        <f>IF(J903&gt;600,1,0)</f>
        <v/>
      </c>
      <c r="P903" s="25">
        <f>IF(H903&gt;0,J903,"")</f>
        <v/>
      </c>
      <c r="Q903" s="25">
        <f>TEXT(A903,"YYYY-MM-DD HH")</f>
        <v/>
      </c>
      <c r="R903" s="25">
        <f>COUNTIF($Q$2:$Q$5295,Q903)</f>
        <v/>
      </c>
      <c r="S903" s="25">
        <f>IF(R903&lt;=2,"1-2",IF(R903&lt;=5,"3-5",IF(R903&lt;=10,"6-10","11+")))</f>
        <v/>
      </c>
    </row>
    <row r="904">
      <c r="A904" s="39" t="n">
        <v>46162.2015625</v>
      </c>
      <c r="B904" s="25">
        <f>TEXT(A904,"YYYY-MM")</f>
        <v/>
      </c>
      <c r="C904" s="25">
        <f>TEXT(A904,"MMM-YYYY")</f>
        <v/>
      </c>
      <c r="D904" s="40">
        <f>INT(A904)-WEEKDAY(A904,2)+1</f>
        <v/>
      </c>
      <c r="E904" s="25" t="inlineStr">
        <is>
          <t>schoppakatla</t>
        </is>
      </c>
      <c r="F904" s="25" t="n">
        <v>3264</v>
      </c>
      <c r="G904" s="25" t="n">
        <v>1</v>
      </c>
      <c r="H904" s="25" t="n">
        <v>5</v>
      </c>
      <c r="I904" s="25" t="inlineStr">
        <is>
          <t>50 second(s)</t>
        </is>
      </c>
      <c r="J904" s="25">
        <f>IFERROR(VALUE(TRIM(LEFT(I904,FIND("minute",I904)-1)))*60,0)+IFERROR(VALUE(SUBSTITUTE(MID(I904,IFERROR(FIND("and",I904)+3,1),20),"second(s)","")),0)</f>
        <v/>
      </c>
      <c r="K904" s="41">
        <f>J904/60</f>
        <v/>
      </c>
      <c r="L904" s="41">
        <f>IFERROR(J904/H904,"")</f>
        <v/>
      </c>
      <c r="M904" s="25" t="inlineStr">
        <is>
          <t>2.5.12</t>
        </is>
      </c>
      <c r="N904" s="25">
        <f>IF(J904&gt;300,1,0)</f>
        <v/>
      </c>
      <c r="O904" s="25">
        <f>IF(J904&gt;600,1,0)</f>
        <v/>
      </c>
      <c r="P904" s="25">
        <f>IF(H904&gt;0,J904,"")</f>
        <v/>
      </c>
      <c r="Q904" s="25">
        <f>TEXT(A904,"YYYY-MM-DD HH")</f>
        <v/>
      </c>
      <c r="R904" s="25">
        <f>COUNTIF($Q$2:$Q$5295,Q904)</f>
        <v/>
      </c>
      <c r="S904" s="25">
        <f>IF(R904&lt;=2,"1-2",IF(R904&lt;=5,"3-5",IF(R904&lt;=10,"6-10","11+")))</f>
        <v/>
      </c>
    </row>
    <row r="905">
      <c r="A905" s="39" t="n">
        <v>46162.20584490741</v>
      </c>
      <c r="B905" s="25">
        <f>TEXT(A905,"YYYY-MM")</f>
        <v/>
      </c>
      <c r="C905" s="25">
        <f>TEXT(A905,"MMM-YYYY")</f>
        <v/>
      </c>
      <c r="D905" s="40">
        <f>INT(A905)-WEEKDAY(A905,2)+1</f>
        <v/>
      </c>
      <c r="E905" s="25" t="inlineStr">
        <is>
          <t>ns</t>
        </is>
      </c>
      <c r="F905" s="25" t="n">
        <v>445</v>
      </c>
      <c r="G905" s="25" t="n">
        <v>1</v>
      </c>
      <c r="H905" s="25" t="n">
        <v>7</v>
      </c>
      <c r="I905" s="25" t="inlineStr">
        <is>
          <t>4 minute(s) and 26 second(s)</t>
        </is>
      </c>
      <c r="J905" s="25">
        <f>IFERROR(VALUE(TRIM(LEFT(I905,FIND("minute",I905)-1)))*60,0)+IFERROR(VALUE(SUBSTITUTE(MID(I905,IFERROR(FIND("and",I905)+3,1),20),"second(s)","")),0)</f>
        <v/>
      </c>
      <c r="K905" s="41">
        <f>J905/60</f>
        <v/>
      </c>
      <c r="L905" s="41">
        <f>IFERROR(J905/H905,"")</f>
        <v/>
      </c>
      <c r="M905" s="25" t="inlineStr">
        <is>
          <t>2.5.12</t>
        </is>
      </c>
      <c r="N905" s="25">
        <f>IF(J905&gt;300,1,0)</f>
        <v/>
      </c>
      <c r="O905" s="25">
        <f>IF(J905&gt;600,1,0)</f>
        <v/>
      </c>
      <c r="P905" s="25">
        <f>IF(H905&gt;0,J905,"")</f>
        <v/>
      </c>
      <c r="Q905" s="25">
        <f>TEXT(A905,"YYYY-MM-DD HH")</f>
        <v/>
      </c>
      <c r="R905" s="25">
        <f>COUNTIF($Q$2:$Q$5295,Q905)</f>
        <v/>
      </c>
      <c r="S905" s="25">
        <f>IF(R905&lt;=2,"1-2",IF(R905&lt;=5,"3-5",IF(R905&lt;=10,"6-10","11+")))</f>
        <v/>
      </c>
    </row>
    <row r="906">
      <c r="A906" s="39" t="n">
        <v>46162.20645833333</v>
      </c>
      <c r="B906" s="25">
        <f>TEXT(A906,"YYYY-MM")</f>
        <v/>
      </c>
      <c r="C906" s="25">
        <f>TEXT(A906,"MMM-YYYY")</f>
        <v/>
      </c>
      <c r="D906" s="40">
        <f>INT(A906)-WEEKDAY(A906,2)+1</f>
        <v/>
      </c>
      <c r="E906" s="25" t="inlineStr">
        <is>
          <t>rts</t>
        </is>
      </c>
      <c r="F906" s="25" t="n">
        <v>89689</v>
      </c>
      <c r="G906" s="25" t="n">
        <v>2</v>
      </c>
      <c r="H906" s="25" t="n">
        <v>7</v>
      </c>
      <c r="I906" s="25" t="inlineStr">
        <is>
          <t>2 minute(s) and 0 second(s)</t>
        </is>
      </c>
      <c r="J906" s="25">
        <f>IFERROR(VALUE(TRIM(LEFT(I906,FIND("minute",I906)-1)))*60,0)+IFERROR(VALUE(SUBSTITUTE(MID(I906,IFERROR(FIND("and",I906)+3,1),20),"second(s)","")),0)</f>
        <v/>
      </c>
      <c r="K906" s="41">
        <f>J906/60</f>
        <v/>
      </c>
      <c r="L906" s="41">
        <f>IFERROR(J906/H906,"")</f>
        <v/>
      </c>
      <c r="M906" s="25" t="inlineStr">
        <is>
          <t>2.5.12</t>
        </is>
      </c>
      <c r="N906" s="25">
        <f>IF(J906&gt;300,1,0)</f>
        <v/>
      </c>
      <c r="O906" s="25">
        <f>IF(J906&gt;600,1,0)</f>
        <v/>
      </c>
      <c r="P906" s="25">
        <f>IF(H906&gt;0,J906,"")</f>
        <v/>
      </c>
      <c r="Q906" s="25">
        <f>TEXT(A906,"YYYY-MM-DD HH")</f>
        <v/>
      </c>
      <c r="R906" s="25">
        <f>COUNTIF($Q$2:$Q$5295,Q906)</f>
        <v/>
      </c>
      <c r="S906" s="25">
        <f>IF(R906&lt;=2,"1-2",IF(R906&lt;=5,"3-5",IF(R906&lt;=10,"6-10","11+")))</f>
        <v/>
      </c>
    </row>
    <row r="907">
      <c r="A907" s="39" t="n">
        <v>46162.20684027778</v>
      </c>
      <c r="B907" s="25">
        <f>TEXT(A907,"YYYY-MM")</f>
        <v/>
      </c>
      <c r="C907" s="25">
        <f>TEXT(A907,"MMM-YYYY")</f>
        <v/>
      </c>
      <c r="D907" s="40">
        <f>INT(A907)-WEEKDAY(A907,2)+1</f>
        <v/>
      </c>
      <c r="E907" s="25" t="inlineStr">
        <is>
          <t>anusharma</t>
        </is>
      </c>
      <c r="F907" s="25" t="n">
        <v>3192</v>
      </c>
      <c r="G907" s="25" t="n">
        <v>1</v>
      </c>
      <c r="H907" s="25" t="n">
        <v>5</v>
      </c>
      <c r="I907" s="25" t="inlineStr">
        <is>
          <t>2 minute(s) and 18 second(s)</t>
        </is>
      </c>
      <c r="J907" s="25">
        <f>IFERROR(VALUE(TRIM(LEFT(I907,FIND("minute",I907)-1)))*60,0)+IFERROR(VALUE(SUBSTITUTE(MID(I907,IFERROR(FIND("and",I907)+3,1),20),"second(s)","")),0)</f>
        <v/>
      </c>
      <c r="K907" s="41">
        <f>J907/60</f>
        <v/>
      </c>
      <c r="L907" s="41">
        <f>IFERROR(J907/H907,"")</f>
        <v/>
      </c>
      <c r="M907" s="25" t="inlineStr">
        <is>
          <t>2.5.12</t>
        </is>
      </c>
      <c r="N907" s="25">
        <f>IF(J907&gt;300,1,0)</f>
        <v/>
      </c>
      <c r="O907" s="25">
        <f>IF(J907&gt;600,1,0)</f>
        <v/>
      </c>
      <c r="P907" s="25">
        <f>IF(H907&gt;0,J907,"")</f>
        <v/>
      </c>
      <c r="Q907" s="25">
        <f>TEXT(A907,"YYYY-MM-DD HH")</f>
        <v/>
      </c>
      <c r="R907" s="25">
        <f>COUNTIF($Q$2:$Q$5295,Q907)</f>
        <v/>
      </c>
      <c r="S907" s="25">
        <f>IF(R907&lt;=2,"1-2",IF(R907&lt;=5,"3-5",IF(R907&lt;=10,"6-10","11+")))</f>
        <v/>
      </c>
    </row>
    <row r="908">
      <c r="A908" s="39" t="n">
        <v>46162.20694444444</v>
      </c>
      <c r="B908" s="25">
        <f>TEXT(A908,"YYYY-MM")</f>
        <v/>
      </c>
      <c r="C908" s="25">
        <f>TEXT(A908,"MMM-YYYY")</f>
        <v/>
      </c>
      <c r="D908" s="40">
        <f>INT(A908)-WEEKDAY(A908,2)+1</f>
        <v/>
      </c>
      <c r="E908" s="25" t="inlineStr">
        <is>
          <t>ptomar</t>
        </is>
      </c>
      <c r="F908" s="25" t="n">
        <v>120</v>
      </c>
      <c r="G908" s="25" t="n">
        <v>1</v>
      </c>
      <c r="H908" s="25" t="n">
        <v>7</v>
      </c>
      <c r="I908" s="25" t="inlineStr">
        <is>
          <t>2 minute(s) and 5 second(s)</t>
        </is>
      </c>
      <c r="J908" s="25">
        <f>IFERROR(VALUE(TRIM(LEFT(I908,FIND("minute",I908)-1)))*60,0)+IFERROR(VALUE(SUBSTITUTE(MID(I908,IFERROR(FIND("and",I908)+3,1),20),"second(s)","")),0)</f>
        <v/>
      </c>
      <c r="K908" s="41">
        <f>J908/60</f>
        <v/>
      </c>
      <c r="L908" s="41">
        <f>IFERROR(J908/H908,"")</f>
        <v/>
      </c>
      <c r="M908" s="25" t="inlineStr">
        <is>
          <t>2.5.12</t>
        </is>
      </c>
      <c r="N908" s="25">
        <f>IF(J908&gt;300,1,0)</f>
        <v/>
      </c>
      <c r="O908" s="25">
        <f>IF(J908&gt;600,1,0)</f>
        <v/>
      </c>
      <c r="P908" s="25">
        <f>IF(H908&gt;0,J908,"")</f>
        <v/>
      </c>
      <c r="Q908" s="25">
        <f>TEXT(A908,"YYYY-MM-DD HH")</f>
        <v/>
      </c>
      <c r="R908" s="25">
        <f>COUNTIF($Q$2:$Q$5295,Q908)</f>
        <v/>
      </c>
      <c r="S908" s="25">
        <f>IF(R908&lt;=2,"1-2",IF(R908&lt;=5,"3-5",IF(R908&lt;=10,"6-10","11+")))</f>
        <v/>
      </c>
    </row>
    <row r="909">
      <c r="A909" s="39" t="n">
        <v>46162.20799768518</v>
      </c>
      <c r="B909" s="25">
        <f>TEXT(A909,"YYYY-MM")</f>
        <v/>
      </c>
      <c r="C909" s="25">
        <f>TEXT(A909,"MMM-YYYY")</f>
        <v/>
      </c>
      <c r="D909" s="40">
        <f>INT(A909)-WEEKDAY(A909,2)+1</f>
        <v/>
      </c>
      <c r="E909" s="25" t="inlineStr">
        <is>
          <t>vraina</t>
        </is>
      </c>
      <c r="F909" s="25" t="n">
        <v>84</v>
      </c>
      <c r="G909" s="25" t="n">
        <v>2</v>
      </c>
      <c r="H909" s="25" t="n">
        <v>12</v>
      </c>
      <c r="I909" s="25" t="inlineStr">
        <is>
          <t>2 minute(s) and 0 second(s)</t>
        </is>
      </c>
      <c r="J909" s="25">
        <f>IFERROR(VALUE(TRIM(LEFT(I909,FIND("minute",I909)-1)))*60,0)+IFERROR(VALUE(SUBSTITUTE(MID(I909,IFERROR(FIND("and",I909)+3,1),20),"second(s)","")),0)</f>
        <v/>
      </c>
      <c r="K909" s="41">
        <f>J909/60</f>
        <v/>
      </c>
      <c r="L909" s="41">
        <f>IFERROR(J909/H909,"")</f>
        <v/>
      </c>
      <c r="M909" s="25" t="inlineStr">
        <is>
          <t>2.5.12</t>
        </is>
      </c>
      <c r="N909" s="25">
        <f>IF(J909&gt;300,1,0)</f>
        <v/>
      </c>
      <c r="O909" s="25">
        <f>IF(J909&gt;600,1,0)</f>
        <v/>
      </c>
      <c r="P909" s="25">
        <f>IF(H909&gt;0,J909,"")</f>
        <v/>
      </c>
      <c r="Q909" s="25">
        <f>TEXT(A909,"YYYY-MM-DD HH")</f>
        <v/>
      </c>
      <c r="R909" s="25">
        <f>COUNTIF($Q$2:$Q$5295,Q909)</f>
        <v/>
      </c>
      <c r="S909" s="25">
        <f>IF(R909&lt;=2,"1-2",IF(R909&lt;=5,"3-5",IF(R909&lt;=10,"6-10","11+")))</f>
        <v/>
      </c>
    </row>
    <row r="910">
      <c r="A910" s="39" t="n">
        <v>46162.20895833334</v>
      </c>
      <c r="B910" s="25">
        <f>TEXT(A910,"YYYY-MM")</f>
        <v/>
      </c>
      <c r="C910" s="25">
        <f>TEXT(A910,"MMM-YYYY")</f>
        <v/>
      </c>
      <c r="D910" s="40">
        <f>INT(A910)-WEEKDAY(A910,2)+1</f>
        <v/>
      </c>
      <c r="E910" s="25" t="inlineStr">
        <is>
          <t>atiwari</t>
        </is>
      </c>
      <c r="F910" s="25" t="n">
        <v>567</v>
      </c>
      <c r="G910" s="25" t="n">
        <v>2</v>
      </c>
      <c r="H910" s="25" t="n">
        <v>10</v>
      </c>
      <c r="I910" s="25" t="inlineStr">
        <is>
          <t>2 minute(s) and 36 second(s)</t>
        </is>
      </c>
      <c r="J910" s="25">
        <f>IFERROR(VALUE(TRIM(LEFT(I910,FIND("minute",I910)-1)))*60,0)+IFERROR(VALUE(SUBSTITUTE(MID(I910,IFERROR(FIND("and",I910)+3,1),20),"second(s)","")),0)</f>
        <v/>
      </c>
      <c r="K910" s="41">
        <f>J910/60</f>
        <v/>
      </c>
      <c r="L910" s="41">
        <f>IFERROR(J910/H910,"")</f>
        <v/>
      </c>
      <c r="M910" s="25" t="inlineStr">
        <is>
          <t>2.5.12</t>
        </is>
      </c>
      <c r="N910" s="25">
        <f>IF(J910&gt;300,1,0)</f>
        <v/>
      </c>
      <c r="O910" s="25">
        <f>IF(J910&gt;600,1,0)</f>
        <v/>
      </c>
      <c r="P910" s="25">
        <f>IF(H910&gt;0,J910,"")</f>
        <v/>
      </c>
      <c r="Q910" s="25">
        <f>TEXT(A910,"YYYY-MM-DD HH")</f>
        <v/>
      </c>
      <c r="R910" s="25">
        <f>COUNTIF($Q$2:$Q$5295,Q910)</f>
        <v/>
      </c>
      <c r="S910" s="25">
        <f>IF(R910&lt;=2,"1-2",IF(R910&lt;=5,"3-5",IF(R910&lt;=10,"6-10","11+")))</f>
        <v/>
      </c>
    </row>
    <row r="911">
      <c r="A911" s="39" t="n">
        <v>46162.20986111111</v>
      </c>
      <c r="B911" s="25">
        <f>TEXT(A911,"YYYY-MM")</f>
        <v/>
      </c>
      <c r="C911" s="25">
        <f>TEXT(A911,"MMM-YYYY")</f>
        <v/>
      </c>
      <c r="D911" s="40">
        <f>INT(A911)-WEEKDAY(A911,2)+1</f>
        <v/>
      </c>
      <c r="E911" s="25" t="inlineStr">
        <is>
          <t>shassan</t>
        </is>
      </c>
      <c r="F911" s="25" t="n">
        <v>425</v>
      </c>
      <c r="G911" s="25" t="n">
        <v>5</v>
      </c>
      <c r="H911" s="25" t="n">
        <v>15</v>
      </c>
      <c r="I911" s="25" t="inlineStr">
        <is>
          <t>4 minute(s) and 1 second(s)</t>
        </is>
      </c>
      <c r="J911" s="25">
        <f>IFERROR(VALUE(TRIM(LEFT(I911,FIND("minute",I911)-1)))*60,0)+IFERROR(VALUE(SUBSTITUTE(MID(I911,IFERROR(FIND("and",I911)+3,1),20),"second(s)","")),0)</f>
        <v/>
      </c>
      <c r="K911" s="41">
        <f>J911/60</f>
        <v/>
      </c>
      <c r="L911" s="41">
        <f>IFERROR(J911/H911,"")</f>
        <v/>
      </c>
      <c r="M911" s="25" t="inlineStr">
        <is>
          <t>2.5.12</t>
        </is>
      </c>
      <c r="N911" s="25">
        <f>IF(J911&gt;300,1,0)</f>
        <v/>
      </c>
      <c r="O911" s="25">
        <f>IF(J911&gt;600,1,0)</f>
        <v/>
      </c>
      <c r="P911" s="25">
        <f>IF(H911&gt;0,J911,"")</f>
        <v/>
      </c>
      <c r="Q911" s="25">
        <f>TEXT(A911,"YYYY-MM-DD HH")</f>
        <v/>
      </c>
      <c r="R911" s="25">
        <f>COUNTIF($Q$2:$Q$5295,Q911)</f>
        <v/>
      </c>
      <c r="S911" s="25">
        <f>IF(R911&lt;=2,"1-2",IF(R911&lt;=5,"3-5",IF(R911&lt;=10,"6-10","11+")))</f>
        <v/>
      </c>
    </row>
    <row r="912">
      <c r="A912" s="39" t="n">
        <v>46162.21310185185</v>
      </c>
      <c r="B912" s="25">
        <f>TEXT(A912,"YYYY-MM")</f>
        <v/>
      </c>
      <c r="C912" s="25">
        <f>TEXT(A912,"MMM-YYYY")</f>
        <v/>
      </c>
      <c r="D912" s="40">
        <f>INT(A912)-WEEKDAY(A912,2)+1</f>
        <v/>
      </c>
      <c r="E912" s="25" t="inlineStr">
        <is>
          <t>akumari</t>
        </is>
      </c>
      <c r="F912" s="25" t="n">
        <v>14594</v>
      </c>
      <c r="G912" s="25" t="n">
        <v>1</v>
      </c>
      <c r="H912" s="25" t="n">
        <v>7</v>
      </c>
      <c r="I912" s="25" t="inlineStr">
        <is>
          <t>1 minute(s) and 27 second(s)</t>
        </is>
      </c>
      <c r="J912" s="25">
        <f>IFERROR(VALUE(TRIM(LEFT(I912,FIND("minute",I912)-1)))*60,0)+IFERROR(VALUE(SUBSTITUTE(MID(I912,IFERROR(FIND("and",I912)+3,1),20),"second(s)","")),0)</f>
        <v/>
      </c>
      <c r="K912" s="41">
        <f>J912/60</f>
        <v/>
      </c>
      <c r="L912" s="41">
        <f>IFERROR(J912/H912,"")</f>
        <v/>
      </c>
      <c r="M912" s="25" t="inlineStr">
        <is>
          <t>2.5.12</t>
        </is>
      </c>
      <c r="N912" s="25">
        <f>IF(J912&gt;300,1,0)</f>
        <v/>
      </c>
      <c r="O912" s="25">
        <f>IF(J912&gt;600,1,0)</f>
        <v/>
      </c>
      <c r="P912" s="25">
        <f>IF(H912&gt;0,J912,"")</f>
        <v/>
      </c>
      <c r="Q912" s="25">
        <f>TEXT(A912,"YYYY-MM-DD HH")</f>
        <v/>
      </c>
      <c r="R912" s="25">
        <f>COUNTIF($Q$2:$Q$5295,Q912)</f>
        <v/>
      </c>
      <c r="S912" s="25">
        <f>IF(R912&lt;=2,"1-2",IF(R912&lt;=5,"3-5",IF(R912&lt;=10,"6-10","11+")))</f>
        <v/>
      </c>
    </row>
    <row r="913">
      <c r="A913" s="39" t="n">
        <v>46162.21391203703</v>
      </c>
      <c r="B913" s="25">
        <f>TEXT(A913,"YYYY-MM")</f>
        <v/>
      </c>
      <c r="C913" s="25">
        <f>TEXT(A913,"MMM-YYYY")</f>
        <v/>
      </c>
      <c r="D913" s="40">
        <f>INT(A913)-WEEKDAY(A913,2)+1</f>
        <v/>
      </c>
      <c r="E913" s="25" t="inlineStr">
        <is>
          <t>aghosh</t>
        </is>
      </c>
      <c r="F913" s="25" t="n">
        <v>3293</v>
      </c>
      <c r="G913" s="25" t="n">
        <v>1</v>
      </c>
      <c r="H913" s="25" t="n">
        <v>7</v>
      </c>
      <c r="I913" s="25" t="inlineStr">
        <is>
          <t>3 minute(s) and 32 second(s)</t>
        </is>
      </c>
      <c r="J913" s="25">
        <f>IFERROR(VALUE(TRIM(LEFT(I913,FIND("minute",I913)-1)))*60,0)+IFERROR(VALUE(SUBSTITUTE(MID(I913,IFERROR(FIND("and",I913)+3,1),20),"second(s)","")),0)</f>
        <v/>
      </c>
      <c r="K913" s="41">
        <f>J913/60</f>
        <v/>
      </c>
      <c r="L913" s="41">
        <f>IFERROR(J913/H913,"")</f>
        <v/>
      </c>
      <c r="M913" s="25" t="inlineStr">
        <is>
          <t>2.5.12</t>
        </is>
      </c>
      <c r="N913" s="25">
        <f>IF(J913&gt;300,1,0)</f>
        <v/>
      </c>
      <c r="O913" s="25">
        <f>IF(J913&gt;600,1,0)</f>
        <v/>
      </c>
      <c r="P913" s="25">
        <f>IF(H913&gt;0,J913,"")</f>
        <v/>
      </c>
      <c r="Q913" s="25">
        <f>TEXT(A913,"YYYY-MM-DD HH")</f>
        <v/>
      </c>
      <c r="R913" s="25">
        <f>COUNTIF($Q$2:$Q$5295,Q913)</f>
        <v/>
      </c>
      <c r="S913" s="25">
        <f>IF(R913&lt;=2,"1-2",IF(R913&lt;=5,"3-5",IF(R913&lt;=10,"6-10","11+")))</f>
        <v/>
      </c>
    </row>
    <row r="914">
      <c r="A914" s="39" t="n">
        <v>46162.21666666667</v>
      </c>
      <c r="B914" s="25">
        <f>TEXT(A914,"YYYY-MM")</f>
        <v/>
      </c>
      <c r="C914" s="25">
        <f>TEXT(A914,"MMM-YYYY")</f>
        <v/>
      </c>
      <c r="D914" s="40">
        <f>INT(A914)-WEEKDAY(A914,2)+1</f>
        <v/>
      </c>
      <c r="E914" s="25" t="inlineStr">
        <is>
          <t>ptomar</t>
        </is>
      </c>
      <c r="F914" s="25" t="n">
        <v>3589</v>
      </c>
      <c r="G914" s="25" t="n">
        <v>1</v>
      </c>
      <c r="H914" s="25" t="n">
        <v>7</v>
      </c>
      <c r="I914" s="25" t="inlineStr">
        <is>
          <t>1 minute(s) and 23 second(s)</t>
        </is>
      </c>
      <c r="J914" s="25">
        <f>IFERROR(VALUE(TRIM(LEFT(I914,FIND("minute",I914)-1)))*60,0)+IFERROR(VALUE(SUBSTITUTE(MID(I914,IFERROR(FIND("and",I914)+3,1),20),"second(s)","")),0)</f>
        <v/>
      </c>
      <c r="K914" s="41">
        <f>J914/60</f>
        <v/>
      </c>
      <c r="L914" s="41">
        <f>IFERROR(J914/H914,"")</f>
        <v/>
      </c>
      <c r="M914" s="25" t="inlineStr">
        <is>
          <t>2.5.12</t>
        </is>
      </c>
      <c r="N914" s="25">
        <f>IF(J914&gt;300,1,0)</f>
        <v/>
      </c>
      <c r="O914" s="25">
        <f>IF(J914&gt;600,1,0)</f>
        <v/>
      </c>
      <c r="P914" s="25">
        <f>IF(H914&gt;0,J914,"")</f>
        <v/>
      </c>
      <c r="Q914" s="25">
        <f>TEXT(A914,"YYYY-MM-DD HH")</f>
        <v/>
      </c>
      <c r="R914" s="25">
        <f>COUNTIF($Q$2:$Q$5295,Q914)</f>
        <v/>
      </c>
      <c r="S914" s="25">
        <f>IF(R914&lt;=2,"1-2",IF(R914&lt;=5,"3-5",IF(R914&lt;=10,"6-10","11+")))</f>
        <v/>
      </c>
    </row>
    <row r="915">
      <c r="A915" s="39" t="n">
        <v>46162.21928240741</v>
      </c>
      <c r="B915" s="25">
        <f>TEXT(A915,"YYYY-MM")</f>
        <v/>
      </c>
      <c r="C915" s="25">
        <f>TEXT(A915,"MMM-YYYY")</f>
        <v/>
      </c>
      <c r="D915" s="40">
        <f>INT(A915)-WEEKDAY(A915,2)+1</f>
        <v/>
      </c>
      <c r="E915" s="25" t="inlineStr">
        <is>
          <t>nlnu</t>
        </is>
      </c>
      <c r="F915" s="25" t="n">
        <v>106193</v>
      </c>
      <c r="G915" s="25" t="n">
        <v>2</v>
      </c>
      <c r="H915" s="25" t="n">
        <v>8</v>
      </c>
      <c r="I915" s="25" t="inlineStr">
        <is>
          <t>2 minute(s) and 23 second(s)</t>
        </is>
      </c>
      <c r="J915" s="25">
        <f>IFERROR(VALUE(TRIM(LEFT(I915,FIND("minute",I915)-1)))*60,0)+IFERROR(VALUE(SUBSTITUTE(MID(I915,IFERROR(FIND("and",I915)+3,1),20),"second(s)","")),0)</f>
        <v/>
      </c>
      <c r="K915" s="41">
        <f>J915/60</f>
        <v/>
      </c>
      <c r="L915" s="41">
        <f>IFERROR(J915/H915,"")</f>
        <v/>
      </c>
      <c r="M915" s="25" t="inlineStr">
        <is>
          <t>2.5.12</t>
        </is>
      </c>
      <c r="N915" s="25">
        <f>IF(J915&gt;300,1,0)</f>
        <v/>
      </c>
      <c r="O915" s="25">
        <f>IF(J915&gt;600,1,0)</f>
        <v/>
      </c>
      <c r="P915" s="25">
        <f>IF(H915&gt;0,J915,"")</f>
        <v/>
      </c>
      <c r="Q915" s="25">
        <f>TEXT(A915,"YYYY-MM-DD HH")</f>
        <v/>
      </c>
      <c r="R915" s="25">
        <f>COUNTIF($Q$2:$Q$5295,Q915)</f>
        <v/>
      </c>
      <c r="S915" s="25">
        <f>IF(R915&lt;=2,"1-2",IF(R915&lt;=5,"3-5",IF(R915&lt;=10,"6-10","11+")))</f>
        <v/>
      </c>
    </row>
    <row r="916">
      <c r="A916" s="39" t="n">
        <v>46162.21954861111</v>
      </c>
      <c r="B916" s="25">
        <f>TEXT(A916,"YYYY-MM")</f>
        <v/>
      </c>
      <c r="C916" s="25">
        <f>TEXT(A916,"MMM-YYYY")</f>
        <v/>
      </c>
      <c r="D916" s="40">
        <f>INT(A916)-WEEKDAY(A916,2)+1</f>
        <v/>
      </c>
      <c r="E916" s="25" t="inlineStr">
        <is>
          <t>mgupta</t>
        </is>
      </c>
      <c r="F916" s="25" t="n">
        <v>89620</v>
      </c>
      <c r="G916" s="25" t="n">
        <v>1</v>
      </c>
      <c r="H916" s="25" t="n">
        <v>5</v>
      </c>
      <c r="I916" s="25" t="inlineStr">
        <is>
          <t>53 second(s)</t>
        </is>
      </c>
      <c r="J916" s="25">
        <f>IFERROR(VALUE(TRIM(LEFT(I916,FIND("minute",I916)-1)))*60,0)+IFERROR(VALUE(SUBSTITUTE(MID(I916,IFERROR(FIND("and",I916)+3,1),20),"second(s)","")),0)</f>
        <v/>
      </c>
      <c r="K916" s="41">
        <f>J916/60</f>
        <v/>
      </c>
      <c r="L916" s="41">
        <f>IFERROR(J916/H916,"")</f>
        <v/>
      </c>
      <c r="M916" s="25" t="inlineStr">
        <is>
          <t>2.5.12</t>
        </is>
      </c>
      <c r="N916" s="25">
        <f>IF(J916&gt;300,1,0)</f>
        <v/>
      </c>
      <c r="O916" s="25">
        <f>IF(J916&gt;600,1,0)</f>
        <v/>
      </c>
      <c r="P916" s="25">
        <f>IF(H916&gt;0,J916,"")</f>
        <v/>
      </c>
      <c r="Q916" s="25">
        <f>TEXT(A916,"YYYY-MM-DD HH")</f>
        <v/>
      </c>
      <c r="R916" s="25">
        <f>COUNTIF($Q$2:$Q$5295,Q916)</f>
        <v/>
      </c>
      <c r="S916" s="25">
        <f>IF(R916&lt;=2,"1-2",IF(R916&lt;=5,"3-5",IF(R916&lt;=10,"6-10","11+")))</f>
        <v/>
      </c>
    </row>
    <row r="917">
      <c r="A917" s="39" t="n">
        <v>46162.22017361111</v>
      </c>
      <c r="B917" s="25">
        <f>TEXT(A917,"YYYY-MM")</f>
        <v/>
      </c>
      <c r="C917" s="25">
        <f>TEXT(A917,"MMM-YYYY")</f>
        <v/>
      </c>
      <c r="D917" s="40">
        <f>INT(A917)-WEEKDAY(A917,2)+1</f>
        <v/>
      </c>
      <c r="E917" s="25" t="inlineStr">
        <is>
          <t>npriya</t>
        </is>
      </c>
      <c r="F917" s="25" t="n">
        <v>84793</v>
      </c>
      <c r="G917" s="25" t="n">
        <v>4</v>
      </c>
      <c r="H917" s="25" t="n">
        <v>16</v>
      </c>
      <c r="I917" s="25" t="inlineStr">
        <is>
          <t>3 minute(s) and 23 second(s)</t>
        </is>
      </c>
      <c r="J917" s="25">
        <f>IFERROR(VALUE(TRIM(LEFT(I917,FIND("minute",I917)-1)))*60,0)+IFERROR(VALUE(SUBSTITUTE(MID(I917,IFERROR(FIND("and",I917)+3,1),20),"second(s)","")),0)</f>
        <v/>
      </c>
      <c r="K917" s="41">
        <f>J917/60</f>
        <v/>
      </c>
      <c r="L917" s="41">
        <f>IFERROR(J917/H917,"")</f>
        <v/>
      </c>
      <c r="M917" s="25" t="inlineStr">
        <is>
          <t>2.5.12</t>
        </is>
      </c>
      <c r="N917" s="25">
        <f>IF(J917&gt;300,1,0)</f>
        <v/>
      </c>
      <c r="O917" s="25">
        <f>IF(J917&gt;600,1,0)</f>
        <v/>
      </c>
      <c r="P917" s="25">
        <f>IF(H917&gt;0,J917,"")</f>
        <v/>
      </c>
      <c r="Q917" s="25">
        <f>TEXT(A917,"YYYY-MM-DD HH")</f>
        <v/>
      </c>
      <c r="R917" s="25">
        <f>COUNTIF($Q$2:$Q$5295,Q917)</f>
        <v/>
      </c>
      <c r="S917" s="25">
        <f>IF(R917&lt;=2,"1-2",IF(R917&lt;=5,"3-5",IF(R917&lt;=10,"6-10","11+")))</f>
        <v/>
      </c>
    </row>
    <row r="918">
      <c r="A918" s="39" t="n">
        <v>46162.22027777778</v>
      </c>
      <c r="B918" s="25">
        <f>TEXT(A918,"YYYY-MM")</f>
        <v/>
      </c>
      <c r="C918" s="25">
        <f>TEXT(A918,"MMM-YYYY")</f>
        <v/>
      </c>
      <c r="D918" s="40">
        <f>INT(A918)-WEEKDAY(A918,2)+1</f>
        <v/>
      </c>
      <c r="E918" s="25" t="inlineStr">
        <is>
          <t>asahoo</t>
        </is>
      </c>
      <c r="F918" s="25" t="n">
        <v>3362</v>
      </c>
      <c r="G918" s="25" t="n">
        <v>1</v>
      </c>
      <c r="H918" s="25" t="n">
        <v>7</v>
      </c>
      <c r="I918" s="25" t="inlineStr">
        <is>
          <t>2 minute(s) and 7 second(s)</t>
        </is>
      </c>
      <c r="J918" s="25">
        <f>IFERROR(VALUE(TRIM(LEFT(I918,FIND("minute",I918)-1)))*60,0)+IFERROR(VALUE(SUBSTITUTE(MID(I918,IFERROR(FIND("and",I918)+3,1),20),"second(s)","")),0)</f>
        <v/>
      </c>
      <c r="K918" s="41">
        <f>J918/60</f>
        <v/>
      </c>
      <c r="L918" s="41">
        <f>IFERROR(J918/H918,"")</f>
        <v/>
      </c>
      <c r="M918" s="25" t="inlineStr">
        <is>
          <t>2.5.12</t>
        </is>
      </c>
      <c r="N918" s="25">
        <f>IF(J918&gt;300,1,0)</f>
        <v/>
      </c>
      <c r="O918" s="25">
        <f>IF(J918&gt;600,1,0)</f>
        <v/>
      </c>
      <c r="P918" s="25">
        <f>IF(H918&gt;0,J918,"")</f>
        <v/>
      </c>
      <c r="Q918" s="25">
        <f>TEXT(A918,"YYYY-MM-DD HH")</f>
        <v/>
      </c>
      <c r="R918" s="25">
        <f>COUNTIF($Q$2:$Q$5295,Q918)</f>
        <v/>
      </c>
      <c r="S918" s="25">
        <f>IF(R918&lt;=2,"1-2",IF(R918&lt;=5,"3-5",IF(R918&lt;=10,"6-10","11+")))</f>
        <v/>
      </c>
    </row>
    <row r="919">
      <c r="A919" s="39" t="n">
        <v>46162.22762731482</v>
      </c>
      <c r="B919" s="25">
        <f>TEXT(A919,"YYYY-MM")</f>
        <v/>
      </c>
      <c r="C919" s="25">
        <f>TEXT(A919,"MMM-YYYY")</f>
        <v/>
      </c>
      <c r="D919" s="40">
        <f>INT(A919)-WEEKDAY(A919,2)+1</f>
        <v/>
      </c>
      <c r="E919" s="25" t="inlineStr">
        <is>
          <t>abhaskarkp</t>
        </is>
      </c>
      <c r="F919" s="25" t="n">
        <v>3308</v>
      </c>
      <c r="G919" s="25" t="n">
        <v>1</v>
      </c>
      <c r="H919" s="25" t="n">
        <v>7</v>
      </c>
      <c r="I919" s="25" t="inlineStr">
        <is>
          <t>1 minute(s) and 17 second(s)</t>
        </is>
      </c>
      <c r="J919" s="25">
        <f>IFERROR(VALUE(TRIM(LEFT(I919,FIND("minute",I919)-1)))*60,0)+IFERROR(VALUE(SUBSTITUTE(MID(I919,IFERROR(FIND("and",I919)+3,1),20),"second(s)","")),0)</f>
        <v/>
      </c>
      <c r="K919" s="41">
        <f>J919/60</f>
        <v/>
      </c>
      <c r="L919" s="41">
        <f>IFERROR(J919/H919,"")</f>
        <v/>
      </c>
      <c r="M919" s="25" t="inlineStr">
        <is>
          <t>2.5.12</t>
        </is>
      </c>
      <c r="N919" s="25">
        <f>IF(J919&gt;300,1,0)</f>
        <v/>
      </c>
      <c r="O919" s="25">
        <f>IF(J919&gt;600,1,0)</f>
        <v/>
      </c>
      <c r="P919" s="25">
        <f>IF(H919&gt;0,J919,"")</f>
        <v/>
      </c>
      <c r="Q919" s="25">
        <f>TEXT(A919,"YYYY-MM-DD HH")</f>
        <v/>
      </c>
      <c r="R919" s="25">
        <f>COUNTIF($Q$2:$Q$5295,Q919)</f>
        <v/>
      </c>
      <c r="S919" s="25">
        <f>IF(R919&lt;=2,"1-2",IF(R919&lt;=5,"3-5",IF(R919&lt;=10,"6-10","11+")))</f>
        <v/>
      </c>
    </row>
    <row r="920">
      <c r="A920" s="39" t="n">
        <v>46162.22811342592</v>
      </c>
      <c r="B920" s="25">
        <f>TEXT(A920,"YYYY-MM")</f>
        <v/>
      </c>
      <c r="C920" s="25">
        <f>TEXT(A920,"MMM-YYYY")</f>
        <v/>
      </c>
      <c r="D920" s="40">
        <f>INT(A920)-WEEKDAY(A920,2)+1</f>
        <v/>
      </c>
      <c r="E920" s="25" t="inlineStr">
        <is>
          <t>atiwari</t>
        </is>
      </c>
      <c r="F920" s="25" t="n">
        <v>568</v>
      </c>
      <c r="G920" s="25" t="n">
        <v>3</v>
      </c>
      <c r="H920" s="25" t="n">
        <v>13</v>
      </c>
      <c r="I920" s="25" t="inlineStr">
        <is>
          <t>3 minute(s) and 56 second(s)</t>
        </is>
      </c>
      <c r="J920" s="25">
        <f>IFERROR(VALUE(TRIM(LEFT(I920,FIND("minute",I920)-1)))*60,0)+IFERROR(VALUE(SUBSTITUTE(MID(I920,IFERROR(FIND("and",I920)+3,1),20),"second(s)","")),0)</f>
        <v/>
      </c>
      <c r="K920" s="41">
        <f>J920/60</f>
        <v/>
      </c>
      <c r="L920" s="41">
        <f>IFERROR(J920/H920,"")</f>
        <v/>
      </c>
      <c r="M920" s="25" t="inlineStr">
        <is>
          <t>2.5.12</t>
        </is>
      </c>
      <c r="N920" s="25">
        <f>IF(J920&gt;300,1,0)</f>
        <v/>
      </c>
      <c r="O920" s="25">
        <f>IF(J920&gt;600,1,0)</f>
        <v/>
      </c>
      <c r="P920" s="25">
        <f>IF(H920&gt;0,J920,"")</f>
        <v/>
      </c>
      <c r="Q920" s="25">
        <f>TEXT(A920,"YYYY-MM-DD HH")</f>
        <v/>
      </c>
      <c r="R920" s="25">
        <f>COUNTIF($Q$2:$Q$5295,Q920)</f>
        <v/>
      </c>
      <c r="S920" s="25">
        <f>IF(R920&lt;=2,"1-2",IF(R920&lt;=5,"3-5",IF(R920&lt;=10,"6-10","11+")))</f>
        <v/>
      </c>
    </row>
    <row r="921">
      <c r="A921" s="39" t="n">
        <v>46162.23142361111</v>
      </c>
      <c r="B921" s="25">
        <f>TEXT(A921,"YYYY-MM")</f>
        <v/>
      </c>
      <c r="C921" s="25">
        <f>TEXT(A921,"MMM-YYYY")</f>
        <v/>
      </c>
      <c r="D921" s="40">
        <f>INT(A921)-WEEKDAY(A921,2)+1</f>
        <v/>
      </c>
      <c r="E921" s="25" t="inlineStr">
        <is>
          <t>taggarwal</t>
        </is>
      </c>
      <c r="F921" s="25" t="n">
        <v>3068</v>
      </c>
      <c r="G921" s="25" t="n">
        <v>1</v>
      </c>
      <c r="H921" s="25" t="n">
        <v>7</v>
      </c>
      <c r="I921" s="25" t="inlineStr">
        <is>
          <t>2 minute(s) and 42 second(s)</t>
        </is>
      </c>
      <c r="J921" s="25">
        <f>IFERROR(VALUE(TRIM(LEFT(I921,FIND("minute",I921)-1)))*60,0)+IFERROR(VALUE(SUBSTITUTE(MID(I921,IFERROR(FIND("and",I921)+3,1),20),"second(s)","")),0)</f>
        <v/>
      </c>
      <c r="K921" s="41">
        <f>J921/60</f>
        <v/>
      </c>
      <c r="L921" s="41">
        <f>IFERROR(J921/H921,"")</f>
        <v/>
      </c>
      <c r="M921" s="25" t="inlineStr">
        <is>
          <t>2.5.12</t>
        </is>
      </c>
      <c r="N921" s="25">
        <f>IF(J921&gt;300,1,0)</f>
        <v/>
      </c>
      <c r="O921" s="25">
        <f>IF(J921&gt;600,1,0)</f>
        <v/>
      </c>
      <c r="P921" s="25">
        <f>IF(H921&gt;0,J921,"")</f>
        <v/>
      </c>
      <c r="Q921" s="25">
        <f>TEXT(A921,"YYYY-MM-DD HH")</f>
        <v/>
      </c>
      <c r="R921" s="25">
        <f>COUNTIF($Q$2:$Q$5295,Q921)</f>
        <v/>
      </c>
      <c r="S921" s="25">
        <f>IF(R921&lt;=2,"1-2",IF(R921&lt;=5,"3-5",IF(R921&lt;=10,"6-10","11+")))</f>
        <v/>
      </c>
    </row>
    <row r="922">
      <c r="A922" s="39" t="n">
        <v>46162.23380787037</v>
      </c>
      <c r="B922" s="25">
        <f>TEXT(A922,"YYYY-MM")</f>
        <v/>
      </c>
      <c r="C922" s="25">
        <f>TEXT(A922,"MMM-YYYY")</f>
        <v/>
      </c>
      <c r="D922" s="40">
        <f>INT(A922)-WEEKDAY(A922,2)+1</f>
        <v/>
      </c>
      <c r="E922" s="25" t="inlineStr">
        <is>
          <t>aupadhayay</t>
        </is>
      </c>
      <c r="F922" s="25" t="n">
        <v>481</v>
      </c>
      <c r="G922" s="25" t="n">
        <v>1</v>
      </c>
      <c r="H922" s="25" t="n">
        <v>7</v>
      </c>
      <c r="I922" s="25" t="inlineStr">
        <is>
          <t>1 minute(s) and 16 second(s)</t>
        </is>
      </c>
      <c r="J922" s="25">
        <f>IFERROR(VALUE(TRIM(LEFT(I922,FIND("minute",I922)-1)))*60,0)+IFERROR(VALUE(SUBSTITUTE(MID(I922,IFERROR(FIND("and",I922)+3,1),20),"second(s)","")),0)</f>
        <v/>
      </c>
      <c r="K922" s="41">
        <f>J922/60</f>
        <v/>
      </c>
      <c r="L922" s="41">
        <f>IFERROR(J922/H922,"")</f>
        <v/>
      </c>
      <c r="M922" s="25" t="inlineStr">
        <is>
          <t>2.5.12</t>
        </is>
      </c>
      <c r="N922" s="25">
        <f>IF(J922&gt;300,1,0)</f>
        <v/>
      </c>
      <c r="O922" s="25">
        <f>IF(J922&gt;600,1,0)</f>
        <v/>
      </c>
      <c r="P922" s="25">
        <f>IF(H922&gt;0,J922,"")</f>
        <v/>
      </c>
      <c r="Q922" s="25">
        <f>TEXT(A922,"YYYY-MM-DD HH")</f>
        <v/>
      </c>
      <c r="R922" s="25">
        <f>COUNTIF($Q$2:$Q$5295,Q922)</f>
        <v/>
      </c>
      <c r="S922" s="25">
        <f>IF(R922&lt;=2,"1-2",IF(R922&lt;=5,"3-5",IF(R922&lt;=10,"6-10","11+")))</f>
        <v/>
      </c>
    </row>
    <row r="923">
      <c r="A923" s="39" t="n">
        <v>46162.23506944445</v>
      </c>
      <c r="B923" s="25">
        <f>TEXT(A923,"YYYY-MM")</f>
        <v/>
      </c>
      <c r="C923" s="25">
        <f>TEXT(A923,"MMM-YYYY")</f>
        <v/>
      </c>
      <c r="D923" s="40">
        <f>INT(A923)-WEEKDAY(A923,2)+1</f>
        <v/>
      </c>
      <c r="E923" s="25" t="inlineStr">
        <is>
          <t>dbhattacharyya</t>
        </is>
      </c>
      <c r="F923" s="25" t="n">
        <v>117051</v>
      </c>
      <c r="G923" s="25" t="n">
        <v>3</v>
      </c>
      <c r="H923" s="25" t="n">
        <v>13</v>
      </c>
      <c r="I923" s="25" t="inlineStr">
        <is>
          <t>2 minute(s) and 45 second(s)</t>
        </is>
      </c>
      <c r="J923" s="25">
        <f>IFERROR(VALUE(TRIM(LEFT(I923,FIND("minute",I923)-1)))*60,0)+IFERROR(VALUE(SUBSTITUTE(MID(I923,IFERROR(FIND("and",I923)+3,1),20),"second(s)","")),0)</f>
        <v/>
      </c>
      <c r="K923" s="41">
        <f>J923/60</f>
        <v/>
      </c>
      <c r="L923" s="41">
        <f>IFERROR(J923/H923,"")</f>
        <v/>
      </c>
      <c r="M923" s="25" t="inlineStr">
        <is>
          <t>2.5.12</t>
        </is>
      </c>
      <c r="N923" s="25">
        <f>IF(J923&gt;300,1,0)</f>
        <v/>
      </c>
      <c r="O923" s="25">
        <f>IF(J923&gt;600,1,0)</f>
        <v/>
      </c>
      <c r="P923" s="25">
        <f>IF(H923&gt;0,J923,"")</f>
        <v/>
      </c>
      <c r="Q923" s="25">
        <f>TEXT(A923,"YYYY-MM-DD HH")</f>
        <v/>
      </c>
      <c r="R923" s="25">
        <f>COUNTIF($Q$2:$Q$5295,Q923)</f>
        <v/>
      </c>
      <c r="S923" s="25">
        <f>IF(R923&lt;=2,"1-2",IF(R923&lt;=5,"3-5",IF(R923&lt;=10,"6-10","11+")))</f>
        <v/>
      </c>
    </row>
    <row r="924">
      <c r="A924" s="39" t="n">
        <v>46162.23633101852</v>
      </c>
      <c r="B924" s="25">
        <f>TEXT(A924,"YYYY-MM")</f>
        <v/>
      </c>
      <c r="C924" s="25">
        <f>TEXT(A924,"MMM-YYYY")</f>
        <v/>
      </c>
      <c r="D924" s="40">
        <f>INT(A924)-WEEKDAY(A924,2)+1</f>
        <v/>
      </c>
      <c r="E924" s="25" t="inlineStr">
        <is>
          <t>kananya</t>
        </is>
      </c>
      <c r="F924" s="25" t="n">
        <v>9123</v>
      </c>
      <c r="G924" s="25" t="n">
        <v>5</v>
      </c>
      <c r="H924" s="25" t="n">
        <v>30</v>
      </c>
      <c r="I924" s="25" t="inlineStr">
        <is>
          <t>7 minute(s) and 44 second(s)</t>
        </is>
      </c>
      <c r="J924" s="25">
        <f>IFERROR(VALUE(TRIM(LEFT(I924,FIND("minute",I924)-1)))*60,0)+IFERROR(VALUE(SUBSTITUTE(MID(I924,IFERROR(FIND("and",I924)+3,1),20),"second(s)","")),0)</f>
        <v/>
      </c>
      <c r="K924" s="41">
        <f>J924/60</f>
        <v/>
      </c>
      <c r="L924" s="41">
        <f>IFERROR(J924/H924,"")</f>
        <v/>
      </c>
      <c r="M924" s="25" t="inlineStr">
        <is>
          <t>2.5.12</t>
        </is>
      </c>
      <c r="N924" s="25">
        <f>IF(J924&gt;300,1,0)</f>
        <v/>
      </c>
      <c r="O924" s="25">
        <f>IF(J924&gt;600,1,0)</f>
        <v/>
      </c>
      <c r="P924" s="25">
        <f>IF(H924&gt;0,J924,"")</f>
        <v/>
      </c>
      <c r="Q924" s="25">
        <f>TEXT(A924,"YYYY-MM-DD HH")</f>
        <v/>
      </c>
      <c r="R924" s="25">
        <f>COUNTIF($Q$2:$Q$5295,Q924)</f>
        <v/>
      </c>
      <c r="S924" s="25">
        <f>IF(R924&lt;=2,"1-2",IF(R924&lt;=5,"3-5",IF(R924&lt;=10,"6-10","11+")))</f>
        <v/>
      </c>
    </row>
    <row r="925">
      <c r="A925" s="39" t="n">
        <v>46162.23892361111</v>
      </c>
      <c r="B925" s="25">
        <f>TEXT(A925,"YYYY-MM")</f>
        <v/>
      </c>
      <c r="C925" s="25">
        <f>TEXT(A925,"MMM-YYYY")</f>
        <v/>
      </c>
      <c r="D925" s="40">
        <f>INT(A925)-WEEKDAY(A925,2)+1</f>
        <v/>
      </c>
      <c r="E925" s="25" t="inlineStr">
        <is>
          <t>pmishra</t>
        </is>
      </c>
      <c r="F925" s="25" t="n">
        <v>3458</v>
      </c>
      <c r="G925" s="25" t="n">
        <v>1</v>
      </c>
      <c r="H925" s="25" t="n">
        <v>3</v>
      </c>
      <c r="I925" s="25" t="inlineStr">
        <is>
          <t>45 second(s)</t>
        </is>
      </c>
      <c r="J925" s="25">
        <f>IFERROR(VALUE(TRIM(LEFT(I925,FIND("minute",I925)-1)))*60,0)+IFERROR(VALUE(SUBSTITUTE(MID(I925,IFERROR(FIND("and",I925)+3,1),20),"second(s)","")),0)</f>
        <v/>
      </c>
      <c r="K925" s="41">
        <f>J925/60</f>
        <v/>
      </c>
      <c r="L925" s="41">
        <f>IFERROR(J925/H925,"")</f>
        <v/>
      </c>
      <c r="M925" s="25" t="inlineStr">
        <is>
          <t>2.5.12</t>
        </is>
      </c>
      <c r="N925" s="25">
        <f>IF(J925&gt;300,1,0)</f>
        <v/>
      </c>
      <c r="O925" s="25">
        <f>IF(J925&gt;600,1,0)</f>
        <v/>
      </c>
      <c r="P925" s="25">
        <f>IF(H925&gt;0,J925,"")</f>
        <v/>
      </c>
      <c r="Q925" s="25">
        <f>TEXT(A925,"YYYY-MM-DD HH")</f>
        <v/>
      </c>
      <c r="R925" s="25">
        <f>COUNTIF($Q$2:$Q$5295,Q925)</f>
        <v/>
      </c>
      <c r="S925" s="25">
        <f>IF(R925&lt;=2,"1-2",IF(R925&lt;=5,"3-5",IF(R925&lt;=10,"6-10","11+")))</f>
        <v/>
      </c>
    </row>
    <row r="926">
      <c r="A926" s="39" t="n">
        <v>46162.24079861111</v>
      </c>
      <c r="B926" s="25">
        <f>TEXT(A926,"YYYY-MM")</f>
        <v/>
      </c>
      <c r="C926" s="25">
        <f>TEXT(A926,"MMM-YYYY")</f>
        <v/>
      </c>
      <c r="D926" s="40">
        <f>INT(A926)-WEEKDAY(A926,2)+1</f>
        <v/>
      </c>
      <c r="E926" s="25" t="inlineStr">
        <is>
          <t>anusharma</t>
        </is>
      </c>
      <c r="F926" s="25" t="n">
        <v>3193</v>
      </c>
      <c r="G926" s="25" t="n">
        <v>1</v>
      </c>
      <c r="H926" s="25" t="n">
        <v>7</v>
      </c>
      <c r="I926" s="25" t="inlineStr">
        <is>
          <t>2 minute(s) and 59 second(s)</t>
        </is>
      </c>
      <c r="J926" s="25">
        <f>IFERROR(VALUE(TRIM(LEFT(I926,FIND("minute",I926)-1)))*60,0)+IFERROR(VALUE(SUBSTITUTE(MID(I926,IFERROR(FIND("and",I926)+3,1),20),"second(s)","")),0)</f>
        <v/>
      </c>
      <c r="K926" s="41">
        <f>J926/60</f>
        <v/>
      </c>
      <c r="L926" s="41">
        <f>IFERROR(J926/H926,"")</f>
        <v/>
      </c>
      <c r="M926" s="25" t="inlineStr">
        <is>
          <t>2.5.12</t>
        </is>
      </c>
      <c r="N926" s="25">
        <f>IF(J926&gt;300,1,0)</f>
        <v/>
      </c>
      <c r="O926" s="25">
        <f>IF(J926&gt;600,1,0)</f>
        <v/>
      </c>
      <c r="P926" s="25">
        <f>IF(H926&gt;0,J926,"")</f>
        <v/>
      </c>
      <c r="Q926" s="25">
        <f>TEXT(A926,"YYYY-MM-DD HH")</f>
        <v/>
      </c>
      <c r="R926" s="25">
        <f>COUNTIF($Q$2:$Q$5295,Q926)</f>
        <v/>
      </c>
      <c r="S926" s="25">
        <f>IF(R926&lt;=2,"1-2",IF(R926&lt;=5,"3-5",IF(R926&lt;=10,"6-10","11+")))</f>
        <v/>
      </c>
    </row>
    <row r="927">
      <c r="A927" s="39" t="n">
        <v>46162.24194444445</v>
      </c>
      <c r="B927" s="25">
        <f>TEXT(A927,"YYYY-MM")</f>
        <v/>
      </c>
      <c r="C927" s="25">
        <f>TEXT(A927,"MMM-YYYY")</f>
        <v/>
      </c>
      <c r="D927" s="40">
        <f>INT(A927)-WEEKDAY(A927,2)+1</f>
        <v/>
      </c>
      <c r="E927" s="25" t="inlineStr">
        <is>
          <t>abhaskarkp</t>
        </is>
      </c>
      <c r="F927" s="25" t="n">
        <v>3309</v>
      </c>
      <c r="G927" s="25" t="n">
        <v>1</v>
      </c>
      <c r="H927" s="25" t="n">
        <v>7</v>
      </c>
      <c r="I927" s="25" t="inlineStr">
        <is>
          <t>1 minute(s) and 17 second(s)</t>
        </is>
      </c>
      <c r="J927" s="25">
        <f>IFERROR(VALUE(TRIM(LEFT(I927,FIND("minute",I927)-1)))*60,0)+IFERROR(VALUE(SUBSTITUTE(MID(I927,IFERROR(FIND("and",I927)+3,1),20),"second(s)","")),0)</f>
        <v/>
      </c>
      <c r="K927" s="41">
        <f>J927/60</f>
        <v/>
      </c>
      <c r="L927" s="41">
        <f>IFERROR(J927/H927,"")</f>
        <v/>
      </c>
      <c r="M927" s="25" t="inlineStr">
        <is>
          <t>2.5.12</t>
        </is>
      </c>
      <c r="N927" s="25">
        <f>IF(J927&gt;300,1,0)</f>
        <v/>
      </c>
      <c r="O927" s="25">
        <f>IF(J927&gt;600,1,0)</f>
        <v/>
      </c>
      <c r="P927" s="25">
        <f>IF(H927&gt;0,J927,"")</f>
        <v/>
      </c>
      <c r="Q927" s="25">
        <f>TEXT(A927,"YYYY-MM-DD HH")</f>
        <v/>
      </c>
      <c r="R927" s="25">
        <f>COUNTIF($Q$2:$Q$5295,Q927)</f>
        <v/>
      </c>
      <c r="S927" s="25">
        <f>IF(R927&lt;=2,"1-2",IF(R927&lt;=5,"3-5",IF(R927&lt;=10,"6-10","11+")))</f>
        <v/>
      </c>
    </row>
    <row r="928">
      <c r="A928" s="39" t="n">
        <v>46162.24395833333</v>
      </c>
      <c r="B928" s="25">
        <f>TEXT(A928,"YYYY-MM")</f>
        <v/>
      </c>
      <c r="C928" s="25">
        <f>TEXT(A928,"MMM-YYYY")</f>
        <v/>
      </c>
      <c r="D928" s="40">
        <f>INT(A928)-WEEKDAY(A928,2)+1</f>
        <v/>
      </c>
      <c r="E928" s="25" t="inlineStr">
        <is>
          <t>ssrinivasan</t>
        </is>
      </c>
      <c r="F928" s="25" t="n">
        <v>856</v>
      </c>
      <c r="G928" s="25" t="n">
        <v>1</v>
      </c>
      <c r="H928" s="25" t="n">
        <v>5</v>
      </c>
      <c r="I928" s="25" t="inlineStr">
        <is>
          <t>2 minute(s) and 43 second(s)</t>
        </is>
      </c>
      <c r="J928" s="25">
        <f>IFERROR(VALUE(TRIM(LEFT(I928,FIND("minute",I928)-1)))*60,0)+IFERROR(VALUE(SUBSTITUTE(MID(I928,IFERROR(FIND("and",I928)+3,1),20),"second(s)","")),0)</f>
        <v/>
      </c>
      <c r="K928" s="41">
        <f>J928/60</f>
        <v/>
      </c>
      <c r="L928" s="41">
        <f>IFERROR(J928/H928,"")</f>
        <v/>
      </c>
      <c r="M928" s="25" t="inlineStr">
        <is>
          <t>2.5.12</t>
        </is>
      </c>
      <c r="N928" s="25">
        <f>IF(J928&gt;300,1,0)</f>
        <v/>
      </c>
      <c r="O928" s="25">
        <f>IF(J928&gt;600,1,0)</f>
        <v/>
      </c>
      <c r="P928" s="25">
        <f>IF(H928&gt;0,J928,"")</f>
        <v/>
      </c>
      <c r="Q928" s="25">
        <f>TEXT(A928,"YYYY-MM-DD HH")</f>
        <v/>
      </c>
      <c r="R928" s="25">
        <f>COUNTIF($Q$2:$Q$5295,Q928)</f>
        <v/>
      </c>
      <c r="S928" s="25">
        <f>IF(R928&lt;=2,"1-2",IF(R928&lt;=5,"3-5",IF(R928&lt;=10,"6-10","11+")))</f>
        <v/>
      </c>
    </row>
    <row r="929">
      <c r="A929" s="39" t="n">
        <v>46162.2456712963</v>
      </c>
      <c r="B929" s="25">
        <f>TEXT(A929,"YYYY-MM")</f>
        <v/>
      </c>
      <c r="C929" s="25">
        <f>TEXT(A929,"MMM-YYYY")</f>
        <v/>
      </c>
      <c r="D929" s="40">
        <f>INT(A929)-WEEKDAY(A929,2)+1</f>
        <v/>
      </c>
      <c r="E929" s="25" t="inlineStr">
        <is>
          <t>stiwari</t>
        </is>
      </c>
      <c r="F929" s="25" t="n">
        <v>3406</v>
      </c>
      <c r="G929" s="25" t="n">
        <v>1</v>
      </c>
      <c r="H929" s="25" t="n">
        <v>7</v>
      </c>
      <c r="I929" s="25" t="inlineStr">
        <is>
          <t>1 minute(s) and 39 second(s)</t>
        </is>
      </c>
      <c r="J929" s="25">
        <f>IFERROR(VALUE(TRIM(LEFT(I929,FIND("minute",I929)-1)))*60,0)+IFERROR(VALUE(SUBSTITUTE(MID(I929,IFERROR(FIND("and",I929)+3,1),20),"second(s)","")),0)</f>
        <v/>
      </c>
      <c r="K929" s="41">
        <f>J929/60</f>
        <v/>
      </c>
      <c r="L929" s="41">
        <f>IFERROR(J929/H929,"")</f>
        <v/>
      </c>
      <c r="M929" s="25" t="inlineStr">
        <is>
          <t>2.5.12</t>
        </is>
      </c>
      <c r="N929" s="25">
        <f>IF(J929&gt;300,1,0)</f>
        <v/>
      </c>
      <c r="O929" s="25">
        <f>IF(J929&gt;600,1,0)</f>
        <v/>
      </c>
      <c r="P929" s="25">
        <f>IF(H929&gt;0,J929,"")</f>
        <v/>
      </c>
      <c r="Q929" s="25">
        <f>TEXT(A929,"YYYY-MM-DD HH")</f>
        <v/>
      </c>
      <c r="R929" s="25">
        <f>COUNTIF($Q$2:$Q$5295,Q929)</f>
        <v/>
      </c>
      <c r="S929" s="25">
        <f>IF(R929&lt;=2,"1-2",IF(R929&lt;=5,"3-5",IF(R929&lt;=10,"6-10","11+")))</f>
        <v/>
      </c>
    </row>
    <row r="930">
      <c r="A930" s="39" t="n">
        <v>46162.24802083334</v>
      </c>
      <c r="B930" s="25">
        <f>TEXT(A930,"YYYY-MM")</f>
        <v/>
      </c>
      <c r="C930" s="25">
        <f>TEXT(A930,"MMM-YYYY")</f>
        <v/>
      </c>
      <c r="D930" s="40">
        <f>INT(A930)-WEEKDAY(A930,2)+1</f>
        <v/>
      </c>
      <c r="E930" s="25" t="inlineStr">
        <is>
          <t>csaha</t>
        </is>
      </c>
      <c r="F930" s="25" t="n">
        <v>1967</v>
      </c>
      <c r="G930" s="25" t="n">
        <v>3</v>
      </c>
      <c r="H930" s="25" t="n">
        <v>9</v>
      </c>
      <c r="I930" s="25" t="inlineStr">
        <is>
          <t>3 minute(s) and 29 second(s)</t>
        </is>
      </c>
      <c r="J930" s="25">
        <f>IFERROR(VALUE(TRIM(LEFT(I930,FIND("minute",I930)-1)))*60,0)+IFERROR(VALUE(SUBSTITUTE(MID(I930,IFERROR(FIND("and",I930)+3,1),20),"second(s)","")),0)</f>
        <v/>
      </c>
      <c r="K930" s="41">
        <f>J930/60</f>
        <v/>
      </c>
      <c r="L930" s="41">
        <f>IFERROR(J930/H930,"")</f>
        <v/>
      </c>
      <c r="M930" s="25" t="inlineStr">
        <is>
          <t>2.5.12</t>
        </is>
      </c>
      <c r="N930" s="25">
        <f>IF(J930&gt;300,1,0)</f>
        <v/>
      </c>
      <c r="O930" s="25">
        <f>IF(J930&gt;600,1,0)</f>
        <v/>
      </c>
      <c r="P930" s="25">
        <f>IF(H930&gt;0,J930,"")</f>
        <v/>
      </c>
      <c r="Q930" s="25">
        <f>TEXT(A930,"YYYY-MM-DD HH")</f>
        <v/>
      </c>
      <c r="R930" s="25">
        <f>COUNTIF($Q$2:$Q$5295,Q930)</f>
        <v/>
      </c>
      <c r="S930" s="25">
        <f>IF(R930&lt;=2,"1-2",IF(R930&lt;=5,"3-5",IF(R930&lt;=10,"6-10","11+")))</f>
        <v/>
      </c>
    </row>
    <row r="931">
      <c r="A931" s="39" t="n">
        <v>46162.24905092592</v>
      </c>
      <c r="B931" s="25">
        <f>TEXT(A931,"YYYY-MM")</f>
        <v/>
      </c>
      <c r="C931" s="25">
        <f>TEXT(A931,"MMM-YYYY")</f>
        <v/>
      </c>
      <c r="D931" s="40">
        <f>INT(A931)-WEEKDAY(A931,2)+1</f>
        <v/>
      </c>
      <c r="E931" s="25" t="inlineStr">
        <is>
          <t>taggarwal</t>
        </is>
      </c>
      <c r="F931" s="25" t="n">
        <v>3070</v>
      </c>
      <c r="G931" s="25" t="n">
        <v>1</v>
      </c>
      <c r="H931" s="25" t="n">
        <v>7</v>
      </c>
      <c r="I931" s="25" t="inlineStr">
        <is>
          <t>4 minute(s) and 24 second(s)</t>
        </is>
      </c>
      <c r="J931" s="25">
        <f>IFERROR(VALUE(TRIM(LEFT(I931,FIND("minute",I931)-1)))*60,0)+IFERROR(VALUE(SUBSTITUTE(MID(I931,IFERROR(FIND("and",I931)+3,1),20),"second(s)","")),0)</f>
        <v/>
      </c>
      <c r="K931" s="41">
        <f>J931/60</f>
        <v/>
      </c>
      <c r="L931" s="41">
        <f>IFERROR(J931/H931,"")</f>
        <v/>
      </c>
      <c r="M931" s="25" t="inlineStr">
        <is>
          <t>2.5.12</t>
        </is>
      </c>
      <c r="N931" s="25">
        <f>IF(J931&gt;300,1,0)</f>
        <v/>
      </c>
      <c r="O931" s="25">
        <f>IF(J931&gt;600,1,0)</f>
        <v/>
      </c>
      <c r="P931" s="25">
        <f>IF(H931&gt;0,J931,"")</f>
        <v/>
      </c>
      <c r="Q931" s="25">
        <f>TEXT(A931,"YYYY-MM-DD HH")</f>
        <v/>
      </c>
      <c r="R931" s="25">
        <f>COUNTIF($Q$2:$Q$5295,Q931)</f>
        <v/>
      </c>
      <c r="S931" s="25">
        <f>IF(R931&lt;=2,"1-2",IF(R931&lt;=5,"3-5",IF(R931&lt;=10,"6-10","11+")))</f>
        <v/>
      </c>
    </row>
    <row r="932">
      <c r="A932" s="39" t="n">
        <v>46162.24986111111</v>
      </c>
      <c r="B932" s="25">
        <f>TEXT(A932,"YYYY-MM")</f>
        <v/>
      </c>
      <c r="C932" s="25">
        <f>TEXT(A932,"MMM-YYYY")</f>
        <v/>
      </c>
      <c r="D932" s="40">
        <f>INT(A932)-WEEKDAY(A932,2)+1</f>
        <v/>
      </c>
      <c r="E932" s="25" t="inlineStr">
        <is>
          <t>nlnu</t>
        </is>
      </c>
      <c r="F932" s="25" t="n">
        <v>3516</v>
      </c>
      <c r="G932" s="25" t="n">
        <v>1</v>
      </c>
      <c r="H932" s="25" t="n">
        <v>7</v>
      </c>
      <c r="I932" s="25" t="inlineStr">
        <is>
          <t>1 minute(s) and 18 second(s)</t>
        </is>
      </c>
      <c r="J932" s="25">
        <f>IFERROR(VALUE(TRIM(LEFT(I932,FIND("minute",I932)-1)))*60,0)+IFERROR(VALUE(SUBSTITUTE(MID(I932,IFERROR(FIND("and",I932)+3,1),20),"second(s)","")),0)</f>
        <v/>
      </c>
      <c r="K932" s="41">
        <f>J932/60</f>
        <v/>
      </c>
      <c r="L932" s="41">
        <f>IFERROR(J932/H932,"")</f>
        <v/>
      </c>
      <c r="M932" s="25" t="inlineStr">
        <is>
          <t>2.5.12</t>
        </is>
      </c>
      <c r="N932" s="25">
        <f>IF(J932&gt;300,1,0)</f>
        <v/>
      </c>
      <c r="O932" s="25">
        <f>IF(J932&gt;600,1,0)</f>
        <v/>
      </c>
      <c r="P932" s="25">
        <f>IF(H932&gt;0,J932,"")</f>
        <v/>
      </c>
      <c r="Q932" s="25">
        <f>TEXT(A932,"YYYY-MM-DD HH")</f>
        <v/>
      </c>
      <c r="R932" s="25">
        <f>COUNTIF($Q$2:$Q$5295,Q932)</f>
        <v/>
      </c>
      <c r="S932" s="25">
        <f>IF(R932&lt;=2,"1-2",IF(R932&lt;=5,"3-5",IF(R932&lt;=10,"6-10","11+")))</f>
        <v/>
      </c>
    </row>
    <row r="933">
      <c r="A933" s="39" t="n">
        <v>46162.25450231481</v>
      </c>
      <c r="B933" s="25">
        <f>TEXT(A933,"YYYY-MM")</f>
        <v/>
      </c>
      <c r="C933" s="25">
        <f>TEXT(A933,"MMM-YYYY")</f>
        <v/>
      </c>
      <c r="D933" s="40">
        <f>INT(A933)-WEEKDAY(A933,2)+1</f>
        <v/>
      </c>
      <c r="E933" s="25" t="inlineStr">
        <is>
          <t>atiwari</t>
        </is>
      </c>
      <c r="F933" s="25" t="n">
        <v>569</v>
      </c>
      <c r="G933" s="25" t="n">
        <v>2</v>
      </c>
      <c r="H933" s="25" t="n">
        <v>8</v>
      </c>
      <c r="I933" s="25" t="inlineStr">
        <is>
          <t>1 minute(s) and 47 second(s)</t>
        </is>
      </c>
      <c r="J933" s="25">
        <f>IFERROR(VALUE(TRIM(LEFT(I933,FIND("minute",I933)-1)))*60,0)+IFERROR(VALUE(SUBSTITUTE(MID(I933,IFERROR(FIND("and",I933)+3,1),20),"second(s)","")),0)</f>
        <v/>
      </c>
      <c r="K933" s="41">
        <f>J933/60</f>
        <v/>
      </c>
      <c r="L933" s="41">
        <f>IFERROR(J933/H933,"")</f>
        <v/>
      </c>
      <c r="M933" s="25" t="inlineStr">
        <is>
          <t>2.5.12</t>
        </is>
      </c>
      <c r="N933" s="25">
        <f>IF(J933&gt;300,1,0)</f>
        <v/>
      </c>
      <c r="O933" s="25">
        <f>IF(J933&gt;600,1,0)</f>
        <v/>
      </c>
      <c r="P933" s="25">
        <f>IF(H933&gt;0,J933,"")</f>
        <v/>
      </c>
      <c r="Q933" s="25">
        <f>TEXT(A933,"YYYY-MM-DD HH")</f>
        <v/>
      </c>
      <c r="R933" s="25">
        <f>COUNTIF($Q$2:$Q$5295,Q933)</f>
        <v/>
      </c>
      <c r="S933" s="25">
        <f>IF(R933&lt;=2,"1-2",IF(R933&lt;=5,"3-5",IF(R933&lt;=10,"6-10","11+")))</f>
        <v/>
      </c>
    </row>
    <row r="934">
      <c r="A934" s="39" t="n">
        <v>46162.25857638889</v>
      </c>
      <c r="B934" s="25">
        <f>TEXT(A934,"YYYY-MM")</f>
        <v/>
      </c>
      <c r="C934" s="25">
        <f>TEXT(A934,"MMM-YYYY")</f>
        <v/>
      </c>
      <c r="D934" s="40">
        <f>INT(A934)-WEEKDAY(A934,2)+1</f>
        <v/>
      </c>
      <c r="E934" s="25" t="inlineStr">
        <is>
          <t>schoppakatla</t>
        </is>
      </c>
      <c r="F934" s="25" t="n">
        <v>3265</v>
      </c>
      <c r="G934" s="25" t="n">
        <v>1</v>
      </c>
      <c r="H934" s="25" t="n">
        <v>7</v>
      </c>
      <c r="I934" s="25" t="inlineStr">
        <is>
          <t>1 minute(s) and 17 second(s)</t>
        </is>
      </c>
      <c r="J934" s="25">
        <f>IFERROR(VALUE(TRIM(LEFT(I934,FIND("minute",I934)-1)))*60,0)+IFERROR(VALUE(SUBSTITUTE(MID(I934,IFERROR(FIND("and",I934)+3,1),20),"second(s)","")),0)</f>
        <v/>
      </c>
      <c r="K934" s="41">
        <f>J934/60</f>
        <v/>
      </c>
      <c r="L934" s="41">
        <f>IFERROR(J934/H934,"")</f>
        <v/>
      </c>
      <c r="M934" s="25" t="inlineStr">
        <is>
          <t>2.5.12</t>
        </is>
      </c>
      <c r="N934" s="25">
        <f>IF(J934&gt;300,1,0)</f>
        <v/>
      </c>
      <c r="O934" s="25">
        <f>IF(J934&gt;600,1,0)</f>
        <v/>
      </c>
      <c r="P934" s="25">
        <f>IF(H934&gt;0,J934,"")</f>
        <v/>
      </c>
      <c r="Q934" s="25">
        <f>TEXT(A934,"YYYY-MM-DD HH")</f>
        <v/>
      </c>
      <c r="R934" s="25">
        <f>COUNTIF($Q$2:$Q$5295,Q934)</f>
        <v/>
      </c>
      <c r="S934" s="25">
        <f>IF(R934&lt;=2,"1-2",IF(R934&lt;=5,"3-5",IF(R934&lt;=10,"6-10","11+")))</f>
        <v/>
      </c>
    </row>
    <row r="935">
      <c r="A935" s="39" t="n">
        <v>46162.25888888889</v>
      </c>
      <c r="B935" s="25">
        <f>TEXT(A935,"YYYY-MM")</f>
        <v/>
      </c>
      <c r="C935" s="25">
        <f>TEXT(A935,"MMM-YYYY")</f>
        <v/>
      </c>
      <c r="D935" s="40">
        <f>INT(A935)-WEEKDAY(A935,2)+1</f>
        <v/>
      </c>
      <c r="E935" s="25" t="inlineStr">
        <is>
          <t>aupadhayay</t>
        </is>
      </c>
      <c r="F935" s="25" t="n">
        <v>482</v>
      </c>
      <c r="G935" s="25" t="n">
        <v>1</v>
      </c>
      <c r="H935" s="25" t="n">
        <v>7</v>
      </c>
      <c r="I935" s="25" t="inlineStr">
        <is>
          <t>1 minute(s) and 26 second(s)</t>
        </is>
      </c>
      <c r="J935" s="25">
        <f>IFERROR(VALUE(TRIM(LEFT(I935,FIND("minute",I935)-1)))*60,0)+IFERROR(VALUE(SUBSTITUTE(MID(I935,IFERROR(FIND("and",I935)+3,1),20),"second(s)","")),0)</f>
        <v/>
      </c>
      <c r="K935" s="41">
        <f>J935/60</f>
        <v/>
      </c>
      <c r="L935" s="41">
        <f>IFERROR(J935/H935,"")</f>
        <v/>
      </c>
      <c r="M935" s="25" t="inlineStr">
        <is>
          <t>2.5.12</t>
        </is>
      </c>
      <c r="N935" s="25">
        <f>IF(J935&gt;300,1,0)</f>
        <v/>
      </c>
      <c r="O935" s="25">
        <f>IF(J935&gt;600,1,0)</f>
        <v/>
      </c>
      <c r="P935" s="25">
        <f>IF(H935&gt;0,J935,"")</f>
        <v/>
      </c>
      <c r="Q935" s="25">
        <f>TEXT(A935,"YYYY-MM-DD HH")</f>
        <v/>
      </c>
      <c r="R935" s="25">
        <f>COUNTIF($Q$2:$Q$5295,Q935)</f>
        <v/>
      </c>
      <c r="S935" s="25">
        <f>IF(R935&lt;=2,"1-2",IF(R935&lt;=5,"3-5",IF(R935&lt;=10,"6-10","11+")))</f>
        <v/>
      </c>
    </row>
    <row r="936">
      <c r="A936" s="39" t="n">
        <v>46162.26380787037</v>
      </c>
      <c r="B936" s="25">
        <f>TEXT(A936,"YYYY-MM")</f>
        <v/>
      </c>
      <c r="C936" s="25">
        <f>TEXT(A936,"MMM-YYYY")</f>
        <v/>
      </c>
      <c r="D936" s="40">
        <f>INT(A936)-WEEKDAY(A936,2)+1</f>
        <v/>
      </c>
      <c r="E936" s="25" t="inlineStr">
        <is>
          <t>akumari</t>
        </is>
      </c>
      <c r="F936" s="25" t="n">
        <v>116617</v>
      </c>
      <c r="G936" s="25" t="n">
        <v>3</v>
      </c>
      <c r="H936" s="25" t="n">
        <v>17</v>
      </c>
      <c r="I936" s="25" t="inlineStr">
        <is>
          <t>3 minute(s) and 7 second(s)</t>
        </is>
      </c>
      <c r="J936" s="25">
        <f>IFERROR(VALUE(TRIM(LEFT(I936,FIND("minute",I936)-1)))*60,0)+IFERROR(VALUE(SUBSTITUTE(MID(I936,IFERROR(FIND("and",I936)+3,1),20),"second(s)","")),0)</f>
        <v/>
      </c>
      <c r="K936" s="41">
        <f>J936/60</f>
        <v/>
      </c>
      <c r="L936" s="41">
        <f>IFERROR(J936/H936,"")</f>
        <v/>
      </c>
      <c r="M936" s="25" t="inlineStr">
        <is>
          <t>2.5.12</t>
        </is>
      </c>
      <c r="N936" s="25">
        <f>IF(J936&gt;300,1,0)</f>
        <v/>
      </c>
      <c r="O936" s="25">
        <f>IF(J936&gt;600,1,0)</f>
        <v/>
      </c>
      <c r="P936" s="25">
        <f>IF(H936&gt;0,J936,"")</f>
        <v/>
      </c>
      <c r="Q936" s="25">
        <f>TEXT(A936,"YYYY-MM-DD HH")</f>
        <v/>
      </c>
      <c r="R936" s="25">
        <f>COUNTIF($Q$2:$Q$5295,Q936)</f>
        <v/>
      </c>
      <c r="S936" s="25">
        <f>IF(R936&lt;=2,"1-2",IF(R936&lt;=5,"3-5",IF(R936&lt;=10,"6-10","11+")))</f>
        <v/>
      </c>
    </row>
    <row r="937">
      <c r="A937" s="39" t="n">
        <v>46162.2675</v>
      </c>
      <c r="B937" s="25">
        <f>TEXT(A937,"YYYY-MM")</f>
        <v/>
      </c>
      <c r="C937" s="25">
        <f>TEXT(A937,"MMM-YYYY")</f>
        <v/>
      </c>
      <c r="D937" s="40">
        <f>INT(A937)-WEEKDAY(A937,2)+1</f>
        <v/>
      </c>
      <c r="E937" s="25" t="inlineStr">
        <is>
          <t>emishra</t>
        </is>
      </c>
      <c r="F937" s="25" t="n">
        <v>3559</v>
      </c>
      <c r="G937" s="25" t="n">
        <v>2</v>
      </c>
      <c r="H937" s="25" t="n">
        <v>10</v>
      </c>
      <c r="I937" s="25" t="inlineStr">
        <is>
          <t>1 minute(s) and 39 second(s)</t>
        </is>
      </c>
      <c r="J937" s="25">
        <f>IFERROR(VALUE(TRIM(LEFT(I937,FIND("minute",I937)-1)))*60,0)+IFERROR(VALUE(SUBSTITUTE(MID(I937,IFERROR(FIND("and",I937)+3,1),20),"second(s)","")),0)</f>
        <v/>
      </c>
      <c r="K937" s="41">
        <f>J937/60</f>
        <v/>
      </c>
      <c r="L937" s="41">
        <f>IFERROR(J937/H937,"")</f>
        <v/>
      </c>
      <c r="M937" s="25" t="inlineStr">
        <is>
          <t>2.5.12</t>
        </is>
      </c>
      <c r="N937" s="25">
        <f>IF(J937&gt;300,1,0)</f>
        <v/>
      </c>
      <c r="O937" s="25">
        <f>IF(J937&gt;600,1,0)</f>
        <v/>
      </c>
      <c r="P937" s="25">
        <f>IF(H937&gt;0,J937,"")</f>
        <v/>
      </c>
      <c r="Q937" s="25">
        <f>TEXT(A937,"YYYY-MM-DD HH")</f>
        <v/>
      </c>
      <c r="R937" s="25">
        <f>COUNTIF($Q$2:$Q$5295,Q937)</f>
        <v/>
      </c>
      <c r="S937" s="25">
        <f>IF(R937&lt;=2,"1-2",IF(R937&lt;=5,"3-5",IF(R937&lt;=10,"6-10","11+")))</f>
        <v/>
      </c>
    </row>
    <row r="938">
      <c r="A938" s="39" t="n">
        <v>46162.26768518519</v>
      </c>
      <c r="B938" s="25">
        <f>TEXT(A938,"YYYY-MM")</f>
        <v/>
      </c>
      <c r="C938" s="25">
        <f>TEXT(A938,"MMM-YYYY")</f>
        <v/>
      </c>
      <c r="D938" s="40">
        <f>INT(A938)-WEEKDAY(A938,2)+1</f>
        <v/>
      </c>
      <c r="E938" s="25" t="inlineStr">
        <is>
          <t>abhaskarkp</t>
        </is>
      </c>
      <c r="F938" s="25" t="n">
        <v>3310</v>
      </c>
      <c r="G938" s="25" t="n">
        <v>1</v>
      </c>
      <c r="H938" s="25" t="n">
        <v>7</v>
      </c>
      <c r="I938" s="25" t="inlineStr">
        <is>
          <t>1 minute(s) and 28 second(s)</t>
        </is>
      </c>
      <c r="J938" s="25">
        <f>IFERROR(VALUE(TRIM(LEFT(I938,FIND("minute",I938)-1)))*60,0)+IFERROR(VALUE(SUBSTITUTE(MID(I938,IFERROR(FIND("and",I938)+3,1),20),"second(s)","")),0)</f>
        <v/>
      </c>
      <c r="K938" s="41">
        <f>J938/60</f>
        <v/>
      </c>
      <c r="L938" s="41">
        <f>IFERROR(J938/H938,"")</f>
        <v/>
      </c>
      <c r="M938" s="25" t="inlineStr">
        <is>
          <t>2.5.12</t>
        </is>
      </c>
      <c r="N938" s="25">
        <f>IF(J938&gt;300,1,0)</f>
        <v/>
      </c>
      <c r="O938" s="25">
        <f>IF(J938&gt;600,1,0)</f>
        <v/>
      </c>
      <c r="P938" s="25">
        <f>IF(H938&gt;0,J938,"")</f>
        <v/>
      </c>
      <c r="Q938" s="25">
        <f>TEXT(A938,"YYYY-MM-DD HH")</f>
        <v/>
      </c>
      <c r="R938" s="25">
        <f>COUNTIF($Q$2:$Q$5295,Q938)</f>
        <v/>
      </c>
      <c r="S938" s="25">
        <f>IF(R938&lt;=2,"1-2",IF(R938&lt;=5,"3-5",IF(R938&lt;=10,"6-10","11+")))</f>
        <v/>
      </c>
    </row>
    <row r="939">
      <c r="A939" s="39" t="n">
        <v>46162.26972222222</v>
      </c>
      <c r="B939" s="25">
        <f>TEXT(A939,"YYYY-MM")</f>
        <v/>
      </c>
      <c r="C939" s="25">
        <f>TEXT(A939,"MMM-YYYY")</f>
        <v/>
      </c>
      <c r="D939" s="40">
        <f>INT(A939)-WEEKDAY(A939,2)+1</f>
        <v/>
      </c>
      <c r="E939" s="25" t="inlineStr">
        <is>
          <t>stiwari</t>
        </is>
      </c>
      <c r="F939" s="25" t="n">
        <v>3407</v>
      </c>
      <c r="G939" s="25" t="n">
        <v>1</v>
      </c>
      <c r="H939" s="25" t="n">
        <v>7</v>
      </c>
      <c r="I939" s="25" t="inlineStr">
        <is>
          <t>1 minute(s) and 15 second(s)</t>
        </is>
      </c>
      <c r="J939" s="25">
        <f>IFERROR(VALUE(TRIM(LEFT(I939,FIND("minute",I939)-1)))*60,0)+IFERROR(VALUE(SUBSTITUTE(MID(I939,IFERROR(FIND("and",I939)+3,1),20),"second(s)","")),0)</f>
        <v/>
      </c>
      <c r="K939" s="41">
        <f>J939/60</f>
        <v/>
      </c>
      <c r="L939" s="41">
        <f>IFERROR(J939/H939,"")</f>
        <v/>
      </c>
      <c r="M939" s="25" t="inlineStr">
        <is>
          <t>2.5.12</t>
        </is>
      </c>
      <c r="N939" s="25">
        <f>IF(J939&gt;300,1,0)</f>
        <v/>
      </c>
      <c r="O939" s="25">
        <f>IF(J939&gt;600,1,0)</f>
        <v/>
      </c>
      <c r="P939" s="25">
        <f>IF(H939&gt;0,J939,"")</f>
        <v/>
      </c>
      <c r="Q939" s="25">
        <f>TEXT(A939,"YYYY-MM-DD HH")</f>
        <v/>
      </c>
      <c r="R939" s="25">
        <f>COUNTIF($Q$2:$Q$5295,Q939)</f>
        <v/>
      </c>
      <c r="S939" s="25">
        <f>IF(R939&lt;=2,"1-2",IF(R939&lt;=5,"3-5",IF(R939&lt;=10,"6-10","11+")))</f>
        <v/>
      </c>
    </row>
    <row r="940">
      <c r="A940" s="39" t="n">
        <v>46162.27143518518</v>
      </c>
      <c r="B940" s="25">
        <f>TEXT(A940,"YYYY-MM")</f>
        <v/>
      </c>
      <c r="C940" s="25">
        <f>TEXT(A940,"MMM-YYYY")</f>
        <v/>
      </c>
      <c r="D940" s="40">
        <f>INT(A940)-WEEKDAY(A940,2)+1</f>
        <v/>
      </c>
      <c r="E940" s="25" t="inlineStr">
        <is>
          <t>dbhattacharyya</t>
        </is>
      </c>
      <c r="F940" s="25" t="n">
        <v>3608</v>
      </c>
      <c r="G940" s="25" t="n">
        <v>2</v>
      </c>
      <c r="H940" s="25" t="n">
        <v>10</v>
      </c>
      <c r="I940" s="25" t="inlineStr">
        <is>
          <t>1 minute(s) and 30 second(s)</t>
        </is>
      </c>
      <c r="J940" s="25">
        <f>IFERROR(VALUE(TRIM(LEFT(I940,FIND("minute",I940)-1)))*60,0)+IFERROR(VALUE(SUBSTITUTE(MID(I940,IFERROR(FIND("and",I940)+3,1),20),"second(s)","")),0)</f>
        <v/>
      </c>
      <c r="K940" s="41">
        <f>J940/60</f>
        <v/>
      </c>
      <c r="L940" s="41">
        <f>IFERROR(J940/H940,"")</f>
        <v/>
      </c>
      <c r="M940" s="25" t="inlineStr">
        <is>
          <t>2.5.12</t>
        </is>
      </c>
      <c r="N940" s="25">
        <f>IF(J940&gt;300,1,0)</f>
        <v/>
      </c>
      <c r="O940" s="25">
        <f>IF(J940&gt;600,1,0)</f>
        <v/>
      </c>
      <c r="P940" s="25">
        <f>IF(H940&gt;0,J940,"")</f>
        <v/>
      </c>
      <c r="Q940" s="25">
        <f>TEXT(A940,"YYYY-MM-DD HH")</f>
        <v/>
      </c>
      <c r="R940" s="25">
        <f>COUNTIF($Q$2:$Q$5295,Q940)</f>
        <v/>
      </c>
      <c r="S940" s="25">
        <f>IF(R940&lt;=2,"1-2",IF(R940&lt;=5,"3-5",IF(R940&lt;=10,"6-10","11+")))</f>
        <v/>
      </c>
    </row>
    <row r="941">
      <c r="A941" s="39" t="n">
        <v>46162.27335648148</v>
      </c>
      <c r="B941" s="25">
        <f>TEXT(A941,"YYYY-MM")</f>
        <v/>
      </c>
      <c r="C941" s="25">
        <f>TEXT(A941,"MMM-YYYY")</f>
        <v/>
      </c>
      <c r="D941" s="40">
        <f>INT(A941)-WEEKDAY(A941,2)+1</f>
        <v/>
      </c>
      <c r="E941" s="25" t="inlineStr">
        <is>
          <t>aghosh</t>
        </is>
      </c>
      <c r="F941" s="25" t="n">
        <v>3294</v>
      </c>
      <c r="G941" s="25" t="n">
        <v>2</v>
      </c>
      <c r="H941" s="25" t="n">
        <v>10</v>
      </c>
      <c r="I941" s="25" t="inlineStr">
        <is>
          <t>2 minute(s) and 23 second(s)</t>
        </is>
      </c>
      <c r="J941" s="25">
        <f>IFERROR(VALUE(TRIM(LEFT(I941,FIND("minute",I941)-1)))*60,0)+IFERROR(VALUE(SUBSTITUTE(MID(I941,IFERROR(FIND("and",I941)+3,1),20),"second(s)","")),0)</f>
        <v/>
      </c>
      <c r="K941" s="41">
        <f>J941/60</f>
        <v/>
      </c>
      <c r="L941" s="41">
        <f>IFERROR(J941/H941,"")</f>
        <v/>
      </c>
      <c r="M941" s="25" t="inlineStr">
        <is>
          <t>2.5.12</t>
        </is>
      </c>
      <c r="N941" s="25">
        <f>IF(J941&gt;300,1,0)</f>
        <v/>
      </c>
      <c r="O941" s="25">
        <f>IF(J941&gt;600,1,0)</f>
        <v/>
      </c>
      <c r="P941" s="25">
        <f>IF(H941&gt;0,J941,"")</f>
        <v/>
      </c>
      <c r="Q941" s="25">
        <f>TEXT(A941,"YYYY-MM-DD HH")</f>
        <v/>
      </c>
      <c r="R941" s="25">
        <f>COUNTIF($Q$2:$Q$5295,Q941)</f>
        <v/>
      </c>
      <c r="S941" s="25">
        <f>IF(R941&lt;=2,"1-2",IF(R941&lt;=5,"3-5",IF(R941&lt;=10,"6-10","11+")))</f>
        <v/>
      </c>
    </row>
    <row r="942">
      <c r="A942" s="39" t="n">
        <v>46162.27376157408</v>
      </c>
      <c r="B942" s="25">
        <f>TEXT(A942,"YYYY-MM")</f>
        <v/>
      </c>
      <c r="C942" s="25">
        <f>TEXT(A942,"MMM-YYYY")</f>
        <v/>
      </c>
      <c r="D942" s="40">
        <f>INT(A942)-WEEKDAY(A942,2)+1</f>
        <v/>
      </c>
      <c r="E942" s="25" t="inlineStr">
        <is>
          <t>mgupta</t>
        </is>
      </c>
      <c r="F942" s="25" t="n">
        <v>89634</v>
      </c>
      <c r="G942" s="25" t="n">
        <v>2</v>
      </c>
      <c r="H942" s="25" t="n">
        <v>10</v>
      </c>
      <c r="I942" s="25" t="inlineStr">
        <is>
          <t>1 minute(s) and 49 second(s)</t>
        </is>
      </c>
      <c r="J942" s="25">
        <f>IFERROR(VALUE(TRIM(LEFT(I942,FIND("minute",I942)-1)))*60,0)+IFERROR(VALUE(SUBSTITUTE(MID(I942,IFERROR(FIND("and",I942)+3,1),20),"second(s)","")),0)</f>
        <v/>
      </c>
      <c r="K942" s="41">
        <f>J942/60</f>
        <v/>
      </c>
      <c r="L942" s="41">
        <f>IFERROR(J942/H942,"")</f>
        <v/>
      </c>
      <c r="M942" s="25" t="inlineStr">
        <is>
          <t>2.5.12</t>
        </is>
      </c>
      <c r="N942" s="25">
        <f>IF(J942&gt;300,1,0)</f>
        <v/>
      </c>
      <c r="O942" s="25">
        <f>IF(J942&gt;600,1,0)</f>
        <v/>
      </c>
      <c r="P942" s="25">
        <f>IF(H942&gt;0,J942,"")</f>
        <v/>
      </c>
      <c r="Q942" s="25">
        <f>TEXT(A942,"YYYY-MM-DD HH")</f>
        <v/>
      </c>
      <c r="R942" s="25">
        <f>COUNTIF($Q$2:$Q$5295,Q942)</f>
        <v/>
      </c>
      <c r="S942" s="25">
        <f>IF(R942&lt;=2,"1-2",IF(R942&lt;=5,"3-5",IF(R942&lt;=10,"6-10","11+")))</f>
        <v/>
      </c>
    </row>
    <row r="943">
      <c r="A943" s="39" t="n">
        <v>46162.27474537037</v>
      </c>
      <c r="B943" s="25">
        <f>TEXT(A943,"YYYY-MM")</f>
        <v/>
      </c>
      <c r="C943" s="25">
        <f>TEXT(A943,"MMM-YYYY")</f>
        <v/>
      </c>
      <c r="D943" s="40">
        <f>INT(A943)-WEEKDAY(A943,2)+1</f>
        <v/>
      </c>
      <c r="E943" s="25" t="inlineStr">
        <is>
          <t>ssrinivasan</t>
        </is>
      </c>
      <c r="F943" s="25" t="n">
        <v>855</v>
      </c>
      <c r="G943" s="25" t="n">
        <v>1</v>
      </c>
      <c r="H943" s="25" t="n">
        <v>5</v>
      </c>
      <c r="I943" s="25" t="inlineStr">
        <is>
          <t>2 minute(s) and 3 second(s)</t>
        </is>
      </c>
      <c r="J943" s="25">
        <f>IFERROR(VALUE(TRIM(LEFT(I943,FIND("minute",I943)-1)))*60,0)+IFERROR(VALUE(SUBSTITUTE(MID(I943,IFERROR(FIND("and",I943)+3,1),20),"second(s)","")),0)</f>
        <v/>
      </c>
      <c r="K943" s="41">
        <f>J943/60</f>
        <v/>
      </c>
      <c r="L943" s="41">
        <f>IFERROR(J943/H943,"")</f>
        <v/>
      </c>
      <c r="M943" s="25" t="inlineStr">
        <is>
          <t>2.5.12</t>
        </is>
      </c>
      <c r="N943" s="25">
        <f>IF(J943&gt;300,1,0)</f>
        <v/>
      </c>
      <c r="O943" s="25">
        <f>IF(J943&gt;600,1,0)</f>
        <v/>
      </c>
      <c r="P943" s="25">
        <f>IF(H943&gt;0,J943,"")</f>
        <v/>
      </c>
      <c r="Q943" s="25">
        <f>TEXT(A943,"YYYY-MM-DD HH")</f>
        <v/>
      </c>
      <c r="R943" s="25">
        <f>COUNTIF($Q$2:$Q$5295,Q943)</f>
        <v/>
      </c>
      <c r="S943" s="25">
        <f>IF(R943&lt;=2,"1-2",IF(R943&lt;=5,"3-5",IF(R943&lt;=10,"6-10","11+")))</f>
        <v/>
      </c>
    </row>
    <row r="944">
      <c r="A944" s="39" t="n">
        <v>46162.28196759259</v>
      </c>
      <c r="B944" s="25">
        <f>TEXT(A944,"YYYY-MM")</f>
        <v/>
      </c>
      <c r="C944" s="25">
        <f>TEXT(A944,"MMM-YYYY")</f>
        <v/>
      </c>
      <c r="D944" s="40">
        <f>INT(A944)-WEEKDAY(A944,2)+1</f>
        <v/>
      </c>
      <c r="E944" s="25" t="inlineStr">
        <is>
          <t>anusharma</t>
        </is>
      </c>
      <c r="F944" s="25" t="n">
        <v>3197</v>
      </c>
      <c r="G944" s="25" t="n">
        <v>2</v>
      </c>
      <c r="H944" s="25" t="n">
        <v>8</v>
      </c>
      <c r="I944" s="25" t="inlineStr">
        <is>
          <t>1 minute(s) and 23 second(s)</t>
        </is>
      </c>
      <c r="J944" s="25">
        <f>IFERROR(VALUE(TRIM(LEFT(I944,FIND("minute",I944)-1)))*60,0)+IFERROR(VALUE(SUBSTITUTE(MID(I944,IFERROR(FIND("and",I944)+3,1),20),"second(s)","")),0)</f>
        <v/>
      </c>
      <c r="K944" s="41">
        <f>J944/60</f>
        <v/>
      </c>
      <c r="L944" s="41">
        <f>IFERROR(J944/H944,"")</f>
        <v/>
      </c>
      <c r="M944" s="25" t="inlineStr">
        <is>
          <t>2.5.12</t>
        </is>
      </c>
      <c r="N944" s="25">
        <f>IF(J944&gt;300,1,0)</f>
        <v/>
      </c>
      <c r="O944" s="25">
        <f>IF(J944&gt;600,1,0)</f>
        <v/>
      </c>
      <c r="P944" s="25">
        <f>IF(H944&gt;0,J944,"")</f>
        <v/>
      </c>
      <c r="Q944" s="25">
        <f>TEXT(A944,"YYYY-MM-DD HH")</f>
        <v/>
      </c>
      <c r="R944" s="25">
        <f>COUNTIF($Q$2:$Q$5295,Q944)</f>
        <v/>
      </c>
      <c r="S944" s="25">
        <f>IF(R944&lt;=2,"1-2",IF(R944&lt;=5,"3-5",IF(R944&lt;=10,"6-10","11+")))</f>
        <v/>
      </c>
    </row>
    <row r="945">
      <c r="A945" s="39" t="n">
        <v>46162.28386574074</v>
      </c>
      <c r="B945" s="25">
        <f>TEXT(A945,"YYYY-MM")</f>
        <v/>
      </c>
      <c r="C945" s="25">
        <f>TEXT(A945,"MMM-YYYY")</f>
        <v/>
      </c>
      <c r="D945" s="40">
        <f>INT(A945)-WEEKDAY(A945,2)+1</f>
        <v/>
      </c>
      <c r="E945" s="25" t="inlineStr">
        <is>
          <t>stiwari</t>
        </is>
      </c>
      <c r="F945" s="25" t="n">
        <v>3408</v>
      </c>
      <c r="G945" s="25" t="n">
        <v>1</v>
      </c>
      <c r="H945" s="25" t="n">
        <v>5</v>
      </c>
      <c r="I945" s="25" t="inlineStr">
        <is>
          <t>1 minute(s) and 31 second(s)</t>
        </is>
      </c>
      <c r="J945" s="25">
        <f>IFERROR(VALUE(TRIM(LEFT(I945,FIND("minute",I945)-1)))*60,0)+IFERROR(VALUE(SUBSTITUTE(MID(I945,IFERROR(FIND("and",I945)+3,1),20),"second(s)","")),0)</f>
        <v/>
      </c>
      <c r="K945" s="41">
        <f>J945/60</f>
        <v/>
      </c>
      <c r="L945" s="41">
        <f>IFERROR(J945/H945,"")</f>
        <v/>
      </c>
      <c r="M945" s="25" t="inlineStr">
        <is>
          <t>2.5.12</t>
        </is>
      </c>
      <c r="N945" s="25">
        <f>IF(J945&gt;300,1,0)</f>
        <v/>
      </c>
      <c r="O945" s="25">
        <f>IF(J945&gt;600,1,0)</f>
        <v/>
      </c>
      <c r="P945" s="25">
        <f>IF(H945&gt;0,J945,"")</f>
        <v/>
      </c>
      <c r="Q945" s="25">
        <f>TEXT(A945,"YYYY-MM-DD HH")</f>
        <v/>
      </c>
      <c r="R945" s="25">
        <f>COUNTIF($Q$2:$Q$5295,Q945)</f>
        <v/>
      </c>
      <c r="S945" s="25">
        <f>IF(R945&lt;=2,"1-2",IF(R945&lt;=5,"3-5",IF(R945&lt;=10,"6-10","11+")))</f>
        <v/>
      </c>
    </row>
    <row r="946">
      <c r="A946" s="39" t="n">
        <v>46162.29209490741</v>
      </c>
      <c r="B946" s="25">
        <f>TEXT(A946,"YYYY-MM")</f>
        <v/>
      </c>
      <c r="C946" s="25">
        <f>TEXT(A946,"MMM-YYYY")</f>
        <v/>
      </c>
      <c r="D946" s="40">
        <f>INT(A946)-WEEKDAY(A946,2)+1</f>
        <v/>
      </c>
      <c r="E946" s="25" t="inlineStr">
        <is>
          <t>vreddy</t>
        </is>
      </c>
      <c r="F946" s="25" t="n">
        <v>3091</v>
      </c>
      <c r="G946" s="25" t="n">
        <v>1</v>
      </c>
      <c r="H946" s="25" t="n">
        <v>5</v>
      </c>
      <c r="I946" s="25" t="inlineStr">
        <is>
          <t>1 minute(s) and 13 second(s)</t>
        </is>
      </c>
      <c r="J946" s="25">
        <f>IFERROR(VALUE(TRIM(LEFT(I946,FIND("minute",I946)-1)))*60,0)+IFERROR(VALUE(SUBSTITUTE(MID(I946,IFERROR(FIND("and",I946)+3,1),20),"second(s)","")),0)</f>
        <v/>
      </c>
      <c r="K946" s="41">
        <f>J946/60</f>
        <v/>
      </c>
      <c r="L946" s="41">
        <f>IFERROR(J946/H946,"")</f>
        <v/>
      </c>
      <c r="M946" s="25" t="inlineStr">
        <is>
          <t>2.5.12</t>
        </is>
      </c>
      <c r="N946" s="25">
        <f>IF(J946&gt;300,1,0)</f>
        <v/>
      </c>
      <c r="O946" s="25">
        <f>IF(J946&gt;600,1,0)</f>
        <v/>
      </c>
      <c r="P946" s="25">
        <f>IF(H946&gt;0,J946,"")</f>
        <v/>
      </c>
      <c r="Q946" s="25">
        <f>TEXT(A946,"YYYY-MM-DD HH")</f>
        <v/>
      </c>
      <c r="R946" s="25">
        <f>COUNTIF($Q$2:$Q$5295,Q946)</f>
        <v/>
      </c>
      <c r="S946" s="25">
        <f>IF(R946&lt;=2,"1-2",IF(R946&lt;=5,"3-5",IF(R946&lt;=10,"6-10","11+")))</f>
        <v/>
      </c>
    </row>
    <row r="947">
      <c r="A947" s="39" t="n">
        <v>46162.29306712963</v>
      </c>
      <c r="B947" s="25">
        <f>TEXT(A947,"YYYY-MM")</f>
        <v/>
      </c>
      <c r="C947" s="25">
        <f>TEXT(A947,"MMM-YYYY")</f>
        <v/>
      </c>
      <c r="D947" s="40">
        <f>INT(A947)-WEEKDAY(A947,2)+1</f>
        <v/>
      </c>
      <c r="E947" s="25" t="inlineStr">
        <is>
          <t>mbhalla</t>
        </is>
      </c>
      <c r="F947" s="25" t="n">
        <v>67</v>
      </c>
      <c r="G947" s="25" t="n">
        <v>1</v>
      </c>
      <c r="H947" s="25" t="n">
        <v>5</v>
      </c>
      <c r="I947" s="25" t="inlineStr">
        <is>
          <t>1 minute(s) and 58 second(s)</t>
        </is>
      </c>
      <c r="J947" s="25">
        <f>IFERROR(VALUE(TRIM(LEFT(I947,FIND("minute",I947)-1)))*60,0)+IFERROR(VALUE(SUBSTITUTE(MID(I947,IFERROR(FIND("and",I947)+3,1),20),"second(s)","")),0)</f>
        <v/>
      </c>
      <c r="K947" s="41">
        <f>J947/60</f>
        <v/>
      </c>
      <c r="L947" s="41">
        <f>IFERROR(J947/H947,"")</f>
        <v/>
      </c>
      <c r="M947" s="25" t="inlineStr">
        <is>
          <t>2.5.12</t>
        </is>
      </c>
      <c r="N947" s="25">
        <f>IF(J947&gt;300,1,0)</f>
        <v/>
      </c>
      <c r="O947" s="25">
        <f>IF(J947&gt;600,1,0)</f>
        <v/>
      </c>
      <c r="P947" s="25">
        <f>IF(H947&gt;0,J947,"")</f>
        <v/>
      </c>
      <c r="Q947" s="25">
        <f>TEXT(A947,"YYYY-MM-DD HH")</f>
        <v/>
      </c>
      <c r="R947" s="25">
        <f>COUNTIF($Q$2:$Q$5295,Q947)</f>
        <v/>
      </c>
      <c r="S947" s="25">
        <f>IF(R947&lt;=2,"1-2",IF(R947&lt;=5,"3-5",IF(R947&lt;=10,"6-10","11+")))</f>
        <v/>
      </c>
    </row>
    <row r="948">
      <c r="A948" s="39" t="n">
        <v>46162.29853009259</v>
      </c>
      <c r="B948" s="25">
        <f>TEXT(A948,"YYYY-MM")</f>
        <v/>
      </c>
      <c r="C948" s="25">
        <f>TEXT(A948,"MMM-YYYY")</f>
        <v/>
      </c>
      <c r="D948" s="40">
        <f>INT(A948)-WEEKDAY(A948,2)+1</f>
        <v/>
      </c>
      <c r="E948" s="25" t="inlineStr">
        <is>
          <t>shassan</t>
        </is>
      </c>
      <c r="F948" s="25" t="n">
        <v>427</v>
      </c>
      <c r="G948" s="25" t="n">
        <v>1</v>
      </c>
      <c r="H948" s="25" t="n">
        <v>7</v>
      </c>
      <c r="I948" s="25" t="inlineStr">
        <is>
          <t>1 minute(s) and 33 second(s)</t>
        </is>
      </c>
      <c r="J948" s="25">
        <f>IFERROR(VALUE(TRIM(LEFT(I948,FIND("minute",I948)-1)))*60,0)+IFERROR(VALUE(SUBSTITUTE(MID(I948,IFERROR(FIND("and",I948)+3,1),20),"second(s)","")),0)</f>
        <v/>
      </c>
      <c r="K948" s="41">
        <f>J948/60</f>
        <v/>
      </c>
      <c r="L948" s="41">
        <f>IFERROR(J948/H948,"")</f>
        <v/>
      </c>
      <c r="M948" s="25" t="inlineStr">
        <is>
          <t>2.5.12</t>
        </is>
      </c>
      <c r="N948" s="25">
        <f>IF(J948&gt;300,1,0)</f>
        <v/>
      </c>
      <c r="O948" s="25">
        <f>IF(J948&gt;600,1,0)</f>
        <v/>
      </c>
      <c r="P948" s="25">
        <f>IF(H948&gt;0,J948,"")</f>
        <v/>
      </c>
      <c r="Q948" s="25">
        <f>TEXT(A948,"YYYY-MM-DD HH")</f>
        <v/>
      </c>
      <c r="R948" s="25">
        <f>COUNTIF($Q$2:$Q$5295,Q948)</f>
        <v/>
      </c>
      <c r="S948" s="25">
        <f>IF(R948&lt;=2,"1-2",IF(R948&lt;=5,"3-5",IF(R948&lt;=10,"6-10","11+")))</f>
        <v/>
      </c>
    </row>
    <row r="949">
      <c r="A949" s="39" t="n">
        <v>46162.29908564815</v>
      </c>
      <c r="B949" s="25">
        <f>TEXT(A949,"YYYY-MM")</f>
        <v/>
      </c>
      <c r="C949" s="25">
        <f>TEXT(A949,"MMM-YYYY")</f>
        <v/>
      </c>
      <c r="D949" s="40">
        <f>INT(A949)-WEEKDAY(A949,2)+1</f>
        <v/>
      </c>
      <c r="E949" s="25" t="inlineStr">
        <is>
          <t>dbhattacharyya</t>
        </is>
      </c>
      <c r="F949" s="25" t="n">
        <v>3609</v>
      </c>
      <c r="G949" s="25" t="n">
        <v>2</v>
      </c>
      <c r="H949" s="25" t="n">
        <v>10</v>
      </c>
      <c r="I949" s="25" t="inlineStr">
        <is>
          <t>1 minute(s) and 27 second(s)</t>
        </is>
      </c>
      <c r="J949" s="25">
        <f>IFERROR(VALUE(TRIM(LEFT(I949,FIND("minute",I949)-1)))*60,0)+IFERROR(VALUE(SUBSTITUTE(MID(I949,IFERROR(FIND("and",I949)+3,1),20),"second(s)","")),0)</f>
        <v/>
      </c>
      <c r="K949" s="41">
        <f>J949/60</f>
        <v/>
      </c>
      <c r="L949" s="41">
        <f>IFERROR(J949/H949,"")</f>
        <v/>
      </c>
      <c r="M949" s="25" t="inlineStr">
        <is>
          <t>2.5.12</t>
        </is>
      </c>
      <c r="N949" s="25">
        <f>IF(J949&gt;300,1,0)</f>
        <v/>
      </c>
      <c r="O949" s="25">
        <f>IF(J949&gt;600,1,0)</f>
        <v/>
      </c>
      <c r="P949" s="25">
        <f>IF(H949&gt;0,J949,"")</f>
        <v/>
      </c>
      <c r="Q949" s="25">
        <f>TEXT(A949,"YYYY-MM-DD HH")</f>
        <v/>
      </c>
      <c r="R949" s="25">
        <f>COUNTIF($Q$2:$Q$5295,Q949)</f>
        <v/>
      </c>
      <c r="S949" s="25">
        <f>IF(R949&lt;=2,"1-2",IF(R949&lt;=5,"3-5",IF(R949&lt;=10,"6-10","11+")))</f>
        <v/>
      </c>
    </row>
    <row r="950">
      <c r="A950" s="39" t="n">
        <v>46162.30311342593</v>
      </c>
      <c r="B950" s="25">
        <f>TEXT(A950,"YYYY-MM")</f>
        <v/>
      </c>
      <c r="C950" s="25">
        <f>TEXT(A950,"MMM-YYYY")</f>
        <v/>
      </c>
      <c r="D950" s="40">
        <f>INT(A950)-WEEKDAY(A950,2)+1</f>
        <v/>
      </c>
      <c r="E950" s="25" t="inlineStr">
        <is>
          <t>ssrinivasan</t>
        </is>
      </c>
      <c r="F950" s="25" t="n">
        <v>672</v>
      </c>
      <c r="G950" s="25" t="n">
        <v>3</v>
      </c>
      <c r="H950" s="25" t="n">
        <v>13</v>
      </c>
      <c r="I950" s="25" t="inlineStr">
        <is>
          <t>4 minute(s) and 0 second(s)</t>
        </is>
      </c>
      <c r="J950" s="25">
        <f>IFERROR(VALUE(TRIM(LEFT(I950,FIND("minute",I950)-1)))*60,0)+IFERROR(VALUE(SUBSTITUTE(MID(I950,IFERROR(FIND("and",I950)+3,1),20),"second(s)","")),0)</f>
        <v/>
      </c>
      <c r="K950" s="41">
        <f>J950/60</f>
        <v/>
      </c>
      <c r="L950" s="41">
        <f>IFERROR(J950/H950,"")</f>
        <v/>
      </c>
      <c r="M950" s="25" t="inlineStr">
        <is>
          <t>2.5.12</t>
        </is>
      </c>
      <c r="N950" s="25">
        <f>IF(J950&gt;300,1,0)</f>
        <v/>
      </c>
      <c r="O950" s="25">
        <f>IF(J950&gt;600,1,0)</f>
        <v/>
      </c>
      <c r="P950" s="25">
        <f>IF(H950&gt;0,J950,"")</f>
        <v/>
      </c>
      <c r="Q950" s="25">
        <f>TEXT(A950,"YYYY-MM-DD HH")</f>
        <v/>
      </c>
      <c r="R950" s="25">
        <f>COUNTIF($Q$2:$Q$5295,Q950)</f>
        <v/>
      </c>
      <c r="S950" s="25">
        <f>IF(R950&lt;=2,"1-2",IF(R950&lt;=5,"3-5",IF(R950&lt;=10,"6-10","11+")))</f>
        <v/>
      </c>
    </row>
    <row r="951">
      <c r="A951" s="39" t="n">
        <v>46162.30722222223</v>
      </c>
      <c r="B951" s="25">
        <f>TEXT(A951,"YYYY-MM")</f>
        <v/>
      </c>
      <c r="C951" s="25">
        <f>TEXT(A951,"MMM-YYYY")</f>
        <v/>
      </c>
      <c r="D951" s="40">
        <f>INT(A951)-WEEKDAY(A951,2)+1</f>
        <v/>
      </c>
      <c r="E951" s="25" t="inlineStr">
        <is>
          <t>aghosh</t>
        </is>
      </c>
      <c r="F951" s="25" t="n">
        <v>3295</v>
      </c>
      <c r="G951" s="25" t="n">
        <v>1</v>
      </c>
      <c r="H951" s="25" t="n">
        <v>5</v>
      </c>
      <c r="I951" s="25" t="inlineStr">
        <is>
          <t>55 second(s)</t>
        </is>
      </c>
      <c r="J951" s="25">
        <f>IFERROR(VALUE(TRIM(LEFT(I951,FIND("minute",I951)-1)))*60,0)+IFERROR(VALUE(SUBSTITUTE(MID(I951,IFERROR(FIND("and",I951)+3,1),20),"second(s)","")),0)</f>
        <v/>
      </c>
      <c r="K951" s="41">
        <f>J951/60</f>
        <v/>
      </c>
      <c r="L951" s="41">
        <f>IFERROR(J951/H951,"")</f>
        <v/>
      </c>
      <c r="M951" s="25" t="inlineStr">
        <is>
          <t>2.5.12</t>
        </is>
      </c>
      <c r="N951" s="25">
        <f>IF(J951&gt;300,1,0)</f>
        <v/>
      </c>
      <c r="O951" s="25">
        <f>IF(J951&gt;600,1,0)</f>
        <v/>
      </c>
      <c r="P951" s="25">
        <f>IF(H951&gt;0,J951,"")</f>
        <v/>
      </c>
      <c r="Q951" s="25">
        <f>TEXT(A951,"YYYY-MM-DD HH")</f>
        <v/>
      </c>
      <c r="R951" s="25">
        <f>COUNTIF($Q$2:$Q$5295,Q951)</f>
        <v/>
      </c>
      <c r="S951" s="25">
        <f>IF(R951&lt;=2,"1-2",IF(R951&lt;=5,"3-5",IF(R951&lt;=10,"6-10","11+")))</f>
        <v/>
      </c>
    </row>
    <row r="952">
      <c r="A952" s="39" t="n">
        <v>46162.31114583334</v>
      </c>
      <c r="B952" s="25">
        <f>TEXT(A952,"YYYY-MM")</f>
        <v/>
      </c>
      <c r="C952" s="25">
        <f>TEXT(A952,"MMM-YYYY")</f>
        <v/>
      </c>
      <c r="D952" s="40">
        <f>INT(A952)-WEEKDAY(A952,2)+1</f>
        <v/>
      </c>
      <c r="E952" s="25" t="inlineStr">
        <is>
          <t>vreddy</t>
        </is>
      </c>
      <c r="F952" s="25" t="n">
        <v>3095</v>
      </c>
      <c r="G952" s="25" t="n">
        <v>1</v>
      </c>
      <c r="H952" s="25" t="n">
        <v>5</v>
      </c>
      <c r="I952" s="25" t="inlineStr">
        <is>
          <t>58 second(s)</t>
        </is>
      </c>
      <c r="J952" s="25">
        <f>IFERROR(VALUE(TRIM(LEFT(I952,FIND("minute",I952)-1)))*60,0)+IFERROR(VALUE(SUBSTITUTE(MID(I952,IFERROR(FIND("and",I952)+3,1),20),"second(s)","")),0)</f>
        <v/>
      </c>
      <c r="K952" s="41">
        <f>J952/60</f>
        <v/>
      </c>
      <c r="L952" s="41">
        <f>IFERROR(J952/H952,"")</f>
        <v/>
      </c>
      <c r="M952" s="25" t="inlineStr">
        <is>
          <t>2.5.12</t>
        </is>
      </c>
      <c r="N952" s="25">
        <f>IF(J952&gt;300,1,0)</f>
        <v/>
      </c>
      <c r="O952" s="25">
        <f>IF(J952&gt;600,1,0)</f>
        <v/>
      </c>
      <c r="P952" s="25">
        <f>IF(H952&gt;0,J952,"")</f>
        <v/>
      </c>
      <c r="Q952" s="25">
        <f>TEXT(A952,"YYYY-MM-DD HH")</f>
        <v/>
      </c>
      <c r="R952" s="25">
        <f>COUNTIF($Q$2:$Q$5295,Q952)</f>
        <v/>
      </c>
      <c r="S952" s="25">
        <f>IF(R952&lt;=2,"1-2",IF(R952&lt;=5,"3-5",IF(R952&lt;=10,"6-10","11+")))</f>
        <v/>
      </c>
    </row>
    <row r="953">
      <c r="A953" s="39" t="n">
        <v>46162.39019675926</v>
      </c>
      <c r="B953" s="25">
        <f>TEXT(A953,"YYYY-MM")</f>
        <v/>
      </c>
      <c r="C953" s="25">
        <f>TEXT(A953,"MMM-YYYY")</f>
        <v/>
      </c>
      <c r="D953" s="40">
        <f>INT(A953)-WEEKDAY(A953,2)+1</f>
        <v/>
      </c>
      <c r="E953" s="25" t="inlineStr">
        <is>
          <t>ssaha</t>
        </is>
      </c>
      <c r="F953" s="25" t="n">
        <v>136</v>
      </c>
      <c r="G953" s="25" t="n">
        <v>4</v>
      </c>
      <c r="H953" s="25" t="n">
        <v>12</v>
      </c>
      <c r="I953" s="25" t="inlineStr">
        <is>
          <t>2 minute(s) and 55 second(s)</t>
        </is>
      </c>
      <c r="J953" s="25">
        <f>IFERROR(VALUE(TRIM(LEFT(I953,FIND("minute",I953)-1)))*60,0)+IFERROR(VALUE(SUBSTITUTE(MID(I953,IFERROR(FIND("and",I953)+3,1),20),"second(s)","")),0)</f>
        <v/>
      </c>
      <c r="K953" s="41">
        <f>J953/60</f>
        <v/>
      </c>
      <c r="L953" s="41">
        <f>IFERROR(J953/H953,"")</f>
        <v/>
      </c>
      <c r="M953" s="25" t="inlineStr">
        <is>
          <t>2.5.12</t>
        </is>
      </c>
      <c r="N953" s="25">
        <f>IF(J953&gt;300,1,0)</f>
        <v/>
      </c>
      <c r="O953" s="25">
        <f>IF(J953&gt;600,1,0)</f>
        <v/>
      </c>
      <c r="P953" s="25">
        <f>IF(H953&gt;0,J953,"")</f>
        <v/>
      </c>
      <c r="Q953" s="25">
        <f>TEXT(A953,"YYYY-MM-DD HH")</f>
        <v/>
      </c>
      <c r="R953" s="25">
        <f>COUNTIF($Q$2:$Q$5295,Q953)</f>
        <v/>
      </c>
      <c r="S953" s="25">
        <f>IF(R953&lt;=2,"1-2",IF(R953&lt;=5,"3-5",IF(R953&lt;=10,"6-10","11+")))</f>
        <v/>
      </c>
    </row>
    <row r="954">
      <c r="A954" s="39" t="n">
        <v>46162.41046296297</v>
      </c>
      <c r="B954" s="25">
        <f>TEXT(A954,"YYYY-MM")</f>
        <v/>
      </c>
      <c r="C954" s="25">
        <f>TEXT(A954,"MMM-YYYY")</f>
        <v/>
      </c>
      <c r="D954" s="40">
        <f>INT(A954)-WEEKDAY(A954,2)+1</f>
        <v/>
      </c>
      <c r="E954" s="25" t="inlineStr">
        <is>
          <t>vraina</t>
        </is>
      </c>
      <c r="F954" s="25" t="n">
        <v>98</v>
      </c>
      <c r="G954" s="25" t="n">
        <v>2</v>
      </c>
      <c r="H954" s="25" t="n">
        <v>12</v>
      </c>
      <c r="I954" s="25" t="inlineStr">
        <is>
          <t>2 minute(s) and 1 second(s)</t>
        </is>
      </c>
      <c r="J954" s="25">
        <f>IFERROR(VALUE(TRIM(LEFT(I954,FIND("minute",I954)-1)))*60,0)+IFERROR(VALUE(SUBSTITUTE(MID(I954,IFERROR(FIND("and",I954)+3,1),20),"second(s)","")),0)</f>
        <v/>
      </c>
      <c r="K954" s="41">
        <f>J954/60</f>
        <v/>
      </c>
      <c r="L954" s="41">
        <f>IFERROR(J954/H954,"")</f>
        <v/>
      </c>
      <c r="M954" s="25" t="inlineStr">
        <is>
          <t>2.5.12</t>
        </is>
      </c>
      <c r="N954" s="25">
        <f>IF(J954&gt;300,1,0)</f>
        <v/>
      </c>
      <c r="O954" s="25">
        <f>IF(J954&gt;600,1,0)</f>
        <v/>
      </c>
      <c r="P954" s="25">
        <f>IF(H954&gt;0,J954,"")</f>
        <v/>
      </c>
      <c r="Q954" s="25">
        <f>TEXT(A954,"YYYY-MM-DD HH")</f>
        <v/>
      </c>
      <c r="R954" s="25">
        <f>COUNTIF($Q$2:$Q$5295,Q954)</f>
        <v/>
      </c>
      <c r="S954" s="25">
        <f>IF(R954&lt;=2,"1-2",IF(R954&lt;=5,"3-5",IF(R954&lt;=10,"6-10","11+")))</f>
        <v/>
      </c>
    </row>
    <row r="955">
      <c r="A955" s="39" t="n">
        <v>46162.41266203704</v>
      </c>
      <c r="B955" s="25">
        <f>TEXT(A955,"YYYY-MM")</f>
        <v/>
      </c>
      <c r="C955" s="25">
        <f>TEXT(A955,"MMM-YYYY")</f>
        <v/>
      </c>
      <c r="D955" s="40">
        <f>INT(A955)-WEEKDAY(A955,2)+1</f>
        <v/>
      </c>
      <c r="E955" s="25" t="inlineStr">
        <is>
          <t>psathwika</t>
        </is>
      </c>
      <c r="F955" s="25" t="n">
        <v>12196</v>
      </c>
      <c r="G955" s="25" t="n">
        <v>5</v>
      </c>
      <c r="H955" s="25" t="n">
        <v>25</v>
      </c>
      <c r="I955" s="25" t="inlineStr">
        <is>
          <t>9 minute(s) and 48 second(s)</t>
        </is>
      </c>
      <c r="J955" s="25">
        <f>IFERROR(VALUE(TRIM(LEFT(I955,FIND("minute",I955)-1)))*60,0)+IFERROR(VALUE(SUBSTITUTE(MID(I955,IFERROR(FIND("and",I955)+3,1),20),"second(s)","")),0)</f>
        <v/>
      </c>
      <c r="K955" s="41">
        <f>J955/60</f>
        <v/>
      </c>
      <c r="L955" s="41">
        <f>IFERROR(J955/H955,"")</f>
        <v/>
      </c>
      <c r="M955" s="25" t="inlineStr">
        <is>
          <t>2.5.12</t>
        </is>
      </c>
      <c r="N955" s="25">
        <f>IF(J955&gt;300,1,0)</f>
        <v/>
      </c>
      <c r="O955" s="25">
        <f>IF(J955&gt;600,1,0)</f>
        <v/>
      </c>
      <c r="P955" s="25">
        <f>IF(H955&gt;0,J955,"")</f>
        <v/>
      </c>
      <c r="Q955" s="25">
        <f>TEXT(A955,"YYYY-MM-DD HH")</f>
        <v/>
      </c>
      <c r="R955" s="25">
        <f>COUNTIF($Q$2:$Q$5295,Q955)</f>
        <v/>
      </c>
      <c r="S955" s="25">
        <f>IF(R955&lt;=2,"1-2",IF(R955&lt;=5,"3-5",IF(R955&lt;=10,"6-10","11+")))</f>
        <v/>
      </c>
    </row>
    <row r="956">
      <c r="A956" s="39" t="n">
        <v>46162.41274305555</v>
      </c>
      <c r="B956" s="25">
        <f>TEXT(A956,"YYYY-MM")</f>
        <v/>
      </c>
      <c r="C956" s="25">
        <f>TEXT(A956,"MMM-YYYY")</f>
        <v/>
      </c>
      <c r="D956" s="40">
        <f>INT(A956)-WEEKDAY(A956,2)+1</f>
        <v/>
      </c>
      <c r="E956" s="25" t="inlineStr">
        <is>
          <t>mbhalla</t>
        </is>
      </c>
      <c r="F956" s="25" t="n">
        <v>68</v>
      </c>
      <c r="G956" s="25" t="n">
        <v>1</v>
      </c>
      <c r="H956" s="25" t="n">
        <v>7</v>
      </c>
      <c r="I956" s="25" t="inlineStr">
        <is>
          <t>2 minute(s) and 34 second(s)</t>
        </is>
      </c>
      <c r="J956" s="25">
        <f>IFERROR(VALUE(TRIM(LEFT(I956,FIND("minute",I956)-1)))*60,0)+IFERROR(VALUE(SUBSTITUTE(MID(I956,IFERROR(FIND("and",I956)+3,1),20),"second(s)","")),0)</f>
        <v/>
      </c>
      <c r="K956" s="41">
        <f>J956/60</f>
        <v/>
      </c>
      <c r="L956" s="41">
        <f>IFERROR(J956/H956,"")</f>
        <v/>
      </c>
      <c r="M956" s="25" t="inlineStr">
        <is>
          <t>2.5.12</t>
        </is>
      </c>
      <c r="N956" s="25">
        <f>IF(J956&gt;300,1,0)</f>
        <v/>
      </c>
      <c r="O956" s="25">
        <f>IF(J956&gt;600,1,0)</f>
        <v/>
      </c>
      <c r="P956" s="25">
        <f>IF(H956&gt;0,J956,"")</f>
        <v/>
      </c>
      <c r="Q956" s="25">
        <f>TEXT(A956,"YYYY-MM-DD HH")</f>
        <v/>
      </c>
      <c r="R956" s="25">
        <f>COUNTIF($Q$2:$Q$5295,Q956)</f>
        <v/>
      </c>
      <c r="S956" s="25">
        <f>IF(R956&lt;=2,"1-2",IF(R956&lt;=5,"3-5",IF(R956&lt;=10,"6-10","11+")))</f>
        <v/>
      </c>
    </row>
    <row r="957">
      <c r="A957" s="39" t="n">
        <v>46162.42050925926</v>
      </c>
      <c r="B957" s="25">
        <f>TEXT(A957,"YYYY-MM")</f>
        <v/>
      </c>
      <c r="C957" s="25">
        <f>TEXT(A957,"MMM-YYYY")</f>
        <v/>
      </c>
      <c r="D957" s="40">
        <f>INT(A957)-WEEKDAY(A957,2)+1</f>
        <v/>
      </c>
      <c r="E957" s="25" t="inlineStr">
        <is>
          <t>arsarkar</t>
        </is>
      </c>
      <c r="F957" s="25" t="n">
        <v>3332</v>
      </c>
      <c r="G957" s="25" t="n">
        <v>1</v>
      </c>
      <c r="H957" s="25" t="n">
        <v>7</v>
      </c>
      <c r="I957" s="25" t="inlineStr">
        <is>
          <t>2 minute(s) and 53 second(s)</t>
        </is>
      </c>
      <c r="J957" s="25">
        <f>IFERROR(VALUE(TRIM(LEFT(I957,FIND("minute",I957)-1)))*60,0)+IFERROR(VALUE(SUBSTITUTE(MID(I957,IFERROR(FIND("and",I957)+3,1),20),"second(s)","")),0)</f>
        <v/>
      </c>
      <c r="K957" s="41">
        <f>J957/60</f>
        <v/>
      </c>
      <c r="L957" s="41">
        <f>IFERROR(J957/H957,"")</f>
        <v/>
      </c>
      <c r="M957" s="25" t="inlineStr">
        <is>
          <t>2.5.12</t>
        </is>
      </c>
      <c r="N957" s="25">
        <f>IF(J957&gt;300,1,0)</f>
        <v/>
      </c>
      <c r="O957" s="25">
        <f>IF(J957&gt;600,1,0)</f>
        <v/>
      </c>
      <c r="P957" s="25">
        <f>IF(H957&gt;0,J957,"")</f>
        <v/>
      </c>
      <c r="Q957" s="25">
        <f>TEXT(A957,"YYYY-MM-DD HH")</f>
        <v/>
      </c>
      <c r="R957" s="25">
        <f>COUNTIF($Q$2:$Q$5295,Q957)</f>
        <v/>
      </c>
      <c r="S957" s="25">
        <f>IF(R957&lt;=2,"1-2",IF(R957&lt;=5,"3-5",IF(R957&lt;=10,"6-10","11+")))</f>
        <v/>
      </c>
    </row>
    <row r="958">
      <c r="A958" s="39" t="n">
        <v>46162.42513888889</v>
      </c>
      <c r="B958" s="25">
        <f>TEXT(A958,"YYYY-MM")</f>
        <v/>
      </c>
      <c r="C958" s="25">
        <f>TEXT(A958,"MMM-YYYY")</f>
        <v/>
      </c>
      <c r="D958" s="40">
        <f>INT(A958)-WEEKDAY(A958,2)+1</f>
        <v/>
      </c>
      <c r="E958" s="25" t="inlineStr">
        <is>
          <t>csaha</t>
        </is>
      </c>
      <c r="F958" s="25" t="n">
        <v>1971</v>
      </c>
      <c r="G958" s="25" t="n">
        <v>5</v>
      </c>
      <c r="H958" s="25" t="n">
        <v>11</v>
      </c>
      <c r="I958" s="25" t="inlineStr">
        <is>
          <t>2 minute(s) and 39 second(s)</t>
        </is>
      </c>
      <c r="J958" s="25">
        <f>IFERROR(VALUE(TRIM(LEFT(I958,FIND("minute",I958)-1)))*60,0)+IFERROR(VALUE(SUBSTITUTE(MID(I958,IFERROR(FIND("and",I958)+3,1),20),"second(s)","")),0)</f>
        <v/>
      </c>
      <c r="K958" s="41">
        <f>J958/60</f>
        <v/>
      </c>
      <c r="L958" s="41">
        <f>IFERROR(J958/H958,"")</f>
        <v/>
      </c>
      <c r="M958" s="25" t="inlineStr">
        <is>
          <t>2.5.12</t>
        </is>
      </c>
      <c r="N958" s="25">
        <f>IF(J958&gt;300,1,0)</f>
        <v/>
      </c>
      <c r="O958" s="25">
        <f>IF(J958&gt;600,1,0)</f>
        <v/>
      </c>
      <c r="P958" s="25">
        <f>IF(H958&gt;0,J958,"")</f>
        <v/>
      </c>
      <c r="Q958" s="25">
        <f>TEXT(A958,"YYYY-MM-DD HH")</f>
        <v/>
      </c>
      <c r="R958" s="25">
        <f>COUNTIF($Q$2:$Q$5295,Q958)</f>
        <v/>
      </c>
      <c r="S958" s="25">
        <f>IF(R958&lt;=2,"1-2",IF(R958&lt;=5,"3-5",IF(R958&lt;=10,"6-10","11+")))</f>
        <v/>
      </c>
    </row>
    <row r="959">
      <c r="A959" s="39" t="n">
        <v>46162.42923611111</v>
      </c>
      <c r="B959" s="25">
        <f>TEXT(A959,"YYYY-MM")</f>
        <v/>
      </c>
      <c r="C959" s="25">
        <f>TEXT(A959,"MMM-YYYY")</f>
        <v/>
      </c>
      <c r="D959" s="40">
        <f>INT(A959)-WEEKDAY(A959,2)+1</f>
        <v/>
      </c>
      <c r="E959" s="25" t="inlineStr">
        <is>
          <t>schoppakatla</t>
        </is>
      </c>
      <c r="F959" s="25" t="n">
        <v>3273</v>
      </c>
      <c r="G959" s="25" t="n">
        <v>1</v>
      </c>
      <c r="H959" s="25" t="n">
        <v>7</v>
      </c>
      <c r="I959" s="25" t="inlineStr">
        <is>
          <t>1 minute(s) and 7 second(s)</t>
        </is>
      </c>
      <c r="J959" s="25">
        <f>IFERROR(VALUE(TRIM(LEFT(I959,FIND("minute",I959)-1)))*60,0)+IFERROR(VALUE(SUBSTITUTE(MID(I959,IFERROR(FIND("and",I959)+3,1),20),"second(s)","")),0)</f>
        <v/>
      </c>
      <c r="K959" s="41">
        <f>J959/60</f>
        <v/>
      </c>
      <c r="L959" s="41">
        <f>IFERROR(J959/H959,"")</f>
        <v/>
      </c>
      <c r="M959" s="25" t="inlineStr">
        <is>
          <t>2.5.12</t>
        </is>
      </c>
      <c r="N959" s="25">
        <f>IF(J959&gt;300,1,0)</f>
        <v/>
      </c>
      <c r="O959" s="25">
        <f>IF(J959&gt;600,1,0)</f>
        <v/>
      </c>
      <c r="P959" s="25">
        <f>IF(H959&gt;0,J959,"")</f>
        <v/>
      </c>
      <c r="Q959" s="25">
        <f>TEXT(A959,"YYYY-MM-DD HH")</f>
        <v/>
      </c>
      <c r="R959" s="25">
        <f>COUNTIF($Q$2:$Q$5295,Q959)</f>
        <v/>
      </c>
      <c r="S959" s="25">
        <f>IF(R959&lt;=2,"1-2",IF(R959&lt;=5,"3-5",IF(R959&lt;=10,"6-10","11+")))</f>
        <v/>
      </c>
    </row>
    <row r="960">
      <c r="A960" s="39" t="n">
        <v>46162.43908564815</v>
      </c>
      <c r="B960" s="25">
        <f>TEXT(A960,"YYYY-MM")</f>
        <v/>
      </c>
      <c r="C960" s="25">
        <f>TEXT(A960,"MMM-YYYY")</f>
        <v/>
      </c>
      <c r="D960" s="40">
        <f>INT(A960)-WEEKDAY(A960,2)+1</f>
        <v/>
      </c>
      <c r="E960" s="25" t="inlineStr">
        <is>
          <t>rts</t>
        </is>
      </c>
      <c r="F960" s="25" t="n">
        <v>86495</v>
      </c>
      <c r="G960" s="25" t="n">
        <v>2</v>
      </c>
      <c r="H960" s="25" t="n">
        <v>10</v>
      </c>
      <c r="I960" s="25" t="inlineStr">
        <is>
          <t>4 minute(s) and 27 second(s)</t>
        </is>
      </c>
      <c r="J960" s="25">
        <f>IFERROR(VALUE(TRIM(LEFT(I960,FIND("minute",I960)-1)))*60,0)+IFERROR(VALUE(SUBSTITUTE(MID(I960,IFERROR(FIND("and",I960)+3,1),20),"second(s)","")),0)</f>
        <v/>
      </c>
      <c r="K960" s="41">
        <f>J960/60</f>
        <v/>
      </c>
      <c r="L960" s="41">
        <f>IFERROR(J960/H960,"")</f>
        <v/>
      </c>
      <c r="M960" s="25" t="inlineStr">
        <is>
          <t>2.5.12</t>
        </is>
      </c>
      <c r="N960" s="25">
        <f>IF(J960&gt;300,1,0)</f>
        <v/>
      </c>
      <c r="O960" s="25">
        <f>IF(J960&gt;600,1,0)</f>
        <v/>
      </c>
      <c r="P960" s="25">
        <f>IF(H960&gt;0,J960,"")</f>
        <v/>
      </c>
      <c r="Q960" s="25">
        <f>TEXT(A960,"YYYY-MM-DD HH")</f>
        <v/>
      </c>
      <c r="R960" s="25">
        <f>COUNTIF($Q$2:$Q$5295,Q960)</f>
        <v/>
      </c>
      <c r="S960" s="25">
        <f>IF(R960&lt;=2,"1-2",IF(R960&lt;=5,"3-5",IF(R960&lt;=10,"6-10","11+")))</f>
        <v/>
      </c>
    </row>
    <row r="961">
      <c r="A961" s="39" t="n">
        <v>46162.45319444445</v>
      </c>
      <c r="B961" s="25">
        <f>TEXT(A961,"YYYY-MM")</f>
        <v/>
      </c>
      <c r="C961" s="25">
        <f>TEXT(A961,"MMM-YYYY")</f>
        <v/>
      </c>
      <c r="D961" s="40">
        <f>INT(A961)-WEEKDAY(A961,2)+1</f>
        <v/>
      </c>
      <c r="E961" s="25" t="inlineStr">
        <is>
          <t>arsarkar</t>
        </is>
      </c>
      <c r="F961" s="25" t="n">
        <v>3334</v>
      </c>
      <c r="G961" s="25" t="n">
        <v>1</v>
      </c>
      <c r="H961" s="25" t="n">
        <v>7</v>
      </c>
      <c r="I961" s="25" t="inlineStr">
        <is>
          <t>2 minute(s) and 1 second(s)</t>
        </is>
      </c>
      <c r="J961" s="25">
        <f>IFERROR(VALUE(TRIM(LEFT(I961,FIND("minute",I961)-1)))*60,0)+IFERROR(VALUE(SUBSTITUTE(MID(I961,IFERROR(FIND("and",I961)+3,1),20),"second(s)","")),0)</f>
        <v/>
      </c>
      <c r="K961" s="41">
        <f>J961/60</f>
        <v/>
      </c>
      <c r="L961" s="41">
        <f>IFERROR(J961/H961,"")</f>
        <v/>
      </c>
      <c r="M961" s="25" t="inlineStr">
        <is>
          <t>2.5.12</t>
        </is>
      </c>
      <c r="N961" s="25">
        <f>IF(J961&gt;300,1,0)</f>
        <v/>
      </c>
      <c r="O961" s="25">
        <f>IF(J961&gt;600,1,0)</f>
        <v/>
      </c>
      <c r="P961" s="25">
        <f>IF(H961&gt;0,J961,"")</f>
        <v/>
      </c>
      <c r="Q961" s="25">
        <f>TEXT(A961,"YYYY-MM-DD HH")</f>
        <v/>
      </c>
      <c r="R961" s="25">
        <f>COUNTIF($Q$2:$Q$5295,Q961)</f>
        <v/>
      </c>
      <c r="S961" s="25">
        <f>IF(R961&lt;=2,"1-2",IF(R961&lt;=5,"3-5",IF(R961&lt;=10,"6-10","11+")))</f>
        <v/>
      </c>
    </row>
    <row r="962">
      <c r="A962" s="39" t="n">
        <v>46162.45553240741</v>
      </c>
      <c r="B962" s="25">
        <f>TEXT(A962,"YYYY-MM")</f>
        <v/>
      </c>
      <c r="C962" s="25">
        <f>TEXT(A962,"MMM-YYYY")</f>
        <v/>
      </c>
      <c r="D962" s="40">
        <f>INT(A962)-WEEKDAY(A962,2)+1</f>
        <v/>
      </c>
      <c r="E962" s="25" t="inlineStr">
        <is>
          <t>shassan</t>
        </is>
      </c>
      <c r="F962" s="25" t="n">
        <v>429</v>
      </c>
      <c r="G962" s="25" t="n">
        <v>1</v>
      </c>
      <c r="H962" s="25" t="n">
        <v>5</v>
      </c>
      <c r="I962" s="25" t="inlineStr">
        <is>
          <t>1 minute(s) and 6 second(s)</t>
        </is>
      </c>
      <c r="J962" s="25">
        <f>IFERROR(VALUE(TRIM(LEFT(I962,FIND("minute",I962)-1)))*60,0)+IFERROR(VALUE(SUBSTITUTE(MID(I962,IFERROR(FIND("and",I962)+3,1),20),"second(s)","")),0)</f>
        <v/>
      </c>
      <c r="K962" s="41">
        <f>J962/60</f>
        <v/>
      </c>
      <c r="L962" s="41">
        <f>IFERROR(J962/H962,"")</f>
        <v/>
      </c>
      <c r="M962" s="25" t="inlineStr">
        <is>
          <t>2.5.12</t>
        </is>
      </c>
      <c r="N962" s="25">
        <f>IF(J962&gt;300,1,0)</f>
        <v/>
      </c>
      <c r="O962" s="25">
        <f>IF(J962&gt;600,1,0)</f>
        <v/>
      </c>
      <c r="P962" s="25">
        <f>IF(H962&gt;0,J962,"")</f>
        <v/>
      </c>
      <c r="Q962" s="25">
        <f>TEXT(A962,"YYYY-MM-DD HH")</f>
        <v/>
      </c>
      <c r="R962" s="25">
        <f>COUNTIF($Q$2:$Q$5295,Q962)</f>
        <v/>
      </c>
      <c r="S962" s="25">
        <f>IF(R962&lt;=2,"1-2",IF(R962&lt;=5,"3-5",IF(R962&lt;=10,"6-10","11+")))</f>
        <v/>
      </c>
    </row>
    <row r="963">
      <c r="A963" s="39" t="n">
        <v>46162.46090277778</v>
      </c>
      <c r="B963" s="25">
        <f>TEXT(A963,"YYYY-MM")</f>
        <v/>
      </c>
      <c r="C963" s="25">
        <f>TEXT(A963,"MMM-YYYY")</f>
        <v/>
      </c>
      <c r="D963" s="40">
        <f>INT(A963)-WEEKDAY(A963,2)+1</f>
        <v/>
      </c>
      <c r="E963" s="25" t="inlineStr">
        <is>
          <t>asahoo</t>
        </is>
      </c>
      <c r="F963" s="25" t="n">
        <v>3364</v>
      </c>
      <c r="G963" s="25" t="n">
        <v>1</v>
      </c>
      <c r="H963" s="25" t="n">
        <v>7</v>
      </c>
      <c r="I963" s="25" t="inlineStr">
        <is>
          <t>1 minute(s) and 50 second(s)</t>
        </is>
      </c>
      <c r="J963" s="25">
        <f>IFERROR(VALUE(TRIM(LEFT(I963,FIND("minute",I963)-1)))*60,0)+IFERROR(VALUE(SUBSTITUTE(MID(I963,IFERROR(FIND("and",I963)+3,1),20),"second(s)","")),0)</f>
        <v/>
      </c>
      <c r="K963" s="41">
        <f>J963/60</f>
        <v/>
      </c>
      <c r="L963" s="41">
        <f>IFERROR(J963/H963,"")</f>
        <v/>
      </c>
      <c r="M963" s="25" t="inlineStr">
        <is>
          <t>2.5.12</t>
        </is>
      </c>
      <c r="N963" s="25">
        <f>IF(J963&gt;300,1,0)</f>
        <v/>
      </c>
      <c r="O963" s="25">
        <f>IF(J963&gt;600,1,0)</f>
        <v/>
      </c>
      <c r="P963" s="25">
        <f>IF(H963&gt;0,J963,"")</f>
        <v/>
      </c>
      <c r="Q963" s="25">
        <f>TEXT(A963,"YYYY-MM-DD HH")</f>
        <v/>
      </c>
      <c r="R963" s="25">
        <f>COUNTIF($Q$2:$Q$5295,Q963)</f>
        <v/>
      </c>
      <c r="S963" s="25">
        <f>IF(R963&lt;=2,"1-2",IF(R963&lt;=5,"3-5",IF(R963&lt;=10,"6-10","11+")))</f>
        <v/>
      </c>
    </row>
    <row r="964">
      <c r="A964" s="39" t="n">
        <v>46162.46440972222</v>
      </c>
      <c r="B964" s="25">
        <f>TEXT(A964,"YYYY-MM")</f>
        <v/>
      </c>
      <c r="C964" s="25">
        <f>TEXT(A964,"MMM-YYYY")</f>
        <v/>
      </c>
      <c r="D964" s="40">
        <f>INT(A964)-WEEKDAY(A964,2)+1</f>
        <v/>
      </c>
      <c r="E964" s="25" t="inlineStr">
        <is>
          <t>asahoo</t>
        </is>
      </c>
      <c r="F964" s="25" t="n">
        <v>3365</v>
      </c>
      <c r="G964" s="25" t="n">
        <v>1</v>
      </c>
      <c r="H964" s="25" t="n">
        <v>7</v>
      </c>
      <c r="I964" s="25" t="inlineStr">
        <is>
          <t>2 minute(s) and 4 second(s)</t>
        </is>
      </c>
      <c r="J964" s="25">
        <f>IFERROR(VALUE(TRIM(LEFT(I964,FIND("minute",I964)-1)))*60,0)+IFERROR(VALUE(SUBSTITUTE(MID(I964,IFERROR(FIND("and",I964)+3,1),20),"second(s)","")),0)</f>
        <v/>
      </c>
      <c r="K964" s="41">
        <f>J964/60</f>
        <v/>
      </c>
      <c r="L964" s="41">
        <f>IFERROR(J964/H964,"")</f>
        <v/>
      </c>
      <c r="M964" s="25" t="inlineStr">
        <is>
          <t>2.5.12</t>
        </is>
      </c>
      <c r="N964" s="25">
        <f>IF(J964&gt;300,1,0)</f>
        <v/>
      </c>
      <c r="O964" s="25">
        <f>IF(J964&gt;600,1,0)</f>
        <v/>
      </c>
      <c r="P964" s="25">
        <f>IF(H964&gt;0,J964,"")</f>
        <v/>
      </c>
      <c r="Q964" s="25">
        <f>TEXT(A964,"YYYY-MM-DD HH")</f>
        <v/>
      </c>
      <c r="R964" s="25">
        <f>COUNTIF($Q$2:$Q$5295,Q964)</f>
        <v/>
      </c>
      <c r="S964" s="25">
        <f>IF(R964&lt;=2,"1-2",IF(R964&lt;=5,"3-5",IF(R964&lt;=10,"6-10","11+")))</f>
        <v/>
      </c>
    </row>
    <row r="965">
      <c r="A965" s="39" t="n">
        <v>46162.46511574074</v>
      </c>
      <c r="B965" s="25">
        <f>TEXT(A965,"YYYY-MM")</f>
        <v/>
      </c>
      <c r="C965" s="25">
        <f>TEXT(A965,"MMM-YYYY")</f>
        <v/>
      </c>
      <c r="D965" s="40">
        <f>INT(A965)-WEEKDAY(A965,2)+1</f>
        <v/>
      </c>
      <c r="E965" s="25" t="inlineStr">
        <is>
          <t>aghosh</t>
        </is>
      </c>
      <c r="F965" s="25" t="n">
        <v>3297</v>
      </c>
      <c r="G965" s="25" t="n">
        <v>2</v>
      </c>
      <c r="H965" s="25" t="n">
        <v>12</v>
      </c>
      <c r="I965" s="25" t="inlineStr">
        <is>
          <t>2 minute(s) and 43 second(s)</t>
        </is>
      </c>
      <c r="J965" s="25">
        <f>IFERROR(VALUE(TRIM(LEFT(I965,FIND("minute",I965)-1)))*60,0)+IFERROR(VALUE(SUBSTITUTE(MID(I965,IFERROR(FIND("and",I965)+3,1),20),"second(s)","")),0)</f>
        <v/>
      </c>
      <c r="K965" s="41">
        <f>J965/60</f>
        <v/>
      </c>
      <c r="L965" s="41">
        <f>IFERROR(J965/H965,"")</f>
        <v/>
      </c>
      <c r="M965" s="25" t="inlineStr">
        <is>
          <t>2.5.12</t>
        </is>
      </c>
      <c r="N965" s="25">
        <f>IF(J965&gt;300,1,0)</f>
        <v/>
      </c>
      <c r="O965" s="25">
        <f>IF(J965&gt;600,1,0)</f>
        <v/>
      </c>
      <c r="P965" s="25">
        <f>IF(H965&gt;0,J965,"")</f>
        <v/>
      </c>
      <c r="Q965" s="25">
        <f>TEXT(A965,"YYYY-MM-DD HH")</f>
        <v/>
      </c>
      <c r="R965" s="25">
        <f>COUNTIF($Q$2:$Q$5295,Q965)</f>
        <v/>
      </c>
      <c r="S965" s="25">
        <f>IF(R965&lt;=2,"1-2",IF(R965&lt;=5,"3-5",IF(R965&lt;=10,"6-10","11+")))</f>
        <v/>
      </c>
    </row>
    <row r="966">
      <c r="A966" s="39" t="n">
        <v>46162.48266203704</v>
      </c>
      <c r="B966" s="25">
        <f>TEXT(A966,"YYYY-MM")</f>
        <v/>
      </c>
      <c r="C966" s="25">
        <f>TEXT(A966,"MMM-YYYY")</f>
        <v/>
      </c>
      <c r="D966" s="40">
        <f>INT(A966)-WEEKDAY(A966,2)+1</f>
        <v/>
      </c>
      <c r="E966" s="25" t="inlineStr">
        <is>
          <t>psathwika</t>
        </is>
      </c>
      <c r="F966" s="25" t="n">
        <v>4497</v>
      </c>
      <c r="G966" s="25" t="n">
        <v>1</v>
      </c>
      <c r="H966" s="25" t="n">
        <v>5</v>
      </c>
      <c r="I966" s="25" t="inlineStr">
        <is>
          <t>1 minute(s) and 12 second(s)</t>
        </is>
      </c>
      <c r="J966" s="25">
        <f>IFERROR(VALUE(TRIM(LEFT(I966,FIND("minute",I966)-1)))*60,0)+IFERROR(VALUE(SUBSTITUTE(MID(I966,IFERROR(FIND("and",I966)+3,1),20),"second(s)","")),0)</f>
        <v/>
      </c>
      <c r="K966" s="41">
        <f>J966/60</f>
        <v/>
      </c>
      <c r="L966" s="41">
        <f>IFERROR(J966/H966,"")</f>
        <v/>
      </c>
      <c r="M966" s="25" t="inlineStr">
        <is>
          <t>2.5.12</t>
        </is>
      </c>
      <c r="N966" s="25">
        <f>IF(J966&gt;300,1,0)</f>
        <v/>
      </c>
      <c r="O966" s="25">
        <f>IF(J966&gt;600,1,0)</f>
        <v/>
      </c>
      <c r="P966" s="25">
        <f>IF(H966&gt;0,J966,"")</f>
        <v/>
      </c>
      <c r="Q966" s="25">
        <f>TEXT(A966,"YYYY-MM-DD HH")</f>
        <v/>
      </c>
      <c r="R966" s="25">
        <f>COUNTIF($Q$2:$Q$5295,Q966)</f>
        <v/>
      </c>
      <c r="S966" s="25">
        <f>IF(R966&lt;=2,"1-2",IF(R966&lt;=5,"3-5",IF(R966&lt;=10,"6-10","11+")))</f>
        <v/>
      </c>
    </row>
    <row r="967">
      <c r="A967" s="39" t="n">
        <v>46162.49182870371</v>
      </c>
      <c r="B967" s="25">
        <f>TEXT(A967,"YYYY-MM")</f>
        <v/>
      </c>
      <c r="C967" s="25">
        <f>TEXT(A967,"MMM-YYYY")</f>
        <v/>
      </c>
      <c r="D967" s="40">
        <f>INT(A967)-WEEKDAY(A967,2)+1</f>
        <v/>
      </c>
      <c r="E967" s="25" t="inlineStr">
        <is>
          <t>arsarkar</t>
        </is>
      </c>
      <c r="F967" s="25" t="n">
        <v>3335</v>
      </c>
      <c r="G967" s="25" t="n">
        <v>1</v>
      </c>
      <c r="H967" s="25" t="n">
        <v>5</v>
      </c>
      <c r="I967" s="25" t="inlineStr">
        <is>
          <t>1 minute(s) and 35 second(s)</t>
        </is>
      </c>
      <c r="J967" s="25">
        <f>IFERROR(VALUE(TRIM(LEFT(I967,FIND("minute",I967)-1)))*60,0)+IFERROR(VALUE(SUBSTITUTE(MID(I967,IFERROR(FIND("and",I967)+3,1),20),"second(s)","")),0)</f>
        <v/>
      </c>
      <c r="K967" s="41">
        <f>J967/60</f>
        <v/>
      </c>
      <c r="L967" s="41">
        <f>IFERROR(J967/H967,"")</f>
        <v/>
      </c>
      <c r="M967" s="25" t="inlineStr">
        <is>
          <t>2.5.12</t>
        </is>
      </c>
      <c r="N967" s="25">
        <f>IF(J967&gt;300,1,0)</f>
        <v/>
      </c>
      <c r="O967" s="25">
        <f>IF(J967&gt;600,1,0)</f>
        <v/>
      </c>
      <c r="P967" s="25">
        <f>IF(H967&gt;0,J967,"")</f>
        <v/>
      </c>
      <c r="Q967" s="25">
        <f>TEXT(A967,"YYYY-MM-DD HH")</f>
        <v/>
      </c>
      <c r="R967" s="25">
        <f>COUNTIF($Q$2:$Q$5295,Q967)</f>
        <v/>
      </c>
      <c r="S967" s="25">
        <f>IF(R967&lt;=2,"1-2",IF(R967&lt;=5,"3-5",IF(R967&lt;=10,"6-10","11+")))</f>
        <v/>
      </c>
    </row>
    <row r="968">
      <c r="A968" s="39" t="n">
        <v>46162.49304398148</v>
      </c>
      <c r="B968" s="25">
        <f>TEXT(A968,"YYYY-MM")</f>
        <v/>
      </c>
      <c r="C968" s="25">
        <f>TEXT(A968,"MMM-YYYY")</f>
        <v/>
      </c>
      <c r="D968" s="40">
        <f>INT(A968)-WEEKDAY(A968,2)+1</f>
        <v/>
      </c>
      <c r="E968" s="25" t="inlineStr">
        <is>
          <t>mbhalla</t>
        </is>
      </c>
      <c r="F968" s="25" t="n">
        <v>69</v>
      </c>
      <c r="G968" s="25" t="n">
        <v>1</v>
      </c>
      <c r="H968" s="25" t="n">
        <v>5</v>
      </c>
      <c r="I968" s="25" t="inlineStr">
        <is>
          <t>2 minute(s) and 17 second(s)</t>
        </is>
      </c>
      <c r="J968" s="25">
        <f>IFERROR(VALUE(TRIM(LEFT(I968,FIND("minute",I968)-1)))*60,0)+IFERROR(VALUE(SUBSTITUTE(MID(I968,IFERROR(FIND("and",I968)+3,1),20),"second(s)","")),0)</f>
        <v/>
      </c>
      <c r="K968" s="41">
        <f>J968/60</f>
        <v/>
      </c>
      <c r="L968" s="41">
        <f>IFERROR(J968/H968,"")</f>
        <v/>
      </c>
      <c r="M968" s="25" t="inlineStr">
        <is>
          <t>2.5.12</t>
        </is>
      </c>
      <c r="N968" s="25">
        <f>IF(J968&gt;300,1,0)</f>
        <v/>
      </c>
      <c r="O968" s="25">
        <f>IF(J968&gt;600,1,0)</f>
        <v/>
      </c>
      <c r="P968" s="25">
        <f>IF(H968&gt;0,J968,"")</f>
        <v/>
      </c>
      <c r="Q968" s="25">
        <f>TEXT(A968,"YYYY-MM-DD HH")</f>
        <v/>
      </c>
      <c r="R968" s="25">
        <f>COUNTIF($Q$2:$Q$5295,Q968)</f>
        <v/>
      </c>
      <c r="S968" s="25">
        <f>IF(R968&lt;=2,"1-2",IF(R968&lt;=5,"3-5",IF(R968&lt;=10,"6-10","11+")))</f>
        <v/>
      </c>
    </row>
    <row r="969">
      <c r="A969" s="39" t="n">
        <v>46162.4955787037</v>
      </c>
      <c r="B969" s="25">
        <f>TEXT(A969,"YYYY-MM")</f>
        <v/>
      </c>
      <c r="C969" s="25">
        <f>TEXT(A969,"MMM-YYYY")</f>
        <v/>
      </c>
      <c r="D969" s="40">
        <f>INT(A969)-WEEKDAY(A969,2)+1</f>
        <v/>
      </c>
      <c r="E969" s="25" t="inlineStr">
        <is>
          <t>mgupta</t>
        </is>
      </c>
      <c r="F969" s="25" t="n">
        <v>115107</v>
      </c>
      <c r="G969" s="25" t="n">
        <v>5</v>
      </c>
      <c r="H969" s="25" t="n">
        <v>26</v>
      </c>
      <c r="I969" s="25" t="inlineStr">
        <is>
          <t>5 minute(s) and 5 second(s)</t>
        </is>
      </c>
      <c r="J969" s="25">
        <f>IFERROR(VALUE(TRIM(LEFT(I969,FIND("minute",I969)-1)))*60,0)+IFERROR(VALUE(SUBSTITUTE(MID(I969,IFERROR(FIND("and",I969)+3,1),20),"second(s)","")),0)</f>
        <v/>
      </c>
      <c r="K969" s="41">
        <f>J969/60</f>
        <v/>
      </c>
      <c r="L969" s="41">
        <f>IFERROR(J969/H969,"")</f>
        <v/>
      </c>
      <c r="M969" s="25" t="inlineStr">
        <is>
          <t>2.5.12</t>
        </is>
      </c>
      <c r="N969" s="25">
        <f>IF(J969&gt;300,1,0)</f>
        <v/>
      </c>
      <c r="O969" s="25">
        <f>IF(J969&gt;600,1,0)</f>
        <v/>
      </c>
      <c r="P969" s="25">
        <f>IF(H969&gt;0,J969,"")</f>
        <v/>
      </c>
      <c r="Q969" s="25">
        <f>TEXT(A969,"YYYY-MM-DD HH")</f>
        <v/>
      </c>
      <c r="R969" s="25">
        <f>COUNTIF($Q$2:$Q$5295,Q969)</f>
        <v/>
      </c>
      <c r="S969" s="25">
        <f>IF(R969&lt;=2,"1-2",IF(R969&lt;=5,"3-5",IF(R969&lt;=10,"6-10","11+")))</f>
        <v/>
      </c>
    </row>
    <row r="970">
      <c r="A970" s="39" t="n">
        <v>46162.49596064815</v>
      </c>
      <c r="B970" s="25">
        <f>TEXT(A970,"YYYY-MM")</f>
        <v/>
      </c>
      <c r="C970" s="25">
        <f>TEXT(A970,"MMM-YYYY")</f>
        <v/>
      </c>
      <c r="D970" s="40">
        <f>INT(A970)-WEEKDAY(A970,2)+1</f>
        <v/>
      </c>
      <c r="E970" s="25" t="inlineStr">
        <is>
          <t>pgautam</t>
        </is>
      </c>
      <c r="F970" s="25" t="n">
        <v>3398</v>
      </c>
      <c r="G970" s="25" t="n">
        <v>1</v>
      </c>
      <c r="H970" s="25" t="n">
        <v>7</v>
      </c>
      <c r="I970" s="25" t="inlineStr">
        <is>
          <t>2 minute(s) and 26 second(s)</t>
        </is>
      </c>
      <c r="J970" s="25">
        <f>IFERROR(VALUE(TRIM(LEFT(I970,FIND("minute",I970)-1)))*60,0)+IFERROR(VALUE(SUBSTITUTE(MID(I970,IFERROR(FIND("and",I970)+3,1),20),"second(s)","")),0)</f>
        <v/>
      </c>
      <c r="K970" s="41">
        <f>J970/60</f>
        <v/>
      </c>
      <c r="L970" s="41">
        <f>IFERROR(J970/H970,"")</f>
        <v/>
      </c>
      <c r="M970" s="25" t="inlineStr">
        <is>
          <t>2.5.12</t>
        </is>
      </c>
      <c r="N970" s="25">
        <f>IF(J970&gt;300,1,0)</f>
        <v/>
      </c>
      <c r="O970" s="25">
        <f>IF(J970&gt;600,1,0)</f>
        <v/>
      </c>
      <c r="P970" s="25">
        <f>IF(H970&gt;0,J970,"")</f>
        <v/>
      </c>
      <c r="Q970" s="25">
        <f>TEXT(A970,"YYYY-MM-DD HH")</f>
        <v/>
      </c>
      <c r="R970" s="25">
        <f>COUNTIF($Q$2:$Q$5295,Q970)</f>
        <v/>
      </c>
      <c r="S970" s="25">
        <f>IF(R970&lt;=2,"1-2",IF(R970&lt;=5,"3-5",IF(R970&lt;=10,"6-10","11+")))</f>
        <v/>
      </c>
    </row>
    <row r="971">
      <c r="A971" s="39" t="n">
        <v>46162.51732638889</v>
      </c>
      <c r="B971" s="25">
        <f>TEXT(A971,"YYYY-MM")</f>
        <v/>
      </c>
      <c r="C971" s="25">
        <f>TEXT(A971,"MMM-YYYY")</f>
        <v/>
      </c>
      <c r="D971" s="40">
        <f>INT(A971)-WEEKDAY(A971,2)+1</f>
        <v/>
      </c>
      <c r="E971" s="25" t="inlineStr">
        <is>
          <t>ssaha</t>
        </is>
      </c>
      <c r="F971" s="25" t="n">
        <v>164</v>
      </c>
      <c r="G971" s="25" t="n">
        <v>1</v>
      </c>
      <c r="H971" s="25" t="n">
        <v>7</v>
      </c>
      <c r="I971" s="25" t="inlineStr">
        <is>
          <t>1 minute(s) and 14 second(s)</t>
        </is>
      </c>
      <c r="J971" s="25">
        <f>IFERROR(VALUE(TRIM(LEFT(I971,FIND("minute",I971)-1)))*60,0)+IFERROR(VALUE(SUBSTITUTE(MID(I971,IFERROR(FIND("and",I971)+3,1),20),"second(s)","")),0)</f>
        <v/>
      </c>
      <c r="K971" s="41">
        <f>J971/60</f>
        <v/>
      </c>
      <c r="L971" s="41">
        <f>IFERROR(J971/H971,"")</f>
        <v/>
      </c>
      <c r="M971" s="25" t="inlineStr">
        <is>
          <t>2.5.12</t>
        </is>
      </c>
      <c r="N971" s="25">
        <f>IF(J971&gt;300,1,0)</f>
        <v/>
      </c>
      <c r="O971" s="25">
        <f>IF(J971&gt;600,1,0)</f>
        <v/>
      </c>
      <c r="P971" s="25">
        <f>IF(H971&gt;0,J971,"")</f>
        <v/>
      </c>
      <c r="Q971" s="25">
        <f>TEXT(A971,"YYYY-MM-DD HH")</f>
        <v/>
      </c>
      <c r="R971" s="25">
        <f>COUNTIF($Q$2:$Q$5295,Q971)</f>
        <v/>
      </c>
      <c r="S971" s="25">
        <f>IF(R971&lt;=2,"1-2",IF(R971&lt;=5,"3-5",IF(R971&lt;=10,"6-10","11+")))</f>
        <v/>
      </c>
    </row>
    <row r="972">
      <c r="A972" s="39" t="n">
        <v>46162.52488425926</v>
      </c>
      <c r="B972" s="25">
        <f>TEXT(A972,"YYYY-MM")</f>
        <v/>
      </c>
      <c r="C972" s="25">
        <f>TEXT(A972,"MMM-YYYY")</f>
        <v/>
      </c>
      <c r="D972" s="40">
        <f>INT(A972)-WEEKDAY(A972,2)+1</f>
        <v/>
      </c>
      <c r="E972" s="25" t="inlineStr">
        <is>
          <t>rsingh</t>
        </is>
      </c>
      <c r="F972" s="25" t="n">
        <v>116238</v>
      </c>
      <c r="G972" s="25" t="n">
        <v>5</v>
      </c>
      <c r="H972" s="25" t="n">
        <v>21</v>
      </c>
      <c r="I972" s="25" t="inlineStr">
        <is>
          <t>6 minute(s) and 31 second(s)</t>
        </is>
      </c>
      <c r="J972" s="25">
        <f>IFERROR(VALUE(TRIM(LEFT(I972,FIND("minute",I972)-1)))*60,0)+IFERROR(VALUE(SUBSTITUTE(MID(I972,IFERROR(FIND("and",I972)+3,1),20),"second(s)","")),0)</f>
        <v/>
      </c>
      <c r="K972" s="41">
        <f>J972/60</f>
        <v/>
      </c>
      <c r="L972" s="41">
        <f>IFERROR(J972/H972,"")</f>
        <v/>
      </c>
      <c r="M972" s="25" t="inlineStr">
        <is>
          <t>2.5.12</t>
        </is>
      </c>
      <c r="N972" s="25">
        <f>IF(J972&gt;300,1,0)</f>
        <v/>
      </c>
      <c r="O972" s="25">
        <f>IF(J972&gt;600,1,0)</f>
        <v/>
      </c>
      <c r="P972" s="25">
        <f>IF(H972&gt;0,J972,"")</f>
        <v/>
      </c>
      <c r="Q972" s="25">
        <f>TEXT(A972,"YYYY-MM-DD HH")</f>
        <v/>
      </c>
      <c r="R972" s="25">
        <f>COUNTIF($Q$2:$Q$5295,Q972)</f>
        <v/>
      </c>
      <c r="S972" s="25">
        <f>IF(R972&lt;=2,"1-2",IF(R972&lt;=5,"3-5",IF(R972&lt;=10,"6-10","11+")))</f>
        <v/>
      </c>
    </row>
    <row r="973">
      <c r="A973" s="39" t="n">
        <v>46162.53084490741</v>
      </c>
      <c r="B973" s="25">
        <f>TEXT(A973,"YYYY-MM")</f>
        <v/>
      </c>
      <c r="C973" s="25">
        <f>TEXT(A973,"MMM-YYYY")</f>
        <v/>
      </c>
      <c r="D973" s="40">
        <f>INT(A973)-WEEKDAY(A973,2)+1</f>
        <v/>
      </c>
      <c r="E973" s="25" t="inlineStr">
        <is>
          <t>psingh</t>
        </is>
      </c>
      <c r="F973" s="25" t="n">
        <v>447</v>
      </c>
      <c r="G973" s="25" t="n">
        <v>1</v>
      </c>
      <c r="H973" s="25" t="n">
        <v>7</v>
      </c>
      <c r="I973" s="25" t="inlineStr">
        <is>
          <t>1 minute(s) and 16 second(s)</t>
        </is>
      </c>
      <c r="J973" s="25">
        <f>IFERROR(VALUE(TRIM(LEFT(I973,FIND("minute",I973)-1)))*60,0)+IFERROR(VALUE(SUBSTITUTE(MID(I973,IFERROR(FIND("and",I973)+3,1),20),"second(s)","")),0)</f>
        <v/>
      </c>
      <c r="K973" s="41">
        <f>J973/60</f>
        <v/>
      </c>
      <c r="L973" s="41">
        <f>IFERROR(J973/H973,"")</f>
        <v/>
      </c>
      <c r="M973" s="25" t="inlineStr">
        <is>
          <t>2.5.12</t>
        </is>
      </c>
      <c r="N973" s="25">
        <f>IF(J973&gt;300,1,0)</f>
        <v/>
      </c>
      <c r="O973" s="25">
        <f>IF(J973&gt;600,1,0)</f>
        <v/>
      </c>
      <c r="P973" s="25">
        <f>IF(H973&gt;0,J973,"")</f>
        <v/>
      </c>
      <c r="Q973" s="25">
        <f>TEXT(A973,"YYYY-MM-DD HH")</f>
        <v/>
      </c>
      <c r="R973" s="25">
        <f>COUNTIF($Q$2:$Q$5295,Q973)</f>
        <v/>
      </c>
      <c r="S973" s="25">
        <f>IF(R973&lt;=2,"1-2",IF(R973&lt;=5,"3-5",IF(R973&lt;=10,"6-10","11+")))</f>
        <v/>
      </c>
    </row>
    <row r="974">
      <c r="A974" s="39" t="n">
        <v>46162.53325231482</v>
      </c>
      <c r="B974" s="25">
        <f>TEXT(A974,"YYYY-MM")</f>
        <v/>
      </c>
      <c r="C974" s="25">
        <f>TEXT(A974,"MMM-YYYY")</f>
        <v/>
      </c>
      <c r="D974" s="40">
        <f>INT(A974)-WEEKDAY(A974,2)+1</f>
        <v/>
      </c>
      <c r="E974" s="25" t="inlineStr">
        <is>
          <t>shassan</t>
        </is>
      </c>
      <c r="F974" s="25" t="n">
        <v>431</v>
      </c>
      <c r="G974" s="25" t="n">
        <v>1</v>
      </c>
      <c r="H974" s="25" t="n">
        <v>7</v>
      </c>
      <c r="I974" s="25" t="inlineStr">
        <is>
          <t>2 minute(s) and 45 second(s)</t>
        </is>
      </c>
      <c r="J974" s="25">
        <f>IFERROR(VALUE(TRIM(LEFT(I974,FIND("minute",I974)-1)))*60,0)+IFERROR(VALUE(SUBSTITUTE(MID(I974,IFERROR(FIND("and",I974)+3,1),20),"second(s)","")),0)</f>
        <v/>
      </c>
      <c r="K974" s="41">
        <f>J974/60</f>
        <v/>
      </c>
      <c r="L974" s="41">
        <f>IFERROR(J974/H974,"")</f>
        <v/>
      </c>
      <c r="M974" s="25" t="inlineStr">
        <is>
          <t>2.5.12</t>
        </is>
      </c>
      <c r="N974" s="25">
        <f>IF(J974&gt;300,1,0)</f>
        <v/>
      </c>
      <c r="O974" s="25">
        <f>IF(J974&gt;600,1,0)</f>
        <v/>
      </c>
      <c r="P974" s="25">
        <f>IF(H974&gt;0,J974,"")</f>
        <v/>
      </c>
      <c r="Q974" s="25">
        <f>TEXT(A974,"YYYY-MM-DD HH")</f>
        <v/>
      </c>
      <c r="R974" s="25">
        <f>COUNTIF($Q$2:$Q$5295,Q974)</f>
        <v/>
      </c>
      <c r="S974" s="25">
        <f>IF(R974&lt;=2,"1-2",IF(R974&lt;=5,"3-5",IF(R974&lt;=10,"6-10","11+")))</f>
        <v/>
      </c>
    </row>
    <row r="975">
      <c r="A975" s="39" t="n">
        <v>46162.53393518519</v>
      </c>
      <c r="B975" s="25">
        <f>TEXT(A975,"YYYY-MM")</f>
        <v/>
      </c>
      <c r="C975" s="25">
        <f>TEXT(A975,"MMM-YYYY")</f>
        <v/>
      </c>
      <c r="D975" s="40">
        <f>INT(A975)-WEEKDAY(A975,2)+1</f>
        <v/>
      </c>
      <c r="E975" s="25" t="inlineStr">
        <is>
          <t>mbhalla</t>
        </is>
      </c>
      <c r="F975" s="25" t="n">
        <v>3775</v>
      </c>
      <c r="G975" s="25" t="n">
        <v>1</v>
      </c>
      <c r="H975" s="25" t="n">
        <v>5</v>
      </c>
      <c r="I975" s="25" t="inlineStr">
        <is>
          <t>52 second(s)</t>
        </is>
      </c>
      <c r="J975" s="25">
        <f>IFERROR(VALUE(TRIM(LEFT(I975,FIND("minute",I975)-1)))*60,0)+IFERROR(VALUE(SUBSTITUTE(MID(I975,IFERROR(FIND("and",I975)+3,1),20),"second(s)","")),0)</f>
        <v/>
      </c>
      <c r="K975" s="41">
        <f>J975/60</f>
        <v/>
      </c>
      <c r="L975" s="41">
        <f>IFERROR(J975/H975,"")</f>
        <v/>
      </c>
      <c r="M975" s="25" t="inlineStr">
        <is>
          <t>2.5.12</t>
        </is>
      </c>
      <c r="N975" s="25">
        <f>IF(J975&gt;300,1,0)</f>
        <v/>
      </c>
      <c r="O975" s="25">
        <f>IF(J975&gt;600,1,0)</f>
        <v/>
      </c>
      <c r="P975" s="25">
        <f>IF(H975&gt;0,J975,"")</f>
        <v/>
      </c>
      <c r="Q975" s="25">
        <f>TEXT(A975,"YYYY-MM-DD HH")</f>
        <v/>
      </c>
      <c r="R975" s="25">
        <f>COUNTIF($Q$2:$Q$5295,Q975)</f>
        <v/>
      </c>
      <c r="S975" s="25">
        <f>IF(R975&lt;=2,"1-2",IF(R975&lt;=5,"3-5",IF(R975&lt;=10,"6-10","11+")))</f>
        <v/>
      </c>
    </row>
    <row r="976">
      <c r="A976" s="39" t="n">
        <v>46162.54407407407</v>
      </c>
      <c r="B976" s="25">
        <f>TEXT(A976,"YYYY-MM")</f>
        <v/>
      </c>
      <c r="C976" s="25">
        <f>TEXT(A976,"MMM-YYYY")</f>
        <v/>
      </c>
      <c r="D976" s="40">
        <f>INT(A976)-WEEKDAY(A976,2)+1</f>
        <v/>
      </c>
      <c r="E976" s="25" t="inlineStr">
        <is>
          <t>arsarkar</t>
        </is>
      </c>
      <c r="F976" s="25" t="n">
        <v>107023</v>
      </c>
      <c r="G976" s="25" t="n">
        <v>3</v>
      </c>
      <c r="H976" s="25" t="n">
        <v>11</v>
      </c>
      <c r="I976" s="25" t="inlineStr">
        <is>
          <t>4 minute(s) and 1 second(s)</t>
        </is>
      </c>
      <c r="J976" s="25">
        <f>IFERROR(VALUE(TRIM(LEFT(I976,FIND("minute",I976)-1)))*60,0)+IFERROR(VALUE(SUBSTITUTE(MID(I976,IFERROR(FIND("and",I976)+3,1),20),"second(s)","")),0)</f>
        <v/>
      </c>
      <c r="K976" s="41">
        <f>J976/60</f>
        <v/>
      </c>
      <c r="L976" s="41">
        <f>IFERROR(J976/H976,"")</f>
        <v/>
      </c>
      <c r="M976" s="25" t="inlineStr">
        <is>
          <t>2.5.12</t>
        </is>
      </c>
      <c r="N976" s="25">
        <f>IF(J976&gt;300,1,0)</f>
        <v/>
      </c>
      <c r="O976" s="25">
        <f>IF(J976&gt;600,1,0)</f>
        <v/>
      </c>
      <c r="P976" s="25">
        <f>IF(H976&gt;0,J976,"")</f>
        <v/>
      </c>
      <c r="Q976" s="25">
        <f>TEXT(A976,"YYYY-MM-DD HH")</f>
        <v/>
      </c>
      <c r="R976" s="25">
        <f>COUNTIF($Q$2:$Q$5295,Q976)</f>
        <v/>
      </c>
      <c r="S976" s="25">
        <f>IF(R976&lt;=2,"1-2",IF(R976&lt;=5,"3-5",IF(R976&lt;=10,"6-10","11+")))</f>
        <v/>
      </c>
    </row>
    <row r="977">
      <c r="A977" s="39" t="n">
        <v>46162.54640046296</v>
      </c>
      <c r="B977" s="25">
        <f>TEXT(A977,"YYYY-MM")</f>
        <v/>
      </c>
      <c r="C977" s="25">
        <f>TEXT(A977,"MMM-YYYY")</f>
        <v/>
      </c>
      <c r="D977" s="40">
        <f>INT(A977)-WEEKDAY(A977,2)+1</f>
        <v/>
      </c>
      <c r="E977" s="25" t="inlineStr">
        <is>
          <t>hdutt</t>
        </is>
      </c>
      <c r="F977" s="25" t="n">
        <v>3118</v>
      </c>
      <c r="G977" s="25" t="n">
        <v>3</v>
      </c>
      <c r="H977" s="25" t="n">
        <v>13</v>
      </c>
      <c r="I977" s="25" t="inlineStr">
        <is>
          <t>5 minute(s) and 32 second(s)</t>
        </is>
      </c>
      <c r="J977" s="25">
        <f>IFERROR(VALUE(TRIM(LEFT(I977,FIND("minute",I977)-1)))*60,0)+IFERROR(VALUE(SUBSTITUTE(MID(I977,IFERROR(FIND("and",I977)+3,1),20),"second(s)","")),0)</f>
        <v/>
      </c>
      <c r="K977" s="41">
        <f>J977/60</f>
        <v/>
      </c>
      <c r="L977" s="41">
        <f>IFERROR(J977/H977,"")</f>
        <v/>
      </c>
      <c r="M977" s="25" t="inlineStr">
        <is>
          <t>2.5.12</t>
        </is>
      </c>
      <c r="N977" s="25">
        <f>IF(J977&gt;300,1,0)</f>
        <v/>
      </c>
      <c r="O977" s="25">
        <f>IF(J977&gt;600,1,0)</f>
        <v/>
      </c>
      <c r="P977" s="25">
        <f>IF(H977&gt;0,J977,"")</f>
        <v/>
      </c>
      <c r="Q977" s="25">
        <f>TEXT(A977,"YYYY-MM-DD HH")</f>
        <v/>
      </c>
      <c r="R977" s="25">
        <f>COUNTIF($Q$2:$Q$5295,Q977)</f>
        <v/>
      </c>
      <c r="S977" s="25">
        <f>IF(R977&lt;=2,"1-2",IF(R977&lt;=5,"3-5",IF(R977&lt;=10,"6-10","11+")))</f>
        <v/>
      </c>
    </row>
    <row r="978">
      <c r="A978" s="39" t="n">
        <v>46162.54886574074</v>
      </c>
      <c r="B978" s="25">
        <f>TEXT(A978,"YYYY-MM")</f>
        <v/>
      </c>
      <c r="C978" s="25">
        <f>TEXT(A978,"MMM-YYYY")</f>
        <v/>
      </c>
      <c r="D978" s="40">
        <f>INT(A978)-WEEKDAY(A978,2)+1</f>
        <v/>
      </c>
      <c r="E978" s="25" t="inlineStr">
        <is>
          <t>aghosh</t>
        </is>
      </c>
      <c r="F978" s="25" t="n">
        <v>3298</v>
      </c>
      <c r="G978" s="25" t="n">
        <v>2</v>
      </c>
      <c r="H978" s="25" t="n">
        <v>12</v>
      </c>
      <c r="I978" s="25" t="inlineStr">
        <is>
          <t>2 minute(s) and 19 second(s)</t>
        </is>
      </c>
      <c r="J978" s="25">
        <f>IFERROR(VALUE(TRIM(LEFT(I978,FIND("minute",I978)-1)))*60,0)+IFERROR(VALUE(SUBSTITUTE(MID(I978,IFERROR(FIND("and",I978)+3,1),20),"second(s)","")),0)</f>
        <v/>
      </c>
      <c r="K978" s="41">
        <f>J978/60</f>
        <v/>
      </c>
      <c r="L978" s="41">
        <f>IFERROR(J978/H978,"")</f>
        <v/>
      </c>
      <c r="M978" s="25" t="inlineStr">
        <is>
          <t>2.5.12</t>
        </is>
      </c>
      <c r="N978" s="25">
        <f>IF(J978&gt;300,1,0)</f>
        <v/>
      </c>
      <c r="O978" s="25">
        <f>IF(J978&gt;600,1,0)</f>
        <v/>
      </c>
      <c r="P978" s="25">
        <f>IF(H978&gt;0,J978,"")</f>
        <v/>
      </c>
      <c r="Q978" s="25">
        <f>TEXT(A978,"YYYY-MM-DD HH")</f>
        <v/>
      </c>
      <c r="R978" s="25">
        <f>COUNTIF($Q$2:$Q$5295,Q978)</f>
        <v/>
      </c>
      <c r="S978" s="25">
        <f>IF(R978&lt;=2,"1-2",IF(R978&lt;=5,"3-5",IF(R978&lt;=10,"6-10","11+")))</f>
        <v/>
      </c>
    </row>
    <row r="979">
      <c r="A979" s="39" t="n">
        <v>46162.5624537037</v>
      </c>
      <c r="B979" s="25">
        <f>TEXT(A979,"YYYY-MM")</f>
        <v/>
      </c>
      <c r="C979" s="25">
        <f>TEXT(A979,"MMM-YYYY")</f>
        <v/>
      </c>
      <c r="D979" s="40">
        <f>INT(A979)-WEEKDAY(A979,2)+1</f>
        <v/>
      </c>
      <c r="E979" s="25" t="inlineStr">
        <is>
          <t>pgautam</t>
        </is>
      </c>
      <c r="F979" s="25" t="n">
        <v>3400</v>
      </c>
      <c r="G979" s="25" t="n">
        <v>4</v>
      </c>
      <c r="H979" s="25" t="n">
        <v>20</v>
      </c>
      <c r="I979" s="25" t="inlineStr">
        <is>
          <t>5 minute(s) and 10 second(s)</t>
        </is>
      </c>
      <c r="J979" s="25">
        <f>IFERROR(VALUE(TRIM(LEFT(I979,FIND("minute",I979)-1)))*60,0)+IFERROR(VALUE(SUBSTITUTE(MID(I979,IFERROR(FIND("and",I979)+3,1),20),"second(s)","")),0)</f>
        <v/>
      </c>
      <c r="K979" s="41">
        <f>J979/60</f>
        <v/>
      </c>
      <c r="L979" s="41">
        <f>IFERROR(J979/H979,"")</f>
        <v/>
      </c>
      <c r="M979" s="25" t="inlineStr">
        <is>
          <t>2.5.12</t>
        </is>
      </c>
      <c r="N979" s="25">
        <f>IF(J979&gt;300,1,0)</f>
        <v/>
      </c>
      <c r="O979" s="25">
        <f>IF(J979&gt;600,1,0)</f>
        <v/>
      </c>
      <c r="P979" s="25">
        <f>IF(H979&gt;0,J979,"")</f>
        <v/>
      </c>
      <c r="Q979" s="25">
        <f>TEXT(A979,"YYYY-MM-DD HH")</f>
        <v/>
      </c>
      <c r="R979" s="25">
        <f>COUNTIF($Q$2:$Q$5295,Q979)</f>
        <v/>
      </c>
      <c r="S979" s="25">
        <f>IF(R979&lt;=2,"1-2",IF(R979&lt;=5,"3-5",IF(R979&lt;=10,"6-10","11+")))</f>
        <v/>
      </c>
    </row>
    <row r="980">
      <c r="A980" s="39" t="n">
        <v>46162.56834490741</v>
      </c>
      <c r="B980" s="25">
        <f>TEXT(A980,"YYYY-MM")</f>
        <v/>
      </c>
      <c r="C980" s="25">
        <f>TEXT(A980,"MMM-YYYY")</f>
        <v/>
      </c>
      <c r="D980" s="40">
        <f>INT(A980)-WEEKDAY(A980,2)+1</f>
        <v/>
      </c>
      <c r="E980" s="25" t="inlineStr">
        <is>
          <t>mbhalla</t>
        </is>
      </c>
      <c r="F980" s="25" t="n">
        <v>3775</v>
      </c>
      <c r="G980" s="25" t="n">
        <v>1</v>
      </c>
      <c r="H980" s="25" t="n">
        <v>5</v>
      </c>
      <c r="I980" s="25" t="inlineStr">
        <is>
          <t>49 second(s)</t>
        </is>
      </c>
      <c r="J980" s="25">
        <f>IFERROR(VALUE(TRIM(LEFT(I980,FIND("minute",I980)-1)))*60,0)+IFERROR(VALUE(SUBSTITUTE(MID(I980,IFERROR(FIND("and",I980)+3,1),20),"second(s)","")),0)</f>
        <v/>
      </c>
      <c r="K980" s="41">
        <f>J980/60</f>
        <v/>
      </c>
      <c r="L980" s="41">
        <f>IFERROR(J980/H980,"")</f>
        <v/>
      </c>
      <c r="M980" s="25" t="inlineStr">
        <is>
          <t>2.5.12</t>
        </is>
      </c>
      <c r="N980" s="25">
        <f>IF(J980&gt;300,1,0)</f>
        <v/>
      </c>
      <c r="O980" s="25">
        <f>IF(J980&gt;600,1,0)</f>
        <v/>
      </c>
      <c r="P980" s="25">
        <f>IF(H980&gt;0,J980,"")</f>
        <v/>
      </c>
      <c r="Q980" s="25">
        <f>TEXT(A980,"YYYY-MM-DD HH")</f>
        <v/>
      </c>
      <c r="R980" s="25">
        <f>COUNTIF($Q$2:$Q$5295,Q980)</f>
        <v/>
      </c>
      <c r="S980" s="25">
        <f>IF(R980&lt;=2,"1-2",IF(R980&lt;=5,"3-5",IF(R980&lt;=10,"6-10","11+")))</f>
        <v/>
      </c>
    </row>
    <row r="981">
      <c r="A981" s="39" t="n">
        <v>46162.58541666667</v>
      </c>
      <c r="B981" s="25">
        <f>TEXT(A981,"YYYY-MM")</f>
        <v/>
      </c>
      <c r="C981" s="25">
        <f>TEXT(A981,"MMM-YYYY")</f>
        <v/>
      </c>
      <c r="D981" s="40">
        <f>INT(A981)-WEEKDAY(A981,2)+1</f>
        <v/>
      </c>
      <c r="E981" s="25" t="inlineStr">
        <is>
          <t>mbhalla</t>
        </is>
      </c>
      <c r="F981" s="25" t="n">
        <v>3776</v>
      </c>
      <c r="G981" s="25" t="n">
        <v>1</v>
      </c>
      <c r="H981" s="25" t="n">
        <v>7</v>
      </c>
      <c r="I981" s="25" t="inlineStr">
        <is>
          <t>2 minute(s) and 35 second(s)</t>
        </is>
      </c>
      <c r="J981" s="25">
        <f>IFERROR(VALUE(TRIM(LEFT(I981,FIND("minute",I981)-1)))*60,0)+IFERROR(VALUE(SUBSTITUTE(MID(I981,IFERROR(FIND("and",I981)+3,1),20),"second(s)","")),0)</f>
        <v/>
      </c>
      <c r="K981" s="41">
        <f>J981/60</f>
        <v/>
      </c>
      <c r="L981" s="41">
        <f>IFERROR(J981/H981,"")</f>
        <v/>
      </c>
      <c r="M981" s="25" t="inlineStr">
        <is>
          <t>2.5.12</t>
        </is>
      </c>
      <c r="N981" s="25">
        <f>IF(J981&gt;300,1,0)</f>
        <v/>
      </c>
      <c r="O981" s="25">
        <f>IF(J981&gt;600,1,0)</f>
        <v/>
      </c>
      <c r="P981" s="25">
        <f>IF(H981&gt;0,J981,"")</f>
        <v/>
      </c>
      <c r="Q981" s="25">
        <f>TEXT(A981,"YYYY-MM-DD HH")</f>
        <v/>
      </c>
      <c r="R981" s="25">
        <f>COUNTIF($Q$2:$Q$5295,Q981)</f>
        <v/>
      </c>
      <c r="S981" s="25">
        <f>IF(R981&lt;=2,"1-2",IF(R981&lt;=5,"3-5",IF(R981&lt;=10,"6-10","11+")))</f>
        <v/>
      </c>
    </row>
    <row r="982">
      <c r="A982" s="39" t="n">
        <v>46162.60069444445</v>
      </c>
      <c r="B982" s="25">
        <f>TEXT(A982,"YYYY-MM")</f>
        <v/>
      </c>
      <c r="C982" s="25">
        <f>TEXT(A982,"MMM-YYYY")</f>
        <v/>
      </c>
      <c r="D982" s="40">
        <f>INT(A982)-WEEKDAY(A982,2)+1</f>
        <v/>
      </c>
      <c r="E982" s="25" t="inlineStr">
        <is>
          <t>psingh</t>
        </is>
      </c>
      <c r="F982" s="25" t="n">
        <v>448</v>
      </c>
      <c r="G982" s="25" t="n">
        <v>1</v>
      </c>
      <c r="H982" s="25" t="n">
        <v>7</v>
      </c>
      <c r="I982" s="25" t="inlineStr">
        <is>
          <t>1 minute(s) and 16 second(s)</t>
        </is>
      </c>
      <c r="J982" s="25">
        <f>IFERROR(VALUE(TRIM(LEFT(I982,FIND("minute",I982)-1)))*60,0)+IFERROR(VALUE(SUBSTITUTE(MID(I982,IFERROR(FIND("and",I982)+3,1),20),"second(s)","")),0)</f>
        <v/>
      </c>
      <c r="K982" s="41">
        <f>J982/60</f>
        <v/>
      </c>
      <c r="L982" s="41">
        <f>IFERROR(J982/H982,"")</f>
        <v/>
      </c>
      <c r="M982" s="25" t="inlineStr">
        <is>
          <t>2.5.12</t>
        </is>
      </c>
      <c r="N982" s="25">
        <f>IF(J982&gt;300,1,0)</f>
        <v/>
      </c>
      <c r="O982" s="25">
        <f>IF(J982&gt;600,1,0)</f>
        <v/>
      </c>
      <c r="P982" s="25">
        <f>IF(H982&gt;0,J982,"")</f>
        <v/>
      </c>
      <c r="Q982" s="25">
        <f>TEXT(A982,"YYYY-MM-DD HH")</f>
        <v/>
      </c>
      <c r="R982" s="25">
        <f>COUNTIF($Q$2:$Q$5295,Q982)</f>
        <v/>
      </c>
      <c r="S982" s="25">
        <f>IF(R982&lt;=2,"1-2",IF(R982&lt;=5,"3-5",IF(R982&lt;=10,"6-10","11+")))</f>
        <v/>
      </c>
    </row>
    <row r="983">
      <c r="A983" s="39" t="n">
        <v>46162.60277777778</v>
      </c>
      <c r="B983" s="25">
        <f>TEXT(A983,"YYYY-MM")</f>
        <v/>
      </c>
      <c r="C983" s="25">
        <f>TEXT(A983,"MMM-YYYY")</f>
        <v/>
      </c>
      <c r="D983" s="40">
        <f>INT(A983)-WEEKDAY(A983,2)+1</f>
        <v/>
      </c>
      <c r="E983" s="25" t="inlineStr">
        <is>
          <t>hdutt</t>
        </is>
      </c>
      <c r="F983" s="25" t="n">
        <v>3120</v>
      </c>
      <c r="G983" s="25" t="n">
        <v>1</v>
      </c>
      <c r="H983" s="25" t="n">
        <v>7</v>
      </c>
      <c r="I983" s="25" t="inlineStr">
        <is>
          <t>3 minute(s) and 7 second(s)</t>
        </is>
      </c>
      <c r="J983" s="25">
        <f>IFERROR(VALUE(TRIM(LEFT(I983,FIND("minute",I983)-1)))*60,0)+IFERROR(VALUE(SUBSTITUTE(MID(I983,IFERROR(FIND("and",I983)+3,1),20),"second(s)","")),0)</f>
        <v/>
      </c>
      <c r="K983" s="41">
        <f>J983/60</f>
        <v/>
      </c>
      <c r="L983" s="41">
        <f>IFERROR(J983/H983,"")</f>
        <v/>
      </c>
      <c r="M983" s="25" t="inlineStr">
        <is>
          <t>2.5.12</t>
        </is>
      </c>
      <c r="N983" s="25">
        <f>IF(J983&gt;300,1,0)</f>
        <v/>
      </c>
      <c r="O983" s="25">
        <f>IF(J983&gt;600,1,0)</f>
        <v/>
      </c>
      <c r="P983" s="25">
        <f>IF(H983&gt;0,J983,"")</f>
        <v/>
      </c>
      <c r="Q983" s="25">
        <f>TEXT(A983,"YYYY-MM-DD HH")</f>
        <v/>
      </c>
      <c r="R983" s="25">
        <f>COUNTIF($Q$2:$Q$5295,Q983)</f>
        <v/>
      </c>
      <c r="S983" s="25">
        <f>IF(R983&lt;=2,"1-2",IF(R983&lt;=5,"3-5",IF(R983&lt;=10,"6-10","11+")))</f>
        <v/>
      </c>
    </row>
    <row r="984">
      <c r="A984" s="39" t="n">
        <v>46162.60519675926</v>
      </c>
      <c r="B984" s="25">
        <f>TEXT(A984,"YYYY-MM")</f>
        <v/>
      </c>
      <c r="C984" s="25">
        <f>TEXT(A984,"MMM-YYYY")</f>
        <v/>
      </c>
      <c r="D984" s="40">
        <f>INT(A984)-WEEKDAY(A984,2)+1</f>
        <v/>
      </c>
      <c r="E984" s="25" t="inlineStr">
        <is>
          <t>rsingh</t>
        </is>
      </c>
      <c r="F984" s="25" t="n">
        <v>509</v>
      </c>
      <c r="G984" s="25" t="n">
        <v>1</v>
      </c>
      <c r="H984" s="25" t="n">
        <v>7</v>
      </c>
      <c r="I984" s="25" t="inlineStr">
        <is>
          <t>1 minute(s) and 21 second(s)</t>
        </is>
      </c>
      <c r="J984" s="25">
        <f>IFERROR(VALUE(TRIM(LEFT(I984,FIND("minute",I984)-1)))*60,0)+IFERROR(VALUE(SUBSTITUTE(MID(I984,IFERROR(FIND("and",I984)+3,1),20),"second(s)","")),0)</f>
        <v/>
      </c>
      <c r="K984" s="41">
        <f>J984/60</f>
        <v/>
      </c>
      <c r="L984" s="41">
        <f>IFERROR(J984/H984,"")</f>
        <v/>
      </c>
      <c r="M984" s="25" t="inlineStr">
        <is>
          <t>2.5.12</t>
        </is>
      </c>
      <c r="N984" s="25">
        <f>IF(J984&gt;300,1,0)</f>
        <v/>
      </c>
      <c r="O984" s="25">
        <f>IF(J984&gt;600,1,0)</f>
        <v/>
      </c>
      <c r="P984" s="25">
        <f>IF(H984&gt;0,J984,"")</f>
        <v/>
      </c>
      <c r="Q984" s="25">
        <f>TEXT(A984,"YYYY-MM-DD HH")</f>
        <v/>
      </c>
      <c r="R984" s="25">
        <f>COUNTIF($Q$2:$Q$5295,Q984)</f>
        <v/>
      </c>
      <c r="S984" s="25">
        <f>IF(R984&lt;=2,"1-2",IF(R984&lt;=5,"3-5",IF(R984&lt;=10,"6-10","11+")))</f>
        <v/>
      </c>
    </row>
    <row r="985">
      <c r="A985" s="39" t="n">
        <v>46162.60603009259</v>
      </c>
      <c r="B985" s="25">
        <f>TEXT(A985,"YYYY-MM")</f>
        <v/>
      </c>
      <c r="C985" s="25">
        <f>TEXT(A985,"MMM-YYYY")</f>
        <v/>
      </c>
      <c r="D985" s="40">
        <f>INT(A985)-WEEKDAY(A985,2)+1</f>
        <v/>
      </c>
      <c r="E985" s="25" t="inlineStr">
        <is>
          <t>vraina</t>
        </is>
      </c>
      <c r="F985" s="25" t="n">
        <v>3898</v>
      </c>
      <c r="G985" s="25" t="n">
        <v>1</v>
      </c>
      <c r="H985" s="25" t="n">
        <v>7</v>
      </c>
      <c r="I985" s="25" t="inlineStr">
        <is>
          <t>2 minute(s) and 37 second(s)</t>
        </is>
      </c>
      <c r="J985" s="25">
        <f>IFERROR(VALUE(TRIM(LEFT(I985,FIND("minute",I985)-1)))*60,0)+IFERROR(VALUE(SUBSTITUTE(MID(I985,IFERROR(FIND("and",I985)+3,1),20),"second(s)","")),0)</f>
        <v/>
      </c>
      <c r="K985" s="41">
        <f>J985/60</f>
        <v/>
      </c>
      <c r="L985" s="41">
        <f>IFERROR(J985/H985,"")</f>
        <v/>
      </c>
      <c r="M985" s="25" t="inlineStr">
        <is>
          <t>2.5.12</t>
        </is>
      </c>
      <c r="N985" s="25">
        <f>IF(J985&gt;300,1,0)</f>
        <v/>
      </c>
      <c r="O985" s="25">
        <f>IF(J985&gt;600,1,0)</f>
        <v/>
      </c>
      <c r="P985" s="25">
        <f>IF(H985&gt;0,J985,"")</f>
        <v/>
      </c>
      <c r="Q985" s="25">
        <f>TEXT(A985,"YYYY-MM-DD HH")</f>
        <v/>
      </c>
      <c r="R985" s="25">
        <f>COUNTIF($Q$2:$Q$5295,Q985)</f>
        <v/>
      </c>
      <c r="S985" s="25">
        <f>IF(R985&lt;=2,"1-2",IF(R985&lt;=5,"3-5",IF(R985&lt;=10,"6-10","11+")))</f>
        <v/>
      </c>
    </row>
    <row r="986">
      <c r="A986" s="39" t="n">
        <v>46162.6146875</v>
      </c>
      <c r="B986" s="25">
        <f>TEXT(A986,"YYYY-MM")</f>
        <v/>
      </c>
      <c r="C986" s="25">
        <f>TEXT(A986,"MMM-YYYY")</f>
        <v/>
      </c>
      <c r="D986" s="40">
        <f>INT(A986)-WEEKDAY(A986,2)+1</f>
        <v/>
      </c>
      <c r="E986" s="25" t="inlineStr">
        <is>
          <t>hsindwani</t>
        </is>
      </c>
      <c r="F986" s="25" t="n">
        <v>1724</v>
      </c>
      <c r="G986" s="25" t="n">
        <v>2</v>
      </c>
      <c r="H986" s="25" t="n">
        <v>12</v>
      </c>
      <c r="I986" s="25" t="inlineStr">
        <is>
          <t>3 minute(s) and 45 second(s)</t>
        </is>
      </c>
      <c r="J986" s="25">
        <f>IFERROR(VALUE(TRIM(LEFT(I986,FIND("minute",I986)-1)))*60,0)+IFERROR(VALUE(SUBSTITUTE(MID(I986,IFERROR(FIND("and",I986)+3,1),20),"second(s)","")),0)</f>
        <v/>
      </c>
      <c r="K986" s="41">
        <f>J986/60</f>
        <v/>
      </c>
      <c r="L986" s="41">
        <f>IFERROR(J986/H986,"")</f>
        <v/>
      </c>
      <c r="M986" s="25" t="inlineStr">
        <is>
          <t>2.5.12</t>
        </is>
      </c>
      <c r="N986" s="25">
        <f>IF(J986&gt;300,1,0)</f>
        <v/>
      </c>
      <c r="O986" s="25">
        <f>IF(J986&gt;600,1,0)</f>
        <v/>
      </c>
      <c r="P986" s="25">
        <f>IF(H986&gt;0,J986,"")</f>
        <v/>
      </c>
      <c r="Q986" s="25">
        <f>TEXT(A986,"YYYY-MM-DD HH")</f>
        <v/>
      </c>
      <c r="R986" s="25">
        <f>COUNTIF($Q$2:$Q$5295,Q986)</f>
        <v/>
      </c>
      <c r="S986" s="25">
        <f>IF(R986&lt;=2,"1-2",IF(R986&lt;=5,"3-5",IF(R986&lt;=10,"6-10","11+")))</f>
        <v/>
      </c>
    </row>
    <row r="987">
      <c r="A987" s="39" t="n">
        <v>46162.6172337963</v>
      </c>
      <c r="B987" s="25">
        <f>TEXT(A987,"YYYY-MM")</f>
        <v/>
      </c>
      <c r="C987" s="25">
        <f>TEXT(A987,"MMM-YYYY")</f>
        <v/>
      </c>
      <c r="D987" s="40">
        <f>INT(A987)-WEEKDAY(A987,2)+1</f>
        <v/>
      </c>
      <c r="E987" s="25" t="inlineStr">
        <is>
          <t>mbhalla</t>
        </is>
      </c>
      <c r="F987" s="25" t="n">
        <v>3778</v>
      </c>
      <c r="G987" s="25" t="n">
        <v>1</v>
      </c>
      <c r="H987" s="25" t="n">
        <v>7</v>
      </c>
      <c r="I987" s="25" t="inlineStr">
        <is>
          <t>2 minute(s) and 57 second(s)</t>
        </is>
      </c>
      <c r="J987" s="25">
        <f>IFERROR(VALUE(TRIM(LEFT(I987,FIND("minute",I987)-1)))*60,0)+IFERROR(VALUE(SUBSTITUTE(MID(I987,IFERROR(FIND("and",I987)+3,1),20),"second(s)","")),0)</f>
        <v/>
      </c>
      <c r="K987" s="41">
        <f>J987/60</f>
        <v/>
      </c>
      <c r="L987" s="41">
        <f>IFERROR(J987/H987,"")</f>
        <v/>
      </c>
      <c r="M987" s="25" t="inlineStr">
        <is>
          <t>2.5.12</t>
        </is>
      </c>
      <c r="N987" s="25">
        <f>IF(J987&gt;300,1,0)</f>
        <v/>
      </c>
      <c r="O987" s="25">
        <f>IF(J987&gt;600,1,0)</f>
        <v/>
      </c>
      <c r="P987" s="25">
        <f>IF(H987&gt;0,J987,"")</f>
        <v/>
      </c>
      <c r="Q987" s="25">
        <f>TEXT(A987,"YYYY-MM-DD HH")</f>
        <v/>
      </c>
      <c r="R987" s="25">
        <f>COUNTIF($Q$2:$Q$5295,Q987)</f>
        <v/>
      </c>
      <c r="S987" s="25">
        <f>IF(R987&lt;=2,"1-2",IF(R987&lt;=5,"3-5",IF(R987&lt;=10,"6-10","11+")))</f>
        <v/>
      </c>
    </row>
    <row r="988">
      <c r="A988" s="39" t="n">
        <v>46162.61872685186</v>
      </c>
      <c r="B988" s="25">
        <f>TEXT(A988,"YYYY-MM")</f>
        <v/>
      </c>
      <c r="C988" s="25">
        <f>TEXT(A988,"MMM-YYYY")</f>
        <v/>
      </c>
      <c r="D988" s="40">
        <f>INT(A988)-WEEKDAY(A988,2)+1</f>
        <v/>
      </c>
      <c r="E988" s="25" t="inlineStr">
        <is>
          <t>pgautam</t>
        </is>
      </c>
      <c r="F988" s="25" t="n">
        <v>3401</v>
      </c>
      <c r="G988" s="25" t="n">
        <v>1</v>
      </c>
      <c r="H988" s="25" t="n">
        <v>7</v>
      </c>
      <c r="I988" s="25" t="inlineStr">
        <is>
          <t>1 minute(s) and 26 second(s)</t>
        </is>
      </c>
      <c r="J988" s="25">
        <f>IFERROR(VALUE(TRIM(LEFT(I988,FIND("minute",I988)-1)))*60,0)+IFERROR(VALUE(SUBSTITUTE(MID(I988,IFERROR(FIND("and",I988)+3,1),20),"second(s)","")),0)</f>
        <v/>
      </c>
      <c r="K988" s="41">
        <f>J988/60</f>
        <v/>
      </c>
      <c r="L988" s="41">
        <f>IFERROR(J988/H988,"")</f>
        <v/>
      </c>
      <c r="M988" s="25" t="inlineStr">
        <is>
          <t>2.5.12</t>
        </is>
      </c>
      <c r="N988" s="25">
        <f>IF(J988&gt;300,1,0)</f>
        <v/>
      </c>
      <c r="O988" s="25">
        <f>IF(J988&gt;600,1,0)</f>
        <v/>
      </c>
      <c r="P988" s="25">
        <f>IF(H988&gt;0,J988,"")</f>
        <v/>
      </c>
      <c r="Q988" s="25">
        <f>TEXT(A988,"YYYY-MM-DD HH")</f>
        <v/>
      </c>
      <c r="R988" s="25">
        <f>COUNTIF($Q$2:$Q$5295,Q988)</f>
        <v/>
      </c>
      <c r="S988" s="25">
        <f>IF(R988&lt;=2,"1-2",IF(R988&lt;=5,"3-5",IF(R988&lt;=10,"6-10","11+")))</f>
        <v/>
      </c>
    </row>
    <row r="989">
      <c r="A989" s="39" t="n">
        <v>46162.62082175926</v>
      </c>
      <c r="B989" s="25">
        <f>TEXT(A989,"YYYY-MM")</f>
        <v/>
      </c>
      <c r="C989" s="25">
        <f>TEXT(A989,"MMM-YYYY")</f>
        <v/>
      </c>
      <c r="D989" s="40">
        <f>INT(A989)-WEEKDAY(A989,2)+1</f>
        <v/>
      </c>
      <c r="E989" s="25" t="inlineStr">
        <is>
          <t>hsindwani</t>
        </is>
      </c>
      <c r="F989" s="25" t="n">
        <v>1724</v>
      </c>
      <c r="G989" s="25" t="n">
        <v>1</v>
      </c>
      <c r="H989" s="25" t="n">
        <v>8</v>
      </c>
      <c r="I989" s="25" t="inlineStr">
        <is>
          <t>1 minute(s) and 33 second(s)</t>
        </is>
      </c>
      <c r="J989" s="25">
        <f>IFERROR(VALUE(TRIM(LEFT(I989,FIND("minute",I989)-1)))*60,0)+IFERROR(VALUE(SUBSTITUTE(MID(I989,IFERROR(FIND("and",I989)+3,1),20),"second(s)","")),0)</f>
        <v/>
      </c>
      <c r="K989" s="41">
        <f>J989/60</f>
        <v/>
      </c>
      <c r="L989" s="41">
        <f>IFERROR(J989/H989,"")</f>
        <v/>
      </c>
      <c r="M989" s="25" t="inlineStr">
        <is>
          <t>2.5.12</t>
        </is>
      </c>
      <c r="N989" s="25">
        <f>IF(J989&gt;300,1,0)</f>
        <v/>
      </c>
      <c r="O989" s="25">
        <f>IF(J989&gt;600,1,0)</f>
        <v/>
      </c>
      <c r="P989" s="25">
        <f>IF(H989&gt;0,J989,"")</f>
        <v/>
      </c>
      <c r="Q989" s="25">
        <f>TEXT(A989,"YYYY-MM-DD HH")</f>
        <v/>
      </c>
      <c r="R989" s="25">
        <f>COUNTIF($Q$2:$Q$5295,Q989)</f>
        <v/>
      </c>
      <c r="S989" s="25">
        <f>IF(R989&lt;=2,"1-2",IF(R989&lt;=5,"3-5",IF(R989&lt;=10,"6-10","11+")))</f>
        <v/>
      </c>
    </row>
    <row r="990">
      <c r="A990" s="39" t="n">
        <v>46162.62276620371</v>
      </c>
      <c r="B990" s="25">
        <f>TEXT(A990,"YYYY-MM")</f>
        <v/>
      </c>
      <c r="C990" s="25">
        <f>TEXT(A990,"MMM-YYYY")</f>
        <v/>
      </c>
      <c r="D990" s="40">
        <f>INT(A990)-WEEKDAY(A990,2)+1</f>
        <v/>
      </c>
      <c r="E990" s="25" t="inlineStr">
        <is>
          <t>rsingh</t>
        </is>
      </c>
      <c r="F990" s="25" t="n">
        <v>510</v>
      </c>
      <c r="G990" s="25" t="n">
        <v>1</v>
      </c>
      <c r="H990" s="25" t="n">
        <v>7</v>
      </c>
      <c r="I990" s="25" t="inlineStr">
        <is>
          <t>1 minute(s) and 35 second(s)</t>
        </is>
      </c>
      <c r="J990" s="25">
        <f>IFERROR(VALUE(TRIM(LEFT(I990,FIND("minute",I990)-1)))*60,0)+IFERROR(VALUE(SUBSTITUTE(MID(I990,IFERROR(FIND("and",I990)+3,1),20),"second(s)","")),0)</f>
        <v/>
      </c>
      <c r="K990" s="41">
        <f>J990/60</f>
        <v/>
      </c>
      <c r="L990" s="41">
        <f>IFERROR(J990/H990,"")</f>
        <v/>
      </c>
      <c r="M990" s="25" t="inlineStr">
        <is>
          <t>2.5.12</t>
        </is>
      </c>
      <c r="N990" s="25">
        <f>IF(J990&gt;300,1,0)</f>
        <v/>
      </c>
      <c r="O990" s="25">
        <f>IF(J990&gt;600,1,0)</f>
        <v/>
      </c>
      <c r="P990" s="25">
        <f>IF(H990&gt;0,J990,"")</f>
        <v/>
      </c>
      <c r="Q990" s="25">
        <f>TEXT(A990,"YYYY-MM-DD HH")</f>
        <v/>
      </c>
      <c r="R990" s="25">
        <f>COUNTIF($Q$2:$Q$5295,Q990)</f>
        <v/>
      </c>
      <c r="S990" s="25">
        <f>IF(R990&lt;=2,"1-2",IF(R990&lt;=5,"3-5",IF(R990&lt;=10,"6-10","11+")))</f>
        <v/>
      </c>
    </row>
    <row r="991">
      <c r="A991" s="39" t="n">
        <v>46162.62296296296</v>
      </c>
      <c r="B991" s="25">
        <f>TEXT(A991,"YYYY-MM")</f>
        <v/>
      </c>
      <c r="C991" s="25">
        <f>TEXT(A991,"MMM-YYYY")</f>
        <v/>
      </c>
      <c r="D991" s="40">
        <f>INT(A991)-WEEKDAY(A991,2)+1</f>
        <v/>
      </c>
      <c r="E991" s="25" t="inlineStr">
        <is>
          <t>vreddy</t>
        </is>
      </c>
      <c r="F991" s="25" t="n">
        <v>3090</v>
      </c>
      <c r="G991" s="25" t="n">
        <v>1</v>
      </c>
      <c r="H991" s="25" t="n">
        <v>5</v>
      </c>
      <c r="I991" s="25" t="inlineStr">
        <is>
          <t>1 minute(s) and 20 second(s)</t>
        </is>
      </c>
      <c r="J991" s="25">
        <f>IFERROR(VALUE(TRIM(LEFT(I991,FIND("minute",I991)-1)))*60,0)+IFERROR(VALUE(SUBSTITUTE(MID(I991,IFERROR(FIND("and",I991)+3,1),20),"second(s)","")),0)</f>
        <v/>
      </c>
      <c r="K991" s="41">
        <f>J991/60</f>
        <v/>
      </c>
      <c r="L991" s="41">
        <f>IFERROR(J991/H991,"")</f>
        <v/>
      </c>
      <c r="M991" s="25" t="inlineStr">
        <is>
          <t>2.5.12</t>
        </is>
      </c>
      <c r="N991" s="25">
        <f>IF(J991&gt;300,1,0)</f>
        <v/>
      </c>
      <c r="O991" s="25">
        <f>IF(J991&gt;600,1,0)</f>
        <v/>
      </c>
      <c r="P991" s="25">
        <f>IF(H991&gt;0,J991,"")</f>
        <v/>
      </c>
      <c r="Q991" s="25">
        <f>TEXT(A991,"YYYY-MM-DD HH")</f>
        <v/>
      </c>
      <c r="R991" s="25">
        <f>COUNTIF($Q$2:$Q$5295,Q991)</f>
        <v/>
      </c>
      <c r="S991" s="25">
        <f>IF(R991&lt;=2,"1-2",IF(R991&lt;=5,"3-5",IF(R991&lt;=10,"6-10","11+")))</f>
        <v/>
      </c>
    </row>
    <row r="992">
      <c r="A992" s="39" t="n">
        <v>46162.63266203704</v>
      </c>
      <c r="B992" s="25">
        <f>TEXT(A992,"YYYY-MM")</f>
        <v/>
      </c>
      <c r="C992" s="25">
        <f>TEXT(A992,"MMM-YYYY")</f>
        <v/>
      </c>
      <c r="D992" s="40">
        <f>INT(A992)-WEEKDAY(A992,2)+1</f>
        <v/>
      </c>
      <c r="E992" s="25" t="inlineStr">
        <is>
          <t>hdutt</t>
        </is>
      </c>
      <c r="F992" s="25" t="n">
        <v>3123</v>
      </c>
      <c r="G992" s="25" t="n">
        <v>1</v>
      </c>
      <c r="H992" s="25" t="n">
        <v>5</v>
      </c>
      <c r="I992" s="25" t="inlineStr">
        <is>
          <t>3 minute(s) and 2 second(s)</t>
        </is>
      </c>
      <c r="J992" s="25">
        <f>IFERROR(VALUE(TRIM(LEFT(I992,FIND("minute",I992)-1)))*60,0)+IFERROR(VALUE(SUBSTITUTE(MID(I992,IFERROR(FIND("and",I992)+3,1),20),"second(s)","")),0)</f>
        <v/>
      </c>
      <c r="K992" s="41">
        <f>J992/60</f>
        <v/>
      </c>
      <c r="L992" s="41">
        <f>IFERROR(J992/H992,"")</f>
        <v/>
      </c>
      <c r="M992" s="25" t="inlineStr">
        <is>
          <t>2.5.12</t>
        </is>
      </c>
      <c r="N992" s="25">
        <f>IF(J992&gt;300,1,0)</f>
        <v/>
      </c>
      <c r="O992" s="25">
        <f>IF(J992&gt;600,1,0)</f>
        <v/>
      </c>
      <c r="P992" s="25">
        <f>IF(H992&gt;0,J992,"")</f>
        <v/>
      </c>
      <c r="Q992" s="25">
        <f>TEXT(A992,"YYYY-MM-DD HH")</f>
        <v/>
      </c>
      <c r="R992" s="25">
        <f>COUNTIF($Q$2:$Q$5295,Q992)</f>
        <v/>
      </c>
      <c r="S992" s="25">
        <f>IF(R992&lt;=2,"1-2",IF(R992&lt;=5,"3-5",IF(R992&lt;=10,"6-10","11+")))</f>
        <v/>
      </c>
    </row>
    <row r="993">
      <c r="A993" s="39" t="n">
        <v>46162.66460648148</v>
      </c>
      <c r="B993" s="25">
        <f>TEXT(A993,"YYYY-MM")</f>
        <v/>
      </c>
      <c r="C993" s="25">
        <f>TEXT(A993,"MMM-YYYY")</f>
        <v/>
      </c>
      <c r="D993" s="40">
        <f>INT(A993)-WEEKDAY(A993,2)+1</f>
        <v/>
      </c>
      <c r="E993" s="25" t="inlineStr">
        <is>
          <t>ssaha</t>
        </is>
      </c>
      <c r="F993" s="25" t="n">
        <v>232</v>
      </c>
      <c r="G993" s="25" t="n">
        <v>1</v>
      </c>
      <c r="H993" s="25" t="n">
        <v>5</v>
      </c>
      <c r="I993" s="25" t="inlineStr">
        <is>
          <t>55 second(s)</t>
        </is>
      </c>
      <c r="J993" s="25">
        <f>IFERROR(VALUE(TRIM(LEFT(I993,FIND("minute",I993)-1)))*60,0)+IFERROR(VALUE(SUBSTITUTE(MID(I993,IFERROR(FIND("and",I993)+3,1),20),"second(s)","")),0)</f>
        <v/>
      </c>
      <c r="K993" s="41">
        <f>J993/60</f>
        <v/>
      </c>
      <c r="L993" s="41">
        <f>IFERROR(J993/H993,"")</f>
        <v/>
      </c>
      <c r="M993" s="25" t="inlineStr">
        <is>
          <t>2.5.12</t>
        </is>
      </c>
      <c r="N993" s="25">
        <f>IF(J993&gt;300,1,0)</f>
        <v/>
      </c>
      <c r="O993" s="25">
        <f>IF(J993&gt;600,1,0)</f>
        <v/>
      </c>
      <c r="P993" s="25">
        <f>IF(H993&gt;0,J993,"")</f>
        <v/>
      </c>
      <c r="Q993" s="25">
        <f>TEXT(A993,"YYYY-MM-DD HH")</f>
        <v/>
      </c>
      <c r="R993" s="25">
        <f>COUNTIF($Q$2:$Q$5295,Q993)</f>
        <v/>
      </c>
      <c r="S993" s="25">
        <f>IF(R993&lt;=2,"1-2",IF(R993&lt;=5,"3-5",IF(R993&lt;=10,"6-10","11+")))</f>
        <v/>
      </c>
    </row>
    <row r="994">
      <c r="A994" s="39" t="n">
        <v>46162.68174768519</v>
      </c>
      <c r="B994" s="25">
        <f>TEXT(A994,"YYYY-MM")</f>
        <v/>
      </c>
      <c r="C994" s="25">
        <f>TEXT(A994,"MMM-YYYY")</f>
        <v/>
      </c>
      <c r="D994" s="40">
        <f>INT(A994)-WEEKDAY(A994,2)+1</f>
        <v/>
      </c>
      <c r="E994" s="25" t="inlineStr">
        <is>
          <t>hsindwani</t>
        </is>
      </c>
      <c r="F994" s="25" t="n">
        <v>1783</v>
      </c>
      <c r="G994" s="25" t="n">
        <v>5</v>
      </c>
      <c r="H994" s="25" t="n">
        <v>19</v>
      </c>
      <c r="I994" s="25" t="inlineStr">
        <is>
          <t>4 minute(s) and 6 second(s)</t>
        </is>
      </c>
      <c r="J994" s="25">
        <f>IFERROR(VALUE(TRIM(LEFT(I994,FIND("minute",I994)-1)))*60,0)+IFERROR(VALUE(SUBSTITUTE(MID(I994,IFERROR(FIND("and",I994)+3,1),20),"second(s)","")),0)</f>
        <v/>
      </c>
      <c r="K994" s="41">
        <f>J994/60</f>
        <v/>
      </c>
      <c r="L994" s="41">
        <f>IFERROR(J994/H994,"")</f>
        <v/>
      </c>
      <c r="M994" s="25" t="inlineStr">
        <is>
          <t>2.5.12</t>
        </is>
      </c>
      <c r="N994" s="25">
        <f>IF(J994&gt;300,1,0)</f>
        <v/>
      </c>
      <c r="O994" s="25">
        <f>IF(J994&gt;600,1,0)</f>
        <v/>
      </c>
      <c r="P994" s="25">
        <f>IF(H994&gt;0,J994,"")</f>
        <v/>
      </c>
      <c r="Q994" s="25">
        <f>TEXT(A994,"YYYY-MM-DD HH")</f>
        <v/>
      </c>
      <c r="R994" s="25">
        <f>COUNTIF($Q$2:$Q$5295,Q994)</f>
        <v/>
      </c>
      <c r="S994" s="25">
        <f>IF(R994&lt;=2,"1-2",IF(R994&lt;=5,"3-5",IF(R994&lt;=10,"6-10","11+")))</f>
        <v/>
      </c>
    </row>
    <row r="995">
      <c r="A995" s="39" t="n">
        <v>46162.6832175926</v>
      </c>
      <c r="B995" s="25">
        <f>TEXT(A995,"YYYY-MM")</f>
        <v/>
      </c>
      <c r="C995" s="25">
        <f>TEXT(A995,"MMM-YYYY")</f>
        <v/>
      </c>
      <c r="D995" s="40">
        <f>INT(A995)-WEEKDAY(A995,2)+1</f>
        <v/>
      </c>
      <c r="E995" s="25" t="inlineStr">
        <is>
          <t>dchoudhury</t>
        </is>
      </c>
      <c r="F995" s="25" t="n">
        <v>3499</v>
      </c>
      <c r="G995" s="25" t="n">
        <v>1</v>
      </c>
      <c r="H995" s="25" t="n">
        <v>5</v>
      </c>
      <c r="I995" s="25" t="inlineStr">
        <is>
          <t>1 minute(s) and 17 second(s)</t>
        </is>
      </c>
      <c r="J995" s="25">
        <f>IFERROR(VALUE(TRIM(LEFT(I995,FIND("minute",I995)-1)))*60,0)+IFERROR(VALUE(SUBSTITUTE(MID(I995,IFERROR(FIND("and",I995)+3,1),20),"second(s)","")),0)</f>
        <v/>
      </c>
      <c r="K995" s="41">
        <f>J995/60</f>
        <v/>
      </c>
      <c r="L995" s="41">
        <f>IFERROR(J995/H995,"")</f>
        <v/>
      </c>
      <c r="M995" s="25" t="inlineStr">
        <is>
          <t>2.5.12</t>
        </is>
      </c>
      <c r="N995" s="25">
        <f>IF(J995&gt;300,1,0)</f>
        <v/>
      </c>
      <c r="O995" s="25">
        <f>IF(J995&gt;600,1,0)</f>
        <v/>
      </c>
      <c r="P995" s="25">
        <f>IF(H995&gt;0,J995,"")</f>
        <v/>
      </c>
      <c r="Q995" s="25">
        <f>TEXT(A995,"YYYY-MM-DD HH")</f>
        <v/>
      </c>
      <c r="R995" s="25">
        <f>COUNTIF($Q$2:$Q$5295,Q995)</f>
        <v/>
      </c>
      <c r="S995" s="25">
        <f>IF(R995&lt;=2,"1-2",IF(R995&lt;=5,"3-5",IF(R995&lt;=10,"6-10","11+")))</f>
        <v/>
      </c>
    </row>
    <row r="996">
      <c r="A996" s="39" t="n">
        <v>46162.70006944444</v>
      </c>
      <c r="B996" s="25">
        <f>TEXT(A996,"YYYY-MM")</f>
        <v/>
      </c>
      <c r="C996" s="25">
        <f>TEXT(A996,"MMM-YYYY")</f>
        <v/>
      </c>
      <c r="D996" s="40">
        <f>INT(A996)-WEEKDAY(A996,2)+1</f>
        <v/>
      </c>
      <c r="E996" s="25" t="inlineStr">
        <is>
          <t>rsingh</t>
        </is>
      </c>
      <c r="F996" s="25" t="n">
        <v>511</v>
      </c>
      <c r="G996" s="25" t="n">
        <v>1</v>
      </c>
      <c r="H996" s="25" t="n">
        <v>7</v>
      </c>
      <c r="I996" s="25" t="inlineStr">
        <is>
          <t>1 minute(s) and 42 second(s)</t>
        </is>
      </c>
      <c r="J996" s="25">
        <f>IFERROR(VALUE(TRIM(LEFT(I996,FIND("minute",I996)-1)))*60,0)+IFERROR(VALUE(SUBSTITUTE(MID(I996,IFERROR(FIND("and",I996)+3,1),20),"second(s)","")),0)</f>
        <v/>
      </c>
      <c r="K996" s="41">
        <f>J996/60</f>
        <v/>
      </c>
      <c r="L996" s="41">
        <f>IFERROR(J996/H996,"")</f>
        <v/>
      </c>
      <c r="M996" s="25" t="inlineStr">
        <is>
          <t>2.5.12</t>
        </is>
      </c>
      <c r="N996" s="25">
        <f>IF(J996&gt;300,1,0)</f>
        <v/>
      </c>
      <c r="O996" s="25">
        <f>IF(J996&gt;600,1,0)</f>
        <v/>
      </c>
      <c r="P996" s="25">
        <f>IF(H996&gt;0,J996,"")</f>
        <v/>
      </c>
      <c r="Q996" s="25">
        <f>TEXT(A996,"YYYY-MM-DD HH")</f>
        <v/>
      </c>
      <c r="R996" s="25">
        <f>COUNTIF($Q$2:$Q$5295,Q996)</f>
        <v/>
      </c>
      <c r="S996" s="25">
        <f>IF(R996&lt;=2,"1-2",IF(R996&lt;=5,"3-5",IF(R996&lt;=10,"6-10","11+")))</f>
        <v/>
      </c>
    </row>
    <row r="997">
      <c r="A997" s="39" t="n">
        <v>46162.70336805555</v>
      </c>
      <c r="B997" s="25">
        <f>TEXT(A997,"YYYY-MM")</f>
        <v/>
      </c>
      <c r="C997" s="25">
        <f>TEXT(A997,"MMM-YYYY")</f>
        <v/>
      </c>
      <c r="D997" s="40">
        <f>INT(A997)-WEEKDAY(A997,2)+1</f>
        <v/>
      </c>
      <c r="E997" s="25" t="inlineStr">
        <is>
          <t>ssaha</t>
        </is>
      </c>
      <c r="F997" s="25" t="n">
        <v>204</v>
      </c>
      <c r="G997" s="25" t="n">
        <v>1</v>
      </c>
      <c r="H997" s="25" t="n">
        <v>5</v>
      </c>
      <c r="I997" s="25" t="inlineStr">
        <is>
          <t>59 second(s)</t>
        </is>
      </c>
      <c r="J997" s="25">
        <f>IFERROR(VALUE(TRIM(LEFT(I997,FIND("minute",I997)-1)))*60,0)+IFERROR(VALUE(SUBSTITUTE(MID(I997,IFERROR(FIND("and",I997)+3,1),20),"second(s)","")),0)</f>
        <v/>
      </c>
      <c r="K997" s="41">
        <f>J997/60</f>
        <v/>
      </c>
      <c r="L997" s="41">
        <f>IFERROR(J997/H997,"")</f>
        <v/>
      </c>
      <c r="M997" s="25" t="inlineStr">
        <is>
          <t>2.5.12</t>
        </is>
      </c>
      <c r="N997" s="25">
        <f>IF(J997&gt;300,1,0)</f>
        <v/>
      </c>
      <c r="O997" s="25">
        <f>IF(J997&gt;600,1,0)</f>
        <v/>
      </c>
      <c r="P997" s="25">
        <f>IF(H997&gt;0,J997,"")</f>
        <v/>
      </c>
      <c r="Q997" s="25">
        <f>TEXT(A997,"YYYY-MM-DD HH")</f>
        <v/>
      </c>
      <c r="R997" s="25">
        <f>COUNTIF($Q$2:$Q$5295,Q997)</f>
        <v/>
      </c>
      <c r="S997" s="25">
        <f>IF(R997&lt;=2,"1-2",IF(R997&lt;=5,"3-5",IF(R997&lt;=10,"6-10","11+")))</f>
        <v/>
      </c>
    </row>
    <row r="998">
      <c r="A998" s="39" t="n">
        <v>46162.71128472222</v>
      </c>
      <c r="B998" s="25">
        <f>TEXT(A998,"YYYY-MM")</f>
        <v/>
      </c>
      <c r="C998" s="25">
        <f>TEXT(A998,"MMM-YYYY")</f>
        <v/>
      </c>
      <c r="D998" s="40">
        <f>INT(A998)-WEEKDAY(A998,2)+1</f>
        <v/>
      </c>
      <c r="E998" s="25" t="inlineStr">
        <is>
          <t>vraina</t>
        </is>
      </c>
      <c r="F998" s="25" t="n">
        <v>3900</v>
      </c>
      <c r="G998" s="25" t="n">
        <v>1</v>
      </c>
      <c r="H998" s="25" t="n">
        <v>7</v>
      </c>
      <c r="I998" s="25" t="inlineStr">
        <is>
          <t>2 minute(s) and 29 second(s)</t>
        </is>
      </c>
      <c r="J998" s="25">
        <f>IFERROR(VALUE(TRIM(LEFT(I998,FIND("minute",I998)-1)))*60,0)+IFERROR(VALUE(SUBSTITUTE(MID(I998,IFERROR(FIND("and",I998)+3,1),20),"second(s)","")),0)</f>
        <v/>
      </c>
      <c r="K998" s="41">
        <f>J998/60</f>
        <v/>
      </c>
      <c r="L998" s="41">
        <f>IFERROR(J998/H998,"")</f>
        <v/>
      </c>
      <c r="M998" s="25" t="inlineStr">
        <is>
          <t>2.5.12</t>
        </is>
      </c>
      <c r="N998" s="25">
        <f>IF(J998&gt;300,1,0)</f>
        <v/>
      </c>
      <c r="O998" s="25">
        <f>IF(J998&gt;600,1,0)</f>
        <v/>
      </c>
      <c r="P998" s="25">
        <f>IF(H998&gt;0,J998,"")</f>
        <v/>
      </c>
      <c r="Q998" s="25">
        <f>TEXT(A998,"YYYY-MM-DD HH")</f>
        <v/>
      </c>
      <c r="R998" s="25">
        <f>COUNTIF($Q$2:$Q$5295,Q998)</f>
        <v/>
      </c>
      <c r="S998" s="25">
        <f>IF(R998&lt;=2,"1-2",IF(R998&lt;=5,"3-5",IF(R998&lt;=10,"6-10","11+")))</f>
        <v/>
      </c>
    </row>
    <row r="999">
      <c r="A999" s="39" t="n">
        <v>46162.715625</v>
      </c>
      <c r="B999" s="25">
        <f>TEXT(A999,"YYYY-MM")</f>
        <v/>
      </c>
      <c r="C999" s="25">
        <f>TEXT(A999,"MMM-YYYY")</f>
        <v/>
      </c>
      <c r="D999" s="40">
        <f>INT(A999)-WEEKDAY(A999,2)+1</f>
        <v/>
      </c>
      <c r="E999" s="25" t="inlineStr">
        <is>
          <t>hsindwani</t>
        </is>
      </c>
      <c r="F999" s="25" t="n">
        <v>1783</v>
      </c>
      <c r="G999" s="25" t="n">
        <v>1</v>
      </c>
      <c r="H999" s="25" t="n">
        <v>3</v>
      </c>
      <c r="I999" s="25" t="inlineStr">
        <is>
          <t>29 second(s)</t>
        </is>
      </c>
      <c r="J999" s="25">
        <f>IFERROR(VALUE(TRIM(LEFT(I999,FIND("minute",I999)-1)))*60,0)+IFERROR(VALUE(SUBSTITUTE(MID(I999,IFERROR(FIND("and",I999)+3,1),20),"second(s)","")),0)</f>
        <v/>
      </c>
      <c r="K999" s="41">
        <f>J999/60</f>
        <v/>
      </c>
      <c r="L999" s="41">
        <f>IFERROR(J999/H999,"")</f>
        <v/>
      </c>
      <c r="M999" s="25" t="inlineStr">
        <is>
          <t>2.5.12</t>
        </is>
      </c>
      <c r="N999" s="25">
        <f>IF(J999&gt;300,1,0)</f>
        <v/>
      </c>
      <c r="O999" s="25">
        <f>IF(J999&gt;600,1,0)</f>
        <v/>
      </c>
      <c r="P999" s="25">
        <f>IF(H999&gt;0,J999,"")</f>
        <v/>
      </c>
      <c r="Q999" s="25">
        <f>TEXT(A999,"YYYY-MM-DD HH")</f>
        <v/>
      </c>
      <c r="R999" s="25">
        <f>COUNTIF($Q$2:$Q$5295,Q999)</f>
        <v/>
      </c>
      <c r="S999" s="25">
        <f>IF(R999&lt;=2,"1-2",IF(R999&lt;=5,"3-5",IF(R999&lt;=10,"6-10","11+")))</f>
        <v/>
      </c>
    </row>
    <row r="1000">
      <c r="A1000" s="39" t="n">
        <v>46162.80337962963</v>
      </c>
      <c r="B1000" s="25">
        <f>TEXT(A1000,"YYYY-MM")</f>
        <v/>
      </c>
      <c r="C1000" s="25">
        <f>TEXT(A1000,"MMM-YYYY")</f>
        <v/>
      </c>
      <c r="D1000" s="40">
        <f>INT(A1000)-WEEKDAY(A1000,2)+1</f>
        <v/>
      </c>
      <c r="E1000" s="25" t="inlineStr">
        <is>
          <t>ssaha</t>
        </is>
      </c>
      <c r="F1000" s="25" t="n">
        <v>239</v>
      </c>
      <c r="G1000" s="25" t="n">
        <v>1</v>
      </c>
      <c r="H1000" s="25" t="n">
        <v>5</v>
      </c>
      <c r="I1000" s="25" t="inlineStr">
        <is>
          <t>48 second(s)</t>
        </is>
      </c>
      <c r="J1000" s="25">
        <f>IFERROR(VALUE(TRIM(LEFT(I1000,FIND("minute",I1000)-1)))*60,0)+IFERROR(VALUE(SUBSTITUTE(MID(I1000,IFERROR(FIND("and",I1000)+3,1),20),"second(s)","")),0)</f>
        <v/>
      </c>
      <c r="K1000" s="41">
        <f>J1000/60</f>
        <v/>
      </c>
      <c r="L1000" s="41">
        <f>IFERROR(J1000/H1000,"")</f>
        <v/>
      </c>
      <c r="M1000" s="25" t="inlineStr">
        <is>
          <t>2.5.12</t>
        </is>
      </c>
      <c r="N1000" s="25">
        <f>IF(J1000&gt;300,1,0)</f>
        <v/>
      </c>
      <c r="O1000" s="25">
        <f>IF(J1000&gt;600,1,0)</f>
        <v/>
      </c>
      <c r="P1000" s="25">
        <f>IF(H1000&gt;0,J1000,"")</f>
        <v/>
      </c>
      <c r="Q1000" s="25">
        <f>TEXT(A1000,"YYYY-MM-DD HH")</f>
        <v/>
      </c>
      <c r="R1000" s="25">
        <f>COUNTIF($Q$2:$Q$5295,Q1000)</f>
        <v/>
      </c>
      <c r="S1000" s="25">
        <f>IF(R1000&lt;=2,"1-2",IF(R1000&lt;=5,"3-5",IF(R1000&lt;=10,"6-10","11+")))</f>
        <v/>
      </c>
    </row>
    <row r="1001">
      <c r="A1001" s="39" t="n">
        <v>46162.80760416666</v>
      </c>
      <c r="B1001" s="25">
        <f>TEXT(A1001,"YYYY-MM")</f>
        <v/>
      </c>
      <c r="C1001" s="25">
        <f>TEXT(A1001,"MMM-YYYY")</f>
        <v/>
      </c>
      <c r="D1001" s="40">
        <f>INT(A1001)-WEEKDAY(A1001,2)+1</f>
        <v/>
      </c>
      <c r="E1001" s="25" t="inlineStr">
        <is>
          <t>vraina</t>
        </is>
      </c>
      <c r="F1001" s="25" t="n">
        <v>3901</v>
      </c>
      <c r="G1001" s="25" t="n">
        <v>1</v>
      </c>
      <c r="H1001" s="25" t="n">
        <v>5</v>
      </c>
      <c r="I1001" s="25" t="inlineStr">
        <is>
          <t>2 minute(s) and 30 second(s)</t>
        </is>
      </c>
      <c r="J1001" s="25">
        <f>IFERROR(VALUE(TRIM(LEFT(I1001,FIND("minute",I1001)-1)))*60,0)+IFERROR(VALUE(SUBSTITUTE(MID(I1001,IFERROR(FIND("and",I1001)+3,1),20),"second(s)","")),0)</f>
        <v/>
      </c>
      <c r="K1001" s="41">
        <f>J1001/60</f>
        <v/>
      </c>
      <c r="L1001" s="41">
        <f>IFERROR(J1001/H1001,"")</f>
        <v/>
      </c>
      <c r="M1001" s="25" t="inlineStr">
        <is>
          <t>2.5.12</t>
        </is>
      </c>
      <c r="N1001" s="25">
        <f>IF(J1001&gt;300,1,0)</f>
        <v/>
      </c>
      <c r="O1001" s="25">
        <f>IF(J1001&gt;600,1,0)</f>
        <v/>
      </c>
      <c r="P1001" s="25">
        <f>IF(H1001&gt;0,J1001,"")</f>
        <v/>
      </c>
      <c r="Q1001" s="25">
        <f>TEXT(A1001,"YYYY-MM-DD HH")</f>
        <v/>
      </c>
      <c r="R1001" s="25">
        <f>COUNTIF($Q$2:$Q$5295,Q1001)</f>
        <v/>
      </c>
      <c r="S1001" s="25">
        <f>IF(R1001&lt;=2,"1-2",IF(R1001&lt;=5,"3-5",IF(R1001&lt;=10,"6-10","11+")))</f>
        <v/>
      </c>
    </row>
    <row r="1002">
      <c r="A1002" s="39" t="n">
        <v>46162.8305787037</v>
      </c>
      <c r="B1002" s="25">
        <f>TEXT(A1002,"YYYY-MM")</f>
        <v/>
      </c>
      <c r="C1002" s="25">
        <f>TEXT(A1002,"MMM-YYYY")</f>
        <v/>
      </c>
      <c r="D1002" s="40">
        <f>INT(A1002)-WEEKDAY(A1002,2)+1</f>
        <v/>
      </c>
      <c r="E1002" s="25" t="inlineStr">
        <is>
          <t>psingh</t>
        </is>
      </c>
      <c r="F1002" s="25" t="n">
        <v>451</v>
      </c>
      <c r="G1002" s="25" t="n">
        <v>1</v>
      </c>
      <c r="H1002" s="25" t="n">
        <v>7</v>
      </c>
      <c r="I1002" s="25" t="inlineStr">
        <is>
          <t>4 minute(s) and 26 second(s)</t>
        </is>
      </c>
      <c r="J1002" s="25">
        <f>IFERROR(VALUE(TRIM(LEFT(I1002,FIND("minute",I1002)-1)))*60,0)+IFERROR(VALUE(SUBSTITUTE(MID(I1002,IFERROR(FIND("and",I1002)+3,1),20),"second(s)","")),0)</f>
        <v/>
      </c>
      <c r="K1002" s="41">
        <f>J1002/60</f>
        <v/>
      </c>
      <c r="L1002" s="41">
        <f>IFERROR(J1002/H1002,"")</f>
        <v/>
      </c>
      <c r="M1002" s="25" t="inlineStr">
        <is>
          <t>2.5.12</t>
        </is>
      </c>
      <c r="N1002" s="25">
        <f>IF(J1002&gt;300,1,0)</f>
        <v/>
      </c>
      <c r="O1002" s="25">
        <f>IF(J1002&gt;600,1,0)</f>
        <v/>
      </c>
      <c r="P1002" s="25">
        <f>IF(H1002&gt;0,J1002,"")</f>
        <v/>
      </c>
      <c r="Q1002" s="25">
        <f>TEXT(A1002,"YYYY-MM-DD HH")</f>
        <v/>
      </c>
      <c r="R1002" s="25">
        <f>COUNTIF($Q$2:$Q$5295,Q1002)</f>
        <v/>
      </c>
      <c r="S1002" s="25">
        <f>IF(R1002&lt;=2,"1-2",IF(R1002&lt;=5,"3-5",IF(R1002&lt;=10,"6-10","11+")))</f>
        <v/>
      </c>
    </row>
    <row r="1003">
      <c r="A1003" s="39" t="n">
        <v>46162.855625</v>
      </c>
      <c r="B1003" s="25">
        <f>TEXT(A1003,"YYYY-MM")</f>
        <v/>
      </c>
      <c r="C1003" s="25">
        <f>TEXT(A1003,"MMM-YYYY")</f>
        <v/>
      </c>
      <c r="D1003" s="40">
        <f>INT(A1003)-WEEKDAY(A1003,2)+1</f>
        <v/>
      </c>
      <c r="E1003" s="25" t="inlineStr">
        <is>
          <t>psingh</t>
        </is>
      </c>
      <c r="F1003" s="25" t="n">
        <v>452</v>
      </c>
      <c r="G1003" s="25" t="n">
        <v>1</v>
      </c>
      <c r="H1003" s="25" t="n">
        <v>7</v>
      </c>
      <c r="I1003" s="25" t="inlineStr">
        <is>
          <t>1 minute(s) and 25 second(s)</t>
        </is>
      </c>
      <c r="J1003" s="25">
        <f>IFERROR(VALUE(TRIM(LEFT(I1003,FIND("minute",I1003)-1)))*60,0)+IFERROR(VALUE(SUBSTITUTE(MID(I1003,IFERROR(FIND("and",I1003)+3,1),20),"second(s)","")),0)</f>
        <v/>
      </c>
      <c r="K1003" s="41">
        <f>J1003/60</f>
        <v/>
      </c>
      <c r="L1003" s="41">
        <f>IFERROR(J1003/H1003,"")</f>
        <v/>
      </c>
      <c r="M1003" s="25" t="inlineStr">
        <is>
          <t>2.5.12</t>
        </is>
      </c>
      <c r="N1003" s="25">
        <f>IF(J1003&gt;300,1,0)</f>
        <v/>
      </c>
      <c r="O1003" s="25">
        <f>IF(J1003&gt;600,1,0)</f>
        <v/>
      </c>
      <c r="P1003" s="25">
        <f>IF(H1003&gt;0,J1003,"")</f>
        <v/>
      </c>
      <c r="Q1003" s="25">
        <f>TEXT(A1003,"YYYY-MM-DD HH")</f>
        <v/>
      </c>
      <c r="R1003" s="25">
        <f>COUNTIF($Q$2:$Q$5295,Q1003)</f>
        <v/>
      </c>
      <c r="S1003" s="25">
        <f>IF(R1003&lt;=2,"1-2",IF(R1003&lt;=5,"3-5",IF(R1003&lt;=10,"6-10","11+")))</f>
        <v/>
      </c>
    </row>
    <row r="1004">
      <c r="A1004" s="39" t="n">
        <v>46162.88805555556</v>
      </c>
      <c r="B1004" s="25">
        <f>TEXT(A1004,"YYYY-MM")</f>
        <v/>
      </c>
      <c r="C1004" s="25">
        <f>TEXT(A1004,"MMM-YYYY")</f>
        <v/>
      </c>
      <c r="D1004" s="40">
        <f>INT(A1004)-WEEKDAY(A1004,2)+1</f>
        <v/>
      </c>
      <c r="E1004" s="25" t="inlineStr">
        <is>
          <t>psingh</t>
        </is>
      </c>
      <c r="F1004" s="25" t="n">
        <v>453</v>
      </c>
      <c r="G1004" s="25" t="n">
        <v>1</v>
      </c>
      <c r="H1004" s="25" t="n">
        <v>7</v>
      </c>
      <c r="I1004" s="25" t="inlineStr">
        <is>
          <t>1 minute(s) and 25 second(s)</t>
        </is>
      </c>
      <c r="J1004" s="25">
        <f>IFERROR(VALUE(TRIM(LEFT(I1004,FIND("minute",I1004)-1)))*60,0)+IFERROR(VALUE(SUBSTITUTE(MID(I1004,IFERROR(FIND("and",I1004)+3,1),20),"second(s)","")),0)</f>
        <v/>
      </c>
      <c r="K1004" s="41">
        <f>J1004/60</f>
        <v/>
      </c>
      <c r="L1004" s="41">
        <f>IFERROR(J1004/H1004,"")</f>
        <v/>
      </c>
      <c r="M1004" s="25" t="inlineStr">
        <is>
          <t>2.5.12</t>
        </is>
      </c>
      <c r="N1004" s="25">
        <f>IF(J1004&gt;300,1,0)</f>
        <v/>
      </c>
      <c r="O1004" s="25">
        <f>IF(J1004&gt;600,1,0)</f>
        <v/>
      </c>
      <c r="P1004" s="25">
        <f>IF(H1004&gt;0,J1004,"")</f>
        <v/>
      </c>
      <c r="Q1004" s="25">
        <f>TEXT(A1004,"YYYY-MM-DD HH")</f>
        <v/>
      </c>
      <c r="R1004" s="25">
        <f>COUNTIF($Q$2:$Q$5295,Q1004)</f>
        <v/>
      </c>
      <c r="S1004" s="25">
        <f>IF(R1004&lt;=2,"1-2",IF(R1004&lt;=5,"3-5",IF(R1004&lt;=10,"6-10","11+")))</f>
        <v/>
      </c>
    </row>
    <row r="1005">
      <c r="A1005" s="39" t="n">
        <v>46162.92574074074</v>
      </c>
      <c r="B1005" s="25">
        <f>TEXT(A1005,"YYYY-MM")</f>
        <v/>
      </c>
      <c r="C1005" s="25">
        <f>TEXT(A1005,"MMM-YYYY")</f>
        <v/>
      </c>
      <c r="D1005" s="40">
        <f>INT(A1005)-WEEKDAY(A1005,2)+1</f>
        <v/>
      </c>
      <c r="E1005" s="25" t="inlineStr">
        <is>
          <t>psingh</t>
        </is>
      </c>
      <c r="F1005" s="25" t="n">
        <v>457</v>
      </c>
      <c r="G1005" s="25" t="n">
        <v>1</v>
      </c>
      <c r="H1005" s="25" t="n">
        <v>6</v>
      </c>
      <c r="I1005" s="25" t="inlineStr">
        <is>
          <t>1 minute(s) and 45 second(s)</t>
        </is>
      </c>
      <c r="J1005" s="25">
        <f>IFERROR(VALUE(TRIM(LEFT(I1005,FIND("minute",I1005)-1)))*60,0)+IFERROR(VALUE(SUBSTITUTE(MID(I1005,IFERROR(FIND("and",I1005)+3,1),20),"second(s)","")),0)</f>
        <v/>
      </c>
      <c r="K1005" s="41">
        <f>J1005/60</f>
        <v/>
      </c>
      <c r="L1005" s="41">
        <f>IFERROR(J1005/H1005,"")</f>
        <v/>
      </c>
      <c r="M1005" s="25" t="inlineStr">
        <is>
          <t>2.5.12</t>
        </is>
      </c>
      <c r="N1005" s="25">
        <f>IF(J1005&gt;300,1,0)</f>
        <v/>
      </c>
      <c r="O1005" s="25">
        <f>IF(J1005&gt;600,1,0)</f>
        <v/>
      </c>
      <c r="P1005" s="25">
        <f>IF(H1005&gt;0,J1005,"")</f>
        <v/>
      </c>
      <c r="Q1005" s="25">
        <f>TEXT(A1005,"YYYY-MM-DD HH")</f>
        <v/>
      </c>
      <c r="R1005" s="25">
        <f>COUNTIF($Q$2:$Q$5295,Q1005)</f>
        <v/>
      </c>
      <c r="S1005" s="25">
        <f>IF(R1005&lt;=2,"1-2",IF(R1005&lt;=5,"3-5",IF(R1005&lt;=10,"6-10","11+")))</f>
        <v/>
      </c>
    </row>
    <row r="1006">
      <c r="A1006" s="39" t="n">
        <v>46162.94145833333</v>
      </c>
      <c r="B1006" s="25">
        <f>TEXT(A1006,"YYYY-MM")</f>
        <v/>
      </c>
      <c r="C1006" s="25">
        <f>TEXT(A1006,"MMM-YYYY")</f>
        <v/>
      </c>
      <c r="D1006" s="40">
        <f>INT(A1006)-WEEKDAY(A1006,2)+1</f>
        <v/>
      </c>
      <c r="E1006" s="25" t="inlineStr">
        <is>
          <t>hsindwani</t>
        </is>
      </c>
      <c r="F1006" s="25" t="n">
        <v>1722</v>
      </c>
      <c r="G1006" s="25" t="n">
        <v>2</v>
      </c>
      <c r="H1006" s="25" t="n">
        <v>10</v>
      </c>
      <c r="I1006" s="25" t="inlineStr">
        <is>
          <t>4 minute(s) and 7 second(s)</t>
        </is>
      </c>
      <c r="J1006" s="25">
        <f>IFERROR(VALUE(TRIM(LEFT(I1006,FIND("minute",I1006)-1)))*60,0)+IFERROR(VALUE(SUBSTITUTE(MID(I1006,IFERROR(FIND("and",I1006)+3,1),20),"second(s)","")),0)</f>
        <v/>
      </c>
      <c r="K1006" s="41">
        <f>J1006/60</f>
        <v/>
      </c>
      <c r="L1006" s="41">
        <f>IFERROR(J1006/H1006,"")</f>
        <v/>
      </c>
      <c r="M1006" s="25" t="inlineStr">
        <is>
          <t>2.5.12</t>
        </is>
      </c>
      <c r="N1006" s="25">
        <f>IF(J1006&gt;300,1,0)</f>
        <v/>
      </c>
      <c r="O1006" s="25">
        <f>IF(J1006&gt;600,1,0)</f>
        <v/>
      </c>
      <c r="P1006" s="25">
        <f>IF(H1006&gt;0,J1006,"")</f>
        <v/>
      </c>
      <c r="Q1006" s="25">
        <f>TEXT(A1006,"YYYY-MM-DD HH")</f>
        <v/>
      </c>
      <c r="R1006" s="25">
        <f>COUNTIF($Q$2:$Q$5295,Q1006)</f>
        <v/>
      </c>
      <c r="S1006" s="25">
        <f>IF(R1006&lt;=2,"1-2",IF(R1006&lt;=5,"3-5",IF(R1006&lt;=10,"6-10","11+")))</f>
        <v/>
      </c>
    </row>
    <row r="1007">
      <c r="A1007" s="39" t="n">
        <v>46163.00212962963</v>
      </c>
      <c r="B1007" s="25">
        <f>TEXT(A1007,"YYYY-MM")</f>
        <v/>
      </c>
      <c r="C1007" s="25">
        <f>TEXT(A1007,"MMM-YYYY")</f>
        <v/>
      </c>
      <c r="D1007" s="40">
        <f>INT(A1007)-WEEKDAY(A1007,2)+1</f>
        <v/>
      </c>
      <c r="E1007" s="25" t="inlineStr">
        <is>
          <t>dchoudhury</t>
        </is>
      </c>
      <c r="F1007" s="25" t="n">
        <v>3500</v>
      </c>
      <c r="G1007" s="25" t="n">
        <v>1</v>
      </c>
      <c r="H1007" s="25" t="n">
        <v>7</v>
      </c>
      <c r="I1007" s="25" t="inlineStr">
        <is>
          <t>1 minute(s) and 43 second(s)</t>
        </is>
      </c>
      <c r="J1007" s="25">
        <f>IFERROR(VALUE(TRIM(LEFT(I1007,FIND("minute",I1007)-1)))*60,0)+IFERROR(VALUE(SUBSTITUTE(MID(I1007,IFERROR(FIND("and",I1007)+3,1),20),"second(s)","")),0)</f>
        <v/>
      </c>
      <c r="K1007" s="41">
        <f>J1007/60</f>
        <v/>
      </c>
      <c r="L1007" s="41">
        <f>IFERROR(J1007/H1007,"")</f>
        <v/>
      </c>
      <c r="M1007" s="25" t="inlineStr">
        <is>
          <t>2.5.12</t>
        </is>
      </c>
      <c r="N1007" s="25">
        <f>IF(J1007&gt;300,1,0)</f>
        <v/>
      </c>
      <c r="O1007" s="25">
        <f>IF(J1007&gt;600,1,0)</f>
        <v/>
      </c>
      <c r="P1007" s="25">
        <f>IF(H1007&gt;0,J1007,"")</f>
        <v/>
      </c>
      <c r="Q1007" s="25">
        <f>TEXT(A1007,"YYYY-MM-DD HH")</f>
        <v/>
      </c>
      <c r="R1007" s="25">
        <f>COUNTIF($Q$2:$Q$5295,Q1007)</f>
        <v/>
      </c>
      <c r="S1007" s="25">
        <f>IF(R1007&lt;=2,"1-2",IF(R1007&lt;=5,"3-5",IF(R1007&lt;=10,"6-10","11+")))</f>
        <v/>
      </c>
    </row>
    <row r="1008">
      <c r="A1008" s="39" t="n">
        <v>46163.04055555556</v>
      </c>
      <c r="B1008" s="25">
        <f>TEXT(A1008,"YYYY-MM")</f>
        <v/>
      </c>
      <c r="C1008" s="25">
        <f>TEXT(A1008,"MMM-YYYY")</f>
        <v/>
      </c>
      <c r="D1008" s="40">
        <f>INT(A1008)-WEEKDAY(A1008,2)+1</f>
        <v/>
      </c>
      <c r="E1008" s="25" t="inlineStr">
        <is>
          <t>csaha</t>
        </is>
      </c>
      <c r="F1008" s="25" t="n">
        <v>1972</v>
      </c>
      <c r="G1008" s="25" t="n">
        <v>5</v>
      </c>
      <c r="H1008" s="25" t="n">
        <v>11</v>
      </c>
      <c r="I1008" s="25" t="inlineStr">
        <is>
          <t>4 minute(s) and 42 second(s)</t>
        </is>
      </c>
      <c r="J1008" s="25">
        <f>IFERROR(VALUE(TRIM(LEFT(I1008,FIND("minute",I1008)-1)))*60,0)+IFERROR(VALUE(SUBSTITUTE(MID(I1008,IFERROR(FIND("and",I1008)+3,1),20),"second(s)","")),0)</f>
        <v/>
      </c>
      <c r="K1008" s="41">
        <f>J1008/60</f>
        <v/>
      </c>
      <c r="L1008" s="41">
        <f>IFERROR(J1008/H1008,"")</f>
        <v/>
      </c>
      <c r="M1008" s="25" t="inlineStr">
        <is>
          <t>2.5.12</t>
        </is>
      </c>
      <c r="N1008" s="25">
        <f>IF(J1008&gt;300,1,0)</f>
        <v/>
      </c>
      <c r="O1008" s="25">
        <f>IF(J1008&gt;600,1,0)</f>
        <v/>
      </c>
      <c r="P1008" s="25">
        <f>IF(H1008&gt;0,J1008,"")</f>
        <v/>
      </c>
      <c r="Q1008" s="25">
        <f>TEXT(A1008,"YYYY-MM-DD HH")</f>
        <v/>
      </c>
      <c r="R1008" s="25">
        <f>COUNTIF($Q$2:$Q$5295,Q1008)</f>
        <v/>
      </c>
      <c r="S1008" s="25">
        <f>IF(R1008&lt;=2,"1-2",IF(R1008&lt;=5,"3-5",IF(R1008&lt;=10,"6-10","11+")))</f>
        <v/>
      </c>
    </row>
    <row r="1009">
      <c r="A1009" s="39" t="n">
        <v>46163.05811342593</v>
      </c>
      <c r="B1009" s="25">
        <f>TEXT(A1009,"YYYY-MM")</f>
        <v/>
      </c>
      <c r="C1009" s="25">
        <f>TEXT(A1009,"MMM-YYYY")</f>
        <v/>
      </c>
      <c r="D1009" s="40">
        <f>INT(A1009)-WEEKDAY(A1009,2)+1</f>
        <v/>
      </c>
      <c r="E1009" s="25" t="inlineStr">
        <is>
          <t>shassan</t>
        </is>
      </c>
      <c r="F1009" s="25" t="n">
        <v>4067</v>
      </c>
      <c r="G1009" s="25" t="n">
        <v>1</v>
      </c>
      <c r="H1009" s="25" t="n">
        <v>7</v>
      </c>
      <c r="I1009" s="25" t="inlineStr">
        <is>
          <t>2 minute(s) and 52 second(s)</t>
        </is>
      </c>
      <c r="J1009" s="25">
        <f>IFERROR(VALUE(TRIM(LEFT(I1009,FIND("minute",I1009)-1)))*60,0)+IFERROR(VALUE(SUBSTITUTE(MID(I1009,IFERROR(FIND("and",I1009)+3,1),20),"second(s)","")),0)</f>
        <v/>
      </c>
      <c r="K1009" s="41">
        <f>J1009/60</f>
        <v/>
      </c>
      <c r="L1009" s="41">
        <f>IFERROR(J1009/H1009,"")</f>
        <v/>
      </c>
      <c r="M1009" s="25" t="inlineStr">
        <is>
          <t>2.5.12</t>
        </is>
      </c>
      <c r="N1009" s="25">
        <f>IF(J1009&gt;300,1,0)</f>
        <v/>
      </c>
      <c r="O1009" s="25">
        <f>IF(J1009&gt;600,1,0)</f>
        <v/>
      </c>
      <c r="P1009" s="25">
        <f>IF(H1009&gt;0,J1009,"")</f>
        <v/>
      </c>
      <c r="Q1009" s="25">
        <f>TEXT(A1009,"YYYY-MM-DD HH")</f>
        <v/>
      </c>
      <c r="R1009" s="25">
        <f>COUNTIF($Q$2:$Q$5295,Q1009)</f>
        <v/>
      </c>
      <c r="S1009" s="25">
        <f>IF(R1009&lt;=2,"1-2",IF(R1009&lt;=5,"3-5",IF(R1009&lt;=10,"6-10","11+")))</f>
        <v/>
      </c>
    </row>
    <row r="1010">
      <c r="A1010" s="39" t="n">
        <v>46163.06252314815</v>
      </c>
      <c r="B1010" s="25">
        <f>TEXT(A1010,"YYYY-MM")</f>
        <v/>
      </c>
      <c r="C1010" s="25">
        <f>TEXT(A1010,"MMM-YYYY")</f>
        <v/>
      </c>
      <c r="D1010" s="40">
        <f>INT(A1010)-WEEKDAY(A1010,2)+1</f>
        <v/>
      </c>
      <c r="E1010" s="25" t="inlineStr">
        <is>
          <t>anusharma</t>
        </is>
      </c>
      <c r="F1010" s="25" t="n">
        <v>3199</v>
      </c>
      <c r="G1010" s="25" t="n">
        <v>1</v>
      </c>
      <c r="H1010" s="25" t="n">
        <v>7</v>
      </c>
      <c r="I1010" s="25" t="inlineStr">
        <is>
          <t>2 minute(s) and 18 second(s)</t>
        </is>
      </c>
      <c r="J1010" s="25">
        <f>IFERROR(VALUE(TRIM(LEFT(I1010,FIND("minute",I1010)-1)))*60,0)+IFERROR(VALUE(SUBSTITUTE(MID(I1010,IFERROR(FIND("and",I1010)+3,1),20),"second(s)","")),0)</f>
        <v/>
      </c>
      <c r="K1010" s="41">
        <f>J1010/60</f>
        <v/>
      </c>
      <c r="L1010" s="41">
        <f>IFERROR(J1010/H1010,"")</f>
        <v/>
      </c>
      <c r="M1010" s="25" t="inlineStr">
        <is>
          <t>2.5.12</t>
        </is>
      </c>
      <c r="N1010" s="25">
        <f>IF(J1010&gt;300,1,0)</f>
        <v/>
      </c>
      <c r="O1010" s="25">
        <f>IF(J1010&gt;600,1,0)</f>
        <v/>
      </c>
      <c r="P1010" s="25">
        <f>IF(H1010&gt;0,J1010,"")</f>
        <v/>
      </c>
      <c r="Q1010" s="25">
        <f>TEXT(A1010,"YYYY-MM-DD HH")</f>
        <v/>
      </c>
      <c r="R1010" s="25">
        <f>COUNTIF($Q$2:$Q$5295,Q1010)</f>
        <v/>
      </c>
      <c r="S1010" s="25">
        <f>IF(R1010&lt;=2,"1-2",IF(R1010&lt;=5,"3-5",IF(R1010&lt;=10,"6-10","11+")))</f>
        <v/>
      </c>
    </row>
    <row r="1011">
      <c r="A1011" s="39" t="n">
        <v>46163.06493055556</v>
      </c>
      <c r="B1011" s="25">
        <f>TEXT(A1011,"YYYY-MM")</f>
        <v/>
      </c>
      <c r="C1011" s="25">
        <f>TEXT(A1011,"MMM-YYYY")</f>
        <v/>
      </c>
      <c r="D1011" s="40">
        <f>INT(A1011)-WEEKDAY(A1011,2)+1</f>
        <v/>
      </c>
      <c r="E1011" s="25" t="inlineStr">
        <is>
          <t>rts</t>
        </is>
      </c>
      <c r="F1011" s="25" t="n">
        <v>112780</v>
      </c>
      <c r="G1011" s="25" t="n">
        <v>3</v>
      </c>
      <c r="H1011" s="25" t="n">
        <v>7</v>
      </c>
      <c r="I1011" s="25" t="inlineStr">
        <is>
          <t>1 minute(s) and 44 second(s)</t>
        </is>
      </c>
      <c r="J1011" s="25">
        <f>IFERROR(VALUE(TRIM(LEFT(I1011,FIND("minute",I1011)-1)))*60,0)+IFERROR(VALUE(SUBSTITUTE(MID(I1011,IFERROR(FIND("and",I1011)+3,1),20),"second(s)","")),0)</f>
        <v/>
      </c>
      <c r="K1011" s="41">
        <f>J1011/60</f>
        <v/>
      </c>
      <c r="L1011" s="41">
        <f>IFERROR(J1011/H1011,"")</f>
        <v/>
      </c>
      <c r="M1011" s="25" t="inlineStr">
        <is>
          <t>2.5.12</t>
        </is>
      </c>
      <c r="N1011" s="25">
        <f>IF(J1011&gt;300,1,0)</f>
        <v/>
      </c>
      <c r="O1011" s="25">
        <f>IF(J1011&gt;600,1,0)</f>
        <v/>
      </c>
      <c r="P1011" s="25">
        <f>IF(H1011&gt;0,J1011,"")</f>
        <v/>
      </c>
      <c r="Q1011" s="25">
        <f>TEXT(A1011,"YYYY-MM-DD HH")</f>
        <v/>
      </c>
      <c r="R1011" s="25">
        <f>COUNTIF($Q$2:$Q$5295,Q1011)</f>
        <v/>
      </c>
      <c r="S1011" s="25">
        <f>IF(R1011&lt;=2,"1-2",IF(R1011&lt;=5,"3-5",IF(R1011&lt;=10,"6-10","11+")))</f>
        <v/>
      </c>
    </row>
    <row r="1012">
      <c r="A1012" s="39" t="n">
        <v>46163.06842592593</v>
      </c>
      <c r="B1012" s="25">
        <f>TEXT(A1012,"YYYY-MM")</f>
        <v/>
      </c>
      <c r="C1012" s="25">
        <f>TEXT(A1012,"MMM-YYYY")</f>
        <v/>
      </c>
      <c r="D1012" s="40">
        <f>INT(A1012)-WEEKDAY(A1012,2)+1</f>
        <v/>
      </c>
      <c r="E1012" s="25" t="inlineStr">
        <is>
          <t>shassan</t>
        </is>
      </c>
      <c r="F1012" s="25" t="n">
        <v>432</v>
      </c>
      <c r="G1012" s="25" t="n">
        <v>1</v>
      </c>
      <c r="H1012" s="25" t="n">
        <v>7</v>
      </c>
      <c r="I1012" s="25" t="inlineStr">
        <is>
          <t>1 minute(s) and 36 second(s)</t>
        </is>
      </c>
      <c r="J1012" s="25">
        <f>IFERROR(VALUE(TRIM(LEFT(I1012,FIND("minute",I1012)-1)))*60,0)+IFERROR(VALUE(SUBSTITUTE(MID(I1012,IFERROR(FIND("and",I1012)+3,1),20),"second(s)","")),0)</f>
        <v/>
      </c>
      <c r="K1012" s="41">
        <f>J1012/60</f>
        <v/>
      </c>
      <c r="L1012" s="41">
        <f>IFERROR(J1012/H1012,"")</f>
        <v/>
      </c>
      <c r="M1012" s="25" t="inlineStr">
        <is>
          <t>2.5.12</t>
        </is>
      </c>
      <c r="N1012" s="25">
        <f>IF(J1012&gt;300,1,0)</f>
        <v/>
      </c>
      <c r="O1012" s="25">
        <f>IF(J1012&gt;600,1,0)</f>
        <v/>
      </c>
      <c r="P1012" s="25">
        <f>IF(H1012&gt;0,J1012,"")</f>
        <v/>
      </c>
      <c r="Q1012" s="25">
        <f>TEXT(A1012,"YYYY-MM-DD HH")</f>
        <v/>
      </c>
      <c r="R1012" s="25">
        <f>COUNTIF($Q$2:$Q$5295,Q1012)</f>
        <v/>
      </c>
      <c r="S1012" s="25">
        <f>IF(R1012&lt;=2,"1-2",IF(R1012&lt;=5,"3-5",IF(R1012&lt;=10,"6-10","11+")))</f>
        <v/>
      </c>
    </row>
    <row r="1013">
      <c r="A1013" s="39" t="n">
        <v>46163.07957175926</v>
      </c>
      <c r="B1013" s="25">
        <f>TEXT(A1013,"YYYY-MM")</f>
        <v/>
      </c>
      <c r="C1013" s="25">
        <f>TEXT(A1013,"MMM-YYYY")</f>
        <v/>
      </c>
      <c r="D1013" s="40">
        <f>INT(A1013)-WEEKDAY(A1013,2)+1</f>
        <v/>
      </c>
      <c r="E1013" s="25" t="inlineStr">
        <is>
          <t>vreddy</t>
        </is>
      </c>
      <c r="F1013" s="25" t="n">
        <v>3101</v>
      </c>
      <c r="G1013" s="25" t="n">
        <v>1</v>
      </c>
      <c r="H1013" s="25" t="n">
        <v>5</v>
      </c>
      <c r="I1013" s="25" t="inlineStr">
        <is>
          <t>58 second(s)</t>
        </is>
      </c>
      <c r="J1013" s="25">
        <f>IFERROR(VALUE(TRIM(LEFT(I1013,FIND("minute",I1013)-1)))*60,0)+IFERROR(VALUE(SUBSTITUTE(MID(I1013,IFERROR(FIND("and",I1013)+3,1),20),"second(s)","")),0)</f>
        <v/>
      </c>
      <c r="K1013" s="41">
        <f>J1013/60</f>
        <v/>
      </c>
      <c r="L1013" s="41">
        <f>IFERROR(J1013/H1013,"")</f>
        <v/>
      </c>
      <c r="M1013" s="25" t="inlineStr">
        <is>
          <t>2.5.12</t>
        </is>
      </c>
      <c r="N1013" s="25">
        <f>IF(J1013&gt;300,1,0)</f>
        <v/>
      </c>
      <c r="O1013" s="25">
        <f>IF(J1013&gt;600,1,0)</f>
        <v/>
      </c>
      <c r="P1013" s="25">
        <f>IF(H1013&gt;0,J1013,"")</f>
        <v/>
      </c>
      <c r="Q1013" s="25">
        <f>TEXT(A1013,"YYYY-MM-DD HH")</f>
        <v/>
      </c>
      <c r="R1013" s="25">
        <f>COUNTIF($Q$2:$Q$5295,Q1013)</f>
        <v/>
      </c>
      <c r="S1013" s="25">
        <f>IF(R1013&lt;=2,"1-2",IF(R1013&lt;=5,"3-5",IF(R1013&lt;=10,"6-10","11+")))</f>
        <v/>
      </c>
    </row>
    <row r="1014">
      <c r="A1014" s="39" t="n">
        <v>46163.0813425926</v>
      </c>
      <c r="B1014" s="25">
        <f>TEXT(A1014,"YYYY-MM")</f>
        <v/>
      </c>
      <c r="C1014" s="25">
        <f>TEXT(A1014,"MMM-YYYY")</f>
        <v/>
      </c>
      <c r="D1014" s="40">
        <f>INT(A1014)-WEEKDAY(A1014,2)+1</f>
        <v/>
      </c>
      <c r="E1014" s="25" t="inlineStr">
        <is>
          <t>arsarkar</t>
        </is>
      </c>
      <c r="F1014" s="25" t="n">
        <v>114971</v>
      </c>
      <c r="G1014" s="25" t="n">
        <v>6</v>
      </c>
      <c r="H1014" s="25" t="n">
        <v>20</v>
      </c>
      <c r="I1014" s="25" t="inlineStr">
        <is>
          <t>6 minute(s) and 15 second(s)</t>
        </is>
      </c>
      <c r="J1014" s="25">
        <f>IFERROR(VALUE(TRIM(LEFT(I1014,FIND("minute",I1014)-1)))*60,0)+IFERROR(VALUE(SUBSTITUTE(MID(I1014,IFERROR(FIND("and",I1014)+3,1),20),"second(s)","")),0)</f>
        <v/>
      </c>
      <c r="K1014" s="41">
        <f>J1014/60</f>
        <v/>
      </c>
      <c r="L1014" s="41">
        <f>IFERROR(J1014/H1014,"")</f>
        <v/>
      </c>
      <c r="M1014" s="25" t="inlineStr">
        <is>
          <t>2.5.12</t>
        </is>
      </c>
      <c r="N1014" s="25">
        <f>IF(J1014&gt;300,1,0)</f>
        <v/>
      </c>
      <c r="O1014" s="25">
        <f>IF(J1014&gt;600,1,0)</f>
        <v/>
      </c>
      <c r="P1014" s="25">
        <f>IF(H1014&gt;0,J1014,"")</f>
        <v/>
      </c>
      <c r="Q1014" s="25">
        <f>TEXT(A1014,"YYYY-MM-DD HH")</f>
        <v/>
      </c>
      <c r="R1014" s="25">
        <f>COUNTIF($Q$2:$Q$5295,Q1014)</f>
        <v/>
      </c>
      <c r="S1014" s="25">
        <f>IF(R1014&lt;=2,"1-2",IF(R1014&lt;=5,"3-5",IF(R1014&lt;=10,"6-10","11+")))</f>
        <v/>
      </c>
    </row>
    <row r="1015">
      <c r="A1015" s="39" t="n">
        <v>46163.08923611111</v>
      </c>
      <c r="B1015" s="25">
        <f>TEXT(A1015,"YYYY-MM")</f>
        <v/>
      </c>
      <c r="C1015" s="25">
        <f>TEXT(A1015,"MMM-YYYY")</f>
        <v/>
      </c>
      <c r="D1015" s="40">
        <f>INT(A1015)-WEEKDAY(A1015,2)+1</f>
        <v/>
      </c>
      <c r="E1015" s="25" t="inlineStr">
        <is>
          <t>aupadhayay</t>
        </is>
      </c>
      <c r="F1015" s="25" t="n">
        <v>483</v>
      </c>
      <c r="G1015" s="25" t="n">
        <v>4</v>
      </c>
      <c r="H1015" s="25" t="n">
        <v>16</v>
      </c>
      <c r="I1015" s="25" t="inlineStr">
        <is>
          <t>5 minute(s) and 43 second(s)</t>
        </is>
      </c>
      <c r="J1015" s="25">
        <f>IFERROR(VALUE(TRIM(LEFT(I1015,FIND("minute",I1015)-1)))*60,0)+IFERROR(VALUE(SUBSTITUTE(MID(I1015,IFERROR(FIND("and",I1015)+3,1),20),"second(s)","")),0)</f>
        <v/>
      </c>
      <c r="K1015" s="41">
        <f>J1015/60</f>
        <v/>
      </c>
      <c r="L1015" s="41">
        <f>IFERROR(J1015/H1015,"")</f>
        <v/>
      </c>
      <c r="M1015" s="25" t="inlineStr">
        <is>
          <t>2.5.12</t>
        </is>
      </c>
      <c r="N1015" s="25">
        <f>IF(J1015&gt;300,1,0)</f>
        <v/>
      </c>
      <c r="O1015" s="25">
        <f>IF(J1015&gt;600,1,0)</f>
        <v/>
      </c>
      <c r="P1015" s="25">
        <f>IF(H1015&gt;0,J1015,"")</f>
        <v/>
      </c>
      <c r="Q1015" s="25">
        <f>TEXT(A1015,"YYYY-MM-DD HH")</f>
        <v/>
      </c>
      <c r="R1015" s="25">
        <f>COUNTIF($Q$2:$Q$5295,Q1015)</f>
        <v/>
      </c>
      <c r="S1015" s="25">
        <f>IF(R1015&lt;=2,"1-2",IF(R1015&lt;=5,"3-5",IF(R1015&lt;=10,"6-10","11+")))</f>
        <v/>
      </c>
    </row>
    <row r="1016">
      <c r="A1016" s="39" t="n">
        <v>46163.08967592593</v>
      </c>
      <c r="B1016" s="25">
        <f>TEXT(A1016,"YYYY-MM")</f>
        <v/>
      </c>
      <c r="C1016" s="25">
        <f>TEXT(A1016,"MMM-YYYY")</f>
        <v/>
      </c>
      <c r="D1016" s="40">
        <f>INT(A1016)-WEEKDAY(A1016,2)+1</f>
        <v/>
      </c>
      <c r="E1016" s="25" t="inlineStr">
        <is>
          <t>anusharma</t>
        </is>
      </c>
      <c r="F1016" s="25" t="n">
        <v>3201</v>
      </c>
      <c r="G1016" s="25" t="n">
        <v>1</v>
      </c>
      <c r="H1016" s="25" t="n">
        <v>7</v>
      </c>
      <c r="I1016" s="25" t="inlineStr">
        <is>
          <t>4 minute(s) and 34 second(s)</t>
        </is>
      </c>
      <c r="J1016" s="25">
        <f>IFERROR(VALUE(TRIM(LEFT(I1016,FIND("minute",I1016)-1)))*60,0)+IFERROR(VALUE(SUBSTITUTE(MID(I1016,IFERROR(FIND("and",I1016)+3,1),20),"second(s)","")),0)</f>
        <v/>
      </c>
      <c r="K1016" s="41">
        <f>J1016/60</f>
        <v/>
      </c>
      <c r="L1016" s="41">
        <f>IFERROR(J1016/H1016,"")</f>
        <v/>
      </c>
      <c r="M1016" s="25" t="inlineStr">
        <is>
          <t>2.5.12</t>
        </is>
      </c>
      <c r="N1016" s="25">
        <f>IF(J1016&gt;300,1,0)</f>
        <v/>
      </c>
      <c r="O1016" s="25">
        <f>IF(J1016&gt;600,1,0)</f>
        <v/>
      </c>
      <c r="P1016" s="25">
        <f>IF(H1016&gt;0,J1016,"")</f>
        <v/>
      </c>
      <c r="Q1016" s="25">
        <f>TEXT(A1016,"YYYY-MM-DD HH")</f>
        <v/>
      </c>
      <c r="R1016" s="25">
        <f>COUNTIF($Q$2:$Q$5295,Q1016)</f>
        <v/>
      </c>
      <c r="S1016" s="25">
        <f>IF(R1016&lt;=2,"1-2",IF(R1016&lt;=5,"3-5",IF(R1016&lt;=10,"6-10","11+")))</f>
        <v/>
      </c>
    </row>
    <row r="1017">
      <c r="A1017" s="39" t="n">
        <v>46163.09434027778</v>
      </c>
      <c r="B1017" s="25">
        <f>TEXT(A1017,"YYYY-MM")</f>
        <v/>
      </c>
      <c r="C1017" s="25">
        <f>TEXT(A1017,"MMM-YYYY")</f>
        <v/>
      </c>
      <c r="D1017" s="40">
        <f>INT(A1017)-WEEKDAY(A1017,2)+1</f>
        <v/>
      </c>
      <c r="E1017" s="25" t="inlineStr">
        <is>
          <t>taggarwal</t>
        </is>
      </c>
      <c r="F1017" s="25" t="n">
        <v>106999</v>
      </c>
      <c r="G1017" s="25" t="n">
        <v>3</v>
      </c>
      <c r="H1017" s="25" t="n">
        <v>15</v>
      </c>
      <c r="I1017" s="25" t="inlineStr">
        <is>
          <t>2 minute(s) and 49 second(s)</t>
        </is>
      </c>
      <c r="J1017" s="25">
        <f>IFERROR(VALUE(TRIM(LEFT(I1017,FIND("minute",I1017)-1)))*60,0)+IFERROR(VALUE(SUBSTITUTE(MID(I1017,IFERROR(FIND("and",I1017)+3,1),20),"second(s)","")),0)</f>
        <v/>
      </c>
      <c r="K1017" s="41">
        <f>J1017/60</f>
        <v/>
      </c>
      <c r="L1017" s="41">
        <f>IFERROR(J1017/H1017,"")</f>
        <v/>
      </c>
      <c r="M1017" s="25" t="inlineStr">
        <is>
          <t>2.5.12</t>
        </is>
      </c>
      <c r="N1017" s="25">
        <f>IF(J1017&gt;300,1,0)</f>
        <v/>
      </c>
      <c r="O1017" s="25">
        <f>IF(J1017&gt;600,1,0)</f>
        <v/>
      </c>
      <c r="P1017" s="25">
        <f>IF(H1017&gt;0,J1017,"")</f>
        <v/>
      </c>
      <c r="Q1017" s="25">
        <f>TEXT(A1017,"YYYY-MM-DD HH")</f>
        <v/>
      </c>
      <c r="R1017" s="25">
        <f>COUNTIF($Q$2:$Q$5295,Q1017)</f>
        <v/>
      </c>
      <c r="S1017" s="25">
        <f>IF(R1017&lt;=2,"1-2",IF(R1017&lt;=5,"3-5",IF(R1017&lt;=10,"6-10","11+")))</f>
        <v/>
      </c>
    </row>
    <row r="1018">
      <c r="A1018" s="39" t="n">
        <v>46163.09460648148</v>
      </c>
      <c r="B1018" s="25">
        <f>TEXT(A1018,"YYYY-MM")</f>
        <v/>
      </c>
      <c r="C1018" s="25">
        <f>TEXT(A1018,"MMM-YYYY")</f>
        <v/>
      </c>
      <c r="D1018" s="40">
        <f>INT(A1018)-WEEKDAY(A1018,2)+1</f>
        <v/>
      </c>
      <c r="E1018" s="25" t="inlineStr">
        <is>
          <t>akumari</t>
        </is>
      </c>
      <c r="F1018" s="25" t="n">
        <v>69849</v>
      </c>
      <c r="G1018" s="25" t="n">
        <v>1</v>
      </c>
      <c r="H1018" s="25" t="n">
        <v>7</v>
      </c>
      <c r="I1018" s="25" t="inlineStr">
        <is>
          <t>1 minute(s) and 16 second(s)</t>
        </is>
      </c>
      <c r="J1018" s="25">
        <f>IFERROR(VALUE(TRIM(LEFT(I1018,FIND("minute",I1018)-1)))*60,0)+IFERROR(VALUE(SUBSTITUTE(MID(I1018,IFERROR(FIND("and",I1018)+3,1),20),"second(s)","")),0)</f>
        <v/>
      </c>
      <c r="K1018" s="41">
        <f>J1018/60</f>
        <v/>
      </c>
      <c r="L1018" s="41">
        <f>IFERROR(J1018/H1018,"")</f>
        <v/>
      </c>
      <c r="M1018" s="25" t="inlineStr">
        <is>
          <t>2.5.12</t>
        </is>
      </c>
      <c r="N1018" s="25">
        <f>IF(J1018&gt;300,1,0)</f>
        <v/>
      </c>
      <c r="O1018" s="25">
        <f>IF(J1018&gt;600,1,0)</f>
        <v/>
      </c>
      <c r="P1018" s="25">
        <f>IF(H1018&gt;0,J1018,"")</f>
        <v/>
      </c>
      <c r="Q1018" s="25">
        <f>TEXT(A1018,"YYYY-MM-DD HH")</f>
        <v/>
      </c>
      <c r="R1018" s="25">
        <f>COUNTIF($Q$2:$Q$5295,Q1018)</f>
        <v/>
      </c>
      <c r="S1018" s="25">
        <f>IF(R1018&lt;=2,"1-2",IF(R1018&lt;=5,"3-5",IF(R1018&lt;=10,"6-10","11+")))</f>
        <v/>
      </c>
    </row>
    <row r="1019">
      <c r="A1019" s="39" t="n">
        <v>46163.10373842593</v>
      </c>
      <c r="B1019" s="25">
        <f>TEXT(A1019,"YYYY-MM")</f>
        <v/>
      </c>
      <c r="C1019" s="25">
        <f>TEXT(A1019,"MMM-YYYY")</f>
        <v/>
      </c>
      <c r="D1019" s="40">
        <f>INT(A1019)-WEEKDAY(A1019,2)+1</f>
        <v/>
      </c>
      <c r="E1019" s="25" t="inlineStr">
        <is>
          <t>sdey</t>
        </is>
      </c>
      <c r="F1019" s="25" t="n">
        <v>3247</v>
      </c>
      <c r="G1019" s="25" t="n">
        <v>1</v>
      </c>
      <c r="H1019" s="25" t="n">
        <v>7</v>
      </c>
      <c r="I1019" s="25" t="inlineStr">
        <is>
          <t>4 minute(s) and 20 second(s)</t>
        </is>
      </c>
      <c r="J1019" s="25">
        <f>IFERROR(VALUE(TRIM(LEFT(I1019,FIND("minute",I1019)-1)))*60,0)+IFERROR(VALUE(SUBSTITUTE(MID(I1019,IFERROR(FIND("and",I1019)+3,1),20),"second(s)","")),0)</f>
        <v/>
      </c>
      <c r="K1019" s="41">
        <f>J1019/60</f>
        <v/>
      </c>
      <c r="L1019" s="41">
        <f>IFERROR(J1019/H1019,"")</f>
        <v/>
      </c>
      <c r="M1019" s="25" t="inlineStr">
        <is>
          <t>2.5.12</t>
        </is>
      </c>
      <c r="N1019" s="25">
        <f>IF(J1019&gt;300,1,0)</f>
        <v/>
      </c>
      <c r="O1019" s="25">
        <f>IF(J1019&gt;600,1,0)</f>
        <v/>
      </c>
      <c r="P1019" s="25">
        <f>IF(H1019&gt;0,J1019,"")</f>
        <v/>
      </c>
      <c r="Q1019" s="25">
        <f>TEXT(A1019,"YYYY-MM-DD HH")</f>
        <v/>
      </c>
      <c r="R1019" s="25">
        <f>COUNTIF($Q$2:$Q$5295,Q1019)</f>
        <v/>
      </c>
      <c r="S1019" s="25">
        <f>IF(R1019&lt;=2,"1-2",IF(R1019&lt;=5,"3-5",IF(R1019&lt;=10,"6-10","11+")))</f>
        <v/>
      </c>
    </row>
    <row r="1020">
      <c r="A1020" s="39" t="n">
        <v>46163.11141203704</v>
      </c>
      <c r="B1020" s="25">
        <f>TEXT(A1020,"YYYY-MM")</f>
        <v/>
      </c>
      <c r="C1020" s="25">
        <f>TEXT(A1020,"MMM-YYYY")</f>
        <v/>
      </c>
      <c r="D1020" s="40">
        <f>INT(A1020)-WEEKDAY(A1020,2)+1</f>
        <v/>
      </c>
      <c r="E1020" s="25" t="inlineStr">
        <is>
          <t>rts</t>
        </is>
      </c>
      <c r="F1020" s="25" t="n">
        <v>113508</v>
      </c>
      <c r="G1020" s="25" t="n">
        <v>5</v>
      </c>
      <c r="H1020" s="25" t="n">
        <v>9</v>
      </c>
      <c r="I1020" s="25" t="inlineStr">
        <is>
          <t>3 minute(s) and 22 second(s)</t>
        </is>
      </c>
      <c r="J1020" s="25">
        <f>IFERROR(VALUE(TRIM(LEFT(I1020,FIND("minute",I1020)-1)))*60,0)+IFERROR(VALUE(SUBSTITUTE(MID(I1020,IFERROR(FIND("and",I1020)+3,1),20),"second(s)","")),0)</f>
        <v/>
      </c>
      <c r="K1020" s="41">
        <f>J1020/60</f>
        <v/>
      </c>
      <c r="L1020" s="41">
        <f>IFERROR(J1020/H1020,"")</f>
        <v/>
      </c>
      <c r="M1020" s="25" t="inlineStr">
        <is>
          <t>2.5.12</t>
        </is>
      </c>
      <c r="N1020" s="25">
        <f>IF(J1020&gt;300,1,0)</f>
        <v/>
      </c>
      <c r="O1020" s="25">
        <f>IF(J1020&gt;600,1,0)</f>
        <v/>
      </c>
      <c r="P1020" s="25">
        <f>IF(H1020&gt;0,J1020,"")</f>
        <v/>
      </c>
      <c r="Q1020" s="25">
        <f>TEXT(A1020,"YYYY-MM-DD HH")</f>
        <v/>
      </c>
      <c r="R1020" s="25">
        <f>COUNTIF($Q$2:$Q$5295,Q1020)</f>
        <v/>
      </c>
      <c r="S1020" s="25">
        <f>IF(R1020&lt;=2,"1-2",IF(R1020&lt;=5,"3-5",IF(R1020&lt;=10,"6-10","11+")))</f>
        <v/>
      </c>
    </row>
    <row r="1021">
      <c r="A1021" s="39" t="n">
        <v>46163.11173611111</v>
      </c>
      <c r="B1021" s="25">
        <f>TEXT(A1021,"YYYY-MM")</f>
        <v/>
      </c>
      <c r="C1021" s="25">
        <f>TEXT(A1021,"MMM-YYYY")</f>
        <v/>
      </c>
      <c r="D1021" s="40">
        <f>INT(A1021)-WEEKDAY(A1021,2)+1</f>
        <v/>
      </c>
      <c r="E1021" s="25" t="inlineStr">
        <is>
          <t>stiwari</t>
        </is>
      </c>
      <c r="F1021" s="25" t="n">
        <v>3417</v>
      </c>
      <c r="G1021" s="25" t="n">
        <v>1</v>
      </c>
      <c r="H1021" s="25" t="n">
        <v>7</v>
      </c>
      <c r="I1021" s="25" t="inlineStr">
        <is>
          <t>3 minute(s) and 15 second(s)</t>
        </is>
      </c>
      <c r="J1021" s="25">
        <f>IFERROR(VALUE(TRIM(LEFT(I1021,FIND("minute",I1021)-1)))*60,0)+IFERROR(VALUE(SUBSTITUTE(MID(I1021,IFERROR(FIND("and",I1021)+3,1),20),"second(s)","")),0)</f>
        <v/>
      </c>
      <c r="K1021" s="41">
        <f>J1021/60</f>
        <v/>
      </c>
      <c r="L1021" s="41">
        <f>IFERROR(J1021/H1021,"")</f>
        <v/>
      </c>
      <c r="M1021" s="25" t="inlineStr">
        <is>
          <t>2.5.12</t>
        </is>
      </c>
      <c r="N1021" s="25">
        <f>IF(J1021&gt;300,1,0)</f>
        <v/>
      </c>
      <c r="O1021" s="25">
        <f>IF(J1021&gt;600,1,0)</f>
        <v/>
      </c>
      <c r="P1021" s="25">
        <f>IF(H1021&gt;0,J1021,"")</f>
        <v/>
      </c>
      <c r="Q1021" s="25">
        <f>TEXT(A1021,"YYYY-MM-DD HH")</f>
        <v/>
      </c>
      <c r="R1021" s="25">
        <f>COUNTIF($Q$2:$Q$5295,Q1021)</f>
        <v/>
      </c>
      <c r="S1021" s="25">
        <f>IF(R1021&lt;=2,"1-2",IF(R1021&lt;=5,"3-5",IF(R1021&lt;=10,"6-10","11+")))</f>
        <v/>
      </c>
    </row>
    <row r="1022">
      <c r="A1022" s="39" t="n">
        <v>46163.11287037037</v>
      </c>
      <c r="B1022" s="25">
        <f>TEXT(A1022,"YYYY-MM")</f>
        <v/>
      </c>
      <c r="C1022" s="25">
        <f>TEXT(A1022,"MMM-YYYY")</f>
        <v/>
      </c>
      <c r="D1022" s="40">
        <f>INT(A1022)-WEEKDAY(A1022,2)+1</f>
        <v/>
      </c>
      <c r="E1022" s="25" t="inlineStr">
        <is>
          <t>shassan</t>
        </is>
      </c>
      <c r="F1022" s="25" t="n">
        <v>4070</v>
      </c>
      <c r="G1022" s="25" t="n">
        <v>1</v>
      </c>
      <c r="H1022" s="25" t="n">
        <v>7</v>
      </c>
      <c r="I1022" s="25" t="inlineStr">
        <is>
          <t>1 minute(s) and 30 second(s)</t>
        </is>
      </c>
      <c r="J1022" s="25">
        <f>IFERROR(VALUE(TRIM(LEFT(I1022,FIND("minute",I1022)-1)))*60,0)+IFERROR(VALUE(SUBSTITUTE(MID(I1022,IFERROR(FIND("and",I1022)+3,1),20),"second(s)","")),0)</f>
        <v/>
      </c>
      <c r="K1022" s="41">
        <f>J1022/60</f>
        <v/>
      </c>
      <c r="L1022" s="41">
        <f>IFERROR(J1022/H1022,"")</f>
        <v/>
      </c>
      <c r="M1022" s="25" t="inlineStr">
        <is>
          <t>2.5.12</t>
        </is>
      </c>
      <c r="N1022" s="25">
        <f>IF(J1022&gt;300,1,0)</f>
        <v/>
      </c>
      <c r="O1022" s="25">
        <f>IF(J1022&gt;600,1,0)</f>
        <v/>
      </c>
      <c r="P1022" s="25">
        <f>IF(H1022&gt;0,J1022,"")</f>
        <v/>
      </c>
      <c r="Q1022" s="25">
        <f>TEXT(A1022,"YYYY-MM-DD HH")</f>
        <v/>
      </c>
      <c r="R1022" s="25">
        <f>COUNTIF($Q$2:$Q$5295,Q1022)</f>
        <v/>
      </c>
      <c r="S1022" s="25">
        <f>IF(R1022&lt;=2,"1-2",IF(R1022&lt;=5,"3-5",IF(R1022&lt;=10,"6-10","11+")))</f>
        <v/>
      </c>
    </row>
    <row r="1023">
      <c r="A1023" s="39" t="n">
        <v>46163.11357638889</v>
      </c>
      <c r="B1023" s="25">
        <f>TEXT(A1023,"YYYY-MM")</f>
        <v/>
      </c>
      <c r="C1023" s="25">
        <f>TEXT(A1023,"MMM-YYYY")</f>
        <v/>
      </c>
      <c r="D1023" s="40">
        <f>INT(A1023)-WEEKDAY(A1023,2)+1</f>
        <v/>
      </c>
      <c r="E1023" s="25" t="inlineStr">
        <is>
          <t>nlnu</t>
        </is>
      </c>
      <c r="F1023" s="25" t="n">
        <v>3525</v>
      </c>
      <c r="G1023" s="25" t="n">
        <v>1</v>
      </c>
      <c r="H1023" s="25" t="n">
        <v>5</v>
      </c>
      <c r="I1023" s="25" t="inlineStr">
        <is>
          <t>2 minute(s) and 11 second(s)</t>
        </is>
      </c>
      <c r="J1023" s="25">
        <f>IFERROR(VALUE(TRIM(LEFT(I1023,FIND("minute",I1023)-1)))*60,0)+IFERROR(VALUE(SUBSTITUTE(MID(I1023,IFERROR(FIND("and",I1023)+3,1),20),"second(s)","")),0)</f>
        <v/>
      </c>
      <c r="K1023" s="41">
        <f>J1023/60</f>
        <v/>
      </c>
      <c r="L1023" s="41">
        <f>IFERROR(J1023/H1023,"")</f>
        <v/>
      </c>
      <c r="M1023" s="25" t="inlineStr">
        <is>
          <t>2.5.12</t>
        </is>
      </c>
      <c r="N1023" s="25">
        <f>IF(J1023&gt;300,1,0)</f>
        <v/>
      </c>
      <c r="O1023" s="25">
        <f>IF(J1023&gt;600,1,0)</f>
        <v/>
      </c>
      <c r="P1023" s="25">
        <f>IF(H1023&gt;0,J1023,"")</f>
        <v/>
      </c>
      <c r="Q1023" s="25">
        <f>TEXT(A1023,"YYYY-MM-DD HH")</f>
        <v/>
      </c>
      <c r="R1023" s="25">
        <f>COUNTIF($Q$2:$Q$5295,Q1023)</f>
        <v/>
      </c>
      <c r="S1023" s="25">
        <f>IF(R1023&lt;=2,"1-2",IF(R1023&lt;=5,"3-5",IF(R1023&lt;=10,"6-10","11+")))</f>
        <v/>
      </c>
    </row>
    <row r="1024">
      <c r="A1024" s="39" t="n">
        <v>46163.11577546296</v>
      </c>
      <c r="B1024" s="25">
        <f>TEXT(A1024,"YYYY-MM")</f>
        <v/>
      </c>
      <c r="C1024" s="25">
        <f>TEXT(A1024,"MMM-YYYY")</f>
        <v/>
      </c>
      <c r="D1024" s="40">
        <f>INT(A1024)-WEEKDAY(A1024,2)+1</f>
        <v/>
      </c>
      <c r="E1024" s="25" t="inlineStr">
        <is>
          <t>abhaskarkp</t>
        </is>
      </c>
      <c r="F1024" s="25" t="n">
        <v>3319</v>
      </c>
      <c r="G1024" s="25" t="n">
        <v>2</v>
      </c>
      <c r="H1024" s="25" t="n">
        <v>10</v>
      </c>
      <c r="I1024" s="25" t="inlineStr">
        <is>
          <t>2 minute(s) and 5 second(s)</t>
        </is>
      </c>
      <c r="J1024" s="25">
        <f>IFERROR(VALUE(TRIM(LEFT(I1024,FIND("minute",I1024)-1)))*60,0)+IFERROR(VALUE(SUBSTITUTE(MID(I1024,IFERROR(FIND("and",I1024)+3,1),20),"second(s)","")),0)</f>
        <v/>
      </c>
      <c r="K1024" s="41">
        <f>J1024/60</f>
        <v/>
      </c>
      <c r="L1024" s="41">
        <f>IFERROR(J1024/H1024,"")</f>
        <v/>
      </c>
      <c r="M1024" s="25" t="inlineStr">
        <is>
          <t>2.5.12</t>
        </is>
      </c>
      <c r="N1024" s="25">
        <f>IF(J1024&gt;300,1,0)</f>
        <v/>
      </c>
      <c r="O1024" s="25">
        <f>IF(J1024&gt;600,1,0)</f>
        <v/>
      </c>
      <c r="P1024" s="25">
        <f>IF(H1024&gt;0,J1024,"")</f>
        <v/>
      </c>
      <c r="Q1024" s="25">
        <f>TEXT(A1024,"YYYY-MM-DD HH")</f>
        <v/>
      </c>
      <c r="R1024" s="25">
        <f>COUNTIF($Q$2:$Q$5295,Q1024)</f>
        <v/>
      </c>
      <c r="S1024" s="25">
        <f>IF(R1024&lt;=2,"1-2",IF(R1024&lt;=5,"3-5",IF(R1024&lt;=10,"6-10","11+")))</f>
        <v/>
      </c>
    </row>
    <row r="1025">
      <c r="A1025" s="39" t="n">
        <v>46163.12054398148</v>
      </c>
      <c r="B1025" s="25">
        <f>TEXT(A1025,"YYYY-MM")</f>
        <v/>
      </c>
      <c r="C1025" s="25">
        <f>TEXT(A1025,"MMM-YYYY")</f>
        <v/>
      </c>
      <c r="D1025" s="40">
        <f>INT(A1025)-WEEKDAY(A1025,2)+1</f>
        <v/>
      </c>
      <c r="E1025" s="25" t="inlineStr">
        <is>
          <t>ssrinivasan</t>
        </is>
      </c>
      <c r="F1025" s="25" t="n">
        <v>863</v>
      </c>
      <c r="G1025" s="25" t="n">
        <v>1</v>
      </c>
      <c r="H1025" s="25" t="n">
        <v>7</v>
      </c>
      <c r="I1025" s="25" t="inlineStr">
        <is>
          <t>1 minute(s) and 29 second(s)</t>
        </is>
      </c>
      <c r="J1025" s="25">
        <f>IFERROR(VALUE(TRIM(LEFT(I1025,FIND("minute",I1025)-1)))*60,0)+IFERROR(VALUE(SUBSTITUTE(MID(I1025,IFERROR(FIND("and",I1025)+3,1),20),"second(s)","")),0)</f>
        <v/>
      </c>
      <c r="K1025" s="41">
        <f>J1025/60</f>
        <v/>
      </c>
      <c r="L1025" s="41">
        <f>IFERROR(J1025/H1025,"")</f>
        <v/>
      </c>
      <c r="M1025" s="25" t="inlineStr">
        <is>
          <t>2.5.12</t>
        </is>
      </c>
      <c r="N1025" s="25">
        <f>IF(J1025&gt;300,1,0)</f>
        <v/>
      </c>
      <c r="O1025" s="25">
        <f>IF(J1025&gt;600,1,0)</f>
        <v/>
      </c>
      <c r="P1025" s="25">
        <f>IF(H1025&gt;0,J1025,"")</f>
        <v/>
      </c>
      <c r="Q1025" s="25">
        <f>TEXT(A1025,"YYYY-MM-DD HH")</f>
        <v/>
      </c>
      <c r="R1025" s="25">
        <f>COUNTIF($Q$2:$Q$5295,Q1025)</f>
        <v/>
      </c>
      <c r="S1025" s="25">
        <f>IF(R1025&lt;=2,"1-2",IF(R1025&lt;=5,"3-5",IF(R1025&lt;=10,"6-10","11+")))</f>
        <v/>
      </c>
    </row>
    <row r="1026">
      <c r="A1026" s="39" t="n">
        <v>46163.12263888889</v>
      </c>
      <c r="B1026" s="25">
        <f>TEXT(A1026,"YYYY-MM")</f>
        <v/>
      </c>
      <c r="C1026" s="25">
        <f>TEXT(A1026,"MMM-YYYY")</f>
        <v/>
      </c>
      <c r="D1026" s="40">
        <f>INT(A1026)-WEEKDAY(A1026,2)+1</f>
        <v/>
      </c>
      <c r="E1026" s="25" t="inlineStr">
        <is>
          <t>sphatak</t>
        </is>
      </c>
      <c r="F1026" s="25" t="n">
        <v>3721</v>
      </c>
      <c r="G1026" s="25" t="n">
        <v>1</v>
      </c>
      <c r="H1026" s="25" t="n">
        <v>5</v>
      </c>
      <c r="I1026" s="25" t="inlineStr">
        <is>
          <t>44 second(s)</t>
        </is>
      </c>
      <c r="J1026" s="25">
        <f>IFERROR(VALUE(TRIM(LEFT(I1026,FIND("minute",I1026)-1)))*60,0)+IFERROR(VALUE(SUBSTITUTE(MID(I1026,IFERROR(FIND("and",I1026)+3,1),20),"second(s)","")),0)</f>
        <v/>
      </c>
      <c r="K1026" s="41">
        <f>J1026/60</f>
        <v/>
      </c>
      <c r="L1026" s="41">
        <f>IFERROR(J1026/H1026,"")</f>
        <v/>
      </c>
      <c r="M1026" s="25" t="inlineStr">
        <is>
          <t>2.5.12</t>
        </is>
      </c>
      <c r="N1026" s="25">
        <f>IF(J1026&gt;300,1,0)</f>
        <v/>
      </c>
      <c r="O1026" s="25">
        <f>IF(J1026&gt;600,1,0)</f>
        <v/>
      </c>
      <c r="P1026" s="25">
        <f>IF(H1026&gt;0,J1026,"")</f>
        <v/>
      </c>
      <c r="Q1026" s="25">
        <f>TEXT(A1026,"YYYY-MM-DD HH")</f>
        <v/>
      </c>
      <c r="R1026" s="25">
        <f>COUNTIF($Q$2:$Q$5295,Q1026)</f>
        <v/>
      </c>
      <c r="S1026" s="25">
        <f>IF(R1026&lt;=2,"1-2",IF(R1026&lt;=5,"3-5",IF(R1026&lt;=10,"6-10","11+")))</f>
        <v/>
      </c>
    </row>
    <row r="1027">
      <c r="A1027" s="39" t="n">
        <v>46163.12380787037</v>
      </c>
      <c r="B1027" s="25">
        <f>TEXT(A1027,"YYYY-MM")</f>
        <v/>
      </c>
      <c r="C1027" s="25">
        <f>TEXT(A1027,"MMM-YYYY")</f>
        <v/>
      </c>
      <c r="D1027" s="40">
        <f>INT(A1027)-WEEKDAY(A1027,2)+1</f>
        <v/>
      </c>
      <c r="E1027" s="25" t="inlineStr">
        <is>
          <t>anusharma</t>
        </is>
      </c>
      <c r="F1027" s="25" t="n">
        <v>3202</v>
      </c>
      <c r="G1027" s="25" t="n">
        <v>1</v>
      </c>
      <c r="H1027" s="25" t="n">
        <v>5</v>
      </c>
      <c r="I1027" s="25" t="inlineStr">
        <is>
          <t>2 minute(s) and 45 second(s)</t>
        </is>
      </c>
      <c r="J1027" s="25">
        <f>IFERROR(VALUE(TRIM(LEFT(I1027,FIND("minute",I1027)-1)))*60,0)+IFERROR(VALUE(SUBSTITUTE(MID(I1027,IFERROR(FIND("and",I1027)+3,1),20),"second(s)","")),0)</f>
        <v/>
      </c>
      <c r="K1027" s="41">
        <f>J1027/60</f>
        <v/>
      </c>
      <c r="L1027" s="41">
        <f>IFERROR(J1027/H1027,"")</f>
        <v/>
      </c>
      <c r="M1027" s="25" t="inlineStr">
        <is>
          <t>2.5.12</t>
        </is>
      </c>
      <c r="N1027" s="25">
        <f>IF(J1027&gt;300,1,0)</f>
        <v/>
      </c>
      <c r="O1027" s="25">
        <f>IF(J1027&gt;600,1,0)</f>
        <v/>
      </c>
      <c r="P1027" s="25">
        <f>IF(H1027&gt;0,J1027,"")</f>
        <v/>
      </c>
      <c r="Q1027" s="25">
        <f>TEXT(A1027,"YYYY-MM-DD HH")</f>
        <v/>
      </c>
      <c r="R1027" s="25">
        <f>COUNTIF($Q$2:$Q$5295,Q1027)</f>
        <v/>
      </c>
      <c r="S1027" s="25">
        <f>IF(R1027&lt;=2,"1-2",IF(R1027&lt;=5,"3-5",IF(R1027&lt;=10,"6-10","11+")))</f>
        <v/>
      </c>
    </row>
    <row r="1028">
      <c r="A1028" s="39" t="n">
        <v>46163.12733796296</v>
      </c>
      <c r="B1028" s="25">
        <f>TEXT(A1028,"YYYY-MM")</f>
        <v/>
      </c>
      <c r="C1028" s="25">
        <f>TEXT(A1028,"MMM-YYYY")</f>
        <v/>
      </c>
      <c r="D1028" s="40">
        <f>INT(A1028)-WEEKDAY(A1028,2)+1</f>
        <v/>
      </c>
      <c r="E1028" s="25" t="inlineStr">
        <is>
          <t>sdey</t>
        </is>
      </c>
      <c r="F1028" s="25" t="n">
        <v>3249</v>
      </c>
      <c r="G1028" s="25" t="n">
        <v>2</v>
      </c>
      <c r="H1028" s="25" t="n">
        <v>8</v>
      </c>
      <c r="I1028" s="25" t="inlineStr">
        <is>
          <t>1 minute(s) and 25 second(s)</t>
        </is>
      </c>
      <c r="J1028" s="25">
        <f>IFERROR(VALUE(TRIM(LEFT(I1028,FIND("minute",I1028)-1)))*60,0)+IFERROR(VALUE(SUBSTITUTE(MID(I1028,IFERROR(FIND("and",I1028)+3,1),20),"second(s)","")),0)</f>
        <v/>
      </c>
      <c r="K1028" s="41">
        <f>J1028/60</f>
        <v/>
      </c>
      <c r="L1028" s="41">
        <f>IFERROR(J1028/H1028,"")</f>
        <v/>
      </c>
      <c r="M1028" s="25" t="inlineStr">
        <is>
          <t>2.5.12</t>
        </is>
      </c>
      <c r="N1028" s="25">
        <f>IF(J1028&gt;300,1,0)</f>
        <v/>
      </c>
      <c r="O1028" s="25">
        <f>IF(J1028&gt;600,1,0)</f>
        <v/>
      </c>
      <c r="P1028" s="25">
        <f>IF(H1028&gt;0,J1028,"")</f>
        <v/>
      </c>
      <c r="Q1028" s="25">
        <f>TEXT(A1028,"YYYY-MM-DD HH")</f>
        <v/>
      </c>
      <c r="R1028" s="25">
        <f>COUNTIF($Q$2:$Q$5295,Q1028)</f>
        <v/>
      </c>
      <c r="S1028" s="25">
        <f>IF(R1028&lt;=2,"1-2",IF(R1028&lt;=5,"3-5",IF(R1028&lt;=10,"6-10","11+")))</f>
        <v/>
      </c>
    </row>
    <row r="1029">
      <c r="A1029" s="39" t="n">
        <v>46163.13164351852</v>
      </c>
      <c r="B1029" s="25">
        <f>TEXT(A1029,"YYYY-MM")</f>
        <v/>
      </c>
      <c r="C1029" s="25">
        <f>TEXT(A1029,"MMM-YYYY")</f>
        <v/>
      </c>
      <c r="D1029" s="40">
        <f>INT(A1029)-WEEKDAY(A1029,2)+1</f>
        <v/>
      </c>
      <c r="E1029" s="25" t="inlineStr">
        <is>
          <t>pmishra</t>
        </is>
      </c>
      <c r="F1029" s="25" t="n">
        <v>4198</v>
      </c>
      <c r="G1029" s="25" t="n">
        <v>1</v>
      </c>
      <c r="H1029" s="25" t="n">
        <v>7</v>
      </c>
      <c r="I1029" s="25" t="inlineStr">
        <is>
          <t>1 minute(s) and 29 second(s)</t>
        </is>
      </c>
      <c r="J1029" s="25">
        <f>IFERROR(VALUE(TRIM(LEFT(I1029,FIND("minute",I1029)-1)))*60,0)+IFERROR(VALUE(SUBSTITUTE(MID(I1029,IFERROR(FIND("and",I1029)+3,1),20),"second(s)","")),0)</f>
        <v/>
      </c>
      <c r="K1029" s="41">
        <f>J1029/60</f>
        <v/>
      </c>
      <c r="L1029" s="41">
        <f>IFERROR(J1029/H1029,"")</f>
        <v/>
      </c>
      <c r="M1029" s="25" t="inlineStr">
        <is>
          <t>2.5.12</t>
        </is>
      </c>
      <c r="N1029" s="25">
        <f>IF(J1029&gt;300,1,0)</f>
        <v/>
      </c>
      <c r="O1029" s="25">
        <f>IF(J1029&gt;600,1,0)</f>
        <v/>
      </c>
      <c r="P1029" s="25">
        <f>IF(H1029&gt;0,J1029,"")</f>
        <v/>
      </c>
      <c r="Q1029" s="25">
        <f>TEXT(A1029,"YYYY-MM-DD HH")</f>
        <v/>
      </c>
      <c r="R1029" s="25">
        <f>COUNTIF($Q$2:$Q$5295,Q1029)</f>
        <v/>
      </c>
      <c r="S1029" s="25">
        <f>IF(R1029&lt;=2,"1-2",IF(R1029&lt;=5,"3-5",IF(R1029&lt;=10,"6-10","11+")))</f>
        <v/>
      </c>
    </row>
    <row r="1030">
      <c r="A1030" s="39" t="n">
        <v>46163.13239583333</v>
      </c>
      <c r="B1030" s="25">
        <f>TEXT(A1030,"YYYY-MM")</f>
        <v/>
      </c>
      <c r="C1030" s="25">
        <f>TEXT(A1030,"MMM-YYYY")</f>
        <v/>
      </c>
      <c r="D1030" s="40">
        <f>INT(A1030)-WEEKDAY(A1030,2)+1</f>
        <v/>
      </c>
      <c r="E1030" s="25" t="inlineStr">
        <is>
          <t>stiwari</t>
        </is>
      </c>
      <c r="F1030" s="25" t="n">
        <v>3420</v>
      </c>
      <c r="G1030" s="25" t="n">
        <v>1</v>
      </c>
      <c r="H1030" s="25" t="n">
        <v>7</v>
      </c>
      <c r="I1030" s="25" t="inlineStr">
        <is>
          <t>3 minute(s) and 30 second(s)</t>
        </is>
      </c>
      <c r="J1030" s="25">
        <f>IFERROR(VALUE(TRIM(LEFT(I1030,FIND("minute",I1030)-1)))*60,0)+IFERROR(VALUE(SUBSTITUTE(MID(I1030,IFERROR(FIND("and",I1030)+3,1),20),"second(s)","")),0)</f>
        <v/>
      </c>
      <c r="K1030" s="41">
        <f>J1030/60</f>
        <v/>
      </c>
      <c r="L1030" s="41">
        <f>IFERROR(J1030/H1030,"")</f>
        <v/>
      </c>
      <c r="M1030" s="25" t="inlineStr">
        <is>
          <t>2.5.12</t>
        </is>
      </c>
      <c r="N1030" s="25">
        <f>IF(J1030&gt;300,1,0)</f>
        <v/>
      </c>
      <c r="O1030" s="25">
        <f>IF(J1030&gt;600,1,0)</f>
        <v/>
      </c>
      <c r="P1030" s="25">
        <f>IF(H1030&gt;0,J1030,"")</f>
        <v/>
      </c>
      <c r="Q1030" s="25">
        <f>TEXT(A1030,"YYYY-MM-DD HH")</f>
        <v/>
      </c>
      <c r="R1030" s="25">
        <f>COUNTIF($Q$2:$Q$5295,Q1030)</f>
        <v/>
      </c>
      <c r="S1030" s="25">
        <f>IF(R1030&lt;=2,"1-2",IF(R1030&lt;=5,"3-5",IF(R1030&lt;=10,"6-10","11+")))</f>
        <v/>
      </c>
    </row>
    <row r="1031">
      <c r="A1031" s="39" t="n">
        <v>46163.13428240741</v>
      </c>
      <c r="B1031" s="25">
        <f>TEXT(A1031,"YYYY-MM")</f>
        <v/>
      </c>
      <c r="C1031" s="25">
        <f>TEXT(A1031,"MMM-YYYY")</f>
        <v/>
      </c>
      <c r="D1031" s="40">
        <f>INT(A1031)-WEEKDAY(A1031,2)+1</f>
        <v/>
      </c>
      <c r="E1031" s="25" t="inlineStr">
        <is>
          <t>nlnu</t>
        </is>
      </c>
      <c r="F1031" s="25" t="n">
        <v>3528</v>
      </c>
      <c r="G1031" s="25" t="n">
        <v>1</v>
      </c>
      <c r="H1031" s="25" t="n">
        <v>7</v>
      </c>
      <c r="I1031" s="25" t="inlineStr">
        <is>
          <t>1 minute(s) and 25 second(s)</t>
        </is>
      </c>
      <c r="J1031" s="25">
        <f>IFERROR(VALUE(TRIM(LEFT(I1031,FIND("minute",I1031)-1)))*60,0)+IFERROR(VALUE(SUBSTITUTE(MID(I1031,IFERROR(FIND("and",I1031)+3,1),20),"second(s)","")),0)</f>
        <v/>
      </c>
      <c r="K1031" s="41">
        <f>J1031/60</f>
        <v/>
      </c>
      <c r="L1031" s="41">
        <f>IFERROR(J1031/H1031,"")</f>
        <v/>
      </c>
      <c r="M1031" s="25" t="inlineStr">
        <is>
          <t>2.5.12</t>
        </is>
      </c>
      <c r="N1031" s="25">
        <f>IF(J1031&gt;300,1,0)</f>
        <v/>
      </c>
      <c r="O1031" s="25">
        <f>IF(J1031&gt;600,1,0)</f>
        <v/>
      </c>
      <c r="P1031" s="25">
        <f>IF(H1031&gt;0,J1031,"")</f>
        <v/>
      </c>
      <c r="Q1031" s="25">
        <f>TEXT(A1031,"YYYY-MM-DD HH")</f>
        <v/>
      </c>
      <c r="R1031" s="25">
        <f>COUNTIF($Q$2:$Q$5295,Q1031)</f>
        <v/>
      </c>
      <c r="S1031" s="25">
        <f>IF(R1031&lt;=2,"1-2",IF(R1031&lt;=5,"3-5",IF(R1031&lt;=10,"6-10","11+")))</f>
        <v/>
      </c>
    </row>
    <row r="1032">
      <c r="A1032" s="39" t="n">
        <v>46163.13752314815</v>
      </c>
      <c r="B1032" s="25">
        <f>TEXT(A1032,"YYYY-MM")</f>
        <v/>
      </c>
      <c r="C1032" s="25">
        <f>TEXT(A1032,"MMM-YYYY")</f>
        <v/>
      </c>
      <c r="D1032" s="40">
        <f>INT(A1032)-WEEKDAY(A1032,2)+1</f>
        <v/>
      </c>
      <c r="E1032" s="25" t="inlineStr">
        <is>
          <t>npriya</t>
        </is>
      </c>
      <c r="F1032" s="25" t="n">
        <v>3220</v>
      </c>
      <c r="G1032" s="25" t="n">
        <v>1</v>
      </c>
      <c r="H1032" s="25" t="n">
        <v>5</v>
      </c>
      <c r="I1032" s="25" t="inlineStr">
        <is>
          <t>2 minute(s) and 28 second(s)</t>
        </is>
      </c>
      <c r="J1032" s="25">
        <f>IFERROR(VALUE(TRIM(LEFT(I1032,FIND("minute",I1032)-1)))*60,0)+IFERROR(VALUE(SUBSTITUTE(MID(I1032,IFERROR(FIND("and",I1032)+3,1),20),"second(s)","")),0)</f>
        <v/>
      </c>
      <c r="K1032" s="41">
        <f>J1032/60</f>
        <v/>
      </c>
      <c r="L1032" s="41">
        <f>IFERROR(J1032/H1032,"")</f>
        <v/>
      </c>
      <c r="M1032" s="25" t="inlineStr">
        <is>
          <t>2.5.12</t>
        </is>
      </c>
      <c r="N1032" s="25">
        <f>IF(J1032&gt;300,1,0)</f>
        <v/>
      </c>
      <c r="O1032" s="25">
        <f>IF(J1032&gt;600,1,0)</f>
        <v/>
      </c>
      <c r="P1032" s="25">
        <f>IF(H1032&gt;0,J1032,"")</f>
        <v/>
      </c>
      <c r="Q1032" s="25">
        <f>TEXT(A1032,"YYYY-MM-DD HH")</f>
        <v/>
      </c>
      <c r="R1032" s="25">
        <f>COUNTIF($Q$2:$Q$5295,Q1032)</f>
        <v/>
      </c>
      <c r="S1032" s="25">
        <f>IF(R1032&lt;=2,"1-2",IF(R1032&lt;=5,"3-5",IF(R1032&lt;=10,"6-10","11+")))</f>
        <v/>
      </c>
    </row>
    <row r="1033">
      <c r="A1033" s="39" t="n">
        <v>46163.14928240741</v>
      </c>
      <c r="B1033" s="25">
        <f>TEXT(A1033,"YYYY-MM")</f>
        <v/>
      </c>
      <c r="C1033" s="25">
        <f>TEXT(A1033,"MMM-YYYY")</f>
        <v/>
      </c>
      <c r="D1033" s="40">
        <f>INT(A1033)-WEEKDAY(A1033,2)+1</f>
        <v/>
      </c>
      <c r="E1033" s="25" t="inlineStr">
        <is>
          <t>stiwari</t>
        </is>
      </c>
      <c r="F1033" s="25" t="n">
        <v>3421</v>
      </c>
      <c r="G1033" s="25" t="n">
        <v>1</v>
      </c>
      <c r="H1033" s="25" t="n">
        <v>7</v>
      </c>
      <c r="I1033" s="25" t="inlineStr">
        <is>
          <t>1 minute(s) and 29 second(s)</t>
        </is>
      </c>
      <c r="J1033" s="25">
        <f>IFERROR(VALUE(TRIM(LEFT(I1033,FIND("minute",I1033)-1)))*60,0)+IFERROR(VALUE(SUBSTITUTE(MID(I1033,IFERROR(FIND("and",I1033)+3,1),20),"second(s)","")),0)</f>
        <v/>
      </c>
      <c r="K1033" s="41">
        <f>J1033/60</f>
        <v/>
      </c>
      <c r="L1033" s="41">
        <f>IFERROR(J1033/H1033,"")</f>
        <v/>
      </c>
      <c r="M1033" s="25" t="inlineStr">
        <is>
          <t>2.5.12</t>
        </is>
      </c>
      <c r="N1033" s="25">
        <f>IF(J1033&gt;300,1,0)</f>
        <v/>
      </c>
      <c r="O1033" s="25">
        <f>IF(J1033&gt;600,1,0)</f>
        <v/>
      </c>
      <c r="P1033" s="25">
        <f>IF(H1033&gt;0,J1033,"")</f>
        <v/>
      </c>
      <c r="Q1033" s="25">
        <f>TEXT(A1033,"YYYY-MM-DD HH")</f>
        <v/>
      </c>
      <c r="R1033" s="25">
        <f>COUNTIF($Q$2:$Q$5295,Q1033)</f>
        <v/>
      </c>
      <c r="S1033" s="25">
        <f>IF(R1033&lt;=2,"1-2",IF(R1033&lt;=5,"3-5",IF(R1033&lt;=10,"6-10","11+")))</f>
        <v/>
      </c>
    </row>
    <row r="1034">
      <c r="A1034" s="39" t="n">
        <v>46163.15188657407</v>
      </c>
      <c r="B1034" s="25">
        <f>TEXT(A1034,"YYYY-MM")</f>
        <v/>
      </c>
      <c r="C1034" s="25">
        <f>TEXT(A1034,"MMM-YYYY")</f>
        <v/>
      </c>
      <c r="D1034" s="40">
        <f>INT(A1034)-WEEKDAY(A1034,2)+1</f>
        <v/>
      </c>
      <c r="E1034" s="25" t="inlineStr">
        <is>
          <t>ethomas</t>
        </is>
      </c>
      <c r="F1034" s="25" t="n">
        <v>645</v>
      </c>
      <c r="G1034" s="25" t="n">
        <v>4</v>
      </c>
      <c r="H1034" s="25" t="n">
        <v>16</v>
      </c>
      <c r="I1034" s="25" t="inlineStr">
        <is>
          <t>11 minute(s) and 16 second(s)</t>
        </is>
      </c>
      <c r="J1034" s="25">
        <f>IFERROR(VALUE(TRIM(LEFT(I1034,FIND("minute",I1034)-1)))*60,0)+IFERROR(VALUE(SUBSTITUTE(MID(I1034,IFERROR(FIND("and",I1034)+3,1),20),"second(s)","")),0)</f>
        <v/>
      </c>
      <c r="K1034" s="41">
        <f>J1034/60</f>
        <v/>
      </c>
      <c r="L1034" s="41">
        <f>IFERROR(J1034/H1034,"")</f>
        <v/>
      </c>
      <c r="M1034" s="25" t="inlineStr">
        <is>
          <t>2.5.12</t>
        </is>
      </c>
      <c r="N1034" s="25">
        <f>IF(J1034&gt;300,1,0)</f>
        <v/>
      </c>
      <c r="O1034" s="25">
        <f>IF(J1034&gt;600,1,0)</f>
        <v/>
      </c>
      <c r="P1034" s="25">
        <f>IF(H1034&gt;0,J1034,"")</f>
        <v/>
      </c>
      <c r="Q1034" s="25">
        <f>TEXT(A1034,"YYYY-MM-DD HH")</f>
        <v/>
      </c>
      <c r="R1034" s="25">
        <f>COUNTIF($Q$2:$Q$5295,Q1034)</f>
        <v/>
      </c>
      <c r="S1034" s="25">
        <f>IF(R1034&lt;=2,"1-2",IF(R1034&lt;=5,"3-5",IF(R1034&lt;=10,"6-10","11+")))</f>
        <v/>
      </c>
    </row>
    <row r="1035">
      <c r="A1035" s="39" t="n">
        <v>46163.15377314815</v>
      </c>
      <c r="B1035" s="25">
        <f>TEXT(A1035,"YYYY-MM")</f>
        <v/>
      </c>
      <c r="C1035" s="25">
        <f>TEXT(A1035,"MMM-YYYY")</f>
        <v/>
      </c>
      <c r="D1035" s="40">
        <f>INT(A1035)-WEEKDAY(A1035,2)+1</f>
        <v/>
      </c>
      <c r="E1035" s="25" t="inlineStr">
        <is>
          <t>asahoo</t>
        </is>
      </c>
      <c r="F1035" s="25" t="n">
        <v>3366</v>
      </c>
      <c r="G1035" s="25" t="n">
        <v>1</v>
      </c>
      <c r="H1035" s="25" t="n">
        <v>7</v>
      </c>
      <c r="I1035" s="25" t="inlineStr">
        <is>
          <t>2 minute(s) and 58 second(s)</t>
        </is>
      </c>
      <c r="J1035" s="25">
        <f>IFERROR(VALUE(TRIM(LEFT(I1035,FIND("minute",I1035)-1)))*60,0)+IFERROR(VALUE(SUBSTITUTE(MID(I1035,IFERROR(FIND("and",I1035)+3,1),20),"second(s)","")),0)</f>
        <v/>
      </c>
      <c r="K1035" s="41">
        <f>J1035/60</f>
        <v/>
      </c>
      <c r="L1035" s="41">
        <f>IFERROR(J1035/H1035,"")</f>
        <v/>
      </c>
      <c r="M1035" s="25" t="inlineStr">
        <is>
          <t>2.5.12</t>
        </is>
      </c>
      <c r="N1035" s="25">
        <f>IF(J1035&gt;300,1,0)</f>
        <v/>
      </c>
      <c r="O1035" s="25">
        <f>IF(J1035&gt;600,1,0)</f>
        <v/>
      </c>
      <c r="P1035" s="25">
        <f>IF(H1035&gt;0,J1035,"")</f>
        <v/>
      </c>
      <c r="Q1035" s="25">
        <f>TEXT(A1035,"YYYY-MM-DD HH")</f>
        <v/>
      </c>
      <c r="R1035" s="25">
        <f>COUNTIF($Q$2:$Q$5295,Q1035)</f>
        <v/>
      </c>
      <c r="S1035" s="25">
        <f>IF(R1035&lt;=2,"1-2",IF(R1035&lt;=5,"3-5",IF(R1035&lt;=10,"6-10","11+")))</f>
        <v/>
      </c>
    </row>
    <row r="1036">
      <c r="A1036" s="39" t="n">
        <v>46163.15756944445</v>
      </c>
      <c r="B1036" s="25">
        <f>TEXT(A1036,"YYYY-MM")</f>
        <v/>
      </c>
      <c r="C1036" s="25">
        <f>TEXT(A1036,"MMM-YYYY")</f>
        <v/>
      </c>
      <c r="D1036" s="40">
        <f>INT(A1036)-WEEKDAY(A1036,2)+1</f>
        <v/>
      </c>
      <c r="E1036" s="25" t="inlineStr">
        <is>
          <t>ssrinivasan</t>
        </is>
      </c>
      <c r="F1036" s="25" t="n">
        <v>865</v>
      </c>
      <c r="G1036" s="25" t="n">
        <v>1</v>
      </c>
      <c r="H1036" s="25" t="n">
        <v>7</v>
      </c>
      <c r="I1036" s="25" t="inlineStr">
        <is>
          <t>3 minute(s) and 21 second(s)</t>
        </is>
      </c>
      <c r="J1036" s="25">
        <f>IFERROR(VALUE(TRIM(LEFT(I1036,FIND("minute",I1036)-1)))*60,0)+IFERROR(VALUE(SUBSTITUTE(MID(I1036,IFERROR(FIND("and",I1036)+3,1),20),"second(s)","")),0)</f>
        <v/>
      </c>
      <c r="K1036" s="41">
        <f>J1036/60</f>
        <v/>
      </c>
      <c r="L1036" s="41">
        <f>IFERROR(J1036/H1036,"")</f>
        <v/>
      </c>
      <c r="M1036" s="25" t="inlineStr">
        <is>
          <t>2.5.12</t>
        </is>
      </c>
      <c r="N1036" s="25">
        <f>IF(J1036&gt;300,1,0)</f>
        <v/>
      </c>
      <c r="O1036" s="25">
        <f>IF(J1036&gt;600,1,0)</f>
        <v/>
      </c>
      <c r="P1036" s="25">
        <f>IF(H1036&gt;0,J1036,"")</f>
        <v/>
      </c>
      <c r="Q1036" s="25">
        <f>TEXT(A1036,"YYYY-MM-DD HH")</f>
        <v/>
      </c>
      <c r="R1036" s="25">
        <f>COUNTIF($Q$2:$Q$5295,Q1036)</f>
        <v/>
      </c>
      <c r="S1036" s="25">
        <f>IF(R1036&lt;=2,"1-2",IF(R1036&lt;=5,"3-5",IF(R1036&lt;=10,"6-10","11+")))</f>
        <v/>
      </c>
    </row>
    <row r="1037">
      <c r="A1037" s="39" t="n">
        <v>46163.15974537037</v>
      </c>
      <c r="B1037" s="25">
        <f>TEXT(A1037,"YYYY-MM")</f>
        <v/>
      </c>
      <c r="C1037" s="25">
        <f>TEXT(A1037,"MMM-YYYY")</f>
        <v/>
      </c>
      <c r="D1037" s="40">
        <f>INT(A1037)-WEEKDAY(A1037,2)+1</f>
        <v/>
      </c>
      <c r="E1037" s="25" t="inlineStr">
        <is>
          <t>atiwari</t>
        </is>
      </c>
      <c r="F1037" s="25" t="n">
        <v>594</v>
      </c>
      <c r="G1037" s="25" t="n">
        <v>2</v>
      </c>
      <c r="H1037" s="25" t="n">
        <v>8</v>
      </c>
      <c r="I1037" s="25" t="inlineStr">
        <is>
          <t>2 minute(s) and 29 second(s)</t>
        </is>
      </c>
      <c r="J1037" s="25">
        <f>IFERROR(VALUE(TRIM(LEFT(I1037,FIND("minute",I1037)-1)))*60,0)+IFERROR(VALUE(SUBSTITUTE(MID(I1037,IFERROR(FIND("and",I1037)+3,1),20),"second(s)","")),0)</f>
        <v/>
      </c>
      <c r="K1037" s="41">
        <f>J1037/60</f>
        <v/>
      </c>
      <c r="L1037" s="41">
        <f>IFERROR(J1037/H1037,"")</f>
        <v/>
      </c>
      <c r="M1037" s="25" t="inlineStr">
        <is>
          <t>2.5.12</t>
        </is>
      </c>
      <c r="N1037" s="25">
        <f>IF(J1037&gt;300,1,0)</f>
        <v/>
      </c>
      <c r="O1037" s="25">
        <f>IF(J1037&gt;600,1,0)</f>
        <v/>
      </c>
      <c r="P1037" s="25">
        <f>IF(H1037&gt;0,J1037,"")</f>
        <v/>
      </c>
      <c r="Q1037" s="25">
        <f>TEXT(A1037,"YYYY-MM-DD HH")</f>
        <v/>
      </c>
      <c r="R1037" s="25">
        <f>COUNTIF($Q$2:$Q$5295,Q1037)</f>
        <v/>
      </c>
      <c r="S1037" s="25">
        <f>IF(R1037&lt;=2,"1-2",IF(R1037&lt;=5,"3-5",IF(R1037&lt;=10,"6-10","11+")))</f>
        <v/>
      </c>
    </row>
    <row r="1038">
      <c r="A1038" s="39" t="n">
        <v>46163.16327546296</v>
      </c>
      <c r="B1038" s="25">
        <f>TEXT(A1038,"YYYY-MM")</f>
        <v/>
      </c>
      <c r="C1038" s="25">
        <f>TEXT(A1038,"MMM-YYYY")</f>
        <v/>
      </c>
      <c r="D1038" s="40">
        <f>INT(A1038)-WEEKDAY(A1038,2)+1</f>
        <v/>
      </c>
      <c r="E1038" s="25" t="inlineStr">
        <is>
          <t>npriya</t>
        </is>
      </c>
      <c r="F1038" s="25" t="n">
        <v>3221</v>
      </c>
      <c r="G1038" s="25" t="n">
        <v>5</v>
      </c>
      <c r="H1038" s="25" t="n">
        <v>19</v>
      </c>
      <c r="I1038" s="25" t="inlineStr">
        <is>
          <t>5 minute(s) and 22 second(s)</t>
        </is>
      </c>
      <c r="J1038" s="25">
        <f>IFERROR(VALUE(TRIM(LEFT(I1038,FIND("minute",I1038)-1)))*60,0)+IFERROR(VALUE(SUBSTITUTE(MID(I1038,IFERROR(FIND("and",I1038)+3,1),20),"second(s)","")),0)</f>
        <v/>
      </c>
      <c r="K1038" s="41">
        <f>J1038/60</f>
        <v/>
      </c>
      <c r="L1038" s="41">
        <f>IFERROR(J1038/H1038,"")</f>
        <v/>
      </c>
      <c r="M1038" s="25" t="inlineStr">
        <is>
          <t>2.5.12</t>
        </is>
      </c>
      <c r="N1038" s="25">
        <f>IF(J1038&gt;300,1,0)</f>
        <v/>
      </c>
      <c r="O1038" s="25">
        <f>IF(J1038&gt;600,1,0)</f>
        <v/>
      </c>
      <c r="P1038" s="25">
        <f>IF(H1038&gt;0,J1038,"")</f>
        <v/>
      </c>
      <c r="Q1038" s="25">
        <f>TEXT(A1038,"YYYY-MM-DD HH")</f>
        <v/>
      </c>
      <c r="R1038" s="25">
        <f>COUNTIF($Q$2:$Q$5295,Q1038)</f>
        <v/>
      </c>
      <c r="S1038" s="25">
        <f>IF(R1038&lt;=2,"1-2",IF(R1038&lt;=5,"3-5",IF(R1038&lt;=10,"6-10","11+")))</f>
        <v/>
      </c>
    </row>
    <row r="1039">
      <c r="A1039" s="39" t="n">
        <v>46163.17084490741</v>
      </c>
      <c r="B1039" s="25">
        <f>TEXT(A1039,"YYYY-MM")</f>
        <v/>
      </c>
      <c r="C1039" s="25">
        <f>TEXT(A1039,"MMM-YYYY")</f>
        <v/>
      </c>
      <c r="D1039" s="40">
        <f>INT(A1039)-WEEKDAY(A1039,2)+1</f>
        <v/>
      </c>
      <c r="E1039" s="25" t="inlineStr">
        <is>
          <t>mbhalla</t>
        </is>
      </c>
      <c r="F1039" s="25" t="n">
        <v>3780</v>
      </c>
      <c r="G1039" s="25" t="n">
        <v>1</v>
      </c>
      <c r="H1039" s="25" t="n">
        <v>7</v>
      </c>
      <c r="I1039" s="25" t="inlineStr">
        <is>
          <t>2 minute(s) and 21 second(s)</t>
        </is>
      </c>
      <c r="J1039" s="25">
        <f>IFERROR(VALUE(TRIM(LEFT(I1039,FIND("minute",I1039)-1)))*60,0)+IFERROR(VALUE(SUBSTITUTE(MID(I1039,IFERROR(FIND("and",I1039)+3,1),20),"second(s)","")),0)</f>
        <v/>
      </c>
      <c r="K1039" s="41">
        <f>J1039/60</f>
        <v/>
      </c>
      <c r="L1039" s="41">
        <f>IFERROR(J1039/H1039,"")</f>
        <v/>
      </c>
      <c r="M1039" s="25" t="inlineStr">
        <is>
          <t>2.5.12</t>
        </is>
      </c>
      <c r="N1039" s="25">
        <f>IF(J1039&gt;300,1,0)</f>
        <v/>
      </c>
      <c r="O1039" s="25">
        <f>IF(J1039&gt;600,1,0)</f>
        <v/>
      </c>
      <c r="P1039" s="25">
        <f>IF(H1039&gt;0,J1039,"")</f>
        <v/>
      </c>
      <c r="Q1039" s="25">
        <f>TEXT(A1039,"YYYY-MM-DD HH")</f>
        <v/>
      </c>
      <c r="R1039" s="25">
        <f>COUNTIF($Q$2:$Q$5295,Q1039)</f>
        <v/>
      </c>
      <c r="S1039" s="25">
        <f>IF(R1039&lt;=2,"1-2",IF(R1039&lt;=5,"3-5",IF(R1039&lt;=10,"6-10","11+")))</f>
        <v/>
      </c>
    </row>
    <row r="1040">
      <c r="A1040" s="39" t="n">
        <v>46163.17126157408</v>
      </c>
      <c r="B1040" s="25">
        <f>TEXT(A1040,"YYYY-MM")</f>
        <v/>
      </c>
      <c r="C1040" s="25">
        <f>TEXT(A1040,"MMM-YYYY")</f>
        <v/>
      </c>
      <c r="D1040" s="40">
        <f>INT(A1040)-WEEKDAY(A1040,2)+1</f>
        <v/>
      </c>
      <c r="E1040" s="25" t="inlineStr">
        <is>
          <t>akumari</t>
        </is>
      </c>
      <c r="F1040" s="25" t="n">
        <v>48199</v>
      </c>
      <c r="G1040" s="25" t="n">
        <v>5</v>
      </c>
      <c r="H1040" s="25" t="n">
        <v>31</v>
      </c>
      <c r="I1040" s="25" t="inlineStr">
        <is>
          <t>5 minute(s) and 21 second(s)</t>
        </is>
      </c>
      <c r="J1040" s="25">
        <f>IFERROR(VALUE(TRIM(LEFT(I1040,FIND("minute",I1040)-1)))*60,0)+IFERROR(VALUE(SUBSTITUTE(MID(I1040,IFERROR(FIND("and",I1040)+3,1),20),"second(s)","")),0)</f>
        <v/>
      </c>
      <c r="K1040" s="41">
        <f>J1040/60</f>
        <v/>
      </c>
      <c r="L1040" s="41">
        <f>IFERROR(J1040/H1040,"")</f>
        <v/>
      </c>
      <c r="M1040" s="25" t="inlineStr">
        <is>
          <t>2.5.12</t>
        </is>
      </c>
      <c r="N1040" s="25">
        <f>IF(J1040&gt;300,1,0)</f>
        <v/>
      </c>
      <c r="O1040" s="25">
        <f>IF(J1040&gt;600,1,0)</f>
        <v/>
      </c>
      <c r="P1040" s="25">
        <f>IF(H1040&gt;0,J1040,"")</f>
        <v/>
      </c>
      <c r="Q1040" s="25">
        <f>TEXT(A1040,"YYYY-MM-DD HH")</f>
        <v/>
      </c>
      <c r="R1040" s="25">
        <f>COUNTIF($Q$2:$Q$5295,Q1040)</f>
        <v/>
      </c>
      <c r="S1040" s="25">
        <f>IF(R1040&lt;=2,"1-2",IF(R1040&lt;=5,"3-5",IF(R1040&lt;=10,"6-10","11+")))</f>
        <v/>
      </c>
    </row>
    <row r="1041">
      <c r="A1041" s="39" t="n">
        <v>46163.17291666667</v>
      </c>
      <c r="B1041" s="25">
        <f>TEXT(A1041,"YYYY-MM")</f>
        <v/>
      </c>
      <c r="C1041" s="25">
        <f>TEXT(A1041,"MMM-YYYY")</f>
        <v/>
      </c>
      <c r="D1041" s="40">
        <f>INT(A1041)-WEEKDAY(A1041,2)+1</f>
        <v/>
      </c>
      <c r="E1041" s="25" t="inlineStr">
        <is>
          <t>stiwari</t>
        </is>
      </c>
      <c r="F1041" s="25" t="n">
        <v>3422</v>
      </c>
      <c r="G1041" s="25" t="n">
        <v>1</v>
      </c>
      <c r="H1041" s="25" t="n">
        <v>7</v>
      </c>
      <c r="I1041" s="25" t="inlineStr">
        <is>
          <t>2 minute(s) and 52 second(s)</t>
        </is>
      </c>
      <c r="J1041" s="25">
        <f>IFERROR(VALUE(TRIM(LEFT(I1041,FIND("minute",I1041)-1)))*60,0)+IFERROR(VALUE(SUBSTITUTE(MID(I1041,IFERROR(FIND("and",I1041)+3,1),20),"second(s)","")),0)</f>
        <v/>
      </c>
      <c r="K1041" s="41">
        <f>J1041/60</f>
        <v/>
      </c>
      <c r="L1041" s="41">
        <f>IFERROR(J1041/H1041,"")</f>
        <v/>
      </c>
      <c r="M1041" s="25" t="inlineStr">
        <is>
          <t>2.5.12</t>
        </is>
      </c>
      <c r="N1041" s="25">
        <f>IF(J1041&gt;300,1,0)</f>
        <v/>
      </c>
      <c r="O1041" s="25">
        <f>IF(J1041&gt;600,1,0)</f>
        <v/>
      </c>
      <c r="P1041" s="25">
        <f>IF(H1041&gt;0,J1041,"")</f>
        <v/>
      </c>
      <c r="Q1041" s="25">
        <f>TEXT(A1041,"YYYY-MM-DD HH")</f>
        <v/>
      </c>
      <c r="R1041" s="25">
        <f>COUNTIF($Q$2:$Q$5295,Q1041)</f>
        <v/>
      </c>
      <c r="S1041" s="25">
        <f>IF(R1041&lt;=2,"1-2",IF(R1041&lt;=5,"3-5",IF(R1041&lt;=10,"6-10","11+")))</f>
        <v/>
      </c>
    </row>
    <row r="1042">
      <c r="A1042" s="39" t="n">
        <v>46163.17790509259</v>
      </c>
      <c r="B1042" s="25">
        <f>TEXT(A1042,"YYYY-MM")</f>
        <v/>
      </c>
      <c r="C1042" s="25">
        <f>TEXT(A1042,"MMM-YYYY")</f>
        <v/>
      </c>
      <c r="D1042" s="40">
        <f>INT(A1042)-WEEKDAY(A1042,2)+1</f>
        <v/>
      </c>
      <c r="E1042" s="25" t="inlineStr">
        <is>
          <t>vraina</t>
        </is>
      </c>
      <c r="F1042" s="25" t="n">
        <v>3902</v>
      </c>
      <c r="G1042" s="25" t="n">
        <v>1</v>
      </c>
      <c r="H1042" s="25" t="n">
        <v>7</v>
      </c>
      <c r="I1042" s="25" t="inlineStr">
        <is>
          <t>2 minute(s) and 41 second(s)</t>
        </is>
      </c>
      <c r="J1042" s="25">
        <f>IFERROR(VALUE(TRIM(LEFT(I1042,FIND("minute",I1042)-1)))*60,0)+IFERROR(VALUE(SUBSTITUTE(MID(I1042,IFERROR(FIND("and",I1042)+3,1),20),"second(s)","")),0)</f>
        <v/>
      </c>
      <c r="K1042" s="41">
        <f>J1042/60</f>
        <v/>
      </c>
      <c r="L1042" s="41">
        <f>IFERROR(J1042/H1042,"")</f>
        <v/>
      </c>
      <c r="M1042" s="25" t="inlineStr">
        <is>
          <t>2.5.12</t>
        </is>
      </c>
      <c r="N1042" s="25">
        <f>IF(J1042&gt;300,1,0)</f>
        <v/>
      </c>
      <c r="O1042" s="25">
        <f>IF(J1042&gt;600,1,0)</f>
        <v/>
      </c>
      <c r="P1042" s="25">
        <f>IF(H1042&gt;0,J1042,"")</f>
        <v/>
      </c>
      <c r="Q1042" s="25">
        <f>TEXT(A1042,"YYYY-MM-DD HH")</f>
        <v/>
      </c>
      <c r="R1042" s="25">
        <f>COUNTIF($Q$2:$Q$5295,Q1042)</f>
        <v/>
      </c>
      <c r="S1042" s="25">
        <f>IF(R1042&lt;=2,"1-2",IF(R1042&lt;=5,"3-5",IF(R1042&lt;=10,"6-10","11+")))</f>
        <v/>
      </c>
    </row>
    <row r="1043">
      <c r="A1043" s="39" t="n">
        <v>46163.18877314815</v>
      </c>
      <c r="B1043" s="25">
        <f>TEXT(A1043,"YYYY-MM")</f>
        <v/>
      </c>
      <c r="C1043" s="25">
        <f>TEXT(A1043,"MMM-YYYY")</f>
        <v/>
      </c>
      <c r="D1043" s="40">
        <f>INT(A1043)-WEEKDAY(A1043,2)+1</f>
        <v/>
      </c>
      <c r="E1043" s="25" t="inlineStr">
        <is>
          <t>atiwari</t>
        </is>
      </c>
      <c r="F1043" s="25" t="n">
        <v>595</v>
      </c>
      <c r="G1043" s="25" t="n">
        <v>2</v>
      </c>
      <c r="H1043" s="25" t="n">
        <v>10</v>
      </c>
      <c r="I1043" s="25" t="inlineStr">
        <is>
          <t>2 minute(s) and 28 second(s)</t>
        </is>
      </c>
      <c r="J1043" s="25">
        <f>IFERROR(VALUE(TRIM(LEFT(I1043,FIND("minute",I1043)-1)))*60,0)+IFERROR(VALUE(SUBSTITUTE(MID(I1043,IFERROR(FIND("and",I1043)+3,1),20),"second(s)","")),0)</f>
        <v/>
      </c>
      <c r="K1043" s="41">
        <f>J1043/60</f>
        <v/>
      </c>
      <c r="L1043" s="41">
        <f>IFERROR(J1043/H1043,"")</f>
        <v/>
      </c>
      <c r="M1043" s="25" t="inlineStr">
        <is>
          <t>2.5.12</t>
        </is>
      </c>
      <c r="N1043" s="25">
        <f>IF(J1043&gt;300,1,0)</f>
        <v/>
      </c>
      <c r="O1043" s="25">
        <f>IF(J1043&gt;600,1,0)</f>
        <v/>
      </c>
      <c r="P1043" s="25">
        <f>IF(H1043&gt;0,J1043,"")</f>
        <v/>
      </c>
      <c r="Q1043" s="25">
        <f>TEXT(A1043,"YYYY-MM-DD HH")</f>
        <v/>
      </c>
      <c r="R1043" s="25">
        <f>COUNTIF($Q$2:$Q$5295,Q1043)</f>
        <v/>
      </c>
      <c r="S1043" s="25">
        <f>IF(R1043&lt;=2,"1-2",IF(R1043&lt;=5,"3-5",IF(R1043&lt;=10,"6-10","11+")))</f>
        <v/>
      </c>
    </row>
    <row r="1044">
      <c r="A1044" s="39" t="n">
        <v>46163.44083333333</v>
      </c>
      <c r="B1044" s="25">
        <f>TEXT(A1044,"YYYY-MM")</f>
        <v/>
      </c>
      <c r="C1044" s="25">
        <f>TEXT(A1044,"MMM-YYYY")</f>
        <v/>
      </c>
      <c r="D1044" s="40">
        <f>INT(A1044)-WEEKDAY(A1044,2)+1</f>
        <v/>
      </c>
      <c r="E1044" s="25" t="inlineStr">
        <is>
          <t>ssaha</t>
        </is>
      </c>
      <c r="F1044" s="25" t="n">
        <v>4102</v>
      </c>
      <c r="G1044" s="25" t="n">
        <v>1</v>
      </c>
      <c r="H1044" s="25" t="n">
        <v>5</v>
      </c>
      <c r="I1044" s="25" t="inlineStr">
        <is>
          <t>1 minute(s) and 0 second(s)</t>
        </is>
      </c>
      <c r="J1044" s="25">
        <f>IFERROR(VALUE(TRIM(LEFT(I1044,FIND("minute",I1044)-1)))*60,0)+IFERROR(VALUE(SUBSTITUTE(MID(I1044,IFERROR(FIND("and",I1044)+3,1),20),"second(s)","")),0)</f>
        <v/>
      </c>
      <c r="K1044" s="41">
        <f>J1044/60</f>
        <v/>
      </c>
      <c r="L1044" s="41">
        <f>IFERROR(J1044/H1044,"")</f>
        <v/>
      </c>
      <c r="M1044" s="25" t="inlineStr">
        <is>
          <t>2.5.12</t>
        </is>
      </c>
      <c r="N1044" s="25">
        <f>IF(J1044&gt;300,1,0)</f>
        <v/>
      </c>
      <c r="O1044" s="25">
        <f>IF(J1044&gt;600,1,0)</f>
        <v/>
      </c>
      <c r="P1044" s="25">
        <f>IF(H1044&gt;0,J1044,"")</f>
        <v/>
      </c>
      <c r="Q1044" s="25">
        <f>TEXT(A1044,"YYYY-MM-DD HH")</f>
        <v/>
      </c>
      <c r="R1044" s="25">
        <f>COUNTIF($Q$2:$Q$5295,Q1044)</f>
        <v/>
      </c>
      <c r="S1044" s="25">
        <f>IF(R1044&lt;=2,"1-2",IF(R1044&lt;=5,"3-5",IF(R1044&lt;=10,"6-10","11+")))</f>
        <v/>
      </c>
    </row>
    <row r="1045">
      <c r="A1045" s="39" t="n">
        <v>46163.47190972222</v>
      </c>
      <c r="B1045" s="25">
        <f>TEXT(A1045,"YYYY-MM")</f>
        <v/>
      </c>
      <c r="C1045" s="25">
        <f>TEXT(A1045,"MMM-YYYY")</f>
        <v/>
      </c>
      <c r="D1045" s="40">
        <f>INT(A1045)-WEEKDAY(A1045,2)+1</f>
        <v/>
      </c>
      <c r="E1045" s="25" t="inlineStr">
        <is>
          <t>ssaha</t>
        </is>
      </c>
      <c r="F1045" s="25" t="n">
        <v>4103</v>
      </c>
      <c r="G1045" s="25" t="n">
        <v>1</v>
      </c>
      <c r="H1045" s="25" t="n">
        <v>5</v>
      </c>
      <c r="I1045" s="25" t="inlineStr">
        <is>
          <t>2 minute(s) and 19 second(s)</t>
        </is>
      </c>
      <c r="J1045" s="25">
        <f>IFERROR(VALUE(TRIM(LEFT(I1045,FIND("minute",I1045)-1)))*60,0)+IFERROR(VALUE(SUBSTITUTE(MID(I1045,IFERROR(FIND("and",I1045)+3,1),20),"second(s)","")),0)</f>
        <v/>
      </c>
      <c r="K1045" s="41">
        <f>J1045/60</f>
        <v/>
      </c>
      <c r="L1045" s="41">
        <f>IFERROR(J1045/H1045,"")</f>
        <v/>
      </c>
      <c r="M1045" s="25" t="inlineStr">
        <is>
          <t>2.5.12</t>
        </is>
      </c>
      <c r="N1045" s="25">
        <f>IF(J1045&gt;300,1,0)</f>
        <v/>
      </c>
      <c r="O1045" s="25">
        <f>IF(J1045&gt;600,1,0)</f>
        <v/>
      </c>
      <c r="P1045" s="25">
        <f>IF(H1045&gt;0,J1045,"")</f>
        <v/>
      </c>
      <c r="Q1045" s="25">
        <f>TEXT(A1045,"YYYY-MM-DD HH")</f>
        <v/>
      </c>
      <c r="R1045" s="25">
        <f>COUNTIF($Q$2:$Q$5295,Q1045)</f>
        <v/>
      </c>
      <c r="S1045" s="25">
        <f>IF(R1045&lt;=2,"1-2",IF(R1045&lt;=5,"3-5",IF(R1045&lt;=10,"6-10","11+")))</f>
        <v/>
      </c>
    </row>
    <row r="1046">
      <c r="A1046" s="39" t="n">
        <v>46163.48658564815</v>
      </c>
      <c r="B1046" s="25">
        <f>TEXT(A1046,"YYYY-MM")</f>
        <v/>
      </c>
      <c r="C1046" s="25">
        <f>TEXT(A1046,"MMM-YYYY")</f>
        <v/>
      </c>
      <c r="D1046" s="40">
        <f>INT(A1046)-WEEKDAY(A1046,2)+1</f>
        <v/>
      </c>
      <c r="E1046" s="25" t="inlineStr">
        <is>
          <t>ssaha</t>
        </is>
      </c>
      <c r="F1046" s="25" t="n">
        <v>4106</v>
      </c>
      <c r="G1046" s="25" t="n">
        <v>1</v>
      </c>
      <c r="H1046" s="25" t="n">
        <v>7</v>
      </c>
      <c r="I1046" s="25" t="inlineStr">
        <is>
          <t>1 minute(s) and 36 second(s)</t>
        </is>
      </c>
      <c r="J1046" s="25">
        <f>IFERROR(VALUE(TRIM(LEFT(I1046,FIND("minute",I1046)-1)))*60,0)+IFERROR(VALUE(SUBSTITUTE(MID(I1046,IFERROR(FIND("and",I1046)+3,1),20),"second(s)","")),0)</f>
        <v/>
      </c>
      <c r="K1046" s="41">
        <f>J1046/60</f>
        <v/>
      </c>
      <c r="L1046" s="41">
        <f>IFERROR(J1046/H1046,"")</f>
        <v/>
      </c>
      <c r="M1046" s="25" t="inlineStr">
        <is>
          <t>2.5.12</t>
        </is>
      </c>
      <c r="N1046" s="25">
        <f>IF(J1046&gt;300,1,0)</f>
        <v/>
      </c>
      <c r="O1046" s="25">
        <f>IF(J1046&gt;600,1,0)</f>
        <v/>
      </c>
      <c r="P1046" s="25">
        <f>IF(H1046&gt;0,J1046,"")</f>
        <v/>
      </c>
      <c r="Q1046" s="25">
        <f>TEXT(A1046,"YYYY-MM-DD HH")</f>
        <v/>
      </c>
      <c r="R1046" s="25">
        <f>COUNTIF($Q$2:$Q$5295,Q1046)</f>
        <v/>
      </c>
      <c r="S1046" s="25">
        <f>IF(R1046&lt;=2,"1-2",IF(R1046&lt;=5,"3-5",IF(R1046&lt;=10,"6-10","11+")))</f>
        <v/>
      </c>
    </row>
    <row r="1047">
      <c r="A1047" s="39" t="n">
        <v>46163.50944444445</v>
      </c>
      <c r="B1047" s="25">
        <f>TEXT(A1047,"YYYY-MM")</f>
        <v/>
      </c>
      <c r="C1047" s="25">
        <f>TEXT(A1047,"MMM-YYYY")</f>
        <v/>
      </c>
      <c r="D1047" s="40">
        <f>INT(A1047)-WEEKDAY(A1047,2)+1</f>
        <v/>
      </c>
      <c r="E1047" s="25" t="inlineStr">
        <is>
          <t>ssaha</t>
        </is>
      </c>
      <c r="F1047" s="25" t="n">
        <v>4109</v>
      </c>
      <c r="G1047" s="25" t="n">
        <v>1</v>
      </c>
      <c r="H1047" s="25" t="n">
        <v>5</v>
      </c>
      <c r="I1047" s="25" t="inlineStr">
        <is>
          <t>53 second(s)</t>
        </is>
      </c>
      <c r="J1047" s="25">
        <f>IFERROR(VALUE(TRIM(LEFT(I1047,FIND("minute",I1047)-1)))*60,0)+IFERROR(VALUE(SUBSTITUTE(MID(I1047,IFERROR(FIND("and",I1047)+3,1),20),"second(s)","")),0)</f>
        <v/>
      </c>
      <c r="K1047" s="41">
        <f>J1047/60</f>
        <v/>
      </c>
      <c r="L1047" s="41">
        <f>IFERROR(J1047/H1047,"")</f>
        <v/>
      </c>
      <c r="M1047" s="25" t="inlineStr">
        <is>
          <t>2.5.12</t>
        </is>
      </c>
      <c r="N1047" s="25">
        <f>IF(J1047&gt;300,1,0)</f>
        <v/>
      </c>
      <c r="O1047" s="25">
        <f>IF(J1047&gt;600,1,0)</f>
        <v/>
      </c>
      <c r="P1047" s="25">
        <f>IF(H1047&gt;0,J1047,"")</f>
        <v/>
      </c>
      <c r="Q1047" s="25">
        <f>TEXT(A1047,"YYYY-MM-DD HH")</f>
        <v/>
      </c>
      <c r="R1047" s="25">
        <f>COUNTIF($Q$2:$Q$5295,Q1047)</f>
        <v/>
      </c>
      <c r="S1047" s="25">
        <f>IF(R1047&lt;=2,"1-2",IF(R1047&lt;=5,"3-5",IF(R1047&lt;=10,"6-10","11+")))</f>
        <v/>
      </c>
    </row>
    <row r="1048">
      <c r="A1048" s="39" t="n">
        <v>46163.51692129629</v>
      </c>
      <c r="B1048" s="25">
        <f>TEXT(A1048,"YYYY-MM")</f>
        <v/>
      </c>
      <c r="C1048" s="25">
        <f>TEXT(A1048,"MMM-YYYY")</f>
        <v/>
      </c>
      <c r="D1048" s="40">
        <f>INT(A1048)-WEEKDAY(A1048,2)+1</f>
        <v/>
      </c>
      <c r="E1048" s="25" t="inlineStr">
        <is>
          <t>psingh</t>
        </is>
      </c>
      <c r="F1048" s="25" t="n">
        <v>462</v>
      </c>
      <c r="G1048" s="25" t="n">
        <v>1</v>
      </c>
      <c r="H1048" s="25" t="n">
        <v>7</v>
      </c>
      <c r="I1048" s="25" t="inlineStr">
        <is>
          <t>3 minute(s) and 1 second(s)</t>
        </is>
      </c>
      <c r="J1048" s="25">
        <f>IFERROR(VALUE(TRIM(LEFT(I1048,FIND("minute",I1048)-1)))*60,0)+IFERROR(VALUE(SUBSTITUTE(MID(I1048,IFERROR(FIND("and",I1048)+3,1),20),"second(s)","")),0)</f>
        <v/>
      </c>
      <c r="K1048" s="41">
        <f>J1048/60</f>
        <v/>
      </c>
      <c r="L1048" s="41">
        <f>IFERROR(J1048/H1048,"")</f>
        <v/>
      </c>
      <c r="M1048" s="25" t="inlineStr">
        <is>
          <t>2.5.12</t>
        </is>
      </c>
      <c r="N1048" s="25">
        <f>IF(J1048&gt;300,1,0)</f>
        <v/>
      </c>
      <c r="O1048" s="25">
        <f>IF(J1048&gt;600,1,0)</f>
        <v/>
      </c>
      <c r="P1048" s="25">
        <f>IF(H1048&gt;0,J1048,"")</f>
        <v/>
      </c>
      <c r="Q1048" s="25">
        <f>TEXT(A1048,"YYYY-MM-DD HH")</f>
        <v/>
      </c>
      <c r="R1048" s="25">
        <f>COUNTIF($Q$2:$Q$5295,Q1048)</f>
        <v/>
      </c>
      <c r="S1048" s="25">
        <f>IF(R1048&lt;=2,"1-2",IF(R1048&lt;=5,"3-5",IF(R1048&lt;=10,"6-10","11+")))</f>
        <v/>
      </c>
    </row>
    <row r="1049">
      <c r="A1049" s="39" t="n">
        <v>46163.53392361111</v>
      </c>
      <c r="B1049" s="25">
        <f>TEXT(A1049,"YYYY-MM")</f>
        <v/>
      </c>
      <c r="C1049" s="25">
        <f>TEXT(A1049,"MMM-YYYY")</f>
        <v/>
      </c>
      <c r="D1049" s="40">
        <f>INT(A1049)-WEEKDAY(A1049,2)+1</f>
        <v/>
      </c>
      <c r="E1049" s="25" t="inlineStr">
        <is>
          <t>ssaha</t>
        </is>
      </c>
      <c r="F1049" s="25" t="n">
        <v>4114</v>
      </c>
      <c r="G1049" s="25" t="n">
        <v>1</v>
      </c>
      <c r="H1049" s="25" t="n">
        <v>7</v>
      </c>
      <c r="I1049" s="25" t="inlineStr">
        <is>
          <t>3 minute(s) and 0 second(s)</t>
        </is>
      </c>
      <c r="J1049" s="25">
        <f>IFERROR(VALUE(TRIM(LEFT(I1049,FIND("minute",I1049)-1)))*60,0)+IFERROR(VALUE(SUBSTITUTE(MID(I1049,IFERROR(FIND("and",I1049)+3,1),20),"second(s)","")),0)</f>
        <v/>
      </c>
      <c r="K1049" s="41">
        <f>J1049/60</f>
        <v/>
      </c>
      <c r="L1049" s="41">
        <f>IFERROR(J1049/H1049,"")</f>
        <v/>
      </c>
      <c r="M1049" s="25" t="inlineStr">
        <is>
          <t>2.5.12</t>
        </is>
      </c>
      <c r="N1049" s="25">
        <f>IF(J1049&gt;300,1,0)</f>
        <v/>
      </c>
      <c r="O1049" s="25">
        <f>IF(J1049&gt;600,1,0)</f>
        <v/>
      </c>
      <c r="P1049" s="25">
        <f>IF(H1049&gt;0,J1049,"")</f>
        <v/>
      </c>
      <c r="Q1049" s="25">
        <f>TEXT(A1049,"YYYY-MM-DD HH")</f>
        <v/>
      </c>
      <c r="R1049" s="25">
        <f>COUNTIF($Q$2:$Q$5295,Q1049)</f>
        <v/>
      </c>
      <c r="S1049" s="25">
        <f>IF(R1049&lt;=2,"1-2",IF(R1049&lt;=5,"3-5",IF(R1049&lt;=10,"6-10","11+")))</f>
        <v/>
      </c>
    </row>
    <row r="1050">
      <c r="A1050" s="39" t="n">
        <v>46163.55524305555</v>
      </c>
      <c r="B1050" s="25">
        <f>TEXT(A1050,"YYYY-MM")</f>
        <v/>
      </c>
      <c r="C1050" s="25">
        <f>TEXT(A1050,"MMM-YYYY")</f>
        <v/>
      </c>
      <c r="D1050" s="40">
        <f>INT(A1050)-WEEKDAY(A1050,2)+1</f>
        <v/>
      </c>
      <c r="E1050" s="25" t="inlineStr">
        <is>
          <t>ssaha</t>
        </is>
      </c>
      <c r="F1050" s="25" t="n">
        <v>4115</v>
      </c>
      <c r="G1050" s="25" t="n">
        <v>1</v>
      </c>
      <c r="H1050" s="25" t="n">
        <v>7</v>
      </c>
      <c r="I1050" s="25" t="inlineStr">
        <is>
          <t>1 minute(s) and 31 second(s)</t>
        </is>
      </c>
      <c r="J1050" s="25">
        <f>IFERROR(VALUE(TRIM(LEFT(I1050,FIND("minute",I1050)-1)))*60,0)+IFERROR(VALUE(SUBSTITUTE(MID(I1050,IFERROR(FIND("and",I1050)+3,1),20),"second(s)","")),0)</f>
        <v/>
      </c>
      <c r="K1050" s="41">
        <f>J1050/60</f>
        <v/>
      </c>
      <c r="L1050" s="41">
        <f>IFERROR(J1050/H1050,"")</f>
        <v/>
      </c>
      <c r="M1050" s="25" t="inlineStr">
        <is>
          <t>2.5.12</t>
        </is>
      </c>
      <c r="N1050" s="25">
        <f>IF(J1050&gt;300,1,0)</f>
        <v/>
      </c>
      <c r="O1050" s="25">
        <f>IF(J1050&gt;600,1,0)</f>
        <v/>
      </c>
      <c r="P1050" s="25">
        <f>IF(H1050&gt;0,J1050,"")</f>
        <v/>
      </c>
      <c r="Q1050" s="25">
        <f>TEXT(A1050,"YYYY-MM-DD HH")</f>
        <v/>
      </c>
      <c r="R1050" s="25">
        <f>COUNTIF($Q$2:$Q$5295,Q1050)</f>
        <v/>
      </c>
      <c r="S1050" s="25">
        <f>IF(R1050&lt;=2,"1-2",IF(R1050&lt;=5,"3-5",IF(R1050&lt;=10,"6-10","11+")))</f>
        <v/>
      </c>
    </row>
    <row r="1051">
      <c r="A1051" s="39" t="n">
        <v>46163.57909722222</v>
      </c>
      <c r="B1051" s="25">
        <f>TEXT(A1051,"YYYY-MM")</f>
        <v/>
      </c>
      <c r="C1051" s="25">
        <f>TEXT(A1051,"MMM-YYYY")</f>
        <v/>
      </c>
      <c r="D1051" s="40">
        <f>INT(A1051)-WEEKDAY(A1051,2)+1</f>
        <v/>
      </c>
      <c r="E1051" s="25" t="inlineStr">
        <is>
          <t>psingh</t>
        </is>
      </c>
      <c r="F1051" s="25" t="n">
        <v>464</v>
      </c>
      <c r="G1051" s="25" t="n">
        <v>1</v>
      </c>
      <c r="H1051" s="25" t="n">
        <v>7</v>
      </c>
      <c r="I1051" s="25" t="inlineStr">
        <is>
          <t>3 minute(s) and 10 second(s)</t>
        </is>
      </c>
      <c r="J1051" s="25">
        <f>IFERROR(VALUE(TRIM(LEFT(I1051,FIND("minute",I1051)-1)))*60,0)+IFERROR(VALUE(SUBSTITUTE(MID(I1051,IFERROR(FIND("and",I1051)+3,1),20),"second(s)","")),0)</f>
        <v/>
      </c>
      <c r="K1051" s="41">
        <f>J1051/60</f>
        <v/>
      </c>
      <c r="L1051" s="41">
        <f>IFERROR(J1051/H1051,"")</f>
        <v/>
      </c>
      <c r="M1051" s="25" t="inlineStr">
        <is>
          <t>2.5.12</t>
        </is>
      </c>
      <c r="N1051" s="25">
        <f>IF(J1051&gt;300,1,0)</f>
        <v/>
      </c>
      <c r="O1051" s="25">
        <f>IF(J1051&gt;600,1,0)</f>
        <v/>
      </c>
      <c r="P1051" s="25">
        <f>IF(H1051&gt;0,J1051,"")</f>
        <v/>
      </c>
      <c r="Q1051" s="25">
        <f>TEXT(A1051,"YYYY-MM-DD HH")</f>
        <v/>
      </c>
      <c r="R1051" s="25">
        <f>COUNTIF($Q$2:$Q$5295,Q1051)</f>
        <v/>
      </c>
      <c r="S1051" s="25">
        <f>IF(R1051&lt;=2,"1-2",IF(R1051&lt;=5,"3-5",IF(R1051&lt;=10,"6-10","11+")))</f>
        <v/>
      </c>
    </row>
    <row r="1052">
      <c r="A1052" s="39" t="n">
        <v>46163.58577546296</v>
      </c>
      <c r="B1052" s="25">
        <f>TEXT(A1052,"YYYY-MM")</f>
        <v/>
      </c>
      <c r="C1052" s="25">
        <f>TEXT(A1052,"MMM-YYYY")</f>
        <v/>
      </c>
      <c r="D1052" s="40">
        <f>INT(A1052)-WEEKDAY(A1052,2)+1</f>
        <v/>
      </c>
      <c r="E1052" s="25" t="inlineStr">
        <is>
          <t>ssaha</t>
        </is>
      </c>
      <c r="F1052" s="25" t="n">
        <v>4118</v>
      </c>
      <c r="G1052" s="25" t="n">
        <v>1</v>
      </c>
      <c r="H1052" s="25" t="n">
        <v>7</v>
      </c>
      <c r="I1052" s="25" t="inlineStr">
        <is>
          <t>3 minute(s) and 17 second(s)</t>
        </is>
      </c>
      <c r="J1052" s="25">
        <f>IFERROR(VALUE(TRIM(LEFT(I1052,FIND("minute",I1052)-1)))*60,0)+IFERROR(VALUE(SUBSTITUTE(MID(I1052,IFERROR(FIND("and",I1052)+3,1),20),"second(s)","")),0)</f>
        <v/>
      </c>
      <c r="K1052" s="41">
        <f>J1052/60</f>
        <v/>
      </c>
      <c r="L1052" s="41">
        <f>IFERROR(J1052/H1052,"")</f>
        <v/>
      </c>
      <c r="M1052" s="25" t="inlineStr">
        <is>
          <t>2.5.12</t>
        </is>
      </c>
      <c r="N1052" s="25">
        <f>IF(J1052&gt;300,1,0)</f>
        <v/>
      </c>
      <c r="O1052" s="25">
        <f>IF(J1052&gt;600,1,0)</f>
        <v/>
      </c>
      <c r="P1052" s="25">
        <f>IF(H1052&gt;0,J1052,"")</f>
        <v/>
      </c>
      <c r="Q1052" s="25">
        <f>TEXT(A1052,"YYYY-MM-DD HH")</f>
        <v/>
      </c>
      <c r="R1052" s="25">
        <f>COUNTIF($Q$2:$Q$5295,Q1052)</f>
        <v/>
      </c>
      <c r="S1052" s="25">
        <f>IF(R1052&lt;=2,"1-2",IF(R1052&lt;=5,"3-5",IF(R1052&lt;=10,"6-10","11+")))</f>
        <v/>
      </c>
    </row>
    <row r="1053">
      <c r="A1053" s="39" t="n">
        <v>46164.05384259259</v>
      </c>
      <c r="B1053" s="25">
        <f>TEXT(A1053,"YYYY-MM")</f>
        <v/>
      </c>
      <c r="C1053" s="25">
        <f>TEXT(A1053,"MMM-YYYY")</f>
        <v/>
      </c>
      <c r="D1053" s="40">
        <f>INT(A1053)-WEEKDAY(A1053,2)+1</f>
        <v/>
      </c>
      <c r="E1053" s="25" t="inlineStr">
        <is>
          <t>akumari</t>
        </is>
      </c>
      <c r="F1053" s="25" t="n">
        <v>3176</v>
      </c>
      <c r="G1053" s="25" t="n">
        <v>1</v>
      </c>
      <c r="H1053" s="25" t="n">
        <v>7</v>
      </c>
      <c r="I1053" s="25" t="inlineStr">
        <is>
          <t>2 minute(s) and 15 second(s)</t>
        </is>
      </c>
      <c r="J1053" s="25">
        <f>IFERROR(VALUE(TRIM(LEFT(I1053,FIND("minute",I1053)-1)))*60,0)+IFERROR(VALUE(SUBSTITUTE(MID(I1053,IFERROR(FIND("and",I1053)+3,1),20),"second(s)","")),0)</f>
        <v/>
      </c>
      <c r="K1053" s="41">
        <f>J1053/60</f>
        <v/>
      </c>
      <c r="L1053" s="41">
        <f>IFERROR(J1053/H1053,"")</f>
        <v/>
      </c>
      <c r="M1053" s="25" t="inlineStr">
        <is>
          <t>2.5.12</t>
        </is>
      </c>
      <c r="N1053" s="25">
        <f>IF(J1053&gt;300,1,0)</f>
        <v/>
      </c>
      <c r="O1053" s="25">
        <f>IF(J1053&gt;600,1,0)</f>
        <v/>
      </c>
      <c r="P1053" s="25">
        <f>IF(H1053&gt;0,J1053,"")</f>
        <v/>
      </c>
      <c r="Q1053" s="25">
        <f>TEXT(A1053,"YYYY-MM-DD HH")</f>
        <v/>
      </c>
      <c r="R1053" s="25">
        <f>COUNTIF($Q$2:$Q$5295,Q1053)</f>
        <v/>
      </c>
      <c r="S1053" s="25">
        <f>IF(R1053&lt;=2,"1-2",IF(R1053&lt;=5,"3-5",IF(R1053&lt;=10,"6-10","11+")))</f>
        <v/>
      </c>
    </row>
    <row r="1054">
      <c r="A1054" s="39" t="n">
        <v>46164.0595949074</v>
      </c>
      <c r="B1054" s="25">
        <f>TEXT(A1054,"YYYY-MM")</f>
        <v/>
      </c>
      <c r="C1054" s="25">
        <f>TEXT(A1054,"MMM-YYYY")</f>
        <v/>
      </c>
      <c r="D1054" s="40">
        <f>INT(A1054)-WEEKDAY(A1054,2)+1</f>
        <v/>
      </c>
      <c r="E1054" s="25" t="inlineStr">
        <is>
          <t>ptomar</t>
        </is>
      </c>
      <c r="F1054" s="25" t="n">
        <v>3591</v>
      </c>
      <c r="G1054" s="25" t="n">
        <v>1</v>
      </c>
      <c r="H1054" s="25" t="n">
        <v>7</v>
      </c>
      <c r="I1054" s="25" t="inlineStr">
        <is>
          <t>56 second(s)</t>
        </is>
      </c>
      <c r="J1054" s="25">
        <f>IFERROR(VALUE(TRIM(LEFT(I1054,FIND("minute",I1054)-1)))*60,0)+IFERROR(VALUE(SUBSTITUTE(MID(I1054,IFERROR(FIND("and",I1054)+3,1),20),"second(s)","")),0)</f>
        <v/>
      </c>
      <c r="K1054" s="41">
        <f>J1054/60</f>
        <v/>
      </c>
      <c r="L1054" s="41">
        <f>IFERROR(J1054/H1054,"")</f>
        <v/>
      </c>
      <c r="M1054" s="25" t="inlineStr">
        <is>
          <t>2.5.12</t>
        </is>
      </c>
      <c r="N1054" s="25">
        <f>IF(J1054&gt;300,1,0)</f>
        <v/>
      </c>
      <c r="O1054" s="25">
        <f>IF(J1054&gt;600,1,0)</f>
        <v/>
      </c>
      <c r="P1054" s="25">
        <f>IF(H1054&gt;0,J1054,"")</f>
        <v/>
      </c>
      <c r="Q1054" s="25">
        <f>TEXT(A1054,"YYYY-MM-DD HH")</f>
        <v/>
      </c>
      <c r="R1054" s="25">
        <f>COUNTIF($Q$2:$Q$5295,Q1054)</f>
        <v/>
      </c>
      <c r="S1054" s="25">
        <f>IF(R1054&lt;=2,"1-2",IF(R1054&lt;=5,"3-5",IF(R1054&lt;=10,"6-10","11+")))</f>
        <v/>
      </c>
    </row>
    <row r="1055">
      <c r="A1055" s="39" t="n">
        <v>46164.06810185185</v>
      </c>
      <c r="B1055" s="25">
        <f>TEXT(A1055,"YYYY-MM")</f>
        <v/>
      </c>
      <c r="C1055" s="25">
        <f>TEXT(A1055,"MMM-YYYY")</f>
        <v/>
      </c>
      <c r="D1055" s="40">
        <f>INT(A1055)-WEEKDAY(A1055,2)+1</f>
        <v/>
      </c>
      <c r="E1055" s="25" t="inlineStr">
        <is>
          <t>ssrinivasan</t>
        </is>
      </c>
      <c r="F1055" s="25" t="n">
        <v>4324</v>
      </c>
      <c r="G1055" s="25" t="n">
        <v>1</v>
      </c>
      <c r="H1055" s="25" t="n">
        <v>7</v>
      </c>
      <c r="I1055" s="25" t="inlineStr">
        <is>
          <t>3 minute(s) and 8 second(s)</t>
        </is>
      </c>
      <c r="J1055" s="25">
        <f>IFERROR(VALUE(TRIM(LEFT(I1055,FIND("minute",I1055)-1)))*60,0)+IFERROR(VALUE(SUBSTITUTE(MID(I1055,IFERROR(FIND("and",I1055)+3,1),20),"second(s)","")),0)</f>
        <v/>
      </c>
      <c r="K1055" s="41">
        <f>J1055/60</f>
        <v/>
      </c>
      <c r="L1055" s="41">
        <f>IFERROR(J1055/H1055,"")</f>
        <v/>
      </c>
      <c r="M1055" s="25" t="inlineStr">
        <is>
          <t>2.5.12</t>
        </is>
      </c>
      <c r="N1055" s="25">
        <f>IF(J1055&gt;300,1,0)</f>
        <v/>
      </c>
      <c r="O1055" s="25">
        <f>IF(J1055&gt;600,1,0)</f>
        <v/>
      </c>
      <c r="P1055" s="25">
        <f>IF(H1055&gt;0,J1055,"")</f>
        <v/>
      </c>
      <c r="Q1055" s="25">
        <f>TEXT(A1055,"YYYY-MM-DD HH")</f>
        <v/>
      </c>
      <c r="R1055" s="25">
        <f>COUNTIF($Q$2:$Q$5295,Q1055)</f>
        <v/>
      </c>
      <c r="S1055" s="25">
        <f>IF(R1055&lt;=2,"1-2",IF(R1055&lt;=5,"3-5",IF(R1055&lt;=10,"6-10","11+")))</f>
        <v/>
      </c>
    </row>
    <row r="1056">
      <c r="A1056" s="39" t="n">
        <v>46164.06915509259</v>
      </c>
      <c r="B1056" s="25">
        <f>TEXT(A1056,"YYYY-MM")</f>
        <v/>
      </c>
      <c r="C1056" s="25">
        <f>TEXT(A1056,"MMM-YYYY")</f>
        <v/>
      </c>
      <c r="D1056" s="40">
        <f>INT(A1056)-WEEKDAY(A1056,2)+1</f>
        <v/>
      </c>
      <c r="E1056" s="25" t="inlineStr">
        <is>
          <t>npriya</t>
        </is>
      </c>
      <c r="F1056" s="25" t="n">
        <v>3227</v>
      </c>
      <c r="G1056" s="25" t="n">
        <v>1</v>
      </c>
      <c r="H1056" s="25" t="n">
        <v>5</v>
      </c>
      <c r="I1056" s="25" t="inlineStr">
        <is>
          <t>1 minute(s) and 52 second(s)</t>
        </is>
      </c>
      <c r="J1056" s="25">
        <f>IFERROR(VALUE(TRIM(LEFT(I1056,FIND("minute",I1056)-1)))*60,0)+IFERROR(VALUE(SUBSTITUTE(MID(I1056,IFERROR(FIND("and",I1056)+3,1),20),"second(s)","")),0)</f>
        <v/>
      </c>
      <c r="K1056" s="41">
        <f>J1056/60</f>
        <v/>
      </c>
      <c r="L1056" s="41">
        <f>IFERROR(J1056/H1056,"")</f>
        <v/>
      </c>
      <c r="M1056" s="25" t="inlineStr">
        <is>
          <t>2.5.12</t>
        </is>
      </c>
      <c r="N1056" s="25">
        <f>IF(J1056&gt;300,1,0)</f>
        <v/>
      </c>
      <c r="O1056" s="25">
        <f>IF(J1056&gt;600,1,0)</f>
        <v/>
      </c>
      <c r="P1056" s="25">
        <f>IF(H1056&gt;0,J1056,"")</f>
        <v/>
      </c>
      <c r="Q1056" s="25">
        <f>TEXT(A1056,"YYYY-MM-DD HH")</f>
        <v/>
      </c>
      <c r="R1056" s="25">
        <f>COUNTIF($Q$2:$Q$5295,Q1056)</f>
        <v/>
      </c>
      <c r="S1056" s="25">
        <f>IF(R1056&lt;=2,"1-2",IF(R1056&lt;=5,"3-5",IF(R1056&lt;=10,"6-10","11+")))</f>
        <v/>
      </c>
    </row>
    <row r="1057">
      <c r="A1057" s="39" t="n">
        <v>46164.07017361111</v>
      </c>
      <c r="B1057" s="25">
        <f>TEXT(A1057,"YYYY-MM")</f>
        <v/>
      </c>
      <c r="C1057" s="25">
        <f>TEXT(A1057,"MMM-YYYY")</f>
        <v/>
      </c>
      <c r="D1057" s="40">
        <f>INT(A1057)-WEEKDAY(A1057,2)+1</f>
        <v/>
      </c>
      <c r="E1057" s="25" t="inlineStr">
        <is>
          <t>ptomar</t>
        </is>
      </c>
      <c r="F1057" s="25" t="n">
        <v>3592</v>
      </c>
      <c r="G1057" s="25" t="n">
        <v>2</v>
      </c>
      <c r="H1057" s="25" t="n">
        <v>12</v>
      </c>
      <c r="I1057" s="25" t="inlineStr">
        <is>
          <t>1 minute(s) and 49 second(s)</t>
        </is>
      </c>
      <c r="J1057" s="25">
        <f>IFERROR(VALUE(TRIM(LEFT(I1057,FIND("minute",I1057)-1)))*60,0)+IFERROR(VALUE(SUBSTITUTE(MID(I1057,IFERROR(FIND("and",I1057)+3,1),20),"second(s)","")),0)</f>
        <v/>
      </c>
      <c r="K1057" s="41">
        <f>J1057/60</f>
        <v/>
      </c>
      <c r="L1057" s="41">
        <f>IFERROR(J1057/H1057,"")</f>
        <v/>
      </c>
      <c r="M1057" s="25" t="inlineStr">
        <is>
          <t>2.5.12</t>
        </is>
      </c>
      <c r="N1057" s="25">
        <f>IF(J1057&gt;300,1,0)</f>
        <v/>
      </c>
      <c r="O1057" s="25">
        <f>IF(J1057&gt;600,1,0)</f>
        <v/>
      </c>
      <c r="P1057" s="25">
        <f>IF(H1057&gt;0,J1057,"")</f>
        <v/>
      </c>
      <c r="Q1057" s="25">
        <f>TEXT(A1057,"YYYY-MM-DD HH")</f>
        <v/>
      </c>
      <c r="R1057" s="25">
        <f>COUNTIF($Q$2:$Q$5295,Q1057)</f>
        <v/>
      </c>
      <c r="S1057" s="25">
        <f>IF(R1057&lt;=2,"1-2",IF(R1057&lt;=5,"3-5",IF(R1057&lt;=10,"6-10","11+")))</f>
        <v/>
      </c>
    </row>
    <row r="1058">
      <c r="A1058" s="39" t="n">
        <v>46164.07375</v>
      </c>
      <c r="B1058" s="25">
        <f>TEXT(A1058,"YYYY-MM")</f>
        <v/>
      </c>
      <c r="C1058" s="25">
        <f>TEXT(A1058,"MMM-YYYY")</f>
        <v/>
      </c>
      <c r="D1058" s="40">
        <f>INT(A1058)-WEEKDAY(A1058,2)+1</f>
        <v/>
      </c>
      <c r="E1058" s="25" t="inlineStr">
        <is>
          <t>abhaskarkp</t>
        </is>
      </c>
      <c r="F1058" s="25" t="n">
        <v>3326</v>
      </c>
      <c r="G1058" s="25" t="n">
        <v>1</v>
      </c>
      <c r="H1058" s="25" t="n">
        <v>5</v>
      </c>
      <c r="I1058" s="25" t="inlineStr">
        <is>
          <t>2 minute(s) and 6 second(s)</t>
        </is>
      </c>
      <c r="J1058" s="25">
        <f>IFERROR(VALUE(TRIM(LEFT(I1058,FIND("minute",I1058)-1)))*60,0)+IFERROR(VALUE(SUBSTITUTE(MID(I1058,IFERROR(FIND("and",I1058)+3,1),20),"second(s)","")),0)</f>
        <v/>
      </c>
      <c r="K1058" s="41">
        <f>J1058/60</f>
        <v/>
      </c>
      <c r="L1058" s="41">
        <f>IFERROR(J1058/H1058,"")</f>
        <v/>
      </c>
      <c r="M1058" s="25" t="inlineStr">
        <is>
          <t>2.5.12</t>
        </is>
      </c>
      <c r="N1058" s="25">
        <f>IF(J1058&gt;300,1,0)</f>
        <v/>
      </c>
      <c r="O1058" s="25">
        <f>IF(J1058&gt;600,1,0)</f>
        <v/>
      </c>
      <c r="P1058" s="25">
        <f>IF(H1058&gt;0,J1058,"")</f>
        <v/>
      </c>
      <c r="Q1058" s="25">
        <f>TEXT(A1058,"YYYY-MM-DD HH")</f>
        <v/>
      </c>
      <c r="R1058" s="25">
        <f>COUNTIF($Q$2:$Q$5295,Q1058)</f>
        <v/>
      </c>
      <c r="S1058" s="25">
        <f>IF(R1058&lt;=2,"1-2",IF(R1058&lt;=5,"3-5",IF(R1058&lt;=10,"6-10","11+")))</f>
        <v/>
      </c>
    </row>
    <row r="1059">
      <c r="A1059" s="39" t="n">
        <v>46164.07527777777</v>
      </c>
      <c r="B1059" s="25">
        <f>TEXT(A1059,"YYYY-MM")</f>
        <v/>
      </c>
      <c r="C1059" s="25">
        <f>TEXT(A1059,"MMM-YYYY")</f>
        <v/>
      </c>
      <c r="D1059" s="40">
        <f>INT(A1059)-WEEKDAY(A1059,2)+1</f>
        <v/>
      </c>
      <c r="E1059" s="25" t="inlineStr">
        <is>
          <t>sdey</t>
        </is>
      </c>
      <c r="F1059" s="25" t="n">
        <v>3263</v>
      </c>
      <c r="G1059" s="25" t="n">
        <v>1</v>
      </c>
      <c r="H1059" s="25" t="n">
        <v>7</v>
      </c>
      <c r="I1059" s="25" t="inlineStr">
        <is>
          <t>2 minute(s) and 41 second(s)</t>
        </is>
      </c>
      <c r="J1059" s="25">
        <f>IFERROR(VALUE(TRIM(LEFT(I1059,FIND("minute",I1059)-1)))*60,0)+IFERROR(VALUE(SUBSTITUTE(MID(I1059,IFERROR(FIND("and",I1059)+3,1),20),"second(s)","")),0)</f>
        <v/>
      </c>
      <c r="K1059" s="41">
        <f>J1059/60</f>
        <v/>
      </c>
      <c r="L1059" s="41">
        <f>IFERROR(J1059/H1059,"")</f>
        <v/>
      </c>
      <c r="M1059" s="25" t="inlineStr">
        <is>
          <t>2.5.12</t>
        </is>
      </c>
      <c r="N1059" s="25">
        <f>IF(J1059&gt;300,1,0)</f>
        <v/>
      </c>
      <c r="O1059" s="25">
        <f>IF(J1059&gt;600,1,0)</f>
        <v/>
      </c>
      <c r="P1059" s="25">
        <f>IF(H1059&gt;0,J1059,"")</f>
        <v/>
      </c>
      <c r="Q1059" s="25">
        <f>TEXT(A1059,"YYYY-MM-DD HH")</f>
        <v/>
      </c>
      <c r="R1059" s="25">
        <f>COUNTIF($Q$2:$Q$5295,Q1059)</f>
        <v/>
      </c>
      <c r="S1059" s="25">
        <f>IF(R1059&lt;=2,"1-2",IF(R1059&lt;=5,"3-5",IF(R1059&lt;=10,"6-10","11+")))</f>
        <v/>
      </c>
    </row>
    <row r="1060">
      <c r="A1060" s="39" t="n">
        <v>46164.08756944445</v>
      </c>
      <c r="B1060" s="25">
        <f>TEXT(A1060,"YYYY-MM")</f>
        <v/>
      </c>
      <c r="C1060" s="25">
        <f>TEXT(A1060,"MMM-YYYY")</f>
        <v/>
      </c>
      <c r="D1060" s="40">
        <f>INT(A1060)-WEEKDAY(A1060,2)+1</f>
        <v/>
      </c>
      <c r="E1060" s="25" t="inlineStr">
        <is>
          <t>pmishra</t>
        </is>
      </c>
      <c r="F1060" s="25" t="n">
        <v>4193</v>
      </c>
      <c r="G1060" s="25" t="n">
        <v>1</v>
      </c>
      <c r="H1060" s="25" t="n">
        <v>5</v>
      </c>
      <c r="I1060" s="25" t="inlineStr">
        <is>
          <t>2 minute(s) and 29 second(s)</t>
        </is>
      </c>
      <c r="J1060" s="25">
        <f>IFERROR(VALUE(TRIM(LEFT(I1060,FIND("minute",I1060)-1)))*60,0)+IFERROR(VALUE(SUBSTITUTE(MID(I1060,IFERROR(FIND("and",I1060)+3,1),20),"second(s)","")),0)</f>
        <v/>
      </c>
      <c r="K1060" s="41">
        <f>J1060/60</f>
        <v/>
      </c>
      <c r="L1060" s="41">
        <f>IFERROR(J1060/H1060,"")</f>
        <v/>
      </c>
      <c r="M1060" s="25" t="inlineStr">
        <is>
          <t>2.5.12</t>
        </is>
      </c>
      <c r="N1060" s="25">
        <f>IF(J1060&gt;300,1,0)</f>
        <v/>
      </c>
      <c r="O1060" s="25">
        <f>IF(J1060&gt;600,1,0)</f>
        <v/>
      </c>
      <c r="P1060" s="25">
        <f>IF(H1060&gt;0,J1060,"")</f>
        <v/>
      </c>
      <c r="Q1060" s="25">
        <f>TEXT(A1060,"YYYY-MM-DD HH")</f>
        <v/>
      </c>
      <c r="R1060" s="25">
        <f>COUNTIF($Q$2:$Q$5295,Q1060)</f>
        <v/>
      </c>
      <c r="S1060" s="25">
        <f>IF(R1060&lt;=2,"1-2",IF(R1060&lt;=5,"3-5",IF(R1060&lt;=10,"6-10","11+")))</f>
        <v/>
      </c>
    </row>
    <row r="1061">
      <c r="A1061" s="39" t="n">
        <v>46164.09037037037</v>
      </c>
      <c r="B1061" s="25">
        <f>TEXT(A1061,"YYYY-MM")</f>
        <v/>
      </c>
      <c r="C1061" s="25">
        <f>TEXT(A1061,"MMM-YYYY")</f>
        <v/>
      </c>
      <c r="D1061" s="40">
        <f>INT(A1061)-WEEKDAY(A1061,2)+1</f>
        <v/>
      </c>
      <c r="E1061" s="25" t="inlineStr">
        <is>
          <t>npriya</t>
        </is>
      </c>
      <c r="F1061" s="25" t="n">
        <v>3229</v>
      </c>
      <c r="G1061" s="25" t="n">
        <v>3</v>
      </c>
      <c r="H1061" s="25" t="n">
        <v>13</v>
      </c>
      <c r="I1061" s="25" t="inlineStr">
        <is>
          <t>3 minute(s) and 21 second(s)</t>
        </is>
      </c>
      <c r="J1061" s="25">
        <f>IFERROR(VALUE(TRIM(LEFT(I1061,FIND("minute",I1061)-1)))*60,0)+IFERROR(VALUE(SUBSTITUTE(MID(I1061,IFERROR(FIND("and",I1061)+3,1),20),"second(s)","")),0)</f>
        <v/>
      </c>
      <c r="K1061" s="41">
        <f>J1061/60</f>
        <v/>
      </c>
      <c r="L1061" s="41">
        <f>IFERROR(J1061/H1061,"")</f>
        <v/>
      </c>
      <c r="M1061" s="25" t="inlineStr">
        <is>
          <t>2.5.12</t>
        </is>
      </c>
      <c r="N1061" s="25">
        <f>IF(J1061&gt;300,1,0)</f>
        <v/>
      </c>
      <c r="O1061" s="25">
        <f>IF(J1061&gt;600,1,0)</f>
        <v/>
      </c>
      <c r="P1061" s="25">
        <f>IF(H1061&gt;0,J1061,"")</f>
        <v/>
      </c>
      <c r="Q1061" s="25">
        <f>TEXT(A1061,"YYYY-MM-DD HH")</f>
        <v/>
      </c>
      <c r="R1061" s="25">
        <f>COUNTIF($Q$2:$Q$5295,Q1061)</f>
        <v/>
      </c>
      <c r="S1061" s="25">
        <f>IF(R1061&lt;=2,"1-2",IF(R1061&lt;=5,"3-5",IF(R1061&lt;=10,"6-10","11+")))</f>
        <v/>
      </c>
    </row>
    <row r="1062">
      <c r="A1062" s="39" t="n">
        <v>46164.09042824074</v>
      </c>
      <c r="B1062" s="25">
        <f>TEXT(A1062,"YYYY-MM")</f>
        <v/>
      </c>
      <c r="C1062" s="25">
        <f>TEXT(A1062,"MMM-YYYY")</f>
        <v/>
      </c>
      <c r="D1062" s="40">
        <f>INT(A1062)-WEEKDAY(A1062,2)+1</f>
        <v/>
      </c>
      <c r="E1062" s="25" t="inlineStr">
        <is>
          <t>abhaskarkp</t>
        </is>
      </c>
      <c r="F1062" s="25" t="n">
        <v>3327</v>
      </c>
      <c r="G1062" s="25" t="n">
        <v>1</v>
      </c>
      <c r="H1062" s="25" t="n">
        <v>7</v>
      </c>
      <c r="I1062" s="25" t="inlineStr">
        <is>
          <t>1 minute(s) and 29 second(s)</t>
        </is>
      </c>
      <c r="J1062" s="25">
        <f>IFERROR(VALUE(TRIM(LEFT(I1062,FIND("minute",I1062)-1)))*60,0)+IFERROR(VALUE(SUBSTITUTE(MID(I1062,IFERROR(FIND("and",I1062)+3,1),20),"second(s)","")),0)</f>
        <v/>
      </c>
      <c r="K1062" s="41">
        <f>J1062/60</f>
        <v/>
      </c>
      <c r="L1062" s="41">
        <f>IFERROR(J1062/H1062,"")</f>
        <v/>
      </c>
      <c r="M1062" s="25" t="inlineStr">
        <is>
          <t>2.5.12</t>
        </is>
      </c>
      <c r="N1062" s="25">
        <f>IF(J1062&gt;300,1,0)</f>
        <v/>
      </c>
      <c r="O1062" s="25">
        <f>IF(J1062&gt;600,1,0)</f>
        <v/>
      </c>
      <c r="P1062" s="25">
        <f>IF(H1062&gt;0,J1062,"")</f>
        <v/>
      </c>
      <c r="Q1062" s="25">
        <f>TEXT(A1062,"YYYY-MM-DD HH")</f>
        <v/>
      </c>
      <c r="R1062" s="25">
        <f>COUNTIF($Q$2:$Q$5295,Q1062)</f>
        <v/>
      </c>
      <c r="S1062" s="25">
        <f>IF(R1062&lt;=2,"1-2",IF(R1062&lt;=5,"3-5",IF(R1062&lt;=10,"6-10","11+")))</f>
        <v/>
      </c>
    </row>
    <row r="1063">
      <c r="A1063" s="39" t="n">
        <v>46164.09068287037</v>
      </c>
      <c r="B1063" s="25">
        <f>TEXT(A1063,"YYYY-MM")</f>
        <v/>
      </c>
      <c r="C1063" s="25">
        <f>TEXT(A1063,"MMM-YYYY")</f>
        <v/>
      </c>
      <c r="D1063" s="40">
        <f>INT(A1063)-WEEKDAY(A1063,2)+1</f>
        <v/>
      </c>
      <c r="E1063" s="25" t="inlineStr">
        <is>
          <t>psathwika</t>
        </is>
      </c>
      <c r="F1063" s="25" t="n">
        <v>41196</v>
      </c>
      <c r="G1063" s="25" t="n">
        <v>1</v>
      </c>
      <c r="H1063" s="25" t="n">
        <v>7</v>
      </c>
      <c r="I1063" s="25" t="inlineStr">
        <is>
          <t>2 minute(s) and 44 second(s)</t>
        </is>
      </c>
      <c r="J1063" s="25">
        <f>IFERROR(VALUE(TRIM(LEFT(I1063,FIND("minute",I1063)-1)))*60,0)+IFERROR(VALUE(SUBSTITUTE(MID(I1063,IFERROR(FIND("and",I1063)+3,1),20),"second(s)","")),0)</f>
        <v/>
      </c>
      <c r="K1063" s="41">
        <f>J1063/60</f>
        <v/>
      </c>
      <c r="L1063" s="41">
        <f>IFERROR(J1063/H1063,"")</f>
        <v/>
      </c>
      <c r="M1063" s="25" t="inlineStr">
        <is>
          <t>2.5.12</t>
        </is>
      </c>
      <c r="N1063" s="25">
        <f>IF(J1063&gt;300,1,0)</f>
        <v/>
      </c>
      <c r="O1063" s="25">
        <f>IF(J1063&gt;600,1,0)</f>
        <v/>
      </c>
      <c r="P1063" s="25">
        <f>IF(H1063&gt;0,J1063,"")</f>
        <v/>
      </c>
      <c r="Q1063" s="25">
        <f>TEXT(A1063,"YYYY-MM-DD HH")</f>
        <v/>
      </c>
      <c r="R1063" s="25">
        <f>COUNTIF($Q$2:$Q$5295,Q1063)</f>
        <v/>
      </c>
      <c r="S1063" s="25">
        <f>IF(R1063&lt;=2,"1-2",IF(R1063&lt;=5,"3-5",IF(R1063&lt;=10,"6-10","11+")))</f>
        <v/>
      </c>
    </row>
    <row r="1064">
      <c r="A1064" s="39" t="n">
        <v>46164.09354166667</v>
      </c>
      <c r="B1064" s="25">
        <f>TEXT(A1064,"YYYY-MM")</f>
        <v/>
      </c>
      <c r="C1064" s="25">
        <f>TEXT(A1064,"MMM-YYYY")</f>
        <v/>
      </c>
      <c r="D1064" s="40">
        <f>INT(A1064)-WEEKDAY(A1064,2)+1</f>
        <v/>
      </c>
      <c r="E1064" s="25" t="inlineStr">
        <is>
          <t>taggarwal</t>
        </is>
      </c>
      <c r="F1064" s="25" t="n">
        <v>3081</v>
      </c>
      <c r="G1064" s="25" t="n">
        <v>1</v>
      </c>
      <c r="H1064" s="25" t="n">
        <v>7</v>
      </c>
      <c r="I1064" s="25" t="inlineStr">
        <is>
          <t>2 minute(s) and 35 second(s)</t>
        </is>
      </c>
      <c r="J1064" s="25">
        <f>IFERROR(VALUE(TRIM(LEFT(I1064,FIND("minute",I1064)-1)))*60,0)+IFERROR(VALUE(SUBSTITUTE(MID(I1064,IFERROR(FIND("and",I1064)+3,1),20),"second(s)","")),0)</f>
        <v/>
      </c>
      <c r="K1064" s="41">
        <f>J1064/60</f>
        <v/>
      </c>
      <c r="L1064" s="41">
        <f>IFERROR(J1064/H1064,"")</f>
        <v/>
      </c>
      <c r="M1064" s="25" t="inlineStr">
        <is>
          <t>2.5.12</t>
        </is>
      </c>
      <c r="N1064" s="25">
        <f>IF(J1064&gt;300,1,0)</f>
        <v/>
      </c>
      <c r="O1064" s="25">
        <f>IF(J1064&gt;600,1,0)</f>
        <v/>
      </c>
      <c r="P1064" s="25">
        <f>IF(H1064&gt;0,J1064,"")</f>
        <v/>
      </c>
      <c r="Q1064" s="25">
        <f>TEXT(A1064,"YYYY-MM-DD HH")</f>
        <v/>
      </c>
      <c r="R1064" s="25">
        <f>COUNTIF($Q$2:$Q$5295,Q1064)</f>
        <v/>
      </c>
      <c r="S1064" s="25">
        <f>IF(R1064&lt;=2,"1-2",IF(R1064&lt;=5,"3-5",IF(R1064&lt;=10,"6-10","11+")))</f>
        <v/>
      </c>
    </row>
    <row r="1065">
      <c r="A1065" s="39" t="n">
        <v>46164.09364583333</v>
      </c>
      <c r="B1065" s="25">
        <f>TEXT(A1065,"YYYY-MM")</f>
        <v/>
      </c>
      <c r="C1065" s="25">
        <f>TEXT(A1065,"MMM-YYYY")</f>
        <v/>
      </c>
      <c r="D1065" s="40">
        <f>INT(A1065)-WEEKDAY(A1065,2)+1</f>
        <v/>
      </c>
      <c r="E1065" s="25" t="inlineStr">
        <is>
          <t>ethomas</t>
        </is>
      </c>
      <c r="F1065" s="25" t="n">
        <v>649</v>
      </c>
      <c r="G1065" s="25" t="n">
        <v>4</v>
      </c>
      <c r="H1065" s="25" t="n">
        <v>16</v>
      </c>
      <c r="I1065" s="25" t="inlineStr">
        <is>
          <t>3 minute(s) and 57 second(s)</t>
        </is>
      </c>
      <c r="J1065" s="25">
        <f>IFERROR(VALUE(TRIM(LEFT(I1065,FIND("minute",I1065)-1)))*60,0)+IFERROR(VALUE(SUBSTITUTE(MID(I1065,IFERROR(FIND("and",I1065)+3,1),20),"second(s)","")),0)</f>
        <v/>
      </c>
      <c r="K1065" s="41">
        <f>J1065/60</f>
        <v/>
      </c>
      <c r="L1065" s="41">
        <f>IFERROR(J1065/H1065,"")</f>
        <v/>
      </c>
      <c r="M1065" s="25" t="inlineStr">
        <is>
          <t>2.5.12</t>
        </is>
      </c>
      <c r="N1065" s="25">
        <f>IF(J1065&gt;300,1,0)</f>
        <v/>
      </c>
      <c r="O1065" s="25">
        <f>IF(J1065&gt;600,1,0)</f>
        <v/>
      </c>
      <c r="P1065" s="25">
        <f>IF(H1065&gt;0,J1065,"")</f>
        <v/>
      </c>
      <c r="Q1065" s="25">
        <f>TEXT(A1065,"YYYY-MM-DD HH")</f>
        <v/>
      </c>
      <c r="R1065" s="25">
        <f>COUNTIF($Q$2:$Q$5295,Q1065)</f>
        <v/>
      </c>
      <c r="S1065" s="25">
        <f>IF(R1065&lt;=2,"1-2",IF(R1065&lt;=5,"3-5",IF(R1065&lt;=10,"6-10","11+")))</f>
        <v/>
      </c>
    </row>
    <row r="1066">
      <c r="A1066" s="39" t="n">
        <v>46164.09465277778</v>
      </c>
      <c r="B1066" s="25">
        <f>TEXT(A1066,"YYYY-MM")</f>
        <v/>
      </c>
      <c r="C1066" s="25">
        <f>TEXT(A1066,"MMM-YYYY")</f>
        <v/>
      </c>
      <c r="D1066" s="40">
        <f>INT(A1066)-WEEKDAY(A1066,2)+1</f>
        <v/>
      </c>
      <c r="E1066" s="25" t="inlineStr">
        <is>
          <t>ptomar</t>
        </is>
      </c>
      <c r="F1066" s="25" t="n">
        <v>3593</v>
      </c>
      <c r="G1066" s="25" t="n">
        <v>1</v>
      </c>
      <c r="H1066" s="25" t="n">
        <v>7</v>
      </c>
      <c r="I1066" s="25" t="inlineStr">
        <is>
          <t>1 minute(s) and 4 second(s)</t>
        </is>
      </c>
      <c r="J1066" s="25">
        <f>IFERROR(VALUE(TRIM(LEFT(I1066,FIND("minute",I1066)-1)))*60,0)+IFERROR(VALUE(SUBSTITUTE(MID(I1066,IFERROR(FIND("and",I1066)+3,1),20),"second(s)","")),0)</f>
        <v/>
      </c>
      <c r="K1066" s="41">
        <f>J1066/60</f>
        <v/>
      </c>
      <c r="L1066" s="41">
        <f>IFERROR(J1066/H1066,"")</f>
        <v/>
      </c>
      <c r="M1066" s="25" t="inlineStr">
        <is>
          <t>2.5.12</t>
        </is>
      </c>
      <c r="N1066" s="25">
        <f>IF(J1066&gt;300,1,0)</f>
        <v/>
      </c>
      <c r="O1066" s="25">
        <f>IF(J1066&gt;600,1,0)</f>
        <v/>
      </c>
      <c r="P1066" s="25">
        <f>IF(H1066&gt;0,J1066,"")</f>
        <v/>
      </c>
      <c r="Q1066" s="25">
        <f>TEXT(A1066,"YYYY-MM-DD HH")</f>
        <v/>
      </c>
      <c r="R1066" s="25">
        <f>COUNTIF($Q$2:$Q$5295,Q1066)</f>
        <v/>
      </c>
      <c r="S1066" s="25">
        <f>IF(R1066&lt;=2,"1-2",IF(R1066&lt;=5,"3-5",IF(R1066&lt;=10,"6-10","11+")))</f>
        <v/>
      </c>
    </row>
    <row r="1067">
      <c r="A1067" s="39" t="n">
        <v>46164.09800925926</v>
      </c>
      <c r="B1067" s="25">
        <f>TEXT(A1067,"YYYY-MM")</f>
        <v/>
      </c>
      <c r="C1067" s="25">
        <f>TEXT(A1067,"MMM-YYYY")</f>
        <v/>
      </c>
      <c r="D1067" s="40">
        <f>INT(A1067)-WEEKDAY(A1067,2)+1</f>
        <v/>
      </c>
      <c r="E1067" s="25" t="inlineStr">
        <is>
          <t>sdey</t>
        </is>
      </c>
      <c r="F1067" s="25" t="n">
        <v>4247</v>
      </c>
      <c r="G1067" s="25" t="n">
        <v>1</v>
      </c>
      <c r="H1067" s="25" t="n">
        <v>7</v>
      </c>
      <c r="I1067" s="25" t="inlineStr">
        <is>
          <t>2 minute(s) and 32 second(s)</t>
        </is>
      </c>
      <c r="J1067" s="25">
        <f>IFERROR(VALUE(TRIM(LEFT(I1067,FIND("minute",I1067)-1)))*60,0)+IFERROR(VALUE(SUBSTITUTE(MID(I1067,IFERROR(FIND("and",I1067)+3,1),20),"second(s)","")),0)</f>
        <v/>
      </c>
      <c r="K1067" s="41">
        <f>J1067/60</f>
        <v/>
      </c>
      <c r="L1067" s="41">
        <f>IFERROR(J1067/H1067,"")</f>
        <v/>
      </c>
      <c r="M1067" s="25" t="inlineStr">
        <is>
          <t>2.5.12</t>
        </is>
      </c>
      <c r="N1067" s="25">
        <f>IF(J1067&gt;300,1,0)</f>
        <v/>
      </c>
      <c r="O1067" s="25">
        <f>IF(J1067&gt;600,1,0)</f>
        <v/>
      </c>
      <c r="P1067" s="25">
        <f>IF(H1067&gt;0,J1067,"")</f>
        <v/>
      </c>
      <c r="Q1067" s="25">
        <f>TEXT(A1067,"YYYY-MM-DD HH")</f>
        <v/>
      </c>
      <c r="R1067" s="25">
        <f>COUNTIF($Q$2:$Q$5295,Q1067)</f>
        <v/>
      </c>
      <c r="S1067" s="25">
        <f>IF(R1067&lt;=2,"1-2",IF(R1067&lt;=5,"3-5",IF(R1067&lt;=10,"6-10","11+")))</f>
        <v/>
      </c>
    </row>
    <row r="1068">
      <c r="A1068" s="39" t="n">
        <v>46164.09895833334</v>
      </c>
      <c r="B1068" s="25">
        <f>TEXT(A1068,"YYYY-MM")</f>
        <v/>
      </c>
      <c r="C1068" s="25">
        <f>TEXT(A1068,"MMM-YYYY")</f>
        <v/>
      </c>
      <c r="D1068" s="40">
        <f>INT(A1068)-WEEKDAY(A1068,2)+1</f>
        <v/>
      </c>
      <c r="E1068" s="25" t="inlineStr">
        <is>
          <t>akumari</t>
        </is>
      </c>
      <c r="F1068" s="25" t="n">
        <v>3177</v>
      </c>
      <c r="G1068" s="25" t="n">
        <v>2</v>
      </c>
      <c r="H1068" s="25" t="n">
        <v>10</v>
      </c>
      <c r="I1068" s="25" t="inlineStr">
        <is>
          <t>1 minute(s) and 44 second(s)</t>
        </is>
      </c>
      <c r="J1068" s="25">
        <f>IFERROR(VALUE(TRIM(LEFT(I1068,FIND("minute",I1068)-1)))*60,0)+IFERROR(VALUE(SUBSTITUTE(MID(I1068,IFERROR(FIND("and",I1068)+3,1),20),"second(s)","")),0)</f>
        <v/>
      </c>
      <c r="K1068" s="41">
        <f>J1068/60</f>
        <v/>
      </c>
      <c r="L1068" s="41">
        <f>IFERROR(J1068/H1068,"")</f>
        <v/>
      </c>
      <c r="M1068" s="25" t="inlineStr">
        <is>
          <t>2.5.12</t>
        </is>
      </c>
      <c r="N1068" s="25">
        <f>IF(J1068&gt;300,1,0)</f>
        <v/>
      </c>
      <c r="O1068" s="25">
        <f>IF(J1068&gt;600,1,0)</f>
        <v/>
      </c>
      <c r="P1068" s="25">
        <f>IF(H1068&gt;0,J1068,"")</f>
        <v/>
      </c>
      <c r="Q1068" s="25">
        <f>TEXT(A1068,"YYYY-MM-DD HH")</f>
        <v/>
      </c>
      <c r="R1068" s="25">
        <f>COUNTIF($Q$2:$Q$5295,Q1068)</f>
        <v/>
      </c>
      <c r="S1068" s="25">
        <f>IF(R1068&lt;=2,"1-2",IF(R1068&lt;=5,"3-5",IF(R1068&lt;=10,"6-10","11+")))</f>
        <v/>
      </c>
    </row>
    <row r="1069">
      <c r="A1069" s="39" t="n">
        <v>46164.10255787037</v>
      </c>
      <c r="B1069" s="25">
        <f>TEXT(A1069,"YYYY-MM")</f>
        <v/>
      </c>
      <c r="C1069" s="25">
        <f>TEXT(A1069,"MMM-YYYY")</f>
        <v/>
      </c>
      <c r="D1069" s="40">
        <f>INT(A1069)-WEEKDAY(A1069,2)+1</f>
        <v/>
      </c>
      <c r="E1069" s="25" t="inlineStr">
        <is>
          <t>csaha</t>
        </is>
      </c>
      <c r="F1069" s="25" t="n">
        <v>2860</v>
      </c>
      <c r="G1069" s="25" t="n">
        <v>2</v>
      </c>
      <c r="H1069" s="25" t="n">
        <v>6</v>
      </c>
      <c r="I1069" s="25" t="inlineStr">
        <is>
          <t>1 minute(s) and 4 second(s)</t>
        </is>
      </c>
      <c r="J1069" s="25">
        <f>IFERROR(VALUE(TRIM(LEFT(I1069,FIND("minute",I1069)-1)))*60,0)+IFERROR(VALUE(SUBSTITUTE(MID(I1069,IFERROR(FIND("and",I1069)+3,1),20),"second(s)","")),0)</f>
        <v/>
      </c>
      <c r="K1069" s="41">
        <f>J1069/60</f>
        <v/>
      </c>
      <c r="L1069" s="41">
        <f>IFERROR(J1069/H1069,"")</f>
        <v/>
      </c>
      <c r="M1069" s="25" t="inlineStr">
        <is>
          <t>2.5.12</t>
        </is>
      </c>
      <c r="N1069" s="25">
        <f>IF(J1069&gt;300,1,0)</f>
        <v/>
      </c>
      <c r="O1069" s="25">
        <f>IF(J1069&gt;600,1,0)</f>
        <v/>
      </c>
      <c r="P1069" s="25">
        <f>IF(H1069&gt;0,J1069,"")</f>
        <v/>
      </c>
      <c r="Q1069" s="25">
        <f>TEXT(A1069,"YYYY-MM-DD HH")</f>
        <v/>
      </c>
      <c r="R1069" s="25">
        <f>COUNTIF($Q$2:$Q$5295,Q1069)</f>
        <v/>
      </c>
      <c r="S1069" s="25">
        <f>IF(R1069&lt;=2,"1-2",IF(R1069&lt;=5,"3-5",IF(R1069&lt;=10,"6-10","11+")))</f>
        <v/>
      </c>
    </row>
    <row r="1070">
      <c r="A1070" s="39" t="n">
        <v>46164.10311342592</v>
      </c>
      <c r="B1070" s="25">
        <f>TEXT(A1070,"YYYY-MM")</f>
        <v/>
      </c>
      <c r="C1070" s="25">
        <f>TEXT(A1070,"MMM-YYYY")</f>
        <v/>
      </c>
      <c r="D1070" s="40">
        <f>INT(A1070)-WEEKDAY(A1070,2)+1</f>
        <v/>
      </c>
      <c r="E1070" s="25" t="inlineStr">
        <is>
          <t>abhaskarkp</t>
        </is>
      </c>
      <c r="F1070" s="25" t="n">
        <v>3328</v>
      </c>
      <c r="G1070" s="25" t="n">
        <v>1</v>
      </c>
      <c r="H1070" s="25" t="n">
        <v>7</v>
      </c>
      <c r="I1070" s="25" t="inlineStr">
        <is>
          <t>1 minute(s) and 57 second(s)</t>
        </is>
      </c>
      <c r="J1070" s="25">
        <f>IFERROR(VALUE(TRIM(LEFT(I1070,FIND("minute",I1070)-1)))*60,0)+IFERROR(VALUE(SUBSTITUTE(MID(I1070,IFERROR(FIND("and",I1070)+3,1),20),"second(s)","")),0)</f>
        <v/>
      </c>
      <c r="K1070" s="41">
        <f>J1070/60</f>
        <v/>
      </c>
      <c r="L1070" s="41">
        <f>IFERROR(J1070/H1070,"")</f>
        <v/>
      </c>
      <c r="M1070" s="25" t="inlineStr">
        <is>
          <t>2.5.12</t>
        </is>
      </c>
      <c r="N1070" s="25">
        <f>IF(J1070&gt;300,1,0)</f>
        <v/>
      </c>
      <c r="O1070" s="25">
        <f>IF(J1070&gt;600,1,0)</f>
        <v/>
      </c>
      <c r="P1070" s="25">
        <f>IF(H1070&gt;0,J1070,"")</f>
        <v/>
      </c>
      <c r="Q1070" s="25">
        <f>TEXT(A1070,"YYYY-MM-DD HH")</f>
        <v/>
      </c>
      <c r="R1070" s="25">
        <f>COUNTIF($Q$2:$Q$5295,Q1070)</f>
        <v/>
      </c>
      <c r="S1070" s="25">
        <f>IF(R1070&lt;=2,"1-2",IF(R1070&lt;=5,"3-5",IF(R1070&lt;=10,"6-10","11+")))</f>
        <v/>
      </c>
    </row>
    <row r="1071">
      <c r="A1071" s="39" t="n">
        <v>46164.10489583333</v>
      </c>
      <c r="B1071" s="25">
        <f>TEXT(A1071,"YYYY-MM")</f>
        <v/>
      </c>
      <c r="C1071" s="25">
        <f>TEXT(A1071,"MMM-YYYY")</f>
        <v/>
      </c>
      <c r="D1071" s="40">
        <f>INT(A1071)-WEEKDAY(A1071,2)+1</f>
        <v/>
      </c>
      <c r="E1071" s="25" t="inlineStr">
        <is>
          <t>ptomar</t>
        </is>
      </c>
      <c r="F1071" s="25" t="n">
        <v>3595</v>
      </c>
      <c r="G1071" s="25" t="n">
        <v>1</v>
      </c>
      <c r="H1071" s="25" t="n">
        <v>7</v>
      </c>
      <c r="I1071" s="25" t="inlineStr">
        <is>
          <t>2 minute(s) and 24 second(s)</t>
        </is>
      </c>
      <c r="J1071" s="25">
        <f>IFERROR(VALUE(TRIM(LEFT(I1071,FIND("minute",I1071)-1)))*60,0)+IFERROR(VALUE(SUBSTITUTE(MID(I1071,IFERROR(FIND("and",I1071)+3,1),20),"second(s)","")),0)</f>
        <v/>
      </c>
      <c r="K1071" s="41">
        <f>J1071/60</f>
        <v/>
      </c>
      <c r="L1071" s="41">
        <f>IFERROR(J1071/H1071,"")</f>
        <v/>
      </c>
      <c r="M1071" s="25" t="inlineStr">
        <is>
          <t>2.5.12</t>
        </is>
      </c>
      <c r="N1071" s="25">
        <f>IF(J1071&gt;300,1,0)</f>
        <v/>
      </c>
      <c r="O1071" s="25">
        <f>IF(J1071&gt;600,1,0)</f>
        <v/>
      </c>
      <c r="P1071" s="25">
        <f>IF(H1071&gt;0,J1071,"")</f>
        <v/>
      </c>
      <c r="Q1071" s="25">
        <f>TEXT(A1071,"YYYY-MM-DD HH")</f>
        <v/>
      </c>
      <c r="R1071" s="25">
        <f>COUNTIF($Q$2:$Q$5295,Q1071)</f>
        <v/>
      </c>
      <c r="S1071" s="25">
        <f>IF(R1071&lt;=2,"1-2",IF(R1071&lt;=5,"3-5",IF(R1071&lt;=10,"6-10","11+")))</f>
        <v/>
      </c>
    </row>
    <row r="1072">
      <c r="A1072" s="39" t="n">
        <v>46164.1055324074</v>
      </c>
      <c r="B1072" s="25">
        <f>TEXT(A1072,"YYYY-MM")</f>
        <v/>
      </c>
      <c r="C1072" s="25">
        <f>TEXT(A1072,"MMM-YYYY")</f>
        <v/>
      </c>
      <c r="D1072" s="40">
        <f>INT(A1072)-WEEKDAY(A1072,2)+1</f>
        <v/>
      </c>
      <c r="E1072" s="25" t="inlineStr">
        <is>
          <t>atiwari</t>
        </is>
      </c>
      <c r="F1072" s="25" t="n">
        <v>613</v>
      </c>
      <c r="G1072" s="25" t="n">
        <v>5</v>
      </c>
      <c r="H1072" s="25" t="n">
        <v>21</v>
      </c>
      <c r="I1072" s="25" t="inlineStr">
        <is>
          <t>4 minute(s) and 0 second(s)</t>
        </is>
      </c>
      <c r="J1072" s="25">
        <f>IFERROR(VALUE(TRIM(LEFT(I1072,FIND("minute",I1072)-1)))*60,0)+IFERROR(VALUE(SUBSTITUTE(MID(I1072,IFERROR(FIND("and",I1072)+3,1),20),"second(s)","")),0)</f>
        <v/>
      </c>
      <c r="K1072" s="41">
        <f>J1072/60</f>
        <v/>
      </c>
      <c r="L1072" s="41">
        <f>IFERROR(J1072/H1072,"")</f>
        <v/>
      </c>
      <c r="M1072" s="25" t="inlineStr">
        <is>
          <t>2.5.12</t>
        </is>
      </c>
      <c r="N1072" s="25">
        <f>IF(J1072&gt;300,1,0)</f>
        <v/>
      </c>
      <c r="O1072" s="25">
        <f>IF(J1072&gt;600,1,0)</f>
        <v/>
      </c>
      <c r="P1072" s="25">
        <f>IF(H1072&gt;0,J1072,"")</f>
        <v/>
      </c>
      <c r="Q1072" s="25">
        <f>TEXT(A1072,"YYYY-MM-DD HH")</f>
        <v/>
      </c>
      <c r="R1072" s="25">
        <f>COUNTIF($Q$2:$Q$5295,Q1072)</f>
        <v/>
      </c>
      <c r="S1072" s="25">
        <f>IF(R1072&lt;=2,"1-2",IF(R1072&lt;=5,"3-5",IF(R1072&lt;=10,"6-10","11+")))</f>
        <v/>
      </c>
    </row>
    <row r="1073">
      <c r="A1073" s="39" t="n">
        <v>46164.10930555555</v>
      </c>
      <c r="B1073" s="25">
        <f>TEXT(A1073,"YYYY-MM")</f>
        <v/>
      </c>
      <c r="C1073" s="25">
        <f>TEXT(A1073,"MMM-YYYY")</f>
        <v/>
      </c>
      <c r="D1073" s="40">
        <f>INT(A1073)-WEEKDAY(A1073,2)+1</f>
        <v/>
      </c>
      <c r="E1073" s="25" t="inlineStr">
        <is>
          <t>nlnu</t>
        </is>
      </c>
      <c r="F1073" s="25" t="n">
        <v>3545</v>
      </c>
      <c r="G1073" s="25" t="n">
        <v>1</v>
      </c>
      <c r="H1073" s="25" t="n">
        <v>7</v>
      </c>
      <c r="I1073" s="25" t="inlineStr">
        <is>
          <t>2 minute(s) and 47 second(s)</t>
        </is>
      </c>
      <c r="J1073" s="25">
        <f>IFERROR(VALUE(TRIM(LEFT(I1073,FIND("minute",I1073)-1)))*60,0)+IFERROR(VALUE(SUBSTITUTE(MID(I1073,IFERROR(FIND("and",I1073)+3,1),20),"second(s)","")),0)</f>
        <v/>
      </c>
      <c r="K1073" s="41">
        <f>J1073/60</f>
        <v/>
      </c>
      <c r="L1073" s="41">
        <f>IFERROR(J1073/H1073,"")</f>
        <v/>
      </c>
      <c r="M1073" s="25" t="inlineStr">
        <is>
          <t>2.5.12</t>
        </is>
      </c>
      <c r="N1073" s="25">
        <f>IF(J1073&gt;300,1,0)</f>
        <v/>
      </c>
      <c r="O1073" s="25">
        <f>IF(J1073&gt;600,1,0)</f>
        <v/>
      </c>
      <c r="P1073" s="25">
        <f>IF(H1073&gt;0,J1073,"")</f>
        <v/>
      </c>
      <c r="Q1073" s="25">
        <f>TEXT(A1073,"YYYY-MM-DD HH")</f>
        <v/>
      </c>
      <c r="R1073" s="25">
        <f>COUNTIF($Q$2:$Q$5295,Q1073)</f>
        <v/>
      </c>
      <c r="S1073" s="25">
        <f>IF(R1073&lt;=2,"1-2",IF(R1073&lt;=5,"3-5",IF(R1073&lt;=10,"6-10","11+")))</f>
        <v/>
      </c>
    </row>
    <row r="1074">
      <c r="A1074" s="39" t="n">
        <v>46164.11118055556</v>
      </c>
      <c r="B1074" s="25">
        <f>TEXT(A1074,"YYYY-MM")</f>
        <v/>
      </c>
      <c r="C1074" s="25">
        <f>TEXT(A1074,"MMM-YYYY")</f>
        <v/>
      </c>
      <c r="D1074" s="40">
        <f>INT(A1074)-WEEKDAY(A1074,2)+1</f>
        <v/>
      </c>
      <c r="E1074" s="25" t="inlineStr">
        <is>
          <t>shassan</t>
        </is>
      </c>
      <c r="F1074" s="25" t="n">
        <v>4081</v>
      </c>
      <c r="G1074" s="25" t="n">
        <v>1</v>
      </c>
      <c r="H1074" s="25" t="n">
        <v>7</v>
      </c>
      <c r="I1074" s="25" t="inlineStr">
        <is>
          <t>2 minute(s) and 49 second(s)</t>
        </is>
      </c>
      <c r="J1074" s="25">
        <f>IFERROR(VALUE(TRIM(LEFT(I1074,FIND("minute",I1074)-1)))*60,0)+IFERROR(VALUE(SUBSTITUTE(MID(I1074,IFERROR(FIND("and",I1074)+3,1),20),"second(s)","")),0)</f>
        <v/>
      </c>
      <c r="K1074" s="41">
        <f>J1074/60</f>
        <v/>
      </c>
      <c r="L1074" s="41">
        <f>IFERROR(J1074/H1074,"")</f>
        <v/>
      </c>
      <c r="M1074" s="25" t="inlineStr">
        <is>
          <t>2.5.12</t>
        </is>
      </c>
      <c r="N1074" s="25">
        <f>IF(J1074&gt;300,1,0)</f>
        <v/>
      </c>
      <c r="O1074" s="25">
        <f>IF(J1074&gt;600,1,0)</f>
        <v/>
      </c>
      <c r="P1074" s="25">
        <f>IF(H1074&gt;0,J1074,"")</f>
        <v/>
      </c>
      <c r="Q1074" s="25">
        <f>TEXT(A1074,"YYYY-MM-DD HH")</f>
        <v/>
      </c>
      <c r="R1074" s="25">
        <f>COUNTIF($Q$2:$Q$5295,Q1074)</f>
        <v/>
      </c>
      <c r="S1074" s="25">
        <f>IF(R1074&lt;=2,"1-2",IF(R1074&lt;=5,"3-5",IF(R1074&lt;=10,"6-10","11+")))</f>
        <v/>
      </c>
    </row>
    <row r="1075">
      <c r="A1075" s="39" t="n">
        <v>46164.11201388889</v>
      </c>
      <c r="B1075" s="25">
        <f>TEXT(A1075,"YYYY-MM")</f>
        <v/>
      </c>
      <c r="C1075" s="25">
        <f>TEXT(A1075,"MMM-YYYY")</f>
        <v/>
      </c>
      <c r="D1075" s="40">
        <f>INT(A1075)-WEEKDAY(A1075,2)+1</f>
        <v/>
      </c>
      <c r="E1075" s="25" t="inlineStr">
        <is>
          <t>stiwari</t>
        </is>
      </c>
      <c r="F1075" s="25" t="n">
        <v>3433</v>
      </c>
      <c r="G1075" s="25" t="n">
        <v>2</v>
      </c>
      <c r="H1075" s="25" t="n">
        <v>10</v>
      </c>
      <c r="I1075" s="25" t="inlineStr">
        <is>
          <t>2 minute(s) and 4 second(s)</t>
        </is>
      </c>
      <c r="J1075" s="25">
        <f>IFERROR(VALUE(TRIM(LEFT(I1075,FIND("minute",I1075)-1)))*60,0)+IFERROR(VALUE(SUBSTITUTE(MID(I1075,IFERROR(FIND("and",I1075)+3,1),20),"second(s)","")),0)</f>
        <v/>
      </c>
      <c r="K1075" s="41">
        <f>J1075/60</f>
        <v/>
      </c>
      <c r="L1075" s="41">
        <f>IFERROR(J1075/H1075,"")</f>
        <v/>
      </c>
      <c r="M1075" s="25" t="inlineStr">
        <is>
          <t>2.5.12</t>
        </is>
      </c>
      <c r="N1075" s="25">
        <f>IF(J1075&gt;300,1,0)</f>
        <v/>
      </c>
      <c r="O1075" s="25">
        <f>IF(J1075&gt;600,1,0)</f>
        <v/>
      </c>
      <c r="P1075" s="25">
        <f>IF(H1075&gt;0,J1075,"")</f>
        <v/>
      </c>
      <c r="Q1075" s="25">
        <f>TEXT(A1075,"YYYY-MM-DD HH")</f>
        <v/>
      </c>
      <c r="R1075" s="25">
        <f>COUNTIF($Q$2:$Q$5295,Q1075)</f>
        <v/>
      </c>
      <c r="S1075" s="25">
        <f>IF(R1075&lt;=2,"1-2",IF(R1075&lt;=5,"3-5",IF(R1075&lt;=10,"6-10","11+")))</f>
        <v/>
      </c>
    </row>
    <row r="1076">
      <c r="A1076" s="39" t="n">
        <v>46164.11458333334</v>
      </c>
      <c r="B1076" s="25">
        <f>TEXT(A1076,"YYYY-MM")</f>
        <v/>
      </c>
      <c r="C1076" s="25">
        <f>TEXT(A1076,"MMM-YYYY")</f>
        <v/>
      </c>
      <c r="D1076" s="40">
        <f>INT(A1076)-WEEKDAY(A1076,2)+1</f>
        <v/>
      </c>
      <c r="E1076" s="25" t="inlineStr">
        <is>
          <t>nbindu</t>
        </is>
      </c>
      <c r="F1076" s="25" t="n">
        <v>3962</v>
      </c>
      <c r="G1076" s="25" t="n">
        <v>1</v>
      </c>
      <c r="H1076" s="25" t="n">
        <v>5</v>
      </c>
      <c r="I1076" s="25" t="inlineStr">
        <is>
          <t>5 minute(s) and 51 second(s)</t>
        </is>
      </c>
      <c r="J1076" s="25">
        <f>IFERROR(VALUE(TRIM(LEFT(I1076,FIND("minute",I1076)-1)))*60,0)+IFERROR(VALUE(SUBSTITUTE(MID(I1076,IFERROR(FIND("and",I1076)+3,1),20),"second(s)","")),0)</f>
        <v/>
      </c>
      <c r="K1076" s="41">
        <f>J1076/60</f>
        <v/>
      </c>
      <c r="L1076" s="41">
        <f>IFERROR(J1076/H1076,"")</f>
        <v/>
      </c>
      <c r="M1076" s="25" t="inlineStr">
        <is>
          <t>2.5.12</t>
        </is>
      </c>
      <c r="N1076" s="25">
        <f>IF(J1076&gt;300,1,0)</f>
        <v/>
      </c>
      <c r="O1076" s="25">
        <f>IF(J1076&gt;600,1,0)</f>
        <v/>
      </c>
      <c r="P1076" s="25">
        <f>IF(H1076&gt;0,J1076,"")</f>
        <v/>
      </c>
      <c r="Q1076" s="25">
        <f>TEXT(A1076,"YYYY-MM-DD HH")</f>
        <v/>
      </c>
      <c r="R1076" s="25">
        <f>COUNTIF($Q$2:$Q$5295,Q1076)</f>
        <v/>
      </c>
      <c r="S1076" s="25">
        <f>IF(R1076&lt;=2,"1-2",IF(R1076&lt;=5,"3-5",IF(R1076&lt;=10,"6-10","11+")))</f>
        <v/>
      </c>
    </row>
    <row r="1077">
      <c r="A1077" s="39" t="n">
        <v>46164.11746527778</v>
      </c>
      <c r="B1077" s="25">
        <f>TEXT(A1077,"YYYY-MM")</f>
        <v/>
      </c>
      <c r="C1077" s="25">
        <f>TEXT(A1077,"MMM-YYYY")</f>
        <v/>
      </c>
      <c r="D1077" s="40">
        <f>INT(A1077)-WEEKDAY(A1077,2)+1</f>
        <v/>
      </c>
      <c r="E1077" s="25" t="inlineStr">
        <is>
          <t>abhaskarkp</t>
        </is>
      </c>
      <c r="F1077" s="25" t="n">
        <v>3329</v>
      </c>
      <c r="G1077" s="25" t="n">
        <v>1</v>
      </c>
      <c r="H1077" s="25" t="n">
        <v>7</v>
      </c>
      <c r="I1077" s="25" t="inlineStr">
        <is>
          <t>2 minute(s) and 45 second(s)</t>
        </is>
      </c>
      <c r="J1077" s="25">
        <f>IFERROR(VALUE(TRIM(LEFT(I1077,FIND("minute",I1077)-1)))*60,0)+IFERROR(VALUE(SUBSTITUTE(MID(I1077,IFERROR(FIND("and",I1077)+3,1),20),"second(s)","")),0)</f>
        <v/>
      </c>
      <c r="K1077" s="41">
        <f>J1077/60</f>
        <v/>
      </c>
      <c r="L1077" s="41">
        <f>IFERROR(J1077/H1077,"")</f>
        <v/>
      </c>
      <c r="M1077" s="25" t="inlineStr">
        <is>
          <t>2.5.12</t>
        </is>
      </c>
      <c r="N1077" s="25">
        <f>IF(J1077&gt;300,1,0)</f>
        <v/>
      </c>
      <c r="O1077" s="25">
        <f>IF(J1077&gt;600,1,0)</f>
        <v/>
      </c>
      <c r="P1077" s="25">
        <f>IF(H1077&gt;0,J1077,"")</f>
        <v/>
      </c>
      <c r="Q1077" s="25">
        <f>TEXT(A1077,"YYYY-MM-DD HH")</f>
        <v/>
      </c>
      <c r="R1077" s="25">
        <f>COUNTIF($Q$2:$Q$5295,Q1077)</f>
        <v/>
      </c>
      <c r="S1077" s="25">
        <f>IF(R1077&lt;=2,"1-2",IF(R1077&lt;=5,"3-5",IF(R1077&lt;=10,"6-10","11+")))</f>
        <v/>
      </c>
    </row>
    <row r="1078">
      <c r="A1078" s="39" t="n">
        <v>46164.12702546296</v>
      </c>
      <c r="B1078" s="25">
        <f>TEXT(A1078,"YYYY-MM")</f>
        <v/>
      </c>
      <c r="C1078" s="25">
        <f>TEXT(A1078,"MMM-YYYY")</f>
        <v/>
      </c>
      <c r="D1078" s="40">
        <f>INT(A1078)-WEEKDAY(A1078,2)+1</f>
        <v/>
      </c>
      <c r="E1078" s="25" t="inlineStr">
        <is>
          <t>psathwika</t>
        </is>
      </c>
      <c r="F1078" s="25" t="n">
        <v>41159</v>
      </c>
      <c r="G1078" s="25" t="n">
        <v>1</v>
      </c>
      <c r="H1078" s="25" t="n">
        <v>5</v>
      </c>
      <c r="I1078" s="25" t="inlineStr">
        <is>
          <t>3 minute(s) and 32 second(s)</t>
        </is>
      </c>
      <c r="J1078" s="25">
        <f>IFERROR(VALUE(TRIM(LEFT(I1078,FIND("minute",I1078)-1)))*60,0)+IFERROR(VALUE(SUBSTITUTE(MID(I1078,IFERROR(FIND("and",I1078)+3,1),20),"second(s)","")),0)</f>
        <v/>
      </c>
      <c r="K1078" s="41">
        <f>J1078/60</f>
        <v/>
      </c>
      <c r="L1078" s="41">
        <f>IFERROR(J1078/H1078,"")</f>
        <v/>
      </c>
      <c r="M1078" s="25" t="inlineStr">
        <is>
          <t>2.5.12</t>
        </is>
      </c>
      <c r="N1078" s="25">
        <f>IF(J1078&gt;300,1,0)</f>
        <v/>
      </c>
      <c r="O1078" s="25">
        <f>IF(J1078&gt;600,1,0)</f>
        <v/>
      </c>
      <c r="P1078" s="25">
        <f>IF(H1078&gt;0,J1078,"")</f>
        <v/>
      </c>
      <c r="Q1078" s="25">
        <f>TEXT(A1078,"YYYY-MM-DD HH")</f>
        <v/>
      </c>
      <c r="R1078" s="25">
        <f>COUNTIF($Q$2:$Q$5295,Q1078)</f>
        <v/>
      </c>
      <c r="S1078" s="25">
        <f>IF(R1078&lt;=2,"1-2",IF(R1078&lt;=5,"3-5",IF(R1078&lt;=10,"6-10","11+")))</f>
        <v/>
      </c>
    </row>
    <row r="1079">
      <c r="A1079" s="39" t="n">
        <v>46164.12969907407</v>
      </c>
      <c r="B1079" s="25">
        <f>TEXT(A1079,"YYYY-MM")</f>
        <v/>
      </c>
      <c r="C1079" s="25">
        <f>TEXT(A1079,"MMM-YYYY")</f>
        <v/>
      </c>
      <c r="D1079" s="40">
        <f>INT(A1079)-WEEKDAY(A1079,2)+1</f>
        <v/>
      </c>
      <c r="E1079" s="25" t="inlineStr">
        <is>
          <t>rts</t>
        </is>
      </c>
      <c r="F1079" s="25" t="n">
        <v>108772</v>
      </c>
      <c r="G1079" s="25" t="n">
        <v>3</v>
      </c>
      <c r="H1079" s="25" t="n">
        <v>15</v>
      </c>
      <c r="I1079" s="25" t="inlineStr">
        <is>
          <t>6 minute(s) and 9 second(s)</t>
        </is>
      </c>
      <c r="J1079" s="25">
        <f>IFERROR(VALUE(TRIM(LEFT(I1079,FIND("minute",I1079)-1)))*60,0)+IFERROR(VALUE(SUBSTITUTE(MID(I1079,IFERROR(FIND("and",I1079)+3,1),20),"second(s)","")),0)</f>
        <v/>
      </c>
      <c r="K1079" s="41">
        <f>J1079/60</f>
        <v/>
      </c>
      <c r="L1079" s="41">
        <f>IFERROR(J1079/H1079,"")</f>
        <v/>
      </c>
      <c r="M1079" s="25" t="inlineStr">
        <is>
          <t>2.5.12</t>
        </is>
      </c>
      <c r="N1079" s="25">
        <f>IF(J1079&gt;300,1,0)</f>
        <v/>
      </c>
      <c r="O1079" s="25">
        <f>IF(J1079&gt;600,1,0)</f>
        <v/>
      </c>
      <c r="P1079" s="25">
        <f>IF(H1079&gt;0,J1079,"")</f>
        <v/>
      </c>
      <c r="Q1079" s="25">
        <f>TEXT(A1079,"YYYY-MM-DD HH")</f>
        <v/>
      </c>
      <c r="R1079" s="25">
        <f>COUNTIF($Q$2:$Q$5295,Q1079)</f>
        <v/>
      </c>
      <c r="S1079" s="25">
        <f>IF(R1079&lt;=2,"1-2",IF(R1079&lt;=5,"3-5",IF(R1079&lt;=10,"6-10","11+")))</f>
        <v/>
      </c>
    </row>
    <row r="1080">
      <c r="A1080" s="39" t="n">
        <v>46164.13011574074</v>
      </c>
      <c r="B1080" s="25">
        <f>TEXT(A1080,"YYYY-MM")</f>
        <v/>
      </c>
      <c r="C1080" s="25">
        <f>TEXT(A1080,"MMM-YYYY")</f>
        <v/>
      </c>
      <c r="D1080" s="40">
        <f>INT(A1080)-WEEKDAY(A1080,2)+1</f>
        <v/>
      </c>
      <c r="E1080" s="25" t="inlineStr">
        <is>
          <t>pmishra</t>
        </is>
      </c>
      <c r="F1080" s="25" t="n">
        <v>4204</v>
      </c>
      <c r="G1080" s="25" t="n">
        <v>1</v>
      </c>
      <c r="H1080" s="25" t="n">
        <v>7</v>
      </c>
      <c r="I1080" s="25" t="inlineStr">
        <is>
          <t>1 minute(s) and 30 second(s)</t>
        </is>
      </c>
      <c r="J1080" s="25">
        <f>IFERROR(VALUE(TRIM(LEFT(I1080,FIND("minute",I1080)-1)))*60,0)+IFERROR(VALUE(SUBSTITUTE(MID(I1080,IFERROR(FIND("and",I1080)+3,1),20),"second(s)","")),0)</f>
        <v/>
      </c>
      <c r="K1080" s="41">
        <f>J1080/60</f>
        <v/>
      </c>
      <c r="L1080" s="41">
        <f>IFERROR(J1080/H1080,"")</f>
        <v/>
      </c>
      <c r="M1080" s="25" t="inlineStr">
        <is>
          <t>2.5.12</t>
        </is>
      </c>
      <c r="N1080" s="25">
        <f>IF(J1080&gt;300,1,0)</f>
        <v/>
      </c>
      <c r="O1080" s="25">
        <f>IF(J1080&gt;600,1,0)</f>
        <v/>
      </c>
      <c r="P1080" s="25">
        <f>IF(H1080&gt;0,J1080,"")</f>
        <v/>
      </c>
      <c r="Q1080" s="25">
        <f>TEXT(A1080,"YYYY-MM-DD HH")</f>
        <v/>
      </c>
      <c r="R1080" s="25">
        <f>COUNTIF($Q$2:$Q$5295,Q1080)</f>
        <v/>
      </c>
      <c r="S1080" s="25">
        <f>IF(R1080&lt;=2,"1-2",IF(R1080&lt;=5,"3-5",IF(R1080&lt;=10,"6-10","11+")))</f>
        <v/>
      </c>
    </row>
    <row r="1081">
      <c r="A1081" s="39" t="n">
        <v>46164.13385416667</v>
      </c>
      <c r="B1081" s="25">
        <f>TEXT(A1081,"YYYY-MM")</f>
        <v/>
      </c>
      <c r="C1081" s="25">
        <f>TEXT(A1081,"MMM-YYYY")</f>
        <v/>
      </c>
      <c r="D1081" s="40">
        <f>INT(A1081)-WEEKDAY(A1081,2)+1</f>
        <v/>
      </c>
      <c r="E1081" s="25" t="inlineStr">
        <is>
          <t>nlnu</t>
        </is>
      </c>
      <c r="F1081" s="25" t="n">
        <v>3548</v>
      </c>
      <c r="G1081" s="25" t="n">
        <v>1</v>
      </c>
      <c r="H1081" s="25" t="n">
        <v>7</v>
      </c>
      <c r="I1081" s="25" t="inlineStr">
        <is>
          <t>3 minute(s) and 13 second(s)</t>
        </is>
      </c>
      <c r="J1081" s="25">
        <f>IFERROR(VALUE(TRIM(LEFT(I1081,FIND("minute",I1081)-1)))*60,0)+IFERROR(VALUE(SUBSTITUTE(MID(I1081,IFERROR(FIND("and",I1081)+3,1),20),"second(s)","")),0)</f>
        <v/>
      </c>
      <c r="K1081" s="41">
        <f>J1081/60</f>
        <v/>
      </c>
      <c r="L1081" s="41">
        <f>IFERROR(J1081/H1081,"")</f>
        <v/>
      </c>
      <c r="M1081" s="25" t="inlineStr">
        <is>
          <t>2.5.12</t>
        </is>
      </c>
      <c r="N1081" s="25">
        <f>IF(J1081&gt;300,1,0)</f>
        <v/>
      </c>
      <c r="O1081" s="25">
        <f>IF(J1081&gt;600,1,0)</f>
        <v/>
      </c>
      <c r="P1081" s="25">
        <f>IF(H1081&gt;0,J1081,"")</f>
        <v/>
      </c>
      <c r="Q1081" s="25">
        <f>TEXT(A1081,"YYYY-MM-DD HH")</f>
        <v/>
      </c>
      <c r="R1081" s="25">
        <f>COUNTIF($Q$2:$Q$5295,Q1081)</f>
        <v/>
      </c>
      <c r="S1081" s="25">
        <f>IF(R1081&lt;=2,"1-2",IF(R1081&lt;=5,"3-5",IF(R1081&lt;=10,"6-10","11+")))</f>
        <v/>
      </c>
    </row>
    <row r="1082">
      <c r="A1082" s="39" t="n">
        <v>46164.13528935185</v>
      </c>
      <c r="B1082" s="25">
        <f>TEXT(A1082,"YYYY-MM")</f>
        <v/>
      </c>
      <c r="C1082" s="25">
        <f>TEXT(A1082,"MMM-YYYY")</f>
        <v/>
      </c>
      <c r="D1082" s="40">
        <f>INT(A1082)-WEEKDAY(A1082,2)+1</f>
        <v/>
      </c>
      <c r="E1082" s="25" t="inlineStr">
        <is>
          <t>akumari</t>
        </is>
      </c>
      <c r="F1082" s="25" t="n">
        <v>3178</v>
      </c>
      <c r="G1082" s="25" t="n">
        <v>2</v>
      </c>
      <c r="H1082" s="25" t="n">
        <v>12</v>
      </c>
      <c r="I1082" s="25" t="inlineStr">
        <is>
          <t>3 minute(s) and 53 second(s)</t>
        </is>
      </c>
      <c r="J1082" s="25">
        <f>IFERROR(VALUE(TRIM(LEFT(I1082,FIND("minute",I1082)-1)))*60,0)+IFERROR(VALUE(SUBSTITUTE(MID(I1082,IFERROR(FIND("and",I1082)+3,1),20),"second(s)","")),0)</f>
        <v/>
      </c>
      <c r="K1082" s="41">
        <f>J1082/60</f>
        <v/>
      </c>
      <c r="L1082" s="41">
        <f>IFERROR(J1082/H1082,"")</f>
        <v/>
      </c>
      <c r="M1082" s="25" t="inlineStr">
        <is>
          <t>2.5.12</t>
        </is>
      </c>
      <c r="N1082" s="25">
        <f>IF(J1082&gt;300,1,0)</f>
        <v/>
      </c>
      <c r="O1082" s="25">
        <f>IF(J1082&gt;600,1,0)</f>
        <v/>
      </c>
      <c r="P1082" s="25">
        <f>IF(H1082&gt;0,J1082,"")</f>
        <v/>
      </c>
      <c r="Q1082" s="25">
        <f>TEXT(A1082,"YYYY-MM-DD HH")</f>
        <v/>
      </c>
      <c r="R1082" s="25">
        <f>COUNTIF($Q$2:$Q$5295,Q1082)</f>
        <v/>
      </c>
      <c r="S1082" s="25">
        <f>IF(R1082&lt;=2,"1-2",IF(R1082&lt;=5,"3-5",IF(R1082&lt;=10,"6-10","11+")))</f>
        <v/>
      </c>
    </row>
    <row r="1083">
      <c r="A1083" s="39" t="n">
        <v>46164.13711805556</v>
      </c>
      <c r="B1083" s="25">
        <f>TEXT(A1083,"YYYY-MM")</f>
        <v/>
      </c>
      <c r="C1083" s="25">
        <f>TEXT(A1083,"MMM-YYYY")</f>
        <v/>
      </c>
      <c r="D1083" s="40">
        <f>INT(A1083)-WEEKDAY(A1083,2)+1</f>
        <v/>
      </c>
      <c r="E1083" s="25" t="inlineStr">
        <is>
          <t>sphatak</t>
        </is>
      </c>
      <c r="F1083" s="25" t="n">
        <v>3734</v>
      </c>
      <c r="G1083" s="25" t="n">
        <v>3</v>
      </c>
      <c r="H1083" s="25" t="n">
        <v>13</v>
      </c>
      <c r="I1083" s="25" t="inlineStr">
        <is>
          <t>3 minute(s) and 32 second(s)</t>
        </is>
      </c>
      <c r="J1083" s="25">
        <f>IFERROR(VALUE(TRIM(LEFT(I1083,FIND("minute",I1083)-1)))*60,0)+IFERROR(VALUE(SUBSTITUTE(MID(I1083,IFERROR(FIND("and",I1083)+3,1),20),"second(s)","")),0)</f>
        <v/>
      </c>
      <c r="K1083" s="41">
        <f>J1083/60</f>
        <v/>
      </c>
      <c r="L1083" s="41">
        <f>IFERROR(J1083/H1083,"")</f>
        <v/>
      </c>
      <c r="M1083" s="25" t="inlineStr">
        <is>
          <t>2.5.12</t>
        </is>
      </c>
      <c r="N1083" s="25">
        <f>IF(J1083&gt;300,1,0)</f>
        <v/>
      </c>
      <c r="O1083" s="25">
        <f>IF(J1083&gt;600,1,0)</f>
        <v/>
      </c>
      <c r="P1083" s="25">
        <f>IF(H1083&gt;0,J1083,"")</f>
        <v/>
      </c>
      <c r="Q1083" s="25">
        <f>TEXT(A1083,"YYYY-MM-DD HH")</f>
        <v/>
      </c>
      <c r="R1083" s="25">
        <f>COUNTIF($Q$2:$Q$5295,Q1083)</f>
        <v/>
      </c>
      <c r="S1083" s="25">
        <f>IF(R1083&lt;=2,"1-2",IF(R1083&lt;=5,"3-5",IF(R1083&lt;=10,"6-10","11+")))</f>
        <v/>
      </c>
    </row>
    <row r="1084">
      <c r="A1084" s="39" t="n">
        <v>46164.14128472222</v>
      </c>
      <c r="B1084" s="25">
        <f>TEXT(A1084,"YYYY-MM")</f>
        <v/>
      </c>
      <c r="C1084" s="25">
        <f>TEXT(A1084,"MMM-YYYY")</f>
        <v/>
      </c>
      <c r="D1084" s="40">
        <f>INT(A1084)-WEEKDAY(A1084,2)+1</f>
        <v/>
      </c>
      <c r="E1084" s="25" t="inlineStr">
        <is>
          <t>atiwari</t>
        </is>
      </c>
      <c r="F1084" s="25" t="n">
        <v>615</v>
      </c>
      <c r="G1084" s="25" t="n">
        <v>2</v>
      </c>
      <c r="H1084" s="25" t="n">
        <v>8</v>
      </c>
      <c r="I1084" s="25" t="inlineStr">
        <is>
          <t>2 minute(s) and 38 second(s)</t>
        </is>
      </c>
      <c r="J1084" s="25">
        <f>IFERROR(VALUE(TRIM(LEFT(I1084,FIND("minute",I1084)-1)))*60,0)+IFERROR(VALUE(SUBSTITUTE(MID(I1084,IFERROR(FIND("and",I1084)+3,1),20),"second(s)","")),0)</f>
        <v/>
      </c>
      <c r="K1084" s="41">
        <f>J1084/60</f>
        <v/>
      </c>
      <c r="L1084" s="41">
        <f>IFERROR(J1084/H1084,"")</f>
        <v/>
      </c>
      <c r="M1084" s="25" t="inlineStr">
        <is>
          <t>2.5.12</t>
        </is>
      </c>
      <c r="N1084" s="25">
        <f>IF(J1084&gt;300,1,0)</f>
        <v/>
      </c>
      <c r="O1084" s="25">
        <f>IF(J1084&gt;600,1,0)</f>
        <v/>
      </c>
      <c r="P1084" s="25">
        <f>IF(H1084&gt;0,J1084,"")</f>
        <v/>
      </c>
      <c r="Q1084" s="25">
        <f>TEXT(A1084,"YYYY-MM-DD HH")</f>
        <v/>
      </c>
      <c r="R1084" s="25">
        <f>COUNTIF($Q$2:$Q$5295,Q1084)</f>
        <v/>
      </c>
      <c r="S1084" s="25">
        <f>IF(R1084&lt;=2,"1-2",IF(R1084&lt;=5,"3-5",IF(R1084&lt;=10,"6-10","11+")))</f>
        <v/>
      </c>
    </row>
    <row r="1085">
      <c r="A1085" s="39" t="n">
        <v>46164.1430787037</v>
      </c>
      <c r="B1085" s="25">
        <f>TEXT(A1085,"YYYY-MM")</f>
        <v/>
      </c>
      <c r="C1085" s="25">
        <f>TEXT(A1085,"MMM-YYYY")</f>
        <v/>
      </c>
      <c r="D1085" s="40">
        <f>INT(A1085)-WEEKDAY(A1085,2)+1</f>
        <v/>
      </c>
      <c r="E1085" s="25" t="inlineStr">
        <is>
          <t>ptomar</t>
        </is>
      </c>
      <c r="F1085" s="25" t="n">
        <v>3597</v>
      </c>
      <c r="G1085" s="25" t="n">
        <v>1</v>
      </c>
      <c r="H1085" s="25" t="n">
        <v>7</v>
      </c>
      <c r="I1085" s="25" t="inlineStr">
        <is>
          <t>1 minute(s) and 18 second(s)</t>
        </is>
      </c>
      <c r="J1085" s="25">
        <f>IFERROR(VALUE(TRIM(LEFT(I1085,FIND("minute",I1085)-1)))*60,0)+IFERROR(VALUE(SUBSTITUTE(MID(I1085,IFERROR(FIND("and",I1085)+3,1),20),"second(s)","")),0)</f>
        <v/>
      </c>
      <c r="K1085" s="41">
        <f>J1085/60</f>
        <v/>
      </c>
      <c r="L1085" s="41">
        <f>IFERROR(J1085/H1085,"")</f>
        <v/>
      </c>
      <c r="M1085" s="25" t="inlineStr">
        <is>
          <t>2.5.12</t>
        </is>
      </c>
      <c r="N1085" s="25">
        <f>IF(J1085&gt;300,1,0)</f>
        <v/>
      </c>
      <c r="O1085" s="25">
        <f>IF(J1085&gt;600,1,0)</f>
        <v/>
      </c>
      <c r="P1085" s="25">
        <f>IF(H1085&gt;0,J1085,"")</f>
        <v/>
      </c>
      <c r="Q1085" s="25">
        <f>TEXT(A1085,"YYYY-MM-DD HH")</f>
        <v/>
      </c>
      <c r="R1085" s="25">
        <f>COUNTIF($Q$2:$Q$5295,Q1085)</f>
        <v/>
      </c>
      <c r="S1085" s="25">
        <f>IF(R1085&lt;=2,"1-2",IF(R1085&lt;=5,"3-5",IF(R1085&lt;=10,"6-10","11+")))</f>
        <v/>
      </c>
    </row>
    <row r="1086">
      <c r="A1086" s="39" t="n">
        <v>46164.14486111111</v>
      </c>
      <c r="B1086" s="25">
        <f>TEXT(A1086,"YYYY-MM")</f>
        <v/>
      </c>
      <c r="C1086" s="25">
        <f>TEXT(A1086,"MMM-YYYY")</f>
        <v/>
      </c>
      <c r="D1086" s="40">
        <f>INT(A1086)-WEEKDAY(A1086,2)+1</f>
        <v/>
      </c>
      <c r="E1086" s="25" t="inlineStr">
        <is>
          <t>hdutt</t>
        </is>
      </c>
      <c r="F1086" s="25" t="n">
        <v>3137</v>
      </c>
      <c r="G1086" s="25" t="n">
        <v>1</v>
      </c>
      <c r="H1086" s="25" t="n">
        <v>7</v>
      </c>
      <c r="I1086" s="25" t="inlineStr">
        <is>
          <t>1 minute(s) and 17 second(s)</t>
        </is>
      </c>
      <c r="J1086" s="25">
        <f>IFERROR(VALUE(TRIM(LEFT(I1086,FIND("minute",I1086)-1)))*60,0)+IFERROR(VALUE(SUBSTITUTE(MID(I1086,IFERROR(FIND("and",I1086)+3,1),20),"second(s)","")),0)</f>
        <v/>
      </c>
      <c r="K1086" s="41">
        <f>J1086/60</f>
        <v/>
      </c>
      <c r="L1086" s="41">
        <f>IFERROR(J1086/H1086,"")</f>
        <v/>
      </c>
      <c r="M1086" s="25" t="inlineStr">
        <is>
          <t>2.5.12</t>
        </is>
      </c>
      <c r="N1086" s="25">
        <f>IF(J1086&gt;300,1,0)</f>
        <v/>
      </c>
      <c r="O1086" s="25">
        <f>IF(J1086&gt;600,1,0)</f>
        <v/>
      </c>
      <c r="P1086" s="25">
        <f>IF(H1086&gt;0,J1086,"")</f>
        <v/>
      </c>
      <c r="Q1086" s="25">
        <f>TEXT(A1086,"YYYY-MM-DD HH")</f>
        <v/>
      </c>
      <c r="R1086" s="25">
        <f>COUNTIF($Q$2:$Q$5295,Q1086)</f>
        <v/>
      </c>
      <c r="S1086" s="25">
        <f>IF(R1086&lt;=2,"1-2",IF(R1086&lt;=5,"3-5",IF(R1086&lt;=10,"6-10","11+")))</f>
        <v/>
      </c>
    </row>
    <row r="1087">
      <c r="A1087" s="39" t="n">
        <v>46164.14810185185</v>
      </c>
      <c r="B1087" s="25">
        <f>TEXT(A1087,"YYYY-MM")</f>
        <v/>
      </c>
      <c r="C1087" s="25">
        <f>TEXT(A1087,"MMM-YYYY")</f>
        <v/>
      </c>
      <c r="D1087" s="40">
        <f>INT(A1087)-WEEKDAY(A1087,2)+1</f>
        <v/>
      </c>
      <c r="E1087" s="25" t="inlineStr">
        <is>
          <t>npriya</t>
        </is>
      </c>
      <c r="F1087" s="25" t="n">
        <v>3230</v>
      </c>
      <c r="G1087" s="25" t="n">
        <v>1</v>
      </c>
      <c r="H1087" s="25" t="n">
        <v>7</v>
      </c>
      <c r="I1087" s="25" t="inlineStr">
        <is>
          <t>3 minute(s) and 42 second(s)</t>
        </is>
      </c>
      <c r="J1087" s="25">
        <f>IFERROR(VALUE(TRIM(LEFT(I1087,FIND("minute",I1087)-1)))*60,0)+IFERROR(VALUE(SUBSTITUTE(MID(I1087,IFERROR(FIND("and",I1087)+3,1),20),"second(s)","")),0)</f>
        <v/>
      </c>
      <c r="K1087" s="41">
        <f>J1087/60</f>
        <v/>
      </c>
      <c r="L1087" s="41">
        <f>IFERROR(J1087/H1087,"")</f>
        <v/>
      </c>
      <c r="M1087" s="25" t="inlineStr">
        <is>
          <t>2.5.12</t>
        </is>
      </c>
      <c r="N1087" s="25">
        <f>IF(J1087&gt;300,1,0)</f>
        <v/>
      </c>
      <c r="O1087" s="25">
        <f>IF(J1087&gt;600,1,0)</f>
        <v/>
      </c>
      <c r="P1087" s="25">
        <f>IF(H1087&gt;0,J1087,"")</f>
        <v/>
      </c>
      <c r="Q1087" s="25">
        <f>TEXT(A1087,"YYYY-MM-DD HH")</f>
        <v/>
      </c>
      <c r="R1087" s="25">
        <f>COUNTIF($Q$2:$Q$5295,Q1087)</f>
        <v/>
      </c>
      <c r="S1087" s="25">
        <f>IF(R1087&lt;=2,"1-2",IF(R1087&lt;=5,"3-5",IF(R1087&lt;=10,"6-10","11+")))</f>
        <v/>
      </c>
    </row>
    <row r="1088">
      <c r="A1088" s="39" t="n">
        <v>46164.15079861111</v>
      </c>
      <c r="B1088" s="25">
        <f>TEXT(A1088,"YYYY-MM")</f>
        <v/>
      </c>
      <c r="C1088" s="25">
        <f>TEXT(A1088,"MMM-YYYY")</f>
        <v/>
      </c>
      <c r="D1088" s="40">
        <f>INT(A1088)-WEEKDAY(A1088,2)+1</f>
        <v/>
      </c>
      <c r="E1088" s="25" t="inlineStr">
        <is>
          <t>vprasad</t>
        </is>
      </c>
      <c r="F1088" s="25" t="n">
        <v>89814</v>
      </c>
      <c r="G1088" s="25" t="n">
        <v>4</v>
      </c>
      <c r="H1088" s="25" t="n">
        <v>20</v>
      </c>
      <c r="I1088" s="25" t="inlineStr">
        <is>
          <t>3 minute(s) and 59 second(s)</t>
        </is>
      </c>
      <c r="J1088" s="25">
        <f>IFERROR(VALUE(TRIM(LEFT(I1088,FIND("minute",I1088)-1)))*60,0)+IFERROR(VALUE(SUBSTITUTE(MID(I1088,IFERROR(FIND("and",I1088)+3,1),20),"second(s)","")),0)</f>
        <v/>
      </c>
      <c r="K1088" s="41">
        <f>J1088/60</f>
        <v/>
      </c>
      <c r="L1088" s="41">
        <f>IFERROR(J1088/H1088,"")</f>
        <v/>
      </c>
      <c r="M1088" s="25" t="inlineStr">
        <is>
          <t>2.5.12</t>
        </is>
      </c>
      <c r="N1088" s="25">
        <f>IF(J1088&gt;300,1,0)</f>
        <v/>
      </c>
      <c r="O1088" s="25">
        <f>IF(J1088&gt;600,1,0)</f>
        <v/>
      </c>
      <c r="P1088" s="25">
        <f>IF(H1088&gt;0,J1088,"")</f>
        <v/>
      </c>
      <c r="Q1088" s="25">
        <f>TEXT(A1088,"YYYY-MM-DD HH")</f>
        <v/>
      </c>
      <c r="R1088" s="25">
        <f>COUNTIF($Q$2:$Q$5295,Q1088)</f>
        <v/>
      </c>
      <c r="S1088" s="25">
        <f>IF(R1088&lt;=2,"1-2",IF(R1088&lt;=5,"3-5",IF(R1088&lt;=10,"6-10","11+")))</f>
        <v/>
      </c>
    </row>
    <row r="1089">
      <c r="A1089" s="39" t="n">
        <v>46164.1512962963</v>
      </c>
      <c r="B1089" s="25">
        <f>TEXT(A1089,"YYYY-MM")</f>
        <v/>
      </c>
      <c r="C1089" s="25">
        <f>TEXT(A1089,"MMM-YYYY")</f>
        <v/>
      </c>
      <c r="D1089" s="40">
        <f>INT(A1089)-WEEKDAY(A1089,2)+1</f>
        <v/>
      </c>
      <c r="E1089" s="25" t="inlineStr">
        <is>
          <t>arsarkar</t>
        </is>
      </c>
      <c r="F1089" s="25" t="n">
        <v>3353</v>
      </c>
      <c r="G1089" s="25" t="n">
        <v>1</v>
      </c>
      <c r="H1089" s="25" t="n">
        <v>7</v>
      </c>
      <c r="I1089" s="25" t="inlineStr">
        <is>
          <t>1 minute(s) and 20 second(s)</t>
        </is>
      </c>
      <c r="J1089" s="25">
        <f>IFERROR(VALUE(TRIM(LEFT(I1089,FIND("minute",I1089)-1)))*60,0)+IFERROR(VALUE(SUBSTITUTE(MID(I1089,IFERROR(FIND("and",I1089)+3,1),20),"second(s)","")),0)</f>
        <v/>
      </c>
      <c r="K1089" s="41">
        <f>J1089/60</f>
        <v/>
      </c>
      <c r="L1089" s="41">
        <f>IFERROR(J1089/H1089,"")</f>
        <v/>
      </c>
      <c r="M1089" s="25" t="inlineStr">
        <is>
          <t>2.5.12</t>
        </is>
      </c>
      <c r="N1089" s="25">
        <f>IF(J1089&gt;300,1,0)</f>
        <v/>
      </c>
      <c r="O1089" s="25">
        <f>IF(J1089&gt;600,1,0)</f>
        <v/>
      </c>
      <c r="P1089" s="25">
        <f>IF(H1089&gt;0,J1089,"")</f>
        <v/>
      </c>
      <c r="Q1089" s="25">
        <f>TEXT(A1089,"YYYY-MM-DD HH")</f>
        <v/>
      </c>
      <c r="R1089" s="25">
        <f>COUNTIF($Q$2:$Q$5295,Q1089)</f>
        <v/>
      </c>
      <c r="S1089" s="25">
        <f>IF(R1089&lt;=2,"1-2",IF(R1089&lt;=5,"3-5",IF(R1089&lt;=10,"6-10","11+")))</f>
        <v/>
      </c>
    </row>
    <row r="1090">
      <c r="A1090" s="39" t="n">
        <v>46164.15253472222</v>
      </c>
      <c r="B1090" s="25">
        <f>TEXT(A1090,"YYYY-MM")</f>
        <v/>
      </c>
      <c r="C1090" s="25">
        <f>TEXT(A1090,"MMM-YYYY")</f>
        <v/>
      </c>
      <c r="D1090" s="40">
        <f>INT(A1090)-WEEKDAY(A1090,2)+1</f>
        <v/>
      </c>
      <c r="E1090" s="25" t="inlineStr">
        <is>
          <t>sdey</t>
        </is>
      </c>
      <c r="F1090" s="25" t="n">
        <v>4250</v>
      </c>
      <c r="G1090" s="25" t="n">
        <v>1</v>
      </c>
      <c r="H1090" s="25" t="n">
        <v>7</v>
      </c>
      <c r="I1090" s="25" t="inlineStr">
        <is>
          <t>4 minute(s) and 23 second(s)</t>
        </is>
      </c>
      <c r="J1090" s="25">
        <f>IFERROR(VALUE(TRIM(LEFT(I1090,FIND("minute",I1090)-1)))*60,0)+IFERROR(VALUE(SUBSTITUTE(MID(I1090,IFERROR(FIND("and",I1090)+3,1),20),"second(s)","")),0)</f>
        <v/>
      </c>
      <c r="K1090" s="41">
        <f>J1090/60</f>
        <v/>
      </c>
      <c r="L1090" s="41">
        <f>IFERROR(J1090/H1090,"")</f>
        <v/>
      </c>
      <c r="M1090" s="25" t="inlineStr">
        <is>
          <t>2.5.12</t>
        </is>
      </c>
      <c r="N1090" s="25">
        <f>IF(J1090&gt;300,1,0)</f>
        <v/>
      </c>
      <c r="O1090" s="25">
        <f>IF(J1090&gt;600,1,0)</f>
        <v/>
      </c>
      <c r="P1090" s="25">
        <f>IF(H1090&gt;0,J1090,"")</f>
        <v/>
      </c>
      <c r="Q1090" s="25">
        <f>TEXT(A1090,"YYYY-MM-DD HH")</f>
        <v/>
      </c>
      <c r="R1090" s="25">
        <f>COUNTIF($Q$2:$Q$5295,Q1090)</f>
        <v/>
      </c>
      <c r="S1090" s="25">
        <f>IF(R1090&lt;=2,"1-2",IF(R1090&lt;=5,"3-5",IF(R1090&lt;=10,"6-10","11+")))</f>
        <v/>
      </c>
    </row>
    <row r="1091">
      <c r="A1091" s="39" t="n">
        <v>46164.15754629629</v>
      </c>
      <c r="B1091" s="25">
        <f>TEXT(A1091,"YYYY-MM")</f>
        <v/>
      </c>
      <c r="C1091" s="25">
        <f>TEXT(A1091,"MMM-YYYY")</f>
        <v/>
      </c>
      <c r="D1091" s="40">
        <f>INT(A1091)-WEEKDAY(A1091,2)+1</f>
        <v/>
      </c>
      <c r="E1091" s="25" t="inlineStr">
        <is>
          <t>psathwika</t>
        </is>
      </c>
      <c r="F1091" s="25" t="n">
        <v>41111</v>
      </c>
      <c r="G1091" s="25" t="n">
        <v>1</v>
      </c>
      <c r="H1091" s="25" t="n">
        <v>7</v>
      </c>
      <c r="I1091" s="25" t="inlineStr">
        <is>
          <t>3 minute(s) and 41 second(s)</t>
        </is>
      </c>
      <c r="J1091" s="25">
        <f>IFERROR(VALUE(TRIM(LEFT(I1091,FIND("minute",I1091)-1)))*60,0)+IFERROR(VALUE(SUBSTITUTE(MID(I1091,IFERROR(FIND("and",I1091)+3,1),20),"second(s)","")),0)</f>
        <v/>
      </c>
      <c r="K1091" s="41">
        <f>J1091/60</f>
        <v/>
      </c>
      <c r="L1091" s="41">
        <f>IFERROR(J1091/H1091,"")</f>
        <v/>
      </c>
      <c r="M1091" s="25" t="inlineStr">
        <is>
          <t>2.5.12</t>
        </is>
      </c>
      <c r="N1091" s="25">
        <f>IF(J1091&gt;300,1,0)</f>
        <v/>
      </c>
      <c r="O1091" s="25">
        <f>IF(J1091&gt;600,1,0)</f>
        <v/>
      </c>
      <c r="P1091" s="25">
        <f>IF(H1091&gt;0,J1091,"")</f>
        <v/>
      </c>
      <c r="Q1091" s="25">
        <f>TEXT(A1091,"YYYY-MM-DD HH")</f>
        <v/>
      </c>
      <c r="R1091" s="25">
        <f>COUNTIF($Q$2:$Q$5295,Q1091)</f>
        <v/>
      </c>
      <c r="S1091" s="25">
        <f>IF(R1091&lt;=2,"1-2",IF(R1091&lt;=5,"3-5",IF(R1091&lt;=10,"6-10","11+")))</f>
        <v/>
      </c>
    </row>
    <row r="1092">
      <c r="A1092" s="39" t="n">
        <v>46164.16186342593</v>
      </c>
      <c r="B1092" s="25">
        <f>TEXT(A1092,"YYYY-MM")</f>
        <v/>
      </c>
      <c r="C1092" s="25">
        <f>TEXT(A1092,"MMM-YYYY")</f>
        <v/>
      </c>
      <c r="D1092" s="40">
        <f>INT(A1092)-WEEKDAY(A1092,2)+1</f>
        <v/>
      </c>
      <c r="E1092" s="25" t="inlineStr">
        <is>
          <t>ssarkar</t>
        </is>
      </c>
      <c r="F1092" s="25" t="n">
        <v>4016</v>
      </c>
      <c r="G1092" s="25" t="n">
        <v>1</v>
      </c>
      <c r="H1092" s="25" t="n">
        <v>5</v>
      </c>
      <c r="I1092" s="25" t="inlineStr">
        <is>
          <t>2 minute(s) and 16 second(s)</t>
        </is>
      </c>
      <c r="J1092" s="25">
        <f>IFERROR(VALUE(TRIM(LEFT(I1092,FIND("minute",I1092)-1)))*60,0)+IFERROR(VALUE(SUBSTITUTE(MID(I1092,IFERROR(FIND("and",I1092)+3,1),20),"second(s)","")),0)</f>
        <v/>
      </c>
      <c r="K1092" s="41">
        <f>J1092/60</f>
        <v/>
      </c>
      <c r="L1092" s="41">
        <f>IFERROR(J1092/H1092,"")</f>
        <v/>
      </c>
      <c r="M1092" s="25" t="inlineStr">
        <is>
          <t>2.5.12</t>
        </is>
      </c>
      <c r="N1092" s="25">
        <f>IF(J1092&gt;300,1,0)</f>
        <v/>
      </c>
      <c r="O1092" s="25">
        <f>IF(J1092&gt;600,1,0)</f>
        <v/>
      </c>
      <c r="P1092" s="25">
        <f>IF(H1092&gt;0,J1092,"")</f>
        <v/>
      </c>
      <c r="Q1092" s="25">
        <f>TEXT(A1092,"YYYY-MM-DD HH")</f>
        <v/>
      </c>
      <c r="R1092" s="25">
        <f>COUNTIF($Q$2:$Q$5295,Q1092)</f>
        <v/>
      </c>
      <c r="S1092" s="25">
        <f>IF(R1092&lt;=2,"1-2",IF(R1092&lt;=5,"3-5",IF(R1092&lt;=10,"6-10","11+")))</f>
        <v/>
      </c>
    </row>
    <row r="1093">
      <c r="A1093" s="39" t="n">
        <v>46164.17304398148</v>
      </c>
      <c r="B1093" s="25">
        <f>TEXT(A1093,"YYYY-MM")</f>
        <v/>
      </c>
      <c r="C1093" s="25">
        <f>TEXT(A1093,"MMM-YYYY")</f>
        <v/>
      </c>
      <c r="D1093" s="40">
        <f>INT(A1093)-WEEKDAY(A1093,2)+1</f>
        <v/>
      </c>
      <c r="E1093" s="25" t="inlineStr">
        <is>
          <t>akumari</t>
        </is>
      </c>
      <c r="F1093" s="25" t="n">
        <v>3179</v>
      </c>
      <c r="G1093" s="25" t="n">
        <v>1</v>
      </c>
      <c r="H1093" s="25" t="n">
        <v>5</v>
      </c>
      <c r="I1093" s="25" t="inlineStr">
        <is>
          <t>46 second(s)</t>
        </is>
      </c>
      <c r="J1093" s="25">
        <f>IFERROR(VALUE(TRIM(LEFT(I1093,FIND("minute",I1093)-1)))*60,0)+IFERROR(VALUE(SUBSTITUTE(MID(I1093,IFERROR(FIND("and",I1093)+3,1),20),"second(s)","")),0)</f>
        <v/>
      </c>
      <c r="K1093" s="41">
        <f>J1093/60</f>
        <v/>
      </c>
      <c r="L1093" s="41">
        <f>IFERROR(J1093/H1093,"")</f>
        <v/>
      </c>
      <c r="M1093" s="25" t="inlineStr">
        <is>
          <t>2.5.12</t>
        </is>
      </c>
      <c r="N1093" s="25">
        <f>IF(J1093&gt;300,1,0)</f>
        <v/>
      </c>
      <c r="O1093" s="25">
        <f>IF(J1093&gt;600,1,0)</f>
        <v/>
      </c>
      <c r="P1093" s="25">
        <f>IF(H1093&gt;0,J1093,"")</f>
        <v/>
      </c>
      <c r="Q1093" s="25">
        <f>TEXT(A1093,"YYYY-MM-DD HH")</f>
        <v/>
      </c>
      <c r="R1093" s="25">
        <f>COUNTIF($Q$2:$Q$5295,Q1093)</f>
        <v/>
      </c>
      <c r="S1093" s="25">
        <f>IF(R1093&lt;=2,"1-2",IF(R1093&lt;=5,"3-5",IF(R1093&lt;=10,"6-10","11+")))</f>
        <v/>
      </c>
    </row>
    <row r="1094">
      <c r="A1094" s="39" t="n">
        <v>46164.17403935185</v>
      </c>
      <c r="B1094" s="25">
        <f>TEXT(A1094,"YYYY-MM")</f>
        <v/>
      </c>
      <c r="C1094" s="25">
        <f>TEXT(A1094,"MMM-YYYY")</f>
        <v/>
      </c>
      <c r="D1094" s="40">
        <f>INT(A1094)-WEEKDAY(A1094,2)+1</f>
        <v/>
      </c>
      <c r="E1094" s="25" t="inlineStr">
        <is>
          <t>atiwari</t>
        </is>
      </c>
      <c r="F1094" s="25" t="n">
        <v>41093</v>
      </c>
      <c r="G1094" s="25" t="n">
        <v>1</v>
      </c>
      <c r="H1094" s="25" t="n">
        <v>5</v>
      </c>
      <c r="I1094" s="25" t="inlineStr">
        <is>
          <t>5 minute(s) and 4 second(s)</t>
        </is>
      </c>
      <c r="J1094" s="25">
        <f>IFERROR(VALUE(TRIM(LEFT(I1094,FIND("minute",I1094)-1)))*60,0)+IFERROR(VALUE(SUBSTITUTE(MID(I1094,IFERROR(FIND("and",I1094)+3,1),20),"second(s)","")),0)</f>
        <v/>
      </c>
      <c r="K1094" s="41">
        <f>J1094/60</f>
        <v/>
      </c>
      <c r="L1094" s="41">
        <f>IFERROR(J1094/H1094,"")</f>
        <v/>
      </c>
      <c r="M1094" s="25" t="inlineStr">
        <is>
          <t>2.5.12</t>
        </is>
      </c>
      <c r="N1094" s="25">
        <f>IF(J1094&gt;300,1,0)</f>
        <v/>
      </c>
      <c r="O1094" s="25">
        <f>IF(J1094&gt;600,1,0)</f>
        <v/>
      </c>
      <c r="P1094" s="25">
        <f>IF(H1094&gt;0,J1094,"")</f>
        <v/>
      </c>
      <c r="Q1094" s="25">
        <f>TEXT(A1094,"YYYY-MM-DD HH")</f>
        <v/>
      </c>
      <c r="R1094" s="25">
        <f>COUNTIF($Q$2:$Q$5295,Q1094)</f>
        <v/>
      </c>
      <c r="S1094" s="25">
        <f>IF(R1094&lt;=2,"1-2",IF(R1094&lt;=5,"3-5",IF(R1094&lt;=10,"6-10","11+")))</f>
        <v/>
      </c>
    </row>
    <row r="1095">
      <c r="A1095" s="39" t="n">
        <v>46164.17659722222</v>
      </c>
      <c r="B1095" s="25">
        <f>TEXT(A1095,"YYYY-MM")</f>
        <v/>
      </c>
      <c r="C1095" s="25">
        <f>TEXT(A1095,"MMM-YYYY")</f>
        <v/>
      </c>
      <c r="D1095" s="40">
        <f>INT(A1095)-WEEKDAY(A1095,2)+1</f>
        <v/>
      </c>
      <c r="E1095" s="25" t="inlineStr">
        <is>
          <t>sdey</t>
        </is>
      </c>
      <c r="F1095" s="25" t="n">
        <v>4251</v>
      </c>
      <c r="G1095" s="25" t="n">
        <v>1</v>
      </c>
      <c r="H1095" s="25" t="n">
        <v>5</v>
      </c>
      <c r="I1095" s="25" t="inlineStr">
        <is>
          <t>2 minute(s) and 23 second(s)</t>
        </is>
      </c>
      <c r="J1095" s="25">
        <f>IFERROR(VALUE(TRIM(LEFT(I1095,FIND("minute",I1095)-1)))*60,0)+IFERROR(VALUE(SUBSTITUTE(MID(I1095,IFERROR(FIND("and",I1095)+3,1),20),"second(s)","")),0)</f>
        <v/>
      </c>
      <c r="K1095" s="41">
        <f>J1095/60</f>
        <v/>
      </c>
      <c r="L1095" s="41">
        <f>IFERROR(J1095/H1095,"")</f>
        <v/>
      </c>
      <c r="M1095" s="25" t="inlineStr">
        <is>
          <t>2.5.12</t>
        </is>
      </c>
      <c r="N1095" s="25">
        <f>IF(J1095&gt;300,1,0)</f>
        <v/>
      </c>
      <c r="O1095" s="25">
        <f>IF(J1095&gt;600,1,0)</f>
        <v/>
      </c>
      <c r="P1095" s="25">
        <f>IF(H1095&gt;0,J1095,"")</f>
        <v/>
      </c>
      <c r="Q1095" s="25">
        <f>TEXT(A1095,"YYYY-MM-DD HH")</f>
        <v/>
      </c>
      <c r="R1095" s="25">
        <f>COUNTIF($Q$2:$Q$5295,Q1095)</f>
        <v/>
      </c>
      <c r="S1095" s="25">
        <f>IF(R1095&lt;=2,"1-2",IF(R1095&lt;=5,"3-5",IF(R1095&lt;=10,"6-10","11+")))</f>
        <v/>
      </c>
    </row>
    <row r="1096">
      <c r="A1096" s="39" t="n">
        <v>46164.17771990741</v>
      </c>
      <c r="B1096" s="25">
        <f>TEXT(A1096,"YYYY-MM")</f>
        <v/>
      </c>
      <c r="C1096" s="25">
        <f>TEXT(A1096,"MMM-YYYY")</f>
        <v/>
      </c>
      <c r="D1096" s="40">
        <f>INT(A1096)-WEEKDAY(A1096,2)+1</f>
        <v/>
      </c>
      <c r="E1096" s="25" t="inlineStr">
        <is>
          <t>ssrinivasan</t>
        </is>
      </c>
      <c r="F1096" s="25" t="n">
        <v>4301</v>
      </c>
      <c r="G1096" s="25" t="n">
        <v>1</v>
      </c>
      <c r="H1096" s="25" t="n">
        <v>5</v>
      </c>
      <c r="I1096" s="25" t="inlineStr">
        <is>
          <t>53 second(s)</t>
        </is>
      </c>
      <c r="J1096" s="25">
        <f>IFERROR(VALUE(TRIM(LEFT(I1096,FIND("minute",I1096)-1)))*60,0)+IFERROR(VALUE(SUBSTITUTE(MID(I1096,IFERROR(FIND("and",I1096)+3,1),20),"second(s)","")),0)</f>
        <v/>
      </c>
      <c r="K1096" s="41">
        <f>J1096/60</f>
        <v/>
      </c>
      <c r="L1096" s="41">
        <f>IFERROR(J1096/H1096,"")</f>
        <v/>
      </c>
      <c r="M1096" s="25" t="inlineStr">
        <is>
          <t>2.5.12</t>
        </is>
      </c>
      <c r="N1096" s="25">
        <f>IF(J1096&gt;300,1,0)</f>
        <v/>
      </c>
      <c r="O1096" s="25">
        <f>IF(J1096&gt;600,1,0)</f>
        <v/>
      </c>
      <c r="P1096" s="25">
        <f>IF(H1096&gt;0,J1096,"")</f>
        <v/>
      </c>
      <c r="Q1096" s="25">
        <f>TEXT(A1096,"YYYY-MM-DD HH")</f>
        <v/>
      </c>
      <c r="R1096" s="25">
        <f>COUNTIF($Q$2:$Q$5295,Q1096)</f>
        <v/>
      </c>
      <c r="S1096" s="25">
        <f>IF(R1096&lt;=2,"1-2",IF(R1096&lt;=5,"3-5",IF(R1096&lt;=10,"6-10","11+")))</f>
        <v/>
      </c>
    </row>
    <row r="1097">
      <c r="A1097" s="39" t="n">
        <v>46164.18283564815</v>
      </c>
      <c r="B1097" s="25">
        <f>TEXT(A1097,"YYYY-MM")</f>
        <v/>
      </c>
      <c r="C1097" s="25">
        <f>TEXT(A1097,"MMM-YYYY")</f>
        <v/>
      </c>
      <c r="D1097" s="40">
        <f>INT(A1097)-WEEKDAY(A1097,2)+1</f>
        <v/>
      </c>
      <c r="E1097" s="25" t="inlineStr">
        <is>
          <t>shassan</t>
        </is>
      </c>
      <c r="F1097" s="25" t="n">
        <v>4082</v>
      </c>
      <c r="G1097" s="25" t="n">
        <v>1</v>
      </c>
      <c r="H1097" s="25" t="n">
        <v>7</v>
      </c>
      <c r="I1097" s="25" t="inlineStr">
        <is>
          <t>2 minute(s) and 55 second(s)</t>
        </is>
      </c>
      <c r="J1097" s="25">
        <f>IFERROR(VALUE(TRIM(LEFT(I1097,FIND("minute",I1097)-1)))*60,0)+IFERROR(VALUE(SUBSTITUTE(MID(I1097,IFERROR(FIND("and",I1097)+3,1),20),"second(s)","")),0)</f>
        <v/>
      </c>
      <c r="K1097" s="41">
        <f>J1097/60</f>
        <v/>
      </c>
      <c r="L1097" s="41">
        <f>IFERROR(J1097/H1097,"")</f>
        <v/>
      </c>
      <c r="M1097" s="25" t="inlineStr">
        <is>
          <t>2.5.12</t>
        </is>
      </c>
      <c r="N1097" s="25">
        <f>IF(J1097&gt;300,1,0)</f>
        <v/>
      </c>
      <c r="O1097" s="25">
        <f>IF(J1097&gt;600,1,0)</f>
        <v/>
      </c>
      <c r="P1097" s="25">
        <f>IF(H1097&gt;0,J1097,"")</f>
        <v/>
      </c>
      <c r="Q1097" s="25">
        <f>TEXT(A1097,"YYYY-MM-DD HH")</f>
        <v/>
      </c>
      <c r="R1097" s="25">
        <f>COUNTIF($Q$2:$Q$5295,Q1097)</f>
        <v/>
      </c>
      <c r="S1097" s="25">
        <f>IF(R1097&lt;=2,"1-2",IF(R1097&lt;=5,"3-5",IF(R1097&lt;=10,"6-10","11+")))</f>
        <v/>
      </c>
    </row>
    <row r="1098">
      <c r="A1098" s="39" t="n">
        <v>46164.1829050926</v>
      </c>
      <c r="B1098" s="25">
        <f>TEXT(A1098,"YYYY-MM")</f>
        <v/>
      </c>
      <c r="C1098" s="25">
        <f>TEXT(A1098,"MMM-YYYY")</f>
        <v/>
      </c>
      <c r="D1098" s="40">
        <f>INT(A1098)-WEEKDAY(A1098,2)+1</f>
        <v/>
      </c>
      <c r="E1098" s="25" t="inlineStr">
        <is>
          <t>sswati</t>
        </is>
      </c>
      <c r="F1098" s="25" t="n">
        <v>3879</v>
      </c>
      <c r="G1098" s="25" t="n">
        <v>1</v>
      </c>
      <c r="H1098" s="25" t="n">
        <v>5</v>
      </c>
      <c r="I1098" s="25" t="inlineStr">
        <is>
          <t>2 minute(s) and 15 second(s)</t>
        </is>
      </c>
      <c r="J1098" s="25">
        <f>IFERROR(VALUE(TRIM(LEFT(I1098,FIND("minute",I1098)-1)))*60,0)+IFERROR(VALUE(SUBSTITUTE(MID(I1098,IFERROR(FIND("and",I1098)+3,1),20),"second(s)","")),0)</f>
        <v/>
      </c>
      <c r="K1098" s="41">
        <f>J1098/60</f>
        <v/>
      </c>
      <c r="L1098" s="41">
        <f>IFERROR(J1098/H1098,"")</f>
        <v/>
      </c>
      <c r="M1098" s="25" t="inlineStr">
        <is>
          <t>2.5.12</t>
        </is>
      </c>
      <c r="N1098" s="25">
        <f>IF(J1098&gt;300,1,0)</f>
        <v/>
      </c>
      <c r="O1098" s="25">
        <f>IF(J1098&gt;600,1,0)</f>
        <v/>
      </c>
      <c r="P1098" s="25">
        <f>IF(H1098&gt;0,J1098,"")</f>
        <v/>
      </c>
      <c r="Q1098" s="25">
        <f>TEXT(A1098,"YYYY-MM-DD HH")</f>
        <v/>
      </c>
      <c r="R1098" s="25">
        <f>COUNTIF($Q$2:$Q$5295,Q1098)</f>
        <v/>
      </c>
      <c r="S1098" s="25">
        <f>IF(R1098&lt;=2,"1-2",IF(R1098&lt;=5,"3-5",IF(R1098&lt;=10,"6-10","11+")))</f>
        <v/>
      </c>
    </row>
    <row r="1099">
      <c r="A1099" s="39" t="n">
        <v>46164.18465277777</v>
      </c>
      <c r="B1099" s="25">
        <f>TEXT(A1099,"YYYY-MM")</f>
        <v/>
      </c>
      <c r="C1099" s="25">
        <f>TEXT(A1099,"MMM-YYYY")</f>
        <v/>
      </c>
      <c r="D1099" s="40">
        <f>INT(A1099)-WEEKDAY(A1099,2)+1</f>
        <v/>
      </c>
      <c r="E1099" s="25" t="inlineStr">
        <is>
          <t>ptomar</t>
        </is>
      </c>
      <c r="F1099" s="25" t="n">
        <v>3598</v>
      </c>
      <c r="G1099" s="25" t="n">
        <v>1</v>
      </c>
      <c r="H1099" s="25" t="n">
        <v>7</v>
      </c>
      <c r="I1099" s="25" t="inlineStr">
        <is>
          <t>54 second(s)</t>
        </is>
      </c>
      <c r="J1099" s="25">
        <f>IFERROR(VALUE(TRIM(LEFT(I1099,FIND("minute",I1099)-1)))*60,0)+IFERROR(VALUE(SUBSTITUTE(MID(I1099,IFERROR(FIND("and",I1099)+3,1),20),"second(s)","")),0)</f>
        <v/>
      </c>
      <c r="K1099" s="41">
        <f>J1099/60</f>
        <v/>
      </c>
      <c r="L1099" s="41">
        <f>IFERROR(J1099/H1099,"")</f>
        <v/>
      </c>
      <c r="M1099" s="25" t="inlineStr">
        <is>
          <t>2.5.12</t>
        </is>
      </c>
      <c r="N1099" s="25">
        <f>IF(J1099&gt;300,1,0)</f>
        <v/>
      </c>
      <c r="O1099" s="25">
        <f>IF(J1099&gt;600,1,0)</f>
        <v/>
      </c>
      <c r="P1099" s="25">
        <f>IF(H1099&gt;0,J1099,"")</f>
        <v/>
      </c>
      <c r="Q1099" s="25">
        <f>TEXT(A1099,"YYYY-MM-DD HH")</f>
        <v/>
      </c>
      <c r="R1099" s="25">
        <f>COUNTIF($Q$2:$Q$5295,Q1099)</f>
        <v/>
      </c>
      <c r="S1099" s="25">
        <f>IF(R1099&lt;=2,"1-2",IF(R1099&lt;=5,"3-5",IF(R1099&lt;=10,"6-10","11+")))</f>
        <v/>
      </c>
    </row>
    <row r="1100">
      <c r="A1100" s="39" t="n">
        <v>46164.18715277778</v>
      </c>
      <c r="B1100" s="25">
        <f>TEXT(A1100,"YYYY-MM")</f>
        <v/>
      </c>
      <c r="C1100" s="25">
        <f>TEXT(A1100,"MMM-YYYY")</f>
        <v/>
      </c>
      <c r="D1100" s="40">
        <f>INT(A1100)-WEEKDAY(A1100,2)+1</f>
        <v/>
      </c>
      <c r="E1100" s="25" t="inlineStr">
        <is>
          <t>stiwari</t>
        </is>
      </c>
      <c r="F1100" s="25" t="n">
        <v>3435</v>
      </c>
      <c r="G1100" s="25" t="n">
        <v>1</v>
      </c>
      <c r="H1100" s="25" t="n">
        <v>7</v>
      </c>
      <c r="I1100" s="25" t="inlineStr">
        <is>
          <t>2 minute(s) and 26 second(s)</t>
        </is>
      </c>
      <c r="J1100" s="25">
        <f>IFERROR(VALUE(TRIM(LEFT(I1100,FIND("minute",I1100)-1)))*60,0)+IFERROR(VALUE(SUBSTITUTE(MID(I1100,IFERROR(FIND("and",I1100)+3,1),20),"second(s)","")),0)</f>
        <v/>
      </c>
      <c r="K1100" s="41">
        <f>J1100/60</f>
        <v/>
      </c>
      <c r="L1100" s="41">
        <f>IFERROR(J1100/H1100,"")</f>
        <v/>
      </c>
      <c r="M1100" s="25" t="inlineStr">
        <is>
          <t>2.5.12</t>
        </is>
      </c>
      <c r="N1100" s="25">
        <f>IF(J1100&gt;300,1,0)</f>
        <v/>
      </c>
      <c r="O1100" s="25">
        <f>IF(J1100&gt;600,1,0)</f>
        <v/>
      </c>
      <c r="P1100" s="25">
        <f>IF(H1100&gt;0,J1100,"")</f>
        <v/>
      </c>
      <c r="Q1100" s="25">
        <f>TEXT(A1100,"YYYY-MM-DD HH")</f>
        <v/>
      </c>
      <c r="R1100" s="25">
        <f>COUNTIF($Q$2:$Q$5295,Q1100)</f>
        <v/>
      </c>
      <c r="S1100" s="25">
        <f>IF(R1100&lt;=2,"1-2",IF(R1100&lt;=5,"3-5",IF(R1100&lt;=10,"6-10","11+")))</f>
        <v/>
      </c>
    </row>
    <row r="1101">
      <c r="A1101" s="39" t="n">
        <v>46164.18868055556</v>
      </c>
      <c r="B1101" s="25">
        <f>TEXT(A1101,"YYYY-MM")</f>
        <v/>
      </c>
      <c r="C1101" s="25">
        <f>TEXT(A1101,"MMM-YYYY")</f>
        <v/>
      </c>
      <c r="D1101" s="40">
        <f>INT(A1101)-WEEKDAY(A1101,2)+1</f>
        <v/>
      </c>
      <c r="E1101" s="25" t="inlineStr">
        <is>
          <t>vraina</t>
        </is>
      </c>
      <c r="F1101" s="25" t="n">
        <v>3912</v>
      </c>
      <c r="G1101" s="25" t="n">
        <v>1</v>
      </c>
      <c r="H1101" s="25" t="n">
        <v>5</v>
      </c>
      <c r="I1101" s="25" t="inlineStr">
        <is>
          <t>2 minute(s) and 2 second(s)</t>
        </is>
      </c>
      <c r="J1101" s="25">
        <f>IFERROR(VALUE(TRIM(LEFT(I1101,FIND("minute",I1101)-1)))*60,0)+IFERROR(VALUE(SUBSTITUTE(MID(I1101,IFERROR(FIND("and",I1101)+3,1),20),"second(s)","")),0)</f>
        <v/>
      </c>
      <c r="K1101" s="41">
        <f>J1101/60</f>
        <v/>
      </c>
      <c r="L1101" s="41">
        <f>IFERROR(J1101/H1101,"")</f>
        <v/>
      </c>
      <c r="M1101" s="25" t="inlineStr">
        <is>
          <t>2.5.12</t>
        </is>
      </c>
      <c r="N1101" s="25">
        <f>IF(J1101&gt;300,1,0)</f>
        <v/>
      </c>
      <c r="O1101" s="25">
        <f>IF(J1101&gt;600,1,0)</f>
        <v/>
      </c>
      <c r="P1101" s="25">
        <f>IF(H1101&gt;0,J1101,"")</f>
        <v/>
      </c>
      <c r="Q1101" s="25">
        <f>TEXT(A1101,"YYYY-MM-DD HH")</f>
        <v/>
      </c>
      <c r="R1101" s="25">
        <f>COUNTIF($Q$2:$Q$5295,Q1101)</f>
        <v/>
      </c>
      <c r="S1101" s="25">
        <f>IF(R1101&lt;=2,"1-2",IF(R1101&lt;=5,"3-5",IF(R1101&lt;=10,"6-10","11+")))</f>
        <v/>
      </c>
    </row>
    <row r="1102">
      <c r="A1102" s="39" t="n">
        <v>46164.19578703704</v>
      </c>
      <c r="B1102" s="25">
        <f>TEXT(A1102,"YYYY-MM")</f>
        <v/>
      </c>
      <c r="C1102" s="25">
        <f>TEXT(A1102,"MMM-YYYY")</f>
        <v/>
      </c>
      <c r="D1102" s="40">
        <f>INT(A1102)-WEEKDAY(A1102,2)+1</f>
        <v/>
      </c>
      <c r="E1102" s="25" t="inlineStr">
        <is>
          <t>pmishra</t>
        </is>
      </c>
      <c r="F1102" s="25" t="n">
        <v>4207</v>
      </c>
      <c r="G1102" s="25" t="n">
        <v>1</v>
      </c>
      <c r="H1102" s="25" t="n">
        <v>7</v>
      </c>
      <c r="I1102" s="25" t="inlineStr">
        <is>
          <t>1 minute(s) and 37 second(s)</t>
        </is>
      </c>
      <c r="J1102" s="25">
        <f>IFERROR(VALUE(TRIM(LEFT(I1102,FIND("minute",I1102)-1)))*60,0)+IFERROR(VALUE(SUBSTITUTE(MID(I1102,IFERROR(FIND("and",I1102)+3,1),20),"second(s)","")),0)</f>
        <v/>
      </c>
      <c r="K1102" s="41">
        <f>J1102/60</f>
        <v/>
      </c>
      <c r="L1102" s="41">
        <f>IFERROR(J1102/H1102,"")</f>
        <v/>
      </c>
      <c r="M1102" s="25" t="inlineStr">
        <is>
          <t>2.5.12</t>
        </is>
      </c>
      <c r="N1102" s="25">
        <f>IF(J1102&gt;300,1,0)</f>
        <v/>
      </c>
      <c r="O1102" s="25">
        <f>IF(J1102&gt;600,1,0)</f>
        <v/>
      </c>
      <c r="P1102" s="25">
        <f>IF(H1102&gt;0,J1102,"")</f>
        <v/>
      </c>
      <c r="Q1102" s="25">
        <f>TEXT(A1102,"YYYY-MM-DD HH")</f>
        <v/>
      </c>
      <c r="R1102" s="25">
        <f>COUNTIF($Q$2:$Q$5295,Q1102)</f>
        <v/>
      </c>
      <c r="S1102" s="25">
        <f>IF(R1102&lt;=2,"1-2",IF(R1102&lt;=5,"3-5",IF(R1102&lt;=10,"6-10","11+")))</f>
        <v/>
      </c>
    </row>
    <row r="1103">
      <c r="A1103" s="39" t="n">
        <v>46164.19694444445</v>
      </c>
      <c r="B1103" s="25">
        <f>TEXT(A1103,"YYYY-MM")</f>
        <v/>
      </c>
      <c r="C1103" s="25">
        <f>TEXT(A1103,"MMM-YYYY")</f>
        <v/>
      </c>
      <c r="D1103" s="40">
        <f>INT(A1103)-WEEKDAY(A1103,2)+1</f>
        <v/>
      </c>
      <c r="E1103" s="25" t="inlineStr">
        <is>
          <t>npriya</t>
        </is>
      </c>
      <c r="F1103" s="25" t="n">
        <v>3231</v>
      </c>
      <c r="G1103" s="25" t="n">
        <v>1</v>
      </c>
      <c r="H1103" s="25" t="n">
        <v>5</v>
      </c>
      <c r="I1103" s="25" t="inlineStr">
        <is>
          <t>2 minute(s) and 18 second(s)</t>
        </is>
      </c>
      <c r="J1103" s="25">
        <f>IFERROR(VALUE(TRIM(LEFT(I1103,FIND("minute",I1103)-1)))*60,0)+IFERROR(VALUE(SUBSTITUTE(MID(I1103,IFERROR(FIND("and",I1103)+3,1),20),"second(s)","")),0)</f>
        <v/>
      </c>
      <c r="K1103" s="41">
        <f>J1103/60</f>
        <v/>
      </c>
      <c r="L1103" s="41">
        <f>IFERROR(J1103/H1103,"")</f>
        <v/>
      </c>
      <c r="M1103" s="25" t="inlineStr">
        <is>
          <t>2.5.12</t>
        </is>
      </c>
      <c r="N1103" s="25">
        <f>IF(J1103&gt;300,1,0)</f>
        <v/>
      </c>
      <c r="O1103" s="25">
        <f>IF(J1103&gt;600,1,0)</f>
        <v/>
      </c>
      <c r="P1103" s="25">
        <f>IF(H1103&gt;0,J1103,"")</f>
        <v/>
      </c>
      <c r="Q1103" s="25">
        <f>TEXT(A1103,"YYYY-MM-DD HH")</f>
        <v/>
      </c>
      <c r="R1103" s="25">
        <f>COUNTIF($Q$2:$Q$5295,Q1103)</f>
        <v/>
      </c>
      <c r="S1103" s="25">
        <f>IF(R1103&lt;=2,"1-2",IF(R1103&lt;=5,"3-5",IF(R1103&lt;=10,"6-10","11+")))</f>
        <v/>
      </c>
    </row>
    <row r="1104">
      <c r="A1104" s="39" t="n">
        <v>46164.19994212963</v>
      </c>
      <c r="B1104" s="25">
        <f>TEXT(A1104,"YYYY-MM")</f>
        <v/>
      </c>
      <c r="C1104" s="25">
        <f>TEXT(A1104,"MMM-YYYY")</f>
        <v/>
      </c>
      <c r="D1104" s="40">
        <f>INT(A1104)-WEEKDAY(A1104,2)+1</f>
        <v/>
      </c>
      <c r="E1104" s="25" t="inlineStr">
        <is>
          <t>sswati</t>
        </is>
      </c>
      <c r="F1104" s="25" t="n">
        <v>3880</v>
      </c>
      <c r="G1104" s="25" t="n">
        <v>1</v>
      </c>
      <c r="H1104" s="25" t="n">
        <v>7</v>
      </c>
      <c r="I1104" s="25" t="inlineStr">
        <is>
          <t>2 minute(s) and 54 second(s)</t>
        </is>
      </c>
      <c r="J1104" s="25">
        <f>IFERROR(VALUE(TRIM(LEFT(I1104,FIND("minute",I1104)-1)))*60,0)+IFERROR(VALUE(SUBSTITUTE(MID(I1104,IFERROR(FIND("and",I1104)+3,1),20),"second(s)","")),0)</f>
        <v/>
      </c>
      <c r="K1104" s="41">
        <f>J1104/60</f>
        <v/>
      </c>
      <c r="L1104" s="41">
        <f>IFERROR(J1104/H1104,"")</f>
        <v/>
      </c>
      <c r="M1104" s="25" t="inlineStr">
        <is>
          <t>2.5.12</t>
        </is>
      </c>
      <c r="N1104" s="25">
        <f>IF(J1104&gt;300,1,0)</f>
        <v/>
      </c>
      <c r="O1104" s="25">
        <f>IF(J1104&gt;600,1,0)</f>
        <v/>
      </c>
      <c r="P1104" s="25">
        <f>IF(H1104&gt;0,J1104,"")</f>
        <v/>
      </c>
      <c r="Q1104" s="25">
        <f>TEXT(A1104,"YYYY-MM-DD HH")</f>
        <v/>
      </c>
      <c r="R1104" s="25">
        <f>COUNTIF($Q$2:$Q$5295,Q1104)</f>
        <v/>
      </c>
      <c r="S1104" s="25">
        <f>IF(R1104&lt;=2,"1-2",IF(R1104&lt;=5,"3-5",IF(R1104&lt;=10,"6-10","11+")))</f>
        <v/>
      </c>
    </row>
    <row r="1105">
      <c r="A1105" s="39" t="n">
        <v>46164.20741898148</v>
      </c>
      <c r="B1105" s="25">
        <f>TEXT(A1105,"YYYY-MM")</f>
        <v/>
      </c>
      <c r="C1105" s="25">
        <f>TEXT(A1105,"MMM-YYYY")</f>
        <v/>
      </c>
      <c r="D1105" s="40">
        <f>INT(A1105)-WEEKDAY(A1105,2)+1</f>
        <v/>
      </c>
      <c r="E1105" s="25" t="inlineStr">
        <is>
          <t>rts</t>
        </is>
      </c>
      <c r="F1105" s="25" t="n">
        <v>89547</v>
      </c>
      <c r="G1105" s="25" t="n">
        <v>2</v>
      </c>
      <c r="H1105" s="25" t="n">
        <v>10</v>
      </c>
      <c r="I1105" s="25" t="inlineStr">
        <is>
          <t>3 minute(s) and 16 second(s)</t>
        </is>
      </c>
      <c r="J1105" s="25">
        <f>IFERROR(VALUE(TRIM(LEFT(I1105,FIND("minute",I1105)-1)))*60,0)+IFERROR(VALUE(SUBSTITUTE(MID(I1105,IFERROR(FIND("and",I1105)+3,1),20),"second(s)","")),0)</f>
        <v/>
      </c>
      <c r="K1105" s="41">
        <f>J1105/60</f>
        <v/>
      </c>
      <c r="L1105" s="41">
        <f>IFERROR(J1105/H1105,"")</f>
        <v/>
      </c>
      <c r="M1105" s="25" t="inlineStr">
        <is>
          <t>2.5.12</t>
        </is>
      </c>
      <c r="N1105" s="25">
        <f>IF(J1105&gt;300,1,0)</f>
        <v/>
      </c>
      <c r="O1105" s="25">
        <f>IF(J1105&gt;600,1,0)</f>
        <v/>
      </c>
      <c r="P1105" s="25">
        <f>IF(H1105&gt;0,J1105,"")</f>
        <v/>
      </c>
      <c r="Q1105" s="25">
        <f>TEXT(A1105,"YYYY-MM-DD HH")</f>
        <v/>
      </c>
      <c r="R1105" s="25">
        <f>COUNTIF($Q$2:$Q$5295,Q1105)</f>
        <v/>
      </c>
      <c r="S1105" s="25">
        <f>IF(R1105&lt;=2,"1-2",IF(R1105&lt;=5,"3-5",IF(R1105&lt;=10,"6-10","11+")))</f>
        <v/>
      </c>
    </row>
    <row r="1106">
      <c r="A1106" s="39" t="n">
        <v>46164.20783564815</v>
      </c>
      <c r="B1106" s="25">
        <f>TEXT(A1106,"YYYY-MM")</f>
        <v/>
      </c>
      <c r="C1106" s="25">
        <f>TEXT(A1106,"MMM-YYYY")</f>
        <v/>
      </c>
      <c r="D1106" s="40">
        <f>INT(A1106)-WEEKDAY(A1106,2)+1</f>
        <v/>
      </c>
      <c r="E1106" s="25" t="inlineStr">
        <is>
          <t>psathwika</t>
        </is>
      </c>
      <c r="F1106" s="25" t="n">
        <v>41065</v>
      </c>
      <c r="G1106" s="25" t="n">
        <v>1</v>
      </c>
      <c r="H1106" s="25" t="n">
        <v>7</v>
      </c>
      <c r="I1106" s="25" t="inlineStr">
        <is>
          <t>2 minute(s) and 5 second(s)</t>
        </is>
      </c>
      <c r="J1106" s="25">
        <f>IFERROR(VALUE(TRIM(LEFT(I1106,FIND("minute",I1106)-1)))*60,0)+IFERROR(VALUE(SUBSTITUTE(MID(I1106,IFERROR(FIND("and",I1106)+3,1),20),"second(s)","")),0)</f>
        <v/>
      </c>
      <c r="K1106" s="41">
        <f>J1106/60</f>
        <v/>
      </c>
      <c r="L1106" s="41">
        <f>IFERROR(J1106/H1106,"")</f>
        <v/>
      </c>
      <c r="M1106" s="25" t="inlineStr">
        <is>
          <t>2.5.12</t>
        </is>
      </c>
      <c r="N1106" s="25">
        <f>IF(J1106&gt;300,1,0)</f>
        <v/>
      </c>
      <c r="O1106" s="25">
        <f>IF(J1106&gt;600,1,0)</f>
        <v/>
      </c>
      <c r="P1106" s="25">
        <f>IF(H1106&gt;0,J1106,"")</f>
        <v/>
      </c>
      <c r="Q1106" s="25">
        <f>TEXT(A1106,"YYYY-MM-DD HH")</f>
        <v/>
      </c>
      <c r="R1106" s="25">
        <f>COUNTIF($Q$2:$Q$5295,Q1106)</f>
        <v/>
      </c>
      <c r="S1106" s="25">
        <f>IF(R1106&lt;=2,"1-2",IF(R1106&lt;=5,"3-5",IF(R1106&lt;=10,"6-10","11+")))</f>
        <v/>
      </c>
    </row>
    <row r="1107">
      <c r="A1107" s="39" t="n">
        <v>46164.20871527777</v>
      </c>
      <c r="B1107" s="25">
        <f>TEXT(A1107,"YYYY-MM")</f>
        <v/>
      </c>
      <c r="C1107" s="25">
        <f>TEXT(A1107,"MMM-YYYY")</f>
        <v/>
      </c>
      <c r="D1107" s="40">
        <f>INT(A1107)-WEEKDAY(A1107,2)+1</f>
        <v/>
      </c>
      <c r="E1107" s="25" t="inlineStr">
        <is>
          <t>mbhalla</t>
        </is>
      </c>
      <c r="F1107" s="25" t="n">
        <v>3790</v>
      </c>
      <c r="G1107" s="25" t="n">
        <v>1</v>
      </c>
      <c r="H1107" s="25" t="n">
        <v>7</v>
      </c>
      <c r="I1107" s="25" t="inlineStr">
        <is>
          <t>2 minute(s) and 51 second(s)</t>
        </is>
      </c>
      <c r="J1107" s="25">
        <f>IFERROR(VALUE(TRIM(LEFT(I1107,FIND("minute",I1107)-1)))*60,0)+IFERROR(VALUE(SUBSTITUTE(MID(I1107,IFERROR(FIND("and",I1107)+3,1),20),"second(s)","")),0)</f>
        <v/>
      </c>
      <c r="K1107" s="41">
        <f>J1107/60</f>
        <v/>
      </c>
      <c r="L1107" s="41">
        <f>IFERROR(J1107/H1107,"")</f>
        <v/>
      </c>
      <c r="M1107" s="25" t="inlineStr">
        <is>
          <t>2.5.12</t>
        </is>
      </c>
      <c r="N1107" s="25">
        <f>IF(J1107&gt;300,1,0)</f>
        <v/>
      </c>
      <c r="O1107" s="25">
        <f>IF(J1107&gt;600,1,0)</f>
        <v/>
      </c>
      <c r="P1107" s="25">
        <f>IF(H1107&gt;0,J1107,"")</f>
        <v/>
      </c>
      <c r="Q1107" s="25">
        <f>TEXT(A1107,"YYYY-MM-DD HH")</f>
        <v/>
      </c>
      <c r="R1107" s="25">
        <f>COUNTIF($Q$2:$Q$5295,Q1107)</f>
        <v/>
      </c>
      <c r="S1107" s="25">
        <f>IF(R1107&lt;=2,"1-2",IF(R1107&lt;=5,"3-5",IF(R1107&lt;=10,"6-10","11+")))</f>
        <v/>
      </c>
    </row>
    <row r="1108">
      <c r="A1108" s="39" t="n">
        <v>46164.20958333334</v>
      </c>
      <c r="B1108" s="25">
        <f>TEXT(A1108,"YYYY-MM")</f>
        <v/>
      </c>
      <c r="C1108" s="25">
        <f>TEXT(A1108,"MMM-YYYY")</f>
        <v/>
      </c>
      <c r="D1108" s="40">
        <f>INT(A1108)-WEEKDAY(A1108,2)+1</f>
        <v/>
      </c>
      <c r="E1108" s="25" t="inlineStr">
        <is>
          <t>stiwari</t>
        </is>
      </c>
      <c r="F1108" s="25" t="n">
        <v>3436</v>
      </c>
      <c r="G1108" s="25" t="n">
        <v>1</v>
      </c>
      <c r="H1108" s="25" t="n">
        <v>7</v>
      </c>
      <c r="I1108" s="25" t="inlineStr">
        <is>
          <t>2 minute(s) and 26 second(s)</t>
        </is>
      </c>
      <c r="J1108" s="25">
        <f>IFERROR(VALUE(TRIM(LEFT(I1108,FIND("minute",I1108)-1)))*60,0)+IFERROR(VALUE(SUBSTITUTE(MID(I1108,IFERROR(FIND("and",I1108)+3,1),20),"second(s)","")),0)</f>
        <v/>
      </c>
      <c r="K1108" s="41">
        <f>J1108/60</f>
        <v/>
      </c>
      <c r="L1108" s="41">
        <f>IFERROR(J1108/H1108,"")</f>
        <v/>
      </c>
      <c r="M1108" s="25" t="inlineStr">
        <is>
          <t>2.5.12</t>
        </is>
      </c>
      <c r="N1108" s="25">
        <f>IF(J1108&gt;300,1,0)</f>
        <v/>
      </c>
      <c r="O1108" s="25">
        <f>IF(J1108&gt;600,1,0)</f>
        <v/>
      </c>
      <c r="P1108" s="25">
        <f>IF(H1108&gt;0,J1108,"")</f>
        <v/>
      </c>
      <c r="Q1108" s="25">
        <f>TEXT(A1108,"YYYY-MM-DD HH")</f>
        <v/>
      </c>
      <c r="R1108" s="25">
        <f>COUNTIF($Q$2:$Q$5295,Q1108)</f>
        <v/>
      </c>
      <c r="S1108" s="25">
        <f>IF(R1108&lt;=2,"1-2",IF(R1108&lt;=5,"3-5",IF(R1108&lt;=10,"6-10","11+")))</f>
        <v/>
      </c>
    </row>
    <row r="1109">
      <c r="A1109" s="39" t="n">
        <v>46164.21193287037</v>
      </c>
      <c r="B1109" s="25">
        <f>TEXT(A1109,"YYYY-MM")</f>
        <v/>
      </c>
      <c r="C1109" s="25">
        <f>TEXT(A1109,"MMM-YYYY")</f>
        <v/>
      </c>
      <c r="D1109" s="40">
        <f>INT(A1109)-WEEKDAY(A1109,2)+1</f>
        <v/>
      </c>
      <c r="E1109" s="25" t="inlineStr">
        <is>
          <t>atiwari</t>
        </is>
      </c>
      <c r="F1109" s="25" t="n">
        <v>85337</v>
      </c>
      <c r="G1109" s="25" t="n">
        <v>3</v>
      </c>
      <c r="H1109" s="25" t="n">
        <v>17</v>
      </c>
      <c r="I1109" s="25" t="inlineStr">
        <is>
          <t>4 minute(s) and 24 second(s)</t>
        </is>
      </c>
      <c r="J1109" s="25">
        <f>IFERROR(VALUE(TRIM(LEFT(I1109,FIND("minute",I1109)-1)))*60,0)+IFERROR(VALUE(SUBSTITUTE(MID(I1109,IFERROR(FIND("and",I1109)+3,1),20),"second(s)","")),0)</f>
        <v/>
      </c>
      <c r="K1109" s="41">
        <f>J1109/60</f>
        <v/>
      </c>
      <c r="L1109" s="41">
        <f>IFERROR(J1109/H1109,"")</f>
        <v/>
      </c>
      <c r="M1109" s="25" t="inlineStr">
        <is>
          <t>2.5.12</t>
        </is>
      </c>
      <c r="N1109" s="25">
        <f>IF(J1109&gt;300,1,0)</f>
        <v/>
      </c>
      <c r="O1109" s="25">
        <f>IF(J1109&gt;600,1,0)</f>
        <v/>
      </c>
      <c r="P1109" s="25">
        <f>IF(H1109&gt;0,J1109,"")</f>
        <v/>
      </c>
      <c r="Q1109" s="25">
        <f>TEXT(A1109,"YYYY-MM-DD HH")</f>
        <v/>
      </c>
      <c r="R1109" s="25">
        <f>COUNTIF($Q$2:$Q$5295,Q1109)</f>
        <v/>
      </c>
      <c r="S1109" s="25">
        <f>IF(R1109&lt;=2,"1-2",IF(R1109&lt;=5,"3-5",IF(R1109&lt;=10,"6-10","11+")))</f>
        <v/>
      </c>
    </row>
    <row r="1110">
      <c r="A1110" s="39" t="n">
        <v>46164.2228125</v>
      </c>
      <c r="B1110" s="25">
        <f>TEXT(A1110,"YYYY-MM")</f>
        <v/>
      </c>
      <c r="C1110" s="25">
        <f>TEXT(A1110,"MMM-YYYY")</f>
        <v/>
      </c>
      <c r="D1110" s="40">
        <f>INT(A1110)-WEEKDAY(A1110,2)+1</f>
        <v/>
      </c>
      <c r="E1110" s="25" t="inlineStr">
        <is>
          <t>sdey</t>
        </is>
      </c>
      <c r="F1110" s="25" t="n">
        <v>4252</v>
      </c>
      <c r="G1110" s="25" t="n">
        <v>1</v>
      </c>
      <c r="H1110" s="25" t="n">
        <v>5</v>
      </c>
      <c r="I1110" s="25" t="inlineStr">
        <is>
          <t>1 minute(s) and 26 second(s)</t>
        </is>
      </c>
      <c r="J1110" s="25">
        <f>IFERROR(VALUE(TRIM(LEFT(I1110,FIND("minute",I1110)-1)))*60,0)+IFERROR(VALUE(SUBSTITUTE(MID(I1110,IFERROR(FIND("and",I1110)+3,1),20),"second(s)","")),0)</f>
        <v/>
      </c>
      <c r="K1110" s="41">
        <f>J1110/60</f>
        <v/>
      </c>
      <c r="L1110" s="41">
        <f>IFERROR(J1110/H1110,"")</f>
        <v/>
      </c>
      <c r="M1110" s="25" t="inlineStr">
        <is>
          <t>2.5.12</t>
        </is>
      </c>
      <c r="N1110" s="25">
        <f>IF(J1110&gt;300,1,0)</f>
        <v/>
      </c>
      <c r="O1110" s="25">
        <f>IF(J1110&gt;600,1,0)</f>
        <v/>
      </c>
      <c r="P1110" s="25">
        <f>IF(H1110&gt;0,J1110,"")</f>
        <v/>
      </c>
      <c r="Q1110" s="25">
        <f>TEXT(A1110,"YYYY-MM-DD HH")</f>
        <v/>
      </c>
      <c r="R1110" s="25">
        <f>COUNTIF($Q$2:$Q$5295,Q1110)</f>
        <v/>
      </c>
      <c r="S1110" s="25">
        <f>IF(R1110&lt;=2,"1-2",IF(R1110&lt;=5,"3-5",IF(R1110&lt;=10,"6-10","11+")))</f>
        <v/>
      </c>
    </row>
    <row r="1111">
      <c r="A1111" s="39" t="n">
        <v>46164.23055555556</v>
      </c>
      <c r="B1111" s="25">
        <f>TEXT(A1111,"YYYY-MM")</f>
        <v/>
      </c>
      <c r="C1111" s="25">
        <f>TEXT(A1111,"MMM-YYYY")</f>
        <v/>
      </c>
      <c r="D1111" s="40">
        <f>INT(A1111)-WEEKDAY(A1111,2)+1</f>
        <v/>
      </c>
      <c r="E1111" s="25" t="inlineStr">
        <is>
          <t>nlnu</t>
        </is>
      </c>
      <c r="F1111" s="25" t="n">
        <v>3550</v>
      </c>
      <c r="G1111" s="25" t="n">
        <v>1</v>
      </c>
      <c r="H1111" s="25" t="n">
        <v>5</v>
      </c>
      <c r="I1111" s="25" t="inlineStr">
        <is>
          <t>2 minute(s) and 33 second(s)</t>
        </is>
      </c>
      <c r="J1111" s="25">
        <f>IFERROR(VALUE(TRIM(LEFT(I1111,FIND("minute",I1111)-1)))*60,0)+IFERROR(VALUE(SUBSTITUTE(MID(I1111,IFERROR(FIND("and",I1111)+3,1),20),"second(s)","")),0)</f>
        <v/>
      </c>
      <c r="K1111" s="41">
        <f>J1111/60</f>
        <v/>
      </c>
      <c r="L1111" s="41">
        <f>IFERROR(J1111/H1111,"")</f>
        <v/>
      </c>
      <c r="M1111" s="25" t="inlineStr">
        <is>
          <t>2.5.12</t>
        </is>
      </c>
      <c r="N1111" s="25">
        <f>IF(J1111&gt;300,1,0)</f>
        <v/>
      </c>
      <c r="O1111" s="25">
        <f>IF(J1111&gt;600,1,0)</f>
        <v/>
      </c>
      <c r="P1111" s="25">
        <f>IF(H1111&gt;0,J1111,"")</f>
        <v/>
      </c>
      <c r="Q1111" s="25">
        <f>TEXT(A1111,"YYYY-MM-DD HH")</f>
        <v/>
      </c>
      <c r="R1111" s="25">
        <f>COUNTIF($Q$2:$Q$5295,Q1111)</f>
        <v/>
      </c>
      <c r="S1111" s="25">
        <f>IF(R1111&lt;=2,"1-2",IF(R1111&lt;=5,"3-5",IF(R1111&lt;=10,"6-10","11+")))</f>
        <v/>
      </c>
    </row>
    <row r="1112">
      <c r="A1112" s="39" t="n">
        <v>46164.23207175926</v>
      </c>
      <c r="B1112" s="25">
        <f>TEXT(A1112,"YYYY-MM")</f>
        <v/>
      </c>
      <c r="C1112" s="25">
        <f>TEXT(A1112,"MMM-YYYY")</f>
        <v/>
      </c>
      <c r="D1112" s="40">
        <f>INT(A1112)-WEEKDAY(A1112,2)+1</f>
        <v/>
      </c>
      <c r="E1112" s="25" t="inlineStr">
        <is>
          <t>akumari</t>
        </is>
      </c>
      <c r="F1112" s="25" t="n">
        <v>3183</v>
      </c>
      <c r="G1112" s="25" t="n">
        <v>1</v>
      </c>
      <c r="H1112" s="25" t="n">
        <v>7</v>
      </c>
      <c r="I1112" s="25" t="inlineStr">
        <is>
          <t>2 minute(s) and 31 second(s)</t>
        </is>
      </c>
      <c r="J1112" s="25">
        <f>IFERROR(VALUE(TRIM(LEFT(I1112,FIND("minute",I1112)-1)))*60,0)+IFERROR(VALUE(SUBSTITUTE(MID(I1112,IFERROR(FIND("and",I1112)+3,1),20),"second(s)","")),0)</f>
        <v/>
      </c>
      <c r="K1112" s="41">
        <f>J1112/60</f>
        <v/>
      </c>
      <c r="L1112" s="41">
        <f>IFERROR(J1112/H1112,"")</f>
        <v/>
      </c>
      <c r="M1112" s="25" t="inlineStr">
        <is>
          <t>2.5.12</t>
        </is>
      </c>
      <c r="N1112" s="25">
        <f>IF(J1112&gt;300,1,0)</f>
        <v/>
      </c>
      <c r="O1112" s="25">
        <f>IF(J1112&gt;600,1,0)</f>
        <v/>
      </c>
      <c r="P1112" s="25">
        <f>IF(H1112&gt;0,J1112,"")</f>
        <v/>
      </c>
      <c r="Q1112" s="25">
        <f>TEXT(A1112,"YYYY-MM-DD HH")</f>
        <v/>
      </c>
      <c r="R1112" s="25">
        <f>COUNTIF($Q$2:$Q$5295,Q1112)</f>
        <v/>
      </c>
      <c r="S1112" s="25">
        <f>IF(R1112&lt;=2,"1-2",IF(R1112&lt;=5,"3-5",IF(R1112&lt;=10,"6-10","11+")))</f>
        <v/>
      </c>
    </row>
    <row r="1113">
      <c r="A1113" s="39" t="n">
        <v>46164.23240740741</v>
      </c>
      <c r="B1113" s="25">
        <f>TEXT(A1113,"YYYY-MM")</f>
        <v/>
      </c>
      <c r="C1113" s="25">
        <f>TEXT(A1113,"MMM-YYYY")</f>
        <v/>
      </c>
      <c r="D1113" s="40">
        <f>INT(A1113)-WEEKDAY(A1113,2)+1</f>
        <v/>
      </c>
      <c r="E1113" s="25" t="inlineStr">
        <is>
          <t>stiwari</t>
        </is>
      </c>
      <c r="F1113" s="25" t="n">
        <v>3437</v>
      </c>
      <c r="G1113" s="25" t="n">
        <v>5</v>
      </c>
      <c r="H1113" s="25" t="n">
        <v>19</v>
      </c>
      <c r="I1113" s="25" t="inlineStr">
        <is>
          <t>3 minute(s) and 30 second(s)</t>
        </is>
      </c>
      <c r="J1113" s="25">
        <f>IFERROR(VALUE(TRIM(LEFT(I1113,FIND("minute",I1113)-1)))*60,0)+IFERROR(VALUE(SUBSTITUTE(MID(I1113,IFERROR(FIND("and",I1113)+3,1),20),"second(s)","")),0)</f>
        <v/>
      </c>
      <c r="K1113" s="41">
        <f>J1113/60</f>
        <v/>
      </c>
      <c r="L1113" s="41">
        <f>IFERROR(J1113/H1113,"")</f>
        <v/>
      </c>
      <c r="M1113" s="25" t="inlineStr">
        <is>
          <t>2.5.12</t>
        </is>
      </c>
      <c r="N1113" s="25">
        <f>IF(J1113&gt;300,1,0)</f>
        <v/>
      </c>
      <c r="O1113" s="25">
        <f>IF(J1113&gt;600,1,0)</f>
        <v/>
      </c>
      <c r="P1113" s="25">
        <f>IF(H1113&gt;0,J1113,"")</f>
        <v/>
      </c>
      <c r="Q1113" s="25">
        <f>TEXT(A1113,"YYYY-MM-DD HH")</f>
        <v/>
      </c>
      <c r="R1113" s="25">
        <f>COUNTIF($Q$2:$Q$5295,Q1113)</f>
        <v/>
      </c>
      <c r="S1113" s="25">
        <f>IF(R1113&lt;=2,"1-2",IF(R1113&lt;=5,"3-5",IF(R1113&lt;=10,"6-10","11+")))</f>
        <v/>
      </c>
    </row>
    <row r="1114">
      <c r="A1114" s="39" t="n">
        <v>46164.23532407408</v>
      </c>
      <c r="B1114" s="25">
        <f>TEXT(A1114,"YYYY-MM")</f>
        <v/>
      </c>
      <c r="C1114" s="25">
        <f>TEXT(A1114,"MMM-YYYY")</f>
        <v/>
      </c>
      <c r="D1114" s="40">
        <f>INT(A1114)-WEEKDAY(A1114,2)+1</f>
        <v/>
      </c>
      <c r="E1114" s="25" t="inlineStr">
        <is>
          <t>abhaskarkp</t>
        </is>
      </c>
      <c r="F1114" s="25" t="n">
        <v>107625</v>
      </c>
      <c r="G1114" s="25" t="n">
        <v>3</v>
      </c>
      <c r="H1114" s="25" t="n">
        <v>13</v>
      </c>
      <c r="I1114" s="25" t="inlineStr">
        <is>
          <t>3 minute(s) and 34 second(s)</t>
        </is>
      </c>
      <c r="J1114" s="25">
        <f>IFERROR(VALUE(TRIM(LEFT(I1114,FIND("minute",I1114)-1)))*60,0)+IFERROR(VALUE(SUBSTITUTE(MID(I1114,IFERROR(FIND("and",I1114)+3,1),20),"second(s)","")),0)</f>
        <v/>
      </c>
      <c r="K1114" s="41">
        <f>J1114/60</f>
        <v/>
      </c>
      <c r="L1114" s="41">
        <f>IFERROR(J1114/H1114,"")</f>
        <v/>
      </c>
      <c r="M1114" s="25" t="inlineStr">
        <is>
          <t>2.5.12</t>
        </is>
      </c>
      <c r="N1114" s="25">
        <f>IF(J1114&gt;300,1,0)</f>
        <v/>
      </c>
      <c r="O1114" s="25">
        <f>IF(J1114&gt;600,1,0)</f>
        <v/>
      </c>
      <c r="P1114" s="25">
        <f>IF(H1114&gt;0,J1114,"")</f>
        <v/>
      </c>
      <c r="Q1114" s="25">
        <f>TEXT(A1114,"YYYY-MM-DD HH")</f>
        <v/>
      </c>
      <c r="R1114" s="25">
        <f>COUNTIF($Q$2:$Q$5295,Q1114)</f>
        <v/>
      </c>
      <c r="S1114" s="25">
        <f>IF(R1114&lt;=2,"1-2",IF(R1114&lt;=5,"3-5",IF(R1114&lt;=10,"6-10","11+")))</f>
        <v/>
      </c>
    </row>
    <row r="1115">
      <c r="A1115" s="39" t="n">
        <v>46164.23568287037</v>
      </c>
      <c r="B1115" s="25">
        <f>TEXT(A1115,"YYYY-MM")</f>
        <v/>
      </c>
      <c r="C1115" s="25">
        <f>TEXT(A1115,"MMM-YYYY")</f>
        <v/>
      </c>
      <c r="D1115" s="40">
        <f>INT(A1115)-WEEKDAY(A1115,2)+1</f>
        <v/>
      </c>
      <c r="E1115" s="25" t="inlineStr">
        <is>
          <t>asaxena</t>
        </is>
      </c>
      <c r="F1115" s="25" t="n">
        <v>89833</v>
      </c>
      <c r="G1115" s="25" t="n">
        <v>6</v>
      </c>
      <c r="H1115" s="25" t="n">
        <v>37</v>
      </c>
      <c r="I1115" s="25" t="inlineStr">
        <is>
          <t>7 minute(s) and 26 second(s)</t>
        </is>
      </c>
      <c r="J1115" s="25">
        <f>IFERROR(VALUE(TRIM(LEFT(I1115,FIND("minute",I1115)-1)))*60,0)+IFERROR(VALUE(SUBSTITUTE(MID(I1115,IFERROR(FIND("and",I1115)+3,1),20),"second(s)","")),0)</f>
        <v/>
      </c>
      <c r="K1115" s="41">
        <f>J1115/60</f>
        <v/>
      </c>
      <c r="L1115" s="41">
        <f>IFERROR(J1115/H1115,"")</f>
        <v/>
      </c>
      <c r="M1115" s="25" t="inlineStr">
        <is>
          <t>2.5.12</t>
        </is>
      </c>
      <c r="N1115" s="25">
        <f>IF(J1115&gt;300,1,0)</f>
        <v/>
      </c>
      <c r="O1115" s="25">
        <f>IF(J1115&gt;600,1,0)</f>
        <v/>
      </c>
      <c r="P1115" s="25">
        <f>IF(H1115&gt;0,J1115,"")</f>
        <v/>
      </c>
      <c r="Q1115" s="25">
        <f>TEXT(A1115,"YYYY-MM-DD HH")</f>
        <v/>
      </c>
      <c r="R1115" s="25">
        <f>COUNTIF($Q$2:$Q$5295,Q1115)</f>
        <v/>
      </c>
      <c r="S1115" s="25">
        <f>IF(R1115&lt;=2,"1-2",IF(R1115&lt;=5,"3-5",IF(R1115&lt;=10,"6-10","11+")))</f>
        <v/>
      </c>
    </row>
    <row r="1116">
      <c r="A1116" s="39" t="n">
        <v>46164.23578703704</v>
      </c>
      <c r="B1116" s="25">
        <f>TEXT(A1116,"YYYY-MM")</f>
        <v/>
      </c>
      <c r="C1116" s="25">
        <f>TEXT(A1116,"MMM-YYYY")</f>
        <v/>
      </c>
      <c r="D1116" s="40">
        <f>INT(A1116)-WEEKDAY(A1116,2)+1</f>
        <v/>
      </c>
      <c r="E1116" s="25" t="inlineStr">
        <is>
          <t>pmishra</t>
        </is>
      </c>
      <c r="F1116" s="25" t="n">
        <v>4210</v>
      </c>
      <c r="G1116" s="25" t="n">
        <v>1</v>
      </c>
      <c r="H1116" s="25" t="n">
        <v>5</v>
      </c>
      <c r="I1116" s="25" t="inlineStr">
        <is>
          <t>1 minute(s) and 24 second(s)</t>
        </is>
      </c>
      <c r="J1116" s="25">
        <f>IFERROR(VALUE(TRIM(LEFT(I1116,FIND("minute",I1116)-1)))*60,0)+IFERROR(VALUE(SUBSTITUTE(MID(I1116,IFERROR(FIND("and",I1116)+3,1),20),"second(s)","")),0)</f>
        <v/>
      </c>
      <c r="K1116" s="41">
        <f>J1116/60</f>
        <v/>
      </c>
      <c r="L1116" s="41">
        <f>IFERROR(J1116/H1116,"")</f>
        <v/>
      </c>
      <c r="M1116" s="25" t="inlineStr">
        <is>
          <t>2.5.12</t>
        </is>
      </c>
      <c r="N1116" s="25">
        <f>IF(J1116&gt;300,1,0)</f>
        <v/>
      </c>
      <c r="O1116" s="25">
        <f>IF(J1116&gt;600,1,0)</f>
        <v/>
      </c>
      <c r="P1116" s="25">
        <f>IF(H1116&gt;0,J1116,"")</f>
        <v/>
      </c>
      <c r="Q1116" s="25">
        <f>TEXT(A1116,"YYYY-MM-DD HH")</f>
        <v/>
      </c>
      <c r="R1116" s="25">
        <f>COUNTIF($Q$2:$Q$5295,Q1116)</f>
        <v/>
      </c>
      <c r="S1116" s="25">
        <f>IF(R1116&lt;=2,"1-2",IF(R1116&lt;=5,"3-5",IF(R1116&lt;=10,"6-10","11+")))</f>
        <v/>
      </c>
    </row>
    <row r="1117">
      <c r="A1117" s="39" t="n">
        <v>46164.23642361111</v>
      </c>
      <c r="B1117" s="25">
        <f>TEXT(A1117,"YYYY-MM")</f>
        <v/>
      </c>
      <c r="C1117" s="25">
        <f>TEXT(A1117,"MMM-YYYY")</f>
        <v/>
      </c>
      <c r="D1117" s="40">
        <f>INT(A1117)-WEEKDAY(A1117,2)+1</f>
        <v/>
      </c>
      <c r="E1117" s="25" t="inlineStr">
        <is>
          <t>arsarkar</t>
        </is>
      </c>
      <c r="F1117" s="25" t="n">
        <v>3354</v>
      </c>
      <c r="G1117" s="25" t="n">
        <v>1</v>
      </c>
      <c r="H1117" s="25" t="n">
        <v>7</v>
      </c>
      <c r="I1117" s="25" t="inlineStr">
        <is>
          <t>1 minute(s) and 53 second(s)</t>
        </is>
      </c>
      <c r="J1117" s="25">
        <f>IFERROR(VALUE(TRIM(LEFT(I1117,FIND("minute",I1117)-1)))*60,0)+IFERROR(VALUE(SUBSTITUTE(MID(I1117,IFERROR(FIND("and",I1117)+3,1),20),"second(s)","")),0)</f>
        <v/>
      </c>
      <c r="K1117" s="41">
        <f>J1117/60</f>
        <v/>
      </c>
      <c r="L1117" s="41">
        <f>IFERROR(J1117/H1117,"")</f>
        <v/>
      </c>
      <c r="M1117" s="25" t="inlineStr">
        <is>
          <t>2.5.12</t>
        </is>
      </c>
      <c r="N1117" s="25">
        <f>IF(J1117&gt;300,1,0)</f>
        <v/>
      </c>
      <c r="O1117" s="25">
        <f>IF(J1117&gt;600,1,0)</f>
        <v/>
      </c>
      <c r="P1117" s="25">
        <f>IF(H1117&gt;0,J1117,"")</f>
        <v/>
      </c>
      <c r="Q1117" s="25">
        <f>TEXT(A1117,"YYYY-MM-DD HH")</f>
        <v/>
      </c>
      <c r="R1117" s="25">
        <f>COUNTIF($Q$2:$Q$5295,Q1117)</f>
        <v/>
      </c>
      <c r="S1117" s="25">
        <f>IF(R1117&lt;=2,"1-2",IF(R1117&lt;=5,"3-5",IF(R1117&lt;=10,"6-10","11+")))</f>
        <v/>
      </c>
    </row>
    <row r="1118">
      <c r="A1118" s="39" t="n">
        <v>46164.24850694444</v>
      </c>
      <c r="B1118" s="25">
        <f>TEXT(A1118,"YYYY-MM")</f>
        <v/>
      </c>
      <c r="C1118" s="25">
        <f>TEXT(A1118,"MMM-YYYY")</f>
        <v/>
      </c>
      <c r="D1118" s="40">
        <f>INT(A1118)-WEEKDAY(A1118,2)+1</f>
        <v/>
      </c>
      <c r="E1118" s="25" t="inlineStr">
        <is>
          <t>nlnu</t>
        </is>
      </c>
      <c r="F1118" s="25" t="n">
        <v>3552</v>
      </c>
      <c r="G1118" s="25" t="n">
        <v>1</v>
      </c>
      <c r="H1118" s="25" t="n">
        <v>7</v>
      </c>
      <c r="I1118" s="25" t="inlineStr">
        <is>
          <t>1 minute(s) and 30 second(s)</t>
        </is>
      </c>
      <c r="J1118" s="25">
        <f>IFERROR(VALUE(TRIM(LEFT(I1118,FIND("minute",I1118)-1)))*60,0)+IFERROR(VALUE(SUBSTITUTE(MID(I1118,IFERROR(FIND("and",I1118)+3,1),20),"second(s)","")),0)</f>
        <v/>
      </c>
      <c r="K1118" s="41">
        <f>J1118/60</f>
        <v/>
      </c>
      <c r="L1118" s="41">
        <f>IFERROR(J1118/H1118,"")</f>
        <v/>
      </c>
      <c r="M1118" s="25" t="inlineStr">
        <is>
          <t>2.5.12</t>
        </is>
      </c>
      <c r="N1118" s="25">
        <f>IF(J1118&gt;300,1,0)</f>
        <v/>
      </c>
      <c r="O1118" s="25">
        <f>IF(J1118&gt;600,1,0)</f>
        <v/>
      </c>
      <c r="P1118" s="25">
        <f>IF(H1118&gt;0,J1118,"")</f>
        <v/>
      </c>
      <c r="Q1118" s="25">
        <f>TEXT(A1118,"YYYY-MM-DD HH")</f>
        <v/>
      </c>
      <c r="R1118" s="25">
        <f>COUNTIF($Q$2:$Q$5295,Q1118)</f>
        <v/>
      </c>
      <c r="S1118" s="25">
        <f>IF(R1118&lt;=2,"1-2",IF(R1118&lt;=5,"3-5",IF(R1118&lt;=10,"6-10","11+")))</f>
        <v/>
      </c>
    </row>
    <row r="1119">
      <c r="A1119" s="39" t="n">
        <v>46164.25181712963</v>
      </c>
      <c r="B1119" s="25">
        <f>TEXT(A1119,"YYYY-MM")</f>
        <v/>
      </c>
      <c r="C1119" s="25">
        <f>TEXT(A1119,"MMM-YYYY")</f>
        <v/>
      </c>
      <c r="D1119" s="40">
        <f>INT(A1119)-WEEKDAY(A1119,2)+1</f>
        <v/>
      </c>
      <c r="E1119" s="25" t="inlineStr">
        <is>
          <t>npriya</t>
        </is>
      </c>
      <c r="F1119" s="25" t="n">
        <v>3232</v>
      </c>
      <c r="G1119" s="25" t="n">
        <v>3</v>
      </c>
      <c r="H1119" s="25" t="n">
        <v>13</v>
      </c>
      <c r="I1119" s="25" t="inlineStr">
        <is>
          <t>5 minute(s) and 14 second(s)</t>
        </is>
      </c>
      <c r="J1119" s="25">
        <f>IFERROR(VALUE(TRIM(LEFT(I1119,FIND("minute",I1119)-1)))*60,0)+IFERROR(VALUE(SUBSTITUTE(MID(I1119,IFERROR(FIND("and",I1119)+3,1),20),"second(s)","")),0)</f>
        <v/>
      </c>
      <c r="K1119" s="41">
        <f>J1119/60</f>
        <v/>
      </c>
      <c r="L1119" s="41">
        <f>IFERROR(J1119/H1119,"")</f>
        <v/>
      </c>
      <c r="M1119" s="25" t="inlineStr">
        <is>
          <t>2.5.12</t>
        </is>
      </c>
      <c r="N1119" s="25">
        <f>IF(J1119&gt;300,1,0)</f>
        <v/>
      </c>
      <c r="O1119" s="25">
        <f>IF(J1119&gt;600,1,0)</f>
        <v/>
      </c>
      <c r="P1119" s="25">
        <f>IF(H1119&gt;0,J1119,"")</f>
        <v/>
      </c>
      <c r="Q1119" s="25">
        <f>TEXT(A1119,"YYYY-MM-DD HH")</f>
        <v/>
      </c>
      <c r="R1119" s="25">
        <f>COUNTIF($Q$2:$Q$5295,Q1119)</f>
        <v/>
      </c>
      <c r="S1119" s="25">
        <f>IF(R1119&lt;=2,"1-2",IF(R1119&lt;=5,"3-5",IF(R1119&lt;=10,"6-10","11+")))</f>
        <v/>
      </c>
    </row>
    <row r="1120">
      <c r="A1120" s="39" t="n">
        <v>46164.2521412037</v>
      </c>
      <c r="B1120" s="25">
        <f>TEXT(A1120,"YYYY-MM")</f>
        <v/>
      </c>
      <c r="C1120" s="25">
        <f>TEXT(A1120,"MMM-YYYY")</f>
        <v/>
      </c>
      <c r="D1120" s="40">
        <f>INT(A1120)-WEEKDAY(A1120,2)+1</f>
        <v/>
      </c>
      <c r="E1120" s="25" t="inlineStr">
        <is>
          <t>sdey</t>
        </is>
      </c>
      <c r="F1120" s="25" t="n">
        <v>4253</v>
      </c>
      <c r="G1120" s="25" t="n">
        <v>1</v>
      </c>
      <c r="H1120" s="25" t="n">
        <v>7</v>
      </c>
      <c r="I1120" s="25" t="inlineStr">
        <is>
          <t>2 minute(s) and 40 second(s)</t>
        </is>
      </c>
      <c r="J1120" s="25">
        <f>IFERROR(VALUE(TRIM(LEFT(I1120,FIND("minute",I1120)-1)))*60,0)+IFERROR(VALUE(SUBSTITUTE(MID(I1120,IFERROR(FIND("and",I1120)+3,1),20),"second(s)","")),0)</f>
        <v/>
      </c>
      <c r="K1120" s="41">
        <f>J1120/60</f>
        <v/>
      </c>
      <c r="L1120" s="41">
        <f>IFERROR(J1120/H1120,"")</f>
        <v/>
      </c>
      <c r="M1120" s="25" t="inlineStr">
        <is>
          <t>2.5.12</t>
        </is>
      </c>
      <c r="N1120" s="25">
        <f>IF(J1120&gt;300,1,0)</f>
        <v/>
      </c>
      <c r="O1120" s="25">
        <f>IF(J1120&gt;600,1,0)</f>
        <v/>
      </c>
      <c r="P1120" s="25">
        <f>IF(H1120&gt;0,J1120,"")</f>
        <v/>
      </c>
      <c r="Q1120" s="25">
        <f>TEXT(A1120,"YYYY-MM-DD HH")</f>
        <v/>
      </c>
      <c r="R1120" s="25">
        <f>COUNTIF($Q$2:$Q$5295,Q1120)</f>
        <v/>
      </c>
      <c r="S1120" s="25">
        <f>IF(R1120&lt;=2,"1-2",IF(R1120&lt;=5,"3-5",IF(R1120&lt;=10,"6-10","11+")))</f>
        <v/>
      </c>
    </row>
    <row r="1121">
      <c r="A1121" s="39" t="n">
        <v>46164.25469907407</v>
      </c>
      <c r="B1121" s="25">
        <f>TEXT(A1121,"YYYY-MM")</f>
        <v/>
      </c>
      <c r="C1121" s="25">
        <f>TEXT(A1121,"MMM-YYYY")</f>
        <v/>
      </c>
      <c r="D1121" s="40">
        <f>INT(A1121)-WEEKDAY(A1121,2)+1</f>
        <v/>
      </c>
      <c r="E1121" s="25" t="inlineStr">
        <is>
          <t>sswati</t>
        </is>
      </c>
      <c r="F1121" s="25" t="n">
        <v>3880</v>
      </c>
      <c r="G1121" s="25" t="n">
        <v>1</v>
      </c>
      <c r="H1121" s="25" t="n">
        <v>7</v>
      </c>
      <c r="I1121" s="25" t="inlineStr">
        <is>
          <t>2 minute(s) and 51 second(s)</t>
        </is>
      </c>
      <c r="J1121" s="25">
        <f>IFERROR(VALUE(TRIM(LEFT(I1121,FIND("minute",I1121)-1)))*60,0)+IFERROR(VALUE(SUBSTITUTE(MID(I1121,IFERROR(FIND("and",I1121)+3,1),20),"second(s)","")),0)</f>
        <v/>
      </c>
      <c r="K1121" s="41">
        <f>J1121/60</f>
        <v/>
      </c>
      <c r="L1121" s="41">
        <f>IFERROR(J1121/H1121,"")</f>
        <v/>
      </c>
      <c r="M1121" s="25" t="inlineStr">
        <is>
          <t>2.5.12</t>
        </is>
      </c>
      <c r="N1121" s="25">
        <f>IF(J1121&gt;300,1,0)</f>
        <v/>
      </c>
      <c r="O1121" s="25">
        <f>IF(J1121&gt;600,1,0)</f>
        <v/>
      </c>
      <c r="P1121" s="25">
        <f>IF(H1121&gt;0,J1121,"")</f>
        <v/>
      </c>
      <c r="Q1121" s="25">
        <f>TEXT(A1121,"YYYY-MM-DD HH")</f>
        <v/>
      </c>
      <c r="R1121" s="25">
        <f>COUNTIF($Q$2:$Q$5295,Q1121)</f>
        <v/>
      </c>
      <c r="S1121" s="25">
        <f>IF(R1121&lt;=2,"1-2",IF(R1121&lt;=5,"3-5",IF(R1121&lt;=10,"6-10","11+")))</f>
        <v/>
      </c>
    </row>
    <row r="1122">
      <c r="A1122" s="39" t="n">
        <v>46164.25509259259</v>
      </c>
      <c r="B1122" s="25">
        <f>TEXT(A1122,"YYYY-MM")</f>
        <v/>
      </c>
      <c r="C1122" s="25">
        <f>TEXT(A1122,"MMM-YYYY")</f>
        <v/>
      </c>
      <c r="D1122" s="40">
        <f>INT(A1122)-WEEKDAY(A1122,2)+1</f>
        <v/>
      </c>
      <c r="E1122" s="25" t="inlineStr">
        <is>
          <t>emishra</t>
        </is>
      </c>
      <c r="F1122" s="25" t="n">
        <v>3578</v>
      </c>
      <c r="G1122" s="25" t="n">
        <v>1</v>
      </c>
      <c r="H1122" s="25" t="n">
        <v>7</v>
      </c>
      <c r="I1122" s="25" t="inlineStr">
        <is>
          <t>1 minute(s) and 17 second(s)</t>
        </is>
      </c>
      <c r="J1122" s="25">
        <f>IFERROR(VALUE(TRIM(LEFT(I1122,FIND("minute",I1122)-1)))*60,0)+IFERROR(VALUE(SUBSTITUTE(MID(I1122,IFERROR(FIND("and",I1122)+3,1),20),"second(s)","")),0)</f>
        <v/>
      </c>
      <c r="K1122" s="41">
        <f>J1122/60</f>
        <v/>
      </c>
      <c r="L1122" s="41">
        <f>IFERROR(J1122/H1122,"")</f>
        <v/>
      </c>
      <c r="M1122" s="25" t="inlineStr">
        <is>
          <t>2.5.12</t>
        </is>
      </c>
      <c r="N1122" s="25">
        <f>IF(J1122&gt;300,1,0)</f>
        <v/>
      </c>
      <c r="O1122" s="25">
        <f>IF(J1122&gt;600,1,0)</f>
        <v/>
      </c>
      <c r="P1122" s="25">
        <f>IF(H1122&gt;0,J1122,"")</f>
        <v/>
      </c>
      <c r="Q1122" s="25">
        <f>TEXT(A1122,"YYYY-MM-DD HH")</f>
        <v/>
      </c>
      <c r="R1122" s="25">
        <f>COUNTIF($Q$2:$Q$5295,Q1122)</f>
        <v/>
      </c>
      <c r="S1122" s="25">
        <f>IF(R1122&lt;=2,"1-2",IF(R1122&lt;=5,"3-5",IF(R1122&lt;=10,"6-10","11+")))</f>
        <v/>
      </c>
    </row>
    <row r="1123">
      <c r="A1123" s="39" t="n">
        <v>46164.26116898148</v>
      </c>
      <c r="B1123" s="25">
        <f>TEXT(A1123,"YYYY-MM")</f>
        <v/>
      </c>
      <c r="C1123" s="25">
        <f>TEXT(A1123,"MMM-YYYY")</f>
        <v/>
      </c>
      <c r="D1123" s="40">
        <f>INT(A1123)-WEEKDAY(A1123,2)+1</f>
        <v/>
      </c>
      <c r="E1123" s="25" t="inlineStr">
        <is>
          <t>psathwika</t>
        </is>
      </c>
      <c r="F1123" s="25" t="n">
        <v>83605</v>
      </c>
      <c r="G1123" s="25" t="n">
        <v>2</v>
      </c>
      <c r="H1123" s="25" t="n">
        <v>10</v>
      </c>
      <c r="I1123" s="25" t="inlineStr">
        <is>
          <t>6 minute(s) and 53 second(s)</t>
        </is>
      </c>
      <c r="J1123" s="25">
        <f>IFERROR(VALUE(TRIM(LEFT(I1123,FIND("minute",I1123)-1)))*60,0)+IFERROR(VALUE(SUBSTITUTE(MID(I1123,IFERROR(FIND("and",I1123)+3,1),20),"second(s)","")),0)</f>
        <v/>
      </c>
      <c r="K1123" s="41">
        <f>J1123/60</f>
        <v/>
      </c>
      <c r="L1123" s="41">
        <f>IFERROR(J1123/H1123,"")</f>
        <v/>
      </c>
      <c r="M1123" s="25" t="inlineStr">
        <is>
          <t>2.5.12</t>
        </is>
      </c>
      <c r="N1123" s="25">
        <f>IF(J1123&gt;300,1,0)</f>
        <v/>
      </c>
      <c r="O1123" s="25">
        <f>IF(J1123&gt;600,1,0)</f>
        <v/>
      </c>
      <c r="P1123" s="25">
        <f>IF(H1123&gt;0,J1123,"")</f>
        <v/>
      </c>
      <c r="Q1123" s="25">
        <f>TEXT(A1123,"YYYY-MM-DD HH")</f>
        <v/>
      </c>
      <c r="R1123" s="25">
        <f>COUNTIF($Q$2:$Q$5295,Q1123)</f>
        <v/>
      </c>
      <c r="S1123" s="25">
        <f>IF(R1123&lt;=2,"1-2",IF(R1123&lt;=5,"3-5",IF(R1123&lt;=10,"6-10","11+")))</f>
        <v/>
      </c>
    </row>
    <row r="1124">
      <c r="A1124" s="39" t="n">
        <v>46164.26462962963</v>
      </c>
      <c r="B1124" s="25">
        <f>TEXT(A1124,"YYYY-MM")</f>
        <v/>
      </c>
      <c r="C1124" s="25">
        <f>TEXT(A1124,"MMM-YYYY")</f>
        <v/>
      </c>
      <c r="D1124" s="40">
        <f>INT(A1124)-WEEKDAY(A1124,2)+1</f>
        <v/>
      </c>
      <c r="E1124" s="25" t="inlineStr">
        <is>
          <t>nlnu</t>
        </is>
      </c>
      <c r="F1124" s="25" t="n">
        <v>3553</v>
      </c>
      <c r="G1124" s="25" t="n">
        <v>1</v>
      </c>
      <c r="H1124" s="25" t="n">
        <v>7</v>
      </c>
      <c r="I1124" s="25" t="inlineStr">
        <is>
          <t>4 minute(s) and 56 second(s)</t>
        </is>
      </c>
      <c r="J1124" s="25">
        <f>IFERROR(VALUE(TRIM(LEFT(I1124,FIND("minute",I1124)-1)))*60,0)+IFERROR(VALUE(SUBSTITUTE(MID(I1124,IFERROR(FIND("and",I1124)+3,1),20),"second(s)","")),0)</f>
        <v/>
      </c>
      <c r="K1124" s="41">
        <f>J1124/60</f>
        <v/>
      </c>
      <c r="L1124" s="41">
        <f>IFERROR(J1124/H1124,"")</f>
        <v/>
      </c>
      <c r="M1124" s="25" t="inlineStr">
        <is>
          <t>2.5.12</t>
        </is>
      </c>
      <c r="N1124" s="25">
        <f>IF(J1124&gt;300,1,0)</f>
        <v/>
      </c>
      <c r="O1124" s="25">
        <f>IF(J1124&gt;600,1,0)</f>
        <v/>
      </c>
      <c r="P1124" s="25">
        <f>IF(H1124&gt;0,J1124,"")</f>
        <v/>
      </c>
      <c r="Q1124" s="25">
        <f>TEXT(A1124,"YYYY-MM-DD HH")</f>
        <v/>
      </c>
      <c r="R1124" s="25">
        <f>COUNTIF($Q$2:$Q$5295,Q1124)</f>
        <v/>
      </c>
      <c r="S1124" s="25">
        <f>IF(R1124&lt;=2,"1-2",IF(R1124&lt;=5,"3-5",IF(R1124&lt;=10,"6-10","11+")))</f>
        <v/>
      </c>
    </row>
    <row r="1125">
      <c r="A1125" s="39" t="n">
        <v>46164.26603009259</v>
      </c>
      <c r="B1125" s="25">
        <f>TEXT(A1125,"YYYY-MM")</f>
        <v/>
      </c>
      <c r="C1125" s="25">
        <f>TEXT(A1125,"MMM-YYYY")</f>
        <v/>
      </c>
      <c r="D1125" s="40">
        <f>INT(A1125)-WEEKDAY(A1125,2)+1</f>
        <v/>
      </c>
      <c r="E1125" s="25" t="inlineStr">
        <is>
          <t>akumari</t>
        </is>
      </c>
      <c r="F1125" s="25" t="n">
        <v>3184</v>
      </c>
      <c r="G1125" s="25" t="n">
        <v>1</v>
      </c>
      <c r="H1125" s="25" t="n">
        <v>7</v>
      </c>
      <c r="I1125" s="25" t="inlineStr">
        <is>
          <t>2 minute(s) and 42 second(s)</t>
        </is>
      </c>
      <c r="J1125" s="25">
        <f>IFERROR(VALUE(TRIM(LEFT(I1125,FIND("minute",I1125)-1)))*60,0)+IFERROR(VALUE(SUBSTITUTE(MID(I1125,IFERROR(FIND("and",I1125)+3,1),20),"second(s)","")),0)</f>
        <v/>
      </c>
      <c r="K1125" s="41">
        <f>J1125/60</f>
        <v/>
      </c>
      <c r="L1125" s="41">
        <f>IFERROR(J1125/H1125,"")</f>
        <v/>
      </c>
      <c r="M1125" s="25" t="inlineStr">
        <is>
          <t>2.5.12</t>
        </is>
      </c>
      <c r="N1125" s="25">
        <f>IF(J1125&gt;300,1,0)</f>
        <v/>
      </c>
      <c r="O1125" s="25">
        <f>IF(J1125&gt;600,1,0)</f>
        <v/>
      </c>
      <c r="P1125" s="25">
        <f>IF(H1125&gt;0,J1125,"")</f>
        <v/>
      </c>
      <c r="Q1125" s="25">
        <f>TEXT(A1125,"YYYY-MM-DD HH")</f>
        <v/>
      </c>
      <c r="R1125" s="25">
        <f>COUNTIF($Q$2:$Q$5295,Q1125)</f>
        <v/>
      </c>
      <c r="S1125" s="25">
        <f>IF(R1125&lt;=2,"1-2",IF(R1125&lt;=5,"3-5",IF(R1125&lt;=10,"6-10","11+")))</f>
        <v/>
      </c>
    </row>
    <row r="1126">
      <c r="A1126" s="39" t="n">
        <v>46164.27038194444</v>
      </c>
      <c r="B1126" s="25">
        <f>TEXT(A1126,"YYYY-MM")</f>
        <v/>
      </c>
      <c r="C1126" s="25">
        <f>TEXT(A1126,"MMM-YYYY")</f>
        <v/>
      </c>
      <c r="D1126" s="40">
        <f>INT(A1126)-WEEKDAY(A1126,2)+1</f>
        <v/>
      </c>
      <c r="E1126" s="25" t="inlineStr">
        <is>
          <t>arsarkar</t>
        </is>
      </c>
      <c r="F1126" s="25" t="n">
        <v>3355</v>
      </c>
      <c r="G1126" s="25" t="n">
        <v>1</v>
      </c>
      <c r="H1126" s="25" t="n">
        <v>5</v>
      </c>
      <c r="I1126" s="25" t="inlineStr">
        <is>
          <t>2 minute(s) and 5 second(s)</t>
        </is>
      </c>
      <c r="J1126" s="25">
        <f>IFERROR(VALUE(TRIM(LEFT(I1126,FIND("minute",I1126)-1)))*60,0)+IFERROR(VALUE(SUBSTITUTE(MID(I1126,IFERROR(FIND("and",I1126)+3,1),20),"second(s)","")),0)</f>
        <v/>
      </c>
      <c r="K1126" s="41">
        <f>J1126/60</f>
        <v/>
      </c>
      <c r="L1126" s="41">
        <f>IFERROR(J1126/H1126,"")</f>
        <v/>
      </c>
      <c r="M1126" s="25" t="inlineStr">
        <is>
          <t>2.5.12</t>
        </is>
      </c>
      <c r="N1126" s="25">
        <f>IF(J1126&gt;300,1,0)</f>
        <v/>
      </c>
      <c r="O1126" s="25">
        <f>IF(J1126&gt;600,1,0)</f>
        <v/>
      </c>
      <c r="P1126" s="25">
        <f>IF(H1126&gt;0,J1126,"")</f>
        <v/>
      </c>
      <c r="Q1126" s="25">
        <f>TEXT(A1126,"YYYY-MM-DD HH")</f>
        <v/>
      </c>
      <c r="R1126" s="25">
        <f>COUNTIF($Q$2:$Q$5295,Q1126)</f>
        <v/>
      </c>
      <c r="S1126" s="25">
        <f>IF(R1126&lt;=2,"1-2",IF(R1126&lt;=5,"3-5",IF(R1126&lt;=10,"6-10","11+")))</f>
        <v/>
      </c>
    </row>
    <row r="1127">
      <c r="A1127" s="39" t="n">
        <v>46164.27084490741</v>
      </c>
      <c r="B1127" s="25">
        <f>TEXT(A1127,"YYYY-MM")</f>
        <v/>
      </c>
      <c r="C1127" s="25">
        <f>TEXT(A1127,"MMM-YYYY")</f>
        <v/>
      </c>
      <c r="D1127" s="40">
        <f>INT(A1127)-WEEKDAY(A1127,2)+1</f>
        <v/>
      </c>
      <c r="E1127" s="25" t="inlineStr">
        <is>
          <t>pmishra</t>
        </is>
      </c>
      <c r="F1127" s="25" t="n">
        <v>4206</v>
      </c>
      <c r="G1127" s="25" t="n">
        <v>1</v>
      </c>
      <c r="H1127" s="25" t="n">
        <v>5</v>
      </c>
      <c r="I1127" s="25" t="inlineStr">
        <is>
          <t>2 minute(s) and 40 second(s)</t>
        </is>
      </c>
      <c r="J1127" s="25">
        <f>IFERROR(VALUE(TRIM(LEFT(I1127,FIND("minute",I1127)-1)))*60,0)+IFERROR(VALUE(SUBSTITUTE(MID(I1127,IFERROR(FIND("and",I1127)+3,1),20),"second(s)","")),0)</f>
        <v/>
      </c>
      <c r="K1127" s="41">
        <f>J1127/60</f>
        <v/>
      </c>
      <c r="L1127" s="41">
        <f>IFERROR(J1127/H1127,"")</f>
        <v/>
      </c>
      <c r="M1127" s="25" t="inlineStr">
        <is>
          <t>2.5.12</t>
        </is>
      </c>
      <c r="N1127" s="25">
        <f>IF(J1127&gt;300,1,0)</f>
        <v/>
      </c>
      <c r="O1127" s="25">
        <f>IF(J1127&gt;600,1,0)</f>
        <v/>
      </c>
      <c r="P1127" s="25">
        <f>IF(H1127&gt;0,J1127,"")</f>
        <v/>
      </c>
      <c r="Q1127" s="25">
        <f>TEXT(A1127,"YYYY-MM-DD HH")</f>
        <v/>
      </c>
      <c r="R1127" s="25">
        <f>COUNTIF($Q$2:$Q$5295,Q1127)</f>
        <v/>
      </c>
      <c r="S1127" s="25">
        <f>IF(R1127&lt;=2,"1-2",IF(R1127&lt;=5,"3-5",IF(R1127&lt;=10,"6-10","11+")))</f>
        <v/>
      </c>
    </row>
    <row r="1128">
      <c r="A1128" s="39" t="n">
        <v>46164.2716087963</v>
      </c>
      <c r="B1128" s="25">
        <f>TEXT(A1128,"YYYY-MM")</f>
        <v/>
      </c>
      <c r="C1128" s="25">
        <f>TEXT(A1128,"MMM-YYYY")</f>
        <v/>
      </c>
      <c r="D1128" s="40">
        <f>INT(A1128)-WEEKDAY(A1128,2)+1</f>
        <v/>
      </c>
      <c r="E1128" s="25" t="inlineStr">
        <is>
          <t>csaha</t>
        </is>
      </c>
      <c r="F1128" s="25" t="n">
        <v>114545</v>
      </c>
      <c r="G1128" s="25" t="n">
        <v>5</v>
      </c>
      <c r="H1128" s="25" t="n">
        <v>20</v>
      </c>
      <c r="I1128" s="25" t="inlineStr">
        <is>
          <t>7 minute(s) and 29 second(s)</t>
        </is>
      </c>
      <c r="J1128" s="25">
        <f>IFERROR(VALUE(TRIM(LEFT(I1128,FIND("minute",I1128)-1)))*60,0)+IFERROR(VALUE(SUBSTITUTE(MID(I1128,IFERROR(FIND("and",I1128)+3,1),20),"second(s)","")),0)</f>
        <v/>
      </c>
      <c r="K1128" s="41">
        <f>J1128/60</f>
        <v/>
      </c>
      <c r="L1128" s="41">
        <f>IFERROR(J1128/H1128,"")</f>
        <v/>
      </c>
      <c r="M1128" s="25" t="inlineStr">
        <is>
          <t>2.5.12</t>
        </is>
      </c>
      <c r="N1128" s="25">
        <f>IF(J1128&gt;300,1,0)</f>
        <v/>
      </c>
      <c r="O1128" s="25">
        <f>IF(J1128&gt;600,1,0)</f>
        <v/>
      </c>
      <c r="P1128" s="25">
        <f>IF(H1128&gt;0,J1128,"")</f>
        <v/>
      </c>
      <c r="Q1128" s="25">
        <f>TEXT(A1128,"YYYY-MM-DD HH")</f>
        <v/>
      </c>
      <c r="R1128" s="25">
        <f>COUNTIF($Q$2:$Q$5295,Q1128)</f>
        <v/>
      </c>
      <c r="S1128" s="25">
        <f>IF(R1128&lt;=2,"1-2",IF(R1128&lt;=5,"3-5",IF(R1128&lt;=10,"6-10","11+")))</f>
        <v/>
      </c>
    </row>
    <row r="1129">
      <c r="A1129" s="39" t="n">
        <v>46164.27762731481</v>
      </c>
      <c r="B1129" s="25">
        <f>TEXT(A1129,"YYYY-MM")</f>
        <v/>
      </c>
      <c r="C1129" s="25">
        <f>TEXT(A1129,"MMM-YYYY")</f>
        <v/>
      </c>
      <c r="D1129" s="40">
        <f>INT(A1129)-WEEKDAY(A1129,2)+1</f>
        <v/>
      </c>
      <c r="E1129" s="25" t="inlineStr">
        <is>
          <t>hsindwani</t>
        </is>
      </c>
      <c r="F1129" s="25" t="n">
        <v>1787</v>
      </c>
      <c r="G1129" s="25" t="n">
        <v>4</v>
      </c>
      <c r="H1129" s="25" t="n">
        <v>18</v>
      </c>
      <c r="I1129" s="25" t="inlineStr">
        <is>
          <t>5 minute(s) and 32 second(s)</t>
        </is>
      </c>
      <c r="J1129" s="25">
        <f>IFERROR(VALUE(TRIM(LEFT(I1129,FIND("minute",I1129)-1)))*60,0)+IFERROR(VALUE(SUBSTITUTE(MID(I1129,IFERROR(FIND("and",I1129)+3,1),20),"second(s)","")),0)</f>
        <v/>
      </c>
      <c r="K1129" s="41">
        <f>J1129/60</f>
        <v/>
      </c>
      <c r="L1129" s="41">
        <f>IFERROR(J1129/H1129,"")</f>
        <v/>
      </c>
      <c r="M1129" s="25" t="inlineStr">
        <is>
          <t>2.5.12</t>
        </is>
      </c>
      <c r="N1129" s="25">
        <f>IF(J1129&gt;300,1,0)</f>
        <v/>
      </c>
      <c r="O1129" s="25">
        <f>IF(J1129&gt;600,1,0)</f>
        <v/>
      </c>
      <c r="P1129" s="25">
        <f>IF(H1129&gt;0,J1129,"")</f>
        <v/>
      </c>
      <c r="Q1129" s="25">
        <f>TEXT(A1129,"YYYY-MM-DD HH")</f>
        <v/>
      </c>
      <c r="R1129" s="25">
        <f>COUNTIF($Q$2:$Q$5295,Q1129)</f>
        <v/>
      </c>
      <c r="S1129" s="25">
        <f>IF(R1129&lt;=2,"1-2",IF(R1129&lt;=5,"3-5",IF(R1129&lt;=10,"6-10","11+")))</f>
        <v/>
      </c>
    </row>
    <row r="1130">
      <c r="A1130" s="39" t="n">
        <v>46164.27949074074</v>
      </c>
      <c r="B1130" s="25">
        <f>TEXT(A1130,"YYYY-MM")</f>
        <v/>
      </c>
      <c r="C1130" s="25">
        <f>TEXT(A1130,"MMM-YYYY")</f>
        <v/>
      </c>
      <c r="D1130" s="40">
        <f>INT(A1130)-WEEKDAY(A1130,2)+1</f>
        <v/>
      </c>
      <c r="E1130" s="25" t="inlineStr">
        <is>
          <t>sswati</t>
        </is>
      </c>
      <c r="F1130" s="25" t="n">
        <v>3881</v>
      </c>
      <c r="G1130" s="25" t="n">
        <v>1</v>
      </c>
      <c r="H1130" s="25" t="n">
        <v>7</v>
      </c>
      <c r="I1130" s="25" t="inlineStr">
        <is>
          <t>3 minute(s) and 37 second(s)</t>
        </is>
      </c>
      <c r="J1130" s="25">
        <f>IFERROR(VALUE(TRIM(LEFT(I1130,FIND("minute",I1130)-1)))*60,0)+IFERROR(VALUE(SUBSTITUTE(MID(I1130,IFERROR(FIND("and",I1130)+3,1),20),"second(s)","")),0)</f>
        <v/>
      </c>
      <c r="K1130" s="41">
        <f>J1130/60</f>
        <v/>
      </c>
      <c r="L1130" s="41">
        <f>IFERROR(J1130/H1130,"")</f>
        <v/>
      </c>
      <c r="M1130" s="25" t="inlineStr">
        <is>
          <t>2.5.12</t>
        </is>
      </c>
      <c r="N1130" s="25">
        <f>IF(J1130&gt;300,1,0)</f>
        <v/>
      </c>
      <c r="O1130" s="25">
        <f>IF(J1130&gt;600,1,0)</f>
        <v/>
      </c>
      <c r="P1130" s="25">
        <f>IF(H1130&gt;0,J1130,"")</f>
        <v/>
      </c>
      <c r="Q1130" s="25">
        <f>TEXT(A1130,"YYYY-MM-DD HH")</f>
        <v/>
      </c>
      <c r="R1130" s="25">
        <f>COUNTIF($Q$2:$Q$5295,Q1130)</f>
        <v/>
      </c>
      <c r="S1130" s="25">
        <f>IF(R1130&lt;=2,"1-2",IF(R1130&lt;=5,"3-5",IF(R1130&lt;=10,"6-10","11+")))</f>
        <v/>
      </c>
    </row>
    <row r="1131">
      <c r="A1131" s="39" t="n">
        <v>46164.28255787037</v>
      </c>
      <c r="B1131" s="25">
        <f>TEXT(A1131,"YYYY-MM")</f>
        <v/>
      </c>
      <c r="C1131" s="25">
        <f>TEXT(A1131,"MMM-YYYY")</f>
        <v/>
      </c>
      <c r="D1131" s="40">
        <f>INT(A1131)-WEEKDAY(A1131,2)+1</f>
        <v/>
      </c>
      <c r="E1131" s="25" t="inlineStr">
        <is>
          <t>mbohra</t>
        </is>
      </c>
      <c r="F1131" s="25" t="n">
        <v>89831</v>
      </c>
      <c r="G1131" s="25" t="n">
        <v>4</v>
      </c>
      <c r="H1131" s="25" t="n">
        <v>20</v>
      </c>
      <c r="I1131" s="25" t="inlineStr">
        <is>
          <t>6 minute(s) and 11 second(s)</t>
        </is>
      </c>
      <c r="J1131" s="25">
        <f>IFERROR(VALUE(TRIM(LEFT(I1131,FIND("minute",I1131)-1)))*60,0)+IFERROR(VALUE(SUBSTITUTE(MID(I1131,IFERROR(FIND("and",I1131)+3,1),20),"second(s)","")),0)</f>
        <v/>
      </c>
      <c r="K1131" s="41">
        <f>J1131/60</f>
        <v/>
      </c>
      <c r="L1131" s="41">
        <f>IFERROR(J1131/H1131,"")</f>
        <v/>
      </c>
      <c r="M1131" s="25" t="inlineStr">
        <is>
          <t>2.5.12</t>
        </is>
      </c>
      <c r="N1131" s="25">
        <f>IF(J1131&gt;300,1,0)</f>
        <v/>
      </c>
      <c r="O1131" s="25">
        <f>IF(J1131&gt;600,1,0)</f>
        <v/>
      </c>
      <c r="P1131" s="25">
        <f>IF(H1131&gt;0,J1131,"")</f>
        <v/>
      </c>
      <c r="Q1131" s="25">
        <f>TEXT(A1131,"YYYY-MM-DD HH")</f>
        <v/>
      </c>
      <c r="R1131" s="25">
        <f>COUNTIF($Q$2:$Q$5295,Q1131)</f>
        <v/>
      </c>
      <c r="S1131" s="25">
        <f>IF(R1131&lt;=2,"1-2",IF(R1131&lt;=5,"3-5",IF(R1131&lt;=10,"6-10","11+")))</f>
        <v/>
      </c>
    </row>
    <row r="1132">
      <c r="A1132" s="39" t="n">
        <v>46164.28265046296</v>
      </c>
      <c r="B1132" s="25">
        <f>TEXT(A1132,"YYYY-MM")</f>
        <v/>
      </c>
      <c r="C1132" s="25">
        <f>TEXT(A1132,"MMM-YYYY")</f>
        <v/>
      </c>
      <c r="D1132" s="40">
        <f>INT(A1132)-WEEKDAY(A1132,2)+1</f>
        <v/>
      </c>
      <c r="E1132" s="25" t="inlineStr">
        <is>
          <t>shassan</t>
        </is>
      </c>
      <c r="F1132" s="25" t="n">
        <v>4083</v>
      </c>
      <c r="G1132" s="25" t="n">
        <v>1</v>
      </c>
      <c r="H1132" s="25" t="n">
        <v>7</v>
      </c>
      <c r="I1132" s="25" t="inlineStr">
        <is>
          <t>2 minute(s) and 50 second(s)</t>
        </is>
      </c>
      <c r="J1132" s="25">
        <f>IFERROR(VALUE(TRIM(LEFT(I1132,FIND("minute",I1132)-1)))*60,0)+IFERROR(VALUE(SUBSTITUTE(MID(I1132,IFERROR(FIND("and",I1132)+3,1),20),"second(s)","")),0)</f>
        <v/>
      </c>
      <c r="K1132" s="41">
        <f>J1132/60</f>
        <v/>
      </c>
      <c r="L1132" s="41">
        <f>IFERROR(J1132/H1132,"")</f>
        <v/>
      </c>
      <c r="M1132" s="25" t="inlineStr">
        <is>
          <t>2.5.12</t>
        </is>
      </c>
      <c r="N1132" s="25">
        <f>IF(J1132&gt;300,1,0)</f>
        <v/>
      </c>
      <c r="O1132" s="25">
        <f>IF(J1132&gt;600,1,0)</f>
        <v/>
      </c>
      <c r="P1132" s="25">
        <f>IF(H1132&gt;0,J1132,"")</f>
        <v/>
      </c>
      <c r="Q1132" s="25">
        <f>TEXT(A1132,"YYYY-MM-DD HH")</f>
        <v/>
      </c>
      <c r="R1132" s="25">
        <f>COUNTIF($Q$2:$Q$5295,Q1132)</f>
        <v/>
      </c>
      <c r="S1132" s="25">
        <f>IF(R1132&lt;=2,"1-2",IF(R1132&lt;=5,"3-5",IF(R1132&lt;=10,"6-10","11+")))</f>
        <v/>
      </c>
    </row>
    <row r="1133">
      <c r="A1133" s="39" t="n">
        <v>46164.28990740741</v>
      </c>
      <c r="B1133" s="25">
        <f>TEXT(A1133,"YYYY-MM")</f>
        <v/>
      </c>
      <c r="C1133" s="25">
        <f>TEXT(A1133,"MMM-YYYY")</f>
        <v/>
      </c>
      <c r="D1133" s="40">
        <f>INT(A1133)-WEEKDAY(A1133,2)+1</f>
        <v/>
      </c>
      <c r="E1133" s="25" t="inlineStr">
        <is>
          <t>pgautam</t>
        </is>
      </c>
      <c r="F1133" s="25" t="n">
        <v>115989</v>
      </c>
      <c r="G1133" s="25" t="n">
        <v>2</v>
      </c>
      <c r="H1133" s="25" t="n">
        <v>12</v>
      </c>
      <c r="I1133" s="25" t="inlineStr">
        <is>
          <t>2 minute(s) and 34 second(s)</t>
        </is>
      </c>
      <c r="J1133" s="25">
        <f>IFERROR(VALUE(TRIM(LEFT(I1133,FIND("minute",I1133)-1)))*60,0)+IFERROR(VALUE(SUBSTITUTE(MID(I1133,IFERROR(FIND("and",I1133)+3,1),20),"second(s)","")),0)</f>
        <v/>
      </c>
      <c r="K1133" s="41">
        <f>J1133/60</f>
        <v/>
      </c>
      <c r="L1133" s="41">
        <f>IFERROR(J1133/H1133,"")</f>
        <v/>
      </c>
      <c r="M1133" s="25" t="inlineStr">
        <is>
          <t>2.5.12</t>
        </is>
      </c>
      <c r="N1133" s="25">
        <f>IF(J1133&gt;300,1,0)</f>
        <v/>
      </c>
      <c r="O1133" s="25">
        <f>IF(J1133&gt;600,1,0)</f>
        <v/>
      </c>
      <c r="P1133" s="25">
        <f>IF(H1133&gt;0,J1133,"")</f>
        <v/>
      </c>
      <c r="Q1133" s="25">
        <f>TEXT(A1133,"YYYY-MM-DD HH")</f>
        <v/>
      </c>
      <c r="R1133" s="25">
        <f>COUNTIF($Q$2:$Q$5295,Q1133)</f>
        <v/>
      </c>
      <c r="S1133" s="25">
        <f>IF(R1133&lt;=2,"1-2",IF(R1133&lt;=5,"3-5",IF(R1133&lt;=10,"6-10","11+")))</f>
        <v/>
      </c>
    </row>
    <row r="1134">
      <c r="A1134" s="39" t="n">
        <v>46164.2902662037</v>
      </c>
      <c r="B1134" s="25">
        <f>TEXT(A1134,"YYYY-MM")</f>
        <v/>
      </c>
      <c r="C1134" s="25">
        <f>TEXT(A1134,"MMM-YYYY")</f>
        <v/>
      </c>
      <c r="D1134" s="40">
        <f>INT(A1134)-WEEKDAY(A1134,2)+1</f>
        <v/>
      </c>
      <c r="E1134" s="25" t="inlineStr">
        <is>
          <t>hdutt</t>
        </is>
      </c>
      <c r="F1134" s="25" t="n">
        <v>3141</v>
      </c>
      <c r="G1134" s="25" t="n">
        <v>1</v>
      </c>
      <c r="H1134" s="25" t="n">
        <v>5</v>
      </c>
      <c r="I1134" s="25" t="inlineStr">
        <is>
          <t>2 minute(s) and 9 second(s)</t>
        </is>
      </c>
      <c r="J1134" s="25">
        <f>IFERROR(VALUE(TRIM(LEFT(I1134,FIND("minute",I1134)-1)))*60,0)+IFERROR(VALUE(SUBSTITUTE(MID(I1134,IFERROR(FIND("and",I1134)+3,1),20),"second(s)","")),0)</f>
        <v/>
      </c>
      <c r="K1134" s="41">
        <f>J1134/60</f>
        <v/>
      </c>
      <c r="L1134" s="41">
        <f>IFERROR(J1134/H1134,"")</f>
        <v/>
      </c>
      <c r="M1134" s="25" t="inlineStr">
        <is>
          <t>2.5.12</t>
        </is>
      </c>
      <c r="N1134" s="25">
        <f>IF(J1134&gt;300,1,0)</f>
        <v/>
      </c>
      <c r="O1134" s="25">
        <f>IF(J1134&gt;600,1,0)</f>
        <v/>
      </c>
      <c r="P1134" s="25">
        <f>IF(H1134&gt;0,J1134,"")</f>
        <v/>
      </c>
      <c r="Q1134" s="25">
        <f>TEXT(A1134,"YYYY-MM-DD HH")</f>
        <v/>
      </c>
      <c r="R1134" s="25">
        <f>COUNTIF($Q$2:$Q$5295,Q1134)</f>
        <v/>
      </c>
      <c r="S1134" s="25">
        <f>IF(R1134&lt;=2,"1-2",IF(R1134&lt;=5,"3-5",IF(R1134&lt;=10,"6-10","11+")))</f>
        <v/>
      </c>
    </row>
    <row r="1135">
      <c r="A1135" s="39" t="n">
        <v>46164.29068287037</v>
      </c>
      <c r="B1135" s="25">
        <f>TEXT(A1135,"YYYY-MM")</f>
        <v/>
      </c>
      <c r="C1135" s="25">
        <f>TEXT(A1135,"MMM-YYYY")</f>
        <v/>
      </c>
      <c r="D1135" s="40">
        <f>INT(A1135)-WEEKDAY(A1135,2)+1</f>
        <v/>
      </c>
      <c r="E1135" s="25" t="inlineStr">
        <is>
          <t>stiwari</t>
        </is>
      </c>
      <c r="F1135" s="25" t="n">
        <v>3438</v>
      </c>
      <c r="G1135" s="25" t="n">
        <v>5</v>
      </c>
      <c r="H1135" s="25" t="n">
        <v>21</v>
      </c>
      <c r="I1135" s="25" t="inlineStr">
        <is>
          <t>3 minute(s) and 52 second(s)</t>
        </is>
      </c>
      <c r="J1135" s="25">
        <f>IFERROR(VALUE(TRIM(LEFT(I1135,FIND("minute",I1135)-1)))*60,0)+IFERROR(VALUE(SUBSTITUTE(MID(I1135,IFERROR(FIND("and",I1135)+3,1),20),"second(s)","")),0)</f>
        <v/>
      </c>
      <c r="K1135" s="41">
        <f>J1135/60</f>
        <v/>
      </c>
      <c r="L1135" s="41">
        <f>IFERROR(J1135/H1135,"")</f>
        <v/>
      </c>
      <c r="M1135" s="25" t="inlineStr">
        <is>
          <t>2.5.12</t>
        </is>
      </c>
      <c r="N1135" s="25">
        <f>IF(J1135&gt;300,1,0)</f>
        <v/>
      </c>
      <c r="O1135" s="25">
        <f>IF(J1135&gt;600,1,0)</f>
        <v/>
      </c>
      <c r="P1135" s="25">
        <f>IF(H1135&gt;0,J1135,"")</f>
        <v/>
      </c>
      <c r="Q1135" s="25">
        <f>TEXT(A1135,"YYYY-MM-DD HH")</f>
        <v/>
      </c>
      <c r="R1135" s="25">
        <f>COUNTIF($Q$2:$Q$5295,Q1135)</f>
        <v/>
      </c>
      <c r="S1135" s="25">
        <f>IF(R1135&lt;=2,"1-2",IF(R1135&lt;=5,"3-5",IF(R1135&lt;=10,"6-10","11+")))</f>
        <v/>
      </c>
    </row>
    <row r="1136">
      <c r="A1136" s="39" t="n">
        <v>46164.29513888889</v>
      </c>
      <c r="B1136" s="25">
        <f>TEXT(A1136,"YYYY-MM")</f>
        <v/>
      </c>
      <c r="C1136" s="25">
        <f>TEXT(A1136,"MMM-YYYY")</f>
        <v/>
      </c>
      <c r="D1136" s="40">
        <f>INT(A1136)-WEEKDAY(A1136,2)+1</f>
        <v/>
      </c>
      <c r="E1136" s="25" t="inlineStr">
        <is>
          <t>npriya</t>
        </is>
      </c>
      <c r="F1136" s="25" t="n">
        <v>3233</v>
      </c>
      <c r="G1136" s="25" t="n">
        <v>1</v>
      </c>
      <c r="H1136" s="25" t="n">
        <v>5</v>
      </c>
      <c r="I1136" s="25" t="inlineStr">
        <is>
          <t>1 minute(s) and 40 second(s)</t>
        </is>
      </c>
      <c r="J1136" s="25">
        <f>IFERROR(VALUE(TRIM(LEFT(I1136,FIND("minute",I1136)-1)))*60,0)+IFERROR(VALUE(SUBSTITUTE(MID(I1136,IFERROR(FIND("and",I1136)+3,1),20),"second(s)","")),0)</f>
        <v/>
      </c>
      <c r="K1136" s="41">
        <f>J1136/60</f>
        <v/>
      </c>
      <c r="L1136" s="41">
        <f>IFERROR(J1136/H1136,"")</f>
        <v/>
      </c>
      <c r="M1136" s="25" t="inlineStr">
        <is>
          <t>2.5.12</t>
        </is>
      </c>
      <c r="N1136" s="25">
        <f>IF(J1136&gt;300,1,0)</f>
        <v/>
      </c>
      <c r="O1136" s="25">
        <f>IF(J1136&gt;600,1,0)</f>
        <v/>
      </c>
      <c r="P1136" s="25">
        <f>IF(H1136&gt;0,J1136,"")</f>
        <v/>
      </c>
      <c r="Q1136" s="25">
        <f>TEXT(A1136,"YYYY-MM-DD HH")</f>
        <v/>
      </c>
      <c r="R1136" s="25">
        <f>COUNTIF($Q$2:$Q$5295,Q1136)</f>
        <v/>
      </c>
      <c r="S1136" s="25">
        <f>IF(R1136&lt;=2,"1-2",IF(R1136&lt;=5,"3-5",IF(R1136&lt;=10,"6-10","11+")))</f>
        <v/>
      </c>
    </row>
    <row r="1137">
      <c r="A1137" s="39" t="n">
        <v>46164.30056712963</v>
      </c>
      <c r="B1137" s="25">
        <f>TEXT(A1137,"YYYY-MM")</f>
        <v/>
      </c>
      <c r="C1137" s="25">
        <f>TEXT(A1137,"MMM-YYYY")</f>
        <v/>
      </c>
      <c r="D1137" s="40">
        <f>INT(A1137)-WEEKDAY(A1137,2)+1</f>
        <v/>
      </c>
      <c r="E1137" s="25" t="inlineStr">
        <is>
          <t>sswati</t>
        </is>
      </c>
      <c r="F1137" s="25" t="n">
        <v>3882</v>
      </c>
      <c r="G1137" s="25" t="n">
        <v>1</v>
      </c>
      <c r="H1137" s="25" t="n">
        <v>7</v>
      </c>
      <c r="I1137" s="25" t="inlineStr">
        <is>
          <t>1 minute(s) and 57 second(s)</t>
        </is>
      </c>
      <c r="J1137" s="25">
        <f>IFERROR(VALUE(TRIM(LEFT(I1137,FIND("minute",I1137)-1)))*60,0)+IFERROR(VALUE(SUBSTITUTE(MID(I1137,IFERROR(FIND("and",I1137)+3,1),20),"second(s)","")),0)</f>
        <v/>
      </c>
      <c r="K1137" s="41">
        <f>J1137/60</f>
        <v/>
      </c>
      <c r="L1137" s="41">
        <f>IFERROR(J1137/H1137,"")</f>
        <v/>
      </c>
      <c r="M1137" s="25" t="inlineStr">
        <is>
          <t>2.5.12</t>
        </is>
      </c>
      <c r="N1137" s="25">
        <f>IF(J1137&gt;300,1,0)</f>
        <v/>
      </c>
      <c r="O1137" s="25">
        <f>IF(J1137&gt;600,1,0)</f>
        <v/>
      </c>
      <c r="P1137" s="25">
        <f>IF(H1137&gt;0,J1137,"")</f>
        <v/>
      </c>
      <c r="Q1137" s="25">
        <f>TEXT(A1137,"YYYY-MM-DD HH")</f>
        <v/>
      </c>
      <c r="R1137" s="25">
        <f>COUNTIF($Q$2:$Q$5295,Q1137)</f>
        <v/>
      </c>
      <c r="S1137" s="25">
        <f>IF(R1137&lt;=2,"1-2",IF(R1137&lt;=5,"3-5",IF(R1137&lt;=10,"6-10","11+")))</f>
        <v/>
      </c>
    </row>
    <row r="1138">
      <c r="A1138" s="39" t="n">
        <v>46164.30186342593</v>
      </c>
      <c r="B1138" s="25">
        <f>TEXT(A1138,"YYYY-MM")</f>
        <v/>
      </c>
      <c r="C1138" s="25">
        <f>TEXT(A1138,"MMM-YYYY")</f>
        <v/>
      </c>
      <c r="D1138" s="40">
        <f>INT(A1138)-WEEKDAY(A1138,2)+1</f>
        <v/>
      </c>
      <c r="E1138" s="25" t="inlineStr">
        <is>
          <t>abhaskarkp</t>
        </is>
      </c>
      <c r="F1138" s="25" t="n">
        <v>49025</v>
      </c>
      <c r="G1138" s="25" t="n">
        <v>1</v>
      </c>
      <c r="H1138" s="25" t="n">
        <v>5</v>
      </c>
      <c r="I1138" s="25" t="inlineStr">
        <is>
          <t>2 minute(s) and 11 second(s)</t>
        </is>
      </c>
      <c r="J1138" s="25">
        <f>IFERROR(VALUE(TRIM(LEFT(I1138,FIND("minute",I1138)-1)))*60,0)+IFERROR(VALUE(SUBSTITUTE(MID(I1138,IFERROR(FIND("and",I1138)+3,1),20),"second(s)","")),0)</f>
        <v/>
      </c>
      <c r="K1138" s="41">
        <f>J1138/60</f>
        <v/>
      </c>
      <c r="L1138" s="41">
        <f>IFERROR(J1138/H1138,"")</f>
        <v/>
      </c>
      <c r="M1138" s="25" t="inlineStr">
        <is>
          <t>2.5.12</t>
        </is>
      </c>
      <c r="N1138" s="25">
        <f>IF(J1138&gt;300,1,0)</f>
        <v/>
      </c>
      <c r="O1138" s="25">
        <f>IF(J1138&gt;600,1,0)</f>
        <v/>
      </c>
      <c r="P1138" s="25">
        <f>IF(H1138&gt;0,J1138,"")</f>
        <v/>
      </c>
      <c r="Q1138" s="25">
        <f>TEXT(A1138,"YYYY-MM-DD HH")</f>
        <v/>
      </c>
      <c r="R1138" s="25">
        <f>COUNTIF($Q$2:$Q$5295,Q1138)</f>
        <v/>
      </c>
      <c r="S1138" s="25">
        <f>IF(R1138&lt;=2,"1-2",IF(R1138&lt;=5,"3-5",IF(R1138&lt;=10,"6-10","11+")))</f>
        <v/>
      </c>
    </row>
    <row r="1139">
      <c r="A1139" s="39" t="n">
        <v>46164.30432870371</v>
      </c>
      <c r="B1139" s="25">
        <f>TEXT(A1139,"YYYY-MM")</f>
        <v/>
      </c>
      <c r="C1139" s="25">
        <f>TEXT(A1139,"MMM-YYYY")</f>
        <v/>
      </c>
      <c r="D1139" s="40">
        <f>INT(A1139)-WEEKDAY(A1139,2)+1</f>
        <v/>
      </c>
      <c r="E1139" s="25" t="inlineStr">
        <is>
          <t>ssarkar</t>
        </is>
      </c>
      <c r="F1139" s="25" t="n">
        <v>4020</v>
      </c>
      <c r="G1139" s="25" t="n">
        <v>1</v>
      </c>
      <c r="H1139" s="25" t="n">
        <v>7</v>
      </c>
      <c r="I1139" s="25" t="inlineStr">
        <is>
          <t>1 minute(s) and 27 second(s)</t>
        </is>
      </c>
      <c r="J1139" s="25">
        <f>IFERROR(VALUE(TRIM(LEFT(I1139,FIND("minute",I1139)-1)))*60,0)+IFERROR(VALUE(SUBSTITUTE(MID(I1139,IFERROR(FIND("and",I1139)+3,1),20),"second(s)","")),0)</f>
        <v/>
      </c>
      <c r="K1139" s="41">
        <f>J1139/60</f>
        <v/>
      </c>
      <c r="L1139" s="41">
        <f>IFERROR(J1139/H1139,"")</f>
        <v/>
      </c>
      <c r="M1139" s="25" t="inlineStr">
        <is>
          <t>2.5.12</t>
        </is>
      </c>
      <c r="N1139" s="25">
        <f>IF(J1139&gt;300,1,0)</f>
        <v/>
      </c>
      <c r="O1139" s="25">
        <f>IF(J1139&gt;600,1,0)</f>
        <v/>
      </c>
      <c r="P1139" s="25">
        <f>IF(H1139&gt;0,J1139,"")</f>
        <v/>
      </c>
      <c r="Q1139" s="25">
        <f>TEXT(A1139,"YYYY-MM-DD HH")</f>
        <v/>
      </c>
      <c r="R1139" s="25">
        <f>COUNTIF($Q$2:$Q$5295,Q1139)</f>
        <v/>
      </c>
      <c r="S1139" s="25">
        <f>IF(R1139&lt;=2,"1-2",IF(R1139&lt;=5,"3-5",IF(R1139&lt;=10,"6-10","11+")))</f>
        <v/>
      </c>
    </row>
    <row r="1140">
      <c r="A1140" s="39" t="n">
        <v>46164.31012731481</v>
      </c>
      <c r="B1140" s="25">
        <f>TEXT(A1140,"YYYY-MM")</f>
        <v/>
      </c>
      <c r="C1140" s="25">
        <f>TEXT(A1140,"MMM-YYYY")</f>
        <v/>
      </c>
      <c r="D1140" s="40">
        <f>INT(A1140)-WEEKDAY(A1140,2)+1</f>
        <v/>
      </c>
      <c r="E1140" s="25" t="inlineStr">
        <is>
          <t>pmishra</t>
        </is>
      </c>
      <c r="F1140" s="25" t="n">
        <v>4212</v>
      </c>
      <c r="G1140" s="25" t="n">
        <v>1</v>
      </c>
      <c r="H1140" s="25" t="n">
        <v>7</v>
      </c>
      <c r="I1140" s="25" t="inlineStr">
        <is>
          <t>1 minute(s) and 30 second(s)</t>
        </is>
      </c>
      <c r="J1140" s="25">
        <f>IFERROR(VALUE(TRIM(LEFT(I1140,FIND("minute",I1140)-1)))*60,0)+IFERROR(VALUE(SUBSTITUTE(MID(I1140,IFERROR(FIND("and",I1140)+3,1),20),"second(s)","")),0)</f>
        <v/>
      </c>
      <c r="K1140" s="41">
        <f>J1140/60</f>
        <v/>
      </c>
      <c r="L1140" s="41">
        <f>IFERROR(J1140/H1140,"")</f>
        <v/>
      </c>
      <c r="M1140" s="25" t="inlineStr">
        <is>
          <t>2.5.12</t>
        </is>
      </c>
      <c r="N1140" s="25">
        <f>IF(J1140&gt;300,1,0)</f>
        <v/>
      </c>
      <c r="O1140" s="25">
        <f>IF(J1140&gt;600,1,0)</f>
        <v/>
      </c>
      <c r="P1140" s="25">
        <f>IF(H1140&gt;0,J1140,"")</f>
        <v/>
      </c>
      <c r="Q1140" s="25">
        <f>TEXT(A1140,"YYYY-MM-DD HH")</f>
        <v/>
      </c>
      <c r="R1140" s="25">
        <f>COUNTIF($Q$2:$Q$5295,Q1140)</f>
        <v/>
      </c>
      <c r="S1140" s="25">
        <f>IF(R1140&lt;=2,"1-2",IF(R1140&lt;=5,"3-5",IF(R1140&lt;=10,"6-10","11+")))</f>
        <v/>
      </c>
    </row>
    <row r="1141">
      <c r="A1141" s="39" t="n">
        <v>46164.310625</v>
      </c>
      <c r="B1141" s="25">
        <f>TEXT(A1141,"YYYY-MM")</f>
        <v/>
      </c>
      <c r="C1141" s="25">
        <f>TEXT(A1141,"MMM-YYYY")</f>
        <v/>
      </c>
      <c r="D1141" s="40">
        <f>INT(A1141)-WEEKDAY(A1141,2)+1</f>
        <v/>
      </c>
      <c r="E1141" s="25" t="inlineStr">
        <is>
          <t>shassan</t>
        </is>
      </c>
      <c r="F1141" s="25" t="n">
        <v>4085</v>
      </c>
      <c r="G1141" s="25" t="n">
        <v>1</v>
      </c>
      <c r="H1141" s="25" t="n">
        <v>5</v>
      </c>
      <c r="I1141" s="25" t="inlineStr">
        <is>
          <t>2 minute(s) and 20 second(s)</t>
        </is>
      </c>
      <c r="J1141" s="25">
        <f>IFERROR(VALUE(TRIM(LEFT(I1141,FIND("minute",I1141)-1)))*60,0)+IFERROR(VALUE(SUBSTITUTE(MID(I1141,IFERROR(FIND("and",I1141)+3,1),20),"second(s)","")),0)</f>
        <v/>
      </c>
      <c r="K1141" s="41">
        <f>J1141/60</f>
        <v/>
      </c>
      <c r="L1141" s="41">
        <f>IFERROR(J1141/H1141,"")</f>
        <v/>
      </c>
      <c r="M1141" s="25" t="inlineStr">
        <is>
          <t>2.5.12</t>
        </is>
      </c>
      <c r="N1141" s="25">
        <f>IF(J1141&gt;300,1,0)</f>
        <v/>
      </c>
      <c r="O1141" s="25">
        <f>IF(J1141&gt;600,1,0)</f>
        <v/>
      </c>
      <c r="P1141" s="25">
        <f>IF(H1141&gt;0,J1141,"")</f>
        <v/>
      </c>
      <c r="Q1141" s="25">
        <f>TEXT(A1141,"YYYY-MM-DD HH")</f>
        <v/>
      </c>
      <c r="R1141" s="25">
        <f>COUNTIF($Q$2:$Q$5295,Q1141)</f>
        <v/>
      </c>
      <c r="S1141" s="25">
        <f>IF(R1141&lt;=2,"1-2",IF(R1141&lt;=5,"3-5",IF(R1141&lt;=10,"6-10","11+")))</f>
        <v/>
      </c>
    </row>
    <row r="1142">
      <c r="A1142" s="39" t="n">
        <v>46164.31546296296</v>
      </c>
      <c r="B1142" s="25">
        <f>TEXT(A1142,"YYYY-MM")</f>
        <v/>
      </c>
      <c r="C1142" s="25">
        <f>TEXT(A1142,"MMM-YYYY")</f>
        <v/>
      </c>
      <c r="D1142" s="40">
        <f>INT(A1142)-WEEKDAY(A1142,2)+1</f>
        <v/>
      </c>
      <c r="E1142" s="25" t="inlineStr">
        <is>
          <t>rts</t>
        </is>
      </c>
      <c r="F1142" s="25" t="n">
        <v>89542</v>
      </c>
      <c r="G1142" s="25" t="n">
        <v>2</v>
      </c>
      <c r="H1142" s="25" t="n">
        <v>8</v>
      </c>
      <c r="I1142" s="25" t="inlineStr">
        <is>
          <t>3 minute(s) and 22 second(s)</t>
        </is>
      </c>
      <c r="J1142" s="25">
        <f>IFERROR(VALUE(TRIM(LEFT(I1142,FIND("minute",I1142)-1)))*60,0)+IFERROR(VALUE(SUBSTITUTE(MID(I1142,IFERROR(FIND("and",I1142)+3,1),20),"second(s)","")),0)</f>
        <v/>
      </c>
      <c r="K1142" s="41">
        <f>J1142/60</f>
        <v/>
      </c>
      <c r="L1142" s="41">
        <f>IFERROR(J1142/H1142,"")</f>
        <v/>
      </c>
      <c r="M1142" s="25" t="inlineStr">
        <is>
          <t>2.5.12</t>
        </is>
      </c>
      <c r="N1142" s="25">
        <f>IF(J1142&gt;300,1,0)</f>
        <v/>
      </c>
      <c r="O1142" s="25">
        <f>IF(J1142&gt;600,1,0)</f>
        <v/>
      </c>
      <c r="P1142" s="25">
        <f>IF(H1142&gt;0,J1142,"")</f>
        <v/>
      </c>
      <c r="Q1142" s="25">
        <f>TEXT(A1142,"YYYY-MM-DD HH")</f>
        <v/>
      </c>
      <c r="R1142" s="25">
        <f>COUNTIF($Q$2:$Q$5295,Q1142)</f>
        <v/>
      </c>
      <c r="S1142" s="25">
        <f>IF(R1142&lt;=2,"1-2",IF(R1142&lt;=5,"3-5",IF(R1142&lt;=10,"6-10","11+")))</f>
        <v/>
      </c>
    </row>
    <row r="1143">
      <c r="A1143" s="39" t="n">
        <v>46164.32138888889</v>
      </c>
      <c r="B1143" s="25">
        <f>TEXT(A1143,"YYYY-MM")</f>
        <v/>
      </c>
      <c r="C1143" s="25">
        <f>TEXT(A1143,"MMM-YYYY")</f>
        <v/>
      </c>
      <c r="D1143" s="40">
        <f>INT(A1143)-WEEKDAY(A1143,2)+1</f>
        <v/>
      </c>
      <c r="E1143" s="25" t="inlineStr">
        <is>
          <t>akumari</t>
        </is>
      </c>
      <c r="F1143" s="25" t="n">
        <v>3186</v>
      </c>
      <c r="G1143" s="25" t="n">
        <v>1</v>
      </c>
      <c r="H1143" s="25" t="n">
        <v>7</v>
      </c>
      <c r="I1143" s="25" t="inlineStr">
        <is>
          <t>1 minute(s) and 10 second(s)</t>
        </is>
      </c>
      <c r="J1143" s="25">
        <f>IFERROR(VALUE(TRIM(LEFT(I1143,FIND("minute",I1143)-1)))*60,0)+IFERROR(VALUE(SUBSTITUTE(MID(I1143,IFERROR(FIND("and",I1143)+3,1),20),"second(s)","")),0)</f>
        <v/>
      </c>
      <c r="K1143" s="41">
        <f>J1143/60</f>
        <v/>
      </c>
      <c r="L1143" s="41">
        <f>IFERROR(J1143/H1143,"")</f>
        <v/>
      </c>
      <c r="M1143" s="25" t="inlineStr">
        <is>
          <t>2.5.12</t>
        </is>
      </c>
      <c r="N1143" s="25">
        <f>IF(J1143&gt;300,1,0)</f>
        <v/>
      </c>
      <c r="O1143" s="25">
        <f>IF(J1143&gt;600,1,0)</f>
        <v/>
      </c>
      <c r="P1143" s="25">
        <f>IF(H1143&gt;0,J1143,"")</f>
        <v/>
      </c>
      <c r="Q1143" s="25">
        <f>TEXT(A1143,"YYYY-MM-DD HH")</f>
        <v/>
      </c>
      <c r="R1143" s="25">
        <f>COUNTIF($Q$2:$Q$5295,Q1143)</f>
        <v/>
      </c>
      <c r="S1143" s="25">
        <f>IF(R1143&lt;=2,"1-2",IF(R1143&lt;=5,"3-5",IF(R1143&lt;=10,"6-10","11+")))</f>
        <v/>
      </c>
    </row>
    <row r="1144">
      <c r="A1144" s="39" t="n">
        <v>46164.32445601852</v>
      </c>
      <c r="B1144" s="25">
        <f>TEXT(A1144,"YYYY-MM")</f>
        <v/>
      </c>
      <c r="C1144" s="25">
        <f>TEXT(A1144,"MMM-YYYY")</f>
        <v/>
      </c>
      <c r="D1144" s="40">
        <f>INT(A1144)-WEEKDAY(A1144,2)+1</f>
        <v/>
      </c>
      <c r="E1144" s="25" t="inlineStr">
        <is>
          <t>mbohra</t>
        </is>
      </c>
      <c r="F1144" s="25" t="n">
        <v>89534</v>
      </c>
      <c r="G1144" s="25" t="n">
        <v>5</v>
      </c>
      <c r="H1144" s="25" t="n">
        <v>11</v>
      </c>
      <c r="I1144" s="25" t="inlineStr">
        <is>
          <t>3 minute(s) and 41 second(s)</t>
        </is>
      </c>
      <c r="J1144" s="25">
        <f>IFERROR(VALUE(TRIM(LEFT(I1144,FIND("minute",I1144)-1)))*60,0)+IFERROR(VALUE(SUBSTITUTE(MID(I1144,IFERROR(FIND("and",I1144)+3,1),20),"second(s)","")),0)</f>
        <v/>
      </c>
      <c r="K1144" s="41">
        <f>J1144/60</f>
        <v/>
      </c>
      <c r="L1144" s="41">
        <f>IFERROR(J1144/H1144,"")</f>
        <v/>
      </c>
      <c r="M1144" s="25" t="inlineStr">
        <is>
          <t>2.5.12</t>
        </is>
      </c>
      <c r="N1144" s="25">
        <f>IF(J1144&gt;300,1,0)</f>
        <v/>
      </c>
      <c r="O1144" s="25">
        <f>IF(J1144&gt;600,1,0)</f>
        <v/>
      </c>
      <c r="P1144" s="25">
        <f>IF(H1144&gt;0,J1144,"")</f>
        <v/>
      </c>
      <c r="Q1144" s="25">
        <f>TEXT(A1144,"YYYY-MM-DD HH")</f>
        <v/>
      </c>
      <c r="R1144" s="25">
        <f>COUNTIF($Q$2:$Q$5295,Q1144)</f>
        <v/>
      </c>
      <c r="S1144" s="25">
        <f>IF(R1144&lt;=2,"1-2",IF(R1144&lt;=5,"3-5",IF(R1144&lt;=10,"6-10","11+")))</f>
        <v/>
      </c>
    </row>
    <row r="1145">
      <c r="A1145" s="39" t="n">
        <v>46164.32773148148</v>
      </c>
      <c r="B1145" s="25">
        <f>TEXT(A1145,"YYYY-MM")</f>
        <v/>
      </c>
      <c r="C1145" s="25">
        <f>TEXT(A1145,"MMM-YYYY")</f>
        <v/>
      </c>
      <c r="D1145" s="40">
        <f>INT(A1145)-WEEKDAY(A1145,2)+1</f>
        <v/>
      </c>
      <c r="E1145" s="25" t="inlineStr">
        <is>
          <t>mbhalla</t>
        </is>
      </c>
      <c r="F1145" s="25" t="n">
        <v>3794</v>
      </c>
      <c r="G1145" s="25" t="n">
        <v>1</v>
      </c>
      <c r="H1145" s="25" t="n">
        <v>7</v>
      </c>
      <c r="I1145" s="25" t="inlineStr">
        <is>
          <t>1 minute(s) and 29 second(s)</t>
        </is>
      </c>
      <c r="J1145" s="25">
        <f>IFERROR(VALUE(TRIM(LEFT(I1145,FIND("minute",I1145)-1)))*60,0)+IFERROR(VALUE(SUBSTITUTE(MID(I1145,IFERROR(FIND("and",I1145)+3,1),20),"second(s)","")),0)</f>
        <v/>
      </c>
      <c r="K1145" s="41">
        <f>J1145/60</f>
        <v/>
      </c>
      <c r="L1145" s="41">
        <f>IFERROR(J1145/H1145,"")</f>
        <v/>
      </c>
      <c r="M1145" s="25" t="inlineStr">
        <is>
          <t>2.5.12</t>
        </is>
      </c>
      <c r="N1145" s="25">
        <f>IF(J1145&gt;300,1,0)</f>
        <v/>
      </c>
      <c r="O1145" s="25">
        <f>IF(J1145&gt;600,1,0)</f>
        <v/>
      </c>
      <c r="P1145" s="25">
        <f>IF(H1145&gt;0,J1145,"")</f>
        <v/>
      </c>
      <c r="Q1145" s="25">
        <f>TEXT(A1145,"YYYY-MM-DD HH")</f>
        <v/>
      </c>
      <c r="R1145" s="25">
        <f>COUNTIF($Q$2:$Q$5295,Q1145)</f>
        <v/>
      </c>
      <c r="S1145" s="25">
        <f>IF(R1145&lt;=2,"1-2",IF(R1145&lt;=5,"3-5",IF(R1145&lt;=10,"6-10","11+")))</f>
        <v/>
      </c>
    </row>
    <row r="1146">
      <c r="A1146" s="39" t="n">
        <v>46164.33144675926</v>
      </c>
      <c r="B1146" s="25">
        <f>TEXT(A1146,"YYYY-MM")</f>
        <v/>
      </c>
      <c r="C1146" s="25">
        <f>TEXT(A1146,"MMM-YYYY")</f>
        <v/>
      </c>
      <c r="D1146" s="40">
        <f>INT(A1146)-WEEKDAY(A1146,2)+1</f>
        <v/>
      </c>
      <c r="E1146" s="25" t="inlineStr">
        <is>
          <t>pmishra</t>
        </is>
      </c>
      <c r="F1146" s="25" t="n">
        <v>4216</v>
      </c>
      <c r="G1146" s="25" t="n">
        <v>1</v>
      </c>
      <c r="H1146" s="25" t="n">
        <v>7</v>
      </c>
      <c r="I1146" s="25" t="inlineStr">
        <is>
          <t>2 minute(s) and 36 second(s)</t>
        </is>
      </c>
      <c r="J1146" s="25">
        <f>IFERROR(VALUE(TRIM(LEFT(I1146,FIND("minute",I1146)-1)))*60,0)+IFERROR(VALUE(SUBSTITUTE(MID(I1146,IFERROR(FIND("and",I1146)+3,1),20),"second(s)","")),0)</f>
        <v/>
      </c>
      <c r="K1146" s="41">
        <f>J1146/60</f>
        <v/>
      </c>
      <c r="L1146" s="41">
        <f>IFERROR(J1146/H1146,"")</f>
        <v/>
      </c>
      <c r="M1146" s="25" t="inlineStr">
        <is>
          <t>2.5.12</t>
        </is>
      </c>
      <c r="N1146" s="25">
        <f>IF(J1146&gt;300,1,0)</f>
        <v/>
      </c>
      <c r="O1146" s="25">
        <f>IF(J1146&gt;600,1,0)</f>
        <v/>
      </c>
      <c r="P1146" s="25">
        <f>IF(H1146&gt;0,J1146,"")</f>
        <v/>
      </c>
      <c r="Q1146" s="25">
        <f>TEXT(A1146,"YYYY-MM-DD HH")</f>
        <v/>
      </c>
      <c r="R1146" s="25">
        <f>COUNTIF($Q$2:$Q$5295,Q1146)</f>
        <v/>
      </c>
      <c r="S1146" s="25">
        <f>IF(R1146&lt;=2,"1-2",IF(R1146&lt;=5,"3-5",IF(R1146&lt;=10,"6-10","11+")))</f>
        <v/>
      </c>
    </row>
    <row r="1147">
      <c r="A1147" s="39" t="n">
        <v>46164.34122685185</v>
      </c>
      <c r="B1147" s="25">
        <f>TEXT(A1147,"YYYY-MM")</f>
        <v/>
      </c>
      <c r="C1147" s="25">
        <f>TEXT(A1147,"MMM-YYYY")</f>
        <v/>
      </c>
      <c r="D1147" s="40">
        <f>INT(A1147)-WEEKDAY(A1147,2)+1</f>
        <v/>
      </c>
      <c r="E1147" s="25" t="inlineStr">
        <is>
          <t>ssrinivasan</t>
        </is>
      </c>
      <c r="F1147" s="25" t="n">
        <v>4300</v>
      </c>
      <c r="G1147" s="25" t="n">
        <v>1</v>
      </c>
      <c r="H1147" s="25" t="n">
        <v>5</v>
      </c>
      <c r="I1147" s="25" t="inlineStr">
        <is>
          <t>2 minute(s) and 47 second(s)</t>
        </is>
      </c>
      <c r="J1147" s="25">
        <f>IFERROR(VALUE(TRIM(LEFT(I1147,FIND("minute",I1147)-1)))*60,0)+IFERROR(VALUE(SUBSTITUTE(MID(I1147,IFERROR(FIND("and",I1147)+3,1),20),"second(s)","")),0)</f>
        <v/>
      </c>
      <c r="K1147" s="41">
        <f>J1147/60</f>
        <v/>
      </c>
      <c r="L1147" s="41">
        <f>IFERROR(J1147/H1147,"")</f>
        <v/>
      </c>
      <c r="M1147" s="25" t="inlineStr">
        <is>
          <t>2.5.12</t>
        </is>
      </c>
      <c r="N1147" s="25">
        <f>IF(J1147&gt;300,1,0)</f>
        <v/>
      </c>
      <c r="O1147" s="25">
        <f>IF(J1147&gt;600,1,0)</f>
        <v/>
      </c>
      <c r="P1147" s="25">
        <f>IF(H1147&gt;0,J1147,"")</f>
        <v/>
      </c>
      <c r="Q1147" s="25">
        <f>TEXT(A1147,"YYYY-MM-DD HH")</f>
        <v/>
      </c>
      <c r="R1147" s="25">
        <f>COUNTIF($Q$2:$Q$5295,Q1147)</f>
        <v/>
      </c>
      <c r="S1147" s="25">
        <f>IF(R1147&lt;=2,"1-2",IF(R1147&lt;=5,"3-5",IF(R1147&lt;=10,"6-10","11+")))</f>
        <v/>
      </c>
    </row>
    <row r="1148">
      <c r="A1148" s="39" t="n">
        <v>46164.341875</v>
      </c>
      <c r="B1148" s="25">
        <f>TEXT(A1148,"YYYY-MM")</f>
        <v/>
      </c>
      <c r="C1148" s="25">
        <f>TEXT(A1148,"MMM-YYYY")</f>
        <v/>
      </c>
      <c r="D1148" s="40">
        <f>INT(A1148)-WEEKDAY(A1148,2)+1</f>
        <v/>
      </c>
      <c r="E1148" s="25" t="inlineStr">
        <is>
          <t>abhaskarkp</t>
        </is>
      </c>
      <c r="F1148" s="25" t="n">
        <v>59075</v>
      </c>
      <c r="G1148" s="25" t="n">
        <v>2</v>
      </c>
      <c r="H1148" s="25" t="n">
        <v>8</v>
      </c>
      <c r="I1148" s="25" t="inlineStr">
        <is>
          <t>3 minute(s) and 1 second(s)</t>
        </is>
      </c>
      <c r="J1148" s="25">
        <f>IFERROR(VALUE(TRIM(LEFT(I1148,FIND("minute",I1148)-1)))*60,0)+IFERROR(VALUE(SUBSTITUTE(MID(I1148,IFERROR(FIND("and",I1148)+3,1),20),"second(s)","")),0)</f>
        <v/>
      </c>
      <c r="K1148" s="41">
        <f>J1148/60</f>
        <v/>
      </c>
      <c r="L1148" s="41">
        <f>IFERROR(J1148/H1148,"")</f>
        <v/>
      </c>
      <c r="M1148" s="25" t="inlineStr">
        <is>
          <t>2.5.12</t>
        </is>
      </c>
      <c r="N1148" s="25">
        <f>IF(J1148&gt;300,1,0)</f>
        <v/>
      </c>
      <c r="O1148" s="25">
        <f>IF(J1148&gt;600,1,0)</f>
        <v/>
      </c>
      <c r="P1148" s="25">
        <f>IF(H1148&gt;0,J1148,"")</f>
        <v/>
      </c>
      <c r="Q1148" s="25">
        <f>TEXT(A1148,"YYYY-MM-DD HH")</f>
        <v/>
      </c>
      <c r="R1148" s="25">
        <f>COUNTIF($Q$2:$Q$5295,Q1148)</f>
        <v/>
      </c>
      <c r="S1148" s="25">
        <f>IF(R1148&lt;=2,"1-2",IF(R1148&lt;=5,"3-5",IF(R1148&lt;=10,"6-10","11+")))</f>
        <v/>
      </c>
    </row>
    <row r="1149">
      <c r="A1149" s="39" t="n">
        <v>46164.34766203703</v>
      </c>
      <c r="B1149" s="25">
        <f>TEXT(A1149,"YYYY-MM")</f>
        <v/>
      </c>
      <c r="C1149" s="25">
        <f>TEXT(A1149,"MMM-YYYY")</f>
        <v/>
      </c>
      <c r="D1149" s="40">
        <f>INT(A1149)-WEEKDAY(A1149,2)+1</f>
        <v/>
      </c>
      <c r="E1149" s="25" t="inlineStr">
        <is>
          <t>psathwika</t>
        </is>
      </c>
      <c r="F1149" s="25" t="n">
        <v>104988</v>
      </c>
      <c r="G1149" s="25" t="n">
        <v>2</v>
      </c>
      <c r="H1149" s="25" t="n">
        <v>10</v>
      </c>
      <c r="I1149" s="25" t="inlineStr">
        <is>
          <t>3 minute(s) and 14 second(s)</t>
        </is>
      </c>
      <c r="J1149" s="25">
        <f>IFERROR(VALUE(TRIM(LEFT(I1149,FIND("minute",I1149)-1)))*60,0)+IFERROR(VALUE(SUBSTITUTE(MID(I1149,IFERROR(FIND("and",I1149)+3,1),20),"second(s)","")),0)</f>
        <v/>
      </c>
      <c r="K1149" s="41">
        <f>J1149/60</f>
        <v/>
      </c>
      <c r="L1149" s="41">
        <f>IFERROR(J1149/H1149,"")</f>
        <v/>
      </c>
      <c r="M1149" s="25" t="inlineStr">
        <is>
          <t>2.5.12</t>
        </is>
      </c>
      <c r="N1149" s="25">
        <f>IF(J1149&gt;300,1,0)</f>
        <v/>
      </c>
      <c r="O1149" s="25">
        <f>IF(J1149&gt;600,1,0)</f>
        <v/>
      </c>
      <c r="P1149" s="25">
        <f>IF(H1149&gt;0,J1149,"")</f>
        <v/>
      </c>
      <c r="Q1149" s="25">
        <f>TEXT(A1149,"YYYY-MM-DD HH")</f>
        <v/>
      </c>
      <c r="R1149" s="25">
        <f>COUNTIF($Q$2:$Q$5295,Q1149)</f>
        <v/>
      </c>
      <c r="S1149" s="25">
        <f>IF(R1149&lt;=2,"1-2",IF(R1149&lt;=5,"3-5",IF(R1149&lt;=10,"6-10","11+")))</f>
        <v/>
      </c>
    </row>
    <row r="1150">
      <c r="A1150" s="39" t="n">
        <v>46164.35228009259</v>
      </c>
      <c r="B1150" s="25">
        <f>TEXT(A1150,"YYYY-MM")</f>
        <v/>
      </c>
      <c r="C1150" s="25">
        <f>TEXT(A1150,"MMM-YYYY")</f>
        <v/>
      </c>
      <c r="D1150" s="40">
        <f>INT(A1150)-WEEKDAY(A1150,2)+1</f>
        <v/>
      </c>
      <c r="E1150" s="25" t="inlineStr">
        <is>
          <t>csaha</t>
        </is>
      </c>
      <c r="F1150" s="25" t="n">
        <v>4405</v>
      </c>
      <c r="G1150" s="25" t="n">
        <v>1</v>
      </c>
      <c r="H1150" s="25" t="n">
        <v>7</v>
      </c>
      <c r="I1150" s="25" t="inlineStr">
        <is>
          <t>1 minute(s) and 17 second(s)</t>
        </is>
      </c>
      <c r="J1150" s="25">
        <f>IFERROR(VALUE(TRIM(LEFT(I1150,FIND("minute",I1150)-1)))*60,0)+IFERROR(VALUE(SUBSTITUTE(MID(I1150,IFERROR(FIND("and",I1150)+3,1),20),"second(s)","")),0)</f>
        <v/>
      </c>
      <c r="K1150" s="41">
        <f>J1150/60</f>
        <v/>
      </c>
      <c r="L1150" s="41">
        <f>IFERROR(J1150/H1150,"")</f>
        <v/>
      </c>
      <c r="M1150" s="25" t="inlineStr">
        <is>
          <t>2.5.12</t>
        </is>
      </c>
      <c r="N1150" s="25">
        <f>IF(J1150&gt;300,1,0)</f>
        <v/>
      </c>
      <c r="O1150" s="25">
        <f>IF(J1150&gt;600,1,0)</f>
        <v/>
      </c>
      <c r="P1150" s="25">
        <f>IF(H1150&gt;0,J1150,"")</f>
        <v/>
      </c>
      <c r="Q1150" s="25">
        <f>TEXT(A1150,"YYYY-MM-DD HH")</f>
        <v/>
      </c>
      <c r="R1150" s="25">
        <f>COUNTIF($Q$2:$Q$5295,Q1150)</f>
        <v/>
      </c>
      <c r="S1150" s="25">
        <f>IF(R1150&lt;=2,"1-2",IF(R1150&lt;=5,"3-5",IF(R1150&lt;=10,"6-10","11+")))</f>
        <v/>
      </c>
    </row>
    <row r="1151">
      <c r="A1151" s="39" t="n">
        <v>46164.35321759259</v>
      </c>
      <c r="B1151" s="25">
        <f>TEXT(A1151,"YYYY-MM")</f>
        <v/>
      </c>
      <c r="C1151" s="25">
        <f>TEXT(A1151,"MMM-YYYY")</f>
        <v/>
      </c>
      <c r="D1151" s="40">
        <f>INT(A1151)-WEEKDAY(A1151,2)+1</f>
        <v/>
      </c>
      <c r="E1151" s="25" t="inlineStr">
        <is>
          <t>pgautam</t>
        </is>
      </c>
      <c r="F1151" s="25" t="n">
        <v>22048</v>
      </c>
      <c r="G1151" s="25" t="n">
        <v>5</v>
      </c>
      <c r="H1151" s="25" t="n">
        <v>30</v>
      </c>
      <c r="I1151" s="25" t="inlineStr">
        <is>
          <t>7 minute(s) and 18 second(s)</t>
        </is>
      </c>
      <c r="J1151" s="25">
        <f>IFERROR(VALUE(TRIM(LEFT(I1151,FIND("minute",I1151)-1)))*60,0)+IFERROR(VALUE(SUBSTITUTE(MID(I1151,IFERROR(FIND("and",I1151)+3,1),20),"second(s)","")),0)</f>
        <v/>
      </c>
      <c r="K1151" s="41">
        <f>J1151/60</f>
        <v/>
      </c>
      <c r="L1151" s="41">
        <f>IFERROR(J1151/H1151,"")</f>
        <v/>
      </c>
      <c r="M1151" s="25" t="inlineStr">
        <is>
          <t>2.5.12</t>
        </is>
      </c>
      <c r="N1151" s="25">
        <f>IF(J1151&gt;300,1,0)</f>
        <v/>
      </c>
      <c r="O1151" s="25">
        <f>IF(J1151&gt;600,1,0)</f>
        <v/>
      </c>
      <c r="P1151" s="25">
        <f>IF(H1151&gt;0,J1151,"")</f>
        <v/>
      </c>
      <c r="Q1151" s="25">
        <f>TEXT(A1151,"YYYY-MM-DD HH")</f>
        <v/>
      </c>
      <c r="R1151" s="25">
        <f>COUNTIF($Q$2:$Q$5295,Q1151)</f>
        <v/>
      </c>
      <c r="S1151" s="25">
        <f>IF(R1151&lt;=2,"1-2",IF(R1151&lt;=5,"3-5",IF(R1151&lt;=10,"6-10","11+")))</f>
        <v/>
      </c>
    </row>
    <row r="1152">
      <c r="A1152" s="39" t="n">
        <v>46164.35619212963</v>
      </c>
      <c r="B1152" s="25">
        <f>TEXT(A1152,"YYYY-MM")</f>
        <v/>
      </c>
      <c r="C1152" s="25">
        <f>TEXT(A1152,"MMM-YYYY")</f>
        <v/>
      </c>
      <c r="D1152" s="40">
        <f>INT(A1152)-WEEKDAY(A1152,2)+1</f>
        <v/>
      </c>
      <c r="E1152" s="25" t="inlineStr">
        <is>
          <t>asahoo</t>
        </is>
      </c>
      <c r="F1152" s="25" t="n">
        <v>3380</v>
      </c>
      <c r="G1152" s="25" t="n">
        <v>1</v>
      </c>
      <c r="H1152" s="25" t="n">
        <v>7</v>
      </c>
      <c r="I1152" s="25" t="inlineStr">
        <is>
          <t>3 minute(s) and 12 second(s)</t>
        </is>
      </c>
      <c r="J1152" s="25">
        <f>IFERROR(VALUE(TRIM(LEFT(I1152,FIND("minute",I1152)-1)))*60,0)+IFERROR(VALUE(SUBSTITUTE(MID(I1152,IFERROR(FIND("and",I1152)+3,1),20),"second(s)","")),0)</f>
        <v/>
      </c>
      <c r="K1152" s="41">
        <f>J1152/60</f>
        <v/>
      </c>
      <c r="L1152" s="41">
        <f>IFERROR(J1152/H1152,"")</f>
        <v/>
      </c>
      <c r="M1152" s="25" t="inlineStr">
        <is>
          <t>2.5.12</t>
        </is>
      </c>
      <c r="N1152" s="25">
        <f>IF(J1152&gt;300,1,0)</f>
        <v/>
      </c>
      <c r="O1152" s="25">
        <f>IF(J1152&gt;600,1,0)</f>
        <v/>
      </c>
      <c r="P1152" s="25">
        <f>IF(H1152&gt;0,J1152,"")</f>
        <v/>
      </c>
      <c r="Q1152" s="25">
        <f>TEXT(A1152,"YYYY-MM-DD HH")</f>
        <v/>
      </c>
      <c r="R1152" s="25">
        <f>COUNTIF($Q$2:$Q$5295,Q1152)</f>
        <v/>
      </c>
      <c r="S1152" s="25">
        <f>IF(R1152&lt;=2,"1-2",IF(R1152&lt;=5,"3-5",IF(R1152&lt;=10,"6-10","11+")))</f>
        <v/>
      </c>
    </row>
    <row r="1153">
      <c r="A1153" s="39" t="n">
        <v>46164.35880787037</v>
      </c>
      <c r="B1153" s="25">
        <f>TEXT(A1153,"YYYY-MM")</f>
        <v/>
      </c>
      <c r="C1153" s="25">
        <f>TEXT(A1153,"MMM-YYYY")</f>
        <v/>
      </c>
      <c r="D1153" s="40">
        <f>INT(A1153)-WEEKDAY(A1153,2)+1</f>
        <v/>
      </c>
      <c r="E1153" s="25" t="inlineStr">
        <is>
          <t>asahoo</t>
        </is>
      </c>
      <c r="F1153" s="25" t="n">
        <v>3381</v>
      </c>
      <c r="G1153" s="25" t="n">
        <v>1</v>
      </c>
      <c r="H1153" s="25" t="n">
        <v>7</v>
      </c>
      <c r="I1153" s="25" t="inlineStr">
        <is>
          <t>2 minute(s) and 55 second(s)</t>
        </is>
      </c>
      <c r="J1153" s="25">
        <f>IFERROR(VALUE(TRIM(LEFT(I1153,FIND("minute",I1153)-1)))*60,0)+IFERROR(VALUE(SUBSTITUTE(MID(I1153,IFERROR(FIND("and",I1153)+3,1),20),"second(s)","")),0)</f>
        <v/>
      </c>
      <c r="K1153" s="41">
        <f>J1153/60</f>
        <v/>
      </c>
      <c r="L1153" s="41">
        <f>IFERROR(J1153/H1153,"")</f>
        <v/>
      </c>
      <c r="M1153" s="25" t="inlineStr">
        <is>
          <t>2.5.12</t>
        </is>
      </c>
      <c r="N1153" s="25">
        <f>IF(J1153&gt;300,1,0)</f>
        <v/>
      </c>
      <c r="O1153" s="25">
        <f>IF(J1153&gt;600,1,0)</f>
        <v/>
      </c>
      <c r="P1153" s="25">
        <f>IF(H1153&gt;0,J1153,"")</f>
        <v/>
      </c>
      <c r="Q1153" s="25">
        <f>TEXT(A1153,"YYYY-MM-DD HH")</f>
        <v/>
      </c>
      <c r="R1153" s="25">
        <f>COUNTIF($Q$2:$Q$5295,Q1153)</f>
        <v/>
      </c>
      <c r="S1153" s="25">
        <f>IF(R1153&lt;=2,"1-2",IF(R1153&lt;=5,"3-5",IF(R1153&lt;=10,"6-10","11+")))</f>
        <v/>
      </c>
    </row>
    <row r="1154">
      <c r="A1154" s="39" t="n">
        <v>46164.36371527778</v>
      </c>
      <c r="B1154" s="25">
        <f>TEXT(A1154,"YYYY-MM")</f>
        <v/>
      </c>
      <c r="C1154" s="25">
        <f>TEXT(A1154,"MMM-YYYY")</f>
        <v/>
      </c>
      <c r="D1154" s="40">
        <f>INT(A1154)-WEEKDAY(A1154,2)+1</f>
        <v/>
      </c>
      <c r="E1154" s="25" t="inlineStr">
        <is>
          <t>vraina</t>
        </is>
      </c>
      <c r="F1154" s="25" t="n">
        <v>3914</v>
      </c>
      <c r="G1154" s="25" t="n">
        <v>1</v>
      </c>
      <c r="H1154" s="25" t="n">
        <v>7</v>
      </c>
      <c r="I1154" s="25" t="inlineStr">
        <is>
          <t>2 minute(s) and 39 second(s)</t>
        </is>
      </c>
      <c r="J1154" s="25">
        <f>IFERROR(VALUE(TRIM(LEFT(I1154,FIND("minute",I1154)-1)))*60,0)+IFERROR(VALUE(SUBSTITUTE(MID(I1154,IFERROR(FIND("and",I1154)+3,1),20),"second(s)","")),0)</f>
        <v/>
      </c>
      <c r="K1154" s="41">
        <f>J1154/60</f>
        <v/>
      </c>
      <c r="L1154" s="41">
        <f>IFERROR(J1154/H1154,"")</f>
        <v/>
      </c>
      <c r="M1154" s="25" t="inlineStr">
        <is>
          <t>2.5.12</t>
        </is>
      </c>
      <c r="N1154" s="25">
        <f>IF(J1154&gt;300,1,0)</f>
        <v/>
      </c>
      <c r="O1154" s="25">
        <f>IF(J1154&gt;600,1,0)</f>
        <v/>
      </c>
      <c r="P1154" s="25">
        <f>IF(H1154&gt;0,J1154,"")</f>
        <v/>
      </c>
      <c r="Q1154" s="25">
        <f>TEXT(A1154,"YYYY-MM-DD HH")</f>
        <v/>
      </c>
      <c r="R1154" s="25">
        <f>COUNTIF($Q$2:$Q$5295,Q1154)</f>
        <v/>
      </c>
      <c r="S1154" s="25">
        <f>IF(R1154&lt;=2,"1-2",IF(R1154&lt;=5,"3-5",IF(R1154&lt;=10,"6-10","11+")))</f>
        <v/>
      </c>
    </row>
    <row r="1155">
      <c r="A1155" s="39" t="n">
        <v>46164.36892361111</v>
      </c>
      <c r="B1155" s="25">
        <f>TEXT(A1155,"YYYY-MM")</f>
        <v/>
      </c>
      <c r="C1155" s="25">
        <f>TEXT(A1155,"MMM-YYYY")</f>
        <v/>
      </c>
      <c r="D1155" s="40">
        <f>INT(A1155)-WEEKDAY(A1155,2)+1</f>
        <v/>
      </c>
      <c r="E1155" s="25" t="inlineStr">
        <is>
          <t>ssaha</t>
        </is>
      </c>
      <c r="F1155" s="25" t="n">
        <v>4119</v>
      </c>
      <c r="G1155" s="25" t="n">
        <v>1</v>
      </c>
      <c r="H1155" s="25" t="n">
        <v>7</v>
      </c>
      <c r="I1155" s="25" t="inlineStr">
        <is>
          <t>4 minute(s) and 45 second(s)</t>
        </is>
      </c>
      <c r="J1155" s="25">
        <f>IFERROR(VALUE(TRIM(LEFT(I1155,FIND("minute",I1155)-1)))*60,0)+IFERROR(VALUE(SUBSTITUTE(MID(I1155,IFERROR(FIND("and",I1155)+3,1),20),"second(s)","")),0)</f>
        <v/>
      </c>
      <c r="K1155" s="41">
        <f>J1155/60</f>
        <v/>
      </c>
      <c r="L1155" s="41">
        <f>IFERROR(J1155/H1155,"")</f>
        <v/>
      </c>
      <c r="M1155" s="25" t="inlineStr">
        <is>
          <t>2.5.12</t>
        </is>
      </c>
      <c r="N1155" s="25">
        <f>IF(J1155&gt;300,1,0)</f>
        <v/>
      </c>
      <c r="O1155" s="25">
        <f>IF(J1155&gt;600,1,0)</f>
        <v/>
      </c>
      <c r="P1155" s="25">
        <f>IF(H1155&gt;0,J1155,"")</f>
        <v/>
      </c>
      <c r="Q1155" s="25">
        <f>TEXT(A1155,"YYYY-MM-DD HH")</f>
        <v/>
      </c>
      <c r="R1155" s="25">
        <f>COUNTIF($Q$2:$Q$5295,Q1155)</f>
        <v/>
      </c>
      <c r="S1155" s="25">
        <f>IF(R1155&lt;=2,"1-2",IF(R1155&lt;=5,"3-5",IF(R1155&lt;=10,"6-10","11+")))</f>
        <v/>
      </c>
    </row>
    <row r="1156">
      <c r="A1156" s="39" t="n">
        <v>46164.3731712963</v>
      </c>
      <c r="B1156" s="25">
        <f>TEXT(A1156,"YYYY-MM")</f>
        <v/>
      </c>
      <c r="C1156" s="25">
        <f>TEXT(A1156,"MMM-YYYY")</f>
        <v/>
      </c>
      <c r="D1156" s="40">
        <f>INT(A1156)-WEEKDAY(A1156,2)+1</f>
        <v/>
      </c>
      <c r="E1156" s="25" t="inlineStr">
        <is>
          <t>mgupta</t>
        </is>
      </c>
      <c r="F1156" s="25" t="n">
        <v>89552</v>
      </c>
      <c r="G1156" s="25" t="n">
        <v>2</v>
      </c>
      <c r="H1156" s="25" t="n">
        <v>14</v>
      </c>
      <c r="I1156" s="25" t="inlineStr">
        <is>
          <t>2 minute(s) and 42 second(s)</t>
        </is>
      </c>
      <c r="J1156" s="25">
        <f>IFERROR(VALUE(TRIM(LEFT(I1156,FIND("minute",I1156)-1)))*60,0)+IFERROR(VALUE(SUBSTITUTE(MID(I1156,IFERROR(FIND("and",I1156)+3,1),20),"second(s)","")),0)</f>
        <v/>
      </c>
      <c r="K1156" s="41">
        <f>J1156/60</f>
        <v/>
      </c>
      <c r="L1156" s="41">
        <f>IFERROR(J1156/H1156,"")</f>
        <v/>
      </c>
      <c r="M1156" s="25" t="inlineStr">
        <is>
          <t>2.5.12</t>
        </is>
      </c>
      <c r="N1156" s="25">
        <f>IF(J1156&gt;300,1,0)</f>
        <v/>
      </c>
      <c r="O1156" s="25">
        <f>IF(J1156&gt;600,1,0)</f>
        <v/>
      </c>
      <c r="P1156" s="25">
        <f>IF(H1156&gt;0,J1156,"")</f>
        <v/>
      </c>
      <c r="Q1156" s="25">
        <f>TEXT(A1156,"YYYY-MM-DD HH")</f>
        <v/>
      </c>
      <c r="R1156" s="25">
        <f>COUNTIF($Q$2:$Q$5295,Q1156)</f>
        <v/>
      </c>
      <c r="S1156" s="25">
        <f>IF(R1156&lt;=2,"1-2",IF(R1156&lt;=5,"3-5",IF(R1156&lt;=10,"6-10","11+")))</f>
        <v/>
      </c>
    </row>
    <row r="1157">
      <c r="A1157" s="39" t="n">
        <v>46164.37490740741</v>
      </c>
      <c r="B1157" s="25">
        <f>TEXT(A1157,"YYYY-MM")</f>
        <v/>
      </c>
      <c r="C1157" s="25">
        <f>TEXT(A1157,"MMM-YYYY")</f>
        <v/>
      </c>
      <c r="D1157" s="40">
        <f>INT(A1157)-WEEKDAY(A1157,2)+1</f>
        <v/>
      </c>
      <c r="E1157" s="25" t="inlineStr">
        <is>
          <t>hdutt</t>
        </is>
      </c>
      <c r="F1157" s="25" t="n">
        <v>107588</v>
      </c>
      <c r="G1157" s="25" t="n">
        <v>1</v>
      </c>
      <c r="H1157" s="25" t="n">
        <v>5</v>
      </c>
      <c r="I1157" s="25" t="inlineStr">
        <is>
          <t>39 second(s)</t>
        </is>
      </c>
      <c r="J1157" s="25">
        <f>IFERROR(VALUE(TRIM(LEFT(I1157,FIND("minute",I1157)-1)))*60,0)+IFERROR(VALUE(SUBSTITUTE(MID(I1157,IFERROR(FIND("and",I1157)+3,1),20),"second(s)","")),0)</f>
        <v/>
      </c>
      <c r="K1157" s="41">
        <f>J1157/60</f>
        <v/>
      </c>
      <c r="L1157" s="41">
        <f>IFERROR(J1157/H1157,"")</f>
        <v/>
      </c>
      <c r="M1157" s="25" t="inlineStr">
        <is>
          <t>2.5.12</t>
        </is>
      </c>
      <c r="N1157" s="25">
        <f>IF(J1157&gt;300,1,0)</f>
        <v/>
      </c>
      <c r="O1157" s="25">
        <f>IF(J1157&gt;600,1,0)</f>
        <v/>
      </c>
      <c r="P1157" s="25">
        <f>IF(H1157&gt;0,J1157,"")</f>
        <v/>
      </c>
      <c r="Q1157" s="25">
        <f>TEXT(A1157,"YYYY-MM-DD HH")</f>
        <v/>
      </c>
      <c r="R1157" s="25">
        <f>COUNTIF($Q$2:$Q$5295,Q1157)</f>
        <v/>
      </c>
      <c r="S1157" s="25">
        <f>IF(R1157&lt;=2,"1-2",IF(R1157&lt;=5,"3-5",IF(R1157&lt;=10,"6-10","11+")))</f>
        <v/>
      </c>
    </row>
    <row r="1158">
      <c r="A1158" s="39" t="n">
        <v>46164.37607638889</v>
      </c>
      <c r="B1158" s="25">
        <f>TEXT(A1158,"YYYY-MM")</f>
        <v/>
      </c>
      <c r="C1158" s="25">
        <f>TEXT(A1158,"MMM-YYYY")</f>
        <v/>
      </c>
      <c r="D1158" s="40">
        <f>INT(A1158)-WEEKDAY(A1158,2)+1</f>
        <v/>
      </c>
      <c r="E1158" s="25" t="inlineStr">
        <is>
          <t>npriya</t>
        </is>
      </c>
      <c r="F1158" s="25" t="n">
        <v>4908</v>
      </c>
      <c r="G1158" s="25" t="n">
        <v>2</v>
      </c>
      <c r="H1158" s="25" t="n">
        <v>10</v>
      </c>
      <c r="I1158" s="25" t="inlineStr">
        <is>
          <t>3 minute(s) and 43 second(s)</t>
        </is>
      </c>
      <c r="J1158" s="25">
        <f>IFERROR(VALUE(TRIM(LEFT(I1158,FIND("minute",I1158)-1)))*60,0)+IFERROR(VALUE(SUBSTITUTE(MID(I1158,IFERROR(FIND("and",I1158)+3,1),20),"second(s)","")),0)</f>
        <v/>
      </c>
      <c r="K1158" s="41">
        <f>J1158/60</f>
        <v/>
      </c>
      <c r="L1158" s="41">
        <f>IFERROR(J1158/H1158,"")</f>
        <v/>
      </c>
      <c r="M1158" s="25" t="inlineStr">
        <is>
          <t>2.5.12</t>
        </is>
      </c>
      <c r="N1158" s="25">
        <f>IF(J1158&gt;300,1,0)</f>
        <v/>
      </c>
      <c r="O1158" s="25">
        <f>IF(J1158&gt;600,1,0)</f>
        <v/>
      </c>
      <c r="P1158" s="25">
        <f>IF(H1158&gt;0,J1158,"")</f>
        <v/>
      </c>
      <c r="Q1158" s="25">
        <f>TEXT(A1158,"YYYY-MM-DD HH")</f>
        <v/>
      </c>
      <c r="R1158" s="25">
        <f>COUNTIF($Q$2:$Q$5295,Q1158)</f>
        <v/>
      </c>
      <c r="S1158" s="25">
        <f>IF(R1158&lt;=2,"1-2",IF(R1158&lt;=5,"3-5",IF(R1158&lt;=10,"6-10","11+")))</f>
        <v/>
      </c>
    </row>
    <row r="1159">
      <c r="A1159" s="39" t="n">
        <v>46164.37725694444</v>
      </c>
      <c r="B1159" s="25">
        <f>TEXT(A1159,"YYYY-MM")</f>
        <v/>
      </c>
      <c r="C1159" s="25">
        <f>TEXT(A1159,"MMM-YYYY")</f>
        <v/>
      </c>
      <c r="D1159" s="40">
        <f>INT(A1159)-WEEKDAY(A1159,2)+1</f>
        <v/>
      </c>
      <c r="E1159" s="25" t="inlineStr">
        <is>
          <t>ssaha</t>
        </is>
      </c>
      <c r="F1159" s="25" t="n">
        <v>4120</v>
      </c>
      <c r="G1159" s="25" t="n">
        <v>1</v>
      </c>
      <c r="H1159" s="25" t="n">
        <v>7</v>
      </c>
      <c r="I1159" s="25" t="inlineStr">
        <is>
          <t>2 minute(s) and 27 second(s)</t>
        </is>
      </c>
      <c r="J1159" s="25">
        <f>IFERROR(VALUE(TRIM(LEFT(I1159,FIND("minute",I1159)-1)))*60,0)+IFERROR(VALUE(SUBSTITUTE(MID(I1159,IFERROR(FIND("and",I1159)+3,1),20),"second(s)","")),0)</f>
        <v/>
      </c>
      <c r="K1159" s="41">
        <f>J1159/60</f>
        <v/>
      </c>
      <c r="L1159" s="41">
        <f>IFERROR(J1159/H1159,"")</f>
        <v/>
      </c>
      <c r="M1159" s="25" t="inlineStr">
        <is>
          <t>2.5.12</t>
        </is>
      </c>
      <c r="N1159" s="25">
        <f>IF(J1159&gt;300,1,0)</f>
        <v/>
      </c>
      <c r="O1159" s="25">
        <f>IF(J1159&gt;600,1,0)</f>
        <v/>
      </c>
      <c r="P1159" s="25">
        <f>IF(H1159&gt;0,J1159,"")</f>
        <v/>
      </c>
      <c r="Q1159" s="25">
        <f>TEXT(A1159,"YYYY-MM-DD HH")</f>
        <v/>
      </c>
      <c r="R1159" s="25">
        <f>COUNTIF($Q$2:$Q$5295,Q1159)</f>
        <v/>
      </c>
      <c r="S1159" s="25">
        <f>IF(R1159&lt;=2,"1-2",IF(R1159&lt;=5,"3-5",IF(R1159&lt;=10,"6-10","11+")))</f>
        <v/>
      </c>
    </row>
    <row r="1160">
      <c r="A1160" s="39" t="n">
        <v>46164.37732638889</v>
      </c>
      <c r="B1160" s="25">
        <f>TEXT(A1160,"YYYY-MM")</f>
        <v/>
      </c>
      <c r="C1160" s="25">
        <f>TEXT(A1160,"MMM-YYYY")</f>
        <v/>
      </c>
      <c r="D1160" s="40">
        <f>INT(A1160)-WEEKDAY(A1160,2)+1</f>
        <v/>
      </c>
      <c r="E1160" s="25" t="inlineStr">
        <is>
          <t>sdey</t>
        </is>
      </c>
      <c r="F1160" s="25" t="n">
        <v>4256</v>
      </c>
      <c r="G1160" s="25" t="n">
        <v>1</v>
      </c>
      <c r="H1160" s="25" t="n">
        <v>7</v>
      </c>
      <c r="I1160" s="25" t="inlineStr">
        <is>
          <t>2 minute(s) and 56 second(s)</t>
        </is>
      </c>
      <c r="J1160" s="25">
        <f>IFERROR(VALUE(TRIM(LEFT(I1160,FIND("minute",I1160)-1)))*60,0)+IFERROR(VALUE(SUBSTITUTE(MID(I1160,IFERROR(FIND("and",I1160)+3,1),20),"second(s)","")),0)</f>
        <v/>
      </c>
      <c r="K1160" s="41">
        <f>J1160/60</f>
        <v/>
      </c>
      <c r="L1160" s="41">
        <f>IFERROR(J1160/H1160,"")</f>
        <v/>
      </c>
      <c r="M1160" s="25" t="inlineStr">
        <is>
          <t>2.5.12</t>
        </is>
      </c>
      <c r="N1160" s="25">
        <f>IF(J1160&gt;300,1,0)</f>
        <v/>
      </c>
      <c r="O1160" s="25">
        <f>IF(J1160&gt;600,1,0)</f>
        <v/>
      </c>
      <c r="P1160" s="25">
        <f>IF(H1160&gt;0,J1160,"")</f>
        <v/>
      </c>
      <c r="Q1160" s="25">
        <f>TEXT(A1160,"YYYY-MM-DD HH")</f>
        <v/>
      </c>
      <c r="R1160" s="25">
        <f>COUNTIF($Q$2:$Q$5295,Q1160)</f>
        <v/>
      </c>
      <c r="S1160" s="25">
        <f>IF(R1160&lt;=2,"1-2",IF(R1160&lt;=5,"3-5",IF(R1160&lt;=10,"6-10","11+")))</f>
        <v/>
      </c>
    </row>
    <row r="1161">
      <c r="A1161" s="39" t="n">
        <v>46164.37991898148</v>
      </c>
      <c r="B1161" s="25">
        <f>TEXT(A1161,"YYYY-MM")</f>
        <v/>
      </c>
      <c r="C1161" s="25">
        <f>TEXT(A1161,"MMM-YYYY")</f>
        <v/>
      </c>
      <c r="D1161" s="40">
        <f>INT(A1161)-WEEKDAY(A1161,2)+1</f>
        <v/>
      </c>
      <c r="E1161" s="25" t="inlineStr">
        <is>
          <t>rts</t>
        </is>
      </c>
      <c r="F1161" s="25" t="n">
        <v>89830</v>
      </c>
      <c r="G1161" s="25" t="n">
        <v>4</v>
      </c>
      <c r="H1161" s="25" t="n">
        <v>22</v>
      </c>
      <c r="I1161" s="25" t="inlineStr">
        <is>
          <t>6 minute(s) and 8 second(s)</t>
        </is>
      </c>
      <c r="J1161" s="25">
        <f>IFERROR(VALUE(TRIM(LEFT(I1161,FIND("minute",I1161)-1)))*60,0)+IFERROR(VALUE(SUBSTITUTE(MID(I1161,IFERROR(FIND("and",I1161)+3,1),20),"second(s)","")),0)</f>
        <v/>
      </c>
      <c r="K1161" s="41">
        <f>J1161/60</f>
        <v/>
      </c>
      <c r="L1161" s="41">
        <f>IFERROR(J1161/H1161,"")</f>
        <v/>
      </c>
      <c r="M1161" s="25" t="inlineStr">
        <is>
          <t>2.5.12</t>
        </is>
      </c>
      <c r="N1161" s="25">
        <f>IF(J1161&gt;300,1,0)</f>
        <v/>
      </c>
      <c r="O1161" s="25">
        <f>IF(J1161&gt;600,1,0)</f>
        <v/>
      </c>
      <c r="P1161" s="25">
        <f>IF(H1161&gt;0,J1161,"")</f>
        <v/>
      </c>
      <c r="Q1161" s="25">
        <f>TEXT(A1161,"YYYY-MM-DD HH")</f>
        <v/>
      </c>
      <c r="R1161" s="25">
        <f>COUNTIF($Q$2:$Q$5295,Q1161)</f>
        <v/>
      </c>
      <c r="S1161" s="25">
        <f>IF(R1161&lt;=2,"1-2",IF(R1161&lt;=5,"3-5",IF(R1161&lt;=10,"6-10","11+")))</f>
        <v/>
      </c>
    </row>
    <row r="1162">
      <c r="A1162" s="39" t="n">
        <v>46164.38030092593</v>
      </c>
      <c r="B1162" s="25">
        <f>TEXT(A1162,"YYYY-MM")</f>
        <v/>
      </c>
      <c r="C1162" s="25">
        <f>TEXT(A1162,"MMM-YYYY")</f>
        <v/>
      </c>
      <c r="D1162" s="40">
        <f>INT(A1162)-WEEKDAY(A1162,2)+1</f>
        <v/>
      </c>
      <c r="E1162" s="25" t="inlineStr">
        <is>
          <t>mbohra</t>
        </is>
      </c>
      <c r="F1162" s="25" t="n">
        <v>89832</v>
      </c>
      <c r="G1162" s="25" t="n">
        <v>5</v>
      </c>
      <c r="H1162" s="25" t="n">
        <v>27</v>
      </c>
      <c r="I1162" s="25" t="inlineStr">
        <is>
          <t>6 minute(s) and 32 second(s)</t>
        </is>
      </c>
      <c r="J1162" s="25">
        <f>IFERROR(VALUE(TRIM(LEFT(I1162,FIND("minute",I1162)-1)))*60,0)+IFERROR(VALUE(SUBSTITUTE(MID(I1162,IFERROR(FIND("and",I1162)+3,1),20),"second(s)","")),0)</f>
        <v/>
      </c>
      <c r="K1162" s="41">
        <f>J1162/60</f>
        <v/>
      </c>
      <c r="L1162" s="41">
        <f>IFERROR(J1162/H1162,"")</f>
        <v/>
      </c>
      <c r="M1162" s="25" t="inlineStr">
        <is>
          <t>2.5.12</t>
        </is>
      </c>
      <c r="N1162" s="25">
        <f>IF(J1162&gt;300,1,0)</f>
        <v/>
      </c>
      <c r="O1162" s="25">
        <f>IF(J1162&gt;600,1,0)</f>
        <v/>
      </c>
      <c r="P1162" s="25">
        <f>IF(H1162&gt;0,J1162,"")</f>
        <v/>
      </c>
      <c r="Q1162" s="25">
        <f>TEXT(A1162,"YYYY-MM-DD HH")</f>
        <v/>
      </c>
      <c r="R1162" s="25">
        <f>COUNTIF($Q$2:$Q$5295,Q1162)</f>
        <v/>
      </c>
      <c r="S1162" s="25">
        <f>IF(R1162&lt;=2,"1-2",IF(R1162&lt;=5,"3-5",IF(R1162&lt;=10,"6-10","11+")))</f>
        <v/>
      </c>
    </row>
    <row r="1163">
      <c r="A1163" s="39" t="n">
        <v>46164.380625</v>
      </c>
      <c r="B1163" s="25">
        <f>TEXT(A1163,"YYYY-MM")</f>
        <v/>
      </c>
      <c r="C1163" s="25">
        <f>TEXT(A1163,"MMM-YYYY")</f>
        <v/>
      </c>
      <c r="D1163" s="40">
        <f>INT(A1163)-WEEKDAY(A1163,2)+1</f>
        <v/>
      </c>
      <c r="E1163" s="25" t="inlineStr">
        <is>
          <t>csaha</t>
        </is>
      </c>
      <c r="F1163" s="25" t="n">
        <v>4407</v>
      </c>
      <c r="G1163" s="25" t="n">
        <v>1</v>
      </c>
      <c r="H1163" s="25" t="n">
        <v>7</v>
      </c>
      <c r="I1163" s="25" t="inlineStr">
        <is>
          <t>2 minute(s) and 31 second(s)</t>
        </is>
      </c>
      <c r="J1163" s="25">
        <f>IFERROR(VALUE(TRIM(LEFT(I1163,FIND("minute",I1163)-1)))*60,0)+IFERROR(VALUE(SUBSTITUTE(MID(I1163,IFERROR(FIND("and",I1163)+3,1),20),"second(s)","")),0)</f>
        <v/>
      </c>
      <c r="K1163" s="41">
        <f>J1163/60</f>
        <v/>
      </c>
      <c r="L1163" s="41">
        <f>IFERROR(J1163/H1163,"")</f>
        <v/>
      </c>
      <c r="M1163" s="25" t="inlineStr">
        <is>
          <t>2.5.12</t>
        </is>
      </c>
      <c r="N1163" s="25">
        <f>IF(J1163&gt;300,1,0)</f>
        <v/>
      </c>
      <c r="O1163" s="25">
        <f>IF(J1163&gt;600,1,0)</f>
        <v/>
      </c>
      <c r="P1163" s="25">
        <f>IF(H1163&gt;0,J1163,"")</f>
        <v/>
      </c>
      <c r="Q1163" s="25">
        <f>TEXT(A1163,"YYYY-MM-DD HH")</f>
        <v/>
      </c>
      <c r="R1163" s="25">
        <f>COUNTIF($Q$2:$Q$5295,Q1163)</f>
        <v/>
      </c>
      <c r="S1163" s="25">
        <f>IF(R1163&lt;=2,"1-2",IF(R1163&lt;=5,"3-5",IF(R1163&lt;=10,"6-10","11+")))</f>
        <v/>
      </c>
    </row>
    <row r="1164">
      <c r="A1164" s="39" t="n">
        <v>46164.38300925926</v>
      </c>
      <c r="B1164" s="25">
        <f>TEXT(A1164,"YYYY-MM")</f>
        <v/>
      </c>
      <c r="C1164" s="25">
        <f>TEXT(A1164,"MMM-YYYY")</f>
        <v/>
      </c>
      <c r="D1164" s="40">
        <f>INT(A1164)-WEEKDAY(A1164,2)+1</f>
        <v/>
      </c>
      <c r="E1164" s="25" t="inlineStr">
        <is>
          <t>psathwika</t>
        </is>
      </c>
      <c r="F1164" s="25" t="n">
        <v>113321</v>
      </c>
      <c r="G1164" s="25" t="n">
        <v>4</v>
      </c>
      <c r="H1164" s="25" t="n">
        <v>22</v>
      </c>
      <c r="I1164" s="25" t="inlineStr">
        <is>
          <t>5 minute(s) and 59 second(s)</t>
        </is>
      </c>
      <c r="J1164" s="25">
        <f>IFERROR(VALUE(TRIM(LEFT(I1164,FIND("minute",I1164)-1)))*60,0)+IFERROR(VALUE(SUBSTITUTE(MID(I1164,IFERROR(FIND("and",I1164)+3,1),20),"second(s)","")),0)</f>
        <v/>
      </c>
      <c r="K1164" s="41">
        <f>J1164/60</f>
        <v/>
      </c>
      <c r="L1164" s="41">
        <f>IFERROR(J1164/H1164,"")</f>
        <v/>
      </c>
      <c r="M1164" s="25" t="inlineStr">
        <is>
          <t>2.5.12</t>
        </is>
      </c>
      <c r="N1164" s="25">
        <f>IF(J1164&gt;300,1,0)</f>
        <v/>
      </c>
      <c r="O1164" s="25">
        <f>IF(J1164&gt;600,1,0)</f>
        <v/>
      </c>
      <c r="P1164" s="25">
        <f>IF(H1164&gt;0,J1164,"")</f>
        <v/>
      </c>
      <c r="Q1164" s="25">
        <f>TEXT(A1164,"YYYY-MM-DD HH")</f>
        <v/>
      </c>
      <c r="R1164" s="25">
        <f>COUNTIF($Q$2:$Q$5295,Q1164)</f>
        <v/>
      </c>
      <c r="S1164" s="25">
        <f>IF(R1164&lt;=2,"1-2",IF(R1164&lt;=5,"3-5",IF(R1164&lt;=10,"6-10","11+")))</f>
        <v/>
      </c>
    </row>
    <row r="1165">
      <c r="A1165" s="39" t="n">
        <v>46164.38484953704</v>
      </c>
      <c r="B1165" s="25">
        <f>TEXT(A1165,"YYYY-MM")</f>
        <v/>
      </c>
      <c r="C1165" s="25">
        <f>TEXT(A1165,"MMM-YYYY")</f>
        <v/>
      </c>
      <c r="D1165" s="40">
        <f>INT(A1165)-WEEKDAY(A1165,2)+1</f>
        <v/>
      </c>
      <c r="E1165" s="25" t="inlineStr">
        <is>
          <t>ssaha</t>
        </is>
      </c>
      <c r="F1165" s="25" t="n">
        <v>4121</v>
      </c>
      <c r="G1165" s="25" t="n">
        <v>1</v>
      </c>
      <c r="H1165" s="25" t="n">
        <v>7</v>
      </c>
      <c r="I1165" s="25" t="inlineStr">
        <is>
          <t>1 minute(s) and 28 second(s)</t>
        </is>
      </c>
      <c r="J1165" s="25">
        <f>IFERROR(VALUE(TRIM(LEFT(I1165,FIND("minute",I1165)-1)))*60,0)+IFERROR(VALUE(SUBSTITUTE(MID(I1165,IFERROR(FIND("and",I1165)+3,1),20),"second(s)","")),0)</f>
        <v/>
      </c>
      <c r="K1165" s="41">
        <f>J1165/60</f>
        <v/>
      </c>
      <c r="L1165" s="41">
        <f>IFERROR(J1165/H1165,"")</f>
        <v/>
      </c>
      <c r="M1165" s="25" t="inlineStr">
        <is>
          <t>2.5.12</t>
        </is>
      </c>
      <c r="N1165" s="25">
        <f>IF(J1165&gt;300,1,0)</f>
        <v/>
      </c>
      <c r="O1165" s="25">
        <f>IF(J1165&gt;600,1,0)</f>
        <v/>
      </c>
      <c r="P1165" s="25">
        <f>IF(H1165&gt;0,J1165,"")</f>
        <v/>
      </c>
      <c r="Q1165" s="25">
        <f>TEXT(A1165,"YYYY-MM-DD HH")</f>
        <v/>
      </c>
      <c r="R1165" s="25">
        <f>COUNTIF($Q$2:$Q$5295,Q1165)</f>
        <v/>
      </c>
      <c r="S1165" s="25">
        <f>IF(R1165&lt;=2,"1-2",IF(R1165&lt;=5,"3-5",IF(R1165&lt;=10,"6-10","11+")))</f>
        <v/>
      </c>
    </row>
    <row r="1166">
      <c r="A1166" s="39" t="n">
        <v>46164.39158564815</v>
      </c>
      <c r="B1166" s="25">
        <f>TEXT(A1166,"YYYY-MM")</f>
        <v/>
      </c>
      <c r="C1166" s="25">
        <f>TEXT(A1166,"MMM-YYYY")</f>
        <v/>
      </c>
      <c r="D1166" s="40">
        <f>INT(A1166)-WEEKDAY(A1166,2)+1</f>
        <v/>
      </c>
      <c r="E1166" s="25" t="inlineStr">
        <is>
          <t>arsarkar</t>
        </is>
      </c>
      <c r="F1166" s="25" t="n">
        <v>3358</v>
      </c>
      <c r="G1166" s="25" t="n">
        <v>1</v>
      </c>
      <c r="H1166" s="25" t="n">
        <v>7</v>
      </c>
      <c r="I1166" s="25" t="inlineStr">
        <is>
          <t>3 minute(s) and 8 second(s)</t>
        </is>
      </c>
      <c r="J1166" s="25">
        <f>IFERROR(VALUE(TRIM(LEFT(I1166,FIND("minute",I1166)-1)))*60,0)+IFERROR(VALUE(SUBSTITUTE(MID(I1166,IFERROR(FIND("and",I1166)+3,1),20),"second(s)","")),0)</f>
        <v/>
      </c>
      <c r="K1166" s="41">
        <f>J1166/60</f>
        <v/>
      </c>
      <c r="L1166" s="41">
        <f>IFERROR(J1166/H1166,"")</f>
        <v/>
      </c>
      <c r="M1166" s="25" t="inlineStr">
        <is>
          <t>2.5.12</t>
        </is>
      </c>
      <c r="N1166" s="25">
        <f>IF(J1166&gt;300,1,0)</f>
        <v/>
      </c>
      <c r="O1166" s="25">
        <f>IF(J1166&gt;600,1,0)</f>
        <v/>
      </c>
      <c r="P1166" s="25">
        <f>IF(H1166&gt;0,J1166,"")</f>
        <v/>
      </c>
      <c r="Q1166" s="25">
        <f>TEXT(A1166,"YYYY-MM-DD HH")</f>
        <v/>
      </c>
      <c r="R1166" s="25">
        <f>COUNTIF($Q$2:$Q$5295,Q1166)</f>
        <v/>
      </c>
      <c r="S1166" s="25">
        <f>IF(R1166&lt;=2,"1-2",IF(R1166&lt;=5,"3-5",IF(R1166&lt;=10,"6-10","11+")))</f>
        <v/>
      </c>
    </row>
    <row r="1167">
      <c r="A1167" s="39" t="n">
        <v>46164.39317129629</v>
      </c>
      <c r="B1167" s="25">
        <f>TEXT(A1167,"YYYY-MM")</f>
        <v/>
      </c>
      <c r="C1167" s="25">
        <f>TEXT(A1167,"MMM-YYYY")</f>
        <v/>
      </c>
      <c r="D1167" s="40">
        <f>INT(A1167)-WEEKDAY(A1167,2)+1</f>
        <v/>
      </c>
      <c r="E1167" s="25" t="inlineStr">
        <is>
          <t>ssarkar</t>
        </is>
      </c>
      <c r="F1167" s="25" t="n">
        <v>4023</v>
      </c>
      <c r="G1167" s="25" t="n">
        <v>1</v>
      </c>
      <c r="H1167" s="25" t="n">
        <v>7</v>
      </c>
      <c r="I1167" s="25" t="inlineStr">
        <is>
          <t>2 minute(s) and 40 second(s)</t>
        </is>
      </c>
      <c r="J1167" s="25">
        <f>IFERROR(VALUE(TRIM(LEFT(I1167,FIND("minute",I1167)-1)))*60,0)+IFERROR(VALUE(SUBSTITUTE(MID(I1167,IFERROR(FIND("and",I1167)+3,1),20),"second(s)","")),0)</f>
        <v/>
      </c>
      <c r="K1167" s="41">
        <f>J1167/60</f>
        <v/>
      </c>
      <c r="L1167" s="41">
        <f>IFERROR(J1167/H1167,"")</f>
        <v/>
      </c>
      <c r="M1167" s="25" t="inlineStr">
        <is>
          <t>2.5.12</t>
        </is>
      </c>
      <c r="N1167" s="25">
        <f>IF(J1167&gt;300,1,0)</f>
        <v/>
      </c>
      <c r="O1167" s="25">
        <f>IF(J1167&gt;600,1,0)</f>
        <v/>
      </c>
      <c r="P1167" s="25">
        <f>IF(H1167&gt;0,J1167,"")</f>
        <v/>
      </c>
      <c r="Q1167" s="25">
        <f>TEXT(A1167,"YYYY-MM-DD HH")</f>
        <v/>
      </c>
      <c r="R1167" s="25">
        <f>COUNTIF($Q$2:$Q$5295,Q1167)</f>
        <v/>
      </c>
      <c r="S1167" s="25">
        <f>IF(R1167&lt;=2,"1-2",IF(R1167&lt;=5,"3-5",IF(R1167&lt;=10,"6-10","11+")))</f>
        <v/>
      </c>
    </row>
    <row r="1168">
      <c r="A1168" s="39" t="n">
        <v>46164.39736111111</v>
      </c>
      <c r="B1168" s="25">
        <f>TEXT(A1168,"YYYY-MM")</f>
        <v/>
      </c>
      <c r="C1168" s="25">
        <f>TEXT(A1168,"MMM-YYYY")</f>
        <v/>
      </c>
      <c r="D1168" s="40">
        <f>INT(A1168)-WEEKDAY(A1168,2)+1</f>
        <v/>
      </c>
      <c r="E1168" s="25" t="inlineStr">
        <is>
          <t>apriyadarshi</t>
        </is>
      </c>
      <c r="F1168" s="25" t="n">
        <v>113767</v>
      </c>
      <c r="G1168" s="25" t="n">
        <v>3</v>
      </c>
      <c r="H1168" s="25" t="n">
        <v>11</v>
      </c>
      <c r="I1168" s="25" t="inlineStr">
        <is>
          <t>1 minute(s) and 51 second(s)</t>
        </is>
      </c>
      <c r="J1168" s="25">
        <f>IFERROR(VALUE(TRIM(LEFT(I1168,FIND("minute",I1168)-1)))*60,0)+IFERROR(VALUE(SUBSTITUTE(MID(I1168,IFERROR(FIND("and",I1168)+3,1),20),"second(s)","")),0)</f>
        <v/>
      </c>
      <c r="K1168" s="41">
        <f>J1168/60</f>
        <v/>
      </c>
      <c r="L1168" s="41">
        <f>IFERROR(J1168/H1168,"")</f>
        <v/>
      </c>
      <c r="M1168" s="25" t="inlineStr">
        <is>
          <t>2.5.12</t>
        </is>
      </c>
      <c r="N1168" s="25">
        <f>IF(J1168&gt;300,1,0)</f>
        <v/>
      </c>
      <c r="O1168" s="25">
        <f>IF(J1168&gt;600,1,0)</f>
        <v/>
      </c>
      <c r="P1168" s="25">
        <f>IF(H1168&gt;0,J1168,"")</f>
        <v/>
      </c>
      <c r="Q1168" s="25">
        <f>TEXT(A1168,"YYYY-MM-DD HH")</f>
        <v/>
      </c>
      <c r="R1168" s="25">
        <f>COUNTIF($Q$2:$Q$5295,Q1168)</f>
        <v/>
      </c>
      <c r="S1168" s="25">
        <f>IF(R1168&lt;=2,"1-2",IF(R1168&lt;=5,"3-5",IF(R1168&lt;=10,"6-10","11+")))</f>
        <v/>
      </c>
    </row>
    <row r="1169">
      <c r="A1169" s="39" t="n">
        <v>46164.405</v>
      </c>
      <c r="B1169" s="25">
        <f>TEXT(A1169,"YYYY-MM")</f>
        <v/>
      </c>
      <c r="C1169" s="25">
        <f>TEXT(A1169,"MMM-YYYY")</f>
        <v/>
      </c>
      <c r="D1169" s="40">
        <f>INT(A1169)-WEEKDAY(A1169,2)+1</f>
        <v/>
      </c>
      <c r="E1169" s="25" t="inlineStr">
        <is>
          <t>sswati</t>
        </is>
      </c>
      <c r="F1169" s="25" t="n">
        <v>3883</v>
      </c>
      <c r="G1169" s="25" t="n">
        <v>1</v>
      </c>
      <c r="H1169" s="25" t="n">
        <v>7</v>
      </c>
      <c r="I1169" s="25" t="inlineStr">
        <is>
          <t>3 minute(s) and 59 second(s)</t>
        </is>
      </c>
      <c r="J1169" s="25">
        <f>IFERROR(VALUE(TRIM(LEFT(I1169,FIND("minute",I1169)-1)))*60,0)+IFERROR(VALUE(SUBSTITUTE(MID(I1169,IFERROR(FIND("and",I1169)+3,1),20),"second(s)","")),0)</f>
        <v/>
      </c>
      <c r="K1169" s="41">
        <f>J1169/60</f>
        <v/>
      </c>
      <c r="L1169" s="41">
        <f>IFERROR(J1169/H1169,"")</f>
        <v/>
      </c>
      <c r="M1169" s="25" t="inlineStr">
        <is>
          <t>2.5.12</t>
        </is>
      </c>
      <c r="N1169" s="25">
        <f>IF(J1169&gt;300,1,0)</f>
        <v/>
      </c>
      <c r="O1169" s="25">
        <f>IF(J1169&gt;600,1,0)</f>
        <v/>
      </c>
      <c r="P1169" s="25">
        <f>IF(H1169&gt;0,J1169,"")</f>
        <v/>
      </c>
      <c r="Q1169" s="25">
        <f>TEXT(A1169,"YYYY-MM-DD HH")</f>
        <v/>
      </c>
      <c r="R1169" s="25">
        <f>COUNTIF($Q$2:$Q$5295,Q1169)</f>
        <v/>
      </c>
      <c r="S1169" s="25">
        <f>IF(R1169&lt;=2,"1-2",IF(R1169&lt;=5,"3-5",IF(R1169&lt;=10,"6-10","11+")))</f>
        <v/>
      </c>
    </row>
    <row r="1170">
      <c r="A1170" s="39" t="n">
        <v>46164.40896990741</v>
      </c>
      <c r="B1170" s="25">
        <f>TEXT(A1170,"YYYY-MM")</f>
        <v/>
      </c>
      <c r="C1170" s="25">
        <f>TEXT(A1170,"MMM-YYYY")</f>
        <v/>
      </c>
      <c r="D1170" s="40">
        <f>INT(A1170)-WEEKDAY(A1170,2)+1</f>
        <v/>
      </c>
      <c r="E1170" s="25" t="inlineStr">
        <is>
          <t>ssaha</t>
        </is>
      </c>
      <c r="F1170" s="25" t="n">
        <v>4123</v>
      </c>
      <c r="G1170" s="25" t="n">
        <v>1</v>
      </c>
      <c r="H1170" s="25" t="n">
        <v>7</v>
      </c>
      <c r="I1170" s="25" t="inlineStr">
        <is>
          <t>1 minute(s) and 41 second(s)</t>
        </is>
      </c>
      <c r="J1170" s="25">
        <f>IFERROR(VALUE(TRIM(LEFT(I1170,FIND("minute",I1170)-1)))*60,0)+IFERROR(VALUE(SUBSTITUTE(MID(I1170,IFERROR(FIND("and",I1170)+3,1),20),"second(s)","")),0)</f>
        <v/>
      </c>
      <c r="K1170" s="41">
        <f>J1170/60</f>
        <v/>
      </c>
      <c r="L1170" s="41">
        <f>IFERROR(J1170/H1170,"")</f>
        <v/>
      </c>
      <c r="M1170" s="25" t="inlineStr">
        <is>
          <t>2.5.12</t>
        </is>
      </c>
      <c r="N1170" s="25">
        <f>IF(J1170&gt;300,1,0)</f>
        <v/>
      </c>
      <c r="O1170" s="25">
        <f>IF(J1170&gt;600,1,0)</f>
        <v/>
      </c>
      <c r="P1170" s="25">
        <f>IF(H1170&gt;0,J1170,"")</f>
        <v/>
      </c>
      <c r="Q1170" s="25">
        <f>TEXT(A1170,"YYYY-MM-DD HH")</f>
        <v/>
      </c>
      <c r="R1170" s="25">
        <f>COUNTIF($Q$2:$Q$5295,Q1170)</f>
        <v/>
      </c>
      <c r="S1170" s="25">
        <f>IF(R1170&lt;=2,"1-2",IF(R1170&lt;=5,"3-5",IF(R1170&lt;=10,"6-10","11+")))</f>
        <v/>
      </c>
    </row>
    <row r="1171">
      <c r="A1171" s="39" t="n">
        <v>46164.40975694444</v>
      </c>
      <c r="B1171" s="25">
        <f>TEXT(A1171,"YYYY-MM")</f>
        <v/>
      </c>
      <c r="C1171" s="25">
        <f>TEXT(A1171,"MMM-YYYY")</f>
        <v/>
      </c>
      <c r="D1171" s="40">
        <f>INT(A1171)-WEEKDAY(A1171,2)+1</f>
        <v/>
      </c>
      <c r="E1171" s="25" t="inlineStr">
        <is>
          <t>mbhalla</t>
        </is>
      </c>
      <c r="F1171" s="25" t="n">
        <v>3796</v>
      </c>
      <c r="G1171" s="25" t="n">
        <v>1</v>
      </c>
      <c r="H1171" s="25" t="n">
        <v>5</v>
      </c>
      <c r="I1171" s="25" t="inlineStr">
        <is>
          <t>49 second(s)</t>
        </is>
      </c>
      <c r="J1171" s="25">
        <f>IFERROR(VALUE(TRIM(LEFT(I1171,FIND("minute",I1171)-1)))*60,0)+IFERROR(VALUE(SUBSTITUTE(MID(I1171,IFERROR(FIND("and",I1171)+3,1),20),"second(s)","")),0)</f>
        <v/>
      </c>
      <c r="K1171" s="41">
        <f>J1171/60</f>
        <v/>
      </c>
      <c r="L1171" s="41">
        <f>IFERROR(J1171/H1171,"")</f>
        <v/>
      </c>
      <c r="M1171" s="25" t="inlineStr">
        <is>
          <t>2.5.12</t>
        </is>
      </c>
      <c r="N1171" s="25">
        <f>IF(J1171&gt;300,1,0)</f>
        <v/>
      </c>
      <c r="O1171" s="25">
        <f>IF(J1171&gt;600,1,0)</f>
        <v/>
      </c>
      <c r="P1171" s="25">
        <f>IF(H1171&gt;0,J1171,"")</f>
        <v/>
      </c>
      <c r="Q1171" s="25">
        <f>TEXT(A1171,"YYYY-MM-DD HH")</f>
        <v/>
      </c>
      <c r="R1171" s="25">
        <f>COUNTIF($Q$2:$Q$5295,Q1171)</f>
        <v/>
      </c>
      <c r="S1171" s="25">
        <f>IF(R1171&lt;=2,"1-2",IF(R1171&lt;=5,"3-5",IF(R1171&lt;=10,"6-10","11+")))</f>
        <v/>
      </c>
    </row>
    <row r="1172">
      <c r="A1172" s="39" t="n">
        <v>46164.41130787037</v>
      </c>
      <c r="B1172" s="25">
        <f>TEXT(A1172,"YYYY-MM")</f>
        <v/>
      </c>
      <c r="C1172" s="25">
        <f>TEXT(A1172,"MMM-YYYY")</f>
        <v/>
      </c>
      <c r="D1172" s="40">
        <f>INT(A1172)-WEEKDAY(A1172,2)+1</f>
        <v/>
      </c>
      <c r="E1172" s="25" t="inlineStr">
        <is>
          <t>asahoo</t>
        </is>
      </c>
      <c r="F1172" s="25" t="n">
        <v>3382</v>
      </c>
      <c r="G1172" s="25" t="n">
        <v>2</v>
      </c>
      <c r="H1172" s="25" t="n">
        <v>8</v>
      </c>
      <c r="I1172" s="25" t="inlineStr">
        <is>
          <t>2 minute(s) and 18 second(s)</t>
        </is>
      </c>
      <c r="J1172" s="25">
        <f>IFERROR(VALUE(TRIM(LEFT(I1172,FIND("minute",I1172)-1)))*60,0)+IFERROR(VALUE(SUBSTITUTE(MID(I1172,IFERROR(FIND("and",I1172)+3,1),20),"second(s)","")),0)</f>
        <v/>
      </c>
      <c r="K1172" s="41">
        <f>J1172/60</f>
        <v/>
      </c>
      <c r="L1172" s="41">
        <f>IFERROR(J1172/H1172,"")</f>
        <v/>
      </c>
      <c r="M1172" s="25" t="inlineStr">
        <is>
          <t>2.5.12</t>
        </is>
      </c>
      <c r="N1172" s="25">
        <f>IF(J1172&gt;300,1,0)</f>
        <v/>
      </c>
      <c r="O1172" s="25">
        <f>IF(J1172&gt;600,1,0)</f>
        <v/>
      </c>
      <c r="P1172" s="25">
        <f>IF(H1172&gt;0,J1172,"")</f>
        <v/>
      </c>
      <c r="Q1172" s="25">
        <f>TEXT(A1172,"YYYY-MM-DD HH")</f>
        <v/>
      </c>
      <c r="R1172" s="25">
        <f>COUNTIF($Q$2:$Q$5295,Q1172)</f>
        <v/>
      </c>
      <c r="S1172" s="25">
        <f>IF(R1172&lt;=2,"1-2",IF(R1172&lt;=5,"3-5",IF(R1172&lt;=10,"6-10","11+")))</f>
        <v/>
      </c>
    </row>
    <row r="1173">
      <c r="A1173" s="39" t="n">
        <v>46164.41262731481</v>
      </c>
      <c r="B1173" s="25">
        <f>TEXT(A1173,"YYYY-MM")</f>
        <v/>
      </c>
      <c r="C1173" s="25">
        <f>TEXT(A1173,"MMM-YYYY")</f>
        <v/>
      </c>
      <c r="D1173" s="40">
        <f>INT(A1173)-WEEKDAY(A1173,2)+1</f>
        <v/>
      </c>
      <c r="E1173" s="25" t="inlineStr">
        <is>
          <t>npriya</t>
        </is>
      </c>
      <c r="F1173" s="25" t="n">
        <v>4909</v>
      </c>
      <c r="G1173" s="25" t="n">
        <v>1</v>
      </c>
      <c r="H1173" s="25" t="n">
        <v>7</v>
      </c>
      <c r="I1173" s="25" t="inlineStr">
        <is>
          <t>1 minute(s) and 46 second(s)</t>
        </is>
      </c>
      <c r="J1173" s="25">
        <f>IFERROR(VALUE(TRIM(LEFT(I1173,FIND("minute",I1173)-1)))*60,0)+IFERROR(VALUE(SUBSTITUTE(MID(I1173,IFERROR(FIND("and",I1173)+3,1),20),"second(s)","")),0)</f>
        <v/>
      </c>
      <c r="K1173" s="41">
        <f>J1173/60</f>
        <v/>
      </c>
      <c r="L1173" s="41">
        <f>IFERROR(J1173/H1173,"")</f>
        <v/>
      </c>
      <c r="M1173" s="25" t="inlineStr">
        <is>
          <t>2.5.12</t>
        </is>
      </c>
      <c r="N1173" s="25">
        <f>IF(J1173&gt;300,1,0)</f>
        <v/>
      </c>
      <c r="O1173" s="25">
        <f>IF(J1173&gt;600,1,0)</f>
        <v/>
      </c>
      <c r="P1173" s="25">
        <f>IF(H1173&gt;0,J1173,"")</f>
        <v/>
      </c>
      <c r="Q1173" s="25">
        <f>TEXT(A1173,"YYYY-MM-DD HH")</f>
        <v/>
      </c>
      <c r="R1173" s="25">
        <f>COUNTIF($Q$2:$Q$5295,Q1173)</f>
        <v/>
      </c>
      <c r="S1173" s="25">
        <f>IF(R1173&lt;=2,"1-2",IF(R1173&lt;=5,"3-5",IF(R1173&lt;=10,"6-10","11+")))</f>
        <v/>
      </c>
    </row>
    <row r="1174">
      <c r="A1174" s="39" t="n">
        <v>46164.41392361111</v>
      </c>
      <c r="B1174" s="25">
        <f>TEXT(A1174,"YYYY-MM")</f>
        <v/>
      </c>
      <c r="C1174" s="25">
        <f>TEXT(A1174,"MMM-YYYY")</f>
        <v/>
      </c>
      <c r="D1174" s="40">
        <f>INT(A1174)-WEEKDAY(A1174,2)+1</f>
        <v/>
      </c>
      <c r="E1174" s="25" t="inlineStr">
        <is>
          <t>csaha</t>
        </is>
      </c>
      <c r="F1174" s="25" t="n">
        <v>4411</v>
      </c>
      <c r="G1174" s="25" t="n">
        <v>1</v>
      </c>
      <c r="H1174" s="25" t="n">
        <v>7</v>
      </c>
      <c r="I1174" s="25" t="inlineStr">
        <is>
          <t>2 minute(s) and 28 second(s)</t>
        </is>
      </c>
      <c r="J1174" s="25">
        <f>IFERROR(VALUE(TRIM(LEFT(I1174,FIND("minute",I1174)-1)))*60,0)+IFERROR(VALUE(SUBSTITUTE(MID(I1174,IFERROR(FIND("and",I1174)+3,1),20),"second(s)","")),0)</f>
        <v/>
      </c>
      <c r="K1174" s="41">
        <f>J1174/60</f>
        <v/>
      </c>
      <c r="L1174" s="41">
        <f>IFERROR(J1174/H1174,"")</f>
        <v/>
      </c>
      <c r="M1174" s="25" t="inlineStr">
        <is>
          <t>2.5.12</t>
        </is>
      </c>
      <c r="N1174" s="25">
        <f>IF(J1174&gt;300,1,0)</f>
        <v/>
      </c>
      <c r="O1174" s="25">
        <f>IF(J1174&gt;600,1,0)</f>
        <v/>
      </c>
      <c r="P1174" s="25">
        <f>IF(H1174&gt;0,J1174,"")</f>
        <v/>
      </c>
      <c r="Q1174" s="25">
        <f>TEXT(A1174,"YYYY-MM-DD HH")</f>
        <v/>
      </c>
      <c r="R1174" s="25">
        <f>COUNTIF($Q$2:$Q$5295,Q1174)</f>
        <v/>
      </c>
      <c r="S1174" s="25">
        <f>IF(R1174&lt;=2,"1-2",IF(R1174&lt;=5,"3-5",IF(R1174&lt;=10,"6-10","11+")))</f>
        <v/>
      </c>
    </row>
    <row r="1175">
      <c r="A1175" s="39" t="n">
        <v>46164.41694444444</v>
      </c>
      <c r="B1175" s="25">
        <f>TEXT(A1175,"YYYY-MM")</f>
        <v/>
      </c>
      <c r="C1175" s="25">
        <f>TEXT(A1175,"MMM-YYYY")</f>
        <v/>
      </c>
      <c r="D1175" s="40">
        <f>INT(A1175)-WEEKDAY(A1175,2)+1</f>
        <v/>
      </c>
      <c r="E1175" s="25" t="inlineStr">
        <is>
          <t>ssaha</t>
        </is>
      </c>
      <c r="F1175" s="25" t="n">
        <v>4124</v>
      </c>
      <c r="G1175" s="25" t="n">
        <v>1</v>
      </c>
      <c r="H1175" s="25" t="n">
        <v>7</v>
      </c>
      <c r="I1175" s="25" t="inlineStr">
        <is>
          <t>2 minute(s) and 58 second(s)</t>
        </is>
      </c>
      <c r="J1175" s="25">
        <f>IFERROR(VALUE(TRIM(LEFT(I1175,FIND("minute",I1175)-1)))*60,0)+IFERROR(VALUE(SUBSTITUTE(MID(I1175,IFERROR(FIND("and",I1175)+3,1),20),"second(s)","")),0)</f>
        <v/>
      </c>
      <c r="K1175" s="41">
        <f>J1175/60</f>
        <v/>
      </c>
      <c r="L1175" s="41">
        <f>IFERROR(J1175/H1175,"")</f>
        <v/>
      </c>
      <c r="M1175" s="25" t="inlineStr">
        <is>
          <t>2.5.12</t>
        </is>
      </c>
      <c r="N1175" s="25">
        <f>IF(J1175&gt;300,1,0)</f>
        <v/>
      </c>
      <c r="O1175" s="25">
        <f>IF(J1175&gt;600,1,0)</f>
        <v/>
      </c>
      <c r="P1175" s="25">
        <f>IF(H1175&gt;0,J1175,"")</f>
        <v/>
      </c>
      <c r="Q1175" s="25">
        <f>TEXT(A1175,"YYYY-MM-DD HH")</f>
        <v/>
      </c>
      <c r="R1175" s="25">
        <f>COUNTIF($Q$2:$Q$5295,Q1175)</f>
        <v/>
      </c>
      <c r="S1175" s="25">
        <f>IF(R1175&lt;=2,"1-2",IF(R1175&lt;=5,"3-5",IF(R1175&lt;=10,"6-10","11+")))</f>
        <v/>
      </c>
    </row>
    <row r="1176">
      <c r="A1176" s="39" t="n">
        <v>46164.42171296296</v>
      </c>
      <c r="B1176" s="25">
        <f>TEXT(A1176,"YYYY-MM")</f>
        <v/>
      </c>
      <c r="C1176" s="25">
        <f>TEXT(A1176,"MMM-YYYY")</f>
        <v/>
      </c>
      <c r="D1176" s="40">
        <f>INT(A1176)-WEEKDAY(A1176,2)+1</f>
        <v/>
      </c>
      <c r="E1176" s="25" t="inlineStr">
        <is>
          <t>ssarkar</t>
        </is>
      </c>
      <c r="F1176" s="25" t="n">
        <v>4024</v>
      </c>
      <c r="G1176" s="25" t="n">
        <v>1</v>
      </c>
      <c r="H1176" s="25" t="n">
        <v>7</v>
      </c>
      <c r="I1176" s="25" t="inlineStr">
        <is>
          <t>2 minute(s) and 40 second(s)</t>
        </is>
      </c>
      <c r="J1176" s="25">
        <f>IFERROR(VALUE(TRIM(LEFT(I1176,FIND("minute",I1176)-1)))*60,0)+IFERROR(VALUE(SUBSTITUTE(MID(I1176,IFERROR(FIND("and",I1176)+3,1),20),"second(s)","")),0)</f>
        <v/>
      </c>
      <c r="K1176" s="41">
        <f>J1176/60</f>
        <v/>
      </c>
      <c r="L1176" s="41">
        <f>IFERROR(J1176/H1176,"")</f>
        <v/>
      </c>
      <c r="M1176" s="25" t="inlineStr">
        <is>
          <t>2.5.12</t>
        </is>
      </c>
      <c r="N1176" s="25">
        <f>IF(J1176&gt;300,1,0)</f>
        <v/>
      </c>
      <c r="O1176" s="25">
        <f>IF(J1176&gt;600,1,0)</f>
        <v/>
      </c>
      <c r="P1176" s="25">
        <f>IF(H1176&gt;0,J1176,"")</f>
        <v/>
      </c>
      <c r="Q1176" s="25">
        <f>TEXT(A1176,"YYYY-MM-DD HH")</f>
        <v/>
      </c>
      <c r="R1176" s="25">
        <f>COUNTIF($Q$2:$Q$5295,Q1176)</f>
        <v/>
      </c>
      <c r="S1176" s="25">
        <f>IF(R1176&lt;=2,"1-2",IF(R1176&lt;=5,"3-5",IF(R1176&lt;=10,"6-10","11+")))</f>
        <v/>
      </c>
    </row>
    <row r="1177">
      <c r="A1177" s="39" t="n">
        <v>46164.42839120371</v>
      </c>
      <c r="B1177" s="25">
        <f>TEXT(A1177,"YYYY-MM")</f>
        <v/>
      </c>
      <c r="C1177" s="25">
        <f>TEXT(A1177,"MMM-YYYY")</f>
        <v/>
      </c>
      <c r="D1177" s="40">
        <f>INT(A1177)-WEEKDAY(A1177,2)+1</f>
        <v/>
      </c>
      <c r="E1177" s="25" t="inlineStr">
        <is>
          <t>sdey</t>
        </is>
      </c>
      <c r="F1177" s="25" t="n">
        <v>4257</v>
      </c>
      <c r="G1177" s="25" t="n">
        <v>1</v>
      </c>
      <c r="H1177" s="25" t="n">
        <v>7</v>
      </c>
      <c r="I1177" s="25" t="inlineStr">
        <is>
          <t>2 minute(s) and 58 second(s)</t>
        </is>
      </c>
      <c r="J1177" s="25">
        <f>IFERROR(VALUE(TRIM(LEFT(I1177,FIND("minute",I1177)-1)))*60,0)+IFERROR(VALUE(SUBSTITUTE(MID(I1177,IFERROR(FIND("and",I1177)+3,1),20),"second(s)","")),0)</f>
        <v/>
      </c>
      <c r="K1177" s="41">
        <f>J1177/60</f>
        <v/>
      </c>
      <c r="L1177" s="41">
        <f>IFERROR(J1177/H1177,"")</f>
        <v/>
      </c>
      <c r="M1177" s="25" t="inlineStr">
        <is>
          <t>2.5.12</t>
        </is>
      </c>
      <c r="N1177" s="25">
        <f>IF(J1177&gt;300,1,0)</f>
        <v/>
      </c>
      <c r="O1177" s="25">
        <f>IF(J1177&gt;600,1,0)</f>
        <v/>
      </c>
      <c r="P1177" s="25">
        <f>IF(H1177&gt;0,J1177,"")</f>
        <v/>
      </c>
      <c r="Q1177" s="25">
        <f>TEXT(A1177,"YYYY-MM-DD HH")</f>
        <v/>
      </c>
      <c r="R1177" s="25">
        <f>COUNTIF($Q$2:$Q$5295,Q1177)</f>
        <v/>
      </c>
      <c r="S1177" s="25">
        <f>IF(R1177&lt;=2,"1-2",IF(R1177&lt;=5,"3-5",IF(R1177&lt;=10,"6-10","11+")))</f>
        <v/>
      </c>
    </row>
    <row r="1178">
      <c r="A1178" s="39" t="n">
        <v>46164.43</v>
      </c>
      <c r="B1178" s="25">
        <f>TEXT(A1178,"YYYY-MM")</f>
        <v/>
      </c>
      <c r="C1178" s="25">
        <f>TEXT(A1178,"MMM-YYYY")</f>
        <v/>
      </c>
      <c r="D1178" s="40">
        <f>INT(A1178)-WEEKDAY(A1178,2)+1</f>
        <v/>
      </c>
      <c r="E1178" s="25" t="inlineStr">
        <is>
          <t>ssaha</t>
        </is>
      </c>
      <c r="F1178" s="25" t="n">
        <v>4126</v>
      </c>
      <c r="G1178" s="25" t="n">
        <v>1</v>
      </c>
      <c r="H1178" s="25" t="n">
        <v>5</v>
      </c>
      <c r="I1178" s="25" t="inlineStr">
        <is>
          <t>2 minute(s) and 24 second(s)</t>
        </is>
      </c>
      <c r="J1178" s="25">
        <f>IFERROR(VALUE(TRIM(LEFT(I1178,FIND("minute",I1178)-1)))*60,0)+IFERROR(VALUE(SUBSTITUTE(MID(I1178,IFERROR(FIND("and",I1178)+3,1),20),"second(s)","")),0)</f>
        <v/>
      </c>
      <c r="K1178" s="41">
        <f>J1178/60</f>
        <v/>
      </c>
      <c r="L1178" s="41">
        <f>IFERROR(J1178/H1178,"")</f>
        <v/>
      </c>
      <c r="M1178" s="25" t="inlineStr">
        <is>
          <t>2.5.12</t>
        </is>
      </c>
      <c r="N1178" s="25">
        <f>IF(J1178&gt;300,1,0)</f>
        <v/>
      </c>
      <c r="O1178" s="25">
        <f>IF(J1178&gt;600,1,0)</f>
        <v/>
      </c>
      <c r="P1178" s="25">
        <f>IF(H1178&gt;0,J1178,"")</f>
        <v/>
      </c>
      <c r="Q1178" s="25">
        <f>TEXT(A1178,"YYYY-MM-DD HH")</f>
        <v/>
      </c>
      <c r="R1178" s="25">
        <f>COUNTIF($Q$2:$Q$5295,Q1178)</f>
        <v/>
      </c>
      <c r="S1178" s="25">
        <f>IF(R1178&lt;=2,"1-2",IF(R1178&lt;=5,"3-5",IF(R1178&lt;=10,"6-10","11+")))</f>
        <v/>
      </c>
    </row>
    <row r="1179">
      <c r="A1179" s="39" t="n">
        <v>46164.43107638889</v>
      </c>
      <c r="B1179" s="25">
        <f>TEXT(A1179,"YYYY-MM")</f>
        <v/>
      </c>
      <c r="C1179" s="25">
        <f>TEXT(A1179,"MMM-YYYY")</f>
        <v/>
      </c>
      <c r="D1179" s="40">
        <f>INT(A1179)-WEEKDAY(A1179,2)+1</f>
        <v/>
      </c>
      <c r="E1179" s="25" t="inlineStr">
        <is>
          <t>arsarkar</t>
        </is>
      </c>
      <c r="F1179" s="25" t="n">
        <v>3360</v>
      </c>
      <c r="G1179" s="25" t="n">
        <v>1</v>
      </c>
      <c r="H1179" s="25" t="n">
        <v>7</v>
      </c>
      <c r="I1179" s="25" t="inlineStr">
        <is>
          <t>2 minute(s) and 55 second(s)</t>
        </is>
      </c>
      <c r="J1179" s="25">
        <f>IFERROR(VALUE(TRIM(LEFT(I1179,FIND("minute",I1179)-1)))*60,0)+IFERROR(VALUE(SUBSTITUTE(MID(I1179,IFERROR(FIND("and",I1179)+3,1),20),"second(s)","")),0)</f>
        <v/>
      </c>
      <c r="K1179" s="41">
        <f>J1179/60</f>
        <v/>
      </c>
      <c r="L1179" s="41">
        <f>IFERROR(J1179/H1179,"")</f>
        <v/>
      </c>
      <c r="M1179" s="25" t="inlineStr">
        <is>
          <t>2.5.12</t>
        </is>
      </c>
      <c r="N1179" s="25">
        <f>IF(J1179&gt;300,1,0)</f>
        <v/>
      </c>
      <c r="O1179" s="25">
        <f>IF(J1179&gt;600,1,0)</f>
        <v/>
      </c>
      <c r="P1179" s="25">
        <f>IF(H1179&gt;0,J1179,"")</f>
        <v/>
      </c>
      <c r="Q1179" s="25">
        <f>TEXT(A1179,"YYYY-MM-DD HH")</f>
        <v/>
      </c>
      <c r="R1179" s="25">
        <f>COUNTIF($Q$2:$Q$5295,Q1179)</f>
        <v/>
      </c>
      <c r="S1179" s="25">
        <f>IF(R1179&lt;=2,"1-2",IF(R1179&lt;=5,"3-5",IF(R1179&lt;=10,"6-10","11+")))</f>
        <v/>
      </c>
    </row>
    <row r="1180">
      <c r="A1180" s="39" t="n">
        <v>46164.43534722222</v>
      </c>
      <c r="B1180" s="25">
        <f>TEXT(A1180,"YYYY-MM")</f>
        <v/>
      </c>
      <c r="C1180" s="25">
        <f>TEXT(A1180,"MMM-YYYY")</f>
        <v/>
      </c>
      <c r="D1180" s="40">
        <f>INT(A1180)-WEEKDAY(A1180,2)+1</f>
        <v/>
      </c>
      <c r="E1180" s="25" t="inlineStr">
        <is>
          <t>vraina</t>
        </is>
      </c>
      <c r="F1180" s="25" t="n">
        <v>3915</v>
      </c>
      <c r="G1180" s="25" t="n">
        <v>1</v>
      </c>
      <c r="H1180" s="25" t="n">
        <v>7</v>
      </c>
      <c r="I1180" s="25" t="inlineStr">
        <is>
          <t>2 minute(s) and 26 second(s)</t>
        </is>
      </c>
      <c r="J1180" s="25">
        <f>IFERROR(VALUE(TRIM(LEFT(I1180,FIND("minute",I1180)-1)))*60,0)+IFERROR(VALUE(SUBSTITUTE(MID(I1180,IFERROR(FIND("and",I1180)+3,1),20),"second(s)","")),0)</f>
        <v/>
      </c>
      <c r="K1180" s="41">
        <f>J1180/60</f>
        <v/>
      </c>
      <c r="L1180" s="41">
        <f>IFERROR(J1180/H1180,"")</f>
        <v/>
      </c>
      <c r="M1180" s="25" t="inlineStr">
        <is>
          <t>2.5.12</t>
        </is>
      </c>
      <c r="N1180" s="25">
        <f>IF(J1180&gt;300,1,0)</f>
        <v/>
      </c>
      <c r="O1180" s="25">
        <f>IF(J1180&gt;600,1,0)</f>
        <v/>
      </c>
      <c r="P1180" s="25">
        <f>IF(H1180&gt;0,J1180,"")</f>
        <v/>
      </c>
      <c r="Q1180" s="25">
        <f>TEXT(A1180,"YYYY-MM-DD HH")</f>
        <v/>
      </c>
      <c r="R1180" s="25">
        <f>COUNTIF($Q$2:$Q$5295,Q1180)</f>
        <v/>
      </c>
      <c r="S1180" s="25">
        <f>IF(R1180&lt;=2,"1-2",IF(R1180&lt;=5,"3-5",IF(R1180&lt;=10,"6-10","11+")))</f>
        <v/>
      </c>
    </row>
    <row r="1181">
      <c r="A1181" s="39" t="n">
        <v>46164.43547453704</v>
      </c>
      <c r="B1181" s="25">
        <f>TEXT(A1181,"YYYY-MM")</f>
        <v/>
      </c>
      <c r="C1181" s="25">
        <f>TEXT(A1181,"MMM-YYYY")</f>
        <v/>
      </c>
      <c r="D1181" s="40">
        <f>INT(A1181)-WEEKDAY(A1181,2)+1</f>
        <v/>
      </c>
      <c r="E1181" s="25" t="inlineStr">
        <is>
          <t>vprasad</t>
        </is>
      </c>
      <c r="F1181" s="25" t="n">
        <v>89817</v>
      </c>
      <c r="G1181" s="25" t="n">
        <v>2</v>
      </c>
      <c r="H1181" s="25" t="n">
        <v>10</v>
      </c>
      <c r="I1181" s="25" t="inlineStr">
        <is>
          <t>2 minute(s) and 7 second(s)</t>
        </is>
      </c>
      <c r="J1181" s="25">
        <f>IFERROR(VALUE(TRIM(LEFT(I1181,FIND("minute",I1181)-1)))*60,0)+IFERROR(VALUE(SUBSTITUTE(MID(I1181,IFERROR(FIND("and",I1181)+3,1),20),"second(s)","")),0)</f>
        <v/>
      </c>
      <c r="K1181" s="41">
        <f>J1181/60</f>
        <v/>
      </c>
      <c r="L1181" s="41">
        <f>IFERROR(J1181/H1181,"")</f>
        <v/>
      </c>
      <c r="M1181" s="25" t="inlineStr">
        <is>
          <t>2.5.12</t>
        </is>
      </c>
      <c r="N1181" s="25">
        <f>IF(J1181&gt;300,1,0)</f>
        <v/>
      </c>
      <c r="O1181" s="25">
        <f>IF(J1181&gt;600,1,0)</f>
        <v/>
      </c>
      <c r="P1181" s="25">
        <f>IF(H1181&gt;0,J1181,"")</f>
        <v/>
      </c>
      <c r="Q1181" s="25">
        <f>TEXT(A1181,"YYYY-MM-DD HH")</f>
        <v/>
      </c>
      <c r="R1181" s="25">
        <f>COUNTIF($Q$2:$Q$5295,Q1181)</f>
        <v/>
      </c>
      <c r="S1181" s="25">
        <f>IF(R1181&lt;=2,"1-2",IF(R1181&lt;=5,"3-5",IF(R1181&lt;=10,"6-10","11+")))</f>
        <v/>
      </c>
    </row>
    <row r="1182">
      <c r="A1182" s="39" t="n">
        <v>46164.43575231481</v>
      </c>
      <c r="B1182" s="25">
        <f>TEXT(A1182,"YYYY-MM")</f>
        <v/>
      </c>
      <c r="C1182" s="25">
        <f>TEXT(A1182,"MMM-YYYY")</f>
        <v/>
      </c>
      <c r="D1182" s="40">
        <f>INT(A1182)-WEEKDAY(A1182,2)+1</f>
        <v/>
      </c>
      <c r="E1182" s="25" t="inlineStr">
        <is>
          <t>pgautam</t>
        </is>
      </c>
      <c r="F1182" s="25" t="n">
        <v>21052</v>
      </c>
      <c r="G1182" s="25" t="n">
        <v>1</v>
      </c>
      <c r="H1182" s="25" t="n">
        <v>7</v>
      </c>
      <c r="I1182" s="25" t="inlineStr">
        <is>
          <t>1 minute(s) and 16 second(s)</t>
        </is>
      </c>
      <c r="J1182" s="25">
        <f>IFERROR(VALUE(TRIM(LEFT(I1182,FIND("minute",I1182)-1)))*60,0)+IFERROR(VALUE(SUBSTITUTE(MID(I1182,IFERROR(FIND("and",I1182)+3,1),20),"second(s)","")),0)</f>
        <v/>
      </c>
      <c r="K1182" s="41">
        <f>J1182/60</f>
        <v/>
      </c>
      <c r="L1182" s="41">
        <f>IFERROR(J1182/H1182,"")</f>
        <v/>
      </c>
      <c r="M1182" s="25" t="inlineStr">
        <is>
          <t>2.5.12</t>
        </is>
      </c>
      <c r="N1182" s="25">
        <f>IF(J1182&gt;300,1,0)</f>
        <v/>
      </c>
      <c r="O1182" s="25">
        <f>IF(J1182&gt;600,1,0)</f>
        <v/>
      </c>
      <c r="P1182" s="25">
        <f>IF(H1182&gt;0,J1182,"")</f>
        <v/>
      </c>
      <c r="Q1182" s="25">
        <f>TEXT(A1182,"YYYY-MM-DD HH")</f>
        <v/>
      </c>
      <c r="R1182" s="25">
        <f>COUNTIF($Q$2:$Q$5295,Q1182)</f>
        <v/>
      </c>
      <c r="S1182" s="25">
        <f>IF(R1182&lt;=2,"1-2",IF(R1182&lt;=5,"3-5",IF(R1182&lt;=10,"6-10","11+")))</f>
        <v/>
      </c>
    </row>
    <row r="1183">
      <c r="A1183" s="39" t="n">
        <v>46164.44337962963</v>
      </c>
      <c r="B1183" s="25">
        <f>TEXT(A1183,"YYYY-MM")</f>
        <v/>
      </c>
      <c r="C1183" s="25">
        <f>TEXT(A1183,"MMM-YYYY")</f>
        <v/>
      </c>
      <c r="D1183" s="40">
        <f>INT(A1183)-WEEKDAY(A1183,2)+1</f>
        <v/>
      </c>
      <c r="E1183" s="25" t="inlineStr">
        <is>
          <t>mgupta</t>
        </is>
      </c>
      <c r="F1183" s="25" t="n">
        <v>89557</v>
      </c>
      <c r="G1183" s="25" t="n">
        <v>2</v>
      </c>
      <c r="H1183" s="25" t="n">
        <v>13</v>
      </c>
      <c r="I1183" s="25" t="inlineStr">
        <is>
          <t>2 minute(s) and 27 second(s)</t>
        </is>
      </c>
      <c r="J1183" s="25">
        <f>IFERROR(VALUE(TRIM(LEFT(I1183,FIND("minute",I1183)-1)))*60,0)+IFERROR(VALUE(SUBSTITUTE(MID(I1183,IFERROR(FIND("and",I1183)+3,1),20),"second(s)","")),0)</f>
        <v/>
      </c>
      <c r="K1183" s="41">
        <f>J1183/60</f>
        <v/>
      </c>
      <c r="L1183" s="41">
        <f>IFERROR(J1183/H1183,"")</f>
        <v/>
      </c>
      <c r="M1183" s="25" t="inlineStr">
        <is>
          <t>2.5.12</t>
        </is>
      </c>
      <c r="N1183" s="25">
        <f>IF(J1183&gt;300,1,0)</f>
        <v/>
      </c>
      <c r="O1183" s="25">
        <f>IF(J1183&gt;600,1,0)</f>
        <v/>
      </c>
      <c r="P1183" s="25">
        <f>IF(H1183&gt;0,J1183,"")</f>
        <v/>
      </c>
      <c r="Q1183" s="25">
        <f>TEXT(A1183,"YYYY-MM-DD HH")</f>
        <v/>
      </c>
      <c r="R1183" s="25">
        <f>COUNTIF($Q$2:$Q$5295,Q1183)</f>
        <v/>
      </c>
      <c r="S1183" s="25">
        <f>IF(R1183&lt;=2,"1-2",IF(R1183&lt;=5,"3-5",IF(R1183&lt;=10,"6-10","11+")))</f>
        <v/>
      </c>
    </row>
    <row r="1184">
      <c r="A1184" s="39" t="n">
        <v>46164.44921296297</v>
      </c>
      <c r="B1184" s="25">
        <f>TEXT(A1184,"YYYY-MM")</f>
        <v/>
      </c>
      <c r="C1184" s="25">
        <f>TEXT(A1184,"MMM-YYYY")</f>
        <v/>
      </c>
      <c r="D1184" s="40">
        <f>INT(A1184)-WEEKDAY(A1184,2)+1</f>
        <v/>
      </c>
      <c r="E1184" s="25" t="inlineStr">
        <is>
          <t>ssarkar</t>
        </is>
      </c>
      <c r="F1184" s="25" t="n">
        <v>4025</v>
      </c>
      <c r="G1184" s="25" t="n">
        <v>1</v>
      </c>
      <c r="H1184" s="25" t="n">
        <v>5</v>
      </c>
      <c r="I1184" s="25" t="inlineStr">
        <is>
          <t>2 minute(s) and 23 second(s)</t>
        </is>
      </c>
      <c r="J1184" s="25">
        <f>IFERROR(VALUE(TRIM(LEFT(I1184,FIND("minute",I1184)-1)))*60,0)+IFERROR(VALUE(SUBSTITUTE(MID(I1184,IFERROR(FIND("and",I1184)+3,1),20),"second(s)","")),0)</f>
        <v/>
      </c>
      <c r="K1184" s="41">
        <f>J1184/60</f>
        <v/>
      </c>
      <c r="L1184" s="41">
        <f>IFERROR(J1184/H1184,"")</f>
        <v/>
      </c>
      <c r="M1184" s="25" t="inlineStr">
        <is>
          <t>2.5.12</t>
        </is>
      </c>
      <c r="N1184" s="25">
        <f>IF(J1184&gt;300,1,0)</f>
        <v/>
      </c>
      <c r="O1184" s="25">
        <f>IF(J1184&gt;600,1,0)</f>
        <v/>
      </c>
      <c r="P1184" s="25">
        <f>IF(H1184&gt;0,J1184,"")</f>
        <v/>
      </c>
      <c r="Q1184" s="25">
        <f>TEXT(A1184,"YYYY-MM-DD HH")</f>
        <v/>
      </c>
      <c r="R1184" s="25">
        <f>COUNTIF($Q$2:$Q$5295,Q1184)</f>
        <v/>
      </c>
      <c r="S1184" s="25">
        <f>IF(R1184&lt;=2,"1-2",IF(R1184&lt;=5,"3-5",IF(R1184&lt;=10,"6-10","11+")))</f>
        <v/>
      </c>
    </row>
    <row r="1185">
      <c r="A1185" s="39" t="n">
        <v>46164.46082175926</v>
      </c>
      <c r="B1185" s="25">
        <f>TEXT(A1185,"YYYY-MM")</f>
        <v/>
      </c>
      <c r="C1185" s="25">
        <f>TEXT(A1185,"MMM-YYYY")</f>
        <v/>
      </c>
      <c r="D1185" s="40">
        <f>INT(A1185)-WEEKDAY(A1185,2)+1</f>
        <v/>
      </c>
      <c r="E1185" s="25" t="inlineStr">
        <is>
          <t>mbhalla</t>
        </is>
      </c>
      <c r="F1185" s="25" t="n">
        <v>3798</v>
      </c>
      <c r="G1185" s="25" t="n">
        <v>1</v>
      </c>
      <c r="H1185" s="25" t="n">
        <v>5</v>
      </c>
      <c r="I1185" s="25" t="inlineStr">
        <is>
          <t>2 minute(s) and 11 second(s)</t>
        </is>
      </c>
      <c r="J1185" s="25">
        <f>IFERROR(VALUE(TRIM(LEFT(I1185,FIND("minute",I1185)-1)))*60,0)+IFERROR(VALUE(SUBSTITUTE(MID(I1185,IFERROR(FIND("and",I1185)+3,1),20),"second(s)","")),0)</f>
        <v/>
      </c>
      <c r="K1185" s="41">
        <f>J1185/60</f>
        <v/>
      </c>
      <c r="L1185" s="41">
        <f>IFERROR(J1185/H1185,"")</f>
        <v/>
      </c>
      <c r="M1185" s="25" t="inlineStr">
        <is>
          <t>2.5.12</t>
        </is>
      </c>
      <c r="N1185" s="25">
        <f>IF(J1185&gt;300,1,0)</f>
        <v/>
      </c>
      <c r="O1185" s="25">
        <f>IF(J1185&gt;600,1,0)</f>
        <v/>
      </c>
      <c r="P1185" s="25">
        <f>IF(H1185&gt;0,J1185,"")</f>
        <v/>
      </c>
      <c r="Q1185" s="25">
        <f>TEXT(A1185,"YYYY-MM-DD HH")</f>
        <v/>
      </c>
      <c r="R1185" s="25">
        <f>COUNTIF($Q$2:$Q$5295,Q1185)</f>
        <v/>
      </c>
      <c r="S1185" s="25">
        <f>IF(R1185&lt;=2,"1-2",IF(R1185&lt;=5,"3-5",IF(R1185&lt;=10,"6-10","11+")))</f>
        <v/>
      </c>
    </row>
    <row r="1186">
      <c r="A1186" s="39" t="n">
        <v>46164.46421296296</v>
      </c>
      <c r="B1186" s="25">
        <f>TEXT(A1186,"YYYY-MM")</f>
        <v/>
      </c>
      <c r="C1186" s="25">
        <f>TEXT(A1186,"MMM-YYYY")</f>
        <v/>
      </c>
      <c r="D1186" s="40">
        <f>INT(A1186)-WEEKDAY(A1186,2)+1</f>
        <v/>
      </c>
      <c r="E1186" s="25" t="inlineStr">
        <is>
          <t>hsindwani</t>
        </is>
      </c>
      <c r="F1186" s="25" t="n">
        <v>4297</v>
      </c>
      <c r="G1186" s="25" t="n">
        <v>1</v>
      </c>
      <c r="H1186" s="25" t="n">
        <v>7</v>
      </c>
      <c r="I1186" s="25" t="inlineStr">
        <is>
          <t>3 minute(s) and 43 second(s)</t>
        </is>
      </c>
      <c r="J1186" s="25">
        <f>IFERROR(VALUE(TRIM(LEFT(I1186,FIND("minute",I1186)-1)))*60,0)+IFERROR(VALUE(SUBSTITUTE(MID(I1186,IFERROR(FIND("and",I1186)+3,1),20),"second(s)","")),0)</f>
        <v/>
      </c>
      <c r="K1186" s="41">
        <f>J1186/60</f>
        <v/>
      </c>
      <c r="L1186" s="41">
        <f>IFERROR(J1186/H1186,"")</f>
        <v/>
      </c>
      <c r="M1186" s="25" t="inlineStr">
        <is>
          <t>2.5.12</t>
        </is>
      </c>
      <c r="N1186" s="25">
        <f>IF(J1186&gt;300,1,0)</f>
        <v/>
      </c>
      <c r="O1186" s="25">
        <f>IF(J1186&gt;600,1,0)</f>
        <v/>
      </c>
      <c r="P1186" s="25">
        <f>IF(H1186&gt;0,J1186,"")</f>
        <v/>
      </c>
      <c r="Q1186" s="25">
        <f>TEXT(A1186,"YYYY-MM-DD HH")</f>
        <v/>
      </c>
      <c r="R1186" s="25">
        <f>COUNTIF($Q$2:$Q$5295,Q1186)</f>
        <v/>
      </c>
      <c r="S1186" s="25">
        <f>IF(R1186&lt;=2,"1-2",IF(R1186&lt;=5,"3-5",IF(R1186&lt;=10,"6-10","11+")))</f>
        <v/>
      </c>
    </row>
    <row r="1187">
      <c r="A1187" s="39" t="n">
        <v>46164.46770833333</v>
      </c>
      <c r="B1187" s="25">
        <f>TEXT(A1187,"YYYY-MM")</f>
        <v/>
      </c>
      <c r="C1187" s="25">
        <f>TEXT(A1187,"MMM-YYYY")</f>
        <v/>
      </c>
      <c r="D1187" s="40">
        <f>INT(A1187)-WEEKDAY(A1187,2)+1</f>
        <v/>
      </c>
      <c r="E1187" s="25" t="inlineStr">
        <is>
          <t>arsarkar</t>
        </is>
      </c>
      <c r="F1187" s="25" t="n">
        <v>4960</v>
      </c>
      <c r="G1187" s="25" t="n">
        <v>1</v>
      </c>
      <c r="H1187" s="25" t="n">
        <v>5</v>
      </c>
      <c r="I1187" s="25" t="inlineStr">
        <is>
          <t>2 minute(s) and 31 second(s)</t>
        </is>
      </c>
      <c r="J1187" s="25">
        <f>IFERROR(VALUE(TRIM(LEFT(I1187,FIND("minute",I1187)-1)))*60,0)+IFERROR(VALUE(SUBSTITUTE(MID(I1187,IFERROR(FIND("and",I1187)+3,1),20),"second(s)","")),0)</f>
        <v/>
      </c>
      <c r="K1187" s="41">
        <f>J1187/60</f>
        <v/>
      </c>
      <c r="L1187" s="41">
        <f>IFERROR(J1187/H1187,"")</f>
        <v/>
      </c>
      <c r="M1187" s="25" t="inlineStr">
        <is>
          <t>2.5.12</t>
        </is>
      </c>
      <c r="N1187" s="25">
        <f>IF(J1187&gt;300,1,0)</f>
        <v/>
      </c>
      <c r="O1187" s="25">
        <f>IF(J1187&gt;600,1,0)</f>
        <v/>
      </c>
      <c r="P1187" s="25">
        <f>IF(H1187&gt;0,J1187,"")</f>
        <v/>
      </c>
      <c r="Q1187" s="25">
        <f>TEXT(A1187,"YYYY-MM-DD HH")</f>
        <v/>
      </c>
      <c r="R1187" s="25">
        <f>COUNTIF($Q$2:$Q$5295,Q1187)</f>
        <v/>
      </c>
      <c r="S1187" s="25">
        <f>IF(R1187&lt;=2,"1-2",IF(R1187&lt;=5,"3-5",IF(R1187&lt;=10,"6-10","11+")))</f>
        <v/>
      </c>
    </row>
    <row r="1188">
      <c r="A1188" s="39" t="n">
        <v>46164.47695601852</v>
      </c>
      <c r="B1188" s="25">
        <f>TEXT(A1188,"YYYY-MM")</f>
        <v/>
      </c>
      <c r="C1188" s="25">
        <f>TEXT(A1188,"MMM-YYYY")</f>
        <v/>
      </c>
      <c r="D1188" s="40">
        <f>INT(A1188)-WEEKDAY(A1188,2)+1</f>
        <v/>
      </c>
      <c r="E1188" s="25" t="inlineStr">
        <is>
          <t>hsindwani</t>
        </is>
      </c>
      <c r="F1188" s="25" t="n">
        <v>4297</v>
      </c>
      <c r="G1188" s="25" t="n">
        <v>1</v>
      </c>
      <c r="H1188" s="25" t="n">
        <v>8</v>
      </c>
      <c r="I1188" s="25" t="inlineStr">
        <is>
          <t>3 minute(s) and 56 second(s)</t>
        </is>
      </c>
      <c r="J1188" s="25">
        <f>IFERROR(VALUE(TRIM(LEFT(I1188,FIND("minute",I1188)-1)))*60,0)+IFERROR(VALUE(SUBSTITUTE(MID(I1188,IFERROR(FIND("and",I1188)+3,1),20),"second(s)","")),0)</f>
        <v/>
      </c>
      <c r="K1188" s="41">
        <f>J1188/60</f>
        <v/>
      </c>
      <c r="L1188" s="41">
        <f>IFERROR(J1188/H1188,"")</f>
        <v/>
      </c>
      <c r="M1188" s="25" t="inlineStr">
        <is>
          <t>2.5.12</t>
        </is>
      </c>
      <c r="N1188" s="25">
        <f>IF(J1188&gt;300,1,0)</f>
        <v/>
      </c>
      <c r="O1188" s="25">
        <f>IF(J1188&gt;600,1,0)</f>
        <v/>
      </c>
      <c r="P1188" s="25">
        <f>IF(H1188&gt;0,J1188,"")</f>
        <v/>
      </c>
      <c r="Q1188" s="25">
        <f>TEXT(A1188,"YYYY-MM-DD HH")</f>
        <v/>
      </c>
      <c r="R1188" s="25">
        <f>COUNTIF($Q$2:$Q$5295,Q1188)</f>
        <v/>
      </c>
      <c r="S1188" s="25">
        <f>IF(R1188&lt;=2,"1-2",IF(R1188&lt;=5,"3-5",IF(R1188&lt;=10,"6-10","11+")))</f>
        <v/>
      </c>
    </row>
    <row r="1189">
      <c r="A1189" s="39" t="n">
        <v>46164.48706018519</v>
      </c>
      <c r="B1189" s="25">
        <f>TEXT(A1189,"YYYY-MM")</f>
        <v/>
      </c>
      <c r="C1189" s="25">
        <f>TEXT(A1189,"MMM-YYYY")</f>
        <v/>
      </c>
      <c r="D1189" s="40">
        <f>INT(A1189)-WEEKDAY(A1189,2)+1</f>
        <v/>
      </c>
      <c r="E1189" s="25" t="inlineStr">
        <is>
          <t>mbhalla</t>
        </is>
      </c>
      <c r="F1189" s="25" t="n">
        <v>3800</v>
      </c>
      <c r="G1189" s="25" t="n">
        <v>1</v>
      </c>
      <c r="H1189" s="25" t="n">
        <v>7</v>
      </c>
      <c r="I1189" s="25" t="inlineStr">
        <is>
          <t>1 minute(s) and 5 second(s)</t>
        </is>
      </c>
      <c r="J1189" s="25">
        <f>IFERROR(VALUE(TRIM(LEFT(I1189,FIND("minute",I1189)-1)))*60,0)+IFERROR(VALUE(SUBSTITUTE(MID(I1189,IFERROR(FIND("and",I1189)+3,1),20),"second(s)","")),0)</f>
        <v/>
      </c>
      <c r="K1189" s="41">
        <f>J1189/60</f>
        <v/>
      </c>
      <c r="L1189" s="41">
        <f>IFERROR(J1189/H1189,"")</f>
        <v/>
      </c>
      <c r="M1189" s="25" t="inlineStr">
        <is>
          <t>2.5.12</t>
        </is>
      </c>
      <c r="N1189" s="25">
        <f>IF(J1189&gt;300,1,0)</f>
        <v/>
      </c>
      <c r="O1189" s="25">
        <f>IF(J1189&gt;600,1,0)</f>
        <v/>
      </c>
      <c r="P1189" s="25">
        <f>IF(H1189&gt;0,J1189,"")</f>
        <v/>
      </c>
      <c r="Q1189" s="25">
        <f>TEXT(A1189,"YYYY-MM-DD HH")</f>
        <v/>
      </c>
      <c r="R1189" s="25">
        <f>COUNTIF($Q$2:$Q$5295,Q1189)</f>
        <v/>
      </c>
      <c r="S1189" s="25">
        <f>IF(R1189&lt;=2,"1-2",IF(R1189&lt;=5,"3-5",IF(R1189&lt;=10,"6-10","11+")))</f>
        <v/>
      </c>
    </row>
    <row r="1190">
      <c r="A1190" s="39" t="n">
        <v>46164.48915509259</v>
      </c>
      <c r="B1190" s="25">
        <f>TEXT(A1190,"YYYY-MM")</f>
        <v/>
      </c>
      <c r="C1190" s="25">
        <f>TEXT(A1190,"MMM-YYYY")</f>
        <v/>
      </c>
      <c r="D1190" s="40">
        <f>INT(A1190)-WEEKDAY(A1190,2)+1</f>
        <v/>
      </c>
      <c r="E1190" s="25" t="inlineStr">
        <is>
          <t>csaha</t>
        </is>
      </c>
      <c r="F1190" s="25" t="n">
        <v>4412</v>
      </c>
      <c r="G1190" s="25" t="n">
        <v>1</v>
      </c>
      <c r="H1190" s="25" t="n">
        <v>7</v>
      </c>
      <c r="I1190" s="25" t="inlineStr">
        <is>
          <t>2 minute(s) and 21 second(s)</t>
        </is>
      </c>
      <c r="J1190" s="25">
        <f>IFERROR(VALUE(TRIM(LEFT(I1190,FIND("minute",I1190)-1)))*60,0)+IFERROR(VALUE(SUBSTITUTE(MID(I1190,IFERROR(FIND("and",I1190)+3,1),20),"second(s)","")),0)</f>
        <v/>
      </c>
      <c r="K1190" s="41">
        <f>J1190/60</f>
        <v/>
      </c>
      <c r="L1190" s="41">
        <f>IFERROR(J1190/H1190,"")</f>
        <v/>
      </c>
      <c r="M1190" s="25" t="inlineStr">
        <is>
          <t>2.5.12</t>
        </is>
      </c>
      <c r="N1190" s="25">
        <f>IF(J1190&gt;300,1,0)</f>
        <v/>
      </c>
      <c r="O1190" s="25">
        <f>IF(J1190&gt;600,1,0)</f>
        <v/>
      </c>
      <c r="P1190" s="25">
        <f>IF(H1190&gt;0,J1190,"")</f>
        <v/>
      </c>
      <c r="Q1190" s="25">
        <f>TEXT(A1190,"YYYY-MM-DD HH")</f>
        <v/>
      </c>
      <c r="R1190" s="25">
        <f>COUNTIF($Q$2:$Q$5295,Q1190)</f>
        <v/>
      </c>
      <c r="S1190" s="25">
        <f>IF(R1190&lt;=2,"1-2",IF(R1190&lt;=5,"3-5",IF(R1190&lt;=10,"6-10","11+")))</f>
        <v/>
      </c>
    </row>
    <row r="1191">
      <c r="A1191" s="39" t="n">
        <v>46164.49320601852</v>
      </c>
      <c r="B1191" s="25">
        <f>TEXT(A1191,"YYYY-MM")</f>
        <v/>
      </c>
      <c r="C1191" s="25">
        <f>TEXT(A1191,"MMM-YYYY")</f>
        <v/>
      </c>
      <c r="D1191" s="40">
        <f>INT(A1191)-WEEKDAY(A1191,2)+1</f>
        <v/>
      </c>
      <c r="E1191" s="25" t="inlineStr">
        <is>
          <t>sswati</t>
        </is>
      </c>
      <c r="F1191" s="25" t="n">
        <v>3884</v>
      </c>
      <c r="G1191" s="25" t="n">
        <v>1</v>
      </c>
      <c r="H1191" s="25" t="n">
        <v>7</v>
      </c>
      <c r="I1191" s="25" t="inlineStr">
        <is>
          <t>1 minute(s) and 58 second(s)</t>
        </is>
      </c>
      <c r="J1191" s="25">
        <f>IFERROR(VALUE(TRIM(LEFT(I1191,FIND("minute",I1191)-1)))*60,0)+IFERROR(VALUE(SUBSTITUTE(MID(I1191,IFERROR(FIND("and",I1191)+3,1),20),"second(s)","")),0)</f>
        <v/>
      </c>
      <c r="K1191" s="41">
        <f>J1191/60</f>
        <v/>
      </c>
      <c r="L1191" s="41">
        <f>IFERROR(J1191/H1191,"")</f>
        <v/>
      </c>
      <c r="M1191" s="25" t="inlineStr">
        <is>
          <t>2.5.12</t>
        </is>
      </c>
      <c r="N1191" s="25">
        <f>IF(J1191&gt;300,1,0)</f>
        <v/>
      </c>
      <c r="O1191" s="25">
        <f>IF(J1191&gt;600,1,0)</f>
        <v/>
      </c>
      <c r="P1191" s="25">
        <f>IF(H1191&gt;0,J1191,"")</f>
        <v/>
      </c>
      <c r="Q1191" s="25">
        <f>TEXT(A1191,"YYYY-MM-DD HH")</f>
        <v/>
      </c>
      <c r="R1191" s="25">
        <f>COUNTIF($Q$2:$Q$5295,Q1191)</f>
        <v/>
      </c>
      <c r="S1191" s="25">
        <f>IF(R1191&lt;=2,"1-2",IF(R1191&lt;=5,"3-5",IF(R1191&lt;=10,"6-10","11+")))</f>
        <v/>
      </c>
    </row>
    <row r="1192">
      <c r="A1192" s="39" t="n">
        <v>46164.50292824074</v>
      </c>
      <c r="B1192" s="25">
        <f>TEXT(A1192,"YYYY-MM")</f>
        <v/>
      </c>
      <c r="C1192" s="25">
        <f>TEXT(A1192,"MMM-YYYY")</f>
        <v/>
      </c>
      <c r="D1192" s="40">
        <f>INT(A1192)-WEEKDAY(A1192,2)+1</f>
        <v/>
      </c>
      <c r="E1192" s="25" t="inlineStr">
        <is>
          <t>shassan</t>
        </is>
      </c>
      <c r="F1192" s="25" t="n">
        <v>4087</v>
      </c>
      <c r="G1192" s="25" t="n">
        <v>1</v>
      </c>
      <c r="H1192" s="25" t="n">
        <v>7</v>
      </c>
      <c r="I1192" s="25" t="inlineStr">
        <is>
          <t>2 minute(s) and 56 second(s)</t>
        </is>
      </c>
      <c r="J1192" s="25">
        <f>IFERROR(VALUE(TRIM(LEFT(I1192,FIND("minute",I1192)-1)))*60,0)+IFERROR(VALUE(SUBSTITUTE(MID(I1192,IFERROR(FIND("and",I1192)+3,1),20),"second(s)","")),0)</f>
        <v/>
      </c>
      <c r="K1192" s="41">
        <f>J1192/60</f>
        <v/>
      </c>
      <c r="L1192" s="41">
        <f>IFERROR(J1192/H1192,"")</f>
        <v/>
      </c>
      <c r="M1192" s="25" t="inlineStr">
        <is>
          <t>2.5.12</t>
        </is>
      </c>
      <c r="N1192" s="25">
        <f>IF(J1192&gt;300,1,0)</f>
        <v/>
      </c>
      <c r="O1192" s="25">
        <f>IF(J1192&gt;600,1,0)</f>
        <v/>
      </c>
      <c r="P1192" s="25">
        <f>IF(H1192&gt;0,J1192,"")</f>
        <v/>
      </c>
      <c r="Q1192" s="25">
        <f>TEXT(A1192,"YYYY-MM-DD HH")</f>
        <v/>
      </c>
      <c r="R1192" s="25">
        <f>COUNTIF($Q$2:$Q$5295,Q1192)</f>
        <v/>
      </c>
      <c r="S1192" s="25">
        <f>IF(R1192&lt;=2,"1-2",IF(R1192&lt;=5,"3-5",IF(R1192&lt;=10,"6-10","11+")))</f>
        <v/>
      </c>
    </row>
    <row r="1193">
      <c r="A1193" s="39" t="n">
        <v>46164.51107638889</v>
      </c>
      <c r="B1193" s="25">
        <f>TEXT(A1193,"YYYY-MM")</f>
        <v/>
      </c>
      <c r="C1193" s="25">
        <f>TEXT(A1193,"MMM-YYYY")</f>
        <v/>
      </c>
      <c r="D1193" s="40">
        <f>INT(A1193)-WEEKDAY(A1193,2)+1</f>
        <v/>
      </c>
      <c r="E1193" s="25" t="inlineStr">
        <is>
          <t>pgautam</t>
        </is>
      </c>
      <c r="F1193" s="25" t="n">
        <v>106708</v>
      </c>
      <c r="G1193" s="25" t="n">
        <v>4</v>
      </c>
      <c r="H1193" s="25" t="n">
        <v>26</v>
      </c>
      <c r="I1193" s="25" t="inlineStr">
        <is>
          <t>5 minute(s) and 47 second(s)</t>
        </is>
      </c>
      <c r="J1193" s="25">
        <f>IFERROR(VALUE(TRIM(LEFT(I1193,FIND("minute",I1193)-1)))*60,0)+IFERROR(VALUE(SUBSTITUTE(MID(I1193,IFERROR(FIND("and",I1193)+3,1),20),"second(s)","")),0)</f>
        <v/>
      </c>
      <c r="K1193" s="41">
        <f>J1193/60</f>
        <v/>
      </c>
      <c r="L1193" s="41">
        <f>IFERROR(J1193/H1193,"")</f>
        <v/>
      </c>
      <c r="M1193" s="25" t="inlineStr">
        <is>
          <t>2.5.12</t>
        </is>
      </c>
      <c r="N1193" s="25">
        <f>IF(J1193&gt;300,1,0)</f>
        <v/>
      </c>
      <c r="O1193" s="25">
        <f>IF(J1193&gt;600,1,0)</f>
        <v/>
      </c>
      <c r="P1193" s="25">
        <f>IF(H1193&gt;0,J1193,"")</f>
        <v/>
      </c>
      <c r="Q1193" s="25">
        <f>TEXT(A1193,"YYYY-MM-DD HH")</f>
        <v/>
      </c>
      <c r="R1193" s="25">
        <f>COUNTIF($Q$2:$Q$5295,Q1193)</f>
        <v/>
      </c>
      <c r="S1193" s="25">
        <f>IF(R1193&lt;=2,"1-2",IF(R1193&lt;=5,"3-5",IF(R1193&lt;=10,"6-10","11+")))</f>
        <v/>
      </c>
    </row>
    <row r="1194">
      <c r="A1194" s="39" t="n">
        <v>46164.51322916667</v>
      </c>
      <c r="B1194" s="25">
        <f>TEXT(A1194,"YYYY-MM")</f>
        <v/>
      </c>
      <c r="C1194" s="25">
        <f>TEXT(A1194,"MMM-YYYY")</f>
        <v/>
      </c>
      <c r="D1194" s="40">
        <f>INT(A1194)-WEEKDAY(A1194,2)+1</f>
        <v/>
      </c>
      <c r="E1194" s="25" t="inlineStr">
        <is>
          <t>vprasad</t>
        </is>
      </c>
      <c r="F1194" s="25" t="n">
        <v>89819</v>
      </c>
      <c r="G1194" s="25" t="n">
        <v>1</v>
      </c>
      <c r="H1194" s="25" t="n">
        <v>5</v>
      </c>
      <c r="I1194" s="25" t="inlineStr">
        <is>
          <t>1 minute(s) and 1 second(s)</t>
        </is>
      </c>
      <c r="J1194" s="25">
        <f>IFERROR(VALUE(TRIM(LEFT(I1194,FIND("minute",I1194)-1)))*60,0)+IFERROR(VALUE(SUBSTITUTE(MID(I1194,IFERROR(FIND("and",I1194)+3,1),20),"second(s)","")),0)</f>
        <v/>
      </c>
      <c r="K1194" s="41">
        <f>J1194/60</f>
        <v/>
      </c>
      <c r="L1194" s="41">
        <f>IFERROR(J1194/H1194,"")</f>
        <v/>
      </c>
      <c r="M1194" s="25" t="inlineStr">
        <is>
          <t>2.5.12</t>
        </is>
      </c>
      <c r="N1194" s="25">
        <f>IF(J1194&gt;300,1,0)</f>
        <v/>
      </c>
      <c r="O1194" s="25">
        <f>IF(J1194&gt;600,1,0)</f>
        <v/>
      </c>
      <c r="P1194" s="25">
        <f>IF(H1194&gt;0,J1194,"")</f>
        <v/>
      </c>
      <c r="Q1194" s="25">
        <f>TEXT(A1194,"YYYY-MM-DD HH")</f>
        <v/>
      </c>
      <c r="R1194" s="25">
        <f>COUNTIF($Q$2:$Q$5295,Q1194)</f>
        <v/>
      </c>
      <c r="S1194" s="25">
        <f>IF(R1194&lt;=2,"1-2",IF(R1194&lt;=5,"3-5",IF(R1194&lt;=10,"6-10","11+")))</f>
        <v/>
      </c>
    </row>
    <row r="1195">
      <c r="A1195" s="39" t="n">
        <v>46164.51458333333</v>
      </c>
      <c r="B1195" s="25">
        <f>TEXT(A1195,"YYYY-MM")</f>
        <v/>
      </c>
      <c r="C1195" s="25">
        <f>TEXT(A1195,"MMM-YYYY")</f>
        <v/>
      </c>
      <c r="D1195" s="40">
        <f>INT(A1195)-WEEKDAY(A1195,2)+1</f>
        <v/>
      </c>
      <c r="E1195" s="25" t="inlineStr">
        <is>
          <t>hdutt</t>
        </is>
      </c>
      <c r="F1195" s="25" t="n">
        <v>3144</v>
      </c>
      <c r="G1195" s="25" t="n">
        <v>1</v>
      </c>
      <c r="H1195" s="25" t="n">
        <v>6</v>
      </c>
      <c r="I1195" s="25" t="inlineStr">
        <is>
          <t>59 second(s)</t>
        </is>
      </c>
      <c r="J1195" s="25">
        <f>IFERROR(VALUE(TRIM(LEFT(I1195,FIND("minute",I1195)-1)))*60,0)+IFERROR(VALUE(SUBSTITUTE(MID(I1195,IFERROR(FIND("and",I1195)+3,1),20),"second(s)","")),0)</f>
        <v/>
      </c>
      <c r="K1195" s="41">
        <f>J1195/60</f>
        <v/>
      </c>
      <c r="L1195" s="41">
        <f>IFERROR(J1195/H1195,"")</f>
        <v/>
      </c>
      <c r="M1195" s="25" t="inlineStr">
        <is>
          <t>2.5.12</t>
        </is>
      </c>
      <c r="N1195" s="25">
        <f>IF(J1195&gt;300,1,0)</f>
        <v/>
      </c>
      <c r="O1195" s="25">
        <f>IF(J1195&gt;600,1,0)</f>
        <v/>
      </c>
      <c r="P1195" s="25">
        <f>IF(H1195&gt;0,J1195,"")</f>
        <v/>
      </c>
      <c r="Q1195" s="25">
        <f>TEXT(A1195,"YYYY-MM-DD HH")</f>
        <v/>
      </c>
      <c r="R1195" s="25">
        <f>COUNTIF($Q$2:$Q$5295,Q1195)</f>
        <v/>
      </c>
      <c r="S1195" s="25">
        <f>IF(R1195&lt;=2,"1-2",IF(R1195&lt;=5,"3-5",IF(R1195&lt;=10,"6-10","11+")))</f>
        <v/>
      </c>
    </row>
    <row r="1196">
      <c r="A1196" s="39" t="n">
        <v>46164.51577546296</v>
      </c>
      <c r="B1196" s="25">
        <f>TEXT(A1196,"YYYY-MM")</f>
        <v/>
      </c>
      <c r="C1196" s="25">
        <f>TEXT(A1196,"MMM-YYYY")</f>
        <v/>
      </c>
      <c r="D1196" s="40">
        <f>INT(A1196)-WEEKDAY(A1196,2)+1</f>
        <v/>
      </c>
      <c r="E1196" s="25" t="inlineStr">
        <is>
          <t>rsingh</t>
        </is>
      </c>
      <c r="F1196" s="25" t="n">
        <v>105484</v>
      </c>
      <c r="G1196" s="25" t="n">
        <v>5</v>
      </c>
      <c r="H1196" s="25" t="n">
        <v>27</v>
      </c>
      <c r="I1196" s="25" t="inlineStr">
        <is>
          <t>12 minute(s) and 47 second(s)</t>
        </is>
      </c>
      <c r="J1196" s="25">
        <f>IFERROR(VALUE(TRIM(LEFT(I1196,FIND("minute",I1196)-1)))*60,0)+IFERROR(VALUE(SUBSTITUTE(MID(I1196,IFERROR(FIND("and",I1196)+3,1),20),"second(s)","")),0)</f>
        <v/>
      </c>
      <c r="K1196" s="41">
        <f>J1196/60</f>
        <v/>
      </c>
      <c r="L1196" s="41">
        <f>IFERROR(J1196/H1196,"")</f>
        <v/>
      </c>
      <c r="M1196" s="25" t="inlineStr">
        <is>
          <t>2.5.12</t>
        </is>
      </c>
      <c r="N1196" s="25">
        <f>IF(J1196&gt;300,1,0)</f>
        <v/>
      </c>
      <c r="O1196" s="25">
        <f>IF(J1196&gt;600,1,0)</f>
        <v/>
      </c>
      <c r="P1196" s="25">
        <f>IF(H1196&gt;0,J1196,"")</f>
        <v/>
      </c>
      <c r="Q1196" s="25">
        <f>TEXT(A1196,"YYYY-MM-DD HH")</f>
        <v/>
      </c>
      <c r="R1196" s="25">
        <f>COUNTIF($Q$2:$Q$5295,Q1196)</f>
        <v/>
      </c>
      <c r="S1196" s="25">
        <f>IF(R1196&lt;=2,"1-2",IF(R1196&lt;=5,"3-5",IF(R1196&lt;=10,"6-10","11+")))</f>
        <v/>
      </c>
    </row>
    <row r="1197">
      <c r="A1197" s="39" t="n">
        <v>46164.5162037037</v>
      </c>
      <c r="B1197" s="25">
        <f>TEXT(A1197,"YYYY-MM")</f>
        <v/>
      </c>
      <c r="C1197" s="25">
        <f>TEXT(A1197,"MMM-YYYY")</f>
        <v/>
      </c>
      <c r="D1197" s="40">
        <f>INT(A1197)-WEEKDAY(A1197,2)+1</f>
        <v/>
      </c>
      <c r="E1197" s="25" t="inlineStr">
        <is>
          <t>mbhalla</t>
        </is>
      </c>
      <c r="F1197" s="25" t="n">
        <v>4864</v>
      </c>
      <c r="G1197" s="25" t="n">
        <v>1</v>
      </c>
      <c r="H1197" s="25" t="n">
        <v>7</v>
      </c>
      <c r="I1197" s="25" t="inlineStr">
        <is>
          <t>1 minute(s) and 3 second(s)</t>
        </is>
      </c>
      <c r="J1197" s="25">
        <f>IFERROR(VALUE(TRIM(LEFT(I1197,FIND("minute",I1197)-1)))*60,0)+IFERROR(VALUE(SUBSTITUTE(MID(I1197,IFERROR(FIND("and",I1197)+3,1),20),"second(s)","")),0)</f>
        <v/>
      </c>
      <c r="K1197" s="41">
        <f>J1197/60</f>
        <v/>
      </c>
      <c r="L1197" s="41">
        <f>IFERROR(J1197/H1197,"")</f>
        <v/>
      </c>
      <c r="M1197" s="25" t="inlineStr">
        <is>
          <t>2.5.12</t>
        </is>
      </c>
      <c r="N1197" s="25">
        <f>IF(J1197&gt;300,1,0)</f>
        <v/>
      </c>
      <c r="O1197" s="25">
        <f>IF(J1197&gt;600,1,0)</f>
        <v/>
      </c>
      <c r="P1197" s="25">
        <f>IF(H1197&gt;0,J1197,"")</f>
        <v/>
      </c>
      <c r="Q1197" s="25">
        <f>TEXT(A1197,"YYYY-MM-DD HH")</f>
        <v/>
      </c>
      <c r="R1197" s="25">
        <f>COUNTIF($Q$2:$Q$5295,Q1197)</f>
        <v/>
      </c>
      <c r="S1197" s="25">
        <f>IF(R1197&lt;=2,"1-2",IF(R1197&lt;=5,"3-5",IF(R1197&lt;=10,"6-10","11+")))</f>
        <v/>
      </c>
    </row>
    <row r="1198">
      <c r="A1198" s="39" t="n">
        <v>46164.52047453704</v>
      </c>
      <c r="B1198" s="25">
        <f>TEXT(A1198,"YYYY-MM")</f>
        <v/>
      </c>
      <c r="C1198" s="25">
        <f>TEXT(A1198,"MMM-YYYY")</f>
        <v/>
      </c>
      <c r="D1198" s="40">
        <f>INT(A1198)-WEEKDAY(A1198,2)+1</f>
        <v/>
      </c>
      <c r="E1198" s="25" t="inlineStr">
        <is>
          <t>hsindwani</t>
        </is>
      </c>
      <c r="F1198" s="25" t="n">
        <v>4294</v>
      </c>
      <c r="G1198" s="25" t="n">
        <v>1</v>
      </c>
      <c r="H1198" s="25" t="n">
        <v>7</v>
      </c>
      <c r="I1198" s="25" t="inlineStr">
        <is>
          <t>3 minute(s) and 2 second(s)</t>
        </is>
      </c>
      <c r="J1198" s="25">
        <f>IFERROR(VALUE(TRIM(LEFT(I1198,FIND("minute",I1198)-1)))*60,0)+IFERROR(VALUE(SUBSTITUTE(MID(I1198,IFERROR(FIND("and",I1198)+3,1),20),"second(s)","")),0)</f>
        <v/>
      </c>
      <c r="K1198" s="41">
        <f>J1198/60</f>
        <v/>
      </c>
      <c r="L1198" s="41">
        <f>IFERROR(J1198/H1198,"")</f>
        <v/>
      </c>
      <c r="M1198" s="25" t="inlineStr">
        <is>
          <t>2.5.12</t>
        </is>
      </c>
      <c r="N1198" s="25">
        <f>IF(J1198&gt;300,1,0)</f>
        <v/>
      </c>
      <c r="O1198" s="25">
        <f>IF(J1198&gt;600,1,0)</f>
        <v/>
      </c>
      <c r="P1198" s="25">
        <f>IF(H1198&gt;0,J1198,"")</f>
        <v/>
      </c>
      <c r="Q1198" s="25">
        <f>TEXT(A1198,"YYYY-MM-DD HH")</f>
        <v/>
      </c>
      <c r="R1198" s="25">
        <f>COUNTIF($Q$2:$Q$5295,Q1198)</f>
        <v/>
      </c>
      <c r="S1198" s="25">
        <f>IF(R1198&lt;=2,"1-2",IF(R1198&lt;=5,"3-5",IF(R1198&lt;=10,"6-10","11+")))</f>
        <v/>
      </c>
    </row>
    <row r="1199">
      <c r="A1199" s="39" t="n">
        <v>46164.52368055555</v>
      </c>
      <c r="B1199" s="25">
        <f>TEXT(A1199,"YYYY-MM")</f>
        <v/>
      </c>
      <c r="C1199" s="25">
        <f>TEXT(A1199,"MMM-YYYY")</f>
        <v/>
      </c>
      <c r="D1199" s="40">
        <f>INT(A1199)-WEEKDAY(A1199,2)+1</f>
        <v/>
      </c>
      <c r="E1199" s="25" t="inlineStr">
        <is>
          <t>psingh</t>
        </is>
      </c>
      <c r="F1199" s="25" t="n">
        <v>1890</v>
      </c>
      <c r="G1199" s="25" t="n">
        <v>3</v>
      </c>
      <c r="H1199" s="25" t="n">
        <v>15</v>
      </c>
      <c r="I1199" s="25" t="inlineStr">
        <is>
          <t>3 minute(s) and 35 second(s)</t>
        </is>
      </c>
      <c r="J1199" s="25">
        <f>IFERROR(VALUE(TRIM(LEFT(I1199,FIND("minute",I1199)-1)))*60,0)+IFERROR(VALUE(SUBSTITUTE(MID(I1199,IFERROR(FIND("and",I1199)+3,1),20),"second(s)","")),0)</f>
        <v/>
      </c>
      <c r="K1199" s="41">
        <f>J1199/60</f>
        <v/>
      </c>
      <c r="L1199" s="41">
        <f>IFERROR(J1199/H1199,"")</f>
        <v/>
      </c>
      <c r="M1199" s="25" t="inlineStr">
        <is>
          <t>2.5.12</t>
        </is>
      </c>
      <c r="N1199" s="25">
        <f>IF(J1199&gt;300,1,0)</f>
        <v/>
      </c>
      <c r="O1199" s="25">
        <f>IF(J1199&gt;600,1,0)</f>
        <v/>
      </c>
      <c r="P1199" s="25">
        <f>IF(H1199&gt;0,J1199,"")</f>
        <v/>
      </c>
      <c r="Q1199" s="25">
        <f>TEXT(A1199,"YYYY-MM-DD HH")</f>
        <v/>
      </c>
      <c r="R1199" s="25">
        <f>COUNTIF($Q$2:$Q$5295,Q1199)</f>
        <v/>
      </c>
      <c r="S1199" s="25">
        <f>IF(R1199&lt;=2,"1-2",IF(R1199&lt;=5,"3-5",IF(R1199&lt;=10,"6-10","11+")))</f>
        <v/>
      </c>
    </row>
    <row r="1200">
      <c r="A1200" s="39" t="n">
        <v>46164.52896990741</v>
      </c>
      <c r="B1200" s="25">
        <f>TEXT(A1200,"YYYY-MM")</f>
        <v/>
      </c>
      <c r="C1200" s="25">
        <f>TEXT(A1200,"MMM-YYYY")</f>
        <v/>
      </c>
      <c r="D1200" s="40">
        <f>INT(A1200)-WEEKDAY(A1200,2)+1</f>
        <v/>
      </c>
      <c r="E1200" s="25" t="inlineStr">
        <is>
          <t>rts</t>
        </is>
      </c>
      <c r="F1200" s="25" t="n">
        <v>89828</v>
      </c>
      <c r="G1200" s="25" t="n">
        <v>1</v>
      </c>
      <c r="H1200" s="25" t="n">
        <v>5</v>
      </c>
      <c r="I1200" s="25" t="inlineStr">
        <is>
          <t>1 minute(s) and 28 second(s)</t>
        </is>
      </c>
      <c r="J1200" s="25">
        <f>IFERROR(VALUE(TRIM(LEFT(I1200,FIND("minute",I1200)-1)))*60,0)+IFERROR(VALUE(SUBSTITUTE(MID(I1200,IFERROR(FIND("and",I1200)+3,1),20),"second(s)","")),0)</f>
        <v/>
      </c>
      <c r="K1200" s="41">
        <f>J1200/60</f>
        <v/>
      </c>
      <c r="L1200" s="41">
        <f>IFERROR(J1200/H1200,"")</f>
        <v/>
      </c>
      <c r="M1200" s="25" t="inlineStr">
        <is>
          <t>2.5.12</t>
        </is>
      </c>
      <c r="N1200" s="25">
        <f>IF(J1200&gt;300,1,0)</f>
        <v/>
      </c>
      <c r="O1200" s="25">
        <f>IF(J1200&gt;600,1,0)</f>
        <v/>
      </c>
      <c r="P1200" s="25">
        <f>IF(H1200&gt;0,J1200,"")</f>
        <v/>
      </c>
      <c r="Q1200" s="25">
        <f>TEXT(A1200,"YYYY-MM-DD HH")</f>
        <v/>
      </c>
      <c r="R1200" s="25">
        <f>COUNTIF($Q$2:$Q$5295,Q1200)</f>
        <v/>
      </c>
      <c r="S1200" s="25">
        <f>IF(R1200&lt;=2,"1-2",IF(R1200&lt;=5,"3-5",IF(R1200&lt;=10,"6-10","11+")))</f>
        <v/>
      </c>
    </row>
    <row r="1201">
      <c r="A1201" s="39" t="n">
        <v>46164.54</v>
      </c>
      <c r="B1201" s="25">
        <f>TEXT(A1201,"YYYY-MM")</f>
        <v/>
      </c>
      <c r="C1201" s="25">
        <f>TEXT(A1201,"MMM-YYYY")</f>
        <v/>
      </c>
      <c r="D1201" s="40">
        <f>INT(A1201)-WEEKDAY(A1201,2)+1</f>
        <v/>
      </c>
      <c r="E1201" s="25" t="inlineStr">
        <is>
          <t>mgupta</t>
        </is>
      </c>
      <c r="F1201" s="25" t="n">
        <v>89554</v>
      </c>
      <c r="G1201" s="25" t="n">
        <v>2</v>
      </c>
      <c r="H1201" s="25" t="n">
        <v>12</v>
      </c>
      <c r="I1201" s="25" t="inlineStr">
        <is>
          <t>2 minute(s) and 14 second(s)</t>
        </is>
      </c>
      <c r="J1201" s="25">
        <f>IFERROR(VALUE(TRIM(LEFT(I1201,FIND("minute",I1201)-1)))*60,0)+IFERROR(VALUE(SUBSTITUTE(MID(I1201,IFERROR(FIND("and",I1201)+3,1),20),"second(s)","")),0)</f>
        <v/>
      </c>
      <c r="K1201" s="41">
        <f>J1201/60</f>
        <v/>
      </c>
      <c r="L1201" s="41">
        <f>IFERROR(J1201/H1201,"")</f>
        <v/>
      </c>
      <c r="M1201" s="25" t="inlineStr">
        <is>
          <t>2.5.12</t>
        </is>
      </c>
      <c r="N1201" s="25">
        <f>IF(J1201&gt;300,1,0)</f>
        <v/>
      </c>
      <c r="O1201" s="25">
        <f>IF(J1201&gt;600,1,0)</f>
        <v/>
      </c>
      <c r="P1201" s="25">
        <f>IF(H1201&gt;0,J1201,"")</f>
        <v/>
      </c>
      <c r="Q1201" s="25">
        <f>TEXT(A1201,"YYYY-MM-DD HH")</f>
        <v/>
      </c>
      <c r="R1201" s="25">
        <f>COUNTIF($Q$2:$Q$5295,Q1201)</f>
        <v/>
      </c>
      <c r="S1201" s="25">
        <f>IF(R1201&lt;=2,"1-2",IF(R1201&lt;=5,"3-5",IF(R1201&lt;=10,"6-10","11+")))</f>
        <v/>
      </c>
    </row>
    <row r="1202">
      <c r="A1202" s="39" t="n">
        <v>46164.54527777778</v>
      </c>
      <c r="B1202" s="25">
        <f>TEXT(A1202,"YYYY-MM")</f>
        <v/>
      </c>
      <c r="C1202" s="25">
        <f>TEXT(A1202,"MMM-YYYY")</f>
        <v/>
      </c>
      <c r="D1202" s="40">
        <f>INT(A1202)-WEEKDAY(A1202,2)+1</f>
        <v/>
      </c>
      <c r="E1202" s="25" t="inlineStr">
        <is>
          <t>vraina</t>
        </is>
      </c>
      <c r="F1202" s="25" t="n">
        <v>3918</v>
      </c>
      <c r="G1202" s="25" t="n">
        <v>1</v>
      </c>
      <c r="H1202" s="25" t="n">
        <v>7</v>
      </c>
      <c r="I1202" s="25" t="inlineStr">
        <is>
          <t>2 minute(s) and 25 second(s)</t>
        </is>
      </c>
      <c r="J1202" s="25">
        <f>IFERROR(VALUE(TRIM(LEFT(I1202,FIND("minute",I1202)-1)))*60,0)+IFERROR(VALUE(SUBSTITUTE(MID(I1202,IFERROR(FIND("and",I1202)+3,1),20),"second(s)","")),0)</f>
        <v/>
      </c>
      <c r="K1202" s="41">
        <f>J1202/60</f>
        <v/>
      </c>
      <c r="L1202" s="41">
        <f>IFERROR(J1202/H1202,"")</f>
        <v/>
      </c>
      <c r="M1202" s="25" t="inlineStr">
        <is>
          <t>2.5.12</t>
        </is>
      </c>
      <c r="N1202" s="25">
        <f>IF(J1202&gt;300,1,0)</f>
        <v/>
      </c>
      <c r="O1202" s="25">
        <f>IF(J1202&gt;600,1,0)</f>
        <v/>
      </c>
      <c r="P1202" s="25">
        <f>IF(H1202&gt;0,J1202,"")</f>
        <v/>
      </c>
      <c r="Q1202" s="25">
        <f>TEXT(A1202,"YYYY-MM-DD HH")</f>
        <v/>
      </c>
      <c r="R1202" s="25">
        <f>COUNTIF($Q$2:$Q$5295,Q1202)</f>
        <v/>
      </c>
      <c r="S1202" s="25">
        <f>IF(R1202&lt;=2,"1-2",IF(R1202&lt;=5,"3-5",IF(R1202&lt;=10,"6-10","11+")))</f>
        <v/>
      </c>
    </row>
    <row r="1203">
      <c r="A1203" s="39" t="n">
        <v>46164.56849537037</v>
      </c>
      <c r="B1203" s="25">
        <f>TEXT(A1203,"YYYY-MM")</f>
        <v/>
      </c>
      <c r="C1203" s="25">
        <f>TEXT(A1203,"MMM-YYYY")</f>
        <v/>
      </c>
      <c r="D1203" s="40">
        <f>INT(A1203)-WEEKDAY(A1203,2)+1</f>
        <v/>
      </c>
      <c r="E1203" s="25" t="inlineStr">
        <is>
          <t>hsindwani</t>
        </is>
      </c>
      <c r="F1203" s="25" t="n">
        <v>4293</v>
      </c>
      <c r="G1203" s="25" t="n">
        <v>1</v>
      </c>
      <c r="H1203" s="25" t="n">
        <v>7</v>
      </c>
      <c r="I1203" s="25" t="inlineStr">
        <is>
          <t>3 minute(s) and 5 second(s)</t>
        </is>
      </c>
      <c r="J1203" s="25">
        <f>IFERROR(VALUE(TRIM(LEFT(I1203,FIND("minute",I1203)-1)))*60,0)+IFERROR(VALUE(SUBSTITUTE(MID(I1203,IFERROR(FIND("and",I1203)+3,1),20),"second(s)","")),0)</f>
        <v/>
      </c>
      <c r="K1203" s="41">
        <f>J1203/60</f>
        <v/>
      </c>
      <c r="L1203" s="41">
        <f>IFERROR(J1203/H1203,"")</f>
        <v/>
      </c>
      <c r="M1203" s="25" t="inlineStr">
        <is>
          <t>2.5.12</t>
        </is>
      </c>
      <c r="N1203" s="25">
        <f>IF(J1203&gt;300,1,0)</f>
        <v/>
      </c>
      <c r="O1203" s="25">
        <f>IF(J1203&gt;600,1,0)</f>
        <v/>
      </c>
      <c r="P1203" s="25">
        <f>IF(H1203&gt;0,J1203,"")</f>
        <v/>
      </c>
      <c r="Q1203" s="25">
        <f>TEXT(A1203,"YYYY-MM-DD HH")</f>
        <v/>
      </c>
      <c r="R1203" s="25">
        <f>COUNTIF($Q$2:$Q$5295,Q1203)</f>
        <v/>
      </c>
      <c r="S1203" s="25">
        <f>IF(R1203&lt;=2,"1-2",IF(R1203&lt;=5,"3-5",IF(R1203&lt;=10,"6-10","11+")))</f>
        <v/>
      </c>
    </row>
    <row r="1204">
      <c r="A1204" s="39" t="n">
        <v>46164.56887731481</v>
      </c>
      <c r="B1204" s="25">
        <f>TEXT(A1204,"YYYY-MM")</f>
        <v/>
      </c>
      <c r="C1204" s="25">
        <f>TEXT(A1204,"MMM-YYYY")</f>
        <v/>
      </c>
      <c r="D1204" s="40">
        <f>INT(A1204)-WEEKDAY(A1204,2)+1</f>
        <v/>
      </c>
      <c r="E1204" s="25" t="inlineStr">
        <is>
          <t>shassan</t>
        </is>
      </c>
      <c r="F1204" s="25" t="n">
        <v>4088</v>
      </c>
      <c r="G1204" s="25" t="n">
        <v>1</v>
      </c>
      <c r="H1204" s="25" t="n">
        <v>7</v>
      </c>
      <c r="I1204" s="25" t="inlineStr">
        <is>
          <t>2 minute(s) and 50 second(s)</t>
        </is>
      </c>
      <c r="J1204" s="25">
        <f>IFERROR(VALUE(TRIM(LEFT(I1204,FIND("minute",I1204)-1)))*60,0)+IFERROR(VALUE(SUBSTITUTE(MID(I1204,IFERROR(FIND("and",I1204)+3,1),20),"second(s)","")),0)</f>
        <v/>
      </c>
      <c r="K1204" s="41">
        <f>J1204/60</f>
        <v/>
      </c>
      <c r="L1204" s="41">
        <f>IFERROR(J1204/H1204,"")</f>
        <v/>
      </c>
      <c r="M1204" s="25" t="inlineStr">
        <is>
          <t>2.5.12</t>
        </is>
      </c>
      <c r="N1204" s="25">
        <f>IF(J1204&gt;300,1,0)</f>
        <v/>
      </c>
      <c r="O1204" s="25">
        <f>IF(J1204&gt;600,1,0)</f>
        <v/>
      </c>
      <c r="P1204" s="25">
        <f>IF(H1204&gt;0,J1204,"")</f>
        <v/>
      </c>
      <c r="Q1204" s="25">
        <f>TEXT(A1204,"YYYY-MM-DD HH")</f>
        <v/>
      </c>
      <c r="R1204" s="25">
        <f>COUNTIF($Q$2:$Q$5295,Q1204)</f>
        <v/>
      </c>
      <c r="S1204" s="25">
        <f>IF(R1204&lt;=2,"1-2",IF(R1204&lt;=5,"3-5",IF(R1204&lt;=10,"6-10","11+")))</f>
        <v/>
      </c>
    </row>
    <row r="1205">
      <c r="A1205" s="39" t="n">
        <v>46164.57375</v>
      </c>
      <c r="B1205" s="25">
        <f>TEXT(A1205,"YYYY-MM")</f>
        <v/>
      </c>
      <c r="C1205" s="25">
        <f>TEXT(A1205,"MMM-YYYY")</f>
        <v/>
      </c>
      <c r="D1205" s="40">
        <f>INT(A1205)-WEEKDAY(A1205,2)+1</f>
        <v/>
      </c>
      <c r="E1205" s="25" t="inlineStr">
        <is>
          <t>rsingh</t>
        </is>
      </c>
      <c r="F1205" s="25" t="n">
        <v>33465</v>
      </c>
      <c r="G1205" s="25" t="n">
        <v>1</v>
      </c>
      <c r="H1205" s="25" t="n">
        <v>7</v>
      </c>
      <c r="I1205" s="25" t="inlineStr">
        <is>
          <t>1 minute(s) and 39 second(s)</t>
        </is>
      </c>
      <c r="J1205" s="25">
        <f>IFERROR(VALUE(TRIM(LEFT(I1205,FIND("minute",I1205)-1)))*60,0)+IFERROR(VALUE(SUBSTITUTE(MID(I1205,IFERROR(FIND("and",I1205)+3,1),20),"second(s)","")),0)</f>
        <v/>
      </c>
      <c r="K1205" s="41">
        <f>J1205/60</f>
        <v/>
      </c>
      <c r="L1205" s="41">
        <f>IFERROR(J1205/H1205,"")</f>
        <v/>
      </c>
      <c r="M1205" s="25" t="inlineStr">
        <is>
          <t>2.5.12</t>
        </is>
      </c>
      <c r="N1205" s="25">
        <f>IF(J1205&gt;300,1,0)</f>
        <v/>
      </c>
      <c r="O1205" s="25">
        <f>IF(J1205&gt;600,1,0)</f>
        <v/>
      </c>
      <c r="P1205" s="25">
        <f>IF(H1205&gt;0,J1205,"")</f>
        <v/>
      </c>
      <c r="Q1205" s="25">
        <f>TEXT(A1205,"YYYY-MM-DD HH")</f>
        <v/>
      </c>
      <c r="R1205" s="25">
        <f>COUNTIF($Q$2:$Q$5295,Q1205)</f>
        <v/>
      </c>
      <c r="S1205" s="25">
        <f>IF(R1205&lt;=2,"1-2",IF(R1205&lt;=5,"3-5",IF(R1205&lt;=10,"6-10","11+")))</f>
        <v/>
      </c>
    </row>
    <row r="1206">
      <c r="A1206" s="39" t="n">
        <v>46164.58126157407</v>
      </c>
      <c r="B1206" s="25">
        <f>TEXT(A1206,"YYYY-MM")</f>
        <v/>
      </c>
      <c r="C1206" s="25">
        <f>TEXT(A1206,"MMM-YYYY")</f>
        <v/>
      </c>
      <c r="D1206" s="40">
        <f>INT(A1206)-WEEKDAY(A1206,2)+1</f>
        <v/>
      </c>
      <c r="E1206" s="25" t="inlineStr">
        <is>
          <t>ssarkar</t>
        </is>
      </c>
      <c r="F1206" s="25" t="n">
        <v>4026</v>
      </c>
      <c r="G1206" s="25" t="n">
        <v>1</v>
      </c>
      <c r="H1206" s="25" t="n">
        <v>7</v>
      </c>
      <c r="I1206" s="25" t="inlineStr">
        <is>
          <t>2 minute(s) and 25 second(s)</t>
        </is>
      </c>
      <c r="J1206" s="25">
        <f>IFERROR(VALUE(TRIM(LEFT(I1206,FIND("minute",I1206)-1)))*60,0)+IFERROR(VALUE(SUBSTITUTE(MID(I1206,IFERROR(FIND("and",I1206)+3,1),20),"second(s)","")),0)</f>
        <v/>
      </c>
      <c r="K1206" s="41">
        <f>J1206/60</f>
        <v/>
      </c>
      <c r="L1206" s="41">
        <f>IFERROR(J1206/H1206,"")</f>
        <v/>
      </c>
      <c r="M1206" s="25" t="inlineStr">
        <is>
          <t>2.5.12</t>
        </is>
      </c>
      <c r="N1206" s="25">
        <f>IF(J1206&gt;300,1,0)</f>
        <v/>
      </c>
      <c r="O1206" s="25">
        <f>IF(J1206&gt;600,1,0)</f>
        <v/>
      </c>
      <c r="P1206" s="25">
        <f>IF(H1206&gt;0,J1206,"")</f>
        <v/>
      </c>
      <c r="Q1206" s="25">
        <f>TEXT(A1206,"YYYY-MM-DD HH")</f>
        <v/>
      </c>
      <c r="R1206" s="25">
        <f>COUNTIF($Q$2:$Q$5295,Q1206)</f>
        <v/>
      </c>
      <c r="S1206" s="25">
        <f>IF(R1206&lt;=2,"1-2",IF(R1206&lt;=5,"3-5",IF(R1206&lt;=10,"6-10","11+")))</f>
        <v/>
      </c>
    </row>
    <row r="1207">
      <c r="A1207" s="39" t="n">
        <v>46164.60528935185</v>
      </c>
      <c r="B1207" s="25">
        <f>TEXT(A1207,"YYYY-MM")</f>
        <v/>
      </c>
      <c r="C1207" s="25">
        <f>TEXT(A1207,"MMM-YYYY")</f>
        <v/>
      </c>
      <c r="D1207" s="40">
        <f>INT(A1207)-WEEKDAY(A1207,2)+1</f>
        <v/>
      </c>
      <c r="E1207" s="25" t="inlineStr">
        <is>
          <t>vraina</t>
        </is>
      </c>
      <c r="F1207" s="25" t="n">
        <v>3921</v>
      </c>
      <c r="G1207" s="25" t="n">
        <v>1</v>
      </c>
      <c r="H1207" s="25" t="n">
        <v>7</v>
      </c>
      <c r="I1207" s="25" t="inlineStr">
        <is>
          <t>1 minute(s) and 26 second(s)</t>
        </is>
      </c>
      <c r="J1207" s="25">
        <f>IFERROR(VALUE(TRIM(LEFT(I1207,FIND("minute",I1207)-1)))*60,0)+IFERROR(VALUE(SUBSTITUTE(MID(I1207,IFERROR(FIND("and",I1207)+3,1),20),"second(s)","")),0)</f>
        <v/>
      </c>
      <c r="K1207" s="41">
        <f>J1207/60</f>
        <v/>
      </c>
      <c r="L1207" s="41">
        <f>IFERROR(J1207/H1207,"")</f>
        <v/>
      </c>
      <c r="M1207" s="25" t="inlineStr">
        <is>
          <t>2.5.12</t>
        </is>
      </c>
      <c r="N1207" s="25">
        <f>IF(J1207&gt;300,1,0)</f>
        <v/>
      </c>
      <c r="O1207" s="25">
        <f>IF(J1207&gt;600,1,0)</f>
        <v/>
      </c>
      <c r="P1207" s="25">
        <f>IF(H1207&gt;0,J1207,"")</f>
        <v/>
      </c>
      <c r="Q1207" s="25">
        <f>TEXT(A1207,"YYYY-MM-DD HH")</f>
        <v/>
      </c>
      <c r="R1207" s="25">
        <f>COUNTIF($Q$2:$Q$5295,Q1207)</f>
        <v/>
      </c>
      <c r="S1207" s="25">
        <f>IF(R1207&lt;=2,"1-2",IF(R1207&lt;=5,"3-5",IF(R1207&lt;=10,"6-10","11+")))</f>
        <v/>
      </c>
    </row>
    <row r="1208">
      <c r="A1208" s="39" t="n">
        <v>46164.60734953704</v>
      </c>
      <c r="B1208" s="25">
        <f>TEXT(A1208,"YYYY-MM")</f>
        <v/>
      </c>
      <c r="C1208" s="25">
        <f>TEXT(A1208,"MMM-YYYY")</f>
        <v/>
      </c>
      <c r="D1208" s="40">
        <f>INT(A1208)-WEEKDAY(A1208,2)+1</f>
        <v/>
      </c>
      <c r="E1208" s="25" t="inlineStr">
        <is>
          <t>hsindwani</t>
        </is>
      </c>
      <c r="F1208" s="25" t="n">
        <v>4292</v>
      </c>
      <c r="G1208" s="25" t="n">
        <v>1</v>
      </c>
      <c r="H1208" s="25" t="n">
        <v>7</v>
      </c>
      <c r="I1208" s="25" t="inlineStr">
        <is>
          <t>3 minute(s) and 28 second(s)</t>
        </is>
      </c>
      <c r="J1208" s="25">
        <f>IFERROR(VALUE(TRIM(LEFT(I1208,FIND("minute",I1208)-1)))*60,0)+IFERROR(VALUE(SUBSTITUTE(MID(I1208,IFERROR(FIND("and",I1208)+3,1),20),"second(s)","")),0)</f>
        <v/>
      </c>
      <c r="K1208" s="41">
        <f>J1208/60</f>
        <v/>
      </c>
      <c r="L1208" s="41">
        <f>IFERROR(J1208/H1208,"")</f>
        <v/>
      </c>
      <c r="M1208" s="25" t="inlineStr">
        <is>
          <t>2.5.12</t>
        </is>
      </c>
      <c r="N1208" s="25">
        <f>IF(J1208&gt;300,1,0)</f>
        <v/>
      </c>
      <c r="O1208" s="25">
        <f>IF(J1208&gt;600,1,0)</f>
        <v/>
      </c>
      <c r="P1208" s="25">
        <f>IF(H1208&gt;0,J1208,"")</f>
        <v/>
      </c>
      <c r="Q1208" s="25">
        <f>TEXT(A1208,"YYYY-MM-DD HH")</f>
        <v/>
      </c>
      <c r="R1208" s="25">
        <f>COUNTIF($Q$2:$Q$5295,Q1208)</f>
        <v/>
      </c>
      <c r="S1208" s="25">
        <f>IF(R1208&lt;=2,"1-2",IF(R1208&lt;=5,"3-5",IF(R1208&lt;=10,"6-10","11+")))</f>
        <v/>
      </c>
    </row>
    <row r="1209">
      <c r="A1209" s="39" t="n">
        <v>46164.63219907408</v>
      </c>
      <c r="B1209" s="25">
        <f>TEXT(A1209,"YYYY-MM")</f>
        <v/>
      </c>
      <c r="C1209" s="25">
        <f>TEXT(A1209,"MMM-YYYY")</f>
        <v/>
      </c>
      <c r="D1209" s="40">
        <f>INT(A1209)-WEEKDAY(A1209,2)+1</f>
        <v/>
      </c>
      <c r="E1209" s="25" t="inlineStr">
        <is>
          <t>psingh</t>
        </is>
      </c>
      <c r="F1209" s="25" t="n">
        <v>1891</v>
      </c>
      <c r="G1209" s="25" t="n">
        <v>1</v>
      </c>
      <c r="H1209" s="25" t="n">
        <v>5</v>
      </c>
      <c r="I1209" s="25" t="inlineStr">
        <is>
          <t>2 minute(s) and 13 second(s)</t>
        </is>
      </c>
      <c r="J1209" s="25">
        <f>IFERROR(VALUE(TRIM(LEFT(I1209,FIND("minute",I1209)-1)))*60,0)+IFERROR(VALUE(SUBSTITUTE(MID(I1209,IFERROR(FIND("and",I1209)+3,1),20),"second(s)","")),0)</f>
        <v/>
      </c>
      <c r="K1209" s="41">
        <f>J1209/60</f>
        <v/>
      </c>
      <c r="L1209" s="41">
        <f>IFERROR(J1209/H1209,"")</f>
        <v/>
      </c>
      <c r="M1209" s="25" t="inlineStr">
        <is>
          <t>2.5.12</t>
        </is>
      </c>
      <c r="N1209" s="25">
        <f>IF(J1209&gt;300,1,0)</f>
        <v/>
      </c>
      <c r="O1209" s="25">
        <f>IF(J1209&gt;600,1,0)</f>
        <v/>
      </c>
      <c r="P1209" s="25">
        <f>IF(H1209&gt;0,J1209,"")</f>
        <v/>
      </c>
      <c r="Q1209" s="25">
        <f>TEXT(A1209,"YYYY-MM-DD HH")</f>
        <v/>
      </c>
      <c r="R1209" s="25">
        <f>COUNTIF($Q$2:$Q$5295,Q1209)</f>
        <v/>
      </c>
      <c r="S1209" s="25">
        <f>IF(R1209&lt;=2,"1-2",IF(R1209&lt;=5,"3-5",IF(R1209&lt;=10,"6-10","11+")))</f>
        <v/>
      </c>
    </row>
    <row r="1210">
      <c r="A1210" s="39" t="n">
        <v>46164.63453703704</v>
      </c>
      <c r="B1210" s="25">
        <f>TEXT(A1210,"YYYY-MM")</f>
        <v/>
      </c>
      <c r="C1210" s="25">
        <f>TEXT(A1210,"MMM-YYYY")</f>
        <v/>
      </c>
      <c r="D1210" s="40">
        <f>INT(A1210)-WEEKDAY(A1210,2)+1</f>
        <v/>
      </c>
      <c r="E1210" s="25" t="inlineStr">
        <is>
          <t>ssarkar</t>
        </is>
      </c>
      <c r="F1210" s="25" t="n">
        <v>4029</v>
      </c>
      <c r="G1210" s="25" t="n">
        <v>1</v>
      </c>
      <c r="H1210" s="25" t="n">
        <v>7</v>
      </c>
      <c r="I1210" s="25" t="inlineStr">
        <is>
          <t>1 minute(s) and 33 second(s)</t>
        </is>
      </c>
      <c r="J1210" s="25">
        <f>IFERROR(VALUE(TRIM(LEFT(I1210,FIND("minute",I1210)-1)))*60,0)+IFERROR(VALUE(SUBSTITUTE(MID(I1210,IFERROR(FIND("and",I1210)+3,1),20),"second(s)","")),0)</f>
        <v/>
      </c>
      <c r="K1210" s="41">
        <f>J1210/60</f>
        <v/>
      </c>
      <c r="L1210" s="41">
        <f>IFERROR(J1210/H1210,"")</f>
        <v/>
      </c>
      <c r="M1210" s="25" t="inlineStr">
        <is>
          <t>2.5.12</t>
        </is>
      </c>
      <c r="N1210" s="25">
        <f>IF(J1210&gt;300,1,0)</f>
        <v/>
      </c>
      <c r="O1210" s="25">
        <f>IF(J1210&gt;600,1,0)</f>
        <v/>
      </c>
      <c r="P1210" s="25">
        <f>IF(H1210&gt;0,J1210,"")</f>
        <v/>
      </c>
      <c r="Q1210" s="25">
        <f>TEXT(A1210,"YYYY-MM-DD HH")</f>
        <v/>
      </c>
      <c r="R1210" s="25">
        <f>COUNTIF($Q$2:$Q$5295,Q1210)</f>
        <v/>
      </c>
      <c r="S1210" s="25">
        <f>IF(R1210&lt;=2,"1-2",IF(R1210&lt;=5,"3-5",IF(R1210&lt;=10,"6-10","11+")))</f>
        <v/>
      </c>
    </row>
    <row r="1211">
      <c r="A1211" s="39" t="n">
        <v>46164.65893518519</v>
      </c>
      <c r="B1211" s="25">
        <f>TEXT(A1211,"YYYY-MM")</f>
        <v/>
      </c>
      <c r="C1211" s="25">
        <f>TEXT(A1211,"MMM-YYYY")</f>
        <v/>
      </c>
      <c r="D1211" s="40">
        <f>INT(A1211)-WEEKDAY(A1211,2)+1</f>
        <v/>
      </c>
      <c r="E1211" s="25" t="inlineStr">
        <is>
          <t>hsindwani</t>
        </is>
      </c>
      <c r="F1211" s="25" t="n">
        <v>4290</v>
      </c>
      <c r="G1211" s="25" t="n">
        <v>1</v>
      </c>
      <c r="H1211" s="25" t="n">
        <v>7</v>
      </c>
      <c r="I1211" s="25" t="inlineStr">
        <is>
          <t>2 minute(s) and 39 second(s)</t>
        </is>
      </c>
      <c r="J1211" s="25">
        <f>IFERROR(VALUE(TRIM(LEFT(I1211,FIND("minute",I1211)-1)))*60,0)+IFERROR(VALUE(SUBSTITUTE(MID(I1211,IFERROR(FIND("and",I1211)+3,1),20),"second(s)","")),0)</f>
        <v/>
      </c>
      <c r="K1211" s="41">
        <f>J1211/60</f>
        <v/>
      </c>
      <c r="L1211" s="41">
        <f>IFERROR(J1211/H1211,"")</f>
        <v/>
      </c>
      <c r="M1211" s="25" t="inlineStr">
        <is>
          <t>2.5.12</t>
        </is>
      </c>
      <c r="N1211" s="25">
        <f>IF(J1211&gt;300,1,0)</f>
        <v/>
      </c>
      <c r="O1211" s="25">
        <f>IF(J1211&gt;600,1,0)</f>
        <v/>
      </c>
      <c r="P1211" s="25">
        <f>IF(H1211&gt;0,J1211,"")</f>
        <v/>
      </c>
      <c r="Q1211" s="25">
        <f>TEXT(A1211,"YYYY-MM-DD HH")</f>
        <v/>
      </c>
      <c r="R1211" s="25">
        <f>COUNTIF($Q$2:$Q$5295,Q1211)</f>
        <v/>
      </c>
      <c r="S1211" s="25">
        <f>IF(R1211&lt;=2,"1-2",IF(R1211&lt;=5,"3-5",IF(R1211&lt;=10,"6-10","11+")))</f>
        <v/>
      </c>
    </row>
    <row r="1212">
      <c r="A1212" s="39" t="n">
        <v>46164.67721064815</v>
      </c>
      <c r="B1212" s="25">
        <f>TEXT(A1212,"YYYY-MM")</f>
        <v/>
      </c>
      <c r="C1212" s="25">
        <f>TEXT(A1212,"MMM-YYYY")</f>
        <v/>
      </c>
      <c r="D1212" s="40">
        <f>INT(A1212)-WEEKDAY(A1212,2)+1</f>
        <v/>
      </c>
      <c r="E1212" s="25" t="inlineStr">
        <is>
          <t>ssarkar</t>
        </is>
      </c>
      <c r="F1212" s="25" t="n">
        <v>4030</v>
      </c>
      <c r="G1212" s="25" t="n">
        <v>1</v>
      </c>
      <c r="H1212" s="25" t="n">
        <v>7</v>
      </c>
      <c r="I1212" s="25" t="inlineStr">
        <is>
          <t>1 minute(s) and 28 second(s)</t>
        </is>
      </c>
      <c r="J1212" s="25">
        <f>IFERROR(VALUE(TRIM(LEFT(I1212,FIND("minute",I1212)-1)))*60,0)+IFERROR(VALUE(SUBSTITUTE(MID(I1212,IFERROR(FIND("and",I1212)+3,1),20),"second(s)","")),0)</f>
        <v/>
      </c>
      <c r="K1212" s="41">
        <f>J1212/60</f>
        <v/>
      </c>
      <c r="L1212" s="41">
        <f>IFERROR(J1212/H1212,"")</f>
        <v/>
      </c>
      <c r="M1212" s="25" t="inlineStr">
        <is>
          <t>2.5.12</t>
        </is>
      </c>
      <c r="N1212" s="25">
        <f>IF(J1212&gt;300,1,0)</f>
        <v/>
      </c>
      <c r="O1212" s="25">
        <f>IF(J1212&gt;600,1,0)</f>
        <v/>
      </c>
      <c r="P1212" s="25">
        <f>IF(H1212&gt;0,J1212,"")</f>
        <v/>
      </c>
      <c r="Q1212" s="25">
        <f>TEXT(A1212,"YYYY-MM-DD HH")</f>
        <v/>
      </c>
      <c r="R1212" s="25">
        <f>COUNTIF($Q$2:$Q$5295,Q1212)</f>
        <v/>
      </c>
      <c r="S1212" s="25">
        <f>IF(R1212&lt;=2,"1-2",IF(R1212&lt;=5,"3-5",IF(R1212&lt;=10,"6-10","11+")))</f>
        <v/>
      </c>
    </row>
    <row r="1213">
      <c r="A1213" s="39" t="n">
        <v>46164.71298611111</v>
      </c>
      <c r="B1213" s="25">
        <f>TEXT(A1213,"YYYY-MM")</f>
        <v/>
      </c>
      <c r="C1213" s="25">
        <f>TEXT(A1213,"MMM-YYYY")</f>
        <v/>
      </c>
      <c r="D1213" s="40">
        <f>INT(A1213)-WEEKDAY(A1213,2)+1</f>
        <v/>
      </c>
      <c r="E1213" s="25" t="inlineStr">
        <is>
          <t>sswati</t>
        </is>
      </c>
      <c r="F1213" s="25" t="n">
        <v>3886</v>
      </c>
      <c r="G1213" s="25" t="n">
        <v>1</v>
      </c>
      <c r="H1213" s="25" t="n">
        <v>7</v>
      </c>
      <c r="I1213" s="25" t="inlineStr">
        <is>
          <t>2 minute(s) and 51 second(s)</t>
        </is>
      </c>
      <c r="J1213" s="25">
        <f>IFERROR(VALUE(TRIM(LEFT(I1213,FIND("minute",I1213)-1)))*60,0)+IFERROR(VALUE(SUBSTITUTE(MID(I1213,IFERROR(FIND("and",I1213)+3,1),20),"second(s)","")),0)</f>
        <v/>
      </c>
      <c r="K1213" s="41">
        <f>J1213/60</f>
        <v/>
      </c>
      <c r="L1213" s="41">
        <f>IFERROR(J1213/H1213,"")</f>
        <v/>
      </c>
      <c r="M1213" s="25" t="inlineStr">
        <is>
          <t>2.5.12</t>
        </is>
      </c>
      <c r="N1213" s="25">
        <f>IF(J1213&gt;300,1,0)</f>
        <v/>
      </c>
      <c r="O1213" s="25">
        <f>IF(J1213&gt;600,1,0)</f>
        <v/>
      </c>
      <c r="P1213" s="25">
        <f>IF(H1213&gt;0,J1213,"")</f>
        <v/>
      </c>
      <c r="Q1213" s="25">
        <f>TEXT(A1213,"YYYY-MM-DD HH")</f>
        <v/>
      </c>
      <c r="R1213" s="25">
        <f>COUNTIF($Q$2:$Q$5295,Q1213)</f>
        <v/>
      </c>
      <c r="S1213" s="25">
        <f>IF(R1213&lt;=2,"1-2",IF(R1213&lt;=5,"3-5",IF(R1213&lt;=10,"6-10","11+")))</f>
        <v/>
      </c>
    </row>
    <row r="1214">
      <c r="A1214" s="39" t="n">
        <v>46164.71587962963</v>
      </c>
      <c r="B1214" s="25">
        <f>TEXT(A1214,"YYYY-MM")</f>
        <v/>
      </c>
      <c r="C1214" s="25">
        <f>TEXT(A1214,"MMM-YYYY")</f>
        <v/>
      </c>
      <c r="D1214" s="40">
        <f>INT(A1214)-WEEKDAY(A1214,2)+1</f>
        <v/>
      </c>
      <c r="E1214" s="25" t="inlineStr">
        <is>
          <t>psingh</t>
        </is>
      </c>
      <c r="F1214" s="25" t="n">
        <v>1892</v>
      </c>
      <c r="G1214" s="25" t="n">
        <v>2</v>
      </c>
      <c r="H1214" s="25" t="n">
        <v>12</v>
      </c>
      <c r="I1214" s="25" t="inlineStr">
        <is>
          <t>4 minute(s) and 20 second(s)</t>
        </is>
      </c>
      <c r="J1214" s="25">
        <f>IFERROR(VALUE(TRIM(LEFT(I1214,FIND("minute",I1214)-1)))*60,0)+IFERROR(VALUE(SUBSTITUTE(MID(I1214,IFERROR(FIND("and",I1214)+3,1),20),"second(s)","")),0)</f>
        <v/>
      </c>
      <c r="K1214" s="41">
        <f>J1214/60</f>
        <v/>
      </c>
      <c r="L1214" s="41">
        <f>IFERROR(J1214/H1214,"")</f>
        <v/>
      </c>
      <c r="M1214" s="25" t="inlineStr">
        <is>
          <t>2.5.12</t>
        </is>
      </c>
      <c r="N1214" s="25">
        <f>IF(J1214&gt;300,1,0)</f>
        <v/>
      </c>
      <c r="O1214" s="25">
        <f>IF(J1214&gt;600,1,0)</f>
        <v/>
      </c>
      <c r="P1214" s="25">
        <f>IF(H1214&gt;0,J1214,"")</f>
        <v/>
      </c>
      <c r="Q1214" s="25">
        <f>TEXT(A1214,"YYYY-MM-DD HH")</f>
        <v/>
      </c>
      <c r="R1214" s="25">
        <f>COUNTIF($Q$2:$Q$5295,Q1214)</f>
        <v/>
      </c>
      <c r="S1214" s="25">
        <f>IF(R1214&lt;=2,"1-2",IF(R1214&lt;=5,"3-5",IF(R1214&lt;=10,"6-10","11+")))</f>
        <v/>
      </c>
    </row>
    <row r="1215">
      <c r="A1215" s="39" t="n">
        <v>46164.72001157407</v>
      </c>
      <c r="B1215" s="25">
        <f>TEXT(A1215,"YYYY-MM")</f>
        <v/>
      </c>
      <c r="C1215" s="25">
        <f>TEXT(A1215,"MMM-YYYY")</f>
        <v/>
      </c>
      <c r="D1215" s="40">
        <f>INT(A1215)-WEEKDAY(A1215,2)+1</f>
        <v/>
      </c>
      <c r="E1215" s="25" t="inlineStr">
        <is>
          <t>hsindwani</t>
        </is>
      </c>
      <c r="F1215" s="25" t="n">
        <v>4288</v>
      </c>
      <c r="G1215" s="25" t="n">
        <v>1</v>
      </c>
      <c r="H1215" s="25" t="n">
        <v>5</v>
      </c>
      <c r="I1215" s="25" t="inlineStr">
        <is>
          <t>5 minute(s) and 0 second(s)</t>
        </is>
      </c>
      <c r="J1215" s="25">
        <f>IFERROR(VALUE(TRIM(LEFT(I1215,FIND("minute",I1215)-1)))*60,0)+IFERROR(VALUE(SUBSTITUTE(MID(I1215,IFERROR(FIND("and",I1215)+3,1),20),"second(s)","")),0)</f>
        <v/>
      </c>
      <c r="K1215" s="41">
        <f>J1215/60</f>
        <v/>
      </c>
      <c r="L1215" s="41">
        <f>IFERROR(J1215/H1215,"")</f>
        <v/>
      </c>
      <c r="M1215" s="25" t="inlineStr">
        <is>
          <t>2.5.12</t>
        </is>
      </c>
      <c r="N1215" s="25">
        <f>IF(J1215&gt;300,1,0)</f>
        <v/>
      </c>
      <c r="O1215" s="25">
        <f>IF(J1215&gt;600,1,0)</f>
        <v/>
      </c>
      <c r="P1215" s="25">
        <f>IF(H1215&gt;0,J1215,"")</f>
        <v/>
      </c>
      <c r="Q1215" s="25">
        <f>TEXT(A1215,"YYYY-MM-DD HH")</f>
        <v/>
      </c>
      <c r="R1215" s="25">
        <f>COUNTIF($Q$2:$Q$5295,Q1215)</f>
        <v/>
      </c>
      <c r="S1215" s="25">
        <f>IF(R1215&lt;=2,"1-2",IF(R1215&lt;=5,"3-5",IF(R1215&lt;=10,"6-10","11+")))</f>
        <v/>
      </c>
    </row>
    <row r="1216">
      <c r="A1216" s="39" t="n">
        <v>46164.74350694445</v>
      </c>
      <c r="B1216" s="25">
        <f>TEXT(A1216,"YYYY-MM")</f>
        <v/>
      </c>
      <c r="C1216" s="25">
        <f>TEXT(A1216,"MMM-YYYY")</f>
        <v/>
      </c>
      <c r="D1216" s="40">
        <f>INT(A1216)-WEEKDAY(A1216,2)+1</f>
        <v/>
      </c>
      <c r="E1216" s="25" t="inlineStr">
        <is>
          <t>vraina</t>
        </is>
      </c>
      <c r="F1216" s="25" t="n">
        <v>3924</v>
      </c>
      <c r="G1216" s="25" t="n">
        <v>1</v>
      </c>
      <c r="H1216" s="25" t="n">
        <v>5</v>
      </c>
      <c r="I1216" s="25" t="inlineStr">
        <is>
          <t>2 minute(s) and 3 second(s)</t>
        </is>
      </c>
      <c r="J1216" s="25">
        <f>IFERROR(VALUE(TRIM(LEFT(I1216,FIND("minute",I1216)-1)))*60,0)+IFERROR(VALUE(SUBSTITUTE(MID(I1216,IFERROR(FIND("and",I1216)+3,1),20),"second(s)","")),0)</f>
        <v/>
      </c>
      <c r="K1216" s="41">
        <f>J1216/60</f>
        <v/>
      </c>
      <c r="L1216" s="41">
        <f>IFERROR(J1216/H1216,"")</f>
        <v/>
      </c>
      <c r="M1216" s="25" t="inlineStr">
        <is>
          <t>2.5.12</t>
        </is>
      </c>
      <c r="N1216" s="25">
        <f>IF(J1216&gt;300,1,0)</f>
        <v/>
      </c>
      <c r="O1216" s="25">
        <f>IF(J1216&gt;600,1,0)</f>
        <v/>
      </c>
      <c r="P1216" s="25">
        <f>IF(H1216&gt;0,J1216,"")</f>
        <v/>
      </c>
      <c r="Q1216" s="25">
        <f>TEXT(A1216,"YYYY-MM-DD HH")</f>
        <v/>
      </c>
      <c r="R1216" s="25">
        <f>COUNTIF($Q$2:$Q$5295,Q1216)</f>
        <v/>
      </c>
      <c r="S1216" s="25">
        <f>IF(R1216&lt;=2,"1-2",IF(R1216&lt;=5,"3-5",IF(R1216&lt;=10,"6-10","11+")))</f>
        <v/>
      </c>
    </row>
    <row r="1217">
      <c r="A1217" s="39" t="n">
        <v>46164.77819444444</v>
      </c>
      <c r="B1217" s="25">
        <f>TEXT(A1217,"YYYY-MM")</f>
        <v/>
      </c>
      <c r="C1217" s="25">
        <f>TEXT(A1217,"MMM-YYYY")</f>
        <v/>
      </c>
      <c r="D1217" s="40">
        <f>INT(A1217)-WEEKDAY(A1217,2)+1</f>
        <v/>
      </c>
      <c r="E1217" s="25" t="inlineStr">
        <is>
          <t>psingh</t>
        </is>
      </c>
      <c r="F1217" s="25" t="n">
        <v>1895</v>
      </c>
      <c r="G1217" s="25" t="n">
        <v>2</v>
      </c>
      <c r="H1217" s="25" t="n">
        <v>12</v>
      </c>
      <c r="I1217" s="25" t="inlineStr">
        <is>
          <t>5 minute(s) and 12 second(s)</t>
        </is>
      </c>
      <c r="J1217" s="25">
        <f>IFERROR(VALUE(TRIM(LEFT(I1217,FIND("minute",I1217)-1)))*60,0)+IFERROR(VALUE(SUBSTITUTE(MID(I1217,IFERROR(FIND("and",I1217)+3,1),20),"second(s)","")),0)</f>
        <v/>
      </c>
      <c r="K1217" s="41">
        <f>J1217/60</f>
        <v/>
      </c>
      <c r="L1217" s="41">
        <f>IFERROR(J1217/H1217,"")</f>
        <v/>
      </c>
      <c r="M1217" s="25" t="inlineStr">
        <is>
          <t>2.5.12</t>
        </is>
      </c>
      <c r="N1217" s="25">
        <f>IF(J1217&gt;300,1,0)</f>
        <v/>
      </c>
      <c r="O1217" s="25">
        <f>IF(J1217&gt;600,1,0)</f>
        <v/>
      </c>
      <c r="P1217" s="25">
        <f>IF(H1217&gt;0,J1217,"")</f>
        <v/>
      </c>
      <c r="Q1217" s="25">
        <f>TEXT(A1217,"YYYY-MM-DD HH")</f>
        <v/>
      </c>
      <c r="R1217" s="25">
        <f>COUNTIF($Q$2:$Q$5295,Q1217)</f>
        <v/>
      </c>
      <c r="S1217" s="25">
        <f>IF(R1217&lt;=2,"1-2",IF(R1217&lt;=5,"3-5",IF(R1217&lt;=10,"6-10","11+")))</f>
        <v/>
      </c>
    </row>
    <row r="1218">
      <c r="A1218" s="39" t="n">
        <v>46164.86476851852</v>
      </c>
      <c r="B1218" s="25">
        <f>TEXT(A1218,"YYYY-MM")</f>
        <v/>
      </c>
      <c r="C1218" s="25">
        <f>TEXT(A1218,"MMM-YYYY")</f>
        <v/>
      </c>
      <c r="D1218" s="40">
        <f>INT(A1218)-WEEKDAY(A1218,2)+1</f>
        <v/>
      </c>
      <c r="E1218" s="25" t="inlineStr">
        <is>
          <t>psingh</t>
        </is>
      </c>
      <c r="F1218" s="25" t="n">
        <v>1894</v>
      </c>
      <c r="G1218" s="25" t="n">
        <v>1</v>
      </c>
      <c r="H1218" s="25" t="n">
        <v>5</v>
      </c>
      <c r="I1218" s="25" t="inlineStr">
        <is>
          <t>2 minute(s) and 20 second(s)</t>
        </is>
      </c>
      <c r="J1218" s="25">
        <f>IFERROR(VALUE(TRIM(LEFT(I1218,FIND("minute",I1218)-1)))*60,0)+IFERROR(VALUE(SUBSTITUTE(MID(I1218,IFERROR(FIND("and",I1218)+3,1),20),"second(s)","")),0)</f>
        <v/>
      </c>
      <c r="K1218" s="41">
        <f>J1218/60</f>
        <v/>
      </c>
      <c r="L1218" s="41">
        <f>IFERROR(J1218/H1218,"")</f>
        <v/>
      </c>
      <c r="M1218" s="25" t="inlineStr">
        <is>
          <t>2.5.12</t>
        </is>
      </c>
      <c r="N1218" s="25">
        <f>IF(J1218&gt;300,1,0)</f>
        <v/>
      </c>
      <c r="O1218" s="25">
        <f>IF(J1218&gt;600,1,0)</f>
        <v/>
      </c>
      <c r="P1218" s="25">
        <f>IF(H1218&gt;0,J1218,"")</f>
        <v/>
      </c>
      <c r="Q1218" s="25">
        <f>TEXT(A1218,"YYYY-MM-DD HH")</f>
        <v/>
      </c>
      <c r="R1218" s="25">
        <f>COUNTIF($Q$2:$Q$5295,Q1218)</f>
        <v/>
      </c>
      <c r="S1218" s="25">
        <f>IF(R1218&lt;=2,"1-2",IF(R1218&lt;=5,"3-5",IF(R1218&lt;=10,"6-10","11+")))</f>
        <v/>
      </c>
    </row>
    <row r="1219">
      <c r="A1219" s="39" t="n">
        <v>46164.89623842593</v>
      </c>
      <c r="B1219" s="25">
        <f>TEXT(A1219,"YYYY-MM")</f>
        <v/>
      </c>
      <c r="C1219" s="25">
        <f>TEXT(A1219,"MMM-YYYY")</f>
        <v/>
      </c>
      <c r="D1219" s="40">
        <f>INT(A1219)-WEEKDAY(A1219,2)+1</f>
        <v/>
      </c>
      <c r="E1219" s="25" t="inlineStr">
        <is>
          <t>psingh</t>
        </is>
      </c>
      <c r="F1219" s="25" t="n">
        <v>1913</v>
      </c>
      <c r="G1219" s="25" t="n">
        <v>1</v>
      </c>
      <c r="H1219" s="25" t="n">
        <v>7</v>
      </c>
      <c r="I1219" s="25" t="inlineStr">
        <is>
          <t>2 minute(s) and 17 second(s)</t>
        </is>
      </c>
      <c r="J1219" s="25">
        <f>IFERROR(VALUE(TRIM(LEFT(I1219,FIND("minute",I1219)-1)))*60,0)+IFERROR(VALUE(SUBSTITUTE(MID(I1219,IFERROR(FIND("and",I1219)+3,1),20),"second(s)","")),0)</f>
        <v/>
      </c>
      <c r="K1219" s="41">
        <f>J1219/60</f>
        <v/>
      </c>
      <c r="L1219" s="41">
        <f>IFERROR(J1219/H1219,"")</f>
        <v/>
      </c>
      <c r="M1219" s="25" t="inlineStr">
        <is>
          <t>2.5.12</t>
        </is>
      </c>
      <c r="N1219" s="25">
        <f>IF(J1219&gt;300,1,0)</f>
        <v/>
      </c>
      <c r="O1219" s="25">
        <f>IF(J1219&gt;600,1,0)</f>
        <v/>
      </c>
      <c r="P1219" s="25">
        <f>IF(H1219&gt;0,J1219,"")</f>
        <v/>
      </c>
      <c r="Q1219" s="25">
        <f>TEXT(A1219,"YYYY-MM-DD HH")</f>
        <v/>
      </c>
      <c r="R1219" s="25">
        <f>COUNTIF($Q$2:$Q$5295,Q1219)</f>
        <v/>
      </c>
      <c r="S1219" s="25">
        <f>IF(R1219&lt;=2,"1-2",IF(R1219&lt;=5,"3-5",IF(R1219&lt;=10,"6-10","11+")))</f>
        <v/>
      </c>
    </row>
    <row r="1220">
      <c r="A1220" s="39" t="n">
        <v>46164.95163194444</v>
      </c>
      <c r="B1220" s="25">
        <f>TEXT(A1220,"YYYY-MM")</f>
        <v/>
      </c>
      <c r="C1220" s="25">
        <f>TEXT(A1220,"MMM-YYYY")</f>
        <v/>
      </c>
      <c r="D1220" s="40">
        <f>INT(A1220)-WEEKDAY(A1220,2)+1</f>
        <v/>
      </c>
      <c r="E1220" s="25" t="inlineStr">
        <is>
          <t>asaxena</t>
        </is>
      </c>
      <c r="F1220" s="25" t="n">
        <v>89834</v>
      </c>
      <c r="G1220" s="25" t="n">
        <v>2</v>
      </c>
      <c r="H1220" s="25" t="n">
        <v>10</v>
      </c>
      <c r="I1220" s="25" t="inlineStr">
        <is>
          <t>1 minute(s) and 57 second(s)</t>
        </is>
      </c>
      <c r="J1220" s="25">
        <f>IFERROR(VALUE(TRIM(LEFT(I1220,FIND("minute",I1220)-1)))*60,0)+IFERROR(VALUE(SUBSTITUTE(MID(I1220,IFERROR(FIND("and",I1220)+3,1),20),"second(s)","")),0)</f>
        <v/>
      </c>
      <c r="K1220" s="41">
        <f>J1220/60</f>
        <v/>
      </c>
      <c r="L1220" s="41">
        <f>IFERROR(J1220/H1220,"")</f>
        <v/>
      </c>
      <c r="M1220" s="25" t="inlineStr">
        <is>
          <t>2.5.12</t>
        </is>
      </c>
      <c r="N1220" s="25">
        <f>IF(J1220&gt;300,1,0)</f>
        <v/>
      </c>
      <c r="O1220" s="25">
        <f>IF(J1220&gt;600,1,0)</f>
        <v/>
      </c>
      <c r="P1220" s="25">
        <f>IF(H1220&gt;0,J1220,"")</f>
        <v/>
      </c>
      <c r="Q1220" s="25">
        <f>TEXT(A1220,"YYYY-MM-DD HH")</f>
        <v/>
      </c>
      <c r="R1220" s="25">
        <f>COUNTIF($Q$2:$Q$5295,Q1220)</f>
        <v/>
      </c>
      <c r="S1220" s="25">
        <f>IF(R1220&lt;=2,"1-2",IF(R1220&lt;=5,"3-5",IF(R1220&lt;=10,"6-10","11+")))</f>
        <v/>
      </c>
    </row>
    <row r="1221">
      <c r="A1221" s="39" t="n">
        <v>46164.99570601852</v>
      </c>
      <c r="B1221" s="25">
        <f>TEXT(A1221,"YYYY-MM")</f>
        <v/>
      </c>
      <c r="C1221" s="25">
        <f>TEXT(A1221,"MMM-YYYY")</f>
        <v/>
      </c>
      <c r="D1221" s="40">
        <f>INT(A1221)-WEEKDAY(A1221,2)+1</f>
        <v/>
      </c>
      <c r="E1221" s="25" t="inlineStr">
        <is>
          <t>asaxena</t>
        </is>
      </c>
      <c r="F1221" s="25" t="n">
        <v>89835</v>
      </c>
      <c r="G1221" s="25" t="n">
        <v>4</v>
      </c>
      <c r="H1221" s="25" t="n">
        <v>22</v>
      </c>
      <c r="I1221" s="25" t="inlineStr">
        <is>
          <t>5 minute(s) and 1 second(s)</t>
        </is>
      </c>
      <c r="J1221" s="25">
        <f>IFERROR(VALUE(TRIM(LEFT(I1221,FIND("minute",I1221)-1)))*60,0)+IFERROR(VALUE(SUBSTITUTE(MID(I1221,IFERROR(FIND("and",I1221)+3,1),20),"second(s)","")),0)</f>
        <v/>
      </c>
      <c r="K1221" s="41">
        <f>J1221/60</f>
        <v/>
      </c>
      <c r="L1221" s="41">
        <f>IFERROR(J1221/H1221,"")</f>
        <v/>
      </c>
      <c r="M1221" s="25" t="inlineStr">
        <is>
          <t>2.5.12</t>
        </is>
      </c>
      <c r="N1221" s="25">
        <f>IF(J1221&gt;300,1,0)</f>
        <v/>
      </c>
      <c r="O1221" s="25">
        <f>IF(J1221&gt;600,1,0)</f>
        <v/>
      </c>
      <c r="P1221" s="25">
        <f>IF(H1221&gt;0,J1221,"")</f>
        <v/>
      </c>
      <c r="Q1221" s="25">
        <f>TEXT(A1221,"YYYY-MM-DD HH")</f>
        <v/>
      </c>
      <c r="R1221" s="25">
        <f>COUNTIF($Q$2:$Q$5295,Q1221)</f>
        <v/>
      </c>
      <c r="S1221" s="25">
        <f>IF(R1221&lt;=2,"1-2",IF(R1221&lt;=5,"3-5",IF(R1221&lt;=10,"6-10","11+")))</f>
        <v/>
      </c>
    </row>
    <row r="1222">
      <c r="A1222" s="39" t="n">
        <v>46165.71128472222</v>
      </c>
      <c r="B1222" s="25">
        <f>TEXT(A1222,"YYYY-MM")</f>
        <v/>
      </c>
      <c r="C1222" s="25">
        <f>TEXT(A1222,"MMM-YYYY")</f>
        <v/>
      </c>
      <c r="D1222" s="40">
        <f>INT(A1222)-WEEKDAY(A1222,2)+1</f>
        <v/>
      </c>
      <c r="E1222" s="25" t="inlineStr">
        <is>
          <t>dchoudhury</t>
        </is>
      </c>
      <c r="F1222" s="25" t="n">
        <v>3511</v>
      </c>
      <c r="G1222" s="25" t="n">
        <v>1</v>
      </c>
      <c r="H1222" s="25" t="n">
        <v>7</v>
      </c>
      <c r="I1222" s="25" t="inlineStr">
        <is>
          <t>5 minute(s) and 4 second(s)</t>
        </is>
      </c>
      <c r="J1222" s="25">
        <f>IFERROR(VALUE(TRIM(LEFT(I1222,FIND("minute",I1222)-1)))*60,0)+IFERROR(VALUE(SUBSTITUTE(MID(I1222,IFERROR(FIND("and",I1222)+3,1),20),"second(s)","")),0)</f>
        <v/>
      </c>
      <c r="K1222" s="41">
        <f>J1222/60</f>
        <v/>
      </c>
      <c r="L1222" s="41">
        <f>IFERROR(J1222/H1222,"")</f>
        <v/>
      </c>
      <c r="M1222" s="25" t="inlineStr">
        <is>
          <t>2.5.12</t>
        </is>
      </c>
      <c r="N1222" s="25">
        <f>IF(J1222&gt;300,1,0)</f>
        <v/>
      </c>
      <c r="O1222" s="25">
        <f>IF(J1222&gt;600,1,0)</f>
        <v/>
      </c>
      <c r="P1222" s="25">
        <f>IF(H1222&gt;0,J1222,"")</f>
        <v/>
      </c>
      <c r="Q1222" s="25">
        <f>TEXT(A1222,"YYYY-MM-DD HH")</f>
        <v/>
      </c>
      <c r="R1222" s="25">
        <f>COUNTIF($Q$2:$Q$5295,Q1222)</f>
        <v/>
      </c>
      <c r="S1222" s="25">
        <f>IF(R1222&lt;=2,"1-2",IF(R1222&lt;=5,"3-5",IF(R1222&lt;=10,"6-10","11+")))</f>
        <v/>
      </c>
    </row>
    <row r="1223">
      <c r="A1223" s="39" t="n">
        <v>46165.77909722222</v>
      </c>
      <c r="B1223" s="25">
        <f>TEXT(A1223,"YYYY-MM")</f>
        <v/>
      </c>
      <c r="C1223" s="25">
        <f>TEXT(A1223,"MMM-YYYY")</f>
        <v/>
      </c>
      <c r="D1223" s="40">
        <f>INT(A1223)-WEEKDAY(A1223,2)+1</f>
        <v/>
      </c>
      <c r="E1223" s="25" t="inlineStr">
        <is>
          <t>dchoudhury</t>
        </is>
      </c>
      <c r="F1223" s="25" t="n">
        <v>3514</v>
      </c>
      <c r="G1223" s="25" t="n">
        <v>1</v>
      </c>
      <c r="H1223" s="25" t="n">
        <v>5</v>
      </c>
      <c r="I1223" s="25" t="inlineStr">
        <is>
          <t>1 minute(s) and 5 second(s)</t>
        </is>
      </c>
      <c r="J1223" s="25">
        <f>IFERROR(VALUE(TRIM(LEFT(I1223,FIND("minute",I1223)-1)))*60,0)+IFERROR(VALUE(SUBSTITUTE(MID(I1223,IFERROR(FIND("and",I1223)+3,1),20),"second(s)","")),0)</f>
        <v/>
      </c>
      <c r="K1223" s="41">
        <f>J1223/60</f>
        <v/>
      </c>
      <c r="L1223" s="41">
        <f>IFERROR(J1223/H1223,"")</f>
        <v/>
      </c>
      <c r="M1223" s="25" t="inlineStr">
        <is>
          <t>2.5.12</t>
        </is>
      </c>
      <c r="N1223" s="25">
        <f>IF(J1223&gt;300,1,0)</f>
        <v/>
      </c>
      <c r="O1223" s="25">
        <f>IF(J1223&gt;600,1,0)</f>
        <v/>
      </c>
      <c r="P1223" s="25">
        <f>IF(H1223&gt;0,J1223,"")</f>
        <v/>
      </c>
      <c r="Q1223" s="25">
        <f>TEXT(A1223,"YYYY-MM-DD HH")</f>
        <v/>
      </c>
      <c r="R1223" s="25">
        <f>COUNTIF($Q$2:$Q$5295,Q1223)</f>
        <v/>
      </c>
      <c r="S1223" s="25">
        <f>IF(R1223&lt;=2,"1-2",IF(R1223&lt;=5,"3-5",IF(R1223&lt;=10,"6-10","11+")))</f>
        <v/>
      </c>
    </row>
    <row r="1224">
      <c r="A1224" s="39" t="n">
        <v>46165.95078703704</v>
      </c>
      <c r="B1224" s="25">
        <f>TEXT(A1224,"YYYY-MM")</f>
        <v/>
      </c>
      <c r="C1224" s="25">
        <f>TEXT(A1224,"MMM-YYYY")</f>
        <v/>
      </c>
      <c r="D1224" s="40">
        <f>INT(A1224)-WEEKDAY(A1224,2)+1</f>
        <v/>
      </c>
      <c r="E1224" s="25" t="inlineStr">
        <is>
          <t>dchoudhury</t>
        </is>
      </c>
      <c r="F1224" s="25" t="n">
        <v>3498</v>
      </c>
      <c r="G1224" s="25" t="n">
        <v>1</v>
      </c>
      <c r="H1224" s="25" t="n">
        <v>7</v>
      </c>
      <c r="I1224" s="25" t="inlineStr">
        <is>
          <t>3 minute(s) and 7 second(s)</t>
        </is>
      </c>
      <c r="J1224" s="25">
        <f>IFERROR(VALUE(TRIM(LEFT(I1224,FIND("minute",I1224)-1)))*60,0)+IFERROR(VALUE(SUBSTITUTE(MID(I1224,IFERROR(FIND("and",I1224)+3,1),20),"second(s)","")),0)</f>
        <v/>
      </c>
      <c r="K1224" s="41">
        <f>J1224/60</f>
        <v/>
      </c>
      <c r="L1224" s="41">
        <f>IFERROR(J1224/H1224,"")</f>
        <v/>
      </c>
      <c r="M1224" s="25" t="inlineStr">
        <is>
          <t>2.5.12</t>
        </is>
      </c>
      <c r="N1224" s="25">
        <f>IF(J1224&gt;300,1,0)</f>
        <v/>
      </c>
      <c r="O1224" s="25">
        <f>IF(J1224&gt;600,1,0)</f>
        <v/>
      </c>
      <c r="P1224" s="25">
        <f>IF(H1224&gt;0,J1224,"")</f>
        <v/>
      </c>
      <c r="Q1224" s="25">
        <f>TEXT(A1224,"YYYY-MM-DD HH")</f>
        <v/>
      </c>
      <c r="R1224" s="25">
        <f>COUNTIF($Q$2:$Q$5295,Q1224)</f>
        <v/>
      </c>
      <c r="S1224" s="25">
        <f>IF(R1224&lt;=2,"1-2",IF(R1224&lt;=5,"3-5",IF(R1224&lt;=10,"6-10","11+")))</f>
        <v/>
      </c>
    </row>
    <row r="1225">
      <c r="A1225" s="39" t="n">
        <v>46165.97548611111</v>
      </c>
      <c r="B1225" s="25">
        <f>TEXT(A1225,"YYYY-MM")</f>
        <v/>
      </c>
      <c r="C1225" s="25">
        <f>TEXT(A1225,"MMM-YYYY")</f>
        <v/>
      </c>
      <c r="D1225" s="40">
        <f>INT(A1225)-WEEKDAY(A1225,2)+1</f>
        <v/>
      </c>
      <c r="E1225" s="25" t="inlineStr">
        <is>
          <t>dchoudhury</t>
        </is>
      </c>
      <c r="F1225" s="25" t="n">
        <v>3496</v>
      </c>
      <c r="G1225" s="25" t="n">
        <v>1</v>
      </c>
      <c r="H1225" s="25" t="n">
        <v>5</v>
      </c>
      <c r="I1225" s="25" t="inlineStr">
        <is>
          <t>1 minute(s) and 55 second(s)</t>
        </is>
      </c>
      <c r="J1225" s="25">
        <f>IFERROR(VALUE(TRIM(LEFT(I1225,FIND("minute",I1225)-1)))*60,0)+IFERROR(VALUE(SUBSTITUTE(MID(I1225,IFERROR(FIND("and",I1225)+3,1),20),"second(s)","")),0)</f>
        <v/>
      </c>
      <c r="K1225" s="41">
        <f>J1225/60</f>
        <v/>
      </c>
      <c r="L1225" s="41">
        <f>IFERROR(J1225/H1225,"")</f>
        <v/>
      </c>
      <c r="M1225" s="25" t="inlineStr">
        <is>
          <t>2.5.12</t>
        </is>
      </c>
      <c r="N1225" s="25">
        <f>IF(J1225&gt;300,1,0)</f>
        <v/>
      </c>
      <c r="O1225" s="25">
        <f>IF(J1225&gt;600,1,0)</f>
        <v/>
      </c>
      <c r="P1225" s="25">
        <f>IF(H1225&gt;0,J1225,"")</f>
        <v/>
      </c>
      <c r="Q1225" s="25">
        <f>TEXT(A1225,"YYYY-MM-DD HH")</f>
        <v/>
      </c>
      <c r="R1225" s="25">
        <f>COUNTIF($Q$2:$Q$5295,Q1225)</f>
        <v/>
      </c>
      <c r="S1225" s="25">
        <f>IF(R1225&lt;=2,"1-2",IF(R1225&lt;=5,"3-5",IF(R1225&lt;=10,"6-10","11+")))</f>
        <v/>
      </c>
    </row>
    <row r="1226">
      <c r="A1226" s="39" t="n">
        <v>46165.99766203704</v>
      </c>
      <c r="B1226" s="25">
        <f>TEXT(A1226,"YYYY-MM")</f>
        <v/>
      </c>
      <c r="C1226" s="25">
        <f>TEXT(A1226,"MMM-YYYY")</f>
        <v/>
      </c>
      <c r="D1226" s="40">
        <f>INT(A1226)-WEEKDAY(A1226,2)+1</f>
        <v/>
      </c>
      <c r="E1226" s="25" t="inlineStr">
        <is>
          <t>dchoudhury</t>
        </is>
      </c>
      <c r="F1226" s="25" t="n">
        <v>3495</v>
      </c>
      <c r="G1226" s="25" t="n">
        <v>1</v>
      </c>
      <c r="H1226" s="25" t="n">
        <v>7</v>
      </c>
      <c r="I1226" s="25" t="inlineStr">
        <is>
          <t>4 minute(s) and 1 second(s)</t>
        </is>
      </c>
      <c r="J1226" s="25">
        <f>IFERROR(VALUE(TRIM(LEFT(I1226,FIND("minute",I1226)-1)))*60,0)+IFERROR(VALUE(SUBSTITUTE(MID(I1226,IFERROR(FIND("and",I1226)+3,1),20),"second(s)","")),0)</f>
        <v/>
      </c>
      <c r="K1226" s="41">
        <f>J1226/60</f>
        <v/>
      </c>
      <c r="L1226" s="41">
        <f>IFERROR(J1226/H1226,"")</f>
        <v/>
      </c>
      <c r="M1226" s="25" t="inlineStr">
        <is>
          <t>2.5.12</t>
        </is>
      </c>
      <c r="N1226" s="25">
        <f>IF(J1226&gt;300,1,0)</f>
        <v/>
      </c>
      <c r="O1226" s="25">
        <f>IF(J1226&gt;600,1,0)</f>
        <v/>
      </c>
      <c r="P1226" s="25">
        <f>IF(H1226&gt;0,J1226,"")</f>
        <v/>
      </c>
      <c r="Q1226" s="25">
        <f>TEXT(A1226,"YYYY-MM-DD HH")</f>
        <v/>
      </c>
      <c r="R1226" s="25">
        <f>COUNTIF($Q$2:$Q$5295,Q1226)</f>
        <v/>
      </c>
      <c r="S1226" s="25">
        <f>IF(R1226&lt;=2,"1-2",IF(R1226&lt;=5,"3-5",IF(R1226&lt;=10,"6-10","11+")))</f>
        <v/>
      </c>
    </row>
    <row r="1227">
      <c r="A1227" s="39" t="n">
        <v>46166.67021990741</v>
      </c>
      <c r="B1227" s="25">
        <f>TEXT(A1227,"YYYY-MM")</f>
        <v/>
      </c>
      <c r="C1227" s="25">
        <f>TEXT(A1227,"MMM-YYYY")</f>
        <v/>
      </c>
      <c r="D1227" s="40">
        <f>INT(A1227)-WEEKDAY(A1227,2)+1</f>
        <v/>
      </c>
      <c r="E1227" s="25" t="inlineStr">
        <is>
          <t>emishra</t>
        </is>
      </c>
      <c r="F1227" s="25" t="n">
        <v>3579</v>
      </c>
      <c r="G1227" s="25" t="n">
        <v>1</v>
      </c>
      <c r="H1227" s="25" t="n">
        <v>7</v>
      </c>
      <c r="I1227" s="25" t="inlineStr">
        <is>
          <t>1 minute(s) and 35 second(s)</t>
        </is>
      </c>
      <c r="J1227" s="25">
        <f>IFERROR(VALUE(TRIM(LEFT(I1227,FIND("minute",I1227)-1)))*60,0)+IFERROR(VALUE(SUBSTITUTE(MID(I1227,IFERROR(FIND("and",I1227)+3,1),20),"second(s)","")),0)</f>
        <v/>
      </c>
      <c r="K1227" s="41">
        <f>J1227/60</f>
        <v/>
      </c>
      <c r="L1227" s="41">
        <f>IFERROR(J1227/H1227,"")</f>
        <v/>
      </c>
      <c r="M1227" s="25" t="inlineStr">
        <is>
          <t>2.5.12</t>
        </is>
      </c>
      <c r="N1227" s="25">
        <f>IF(J1227&gt;300,1,0)</f>
        <v/>
      </c>
      <c r="O1227" s="25">
        <f>IF(J1227&gt;600,1,0)</f>
        <v/>
      </c>
      <c r="P1227" s="25">
        <f>IF(H1227&gt;0,J1227,"")</f>
        <v/>
      </c>
      <c r="Q1227" s="25">
        <f>TEXT(A1227,"YYYY-MM-DD HH")</f>
        <v/>
      </c>
      <c r="R1227" s="25">
        <f>COUNTIF($Q$2:$Q$5295,Q1227)</f>
        <v/>
      </c>
      <c r="S1227" s="25">
        <f>IF(R1227&lt;=2,"1-2",IF(R1227&lt;=5,"3-5",IF(R1227&lt;=10,"6-10","11+")))</f>
        <v/>
      </c>
    </row>
    <row r="1228">
      <c r="A1228" s="39" t="n">
        <v>46166.69876157407</v>
      </c>
      <c r="B1228" s="25">
        <f>TEXT(A1228,"YYYY-MM")</f>
        <v/>
      </c>
      <c r="C1228" s="25">
        <f>TEXT(A1228,"MMM-YYYY")</f>
        <v/>
      </c>
      <c r="D1228" s="40">
        <f>INT(A1228)-WEEKDAY(A1228,2)+1</f>
        <v/>
      </c>
      <c r="E1228" s="25" t="inlineStr">
        <is>
          <t>emishra</t>
        </is>
      </c>
      <c r="F1228" s="25" t="n">
        <v>3580</v>
      </c>
      <c r="G1228" s="25" t="n">
        <v>1</v>
      </c>
      <c r="H1228" s="25" t="n">
        <v>7</v>
      </c>
      <c r="I1228" s="25" t="inlineStr">
        <is>
          <t>1 minute(s) and 11 second(s)</t>
        </is>
      </c>
      <c r="J1228" s="25">
        <f>IFERROR(VALUE(TRIM(LEFT(I1228,FIND("minute",I1228)-1)))*60,0)+IFERROR(VALUE(SUBSTITUTE(MID(I1228,IFERROR(FIND("and",I1228)+3,1),20),"second(s)","")),0)</f>
        <v/>
      </c>
      <c r="K1228" s="41">
        <f>J1228/60</f>
        <v/>
      </c>
      <c r="L1228" s="41">
        <f>IFERROR(J1228/H1228,"")</f>
        <v/>
      </c>
      <c r="M1228" s="25" t="inlineStr">
        <is>
          <t>2.5.12</t>
        </is>
      </c>
      <c r="N1228" s="25">
        <f>IF(J1228&gt;300,1,0)</f>
        <v/>
      </c>
      <c r="O1228" s="25">
        <f>IF(J1228&gt;600,1,0)</f>
        <v/>
      </c>
      <c r="P1228" s="25">
        <f>IF(H1228&gt;0,J1228,"")</f>
        <v/>
      </c>
      <c r="Q1228" s="25">
        <f>TEXT(A1228,"YYYY-MM-DD HH")</f>
        <v/>
      </c>
      <c r="R1228" s="25">
        <f>COUNTIF($Q$2:$Q$5295,Q1228)</f>
        <v/>
      </c>
      <c r="S1228" s="25">
        <f>IF(R1228&lt;=2,"1-2",IF(R1228&lt;=5,"3-5",IF(R1228&lt;=10,"6-10","11+")))</f>
        <v/>
      </c>
    </row>
    <row r="1229">
      <c r="A1229" s="39" t="n">
        <v>46166.71876157408</v>
      </c>
      <c r="B1229" s="25">
        <f>TEXT(A1229,"YYYY-MM")</f>
        <v/>
      </c>
      <c r="C1229" s="25">
        <f>TEXT(A1229,"MMM-YYYY")</f>
        <v/>
      </c>
      <c r="D1229" s="40">
        <f>INT(A1229)-WEEKDAY(A1229,2)+1</f>
        <v/>
      </c>
      <c r="E1229" s="25" t="inlineStr">
        <is>
          <t>emishra</t>
        </is>
      </c>
      <c r="F1229" s="25" t="n">
        <v>3581</v>
      </c>
      <c r="G1229" s="25" t="n">
        <v>1</v>
      </c>
      <c r="H1229" s="25" t="n">
        <v>7</v>
      </c>
      <c r="I1229" s="25" t="inlineStr">
        <is>
          <t>1 minute(s) and 20 second(s)</t>
        </is>
      </c>
      <c r="J1229" s="25">
        <f>IFERROR(VALUE(TRIM(LEFT(I1229,FIND("minute",I1229)-1)))*60,0)+IFERROR(VALUE(SUBSTITUTE(MID(I1229,IFERROR(FIND("and",I1229)+3,1),20),"second(s)","")),0)</f>
        <v/>
      </c>
      <c r="K1229" s="41">
        <f>J1229/60</f>
        <v/>
      </c>
      <c r="L1229" s="41">
        <f>IFERROR(J1229/H1229,"")</f>
        <v/>
      </c>
      <c r="M1229" s="25" t="inlineStr">
        <is>
          <t>2.5.12</t>
        </is>
      </c>
      <c r="N1229" s="25">
        <f>IF(J1229&gt;300,1,0)</f>
        <v/>
      </c>
      <c r="O1229" s="25">
        <f>IF(J1229&gt;600,1,0)</f>
        <v/>
      </c>
      <c r="P1229" s="25">
        <f>IF(H1229&gt;0,J1229,"")</f>
        <v/>
      </c>
      <c r="Q1229" s="25">
        <f>TEXT(A1229,"YYYY-MM-DD HH")</f>
        <v/>
      </c>
      <c r="R1229" s="25">
        <f>COUNTIF($Q$2:$Q$5295,Q1229)</f>
        <v/>
      </c>
      <c r="S1229" s="25">
        <f>IF(R1229&lt;=2,"1-2",IF(R1229&lt;=5,"3-5",IF(R1229&lt;=10,"6-10","11+")))</f>
        <v/>
      </c>
    </row>
    <row r="1230">
      <c r="A1230" s="39" t="n">
        <v>46166.7346875</v>
      </c>
      <c r="B1230" s="25">
        <f>TEXT(A1230,"YYYY-MM")</f>
        <v/>
      </c>
      <c r="C1230" s="25">
        <f>TEXT(A1230,"MMM-YYYY")</f>
        <v/>
      </c>
      <c r="D1230" s="40">
        <f>INT(A1230)-WEEKDAY(A1230,2)+1</f>
        <v/>
      </c>
      <c r="E1230" s="25" t="inlineStr">
        <is>
          <t>emishra</t>
        </is>
      </c>
      <c r="F1230" s="25" t="n">
        <v>3582</v>
      </c>
      <c r="G1230" s="25" t="n">
        <v>1</v>
      </c>
      <c r="H1230" s="25" t="n">
        <v>7</v>
      </c>
      <c r="I1230" s="25" t="inlineStr">
        <is>
          <t>1 minute(s) and 14 second(s)</t>
        </is>
      </c>
      <c r="J1230" s="25">
        <f>IFERROR(VALUE(TRIM(LEFT(I1230,FIND("minute",I1230)-1)))*60,0)+IFERROR(VALUE(SUBSTITUTE(MID(I1230,IFERROR(FIND("and",I1230)+3,1),20),"second(s)","")),0)</f>
        <v/>
      </c>
      <c r="K1230" s="41">
        <f>J1230/60</f>
        <v/>
      </c>
      <c r="L1230" s="41">
        <f>IFERROR(J1230/H1230,"")</f>
        <v/>
      </c>
      <c r="M1230" s="25" t="inlineStr">
        <is>
          <t>2.5.12</t>
        </is>
      </c>
      <c r="N1230" s="25">
        <f>IF(J1230&gt;300,1,0)</f>
        <v/>
      </c>
      <c r="O1230" s="25">
        <f>IF(J1230&gt;600,1,0)</f>
        <v/>
      </c>
      <c r="P1230" s="25">
        <f>IF(H1230&gt;0,J1230,"")</f>
        <v/>
      </c>
      <c r="Q1230" s="25">
        <f>TEXT(A1230,"YYYY-MM-DD HH")</f>
        <v/>
      </c>
      <c r="R1230" s="25">
        <f>COUNTIF($Q$2:$Q$5295,Q1230)</f>
        <v/>
      </c>
      <c r="S1230" s="25">
        <f>IF(R1230&lt;=2,"1-2",IF(R1230&lt;=5,"3-5",IF(R1230&lt;=10,"6-10","11+")))</f>
        <v/>
      </c>
    </row>
    <row r="1231">
      <c r="A1231" s="39" t="n">
        <v>46166.76668981482</v>
      </c>
      <c r="B1231" s="25">
        <f>TEXT(A1231,"YYYY-MM")</f>
        <v/>
      </c>
      <c r="C1231" s="25">
        <f>TEXT(A1231,"MMM-YYYY")</f>
        <v/>
      </c>
      <c r="D1231" s="40">
        <f>INT(A1231)-WEEKDAY(A1231,2)+1</f>
        <v/>
      </c>
      <c r="E1231" s="25" t="inlineStr">
        <is>
          <t>emishra</t>
        </is>
      </c>
      <c r="F1231" s="25" t="n">
        <v>81312</v>
      </c>
      <c r="G1231" s="25" t="n">
        <v>5</v>
      </c>
      <c r="H1231" s="25" t="n">
        <v>19</v>
      </c>
      <c r="I1231" s="25" t="inlineStr">
        <is>
          <t>3 minute(s) and 25 second(s)</t>
        </is>
      </c>
      <c r="J1231" s="25">
        <f>IFERROR(VALUE(TRIM(LEFT(I1231,FIND("minute",I1231)-1)))*60,0)+IFERROR(VALUE(SUBSTITUTE(MID(I1231,IFERROR(FIND("and",I1231)+3,1),20),"second(s)","")),0)</f>
        <v/>
      </c>
      <c r="K1231" s="41">
        <f>J1231/60</f>
        <v/>
      </c>
      <c r="L1231" s="41">
        <f>IFERROR(J1231/H1231,"")</f>
        <v/>
      </c>
      <c r="M1231" s="25" t="inlineStr">
        <is>
          <t>2.5.12</t>
        </is>
      </c>
      <c r="N1231" s="25">
        <f>IF(J1231&gt;300,1,0)</f>
        <v/>
      </c>
      <c r="O1231" s="25">
        <f>IF(J1231&gt;600,1,0)</f>
        <v/>
      </c>
      <c r="P1231" s="25">
        <f>IF(H1231&gt;0,J1231,"")</f>
        <v/>
      </c>
      <c r="Q1231" s="25">
        <f>TEXT(A1231,"YYYY-MM-DD HH")</f>
        <v/>
      </c>
      <c r="R1231" s="25">
        <f>COUNTIF($Q$2:$Q$5295,Q1231)</f>
        <v/>
      </c>
      <c r="S1231" s="25">
        <f>IF(R1231&lt;=2,"1-2",IF(R1231&lt;=5,"3-5",IF(R1231&lt;=10,"6-10","11+")))</f>
        <v/>
      </c>
    </row>
    <row r="1232">
      <c r="A1232" s="39" t="n">
        <v>46166.77731481481</v>
      </c>
      <c r="B1232" s="25">
        <f>TEXT(A1232,"YYYY-MM")</f>
        <v/>
      </c>
      <c r="C1232" s="25">
        <f>TEXT(A1232,"MMM-YYYY")</f>
        <v/>
      </c>
      <c r="D1232" s="40">
        <f>INT(A1232)-WEEKDAY(A1232,2)+1</f>
        <v/>
      </c>
      <c r="E1232" s="25" t="inlineStr">
        <is>
          <t>emishra</t>
        </is>
      </c>
      <c r="F1232" s="25" t="n">
        <v>81312</v>
      </c>
      <c r="G1232" s="25" t="n">
        <v>5</v>
      </c>
      <c r="H1232" s="25" t="n">
        <v>19</v>
      </c>
      <c r="I1232" s="25" t="inlineStr">
        <is>
          <t>4 minute(s) and 31 second(s)</t>
        </is>
      </c>
      <c r="J1232" s="25">
        <f>IFERROR(VALUE(TRIM(LEFT(I1232,FIND("minute",I1232)-1)))*60,0)+IFERROR(VALUE(SUBSTITUTE(MID(I1232,IFERROR(FIND("and",I1232)+3,1),20),"second(s)","")),0)</f>
        <v/>
      </c>
      <c r="K1232" s="41">
        <f>J1232/60</f>
        <v/>
      </c>
      <c r="L1232" s="41">
        <f>IFERROR(J1232/H1232,"")</f>
        <v/>
      </c>
      <c r="M1232" s="25" t="inlineStr">
        <is>
          <t>2.5.12</t>
        </is>
      </c>
      <c r="N1232" s="25">
        <f>IF(J1232&gt;300,1,0)</f>
        <v/>
      </c>
      <c r="O1232" s="25">
        <f>IF(J1232&gt;600,1,0)</f>
        <v/>
      </c>
      <c r="P1232" s="25">
        <f>IF(H1232&gt;0,J1232,"")</f>
        <v/>
      </c>
      <c r="Q1232" s="25">
        <f>TEXT(A1232,"YYYY-MM-DD HH")</f>
        <v/>
      </c>
      <c r="R1232" s="25">
        <f>COUNTIF($Q$2:$Q$5295,Q1232)</f>
        <v/>
      </c>
      <c r="S1232" s="25">
        <f>IF(R1232&lt;=2,"1-2",IF(R1232&lt;=5,"3-5",IF(R1232&lt;=10,"6-10","11+")))</f>
        <v/>
      </c>
    </row>
    <row r="1233">
      <c r="A1233" s="39" t="n">
        <v>46166.98423611111</v>
      </c>
      <c r="B1233" s="25">
        <f>TEXT(A1233,"YYYY-MM")</f>
        <v/>
      </c>
      <c r="C1233" s="25">
        <f>TEXT(A1233,"MMM-YYYY")</f>
        <v/>
      </c>
      <c r="D1233" s="40">
        <f>INT(A1233)-WEEKDAY(A1233,2)+1</f>
        <v/>
      </c>
      <c r="E1233" s="25" t="inlineStr">
        <is>
          <t>npriya</t>
        </is>
      </c>
      <c r="F1233" s="25" t="n">
        <v>4910</v>
      </c>
      <c r="G1233" s="25" t="n">
        <v>1</v>
      </c>
      <c r="H1233" s="25" t="n">
        <v>7</v>
      </c>
      <c r="I1233" s="25" t="inlineStr">
        <is>
          <t>3 minute(s) and 0 second(s)</t>
        </is>
      </c>
      <c r="J1233" s="25">
        <f>IFERROR(VALUE(TRIM(LEFT(I1233,FIND("minute",I1233)-1)))*60,0)+IFERROR(VALUE(SUBSTITUTE(MID(I1233,IFERROR(FIND("and",I1233)+3,1),20),"second(s)","")),0)</f>
        <v/>
      </c>
      <c r="K1233" s="41">
        <f>J1233/60</f>
        <v/>
      </c>
      <c r="L1233" s="41">
        <f>IFERROR(J1233/H1233,"")</f>
        <v/>
      </c>
      <c r="M1233" s="25" t="inlineStr">
        <is>
          <t>2.5.12</t>
        </is>
      </c>
      <c r="N1233" s="25">
        <f>IF(J1233&gt;300,1,0)</f>
        <v/>
      </c>
      <c r="O1233" s="25">
        <f>IF(J1233&gt;600,1,0)</f>
        <v/>
      </c>
      <c r="P1233" s="25">
        <f>IF(H1233&gt;0,J1233,"")</f>
        <v/>
      </c>
      <c r="Q1233" s="25">
        <f>TEXT(A1233,"YYYY-MM-DD HH")</f>
        <v/>
      </c>
      <c r="R1233" s="25">
        <f>COUNTIF($Q$2:$Q$5295,Q1233)</f>
        <v/>
      </c>
      <c r="S1233" s="25">
        <f>IF(R1233&lt;=2,"1-2",IF(R1233&lt;=5,"3-5",IF(R1233&lt;=10,"6-10","11+")))</f>
        <v/>
      </c>
    </row>
    <row r="1234">
      <c r="A1234" s="39" t="n">
        <v>46167.00435185185</v>
      </c>
      <c r="B1234" s="25">
        <f>TEXT(A1234,"YYYY-MM")</f>
        <v/>
      </c>
      <c r="C1234" s="25">
        <f>TEXT(A1234,"MMM-YYYY")</f>
        <v/>
      </c>
      <c r="D1234" s="40">
        <f>INT(A1234)-WEEKDAY(A1234,2)+1</f>
        <v/>
      </c>
      <c r="E1234" s="25" t="inlineStr">
        <is>
          <t>npriya</t>
        </is>
      </c>
      <c r="F1234" s="25" t="n">
        <v>4913</v>
      </c>
      <c r="G1234" s="25" t="n">
        <v>1</v>
      </c>
      <c r="H1234" s="25" t="n">
        <v>7</v>
      </c>
      <c r="I1234" s="25" t="inlineStr">
        <is>
          <t>1 minute(s) and 43 second(s)</t>
        </is>
      </c>
      <c r="J1234" s="25">
        <f>IFERROR(VALUE(TRIM(LEFT(I1234,FIND("minute",I1234)-1)))*60,0)+IFERROR(VALUE(SUBSTITUTE(MID(I1234,IFERROR(FIND("and",I1234)+3,1),20),"second(s)","")),0)</f>
        <v/>
      </c>
      <c r="K1234" s="41">
        <f>J1234/60</f>
        <v/>
      </c>
      <c r="L1234" s="41">
        <f>IFERROR(J1234/H1234,"")</f>
        <v/>
      </c>
      <c r="M1234" s="25" t="inlineStr">
        <is>
          <t>2.5.12</t>
        </is>
      </c>
      <c r="N1234" s="25">
        <f>IF(J1234&gt;300,1,0)</f>
        <v/>
      </c>
      <c r="O1234" s="25">
        <f>IF(J1234&gt;600,1,0)</f>
        <v/>
      </c>
      <c r="P1234" s="25">
        <f>IF(H1234&gt;0,J1234,"")</f>
        <v/>
      </c>
      <c r="Q1234" s="25">
        <f>TEXT(A1234,"YYYY-MM-DD HH")</f>
        <v/>
      </c>
      <c r="R1234" s="25">
        <f>COUNTIF($Q$2:$Q$5295,Q1234)</f>
        <v/>
      </c>
      <c r="S1234" s="25">
        <f>IF(R1234&lt;=2,"1-2",IF(R1234&lt;=5,"3-5",IF(R1234&lt;=10,"6-10","11+")))</f>
        <v/>
      </c>
    </row>
    <row r="1235">
      <c r="A1235" s="39" t="n">
        <v>46167.02525462963</v>
      </c>
      <c r="B1235" s="25">
        <f>TEXT(A1235,"YYYY-MM")</f>
        <v/>
      </c>
      <c r="C1235" s="25">
        <f>TEXT(A1235,"MMM-YYYY")</f>
        <v/>
      </c>
      <c r="D1235" s="40">
        <f>INT(A1235)-WEEKDAY(A1235,2)+1</f>
        <v/>
      </c>
      <c r="E1235" s="25" t="inlineStr">
        <is>
          <t>npriya</t>
        </is>
      </c>
      <c r="F1235" s="25" t="n">
        <v>4922</v>
      </c>
      <c r="G1235" s="25" t="n">
        <v>1</v>
      </c>
      <c r="H1235" s="25" t="n">
        <v>7</v>
      </c>
      <c r="I1235" s="25" t="inlineStr">
        <is>
          <t>3 minute(s) and 5 second(s)</t>
        </is>
      </c>
      <c r="J1235" s="25">
        <f>IFERROR(VALUE(TRIM(LEFT(I1235,FIND("minute",I1235)-1)))*60,0)+IFERROR(VALUE(SUBSTITUTE(MID(I1235,IFERROR(FIND("and",I1235)+3,1),20),"second(s)","")),0)</f>
        <v/>
      </c>
      <c r="K1235" s="41">
        <f>J1235/60</f>
        <v/>
      </c>
      <c r="L1235" s="41">
        <f>IFERROR(J1235/H1235,"")</f>
        <v/>
      </c>
      <c r="M1235" s="25" t="inlineStr">
        <is>
          <t>2.5.12</t>
        </is>
      </c>
      <c r="N1235" s="25">
        <f>IF(J1235&gt;300,1,0)</f>
        <v/>
      </c>
      <c r="O1235" s="25">
        <f>IF(J1235&gt;600,1,0)</f>
        <v/>
      </c>
      <c r="P1235" s="25">
        <f>IF(H1235&gt;0,J1235,"")</f>
        <v/>
      </c>
      <c r="Q1235" s="25">
        <f>TEXT(A1235,"YYYY-MM-DD HH")</f>
        <v/>
      </c>
      <c r="R1235" s="25">
        <f>COUNTIF($Q$2:$Q$5295,Q1235)</f>
        <v/>
      </c>
      <c r="S1235" s="25">
        <f>IF(R1235&lt;=2,"1-2",IF(R1235&lt;=5,"3-5",IF(R1235&lt;=10,"6-10","11+")))</f>
        <v/>
      </c>
    </row>
    <row r="1236">
      <c r="A1236" s="39" t="n">
        <v>46167.02731481481</v>
      </c>
      <c r="B1236" s="25">
        <f>TEXT(A1236,"YYYY-MM")</f>
        <v/>
      </c>
      <c r="C1236" s="25">
        <f>TEXT(A1236,"MMM-YYYY")</f>
        <v/>
      </c>
      <c r="D1236" s="40">
        <f>INT(A1236)-WEEKDAY(A1236,2)+1</f>
        <v/>
      </c>
      <c r="E1236" s="25" t="inlineStr">
        <is>
          <t>arsarkar</t>
        </is>
      </c>
      <c r="F1236" s="25" t="n">
        <v>4961</v>
      </c>
      <c r="G1236" s="25" t="n">
        <v>1</v>
      </c>
      <c r="H1236" s="25" t="n">
        <v>7</v>
      </c>
      <c r="I1236" s="25" t="inlineStr">
        <is>
          <t>1 minute(s) and 38 second(s)</t>
        </is>
      </c>
      <c r="J1236" s="25">
        <f>IFERROR(VALUE(TRIM(LEFT(I1236,FIND("minute",I1236)-1)))*60,0)+IFERROR(VALUE(SUBSTITUTE(MID(I1236,IFERROR(FIND("and",I1236)+3,1),20),"second(s)","")),0)</f>
        <v/>
      </c>
      <c r="K1236" s="41">
        <f>J1236/60</f>
        <v/>
      </c>
      <c r="L1236" s="41">
        <f>IFERROR(J1236/H1236,"")</f>
        <v/>
      </c>
      <c r="M1236" s="25" t="inlineStr">
        <is>
          <t>2.5.12</t>
        </is>
      </c>
      <c r="N1236" s="25">
        <f>IF(J1236&gt;300,1,0)</f>
        <v/>
      </c>
      <c r="O1236" s="25">
        <f>IF(J1236&gt;600,1,0)</f>
        <v/>
      </c>
      <c r="P1236" s="25">
        <f>IF(H1236&gt;0,J1236,"")</f>
        <v/>
      </c>
      <c r="Q1236" s="25">
        <f>TEXT(A1236,"YYYY-MM-DD HH")</f>
        <v/>
      </c>
      <c r="R1236" s="25">
        <f>COUNTIF($Q$2:$Q$5295,Q1236)</f>
        <v/>
      </c>
      <c r="S1236" s="25">
        <f>IF(R1236&lt;=2,"1-2",IF(R1236&lt;=5,"3-5",IF(R1236&lt;=10,"6-10","11+")))</f>
        <v/>
      </c>
    </row>
    <row r="1237">
      <c r="A1237" s="39" t="n">
        <v>46167.04344907407</v>
      </c>
      <c r="B1237" s="25">
        <f>TEXT(A1237,"YYYY-MM")</f>
        <v/>
      </c>
      <c r="C1237" s="25">
        <f>TEXT(A1237,"MMM-YYYY")</f>
        <v/>
      </c>
      <c r="D1237" s="40">
        <f>INT(A1237)-WEEKDAY(A1237,2)+1</f>
        <v/>
      </c>
      <c r="E1237" s="25" t="inlineStr">
        <is>
          <t>akumari</t>
        </is>
      </c>
      <c r="F1237" s="25" t="n">
        <v>3187</v>
      </c>
      <c r="G1237" s="25" t="n">
        <v>1</v>
      </c>
      <c r="H1237" s="25" t="n">
        <v>7</v>
      </c>
      <c r="I1237" s="25" t="inlineStr">
        <is>
          <t>1 minute(s) and 15 second(s)</t>
        </is>
      </c>
      <c r="J1237" s="25">
        <f>IFERROR(VALUE(TRIM(LEFT(I1237,FIND("minute",I1237)-1)))*60,0)+IFERROR(VALUE(SUBSTITUTE(MID(I1237,IFERROR(FIND("and",I1237)+3,1),20),"second(s)","")),0)</f>
        <v/>
      </c>
      <c r="K1237" s="41">
        <f>J1237/60</f>
        <v/>
      </c>
      <c r="L1237" s="41">
        <f>IFERROR(J1237/H1237,"")</f>
        <v/>
      </c>
      <c r="M1237" s="25" t="inlineStr">
        <is>
          <t>2.5.12</t>
        </is>
      </c>
      <c r="N1237" s="25">
        <f>IF(J1237&gt;300,1,0)</f>
        <v/>
      </c>
      <c r="O1237" s="25">
        <f>IF(J1237&gt;600,1,0)</f>
        <v/>
      </c>
      <c r="P1237" s="25">
        <f>IF(H1237&gt;0,J1237,"")</f>
        <v/>
      </c>
      <c r="Q1237" s="25">
        <f>TEXT(A1237,"YYYY-MM-DD HH")</f>
        <v/>
      </c>
      <c r="R1237" s="25">
        <f>COUNTIF($Q$2:$Q$5295,Q1237)</f>
        <v/>
      </c>
      <c r="S1237" s="25">
        <f>IF(R1237&lt;=2,"1-2",IF(R1237&lt;=5,"3-5",IF(R1237&lt;=10,"6-10","11+")))</f>
        <v/>
      </c>
    </row>
    <row r="1238">
      <c r="A1238" s="39" t="n">
        <v>46167.04944444444</v>
      </c>
      <c r="B1238" s="25">
        <f>TEXT(A1238,"YYYY-MM")</f>
        <v/>
      </c>
      <c r="C1238" s="25">
        <f>TEXT(A1238,"MMM-YYYY")</f>
        <v/>
      </c>
      <c r="D1238" s="40">
        <f>INT(A1238)-WEEKDAY(A1238,2)+1</f>
        <v/>
      </c>
      <c r="E1238" s="25" t="inlineStr">
        <is>
          <t>csaha</t>
        </is>
      </c>
      <c r="F1238" s="25" t="n">
        <v>4413</v>
      </c>
      <c r="G1238" s="25" t="n">
        <v>1</v>
      </c>
      <c r="H1238" s="25" t="n">
        <v>7</v>
      </c>
      <c r="I1238" s="25" t="inlineStr">
        <is>
          <t>1 minute(s) and 19 second(s)</t>
        </is>
      </c>
      <c r="J1238" s="25">
        <f>IFERROR(VALUE(TRIM(LEFT(I1238,FIND("minute",I1238)-1)))*60,0)+IFERROR(VALUE(SUBSTITUTE(MID(I1238,IFERROR(FIND("and",I1238)+3,1),20),"second(s)","")),0)</f>
        <v/>
      </c>
      <c r="K1238" s="41">
        <f>J1238/60</f>
        <v/>
      </c>
      <c r="L1238" s="41">
        <f>IFERROR(J1238/H1238,"")</f>
        <v/>
      </c>
      <c r="M1238" s="25" t="inlineStr">
        <is>
          <t>2.5.12</t>
        </is>
      </c>
      <c r="N1238" s="25">
        <f>IF(J1238&gt;300,1,0)</f>
        <v/>
      </c>
      <c r="O1238" s="25">
        <f>IF(J1238&gt;600,1,0)</f>
        <v/>
      </c>
      <c r="P1238" s="25">
        <f>IF(H1238&gt;0,J1238,"")</f>
        <v/>
      </c>
      <c r="Q1238" s="25">
        <f>TEXT(A1238,"YYYY-MM-DD HH")</f>
        <v/>
      </c>
      <c r="R1238" s="25">
        <f>COUNTIF($Q$2:$Q$5295,Q1238)</f>
        <v/>
      </c>
      <c r="S1238" s="25">
        <f>IF(R1238&lt;=2,"1-2",IF(R1238&lt;=5,"3-5",IF(R1238&lt;=10,"6-10","11+")))</f>
        <v/>
      </c>
    </row>
    <row r="1239">
      <c r="A1239" s="39" t="n">
        <v>46167.06090277778</v>
      </c>
      <c r="B1239" s="25">
        <f>TEXT(A1239,"YYYY-MM")</f>
        <v/>
      </c>
      <c r="C1239" s="25">
        <f>TEXT(A1239,"MMM-YYYY")</f>
        <v/>
      </c>
      <c r="D1239" s="40">
        <f>INT(A1239)-WEEKDAY(A1239,2)+1</f>
        <v/>
      </c>
      <c r="E1239" s="25" t="inlineStr">
        <is>
          <t>smukhopadhyay</t>
        </is>
      </c>
      <c r="F1239" s="25" t="n">
        <v>5027</v>
      </c>
      <c r="G1239" s="25" t="n">
        <v>1</v>
      </c>
      <c r="H1239" s="25" t="n">
        <v>7</v>
      </c>
      <c r="I1239" s="25" t="inlineStr">
        <is>
          <t>1 minute(s) and 23 second(s)</t>
        </is>
      </c>
      <c r="J1239" s="25">
        <f>IFERROR(VALUE(TRIM(LEFT(I1239,FIND("minute",I1239)-1)))*60,0)+IFERROR(VALUE(SUBSTITUTE(MID(I1239,IFERROR(FIND("and",I1239)+3,1),20),"second(s)","")),0)</f>
        <v/>
      </c>
      <c r="K1239" s="41">
        <f>J1239/60</f>
        <v/>
      </c>
      <c r="L1239" s="41">
        <f>IFERROR(J1239/H1239,"")</f>
        <v/>
      </c>
      <c r="M1239" s="25" t="inlineStr">
        <is>
          <t>2.5.12</t>
        </is>
      </c>
      <c r="N1239" s="25">
        <f>IF(J1239&gt;300,1,0)</f>
        <v/>
      </c>
      <c r="O1239" s="25">
        <f>IF(J1239&gt;600,1,0)</f>
        <v/>
      </c>
      <c r="P1239" s="25">
        <f>IF(H1239&gt;0,J1239,"")</f>
        <v/>
      </c>
      <c r="Q1239" s="25">
        <f>TEXT(A1239,"YYYY-MM-DD HH")</f>
        <v/>
      </c>
      <c r="R1239" s="25">
        <f>COUNTIF($Q$2:$Q$5295,Q1239)</f>
        <v/>
      </c>
      <c r="S1239" s="25">
        <f>IF(R1239&lt;=2,"1-2",IF(R1239&lt;=5,"3-5",IF(R1239&lt;=10,"6-10","11+")))</f>
        <v/>
      </c>
    </row>
    <row r="1240">
      <c r="A1240" s="39" t="n">
        <v>46167.06497685185</v>
      </c>
      <c r="B1240" s="25">
        <f>TEXT(A1240,"YYYY-MM")</f>
        <v/>
      </c>
      <c r="C1240" s="25">
        <f>TEXT(A1240,"MMM-YYYY")</f>
        <v/>
      </c>
      <c r="D1240" s="40">
        <f>INT(A1240)-WEEKDAY(A1240,2)+1</f>
        <v/>
      </c>
      <c r="E1240" s="25" t="inlineStr">
        <is>
          <t>psathwika</t>
        </is>
      </c>
      <c r="F1240" s="25" t="n">
        <v>67284</v>
      </c>
      <c r="G1240" s="25" t="n">
        <v>1</v>
      </c>
      <c r="H1240" s="25" t="n">
        <v>7</v>
      </c>
      <c r="I1240" s="25" t="inlineStr">
        <is>
          <t>3 minute(s) and 35 second(s)</t>
        </is>
      </c>
      <c r="J1240" s="25">
        <f>IFERROR(VALUE(TRIM(LEFT(I1240,FIND("minute",I1240)-1)))*60,0)+IFERROR(VALUE(SUBSTITUTE(MID(I1240,IFERROR(FIND("and",I1240)+3,1),20),"second(s)","")),0)</f>
        <v/>
      </c>
      <c r="K1240" s="41">
        <f>J1240/60</f>
        <v/>
      </c>
      <c r="L1240" s="41">
        <f>IFERROR(J1240/H1240,"")</f>
        <v/>
      </c>
      <c r="M1240" s="25" t="inlineStr">
        <is>
          <t>2.5.12</t>
        </is>
      </c>
      <c r="N1240" s="25">
        <f>IF(J1240&gt;300,1,0)</f>
        <v/>
      </c>
      <c r="O1240" s="25">
        <f>IF(J1240&gt;600,1,0)</f>
        <v/>
      </c>
      <c r="P1240" s="25">
        <f>IF(H1240&gt;0,J1240,"")</f>
        <v/>
      </c>
      <c r="Q1240" s="25">
        <f>TEXT(A1240,"YYYY-MM-DD HH")</f>
        <v/>
      </c>
      <c r="R1240" s="25">
        <f>COUNTIF($Q$2:$Q$5295,Q1240)</f>
        <v/>
      </c>
      <c r="S1240" s="25">
        <f>IF(R1240&lt;=2,"1-2",IF(R1240&lt;=5,"3-5",IF(R1240&lt;=10,"6-10","11+")))</f>
        <v/>
      </c>
    </row>
    <row r="1241">
      <c r="A1241" s="39" t="n">
        <v>46167.0670949074</v>
      </c>
      <c r="B1241" s="25">
        <f>TEXT(A1241,"YYYY-MM")</f>
        <v/>
      </c>
      <c r="C1241" s="25">
        <f>TEXT(A1241,"MMM-YYYY")</f>
        <v/>
      </c>
      <c r="D1241" s="40">
        <f>INT(A1241)-WEEKDAY(A1241,2)+1</f>
        <v/>
      </c>
      <c r="E1241" s="25" t="inlineStr">
        <is>
          <t>akumari</t>
        </is>
      </c>
      <c r="F1241" s="25" t="n">
        <v>3188</v>
      </c>
      <c r="G1241" s="25" t="n">
        <v>1</v>
      </c>
      <c r="H1241" s="25" t="n">
        <v>7</v>
      </c>
      <c r="I1241" s="25" t="inlineStr">
        <is>
          <t>2 minute(s) and 38 second(s)</t>
        </is>
      </c>
      <c r="J1241" s="25">
        <f>IFERROR(VALUE(TRIM(LEFT(I1241,FIND("minute",I1241)-1)))*60,0)+IFERROR(VALUE(SUBSTITUTE(MID(I1241,IFERROR(FIND("and",I1241)+3,1),20),"second(s)","")),0)</f>
        <v/>
      </c>
      <c r="K1241" s="41">
        <f>J1241/60</f>
        <v/>
      </c>
      <c r="L1241" s="41">
        <f>IFERROR(J1241/H1241,"")</f>
        <v/>
      </c>
      <c r="M1241" s="25" t="inlineStr">
        <is>
          <t>2.5.12</t>
        </is>
      </c>
      <c r="N1241" s="25">
        <f>IF(J1241&gt;300,1,0)</f>
        <v/>
      </c>
      <c r="O1241" s="25">
        <f>IF(J1241&gt;600,1,0)</f>
        <v/>
      </c>
      <c r="P1241" s="25">
        <f>IF(H1241&gt;0,J1241,"")</f>
        <v/>
      </c>
      <c r="Q1241" s="25">
        <f>TEXT(A1241,"YYYY-MM-DD HH")</f>
        <v/>
      </c>
      <c r="R1241" s="25">
        <f>COUNTIF($Q$2:$Q$5295,Q1241)</f>
        <v/>
      </c>
      <c r="S1241" s="25">
        <f>IF(R1241&lt;=2,"1-2",IF(R1241&lt;=5,"3-5",IF(R1241&lt;=10,"6-10","11+")))</f>
        <v/>
      </c>
    </row>
    <row r="1242">
      <c r="A1242" s="39" t="n">
        <v>46167.07040509259</v>
      </c>
      <c r="B1242" s="25">
        <f>TEXT(A1242,"YYYY-MM")</f>
        <v/>
      </c>
      <c r="C1242" s="25">
        <f>TEXT(A1242,"MMM-YYYY")</f>
        <v/>
      </c>
      <c r="D1242" s="40">
        <f>INT(A1242)-WEEKDAY(A1242,2)+1</f>
        <v/>
      </c>
      <c r="E1242" s="25" t="inlineStr">
        <is>
          <t>abhaskarkp</t>
        </is>
      </c>
      <c r="F1242" s="25" t="n">
        <v>115549</v>
      </c>
      <c r="G1242" s="25" t="n">
        <v>3</v>
      </c>
      <c r="H1242" s="25" t="n">
        <v>11</v>
      </c>
      <c r="I1242" s="25" t="inlineStr">
        <is>
          <t>2 minute(s) and 49 second(s)</t>
        </is>
      </c>
      <c r="J1242" s="25">
        <f>IFERROR(VALUE(TRIM(LEFT(I1242,FIND("minute",I1242)-1)))*60,0)+IFERROR(VALUE(SUBSTITUTE(MID(I1242,IFERROR(FIND("and",I1242)+3,1),20),"second(s)","")),0)</f>
        <v/>
      </c>
      <c r="K1242" s="41">
        <f>J1242/60</f>
        <v/>
      </c>
      <c r="L1242" s="41">
        <f>IFERROR(J1242/H1242,"")</f>
        <v/>
      </c>
      <c r="M1242" s="25" t="inlineStr">
        <is>
          <t>2.5.12</t>
        </is>
      </c>
      <c r="N1242" s="25">
        <f>IF(J1242&gt;300,1,0)</f>
        <v/>
      </c>
      <c r="O1242" s="25">
        <f>IF(J1242&gt;600,1,0)</f>
        <v/>
      </c>
      <c r="P1242" s="25">
        <f>IF(H1242&gt;0,J1242,"")</f>
        <v/>
      </c>
      <c r="Q1242" s="25">
        <f>TEXT(A1242,"YYYY-MM-DD HH")</f>
        <v/>
      </c>
      <c r="R1242" s="25">
        <f>COUNTIF($Q$2:$Q$5295,Q1242)</f>
        <v/>
      </c>
      <c r="S1242" s="25">
        <f>IF(R1242&lt;=2,"1-2",IF(R1242&lt;=5,"3-5",IF(R1242&lt;=10,"6-10","11+")))</f>
        <v/>
      </c>
    </row>
    <row r="1243">
      <c r="A1243" s="39" t="n">
        <v>46167.07188657407</v>
      </c>
      <c r="B1243" s="25">
        <f>TEXT(A1243,"YYYY-MM")</f>
        <v/>
      </c>
      <c r="C1243" s="25">
        <f>TEXT(A1243,"MMM-YYYY")</f>
        <v/>
      </c>
      <c r="D1243" s="40">
        <f>INT(A1243)-WEEKDAY(A1243,2)+1</f>
        <v/>
      </c>
      <c r="E1243" s="25" t="inlineStr">
        <is>
          <t>npriya</t>
        </is>
      </c>
      <c r="F1243" s="25" t="n">
        <v>4925</v>
      </c>
      <c r="G1243" s="25" t="n">
        <v>1</v>
      </c>
      <c r="H1243" s="25" t="n">
        <v>7</v>
      </c>
      <c r="I1243" s="25" t="inlineStr">
        <is>
          <t>1 minute(s) and 28 second(s)</t>
        </is>
      </c>
      <c r="J1243" s="25">
        <f>IFERROR(VALUE(TRIM(LEFT(I1243,FIND("minute",I1243)-1)))*60,0)+IFERROR(VALUE(SUBSTITUTE(MID(I1243,IFERROR(FIND("and",I1243)+3,1),20),"second(s)","")),0)</f>
        <v/>
      </c>
      <c r="K1243" s="41">
        <f>J1243/60</f>
        <v/>
      </c>
      <c r="L1243" s="41">
        <f>IFERROR(J1243/H1243,"")</f>
        <v/>
      </c>
      <c r="M1243" s="25" t="inlineStr">
        <is>
          <t>2.5.12</t>
        </is>
      </c>
      <c r="N1243" s="25">
        <f>IF(J1243&gt;300,1,0)</f>
        <v/>
      </c>
      <c r="O1243" s="25">
        <f>IF(J1243&gt;600,1,0)</f>
        <v/>
      </c>
      <c r="P1243" s="25">
        <f>IF(H1243&gt;0,J1243,"")</f>
        <v/>
      </c>
      <c r="Q1243" s="25">
        <f>TEXT(A1243,"YYYY-MM-DD HH")</f>
        <v/>
      </c>
      <c r="R1243" s="25">
        <f>COUNTIF($Q$2:$Q$5295,Q1243)</f>
        <v/>
      </c>
      <c r="S1243" s="25">
        <f>IF(R1243&lt;=2,"1-2",IF(R1243&lt;=5,"3-5",IF(R1243&lt;=10,"6-10","11+")))</f>
        <v/>
      </c>
    </row>
    <row r="1244">
      <c r="A1244" s="39" t="n">
        <v>46167.07560185185</v>
      </c>
      <c r="B1244" s="25">
        <f>TEXT(A1244,"YYYY-MM")</f>
        <v/>
      </c>
      <c r="C1244" s="25">
        <f>TEXT(A1244,"MMM-YYYY")</f>
        <v/>
      </c>
      <c r="D1244" s="40">
        <f>INT(A1244)-WEEKDAY(A1244,2)+1</f>
        <v/>
      </c>
      <c r="E1244" s="25" t="inlineStr">
        <is>
          <t>arsarkar</t>
        </is>
      </c>
      <c r="F1244" s="25" t="n">
        <v>4962</v>
      </c>
      <c r="G1244" s="25" t="n">
        <v>1</v>
      </c>
      <c r="H1244" s="25" t="n">
        <v>7</v>
      </c>
      <c r="I1244" s="25" t="inlineStr">
        <is>
          <t>3 minute(s) and 15 second(s)</t>
        </is>
      </c>
      <c r="J1244" s="25">
        <f>IFERROR(VALUE(TRIM(LEFT(I1244,FIND("minute",I1244)-1)))*60,0)+IFERROR(VALUE(SUBSTITUTE(MID(I1244,IFERROR(FIND("and",I1244)+3,1),20),"second(s)","")),0)</f>
        <v/>
      </c>
      <c r="K1244" s="41">
        <f>J1244/60</f>
        <v/>
      </c>
      <c r="L1244" s="41">
        <f>IFERROR(J1244/H1244,"")</f>
        <v/>
      </c>
      <c r="M1244" s="25" t="inlineStr">
        <is>
          <t>2.5.12</t>
        </is>
      </c>
      <c r="N1244" s="25">
        <f>IF(J1244&gt;300,1,0)</f>
        <v/>
      </c>
      <c r="O1244" s="25">
        <f>IF(J1244&gt;600,1,0)</f>
        <v/>
      </c>
      <c r="P1244" s="25">
        <f>IF(H1244&gt;0,J1244,"")</f>
        <v/>
      </c>
      <c r="Q1244" s="25">
        <f>TEXT(A1244,"YYYY-MM-DD HH")</f>
        <v/>
      </c>
      <c r="R1244" s="25">
        <f>COUNTIF($Q$2:$Q$5295,Q1244)</f>
        <v/>
      </c>
      <c r="S1244" s="25">
        <f>IF(R1244&lt;=2,"1-2",IF(R1244&lt;=5,"3-5",IF(R1244&lt;=10,"6-10","11+")))</f>
        <v/>
      </c>
    </row>
    <row r="1245">
      <c r="A1245" s="39" t="n">
        <v>46167.08482638889</v>
      </c>
      <c r="B1245" s="25">
        <f>TEXT(A1245,"YYYY-MM")</f>
        <v/>
      </c>
      <c r="C1245" s="25">
        <f>TEXT(A1245,"MMM-YYYY")</f>
        <v/>
      </c>
      <c r="D1245" s="40">
        <f>INT(A1245)-WEEKDAY(A1245,2)+1</f>
        <v/>
      </c>
      <c r="E1245" s="25" t="inlineStr">
        <is>
          <t>csaha</t>
        </is>
      </c>
      <c r="F1245" s="25" t="n">
        <v>4414</v>
      </c>
      <c r="G1245" s="25" t="n">
        <v>1</v>
      </c>
      <c r="H1245" s="25" t="n">
        <v>7</v>
      </c>
      <c r="I1245" s="25" t="inlineStr">
        <is>
          <t>3 minute(s) and 46 second(s)</t>
        </is>
      </c>
      <c r="J1245" s="25">
        <f>IFERROR(VALUE(TRIM(LEFT(I1245,FIND("minute",I1245)-1)))*60,0)+IFERROR(VALUE(SUBSTITUTE(MID(I1245,IFERROR(FIND("and",I1245)+3,1),20),"second(s)","")),0)</f>
        <v/>
      </c>
      <c r="K1245" s="41">
        <f>J1245/60</f>
        <v/>
      </c>
      <c r="L1245" s="41">
        <f>IFERROR(J1245/H1245,"")</f>
        <v/>
      </c>
      <c r="M1245" s="25" t="inlineStr">
        <is>
          <t>2.5.12</t>
        </is>
      </c>
      <c r="N1245" s="25">
        <f>IF(J1245&gt;300,1,0)</f>
        <v/>
      </c>
      <c r="O1245" s="25">
        <f>IF(J1245&gt;600,1,0)</f>
        <v/>
      </c>
      <c r="P1245" s="25">
        <f>IF(H1245&gt;0,J1245,"")</f>
        <v/>
      </c>
      <c r="Q1245" s="25">
        <f>TEXT(A1245,"YYYY-MM-DD HH")</f>
        <v/>
      </c>
      <c r="R1245" s="25">
        <f>COUNTIF($Q$2:$Q$5295,Q1245)</f>
        <v/>
      </c>
      <c r="S1245" s="25">
        <f>IF(R1245&lt;=2,"1-2",IF(R1245&lt;=5,"3-5",IF(R1245&lt;=10,"6-10","11+")))</f>
        <v/>
      </c>
    </row>
    <row r="1246">
      <c r="A1246" s="39" t="n">
        <v>46167.08935185185</v>
      </c>
      <c r="B1246" s="25">
        <f>TEXT(A1246,"YYYY-MM")</f>
        <v/>
      </c>
      <c r="C1246" s="25">
        <f>TEXT(A1246,"MMM-YYYY")</f>
        <v/>
      </c>
      <c r="D1246" s="40">
        <f>INT(A1246)-WEEKDAY(A1246,2)+1</f>
        <v/>
      </c>
      <c r="E1246" s="25" t="inlineStr">
        <is>
          <t>ssrinivasan</t>
        </is>
      </c>
      <c r="F1246" s="25" t="n">
        <v>4302</v>
      </c>
      <c r="G1246" s="25" t="n">
        <v>1</v>
      </c>
      <c r="H1246" s="25" t="n">
        <v>7</v>
      </c>
      <c r="I1246" s="25" t="inlineStr">
        <is>
          <t>2 minute(s) and 58 second(s)</t>
        </is>
      </c>
      <c r="J1246" s="25">
        <f>IFERROR(VALUE(TRIM(LEFT(I1246,FIND("minute",I1246)-1)))*60,0)+IFERROR(VALUE(SUBSTITUTE(MID(I1246,IFERROR(FIND("and",I1246)+3,1),20),"second(s)","")),0)</f>
        <v/>
      </c>
      <c r="K1246" s="41">
        <f>J1246/60</f>
        <v/>
      </c>
      <c r="L1246" s="41">
        <f>IFERROR(J1246/H1246,"")</f>
        <v/>
      </c>
      <c r="M1246" s="25" t="inlineStr">
        <is>
          <t>2.5.12</t>
        </is>
      </c>
      <c r="N1246" s="25">
        <f>IF(J1246&gt;300,1,0)</f>
        <v/>
      </c>
      <c r="O1246" s="25">
        <f>IF(J1246&gt;600,1,0)</f>
        <v/>
      </c>
      <c r="P1246" s="25">
        <f>IF(H1246&gt;0,J1246,"")</f>
        <v/>
      </c>
      <c r="Q1246" s="25">
        <f>TEXT(A1246,"YYYY-MM-DD HH")</f>
        <v/>
      </c>
      <c r="R1246" s="25">
        <f>COUNTIF($Q$2:$Q$5295,Q1246)</f>
        <v/>
      </c>
      <c r="S1246" s="25">
        <f>IF(R1246&lt;=2,"1-2",IF(R1246&lt;=5,"3-5",IF(R1246&lt;=10,"6-10","11+")))</f>
        <v/>
      </c>
    </row>
    <row r="1247">
      <c r="A1247" s="39" t="n">
        <v>46167.08991898148</v>
      </c>
      <c r="B1247" s="25">
        <f>TEXT(A1247,"YYYY-MM")</f>
        <v/>
      </c>
      <c r="C1247" s="25">
        <f>TEXT(A1247,"MMM-YYYY")</f>
        <v/>
      </c>
      <c r="D1247" s="40">
        <f>INT(A1247)-WEEKDAY(A1247,2)+1</f>
        <v/>
      </c>
      <c r="E1247" s="25" t="inlineStr">
        <is>
          <t>npriya</t>
        </is>
      </c>
      <c r="F1247" s="25" t="n">
        <v>4927</v>
      </c>
      <c r="G1247" s="25" t="n">
        <v>1</v>
      </c>
      <c r="H1247" s="25" t="n">
        <v>7</v>
      </c>
      <c r="I1247" s="25" t="inlineStr">
        <is>
          <t>1 minute(s) and 32 second(s)</t>
        </is>
      </c>
      <c r="J1247" s="25">
        <f>IFERROR(VALUE(TRIM(LEFT(I1247,FIND("minute",I1247)-1)))*60,0)+IFERROR(VALUE(SUBSTITUTE(MID(I1247,IFERROR(FIND("and",I1247)+3,1),20),"second(s)","")),0)</f>
        <v/>
      </c>
      <c r="K1247" s="41">
        <f>J1247/60</f>
        <v/>
      </c>
      <c r="L1247" s="41">
        <f>IFERROR(J1247/H1247,"")</f>
        <v/>
      </c>
      <c r="M1247" s="25" t="inlineStr">
        <is>
          <t>2.5.12</t>
        </is>
      </c>
      <c r="N1247" s="25">
        <f>IF(J1247&gt;300,1,0)</f>
        <v/>
      </c>
      <c r="O1247" s="25">
        <f>IF(J1247&gt;600,1,0)</f>
        <v/>
      </c>
      <c r="P1247" s="25">
        <f>IF(H1247&gt;0,J1247,"")</f>
        <v/>
      </c>
      <c r="Q1247" s="25">
        <f>TEXT(A1247,"YYYY-MM-DD HH")</f>
        <v/>
      </c>
      <c r="R1247" s="25">
        <f>COUNTIF($Q$2:$Q$5295,Q1247)</f>
        <v/>
      </c>
      <c r="S1247" s="25">
        <f>IF(R1247&lt;=2,"1-2",IF(R1247&lt;=5,"3-5",IF(R1247&lt;=10,"6-10","11+")))</f>
        <v/>
      </c>
    </row>
    <row r="1248">
      <c r="A1248" s="39" t="n">
        <v>46167.09375</v>
      </c>
      <c r="B1248" s="25">
        <f>TEXT(A1248,"YYYY-MM")</f>
        <v/>
      </c>
      <c r="C1248" s="25">
        <f>TEXT(A1248,"MMM-YYYY")</f>
        <v/>
      </c>
      <c r="D1248" s="40">
        <f>INT(A1248)-WEEKDAY(A1248,2)+1</f>
        <v/>
      </c>
      <c r="E1248" s="25" t="inlineStr">
        <is>
          <t>shassan</t>
        </is>
      </c>
      <c r="F1248" s="25" t="n">
        <v>4089</v>
      </c>
      <c r="G1248" s="25" t="n">
        <v>1</v>
      </c>
      <c r="H1248" s="25" t="n">
        <v>7</v>
      </c>
      <c r="I1248" s="25" t="inlineStr">
        <is>
          <t>3 minute(s) and 4 second(s)</t>
        </is>
      </c>
      <c r="J1248" s="25">
        <f>IFERROR(VALUE(TRIM(LEFT(I1248,FIND("minute",I1248)-1)))*60,0)+IFERROR(VALUE(SUBSTITUTE(MID(I1248,IFERROR(FIND("and",I1248)+3,1),20),"second(s)","")),0)</f>
        <v/>
      </c>
      <c r="K1248" s="41">
        <f>J1248/60</f>
        <v/>
      </c>
      <c r="L1248" s="41">
        <f>IFERROR(J1248/H1248,"")</f>
        <v/>
      </c>
      <c r="M1248" s="25" t="inlineStr">
        <is>
          <t>2.5.12</t>
        </is>
      </c>
      <c r="N1248" s="25">
        <f>IF(J1248&gt;300,1,0)</f>
        <v/>
      </c>
      <c r="O1248" s="25">
        <f>IF(J1248&gt;600,1,0)</f>
        <v/>
      </c>
      <c r="P1248" s="25">
        <f>IF(H1248&gt;0,J1248,"")</f>
        <v/>
      </c>
      <c r="Q1248" s="25">
        <f>TEXT(A1248,"YYYY-MM-DD HH")</f>
        <v/>
      </c>
      <c r="R1248" s="25">
        <f>COUNTIF($Q$2:$Q$5295,Q1248)</f>
        <v/>
      </c>
      <c r="S1248" s="25">
        <f>IF(R1248&lt;=2,"1-2",IF(R1248&lt;=5,"3-5",IF(R1248&lt;=10,"6-10","11+")))</f>
        <v/>
      </c>
    </row>
    <row r="1249">
      <c r="A1249" s="39" t="n">
        <v>46167.09552083333</v>
      </c>
      <c r="B1249" s="25">
        <f>TEXT(A1249,"YYYY-MM")</f>
        <v/>
      </c>
      <c r="C1249" s="25">
        <f>TEXT(A1249,"MMM-YYYY")</f>
        <v/>
      </c>
      <c r="D1249" s="40">
        <f>INT(A1249)-WEEKDAY(A1249,2)+1</f>
        <v/>
      </c>
      <c r="E1249" s="25" t="inlineStr">
        <is>
          <t>smukhopadhyay</t>
        </is>
      </c>
      <c r="F1249" s="25" t="n">
        <v>5029</v>
      </c>
      <c r="G1249" s="25" t="n">
        <v>1</v>
      </c>
      <c r="H1249" s="25" t="n">
        <v>7</v>
      </c>
      <c r="I1249" s="25" t="inlineStr">
        <is>
          <t>1 minute(s) and 21 second(s)</t>
        </is>
      </c>
      <c r="J1249" s="25">
        <f>IFERROR(VALUE(TRIM(LEFT(I1249,FIND("minute",I1249)-1)))*60,0)+IFERROR(VALUE(SUBSTITUTE(MID(I1249,IFERROR(FIND("and",I1249)+3,1),20),"second(s)","")),0)</f>
        <v/>
      </c>
      <c r="K1249" s="41">
        <f>J1249/60</f>
        <v/>
      </c>
      <c r="L1249" s="41">
        <f>IFERROR(J1249/H1249,"")</f>
        <v/>
      </c>
      <c r="M1249" s="25" t="inlineStr">
        <is>
          <t>2.5.12</t>
        </is>
      </c>
      <c r="N1249" s="25">
        <f>IF(J1249&gt;300,1,0)</f>
        <v/>
      </c>
      <c r="O1249" s="25">
        <f>IF(J1249&gt;600,1,0)</f>
        <v/>
      </c>
      <c r="P1249" s="25">
        <f>IF(H1249&gt;0,J1249,"")</f>
        <v/>
      </c>
      <c r="Q1249" s="25">
        <f>TEXT(A1249,"YYYY-MM-DD HH")</f>
        <v/>
      </c>
      <c r="R1249" s="25">
        <f>COUNTIF($Q$2:$Q$5295,Q1249)</f>
        <v/>
      </c>
      <c r="S1249" s="25">
        <f>IF(R1249&lt;=2,"1-2",IF(R1249&lt;=5,"3-5",IF(R1249&lt;=10,"6-10","11+")))</f>
        <v/>
      </c>
    </row>
    <row r="1250">
      <c r="A1250" s="39" t="n">
        <v>46167.09773148148</v>
      </c>
      <c r="B1250" s="25">
        <f>TEXT(A1250,"YYYY-MM")</f>
        <v/>
      </c>
      <c r="C1250" s="25">
        <f>TEXT(A1250,"MMM-YYYY")</f>
        <v/>
      </c>
      <c r="D1250" s="40">
        <f>INT(A1250)-WEEKDAY(A1250,2)+1</f>
        <v/>
      </c>
      <c r="E1250" s="25" t="inlineStr">
        <is>
          <t>psathwika</t>
        </is>
      </c>
      <c r="F1250" s="25" t="n">
        <v>67317</v>
      </c>
      <c r="G1250" s="25" t="n">
        <v>1</v>
      </c>
      <c r="H1250" s="25" t="n">
        <v>7</v>
      </c>
      <c r="I1250" s="25" t="inlineStr">
        <is>
          <t>3 minute(s) and 30 second(s)</t>
        </is>
      </c>
      <c r="J1250" s="25">
        <f>IFERROR(VALUE(TRIM(LEFT(I1250,FIND("minute",I1250)-1)))*60,0)+IFERROR(VALUE(SUBSTITUTE(MID(I1250,IFERROR(FIND("and",I1250)+3,1),20),"second(s)","")),0)</f>
        <v/>
      </c>
      <c r="K1250" s="41">
        <f>J1250/60</f>
        <v/>
      </c>
      <c r="L1250" s="41">
        <f>IFERROR(J1250/H1250,"")</f>
        <v/>
      </c>
      <c r="M1250" s="25" t="inlineStr">
        <is>
          <t>2.5.12</t>
        </is>
      </c>
      <c r="N1250" s="25">
        <f>IF(J1250&gt;300,1,0)</f>
        <v/>
      </c>
      <c r="O1250" s="25">
        <f>IF(J1250&gt;600,1,0)</f>
        <v/>
      </c>
      <c r="P1250" s="25">
        <f>IF(H1250&gt;0,J1250,"")</f>
        <v/>
      </c>
      <c r="Q1250" s="25">
        <f>TEXT(A1250,"YYYY-MM-DD HH")</f>
        <v/>
      </c>
      <c r="R1250" s="25">
        <f>COUNTIF($Q$2:$Q$5295,Q1250)</f>
        <v/>
      </c>
      <c r="S1250" s="25">
        <f>IF(R1250&lt;=2,"1-2",IF(R1250&lt;=5,"3-5",IF(R1250&lt;=10,"6-10","11+")))</f>
        <v/>
      </c>
    </row>
    <row r="1251">
      <c r="A1251" s="39" t="n">
        <v>46167.10515046296</v>
      </c>
      <c r="B1251" s="25">
        <f>TEXT(A1251,"YYYY-MM")</f>
        <v/>
      </c>
      <c r="C1251" s="25">
        <f>TEXT(A1251,"MMM-YYYY")</f>
        <v/>
      </c>
      <c r="D1251" s="40">
        <f>INT(A1251)-WEEKDAY(A1251,2)+1</f>
        <v/>
      </c>
      <c r="E1251" s="25" t="inlineStr">
        <is>
          <t>mbohra</t>
        </is>
      </c>
      <c r="F1251" s="25" t="n">
        <v>89537</v>
      </c>
      <c r="G1251" s="25" t="n">
        <v>2</v>
      </c>
      <c r="H1251" s="25" t="n">
        <v>12</v>
      </c>
      <c r="I1251" s="25" t="inlineStr">
        <is>
          <t>4 minute(s) and 32 second(s)</t>
        </is>
      </c>
      <c r="J1251" s="25">
        <f>IFERROR(VALUE(TRIM(LEFT(I1251,FIND("minute",I1251)-1)))*60,0)+IFERROR(VALUE(SUBSTITUTE(MID(I1251,IFERROR(FIND("and",I1251)+3,1),20),"second(s)","")),0)</f>
        <v/>
      </c>
      <c r="K1251" s="41">
        <f>J1251/60</f>
        <v/>
      </c>
      <c r="L1251" s="41">
        <f>IFERROR(J1251/H1251,"")</f>
        <v/>
      </c>
      <c r="M1251" s="25" t="inlineStr">
        <is>
          <t>2.5.12</t>
        </is>
      </c>
      <c r="N1251" s="25">
        <f>IF(J1251&gt;300,1,0)</f>
        <v/>
      </c>
      <c r="O1251" s="25">
        <f>IF(J1251&gt;600,1,0)</f>
        <v/>
      </c>
      <c r="P1251" s="25">
        <f>IF(H1251&gt;0,J1251,"")</f>
        <v/>
      </c>
      <c r="Q1251" s="25">
        <f>TEXT(A1251,"YYYY-MM-DD HH")</f>
        <v/>
      </c>
      <c r="R1251" s="25">
        <f>COUNTIF($Q$2:$Q$5295,Q1251)</f>
        <v/>
      </c>
      <c r="S1251" s="25">
        <f>IF(R1251&lt;=2,"1-2",IF(R1251&lt;=5,"3-5",IF(R1251&lt;=10,"6-10","11+")))</f>
        <v/>
      </c>
    </row>
    <row r="1252">
      <c r="A1252" s="39" t="n">
        <v>46167.10668981481</v>
      </c>
      <c r="B1252" s="25">
        <f>TEXT(A1252,"YYYY-MM")</f>
        <v/>
      </c>
      <c r="C1252" s="25">
        <f>TEXT(A1252,"MMM-YYYY")</f>
        <v/>
      </c>
      <c r="D1252" s="40">
        <f>INT(A1252)-WEEKDAY(A1252,2)+1</f>
        <v/>
      </c>
      <c r="E1252" s="25" t="inlineStr">
        <is>
          <t>asahoo</t>
        </is>
      </c>
      <c r="F1252" s="25" t="n">
        <v>4996</v>
      </c>
      <c r="G1252" s="25" t="n">
        <v>1</v>
      </c>
      <c r="H1252" s="25" t="n">
        <v>7</v>
      </c>
      <c r="I1252" s="25" t="inlineStr">
        <is>
          <t>2 minute(s) and 13 second(s)</t>
        </is>
      </c>
      <c r="J1252" s="25">
        <f>IFERROR(VALUE(TRIM(LEFT(I1252,FIND("minute",I1252)-1)))*60,0)+IFERROR(VALUE(SUBSTITUTE(MID(I1252,IFERROR(FIND("and",I1252)+3,1),20),"second(s)","")),0)</f>
        <v/>
      </c>
      <c r="K1252" s="41">
        <f>J1252/60</f>
        <v/>
      </c>
      <c r="L1252" s="41">
        <f>IFERROR(J1252/H1252,"")</f>
        <v/>
      </c>
      <c r="M1252" s="25" t="inlineStr">
        <is>
          <t>2.5.12</t>
        </is>
      </c>
      <c r="N1252" s="25">
        <f>IF(J1252&gt;300,1,0)</f>
        <v/>
      </c>
      <c r="O1252" s="25">
        <f>IF(J1252&gt;600,1,0)</f>
        <v/>
      </c>
      <c r="P1252" s="25">
        <f>IF(H1252&gt;0,J1252,"")</f>
        <v/>
      </c>
      <c r="Q1252" s="25">
        <f>TEXT(A1252,"YYYY-MM-DD HH")</f>
        <v/>
      </c>
      <c r="R1252" s="25">
        <f>COUNTIF($Q$2:$Q$5295,Q1252)</f>
        <v/>
      </c>
      <c r="S1252" s="25">
        <f>IF(R1252&lt;=2,"1-2",IF(R1252&lt;=5,"3-5",IF(R1252&lt;=10,"6-10","11+")))</f>
        <v/>
      </c>
    </row>
    <row r="1253">
      <c r="A1253" s="39" t="n">
        <v>46167.10952546296</v>
      </c>
      <c r="B1253" s="25">
        <f>TEXT(A1253,"YYYY-MM")</f>
        <v/>
      </c>
      <c r="C1253" s="25">
        <f>TEXT(A1253,"MMM-YYYY")</f>
        <v/>
      </c>
      <c r="D1253" s="40">
        <f>INT(A1253)-WEEKDAY(A1253,2)+1</f>
        <v/>
      </c>
      <c r="E1253" s="25" t="inlineStr">
        <is>
          <t>ssarkar</t>
        </is>
      </c>
      <c r="F1253" s="25" t="n">
        <v>4031</v>
      </c>
      <c r="G1253" s="25" t="n">
        <v>1</v>
      </c>
      <c r="H1253" s="25" t="n">
        <v>5</v>
      </c>
      <c r="I1253" s="25" t="inlineStr">
        <is>
          <t>1 minute(s) and 8 second(s)</t>
        </is>
      </c>
      <c r="J1253" s="25">
        <f>IFERROR(VALUE(TRIM(LEFT(I1253,FIND("minute",I1253)-1)))*60,0)+IFERROR(VALUE(SUBSTITUTE(MID(I1253,IFERROR(FIND("and",I1253)+3,1),20),"second(s)","")),0)</f>
        <v/>
      </c>
      <c r="K1253" s="41">
        <f>J1253/60</f>
        <v/>
      </c>
      <c r="L1253" s="41">
        <f>IFERROR(J1253/H1253,"")</f>
        <v/>
      </c>
      <c r="M1253" s="25" t="inlineStr">
        <is>
          <t>2.5.12</t>
        </is>
      </c>
      <c r="N1253" s="25">
        <f>IF(J1253&gt;300,1,0)</f>
        <v/>
      </c>
      <c r="O1253" s="25">
        <f>IF(J1253&gt;600,1,0)</f>
        <v/>
      </c>
      <c r="P1253" s="25">
        <f>IF(H1253&gt;0,J1253,"")</f>
        <v/>
      </c>
      <c r="Q1253" s="25">
        <f>TEXT(A1253,"YYYY-MM-DD HH")</f>
        <v/>
      </c>
      <c r="R1253" s="25">
        <f>COUNTIF($Q$2:$Q$5295,Q1253)</f>
        <v/>
      </c>
      <c r="S1253" s="25">
        <f>IF(R1253&lt;=2,"1-2",IF(R1253&lt;=5,"3-5",IF(R1253&lt;=10,"6-10","11+")))</f>
        <v/>
      </c>
    </row>
    <row r="1254">
      <c r="A1254" s="39" t="n">
        <v>46167.11013888889</v>
      </c>
      <c r="B1254" s="25">
        <f>TEXT(A1254,"YYYY-MM")</f>
        <v/>
      </c>
      <c r="C1254" s="25">
        <f>TEXT(A1254,"MMM-YYYY")</f>
        <v/>
      </c>
      <c r="D1254" s="40">
        <f>INT(A1254)-WEEKDAY(A1254,2)+1</f>
        <v/>
      </c>
      <c r="E1254" s="25" t="inlineStr">
        <is>
          <t>akumari</t>
        </is>
      </c>
      <c r="F1254" s="25" t="n">
        <v>3189</v>
      </c>
      <c r="G1254" s="25" t="n">
        <v>1</v>
      </c>
      <c r="H1254" s="25" t="n">
        <v>7</v>
      </c>
      <c r="I1254" s="25" t="inlineStr">
        <is>
          <t>1 minute(s) and 10 second(s)</t>
        </is>
      </c>
      <c r="J1254" s="25">
        <f>IFERROR(VALUE(TRIM(LEFT(I1254,FIND("minute",I1254)-1)))*60,0)+IFERROR(VALUE(SUBSTITUTE(MID(I1254,IFERROR(FIND("and",I1254)+3,1),20),"second(s)","")),0)</f>
        <v/>
      </c>
      <c r="K1254" s="41">
        <f>J1254/60</f>
        <v/>
      </c>
      <c r="L1254" s="41">
        <f>IFERROR(J1254/H1254,"")</f>
        <v/>
      </c>
      <c r="M1254" s="25" t="inlineStr">
        <is>
          <t>2.5.12</t>
        </is>
      </c>
      <c r="N1254" s="25">
        <f>IF(J1254&gt;300,1,0)</f>
        <v/>
      </c>
      <c r="O1254" s="25">
        <f>IF(J1254&gt;600,1,0)</f>
        <v/>
      </c>
      <c r="P1254" s="25">
        <f>IF(H1254&gt;0,J1254,"")</f>
        <v/>
      </c>
      <c r="Q1254" s="25">
        <f>TEXT(A1254,"YYYY-MM-DD HH")</f>
        <v/>
      </c>
      <c r="R1254" s="25">
        <f>COUNTIF($Q$2:$Q$5295,Q1254)</f>
        <v/>
      </c>
      <c r="S1254" s="25">
        <f>IF(R1254&lt;=2,"1-2",IF(R1254&lt;=5,"3-5",IF(R1254&lt;=10,"6-10","11+")))</f>
        <v/>
      </c>
    </row>
    <row r="1255">
      <c r="A1255" s="39" t="n">
        <v>46167.11040509259</v>
      </c>
      <c r="B1255" s="25">
        <f>TEXT(A1255,"YYYY-MM")</f>
        <v/>
      </c>
      <c r="C1255" s="25">
        <f>TEXT(A1255,"MMM-YYYY")</f>
        <v/>
      </c>
      <c r="D1255" s="40">
        <f>INT(A1255)-WEEKDAY(A1255,2)+1</f>
        <v/>
      </c>
      <c r="E1255" s="25" t="inlineStr">
        <is>
          <t>pmishra</t>
        </is>
      </c>
      <c r="F1255" s="25" t="n">
        <v>4214</v>
      </c>
      <c r="G1255" s="25" t="n">
        <v>1</v>
      </c>
      <c r="H1255" s="25" t="n">
        <v>7</v>
      </c>
      <c r="I1255" s="25" t="inlineStr">
        <is>
          <t>2 minute(s) and 21 second(s)</t>
        </is>
      </c>
      <c r="J1255" s="25">
        <f>IFERROR(VALUE(TRIM(LEFT(I1255,FIND("minute",I1255)-1)))*60,0)+IFERROR(VALUE(SUBSTITUTE(MID(I1255,IFERROR(FIND("and",I1255)+3,1),20),"second(s)","")),0)</f>
        <v/>
      </c>
      <c r="K1255" s="41">
        <f>J1255/60</f>
        <v/>
      </c>
      <c r="L1255" s="41">
        <f>IFERROR(J1255/H1255,"")</f>
        <v/>
      </c>
      <c r="M1255" s="25" t="inlineStr">
        <is>
          <t>2.5.12</t>
        </is>
      </c>
      <c r="N1255" s="25">
        <f>IF(J1255&gt;300,1,0)</f>
        <v/>
      </c>
      <c r="O1255" s="25">
        <f>IF(J1255&gt;600,1,0)</f>
        <v/>
      </c>
      <c r="P1255" s="25">
        <f>IF(H1255&gt;0,J1255,"")</f>
        <v/>
      </c>
      <c r="Q1255" s="25">
        <f>TEXT(A1255,"YYYY-MM-DD HH")</f>
        <v/>
      </c>
      <c r="R1255" s="25">
        <f>COUNTIF($Q$2:$Q$5295,Q1255)</f>
        <v/>
      </c>
      <c r="S1255" s="25">
        <f>IF(R1255&lt;=2,"1-2",IF(R1255&lt;=5,"3-5",IF(R1255&lt;=10,"6-10","11+")))</f>
        <v/>
      </c>
    </row>
    <row r="1256">
      <c r="A1256" s="39" t="n">
        <v>46167.11108796296</v>
      </c>
      <c r="B1256" s="25">
        <f>TEXT(A1256,"YYYY-MM")</f>
        <v/>
      </c>
      <c r="C1256" s="25">
        <f>TEXT(A1256,"MMM-YYYY")</f>
        <v/>
      </c>
      <c r="D1256" s="40">
        <f>INT(A1256)-WEEKDAY(A1256,2)+1</f>
        <v/>
      </c>
      <c r="E1256" s="25" t="inlineStr">
        <is>
          <t>mgupta</t>
        </is>
      </c>
      <c r="F1256" s="25" t="n">
        <v>89556</v>
      </c>
      <c r="G1256" s="25" t="n">
        <v>3</v>
      </c>
      <c r="H1256" s="25" t="n">
        <v>15</v>
      </c>
      <c r="I1256" s="25" t="inlineStr">
        <is>
          <t>2 minute(s) and 56 second(s)</t>
        </is>
      </c>
      <c r="J1256" s="25">
        <f>IFERROR(VALUE(TRIM(LEFT(I1256,FIND("minute",I1256)-1)))*60,0)+IFERROR(VALUE(SUBSTITUTE(MID(I1256,IFERROR(FIND("and",I1256)+3,1),20),"second(s)","")),0)</f>
        <v/>
      </c>
      <c r="K1256" s="41">
        <f>J1256/60</f>
        <v/>
      </c>
      <c r="L1256" s="41">
        <f>IFERROR(J1256/H1256,"")</f>
        <v/>
      </c>
      <c r="M1256" s="25" t="inlineStr">
        <is>
          <t>2.5.12</t>
        </is>
      </c>
      <c r="N1256" s="25">
        <f>IF(J1256&gt;300,1,0)</f>
        <v/>
      </c>
      <c r="O1256" s="25">
        <f>IF(J1256&gt;600,1,0)</f>
        <v/>
      </c>
      <c r="P1256" s="25">
        <f>IF(H1256&gt;0,J1256,"")</f>
        <v/>
      </c>
      <c r="Q1256" s="25">
        <f>TEXT(A1256,"YYYY-MM-DD HH")</f>
        <v/>
      </c>
      <c r="R1256" s="25">
        <f>COUNTIF($Q$2:$Q$5295,Q1256)</f>
        <v/>
      </c>
      <c r="S1256" s="25">
        <f>IF(R1256&lt;=2,"1-2",IF(R1256&lt;=5,"3-5",IF(R1256&lt;=10,"6-10","11+")))</f>
        <v/>
      </c>
    </row>
    <row r="1257">
      <c r="A1257" s="39" t="n">
        <v>46167.11186342593</v>
      </c>
      <c r="B1257" s="25">
        <f>TEXT(A1257,"YYYY-MM")</f>
        <v/>
      </c>
      <c r="C1257" s="25">
        <f>TEXT(A1257,"MMM-YYYY")</f>
        <v/>
      </c>
      <c r="D1257" s="40">
        <f>INT(A1257)-WEEKDAY(A1257,2)+1</f>
        <v/>
      </c>
      <c r="E1257" s="25" t="inlineStr">
        <is>
          <t>npriya</t>
        </is>
      </c>
      <c r="F1257" s="25" t="n">
        <v>4929</v>
      </c>
      <c r="G1257" s="25" t="n">
        <v>1</v>
      </c>
      <c r="H1257" s="25" t="n">
        <v>7</v>
      </c>
      <c r="I1257" s="25" t="inlineStr">
        <is>
          <t>1 minute(s) and 16 second(s)</t>
        </is>
      </c>
      <c r="J1257" s="25">
        <f>IFERROR(VALUE(TRIM(LEFT(I1257,FIND("minute",I1257)-1)))*60,0)+IFERROR(VALUE(SUBSTITUTE(MID(I1257,IFERROR(FIND("and",I1257)+3,1),20),"second(s)","")),0)</f>
        <v/>
      </c>
      <c r="K1257" s="41">
        <f>J1257/60</f>
        <v/>
      </c>
      <c r="L1257" s="41">
        <f>IFERROR(J1257/H1257,"")</f>
        <v/>
      </c>
      <c r="M1257" s="25" t="inlineStr">
        <is>
          <t>2.5.12</t>
        </is>
      </c>
      <c r="N1257" s="25">
        <f>IF(J1257&gt;300,1,0)</f>
        <v/>
      </c>
      <c r="O1257" s="25">
        <f>IF(J1257&gt;600,1,0)</f>
        <v/>
      </c>
      <c r="P1257" s="25">
        <f>IF(H1257&gt;0,J1257,"")</f>
        <v/>
      </c>
      <c r="Q1257" s="25">
        <f>TEXT(A1257,"YYYY-MM-DD HH")</f>
        <v/>
      </c>
      <c r="R1257" s="25">
        <f>COUNTIF($Q$2:$Q$5295,Q1257)</f>
        <v/>
      </c>
      <c r="S1257" s="25">
        <f>IF(R1257&lt;=2,"1-2",IF(R1257&lt;=5,"3-5",IF(R1257&lt;=10,"6-10","11+")))</f>
        <v/>
      </c>
    </row>
    <row r="1258">
      <c r="A1258" s="39" t="n">
        <v>46167.11571759259</v>
      </c>
      <c r="B1258" s="25">
        <f>TEXT(A1258,"YYYY-MM")</f>
        <v/>
      </c>
      <c r="C1258" s="25">
        <f>TEXT(A1258,"MMM-YYYY")</f>
        <v/>
      </c>
      <c r="D1258" s="40">
        <f>INT(A1258)-WEEKDAY(A1258,2)+1</f>
        <v/>
      </c>
      <c r="E1258" s="25" t="inlineStr">
        <is>
          <t>shassan</t>
        </is>
      </c>
      <c r="F1258" s="25" t="n">
        <v>4091</v>
      </c>
      <c r="G1258" s="25" t="n">
        <v>1</v>
      </c>
      <c r="H1258" s="25" t="n">
        <v>7</v>
      </c>
      <c r="I1258" s="25" t="inlineStr">
        <is>
          <t>1 minute(s) and 33 second(s)</t>
        </is>
      </c>
      <c r="J1258" s="25">
        <f>IFERROR(VALUE(TRIM(LEFT(I1258,FIND("minute",I1258)-1)))*60,0)+IFERROR(VALUE(SUBSTITUTE(MID(I1258,IFERROR(FIND("and",I1258)+3,1),20),"second(s)","")),0)</f>
        <v/>
      </c>
      <c r="K1258" s="41">
        <f>J1258/60</f>
        <v/>
      </c>
      <c r="L1258" s="41">
        <f>IFERROR(J1258/H1258,"")</f>
        <v/>
      </c>
      <c r="M1258" s="25" t="inlineStr">
        <is>
          <t>2.5.12</t>
        </is>
      </c>
      <c r="N1258" s="25">
        <f>IF(J1258&gt;300,1,0)</f>
        <v/>
      </c>
      <c r="O1258" s="25">
        <f>IF(J1258&gt;600,1,0)</f>
        <v/>
      </c>
      <c r="P1258" s="25">
        <f>IF(H1258&gt;0,J1258,"")</f>
        <v/>
      </c>
      <c r="Q1258" s="25">
        <f>TEXT(A1258,"YYYY-MM-DD HH")</f>
        <v/>
      </c>
      <c r="R1258" s="25">
        <f>COUNTIF($Q$2:$Q$5295,Q1258)</f>
        <v/>
      </c>
      <c r="S1258" s="25">
        <f>IF(R1258&lt;=2,"1-2",IF(R1258&lt;=5,"3-5",IF(R1258&lt;=10,"6-10","11+")))</f>
        <v/>
      </c>
    </row>
    <row r="1259">
      <c r="A1259" s="39" t="n">
        <v>46167.11710648148</v>
      </c>
      <c r="B1259" s="25">
        <f>TEXT(A1259,"YYYY-MM")</f>
        <v/>
      </c>
      <c r="C1259" s="25">
        <f>TEXT(A1259,"MMM-YYYY")</f>
        <v/>
      </c>
      <c r="D1259" s="40">
        <f>INT(A1259)-WEEKDAY(A1259,2)+1</f>
        <v/>
      </c>
      <c r="E1259" s="25" t="inlineStr">
        <is>
          <t>hsindwani</t>
        </is>
      </c>
      <c r="F1259" s="25" t="n">
        <v>4276</v>
      </c>
      <c r="G1259" s="25" t="n">
        <v>1</v>
      </c>
      <c r="H1259" s="25" t="n">
        <v>7</v>
      </c>
      <c r="I1259" s="25" t="inlineStr">
        <is>
          <t>4 minute(s) and 44 second(s)</t>
        </is>
      </c>
      <c r="J1259" s="25">
        <f>IFERROR(VALUE(TRIM(LEFT(I1259,FIND("minute",I1259)-1)))*60,0)+IFERROR(VALUE(SUBSTITUTE(MID(I1259,IFERROR(FIND("and",I1259)+3,1),20),"second(s)","")),0)</f>
        <v/>
      </c>
      <c r="K1259" s="41">
        <f>J1259/60</f>
        <v/>
      </c>
      <c r="L1259" s="41">
        <f>IFERROR(J1259/H1259,"")</f>
        <v/>
      </c>
      <c r="M1259" s="25" t="inlineStr">
        <is>
          <t>2.5.12</t>
        </is>
      </c>
      <c r="N1259" s="25">
        <f>IF(J1259&gt;300,1,0)</f>
        <v/>
      </c>
      <c r="O1259" s="25">
        <f>IF(J1259&gt;600,1,0)</f>
        <v/>
      </c>
      <c r="P1259" s="25">
        <f>IF(H1259&gt;0,J1259,"")</f>
        <v/>
      </c>
      <c r="Q1259" s="25">
        <f>TEXT(A1259,"YYYY-MM-DD HH")</f>
        <v/>
      </c>
      <c r="R1259" s="25">
        <f>COUNTIF($Q$2:$Q$5295,Q1259)</f>
        <v/>
      </c>
      <c r="S1259" s="25">
        <f>IF(R1259&lt;=2,"1-2",IF(R1259&lt;=5,"3-5",IF(R1259&lt;=10,"6-10","11+")))</f>
        <v/>
      </c>
    </row>
    <row r="1260">
      <c r="A1260" s="39" t="n">
        <v>46167.11769675926</v>
      </c>
      <c r="B1260" s="25">
        <f>TEXT(A1260,"YYYY-MM")</f>
        <v/>
      </c>
      <c r="C1260" s="25">
        <f>TEXT(A1260,"MMM-YYYY")</f>
        <v/>
      </c>
      <c r="D1260" s="40">
        <f>INT(A1260)-WEEKDAY(A1260,2)+1</f>
        <v/>
      </c>
      <c r="E1260" s="25" t="inlineStr">
        <is>
          <t>rts</t>
        </is>
      </c>
      <c r="F1260" s="25" t="n">
        <v>105852</v>
      </c>
      <c r="G1260" s="25" t="n">
        <v>3</v>
      </c>
      <c r="H1260" s="25" t="n">
        <v>15</v>
      </c>
      <c r="I1260" s="25" t="inlineStr">
        <is>
          <t>6 minute(s) and 35 second(s)</t>
        </is>
      </c>
      <c r="J1260" s="25">
        <f>IFERROR(VALUE(TRIM(LEFT(I1260,FIND("minute",I1260)-1)))*60,0)+IFERROR(VALUE(SUBSTITUTE(MID(I1260,IFERROR(FIND("and",I1260)+3,1),20),"second(s)","")),0)</f>
        <v/>
      </c>
      <c r="K1260" s="41">
        <f>J1260/60</f>
        <v/>
      </c>
      <c r="L1260" s="41">
        <f>IFERROR(J1260/H1260,"")</f>
        <v/>
      </c>
      <c r="M1260" s="25" t="inlineStr">
        <is>
          <t>2.5.12</t>
        </is>
      </c>
      <c r="N1260" s="25">
        <f>IF(J1260&gt;300,1,0)</f>
        <v/>
      </c>
      <c r="O1260" s="25">
        <f>IF(J1260&gt;600,1,0)</f>
        <v/>
      </c>
      <c r="P1260" s="25">
        <f>IF(H1260&gt;0,J1260,"")</f>
        <v/>
      </c>
      <c r="Q1260" s="25">
        <f>TEXT(A1260,"YYYY-MM-DD HH")</f>
        <v/>
      </c>
      <c r="R1260" s="25">
        <f>COUNTIF($Q$2:$Q$5295,Q1260)</f>
        <v/>
      </c>
      <c r="S1260" s="25">
        <f>IF(R1260&lt;=2,"1-2",IF(R1260&lt;=5,"3-5",IF(R1260&lt;=10,"6-10","11+")))</f>
        <v/>
      </c>
    </row>
    <row r="1261">
      <c r="A1261" s="39" t="n">
        <v>46167.12094907407</v>
      </c>
      <c r="B1261" s="25">
        <f>TEXT(A1261,"YYYY-MM")</f>
        <v/>
      </c>
      <c r="C1261" s="25">
        <f>TEXT(A1261,"MMM-YYYY")</f>
        <v/>
      </c>
      <c r="D1261" s="40">
        <f>INT(A1261)-WEEKDAY(A1261,2)+1</f>
        <v/>
      </c>
      <c r="E1261" s="25" t="inlineStr">
        <is>
          <t>anusharma</t>
        </is>
      </c>
      <c r="F1261" s="25" t="n">
        <v>3210</v>
      </c>
      <c r="G1261" s="25" t="n">
        <v>1</v>
      </c>
      <c r="H1261" s="25" t="n">
        <v>7</v>
      </c>
      <c r="I1261" s="25" t="inlineStr">
        <is>
          <t>1 minute(s) and 37 second(s)</t>
        </is>
      </c>
      <c r="J1261" s="25">
        <f>IFERROR(VALUE(TRIM(LEFT(I1261,FIND("minute",I1261)-1)))*60,0)+IFERROR(VALUE(SUBSTITUTE(MID(I1261,IFERROR(FIND("and",I1261)+3,1),20),"second(s)","")),0)</f>
        <v/>
      </c>
      <c r="K1261" s="41">
        <f>J1261/60</f>
        <v/>
      </c>
      <c r="L1261" s="41">
        <f>IFERROR(J1261/H1261,"")</f>
        <v/>
      </c>
      <c r="M1261" s="25" t="inlineStr">
        <is>
          <t>2.5.12</t>
        </is>
      </c>
      <c r="N1261" s="25">
        <f>IF(J1261&gt;300,1,0)</f>
        <v/>
      </c>
      <c r="O1261" s="25">
        <f>IF(J1261&gt;600,1,0)</f>
        <v/>
      </c>
      <c r="P1261" s="25">
        <f>IF(H1261&gt;0,J1261,"")</f>
        <v/>
      </c>
      <c r="Q1261" s="25">
        <f>TEXT(A1261,"YYYY-MM-DD HH")</f>
        <v/>
      </c>
      <c r="R1261" s="25">
        <f>COUNTIF($Q$2:$Q$5295,Q1261)</f>
        <v/>
      </c>
      <c r="S1261" s="25">
        <f>IF(R1261&lt;=2,"1-2",IF(R1261&lt;=5,"3-5",IF(R1261&lt;=10,"6-10","11+")))</f>
        <v/>
      </c>
    </row>
    <row r="1262">
      <c r="A1262" s="39" t="n">
        <v>46167.12133101852</v>
      </c>
      <c r="B1262" s="25">
        <f>TEXT(A1262,"YYYY-MM")</f>
        <v/>
      </c>
      <c r="C1262" s="25">
        <f>TEXT(A1262,"MMM-YYYY")</f>
        <v/>
      </c>
      <c r="D1262" s="40">
        <f>INT(A1262)-WEEKDAY(A1262,2)+1</f>
        <v/>
      </c>
      <c r="E1262" s="25" t="inlineStr">
        <is>
          <t>arsarkar</t>
        </is>
      </c>
      <c r="F1262" s="25" t="n">
        <v>4963</v>
      </c>
      <c r="G1262" s="25" t="n">
        <v>1</v>
      </c>
      <c r="H1262" s="25" t="n">
        <v>5</v>
      </c>
      <c r="I1262" s="25" t="inlineStr">
        <is>
          <t>2 minute(s) and 20 second(s)</t>
        </is>
      </c>
      <c r="J1262" s="25">
        <f>IFERROR(VALUE(TRIM(LEFT(I1262,FIND("minute",I1262)-1)))*60,0)+IFERROR(VALUE(SUBSTITUTE(MID(I1262,IFERROR(FIND("and",I1262)+3,1),20),"second(s)","")),0)</f>
        <v/>
      </c>
      <c r="K1262" s="41">
        <f>J1262/60</f>
        <v/>
      </c>
      <c r="L1262" s="41">
        <f>IFERROR(J1262/H1262,"")</f>
        <v/>
      </c>
      <c r="M1262" s="25" t="inlineStr">
        <is>
          <t>2.5.12</t>
        </is>
      </c>
      <c r="N1262" s="25">
        <f>IF(J1262&gt;300,1,0)</f>
        <v/>
      </c>
      <c r="O1262" s="25">
        <f>IF(J1262&gt;600,1,0)</f>
        <v/>
      </c>
      <c r="P1262" s="25">
        <f>IF(H1262&gt;0,J1262,"")</f>
        <v/>
      </c>
      <c r="Q1262" s="25">
        <f>TEXT(A1262,"YYYY-MM-DD HH")</f>
        <v/>
      </c>
      <c r="R1262" s="25">
        <f>COUNTIF($Q$2:$Q$5295,Q1262)</f>
        <v/>
      </c>
      <c r="S1262" s="25">
        <f>IF(R1262&lt;=2,"1-2",IF(R1262&lt;=5,"3-5",IF(R1262&lt;=10,"6-10","11+")))</f>
        <v/>
      </c>
    </row>
    <row r="1263">
      <c r="A1263" s="39" t="n">
        <v>46167.12247685185</v>
      </c>
      <c r="B1263" s="25">
        <f>TEXT(A1263,"YYYY-MM")</f>
        <v/>
      </c>
      <c r="C1263" s="25">
        <f>TEXT(A1263,"MMM-YYYY")</f>
        <v/>
      </c>
      <c r="D1263" s="40">
        <f>INT(A1263)-WEEKDAY(A1263,2)+1</f>
        <v/>
      </c>
      <c r="E1263" s="25" t="inlineStr">
        <is>
          <t>psathwika</t>
        </is>
      </c>
      <c r="F1263" s="25" t="n">
        <v>67331</v>
      </c>
      <c r="G1263" s="25" t="n">
        <v>1</v>
      </c>
      <c r="H1263" s="25" t="n">
        <v>7</v>
      </c>
      <c r="I1263" s="25" t="inlineStr">
        <is>
          <t>3 minute(s) and 1 second(s)</t>
        </is>
      </c>
      <c r="J1263" s="25">
        <f>IFERROR(VALUE(TRIM(LEFT(I1263,FIND("minute",I1263)-1)))*60,0)+IFERROR(VALUE(SUBSTITUTE(MID(I1263,IFERROR(FIND("and",I1263)+3,1),20),"second(s)","")),0)</f>
        <v/>
      </c>
      <c r="K1263" s="41">
        <f>J1263/60</f>
        <v/>
      </c>
      <c r="L1263" s="41">
        <f>IFERROR(J1263/H1263,"")</f>
        <v/>
      </c>
      <c r="M1263" s="25" t="inlineStr">
        <is>
          <t>2.5.12</t>
        </is>
      </c>
      <c r="N1263" s="25">
        <f>IF(J1263&gt;300,1,0)</f>
        <v/>
      </c>
      <c r="O1263" s="25">
        <f>IF(J1263&gt;600,1,0)</f>
        <v/>
      </c>
      <c r="P1263" s="25">
        <f>IF(H1263&gt;0,J1263,"")</f>
        <v/>
      </c>
      <c r="Q1263" s="25">
        <f>TEXT(A1263,"YYYY-MM-DD HH")</f>
        <v/>
      </c>
      <c r="R1263" s="25">
        <f>COUNTIF($Q$2:$Q$5295,Q1263)</f>
        <v/>
      </c>
      <c r="S1263" s="25">
        <f>IF(R1263&lt;=2,"1-2",IF(R1263&lt;=5,"3-5",IF(R1263&lt;=10,"6-10","11+")))</f>
        <v/>
      </c>
    </row>
    <row r="1264">
      <c r="A1264" s="39" t="n">
        <v>46167.124375</v>
      </c>
      <c r="B1264" s="25">
        <f>TEXT(A1264,"YYYY-MM")</f>
        <v/>
      </c>
      <c r="C1264" s="25">
        <f>TEXT(A1264,"MMM-YYYY")</f>
        <v/>
      </c>
      <c r="D1264" s="40">
        <f>INT(A1264)-WEEKDAY(A1264,2)+1</f>
        <v/>
      </c>
      <c r="E1264" s="25" t="inlineStr">
        <is>
          <t>sswati</t>
        </is>
      </c>
      <c r="F1264" s="25" t="n">
        <v>3887</v>
      </c>
      <c r="G1264" s="25" t="n">
        <v>1</v>
      </c>
      <c r="H1264" s="25" t="n">
        <v>7</v>
      </c>
      <c r="I1264" s="25" t="inlineStr">
        <is>
          <t>2 minute(s) and 24 second(s)</t>
        </is>
      </c>
      <c r="J1264" s="25">
        <f>IFERROR(VALUE(TRIM(LEFT(I1264,FIND("minute",I1264)-1)))*60,0)+IFERROR(VALUE(SUBSTITUTE(MID(I1264,IFERROR(FIND("and",I1264)+3,1),20),"second(s)","")),0)</f>
        <v/>
      </c>
      <c r="K1264" s="41">
        <f>J1264/60</f>
        <v/>
      </c>
      <c r="L1264" s="41">
        <f>IFERROR(J1264/H1264,"")</f>
        <v/>
      </c>
      <c r="M1264" s="25" t="inlineStr">
        <is>
          <t>2.5.12</t>
        </is>
      </c>
      <c r="N1264" s="25">
        <f>IF(J1264&gt;300,1,0)</f>
        <v/>
      </c>
      <c r="O1264" s="25">
        <f>IF(J1264&gt;600,1,0)</f>
        <v/>
      </c>
      <c r="P1264" s="25">
        <f>IF(H1264&gt;0,J1264,"")</f>
        <v/>
      </c>
      <c r="Q1264" s="25">
        <f>TEXT(A1264,"YYYY-MM-DD HH")</f>
        <v/>
      </c>
      <c r="R1264" s="25">
        <f>COUNTIF($Q$2:$Q$5295,Q1264)</f>
        <v/>
      </c>
      <c r="S1264" s="25">
        <f>IF(R1264&lt;=2,"1-2",IF(R1264&lt;=5,"3-5",IF(R1264&lt;=10,"6-10","11+")))</f>
        <v/>
      </c>
    </row>
    <row r="1265">
      <c r="A1265" s="39" t="n">
        <v>46167.12670138889</v>
      </c>
      <c r="B1265" s="25">
        <f>TEXT(A1265,"YYYY-MM")</f>
        <v/>
      </c>
      <c r="C1265" s="25">
        <f>TEXT(A1265,"MMM-YYYY")</f>
        <v/>
      </c>
      <c r="D1265" s="40">
        <f>INT(A1265)-WEEKDAY(A1265,2)+1</f>
        <v/>
      </c>
      <c r="E1265" s="25" t="inlineStr">
        <is>
          <t>atiwari</t>
        </is>
      </c>
      <c r="F1265" s="25" t="n">
        <v>61277</v>
      </c>
      <c r="G1265" s="25" t="n">
        <v>2</v>
      </c>
      <c r="H1265" s="25" t="n">
        <v>10</v>
      </c>
      <c r="I1265" s="25" t="inlineStr">
        <is>
          <t>3 minute(s) and 27 second(s)</t>
        </is>
      </c>
      <c r="J1265" s="25">
        <f>IFERROR(VALUE(TRIM(LEFT(I1265,FIND("minute",I1265)-1)))*60,0)+IFERROR(VALUE(SUBSTITUTE(MID(I1265,IFERROR(FIND("and",I1265)+3,1),20),"second(s)","")),0)</f>
        <v/>
      </c>
      <c r="K1265" s="41">
        <f>J1265/60</f>
        <v/>
      </c>
      <c r="L1265" s="41">
        <f>IFERROR(J1265/H1265,"")</f>
        <v/>
      </c>
      <c r="M1265" s="25" t="inlineStr">
        <is>
          <t>2.5.12</t>
        </is>
      </c>
      <c r="N1265" s="25">
        <f>IF(J1265&gt;300,1,0)</f>
        <v/>
      </c>
      <c r="O1265" s="25">
        <f>IF(J1265&gt;600,1,0)</f>
        <v/>
      </c>
      <c r="P1265" s="25">
        <f>IF(H1265&gt;0,J1265,"")</f>
        <v/>
      </c>
      <c r="Q1265" s="25">
        <f>TEXT(A1265,"YYYY-MM-DD HH")</f>
        <v/>
      </c>
      <c r="R1265" s="25">
        <f>COUNTIF($Q$2:$Q$5295,Q1265)</f>
        <v/>
      </c>
      <c r="S1265" s="25">
        <f>IF(R1265&lt;=2,"1-2",IF(R1265&lt;=5,"3-5",IF(R1265&lt;=10,"6-10","11+")))</f>
        <v/>
      </c>
    </row>
    <row r="1266">
      <c r="A1266" s="39" t="n">
        <v>46167.12702546296</v>
      </c>
      <c r="B1266" s="25">
        <f>TEXT(A1266,"YYYY-MM")</f>
        <v/>
      </c>
      <c r="C1266" s="25">
        <f>TEXT(A1266,"MMM-YYYY")</f>
        <v/>
      </c>
      <c r="D1266" s="40">
        <f>INT(A1266)-WEEKDAY(A1266,2)+1</f>
        <v/>
      </c>
      <c r="E1266" s="25" t="inlineStr">
        <is>
          <t>ssrinivasan</t>
        </is>
      </c>
      <c r="F1266" s="25" t="n">
        <v>4303</v>
      </c>
      <c r="G1266" s="25" t="n">
        <v>1</v>
      </c>
      <c r="H1266" s="25" t="n">
        <v>7</v>
      </c>
      <c r="I1266" s="25" t="inlineStr">
        <is>
          <t>4 minute(s) and 33 second(s)</t>
        </is>
      </c>
      <c r="J1266" s="25">
        <f>IFERROR(VALUE(TRIM(LEFT(I1266,FIND("minute",I1266)-1)))*60,0)+IFERROR(VALUE(SUBSTITUTE(MID(I1266,IFERROR(FIND("and",I1266)+3,1),20),"second(s)","")),0)</f>
        <v/>
      </c>
      <c r="K1266" s="41">
        <f>J1266/60</f>
        <v/>
      </c>
      <c r="L1266" s="41">
        <f>IFERROR(J1266/H1266,"")</f>
        <v/>
      </c>
      <c r="M1266" s="25" t="inlineStr">
        <is>
          <t>2.5.12</t>
        </is>
      </c>
      <c r="N1266" s="25">
        <f>IF(J1266&gt;300,1,0)</f>
        <v/>
      </c>
      <c r="O1266" s="25">
        <f>IF(J1266&gt;600,1,0)</f>
        <v/>
      </c>
      <c r="P1266" s="25">
        <f>IF(H1266&gt;0,J1266,"")</f>
        <v/>
      </c>
      <c r="Q1266" s="25">
        <f>TEXT(A1266,"YYYY-MM-DD HH")</f>
        <v/>
      </c>
      <c r="R1266" s="25">
        <f>COUNTIF($Q$2:$Q$5295,Q1266)</f>
        <v/>
      </c>
      <c r="S1266" s="25">
        <f>IF(R1266&lt;=2,"1-2",IF(R1266&lt;=5,"3-5",IF(R1266&lt;=10,"6-10","11+")))</f>
        <v/>
      </c>
    </row>
    <row r="1267">
      <c r="A1267" s="39" t="n">
        <v>46167.12869212963</v>
      </c>
      <c r="B1267" s="25">
        <f>TEXT(A1267,"YYYY-MM")</f>
        <v/>
      </c>
      <c r="C1267" s="25">
        <f>TEXT(A1267,"MMM-YYYY")</f>
        <v/>
      </c>
      <c r="D1267" s="40">
        <f>INT(A1267)-WEEKDAY(A1267,2)+1</f>
        <v/>
      </c>
      <c r="E1267" s="25" t="inlineStr">
        <is>
          <t>smukhopadhyay</t>
        </is>
      </c>
      <c r="F1267" s="25" t="n">
        <v>5030</v>
      </c>
      <c r="G1267" s="25" t="n">
        <v>1</v>
      </c>
      <c r="H1267" s="25" t="n">
        <v>7</v>
      </c>
      <c r="I1267" s="25" t="inlineStr">
        <is>
          <t>1 minute(s) and 33 second(s)</t>
        </is>
      </c>
      <c r="J1267" s="25">
        <f>IFERROR(VALUE(TRIM(LEFT(I1267,FIND("minute",I1267)-1)))*60,0)+IFERROR(VALUE(SUBSTITUTE(MID(I1267,IFERROR(FIND("and",I1267)+3,1),20),"second(s)","")),0)</f>
        <v/>
      </c>
      <c r="K1267" s="41">
        <f>J1267/60</f>
        <v/>
      </c>
      <c r="L1267" s="41">
        <f>IFERROR(J1267/H1267,"")</f>
        <v/>
      </c>
      <c r="M1267" s="25" t="inlineStr">
        <is>
          <t>2.5.12</t>
        </is>
      </c>
      <c r="N1267" s="25">
        <f>IF(J1267&gt;300,1,0)</f>
        <v/>
      </c>
      <c r="O1267" s="25">
        <f>IF(J1267&gt;600,1,0)</f>
        <v/>
      </c>
      <c r="P1267" s="25">
        <f>IF(H1267&gt;0,J1267,"")</f>
        <v/>
      </c>
      <c r="Q1267" s="25">
        <f>TEXT(A1267,"YYYY-MM-DD HH")</f>
        <v/>
      </c>
      <c r="R1267" s="25">
        <f>COUNTIF($Q$2:$Q$5295,Q1267)</f>
        <v/>
      </c>
      <c r="S1267" s="25">
        <f>IF(R1267&lt;=2,"1-2",IF(R1267&lt;=5,"3-5",IF(R1267&lt;=10,"6-10","11+")))</f>
        <v/>
      </c>
    </row>
    <row r="1268">
      <c r="A1268" s="39" t="n">
        <v>46167.12966435185</v>
      </c>
      <c r="B1268" s="25">
        <f>TEXT(A1268,"YYYY-MM")</f>
        <v/>
      </c>
      <c r="C1268" s="25">
        <f>TEXT(A1268,"MMM-YYYY")</f>
        <v/>
      </c>
      <c r="D1268" s="40">
        <f>INT(A1268)-WEEKDAY(A1268,2)+1</f>
        <v/>
      </c>
      <c r="E1268" s="25" t="inlineStr">
        <is>
          <t>csaha</t>
        </is>
      </c>
      <c r="F1268" s="25" t="n">
        <v>4415</v>
      </c>
      <c r="G1268" s="25" t="n">
        <v>1</v>
      </c>
      <c r="H1268" s="25" t="n">
        <v>7</v>
      </c>
      <c r="I1268" s="25" t="inlineStr">
        <is>
          <t>1 minute(s) and 14 second(s)</t>
        </is>
      </c>
      <c r="J1268" s="25">
        <f>IFERROR(VALUE(TRIM(LEFT(I1268,FIND("minute",I1268)-1)))*60,0)+IFERROR(VALUE(SUBSTITUTE(MID(I1268,IFERROR(FIND("and",I1268)+3,1),20),"second(s)","")),0)</f>
        <v/>
      </c>
      <c r="K1268" s="41">
        <f>J1268/60</f>
        <v/>
      </c>
      <c r="L1268" s="41">
        <f>IFERROR(J1268/H1268,"")</f>
        <v/>
      </c>
      <c r="M1268" s="25" t="inlineStr">
        <is>
          <t>2.5.12</t>
        </is>
      </c>
      <c r="N1268" s="25">
        <f>IF(J1268&gt;300,1,0)</f>
        <v/>
      </c>
      <c r="O1268" s="25">
        <f>IF(J1268&gt;600,1,0)</f>
        <v/>
      </c>
      <c r="P1268" s="25">
        <f>IF(H1268&gt;0,J1268,"")</f>
        <v/>
      </c>
      <c r="Q1268" s="25">
        <f>TEXT(A1268,"YYYY-MM-DD HH")</f>
        <v/>
      </c>
      <c r="R1268" s="25">
        <f>COUNTIF($Q$2:$Q$5295,Q1268)</f>
        <v/>
      </c>
      <c r="S1268" s="25">
        <f>IF(R1268&lt;=2,"1-2",IF(R1268&lt;=5,"3-5",IF(R1268&lt;=10,"6-10","11+")))</f>
        <v/>
      </c>
    </row>
    <row r="1269">
      <c r="A1269" s="39" t="n">
        <v>46167.13395833333</v>
      </c>
      <c r="B1269" s="25">
        <f>TEXT(A1269,"YYYY-MM")</f>
        <v/>
      </c>
      <c r="C1269" s="25">
        <f>TEXT(A1269,"MMM-YYYY")</f>
        <v/>
      </c>
      <c r="D1269" s="40">
        <f>INT(A1269)-WEEKDAY(A1269,2)+1</f>
        <v/>
      </c>
      <c r="E1269" s="25" t="inlineStr">
        <is>
          <t>mbohra</t>
        </is>
      </c>
      <c r="F1269" s="25" t="n">
        <v>89571</v>
      </c>
      <c r="G1269" s="25" t="n">
        <v>3</v>
      </c>
      <c r="H1269" s="25" t="n">
        <v>21</v>
      </c>
      <c r="I1269" s="25" t="inlineStr">
        <is>
          <t>7 minute(s) and 29 second(s)</t>
        </is>
      </c>
      <c r="J1269" s="25">
        <f>IFERROR(VALUE(TRIM(LEFT(I1269,FIND("minute",I1269)-1)))*60,0)+IFERROR(VALUE(SUBSTITUTE(MID(I1269,IFERROR(FIND("and",I1269)+3,1),20),"second(s)","")),0)</f>
        <v/>
      </c>
      <c r="K1269" s="41">
        <f>J1269/60</f>
        <v/>
      </c>
      <c r="L1269" s="41">
        <f>IFERROR(J1269/H1269,"")</f>
        <v/>
      </c>
      <c r="M1269" s="25" t="inlineStr">
        <is>
          <t>2.5.12</t>
        </is>
      </c>
      <c r="N1269" s="25">
        <f>IF(J1269&gt;300,1,0)</f>
        <v/>
      </c>
      <c r="O1269" s="25">
        <f>IF(J1269&gt;600,1,0)</f>
        <v/>
      </c>
      <c r="P1269" s="25">
        <f>IF(H1269&gt;0,J1269,"")</f>
        <v/>
      </c>
      <c r="Q1269" s="25">
        <f>TEXT(A1269,"YYYY-MM-DD HH")</f>
        <v/>
      </c>
      <c r="R1269" s="25">
        <f>COUNTIF($Q$2:$Q$5295,Q1269)</f>
        <v/>
      </c>
      <c r="S1269" s="25">
        <f>IF(R1269&lt;=2,"1-2",IF(R1269&lt;=5,"3-5",IF(R1269&lt;=10,"6-10","11+")))</f>
        <v/>
      </c>
    </row>
    <row r="1270">
      <c r="A1270" s="39" t="n">
        <v>46167.13592592593</v>
      </c>
      <c r="B1270" s="25">
        <f>TEXT(A1270,"YYYY-MM")</f>
        <v/>
      </c>
      <c r="C1270" s="25">
        <f>TEXT(A1270,"MMM-YYYY")</f>
        <v/>
      </c>
      <c r="D1270" s="40">
        <f>INT(A1270)-WEEKDAY(A1270,2)+1</f>
        <v/>
      </c>
      <c r="E1270" s="25" t="inlineStr">
        <is>
          <t>sswati</t>
        </is>
      </c>
      <c r="F1270" s="25" t="n">
        <v>3889</v>
      </c>
      <c r="G1270" s="25" t="n">
        <v>1</v>
      </c>
      <c r="H1270" s="25" t="n">
        <v>7</v>
      </c>
      <c r="I1270" s="25" t="inlineStr">
        <is>
          <t>1 minute(s) and 6 second(s)</t>
        </is>
      </c>
      <c r="J1270" s="25">
        <f>IFERROR(VALUE(TRIM(LEFT(I1270,FIND("minute",I1270)-1)))*60,0)+IFERROR(VALUE(SUBSTITUTE(MID(I1270,IFERROR(FIND("and",I1270)+3,1),20),"second(s)","")),0)</f>
        <v/>
      </c>
      <c r="K1270" s="41">
        <f>J1270/60</f>
        <v/>
      </c>
      <c r="L1270" s="41">
        <f>IFERROR(J1270/H1270,"")</f>
        <v/>
      </c>
      <c r="M1270" s="25" t="inlineStr">
        <is>
          <t>2.5.12</t>
        </is>
      </c>
      <c r="N1270" s="25">
        <f>IF(J1270&gt;300,1,0)</f>
        <v/>
      </c>
      <c r="O1270" s="25">
        <f>IF(J1270&gt;600,1,0)</f>
        <v/>
      </c>
      <c r="P1270" s="25">
        <f>IF(H1270&gt;0,J1270,"")</f>
        <v/>
      </c>
      <c r="Q1270" s="25">
        <f>TEXT(A1270,"YYYY-MM-DD HH")</f>
        <v/>
      </c>
      <c r="R1270" s="25">
        <f>COUNTIF($Q$2:$Q$5295,Q1270)</f>
        <v/>
      </c>
      <c r="S1270" s="25">
        <f>IF(R1270&lt;=2,"1-2",IF(R1270&lt;=5,"3-5",IF(R1270&lt;=10,"6-10","11+")))</f>
        <v/>
      </c>
    </row>
    <row r="1271">
      <c r="A1271" s="39" t="n">
        <v>46167.13618055556</v>
      </c>
      <c r="B1271" s="25">
        <f>TEXT(A1271,"YYYY-MM")</f>
        <v/>
      </c>
      <c r="C1271" s="25">
        <f>TEXT(A1271,"MMM-YYYY")</f>
        <v/>
      </c>
      <c r="D1271" s="40">
        <f>INT(A1271)-WEEKDAY(A1271,2)+1</f>
        <v/>
      </c>
      <c r="E1271" s="25" t="inlineStr">
        <is>
          <t>shassan</t>
        </is>
      </c>
      <c r="F1271" s="25" t="n">
        <v>4092</v>
      </c>
      <c r="G1271" s="25" t="n">
        <v>1</v>
      </c>
      <c r="H1271" s="25" t="n">
        <v>7</v>
      </c>
      <c r="I1271" s="25" t="inlineStr">
        <is>
          <t>3 minute(s) and 3 second(s)</t>
        </is>
      </c>
      <c r="J1271" s="25">
        <f>IFERROR(VALUE(TRIM(LEFT(I1271,FIND("minute",I1271)-1)))*60,0)+IFERROR(VALUE(SUBSTITUTE(MID(I1271,IFERROR(FIND("and",I1271)+3,1),20),"second(s)","")),0)</f>
        <v/>
      </c>
      <c r="K1271" s="41">
        <f>J1271/60</f>
        <v/>
      </c>
      <c r="L1271" s="41">
        <f>IFERROR(J1271/H1271,"")</f>
        <v/>
      </c>
      <c r="M1271" s="25" t="inlineStr">
        <is>
          <t>2.5.12</t>
        </is>
      </c>
      <c r="N1271" s="25">
        <f>IF(J1271&gt;300,1,0)</f>
        <v/>
      </c>
      <c r="O1271" s="25">
        <f>IF(J1271&gt;600,1,0)</f>
        <v/>
      </c>
      <c r="P1271" s="25">
        <f>IF(H1271&gt;0,J1271,"")</f>
        <v/>
      </c>
      <c r="Q1271" s="25">
        <f>TEXT(A1271,"YYYY-MM-DD HH")</f>
        <v/>
      </c>
      <c r="R1271" s="25">
        <f>COUNTIF($Q$2:$Q$5295,Q1271)</f>
        <v/>
      </c>
      <c r="S1271" s="25">
        <f>IF(R1271&lt;=2,"1-2",IF(R1271&lt;=5,"3-5",IF(R1271&lt;=10,"6-10","11+")))</f>
        <v/>
      </c>
    </row>
    <row r="1272">
      <c r="A1272" s="39" t="n">
        <v>46167.13686342593</v>
      </c>
      <c r="B1272" s="25">
        <f>TEXT(A1272,"YYYY-MM")</f>
        <v/>
      </c>
      <c r="C1272" s="25">
        <f>TEXT(A1272,"MMM-YYYY")</f>
        <v/>
      </c>
      <c r="D1272" s="40">
        <f>INT(A1272)-WEEKDAY(A1272,2)+1</f>
        <v/>
      </c>
      <c r="E1272" s="25" t="inlineStr">
        <is>
          <t>sdey</t>
        </is>
      </c>
      <c r="F1272" s="25" t="n">
        <v>4260</v>
      </c>
      <c r="G1272" s="25" t="n">
        <v>1</v>
      </c>
      <c r="H1272" s="25" t="n">
        <v>5</v>
      </c>
      <c r="I1272" s="25" t="inlineStr">
        <is>
          <t>2 minute(s) and 38 second(s)</t>
        </is>
      </c>
      <c r="J1272" s="25">
        <f>IFERROR(VALUE(TRIM(LEFT(I1272,FIND("minute",I1272)-1)))*60,0)+IFERROR(VALUE(SUBSTITUTE(MID(I1272,IFERROR(FIND("and",I1272)+3,1),20),"second(s)","")),0)</f>
        <v/>
      </c>
      <c r="K1272" s="41">
        <f>J1272/60</f>
        <v/>
      </c>
      <c r="L1272" s="41">
        <f>IFERROR(J1272/H1272,"")</f>
        <v/>
      </c>
      <c r="M1272" s="25" t="inlineStr">
        <is>
          <t>2.5.12</t>
        </is>
      </c>
      <c r="N1272" s="25">
        <f>IF(J1272&gt;300,1,0)</f>
        <v/>
      </c>
      <c r="O1272" s="25">
        <f>IF(J1272&gt;600,1,0)</f>
        <v/>
      </c>
      <c r="P1272" s="25">
        <f>IF(H1272&gt;0,J1272,"")</f>
        <v/>
      </c>
      <c r="Q1272" s="25">
        <f>TEXT(A1272,"YYYY-MM-DD HH")</f>
        <v/>
      </c>
      <c r="R1272" s="25">
        <f>COUNTIF($Q$2:$Q$5295,Q1272)</f>
        <v/>
      </c>
      <c r="S1272" s="25">
        <f>IF(R1272&lt;=2,"1-2",IF(R1272&lt;=5,"3-5",IF(R1272&lt;=10,"6-10","11+")))</f>
        <v/>
      </c>
    </row>
    <row r="1273">
      <c r="A1273" s="39" t="n">
        <v>46167.13716435185</v>
      </c>
      <c r="B1273" s="25">
        <f>TEXT(A1273,"YYYY-MM")</f>
        <v/>
      </c>
      <c r="C1273" s="25">
        <f>TEXT(A1273,"MMM-YYYY")</f>
        <v/>
      </c>
      <c r="D1273" s="40">
        <f>INT(A1273)-WEEKDAY(A1273,2)+1</f>
        <v/>
      </c>
      <c r="E1273" s="25" t="inlineStr">
        <is>
          <t>npriya</t>
        </is>
      </c>
      <c r="F1273" s="25" t="n">
        <v>4930</v>
      </c>
      <c r="G1273" s="25" t="n">
        <v>1</v>
      </c>
      <c r="H1273" s="25" t="n">
        <v>7</v>
      </c>
      <c r="I1273" s="25" t="inlineStr">
        <is>
          <t>1 minute(s) and 26 second(s)</t>
        </is>
      </c>
      <c r="J1273" s="25">
        <f>IFERROR(VALUE(TRIM(LEFT(I1273,FIND("minute",I1273)-1)))*60,0)+IFERROR(VALUE(SUBSTITUTE(MID(I1273,IFERROR(FIND("and",I1273)+3,1),20),"second(s)","")),0)</f>
        <v/>
      </c>
      <c r="K1273" s="41">
        <f>J1273/60</f>
        <v/>
      </c>
      <c r="L1273" s="41">
        <f>IFERROR(J1273/H1273,"")</f>
        <v/>
      </c>
      <c r="M1273" s="25" t="inlineStr">
        <is>
          <t>2.5.12</t>
        </is>
      </c>
      <c r="N1273" s="25">
        <f>IF(J1273&gt;300,1,0)</f>
        <v/>
      </c>
      <c r="O1273" s="25">
        <f>IF(J1273&gt;600,1,0)</f>
        <v/>
      </c>
      <c r="P1273" s="25">
        <f>IF(H1273&gt;0,J1273,"")</f>
        <v/>
      </c>
      <c r="Q1273" s="25">
        <f>TEXT(A1273,"YYYY-MM-DD HH")</f>
        <v/>
      </c>
      <c r="R1273" s="25">
        <f>COUNTIF($Q$2:$Q$5295,Q1273)</f>
        <v/>
      </c>
      <c r="S1273" s="25">
        <f>IF(R1273&lt;=2,"1-2",IF(R1273&lt;=5,"3-5",IF(R1273&lt;=10,"6-10","11+")))</f>
        <v/>
      </c>
    </row>
    <row r="1274">
      <c r="A1274" s="39" t="n">
        <v>46167.13743055556</v>
      </c>
      <c r="B1274" s="25">
        <f>TEXT(A1274,"YYYY-MM")</f>
        <v/>
      </c>
      <c r="C1274" s="25">
        <f>TEXT(A1274,"MMM-YYYY")</f>
        <v/>
      </c>
      <c r="D1274" s="40">
        <f>INT(A1274)-WEEKDAY(A1274,2)+1</f>
        <v/>
      </c>
      <c r="E1274" s="25" t="inlineStr">
        <is>
          <t>mbhalla</t>
        </is>
      </c>
      <c r="F1274" s="25" t="n">
        <v>4865</v>
      </c>
      <c r="G1274" s="25" t="n">
        <v>1</v>
      </c>
      <c r="H1274" s="25" t="n">
        <v>7</v>
      </c>
      <c r="I1274" s="25" t="inlineStr">
        <is>
          <t>3 minute(s) and 1 second(s)</t>
        </is>
      </c>
      <c r="J1274" s="25">
        <f>IFERROR(VALUE(TRIM(LEFT(I1274,FIND("minute",I1274)-1)))*60,0)+IFERROR(VALUE(SUBSTITUTE(MID(I1274,IFERROR(FIND("and",I1274)+3,1),20),"second(s)","")),0)</f>
        <v/>
      </c>
      <c r="K1274" s="41">
        <f>J1274/60</f>
        <v/>
      </c>
      <c r="L1274" s="41">
        <f>IFERROR(J1274/H1274,"")</f>
        <v/>
      </c>
      <c r="M1274" s="25" t="inlineStr">
        <is>
          <t>2.5.12</t>
        </is>
      </c>
      <c r="N1274" s="25">
        <f>IF(J1274&gt;300,1,0)</f>
        <v/>
      </c>
      <c r="O1274" s="25">
        <f>IF(J1274&gt;600,1,0)</f>
        <v/>
      </c>
      <c r="P1274" s="25">
        <f>IF(H1274&gt;0,J1274,"")</f>
        <v/>
      </c>
      <c r="Q1274" s="25">
        <f>TEXT(A1274,"YYYY-MM-DD HH")</f>
        <v/>
      </c>
      <c r="R1274" s="25">
        <f>COUNTIF($Q$2:$Q$5295,Q1274)</f>
        <v/>
      </c>
      <c r="S1274" s="25">
        <f>IF(R1274&lt;=2,"1-2",IF(R1274&lt;=5,"3-5",IF(R1274&lt;=10,"6-10","11+")))</f>
        <v/>
      </c>
    </row>
    <row r="1275">
      <c r="A1275" s="39" t="n">
        <v>46167.13774305556</v>
      </c>
      <c r="B1275" s="25">
        <f>TEXT(A1275,"YYYY-MM")</f>
        <v/>
      </c>
      <c r="C1275" s="25">
        <f>TEXT(A1275,"MMM-YYYY")</f>
        <v/>
      </c>
      <c r="D1275" s="40">
        <f>INT(A1275)-WEEKDAY(A1275,2)+1</f>
        <v/>
      </c>
      <c r="E1275" s="25" t="inlineStr">
        <is>
          <t>apriyadarshi</t>
        </is>
      </c>
      <c r="F1275" s="25" t="n">
        <v>113776</v>
      </c>
      <c r="G1275" s="25" t="n">
        <v>1</v>
      </c>
      <c r="H1275" s="25" t="n">
        <v>5</v>
      </c>
      <c r="I1275" s="25" t="inlineStr">
        <is>
          <t>40 second(s)</t>
        </is>
      </c>
      <c r="J1275" s="25">
        <f>IFERROR(VALUE(TRIM(LEFT(I1275,FIND("minute",I1275)-1)))*60,0)+IFERROR(VALUE(SUBSTITUTE(MID(I1275,IFERROR(FIND("and",I1275)+3,1),20),"second(s)","")),0)</f>
        <v/>
      </c>
      <c r="K1275" s="41">
        <f>J1275/60</f>
        <v/>
      </c>
      <c r="L1275" s="41">
        <f>IFERROR(J1275/H1275,"")</f>
        <v/>
      </c>
      <c r="M1275" s="25" t="inlineStr">
        <is>
          <t>2.5.12</t>
        </is>
      </c>
      <c r="N1275" s="25">
        <f>IF(J1275&gt;300,1,0)</f>
        <v/>
      </c>
      <c r="O1275" s="25">
        <f>IF(J1275&gt;600,1,0)</f>
        <v/>
      </c>
      <c r="P1275" s="25">
        <f>IF(H1275&gt;0,J1275,"")</f>
        <v/>
      </c>
      <c r="Q1275" s="25">
        <f>TEXT(A1275,"YYYY-MM-DD HH")</f>
        <v/>
      </c>
      <c r="R1275" s="25">
        <f>COUNTIF($Q$2:$Q$5295,Q1275)</f>
        <v/>
      </c>
      <c r="S1275" s="25">
        <f>IF(R1275&lt;=2,"1-2",IF(R1275&lt;=5,"3-5",IF(R1275&lt;=10,"6-10","11+")))</f>
        <v/>
      </c>
    </row>
    <row r="1276">
      <c r="A1276" s="39" t="n">
        <v>46167.14195601852</v>
      </c>
      <c r="B1276" s="25">
        <f>TEXT(A1276,"YYYY-MM")</f>
        <v/>
      </c>
      <c r="C1276" s="25">
        <f>TEXT(A1276,"MMM-YYYY")</f>
        <v/>
      </c>
      <c r="D1276" s="40">
        <f>INT(A1276)-WEEKDAY(A1276,2)+1</f>
        <v/>
      </c>
      <c r="E1276" s="25" t="inlineStr">
        <is>
          <t>mgupta</t>
        </is>
      </c>
      <c r="F1276" s="25" t="n">
        <v>89567</v>
      </c>
      <c r="G1276" s="25" t="n">
        <v>2</v>
      </c>
      <c r="H1276" s="25" t="n">
        <v>10</v>
      </c>
      <c r="I1276" s="25" t="inlineStr">
        <is>
          <t>2 minute(s) and 17 second(s)</t>
        </is>
      </c>
      <c r="J1276" s="25">
        <f>IFERROR(VALUE(TRIM(LEFT(I1276,FIND("minute",I1276)-1)))*60,0)+IFERROR(VALUE(SUBSTITUTE(MID(I1276,IFERROR(FIND("and",I1276)+3,1),20),"second(s)","")),0)</f>
        <v/>
      </c>
      <c r="K1276" s="41">
        <f>J1276/60</f>
        <v/>
      </c>
      <c r="L1276" s="41">
        <f>IFERROR(J1276/H1276,"")</f>
        <v/>
      </c>
      <c r="M1276" s="25" t="inlineStr">
        <is>
          <t>2.5.12</t>
        </is>
      </c>
      <c r="N1276" s="25">
        <f>IF(J1276&gt;300,1,0)</f>
        <v/>
      </c>
      <c r="O1276" s="25">
        <f>IF(J1276&gt;600,1,0)</f>
        <v/>
      </c>
      <c r="P1276" s="25">
        <f>IF(H1276&gt;0,J1276,"")</f>
        <v/>
      </c>
      <c r="Q1276" s="25">
        <f>TEXT(A1276,"YYYY-MM-DD HH")</f>
        <v/>
      </c>
      <c r="R1276" s="25">
        <f>COUNTIF($Q$2:$Q$5295,Q1276)</f>
        <v/>
      </c>
      <c r="S1276" s="25">
        <f>IF(R1276&lt;=2,"1-2",IF(R1276&lt;=5,"3-5",IF(R1276&lt;=10,"6-10","11+")))</f>
        <v/>
      </c>
    </row>
    <row r="1277">
      <c r="A1277" s="39" t="n">
        <v>46167.14445601852</v>
      </c>
      <c r="B1277" s="25">
        <f>TEXT(A1277,"YYYY-MM")</f>
        <v/>
      </c>
      <c r="C1277" s="25">
        <f>TEXT(A1277,"MMM-YYYY")</f>
        <v/>
      </c>
      <c r="D1277" s="40">
        <f>INT(A1277)-WEEKDAY(A1277,2)+1</f>
        <v/>
      </c>
      <c r="E1277" s="25" t="inlineStr">
        <is>
          <t>pgautam</t>
        </is>
      </c>
      <c r="F1277" s="25" t="n">
        <v>108772</v>
      </c>
      <c r="G1277" s="25" t="n">
        <v>3</v>
      </c>
      <c r="H1277" s="25" t="n">
        <v>21</v>
      </c>
      <c r="I1277" s="25" t="inlineStr">
        <is>
          <t>4 minute(s) and 32 second(s)</t>
        </is>
      </c>
      <c r="J1277" s="25">
        <f>IFERROR(VALUE(TRIM(LEFT(I1277,FIND("minute",I1277)-1)))*60,0)+IFERROR(VALUE(SUBSTITUTE(MID(I1277,IFERROR(FIND("and",I1277)+3,1),20),"second(s)","")),0)</f>
        <v/>
      </c>
      <c r="K1277" s="41">
        <f>J1277/60</f>
        <v/>
      </c>
      <c r="L1277" s="41">
        <f>IFERROR(J1277/H1277,"")</f>
        <v/>
      </c>
      <c r="M1277" s="25" t="inlineStr">
        <is>
          <t>2.5.12</t>
        </is>
      </c>
      <c r="N1277" s="25">
        <f>IF(J1277&gt;300,1,0)</f>
        <v/>
      </c>
      <c r="O1277" s="25">
        <f>IF(J1277&gt;600,1,0)</f>
        <v/>
      </c>
      <c r="P1277" s="25">
        <f>IF(H1277&gt;0,J1277,"")</f>
        <v/>
      </c>
      <c r="Q1277" s="25">
        <f>TEXT(A1277,"YYYY-MM-DD HH")</f>
        <v/>
      </c>
      <c r="R1277" s="25">
        <f>COUNTIF($Q$2:$Q$5295,Q1277)</f>
        <v/>
      </c>
      <c r="S1277" s="25">
        <f>IF(R1277&lt;=2,"1-2",IF(R1277&lt;=5,"3-5",IF(R1277&lt;=10,"6-10","11+")))</f>
        <v/>
      </c>
    </row>
    <row r="1278">
      <c r="A1278" s="39" t="n">
        <v>46167.14737268518</v>
      </c>
      <c r="B1278" s="25">
        <f>TEXT(A1278,"YYYY-MM")</f>
        <v/>
      </c>
      <c r="C1278" s="25">
        <f>TEXT(A1278,"MMM-YYYY")</f>
        <v/>
      </c>
      <c r="D1278" s="40">
        <f>INT(A1278)-WEEKDAY(A1278,2)+1</f>
        <v/>
      </c>
      <c r="E1278" s="25" t="inlineStr">
        <is>
          <t>nlnu</t>
        </is>
      </c>
      <c r="F1278" s="25" t="n">
        <v>3555</v>
      </c>
      <c r="G1278" s="25" t="n">
        <v>1</v>
      </c>
      <c r="H1278" s="25" t="n">
        <v>5</v>
      </c>
      <c r="I1278" s="25" t="inlineStr">
        <is>
          <t>59 second(s)</t>
        </is>
      </c>
      <c r="J1278" s="25">
        <f>IFERROR(VALUE(TRIM(LEFT(I1278,FIND("minute",I1278)-1)))*60,0)+IFERROR(VALUE(SUBSTITUTE(MID(I1278,IFERROR(FIND("and",I1278)+3,1),20),"second(s)","")),0)</f>
        <v/>
      </c>
      <c r="K1278" s="41">
        <f>J1278/60</f>
        <v/>
      </c>
      <c r="L1278" s="41">
        <f>IFERROR(J1278/H1278,"")</f>
        <v/>
      </c>
      <c r="M1278" s="25" t="inlineStr">
        <is>
          <t>2.5.12</t>
        </is>
      </c>
      <c r="N1278" s="25">
        <f>IF(J1278&gt;300,1,0)</f>
        <v/>
      </c>
      <c r="O1278" s="25">
        <f>IF(J1278&gt;600,1,0)</f>
        <v/>
      </c>
      <c r="P1278" s="25">
        <f>IF(H1278&gt;0,J1278,"")</f>
        <v/>
      </c>
      <c r="Q1278" s="25">
        <f>TEXT(A1278,"YYYY-MM-DD HH")</f>
        <v/>
      </c>
      <c r="R1278" s="25">
        <f>COUNTIF($Q$2:$Q$5295,Q1278)</f>
        <v/>
      </c>
      <c r="S1278" s="25">
        <f>IF(R1278&lt;=2,"1-2",IF(R1278&lt;=5,"3-5",IF(R1278&lt;=10,"6-10","11+")))</f>
        <v/>
      </c>
    </row>
    <row r="1279">
      <c r="A1279" s="39" t="n">
        <v>46167.14892361111</v>
      </c>
      <c r="B1279" s="25">
        <f>TEXT(A1279,"YYYY-MM")</f>
        <v/>
      </c>
      <c r="C1279" s="25">
        <f>TEXT(A1279,"MMM-YYYY")</f>
        <v/>
      </c>
      <c r="D1279" s="40">
        <f>INT(A1279)-WEEKDAY(A1279,2)+1</f>
        <v/>
      </c>
      <c r="E1279" s="25" t="inlineStr">
        <is>
          <t>csaha</t>
        </is>
      </c>
      <c r="F1279" s="25" t="n">
        <v>4416</v>
      </c>
      <c r="G1279" s="25" t="n">
        <v>1</v>
      </c>
      <c r="H1279" s="25" t="n">
        <v>7</v>
      </c>
      <c r="I1279" s="25" t="inlineStr">
        <is>
          <t>2 minute(s) and 55 second(s)</t>
        </is>
      </c>
      <c r="J1279" s="25">
        <f>IFERROR(VALUE(TRIM(LEFT(I1279,FIND("minute",I1279)-1)))*60,0)+IFERROR(VALUE(SUBSTITUTE(MID(I1279,IFERROR(FIND("and",I1279)+3,1),20),"second(s)","")),0)</f>
        <v/>
      </c>
      <c r="K1279" s="41">
        <f>J1279/60</f>
        <v/>
      </c>
      <c r="L1279" s="41">
        <f>IFERROR(J1279/H1279,"")</f>
        <v/>
      </c>
      <c r="M1279" s="25" t="inlineStr">
        <is>
          <t>2.5.12</t>
        </is>
      </c>
      <c r="N1279" s="25">
        <f>IF(J1279&gt;300,1,0)</f>
        <v/>
      </c>
      <c r="O1279" s="25">
        <f>IF(J1279&gt;600,1,0)</f>
        <v/>
      </c>
      <c r="P1279" s="25">
        <f>IF(H1279&gt;0,J1279,"")</f>
        <v/>
      </c>
      <c r="Q1279" s="25">
        <f>TEXT(A1279,"YYYY-MM-DD HH")</f>
        <v/>
      </c>
      <c r="R1279" s="25">
        <f>COUNTIF($Q$2:$Q$5295,Q1279)</f>
        <v/>
      </c>
      <c r="S1279" s="25">
        <f>IF(R1279&lt;=2,"1-2",IF(R1279&lt;=5,"3-5",IF(R1279&lt;=10,"6-10","11+")))</f>
        <v/>
      </c>
    </row>
    <row r="1280">
      <c r="A1280" s="39" t="n">
        <v>46167.15622685185</v>
      </c>
      <c r="B1280" s="25">
        <f>TEXT(A1280,"YYYY-MM")</f>
        <v/>
      </c>
      <c r="C1280" s="25">
        <f>TEXT(A1280,"MMM-YYYY")</f>
        <v/>
      </c>
      <c r="D1280" s="40">
        <f>INT(A1280)-WEEKDAY(A1280,2)+1</f>
        <v/>
      </c>
      <c r="E1280" s="25" t="inlineStr">
        <is>
          <t>psathwika</t>
        </is>
      </c>
      <c r="F1280" s="25" t="n">
        <v>104091</v>
      </c>
      <c r="G1280" s="25" t="n">
        <v>1</v>
      </c>
      <c r="H1280" s="25" t="n">
        <v>5</v>
      </c>
      <c r="I1280" s="25" t="inlineStr">
        <is>
          <t>2 minute(s) and 42 second(s)</t>
        </is>
      </c>
      <c r="J1280" s="25">
        <f>IFERROR(VALUE(TRIM(LEFT(I1280,FIND("minute",I1280)-1)))*60,0)+IFERROR(VALUE(SUBSTITUTE(MID(I1280,IFERROR(FIND("and",I1280)+3,1),20),"second(s)","")),0)</f>
        <v/>
      </c>
      <c r="K1280" s="41">
        <f>J1280/60</f>
        <v/>
      </c>
      <c r="L1280" s="41">
        <f>IFERROR(J1280/H1280,"")</f>
        <v/>
      </c>
      <c r="M1280" s="25" t="inlineStr">
        <is>
          <t>2.5.12</t>
        </is>
      </c>
      <c r="N1280" s="25">
        <f>IF(J1280&gt;300,1,0)</f>
        <v/>
      </c>
      <c r="O1280" s="25">
        <f>IF(J1280&gt;600,1,0)</f>
        <v/>
      </c>
      <c r="P1280" s="25">
        <f>IF(H1280&gt;0,J1280,"")</f>
        <v/>
      </c>
      <c r="Q1280" s="25">
        <f>TEXT(A1280,"YYYY-MM-DD HH")</f>
        <v/>
      </c>
      <c r="R1280" s="25">
        <f>COUNTIF($Q$2:$Q$5295,Q1280)</f>
        <v/>
      </c>
      <c r="S1280" s="25">
        <f>IF(R1280&lt;=2,"1-2",IF(R1280&lt;=5,"3-5",IF(R1280&lt;=10,"6-10","11+")))</f>
        <v/>
      </c>
    </row>
    <row r="1281">
      <c r="A1281" s="39" t="n">
        <v>46167.15743055556</v>
      </c>
      <c r="B1281" s="25">
        <f>TEXT(A1281,"YYYY-MM")</f>
        <v/>
      </c>
      <c r="C1281" s="25">
        <f>TEXT(A1281,"MMM-YYYY")</f>
        <v/>
      </c>
      <c r="D1281" s="40">
        <f>INT(A1281)-WEEKDAY(A1281,2)+1</f>
        <v/>
      </c>
      <c r="E1281" s="25" t="inlineStr">
        <is>
          <t>vraina</t>
        </is>
      </c>
      <c r="F1281" s="25" t="n">
        <v>3927</v>
      </c>
      <c r="G1281" s="25" t="n">
        <v>3</v>
      </c>
      <c r="H1281" s="25" t="n">
        <v>11</v>
      </c>
      <c r="I1281" s="25" t="inlineStr">
        <is>
          <t>2 minute(s) and 15 second(s)</t>
        </is>
      </c>
      <c r="J1281" s="25">
        <f>IFERROR(VALUE(TRIM(LEFT(I1281,FIND("minute",I1281)-1)))*60,0)+IFERROR(VALUE(SUBSTITUTE(MID(I1281,IFERROR(FIND("and",I1281)+3,1),20),"second(s)","")),0)</f>
        <v/>
      </c>
      <c r="K1281" s="41">
        <f>J1281/60</f>
        <v/>
      </c>
      <c r="L1281" s="41">
        <f>IFERROR(J1281/H1281,"")</f>
        <v/>
      </c>
      <c r="M1281" s="25" t="inlineStr">
        <is>
          <t>2.5.12</t>
        </is>
      </c>
      <c r="N1281" s="25">
        <f>IF(J1281&gt;300,1,0)</f>
        <v/>
      </c>
      <c r="O1281" s="25">
        <f>IF(J1281&gt;600,1,0)</f>
        <v/>
      </c>
      <c r="P1281" s="25">
        <f>IF(H1281&gt;0,J1281,"")</f>
        <v/>
      </c>
      <c r="Q1281" s="25">
        <f>TEXT(A1281,"YYYY-MM-DD HH")</f>
        <v/>
      </c>
      <c r="R1281" s="25">
        <f>COUNTIF($Q$2:$Q$5295,Q1281)</f>
        <v/>
      </c>
      <c r="S1281" s="25">
        <f>IF(R1281&lt;=2,"1-2",IF(R1281&lt;=5,"3-5",IF(R1281&lt;=10,"6-10","11+")))</f>
        <v/>
      </c>
    </row>
    <row r="1282">
      <c r="A1282" s="39" t="n">
        <v>46167.15951388889</v>
      </c>
      <c r="B1282" s="25">
        <f>TEXT(A1282,"YYYY-MM")</f>
        <v/>
      </c>
      <c r="C1282" s="25">
        <f>TEXT(A1282,"MMM-YYYY")</f>
        <v/>
      </c>
      <c r="D1282" s="40">
        <f>INT(A1282)-WEEKDAY(A1282,2)+1</f>
        <v/>
      </c>
      <c r="E1282" s="25" t="inlineStr">
        <is>
          <t>ssrinivasan</t>
        </is>
      </c>
      <c r="F1282" s="25" t="n">
        <v>4310</v>
      </c>
      <c r="G1282" s="25" t="n">
        <v>1</v>
      </c>
      <c r="H1282" s="25" t="n">
        <v>5</v>
      </c>
      <c r="I1282" s="25" t="inlineStr">
        <is>
          <t>2 minute(s) and 20 second(s)</t>
        </is>
      </c>
      <c r="J1282" s="25">
        <f>IFERROR(VALUE(TRIM(LEFT(I1282,FIND("minute",I1282)-1)))*60,0)+IFERROR(VALUE(SUBSTITUTE(MID(I1282,IFERROR(FIND("and",I1282)+3,1),20),"second(s)","")),0)</f>
        <v/>
      </c>
      <c r="K1282" s="41">
        <f>J1282/60</f>
        <v/>
      </c>
      <c r="L1282" s="41">
        <f>IFERROR(J1282/H1282,"")</f>
        <v/>
      </c>
      <c r="M1282" s="25" t="inlineStr">
        <is>
          <t>2.5.12</t>
        </is>
      </c>
      <c r="N1282" s="25">
        <f>IF(J1282&gt;300,1,0)</f>
        <v/>
      </c>
      <c r="O1282" s="25">
        <f>IF(J1282&gt;600,1,0)</f>
        <v/>
      </c>
      <c r="P1282" s="25">
        <f>IF(H1282&gt;0,J1282,"")</f>
        <v/>
      </c>
      <c r="Q1282" s="25">
        <f>TEXT(A1282,"YYYY-MM-DD HH")</f>
        <v/>
      </c>
      <c r="R1282" s="25">
        <f>COUNTIF($Q$2:$Q$5295,Q1282)</f>
        <v/>
      </c>
      <c r="S1282" s="25">
        <f>IF(R1282&lt;=2,"1-2",IF(R1282&lt;=5,"3-5",IF(R1282&lt;=10,"6-10","11+")))</f>
        <v/>
      </c>
    </row>
    <row r="1283">
      <c r="A1283" s="39" t="n">
        <v>46167.16239583334</v>
      </c>
      <c r="B1283" s="25">
        <f>TEXT(A1283,"YYYY-MM")</f>
        <v/>
      </c>
      <c r="C1283" s="25">
        <f>TEXT(A1283,"MMM-YYYY")</f>
        <v/>
      </c>
      <c r="D1283" s="40">
        <f>INT(A1283)-WEEKDAY(A1283,2)+1</f>
        <v/>
      </c>
      <c r="E1283" s="25" t="inlineStr">
        <is>
          <t>anusharma</t>
        </is>
      </c>
      <c r="F1283" s="25" t="n">
        <v>3212</v>
      </c>
      <c r="G1283" s="25" t="n">
        <v>1</v>
      </c>
      <c r="H1283" s="25" t="n">
        <v>5</v>
      </c>
      <c r="I1283" s="25" t="inlineStr">
        <is>
          <t>2 minute(s) and 25 second(s)</t>
        </is>
      </c>
      <c r="J1283" s="25">
        <f>IFERROR(VALUE(TRIM(LEFT(I1283,FIND("minute",I1283)-1)))*60,0)+IFERROR(VALUE(SUBSTITUTE(MID(I1283,IFERROR(FIND("and",I1283)+3,1),20),"second(s)","")),0)</f>
        <v/>
      </c>
      <c r="K1283" s="41">
        <f>J1283/60</f>
        <v/>
      </c>
      <c r="L1283" s="41">
        <f>IFERROR(J1283/H1283,"")</f>
        <v/>
      </c>
      <c r="M1283" s="25" t="inlineStr">
        <is>
          <t>2.5.12</t>
        </is>
      </c>
      <c r="N1283" s="25">
        <f>IF(J1283&gt;300,1,0)</f>
        <v/>
      </c>
      <c r="O1283" s="25">
        <f>IF(J1283&gt;600,1,0)</f>
        <v/>
      </c>
      <c r="P1283" s="25">
        <f>IF(H1283&gt;0,J1283,"")</f>
        <v/>
      </c>
      <c r="Q1283" s="25">
        <f>TEXT(A1283,"YYYY-MM-DD HH")</f>
        <v/>
      </c>
      <c r="R1283" s="25">
        <f>COUNTIF($Q$2:$Q$5295,Q1283)</f>
        <v/>
      </c>
      <c r="S1283" s="25">
        <f>IF(R1283&lt;=2,"1-2",IF(R1283&lt;=5,"3-5",IF(R1283&lt;=10,"6-10","11+")))</f>
        <v/>
      </c>
    </row>
    <row r="1284">
      <c r="A1284" s="39" t="n">
        <v>46167.16414351852</v>
      </c>
      <c r="B1284" s="25">
        <f>TEXT(A1284,"YYYY-MM")</f>
        <v/>
      </c>
      <c r="C1284" s="25">
        <f>TEXT(A1284,"MMM-YYYY")</f>
        <v/>
      </c>
      <c r="D1284" s="40">
        <f>INT(A1284)-WEEKDAY(A1284,2)+1</f>
        <v/>
      </c>
      <c r="E1284" s="25" t="inlineStr">
        <is>
          <t>nlnu</t>
        </is>
      </c>
      <c r="F1284" s="25" t="n">
        <v>3556</v>
      </c>
      <c r="G1284" s="25" t="n">
        <v>1</v>
      </c>
      <c r="H1284" s="25" t="n">
        <v>5</v>
      </c>
      <c r="I1284" s="25" t="inlineStr">
        <is>
          <t>2 minute(s) and 18 second(s)</t>
        </is>
      </c>
      <c r="J1284" s="25">
        <f>IFERROR(VALUE(TRIM(LEFT(I1284,FIND("minute",I1284)-1)))*60,0)+IFERROR(VALUE(SUBSTITUTE(MID(I1284,IFERROR(FIND("and",I1284)+3,1),20),"second(s)","")),0)</f>
        <v/>
      </c>
      <c r="K1284" s="41">
        <f>J1284/60</f>
        <v/>
      </c>
      <c r="L1284" s="41">
        <f>IFERROR(J1284/H1284,"")</f>
        <v/>
      </c>
      <c r="M1284" s="25" t="inlineStr">
        <is>
          <t>2.5.12</t>
        </is>
      </c>
      <c r="N1284" s="25">
        <f>IF(J1284&gt;300,1,0)</f>
        <v/>
      </c>
      <c r="O1284" s="25">
        <f>IF(J1284&gt;600,1,0)</f>
        <v/>
      </c>
      <c r="P1284" s="25">
        <f>IF(H1284&gt;0,J1284,"")</f>
        <v/>
      </c>
      <c r="Q1284" s="25">
        <f>TEXT(A1284,"YYYY-MM-DD HH")</f>
        <v/>
      </c>
      <c r="R1284" s="25">
        <f>COUNTIF($Q$2:$Q$5295,Q1284)</f>
        <v/>
      </c>
      <c r="S1284" s="25">
        <f>IF(R1284&lt;=2,"1-2",IF(R1284&lt;=5,"3-5",IF(R1284&lt;=10,"6-10","11+")))</f>
        <v/>
      </c>
    </row>
    <row r="1285">
      <c r="A1285" s="39" t="n">
        <v>46167.16457175926</v>
      </c>
      <c r="B1285" s="25">
        <f>TEXT(A1285,"YYYY-MM")</f>
        <v/>
      </c>
      <c r="C1285" s="25">
        <f>TEXT(A1285,"MMM-YYYY")</f>
        <v/>
      </c>
      <c r="D1285" s="40">
        <f>INT(A1285)-WEEKDAY(A1285,2)+1</f>
        <v/>
      </c>
      <c r="E1285" s="25" t="inlineStr">
        <is>
          <t>asaxena</t>
        </is>
      </c>
      <c r="F1285" s="25" t="n">
        <v>89842</v>
      </c>
      <c r="G1285" s="25" t="n">
        <v>1</v>
      </c>
      <c r="H1285" s="25" t="n">
        <v>5</v>
      </c>
      <c r="I1285" s="25" t="inlineStr">
        <is>
          <t>55 second(s)</t>
        </is>
      </c>
      <c r="J1285" s="25">
        <f>IFERROR(VALUE(TRIM(LEFT(I1285,FIND("minute",I1285)-1)))*60,0)+IFERROR(VALUE(SUBSTITUTE(MID(I1285,IFERROR(FIND("and",I1285)+3,1),20),"second(s)","")),0)</f>
        <v/>
      </c>
      <c r="K1285" s="41">
        <f>J1285/60</f>
        <v/>
      </c>
      <c r="L1285" s="41">
        <f>IFERROR(J1285/H1285,"")</f>
        <v/>
      </c>
      <c r="M1285" s="25" t="inlineStr">
        <is>
          <t>2.5.12</t>
        </is>
      </c>
      <c r="N1285" s="25">
        <f>IF(J1285&gt;300,1,0)</f>
        <v/>
      </c>
      <c r="O1285" s="25">
        <f>IF(J1285&gt;600,1,0)</f>
        <v/>
      </c>
      <c r="P1285" s="25">
        <f>IF(H1285&gt;0,J1285,"")</f>
        <v/>
      </c>
      <c r="Q1285" s="25">
        <f>TEXT(A1285,"YYYY-MM-DD HH")</f>
        <v/>
      </c>
      <c r="R1285" s="25">
        <f>COUNTIF($Q$2:$Q$5295,Q1285)</f>
        <v/>
      </c>
      <c r="S1285" s="25">
        <f>IF(R1285&lt;=2,"1-2",IF(R1285&lt;=5,"3-5",IF(R1285&lt;=10,"6-10","11+")))</f>
        <v/>
      </c>
    </row>
    <row r="1286">
      <c r="A1286" s="39" t="n">
        <v>46167.16774305556</v>
      </c>
      <c r="B1286" s="25">
        <f>TEXT(A1286,"YYYY-MM")</f>
        <v/>
      </c>
      <c r="C1286" s="25">
        <f>TEXT(A1286,"MMM-YYYY")</f>
        <v/>
      </c>
      <c r="D1286" s="40">
        <f>INT(A1286)-WEEKDAY(A1286,2)+1</f>
        <v/>
      </c>
      <c r="E1286" s="25" t="inlineStr">
        <is>
          <t>hsindwani</t>
        </is>
      </c>
      <c r="F1286" s="25" t="n">
        <v>4277</v>
      </c>
      <c r="G1286" s="25" t="n">
        <v>1</v>
      </c>
      <c r="H1286" s="25" t="n">
        <v>5</v>
      </c>
      <c r="I1286" s="25" t="inlineStr">
        <is>
          <t>1 minute(s) and 13 second(s)</t>
        </is>
      </c>
      <c r="J1286" s="25">
        <f>IFERROR(VALUE(TRIM(LEFT(I1286,FIND("minute",I1286)-1)))*60,0)+IFERROR(VALUE(SUBSTITUTE(MID(I1286,IFERROR(FIND("and",I1286)+3,1),20),"second(s)","")),0)</f>
        <v/>
      </c>
      <c r="K1286" s="41">
        <f>J1286/60</f>
        <v/>
      </c>
      <c r="L1286" s="41">
        <f>IFERROR(J1286/H1286,"")</f>
        <v/>
      </c>
      <c r="M1286" s="25" t="inlineStr">
        <is>
          <t>2.5.12</t>
        </is>
      </c>
      <c r="N1286" s="25">
        <f>IF(J1286&gt;300,1,0)</f>
        <v/>
      </c>
      <c r="O1286" s="25">
        <f>IF(J1286&gt;600,1,0)</f>
        <v/>
      </c>
      <c r="P1286" s="25">
        <f>IF(H1286&gt;0,J1286,"")</f>
        <v/>
      </c>
      <c r="Q1286" s="25">
        <f>TEXT(A1286,"YYYY-MM-DD HH")</f>
        <v/>
      </c>
      <c r="R1286" s="25">
        <f>COUNTIF($Q$2:$Q$5295,Q1286)</f>
        <v/>
      </c>
      <c r="S1286" s="25">
        <f>IF(R1286&lt;=2,"1-2",IF(R1286&lt;=5,"3-5",IF(R1286&lt;=10,"6-10","11+")))</f>
        <v/>
      </c>
    </row>
    <row r="1287">
      <c r="A1287" s="39" t="n">
        <v>46167.16887731481</v>
      </c>
      <c r="B1287" s="25">
        <f>TEXT(A1287,"YYYY-MM")</f>
        <v/>
      </c>
      <c r="C1287" s="25">
        <f>TEXT(A1287,"MMM-YYYY")</f>
        <v/>
      </c>
      <c r="D1287" s="40">
        <f>INT(A1287)-WEEKDAY(A1287,2)+1</f>
        <v/>
      </c>
      <c r="E1287" s="25" t="inlineStr">
        <is>
          <t>pmishra</t>
        </is>
      </c>
      <c r="F1287" s="25" t="n">
        <v>4215</v>
      </c>
      <c r="G1287" s="25" t="n">
        <v>1</v>
      </c>
      <c r="H1287" s="25" t="n">
        <v>7</v>
      </c>
      <c r="I1287" s="25" t="inlineStr">
        <is>
          <t>4 minute(s) and 31 second(s)</t>
        </is>
      </c>
      <c r="J1287" s="25">
        <f>IFERROR(VALUE(TRIM(LEFT(I1287,FIND("minute",I1287)-1)))*60,0)+IFERROR(VALUE(SUBSTITUTE(MID(I1287,IFERROR(FIND("and",I1287)+3,1),20),"second(s)","")),0)</f>
        <v/>
      </c>
      <c r="K1287" s="41">
        <f>J1287/60</f>
        <v/>
      </c>
      <c r="L1287" s="41">
        <f>IFERROR(J1287/H1287,"")</f>
        <v/>
      </c>
      <c r="M1287" s="25" t="inlineStr">
        <is>
          <t>2.5.12</t>
        </is>
      </c>
      <c r="N1287" s="25">
        <f>IF(J1287&gt;300,1,0)</f>
        <v/>
      </c>
      <c r="O1287" s="25">
        <f>IF(J1287&gt;600,1,0)</f>
        <v/>
      </c>
      <c r="P1287" s="25">
        <f>IF(H1287&gt;0,J1287,"")</f>
        <v/>
      </c>
      <c r="Q1287" s="25">
        <f>TEXT(A1287,"YYYY-MM-DD HH")</f>
        <v/>
      </c>
      <c r="R1287" s="25">
        <f>COUNTIF($Q$2:$Q$5295,Q1287)</f>
        <v/>
      </c>
      <c r="S1287" s="25">
        <f>IF(R1287&lt;=2,"1-2",IF(R1287&lt;=5,"3-5",IF(R1287&lt;=10,"6-10","11+")))</f>
        <v/>
      </c>
    </row>
    <row r="1288">
      <c r="A1288" s="39" t="n">
        <v>46167.17119212963</v>
      </c>
      <c r="B1288" s="25">
        <f>TEXT(A1288,"YYYY-MM")</f>
        <v/>
      </c>
      <c r="C1288" s="25">
        <f>TEXT(A1288,"MMM-YYYY")</f>
        <v/>
      </c>
      <c r="D1288" s="40">
        <f>INT(A1288)-WEEKDAY(A1288,2)+1</f>
        <v/>
      </c>
      <c r="E1288" s="25" t="inlineStr">
        <is>
          <t>sdey</t>
        </is>
      </c>
      <c r="F1288" s="25" t="n">
        <v>4261</v>
      </c>
      <c r="G1288" s="25" t="n">
        <v>1</v>
      </c>
      <c r="H1288" s="25" t="n">
        <v>7</v>
      </c>
      <c r="I1288" s="25" t="inlineStr">
        <is>
          <t>2 minute(s) and 52 second(s)</t>
        </is>
      </c>
      <c r="J1288" s="25">
        <f>IFERROR(VALUE(TRIM(LEFT(I1288,FIND("minute",I1288)-1)))*60,0)+IFERROR(VALUE(SUBSTITUTE(MID(I1288,IFERROR(FIND("and",I1288)+3,1),20),"second(s)","")),0)</f>
        <v/>
      </c>
      <c r="K1288" s="41">
        <f>J1288/60</f>
        <v/>
      </c>
      <c r="L1288" s="41">
        <f>IFERROR(J1288/H1288,"")</f>
        <v/>
      </c>
      <c r="M1288" s="25" t="inlineStr">
        <is>
          <t>2.5.12</t>
        </is>
      </c>
      <c r="N1288" s="25">
        <f>IF(J1288&gt;300,1,0)</f>
        <v/>
      </c>
      <c r="O1288" s="25">
        <f>IF(J1288&gt;600,1,0)</f>
        <v/>
      </c>
      <c r="P1288" s="25">
        <f>IF(H1288&gt;0,J1288,"")</f>
        <v/>
      </c>
      <c r="Q1288" s="25">
        <f>TEXT(A1288,"YYYY-MM-DD HH")</f>
        <v/>
      </c>
      <c r="R1288" s="25">
        <f>COUNTIF($Q$2:$Q$5295,Q1288)</f>
        <v/>
      </c>
      <c r="S1288" s="25">
        <f>IF(R1288&lt;=2,"1-2",IF(R1288&lt;=5,"3-5",IF(R1288&lt;=10,"6-10","11+")))</f>
        <v/>
      </c>
    </row>
    <row r="1289">
      <c r="A1289" s="39" t="n">
        <v>46167.17622685185</v>
      </c>
      <c r="B1289" s="25">
        <f>TEXT(A1289,"YYYY-MM")</f>
        <v/>
      </c>
      <c r="C1289" s="25">
        <f>TEXT(A1289,"MMM-YYYY")</f>
        <v/>
      </c>
      <c r="D1289" s="40">
        <f>INT(A1289)-WEEKDAY(A1289,2)+1</f>
        <v/>
      </c>
      <c r="E1289" s="25" t="inlineStr">
        <is>
          <t>arsarkar</t>
        </is>
      </c>
      <c r="F1289" s="25" t="n">
        <v>4964</v>
      </c>
      <c r="G1289" s="25" t="n">
        <v>1</v>
      </c>
      <c r="H1289" s="25" t="n">
        <v>7</v>
      </c>
      <c r="I1289" s="25" t="inlineStr">
        <is>
          <t>2 minute(s) and 56 second(s)</t>
        </is>
      </c>
      <c r="J1289" s="25">
        <f>IFERROR(VALUE(TRIM(LEFT(I1289,FIND("minute",I1289)-1)))*60,0)+IFERROR(VALUE(SUBSTITUTE(MID(I1289,IFERROR(FIND("and",I1289)+3,1),20),"second(s)","")),0)</f>
        <v/>
      </c>
      <c r="K1289" s="41">
        <f>J1289/60</f>
        <v/>
      </c>
      <c r="L1289" s="41">
        <f>IFERROR(J1289/H1289,"")</f>
        <v/>
      </c>
      <c r="M1289" s="25" t="inlineStr">
        <is>
          <t>2.5.12</t>
        </is>
      </c>
      <c r="N1289" s="25">
        <f>IF(J1289&gt;300,1,0)</f>
        <v/>
      </c>
      <c r="O1289" s="25">
        <f>IF(J1289&gt;600,1,0)</f>
        <v/>
      </c>
      <c r="P1289" s="25">
        <f>IF(H1289&gt;0,J1289,"")</f>
        <v/>
      </c>
      <c r="Q1289" s="25">
        <f>TEXT(A1289,"YYYY-MM-DD HH")</f>
        <v/>
      </c>
      <c r="R1289" s="25">
        <f>COUNTIF($Q$2:$Q$5295,Q1289)</f>
        <v/>
      </c>
      <c r="S1289" s="25">
        <f>IF(R1289&lt;=2,"1-2",IF(R1289&lt;=5,"3-5",IF(R1289&lt;=10,"6-10","11+")))</f>
        <v/>
      </c>
    </row>
    <row r="1290">
      <c r="A1290" s="39" t="n">
        <v>46167.17719907407</v>
      </c>
      <c r="B1290" s="25">
        <f>TEXT(A1290,"YYYY-MM")</f>
        <v/>
      </c>
      <c r="C1290" s="25">
        <f>TEXT(A1290,"MMM-YYYY")</f>
        <v/>
      </c>
      <c r="D1290" s="40">
        <f>INT(A1290)-WEEKDAY(A1290,2)+1</f>
        <v/>
      </c>
      <c r="E1290" s="25" t="inlineStr">
        <is>
          <t>smukhopadhyay</t>
        </is>
      </c>
      <c r="F1290" s="25" t="n">
        <v>5031</v>
      </c>
      <c r="G1290" s="25" t="n">
        <v>1</v>
      </c>
      <c r="H1290" s="25" t="n">
        <v>7</v>
      </c>
      <c r="I1290" s="25" t="inlineStr">
        <is>
          <t>1 minute(s) and 22 second(s)</t>
        </is>
      </c>
      <c r="J1290" s="25">
        <f>IFERROR(VALUE(TRIM(LEFT(I1290,FIND("minute",I1290)-1)))*60,0)+IFERROR(VALUE(SUBSTITUTE(MID(I1290,IFERROR(FIND("and",I1290)+3,1),20),"second(s)","")),0)</f>
        <v/>
      </c>
      <c r="K1290" s="41">
        <f>J1290/60</f>
        <v/>
      </c>
      <c r="L1290" s="41">
        <f>IFERROR(J1290/H1290,"")</f>
        <v/>
      </c>
      <c r="M1290" s="25" t="inlineStr">
        <is>
          <t>2.5.12</t>
        </is>
      </c>
      <c r="N1290" s="25">
        <f>IF(J1290&gt;300,1,0)</f>
        <v/>
      </c>
      <c r="O1290" s="25">
        <f>IF(J1290&gt;600,1,0)</f>
        <v/>
      </c>
      <c r="P1290" s="25">
        <f>IF(H1290&gt;0,J1290,"")</f>
        <v/>
      </c>
      <c r="Q1290" s="25">
        <f>TEXT(A1290,"YYYY-MM-DD HH")</f>
        <v/>
      </c>
      <c r="R1290" s="25">
        <f>COUNTIF($Q$2:$Q$5295,Q1290)</f>
        <v/>
      </c>
      <c r="S1290" s="25">
        <f>IF(R1290&lt;=2,"1-2",IF(R1290&lt;=5,"3-5",IF(R1290&lt;=10,"6-10","11+")))</f>
        <v/>
      </c>
    </row>
    <row r="1291">
      <c r="A1291" s="39" t="n">
        <v>46167.17850694444</v>
      </c>
      <c r="B1291" s="25">
        <f>TEXT(A1291,"YYYY-MM")</f>
        <v/>
      </c>
      <c r="C1291" s="25">
        <f>TEXT(A1291,"MMM-YYYY")</f>
        <v/>
      </c>
      <c r="D1291" s="40">
        <f>INT(A1291)-WEEKDAY(A1291,2)+1</f>
        <v/>
      </c>
      <c r="E1291" s="25" t="inlineStr">
        <is>
          <t>vprasad</t>
        </is>
      </c>
      <c r="F1291" s="25" t="n">
        <v>86274</v>
      </c>
      <c r="G1291" s="25" t="n">
        <v>4</v>
      </c>
      <c r="H1291" s="25" t="n">
        <v>14</v>
      </c>
      <c r="I1291" s="25" t="inlineStr">
        <is>
          <t>2 minute(s) and 25 second(s)</t>
        </is>
      </c>
      <c r="J1291" s="25">
        <f>IFERROR(VALUE(TRIM(LEFT(I1291,FIND("minute",I1291)-1)))*60,0)+IFERROR(VALUE(SUBSTITUTE(MID(I1291,IFERROR(FIND("and",I1291)+3,1),20),"second(s)","")),0)</f>
        <v/>
      </c>
      <c r="K1291" s="41">
        <f>J1291/60</f>
        <v/>
      </c>
      <c r="L1291" s="41">
        <f>IFERROR(J1291/H1291,"")</f>
        <v/>
      </c>
      <c r="M1291" s="25" t="inlineStr">
        <is>
          <t>2.5.12</t>
        </is>
      </c>
      <c r="N1291" s="25">
        <f>IF(J1291&gt;300,1,0)</f>
        <v/>
      </c>
      <c r="O1291" s="25">
        <f>IF(J1291&gt;600,1,0)</f>
        <v/>
      </c>
      <c r="P1291" s="25">
        <f>IF(H1291&gt;0,J1291,"")</f>
        <v/>
      </c>
      <c r="Q1291" s="25">
        <f>TEXT(A1291,"YYYY-MM-DD HH")</f>
        <v/>
      </c>
      <c r="R1291" s="25">
        <f>COUNTIF($Q$2:$Q$5295,Q1291)</f>
        <v/>
      </c>
      <c r="S1291" s="25">
        <f>IF(R1291&lt;=2,"1-2",IF(R1291&lt;=5,"3-5",IF(R1291&lt;=10,"6-10","11+")))</f>
        <v/>
      </c>
    </row>
    <row r="1292">
      <c r="A1292" s="39" t="n">
        <v>46167.18216435185</v>
      </c>
      <c r="B1292" s="25">
        <f>TEXT(A1292,"YYYY-MM")</f>
        <v/>
      </c>
      <c r="C1292" s="25">
        <f>TEXT(A1292,"MMM-YYYY")</f>
        <v/>
      </c>
      <c r="D1292" s="40">
        <f>INT(A1292)-WEEKDAY(A1292,2)+1</f>
        <v/>
      </c>
      <c r="E1292" s="25" t="inlineStr">
        <is>
          <t>npriya</t>
        </is>
      </c>
      <c r="F1292" s="25" t="n">
        <v>4937</v>
      </c>
      <c r="G1292" s="25" t="n">
        <v>1</v>
      </c>
      <c r="H1292" s="25" t="n">
        <v>7</v>
      </c>
      <c r="I1292" s="25" t="inlineStr">
        <is>
          <t>1 minute(s) and 20 second(s)</t>
        </is>
      </c>
      <c r="J1292" s="25">
        <f>IFERROR(VALUE(TRIM(LEFT(I1292,FIND("minute",I1292)-1)))*60,0)+IFERROR(VALUE(SUBSTITUTE(MID(I1292,IFERROR(FIND("and",I1292)+3,1),20),"second(s)","")),0)</f>
        <v/>
      </c>
      <c r="K1292" s="41">
        <f>J1292/60</f>
        <v/>
      </c>
      <c r="L1292" s="41">
        <f>IFERROR(J1292/H1292,"")</f>
        <v/>
      </c>
      <c r="M1292" s="25" t="inlineStr">
        <is>
          <t>2.5.12</t>
        </is>
      </c>
      <c r="N1292" s="25">
        <f>IF(J1292&gt;300,1,0)</f>
        <v/>
      </c>
      <c r="O1292" s="25">
        <f>IF(J1292&gt;600,1,0)</f>
        <v/>
      </c>
      <c r="P1292" s="25">
        <f>IF(H1292&gt;0,J1292,"")</f>
        <v/>
      </c>
      <c r="Q1292" s="25">
        <f>TEXT(A1292,"YYYY-MM-DD HH")</f>
        <v/>
      </c>
      <c r="R1292" s="25">
        <f>COUNTIF($Q$2:$Q$5295,Q1292)</f>
        <v/>
      </c>
      <c r="S1292" s="25">
        <f>IF(R1292&lt;=2,"1-2",IF(R1292&lt;=5,"3-5",IF(R1292&lt;=10,"6-10","11+")))</f>
        <v/>
      </c>
    </row>
    <row r="1293">
      <c r="A1293" s="39" t="n">
        <v>46167.1829050926</v>
      </c>
      <c r="B1293" s="25">
        <f>TEXT(A1293,"YYYY-MM")</f>
        <v/>
      </c>
      <c r="C1293" s="25">
        <f>TEXT(A1293,"MMM-YYYY")</f>
        <v/>
      </c>
      <c r="D1293" s="40">
        <f>INT(A1293)-WEEKDAY(A1293,2)+1</f>
        <v/>
      </c>
      <c r="E1293" s="25" t="inlineStr">
        <is>
          <t>sswati</t>
        </is>
      </c>
      <c r="F1293" s="25" t="n">
        <v>3893</v>
      </c>
      <c r="G1293" s="25" t="n">
        <v>1</v>
      </c>
      <c r="H1293" s="25" t="n">
        <v>7</v>
      </c>
      <c r="I1293" s="25" t="inlineStr">
        <is>
          <t>2 minute(s) and 57 second(s)</t>
        </is>
      </c>
      <c r="J1293" s="25">
        <f>IFERROR(VALUE(TRIM(LEFT(I1293,FIND("minute",I1293)-1)))*60,0)+IFERROR(VALUE(SUBSTITUTE(MID(I1293,IFERROR(FIND("and",I1293)+3,1),20),"second(s)","")),0)</f>
        <v/>
      </c>
      <c r="K1293" s="41">
        <f>J1293/60</f>
        <v/>
      </c>
      <c r="L1293" s="41">
        <f>IFERROR(J1293/H1293,"")</f>
        <v/>
      </c>
      <c r="M1293" s="25" t="inlineStr">
        <is>
          <t>2.5.12</t>
        </is>
      </c>
      <c r="N1293" s="25">
        <f>IF(J1293&gt;300,1,0)</f>
        <v/>
      </c>
      <c r="O1293" s="25">
        <f>IF(J1293&gt;600,1,0)</f>
        <v/>
      </c>
      <c r="P1293" s="25">
        <f>IF(H1293&gt;0,J1293,"")</f>
        <v/>
      </c>
      <c r="Q1293" s="25">
        <f>TEXT(A1293,"YYYY-MM-DD HH")</f>
        <v/>
      </c>
      <c r="R1293" s="25">
        <f>COUNTIF($Q$2:$Q$5295,Q1293)</f>
        <v/>
      </c>
      <c r="S1293" s="25">
        <f>IF(R1293&lt;=2,"1-2",IF(R1293&lt;=5,"3-5",IF(R1293&lt;=10,"6-10","11+")))</f>
        <v/>
      </c>
    </row>
    <row r="1294">
      <c r="A1294" s="39" t="n">
        <v>46167.18579861111</v>
      </c>
      <c r="B1294" s="25">
        <f>TEXT(A1294,"YYYY-MM")</f>
        <v/>
      </c>
      <c r="C1294" s="25">
        <f>TEXT(A1294,"MMM-YYYY")</f>
        <v/>
      </c>
      <c r="D1294" s="40">
        <f>INT(A1294)-WEEKDAY(A1294,2)+1</f>
        <v/>
      </c>
      <c r="E1294" s="25" t="inlineStr">
        <is>
          <t>atiwari</t>
        </is>
      </c>
      <c r="F1294" s="25" t="n">
        <v>61946</v>
      </c>
      <c r="G1294" s="25" t="n">
        <v>1</v>
      </c>
      <c r="H1294" s="25" t="n">
        <v>7</v>
      </c>
      <c r="I1294" s="25" t="inlineStr">
        <is>
          <t>2 minute(s) and 59 second(s)</t>
        </is>
      </c>
      <c r="J1294" s="25">
        <f>IFERROR(VALUE(TRIM(LEFT(I1294,FIND("minute",I1294)-1)))*60,0)+IFERROR(VALUE(SUBSTITUTE(MID(I1294,IFERROR(FIND("and",I1294)+3,1),20),"second(s)","")),0)</f>
        <v/>
      </c>
      <c r="K1294" s="41">
        <f>J1294/60</f>
        <v/>
      </c>
      <c r="L1294" s="41">
        <f>IFERROR(J1294/H1294,"")</f>
        <v/>
      </c>
      <c r="M1294" s="25" t="inlineStr">
        <is>
          <t>2.5.12</t>
        </is>
      </c>
      <c r="N1294" s="25">
        <f>IF(J1294&gt;300,1,0)</f>
        <v/>
      </c>
      <c r="O1294" s="25">
        <f>IF(J1294&gt;600,1,0)</f>
        <v/>
      </c>
      <c r="P1294" s="25">
        <f>IF(H1294&gt;0,J1294,"")</f>
        <v/>
      </c>
      <c r="Q1294" s="25">
        <f>TEXT(A1294,"YYYY-MM-DD HH")</f>
        <v/>
      </c>
      <c r="R1294" s="25">
        <f>COUNTIF($Q$2:$Q$5295,Q1294)</f>
        <v/>
      </c>
      <c r="S1294" s="25">
        <f>IF(R1294&lt;=2,"1-2",IF(R1294&lt;=5,"3-5",IF(R1294&lt;=10,"6-10","11+")))</f>
        <v/>
      </c>
    </row>
    <row r="1295">
      <c r="A1295" s="39" t="n">
        <v>46167.18989583333</v>
      </c>
      <c r="B1295" s="25">
        <f>TEXT(A1295,"YYYY-MM")</f>
        <v/>
      </c>
      <c r="C1295" s="25">
        <f>TEXT(A1295,"MMM-YYYY")</f>
        <v/>
      </c>
      <c r="D1295" s="40">
        <f>INT(A1295)-WEEKDAY(A1295,2)+1</f>
        <v/>
      </c>
      <c r="E1295" s="25" t="inlineStr">
        <is>
          <t>anusharma</t>
        </is>
      </c>
      <c r="F1295" s="25" t="n">
        <v>68578</v>
      </c>
      <c r="G1295" s="25" t="n">
        <v>1</v>
      </c>
      <c r="H1295" s="25" t="n">
        <v>5</v>
      </c>
      <c r="I1295" s="25" t="inlineStr">
        <is>
          <t>1 minute(s) and 19 second(s)</t>
        </is>
      </c>
      <c r="J1295" s="25">
        <f>IFERROR(VALUE(TRIM(LEFT(I1295,FIND("minute",I1295)-1)))*60,0)+IFERROR(VALUE(SUBSTITUTE(MID(I1295,IFERROR(FIND("and",I1295)+3,1),20),"second(s)","")),0)</f>
        <v/>
      </c>
      <c r="K1295" s="41">
        <f>J1295/60</f>
        <v/>
      </c>
      <c r="L1295" s="41">
        <f>IFERROR(J1295/H1295,"")</f>
        <v/>
      </c>
      <c r="M1295" s="25" t="inlineStr">
        <is>
          <t>2.5.12</t>
        </is>
      </c>
      <c r="N1295" s="25">
        <f>IF(J1295&gt;300,1,0)</f>
        <v/>
      </c>
      <c r="O1295" s="25">
        <f>IF(J1295&gt;600,1,0)</f>
        <v/>
      </c>
      <c r="P1295" s="25">
        <f>IF(H1295&gt;0,J1295,"")</f>
        <v/>
      </c>
      <c r="Q1295" s="25">
        <f>TEXT(A1295,"YYYY-MM-DD HH")</f>
        <v/>
      </c>
      <c r="R1295" s="25">
        <f>COUNTIF($Q$2:$Q$5295,Q1295)</f>
        <v/>
      </c>
      <c r="S1295" s="25">
        <f>IF(R1295&lt;=2,"1-2",IF(R1295&lt;=5,"3-5",IF(R1295&lt;=10,"6-10","11+")))</f>
        <v/>
      </c>
    </row>
    <row r="1296">
      <c r="A1296" s="39" t="n">
        <v>46167.19527777778</v>
      </c>
      <c r="B1296" s="25">
        <f>TEXT(A1296,"YYYY-MM")</f>
        <v/>
      </c>
      <c r="C1296" s="25">
        <f>TEXT(A1296,"MMM-YYYY")</f>
        <v/>
      </c>
      <c r="D1296" s="40">
        <f>INT(A1296)-WEEKDAY(A1296,2)+1</f>
        <v/>
      </c>
      <c r="E1296" s="25" t="inlineStr">
        <is>
          <t>mbhalla</t>
        </is>
      </c>
      <c r="F1296" s="25" t="n">
        <v>4868</v>
      </c>
      <c r="G1296" s="25" t="n">
        <v>1</v>
      </c>
      <c r="H1296" s="25" t="n">
        <v>7</v>
      </c>
      <c r="I1296" s="25" t="inlineStr">
        <is>
          <t>1 minute(s) and 13 second(s)</t>
        </is>
      </c>
      <c r="J1296" s="25">
        <f>IFERROR(VALUE(TRIM(LEFT(I1296,FIND("minute",I1296)-1)))*60,0)+IFERROR(VALUE(SUBSTITUTE(MID(I1296,IFERROR(FIND("and",I1296)+3,1),20),"second(s)","")),0)</f>
        <v/>
      </c>
      <c r="K1296" s="41">
        <f>J1296/60</f>
        <v/>
      </c>
      <c r="L1296" s="41">
        <f>IFERROR(J1296/H1296,"")</f>
        <v/>
      </c>
      <c r="M1296" s="25" t="inlineStr">
        <is>
          <t>2.5.12</t>
        </is>
      </c>
      <c r="N1296" s="25">
        <f>IF(J1296&gt;300,1,0)</f>
        <v/>
      </c>
      <c r="O1296" s="25">
        <f>IF(J1296&gt;600,1,0)</f>
        <v/>
      </c>
      <c r="P1296" s="25">
        <f>IF(H1296&gt;0,J1296,"")</f>
        <v/>
      </c>
      <c r="Q1296" s="25">
        <f>TEXT(A1296,"YYYY-MM-DD HH")</f>
        <v/>
      </c>
      <c r="R1296" s="25">
        <f>COUNTIF($Q$2:$Q$5295,Q1296)</f>
        <v/>
      </c>
      <c r="S1296" s="25">
        <f>IF(R1296&lt;=2,"1-2",IF(R1296&lt;=5,"3-5",IF(R1296&lt;=10,"6-10","11+")))</f>
        <v/>
      </c>
    </row>
    <row r="1297">
      <c r="A1297" s="39" t="n">
        <v>46167.19916666667</v>
      </c>
      <c r="B1297" s="25">
        <f>TEXT(A1297,"YYYY-MM")</f>
        <v/>
      </c>
      <c r="C1297" s="25">
        <f>TEXT(A1297,"MMM-YYYY")</f>
        <v/>
      </c>
      <c r="D1297" s="40">
        <f>INT(A1297)-WEEKDAY(A1297,2)+1</f>
        <v/>
      </c>
      <c r="E1297" s="25" t="inlineStr">
        <is>
          <t>sdey</t>
        </is>
      </c>
      <c r="F1297" s="25" t="n">
        <v>4262</v>
      </c>
      <c r="G1297" s="25" t="n">
        <v>1</v>
      </c>
      <c r="H1297" s="25" t="n">
        <v>5</v>
      </c>
      <c r="I1297" s="25" t="inlineStr">
        <is>
          <t>2 minute(s) and 13 second(s)</t>
        </is>
      </c>
      <c r="J1297" s="25">
        <f>IFERROR(VALUE(TRIM(LEFT(I1297,FIND("minute",I1297)-1)))*60,0)+IFERROR(VALUE(SUBSTITUTE(MID(I1297,IFERROR(FIND("and",I1297)+3,1),20),"second(s)","")),0)</f>
        <v/>
      </c>
      <c r="K1297" s="41">
        <f>J1297/60</f>
        <v/>
      </c>
      <c r="L1297" s="41">
        <f>IFERROR(J1297/H1297,"")</f>
        <v/>
      </c>
      <c r="M1297" s="25" t="inlineStr">
        <is>
          <t>2.5.12</t>
        </is>
      </c>
      <c r="N1297" s="25">
        <f>IF(J1297&gt;300,1,0)</f>
        <v/>
      </c>
      <c r="O1297" s="25">
        <f>IF(J1297&gt;600,1,0)</f>
        <v/>
      </c>
      <c r="P1297" s="25">
        <f>IF(H1297&gt;0,J1297,"")</f>
        <v/>
      </c>
      <c r="Q1297" s="25">
        <f>TEXT(A1297,"YYYY-MM-DD HH")</f>
        <v/>
      </c>
      <c r="R1297" s="25">
        <f>COUNTIF($Q$2:$Q$5295,Q1297)</f>
        <v/>
      </c>
      <c r="S1297" s="25">
        <f>IF(R1297&lt;=2,"1-2",IF(R1297&lt;=5,"3-5",IF(R1297&lt;=10,"6-10","11+")))</f>
        <v/>
      </c>
    </row>
    <row r="1298">
      <c r="A1298" s="39" t="n">
        <v>46167.2000462963</v>
      </c>
      <c r="B1298" s="25">
        <f>TEXT(A1298,"YYYY-MM")</f>
        <v/>
      </c>
      <c r="C1298" s="25">
        <f>TEXT(A1298,"MMM-YYYY")</f>
        <v/>
      </c>
      <c r="D1298" s="40">
        <f>INT(A1298)-WEEKDAY(A1298,2)+1</f>
        <v/>
      </c>
      <c r="E1298" s="25" t="inlineStr">
        <is>
          <t>ssrinivasan</t>
        </is>
      </c>
      <c r="F1298" s="25" t="n">
        <v>4313</v>
      </c>
      <c r="G1298" s="25" t="n">
        <v>3</v>
      </c>
      <c r="H1298" s="25" t="n">
        <v>13</v>
      </c>
      <c r="I1298" s="25" t="inlineStr">
        <is>
          <t>4 minute(s) and 37 second(s)</t>
        </is>
      </c>
      <c r="J1298" s="25">
        <f>IFERROR(VALUE(TRIM(LEFT(I1298,FIND("minute",I1298)-1)))*60,0)+IFERROR(VALUE(SUBSTITUTE(MID(I1298,IFERROR(FIND("and",I1298)+3,1),20),"second(s)","")),0)</f>
        <v/>
      </c>
      <c r="K1298" s="41">
        <f>J1298/60</f>
        <v/>
      </c>
      <c r="L1298" s="41">
        <f>IFERROR(J1298/H1298,"")</f>
        <v/>
      </c>
      <c r="M1298" s="25" t="inlineStr">
        <is>
          <t>2.5.12</t>
        </is>
      </c>
      <c r="N1298" s="25">
        <f>IF(J1298&gt;300,1,0)</f>
        <v/>
      </c>
      <c r="O1298" s="25">
        <f>IF(J1298&gt;600,1,0)</f>
        <v/>
      </c>
      <c r="P1298" s="25">
        <f>IF(H1298&gt;0,J1298,"")</f>
        <v/>
      </c>
      <c r="Q1298" s="25">
        <f>TEXT(A1298,"YYYY-MM-DD HH")</f>
        <v/>
      </c>
      <c r="R1298" s="25">
        <f>COUNTIF($Q$2:$Q$5295,Q1298)</f>
        <v/>
      </c>
      <c r="S1298" s="25">
        <f>IF(R1298&lt;=2,"1-2",IF(R1298&lt;=5,"3-5",IF(R1298&lt;=10,"6-10","11+")))</f>
        <v/>
      </c>
    </row>
    <row r="1299">
      <c r="A1299" s="39" t="n">
        <v>46167.20368055555</v>
      </c>
      <c r="B1299" s="25">
        <f>TEXT(A1299,"YYYY-MM")</f>
        <v/>
      </c>
      <c r="C1299" s="25">
        <f>TEXT(A1299,"MMM-YYYY")</f>
        <v/>
      </c>
      <c r="D1299" s="40">
        <f>INT(A1299)-WEEKDAY(A1299,2)+1</f>
        <v/>
      </c>
      <c r="E1299" s="25" t="inlineStr">
        <is>
          <t>mbohra</t>
        </is>
      </c>
      <c r="F1299" s="25" t="n">
        <v>89573</v>
      </c>
      <c r="G1299" s="25" t="n">
        <v>3</v>
      </c>
      <c r="H1299" s="25" t="n">
        <v>15</v>
      </c>
      <c r="I1299" s="25" t="inlineStr">
        <is>
          <t>4 minute(s) and 54 second(s)</t>
        </is>
      </c>
      <c r="J1299" s="25">
        <f>IFERROR(VALUE(TRIM(LEFT(I1299,FIND("minute",I1299)-1)))*60,0)+IFERROR(VALUE(SUBSTITUTE(MID(I1299,IFERROR(FIND("and",I1299)+3,1),20),"second(s)","")),0)</f>
        <v/>
      </c>
      <c r="K1299" s="41">
        <f>J1299/60</f>
        <v/>
      </c>
      <c r="L1299" s="41">
        <f>IFERROR(J1299/H1299,"")</f>
        <v/>
      </c>
      <c r="M1299" s="25" t="inlineStr">
        <is>
          <t>2.5.12</t>
        </is>
      </c>
      <c r="N1299" s="25">
        <f>IF(J1299&gt;300,1,0)</f>
        <v/>
      </c>
      <c r="O1299" s="25">
        <f>IF(J1299&gt;600,1,0)</f>
        <v/>
      </c>
      <c r="P1299" s="25">
        <f>IF(H1299&gt;0,J1299,"")</f>
        <v/>
      </c>
      <c r="Q1299" s="25">
        <f>TEXT(A1299,"YYYY-MM-DD HH")</f>
        <v/>
      </c>
      <c r="R1299" s="25">
        <f>COUNTIF($Q$2:$Q$5295,Q1299)</f>
        <v/>
      </c>
      <c r="S1299" s="25">
        <f>IF(R1299&lt;=2,"1-2",IF(R1299&lt;=5,"3-5",IF(R1299&lt;=10,"6-10","11+")))</f>
        <v/>
      </c>
    </row>
    <row r="1300">
      <c r="A1300" s="39" t="n">
        <v>46167.2068287037</v>
      </c>
      <c r="B1300" s="25">
        <f>TEXT(A1300,"YYYY-MM")</f>
        <v/>
      </c>
      <c r="C1300" s="25">
        <f>TEXT(A1300,"MMM-YYYY")</f>
        <v/>
      </c>
      <c r="D1300" s="40">
        <f>INT(A1300)-WEEKDAY(A1300,2)+1</f>
        <v/>
      </c>
      <c r="E1300" s="25" t="inlineStr">
        <is>
          <t>smukhopadhyay</t>
        </is>
      </c>
      <c r="F1300" s="25" t="n">
        <v>5032</v>
      </c>
      <c r="G1300" s="25" t="n">
        <v>1</v>
      </c>
      <c r="H1300" s="25" t="n">
        <v>7</v>
      </c>
      <c r="I1300" s="25" t="inlineStr">
        <is>
          <t>1 minute(s) and 35 second(s)</t>
        </is>
      </c>
      <c r="J1300" s="25">
        <f>IFERROR(VALUE(TRIM(LEFT(I1300,FIND("minute",I1300)-1)))*60,0)+IFERROR(VALUE(SUBSTITUTE(MID(I1300,IFERROR(FIND("and",I1300)+3,1),20),"second(s)","")),0)</f>
        <v/>
      </c>
      <c r="K1300" s="41">
        <f>J1300/60</f>
        <v/>
      </c>
      <c r="L1300" s="41">
        <f>IFERROR(J1300/H1300,"")</f>
        <v/>
      </c>
      <c r="M1300" s="25" t="inlineStr">
        <is>
          <t>2.5.12</t>
        </is>
      </c>
      <c r="N1300" s="25">
        <f>IF(J1300&gt;300,1,0)</f>
        <v/>
      </c>
      <c r="O1300" s="25">
        <f>IF(J1300&gt;600,1,0)</f>
        <v/>
      </c>
      <c r="P1300" s="25">
        <f>IF(H1300&gt;0,J1300,"")</f>
        <v/>
      </c>
      <c r="Q1300" s="25">
        <f>TEXT(A1300,"YYYY-MM-DD HH")</f>
        <v/>
      </c>
      <c r="R1300" s="25">
        <f>COUNTIF($Q$2:$Q$5295,Q1300)</f>
        <v/>
      </c>
      <c r="S1300" s="25">
        <f>IF(R1300&lt;=2,"1-2",IF(R1300&lt;=5,"3-5",IF(R1300&lt;=10,"6-10","11+")))</f>
        <v/>
      </c>
    </row>
    <row r="1301">
      <c r="A1301" s="39" t="n">
        <v>46167.20984953704</v>
      </c>
      <c r="B1301" s="25">
        <f>TEXT(A1301,"YYYY-MM")</f>
        <v/>
      </c>
      <c r="C1301" s="25">
        <f>TEXT(A1301,"MMM-YYYY")</f>
        <v/>
      </c>
      <c r="D1301" s="40">
        <f>INT(A1301)-WEEKDAY(A1301,2)+1</f>
        <v/>
      </c>
      <c r="E1301" s="25" t="inlineStr">
        <is>
          <t>apriyadarshi</t>
        </is>
      </c>
      <c r="F1301" s="25" t="n">
        <v>114286</v>
      </c>
      <c r="G1301" s="25" t="n">
        <v>2</v>
      </c>
      <c r="H1301" s="25" t="n">
        <v>10</v>
      </c>
      <c r="I1301" s="25" t="inlineStr">
        <is>
          <t>1 minute(s) and 41 second(s)</t>
        </is>
      </c>
      <c r="J1301" s="25">
        <f>IFERROR(VALUE(TRIM(LEFT(I1301,FIND("minute",I1301)-1)))*60,0)+IFERROR(VALUE(SUBSTITUTE(MID(I1301,IFERROR(FIND("and",I1301)+3,1),20),"second(s)","")),0)</f>
        <v/>
      </c>
      <c r="K1301" s="41">
        <f>J1301/60</f>
        <v/>
      </c>
      <c r="L1301" s="41">
        <f>IFERROR(J1301/H1301,"")</f>
        <v/>
      </c>
      <c r="M1301" s="25" t="inlineStr">
        <is>
          <t>2.5.12</t>
        </is>
      </c>
      <c r="N1301" s="25">
        <f>IF(J1301&gt;300,1,0)</f>
        <v/>
      </c>
      <c r="O1301" s="25">
        <f>IF(J1301&gt;600,1,0)</f>
        <v/>
      </c>
      <c r="P1301" s="25">
        <f>IF(H1301&gt;0,J1301,"")</f>
        <v/>
      </c>
      <c r="Q1301" s="25">
        <f>TEXT(A1301,"YYYY-MM-DD HH")</f>
        <v/>
      </c>
      <c r="R1301" s="25">
        <f>COUNTIF($Q$2:$Q$5295,Q1301)</f>
        <v/>
      </c>
      <c r="S1301" s="25">
        <f>IF(R1301&lt;=2,"1-2",IF(R1301&lt;=5,"3-5",IF(R1301&lt;=10,"6-10","11+")))</f>
        <v/>
      </c>
    </row>
    <row r="1302">
      <c r="A1302" s="39" t="n">
        <v>46167.2112037037</v>
      </c>
      <c r="B1302" s="25">
        <f>TEXT(A1302,"YYYY-MM")</f>
        <v/>
      </c>
      <c r="C1302" s="25">
        <f>TEXT(A1302,"MMM-YYYY")</f>
        <v/>
      </c>
      <c r="D1302" s="40">
        <f>INT(A1302)-WEEKDAY(A1302,2)+1</f>
        <v/>
      </c>
      <c r="E1302" s="25" t="inlineStr">
        <is>
          <t>psathwika</t>
        </is>
      </c>
      <c r="F1302" s="25" t="n">
        <v>84452</v>
      </c>
      <c r="G1302" s="25" t="n">
        <v>2</v>
      </c>
      <c r="H1302" s="25" t="n">
        <v>11</v>
      </c>
      <c r="I1302" s="25" t="inlineStr">
        <is>
          <t>4 minute(s) and 37 second(s)</t>
        </is>
      </c>
      <c r="J1302" s="25">
        <f>IFERROR(VALUE(TRIM(LEFT(I1302,FIND("minute",I1302)-1)))*60,0)+IFERROR(VALUE(SUBSTITUTE(MID(I1302,IFERROR(FIND("and",I1302)+3,1),20),"second(s)","")),0)</f>
        <v/>
      </c>
      <c r="K1302" s="41">
        <f>J1302/60</f>
        <v/>
      </c>
      <c r="L1302" s="41">
        <f>IFERROR(J1302/H1302,"")</f>
        <v/>
      </c>
      <c r="M1302" s="25" t="inlineStr">
        <is>
          <t>2.5.12</t>
        </is>
      </c>
      <c r="N1302" s="25">
        <f>IF(J1302&gt;300,1,0)</f>
        <v/>
      </c>
      <c r="O1302" s="25">
        <f>IF(J1302&gt;600,1,0)</f>
        <v/>
      </c>
      <c r="P1302" s="25">
        <f>IF(H1302&gt;0,J1302,"")</f>
        <v/>
      </c>
      <c r="Q1302" s="25">
        <f>TEXT(A1302,"YYYY-MM-DD HH")</f>
        <v/>
      </c>
      <c r="R1302" s="25">
        <f>COUNTIF($Q$2:$Q$5295,Q1302)</f>
        <v/>
      </c>
      <c r="S1302" s="25">
        <f>IF(R1302&lt;=2,"1-2",IF(R1302&lt;=5,"3-5",IF(R1302&lt;=10,"6-10","11+")))</f>
        <v/>
      </c>
    </row>
    <row r="1303">
      <c r="A1303" s="39" t="n">
        <v>46167.21168981482</v>
      </c>
      <c r="B1303" s="25">
        <f>TEXT(A1303,"YYYY-MM")</f>
        <v/>
      </c>
      <c r="C1303" s="25">
        <f>TEXT(A1303,"MMM-YYYY")</f>
        <v/>
      </c>
      <c r="D1303" s="40">
        <f>INT(A1303)-WEEKDAY(A1303,2)+1</f>
        <v/>
      </c>
      <c r="E1303" s="25" t="inlineStr">
        <is>
          <t>stiwari</t>
        </is>
      </c>
      <c r="F1303" s="25" t="n">
        <v>5065</v>
      </c>
      <c r="G1303" s="25" t="n">
        <v>1</v>
      </c>
      <c r="H1303" s="25" t="n">
        <v>7</v>
      </c>
      <c r="I1303" s="25" t="inlineStr">
        <is>
          <t>1 minute(s) and 9 second(s)</t>
        </is>
      </c>
      <c r="J1303" s="25">
        <f>IFERROR(VALUE(TRIM(LEFT(I1303,FIND("minute",I1303)-1)))*60,0)+IFERROR(VALUE(SUBSTITUTE(MID(I1303,IFERROR(FIND("and",I1303)+3,1),20),"second(s)","")),0)</f>
        <v/>
      </c>
      <c r="K1303" s="41">
        <f>J1303/60</f>
        <v/>
      </c>
      <c r="L1303" s="41">
        <f>IFERROR(J1303/H1303,"")</f>
        <v/>
      </c>
      <c r="M1303" s="25" t="inlineStr">
        <is>
          <t>2.5.12</t>
        </is>
      </c>
      <c r="N1303" s="25">
        <f>IF(J1303&gt;300,1,0)</f>
        <v/>
      </c>
      <c r="O1303" s="25">
        <f>IF(J1303&gt;600,1,0)</f>
        <v/>
      </c>
      <c r="P1303" s="25">
        <f>IF(H1303&gt;0,J1303,"")</f>
        <v/>
      </c>
      <c r="Q1303" s="25">
        <f>TEXT(A1303,"YYYY-MM-DD HH")</f>
        <v/>
      </c>
      <c r="R1303" s="25">
        <f>COUNTIF($Q$2:$Q$5295,Q1303)</f>
        <v/>
      </c>
      <c r="S1303" s="25">
        <f>IF(R1303&lt;=2,"1-2",IF(R1303&lt;=5,"3-5",IF(R1303&lt;=10,"6-10","11+")))</f>
        <v/>
      </c>
    </row>
    <row r="1304">
      <c r="A1304" s="39" t="n">
        <v>46167.21634259259</v>
      </c>
      <c r="B1304" s="25">
        <f>TEXT(A1304,"YYYY-MM")</f>
        <v/>
      </c>
      <c r="C1304" s="25">
        <f>TEXT(A1304,"MMM-YYYY")</f>
        <v/>
      </c>
      <c r="D1304" s="40">
        <f>INT(A1304)-WEEKDAY(A1304,2)+1</f>
        <v/>
      </c>
      <c r="E1304" s="25" t="inlineStr">
        <is>
          <t>ssarkar</t>
        </is>
      </c>
      <c r="F1304" s="25" t="n">
        <v>4033</v>
      </c>
      <c r="G1304" s="25" t="n">
        <v>1</v>
      </c>
      <c r="H1304" s="25" t="n">
        <v>5</v>
      </c>
      <c r="I1304" s="25" t="inlineStr">
        <is>
          <t>54 second(s)</t>
        </is>
      </c>
      <c r="J1304" s="25">
        <f>IFERROR(VALUE(TRIM(LEFT(I1304,FIND("minute",I1304)-1)))*60,0)+IFERROR(VALUE(SUBSTITUTE(MID(I1304,IFERROR(FIND("and",I1304)+3,1),20),"second(s)","")),0)</f>
        <v/>
      </c>
      <c r="K1304" s="41">
        <f>J1304/60</f>
        <v/>
      </c>
      <c r="L1304" s="41">
        <f>IFERROR(J1304/H1304,"")</f>
        <v/>
      </c>
      <c r="M1304" s="25" t="inlineStr">
        <is>
          <t>2.5.12</t>
        </is>
      </c>
      <c r="N1304" s="25">
        <f>IF(J1304&gt;300,1,0)</f>
        <v/>
      </c>
      <c r="O1304" s="25">
        <f>IF(J1304&gt;600,1,0)</f>
        <v/>
      </c>
      <c r="P1304" s="25">
        <f>IF(H1304&gt;0,J1304,"")</f>
        <v/>
      </c>
      <c r="Q1304" s="25">
        <f>TEXT(A1304,"YYYY-MM-DD HH")</f>
        <v/>
      </c>
      <c r="R1304" s="25">
        <f>COUNTIF($Q$2:$Q$5295,Q1304)</f>
        <v/>
      </c>
      <c r="S1304" s="25">
        <f>IF(R1304&lt;=2,"1-2",IF(R1304&lt;=5,"3-5",IF(R1304&lt;=10,"6-10","11+")))</f>
        <v/>
      </c>
    </row>
    <row r="1305">
      <c r="A1305" s="39" t="n">
        <v>46167.21913194445</v>
      </c>
      <c r="B1305" s="25">
        <f>TEXT(A1305,"YYYY-MM")</f>
        <v/>
      </c>
      <c r="C1305" s="25">
        <f>TEXT(A1305,"MMM-YYYY")</f>
        <v/>
      </c>
      <c r="D1305" s="40">
        <f>INT(A1305)-WEEKDAY(A1305,2)+1</f>
        <v/>
      </c>
      <c r="E1305" s="25" t="inlineStr">
        <is>
          <t>akumari</t>
        </is>
      </c>
      <c r="F1305" s="25" t="n">
        <v>3191</v>
      </c>
      <c r="G1305" s="25" t="n">
        <v>1</v>
      </c>
      <c r="H1305" s="25" t="n">
        <v>5</v>
      </c>
      <c r="I1305" s="25" t="inlineStr">
        <is>
          <t>1 minute(s) and 26 second(s)</t>
        </is>
      </c>
      <c r="J1305" s="25">
        <f>IFERROR(VALUE(TRIM(LEFT(I1305,FIND("minute",I1305)-1)))*60,0)+IFERROR(VALUE(SUBSTITUTE(MID(I1305,IFERROR(FIND("and",I1305)+3,1),20),"second(s)","")),0)</f>
        <v/>
      </c>
      <c r="K1305" s="41">
        <f>J1305/60</f>
        <v/>
      </c>
      <c r="L1305" s="41">
        <f>IFERROR(J1305/H1305,"")</f>
        <v/>
      </c>
      <c r="M1305" s="25" t="inlineStr">
        <is>
          <t>2.5.12</t>
        </is>
      </c>
      <c r="N1305" s="25">
        <f>IF(J1305&gt;300,1,0)</f>
        <v/>
      </c>
      <c r="O1305" s="25">
        <f>IF(J1305&gt;600,1,0)</f>
        <v/>
      </c>
      <c r="P1305" s="25">
        <f>IF(H1305&gt;0,J1305,"")</f>
        <v/>
      </c>
      <c r="Q1305" s="25">
        <f>TEXT(A1305,"YYYY-MM-DD HH")</f>
        <v/>
      </c>
      <c r="R1305" s="25">
        <f>COUNTIF($Q$2:$Q$5295,Q1305)</f>
        <v/>
      </c>
      <c r="S1305" s="25">
        <f>IF(R1305&lt;=2,"1-2",IF(R1305&lt;=5,"3-5",IF(R1305&lt;=10,"6-10","11+")))</f>
        <v/>
      </c>
    </row>
    <row r="1306">
      <c r="A1306" s="39" t="n">
        <v>46167.22466435185</v>
      </c>
      <c r="B1306" s="25">
        <f>TEXT(A1306,"YYYY-MM")</f>
        <v/>
      </c>
      <c r="C1306" s="25">
        <f>TEXT(A1306,"MMM-YYYY")</f>
        <v/>
      </c>
      <c r="D1306" s="40">
        <f>INT(A1306)-WEEKDAY(A1306,2)+1</f>
        <v/>
      </c>
      <c r="E1306" s="25" t="inlineStr">
        <is>
          <t>ssrinivasan</t>
        </is>
      </c>
      <c r="F1306" s="25" t="n">
        <v>4314</v>
      </c>
      <c r="G1306" s="25" t="n">
        <v>1</v>
      </c>
      <c r="H1306" s="25" t="n">
        <v>5</v>
      </c>
      <c r="I1306" s="25" t="inlineStr">
        <is>
          <t>2 minute(s) and 20 second(s)</t>
        </is>
      </c>
      <c r="J1306" s="25">
        <f>IFERROR(VALUE(TRIM(LEFT(I1306,FIND("minute",I1306)-1)))*60,0)+IFERROR(VALUE(SUBSTITUTE(MID(I1306,IFERROR(FIND("and",I1306)+3,1),20),"second(s)","")),0)</f>
        <v/>
      </c>
      <c r="K1306" s="41">
        <f>J1306/60</f>
        <v/>
      </c>
      <c r="L1306" s="41">
        <f>IFERROR(J1306/H1306,"")</f>
        <v/>
      </c>
      <c r="M1306" s="25" t="inlineStr">
        <is>
          <t>2.5.12</t>
        </is>
      </c>
      <c r="N1306" s="25">
        <f>IF(J1306&gt;300,1,0)</f>
        <v/>
      </c>
      <c r="O1306" s="25">
        <f>IF(J1306&gt;600,1,0)</f>
        <v/>
      </c>
      <c r="P1306" s="25">
        <f>IF(H1306&gt;0,J1306,"")</f>
        <v/>
      </c>
      <c r="Q1306" s="25">
        <f>TEXT(A1306,"YYYY-MM-DD HH")</f>
        <v/>
      </c>
      <c r="R1306" s="25">
        <f>COUNTIF($Q$2:$Q$5295,Q1306)</f>
        <v/>
      </c>
      <c r="S1306" s="25">
        <f>IF(R1306&lt;=2,"1-2",IF(R1306&lt;=5,"3-5",IF(R1306&lt;=10,"6-10","11+")))</f>
        <v/>
      </c>
    </row>
    <row r="1307">
      <c r="A1307" s="39" t="n">
        <v>46167.22490740741</v>
      </c>
      <c r="B1307" s="25">
        <f>TEXT(A1307,"YYYY-MM")</f>
        <v/>
      </c>
      <c r="C1307" s="25">
        <f>TEXT(A1307,"MMM-YYYY")</f>
        <v/>
      </c>
      <c r="D1307" s="40">
        <f>INT(A1307)-WEEKDAY(A1307,2)+1</f>
        <v/>
      </c>
      <c r="E1307" s="25" t="inlineStr">
        <is>
          <t>nlnu</t>
        </is>
      </c>
      <c r="F1307" s="25" t="n">
        <v>5142</v>
      </c>
      <c r="G1307" s="25" t="n">
        <v>1</v>
      </c>
      <c r="H1307" s="25" t="n">
        <v>5</v>
      </c>
      <c r="I1307" s="25" t="inlineStr">
        <is>
          <t>2 minute(s) and 13 second(s)</t>
        </is>
      </c>
      <c r="J1307" s="25">
        <f>IFERROR(VALUE(TRIM(LEFT(I1307,FIND("minute",I1307)-1)))*60,0)+IFERROR(VALUE(SUBSTITUTE(MID(I1307,IFERROR(FIND("and",I1307)+3,1),20),"second(s)","")),0)</f>
        <v/>
      </c>
      <c r="K1307" s="41">
        <f>J1307/60</f>
        <v/>
      </c>
      <c r="L1307" s="41">
        <f>IFERROR(J1307/H1307,"")</f>
        <v/>
      </c>
      <c r="M1307" s="25" t="inlineStr">
        <is>
          <t>2.5.12</t>
        </is>
      </c>
      <c r="N1307" s="25">
        <f>IF(J1307&gt;300,1,0)</f>
        <v/>
      </c>
      <c r="O1307" s="25">
        <f>IF(J1307&gt;600,1,0)</f>
        <v/>
      </c>
      <c r="P1307" s="25">
        <f>IF(H1307&gt;0,J1307,"")</f>
        <v/>
      </c>
      <c r="Q1307" s="25">
        <f>TEXT(A1307,"YYYY-MM-DD HH")</f>
        <v/>
      </c>
      <c r="R1307" s="25">
        <f>COUNTIF($Q$2:$Q$5295,Q1307)</f>
        <v/>
      </c>
      <c r="S1307" s="25">
        <f>IF(R1307&lt;=2,"1-2",IF(R1307&lt;=5,"3-5",IF(R1307&lt;=10,"6-10","11+")))</f>
        <v/>
      </c>
    </row>
    <row r="1308">
      <c r="A1308" s="39" t="n">
        <v>46167.22853009259</v>
      </c>
      <c r="B1308" s="25">
        <f>TEXT(A1308,"YYYY-MM")</f>
        <v/>
      </c>
      <c r="C1308" s="25">
        <f>TEXT(A1308,"MMM-YYYY")</f>
        <v/>
      </c>
      <c r="D1308" s="40">
        <f>INT(A1308)-WEEKDAY(A1308,2)+1</f>
        <v/>
      </c>
      <c r="E1308" s="25" t="inlineStr">
        <is>
          <t>atiwari</t>
        </is>
      </c>
      <c r="F1308" s="25" t="n">
        <v>29758</v>
      </c>
      <c r="G1308" s="25" t="n">
        <v>1</v>
      </c>
      <c r="H1308" s="25" t="n">
        <v>5</v>
      </c>
      <c r="I1308" s="25" t="inlineStr">
        <is>
          <t>2 minute(s) and 5 second(s)</t>
        </is>
      </c>
      <c r="J1308" s="25">
        <f>IFERROR(VALUE(TRIM(LEFT(I1308,FIND("minute",I1308)-1)))*60,0)+IFERROR(VALUE(SUBSTITUTE(MID(I1308,IFERROR(FIND("and",I1308)+3,1),20),"second(s)","")),0)</f>
        <v/>
      </c>
      <c r="K1308" s="41">
        <f>J1308/60</f>
        <v/>
      </c>
      <c r="L1308" s="41">
        <f>IFERROR(J1308/H1308,"")</f>
        <v/>
      </c>
      <c r="M1308" s="25" t="inlineStr">
        <is>
          <t>2.5.12</t>
        </is>
      </c>
      <c r="N1308" s="25">
        <f>IF(J1308&gt;300,1,0)</f>
        <v/>
      </c>
      <c r="O1308" s="25">
        <f>IF(J1308&gt;600,1,0)</f>
        <v/>
      </c>
      <c r="P1308" s="25">
        <f>IF(H1308&gt;0,J1308,"")</f>
        <v/>
      </c>
      <c r="Q1308" s="25">
        <f>TEXT(A1308,"YYYY-MM-DD HH")</f>
        <v/>
      </c>
      <c r="R1308" s="25">
        <f>COUNTIF($Q$2:$Q$5295,Q1308)</f>
        <v/>
      </c>
      <c r="S1308" s="25">
        <f>IF(R1308&lt;=2,"1-2",IF(R1308&lt;=5,"3-5",IF(R1308&lt;=10,"6-10","11+")))</f>
        <v/>
      </c>
    </row>
    <row r="1309">
      <c r="A1309" s="39" t="n">
        <v>46167.22927083333</v>
      </c>
      <c r="B1309" s="25">
        <f>TEXT(A1309,"YYYY-MM")</f>
        <v/>
      </c>
      <c r="C1309" s="25">
        <f>TEXT(A1309,"MMM-YYYY")</f>
        <v/>
      </c>
      <c r="D1309" s="40">
        <f>INT(A1309)-WEEKDAY(A1309,2)+1</f>
        <v/>
      </c>
      <c r="E1309" s="25" t="inlineStr">
        <is>
          <t>shassan</t>
        </is>
      </c>
      <c r="F1309" s="25" t="n">
        <v>4093</v>
      </c>
      <c r="G1309" s="25" t="n">
        <v>1</v>
      </c>
      <c r="H1309" s="25" t="n">
        <v>7</v>
      </c>
      <c r="I1309" s="25" t="inlineStr">
        <is>
          <t>2 minute(s) and 54 second(s)</t>
        </is>
      </c>
      <c r="J1309" s="25">
        <f>IFERROR(VALUE(TRIM(LEFT(I1309,FIND("minute",I1309)-1)))*60,0)+IFERROR(VALUE(SUBSTITUTE(MID(I1309,IFERROR(FIND("and",I1309)+3,1),20),"second(s)","")),0)</f>
        <v/>
      </c>
      <c r="K1309" s="41">
        <f>J1309/60</f>
        <v/>
      </c>
      <c r="L1309" s="41">
        <f>IFERROR(J1309/H1309,"")</f>
        <v/>
      </c>
      <c r="M1309" s="25" t="inlineStr">
        <is>
          <t>2.5.12</t>
        </is>
      </c>
      <c r="N1309" s="25">
        <f>IF(J1309&gt;300,1,0)</f>
        <v/>
      </c>
      <c r="O1309" s="25">
        <f>IF(J1309&gt;600,1,0)</f>
        <v/>
      </c>
      <c r="P1309" s="25">
        <f>IF(H1309&gt;0,J1309,"")</f>
        <v/>
      </c>
      <c r="Q1309" s="25">
        <f>TEXT(A1309,"YYYY-MM-DD HH")</f>
        <v/>
      </c>
      <c r="R1309" s="25">
        <f>COUNTIF($Q$2:$Q$5295,Q1309)</f>
        <v/>
      </c>
      <c r="S1309" s="25">
        <f>IF(R1309&lt;=2,"1-2",IF(R1309&lt;=5,"3-5",IF(R1309&lt;=10,"6-10","11+")))</f>
        <v/>
      </c>
    </row>
    <row r="1310">
      <c r="A1310" s="39" t="n">
        <v>46167.23037037037</v>
      </c>
      <c r="B1310" s="25">
        <f>TEXT(A1310,"YYYY-MM")</f>
        <v/>
      </c>
      <c r="C1310" s="25">
        <f>TEXT(A1310,"MMM-YYYY")</f>
        <v/>
      </c>
      <c r="D1310" s="40">
        <f>INT(A1310)-WEEKDAY(A1310,2)+1</f>
        <v/>
      </c>
      <c r="E1310" s="25" t="inlineStr">
        <is>
          <t>csaha</t>
        </is>
      </c>
      <c r="F1310" s="25" t="n">
        <v>4419</v>
      </c>
      <c r="G1310" s="25" t="n">
        <v>1</v>
      </c>
      <c r="H1310" s="25" t="n">
        <v>7</v>
      </c>
      <c r="I1310" s="25" t="inlineStr">
        <is>
          <t>1 minute(s) and 38 second(s)</t>
        </is>
      </c>
      <c r="J1310" s="25">
        <f>IFERROR(VALUE(TRIM(LEFT(I1310,FIND("minute",I1310)-1)))*60,0)+IFERROR(VALUE(SUBSTITUTE(MID(I1310,IFERROR(FIND("and",I1310)+3,1),20),"second(s)","")),0)</f>
        <v/>
      </c>
      <c r="K1310" s="41">
        <f>J1310/60</f>
        <v/>
      </c>
      <c r="L1310" s="41">
        <f>IFERROR(J1310/H1310,"")</f>
        <v/>
      </c>
      <c r="M1310" s="25" t="inlineStr">
        <is>
          <t>2.5.12</t>
        </is>
      </c>
      <c r="N1310" s="25">
        <f>IF(J1310&gt;300,1,0)</f>
        <v/>
      </c>
      <c r="O1310" s="25">
        <f>IF(J1310&gt;600,1,0)</f>
        <v/>
      </c>
      <c r="P1310" s="25">
        <f>IF(H1310&gt;0,J1310,"")</f>
        <v/>
      </c>
      <c r="Q1310" s="25">
        <f>TEXT(A1310,"YYYY-MM-DD HH")</f>
        <v/>
      </c>
      <c r="R1310" s="25">
        <f>COUNTIF($Q$2:$Q$5295,Q1310)</f>
        <v/>
      </c>
      <c r="S1310" s="25">
        <f>IF(R1310&lt;=2,"1-2",IF(R1310&lt;=5,"3-5",IF(R1310&lt;=10,"6-10","11+")))</f>
        <v/>
      </c>
    </row>
    <row r="1311">
      <c r="A1311" s="39" t="n">
        <v>46167.23064814815</v>
      </c>
      <c r="B1311" s="25">
        <f>TEXT(A1311,"YYYY-MM")</f>
        <v/>
      </c>
      <c r="C1311" s="25">
        <f>TEXT(A1311,"MMM-YYYY")</f>
        <v/>
      </c>
      <c r="D1311" s="40">
        <f>INT(A1311)-WEEKDAY(A1311,2)+1</f>
        <v/>
      </c>
      <c r="E1311" s="25" t="inlineStr">
        <is>
          <t>anusharma</t>
        </is>
      </c>
      <c r="F1311" s="25" t="n">
        <v>5296</v>
      </c>
      <c r="G1311" s="25" t="n">
        <v>1</v>
      </c>
      <c r="H1311" s="25" t="n">
        <v>5</v>
      </c>
      <c r="I1311" s="25" t="inlineStr">
        <is>
          <t>2 minute(s) and 11 second(s)</t>
        </is>
      </c>
      <c r="J1311" s="25">
        <f>IFERROR(VALUE(TRIM(LEFT(I1311,FIND("minute",I1311)-1)))*60,0)+IFERROR(VALUE(SUBSTITUTE(MID(I1311,IFERROR(FIND("and",I1311)+3,1),20),"second(s)","")),0)</f>
        <v/>
      </c>
      <c r="K1311" s="41">
        <f>J1311/60</f>
        <v/>
      </c>
      <c r="L1311" s="41">
        <f>IFERROR(J1311/H1311,"")</f>
        <v/>
      </c>
      <c r="M1311" s="25" t="inlineStr">
        <is>
          <t>2.5.12</t>
        </is>
      </c>
      <c r="N1311" s="25">
        <f>IF(J1311&gt;300,1,0)</f>
        <v/>
      </c>
      <c r="O1311" s="25">
        <f>IF(J1311&gt;600,1,0)</f>
        <v/>
      </c>
      <c r="P1311" s="25">
        <f>IF(H1311&gt;0,J1311,"")</f>
        <v/>
      </c>
      <c r="Q1311" s="25">
        <f>TEXT(A1311,"YYYY-MM-DD HH")</f>
        <v/>
      </c>
      <c r="R1311" s="25">
        <f>COUNTIF($Q$2:$Q$5295,Q1311)</f>
        <v/>
      </c>
      <c r="S1311" s="25">
        <f>IF(R1311&lt;=2,"1-2",IF(R1311&lt;=5,"3-5",IF(R1311&lt;=10,"6-10","11+")))</f>
        <v/>
      </c>
    </row>
    <row r="1312">
      <c r="A1312" s="39" t="n">
        <v>46167.23305555555</v>
      </c>
      <c r="B1312" s="25">
        <f>TEXT(A1312,"YYYY-MM")</f>
        <v/>
      </c>
      <c r="C1312" s="25">
        <f>TEXT(A1312,"MMM-YYYY")</f>
        <v/>
      </c>
      <c r="D1312" s="40">
        <f>INT(A1312)-WEEKDAY(A1312,2)+1</f>
        <v/>
      </c>
      <c r="E1312" s="25" t="inlineStr">
        <is>
          <t>smukhopadhyay</t>
        </is>
      </c>
      <c r="F1312" s="25" t="n">
        <v>5033</v>
      </c>
      <c r="G1312" s="25" t="n">
        <v>1</v>
      </c>
      <c r="H1312" s="25" t="n">
        <v>7</v>
      </c>
      <c r="I1312" s="25" t="inlineStr">
        <is>
          <t>1 minute(s) and 14 second(s)</t>
        </is>
      </c>
      <c r="J1312" s="25">
        <f>IFERROR(VALUE(TRIM(LEFT(I1312,FIND("minute",I1312)-1)))*60,0)+IFERROR(VALUE(SUBSTITUTE(MID(I1312,IFERROR(FIND("and",I1312)+3,1),20),"second(s)","")),0)</f>
        <v/>
      </c>
      <c r="K1312" s="41">
        <f>J1312/60</f>
        <v/>
      </c>
      <c r="L1312" s="41">
        <f>IFERROR(J1312/H1312,"")</f>
        <v/>
      </c>
      <c r="M1312" s="25" t="inlineStr">
        <is>
          <t>2.5.12</t>
        </is>
      </c>
      <c r="N1312" s="25">
        <f>IF(J1312&gt;300,1,0)</f>
        <v/>
      </c>
      <c r="O1312" s="25">
        <f>IF(J1312&gt;600,1,0)</f>
        <v/>
      </c>
      <c r="P1312" s="25">
        <f>IF(H1312&gt;0,J1312,"")</f>
        <v/>
      </c>
      <c r="Q1312" s="25">
        <f>TEXT(A1312,"YYYY-MM-DD HH")</f>
        <v/>
      </c>
      <c r="R1312" s="25">
        <f>COUNTIF($Q$2:$Q$5295,Q1312)</f>
        <v/>
      </c>
      <c r="S1312" s="25">
        <f>IF(R1312&lt;=2,"1-2",IF(R1312&lt;=5,"3-5",IF(R1312&lt;=10,"6-10","11+")))</f>
        <v/>
      </c>
    </row>
    <row r="1313">
      <c r="A1313" s="39" t="n">
        <v>46167.23496527778</v>
      </c>
      <c r="B1313" s="25">
        <f>TEXT(A1313,"YYYY-MM")</f>
        <v/>
      </c>
      <c r="C1313" s="25">
        <f>TEXT(A1313,"MMM-YYYY")</f>
        <v/>
      </c>
      <c r="D1313" s="40">
        <f>INT(A1313)-WEEKDAY(A1313,2)+1</f>
        <v/>
      </c>
      <c r="E1313" s="25" t="inlineStr">
        <is>
          <t>sdey</t>
        </is>
      </c>
      <c r="F1313" s="25" t="n">
        <v>4265</v>
      </c>
      <c r="G1313" s="25" t="n">
        <v>1</v>
      </c>
      <c r="H1313" s="25" t="n">
        <v>5</v>
      </c>
      <c r="I1313" s="25" t="inlineStr">
        <is>
          <t>2 minute(s) and 23 second(s)</t>
        </is>
      </c>
      <c r="J1313" s="25">
        <f>IFERROR(VALUE(TRIM(LEFT(I1313,FIND("minute",I1313)-1)))*60,0)+IFERROR(VALUE(SUBSTITUTE(MID(I1313,IFERROR(FIND("and",I1313)+3,1),20),"second(s)","")),0)</f>
        <v/>
      </c>
      <c r="K1313" s="41">
        <f>J1313/60</f>
        <v/>
      </c>
      <c r="L1313" s="41">
        <f>IFERROR(J1313/H1313,"")</f>
        <v/>
      </c>
      <c r="M1313" s="25" t="inlineStr">
        <is>
          <t>2.5.12</t>
        </is>
      </c>
      <c r="N1313" s="25">
        <f>IF(J1313&gt;300,1,0)</f>
        <v/>
      </c>
      <c r="O1313" s="25">
        <f>IF(J1313&gt;600,1,0)</f>
        <v/>
      </c>
      <c r="P1313" s="25">
        <f>IF(H1313&gt;0,J1313,"")</f>
        <v/>
      </c>
      <c r="Q1313" s="25">
        <f>TEXT(A1313,"YYYY-MM-DD HH")</f>
        <v/>
      </c>
      <c r="R1313" s="25">
        <f>COUNTIF($Q$2:$Q$5295,Q1313)</f>
        <v/>
      </c>
      <c r="S1313" s="25">
        <f>IF(R1313&lt;=2,"1-2",IF(R1313&lt;=5,"3-5",IF(R1313&lt;=10,"6-10","11+")))</f>
        <v/>
      </c>
    </row>
    <row r="1314">
      <c r="A1314" s="39" t="n">
        <v>46167.2384375</v>
      </c>
      <c r="B1314" s="25">
        <f>TEXT(A1314,"YYYY-MM")</f>
        <v/>
      </c>
      <c r="C1314" s="25">
        <f>TEXT(A1314,"MMM-YYYY")</f>
        <v/>
      </c>
      <c r="D1314" s="40">
        <f>INT(A1314)-WEEKDAY(A1314,2)+1</f>
        <v/>
      </c>
      <c r="E1314" s="25" t="inlineStr">
        <is>
          <t>arsarkar</t>
        </is>
      </c>
      <c r="F1314" s="25" t="n">
        <v>4967</v>
      </c>
      <c r="G1314" s="25" t="n">
        <v>1</v>
      </c>
      <c r="H1314" s="25" t="n">
        <v>5</v>
      </c>
      <c r="I1314" s="25" t="inlineStr">
        <is>
          <t>1 minute(s) and 25 second(s)</t>
        </is>
      </c>
      <c r="J1314" s="25">
        <f>IFERROR(VALUE(TRIM(LEFT(I1314,FIND("minute",I1314)-1)))*60,0)+IFERROR(VALUE(SUBSTITUTE(MID(I1314,IFERROR(FIND("and",I1314)+3,1),20),"second(s)","")),0)</f>
        <v/>
      </c>
      <c r="K1314" s="41">
        <f>J1314/60</f>
        <v/>
      </c>
      <c r="L1314" s="41">
        <f>IFERROR(J1314/H1314,"")</f>
        <v/>
      </c>
      <c r="M1314" s="25" t="inlineStr">
        <is>
          <t>2.5.12</t>
        </is>
      </c>
      <c r="N1314" s="25">
        <f>IF(J1314&gt;300,1,0)</f>
        <v/>
      </c>
      <c r="O1314" s="25">
        <f>IF(J1314&gt;600,1,0)</f>
        <v/>
      </c>
      <c r="P1314" s="25">
        <f>IF(H1314&gt;0,J1314,"")</f>
        <v/>
      </c>
      <c r="Q1314" s="25">
        <f>TEXT(A1314,"YYYY-MM-DD HH")</f>
        <v/>
      </c>
      <c r="R1314" s="25">
        <f>COUNTIF($Q$2:$Q$5295,Q1314)</f>
        <v/>
      </c>
      <c r="S1314" s="25">
        <f>IF(R1314&lt;=2,"1-2",IF(R1314&lt;=5,"3-5",IF(R1314&lt;=10,"6-10","11+")))</f>
        <v/>
      </c>
    </row>
    <row r="1315">
      <c r="A1315" s="39" t="n">
        <v>46167.23982638889</v>
      </c>
      <c r="B1315" s="25">
        <f>TEXT(A1315,"YYYY-MM")</f>
        <v/>
      </c>
      <c r="C1315" s="25">
        <f>TEXT(A1315,"MMM-YYYY")</f>
        <v/>
      </c>
      <c r="D1315" s="40">
        <f>INT(A1315)-WEEKDAY(A1315,2)+1</f>
        <v/>
      </c>
      <c r="E1315" s="25" t="inlineStr">
        <is>
          <t>nlnu</t>
        </is>
      </c>
      <c r="F1315" s="25" t="n">
        <v>5143</v>
      </c>
      <c r="G1315" s="25" t="n">
        <v>1</v>
      </c>
      <c r="H1315" s="25" t="n">
        <v>7</v>
      </c>
      <c r="I1315" s="25" t="inlineStr">
        <is>
          <t>2 minute(s) and 23 second(s)</t>
        </is>
      </c>
      <c r="J1315" s="25">
        <f>IFERROR(VALUE(TRIM(LEFT(I1315,FIND("minute",I1315)-1)))*60,0)+IFERROR(VALUE(SUBSTITUTE(MID(I1315,IFERROR(FIND("and",I1315)+3,1),20),"second(s)","")),0)</f>
        <v/>
      </c>
      <c r="K1315" s="41">
        <f>J1315/60</f>
        <v/>
      </c>
      <c r="L1315" s="41">
        <f>IFERROR(J1315/H1315,"")</f>
        <v/>
      </c>
      <c r="M1315" s="25" t="inlineStr">
        <is>
          <t>2.5.12</t>
        </is>
      </c>
      <c r="N1315" s="25">
        <f>IF(J1315&gt;300,1,0)</f>
        <v/>
      </c>
      <c r="O1315" s="25">
        <f>IF(J1315&gt;600,1,0)</f>
        <v/>
      </c>
      <c r="P1315" s="25">
        <f>IF(H1315&gt;0,J1315,"")</f>
        <v/>
      </c>
      <c r="Q1315" s="25">
        <f>TEXT(A1315,"YYYY-MM-DD HH")</f>
        <v/>
      </c>
      <c r="R1315" s="25">
        <f>COUNTIF($Q$2:$Q$5295,Q1315)</f>
        <v/>
      </c>
      <c r="S1315" s="25">
        <f>IF(R1315&lt;=2,"1-2",IF(R1315&lt;=5,"3-5",IF(R1315&lt;=10,"6-10","11+")))</f>
        <v/>
      </c>
    </row>
    <row r="1316">
      <c r="A1316" s="39" t="n">
        <v>46167.24517361111</v>
      </c>
      <c r="B1316" s="25">
        <f>TEXT(A1316,"YYYY-MM")</f>
        <v/>
      </c>
      <c r="C1316" s="25">
        <f>TEXT(A1316,"MMM-YYYY")</f>
        <v/>
      </c>
      <c r="D1316" s="40">
        <f>INT(A1316)-WEEKDAY(A1316,2)+1</f>
        <v/>
      </c>
      <c r="E1316" s="25" t="inlineStr">
        <is>
          <t>atiwari</t>
        </is>
      </c>
      <c r="F1316" s="25" t="n">
        <v>30056</v>
      </c>
      <c r="G1316" s="25" t="n">
        <v>1</v>
      </c>
      <c r="H1316" s="25" t="n">
        <v>7</v>
      </c>
      <c r="I1316" s="25" t="inlineStr">
        <is>
          <t>2 minute(s) and 43 second(s)</t>
        </is>
      </c>
      <c r="J1316" s="25">
        <f>IFERROR(VALUE(TRIM(LEFT(I1316,FIND("minute",I1316)-1)))*60,0)+IFERROR(VALUE(SUBSTITUTE(MID(I1316,IFERROR(FIND("and",I1316)+3,1),20),"second(s)","")),0)</f>
        <v/>
      </c>
      <c r="K1316" s="41">
        <f>J1316/60</f>
        <v/>
      </c>
      <c r="L1316" s="41">
        <f>IFERROR(J1316/H1316,"")</f>
        <v/>
      </c>
      <c r="M1316" s="25" t="inlineStr">
        <is>
          <t>2.5.12</t>
        </is>
      </c>
      <c r="N1316" s="25">
        <f>IF(J1316&gt;300,1,0)</f>
        <v/>
      </c>
      <c r="O1316" s="25">
        <f>IF(J1316&gt;600,1,0)</f>
        <v/>
      </c>
      <c r="P1316" s="25">
        <f>IF(H1316&gt;0,J1316,"")</f>
        <v/>
      </c>
      <c r="Q1316" s="25">
        <f>TEXT(A1316,"YYYY-MM-DD HH")</f>
        <v/>
      </c>
      <c r="R1316" s="25">
        <f>COUNTIF($Q$2:$Q$5295,Q1316)</f>
        <v/>
      </c>
      <c r="S1316" s="25">
        <f>IF(R1316&lt;=2,"1-2",IF(R1316&lt;=5,"3-5",IF(R1316&lt;=10,"6-10","11+")))</f>
        <v/>
      </c>
    </row>
    <row r="1317">
      <c r="A1317" s="39" t="n">
        <v>46167.24768518518</v>
      </c>
      <c r="B1317" s="25">
        <f>TEXT(A1317,"YYYY-MM")</f>
        <v/>
      </c>
      <c r="C1317" s="25">
        <f>TEXT(A1317,"MMM-YYYY")</f>
        <v/>
      </c>
      <c r="D1317" s="40">
        <f>INT(A1317)-WEEKDAY(A1317,2)+1</f>
        <v/>
      </c>
      <c r="E1317" s="25" t="inlineStr">
        <is>
          <t>mbohra</t>
        </is>
      </c>
      <c r="F1317" s="25" t="n">
        <v>89838</v>
      </c>
      <c r="G1317" s="25" t="n">
        <v>4</v>
      </c>
      <c r="H1317" s="25" t="n">
        <v>26</v>
      </c>
      <c r="I1317" s="25" t="inlineStr">
        <is>
          <t>8 minute(s) and 21 second(s)</t>
        </is>
      </c>
      <c r="J1317" s="25">
        <f>IFERROR(VALUE(TRIM(LEFT(I1317,FIND("minute",I1317)-1)))*60,0)+IFERROR(VALUE(SUBSTITUTE(MID(I1317,IFERROR(FIND("and",I1317)+3,1),20),"second(s)","")),0)</f>
        <v/>
      </c>
      <c r="K1317" s="41">
        <f>J1317/60</f>
        <v/>
      </c>
      <c r="L1317" s="41">
        <f>IFERROR(J1317/H1317,"")</f>
        <v/>
      </c>
      <c r="M1317" s="25" t="inlineStr">
        <is>
          <t>2.5.12</t>
        </is>
      </c>
      <c r="N1317" s="25">
        <f>IF(J1317&gt;300,1,0)</f>
        <v/>
      </c>
      <c r="O1317" s="25">
        <f>IF(J1317&gt;600,1,0)</f>
        <v/>
      </c>
      <c r="P1317" s="25">
        <f>IF(H1317&gt;0,J1317,"")</f>
        <v/>
      </c>
      <c r="Q1317" s="25">
        <f>TEXT(A1317,"YYYY-MM-DD HH")</f>
        <v/>
      </c>
      <c r="R1317" s="25">
        <f>COUNTIF($Q$2:$Q$5295,Q1317)</f>
        <v/>
      </c>
      <c r="S1317" s="25">
        <f>IF(R1317&lt;=2,"1-2",IF(R1317&lt;=5,"3-5",IF(R1317&lt;=10,"6-10","11+")))</f>
        <v/>
      </c>
    </row>
    <row r="1318">
      <c r="A1318" s="39" t="n">
        <v>46167.24875</v>
      </c>
      <c r="B1318" s="25">
        <f>TEXT(A1318,"YYYY-MM")</f>
        <v/>
      </c>
      <c r="C1318" s="25">
        <f>TEXT(A1318,"MMM-YYYY")</f>
        <v/>
      </c>
      <c r="D1318" s="40">
        <f>INT(A1318)-WEEKDAY(A1318,2)+1</f>
        <v/>
      </c>
      <c r="E1318" s="25" t="inlineStr">
        <is>
          <t>dchoudhury</t>
        </is>
      </c>
      <c r="F1318" s="25" t="n">
        <v>3472</v>
      </c>
      <c r="G1318" s="25" t="n">
        <v>1</v>
      </c>
      <c r="H1318" s="25" t="n">
        <v>7</v>
      </c>
      <c r="I1318" s="25" t="inlineStr">
        <is>
          <t>1 minute(s) and 18 second(s)</t>
        </is>
      </c>
      <c r="J1318" s="25">
        <f>IFERROR(VALUE(TRIM(LEFT(I1318,FIND("minute",I1318)-1)))*60,0)+IFERROR(VALUE(SUBSTITUTE(MID(I1318,IFERROR(FIND("and",I1318)+3,1),20),"second(s)","")),0)</f>
        <v/>
      </c>
      <c r="K1318" s="41">
        <f>J1318/60</f>
        <v/>
      </c>
      <c r="L1318" s="41">
        <f>IFERROR(J1318/H1318,"")</f>
        <v/>
      </c>
      <c r="M1318" s="25" t="inlineStr">
        <is>
          <t>2.5.12</t>
        </is>
      </c>
      <c r="N1318" s="25">
        <f>IF(J1318&gt;300,1,0)</f>
        <v/>
      </c>
      <c r="O1318" s="25">
        <f>IF(J1318&gt;600,1,0)</f>
        <v/>
      </c>
      <c r="P1318" s="25">
        <f>IF(H1318&gt;0,J1318,"")</f>
        <v/>
      </c>
      <c r="Q1318" s="25">
        <f>TEXT(A1318,"YYYY-MM-DD HH")</f>
        <v/>
      </c>
      <c r="R1318" s="25">
        <f>COUNTIF($Q$2:$Q$5295,Q1318)</f>
        <v/>
      </c>
      <c r="S1318" s="25">
        <f>IF(R1318&lt;=2,"1-2",IF(R1318&lt;=5,"3-5",IF(R1318&lt;=10,"6-10","11+")))</f>
        <v/>
      </c>
    </row>
    <row r="1319">
      <c r="A1319" s="39" t="n">
        <v>46167.24944444445</v>
      </c>
      <c r="B1319" s="25">
        <f>TEXT(A1319,"YYYY-MM")</f>
        <v/>
      </c>
      <c r="C1319" s="25">
        <f>TEXT(A1319,"MMM-YYYY")</f>
        <v/>
      </c>
      <c r="D1319" s="40">
        <f>INT(A1319)-WEEKDAY(A1319,2)+1</f>
        <v/>
      </c>
      <c r="E1319" s="25" t="inlineStr">
        <is>
          <t>stiwari</t>
        </is>
      </c>
      <c r="F1319" s="25" t="n">
        <v>5066</v>
      </c>
      <c r="G1319" s="25" t="n">
        <v>1</v>
      </c>
      <c r="H1319" s="25" t="n">
        <v>5</v>
      </c>
      <c r="I1319" s="25" t="inlineStr">
        <is>
          <t>2 minute(s) and 9 second(s)</t>
        </is>
      </c>
      <c r="J1319" s="25">
        <f>IFERROR(VALUE(TRIM(LEFT(I1319,FIND("minute",I1319)-1)))*60,0)+IFERROR(VALUE(SUBSTITUTE(MID(I1319,IFERROR(FIND("and",I1319)+3,1),20),"second(s)","")),0)</f>
        <v/>
      </c>
      <c r="K1319" s="41">
        <f>J1319/60</f>
        <v/>
      </c>
      <c r="L1319" s="41">
        <f>IFERROR(J1319/H1319,"")</f>
        <v/>
      </c>
      <c r="M1319" s="25" t="inlineStr">
        <is>
          <t>2.5.12</t>
        </is>
      </c>
      <c r="N1319" s="25">
        <f>IF(J1319&gt;300,1,0)</f>
        <v/>
      </c>
      <c r="O1319" s="25">
        <f>IF(J1319&gt;600,1,0)</f>
        <v/>
      </c>
      <c r="P1319" s="25">
        <f>IF(H1319&gt;0,J1319,"")</f>
        <v/>
      </c>
      <c r="Q1319" s="25">
        <f>TEXT(A1319,"YYYY-MM-DD HH")</f>
        <v/>
      </c>
      <c r="R1319" s="25">
        <f>COUNTIF($Q$2:$Q$5295,Q1319)</f>
        <v/>
      </c>
      <c r="S1319" s="25">
        <f>IF(R1319&lt;=2,"1-2",IF(R1319&lt;=5,"3-5",IF(R1319&lt;=10,"6-10","11+")))</f>
        <v/>
      </c>
    </row>
    <row r="1320">
      <c r="A1320" s="39" t="n">
        <v>46167.25090277778</v>
      </c>
      <c r="B1320" s="25">
        <f>TEXT(A1320,"YYYY-MM")</f>
        <v/>
      </c>
      <c r="C1320" s="25">
        <f>TEXT(A1320,"MMM-YYYY")</f>
        <v/>
      </c>
      <c r="D1320" s="40">
        <f>INT(A1320)-WEEKDAY(A1320,2)+1</f>
        <v/>
      </c>
      <c r="E1320" s="25" t="inlineStr">
        <is>
          <t>akumari</t>
        </is>
      </c>
      <c r="F1320" s="25" t="n">
        <v>5099</v>
      </c>
      <c r="G1320" s="25" t="n">
        <v>1</v>
      </c>
      <c r="H1320" s="25" t="n">
        <v>7</v>
      </c>
      <c r="I1320" s="25" t="inlineStr">
        <is>
          <t>1 minute(s) and 24 second(s)</t>
        </is>
      </c>
      <c r="J1320" s="25">
        <f>IFERROR(VALUE(TRIM(LEFT(I1320,FIND("minute",I1320)-1)))*60,0)+IFERROR(VALUE(SUBSTITUTE(MID(I1320,IFERROR(FIND("and",I1320)+3,1),20),"second(s)","")),0)</f>
        <v/>
      </c>
      <c r="K1320" s="41">
        <f>J1320/60</f>
        <v/>
      </c>
      <c r="L1320" s="41">
        <f>IFERROR(J1320/H1320,"")</f>
        <v/>
      </c>
      <c r="M1320" s="25" t="inlineStr">
        <is>
          <t>2.5.12</t>
        </is>
      </c>
      <c r="N1320" s="25">
        <f>IF(J1320&gt;300,1,0)</f>
        <v/>
      </c>
      <c r="O1320" s="25">
        <f>IF(J1320&gt;600,1,0)</f>
        <v/>
      </c>
      <c r="P1320" s="25">
        <f>IF(H1320&gt;0,J1320,"")</f>
        <v/>
      </c>
      <c r="Q1320" s="25">
        <f>TEXT(A1320,"YYYY-MM-DD HH")</f>
        <v/>
      </c>
      <c r="R1320" s="25">
        <f>COUNTIF($Q$2:$Q$5295,Q1320)</f>
        <v/>
      </c>
      <c r="S1320" s="25">
        <f>IF(R1320&lt;=2,"1-2",IF(R1320&lt;=5,"3-5",IF(R1320&lt;=10,"6-10","11+")))</f>
        <v/>
      </c>
    </row>
    <row r="1321">
      <c r="A1321" s="39" t="n">
        <v>46167.25253472223</v>
      </c>
      <c r="B1321" s="25">
        <f>TEXT(A1321,"YYYY-MM")</f>
        <v/>
      </c>
      <c r="C1321" s="25">
        <f>TEXT(A1321,"MMM-YYYY")</f>
        <v/>
      </c>
      <c r="D1321" s="40">
        <f>INT(A1321)-WEEKDAY(A1321,2)+1</f>
        <v/>
      </c>
      <c r="E1321" s="25" t="inlineStr">
        <is>
          <t>mbhalla</t>
        </is>
      </c>
      <c r="F1321" s="25" t="n">
        <v>4869</v>
      </c>
      <c r="G1321" s="25" t="n">
        <v>1</v>
      </c>
      <c r="H1321" s="25" t="n">
        <v>7</v>
      </c>
      <c r="I1321" s="25" t="inlineStr">
        <is>
          <t>2 minute(s) and 34 second(s)</t>
        </is>
      </c>
      <c r="J1321" s="25">
        <f>IFERROR(VALUE(TRIM(LEFT(I1321,FIND("minute",I1321)-1)))*60,0)+IFERROR(VALUE(SUBSTITUTE(MID(I1321,IFERROR(FIND("and",I1321)+3,1),20),"second(s)","")),0)</f>
        <v/>
      </c>
      <c r="K1321" s="41">
        <f>J1321/60</f>
        <v/>
      </c>
      <c r="L1321" s="41">
        <f>IFERROR(J1321/H1321,"")</f>
        <v/>
      </c>
      <c r="M1321" s="25" t="inlineStr">
        <is>
          <t>2.5.12</t>
        </is>
      </c>
      <c r="N1321" s="25">
        <f>IF(J1321&gt;300,1,0)</f>
        <v/>
      </c>
      <c r="O1321" s="25">
        <f>IF(J1321&gt;600,1,0)</f>
        <v/>
      </c>
      <c r="P1321" s="25">
        <f>IF(H1321&gt;0,J1321,"")</f>
        <v/>
      </c>
      <c r="Q1321" s="25">
        <f>TEXT(A1321,"YYYY-MM-DD HH")</f>
        <v/>
      </c>
      <c r="R1321" s="25">
        <f>COUNTIF($Q$2:$Q$5295,Q1321)</f>
        <v/>
      </c>
      <c r="S1321" s="25">
        <f>IF(R1321&lt;=2,"1-2",IF(R1321&lt;=5,"3-5",IF(R1321&lt;=10,"6-10","11+")))</f>
        <v/>
      </c>
    </row>
    <row r="1322">
      <c r="A1322" s="39" t="n">
        <v>46167.25291666666</v>
      </c>
      <c r="B1322" s="25">
        <f>TEXT(A1322,"YYYY-MM")</f>
        <v/>
      </c>
      <c r="C1322" s="25">
        <f>TEXT(A1322,"MMM-YYYY")</f>
        <v/>
      </c>
      <c r="D1322" s="40">
        <f>INT(A1322)-WEEKDAY(A1322,2)+1</f>
        <v/>
      </c>
      <c r="E1322" s="25" t="inlineStr">
        <is>
          <t>ssarkar</t>
        </is>
      </c>
      <c r="F1322" s="25" t="n">
        <v>4034</v>
      </c>
      <c r="G1322" s="25" t="n">
        <v>1</v>
      </c>
      <c r="H1322" s="25" t="n">
        <v>7</v>
      </c>
      <c r="I1322" s="25" t="inlineStr">
        <is>
          <t>1 minute(s) and 35 second(s)</t>
        </is>
      </c>
      <c r="J1322" s="25">
        <f>IFERROR(VALUE(TRIM(LEFT(I1322,FIND("minute",I1322)-1)))*60,0)+IFERROR(VALUE(SUBSTITUTE(MID(I1322,IFERROR(FIND("and",I1322)+3,1),20),"second(s)","")),0)</f>
        <v/>
      </c>
      <c r="K1322" s="41">
        <f>J1322/60</f>
        <v/>
      </c>
      <c r="L1322" s="41">
        <f>IFERROR(J1322/H1322,"")</f>
        <v/>
      </c>
      <c r="M1322" s="25" t="inlineStr">
        <is>
          <t>2.5.12</t>
        </is>
      </c>
      <c r="N1322" s="25">
        <f>IF(J1322&gt;300,1,0)</f>
        <v/>
      </c>
      <c r="O1322" s="25">
        <f>IF(J1322&gt;600,1,0)</f>
        <v/>
      </c>
      <c r="P1322" s="25">
        <f>IF(H1322&gt;0,J1322,"")</f>
        <v/>
      </c>
      <c r="Q1322" s="25">
        <f>TEXT(A1322,"YYYY-MM-DD HH")</f>
        <v/>
      </c>
      <c r="R1322" s="25">
        <f>COUNTIF($Q$2:$Q$5295,Q1322)</f>
        <v/>
      </c>
      <c r="S1322" s="25">
        <f>IF(R1322&lt;=2,"1-2",IF(R1322&lt;=5,"3-5",IF(R1322&lt;=10,"6-10","11+")))</f>
        <v/>
      </c>
    </row>
    <row r="1323">
      <c r="A1323" s="39" t="n">
        <v>46167.25615740741</v>
      </c>
      <c r="B1323" s="25">
        <f>TEXT(A1323,"YYYY-MM")</f>
        <v/>
      </c>
      <c r="C1323" s="25">
        <f>TEXT(A1323,"MMM-YYYY")</f>
        <v/>
      </c>
      <c r="D1323" s="40">
        <f>INT(A1323)-WEEKDAY(A1323,2)+1</f>
        <v/>
      </c>
      <c r="E1323" s="25" t="inlineStr">
        <is>
          <t>psathwika</t>
        </is>
      </c>
      <c r="F1323" s="25" t="n">
        <v>107169</v>
      </c>
      <c r="G1323" s="25" t="n">
        <v>1</v>
      </c>
      <c r="H1323" s="25" t="n">
        <v>5</v>
      </c>
      <c r="I1323" s="25" t="inlineStr">
        <is>
          <t>2 minute(s) and 27 second(s)</t>
        </is>
      </c>
      <c r="J1323" s="25">
        <f>IFERROR(VALUE(TRIM(LEFT(I1323,FIND("minute",I1323)-1)))*60,0)+IFERROR(VALUE(SUBSTITUTE(MID(I1323,IFERROR(FIND("and",I1323)+3,1),20),"second(s)","")),0)</f>
        <v/>
      </c>
      <c r="K1323" s="41">
        <f>J1323/60</f>
        <v/>
      </c>
      <c r="L1323" s="41">
        <f>IFERROR(J1323/H1323,"")</f>
        <v/>
      </c>
      <c r="M1323" s="25" t="inlineStr">
        <is>
          <t>2.5.12</t>
        </is>
      </c>
      <c r="N1323" s="25">
        <f>IF(J1323&gt;300,1,0)</f>
        <v/>
      </c>
      <c r="O1323" s="25">
        <f>IF(J1323&gt;600,1,0)</f>
        <v/>
      </c>
      <c r="P1323" s="25">
        <f>IF(H1323&gt;0,J1323,"")</f>
        <v/>
      </c>
      <c r="Q1323" s="25">
        <f>TEXT(A1323,"YYYY-MM-DD HH")</f>
        <v/>
      </c>
      <c r="R1323" s="25">
        <f>COUNTIF($Q$2:$Q$5295,Q1323)</f>
        <v/>
      </c>
      <c r="S1323" s="25">
        <f>IF(R1323&lt;=2,"1-2",IF(R1323&lt;=5,"3-5",IF(R1323&lt;=10,"6-10","11+")))</f>
        <v/>
      </c>
    </row>
    <row r="1324">
      <c r="A1324" s="39" t="n">
        <v>46167.260625</v>
      </c>
      <c r="B1324" s="25">
        <f>TEXT(A1324,"YYYY-MM")</f>
        <v/>
      </c>
      <c r="C1324" s="25">
        <f>TEXT(A1324,"MMM-YYYY")</f>
        <v/>
      </c>
      <c r="D1324" s="40">
        <f>INT(A1324)-WEEKDAY(A1324,2)+1</f>
        <v/>
      </c>
      <c r="E1324" s="25" t="inlineStr">
        <is>
          <t>hsindwani</t>
        </is>
      </c>
      <c r="F1324" s="25" t="n">
        <v>4278</v>
      </c>
      <c r="G1324" s="25" t="n">
        <v>1</v>
      </c>
      <c r="H1324" s="25" t="n">
        <v>7</v>
      </c>
      <c r="I1324" s="25" t="inlineStr">
        <is>
          <t>2 minute(s) and 40 second(s)</t>
        </is>
      </c>
      <c r="J1324" s="25">
        <f>IFERROR(VALUE(TRIM(LEFT(I1324,FIND("minute",I1324)-1)))*60,0)+IFERROR(VALUE(SUBSTITUTE(MID(I1324,IFERROR(FIND("and",I1324)+3,1),20),"second(s)","")),0)</f>
        <v/>
      </c>
      <c r="K1324" s="41">
        <f>J1324/60</f>
        <v/>
      </c>
      <c r="L1324" s="41">
        <f>IFERROR(J1324/H1324,"")</f>
        <v/>
      </c>
      <c r="M1324" s="25" t="inlineStr">
        <is>
          <t>2.5.12</t>
        </is>
      </c>
      <c r="N1324" s="25">
        <f>IF(J1324&gt;300,1,0)</f>
        <v/>
      </c>
      <c r="O1324" s="25">
        <f>IF(J1324&gt;600,1,0)</f>
        <v/>
      </c>
      <c r="P1324" s="25">
        <f>IF(H1324&gt;0,J1324,"")</f>
        <v/>
      </c>
      <c r="Q1324" s="25">
        <f>TEXT(A1324,"YYYY-MM-DD HH")</f>
        <v/>
      </c>
      <c r="R1324" s="25">
        <f>COUNTIF($Q$2:$Q$5295,Q1324)</f>
        <v/>
      </c>
      <c r="S1324" s="25">
        <f>IF(R1324&lt;=2,"1-2",IF(R1324&lt;=5,"3-5",IF(R1324&lt;=10,"6-10","11+")))</f>
        <v/>
      </c>
    </row>
    <row r="1325">
      <c r="A1325" s="39" t="n">
        <v>46167.26153935185</v>
      </c>
      <c r="B1325" s="25">
        <f>TEXT(A1325,"YYYY-MM")</f>
        <v/>
      </c>
      <c r="C1325" s="25">
        <f>TEXT(A1325,"MMM-YYYY")</f>
        <v/>
      </c>
      <c r="D1325" s="40">
        <f>INT(A1325)-WEEKDAY(A1325,2)+1</f>
        <v/>
      </c>
      <c r="E1325" s="25" t="inlineStr">
        <is>
          <t>nlnu</t>
        </is>
      </c>
      <c r="F1325" s="25" t="n">
        <v>5146</v>
      </c>
      <c r="G1325" s="25" t="n">
        <v>1</v>
      </c>
      <c r="H1325" s="25" t="n">
        <v>7</v>
      </c>
      <c r="I1325" s="25" t="inlineStr">
        <is>
          <t>2 minute(s) and 55 second(s)</t>
        </is>
      </c>
      <c r="J1325" s="25">
        <f>IFERROR(VALUE(TRIM(LEFT(I1325,FIND("minute",I1325)-1)))*60,0)+IFERROR(VALUE(SUBSTITUTE(MID(I1325,IFERROR(FIND("and",I1325)+3,1),20),"second(s)","")),0)</f>
        <v/>
      </c>
      <c r="K1325" s="41">
        <f>J1325/60</f>
        <v/>
      </c>
      <c r="L1325" s="41">
        <f>IFERROR(J1325/H1325,"")</f>
        <v/>
      </c>
      <c r="M1325" s="25" t="inlineStr">
        <is>
          <t>2.5.12</t>
        </is>
      </c>
      <c r="N1325" s="25">
        <f>IF(J1325&gt;300,1,0)</f>
        <v/>
      </c>
      <c r="O1325" s="25">
        <f>IF(J1325&gt;600,1,0)</f>
        <v/>
      </c>
      <c r="P1325" s="25">
        <f>IF(H1325&gt;0,J1325,"")</f>
        <v/>
      </c>
      <c r="Q1325" s="25">
        <f>TEXT(A1325,"YYYY-MM-DD HH")</f>
        <v/>
      </c>
      <c r="R1325" s="25">
        <f>COUNTIF($Q$2:$Q$5295,Q1325)</f>
        <v/>
      </c>
      <c r="S1325" s="25">
        <f>IF(R1325&lt;=2,"1-2",IF(R1325&lt;=5,"3-5",IF(R1325&lt;=10,"6-10","11+")))</f>
        <v/>
      </c>
    </row>
    <row r="1326">
      <c r="A1326" s="39" t="n">
        <v>46167.26217592593</v>
      </c>
      <c r="B1326" s="25">
        <f>TEXT(A1326,"YYYY-MM")</f>
        <v/>
      </c>
      <c r="C1326" s="25">
        <f>TEXT(A1326,"MMM-YYYY")</f>
        <v/>
      </c>
      <c r="D1326" s="40">
        <f>INT(A1326)-WEEKDAY(A1326,2)+1</f>
        <v/>
      </c>
      <c r="E1326" s="25" t="inlineStr">
        <is>
          <t>vraina</t>
        </is>
      </c>
      <c r="F1326" s="25" t="n">
        <v>3931</v>
      </c>
      <c r="G1326" s="25" t="n">
        <v>1</v>
      </c>
      <c r="H1326" s="25" t="n">
        <v>5</v>
      </c>
      <c r="I1326" s="25" t="inlineStr">
        <is>
          <t>2 minute(s) and 29 second(s)</t>
        </is>
      </c>
      <c r="J1326" s="25">
        <f>IFERROR(VALUE(TRIM(LEFT(I1326,FIND("minute",I1326)-1)))*60,0)+IFERROR(VALUE(SUBSTITUTE(MID(I1326,IFERROR(FIND("and",I1326)+3,1),20),"second(s)","")),0)</f>
        <v/>
      </c>
      <c r="K1326" s="41">
        <f>J1326/60</f>
        <v/>
      </c>
      <c r="L1326" s="41">
        <f>IFERROR(J1326/H1326,"")</f>
        <v/>
      </c>
      <c r="M1326" s="25" t="inlineStr">
        <is>
          <t>2.5.12</t>
        </is>
      </c>
      <c r="N1326" s="25">
        <f>IF(J1326&gt;300,1,0)</f>
        <v/>
      </c>
      <c r="O1326" s="25">
        <f>IF(J1326&gt;600,1,0)</f>
        <v/>
      </c>
      <c r="P1326" s="25">
        <f>IF(H1326&gt;0,J1326,"")</f>
        <v/>
      </c>
      <c r="Q1326" s="25">
        <f>TEXT(A1326,"YYYY-MM-DD HH")</f>
        <v/>
      </c>
      <c r="R1326" s="25">
        <f>COUNTIF($Q$2:$Q$5295,Q1326)</f>
        <v/>
      </c>
      <c r="S1326" s="25">
        <f>IF(R1326&lt;=2,"1-2",IF(R1326&lt;=5,"3-5",IF(R1326&lt;=10,"6-10","11+")))</f>
        <v/>
      </c>
    </row>
    <row r="1327">
      <c r="A1327" s="39" t="n">
        <v>46167.26436342593</v>
      </c>
      <c r="B1327" s="25">
        <f>TEXT(A1327,"YYYY-MM")</f>
        <v/>
      </c>
      <c r="C1327" s="25">
        <f>TEXT(A1327,"MMM-YYYY")</f>
        <v/>
      </c>
      <c r="D1327" s="40">
        <f>INT(A1327)-WEEKDAY(A1327,2)+1</f>
        <v/>
      </c>
      <c r="E1327" s="25" t="inlineStr">
        <is>
          <t>pmishra</t>
        </is>
      </c>
      <c r="F1327" s="25" t="n">
        <v>5212</v>
      </c>
      <c r="G1327" s="25" t="n">
        <v>1</v>
      </c>
      <c r="H1327" s="25" t="n">
        <v>7</v>
      </c>
      <c r="I1327" s="25" t="inlineStr">
        <is>
          <t>4 minute(s) and 43 second(s)</t>
        </is>
      </c>
      <c r="J1327" s="25">
        <f>IFERROR(VALUE(TRIM(LEFT(I1327,FIND("minute",I1327)-1)))*60,0)+IFERROR(VALUE(SUBSTITUTE(MID(I1327,IFERROR(FIND("and",I1327)+3,1),20),"second(s)","")),0)</f>
        <v/>
      </c>
      <c r="K1327" s="41">
        <f>J1327/60</f>
        <v/>
      </c>
      <c r="L1327" s="41">
        <f>IFERROR(J1327/H1327,"")</f>
        <v/>
      </c>
      <c r="M1327" s="25" t="inlineStr">
        <is>
          <t>2.5.12</t>
        </is>
      </c>
      <c r="N1327" s="25">
        <f>IF(J1327&gt;300,1,0)</f>
        <v/>
      </c>
      <c r="O1327" s="25">
        <f>IF(J1327&gt;600,1,0)</f>
        <v/>
      </c>
      <c r="P1327" s="25">
        <f>IF(H1327&gt;0,J1327,"")</f>
        <v/>
      </c>
      <c r="Q1327" s="25">
        <f>TEXT(A1327,"YYYY-MM-DD HH")</f>
        <v/>
      </c>
      <c r="R1327" s="25">
        <f>COUNTIF($Q$2:$Q$5295,Q1327)</f>
        <v/>
      </c>
      <c r="S1327" s="25">
        <f>IF(R1327&lt;=2,"1-2",IF(R1327&lt;=5,"3-5",IF(R1327&lt;=10,"6-10","11+")))</f>
        <v/>
      </c>
    </row>
    <row r="1328">
      <c r="A1328" s="39" t="n">
        <v>46167.26450231481</v>
      </c>
      <c r="B1328" s="25">
        <f>TEXT(A1328,"YYYY-MM")</f>
        <v/>
      </c>
      <c r="C1328" s="25">
        <f>TEXT(A1328,"MMM-YYYY")</f>
        <v/>
      </c>
      <c r="D1328" s="40">
        <f>INT(A1328)-WEEKDAY(A1328,2)+1</f>
        <v/>
      </c>
      <c r="E1328" s="25" t="inlineStr">
        <is>
          <t>smukhopadhyay</t>
        </is>
      </c>
      <c r="F1328" s="25" t="n">
        <v>5034</v>
      </c>
      <c r="G1328" s="25" t="n">
        <v>1</v>
      </c>
      <c r="H1328" s="25" t="n">
        <v>7</v>
      </c>
      <c r="I1328" s="25" t="inlineStr">
        <is>
          <t>1 minute(s) and 38 second(s)</t>
        </is>
      </c>
      <c r="J1328" s="25">
        <f>IFERROR(VALUE(TRIM(LEFT(I1328,FIND("minute",I1328)-1)))*60,0)+IFERROR(VALUE(SUBSTITUTE(MID(I1328,IFERROR(FIND("and",I1328)+3,1),20),"second(s)","")),0)</f>
        <v/>
      </c>
      <c r="K1328" s="41">
        <f>J1328/60</f>
        <v/>
      </c>
      <c r="L1328" s="41">
        <f>IFERROR(J1328/H1328,"")</f>
        <v/>
      </c>
      <c r="M1328" s="25" t="inlineStr">
        <is>
          <t>2.5.12</t>
        </is>
      </c>
      <c r="N1328" s="25">
        <f>IF(J1328&gt;300,1,0)</f>
        <v/>
      </c>
      <c r="O1328" s="25">
        <f>IF(J1328&gt;600,1,0)</f>
        <v/>
      </c>
      <c r="P1328" s="25">
        <f>IF(H1328&gt;0,J1328,"")</f>
        <v/>
      </c>
      <c r="Q1328" s="25">
        <f>TEXT(A1328,"YYYY-MM-DD HH")</f>
        <v/>
      </c>
      <c r="R1328" s="25">
        <f>COUNTIF($Q$2:$Q$5295,Q1328)</f>
        <v/>
      </c>
      <c r="S1328" s="25">
        <f>IF(R1328&lt;=2,"1-2",IF(R1328&lt;=5,"3-5",IF(R1328&lt;=10,"6-10","11+")))</f>
        <v/>
      </c>
    </row>
    <row r="1329">
      <c r="A1329" s="39" t="n">
        <v>46167.26467592592</v>
      </c>
      <c r="B1329" s="25">
        <f>TEXT(A1329,"YYYY-MM")</f>
        <v/>
      </c>
      <c r="C1329" s="25">
        <f>TEXT(A1329,"MMM-YYYY")</f>
        <v/>
      </c>
      <c r="D1329" s="40">
        <f>INT(A1329)-WEEKDAY(A1329,2)+1</f>
        <v/>
      </c>
      <c r="E1329" s="25" t="inlineStr">
        <is>
          <t>sswati</t>
        </is>
      </c>
      <c r="F1329" s="25" t="n">
        <v>3895</v>
      </c>
      <c r="G1329" s="25" t="n">
        <v>1</v>
      </c>
      <c r="H1329" s="25" t="n">
        <v>7</v>
      </c>
      <c r="I1329" s="25" t="inlineStr">
        <is>
          <t>1 minute(s) and 13 second(s)</t>
        </is>
      </c>
      <c r="J1329" s="25">
        <f>IFERROR(VALUE(TRIM(LEFT(I1329,FIND("minute",I1329)-1)))*60,0)+IFERROR(VALUE(SUBSTITUTE(MID(I1329,IFERROR(FIND("and",I1329)+3,1),20),"second(s)","")),0)</f>
        <v/>
      </c>
      <c r="K1329" s="41">
        <f>J1329/60</f>
        <v/>
      </c>
      <c r="L1329" s="41">
        <f>IFERROR(J1329/H1329,"")</f>
        <v/>
      </c>
      <c r="M1329" s="25" t="inlineStr">
        <is>
          <t>2.5.12</t>
        </is>
      </c>
      <c r="N1329" s="25">
        <f>IF(J1329&gt;300,1,0)</f>
        <v/>
      </c>
      <c r="O1329" s="25">
        <f>IF(J1329&gt;600,1,0)</f>
        <v/>
      </c>
      <c r="P1329" s="25">
        <f>IF(H1329&gt;0,J1329,"")</f>
        <v/>
      </c>
      <c r="Q1329" s="25">
        <f>TEXT(A1329,"YYYY-MM-DD HH")</f>
        <v/>
      </c>
      <c r="R1329" s="25">
        <f>COUNTIF($Q$2:$Q$5295,Q1329)</f>
        <v/>
      </c>
      <c r="S1329" s="25">
        <f>IF(R1329&lt;=2,"1-2",IF(R1329&lt;=5,"3-5",IF(R1329&lt;=10,"6-10","11+")))</f>
        <v/>
      </c>
    </row>
    <row r="1330">
      <c r="A1330" s="39" t="n">
        <v>46167.26503472222</v>
      </c>
      <c r="B1330" s="25">
        <f>TEXT(A1330,"YYYY-MM")</f>
        <v/>
      </c>
      <c r="C1330" s="25">
        <f>TEXT(A1330,"MMM-YYYY")</f>
        <v/>
      </c>
      <c r="D1330" s="40">
        <f>INT(A1330)-WEEKDAY(A1330,2)+1</f>
        <v/>
      </c>
      <c r="E1330" s="25" t="inlineStr">
        <is>
          <t>asaxena</t>
        </is>
      </c>
      <c r="F1330" s="25" t="n">
        <v>89843</v>
      </c>
      <c r="G1330" s="25" t="n">
        <v>3</v>
      </c>
      <c r="H1330" s="25" t="n">
        <v>21</v>
      </c>
      <c r="I1330" s="25" t="inlineStr">
        <is>
          <t>4 minute(s) and 6 second(s)</t>
        </is>
      </c>
      <c r="J1330" s="25">
        <f>IFERROR(VALUE(TRIM(LEFT(I1330,FIND("minute",I1330)-1)))*60,0)+IFERROR(VALUE(SUBSTITUTE(MID(I1330,IFERROR(FIND("and",I1330)+3,1),20),"second(s)","")),0)</f>
        <v/>
      </c>
      <c r="K1330" s="41">
        <f>J1330/60</f>
        <v/>
      </c>
      <c r="L1330" s="41">
        <f>IFERROR(J1330/H1330,"")</f>
        <v/>
      </c>
      <c r="M1330" s="25" t="inlineStr">
        <is>
          <t>2.5.12</t>
        </is>
      </c>
      <c r="N1330" s="25">
        <f>IF(J1330&gt;300,1,0)</f>
        <v/>
      </c>
      <c r="O1330" s="25">
        <f>IF(J1330&gt;600,1,0)</f>
        <v/>
      </c>
      <c r="P1330" s="25">
        <f>IF(H1330&gt;0,J1330,"")</f>
        <v/>
      </c>
      <c r="Q1330" s="25">
        <f>TEXT(A1330,"YYYY-MM-DD HH")</f>
        <v/>
      </c>
      <c r="R1330" s="25">
        <f>COUNTIF($Q$2:$Q$5295,Q1330)</f>
        <v/>
      </c>
      <c r="S1330" s="25">
        <f>IF(R1330&lt;=2,"1-2",IF(R1330&lt;=5,"3-5",IF(R1330&lt;=10,"6-10","11+")))</f>
        <v/>
      </c>
    </row>
    <row r="1331">
      <c r="A1331" s="39" t="n">
        <v>46167.26548611111</v>
      </c>
      <c r="B1331" s="25">
        <f>TEXT(A1331,"YYYY-MM")</f>
        <v/>
      </c>
      <c r="C1331" s="25">
        <f>TEXT(A1331,"MMM-YYYY")</f>
        <v/>
      </c>
      <c r="D1331" s="40">
        <f>INT(A1331)-WEEKDAY(A1331,2)+1</f>
        <v/>
      </c>
      <c r="E1331" s="25" t="inlineStr">
        <is>
          <t>mgupta</t>
        </is>
      </c>
      <c r="F1331" s="25" t="n">
        <v>89570</v>
      </c>
      <c r="G1331" s="25" t="n">
        <v>2</v>
      </c>
      <c r="H1331" s="25" t="n">
        <v>10</v>
      </c>
      <c r="I1331" s="25" t="inlineStr">
        <is>
          <t>1 minute(s) and 51 second(s)</t>
        </is>
      </c>
      <c r="J1331" s="25">
        <f>IFERROR(VALUE(TRIM(LEFT(I1331,FIND("minute",I1331)-1)))*60,0)+IFERROR(VALUE(SUBSTITUTE(MID(I1331,IFERROR(FIND("and",I1331)+3,1),20),"second(s)","")),0)</f>
        <v/>
      </c>
      <c r="K1331" s="41">
        <f>J1331/60</f>
        <v/>
      </c>
      <c r="L1331" s="41">
        <f>IFERROR(J1331/H1331,"")</f>
        <v/>
      </c>
      <c r="M1331" s="25" t="inlineStr">
        <is>
          <t>2.5.12</t>
        </is>
      </c>
      <c r="N1331" s="25">
        <f>IF(J1331&gt;300,1,0)</f>
        <v/>
      </c>
      <c r="O1331" s="25">
        <f>IF(J1331&gt;600,1,0)</f>
        <v/>
      </c>
      <c r="P1331" s="25">
        <f>IF(H1331&gt;0,J1331,"")</f>
        <v/>
      </c>
      <c r="Q1331" s="25">
        <f>TEXT(A1331,"YYYY-MM-DD HH")</f>
        <v/>
      </c>
      <c r="R1331" s="25">
        <f>COUNTIF($Q$2:$Q$5295,Q1331)</f>
        <v/>
      </c>
      <c r="S1331" s="25">
        <f>IF(R1331&lt;=2,"1-2",IF(R1331&lt;=5,"3-5",IF(R1331&lt;=10,"6-10","11+")))</f>
        <v/>
      </c>
    </row>
    <row r="1332">
      <c r="A1332" s="39" t="n">
        <v>46167.26586805555</v>
      </c>
      <c r="B1332" s="25">
        <f>TEXT(A1332,"YYYY-MM")</f>
        <v/>
      </c>
      <c r="C1332" s="25">
        <f>TEXT(A1332,"MMM-YYYY")</f>
        <v/>
      </c>
      <c r="D1332" s="40">
        <f>INT(A1332)-WEEKDAY(A1332,2)+1</f>
        <v/>
      </c>
      <c r="E1332" s="25" t="inlineStr">
        <is>
          <t>atiwari</t>
        </is>
      </c>
      <c r="F1332" s="25" t="n">
        <v>30127</v>
      </c>
      <c r="G1332" s="25" t="n">
        <v>1</v>
      </c>
      <c r="H1332" s="25" t="n">
        <v>7</v>
      </c>
      <c r="I1332" s="25" t="inlineStr">
        <is>
          <t>1 minute(s) and 29 second(s)</t>
        </is>
      </c>
      <c r="J1332" s="25">
        <f>IFERROR(VALUE(TRIM(LEFT(I1332,FIND("minute",I1332)-1)))*60,0)+IFERROR(VALUE(SUBSTITUTE(MID(I1332,IFERROR(FIND("and",I1332)+3,1),20),"second(s)","")),0)</f>
        <v/>
      </c>
      <c r="K1332" s="41">
        <f>J1332/60</f>
        <v/>
      </c>
      <c r="L1332" s="41">
        <f>IFERROR(J1332/H1332,"")</f>
        <v/>
      </c>
      <c r="M1332" s="25" t="inlineStr">
        <is>
          <t>2.5.12</t>
        </is>
      </c>
      <c r="N1332" s="25">
        <f>IF(J1332&gt;300,1,0)</f>
        <v/>
      </c>
      <c r="O1332" s="25">
        <f>IF(J1332&gt;600,1,0)</f>
        <v/>
      </c>
      <c r="P1332" s="25">
        <f>IF(H1332&gt;0,J1332,"")</f>
        <v/>
      </c>
      <c r="Q1332" s="25">
        <f>TEXT(A1332,"YYYY-MM-DD HH")</f>
        <v/>
      </c>
      <c r="R1332" s="25">
        <f>COUNTIF($Q$2:$Q$5295,Q1332)</f>
        <v/>
      </c>
      <c r="S1332" s="25">
        <f>IF(R1332&lt;=2,"1-2",IF(R1332&lt;=5,"3-5",IF(R1332&lt;=10,"6-10","11+")))</f>
        <v/>
      </c>
    </row>
    <row r="1333">
      <c r="A1333" s="39" t="n">
        <v>46167.27327546296</v>
      </c>
      <c r="B1333" s="25">
        <f>TEXT(A1333,"YYYY-MM")</f>
        <v/>
      </c>
      <c r="C1333" s="25">
        <f>TEXT(A1333,"MMM-YYYY")</f>
        <v/>
      </c>
      <c r="D1333" s="40">
        <f>INT(A1333)-WEEKDAY(A1333,2)+1</f>
        <v/>
      </c>
      <c r="E1333" s="25" t="inlineStr">
        <is>
          <t>arsarkar</t>
        </is>
      </c>
      <c r="F1333" s="25" t="n">
        <v>4968</v>
      </c>
      <c r="G1333" s="25" t="n">
        <v>1</v>
      </c>
      <c r="H1333" s="25" t="n">
        <v>7</v>
      </c>
      <c r="I1333" s="25" t="inlineStr">
        <is>
          <t>1 minute(s) and 22 second(s)</t>
        </is>
      </c>
      <c r="J1333" s="25">
        <f>IFERROR(VALUE(TRIM(LEFT(I1333,FIND("minute",I1333)-1)))*60,0)+IFERROR(VALUE(SUBSTITUTE(MID(I1333,IFERROR(FIND("and",I1333)+3,1),20),"second(s)","")),0)</f>
        <v/>
      </c>
      <c r="K1333" s="41">
        <f>J1333/60</f>
        <v/>
      </c>
      <c r="L1333" s="41">
        <f>IFERROR(J1333/H1333,"")</f>
        <v/>
      </c>
      <c r="M1333" s="25" t="inlineStr">
        <is>
          <t>2.5.12</t>
        </is>
      </c>
      <c r="N1333" s="25">
        <f>IF(J1333&gt;300,1,0)</f>
        <v/>
      </c>
      <c r="O1333" s="25">
        <f>IF(J1333&gt;600,1,0)</f>
        <v/>
      </c>
      <c r="P1333" s="25">
        <f>IF(H1333&gt;0,J1333,"")</f>
        <v/>
      </c>
      <c r="Q1333" s="25">
        <f>TEXT(A1333,"YYYY-MM-DD HH")</f>
        <v/>
      </c>
      <c r="R1333" s="25">
        <f>COUNTIF($Q$2:$Q$5295,Q1333)</f>
        <v/>
      </c>
      <c r="S1333" s="25">
        <f>IF(R1333&lt;=2,"1-2",IF(R1333&lt;=5,"3-5",IF(R1333&lt;=10,"6-10","11+")))</f>
        <v/>
      </c>
    </row>
    <row r="1334">
      <c r="A1334" s="39" t="n">
        <v>46167.27684027778</v>
      </c>
      <c r="B1334" s="25">
        <f>TEXT(A1334,"YYYY-MM")</f>
        <v/>
      </c>
      <c r="C1334" s="25">
        <f>TEXT(A1334,"MMM-YYYY")</f>
        <v/>
      </c>
      <c r="D1334" s="40">
        <f>INT(A1334)-WEEKDAY(A1334,2)+1</f>
        <v/>
      </c>
      <c r="E1334" s="25" t="inlineStr">
        <is>
          <t>sswati</t>
        </is>
      </c>
      <c r="F1334" s="25" t="n">
        <v>3896</v>
      </c>
      <c r="G1334" s="25" t="n">
        <v>1</v>
      </c>
      <c r="H1334" s="25" t="n">
        <v>5</v>
      </c>
      <c r="I1334" s="25" t="inlineStr">
        <is>
          <t>2 minute(s) and 23 second(s)</t>
        </is>
      </c>
      <c r="J1334" s="25">
        <f>IFERROR(VALUE(TRIM(LEFT(I1334,FIND("minute",I1334)-1)))*60,0)+IFERROR(VALUE(SUBSTITUTE(MID(I1334,IFERROR(FIND("and",I1334)+3,1),20),"second(s)","")),0)</f>
        <v/>
      </c>
      <c r="K1334" s="41">
        <f>J1334/60</f>
        <v/>
      </c>
      <c r="L1334" s="41">
        <f>IFERROR(J1334/H1334,"")</f>
        <v/>
      </c>
      <c r="M1334" s="25" t="inlineStr">
        <is>
          <t>2.5.12</t>
        </is>
      </c>
      <c r="N1334" s="25">
        <f>IF(J1334&gt;300,1,0)</f>
        <v/>
      </c>
      <c r="O1334" s="25">
        <f>IF(J1334&gt;600,1,0)</f>
        <v/>
      </c>
      <c r="P1334" s="25">
        <f>IF(H1334&gt;0,J1334,"")</f>
        <v/>
      </c>
      <c r="Q1334" s="25">
        <f>TEXT(A1334,"YYYY-MM-DD HH")</f>
        <v/>
      </c>
      <c r="R1334" s="25">
        <f>COUNTIF($Q$2:$Q$5295,Q1334)</f>
        <v/>
      </c>
      <c r="S1334" s="25">
        <f>IF(R1334&lt;=2,"1-2",IF(R1334&lt;=5,"3-5",IF(R1334&lt;=10,"6-10","11+")))</f>
        <v/>
      </c>
    </row>
    <row r="1335">
      <c r="A1335" s="39" t="n">
        <v>46167.27891203704</v>
      </c>
      <c r="B1335" s="25">
        <f>TEXT(A1335,"YYYY-MM")</f>
        <v/>
      </c>
      <c r="C1335" s="25">
        <f>TEXT(A1335,"MMM-YYYY")</f>
        <v/>
      </c>
      <c r="D1335" s="40">
        <f>INT(A1335)-WEEKDAY(A1335,2)+1</f>
        <v/>
      </c>
      <c r="E1335" s="25" t="inlineStr">
        <is>
          <t>sswati</t>
        </is>
      </c>
      <c r="F1335" s="25" t="n">
        <v>3896</v>
      </c>
      <c r="G1335" s="25" t="n">
        <v>1</v>
      </c>
      <c r="H1335" s="25" t="n">
        <v>5</v>
      </c>
      <c r="I1335" s="25" t="inlineStr">
        <is>
          <t>1 minute(s) and 35 second(s)</t>
        </is>
      </c>
      <c r="J1335" s="25">
        <f>IFERROR(VALUE(TRIM(LEFT(I1335,FIND("minute",I1335)-1)))*60,0)+IFERROR(VALUE(SUBSTITUTE(MID(I1335,IFERROR(FIND("and",I1335)+3,1),20),"second(s)","")),0)</f>
        <v/>
      </c>
      <c r="K1335" s="41">
        <f>J1335/60</f>
        <v/>
      </c>
      <c r="L1335" s="41">
        <f>IFERROR(J1335/H1335,"")</f>
        <v/>
      </c>
      <c r="M1335" s="25" t="inlineStr">
        <is>
          <t>2.5.12</t>
        </is>
      </c>
      <c r="N1335" s="25">
        <f>IF(J1335&gt;300,1,0)</f>
        <v/>
      </c>
      <c r="O1335" s="25">
        <f>IF(J1335&gt;600,1,0)</f>
        <v/>
      </c>
      <c r="P1335" s="25">
        <f>IF(H1335&gt;0,J1335,"")</f>
        <v/>
      </c>
      <c r="Q1335" s="25">
        <f>TEXT(A1335,"YYYY-MM-DD HH")</f>
        <v/>
      </c>
      <c r="R1335" s="25">
        <f>COUNTIF($Q$2:$Q$5295,Q1335)</f>
        <v/>
      </c>
      <c r="S1335" s="25">
        <f>IF(R1335&lt;=2,"1-2",IF(R1335&lt;=5,"3-5",IF(R1335&lt;=10,"6-10","11+")))</f>
        <v/>
      </c>
    </row>
    <row r="1336">
      <c r="A1336" s="39" t="n">
        <v>46167.27895833334</v>
      </c>
      <c r="B1336" s="25">
        <f>TEXT(A1336,"YYYY-MM")</f>
        <v/>
      </c>
      <c r="C1336" s="25">
        <f>TEXT(A1336,"MMM-YYYY")</f>
        <v/>
      </c>
      <c r="D1336" s="40">
        <f>INT(A1336)-WEEKDAY(A1336,2)+1</f>
        <v/>
      </c>
      <c r="E1336" s="25" t="inlineStr">
        <is>
          <t>akumari</t>
        </is>
      </c>
      <c r="F1336" s="25" t="n">
        <v>5100</v>
      </c>
      <c r="G1336" s="25" t="n">
        <v>1</v>
      </c>
      <c r="H1336" s="25" t="n">
        <v>7</v>
      </c>
      <c r="I1336" s="25" t="inlineStr">
        <is>
          <t>1 minute(s) and 8 second(s)</t>
        </is>
      </c>
      <c r="J1336" s="25">
        <f>IFERROR(VALUE(TRIM(LEFT(I1336,FIND("minute",I1336)-1)))*60,0)+IFERROR(VALUE(SUBSTITUTE(MID(I1336,IFERROR(FIND("and",I1336)+3,1),20),"second(s)","")),0)</f>
        <v/>
      </c>
      <c r="K1336" s="41">
        <f>J1336/60</f>
        <v/>
      </c>
      <c r="L1336" s="41">
        <f>IFERROR(J1336/H1336,"")</f>
        <v/>
      </c>
      <c r="M1336" s="25" t="inlineStr">
        <is>
          <t>2.5.12</t>
        </is>
      </c>
      <c r="N1336" s="25">
        <f>IF(J1336&gt;300,1,0)</f>
        <v/>
      </c>
      <c r="O1336" s="25">
        <f>IF(J1336&gt;600,1,0)</f>
        <v/>
      </c>
      <c r="P1336" s="25">
        <f>IF(H1336&gt;0,J1336,"")</f>
        <v/>
      </c>
      <c r="Q1336" s="25">
        <f>TEXT(A1336,"YYYY-MM-DD HH")</f>
        <v/>
      </c>
      <c r="R1336" s="25">
        <f>COUNTIF($Q$2:$Q$5295,Q1336)</f>
        <v/>
      </c>
      <c r="S1336" s="25">
        <f>IF(R1336&lt;=2,"1-2",IF(R1336&lt;=5,"3-5",IF(R1336&lt;=10,"6-10","11+")))</f>
        <v/>
      </c>
    </row>
    <row r="1337">
      <c r="A1337" s="39" t="n">
        <v>46167.28138888889</v>
      </c>
      <c r="B1337" s="25">
        <f>TEXT(A1337,"YYYY-MM")</f>
        <v/>
      </c>
      <c r="C1337" s="25">
        <f>TEXT(A1337,"MMM-YYYY")</f>
        <v/>
      </c>
      <c r="D1337" s="40">
        <f>INT(A1337)-WEEKDAY(A1337,2)+1</f>
        <v/>
      </c>
      <c r="E1337" s="25" t="inlineStr">
        <is>
          <t>sswati</t>
        </is>
      </c>
      <c r="F1337" s="25" t="n">
        <v>3896</v>
      </c>
      <c r="G1337" s="25" t="n">
        <v>1</v>
      </c>
      <c r="H1337" s="25" t="n">
        <v>7</v>
      </c>
      <c r="I1337" s="25" t="inlineStr">
        <is>
          <t>1 minute(s) and 54 second(s)</t>
        </is>
      </c>
      <c r="J1337" s="25">
        <f>IFERROR(VALUE(TRIM(LEFT(I1337,FIND("minute",I1337)-1)))*60,0)+IFERROR(VALUE(SUBSTITUTE(MID(I1337,IFERROR(FIND("and",I1337)+3,1),20),"second(s)","")),0)</f>
        <v/>
      </c>
      <c r="K1337" s="41">
        <f>J1337/60</f>
        <v/>
      </c>
      <c r="L1337" s="41">
        <f>IFERROR(J1337/H1337,"")</f>
        <v/>
      </c>
      <c r="M1337" s="25" t="inlineStr">
        <is>
          <t>2.5.12</t>
        </is>
      </c>
      <c r="N1337" s="25">
        <f>IF(J1337&gt;300,1,0)</f>
        <v/>
      </c>
      <c r="O1337" s="25">
        <f>IF(J1337&gt;600,1,0)</f>
        <v/>
      </c>
      <c r="P1337" s="25">
        <f>IF(H1337&gt;0,J1337,"")</f>
        <v/>
      </c>
      <c r="Q1337" s="25">
        <f>TEXT(A1337,"YYYY-MM-DD HH")</f>
        <v/>
      </c>
      <c r="R1337" s="25">
        <f>COUNTIF($Q$2:$Q$5295,Q1337)</f>
        <v/>
      </c>
      <c r="S1337" s="25">
        <f>IF(R1337&lt;=2,"1-2",IF(R1337&lt;=5,"3-5",IF(R1337&lt;=10,"6-10","11+")))</f>
        <v/>
      </c>
    </row>
    <row r="1338">
      <c r="A1338" s="39" t="n">
        <v>46167.28476851852</v>
      </c>
      <c r="B1338" s="25">
        <f>TEXT(A1338,"YYYY-MM")</f>
        <v/>
      </c>
      <c r="C1338" s="25">
        <f>TEXT(A1338,"MMM-YYYY")</f>
        <v/>
      </c>
      <c r="D1338" s="40">
        <f>INT(A1338)-WEEKDAY(A1338,2)+1</f>
        <v/>
      </c>
      <c r="E1338" s="25" t="inlineStr">
        <is>
          <t>dchoudhury</t>
        </is>
      </c>
      <c r="F1338" s="25" t="n">
        <v>3472</v>
      </c>
      <c r="G1338" s="25" t="n">
        <v>2</v>
      </c>
      <c r="H1338" s="25" t="n">
        <v>10</v>
      </c>
      <c r="I1338" s="25" t="inlineStr">
        <is>
          <t>2 minute(s) and 39 second(s)</t>
        </is>
      </c>
      <c r="J1338" s="25">
        <f>IFERROR(VALUE(TRIM(LEFT(I1338,FIND("minute",I1338)-1)))*60,0)+IFERROR(VALUE(SUBSTITUTE(MID(I1338,IFERROR(FIND("and",I1338)+3,1),20),"second(s)","")),0)</f>
        <v/>
      </c>
      <c r="K1338" s="41">
        <f>J1338/60</f>
        <v/>
      </c>
      <c r="L1338" s="41">
        <f>IFERROR(J1338/H1338,"")</f>
        <v/>
      </c>
      <c r="M1338" s="25" t="inlineStr">
        <is>
          <t>2.5.12</t>
        </is>
      </c>
      <c r="N1338" s="25">
        <f>IF(J1338&gt;300,1,0)</f>
        <v/>
      </c>
      <c r="O1338" s="25">
        <f>IF(J1338&gt;600,1,0)</f>
        <v/>
      </c>
      <c r="P1338" s="25">
        <f>IF(H1338&gt;0,J1338,"")</f>
        <v/>
      </c>
      <c r="Q1338" s="25">
        <f>TEXT(A1338,"YYYY-MM-DD HH")</f>
        <v/>
      </c>
      <c r="R1338" s="25">
        <f>COUNTIF($Q$2:$Q$5295,Q1338)</f>
        <v/>
      </c>
      <c r="S1338" s="25">
        <f>IF(R1338&lt;=2,"1-2",IF(R1338&lt;=5,"3-5",IF(R1338&lt;=10,"6-10","11+")))</f>
        <v/>
      </c>
    </row>
    <row r="1339">
      <c r="A1339" s="39" t="n">
        <v>46167.28662037037</v>
      </c>
      <c r="B1339" s="25">
        <f>TEXT(A1339,"YYYY-MM")</f>
        <v/>
      </c>
      <c r="C1339" s="25">
        <f>TEXT(A1339,"MMM-YYYY")</f>
        <v/>
      </c>
      <c r="D1339" s="40">
        <f>INT(A1339)-WEEKDAY(A1339,2)+1</f>
        <v/>
      </c>
      <c r="E1339" s="25" t="inlineStr">
        <is>
          <t>shassan</t>
        </is>
      </c>
      <c r="F1339" s="25" t="n">
        <v>4097</v>
      </c>
      <c r="G1339" s="25" t="n">
        <v>1</v>
      </c>
      <c r="H1339" s="25" t="n">
        <v>7</v>
      </c>
      <c r="I1339" s="25" t="inlineStr">
        <is>
          <t>1 minute(s) and 42 second(s)</t>
        </is>
      </c>
      <c r="J1339" s="25">
        <f>IFERROR(VALUE(TRIM(LEFT(I1339,FIND("minute",I1339)-1)))*60,0)+IFERROR(VALUE(SUBSTITUTE(MID(I1339,IFERROR(FIND("and",I1339)+3,1),20),"second(s)","")),0)</f>
        <v/>
      </c>
      <c r="K1339" s="41">
        <f>J1339/60</f>
        <v/>
      </c>
      <c r="L1339" s="41">
        <f>IFERROR(J1339/H1339,"")</f>
        <v/>
      </c>
      <c r="M1339" s="25" t="inlineStr">
        <is>
          <t>2.5.12</t>
        </is>
      </c>
      <c r="N1339" s="25">
        <f>IF(J1339&gt;300,1,0)</f>
        <v/>
      </c>
      <c r="O1339" s="25">
        <f>IF(J1339&gt;600,1,0)</f>
        <v/>
      </c>
      <c r="P1339" s="25">
        <f>IF(H1339&gt;0,J1339,"")</f>
        <v/>
      </c>
      <c r="Q1339" s="25">
        <f>TEXT(A1339,"YYYY-MM-DD HH")</f>
        <v/>
      </c>
      <c r="R1339" s="25">
        <f>COUNTIF($Q$2:$Q$5295,Q1339)</f>
        <v/>
      </c>
      <c r="S1339" s="25">
        <f>IF(R1339&lt;=2,"1-2",IF(R1339&lt;=5,"3-5",IF(R1339&lt;=10,"6-10","11+")))</f>
        <v/>
      </c>
    </row>
    <row r="1340">
      <c r="A1340" s="39" t="n">
        <v>46167.28831018518</v>
      </c>
      <c r="B1340" s="25">
        <f>TEXT(A1340,"YYYY-MM")</f>
        <v/>
      </c>
      <c r="C1340" s="25">
        <f>TEXT(A1340,"MMM-YYYY")</f>
        <v/>
      </c>
      <c r="D1340" s="40">
        <f>INT(A1340)-WEEKDAY(A1340,2)+1</f>
        <v/>
      </c>
      <c r="E1340" s="25" t="inlineStr">
        <is>
          <t>pmishra</t>
        </is>
      </c>
      <c r="F1340" s="25" t="n">
        <v>5213</v>
      </c>
      <c r="G1340" s="25" t="n">
        <v>1</v>
      </c>
      <c r="H1340" s="25" t="n">
        <v>7</v>
      </c>
      <c r="I1340" s="25" t="inlineStr">
        <is>
          <t>1 minute(s) and 33 second(s)</t>
        </is>
      </c>
      <c r="J1340" s="25">
        <f>IFERROR(VALUE(TRIM(LEFT(I1340,FIND("minute",I1340)-1)))*60,0)+IFERROR(VALUE(SUBSTITUTE(MID(I1340,IFERROR(FIND("and",I1340)+3,1),20),"second(s)","")),0)</f>
        <v/>
      </c>
      <c r="K1340" s="41">
        <f>J1340/60</f>
        <v/>
      </c>
      <c r="L1340" s="41">
        <f>IFERROR(J1340/H1340,"")</f>
        <v/>
      </c>
      <c r="M1340" s="25" t="inlineStr">
        <is>
          <t>2.5.12</t>
        </is>
      </c>
      <c r="N1340" s="25">
        <f>IF(J1340&gt;300,1,0)</f>
        <v/>
      </c>
      <c r="O1340" s="25">
        <f>IF(J1340&gt;600,1,0)</f>
        <v/>
      </c>
      <c r="P1340" s="25">
        <f>IF(H1340&gt;0,J1340,"")</f>
        <v/>
      </c>
      <c r="Q1340" s="25">
        <f>TEXT(A1340,"YYYY-MM-DD HH")</f>
        <v/>
      </c>
      <c r="R1340" s="25">
        <f>COUNTIF($Q$2:$Q$5295,Q1340)</f>
        <v/>
      </c>
      <c r="S1340" s="25">
        <f>IF(R1340&lt;=2,"1-2",IF(R1340&lt;=5,"3-5",IF(R1340&lt;=10,"6-10","11+")))</f>
        <v/>
      </c>
    </row>
    <row r="1341">
      <c r="A1341" s="39" t="n">
        <v>46167.28869212963</v>
      </c>
      <c r="B1341" s="25">
        <f>TEXT(A1341,"YYYY-MM")</f>
        <v/>
      </c>
      <c r="C1341" s="25">
        <f>TEXT(A1341,"MMM-YYYY")</f>
        <v/>
      </c>
      <c r="D1341" s="40">
        <f>INT(A1341)-WEEKDAY(A1341,2)+1</f>
        <v/>
      </c>
      <c r="E1341" s="25" t="inlineStr">
        <is>
          <t>atiwari</t>
        </is>
      </c>
      <c r="F1341" s="25" t="n">
        <v>30165</v>
      </c>
      <c r="G1341" s="25" t="n">
        <v>1</v>
      </c>
      <c r="H1341" s="25" t="n">
        <v>7</v>
      </c>
      <c r="I1341" s="25" t="inlineStr">
        <is>
          <t>1 minute(s) and 2 second(s)</t>
        </is>
      </c>
      <c r="J1341" s="25">
        <f>IFERROR(VALUE(TRIM(LEFT(I1341,FIND("minute",I1341)-1)))*60,0)+IFERROR(VALUE(SUBSTITUTE(MID(I1341,IFERROR(FIND("and",I1341)+3,1),20),"second(s)","")),0)</f>
        <v/>
      </c>
      <c r="K1341" s="41">
        <f>J1341/60</f>
        <v/>
      </c>
      <c r="L1341" s="41">
        <f>IFERROR(J1341/H1341,"")</f>
        <v/>
      </c>
      <c r="M1341" s="25" t="inlineStr">
        <is>
          <t>2.5.12</t>
        </is>
      </c>
      <c r="N1341" s="25">
        <f>IF(J1341&gt;300,1,0)</f>
        <v/>
      </c>
      <c r="O1341" s="25">
        <f>IF(J1341&gt;600,1,0)</f>
        <v/>
      </c>
      <c r="P1341" s="25">
        <f>IF(H1341&gt;0,J1341,"")</f>
        <v/>
      </c>
      <c r="Q1341" s="25">
        <f>TEXT(A1341,"YYYY-MM-DD HH")</f>
        <v/>
      </c>
      <c r="R1341" s="25">
        <f>COUNTIF($Q$2:$Q$5295,Q1341)</f>
        <v/>
      </c>
      <c r="S1341" s="25">
        <f>IF(R1341&lt;=2,"1-2",IF(R1341&lt;=5,"3-5",IF(R1341&lt;=10,"6-10","11+")))</f>
        <v/>
      </c>
    </row>
    <row r="1342">
      <c r="A1342" s="39" t="n">
        <v>46167.28975694445</v>
      </c>
      <c r="B1342" s="25">
        <f>TEXT(A1342,"YYYY-MM")</f>
        <v/>
      </c>
      <c r="C1342" s="25">
        <f>TEXT(A1342,"MMM-YYYY")</f>
        <v/>
      </c>
      <c r="D1342" s="40">
        <f>INT(A1342)-WEEKDAY(A1342,2)+1</f>
        <v/>
      </c>
      <c r="E1342" s="25" t="inlineStr">
        <is>
          <t>csaha</t>
        </is>
      </c>
      <c r="F1342" s="25" t="n">
        <v>4425</v>
      </c>
      <c r="G1342" s="25" t="n">
        <v>1</v>
      </c>
      <c r="H1342" s="25" t="n">
        <v>7</v>
      </c>
      <c r="I1342" s="25" t="inlineStr">
        <is>
          <t>1 minute(s) and 39 second(s)</t>
        </is>
      </c>
      <c r="J1342" s="25">
        <f>IFERROR(VALUE(TRIM(LEFT(I1342,FIND("minute",I1342)-1)))*60,0)+IFERROR(VALUE(SUBSTITUTE(MID(I1342,IFERROR(FIND("and",I1342)+3,1),20),"second(s)","")),0)</f>
        <v/>
      </c>
      <c r="K1342" s="41">
        <f>J1342/60</f>
        <v/>
      </c>
      <c r="L1342" s="41">
        <f>IFERROR(J1342/H1342,"")</f>
        <v/>
      </c>
      <c r="M1342" s="25" t="inlineStr">
        <is>
          <t>2.5.12</t>
        </is>
      </c>
      <c r="N1342" s="25">
        <f>IF(J1342&gt;300,1,0)</f>
        <v/>
      </c>
      <c r="O1342" s="25">
        <f>IF(J1342&gt;600,1,0)</f>
        <v/>
      </c>
      <c r="P1342" s="25">
        <f>IF(H1342&gt;0,J1342,"")</f>
        <v/>
      </c>
      <c r="Q1342" s="25">
        <f>TEXT(A1342,"YYYY-MM-DD HH")</f>
        <v/>
      </c>
      <c r="R1342" s="25">
        <f>COUNTIF($Q$2:$Q$5295,Q1342)</f>
        <v/>
      </c>
      <c r="S1342" s="25">
        <f>IF(R1342&lt;=2,"1-2",IF(R1342&lt;=5,"3-5",IF(R1342&lt;=10,"6-10","11+")))</f>
        <v/>
      </c>
    </row>
    <row r="1343">
      <c r="A1343" s="39" t="n">
        <v>46167.29136574074</v>
      </c>
      <c r="B1343" s="25">
        <f>TEXT(A1343,"YYYY-MM")</f>
        <v/>
      </c>
      <c r="C1343" s="25">
        <f>TEXT(A1343,"MMM-YYYY")</f>
        <v/>
      </c>
      <c r="D1343" s="40">
        <f>INT(A1343)-WEEKDAY(A1343,2)+1</f>
        <v/>
      </c>
      <c r="E1343" s="25" t="inlineStr">
        <is>
          <t>psathwika</t>
        </is>
      </c>
      <c r="F1343" s="25" t="n">
        <v>113407</v>
      </c>
      <c r="G1343" s="25" t="n">
        <v>2</v>
      </c>
      <c r="H1343" s="25" t="n">
        <v>8</v>
      </c>
      <c r="I1343" s="25" t="inlineStr">
        <is>
          <t>2 minute(s) and 0 second(s)</t>
        </is>
      </c>
      <c r="J1343" s="25">
        <f>IFERROR(VALUE(TRIM(LEFT(I1343,FIND("minute",I1343)-1)))*60,0)+IFERROR(VALUE(SUBSTITUTE(MID(I1343,IFERROR(FIND("and",I1343)+3,1),20),"second(s)","")),0)</f>
        <v/>
      </c>
      <c r="K1343" s="41">
        <f>J1343/60</f>
        <v/>
      </c>
      <c r="L1343" s="41">
        <f>IFERROR(J1343/H1343,"")</f>
        <v/>
      </c>
      <c r="M1343" s="25" t="inlineStr">
        <is>
          <t>2.5.12</t>
        </is>
      </c>
      <c r="N1343" s="25">
        <f>IF(J1343&gt;300,1,0)</f>
        <v/>
      </c>
      <c r="O1343" s="25">
        <f>IF(J1343&gt;600,1,0)</f>
        <v/>
      </c>
      <c r="P1343" s="25">
        <f>IF(H1343&gt;0,J1343,"")</f>
        <v/>
      </c>
      <c r="Q1343" s="25">
        <f>TEXT(A1343,"YYYY-MM-DD HH")</f>
        <v/>
      </c>
      <c r="R1343" s="25">
        <f>COUNTIF($Q$2:$Q$5295,Q1343)</f>
        <v/>
      </c>
      <c r="S1343" s="25">
        <f>IF(R1343&lt;=2,"1-2",IF(R1343&lt;=5,"3-5",IF(R1343&lt;=10,"6-10","11+")))</f>
        <v/>
      </c>
    </row>
    <row r="1344">
      <c r="A1344" s="39" t="n">
        <v>46167.29247685185</v>
      </c>
      <c r="B1344" s="25">
        <f>TEXT(A1344,"YYYY-MM")</f>
        <v/>
      </c>
      <c r="C1344" s="25">
        <f>TEXT(A1344,"MMM-YYYY")</f>
        <v/>
      </c>
      <c r="D1344" s="40">
        <f>INT(A1344)-WEEKDAY(A1344,2)+1</f>
        <v/>
      </c>
      <c r="E1344" s="25" t="inlineStr">
        <is>
          <t>stiwari</t>
        </is>
      </c>
      <c r="F1344" s="25" t="n">
        <v>5068</v>
      </c>
      <c r="G1344" s="25" t="n">
        <v>1</v>
      </c>
      <c r="H1344" s="25" t="n">
        <v>5</v>
      </c>
      <c r="I1344" s="25" t="inlineStr">
        <is>
          <t>1 minute(s) and 5 second(s)</t>
        </is>
      </c>
      <c r="J1344" s="25">
        <f>IFERROR(VALUE(TRIM(LEFT(I1344,FIND("minute",I1344)-1)))*60,0)+IFERROR(VALUE(SUBSTITUTE(MID(I1344,IFERROR(FIND("and",I1344)+3,1),20),"second(s)","")),0)</f>
        <v/>
      </c>
      <c r="K1344" s="41">
        <f>J1344/60</f>
        <v/>
      </c>
      <c r="L1344" s="41">
        <f>IFERROR(J1344/H1344,"")</f>
        <v/>
      </c>
      <c r="M1344" s="25" t="inlineStr">
        <is>
          <t>2.5.12</t>
        </is>
      </c>
      <c r="N1344" s="25">
        <f>IF(J1344&gt;300,1,0)</f>
        <v/>
      </c>
      <c r="O1344" s="25">
        <f>IF(J1344&gt;600,1,0)</f>
        <v/>
      </c>
      <c r="P1344" s="25">
        <f>IF(H1344&gt;0,J1344,"")</f>
        <v/>
      </c>
      <c r="Q1344" s="25">
        <f>TEXT(A1344,"YYYY-MM-DD HH")</f>
        <v/>
      </c>
      <c r="R1344" s="25">
        <f>COUNTIF($Q$2:$Q$5295,Q1344)</f>
        <v/>
      </c>
      <c r="S1344" s="25">
        <f>IF(R1344&lt;=2,"1-2",IF(R1344&lt;=5,"3-5",IF(R1344&lt;=10,"6-10","11+")))</f>
        <v/>
      </c>
    </row>
    <row r="1345">
      <c r="A1345" s="39" t="n">
        <v>46167.29873842592</v>
      </c>
      <c r="B1345" s="25">
        <f>TEXT(A1345,"YYYY-MM")</f>
        <v/>
      </c>
      <c r="C1345" s="25">
        <f>TEXT(A1345,"MMM-YYYY")</f>
        <v/>
      </c>
      <c r="D1345" s="40">
        <f>INT(A1345)-WEEKDAY(A1345,2)+1</f>
        <v/>
      </c>
      <c r="E1345" s="25" t="inlineStr">
        <is>
          <t>sdey</t>
        </is>
      </c>
      <c r="F1345" s="25" t="n">
        <v>4266</v>
      </c>
      <c r="G1345" s="25" t="n">
        <v>1</v>
      </c>
      <c r="H1345" s="25" t="n">
        <v>5</v>
      </c>
      <c r="I1345" s="25" t="inlineStr">
        <is>
          <t>1 minute(s) and 27 second(s)</t>
        </is>
      </c>
      <c r="J1345" s="25">
        <f>IFERROR(VALUE(TRIM(LEFT(I1345,FIND("minute",I1345)-1)))*60,0)+IFERROR(VALUE(SUBSTITUTE(MID(I1345,IFERROR(FIND("and",I1345)+3,1),20),"second(s)","")),0)</f>
        <v/>
      </c>
      <c r="K1345" s="41">
        <f>J1345/60</f>
        <v/>
      </c>
      <c r="L1345" s="41">
        <f>IFERROR(J1345/H1345,"")</f>
        <v/>
      </c>
      <c r="M1345" s="25" t="inlineStr">
        <is>
          <t>2.5.12</t>
        </is>
      </c>
      <c r="N1345" s="25">
        <f>IF(J1345&gt;300,1,0)</f>
        <v/>
      </c>
      <c r="O1345" s="25">
        <f>IF(J1345&gt;600,1,0)</f>
        <v/>
      </c>
      <c r="P1345" s="25">
        <f>IF(H1345&gt;0,J1345,"")</f>
        <v/>
      </c>
      <c r="Q1345" s="25">
        <f>TEXT(A1345,"YYYY-MM-DD HH")</f>
        <v/>
      </c>
      <c r="R1345" s="25">
        <f>COUNTIF($Q$2:$Q$5295,Q1345)</f>
        <v/>
      </c>
      <c r="S1345" s="25">
        <f>IF(R1345&lt;=2,"1-2",IF(R1345&lt;=5,"3-5",IF(R1345&lt;=10,"6-10","11+")))</f>
        <v/>
      </c>
    </row>
    <row r="1346">
      <c r="A1346" s="39" t="n">
        <v>46167.30376157408</v>
      </c>
      <c r="B1346" s="25">
        <f>TEXT(A1346,"YYYY-MM")</f>
        <v/>
      </c>
      <c r="C1346" s="25">
        <f>TEXT(A1346,"MMM-YYYY")</f>
        <v/>
      </c>
      <c r="D1346" s="40">
        <f>INT(A1346)-WEEKDAY(A1346,2)+1</f>
        <v/>
      </c>
      <c r="E1346" s="25" t="inlineStr">
        <is>
          <t>pmishra</t>
        </is>
      </c>
      <c r="F1346" s="25" t="n">
        <v>5214</v>
      </c>
      <c r="G1346" s="25" t="n">
        <v>1</v>
      </c>
      <c r="H1346" s="25" t="n">
        <v>7</v>
      </c>
      <c r="I1346" s="25" t="inlineStr">
        <is>
          <t>1 minute(s) and 17 second(s)</t>
        </is>
      </c>
      <c r="J1346" s="25">
        <f>IFERROR(VALUE(TRIM(LEFT(I1346,FIND("minute",I1346)-1)))*60,0)+IFERROR(VALUE(SUBSTITUTE(MID(I1346,IFERROR(FIND("and",I1346)+3,1),20),"second(s)","")),0)</f>
        <v/>
      </c>
      <c r="K1346" s="41">
        <f>J1346/60</f>
        <v/>
      </c>
      <c r="L1346" s="41">
        <f>IFERROR(J1346/H1346,"")</f>
        <v/>
      </c>
      <c r="M1346" s="25" t="inlineStr">
        <is>
          <t>2.5.12</t>
        </is>
      </c>
      <c r="N1346" s="25">
        <f>IF(J1346&gt;300,1,0)</f>
        <v/>
      </c>
      <c r="O1346" s="25">
        <f>IF(J1346&gt;600,1,0)</f>
        <v/>
      </c>
      <c r="P1346" s="25">
        <f>IF(H1346&gt;0,J1346,"")</f>
        <v/>
      </c>
      <c r="Q1346" s="25">
        <f>TEXT(A1346,"YYYY-MM-DD HH")</f>
        <v/>
      </c>
      <c r="R1346" s="25">
        <f>COUNTIF($Q$2:$Q$5295,Q1346)</f>
        <v/>
      </c>
      <c r="S1346" s="25">
        <f>IF(R1346&lt;=2,"1-2",IF(R1346&lt;=5,"3-5",IF(R1346&lt;=10,"6-10","11+")))</f>
        <v/>
      </c>
    </row>
    <row r="1347">
      <c r="A1347" s="39" t="n">
        <v>46167.30398148148</v>
      </c>
      <c r="B1347" s="25">
        <f>TEXT(A1347,"YYYY-MM")</f>
        <v/>
      </c>
      <c r="C1347" s="25">
        <f>TEXT(A1347,"MMM-YYYY")</f>
        <v/>
      </c>
      <c r="D1347" s="40">
        <f>INT(A1347)-WEEKDAY(A1347,2)+1</f>
        <v/>
      </c>
      <c r="E1347" s="25" t="inlineStr">
        <is>
          <t>mbohra</t>
        </is>
      </c>
      <c r="F1347" s="25" t="n">
        <v>89839</v>
      </c>
      <c r="G1347" s="25" t="n">
        <v>4</v>
      </c>
      <c r="H1347" s="25" t="n">
        <v>22</v>
      </c>
      <c r="I1347" s="25" t="inlineStr">
        <is>
          <t>7 minute(s) and 8 second(s)</t>
        </is>
      </c>
      <c r="J1347" s="25">
        <f>IFERROR(VALUE(TRIM(LEFT(I1347,FIND("minute",I1347)-1)))*60,0)+IFERROR(VALUE(SUBSTITUTE(MID(I1347,IFERROR(FIND("and",I1347)+3,1),20),"second(s)","")),0)</f>
        <v/>
      </c>
      <c r="K1347" s="41">
        <f>J1347/60</f>
        <v/>
      </c>
      <c r="L1347" s="41">
        <f>IFERROR(J1347/H1347,"")</f>
        <v/>
      </c>
      <c r="M1347" s="25" t="inlineStr">
        <is>
          <t>2.5.12</t>
        </is>
      </c>
      <c r="N1347" s="25">
        <f>IF(J1347&gt;300,1,0)</f>
        <v/>
      </c>
      <c r="O1347" s="25">
        <f>IF(J1347&gt;600,1,0)</f>
        <v/>
      </c>
      <c r="P1347" s="25">
        <f>IF(H1347&gt;0,J1347,"")</f>
        <v/>
      </c>
      <c r="Q1347" s="25">
        <f>TEXT(A1347,"YYYY-MM-DD HH")</f>
        <v/>
      </c>
      <c r="R1347" s="25">
        <f>COUNTIF($Q$2:$Q$5295,Q1347)</f>
        <v/>
      </c>
      <c r="S1347" s="25">
        <f>IF(R1347&lt;=2,"1-2",IF(R1347&lt;=5,"3-5",IF(R1347&lt;=10,"6-10","11+")))</f>
        <v/>
      </c>
    </row>
    <row r="1348">
      <c r="A1348" s="39" t="n">
        <v>46167.30432870371</v>
      </c>
      <c r="B1348" s="25">
        <f>TEXT(A1348,"YYYY-MM")</f>
        <v/>
      </c>
      <c r="C1348" s="25">
        <f>TEXT(A1348,"MMM-YYYY")</f>
        <v/>
      </c>
      <c r="D1348" s="40">
        <f>INT(A1348)-WEEKDAY(A1348,2)+1</f>
        <v/>
      </c>
      <c r="E1348" s="25" t="inlineStr">
        <is>
          <t>shassan</t>
        </is>
      </c>
      <c r="F1348" s="25" t="n">
        <v>4098</v>
      </c>
      <c r="G1348" s="25" t="n">
        <v>1</v>
      </c>
      <c r="H1348" s="25" t="n">
        <v>7</v>
      </c>
      <c r="I1348" s="25" t="inlineStr">
        <is>
          <t>1 minute(s) and 18 second(s)</t>
        </is>
      </c>
      <c r="J1348" s="25">
        <f>IFERROR(VALUE(TRIM(LEFT(I1348,FIND("minute",I1348)-1)))*60,0)+IFERROR(VALUE(SUBSTITUTE(MID(I1348,IFERROR(FIND("and",I1348)+3,1),20),"second(s)","")),0)</f>
        <v/>
      </c>
      <c r="K1348" s="41">
        <f>J1348/60</f>
        <v/>
      </c>
      <c r="L1348" s="41">
        <f>IFERROR(J1348/H1348,"")</f>
        <v/>
      </c>
      <c r="M1348" s="25" t="inlineStr">
        <is>
          <t>2.5.12</t>
        </is>
      </c>
      <c r="N1348" s="25">
        <f>IF(J1348&gt;300,1,0)</f>
        <v/>
      </c>
      <c r="O1348" s="25">
        <f>IF(J1348&gt;600,1,0)</f>
        <v/>
      </c>
      <c r="P1348" s="25">
        <f>IF(H1348&gt;0,J1348,"")</f>
        <v/>
      </c>
      <c r="Q1348" s="25">
        <f>TEXT(A1348,"YYYY-MM-DD HH")</f>
        <v/>
      </c>
      <c r="R1348" s="25">
        <f>COUNTIF($Q$2:$Q$5295,Q1348)</f>
        <v/>
      </c>
      <c r="S1348" s="25">
        <f>IF(R1348&lt;=2,"1-2",IF(R1348&lt;=5,"3-5",IF(R1348&lt;=10,"6-10","11+")))</f>
        <v/>
      </c>
    </row>
    <row r="1349">
      <c r="A1349" s="39" t="n">
        <v>46167.30482638889</v>
      </c>
      <c r="B1349" s="25">
        <f>TEXT(A1349,"YYYY-MM")</f>
        <v/>
      </c>
      <c r="C1349" s="25">
        <f>TEXT(A1349,"MMM-YYYY")</f>
        <v/>
      </c>
      <c r="D1349" s="40">
        <f>INT(A1349)-WEEKDAY(A1349,2)+1</f>
        <v/>
      </c>
      <c r="E1349" s="25" t="inlineStr">
        <is>
          <t>hsindwani</t>
        </is>
      </c>
      <c r="F1349" s="25" t="n">
        <v>4280</v>
      </c>
      <c r="G1349" s="25" t="n">
        <v>1</v>
      </c>
      <c r="H1349" s="25" t="n">
        <v>7</v>
      </c>
      <c r="I1349" s="25" t="inlineStr">
        <is>
          <t>3 minute(s) and 44 second(s)</t>
        </is>
      </c>
      <c r="J1349" s="25">
        <f>IFERROR(VALUE(TRIM(LEFT(I1349,FIND("minute",I1349)-1)))*60,0)+IFERROR(VALUE(SUBSTITUTE(MID(I1349,IFERROR(FIND("and",I1349)+3,1),20),"second(s)","")),0)</f>
        <v/>
      </c>
      <c r="K1349" s="41">
        <f>J1349/60</f>
        <v/>
      </c>
      <c r="L1349" s="41">
        <f>IFERROR(J1349/H1349,"")</f>
        <v/>
      </c>
      <c r="M1349" s="25" t="inlineStr">
        <is>
          <t>2.5.12</t>
        </is>
      </c>
      <c r="N1349" s="25">
        <f>IF(J1349&gt;300,1,0)</f>
        <v/>
      </c>
      <c r="O1349" s="25">
        <f>IF(J1349&gt;600,1,0)</f>
        <v/>
      </c>
      <c r="P1349" s="25">
        <f>IF(H1349&gt;0,J1349,"")</f>
        <v/>
      </c>
      <c r="Q1349" s="25">
        <f>TEXT(A1349,"YYYY-MM-DD HH")</f>
        <v/>
      </c>
      <c r="R1349" s="25">
        <f>COUNTIF($Q$2:$Q$5295,Q1349)</f>
        <v/>
      </c>
      <c r="S1349" s="25">
        <f>IF(R1349&lt;=2,"1-2",IF(R1349&lt;=5,"3-5",IF(R1349&lt;=10,"6-10","11+")))</f>
        <v/>
      </c>
    </row>
    <row r="1350">
      <c r="A1350" s="39" t="n">
        <v>46167.30555555555</v>
      </c>
      <c r="B1350" s="25">
        <f>TEXT(A1350,"YYYY-MM")</f>
        <v/>
      </c>
      <c r="C1350" s="25">
        <f>TEXT(A1350,"MMM-YYYY")</f>
        <v/>
      </c>
      <c r="D1350" s="40">
        <f>INT(A1350)-WEEKDAY(A1350,2)+1</f>
        <v/>
      </c>
      <c r="E1350" s="25" t="inlineStr">
        <is>
          <t>pgautam</t>
        </is>
      </c>
      <c r="F1350" s="25" t="n">
        <v>27292</v>
      </c>
      <c r="G1350" s="25" t="n">
        <v>5</v>
      </c>
      <c r="H1350" s="25" t="n">
        <v>29</v>
      </c>
      <c r="I1350" s="25" t="inlineStr">
        <is>
          <t>6 minute(s) and 36 second(s)</t>
        </is>
      </c>
      <c r="J1350" s="25">
        <f>IFERROR(VALUE(TRIM(LEFT(I1350,FIND("minute",I1350)-1)))*60,0)+IFERROR(VALUE(SUBSTITUTE(MID(I1350,IFERROR(FIND("and",I1350)+3,1),20),"second(s)","")),0)</f>
        <v/>
      </c>
      <c r="K1350" s="41">
        <f>J1350/60</f>
        <v/>
      </c>
      <c r="L1350" s="41">
        <f>IFERROR(J1350/H1350,"")</f>
        <v/>
      </c>
      <c r="M1350" s="25" t="inlineStr">
        <is>
          <t>2.5.12</t>
        </is>
      </c>
      <c r="N1350" s="25">
        <f>IF(J1350&gt;300,1,0)</f>
        <v/>
      </c>
      <c r="O1350" s="25">
        <f>IF(J1350&gt;600,1,0)</f>
        <v/>
      </c>
      <c r="P1350" s="25">
        <f>IF(H1350&gt;0,J1350,"")</f>
        <v/>
      </c>
      <c r="Q1350" s="25">
        <f>TEXT(A1350,"YYYY-MM-DD HH")</f>
        <v/>
      </c>
      <c r="R1350" s="25">
        <f>COUNTIF($Q$2:$Q$5295,Q1350)</f>
        <v/>
      </c>
      <c r="S1350" s="25">
        <f>IF(R1350&lt;=2,"1-2",IF(R1350&lt;=5,"3-5",IF(R1350&lt;=10,"6-10","11+")))</f>
        <v/>
      </c>
    </row>
    <row r="1351">
      <c r="A1351" s="39" t="n">
        <v>46167.30863425926</v>
      </c>
      <c r="B1351" s="25">
        <f>TEXT(A1351,"YYYY-MM")</f>
        <v/>
      </c>
      <c r="C1351" s="25">
        <f>TEXT(A1351,"MMM-YYYY")</f>
        <v/>
      </c>
      <c r="D1351" s="40">
        <f>INT(A1351)-WEEKDAY(A1351,2)+1</f>
        <v/>
      </c>
      <c r="E1351" s="25" t="inlineStr">
        <is>
          <t>atiwari</t>
        </is>
      </c>
      <c r="F1351" s="25" t="n">
        <v>69268</v>
      </c>
      <c r="G1351" s="25" t="n">
        <v>1</v>
      </c>
      <c r="H1351" s="25" t="n">
        <v>7</v>
      </c>
      <c r="I1351" s="25" t="inlineStr">
        <is>
          <t>1 minute(s) and 9 second(s)</t>
        </is>
      </c>
      <c r="J1351" s="25">
        <f>IFERROR(VALUE(TRIM(LEFT(I1351,FIND("minute",I1351)-1)))*60,0)+IFERROR(VALUE(SUBSTITUTE(MID(I1351,IFERROR(FIND("and",I1351)+3,1),20),"second(s)","")),0)</f>
        <v/>
      </c>
      <c r="K1351" s="41">
        <f>J1351/60</f>
        <v/>
      </c>
      <c r="L1351" s="41">
        <f>IFERROR(J1351/H1351,"")</f>
        <v/>
      </c>
      <c r="M1351" s="25" t="inlineStr">
        <is>
          <t>2.5.12</t>
        </is>
      </c>
      <c r="N1351" s="25">
        <f>IF(J1351&gt;300,1,0)</f>
        <v/>
      </c>
      <c r="O1351" s="25">
        <f>IF(J1351&gt;600,1,0)</f>
        <v/>
      </c>
      <c r="P1351" s="25">
        <f>IF(H1351&gt;0,J1351,"")</f>
        <v/>
      </c>
      <c r="Q1351" s="25">
        <f>TEXT(A1351,"YYYY-MM-DD HH")</f>
        <v/>
      </c>
      <c r="R1351" s="25">
        <f>COUNTIF($Q$2:$Q$5295,Q1351)</f>
        <v/>
      </c>
      <c r="S1351" s="25">
        <f>IF(R1351&lt;=2,"1-2",IF(R1351&lt;=5,"3-5",IF(R1351&lt;=10,"6-10","11+")))</f>
        <v/>
      </c>
    </row>
    <row r="1352">
      <c r="A1352" s="39" t="n">
        <v>46167.32292824074</v>
      </c>
      <c r="B1352" s="25">
        <f>TEXT(A1352,"YYYY-MM")</f>
        <v/>
      </c>
      <c r="C1352" s="25">
        <f>TEXT(A1352,"MMM-YYYY")</f>
        <v/>
      </c>
      <c r="D1352" s="40">
        <f>INT(A1352)-WEEKDAY(A1352,2)+1</f>
        <v/>
      </c>
      <c r="E1352" s="25" t="inlineStr">
        <is>
          <t>sdey</t>
        </is>
      </c>
      <c r="F1352" s="25" t="n">
        <v>4269</v>
      </c>
      <c r="G1352" s="25" t="n">
        <v>1</v>
      </c>
      <c r="H1352" s="25" t="n">
        <v>7</v>
      </c>
      <c r="I1352" s="25" t="inlineStr">
        <is>
          <t>2 minute(s) and 47 second(s)</t>
        </is>
      </c>
      <c r="J1352" s="25">
        <f>IFERROR(VALUE(TRIM(LEFT(I1352,FIND("minute",I1352)-1)))*60,0)+IFERROR(VALUE(SUBSTITUTE(MID(I1352,IFERROR(FIND("and",I1352)+3,1),20),"second(s)","")),0)</f>
        <v/>
      </c>
      <c r="K1352" s="41">
        <f>J1352/60</f>
        <v/>
      </c>
      <c r="L1352" s="41">
        <f>IFERROR(J1352/H1352,"")</f>
        <v/>
      </c>
      <c r="M1352" s="25" t="inlineStr">
        <is>
          <t>2.5.12</t>
        </is>
      </c>
      <c r="N1352" s="25">
        <f>IF(J1352&gt;300,1,0)</f>
        <v/>
      </c>
      <c r="O1352" s="25">
        <f>IF(J1352&gt;600,1,0)</f>
        <v/>
      </c>
      <c r="P1352" s="25">
        <f>IF(H1352&gt;0,J1352,"")</f>
        <v/>
      </c>
      <c r="Q1352" s="25">
        <f>TEXT(A1352,"YYYY-MM-DD HH")</f>
        <v/>
      </c>
      <c r="R1352" s="25">
        <f>COUNTIF($Q$2:$Q$5295,Q1352)</f>
        <v/>
      </c>
      <c r="S1352" s="25">
        <f>IF(R1352&lt;=2,"1-2",IF(R1352&lt;=5,"3-5",IF(R1352&lt;=10,"6-10","11+")))</f>
        <v/>
      </c>
    </row>
    <row r="1353">
      <c r="A1353" s="39" t="n">
        <v>46167.3325462963</v>
      </c>
      <c r="B1353" s="25">
        <f>TEXT(A1353,"YYYY-MM")</f>
        <v/>
      </c>
      <c r="C1353" s="25">
        <f>TEXT(A1353,"MMM-YYYY")</f>
        <v/>
      </c>
      <c r="D1353" s="40">
        <f>INT(A1353)-WEEKDAY(A1353,2)+1</f>
        <v/>
      </c>
      <c r="E1353" s="25" t="inlineStr">
        <is>
          <t>asahoo</t>
        </is>
      </c>
      <c r="F1353" s="25" t="n">
        <v>4997</v>
      </c>
      <c r="G1353" s="25" t="n">
        <v>2</v>
      </c>
      <c r="H1353" s="25" t="n">
        <v>6</v>
      </c>
      <c r="I1353" s="25" t="inlineStr">
        <is>
          <t>1 minute(s) and 8 second(s)</t>
        </is>
      </c>
      <c r="J1353" s="25">
        <f>IFERROR(VALUE(TRIM(LEFT(I1353,FIND("minute",I1353)-1)))*60,0)+IFERROR(VALUE(SUBSTITUTE(MID(I1353,IFERROR(FIND("and",I1353)+3,1),20),"second(s)","")),0)</f>
        <v/>
      </c>
      <c r="K1353" s="41">
        <f>J1353/60</f>
        <v/>
      </c>
      <c r="L1353" s="41">
        <f>IFERROR(J1353/H1353,"")</f>
        <v/>
      </c>
      <c r="M1353" s="25" t="inlineStr">
        <is>
          <t>2.5.12</t>
        </is>
      </c>
      <c r="N1353" s="25">
        <f>IF(J1353&gt;300,1,0)</f>
        <v/>
      </c>
      <c r="O1353" s="25">
        <f>IF(J1353&gt;600,1,0)</f>
        <v/>
      </c>
      <c r="P1353" s="25">
        <f>IF(H1353&gt;0,J1353,"")</f>
        <v/>
      </c>
      <c r="Q1353" s="25">
        <f>TEXT(A1353,"YYYY-MM-DD HH")</f>
        <v/>
      </c>
      <c r="R1353" s="25">
        <f>COUNTIF($Q$2:$Q$5295,Q1353)</f>
        <v/>
      </c>
      <c r="S1353" s="25">
        <f>IF(R1353&lt;=2,"1-2",IF(R1353&lt;=5,"3-5",IF(R1353&lt;=10,"6-10","11+")))</f>
        <v/>
      </c>
    </row>
    <row r="1354">
      <c r="A1354" s="39" t="n">
        <v>46167.34178240741</v>
      </c>
      <c r="B1354" s="25">
        <f>TEXT(A1354,"YYYY-MM")</f>
        <v/>
      </c>
      <c r="C1354" s="25">
        <f>TEXT(A1354,"MMM-YYYY")</f>
        <v/>
      </c>
      <c r="D1354" s="40">
        <f>INT(A1354)-WEEKDAY(A1354,2)+1</f>
        <v/>
      </c>
      <c r="E1354" s="25" t="inlineStr">
        <is>
          <t>shassan</t>
        </is>
      </c>
      <c r="F1354" s="25" t="n">
        <v>4100</v>
      </c>
      <c r="G1354" s="25" t="n">
        <v>1</v>
      </c>
      <c r="H1354" s="25" t="n">
        <v>7</v>
      </c>
      <c r="I1354" s="25" t="inlineStr">
        <is>
          <t>2 minute(s) and 1 second(s)</t>
        </is>
      </c>
      <c r="J1354" s="25">
        <f>IFERROR(VALUE(TRIM(LEFT(I1354,FIND("minute",I1354)-1)))*60,0)+IFERROR(VALUE(SUBSTITUTE(MID(I1354,IFERROR(FIND("and",I1354)+3,1),20),"second(s)","")),0)</f>
        <v/>
      </c>
      <c r="K1354" s="41">
        <f>J1354/60</f>
        <v/>
      </c>
      <c r="L1354" s="41">
        <f>IFERROR(J1354/H1354,"")</f>
        <v/>
      </c>
      <c r="M1354" s="25" t="inlineStr">
        <is>
          <t>2.5.12</t>
        </is>
      </c>
      <c r="N1354" s="25">
        <f>IF(J1354&gt;300,1,0)</f>
        <v/>
      </c>
      <c r="O1354" s="25">
        <f>IF(J1354&gt;600,1,0)</f>
        <v/>
      </c>
      <c r="P1354" s="25">
        <f>IF(H1354&gt;0,J1354,"")</f>
        <v/>
      </c>
      <c r="Q1354" s="25">
        <f>TEXT(A1354,"YYYY-MM-DD HH")</f>
        <v/>
      </c>
      <c r="R1354" s="25">
        <f>COUNTIF($Q$2:$Q$5295,Q1354)</f>
        <v/>
      </c>
      <c r="S1354" s="25">
        <f>IF(R1354&lt;=2,"1-2",IF(R1354&lt;=5,"3-5",IF(R1354&lt;=10,"6-10","11+")))</f>
        <v/>
      </c>
    </row>
    <row r="1355">
      <c r="A1355" s="39" t="n">
        <v>46167.34390046296</v>
      </c>
      <c r="B1355" s="25">
        <f>TEXT(A1355,"YYYY-MM")</f>
        <v/>
      </c>
      <c r="C1355" s="25">
        <f>TEXT(A1355,"MMM-YYYY")</f>
        <v/>
      </c>
      <c r="D1355" s="40">
        <f>INT(A1355)-WEEKDAY(A1355,2)+1</f>
        <v/>
      </c>
      <c r="E1355" s="25" t="inlineStr">
        <is>
          <t>apriyadarshi</t>
        </is>
      </c>
      <c r="F1355" s="25" t="n">
        <v>114329</v>
      </c>
      <c r="G1355" s="25" t="n">
        <v>1</v>
      </c>
      <c r="H1355" s="25" t="n">
        <v>7</v>
      </c>
      <c r="I1355" s="25" t="inlineStr">
        <is>
          <t>59 second(s)</t>
        </is>
      </c>
      <c r="J1355" s="25">
        <f>IFERROR(VALUE(TRIM(LEFT(I1355,FIND("minute",I1355)-1)))*60,0)+IFERROR(VALUE(SUBSTITUTE(MID(I1355,IFERROR(FIND("and",I1355)+3,1),20),"second(s)","")),0)</f>
        <v/>
      </c>
      <c r="K1355" s="41">
        <f>J1355/60</f>
        <v/>
      </c>
      <c r="L1355" s="41">
        <f>IFERROR(J1355/H1355,"")</f>
        <v/>
      </c>
      <c r="M1355" s="25" t="inlineStr">
        <is>
          <t>2.5.12</t>
        </is>
      </c>
      <c r="N1355" s="25">
        <f>IF(J1355&gt;300,1,0)</f>
        <v/>
      </c>
      <c r="O1355" s="25">
        <f>IF(J1355&gt;600,1,0)</f>
        <v/>
      </c>
      <c r="P1355" s="25">
        <f>IF(H1355&gt;0,J1355,"")</f>
        <v/>
      </c>
      <c r="Q1355" s="25">
        <f>TEXT(A1355,"YYYY-MM-DD HH")</f>
        <v/>
      </c>
      <c r="R1355" s="25">
        <f>COUNTIF($Q$2:$Q$5295,Q1355)</f>
        <v/>
      </c>
      <c r="S1355" s="25">
        <f>IF(R1355&lt;=2,"1-2",IF(R1355&lt;=5,"3-5",IF(R1355&lt;=10,"6-10","11+")))</f>
        <v/>
      </c>
    </row>
    <row r="1356">
      <c r="A1356" s="39" t="n">
        <v>46167.34722222222</v>
      </c>
      <c r="B1356" s="25">
        <f>TEXT(A1356,"YYYY-MM")</f>
        <v/>
      </c>
      <c r="C1356" s="25">
        <f>TEXT(A1356,"MMM-YYYY")</f>
        <v/>
      </c>
      <c r="D1356" s="40">
        <f>INT(A1356)-WEEKDAY(A1356,2)+1</f>
        <v/>
      </c>
      <c r="E1356" s="25" t="inlineStr">
        <is>
          <t>mgupta</t>
        </is>
      </c>
      <c r="F1356" s="25" t="n">
        <v>94979</v>
      </c>
      <c r="G1356" s="25" t="n">
        <v>4</v>
      </c>
      <c r="H1356" s="25" t="n">
        <v>20</v>
      </c>
      <c r="I1356" s="25" t="inlineStr">
        <is>
          <t>4 minute(s) and 37 second(s)</t>
        </is>
      </c>
      <c r="J1356" s="25">
        <f>IFERROR(VALUE(TRIM(LEFT(I1356,FIND("minute",I1356)-1)))*60,0)+IFERROR(VALUE(SUBSTITUTE(MID(I1356,IFERROR(FIND("and",I1356)+3,1),20),"second(s)","")),0)</f>
        <v/>
      </c>
      <c r="K1356" s="41">
        <f>J1356/60</f>
        <v/>
      </c>
      <c r="L1356" s="41">
        <f>IFERROR(J1356/H1356,"")</f>
        <v/>
      </c>
      <c r="M1356" s="25" t="inlineStr">
        <is>
          <t>2.5.12</t>
        </is>
      </c>
      <c r="N1356" s="25">
        <f>IF(J1356&gt;300,1,0)</f>
        <v/>
      </c>
      <c r="O1356" s="25">
        <f>IF(J1356&gt;600,1,0)</f>
        <v/>
      </c>
      <c r="P1356" s="25">
        <f>IF(H1356&gt;0,J1356,"")</f>
        <v/>
      </c>
      <c r="Q1356" s="25">
        <f>TEXT(A1356,"YYYY-MM-DD HH")</f>
        <v/>
      </c>
      <c r="R1356" s="25">
        <f>COUNTIF($Q$2:$Q$5295,Q1356)</f>
        <v/>
      </c>
      <c r="S1356" s="25">
        <f>IF(R1356&lt;=2,"1-2",IF(R1356&lt;=5,"3-5",IF(R1356&lt;=10,"6-10","11+")))</f>
        <v/>
      </c>
    </row>
    <row r="1357">
      <c r="A1357" s="39" t="n">
        <v>46167.34832175926</v>
      </c>
      <c r="B1357" s="25">
        <f>TEXT(A1357,"YYYY-MM")</f>
        <v/>
      </c>
      <c r="C1357" s="25">
        <f>TEXT(A1357,"MMM-YYYY")</f>
        <v/>
      </c>
      <c r="D1357" s="40">
        <f>INT(A1357)-WEEKDAY(A1357,2)+1</f>
        <v/>
      </c>
      <c r="E1357" s="25" t="inlineStr">
        <is>
          <t>sdey</t>
        </is>
      </c>
      <c r="F1357" s="25" t="n">
        <v>4270</v>
      </c>
      <c r="G1357" s="25" t="n">
        <v>1</v>
      </c>
      <c r="H1357" s="25" t="n">
        <v>5</v>
      </c>
      <c r="I1357" s="25" t="inlineStr">
        <is>
          <t>3 minute(s) and 0 second(s)</t>
        </is>
      </c>
      <c r="J1357" s="25">
        <f>IFERROR(VALUE(TRIM(LEFT(I1357,FIND("minute",I1357)-1)))*60,0)+IFERROR(VALUE(SUBSTITUTE(MID(I1357,IFERROR(FIND("and",I1357)+3,1),20),"second(s)","")),0)</f>
        <v/>
      </c>
      <c r="K1357" s="41">
        <f>J1357/60</f>
        <v/>
      </c>
      <c r="L1357" s="41">
        <f>IFERROR(J1357/H1357,"")</f>
        <v/>
      </c>
      <c r="M1357" s="25" t="inlineStr">
        <is>
          <t>2.5.12</t>
        </is>
      </c>
      <c r="N1357" s="25">
        <f>IF(J1357&gt;300,1,0)</f>
        <v/>
      </c>
      <c r="O1357" s="25">
        <f>IF(J1357&gt;600,1,0)</f>
        <v/>
      </c>
      <c r="P1357" s="25">
        <f>IF(H1357&gt;0,J1357,"")</f>
        <v/>
      </c>
      <c r="Q1357" s="25">
        <f>TEXT(A1357,"YYYY-MM-DD HH")</f>
        <v/>
      </c>
      <c r="R1357" s="25">
        <f>COUNTIF($Q$2:$Q$5295,Q1357)</f>
        <v/>
      </c>
      <c r="S1357" s="25">
        <f>IF(R1357&lt;=2,"1-2",IF(R1357&lt;=5,"3-5",IF(R1357&lt;=10,"6-10","11+")))</f>
        <v/>
      </c>
    </row>
    <row r="1358">
      <c r="A1358" s="39" t="n">
        <v>46167.35748842593</v>
      </c>
      <c r="B1358" s="25">
        <f>TEXT(A1358,"YYYY-MM")</f>
        <v/>
      </c>
      <c r="C1358" s="25">
        <f>TEXT(A1358,"MMM-YYYY")</f>
        <v/>
      </c>
      <c r="D1358" s="40">
        <f>INT(A1358)-WEEKDAY(A1358,2)+1</f>
        <v/>
      </c>
      <c r="E1358" s="25" t="inlineStr">
        <is>
          <t>vraina</t>
        </is>
      </c>
      <c r="F1358" s="25" t="n">
        <v>3929</v>
      </c>
      <c r="G1358" s="25" t="n">
        <v>1</v>
      </c>
      <c r="H1358" s="25" t="n">
        <v>5</v>
      </c>
      <c r="I1358" s="25" t="inlineStr">
        <is>
          <t>2 minute(s) and 12 second(s)</t>
        </is>
      </c>
      <c r="J1358" s="25">
        <f>IFERROR(VALUE(TRIM(LEFT(I1358,FIND("minute",I1358)-1)))*60,0)+IFERROR(VALUE(SUBSTITUTE(MID(I1358,IFERROR(FIND("and",I1358)+3,1),20),"second(s)","")),0)</f>
        <v/>
      </c>
      <c r="K1358" s="41">
        <f>J1358/60</f>
        <v/>
      </c>
      <c r="L1358" s="41">
        <f>IFERROR(J1358/H1358,"")</f>
        <v/>
      </c>
      <c r="M1358" s="25" t="inlineStr">
        <is>
          <t>2.5.12</t>
        </is>
      </c>
      <c r="N1358" s="25">
        <f>IF(J1358&gt;300,1,0)</f>
        <v/>
      </c>
      <c r="O1358" s="25">
        <f>IF(J1358&gt;600,1,0)</f>
        <v/>
      </c>
      <c r="P1358" s="25">
        <f>IF(H1358&gt;0,J1358,"")</f>
        <v/>
      </c>
      <c r="Q1358" s="25">
        <f>TEXT(A1358,"YYYY-MM-DD HH")</f>
        <v/>
      </c>
      <c r="R1358" s="25">
        <f>COUNTIF($Q$2:$Q$5295,Q1358)</f>
        <v/>
      </c>
      <c r="S1358" s="25">
        <f>IF(R1358&lt;=2,"1-2",IF(R1358&lt;=5,"3-5",IF(R1358&lt;=10,"6-10","11+")))</f>
        <v/>
      </c>
    </row>
    <row r="1359">
      <c r="A1359" s="39" t="n">
        <v>46167.35901620371</v>
      </c>
      <c r="B1359" s="25">
        <f>TEXT(A1359,"YYYY-MM")</f>
        <v/>
      </c>
      <c r="C1359" s="25">
        <f>TEXT(A1359,"MMM-YYYY")</f>
        <v/>
      </c>
      <c r="D1359" s="40">
        <f>INT(A1359)-WEEKDAY(A1359,2)+1</f>
        <v/>
      </c>
      <c r="E1359" s="25" t="inlineStr">
        <is>
          <t>stiwari</t>
        </is>
      </c>
      <c r="F1359" s="25" t="n">
        <v>5069</v>
      </c>
      <c r="G1359" s="25" t="n">
        <v>1</v>
      </c>
      <c r="H1359" s="25" t="n">
        <v>5</v>
      </c>
      <c r="I1359" s="25" t="inlineStr">
        <is>
          <t>52 second(s)</t>
        </is>
      </c>
      <c r="J1359" s="25">
        <f>IFERROR(VALUE(TRIM(LEFT(I1359,FIND("minute",I1359)-1)))*60,0)+IFERROR(VALUE(SUBSTITUTE(MID(I1359,IFERROR(FIND("and",I1359)+3,1),20),"second(s)","")),0)</f>
        <v/>
      </c>
      <c r="K1359" s="41">
        <f>J1359/60</f>
        <v/>
      </c>
      <c r="L1359" s="41">
        <f>IFERROR(J1359/H1359,"")</f>
        <v/>
      </c>
      <c r="M1359" s="25" t="inlineStr">
        <is>
          <t>2.5.12</t>
        </is>
      </c>
      <c r="N1359" s="25">
        <f>IF(J1359&gt;300,1,0)</f>
        <v/>
      </c>
      <c r="O1359" s="25">
        <f>IF(J1359&gt;600,1,0)</f>
        <v/>
      </c>
      <c r="P1359" s="25">
        <f>IF(H1359&gt;0,J1359,"")</f>
        <v/>
      </c>
      <c r="Q1359" s="25">
        <f>TEXT(A1359,"YYYY-MM-DD HH")</f>
        <v/>
      </c>
      <c r="R1359" s="25">
        <f>COUNTIF($Q$2:$Q$5295,Q1359)</f>
        <v/>
      </c>
      <c r="S1359" s="25">
        <f>IF(R1359&lt;=2,"1-2",IF(R1359&lt;=5,"3-5",IF(R1359&lt;=10,"6-10","11+")))</f>
        <v/>
      </c>
    </row>
    <row r="1360">
      <c r="A1360" s="39" t="n">
        <v>46167.37142361111</v>
      </c>
      <c r="B1360" s="25">
        <f>TEXT(A1360,"YYYY-MM")</f>
        <v/>
      </c>
      <c r="C1360" s="25">
        <f>TEXT(A1360,"MMM-YYYY")</f>
        <v/>
      </c>
      <c r="D1360" s="40">
        <f>INT(A1360)-WEEKDAY(A1360,2)+1</f>
        <v/>
      </c>
      <c r="E1360" s="25" t="inlineStr">
        <is>
          <t>mbohra</t>
        </is>
      </c>
      <c r="F1360" s="25" t="n">
        <v>89585</v>
      </c>
      <c r="G1360" s="25" t="n">
        <v>1</v>
      </c>
      <c r="H1360" s="25" t="n">
        <v>5</v>
      </c>
      <c r="I1360" s="25" t="inlineStr">
        <is>
          <t>1 minute(s) and 56 second(s)</t>
        </is>
      </c>
      <c r="J1360" s="25">
        <f>IFERROR(VALUE(TRIM(LEFT(I1360,FIND("minute",I1360)-1)))*60,0)+IFERROR(VALUE(SUBSTITUTE(MID(I1360,IFERROR(FIND("and",I1360)+3,1),20),"second(s)","")),0)</f>
        <v/>
      </c>
      <c r="K1360" s="41">
        <f>J1360/60</f>
        <v/>
      </c>
      <c r="L1360" s="41">
        <f>IFERROR(J1360/H1360,"")</f>
        <v/>
      </c>
      <c r="M1360" s="25" t="inlineStr">
        <is>
          <t>2.5.12</t>
        </is>
      </c>
      <c r="N1360" s="25">
        <f>IF(J1360&gt;300,1,0)</f>
        <v/>
      </c>
      <c r="O1360" s="25">
        <f>IF(J1360&gt;600,1,0)</f>
        <v/>
      </c>
      <c r="P1360" s="25">
        <f>IF(H1360&gt;0,J1360,"")</f>
        <v/>
      </c>
      <c r="Q1360" s="25">
        <f>TEXT(A1360,"YYYY-MM-DD HH")</f>
        <v/>
      </c>
      <c r="R1360" s="25">
        <f>COUNTIF($Q$2:$Q$5295,Q1360)</f>
        <v/>
      </c>
      <c r="S1360" s="25">
        <f>IF(R1360&lt;=2,"1-2",IF(R1360&lt;=5,"3-5",IF(R1360&lt;=10,"6-10","11+")))</f>
        <v/>
      </c>
    </row>
    <row r="1361">
      <c r="A1361" s="39" t="n">
        <v>46167.37694444445</v>
      </c>
      <c r="B1361" s="25">
        <f>TEXT(A1361,"YYYY-MM")</f>
        <v/>
      </c>
      <c r="C1361" s="25">
        <f>TEXT(A1361,"MMM-YYYY")</f>
        <v/>
      </c>
      <c r="D1361" s="40">
        <f>INT(A1361)-WEEKDAY(A1361,2)+1</f>
        <v/>
      </c>
      <c r="E1361" s="25" t="inlineStr">
        <is>
          <t>anusharma</t>
        </is>
      </c>
      <c r="F1361" s="25" t="n">
        <v>5298</v>
      </c>
      <c r="G1361" s="25" t="n">
        <v>2</v>
      </c>
      <c r="H1361" s="25" t="n">
        <v>8</v>
      </c>
      <c r="I1361" s="25" t="inlineStr">
        <is>
          <t>4 minute(s) and 27 second(s)</t>
        </is>
      </c>
      <c r="J1361" s="25">
        <f>IFERROR(VALUE(TRIM(LEFT(I1361,FIND("minute",I1361)-1)))*60,0)+IFERROR(VALUE(SUBSTITUTE(MID(I1361,IFERROR(FIND("and",I1361)+3,1),20),"second(s)","")),0)</f>
        <v/>
      </c>
      <c r="K1361" s="41">
        <f>J1361/60</f>
        <v/>
      </c>
      <c r="L1361" s="41">
        <f>IFERROR(J1361/H1361,"")</f>
        <v/>
      </c>
      <c r="M1361" s="25" t="inlineStr">
        <is>
          <t>2.5.12</t>
        </is>
      </c>
      <c r="N1361" s="25">
        <f>IF(J1361&gt;300,1,0)</f>
        <v/>
      </c>
      <c r="O1361" s="25">
        <f>IF(J1361&gt;600,1,0)</f>
        <v/>
      </c>
      <c r="P1361" s="25">
        <f>IF(H1361&gt;0,J1361,"")</f>
        <v/>
      </c>
      <c r="Q1361" s="25">
        <f>TEXT(A1361,"YYYY-MM-DD HH")</f>
        <v/>
      </c>
      <c r="R1361" s="25">
        <f>COUNTIF($Q$2:$Q$5295,Q1361)</f>
        <v/>
      </c>
      <c r="S1361" s="25">
        <f>IF(R1361&lt;=2,"1-2",IF(R1361&lt;=5,"3-5",IF(R1361&lt;=10,"6-10","11+")))</f>
        <v/>
      </c>
    </row>
    <row r="1362">
      <c r="A1362" s="39" t="n">
        <v>46167.38138888889</v>
      </c>
      <c r="B1362" s="25">
        <f>TEXT(A1362,"YYYY-MM")</f>
        <v/>
      </c>
      <c r="C1362" s="25">
        <f>TEXT(A1362,"MMM-YYYY")</f>
        <v/>
      </c>
      <c r="D1362" s="40">
        <f>INT(A1362)-WEEKDAY(A1362,2)+1</f>
        <v/>
      </c>
      <c r="E1362" s="25" t="inlineStr">
        <is>
          <t>sdey</t>
        </is>
      </c>
      <c r="F1362" s="25" t="n">
        <v>4271</v>
      </c>
      <c r="G1362" s="25" t="n">
        <v>1</v>
      </c>
      <c r="H1362" s="25" t="n">
        <v>7</v>
      </c>
      <c r="I1362" s="25" t="inlineStr">
        <is>
          <t>2 minute(s) and 56 second(s)</t>
        </is>
      </c>
      <c r="J1362" s="25">
        <f>IFERROR(VALUE(TRIM(LEFT(I1362,FIND("minute",I1362)-1)))*60,0)+IFERROR(VALUE(SUBSTITUTE(MID(I1362,IFERROR(FIND("and",I1362)+3,1),20),"second(s)","")),0)</f>
        <v/>
      </c>
      <c r="K1362" s="41">
        <f>J1362/60</f>
        <v/>
      </c>
      <c r="L1362" s="41">
        <f>IFERROR(J1362/H1362,"")</f>
        <v/>
      </c>
      <c r="M1362" s="25" t="inlineStr">
        <is>
          <t>2.5.12</t>
        </is>
      </c>
      <c r="N1362" s="25">
        <f>IF(J1362&gt;300,1,0)</f>
        <v/>
      </c>
      <c r="O1362" s="25">
        <f>IF(J1362&gt;600,1,0)</f>
        <v/>
      </c>
      <c r="P1362" s="25">
        <f>IF(H1362&gt;0,J1362,"")</f>
        <v/>
      </c>
      <c r="Q1362" s="25">
        <f>TEXT(A1362,"YYYY-MM-DD HH")</f>
        <v/>
      </c>
      <c r="R1362" s="25">
        <f>COUNTIF($Q$2:$Q$5295,Q1362)</f>
        <v/>
      </c>
      <c r="S1362" s="25">
        <f>IF(R1362&lt;=2,"1-2",IF(R1362&lt;=5,"3-5",IF(R1362&lt;=10,"6-10","11+")))</f>
        <v/>
      </c>
    </row>
    <row r="1363">
      <c r="A1363" s="39" t="n">
        <v>46167.3935300926</v>
      </c>
      <c r="B1363" s="25">
        <f>TEXT(A1363,"YYYY-MM")</f>
        <v/>
      </c>
      <c r="C1363" s="25">
        <f>TEXT(A1363,"MMM-YYYY")</f>
        <v/>
      </c>
      <c r="D1363" s="40">
        <f>INT(A1363)-WEEKDAY(A1363,2)+1</f>
        <v/>
      </c>
      <c r="E1363" s="25" t="inlineStr">
        <is>
          <t>apriyadarshi</t>
        </is>
      </c>
      <c r="F1363" s="25" t="n">
        <v>114458</v>
      </c>
      <c r="G1363" s="25" t="n">
        <v>2</v>
      </c>
      <c r="H1363" s="25" t="n">
        <v>11</v>
      </c>
      <c r="I1363" s="25" t="inlineStr">
        <is>
          <t>2 minute(s) and 2 second(s)</t>
        </is>
      </c>
      <c r="J1363" s="25">
        <f>IFERROR(VALUE(TRIM(LEFT(I1363,FIND("minute",I1363)-1)))*60,0)+IFERROR(VALUE(SUBSTITUTE(MID(I1363,IFERROR(FIND("and",I1363)+3,1),20),"second(s)","")),0)</f>
        <v/>
      </c>
      <c r="K1363" s="41">
        <f>J1363/60</f>
        <v/>
      </c>
      <c r="L1363" s="41">
        <f>IFERROR(J1363/H1363,"")</f>
        <v/>
      </c>
      <c r="M1363" s="25" t="inlineStr">
        <is>
          <t>2.5.12</t>
        </is>
      </c>
      <c r="N1363" s="25">
        <f>IF(J1363&gt;300,1,0)</f>
        <v/>
      </c>
      <c r="O1363" s="25">
        <f>IF(J1363&gt;600,1,0)</f>
        <v/>
      </c>
      <c r="P1363" s="25">
        <f>IF(H1363&gt;0,J1363,"")</f>
        <v/>
      </c>
      <c r="Q1363" s="25">
        <f>TEXT(A1363,"YYYY-MM-DD HH")</f>
        <v/>
      </c>
      <c r="R1363" s="25">
        <f>COUNTIF($Q$2:$Q$5295,Q1363)</f>
        <v/>
      </c>
      <c r="S1363" s="25">
        <f>IF(R1363&lt;=2,"1-2",IF(R1363&lt;=5,"3-5",IF(R1363&lt;=10,"6-10","11+")))</f>
        <v/>
      </c>
    </row>
    <row r="1364">
      <c r="A1364" s="39" t="n">
        <v>46167.39864583333</v>
      </c>
      <c r="B1364" s="25">
        <f>TEXT(A1364,"YYYY-MM")</f>
        <v/>
      </c>
      <c r="C1364" s="25">
        <f>TEXT(A1364,"MMM-YYYY")</f>
        <v/>
      </c>
      <c r="D1364" s="40">
        <f>INT(A1364)-WEEKDAY(A1364,2)+1</f>
        <v/>
      </c>
      <c r="E1364" s="25" t="inlineStr">
        <is>
          <t>rts</t>
        </is>
      </c>
      <c r="F1364" s="25" t="n">
        <v>89648</v>
      </c>
      <c r="G1364" s="25" t="n">
        <v>4</v>
      </c>
      <c r="H1364" s="25" t="n">
        <v>21</v>
      </c>
      <c r="I1364" s="25" t="inlineStr">
        <is>
          <t>7 minute(s) and 16 second(s)</t>
        </is>
      </c>
      <c r="J1364" s="25">
        <f>IFERROR(VALUE(TRIM(LEFT(I1364,FIND("minute",I1364)-1)))*60,0)+IFERROR(VALUE(SUBSTITUTE(MID(I1364,IFERROR(FIND("and",I1364)+3,1),20),"second(s)","")),0)</f>
        <v/>
      </c>
      <c r="K1364" s="41">
        <f>J1364/60</f>
        <v/>
      </c>
      <c r="L1364" s="41">
        <f>IFERROR(J1364/H1364,"")</f>
        <v/>
      </c>
      <c r="M1364" s="25" t="inlineStr">
        <is>
          <t>2.5.12</t>
        </is>
      </c>
      <c r="N1364" s="25">
        <f>IF(J1364&gt;300,1,0)</f>
        <v/>
      </c>
      <c r="O1364" s="25">
        <f>IF(J1364&gt;600,1,0)</f>
        <v/>
      </c>
      <c r="P1364" s="25">
        <f>IF(H1364&gt;0,J1364,"")</f>
        <v/>
      </c>
      <c r="Q1364" s="25">
        <f>TEXT(A1364,"YYYY-MM-DD HH")</f>
        <v/>
      </c>
      <c r="R1364" s="25">
        <f>COUNTIF($Q$2:$Q$5295,Q1364)</f>
        <v/>
      </c>
      <c r="S1364" s="25">
        <f>IF(R1364&lt;=2,"1-2",IF(R1364&lt;=5,"3-5",IF(R1364&lt;=10,"6-10","11+")))</f>
        <v/>
      </c>
    </row>
    <row r="1365">
      <c r="A1365" s="39" t="n">
        <v>46167.40435185185</v>
      </c>
      <c r="B1365" s="25">
        <f>TEXT(A1365,"YYYY-MM")</f>
        <v/>
      </c>
      <c r="C1365" s="25">
        <f>TEXT(A1365,"MMM-YYYY")</f>
        <v/>
      </c>
      <c r="D1365" s="40">
        <f>INT(A1365)-WEEKDAY(A1365,2)+1</f>
        <v/>
      </c>
      <c r="E1365" s="25" t="inlineStr">
        <is>
          <t>ssarkar</t>
        </is>
      </c>
      <c r="F1365" s="25" t="n">
        <v>15079</v>
      </c>
      <c r="G1365" s="25" t="n">
        <v>2</v>
      </c>
      <c r="H1365" s="25" t="n">
        <v>8</v>
      </c>
      <c r="I1365" s="25" t="inlineStr">
        <is>
          <t>1 minute(s) and 38 second(s)</t>
        </is>
      </c>
      <c r="J1365" s="25">
        <f>IFERROR(VALUE(TRIM(LEFT(I1365,FIND("minute",I1365)-1)))*60,0)+IFERROR(VALUE(SUBSTITUTE(MID(I1365,IFERROR(FIND("and",I1365)+3,1),20),"second(s)","")),0)</f>
        <v/>
      </c>
      <c r="K1365" s="41">
        <f>J1365/60</f>
        <v/>
      </c>
      <c r="L1365" s="41">
        <f>IFERROR(J1365/H1365,"")</f>
        <v/>
      </c>
      <c r="M1365" s="25" t="inlineStr">
        <is>
          <t>2.5.12</t>
        </is>
      </c>
      <c r="N1365" s="25">
        <f>IF(J1365&gt;300,1,0)</f>
        <v/>
      </c>
      <c r="O1365" s="25">
        <f>IF(J1365&gt;600,1,0)</f>
        <v/>
      </c>
      <c r="P1365" s="25">
        <f>IF(H1365&gt;0,J1365,"")</f>
        <v/>
      </c>
      <c r="Q1365" s="25">
        <f>TEXT(A1365,"YYYY-MM-DD HH")</f>
        <v/>
      </c>
      <c r="R1365" s="25">
        <f>COUNTIF($Q$2:$Q$5295,Q1365)</f>
        <v/>
      </c>
      <c r="S1365" s="25">
        <f>IF(R1365&lt;=2,"1-2",IF(R1365&lt;=5,"3-5",IF(R1365&lt;=10,"6-10","11+")))</f>
        <v/>
      </c>
    </row>
    <row r="1366">
      <c r="A1366" s="39" t="n">
        <v>46167.41663194444</v>
      </c>
      <c r="B1366" s="25">
        <f>TEXT(A1366,"YYYY-MM")</f>
        <v/>
      </c>
      <c r="C1366" s="25">
        <f>TEXT(A1366,"MMM-YYYY")</f>
        <v/>
      </c>
      <c r="D1366" s="40">
        <f>INT(A1366)-WEEKDAY(A1366,2)+1</f>
        <v/>
      </c>
      <c r="E1366" s="25" t="inlineStr">
        <is>
          <t>pmishra</t>
        </is>
      </c>
      <c r="F1366" s="25" t="n">
        <v>5215</v>
      </c>
      <c r="G1366" s="25" t="n">
        <v>2</v>
      </c>
      <c r="H1366" s="25" t="n">
        <v>10</v>
      </c>
      <c r="I1366" s="25" t="inlineStr">
        <is>
          <t>4 minute(s) and 4 second(s)</t>
        </is>
      </c>
      <c r="J1366" s="25">
        <f>IFERROR(VALUE(TRIM(LEFT(I1366,FIND("minute",I1366)-1)))*60,0)+IFERROR(VALUE(SUBSTITUTE(MID(I1366,IFERROR(FIND("and",I1366)+3,1),20),"second(s)","")),0)</f>
        <v/>
      </c>
      <c r="K1366" s="41">
        <f>J1366/60</f>
        <v/>
      </c>
      <c r="L1366" s="41">
        <f>IFERROR(J1366/H1366,"")</f>
        <v/>
      </c>
      <c r="M1366" s="25" t="inlineStr">
        <is>
          <t>2.5.12</t>
        </is>
      </c>
      <c r="N1366" s="25">
        <f>IF(J1366&gt;300,1,0)</f>
        <v/>
      </c>
      <c r="O1366" s="25">
        <f>IF(J1366&gt;600,1,0)</f>
        <v/>
      </c>
      <c r="P1366" s="25">
        <f>IF(H1366&gt;0,J1366,"")</f>
        <v/>
      </c>
      <c r="Q1366" s="25">
        <f>TEXT(A1366,"YYYY-MM-DD HH")</f>
        <v/>
      </c>
      <c r="R1366" s="25">
        <f>COUNTIF($Q$2:$Q$5295,Q1366)</f>
        <v/>
      </c>
      <c r="S1366" s="25">
        <f>IF(R1366&lt;=2,"1-2",IF(R1366&lt;=5,"3-5",IF(R1366&lt;=10,"6-10","11+")))</f>
        <v/>
      </c>
    </row>
    <row r="1367">
      <c r="A1367" s="39" t="n">
        <v>46167.41949074074</v>
      </c>
      <c r="B1367" s="25">
        <f>TEXT(A1367,"YYYY-MM")</f>
        <v/>
      </c>
      <c r="C1367" s="25">
        <f>TEXT(A1367,"MMM-YYYY")</f>
        <v/>
      </c>
      <c r="D1367" s="40">
        <f>INT(A1367)-WEEKDAY(A1367,2)+1</f>
        <v/>
      </c>
      <c r="E1367" s="25" t="inlineStr">
        <is>
          <t>vprasad</t>
        </is>
      </c>
      <c r="F1367" s="25" t="n">
        <v>89821</v>
      </c>
      <c r="G1367" s="25" t="n">
        <v>2</v>
      </c>
      <c r="H1367" s="25" t="n">
        <v>10</v>
      </c>
      <c r="I1367" s="25" t="inlineStr">
        <is>
          <t>1 minute(s) and 50 second(s)</t>
        </is>
      </c>
      <c r="J1367" s="25">
        <f>IFERROR(VALUE(TRIM(LEFT(I1367,FIND("minute",I1367)-1)))*60,0)+IFERROR(VALUE(SUBSTITUTE(MID(I1367,IFERROR(FIND("and",I1367)+3,1),20),"second(s)","")),0)</f>
        <v/>
      </c>
      <c r="K1367" s="41">
        <f>J1367/60</f>
        <v/>
      </c>
      <c r="L1367" s="41">
        <f>IFERROR(J1367/H1367,"")</f>
        <v/>
      </c>
      <c r="M1367" s="25" t="inlineStr">
        <is>
          <t>2.5.12</t>
        </is>
      </c>
      <c r="N1367" s="25">
        <f>IF(J1367&gt;300,1,0)</f>
        <v/>
      </c>
      <c r="O1367" s="25">
        <f>IF(J1367&gt;600,1,0)</f>
        <v/>
      </c>
      <c r="P1367" s="25">
        <f>IF(H1367&gt;0,J1367,"")</f>
        <v/>
      </c>
      <c r="Q1367" s="25">
        <f>TEXT(A1367,"YYYY-MM-DD HH")</f>
        <v/>
      </c>
      <c r="R1367" s="25">
        <f>COUNTIF($Q$2:$Q$5295,Q1367)</f>
        <v/>
      </c>
      <c r="S1367" s="25">
        <f>IF(R1367&lt;=2,"1-2",IF(R1367&lt;=5,"3-5",IF(R1367&lt;=10,"6-10","11+")))</f>
        <v/>
      </c>
    </row>
    <row r="1368">
      <c r="A1368" s="39" t="n">
        <v>46167.42248842592</v>
      </c>
      <c r="B1368" s="25">
        <f>TEXT(A1368,"YYYY-MM")</f>
        <v/>
      </c>
      <c r="C1368" s="25">
        <f>TEXT(A1368,"MMM-YYYY")</f>
        <v/>
      </c>
      <c r="D1368" s="40">
        <f>INT(A1368)-WEEKDAY(A1368,2)+1</f>
        <v/>
      </c>
      <c r="E1368" s="25" t="inlineStr">
        <is>
          <t>asahoo</t>
        </is>
      </c>
      <c r="F1368" s="25" t="n">
        <v>4999</v>
      </c>
      <c r="G1368" s="25" t="n">
        <v>1</v>
      </c>
      <c r="H1368" s="25" t="n">
        <v>7</v>
      </c>
      <c r="I1368" s="25" t="inlineStr">
        <is>
          <t>2 minute(s) and 33 second(s)</t>
        </is>
      </c>
      <c r="J1368" s="25">
        <f>IFERROR(VALUE(TRIM(LEFT(I1368,FIND("minute",I1368)-1)))*60,0)+IFERROR(VALUE(SUBSTITUTE(MID(I1368,IFERROR(FIND("and",I1368)+3,1),20),"second(s)","")),0)</f>
        <v/>
      </c>
      <c r="K1368" s="41">
        <f>J1368/60</f>
        <v/>
      </c>
      <c r="L1368" s="41">
        <f>IFERROR(J1368/H1368,"")</f>
        <v/>
      </c>
      <c r="M1368" s="25" t="inlineStr">
        <is>
          <t>2.5.12</t>
        </is>
      </c>
      <c r="N1368" s="25">
        <f>IF(J1368&gt;300,1,0)</f>
        <v/>
      </c>
      <c r="O1368" s="25">
        <f>IF(J1368&gt;600,1,0)</f>
        <v/>
      </c>
      <c r="P1368" s="25">
        <f>IF(H1368&gt;0,J1368,"")</f>
        <v/>
      </c>
      <c r="Q1368" s="25">
        <f>TEXT(A1368,"YYYY-MM-DD HH")</f>
        <v/>
      </c>
      <c r="R1368" s="25">
        <f>COUNTIF($Q$2:$Q$5295,Q1368)</f>
        <v/>
      </c>
      <c r="S1368" s="25">
        <f>IF(R1368&lt;=2,"1-2",IF(R1368&lt;=5,"3-5",IF(R1368&lt;=10,"6-10","11+")))</f>
        <v/>
      </c>
    </row>
    <row r="1369">
      <c r="A1369" s="39" t="n">
        <v>46167.42633101852</v>
      </c>
      <c r="B1369" s="25">
        <f>TEXT(A1369,"YYYY-MM")</f>
        <v/>
      </c>
      <c r="C1369" s="25">
        <f>TEXT(A1369,"MMM-YYYY")</f>
        <v/>
      </c>
      <c r="D1369" s="40">
        <f>INT(A1369)-WEEKDAY(A1369,2)+1</f>
        <v/>
      </c>
      <c r="E1369" s="25" t="inlineStr">
        <is>
          <t>sdey</t>
        </is>
      </c>
      <c r="F1369" s="25" t="n">
        <v>4272</v>
      </c>
      <c r="G1369" s="25" t="n">
        <v>1</v>
      </c>
      <c r="H1369" s="25" t="n">
        <v>5</v>
      </c>
      <c r="I1369" s="25" t="inlineStr">
        <is>
          <t>2 minute(s) and 32 second(s)</t>
        </is>
      </c>
      <c r="J1369" s="25">
        <f>IFERROR(VALUE(TRIM(LEFT(I1369,FIND("minute",I1369)-1)))*60,0)+IFERROR(VALUE(SUBSTITUTE(MID(I1369,IFERROR(FIND("and",I1369)+3,1),20),"second(s)","")),0)</f>
        <v/>
      </c>
      <c r="K1369" s="41">
        <f>J1369/60</f>
        <v/>
      </c>
      <c r="L1369" s="41">
        <f>IFERROR(J1369/H1369,"")</f>
        <v/>
      </c>
      <c r="M1369" s="25" t="inlineStr">
        <is>
          <t>2.5.12</t>
        </is>
      </c>
      <c r="N1369" s="25">
        <f>IF(J1369&gt;300,1,0)</f>
        <v/>
      </c>
      <c r="O1369" s="25">
        <f>IF(J1369&gt;600,1,0)</f>
        <v/>
      </c>
      <c r="P1369" s="25">
        <f>IF(H1369&gt;0,J1369,"")</f>
        <v/>
      </c>
      <c r="Q1369" s="25">
        <f>TEXT(A1369,"YYYY-MM-DD HH")</f>
        <v/>
      </c>
      <c r="R1369" s="25">
        <f>COUNTIF($Q$2:$Q$5295,Q1369)</f>
        <v/>
      </c>
      <c r="S1369" s="25">
        <f>IF(R1369&lt;=2,"1-2",IF(R1369&lt;=5,"3-5",IF(R1369&lt;=10,"6-10","11+")))</f>
        <v/>
      </c>
    </row>
    <row r="1370">
      <c r="A1370" s="39" t="n">
        <v>46167.45440972222</v>
      </c>
      <c r="B1370" s="25">
        <f>TEXT(A1370,"YYYY-MM")</f>
        <v/>
      </c>
      <c r="C1370" s="25">
        <f>TEXT(A1370,"MMM-YYYY")</f>
        <v/>
      </c>
      <c r="D1370" s="40">
        <f>INT(A1370)-WEEKDAY(A1370,2)+1</f>
        <v/>
      </c>
      <c r="E1370" s="25" t="inlineStr">
        <is>
          <t>emishra</t>
        </is>
      </c>
      <c r="F1370" s="25" t="n">
        <v>3584</v>
      </c>
      <c r="G1370" s="25" t="n">
        <v>1</v>
      </c>
      <c r="H1370" s="25" t="n">
        <v>5</v>
      </c>
      <c r="I1370" s="25" t="inlineStr">
        <is>
          <t>2 minute(s) and 12 second(s)</t>
        </is>
      </c>
      <c r="J1370" s="25">
        <f>IFERROR(VALUE(TRIM(LEFT(I1370,FIND("minute",I1370)-1)))*60,0)+IFERROR(VALUE(SUBSTITUTE(MID(I1370,IFERROR(FIND("and",I1370)+3,1),20),"second(s)","")),0)</f>
        <v/>
      </c>
      <c r="K1370" s="41">
        <f>J1370/60</f>
        <v/>
      </c>
      <c r="L1370" s="41">
        <f>IFERROR(J1370/H1370,"")</f>
        <v/>
      </c>
      <c r="M1370" s="25" t="inlineStr">
        <is>
          <t>2.5.12</t>
        </is>
      </c>
      <c r="N1370" s="25">
        <f>IF(J1370&gt;300,1,0)</f>
        <v/>
      </c>
      <c r="O1370" s="25">
        <f>IF(J1370&gt;600,1,0)</f>
        <v/>
      </c>
      <c r="P1370" s="25">
        <f>IF(H1370&gt;0,J1370,"")</f>
        <v/>
      </c>
      <c r="Q1370" s="25">
        <f>TEXT(A1370,"YYYY-MM-DD HH")</f>
        <v/>
      </c>
      <c r="R1370" s="25">
        <f>COUNTIF($Q$2:$Q$5295,Q1370)</f>
        <v/>
      </c>
      <c r="S1370" s="25">
        <f>IF(R1370&lt;=2,"1-2",IF(R1370&lt;=5,"3-5",IF(R1370&lt;=10,"6-10","11+")))</f>
        <v/>
      </c>
    </row>
    <row r="1371">
      <c r="A1371" s="39" t="n">
        <v>46167.45498842592</v>
      </c>
      <c r="B1371" s="25">
        <f>TEXT(A1371,"YYYY-MM")</f>
        <v/>
      </c>
      <c r="C1371" s="25">
        <f>TEXT(A1371,"MMM-YYYY")</f>
        <v/>
      </c>
      <c r="D1371" s="40">
        <f>INT(A1371)-WEEKDAY(A1371,2)+1</f>
        <v/>
      </c>
      <c r="E1371" s="25" t="inlineStr">
        <is>
          <t>rts</t>
        </is>
      </c>
      <c r="F1371" s="25" t="n">
        <v>89836</v>
      </c>
      <c r="G1371" s="25" t="n">
        <v>1</v>
      </c>
      <c r="H1371" s="25" t="n">
        <v>5</v>
      </c>
      <c r="I1371" s="25" t="inlineStr">
        <is>
          <t>1 minute(s) and 14 second(s)</t>
        </is>
      </c>
      <c r="J1371" s="25">
        <f>IFERROR(VALUE(TRIM(LEFT(I1371,FIND("minute",I1371)-1)))*60,0)+IFERROR(VALUE(SUBSTITUTE(MID(I1371,IFERROR(FIND("and",I1371)+3,1),20),"second(s)","")),0)</f>
        <v/>
      </c>
      <c r="K1371" s="41">
        <f>J1371/60</f>
        <v/>
      </c>
      <c r="L1371" s="41">
        <f>IFERROR(J1371/H1371,"")</f>
        <v/>
      </c>
      <c r="M1371" s="25" t="inlineStr">
        <is>
          <t>2.5.12</t>
        </is>
      </c>
      <c r="N1371" s="25">
        <f>IF(J1371&gt;300,1,0)</f>
        <v/>
      </c>
      <c r="O1371" s="25">
        <f>IF(J1371&gt;600,1,0)</f>
        <v/>
      </c>
      <c r="P1371" s="25">
        <f>IF(H1371&gt;0,J1371,"")</f>
        <v/>
      </c>
      <c r="Q1371" s="25">
        <f>TEXT(A1371,"YYYY-MM-DD HH")</f>
        <v/>
      </c>
      <c r="R1371" s="25">
        <f>COUNTIF($Q$2:$Q$5295,Q1371)</f>
        <v/>
      </c>
      <c r="S1371" s="25">
        <f>IF(R1371&lt;=2,"1-2",IF(R1371&lt;=5,"3-5",IF(R1371&lt;=10,"6-10","11+")))</f>
        <v/>
      </c>
    </row>
    <row r="1372">
      <c r="A1372" s="39" t="n">
        <v>46167.46809027778</v>
      </c>
      <c r="B1372" s="25">
        <f>TEXT(A1372,"YYYY-MM")</f>
        <v/>
      </c>
      <c r="C1372" s="25">
        <f>TEXT(A1372,"MMM-YYYY")</f>
        <v/>
      </c>
      <c r="D1372" s="40">
        <f>INT(A1372)-WEEKDAY(A1372,2)+1</f>
        <v/>
      </c>
      <c r="E1372" s="25" t="inlineStr">
        <is>
          <t>emishra</t>
        </is>
      </c>
      <c r="F1372" s="25" t="n">
        <v>3585</v>
      </c>
      <c r="G1372" s="25" t="n">
        <v>1</v>
      </c>
      <c r="H1372" s="25" t="n">
        <v>7</v>
      </c>
      <c r="I1372" s="25" t="inlineStr">
        <is>
          <t>1 minute(s) and 12 second(s)</t>
        </is>
      </c>
      <c r="J1372" s="25">
        <f>IFERROR(VALUE(TRIM(LEFT(I1372,FIND("minute",I1372)-1)))*60,0)+IFERROR(VALUE(SUBSTITUTE(MID(I1372,IFERROR(FIND("and",I1372)+3,1),20),"second(s)","")),0)</f>
        <v/>
      </c>
      <c r="K1372" s="41">
        <f>J1372/60</f>
        <v/>
      </c>
      <c r="L1372" s="41">
        <f>IFERROR(J1372/H1372,"")</f>
        <v/>
      </c>
      <c r="M1372" s="25" t="inlineStr">
        <is>
          <t>2.5.12</t>
        </is>
      </c>
      <c r="N1372" s="25">
        <f>IF(J1372&gt;300,1,0)</f>
        <v/>
      </c>
      <c r="O1372" s="25">
        <f>IF(J1372&gt;600,1,0)</f>
        <v/>
      </c>
      <c r="P1372" s="25">
        <f>IF(H1372&gt;0,J1372,"")</f>
        <v/>
      </c>
      <c r="Q1372" s="25">
        <f>TEXT(A1372,"YYYY-MM-DD HH")</f>
        <v/>
      </c>
      <c r="R1372" s="25">
        <f>COUNTIF($Q$2:$Q$5295,Q1372)</f>
        <v/>
      </c>
      <c r="S1372" s="25">
        <f>IF(R1372&lt;=2,"1-2",IF(R1372&lt;=5,"3-5",IF(R1372&lt;=10,"6-10","11+")))</f>
        <v/>
      </c>
    </row>
    <row r="1373">
      <c r="A1373" s="39" t="n">
        <v>46167.48385416667</v>
      </c>
      <c r="B1373" s="25">
        <f>TEXT(A1373,"YYYY-MM")</f>
        <v/>
      </c>
      <c r="C1373" s="25">
        <f>TEXT(A1373,"MMM-YYYY")</f>
        <v/>
      </c>
      <c r="D1373" s="40">
        <f>INT(A1373)-WEEKDAY(A1373,2)+1</f>
        <v/>
      </c>
      <c r="E1373" s="25" t="inlineStr">
        <is>
          <t>ssarkar</t>
        </is>
      </c>
      <c r="F1373" s="25" t="n">
        <v>84186</v>
      </c>
      <c r="G1373" s="25" t="n">
        <v>1</v>
      </c>
      <c r="H1373" s="25" t="n">
        <v>5</v>
      </c>
      <c r="I1373" s="25" t="inlineStr">
        <is>
          <t>1 minute(s) and 29 second(s)</t>
        </is>
      </c>
      <c r="J1373" s="25">
        <f>IFERROR(VALUE(TRIM(LEFT(I1373,FIND("minute",I1373)-1)))*60,0)+IFERROR(VALUE(SUBSTITUTE(MID(I1373,IFERROR(FIND("and",I1373)+3,1),20),"second(s)","")),0)</f>
        <v/>
      </c>
      <c r="K1373" s="41">
        <f>J1373/60</f>
        <v/>
      </c>
      <c r="L1373" s="41">
        <f>IFERROR(J1373/H1373,"")</f>
        <v/>
      </c>
      <c r="M1373" s="25" t="inlineStr">
        <is>
          <t>2.5.12</t>
        </is>
      </c>
      <c r="N1373" s="25">
        <f>IF(J1373&gt;300,1,0)</f>
        <v/>
      </c>
      <c r="O1373" s="25">
        <f>IF(J1373&gt;600,1,0)</f>
        <v/>
      </c>
      <c r="P1373" s="25">
        <f>IF(H1373&gt;0,J1373,"")</f>
        <v/>
      </c>
      <c r="Q1373" s="25">
        <f>TEXT(A1373,"YYYY-MM-DD HH")</f>
        <v/>
      </c>
      <c r="R1373" s="25">
        <f>COUNTIF($Q$2:$Q$5295,Q1373)</f>
        <v/>
      </c>
      <c r="S1373" s="25">
        <f>IF(R1373&lt;=2,"1-2",IF(R1373&lt;=5,"3-5",IF(R1373&lt;=10,"6-10","11+")))</f>
        <v/>
      </c>
    </row>
    <row r="1374">
      <c r="A1374" s="39" t="n">
        <v>46167.49846064814</v>
      </c>
      <c r="B1374" s="25">
        <f>TEXT(A1374,"YYYY-MM")</f>
        <v/>
      </c>
      <c r="C1374" s="25">
        <f>TEXT(A1374,"MMM-YYYY")</f>
        <v/>
      </c>
      <c r="D1374" s="40">
        <f>INT(A1374)-WEEKDAY(A1374,2)+1</f>
        <v/>
      </c>
      <c r="E1374" s="25" t="inlineStr">
        <is>
          <t>mgupta</t>
        </is>
      </c>
      <c r="F1374" s="25" t="n">
        <v>37029</v>
      </c>
      <c r="G1374" s="25" t="n">
        <v>2</v>
      </c>
      <c r="H1374" s="25" t="n">
        <v>10</v>
      </c>
      <c r="I1374" s="25" t="inlineStr">
        <is>
          <t>3 minute(s) and 30 second(s)</t>
        </is>
      </c>
      <c r="J1374" s="25">
        <f>IFERROR(VALUE(TRIM(LEFT(I1374,FIND("minute",I1374)-1)))*60,0)+IFERROR(VALUE(SUBSTITUTE(MID(I1374,IFERROR(FIND("and",I1374)+3,1),20),"second(s)","")),0)</f>
        <v/>
      </c>
      <c r="K1374" s="41">
        <f>J1374/60</f>
        <v/>
      </c>
      <c r="L1374" s="41">
        <f>IFERROR(J1374/H1374,"")</f>
        <v/>
      </c>
      <c r="M1374" s="25" t="inlineStr">
        <is>
          <t>2.5.12</t>
        </is>
      </c>
      <c r="N1374" s="25">
        <f>IF(J1374&gt;300,1,0)</f>
        <v/>
      </c>
      <c r="O1374" s="25">
        <f>IF(J1374&gt;600,1,0)</f>
        <v/>
      </c>
      <c r="P1374" s="25">
        <f>IF(H1374&gt;0,J1374,"")</f>
        <v/>
      </c>
      <c r="Q1374" s="25">
        <f>TEXT(A1374,"YYYY-MM-DD HH")</f>
        <v/>
      </c>
      <c r="R1374" s="25">
        <f>COUNTIF($Q$2:$Q$5295,Q1374)</f>
        <v/>
      </c>
      <c r="S1374" s="25">
        <f>IF(R1374&lt;=2,"1-2",IF(R1374&lt;=5,"3-5",IF(R1374&lt;=10,"6-10","11+")))</f>
        <v/>
      </c>
    </row>
    <row r="1375">
      <c r="A1375" s="39" t="n">
        <v>46167.50136574074</v>
      </c>
      <c r="B1375" s="25">
        <f>TEXT(A1375,"YYYY-MM")</f>
        <v/>
      </c>
      <c r="C1375" s="25">
        <f>TEXT(A1375,"MMM-YYYY")</f>
        <v/>
      </c>
      <c r="D1375" s="40">
        <f>INT(A1375)-WEEKDAY(A1375,2)+1</f>
        <v/>
      </c>
      <c r="E1375" s="25" t="inlineStr">
        <is>
          <t>emishra</t>
        </is>
      </c>
      <c r="F1375" s="25" t="n">
        <v>3586</v>
      </c>
      <c r="G1375" s="25" t="n">
        <v>1</v>
      </c>
      <c r="H1375" s="25" t="n">
        <v>7</v>
      </c>
      <c r="I1375" s="25" t="inlineStr">
        <is>
          <t>1 minute(s) and 9 second(s)</t>
        </is>
      </c>
      <c r="J1375" s="25">
        <f>IFERROR(VALUE(TRIM(LEFT(I1375,FIND("minute",I1375)-1)))*60,0)+IFERROR(VALUE(SUBSTITUTE(MID(I1375,IFERROR(FIND("and",I1375)+3,1),20),"second(s)","")),0)</f>
        <v/>
      </c>
      <c r="K1375" s="41">
        <f>J1375/60</f>
        <v/>
      </c>
      <c r="L1375" s="41">
        <f>IFERROR(J1375/H1375,"")</f>
        <v/>
      </c>
      <c r="M1375" s="25" t="inlineStr">
        <is>
          <t>2.5.12</t>
        </is>
      </c>
      <c r="N1375" s="25">
        <f>IF(J1375&gt;300,1,0)</f>
        <v/>
      </c>
      <c r="O1375" s="25">
        <f>IF(J1375&gt;600,1,0)</f>
        <v/>
      </c>
      <c r="P1375" s="25">
        <f>IF(H1375&gt;0,J1375,"")</f>
        <v/>
      </c>
      <c r="Q1375" s="25">
        <f>TEXT(A1375,"YYYY-MM-DD HH")</f>
        <v/>
      </c>
      <c r="R1375" s="25">
        <f>COUNTIF($Q$2:$Q$5295,Q1375)</f>
        <v/>
      </c>
      <c r="S1375" s="25">
        <f>IF(R1375&lt;=2,"1-2",IF(R1375&lt;=5,"3-5",IF(R1375&lt;=10,"6-10","11+")))</f>
        <v/>
      </c>
    </row>
    <row r="1376">
      <c r="A1376" s="39" t="n">
        <v>46167.50678240741</v>
      </c>
      <c r="B1376" s="25">
        <f>TEXT(A1376,"YYYY-MM")</f>
        <v/>
      </c>
      <c r="C1376" s="25">
        <f>TEXT(A1376,"MMM-YYYY")</f>
        <v/>
      </c>
      <c r="D1376" s="40">
        <f>INT(A1376)-WEEKDAY(A1376,2)+1</f>
        <v/>
      </c>
      <c r="E1376" s="25" t="inlineStr">
        <is>
          <t>ssaha</t>
        </is>
      </c>
      <c r="F1376" s="25" t="n">
        <v>4129</v>
      </c>
      <c r="G1376" s="25" t="n">
        <v>1</v>
      </c>
      <c r="H1376" s="25" t="n">
        <v>7</v>
      </c>
      <c r="I1376" s="25" t="inlineStr">
        <is>
          <t>1 minute(s) and 10 second(s)</t>
        </is>
      </c>
      <c r="J1376" s="25">
        <f>IFERROR(VALUE(TRIM(LEFT(I1376,FIND("minute",I1376)-1)))*60,0)+IFERROR(VALUE(SUBSTITUTE(MID(I1376,IFERROR(FIND("and",I1376)+3,1),20),"second(s)","")),0)</f>
        <v/>
      </c>
      <c r="K1376" s="41">
        <f>J1376/60</f>
        <v/>
      </c>
      <c r="L1376" s="41">
        <f>IFERROR(J1376/H1376,"")</f>
        <v/>
      </c>
      <c r="M1376" s="25" t="inlineStr">
        <is>
          <t>2.5.12</t>
        </is>
      </c>
      <c r="N1376" s="25">
        <f>IF(J1376&gt;300,1,0)</f>
        <v/>
      </c>
      <c r="O1376" s="25">
        <f>IF(J1376&gt;600,1,0)</f>
        <v/>
      </c>
      <c r="P1376" s="25">
        <f>IF(H1376&gt;0,J1376,"")</f>
        <v/>
      </c>
      <c r="Q1376" s="25">
        <f>TEXT(A1376,"YYYY-MM-DD HH")</f>
        <v/>
      </c>
      <c r="R1376" s="25">
        <f>COUNTIF($Q$2:$Q$5295,Q1376)</f>
        <v/>
      </c>
      <c r="S1376" s="25">
        <f>IF(R1376&lt;=2,"1-2",IF(R1376&lt;=5,"3-5",IF(R1376&lt;=10,"6-10","11+")))</f>
        <v/>
      </c>
    </row>
    <row r="1377">
      <c r="A1377" s="39" t="n">
        <v>46167.51325231481</v>
      </c>
      <c r="B1377" s="25">
        <f>TEXT(A1377,"YYYY-MM")</f>
        <v/>
      </c>
      <c r="C1377" s="25">
        <f>TEXT(A1377,"MMM-YYYY")</f>
        <v/>
      </c>
      <c r="D1377" s="40">
        <f>INT(A1377)-WEEKDAY(A1377,2)+1</f>
        <v/>
      </c>
      <c r="E1377" s="25" t="inlineStr">
        <is>
          <t>pgautam</t>
        </is>
      </c>
      <c r="F1377" s="25" t="n">
        <v>34720</v>
      </c>
      <c r="G1377" s="25" t="n">
        <v>5</v>
      </c>
      <c r="H1377" s="25" t="n">
        <v>9</v>
      </c>
      <c r="I1377" s="25" t="inlineStr">
        <is>
          <t>3 minute(s) and 8 second(s)</t>
        </is>
      </c>
      <c r="J1377" s="25">
        <f>IFERROR(VALUE(TRIM(LEFT(I1377,FIND("minute",I1377)-1)))*60,0)+IFERROR(VALUE(SUBSTITUTE(MID(I1377,IFERROR(FIND("and",I1377)+3,1),20),"second(s)","")),0)</f>
        <v/>
      </c>
      <c r="K1377" s="41">
        <f>J1377/60</f>
        <v/>
      </c>
      <c r="L1377" s="41">
        <f>IFERROR(J1377/H1377,"")</f>
        <v/>
      </c>
      <c r="M1377" s="25" t="inlineStr">
        <is>
          <t>2.5.12</t>
        </is>
      </c>
      <c r="N1377" s="25">
        <f>IF(J1377&gt;300,1,0)</f>
        <v/>
      </c>
      <c r="O1377" s="25">
        <f>IF(J1377&gt;600,1,0)</f>
        <v/>
      </c>
      <c r="P1377" s="25">
        <f>IF(H1377&gt;0,J1377,"")</f>
        <v/>
      </c>
      <c r="Q1377" s="25">
        <f>TEXT(A1377,"YYYY-MM-DD HH")</f>
        <v/>
      </c>
      <c r="R1377" s="25">
        <f>COUNTIF($Q$2:$Q$5295,Q1377)</f>
        <v/>
      </c>
      <c r="S1377" s="25">
        <f>IF(R1377&lt;=2,"1-2",IF(R1377&lt;=5,"3-5",IF(R1377&lt;=10,"6-10","11+")))</f>
        <v/>
      </c>
    </row>
    <row r="1378">
      <c r="A1378" s="39" t="n">
        <v>46167.51773148148</v>
      </c>
      <c r="B1378" s="25">
        <f>TEXT(A1378,"YYYY-MM")</f>
        <v/>
      </c>
      <c r="C1378" s="25">
        <f>TEXT(A1378,"MMM-YYYY")</f>
        <v/>
      </c>
      <c r="D1378" s="40">
        <f>INT(A1378)-WEEKDAY(A1378,2)+1</f>
        <v/>
      </c>
      <c r="E1378" s="25" t="inlineStr">
        <is>
          <t>mbhalla</t>
        </is>
      </c>
      <c r="F1378" s="25" t="n">
        <v>4873</v>
      </c>
      <c r="G1378" s="25" t="n">
        <v>1</v>
      </c>
      <c r="H1378" s="25" t="n">
        <v>5</v>
      </c>
      <c r="I1378" s="25" t="inlineStr">
        <is>
          <t>2 minute(s) and 11 second(s)</t>
        </is>
      </c>
      <c r="J1378" s="25">
        <f>IFERROR(VALUE(TRIM(LEFT(I1378,FIND("minute",I1378)-1)))*60,0)+IFERROR(VALUE(SUBSTITUTE(MID(I1378,IFERROR(FIND("and",I1378)+3,1),20),"second(s)","")),0)</f>
        <v/>
      </c>
      <c r="K1378" s="41">
        <f>J1378/60</f>
        <v/>
      </c>
      <c r="L1378" s="41">
        <f>IFERROR(J1378/H1378,"")</f>
        <v/>
      </c>
      <c r="M1378" s="25" t="inlineStr">
        <is>
          <t>2.5.12</t>
        </is>
      </c>
      <c r="N1378" s="25">
        <f>IF(J1378&gt;300,1,0)</f>
        <v/>
      </c>
      <c r="O1378" s="25">
        <f>IF(J1378&gt;600,1,0)</f>
        <v/>
      </c>
      <c r="P1378" s="25">
        <f>IF(H1378&gt;0,J1378,"")</f>
        <v/>
      </c>
      <c r="Q1378" s="25">
        <f>TEXT(A1378,"YYYY-MM-DD HH")</f>
        <v/>
      </c>
      <c r="R1378" s="25">
        <f>COUNTIF($Q$2:$Q$5295,Q1378)</f>
        <v/>
      </c>
      <c r="S1378" s="25">
        <f>IF(R1378&lt;=2,"1-2",IF(R1378&lt;=5,"3-5",IF(R1378&lt;=10,"6-10","11+")))</f>
        <v/>
      </c>
    </row>
    <row r="1379">
      <c r="A1379" s="39" t="n">
        <v>46167.52120370371</v>
      </c>
      <c r="B1379" s="25">
        <f>TEXT(A1379,"YYYY-MM")</f>
        <v/>
      </c>
      <c r="C1379" s="25">
        <f>TEXT(A1379,"MMM-YYYY")</f>
        <v/>
      </c>
      <c r="D1379" s="40">
        <f>INT(A1379)-WEEKDAY(A1379,2)+1</f>
        <v/>
      </c>
      <c r="E1379" s="25" t="inlineStr">
        <is>
          <t>rts</t>
        </is>
      </c>
      <c r="F1379" s="25" t="n">
        <v>89837</v>
      </c>
      <c r="G1379" s="25" t="n">
        <v>3</v>
      </c>
      <c r="H1379" s="25" t="n">
        <v>15</v>
      </c>
      <c r="I1379" s="25" t="inlineStr">
        <is>
          <t>5 minute(s) and 53 second(s)</t>
        </is>
      </c>
      <c r="J1379" s="25">
        <f>IFERROR(VALUE(TRIM(LEFT(I1379,FIND("minute",I1379)-1)))*60,0)+IFERROR(VALUE(SUBSTITUTE(MID(I1379,IFERROR(FIND("and",I1379)+3,1),20),"second(s)","")),0)</f>
        <v/>
      </c>
      <c r="K1379" s="41">
        <f>J1379/60</f>
        <v/>
      </c>
      <c r="L1379" s="41">
        <f>IFERROR(J1379/H1379,"")</f>
        <v/>
      </c>
      <c r="M1379" s="25" t="inlineStr">
        <is>
          <t>2.5.12</t>
        </is>
      </c>
      <c r="N1379" s="25">
        <f>IF(J1379&gt;300,1,0)</f>
        <v/>
      </c>
      <c r="O1379" s="25">
        <f>IF(J1379&gt;600,1,0)</f>
        <v/>
      </c>
      <c r="P1379" s="25">
        <f>IF(H1379&gt;0,J1379,"")</f>
        <v/>
      </c>
      <c r="Q1379" s="25">
        <f>TEXT(A1379,"YYYY-MM-DD HH")</f>
        <v/>
      </c>
      <c r="R1379" s="25">
        <f>COUNTIF($Q$2:$Q$5295,Q1379)</f>
        <v/>
      </c>
      <c r="S1379" s="25">
        <f>IF(R1379&lt;=2,"1-2",IF(R1379&lt;=5,"3-5",IF(R1379&lt;=10,"6-10","11+")))</f>
        <v/>
      </c>
    </row>
    <row r="1380">
      <c r="A1380" s="39" t="n">
        <v>46167.52186342593</v>
      </c>
      <c r="B1380" s="25">
        <f>TEXT(A1380,"YYYY-MM")</f>
        <v/>
      </c>
      <c r="C1380" s="25">
        <f>TEXT(A1380,"MMM-YYYY")</f>
        <v/>
      </c>
      <c r="D1380" s="40">
        <f>INT(A1380)-WEEKDAY(A1380,2)+1</f>
        <v/>
      </c>
      <c r="E1380" s="25" t="inlineStr">
        <is>
          <t>hsindwani</t>
        </is>
      </c>
      <c r="F1380" s="25" t="n">
        <v>4282</v>
      </c>
      <c r="G1380" s="25" t="n">
        <v>1</v>
      </c>
      <c r="H1380" s="25" t="n">
        <v>5</v>
      </c>
      <c r="I1380" s="25" t="inlineStr">
        <is>
          <t>2 minute(s) and 41 second(s)</t>
        </is>
      </c>
      <c r="J1380" s="25">
        <f>IFERROR(VALUE(TRIM(LEFT(I1380,FIND("minute",I1380)-1)))*60,0)+IFERROR(VALUE(SUBSTITUTE(MID(I1380,IFERROR(FIND("and",I1380)+3,1),20),"second(s)","")),0)</f>
        <v/>
      </c>
      <c r="K1380" s="41">
        <f>J1380/60</f>
        <v/>
      </c>
      <c r="L1380" s="41">
        <f>IFERROR(J1380/H1380,"")</f>
        <v/>
      </c>
      <c r="M1380" s="25" t="inlineStr">
        <is>
          <t>2.5.12</t>
        </is>
      </c>
      <c r="N1380" s="25">
        <f>IF(J1380&gt;300,1,0)</f>
        <v/>
      </c>
      <c r="O1380" s="25">
        <f>IF(J1380&gt;600,1,0)</f>
        <v/>
      </c>
      <c r="P1380" s="25">
        <f>IF(H1380&gt;0,J1380,"")</f>
        <v/>
      </c>
      <c r="Q1380" s="25">
        <f>TEXT(A1380,"YYYY-MM-DD HH")</f>
        <v/>
      </c>
      <c r="R1380" s="25">
        <f>COUNTIF($Q$2:$Q$5295,Q1380)</f>
        <v/>
      </c>
      <c r="S1380" s="25">
        <f>IF(R1380&lt;=2,"1-2",IF(R1380&lt;=5,"3-5",IF(R1380&lt;=10,"6-10","11+")))</f>
        <v/>
      </c>
    </row>
    <row r="1381">
      <c r="A1381" s="39" t="n">
        <v>46167.54324074074</v>
      </c>
      <c r="B1381" s="25">
        <f>TEXT(A1381,"YYYY-MM")</f>
        <v/>
      </c>
      <c r="C1381" s="25">
        <f>TEXT(A1381,"MMM-YYYY")</f>
        <v/>
      </c>
      <c r="D1381" s="40">
        <f>INT(A1381)-WEEKDAY(A1381,2)+1</f>
        <v/>
      </c>
      <c r="E1381" s="25" t="inlineStr">
        <is>
          <t>asaxena</t>
        </is>
      </c>
      <c r="F1381" s="25" t="n">
        <v>89844</v>
      </c>
      <c r="G1381" s="25" t="n">
        <v>2</v>
      </c>
      <c r="H1381" s="25" t="n">
        <v>12</v>
      </c>
      <c r="I1381" s="25" t="inlineStr">
        <is>
          <t>2 minute(s) and 28 second(s)</t>
        </is>
      </c>
      <c r="J1381" s="25">
        <f>IFERROR(VALUE(TRIM(LEFT(I1381,FIND("minute",I1381)-1)))*60,0)+IFERROR(VALUE(SUBSTITUTE(MID(I1381,IFERROR(FIND("and",I1381)+3,1),20),"second(s)","")),0)</f>
        <v/>
      </c>
      <c r="K1381" s="41">
        <f>J1381/60</f>
        <v/>
      </c>
      <c r="L1381" s="41">
        <f>IFERROR(J1381/H1381,"")</f>
        <v/>
      </c>
      <c r="M1381" s="25" t="inlineStr">
        <is>
          <t>2.5.12</t>
        </is>
      </c>
      <c r="N1381" s="25">
        <f>IF(J1381&gt;300,1,0)</f>
        <v/>
      </c>
      <c r="O1381" s="25">
        <f>IF(J1381&gt;600,1,0)</f>
        <v/>
      </c>
      <c r="P1381" s="25">
        <f>IF(H1381&gt;0,J1381,"")</f>
        <v/>
      </c>
      <c r="Q1381" s="25">
        <f>TEXT(A1381,"YYYY-MM-DD HH")</f>
        <v/>
      </c>
      <c r="R1381" s="25">
        <f>COUNTIF($Q$2:$Q$5295,Q1381)</f>
        <v/>
      </c>
      <c r="S1381" s="25">
        <f>IF(R1381&lt;=2,"1-2",IF(R1381&lt;=5,"3-5",IF(R1381&lt;=10,"6-10","11+")))</f>
        <v/>
      </c>
    </row>
    <row r="1382">
      <c r="A1382" s="39" t="n">
        <v>46167.55732638889</v>
      </c>
      <c r="B1382" s="25">
        <f>TEXT(A1382,"YYYY-MM")</f>
        <v/>
      </c>
      <c r="C1382" s="25">
        <f>TEXT(A1382,"MMM-YYYY")</f>
        <v/>
      </c>
      <c r="D1382" s="40">
        <f>INT(A1382)-WEEKDAY(A1382,2)+1</f>
        <v/>
      </c>
      <c r="E1382" s="25" t="inlineStr">
        <is>
          <t>pgautam</t>
        </is>
      </c>
      <c r="F1382" s="25" t="n">
        <v>115033</v>
      </c>
      <c r="G1382" s="25" t="n">
        <v>2</v>
      </c>
      <c r="H1382" s="25" t="n">
        <v>14</v>
      </c>
      <c r="I1382" s="25" t="inlineStr">
        <is>
          <t>3 minute(s) and 14 second(s)</t>
        </is>
      </c>
      <c r="J1382" s="25">
        <f>IFERROR(VALUE(TRIM(LEFT(I1382,FIND("minute",I1382)-1)))*60,0)+IFERROR(VALUE(SUBSTITUTE(MID(I1382,IFERROR(FIND("and",I1382)+3,1),20),"second(s)","")),0)</f>
        <v/>
      </c>
      <c r="K1382" s="41">
        <f>J1382/60</f>
        <v/>
      </c>
      <c r="L1382" s="41">
        <f>IFERROR(J1382/H1382,"")</f>
        <v/>
      </c>
      <c r="M1382" s="25" t="inlineStr">
        <is>
          <t>2.5.12</t>
        </is>
      </c>
      <c r="N1382" s="25">
        <f>IF(J1382&gt;300,1,0)</f>
        <v/>
      </c>
      <c r="O1382" s="25">
        <f>IF(J1382&gt;600,1,0)</f>
        <v/>
      </c>
      <c r="P1382" s="25">
        <f>IF(H1382&gt;0,J1382,"")</f>
        <v/>
      </c>
      <c r="Q1382" s="25">
        <f>TEXT(A1382,"YYYY-MM-DD HH")</f>
        <v/>
      </c>
      <c r="R1382" s="25">
        <f>COUNTIF($Q$2:$Q$5295,Q1382)</f>
        <v/>
      </c>
      <c r="S1382" s="25">
        <f>IF(R1382&lt;=2,"1-2",IF(R1382&lt;=5,"3-5",IF(R1382&lt;=10,"6-10","11+")))</f>
        <v/>
      </c>
    </row>
    <row r="1383">
      <c r="A1383" s="39" t="n">
        <v>46167.55746527778</v>
      </c>
      <c r="B1383" s="25">
        <f>TEXT(A1383,"YYYY-MM")</f>
        <v/>
      </c>
      <c r="C1383" s="25">
        <f>TEXT(A1383,"MMM-YYYY")</f>
        <v/>
      </c>
      <c r="D1383" s="40">
        <f>INT(A1383)-WEEKDAY(A1383,2)+1</f>
        <v/>
      </c>
      <c r="E1383" s="25" t="inlineStr">
        <is>
          <t>ssaha</t>
        </is>
      </c>
      <c r="F1383" s="25" t="n">
        <v>4130</v>
      </c>
      <c r="G1383" s="25" t="n">
        <v>1</v>
      </c>
      <c r="H1383" s="25" t="n">
        <v>7</v>
      </c>
      <c r="I1383" s="25" t="inlineStr">
        <is>
          <t>2 minute(s) and 25 second(s)</t>
        </is>
      </c>
      <c r="J1383" s="25">
        <f>IFERROR(VALUE(TRIM(LEFT(I1383,FIND("minute",I1383)-1)))*60,0)+IFERROR(VALUE(SUBSTITUTE(MID(I1383,IFERROR(FIND("and",I1383)+3,1),20),"second(s)","")),0)</f>
        <v/>
      </c>
      <c r="K1383" s="41">
        <f>J1383/60</f>
        <v/>
      </c>
      <c r="L1383" s="41">
        <f>IFERROR(J1383/H1383,"")</f>
        <v/>
      </c>
      <c r="M1383" s="25" t="inlineStr">
        <is>
          <t>2.5.12</t>
        </is>
      </c>
      <c r="N1383" s="25">
        <f>IF(J1383&gt;300,1,0)</f>
        <v/>
      </c>
      <c r="O1383" s="25">
        <f>IF(J1383&gt;600,1,0)</f>
        <v/>
      </c>
      <c r="P1383" s="25">
        <f>IF(H1383&gt;0,J1383,"")</f>
        <v/>
      </c>
      <c r="Q1383" s="25">
        <f>TEXT(A1383,"YYYY-MM-DD HH")</f>
        <v/>
      </c>
      <c r="R1383" s="25">
        <f>COUNTIF($Q$2:$Q$5295,Q1383)</f>
        <v/>
      </c>
      <c r="S1383" s="25">
        <f>IF(R1383&lt;=2,"1-2",IF(R1383&lt;=5,"3-5",IF(R1383&lt;=10,"6-10","11+")))</f>
        <v/>
      </c>
    </row>
    <row r="1384">
      <c r="A1384" s="39" t="n">
        <v>46167.55917824074</v>
      </c>
      <c r="B1384" s="25">
        <f>TEXT(A1384,"YYYY-MM")</f>
        <v/>
      </c>
      <c r="C1384" s="25">
        <f>TEXT(A1384,"MMM-YYYY")</f>
        <v/>
      </c>
      <c r="D1384" s="40">
        <f>INT(A1384)-WEEKDAY(A1384,2)+1</f>
        <v/>
      </c>
      <c r="E1384" s="25" t="inlineStr">
        <is>
          <t>mbhalla</t>
        </is>
      </c>
      <c r="F1384" s="25" t="n">
        <v>4874</v>
      </c>
      <c r="G1384" s="25" t="n">
        <v>1</v>
      </c>
      <c r="H1384" s="25" t="n">
        <v>7</v>
      </c>
      <c r="I1384" s="25" t="inlineStr">
        <is>
          <t>1 minute(s) and 5 second(s)</t>
        </is>
      </c>
      <c r="J1384" s="25">
        <f>IFERROR(VALUE(TRIM(LEFT(I1384,FIND("minute",I1384)-1)))*60,0)+IFERROR(VALUE(SUBSTITUTE(MID(I1384,IFERROR(FIND("and",I1384)+3,1),20),"second(s)","")),0)</f>
        <v/>
      </c>
      <c r="K1384" s="41">
        <f>J1384/60</f>
        <v/>
      </c>
      <c r="L1384" s="41">
        <f>IFERROR(J1384/H1384,"")</f>
        <v/>
      </c>
      <c r="M1384" s="25" t="inlineStr">
        <is>
          <t>2.5.12</t>
        </is>
      </c>
      <c r="N1384" s="25">
        <f>IF(J1384&gt;300,1,0)</f>
        <v/>
      </c>
      <c r="O1384" s="25">
        <f>IF(J1384&gt;600,1,0)</f>
        <v/>
      </c>
      <c r="P1384" s="25">
        <f>IF(H1384&gt;0,J1384,"")</f>
        <v/>
      </c>
      <c r="Q1384" s="25">
        <f>TEXT(A1384,"YYYY-MM-DD HH")</f>
        <v/>
      </c>
      <c r="R1384" s="25">
        <f>COUNTIF($Q$2:$Q$5295,Q1384)</f>
        <v/>
      </c>
      <c r="S1384" s="25">
        <f>IF(R1384&lt;=2,"1-2",IF(R1384&lt;=5,"3-5",IF(R1384&lt;=10,"6-10","11+")))</f>
        <v/>
      </c>
    </row>
    <row r="1385">
      <c r="A1385" s="39" t="n">
        <v>46167.56260416667</v>
      </c>
      <c r="B1385" s="25">
        <f>TEXT(A1385,"YYYY-MM")</f>
        <v/>
      </c>
      <c r="C1385" s="25">
        <f>TEXT(A1385,"MMM-YYYY")</f>
        <v/>
      </c>
      <c r="D1385" s="40">
        <f>INT(A1385)-WEEKDAY(A1385,2)+1</f>
        <v/>
      </c>
      <c r="E1385" s="25" t="inlineStr">
        <is>
          <t>dchoudhury</t>
        </is>
      </c>
      <c r="F1385" s="25" t="n">
        <v>3473</v>
      </c>
      <c r="G1385" s="25" t="n">
        <v>5</v>
      </c>
      <c r="H1385" s="25" t="n">
        <v>19</v>
      </c>
      <c r="I1385" s="25" t="inlineStr">
        <is>
          <t>6 minute(s) and 6 second(s)</t>
        </is>
      </c>
      <c r="J1385" s="25">
        <f>IFERROR(VALUE(TRIM(LEFT(I1385,FIND("minute",I1385)-1)))*60,0)+IFERROR(VALUE(SUBSTITUTE(MID(I1385,IFERROR(FIND("and",I1385)+3,1),20),"second(s)","")),0)</f>
        <v/>
      </c>
      <c r="K1385" s="41">
        <f>J1385/60</f>
        <v/>
      </c>
      <c r="L1385" s="41">
        <f>IFERROR(J1385/H1385,"")</f>
        <v/>
      </c>
      <c r="M1385" s="25" t="inlineStr">
        <is>
          <t>2.5.12</t>
        </is>
      </c>
      <c r="N1385" s="25">
        <f>IF(J1385&gt;300,1,0)</f>
        <v/>
      </c>
      <c r="O1385" s="25">
        <f>IF(J1385&gt;600,1,0)</f>
        <v/>
      </c>
      <c r="P1385" s="25">
        <f>IF(H1385&gt;0,J1385,"")</f>
        <v/>
      </c>
      <c r="Q1385" s="25">
        <f>TEXT(A1385,"YYYY-MM-DD HH")</f>
        <v/>
      </c>
      <c r="R1385" s="25">
        <f>COUNTIF($Q$2:$Q$5295,Q1385)</f>
        <v/>
      </c>
      <c r="S1385" s="25">
        <f>IF(R1385&lt;=2,"1-2",IF(R1385&lt;=5,"3-5",IF(R1385&lt;=10,"6-10","11+")))</f>
        <v/>
      </c>
    </row>
    <row r="1386">
      <c r="A1386" s="39" t="n">
        <v>46167.57126157408</v>
      </c>
      <c r="B1386" s="25">
        <f>TEXT(A1386,"YYYY-MM")</f>
        <v/>
      </c>
      <c r="C1386" s="25">
        <f>TEXT(A1386,"MMM-YYYY")</f>
        <v/>
      </c>
      <c r="D1386" s="40">
        <f>INT(A1386)-WEEKDAY(A1386,2)+1</f>
        <v/>
      </c>
      <c r="E1386" s="25" t="inlineStr">
        <is>
          <t>mbhalla</t>
        </is>
      </c>
      <c r="F1386" s="25" t="n">
        <v>4874</v>
      </c>
      <c r="G1386" s="25" t="n">
        <v>1</v>
      </c>
      <c r="H1386" s="25" t="n">
        <v>7</v>
      </c>
      <c r="I1386" s="25" t="inlineStr">
        <is>
          <t>2 minute(s) and 36 second(s)</t>
        </is>
      </c>
      <c r="J1386" s="25">
        <f>IFERROR(VALUE(TRIM(LEFT(I1386,FIND("minute",I1386)-1)))*60,0)+IFERROR(VALUE(SUBSTITUTE(MID(I1386,IFERROR(FIND("and",I1386)+3,1),20),"second(s)","")),0)</f>
        <v/>
      </c>
      <c r="K1386" s="41">
        <f>J1386/60</f>
        <v/>
      </c>
      <c r="L1386" s="41">
        <f>IFERROR(J1386/H1386,"")</f>
        <v/>
      </c>
      <c r="M1386" s="25" t="inlineStr">
        <is>
          <t>2.5.12</t>
        </is>
      </c>
      <c r="N1386" s="25">
        <f>IF(J1386&gt;300,1,0)</f>
        <v/>
      </c>
      <c r="O1386" s="25">
        <f>IF(J1386&gt;600,1,0)</f>
        <v/>
      </c>
      <c r="P1386" s="25">
        <f>IF(H1386&gt;0,J1386,"")</f>
        <v/>
      </c>
      <c r="Q1386" s="25">
        <f>TEXT(A1386,"YYYY-MM-DD HH")</f>
        <v/>
      </c>
      <c r="R1386" s="25">
        <f>COUNTIF($Q$2:$Q$5295,Q1386)</f>
        <v/>
      </c>
      <c r="S1386" s="25">
        <f>IF(R1386&lt;=2,"1-2",IF(R1386&lt;=5,"3-5",IF(R1386&lt;=10,"6-10","11+")))</f>
        <v/>
      </c>
    </row>
    <row r="1387">
      <c r="A1387" s="39" t="n">
        <v>46167.57337962963</v>
      </c>
      <c r="B1387" s="25">
        <f>TEXT(A1387,"YYYY-MM")</f>
        <v/>
      </c>
      <c r="C1387" s="25">
        <f>TEXT(A1387,"MMM-YYYY")</f>
        <v/>
      </c>
      <c r="D1387" s="40">
        <f>INT(A1387)-WEEKDAY(A1387,2)+1</f>
        <v/>
      </c>
      <c r="E1387" s="25" t="inlineStr">
        <is>
          <t>mbhalla</t>
        </is>
      </c>
      <c r="F1387" s="25" t="n">
        <v>4874</v>
      </c>
      <c r="G1387" s="25" t="n">
        <v>1</v>
      </c>
      <c r="H1387" s="25" t="n">
        <v>8</v>
      </c>
      <c r="I1387" s="25" t="inlineStr">
        <is>
          <t>1 minute(s) and 35 second(s)</t>
        </is>
      </c>
      <c r="J1387" s="25">
        <f>IFERROR(VALUE(TRIM(LEFT(I1387,FIND("minute",I1387)-1)))*60,0)+IFERROR(VALUE(SUBSTITUTE(MID(I1387,IFERROR(FIND("and",I1387)+3,1),20),"second(s)","")),0)</f>
        <v/>
      </c>
      <c r="K1387" s="41">
        <f>J1387/60</f>
        <v/>
      </c>
      <c r="L1387" s="41">
        <f>IFERROR(J1387/H1387,"")</f>
        <v/>
      </c>
      <c r="M1387" s="25" t="inlineStr">
        <is>
          <t>2.5.12</t>
        </is>
      </c>
      <c r="N1387" s="25">
        <f>IF(J1387&gt;300,1,0)</f>
        <v/>
      </c>
      <c r="O1387" s="25">
        <f>IF(J1387&gt;600,1,0)</f>
        <v/>
      </c>
      <c r="P1387" s="25">
        <f>IF(H1387&gt;0,J1387,"")</f>
        <v/>
      </c>
      <c r="Q1387" s="25">
        <f>TEXT(A1387,"YYYY-MM-DD HH")</f>
        <v/>
      </c>
      <c r="R1387" s="25">
        <f>COUNTIF($Q$2:$Q$5295,Q1387)</f>
        <v/>
      </c>
      <c r="S1387" s="25">
        <f>IF(R1387&lt;=2,"1-2",IF(R1387&lt;=5,"3-5",IF(R1387&lt;=10,"6-10","11+")))</f>
        <v/>
      </c>
    </row>
    <row r="1388">
      <c r="A1388" s="39" t="n">
        <v>46167.60532407407</v>
      </c>
      <c r="B1388" s="25">
        <f>TEXT(A1388,"YYYY-MM")</f>
        <v/>
      </c>
      <c r="C1388" s="25">
        <f>TEXT(A1388,"MMM-YYYY")</f>
        <v/>
      </c>
      <c r="D1388" s="40">
        <f>INT(A1388)-WEEKDAY(A1388,2)+1</f>
        <v/>
      </c>
      <c r="E1388" s="25" t="inlineStr">
        <is>
          <t>mbhalla</t>
        </is>
      </c>
      <c r="F1388" s="25" t="n">
        <v>4876</v>
      </c>
      <c r="G1388" s="25" t="n">
        <v>1</v>
      </c>
      <c r="H1388" s="25" t="n">
        <v>7</v>
      </c>
      <c r="I1388" s="25" t="inlineStr">
        <is>
          <t>1 minute(s) and 3 second(s)</t>
        </is>
      </c>
      <c r="J1388" s="25">
        <f>IFERROR(VALUE(TRIM(LEFT(I1388,FIND("minute",I1388)-1)))*60,0)+IFERROR(VALUE(SUBSTITUTE(MID(I1388,IFERROR(FIND("and",I1388)+3,1),20),"second(s)","")),0)</f>
        <v/>
      </c>
      <c r="K1388" s="41">
        <f>J1388/60</f>
        <v/>
      </c>
      <c r="L1388" s="41">
        <f>IFERROR(J1388/H1388,"")</f>
        <v/>
      </c>
      <c r="M1388" s="25" t="inlineStr">
        <is>
          <t>2.5.12</t>
        </is>
      </c>
      <c r="N1388" s="25">
        <f>IF(J1388&gt;300,1,0)</f>
        <v/>
      </c>
      <c r="O1388" s="25">
        <f>IF(J1388&gt;600,1,0)</f>
        <v/>
      </c>
      <c r="P1388" s="25">
        <f>IF(H1388&gt;0,J1388,"")</f>
        <v/>
      </c>
      <c r="Q1388" s="25">
        <f>TEXT(A1388,"YYYY-MM-DD HH")</f>
        <v/>
      </c>
      <c r="R1388" s="25">
        <f>COUNTIF($Q$2:$Q$5295,Q1388)</f>
        <v/>
      </c>
      <c r="S1388" s="25">
        <f>IF(R1388&lt;=2,"1-2",IF(R1388&lt;=5,"3-5",IF(R1388&lt;=10,"6-10","11+")))</f>
        <v/>
      </c>
    </row>
    <row r="1389">
      <c r="A1389" s="39" t="n">
        <v>46167.61430555556</v>
      </c>
      <c r="B1389" s="25">
        <f>TEXT(A1389,"YYYY-MM")</f>
        <v/>
      </c>
      <c r="C1389" s="25">
        <f>TEXT(A1389,"MMM-YYYY")</f>
        <v/>
      </c>
      <c r="D1389" s="40">
        <f>INT(A1389)-WEEKDAY(A1389,2)+1</f>
        <v/>
      </c>
      <c r="E1389" s="25" t="inlineStr">
        <is>
          <t>vraina</t>
        </is>
      </c>
      <c r="F1389" s="25" t="n">
        <v>3923</v>
      </c>
      <c r="G1389" s="25" t="n">
        <v>4</v>
      </c>
      <c r="H1389" s="25" t="n">
        <v>20</v>
      </c>
      <c r="I1389" s="25" t="inlineStr">
        <is>
          <t>7 minute(s) and 33 second(s)</t>
        </is>
      </c>
      <c r="J1389" s="25">
        <f>IFERROR(VALUE(TRIM(LEFT(I1389,FIND("minute",I1389)-1)))*60,0)+IFERROR(VALUE(SUBSTITUTE(MID(I1389,IFERROR(FIND("and",I1389)+3,1),20),"second(s)","")),0)</f>
        <v/>
      </c>
      <c r="K1389" s="41">
        <f>J1389/60</f>
        <v/>
      </c>
      <c r="L1389" s="41">
        <f>IFERROR(J1389/H1389,"")</f>
        <v/>
      </c>
      <c r="M1389" s="25" t="inlineStr">
        <is>
          <t>2.5.12</t>
        </is>
      </c>
      <c r="N1389" s="25">
        <f>IF(J1389&gt;300,1,0)</f>
        <v/>
      </c>
      <c r="O1389" s="25">
        <f>IF(J1389&gt;600,1,0)</f>
        <v/>
      </c>
      <c r="P1389" s="25">
        <f>IF(H1389&gt;0,J1389,"")</f>
        <v/>
      </c>
      <c r="Q1389" s="25">
        <f>TEXT(A1389,"YYYY-MM-DD HH")</f>
        <v/>
      </c>
      <c r="R1389" s="25">
        <f>COUNTIF($Q$2:$Q$5295,Q1389)</f>
        <v/>
      </c>
      <c r="S1389" s="25">
        <f>IF(R1389&lt;=2,"1-2",IF(R1389&lt;=5,"3-5",IF(R1389&lt;=10,"6-10","11+")))</f>
        <v/>
      </c>
    </row>
    <row r="1390">
      <c r="A1390" s="39" t="n">
        <v>46167.62697916666</v>
      </c>
      <c r="B1390" s="25">
        <f>TEXT(A1390,"YYYY-MM")</f>
        <v/>
      </c>
      <c r="C1390" s="25">
        <f>TEXT(A1390,"MMM-YYYY")</f>
        <v/>
      </c>
      <c r="D1390" s="40">
        <f>INT(A1390)-WEEKDAY(A1390,2)+1</f>
        <v/>
      </c>
      <c r="E1390" s="25" t="inlineStr">
        <is>
          <t>hsindwani</t>
        </is>
      </c>
      <c r="F1390" s="25" t="n">
        <v>4286</v>
      </c>
      <c r="G1390" s="25" t="n">
        <v>1</v>
      </c>
      <c r="H1390" s="25" t="n">
        <v>7</v>
      </c>
      <c r="I1390" s="25" t="inlineStr">
        <is>
          <t>4 minute(s) and 53 second(s)</t>
        </is>
      </c>
      <c r="J1390" s="25">
        <f>IFERROR(VALUE(TRIM(LEFT(I1390,FIND("minute",I1390)-1)))*60,0)+IFERROR(VALUE(SUBSTITUTE(MID(I1390,IFERROR(FIND("and",I1390)+3,1),20),"second(s)","")),0)</f>
        <v/>
      </c>
      <c r="K1390" s="41">
        <f>J1390/60</f>
        <v/>
      </c>
      <c r="L1390" s="41">
        <f>IFERROR(J1390/H1390,"")</f>
        <v/>
      </c>
      <c r="M1390" s="25" t="inlineStr">
        <is>
          <t>2.5.12</t>
        </is>
      </c>
      <c r="N1390" s="25">
        <f>IF(J1390&gt;300,1,0)</f>
        <v/>
      </c>
      <c r="O1390" s="25">
        <f>IF(J1390&gt;600,1,0)</f>
        <v/>
      </c>
      <c r="P1390" s="25">
        <f>IF(H1390&gt;0,J1390,"")</f>
        <v/>
      </c>
      <c r="Q1390" s="25">
        <f>TEXT(A1390,"YYYY-MM-DD HH")</f>
        <v/>
      </c>
      <c r="R1390" s="25">
        <f>COUNTIF($Q$2:$Q$5295,Q1390)</f>
        <v/>
      </c>
      <c r="S1390" s="25">
        <f>IF(R1390&lt;=2,"1-2",IF(R1390&lt;=5,"3-5",IF(R1390&lt;=10,"6-10","11+")))</f>
        <v/>
      </c>
    </row>
    <row r="1391">
      <c r="A1391" s="39" t="n">
        <v>46167.62886574074</v>
      </c>
      <c r="B1391" s="25">
        <f>TEXT(A1391,"YYYY-MM")</f>
        <v/>
      </c>
      <c r="C1391" s="25">
        <f>TEXT(A1391,"MMM-YYYY")</f>
        <v/>
      </c>
      <c r="D1391" s="40">
        <f>INT(A1391)-WEEKDAY(A1391,2)+1</f>
        <v/>
      </c>
      <c r="E1391" s="25" t="inlineStr">
        <is>
          <t>dchoudhury</t>
        </is>
      </c>
      <c r="F1391" s="25" t="n">
        <v>3473</v>
      </c>
      <c r="G1391" s="25" t="n">
        <v>5</v>
      </c>
      <c r="H1391" s="25" t="n">
        <v>21</v>
      </c>
      <c r="I1391" s="25" t="inlineStr">
        <is>
          <t>6 minute(s) and 44 second(s)</t>
        </is>
      </c>
      <c r="J1391" s="25">
        <f>IFERROR(VALUE(TRIM(LEFT(I1391,FIND("minute",I1391)-1)))*60,0)+IFERROR(VALUE(SUBSTITUTE(MID(I1391,IFERROR(FIND("and",I1391)+3,1),20),"second(s)","")),0)</f>
        <v/>
      </c>
      <c r="K1391" s="41">
        <f>J1391/60</f>
        <v/>
      </c>
      <c r="L1391" s="41">
        <f>IFERROR(J1391/H1391,"")</f>
        <v/>
      </c>
      <c r="M1391" s="25" t="inlineStr">
        <is>
          <t>2.5.12</t>
        </is>
      </c>
      <c r="N1391" s="25">
        <f>IF(J1391&gt;300,1,0)</f>
        <v/>
      </c>
      <c r="O1391" s="25">
        <f>IF(J1391&gt;600,1,0)</f>
        <v/>
      </c>
      <c r="P1391" s="25">
        <f>IF(H1391&gt;0,J1391,"")</f>
        <v/>
      </c>
      <c r="Q1391" s="25">
        <f>TEXT(A1391,"YYYY-MM-DD HH")</f>
        <v/>
      </c>
      <c r="R1391" s="25">
        <f>COUNTIF($Q$2:$Q$5295,Q1391)</f>
        <v/>
      </c>
      <c r="S1391" s="25">
        <f>IF(R1391&lt;=2,"1-2",IF(R1391&lt;=5,"3-5",IF(R1391&lt;=10,"6-10","11+")))</f>
        <v/>
      </c>
    </row>
    <row r="1392">
      <c r="A1392" s="39" t="n">
        <v>46167.64458333333</v>
      </c>
      <c r="B1392" s="25">
        <f>TEXT(A1392,"YYYY-MM")</f>
        <v/>
      </c>
      <c r="C1392" s="25">
        <f>TEXT(A1392,"MMM-YYYY")</f>
        <v/>
      </c>
      <c r="D1392" s="40">
        <f>INT(A1392)-WEEKDAY(A1392,2)+1</f>
        <v/>
      </c>
      <c r="E1392" s="25" t="inlineStr">
        <is>
          <t>hsindwani</t>
        </is>
      </c>
      <c r="F1392" s="25" t="n">
        <v>4286</v>
      </c>
      <c r="G1392" s="25" t="n">
        <v>1</v>
      </c>
      <c r="H1392" s="25" t="n">
        <v>7</v>
      </c>
      <c r="I1392" s="25" t="inlineStr">
        <is>
          <t>2 minute(s) and 18 second(s)</t>
        </is>
      </c>
      <c r="J1392" s="25">
        <f>IFERROR(VALUE(TRIM(LEFT(I1392,FIND("minute",I1392)-1)))*60,0)+IFERROR(VALUE(SUBSTITUTE(MID(I1392,IFERROR(FIND("and",I1392)+3,1),20),"second(s)","")),0)</f>
        <v/>
      </c>
      <c r="K1392" s="41">
        <f>J1392/60</f>
        <v/>
      </c>
      <c r="L1392" s="41">
        <f>IFERROR(J1392/H1392,"")</f>
        <v/>
      </c>
      <c r="M1392" s="25" t="inlineStr">
        <is>
          <t>2.5.12</t>
        </is>
      </c>
      <c r="N1392" s="25">
        <f>IF(J1392&gt;300,1,0)</f>
        <v/>
      </c>
      <c r="O1392" s="25">
        <f>IF(J1392&gt;600,1,0)</f>
        <v/>
      </c>
      <c r="P1392" s="25">
        <f>IF(H1392&gt;0,J1392,"")</f>
        <v/>
      </c>
      <c r="Q1392" s="25">
        <f>TEXT(A1392,"YYYY-MM-DD HH")</f>
        <v/>
      </c>
      <c r="R1392" s="25">
        <f>COUNTIF($Q$2:$Q$5295,Q1392)</f>
        <v/>
      </c>
      <c r="S1392" s="25">
        <f>IF(R1392&lt;=2,"1-2",IF(R1392&lt;=5,"3-5",IF(R1392&lt;=10,"6-10","11+")))</f>
        <v/>
      </c>
    </row>
    <row r="1393">
      <c r="A1393" s="39" t="n">
        <v>46167.69313657407</v>
      </c>
      <c r="B1393" s="25">
        <f>TEXT(A1393,"YYYY-MM")</f>
        <v/>
      </c>
      <c r="C1393" s="25">
        <f>TEXT(A1393,"MMM-YYYY")</f>
        <v/>
      </c>
      <c r="D1393" s="40">
        <f>INT(A1393)-WEEKDAY(A1393,2)+1</f>
        <v/>
      </c>
      <c r="E1393" s="25" t="inlineStr">
        <is>
          <t>hsindwani</t>
        </is>
      </c>
      <c r="F1393" s="25" t="n">
        <v>4287</v>
      </c>
      <c r="G1393" s="25" t="n">
        <v>1</v>
      </c>
      <c r="H1393" s="25" t="n">
        <v>8</v>
      </c>
      <c r="I1393" s="25" t="inlineStr">
        <is>
          <t>2 minute(s) and 7 second(s)</t>
        </is>
      </c>
      <c r="J1393" s="25">
        <f>IFERROR(VALUE(TRIM(LEFT(I1393,FIND("minute",I1393)-1)))*60,0)+IFERROR(VALUE(SUBSTITUTE(MID(I1393,IFERROR(FIND("and",I1393)+3,1),20),"second(s)","")),0)</f>
        <v/>
      </c>
      <c r="K1393" s="41">
        <f>J1393/60</f>
        <v/>
      </c>
      <c r="L1393" s="41">
        <f>IFERROR(J1393/H1393,"")</f>
        <v/>
      </c>
      <c r="M1393" s="25" t="inlineStr">
        <is>
          <t>2.5.12</t>
        </is>
      </c>
      <c r="N1393" s="25">
        <f>IF(J1393&gt;300,1,0)</f>
        <v/>
      </c>
      <c r="O1393" s="25">
        <f>IF(J1393&gt;600,1,0)</f>
        <v/>
      </c>
      <c r="P1393" s="25">
        <f>IF(H1393&gt;0,J1393,"")</f>
        <v/>
      </c>
      <c r="Q1393" s="25">
        <f>TEXT(A1393,"YYYY-MM-DD HH")</f>
        <v/>
      </c>
      <c r="R1393" s="25">
        <f>COUNTIF($Q$2:$Q$5295,Q1393)</f>
        <v/>
      </c>
      <c r="S1393" s="25">
        <f>IF(R1393&lt;=2,"1-2",IF(R1393&lt;=5,"3-5",IF(R1393&lt;=10,"6-10","11+")))</f>
        <v/>
      </c>
    </row>
    <row r="1394">
      <c r="A1394" s="39" t="n">
        <v>46167.71046296296</v>
      </c>
      <c r="B1394" s="25">
        <f>TEXT(A1394,"YYYY-MM")</f>
        <v/>
      </c>
      <c r="C1394" s="25">
        <f>TEXT(A1394,"MMM-YYYY")</f>
        <v/>
      </c>
      <c r="D1394" s="40">
        <f>INT(A1394)-WEEKDAY(A1394,2)+1</f>
        <v/>
      </c>
      <c r="E1394" s="25" t="inlineStr">
        <is>
          <t>rsingh</t>
        </is>
      </c>
      <c r="F1394" s="25" t="n">
        <v>519</v>
      </c>
      <c r="G1394" s="25" t="n">
        <v>1</v>
      </c>
      <c r="H1394" s="25" t="n">
        <v>5</v>
      </c>
      <c r="I1394" s="25" t="inlineStr">
        <is>
          <t>55 second(s)</t>
        </is>
      </c>
      <c r="J1394" s="25">
        <f>IFERROR(VALUE(TRIM(LEFT(I1394,FIND("minute",I1394)-1)))*60,0)+IFERROR(VALUE(SUBSTITUTE(MID(I1394,IFERROR(FIND("and",I1394)+3,1),20),"second(s)","")),0)</f>
        <v/>
      </c>
      <c r="K1394" s="41">
        <f>J1394/60</f>
        <v/>
      </c>
      <c r="L1394" s="41">
        <f>IFERROR(J1394/H1394,"")</f>
        <v/>
      </c>
      <c r="M1394" s="25" t="inlineStr">
        <is>
          <t>2.5.12</t>
        </is>
      </c>
      <c r="N1394" s="25">
        <f>IF(J1394&gt;300,1,0)</f>
        <v/>
      </c>
      <c r="O1394" s="25">
        <f>IF(J1394&gt;600,1,0)</f>
        <v/>
      </c>
      <c r="P1394" s="25">
        <f>IF(H1394&gt;0,J1394,"")</f>
        <v/>
      </c>
      <c r="Q1394" s="25">
        <f>TEXT(A1394,"YYYY-MM-DD HH")</f>
        <v/>
      </c>
      <c r="R1394" s="25">
        <f>COUNTIF($Q$2:$Q$5295,Q1394)</f>
        <v/>
      </c>
      <c r="S1394" s="25">
        <f>IF(R1394&lt;=2,"1-2",IF(R1394&lt;=5,"3-5",IF(R1394&lt;=10,"6-10","11+")))</f>
        <v/>
      </c>
    </row>
    <row r="1395">
      <c r="A1395" s="39" t="n">
        <v>46167.74377314815</v>
      </c>
      <c r="B1395" s="25">
        <f>TEXT(A1395,"YYYY-MM")</f>
        <v/>
      </c>
      <c r="C1395" s="25">
        <f>TEXT(A1395,"MMM-YYYY")</f>
        <v/>
      </c>
      <c r="D1395" s="40">
        <f>INT(A1395)-WEEKDAY(A1395,2)+1</f>
        <v/>
      </c>
      <c r="E1395" s="25" t="inlineStr">
        <is>
          <t>vraina</t>
        </is>
      </c>
      <c r="F1395" s="25" t="n">
        <v>37957</v>
      </c>
      <c r="G1395" s="25" t="n">
        <v>5</v>
      </c>
      <c r="H1395" s="25" t="n">
        <v>27</v>
      </c>
      <c r="I1395" s="25" t="inlineStr">
        <is>
          <t>5 minute(s) and 40 second(s)</t>
        </is>
      </c>
      <c r="J1395" s="25">
        <f>IFERROR(VALUE(TRIM(LEFT(I1395,FIND("minute",I1395)-1)))*60,0)+IFERROR(VALUE(SUBSTITUTE(MID(I1395,IFERROR(FIND("and",I1395)+3,1),20),"second(s)","")),0)</f>
        <v/>
      </c>
      <c r="K1395" s="41">
        <f>J1395/60</f>
        <v/>
      </c>
      <c r="L1395" s="41">
        <f>IFERROR(J1395/H1395,"")</f>
        <v/>
      </c>
      <c r="M1395" s="25" t="inlineStr">
        <is>
          <t>2.5.12</t>
        </is>
      </c>
      <c r="N1395" s="25">
        <f>IF(J1395&gt;300,1,0)</f>
        <v/>
      </c>
      <c r="O1395" s="25">
        <f>IF(J1395&gt;600,1,0)</f>
        <v/>
      </c>
      <c r="P1395" s="25">
        <f>IF(H1395&gt;0,J1395,"")</f>
        <v/>
      </c>
      <c r="Q1395" s="25">
        <f>TEXT(A1395,"YYYY-MM-DD HH")</f>
        <v/>
      </c>
      <c r="R1395" s="25">
        <f>COUNTIF($Q$2:$Q$5295,Q1395)</f>
        <v/>
      </c>
      <c r="S1395" s="25">
        <f>IF(R1395&lt;=2,"1-2",IF(R1395&lt;=5,"3-5",IF(R1395&lt;=10,"6-10","11+")))</f>
        <v/>
      </c>
    </row>
    <row r="1396">
      <c r="A1396" s="39" t="n">
        <v>46167.76153935185</v>
      </c>
      <c r="B1396" s="25">
        <f>TEXT(A1396,"YYYY-MM")</f>
        <v/>
      </c>
      <c r="C1396" s="25">
        <f>TEXT(A1396,"MMM-YYYY")</f>
        <v/>
      </c>
      <c r="D1396" s="40">
        <f>INT(A1396)-WEEKDAY(A1396,2)+1</f>
        <v/>
      </c>
      <c r="E1396" s="25" t="inlineStr">
        <is>
          <t>rsingh</t>
        </is>
      </c>
      <c r="F1396" s="25" t="n">
        <v>521</v>
      </c>
      <c r="G1396" s="25" t="n">
        <v>1</v>
      </c>
      <c r="H1396" s="25" t="n">
        <v>7</v>
      </c>
      <c r="I1396" s="25" t="inlineStr">
        <is>
          <t>3 minute(s) and 52 second(s)</t>
        </is>
      </c>
      <c r="J1396" s="25">
        <f>IFERROR(VALUE(TRIM(LEFT(I1396,FIND("minute",I1396)-1)))*60,0)+IFERROR(VALUE(SUBSTITUTE(MID(I1396,IFERROR(FIND("and",I1396)+3,1),20),"second(s)","")),0)</f>
        <v/>
      </c>
      <c r="K1396" s="41">
        <f>J1396/60</f>
        <v/>
      </c>
      <c r="L1396" s="41">
        <f>IFERROR(J1396/H1396,"")</f>
        <v/>
      </c>
      <c r="M1396" s="25" t="inlineStr">
        <is>
          <t>2.5.12</t>
        </is>
      </c>
      <c r="N1396" s="25">
        <f>IF(J1396&gt;300,1,0)</f>
        <v/>
      </c>
      <c r="O1396" s="25">
        <f>IF(J1396&gt;600,1,0)</f>
        <v/>
      </c>
      <c r="P1396" s="25">
        <f>IF(H1396&gt;0,J1396,"")</f>
        <v/>
      </c>
      <c r="Q1396" s="25">
        <f>TEXT(A1396,"YYYY-MM-DD HH")</f>
        <v/>
      </c>
      <c r="R1396" s="25">
        <f>COUNTIF($Q$2:$Q$5295,Q1396)</f>
        <v/>
      </c>
      <c r="S1396" s="25">
        <f>IF(R1396&lt;=2,"1-2",IF(R1396&lt;=5,"3-5",IF(R1396&lt;=10,"6-10","11+")))</f>
        <v/>
      </c>
    </row>
    <row r="1397">
      <c r="A1397" s="39" t="n">
        <v>46167.7641087963</v>
      </c>
      <c r="B1397" s="25">
        <f>TEXT(A1397,"YYYY-MM")</f>
        <v/>
      </c>
      <c r="C1397" s="25">
        <f>TEXT(A1397,"MMM-YYYY")</f>
        <v/>
      </c>
      <c r="D1397" s="40">
        <f>INT(A1397)-WEEKDAY(A1397,2)+1</f>
        <v/>
      </c>
      <c r="E1397" s="25" t="inlineStr">
        <is>
          <t>ssarkar</t>
        </is>
      </c>
      <c r="F1397" s="25" t="n">
        <v>63464</v>
      </c>
      <c r="G1397" s="25" t="n">
        <v>4</v>
      </c>
      <c r="H1397" s="25" t="n">
        <v>14</v>
      </c>
      <c r="I1397" s="25" t="inlineStr">
        <is>
          <t>5 minute(s) and 42 second(s)</t>
        </is>
      </c>
      <c r="J1397" s="25">
        <f>IFERROR(VALUE(TRIM(LEFT(I1397,FIND("minute",I1397)-1)))*60,0)+IFERROR(VALUE(SUBSTITUTE(MID(I1397,IFERROR(FIND("and",I1397)+3,1),20),"second(s)","")),0)</f>
        <v/>
      </c>
      <c r="K1397" s="41">
        <f>J1397/60</f>
        <v/>
      </c>
      <c r="L1397" s="41">
        <f>IFERROR(J1397/H1397,"")</f>
        <v/>
      </c>
      <c r="M1397" s="25" t="inlineStr">
        <is>
          <t>2.5.12</t>
        </is>
      </c>
      <c r="N1397" s="25">
        <f>IF(J1397&gt;300,1,0)</f>
        <v/>
      </c>
      <c r="O1397" s="25">
        <f>IF(J1397&gt;600,1,0)</f>
        <v/>
      </c>
      <c r="P1397" s="25">
        <f>IF(H1397&gt;0,J1397,"")</f>
        <v/>
      </c>
      <c r="Q1397" s="25">
        <f>TEXT(A1397,"YYYY-MM-DD HH")</f>
        <v/>
      </c>
      <c r="R1397" s="25">
        <f>COUNTIF($Q$2:$Q$5295,Q1397)</f>
        <v/>
      </c>
      <c r="S1397" s="25">
        <f>IF(R1397&lt;=2,"1-2",IF(R1397&lt;=5,"3-5",IF(R1397&lt;=10,"6-10","11+")))</f>
        <v/>
      </c>
    </row>
    <row r="1398">
      <c r="A1398" s="39" t="n">
        <v>46167.78234953704</v>
      </c>
      <c r="B1398" s="25">
        <f>TEXT(A1398,"YYYY-MM")</f>
        <v/>
      </c>
      <c r="C1398" s="25">
        <f>TEXT(A1398,"MMM-YYYY")</f>
        <v/>
      </c>
      <c r="D1398" s="40">
        <f>INT(A1398)-WEEKDAY(A1398,2)+1</f>
        <v/>
      </c>
      <c r="E1398" s="25" t="inlineStr">
        <is>
          <t>dchoudhury</t>
        </is>
      </c>
      <c r="F1398" s="25" t="n">
        <v>3475</v>
      </c>
      <c r="G1398" s="25" t="n">
        <v>5</v>
      </c>
      <c r="H1398" s="25" t="n">
        <v>19</v>
      </c>
      <c r="I1398" s="25" t="inlineStr">
        <is>
          <t>5 minute(s) and 38 second(s)</t>
        </is>
      </c>
      <c r="J1398" s="25">
        <f>IFERROR(VALUE(TRIM(LEFT(I1398,FIND("minute",I1398)-1)))*60,0)+IFERROR(VALUE(SUBSTITUTE(MID(I1398,IFERROR(FIND("and",I1398)+3,1),20),"second(s)","")),0)</f>
        <v/>
      </c>
      <c r="K1398" s="41">
        <f>J1398/60</f>
        <v/>
      </c>
      <c r="L1398" s="41">
        <f>IFERROR(J1398/H1398,"")</f>
        <v/>
      </c>
      <c r="M1398" s="25" t="inlineStr">
        <is>
          <t>2.5.12</t>
        </is>
      </c>
      <c r="N1398" s="25">
        <f>IF(J1398&gt;300,1,0)</f>
        <v/>
      </c>
      <c r="O1398" s="25">
        <f>IF(J1398&gt;600,1,0)</f>
        <v/>
      </c>
      <c r="P1398" s="25">
        <f>IF(H1398&gt;0,J1398,"")</f>
        <v/>
      </c>
      <c r="Q1398" s="25">
        <f>TEXT(A1398,"YYYY-MM-DD HH")</f>
        <v/>
      </c>
      <c r="R1398" s="25">
        <f>COUNTIF($Q$2:$Q$5295,Q1398)</f>
        <v/>
      </c>
      <c r="S1398" s="25">
        <f>IF(R1398&lt;=2,"1-2",IF(R1398&lt;=5,"3-5",IF(R1398&lt;=10,"6-10","11+")))</f>
        <v/>
      </c>
    </row>
    <row r="1399">
      <c r="A1399" s="39" t="n">
        <v>46167.78891203704</v>
      </c>
      <c r="B1399" s="25">
        <f>TEXT(A1399,"YYYY-MM")</f>
        <v/>
      </c>
      <c r="C1399" s="25">
        <f>TEXT(A1399,"MMM-YYYY")</f>
        <v/>
      </c>
      <c r="D1399" s="40">
        <f>INT(A1399)-WEEKDAY(A1399,2)+1</f>
        <v/>
      </c>
      <c r="E1399" s="25" t="inlineStr">
        <is>
          <t>rsingh</t>
        </is>
      </c>
      <c r="F1399" s="25" t="n">
        <v>522</v>
      </c>
      <c r="G1399" s="25" t="n">
        <v>1</v>
      </c>
      <c r="H1399" s="25" t="n">
        <v>7</v>
      </c>
      <c r="I1399" s="25" t="inlineStr">
        <is>
          <t>2 minute(s) and 39 second(s)</t>
        </is>
      </c>
      <c r="J1399" s="25">
        <f>IFERROR(VALUE(TRIM(LEFT(I1399,FIND("minute",I1399)-1)))*60,0)+IFERROR(VALUE(SUBSTITUTE(MID(I1399,IFERROR(FIND("and",I1399)+3,1),20),"second(s)","")),0)</f>
        <v/>
      </c>
      <c r="K1399" s="41">
        <f>J1399/60</f>
        <v/>
      </c>
      <c r="L1399" s="41">
        <f>IFERROR(J1399/H1399,"")</f>
        <v/>
      </c>
      <c r="M1399" s="25" t="inlineStr">
        <is>
          <t>2.5.12</t>
        </is>
      </c>
      <c r="N1399" s="25">
        <f>IF(J1399&gt;300,1,0)</f>
        <v/>
      </c>
      <c r="O1399" s="25">
        <f>IF(J1399&gt;600,1,0)</f>
        <v/>
      </c>
      <c r="P1399" s="25">
        <f>IF(H1399&gt;0,J1399,"")</f>
        <v/>
      </c>
      <c r="Q1399" s="25">
        <f>TEXT(A1399,"YYYY-MM-DD HH")</f>
        <v/>
      </c>
      <c r="R1399" s="25">
        <f>COUNTIF($Q$2:$Q$5295,Q1399)</f>
        <v/>
      </c>
      <c r="S1399" s="25">
        <f>IF(R1399&lt;=2,"1-2",IF(R1399&lt;=5,"3-5",IF(R1399&lt;=10,"6-10","11+")))</f>
        <v/>
      </c>
    </row>
    <row r="1400">
      <c r="A1400" s="39" t="n">
        <v>46167.85012731481</v>
      </c>
      <c r="B1400" s="25">
        <f>TEXT(A1400,"YYYY-MM")</f>
        <v/>
      </c>
      <c r="C1400" s="25">
        <f>TEXT(A1400,"MMM-YYYY")</f>
        <v/>
      </c>
      <c r="D1400" s="40">
        <f>INT(A1400)-WEEKDAY(A1400,2)+1</f>
        <v/>
      </c>
      <c r="E1400" s="25" t="inlineStr">
        <is>
          <t>dchoudhury</t>
        </is>
      </c>
      <c r="F1400" s="25" t="n">
        <v>3476</v>
      </c>
      <c r="G1400" s="25" t="n">
        <v>5</v>
      </c>
      <c r="H1400" s="25" t="n">
        <v>19</v>
      </c>
      <c r="I1400" s="25" t="inlineStr">
        <is>
          <t>5 minute(s) and 35 second(s)</t>
        </is>
      </c>
      <c r="J1400" s="25">
        <f>IFERROR(VALUE(TRIM(LEFT(I1400,FIND("minute",I1400)-1)))*60,0)+IFERROR(VALUE(SUBSTITUTE(MID(I1400,IFERROR(FIND("and",I1400)+3,1),20),"second(s)","")),0)</f>
        <v/>
      </c>
      <c r="K1400" s="41">
        <f>J1400/60</f>
        <v/>
      </c>
      <c r="L1400" s="41">
        <f>IFERROR(J1400/H1400,"")</f>
        <v/>
      </c>
      <c r="M1400" s="25" t="inlineStr">
        <is>
          <t>2.5.12</t>
        </is>
      </c>
      <c r="N1400" s="25">
        <f>IF(J1400&gt;300,1,0)</f>
        <v/>
      </c>
      <c r="O1400" s="25">
        <f>IF(J1400&gt;600,1,0)</f>
        <v/>
      </c>
      <c r="P1400" s="25">
        <f>IF(H1400&gt;0,J1400,"")</f>
        <v/>
      </c>
      <c r="Q1400" s="25">
        <f>TEXT(A1400,"YYYY-MM-DD HH")</f>
        <v/>
      </c>
      <c r="R1400" s="25">
        <f>COUNTIF($Q$2:$Q$5295,Q1400)</f>
        <v/>
      </c>
      <c r="S1400" s="25">
        <f>IF(R1400&lt;=2,"1-2",IF(R1400&lt;=5,"3-5",IF(R1400&lt;=10,"6-10","11+")))</f>
        <v/>
      </c>
    </row>
    <row r="1401">
      <c r="A1401" s="39" t="n">
        <v>46167.9425</v>
      </c>
      <c r="B1401" s="25">
        <f>TEXT(A1401,"YYYY-MM")</f>
        <v/>
      </c>
      <c r="C1401" s="25">
        <f>TEXT(A1401,"MMM-YYYY")</f>
        <v/>
      </c>
      <c r="D1401" s="40">
        <f>INT(A1401)-WEEKDAY(A1401,2)+1</f>
        <v/>
      </c>
      <c r="E1401" s="25" t="inlineStr">
        <is>
          <t>dchoudhury</t>
        </is>
      </c>
      <c r="F1401" s="25" t="n">
        <v>3478</v>
      </c>
      <c r="G1401" s="25" t="n">
        <v>4</v>
      </c>
      <c r="H1401" s="25" t="n">
        <v>17</v>
      </c>
      <c r="I1401" s="25" t="inlineStr">
        <is>
          <t>5 minute(s) and 52 second(s)</t>
        </is>
      </c>
      <c r="J1401" s="25">
        <f>IFERROR(VALUE(TRIM(LEFT(I1401,FIND("minute",I1401)-1)))*60,0)+IFERROR(VALUE(SUBSTITUTE(MID(I1401,IFERROR(FIND("and",I1401)+3,1),20),"second(s)","")),0)</f>
        <v/>
      </c>
      <c r="K1401" s="41">
        <f>J1401/60</f>
        <v/>
      </c>
      <c r="L1401" s="41">
        <f>IFERROR(J1401/H1401,"")</f>
        <v/>
      </c>
      <c r="M1401" s="25" t="inlineStr">
        <is>
          <t>2.5.12</t>
        </is>
      </c>
      <c r="N1401" s="25">
        <f>IF(J1401&gt;300,1,0)</f>
        <v/>
      </c>
      <c r="O1401" s="25">
        <f>IF(J1401&gt;600,1,0)</f>
        <v/>
      </c>
      <c r="P1401" s="25">
        <f>IF(H1401&gt;0,J1401,"")</f>
        <v/>
      </c>
      <c r="Q1401" s="25">
        <f>TEXT(A1401,"YYYY-MM-DD HH")</f>
        <v/>
      </c>
      <c r="R1401" s="25">
        <f>COUNTIF($Q$2:$Q$5295,Q1401)</f>
        <v/>
      </c>
      <c r="S1401" s="25">
        <f>IF(R1401&lt;=2,"1-2",IF(R1401&lt;=5,"3-5",IF(R1401&lt;=10,"6-10","11+")))</f>
        <v/>
      </c>
    </row>
    <row r="1402">
      <c r="A1402" s="39" t="n">
        <v>46167.95006944444</v>
      </c>
      <c r="B1402" s="25">
        <f>TEXT(A1402,"YYYY-MM")</f>
        <v/>
      </c>
      <c r="C1402" s="25">
        <f>TEXT(A1402,"MMM-YYYY")</f>
        <v/>
      </c>
      <c r="D1402" s="40">
        <f>INT(A1402)-WEEKDAY(A1402,2)+1</f>
        <v/>
      </c>
      <c r="E1402" s="25" t="inlineStr">
        <is>
          <t>dchoudhury</t>
        </is>
      </c>
      <c r="F1402" s="25" t="n">
        <v>3478</v>
      </c>
      <c r="G1402" s="25" t="n">
        <v>1</v>
      </c>
      <c r="H1402" s="25" t="n">
        <v>5</v>
      </c>
      <c r="I1402" s="25" t="inlineStr">
        <is>
          <t>1 minute(s) and 19 second(s)</t>
        </is>
      </c>
      <c r="J1402" s="25">
        <f>IFERROR(VALUE(TRIM(LEFT(I1402,FIND("minute",I1402)-1)))*60,0)+IFERROR(VALUE(SUBSTITUTE(MID(I1402,IFERROR(FIND("and",I1402)+3,1),20),"second(s)","")),0)</f>
        <v/>
      </c>
      <c r="K1402" s="41">
        <f>J1402/60</f>
        <v/>
      </c>
      <c r="L1402" s="41">
        <f>IFERROR(J1402/H1402,"")</f>
        <v/>
      </c>
      <c r="M1402" s="25" t="inlineStr">
        <is>
          <t>2.5.12</t>
        </is>
      </c>
      <c r="N1402" s="25">
        <f>IF(J1402&gt;300,1,0)</f>
        <v/>
      </c>
      <c r="O1402" s="25">
        <f>IF(J1402&gt;600,1,0)</f>
        <v/>
      </c>
      <c r="P1402" s="25">
        <f>IF(H1402&gt;0,J1402,"")</f>
        <v/>
      </c>
      <c r="Q1402" s="25">
        <f>TEXT(A1402,"YYYY-MM-DD HH")</f>
        <v/>
      </c>
      <c r="R1402" s="25">
        <f>COUNTIF($Q$2:$Q$5295,Q1402)</f>
        <v/>
      </c>
      <c r="S1402" s="25">
        <f>IF(R1402&lt;=2,"1-2",IF(R1402&lt;=5,"3-5",IF(R1402&lt;=10,"6-10","11+")))</f>
        <v/>
      </c>
    </row>
    <row r="1403">
      <c r="A1403" s="39" t="n">
        <v>46168.01358796296</v>
      </c>
      <c r="B1403" s="25">
        <f>TEXT(A1403,"YYYY-MM")</f>
        <v/>
      </c>
      <c r="C1403" s="25">
        <f>TEXT(A1403,"MMM-YYYY")</f>
        <v/>
      </c>
      <c r="D1403" s="40">
        <f>INT(A1403)-WEEKDAY(A1403,2)+1</f>
        <v/>
      </c>
      <c r="E1403" s="25" t="inlineStr">
        <is>
          <t>smukhopadhyay</t>
        </is>
      </c>
      <c r="F1403" s="25" t="n">
        <v>5035</v>
      </c>
      <c r="G1403" s="25" t="n">
        <v>1</v>
      </c>
      <c r="H1403" s="25" t="n">
        <v>7</v>
      </c>
      <c r="I1403" s="25" t="inlineStr">
        <is>
          <t>1 minute(s) and 29 second(s)</t>
        </is>
      </c>
      <c r="J1403" s="25">
        <f>IFERROR(VALUE(TRIM(LEFT(I1403,FIND("minute",I1403)-1)))*60,0)+IFERROR(VALUE(SUBSTITUTE(MID(I1403,IFERROR(FIND("and",I1403)+3,1),20),"second(s)","")),0)</f>
        <v/>
      </c>
      <c r="K1403" s="41">
        <f>J1403/60</f>
        <v/>
      </c>
      <c r="L1403" s="41">
        <f>IFERROR(J1403/H1403,"")</f>
        <v/>
      </c>
      <c r="M1403" s="25" t="inlineStr">
        <is>
          <t>2.5.12</t>
        </is>
      </c>
      <c r="N1403" s="25">
        <f>IF(J1403&gt;300,1,0)</f>
        <v/>
      </c>
      <c r="O1403" s="25">
        <f>IF(J1403&gt;600,1,0)</f>
        <v/>
      </c>
      <c r="P1403" s="25">
        <f>IF(H1403&gt;0,J1403,"")</f>
        <v/>
      </c>
      <c r="Q1403" s="25">
        <f>TEXT(A1403,"YYYY-MM-DD HH")</f>
        <v/>
      </c>
      <c r="R1403" s="25">
        <f>COUNTIF($Q$2:$Q$5295,Q1403)</f>
        <v/>
      </c>
      <c r="S1403" s="25">
        <f>IF(R1403&lt;=2,"1-2",IF(R1403&lt;=5,"3-5",IF(R1403&lt;=10,"6-10","11+")))</f>
        <v/>
      </c>
    </row>
    <row r="1404">
      <c r="A1404" s="39" t="n">
        <v>46168.03121527778</v>
      </c>
      <c r="B1404" s="25">
        <f>TEXT(A1404,"YYYY-MM")</f>
        <v/>
      </c>
      <c r="C1404" s="25">
        <f>TEXT(A1404,"MMM-YYYY")</f>
        <v/>
      </c>
      <c r="D1404" s="40">
        <f>INT(A1404)-WEEKDAY(A1404,2)+1</f>
        <v/>
      </c>
      <c r="E1404" s="25" t="inlineStr">
        <is>
          <t>arsarkar</t>
        </is>
      </c>
      <c r="F1404" s="25" t="n">
        <v>4969</v>
      </c>
      <c r="G1404" s="25" t="n">
        <v>2</v>
      </c>
      <c r="H1404" s="25" t="n">
        <v>10</v>
      </c>
      <c r="I1404" s="25" t="inlineStr">
        <is>
          <t>2 minute(s) and 12 second(s)</t>
        </is>
      </c>
      <c r="J1404" s="25">
        <f>IFERROR(VALUE(TRIM(LEFT(I1404,FIND("minute",I1404)-1)))*60,0)+IFERROR(VALUE(SUBSTITUTE(MID(I1404,IFERROR(FIND("and",I1404)+3,1),20),"second(s)","")),0)</f>
        <v/>
      </c>
      <c r="K1404" s="41">
        <f>J1404/60</f>
        <v/>
      </c>
      <c r="L1404" s="41">
        <f>IFERROR(J1404/H1404,"")</f>
        <v/>
      </c>
      <c r="M1404" s="25" t="inlineStr">
        <is>
          <t>2.5.12</t>
        </is>
      </c>
      <c r="N1404" s="25">
        <f>IF(J1404&gt;300,1,0)</f>
        <v/>
      </c>
      <c r="O1404" s="25">
        <f>IF(J1404&gt;600,1,0)</f>
        <v/>
      </c>
      <c r="P1404" s="25">
        <f>IF(H1404&gt;0,J1404,"")</f>
        <v/>
      </c>
      <c r="Q1404" s="25">
        <f>TEXT(A1404,"YYYY-MM-DD HH")</f>
        <v/>
      </c>
      <c r="R1404" s="25">
        <f>COUNTIF($Q$2:$Q$5295,Q1404)</f>
        <v/>
      </c>
      <c r="S1404" s="25">
        <f>IF(R1404&lt;=2,"1-2",IF(R1404&lt;=5,"3-5",IF(R1404&lt;=10,"6-10","11+")))</f>
        <v/>
      </c>
    </row>
    <row r="1405">
      <c r="A1405" s="39" t="n">
        <v>46168.0372337963</v>
      </c>
      <c r="B1405" s="25">
        <f>TEXT(A1405,"YYYY-MM")</f>
        <v/>
      </c>
      <c r="C1405" s="25">
        <f>TEXT(A1405,"MMM-YYYY")</f>
        <v/>
      </c>
      <c r="D1405" s="40">
        <f>INT(A1405)-WEEKDAY(A1405,2)+1</f>
        <v/>
      </c>
      <c r="E1405" s="25" t="inlineStr">
        <is>
          <t>smukhopadhyay</t>
        </is>
      </c>
      <c r="F1405" s="25" t="n">
        <v>5036</v>
      </c>
      <c r="G1405" s="25" t="n">
        <v>1</v>
      </c>
      <c r="H1405" s="25" t="n">
        <v>7</v>
      </c>
      <c r="I1405" s="25" t="inlineStr">
        <is>
          <t>1 minute(s) and 33 second(s)</t>
        </is>
      </c>
      <c r="J1405" s="25">
        <f>IFERROR(VALUE(TRIM(LEFT(I1405,FIND("minute",I1405)-1)))*60,0)+IFERROR(VALUE(SUBSTITUTE(MID(I1405,IFERROR(FIND("and",I1405)+3,1),20),"second(s)","")),0)</f>
        <v/>
      </c>
      <c r="K1405" s="41">
        <f>J1405/60</f>
        <v/>
      </c>
      <c r="L1405" s="41">
        <f>IFERROR(J1405/H1405,"")</f>
        <v/>
      </c>
      <c r="M1405" s="25" t="inlineStr">
        <is>
          <t>2.5.12</t>
        </is>
      </c>
      <c r="N1405" s="25">
        <f>IF(J1405&gt;300,1,0)</f>
        <v/>
      </c>
      <c r="O1405" s="25">
        <f>IF(J1405&gt;600,1,0)</f>
        <v/>
      </c>
      <c r="P1405" s="25">
        <f>IF(H1405&gt;0,J1405,"")</f>
        <v/>
      </c>
      <c r="Q1405" s="25">
        <f>TEXT(A1405,"YYYY-MM-DD HH")</f>
        <v/>
      </c>
      <c r="R1405" s="25">
        <f>COUNTIF($Q$2:$Q$5295,Q1405)</f>
        <v/>
      </c>
      <c r="S1405" s="25">
        <f>IF(R1405&lt;=2,"1-2",IF(R1405&lt;=5,"3-5",IF(R1405&lt;=10,"6-10","11+")))</f>
        <v/>
      </c>
    </row>
    <row r="1406">
      <c r="A1406" s="39" t="n">
        <v>46168.040625</v>
      </c>
      <c r="B1406" s="25">
        <f>TEXT(A1406,"YYYY-MM")</f>
        <v/>
      </c>
      <c r="C1406" s="25">
        <f>TEXT(A1406,"MMM-YYYY")</f>
        <v/>
      </c>
      <c r="D1406" s="40">
        <f>INT(A1406)-WEEKDAY(A1406,2)+1</f>
        <v/>
      </c>
      <c r="E1406" s="25" t="inlineStr">
        <is>
          <t>ssrinivasan</t>
        </is>
      </c>
      <c r="F1406" s="25" t="n">
        <v>4317</v>
      </c>
      <c r="G1406" s="25" t="n">
        <v>1</v>
      </c>
      <c r="H1406" s="25" t="n">
        <v>7</v>
      </c>
      <c r="I1406" s="25" t="inlineStr">
        <is>
          <t>4 minute(s) and 26 second(s)</t>
        </is>
      </c>
      <c r="J1406" s="25">
        <f>IFERROR(VALUE(TRIM(LEFT(I1406,FIND("minute",I1406)-1)))*60,0)+IFERROR(VALUE(SUBSTITUTE(MID(I1406,IFERROR(FIND("and",I1406)+3,1),20),"second(s)","")),0)</f>
        <v/>
      </c>
      <c r="K1406" s="41">
        <f>J1406/60</f>
        <v/>
      </c>
      <c r="L1406" s="41">
        <f>IFERROR(J1406/H1406,"")</f>
        <v/>
      </c>
      <c r="M1406" s="25" t="inlineStr">
        <is>
          <t>2.5.12</t>
        </is>
      </c>
      <c r="N1406" s="25">
        <f>IF(J1406&gt;300,1,0)</f>
        <v/>
      </c>
      <c r="O1406" s="25">
        <f>IF(J1406&gt;600,1,0)</f>
        <v/>
      </c>
      <c r="P1406" s="25">
        <f>IF(H1406&gt;0,J1406,"")</f>
        <v/>
      </c>
      <c r="Q1406" s="25">
        <f>TEXT(A1406,"YYYY-MM-DD HH")</f>
        <v/>
      </c>
      <c r="R1406" s="25">
        <f>COUNTIF($Q$2:$Q$5295,Q1406)</f>
        <v/>
      </c>
      <c r="S1406" s="25">
        <f>IF(R1406&lt;=2,"1-2",IF(R1406&lt;=5,"3-5",IF(R1406&lt;=10,"6-10","11+")))</f>
        <v/>
      </c>
    </row>
    <row r="1407">
      <c r="A1407" s="39" t="n">
        <v>46168.05623842592</v>
      </c>
      <c r="B1407" s="25">
        <f>TEXT(A1407,"YYYY-MM")</f>
        <v/>
      </c>
      <c r="C1407" s="25">
        <f>TEXT(A1407,"MMM-YYYY")</f>
        <v/>
      </c>
      <c r="D1407" s="40">
        <f>INT(A1407)-WEEKDAY(A1407,2)+1</f>
        <v/>
      </c>
      <c r="E1407" s="25" t="inlineStr">
        <is>
          <t>mbohra</t>
        </is>
      </c>
      <c r="F1407" s="25" t="n">
        <v>89594</v>
      </c>
      <c r="G1407" s="25" t="n">
        <v>2</v>
      </c>
      <c r="H1407" s="25" t="n">
        <v>8</v>
      </c>
      <c r="I1407" s="25" t="inlineStr">
        <is>
          <t>4 minute(s) and 24 second(s)</t>
        </is>
      </c>
      <c r="J1407" s="25">
        <f>IFERROR(VALUE(TRIM(LEFT(I1407,FIND("minute",I1407)-1)))*60,0)+IFERROR(VALUE(SUBSTITUTE(MID(I1407,IFERROR(FIND("and",I1407)+3,1),20),"second(s)","")),0)</f>
        <v/>
      </c>
      <c r="K1407" s="41">
        <f>J1407/60</f>
        <v/>
      </c>
      <c r="L1407" s="41">
        <f>IFERROR(J1407/H1407,"")</f>
        <v/>
      </c>
      <c r="M1407" s="25" t="inlineStr">
        <is>
          <t>2.5.12</t>
        </is>
      </c>
      <c r="N1407" s="25">
        <f>IF(J1407&gt;300,1,0)</f>
        <v/>
      </c>
      <c r="O1407" s="25">
        <f>IF(J1407&gt;600,1,0)</f>
        <v/>
      </c>
      <c r="P1407" s="25">
        <f>IF(H1407&gt;0,J1407,"")</f>
        <v/>
      </c>
      <c r="Q1407" s="25">
        <f>TEXT(A1407,"YYYY-MM-DD HH")</f>
        <v/>
      </c>
      <c r="R1407" s="25">
        <f>COUNTIF($Q$2:$Q$5295,Q1407)</f>
        <v/>
      </c>
      <c r="S1407" s="25">
        <f>IF(R1407&lt;=2,"1-2",IF(R1407&lt;=5,"3-5",IF(R1407&lt;=10,"6-10","11+")))</f>
        <v/>
      </c>
    </row>
    <row r="1408">
      <c r="A1408" s="39" t="n">
        <v>46168.06960648148</v>
      </c>
      <c r="B1408" s="25">
        <f>TEXT(A1408,"YYYY-MM")</f>
        <v/>
      </c>
      <c r="C1408" s="25">
        <f>TEXT(A1408,"MMM-YYYY")</f>
        <v/>
      </c>
      <c r="D1408" s="40">
        <f>INT(A1408)-WEEKDAY(A1408,2)+1</f>
        <v/>
      </c>
      <c r="E1408" s="25" t="inlineStr">
        <is>
          <t>smukhopadhyay</t>
        </is>
      </c>
      <c r="F1408" s="25" t="n">
        <v>5039</v>
      </c>
      <c r="G1408" s="25" t="n">
        <v>1</v>
      </c>
      <c r="H1408" s="25" t="n">
        <v>7</v>
      </c>
      <c r="I1408" s="25" t="inlineStr">
        <is>
          <t>1 minute(s) and 38 second(s)</t>
        </is>
      </c>
      <c r="J1408" s="25">
        <f>IFERROR(VALUE(TRIM(LEFT(I1408,FIND("minute",I1408)-1)))*60,0)+IFERROR(VALUE(SUBSTITUTE(MID(I1408,IFERROR(FIND("and",I1408)+3,1),20),"second(s)","")),0)</f>
        <v/>
      </c>
      <c r="K1408" s="41">
        <f>J1408/60</f>
        <v/>
      </c>
      <c r="L1408" s="41">
        <f>IFERROR(J1408/H1408,"")</f>
        <v/>
      </c>
      <c r="M1408" s="25" t="inlineStr">
        <is>
          <t>2.5.12</t>
        </is>
      </c>
      <c r="N1408" s="25">
        <f>IF(J1408&gt;300,1,0)</f>
        <v/>
      </c>
      <c r="O1408" s="25">
        <f>IF(J1408&gt;600,1,0)</f>
        <v/>
      </c>
      <c r="P1408" s="25">
        <f>IF(H1408&gt;0,J1408,"")</f>
        <v/>
      </c>
      <c r="Q1408" s="25">
        <f>TEXT(A1408,"YYYY-MM-DD HH")</f>
        <v/>
      </c>
      <c r="R1408" s="25">
        <f>COUNTIF($Q$2:$Q$5295,Q1408)</f>
        <v/>
      </c>
      <c r="S1408" s="25">
        <f>IF(R1408&lt;=2,"1-2",IF(R1408&lt;=5,"3-5",IF(R1408&lt;=10,"6-10","11+")))</f>
        <v/>
      </c>
    </row>
    <row r="1409">
      <c r="A1409" s="39" t="n">
        <v>46168.07086805555</v>
      </c>
      <c r="B1409" s="25">
        <f>TEXT(A1409,"YYYY-MM")</f>
        <v/>
      </c>
      <c r="C1409" s="25">
        <f>TEXT(A1409,"MMM-YYYY")</f>
        <v/>
      </c>
      <c r="D1409" s="40">
        <f>INT(A1409)-WEEKDAY(A1409,2)+1</f>
        <v/>
      </c>
      <c r="E1409" s="25" t="inlineStr">
        <is>
          <t>taggarwal</t>
        </is>
      </c>
      <c r="F1409" s="25" t="n">
        <v>3082</v>
      </c>
      <c r="G1409" s="25" t="n">
        <v>3</v>
      </c>
      <c r="H1409" s="25" t="n">
        <v>17</v>
      </c>
      <c r="I1409" s="25" t="inlineStr">
        <is>
          <t>5 minute(s) and 27 second(s)</t>
        </is>
      </c>
      <c r="J1409" s="25">
        <f>IFERROR(VALUE(TRIM(LEFT(I1409,FIND("minute",I1409)-1)))*60,0)+IFERROR(VALUE(SUBSTITUTE(MID(I1409,IFERROR(FIND("and",I1409)+3,1),20),"second(s)","")),0)</f>
        <v/>
      </c>
      <c r="K1409" s="41">
        <f>J1409/60</f>
        <v/>
      </c>
      <c r="L1409" s="41">
        <f>IFERROR(J1409/H1409,"")</f>
        <v/>
      </c>
      <c r="M1409" s="25" t="inlineStr">
        <is>
          <t>2.5.12</t>
        </is>
      </c>
      <c r="N1409" s="25">
        <f>IF(J1409&gt;300,1,0)</f>
        <v/>
      </c>
      <c r="O1409" s="25">
        <f>IF(J1409&gt;600,1,0)</f>
        <v/>
      </c>
      <c r="P1409" s="25">
        <f>IF(H1409&gt;0,J1409,"")</f>
        <v/>
      </c>
      <c r="Q1409" s="25">
        <f>TEXT(A1409,"YYYY-MM-DD HH")</f>
        <v/>
      </c>
      <c r="R1409" s="25">
        <f>COUNTIF($Q$2:$Q$5295,Q1409)</f>
        <v/>
      </c>
      <c r="S1409" s="25">
        <f>IF(R1409&lt;=2,"1-2",IF(R1409&lt;=5,"3-5",IF(R1409&lt;=10,"6-10","11+")))</f>
        <v/>
      </c>
    </row>
    <row r="1410">
      <c r="A1410" s="39" t="n">
        <v>46168.07350694444</v>
      </c>
      <c r="B1410" s="25">
        <f>TEXT(A1410,"YYYY-MM")</f>
        <v/>
      </c>
      <c r="C1410" s="25">
        <f>TEXT(A1410,"MMM-YYYY")</f>
        <v/>
      </c>
      <c r="D1410" s="40">
        <f>INT(A1410)-WEEKDAY(A1410,2)+1</f>
        <v/>
      </c>
      <c r="E1410" s="25" t="inlineStr">
        <is>
          <t>akumari</t>
        </is>
      </c>
      <c r="F1410" s="25" t="n">
        <v>5104</v>
      </c>
      <c r="G1410" s="25" t="n">
        <v>1</v>
      </c>
      <c r="H1410" s="25" t="n">
        <v>7</v>
      </c>
      <c r="I1410" s="25" t="inlineStr">
        <is>
          <t>1 minute(s) and 24 second(s)</t>
        </is>
      </c>
      <c r="J1410" s="25">
        <f>IFERROR(VALUE(TRIM(LEFT(I1410,FIND("minute",I1410)-1)))*60,0)+IFERROR(VALUE(SUBSTITUTE(MID(I1410,IFERROR(FIND("and",I1410)+3,1),20),"second(s)","")),0)</f>
        <v/>
      </c>
      <c r="K1410" s="41">
        <f>J1410/60</f>
        <v/>
      </c>
      <c r="L1410" s="41">
        <f>IFERROR(J1410/H1410,"")</f>
        <v/>
      </c>
      <c r="M1410" s="25" t="inlineStr">
        <is>
          <t>2.5.12</t>
        </is>
      </c>
      <c r="N1410" s="25">
        <f>IF(J1410&gt;300,1,0)</f>
        <v/>
      </c>
      <c r="O1410" s="25">
        <f>IF(J1410&gt;600,1,0)</f>
        <v/>
      </c>
      <c r="P1410" s="25">
        <f>IF(H1410&gt;0,J1410,"")</f>
        <v/>
      </c>
      <c r="Q1410" s="25">
        <f>TEXT(A1410,"YYYY-MM-DD HH")</f>
        <v/>
      </c>
      <c r="R1410" s="25">
        <f>COUNTIF($Q$2:$Q$5295,Q1410)</f>
        <v/>
      </c>
      <c r="S1410" s="25">
        <f>IF(R1410&lt;=2,"1-2",IF(R1410&lt;=5,"3-5",IF(R1410&lt;=10,"6-10","11+")))</f>
        <v/>
      </c>
    </row>
    <row r="1411">
      <c r="A1411" s="39" t="n">
        <v>46168.07510416667</v>
      </c>
      <c r="B1411" s="25">
        <f>TEXT(A1411,"YYYY-MM")</f>
        <v/>
      </c>
      <c r="C1411" s="25">
        <f>TEXT(A1411,"MMM-YYYY")</f>
        <v/>
      </c>
      <c r="D1411" s="40">
        <f>INT(A1411)-WEEKDAY(A1411,2)+1</f>
        <v/>
      </c>
      <c r="E1411" s="25" t="inlineStr">
        <is>
          <t>arsarkar</t>
        </is>
      </c>
      <c r="F1411" s="25" t="n">
        <v>4970</v>
      </c>
      <c r="G1411" s="25" t="n">
        <v>1</v>
      </c>
      <c r="H1411" s="25" t="n">
        <v>5</v>
      </c>
      <c r="I1411" s="25" t="inlineStr">
        <is>
          <t>2 minute(s) and 20 second(s)</t>
        </is>
      </c>
      <c r="J1411" s="25">
        <f>IFERROR(VALUE(TRIM(LEFT(I1411,FIND("minute",I1411)-1)))*60,0)+IFERROR(VALUE(SUBSTITUTE(MID(I1411,IFERROR(FIND("and",I1411)+3,1),20),"second(s)","")),0)</f>
        <v/>
      </c>
      <c r="K1411" s="41">
        <f>J1411/60</f>
        <v/>
      </c>
      <c r="L1411" s="41">
        <f>IFERROR(J1411/H1411,"")</f>
        <v/>
      </c>
      <c r="M1411" s="25" t="inlineStr">
        <is>
          <t>2.5.12</t>
        </is>
      </c>
      <c r="N1411" s="25">
        <f>IF(J1411&gt;300,1,0)</f>
        <v/>
      </c>
      <c r="O1411" s="25">
        <f>IF(J1411&gt;600,1,0)</f>
        <v/>
      </c>
      <c r="P1411" s="25">
        <f>IF(H1411&gt;0,J1411,"")</f>
        <v/>
      </c>
      <c r="Q1411" s="25">
        <f>TEXT(A1411,"YYYY-MM-DD HH")</f>
        <v/>
      </c>
      <c r="R1411" s="25">
        <f>COUNTIF($Q$2:$Q$5295,Q1411)</f>
        <v/>
      </c>
      <c r="S1411" s="25">
        <f>IF(R1411&lt;=2,"1-2",IF(R1411&lt;=5,"3-5",IF(R1411&lt;=10,"6-10","11+")))</f>
        <v/>
      </c>
    </row>
    <row r="1412">
      <c r="A1412" s="39" t="n">
        <v>46168.07655092593</v>
      </c>
      <c r="B1412" s="25">
        <f>TEXT(A1412,"YYYY-MM")</f>
        <v/>
      </c>
      <c r="C1412" s="25">
        <f>TEXT(A1412,"MMM-YYYY")</f>
        <v/>
      </c>
      <c r="D1412" s="40">
        <f>INT(A1412)-WEEKDAY(A1412,2)+1</f>
        <v/>
      </c>
      <c r="E1412" s="25" t="inlineStr">
        <is>
          <t>ethomas</t>
        </is>
      </c>
      <c r="F1412" s="25" t="n">
        <v>650</v>
      </c>
      <c r="G1412" s="25" t="n">
        <v>2</v>
      </c>
      <c r="H1412" s="25" t="n">
        <v>10</v>
      </c>
      <c r="I1412" s="25" t="inlineStr">
        <is>
          <t>2 minute(s) and 5 second(s)</t>
        </is>
      </c>
      <c r="J1412" s="25">
        <f>IFERROR(VALUE(TRIM(LEFT(I1412,FIND("minute",I1412)-1)))*60,0)+IFERROR(VALUE(SUBSTITUTE(MID(I1412,IFERROR(FIND("and",I1412)+3,1),20),"second(s)","")),0)</f>
        <v/>
      </c>
      <c r="K1412" s="41">
        <f>J1412/60</f>
        <v/>
      </c>
      <c r="L1412" s="41">
        <f>IFERROR(J1412/H1412,"")</f>
        <v/>
      </c>
      <c r="M1412" s="25" t="inlineStr">
        <is>
          <t>2.5.12</t>
        </is>
      </c>
      <c r="N1412" s="25">
        <f>IF(J1412&gt;300,1,0)</f>
        <v/>
      </c>
      <c r="O1412" s="25">
        <f>IF(J1412&gt;600,1,0)</f>
        <v/>
      </c>
      <c r="P1412" s="25">
        <f>IF(H1412&gt;0,J1412,"")</f>
        <v/>
      </c>
      <c r="Q1412" s="25">
        <f>TEXT(A1412,"YYYY-MM-DD HH")</f>
        <v/>
      </c>
      <c r="R1412" s="25">
        <f>COUNTIF($Q$2:$Q$5295,Q1412)</f>
        <v/>
      </c>
      <c r="S1412" s="25">
        <f>IF(R1412&lt;=2,"1-2",IF(R1412&lt;=5,"3-5",IF(R1412&lt;=10,"6-10","11+")))</f>
        <v/>
      </c>
    </row>
    <row r="1413">
      <c r="A1413" s="39" t="n">
        <v>46168.07869212963</v>
      </c>
      <c r="B1413" s="25">
        <f>TEXT(A1413,"YYYY-MM")</f>
        <v/>
      </c>
      <c r="C1413" s="25">
        <f>TEXT(A1413,"MMM-YYYY")</f>
        <v/>
      </c>
      <c r="D1413" s="40">
        <f>INT(A1413)-WEEKDAY(A1413,2)+1</f>
        <v/>
      </c>
      <c r="E1413" s="25" t="inlineStr">
        <is>
          <t>pmishra</t>
        </is>
      </c>
      <c r="F1413" s="25" t="n">
        <v>5218</v>
      </c>
      <c r="G1413" s="25" t="n">
        <v>1</v>
      </c>
      <c r="H1413" s="25" t="n">
        <v>7</v>
      </c>
      <c r="I1413" s="25" t="inlineStr">
        <is>
          <t>2 minute(s) and 28 second(s)</t>
        </is>
      </c>
      <c r="J1413" s="25">
        <f>IFERROR(VALUE(TRIM(LEFT(I1413,FIND("minute",I1413)-1)))*60,0)+IFERROR(VALUE(SUBSTITUTE(MID(I1413,IFERROR(FIND("and",I1413)+3,1),20),"second(s)","")),0)</f>
        <v/>
      </c>
      <c r="K1413" s="41">
        <f>J1413/60</f>
        <v/>
      </c>
      <c r="L1413" s="41">
        <f>IFERROR(J1413/H1413,"")</f>
        <v/>
      </c>
      <c r="M1413" s="25" t="inlineStr">
        <is>
          <t>2.5.12</t>
        </is>
      </c>
      <c r="N1413" s="25">
        <f>IF(J1413&gt;300,1,0)</f>
        <v/>
      </c>
      <c r="O1413" s="25">
        <f>IF(J1413&gt;600,1,0)</f>
        <v/>
      </c>
      <c r="P1413" s="25">
        <f>IF(H1413&gt;0,J1413,"")</f>
        <v/>
      </c>
      <c r="Q1413" s="25">
        <f>TEXT(A1413,"YYYY-MM-DD HH")</f>
        <v/>
      </c>
      <c r="R1413" s="25">
        <f>COUNTIF($Q$2:$Q$5295,Q1413)</f>
        <v/>
      </c>
      <c r="S1413" s="25">
        <f>IF(R1413&lt;=2,"1-2",IF(R1413&lt;=5,"3-5",IF(R1413&lt;=10,"6-10","11+")))</f>
        <v/>
      </c>
    </row>
    <row r="1414">
      <c r="A1414" s="39" t="n">
        <v>46168.07895833333</v>
      </c>
      <c r="B1414" s="25">
        <f>TEXT(A1414,"YYYY-MM")</f>
        <v/>
      </c>
      <c r="C1414" s="25">
        <f>TEXT(A1414,"MMM-YYYY")</f>
        <v/>
      </c>
      <c r="D1414" s="40">
        <f>INT(A1414)-WEEKDAY(A1414,2)+1</f>
        <v/>
      </c>
      <c r="E1414" s="25" t="inlineStr">
        <is>
          <t>csaha</t>
        </is>
      </c>
      <c r="F1414" s="25" t="n">
        <v>69710</v>
      </c>
      <c r="G1414" s="25" t="n">
        <v>1</v>
      </c>
      <c r="H1414" s="25" t="n">
        <v>5</v>
      </c>
      <c r="I1414" s="25" t="inlineStr">
        <is>
          <t>1 minute(s) and 15 second(s)</t>
        </is>
      </c>
      <c r="J1414" s="25">
        <f>IFERROR(VALUE(TRIM(LEFT(I1414,FIND("minute",I1414)-1)))*60,0)+IFERROR(VALUE(SUBSTITUTE(MID(I1414,IFERROR(FIND("and",I1414)+3,1),20),"second(s)","")),0)</f>
        <v/>
      </c>
      <c r="K1414" s="41">
        <f>J1414/60</f>
        <v/>
      </c>
      <c r="L1414" s="41">
        <f>IFERROR(J1414/H1414,"")</f>
        <v/>
      </c>
      <c r="M1414" s="25" t="inlineStr">
        <is>
          <t>2.5.12</t>
        </is>
      </c>
      <c r="N1414" s="25">
        <f>IF(J1414&gt;300,1,0)</f>
        <v/>
      </c>
      <c r="O1414" s="25">
        <f>IF(J1414&gt;600,1,0)</f>
        <v/>
      </c>
      <c r="P1414" s="25">
        <f>IF(H1414&gt;0,J1414,"")</f>
        <v/>
      </c>
      <c r="Q1414" s="25">
        <f>TEXT(A1414,"YYYY-MM-DD HH")</f>
        <v/>
      </c>
      <c r="R1414" s="25">
        <f>COUNTIF($Q$2:$Q$5295,Q1414)</f>
        <v/>
      </c>
      <c r="S1414" s="25">
        <f>IF(R1414&lt;=2,"1-2",IF(R1414&lt;=5,"3-5",IF(R1414&lt;=10,"6-10","11+")))</f>
        <v/>
      </c>
    </row>
    <row r="1415">
      <c r="A1415" s="39" t="n">
        <v>46168.07952546296</v>
      </c>
      <c r="B1415" s="25">
        <f>TEXT(A1415,"YYYY-MM")</f>
        <v/>
      </c>
      <c r="C1415" s="25">
        <f>TEXT(A1415,"MMM-YYYY")</f>
        <v/>
      </c>
      <c r="D1415" s="40">
        <f>INT(A1415)-WEEKDAY(A1415,2)+1</f>
        <v/>
      </c>
      <c r="E1415" s="25" t="inlineStr">
        <is>
          <t>stiwari</t>
        </is>
      </c>
      <c r="F1415" s="25" t="n">
        <v>5071</v>
      </c>
      <c r="G1415" s="25" t="n">
        <v>1</v>
      </c>
      <c r="H1415" s="25" t="n">
        <v>7</v>
      </c>
      <c r="I1415" s="25" t="inlineStr">
        <is>
          <t>2 minute(s) and 32 second(s)</t>
        </is>
      </c>
      <c r="J1415" s="25">
        <f>IFERROR(VALUE(TRIM(LEFT(I1415,FIND("minute",I1415)-1)))*60,0)+IFERROR(VALUE(SUBSTITUTE(MID(I1415,IFERROR(FIND("and",I1415)+3,1),20),"second(s)","")),0)</f>
        <v/>
      </c>
      <c r="K1415" s="41">
        <f>J1415/60</f>
        <v/>
      </c>
      <c r="L1415" s="41">
        <f>IFERROR(J1415/H1415,"")</f>
        <v/>
      </c>
      <c r="M1415" s="25" t="inlineStr">
        <is>
          <t>2.5.12</t>
        </is>
      </c>
      <c r="N1415" s="25">
        <f>IF(J1415&gt;300,1,0)</f>
        <v/>
      </c>
      <c r="O1415" s="25">
        <f>IF(J1415&gt;600,1,0)</f>
        <v/>
      </c>
      <c r="P1415" s="25">
        <f>IF(H1415&gt;0,J1415,"")</f>
        <v/>
      </c>
      <c r="Q1415" s="25">
        <f>TEXT(A1415,"YYYY-MM-DD HH")</f>
        <v/>
      </c>
      <c r="R1415" s="25">
        <f>COUNTIF($Q$2:$Q$5295,Q1415)</f>
        <v/>
      </c>
      <c r="S1415" s="25">
        <f>IF(R1415&lt;=2,"1-2",IF(R1415&lt;=5,"3-5",IF(R1415&lt;=10,"6-10","11+")))</f>
        <v/>
      </c>
    </row>
    <row r="1416">
      <c r="A1416" s="39" t="n">
        <v>46168.08363425926</v>
      </c>
      <c r="B1416" s="25">
        <f>TEXT(A1416,"YYYY-MM")</f>
        <v/>
      </c>
      <c r="C1416" s="25">
        <f>TEXT(A1416,"MMM-YYYY")</f>
        <v/>
      </c>
      <c r="D1416" s="40">
        <f>INT(A1416)-WEEKDAY(A1416,2)+1</f>
        <v/>
      </c>
      <c r="E1416" s="25" t="inlineStr">
        <is>
          <t>csaha</t>
        </is>
      </c>
      <c r="F1416" s="25" t="n">
        <v>69710</v>
      </c>
      <c r="G1416" s="25" t="n">
        <v>3</v>
      </c>
      <c r="H1416" s="25" t="n">
        <v>13</v>
      </c>
      <c r="I1416" s="25" t="inlineStr">
        <is>
          <t>3 minute(s) and 8 second(s)</t>
        </is>
      </c>
      <c r="J1416" s="25">
        <f>IFERROR(VALUE(TRIM(LEFT(I1416,FIND("minute",I1416)-1)))*60,0)+IFERROR(VALUE(SUBSTITUTE(MID(I1416,IFERROR(FIND("and",I1416)+3,1),20),"second(s)","")),0)</f>
        <v/>
      </c>
      <c r="K1416" s="41">
        <f>J1416/60</f>
        <v/>
      </c>
      <c r="L1416" s="41">
        <f>IFERROR(J1416/H1416,"")</f>
        <v/>
      </c>
      <c r="M1416" s="25" t="inlineStr">
        <is>
          <t>2.5.12</t>
        </is>
      </c>
      <c r="N1416" s="25">
        <f>IF(J1416&gt;300,1,0)</f>
        <v/>
      </c>
      <c r="O1416" s="25">
        <f>IF(J1416&gt;600,1,0)</f>
        <v/>
      </c>
      <c r="P1416" s="25">
        <f>IF(H1416&gt;0,J1416,"")</f>
        <v/>
      </c>
      <c r="Q1416" s="25">
        <f>TEXT(A1416,"YYYY-MM-DD HH")</f>
        <v/>
      </c>
      <c r="R1416" s="25">
        <f>COUNTIF($Q$2:$Q$5295,Q1416)</f>
        <v/>
      </c>
      <c r="S1416" s="25">
        <f>IF(R1416&lt;=2,"1-2",IF(R1416&lt;=5,"3-5",IF(R1416&lt;=10,"6-10","11+")))</f>
        <v/>
      </c>
    </row>
    <row r="1417">
      <c r="A1417" s="39" t="n">
        <v>46168.08711805556</v>
      </c>
      <c r="B1417" s="25">
        <f>TEXT(A1417,"YYYY-MM")</f>
        <v/>
      </c>
      <c r="C1417" s="25">
        <f>TEXT(A1417,"MMM-YYYY")</f>
        <v/>
      </c>
      <c r="D1417" s="40">
        <f>INT(A1417)-WEEKDAY(A1417,2)+1</f>
        <v/>
      </c>
      <c r="E1417" s="25" t="inlineStr">
        <is>
          <t>nlnu</t>
        </is>
      </c>
      <c r="F1417" s="25" t="n">
        <v>5147</v>
      </c>
      <c r="G1417" s="25" t="n">
        <v>1</v>
      </c>
      <c r="H1417" s="25" t="n">
        <v>7</v>
      </c>
      <c r="I1417" s="25" t="inlineStr">
        <is>
          <t>3 minute(s) and 11 second(s)</t>
        </is>
      </c>
      <c r="J1417" s="25">
        <f>IFERROR(VALUE(TRIM(LEFT(I1417,FIND("minute",I1417)-1)))*60,0)+IFERROR(VALUE(SUBSTITUTE(MID(I1417,IFERROR(FIND("and",I1417)+3,1),20),"second(s)","")),0)</f>
        <v/>
      </c>
      <c r="K1417" s="41">
        <f>J1417/60</f>
        <v/>
      </c>
      <c r="L1417" s="41">
        <f>IFERROR(J1417/H1417,"")</f>
        <v/>
      </c>
      <c r="M1417" s="25" t="inlineStr">
        <is>
          <t>2.5.12</t>
        </is>
      </c>
      <c r="N1417" s="25">
        <f>IF(J1417&gt;300,1,0)</f>
        <v/>
      </c>
      <c r="O1417" s="25">
        <f>IF(J1417&gt;600,1,0)</f>
        <v/>
      </c>
      <c r="P1417" s="25">
        <f>IF(H1417&gt;0,J1417,"")</f>
        <v/>
      </c>
      <c r="Q1417" s="25">
        <f>TEXT(A1417,"YYYY-MM-DD HH")</f>
        <v/>
      </c>
      <c r="R1417" s="25">
        <f>COUNTIF($Q$2:$Q$5295,Q1417)</f>
        <v/>
      </c>
      <c r="S1417" s="25">
        <f>IF(R1417&lt;=2,"1-2",IF(R1417&lt;=5,"3-5",IF(R1417&lt;=10,"6-10","11+")))</f>
        <v/>
      </c>
    </row>
    <row r="1418">
      <c r="A1418" s="39" t="n">
        <v>46168.08875</v>
      </c>
      <c r="B1418" s="25">
        <f>TEXT(A1418,"YYYY-MM")</f>
        <v/>
      </c>
      <c r="C1418" s="25">
        <f>TEXT(A1418,"MMM-YYYY")</f>
        <v/>
      </c>
      <c r="D1418" s="40">
        <f>INT(A1418)-WEEKDAY(A1418,2)+1</f>
        <v/>
      </c>
      <c r="E1418" s="25" t="inlineStr">
        <is>
          <t>mgupta</t>
        </is>
      </c>
      <c r="F1418" s="25" t="n">
        <v>42837</v>
      </c>
      <c r="G1418" s="25" t="n">
        <v>1</v>
      </c>
      <c r="H1418" s="25" t="n">
        <v>5</v>
      </c>
      <c r="I1418" s="25" t="inlineStr">
        <is>
          <t>1 minute(s) and 5 second(s)</t>
        </is>
      </c>
      <c r="J1418" s="25">
        <f>IFERROR(VALUE(TRIM(LEFT(I1418,FIND("minute",I1418)-1)))*60,0)+IFERROR(VALUE(SUBSTITUTE(MID(I1418,IFERROR(FIND("and",I1418)+3,1),20),"second(s)","")),0)</f>
        <v/>
      </c>
      <c r="K1418" s="41">
        <f>J1418/60</f>
        <v/>
      </c>
      <c r="L1418" s="41">
        <f>IFERROR(J1418/H1418,"")</f>
        <v/>
      </c>
      <c r="M1418" s="25" t="inlineStr">
        <is>
          <t>2.5.12</t>
        </is>
      </c>
      <c r="N1418" s="25">
        <f>IF(J1418&gt;300,1,0)</f>
        <v/>
      </c>
      <c r="O1418" s="25">
        <f>IF(J1418&gt;600,1,0)</f>
        <v/>
      </c>
      <c r="P1418" s="25">
        <f>IF(H1418&gt;0,J1418,"")</f>
        <v/>
      </c>
      <c r="Q1418" s="25">
        <f>TEXT(A1418,"YYYY-MM-DD HH")</f>
        <v/>
      </c>
      <c r="R1418" s="25">
        <f>COUNTIF($Q$2:$Q$5295,Q1418)</f>
        <v/>
      </c>
      <c r="S1418" s="25">
        <f>IF(R1418&lt;=2,"1-2",IF(R1418&lt;=5,"3-5",IF(R1418&lt;=10,"6-10","11+")))</f>
        <v/>
      </c>
    </row>
    <row r="1419">
      <c r="A1419" s="39" t="n">
        <v>46168.09359953704</v>
      </c>
      <c r="B1419" s="25">
        <f>TEXT(A1419,"YYYY-MM")</f>
        <v/>
      </c>
      <c r="C1419" s="25">
        <f>TEXT(A1419,"MMM-YYYY")</f>
        <v/>
      </c>
      <c r="D1419" s="40">
        <f>INT(A1419)-WEEKDAY(A1419,2)+1</f>
        <v/>
      </c>
      <c r="E1419" s="25" t="inlineStr">
        <is>
          <t>mbohra</t>
        </is>
      </c>
      <c r="F1419" s="25" t="n">
        <v>89604</v>
      </c>
      <c r="G1419" s="25" t="n">
        <v>3</v>
      </c>
      <c r="H1419" s="25" t="n">
        <v>15</v>
      </c>
      <c r="I1419" s="25" t="inlineStr">
        <is>
          <t>4 minute(s) and 54 second(s)</t>
        </is>
      </c>
      <c r="J1419" s="25">
        <f>IFERROR(VALUE(TRIM(LEFT(I1419,FIND("minute",I1419)-1)))*60,0)+IFERROR(VALUE(SUBSTITUTE(MID(I1419,IFERROR(FIND("and",I1419)+3,1),20),"second(s)","")),0)</f>
        <v/>
      </c>
      <c r="K1419" s="41">
        <f>J1419/60</f>
        <v/>
      </c>
      <c r="L1419" s="41">
        <f>IFERROR(J1419/H1419,"")</f>
        <v/>
      </c>
      <c r="M1419" s="25" t="inlineStr">
        <is>
          <t>2.5.12</t>
        </is>
      </c>
      <c r="N1419" s="25">
        <f>IF(J1419&gt;300,1,0)</f>
        <v/>
      </c>
      <c r="O1419" s="25">
        <f>IF(J1419&gt;600,1,0)</f>
        <v/>
      </c>
      <c r="P1419" s="25">
        <f>IF(H1419&gt;0,J1419,"")</f>
        <v/>
      </c>
      <c r="Q1419" s="25">
        <f>TEXT(A1419,"YYYY-MM-DD HH")</f>
        <v/>
      </c>
      <c r="R1419" s="25">
        <f>COUNTIF($Q$2:$Q$5295,Q1419)</f>
        <v/>
      </c>
      <c r="S1419" s="25">
        <f>IF(R1419&lt;=2,"1-2",IF(R1419&lt;=5,"3-5",IF(R1419&lt;=10,"6-10","11+")))</f>
        <v/>
      </c>
    </row>
    <row r="1420">
      <c r="A1420" s="39" t="n">
        <v>46168.09556712963</v>
      </c>
      <c r="B1420" s="25">
        <f>TEXT(A1420,"YYYY-MM")</f>
        <v/>
      </c>
      <c r="C1420" s="25">
        <f>TEXT(A1420,"MMM-YYYY")</f>
        <v/>
      </c>
      <c r="D1420" s="40">
        <f>INT(A1420)-WEEKDAY(A1420,2)+1</f>
        <v/>
      </c>
      <c r="E1420" s="25" t="inlineStr">
        <is>
          <t>psathwika</t>
        </is>
      </c>
      <c r="F1420" s="25" t="n">
        <v>5115</v>
      </c>
      <c r="G1420" s="25" t="n">
        <v>1</v>
      </c>
      <c r="H1420" s="25" t="n">
        <v>7</v>
      </c>
      <c r="I1420" s="25" t="inlineStr">
        <is>
          <t>3 minute(s) and 2 second(s)</t>
        </is>
      </c>
      <c r="J1420" s="25">
        <f>IFERROR(VALUE(TRIM(LEFT(I1420,FIND("minute",I1420)-1)))*60,0)+IFERROR(VALUE(SUBSTITUTE(MID(I1420,IFERROR(FIND("and",I1420)+3,1),20),"second(s)","")),0)</f>
        <v/>
      </c>
      <c r="K1420" s="41">
        <f>J1420/60</f>
        <v/>
      </c>
      <c r="L1420" s="41">
        <f>IFERROR(J1420/H1420,"")</f>
        <v/>
      </c>
      <c r="M1420" s="25" t="inlineStr">
        <is>
          <t>2.5.12</t>
        </is>
      </c>
      <c r="N1420" s="25">
        <f>IF(J1420&gt;300,1,0)</f>
        <v/>
      </c>
      <c r="O1420" s="25">
        <f>IF(J1420&gt;600,1,0)</f>
        <v/>
      </c>
      <c r="P1420" s="25">
        <f>IF(H1420&gt;0,J1420,"")</f>
        <v/>
      </c>
      <c r="Q1420" s="25">
        <f>TEXT(A1420,"YYYY-MM-DD HH")</f>
        <v/>
      </c>
      <c r="R1420" s="25">
        <f>COUNTIF($Q$2:$Q$5295,Q1420)</f>
        <v/>
      </c>
      <c r="S1420" s="25">
        <f>IF(R1420&lt;=2,"1-2",IF(R1420&lt;=5,"3-5",IF(R1420&lt;=10,"6-10","11+")))</f>
        <v/>
      </c>
    </row>
    <row r="1421">
      <c r="A1421" s="39" t="n">
        <v>46168.09571759259</v>
      </c>
      <c r="B1421" s="25">
        <f>TEXT(A1421,"YYYY-MM")</f>
        <v/>
      </c>
      <c r="C1421" s="25">
        <f>TEXT(A1421,"MMM-YYYY")</f>
        <v/>
      </c>
      <c r="D1421" s="40">
        <f>INT(A1421)-WEEKDAY(A1421,2)+1</f>
        <v/>
      </c>
      <c r="E1421" s="25" t="inlineStr">
        <is>
          <t>adey</t>
        </is>
      </c>
      <c r="F1421" s="25" t="n">
        <v>5271</v>
      </c>
      <c r="G1421" s="25" t="n">
        <v>1</v>
      </c>
      <c r="H1421" s="25" t="n">
        <v>5</v>
      </c>
      <c r="I1421" s="25" t="inlineStr">
        <is>
          <t>1 minute(s) and 25 second(s)</t>
        </is>
      </c>
      <c r="J1421" s="25">
        <f>IFERROR(VALUE(TRIM(LEFT(I1421,FIND("minute",I1421)-1)))*60,0)+IFERROR(VALUE(SUBSTITUTE(MID(I1421,IFERROR(FIND("and",I1421)+3,1),20),"second(s)","")),0)</f>
        <v/>
      </c>
      <c r="K1421" s="41">
        <f>J1421/60</f>
        <v/>
      </c>
      <c r="L1421" s="41">
        <f>IFERROR(J1421/H1421,"")</f>
        <v/>
      </c>
      <c r="M1421" s="25" t="inlineStr">
        <is>
          <t>2.5.12</t>
        </is>
      </c>
      <c r="N1421" s="25">
        <f>IF(J1421&gt;300,1,0)</f>
        <v/>
      </c>
      <c r="O1421" s="25">
        <f>IF(J1421&gt;600,1,0)</f>
        <v/>
      </c>
      <c r="P1421" s="25">
        <f>IF(H1421&gt;0,J1421,"")</f>
        <v/>
      </c>
      <c r="Q1421" s="25">
        <f>TEXT(A1421,"YYYY-MM-DD HH")</f>
        <v/>
      </c>
      <c r="R1421" s="25">
        <f>COUNTIF($Q$2:$Q$5295,Q1421)</f>
        <v/>
      </c>
      <c r="S1421" s="25">
        <f>IF(R1421&lt;=2,"1-2",IF(R1421&lt;=5,"3-5",IF(R1421&lt;=10,"6-10","11+")))</f>
        <v/>
      </c>
    </row>
    <row r="1422">
      <c r="A1422" s="39" t="n">
        <v>46168.10321759259</v>
      </c>
      <c r="B1422" s="25">
        <f>TEXT(A1422,"YYYY-MM")</f>
        <v/>
      </c>
      <c r="C1422" s="25">
        <f>TEXT(A1422,"MMM-YYYY")</f>
        <v/>
      </c>
      <c r="D1422" s="40">
        <f>INT(A1422)-WEEKDAY(A1422,2)+1</f>
        <v/>
      </c>
      <c r="E1422" s="25" t="inlineStr">
        <is>
          <t>npriya</t>
        </is>
      </c>
      <c r="F1422" s="25" t="n">
        <v>4939</v>
      </c>
      <c r="G1422" s="25" t="n">
        <v>1</v>
      </c>
      <c r="H1422" s="25" t="n">
        <v>5</v>
      </c>
      <c r="I1422" s="25" t="inlineStr">
        <is>
          <t>1 minute(s) and 18 second(s)</t>
        </is>
      </c>
      <c r="J1422" s="25">
        <f>IFERROR(VALUE(TRIM(LEFT(I1422,FIND("minute",I1422)-1)))*60,0)+IFERROR(VALUE(SUBSTITUTE(MID(I1422,IFERROR(FIND("and",I1422)+3,1),20),"second(s)","")),0)</f>
        <v/>
      </c>
      <c r="K1422" s="41">
        <f>J1422/60</f>
        <v/>
      </c>
      <c r="L1422" s="41">
        <f>IFERROR(J1422/H1422,"")</f>
        <v/>
      </c>
      <c r="M1422" s="25" t="inlineStr">
        <is>
          <t>2.5.12</t>
        </is>
      </c>
      <c r="N1422" s="25">
        <f>IF(J1422&gt;300,1,0)</f>
        <v/>
      </c>
      <c r="O1422" s="25">
        <f>IF(J1422&gt;600,1,0)</f>
        <v/>
      </c>
      <c r="P1422" s="25">
        <f>IF(H1422&gt;0,J1422,"")</f>
        <v/>
      </c>
      <c r="Q1422" s="25">
        <f>TEXT(A1422,"YYYY-MM-DD HH")</f>
        <v/>
      </c>
      <c r="R1422" s="25">
        <f>COUNTIF($Q$2:$Q$5295,Q1422)</f>
        <v/>
      </c>
      <c r="S1422" s="25">
        <f>IF(R1422&lt;=2,"1-2",IF(R1422&lt;=5,"3-5",IF(R1422&lt;=10,"6-10","11+")))</f>
        <v/>
      </c>
    </row>
    <row r="1423">
      <c r="A1423" s="39" t="n">
        <v>46168.10841435185</v>
      </c>
      <c r="B1423" s="25">
        <f>TEXT(A1423,"YYYY-MM")</f>
        <v/>
      </c>
      <c r="C1423" s="25">
        <f>TEXT(A1423,"MMM-YYYY")</f>
        <v/>
      </c>
      <c r="D1423" s="40">
        <f>INT(A1423)-WEEKDAY(A1423,2)+1</f>
        <v/>
      </c>
      <c r="E1423" s="25" t="inlineStr">
        <is>
          <t>aghosh</t>
        </is>
      </c>
      <c r="F1423" s="25" t="n">
        <v>3299</v>
      </c>
      <c r="G1423" s="25" t="n">
        <v>1</v>
      </c>
      <c r="H1423" s="25" t="n">
        <v>7</v>
      </c>
      <c r="I1423" s="25" t="inlineStr">
        <is>
          <t>2 minute(s) and 6 second(s)</t>
        </is>
      </c>
      <c r="J1423" s="25">
        <f>IFERROR(VALUE(TRIM(LEFT(I1423,FIND("minute",I1423)-1)))*60,0)+IFERROR(VALUE(SUBSTITUTE(MID(I1423,IFERROR(FIND("and",I1423)+3,1),20),"second(s)","")),0)</f>
        <v/>
      </c>
      <c r="K1423" s="41">
        <f>J1423/60</f>
        <v/>
      </c>
      <c r="L1423" s="41">
        <f>IFERROR(J1423/H1423,"")</f>
        <v/>
      </c>
      <c r="M1423" s="25" t="inlineStr">
        <is>
          <t>2.5.12</t>
        </is>
      </c>
      <c r="N1423" s="25">
        <f>IF(J1423&gt;300,1,0)</f>
        <v/>
      </c>
      <c r="O1423" s="25">
        <f>IF(J1423&gt;600,1,0)</f>
        <v/>
      </c>
      <c r="P1423" s="25">
        <f>IF(H1423&gt;0,J1423,"")</f>
        <v/>
      </c>
      <c r="Q1423" s="25">
        <f>TEXT(A1423,"YYYY-MM-DD HH")</f>
        <v/>
      </c>
      <c r="R1423" s="25">
        <f>COUNTIF($Q$2:$Q$5295,Q1423)</f>
        <v/>
      </c>
      <c r="S1423" s="25">
        <f>IF(R1423&lt;=2,"1-2",IF(R1423&lt;=5,"3-5",IF(R1423&lt;=10,"6-10","11+")))</f>
        <v/>
      </c>
    </row>
    <row r="1424">
      <c r="A1424" s="39" t="n">
        <v>46168.10978009259</v>
      </c>
      <c r="B1424" s="25">
        <f>TEXT(A1424,"YYYY-MM")</f>
        <v/>
      </c>
      <c r="C1424" s="25">
        <f>TEXT(A1424,"MMM-YYYY")</f>
        <v/>
      </c>
      <c r="D1424" s="40">
        <f>INT(A1424)-WEEKDAY(A1424,2)+1</f>
        <v/>
      </c>
      <c r="E1424" s="25" t="inlineStr">
        <is>
          <t>ssrinivasan</t>
        </is>
      </c>
      <c r="F1424" s="25" t="n">
        <v>4315</v>
      </c>
      <c r="G1424" s="25" t="n">
        <v>1</v>
      </c>
      <c r="H1424" s="25" t="n">
        <v>7</v>
      </c>
      <c r="I1424" s="25" t="inlineStr">
        <is>
          <t>2 minute(s) and 3 second(s)</t>
        </is>
      </c>
      <c r="J1424" s="25">
        <f>IFERROR(VALUE(TRIM(LEFT(I1424,FIND("minute",I1424)-1)))*60,0)+IFERROR(VALUE(SUBSTITUTE(MID(I1424,IFERROR(FIND("and",I1424)+3,1),20),"second(s)","")),0)</f>
        <v/>
      </c>
      <c r="K1424" s="41">
        <f>J1424/60</f>
        <v/>
      </c>
      <c r="L1424" s="41">
        <f>IFERROR(J1424/H1424,"")</f>
        <v/>
      </c>
      <c r="M1424" s="25" t="inlineStr">
        <is>
          <t>2.5.12</t>
        </is>
      </c>
      <c r="N1424" s="25">
        <f>IF(J1424&gt;300,1,0)</f>
        <v/>
      </c>
      <c r="O1424" s="25">
        <f>IF(J1424&gt;600,1,0)</f>
        <v/>
      </c>
      <c r="P1424" s="25">
        <f>IF(H1424&gt;0,J1424,"")</f>
        <v/>
      </c>
      <c r="Q1424" s="25">
        <f>TEXT(A1424,"YYYY-MM-DD HH")</f>
        <v/>
      </c>
      <c r="R1424" s="25">
        <f>COUNTIF($Q$2:$Q$5295,Q1424)</f>
        <v/>
      </c>
      <c r="S1424" s="25">
        <f>IF(R1424&lt;=2,"1-2",IF(R1424&lt;=5,"3-5",IF(R1424&lt;=10,"6-10","11+")))</f>
        <v/>
      </c>
    </row>
    <row r="1425">
      <c r="A1425" s="39" t="n">
        <v>46168.11011574074</v>
      </c>
      <c r="B1425" s="25">
        <f>TEXT(A1425,"YYYY-MM")</f>
        <v/>
      </c>
      <c r="C1425" s="25">
        <f>TEXT(A1425,"MMM-YYYY")</f>
        <v/>
      </c>
      <c r="D1425" s="40">
        <f>INT(A1425)-WEEKDAY(A1425,2)+1</f>
        <v/>
      </c>
      <c r="E1425" s="25" t="inlineStr">
        <is>
          <t>ssarkar</t>
        </is>
      </c>
      <c r="F1425" s="25" t="n">
        <v>80174</v>
      </c>
      <c r="G1425" s="25" t="n">
        <v>1</v>
      </c>
      <c r="H1425" s="25" t="n">
        <v>7</v>
      </c>
      <c r="I1425" s="25" t="inlineStr">
        <is>
          <t>1 minute(s) and 38 second(s)</t>
        </is>
      </c>
      <c r="J1425" s="25">
        <f>IFERROR(VALUE(TRIM(LEFT(I1425,FIND("minute",I1425)-1)))*60,0)+IFERROR(VALUE(SUBSTITUTE(MID(I1425,IFERROR(FIND("and",I1425)+3,1),20),"second(s)","")),0)</f>
        <v/>
      </c>
      <c r="K1425" s="41">
        <f>J1425/60</f>
        <v/>
      </c>
      <c r="L1425" s="41">
        <f>IFERROR(J1425/H1425,"")</f>
        <v/>
      </c>
      <c r="M1425" s="25" t="inlineStr">
        <is>
          <t>2.5.12</t>
        </is>
      </c>
      <c r="N1425" s="25">
        <f>IF(J1425&gt;300,1,0)</f>
        <v/>
      </c>
      <c r="O1425" s="25">
        <f>IF(J1425&gt;600,1,0)</f>
        <v/>
      </c>
      <c r="P1425" s="25">
        <f>IF(H1425&gt;0,J1425,"")</f>
        <v/>
      </c>
      <c r="Q1425" s="25">
        <f>TEXT(A1425,"YYYY-MM-DD HH")</f>
        <v/>
      </c>
      <c r="R1425" s="25">
        <f>COUNTIF($Q$2:$Q$5295,Q1425)</f>
        <v/>
      </c>
      <c r="S1425" s="25">
        <f>IF(R1425&lt;=2,"1-2",IF(R1425&lt;=5,"3-5",IF(R1425&lt;=10,"6-10","11+")))</f>
        <v/>
      </c>
    </row>
    <row r="1426">
      <c r="A1426" s="39" t="n">
        <v>46168.11484953704</v>
      </c>
      <c r="B1426" s="25">
        <f>TEXT(A1426,"YYYY-MM")</f>
        <v/>
      </c>
      <c r="C1426" s="25">
        <f>TEXT(A1426,"MMM-YYYY")</f>
        <v/>
      </c>
      <c r="D1426" s="40">
        <f>INT(A1426)-WEEKDAY(A1426,2)+1</f>
        <v/>
      </c>
      <c r="E1426" s="25" t="inlineStr">
        <is>
          <t>arsarkar</t>
        </is>
      </c>
      <c r="F1426" s="25" t="n">
        <v>4973</v>
      </c>
      <c r="G1426" s="25" t="n">
        <v>1</v>
      </c>
      <c r="H1426" s="25" t="n">
        <v>7</v>
      </c>
      <c r="I1426" s="25" t="inlineStr">
        <is>
          <t>2 minute(s) and 33 second(s)</t>
        </is>
      </c>
      <c r="J1426" s="25">
        <f>IFERROR(VALUE(TRIM(LEFT(I1426,FIND("minute",I1426)-1)))*60,0)+IFERROR(VALUE(SUBSTITUTE(MID(I1426,IFERROR(FIND("and",I1426)+3,1),20),"second(s)","")),0)</f>
        <v/>
      </c>
      <c r="K1426" s="41">
        <f>J1426/60</f>
        <v/>
      </c>
      <c r="L1426" s="41">
        <f>IFERROR(J1426/H1426,"")</f>
        <v/>
      </c>
      <c r="M1426" s="25" t="inlineStr">
        <is>
          <t>2.5.12</t>
        </is>
      </c>
      <c r="N1426" s="25">
        <f>IF(J1426&gt;300,1,0)</f>
        <v/>
      </c>
      <c r="O1426" s="25">
        <f>IF(J1426&gt;600,1,0)</f>
        <v/>
      </c>
      <c r="P1426" s="25">
        <f>IF(H1426&gt;0,J1426,"")</f>
        <v/>
      </c>
      <c r="Q1426" s="25">
        <f>TEXT(A1426,"YYYY-MM-DD HH")</f>
        <v/>
      </c>
      <c r="R1426" s="25">
        <f>COUNTIF($Q$2:$Q$5295,Q1426)</f>
        <v/>
      </c>
      <c r="S1426" s="25">
        <f>IF(R1426&lt;=2,"1-2",IF(R1426&lt;=5,"3-5",IF(R1426&lt;=10,"6-10","11+")))</f>
        <v/>
      </c>
    </row>
    <row r="1427">
      <c r="A1427" s="39" t="n">
        <v>46168.11762731482</v>
      </c>
      <c r="B1427" s="25">
        <f>TEXT(A1427,"YYYY-MM")</f>
        <v/>
      </c>
      <c r="C1427" s="25">
        <f>TEXT(A1427,"MMM-YYYY")</f>
        <v/>
      </c>
      <c r="D1427" s="40">
        <f>INT(A1427)-WEEKDAY(A1427,2)+1</f>
        <v/>
      </c>
      <c r="E1427" s="25" t="inlineStr">
        <is>
          <t>akumari</t>
        </is>
      </c>
      <c r="F1427" s="25" t="n">
        <v>5111</v>
      </c>
      <c r="G1427" s="25" t="n">
        <v>1</v>
      </c>
      <c r="H1427" s="25" t="n">
        <v>5</v>
      </c>
      <c r="I1427" s="25" t="inlineStr">
        <is>
          <t>48 second(s)</t>
        </is>
      </c>
      <c r="J1427" s="25">
        <f>IFERROR(VALUE(TRIM(LEFT(I1427,FIND("minute",I1427)-1)))*60,0)+IFERROR(VALUE(SUBSTITUTE(MID(I1427,IFERROR(FIND("and",I1427)+3,1),20),"second(s)","")),0)</f>
        <v/>
      </c>
      <c r="K1427" s="41">
        <f>J1427/60</f>
        <v/>
      </c>
      <c r="L1427" s="41">
        <f>IFERROR(J1427/H1427,"")</f>
        <v/>
      </c>
      <c r="M1427" s="25" t="inlineStr">
        <is>
          <t>2.5.12</t>
        </is>
      </c>
      <c r="N1427" s="25">
        <f>IF(J1427&gt;300,1,0)</f>
        <v/>
      </c>
      <c r="O1427" s="25">
        <f>IF(J1427&gt;600,1,0)</f>
        <v/>
      </c>
      <c r="P1427" s="25">
        <f>IF(H1427&gt;0,J1427,"")</f>
        <v/>
      </c>
      <c r="Q1427" s="25">
        <f>TEXT(A1427,"YYYY-MM-DD HH")</f>
        <v/>
      </c>
      <c r="R1427" s="25">
        <f>COUNTIF($Q$2:$Q$5295,Q1427)</f>
        <v/>
      </c>
      <c r="S1427" s="25">
        <f>IF(R1427&lt;=2,"1-2",IF(R1427&lt;=5,"3-5",IF(R1427&lt;=10,"6-10","11+")))</f>
        <v/>
      </c>
    </row>
    <row r="1428">
      <c r="A1428" s="39" t="n">
        <v>46168.11802083333</v>
      </c>
      <c r="B1428" s="25">
        <f>TEXT(A1428,"YYYY-MM")</f>
        <v/>
      </c>
      <c r="C1428" s="25">
        <f>TEXT(A1428,"MMM-YYYY")</f>
        <v/>
      </c>
      <c r="D1428" s="40">
        <f>INT(A1428)-WEEKDAY(A1428,2)+1</f>
        <v/>
      </c>
      <c r="E1428" s="25" t="inlineStr">
        <is>
          <t>ethomas</t>
        </is>
      </c>
      <c r="F1428" s="25" t="n">
        <v>5425</v>
      </c>
      <c r="G1428" s="25" t="n">
        <v>1</v>
      </c>
      <c r="H1428" s="25" t="n">
        <v>7</v>
      </c>
      <c r="I1428" s="25" t="inlineStr">
        <is>
          <t>3 minute(s) and 15 second(s)</t>
        </is>
      </c>
      <c r="J1428" s="25">
        <f>IFERROR(VALUE(TRIM(LEFT(I1428,FIND("minute",I1428)-1)))*60,0)+IFERROR(VALUE(SUBSTITUTE(MID(I1428,IFERROR(FIND("and",I1428)+3,1),20),"second(s)","")),0)</f>
        <v/>
      </c>
      <c r="K1428" s="41">
        <f>J1428/60</f>
        <v/>
      </c>
      <c r="L1428" s="41">
        <f>IFERROR(J1428/H1428,"")</f>
        <v/>
      </c>
      <c r="M1428" s="25" t="inlineStr">
        <is>
          <t>2.5.12</t>
        </is>
      </c>
      <c r="N1428" s="25">
        <f>IF(J1428&gt;300,1,0)</f>
        <v/>
      </c>
      <c r="O1428" s="25">
        <f>IF(J1428&gt;600,1,0)</f>
        <v/>
      </c>
      <c r="P1428" s="25">
        <f>IF(H1428&gt;0,J1428,"")</f>
        <v/>
      </c>
      <c r="Q1428" s="25">
        <f>TEXT(A1428,"YYYY-MM-DD HH")</f>
        <v/>
      </c>
      <c r="R1428" s="25">
        <f>COUNTIF($Q$2:$Q$5295,Q1428)</f>
        <v/>
      </c>
      <c r="S1428" s="25">
        <f>IF(R1428&lt;=2,"1-2",IF(R1428&lt;=5,"3-5",IF(R1428&lt;=10,"6-10","11+")))</f>
        <v/>
      </c>
    </row>
    <row r="1429">
      <c r="A1429" s="39" t="n">
        <v>46168.12298611111</v>
      </c>
      <c r="B1429" s="25">
        <f>TEXT(A1429,"YYYY-MM")</f>
        <v/>
      </c>
      <c r="C1429" s="25">
        <f>TEXT(A1429,"MMM-YYYY")</f>
        <v/>
      </c>
      <c r="D1429" s="40">
        <f>INT(A1429)-WEEKDAY(A1429,2)+1</f>
        <v/>
      </c>
      <c r="E1429" s="25" t="inlineStr">
        <is>
          <t>pmishra</t>
        </is>
      </c>
      <c r="F1429" s="25" t="n">
        <v>5217</v>
      </c>
      <c r="G1429" s="25" t="n">
        <v>1</v>
      </c>
      <c r="H1429" s="25" t="n">
        <v>7</v>
      </c>
      <c r="I1429" s="25" t="inlineStr">
        <is>
          <t>1 minute(s) and 41 second(s)</t>
        </is>
      </c>
      <c r="J1429" s="25">
        <f>IFERROR(VALUE(TRIM(LEFT(I1429,FIND("minute",I1429)-1)))*60,0)+IFERROR(VALUE(SUBSTITUTE(MID(I1429,IFERROR(FIND("and",I1429)+3,1),20),"second(s)","")),0)</f>
        <v/>
      </c>
      <c r="K1429" s="41">
        <f>J1429/60</f>
        <v/>
      </c>
      <c r="L1429" s="41">
        <f>IFERROR(J1429/H1429,"")</f>
        <v/>
      </c>
      <c r="M1429" s="25" t="inlineStr">
        <is>
          <t>2.5.12</t>
        </is>
      </c>
      <c r="N1429" s="25">
        <f>IF(J1429&gt;300,1,0)</f>
        <v/>
      </c>
      <c r="O1429" s="25">
        <f>IF(J1429&gt;600,1,0)</f>
        <v/>
      </c>
      <c r="P1429" s="25">
        <f>IF(H1429&gt;0,J1429,"")</f>
        <v/>
      </c>
      <c r="Q1429" s="25">
        <f>TEXT(A1429,"YYYY-MM-DD HH")</f>
        <v/>
      </c>
      <c r="R1429" s="25">
        <f>COUNTIF($Q$2:$Q$5295,Q1429)</f>
        <v/>
      </c>
      <c r="S1429" s="25">
        <f>IF(R1429&lt;=2,"1-2",IF(R1429&lt;=5,"3-5",IF(R1429&lt;=10,"6-10","11+")))</f>
        <v/>
      </c>
    </row>
    <row r="1430">
      <c r="A1430" s="39" t="n">
        <v>46168.1244212963</v>
      </c>
      <c r="B1430" s="25">
        <f>TEXT(A1430,"YYYY-MM")</f>
        <v/>
      </c>
      <c r="C1430" s="25">
        <f>TEXT(A1430,"MMM-YYYY")</f>
        <v/>
      </c>
      <c r="D1430" s="40">
        <f>INT(A1430)-WEEKDAY(A1430,2)+1</f>
        <v/>
      </c>
      <c r="E1430" s="25" t="inlineStr">
        <is>
          <t>smukhopadhyay</t>
        </is>
      </c>
      <c r="F1430" s="25" t="n">
        <v>5042</v>
      </c>
      <c r="G1430" s="25" t="n">
        <v>1</v>
      </c>
      <c r="H1430" s="25" t="n">
        <v>5</v>
      </c>
      <c r="I1430" s="25" t="inlineStr">
        <is>
          <t>1 minute(s) and 57 second(s)</t>
        </is>
      </c>
      <c r="J1430" s="25">
        <f>IFERROR(VALUE(TRIM(LEFT(I1430,FIND("minute",I1430)-1)))*60,0)+IFERROR(VALUE(SUBSTITUTE(MID(I1430,IFERROR(FIND("and",I1430)+3,1),20),"second(s)","")),0)</f>
        <v/>
      </c>
      <c r="K1430" s="41">
        <f>J1430/60</f>
        <v/>
      </c>
      <c r="L1430" s="41">
        <f>IFERROR(J1430/H1430,"")</f>
        <v/>
      </c>
      <c r="M1430" s="25" t="inlineStr">
        <is>
          <t>2.5.12</t>
        </is>
      </c>
      <c r="N1430" s="25">
        <f>IF(J1430&gt;300,1,0)</f>
        <v/>
      </c>
      <c r="O1430" s="25">
        <f>IF(J1430&gt;600,1,0)</f>
        <v/>
      </c>
      <c r="P1430" s="25">
        <f>IF(H1430&gt;0,J1430,"")</f>
        <v/>
      </c>
      <c r="Q1430" s="25">
        <f>TEXT(A1430,"YYYY-MM-DD HH")</f>
        <v/>
      </c>
      <c r="R1430" s="25">
        <f>COUNTIF($Q$2:$Q$5295,Q1430)</f>
        <v/>
      </c>
      <c r="S1430" s="25">
        <f>IF(R1430&lt;=2,"1-2",IF(R1430&lt;=5,"3-5",IF(R1430&lt;=10,"6-10","11+")))</f>
        <v/>
      </c>
    </row>
    <row r="1431">
      <c r="A1431" s="39" t="n">
        <v>46168.12515046296</v>
      </c>
      <c r="B1431" s="25">
        <f>TEXT(A1431,"YYYY-MM")</f>
        <v/>
      </c>
      <c r="C1431" s="25">
        <f>TEXT(A1431,"MMM-YYYY")</f>
        <v/>
      </c>
      <c r="D1431" s="40">
        <f>INT(A1431)-WEEKDAY(A1431,2)+1</f>
        <v/>
      </c>
      <c r="E1431" s="25" t="inlineStr">
        <is>
          <t>psathwika</t>
        </is>
      </c>
      <c r="F1431" s="25" t="n">
        <v>5592</v>
      </c>
      <c r="G1431" s="25" t="n">
        <v>1</v>
      </c>
      <c r="H1431" s="25" t="n">
        <v>5</v>
      </c>
      <c r="I1431" s="25" t="inlineStr">
        <is>
          <t>4 minute(s) and 27 second(s)</t>
        </is>
      </c>
      <c r="J1431" s="25">
        <f>IFERROR(VALUE(TRIM(LEFT(I1431,FIND("minute",I1431)-1)))*60,0)+IFERROR(VALUE(SUBSTITUTE(MID(I1431,IFERROR(FIND("and",I1431)+3,1),20),"second(s)","")),0)</f>
        <v/>
      </c>
      <c r="K1431" s="41">
        <f>J1431/60</f>
        <v/>
      </c>
      <c r="L1431" s="41">
        <f>IFERROR(J1431/H1431,"")</f>
        <v/>
      </c>
      <c r="M1431" s="25" t="inlineStr">
        <is>
          <t>2.5.12</t>
        </is>
      </c>
      <c r="N1431" s="25">
        <f>IF(J1431&gt;300,1,0)</f>
        <v/>
      </c>
      <c r="O1431" s="25">
        <f>IF(J1431&gt;600,1,0)</f>
        <v/>
      </c>
      <c r="P1431" s="25">
        <f>IF(H1431&gt;0,J1431,"")</f>
        <v/>
      </c>
      <c r="Q1431" s="25">
        <f>TEXT(A1431,"YYYY-MM-DD HH")</f>
        <v/>
      </c>
      <c r="R1431" s="25">
        <f>COUNTIF($Q$2:$Q$5295,Q1431)</f>
        <v/>
      </c>
      <c r="S1431" s="25">
        <f>IF(R1431&lt;=2,"1-2",IF(R1431&lt;=5,"3-5",IF(R1431&lt;=10,"6-10","11+")))</f>
        <v/>
      </c>
    </row>
    <row r="1432">
      <c r="A1432" s="39" t="n">
        <v>46168.12921296297</v>
      </c>
      <c r="B1432" s="25">
        <f>TEXT(A1432,"YYYY-MM")</f>
        <v/>
      </c>
      <c r="C1432" s="25">
        <f>TEXT(A1432,"MMM-YYYY")</f>
        <v/>
      </c>
      <c r="D1432" s="40">
        <f>INT(A1432)-WEEKDAY(A1432,2)+1</f>
        <v/>
      </c>
      <c r="E1432" s="25" t="inlineStr">
        <is>
          <t>sdey</t>
        </is>
      </c>
      <c r="F1432" s="25" t="n">
        <v>4274</v>
      </c>
      <c r="G1432" s="25" t="n">
        <v>1</v>
      </c>
      <c r="H1432" s="25" t="n">
        <v>8</v>
      </c>
      <c r="I1432" s="25" t="inlineStr">
        <is>
          <t>1 minute(s) and 38 second(s)</t>
        </is>
      </c>
      <c r="J1432" s="25">
        <f>IFERROR(VALUE(TRIM(LEFT(I1432,FIND("minute",I1432)-1)))*60,0)+IFERROR(VALUE(SUBSTITUTE(MID(I1432,IFERROR(FIND("and",I1432)+3,1),20),"second(s)","")),0)</f>
        <v/>
      </c>
      <c r="K1432" s="41">
        <f>J1432/60</f>
        <v/>
      </c>
      <c r="L1432" s="41">
        <f>IFERROR(J1432/H1432,"")</f>
        <v/>
      </c>
      <c r="M1432" s="25" t="inlineStr">
        <is>
          <t>2.5.12</t>
        </is>
      </c>
      <c r="N1432" s="25">
        <f>IF(J1432&gt;300,1,0)</f>
        <v/>
      </c>
      <c r="O1432" s="25">
        <f>IF(J1432&gt;600,1,0)</f>
        <v/>
      </c>
      <c r="P1432" s="25">
        <f>IF(H1432&gt;0,J1432,"")</f>
        <v/>
      </c>
      <c r="Q1432" s="25">
        <f>TEXT(A1432,"YYYY-MM-DD HH")</f>
        <v/>
      </c>
      <c r="R1432" s="25">
        <f>COUNTIF($Q$2:$Q$5295,Q1432)</f>
        <v/>
      </c>
      <c r="S1432" s="25">
        <f>IF(R1432&lt;=2,"1-2",IF(R1432&lt;=5,"3-5",IF(R1432&lt;=10,"6-10","11+")))</f>
        <v/>
      </c>
    </row>
    <row r="1433">
      <c r="A1433" s="39" t="n">
        <v>46168.13194444445</v>
      </c>
      <c r="B1433" s="25">
        <f>TEXT(A1433,"YYYY-MM")</f>
        <v/>
      </c>
      <c r="C1433" s="25">
        <f>TEXT(A1433,"MMM-YYYY")</f>
        <v/>
      </c>
      <c r="D1433" s="40">
        <f>INT(A1433)-WEEKDAY(A1433,2)+1</f>
        <v/>
      </c>
      <c r="E1433" s="25" t="inlineStr">
        <is>
          <t>npriya</t>
        </is>
      </c>
      <c r="F1433" s="25" t="n">
        <v>4946</v>
      </c>
      <c r="G1433" s="25" t="n">
        <v>1</v>
      </c>
      <c r="H1433" s="25" t="n">
        <v>5</v>
      </c>
      <c r="I1433" s="25" t="inlineStr">
        <is>
          <t>2 minute(s) and 21 second(s)</t>
        </is>
      </c>
      <c r="J1433" s="25">
        <f>IFERROR(VALUE(TRIM(LEFT(I1433,FIND("minute",I1433)-1)))*60,0)+IFERROR(VALUE(SUBSTITUTE(MID(I1433,IFERROR(FIND("and",I1433)+3,1),20),"second(s)","")),0)</f>
        <v/>
      </c>
      <c r="K1433" s="41">
        <f>J1433/60</f>
        <v/>
      </c>
      <c r="L1433" s="41">
        <f>IFERROR(J1433/H1433,"")</f>
        <v/>
      </c>
      <c r="M1433" s="25" t="inlineStr">
        <is>
          <t>2.5.12</t>
        </is>
      </c>
      <c r="N1433" s="25">
        <f>IF(J1433&gt;300,1,0)</f>
        <v/>
      </c>
      <c r="O1433" s="25">
        <f>IF(J1433&gt;600,1,0)</f>
        <v/>
      </c>
      <c r="P1433" s="25">
        <f>IF(H1433&gt;0,J1433,"")</f>
        <v/>
      </c>
      <c r="Q1433" s="25">
        <f>TEXT(A1433,"YYYY-MM-DD HH")</f>
        <v/>
      </c>
      <c r="R1433" s="25">
        <f>COUNTIF($Q$2:$Q$5295,Q1433)</f>
        <v/>
      </c>
      <c r="S1433" s="25">
        <f>IF(R1433&lt;=2,"1-2",IF(R1433&lt;=5,"3-5",IF(R1433&lt;=10,"6-10","11+")))</f>
        <v/>
      </c>
    </row>
    <row r="1434">
      <c r="A1434" s="39" t="n">
        <v>46168.13287037037</v>
      </c>
      <c r="B1434" s="25">
        <f>TEXT(A1434,"YYYY-MM")</f>
        <v/>
      </c>
      <c r="C1434" s="25">
        <f>TEXT(A1434,"MMM-YYYY")</f>
        <v/>
      </c>
      <c r="D1434" s="40">
        <f>INT(A1434)-WEEKDAY(A1434,2)+1</f>
        <v/>
      </c>
      <c r="E1434" s="25" t="inlineStr">
        <is>
          <t>asahoo</t>
        </is>
      </c>
      <c r="F1434" s="25" t="n">
        <v>5003</v>
      </c>
      <c r="G1434" s="25" t="n">
        <v>1</v>
      </c>
      <c r="H1434" s="25" t="n">
        <v>5</v>
      </c>
      <c r="I1434" s="25" t="inlineStr">
        <is>
          <t>2 minute(s) and 19 second(s)</t>
        </is>
      </c>
      <c r="J1434" s="25">
        <f>IFERROR(VALUE(TRIM(LEFT(I1434,FIND("minute",I1434)-1)))*60,0)+IFERROR(VALUE(SUBSTITUTE(MID(I1434,IFERROR(FIND("and",I1434)+3,1),20),"second(s)","")),0)</f>
        <v/>
      </c>
      <c r="K1434" s="41">
        <f>J1434/60</f>
        <v/>
      </c>
      <c r="L1434" s="41">
        <f>IFERROR(J1434/H1434,"")</f>
        <v/>
      </c>
      <c r="M1434" s="25" t="inlineStr">
        <is>
          <t>2.5.12</t>
        </is>
      </c>
      <c r="N1434" s="25">
        <f>IF(J1434&gt;300,1,0)</f>
        <v/>
      </c>
      <c r="O1434" s="25">
        <f>IF(J1434&gt;600,1,0)</f>
        <v/>
      </c>
      <c r="P1434" s="25">
        <f>IF(H1434&gt;0,J1434,"")</f>
        <v/>
      </c>
      <c r="Q1434" s="25">
        <f>TEXT(A1434,"YYYY-MM-DD HH")</f>
        <v/>
      </c>
      <c r="R1434" s="25">
        <f>COUNTIF($Q$2:$Q$5295,Q1434)</f>
        <v/>
      </c>
      <c r="S1434" s="25">
        <f>IF(R1434&lt;=2,"1-2",IF(R1434&lt;=5,"3-5",IF(R1434&lt;=10,"6-10","11+")))</f>
        <v/>
      </c>
    </row>
    <row r="1435">
      <c r="A1435" s="39" t="n">
        <v>46168.13493055556</v>
      </c>
      <c r="B1435" s="25">
        <f>TEXT(A1435,"YYYY-MM")</f>
        <v/>
      </c>
      <c r="C1435" s="25">
        <f>TEXT(A1435,"MMM-YYYY")</f>
        <v/>
      </c>
      <c r="D1435" s="40">
        <f>INT(A1435)-WEEKDAY(A1435,2)+1</f>
        <v/>
      </c>
      <c r="E1435" s="25" t="inlineStr">
        <is>
          <t>anusharma</t>
        </is>
      </c>
      <c r="F1435" s="25" t="n">
        <v>5301</v>
      </c>
      <c r="G1435" s="25" t="n">
        <v>1</v>
      </c>
      <c r="H1435" s="25" t="n">
        <v>5</v>
      </c>
      <c r="I1435" s="25" t="inlineStr">
        <is>
          <t>2 minute(s) and 26 second(s)</t>
        </is>
      </c>
      <c r="J1435" s="25">
        <f>IFERROR(VALUE(TRIM(LEFT(I1435,FIND("minute",I1435)-1)))*60,0)+IFERROR(VALUE(SUBSTITUTE(MID(I1435,IFERROR(FIND("and",I1435)+3,1),20),"second(s)","")),0)</f>
        <v/>
      </c>
      <c r="K1435" s="41">
        <f>J1435/60</f>
        <v/>
      </c>
      <c r="L1435" s="41">
        <f>IFERROR(J1435/H1435,"")</f>
        <v/>
      </c>
      <c r="M1435" s="25" t="inlineStr">
        <is>
          <t>2.5.12</t>
        </is>
      </c>
      <c r="N1435" s="25">
        <f>IF(J1435&gt;300,1,0)</f>
        <v/>
      </c>
      <c r="O1435" s="25">
        <f>IF(J1435&gt;600,1,0)</f>
        <v/>
      </c>
      <c r="P1435" s="25">
        <f>IF(H1435&gt;0,J1435,"")</f>
        <v/>
      </c>
      <c r="Q1435" s="25">
        <f>TEXT(A1435,"YYYY-MM-DD HH")</f>
        <v/>
      </c>
      <c r="R1435" s="25">
        <f>COUNTIF($Q$2:$Q$5295,Q1435)</f>
        <v/>
      </c>
      <c r="S1435" s="25">
        <f>IF(R1435&lt;=2,"1-2",IF(R1435&lt;=5,"3-5",IF(R1435&lt;=10,"6-10","11+")))</f>
        <v/>
      </c>
    </row>
    <row r="1436">
      <c r="A1436" s="39" t="n">
        <v>46168.13721064815</v>
      </c>
      <c r="B1436" s="25">
        <f>TEXT(A1436,"YYYY-MM")</f>
        <v/>
      </c>
      <c r="C1436" s="25">
        <f>TEXT(A1436,"MMM-YYYY")</f>
        <v/>
      </c>
      <c r="D1436" s="40">
        <f>INT(A1436)-WEEKDAY(A1436,2)+1</f>
        <v/>
      </c>
      <c r="E1436" s="25" t="inlineStr">
        <is>
          <t>sswati</t>
        </is>
      </c>
      <c r="F1436" s="25" t="n">
        <v>106842</v>
      </c>
      <c r="G1436" s="25" t="n">
        <v>2</v>
      </c>
      <c r="H1436" s="25" t="n">
        <v>13</v>
      </c>
      <c r="I1436" s="25" t="inlineStr">
        <is>
          <t>3 minute(s) and 2 second(s)</t>
        </is>
      </c>
      <c r="J1436" s="25">
        <f>IFERROR(VALUE(TRIM(LEFT(I1436,FIND("minute",I1436)-1)))*60,0)+IFERROR(VALUE(SUBSTITUTE(MID(I1436,IFERROR(FIND("and",I1436)+3,1),20),"second(s)","")),0)</f>
        <v/>
      </c>
      <c r="K1436" s="41">
        <f>J1436/60</f>
        <v/>
      </c>
      <c r="L1436" s="41">
        <f>IFERROR(J1436/H1436,"")</f>
        <v/>
      </c>
      <c r="M1436" s="25" t="inlineStr">
        <is>
          <t>2.5.12</t>
        </is>
      </c>
      <c r="N1436" s="25">
        <f>IF(J1436&gt;300,1,0)</f>
        <v/>
      </c>
      <c r="O1436" s="25">
        <f>IF(J1436&gt;600,1,0)</f>
        <v/>
      </c>
      <c r="P1436" s="25">
        <f>IF(H1436&gt;0,J1436,"")</f>
        <v/>
      </c>
      <c r="Q1436" s="25">
        <f>TEXT(A1436,"YYYY-MM-DD HH")</f>
        <v/>
      </c>
      <c r="R1436" s="25">
        <f>COUNTIF($Q$2:$Q$5295,Q1436)</f>
        <v/>
      </c>
      <c r="S1436" s="25">
        <f>IF(R1436&lt;=2,"1-2",IF(R1436&lt;=5,"3-5",IF(R1436&lt;=10,"6-10","11+")))</f>
        <v/>
      </c>
    </row>
    <row r="1437">
      <c r="A1437" s="39" t="n">
        <v>46168.13807870371</v>
      </c>
      <c r="B1437" s="25">
        <f>TEXT(A1437,"YYYY-MM")</f>
        <v/>
      </c>
      <c r="C1437" s="25">
        <f>TEXT(A1437,"MMM-YYYY")</f>
        <v/>
      </c>
      <c r="D1437" s="40">
        <f>INT(A1437)-WEEKDAY(A1437,2)+1</f>
        <v/>
      </c>
      <c r="E1437" s="25" t="inlineStr">
        <is>
          <t>ssrinivasan</t>
        </is>
      </c>
      <c r="F1437" s="25" t="n">
        <v>4321</v>
      </c>
      <c r="G1437" s="25" t="n">
        <v>1</v>
      </c>
      <c r="H1437" s="25" t="n">
        <v>7</v>
      </c>
      <c r="I1437" s="25" t="inlineStr">
        <is>
          <t>1 minute(s) and 48 second(s)</t>
        </is>
      </c>
      <c r="J1437" s="25">
        <f>IFERROR(VALUE(TRIM(LEFT(I1437,FIND("minute",I1437)-1)))*60,0)+IFERROR(VALUE(SUBSTITUTE(MID(I1437,IFERROR(FIND("and",I1437)+3,1),20),"second(s)","")),0)</f>
        <v/>
      </c>
      <c r="K1437" s="41">
        <f>J1437/60</f>
        <v/>
      </c>
      <c r="L1437" s="41">
        <f>IFERROR(J1437/H1437,"")</f>
        <v/>
      </c>
      <c r="M1437" s="25" t="inlineStr">
        <is>
          <t>2.5.12</t>
        </is>
      </c>
      <c r="N1437" s="25">
        <f>IF(J1437&gt;300,1,0)</f>
        <v/>
      </c>
      <c r="O1437" s="25">
        <f>IF(J1437&gt;600,1,0)</f>
        <v/>
      </c>
      <c r="P1437" s="25">
        <f>IF(H1437&gt;0,J1437,"")</f>
        <v/>
      </c>
      <c r="Q1437" s="25">
        <f>TEXT(A1437,"YYYY-MM-DD HH")</f>
        <v/>
      </c>
      <c r="R1437" s="25">
        <f>COUNTIF($Q$2:$Q$5295,Q1437)</f>
        <v/>
      </c>
      <c r="S1437" s="25">
        <f>IF(R1437&lt;=2,"1-2",IF(R1437&lt;=5,"3-5",IF(R1437&lt;=10,"6-10","11+")))</f>
        <v/>
      </c>
    </row>
    <row r="1438">
      <c r="A1438" s="39" t="n">
        <v>46168.13956018518</v>
      </c>
      <c r="B1438" s="25">
        <f>TEXT(A1438,"YYYY-MM")</f>
        <v/>
      </c>
      <c r="C1438" s="25">
        <f>TEXT(A1438,"MMM-YYYY")</f>
        <v/>
      </c>
      <c r="D1438" s="40">
        <f>INT(A1438)-WEEKDAY(A1438,2)+1</f>
        <v/>
      </c>
      <c r="E1438" s="25" t="inlineStr">
        <is>
          <t>mbohra</t>
        </is>
      </c>
      <c r="F1438" s="25" t="n">
        <v>89605</v>
      </c>
      <c r="G1438" s="25" t="n">
        <v>5</v>
      </c>
      <c r="H1438" s="25" t="n">
        <v>17</v>
      </c>
      <c r="I1438" s="25" t="inlineStr">
        <is>
          <t>7 minute(s) and 7 second(s)</t>
        </is>
      </c>
      <c r="J1438" s="25">
        <f>IFERROR(VALUE(TRIM(LEFT(I1438,FIND("minute",I1438)-1)))*60,0)+IFERROR(VALUE(SUBSTITUTE(MID(I1438,IFERROR(FIND("and",I1438)+3,1),20),"second(s)","")),0)</f>
        <v/>
      </c>
      <c r="K1438" s="41">
        <f>J1438/60</f>
        <v/>
      </c>
      <c r="L1438" s="41">
        <f>IFERROR(J1438/H1438,"")</f>
        <v/>
      </c>
      <c r="M1438" s="25" t="inlineStr">
        <is>
          <t>2.5.12</t>
        </is>
      </c>
      <c r="N1438" s="25">
        <f>IF(J1438&gt;300,1,0)</f>
        <v/>
      </c>
      <c r="O1438" s="25">
        <f>IF(J1438&gt;600,1,0)</f>
        <v/>
      </c>
      <c r="P1438" s="25">
        <f>IF(H1438&gt;0,J1438,"")</f>
        <v/>
      </c>
      <c r="Q1438" s="25">
        <f>TEXT(A1438,"YYYY-MM-DD HH")</f>
        <v/>
      </c>
      <c r="R1438" s="25">
        <f>COUNTIF($Q$2:$Q$5295,Q1438)</f>
        <v/>
      </c>
      <c r="S1438" s="25">
        <f>IF(R1438&lt;=2,"1-2",IF(R1438&lt;=5,"3-5",IF(R1438&lt;=10,"6-10","11+")))</f>
        <v/>
      </c>
    </row>
    <row r="1439">
      <c r="A1439" s="39" t="n">
        <v>46168.14114583333</v>
      </c>
      <c r="B1439" s="25">
        <f>TEXT(A1439,"YYYY-MM")</f>
        <v/>
      </c>
      <c r="C1439" s="25">
        <f>TEXT(A1439,"MMM-YYYY")</f>
        <v/>
      </c>
      <c r="D1439" s="40">
        <f>INT(A1439)-WEEKDAY(A1439,2)+1</f>
        <v/>
      </c>
      <c r="E1439" s="25" t="inlineStr">
        <is>
          <t>csaha</t>
        </is>
      </c>
      <c r="F1439" s="25" t="n">
        <v>69710</v>
      </c>
      <c r="G1439" s="25" t="n">
        <v>5</v>
      </c>
      <c r="H1439" s="25" t="n">
        <v>27</v>
      </c>
      <c r="I1439" s="25" t="inlineStr">
        <is>
          <t>6 minute(s) and 16 second(s)</t>
        </is>
      </c>
      <c r="J1439" s="25">
        <f>IFERROR(VALUE(TRIM(LEFT(I1439,FIND("minute",I1439)-1)))*60,0)+IFERROR(VALUE(SUBSTITUTE(MID(I1439,IFERROR(FIND("and",I1439)+3,1),20),"second(s)","")),0)</f>
        <v/>
      </c>
      <c r="K1439" s="41">
        <f>J1439/60</f>
        <v/>
      </c>
      <c r="L1439" s="41">
        <f>IFERROR(J1439/H1439,"")</f>
        <v/>
      </c>
      <c r="M1439" s="25" t="inlineStr">
        <is>
          <t>2.5.12</t>
        </is>
      </c>
      <c r="N1439" s="25">
        <f>IF(J1439&gt;300,1,0)</f>
        <v/>
      </c>
      <c r="O1439" s="25">
        <f>IF(J1439&gt;600,1,0)</f>
        <v/>
      </c>
      <c r="P1439" s="25">
        <f>IF(H1439&gt;0,J1439,"")</f>
        <v/>
      </c>
      <c r="Q1439" s="25">
        <f>TEXT(A1439,"YYYY-MM-DD HH")</f>
        <v/>
      </c>
      <c r="R1439" s="25">
        <f>COUNTIF($Q$2:$Q$5295,Q1439)</f>
        <v/>
      </c>
      <c r="S1439" s="25">
        <f>IF(R1439&lt;=2,"1-2",IF(R1439&lt;=5,"3-5",IF(R1439&lt;=10,"6-10","11+")))</f>
        <v/>
      </c>
    </row>
    <row r="1440">
      <c r="A1440" s="39" t="n">
        <v>46168.14453703703</v>
      </c>
      <c r="B1440" s="25">
        <f>TEXT(A1440,"YYYY-MM")</f>
        <v/>
      </c>
      <c r="C1440" s="25">
        <f>TEXT(A1440,"MMM-YYYY")</f>
        <v/>
      </c>
      <c r="D1440" s="40">
        <f>INT(A1440)-WEEKDAY(A1440,2)+1</f>
        <v/>
      </c>
      <c r="E1440" s="25" t="inlineStr">
        <is>
          <t>nlnu</t>
        </is>
      </c>
      <c r="F1440" s="25" t="n">
        <v>5152</v>
      </c>
      <c r="G1440" s="25" t="n">
        <v>1</v>
      </c>
      <c r="H1440" s="25" t="n">
        <v>7</v>
      </c>
      <c r="I1440" s="25" t="inlineStr">
        <is>
          <t>1 minute(s) and 31 second(s)</t>
        </is>
      </c>
      <c r="J1440" s="25">
        <f>IFERROR(VALUE(TRIM(LEFT(I1440,FIND("minute",I1440)-1)))*60,0)+IFERROR(VALUE(SUBSTITUTE(MID(I1440,IFERROR(FIND("and",I1440)+3,1),20),"second(s)","")),0)</f>
        <v/>
      </c>
      <c r="K1440" s="41">
        <f>J1440/60</f>
        <v/>
      </c>
      <c r="L1440" s="41">
        <f>IFERROR(J1440/H1440,"")</f>
        <v/>
      </c>
      <c r="M1440" s="25" t="inlineStr">
        <is>
          <t>2.5.12</t>
        </is>
      </c>
      <c r="N1440" s="25">
        <f>IF(J1440&gt;300,1,0)</f>
        <v/>
      </c>
      <c r="O1440" s="25">
        <f>IF(J1440&gt;600,1,0)</f>
        <v/>
      </c>
      <c r="P1440" s="25">
        <f>IF(H1440&gt;0,J1440,"")</f>
        <v/>
      </c>
      <c r="Q1440" s="25">
        <f>TEXT(A1440,"YYYY-MM-DD HH")</f>
        <v/>
      </c>
      <c r="R1440" s="25">
        <f>COUNTIF($Q$2:$Q$5295,Q1440)</f>
        <v/>
      </c>
      <c r="S1440" s="25">
        <f>IF(R1440&lt;=2,"1-2",IF(R1440&lt;=5,"3-5",IF(R1440&lt;=10,"6-10","11+")))</f>
        <v/>
      </c>
    </row>
    <row r="1441">
      <c r="A1441" s="39" t="n">
        <v>46168.14733796296</v>
      </c>
      <c r="B1441" s="25">
        <f>TEXT(A1441,"YYYY-MM")</f>
        <v/>
      </c>
      <c r="C1441" s="25">
        <f>TEXT(A1441,"MMM-YYYY")</f>
        <v/>
      </c>
      <c r="D1441" s="40">
        <f>INT(A1441)-WEEKDAY(A1441,2)+1</f>
        <v/>
      </c>
      <c r="E1441" s="25" t="inlineStr">
        <is>
          <t>arsarkar</t>
        </is>
      </c>
      <c r="F1441" s="25" t="n">
        <v>4975</v>
      </c>
      <c r="G1441" s="25" t="n">
        <v>1</v>
      </c>
      <c r="H1441" s="25" t="n">
        <v>7</v>
      </c>
      <c r="I1441" s="25" t="inlineStr">
        <is>
          <t>1 minute(s) and 25 second(s)</t>
        </is>
      </c>
      <c r="J1441" s="25">
        <f>IFERROR(VALUE(TRIM(LEFT(I1441,FIND("minute",I1441)-1)))*60,0)+IFERROR(VALUE(SUBSTITUTE(MID(I1441,IFERROR(FIND("and",I1441)+3,1),20),"second(s)","")),0)</f>
        <v/>
      </c>
      <c r="K1441" s="41">
        <f>J1441/60</f>
        <v/>
      </c>
      <c r="L1441" s="41">
        <f>IFERROR(J1441/H1441,"")</f>
        <v/>
      </c>
      <c r="M1441" s="25" t="inlineStr">
        <is>
          <t>2.5.12</t>
        </is>
      </c>
      <c r="N1441" s="25">
        <f>IF(J1441&gt;300,1,0)</f>
        <v/>
      </c>
      <c r="O1441" s="25">
        <f>IF(J1441&gt;600,1,0)</f>
        <v/>
      </c>
      <c r="P1441" s="25">
        <f>IF(H1441&gt;0,J1441,"")</f>
        <v/>
      </c>
      <c r="Q1441" s="25">
        <f>TEXT(A1441,"YYYY-MM-DD HH")</f>
        <v/>
      </c>
      <c r="R1441" s="25">
        <f>COUNTIF($Q$2:$Q$5295,Q1441)</f>
        <v/>
      </c>
      <c r="S1441" s="25">
        <f>IF(R1441&lt;=2,"1-2",IF(R1441&lt;=5,"3-5",IF(R1441&lt;=10,"6-10","11+")))</f>
        <v/>
      </c>
    </row>
    <row r="1442">
      <c r="A1442" s="39" t="n">
        <v>46168.15115740741</v>
      </c>
      <c r="B1442" s="25">
        <f>TEXT(A1442,"YYYY-MM")</f>
        <v/>
      </c>
      <c r="C1442" s="25">
        <f>TEXT(A1442,"MMM-YYYY")</f>
        <v/>
      </c>
      <c r="D1442" s="40">
        <f>INT(A1442)-WEEKDAY(A1442,2)+1</f>
        <v/>
      </c>
      <c r="E1442" s="25" t="inlineStr">
        <is>
          <t>psathwika</t>
        </is>
      </c>
      <c r="F1442" s="25" t="n">
        <v>5989</v>
      </c>
      <c r="G1442" s="25" t="n">
        <v>1</v>
      </c>
      <c r="H1442" s="25" t="n">
        <v>7</v>
      </c>
      <c r="I1442" s="25" t="inlineStr">
        <is>
          <t>2 minute(s) and 49 second(s)</t>
        </is>
      </c>
      <c r="J1442" s="25">
        <f>IFERROR(VALUE(TRIM(LEFT(I1442,FIND("minute",I1442)-1)))*60,0)+IFERROR(VALUE(SUBSTITUTE(MID(I1442,IFERROR(FIND("and",I1442)+3,1),20),"second(s)","")),0)</f>
        <v/>
      </c>
      <c r="K1442" s="41">
        <f>J1442/60</f>
        <v/>
      </c>
      <c r="L1442" s="41">
        <f>IFERROR(J1442/H1442,"")</f>
        <v/>
      </c>
      <c r="M1442" s="25" t="inlineStr">
        <is>
          <t>2.5.12</t>
        </is>
      </c>
      <c r="N1442" s="25">
        <f>IF(J1442&gt;300,1,0)</f>
        <v/>
      </c>
      <c r="O1442" s="25">
        <f>IF(J1442&gt;600,1,0)</f>
        <v/>
      </c>
      <c r="P1442" s="25">
        <f>IF(H1442&gt;0,J1442,"")</f>
        <v/>
      </c>
      <c r="Q1442" s="25">
        <f>TEXT(A1442,"YYYY-MM-DD HH")</f>
        <v/>
      </c>
      <c r="R1442" s="25">
        <f>COUNTIF($Q$2:$Q$5295,Q1442)</f>
        <v/>
      </c>
      <c r="S1442" s="25">
        <f>IF(R1442&lt;=2,"1-2",IF(R1442&lt;=5,"3-5",IF(R1442&lt;=10,"6-10","11+")))</f>
        <v/>
      </c>
    </row>
    <row r="1443">
      <c r="A1443" s="39" t="n">
        <v>46168.15548611111</v>
      </c>
      <c r="B1443" s="25">
        <f>TEXT(A1443,"YYYY-MM")</f>
        <v/>
      </c>
      <c r="C1443" s="25">
        <f>TEXT(A1443,"MMM-YYYY")</f>
        <v/>
      </c>
      <c r="D1443" s="40">
        <f>INT(A1443)-WEEKDAY(A1443,2)+1</f>
        <v/>
      </c>
      <c r="E1443" s="25" t="inlineStr">
        <is>
          <t>sdey</t>
        </is>
      </c>
      <c r="F1443" s="25" t="n">
        <v>4275</v>
      </c>
      <c r="G1443" s="25" t="n">
        <v>1</v>
      </c>
      <c r="H1443" s="25" t="n">
        <v>7</v>
      </c>
      <c r="I1443" s="25" t="inlineStr">
        <is>
          <t>1 minute(s) and 40 second(s)</t>
        </is>
      </c>
      <c r="J1443" s="25">
        <f>IFERROR(VALUE(TRIM(LEFT(I1443,FIND("minute",I1443)-1)))*60,0)+IFERROR(VALUE(SUBSTITUTE(MID(I1443,IFERROR(FIND("and",I1443)+3,1),20),"second(s)","")),0)</f>
        <v/>
      </c>
      <c r="K1443" s="41">
        <f>J1443/60</f>
        <v/>
      </c>
      <c r="L1443" s="41">
        <f>IFERROR(J1443/H1443,"")</f>
        <v/>
      </c>
      <c r="M1443" s="25" t="inlineStr">
        <is>
          <t>2.5.12</t>
        </is>
      </c>
      <c r="N1443" s="25">
        <f>IF(J1443&gt;300,1,0)</f>
        <v/>
      </c>
      <c r="O1443" s="25">
        <f>IF(J1443&gt;600,1,0)</f>
        <v/>
      </c>
      <c r="P1443" s="25">
        <f>IF(H1443&gt;0,J1443,"")</f>
        <v/>
      </c>
      <c r="Q1443" s="25">
        <f>TEXT(A1443,"YYYY-MM-DD HH")</f>
        <v/>
      </c>
      <c r="R1443" s="25">
        <f>COUNTIF($Q$2:$Q$5295,Q1443)</f>
        <v/>
      </c>
      <c r="S1443" s="25">
        <f>IF(R1443&lt;=2,"1-2",IF(R1443&lt;=5,"3-5",IF(R1443&lt;=10,"6-10","11+")))</f>
        <v/>
      </c>
    </row>
    <row r="1444">
      <c r="A1444" s="39" t="n">
        <v>46168.16185185185</v>
      </c>
      <c r="B1444" s="25">
        <f>TEXT(A1444,"YYYY-MM")</f>
        <v/>
      </c>
      <c r="C1444" s="25">
        <f>TEXT(A1444,"MMM-YYYY")</f>
        <v/>
      </c>
      <c r="D1444" s="40">
        <f>INT(A1444)-WEEKDAY(A1444,2)+1</f>
        <v/>
      </c>
      <c r="E1444" s="25" t="inlineStr">
        <is>
          <t>ssrinivasan</t>
        </is>
      </c>
      <c r="F1444" s="25" t="n">
        <v>5363</v>
      </c>
      <c r="G1444" s="25" t="n">
        <v>5</v>
      </c>
      <c r="H1444" s="25" t="n">
        <v>17</v>
      </c>
      <c r="I1444" s="25" t="inlineStr">
        <is>
          <t>4 minute(s) and 32 second(s)</t>
        </is>
      </c>
      <c r="J1444" s="25">
        <f>IFERROR(VALUE(TRIM(LEFT(I1444,FIND("minute",I1444)-1)))*60,0)+IFERROR(VALUE(SUBSTITUTE(MID(I1444,IFERROR(FIND("and",I1444)+3,1),20),"second(s)","")),0)</f>
        <v/>
      </c>
      <c r="K1444" s="41">
        <f>J1444/60</f>
        <v/>
      </c>
      <c r="L1444" s="41">
        <f>IFERROR(J1444/H1444,"")</f>
        <v/>
      </c>
      <c r="M1444" s="25" t="inlineStr">
        <is>
          <t>2.5.12</t>
        </is>
      </c>
      <c r="N1444" s="25">
        <f>IF(J1444&gt;300,1,0)</f>
        <v/>
      </c>
      <c r="O1444" s="25">
        <f>IF(J1444&gt;600,1,0)</f>
        <v/>
      </c>
      <c r="P1444" s="25">
        <f>IF(H1444&gt;0,J1444,"")</f>
        <v/>
      </c>
      <c r="Q1444" s="25">
        <f>TEXT(A1444,"YYYY-MM-DD HH")</f>
        <v/>
      </c>
      <c r="R1444" s="25">
        <f>COUNTIF($Q$2:$Q$5295,Q1444)</f>
        <v/>
      </c>
      <c r="S1444" s="25">
        <f>IF(R1444&lt;=2,"1-2",IF(R1444&lt;=5,"3-5",IF(R1444&lt;=10,"6-10","11+")))</f>
        <v/>
      </c>
    </row>
    <row r="1445">
      <c r="A1445" s="39" t="n">
        <v>46168.16822916667</v>
      </c>
      <c r="B1445" s="25">
        <f>TEXT(A1445,"YYYY-MM")</f>
        <v/>
      </c>
      <c r="C1445" s="25">
        <f>TEXT(A1445,"MMM-YYYY")</f>
        <v/>
      </c>
      <c r="D1445" s="40">
        <f>INT(A1445)-WEEKDAY(A1445,2)+1</f>
        <v/>
      </c>
      <c r="E1445" s="25" t="inlineStr">
        <is>
          <t>npriya</t>
        </is>
      </c>
      <c r="F1445" s="25" t="n">
        <v>4948</v>
      </c>
      <c r="G1445" s="25" t="n">
        <v>1</v>
      </c>
      <c r="H1445" s="25" t="n">
        <v>7</v>
      </c>
      <c r="I1445" s="25" t="inlineStr">
        <is>
          <t>1 minute(s) and 31 second(s)</t>
        </is>
      </c>
      <c r="J1445" s="25">
        <f>IFERROR(VALUE(TRIM(LEFT(I1445,FIND("minute",I1445)-1)))*60,0)+IFERROR(VALUE(SUBSTITUTE(MID(I1445,IFERROR(FIND("and",I1445)+3,1),20),"second(s)","")),0)</f>
        <v/>
      </c>
      <c r="K1445" s="41">
        <f>J1445/60</f>
        <v/>
      </c>
      <c r="L1445" s="41">
        <f>IFERROR(J1445/H1445,"")</f>
        <v/>
      </c>
      <c r="M1445" s="25" t="inlineStr">
        <is>
          <t>2.5.12</t>
        </is>
      </c>
      <c r="N1445" s="25">
        <f>IF(J1445&gt;300,1,0)</f>
        <v/>
      </c>
      <c r="O1445" s="25">
        <f>IF(J1445&gt;600,1,0)</f>
        <v/>
      </c>
      <c r="P1445" s="25">
        <f>IF(H1445&gt;0,J1445,"")</f>
        <v/>
      </c>
      <c r="Q1445" s="25">
        <f>TEXT(A1445,"YYYY-MM-DD HH")</f>
        <v/>
      </c>
      <c r="R1445" s="25">
        <f>COUNTIF($Q$2:$Q$5295,Q1445)</f>
        <v/>
      </c>
      <c r="S1445" s="25">
        <f>IF(R1445&lt;=2,"1-2",IF(R1445&lt;=5,"3-5",IF(R1445&lt;=10,"6-10","11+")))</f>
        <v/>
      </c>
    </row>
    <row r="1446">
      <c r="A1446" s="39" t="n">
        <v>46168.17407407407</v>
      </c>
      <c r="B1446" s="25">
        <f>TEXT(A1446,"YYYY-MM")</f>
        <v/>
      </c>
      <c r="C1446" s="25">
        <f>TEXT(A1446,"MMM-YYYY")</f>
        <v/>
      </c>
      <c r="D1446" s="40">
        <f>INT(A1446)-WEEKDAY(A1446,2)+1</f>
        <v/>
      </c>
      <c r="E1446" s="25" t="inlineStr">
        <is>
          <t>akumari</t>
        </is>
      </c>
      <c r="F1446" s="25" t="n">
        <v>5112</v>
      </c>
      <c r="G1446" s="25" t="n">
        <v>1</v>
      </c>
      <c r="H1446" s="25" t="n">
        <v>7</v>
      </c>
      <c r="I1446" s="25" t="inlineStr">
        <is>
          <t>1 minute(s) and 27 second(s)</t>
        </is>
      </c>
      <c r="J1446" s="25">
        <f>IFERROR(VALUE(TRIM(LEFT(I1446,FIND("minute",I1446)-1)))*60,0)+IFERROR(VALUE(SUBSTITUTE(MID(I1446,IFERROR(FIND("and",I1446)+3,1),20),"second(s)","")),0)</f>
        <v/>
      </c>
      <c r="K1446" s="41">
        <f>J1446/60</f>
        <v/>
      </c>
      <c r="L1446" s="41">
        <f>IFERROR(J1446/H1446,"")</f>
        <v/>
      </c>
      <c r="M1446" s="25" t="inlineStr">
        <is>
          <t>2.5.12</t>
        </is>
      </c>
      <c r="N1446" s="25">
        <f>IF(J1446&gt;300,1,0)</f>
        <v/>
      </c>
      <c r="O1446" s="25">
        <f>IF(J1446&gt;600,1,0)</f>
        <v/>
      </c>
      <c r="P1446" s="25">
        <f>IF(H1446&gt;0,J1446,"")</f>
        <v/>
      </c>
      <c r="Q1446" s="25">
        <f>TEXT(A1446,"YYYY-MM-DD HH")</f>
        <v/>
      </c>
      <c r="R1446" s="25">
        <f>COUNTIF($Q$2:$Q$5295,Q1446)</f>
        <v/>
      </c>
      <c r="S1446" s="25">
        <f>IF(R1446&lt;=2,"1-2",IF(R1446&lt;=5,"3-5",IF(R1446&lt;=10,"6-10","11+")))</f>
        <v/>
      </c>
    </row>
    <row r="1447">
      <c r="A1447" s="39" t="n">
        <v>46168.18141203704</v>
      </c>
      <c r="B1447" s="25">
        <f>TEXT(A1447,"YYYY-MM")</f>
        <v/>
      </c>
      <c r="C1447" s="25">
        <f>TEXT(A1447,"MMM-YYYY")</f>
        <v/>
      </c>
      <c r="D1447" s="40">
        <f>INT(A1447)-WEEKDAY(A1447,2)+1</f>
        <v/>
      </c>
      <c r="E1447" s="25" t="inlineStr">
        <is>
          <t>vprasad</t>
        </is>
      </c>
      <c r="F1447" s="25" t="n">
        <v>102877</v>
      </c>
      <c r="G1447" s="25" t="n">
        <v>3</v>
      </c>
      <c r="H1447" s="25" t="n">
        <v>11</v>
      </c>
      <c r="I1447" s="25" t="inlineStr">
        <is>
          <t>2 minute(s) and 36 second(s)</t>
        </is>
      </c>
      <c r="J1447" s="25">
        <f>IFERROR(VALUE(TRIM(LEFT(I1447,FIND("minute",I1447)-1)))*60,0)+IFERROR(VALUE(SUBSTITUTE(MID(I1447,IFERROR(FIND("and",I1447)+3,1),20),"second(s)","")),0)</f>
        <v/>
      </c>
      <c r="K1447" s="41">
        <f>J1447/60</f>
        <v/>
      </c>
      <c r="L1447" s="41">
        <f>IFERROR(J1447/H1447,"")</f>
        <v/>
      </c>
      <c r="M1447" s="25" t="inlineStr">
        <is>
          <t>2.5.12</t>
        </is>
      </c>
      <c r="N1447" s="25">
        <f>IF(J1447&gt;300,1,0)</f>
        <v/>
      </c>
      <c r="O1447" s="25">
        <f>IF(J1447&gt;600,1,0)</f>
        <v/>
      </c>
      <c r="P1447" s="25">
        <f>IF(H1447&gt;0,J1447,"")</f>
        <v/>
      </c>
      <c r="Q1447" s="25">
        <f>TEXT(A1447,"YYYY-MM-DD HH")</f>
        <v/>
      </c>
      <c r="R1447" s="25">
        <f>COUNTIF($Q$2:$Q$5295,Q1447)</f>
        <v/>
      </c>
      <c r="S1447" s="25">
        <f>IF(R1447&lt;=2,"1-2",IF(R1447&lt;=5,"3-5",IF(R1447&lt;=10,"6-10","11+")))</f>
        <v/>
      </c>
    </row>
    <row r="1448">
      <c r="A1448" s="39" t="n">
        <v>46168.18925925926</v>
      </c>
      <c r="B1448" s="25">
        <f>TEXT(A1448,"YYYY-MM")</f>
        <v/>
      </c>
      <c r="C1448" s="25">
        <f>TEXT(A1448,"MMM-YYYY")</f>
        <v/>
      </c>
      <c r="D1448" s="40">
        <f>INT(A1448)-WEEKDAY(A1448,2)+1</f>
        <v/>
      </c>
      <c r="E1448" s="25" t="inlineStr">
        <is>
          <t>mgupta</t>
        </is>
      </c>
      <c r="F1448" s="25" t="n">
        <v>89589</v>
      </c>
      <c r="G1448" s="25" t="n">
        <v>4</v>
      </c>
      <c r="H1448" s="25" t="n">
        <v>24</v>
      </c>
      <c r="I1448" s="25" t="inlineStr">
        <is>
          <t>5 minute(s) and 3 second(s)</t>
        </is>
      </c>
      <c r="J1448" s="25">
        <f>IFERROR(VALUE(TRIM(LEFT(I1448,FIND("minute",I1448)-1)))*60,0)+IFERROR(VALUE(SUBSTITUTE(MID(I1448,IFERROR(FIND("and",I1448)+3,1),20),"second(s)","")),0)</f>
        <v/>
      </c>
      <c r="K1448" s="41">
        <f>J1448/60</f>
        <v/>
      </c>
      <c r="L1448" s="41">
        <f>IFERROR(J1448/H1448,"")</f>
        <v/>
      </c>
      <c r="M1448" s="25" t="inlineStr">
        <is>
          <t>2.5.12</t>
        </is>
      </c>
      <c r="N1448" s="25">
        <f>IF(J1448&gt;300,1,0)</f>
        <v/>
      </c>
      <c r="O1448" s="25">
        <f>IF(J1448&gt;600,1,0)</f>
        <v/>
      </c>
      <c r="P1448" s="25">
        <f>IF(H1448&gt;0,J1448,"")</f>
        <v/>
      </c>
      <c r="Q1448" s="25">
        <f>TEXT(A1448,"YYYY-MM-DD HH")</f>
        <v/>
      </c>
      <c r="R1448" s="25">
        <f>COUNTIF($Q$2:$Q$5295,Q1448)</f>
        <v/>
      </c>
      <c r="S1448" s="25">
        <f>IF(R1448&lt;=2,"1-2",IF(R1448&lt;=5,"3-5",IF(R1448&lt;=10,"6-10","11+")))</f>
        <v/>
      </c>
    </row>
    <row r="1449">
      <c r="A1449" s="39" t="n">
        <v>46168.18953703704</v>
      </c>
      <c r="B1449" s="25">
        <f>TEXT(A1449,"YYYY-MM")</f>
        <v/>
      </c>
      <c r="C1449" s="25">
        <f>TEXT(A1449,"MMM-YYYY")</f>
        <v/>
      </c>
      <c r="D1449" s="40">
        <f>INT(A1449)-WEEKDAY(A1449,2)+1</f>
        <v/>
      </c>
      <c r="E1449" s="25" t="inlineStr">
        <is>
          <t>smukhopadhyay</t>
        </is>
      </c>
      <c r="F1449" s="25" t="n">
        <v>5048</v>
      </c>
      <c r="G1449" s="25" t="n">
        <v>1</v>
      </c>
      <c r="H1449" s="25" t="n">
        <v>7</v>
      </c>
      <c r="I1449" s="25" t="inlineStr">
        <is>
          <t>1 minute(s) and 30 second(s)</t>
        </is>
      </c>
      <c r="J1449" s="25">
        <f>IFERROR(VALUE(TRIM(LEFT(I1449,FIND("minute",I1449)-1)))*60,0)+IFERROR(VALUE(SUBSTITUTE(MID(I1449,IFERROR(FIND("and",I1449)+3,1),20),"second(s)","")),0)</f>
        <v/>
      </c>
      <c r="K1449" s="41">
        <f>J1449/60</f>
        <v/>
      </c>
      <c r="L1449" s="41">
        <f>IFERROR(J1449/H1449,"")</f>
        <v/>
      </c>
      <c r="M1449" s="25" t="inlineStr">
        <is>
          <t>2.5.12</t>
        </is>
      </c>
      <c r="N1449" s="25">
        <f>IF(J1449&gt;300,1,0)</f>
        <v/>
      </c>
      <c r="O1449" s="25">
        <f>IF(J1449&gt;600,1,0)</f>
        <v/>
      </c>
      <c r="P1449" s="25">
        <f>IF(H1449&gt;0,J1449,"")</f>
        <v/>
      </c>
      <c r="Q1449" s="25">
        <f>TEXT(A1449,"YYYY-MM-DD HH")</f>
        <v/>
      </c>
      <c r="R1449" s="25">
        <f>COUNTIF($Q$2:$Q$5295,Q1449)</f>
        <v/>
      </c>
      <c r="S1449" s="25">
        <f>IF(R1449&lt;=2,"1-2",IF(R1449&lt;=5,"3-5",IF(R1449&lt;=10,"6-10","11+")))</f>
        <v/>
      </c>
    </row>
    <row r="1450">
      <c r="A1450" s="39" t="n">
        <v>46168.18981481482</v>
      </c>
      <c r="B1450" s="25">
        <f>TEXT(A1450,"YYYY-MM")</f>
        <v/>
      </c>
      <c r="C1450" s="25">
        <f>TEXT(A1450,"MMM-YYYY")</f>
        <v/>
      </c>
      <c r="D1450" s="40">
        <f>INT(A1450)-WEEKDAY(A1450,2)+1</f>
        <v/>
      </c>
      <c r="E1450" s="25" t="inlineStr">
        <is>
          <t>npriya</t>
        </is>
      </c>
      <c r="F1450" s="25" t="n">
        <v>4950</v>
      </c>
      <c r="G1450" s="25" t="n">
        <v>1</v>
      </c>
      <c r="H1450" s="25" t="n">
        <v>7</v>
      </c>
      <c r="I1450" s="25" t="inlineStr">
        <is>
          <t>1 minute(s) and 7 second(s)</t>
        </is>
      </c>
      <c r="J1450" s="25">
        <f>IFERROR(VALUE(TRIM(LEFT(I1450,FIND("minute",I1450)-1)))*60,0)+IFERROR(VALUE(SUBSTITUTE(MID(I1450,IFERROR(FIND("and",I1450)+3,1),20),"second(s)","")),0)</f>
        <v/>
      </c>
      <c r="K1450" s="41">
        <f>J1450/60</f>
        <v/>
      </c>
      <c r="L1450" s="41">
        <f>IFERROR(J1450/H1450,"")</f>
        <v/>
      </c>
      <c r="M1450" s="25" t="inlineStr">
        <is>
          <t>2.5.12</t>
        </is>
      </c>
      <c r="N1450" s="25">
        <f>IF(J1450&gt;300,1,0)</f>
        <v/>
      </c>
      <c r="O1450" s="25">
        <f>IF(J1450&gt;600,1,0)</f>
        <v/>
      </c>
      <c r="P1450" s="25">
        <f>IF(H1450&gt;0,J1450,"")</f>
        <v/>
      </c>
      <c r="Q1450" s="25">
        <f>TEXT(A1450,"YYYY-MM-DD HH")</f>
        <v/>
      </c>
      <c r="R1450" s="25">
        <f>COUNTIF($Q$2:$Q$5295,Q1450)</f>
        <v/>
      </c>
      <c r="S1450" s="25">
        <f>IF(R1450&lt;=2,"1-2",IF(R1450&lt;=5,"3-5",IF(R1450&lt;=10,"6-10","11+")))</f>
        <v/>
      </c>
    </row>
    <row r="1451">
      <c r="A1451" s="39" t="n">
        <v>46168.19229166667</v>
      </c>
      <c r="B1451" s="25">
        <f>TEXT(A1451,"YYYY-MM")</f>
        <v/>
      </c>
      <c r="C1451" s="25">
        <f>TEXT(A1451,"MMM-YYYY")</f>
        <v/>
      </c>
      <c r="D1451" s="40">
        <f>INT(A1451)-WEEKDAY(A1451,2)+1</f>
        <v/>
      </c>
      <c r="E1451" s="25" t="inlineStr">
        <is>
          <t>arsarkar</t>
        </is>
      </c>
      <c r="F1451" s="25" t="n">
        <v>4977</v>
      </c>
      <c r="G1451" s="25" t="n">
        <v>1</v>
      </c>
      <c r="H1451" s="25" t="n">
        <v>7</v>
      </c>
      <c r="I1451" s="25" t="inlineStr">
        <is>
          <t>3 minute(s) and 53 second(s)</t>
        </is>
      </c>
      <c r="J1451" s="25">
        <f>IFERROR(VALUE(TRIM(LEFT(I1451,FIND("minute",I1451)-1)))*60,0)+IFERROR(VALUE(SUBSTITUTE(MID(I1451,IFERROR(FIND("and",I1451)+3,1),20),"second(s)","")),0)</f>
        <v/>
      </c>
      <c r="K1451" s="41">
        <f>J1451/60</f>
        <v/>
      </c>
      <c r="L1451" s="41">
        <f>IFERROR(J1451/H1451,"")</f>
        <v/>
      </c>
      <c r="M1451" s="25" t="inlineStr">
        <is>
          <t>2.5.12</t>
        </is>
      </c>
      <c r="N1451" s="25">
        <f>IF(J1451&gt;300,1,0)</f>
        <v/>
      </c>
      <c r="O1451" s="25">
        <f>IF(J1451&gt;600,1,0)</f>
        <v/>
      </c>
      <c r="P1451" s="25">
        <f>IF(H1451&gt;0,J1451,"")</f>
        <v/>
      </c>
      <c r="Q1451" s="25">
        <f>TEXT(A1451,"YYYY-MM-DD HH")</f>
        <v/>
      </c>
      <c r="R1451" s="25">
        <f>COUNTIF($Q$2:$Q$5295,Q1451)</f>
        <v/>
      </c>
      <c r="S1451" s="25">
        <f>IF(R1451&lt;=2,"1-2",IF(R1451&lt;=5,"3-5",IF(R1451&lt;=10,"6-10","11+")))</f>
        <v/>
      </c>
    </row>
    <row r="1452">
      <c r="A1452" s="39" t="n">
        <v>46168.19375</v>
      </c>
      <c r="B1452" s="25">
        <f>TEXT(A1452,"YYYY-MM")</f>
        <v/>
      </c>
      <c r="C1452" s="25">
        <f>TEXT(A1452,"MMM-YYYY")</f>
        <v/>
      </c>
      <c r="D1452" s="40">
        <f>INT(A1452)-WEEKDAY(A1452,2)+1</f>
        <v/>
      </c>
      <c r="E1452" s="25" t="inlineStr">
        <is>
          <t>ssrinivasan</t>
        </is>
      </c>
      <c r="F1452" s="25" t="n">
        <v>5363</v>
      </c>
      <c r="G1452" s="25" t="n">
        <v>1</v>
      </c>
      <c r="H1452" s="25" t="n">
        <v>5</v>
      </c>
      <c r="I1452" s="25" t="inlineStr">
        <is>
          <t>3 minute(s) and 32 second(s)</t>
        </is>
      </c>
      <c r="J1452" s="25">
        <f>IFERROR(VALUE(TRIM(LEFT(I1452,FIND("minute",I1452)-1)))*60,0)+IFERROR(VALUE(SUBSTITUTE(MID(I1452,IFERROR(FIND("and",I1452)+3,1),20),"second(s)","")),0)</f>
        <v/>
      </c>
      <c r="K1452" s="41">
        <f>J1452/60</f>
        <v/>
      </c>
      <c r="L1452" s="41">
        <f>IFERROR(J1452/H1452,"")</f>
        <v/>
      </c>
      <c r="M1452" s="25" t="inlineStr">
        <is>
          <t>2.5.12</t>
        </is>
      </c>
      <c r="N1452" s="25">
        <f>IF(J1452&gt;300,1,0)</f>
        <v/>
      </c>
      <c r="O1452" s="25">
        <f>IF(J1452&gt;600,1,0)</f>
        <v/>
      </c>
      <c r="P1452" s="25">
        <f>IF(H1452&gt;0,J1452,"")</f>
        <v/>
      </c>
      <c r="Q1452" s="25">
        <f>TEXT(A1452,"YYYY-MM-DD HH")</f>
        <v/>
      </c>
      <c r="R1452" s="25">
        <f>COUNTIF($Q$2:$Q$5295,Q1452)</f>
        <v/>
      </c>
      <c r="S1452" s="25">
        <f>IF(R1452&lt;=2,"1-2",IF(R1452&lt;=5,"3-5",IF(R1452&lt;=10,"6-10","11+")))</f>
        <v/>
      </c>
    </row>
    <row r="1453">
      <c r="A1453" s="39" t="n">
        <v>46168.19648148148</v>
      </c>
      <c r="B1453" s="25">
        <f>TEXT(A1453,"YYYY-MM")</f>
        <v/>
      </c>
      <c r="C1453" s="25">
        <f>TEXT(A1453,"MMM-YYYY")</f>
        <v/>
      </c>
      <c r="D1453" s="40">
        <f>INT(A1453)-WEEKDAY(A1453,2)+1</f>
        <v/>
      </c>
      <c r="E1453" s="25" t="inlineStr">
        <is>
          <t>akumari</t>
        </is>
      </c>
      <c r="F1453" s="25" t="n">
        <v>5113</v>
      </c>
      <c r="G1453" s="25" t="n">
        <v>1</v>
      </c>
      <c r="H1453" s="25" t="n">
        <v>7</v>
      </c>
      <c r="I1453" s="25" t="inlineStr">
        <is>
          <t>1 minute(s) and 11 second(s)</t>
        </is>
      </c>
      <c r="J1453" s="25">
        <f>IFERROR(VALUE(TRIM(LEFT(I1453,FIND("minute",I1453)-1)))*60,0)+IFERROR(VALUE(SUBSTITUTE(MID(I1453,IFERROR(FIND("and",I1453)+3,1),20),"second(s)","")),0)</f>
        <v/>
      </c>
      <c r="K1453" s="41">
        <f>J1453/60</f>
        <v/>
      </c>
      <c r="L1453" s="41">
        <f>IFERROR(J1453/H1453,"")</f>
        <v/>
      </c>
      <c r="M1453" s="25" t="inlineStr">
        <is>
          <t>2.5.12</t>
        </is>
      </c>
      <c r="N1453" s="25">
        <f>IF(J1453&gt;300,1,0)</f>
        <v/>
      </c>
      <c r="O1453" s="25">
        <f>IF(J1453&gt;600,1,0)</f>
        <v/>
      </c>
      <c r="P1453" s="25">
        <f>IF(H1453&gt;0,J1453,"")</f>
        <v/>
      </c>
      <c r="Q1453" s="25">
        <f>TEXT(A1453,"YYYY-MM-DD HH")</f>
        <v/>
      </c>
      <c r="R1453" s="25">
        <f>COUNTIF($Q$2:$Q$5295,Q1453)</f>
        <v/>
      </c>
      <c r="S1453" s="25">
        <f>IF(R1453&lt;=2,"1-2",IF(R1453&lt;=5,"3-5",IF(R1453&lt;=10,"6-10","11+")))</f>
        <v/>
      </c>
    </row>
    <row r="1454">
      <c r="A1454" s="39" t="n">
        <v>46168.19692129629</v>
      </c>
      <c r="B1454" s="25">
        <f>TEXT(A1454,"YYYY-MM")</f>
        <v/>
      </c>
      <c r="C1454" s="25">
        <f>TEXT(A1454,"MMM-YYYY")</f>
        <v/>
      </c>
      <c r="D1454" s="40">
        <f>INT(A1454)-WEEKDAY(A1454,2)+1</f>
        <v/>
      </c>
      <c r="E1454" s="25" t="inlineStr">
        <is>
          <t>adey</t>
        </is>
      </c>
      <c r="F1454" s="25" t="n">
        <v>5272</v>
      </c>
      <c r="G1454" s="25" t="n">
        <v>1</v>
      </c>
      <c r="H1454" s="25" t="n">
        <v>5</v>
      </c>
      <c r="I1454" s="25" t="inlineStr">
        <is>
          <t>1 minute(s) and 21 second(s)</t>
        </is>
      </c>
      <c r="J1454" s="25">
        <f>IFERROR(VALUE(TRIM(LEFT(I1454,FIND("minute",I1454)-1)))*60,0)+IFERROR(VALUE(SUBSTITUTE(MID(I1454,IFERROR(FIND("and",I1454)+3,1),20),"second(s)","")),0)</f>
        <v/>
      </c>
      <c r="K1454" s="41">
        <f>J1454/60</f>
        <v/>
      </c>
      <c r="L1454" s="41">
        <f>IFERROR(J1454/H1454,"")</f>
        <v/>
      </c>
      <c r="M1454" s="25" t="inlineStr">
        <is>
          <t>2.5.12</t>
        </is>
      </c>
      <c r="N1454" s="25">
        <f>IF(J1454&gt;300,1,0)</f>
        <v/>
      </c>
      <c r="O1454" s="25">
        <f>IF(J1454&gt;600,1,0)</f>
        <v/>
      </c>
      <c r="P1454" s="25">
        <f>IF(H1454&gt;0,J1454,"")</f>
        <v/>
      </c>
      <c r="Q1454" s="25">
        <f>TEXT(A1454,"YYYY-MM-DD HH")</f>
        <v/>
      </c>
      <c r="R1454" s="25">
        <f>COUNTIF($Q$2:$Q$5295,Q1454)</f>
        <v/>
      </c>
      <c r="S1454" s="25">
        <f>IF(R1454&lt;=2,"1-2",IF(R1454&lt;=5,"3-5",IF(R1454&lt;=10,"6-10","11+")))</f>
        <v/>
      </c>
    </row>
    <row r="1455">
      <c r="A1455" s="39" t="n">
        <v>46168.19931712963</v>
      </c>
      <c r="B1455" s="25">
        <f>TEXT(A1455,"YYYY-MM")</f>
        <v/>
      </c>
      <c r="C1455" s="25">
        <f>TEXT(A1455,"MMM-YYYY")</f>
        <v/>
      </c>
      <c r="D1455" s="40">
        <f>INT(A1455)-WEEKDAY(A1455,2)+1</f>
        <v/>
      </c>
      <c r="E1455" s="25" t="inlineStr">
        <is>
          <t>nlnu</t>
        </is>
      </c>
      <c r="F1455" s="25" t="n">
        <v>5157</v>
      </c>
      <c r="G1455" s="25" t="n">
        <v>1</v>
      </c>
      <c r="H1455" s="25" t="n">
        <v>5</v>
      </c>
      <c r="I1455" s="25" t="inlineStr">
        <is>
          <t>1 minute(s) and 26 second(s)</t>
        </is>
      </c>
      <c r="J1455" s="25">
        <f>IFERROR(VALUE(TRIM(LEFT(I1455,FIND("minute",I1455)-1)))*60,0)+IFERROR(VALUE(SUBSTITUTE(MID(I1455,IFERROR(FIND("and",I1455)+3,1),20),"second(s)","")),0)</f>
        <v/>
      </c>
      <c r="K1455" s="41">
        <f>J1455/60</f>
        <v/>
      </c>
      <c r="L1455" s="41">
        <f>IFERROR(J1455/H1455,"")</f>
        <v/>
      </c>
      <c r="M1455" s="25" t="inlineStr">
        <is>
          <t>2.5.12</t>
        </is>
      </c>
      <c r="N1455" s="25">
        <f>IF(J1455&gt;300,1,0)</f>
        <v/>
      </c>
      <c r="O1455" s="25">
        <f>IF(J1455&gt;600,1,0)</f>
        <v/>
      </c>
      <c r="P1455" s="25">
        <f>IF(H1455&gt;0,J1455,"")</f>
        <v/>
      </c>
      <c r="Q1455" s="25">
        <f>TEXT(A1455,"YYYY-MM-DD HH")</f>
        <v/>
      </c>
      <c r="R1455" s="25">
        <f>COUNTIF($Q$2:$Q$5295,Q1455)</f>
        <v/>
      </c>
      <c r="S1455" s="25">
        <f>IF(R1455&lt;=2,"1-2",IF(R1455&lt;=5,"3-5",IF(R1455&lt;=10,"6-10","11+")))</f>
        <v/>
      </c>
    </row>
    <row r="1456">
      <c r="A1456" s="39" t="n">
        <v>46168.20297453704</v>
      </c>
      <c r="B1456" s="25">
        <f>TEXT(A1456,"YYYY-MM")</f>
        <v/>
      </c>
      <c r="C1456" s="25">
        <f>TEXT(A1456,"MMM-YYYY")</f>
        <v/>
      </c>
      <c r="D1456" s="40">
        <f>INT(A1456)-WEEKDAY(A1456,2)+1</f>
        <v/>
      </c>
      <c r="E1456" s="25" t="inlineStr">
        <is>
          <t>psathwika</t>
        </is>
      </c>
      <c r="F1456" s="25" t="n">
        <v>6003</v>
      </c>
      <c r="G1456" s="25" t="n">
        <v>1</v>
      </c>
      <c r="H1456" s="25" t="n">
        <v>7</v>
      </c>
      <c r="I1456" s="25" t="inlineStr">
        <is>
          <t>2 minute(s) and 45 second(s)</t>
        </is>
      </c>
      <c r="J1456" s="25">
        <f>IFERROR(VALUE(TRIM(LEFT(I1456,FIND("minute",I1456)-1)))*60,0)+IFERROR(VALUE(SUBSTITUTE(MID(I1456,IFERROR(FIND("and",I1456)+3,1),20),"second(s)","")),0)</f>
        <v/>
      </c>
      <c r="K1456" s="41">
        <f>J1456/60</f>
        <v/>
      </c>
      <c r="L1456" s="41">
        <f>IFERROR(J1456/H1456,"")</f>
        <v/>
      </c>
      <c r="M1456" s="25" t="inlineStr">
        <is>
          <t>2.5.12</t>
        </is>
      </c>
      <c r="N1456" s="25">
        <f>IF(J1456&gt;300,1,0)</f>
        <v/>
      </c>
      <c r="O1456" s="25">
        <f>IF(J1456&gt;600,1,0)</f>
        <v/>
      </c>
      <c r="P1456" s="25">
        <f>IF(H1456&gt;0,J1456,"")</f>
        <v/>
      </c>
      <c r="Q1456" s="25">
        <f>TEXT(A1456,"YYYY-MM-DD HH")</f>
        <v/>
      </c>
      <c r="R1456" s="25">
        <f>COUNTIF($Q$2:$Q$5295,Q1456)</f>
        <v/>
      </c>
      <c r="S1456" s="25">
        <f>IF(R1456&lt;=2,"1-2",IF(R1456&lt;=5,"3-5",IF(R1456&lt;=10,"6-10","11+")))</f>
        <v/>
      </c>
    </row>
    <row r="1457">
      <c r="A1457" s="39" t="n">
        <v>46168.20351851852</v>
      </c>
      <c r="B1457" s="25">
        <f>TEXT(A1457,"YYYY-MM")</f>
        <v/>
      </c>
      <c r="C1457" s="25">
        <f>TEXT(A1457,"MMM-YYYY")</f>
        <v/>
      </c>
      <c r="D1457" s="40">
        <f>INT(A1457)-WEEKDAY(A1457,2)+1</f>
        <v/>
      </c>
      <c r="E1457" s="25" t="inlineStr">
        <is>
          <t>atiwari</t>
        </is>
      </c>
      <c r="F1457" s="25" t="n">
        <v>3240</v>
      </c>
      <c r="G1457" s="25" t="n">
        <v>1</v>
      </c>
      <c r="H1457" s="25" t="n">
        <v>7</v>
      </c>
      <c r="I1457" s="25" t="inlineStr">
        <is>
          <t>2 minute(s) and 16 second(s)</t>
        </is>
      </c>
      <c r="J1457" s="25">
        <f>IFERROR(VALUE(TRIM(LEFT(I1457,FIND("minute",I1457)-1)))*60,0)+IFERROR(VALUE(SUBSTITUTE(MID(I1457,IFERROR(FIND("and",I1457)+3,1),20),"second(s)","")),0)</f>
        <v/>
      </c>
      <c r="K1457" s="41">
        <f>J1457/60</f>
        <v/>
      </c>
      <c r="L1457" s="41">
        <f>IFERROR(J1457/H1457,"")</f>
        <v/>
      </c>
      <c r="M1457" s="25" t="inlineStr">
        <is>
          <t>2.5.12</t>
        </is>
      </c>
      <c r="N1457" s="25">
        <f>IF(J1457&gt;300,1,0)</f>
        <v/>
      </c>
      <c r="O1457" s="25">
        <f>IF(J1457&gt;600,1,0)</f>
        <v/>
      </c>
      <c r="P1457" s="25">
        <f>IF(H1457&gt;0,J1457,"")</f>
        <v/>
      </c>
      <c r="Q1457" s="25">
        <f>TEXT(A1457,"YYYY-MM-DD HH")</f>
        <v/>
      </c>
      <c r="R1457" s="25">
        <f>COUNTIF($Q$2:$Q$5295,Q1457)</f>
        <v/>
      </c>
      <c r="S1457" s="25">
        <f>IF(R1457&lt;=2,"1-2",IF(R1457&lt;=5,"3-5",IF(R1457&lt;=10,"6-10","11+")))</f>
        <v/>
      </c>
    </row>
    <row r="1458">
      <c r="A1458" s="39" t="n">
        <v>46168.21076388889</v>
      </c>
      <c r="B1458" s="25">
        <f>TEXT(A1458,"YYYY-MM")</f>
        <v/>
      </c>
      <c r="C1458" s="25">
        <f>TEXT(A1458,"MMM-YYYY")</f>
        <v/>
      </c>
      <c r="D1458" s="40">
        <f>INT(A1458)-WEEKDAY(A1458,2)+1</f>
        <v/>
      </c>
      <c r="E1458" s="25" t="inlineStr">
        <is>
          <t>mbohra</t>
        </is>
      </c>
      <c r="F1458" s="25" t="n">
        <v>89856</v>
      </c>
      <c r="G1458" s="25" t="n">
        <v>3</v>
      </c>
      <c r="H1458" s="25" t="n">
        <v>17</v>
      </c>
      <c r="I1458" s="25" t="inlineStr">
        <is>
          <t>5 minute(s) and 24 second(s)</t>
        </is>
      </c>
      <c r="J1458" s="25">
        <f>IFERROR(VALUE(TRIM(LEFT(I1458,FIND("minute",I1458)-1)))*60,0)+IFERROR(VALUE(SUBSTITUTE(MID(I1458,IFERROR(FIND("and",I1458)+3,1),20),"second(s)","")),0)</f>
        <v/>
      </c>
      <c r="K1458" s="41">
        <f>J1458/60</f>
        <v/>
      </c>
      <c r="L1458" s="41">
        <f>IFERROR(J1458/H1458,"")</f>
        <v/>
      </c>
      <c r="M1458" s="25" t="inlineStr">
        <is>
          <t>2.5.12</t>
        </is>
      </c>
      <c r="N1458" s="25">
        <f>IF(J1458&gt;300,1,0)</f>
        <v/>
      </c>
      <c r="O1458" s="25">
        <f>IF(J1458&gt;600,1,0)</f>
        <v/>
      </c>
      <c r="P1458" s="25">
        <f>IF(H1458&gt;0,J1458,"")</f>
        <v/>
      </c>
      <c r="Q1458" s="25">
        <f>TEXT(A1458,"YYYY-MM-DD HH")</f>
        <v/>
      </c>
      <c r="R1458" s="25">
        <f>COUNTIF($Q$2:$Q$5295,Q1458)</f>
        <v/>
      </c>
      <c r="S1458" s="25">
        <f>IF(R1458&lt;=2,"1-2",IF(R1458&lt;=5,"3-5",IF(R1458&lt;=10,"6-10","11+")))</f>
        <v/>
      </c>
    </row>
    <row r="1459">
      <c r="A1459" s="39" t="n">
        <v>46168.21346064815</v>
      </c>
      <c r="B1459" s="25">
        <f>TEXT(A1459,"YYYY-MM")</f>
        <v/>
      </c>
      <c r="C1459" s="25">
        <f>TEXT(A1459,"MMM-YYYY")</f>
        <v/>
      </c>
      <c r="D1459" s="40">
        <f>INT(A1459)-WEEKDAY(A1459,2)+1</f>
        <v/>
      </c>
      <c r="E1459" s="25" t="inlineStr">
        <is>
          <t>smukhopadhyay</t>
        </is>
      </c>
      <c r="F1459" s="25" t="n">
        <v>5049</v>
      </c>
      <c r="G1459" s="25" t="n">
        <v>1</v>
      </c>
      <c r="H1459" s="25" t="n">
        <v>7</v>
      </c>
      <c r="I1459" s="25" t="inlineStr">
        <is>
          <t>3 minute(s) and 11 second(s)</t>
        </is>
      </c>
      <c r="J1459" s="25">
        <f>IFERROR(VALUE(TRIM(LEFT(I1459,FIND("minute",I1459)-1)))*60,0)+IFERROR(VALUE(SUBSTITUTE(MID(I1459,IFERROR(FIND("and",I1459)+3,1),20),"second(s)","")),0)</f>
        <v/>
      </c>
      <c r="K1459" s="41">
        <f>J1459/60</f>
        <v/>
      </c>
      <c r="L1459" s="41">
        <f>IFERROR(J1459/H1459,"")</f>
        <v/>
      </c>
      <c r="M1459" s="25" t="inlineStr">
        <is>
          <t>2.5.12</t>
        </is>
      </c>
      <c r="N1459" s="25">
        <f>IF(J1459&gt;300,1,0)</f>
        <v/>
      </c>
      <c r="O1459" s="25">
        <f>IF(J1459&gt;600,1,0)</f>
        <v/>
      </c>
      <c r="P1459" s="25">
        <f>IF(H1459&gt;0,J1459,"")</f>
        <v/>
      </c>
      <c r="Q1459" s="25">
        <f>TEXT(A1459,"YYYY-MM-DD HH")</f>
        <v/>
      </c>
      <c r="R1459" s="25">
        <f>COUNTIF($Q$2:$Q$5295,Q1459)</f>
        <v/>
      </c>
      <c r="S1459" s="25">
        <f>IF(R1459&lt;=2,"1-2",IF(R1459&lt;=5,"3-5",IF(R1459&lt;=10,"6-10","11+")))</f>
        <v/>
      </c>
    </row>
    <row r="1460">
      <c r="A1460" s="39" t="n">
        <v>46168.21947916667</v>
      </c>
      <c r="B1460" s="25">
        <f>TEXT(A1460,"YYYY-MM")</f>
        <v/>
      </c>
      <c r="C1460" s="25">
        <f>TEXT(A1460,"MMM-YYYY")</f>
        <v/>
      </c>
      <c r="D1460" s="40">
        <f>INT(A1460)-WEEKDAY(A1460,2)+1</f>
        <v/>
      </c>
      <c r="E1460" s="25" t="inlineStr">
        <is>
          <t>atiwari</t>
        </is>
      </c>
      <c r="F1460" s="25" t="n">
        <v>3385</v>
      </c>
      <c r="G1460" s="25" t="n">
        <v>1</v>
      </c>
      <c r="H1460" s="25" t="n">
        <v>7</v>
      </c>
      <c r="I1460" s="25" t="inlineStr">
        <is>
          <t>3 minute(s) and 3 second(s)</t>
        </is>
      </c>
      <c r="J1460" s="25">
        <f>IFERROR(VALUE(TRIM(LEFT(I1460,FIND("minute",I1460)-1)))*60,0)+IFERROR(VALUE(SUBSTITUTE(MID(I1460,IFERROR(FIND("and",I1460)+3,1),20),"second(s)","")),0)</f>
        <v/>
      </c>
      <c r="K1460" s="41">
        <f>J1460/60</f>
        <v/>
      </c>
      <c r="L1460" s="41">
        <f>IFERROR(J1460/H1460,"")</f>
        <v/>
      </c>
      <c r="M1460" s="25" t="inlineStr">
        <is>
          <t>2.5.12</t>
        </is>
      </c>
      <c r="N1460" s="25">
        <f>IF(J1460&gt;300,1,0)</f>
        <v/>
      </c>
      <c r="O1460" s="25">
        <f>IF(J1460&gt;600,1,0)</f>
        <v/>
      </c>
      <c r="P1460" s="25">
        <f>IF(H1460&gt;0,J1460,"")</f>
        <v/>
      </c>
      <c r="Q1460" s="25">
        <f>TEXT(A1460,"YYYY-MM-DD HH")</f>
        <v/>
      </c>
      <c r="R1460" s="25">
        <f>COUNTIF($Q$2:$Q$5295,Q1460)</f>
        <v/>
      </c>
      <c r="S1460" s="25">
        <f>IF(R1460&lt;=2,"1-2",IF(R1460&lt;=5,"3-5",IF(R1460&lt;=10,"6-10","11+")))</f>
        <v/>
      </c>
    </row>
    <row r="1461">
      <c r="A1461" s="39" t="n">
        <v>46168.23039351852</v>
      </c>
      <c r="B1461" s="25">
        <f>TEXT(A1461,"YYYY-MM")</f>
        <v/>
      </c>
      <c r="C1461" s="25">
        <f>TEXT(A1461,"MMM-YYYY")</f>
        <v/>
      </c>
      <c r="D1461" s="40">
        <f>INT(A1461)-WEEKDAY(A1461,2)+1</f>
        <v/>
      </c>
      <c r="E1461" s="25" t="inlineStr">
        <is>
          <t>arsarkar</t>
        </is>
      </c>
      <c r="F1461" s="25" t="n">
        <v>4979</v>
      </c>
      <c r="G1461" s="25" t="n">
        <v>1</v>
      </c>
      <c r="H1461" s="25" t="n">
        <v>7</v>
      </c>
      <c r="I1461" s="25" t="inlineStr">
        <is>
          <t>1 minute(s) and 44 second(s)</t>
        </is>
      </c>
      <c r="J1461" s="25">
        <f>IFERROR(VALUE(TRIM(LEFT(I1461,FIND("minute",I1461)-1)))*60,0)+IFERROR(VALUE(SUBSTITUTE(MID(I1461,IFERROR(FIND("and",I1461)+3,1),20),"second(s)","")),0)</f>
        <v/>
      </c>
      <c r="K1461" s="41">
        <f>J1461/60</f>
        <v/>
      </c>
      <c r="L1461" s="41">
        <f>IFERROR(J1461/H1461,"")</f>
        <v/>
      </c>
      <c r="M1461" s="25" t="inlineStr">
        <is>
          <t>2.5.12</t>
        </is>
      </c>
      <c r="N1461" s="25">
        <f>IF(J1461&gt;300,1,0)</f>
        <v/>
      </c>
      <c r="O1461" s="25">
        <f>IF(J1461&gt;600,1,0)</f>
        <v/>
      </c>
      <c r="P1461" s="25">
        <f>IF(H1461&gt;0,J1461,"")</f>
        <v/>
      </c>
      <c r="Q1461" s="25">
        <f>TEXT(A1461,"YYYY-MM-DD HH")</f>
        <v/>
      </c>
      <c r="R1461" s="25">
        <f>COUNTIF($Q$2:$Q$5295,Q1461)</f>
        <v/>
      </c>
      <c r="S1461" s="25">
        <f>IF(R1461&lt;=2,"1-2",IF(R1461&lt;=5,"3-5",IF(R1461&lt;=10,"6-10","11+")))</f>
        <v/>
      </c>
    </row>
    <row r="1462">
      <c r="A1462" s="39" t="n">
        <v>46168.23548611111</v>
      </c>
      <c r="B1462" s="25">
        <f>TEXT(A1462,"YYYY-MM")</f>
        <v/>
      </c>
      <c r="C1462" s="25">
        <f>TEXT(A1462,"MMM-YYYY")</f>
        <v/>
      </c>
      <c r="D1462" s="40">
        <f>INT(A1462)-WEEKDAY(A1462,2)+1</f>
        <v/>
      </c>
      <c r="E1462" s="25" t="inlineStr">
        <is>
          <t>adey</t>
        </is>
      </c>
      <c r="F1462" s="25" t="n">
        <v>5272</v>
      </c>
      <c r="G1462" s="25" t="n">
        <v>2</v>
      </c>
      <c r="H1462" s="25" t="n">
        <v>10</v>
      </c>
      <c r="I1462" s="25" t="inlineStr">
        <is>
          <t>4 minute(s) and 36 second(s)</t>
        </is>
      </c>
      <c r="J1462" s="25">
        <f>IFERROR(VALUE(TRIM(LEFT(I1462,FIND("minute",I1462)-1)))*60,0)+IFERROR(VALUE(SUBSTITUTE(MID(I1462,IFERROR(FIND("and",I1462)+3,1),20),"second(s)","")),0)</f>
        <v/>
      </c>
      <c r="K1462" s="41">
        <f>J1462/60</f>
        <v/>
      </c>
      <c r="L1462" s="41">
        <f>IFERROR(J1462/H1462,"")</f>
        <v/>
      </c>
      <c r="M1462" s="25" t="inlineStr">
        <is>
          <t>2.5.12</t>
        </is>
      </c>
      <c r="N1462" s="25">
        <f>IF(J1462&gt;300,1,0)</f>
        <v/>
      </c>
      <c r="O1462" s="25">
        <f>IF(J1462&gt;600,1,0)</f>
        <v/>
      </c>
      <c r="P1462" s="25">
        <f>IF(H1462&gt;0,J1462,"")</f>
        <v/>
      </c>
      <c r="Q1462" s="25">
        <f>TEXT(A1462,"YYYY-MM-DD HH")</f>
        <v/>
      </c>
      <c r="R1462" s="25">
        <f>COUNTIF($Q$2:$Q$5295,Q1462)</f>
        <v/>
      </c>
      <c r="S1462" s="25">
        <f>IF(R1462&lt;=2,"1-2",IF(R1462&lt;=5,"3-5",IF(R1462&lt;=10,"6-10","11+")))</f>
        <v/>
      </c>
    </row>
    <row r="1463">
      <c r="A1463" s="39" t="n">
        <v>46168.23615740741</v>
      </c>
      <c r="B1463" s="25">
        <f>TEXT(A1463,"YYYY-MM")</f>
        <v/>
      </c>
      <c r="C1463" s="25">
        <f>TEXT(A1463,"MMM-YYYY")</f>
        <v/>
      </c>
      <c r="D1463" s="40">
        <f>INT(A1463)-WEEKDAY(A1463,2)+1</f>
        <v/>
      </c>
      <c r="E1463" s="25" t="inlineStr">
        <is>
          <t>mgupta</t>
        </is>
      </c>
      <c r="F1463" s="25" t="n">
        <v>19966</v>
      </c>
      <c r="G1463" s="25" t="n">
        <v>1</v>
      </c>
      <c r="H1463" s="25" t="n">
        <v>7</v>
      </c>
      <c r="I1463" s="25" t="inlineStr">
        <is>
          <t>1 minute(s) and 20 second(s)</t>
        </is>
      </c>
      <c r="J1463" s="25">
        <f>IFERROR(VALUE(TRIM(LEFT(I1463,FIND("minute",I1463)-1)))*60,0)+IFERROR(VALUE(SUBSTITUTE(MID(I1463,IFERROR(FIND("and",I1463)+3,1),20),"second(s)","")),0)</f>
        <v/>
      </c>
      <c r="K1463" s="41">
        <f>J1463/60</f>
        <v/>
      </c>
      <c r="L1463" s="41">
        <f>IFERROR(J1463/H1463,"")</f>
        <v/>
      </c>
      <c r="M1463" s="25" t="inlineStr">
        <is>
          <t>2.5.12</t>
        </is>
      </c>
      <c r="N1463" s="25">
        <f>IF(J1463&gt;300,1,0)</f>
        <v/>
      </c>
      <c r="O1463" s="25">
        <f>IF(J1463&gt;600,1,0)</f>
        <v/>
      </c>
      <c r="P1463" s="25">
        <f>IF(H1463&gt;0,J1463,"")</f>
        <v/>
      </c>
      <c r="Q1463" s="25">
        <f>TEXT(A1463,"YYYY-MM-DD HH")</f>
        <v/>
      </c>
      <c r="R1463" s="25">
        <f>COUNTIF($Q$2:$Q$5295,Q1463)</f>
        <v/>
      </c>
      <c r="S1463" s="25">
        <f>IF(R1463&lt;=2,"1-2",IF(R1463&lt;=5,"3-5",IF(R1463&lt;=10,"6-10","11+")))</f>
        <v/>
      </c>
    </row>
    <row r="1464">
      <c r="A1464" s="39" t="n">
        <v>46168.23724537037</v>
      </c>
      <c r="B1464" s="25">
        <f>TEXT(A1464,"YYYY-MM")</f>
        <v/>
      </c>
      <c r="C1464" s="25">
        <f>TEXT(A1464,"MMM-YYYY")</f>
        <v/>
      </c>
      <c r="D1464" s="40">
        <f>INT(A1464)-WEEKDAY(A1464,2)+1</f>
        <v/>
      </c>
      <c r="E1464" s="25" t="inlineStr">
        <is>
          <t>pgautam</t>
        </is>
      </c>
      <c r="F1464" s="25" t="n">
        <v>115341</v>
      </c>
      <c r="G1464" s="25" t="n">
        <v>4</v>
      </c>
      <c r="H1464" s="25" t="n">
        <v>20</v>
      </c>
      <c r="I1464" s="25" t="inlineStr">
        <is>
          <t>5 minute(s) and 0 second(s)</t>
        </is>
      </c>
      <c r="J1464" s="25">
        <f>IFERROR(VALUE(TRIM(LEFT(I1464,FIND("minute",I1464)-1)))*60,0)+IFERROR(VALUE(SUBSTITUTE(MID(I1464,IFERROR(FIND("and",I1464)+3,1),20),"second(s)","")),0)</f>
        <v/>
      </c>
      <c r="K1464" s="41">
        <f>J1464/60</f>
        <v/>
      </c>
      <c r="L1464" s="41">
        <f>IFERROR(J1464/H1464,"")</f>
        <v/>
      </c>
      <c r="M1464" s="25" t="inlineStr">
        <is>
          <t>2.5.12</t>
        </is>
      </c>
      <c r="N1464" s="25">
        <f>IF(J1464&gt;300,1,0)</f>
        <v/>
      </c>
      <c r="O1464" s="25">
        <f>IF(J1464&gt;600,1,0)</f>
        <v/>
      </c>
      <c r="P1464" s="25">
        <f>IF(H1464&gt;0,J1464,"")</f>
        <v/>
      </c>
      <c r="Q1464" s="25">
        <f>TEXT(A1464,"YYYY-MM-DD HH")</f>
        <v/>
      </c>
      <c r="R1464" s="25">
        <f>COUNTIF($Q$2:$Q$5295,Q1464)</f>
        <v/>
      </c>
      <c r="S1464" s="25">
        <f>IF(R1464&lt;=2,"1-2",IF(R1464&lt;=5,"3-5",IF(R1464&lt;=10,"6-10","11+")))</f>
        <v/>
      </c>
    </row>
    <row r="1465">
      <c r="A1465" s="39" t="n">
        <v>46168.23857638889</v>
      </c>
      <c r="B1465" s="25">
        <f>TEXT(A1465,"YYYY-MM")</f>
        <v/>
      </c>
      <c r="C1465" s="25">
        <f>TEXT(A1465,"MMM-YYYY")</f>
        <v/>
      </c>
      <c r="D1465" s="40">
        <f>INT(A1465)-WEEKDAY(A1465,2)+1</f>
        <v/>
      </c>
      <c r="E1465" s="25" t="inlineStr">
        <is>
          <t>anusharma</t>
        </is>
      </c>
      <c r="F1465" s="25" t="n">
        <v>5304</v>
      </c>
      <c r="G1465" s="25" t="n">
        <v>1</v>
      </c>
      <c r="H1465" s="25" t="n">
        <v>5</v>
      </c>
      <c r="I1465" s="25" t="inlineStr">
        <is>
          <t>2 minute(s) and 22 second(s)</t>
        </is>
      </c>
      <c r="J1465" s="25">
        <f>IFERROR(VALUE(TRIM(LEFT(I1465,FIND("minute",I1465)-1)))*60,0)+IFERROR(VALUE(SUBSTITUTE(MID(I1465,IFERROR(FIND("and",I1465)+3,1),20),"second(s)","")),0)</f>
        <v/>
      </c>
      <c r="K1465" s="41">
        <f>J1465/60</f>
        <v/>
      </c>
      <c r="L1465" s="41">
        <f>IFERROR(J1465/H1465,"")</f>
        <v/>
      </c>
      <c r="M1465" s="25" t="inlineStr">
        <is>
          <t>2.5.12</t>
        </is>
      </c>
      <c r="N1465" s="25">
        <f>IF(J1465&gt;300,1,0)</f>
        <v/>
      </c>
      <c r="O1465" s="25">
        <f>IF(J1465&gt;600,1,0)</f>
        <v/>
      </c>
      <c r="P1465" s="25">
        <f>IF(H1465&gt;0,J1465,"")</f>
        <v/>
      </c>
      <c r="Q1465" s="25">
        <f>TEXT(A1465,"YYYY-MM-DD HH")</f>
        <v/>
      </c>
      <c r="R1465" s="25">
        <f>COUNTIF($Q$2:$Q$5295,Q1465)</f>
        <v/>
      </c>
      <c r="S1465" s="25">
        <f>IF(R1465&lt;=2,"1-2",IF(R1465&lt;=5,"3-5",IF(R1465&lt;=10,"6-10","11+")))</f>
        <v/>
      </c>
    </row>
    <row r="1466">
      <c r="A1466" s="39" t="n">
        <v>46168.2389699074</v>
      </c>
      <c r="B1466" s="25">
        <f>TEXT(A1466,"YYYY-MM")</f>
        <v/>
      </c>
      <c r="C1466" s="25">
        <f>TEXT(A1466,"MMM-YYYY")</f>
        <v/>
      </c>
      <c r="D1466" s="40">
        <f>INT(A1466)-WEEKDAY(A1466,2)+1</f>
        <v/>
      </c>
      <c r="E1466" s="25" t="inlineStr">
        <is>
          <t>mbhalla</t>
        </is>
      </c>
      <c r="F1466" s="25" t="n">
        <v>108419</v>
      </c>
      <c r="G1466" s="25" t="n">
        <v>4</v>
      </c>
      <c r="H1466" s="25" t="n">
        <v>16</v>
      </c>
      <c r="I1466" s="25" t="inlineStr">
        <is>
          <t>2 minute(s) and 54 second(s)</t>
        </is>
      </c>
      <c r="J1466" s="25">
        <f>IFERROR(VALUE(TRIM(LEFT(I1466,FIND("minute",I1466)-1)))*60,0)+IFERROR(VALUE(SUBSTITUTE(MID(I1466,IFERROR(FIND("and",I1466)+3,1),20),"second(s)","")),0)</f>
        <v/>
      </c>
      <c r="K1466" s="41">
        <f>J1466/60</f>
        <v/>
      </c>
      <c r="L1466" s="41">
        <f>IFERROR(J1466/H1466,"")</f>
        <v/>
      </c>
      <c r="M1466" s="25" t="inlineStr">
        <is>
          <t>2.5.12</t>
        </is>
      </c>
      <c r="N1466" s="25">
        <f>IF(J1466&gt;300,1,0)</f>
        <v/>
      </c>
      <c r="O1466" s="25">
        <f>IF(J1466&gt;600,1,0)</f>
        <v/>
      </c>
      <c r="P1466" s="25">
        <f>IF(H1466&gt;0,J1466,"")</f>
        <v/>
      </c>
      <c r="Q1466" s="25">
        <f>TEXT(A1466,"YYYY-MM-DD HH")</f>
        <v/>
      </c>
      <c r="R1466" s="25">
        <f>COUNTIF($Q$2:$Q$5295,Q1466)</f>
        <v/>
      </c>
      <c r="S1466" s="25">
        <f>IF(R1466&lt;=2,"1-2",IF(R1466&lt;=5,"3-5",IF(R1466&lt;=10,"6-10","11+")))</f>
        <v/>
      </c>
    </row>
    <row r="1467">
      <c r="A1467" s="39" t="n">
        <v>46168.24436342593</v>
      </c>
      <c r="B1467" s="25">
        <f>TEXT(A1467,"YYYY-MM")</f>
        <v/>
      </c>
      <c r="C1467" s="25">
        <f>TEXT(A1467,"MMM-YYYY")</f>
        <v/>
      </c>
      <c r="D1467" s="40">
        <f>INT(A1467)-WEEKDAY(A1467,2)+1</f>
        <v/>
      </c>
      <c r="E1467" s="25" t="inlineStr">
        <is>
          <t>sdey</t>
        </is>
      </c>
      <c r="F1467" s="25" t="n">
        <v>5399</v>
      </c>
      <c r="G1467" s="25" t="n">
        <v>1</v>
      </c>
      <c r="H1467" s="25" t="n">
        <v>7</v>
      </c>
      <c r="I1467" s="25" t="inlineStr">
        <is>
          <t>2 minute(s) and 36 second(s)</t>
        </is>
      </c>
      <c r="J1467" s="25">
        <f>IFERROR(VALUE(TRIM(LEFT(I1467,FIND("minute",I1467)-1)))*60,0)+IFERROR(VALUE(SUBSTITUTE(MID(I1467,IFERROR(FIND("and",I1467)+3,1),20),"second(s)","")),0)</f>
        <v/>
      </c>
      <c r="K1467" s="41">
        <f>J1467/60</f>
        <v/>
      </c>
      <c r="L1467" s="41">
        <f>IFERROR(J1467/H1467,"")</f>
        <v/>
      </c>
      <c r="M1467" s="25" t="inlineStr">
        <is>
          <t>2.5.12</t>
        </is>
      </c>
      <c r="N1467" s="25">
        <f>IF(J1467&gt;300,1,0)</f>
        <v/>
      </c>
      <c r="O1467" s="25">
        <f>IF(J1467&gt;600,1,0)</f>
        <v/>
      </c>
      <c r="P1467" s="25">
        <f>IF(H1467&gt;0,J1467,"")</f>
        <v/>
      </c>
      <c r="Q1467" s="25">
        <f>TEXT(A1467,"YYYY-MM-DD HH")</f>
        <v/>
      </c>
      <c r="R1467" s="25">
        <f>COUNTIF($Q$2:$Q$5295,Q1467)</f>
        <v/>
      </c>
      <c r="S1467" s="25">
        <f>IF(R1467&lt;=2,"1-2",IF(R1467&lt;=5,"3-5",IF(R1467&lt;=10,"6-10","11+")))</f>
        <v/>
      </c>
    </row>
    <row r="1468">
      <c r="A1468" s="39" t="n">
        <v>46168.25851851852</v>
      </c>
      <c r="B1468" s="25">
        <f>TEXT(A1468,"YYYY-MM")</f>
        <v/>
      </c>
      <c r="C1468" s="25">
        <f>TEXT(A1468,"MMM-YYYY")</f>
        <v/>
      </c>
      <c r="D1468" s="40">
        <f>INT(A1468)-WEEKDAY(A1468,2)+1</f>
        <v/>
      </c>
      <c r="E1468" s="25" t="inlineStr">
        <is>
          <t>mgupta</t>
        </is>
      </c>
      <c r="F1468" s="25" t="n">
        <v>39232</v>
      </c>
      <c r="G1468" s="25" t="n">
        <v>1</v>
      </c>
      <c r="H1468" s="25" t="n">
        <v>5</v>
      </c>
      <c r="I1468" s="25" t="inlineStr">
        <is>
          <t>2 minute(s) and 12 second(s)</t>
        </is>
      </c>
      <c r="J1468" s="25">
        <f>IFERROR(VALUE(TRIM(LEFT(I1468,FIND("minute",I1468)-1)))*60,0)+IFERROR(VALUE(SUBSTITUTE(MID(I1468,IFERROR(FIND("and",I1468)+3,1),20),"second(s)","")),0)</f>
        <v/>
      </c>
      <c r="K1468" s="41">
        <f>J1468/60</f>
        <v/>
      </c>
      <c r="L1468" s="41">
        <f>IFERROR(J1468/H1468,"")</f>
        <v/>
      </c>
      <c r="M1468" s="25" t="inlineStr">
        <is>
          <t>2.5.12</t>
        </is>
      </c>
      <c r="N1468" s="25">
        <f>IF(J1468&gt;300,1,0)</f>
        <v/>
      </c>
      <c r="O1468" s="25">
        <f>IF(J1468&gt;600,1,0)</f>
        <v/>
      </c>
      <c r="P1468" s="25">
        <f>IF(H1468&gt;0,J1468,"")</f>
        <v/>
      </c>
      <c r="Q1468" s="25">
        <f>TEXT(A1468,"YYYY-MM-DD HH")</f>
        <v/>
      </c>
      <c r="R1468" s="25">
        <f>COUNTIF($Q$2:$Q$5295,Q1468)</f>
        <v/>
      </c>
      <c r="S1468" s="25">
        <f>IF(R1468&lt;=2,"1-2",IF(R1468&lt;=5,"3-5",IF(R1468&lt;=10,"6-10","11+")))</f>
        <v/>
      </c>
    </row>
    <row r="1469">
      <c r="A1469" s="39" t="n">
        <v>46168.26084490741</v>
      </c>
      <c r="B1469" s="25">
        <f>TEXT(A1469,"YYYY-MM")</f>
        <v/>
      </c>
      <c r="C1469" s="25">
        <f>TEXT(A1469,"MMM-YYYY")</f>
        <v/>
      </c>
      <c r="D1469" s="40">
        <f>INT(A1469)-WEEKDAY(A1469,2)+1</f>
        <v/>
      </c>
      <c r="E1469" s="25" t="inlineStr">
        <is>
          <t>csaha</t>
        </is>
      </c>
      <c r="F1469" s="25" t="n">
        <v>4426</v>
      </c>
      <c r="G1469" s="25" t="n">
        <v>1</v>
      </c>
      <c r="H1469" s="25" t="n">
        <v>7</v>
      </c>
      <c r="I1469" s="25" t="inlineStr">
        <is>
          <t>1 minute(s) and 24 second(s)</t>
        </is>
      </c>
      <c r="J1469" s="25">
        <f>IFERROR(VALUE(TRIM(LEFT(I1469,FIND("minute",I1469)-1)))*60,0)+IFERROR(VALUE(SUBSTITUTE(MID(I1469,IFERROR(FIND("and",I1469)+3,1),20),"second(s)","")),0)</f>
        <v/>
      </c>
      <c r="K1469" s="41">
        <f>J1469/60</f>
        <v/>
      </c>
      <c r="L1469" s="41">
        <f>IFERROR(J1469/H1469,"")</f>
        <v/>
      </c>
      <c r="M1469" s="25" t="inlineStr">
        <is>
          <t>2.5.12</t>
        </is>
      </c>
      <c r="N1469" s="25">
        <f>IF(J1469&gt;300,1,0)</f>
        <v/>
      </c>
      <c r="O1469" s="25">
        <f>IF(J1469&gt;600,1,0)</f>
        <v/>
      </c>
      <c r="P1469" s="25">
        <f>IF(H1469&gt;0,J1469,"")</f>
        <v/>
      </c>
      <c r="Q1469" s="25">
        <f>TEXT(A1469,"YYYY-MM-DD HH")</f>
        <v/>
      </c>
      <c r="R1469" s="25">
        <f>COUNTIF($Q$2:$Q$5295,Q1469)</f>
        <v/>
      </c>
      <c r="S1469" s="25">
        <f>IF(R1469&lt;=2,"1-2",IF(R1469&lt;=5,"3-5",IF(R1469&lt;=10,"6-10","11+")))</f>
        <v/>
      </c>
    </row>
    <row r="1470">
      <c r="A1470" s="39" t="n">
        <v>46168.26486111111</v>
      </c>
      <c r="B1470" s="25">
        <f>TEXT(A1470,"YYYY-MM")</f>
        <v/>
      </c>
      <c r="C1470" s="25">
        <f>TEXT(A1470,"MMM-YYYY")</f>
        <v/>
      </c>
      <c r="D1470" s="40">
        <f>INT(A1470)-WEEKDAY(A1470,2)+1</f>
        <v/>
      </c>
      <c r="E1470" s="25" t="inlineStr">
        <is>
          <t>nlnu</t>
        </is>
      </c>
      <c r="F1470" s="25" t="n">
        <v>5158</v>
      </c>
      <c r="G1470" s="25" t="n">
        <v>1</v>
      </c>
      <c r="H1470" s="25" t="n">
        <v>7</v>
      </c>
      <c r="I1470" s="25" t="inlineStr">
        <is>
          <t>3 minute(s) and 10 second(s)</t>
        </is>
      </c>
      <c r="J1470" s="25">
        <f>IFERROR(VALUE(TRIM(LEFT(I1470,FIND("minute",I1470)-1)))*60,0)+IFERROR(VALUE(SUBSTITUTE(MID(I1470,IFERROR(FIND("and",I1470)+3,1),20),"second(s)","")),0)</f>
        <v/>
      </c>
      <c r="K1470" s="41">
        <f>J1470/60</f>
        <v/>
      </c>
      <c r="L1470" s="41">
        <f>IFERROR(J1470/H1470,"")</f>
        <v/>
      </c>
      <c r="M1470" s="25" t="inlineStr">
        <is>
          <t>2.5.12</t>
        </is>
      </c>
      <c r="N1470" s="25">
        <f>IF(J1470&gt;300,1,0)</f>
        <v/>
      </c>
      <c r="O1470" s="25">
        <f>IF(J1470&gt;600,1,0)</f>
        <v/>
      </c>
      <c r="P1470" s="25">
        <f>IF(H1470&gt;0,J1470,"")</f>
        <v/>
      </c>
      <c r="Q1470" s="25">
        <f>TEXT(A1470,"YYYY-MM-DD HH")</f>
        <v/>
      </c>
      <c r="R1470" s="25">
        <f>COUNTIF($Q$2:$Q$5295,Q1470)</f>
        <v/>
      </c>
      <c r="S1470" s="25">
        <f>IF(R1470&lt;=2,"1-2",IF(R1470&lt;=5,"3-5",IF(R1470&lt;=10,"6-10","11+")))</f>
        <v/>
      </c>
    </row>
    <row r="1471">
      <c r="A1471" s="39" t="n">
        <v>46168.26517361111</v>
      </c>
      <c r="B1471" s="25">
        <f>TEXT(A1471,"YYYY-MM")</f>
        <v/>
      </c>
      <c r="C1471" s="25">
        <f>TEXT(A1471,"MMM-YYYY")</f>
        <v/>
      </c>
      <c r="D1471" s="40">
        <f>INT(A1471)-WEEKDAY(A1471,2)+1</f>
        <v/>
      </c>
      <c r="E1471" s="25" t="inlineStr">
        <is>
          <t>ssrinivasan</t>
        </is>
      </c>
      <c r="F1471" s="25" t="n">
        <v>5397</v>
      </c>
      <c r="G1471" s="25" t="n">
        <v>1</v>
      </c>
      <c r="H1471" s="25" t="n">
        <v>7</v>
      </c>
      <c r="I1471" s="25" t="inlineStr">
        <is>
          <t>1 minute(s) and 38 second(s)</t>
        </is>
      </c>
      <c r="J1471" s="25">
        <f>IFERROR(VALUE(TRIM(LEFT(I1471,FIND("minute",I1471)-1)))*60,0)+IFERROR(VALUE(SUBSTITUTE(MID(I1471,IFERROR(FIND("and",I1471)+3,1),20),"second(s)","")),0)</f>
        <v/>
      </c>
      <c r="K1471" s="41">
        <f>J1471/60</f>
        <v/>
      </c>
      <c r="L1471" s="41">
        <f>IFERROR(J1471/H1471,"")</f>
        <v/>
      </c>
      <c r="M1471" s="25" t="inlineStr">
        <is>
          <t>2.5.12</t>
        </is>
      </c>
      <c r="N1471" s="25">
        <f>IF(J1471&gt;300,1,0)</f>
        <v/>
      </c>
      <c r="O1471" s="25">
        <f>IF(J1471&gt;600,1,0)</f>
        <v/>
      </c>
      <c r="P1471" s="25">
        <f>IF(H1471&gt;0,J1471,"")</f>
        <v/>
      </c>
      <c r="Q1471" s="25">
        <f>TEXT(A1471,"YYYY-MM-DD HH")</f>
        <v/>
      </c>
      <c r="R1471" s="25">
        <f>COUNTIF($Q$2:$Q$5295,Q1471)</f>
        <v/>
      </c>
      <c r="S1471" s="25">
        <f>IF(R1471&lt;=2,"1-2",IF(R1471&lt;=5,"3-5",IF(R1471&lt;=10,"6-10","11+")))</f>
        <v/>
      </c>
    </row>
    <row r="1472">
      <c r="A1472" s="39" t="n">
        <v>46168.26835648148</v>
      </c>
      <c r="B1472" s="25">
        <f>TEXT(A1472,"YYYY-MM")</f>
        <v/>
      </c>
      <c r="C1472" s="25">
        <f>TEXT(A1472,"MMM-YYYY")</f>
        <v/>
      </c>
      <c r="D1472" s="40">
        <f>INT(A1472)-WEEKDAY(A1472,2)+1</f>
        <v/>
      </c>
      <c r="E1472" s="25" t="inlineStr">
        <is>
          <t>vprasad</t>
        </is>
      </c>
      <c r="F1472" s="25" t="n">
        <v>102876</v>
      </c>
      <c r="G1472" s="25" t="n">
        <v>2</v>
      </c>
      <c r="H1472" s="25" t="n">
        <v>8</v>
      </c>
      <c r="I1472" s="25" t="inlineStr">
        <is>
          <t>1 minute(s) and 48 second(s)</t>
        </is>
      </c>
      <c r="J1472" s="25">
        <f>IFERROR(VALUE(TRIM(LEFT(I1472,FIND("minute",I1472)-1)))*60,0)+IFERROR(VALUE(SUBSTITUTE(MID(I1472,IFERROR(FIND("and",I1472)+3,1),20),"second(s)","")),0)</f>
        <v/>
      </c>
      <c r="K1472" s="41">
        <f>J1472/60</f>
        <v/>
      </c>
      <c r="L1472" s="41">
        <f>IFERROR(J1472/H1472,"")</f>
        <v/>
      </c>
      <c r="M1472" s="25" t="inlineStr">
        <is>
          <t>2.5.12</t>
        </is>
      </c>
      <c r="N1472" s="25">
        <f>IF(J1472&gt;300,1,0)</f>
        <v/>
      </c>
      <c r="O1472" s="25">
        <f>IF(J1472&gt;600,1,0)</f>
        <v/>
      </c>
      <c r="P1472" s="25">
        <f>IF(H1472&gt;0,J1472,"")</f>
        <v/>
      </c>
      <c r="Q1472" s="25">
        <f>TEXT(A1472,"YYYY-MM-DD HH")</f>
        <v/>
      </c>
      <c r="R1472" s="25">
        <f>COUNTIF($Q$2:$Q$5295,Q1472)</f>
        <v/>
      </c>
      <c r="S1472" s="25">
        <f>IF(R1472&lt;=2,"1-2",IF(R1472&lt;=5,"3-5",IF(R1472&lt;=10,"6-10","11+")))</f>
        <v/>
      </c>
    </row>
    <row r="1473">
      <c r="A1473" s="39" t="n">
        <v>46168.27288194445</v>
      </c>
      <c r="B1473" s="25">
        <f>TEXT(A1473,"YYYY-MM")</f>
        <v/>
      </c>
      <c r="C1473" s="25">
        <f>TEXT(A1473,"MMM-YYYY")</f>
        <v/>
      </c>
      <c r="D1473" s="40">
        <f>INT(A1473)-WEEKDAY(A1473,2)+1</f>
        <v/>
      </c>
      <c r="E1473" s="25" t="inlineStr">
        <is>
          <t>sdey</t>
        </is>
      </c>
      <c r="F1473" s="25" t="n">
        <v>5400</v>
      </c>
      <c r="G1473" s="25" t="n">
        <v>1</v>
      </c>
      <c r="H1473" s="25" t="n">
        <v>8</v>
      </c>
      <c r="I1473" s="25" t="inlineStr">
        <is>
          <t>2 minute(s) and 4 second(s)</t>
        </is>
      </c>
      <c r="J1473" s="25">
        <f>IFERROR(VALUE(TRIM(LEFT(I1473,FIND("minute",I1473)-1)))*60,0)+IFERROR(VALUE(SUBSTITUTE(MID(I1473,IFERROR(FIND("and",I1473)+3,1),20),"second(s)","")),0)</f>
        <v/>
      </c>
      <c r="K1473" s="41">
        <f>J1473/60</f>
        <v/>
      </c>
      <c r="L1473" s="41">
        <f>IFERROR(J1473/H1473,"")</f>
        <v/>
      </c>
      <c r="M1473" s="25" t="inlineStr">
        <is>
          <t>2.5.12</t>
        </is>
      </c>
      <c r="N1473" s="25">
        <f>IF(J1473&gt;300,1,0)</f>
        <v/>
      </c>
      <c r="O1473" s="25">
        <f>IF(J1473&gt;600,1,0)</f>
        <v/>
      </c>
      <c r="P1473" s="25">
        <f>IF(H1473&gt;0,J1473,"")</f>
        <v/>
      </c>
      <c r="Q1473" s="25">
        <f>TEXT(A1473,"YYYY-MM-DD HH")</f>
        <v/>
      </c>
      <c r="R1473" s="25">
        <f>COUNTIF($Q$2:$Q$5295,Q1473)</f>
        <v/>
      </c>
      <c r="S1473" s="25">
        <f>IF(R1473&lt;=2,"1-2",IF(R1473&lt;=5,"3-5",IF(R1473&lt;=10,"6-10","11+")))</f>
        <v/>
      </c>
    </row>
    <row r="1474">
      <c r="A1474" s="39" t="n">
        <v>46168.27299768518</v>
      </c>
      <c r="B1474" s="25">
        <f>TEXT(A1474,"YYYY-MM")</f>
        <v/>
      </c>
      <c r="C1474" s="25">
        <f>TEXT(A1474,"MMM-YYYY")</f>
        <v/>
      </c>
      <c r="D1474" s="40">
        <f>INT(A1474)-WEEKDAY(A1474,2)+1</f>
        <v/>
      </c>
      <c r="E1474" s="25" t="inlineStr">
        <is>
          <t>akumari</t>
        </is>
      </c>
      <c r="F1474" s="25" t="n">
        <v>5114</v>
      </c>
      <c r="G1474" s="25" t="n">
        <v>1</v>
      </c>
      <c r="H1474" s="25" t="n">
        <v>7</v>
      </c>
      <c r="I1474" s="25" t="inlineStr">
        <is>
          <t>2 minute(s) and 15 second(s)</t>
        </is>
      </c>
      <c r="J1474" s="25">
        <f>IFERROR(VALUE(TRIM(LEFT(I1474,FIND("minute",I1474)-1)))*60,0)+IFERROR(VALUE(SUBSTITUTE(MID(I1474,IFERROR(FIND("and",I1474)+3,1),20),"second(s)","")),0)</f>
        <v/>
      </c>
      <c r="K1474" s="41">
        <f>J1474/60</f>
        <v/>
      </c>
      <c r="L1474" s="41">
        <f>IFERROR(J1474/H1474,"")</f>
        <v/>
      </c>
      <c r="M1474" s="25" t="inlineStr">
        <is>
          <t>2.5.12</t>
        </is>
      </c>
      <c r="N1474" s="25">
        <f>IF(J1474&gt;300,1,0)</f>
        <v/>
      </c>
      <c r="O1474" s="25">
        <f>IF(J1474&gt;600,1,0)</f>
        <v/>
      </c>
      <c r="P1474" s="25">
        <f>IF(H1474&gt;0,J1474,"")</f>
        <v/>
      </c>
      <c r="Q1474" s="25">
        <f>TEXT(A1474,"YYYY-MM-DD HH")</f>
        <v/>
      </c>
      <c r="R1474" s="25">
        <f>COUNTIF($Q$2:$Q$5295,Q1474)</f>
        <v/>
      </c>
      <c r="S1474" s="25">
        <f>IF(R1474&lt;=2,"1-2",IF(R1474&lt;=5,"3-5",IF(R1474&lt;=10,"6-10","11+")))</f>
        <v/>
      </c>
    </row>
    <row r="1475">
      <c r="A1475" s="39" t="n">
        <v>46168.27512731482</v>
      </c>
      <c r="B1475" s="25">
        <f>TEXT(A1475,"YYYY-MM")</f>
        <v/>
      </c>
      <c r="C1475" s="25">
        <f>TEXT(A1475,"MMM-YYYY")</f>
        <v/>
      </c>
      <c r="D1475" s="40">
        <f>INT(A1475)-WEEKDAY(A1475,2)+1</f>
        <v/>
      </c>
      <c r="E1475" s="25" t="inlineStr">
        <is>
          <t>smukhopadhyay</t>
        </is>
      </c>
      <c r="F1475" s="25" t="n">
        <v>5051</v>
      </c>
      <c r="G1475" s="25" t="n">
        <v>1</v>
      </c>
      <c r="H1475" s="25" t="n">
        <v>7</v>
      </c>
      <c r="I1475" s="25" t="inlineStr">
        <is>
          <t>2 minute(s) and 2 second(s)</t>
        </is>
      </c>
      <c r="J1475" s="25">
        <f>IFERROR(VALUE(TRIM(LEFT(I1475,FIND("minute",I1475)-1)))*60,0)+IFERROR(VALUE(SUBSTITUTE(MID(I1475,IFERROR(FIND("and",I1475)+3,1),20),"second(s)","")),0)</f>
        <v/>
      </c>
      <c r="K1475" s="41">
        <f>J1475/60</f>
        <v/>
      </c>
      <c r="L1475" s="41">
        <f>IFERROR(J1475/H1475,"")</f>
        <v/>
      </c>
      <c r="M1475" s="25" t="inlineStr">
        <is>
          <t>2.5.12</t>
        </is>
      </c>
      <c r="N1475" s="25">
        <f>IF(J1475&gt;300,1,0)</f>
        <v/>
      </c>
      <c r="O1475" s="25">
        <f>IF(J1475&gt;600,1,0)</f>
        <v/>
      </c>
      <c r="P1475" s="25">
        <f>IF(H1475&gt;0,J1475,"")</f>
        <v/>
      </c>
      <c r="Q1475" s="25">
        <f>TEXT(A1475,"YYYY-MM-DD HH")</f>
        <v/>
      </c>
      <c r="R1475" s="25">
        <f>COUNTIF($Q$2:$Q$5295,Q1475)</f>
        <v/>
      </c>
      <c r="S1475" s="25">
        <f>IF(R1475&lt;=2,"1-2",IF(R1475&lt;=5,"3-5",IF(R1475&lt;=10,"6-10","11+")))</f>
        <v/>
      </c>
    </row>
    <row r="1476">
      <c r="A1476" s="39" t="n">
        <v>46168.2769212963</v>
      </c>
      <c r="B1476" s="25">
        <f>TEXT(A1476,"YYYY-MM")</f>
        <v/>
      </c>
      <c r="C1476" s="25">
        <f>TEXT(A1476,"MMM-YYYY")</f>
        <v/>
      </c>
      <c r="D1476" s="40">
        <f>INT(A1476)-WEEKDAY(A1476,2)+1</f>
        <v/>
      </c>
      <c r="E1476" s="25" t="inlineStr">
        <is>
          <t>ssarkar</t>
        </is>
      </c>
      <c r="F1476" s="25" t="n">
        <v>4497</v>
      </c>
      <c r="G1476" s="25" t="n">
        <v>1</v>
      </c>
      <c r="H1476" s="25" t="n">
        <v>5</v>
      </c>
      <c r="I1476" s="25" t="inlineStr">
        <is>
          <t>49 second(s)</t>
        </is>
      </c>
      <c r="J1476" s="25">
        <f>IFERROR(VALUE(TRIM(LEFT(I1476,FIND("minute",I1476)-1)))*60,0)+IFERROR(VALUE(SUBSTITUTE(MID(I1476,IFERROR(FIND("and",I1476)+3,1),20),"second(s)","")),0)</f>
        <v/>
      </c>
      <c r="K1476" s="41">
        <f>J1476/60</f>
        <v/>
      </c>
      <c r="L1476" s="41">
        <f>IFERROR(J1476/H1476,"")</f>
        <v/>
      </c>
      <c r="M1476" s="25" t="inlineStr">
        <is>
          <t>2.5.12</t>
        </is>
      </c>
      <c r="N1476" s="25">
        <f>IF(J1476&gt;300,1,0)</f>
        <v/>
      </c>
      <c r="O1476" s="25">
        <f>IF(J1476&gt;600,1,0)</f>
        <v/>
      </c>
      <c r="P1476" s="25">
        <f>IF(H1476&gt;0,J1476,"")</f>
        <v/>
      </c>
      <c r="Q1476" s="25">
        <f>TEXT(A1476,"YYYY-MM-DD HH")</f>
        <v/>
      </c>
      <c r="R1476" s="25">
        <f>COUNTIF($Q$2:$Q$5295,Q1476)</f>
        <v/>
      </c>
      <c r="S1476" s="25">
        <f>IF(R1476&lt;=2,"1-2",IF(R1476&lt;=5,"3-5",IF(R1476&lt;=10,"6-10","11+")))</f>
        <v/>
      </c>
    </row>
    <row r="1477">
      <c r="A1477" s="39" t="n">
        <v>46168.27967592593</v>
      </c>
      <c r="B1477" s="25">
        <f>TEXT(A1477,"YYYY-MM")</f>
        <v/>
      </c>
      <c r="C1477" s="25">
        <f>TEXT(A1477,"MMM-YYYY")</f>
        <v/>
      </c>
      <c r="D1477" s="40">
        <f>INT(A1477)-WEEKDAY(A1477,2)+1</f>
        <v/>
      </c>
      <c r="E1477" s="25" t="inlineStr">
        <is>
          <t>atiwari</t>
        </is>
      </c>
      <c r="F1477" s="25" t="n">
        <v>5110</v>
      </c>
      <c r="G1477" s="25" t="n">
        <v>1</v>
      </c>
      <c r="H1477" s="25" t="n">
        <v>7</v>
      </c>
      <c r="I1477" s="25" t="inlineStr">
        <is>
          <t>1 minute(s) and 3 second(s)</t>
        </is>
      </c>
      <c r="J1477" s="25">
        <f>IFERROR(VALUE(TRIM(LEFT(I1477,FIND("minute",I1477)-1)))*60,0)+IFERROR(VALUE(SUBSTITUTE(MID(I1477,IFERROR(FIND("and",I1477)+3,1),20),"second(s)","")),0)</f>
        <v/>
      </c>
      <c r="K1477" s="41">
        <f>J1477/60</f>
        <v/>
      </c>
      <c r="L1477" s="41">
        <f>IFERROR(J1477/H1477,"")</f>
        <v/>
      </c>
      <c r="M1477" s="25" t="inlineStr">
        <is>
          <t>2.5.12</t>
        </is>
      </c>
      <c r="N1477" s="25">
        <f>IF(J1477&gt;300,1,0)</f>
        <v/>
      </c>
      <c r="O1477" s="25">
        <f>IF(J1477&gt;600,1,0)</f>
        <v/>
      </c>
      <c r="P1477" s="25">
        <f>IF(H1477&gt;0,J1477,"")</f>
        <v/>
      </c>
      <c r="Q1477" s="25">
        <f>TEXT(A1477,"YYYY-MM-DD HH")</f>
        <v/>
      </c>
      <c r="R1477" s="25">
        <f>COUNTIF($Q$2:$Q$5295,Q1477)</f>
        <v/>
      </c>
      <c r="S1477" s="25">
        <f>IF(R1477&lt;=2,"1-2",IF(R1477&lt;=5,"3-5",IF(R1477&lt;=10,"6-10","11+")))</f>
        <v/>
      </c>
    </row>
    <row r="1478">
      <c r="A1478" s="39" t="n">
        <v>46168.2850462963</v>
      </c>
      <c r="B1478" s="25">
        <f>TEXT(A1478,"YYYY-MM")</f>
        <v/>
      </c>
      <c r="C1478" s="25">
        <f>TEXT(A1478,"MMM-YYYY")</f>
        <v/>
      </c>
      <c r="D1478" s="40">
        <f>INT(A1478)-WEEKDAY(A1478,2)+1</f>
        <v/>
      </c>
      <c r="E1478" s="25" t="inlineStr">
        <is>
          <t>psathwika</t>
        </is>
      </c>
      <c r="F1478" s="25" t="n">
        <v>116635</v>
      </c>
      <c r="G1478" s="25" t="n">
        <v>4</v>
      </c>
      <c r="H1478" s="25" t="n">
        <v>21</v>
      </c>
      <c r="I1478" s="25" t="inlineStr">
        <is>
          <t>8 minute(s) and 52 second(s)</t>
        </is>
      </c>
      <c r="J1478" s="25">
        <f>IFERROR(VALUE(TRIM(LEFT(I1478,FIND("minute",I1478)-1)))*60,0)+IFERROR(VALUE(SUBSTITUTE(MID(I1478,IFERROR(FIND("and",I1478)+3,1),20),"second(s)","")),0)</f>
        <v/>
      </c>
      <c r="K1478" s="41">
        <f>J1478/60</f>
        <v/>
      </c>
      <c r="L1478" s="41">
        <f>IFERROR(J1478/H1478,"")</f>
        <v/>
      </c>
      <c r="M1478" s="25" t="inlineStr">
        <is>
          <t>2.5.12</t>
        </is>
      </c>
      <c r="N1478" s="25">
        <f>IF(J1478&gt;300,1,0)</f>
        <v/>
      </c>
      <c r="O1478" s="25">
        <f>IF(J1478&gt;600,1,0)</f>
        <v/>
      </c>
      <c r="P1478" s="25">
        <f>IF(H1478&gt;0,J1478,"")</f>
        <v/>
      </c>
      <c r="Q1478" s="25">
        <f>TEXT(A1478,"YYYY-MM-DD HH")</f>
        <v/>
      </c>
      <c r="R1478" s="25">
        <f>COUNTIF($Q$2:$Q$5295,Q1478)</f>
        <v/>
      </c>
      <c r="S1478" s="25">
        <f>IF(R1478&lt;=2,"1-2",IF(R1478&lt;=5,"3-5",IF(R1478&lt;=10,"6-10","11+")))</f>
        <v/>
      </c>
    </row>
    <row r="1479">
      <c r="A1479" s="39" t="n">
        <v>46168.29295138889</v>
      </c>
      <c r="B1479" s="25">
        <f>TEXT(A1479,"YYYY-MM")</f>
        <v/>
      </c>
      <c r="C1479" s="25">
        <f>TEXT(A1479,"MMM-YYYY")</f>
        <v/>
      </c>
      <c r="D1479" s="40">
        <f>INT(A1479)-WEEKDAY(A1479,2)+1</f>
        <v/>
      </c>
      <c r="E1479" s="25" t="inlineStr">
        <is>
          <t>ssrinivasan</t>
        </is>
      </c>
      <c r="F1479" s="25" t="n">
        <v>5395</v>
      </c>
      <c r="G1479" s="25" t="n">
        <v>1</v>
      </c>
      <c r="H1479" s="25" t="n">
        <v>7</v>
      </c>
      <c r="I1479" s="25" t="inlineStr">
        <is>
          <t>2 minute(s) and 56 second(s)</t>
        </is>
      </c>
      <c r="J1479" s="25">
        <f>IFERROR(VALUE(TRIM(LEFT(I1479,FIND("minute",I1479)-1)))*60,0)+IFERROR(VALUE(SUBSTITUTE(MID(I1479,IFERROR(FIND("and",I1479)+3,1),20),"second(s)","")),0)</f>
        <v/>
      </c>
      <c r="K1479" s="41">
        <f>J1479/60</f>
        <v/>
      </c>
      <c r="L1479" s="41">
        <f>IFERROR(J1479/H1479,"")</f>
        <v/>
      </c>
      <c r="M1479" s="25" t="inlineStr">
        <is>
          <t>2.5.12</t>
        </is>
      </c>
      <c r="N1479" s="25">
        <f>IF(J1479&gt;300,1,0)</f>
        <v/>
      </c>
      <c r="O1479" s="25">
        <f>IF(J1479&gt;600,1,0)</f>
        <v/>
      </c>
      <c r="P1479" s="25">
        <f>IF(H1479&gt;0,J1479,"")</f>
        <v/>
      </c>
      <c r="Q1479" s="25">
        <f>TEXT(A1479,"YYYY-MM-DD HH")</f>
        <v/>
      </c>
      <c r="R1479" s="25">
        <f>COUNTIF($Q$2:$Q$5295,Q1479)</f>
        <v/>
      </c>
      <c r="S1479" s="25">
        <f>IF(R1479&lt;=2,"1-2",IF(R1479&lt;=5,"3-5",IF(R1479&lt;=10,"6-10","11+")))</f>
        <v/>
      </c>
    </row>
    <row r="1480">
      <c r="A1480" s="39" t="n">
        <v>46168.29466435185</v>
      </c>
      <c r="B1480" s="25">
        <f>TEXT(A1480,"YYYY-MM")</f>
        <v/>
      </c>
      <c r="C1480" s="25">
        <f>TEXT(A1480,"MMM-YYYY")</f>
        <v/>
      </c>
      <c r="D1480" s="40">
        <f>INT(A1480)-WEEKDAY(A1480,2)+1</f>
        <v/>
      </c>
      <c r="E1480" s="25" t="inlineStr">
        <is>
          <t>emishra</t>
        </is>
      </c>
      <c r="F1480" s="25" t="n">
        <v>3587</v>
      </c>
      <c r="G1480" s="25" t="n">
        <v>1</v>
      </c>
      <c r="H1480" s="25" t="n">
        <v>7</v>
      </c>
      <c r="I1480" s="25" t="inlineStr">
        <is>
          <t>2 minute(s) and 20 second(s)</t>
        </is>
      </c>
      <c r="J1480" s="25">
        <f>IFERROR(VALUE(TRIM(LEFT(I1480,FIND("minute",I1480)-1)))*60,0)+IFERROR(VALUE(SUBSTITUTE(MID(I1480,IFERROR(FIND("and",I1480)+3,1),20),"second(s)","")),0)</f>
        <v/>
      </c>
      <c r="K1480" s="41">
        <f>J1480/60</f>
        <v/>
      </c>
      <c r="L1480" s="41">
        <f>IFERROR(J1480/H1480,"")</f>
        <v/>
      </c>
      <c r="M1480" s="25" t="inlineStr">
        <is>
          <t>2.5.12</t>
        </is>
      </c>
      <c r="N1480" s="25">
        <f>IF(J1480&gt;300,1,0)</f>
        <v/>
      </c>
      <c r="O1480" s="25">
        <f>IF(J1480&gt;600,1,0)</f>
        <v/>
      </c>
      <c r="P1480" s="25">
        <f>IF(H1480&gt;0,J1480,"")</f>
        <v/>
      </c>
      <c r="Q1480" s="25">
        <f>TEXT(A1480,"YYYY-MM-DD HH")</f>
        <v/>
      </c>
      <c r="R1480" s="25">
        <f>COUNTIF($Q$2:$Q$5295,Q1480)</f>
        <v/>
      </c>
      <c r="S1480" s="25">
        <f>IF(R1480&lt;=2,"1-2",IF(R1480&lt;=5,"3-5",IF(R1480&lt;=10,"6-10","11+")))</f>
        <v/>
      </c>
    </row>
    <row r="1481">
      <c r="A1481" s="39" t="n">
        <v>46168.29758101852</v>
      </c>
      <c r="B1481" s="25">
        <f>TEXT(A1481,"YYYY-MM")</f>
        <v/>
      </c>
      <c r="C1481" s="25">
        <f>TEXT(A1481,"MMM-YYYY")</f>
        <v/>
      </c>
      <c r="D1481" s="40">
        <f>INT(A1481)-WEEKDAY(A1481,2)+1</f>
        <v/>
      </c>
      <c r="E1481" s="25" t="inlineStr">
        <is>
          <t>hsindwani</t>
        </is>
      </c>
      <c r="F1481" s="25" t="n">
        <v>4289</v>
      </c>
      <c r="G1481" s="25" t="n">
        <v>1</v>
      </c>
      <c r="H1481" s="25" t="n">
        <v>7</v>
      </c>
      <c r="I1481" s="25" t="inlineStr">
        <is>
          <t>4 minute(s) and 0 second(s)</t>
        </is>
      </c>
      <c r="J1481" s="25">
        <f>IFERROR(VALUE(TRIM(LEFT(I1481,FIND("minute",I1481)-1)))*60,0)+IFERROR(VALUE(SUBSTITUTE(MID(I1481,IFERROR(FIND("and",I1481)+3,1),20),"second(s)","")),0)</f>
        <v/>
      </c>
      <c r="K1481" s="41">
        <f>J1481/60</f>
        <v/>
      </c>
      <c r="L1481" s="41">
        <f>IFERROR(J1481/H1481,"")</f>
        <v/>
      </c>
      <c r="M1481" s="25" t="inlineStr">
        <is>
          <t>2.5.12</t>
        </is>
      </c>
      <c r="N1481" s="25">
        <f>IF(J1481&gt;300,1,0)</f>
        <v/>
      </c>
      <c r="O1481" s="25">
        <f>IF(J1481&gt;600,1,0)</f>
        <v/>
      </c>
      <c r="P1481" s="25">
        <f>IF(H1481&gt;0,J1481,"")</f>
        <v/>
      </c>
      <c r="Q1481" s="25">
        <f>TEXT(A1481,"YYYY-MM-DD HH")</f>
        <v/>
      </c>
      <c r="R1481" s="25">
        <f>COUNTIF($Q$2:$Q$5295,Q1481)</f>
        <v/>
      </c>
      <c r="S1481" s="25">
        <f>IF(R1481&lt;=2,"1-2",IF(R1481&lt;=5,"3-5",IF(R1481&lt;=10,"6-10","11+")))</f>
        <v/>
      </c>
    </row>
    <row r="1482">
      <c r="A1482" s="39" t="n">
        <v>46168.3018287037</v>
      </c>
      <c r="B1482" s="25">
        <f>TEXT(A1482,"YYYY-MM")</f>
        <v/>
      </c>
      <c r="C1482" s="25">
        <f>TEXT(A1482,"MMM-YYYY")</f>
        <v/>
      </c>
      <c r="D1482" s="40">
        <f>INT(A1482)-WEEKDAY(A1482,2)+1</f>
        <v/>
      </c>
      <c r="E1482" s="25" t="inlineStr">
        <is>
          <t>sdey</t>
        </is>
      </c>
      <c r="F1482" s="25" t="n">
        <v>5402</v>
      </c>
      <c r="G1482" s="25" t="n">
        <v>1</v>
      </c>
      <c r="H1482" s="25" t="n">
        <v>7</v>
      </c>
      <c r="I1482" s="25" t="inlineStr">
        <is>
          <t>1 minute(s) and 42 second(s)</t>
        </is>
      </c>
      <c r="J1482" s="25">
        <f>IFERROR(VALUE(TRIM(LEFT(I1482,FIND("minute",I1482)-1)))*60,0)+IFERROR(VALUE(SUBSTITUTE(MID(I1482,IFERROR(FIND("and",I1482)+3,1),20),"second(s)","")),0)</f>
        <v/>
      </c>
      <c r="K1482" s="41">
        <f>J1482/60</f>
        <v/>
      </c>
      <c r="L1482" s="41">
        <f>IFERROR(J1482/H1482,"")</f>
        <v/>
      </c>
      <c r="M1482" s="25" t="inlineStr">
        <is>
          <t>2.5.12</t>
        </is>
      </c>
      <c r="N1482" s="25">
        <f>IF(J1482&gt;300,1,0)</f>
        <v/>
      </c>
      <c r="O1482" s="25">
        <f>IF(J1482&gt;600,1,0)</f>
        <v/>
      </c>
      <c r="P1482" s="25">
        <f>IF(H1482&gt;0,J1482,"")</f>
        <v/>
      </c>
      <c r="Q1482" s="25">
        <f>TEXT(A1482,"YYYY-MM-DD HH")</f>
        <v/>
      </c>
      <c r="R1482" s="25">
        <f>COUNTIF($Q$2:$Q$5295,Q1482)</f>
        <v/>
      </c>
      <c r="S1482" s="25">
        <f>IF(R1482&lt;=2,"1-2",IF(R1482&lt;=5,"3-5",IF(R1482&lt;=10,"6-10","11+")))</f>
        <v/>
      </c>
    </row>
    <row r="1483">
      <c r="A1483" s="39" t="n">
        <v>46168.30210648148</v>
      </c>
      <c r="B1483" s="25">
        <f>TEXT(A1483,"YYYY-MM")</f>
        <v/>
      </c>
      <c r="C1483" s="25">
        <f>TEXT(A1483,"MMM-YYYY")</f>
        <v/>
      </c>
      <c r="D1483" s="40">
        <f>INT(A1483)-WEEKDAY(A1483,2)+1</f>
        <v/>
      </c>
      <c r="E1483" s="25" t="inlineStr">
        <is>
          <t>mbohra</t>
        </is>
      </c>
      <c r="F1483" s="25" t="n">
        <v>89847</v>
      </c>
      <c r="G1483" s="25" t="n">
        <v>4</v>
      </c>
      <c r="H1483" s="25" t="n">
        <v>20</v>
      </c>
      <c r="I1483" s="25" t="inlineStr">
        <is>
          <t>6 minute(s) and 9 second(s)</t>
        </is>
      </c>
      <c r="J1483" s="25">
        <f>IFERROR(VALUE(TRIM(LEFT(I1483,FIND("minute",I1483)-1)))*60,0)+IFERROR(VALUE(SUBSTITUTE(MID(I1483,IFERROR(FIND("and",I1483)+3,1),20),"second(s)","")),0)</f>
        <v/>
      </c>
      <c r="K1483" s="41">
        <f>J1483/60</f>
        <v/>
      </c>
      <c r="L1483" s="41">
        <f>IFERROR(J1483/H1483,"")</f>
        <v/>
      </c>
      <c r="M1483" s="25" t="inlineStr">
        <is>
          <t>2.5.12</t>
        </is>
      </c>
      <c r="N1483" s="25">
        <f>IF(J1483&gt;300,1,0)</f>
        <v/>
      </c>
      <c r="O1483" s="25">
        <f>IF(J1483&gt;600,1,0)</f>
        <v/>
      </c>
      <c r="P1483" s="25">
        <f>IF(H1483&gt;0,J1483,"")</f>
        <v/>
      </c>
      <c r="Q1483" s="25">
        <f>TEXT(A1483,"YYYY-MM-DD HH")</f>
        <v/>
      </c>
      <c r="R1483" s="25">
        <f>COUNTIF($Q$2:$Q$5295,Q1483)</f>
        <v/>
      </c>
      <c r="S1483" s="25">
        <f>IF(R1483&lt;=2,"1-2",IF(R1483&lt;=5,"3-5",IF(R1483&lt;=10,"6-10","11+")))</f>
        <v/>
      </c>
    </row>
    <row r="1484">
      <c r="A1484" s="39" t="n">
        <v>46168.30229166667</v>
      </c>
      <c r="B1484" s="25">
        <f>TEXT(A1484,"YYYY-MM")</f>
        <v/>
      </c>
      <c r="C1484" s="25">
        <f>TEXT(A1484,"MMM-YYYY")</f>
        <v/>
      </c>
      <c r="D1484" s="40">
        <f>INT(A1484)-WEEKDAY(A1484,2)+1</f>
        <v/>
      </c>
      <c r="E1484" s="25" t="inlineStr">
        <is>
          <t>stiwari</t>
        </is>
      </c>
      <c r="F1484" s="25" t="n">
        <v>5073</v>
      </c>
      <c r="G1484" s="25" t="n">
        <v>1</v>
      </c>
      <c r="H1484" s="25" t="n">
        <v>7</v>
      </c>
      <c r="I1484" s="25" t="inlineStr">
        <is>
          <t>2 minute(s) and 22 second(s)</t>
        </is>
      </c>
      <c r="J1484" s="25">
        <f>IFERROR(VALUE(TRIM(LEFT(I1484,FIND("minute",I1484)-1)))*60,0)+IFERROR(VALUE(SUBSTITUTE(MID(I1484,IFERROR(FIND("and",I1484)+3,1),20),"second(s)","")),0)</f>
        <v/>
      </c>
      <c r="K1484" s="41">
        <f>J1484/60</f>
        <v/>
      </c>
      <c r="L1484" s="41">
        <f>IFERROR(J1484/H1484,"")</f>
        <v/>
      </c>
      <c r="M1484" s="25" t="inlineStr">
        <is>
          <t>2.5.12</t>
        </is>
      </c>
      <c r="N1484" s="25">
        <f>IF(J1484&gt;300,1,0)</f>
        <v/>
      </c>
      <c r="O1484" s="25">
        <f>IF(J1484&gt;600,1,0)</f>
        <v/>
      </c>
      <c r="P1484" s="25">
        <f>IF(H1484&gt;0,J1484,"")</f>
        <v/>
      </c>
      <c r="Q1484" s="25">
        <f>TEXT(A1484,"YYYY-MM-DD HH")</f>
        <v/>
      </c>
      <c r="R1484" s="25">
        <f>COUNTIF($Q$2:$Q$5295,Q1484)</f>
        <v/>
      </c>
      <c r="S1484" s="25">
        <f>IF(R1484&lt;=2,"1-2",IF(R1484&lt;=5,"3-5",IF(R1484&lt;=10,"6-10","11+")))</f>
        <v/>
      </c>
    </row>
    <row r="1485">
      <c r="A1485" s="39" t="n">
        <v>46168.30365740741</v>
      </c>
      <c r="B1485" s="25">
        <f>TEXT(A1485,"YYYY-MM")</f>
        <v/>
      </c>
      <c r="C1485" s="25">
        <f>TEXT(A1485,"MMM-YYYY")</f>
        <v/>
      </c>
      <c r="D1485" s="40">
        <f>INT(A1485)-WEEKDAY(A1485,2)+1</f>
        <v/>
      </c>
      <c r="E1485" s="25" t="inlineStr">
        <is>
          <t>mgupta</t>
        </is>
      </c>
      <c r="F1485" s="25" t="n">
        <v>89590</v>
      </c>
      <c r="G1485" s="25" t="n">
        <v>2</v>
      </c>
      <c r="H1485" s="25" t="n">
        <v>13</v>
      </c>
      <c r="I1485" s="25" t="inlineStr">
        <is>
          <t>2 minute(s) and 35 second(s)</t>
        </is>
      </c>
      <c r="J1485" s="25">
        <f>IFERROR(VALUE(TRIM(LEFT(I1485,FIND("minute",I1485)-1)))*60,0)+IFERROR(VALUE(SUBSTITUTE(MID(I1485,IFERROR(FIND("and",I1485)+3,1),20),"second(s)","")),0)</f>
        <v/>
      </c>
      <c r="K1485" s="41">
        <f>J1485/60</f>
        <v/>
      </c>
      <c r="L1485" s="41">
        <f>IFERROR(J1485/H1485,"")</f>
        <v/>
      </c>
      <c r="M1485" s="25" t="inlineStr">
        <is>
          <t>2.5.12</t>
        </is>
      </c>
      <c r="N1485" s="25">
        <f>IF(J1485&gt;300,1,0)</f>
        <v/>
      </c>
      <c r="O1485" s="25">
        <f>IF(J1485&gt;600,1,0)</f>
        <v/>
      </c>
      <c r="P1485" s="25">
        <f>IF(H1485&gt;0,J1485,"")</f>
        <v/>
      </c>
      <c r="Q1485" s="25">
        <f>TEXT(A1485,"YYYY-MM-DD HH")</f>
        <v/>
      </c>
      <c r="R1485" s="25">
        <f>COUNTIF($Q$2:$Q$5295,Q1485)</f>
        <v/>
      </c>
      <c r="S1485" s="25">
        <f>IF(R1485&lt;=2,"1-2",IF(R1485&lt;=5,"3-5",IF(R1485&lt;=10,"6-10","11+")))</f>
        <v/>
      </c>
    </row>
    <row r="1486">
      <c r="A1486" s="39" t="n">
        <v>46168.30673611111</v>
      </c>
      <c r="B1486" s="25">
        <f>TEXT(A1486,"YYYY-MM")</f>
        <v/>
      </c>
      <c r="C1486" s="25">
        <f>TEXT(A1486,"MMM-YYYY")</f>
        <v/>
      </c>
      <c r="D1486" s="40">
        <f>INT(A1486)-WEEKDAY(A1486,2)+1</f>
        <v/>
      </c>
      <c r="E1486" s="25" t="inlineStr">
        <is>
          <t>atiwari</t>
        </is>
      </c>
      <c r="F1486" s="25" t="n">
        <v>69607</v>
      </c>
      <c r="G1486" s="25" t="n">
        <v>5</v>
      </c>
      <c r="H1486" s="25" t="n">
        <v>34</v>
      </c>
      <c r="I1486" s="25" t="inlineStr">
        <is>
          <t>6 minute(s) and 42 second(s)</t>
        </is>
      </c>
      <c r="J1486" s="25">
        <f>IFERROR(VALUE(TRIM(LEFT(I1486,FIND("minute",I1486)-1)))*60,0)+IFERROR(VALUE(SUBSTITUTE(MID(I1486,IFERROR(FIND("and",I1486)+3,1),20),"second(s)","")),0)</f>
        <v/>
      </c>
      <c r="K1486" s="41">
        <f>J1486/60</f>
        <v/>
      </c>
      <c r="L1486" s="41">
        <f>IFERROR(J1486/H1486,"")</f>
        <v/>
      </c>
      <c r="M1486" s="25" t="inlineStr">
        <is>
          <t>2.5.12</t>
        </is>
      </c>
      <c r="N1486" s="25">
        <f>IF(J1486&gt;300,1,0)</f>
        <v/>
      </c>
      <c r="O1486" s="25">
        <f>IF(J1486&gt;600,1,0)</f>
        <v/>
      </c>
      <c r="P1486" s="25">
        <f>IF(H1486&gt;0,J1486,"")</f>
        <v/>
      </c>
      <c r="Q1486" s="25">
        <f>TEXT(A1486,"YYYY-MM-DD HH")</f>
        <v/>
      </c>
      <c r="R1486" s="25">
        <f>COUNTIF($Q$2:$Q$5295,Q1486)</f>
        <v/>
      </c>
      <c r="S1486" s="25">
        <f>IF(R1486&lt;=2,"1-2",IF(R1486&lt;=5,"3-5",IF(R1486&lt;=10,"6-10","11+")))</f>
        <v/>
      </c>
    </row>
    <row r="1487">
      <c r="A1487" s="39" t="n">
        <v>46168.30976851852</v>
      </c>
      <c r="B1487" s="25">
        <f>TEXT(A1487,"YYYY-MM")</f>
        <v/>
      </c>
      <c r="C1487" s="25">
        <f>TEXT(A1487,"MMM-YYYY")</f>
        <v/>
      </c>
      <c r="D1487" s="40">
        <f>INT(A1487)-WEEKDAY(A1487,2)+1</f>
        <v/>
      </c>
      <c r="E1487" s="25" t="inlineStr">
        <is>
          <t>akumari</t>
        </is>
      </c>
      <c r="F1487" s="25" t="n">
        <v>5116</v>
      </c>
      <c r="G1487" s="25" t="n">
        <v>1</v>
      </c>
      <c r="H1487" s="25" t="n">
        <v>5</v>
      </c>
      <c r="I1487" s="25" t="inlineStr">
        <is>
          <t>50 second(s)</t>
        </is>
      </c>
      <c r="J1487" s="25">
        <f>IFERROR(VALUE(TRIM(LEFT(I1487,FIND("minute",I1487)-1)))*60,0)+IFERROR(VALUE(SUBSTITUTE(MID(I1487,IFERROR(FIND("and",I1487)+3,1),20),"second(s)","")),0)</f>
        <v/>
      </c>
      <c r="K1487" s="41">
        <f>J1487/60</f>
        <v/>
      </c>
      <c r="L1487" s="41">
        <f>IFERROR(J1487/H1487,"")</f>
        <v/>
      </c>
      <c r="M1487" s="25" t="inlineStr">
        <is>
          <t>2.5.12</t>
        </is>
      </c>
      <c r="N1487" s="25">
        <f>IF(J1487&gt;300,1,0)</f>
        <v/>
      </c>
      <c r="O1487" s="25">
        <f>IF(J1487&gt;600,1,0)</f>
        <v/>
      </c>
      <c r="P1487" s="25">
        <f>IF(H1487&gt;0,J1487,"")</f>
        <v/>
      </c>
      <c r="Q1487" s="25">
        <f>TEXT(A1487,"YYYY-MM-DD HH")</f>
        <v/>
      </c>
      <c r="R1487" s="25">
        <f>COUNTIF($Q$2:$Q$5295,Q1487)</f>
        <v/>
      </c>
      <c r="S1487" s="25">
        <f>IF(R1487&lt;=2,"1-2",IF(R1487&lt;=5,"3-5",IF(R1487&lt;=10,"6-10","11+")))</f>
        <v/>
      </c>
    </row>
    <row r="1488">
      <c r="A1488" s="39" t="n">
        <v>46168.31922453704</v>
      </c>
      <c r="B1488" s="25">
        <f>TEXT(A1488,"YYYY-MM")</f>
        <v/>
      </c>
      <c r="C1488" s="25">
        <f>TEXT(A1488,"MMM-YYYY")</f>
        <v/>
      </c>
      <c r="D1488" s="40">
        <f>INT(A1488)-WEEKDAY(A1488,2)+1</f>
        <v/>
      </c>
      <c r="E1488" s="25" t="inlineStr">
        <is>
          <t>anusharma</t>
        </is>
      </c>
      <c r="F1488" s="25" t="n">
        <v>5306</v>
      </c>
      <c r="G1488" s="25" t="n">
        <v>1</v>
      </c>
      <c r="H1488" s="25" t="n">
        <v>5</v>
      </c>
      <c r="I1488" s="25" t="inlineStr">
        <is>
          <t>1 minute(s) and 9 second(s)</t>
        </is>
      </c>
      <c r="J1488" s="25">
        <f>IFERROR(VALUE(TRIM(LEFT(I1488,FIND("minute",I1488)-1)))*60,0)+IFERROR(VALUE(SUBSTITUTE(MID(I1488,IFERROR(FIND("and",I1488)+3,1),20),"second(s)","")),0)</f>
        <v/>
      </c>
      <c r="K1488" s="41">
        <f>J1488/60</f>
        <v/>
      </c>
      <c r="L1488" s="41">
        <f>IFERROR(J1488/H1488,"")</f>
        <v/>
      </c>
      <c r="M1488" s="25" t="inlineStr">
        <is>
          <t>2.5.12</t>
        </is>
      </c>
      <c r="N1488" s="25">
        <f>IF(J1488&gt;300,1,0)</f>
        <v/>
      </c>
      <c r="O1488" s="25">
        <f>IF(J1488&gt;600,1,0)</f>
        <v/>
      </c>
      <c r="P1488" s="25">
        <f>IF(H1488&gt;0,J1488,"")</f>
        <v/>
      </c>
      <c r="Q1488" s="25">
        <f>TEXT(A1488,"YYYY-MM-DD HH")</f>
        <v/>
      </c>
      <c r="R1488" s="25">
        <f>COUNTIF($Q$2:$Q$5295,Q1488)</f>
        <v/>
      </c>
      <c r="S1488" s="25">
        <f>IF(R1488&lt;=2,"1-2",IF(R1488&lt;=5,"3-5",IF(R1488&lt;=10,"6-10","11+")))</f>
        <v/>
      </c>
    </row>
    <row r="1489">
      <c r="A1489" s="39" t="n">
        <v>46168.321875</v>
      </c>
      <c r="B1489" s="25">
        <f>TEXT(A1489,"YYYY-MM")</f>
        <v/>
      </c>
      <c r="C1489" s="25">
        <f>TEXT(A1489,"MMM-YYYY")</f>
        <v/>
      </c>
      <c r="D1489" s="40">
        <f>INT(A1489)-WEEKDAY(A1489,2)+1</f>
        <v/>
      </c>
      <c r="E1489" s="25" t="inlineStr">
        <is>
          <t>sswati</t>
        </is>
      </c>
      <c r="F1489" s="25" t="n">
        <v>5997</v>
      </c>
      <c r="G1489" s="25" t="n">
        <v>1</v>
      </c>
      <c r="H1489" s="25" t="n">
        <v>7</v>
      </c>
      <c r="I1489" s="25" t="inlineStr">
        <is>
          <t>2 minute(s) and 0 second(s)</t>
        </is>
      </c>
      <c r="J1489" s="25">
        <f>IFERROR(VALUE(TRIM(LEFT(I1489,FIND("minute",I1489)-1)))*60,0)+IFERROR(VALUE(SUBSTITUTE(MID(I1489,IFERROR(FIND("and",I1489)+3,1),20),"second(s)","")),0)</f>
        <v/>
      </c>
      <c r="K1489" s="41">
        <f>J1489/60</f>
        <v/>
      </c>
      <c r="L1489" s="41">
        <f>IFERROR(J1489/H1489,"")</f>
        <v/>
      </c>
      <c r="M1489" s="25" t="inlineStr">
        <is>
          <t>2.5.12</t>
        </is>
      </c>
      <c r="N1489" s="25">
        <f>IF(J1489&gt;300,1,0)</f>
        <v/>
      </c>
      <c r="O1489" s="25">
        <f>IF(J1489&gt;600,1,0)</f>
        <v/>
      </c>
      <c r="P1489" s="25">
        <f>IF(H1489&gt;0,J1489,"")</f>
        <v/>
      </c>
      <c r="Q1489" s="25">
        <f>TEXT(A1489,"YYYY-MM-DD HH")</f>
        <v/>
      </c>
      <c r="R1489" s="25">
        <f>COUNTIF($Q$2:$Q$5295,Q1489)</f>
        <v/>
      </c>
      <c r="S1489" s="25">
        <f>IF(R1489&lt;=2,"1-2",IF(R1489&lt;=5,"3-5",IF(R1489&lt;=10,"6-10","11+")))</f>
        <v/>
      </c>
    </row>
    <row r="1490">
      <c r="A1490" s="39" t="n">
        <v>46168.3221412037</v>
      </c>
      <c r="B1490" s="25">
        <f>TEXT(A1490,"YYYY-MM")</f>
        <v/>
      </c>
      <c r="C1490" s="25">
        <f>TEXT(A1490,"MMM-YYYY")</f>
        <v/>
      </c>
      <c r="D1490" s="40">
        <f>INT(A1490)-WEEKDAY(A1490,2)+1</f>
        <v/>
      </c>
      <c r="E1490" s="25" t="inlineStr">
        <is>
          <t>aupadhayay</t>
        </is>
      </c>
      <c r="F1490" s="25" t="n">
        <v>486</v>
      </c>
      <c r="G1490" s="25" t="n">
        <v>1</v>
      </c>
      <c r="H1490" s="25" t="n">
        <v>7</v>
      </c>
      <c r="I1490" s="25" t="inlineStr">
        <is>
          <t>3 minute(s) and 7 second(s)</t>
        </is>
      </c>
      <c r="J1490" s="25">
        <f>IFERROR(VALUE(TRIM(LEFT(I1490,FIND("minute",I1490)-1)))*60,0)+IFERROR(VALUE(SUBSTITUTE(MID(I1490,IFERROR(FIND("and",I1490)+3,1),20),"second(s)","")),0)</f>
        <v/>
      </c>
      <c r="K1490" s="41">
        <f>J1490/60</f>
        <v/>
      </c>
      <c r="L1490" s="41">
        <f>IFERROR(J1490/H1490,"")</f>
        <v/>
      </c>
      <c r="M1490" s="25" t="inlineStr">
        <is>
          <t>2.5.12</t>
        </is>
      </c>
      <c r="N1490" s="25">
        <f>IF(J1490&gt;300,1,0)</f>
        <v/>
      </c>
      <c r="O1490" s="25">
        <f>IF(J1490&gt;600,1,0)</f>
        <v/>
      </c>
      <c r="P1490" s="25">
        <f>IF(H1490&gt;0,J1490,"")</f>
        <v/>
      </c>
      <c r="Q1490" s="25">
        <f>TEXT(A1490,"YYYY-MM-DD HH")</f>
        <v/>
      </c>
      <c r="R1490" s="25">
        <f>COUNTIF($Q$2:$Q$5295,Q1490)</f>
        <v/>
      </c>
      <c r="S1490" s="25">
        <f>IF(R1490&lt;=2,"1-2",IF(R1490&lt;=5,"3-5",IF(R1490&lt;=10,"6-10","11+")))</f>
        <v/>
      </c>
    </row>
    <row r="1491">
      <c r="A1491" s="39" t="n">
        <v>46168.3262962963</v>
      </c>
      <c r="B1491" s="25">
        <f>TEXT(A1491,"YYYY-MM")</f>
        <v/>
      </c>
      <c r="C1491" s="25">
        <f>TEXT(A1491,"MMM-YYYY")</f>
        <v/>
      </c>
      <c r="D1491" s="40">
        <f>INT(A1491)-WEEKDAY(A1491,2)+1</f>
        <v/>
      </c>
      <c r="E1491" s="25" t="inlineStr">
        <is>
          <t>ssrinivasan</t>
        </is>
      </c>
      <c r="F1491" s="25" t="n">
        <v>5381</v>
      </c>
      <c r="G1491" s="25" t="n">
        <v>1</v>
      </c>
      <c r="H1491" s="25" t="n">
        <v>5</v>
      </c>
      <c r="I1491" s="25" t="inlineStr">
        <is>
          <t>1 minute(s) and 21 second(s)</t>
        </is>
      </c>
      <c r="J1491" s="25">
        <f>IFERROR(VALUE(TRIM(LEFT(I1491,FIND("minute",I1491)-1)))*60,0)+IFERROR(VALUE(SUBSTITUTE(MID(I1491,IFERROR(FIND("and",I1491)+3,1),20),"second(s)","")),0)</f>
        <v/>
      </c>
      <c r="K1491" s="41">
        <f>J1491/60</f>
        <v/>
      </c>
      <c r="L1491" s="41">
        <f>IFERROR(J1491/H1491,"")</f>
        <v/>
      </c>
      <c r="M1491" s="25" t="inlineStr">
        <is>
          <t>2.5.12</t>
        </is>
      </c>
      <c r="N1491" s="25">
        <f>IF(J1491&gt;300,1,0)</f>
        <v/>
      </c>
      <c r="O1491" s="25">
        <f>IF(J1491&gt;600,1,0)</f>
        <v/>
      </c>
      <c r="P1491" s="25">
        <f>IF(H1491&gt;0,J1491,"")</f>
        <v/>
      </c>
      <c r="Q1491" s="25">
        <f>TEXT(A1491,"YYYY-MM-DD HH")</f>
        <v/>
      </c>
      <c r="R1491" s="25">
        <f>COUNTIF($Q$2:$Q$5295,Q1491)</f>
        <v/>
      </c>
      <c r="S1491" s="25">
        <f>IF(R1491&lt;=2,"1-2",IF(R1491&lt;=5,"3-5",IF(R1491&lt;=10,"6-10","11+")))</f>
        <v/>
      </c>
    </row>
    <row r="1492">
      <c r="A1492" s="39" t="n">
        <v>46168.32644675926</v>
      </c>
      <c r="B1492" s="25">
        <f>TEXT(A1492,"YYYY-MM")</f>
        <v/>
      </c>
      <c r="C1492" s="25">
        <f>TEXT(A1492,"MMM-YYYY")</f>
        <v/>
      </c>
      <c r="D1492" s="40">
        <f>INT(A1492)-WEEKDAY(A1492,2)+1</f>
        <v/>
      </c>
      <c r="E1492" s="25" t="inlineStr">
        <is>
          <t>csaha</t>
        </is>
      </c>
      <c r="F1492" s="25" t="n">
        <v>4863</v>
      </c>
      <c r="G1492" s="25" t="n">
        <v>1</v>
      </c>
      <c r="H1492" s="25" t="n">
        <v>7</v>
      </c>
      <c r="I1492" s="25" t="inlineStr">
        <is>
          <t>1 minute(s) and 46 second(s)</t>
        </is>
      </c>
      <c r="J1492" s="25">
        <f>IFERROR(VALUE(TRIM(LEFT(I1492,FIND("minute",I1492)-1)))*60,0)+IFERROR(VALUE(SUBSTITUTE(MID(I1492,IFERROR(FIND("and",I1492)+3,1),20),"second(s)","")),0)</f>
        <v/>
      </c>
      <c r="K1492" s="41">
        <f>J1492/60</f>
        <v/>
      </c>
      <c r="L1492" s="41">
        <f>IFERROR(J1492/H1492,"")</f>
        <v/>
      </c>
      <c r="M1492" s="25" t="inlineStr">
        <is>
          <t>2.5.12</t>
        </is>
      </c>
      <c r="N1492" s="25">
        <f>IF(J1492&gt;300,1,0)</f>
        <v/>
      </c>
      <c r="O1492" s="25">
        <f>IF(J1492&gt;600,1,0)</f>
        <v/>
      </c>
      <c r="P1492" s="25">
        <f>IF(H1492&gt;0,J1492,"")</f>
        <v/>
      </c>
      <c r="Q1492" s="25">
        <f>TEXT(A1492,"YYYY-MM-DD HH")</f>
        <v/>
      </c>
      <c r="R1492" s="25">
        <f>COUNTIF($Q$2:$Q$5295,Q1492)</f>
        <v/>
      </c>
      <c r="S1492" s="25">
        <f>IF(R1492&lt;=2,"1-2",IF(R1492&lt;=5,"3-5",IF(R1492&lt;=10,"6-10","11+")))</f>
        <v/>
      </c>
    </row>
    <row r="1493">
      <c r="A1493" s="39" t="n">
        <v>46168.32969907407</v>
      </c>
      <c r="B1493" s="25">
        <f>TEXT(A1493,"YYYY-MM")</f>
        <v/>
      </c>
      <c r="C1493" s="25">
        <f>TEXT(A1493,"MMM-YYYY")</f>
        <v/>
      </c>
      <c r="D1493" s="40">
        <f>INT(A1493)-WEEKDAY(A1493,2)+1</f>
        <v/>
      </c>
      <c r="E1493" s="25" t="inlineStr">
        <is>
          <t>smukhopadhyay</t>
        </is>
      </c>
      <c r="F1493" s="25" t="n">
        <v>5054</v>
      </c>
      <c r="G1493" s="25" t="n">
        <v>1</v>
      </c>
      <c r="H1493" s="25" t="n">
        <v>7</v>
      </c>
      <c r="I1493" s="25" t="inlineStr">
        <is>
          <t>2 minute(s) and 49 second(s)</t>
        </is>
      </c>
      <c r="J1493" s="25">
        <f>IFERROR(VALUE(TRIM(LEFT(I1493,FIND("minute",I1493)-1)))*60,0)+IFERROR(VALUE(SUBSTITUTE(MID(I1493,IFERROR(FIND("and",I1493)+3,1),20),"second(s)","")),0)</f>
        <v/>
      </c>
      <c r="K1493" s="41">
        <f>J1493/60</f>
        <v/>
      </c>
      <c r="L1493" s="41">
        <f>IFERROR(J1493/H1493,"")</f>
        <v/>
      </c>
      <c r="M1493" s="25" t="inlineStr">
        <is>
          <t>2.5.12</t>
        </is>
      </c>
      <c r="N1493" s="25">
        <f>IF(J1493&gt;300,1,0)</f>
        <v/>
      </c>
      <c r="O1493" s="25">
        <f>IF(J1493&gt;600,1,0)</f>
        <v/>
      </c>
      <c r="P1493" s="25">
        <f>IF(H1493&gt;0,J1493,"")</f>
        <v/>
      </c>
      <c r="Q1493" s="25">
        <f>TEXT(A1493,"YYYY-MM-DD HH")</f>
        <v/>
      </c>
      <c r="R1493" s="25">
        <f>COUNTIF($Q$2:$Q$5295,Q1493)</f>
        <v/>
      </c>
      <c r="S1493" s="25">
        <f>IF(R1493&lt;=2,"1-2",IF(R1493&lt;=5,"3-5",IF(R1493&lt;=10,"6-10","11+")))</f>
        <v/>
      </c>
    </row>
    <row r="1494">
      <c r="A1494" s="39" t="n">
        <v>46168.33122685185</v>
      </c>
      <c r="B1494" s="25">
        <f>TEXT(A1494,"YYYY-MM")</f>
        <v/>
      </c>
      <c r="C1494" s="25">
        <f>TEXT(A1494,"MMM-YYYY")</f>
        <v/>
      </c>
      <c r="D1494" s="40">
        <f>INT(A1494)-WEEKDAY(A1494,2)+1</f>
        <v/>
      </c>
      <c r="E1494" s="25" t="inlineStr">
        <is>
          <t>pmishra</t>
        </is>
      </c>
      <c r="F1494" s="25" t="n">
        <v>5577</v>
      </c>
      <c r="G1494" s="25" t="n">
        <v>1</v>
      </c>
      <c r="H1494" s="25" t="n">
        <v>7</v>
      </c>
      <c r="I1494" s="25" t="inlineStr">
        <is>
          <t>2 minute(s) and 40 second(s)</t>
        </is>
      </c>
      <c r="J1494" s="25">
        <f>IFERROR(VALUE(TRIM(LEFT(I1494,FIND("minute",I1494)-1)))*60,0)+IFERROR(VALUE(SUBSTITUTE(MID(I1494,IFERROR(FIND("and",I1494)+3,1),20),"second(s)","")),0)</f>
        <v/>
      </c>
      <c r="K1494" s="41">
        <f>J1494/60</f>
        <v/>
      </c>
      <c r="L1494" s="41">
        <f>IFERROR(J1494/H1494,"")</f>
        <v/>
      </c>
      <c r="M1494" s="25" t="inlineStr">
        <is>
          <t>2.5.12</t>
        </is>
      </c>
      <c r="N1494" s="25">
        <f>IF(J1494&gt;300,1,0)</f>
        <v/>
      </c>
      <c r="O1494" s="25">
        <f>IF(J1494&gt;600,1,0)</f>
        <v/>
      </c>
      <c r="P1494" s="25">
        <f>IF(H1494&gt;0,J1494,"")</f>
        <v/>
      </c>
      <c r="Q1494" s="25">
        <f>TEXT(A1494,"YYYY-MM-DD HH")</f>
        <v/>
      </c>
      <c r="R1494" s="25">
        <f>COUNTIF($Q$2:$Q$5295,Q1494)</f>
        <v/>
      </c>
      <c r="S1494" s="25">
        <f>IF(R1494&lt;=2,"1-2",IF(R1494&lt;=5,"3-5",IF(R1494&lt;=10,"6-10","11+")))</f>
        <v/>
      </c>
    </row>
    <row r="1495">
      <c r="A1495" s="39" t="n">
        <v>46168.3317824074</v>
      </c>
      <c r="B1495" s="25">
        <f>TEXT(A1495,"YYYY-MM")</f>
        <v/>
      </c>
      <c r="C1495" s="25">
        <f>TEXT(A1495,"MMM-YYYY")</f>
        <v/>
      </c>
      <c r="D1495" s="40">
        <f>INT(A1495)-WEEKDAY(A1495,2)+1</f>
        <v/>
      </c>
      <c r="E1495" s="25" t="inlineStr">
        <is>
          <t>ssarkar</t>
        </is>
      </c>
      <c r="F1495" s="25" t="n">
        <v>5961</v>
      </c>
      <c r="G1495" s="25" t="n">
        <v>1</v>
      </c>
      <c r="H1495" s="25" t="n">
        <v>7</v>
      </c>
      <c r="I1495" s="25" t="inlineStr">
        <is>
          <t>1 minute(s) and 51 second(s)</t>
        </is>
      </c>
      <c r="J1495" s="25">
        <f>IFERROR(VALUE(TRIM(LEFT(I1495,FIND("minute",I1495)-1)))*60,0)+IFERROR(VALUE(SUBSTITUTE(MID(I1495,IFERROR(FIND("and",I1495)+3,1),20),"second(s)","")),0)</f>
        <v/>
      </c>
      <c r="K1495" s="41">
        <f>J1495/60</f>
        <v/>
      </c>
      <c r="L1495" s="41">
        <f>IFERROR(J1495/H1495,"")</f>
        <v/>
      </c>
      <c r="M1495" s="25" t="inlineStr">
        <is>
          <t>2.5.12</t>
        </is>
      </c>
      <c r="N1495" s="25">
        <f>IF(J1495&gt;300,1,0)</f>
        <v/>
      </c>
      <c r="O1495" s="25">
        <f>IF(J1495&gt;600,1,0)</f>
        <v/>
      </c>
      <c r="P1495" s="25">
        <f>IF(H1495&gt;0,J1495,"")</f>
        <v/>
      </c>
      <c r="Q1495" s="25">
        <f>TEXT(A1495,"YYYY-MM-DD HH")</f>
        <v/>
      </c>
      <c r="R1495" s="25">
        <f>COUNTIF($Q$2:$Q$5295,Q1495)</f>
        <v/>
      </c>
      <c r="S1495" s="25">
        <f>IF(R1495&lt;=2,"1-2",IF(R1495&lt;=5,"3-5",IF(R1495&lt;=10,"6-10","11+")))</f>
        <v/>
      </c>
    </row>
    <row r="1496">
      <c r="A1496" s="39" t="n">
        <v>46168.33646990741</v>
      </c>
      <c r="B1496" s="25">
        <f>TEXT(A1496,"YYYY-MM")</f>
        <v/>
      </c>
      <c r="C1496" s="25">
        <f>TEXT(A1496,"MMM-YYYY")</f>
        <v/>
      </c>
      <c r="D1496" s="40">
        <f>INT(A1496)-WEEKDAY(A1496,2)+1</f>
        <v/>
      </c>
      <c r="E1496" s="25" t="inlineStr">
        <is>
          <t>mbhalla</t>
        </is>
      </c>
      <c r="F1496" s="25" t="n">
        <v>4877</v>
      </c>
      <c r="G1496" s="25" t="n">
        <v>1</v>
      </c>
      <c r="H1496" s="25" t="n">
        <v>7</v>
      </c>
      <c r="I1496" s="25" t="inlineStr">
        <is>
          <t>2 minute(s) and 15 second(s)</t>
        </is>
      </c>
      <c r="J1496" s="25">
        <f>IFERROR(VALUE(TRIM(LEFT(I1496,FIND("minute",I1496)-1)))*60,0)+IFERROR(VALUE(SUBSTITUTE(MID(I1496,IFERROR(FIND("and",I1496)+3,1),20),"second(s)","")),0)</f>
        <v/>
      </c>
      <c r="K1496" s="41">
        <f>J1496/60</f>
        <v/>
      </c>
      <c r="L1496" s="41">
        <f>IFERROR(J1496/H1496,"")</f>
        <v/>
      </c>
      <c r="M1496" s="25" t="inlineStr">
        <is>
          <t>2.5.12</t>
        </is>
      </c>
      <c r="N1496" s="25">
        <f>IF(J1496&gt;300,1,0)</f>
        <v/>
      </c>
      <c r="O1496" s="25">
        <f>IF(J1496&gt;600,1,0)</f>
        <v/>
      </c>
      <c r="P1496" s="25">
        <f>IF(H1496&gt;0,J1496,"")</f>
        <v/>
      </c>
      <c r="Q1496" s="25">
        <f>TEXT(A1496,"YYYY-MM-DD HH")</f>
        <v/>
      </c>
      <c r="R1496" s="25">
        <f>COUNTIF($Q$2:$Q$5295,Q1496)</f>
        <v/>
      </c>
      <c r="S1496" s="25">
        <f>IF(R1496&lt;=2,"1-2",IF(R1496&lt;=5,"3-5",IF(R1496&lt;=10,"6-10","11+")))</f>
        <v/>
      </c>
    </row>
    <row r="1497">
      <c r="A1497" s="39" t="n">
        <v>46168.33657407408</v>
      </c>
      <c r="B1497" s="25">
        <f>TEXT(A1497,"YYYY-MM")</f>
        <v/>
      </c>
      <c r="C1497" s="25">
        <f>TEXT(A1497,"MMM-YYYY")</f>
        <v/>
      </c>
      <c r="D1497" s="40">
        <f>INT(A1497)-WEEKDAY(A1497,2)+1</f>
        <v/>
      </c>
      <c r="E1497" s="25" t="inlineStr">
        <is>
          <t>sdey</t>
        </is>
      </c>
      <c r="F1497" s="25" t="n">
        <v>5404</v>
      </c>
      <c r="G1497" s="25" t="n">
        <v>1</v>
      </c>
      <c r="H1497" s="25" t="n">
        <v>7</v>
      </c>
      <c r="I1497" s="25" t="inlineStr">
        <is>
          <t>1 minute(s) and 43 second(s)</t>
        </is>
      </c>
      <c r="J1497" s="25">
        <f>IFERROR(VALUE(TRIM(LEFT(I1497,FIND("minute",I1497)-1)))*60,0)+IFERROR(VALUE(SUBSTITUTE(MID(I1497,IFERROR(FIND("and",I1497)+3,1),20),"second(s)","")),0)</f>
        <v/>
      </c>
      <c r="K1497" s="41">
        <f>J1497/60</f>
        <v/>
      </c>
      <c r="L1497" s="41">
        <f>IFERROR(J1497/H1497,"")</f>
        <v/>
      </c>
      <c r="M1497" s="25" t="inlineStr">
        <is>
          <t>2.5.12</t>
        </is>
      </c>
      <c r="N1497" s="25">
        <f>IF(J1497&gt;300,1,0)</f>
        <v/>
      </c>
      <c r="O1497" s="25">
        <f>IF(J1497&gt;600,1,0)</f>
        <v/>
      </c>
      <c r="P1497" s="25">
        <f>IF(H1497&gt;0,J1497,"")</f>
        <v/>
      </c>
      <c r="Q1497" s="25">
        <f>TEXT(A1497,"YYYY-MM-DD HH")</f>
        <v/>
      </c>
      <c r="R1497" s="25">
        <f>COUNTIF($Q$2:$Q$5295,Q1497)</f>
        <v/>
      </c>
      <c r="S1497" s="25">
        <f>IF(R1497&lt;=2,"1-2",IF(R1497&lt;=5,"3-5",IF(R1497&lt;=10,"6-10","11+")))</f>
        <v/>
      </c>
    </row>
    <row r="1498">
      <c r="A1498" s="39" t="n">
        <v>46168.34349537037</v>
      </c>
      <c r="B1498" s="25">
        <f>TEXT(A1498,"YYYY-MM")</f>
        <v/>
      </c>
      <c r="C1498" s="25">
        <f>TEXT(A1498,"MMM-YYYY")</f>
        <v/>
      </c>
      <c r="D1498" s="40">
        <f>INT(A1498)-WEEKDAY(A1498,2)+1</f>
        <v/>
      </c>
      <c r="E1498" s="25" t="inlineStr">
        <is>
          <t>npriya</t>
        </is>
      </c>
      <c r="F1498" s="25" t="n">
        <v>4958</v>
      </c>
      <c r="G1498" s="25" t="n">
        <v>1</v>
      </c>
      <c r="H1498" s="25" t="n">
        <v>5</v>
      </c>
      <c r="I1498" s="25" t="inlineStr">
        <is>
          <t>1 minute(s) and 32 second(s)</t>
        </is>
      </c>
      <c r="J1498" s="25">
        <f>IFERROR(VALUE(TRIM(LEFT(I1498,FIND("minute",I1498)-1)))*60,0)+IFERROR(VALUE(SUBSTITUTE(MID(I1498,IFERROR(FIND("and",I1498)+3,1),20),"second(s)","")),0)</f>
        <v/>
      </c>
      <c r="K1498" s="41">
        <f>J1498/60</f>
        <v/>
      </c>
      <c r="L1498" s="41">
        <f>IFERROR(J1498/H1498,"")</f>
        <v/>
      </c>
      <c r="M1498" s="25" t="inlineStr">
        <is>
          <t>2.5.12</t>
        </is>
      </c>
      <c r="N1498" s="25">
        <f>IF(J1498&gt;300,1,0)</f>
        <v/>
      </c>
      <c r="O1498" s="25">
        <f>IF(J1498&gt;600,1,0)</f>
        <v/>
      </c>
      <c r="P1498" s="25">
        <f>IF(H1498&gt;0,J1498,"")</f>
        <v/>
      </c>
      <c r="Q1498" s="25">
        <f>TEXT(A1498,"YYYY-MM-DD HH")</f>
        <v/>
      </c>
      <c r="R1498" s="25">
        <f>COUNTIF($Q$2:$Q$5295,Q1498)</f>
        <v/>
      </c>
      <c r="S1498" s="25">
        <f>IF(R1498&lt;=2,"1-2",IF(R1498&lt;=5,"3-5",IF(R1498&lt;=10,"6-10","11+")))</f>
        <v/>
      </c>
    </row>
    <row r="1499">
      <c r="A1499" s="39" t="n">
        <v>46168.34461805555</v>
      </c>
      <c r="B1499" s="25">
        <f>TEXT(A1499,"YYYY-MM")</f>
        <v/>
      </c>
      <c r="C1499" s="25">
        <f>TEXT(A1499,"MMM-YYYY")</f>
        <v/>
      </c>
      <c r="D1499" s="40">
        <f>INT(A1499)-WEEKDAY(A1499,2)+1</f>
        <v/>
      </c>
      <c r="E1499" s="25" t="inlineStr">
        <is>
          <t>pgautam</t>
        </is>
      </c>
      <c r="F1499" s="25" t="n">
        <v>116051</v>
      </c>
      <c r="G1499" s="25" t="n">
        <v>2</v>
      </c>
      <c r="H1499" s="25" t="n">
        <v>12</v>
      </c>
      <c r="I1499" s="25" t="inlineStr">
        <is>
          <t>2 minute(s) and 11 second(s)</t>
        </is>
      </c>
      <c r="J1499" s="25">
        <f>IFERROR(VALUE(TRIM(LEFT(I1499,FIND("minute",I1499)-1)))*60,0)+IFERROR(VALUE(SUBSTITUTE(MID(I1499,IFERROR(FIND("and",I1499)+3,1),20),"second(s)","")),0)</f>
        <v/>
      </c>
      <c r="K1499" s="41">
        <f>J1499/60</f>
        <v/>
      </c>
      <c r="L1499" s="41">
        <f>IFERROR(J1499/H1499,"")</f>
        <v/>
      </c>
      <c r="M1499" s="25" t="inlineStr">
        <is>
          <t>2.5.12</t>
        </is>
      </c>
      <c r="N1499" s="25">
        <f>IF(J1499&gt;300,1,0)</f>
        <v/>
      </c>
      <c r="O1499" s="25">
        <f>IF(J1499&gt;600,1,0)</f>
        <v/>
      </c>
      <c r="P1499" s="25">
        <f>IF(H1499&gt;0,J1499,"")</f>
        <v/>
      </c>
      <c r="Q1499" s="25">
        <f>TEXT(A1499,"YYYY-MM-DD HH")</f>
        <v/>
      </c>
      <c r="R1499" s="25">
        <f>COUNTIF($Q$2:$Q$5295,Q1499)</f>
        <v/>
      </c>
      <c r="S1499" s="25">
        <f>IF(R1499&lt;=2,"1-2",IF(R1499&lt;=5,"3-5",IF(R1499&lt;=10,"6-10","11+")))</f>
        <v/>
      </c>
    </row>
    <row r="1500">
      <c r="A1500" s="39" t="n">
        <v>46168.34575231482</v>
      </c>
      <c r="B1500" s="25">
        <f>TEXT(A1500,"YYYY-MM")</f>
        <v/>
      </c>
      <c r="C1500" s="25">
        <f>TEXT(A1500,"MMM-YYYY")</f>
        <v/>
      </c>
      <c r="D1500" s="40">
        <f>INT(A1500)-WEEKDAY(A1500,2)+1</f>
        <v/>
      </c>
      <c r="E1500" s="25" t="inlineStr">
        <is>
          <t>emishra</t>
        </is>
      </c>
      <c r="F1500" s="25" t="n">
        <v>5004</v>
      </c>
      <c r="G1500" s="25" t="n">
        <v>1</v>
      </c>
      <c r="H1500" s="25" t="n">
        <v>7</v>
      </c>
      <c r="I1500" s="25" t="inlineStr">
        <is>
          <t>2 minute(s) and 19 second(s)</t>
        </is>
      </c>
      <c r="J1500" s="25">
        <f>IFERROR(VALUE(TRIM(LEFT(I1500,FIND("minute",I1500)-1)))*60,0)+IFERROR(VALUE(SUBSTITUTE(MID(I1500,IFERROR(FIND("and",I1500)+3,1),20),"second(s)","")),0)</f>
        <v/>
      </c>
      <c r="K1500" s="41">
        <f>J1500/60</f>
        <v/>
      </c>
      <c r="L1500" s="41">
        <f>IFERROR(J1500/H1500,"")</f>
        <v/>
      </c>
      <c r="M1500" s="25" t="inlineStr">
        <is>
          <t>2.5.12</t>
        </is>
      </c>
      <c r="N1500" s="25">
        <f>IF(J1500&gt;300,1,0)</f>
        <v/>
      </c>
      <c r="O1500" s="25">
        <f>IF(J1500&gt;600,1,0)</f>
        <v/>
      </c>
      <c r="P1500" s="25">
        <f>IF(H1500&gt;0,J1500,"")</f>
        <v/>
      </c>
      <c r="Q1500" s="25">
        <f>TEXT(A1500,"YYYY-MM-DD HH")</f>
        <v/>
      </c>
      <c r="R1500" s="25">
        <f>COUNTIF($Q$2:$Q$5295,Q1500)</f>
        <v/>
      </c>
      <c r="S1500" s="25">
        <f>IF(R1500&lt;=2,"1-2",IF(R1500&lt;=5,"3-5",IF(R1500&lt;=10,"6-10","11+")))</f>
        <v/>
      </c>
    </row>
    <row r="1501">
      <c r="A1501" s="39" t="n">
        <v>46168.34637731482</v>
      </c>
      <c r="B1501" s="25">
        <f>TEXT(A1501,"YYYY-MM")</f>
        <v/>
      </c>
      <c r="C1501" s="25">
        <f>TEXT(A1501,"MMM-YYYY")</f>
        <v/>
      </c>
      <c r="D1501" s="40">
        <f>INT(A1501)-WEEKDAY(A1501,2)+1</f>
        <v/>
      </c>
      <c r="E1501" s="25" t="inlineStr">
        <is>
          <t>csaha</t>
        </is>
      </c>
      <c r="F1501" s="25" t="n">
        <v>4860</v>
      </c>
      <c r="G1501" s="25" t="n">
        <v>1</v>
      </c>
      <c r="H1501" s="25" t="n">
        <v>7</v>
      </c>
      <c r="I1501" s="25" t="inlineStr">
        <is>
          <t>1 minute(s) and 39 second(s)</t>
        </is>
      </c>
      <c r="J1501" s="25">
        <f>IFERROR(VALUE(TRIM(LEFT(I1501,FIND("minute",I1501)-1)))*60,0)+IFERROR(VALUE(SUBSTITUTE(MID(I1501,IFERROR(FIND("and",I1501)+3,1),20),"second(s)","")),0)</f>
        <v/>
      </c>
      <c r="K1501" s="41">
        <f>J1501/60</f>
        <v/>
      </c>
      <c r="L1501" s="41">
        <f>IFERROR(J1501/H1501,"")</f>
        <v/>
      </c>
      <c r="M1501" s="25" t="inlineStr">
        <is>
          <t>2.5.12</t>
        </is>
      </c>
      <c r="N1501" s="25">
        <f>IF(J1501&gt;300,1,0)</f>
        <v/>
      </c>
      <c r="O1501" s="25">
        <f>IF(J1501&gt;600,1,0)</f>
        <v/>
      </c>
      <c r="P1501" s="25">
        <f>IF(H1501&gt;0,J1501,"")</f>
        <v/>
      </c>
      <c r="Q1501" s="25">
        <f>TEXT(A1501,"YYYY-MM-DD HH")</f>
        <v/>
      </c>
      <c r="R1501" s="25">
        <f>COUNTIF($Q$2:$Q$5295,Q1501)</f>
        <v/>
      </c>
      <c r="S1501" s="25">
        <f>IF(R1501&lt;=2,"1-2",IF(R1501&lt;=5,"3-5",IF(R1501&lt;=10,"6-10","11+")))</f>
        <v/>
      </c>
    </row>
    <row r="1502">
      <c r="A1502" s="39" t="n">
        <v>46168.34883101852</v>
      </c>
      <c r="B1502" s="25">
        <f>TEXT(A1502,"YYYY-MM")</f>
        <v/>
      </c>
      <c r="C1502" s="25">
        <f>TEXT(A1502,"MMM-YYYY")</f>
        <v/>
      </c>
      <c r="D1502" s="40">
        <f>INT(A1502)-WEEKDAY(A1502,2)+1</f>
        <v/>
      </c>
      <c r="E1502" s="25" t="inlineStr">
        <is>
          <t>mgupta</t>
        </is>
      </c>
      <c r="F1502" s="25" t="n">
        <v>29453</v>
      </c>
      <c r="G1502" s="25" t="n">
        <v>1</v>
      </c>
      <c r="H1502" s="25" t="n">
        <v>5</v>
      </c>
      <c r="I1502" s="25" t="inlineStr">
        <is>
          <t>51 second(s)</t>
        </is>
      </c>
      <c r="J1502" s="25">
        <f>IFERROR(VALUE(TRIM(LEFT(I1502,FIND("minute",I1502)-1)))*60,0)+IFERROR(VALUE(SUBSTITUTE(MID(I1502,IFERROR(FIND("and",I1502)+3,1),20),"second(s)","")),0)</f>
        <v/>
      </c>
      <c r="K1502" s="41">
        <f>J1502/60</f>
        <v/>
      </c>
      <c r="L1502" s="41">
        <f>IFERROR(J1502/H1502,"")</f>
        <v/>
      </c>
      <c r="M1502" s="25" t="inlineStr">
        <is>
          <t>2.5.12</t>
        </is>
      </c>
      <c r="N1502" s="25">
        <f>IF(J1502&gt;300,1,0)</f>
        <v/>
      </c>
      <c r="O1502" s="25">
        <f>IF(J1502&gt;600,1,0)</f>
        <v/>
      </c>
      <c r="P1502" s="25">
        <f>IF(H1502&gt;0,J1502,"")</f>
        <v/>
      </c>
      <c r="Q1502" s="25">
        <f>TEXT(A1502,"YYYY-MM-DD HH")</f>
        <v/>
      </c>
      <c r="R1502" s="25">
        <f>COUNTIF($Q$2:$Q$5295,Q1502)</f>
        <v/>
      </c>
      <c r="S1502" s="25">
        <f>IF(R1502&lt;=2,"1-2",IF(R1502&lt;=5,"3-5",IF(R1502&lt;=10,"6-10","11+")))</f>
        <v/>
      </c>
    </row>
    <row r="1503">
      <c r="A1503" s="39" t="n">
        <v>46168.3500462963</v>
      </c>
      <c r="B1503" s="25">
        <f>TEXT(A1503,"YYYY-MM")</f>
        <v/>
      </c>
      <c r="C1503" s="25">
        <f>TEXT(A1503,"MMM-YYYY")</f>
        <v/>
      </c>
      <c r="D1503" s="40">
        <f>INT(A1503)-WEEKDAY(A1503,2)+1</f>
        <v/>
      </c>
      <c r="E1503" s="25" t="inlineStr">
        <is>
          <t>hsindwani</t>
        </is>
      </c>
      <c r="F1503" s="25" t="n">
        <v>5334</v>
      </c>
      <c r="G1503" s="25" t="n">
        <v>1</v>
      </c>
      <c r="H1503" s="25" t="n">
        <v>5</v>
      </c>
      <c r="I1503" s="25" t="inlineStr">
        <is>
          <t>1 minute(s) and 49 second(s)</t>
        </is>
      </c>
      <c r="J1503" s="25">
        <f>IFERROR(VALUE(TRIM(LEFT(I1503,FIND("minute",I1503)-1)))*60,0)+IFERROR(VALUE(SUBSTITUTE(MID(I1503,IFERROR(FIND("and",I1503)+3,1),20),"second(s)","")),0)</f>
        <v/>
      </c>
      <c r="K1503" s="41">
        <f>J1503/60</f>
        <v/>
      </c>
      <c r="L1503" s="41">
        <f>IFERROR(J1503/H1503,"")</f>
        <v/>
      </c>
      <c r="M1503" s="25" t="inlineStr">
        <is>
          <t>2.5.12</t>
        </is>
      </c>
      <c r="N1503" s="25">
        <f>IF(J1503&gt;300,1,0)</f>
        <v/>
      </c>
      <c r="O1503" s="25">
        <f>IF(J1503&gt;600,1,0)</f>
        <v/>
      </c>
      <c r="P1503" s="25">
        <f>IF(H1503&gt;0,J1503,"")</f>
        <v/>
      </c>
      <c r="Q1503" s="25">
        <f>TEXT(A1503,"YYYY-MM-DD HH")</f>
        <v/>
      </c>
      <c r="R1503" s="25">
        <f>COUNTIF($Q$2:$Q$5295,Q1503)</f>
        <v/>
      </c>
      <c r="S1503" s="25">
        <f>IF(R1503&lt;=2,"1-2",IF(R1503&lt;=5,"3-5",IF(R1503&lt;=10,"6-10","11+")))</f>
        <v/>
      </c>
    </row>
    <row r="1504">
      <c r="A1504" s="39" t="n">
        <v>46168.3515625</v>
      </c>
      <c r="B1504" s="25">
        <f>TEXT(A1504,"YYYY-MM")</f>
        <v/>
      </c>
      <c r="C1504" s="25">
        <f>TEXT(A1504,"MMM-YYYY")</f>
        <v/>
      </c>
      <c r="D1504" s="40">
        <f>INT(A1504)-WEEKDAY(A1504,2)+1</f>
        <v/>
      </c>
      <c r="E1504" s="25" t="inlineStr">
        <is>
          <t>ssarkar</t>
        </is>
      </c>
      <c r="F1504" s="25" t="n">
        <v>5962</v>
      </c>
      <c r="G1504" s="25" t="n">
        <v>1</v>
      </c>
      <c r="H1504" s="25" t="n">
        <v>7</v>
      </c>
      <c r="I1504" s="25" t="inlineStr">
        <is>
          <t>1 minute(s) and 17 second(s)</t>
        </is>
      </c>
      <c r="J1504" s="25">
        <f>IFERROR(VALUE(TRIM(LEFT(I1504,FIND("minute",I1504)-1)))*60,0)+IFERROR(VALUE(SUBSTITUTE(MID(I1504,IFERROR(FIND("and",I1504)+3,1),20),"second(s)","")),0)</f>
        <v/>
      </c>
      <c r="K1504" s="41">
        <f>J1504/60</f>
        <v/>
      </c>
      <c r="L1504" s="41">
        <f>IFERROR(J1504/H1504,"")</f>
        <v/>
      </c>
      <c r="M1504" s="25" t="inlineStr">
        <is>
          <t>2.5.12</t>
        </is>
      </c>
      <c r="N1504" s="25">
        <f>IF(J1504&gt;300,1,0)</f>
        <v/>
      </c>
      <c r="O1504" s="25">
        <f>IF(J1504&gt;600,1,0)</f>
        <v/>
      </c>
      <c r="P1504" s="25">
        <f>IF(H1504&gt;0,J1504,"")</f>
        <v/>
      </c>
      <c r="Q1504" s="25">
        <f>TEXT(A1504,"YYYY-MM-DD HH")</f>
        <v/>
      </c>
      <c r="R1504" s="25">
        <f>COUNTIF($Q$2:$Q$5295,Q1504)</f>
        <v/>
      </c>
      <c r="S1504" s="25">
        <f>IF(R1504&lt;=2,"1-2",IF(R1504&lt;=5,"3-5",IF(R1504&lt;=10,"6-10","11+")))</f>
        <v/>
      </c>
    </row>
    <row r="1505">
      <c r="A1505" s="39" t="n">
        <v>46168.3554050926</v>
      </c>
      <c r="B1505" s="25">
        <f>TEXT(A1505,"YYYY-MM")</f>
        <v/>
      </c>
      <c r="C1505" s="25">
        <f>TEXT(A1505,"MMM-YYYY")</f>
        <v/>
      </c>
      <c r="D1505" s="40">
        <f>INT(A1505)-WEEKDAY(A1505,2)+1</f>
        <v/>
      </c>
      <c r="E1505" s="25" t="inlineStr">
        <is>
          <t>smukhopadhyay</t>
        </is>
      </c>
      <c r="F1505" s="25" t="n">
        <v>5057</v>
      </c>
      <c r="G1505" s="25" t="n">
        <v>1</v>
      </c>
      <c r="H1505" s="25" t="n">
        <v>7</v>
      </c>
      <c r="I1505" s="25" t="inlineStr">
        <is>
          <t>1 minute(s) and 47 second(s)</t>
        </is>
      </c>
      <c r="J1505" s="25">
        <f>IFERROR(VALUE(TRIM(LEFT(I1505,FIND("minute",I1505)-1)))*60,0)+IFERROR(VALUE(SUBSTITUTE(MID(I1505,IFERROR(FIND("and",I1505)+3,1),20),"second(s)","")),0)</f>
        <v/>
      </c>
      <c r="K1505" s="41">
        <f>J1505/60</f>
        <v/>
      </c>
      <c r="L1505" s="41">
        <f>IFERROR(J1505/H1505,"")</f>
        <v/>
      </c>
      <c r="M1505" s="25" t="inlineStr">
        <is>
          <t>2.5.12</t>
        </is>
      </c>
      <c r="N1505" s="25">
        <f>IF(J1505&gt;300,1,0)</f>
        <v/>
      </c>
      <c r="O1505" s="25">
        <f>IF(J1505&gt;600,1,0)</f>
        <v/>
      </c>
      <c r="P1505" s="25">
        <f>IF(H1505&gt;0,J1505,"")</f>
        <v/>
      </c>
      <c r="Q1505" s="25">
        <f>TEXT(A1505,"YYYY-MM-DD HH")</f>
        <v/>
      </c>
      <c r="R1505" s="25">
        <f>COUNTIF($Q$2:$Q$5295,Q1505)</f>
        <v/>
      </c>
      <c r="S1505" s="25">
        <f>IF(R1505&lt;=2,"1-2",IF(R1505&lt;=5,"3-5",IF(R1505&lt;=10,"6-10","11+")))</f>
        <v/>
      </c>
    </row>
    <row r="1506">
      <c r="A1506" s="39" t="n">
        <v>46168.35636574074</v>
      </c>
      <c r="B1506" s="25">
        <f>TEXT(A1506,"YYYY-MM")</f>
        <v/>
      </c>
      <c r="C1506" s="25">
        <f>TEXT(A1506,"MMM-YYYY")</f>
        <v/>
      </c>
      <c r="D1506" s="40">
        <f>INT(A1506)-WEEKDAY(A1506,2)+1</f>
        <v/>
      </c>
      <c r="E1506" s="25" t="inlineStr">
        <is>
          <t>anusharma</t>
        </is>
      </c>
      <c r="F1506" s="25" t="n">
        <v>5307</v>
      </c>
      <c r="G1506" s="25" t="n">
        <v>1</v>
      </c>
      <c r="H1506" s="25" t="n">
        <v>5</v>
      </c>
      <c r="I1506" s="25" t="inlineStr">
        <is>
          <t>1 minute(s) and 28 second(s)</t>
        </is>
      </c>
      <c r="J1506" s="25">
        <f>IFERROR(VALUE(TRIM(LEFT(I1506,FIND("minute",I1506)-1)))*60,0)+IFERROR(VALUE(SUBSTITUTE(MID(I1506,IFERROR(FIND("and",I1506)+3,1),20),"second(s)","")),0)</f>
        <v/>
      </c>
      <c r="K1506" s="41">
        <f>J1506/60</f>
        <v/>
      </c>
      <c r="L1506" s="41">
        <f>IFERROR(J1506/H1506,"")</f>
        <v/>
      </c>
      <c r="M1506" s="25" t="inlineStr">
        <is>
          <t>2.5.12</t>
        </is>
      </c>
      <c r="N1506" s="25">
        <f>IF(J1506&gt;300,1,0)</f>
        <v/>
      </c>
      <c r="O1506" s="25">
        <f>IF(J1506&gt;600,1,0)</f>
        <v/>
      </c>
      <c r="P1506" s="25">
        <f>IF(H1506&gt;0,J1506,"")</f>
        <v/>
      </c>
      <c r="Q1506" s="25">
        <f>TEXT(A1506,"YYYY-MM-DD HH")</f>
        <v/>
      </c>
      <c r="R1506" s="25">
        <f>COUNTIF($Q$2:$Q$5295,Q1506)</f>
        <v/>
      </c>
      <c r="S1506" s="25">
        <f>IF(R1506&lt;=2,"1-2",IF(R1506&lt;=5,"3-5",IF(R1506&lt;=10,"6-10","11+")))</f>
        <v/>
      </c>
    </row>
    <row r="1507">
      <c r="A1507" s="39" t="n">
        <v>46168.35740740741</v>
      </c>
      <c r="B1507" s="25">
        <f>TEXT(A1507,"YYYY-MM")</f>
        <v/>
      </c>
      <c r="C1507" s="25">
        <f>TEXT(A1507,"MMM-YYYY")</f>
        <v/>
      </c>
      <c r="D1507" s="40">
        <f>INT(A1507)-WEEKDAY(A1507,2)+1</f>
        <v/>
      </c>
      <c r="E1507" s="25" t="inlineStr">
        <is>
          <t>emishra</t>
        </is>
      </c>
      <c r="F1507" s="25" t="n">
        <v>4998</v>
      </c>
      <c r="G1507" s="25" t="n">
        <v>1</v>
      </c>
      <c r="H1507" s="25" t="n">
        <v>7</v>
      </c>
      <c r="I1507" s="25" t="inlineStr">
        <is>
          <t>1 minute(s) and 31 second(s)</t>
        </is>
      </c>
      <c r="J1507" s="25">
        <f>IFERROR(VALUE(TRIM(LEFT(I1507,FIND("minute",I1507)-1)))*60,0)+IFERROR(VALUE(SUBSTITUTE(MID(I1507,IFERROR(FIND("and",I1507)+3,1),20),"second(s)","")),0)</f>
        <v/>
      </c>
      <c r="K1507" s="41">
        <f>J1507/60</f>
        <v/>
      </c>
      <c r="L1507" s="41">
        <f>IFERROR(J1507/H1507,"")</f>
        <v/>
      </c>
      <c r="M1507" s="25" t="inlineStr">
        <is>
          <t>2.5.12</t>
        </is>
      </c>
      <c r="N1507" s="25">
        <f>IF(J1507&gt;300,1,0)</f>
        <v/>
      </c>
      <c r="O1507" s="25">
        <f>IF(J1507&gt;600,1,0)</f>
        <v/>
      </c>
      <c r="P1507" s="25">
        <f>IF(H1507&gt;0,J1507,"")</f>
        <v/>
      </c>
      <c r="Q1507" s="25">
        <f>TEXT(A1507,"YYYY-MM-DD HH")</f>
        <v/>
      </c>
      <c r="R1507" s="25">
        <f>COUNTIF($Q$2:$Q$5295,Q1507)</f>
        <v/>
      </c>
      <c r="S1507" s="25">
        <f>IF(R1507&lt;=2,"1-2",IF(R1507&lt;=5,"3-5",IF(R1507&lt;=10,"6-10","11+")))</f>
        <v/>
      </c>
    </row>
    <row r="1508">
      <c r="A1508" s="39" t="n">
        <v>46168.35793981481</v>
      </c>
      <c r="B1508" s="25">
        <f>TEXT(A1508,"YYYY-MM")</f>
        <v/>
      </c>
      <c r="C1508" s="25">
        <f>TEXT(A1508,"MMM-YYYY")</f>
        <v/>
      </c>
      <c r="D1508" s="40">
        <f>INT(A1508)-WEEKDAY(A1508,2)+1</f>
        <v/>
      </c>
      <c r="E1508" s="25" t="inlineStr">
        <is>
          <t>psathwika</t>
        </is>
      </c>
      <c r="F1508" s="25" t="n">
        <v>116467</v>
      </c>
      <c r="G1508" s="25" t="n">
        <v>5</v>
      </c>
      <c r="H1508" s="25" t="n">
        <v>27</v>
      </c>
      <c r="I1508" s="25" t="inlineStr">
        <is>
          <t>6 minute(s) and 18 second(s)</t>
        </is>
      </c>
      <c r="J1508" s="25">
        <f>IFERROR(VALUE(TRIM(LEFT(I1508,FIND("minute",I1508)-1)))*60,0)+IFERROR(VALUE(SUBSTITUTE(MID(I1508,IFERROR(FIND("and",I1508)+3,1),20),"second(s)","")),0)</f>
        <v/>
      </c>
      <c r="K1508" s="41">
        <f>J1508/60</f>
        <v/>
      </c>
      <c r="L1508" s="41">
        <f>IFERROR(J1508/H1508,"")</f>
        <v/>
      </c>
      <c r="M1508" s="25" t="inlineStr">
        <is>
          <t>2.5.12</t>
        </is>
      </c>
      <c r="N1508" s="25">
        <f>IF(J1508&gt;300,1,0)</f>
        <v/>
      </c>
      <c r="O1508" s="25">
        <f>IF(J1508&gt;600,1,0)</f>
        <v/>
      </c>
      <c r="P1508" s="25">
        <f>IF(H1508&gt;0,J1508,"")</f>
        <v/>
      </c>
      <c r="Q1508" s="25">
        <f>TEXT(A1508,"YYYY-MM-DD HH")</f>
        <v/>
      </c>
      <c r="R1508" s="25">
        <f>COUNTIF($Q$2:$Q$5295,Q1508)</f>
        <v/>
      </c>
      <c r="S1508" s="25">
        <f>IF(R1508&lt;=2,"1-2",IF(R1508&lt;=5,"3-5",IF(R1508&lt;=10,"6-10","11+")))</f>
        <v/>
      </c>
    </row>
    <row r="1509">
      <c r="A1509" s="39" t="n">
        <v>46168.36</v>
      </c>
      <c r="B1509" s="25">
        <f>TEXT(A1509,"YYYY-MM")</f>
        <v/>
      </c>
      <c r="C1509" s="25">
        <f>TEXT(A1509,"MMM-YYYY")</f>
        <v/>
      </c>
      <c r="D1509" s="40">
        <f>INT(A1509)-WEEKDAY(A1509,2)+1</f>
        <v/>
      </c>
      <c r="E1509" s="25" t="inlineStr">
        <is>
          <t>pmishra</t>
        </is>
      </c>
      <c r="F1509" s="25" t="n">
        <v>5578</v>
      </c>
      <c r="G1509" s="25" t="n">
        <v>2</v>
      </c>
      <c r="H1509" s="25" t="n">
        <v>10</v>
      </c>
      <c r="I1509" s="25" t="inlineStr">
        <is>
          <t>3 minute(s) and 32 second(s)</t>
        </is>
      </c>
      <c r="J1509" s="25">
        <f>IFERROR(VALUE(TRIM(LEFT(I1509,FIND("minute",I1509)-1)))*60,0)+IFERROR(VALUE(SUBSTITUTE(MID(I1509,IFERROR(FIND("and",I1509)+3,1),20),"second(s)","")),0)</f>
        <v/>
      </c>
      <c r="K1509" s="41">
        <f>J1509/60</f>
        <v/>
      </c>
      <c r="L1509" s="41">
        <f>IFERROR(J1509/H1509,"")</f>
        <v/>
      </c>
      <c r="M1509" s="25" t="inlineStr">
        <is>
          <t>2.5.12</t>
        </is>
      </c>
      <c r="N1509" s="25">
        <f>IF(J1509&gt;300,1,0)</f>
        <v/>
      </c>
      <c r="O1509" s="25">
        <f>IF(J1509&gt;600,1,0)</f>
        <v/>
      </c>
      <c r="P1509" s="25">
        <f>IF(H1509&gt;0,J1509,"")</f>
        <v/>
      </c>
      <c r="Q1509" s="25">
        <f>TEXT(A1509,"YYYY-MM-DD HH")</f>
        <v/>
      </c>
      <c r="R1509" s="25">
        <f>COUNTIF($Q$2:$Q$5295,Q1509)</f>
        <v/>
      </c>
      <c r="S1509" s="25">
        <f>IF(R1509&lt;=2,"1-2",IF(R1509&lt;=5,"3-5",IF(R1509&lt;=10,"6-10","11+")))</f>
        <v/>
      </c>
    </row>
    <row r="1510">
      <c r="A1510" s="39" t="n">
        <v>46168.36238425926</v>
      </c>
      <c r="B1510" s="25">
        <f>TEXT(A1510,"YYYY-MM")</f>
        <v/>
      </c>
      <c r="C1510" s="25">
        <f>TEXT(A1510,"MMM-YYYY")</f>
        <v/>
      </c>
      <c r="D1510" s="40">
        <f>INT(A1510)-WEEKDAY(A1510,2)+1</f>
        <v/>
      </c>
      <c r="E1510" s="25" t="inlineStr">
        <is>
          <t>mbohra</t>
        </is>
      </c>
      <c r="F1510" s="25" t="n">
        <v>13401</v>
      </c>
      <c r="G1510" s="25" t="n">
        <v>1</v>
      </c>
      <c r="H1510" s="25" t="n">
        <v>5</v>
      </c>
      <c r="I1510" s="25" t="inlineStr">
        <is>
          <t>1 minute(s) and 47 second(s)</t>
        </is>
      </c>
      <c r="J1510" s="25">
        <f>IFERROR(VALUE(TRIM(LEFT(I1510,FIND("minute",I1510)-1)))*60,0)+IFERROR(VALUE(SUBSTITUTE(MID(I1510,IFERROR(FIND("and",I1510)+3,1),20),"second(s)","")),0)</f>
        <v/>
      </c>
      <c r="K1510" s="41">
        <f>J1510/60</f>
        <v/>
      </c>
      <c r="L1510" s="41">
        <f>IFERROR(J1510/H1510,"")</f>
        <v/>
      </c>
      <c r="M1510" s="25" t="inlineStr">
        <is>
          <t>2.5.12</t>
        </is>
      </c>
      <c r="N1510" s="25">
        <f>IF(J1510&gt;300,1,0)</f>
        <v/>
      </c>
      <c r="O1510" s="25">
        <f>IF(J1510&gt;600,1,0)</f>
        <v/>
      </c>
      <c r="P1510" s="25">
        <f>IF(H1510&gt;0,J1510,"")</f>
        <v/>
      </c>
      <c r="Q1510" s="25">
        <f>TEXT(A1510,"YYYY-MM-DD HH")</f>
        <v/>
      </c>
      <c r="R1510" s="25">
        <f>COUNTIF($Q$2:$Q$5295,Q1510)</f>
        <v/>
      </c>
      <c r="S1510" s="25">
        <f>IF(R1510&lt;=2,"1-2",IF(R1510&lt;=5,"3-5",IF(R1510&lt;=10,"6-10","11+")))</f>
        <v/>
      </c>
    </row>
    <row r="1511">
      <c r="A1511" s="39" t="n">
        <v>46168.36253472222</v>
      </c>
      <c r="B1511" s="25">
        <f>TEXT(A1511,"YYYY-MM")</f>
        <v/>
      </c>
      <c r="C1511" s="25">
        <f>TEXT(A1511,"MMM-YYYY")</f>
        <v/>
      </c>
      <c r="D1511" s="40">
        <f>INT(A1511)-WEEKDAY(A1511,2)+1</f>
        <v/>
      </c>
      <c r="E1511" s="25" t="inlineStr">
        <is>
          <t>sdey</t>
        </is>
      </c>
      <c r="F1511" s="25" t="n">
        <v>5405</v>
      </c>
      <c r="G1511" s="25" t="n">
        <v>1</v>
      </c>
      <c r="H1511" s="25" t="n">
        <v>7</v>
      </c>
      <c r="I1511" s="25" t="inlineStr">
        <is>
          <t>1 minute(s) and 39 second(s)</t>
        </is>
      </c>
      <c r="J1511" s="25">
        <f>IFERROR(VALUE(TRIM(LEFT(I1511,FIND("minute",I1511)-1)))*60,0)+IFERROR(VALUE(SUBSTITUTE(MID(I1511,IFERROR(FIND("and",I1511)+3,1),20),"second(s)","")),0)</f>
        <v/>
      </c>
      <c r="K1511" s="41">
        <f>J1511/60</f>
        <v/>
      </c>
      <c r="L1511" s="41">
        <f>IFERROR(J1511/H1511,"")</f>
        <v/>
      </c>
      <c r="M1511" s="25" t="inlineStr">
        <is>
          <t>2.5.12</t>
        </is>
      </c>
      <c r="N1511" s="25">
        <f>IF(J1511&gt;300,1,0)</f>
        <v/>
      </c>
      <c r="O1511" s="25">
        <f>IF(J1511&gt;600,1,0)</f>
        <v/>
      </c>
      <c r="P1511" s="25">
        <f>IF(H1511&gt;0,J1511,"")</f>
        <v/>
      </c>
      <c r="Q1511" s="25">
        <f>TEXT(A1511,"YYYY-MM-DD HH")</f>
        <v/>
      </c>
      <c r="R1511" s="25">
        <f>COUNTIF($Q$2:$Q$5295,Q1511)</f>
        <v/>
      </c>
      <c r="S1511" s="25">
        <f>IF(R1511&lt;=2,"1-2",IF(R1511&lt;=5,"3-5",IF(R1511&lt;=10,"6-10","11+")))</f>
        <v/>
      </c>
    </row>
    <row r="1512">
      <c r="A1512" s="39" t="n">
        <v>46168.36666666667</v>
      </c>
      <c r="B1512" s="25">
        <f>TEXT(A1512,"YYYY-MM")</f>
        <v/>
      </c>
      <c r="C1512" s="25">
        <f>TEXT(A1512,"MMM-YYYY")</f>
        <v/>
      </c>
      <c r="D1512" s="40">
        <f>INT(A1512)-WEEKDAY(A1512,2)+1</f>
        <v/>
      </c>
      <c r="E1512" s="25" t="inlineStr">
        <is>
          <t>npriya</t>
        </is>
      </c>
      <c r="F1512" s="25" t="n">
        <v>4959</v>
      </c>
      <c r="G1512" s="25" t="n">
        <v>1</v>
      </c>
      <c r="H1512" s="25" t="n">
        <v>7</v>
      </c>
      <c r="I1512" s="25" t="inlineStr">
        <is>
          <t>1 minute(s) and 44 second(s)</t>
        </is>
      </c>
      <c r="J1512" s="25">
        <f>IFERROR(VALUE(TRIM(LEFT(I1512,FIND("minute",I1512)-1)))*60,0)+IFERROR(VALUE(SUBSTITUTE(MID(I1512,IFERROR(FIND("and",I1512)+3,1),20),"second(s)","")),0)</f>
        <v/>
      </c>
      <c r="K1512" s="41">
        <f>J1512/60</f>
        <v/>
      </c>
      <c r="L1512" s="41">
        <f>IFERROR(J1512/H1512,"")</f>
        <v/>
      </c>
      <c r="M1512" s="25" t="inlineStr">
        <is>
          <t>2.5.12</t>
        </is>
      </c>
      <c r="N1512" s="25">
        <f>IF(J1512&gt;300,1,0)</f>
        <v/>
      </c>
      <c r="O1512" s="25">
        <f>IF(J1512&gt;600,1,0)</f>
        <v/>
      </c>
      <c r="P1512" s="25">
        <f>IF(H1512&gt;0,J1512,"")</f>
        <v/>
      </c>
      <c r="Q1512" s="25">
        <f>TEXT(A1512,"YYYY-MM-DD HH")</f>
        <v/>
      </c>
      <c r="R1512" s="25">
        <f>COUNTIF($Q$2:$Q$5295,Q1512)</f>
        <v/>
      </c>
      <c r="S1512" s="25">
        <f>IF(R1512&lt;=2,"1-2",IF(R1512&lt;=5,"3-5",IF(R1512&lt;=10,"6-10","11+")))</f>
        <v/>
      </c>
    </row>
    <row r="1513">
      <c r="A1513" s="39" t="n">
        <v>46168.36972222223</v>
      </c>
      <c r="B1513" s="25">
        <f>TEXT(A1513,"YYYY-MM")</f>
        <v/>
      </c>
      <c r="C1513" s="25">
        <f>TEXT(A1513,"MMM-YYYY")</f>
        <v/>
      </c>
      <c r="D1513" s="40">
        <f>INT(A1513)-WEEKDAY(A1513,2)+1</f>
        <v/>
      </c>
      <c r="E1513" s="25" t="inlineStr">
        <is>
          <t>csaha</t>
        </is>
      </c>
      <c r="F1513" s="25" t="n">
        <v>4861</v>
      </c>
      <c r="G1513" s="25" t="n">
        <v>1</v>
      </c>
      <c r="H1513" s="25" t="n">
        <v>7</v>
      </c>
      <c r="I1513" s="25" t="inlineStr">
        <is>
          <t>1 minute(s) and 14 second(s)</t>
        </is>
      </c>
      <c r="J1513" s="25">
        <f>IFERROR(VALUE(TRIM(LEFT(I1513,FIND("minute",I1513)-1)))*60,0)+IFERROR(VALUE(SUBSTITUTE(MID(I1513,IFERROR(FIND("and",I1513)+3,1),20),"second(s)","")),0)</f>
        <v/>
      </c>
      <c r="K1513" s="41">
        <f>J1513/60</f>
        <v/>
      </c>
      <c r="L1513" s="41">
        <f>IFERROR(J1513/H1513,"")</f>
        <v/>
      </c>
      <c r="M1513" s="25" t="inlineStr">
        <is>
          <t>2.5.12</t>
        </is>
      </c>
      <c r="N1513" s="25">
        <f>IF(J1513&gt;300,1,0)</f>
        <v/>
      </c>
      <c r="O1513" s="25">
        <f>IF(J1513&gt;600,1,0)</f>
        <v/>
      </c>
      <c r="P1513" s="25">
        <f>IF(H1513&gt;0,J1513,"")</f>
        <v/>
      </c>
      <c r="Q1513" s="25">
        <f>TEXT(A1513,"YYYY-MM-DD HH")</f>
        <v/>
      </c>
      <c r="R1513" s="25">
        <f>COUNTIF($Q$2:$Q$5295,Q1513)</f>
        <v/>
      </c>
      <c r="S1513" s="25">
        <f>IF(R1513&lt;=2,"1-2",IF(R1513&lt;=5,"3-5",IF(R1513&lt;=10,"6-10","11+")))</f>
        <v/>
      </c>
    </row>
    <row r="1514">
      <c r="A1514" s="39" t="n">
        <v>46168.37256944444</v>
      </c>
      <c r="B1514" s="25">
        <f>TEXT(A1514,"YYYY-MM")</f>
        <v/>
      </c>
      <c r="C1514" s="25">
        <f>TEXT(A1514,"MMM-YYYY")</f>
        <v/>
      </c>
      <c r="D1514" s="40">
        <f>INT(A1514)-WEEKDAY(A1514,2)+1</f>
        <v/>
      </c>
      <c r="E1514" s="25" t="inlineStr">
        <is>
          <t>ssaha</t>
        </is>
      </c>
      <c r="F1514" s="25" t="n">
        <v>4131</v>
      </c>
      <c r="G1514" s="25" t="n">
        <v>1</v>
      </c>
      <c r="H1514" s="25" t="n">
        <v>7</v>
      </c>
      <c r="I1514" s="25" t="inlineStr">
        <is>
          <t>4 minute(s) and 25 second(s)</t>
        </is>
      </c>
      <c r="J1514" s="25">
        <f>IFERROR(VALUE(TRIM(LEFT(I1514,FIND("minute",I1514)-1)))*60,0)+IFERROR(VALUE(SUBSTITUTE(MID(I1514,IFERROR(FIND("and",I1514)+3,1),20),"second(s)","")),0)</f>
        <v/>
      </c>
      <c r="K1514" s="41">
        <f>J1514/60</f>
        <v/>
      </c>
      <c r="L1514" s="41">
        <f>IFERROR(J1514/H1514,"")</f>
        <v/>
      </c>
      <c r="M1514" s="25" t="inlineStr">
        <is>
          <t>2.5.12</t>
        </is>
      </c>
      <c r="N1514" s="25">
        <f>IF(J1514&gt;300,1,0)</f>
        <v/>
      </c>
      <c r="O1514" s="25">
        <f>IF(J1514&gt;600,1,0)</f>
        <v/>
      </c>
      <c r="P1514" s="25">
        <f>IF(H1514&gt;0,J1514,"")</f>
        <v/>
      </c>
      <c r="Q1514" s="25">
        <f>TEXT(A1514,"YYYY-MM-DD HH")</f>
        <v/>
      </c>
      <c r="R1514" s="25">
        <f>COUNTIF($Q$2:$Q$5295,Q1514)</f>
        <v/>
      </c>
      <c r="S1514" s="25">
        <f>IF(R1514&lt;=2,"1-2",IF(R1514&lt;=5,"3-5",IF(R1514&lt;=10,"6-10","11+")))</f>
        <v/>
      </c>
    </row>
    <row r="1515">
      <c r="A1515" s="39" t="n">
        <v>46168.37346064814</v>
      </c>
      <c r="B1515" s="25">
        <f>TEXT(A1515,"YYYY-MM")</f>
        <v/>
      </c>
      <c r="C1515" s="25">
        <f>TEXT(A1515,"MMM-YYYY")</f>
        <v/>
      </c>
      <c r="D1515" s="40">
        <f>INT(A1515)-WEEKDAY(A1515,2)+1</f>
        <v/>
      </c>
      <c r="E1515" s="25" t="inlineStr">
        <is>
          <t>adey</t>
        </is>
      </c>
      <c r="F1515" s="25" t="n">
        <v>5273</v>
      </c>
      <c r="G1515" s="25" t="n">
        <v>1</v>
      </c>
      <c r="H1515" s="25" t="n">
        <v>5</v>
      </c>
      <c r="I1515" s="25" t="inlineStr">
        <is>
          <t>1 minute(s) and 11 second(s)</t>
        </is>
      </c>
      <c r="J1515" s="25">
        <f>IFERROR(VALUE(TRIM(LEFT(I1515,FIND("minute",I1515)-1)))*60,0)+IFERROR(VALUE(SUBSTITUTE(MID(I1515,IFERROR(FIND("and",I1515)+3,1),20),"second(s)","")),0)</f>
        <v/>
      </c>
      <c r="K1515" s="41">
        <f>J1515/60</f>
        <v/>
      </c>
      <c r="L1515" s="41">
        <f>IFERROR(J1515/H1515,"")</f>
        <v/>
      </c>
      <c r="M1515" s="25" t="inlineStr">
        <is>
          <t>2.5.12</t>
        </is>
      </c>
      <c r="N1515" s="25">
        <f>IF(J1515&gt;300,1,0)</f>
        <v/>
      </c>
      <c r="O1515" s="25">
        <f>IF(J1515&gt;600,1,0)</f>
        <v/>
      </c>
      <c r="P1515" s="25">
        <f>IF(H1515&gt;0,J1515,"")</f>
        <v/>
      </c>
      <c r="Q1515" s="25">
        <f>TEXT(A1515,"YYYY-MM-DD HH")</f>
        <v/>
      </c>
      <c r="R1515" s="25">
        <f>COUNTIF($Q$2:$Q$5295,Q1515)</f>
        <v/>
      </c>
      <c r="S1515" s="25">
        <f>IF(R1515&lt;=2,"1-2",IF(R1515&lt;=5,"3-5",IF(R1515&lt;=10,"6-10","11+")))</f>
        <v/>
      </c>
    </row>
    <row r="1516">
      <c r="A1516" s="39" t="n">
        <v>46168.37841435185</v>
      </c>
      <c r="B1516" s="25">
        <f>TEXT(A1516,"YYYY-MM")</f>
        <v/>
      </c>
      <c r="C1516" s="25">
        <f>TEXT(A1516,"MMM-YYYY")</f>
        <v/>
      </c>
      <c r="D1516" s="40">
        <f>INT(A1516)-WEEKDAY(A1516,2)+1</f>
        <v/>
      </c>
      <c r="E1516" s="25" t="inlineStr">
        <is>
          <t>rts</t>
        </is>
      </c>
      <c r="F1516" s="25" t="n">
        <v>89859</v>
      </c>
      <c r="G1516" s="25" t="n">
        <v>2</v>
      </c>
      <c r="H1516" s="25" t="n">
        <v>10</v>
      </c>
      <c r="I1516" s="25" t="inlineStr">
        <is>
          <t>3 minute(s) and 25 second(s)</t>
        </is>
      </c>
      <c r="J1516" s="25">
        <f>IFERROR(VALUE(TRIM(LEFT(I1516,FIND("minute",I1516)-1)))*60,0)+IFERROR(VALUE(SUBSTITUTE(MID(I1516,IFERROR(FIND("and",I1516)+3,1),20),"second(s)","")),0)</f>
        <v/>
      </c>
      <c r="K1516" s="41">
        <f>J1516/60</f>
        <v/>
      </c>
      <c r="L1516" s="41">
        <f>IFERROR(J1516/H1516,"")</f>
        <v/>
      </c>
      <c r="M1516" s="25" t="inlineStr">
        <is>
          <t>2.5.12</t>
        </is>
      </c>
      <c r="N1516" s="25">
        <f>IF(J1516&gt;300,1,0)</f>
        <v/>
      </c>
      <c r="O1516" s="25">
        <f>IF(J1516&gt;600,1,0)</f>
        <v/>
      </c>
      <c r="P1516" s="25">
        <f>IF(H1516&gt;0,J1516,"")</f>
        <v/>
      </c>
      <c r="Q1516" s="25">
        <f>TEXT(A1516,"YYYY-MM-DD HH")</f>
        <v/>
      </c>
      <c r="R1516" s="25">
        <f>COUNTIF($Q$2:$Q$5295,Q1516)</f>
        <v/>
      </c>
      <c r="S1516" s="25">
        <f>IF(R1516&lt;=2,"1-2",IF(R1516&lt;=5,"3-5",IF(R1516&lt;=10,"6-10","11+")))</f>
        <v/>
      </c>
    </row>
    <row r="1517">
      <c r="A1517" s="39" t="n">
        <v>46168.38284722222</v>
      </c>
      <c r="B1517" s="25">
        <f>TEXT(A1517,"YYYY-MM")</f>
        <v/>
      </c>
      <c r="C1517" s="25">
        <f>TEXT(A1517,"MMM-YYYY")</f>
        <v/>
      </c>
      <c r="D1517" s="40">
        <f>INT(A1517)-WEEKDAY(A1517,2)+1</f>
        <v/>
      </c>
      <c r="E1517" s="25" t="inlineStr">
        <is>
          <t>vprasad</t>
        </is>
      </c>
      <c r="F1517" s="25" t="n">
        <v>102804</v>
      </c>
      <c r="G1517" s="25" t="n">
        <v>2</v>
      </c>
      <c r="H1517" s="25" t="n">
        <v>8</v>
      </c>
      <c r="I1517" s="25" t="inlineStr">
        <is>
          <t>1 minute(s) and 22 second(s)</t>
        </is>
      </c>
      <c r="J1517" s="25">
        <f>IFERROR(VALUE(TRIM(LEFT(I1517,FIND("minute",I1517)-1)))*60,0)+IFERROR(VALUE(SUBSTITUTE(MID(I1517,IFERROR(FIND("and",I1517)+3,1),20),"second(s)","")),0)</f>
        <v/>
      </c>
      <c r="K1517" s="41">
        <f>J1517/60</f>
        <v/>
      </c>
      <c r="L1517" s="41">
        <f>IFERROR(J1517/H1517,"")</f>
        <v/>
      </c>
      <c r="M1517" s="25" t="inlineStr">
        <is>
          <t>2.5.12</t>
        </is>
      </c>
      <c r="N1517" s="25">
        <f>IF(J1517&gt;300,1,0)</f>
        <v/>
      </c>
      <c r="O1517" s="25">
        <f>IF(J1517&gt;600,1,0)</f>
        <v/>
      </c>
      <c r="P1517" s="25">
        <f>IF(H1517&gt;0,J1517,"")</f>
        <v/>
      </c>
      <c r="Q1517" s="25">
        <f>TEXT(A1517,"YYYY-MM-DD HH")</f>
        <v/>
      </c>
      <c r="R1517" s="25">
        <f>COUNTIF($Q$2:$Q$5295,Q1517)</f>
        <v/>
      </c>
      <c r="S1517" s="25">
        <f>IF(R1517&lt;=2,"1-2",IF(R1517&lt;=5,"3-5",IF(R1517&lt;=10,"6-10","11+")))</f>
        <v/>
      </c>
    </row>
    <row r="1518">
      <c r="A1518" s="39" t="n">
        <v>46168.38298611111</v>
      </c>
      <c r="B1518" s="25">
        <f>TEXT(A1518,"YYYY-MM")</f>
        <v/>
      </c>
      <c r="C1518" s="25">
        <f>TEXT(A1518,"MMM-YYYY")</f>
        <v/>
      </c>
      <c r="D1518" s="40">
        <f>INT(A1518)-WEEKDAY(A1518,2)+1</f>
        <v/>
      </c>
      <c r="E1518" s="25" t="inlineStr">
        <is>
          <t>smukhopadhyay</t>
        </is>
      </c>
      <c r="F1518" s="25" t="n">
        <v>5058</v>
      </c>
      <c r="G1518" s="25" t="n">
        <v>1</v>
      </c>
      <c r="H1518" s="25" t="n">
        <v>5</v>
      </c>
      <c r="I1518" s="25" t="inlineStr">
        <is>
          <t>4 minute(s) and 38 second(s)</t>
        </is>
      </c>
      <c r="J1518" s="25">
        <f>IFERROR(VALUE(TRIM(LEFT(I1518,FIND("minute",I1518)-1)))*60,0)+IFERROR(VALUE(SUBSTITUTE(MID(I1518,IFERROR(FIND("and",I1518)+3,1),20),"second(s)","")),0)</f>
        <v/>
      </c>
      <c r="K1518" s="41">
        <f>J1518/60</f>
        <v/>
      </c>
      <c r="L1518" s="41">
        <f>IFERROR(J1518/H1518,"")</f>
        <v/>
      </c>
      <c r="M1518" s="25" t="inlineStr">
        <is>
          <t>2.5.12</t>
        </is>
      </c>
      <c r="N1518" s="25">
        <f>IF(J1518&gt;300,1,0)</f>
        <v/>
      </c>
      <c r="O1518" s="25">
        <f>IF(J1518&gt;600,1,0)</f>
        <v/>
      </c>
      <c r="P1518" s="25">
        <f>IF(H1518&gt;0,J1518,"")</f>
        <v/>
      </c>
      <c r="Q1518" s="25">
        <f>TEXT(A1518,"YYYY-MM-DD HH")</f>
        <v/>
      </c>
      <c r="R1518" s="25">
        <f>COUNTIF($Q$2:$Q$5295,Q1518)</f>
        <v/>
      </c>
      <c r="S1518" s="25">
        <f>IF(R1518&lt;=2,"1-2",IF(R1518&lt;=5,"3-5",IF(R1518&lt;=10,"6-10","11+")))</f>
        <v/>
      </c>
    </row>
    <row r="1519">
      <c r="A1519" s="39" t="n">
        <v>46168.38853009259</v>
      </c>
      <c r="B1519" s="25">
        <f>TEXT(A1519,"YYYY-MM")</f>
        <v/>
      </c>
      <c r="C1519" s="25">
        <f>TEXT(A1519,"MMM-YYYY")</f>
        <v/>
      </c>
      <c r="D1519" s="40">
        <f>INT(A1519)-WEEKDAY(A1519,2)+1</f>
        <v/>
      </c>
      <c r="E1519" s="25" t="inlineStr">
        <is>
          <t>emishra</t>
        </is>
      </c>
      <c r="F1519" s="25" t="n">
        <v>12047</v>
      </c>
      <c r="G1519" s="25" t="n">
        <v>1</v>
      </c>
      <c r="H1519" s="25" t="n">
        <v>7</v>
      </c>
      <c r="I1519" s="25" t="inlineStr">
        <is>
          <t>1 minute(s) and 0 second(s)</t>
        </is>
      </c>
      <c r="J1519" s="25">
        <f>IFERROR(VALUE(TRIM(LEFT(I1519,FIND("minute",I1519)-1)))*60,0)+IFERROR(VALUE(SUBSTITUTE(MID(I1519,IFERROR(FIND("and",I1519)+3,1),20),"second(s)","")),0)</f>
        <v/>
      </c>
      <c r="K1519" s="41">
        <f>J1519/60</f>
        <v/>
      </c>
      <c r="L1519" s="41">
        <f>IFERROR(J1519/H1519,"")</f>
        <v/>
      </c>
      <c r="M1519" s="25" t="inlineStr">
        <is>
          <t>2.5.12</t>
        </is>
      </c>
      <c r="N1519" s="25">
        <f>IF(J1519&gt;300,1,0)</f>
        <v/>
      </c>
      <c r="O1519" s="25">
        <f>IF(J1519&gt;600,1,0)</f>
        <v/>
      </c>
      <c r="P1519" s="25">
        <f>IF(H1519&gt;0,J1519,"")</f>
        <v/>
      </c>
      <c r="Q1519" s="25">
        <f>TEXT(A1519,"YYYY-MM-DD HH")</f>
        <v/>
      </c>
      <c r="R1519" s="25">
        <f>COUNTIF($Q$2:$Q$5295,Q1519)</f>
        <v/>
      </c>
      <c r="S1519" s="25">
        <f>IF(R1519&lt;=2,"1-2",IF(R1519&lt;=5,"3-5",IF(R1519&lt;=10,"6-10","11+")))</f>
        <v/>
      </c>
    </row>
    <row r="1520">
      <c r="A1520" s="39" t="n">
        <v>46168.38991898148</v>
      </c>
      <c r="B1520" s="25">
        <f>TEXT(A1520,"YYYY-MM")</f>
        <v/>
      </c>
      <c r="C1520" s="25">
        <f>TEXT(A1520,"MMM-YYYY")</f>
        <v/>
      </c>
      <c r="D1520" s="40">
        <f>INT(A1520)-WEEKDAY(A1520,2)+1</f>
        <v/>
      </c>
      <c r="E1520" s="25" t="inlineStr">
        <is>
          <t>pmishra</t>
        </is>
      </c>
      <c r="F1520" s="25" t="n">
        <v>5580</v>
      </c>
      <c r="G1520" s="25" t="n">
        <v>2</v>
      </c>
      <c r="H1520" s="25" t="n">
        <v>10</v>
      </c>
      <c r="I1520" s="25" t="inlineStr">
        <is>
          <t>3 minute(s) and 42 second(s)</t>
        </is>
      </c>
      <c r="J1520" s="25">
        <f>IFERROR(VALUE(TRIM(LEFT(I1520,FIND("minute",I1520)-1)))*60,0)+IFERROR(VALUE(SUBSTITUTE(MID(I1520,IFERROR(FIND("and",I1520)+3,1),20),"second(s)","")),0)</f>
        <v/>
      </c>
      <c r="K1520" s="41">
        <f>J1520/60</f>
        <v/>
      </c>
      <c r="L1520" s="41">
        <f>IFERROR(J1520/H1520,"")</f>
        <v/>
      </c>
      <c r="M1520" s="25" t="inlineStr">
        <is>
          <t>2.5.12</t>
        </is>
      </c>
      <c r="N1520" s="25">
        <f>IF(J1520&gt;300,1,0)</f>
        <v/>
      </c>
      <c r="O1520" s="25">
        <f>IF(J1520&gt;600,1,0)</f>
        <v/>
      </c>
      <c r="P1520" s="25">
        <f>IF(H1520&gt;0,J1520,"")</f>
        <v/>
      </c>
      <c r="Q1520" s="25">
        <f>TEXT(A1520,"YYYY-MM-DD HH")</f>
        <v/>
      </c>
      <c r="R1520" s="25">
        <f>COUNTIF($Q$2:$Q$5295,Q1520)</f>
        <v/>
      </c>
      <c r="S1520" s="25">
        <f>IF(R1520&lt;=2,"1-2",IF(R1520&lt;=5,"3-5",IF(R1520&lt;=10,"6-10","11+")))</f>
        <v/>
      </c>
    </row>
    <row r="1521">
      <c r="A1521" s="39" t="n">
        <v>46168.39114583333</v>
      </c>
      <c r="B1521" s="25">
        <f>TEXT(A1521,"YYYY-MM")</f>
        <v/>
      </c>
      <c r="C1521" s="25">
        <f>TEXT(A1521,"MMM-YYYY")</f>
        <v/>
      </c>
      <c r="D1521" s="40">
        <f>INT(A1521)-WEEKDAY(A1521,2)+1</f>
        <v/>
      </c>
      <c r="E1521" s="25" t="inlineStr">
        <is>
          <t>sdey</t>
        </is>
      </c>
      <c r="F1521" s="25" t="n">
        <v>5408</v>
      </c>
      <c r="G1521" s="25" t="n">
        <v>1</v>
      </c>
      <c r="H1521" s="25" t="n">
        <v>7</v>
      </c>
      <c r="I1521" s="25" t="inlineStr">
        <is>
          <t>1 minute(s) and 59 second(s)</t>
        </is>
      </c>
      <c r="J1521" s="25">
        <f>IFERROR(VALUE(TRIM(LEFT(I1521,FIND("minute",I1521)-1)))*60,0)+IFERROR(VALUE(SUBSTITUTE(MID(I1521,IFERROR(FIND("and",I1521)+3,1),20),"second(s)","")),0)</f>
        <v/>
      </c>
      <c r="K1521" s="41">
        <f>J1521/60</f>
        <v/>
      </c>
      <c r="L1521" s="41">
        <f>IFERROR(J1521/H1521,"")</f>
        <v/>
      </c>
      <c r="M1521" s="25" t="inlineStr">
        <is>
          <t>2.5.12</t>
        </is>
      </c>
      <c r="N1521" s="25">
        <f>IF(J1521&gt;300,1,0)</f>
        <v/>
      </c>
      <c r="O1521" s="25">
        <f>IF(J1521&gt;600,1,0)</f>
        <v/>
      </c>
      <c r="P1521" s="25">
        <f>IF(H1521&gt;0,J1521,"")</f>
        <v/>
      </c>
      <c r="Q1521" s="25">
        <f>TEXT(A1521,"YYYY-MM-DD HH")</f>
        <v/>
      </c>
      <c r="R1521" s="25">
        <f>COUNTIF($Q$2:$Q$5295,Q1521)</f>
        <v/>
      </c>
      <c r="S1521" s="25">
        <f>IF(R1521&lt;=2,"1-2",IF(R1521&lt;=5,"3-5",IF(R1521&lt;=10,"6-10","11+")))</f>
        <v/>
      </c>
    </row>
    <row r="1522">
      <c r="A1522" s="39" t="n">
        <v>46168.40038194445</v>
      </c>
      <c r="B1522" s="25">
        <f>TEXT(A1522,"YYYY-MM")</f>
        <v/>
      </c>
      <c r="C1522" s="25">
        <f>TEXT(A1522,"MMM-YYYY")</f>
        <v/>
      </c>
      <c r="D1522" s="40">
        <f>INT(A1522)-WEEKDAY(A1522,2)+1</f>
        <v/>
      </c>
      <c r="E1522" s="25" t="inlineStr">
        <is>
          <t>ssaha</t>
        </is>
      </c>
      <c r="F1522" s="25" t="n">
        <v>4132</v>
      </c>
      <c r="G1522" s="25" t="n">
        <v>5</v>
      </c>
      <c r="H1522" s="25" t="n">
        <v>17</v>
      </c>
      <c r="I1522" s="25" t="inlineStr">
        <is>
          <t>4 minute(s) and 20 second(s)</t>
        </is>
      </c>
      <c r="J1522" s="25">
        <f>IFERROR(VALUE(TRIM(LEFT(I1522,FIND("minute",I1522)-1)))*60,0)+IFERROR(VALUE(SUBSTITUTE(MID(I1522,IFERROR(FIND("and",I1522)+3,1),20),"second(s)","")),0)</f>
        <v/>
      </c>
      <c r="K1522" s="41">
        <f>J1522/60</f>
        <v/>
      </c>
      <c r="L1522" s="41">
        <f>IFERROR(J1522/H1522,"")</f>
        <v/>
      </c>
      <c r="M1522" s="25" t="inlineStr">
        <is>
          <t>2.5.12</t>
        </is>
      </c>
      <c r="N1522" s="25">
        <f>IF(J1522&gt;300,1,0)</f>
        <v/>
      </c>
      <c r="O1522" s="25">
        <f>IF(J1522&gt;600,1,0)</f>
        <v/>
      </c>
      <c r="P1522" s="25">
        <f>IF(H1522&gt;0,J1522,"")</f>
        <v/>
      </c>
      <c r="Q1522" s="25">
        <f>TEXT(A1522,"YYYY-MM-DD HH")</f>
        <v/>
      </c>
      <c r="R1522" s="25">
        <f>COUNTIF($Q$2:$Q$5295,Q1522)</f>
        <v/>
      </c>
      <c r="S1522" s="25">
        <f>IF(R1522&lt;=2,"1-2",IF(R1522&lt;=5,"3-5",IF(R1522&lt;=10,"6-10","11+")))</f>
        <v/>
      </c>
    </row>
    <row r="1523">
      <c r="A1523" s="39" t="n">
        <v>46168.40138888889</v>
      </c>
      <c r="B1523" s="25">
        <f>TEXT(A1523,"YYYY-MM")</f>
        <v/>
      </c>
      <c r="C1523" s="25">
        <f>TEXT(A1523,"MMM-YYYY")</f>
        <v/>
      </c>
      <c r="D1523" s="40">
        <f>INT(A1523)-WEEKDAY(A1523,2)+1</f>
        <v/>
      </c>
      <c r="E1523" s="25" t="inlineStr">
        <is>
          <t>abhaskarkp</t>
        </is>
      </c>
      <c r="F1523" s="25" t="n">
        <v>3607</v>
      </c>
      <c r="G1523" s="25" t="n">
        <v>1</v>
      </c>
      <c r="H1523" s="25" t="n">
        <v>7</v>
      </c>
      <c r="I1523" s="25" t="inlineStr">
        <is>
          <t>1 minute(s) and 22 second(s)</t>
        </is>
      </c>
      <c r="J1523" s="25">
        <f>IFERROR(VALUE(TRIM(LEFT(I1523,FIND("minute",I1523)-1)))*60,0)+IFERROR(VALUE(SUBSTITUTE(MID(I1523,IFERROR(FIND("and",I1523)+3,1),20),"second(s)","")),0)</f>
        <v/>
      </c>
      <c r="K1523" s="41">
        <f>J1523/60</f>
        <v/>
      </c>
      <c r="L1523" s="41">
        <f>IFERROR(J1523/H1523,"")</f>
        <v/>
      </c>
      <c r="M1523" s="25" t="inlineStr">
        <is>
          <t>2.5.12</t>
        </is>
      </c>
      <c r="N1523" s="25">
        <f>IF(J1523&gt;300,1,0)</f>
        <v/>
      </c>
      <c r="O1523" s="25">
        <f>IF(J1523&gt;600,1,0)</f>
        <v/>
      </c>
      <c r="P1523" s="25">
        <f>IF(H1523&gt;0,J1523,"")</f>
        <v/>
      </c>
      <c r="Q1523" s="25">
        <f>TEXT(A1523,"YYYY-MM-DD HH")</f>
        <v/>
      </c>
      <c r="R1523" s="25">
        <f>COUNTIF($Q$2:$Q$5295,Q1523)</f>
        <v/>
      </c>
      <c r="S1523" s="25">
        <f>IF(R1523&lt;=2,"1-2",IF(R1523&lt;=5,"3-5",IF(R1523&lt;=10,"6-10","11+")))</f>
        <v/>
      </c>
    </row>
    <row r="1524">
      <c r="A1524" s="39" t="n">
        <v>46168.40476851852</v>
      </c>
      <c r="B1524" s="25">
        <f>TEXT(A1524,"YYYY-MM")</f>
        <v/>
      </c>
      <c r="C1524" s="25">
        <f>TEXT(A1524,"MMM-YYYY")</f>
        <v/>
      </c>
      <c r="D1524" s="40">
        <f>INT(A1524)-WEEKDAY(A1524,2)+1</f>
        <v/>
      </c>
      <c r="E1524" s="25" t="inlineStr">
        <is>
          <t>csaha</t>
        </is>
      </c>
      <c r="F1524" s="25" t="n">
        <v>4858</v>
      </c>
      <c r="G1524" s="25" t="n">
        <v>1</v>
      </c>
      <c r="H1524" s="25" t="n">
        <v>7</v>
      </c>
      <c r="I1524" s="25" t="inlineStr">
        <is>
          <t>2 minute(s) and 34 second(s)</t>
        </is>
      </c>
      <c r="J1524" s="25">
        <f>IFERROR(VALUE(TRIM(LEFT(I1524,FIND("minute",I1524)-1)))*60,0)+IFERROR(VALUE(SUBSTITUTE(MID(I1524,IFERROR(FIND("and",I1524)+3,1),20),"second(s)","")),0)</f>
        <v/>
      </c>
      <c r="K1524" s="41">
        <f>J1524/60</f>
        <v/>
      </c>
      <c r="L1524" s="41">
        <f>IFERROR(J1524/H1524,"")</f>
        <v/>
      </c>
      <c r="M1524" s="25" t="inlineStr">
        <is>
          <t>2.5.12</t>
        </is>
      </c>
      <c r="N1524" s="25">
        <f>IF(J1524&gt;300,1,0)</f>
        <v/>
      </c>
      <c r="O1524" s="25">
        <f>IF(J1524&gt;600,1,0)</f>
        <v/>
      </c>
      <c r="P1524" s="25">
        <f>IF(H1524&gt;0,J1524,"")</f>
        <v/>
      </c>
      <c r="Q1524" s="25">
        <f>TEXT(A1524,"YYYY-MM-DD HH")</f>
        <v/>
      </c>
      <c r="R1524" s="25">
        <f>COUNTIF($Q$2:$Q$5295,Q1524)</f>
        <v/>
      </c>
      <c r="S1524" s="25">
        <f>IF(R1524&lt;=2,"1-2",IF(R1524&lt;=5,"3-5",IF(R1524&lt;=10,"6-10","11+")))</f>
        <v/>
      </c>
    </row>
    <row r="1525">
      <c r="A1525" s="39" t="n">
        <v>46168.41162037037</v>
      </c>
      <c r="B1525" s="25">
        <f>TEXT(A1525,"YYYY-MM")</f>
        <v/>
      </c>
      <c r="C1525" s="25">
        <f>TEXT(A1525,"MMM-YYYY")</f>
        <v/>
      </c>
      <c r="D1525" s="40">
        <f>INT(A1525)-WEEKDAY(A1525,2)+1</f>
        <v/>
      </c>
      <c r="E1525" s="25" t="inlineStr">
        <is>
          <t>pgautam</t>
        </is>
      </c>
      <c r="F1525" s="25" t="n">
        <v>5776</v>
      </c>
      <c r="G1525" s="25" t="n">
        <v>3</v>
      </c>
      <c r="H1525" s="25" t="n">
        <v>17</v>
      </c>
      <c r="I1525" s="25" t="inlineStr">
        <is>
          <t>4 minute(s) and 4 second(s)</t>
        </is>
      </c>
      <c r="J1525" s="25">
        <f>IFERROR(VALUE(TRIM(LEFT(I1525,FIND("minute",I1525)-1)))*60,0)+IFERROR(VALUE(SUBSTITUTE(MID(I1525,IFERROR(FIND("and",I1525)+3,1),20),"second(s)","")),0)</f>
        <v/>
      </c>
      <c r="K1525" s="41">
        <f>J1525/60</f>
        <v/>
      </c>
      <c r="L1525" s="41">
        <f>IFERROR(J1525/H1525,"")</f>
        <v/>
      </c>
      <c r="M1525" s="25" t="inlineStr">
        <is>
          <t>2.5.12</t>
        </is>
      </c>
      <c r="N1525" s="25">
        <f>IF(J1525&gt;300,1,0)</f>
        <v/>
      </c>
      <c r="O1525" s="25">
        <f>IF(J1525&gt;600,1,0)</f>
        <v/>
      </c>
      <c r="P1525" s="25">
        <f>IF(H1525&gt;0,J1525,"")</f>
        <v/>
      </c>
      <c r="Q1525" s="25">
        <f>TEXT(A1525,"YYYY-MM-DD HH")</f>
        <v/>
      </c>
      <c r="R1525" s="25">
        <f>COUNTIF($Q$2:$Q$5295,Q1525)</f>
        <v/>
      </c>
      <c r="S1525" s="25">
        <f>IF(R1525&lt;=2,"1-2",IF(R1525&lt;=5,"3-5",IF(R1525&lt;=10,"6-10","11+")))</f>
        <v/>
      </c>
    </row>
    <row r="1526">
      <c r="A1526" s="39" t="n">
        <v>46168.41489583333</v>
      </c>
      <c r="B1526" s="25">
        <f>TEXT(A1526,"YYYY-MM")</f>
        <v/>
      </c>
      <c r="C1526" s="25">
        <f>TEXT(A1526,"MMM-YYYY")</f>
        <v/>
      </c>
      <c r="D1526" s="40">
        <f>INT(A1526)-WEEKDAY(A1526,2)+1</f>
        <v/>
      </c>
      <c r="E1526" s="25" t="inlineStr">
        <is>
          <t>pmishra</t>
        </is>
      </c>
      <c r="F1526" s="25" t="n">
        <v>5581</v>
      </c>
      <c r="G1526" s="25" t="n">
        <v>1</v>
      </c>
      <c r="H1526" s="25" t="n">
        <v>7</v>
      </c>
      <c r="I1526" s="25" t="inlineStr">
        <is>
          <t>1 minute(s) and 43 second(s)</t>
        </is>
      </c>
      <c r="J1526" s="25">
        <f>IFERROR(VALUE(TRIM(LEFT(I1526,FIND("minute",I1526)-1)))*60,0)+IFERROR(VALUE(SUBSTITUTE(MID(I1526,IFERROR(FIND("and",I1526)+3,1),20),"second(s)","")),0)</f>
        <v/>
      </c>
      <c r="K1526" s="41">
        <f>J1526/60</f>
        <v/>
      </c>
      <c r="L1526" s="41">
        <f>IFERROR(J1526/H1526,"")</f>
        <v/>
      </c>
      <c r="M1526" s="25" t="inlineStr">
        <is>
          <t>2.5.12</t>
        </is>
      </c>
      <c r="N1526" s="25">
        <f>IF(J1526&gt;300,1,0)</f>
        <v/>
      </c>
      <c r="O1526" s="25">
        <f>IF(J1526&gt;600,1,0)</f>
        <v/>
      </c>
      <c r="P1526" s="25">
        <f>IF(H1526&gt;0,J1526,"")</f>
        <v/>
      </c>
      <c r="Q1526" s="25">
        <f>TEXT(A1526,"YYYY-MM-DD HH")</f>
        <v/>
      </c>
      <c r="R1526" s="25">
        <f>COUNTIF($Q$2:$Q$5295,Q1526)</f>
        <v/>
      </c>
      <c r="S1526" s="25">
        <f>IF(R1526&lt;=2,"1-2",IF(R1526&lt;=5,"3-5",IF(R1526&lt;=10,"6-10","11+")))</f>
        <v/>
      </c>
    </row>
    <row r="1527">
      <c r="A1527" s="39" t="n">
        <v>46168.42057870371</v>
      </c>
      <c r="B1527" s="25">
        <f>TEXT(A1527,"YYYY-MM")</f>
        <v/>
      </c>
      <c r="C1527" s="25">
        <f>TEXT(A1527,"MMM-YYYY")</f>
        <v/>
      </c>
      <c r="D1527" s="40">
        <f>INT(A1527)-WEEKDAY(A1527,2)+1</f>
        <v/>
      </c>
      <c r="E1527" s="25" t="inlineStr">
        <is>
          <t>abhaskarkp</t>
        </is>
      </c>
      <c r="F1527" s="25" t="n">
        <v>3606</v>
      </c>
      <c r="G1527" s="25" t="n">
        <v>1</v>
      </c>
      <c r="H1527" s="25" t="n">
        <v>7</v>
      </c>
      <c r="I1527" s="25" t="inlineStr">
        <is>
          <t>4 minute(s) and 27 second(s)</t>
        </is>
      </c>
      <c r="J1527" s="25">
        <f>IFERROR(VALUE(TRIM(LEFT(I1527,FIND("minute",I1527)-1)))*60,0)+IFERROR(VALUE(SUBSTITUTE(MID(I1527,IFERROR(FIND("and",I1527)+3,1),20),"second(s)","")),0)</f>
        <v/>
      </c>
      <c r="K1527" s="41">
        <f>J1527/60</f>
        <v/>
      </c>
      <c r="L1527" s="41">
        <f>IFERROR(J1527/H1527,"")</f>
        <v/>
      </c>
      <c r="M1527" s="25" t="inlineStr">
        <is>
          <t>2.5.12</t>
        </is>
      </c>
      <c r="N1527" s="25">
        <f>IF(J1527&gt;300,1,0)</f>
        <v/>
      </c>
      <c r="O1527" s="25">
        <f>IF(J1527&gt;600,1,0)</f>
        <v/>
      </c>
      <c r="P1527" s="25">
        <f>IF(H1527&gt;0,J1527,"")</f>
        <v/>
      </c>
      <c r="Q1527" s="25">
        <f>TEXT(A1527,"YYYY-MM-DD HH")</f>
        <v/>
      </c>
      <c r="R1527" s="25">
        <f>COUNTIF($Q$2:$Q$5295,Q1527)</f>
        <v/>
      </c>
      <c r="S1527" s="25">
        <f>IF(R1527&lt;=2,"1-2",IF(R1527&lt;=5,"3-5",IF(R1527&lt;=10,"6-10","11+")))</f>
        <v/>
      </c>
    </row>
    <row r="1528">
      <c r="A1528" s="39" t="n">
        <v>46168.42821759259</v>
      </c>
      <c r="B1528" s="25">
        <f>TEXT(A1528,"YYYY-MM")</f>
        <v/>
      </c>
      <c r="C1528" s="25">
        <f>TEXT(A1528,"MMM-YYYY")</f>
        <v/>
      </c>
      <c r="D1528" s="40">
        <f>INT(A1528)-WEEKDAY(A1528,2)+1</f>
        <v/>
      </c>
      <c r="E1528" s="25" t="inlineStr">
        <is>
          <t>sswati</t>
        </is>
      </c>
      <c r="F1528" s="25" t="n">
        <v>5998</v>
      </c>
      <c r="G1528" s="25" t="n">
        <v>1</v>
      </c>
      <c r="H1528" s="25" t="n">
        <v>7</v>
      </c>
      <c r="I1528" s="25" t="inlineStr">
        <is>
          <t>3 minute(s) and 6 second(s)</t>
        </is>
      </c>
      <c r="J1528" s="25">
        <f>IFERROR(VALUE(TRIM(LEFT(I1528,FIND("minute",I1528)-1)))*60,0)+IFERROR(VALUE(SUBSTITUTE(MID(I1528,IFERROR(FIND("and",I1528)+3,1),20),"second(s)","")),0)</f>
        <v/>
      </c>
      <c r="K1528" s="41">
        <f>J1528/60</f>
        <v/>
      </c>
      <c r="L1528" s="41">
        <f>IFERROR(J1528/H1528,"")</f>
        <v/>
      </c>
      <c r="M1528" s="25" t="inlineStr">
        <is>
          <t>2.5.12</t>
        </is>
      </c>
      <c r="N1528" s="25">
        <f>IF(J1528&gt;300,1,0)</f>
        <v/>
      </c>
      <c r="O1528" s="25">
        <f>IF(J1528&gt;600,1,0)</f>
        <v/>
      </c>
      <c r="P1528" s="25">
        <f>IF(H1528&gt;0,J1528,"")</f>
        <v/>
      </c>
      <c r="Q1528" s="25">
        <f>TEXT(A1528,"YYYY-MM-DD HH")</f>
        <v/>
      </c>
      <c r="R1528" s="25">
        <f>COUNTIF($Q$2:$Q$5295,Q1528)</f>
        <v/>
      </c>
      <c r="S1528" s="25">
        <f>IF(R1528&lt;=2,"1-2",IF(R1528&lt;=5,"3-5",IF(R1528&lt;=10,"6-10","11+")))</f>
        <v/>
      </c>
    </row>
    <row r="1529">
      <c r="A1529" s="39" t="n">
        <v>46168.46084490741</v>
      </c>
      <c r="B1529" s="25">
        <f>TEXT(A1529,"YYYY-MM")</f>
        <v/>
      </c>
      <c r="C1529" s="25">
        <f>TEXT(A1529,"MMM-YYYY")</f>
        <v/>
      </c>
      <c r="D1529" s="40">
        <f>INT(A1529)-WEEKDAY(A1529,2)+1</f>
        <v/>
      </c>
      <c r="E1529" s="25" t="inlineStr">
        <is>
          <t>pgautam</t>
        </is>
      </c>
      <c r="F1529" s="25" t="n">
        <v>5774</v>
      </c>
      <c r="G1529" s="25" t="n">
        <v>4</v>
      </c>
      <c r="H1529" s="25" t="n">
        <v>16</v>
      </c>
      <c r="I1529" s="25" t="inlineStr">
        <is>
          <t>3 minute(s) and 17 second(s)</t>
        </is>
      </c>
      <c r="J1529" s="25">
        <f>IFERROR(VALUE(TRIM(LEFT(I1529,FIND("minute",I1529)-1)))*60,0)+IFERROR(VALUE(SUBSTITUTE(MID(I1529,IFERROR(FIND("and",I1529)+3,1),20),"second(s)","")),0)</f>
        <v/>
      </c>
      <c r="K1529" s="41">
        <f>J1529/60</f>
        <v/>
      </c>
      <c r="L1529" s="41">
        <f>IFERROR(J1529/H1529,"")</f>
        <v/>
      </c>
      <c r="M1529" s="25" t="inlineStr">
        <is>
          <t>2.5.12</t>
        </is>
      </c>
      <c r="N1529" s="25">
        <f>IF(J1529&gt;300,1,0)</f>
        <v/>
      </c>
      <c r="O1529" s="25">
        <f>IF(J1529&gt;600,1,0)</f>
        <v/>
      </c>
      <c r="P1529" s="25">
        <f>IF(H1529&gt;0,J1529,"")</f>
        <v/>
      </c>
      <c r="Q1529" s="25">
        <f>TEXT(A1529,"YYYY-MM-DD HH")</f>
        <v/>
      </c>
      <c r="R1529" s="25">
        <f>COUNTIF($Q$2:$Q$5295,Q1529)</f>
        <v/>
      </c>
      <c r="S1529" s="25">
        <f>IF(R1529&lt;=2,"1-2",IF(R1529&lt;=5,"3-5",IF(R1529&lt;=10,"6-10","11+")))</f>
        <v/>
      </c>
    </row>
    <row r="1530">
      <c r="A1530" s="39" t="n">
        <v>46168.46146990741</v>
      </c>
      <c r="B1530" s="25">
        <f>TEXT(A1530,"YYYY-MM")</f>
        <v/>
      </c>
      <c r="C1530" s="25">
        <f>TEXT(A1530,"MMM-YYYY")</f>
        <v/>
      </c>
      <c r="D1530" s="40">
        <f>INT(A1530)-WEEKDAY(A1530,2)+1</f>
        <v/>
      </c>
      <c r="E1530" s="25" t="inlineStr">
        <is>
          <t>mbohra</t>
        </is>
      </c>
      <c r="F1530" s="25" t="n">
        <v>89850</v>
      </c>
      <c r="G1530" s="25" t="n">
        <v>2</v>
      </c>
      <c r="H1530" s="25" t="n">
        <v>10</v>
      </c>
      <c r="I1530" s="25" t="inlineStr">
        <is>
          <t>5 minute(s) and 26 second(s)</t>
        </is>
      </c>
      <c r="J1530" s="25">
        <f>IFERROR(VALUE(TRIM(LEFT(I1530,FIND("minute",I1530)-1)))*60,0)+IFERROR(VALUE(SUBSTITUTE(MID(I1530,IFERROR(FIND("and",I1530)+3,1),20),"second(s)","")),0)</f>
        <v/>
      </c>
      <c r="K1530" s="41">
        <f>J1530/60</f>
        <v/>
      </c>
      <c r="L1530" s="41">
        <f>IFERROR(J1530/H1530,"")</f>
        <v/>
      </c>
      <c r="M1530" s="25" t="inlineStr">
        <is>
          <t>2.5.12</t>
        </is>
      </c>
      <c r="N1530" s="25">
        <f>IF(J1530&gt;300,1,0)</f>
        <v/>
      </c>
      <c r="O1530" s="25">
        <f>IF(J1530&gt;600,1,0)</f>
        <v/>
      </c>
      <c r="P1530" s="25">
        <f>IF(H1530&gt;0,J1530,"")</f>
        <v/>
      </c>
      <c r="Q1530" s="25">
        <f>TEXT(A1530,"YYYY-MM-DD HH")</f>
        <v/>
      </c>
      <c r="R1530" s="25">
        <f>COUNTIF($Q$2:$Q$5295,Q1530)</f>
        <v/>
      </c>
      <c r="S1530" s="25">
        <f>IF(R1530&lt;=2,"1-2",IF(R1530&lt;=5,"3-5",IF(R1530&lt;=10,"6-10","11+")))</f>
        <v/>
      </c>
    </row>
    <row r="1531">
      <c r="A1531" s="39" t="n">
        <v>46168.4696412037</v>
      </c>
      <c r="B1531" s="25">
        <f>TEXT(A1531,"YYYY-MM")</f>
        <v/>
      </c>
      <c r="C1531" s="25">
        <f>TEXT(A1531,"MMM-YYYY")</f>
        <v/>
      </c>
      <c r="D1531" s="40">
        <f>INT(A1531)-WEEKDAY(A1531,2)+1</f>
        <v/>
      </c>
      <c r="E1531" s="25" t="inlineStr">
        <is>
          <t>psathwika</t>
        </is>
      </c>
      <c r="F1531" s="25" t="n">
        <v>113495</v>
      </c>
      <c r="G1531" s="25" t="n">
        <v>5</v>
      </c>
      <c r="H1531" s="25" t="n">
        <v>26</v>
      </c>
      <c r="I1531" s="25" t="inlineStr">
        <is>
          <t>7 minute(s) and 38 second(s)</t>
        </is>
      </c>
      <c r="J1531" s="25">
        <f>IFERROR(VALUE(TRIM(LEFT(I1531,FIND("minute",I1531)-1)))*60,0)+IFERROR(VALUE(SUBSTITUTE(MID(I1531,IFERROR(FIND("and",I1531)+3,1),20),"second(s)","")),0)</f>
        <v/>
      </c>
      <c r="K1531" s="41">
        <f>J1531/60</f>
        <v/>
      </c>
      <c r="L1531" s="41">
        <f>IFERROR(J1531/H1531,"")</f>
        <v/>
      </c>
      <c r="M1531" s="25" t="inlineStr">
        <is>
          <t>2.5.12</t>
        </is>
      </c>
      <c r="N1531" s="25">
        <f>IF(J1531&gt;300,1,0)</f>
        <v/>
      </c>
      <c r="O1531" s="25">
        <f>IF(J1531&gt;600,1,0)</f>
        <v/>
      </c>
      <c r="P1531" s="25">
        <f>IF(H1531&gt;0,J1531,"")</f>
        <v/>
      </c>
      <c r="Q1531" s="25">
        <f>TEXT(A1531,"YYYY-MM-DD HH")</f>
        <v/>
      </c>
      <c r="R1531" s="25">
        <f>COUNTIF($Q$2:$Q$5295,Q1531)</f>
        <v/>
      </c>
      <c r="S1531" s="25">
        <f>IF(R1531&lt;=2,"1-2",IF(R1531&lt;=5,"3-5",IF(R1531&lt;=10,"6-10","11+")))</f>
        <v/>
      </c>
    </row>
    <row r="1532">
      <c r="A1532" s="39" t="n">
        <v>46168.47686342592</v>
      </c>
      <c r="B1532" s="25">
        <f>TEXT(A1532,"YYYY-MM")</f>
        <v/>
      </c>
      <c r="C1532" s="25">
        <f>TEXT(A1532,"MMM-YYYY")</f>
        <v/>
      </c>
      <c r="D1532" s="40">
        <f>INT(A1532)-WEEKDAY(A1532,2)+1</f>
        <v/>
      </c>
      <c r="E1532" s="25" t="inlineStr">
        <is>
          <t>psingh</t>
        </is>
      </c>
      <c r="F1532" s="25" t="n">
        <v>1897</v>
      </c>
      <c r="G1532" s="25" t="n">
        <v>2</v>
      </c>
      <c r="H1532" s="25" t="n">
        <v>14</v>
      </c>
      <c r="I1532" s="25" t="inlineStr">
        <is>
          <t>4 minute(s) and 30 second(s)</t>
        </is>
      </c>
      <c r="J1532" s="25">
        <f>IFERROR(VALUE(TRIM(LEFT(I1532,FIND("minute",I1532)-1)))*60,0)+IFERROR(VALUE(SUBSTITUTE(MID(I1532,IFERROR(FIND("and",I1532)+3,1),20),"second(s)","")),0)</f>
        <v/>
      </c>
      <c r="K1532" s="41">
        <f>J1532/60</f>
        <v/>
      </c>
      <c r="L1532" s="41">
        <f>IFERROR(J1532/H1532,"")</f>
        <v/>
      </c>
      <c r="M1532" s="25" t="inlineStr">
        <is>
          <t>2.5.12</t>
        </is>
      </c>
      <c r="N1532" s="25">
        <f>IF(J1532&gt;300,1,0)</f>
        <v/>
      </c>
      <c r="O1532" s="25">
        <f>IF(J1532&gt;600,1,0)</f>
        <v/>
      </c>
      <c r="P1532" s="25">
        <f>IF(H1532&gt;0,J1532,"")</f>
        <v/>
      </c>
      <c r="Q1532" s="25">
        <f>TEXT(A1532,"YYYY-MM-DD HH")</f>
        <v/>
      </c>
      <c r="R1532" s="25">
        <f>COUNTIF($Q$2:$Q$5295,Q1532)</f>
        <v/>
      </c>
      <c r="S1532" s="25">
        <f>IF(R1532&lt;=2,"1-2",IF(R1532&lt;=5,"3-5",IF(R1532&lt;=10,"6-10","11+")))</f>
        <v/>
      </c>
    </row>
    <row r="1533">
      <c r="A1533" s="39" t="n">
        <v>46168.48150462963</v>
      </c>
      <c r="B1533" s="25">
        <f>TEXT(A1533,"YYYY-MM")</f>
        <v/>
      </c>
      <c r="C1533" s="25">
        <f>TEXT(A1533,"MMM-YYYY")</f>
        <v/>
      </c>
      <c r="D1533" s="40">
        <f>INT(A1533)-WEEKDAY(A1533,2)+1</f>
        <v/>
      </c>
      <c r="E1533" s="25" t="inlineStr">
        <is>
          <t>ssarkar</t>
        </is>
      </c>
      <c r="F1533" s="25" t="n">
        <v>5964</v>
      </c>
      <c r="G1533" s="25" t="n">
        <v>1</v>
      </c>
      <c r="H1533" s="25" t="n">
        <v>7</v>
      </c>
      <c r="I1533" s="25" t="inlineStr">
        <is>
          <t>1 minute(s) and 53 second(s)</t>
        </is>
      </c>
      <c r="J1533" s="25">
        <f>IFERROR(VALUE(TRIM(LEFT(I1533,FIND("minute",I1533)-1)))*60,0)+IFERROR(VALUE(SUBSTITUTE(MID(I1533,IFERROR(FIND("and",I1533)+3,1),20),"second(s)","")),0)</f>
        <v/>
      </c>
      <c r="K1533" s="41">
        <f>J1533/60</f>
        <v/>
      </c>
      <c r="L1533" s="41">
        <f>IFERROR(J1533/H1533,"")</f>
        <v/>
      </c>
      <c r="M1533" s="25" t="inlineStr">
        <is>
          <t>2.5.12</t>
        </is>
      </c>
      <c r="N1533" s="25">
        <f>IF(J1533&gt;300,1,0)</f>
        <v/>
      </c>
      <c r="O1533" s="25">
        <f>IF(J1533&gt;600,1,0)</f>
        <v/>
      </c>
      <c r="P1533" s="25">
        <f>IF(H1533&gt;0,J1533,"")</f>
        <v/>
      </c>
      <c r="Q1533" s="25">
        <f>TEXT(A1533,"YYYY-MM-DD HH")</f>
        <v/>
      </c>
      <c r="R1533" s="25">
        <f>COUNTIF($Q$2:$Q$5295,Q1533)</f>
        <v/>
      </c>
      <c r="S1533" s="25">
        <f>IF(R1533&lt;=2,"1-2",IF(R1533&lt;=5,"3-5",IF(R1533&lt;=10,"6-10","11+")))</f>
        <v/>
      </c>
    </row>
    <row r="1534">
      <c r="A1534" s="39" t="n">
        <v>46168.4819212963</v>
      </c>
      <c r="B1534" s="25">
        <f>TEXT(A1534,"YYYY-MM")</f>
        <v/>
      </c>
      <c r="C1534" s="25">
        <f>TEXT(A1534,"MMM-YYYY")</f>
        <v/>
      </c>
      <c r="D1534" s="40">
        <f>INT(A1534)-WEEKDAY(A1534,2)+1</f>
        <v/>
      </c>
      <c r="E1534" s="25" t="inlineStr">
        <is>
          <t>mbohra</t>
        </is>
      </c>
      <c r="F1534" s="25" t="n">
        <v>89850</v>
      </c>
      <c r="G1534" s="25" t="n">
        <v>2</v>
      </c>
      <c r="H1534" s="25" t="n">
        <v>10</v>
      </c>
      <c r="I1534" s="25" t="inlineStr">
        <is>
          <t>3 minute(s) and 9 second(s)</t>
        </is>
      </c>
      <c r="J1534" s="25">
        <f>IFERROR(VALUE(TRIM(LEFT(I1534,FIND("minute",I1534)-1)))*60,0)+IFERROR(VALUE(SUBSTITUTE(MID(I1534,IFERROR(FIND("and",I1534)+3,1),20),"second(s)","")),0)</f>
        <v/>
      </c>
      <c r="K1534" s="41">
        <f>J1534/60</f>
        <v/>
      </c>
      <c r="L1534" s="41">
        <f>IFERROR(J1534/H1534,"")</f>
        <v/>
      </c>
      <c r="M1534" s="25" t="inlineStr">
        <is>
          <t>2.5.12</t>
        </is>
      </c>
      <c r="N1534" s="25">
        <f>IF(J1534&gt;300,1,0)</f>
        <v/>
      </c>
      <c r="O1534" s="25">
        <f>IF(J1534&gt;600,1,0)</f>
        <v/>
      </c>
      <c r="P1534" s="25">
        <f>IF(H1534&gt;0,J1534,"")</f>
        <v/>
      </c>
      <c r="Q1534" s="25">
        <f>TEXT(A1534,"YYYY-MM-DD HH")</f>
        <v/>
      </c>
      <c r="R1534" s="25">
        <f>COUNTIF($Q$2:$Q$5295,Q1534)</f>
        <v/>
      </c>
      <c r="S1534" s="25">
        <f>IF(R1534&lt;=2,"1-2",IF(R1534&lt;=5,"3-5",IF(R1534&lt;=10,"6-10","11+")))</f>
        <v/>
      </c>
    </row>
    <row r="1535">
      <c r="A1535" s="39" t="n">
        <v>46168.48263888889</v>
      </c>
      <c r="B1535" s="25">
        <f>TEXT(A1535,"YYYY-MM")</f>
        <v/>
      </c>
      <c r="C1535" s="25">
        <f>TEXT(A1535,"MMM-YYYY")</f>
        <v/>
      </c>
      <c r="D1535" s="40">
        <f>INT(A1535)-WEEKDAY(A1535,2)+1</f>
        <v/>
      </c>
      <c r="E1535" s="25" t="inlineStr">
        <is>
          <t>rts</t>
        </is>
      </c>
      <c r="F1535" s="25" t="n">
        <v>89849</v>
      </c>
      <c r="G1535" s="25" t="n">
        <v>1</v>
      </c>
      <c r="H1535" s="25" t="n">
        <v>5</v>
      </c>
      <c r="I1535" s="25" t="inlineStr">
        <is>
          <t>2 minute(s) and 27 second(s)</t>
        </is>
      </c>
      <c r="J1535" s="25">
        <f>IFERROR(VALUE(TRIM(LEFT(I1535,FIND("minute",I1535)-1)))*60,0)+IFERROR(VALUE(SUBSTITUTE(MID(I1535,IFERROR(FIND("and",I1535)+3,1),20),"second(s)","")),0)</f>
        <v/>
      </c>
      <c r="K1535" s="41">
        <f>J1535/60</f>
        <v/>
      </c>
      <c r="L1535" s="41">
        <f>IFERROR(J1535/H1535,"")</f>
        <v/>
      </c>
      <c r="M1535" s="25" t="inlineStr">
        <is>
          <t>2.5.12</t>
        </is>
      </c>
      <c r="N1535" s="25">
        <f>IF(J1535&gt;300,1,0)</f>
        <v/>
      </c>
      <c r="O1535" s="25">
        <f>IF(J1535&gt;600,1,0)</f>
        <v/>
      </c>
      <c r="P1535" s="25">
        <f>IF(H1535&gt;0,J1535,"")</f>
        <v/>
      </c>
      <c r="Q1535" s="25">
        <f>TEXT(A1535,"YYYY-MM-DD HH")</f>
        <v/>
      </c>
      <c r="R1535" s="25">
        <f>COUNTIF($Q$2:$Q$5295,Q1535)</f>
        <v/>
      </c>
      <c r="S1535" s="25">
        <f>IF(R1535&lt;=2,"1-2",IF(R1535&lt;=5,"3-5",IF(R1535&lt;=10,"6-10","11+")))</f>
        <v/>
      </c>
    </row>
    <row r="1536">
      <c r="A1536" s="39" t="n">
        <v>46168.48424768518</v>
      </c>
      <c r="B1536" s="25">
        <f>TEXT(A1536,"YYYY-MM")</f>
        <v/>
      </c>
      <c r="C1536" s="25">
        <f>TEXT(A1536,"MMM-YYYY")</f>
        <v/>
      </c>
      <c r="D1536" s="40">
        <f>INT(A1536)-WEEKDAY(A1536,2)+1</f>
        <v/>
      </c>
      <c r="E1536" s="25" t="inlineStr">
        <is>
          <t>sphatak</t>
        </is>
      </c>
      <c r="F1536" s="25" t="n">
        <v>3736</v>
      </c>
      <c r="G1536" s="25" t="n">
        <v>1</v>
      </c>
      <c r="H1536" s="25" t="n">
        <v>5</v>
      </c>
      <c r="I1536" s="25" t="inlineStr">
        <is>
          <t>50 second(s)</t>
        </is>
      </c>
      <c r="J1536" s="25">
        <f>IFERROR(VALUE(TRIM(LEFT(I1536,FIND("minute",I1536)-1)))*60,0)+IFERROR(VALUE(SUBSTITUTE(MID(I1536,IFERROR(FIND("and",I1536)+3,1),20),"second(s)","")),0)</f>
        <v/>
      </c>
      <c r="K1536" s="41">
        <f>J1536/60</f>
        <v/>
      </c>
      <c r="L1536" s="41">
        <f>IFERROR(J1536/H1536,"")</f>
        <v/>
      </c>
      <c r="M1536" s="25" t="inlineStr">
        <is>
          <t>2.5.12</t>
        </is>
      </c>
      <c r="N1536" s="25">
        <f>IF(J1536&gt;300,1,0)</f>
        <v/>
      </c>
      <c r="O1536" s="25">
        <f>IF(J1536&gt;600,1,0)</f>
        <v/>
      </c>
      <c r="P1536" s="25">
        <f>IF(H1536&gt;0,J1536,"")</f>
        <v/>
      </c>
      <c r="Q1536" s="25">
        <f>TEXT(A1536,"YYYY-MM-DD HH")</f>
        <v/>
      </c>
      <c r="R1536" s="25">
        <f>COUNTIF($Q$2:$Q$5295,Q1536)</f>
        <v/>
      </c>
      <c r="S1536" s="25">
        <f>IF(R1536&lt;=2,"1-2",IF(R1536&lt;=5,"3-5",IF(R1536&lt;=10,"6-10","11+")))</f>
        <v/>
      </c>
    </row>
    <row r="1537">
      <c r="A1537" s="39" t="n">
        <v>46168.49042824074</v>
      </c>
      <c r="B1537" s="25">
        <f>TEXT(A1537,"YYYY-MM")</f>
        <v/>
      </c>
      <c r="C1537" s="25">
        <f>TEXT(A1537,"MMM-YYYY")</f>
        <v/>
      </c>
      <c r="D1537" s="40">
        <f>INT(A1537)-WEEKDAY(A1537,2)+1</f>
        <v/>
      </c>
      <c r="E1537" s="25" t="inlineStr">
        <is>
          <t>vraina</t>
        </is>
      </c>
      <c r="F1537" s="25" t="n">
        <v>80907</v>
      </c>
      <c r="G1537" s="25" t="n">
        <v>5</v>
      </c>
      <c r="H1537" s="25" t="n">
        <v>27</v>
      </c>
      <c r="I1537" s="25" t="inlineStr">
        <is>
          <t>4 minute(s) and 37 second(s)</t>
        </is>
      </c>
      <c r="J1537" s="25">
        <f>IFERROR(VALUE(TRIM(LEFT(I1537,FIND("minute",I1537)-1)))*60,0)+IFERROR(VALUE(SUBSTITUTE(MID(I1537,IFERROR(FIND("and",I1537)+3,1),20),"second(s)","")),0)</f>
        <v/>
      </c>
      <c r="K1537" s="41">
        <f>J1537/60</f>
        <v/>
      </c>
      <c r="L1537" s="41">
        <f>IFERROR(J1537/H1537,"")</f>
        <v/>
      </c>
      <c r="M1537" s="25" t="inlineStr">
        <is>
          <t>2.5.12</t>
        </is>
      </c>
      <c r="N1537" s="25">
        <f>IF(J1537&gt;300,1,0)</f>
        <v/>
      </c>
      <c r="O1537" s="25">
        <f>IF(J1537&gt;600,1,0)</f>
        <v/>
      </c>
      <c r="P1537" s="25">
        <f>IF(H1537&gt;0,J1537,"")</f>
        <v/>
      </c>
      <c r="Q1537" s="25">
        <f>TEXT(A1537,"YYYY-MM-DD HH")</f>
        <v/>
      </c>
      <c r="R1537" s="25">
        <f>COUNTIF($Q$2:$Q$5295,Q1537)</f>
        <v/>
      </c>
      <c r="S1537" s="25">
        <f>IF(R1537&lt;=2,"1-2",IF(R1537&lt;=5,"3-5",IF(R1537&lt;=10,"6-10","11+")))</f>
        <v/>
      </c>
    </row>
    <row r="1538">
      <c r="A1538" s="39" t="n">
        <v>46168.50387731481</v>
      </c>
      <c r="B1538" s="25">
        <f>TEXT(A1538,"YYYY-MM")</f>
        <v/>
      </c>
      <c r="C1538" s="25">
        <f>TEXT(A1538,"MMM-YYYY")</f>
        <v/>
      </c>
      <c r="D1538" s="40">
        <f>INT(A1538)-WEEKDAY(A1538,2)+1</f>
        <v/>
      </c>
      <c r="E1538" s="25" t="inlineStr">
        <is>
          <t>pgautam</t>
        </is>
      </c>
      <c r="F1538" s="25" t="n">
        <v>5702</v>
      </c>
      <c r="G1538" s="25" t="n">
        <v>3</v>
      </c>
      <c r="H1538" s="25" t="n">
        <v>17</v>
      </c>
      <c r="I1538" s="25" t="inlineStr">
        <is>
          <t>4 minute(s) and 3 second(s)</t>
        </is>
      </c>
      <c r="J1538" s="25">
        <f>IFERROR(VALUE(TRIM(LEFT(I1538,FIND("minute",I1538)-1)))*60,0)+IFERROR(VALUE(SUBSTITUTE(MID(I1538,IFERROR(FIND("and",I1538)+3,1),20),"second(s)","")),0)</f>
        <v/>
      </c>
      <c r="K1538" s="41">
        <f>J1538/60</f>
        <v/>
      </c>
      <c r="L1538" s="41">
        <f>IFERROR(J1538/H1538,"")</f>
        <v/>
      </c>
      <c r="M1538" s="25" t="inlineStr">
        <is>
          <t>2.5.12</t>
        </is>
      </c>
      <c r="N1538" s="25">
        <f>IF(J1538&gt;300,1,0)</f>
        <v/>
      </c>
      <c r="O1538" s="25">
        <f>IF(J1538&gt;600,1,0)</f>
        <v/>
      </c>
      <c r="P1538" s="25">
        <f>IF(H1538&gt;0,J1538,"")</f>
        <v/>
      </c>
      <c r="Q1538" s="25">
        <f>TEXT(A1538,"YYYY-MM-DD HH")</f>
        <v/>
      </c>
      <c r="R1538" s="25">
        <f>COUNTIF($Q$2:$Q$5295,Q1538)</f>
        <v/>
      </c>
      <c r="S1538" s="25">
        <f>IF(R1538&lt;=2,"1-2",IF(R1538&lt;=5,"3-5",IF(R1538&lt;=10,"6-10","11+")))</f>
        <v/>
      </c>
    </row>
    <row r="1539">
      <c r="A1539" s="39" t="n">
        <v>46168.50689814815</v>
      </c>
      <c r="B1539" s="25">
        <f>TEXT(A1539,"YYYY-MM")</f>
        <v/>
      </c>
      <c r="C1539" s="25">
        <f>TEXT(A1539,"MMM-YYYY")</f>
        <v/>
      </c>
      <c r="D1539" s="40">
        <f>INT(A1539)-WEEKDAY(A1539,2)+1</f>
        <v/>
      </c>
      <c r="E1539" s="25" t="inlineStr">
        <is>
          <t>sswati</t>
        </is>
      </c>
      <c r="F1539" s="25" t="n">
        <v>5999</v>
      </c>
      <c r="G1539" s="25" t="n">
        <v>1</v>
      </c>
      <c r="H1539" s="25" t="n">
        <v>7</v>
      </c>
      <c r="I1539" s="25" t="inlineStr">
        <is>
          <t>2 minute(s) and 25 second(s)</t>
        </is>
      </c>
      <c r="J1539" s="25">
        <f>IFERROR(VALUE(TRIM(LEFT(I1539,FIND("minute",I1539)-1)))*60,0)+IFERROR(VALUE(SUBSTITUTE(MID(I1539,IFERROR(FIND("and",I1539)+3,1),20),"second(s)","")),0)</f>
        <v/>
      </c>
      <c r="K1539" s="41">
        <f>J1539/60</f>
        <v/>
      </c>
      <c r="L1539" s="41">
        <f>IFERROR(J1539/H1539,"")</f>
        <v/>
      </c>
      <c r="M1539" s="25" t="inlineStr">
        <is>
          <t>2.5.12</t>
        </is>
      </c>
      <c r="N1539" s="25">
        <f>IF(J1539&gt;300,1,0)</f>
        <v/>
      </c>
      <c r="O1539" s="25">
        <f>IF(J1539&gt;600,1,0)</f>
        <v/>
      </c>
      <c r="P1539" s="25">
        <f>IF(H1539&gt;0,J1539,"")</f>
        <v/>
      </c>
      <c r="Q1539" s="25">
        <f>TEXT(A1539,"YYYY-MM-DD HH")</f>
        <v/>
      </c>
      <c r="R1539" s="25">
        <f>COUNTIF($Q$2:$Q$5295,Q1539)</f>
        <v/>
      </c>
      <c r="S1539" s="25">
        <f>IF(R1539&lt;=2,"1-2",IF(R1539&lt;=5,"3-5",IF(R1539&lt;=10,"6-10","11+")))</f>
        <v/>
      </c>
    </row>
    <row r="1540">
      <c r="A1540" s="39" t="n">
        <v>46168.51179398148</v>
      </c>
      <c r="B1540" s="25">
        <f>TEXT(A1540,"YYYY-MM")</f>
        <v/>
      </c>
      <c r="C1540" s="25">
        <f>TEXT(A1540,"MMM-YYYY")</f>
        <v/>
      </c>
      <c r="D1540" s="40">
        <f>INT(A1540)-WEEKDAY(A1540,2)+1</f>
        <v/>
      </c>
      <c r="E1540" s="25" t="inlineStr">
        <is>
          <t>ssarkar</t>
        </is>
      </c>
      <c r="F1540" s="25" t="n">
        <v>5965</v>
      </c>
      <c r="G1540" s="25" t="n">
        <v>1</v>
      </c>
      <c r="H1540" s="25" t="n">
        <v>7</v>
      </c>
      <c r="I1540" s="25" t="inlineStr">
        <is>
          <t>1 minute(s) and 42 second(s)</t>
        </is>
      </c>
      <c r="J1540" s="25">
        <f>IFERROR(VALUE(TRIM(LEFT(I1540,FIND("minute",I1540)-1)))*60,0)+IFERROR(VALUE(SUBSTITUTE(MID(I1540,IFERROR(FIND("and",I1540)+3,1),20),"second(s)","")),0)</f>
        <v/>
      </c>
      <c r="K1540" s="41">
        <f>J1540/60</f>
        <v/>
      </c>
      <c r="L1540" s="41">
        <f>IFERROR(J1540/H1540,"")</f>
        <v/>
      </c>
      <c r="M1540" s="25" t="inlineStr">
        <is>
          <t>2.5.12</t>
        </is>
      </c>
      <c r="N1540" s="25">
        <f>IF(J1540&gt;300,1,0)</f>
        <v/>
      </c>
      <c r="O1540" s="25">
        <f>IF(J1540&gt;600,1,0)</f>
        <v/>
      </c>
      <c r="P1540" s="25">
        <f>IF(H1540&gt;0,J1540,"")</f>
        <v/>
      </c>
      <c r="Q1540" s="25">
        <f>TEXT(A1540,"YYYY-MM-DD HH")</f>
        <v/>
      </c>
      <c r="R1540" s="25">
        <f>COUNTIF($Q$2:$Q$5295,Q1540)</f>
        <v/>
      </c>
      <c r="S1540" s="25">
        <f>IF(R1540&lt;=2,"1-2",IF(R1540&lt;=5,"3-5",IF(R1540&lt;=10,"6-10","11+")))</f>
        <v/>
      </c>
    </row>
    <row r="1541">
      <c r="A1541" s="39" t="n">
        <v>46168.51329861111</v>
      </c>
      <c r="B1541" s="25">
        <f>TEXT(A1541,"YYYY-MM")</f>
        <v/>
      </c>
      <c r="C1541" s="25">
        <f>TEXT(A1541,"MMM-YYYY")</f>
        <v/>
      </c>
      <c r="D1541" s="40">
        <f>INT(A1541)-WEEKDAY(A1541,2)+1</f>
        <v/>
      </c>
      <c r="E1541" s="25" t="inlineStr">
        <is>
          <t>hsindwani</t>
        </is>
      </c>
      <c r="F1541" s="25" t="n">
        <v>5335</v>
      </c>
      <c r="G1541" s="25" t="n">
        <v>1</v>
      </c>
      <c r="H1541" s="25" t="n">
        <v>7</v>
      </c>
      <c r="I1541" s="25" t="inlineStr">
        <is>
          <t>2 minute(s) and 4 second(s)</t>
        </is>
      </c>
      <c r="J1541" s="25">
        <f>IFERROR(VALUE(TRIM(LEFT(I1541,FIND("minute",I1541)-1)))*60,0)+IFERROR(VALUE(SUBSTITUTE(MID(I1541,IFERROR(FIND("and",I1541)+3,1),20),"second(s)","")),0)</f>
        <v/>
      </c>
      <c r="K1541" s="41">
        <f>J1541/60</f>
        <v/>
      </c>
      <c r="L1541" s="41">
        <f>IFERROR(J1541/H1541,"")</f>
        <v/>
      </c>
      <c r="M1541" s="25" t="inlineStr">
        <is>
          <t>2.5.12</t>
        </is>
      </c>
      <c r="N1541" s="25">
        <f>IF(J1541&gt;300,1,0)</f>
        <v/>
      </c>
      <c r="O1541" s="25">
        <f>IF(J1541&gt;600,1,0)</f>
        <v/>
      </c>
      <c r="P1541" s="25">
        <f>IF(H1541&gt;0,J1541,"")</f>
        <v/>
      </c>
      <c r="Q1541" s="25">
        <f>TEXT(A1541,"YYYY-MM-DD HH")</f>
        <v/>
      </c>
      <c r="R1541" s="25">
        <f>COUNTIF($Q$2:$Q$5295,Q1541)</f>
        <v/>
      </c>
      <c r="S1541" s="25">
        <f>IF(R1541&lt;=2,"1-2",IF(R1541&lt;=5,"3-5",IF(R1541&lt;=10,"6-10","11+")))</f>
        <v/>
      </c>
    </row>
    <row r="1542">
      <c r="A1542" s="39" t="n">
        <v>46168.51508101852</v>
      </c>
      <c r="B1542" s="25">
        <f>TEXT(A1542,"YYYY-MM")</f>
        <v/>
      </c>
      <c r="C1542" s="25">
        <f>TEXT(A1542,"MMM-YYYY")</f>
        <v/>
      </c>
      <c r="D1542" s="40">
        <f>INT(A1542)-WEEKDAY(A1542,2)+1</f>
        <v/>
      </c>
      <c r="E1542" s="25" t="inlineStr">
        <is>
          <t>mbhalla</t>
        </is>
      </c>
      <c r="F1542" s="25" t="n">
        <v>4878</v>
      </c>
      <c r="G1542" s="25" t="n">
        <v>1</v>
      </c>
      <c r="H1542" s="25" t="n">
        <v>5</v>
      </c>
      <c r="I1542" s="25" t="inlineStr">
        <is>
          <t>2 minute(s) and 18 second(s)</t>
        </is>
      </c>
      <c r="J1542" s="25">
        <f>IFERROR(VALUE(TRIM(LEFT(I1542,FIND("minute",I1542)-1)))*60,0)+IFERROR(VALUE(SUBSTITUTE(MID(I1542,IFERROR(FIND("and",I1542)+3,1),20),"second(s)","")),0)</f>
        <v/>
      </c>
      <c r="K1542" s="41">
        <f>J1542/60</f>
        <v/>
      </c>
      <c r="L1542" s="41">
        <f>IFERROR(J1542/H1542,"")</f>
        <v/>
      </c>
      <c r="M1542" s="25" t="inlineStr">
        <is>
          <t>2.5.12</t>
        </is>
      </c>
      <c r="N1542" s="25">
        <f>IF(J1542&gt;300,1,0)</f>
        <v/>
      </c>
      <c r="O1542" s="25">
        <f>IF(J1542&gt;600,1,0)</f>
        <v/>
      </c>
      <c r="P1542" s="25">
        <f>IF(H1542&gt;0,J1542,"")</f>
        <v/>
      </c>
      <c r="Q1542" s="25">
        <f>TEXT(A1542,"YYYY-MM-DD HH")</f>
        <v/>
      </c>
      <c r="R1542" s="25">
        <f>COUNTIF($Q$2:$Q$5295,Q1542)</f>
        <v/>
      </c>
      <c r="S1542" s="25">
        <f>IF(R1542&lt;=2,"1-2",IF(R1542&lt;=5,"3-5",IF(R1542&lt;=10,"6-10","11+")))</f>
        <v/>
      </c>
    </row>
    <row r="1543">
      <c r="A1543" s="39" t="n">
        <v>46168.51546296296</v>
      </c>
      <c r="B1543" s="25">
        <f>TEXT(A1543,"YYYY-MM")</f>
        <v/>
      </c>
      <c r="C1543" s="25">
        <f>TEXT(A1543,"MMM-YYYY")</f>
        <v/>
      </c>
      <c r="D1543" s="40">
        <f>INT(A1543)-WEEKDAY(A1543,2)+1</f>
        <v/>
      </c>
      <c r="E1543" s="25" t="inlineStr">
        <is>
          <t>adey</t>
        </is>
      </c>
      <c r="F1543" s="25" t="n">
        <v>5274</v>
      </c>
      <c r="G1543" s="25" t="n">
        <v>3</v>
      </c>
      <c r="H1543" s="25" t="n">
        <v>15</v>
      </c>
      <c r="I1543" s="25" t="inlineStr">
        <is>
          <t>4 minute(s) and 51 second(s)</t>
        </is>
      </c>
      <c r="J1543" s="25">
        <f>IFERROR(VALUE(TRIM(LEFT(I1543,FIND("minute",I1543)-1)))*60,0)+IFERROR(VALUE(SUBSTITUTE(MID(I1543,IFERROR(FIND("and",I1543)+3,1),20),"second(s)","")),0)</f>
        <v/>
      </c>
      <c r="K1543" s="41">
        <f>J1543/60</f>
        <v/>
      </c>
      <c r="L1543" s="41">
        <f>IFERROR(J1543/H1543,"")</f>
        <v/>
      </c>
      <c r="M1543" s="25" t="inlineStr">
        <is>
          <t>2.5.12</t>
        </is>
      </c>
      <c r="N1543" s="25">
        <f>IF(J1543&gt;300,1,0)</f>
        <v/>
      </c>
      <c r="O1543" s="25">
        <f>IF(J1543&gt;600,1,0)</f>
        <v/>
      </c>
      <c r="P1543" s="25">
        <f>IF(H1543&gt;0,J1543,"")</f>
        <v/>
      </c>
      <c r="Q1543" s="25">
        <f>TEXT(A1543,"YYYY-MM-DD HH")</f>
        <v/>
      </c>
      <c r="R1543" s="25">
        <f>COUNTIF($Q$2:$Q$5295,Q1543)</f>
        <v/>
      </c>
      <c r="S1543" s="25">
        <f>IF(R1543&lt;=2,"1-2",IF(R1543&lt;=5,"3-5",IF(R1543&lt;=10,"6-10","11+")))</f>
        <v/>
      </c>
    </row>
    <row r="1544">
      <c r="A1544" s="39" t="n">
        <v>46168.51577546296</v>
      </c>
      <c r="B1544" s="25">
        <f>TEXT(A1544,"YYYY-MM")</f>
        <v/>
      </c>
      <c r="C1544" s="25">
        <f>TEXT(A1544,"MMM-YYYY")</f>
        <v/>
      </c>
      <c r="D1544" s="40">
        <f>INT(A1544)-WEEKDAY(A1544,2)+1</f>
        <v/>
      </c>
      <c r="E1544" s="25" t="inlineStr">
        <is>
          <t>csaha</t>
        </is>
      </c>
      <c r="F1544" s="25" t="n">
        <v>97065</v>
      </c>
      <c r="G1544" s="25" t="n">
        <v>2</v>
      </c>
      <c r="H1544" s="25" t="n">
        <v>8</v>
      </c>
      <c r="I1544" s="25" t="inlineStr">
        <is>
          <t>1 minute(s) and 53 second(s)</t>
        </is>
      </c>
      <c r="J1544" s="25">
        <f>IFERROR(VALUE(TRIM(LEFT(I1544,FIND("minute",I1544)-1)))*60,0)+IFERROR(VALUE(SUBSTITUTE(MID(I1544,IFERROR(FIND("and",I1544)+3,1),20),"second(s)","")),0)</f>
        <v/>
      </c>
      <c r="K1544" s="41">
        <f>J1544/60</f>
        <v/>
      </c>
      <c r="L1544" s="41">
        <f>IFERROR(J1544/H1544,"")</f>
        <v/>
      </c>
      <c r="M1544" s="25" t="inlineStr">
        <is>
          <t>2.5.12</t>
        </is>
      </c>
      <c r="N1544" s="25">
        <f>IF(J1544&gt;300,1,0)</f>
        <v/>
      </c>
      <c r="O1544" s="25">
        <f>IF(J1544&gt;600,1,0)</f>
        <v/>
      </c>
      <c r="P1544" s="25">
        <f>IF(H1544&gt;0,J1544,"")</f>
        <v/>
      </c>
      <c r="Q1544" s="25">
        <f>TEXT(A1544,"YYYY-MM-DD HH")</f>
        <v/>
      </c>
      <c r="R1544" s="25">
        <f>COUNTIF($Q$2:$Q$5295,Q1544)</f>
        <v/>
      </c>
      <c r="S1544" s="25">
        <f>IF(R1544&lt;=2,"1-2",IF(R1544&lt;=5,"3-5",IF(R1544&lt;=10,"6-10","11+")))</f>
        <v/>
      </c>
    </row>
    <row r="1545">
      <c r="A1545" s="39" t="n">
        <v>46168.51734953704</v>
      </c>
      <c r="B1545" s="25">
        <f>TEXT(A1545,"YYYY-MM")</f>
        <v/>
      </c>
      <c r="C1545" s="25">
        <f>TEXT(A1545,"MMM-YYYY")</f>
        <v/>
      </c>
      <c r="D1545" s="40">
        <f>INT(A1545)-WEEKDAY(A1545,2)+1</f>
        <v/>
      </c>
      <c r="E1545" s="25" t="inlineStr">
        <is>
          <t>csaha</t>
        </is>
      </c>
      <c r="F1545" s="25" t="n">
        <v>97065</v>
      </c>
      <c r="G1545" s="25" t="n">
        <v>2</v>
      </c>
      <c r="H1545" s="25" t="n">
        <v>6</v>
      </c>
      <c r="I1545" s="25" t="inlineStr">
        <is>
          <t>1 minute(s) and 14 second(s)</t>
        </is>
      </c>
      <c r="J1545" s="25">
        <f>IFERROR(VALUE(TRIM(LEFT(I1545,FIND("minute",I1545)-1)))*60,0)+IFERROR(VALUE(SUBSTITUTE(MID(I1545,IFERROR(FIND("and",I1545)+3,1),20),"second(s)","")),0)</f>
        <v/>
      </c>
      <c r="K1545" s="41">
        <f>J1545/60</f>
        <v/>
      </c>
      <c r="L1545" s="41">
        <f>IFERROR(J1545/H1545,"")</f>
        <v/>
      </c>
      <c r="M1545" s="25" t="inlineStr">
        <is>
          <t>2.5.12</t>
        </is>
      </c>
      <c r="N1545" s="25">
        <f>IF(J1545&gt;300,1,0)</f>
        <v/>
      </c>
      <c r="O1545" s="25">
        <f>IF(J1545&gt;600,1,0)</f>
        <v/>
      </c>
      <c r="P1545" s="25">
        <f>IF(H1545&gt;0,J1545,"")</f>
        <v/>
      </c>
      <c r="Q1545" s="25">
        <f>TEXT(A1545,"YYYY-MM-DD HH")</f>
        <v/>
      </c>
      <c r="R1545" s="25">
        <f>COUNTIF($Q$2:$Q$5295,Q1545)</f>
        <v/>
      </c>
      <c r="S1545" s="25">
        <f>IF(R1545&lt;=2,"1-2",IF(R1545&lt;=5,"3-5",IF(R1545&lt;=10,"6-10","11+")))</f>
        <v/>
      </c>
    </row>
    <row r="1546">
      <c r="A1546" s="39" t="n">
        <v>46168.51760416666</v>
      </c>
      <c r="B1546" s="25">
        <f>TEXT(A1546,"YYYY-MM")</f>
        <v/>
      </c>
      <c r="C1546" s="25">
        <f>TEXT(A1546,"MMM-YYYY")</f>
        <v/>
      </c>
      <c r="D1546" s="40">
        <f>INT(A1546)-WEEKDAY(A1546,2)+1</f>
        <v/>
      </c>
      <c r="E1546" s="25" t="inlineStr">
        <is>
          <t>psingh</t>
        </is>
      </c>
      <c r="F1546" s="25" t="n">
        <v>1897</v>
      </c>
      <c r="G1546" s="25" t="n">
        <v>2</v>
      </c>
      <c r="H1546" s="25" t="n">
        <v>10</v>
      </c>
      <c r="I1546" s="25" t="inlineStr">
        <is>
          <t>4 minute(s) and 53 second(s)</t>
        </is>
      </c>
      <c r="J1546" s="25">
        <f>IFERROR(VALUE(TRIM(LEFT(I1546,FIND("minute",I1546)-1)))*60,0)+IFERROR(VALUE(SUBSTITUTE(MID(I1546,IFERROR(FIND("and",I1546)+3,1),20),"second(s)","")),0)</f>
        <v/>
      </c>
      <c r="K1546" s="41">
        <f>J1546/60</f>
        <v/>
      </c>
      <c r="L1546" s="41">
        <f>IFERROR(J1546/H1546,"")</f>
        <v/>
      </c>
      <c r="M1546" s="25" t="inlineStr">
        <is>
          <t>2.5.12</t>
        </is>
      </c>
      <c r="N1546" s="25">
        <f>IF(J1546&gt;300,1,0)</f>
        <v/>
      </c>
      <c r="O1546" s="25">
        <f>IF(J1546&gt;600,1,0)</f>
        <v/>
      </c>
      <c r="P1546" s="25">
        <f>IF(H1546&gt;0,J1546,"")</f>
        <v/>
      </c>
      <c r="Q1546" s="25">
        <f>TEXT(A1546,"YYYY-MM-DD HH")</f>
        <v/>
      </c>
      <c r="R1546" s="25">
        <f>COUNTIF($Q$2:$Q$5295,Q1546)</f>
        <v/>
      </c>
      <c r="S1546" s="25">
        <f>IF(R1546&lt;=2,"1-2",IF(R1546&lt;=5,"3-5",IF(R1546&lt;=10,"6-10","11+")))</f>
        <v/>
      </c>
    </row>
    <row r="1547">
      <c r="A1547" s="39" t="n">
        <v>46168.52725694444</v>
      </c>
      <c r="B1547" s="25">
        <f>TEXT(A1547,"YYYY-MM")</f>
        <v/>
      </c>
      <c r="C1547" s="25">
        <f>TEXT(A1547,"MMM-YYYY")</f>
        <v/>
      </c>
      <c r="D1547" s="40">
        <f>INT(A1547)-WEEKDAY(A1547,2)+1</f>
        <v/>
      </c>
      <c r="E1547" s="25" t="inlineStr">
        <is>
          <t>rts</t>
        </is>
      </c>
      <c r="F1547" s="25" t="n">
        <v>89848</v>
      </c>
      <c r="G1547" s="25" t="n">
        <v>2</v>
      </c>
      <c r="H1547" s="25" t="n">
        <v>10</v>
      </c>
      <c r="I1547" s="25" t="inlineStr">
        <is>
          <t>2 minute(s) and 29 second(s)</t>
        </is>
      </c>
      <c r="J1547" s="25">
        <f>IFERROR(VALUE(TRIM(LEFT(I1547,FIND("minute",I1547)-1)))*60,0)+IFERROR(VALUE(SUBSTITUTE(MID(I1547,IFERROR(FIND("and",I1547)+3,1),20),"second(s)","")),0)</f>
        <v/>
      </c>
      <c r="K1547" s="41">
        <f>J1547/60</f>
        <v/>
      </c>
      <c r="L1547" s="41">
        <f>IFERROR(J1547/H1547,"")</f>
        <v/>
      </c>
      <c r="M1547" s="25" t="inlineStr">
        <is>
          <t>2.5.12</t>
        </is>
      </c>
      <c r="N1547" s="25">
        <f>IF(J1547&gt;300,1,0)</f>
        <v/>
      </c>
      <c r="O1547" s="25">
        <f>IF(J1547&gt;600,1,0)</f>
        <v/>
      </c>
      <c r="P1547" s="25">
        <f>IF(H1547&gt;0,J1547,"")</f>
        <v/>
      </c>
      <c r="Q1547" s="25">
        <f>TEXT(A1547,"YYYY-MM-DD HH")</f>
        <v/>
      </c>
      <c r="R1547" s="25">
        <f>COUNTIF($Q$2:$Q$5295,Q1547)</f>
        <v/>
      </c>
      <c r="S1547" s="25">
        <f>IF(R1547&lt;=2,"1-2",IF(R1547&lt;=5,"3-5",IF(R1547&lt;=10,"6-10","11+")))</f>
        <v/>
      </c>
    </row>
    <row r="1548">
      <c r="A1548" s="39" t="n">
        <v>46168.55010416666</v>
      </c>
      <c r="B1548" s="25">
        <f>TEXT(A1548,"YYYY-MM")</f>
        <v/>
      </c>
      <c r="C1548" s="25">
        <f>TEXT(A1548,"MMM-YYYY")</f>
        <v/>
      </c>
      <c r="D1548" s="40">
        <f>INT(A1548)-WEEKDAY(A1548,2)+1</f>
        <v/>
      </c>
      <c r="E1548" s="25" t="inlineStr">
        <is>
          <t>dchoudhury</t>
        </is>
      </c>
      <c r="F1548" s="25" t="n">
        <v>5454</v>
      </c>
      <c r="G1548" s="25" t="n">
        <v>4</v>
      </c>
      <c r="H1548" s="25" t="n">
        <v>18</v>
      </c>
      <c r="I1548" s="25" t="inlineStr">
        <is>
          <t>7 minute(s) and 5 second(s)</t>
        </is>
      </c>
      <c r="J1548" s="25">
        <f>IFERROR(VALUE(TRIM(LEFT(I1548,FIND("minute",I1548)-1)))*60,0)+IFERROR(VALUE(SUBSTITUTE(MID(I1548,IFERROR(FIND("and",I1548)+3,1),20),"second(s)","")),0)</f>
        <v/>
      </c>
      <c r="K1548" s="41">
        <f>J1548/60</f>
        <v/>
      </c>
      <c r="L1548" s="41">
        <f>IFERROR(J1548/H1548,"")</f>
        <v/>
      </c>
      <c r="M1548" s="25" t="inlineStr">
        <is>
          <t>2.5.12</t>
        </is>
      </c>
      <c r="N1548" s="25">
        <f>IF(J1548&gt;300,1,0)</f>
        <v/>
      </c>
      <c r="O1548" s="25">
        <f>IF(J1548&gt;600,1,0)</f>
        <v/>
      </c>
      <c r="P1548" s="25">
        <f>IF(H1548&gt;0,J1548,"")</f>
        <v/>
      </c>
      <c r="Q1548" s="25">
        <f>TEXT(A1548,"YYYY-MM-DD HH")</f>
        <v/>
      </c>
      <c r="R1548" s="25">
        <f>COUNTIF($Q$2:$Q$5295,Q1548)</f>
        <v/>
      </c>
      <c r="S1548" s="25">
        <f>IF(R1548&lt;=2,"1-2",IF(R1548&lt;=5,"3-5",IF(R1548&lt;=10,"6-10","11+")))</f>
        <v/>
      </c>
    </row>
    <row r="1549">
      <c r="A1549" s="39" t="n">
        <v>46168.55827546296</v>
      </c>
      <c r="B1549" s="25">
        <f>TEXT(A1549,"YYYY-MM")</f>
        <v/>
      </c>
      <c r="C1549" s="25">
        <f>TEXT(A1549,"MMM-YYYY")</f>
        <v/>
      </c>
      <c r="D1549" s="40">
        <f>INT(A1549)-WEEKDAY(A1549,2)+1</f>
        <v/>
      </c>
      <c r="E1549" s="25" t="inlineStr">
        <is>
          <t>vprasad</t>
        </is>
      </c>
      <c r="F1549" s="25" t="n">
        <v>102802</v>
      </c>
      <c r="G1549" s="25" t="n">
        <v>3</v>
      </c>
      <c r="H1549" s="25" t="n">
        <v>11</v>
      </c>
      <c r="I1549" s="25" t="inlineStr">
        <is>
          <t>1 minute(s) and 57 second(s)</t>
        </is>
      </c>
      <c r="J1549" s="25">
        <f>IFERROR(VALUE(TRIM(LEFT(I1549,FIND("minute",I1549)-1)))*60,0)+IFERROR(VALUE(SUBSTITUTE(MID(I1549,IFERROR(FIND("and",I1549)+3,1),20),"second(s)","")),0)</f>
        <v/>
      </c>
      <c r="K1549" s="41">
        <f>J1549/60</f>
        <v/>
      </c>
      <c r="L1549" s="41">
        <f>IFERROR(J1549/H1549,"")</f>
        <v/>
      </c>
      <c r="M1549" s="25" t="inlineStr">
        <is>
          <t>2.5.12</t>
        </is>
      </c>
      <c r="N1549" s="25">
        <f>IF(J1549&gt;300,1,0)</f>
        <v/>
      </c>
      <c r="O1549" s="25">
        <f>IF(J1549&gt;600,1,0)</f>
        <v/>
      </c>
      <c r="P1549" s="25">
        <f>IF(H1549&gt;0,J1549,"")</f>
        <v/>
      </c>
      <c r="Q1549" s="25">
        <f>TEXT(A1549,"YYYY-MM-DD HH")</f>
        <v/>
      </c>
      <c r="R1549" s="25">
        <f>COUNTIF($Q$2:$Q$5295,Q1549)</f>
        <v/>
      </c>
      <c r="S1549" s="25">
        <f>IF(R1549&lt;=2,"1-2",IF(R1549&lt;=5,"3-5",IF(R1549&lt;=10,"6-10","11+")))</f>
        <v/>
      </c>
    </row>
    <row r="1550">
      <c r="A1550" s="39" t="n">
        <v>46168.56416666666</v>
      </c>
      <c r="B1550" s="25">
        <f>TEXT(A1550,"YYYY-MM")</f>
        <v/>
      </c>
      <c r="C1550" s="25">
        <f>TEXT(A1550,"MMM-YYYY")</f>
        <v/>
      </c>
      <c r="D1550" s="40">
        <f>INT(A1550)-WEEKDAY(A1550,2)+1</f>
        <v/>
      </c>
      <c r="E1550" s="25" t="inlineStr">
        <is>
          <t>pgautam</t>
        </is>
      </c>
      <c r="F1550" s="25" t="n">
        <v>49012</v>
      </c>
      <c r="G1550" s="25" t="n">
        <v>3</v>
      </c>
      <c r="H1550" s="25" t="n">
        <v>19</v>
      </c>
      <c r="I1550" s="25" t="inlineStr">
        <is>
          <t>4 minute(s) and 3 second(s)</t>
        </is>
      </c>
      <c r="J1550" s="25">
        <f>IFERROR(VALUE(TRIM(LEFT(I1550,FIND("minute",I1550)-1)))*60,0)+IFERROR(VALUE(SUBSTITUTE(MID(I1550,IFERROR(FIND("and",I1550)+3,1),20),"second(s)","")),0)</f>
        <v/>
      </c>
      <c r="K1550" s="41">
        <f>J1550/60</f>
        <v/>
      </c>
      <c r="L1550" s="41">
        <f>IFERROR(J1550/H1550,"")</f>
        <v/>
      </c>
      <c r="M1550" s="25" t="inlineStr">
        <is>
          <t>2.5.12</t>
        </is>
      </c>
      <c r="N1550" s="25">
        <f>IF(J1550&gt;300,1,0)</f>
        <v/>
      </c>
      <c r="O1550" s="25">
        <f>IF(J1550&gt;600,1,0)</f>
        <v/>
      </c>
      <c r="P1550" s="25">
        <f>IF(H1550&gt;0,J1550,"")</f>
        <v/>
      </c>
      <c r="Q1550" s="25">
        <f>TEXT(A1550,"YYYY-MM-DD HH")</f>
        <v/>
      </c>
      <c r="R1550" s="25">
        <f>COUNTIF($Q$2:$Q$5295,Q1550)</f>
        <v/>
      </c>
      <c r="S1550" s="25">
        <f>IF(R1550&lt;=2,"1-2",IF(R1550&lt;=5,"3-5",IF(R1550&lt;=10,"6-10","11+")))</f>
        <v/>
      </c>
    </row>
    <row r="1551">
      <c r="A1551" s="39" t="n">
        <v>46168.57280092593</v>
      </c>
      <c r="B1551" s="25">
        <f>TEXT(A1551,"YYYY-MM")</f>
        <v/>
      </c>
      <c r="C1551" s="25">
        <f>TEXT(A1551,"MMM-YYYY")</f>
        <v/>
      </c>
      <c r="D1551" s="40">
        <f>INT(A1551)-WEEKDAY(A1551,2)+1</f>
        <v/>
      </c>
      <c r="E1551" s="25" t="inlineStr">
        <is>
          <t>psingh</t>
        </is>
      </c>
      <c r="F1551" s="25" t="n">
        <v>1911</v>
      </c>
      <c r="G1551" s="25" t="n">
        <v>3</v>
      </c>
      <c r="H1551" s="25" t="n">
        <v>17</v>
      </c>
      <c r="I1551" s="25" t="inlineStr">
        <is>
          <t>4 minute(s) and 54 second(s)</t>
        </is>
      </c>
      <c r="J1551" s="25">
        <f>IFERROR(VALUE(TRIM(LEFT(I1551,FIND("minute",I1551)-1)))*60,0)+IFERROR(VALUE(SUBSTITUTE(MID(I1551,IFERROR(FIND("and",I1551)+3,1),20),"second(s)","")),0)</f>
        <v/>
      </c>
      <c r="K1551" s="41">
        <f>J1551/60</f>
        <v/>
      </c>
      <c r="L1551" s="41">
        <f>IFERROR(J1551/H1551,"")</f>
        <v/>
      </c>
      <c r="M1551" s="25" t="inlineStr">
        <is>
          <t>2.5.12</t>
        </is>
      </c>
      <c r="N1551" s="25">
        <f>IF(J1551&gt;300,1,0)</f>
        <v/>
      </c>
      <c r="O1551" s="25">
        <f>IF(J1551&gt;600,1,0)</f>
        <v/>
      </c>
      <c r="P1551" s="25">
        <f>IF(H1551&gt;0,J1551,"")</f>
        <v/>
      </c>
      <c r="Q1551" s="25">
        <f>TEXT(A1551,"YYYY-MM-DD HH")</f>
        <v/>
      </c>
      <c r="R1551" s="25">
        <f>COUNTIF($Q$2:$Q$5295,Q1551)</f>
        <v/>
      </c>
      <c r="S1551" s="25">
        <f>IF(R1551&lt;=2,"1-2",IF(R1551&lt;=5,"3-5",IF(R1551&lt;=10,"6-10","11+")))</f>
        <v/>
      </c>
    </row>
    <row r="1552">
      <c r="A1552" s="39" t="n">
        <v>46168.58138888889</v>
      </c>
      <c r="B1552" s="25">
        <f>TEXT(A1552,"YYYY-MM")</f>
        <v/>
      </c>
      <c r="C1552" s="25">
        <f>TEXT(A1552,"MMM-YYYY")</f>
        <v/>
      </c>
      <c r="D1552" s="40">
        <f>INT(A1552)-WEEKDAY(A1552,2)+1</f>
        <v/>
      </c>
      <c r="E1552" s="25" t="inlineStr">
        <is>
          <t>sswati</t>
        </is>
      </c>
      <c r="F1552" s="25" t="n">
        <v>6006</v>
      </c>
      <c r="G1552" s="25" t="n">
        <v>1</v>
      </c>
      <c r="H1552" s="25" t="n">
        <v>5</v>
      </c>
      <c r="I1552" s="25" t="inlineStr">
        <is>
          <t>2 minute(s) and 29 second(s)</t>
        </is>
      </c>
      <c r="J1552" s="25">
        <f>IFERROR(VALUE(TRIM(LEFT(I1552,FIND("minute",I1552)-1)))*60,0)+IFERROR(VALUE(SUBSTITUTE(MID(I1552,IFERROR(FIND("and",I1552)+3,1),20),"second(s)","")),0)</f>
        <v/>
      </c>
      <c r="K1552" s="41">
        <f>J1552/60</f>
        <v/>
      </c>
      <c r="L1552" s="41">
        <f>IFERROR(J1552/H1552,"")</f>
        <v/>
      </c>
      <c r="M1552" s="25" t="inlineStr">
        <is>
          <t>2.5.12</t>
        </is>
      </c>
      <c r="N1552" s="25">
        <f>IF(J1552&gt;300,1,0)</f>
        <v/>
      </c>
      <c r="O1552" s="25">
        <f>IF(J1552&gt;600,1,0)</f>
        <v/>
      </c>
      <c r="P1552" s="25">
        <f>IF(H1552&gt;0,J1552,"")</f>
        <v/>
      </c>
      <c r="Q1552" s="25">
        <f>TEXT(A1552,"YYYY-MM-DD HH")</f>
        <v/>
      </c>
      <c r="R1552" s="25">
        <f>COUNTIF($Q$2:$Q$5295,Q1552)</f>
        <v/>
      </c>
      <c r="S1552" s="25">
        <f>IF(R1552&lt;=2,"1-2",IF(R1552&lt;=5,"3-5",IF(R1552&lt;=10,"6-10","11+")))</f>
        <v/>
      </c>
    </row>
    <row r="1553">
      <c r="A1553" s="39" t="n">
        <v>46168.59628472223</v>
      </c>
      <c r="B1553" s="25">
        <f>TEXT(A1553,"YYYY-MM")</f>
        <v/>
      </c>
      <c r="C1553" s="25">
        <f>TEXT(A1553,"MMM-YYYY")</f>
        <v/>
      </c>
      <c r="D1553" s="40">
        <f>INT(A1553)-WEEKDAY(A1553,2)+1</f>
        <v/>
      </c>
      <c r="E1553" s="25" t="inlineStr">
        <is>
          <t>sswati</t>
        </is>
      </c>
      <c r="F1553" s="25" t="n">
        <v>6008</v>
      </c>
      <c r="G1553" s="25" t="n">
        <v>1</v>
      </c>
      <c r="H1553" s="25" t="n">
        <v>7</v>
      </c>
      <c r="I1553" s="25" t="inlineStr">
        <is>
          <t>1 minute(s) and 29 second(s)</t>
        </is>
      </c>
      <c r="J1553" s="25">
        <f>IFERROR(VALUE(TRIM(LEFT(I1553,FIND("minute",I1553)-1)))*60,0)+IFERROR(VALUE(SUBSTITUTE(MID(I1553,IFERROR(FIND("and",I1553)+3,1),20),"second(s)","")),0)</f>
        <v/>
      </c>
      <c r="K1553" s="41">
        <f>J1553/60</f>
        <v/>
      </c>
      <c r="L1553" s="41">
        <f>IFERROR(J1553/H1553,"")</f>
        <v/>
      </c>
      <c r="M1553" s="25" t="inlineStr">
        <is>
          <t>2.5.12</t>
        </is>
      </c>
      <c r="N1553" s="25">
        <f>IF(J1553&gt;300,1,0)</f>
        <v/>
      </c>
      <c r="O1553" s="25">
        <f>IF(J1553&gt;600,1,0)</f>
        <v/>
      </c>
      <c r="P1553" s="25">
        <f>IF(H1553&gt;0,J1553,"")</f>
        <v/>
      </c>
      <c r="Q1553" s="25">
        <f>TEXT(A1553,"YYYY-MM-DD HH")</f>
        <v/>
      </c>
      <c r="R1553" s="25">
        <f>COUNTIF($Q$2:$Q$5295,Q1553)</f>
        <v/>
      </c>
      <c r="S1553" s="25">
        <f>IF(R1553&lt;=2,"1-2",IF(R1553&lt;=5,"3-5",IF(R1553&lt;=10,"6-10","11+")))</f>
        <v/>
      </c>
    </row>
    <row r="1554">
      <c r="A1554" s="39" t="n">
        <v>46168.60475694444</v>
      </c>
      <c r="B1554" s="25">
        <f>TEXT(A1554,"YYYY-MM")</f>
        <v/>
      </c>
      <c r="C1554" s="25">
        <f>TEXT(A1554,"MMM-YYYY")</f>
        <v/>
      </c>
      <c r="D1554" s="40">
        <f>INT(A1554)-WEEKDAY(A1554,2)+1</f>
        <v/>
      </c>
      <c r="E1554" s="25" t="inlineStr">
        <is>
          <t>hsindwani</t>
        </is>
      </c>
      <c r="F1554" s="25" t="n">
        <v>5362</v>
      </c>
      <c r="G1554" s="25" t="n">
        <v>1</v>
      </c>
      <c r="H1554" s="25" t="n">
        <v>7</v>
      </c>
      <c r="I1554" s="25" t="inlineStr">
        <is>
          <t>3 minute(s) and 45 second(s)</t>
        </is>
      </c>
      <c r="J1554" s="25">
        <f>IFERROR(VALUE(TRIM(LEFT(I1554,FIND("minute",I1554)-1)))*60,0)+IFERROR(VALUE(SUBSTITUTE(MID(I1554,IFERROR(FIND("and",I1554)+3,1),20),"second(s)","")),0)</f>
        <v/>
      </c>
      <c r="K1554" s="41">
        <f>J1554/60</f>
        <v/>
      </c>
      <c r="L1554" s="41">
        <f>IFERROR(J1554/H1554,"")</f>
        <v/>
      </c>
      <c r="M1554" s="25" t="inlineStr">
        <is>
          <t>2.5.12</t>
        </is>
      </c>
      <c r="N1554" s="25">
        <f>IF(J1554&gt;300,1,0)</f>
        <v/>
      </c>
      <c r="O1554" s="25">
        <f>IF(J1554&gt;600,1,0)</f>
        <v/>
      </c>
      <c r="P1554" s="25">
        <f>IF(H1554&gt;0,J1554,"")</f>
        <v/>
      </c>
      <c r="Q1554" s="25">
        <f>TEXT(A1554,"YYYY-MM-DD HH")</f>
        <v/>
      </c>
      <c r="R1554" s="25">
        <f>COUNTIF($Q$2:$Q$5295,Q1554)</f>
        <v/>
      </c>
      <c r="S1554" s="25">
        <f>IF(R1554&lt;=2,"1-2",IF(R1554&lt;=5,"3-5",IF(R1554&lt;=10,"6-10","11+")))</f>
        <v/>
      </c>
    </row>
    <row r="1555">
      <c r="A1555" s="39" t="n">
        <v>46168.60752314814</v>
      </c>
      <c r="B1555" s="25">
        <f>TEXT(A1555,"YYYY-MM")</f>
        <v/>
      </c>
      <c r="C1555" s="25">
        <f>TEXT(A1555,"MMM-YYYY")</f>
        <v/>
      </c>
      <c r="D1555" s="40">
        <f>INT(A1555)-WEEKDAY(A1555,2)+1</f>
        <v/>
      </c>
      <c r="E1555" s="25" t="inlineStr">
        <is>
          <t>mbhalla</t>
        </is>
      </c>
      <c r="F1555" s="25" t="n">
        <v>4879</v>
      </c>
      <c r="G1555" s="25" t="n">
        <v>1</v>
      </c>
      <c r="H1555" s="25" t="n">
        <v>7</v>
      </c>
      <c r="I1555" s="25" t="inlineStr">
        <is>
          <t>1 minute(s) and 26 second(s)</t>
        </is>
      </c>
      <c r="J1555" s="25">
        <f>IFERROR(VALUE(TRIM(LEFT(I1555,FIND("minute",I1555)-1)))*60,0)+IFERROR(VALUE(SUBSTITUTE(MID(I1555,IFERROR(FIND("and",I1555)+3,1),20),"second(s)","")),0)</f>
        <v/>
      </c>
      <c r="K1555" s="41">
        <f>J1555/60</f>
        <v/>
      </c>
      <c r="L1555" s="41">
        <f>IFERROR(J1555/H1555,"")</f>
        <v/>
      </c>
      <c r="M1555" s="25" t="inlineStr">
        <is>
          <t>2.5.12</t>
        </is>
      </c>
      <c r="N1555" s="25">
        <f>IF(J1555&gt;300,1,0)</f>
        <v/>
      </c>
      <c r="O1555" s="25">
        <f>IF(J1555&gt;600,1,0)</f>
        <v/>
      </c>
      <c r="P1555" s="25">
        <f>IF(H1555&gt;0,J1555,"")</f>
        <v/>
      </c>
      <c r="Q1555" s="25">
        <f>TEXT(A1555,"YYYY-MM-DD HH")</f>
        <v/>
      </c>
      <c r="R1555" s="25">
        <f>COUNTIF($Q$2:$Q$5295,Q1555)</f>
        <v/>
      </c>
      <c r="S1555" s="25">
        <f>IF(R1555&lt;=2,"1-2",IF(R1555&lt;=5,"3-5",IF(R1555&lt;=10,"6-10","11+")))</f>
        <v/>
      </c>
    </row>
    <row r="1556">
      <c r="A1556" s="39" t="n">
        <v>46168.6109375</v>
      </c>
      <c r="B1556" s="25">
        <f>TEXT(A1556,"YYYY-MM")</f>
        <v/>
      </c>
      <c r="C1556" s="25">
        <f>TEXT(A1556,"MMM-YYYY")</f>
        <v/>
      </c>
      <c r="D1556" s="40">
        <f>INT(A1556)-WEEKDAY(A1556,2)+1</f>
        <v/>
      </c>
      <c r="E1556" s="25" t="inlineStr">
        <is>
          <t>dchoudhury</t>
        </is>
      </c>
      <c r="F1556" s="25" t="n">
        <v>5457</v>
      </c>
      <c r="G1556" s="25" t="n">
        <v>1</v>
      </c>
      <c r="H1556" s="25" t="n">
        <v>7</v>
      </c>
      <c r="I1556" s="25" t="inlineStr">
        <is>
          <t>1 minute(s) and 49 second(s)</t>
        </is>
      </c>
      <c r="J1556" s="25">
        <f>IFERROR(VALUE(TRIM(LEFT(I1556,FIND("minute",I1556)-1)))*60,0)+IFERROR(VALUE(SUBSTITUTE(MID(I1556,IFERROR(FIND("and",I1556)+3,1),20),"second(s)","")),0)</f>
        <v/>
      </c>
      <c r="K1556" s="41">
        <f>J1556/60</f>
        <v/>
      </c>
      <c r="L1556" s="41">
        <f>IFERROR(J1556/H1556,"")</f>
        <v/>
      </c>
      <c r="M1556" s="25" t="inlineStr">
        <is>
          <t>2.5.12</t>
        </is>
      </c>
      <c r="N1556" s="25">
        <f>IF(J1556&gt;300,1,0)</f>
        <v/>
      </c>
      <c r="O1556" s="25">
        <f>IF(J1556&gt;600,1,0)</f>
        <v/>
      </c>
      <c r="P1556" s="25">
        <f>IF(H1556&gt;0,J1556,"")</f>
        <v/>
      </c>
      <c r="Q1556" s="25">
        <f>TEXT(A1556,"YYYY-MM-DD HH")</f>
        <v/>
      </c>
      <c r="R1556" s="25">
        <f>COUNTIF($Q$2:$Q$5295,Q1556)</f>
        <v/>
      </c>
      <c r="S1556" s="25">
        <f>IF(R1556&lt;=2,"1-2",IF(R1556&lt;=5,"3-5",IF(R1556&lt;=10,"6-10","11+")))</f>
        <v/>
      </c>
    </row>
    <row r="1557">
      <c r="A1557" s="39" t="n">
        <v>46168.61865740741</v>
      </c>
      <c r="B1557" s="25">
        <f>TEXT(A1557,"YYYY-MM")</f>
        <v/>
      </c>
      <c r="C1557" s="25">
        <f>TEXT(A1557,"MMM-YYYY")</f>
        <v/>
      </c>
      <c r="D1557" s="40">
        <f>INT(A1557)-WEEKDAY(A1557,2)+1</f>
        <v/>
      </c>
      <c r="E1557" s="25" t="inlineStr">
        <is>
          <t>sswati</t>
        </is>
      </c>
      <c r="F1557" s="25" t="n">
        <v>6009</v>
      </c>
      <c r="G1557" s="25" t="n">
        <v>1</v>
      </c>
      <c r="H1557" s="25" t="n">
        <v>5</v>
      </c>
      <c r="I1557" s="25" t="inlineStr">
        <is>
          <t>1 minute(s) and 45 second(s)</t>
        </is>
      </c>
      <c r="J1557" s="25">
        <f>IFERROR(VALUE(TRIM(LEFT(I1557,FIND("minute",I1557)-1)))*60,0)+IFERROR(VALUE(SUBSTITUTE(MID(I1557,IFERROR(FIND("and",I1557)+3,1),20),"second(s)","")),0)</f>
        <v/>
      </c>
      <c r="K1557" s="41">
        <f>J1557/60</f>
        <v/>
      </c>
      <c r="L1557" s="41">
        <f>IFERROR(J1557/H1557,"")</f>
        <v/>
      </c>
      <c r="M1557" s="25" t="inlineStr">
        <is>
          <t>2.5.12</t>
        </is>
      </c>
      <c r="N1557" s="25">
        <f>IF(J1557&gt;300,1,0)</f>
        <v/>
      </c>
      <c r="O1557" s="25">
        <f>IF(J1557&gt;600,1,0)</f>
        <v/>
      </c>
      <c r="P1557" s="25">
        <f>IF(H1557&gt;0,J1557,"")</f>
        <v/>
      </c>
      <c r="Q1557" s="25">
        <f>TEXT(A1557,"YYYY-MM-DD HH")</f>
        <v/>
      </c>
      <c r="R1557" s="25">
        <f>COUNTIF($Q$2:$Q$5295,Q1557)</f>
        <v/>
      </c>
      <c r="S1557" s="25">
        <f>IF(R1557&lt;=2,"1-2",IF(R1557&lt;=5,"3-5",IF(R1557&lt;=10,"6-10","11+")))</f>
        <v/>
      </c>
    </row>
    <row r="1558">
      <c r="A1558" s="39" t="n">
        <v>46168.62835648148</v>
      </c>
      <c r="B1558" s="25">
        <f>TEXT(A1558,"YYYY-MM")</f>
        <v/>
      </c>
      <c r="C1558" s="25">
        <f>TEXT(A1558,"MMM-YYYY")</f>
        <v/>
      </c>
      <c r="D1558" s="40">
        <f>INT(A1558)-WEEKDAY(A1558,2)+1</f>
        <v/>
      </c>
      <c r="E1558" s="25" t="inlineStr">
        <is>
          <t>ssarkar</t>
        </is>
      </c>
      <c r="F1558" s="25" t="n">
        <v>5967</v>
      </c>
      <c r="G1558" s="25" t="n">
        <v>1</v>
      </c>
      <c r="H1558" s="25" t="n">
        <v>7</v>
      </c>
      <c r="I1558" s="25" t="inlineStr">
        <is>
          <t>1 minute(s) and 45 second(s)</t>
        </is>
      </c>
      <c r="J1558" s="25">
        <f>IFERROR(VALUE(TRIM(LEFT(I1558,FIND("minute",I1558)-1)))*60,0)+IFERROR(VALUE(SUBSTITUTE(MID(I1558,IFERROR(FIND("and",I1558)+3,1),20),"second(s)","")),0)</f>
        <v/>
      </c>
      <c r="K1558" s="41">
        <f>J1558/60</f>
        <v/>
      </c>
      <c r="L1558" s="41">
        <f>IFERROR(J1558/H1558,"")</f>
        <v/>
      </c>
      <c r="M1558" s="25" t="inlineStr">
        <is>
          <t>2.5.12</t>
        </is>
      </c>
      <c r="N1558" s="25">
        <f>IF(J1558&gt;300,1,0)</f>
        <v/>
      </c>
      <c r="O1558" s="25">
        <f>IF(J1558&gt;600,1,0)</f>
        <v/>
      </c>
      <c r="P1558" s="25">
        <f>IF(H1558&gt;0,J1558,"")</f>
        <v/>
      </c>
      <c r="Q1558" s="25">
        <f>TEXT(A1558,"YYYY-MM-DD HH")</f>
        <v/>
      </c>
      <c r="R1558" s="25">
        <f>COUNTIF($Q$2:$Q$5295,Q1558)</f>
        <v/>
      </c>
      <c r="S1558" s="25">
        <f>IF(R1558&lt;=2,"1-2",IF(R1558&lt;=5,"3-5",IF(R1558&lt;=10,"6-10","11+")))</f>
        <v/>
      </c>
    </row>
    <row r="1559">
      <c r="A1559" s="39" t="n">
        <v>46168.64303240741</v>
      </c>
      <c r="B1559" s="25">
        <f>TEXT(A1559,"YYYY-MM")</f>
        <v/>
      </c>
      <c r="C1559" s="25">
        <f>TEXT(A1559,"MMM-YYYY")</f>
        <v/>
      </c>
      <c r="D1559" s="40">
        <f>INT(A1559)-WEEKDAY(A1559,2)+1</f>
        <v/>
      </c>
      <c r="E1559" s="25" t="inlineStr">
        <is>
          <t>psingh</t>
        </is>
      </c>
      <c r="F1559" s="25" t="n">
        <v>1954</v>
      </c>
      <c r="G1559" s="25" t="n">
        <v>1</v>
      </c>
      <c r="H1559" s="25" t="n">
        <v>5</v>
      </c>
      <c r="I1559" s="25" t="inlineStr">
        <is>
          <t>1 minute(s) and 28 second(s)</t>
        </is>
      </c>
      <c r="J1559" s="25">
        <f>IFERROR(VALUE(TRIM(LEFT(I1559,FIND("minute",I1559)-1)))*60,0)+IFERROR(VALUE(SUBSTITUTE(MID(I1559,IFERROR(FIND("and",I1559)+3,1),20),"second(s)","")),0)</f>
        <v/>
      </c>
      <c r="K1559" s="41">
        <f>J1559/60</f>
        <v/>
      </c>
      <c r="L1559" s="41">
        <f>IFERROR(J1559/H1559,"")</f>
        <v/>
      </c>
      <c r="M1559" s="25" t="inlineStr">
        <is>
          <t>2.5.12</t>
        </is>
      </c>
      <c r="N1559" s="25">
        <f>IF(J1559&gt;300,1,0)</f>
        <v/>
      </c>
      <c r="O1559" s="25">
        <f>IF(J1559&gt;600,1,0)</f>
        <v/>
      </c>
      <c r="P1559" s="25">
        <f>IF(H1559&gt;0,J1559,"")</f>
        <v/>
      </c>
      <c r="Q1559" s="25">
        <f>TEXT(A1559,"YYYY-MM-DD HH")</f>
        <v/>
      </c>
      <c r="R1559" s="25">
        <f>COUNTIF($Q$2:$Q$5295,Q1559)</f>
        <v/>
      </c>
      <c r="S1559" s="25">
        <f>IF(R1559&lt;=2,"1-2",IF(R1559&lt;=5,"3-5",IF(R1559&lt;=10,"6-10","11+")))</f>
        <v/>
      </c>
    </row>
    <row r="1560">
      <c r="A1560" s="39" t="n">
        <v>46168.65568287037</v>
      </c>
      <c r="B1560" s="25">
        <f>TEXT(A1560,"YYYY-MM")</f>
        <v/>
      </c>
      <c r="C1560" s="25">
        <f>TEXT(A1560,"MMM-YYYY")</f>
        <v/>
      </c>
      <c r="D1560" s="40">
        <f>INT(A1560)-WEEKDAY(A1560,2)+1</f>
        <v/>
      </c>
      <c r="E1560" s="25" t="inlineStr">
        <is>
          <t>hsindwani</t>
        </is>
      </c>
      <c r="F1560" s="25" t="n">
        <v>4281</v>
      </c>
      <c r="G1560" s="25" t="n">
        <v>1</v>
      </c>
      <c r="H1560" s="25" t="n">
        <v>7</v>
      </c>
      <c r="I1560" s="25" t="inlineStr">
        <is>
          <t>6 minute(s) and 18 second(s)</t>
        </is>
      </c>
      <c r="J1560" s="25">
        <f>IFERROR(VALUE(TRIM(LEFT(I1560,FIND("minute",I1560)-1)))*60,0)+IFERROR(VALUE(SUBSTITUTE(MID(I1560,IFERROR(FIND("and",I1560)+3,1),20),"second(s)","")),0)</f>
        <v/>
      </c>
      <c r="K1560" s="41">
        <f>J1560/60</f>
        <v/>
      </c>
      <c r="L1560" s="41">
        <f>IFERROR(J1560/H1560,"")</f>
        <v/>
      </c>
      <c r="M1560" s="25" t="inlineStr">
        <is>
          <t>2.5.12</t>
        </is>
      </c>
      <c r="N1560" s="25">
        <f>IF(J1560&gt;300,1,0)</f>
        <v/>
      </c>
      <c r="O1560" s="25">
        <f>IF(J1560&gt;600,1,0)</f>
        <v/>
      </c>
      <c r="P1560" s="25">
        <f>IF(H1560&gt;0,J1560,"")</f>
        <v/>
      </c>
      <c r="Q1560" s="25">
        <f>TEXT(A1560,"YYYY-MM-DD HH")</f>
        <v/>
      </c>
      <c r="R1560" s="25">
        <f>COUNTIF($Q$2:$Q$5295,Q1560)</f>
        <v/>
      </c>
      <c r="S1560" s="25">
        <f>IF(R1560&lt;=2,"1-2",IF(R1560&lt;=5,"3-5",IF(R1560&lt;=10,"6-10","11+")))</f>
        <v/>
      </c>
    </row>
    <row r="1561">
      <c r="A1561" s="39" t="n">
        <v>46168.65758101852</v>
      </c>
      <c r="B1561" s="25">
        <f>TEXT(A1561,"YYYY-MM")</f>
        <v/>
      </c>
      <c r="C1561" s="25">
        <f>TEXT(A1561,"MMM-YYYY")</f>
        <v/>
      </c>
      <c r="D1561" s="40">
        <f>INT(A1561)-WEEKDAY(A1561,2)+1</f>
        <v/>
      </c>
      <c r="E1561" s="25" t="inlineStr">
        <is>
          <t>vraina</t>
        </is>
      </c>
      <c r="F1561" s="25" t="n">
        <v>113454</v>
      </c>
      <c r="G1561" s="25" t="n">
        <v>5</v>
      </c>
      <c r="H1561" s="25" t="n">
        <v>25</v>
      </c>
      <c r="I1561" s="25" t="inlineStr">
        <is>
          <t>5 minute(s) and 37 second(s)</t>
        </is>
      </c>
      <c r="J1561" s="25">
        <f>IFERROR(VALUE(TRIM(LEFT(I1561,FIND("minute",I1561)-1)))*60,0)+IFERROR(VALUE(SUBSTITUTE(MID(I1561,IFERROR(FIND("and",I1561)+3,1),20),"second(s)","")),0)</f>
        <v/>
      </c>
      <c r="K1561" s="41">
        <f>J1561/60</f>
        <v/>
      </c>
      <c r="L1561" s="41">
        <f>IFERROR(J1561/H1561,"")</f>
        <v/>
      </c>
      <c r="M1561" s="25" t="inlineStr">
        <is>
          <t>2.5.12</t>
        </is>
      </c>
      <c r="N1561" s="25">
        <f>IF(J1561&gt;300,1,0)</f>
        <v/>
      </c>
      <c r="O1561" s="25">
        <f>IF(J1561&gt;600,1,0)</f>
        <v/>
      </c>
      <c r="P1561" s="25">
        <f>IF(H1561&gt;0,J1561,"")</f>
        <v/>
      </c>
      <c r="Q1561" s="25">
        <f>TEXT(A1561,"YYYY-MM-DD HH")</f>
        <v/>
      </c>
      <c r="R1561" s="25">
        <f>COUNTIF($Q$2:$Q$5295,Q1561)</f>
        <v/>
      </c>
      <c r="S1561" s="25">
        <f>IF(R1561&lt;=2,"1-2",IF(R1561&lt;=5,"3-5",IF(R1561&lt;=10,"6-10","11+")))</f>
        <v/>
      </c>
    </row>
    <row r="1562">
      <c r="A1562" s="39" t="n">
        <v>46168.67391203704</v>
      </c>
      <c r="B1562" s="25">
        <f>TEXT(A1562,"YYYY-MM")</f>
        <v/>
      </c>
      <c r="C1562" s="25">
        <f>TEXT(A1562,"MMM-YYYY")</f>
        <v/>
      </c>
      <c r="D1562" s="40">
        <f>INT(A1562)-WEEKDAY(A1562,2)+1</f>
        <v/>
      </c>
      <c r="E1562" s="25" t="inlineStr">
        <is>
          <t>mbhalla</t>
        </is>
      </c>
      <c r="F1562" s="25" t="n">
        <v>4881</v>
      </c>
      <c r="G1562" s="25" t="n">
        <v>1</v>
      </c>
      <c r="H1562" s="25" t="n">
        <v>7</v>
      </c>
      <c r="I1562" s="25" t="inlineStr">
        <is>
          <t>2 minute(s) and 23 second(s)</t>
        </is>
      </c>
      <c r="J1562" s="25">
        <f>IFERROR(VALUE(TRIM(LEFT(I1562,FIND("minute",I1562)-1)))*60,0)+IFERROR(VALUE(SUBSTITUTE(MID(I1562,IFERROR(FIND("and",I1562)+3,1),20),"second(s)","")),0)</f>
        <v/>
      </c>
      <c r="K1562" s="41">
        <f>J1562/60</f>
        <v/>
      </c>
      <c r="L1562" s="41">
        <f>IFERROR(J1562/H1562,"")</f>
        <v/>
      </c>
      <c r="M1562" s="25" t="inlineStr">
        <is>
          <t>2.5.12</t>
        </is>
      </c>
      <c r="N1562" s="25">
        <f>IF(J1562&gt;300,1,0)</f>
        <v/>
      </c>
      <c r="O1562" s="25">
        <f>IF(J1562&gt;600,1,0)</f>
        <v/>
      </c>
      <c r="P1562" s="25">
        <f>IF(H1562&gt;0,J1562,"")</f>
        <v/>
      </c>
      <c r="Q1562" s="25">
        <f>TEXT(A1562,"YYYY-MM-DD HH")</f>
        <v/>
      </c>
      <c r="R1562" s="25">
        <f>COUNTIF($Q$2:$Q$5295,Q1562)</f>
        <v/>
      </c>
      <c r="S1562" s="25">
        <f>IF(R1562&lt;=2,"1-2",IF(R1562&lt;=5,"3-5",IF(R1562&lt;=10,"6-10","11+")))</f>
        <v/>
      </c>
    </row>
    <row r="1563">
      <c r="A1563" s="39" t="n">
        <v>46168.67665509259</v>
      </c>
      <c r="B1563" s="25">
        <f>TEXT(A1563,"YYYY-MM")</f>
        <v/>
      </c>
      <c r="C1563" s="25">
        <f>TEXT(A1563,"MMM-YYYY")</f>
        <v/>
      </c>
      <c r="D1563" s="40">
        <f>INT(A1563)-WEEKDAY(A1563,2)+1</f>
        <v/>
      </c>
      <c r="E1563" s="25" t="inlineStr">
        <is>
          <t>dchoudhury</t>
        </is>
      </c>
      <c r="F1563" s="25" t="n">
        <v>5459</v>
      </c>
      <c r="G1563" s="25" t="n">
        <v>1</v>
      </c>
      <c r="H1563" s="25" t="n">
        <v>7</v>
      </c>
      <c r="I1563" s="25" t="inlineStr">
        <is>
          <t>1 minute(s) and 24 second(s)</t>
        </is>
      </c>
      <c r="J1563" s="25">
        <f>IFERROR(VALUE(TRIM(LEFT(I1563,FIND("minute",I1563)-1)))*60,0)+IFERROR(VALUE(SUBSTITUTE(MID(I1563,IFERROR(FIND("and",I1563)+3,1),20),"second(s)","")),0)</f>
        <v/>
      </c>
      <c r="K1563" s="41">
        <f>J1563/60</f>
        <v/>
      </c>
      <c r="L1563" s="41">
        <f>IFERROR(J1563/H1563,"")</f>
        <v/>
      </c>
      <c r="M1563" s="25" t="inlineStr">
        <is>
          <t>2.5.12</t>
        </is>
      </c>
      <c r="N1563" s="25">
        <f>IF(J1563&gt;300,1,0)</f>
        <v/>
      </c>
      <c r="O1563" s="25">
        <f>IF(J1563&gt;600,1,0)</f>
        <v/>
      </c>
      <c r="P1563" s="25">
        <f>IF(H1563&gt;0,J1563,"")</f>
        <v/>
      </c>
      <c r="Q1563" s="25">
        <f>TEXT(A1563,"YYYY-MM-DD HH")</f>
        <v/>
      </c>
      <c r="R1563" s="25">
        <f>COUNTIF($Q$2:$Q$5295,Q1563)</f>
        <v/>
      </c>
      <c r="S1563" s="25">
        <f>IF(R1563&lt;=2,"1-2",IF(R1563&lt;=5,"3-5",IF(R1563&lt;=10,"6-10","11+")))</f>
        <v/>
      </c>
    </row>
    <row r="1564">
      <c r="A1564" s="39" t="n">
        <v>46168.69521990741</v>
      </c>
      <c r="B1564" s="25">
        <f>TEXT(A1564,"YYYY-MM")</f>
        <v/>
      </c>
      <c r="C1564" s="25">
        <f>TEXT(A1564,"MMM-YYYY")</f>
        <v/>
      </c>
      <c r="D1564" s="40">
        <f>INT(A1564)-WEEKDAY(A1564,2)+1</f>
        <v/>
      </c>
      <c r="E1564" s="25" t="inlineStr">
        <is>
          <t>mbhalla</t>
        </is>
      </c>
      <c r="F1564" s="25" t="n">
        <v>4882</v>
      </c>
      <c r="G1564" s="25" t="n">
        <v>1</v>
      </c>
      <c r="H1564" s="25" t="n">
        <v>7</v>
      </c>
      <c r="I1564" s="25" t="inlineStr">
        <is>
          <t>2 minute(s) and 18 second(s)</t>
        </is>
      </c>
      <c r="J1564" s="25">
        <f>IFERROR(VALUE(TRIM(LEFT(I1564,FIND("minute",I1564)-1)))*60,0)+IFERROR(VALUE(SUBSTITUTE(MID(I1564,IFERROR(FIND("and",I1564)+3,1),20),"second(s)","")),0)</f>
        <v/>
      </c>
      <c r="K1564" s="41">
        <f>J1564/60</f>
        <v/>
      </c>
      <c r="L1564" s="41">
        <f>IFERROR(J1564/H1564,"")</f>
        <v/>
      </c>
      <c r="M1564" s="25" t="inlineStr">
        <is>
          <t>2.5.12</t>
        </is>
      </c>
      <c r="N1564" s="25">
        <f>IF(J1564&gt;300,1,0)</f>
        <v/>
      </c>
      <c r="O1564" s="25">
        <f>IF(J1564&gt;600,1,0)</f>
        <v/>
      </c>
      <c r="P1564" s="25">
        <f>IF(H1564&gt;0,J1564,"")</f>
        <v/>
      </c>
      <c r="Q1564" s="25">
        <f>TEXT(A1564,"YYYY-MM-DD HH")</f>
        <v/>
      </c>
      <c r="R1564" s="25">
        <f>COUNTIF($Q$2:$Q$5295,Q1564)</f>
        <v/>
      </c>
      <c r="S1564" s="25">
        <f>IF(R1564&lt;=2,"1-2",IF(R1564&lt;=5,"3-5",IF(R1564&lt;=10,"6-10","11+")))</f>
        <v/>
      </c>
    </row>
    <row r="1565">
      <c r="A1565" s="39" t="n">
        <v>46168.70033564815</v>
      </c>
      <c r="B1565" s="25">
        <f>TEXT(A1565,"YYYY-MM")</f>
        <v/>
      </c>
      <c r="C1565" s="25">
        <f>TEXT(A1565,"MMM-YYYY")</f>
        <v/>
      </c>
      <c r="D1565" s="40">
        <f>INT(A1565)-WEEKDAY(A1565,2)+1</f>
        <v/>
      </c>
      <c r="E1565" s="25" t="inlineStr">
        <is>
          <t>rsingh</t>
        </is>
      </c>
      <c r="F1565" s="25" t="n">
        <v>527</v>
      </c>
      <c r="G1565" s="25" t="n">
        <v>2</v>
      </c>
      <c r="H1565" s="25" t="n">
        <v>10</v>
      </c>
      <c r="I1565" s="25" t="inlineStr">
        <is>
          <t>2 minute(s) and 31 second(s)</t>
        </is>
      </c>
      <c r="J1565" s="25">
        <f>IFERROR(VALUE(TRIM(LEFT(I1565,FIND("minute",I1565)-1)))*60,0)+IFERROR(VALUE(SUBSTITUTE(MID(I1565,IFERROR(FIND("and",I1565)+3,1),20),"second(s)","")),0)</f>
        <v/>
      </c>
      <c r="K1565" s="41">
        <f>J1565/60</f>
        <v/>
      </c>
      <c r="L1565" s="41">
        <f>IFERROR(J1565/H1565,"")</f>
        <v/>
      </c>
      <c r="M1565" s="25" t="inlineStr">
        <is>
          <t>2.5.12</t>
        </is>
      </c>
      <c r="N1565" s="25">
        <f>IF(J1565&gt;300,1,0)</f>
        <v/>
      </c>
      <c r="O1565" s="25">
        <f>IF(J1565&gt;600,1,0)</f>
        <v/>
      </c>
      <c r="P1565" s="25">
        <f>IF(H1565&gt;0,J1565,"")</f>
        <v/>
      </c>
      <c r="Q1565" s="25">
        <f>TEXT(A1565,"YYYY-MM-DD HH")</f>
        <v/>
      </c>
      <c r="R1565" s="25">
        <f>COUNTIF($Q$2:$Q$5295,Q1565)</f>
        <v/>
      </c>
      <c r="S1565" s="25">
        <f>IF(R1565&lt;=2,"1-2",IF(R1565&lt;=5,"3-5",IF(R1565&lt;=10,"6-10","11+")))</f>
        <v/>
      </c>
    </row>
    <row r="1566">
      <c r="A1566" s="39" t="n">
        <v>46168.72353009259</v>
      </c>
      <c r="B1566" s="25">
        <f>TEXT(A1566,"YYYY-MM")</f>
        <v/>
      </c>
      <c r="C1566" s="25">
        <f>TEXT(A1566,"MMM-YYYY")</f>
        <v/>
      </c>
      <c r="D1566" s="40">
        <f>INT(A1566)-WEEKDAY(A1566,2)+1</f>
        <v/>
      </c>
      <c r="E1566" s="25" t="inlineStr">
        <is>
          <t>mbhalla</t>
        </is>
      </c>
      <c r="F1566" s="25" t="n">
        <v>4885</v>
      </c>
      <c r="G1566" s="25" t="n">
        <v>1</v>
      </c>
      <c r="H1566" s="25" t="n">
        <v>7</v>
      </c>
      <c r="I1566" s="25" t="inlineStr">
        <is>
          <t>1 minute(s) and 28 second(s)</t>
        </is>
      </c>
      <c r="J1566" s="25">
        <f>IFERROR(VALUE(TRIM(LEFT(I1566,FIND("minute",I1566)-1)))*60,0)+IFERROR(VALUE(SUBSTITUTE(MID(I1566,IFERROR(FIND("and",I1566)+3,1),20),"second(s)","")),0)</f>
        <v/>
      </c>
      <c r="K1566" s="41">
        <f>J1566/60</f>
        <v/>
      </c>
      <c r="L1566" s="41">
        <f>IFERROR(J1566/H1566,"")</f>
        <v/>
      </c>
      <c r="M1566" s="25" t="inlineStr">
        <is>
          <t>2.5.12</t>
        </is>
      </c>
      <c r="N1566" s="25">
        <f>IF(J1566&gt;300,1,0)</f>
        <v/>
      </c>
      <c r="O1566" s="25">
        <f>IF(J1566&gt;600,1,0)</f>
        <v/>
      </c>
      <c r="P1566" s="25">
        <f>IF(H1566&gt;0,J1566,"")</f>
        <v/>
      </c>
      <c r="Q1566" s="25">
        <f>TEXT(A1566,"YYYY-MM-DD HH")</f>
        <v/>
      </c>
      <c r="R1566" s="25">
        <f>COUNTIF($Q$2:$Q$5295,Q1566)</f>
        <v/>
      </c>
      <c r="S1566" s="25">
        <f>IF(R1566&lt;=2,"1-2",IF(R1566&lt;=5,"3-5",IF(R1566&lt;=10,"6-10","11+")))</f>
        <v/>
      </c>
    </row>
    <row r="1567">
      <c r="A1567" s="39" t="n">
        <v>46168.72728009259</v>
      </c>
      <c r="B1567" s="25">
        <f>TEXT(A1567,"YYYY-MM")</f>
        <v/>
      </c>
      <c r="C1567" s="25">
        <f>TEXT(A1567,"MMM-YYYY")</f>
        <v/>
      </c>
      <c r="D1567" s="40">
        <f>INT(A1567)-WEEKDAY(A1567,2)+1</f>
        <v/>
      </c>
      <c r="E1567" s="25" t="inlineStr">
        <is>
          <t>rsingh</t>
        </is>
      </c>
      <c r="F1567" s="25" t="n">
        <v>529</v>
      </c>
      <c r="G1567" s="25" t="n">
        <v>4</v>
      </c>
      <c r="H1567" s="25" t="n">
        <v>10</v>
      </c>
      <c r="I1567" s="25" t="inlineStr">
        <is>
          <t>3 minute(s) and 16 second(s)</t>
        </is>
      </c>
      <c r="J1567" s="25">
        <f>IFERROR(VALUE(TRIM(LEFT(I1567,FIND("minute",I1567)-1)))*60,0)+IFERROR(VALUE(SUBSTITUTE(MID(I1567,IFERROR(FIND("and",I1567)+3,1),20),"second(s)","")),0)</f>
        <v/>
      </c>
      <c r="K1567" s="41">
        <f>J1567/60</f>
        <v/>
      </c>
      <c r="L1567" s="41">
        <f>IFERROR(J1567/H1567,"")</f>
        <v/>
      </c>
      <c r="M1567" s="25" t="inlineStr">
        <is>
          <t>2.5.12</t>
        </is>
      </c>
      <c r="N1567" s="25">
        <f>IF(J1567&gt;300,1,0)</f>
        <v/>
      </c>
      <c r="O1567" s="25">
        <f>IF(J1567&gt;600,1,0)</f>
        <v/>
      </c>
      <c r="P1567" s="25">
        <f>IF(H1567&gt;0,J1567,"")</f>
        <v/>
      </c>
      <c r="Q1567" s="25">
        <f>TEXT(A1567,"YYYY-MM-DD HH")</f>
        <v/>
      </c>
      <c r="R1567" s="25">
        <f>COUNTIF($Q$2:$Q$5295,Q1567)</f>
        <v/>
      </c>
      <c r="S1567" s="25">
        <f>IF(R1567&lt;=2,"1-2",IF(R1567&lt;=5,"3-5",IF(R1567&lt;=10,"6-10","11+")))</f>
        <v/>
      </c>
    </row>
    <row r="1568">
      <c r="A1568" s="39" t="n">
        <v>46168.73276620371</v>
      </c>
      <c r="B1568" s="25">
        <f>TEXT(A1568,"YYYY-MM")</f>
        <v/>
      </c>
      <c r="C1568" s="25">
        <f>TEXT(A1568,"MMM-YYYY")</f>
        <v/>
      </c>
      <c r="D1568" s="40">
        <f>INT(A1568)-WEEKDAY(A1568,2)+1</f>
        <v/>
      </c>
      <c r="E1568" s="25" t="inlineStr">
        <is>
          <t>emishra</t>
        </is>
      </c>
      <c r="F1568" s="25" t="n">
        <v>2211</v>
      </c>
      <c r="G1568" s="25" t="n">
        <v>1</v>
      </c>
      <c r="H1568" s="25" t="n">
        <v>7</v>
      </c>
      <c r="I1568" s="25" t="inlineStr">
        <is>
          <t>2 minute(s) and 40 second(s)</t>
        </is>
      </c>
      <c r="J1568" s="25">
        <f>IFERROR(VALUE(TRIM(LEFT(I1568,FIND("minute",I1568)-1)))*60,0)+IFERROR(VALUE(SUBSTITUTE(MID(I1568,IFERROR(FIND("and",I1568)+3,1),20),"second(s)","")),0)</f>
        <v/>
      </c>
      <c r="K1568" s="41">
        <f>J1568/60</f>
        <v/>
      </c>
      <c r="L1568" s="41">
        <f>IFERROR(J1568/H1568,"")</f>
        <v/>
      </c>
      <c r="M1568" s="25" t="inlineStr">
        <is>
          <t>2.5.12</t>
        </is>
      </c>
      <c r="N1568" s="25">
        <f>IF(J1568&gt;300,1,0)</f>
        <v/>
      </c>
      <c r="O1568" s="25">
        <f>IF(J1568&gt;600,1,0)</f>
        <v/>
      </c>
      <c r="P1568" s="25">
        <f>IF(H1568&gt;0,J1568,"")</f>
        <v/>
      </c>
      <c r="Q1568" s="25">
        <f>TEXT(A1568,"YYYY-MM-DD HH")</f>
        <v/>
      </c>
      <c r="R1568" s="25">
        <f>COUNTIF($Q$2:$Q$5295,Q1568)</f>
        <v/>
      </c>
      <c r="S1568" s="25">
        <f>IF(R1568&lt;=2,"1-2",IF(R1568&lt;=5,"3-5",IF(R1568&lt;=10,"6-10","11+")))</f>
        <v/>
      </c>
    </row>
    <row r="1569">
      <c r="A1569" s="39" t="n">
        <v>46168.73951388889</v>
      </c>
      <c r="B1569" s="25">
        <f>TEXT(A1569,"YYYY-MM")</f>
        <v/>
      </c>
      <c r="C1569" s="25">
        <f>TEXT(A1569,"MMM-YYYY")</f>
        <v/>
      </c>
      <c r="D1569" s="40">
        <f>INT(A1569)-WEEKDAY(A1569,2)+1</f>
        <v/>
      </c>
      <c r="E1569" s="25" t="inlineStr">
        <is>
          <t>psingh</t>
        </is>
      </c>
      <c r="F1569" s="25" t="n">
        <v>1893</v>
      </c>
      <c r="G1569" s="25" t="n">
        <v>5</v>
      </c>
      <c r="H1569" s="25" t="n">
        <v>27</v>
      </c>
      <c r="I1569" s="25" t="inlineStr">
        <is>
          <t>10 minute(s) and 1 second(s)</t>
        </is>
      </c>
      <c r="J1569" s="25">
        <f>IFERROR(VALUE(TRIM(LEFT(I1569,FIND("minute",I1569)-1)))*60,0)+IFERROR(VALUE(SUBSTITUTE(MID(I1569,IFERROR(FIND("and",I1569)+3,1),20),"second(s)","")),0)</f>
        <v/>
      </c>
      <c r="K1569" s="41">
        <f>J1569/60</f>
        <v/>
      </c>
      <c r="L1569" s="41">
        <f>IFERROR(J1569/H1569,"")</f>
        <v/>
      </c>
      <c r="M1569" s="25" t="inlineStr">
        <is>
          <t>2.5.12</t>
        </is>
      </c>
      <c r="N1569" s="25">
        <f>IF(J1569&gt;300,1,0)</f>
        <v/>
      </c>
      <c r="O1569" s="25">
        <f>IF(J1569&gt;600,1,0)</f>
        <v/>
      </c>
      <c r="P1569" s="25">
        <f>IF(H1569&gt;0,J1569,"")</f>
        <v/>
      </c>
      <c r="Q1569" s="25">
        <f>TEXT(A1569,"YYYY-MM-DD HH")</f>
        <v/>
      </c>
      <c r="R1569" s="25">
        <f>COUNTIF($Q$2:$Q$5295,Q1569)</f>
        <v/>
      </c>
      <c r="S1569" s="25">
        <f>IF(R1569&lt;=2,"1-2",IF(R1569&lt;=5,"3-5",IF(R1569&lt;=10,"6-10","11+")))</f>
        <v/>
      </c>
    </row>
    <row r="1570">
      <c r="A1570" s="39" t="n">
        <v>46168.74855324074</v>
      </c>
      <c r="B1570" s="25">
        <f>TEXT(A1570,"YYYY-MM")</f>
        <v/>
      </c>
      <c r="C1570" s="25">
        <f>TEXT(A1570,"MMM-YYYY")</f>
        <v/>
      </c>
      <c r="D1570" s="40">
        <f>INT(A1570)-WEEKDAY(A1570,2)+1</f>
        <v/>
      </c>
      <c r="E1570" s="25" t="inlineStr">
        <is>
          <t>hsindwani</t>
        </is>
      </c>
      <c r="F1570" s="25" t="n">
        <v>5350</v>
      </c>
      <c r="G1570" s="25" t="n">
        <v>1</v>
      </c>
      <c r="H1570" s="25" t="n">
        <v>7</v>
      </c>
      <c r="I1570" s="25" t="inlineStr">
        <is>
          <t>4 minute(s) and 26 second(s)</t>
        </is>
      </c>
      <c r="J1570" s="25">
        <f>IFERROR(VALUE(TRIM(LEFT(I1570,FIND("minute",I1570)-1)))*60,0)+IFERROR(VALUE(SUBSTITUTE(MID(I1570,IFERROR(FIND("and",I1570)+3,1),20),"second(s)","")),0)</f>
        <v/>
      </c>
      <c r="K1570" s="41">
        <f>J1570/60</f>
        <v/>
      </c>
      <c r="L1570" s="41">
        <f>IFERROR(J1570/H1570,"")</f>
        <v/>
      </c>
      <c r="M1570" s="25" t="inlineStr">
        <is>
          <t>2.5.12</t>
        </is>
      </c>
      <c r="N1570" s="25">
        <f>IF(J1570&gt;300,1,0)</f>
        <v/>
      </c>
      <c r="O1570" s="25">
        <f>IF(J1570&gt;600,1,0)</f>
        <v/>
      </c>
      <c r="P1570" s="25">
        <f>IF(H1570&gt;0,J1570,"")</f>
        <v/>
      </c>
      <c r="Q1570" s="25">
        <f>TEXT(A1570,"YYYY-MM-DD HH")</f>
        <v/>
      </c>
      <c r="R1570" s="25">
        <f>COUNTIF($Q$2:$Q$5295,Q1570)</f>
        <v/>
      </c>
      <c r="S1570" s="25">
        <f>IF(R1570&lt;=2,"1-2",IF(R1570&lt;=5,"3-5",IF(R1570&lt;=10,"6-10","11+")))</f>
        <v/>
      </c>
    </row>
    <row r="1571">
      <c r="A1571" s="39" t="n">
        <v>46168.75871527778</v>
      </c>
      <c r="B1571" s="25">
        <f>TEXT(A1571,"YYYY-MM")</f>
        <v/>
      </c>
      <c r="C1571" s="25">
        <f>TEXT(A1571,"MMM-YYYY")</f>
        <v/>
      </c>
      <c r="D1571" s="40">
        <f>INT(A1571)-WEEKDAY(A1571,2)+1</f>
        <v/>
      </c>
      <c r="E1571" s="25" t="inlineStr">
        <is>
          <t>vraina</t>
        </is>
      </c>
      <c r="F1571" s="25" t="n">
        <v>41519</v>
      </c>
      <c r="G1571" s="25" t="n">
        <v>2</v>
      </c>
      <c r="H1571" s="25" t="n">
        <v>10</v>
      </c>
      <c r="I1571" s="25" t="inlineStr">
        <is>
          <t>1 minute(s) and 58 second(s)</t>
        </is>
      </c>
      <c r="J1571" s="25">
        <f>IFERROR(VALUE(TRIM(LEFT(I1571,FIND("minute",I1571)-1)))*60,0)+IFERROR(VALUE(SUBSTITUTE(MID(I1571,IFERROR(FIND("and",I1571)+3,1),20),"second(s)","")),0)</f>
        <v/>
      </c>
      <c r="K1571" s="41">
        <f>J1571/60</f>
        <v/>
      </c>
      <c r="L1571" s="41">
        <f>IFERROR(J1571/H1571,"")</f>
        <v/>
      </c>
      <c r="M1571" s="25" t="inlineStr">
        <is>
          <t>2.5.12</t>
        </is>
      </c>
      <c r="N1571" s="25">
        <f>IF(J1571&gt;300,1,0)</f>
        <v/>
      </c>
      <c r="O1571" s="25">
        <f>IF(J1571&gt;600,1,0)</f>
        <v/>
      </c>
      <c r="P1571" s="25">
        <f>IF(H1571&gt;0,J1571,"")</f>
        <v/>
      </c>
      <c r="Q1571" s="25">
        <f>TEXT(A1571,"YYYY-MM-DD HH")</f>
        <v/>
      </c>
      <c r="R1571" s="25">
        <f>COUNTIF($Q$2:$Q$5295,Q1571)</f>
        <v/>
      </c>
      <c r="S1571" s="25">
        <f>IF(R1571&lt;=2,"1-2",IF(R1571&lt;=5,"3-5",IF(R1571&lt;=10,"6-10","11+")))</f>
        <v/>
      </c>
    </row>
    <row r="1572">
      <c r="A1572" s="39" t="n">
        <v>46168.76113425926</v>
      </c>
      <c r="B1572" s="25">
        <f>TEXT(A1572,"YYYY-MM")</f>
        <v/>
      </c>
      <c r="C1572" s="25">
        <f>TEXT(A1572,"MMM-YYYY")</f>
        <v/>
      </c>
      <c r="D1572" s="40">
        <f>INT(A1572)-WEEKDAY(A1572,2)+1</f>
        <v/>
      </c>
      <c r="E1572" s="25" t="inlineStr">
        <is>
          <t>emishra</t>
        </is>
      </c>
      <c r="F1572" s="25" t="n">
        <v>9279</v>
      </c>
      <c r="G1572" s="25" t="n">
        <v>5</v>
      </c>
      <c r="H1572" s="25" t="n">
        <v>19</v>
      </c>
      <c r="I1572" s="25" t="inlineStr">
        <is>
          <t>4 minute(s) and 28 second(s)</t>
        </is>
      </c>
      <c r="J1572" s="25">
        <f>IFERROR(VALUE(TRIM(LEFT(I1572,FIND("minute",I1572)-1)))*60,0)+IFERROR(VALUE(SUBSTITUTE(MID(I1572,IFERROR(FIND("and",I1572)+3,1),20),"second(s)","")),0)</f>
        <v/>
      </c>
      <c r="K1572" s="41">
        <f>J1572/60</f>
        <v/>
      </c>
      <c r="L1572" s="41">
        <f>IFERROR(J1572/H1572,"")</f>
        <v/>
      </c>
      <c r="M1572" s="25" t="inlineStr">
        <is>
          <t>2.5.12</t>
        </is>
      </c>
      <c r="N1572" s="25">
        <f>IF(J1572&gt;300,1,0)</f>
        <v/>
      </c>
      <c r="O1572" s="25">
        <f>IF(J1572&gt;600,1,0)</f>
        <v/>
      </c>
      <c r="P1572" s="25">
        <f>IF(H1572&gt;0,J1572,"")</f>
        <v/>
      </c>
      <c r="Q1572" s="25">
        <f>TEXT(A1572,"YYYY-MM-DD HH")</f>
        <v/>
      </c>
      <c r="R1572" s="25">
        <f>COUNTIF($Q$2:$Q$5295,Q1572)</f>
        <v/>
      </c>
      <c r="S1572" s="25">
        <f>IF(R1572&lt;=2,"1-2",IF(R1572&lt;=5,"3-5",IF(R1572&lt;=10,"6-10","11+")))</f>
        <v/>
      </c>
    </row>
    <row r="1573">
      <c r="A1573" s="39" t="n">
        <v>46168.81196759259</v>
      </c>
      <c r="B1573" s="25">
        <f>TEXT(A1573,"YYYY-MM")</f>
        <v/>
      </c>
      <c r="C1573" s="25">
        <f>TEXT(A1573,"MMM-YYYY")</f>
        <v/>
      </c>
      <c r="D1573" s="40">
        <f>INT(A1573)-WEEKDAY(A1573,2)+1</f>
        <v/>
      </c>
      <c r="E1573" s="25" t="inlineStr">
        <is>
          <t>psingh</t>
        </is>
      </c>
      <c r="F1573" s="25" t="n">
        <v>1912</v>
      </c>
      <c r="G1573" s="25" t="n">
        <v>1</v>
      </c>
      <c r="H1573" s="25" t="n">
        <v>7</v>
      </c>
      <c r="I1573" s="25" t="inlineStr">
        <is>
          <t>2 minute(s) and 56 second(s)</t>
        </is>
      </c>
      <c r="J1573" s="25">
        <f>IFERROR(VALUE(TRIM(LEFT(I1573,FIND("minute",I1573)-1)))*60,0)+IFERROR(VALUE(SUBSTITUTE(MID(I1573,IFERROR(FIND("and",I1573)+3,1),20),"second(s)","")),0)</f>
        <v/>
      </c>
      <c r="K1573" s="41">
        <f>J1573/60</f>
        <v/>
      </c>
      <c r="L1573" s="41">
        <f>IFERROR(J1573/H1573,"")</f>
        <v/>
      </c>
      <c r="M1573" s="25" t="inlineStr">
        <is>
          <t>2.5.12</t>
        </is>
      </c>
      <c r="N1573" s="25">
        <f>IF(J1573&gt;300,1,0)</f>
        <v/>
      </c>
      <c r="O1573" s="25">
        <f>IF(J1573&gt;600,1,0)</f>
        <v/>
      </c>
      <c r="P1573" s="25">
        <f>IF(H1573&gt;0,J1573,"")</f>
        <v/>
      </c>
      <c r="Q1573" s="25">
        <f>TEXT(A1573,"YYYY-MM-DD HH")</f>
        <v/>
      </c>
      <c r="R1573" s="25">
        <f>COUNTIF($Q$2:$Q$5295,Q1573)</f>
        <v/>
      </c>
      <c r="S1573" s="25">
        <f>IF(R1573&lt;=2,"1-2",IF(R1573&lt;=5,"3-5",IF(R1573&lt;=10,"6-10","11+")))</f>
        <v/>
      </c>
    </row>
    <row r="1574">
      <c r="A1574" s="39" t="n">
        <v>46168.85673611111</v>
      </c>
      <c r="B1574" s="25">
        <f>TEXT(A1574,"YYYY-MM")</f>
        <v/>
      </c>
      <c r="C1574" s="25">
        <f>TEXT(A1574,"MMM-YYYY")</f>
        <v/>
      </c>
      <c r="D1574" s="40">
        <f>INT(A1574)-WEEKDAY(A1574,2)+1</f>
        <v/>
      </c>
      <c r="E1574" s="25" t="inlineStr">
        <is>
          <t>dchoudhury</t>
        </is>
      </c>
      <c r="F1574" s="25" t="n">
        <v>5460</v>
      </c>
      <c r="G1574" s="25" t="n">
        <v>2</v>
      </c>
      <c r="H1574" s="25" t="n">
        <v>10</v>
      </c>
      <c r="I1574" s="25" t="inlineStr">
        <is>
          <t>3 minute(s) and 15 second(s)</t>
        </is>
      </c>
      <c r="J1574" s="25">
        <f>IFERROR(VALUE(TRIM(LEFT(I1574,FIND("minute",I1574)-1)))*60,0)+IFERROR(VALUE(SUBSTITUTE(MID(I1574,IFERROR(FIND("and",I1574)+3,1),20),"second(s)","")),0)</f>
        <v/>
      </c>
      <c r="K1574" s="41">
        <f>J1574/60</f>
        <v/>
      </c>
      <c r="L1574" s="41">
        <f>IFERROR(J1574/H1574,"")</f>
        <v/>
      </c>
      <c r="M1574" s="25" t="inlineStr">
        <is>
          <t>2.5.12</t>
        </is>
      </c>
      <c r="N1574" s="25">
        <f>IF(J1574&gt;300,1,0)</f>
        <v/>
      </c>
      <c r="O1574" s="25">
        <f>IF(J1574&gt;600,1,0)</f>
        <v/>
      </c>
      <c r="P1574" s="25">
        <f>IF(H1574&gt;0,J1574,"")</f>
        <v/>
      </c>
      <c r="Q1574" s="25">
        <f>TEXT(A1574,"YYYY-MM-DD HH")</f>
        <v/>
      </c>
      <c r="R1574" s="25">
        <f>COUNTIF($Q$2:$Q$5295,Q1574)</f>
        <v/>
      </c>
      <c r="S1574" s="25">
        <f>IF(R1574&lt;=2,"1-2",IF(R1574&lt;=5,"3-5",IF(R1574&lt;=10,"6-10","11+")))</f>
        <v/>
      </c>
    </row>
    <row r="1575">
      <c r="A1575" s="39" t="n">
        <v>46168.87365740741</v>
      </c>
      <c r="B1575" s="25">
        <f>TEXT(A1575,"YYYY-MM")</f>
        <v/>
      </c>
      <c r="C1575" s="25">
        <f>TEXT(A1575,"MMM-YYYY")</f>
        <v/>
      </c>
      <c r="D1575" s="40">
        <f>INT(A1575)-WEEKDAY(A1575,2)+1</f>
        <v/>
      </c>
      <c r="E1575" s="25" t="inlineStr">
        <is>
          <t>psingh</t>
        </is>
      </c>
      <c r="F1575" s="25" t="n">
        <v>1938</v>
      </c>
      <c r="G1575" s="25" t="n">
        <v>1</v>
      </c>
      <c r="H1575" s="25" t="n">
        <v>7</v>
      </c>
      <c r="I1575" s="25" t="inlineStr">
        <is>
          <t>3 minute(s) and 18 second(s)</t>
        </is>
      </c>
      <c r="J1575" s="25">
        <f>IFERROR(VALUE(TRIM(LEFT(I1575,FIND("minute",I1575)-1)))*60,0)+IFERROR(VALUE(SUBSTITUTE(MID(I1575,IFERROR(FIND("and",I1575)+3,1),20),"second(s)","")),0)</f>
        <v/>
      </c>
      <c r="K1575" s="41">
        <f>J1575/60</f>
        <v/>
      </c>
      <c r="L1575" s="41">
        <f>IFERROR(J1575/H1575,"")</f>
        <v/>
      </c>
      <c r="M1575" s="25" t="inlineStr">
        <is>
          <t>2.5.12</t>
        </is>
      </c>
      <c r="N1575" s="25">
        <f>IF(J1575&gt;300,1,0)</f>
        <v/>
      </c>
      <c r="O1575" s="25">
        <f>IF(J1575&gt;600,1,0)</f>
        <v/>
      </c>
      <c r="P1575" s="25">
        <f>IF(H1575&gt;0,J1575,"")</f>
        <v/>
      </c>
      <c r="Q1575" s="25">
        <f>TEXT(A1575,"YYYY-MM-DD HH")</f>
        <v/>
      </c>
      <c r="R1575" s="25">
        <f>COUNTIF($Q$2:$Q$5295,Q1575)</f>
        <v/>
      </c>
      <c r="S1575" s="25">
        <f>IF(R1575&lt;=2,"1-2",IF(R1575&lt;=5,"3-5",IF(R1575&lt;=10,"6-10","11+")))</f>
        <v/>
      </c>
    </row>
    <row r="1576">
      <c r="A1576" s="39" t="n">
        <v>46168.90637731482</v>
      </c>
      <c r="B1576" s="25">
        <f>TEXT(A1576,"YYYY-MM")</f>
        <v/>
      </c>
      <c r="C1576" s="25">
        <f>TEXT(A1576,"MMM-YYYY")</f>
        <v/>
      </c>
      <c r="D1576" s="40">
        <f>INT(A1576)-WEEKDAY(A1576,2)+1</f>
        <v/>
      </c>
      <c r="E1576" s="25" t="inlineStr">
        <is>
          <t>dchoudhury</t>
        </is>
      </c>
      <c r="F1576" s="25" t="n">
        <v>5461</v>
      </c>
      <c r="G1576" s="25" t="n">
        <v>2</v>
      </c>
      <c r="H1576" s="25" t="n">
        <v>10</v>
      </c>
      <c r="I1576" s="25" t="inlineStr">
        <is>
          <t>3 minute(s) and 17 second(s)</t>
        </is>
      </c>
      <c r="J1576" s="25">
        <f>IFERROR(VALUE(TRIM(LEFT(I1576,FIND("minute",I1576)-1)))*60,0)+IFERROR(VALUE(SUBSTITUTE(MID(I1576,IFERROR(FIND("and",I1576)+3,1),20),"second(s)","")),0)</f>
        <v/>
      </c>
      <c r="K1576" s="41">
        <f>J1576/60</f>
        <v/>
      </c>
      <c r="L1576" s="41">
        <f>IFERROR(J1576/H1576,"")</f>
        <v/>
      </c>
      <c r="M1576" s="25" t="inlineStr">
        <is>
          <t>2.5.12</t>
        </is>
      </c>
      <c r="N1576" s="25">
        <f>IF(J1576&gt;300,1,0)</f>
        <v/>
      </c>
      <c r="O1576" s="25">
        <f>IF(J1576&gt;600,1,0)</f>
        <v/>
      </c>
      <c r="P1576" s="25">
        <f>IF(H1576&gt;0,J1576,"")</f>
        <v/>
      </c>
      <c r="Q1576" s="25">
        <f>TEXT(A1576,"YYYY-MM-DD HH")</f>
        <v/>
      </c>
      <c r="R1576" s="25">
        <f>COUNTIF($Q$2:$Q$5295,Q1576)</f>
        <v/>
      </c>
      <c r="S1576" s="25">
        <f>IF(R1576&lt;=2,"1-2",IF(R1576&lt;=5,"3-5",IF(R1576&lt;=10,"6-10","11+")))</f>
        <v/>
      </c>
    </row>
    <row r="1577">
      <c r="A1577" s="39" t="n">
        <v>46168.95354166667</v>
      </c>
      <c r="B1577" s="25">
        <f>TEXT(A1577,"YYYY-MM")</f>
        <v/>
      </c>
      <c r="C1577" s="25">
        <f>TEXT(A1577,"MMM-YYYY")</f>
        <v/>
      </c>
      <c r="D1577" s="40">
        <f>INT(A1577)-WEEKDAY(A1577,2)+1</f>
        <v/>
      </c>
      <c r="E1577" s="25" t="inlineStr">
        <is>
          <t>dchoudhury</t>
        </is>
      </c>
      <c r="F1577" s="25" t="n">
        <v>5462</v>
      </c>
      <c r="G1577" s="25" t="n">
        <v>1</v>
      </c>
      <c r="H1577" s="25" t="n">
        <v>7</v>
      </c>
      <c r="I1577" s="25" t="inlineStr">
        <is>
          <t>3 minute(s) and 0 second(s)</t>
        </is>
      </c>
      <c r="J1577" s="25">
        <f>IFERROR(VALUE(TRIM(LEFT(I1577,FIND("minute",I1577)-1)))*60,0)+IFERROR(VALUE(SUBSTITUTE(MID(I1577,IFERROR(FIND("and",I1577)+3,1),20),"second(s)","")),0)</f>
        <v/>
      </c>
      <c r="K1577" s="41">
        <f>J1577/60</f>
        <v/>
      </c>
      <c r="L1577" s="41">
        <f>IFERROR(J1577/H1577,"")</f>
        <v/>
      </c>
      <c r="M1577" s="25" t="inlineStr">
        <is>
          <t>2.5.12</t>
        </is>
      </c>
      <c r="N1577" s="25">
        <f>IF(J1577&gt;300,1,0)</f>
        <v/>
      </c>
      <c r="O1577" s="25">
        <f>IF(J1577&gt;600,1,0)</f>
        <v/>
      </c>
      <c r="P1577" s="25">
        <f>IF(H1577&gt;0,J1577,"")</f>
        <v/>
      </c>
      <c r="Q1577" s="25">
        <f>TEXT(A1577,"YYYY-MM-DD HH")</f>
        <v/>
      </c>
      <c r="R1577" s="25">
        <f>COUNTIF($Q$2:$Q$5295,Q1577)</f>
        <v/>
      </c>
      <c r="S1577" s="25">
        <f>IF(R1577&lt;=2,"1-2",IF(R1577&lt;=5,"3-5",IF(R1577&lt;=10,"6-10","11+")))</f>
        <v/>
      </c>
    </row>
    <row r="1578">
      <c r="A1578" s="39" t="n">
        <v>46169.0165625</v>
      </c>
      <c r="B1578" s="25">
        <f>TEXT(A1578,"YYYY-MM")</f>
        <v/>
      </c>
      <c r="C1578" s="25">
        <f>TEXT(A1578,"MMM-YYYY")</f>
        <v/>
      </c>
      <c r="D1578" s="40">
        <f>INT(A1578)-WEEKDAY(A1578,2)+1</f>
        <v/>
      </c>
      <c r="E1578" s="25" t="inlineStr">
        <is>
          <t>akumari</t>
        </is>
      </c>
      <c r="F1578" s="25" t="n">
        <v>5120</v>
      </c>
      <c r="G1578" s="25" t="n">
        <v>1</v>
      </c>
      <c r="H1578" s="25" t="n">
        <v>7</v>
      </c>
      <c r="I1578" s="25" t="inlineStr">
        <is>
          <t>2 minute(s) and 39 second(s)</t>
        </is>
      </c>
      <c r="J1578" s="25">
        <f>IFERROR(VALUE(TRIM(LEFT(I1578,FIND("minute",I1578)-1)))*60,0)+IFERROR(VALUE(SUBSTITUTE(MID(I1578,IFERROR(FIND("and",I1578)+3,1),20),"second(s)","")),0)</f>
        <v/>
      </c>
      <c r="K1578" s="41">
        <f>J1578/60</f>
        <v/>
      </c>
      <c r="L1578" s="41">
        <f>IFERROR(J1578/H1578,"")</f>
        <v/>
      </c>
      <c r="M1578" s="25" t="inlineStr">
        <is>
          <t>2.5.12</t>
        </is>
      </c>
      <c r="N1578" s="25">
        <f>IF(J1578&gt;300,1,0)</f>
        <v/>
      </c>
      <c r="O1578" s="25">
        <f>IF(J1578&gt;600,1,0)</f>
        <v/>
      </c>
      <c r="P1578" s="25">
        <f>IF(H1578&gt;0,J1578,"")</f>
        <v/>
      </c>
      <c r="Q1578" s="25">
        <f>TEXT(A1578,"YYYY-MM-DD HH")</f>
        <v/>
      </c>
      <c r="R1578" s="25">
        <f>COUNTIF($Q$2:$Q$5295,Q1578)</f>
        <v/>
      </c>
      <c r="S1578" s="25">
        <f>IF(R1578&lt;=2,"1-2",IF(R1578&lt;=5,"3-5",IF(R1578&lt;=10,"6-10","11+")))</f>
        <v/>
      </c>
    </row>
    <row r="1579">
      <c r="A1579" s="39" t="n">
        <v>46169.01975694444</v>
      </c>
      <c r="B1579" s="25">
        <f>TEXT(A1579,"YYYY-MM")</f>
        <v/>
      </c>
      <c r="C1579" s="25">
        <f>TEXT(A1579,"MMM-YYYY")</f>
        <v/>
      </c>
      <c r="D1579" s="40">
        <f>INT(A1579)-WEEKDAY(A1579,2)+1</f>
        <v/>
      </c>
      <c r="E1579" s="25" t="inlineStr">
        <is>
          <t>asahoo</t>
        </is>
      </c>
      <c r="F1579" s="25" t="n">
        <v>5005</v>
      </c>
      <c r="G1579" s="25" t="n">
        <v>1</v>
      </c>
      <c r="H1579" s="25" t="n">
        <v>7</v>
      </c>
      <c r="I1579" s="25" t="inlineStr">
        <is>
          <t>2 minute(s) and 50 second(s)</t>
        </is>
      </c>
      <c r="J1579" s="25">
        <f>IFERROR(VALUE(TRIM(LEFT(I1579,FIND("minute",I1579)-1)))*60,0)+IFERROR(VALUE(SUBSTITUTE(MID(I1579,IFERROR(FIND("and",I1579)+3,1),20),"second(s)","")),0)</f>
        <v/>
      </c>
      <c r="K1579" s="41">
        <f>J1579/60</f>
        <v/>
      </c>
      <c r="L1579" s="41">
        <f>IFERROR(J1579/H1579,"")</f>
        <v/>
      </c>
      <c r="M1579" s="25" t="inlineStr">
        <is>
          <t>2.5.12</t>
        </is>
      </c>
      <c r="N1579" s="25">
        <f>IF(J1579&gt;300,1,0)</f>
        <v/>
      </c>
      <c r="O1579" s="25">
        <f>IF(J1579&gt;600,1,0)</f>
        <v/>
      </c>
      <c r="P1579" s="25">
        <f>IF(H1579&gt;0,J1579,"")</f>
        <v/>
      </c>
      <c r="Q1579" s="25">
        <f>TEXT(A1579,"YYYY-MM-DD HH")</f>
        <v/>
      </c>
      <c r="R1579" s="25">
        <f>COUNTIF($Q$2:$Q$5295,Q1579)</f>
        <v/>
      </c>
      <c r="S1579" s="25">
        <f>IF(R1579&lt;=2,"1-2",IF(R1579&lt;=5,"3-5",IF(R1579&lt;=10,"6-10","11+")))</f>
        <v/>
      </c>
    </row>
    <row r="1580">
      <c r="A1580" s="39" t="n">
        <v>46169.02689814815</v>
      </c>
      <c r="B1580" s="25">
        <f>TEXT(A1580,"YYYY-MM")</f>
        <v/>
      </c>
      <c r="C1580" s="25">
        <f>TEXT(A1580,"MMM-YYYY")</f>
        <v/>
      </c>
      <c r="D1580" s="40">
        <f>INT(A1580)-WEEKDAY(A1580,2)+1</f>
        <v/>
      </c>
      <c r="E1580" s="25" t="inlineStr">
        <is>
          <t>smukhopadhyay</t>
        </is>
      </c>
      <c r="F1580" s="25" t="n">
        <v>5062</v>
      </c>
      <c r="G1580" s="25" t="n">
        <v>1</v>
      </c>
      <c r="H1580" s="25" t="n">
        <v>7</v>
      </c>
      <c r="I1580" s="25" t="inlineStr">
        <is>
          <t>3 minute(s) and 4 second(s)</t>
        </is>
      </c>
      <c r="J1580" s="25">
        <f>IFERROR(VALUE(TRIM(LEFT(I1580,FIND("minute",I1580)-1)))*60,0)+IFERROR(VALUE(SUBSTITUTE(MID(I1580,IFERROR(FIND("and",I1580)+3,1),20),"second(s)","")),0)</f>
        <v/>
      </c>
      <c r="K1580" s="41">
        <f>J1580/60</f>
        <v/>
      </c>
      <c r="L1580" s="41">
        <f>IFERROR(J1580/H1580,"")</f>
        <v/>
      </c>
      <c r="M1580" s="25" t="inlineStr">
        <is>
          <t>2.5.12</t>
        </is>
      </c>
      <c r="N1580" s="25">
        <f>IF(J1580&gt;300,1,0)</f>
        <v/>
      </c>
      <c r="O1580" s="25">
        <f>IF(J1580&gt;600,1,0)</f>
        <v/>
      </c>
      <c r="P1580" s="25">
        <f>IF(H1580&gt;0,J1580,"")</f>
        <v/>
      </c>
      <c r="Q1580" s="25">
        <f>TEXT(A1580,"YYYY-MM-DD HH")</f>
        <v/>
      </c>
      <c r="R1580" s="25">
        <f>COUNTIF($Q$2:$Q$5295,Q1580)</f>
        <v/>
      </c>
      <c r="S1580" s="25">
        <f>IF(R1580&lt;=2,"1-2",IF(R1580&lt;=5,"3-5",IF(R1580&lt;=10,"6-10","11+")))</f>
        <v/>
      </c>
    </row>
    <row r="1581">
      <c r="A1581" s="39" t="n">
        <v>46169.0362037037</v>
      </c>
      <c r="B1581" s="25">
        <f>TEXT(A1581,"YYYY-MM")</f>
        <v/>
      </c>
      <c r="C1581" s="25">
        <f>TEXT(A1581,"MMM-YYYY")</f>
        <v/>
      </c>
      <c r="D1581" s="40">
        <f>INT(A1581)-WEEKDAY(A1581,2)+1</f>
        <v/>
      </c>
      <c r="E1581" s="25" t="inlineStr">
        <is>
          <t>akumari</t>
        </is>
      </c>
      <c r="F1581" s="25" t="n">
        <v>5122</v>
      </c>
      <c r="G1581" s="25" t="n">
        <v>1</v>
      </c>
      <c r="H1581" s="25" t="n">
        <v>7</v>
      </c>
      <c r="I1581" s="25" t="inlineStr">
        <is>
          <t>2 minute(s) and 41 second(s)</t>
        </is>
      </c>
      <c r="J1581" s="25">
        <f>IFERROR(VALUE(TRIM(LEFT(I1581,FIND("minute",I1581)-1)))*60,0)+IFERROR(VALUE(SUBSTITUTE(MID(I1581,IFERROR(FIND("and",I1581)+3,1),20),"second(s)","")),0)</f>
        <v/>
      </c>
      <c r="K1581" s="41">
        <f>J1581/60</f>
        <v/>
      </c>
      <c r="L1581" s="41">
        <f>IFERROR(J1581/H1581,"")</f>
        <v/>
      </c>
      <c r="M1581" s="25" t="inlineStr">
        <is>
          <t>2.5.12</t>
        </is>
      </c>
      <c r="N1581" s="25">
        <f>IF(J1581&gt;300,1,0)</f>
        <v/>
      </c>
      <c r="O1581" s="25">
        <f>IF(J1581&gt;600,1,0)</f>
        <v/>
      </c>
      <c r="P1581" s="25">
        <f>IF(H1581&gt;0,J1581,"")</f>
        <v/>
      </c>
      <c r="Q1581" s="25">
        <f>TEXT(A1581,"YYYY-MM-DD HH")</f>
        <v/>
      </c>
      <c r="R1581" s="25">
        <f>COUNTIF($Q$2:$Q$5295,Q1581)</f>
        <v/>
      </c>
      <c r="S1581" s="25">
        <f>IF(R1581&lt;=2,"1-2",IF(R1581&lt;=5,"3-5",IF(R1581&lt;=10,"6-10","11+")))</f>
        <v/>
      </c>
    </row>
    <row r="1582">
      <c r="A1582" s="39" t="n">
        <v>46169.04356481481</v>
      </c>
      <c r="B1582" s="25">
        <f>TEXT(A1582,"YYYY-MM")</f>
        <v/>
      </c>
      <c r="C1582" s="25">
        <f>TEXT(A1582,"MMM-YYYY")</f>
        <v/>
      </c>
      <c r="D1582" s="40">
        <f>INT(A1582)-WEEKDAY(A1582,2)+1</f>
        <v/>
      </c>
      <c r="E1582" s="25" t="inlineStr">
        <is>
          <t>arsarkar</t>
        </is>
      </c>
      <c r="F1582" s="25" t="n">
        <v>4981</v>
      </c>
      <c r="G1582" s="25" t="n">
        <v>1</v>
      </c>
      <c r="H1582" s="25" t="n">
        <v>5</v>
      </c>
      <c r="I1582" s="25" t="inlineStr">
        <is>
          <t>1 minute(s) and 5 second(s)</t>
        </is>
      </c>
      <c r="J1582" s="25">
        <f>IFERROR(VALUE(TRIM(LEFT(I1582,FIND("minute",I1582)-1)))*60,0)+IFERROR(VALUE(SUBSTITUTE(MID(I1582,IFERROR(FIND("and",I1582)+3,1),20),"second(s)","")),0)</f>
        <v/>
      </c>
      <c r="K1582" s="41">
        <f>J1582/60</f>
        <v/>
      </c>
      <c r="L1582" s="41">
        <f>IFERROR(J1582/H1582,"")</f>
        <v/>
      </c>
      <c r="M1582" s="25" t="inlineStr">
        <is>
          <t>2.5.12</t>
        </is>
      </c>
      <c r="N1582" s="25">
        <f>IF(J1582&gt;300,1,0)</f>
        <v/>
      </c>
      <c r="O1582" s="25">
        <f>IF(J1582&gt;600,1,0)</f>
        <v/>
      </c>
      <c r="P1582" s="25">
        <f>IF(H1582&gt;0,J1582,"")</f>
        <v/>
      </c>
      <c r="Q1582" s="25">
        <f>TEXT(A1582,"YYYY-MM-DD HH")</f>
        <v/>
      </c>
      <c r="R1582" s="25">
        <f>COUNTIF($Q$2:$Q$5295,Q1582)</f>
        <v/>
      </c>
      <c r="S1582" s="25">
        <f>IF(R1582&lt;=2,"1-2",IF(R1582&lt;=5,"3-5",IF(R1582&lt;=10,"6-10","11+")))</f>
        <v/>
      </c>
    </row>
    <row r="1583">
      <c r="A1583" s="39" t="n">
        <v>46169.0474537037</v>
      </c>
      <c r="B1583" s="25">
        <f>TEXT(A1583,"YYYY-MM")</f>
        <v/>
      </c>
      <c r="C1583" s="25">
        <f>TEXT(A1583,"MMM-YYYY")</f>
        <v/>
      </c>
      <c r="D1583" s="40">
        <f>INT(A1583)-WEEKDAY(A1583,2)+1</f>
        <v/>
      </c>
      <c r="E1583" s="25" t="inlineStr">
        <is>
          <t>taggarwal</t>
        </is>
      </c>
      <c r="F1583" s="25" t="n">
        <v>3084</v>
      </c>
      <c r="G1583" s="25" t="n">
        <v>1</v>
      </c>
      <c r="H1583" s="25" t="n">
        <v>7</v>
      </c>
      <c r="I1583" s="25" t="inlineStr">
        <is>
          <t>2 minute(s) and 54 second(s)</t>
        </is>
      </c>
      <c r="J1583" s="25">
        <f>IFERROR(VALUE(TRIM(LEFT(I1583,FIND("minute",I1583)-1)))*60,0)+IFERROR(VALUE(SUBSTITUTE(MID(I1583,IFERROR(FIND("and",I1583)+3,1),20),"second(s)","")),0)</f>
        <v/>
      </c>
      <c r="K1583" s="41">
        <f>J1583/60</f>
        <v/>
      </c>
      <c r="L1583" s="41">
        <f>IFERROR(J1583/H1583,"")</f>
        <v/>
      </c>
      <c r="M1583" s="25" t="inlineStr">
        <is>
          <t>2.5.12</t>
        </is>
      </c>
      <c r="N1583" s="25">
        <f>IF(J1583&gt;300,1,0)</f>
        <v/>
      </c>
      <c r="O1583" s="25">
        <f>IF(J1583&gt;600,1,0)</f>
        <v/>
      </c>
      <c r="P1583" s="25">
        <f>IF(H1583&gt;0,J1583,"")</f>
        <v/>
      </c>
      <c r="Q1583" s="25">
        <f>TEXT(A1583,"YYYY-MM-DD HH")</f>
        <v/>
      </c>
      <c r="R1583" s="25">
        <f>COUNTIF($Q$2:$Q$5295,Q1583)</f>
        <v/>
      </c>
      <c r="S1583" s="25">
        <f>IF(R1583&lt;=2,"1-2",IF(R1583&lt;=5,"3-5",IF(R1583&lt;=10,"6-10","11+")))</f>
        <v/>
      </c>
    </row>
    <row r="1584">
      <c r="A1584" s="39" t="n">
        <v>46169.05458333333</v>
      </c>
      <c r="B1584" s="25">
        <f>TEXT(A1584,"YYYY-MM")</f>
        <v/>
      </c>
      <c r="C1584" s="25">
        <f>TEXT(A1584,"MMM-YYYY")</f>
        <v/>
      </c>
      <c r="D1584" s="40">
        <f>INT(A1584)-WEEKDAY(A1584,2)+1</f>
        <v/>
      </c>
      <c r="E1584" s="25" t="inlineStr">
        <is>
          <t>ssrinivasan</t>
        </is>
      </c>
      <c r="F1584" s="25" t="n">
        <v>5365</v>
      </c>
      <c r="G1584" s="25" t="n">
        <v>5</v>
      </c>
      <c r="H1584" s="25" t="n">
        <v>25</v>
      </c>
      <c r="I1584" s="25" t="inlineStr">
        <is>
          <t>8 minute(s) and 48 second(s)</t>
        </is>
      </c>
      <c r="J1584" s="25">
        <f>IFERROR(VALUE(TRIM(LEFT(I1584,FIND("minute",I1584)-1)))*60,0)+IFERROR(VALUE(SUBSTITUTE(MID(I1584,IFERROR(FIND("and",I1584)+3,1),20),"second(s)","")),0)</f>
        <v/>
      </c>
      <c r="K1584" s="41">
        <f>J1584/60</f>
        <v/>
      </c>
      <c r="L1584" s="41">
        <f>IFERROR(J1584/H1584,"")</f>
        <v/>
      </c>
      <c r="M1584" s="25" t="inlineStr">
        <is>
          <t>2.5.12</t>
        </is>
      </c>
      <c r="N1584" s="25">
        <f>IF(J1584&gt;300,1,0)</f>
        <v/>
      </c>
      <c r="O1584" s="25">
        <f>IF(J1584&gt;600,1,0)</f>
        <v/>
      </c>
      <c r="P1584" s="25">
        <f>IF(H1584&gt;0,J1584,"")</f>
        <v/>
      </c>
      <c r="Q1584" s="25">
        <f>TEXT(A1584,"YYYY-MM-DD HH")</f>
        <v/>
      </c>
      <c r="R1584" s="25">
        <f>COUNTIF($Q$2:$Q$5295,Q1584)</f>
        <v/>
      </c>
      <c r="S1584" s="25">
        <f>IF(R1584&lt;=2,"1-2",IF(R1584&lt;=5,"3-5",IF(R1584&lt;=10,"6-10","11+")))</f>
        <v/>
      </c>
    </row>
    <row r="1585">
      <c r="A1585" s="39" t="n">
        <v>46169.05707175926</v>
      </c>
      <c r="B1585" s="25">
        <f>TEXT(A1585,"YYYY-MM")</f>
        <v/>
      </c>
      <c r="C1585" s="25">
        <f>TEXT(A1585,"MMM-YYYY")</f>
        <v/>
      </c>
      <c r="D1585" s="40">
        <f>INT(A1585)-WEEKDAY(A1585,2)+1</f>
        <v/>
      </c>
      <c r="E1585" s="25" t="inlineStr">
        <is>
          <t>akumari</t>
        </is>
      </c>
      <c r="F1585" s="25" t="n">
        <v>5125</v>
      </c>
      <c r="G1585" s="25" t="n">
        <v>1</v>
      </c>
      <c r="H1585" s="25" t="n">
        <v>7</v>
      </c>
      <c r="I1585" s="25" t="inlineStr">
        <is>
          <t>1 minute(s) and 19 second(s)</t>
        </is>
      </c>
      <c r="J1585" s="25">
        <f>IFERROR(VALUE(TRIM(LEFT(I1585,FIND("minute",I1585)-1)))*60,0)+IFERROR(VALUE(SUBSTITUTE(MID(I1585,IFERROR(FIND("and",I1585)+3,1),20),"second(s)","")),0)</f>
        <v/>
      </c>
      <c r="K1585" s="41">
        <f>J1585/60</f>
        <v/>
      </c>
      <c r="L1585" s="41">
        <f>IFERROR(J1585/H1585,"")</f>
        <v/>
      </c>
      <c r="M1585" s="25" t="inlineStr">
        <is>
          <t>2.5.12</t>
        </is>
      </c>
      <c r="N1585" s="25">
        <f>IF(J1585&gt;300,1,0)</f>
        <v/>
      </c>
      <c r="O1585" s="25">
        <f>IF(J1585&gt;600,1,0)</f>
        <v/>
      </c>
      <c r="P1585" s="25">
        <f>IF(H1585&gt;0,J1585,"")</f>
        <v/>
      </c>
      <c r="Q1585" s="25">
        <f>TEXT(A1585,"YYYY-MM-DD HH")</f>
        <v/>
      </c>
      <c r="R1585" s="25">
        <f>COUNTIF($Q$2:$Q$5295,Q1585)</f>
        <v/>
      </c>
      <c r="S1585" s="25">
        <f>IF(R1585&lt;=2,"1-2",IF(R1585&lt;=5,"3-5",IF(R1585&lt;=10,"6-10","11+")))</f>
        <v/>
      </c>
    </row>
    <row r="1586">
      <c r="A1586" s="39" t="n">
        <v>46169.05810185185</v>
      </c>
      <c r="B1586" s="25">
        <f>TEXT(A1586,"YYYY-MM")</f>
        <v/>
      </c>
      <c r="C1586" s="25">
        <f>TEXT(A1586,"MMM-YYYY")</f>
        <v/>
      </c>
      <c r="D1586" s="40">
        <f>INT(A1586)-WEEKDAY(A1586,2)+1</f>
        <v/>
      </c>
      <c r="E1586" s="25" t="inlineStr">
        <is>
          <t>rts</t>
        </is>
      </c>
      <c r="F1586" s="25" t="n">
        <v>89868</v>
      </c>
      <c r="G1586" s="25" t="n">
        <v>1</v>
      </c>
      <c r="H1586" s="25" t="n">
        <v>8</v>
      </c>
      <c r="I1586" s="25" t="inlineStr">
        <is>
          <t>2 minute(s) and 1 second(s)</t>
        </is>
      </c>
      <c r="J1586" s="25">
        <f>IFERROR(VALUE(TRIM(LEFT(I1586,FIND("minute",I1586)-1)))*60,0)+IFERROR(VALUE(SUBSTITUTE(MID(I1586,IFERROR(FIND("and",I1586)+3,1),20),"second(s)","")),0)</f>
        <v/>
      </c>
      <c r="K1586" s="41">
        <f>J1586/60</f>
        <v/>
      </c>
      <c r="L1586" s="41">
        <f>IFERROR(J1586/H1586,"")</f>
        <v/>
      </c>
      <c r="M1586" s="25" t="inlineStr">
        <is>
          <t>2.5.12</t>
        </is>
      </c>
      <c r="N1586" s="25">
        <f>IF(J1586&gt;300,1,0)</f>
        <v/>
      </c>
      <c r="O1586" s="25">
        <f>IF(J1586&gt;600,1,0)</f>
        <v/>
      </c>
      <c r="P1586" s="25">
        <f>IF(H1586&gt;0,J1586,"")</f>
        <v/>
      </c>
      <c r="Q1586" s="25">
        <f>TEXT(A1586,"YYYY-MM-DD HH")</f>
        <v/>
      </c>
      <c r="R1586" s="25">
        <f>COUNTIF($Q$2:$Q$5295,Q1586)</f>
        <v/>
      </c>
      <c r="S1586" s="25">
        <f>IF(R1586&lt;=2,"1-2",IF(R1586&lt;=5,"3-5",IF(R1586&lt;=10,"6-10","11+")))</f>
        <v/>
      </c>
    </row>
    <row r="1587">
      <c r="A1587" s="39" t="n">
        <v>46169.06011574074</v>
      </c>
      <c r="B1587" s="25">
        <f>TEXT(A1587,"YYYY-MM")</f>
        <v/>
      </c>
      <c r="C1587" s="25">
        <f>TEXT(A1587,"MMM-YYYY")</f>
        <v/>
      </c>
      <c r="D1587" s="40">
        <f>INT(A1587)-WEEKDAY(A1587,2)+1</f>
        <v/>
      </c>
      <c r="E1587" s="25" t="inlineStr">
        <is>
          <t>asahoo</t>
        </is>
      </c>
      <c r="F1587" s="25" t="n">
        <v>5006</v>
      </c>
      <c r="G1587" s="25" t="n">
        <v>1</v>
      </c>
      <c r="H1587" s="25" t="n">
        <v>7</v>
      </c>
      <c r="I1587" s="25" t="inlineStr">
        <is>
          <t>1 minute(s) and 44 second(s)</t>
        </is>
      </c>
      <c r="J1587" s="25">
        <f>IFERROR(VALUE(TRIM(LEFT(I1587,FIND("minute",I1587)-1)))*60,0)+IFERROR(VALUE(SUBSTITUTE(MID(I1587,IFERROR(FIND("and",I1587)+3,1),20),"second(s)","")),0)</f>
        <v/>
      </c>
      <c r="K1587" s="41">
        <f>J1587/60</f>
        <v/>
      </c>
      <c r="L1587" s="41">
        <f>IFERROR(J1587/H1587,"")</f>
        <v/>
      </c>
      <c r="M1587" s="25" t="inlineStr">
        <is>
          <t>2.5.12</t>
        </is>
      </c>
      <c r="N1587" s="25">
        <f>IF(J1587&gt;300,1,0)</f>
        <v/>
      </c>
      <c r="O1587" s="25">
        <f>IF(J1587&gt;600,1,0)</f>
        <v/>
      </c>
      <c r="P1587" s="25">
        <f>IF(H1587&gt;0,J1587,"")</f>
        <v/>
      </c>
      <c r="Q1587" s="25">
        <f>TEXT(A1587,"YYYY-MM-DD HH")</f>
        <v/>
      </c>
      <c r="R1587" s="25">
        <f>COUNTIF($Q$2:$Q$5295,Q1587)</f>
        <v/>
      </c>
      <c r="S1587" s="25">
        <f>IF(R1587&lt;=2,"1-2",IF(R1587&lt;=5,"3-5",IF(R1587&lt;=10,"6-10","11+")))</f>
        <v/>
      </c>
    </row>
    <row r="1588">
      <c r="A1588" s="39" t="n">
        <v>46169.06019675926</v>
      </c>
      <c r="B1588" s="25">
        <f>TEXT(A1588,"YYYY-MM")</f>
        <v/>
      </c>
      <c r="C1588" s="25">
        <f>TEXT(A1588,"MMM-YYYY")</f>
        <v/>
      </c>
      <c r="D1588" s="40">
        <f>INT(A1588)-WEEKDAY(A1588,2)+1</f>
        <v/>
      </c>
      <c r="E1588" s="25" t="inlineStr">
        <is>
          <t>abhaskarkp</t>
        </is>
      </c>
      <c r="F1588" s="25" t="n">
        <v>3604</v>
      </c>
      <c r="G1588" s="25" t="n">
        <v>1</v>
      </c>
      <c r="H1588" s="25" t="n">
        <v>7</v>
      </c>
      <c r="I1588" s="25" t="inlineStr">
        <is>
          <t>3 minute(s) and 33 second(s)</t>
        </is>
      </c>
      <c r="J1588" s="25">
        <f>IFERROR(VALUE(TRIM(LEFT(I1588,FIND("minute",I1588)-1)))*60,0)+IFERROR(VALUE(SUBSTITUTE(MID(I1588,IFERROR(FIND("and",I1588)+3,1),20),"second(s)","")),0)</f>
        <v/>
      </c>
      <c r="K1588" s="41">
        <f>J1588/60</f>
        <v/>
      </c>
      <c r="L1588" s="41">
        <f>IFERROR(J1588/H1588,"")</f>
        <v/>
      </c>
      <c r="M1588" s="25" t="inlineStr">
        <is>
          <t>2.5.12</t>
        </is>
      </c>
      <c r="N1588" s="25">
        <f>IF(J1588&gt;300,1,0)</f>
        <v/>
      </c>
      <c r="O1588" s="25">
        <f>IF(J1588&gt;600,1,0)</f>
        <v/>
      </c>
      <c r="P1588" s="25">
        <f>IF(H1588&gt;0,J1588,"")</f>
        <v/>
      </c>
      <c r="Q1588" s="25">
        <f>TEXT(A1588,"YYYY-MM-DD HH")</f>
        <v/>
      </c>
      <c r="R1588" s="25">
        <f>COUNTIF($Q$2:$Q$5295,Q1588)</f>
        <v/>
      </c>
      <c r="S1588" s="25">
        <f>IF(R1588&lt;=2,"1-2",IF(R1588&lt;=5,"3-5",IF(R1588&lt;=10,"6-10","11+")))</f>
        <v/>
      </c>
    </row>
    <row r="1589">
      <c r="A1589" s="39" t="n">
        <v>46169.06837962963</v>
      </c>
      <c r="B1589" s="25">
        <f>TEXT(A1589,"YYYY-MM")</f>
        <v/>
      </c>
      <c r="C1589" s="25">
        <f>TEXT(A1589,"MMM-YYYY")</f>
        <v/>
      </c>
      <c r="D1589" s="40">
        <f>INT(A1589)-WEEKDAY(A1589,2)+1</f>
        <v/>
      </c>
      <c r="E1589" s="25" t="inlineStr">
        <is>
          <t>ethomas</t>
        </is>
      </c>
      <c r="F1589" s="25" t="n">
        <v>654</v>
      </c>
      <c r="G1589" s="25" t="n">
        <v>2</v>
      </c>
      <c r="H1589" s="25" t="n">
        <v>8</v>
      </c>
      <c r="I1589" s="25" t="inlineStr">
        <is>
          <t>2 minute(s) and 41 second(s)</t>
        </is>
      </c>
      <c r="J1589" s="25">
        <f>IFERROR(VALUE(TRIM(LEFT(I1589,FIND("minute",I1589)-1)))*60,0)+IFERROR(VALUE(SUBSTITUTE(MID(I1589,IFERROR(FIND("and",I1589)+3,1),20),"second(s)","")),0)</f>
        <v/>
      </c>
      <c r="K1589" s="41">
        <f>J1589/60</f>
        <v/>
      </c>
      <c r="L1589" s="41">
        <f>IFERROR(J1589/H1589,"")</f>
        <v/>
      </c>
      <c r="M1589" s="25" t="inlineStr">
        <is>
          <t>2.5.12</t>
        </is>
      </c>
      <c r="N1589" s="25">
        <f>IF(J1589&gt;300,1,0)</f>
        <v/>
      </c>
      <c r="O1589" s="25">
        <f>IF(J1589&gt;600,1,0)</f>
        <v/>
      </c>
      <c r="P1589" s="25">
        <f>IF(H1589&gt;0,J1589,"")</f>
        <v/>
      </c>
      <c r="Q1589" s="25">
        <f>TEXT(A1589,"YYYY-MM-DD HH")</f>
        <v/>
      </c>
      <c r="R1589" s="25">
        <f>COUNTIF($Q$2:$Q$5295,Q1589)</f>
        <v/>
      </c>
      <c r="S1589" s="25">
        <f>IF(R1589&lt;=2,"1-2",IF(R1589&lt;=5,"3-5",IF(R1589&lt;=10,"6-10","11+")))</f>
        <v/>
      </c>
    </row>
    <row r="1590">
      <c r="A1590" s="39" t="n">
        <v>46169.07038194445</v>
      </c>
      <c r="B1590" s="25">
        <f>TEXT(A1590,"YYYY-MM")</f>
        <v/>
      </c>
      <c r="C1590" s="25">
        <f>TEXT(A1590,"MMM-YYYY")</f>
        <v/>
      </c>
      <c r="D1590" s="40">
        <f>INT(A1590)-WEEKDAY(A1590,2)+1</f>
        <v/>
      </c>
      <c r="E1590" s="25" t="inlineStr">
        <is>
          <t>anusharma</t>
        </is>
      </c>
      <c r="F1590" s="25" t="n">
        <v>5308</v>
      </c>
      <c r="G1590" s="25" t="n">
        <v>2</v>
      </c>
      <c r="H1590" s="25" t="n">
        <v>8</v>
      </c>
      <c r="I1590" s="25" t="inlineStr">
        <is>
          <t>3 minute(s) and 17 second(s)</t>
        </is>
      </c>
      <c r="J1590" s="25">
        <f>IFERROR(VALUE(TRIM(LEFT(I1590,FIND("minute",I1590)-1)))*60,0)+IFERROR(VALUE(SUBSTITUTE(MID(I1590,IFERROR(FIND("and",I1590)+3,1),20),"second(s)","")),0)</f>
        <v/>
      </c>
      <c r="K1590" s="41">
        <f>J1590/60</f>
        <v/>
      </c>
      <c r="L1590" s="41">
        <f>IFERROR(J1590/H1590,"")</f>
        <v/>
      </c>
      <c r="M1590" s="25" t="inlineStr">
        <is>
          <t>2.5.12</t>
        </is>
      </c>
      <c r="N1590" s="25">
        <f>IF(J1590&gt;300,1,0)</f>
        <v/>
      </c>
      <c r="O1590" s="25">
        <f>IF(J1590&gt;600,1,0)</f>
        <v/>
      </c>
      <c r="P1590" s="25">
        <f>IF(H1590&gt;0,J1590,"")</f>
        <v/>
      </c>
      <c r="Q1590" s="25">
        <f>TEXT(A1590,"YYYY-MM-DD HH")</f>
        <v/>
      </c>
      <c r="R1590" s="25">
        <f>COUNTIF($Q$2:$Q$5295,Q1590)</f>
        <v/>
      </c>
      <c r="S1590" s="25">
        <f>IF(R1590&lt;=2,"1-2",IF(R1590&lt;=5,"3-5",IF(R1590&lt;=10,"6-10","11+")))</f>
        <v/>
      </c>
    </row>
    <row r="1591">
      <c r="A1591" s="39" t="n">
        <v>46169.07888888889</v>
      </c>
      <c r="B1591" s="25">
        <f>TEXT(A1591,"YYYY-MM")</f>
        <v/>
      </c>
      <c r="C1591" s="25">
        <f>TEXT(A1591,"MMM-YYYY")</f>
        <v/>
      </c>
      <c r="D1591" s="40">
        <f>INT(A1591)-WEEKDAY(A1591,2)+1</f>
        <v/>
      </c>
      <c r="E1591" s="25" t="inlineStr">
        <is>
          <t>npriya</t>
        </is>
      </c>
      <c r="F1591" s="25" t="n">
        <v>6021</v>
      </c>
      <c r="G1591" s="25" t="n">
        <v>1</v>
      </c>
      <c r="H1591" s="25" t="n">
        <v>5</v>
      </c>
      <c r="I1591" s="25" t="inlineStr">
        <is>
          <t>1 minute(s) and 26 second(s)</t>
        </is>
      </c>
      <c r="J1591" s="25">
        <f>IFERROR(VALUE(TRIM(LEFT(I1591,FIND("minute",I1591)-1)))*60,0)+IFERROR(VALUE(SUBSTITUTE(MID(I1591,IFERROR(FIND("and",I1591)+3,1),20),"second(s)","")),0)</f>
        <v/>
      </c>
      <c r="K1591" s="41">
        <f>J1591/60</f>
        <v/>
      </c>
      <c r="L1591" s="41">
        <f>IFERROR(J1591/H1591,"")</f>
        <v/>
      </c>
      <c r="M1591" s="25" t="inlineStr">
        <is>
          <t>2.5.12</t>
        </is>
      </c>
      <c r="N1591" s="25">
        <f>IF(J1591&gt;300,1,0)</f>
        <v/>
      </c>
      <c r="O1591" s="25">
        <f>IF(J1591&gt;600,1,0)</f>
        <v/>
      </c>
      <c r="P1591" s="25">
        <f>IF(H1591&gt;0,J1591,"")</f>
        <v/>
      </c>
      <c r="Q1591" s="25">
        <f>TEXT(A1591,"YYYY-MM-DD HH")</f>
        <v/>
      </c>
      <c r="R1591" s="25">
        <f>COUNTIF($Q$2:$Q$5295,Q1591)</f>
        <v/>
      </c>
      <c r="S1591" s="25">
        <f>IF(R1591&lt;=2,"1-2",IF(R1591&lt;=5,"3-5",IF(R1591&lt;=10,"6-10","11+")))</f>
        <v/>
      </c>
    </row>
    <row r="1592">
      <c r="A1592" s="39" t="n">
        <v>46169.08611111111</v>
      </c>
      <c r="B1592" s="25">
        <f>TEXT(A1592,"YYYY-MM")</f>
        <v/>
      </c>
      <c r="C1592" s="25">
        <f>TEXT(A1592,"MMM-YYYY")</f>
        <v/>
      </c>
      <c r="D1592" s="40">
        <f>INT(A1592)-WEEKDAY(A1592,2)+1</f>
        <v/>
      </c>
      <c r="E1592" s="25" t="inlineStr">
        <is>
          <t>stiwari</t>
        </is>
      </c>
      <c r="F1592" s="25" t="n">
        <v>5075</v>
      </c>
      <c r="G1592" s="25" t="n">
        <v>1</v>
      </c>
      <c r="H1592" s="25" t="n">
        <v>7</v>
      </c>
      <c r="I1592" s="25" t="inlineStr">
        <is>
          <t>3 minute(s) and 1 second(s)</t>
        </is>
      </c>
      <c r="J1592" s="25">
        <f>IFERROR(VALUE(TRIM(LEFT(I1592,FIND("minute",I1592)-1)))*60,0)+IFERROR(VALUE(SUBSTITUTE(MID(I1592,IFERROR(FIND("and",I1592)+3,1),20),"second(s)","")),0)</f>
        <v/>
      </c>
      <c r="K1592" s="41">
        <f>J1592/60</f>
        <v/>
      </c>
      <c r="L1592" s="41">
        <f>IFERROR(J1592/H1592,"")</f>
        <v/>
      </c>
      <c r="M1592" s="25" t="inlineStr">
        <is>
          <t>2.5.12</t>
        </is>
      </c>
      <c r="N1592" s="25">
        <f>IF(J1592&gt;300,1,0)</f>
        <v/>
      </c>
      <c r="O1592" s="25">
        <f>IF(J1592&gt;600,1,0)</f>
        <v/>
      </c>
      <c r="P1592" s="25">
        <f>IF(H1592&gt;0,J1592,"")</f>
        <v/>
      </c>
      <c r="Q1592" s="25">
        <f>TEXT(A1592,"YYYY-MM-DD HH")</f>
        <v/>
      </c>
      <c r="R1592" s="25">
        <f>COUNTIF($Q$2:$Q$5295,Q1592)</f>
        <v/>
      </c>
      <c r="S1592" s="25">
        <f>IF(R1592&lt;=2,"1-2",IF(R1592&lt;=5,"3-5",IF(R1592&lt;=10,"6-10","11+")))</f>
        <v/>
      </c>
    </row>
    <row r="1593">
      <c r="A1593" s="39" t="n">
        <v>46169.08891203703</v>
      </c>
      <c r="B1593" s="25">
        <f>TEXT(A1593,"YYYY-MM")</f>
        <v/>
      </c>
      <c r="C1593" s="25">
        <f>TEXT(A1593,"MMM-YYYY")</f>
        <v/>
      </c>
      <c r="D1593" s="40">
        <f>INT(A1593)-WEEKDAY(A1593,2)+1</f>
        <v/>
      </c>
      <c r="E1593" s="25" t="inlineStr">
        <is>
          <t>nlnu</t>
        </is>
      </c>
      <c r="F1593" s="25" t="n">
        <v>5160</v>
      </c>
      <c r="G1593" s="25" t="n">
        <v>1</v>
      </c>
      <c r="H1593" s="25" t="n">
        <v>7</v>
      </c>
      <c r="I1593" s="25" t="inlineStr">
        <is>
          <t>2 minute(s) and 57 second(s)</t>
        </is>
      </c>
      <c r="J1593" s="25">
        <f>IFERROR(VALUE(TRIM(LEFT(I1593,FIND("minute",I1593)-1)))*60,0)+IFERROR(VALUE(SUBSTITUTE(MID(I1593,IFERROR(FIND("and",I1593)+3,1),20),"second(s)","")),0)</f>
        <v/>
      </c>
      <c r="K1593" s="41">
        <f>J1593/60</f>
        <v/>
      </c>
      <c r="L1593" s="41">
        <f>IFERROR(J1593/H1593,"")</f>
        <v/>
      </c>
      <c r="M1593" s="25" t="inlineStr">
        <is>
          <t>2.5.12</t>
        </is>
      </c>
      <c r="N1593" s="25">
        <f>IF(J1593&gt;300,1,0)</f>
        <v/>
      </c>
      <c r="O1593" s="25">
        <f>IF(J1593&gt;600,1,0)</f>
        <v/>
      </c>
      <c r="P1593" s="25">
        <f>IF(H1593&gt;0,J1593,"")</f>
        <v/>
      </c>
      <c r="Q1593" s="25">
        <f>TEXT(A1593,"YYYY-MM-DD HH")</f>
        <v/>
      </c>
      <c r="R1593" s="25">
        <f>COUNTIF($Q$2:$Q$5295,Q1593)</f>
        <v/>
      </c>
      <c r="S1593" s="25">
        <f>IF(R1593&lt;=2,"1-2",IF(R1593&lt;=5,"3-5",IF(R1593&lt;=10,"6-10","11+")))</f>
        <v/>
      </c>
    </row>
    <row r="1594">
      <c r="A1594" s="39" t="n">
        <v>46169.09709490741</v>
      </c>
      <c r="B1594" s="25">
        <f>TEXT(A1594,"YYYY-MM")</f>
        <v/>
      </c>
      <c r="C1594" s="25">
        <f>TEXT(A1594,"MMM-YYYY")</f>
        <v/>
      </c>
      <c r="D1594" s="40">
        <f>INT(A1594)-WEEKDAY(A1594,2)+1</f>
        <v/>
      </c>
      <c r="E1594" s="25" t="inlineStr">
        <is>
          <t>arsarkar</t>
        </is>
      </c>
      <c r="F1594" s="25" t="n">
        <v>4984</v>
      </c>
      <c r="G1594" s="25" t="n">
        <v>1</v>
      </c>
      <c r="H1594" s="25" t="n">
        <v>5</v>
      </c>
      <c r="I1594" s="25" t="inlineStr">
        <is>
          <t>1 minute(s) and 15 second(s)</t>
        </is>
      </c>
      <c r="J1594" s="25">
        <f>IFERROR(VALUE(TRIM(LEFT(I1594,FIND("minute",I1594)-1)))*60,0)+IFERROR(VALUE(SUBSTITUTE(MID(I1594,IFERROR(FIND("and",I1594)+3,1),20),"second(s)","")),0)</f>
        <v/>
      </c>
      <c r="K1594" s="41">
        <f>J1594/60</f>
        <v/>
      </c>
      <c r="L1594" s="41">
        <f>IFERROR(J1594/H1594,"")</f>
        <v/>
      </c>
      <c r="M1594" s="25" t="inlineStr">
        <is>
          <t>2.5.12</t>
        </is>
      </c>
      <c r="N1594" s="25">
        <f>IF(J1594&gt;300,1,0)</f>
        <v/>
      </c>
      <c r="O1594" s="25">
        <f>IF(J1594&gt;600,1,0)</f>
        <v/>
      </c>
      <c r="P1594" s="25">
        <f>IF(H1594&gt;0,J1594,"")</f>
        <v/>
      </c>
      <c r="Q1594" s="25">
        <f>TEXT(A1594,"YYYY-MM-DD HH")</f>
        <v/>
      </c>
      <c r="R1594" s="25">
        <f>COUNTIF($Q$2:$Q$5295,Q1594)</f>
        <v/>
      </c>
      <c r="S1594" s="25">
        <f>IF(R1594&lt;=2,"1-2",IF(R1594&lt;=5,"3-5",IF(R1594&lt;=10,"6-10","11+")))</f>
        <v/>
      </c>
    </row>
    <row r="1595">
      <c r="A1595" s="39" t="n">
        <v>46169.09862268518</v>
      </c>
      <c r="B1595" s="25">
        <f>TEXT(A1595,"YYYY-MM")</f>
        <v/>
      </c>
      <c r="C1595" s="25">
        <f>TEXT(A1595,"MMM-YYYY")</f>
        <v/>
      </c>
      <c r="D1595" s="40">
        <f>INT(A1595)-WEEKDAY(A1595,2)+1</f>
        <v/>
      </c>
      <c r="E1595" s="25" t="inlineStr">
        <is>
          <t>akumari</t>
        </is>
      </c>
      <c r="F1595" s="25" t="n">
        <v>5127</v>
      </c>
      <c r="G1595" s="25" t="n">
        <v>1</v>
      </c>
      <c r="H1595" s="25" t="n">
        <v>7</v>
      </c>
      <c r="I1595" s="25" t="inlineStr">
        <is>
          <t>1 minute(s) and 7 second(s)</t>
        </is>
      </c>
      <c r="J1595" s="25">
        <f>IFERROR(VALUE(TRIM(LEFT(I1595,FIND("minute",I1595)-1)))*60,0)+IFERROR(VALUE(SUBSTITUTE(MID(I1595,IFERROR(FIND("and",I1595)+3,1),20),"second(s)","")),0)</f>
        <v/>
      </c>
      <c r="K1595" s="41">
        <f>J1595/60</f>
        <v/>
      </c>
      <c r="L1595" s="41">
        <f>IFERROR(J1595/H1595,"")</f>
        <v/>
      </c>
      <c r="M1595" s="25" t="inlineStr">
        <is>
          <t>2.5.12</t>
        </is>
      </c>
      <c r="N1595" s="25">
        <f>IF(J1595&gt;300,1,0)</f>
        <v/>
      </c>
      <c r="O1595" s="25">
        <f>IF(J1595&gt;600,1,0)</f>
        <v/>
      </c>
      <c r="P1595" s="25">
        <f>IF(H1595&gt;0,J1595,"")</f>
        <v/>
      </c>
      <c r="Q1595" s="25">
        <f>TEXT(A1595,"YYYY-MM-DD HH")</f>
        <v/>
      </c>
      <c r="R1595" s="25">
        <f>COUNTIF($Q$2:$Q$5295,Q1595)</f>
        <v/>
      </c>
      <c r="S1595" s="25">
        <f>IF(R1595&lt;=2,"1-2",IF(R1595&lt;=5,"3-5",IF(R1595&lt;=10,"6-10","11+")))</f>
        <v/>
      </c>
    </row>
    <row r="1596">
      <c r="A1596" s="39" t="n">
        <v>46169.09949074074</v>
      </c>
      <c r="B1596" s="25">
        <f>TEXT(A1596,"YYYY-MM")</f>
        <v/>
      </c>
      <c r="C1596" s="25">
        <f>TEXT(A1596,"MMM-YYYY")</f>
        <v/>
      </c>
      <c r="D1596" s="40">
        <f>INT(A1596)-WEEKDAY(A1596,2)+1</f>
        <v/>
      </c>
      <c r="E1596" s="25" t="inlineStr">
        <is>
          <t>atiwari</t>
        </is>
      </c>
      <c r="F1596" s="25" t="n">
        <v>69505</v>
      </c>
      <c r="G1596" s="25" t="n">
        <v>4</v>
      </c>
      <c r="H1596" s="25" t="n">
        <v>27</v>
      </c>
      <c r="I1596" s="25" t="inlineStr">
        <is>
          <t>5 minute(s) and 18 second(s)</t>
        </is>
      </c>
      <c r="J1596" s="25">
        <f>IFERROR(VALUE(TRIM(LEFT(I1596,FIND("minute",I1596)-1)))*60,0)+IFERROR(VALUE(SUBSTITUTE(MID(I1596,IFERROR(FIND("and",I1596)+3,1),20),"second(s)","")),0)</f>
        <v/>
      </c>
      <c r="K1596" s="41">
        <f>J1596/60</f>
        <v/>
      </c>
      <c r="L1596" s="41">
        <f>IFERROR(J1596/H1596,"")</f>
        <v/>
      </c>
      <c r="M1596" s="25" t="inlineStr">
        <is>
          <t>2.5.12</t>
        </is>
      </c>
      <c r="N1596" s="25">
        <f>IF(J1596&gt;300,1,0)</f>
        <v/>
      </c>
      <c r="O1596" s="25">
        <f>IF(J1596&gt;600,1,0)</f>
        <v/>
      </c>
      <c r="P1596" s="25">
        <f>IF(H1596&gt;0,J1596,"")</f>
        <v/>
      </c>
      <c r="Q1596" s="25">
        <f>TEXT(A1596,"YYYY-MM-DD HH")</f>
        <v/>
      </c>
      <c r="R1596" s="25">
        <f>COUNTIF($Q$2:$Q$5295,Q1596)</f>
        <v/>
      </c>
      <c r="S1596" s="25">
        <f>IF(R1596&lt;=2,"1-2",IF(R1596&lt;=5,"3-5",IF(R1596&lt;=10,"6-10","11+")))</f>
        <v/>
      </c>
    </row>
    <row r="1597">
      <c r="A1597" s="39" t="n">
        <v>46169.10081018518</v>
      </c>
      <c r="B1597" s="25">
        <f>TEXT(A1597,"YYYY-MM")</f>
        <v/>
      </c>
      <c r="C1597" s="25">
        <f>TEXT(A1597,"MMM-YYYY")</f>
        <v/>
      </c>
      <c r="D1597" s="40">
        <f>INT(A1597)-WEEKDAY(A1597,2)+1</f>
        <v/>
      </c>
      <c r="E1597" s="25" t="inlineStr">
        <is>
          <t>rts</t>
        </is>
      </c>
      <c r="F1597" s="25" t="n">
        <v>89869</v>
      </c>
      <c r="G1597" s="25" t="n">
        <v>2</v>
      </c>
      <c r="H1597" s="25" t="n">
        <v>10</v>
      </c>
      <c r="I1597" s="25" t="inlineStr">
        <is>
          <t>2 minute(s) and 44 second(s)</t>
        </is>
      </c>
      <c r="J1597" s="25">
        <f>IFERROR(VALUE(TRIM(LEFT(I1597,FIND("minute",I1597)-1)))*60,0)+IFERROR(VALUE(SUBSTITUTE(MID(I1597,IFERROR(FIND("and",I1597)+3,1),20),"second(s)","")),0)</f>
        <v/>
      </c>
      <c r="K1597" s="41">
        <f>J1597/60</f>
        <v/>
      </c>
      <c r="L1597" s="41">
        <f>IFERROR(J1597/H1597,"")</f>
        <v/>
      </c>
      <c r="M1597" s="25" t="inlineStr">
        <is>
          <t>2.5.12</t>
        </is>
      </c>
      <c r="N1597" s="25">
        <f>IF(J1597&gt;300,1,0)</f>
        <v/>
      </c>
      <c r="O1597" s="25">
        <f>IF(J1597&gt;600,1,0)</f>
        <v/>
      </c>
      <c r="P1597" s="25">
        <f>IF(H1597&gt;0,J1597,"")</f>
        <v/>
      </c>
      <c r="Q1597" s="25">
        <f>TEXT(A1597,"YYYY-MM-DD HH")</f>
        <v/>
      </c>
      <c r="R1597" s="25">
        <f>COUNTIF($Q$2:$Q$5295,Q1597)</f>
        <v/>
      </c>
      <c r="S1597" s="25">
        <f>IF(R1597&lt;=2,"1-2",IF(R1597&lt;=5,"3-5",IF(R1597&lt;=10,"6-10","11+")))</f>
        <v/>
      </c>
    </row>
    <row r="1598">
      <c r="A1598" s="39" t="n">
        <v>46169.11408564815</v>
      </c>
      <c r="B1598" s="25">
        <f>TEXT(A1598,"YYYY-MM")</f>
        <v/>
      </c>
      <c r="C1598" s="25">
        <f>TEXT(A1598,"MMM-YYYY")</f>
        <v/>
      </c>
      <c r="D1598" s="40">
        <f>INT(A1598)-WEEKDAY(A1598,2)+1</f>
        <v/>
      </c>
      <c r="E1598" s="25" t="inlineStr">
        <is>
          <t>npriya</t>
        </is>
      </c>
      <c r="F1598" s="25" t="n">
        <v>6022</v>
      </c>
      <c r="G1598" s="25" t="n">
        <v>2</v>
      </c>
      <c r="H1598" s="25" t="n">
        <v>12</v>
      </c>
      <c r="I1598" s="25" t="inlineStr">
        <is>
          <t>4 minute(s) and 7 second(s)</t>
        </is>
      </c>
      <c r="J1598" s="25">
        <f>IFERROR(VALUE(TRIM(LEFT(I1598,FIND("minute",I1598)-1)))*60,0)+IFERROR(VALUE(SUBSTITUTE(MID(I1598,IFERROR(FIND("and",I1598)+3,1),20),"second(s)","")),0)</f>
        <v/>
      </c>
      <c r="K1598" s="41">
        <f>J1598/60</f>
        <v/>
      </c>
      <c r="L1598" s="41">
        <f>IFERROR(J1598/H1598,"")</f>
        <v/>
      </c>
      <c r="M1598" s="25" t="inlineStr">
        <is>
          <t>2.5.12</t>
        </is>
      </c>
      <c r="N1598" s="25">
        <f>IF(J1598&gt;300,1,0)</f>
        <v/>
      </c>
      <c r="O1598" s="25">
        <f>IF(J1598&gt;600,1,0)</f>
        <v/>
      </c>
      <c r="P1598" s="25">
        <f>IF(H1598&gt;0,J1598,"")</f>
        <v/>
      </c>
      <c r="Q1598" s="25">
        <f>TEXT(A1598,"YYYY-MM-DD HH")</f>
        <v/>
      </c>
      <c r="R1598" s="25">
        <f>COUNTIF($Q$2:$Q$5295,Q1598)</f>
        <v/>
      </c>
      <c r="S1598" s="25">
        <f>IF(R1598&lt;=2,"1-2",IF(R1598&lt;=5,"3-5",IF(R1598&lt;=10,"6-10","11+")))</f>
        <v/>
      </c>
    </row>
    <row r="1599">
      <c r="A1599" s="39" t="n">
        <v>46169.11503472222</v>
      </c>
      <c r="B1599" s="25">
        <f>TEXT(A1599,"YYYY-MM")</f>
        <v/>
      </c>
      <c r="C1599" s="25">
        <f>TEXT(A1599,"MMM-YYYY")</f>
        <v/>
      </c>
      <c r="D1599" s="40">
        <f>INT(A1599)-WEEKDAY(A1599,2)+1</f>
        <v/>
      </c>
      <c r="E1599" s="25" t="inlineStr">
        <is>
          <t>nlnu</t>
        </is>
      </c>
      <c r="F1599" s="25" t="n">
        <v>5161</v>
      </c>
      <c r="G1599" s="25" t="n">
        <v>1</v>
      </c>
      <c r="H1599" s="25" t="n">
        <v>7</v>
      </c>
      <c r="I1599" s="25" t="inlineStr">
        <is>
          <t>2 minute(s) and 59 second(s)</t>
        </is>
      </c>
      <c r="J1599" s="25">
        <f>IFERROR(VALUE(TRIM(LEFT(I1599,FIND("minute",I1599)-1)))*60,0)+IFERROR(VALUE(SUBSTITUTE(MID(I1599,IFERROR(FIND("and",I1599)+3,1),20),"second(s)","")),0)</f>
        <v/>
      </c>
      <c r="K1599" s="41">
        <f>J1599/60</f>
        <v/>
      </c>
      <c r="L1599" s="41">
        <f>IFERROR(J1599/H1599,"")</f>
        <v/>
      </c>
      <c r="M1599" s="25" t="inlineStr">
        <is>
          <t>2.5.12</t>
        </is>
      </c>
      <c r="N1599" s="25">
        <f>IF(J1599&gt;300,1,0)</f>
        <v/>
      </c>
      <c r="O1599" s="25">
        <f>IF(J1599&gt;600,1,0)</f>
        <v/>
      </c>
      <c r="P1599" s="25">
        <f>IF(H1599&gt;0,J1599,"")</f>
        <v/>
      </c>
      <c r="Q1599" s="25">
        <f>TEXT(A1599,"YYYY-MM-DD HH")</f>
        <v/>
      </c>
      <c r="R1599" s="25">
        <f>COUNTIF($Q$2:$Q$5295,Q1599)</f>
        <v/>
      </c>
      <c r="S1599" s="25">
        <f>IF(R1599&lt;=2,"1-2",IF(R1599&lt;=5,"3-5",IF(R1599&lt;=10,"6-10","11+")))</f>
        <v/>
      </c>
    </row>
    <row r="1600">
      <c r="A1600" s="39" t="n">
        <v>46169.11765046296</v>
      </c>
      <c r="B1600" s="25">
        <f>TEXT(A1600,"YYYY-MM")</f>
        <v/>
      </c>
      <c r="C1600" s="25">
        <f>TEXT(A1600,"MMM-YYYY")</f>
        <v/>
      </c>
      <c r="D1600" s="40">
        <f>INT(A1600)-WEEKDAY(A1600,2)+1</f>
        <v/>
      </c>
      <c r="E1600" s="25" t="inlineStr">
        <is>
          <t>mgupta</t>
        </is>
      </c>
      <c r="F1600" s="25" t="n">
        <v>89616</v>
      </c>
      <c r="G1600" s="25" t="n">
        <v>2</v>
      </c>
      <c r="H1600" s="25" t="n">
        <v>10</v>
      </c>
      <c r="I1600" s="25" t="inlineStr">
        <is>
          <t>2 minute(s) and 11 second(s)</t>
        </is>
      </c>
      <c r="J1600" s="25">
        <f>IFERROR(VALUE(TRIM(LEFT(I1600,FIND("minute",I1600)-1)))*60,0)+IFERROR(VALUE(SUBSTITUTE(MID(I1600,IFERROR(FIND("and",I1600)+3,1),20),"second(s)","")),0)</f>
        <v/>
      </c>
      <c r="K1600" s="41">
        <f>J1600/60</f>
        <v/>
      </c>
      <c r="L1600" s="41">
        <f>IFERROR(J1600/H1600,"")</f>
        <v/>
      </c>
      <c r="M1600" s="25" t="inlineStr">
        <is>
          <t>2.5.12</t>
        </is>
      </c>
      <c r="N1600" s="25">
        <f>IF(J1600&gt;300,1,0)</f>
        <v/>
      </c>
      <c r="O1600" s="25">
        <f>IF(J1600&gt;600,1,0)</f>
        <v/>
      </c>
      <c r="P1600" s="25">
        <f>IF(H1600&gt;0,J1600,"")</f>
        <v/>
      </c>
      <c r="Q1600" s="25">
        <f>TEXT(A1600,"YYYY-MM-DD HH")</f>
        <v/>
      </c>
      <c r="R1600" s="25">
        <f>COUNTIF($Q$2:$Q$5295,Q1600)</f>
        <v/>
      </c>
      <c r="S1600" s="25">
        <f>IF(R1600&lt;=2,"1-2",IF(R1600&lt;=5,"3-5",IF(R1600&lt;=10,"6-10","11+")))</f>
        <v/>
      </c>
    </row>
    <row r="1601">
      <c r="A1601" s="39" t="n">
        <v>46169.11954861111</v>
      </c>
      <c r="B1601" s="25">
        <f>TEXT(A1601,"YYYY-MM")</f>
        <v/>
      </c>
      <c r="C1601" s="25">
        <f>TEXT(A1601,"MMM-YYYY")</f>
        <v/>
      </c>
      <c r="D1601" s="40">
        <f>INT(A1601)-WEEKDAY(A1601,2)+1</f>
        <v/>
      </c>
      <c r="E1601" s="25" t="inlineStr">
        <is>
          <t>ssrinivasan</t>
        </is>
      </c>
      <c r="F1601" s="25" t="n">
        <v>5367</v>
      </c>
      <c r="G1601" s="25" t="n">
        <v>5</v>
      </c>
      <c r="H1601" s="25" t="n">
        <v>25</v>
      </c>
      <c r="I1601" s="25" t="inlineStr">
        <is>
          <t>9 minute(s) and 29 second(s)</t>
        </is>
      </c>
      <c r="J1601" s="25">
        <f>IFERROR(VALUE(TRIM(LEFT(I1601,FIND("minute",I1601)-1)))*60,0)+IFERROR(VALUE(SUBSTITUTE(MID(I1601,IFERROR(FIND("and",I1601)+3,1),20),"second(s)","")),0)</f>
        <v/>
      </c>
      <c r="K1601" s="41">
        <f>J1601/60</f>
        <v/>
      </c>
      <c r="L1601" s="41">
        <f>IFERROR(J1601/H1601,"")</f>
        <v/>
      </c>
      <c r="M1601" s="25" t="inlineStr">
        <is>
          <t>2.5.12</t>
        </is>
      </c>
      <c r="N1601" s="25">
        <f>IF(J1601&gt;300,1,0)</f>
        <v/>
      </c>
      <c r="O1601" s="25">
        <f>IF(J1601&gt;600,1,0)</f>
        <v/>
      </c>
      <c r="P1601" s="25">
        <f>IF(H1601&gt;0,J1601,"")</f>
        <v/>
      </c>
      <c r="Q1601" s="25">
        <f>TEXT(A1601,"YYYY-MM-DD HH")</f>
        <v/>
      </c>
      <c r="R1601" s="25">
        <f>COUNTIF($Q$2:$Q$5295,Q1601)</f>
        <v/>
      </c>
      <c r="S1601" s="25">
        <f>IF(R1601&lt;=2,"1-2",IF(R1601&lt;=5,"3-5",IF(R1601&lt;=10,"6-10","11+")))</f>
        <v/>
      </c>
    </row>
    <row r="1602">
      <c r="A1602" s="39" t="n">
        <v>46169.13510416666</v>
      </c>
      <c r="B1602" s="25">
        <f>TEXT(A1602,"YYYY-MM")</f>
        <v/>
      </c>
      <c r="C1602" s="25">
        <f>TEXT(A1602,"MMM-YYYY")</f>
        <v/>
      </c>
      <c r="D1602" s="40">
        <f>INT(A1602)-WEEKDAY(A1602,2)+1</f>
        <v/>
      </c>
      <c r="E1602" s="25" t="inlineStr">
        <is>
          <t>mbohra</t>
        </is>
      </c>
      <c r="F1602" s="25" t="n">
        <v>86539</v>
      </c>
      <c r="G1602" s="25" t="n">
        <v>2</v>
      </c>
      <c r="H1602" s="25" t="n">
        <v>10</v>
      </c>
      <c r="I1602" s="25" t="inlineStr">
        <is>
          <t>3 minute(s) and 7 second(s)</t>
        </is>
      </c>
      <c r="J1602" s="25">
        <f>IFERROR(VALUE(TRIM(LEFT(I1602,FIND("minute",I1602)-1)))*60,0)+IFERROR(VALUE(SUBSTITUTE(MID(I1602,IFERROR(FIND("and",I1602)+3,1),20),"second(s)","")),0)</f>
        <v/>
      </c>
      <c r="K1602" s="41">
        <f>J1602/60</f>
        <v/>
      </c>
      <c r="L1602" s="41">
        <f>IFERROR(J1602/H1602,"")</f>
        <v/>
      </c>
      <c r="M1602" s="25" t="inlineStr">
        <is>
          <t>2.5.12</t>
        </is>
      </c>
      <c r="N1602" s="25">
        <f>IF(J1602&gt;300,1,0)</f>
        <v/>
      </c>
      <c r="O1602" s="25">
        <f>IF(J1602&gt;600,1,0)</f>
        <v/>
      </c>
      <c r="P1602" s="25">
        <f>IF(H1602&gt;0,J1602,"")</f>
        <v/>
      </c>
      <c r="Q1602" s="25">
        <f>TEXT(A1602,"YYYY-MM-DD HH")</f>
        <v/>
      </c>
      <c r="R1602" s="25">
        <f>COUNTIF($Q$2:$Q$5295,Q1602)</f>
        <v/>
      </c>
      <c r="S1602" s="25">
        <f>IF(R1602&lt;=2,"1-2",IF(R1602&lt;=5,"3-5",IF(R1602&lt;=10,"6-10","11+")))</f>
        <v/>
      </c>
    </row>
    <row r="1603">
      <c r="A1603" s="39" t="n">
        <v>46169.1490162037</v>
      </c>
      <c r="B1603" s="25">
        <f>TEXT(A1603,"YYYY-MM")</f>
        <v/>
      </c>
      <c r="C1603" s="25">
        <f>TEXT(A1603,"MMM-YYYY")</f>
        <v/>
      </c>
      <c r="D1603" s="40">
        <f>INT(A1603)-WEEKDAY(A1603,2)+1</f>
        <v/>
      </c>
      <c r="E1603" s="25" t="inlineStr">
        <is>
          <t>npriya</t>
        </is>
      </c>
      <c r="F1603" s="25" t="n">
        <v>6024</v>
      </c>
      <c r="G1603" s="25" t="n">
        <v>1</v>
      </c>
      <c r="H1603" s="25" t="n">
        <v>7</v>
      </c>
      <c r="I1603" s="25" t="inlineStr">
        <is>
          <t>2 minute(s) and 10 second(s)</t>
        </is>
      </c>
      <c r="J1603" s="25">
        <f>IFERROR(VALUE(TRIM(LEFT(I1603,FIND("minute",I1603)-1)))*60,0)+IFERROR(VALUE(SUBSTITUTE(MID(I1603,IFERROR(FIND("and",I1603)+3,1),20),"second(s)","")),0)</f>
        <v/>
      </c>
      <c r="K1603" s="41">
        <f>J1603/60</f>
        <v/>
      </c>
      <c r="L1603" s="41">
        <f>IFERROR(J1603/H1603,"")</f>
        <v/>
      </c>
      <c r="M1603" s="25" t="inlineStr">
        <is>
          <t>2.5.12</t>
        </is>
      </c>
      <c r="N1603" s="25">
        <f>IF(J1603&gt;300,1,0)</f>
        <v/>
      </c>
      <c r="O1603" s="25">
        <f>IF(J1603&gt;600,1,0)</f>
        <v/>
      </c>
      <c r="P1603" s="25">
        <f>IF(H1603&gt;0,J1603,"")</f>
        <v/>
      </c>
      <c r="Q1603" s="25">
        <f>TEXT(A1603,"YYYY-MM-DD HH")</f>
        <v/>
      </c>
      <c r="R1603" s="25">
        <f>COUNTIF($Q$2:$Q$5295,Q1603)</f>
        <v/>
      </c>
      <c r="S1603" s="25">
        <f>IF(R1603&lt;=2,"1-2",IF(R1603&lt;=5,"3-5",IF(R1603&lt;=10,"6-10","11+")))</f>
        <v/>
      </c>
    </row>
    <row r="1604">
      <c r="A1604" s="39" t="n">
        <v>46169.15428240741</v>
      </c>
      <c r="B1604" s="25">
        <f>TEXT(A1604,"YYYY-MM")</f>
        <v/>
      </c>
      <c r="C1604" s="25">
        <f>TEXT(A1604,"MMM-YYYY")</f>
        <v/>
      </c>
      <c r="D1604" s="40">
        <f>INT(A1604)-WEEKDAY(A1604,2)+1</f>
        <v/>
      </c>
      <c r="E1604" s="25" t="inlineStr">
        <is>
          <t>mbhalla</t>
        </is>
      </c>
      <c r="F1604" s="25" t="n">
        <v>4886</v>
      </c>
      <c r="G1604" s="25" t="n">
        <v>1</v>
      </c>
      <c r="H1604" s="25" t="n">
        <v>5</v>
      </c>
      <c r="I1604" s="25" t="inlineStr">
        <is>
          <t>51 second(s)</t>
        </is>
      </c>
      <c r="J1604" s="25">
        <f>IFERROR(VALUE(TRIM(LEFT(I1604,FIND("minute",I1604)-1)))*60,0)+IFERROR(VALUE(SUBSTITUTE(MID(I1604,IFERROR(FIND("and",I1604)+3,1),20),"second(s)","")),0)</f>
        <v/>
      </c>
      <c r="K1604" s="41">
        <f>J1604/60</f>
        <v/>
      </c>
      <c r="L1604" s="41">
        <f>IFERROR(J1604/H1604,"")</f>
        <v/>
      </c>
      <c r="M1604" s="25" t="inlineStr">
        <is>
          <t>2.5.12</t>
        </is>
      </c>
      <c r="N1604" s="25">
        <f>IF(J1604&gt;300,1,0)</f>
        <v/>
      </c>
      <c r="O1604" s="25">
        <f>IF(J1604&gt;600,1,0)</f>
        <v/>
      </c>
      <c r="P1604" s="25">
        <f>IF(H1604&gt;0,J1604,"")</f>
        <v/>
      </c>
      <c r="Q1604" s="25">
        <f>TEXT(A1604,"YYYY-MM-DD HH")</f>
        <v/>
      </c>
      <c r="R1604" s="25">
        <f>COUNTIF($Q$2:$Q$5295,Q1604)</f>
        <v/>
      </c>
      <c r="S1604" s="25">
        <f>IF(R1604&lt;=2,"1-2",IF(R1604&lt;=5,"3-5",IF(R1604&lt;=10,"6-10","11+")))</f>
        <v/>
      </c>
    </row>
    <row r="1605">
      <c r="A1605" s="39" t="n">
        <v>46169.15719907408</v>
      </c>
      <c r="B1605" s="25">
        <f>TEXT(A1605,"YYYY-MM")</f>
        <v/>
      </c>
      <c r="C1605" s="25">
        <f>TEXT(A1605,"MMM-YYYY")</f>
        <v/>
      </c>
      <c r="D1605" s="40">
        <f>INT(A1605)-WEEKDAY(A1605,2)+1</f>
        <v/>
      </c>
      <c r="E1605" s="25" t="inlineStr">
        <is>
          <t>aupadhayay</t>
        </is>
      </c>
      <c r="F1605" s="25" t="n">
        <v>488</v>
      </c>
      <c r="G1605" s="25" t="n">
        <v>2</v>
      </c>
      <c r="H1605" s="25" t="n">
        <v>10</v>
      </c>
      <c r="I1605" s="25" t="inlineStr">
        <is>
          <t>1 minute(s) and 55 second(s)</t>
        </is>
      </c>
      <c r="J1605" s="25">
        <f>IFERROR(VALUE(TRIM(LEFT(I1605,FIND("minute",I1605)-1)))*60,0)+IFERROR(VALUE(SUBSTITUTE(MID(I1605,IFERROR(FIND("and",I1605)+3,1),20),"second(s)","")),0)</f>
        <v/>
      </c>
      <c r="K1605" s="41">
        <f>J1605/60</f>
        <v/>
      </c>
      <c r="L1605" s="41">
        <f>IFERROR(J1605/H1605,"")</f>
        <v/>
      </c>
      <c r="M1605" s="25" t="inlineStr">
        <is>
          <t>2.5.12</t>
        </is>
      </c>
      <c r="N1605" s="25">
        <f>IF(J1605&gt;300,1,0)</f>
        <v/>
      </c>
      <c r="O1605" s="25">
        <f>IF(J1605&gt;600,1,0)</f>
        <v/>
      </c>
      <c r="P1605" s="25">
        <f>IF(H1605&gt;0,J1605,"")</f>
        <v/>
      </c>
      <c r="Q1605" s="25">
        <f>TEXT(A1605,"YYYY-MM-DD HH")</f>
        <v/>
      </c>
      <c r="R1605" s="25">
        <f>COUNTIF($Q$2:$Q$5295,Q1605)</f>
        <v/>
      </c>
      <c r="S1605" s="25">
        <f>IF(R1605&lt;=2,"1-2",IF(R1605&lt;=5,"3-5",IF(R1605&lt;=10,"6-10","11+")))</f>
        <v/>
      </c>
    </row>
    <row r="1606">
      <c r="A1606" s="39" t="n">
        <v>46169.16131944444</v>
      </c>
      <c r="B1606" s="25">
        <f>TEXT(A1606,"YYYY-MM")</f>
        <v/>
      </c>
      <c r="C1606" s="25">
        <f>TEXT(A1606,"MMM-YYYY")</f>
        <v/>
      </c>
      <c r="D1606" s="40">
        <f>INT(A1606)-WEEKDAY(A1606,2)+1</f>
        <v/>
      </c>
      <c r="E1606" s="25" t="inlineStr">
        <is>
          <t>sswati</t>
        </is>
      </c>
      <c r="F1606" s="25" t="n">
        <v>6012</v>
      </c>
      <c r="G1606" s="25" t="n">
        <v>1</v>
      </c>
      <c r="H1606" s="25" t="n">
        <v>5</v>
      </c>
      <c r="I1606" s="25" t="inlineStr">
        <is>
          <t>3 minute(s) and 12 second(s)</t>
        </is>
      </c>
      <c r="J1606" s="25">
        <f>IFERROR(VALUE(TRIM(LEFT(I1606,FIND("minute",I1606)-1)))*60,0)+IFERROR(VALUE(SUBSTITUTE(MID(I1606,IFERROR(FIND("and",I1606)+3,1),20),"second(s)","")),0)</f>
        <v/>
      </c>
      <c r="K1606" s="41">
        <f>J1606/60</f>
        <v/>
      </c>
      <c r="L1606" s="41">
        <f>IFERROR(J1606/H1606,"")</f>
        <v/>
      </c>
      <c r="M1606" s="25" t="inlineStr">
        <is>
          <t>2.5.12</t>
        </is>
      </c>
      <c r="N1606" s="25">
        <f>IF(J1606&gt;300,1,0)</f>
        <v/>
      </c>
      <c r="O1606" s="25">
        <f>IF(J1606&gt;600,1,0)</f>
        <v/>
      </c>
      <c r="P1606" s="25">
        <f>IF(H1606&gt;0,J1606,"")</f>
        <v/>
      </c>
      <c r="Q1606" s="25">
        <f>TEXT(A1606,"YYYY-MM-DD HH")</f>
        <v/>
      </c>
      <c r="R1606" s="25">
        <f>COUNTIF($Q$2:$Q$5295,Q1606)</f>
        <v/>
      </c>
      <c r="S1606" s="25">
        <f>IF(R1606&lt;=2,"1-2",IF(R1606&lt;=5,"3-5",IF(R1606&lt;=10,"6-10","11+")))</f>
        <v/>
      </c>
    </row>
    <row r="1607">
      <c r="A1607" s="39" t="n">
        <v>46169.16321759259</v>
      </c>
      <c r="B1607" s="25">
        <f>TEXT(A1607,"YYYY-MM")</f>
        <v/>
      </c>
      <c r="C1607" s="25">
        <f>TEXT(A1607,"MMM-YYYY")</f>
        <v/>
      </c>
      <c r="D1607" s="40">
        <f>INT(A1607)-WEEKDAY(A1607,2)+1</f>
        <v/>
      </c>
      <c r="E1607" s="25" t="inlineStr">
        <is>
          <t>csaha</t>
        </is>
      </c>
      <c r="F1607" s="25" t="n">
        <v>6121</v>
      </c>
      <c r="G1607" s="25" t="n">
        <v>1</v>
      </c>
      <c r="H1607" s="25" t="n">
        <v>7</v>
      </c>
      <c r="I1607" s="25" t="inlineStr">
        <is>
          <t>2 minute(s) and 27 second(s)</t>
        </is>
      </c>
      <c r="J1607" s="25">
        <f>IFERROR(VALUE(TRIM(LEFT(I1607,FIND("minute",I1607)-1)))*60,0)+IFERROR(VALUE(SUBSTITUTE(MID(I1607,IFERROR(FIND("and",I1607)+3,1),20),"second(s)","")),0)</f>
        <v/>
      </c>
      <c r="K1607" s="41">
        <f>J1607/60</f>
        <v/>
      </c>
      <c r="L1607" s="41">
        <f>IFERROR(J1607/H1607,"")</f>
        <v/>
      </c>
      <c r="M1607" s="25" t="inlineStr">
        <is>
          <t>2.5.12</t>
        </is>
      </c>
      <c r="N1607" s="25">
        <f>IF(J1607&gt;300,1,0)</f>
        <v/>
      </c>
      <c r="O1607" s="25">
        <f>IF(J1607&gt;600,1,0)</f>
        <v/>
      </c>
      <c r="P1607" s="25">
        <f>IF(H1607&gt;0,J1607,"")</f>
        <v/>
      </c>
      <c r="Q1607" s="25">
        <f>TEXT(A1607,"YYYY-MM-DD HH")</f>
        <v/>
      </c>
      <c r="R1607" s="25">
        <f>COUNTIF($Q$2:$Q$5295,Q1607)</f>
        <v/>
      </c>
      <c r="S1607" s="25">
        <f>IF(R1607&lt;=2,"1-2",IF(R1607&lt;=5,"3-5",IF(R1607&lt;=10,"6-10","11+")))</f>
        <v/>
      </c>
    </row>
    <row r="1608">
      <c r="A1608" s="39" t="n">
        <v>46169.16657407407</v>
      </c>
      <c r="B1608" s="25">
        <f>TEXT(A1608,"YYYY-MM")</f>
        <v/>
      </c>
      <c r="C1608" s="25">
        <f>TEXT(A1608,"MMM-YYYY")</f>
        <v/>
      </c>
      <c r="D1608" s="40">
        <f>INT(A1608)-WEEKDAY(A1608,2)+1</f>
        <v/>
      </c>
      <c r="E1608" s="25" t="inlineStr">
        <is>
          <t>npriya</t>
        </is>
      </c>
      <c r="F1608" s="25" t="n">
        <v>6025</v>
      </c>
      <c r="G1608" s="25" t="n">
        <v>1</v>
      </c>
      <c r="H1608" s="25" t="n">
        <v>7</v>
      </c>
      <c r="I1608" s="25" t="inlineStr">
        <is>
          <t>1 minute(s) and 50 second(s)</t>
        </is>
      </c>
      <c r="J1608" s="25">
        <f>IFERROR(VALUE(TRIM(LEFT(I1608,FIND("minute",I1608)-1)))*60,0)+IFERROR(VALUE(SUBSTITUTE(MID(I1608,IFERROR(FIND("and",I1608)+3,1),20),"second(s)","")),0)</f>
        <v/>
      </c>
      <c r="K1608" s="41">
        <f>J1608/60</f>
        <v/>
      </c>
      <c r="L1608" s="41">
        <f>IFERROR(J1608/H1608,"")</f>
        <v/>
      </c>
      <c r="M1608" s="25" t="inlineStr">
        <is>
          <t>2.5.12</t>
        </is>
      </c>
      <c r="N1608" s="25">
        <f>IF(J1608&gt;300,1,0)</f>
        <v/>
      </c>
      <c r="O1608" s="25">
        <f>IF(J1608&gt;600,1,0)</f>
        <v/>
      </c>
      <c r="P1608" s="25">
        <f>IF(H1608&gt;0,J1608,"")</f>
        <v/>
      </c>
      <c r="Q1608" s="25">
        <f>TEXT(A1608,"YYYY-MM-DD HH")</f>
        <v/>
      </c>
      <c r="R1608" s="25">
        <f>COUNTIF($Q$2:$Q$5295,Q1608)</f>
        <v/>
      </c>
      <c r="S1608" s="25">
        <f>IF(R1608&lt;=2,"1-2",IF(R1608&lt;=5,"3-5",IF(R1608&lt;=10,"6-10","11+")))</f>
        <v/>
      </c>
    </row>
    <row r="1609">
      <c r="A1609" s="39" t="n">
        <v>46169.17024305555</v>
      </c>
      <c r="B1609" s="25">
        <f>TEXT(A1609,"YYYY-MM")</f>
        <v/>
      </c>
      <c r="C1609" s="25">
        <f>TEXT(A1609,"MMM-YYYY")</f>
        <v/>
      </c>
      <c r="D1609" s="40">
        <f>INT(A1609)-WEEKDAY(A1609,2)+1</f>
        <v/>
      </c>
      <c r="E1609" s="25" t="inlineStr">
        <is>
          <t>arsarkar</t>
        </is>
      </c>
      <c r="F1609" s="25" t="n">
        <v>4985</v>
      </c>
      <c r="G1609" s="25" t="n">
        <v>1</v>
      </c>
      <c r="H1609" s="25" t="n">
        <v>7</v>
      </c>
      <c r="I1609" s="25" t="inlineStr">
        <is>
          <t>1 minute(s) and 35 second(s)</t>
        </is>
      </c>
      <c r="J1609" s="25">
        <f>IFERROR(VALUE(TRIM(LEFT(I1609,FIND("minute",I1609)-1)))*60,0)+IFERROR(VALUE(SUBSTITUTE(MID(I1609,IFERROR(FIND("and",I1609)+3,1),20),"second(s)","")),0)</f>
        <v/>
      </c>
      <c r="K1609" s="41">
        <f>J1609/60</f>
        <v/>
      </c>
      <c r="L1609" s="41">
        <f>IFERROR(J1609/H1609,"")</f>
        <v/>
      </c>
      <c r="M1609" s="25" t="inlineStr">
        <is>
          <t>2.5.12</t>
        </is>
      </c>
      <c r="N1609" s="25">
        <f>IF(J1609&gt;300,1,0)</f>
        <v/>
      </c>
      <c r="O1609" s="25">
        <f>IF(J1609&gt;600,1,0)</f>
        <v/>
      </c>
      <c r="P1609" s="25">
        <f>IF(H1609&gt;0,J1609,"")</f>
        <v/>
      </c>
      <c r="Q1609" s="25">
        <f>TEXT(A1609,"YYYY-MM-DD HH")</f>
        <v/>
      </c>
      <c r="R1609" s="25">
        <f>COUNTIF($Q$2:$Q$5295,Q1609)</f>
        <v/>
      </c>
      <c r="S1609" s="25">
        <f>IF(R1609&lt;=2,"1-2",IF(R1609&lt;=5,"3-5",IF(R1609&lt;=10,"6-10","11+")))</f>
        <v/>
      </c>
    </row>
    <row r="1610">
      <c r="A1610" s="39" t="n">
        <v>46169.17259259259</v>
      </c>
      <c r="B1610" s="25">
        <f>TEXT(A1610,"YYYY-MM")</f>
        <v/>
      </c>
      <c r="C1610" s="25">
        <f>TEXT(A1610,"MMM-YYYY")</f>
        <v/>
      </c>
      <c r="D1610" s="40">
        <f>INT(A1610)-WEEKDAY(A1610,2)+1</f>
        <v/>
      </c>
      <c r="E1610" s="25" t="inlineStr">
        <is>
          <t>ssarkar</t>
        </is>
      </c>
      <c r="F1610" s="25" t="n">
        <v>5968</v>
      </c>
      <c r="G1610" s="25" t="n">
        <v>1</v>
      </c>
      <c r="H1610" s="25" t="n">
        <v>7</v>
      </c>
      <c r="I1610" s="25" t="inlineStr">
        <is>
          <t>1 minute(s) and 38 second(s)</t>
        </is>
      </c>
      <c r="J1610" s="25">
        <f>IFERROR(VALUE(TRIM(LEFT(I1610,FIND("minute",I1610)-1)))*60,0)+IFERROR(VALUE(SUBSTITUTE(MID(I1610,IFERROR(FIND("and",I1610)+3,1),20),"second(s)","")),0)</f>
        <v/>
      </c>
      <c r="K1610" s="41">
        <f>J1610/60</f>
        <v/>
      </c>
      <c r="L1610" s="41">
        <f>IFERROR(J1610/H1610,"")</f>
        <v/>
      </c>
      <c r="M1610" s="25" t="inlineStr">
        <is>
          <t>2.5.12</t>
        </is>
      </c>
      <c r="N1610" s="25">
        <f>IF(J1610&gt;300,1,0)</f>
        <v/>
      </c>
      <c r="O1610" s="25">
        <f>IF(J1610&gt;600,1,0)</f>
        <v/>
      </c>
      <c r="P1610" s="25">
        <f>IF(H1610&gt;0,J1610,"")</f>
        <v/>
      </c>
      <c r="Q1610" s="25">
        <f>TEXT(A1610,"YYYY-MM-DD HH")</f>
        <v/>
      </c>
      <c r="R1610" s="25">
        <f>COUNTIF($Q$2:$Q$5295,Q1610)</f>
        <v/>
      </c>
      <c r="S1610" s="25">
        <f>IF(R1610&lt;=2,"1-2",IF(R1610&lt;=5,"3-5",IF(R1610&lt;=10,"6-10","11+")))</f>
        <v/>
      </c>
    </row>
    <row r="1611">
      <c r="A1611" s="39" t="n">
        <v>46169.17398148148</v>
      </c>
      <c r="B1611" s="25">
        <f>TEXT(A1611,"YYYY-MM")</f>
        <v/>
      </c>
      <c r="C1611" s="25">
        <f>TEXT(A1611,"MMM-YYYY")</f>
        <v/>
      </c>
      <c r="D1611" s="40">
        <f>INT(A1611)-WEEKDAY(A1611,2)+1</f>
        <v/>
      </c>
      <c r="E1611" s="25" t="inlineStr">
        <is>
          <t>rts</t>
        </is>
      </c>
      <c r="F1611" s="25" t="n">
        <v>90041</v>
      </c>
      <c r="G1611" s="25" t="n">
        <v>1</v>
      </c>
      <c r="H1611" s="25" t="n">
        <v>5</v>
      </c>
      <c r="I1611" s="25" t="inlineStr">
        <is>
          <t>1 minute(s) and 39 second(s)</t>
        </is>
      </c>
      <c r="J1611" s="25">
        <f>IFERROR(VALUE(TRIM(LEFT(I1611,FIND("minute",I1611)-1)))*60,0)+IFERROR(VALUE(SUBSTITUTE(MID(I1611,IFERROR(FIND("and",I1611)+3,1),20),"second(s)","")),0)</f>
        <v/>
      </c>
      <c r="K1611" s="41">
        <f>J1611/60</f>
        <v/>
      </c>
      <c r="L1611" s="41">
        <f>IFERROR(J1611/H1611,"")</f>
        <v/>
      </c>
      <c r="M1611" s="25" t="inlineStr">
        <is>
          <t>2.5.12</t>
        </is>
      </c>
      <c r="N1611" s="25">
        <f>IF(J1611&gt;300,1,0)</f>
        <v/>
      </c>
      <c r="O1611" s="25">
        <f>IF(J1611&gt;600,1,0)</f>
        <v/>
      </c>
      <c r="P1611" s="25">
        <f>IF(H1611&gt;0,J1611,"")</f>
        <v/>
      </c>
      <c r="Q1611" s="25">
        <f>TEXT(A1611,"YYYY-MM-DD HH")</f>
        <v/>
      </c>
      <c r="R1611" s="25">
        <f>COUNTIF($Q$2:$Q$5295,Q1611)</f>
        <v/>
      </c>
      <c r="S1611" s="25">
        <f>IF(R1611&lt;=2,"1-2",IF(R1611&lt;=5,"3-5",IF(R1611&lt;=10,"6-10","11+")))</f>
        <v/>
      </c>
    </row>
    <row r="1612">
      <c r="A1612" s="39" t="n">
        <v>46169.18653935185</v>
      </c>
      <c r="B1612" s="25">
        <f>TEXT(A1612,"YYYY-MM")</f>
        <v/>
      </c>
      <c r="C1612" s="25">
        <f>TEXT(A1612,"MMM-YYYY")</f>
        <v/>
      </c>
      <c r="D1612" s="40">
        <f>INT(A1612)-WEEKDAY(A1612,2)+1</f>
        <v/>
      </c>
      <c r="E1612" s="25" t="inlineStr">
        <is>
          <t>anusharma</t>
        </is>
      </c>
      <c r="F1612" s="25" t="n">
        <v>5310</v>
      </c>
      <c r="G1612" s="25" t="n">
        <v>1</v>
      </c>
      <c r="H1612" s="25" t="n">
        <v>5</v>
      </c>
      <c r="I1612" s="25" t="inlineStr">
        <is>
          <t>2 minute(s) and 21 second(s)</t>
        </is>
      </c>
      <c r="J1612" s="25">
        <f>IFERROR(VALUE(TRIM(LEFT(I1612,FIND("minute",I1612)-1)))*60,0)+IFERROR(VALUE(SUBSTITUTE(MID(I1612,IFERROR(FIND("and",I1612)+3,1),20),"second(s)","")),0)</f>
        <v/>
      </c>
      <c r="K1612" s="41">
        <f>J1612/60</f>
        <v/>
      </c>
      <c r="L1612" s="41">
        <f>IFERROR(J1612/H1612,"")</f>
        <v/>
      </c>
      <c r="M1612" s="25" t="inlineStr">
        <is>
          <t>2.5.12</t>
        </is>
      </c>
      <c r="N1612" s="25">
        <f>IF(J1612&gt;300,1,0)</f>
        <v/>
      </c>
      <c r="O1612" s="25">
        <f>IF(J1612&gt;600,1,0)</f>
        <v/>
      </c>
      <c r="P1612" s="25">
        <f>IF(H1612&gt;0,J1612,"")</f>
        <v/>
      </c>
      <c r="Q1612" s="25">
        <f>TEXT(A1612,"YYYY-MM-DD HH")</f>
        <v/>
      </c>
      <c r="R1612" s="25">
        <f>COUNTIF($Q$2:$Q$5295,Q1612)</f>
        <v/>
      </c>
      <c r="S1612" s="25">
        <f>IF(R1612&lt;=2,"1-2",IF(R1612&lt;=5,"3-5",IF(R1612&lt;=10,"6-10","11+")))</f>
        <v/>
      </c>
    </row>
    <row r="1613">
      <c r="A1613" s="39" t="n">
        <v>46169.18805555555</v>
      </c>
      <c r="B1613" s="25">
        <f>TEXT(A1613,"YYYY-MM")</f>
        <v/>
      </c>
      <c r="C1613" s="25">
        <f>TEXT(A1613,"MMM-YYYY")</f>
        <v/>
      </c>
      <c r="D1613" s="40">
        <f>INT(A1613)-WEEKDAY(A1613,2)+1</f>
        <v/>
      </c>
      <c r="E1613" s="25" t="inlineStr">
        <is>
          <t>sswati</t>
        </is>
      </c>
      <c r="F1613" s="25" t="n">
        <v>6014</v>
      </c>
      <c r="G1613" s="25" t="n">
        <v>1</v>
      </c>
      <c r="H1613" s="25" t="n">
        <v>7</v>
      </c>
      <c r="I1613" s="25" t="inlineStr">
        <is>
          <t>1 minute(s) and 34 second(s)</t>
        </is>
      </c>
      <c r="J1613" s="25">
        <f>IFERROR(VALUE(TRIM(LEFT(I1613,FIND("minute",I1613)-1)))*60,0)+IFERROR(VALUE(SUBSTITUTE(MID(I1613,IFERROR(FIND("and",I1613)+3,1),20),"second(s)","")),0)</f>
        <v/>
      </c>
      <c r="K1613" s="41">
        <f>J1613/60</f>
        <v/>
      </c>
      <c r="L1613" s="41">
        <f>IFERROR(J1613/H1613,"")</f>
        <v/>
      </c>
      <c r="M1613" s="25" t="inlineStr">
        <is>
          <t>2.5.12</t>
        </is>
      </c>
      <c r="N1613" s="25">
        <f>IF(J1613&gt;300,1,0)</f>
        <v/>
      </c>
      <c r="O1613" s="25">
        <f>IF(J1613&gt;600,1,0)</f>
        <v/>
      </c>
      <c r="P1613" s="25">
        <f>IF(H1613&gt;0,J1613,"")</f>
        <v/>
      </c>
      <c r="Q1613" s="25">
        <f>TEXT(A1613,"YYYY-MM-DD HH")</f>
        <v/>
      </c>
      <c r="R1613" s="25">
        <f>COUNTIF($Q$2:$Q$5295,Q1613)</f>
        <v/>
      </c>
      <c r="S1613" s="25">
        <f>IF(R1613&lt;=2,"1-2",IF(R1613&lt;=5,"3-5",IF(R1613&lt;=10,"6-10","11+")))</f>
        <v/>
      </c>
    </row>
    <row r="1614">
      <c r="A1614" s="39" t="n">
        <v>46169.1903125</v>
      </c>
      <c r="B1614" s="25">
        <f>TEXT(A1614,"YYYY-MM")</f>
        <v/>
      </c>
      <c r="C1614" s="25">
        <f>TEXT(A1614,"MMM-YYYY")</f>
        <v/>
      </c>
      <c r="D1614" s="40">
        <f>INT(A1614)-WEEKDAY(A1614,2)+1</f>
        <v/>
      </c>
      <c r="E1614" s="25" t="inlineStr">
        <is>
          <t>atiwari</t>
        </is>
      </c>
      <c r="F1614" s="25" t="n">
        <v>69519</v>
      </c>
      <c r="G1614" s="25" t="n">
        <v>1</v>
      </c>
      <c r="H1614" s="25" t="n">
        <v>7</v>
      </c>
      <c r="I1614" s="25" t="inlineStr">
        <is>
          <t>1 minute(s) and 39 second(s)</t>
        </is>
      </c>
      <c r="J1614" s="25">
        <f>IFERROR(VALUE(TRIM(LEFT(I1614,FIND("minute",I1614)-1)))*60,0)+IFERROR(VALUE(SUBSTITUTE(MID(I1614,IFERROR(FIND("and",I1614)+3,1),20),"second(s)","")),0)</f>
        <v/>
      </c>
      <c r="K1614" s="41">
        <f>J1614/60</f>
        <v/>
      </c>
      <c r="L1614" s="41">
        <f>IFERROR(J1614/H1614,"")</f>
        <v/>
      </c>
      <c r="M1614" s="25" t="inlineStr">
        <is>
          <t>2.5.12</t>
        </is>
      </c>
      <c r="N1614" s="25">
        <f>IF(J1614&gt;300,1,0)</f>
        <v/>
      </c>
      <c r="O1614" s="25">
        <f>IF(J1614&gt;600,1,0)</f>
        <v/>
      </c>
      <c r="P1614" s="25">
        <f>IF(H1614&gt;0,J1614,"")</f>
        <v/>
      </c>
      <c r="Q1614" s="25">
        <f>TEXT(A1614,"YYYY-MM-DD HH")</f>
        <v/>
      </c>
      <c r="R1614" s="25">
        <f>COUNTIF($Q$2:$Q$5295,Q1614)</f>
        <v/>
      </c>
      <c r="S1614" s="25">
        <f>IF(R1614&lt;=2,"1-2",IF(R1614&lt;=5,"3-5",IF(R1614&lt;=10,"6-10","11+")))</f>
        <v/>
      </c>
    </row>
    <row r="1615">
      <c r="A1615" s="39" t="n">
        <v>46169.19753472223</v>
      </c>
      <c r="B1615" s="25">
        <f>TEXT(A1615,"YYYY-MM")</f>
        <v/>
      </c>
      <c r="C1615" s="25">
        <f>TEXT(A1615,"MMM-YYYY")</f>
        <v/>
      </c>
      <c r="D1615" s="40">
        <f>INT(A1615)-WEEKDAY(A1615,2)+1</f>
        <v/>
      </c>
      <c r="E1615" s="25" t="inlineStr">
        <is>
          <t>vprasad</t>
        </is>
      </c>
      <c r="F1615" s="25" t="n">
        <v>102798</v>
      </c>
      <c r="G1615" s="25" t="n">
        <v>2</v>
      </c>
      <c r="H1615" s="25" t="n">
        <v>8</v>
      </c>
      <c r="I1615" s="25" t="inlineStr">
        <is>
          <t>1 minute(s) and 35 second(s)</t>
        </is>
      </c>
      <c r="J1615" s="25">
        <f>IFERROR(VALUE(TRIM(LEFT(I1615,FIND("minute",I1615)-1)))*60,0)+IFERROR(VALUE(SUBSTITUTE(MID(I1615,IFERROR(FIND("and",I1615)+3,1),20),"second(s)","")),0)</f>
        <v/>
      </c>
      <c r="K1615" s="41">
        <f>J1615/60</f>
        <v/>
      </c>
      <c r="L1615" s="41">
        <f>IFERROR(J1615/H1615,"")</f>
        <v/>
      </c>
      <c r="M1615" s="25" t="inlineStr">
        <is>
          <t>2.5.12</t>
        </is>
      </c>
      <c r="N1615" s="25">
        <f>IF(J1615&gt;300,1,0)</f>
        <v/>
      </c>
      <c r="O1615" s="25">
        <f>IF(J1615&gt;600,1,0)</f>
        <v/>
      </c>
      <c r="P1615" s="25">
        <f>IF(H1615&gt;0,J1615,"")</f>
        <v/>
      </c>
      <c r="Q1615" s="25">
        <f>TEXT(A1615,"YYYY-MM-DD HH")</f>
        <v/>
      </c>
      <c r="R1615" s="25">
        <f>COUNTIF($Q$2:$Q$5295,Q1615)</f>
        <v/>
      </c>
      <c r="S1615" s="25">
        <f>IF(R1615&lt;=2,"1-2",IF(R1615&lt;=5,"3-5",IF(R1615&lt;=10,"6-10","11+")))</f>
        <v/>
      </c>
    </row>
    <row r="1616">
      <c r="A1616" s="39" t="n">
        <v>46169.19878472222</v>
      </c>
      <c r="B1616" s="25">
        <f>TEXT(A1616,"YYYY-MM")</f>
        <v/>
      </c>
      <c r="C1616" s="25">
        <f>TEXT(A1616,"MMM-YYYY")</f>
        <v/>
      </c>
      <c r="D1616" s="40">
        <f>INT(A1616)-WEEKDAY(A1616,2)+1</f>
        <v/>
      </c>
      <c r="E1616" s="25" t="inlineStr">
        <is>
          <t>nlnu</t>
        </is>
      </c>
      <c r="F1616" s="25" t="n">
        <v>5163</v>
      </c>
      <c r="G1616" s="25" t="n">
        <v>1</v>
      </c>
      <c r="H1616" s="25" t="n">
        <v>7</v>
      </c>
      <c r="I1616" s="25" t="inlineStr">
        <is>
          <t>1 minute(s) and 28 second(s)</t>
        </is>
      </c>
      <c r="J1616" s="25">
        <f>IFERROR(VALUE(TRIM(LEFT(I1616,FIND("minute",I1616)-1)))*60,0)+IFERROR(VALUE(SUBSTITUTE(MID(I1616,IFERROR(FIND("and",I1616)+3,1),20),"second(s)","")),0)</f>
        <v/>
      </c>
      <c r="K1616" s="41">
        <f>J1616/60</f>
        <v/>
      </c>
      <c r="L1616" s="41">
        <f>IFERROR(J1616/H1616,"")</f>
        <v/>
      </c>
      <c r="M1616" s="25" t="inlineStr">
        <is>
          <t>2.5.12</t>
        </is>
      </c>
      <c r="N1616" s="25">
        <f>IF(J1616&gt;300,1,0)</f>
        <v/>
      </c>
      <c r="O1616" s="25">
        <f>IF(J1616&gt;600,1,0)</f>
        <v/>
      </c>
      <c r="P1616" s="25">
        <f>IF(H1616&gt;0,J1616,"")</f>
        <v/>
      </c>
      <c r="Q1616" s="25">
        <f>TEXT(A1616,"YYYY-MM-DD HH")</f>
        <v/>
      </c>
      <c r="R1616" s="25">
        <f>COUNTIF($Q$2:$Q$5295,Q1616)</f>
        <v/>
      </c>
      <c r="S1616" s="25">
        <f>IF(R1616&lt;=2,"1-2",IF(R1616&lt;=5,"3-5",IF(R1616&lt;=10,"6-10","11+")))</f>
        <v/>
      </c>
    </row>
    <row r="1617">
      <c r="A1617" s="39" t="n">
        <v>46169.19981481481</v>
      </c>
      <c r="B1617" s="25">
        <f>TEXT(A1617,"YYYY-MM")</f>
        <v/>
      </c>
      <c r="C1617" s="25">
        <f>TEXT(A1617,"MMM-YYYY")</f>
        <v/>
      </c>
      <c r="D1617" s="40">
        <f>INT(A1617)-WEEKDAY(A1617,2)+1</f>
        <v/>
      </c>
      <c r="E1617" s="25" t="inlineStr">
        <is>
          <t>arsarkar</t>
        </is>
      </c>
      <c r="F1617" s="25" t="n">
        <v>4989</v>
      </c>
      <c r="G1617" s="25" t="n">
        <v>2</v>
      </c>
      <c r="H1617" s="25" t="n">
        <v>10</v>
      </c>
      <c r="I1617" s="25" t="inlineStr">
        <is>
          <t>3 minute(s) and 15 second(s)</t>
        </is>
      </c>
      <c r="J1617" s="25">
        <f>IFERROR(VALUE(TRIM(LEFT(I1617,FIND("minute",I1617)-1)))*60,0)+IFERROR(VALUE(SUBSTITUTE(MID(I1617,IFERROR(FIND("and",I1617)+3,1),20),"second(s)","")),0)</f>
        <v/>
      </c>
      <c r="K1617" s="41">
        <f>J1617/60</f>
        <v/>
      </c>
      <c r="L1617" s="41">
        <f>IFERROR(J1617/H1617,"")</f>
        <v/>
      </c>
      <c r="M1617" s="25" t="inlineStr">
        <is>
          <t>2.5.12</t>
        </is>
      </c>
      <c r="N1617" s="25">
        <f>IF(J1617&gt;300,1,0)</f>
        <v/>
      </c>
      <c r="O1617" s="25">
        <f>IF(J1617&gt;600,1,0)</f>
        <v/>
      </c>
      <c r="P1617" s="25">
        <f>IF(H1617&gt;0,J1617,"")</f>
        <v/>
      </c>
      <c r="Q1617" s="25">
        <f>TEXT(A1617,"YYYY-MM-DD HH")</f>
        <v/>
      </c>
      <c r="R1617" s="25">
        <f>COUNTIF($Q$2:$Q$5295,Q1617)</f>
        <v/>
      </c>
      <c r="S1617" s="25">
        <f>IF(R1617&lt;=2,"1-2",IF(R1617&lt;=5,"3-5",IF(R1617&lt;=10,"6-10","11+")))</f>
        <v/>
      </c>
    </row>
    <row r="1618">
      <c r="A1618" s="39" t="n">
        <v>46169.20197916667</v>
      </c>
      <c r="B1618" s="25">
        <f>TEXT(A1618,"YYYY-MM")</f>
        <v/>
      </c>
      <c r="C1618" s="25">
        <f>TEXT(A1618,"MMM-YYYY")</f>
        <v/>
      </c>
      <c r="D1618" s="40">
        <f>INT(A1618)-WEEKDAY(A1618,2)+1</f>
        <v/>
      </c>
      <c r="E1618" s="25" t="inlineStr">
        <is>
          <t>mbohra</t>
        </is>
      </c>
      <c r="F1618" s="25" t="n">
        <v>110309</v>
      </c>
      <c r="G1618" s="25" t="n">
        <v>5</v>
      </c>
      <c r="H1618" s="25" t="n">
        <v>21</v>
      </c>
      <c r="I1618" s="25" t="inlineStr">
        <is>
          <t>8 minute(s) and 3 second(s)</t>
        </is>
      </c>
      <c r="J1618" s="25">
        <f>IFERROR(VALUE(TRIM(LEFT(I1618,FIND("minute",I1618)-1)))*60,0)+IFERROR(VALUE(SUBSTITUTE(MID(I1618,IFERROR(FIND("and",I1618)+3,1),20),"second(s)","")),0)</f>
        <v/>
      </c>
      <c r="K1618" s="41">
        <f>J1618/60</f>
        <v/>
      </c>
      <c r="L1618" s="41">
        <f>IFERROR(J1618/H1618,"")</f>
        <v/>
      </c>
      <c r="M1618" s="25" t="inlineStr">
        <is>
          <t>2.5.12</t>
        </is>
      </c>
      <c r="N1618" s="25">
        <f>IF(J1618&gt;300,1,0)</f>
        <v/>
      </c>
      <c r="O1618" s="25">
        <f>IF(J1618&gt;600,1,0)</f>
        <v/>
      </c>
      <c r="P1618" s="25">
        <f>IF(H1618&gt;0,J1618,"")</f>
        <v/>
      </c>
      <c r="Q1618" s="25">
        <f>TEXT(A1618,"YYYY-MM-DD HH")</f>
        <v/>
      </c>
      <c r="R1618" s="25">
        <f>COUNTIF($Q$2:$Q$5295,Q1618)</f>
        <v/>
      </c>
      <c r="S1618" s="25">
        <f>IF(R1618&lt;=2,"1-2",IF(R1618&lt;=5,"3-5",IF(R1618&lt;=10,"6-10","11+")))</f>
        <v/>
      </c>
    </row>
    <row r="1619">
      <c r="A1619" s="39" t="n">
        <v>46169.20835648148</v>
      </c>
      <c r="B1619" s="25">
        <f>TEXT(A1619,"YYYY-MM")</f>
        <v/>
      </c>
      <c r="C1619" s="25">
        <f>TEXT(A1619,"MMM-YYYY")</f>
        <v/>
      </c>
      <c r="D1619" s="40">
        <f>INT(A1619)-WEEKDAY(A1619,2)+1</f>
        <v/>
      </c>
      <c r="E1619" s="25" t="inlineStr">
        <is>
          <t>akumari</t>
        </is>
      </c>
      <c r="F1619" s="25" t="n">
        <v>5132</v>
      </c>
      <c r="G1619" s="25" t="n">
        <v>1</v>
      </c>
      <c r="H1619" s="25" t="n">
        <v>7</v>
      </c>
      <c r="I1619" s="25" t="inlineStr">
        <is>
          <t>1 minute(s) and 26 second(s)</t>
        </is>
      </c>
      <c r="J1619" s="25">
        <f>IFERROR(VALUE(TRIM(LEFT(I1619,FIND("minute",I1619)-1)))*60,0)+IFERROR(VALUE(SUBSTITUTE(MID(I1619,IFERROR(FIND("and",I1619)+3,1),20),"second(s)","")),0)</f>
        <v/>
      </c>
      <c r="K1619" s="41">
        <f>J1619/60</f>
        <v/>
      </c>
      <c r="L1619" s="41">
        <f>IFERROR(J1619/H1619,"")</f>
        <v/>
      </c>
      <c r="M1619" s="25" t="inlineStr">
        <is>
          <t>2.5.12</t>
        </is>
      </c>
      <c r="N1619" s="25">
        <f>IF(J1619&gt;300,1,0)</f>
        <v/>
      </c>
      <c r="O1619" s="25">
        <f>IF(J1619&gt;600,1,0)</f>
        <v/>
      </c>
      <c r="P1619" s="25">
        <f>IF(H1619&gt;0,J1619,"")</f>
        <v/>
      </c>
      <c r="Q1619" s="25">
        <f>TEXT(A1619,"YYYY-MM-DD HH")</f>
        <v/>
      </c>
      <c r="R1619" s="25">
        <f>COUNTIF($Q$2:$Q$5295,Q1619)</f>
        <v/>
      </c>
      <c r="S1619" s="25">
        <f>IF(R1619&lt;=2,"1-2",IF(R1619&lt;=5,"3-5",IF(R1619&lt;=10,"6-10","11+")))</f>
        <v/>
      </c>
    </row>
    <row r="1620">
      <c r="A1620" s="39" t="n">
        <v>46169.21447916667</v>
      </c>
      <c r="B1620" s="25">
        <f>TEXT(A1620,"YYYY-MM")</f>
        <v/>
      </c>
      <c r="C1620" s="25">
        <f>TEXT(A1620,"MMM-YYYY")</f>
        <v/>
      </c>
      <c r="D1620" s="40">
        <f>INT(A1620)-WEEKDAY(A1620,2)+1</f>
        <v/>
      </c>
      <c r="E1620" s="25" t="inlineStr">
        <is>
          <t>mgupta</t>
        </is>
      </c>
      <c r="F1620" s="25" t="n">
        <v>89618</v>
      </c>
      <c r="G1620" s="25" t="n">
        <v>1</v>
      </c>
      <c r="H1620" s="25" t="n">
        <v>7</v>
      </c>
      <c r="I1620" s="25" t="inlineStr">
        <is>
          <t>1 minute(s) and 27 second(s)</t>
        </is>
      </c>
      <c r="J1620" s="25">
        <f>IFERROR(VALUE(TRIM(LEFT(I1620,FIND("minute",I1620)-1)))*60,0)+IFERROR(VALUE(SUBSTITUTE(MID(I1620,IFERROR(FIND("and",I1620)+3,1),20),"second(s)","")),0)</f>
        <v/>
      </c>
      <c r="K1620" s="41">
        <f>J1620/60</f>
        <v/>
      </c>
      <c r="L1620" s="41">
        <f>IFERROR(J1620/H1620,"")</f>
        <v/>
      </c>
      <c r="M1620" s="25" t="inlineStr">
        <is>
          <t>2.5.12</t>
        </is>
      </c>
      <c r="N1620" s="25">
        <f>IF(J1620&gt;300,1,0)</f>
        <v/>
      </c>
      <c r="O1620" s="25">
        <f>IF(J1620&gt;600,1,0)</f>
        <v/>
      </c>
      <c r="P1620" s="25">
        <f>IF(H1620&gt;0,J1620,"")</f>
        <v/>
      </c>
      <c r="Q1620" s="25">
        <f>TEXT(A1620,"YYYY-MM-DD HH")</f>
        <v/>
      </c>
      <c r="R1620" s="25">
        <f>COUNTIF($Q$2:$Q$5295,Q1620)</f>
        <v/>
      </c>
      <c r="S1620" s="25">
        <f>IF(R1620&lt;=2,"1-2",IF(R1620&lt;=5,"3-5",IF(R1620&lt;=10,"6-10","11+")))</f>
        <v/>
      </c>
    </row>
    <row r="1621">
      <c r="A1621" s="39" t="n">
        <v>46169.2169212963</v>
      </c>
      <c r="B1621" s="25">
        <f>TEXT(A1621,"YYYY-MM")</f>
        <v/>
      </c>
      <c r="C1621" s="25">
        <f>TEXT(A1621,"MMM-YYYY")</f>
        <v/>
      </c>
      <c r="D1621" s="40">
        <f>INT(A1621)-WEEKDAY(A1621,2)+1</f>
        <v/>
      </c>
      <c r="E1621" s="25" t="inlineStr">
        <is>
          <t>mbhalla</t>
        </is>
      </c>
      <c r="F1621" s="25" t="n">
        <v>39398</v>
      </c>
      <c r="G1621" s="25" t="n">
        <v>1</v>
      </c>
      <c r="H1621" s="25" t="n">
        <v>5</v>
      </c>
      <c r="I1621" s="25" t="inlineStr">
        <is>
          <t>2 minute(s) and 39 second(s)</t>
        </is>
      </c>
      <c r="J1621" s="25">
        <f>IFERROR(VALUE(TRIM(LEFT(I1621,FIND("minute",I1621)-1)))*60,0)+IFERROR(VALUE(SUBSTITUTE(MID(I1621,IFERROR(FIND("and",I1621)+3,1),20),"second(s)","")),0)</f>
        <v/>
      </c>
      <c r="K1621" s="41">
        <f>J1621/60</f>
        <v/>
      </c>
      <c r="L1621" s="41">
        <f>IFERROR(J1621/H1621,"")</f>
        <v/>
      </c>
      <c r="M1621" s="25" t="inlineStr">
        <is>
          <t>2.5.12</t>
        </is>
      </c>
      <c r="N1621" s="25">
        <f>IF(J1621&gt;300,1,0)</f>
        <v/>
      </c>
      <c r="O1621" s="25">
        <f>IF(J1621&gt;600,1,0)</f>
        <v/>
      </c>
      <c r="P1621" s="25">
        <f>IF(H1621&gt;0,J1621,"")</f>
        <v/>
      </c>
      <c r="Q1621" s="25">
        <f>TEXT(A1621,"YYYY-MM-DD HH")</f>
        <v/>
      </c>
      <c r="R1621" s="25">
        <f>COUNTIF($Q$2:$Q$5295,Q1621)</f>
        <v/>
      </c>
      <c r="S1621" s="25">
        <f>IF(R1621&lt;=2,"1-2",IF(R1621&lt;=5,"3-5",IF(R1621&lt;=10,"6-10","11+")))</f>
        <v/>
      </c>
    </row>
    <row r="1622">
      <c r="A1622" s="39" t="n">
        <v>46169.21898148148</v>
      </c>
      <c r="B1622" s="25">
        <f>TEXT(A1622,"YYYY-MM")</f>
        <v/>
      </c>
      <c r="C1622" s="25">
        <f>TEXT(A1622,"MMM-YYYY")</f>
        <v/>
      </c>
      <c r="D1622" s="40">
        <f>INT(A1622)-WEEKDAY(A1622,2)+1</f>
        <v/>
      </c>
      <c r="E1622" s="25" t="inlineStr">
        <is>
          <t>atiwari</t>
        </is>
      </c>
      <c r="F1622" s="25" t="n">
        <v>69541</v>
      </c>
      <c r="G1622" s="25" t="n">
        <v>4</v>
      </c>
      <c r="H1622" s="25" t="n">
        <v>24</v>
      </c>
      <c r="I1622" s="25" t="inlineStr">
        <is>
          <t>4 minute(s) and 55 second(s)</t>
        </is>
      </c>
      <c r="J1622" s="25">
        <f>IFERROR(VALUE(TRIM(LEFT(I1622,FIND("minute",I1622)-1)))*60,0)+IFERROR(VALUE(SUBSTITUTE(MID(I1622,IFERROR(FIND("and",I1622)+3,1),20),"second(s)","")),0)</f>
        <v/>
      </c>
      <c r="K1622" s="41">
        <f>J1622/60</f>
        <v/>
      </c>
      <c r="L1622" s="41">
        <f>IFERROR(J1622/H1622,"")</f>
        <v/>
      </c>
      <c r="M1622" s="25" t="inlineStr">
        <is>
          <t>2.5.12</t>
        </is>
      </c>
      <c r="N1622" s="25">
        <f>IF(J1622&gt;300,1,0)</f>
        <v/>
      </c>
      <c r="O1622" s="25">
        <f>IF(J1622&gt;600,1,0)</f>
        <v/>
      </c>
      <c r="P1622" s="25">
        <f>IF(H1622&gt;0,J1622,"")</f>
        <v/>
      </c>
      <c r="Q1622" s="25">
        <f>TEXT(A1622,"YYYY-MM-DD HH")</f>
        <v/>
      </c>
      <c r="R1622" s="25">
        <f>COUNTIF($Q$2:$Q$5295,Q1622)</f>
        <v/>
      </c>
      <c r="S1622" s="25">
        <f>IF(R1622&lt;=2,"1-2",IF(R1622&lt;=5,"3-5",IF(R1622&lt;=10,"6-10","11+")))</f>
        <v/>
      </c>
    </row>
    <row r="1623">
      <c r="A1623" s="39" t="n">
        <v>46169.2199537037</v>
      </c>
      <c r="B1623" s="25">
        <f>TEXT(A1623,"YYYY-MM")</f>
        <v/>
      </c>
      <c r="C1623" s="25">
        <f>TEXT(A1623,"MMM-YYYY")</f>
        <v/>
      </c>
      <c r="D1623" s="40">
        <f>INT(A1623)-WEEKDAY(A1623,2)+1</f>
        <v/>
      </c>
      <c r="E1623" s="25" t="inlineStr">
        <is>
          <t>mbhalla</t>
        </is>
      </c>
      <c r="F1623" s="25" t="n">
        <v>39398</v>
      </c>
      <c r="G1623" s="25" t="n">
        <v>1</v>
      </c>
      <c r="H1623" s="25" t="n">
        <v>7</v>
      </c>
      <c r="I1623" s="25" t="inlineStr">
        <is>
          <t>1 minute(s) and 38 second(s)</t>
        </is>
      </c>
      <c r="J1623" s="25">
        <f>IFERROR(VALUE(TRIM(LEFT(I1623,FIND("minute",I1623)-1)))*60,0)+IFERROR(VALUE(SUBSTITUTE(MID(I1623,IFERROR(FIND("and",I1623)+3,1),20),"second(s)","")),0)</f>
        <v/>
      </c>
      <c r="K1623" s="41">
        <f>J1623/60</f>
        <v/>
      </c>
      <c r="L1623" s="41">
        <f>IFERROR(J1623/H1623,"")</f>
        <v/>
      </c>
      <c r="M1623" s="25" t="inlineStr">
        <is>
          <t>2.5.12</t>
        </is>
      </c>
      <c r="N1623" s="25">
        <f>IF(J1623&gt;300,1,0)</f>
        <v/>
      </c>
      <c r="O1623" s="25">
        <f>IF(J1623&gt;600,1,0)</f>
        <v/>
      </c>
      <c r="P1623" s="25">
        <f>IF(H1623&gt;0,J1623,"")</f>
        <v/>
      </c>
      <c r="Q1623" s="25">
        <f>TEXT(A1623,"YYYY-MM-DD HH")</f>
        <v/>
      </c>
      <c r="R1623" s="25">
        <f>COUNTIF($Q$2:$Q$5295,Q1623)</f>
        <v/>
      </c>
      <c r="S1623" s="25">
        <f>IF(R1623&lt;=2,"1-2",IF(R1623&lt;=5,"3-5",IF(R1623&lt;=10,"6-10","11+")))</f>
        <v/>
      </c>
    </row>
    <row r="1624">
      <c r="A1624" s="39" t="n">
        <v>46169.22329861111</v>
      </c>
      <c r="B1624" s="25">
        <f>TEXT(A1624,"YYYY-MM")</f>
        <v/>
      </c>
      <c r="C1624" s="25">
        <f>TEXT(A1624,"MMM-YYYY")</f>
        <v/>
      </c>
      <c r="D1624" s="40">
        <f>INT(A1624)-WEEKDAY(A1624,2)+1</f>
        <v/>
      </c>
      <c r="E1624" s="25" t="inlineStr">
        <is>
          <t>stiwari</t>
        </is>
      </c>
      <c r="F1624" s="25" t="n">
        <v>5077</v>
      </c>
      <c r="G1624" s="25" t="n">
        <v>1</v>
      </c>
      <c r="H1624" s="25" t="n">
        <v>7</v>
      </c>
      <c r="I1624" s="25" t="inlineStr">
        <is>
          <t>1 minute(s) and 46 second(s)</t>
        </is>
      </c>
      <c r="J1624" s="25">
        <f>IFERROR(VALUE(TRIM(LEFT(I1624,FIND("minute",I1624)-1)))*60,0)+IFERROR(VALUE(SUBSTITUTE(MID(I1624,IFERROR(FIND("and",I1624)+3,1),20),"second(s)","")),0)</f>
        <v/>
      </c>
      <c r="K1624" s="41">
        <f>J1624/60</f>
        <v/>
      </c>
      <c r="L1624" s="41">
        <f>IFERROR(J1624/H1624,"")</f>
        <v/>
      </c>
      <c r="M1624" s="25" t="inlineStr">
        <is>
          <t>2.5.12</t>
        </is>
      </c>
      <c r="N1624" s="25">
        <f>IF(J1624&gt;300,1,0)</f>
        <v/>
      </c>
      <c r="O1624" s="25">
        <f>IF(J1624&gt;600,1,0)</f>
        <v/>
      </c>
      <c r="P1624" s="25">
        <f>IF(H1624&gt;0,J1624,"")</f>
        <v/>
      </c>
      <c r="Q1624" s="25">
        <f>TEXT(A1624,"YYYY-MM-DD HH")</f>
        <v/>
      </c>
      <c r="R1624" s="25">
        <f>COUNTIF($Q$2:$Q$5295,Q1624)</f>
        <v/>
      </c>
      <c r="S1624" s="25">
        <f>IF(R1624&lt;=2,"1-2",IF(R1624&lt;=5,"3-5",IF(R1624&lt;=10,"6-10","11+")))</f>
        <v/>
      </c>
    </row>
    <row r="1625">
      <c r="A1625" s="39" t="n">
        <v>46169.22673611111</v>
      </c>
      <c r="B1625" s="25">
        <f>TEXT(A1625,"YYYY-MM")</f>
        <v/>
      </c>
      <c r="C1625" s="25">
        <f>TEXT(A1625,"MMM-YYYY")</f>
        <v/>
      </c>
      <c r="D1625" s="40">
        <f>INT(A1625)-WEEKDAY(A1625,2)+1</f>
        <v/>
      </c>
      <c r="E1625" s="25" t="inlineStr">
        <is>
          <t>rts</t>
        </is>
      </c>
      <c r="F1625" s="25" t="n">
        <v>90039</v>
      </c>
      <c r="G1625" s="25" t="n">
        <v>1</v>
      </c>
      <c r="H1625" s="25" t="n">
        <v>5</v>
      </c>
      <c r="I1625" s="25" t="inlineStr">
        <is>
          <t>1 minute(s) and 28 second(s)</t>
        </is>
      </c>
      <c r="J1625" s="25">
        <f>IFERROR(VALUE(TRIM(LEFT(I1625,FIND("minute",I1625)-1)))*60,0)+IFERROR(VALUE(SUBSTITUTE(MID(I1625,IFERROR(FIND("and",I1625)+3,1),20),"second(s)","")),0)</f>
        <v/>
      </c>
      <c r="K1625" s="41">
        <f>J1625/60</f>
        <v/>
      </c>
      <c r="L1625" s="41">
        <f>IFERROR(J1625/H1625,"")</f>
        <v/>
      </c>
      <c r="M1625" s="25" t="inlineStr">
        <is>
          <t>2.5.12</t>
        </is>
      </c>
      <c r="N1625" s="25">
        <f>IF(J1625&gt;300,1,0)</f>
        <v/>
      </c>
      <c r="O1625" s="25">
        <f>IF(J1625&gt;600,1,0)</f>
        <v/>
      </c>
      <c r="P1625" s="25">
        <f>IF(H1625&gt;0,J1625,"")</f>
        <v/>
      </c>
      <c r="Q1625" s="25">
        <f>TEXT(A1625,"YYYY-MM-DD HH")</f>
        <v/>
      </c>
      <c r="R1625" s="25">
        <f>COUNTIF($Q$2:$Q$5295,Q1625)</f>
        <v/>
      </c>
      <c r="S1625" s="25">
        <f>IF(R1625&lt;=2,"1-2",IF(R1625&lt;=5,"3-5",IF(R1625&lt;=10,"6-10","11+")))</f>
        <v/>
      </c>
    </row>
    <row r="1626">
      <c r="A1626" s="39" t="n">
        <v>46169.22770833333</v>
      </c>
      <c r="B1626" s="25">
        <f>TEXT(A1626,"YYYY-MM")</f>
        <v/>
      </c>
      <c r="C1626" s="25">
        <f>TEXT(A1626,"MMM-YYYY")</f>
        <v/>
      </c>
      <c r="D1626" s="40">
        <f>INT(A1626)-WEEKDAY(A1626,2)+1</f>
        <v/>
      </c>
      <c r="E1626" s="25" t="inlineStr">
        <is>
          <t>npriya</t>
        </is>
      </c>
      <c r="F1626" s="25" t="n">
        <v>6026</v>
      </c>
      <c r="G1626" s="25" t="n">
        <v>1</v>
      </c>
      <c r="H1626" s="25" t="n">
        <v>5</v>
      </c>
      <c r="I1626" s="25" t="inlineStr">
        <is>
          <t>4 minute(s) and 31 second(s)</t>
        </is>
      </c>
      <c r="J1626" s="25">
        <f>IFERROR(VALUE(TRIM(LEFT(I1626,FIND("minute",I1626)-1)))*60,0)+IFERROR(VALUE(SUBSTITUTE(MID(I1626,IFERROR(FIND("and",I1626)+3,1),20),"second(s)","")),0)</f>
        <v/>
      </c>
      <c r="K1626" s="41">
        <f>J1626/60</f>
        <v/>
      </c>
      <c r="L1626" s="41">
        <f>IFERROR(J1626/H1626,"")</f>
        <v/>
      </c>
      <c r="M1626" s="25" t="inlineStr">
        <is>
          <t>2.5.12</t>
        </is>
      </c>
      <c r="N1626" s="25">
        <f>IF(J1626&gt;300,1,0)</f>
        <v/>
      </c>
      <c r="O1626" s="25">
        <f>IF(J1626&gt;600,1,0)</f>
        <v/>
      </c>
      <c r="P1626" s="25">
        <f>IF(H1626&gt;0,J1626,"")</f>
        <v/>
      </c>
      <c r="Q1626" s="25">
        <f>TEXT(A1626,"YYYY-MM-DD HH")</f>
        <v/>
      </c>
      <c r="R1626" s="25">
        <f>COUNTIF($Q$2:$Q$5295,Q1626)</f>
        <v/>
      </c>
      <c r="S1626" s="25">
        <f>IF(R1626&lt;=2,"1-2",IF(R1626&lt;=5,"3-5",IF(R1626&lt;=10,"6-10","11+")))</f>
        <v/>
      </c>
    </row>
    <row r="1627">
      <c r="A1627" s="39" t="n">
        <v>46169.22863425926</v>
      </c>
      <c r="B1627" s="25">
        <f>TEXT(A1627,"YYYY-MM")</f>
        <v/>
      </c>
      <c r="C1627" s="25">
        <f>TEXT(A1627,"MMM-YYYY")</f>
        <v/>
      </c>
      <c r="D1627" s="40">
        <f>INT(A1627)-WEEKDAY(A1627,2)+1</f>
        <v/>
      </c>
      <c r="E1627" s="25" t="inlineStr">
        <is>
          <t>anusharma</t>
        </is>
      </c>
      <c r="F1627" s="25" t="n">
        <v>5311</v>
      </c>
      <c r="G1627" s="25" t="n">
        <v>4</v>
      </c>
      <c r="H1627" s="25" t="n">
        <v>14</v>
      </c>
      <c r="I1627" s="25" t="inlineStr">
        <is>
          <t>3 minute(s) and 27 second(s)</t>
        </is>
      </c>
      <c r="J1627" s="25">
        <f>IFERROR(VALUE(TRIM(LEFT(I1627,FIND("minute",I1627)-1)))*60,0)+IFERROR(VALUE(SUBSTITUTE(MID(I1627,IFERROR(FIND("and",I1627)+3,1),20),"second(s)","")),0)</f>
        <v/>
      </c>
      <c r="K1627" s="41">
        <f>J1627/60</f>
        <v/>
      </c>
      <c r="L1627" s="41">
        <f>IFERROR(J1627/H1627,"")</f>
        <v/>
      </c>
      <c r="M1627" s="25" t="inlineStr">
        <is>
          <t>2.5.12</t>
        </is>
      </c>
      <c r="N1627" s="25">
        <f>IF(J1627&gt;300,1,0)</f>
        <v/>
      </c>
      <c r="O1627" s="25">
        <f>IF(J1627&gt;600,1,0)</f>
        <v/>
      </c>
      <c r="P1627" s="25">
        <f>IF(H1627&gt;0,J1627,"")</f>
        <v/>
      </c>
      <c r="Q1627" s="25">
        <f>TEXT(A1627,"YYYY-MM-DD HH")</f>
        <v/>
      </c>
      <c r="R1627" s="25">
        <f>COUNTIF($Q$2:$Q$5295,Q1627)</f>
        <v/>
      </c>
      <c r="S1627" s="25">
        <f>IF(R1627&lt;=2,"1-2",IF(R1627&lt;=5,"3-5",IF(R1627&lt;=10,"6-10","11+")))</f>
        <v/>
      </c>
    </row>
    <row r="1628">
      <c r="A1628" s="39" t="n">
        <v>46169.22907407407</v>
      </c>
      <c r="B1628" s="25">
        <f>TEXT(A1628,"YYYY-MM")</f>
        <v/>
      </c>
      <c r="C1628" s="25">
        <f>TEXT(A1628,"MMM-YYYY")</f>
        <v/>
      </c>
      <c r="D1628" s="40">
        <f>INT(A1628)-WEEKDAY(A1628,2)+1</f>
        <v/>
      </c>
      <c r="E1628" s="25" t="inlineStr">
        <is>
          <t>akumari</t>
        </is>
      </c>
      <c r="F1628" s="25" t="n">
        <v>5133</v>
      </c>
      <c r="G1628" s="25" t="n">
        <v>1</v>
      </c>
      <c r="H1628" s="25" t="n">
        <v>7</v>
      </c>
      <c r="I1628" s="25" t="inlineStr">
        <is>
          <t>1 minute(s) and 1 second(s)</t>
        </is>
      </c>
      <c r="J1628" s="25">
        <f>IFERROR(VALUE(TRIM(LEFT(I1628,FIND("minute",I1628)-1)))*60,0)+IFERROR(VALUE(SUBSTITUTE(MID(I1628,IFERROR(FIND("and",I1628)+3,1),20),"second(s)","")),0)</f>
        <v/>
      </c>
      <c r="K1628" s="41">
        <f>J1628/60</f>
        <v/>
      </c>
      <c r="L1628" s="41">
        <f>IFERROR(J1628/H1628,"")</f>
        <v/>
      </c>
      <c r="M1628" s="25" t="inlineStr">
        <is>
          <t>2.5.12</t>
        </is>
      </c>
      <c r="N1628" s="25">
        <f>IF(J1628&gt;300,1,0)</f>
        <v/>
      </c>
      <c r="O1628" s="25">
        <f>IF(J1628&gt;600,1,0)</f>
        <v/>
      </c>
      <c r="P1628" s="25">
        <f>IF(H1628&gt;0,J1628,"")</f>
        <v/>
      </c>
      <c r="Q1628" s="25">
        <f>TEXT(A1628,"YYYY-MM-DD HH")</f>
        <v/>
      </c>
      <c r="R1628" s="25">
        <f>COUNTIF($Q$2:$Q$5295,Q1628)</f>
        <v/>
      </c>
      <c r="S1628" s="25">
        <f>IF(R1628&lt;=2,"1-2",IF(R1628&lt;=5,"3-5",IF(R1628&lt;=10,"6-10","11+")))</f>
        <v/>
      </c>
    </row>
    <row r="1629">
      <c r="A1629" s="39" t="n">
        <v>46169.23670138889</v>
      </c>
      <c r="B1629" s="25">
        <f>TEXT(A1629,"YYYY-MM")</f>
        <v/>
      </c>
      <c r="C1629" s="25">
        <f>TEXT(A1629,"MMM-YYYY")</f>
        <v/>
      </c>
      <c r="D1629" s="40">
        <f>INT(A1629)-WEEKDAY(A1629,2)+1</f>
        <v/>
      </c>
      <c r="E1629" s="25" t="inlineStr">
        <is>
          <t>pmishra</t>
        </is>
      </c>
      <c r="F1629" s="25" t="n">
        <v>5590</v>
      </c>
      <c r="G1629" s="25" t="n">
        <v>1</v>
      </c>
      <c r="H1629" s="25" t="n">
        <v>5</v>
      </c>
      <c r="I1629" s="25" t="inlineStr">
        <is>
          <t>3 minute(s) and 11 second(s)</t>
        </is>
      </c>
      <c r="J1629" s="25">
        <f>IFERROR(VALUE(TRIM(LEFT(I1629,FIND("minute",I1629)-1)))*60,0)+IFERROR(VALUE(SUBSTITUTE(MID(I1629,IFERROR(FIND("and",I1629)+3,1),20),"second(s)","")),0)</f>
        <v/>
      </c>
      <c r="K1629" s="41">
        <f>J1629/60</f>
        <v/>
      </c>
      <c r="L1629" s="41">
        <f>IFERROR(J1629/H1629,"")</f>
        <v/>
      </c>
      <c r="M1629" s="25" t="inlineStr">
        <is>
          <t>2.5.12</t>
        </is>
      </c>
      <c r="N1629" s="25">
        <f>IF(J1629&gt;300,1,0)</f>
        <v/>
      </c>
      <c r="O1629" s="25">
        <f>IF(J1629&gt;600,1,0)</f>
        <v/>
      </c>
      <c r="P1629" s="25">
        <f>IF(H1629&gt;0,J1629,"")</f>
        <v/>
      </c>
      <c r="Q1629" s="25">
        <f>TEXT(A1629,"YYYY-MM-DD HH")</f>
        <v/>
      </c>
      <c r="R1629" s="25">
        <f>COUNTIF($Q$2:$Q$5295,Q1629)</f>
        <v/>
      </c>
      <c r="S1629" s="25">
        <f>IF(R1629&lt;=2,"1-2",IF(R1629&lt;=5,"3-5",IF(R1629&lt;=10,"6-10","11+")))</f>
        <v/>
      </c>
    </row>
    <row r="1630">
      <c r="A1630" s="39" t="n">
        <v>46169.23818287037</v>
      </c>
      <c r="B1630" s="25">
        <f>TEXT(A1630,"YYYY-MM")</f>
        <v/>
      </c>
      <c r="C1630" s="25">
        <f>TEXT(A1630,"MMM-YYYY")</f>
        <v/>
      </c>
      <c r="D1630" s="40">
        <f>INT(A1630)-WEEKDAY(A1630,2)+1</f>
        <v/>
      </c>
      <c r="E1630" s="25" t="inlineStr">
        <is>
          <t>ssarkar</t>
        </is>
      </c>
      <c r="F1630" s="25" t="n">
        <v>5969</v>
      </c>
      <c r="G1630" s="25" t="n">
        <v>1</v>
      </c>
      <c r="H1630" s="25" t="n">
        <v>7</v>
      </c>
      <c r="I1630" s="25" t="inlineStr">
        <is>
          <t>1 minute(s) and 21 second(s)</t>
        </is>
      </c>
      <c r="J1630" s="25">
        <f>IFERROR(VALUE(TRIM(LEFT(I1630,FIND("minute",I1630)-1)))*60,0)+IFERROR(VALUE(SUBSTITUTE(MID(I1630,IFERROR(FIND("and",I1630)+3,1),20),"second(s)","")),0)</f>
        <v/>
      </c>
      <c r="K1630" s="41">
        <f>J1630/60</f>
        <v/>
      </c>
      <c r="L1630" s="41">
        <f>IFERROR(J1630/H1630,"")</f>
        <v/>
      </c>
      <c r="M1630" s="25" t="inlineStr">
        <is>
          <t>2.5.12</t>
        </is>
      </c>
      <c r="N1630" s="25">
        <f>IF(J1630&gt;300,1,0)</f>
        <v/>
      </c>
      <c r="O1630" s="25">
        <f>IF(J1630&gt;600,1,0)</f>
        <v/>
      </c>
      <c r="P1630" s="25">
        <f>IF(H1630&gt;0,J1630,"")</f>
        <v/>
      </c>
      <c r="Q1630" s="25">
        <f>TEXT(A1630,"YYYY-MM-DD HH")</f>
        <v/>
      </c>
      <c r="R1630" s="25">
        <f>COUNTIF($Q$2:$Q$5295,Q1630)</f>
        <v/>
      </c>
      <c r="S1630" s="25">
        <f>IF(R1630&lt;=2,"1-2",IF(R1630&lt;=5,"3-5",IF(R1630&lt;=10,"6-10","11+")))</f>
        <v/>
      </c>
    </row>
    <row r="1631">
      <c r="A1631" s="39" t="n">
        <v>46169.24136574074</v>
      </c>
      <c r="B1631" s="25">
        <f>TEXT(A1631,"YYYY-MM")</f>
        <v/>
      </c>
      <c r="C1631" s="25">
        <f>TEXT(A1631,"MMM-YYYY")</f>
        <v/>
      </c>
      <c r="D1631" s="40">
        <f>INT(A1631)-WEEKDAY(A1631,2)+1</f>
        <v/>
      </c>
      <c r="E1631" s="25" t="inlineStr">
        <is>
          <t>nlnu</t>
        </is>
      </c>
      <c r="F1631" s="25" t="n">
        <v>5167</v>
      </c>
      <c r="G1631" s="25" t="n">
        <v>1</v>
      </c>
      <c r="H1631" s="25" t="n">
        <v>7</v>
      </c>
      <c r="I1631" s="25" t="inlineStr">
        <is>
          <t>2 minute(s) and 38 second(s)</t>
        </is>
      </c>
      <c r="J1631" s="25">
        <f>IFERROR(VALUE(TRIM(LEFT(I1631,FIND("minute",I1631)-1)))*60,0)+IFERROR(VALUE(SUBSTITUTE(MID(I1631,IFERROR(FIND("and",I1631)+3,1),20),"second(s)","")),0)</f>
        <v/>
      </c>
      <c r="K1631" s="41">
        <f>J1631/60</f>
        <v/>
      </c>
      <c r="L1631" s="41">
        <f>IFERROR(J1631/H1631,"")</f>
        <v/>
      </c>
      <c r="M1631" s="25" t="inlineStr">
        <is>
          <t>2.5.12</t>
        </is>
      </c>
      <c r="N1631" s="25">
        <f>IF(J1631&gt;300,1,0)</f>
        <v/>
      </c>
      <c r="O1631" s="25">
        <f>IF(J1631&gt;600,1,0)</f>
        <v/>
      </c>
      <c r="P1631" s="25">
        <f>IF(H1631&gt;0,J1631,"")</f>
        <v/>
      </c>
      <c r="Q1631" s="25">
        <f>TEXT(A1631,"YYYY-MM-DD HH")</f>
        <v/>
      </c>
      <c r="R1631" s="25">
        <f>COUNTIF($Q$2:$Q$5295,Q1631)</f>
        <v/>
      </c>
      <c r="S1631" s="25">
        <f>IF(R1631&lt;=2,"1-2",IF(R1631&lt;=5,"3-5",IF(R1631&lt;=10,"6-10","11+")))</f>
        <v/>
      </c>
    </row>
    <row r="1632">
      <c r="A1632" s="39" t="n">
        <v>46169.24833333334</v>
      </c>
      <c r="B1632" s="25">
        <f>TEXT(A1632,"YYYY-MM")</f>
        <v/>
      </c>
      <c r="C1632" s="25">
        <f>TEXT(A1632,"MMM-YYYY")</f>
        <v/>
      </c>
      <c r="D1632" s="40">
        <f>INT(A1632)-WEEKDAY(A1632,2)+1</f>
        <v/>
      </c>
      <c r="E1632" s="25" t="inlineStr">
        <is>
          <t>ssrinivasan</t>
        </is>
      </c>
      <c r="F1632" s="25" t="n">
        <v>49319</v>
      </c>
      <c r="G1632" s="25" t="n">
        <v>2</v>
      </c>
      <c r="H1632" s="25" t="n">
        <v>8</v>
      </c>
      <c r="I1632" s="25" t="inlineStr">
        <is>
          <t>2 minute(s) and 17 second(s)</t>
        </is>
      </c>
      <c r="J1632" s="25">
        <f>IFERROR(VALUE(TRIM(LEFT(I1632,FIND("minute",I1632)-1)))*60,0)+IFERROR(VALUE(SUBSTITUTE(MID(I1632,IFERROR(FIND("and",I1632)+3,1),20),"second(s)","")),0)</f>
        <v/>
      </c>
      <c r="K1632" s="41">
        <f>J1632/60</f>
        <v/>
      </c>
      <c r="L1632" s="41">
        <f>IFERROR(J1632/H1632,"")</f>
        <v/>
      </c>
      <c r="M1632" s="25" t="inlineStr">
        <is>
          <t>2.5.12</t>
        </is>
      </c>
      <c r="N1632" s="25">
        <f>IF(J1632&gt;300,1,0)</f>
        <v/>
      </c>
      <c r="O1632" s="25">
        <f>IF(J1632&gt;600,1,0)</f>
        <v/>
      </c>
      <c r="P1632" s="25">
        <f>IF(H1632&gt;0,J1632,"")</f>
        <v/>
      </c>
      <c r="Q1632" s="25">
        <f>TEXT(A1632,"YYYY-MM-DD HH")</f>
        <v/>
      </c>
      <c r="R1632" s="25">
        <f>COUNTIF($Q$2:$Q$5295,Q1632)</f>
        <v/>
      </c>
      <c r="S1632" s="25">
        <f>IF(R1632&lt;=2,"1-2",IF(R1632&lt;=5,"3-5",IF(R1632&lt;=10,"6-10","11+")))</f>
        <v/>
      </c>
    </row>
    <row r="1633">
      <c r="A1633" s="39" t="n">
        <v>46169.25021990741</v>
      </c>
      <c r="B1633" s="25">
        <f>TEXT(A1633,"YYYY-MM")</f>
        <v/>
      </c>
      <c r="C1633" s="25">
        <f>TEXT(A1633,"MMM-YYYY")</f>
        <v/>
      </c>
      <c r="D1633" s="40">
        <f>INT(A1633)-WEEKDAY(A1633,2)+1</f>
        <v/>
      </c>
      <c r="E1633" s="25" t="inlineStr">
        <is>
          <t>npriya</t>
        </is>
      </c>
      <c r="F1633" s="25" t="n">
        <v>6027</v>
      </c>
      <c r="G1633" s="25" t="n">
        <v>1</v>
      </c>
      <c r="H1633" s="25" t="n">
        <v>7</v>
      </c>
      <c r="I1633" s="25" t="inlineStr">
        <is>
          <t>1 minute(s) and 59 second(s)</t>
        </is>
      </c>
      <c r="J1633" s="25">
        <f>IFERROR(VALUE(TRIM(LEFT(I1633,FIND("minute",I1633)-1)))*60,0)+IFERROR(VALUE(SUBSTITUTE(MID(I1633,IFERROR(FIND("and",I1633)+3,1),20),"second(s)","")),0)</f>
        <v/>
      </c>
      <c r="K1633" s="41">
        <f>J1633/60</f>
        <v/>
      </c>
      <c r="L1633" s="41">
        <f>IFERROR(J1633/H1633,"")</f>
        <v/>
      </c>
      <c r="M1633" s="25" t="inlineStr">
        <is>
          <t>2.5.12</t>
        </is>
      </c>
      <c r="N1633" s="25">
        <f>IF(J1633&gt;300,1,0)</f>
        <v/>
      </c>
      <c r="O1633" s="25">
        <f>IF(J1633&gt;600,1,0)</f>
        <v/>
      </c>
      <c r="P1633" s="25">
        <f>IF(H1633&gt;0,J1633,"")</f>
        <v/>
      </c>
      <c r="Q1633" s="25">
        <f>TEXT(A1633,"YYYY-MM-DD HH")</f>
        <v/>
      </c>
      <c r="R1633" s="25">
        <f>COUNTIF($Q$2:$Q$5295,Q1633)</f>
        <v/>
      </c>
      <c r="S1633" s="25">
        <f>IF(R1633&lt;=2,"1-2",IF(R1633&lt;=5,"3-5",IF(R1633&lt;=10,"6-10","11+")))</f>
        <v/>
      </c>
    </row>
    <row r="1634">
      <c r="A1634" s="39" t="n">
        <v>46169.25413194444</v>
      </c>
      <c r="B1634" s="25">
        <f>TEXT(A1634,"YYYY-MM")</f>
        <v/>
      </c>
      <c r="C1634" s="25">
        <f>TEXT(A1634,"MMM-YYYY")</f>
        <v/>
      </c>
      <c r="D1634" s="40">
        <f>INT(A1634)-WEEKDAY(A1634,2)+1</f>
        <v/>
      </c>
      <c r="E1634" s="25" t="inlineStr">
        <is>
          <t>pmishra</t>
        </is>
      </c>
      <c r="F1634" s="25" t="n">
        <v>5593</v>
      </c>
      <c r="G1634" s="25" t="n">
        <v>1</v>
      </c>
      <c r="H1634" s="25" t="n">
        <v>7</v>
      </c>
      <c r="I1634" s="25" t="inlineStr">
        <is>
          <t>2 minute(s) and 10 second(s)</t>
        </is>
      </c>
      <c r="J1634" s="25">
        <f>IFERROR(VALUE(TRIM(LEFT(I1634,FIND("minute",I1634)-1)))*60,0)+IFERROR(VALUE(SUBSTITUTE(MID(I1634,IFERROR(FIND("and",I1634)+3,1),20),"second(s)","")),0)</f>
        <v/>
      </c>
      <c r="K1634" s="41">
        <f>J1634/60</f>
        <v/>
      </c>
      <c r="L1634" s="41">
        <f>IFERROR(J1634/H1634,"")</f>
        <v/>
      </c>
      <c r="M1634" s="25" t="inlineStr">
        <is>
          <t>2.5.12</t>
        </is>
      </c>
      <c r="N1634" s="25">
        <f>IF(J1634&gt;300,1,0)</f>
        <v/>
      </c>
      <c r="O1634" s="25">
        <f>IF(J1634&gt;600,1,0)</f>
        <v/>
      </c>
      <c r="P1634" s="25">
        <f>IF(H1634&gt;0,J1634,"")</f>
        <v/>
      </c>
      <c r="Q1634" s="25">
        <f>TEXT(A1634,"YYYY-MM-DD HH")</f>
        <v/>
      </c>
      <c r="R1634" s="25">
        <f>COUNTIF($Q$2:$Q$5295,Q1634)</f>
        <v/>
      </c>
      <c r="S1634" s="25">
        <f>IF(R1634&lt;=2,"1-2",IF(R1634&lt;=5,"3-5",IF(R1634&lt;=10,"6-10","11+")))</f>
        <v/>
      </c>
    </row>
    <row r="1635">
      <c r="A1635" s="39" t="n">
        <v>46169.25466435185</v>
      </c>
      <c r="B1635" s="25">
        <f>TEXT(A1635,"YYYY-MM")</f>
        <v/>
      </c>
      <c r="C1635" s="25">
        <f>TEXT(A1635,"MMM-YYYY")</f>
        <v/>
      </c>
      <c r="D1635" s="40">
        <f>INT(A1635)-WEEKDAY(A1635,2)+1</f>
        <v/>
      </c>
      <c r="E1635" s="25" t="inlineStr">
        <is>
          <t>atiwari</t>
        </is>
      </c>
      <c r="F1635" s="25" t="n">
        <v>84319</v>
      </c>
      <c r="G1635" s="25" t="n">
        <v>1</v>
      </c>
      <c r="H1635" s="25" t="n">
        <v>7</v>
      </c>
      <c r="I1635" s="25" t="inlineStr">
        <is>
          <t>2 minute(s) and 40 second(s)</t>
        </is>
      </c>
      <c r="J1635" s="25">
        <f>IFERROR(VALUE(TRIM(LEFT(I1635,FIND("minute",I1635)-1)))*60,0)+IFERROR(VALUE(SUBSTITUTE(MID(I1635,IFERROR(FIND("and",I1635)+3,1),20),"second(s)","")),0)</f>
        <v/>
      </c>
      <c r="K1635" s="41">
        <f>J1635/60</f>
        <v/>
      </c>
      <c r="L1635" s="41">
        <f>IFERROR(J1635/H1635,"")</f>
        <v/>
      </c>
      <c r="M1635" s="25" t="inlineStr">
        <is>
          <t>2.5.12</t>
        </is>
      </c>
      <c r="N1635" s="25">
        <f>IF(J1635&gt;300,1,0)</f>
        <v/>
      </c>
      <c r="O1635" s="25">
        <f>IF(J1635&gt;600,1,0)</f>
        <v/>
      </c>
      <c r="P1635" s="25">
        <f>IF(H1635&gt;0,J1635,"")</f>
        <v/>
      </c>
      <c r="Q1635" s="25">
        <f>TEXT(A1635,"YYYY-MM-DD HH")</f>
        <v/>
      </c>
      <c r="R1635" s="25">
        <f>COUNTIF($Q$2:$Q$5295,Q1635)</f>
        <v/>
      </c>
      <c r="S1635" s="25">
        <f>IF(R1635&lt;=2,"1-2",IF(R1635&lt;=5,"3-5",IF(R1635&lt;=10,"6-10","11+")))</f>
        <v/>
      </c>
    </row>
    <row r="1636">
      <c r="A1636" s="39" t="n">
        <v>46169.25778935185</v>
      </c>
      <c r="B1636" s="25">
        <f>TEXT(A1636,"YYYY-MM")</f>
        <v/>
      </c>
      <c r="C1636" s="25">
        <f>TEXT(A1636,"MMM-YYYY")</f>
        <v/>
      </c>
      <c r="D1636" s="40">
        <f>INT(A1636)-WEEKDAY(A1636,2)+1</f>
        <v/>
      </c>
      <c r="E1636" s="25" t="inlineStr">
        <is>
          <t>nlnu</t>
        </is>
      </c>
      <c r="F1636" s="25" t="n">
        <v>5169</v>
      </c>
      <c r="G1636" s="25" t="n">
        <v>1</v>
      </c>
      <c r="H1636" s="25" t="n">
        <v>7</v>
      </c>
      <c r="I1636" s="25" t="inlineStr">
        <is>
          <t>2 minute(s) and 44 second(s)</t>
        </is>
      </c>
      <c r="J1636" s="25">
        <f>IFERROR(VALUE(TRIM(LEFT(I1636,FIND("minute",I1636)-1)))*60,0)+IFERROR(VALUE(SUBSTITUTE(MID(I1636,IFERROR(FIND("and",I1636)+3,1),20),"second(s)","")),0)</f>
        <v/>
      </c>
      <c r="K1636" s="41">
        <f>J1636/60</f>
        <v/>
      </c>
      <c r="L1636" s="41">
        <f>IFERROR(J1636/H1636,"")</f>
        <v/>
      </c>
      <c r="M1636" s="25" t="inlineStr">
        <is>
          <t>2.5.12</t>
        </is>
      </c>
      <c r="N1636" s="25">
        <f>IF(J1636&gt;300,1,0)</f>
        <v/>
      </c>
      <c r="O1636" s="25">
        <f>IF(J1636&gt;600,1,0)</f>
        <v/>
      </c>
      <c r="P1636" s="25">
        <f>IF(H1636&gt;0,J1636,"")</f>
        <v/>
      </c>
      <c r="Q1636" s="25">
        <f>TEXT(A1636,"YYYY-MM-DD HH")</f>
        <v/>
      </c>
      <c r="R1636" s="25">
        <f>COUNTIF($Q$2:$Q$5295,Q1636)</f>
        <v/>
      </c>
      <c r="S1636" s="25">
        <f>IF(R1636&lt;=2,"1-2",IF(R1636&lt;=5,"3-5",IF(R1636&lt;=10,"6-10","11+")))</f>
        <v/>
      </c>
    </row>
    <row r="1637">
      <c r="A1637" s="39" t="n">
        <v>46169.25947916666</v>
      </c>
      <c r="B1637" s="25">
        <f>TEXT(A1637,"YYYY-MM")</f>
        <v/>
      </c>
      <c r="C1637" s="25">
        <f>TEXT(A1637,"MMM-YYYY")</f>
        <v/>
      </c>
      <c r="D1637" s="40">
        <f>INT(A1637)-WEEKDAY(A1637,2)+1</f>
        <v/>
      </c>
      <c r="E1637" s="25" t="inlineStr">
        <is>
          <t>ssarkar</t>
        </is>
      </c>
      <c r="F1637" s="25" t="n">
        <v>5970</v>
      </c>
      <c r="G1637" s="25" t="n">
        <v>1</v>
      </c>
      <c r="H1637" s="25" t="n">
        <v>7</v>
      </c>
      <c r="I1637" s="25" t="inlineStr">
        <is>
          <t>1 minute(s) and 41 second(s)</t>
        </is>
      </c>
      <c r="J1637" s="25">
        <f>IFERROR(VALUE(TRIM(LEFT(I1637,FIND("minute",I1637)-1)))*60,0)+IFERROR(VALUE(SUBSTITUTE(MID(I1637,IFERROR(FIND("and",I1637)+3,1),20),"second(s)","")),0)</f>
        <v/>
      </c>
      <c r="K1637" s="41">
        <f>J1637/60</f>
        <v/>
      </c>
      <c r="L1637" s="41">
        <f>IFERROR(J1637/H1637,"")</f>
        <v/>
      </c>
      <c r="M1637" s="25" t="inlineStr">
        <is>
          <t>2.5.12</t>
        </is>
      </c>
      <c r="N1637" s="25">
        <f>IF(J1637&gt;300,1,0)</f>
        <v/>
      </c>
      <c r="O1637" s="25">
        <f>IF(J1637&gt;600,1,0)</f>
        <v/>
      </c>
      <c r="P1637" s="25">
        <f>IF(H1637&gt;0,J1637,"")</f>
        <v/>
      </c>
      <c r="Q1637" s="25">
        <f>TEXT(A1637,"YYYY-MM-DD HH")</f>
        <v/>
      </c>
      <c r="R1637" s="25">
        <f>COUNTIF($Q$2:$Q$5295,Q1637)</f>
        <v/>
      </c>
      <c r="S1637" s="25">
        <f>IF(R1637&lt;=2,"1-2",IF(R1637&lt;=5,"3-5",IF(R1637&lt;=10,"6-10","11+")))</f>
        <v/>
      </c>
    </row>
    <row r="1638">
      <c r="A1638" s="39" t="n">
        <v>46169.26137731481</v>
      </c>
      <c r="B1638" s="25">
        <f>TEXT(A1638,"YYYY-MM")</f>
        <v/>
      </c>
      <c r="C1638" s="25">
        <f>TEXT(A1638,"MMM-YYYY")</f>
        <v/>
      </c>
      <c r="D1638" s="40">
        <f>INT(A1638)-WEEKDAY(A1638,2)+1</f>
        <v/>
      </c>
      <c r="E1638" s="25" t="inlineStr">
        <is>
          <t>csaha</t>
        </is>
      </c>
      <c r="F1638" s="25" t="n">
        <v>6122</v>
      </c>
      <c r="G1638" s="25" t="n">
        <v>2</v>
      </c>
      <c r="H1638" s="25" t="n">
        <v>8</v>
      </c>
      <c r="I1638" s="25" t="inlineStr">
        <is>
          <t>1 minute(s) and 25 second(s)</t>
        </is>
      </c>
      <c r="J1638" s="25">
        <f>IFERROR(VALUE(TRIM(LEFT(I1638,FIND("minute",I1638)-1)))*60,0)+IFERROR(VALUE(SUBSTITUTE(MID(I1638,IFERROR(FIND("and",I1638)+3,1),20),"second(s)","")),0)</f>
        <v/>
      </c>
      <c r="K1638" s="41">
        <f>J1638/60</f>
        <v/>
      </c>
      <c r="L1638" s="41">
        <f>IFERROR(J1638/H1638,"")</f>
        <v/>
      </c>
      <c r="M1638" s="25" t="inlineStr">
        <is>
          <t>2.5.12</t>
        </is>
      </c>
      <c r="N1638" s="25">
        <f>IF(J1638&gt;300,1,0)</f>
        <v/>
      </c>
      <c r="O1638" s="25">
        <f>IF(J1638&gt;600,1,0)</f>
        <v/>
      </c>
      <c r="P1638" s="25">
        <f>IF(H1638&gt;0,J1638,"")</f>
        <v/>
      </c>
      <c r="Q1638" s="25">
        <f>TEXT(A1638,"YYYY-MM-DD HH")</f>
        <v/>
      </c>
      <c r="R1638" s="25">
        <f>COUNTIF($Q$2:$Q$5295,Q1638)</f>
        <v/>
      </c>
      <c r="S1638" s="25">
        <f>IF(R1638&lt;=2,"1-2",IF(R1638&lt;=5,"3-5",IF(R1638&lt;=10,"6-10","11+")))</f>
        <v/>
      </c>
    </row>
    <row r="1639">
      <c r="A1639" s="39" t="n">
        <v>46169.26239583334</v>
      </c>
      <c r="B1639" s="25">
        <f>TEXT(A1639,"YYYY-MM")</f>
        <v/>
      </c>
      <c r="C1639" s="25">
        <f>TEXT(A1639,"MMM-YYYY")</f>
        <v/>
      </c>
      <c r="D1639" s="40">
        <f>INT(A1639)-WEEKDAY(A1639,2)+1</f>
        <v/>
      </c>
      <c r="E1639" s="25" t="inlineStr">
        <is>
          <t>pgautam</t>
        </is>
      </c>
      <c r="F1639" s="25" t="n">
        <v>116091</v>
      </c>
      <c r="G1639" s="25" t="n">
        <v>3</v>
      </c>
      <c r="H1639" s="25" t="n">
        <v>12</v>
      </c>
      <c r="I1639" s="25" t="inlineStr">
        <is>
          <t>2 minute(s) and 38 second(s)</t>
        </is>
      </c>
      <c r="J1639" s="25">
        <f>IFERROR(VALUE(TRIM(LEFT(I1639,FIND("minute",I1639)-1)))*60,0)+IFERROR(VALUE(SUBSTITUTE(MID(I1639,IFERROR(FIND("and",I1639)+3,1),20),"second(s)","")),0)</f>
        <v/>
      </c>
      <c r="K1639" s="41">
        <f>J1639/60</f>
        <v/>
      </c>
      <c r="L1639" s="41">
        <f>IFERROR(J1639/H1639,"")</f>
        <v/>
      </c>
      <c r="M1639" s="25" t="inlineStr">
        <is>
          <t>2.5.12</t>
        </is>
      </c>
      <c r="N1639" s="25">
        <f>IF(J1639&gt;300,1,0)</f>
        <v/>
      </c>
      <c r="O1639" s="25">
        <f>IF(J1639&gt;600,1,0)</f>
        <v/>
      </c>
      <c r="P1639" s="25">
        <f>IF(H1639&gt;0,J1639,"")</f>
        <v/>
      </c>
      <c r="Q1639" s="25">
        <f>TEXT(A1639,"YYYY-MM-DD HH")</f>
        <v/>
      </c>
      <c r="R1639" s="25">
        <f>COUNTIF($Q$2:$Q$5295,Q1639)</f>
        <v/>
      </c>
      <c r="S1639" s="25">
        <f>IF(R1639&lt;=2,"1-2",IF(R1639&lt;=5,"3-5",IF(R1639&lt;=10,"6-10","11+")))</f>
        <v/>
      </c>
    </row>
    <row r="1640">
      <c r="A1640" s="39" t="n">
        <v>46169.26412037037</v>
      </c>
      <c r="B1640" s="25">
        <f>TEXT(A1640,"YYYY-MM")</f>
        <v/>
      </c>
      <c r="C1640" s="25">
        <f>TEXT(A1640,"MMM-YYYY")</f>
        <v/>
      </c>
      <c r="D1640" s="40">
        <f>INT(A1640)-WEEKDAY(A1640,2)+1</f>
        <v/>
      </c>
      <c r="E1640" s="25" t="inlineStr">
        <is>
          <t>mbohra</t>
        </is>
      </c>
      <c r="F1640" s="25" t="n">
        <v>90043</v>
      </c>
      <c r="G1640" s="25" t="n">
        <v>2</v>
      </c>
      <c r="H1640" s="25" t="n">
        <v>12</v>
      </c>
      <c r="I1640" s="25" t="inlineStr">
        <is>
          <t>6 minute(s) and 6 second(s)</t>
        </is>
      </c>
      <c r="J1640" s="25">
        <f>IFERROR(VALUE(TRIM(LEFT(I1640,FIND("minute",I1640)-1)))*60,0)+IFERROR(VALUE(SUBSTITUTE(MID(I1640,IFERROR(FIND("and",I1640)+3,1),20),"second(s)","")),0)</f>
        <v/>
      </c>
      <c r="K1640" s="41">
        <f>J1640/60</f>
        <v/>
      </c>
      <c r="L1640" s="41">
        <f>IFERROR(J1640/H1640,"")</f>
        <v/>
      </c>
      <c r="M1640" s="25" t="inlineStr">
        <is>
          <t>2.5.12</t>
        </is>
      </c>
      <c r="N1640" s="25">
        <f>IF(J1640&gt;300,1,0)</f>
        <v/>
      </c>
      <c r="O1640" s="25">
        <f>IF(J1640&gt;600,1,0)</f>
        <v/>
      </c>
      <c r="P1640" s="25">
        <f>IF(H1640&gt;0,J1640,"")</f>
        <v/>
      </c>
      <c r="Q1640" s="25">
        <f>TEXT(A1640,"YYYY-MM-DD HH")</f>
        <v/>
      </c>
      <c r="R1640" s="25">
        <f>COUNTIF($Q$2:$Q$5295,Q1640)</f>
        <v/>
      </c>
      <c r="S1640" s="25">
        <f>IF(R1640&lt;=2,"1-2",IF(R1640&lt;=5,"3-5",IF(R1640&lt;=10,"6-10","11+")))</f>
        <v/>
      </c>
    </row>
    <row r="1641">
      <c r="A1641" s="39" t="n">
        <v>46169.26524305555</v>
      </c>
      <c r="B1641" s="25">
        <f>TEXT(A1641,"YYYY-MM")</f>
        <v/>
      </c>
      <c r="C1641" s="25">
        <f>TEXT(A1641,"MMM-YYYY")</f>
        <v/>
      </c>
      <c r="D1641" s="40">
        <f>INT(A1641)-WEEKDAY(A1641,2)+1</f>
        <v/>
      </c>
      <c r="E1641" s="25" t="inlineStr">
        <is>
          <t>rts</t>
        </is>
      </c>
      <c r="F1641" s="25" t="n">
        <v>90010</v>
      </c>
      <c r="G1641" s="25" t="n">
        <v>1</v>
      </c>
      <c r="H1641" s="25" t="n">
        <v>7</v>
      </c>
      <c r="I1641" s="25" t="inlineStr">
        <is>
          <t>2 minute(s) and 3 second(s)</t>
        </is>
      </c>
      <c r="J1641" s="25">
        <f>IFERROR(VALUE(TRIM(LEFT(I1641,FIND("minute",I1641)-1)))*60,0)+IFERROR(VALUE(SUBSTITUTE(MID(I1641,IFERROR(FIND("and",I1641)+3,1),20),"second(s)","")),0)</f>
        <v/>
      </c>
      <c r="K1641" s="41">
        <f>J1641/60</f>
        <v/>
      </c>
      <c r="L1641" s="41">
        <f>IFERROR(J1641/H1641,"")</f>
        <v/>
      </c>
      <c r="M1641" s="25" t="inlineStr">
        <is>
          <t>2.5.12</t>
        </is>
      </c>
      <c r="N1641" s="25">
        <f>IF(J1641&gt;300,1,0)</f>
        <v/>
      </c>
      <c r="O1641" s="25">
        <f>IF(J1641&gt;600,1,0)</f>
        <v/>
      </c>
      <c r="P1641" s="25">
        <f>IF(H1641&gt;0,J1641,"")</f>
        <v/>
      </c>
      <c r="Q1641" s="25">
        <f>TEXT(A1641,"YYYY-MM-DD HH")</f>
        <v/>
      </c>
      <c r="R1641" s="25">
        <f>COUNTIF($Q$2:$Q$5295,Q1641)</f>
        <v/>
      </c>
      <c r="S1641" s="25">
        <f>IF(R1641&lt;=2,"1-2",IF(R1641&lt;=5,"3-5",IF(R1641&lt;=10,"6-10","11+")))</f>
        <v/>
      </c>
    </row>
    <row r="1642">
      <c r="A1642" s="39" t="n">
        <v>46169.27241898148</v>
      </c>
      <c r="B1642" s="25">
        <f>TEXT(A1642,"YYYY-MM")</f>
        <v/>
      </c>
      <c r="C1642" s="25">
        <f>TEXT(A1642,"MMM-YYYY")</f>
        <v/>
      </c>
      <c r="D1642" s="40">
        <f>INT(A1642)-WEEKDAY(A1642,2)+1</f>
        <v/>
      </c>
      <c r="E1642" s="25" t="inlineStr">
        <is>
          <t>ssrinivasan</t>
        </is>
      </c>
      <c r="F1642" s="25" t="n">
        <v>42315</v>
      </c>
      <c r="G1642" s="25" t="n">
        <v>1</v>
      </c>
      <c r="H1642" s="25" t="n">
        <v>1</v>
      </c>
      <c r="I1642" s="25" t="inlineStr">
        <is>
          <t>8 second(s)</t>
        </is>
      </c>
      <c r="J1642" s="25">
        <f>IFERROR(VALUE(TRIM(LEFT(I1642,FIND("minute",I1642)-1)))*60,0)+IFERROR(VALUE(SUBSTITUTE(MID(I1642,IFERROR(FIND("and",I1642)+3,1),20),"second(s)","")),0)</f>
        <v/>
      </c>
      <c r="K1642" s="41">
        <f>J1642/60</f>
        <v/>
      </c>
      <c r="L1642" s="41">
        <f>IFERROR(J1642/H1642,"")</f>
        <v/>
      </c>
      <c r="M1642" s="25" t="inlineStr">
        <is>
          <t>2.5.12</t>
        </is>
      </c>
      <c r="N1642" s="25">
        <f>IF(J1642&gt;300,1,0)</f>
        <v/>
      </c>
      <c r="O1642" s="25">
        <f>IF(J1642&gt;600,1,0)</f>
        <v/>
      </c>
      <c r="P1642" s="25">
        <f>IF(H1642&gt;0,J1642,"")</f>
        <v/>
      </c>
      <c r="Q1642" s="25">
        <f>TEXT(A1642,"YYYY-MM-DD HH")</f>
        <v/>
      </c>
      <c r="R1642" s="25">
        <f>COUNTIF($Q$2:$Q$5295,Q1642)</f>
        <v/>
      </c>
      <c r="S1642" s="25">
        <f>IF(R1642&lt;=2,"1-2",IF(R1642&lt;=5,"3-5",IF(R1642&lt;=10,"6-10","11+")))</f>
        <v/>
      </c>
    </row>
    <row r="1643">
      <c r="A1643" s="39" t="n">
        <v>46169.27337962963</v>
      </c>
      <c r="B1643" s="25">
        <f>TEXT(A1643,"YYYY-MM")</f>
        <v/>
      </c>
      <c r="C1643" s="25">
        <f>TEXT(A1643,"MMM-YYYY")</f>
        <v/>
      </c>
      <c r="D1643" s="40">
        <f>INT(A1643)-WEEKDAY(A1643,2)+1</f>
        <v/>
      </c>
      <c r="E1643" s="25" t="inlineStr">
        <is>
          <t>npriya</t>
        </is>
      </c>
      <c r="F1643" s="25" t="n">
        <v>6028</v>
      </c>
      <c r="G1643" s="25" t="n">
        <v>1</v>
      </c>
      <c r="H1643" s="25" t="n">
        <v>7</v>
      </c>
      <c r="I1643" s="25" t="inlineStr">
        <is>
          <t>1 minute(s) and 28 second(s)</t>
        </is>
      </c>
      <c r="J1643" s="25">
        <f>IFERROR(VALUE(TRIM(LEFT(I1643,FIND("minute",I1643)-1)))*60,0)+IFERROR(VALUE(SUBSTITUTE(MID(I1643,IFERROR(FIND("and",I1643)+3,1),20),"second(s)","")),0)</f>
        <v/>
      </c>
      <c r="K1643" s="41">
        <f>J1643/60</f>
        <v/>
      </c>
      <c r="L1643" s="41">
        <f>IFERROR(J1643/H1643,"")</f>
        <v/>
      </c>
      <c r="M1643" s="25" t="inlineStr">
        <is>
          <t>2.5.12</t>
        </is>
      </c>
      <c r="N1643" s="25">
        <f>IF(J1643&gt;300,1,0)</f>
        <v/>
      </c>
      <c r="O1643" s="25">
        <f>IF(J1643&gt;600,1,0)</f>
        <v/>
      </c>
      <c r="P1643" s="25">
        <f>IF(H1643&gt;0,J1643,"")</f>
        <v/>
      </c>
      <c r="Q1643" s="25">
        <f>TEXT(A1643,"YYYY-MM-DD HH")</f>
        <v/>
      </c>
      <c r="R1643" s="25">
        <f>COUNTIF($Q$2:$Q$5295,Q1643)</f>
        <v/>
      </c>
      <c r="S1643" s="25">
        <f>IF(R1643&lt;=2,"1-2",IF(R1643&lt;=5,"3-5",IF(R1643&lt;=10,"6-10","11+")))</f>
        <v/>
      </c>
    </row>
    <row r="1644">
      <c r="A1644" s="39" t="n">
        <v>46169.27797453704</v>
      </c>
      <c r="B1644" s="25">
        <f>TEXT(A1644,"YYYY-MM")</f>
        <v/>
      </c>
      <c r="C1644" s="25">
        <f>TEXT(A1644,"MMM-YYYY")</f>
        <v/>
      </c>
      <c r="D1644" s="40">
        <f>INT(A1644)-WEEKDAY(A1644,2)+1</f>
        <v/>
      </c>
      <c r="E1644" s="25" t="inlineStr">
        <is>
          <t>dchoudhury</t>
        </is>
      </c>
      <c r="F1644" s="25" t="n">
        <v>5472</v>
      </c>
      <c r="G1644" s="25" t="n">
        <v>1</v>
      </c>
      <c r="H1644" s="25" t="n">
        <v>8</v>
      </c>
      <c r="I1644" s="25" t="inlineStr">
        <is>
          <t>2 minute(s) and 27 second(s)</t>
        </is>
      </c>
      <c r="J1644" s="25">
        <f>IFERROR(VALUE(TRIM(LEFT(I1644,FIND("minute",I1644)-1)))*60,0)+IFERROR(VALUE(SUBSTITUTE(MID(I1644,IFERROR(FIND("and",I1644)+3,1),20),"second(s)","")),0)</f>
        <v/>
      </c>
      <c r="K1644" s="41">
        <f>J1644/60</f>
        <v/>
      </c>
      <c r="L1644" s="41">
        <f>IFERROR(J1644/H1644,"")</f>
        <v/>
      </c>
      <c r="M1644" s="25" t="inlineStr">
        <is>
          <t>2.5.12</t>
        </is>
      </c>
      <c r="N1644" s="25">
        <f>IF(J1644&gt;300,1,0)</f>
        <v/>
      </c>
      <c r="O1644" s="25">
        <f>IF(J1644&gt;600,1,0)</f>
        <v/>
      </c>
      <c r="P1644" s="25">
        <f>IF(H1644&gt;0,J1644,"")</f>
        <v/>
      </c>
      <c r="Q1644" s="25">
        <f>TEXT(A1644,"YYYY-MM-DD HH")</f>
        <v/>
      </c>
      <c r="R1644" s="25">
        <f>COUNTIF($Q$2:$Q$5295,Q1644)</f>
        <v/>
      </c>
      <c r="S1644" s="25">
        <f>IF(R1644&lt;=2,"1-2",IF(R1644&lt;=5,"3-5",IF(R1644&lt;=10,"6-10","11+")))</f>
        <v/>
      </c>
    </row>
    <row r="1645">
      <c r="A1645" s="39" t="n">
        <v>46169.28063657408</v>
      </c>
      <c r="B1645" s="25">
        <f>TEXT(A1645,"YYYY-MM")</f>
        <v/>
      </c>
      <c r="C1645" s="25">
        <f>TEXT(A1645,"MMM-YYYY")</f>
        <v/>
      </c>
      <c r="D1645" s="40">
        <f>INT(A1645)-WEEKDAY(A1645,2)+1</f>
        <v/>
      </c>
      <c r="E1645" s="25" t="inlineStr">
        <is>
          <t>anusharma</t>
        </is>
      </c>
      <c r="F1645" s="25" t="n">
        <v>5312</v>
      </c>
      <c r="G1645" s="25" t="n">
        <v>5</v>
      </c>
      <c r="H1645" s="25" t="n">
        <v>17</v>
      </c>
      <c r="I1645" s="25" t="inlineStr">
        <is>
          <t>4 minute(s) and 38 second(s)</t>
        </is>
      </c>
      <c r="J1645" s="25">
        <f>IFERROR(VALUE(TRIM(LEFT(I1645,FIND("minute",I1645)-1)))*60,0)+IFERROR(VALUE(SUBSTITUTE(MID(I1645,IFERROR(FIND("and",I1645)+3,1),20),"second(s)","")),0)</f>
        <v/>
      </c>
      <c r="K1645" s="41">
        <f>J1645/60</f>
        <v/>
      </c>
      <c r="L1645" s="41">
        <f>IFERROR(J1645/H1645,"")</f>
        <v/>
      </c>
      <c r="M1645" s="25" t="inlineStr">
        <is>
          <t>2.5.12</t>
        </is>
      </c>
      <c r="N1645" s="25">
        <f>IF(J1645&gt;300,1,0)</f>
        <v/>
      </c>
      <c r="O1645" s="25">
        <f>IF(J1645&gt;600,1,0)</f>
        <v/>
      </c>
      <c r="P1645" s="25">
        <f>IF(H1645&gt;0,J1645,"")</f>
        <v/>
      </c>
      <c r="Q1645" s="25">
        <f>TEXT(A1645,"YYYY-MM-DD HH")</f>
        <v/>
      </c>
      <c r="R1645" s="25">
        <f>COUNTIF($Q$2:$Q$5295,Q1645)</f>
        <v/>
      </c>
      <c r="S1645" s="25">
        <f>IF(R1645&lt;=2,"1-2",IF(R1645&lt;=5,"3-5",IF(R1645&lt;=10,"6-10","11+")))</f>
        <v/>
      </c>
    </row>
    <row r="1646">
      <c r="A1646" s="39" t="n">
        <v>46169.28131944445</v>
      </c>
      <c r="B1646" s="25">
        <f>TEXT(A1646,"YYYY-MM")</f>
        <v/>
      </c>
      <c r="C1646" s="25">
        <f>TEXT(A1646,"MMM-YYYY")</f>
        <v/>
      </c>
      <c r="D1646" s="40">
        <f>INT(A1646)-WEEKDAY(A1646,2)+1</f>
        <v/>
      </c>
      <c r="E1646" s="25" t="inlineStr">
        <is>
          <t>arsarkar</t>
        </is>
      </c>
      <c r="F1646" s="25" t="n">
        <v>4990</v>
      </c>
      <c r="G1646" s="25" t="n">
        <v>2</v>
      </c>
      <c r="H1646" s="25" t="n">
        <v>10</v>
      </c>
      <c r="I1646" s="25" t="inlineStr">
        <is>
          <t>2 minute(s) and 8 second(s)</t>
        </is>
      </c>
      <c r="J1646" s="25">
        <f>IFERROR(VALUE(TRIM(LEFT(I1646,FIND("minute",I1646)-1)))*60,0)+IFERROR(VALUE(SUBSTITUTE(MID(I1646,IFERROR(FIND("and",I1646)+3,1),20),"second(s)","")),0)</f>
        <v/>
      </c>
      <c r="K1646" s="41">
        <f>J1646/60</f>
        <v/>
      </c>
      <c r="L1646" s="41">
        <f>IFERROR(J1646/H1646,"")</f>
        <v/>
      </c>
      <c r="M1646" s="25" t="inlineStr">
        <is>
          <t>2.5.12</t>
        </is>
      </c>
      <c r="N1646" s="25">
        <f>IF(J1646&gt;300,1,0)</f>
        <v/>
      </c>
      <c r="O1646" s="25">
        <f>IF(J1646&gt;600,1,0)</f>
        <v/>
      </c>
      <c r="P1646" s="25">
        <f>IF(H1646&gt;0,J1646,"")</f>
        <v/>
      </c>
      <c r="Q1646" s="25">
        <f>TEXT(A1646,"YYYY-MM-DD HH")</f>
        <v/>
      </c>
      <c r="R1646" s="25">
        <f>COUNTIF($Q$2:$Q$5295,Q1646)</f>
        <v/>
      </c>
      <c r="S1646" s="25">
        <f>IF(R1646&lt;=2,"1-2",IF(R1646&lt;=5,"3-5",IF(R1646&lt;=10,"6-10","11+")))</f>
        <v/>
      </c>
    </row>
    <row r="1647">
      <c r="A1647" s="39" t="n">
        <v>46169.28215277778</v>
      </c>
      <c r="B1647" s="25">
        <f>TEXT(A1647,"YYYY-MM")</f>
        <v/>
      </c>
      <c r="C1647" s="25">
        <f>TEXT(A1647,"MMM-YYYY")</f>
        <v/>
      </c>
      <c r="D1647" s="40">
        <f>INT(A1647)-WEEKDAY(A1647,2)+1</f>
        <v/>
      </c>
      <c r="E1647" s="25" t="inlineStr">
        <is>
          <t>atiwari</t>
        </is>
      </c>
      <c r="F1647" s="25" t="n">
        <v>68532</v>
      </c>
      <c r="G1647" s="25" t="n">
        <v>2</v>
      </c>
      <c r="H1647" s="25" t="n">
        <v>15</v>
      </c>
      <c r="I1647" s="25" t="inlineStr">
        <is>
          <t>3 minute(s) and 11 second(s)</t>
        </is>
      </c>
      <c r="J1647" s="25">
        <f>IFERROR(VALUE(TRIM(LEFT(I1647,FIND("minute",I1647)-1)))*60,0)+IFERROR(VALUE(SUBSTITUTE(MID(I1647,IFERROR(FIND("and",I1647)+3,1),20),"second(s)","")),0)</f>
        <v/>
      </c>
      <c r="K1647" s="41">
        <f>J1647/60</f>
        <v/>
      </c>
      <c r="L1647" s="41">
        <f>IFERROR(J1647/H1647,"")</f>
        <v/>
      </c>
      <c r="M1647" s="25" t="inlineStr">
        <is>
          <t>2.5.12</t>
        </is>
      </c>
      <c r="N1647" s="25">
        <f>IF(J1647&gt;300,1,0)</f>
        <v/>
      </c>
      <c r="O1647" s="25">
        <f>IF(J1647&gt;600,1,0)</f>
        <v/>
      </c>
      <c r="P1647" s="25">
        <f>IF(H1647&gt;0,J1647,"")</f>
        <v/>
      </c>
      <c r="Q1647" s="25">
        <f>TEXT(A1647,"YYYY-MM-DD HH")</f>
        <v/>
      </c>
      <c r="R1647" s="25">
        <f>COUNTIF($Q$2:$Q$5295,Q1647)</f>
        <v/>
      </c>
      <c r="S1647" s="25">
        <f>IF(R1647&lt;=2,"1-2",IF(R1647&lt;=5,"3-5",IF(R1647&lt;=10,"6-10","11+")))</f>
        <v/>
      </c>
    </row>
    <row r="1648">
      <c r="A1648" s="39" t="n">
        <v>46169.28270833333</v>
      </c>
      <c r="B1648" s="25">
        <f>TEXT(A1648,"YYYY-MM")</f>
        <v/>
      </c>
      <c r="C1648" s="25">
        <f>TEXT(A1648,"MMM-YYYY")</f>
        <v/>
      </c>
      <c r="D1648" s="40">
        <f>INT(A1648)-WEEKDAY(A1648,2)+1</f>
        <v/>
      </c>
      <c r="E1648" s="25" t="inlineStr">
        <is>
          <t>sswati</t>
        </is>
      </c>
      <c r="F1648" s="25" t="n">
        <v>6015</v>
      </c>
      <c r="G1648" s="25" t="n">
        <v>1</v>
      </c>
      <c r="H1648" s="25" t="n">
        <v>7</v>
      </c>
      <c r="I1648" s="25" t="inlineStr">
        <is>
          <t>2 minute(s) and 5 second(s)</t>
        </is>
      </c>
      <c r="J1648" s="25">
        <f>IFERROR(VALUE(TRIM(LEFT(I1648,FIND("minute",I1648)-1)))*60,0)+IFERROR(VALUE(SUBSTITUTE(MID(I1648,IFERROR(FIND("and",I1648)+3,1),20),"second(s)","")),0)</f>
        <v/>
      </c>
      <c r="K1648" s="41">
        <f>J1648/60</f>
        <v/>
      </c>
      <c r="L1648" s="41">
        <f>IFERROR(J1648/H1648,"")</f>
        <v/>
      </c>
      <c r="M1648" s="25" t="inlineStr">
        <is>
          <t>2.5.12</t>
        </is>
      </c>
      <c r="N1648" s="25">
        <f>IF(J1648&gt;300,1,0)</f>
        <v/>
      </c>
      <c r="O1648" s="25">
        <f>IF(J1648&gt;600,1,0)</f>
        <v/>
      </c>
      <c r="P1648" s="25">
        <f>IF(H1648&gt;0,J1648,"")</f>
        <v/>
      </c>
      <c r="Q1648" s="25">
        <f>TEXT(A1648,"YYYY-MM-DD HH")</f>
        <v/>
      </c>
      <c r="R1648" s="25">
        <f>COUNTIF($Q$2:$Q$5295,Q1648)</f>
        <v/>
      </c>
      <c r="S1648" s="25">
        <f>IF(R1648&lt;=2,"1-2",IF(R1648&lt;=5,"3-5",IF(R1648&lt;=10,"6-10","11+")))</f>
        <v/>
      </c>
    </row>
    <row r="1649">
      <c r="A1649" s="39" t="n">
        <v>46169.28702546296</v>
      </c>
      <c r="B1649" s="25">
        <f>TEXT(A1649,"YYYY-MM")</f>
        <v/>
      </c>
      <c r="C1649" s="25">
        <f>TEXT(A1649,"MMM-YYYY")</f>
        <v/>
      </c>
      <c r="D1649" s="40">
        <f>INT(A1649)-WEEKDAY(A1649,2)+1</f>
        <v/>
      </c>
      <c r="E1649" s="25" t="inlineStr">
        <is>
          <t>sdey</t>
        </is>
      </c>
      <c r="F1649" s="25" t="n">
        <v>5420</v>
      </c>
      <c r="G1649" s="25" t="n">
        <v>1</v>
      </c>
      <c r="H1649" s="25" t="n">
        <v>5</v>
      </c>
      <c r="I1649" s="25" t="inlineStr">
        <is>
          <t>1 minute(s) and 2 second(s)</t>
        </is>
      </c>
      <c r="J1649" s="25">
        <f>IFERROR(VALUE(TRIM(LEFT(I1649,FIND("minute",I1649)-1)))*60,0)+IFERROR(VALUE(SUBSTITUTE(MID(I1649,IFERROR(FIND("and",I1649)+3,1),20),"second(s)","")),0)</f>
        <v/>
      </c>
      <c r="K1649" s="41">
        <f>J1649/60</f>
        <v/>
      </c>
      <c r="L1649" s="41">
        <f>IFERROR(J1649/H1649,"")</f>
        <v/>
      </c>
      <c r="M1649" s="25" t="inlineStr">
        <is>
          <t>2.5.12</t>
        </is>
      </c>
      <c r="N1649" s="25">
        <f>IF(J1649&gt;300,1,0)</f>
        <v/>
      </c>
      <c r="O1649" s="25">
        <f>IF(J1649&gt;600,1,0)</f>
        <v/>
      </c>
      <c r="P1649" s="25">
        <f>IF(H1649&gt;0,J1649,"")</f>
        <v/>
      </c>
      <c r="Q1649" s="25">
        <f>TEXT(A1649,"YYYY-MM-DD HH")</f>
        <v/>
      </c>
      <c r="R1649" s="25">
        <f>COUNTIF($Q$2:$Q$5295,Q1649)</f>
        <v/>
      </c>
      <c r="S1649" s="25">
        <f>IF(R1649&lt;=2,"1-2",IF(R1649&lt;=5,"3-5",IF(R1649&lt;=10,"6-10","11+")))</f>
        <v/>
      </c>
    </row>
    <row r="1650">
      <c r="A1650" s="39" t="n">
        <v>46169.30388888889</v>
      </c>
      <c r="B1650" s="25">
        <f>TEXT(A1650,"YYYY-MM")</f>
        <v/>
      </c>
      <c r="C1650" s="25">
        <f>TEXT(A1650,"MMM-YYYY")</f>
        <v/>
      </c>
      <c r="D1650" s="40">
        <f>INT(A1650)-WEEKDAY(A1650,2)+1</f>
        <v/>
      </c>
      <c r="E1650" s="25" t="inlineStr">
        <is>
          <t>sswati</t>
        </is>
      </c>
      <c r="F1650" s="25" t="n">
        <v>6017</v>
      </c>
      <c r="G1650" s="25" t="n">
        <v>1</v>
      </c>
      <c r="H1650" s="25" t="n">
        <v>7</v>
      </c>
      <c r="I1650" s="25" t="inlineStr">
        <is>
          <t>1 minute(s) and 54 second(s)</t>
        </is>
      </c>
      <c r="J1650" s="25">
        <f>IFERROR(VALUE(TRIM(LEFT(I1650,FIND("minute",I1650)-1)))*60,0)+IFERROR(VALUE(SUBSTITUTE(MID(I1650,IFERROR(FIND("and",I1650)+3,1),20),"second(s)","")),0)</f>
        <v/>
      </c>
      <c r="K1650" s="41">
        <f>J1650/60</f>
        <v/>
      </c>
      <c r="L1650" s="41">
        <f>IFERROR(J1650/H1650,"")</f>
        <v/>
      </c>
      <c r="M1650" s="25" t="inlineStr">
        <is>
          <t>2.5.12</t>
        </is>
      </c>
      <c r="N1650" s="25">
        <f>IF(J1650&gt;300,1,0)</f>
        <v/>
      </c>
      <c r="O1650" s="25">
        <f>IF(J1650&gt;600,1,0)</f>
        <v/>
      </c>
      <c r="P1650" s="25">
        <f>IF(H1650&gt;0,J1650,"")</f>
        <v/>
      </c>
      <c r="Q1650" s="25">
        <f>TEXT(A1650,"YYYY-MM-DD HH")</f>
        <v/>
      </c>
      <c r="R1650" s="25">
        <f>COUNTIF($Q$2:$Q$5295,Q1650)</f>
        <v/>
      </c>
      <c r="S1650" s="25">
        <f>IF(R1650&lt;=2,"1-2",IF(R1650&lt;=5,"3-5",IF(R1650&lt;=10,"6-10","11+")))</f>
        <v/>
      </c>
    </row>
    <row r="1651">
      <c r="A1651" s="39" t="n">
        <v>46169.30827546296</v>
      </c>
      <c r="B1651" s="25">
        <f>TEXT(A1651,"YYYY-MM")</f>
        <v/>
      </c>
      <c r="C1651" s="25">
        <f>TEXT(A1651,"MMM-YYYY")</f>
        <v/>
      </c>
      <c r="D1651" s="40">
        <f>INT(A1651)-WEEKDAY(A1651,2)+1</f>
        <v/>
      </c>
      <c r="E1651" s="25" t="inlineStr">
        <is>
          <t>stiwari</t>
        </is>
      </c>
      <c r="F1651" s="25" t="n">
        <v>5079</v>
      </c>
      <c r="G1651" s="25" t="n">
        <v>1</v>
      </c>
      <c r="H1651" s="25" t="n">
        <v>7</v>
      </c>
      <c r="I1651" s="25" t="inlineStr">
        <is>
          <t>1 minute(s) and 46 second(s)</t>
        </is>
      </c>
      <c r="J1651" s="25">
        <f>IFERROR(VALUE(TRIM(LEFT(I1651,FIND("minute",I1651)-1)))*60,0)+IFERROR(VALUE(SUBSTITUTE(MID(I1651,IFERROR(FIND("and",I1651)+3,1),20),"second(s)","")),0)</f>
        <v/>
      </c>
      <c r="K1651" s="41">
        <f>J1651/60</f>
        <v/>
      </c>
      <c r="L1651" s="41">
        <f>IFERROR(J1651/H1651,"")</f>
        <v/>
      </c>
      <c r="M1651" s="25" t="inlineStr">
        <is>
          <t>2.5.12</t>
        </is>
      </c>
      <c r="N1651" s="25">
        <f>IF(J1651&gt;300,1,0)</f>
        <v/>
      </c>
      <c r="O1651" s="25">
        <f>IF(J1651&gt;600,1,0)</f>
        <v/>
      </c>
      <c r="P1651" s="25">
        <f>IF(H1651&gt;0,J1651,"")</f>
        <v/>
      </c>
      <c r="Q1651" s="25">
        <f>TEXT(A1651,"YYYY-MM-DD HH")</f>
        <v/>
      </c>
      <c r="R1651" s="25">
        <f>COUNTIF($Q$2:$Q$5295,Q1651)</f>
        <v/>
      </c>
      <c r="S1651" s="25">
        <f>IF(R1651&lt;=2,"1-2",IF(R1651&lt;=5,"3-5",IF(R1651&lt;=10,"6-10","11+")))</f>
        <v/>
      </c>
    </row>
    <row r="1652">
      <c r="A1652" s="39" t="n">
        <v>46169.31938657408</v>
      </c>
      <c r="B1652" s="25">
        <f>TEXT(A1652,"YYYY-MM")</f>
        <v/>
      </c>
      <c r="C1652" s="25">
        <f>TEXT(A1652,"MMM-YYYY")</f>
        <v/>
      </c>
      <c r="D1652" s="40">
        <f>INT(A1652)-WEEKDAY(A1652,2)+1</f>
        <v/>
      </c>
      <c r="E1652" s="25" t="inlineStr">
        <is>
          <t>stiwari</t>
        </is>
      </c>
      <c r="F1652" s="25" t="n">
        <v>5082</v>
      </c>
      <c r="G1652" s="25" t="n">
        <v>1</v>
      </c>
      <c r="H1652" s="25" t="n">
        <v>8</v>
      </c>
      <c r="I1652" s="25" t="inlineStr">
        <is>
          <t>1 minute(s) and 50 second(s)</t>
        </is>
      </c>
      <c r="J1652" s="25">
        <f>IFERROR(VALUE(TRIM(LEFT(I1652,FIND("minute",I1652)-1)))*60,0)+IFERROR(VALUE(SUBSTITUTE(MID(I1652,IFERROR(FIND("and",I1652)+3,1),20),"second(s)","")),0)</f>
        <v/>
      </c>
      <c r="K1652" s="41">
        <f>J1652/60</f>
        <v/>
      </c>
      <c r="L1652" s="41">
        <f>IFERROR(J1652/H1652,"")</f>
        <v/>
      </c>
      <c r="M1652" s="25" t="inlineStr">
        <is>
          <t>2.5.12</t>
        </is>
      </c>
      <c r="N1652" s="25">
        <f>IF(J1652&gt;300,1,0)</f>
        <v/>
      </c>
      <c r="O1652" s="25">
        <f>IF(J1652&gt;600,1,0)</f>
        <v/>
      </c>
      <c r="P1652" s="25">
        <f>IF(H1652&gt;0,J1652,"")</f>
        <v/>
      </c>
      <c r="Q1652" s="25">
        <f>TEXT(A1652,"YYYY-MM-DD HH")</f>
        <v/>
      </c>
      <c r="R1652" s="25">
        <f>COUNTIF($Q$2:$Q$5295,Q1652)</f>
        <v/>
      </c>
      <c r="S1652" s="25">
        <f>IF(R1652&lt;=2,"1-2",IF(R1652&lt;=5,"3-5",IF(R1652&lt;=10,"6-10","11+")))</f>
        <v/>
      </c>
    </row>
    <row r="1653">
      <c r="A1653" s="39" t="n">
        <v>46169.32266203704</v>
      </c>
      <c r="B1653" s="25">
        <f>TEXT(A1653,"YYYY-MM")</f>
        <v/>
      </c>
      <c r="C1653" s="25">
        <f>TEXT(A1653,"MMM-YYYY")</f>
        <v/>
      </c>
      <c r="D1653" s="40">
        <f>INT(A1653)-WEEKDAY(A1653,2)+1</f>
        <v/>
      </c>
      <c r="E1653" s="25" t="inlineStr">
        <is>
          <t>anusharma</t>
        </is>
      </c>
      <c r="F1653" s="25" t="n">
        <v>5313</v>
      </c>
      <c r="G1653" s="25" t="n">
        <v>3</v>
      </c>
      <c r="H1653" s="25" t="n">
        <v>11</v>
      </c>
      <c r="I1653" s="25" t="inlineStr">
        <is>
          <t>2 minute(s) and 28 second(s)</t>
        </is>
      </c>
      <c r="J1653" s="25">
        <f>IFERROR(VALUE(TRIM(LEFT(I1653,FIND("minute",I1653)-1)))*60,0)+IFERROR(VALUE(SUBSTITUTE(MID(I1653,IFERROR(FIND("and",I1653)+3,1),20),"second(s)","")),0)</f>
        <v/>
      </c>
      <c r="K1653" s="41">
        <f>J1653/60</f>
        <v/>
      </c>
      <c r="L1653" s="41">
        <f>IFERROR(J1653/H1653,"")</f>
        <v/>
      </c>
      <c r="M1653" s="25" t="inlineStr">
        <is>
          <t>2.5.12</t>
        </is>
      </c>
      <c r="N1653" s="25">
        <f>IF(J1653&gt;300,1,0)</f>
        <v/>
      </c>
      <c r="O1653" s="25">
        <f>IF(J1653&gt;600,1,0)</f>
        <v/>
      </c>
      <c r="P1653" s="25">
        <f>IF(H1653&gt;0,J1653,"")</f>
        <v/>
      </c>
      <c r="Q1653" s="25">
        <f>TEXT(A1653,"YYYY-MM-DD HH")</f>
        <v/>
      </c>
      <c r="R1653" s="25">
        <f>COUNTIF($Q$2:$Q$5295,Q1653)</f>
        <v/>
      </c>
      <c r="S1653" s="25">
        <f>IF(R1653&lt;=2,"1-2",IF(R1653&lt;=5,"3-5",IF(R1653&lt;=10,"6-10","11+")))</f>
        <v/>
      </c>
    </row>
    <row r="1654">
      <c r="A1654" s="39" t="n">
        <v>46169.33311342593</v>
      </c>
      <c r="B1654" s="25">
        <f>TEXT(A1654,"YYYY-MM")</f>
        <v/>
      </c>
      <c r="C1654" s="25">
        <f>TEXT(A1654,"MMM-YYYY")</f>
        <v/>
      </c>
      <c r="D1654" s="40">
        <f>INT(A1654)-WEEKDAY(A1654,2)+1</f>
        <v/>
      </c>
      <c r="E1654" s="25" t="inlineStr">
        <is>
          <t>mbohra</t>
        </is>
      </c>
      <c r="F1654" s="25" t="n">
        <v>90021</v>
      </c>
      <c r="G1654" s="25" t="n">
        <v>2</v>
      </c>
      <c r="H1654" s="25" t="n">
        <v>8</v>
      </c>
      <c r="I1654" s="25" t="inlineStr">
        <is>
          <t>2 minute(s) and 57 second(s)</t>
        </is>
      </c>
      <c r="J1654" s="25">
        <f>IFERROR(VALUE(TRIM(LEFT(I1654,FIND("minute",I1654)-1)))*60,0)+IFERROR(VALUE(SUBSTITUTE(MID(I1654,IFERROR(FIND("and",I1654)+3,1),20),"second(s)","")),0)</f>
        <v/>
      </c>
      <c r="K1654" s="41">
        <f>J1654/60</f>
        <v/>
      </c>
      <c r="L1654" s="41">
        <f>IFERROR(J1654/H1654,"")</f>
        <v/>
      </c>
      <c r="M1654" s="25" t="inlineStr">
        <is>
          <t>2.5.12</t>
        </is>
      </c>
      <c r="N1654" s="25">
        <f>IF(J1654&gt;300,1,0)</f>
        <v/>
      </c>
      <c r="O1654" s="25">
        <f>IF(J1654&gt;600,1,0)</f>
        <v/>
      </c>
      <c r="P1654" s="25">
        <f>IF(H1654&gt;0,J1654,"")</f>
        <v/>
      </c>
      <c r="Q1654" s="25">
        <f>TEXT(A1654,"YYYY-MM-DD HH")</f>
        <v/>
      </c>
      <c r="R1654" s="25">
        <f>COUNTIF($Q$2:$Q$5295,Q1654)</f>
        <v/>
      </c>
      <c r="S1654" s="25">
        <f>IF(R1654&lt;=2,"1-2",IF(R1654&lt;=5,"3-5",IF(R1654&lt;=10,"6-10","11+")))</f>
        <v/>
      </c>
    </row>
    <row r="1655">
      <c r="A1655" s="39" t="n">
        <v>46169.33614583333</v>
      </c>
      <c r="B1655" s="25">
        <f>TEXT(A1655,"YYYY-MM")</f>
        <v/>
      </c>
      <c r="C1655" s="25">
        <f>TEXT(A1655,"MMM-YYYY")</f>
        <v/>
      </c>
      <c r="D1655" s="40">
        <f>INT(A1655)-WEEKDAY(A1655,2)+1</f>
        <v/>
      </c>
      <c r="E1655" s="25" t="inlineStr">
        <is>
          <t>ssarkar</t>
        </is>
      </c>
      <c r="F1655" s="25" t="n">
        <v>5971</v>
      </c>
      <c r="G1655" s="25" t="n">
        <v>1</v>
      </c>
      <c r="H1655" s="25" t="n">
        <v>7</v>
      </c>
      <c r="I1655" s="25" t="inlineStr">
        <is>
          <t>1 minute(s) and 41 second(s)</t>
        </is>
      </c>
      <c r="J1655" s="25">
        <f>IFERROR(VALUE(TRIM(LEFT(I1655,FIND("minute",I1655)-1)))*60,0)+IFERROR(VALUE(SUBSTITUTE(MID(I1655,IFERROR(FIND("and",I1655)+3,1),20),"second(s)","")),0)</f>
        <v/>
      </c>
      <c r="K1655" s="41">
        <f>J1655/60</f>
        <v/>
      </c>
      <c r="L1655" s="41">
        <f>IFERROR(J1655/H1655,"")</f>
        <v/>
      </c>
      <c r="M1655" s="25" t="inlineStr">
        <is>
          <t>2.5.12</t>
        </is>
      </c>
      <c r="N1655" s="25">
        <f>IF(J1655&gt;300,1,0)</f>
        <v/>
      </c>
      <c r="O1655" s="25">
        <f>IF(J1655&gt;600,1,0)</f>
        <v/>
      </c>
      <c r="P1655" s="25">
        <f>IF(H1655&gt;0,J1655,"")</f>
        <v/>
      </c>
      <c r="Q1655" s="25">
        <f>TEXT(A1655,"YYYY-MM-DD HH")</f>
        <v/>
      </c>
      <c r="R1655" s="25">
        <f>COUNTIF($Q$2:$Q$5295,Q1655)</f>
        <v/>
      </c>
      <c r="S1655" s="25">
        <f>IF(R1655&lt;=2,"1-2",IF(R1655&lt;=5,"3-5",IF(R1655&lt;=10,"6-10","11+")))</f>
        <v/>
      </c>
    </row>
    <row r="1656">
      <c r="A1656" s="39" t="n">
        <v>46169.3403125</v>
      </c>
      <c r="B1656" s="25">
        <f>TEXT(A1656,"YYYY-MM")</f>
        <v/>
      </c>
      <c r="C1656" s="25">
        <f>TEXT(A1656,"MMM-YYYY")</f>
        <v/>
      </c>
      <c r="D1656" s="40">
        <f>INT(A1656)-WEEKDAY(A1656,2)+1</f>
        <v/>
      </c>
      <c r="E1656" s="25" t="inlineStr">
        <is>
          <t>emishra</t>
        </is>
      </c>
      <c r="F1656" s="25" t="n">
        <v>7448</v>
      </c>
      <c r="G1656" s="25" t="n">
        <v>1</v>
      </c>
      <c r="H1656" s="25" t="n">
        <v>5</v>
      </c>
      <c r="I1656" s="25" t="inlineStr">
        <is>
          <t>2 minute(s) and 15 second(s)</t>
        </is>
      </c>
      <c r="J1656" s="25">
        <f>IFERROR(VALUE(TRIM(LEFT(I1656,FIND("minute",I1656)-1)))*60,0)+IFERROR(VALUE(SUBSTITUTE(MID(I1656,IFERROR(FIND("and",I1656)+3,1),20),"second(s)","")),0)</f>
        <v/>
      </c>
      <c r="K1656" s="41">
        <f>J1656/60</f>
        <v/>
      </c>
      <c r="L1656" s="41">
        <f>IFERROR(J1656/H1656,"")</f>
        <v/>
      </c>
      <c r="M1656" s="25" t="inlineStr">
        <is>
          <t>2.5.12</t>
        </is>
      </c>
      <c r="N1656" s="25">
        <f>IF(J1656&gt;300,1,0)</f>
        <v/>
      </c>
      <c r="O1656" s="25">
        <f>IF(J1656&gt;600,1,0)</f>
        <v/>
      </c>
      <c r="P1656" s="25">
        <f>IF(H1656&gt;0,J1656,"")</f>
        <v/>
      </c>
      <c r="Q1656" s="25">
        <f>TEXT(A1656,"YYYY-MM-DD HH")</f>
        <v/>
      </c>
      <c r="R1656" s="25">
        <f>COUNTIF($Q$2:$Q$5295,Q1656)</f>
        <v/>
      </c>
      <c r="S1656" s="25">
        <f>IF(R1656&lt;=2,"1-2",IF(R1656&lt;=5,"3-5",IF(R1656&lt;=10,"6-10","11+")))</f>
        <v/>
      </c>
    </row>
    <row r="1657">
      <c r="A1657" s="39" t="n">
        <v>46169.3409837963</v>
      </c>
      <c r="B1657" s="25">
        <f>TEXT(A1657,"YYYY-MM")</f>
        <v/>
      </c>
      <c r="C1657" s="25">
        <f>TEXT(A1657,"MMM-YYYY")</f>
        <v/>
      </c>
      <c r="D1657" s="40">
        <f>INT(A1657)-WEEKDAY(A1657,2)+1</f>
        <v/>
      </c>
      <c r="E1657" s="25" t="inlineStr">
        <is>
          <t>atiwari</t>
        </is>
      </c>
      <c r="F1657" s="25" t="n">
        <v>73716</v>
      </c>
      <c r="G1657" s="25" t="n">
        <v>3</v>
      </c>
      <c r="H1657" s="25" t="n">
        <v>17</v>
      </c>
      <c r="I1657" s="25" t="inlineStr">
        <is>
          <t>4 minute(s) and 7 second(s)</t>
        </is>
      </c>
      <c r="J1657" s="25">
        <f>IFERROR(VALUE(TRIM(LEFT(I1657,FIND("minute",I1657)-1)))*60,0)+IFERROR(VALUE(SUBSTITUTE(MID(I1657,IFERROR(FIND("and",I1657)+3,1),20),"second(s)","")),0)</f>
        <v/>
      </c>
      <c r="K1657" s="41">
        <f>J1657/60</f>
        <v/>
      </c>
      <c r="L1657" s="41">
        <f>IFERROR(J1657/H1657,"")</f>
        <v/>
      </c>
      <c r="M1657" s="25" t="inlineStr">
        <is>
          <t>2.5.12</t>
        </is>
      </c>
      <c r="N1657" s="25">
        <f>IF(J1657&gt;300,1,0)</f>
        <v/>
      </c>
      <c r="O1657" s="25">
        <f>IF(J1657&gt;600,1,0)</f>
        <v/>
      </c>
      <c r="P1657" s="25">
        <f>IF(H1657&gt;0,J1657,"")</f>
        <v/>
      </c>
      <c r="Q1657" s="25">
        <f>TEXT(A1657,"YYYY-MM-DD HH")</f>
        <v/>
      </c>
      <c r="R1657" s="25">
        <f>COUNTIF($Q$2:$Q$5295,Q1657)</f>
        <v/>
      </c>
      <c r="S1657" s="25">
        <f>IF(R1657&lt;=2,"1-2",IF(R1657&lt;=5,"3-5",IF(R1657&lt;=10,"6-10","11+")))</f>
        <v/>
      </c>
    </row>
    <row r="1658">
      <c r="A1658" s="39" t="n">
        <v>46169.34393518518</v>
      </c>
      <c r="B1658" s="25">
        <f>TEXT(A1658,"YYYY-MM")</f>
        <v/>
      </c>
      <c r="C1658" s="25">
        <f>TEXT(A1658,"MMM-YYYY")</f>
        <v/>
      </c>
      <c r="D1658" s="40">
        <f>INT(A1658)-WEEKDAY(A1658,2)+1</f>
        <v/>
      </c>
      <c r="E1658" s="25" t="inlineStr">
        <is>
          <t>stiwari</t>
        </is>
      </c>
      <c r="F1658" s="25" t="n">
        <v>26501</v>
      </c>
      <c r="G1658" s="25" t="n">
        <v>7</v>
      </c>
      <c r="H1658" s="25" t="n">
        <v>35</v>
      </c>
      <c r="I1658" s="25" t="inlineStr">
        <is>
          <t>7 minute(s) and 18 second(s)</t>
        </is>
      </c>
      <c r="J1658" s="25">
        <f>IFERROR(VALUE(TRIM(LEFT(I1658,FIND("minute",I1658)-1)))*60,0)+IFERROR(VALUE(SUBSTITUTE(MID(I1658,IFERROR(FIND("and",I1658)+3,1),20),"second(s)","")),0)</f>
        <v/>
      </c>
      <c r="K1658" s="41">
        <f>J1658/60</f>
        <v/>
      </c>
      <c r="L1658" s="41">
        <f>IFERROR(J1658/H1658,"")</f>
        <v/>
      </c>
      <c r="M1658" s="25" t="inlineStr">
        <is>
          <t>2.5.12</t>
        </is>
      </c>
      <c r="N1658" s="25">
        <f>IF(J1658&gt;300,1,0)</f>
        <v/>
      </c>
      <c r="O1658" s="25">
        <f>IF(J1658&gt;600,1,0)</f>
        <v/>
      </c>
      <c r="P1658" s="25">
        <f>IF(H1658&gt;0,J1658,"")</f>
        <v/>
      </c>
      <c r="Q1658" s="25">
        <f>TEXT(A1658,"YYYY-MM-DD HH")</f>
        <v/>
      </c>
      <c r="R1658" s="25">
        <f>COUNTIF($Q$2:$Q$5295,Q1658)</f>
        <v/>
      </c>
      <c r="S1658" s="25">
        <f>IF(R1658&lt;=2,"1-2",IF(R1658&lt;=5,"3-5",IF(R1658&lt;=10,"6-10","11+")))</f>
        <v/>
      </c>
    </row>
    <row r="1659">
      <c r="A1659" s="39" t="n">
        <v>46169.34876157407</v>
      </c>
      <c r="B1659" s="25">
        <f>TEXT(A1659,"YYYY-MM")</f>
        <v/>
      </c>
      <c r="C1659" s="25">
        <f>TEXT(A1659,"MMM-YYYY")</f>
        <v/>
      </c>
      <c r="D1659" s="40">
        <f>INT(A1659)-WEEKDAY(A1659,2)+1</f>
        <v/>
      </c>
      <c r="E1659" s="25" t="inlineStr">
        <is>
          <t>sdey</t>
        </is>
      </c>
      <c r="F1659" s="25" t="n">
        <v>5409</v>
      </c>
      <c r="G1659" s="25" t="n">
        <v>1</v>
      </c>
      <c r="H1659" s="25" t="n">
        <v>5</v>
      </c>
      <c r="I1659" s="25" t="inlineStr">
        <is>
          <t>1 minute(s) and 27 second(s)</t>
        </is>
      </c>
      <c r="J1659" s="25">
        <f>IFERROR(VALUE(TRIM(LEFT(I1659,FIND("minute",I1659)-1)))*60,0)+IFERROR(VALUE(SUBSTITUTE(MID(I1659,IFERROR(FIND("and",I1659)+3,1),20),"second(s)","")),0)</f>
        <v/>
      </c>
      <c r="K1659" s="41">
        <f>J1659/60</f>
        <v/>
      </c>
      <c r="L1659" s="41">
        <f>IFERROR(J1659/H1659,"")</f>
        <v/>
      </c>
      <c r="M1659" s="25" t="inlineStr">
        <is>
          <t>2.5.12</t>
        </is>
      </c>
      <c r="N1659" s="25">
        <f>IF(J1659&gt;300,1,0)</f>
        <v/>
      </c>
      <c r="O1659" s="25">
        <f>IF(J1659&gt;600,1,0)</f>
        <v/>
      </c>
      <c r="P1659" s="25">
        <f>IF(H1659&gt;0,J1659,"")</f>
        <v/>
      </c>
      <c r="Q1659" s="25">
        <f>TEXT(A1659,"YYYY-MM-DD HH")</f>
        <v/>
      </c>
      <c r="R1659" s="25">
        <f>COUNTIF($Q$2:$Q$5295,Q1659)</f>
        <v/>
      </c>
      <c r="S1659" s="25">
        <f>IF(R1659&lt;=2,"1-2",IF(R1659&lt;=5,"3-5",IF(R1659&lt;=10,"6-10","11+")))</f>
        <v/>
      </c>
    </row>
    <row r="1660">
      <c r="A1660" s="39" t="n">
        <v>46169.35361111111</v>
      </c>
      <c r="B1660" s="25">
        <f>TEXT(A1660,"YYYY-MM")</f>
        <v/>
      </c>
      <c r="C1660" s="25">
        <f>TEXT(A1660,"MMM-YYYY")</f>
        <v/>
      </c>
      <c r="D1660" s="40">
        <f>INT(A1660)-WEEKDAY(A1660,2)+1</f>
        <v/>
      </c>
      <c r="E1660" s="25" t="inlineStr">
        <is>
          <t>rts</t>
        </is>
      </c>
      <c r="F1660" s="25" t="n">
        <v>119700</v>
      </c>
      <c r="G1660" s="25" t="n">
        <v>4</v>
      </c>
      <c r="H1660" s="25" t="n">
        <v>8</v>
      </c>
      <c r="I1660" s="25" t="inlineStr">
        <is>
          <t>2 minute(s) and 8 second(s)</t>
        </is>
      </c>
      <c r="J1660" s="25">
        <f>IFERROR(VALUE(TRIM(LEFT(I1660,FIND("minute",I1660)-1)))*60,0)+IFERROR(VALUE(SUBSTITUTE(MID(I1660,IFERROR(FIND("and",I1660)+3,1),20),"second(s)","")),0)</f>
        <v/>
      </c>
      <c r="K1660" s="41">
        <f>J1660/60</f>
        <v/>
      </c>
      <c r="L1660" s="41">
        <f>IFERROR(J1660/H1660,"")</f>
        <v/>
      </c>
      <c r="M1660" s="25" t="inlineStr">
        <is>
          <t>2.5.12</t>
        </is>
      </c>
      <c r="N1660" s="25">
        <f>IF(J1660&gt;300,1,0)</f>
        <v/>
      </c>
      <c r="O1660" s="25">
        <f>IF(J1660&gt;600,1,0)</f>
        <v/>
      </c>
      <c r="P1660" s="25">
        <f>IF(H1660&gt;0,J1660,"")</f>
        <v/>
      </c>
      <c r="Q1660" s="25">
        <f>TEXT(A1660,"YYYY-MM-DD HH")</f>
        <v/>
      </c>
      <c r="R1660" s="25">
        <f>COUNTIF($Q$2:$Q$5295,Q1660)</f>
        <v/>
      </c>
      <c r="S1660" s="25">
        <f>IF(R1660&lt;=2,"1-2",IF(R1660&lt;=5,"3-5",IF(R1660&lt;=10,"6-10","11+")))</f>
        <v/>
      </c>
    </row>
    <row r="1661">
      <c r="A1661" s="39" t="n">
        <v>46169.35609953704</v>
      </c>
      <c r="B1661" s="25">
        <f>TEXT(A1661,"YYYY-MM")</f>
        <v/>
      </c>
      <c r="C1661" s="25">
        <f>TEXT(A1661,"MMM-YYYY")</f>
        <v/>
      </c>
      <c r="D1661" s="40">
        <f>INT(A1661)-WEEKDAY(A1661,2)+1</f>
        <v/>
      </c>
      <c r="E1661" s="25" t="inlineStr">
        <is>
          <t>ssaha</t>
        </is>
      </c>
      <c r="F1661" s="25" t="n">
        <v>4137</v>
      </c>
      <c r="G1661" s="25" t="n">
        <v>1</v>
      </c>
      <c r="H1661" s="25" t="n">
        <v>5</v>
      </c>
      <c r="I1661" s="25" t="inlineStr">
        <is>
          <t>1 minute(s) and 2 second(s)</t>
        </is>
      </c>
      <c r="J1661" s="25">
        <f>IFERROR(VALUE(TRIM(LEFT(I1661,FIND("minute",I1661)-1)))*60,0)+IFERROR(VALUE(SUBSTITUTE(MID(I1661,IFERROR(FIND("and",I1661)+3,1),20),"second(s)","")),0)</f>
        <v/>
      </c>
      <c r="K1661" s="41">
        <f>J1661/60</f>
        <v/>
      </c>
      <c r="L1661" s="41">
        <f>IFERROR(J1661/H1661,"")</f>
        <v/>
      </c>
      <c r="M1661" s="25" t="inlineStr">
        <is>
          <t>2.5.12</t>
        </is>
      </c>
      <c r="N1661" s="25">
        <f>IF(J1661&gt;300,1,0)</f>
        <v/>
      </c>
      <c r="O1661" s="25">
        <f>IF(J1661&gt;600,1,0)</f>
        <v/>
      </c>
      <c r="P1661" s="25">
        <f>IF(H1661&gt;0,J1661,"")</f>
        <v/>
      </c>
      <c r="Q1661" s="25">
        <f>TEXT(A1661,"YYYY-MM-DD HH")</f>
        <v/>
      </c>
      <c r="R1661" s="25">
        <f>COUNTIF($Q$2:$Q$5295,Q1661)</f>
        <v/>
      </c>
      <c r="S1661" s="25">
        <f>IF(R1661&lt;=2,"1-2",IF(R1661&lt;=5,"3-5",IF(R1661&lt;=10,"6-10","11+")))</f>
        <v/>
      </c>
    </row>
    <row r="1662">
      <c r="A1662" s="39" t="n">
        <v>46169.35807870371</v>
      </c>
      <c r="B1662" s="25">
        <f>TEXT(A1662,"YYYY-MM")</f>
        <v/>
      </c>
      <c r="C1662" s="25">
        <f>TEXT(A1662,"MMM-YYYY")</f>
        <v/>
      </c>
      <c r="D1662" s="40">
        <f>INT(A1662)-WEEKDAY(A1662,2)+1</f>
        <v/>
      </c>
      <c r="E1662" s="25" t="inlineStr">
        <is>
          <t>pmishra</t>
        </is>
      </c>
      <c r="F1662" s="25" t="n">
        <v>5587</v>
      </c>
      <c r="G1662" s="25" t="n">
        <v>1</v>
      </c>
      <c r="H1662" s="25" t="n">
        <v>5</v>
      </c>
      <c r="I1662" s="25" t="inlineStr">
        <is>
          <t>2 minute(s) and 21 second(s)</t>
        </is>
      </c>
      <c r="J1662" s="25">
        <f>IFERROR(VALUE(TRIM(LEFT(I1662,FIND("minute",I1662)-1)))*60,0)+IFERROR(VALUE(SUBSTITUTE(MID(I1662,IFERROR(FIND("and",I1662)+3,1),20),"second(s)","")),0)</f>
        <v/>
      </c>
      <c r="K1662" s="41">
        <f>J1662/60</f>
        <v/>
      </c>
      <c r="L1662" s="41">
        <f>IFERROR(J1662/H1662,"")</f>
        <v/>
      </c>
      <c r="M1662" s="25" t="inlineStr">
        <is>
          <t>2.5.12</t>
        </is>
      </c>
      <c r="N1662" s="25">
        <f>IF(J1662&gt;300,1,0)</f>
        <v/>
      </c>
      <c r="O1662" s="25">
        <f>IF(J1662&gt;600,1,0)</f>
        <v/>
      </c>
      <c r="P1662" s="25">
        <f>IF(H1662&gt;0,J1662,"")</f>
        <v/>
      </c>
      <c r="Q1662" s="25">
        <f>TEXT(A1662,"YYYY-MM-DD HH")</f>
        <v/>
      </c>
      <c r="R1662" s="25">
        <f>COUNTIF($Q$2:$Q$5295,Q1662)</f>
        <v/>
      </c>
      <c r="S1662" s="25">
        <f>IF(R1662&lt;=2,"1-2",IF(R1662&lt;=5,"3-5",IF(R1662&lt;=10,"6-10","11+")))</f>
        <v/>
      </c>
    </row>
    <row r="1663">
      <c r="A1663" s="39" t="n">
        <v>46169.3622337963</v>
      </c>
      <c r="B1663" s="25">
        <f>TEXT(A1663,"YYYY-MM")</f>
        <v/>
      </c>
      <c r="C1663" s="25">
        <f>TEXT(A1663,"MMM-YYYY")</f>
        <v/>
      </c>
      <c r="D1663" s="40">
        <f>INT(A1663)-WEEKDAY(A1663,2)+1</f>
        <v/>
      </c>
      <c r="E1663" s="25" t="inlineStr">
        <is>
          <t>mgupta</t>
        </is>
      </c>
      <c r="F1663" s="25" t="n">
        <v>15765</v>
      </c>
      <c r="G1663" s="25" t="n">
        <v>4</v>
      </c>
      <c r="H1663" s="25" t="n">
        <v>14</v>
      </c>
      <c r="I1663" s="25" t="inlineStr">
        <is>
          <t>3 minute(s) and 26 second(s)</t>
        </is>
      </c>
      <c r="J1663" s="25">
        <f>IFERROR(VALUE(TRIM(LEFT(I1663,FIND("minute",I1663)-1)))*60,0)+IFERROR(VALUE(SUBSTITUTE(MID(I1663,IFERROR(FIND("and",I1663)+3,1),20),"second(s)","")),0)</f>
        <v/>
      </c>
      <c r="K1663" s="41">
        <f>J1663/60</f>
        <v/>
      </c>
      <c r="L1663" s="41">
        <f>IFERROR(J1663/H1663,"")</f>
        <v/>
      </c>
      <c r="M1663" s="25" t="inlineStr">
        <is>
          <t>2.5.12</t>
        </is>
      </c>
      <c r="N1663" s="25">
        <f>IF(J1663&gt;300,1,0)</f>
        <v/>
      </c>
      <c r="O1663" s="25">
        <f>IF(J1663&gt;600,1,0)</f>
        <v/>
      </c>
      <c r="P1663" s="25">
        <f>IF(H1663&gt;0,J1663,"")</f>
        <v/>
      </c>
      <c r="Q1663" s="25">
        <f>TEXT(A1663,"YYYY-MM-DD HH")</f>
        <v/>
      </c>
      <c r="R1663" s="25">
        <f>COUNTIF($Q$2:$Q$5295,Q1663)</f>
        <v/>
      </c>
      <c r="S1663" s="25">
        <f>IF(R1663&lt;=2,"1-2",IF(R1663&lt;=5,"3-5",IF(R1663&lt;=10,"6-10","11+")))</f>
        <v/>
      </c>
    </row>
    <row r="1664">
      <c r="A1664" s="39" t="n">
        <v>46169.3684375</v>
      </c>
      <c r="B1664" s="25">
        <f>TEXT(A1664,"YYYY-MM")</f>
        <v/>
      </c>
      <c r="C1664" s="25">
        <f>TEXT(A1664,"MMM-YYYY")</f>
        <v/>
      </c>
      <c r="D1664" s="40">
        <f>INT(A1664)-WEEKDAY(A1664,2)+1</f>
        <v/>
      </c>
      <c r="E1664" s="25" t="inlineStr">
        <is>
          <t>ssrinivasan</t>
        </is>
      </c>
      <c r="F1664" s="25" t="n">
        <v>5376</v>
      </c>
      <c r="G1664" s="25" t="n">
        <v>1</v>
      </c>
      <c r="H1664" s="25" t="n">
        <v>5</v>
      </c>
      <c r="I1664" s="25" t="inlineStr">
        <is>
          <t>2 minute(s) and 58 second(s)</t>
        </is>
      </c>
      <c r="J1664" s="25">
        <f>IFERROR(VALUE(TRIM(LEFT(I1664,FIND("minute",I1664)-1)))*60,0)+IFERROR(VALUE(SUBSTITUTE(MID(I1664,IFERROR(FIND("and",I1664)+3,1),20),"second(s)","")),0)</f>
        <v/>
      </c>
      <c r="K1664" s="41">
        <f>J1664/60</f>
        <v/>
      </c>
      <c r="L1664" s="41">
        <f>IFERROR(J1664/H1664,"")</f>
        <v/>
      </c>
      <c r="M1664" s="25" t="inlineStr">
        <is>
          <t>2.5.12</t>
        </is>
      </c>
      <c r="N1664" s="25">
        <f>IF(J1664&gt;300,1,0)</f>
        <v/>
      </c>
      <c r="O1664" s="25">
        <f>IF(J1664&gt;600,1,0)</f>
        <v/>
      </c>
      <c r="P1664" s="25">
        <f>IF(H1664&gt;0,J1664,"")</f>
        <v/>
      </c>
      <c r="Q1664" s="25">
        <f>TEXT(A1664,"YYYY-MM-DD HH")</f>
        <v/>
      </c>
      <c r="R1664" s="25">
        <f>COUNTIF($Q$2:$Q$5295,Q1664)</f>
        <v/>
      </c>
      <c r="S1664" s="25">
        <f>IF(R1664&lt;=2,"1-2",IF(R1664&lt;=5,"3-5",IF(R1664&lt;=10,"6-10","11+")))</f>
        <v/>
      </c>
    </row>
    <row r="1665">
      <c r="A1665" s="39" t="n">
        <v>46169.37060185185</v>
      </c>
      <c r="B1665" s="25">
        <f>TEXT(A1665,"YYYY-MM")</f>
        <v/>
      </c>
      <c r="C1665" s="25">
        <f>TEXT(A1665,"MMM-YYYY")</f>
        <v/>
      </c>
      <c r="D1665" s="40">
        <f>INT(A1665)-WEEKDAY(A1665,2)+1</f>
        <v/>
      </c>
      <c r="E1665" s="25" t="inlineStr">
        <is>
          <t>csaha</t>
        </is>
      </c>
      <c r="F1665" s="25" t="n">
        <v>6123</v>
      </c>
      <c r="G1665" s="25" t="n">
        <v>1</v>
      </c>
      <c r="H1665" s="25" t="n">
        <v>7</v>
      </c>
      <c r="I1665" s="25" t="inlineStr">
        <is>
          <t>1 minute(s) and 39 second(s)</t>
        </is>
      </c>
      <c r="J1665" s="25">
        <f>IFERROR(VALUE(TRIM(LEFT(I1665,FIND("minute",I1665)-1)))*60,0)+IFERROR(VALUE(SUBSTITUTE(MID(I1665,IFERROR(FIND("and",I1665)+3,1),20),"second(s)","")),0)</f>
        <v/>
      </c>
      <c r="K1665" s="41">
        <f>J1665/60</f>
        <v/>
      </c>
      <c r="L1665" s="41">
        <f>IFERROR(J1665/H1665,"")</f>
        <v/>
      </c>
      <c r="M1665" s="25" t="inlineStr">
        <is>
          <t>2.5.12</t>
        </is>
      </c>
      <c r="N1665" s="25">
        <f>IF(J1665&gt;300,1,0)</f>
        <v/>
      </c>
      <c r="O1665" s="25">
        <f>IF(J1665&gt;600,1,0)</f>
        <v/>
      </c>
      <c r="P1665" s="25">
        <f>IF(H1665&gt;0,J1665,"")</f>
        <v/>
      </c>
      <c r="Q1665" s="25">
        <f>TEXT(A1665,"YYYY-MM-DD HH")</f>
        <v/>
      </c>
      <c r="R1665" s="25">
        <f>COUNTIF($Q$2:$Q$5295,Q1665)</f>
        <v/>
      </c>
      <c r="S1665" s="25">
        <f>IF(R1665&lt;=2,"1-2",IF(R1665&lt;=5,"3-5",IF(R1665&lt;=10,"6-10","11+")))</f>
        <v/>
      </c>
    </row>
    <row r="1666">
      <c r="A1666" s="39" t="n">
        <v>46169.37429398148</v>
      </c>
      <c r="B1666" s="25">
        <f>TEXT(A1666,"YYYY-MM")</f>
        <v/>
      </c>
      <c r="C1666" s="25">
        <f>TEXT(A1666,"MMM-YYYY")</f>
        <v/>
      </c>
      <c r="D1666" s="40">
        <f>INT(A1666)-WEEKDAY(A1666,2)+1</f>
        <v/>
      </c>
      <c r="E1666" s="25" t="inlineStr">
        <is>
          <t>ssaha</t>
        </is>
      </c>
      <c r="F1666" s="25" t="n">
        <v>4139</v>
      </c>
      <c r="G1666" s="25" t="n">
        <v>1</v>
      </c>
      <c r="H1666" s="25" t="n">
        <v>7</v>
      </c>
      <c r="I1666" s="25" t="inlineStr">
        <is>
          <t>2 minute(s) and 34 second(s)</t>
        </is>
      </c>
      <c r="J1666" s="25">
        <f>IFERROR(VALUE(TRIM(LEFT(I1666,FIND("minute",I1666)-1)))*60,0)+IFERROR(VALUE(SUBSTITUTE(MID(I1666,IFERROR(FIND("and",I1666)+3,1),20),"second(s)","")),0)</f>
        <v/>
      </c>
      <c r="K1666" s="41">
        <f>J1666/60</f>
        <v/>
      </c>
      <c r="L1666" s="41">
        <f>IFERROR(J1666/H1666,"")</f>
        <v/>
      </c>
      <c r="M1666" s="25" t="inlineStr">
        <is>
          <t>2.5.12</t>
        </is>
      </c>
      <c r="N1666" s="25">
        <f>IF(J1666&gt;300,1,0)</f>
        <v/>
      </c>
      <c r="O1666" s="25">
        <f>IF(J1666&gt;600,1,0)</f>
        <v/>
      </c>
      <c r="P1666" s="25">
        <f>IF(H1666&gt;0,J1666,"")</f>
        <v/>
      </c>
      <c r="Q1666" s="25">
        <f>TEXT(A1666,"YYYY-MM-DD HH")</f>
        <v/>
      </c>
      <c r="R1666" s="25">
        <f>COUNTIF($Q$2:$Q$5295,Q1666)</f>
        <v/>
      </c>
      <c r="S1666" s="25">
        <f>IF(R1666&lt;=2,"1-2",IF(R1666&lt;=5,"3-5",IF(R1666&lt;=10,"6-10","11+")))</f>
        <v/>
      </c>
    </row>
    <row r="1667">
      <c r="A1667" s="39" t="n">
        <v>46169.37689814815</v>
      </c>
      <c r="B1667" s="25">
        <f>TEXT(A1667,"YYYY-MM")</f>
        <v/>
      </c>
      <c r="C1667" s="25">
        <f>TEXT(A1667,"MMM-YYYY")</f>
        <v/>
      </c>
      <c r="D1667" s="40">
        <f>INT(A1667)-WEEKDAY(A1667,2)+1</f>
        <v/>
      </c>
      <c r="E1667" s="25" t="inlineStr">
        <is>
          <t>anusharma</t>
        </is>
      </c>
      <c r="F1667" s="25" t="n">
        <v>5315</v>
      </c>
      <c r="G1667" s="25" t="n">
        <v>2</v>
      </c>
      <c r="H1667" s="25" t="n">
        <v>8</v>
      </c>
      <c r="I1667" s="25" t="inlineStr">
        <is>
          <t>2 minute(s) and 16 second(s)</t>
        </is>
      </c>
      <c r="J1667" s="25">
        <f>IFERROR(VALUE(TRIM(LEFT(I1667,FIND("minute",I1667)-1)))*60,0)+IFERROR(VALUE(SUBSTITUTE(MID(I1667,IFERROR(FIND("and",I1667)+3,1),20),"second(s)","")),0)</f>
        <v/>
      </c>
      <c r="K1667" s="41">
        <f>J1667/60</f>
        <v/>
      </c>
      <c r="L1667" s="41">
        <f>IFERROR(J1667/H1667,"")</f>
        <v/>
      </c>
      <c r="M1667" s="25" t="inlineStr">
        <is>
          <t>2.5.12</t>
        </is>
      </c>
      <c r="N1667" s="25">
        <f>IF(J1667&gt;300,1,0)</f>
        <v/>
      </c>
      <c r="O1667" s="25">
        <f>IF(J1667&gt;600,1,0)</f>
        <v/>
      </c>
      <c r="P1667" s="25">
        <f>IF(H1667&gt;0,J1667,"")</f>
        <v/>
      </c>
      <c r="Q1667" s="25">
        <f>TEXT(A1667,"YYYY-MM-DD HH")</f>
        <v/>
      </c>
      <c r="R1667" s="25">
        <f>COUNTIF($Q$2:$Q$5295,Q1667)</f>
        <v/>
      </c>
      <c r="S1667" s="25">
        <f>IF(R1667&lt;=2,"1-2",IF(R1667&lt;=5,"3-5",IF(R1667&lt;=10,"6-10","11+")))</f>
        <v/>
      </c>
    </row>
    <row r="1668">
      <c r="A1668" s="39" t="n">
        <v>46169.38211805555</v>
      </c>
      <c r="B1668" s="25">
        <f>TEXT(A1668,"YYYY-MM")</f>
        <v/>
      </c>
      <c r="C1668" s="25">
        <f>TEXT(A1668,"MMM-YYYY")</f>
        <v/>
      </c>
      <c r="D1668" s="40">
        <f>INT(A1668)-WEEKDAY(A1668,2)+1</f>
        <v/>
      </c>
      <c r="E1668" s="25" t="inlineStr">
        <is>
          <t>mbohra</t>
        </is>
      </c>
      <c r="F1668" s="25" t="n">
        <v>97325</v>
      </c>
      <c r="G1668" s="25" t="n">
        <v>3</v>
      </c>
      <c r="H1668" s="25" t="n">
        <v>15</v>
      </c>
      <c r="I1668" s="25" t="inlineStr">
        <is>
          <t>6 minute(s) and 13 second(s)</t>
        </is>
      </c>
      <c r="J1668" s="25">
        <f>IFERROR(VALUE(TRIM(LEFT(I1668,FIND("minute",I1668)-1)))*60,0)+IFERROR(VALUE(SUBSTITUTE(MID(I1668,IFERROR(FIND("and",I1668)+3,1),20),"second(s)","")),0)</f>
        <v/>
      </c>
      <c r="K1668" s="41">
        <f>J1668/60</f>
        <v/>
      </c>
      <c r="L1668" s="41">
        <f>IFERROR(J1668/H1668,"")</f>
        <v/>
      </c>
      <c r="M1668" s="25" t="inlineStr">
        <is>
          <t>2.5.12</t>
        </is>
      </c>
      <c r="N1668" s="25">
        <f>IF(J1668&gt;300,1,0)</f>
        <v/>
      </c>
      <c r="O1668" s="25">
        <f>IF(J1668&gt;600,1,0)</f>
        <v/>
      </c>
      <c r="P1668" s="25">
        <f>IF(H1668&gt;0,J1668,"")</f>
        <v/>
      </c>
      <c r="Q1668" s="25">
        <f>TEXT(A1668,"YYYY-MM-DD HH")</f>
        <v/>
      </c>
      <c r="R1668" s="25">
        <f>COUNTIF($Q$2:$Q$5295,Q1668)</f>
        <v/>
      </c>
      <c r="S1668" s="25">
        <f>IF(R1668&lt;=2,"1-2",IF(R1668&lt;=5,"3-5",IF(R1668&lt;=10,"6-10","11+")))</f>
        <v/>
      </c>
    </row>
    <row r="1669">
      <c r="A1669" s="39" t="n">
        <v>46169.38483796296</v>
      </c>
      <c r="B1669" s="25">
        <f>TEXT(A1669,"YYYY-MM")</f>
        <v/>
      </c>
      <c r="C1669" s="25">
        <f>TEXT(A1669,"MMM-YYYY")</f>
        <v/>
      </c>
      <c r="D1669" s="40">
        <f>INT(A1669)-WEEKDAY(A1669,2)+1</f>
        <v/>
      </c>
      <c r="E1669" s="25" t="inlineStr">
        <is>
          <t>rts</t>
        </is>
      </c>
      <c r="F1669" s="25" t="n">
        <v>86233</v>
      </c>
      <c r="G1669" s="25" t="n">
        <v>2</v>
      </c>
      <c r="H1669" s="25" t="n">
        <v>10</v>
      </c>
      <c r="I1669" s="25" t="inlineStr">
        <is>
          <t>4 minute(s) and 14 second(s)</t>
        </is>
      </c>
      <c r="J1669" s="25">
        <f>IFERROR(VALUE(TRIM(LEFT(I1669,FIND("minute",I1669)-1)))*60,0)+IFERROR(VALUE(SUBSTITUTE(MID(I1669,IFERROR(FIND("and",I1669)+3,1),20),"second(s)","")),0)</f>
        <v/>
      </c>
      <c r="K1669" s="41">
        <f>J1669/60</f>
        <v/>
      </c>
      <c r="L1669" s="41">
        <f>IFERROR(J1669/H1669,"")</f>
        <v/>
      </c>
      <c r="M1669" s="25" t="inlineStr">
        <is>
          <t>2.5.12</t>
        </is>
      </c>
      <c r="N1669" s="25">
        <f>IF(J1669&gt;300,1,0)</f>
        <v/>
      </c>
      <c r="O1669" s="25">
        <f>IF(J1669&gt;600,1,0)</f>
        <v/>
      </c>
      <c r="P1669" s="25">
        <f>IF(H1669&gt;0,J1669,"")</f>
        <v/>
      </c>
      <c r="Q1669" s="25">
        <f>TEXT(A1669,"YYYY-MM-DD HH")</f>
        <v/>
      </c>
      <c r="R1669" s="25">
        <f>COUNTIF($Q$2:$Q$5295,Q1669)</f>
        <v/>
      </c>
      <c r="S1669" s="25">
        <f>IF(R1669&lt;=2,"1-2",IF(R1669&lt;=5,"3-5",IF(R1669&lt;=10,"6-10","11+")))</f>
        <v/>
      </c>
    </row>
    <row r="1670">
      <c r="A1670" s="39" t="n">
        <v>46169.38984953704</v>
      </c>
      <c r="B1670" s="25">
        <f>TEXT(A1670,"YYYY-MM")</f>
        <v/>
      </c>
      <c r="C1670" s="25">
        <f>TEXT(A1670,"MMM-YYYY")</f>
        <v/>
      </c>
      <c r="D1670" s="40">
        <f>INT(A1670)-WEEKDAY(A1670,2)+1</f>
        <v/>
      </c>
      <c r="E1670" s="25" t="inlineStr">
        <is>
          <t>ssarkar</t>
        </is>
      </c>
      <c r="F1670" s="25" t="n">
        <v>5972</v>
      </c>
      <c r="G1670" s="25" t="n">
        <v>1</v>
      </c>
      <c r="H1670" s="25" t="n">
        <v>5</v>
      </c>
      <c r="I1670" s="25" t="inlineStr">
        <is>
          <t>1 minute(s) and 33 second(s)</t>
        </is>
      </c>
      <c r="J1670" s="25">
        <f>IFERROR(VALUE(TRIM(LEFT(I1670,FIND("minute",I1670)-1)))*60,0)+IFERROR(VALUE(SUBSTITUTE(MID(I1670,IFERROR(FIND("and",I1670)+3,1),20),"second(s)","")),0)</f>
        <v/>
      </c>
      <c r="K1670" s="41">
        <f>J1670/60</f>
        <v/>
      </c>
      <c r="L1670" s="41">
        <f>IFERROR(J1670/H1670,"")</f>
        <v/>
      </c>
      <c r="M1670" s="25" t="inlineStr">
        <is>
          <t>2.5.12</t>
        </is>
      </c>
      <c r="N1670" s="25">
        <f>IF(J1670&gt;300,1,0)</f>
        <v/>
      </c>
      <c r="O1670" s="25">
        <f>IF(J1670&gt;600,1,0)</f>
        <v/>
      </c>
      <c r="P1670" s="25">
        <f>IF(H1670&gt;0,J1670,"")</f>
        <v/>
      </c>
      <c r="Q1670" s="25">
        <f>TEXT(A1670,"YYYY-MM-DD HH")</f>
        <v/>
      </c>
      <c r="R1670" s="25">
        <f>COUNTIF($Q$2:$Q$5295,Q1670)</f>
        <v/>
      </c>
      <c r="S1670" s="25">
        <f>IF(R1670&lt;=2,"1-2",IF(R1670&lt;=5,"3-5",IF(R1670&lt;=10,"6-10","11+")))</f>
        <v/>
      </c>
    </row>
    <row r="1671">
      <c r="A1671" s="39" t="n">
        <v>46169.39344907407</v>
      </c>
      <c r="B1671" s="25">
        <f>TEXT(A1671,"YYYY-MM")</f>
        <v/>
      </c>
      <c r="C1671" s="25">
        <f>TEXT(A1671,"MMM-YYYY")</f>
        <v/>
      </c>
      <c r="D1671" s="40">
        <f>INT(A1671)-WEEKDAY(A1671,2)+1</f>
        <v/>
      </c>
      <c r="E1671" s="25" t="inlineStr">
        <is>
          <t>sdey</t>
        </is>
      </c>
      <c r="F1671" s="25" t="n">
        <v>5410</v>
      </c>
      <c r="G1671" s="25" t="n">
        <v>1</v>
      </c>
      <c r="H1671" s="25" t="n">
        <v>5</v>
      </c>
      <c r="I1671" s="25" t="inlineStr">
        <is>
          <t>2 minute(s) and 13 second(s)</t>
        </is>
      </c>
      <c r="J1671" s="25">
        <f>IFERROR(VALUE(TRIM(LEFT(I1671,FIND("minute",I1671)-1)))*60,0)+IFERROR(VALUE(SUBSTITUTE(MID(I1671,IFERROR(FIND("and",I1671)+3,1),20),"second(s)","")),0)</f>
        <v/>
      </c>
      <c r="K1671" s="41">
        <f>J1671/60</f>
        <v/>
      </c>
      <c r="L1671" s="41">
        <f>IFERROR(J1671/H1671,"")</f>
        <v/>
      </c>
      <c r="M1671" s="25" t="inlineStr">
        <is>
          <t>2.5.12</t>
        </is>
      </c>
      <c r="N1671" s="25">
        <f>IF(J1671&gt;300,1,0)</f>
        <v/>
      </c>
      <c r="O1671" s="25">
        <f>IF(J1671&gt;600,1,0)</f>
        <v/>
      </c>
      <c r="P1671" s="25">
        <f>IF(H1671&gt;0,J1671,"")</f>
        <v/>
      </c>
      <c r="Q1671" s="25">
        <f>TEXT(A1671,"YYYY-MM-DD HH")</f>
        <v/>
      </c>
      <c r="R1671" s="25">
        <f>COUNTIF($Q$2:$Q$5295,Q1671)</f>
        <v/>
      </c>
      <c r="S1671" s="25">
        <f>IF(R1671&lt;=2,"1-2",IF(R1671&lt;=5,"3-5",IF(R1671&lt;=10,"6-10","11+")))</f>
        <v/>
      </c>
    </row>
    <row r="1672">
      <c r="A1672" s="39" t="n">
        <v>46169.39502314815</v>
      </c>
      <c r="B1672" s="25">
        <f>TEXT(A1672,"YYYY-MM")</f>
        <v/>
      </c>
      <c r="C1672" s="25">
        <f>TEXT(A1672,"MMM-YYYY")</f>
        <v/>
      </c>
      <c r="D1672" s="40">
        <f>INT(A1672)-WEEKDAY(A1672,2)+1</f>
        <v/>
      </c>
      <c r="E1672" s="25" t="inlineStr">
        <is>
          <t>ssaha</t>
        </is>
      </c>
      <c r="F1672" s="25" t="n">
        <v>27689</v>
      </c>
      <c r="G1672" s="25" t="n">
        <v>1</v>
      </c>
      <c r="H1672" s="25" t="n">
        <v>7</v>
      </c>
      <c r="I1672" s="25" t="inlineStr">
        <is>
          <t>1 minute(s) and 18 second(s)</t>
        </is>
      </c>
      <c r="J1672" s="25">
        <f>IFERROR(VALUE(TRIM(LEFT(I1672,FIND("minute",I1672)-1)))*60,0)+IFERROR(VALUE(SUBSTITUTE(MID(I1672,IFERROR(FIND("and",I1672)+3,1),20),"second(s)","")),0)</f>
        <v/>
      </c>
      <c r="K1672" s="41">
        <f>J1672/60</f>
        <v/>
      </c>
      <c r="L1672" s="41">
        <f>IFERROR(J1672/H1672,"")</f>
        <v/>
      </c>
      <c r="M1672" s="25" t="inlineStr">
        <is>
          <t>2.5.12</t>
        </is>
      </c>
      <c r="N1672" s="25">
        <f>IF(J1672&gt;300,1,0)</f>
        <v/>
      </c>
      <c r="O1672" s="25">
        <f>IF(J1672&gt;600,1,0)</f>
        <v/>
      </c>
      <c r="P1672" s="25">
        <f>IF(H1672&gt;0,J1672,"")</f>
        <v/>
      </c>
      <c r="Q1672" s="25">
        <f>TEXT(A1672,"YYYY-MM-DD HH")</f>
        <v/>
      </c>
      <c r="R1672" s="25">
        <f>COUNTIF($Q$2:$Q$5295,Q1672)</f>
        <v/>
      </c>
      <c r="S1672" s="25">
        <f>IF(R1672&lt;=2,"1-2",IF(R1672&lt;=5,"3-5",IF(R1672&lt;=10,"6-10","11+")))</f>
        <v/>
      </c>
    </row>
    <row r="1673">
      <c r="A1673" s="39" t="n">
        <v>46169.39737268518</v>
      </c>
      <c r="B1673" s="25">
        <f>TEXT(A1673,"YYYY-MM")</f>
        <v/>
      </c>
      <c r="C1673" s="25">
        <f>TEXT(A1673,"MMM-YYYY")</f>
        <v/>
      </c>
      <c r="D1673" s="40">
        <f>INT(A1673)-WEEKDAY(A1673,2)+1</f>
        <v/>
      </c>
      <c r="E1673" s="25" t="inlineStr">
        <is>
          <t>vprasad</t>
        </is>
      </c>
      <c r="F1673" s="25" t="n">
        <v>89985</v>
      </c>
      <c r="G1673" s="25" t="n">
        <v>2</v>
      </c>
      <c r="H1673" s="25" t="n">
        <v>8</v>
      </c>
      <c r="I1673" s="25" t="inlineStr">
        <is>
          <t>3 minute(s) and 42 second(s)</t>
        </is>
      </c>
      <c r="J1673" s="25">
        <f>IFERROR(VALUE(TRIM(LEFT(I1673,FIND("minute",I1673)-1)))*60,0)+IFERROR(VALUE(SUBSTITUTE(MID(I1673,IFERROR(FIND("and",I1673)+3,1),20),"second(s)","")),0)</f>
        <v/>
      </c>
      <c r="K1673" s="41">
        <f>J1673/60</f>
        <v/>
      </c>
      <c r="L1673" s="41">
        <f>IFERROR(J1673/H1673,"")</f>
        <v/>
      </c>
      <c r="M1673" s="25" t="inlineStr">
        <is>
          <t>2.5.12</t>
        </is>
      </c>
      <c r="N1673" s="25">
        <f>IF(J1673&gt;300,1,0)</f>
        <v/>
      </c>
      <c r="O1673" s="25">
        <f>IF(J1673&gt;600,1,0)</f>
        <v/>
      </c>
      <c r="P1673" s="25">
        <f>IF(H1673&gt;0,J1673,"")</f>
        <v/>
      </c>
      <c r="Q1673" s="25">
        <f>TEXT(A1673,"YYYY-MM-DD HH")</f>
        <v/>
      </c>
      <c r="R1673" s="25">
        <f>COUNTIF($Q$2:$Q$5295,Q1673)</f>
        <v/>
      </c>
      <c r="S1673" s="25">
        <f>IF(R1673&lt;=2,"1-2",IF(R1673&lt;=5,"3-5",IF(R1673&lt;=10,"6-10","11+")))</f>
        <v/>
      </c>
    </row>
    <row r="1674">
      <c r="A1674" s="39" t="n">
        <v>46169.39806712963</v>
      </c>
      <c r="B1674" s="25">
        <f>TEXT(A1674,"YYYY-MM")</f>
        <v/>
      </c>
      <c r="C1674" s="25">
        <f>TEXT(A1674,"MMM-YYYY")</f>
        <v/>
      </c>
      <c r="D1674" s="40">
        <f>INT(A1674)-WEEKDAY(A1674,2)+1</f>
        <v/>
      </c>
      <c r="E1674" s="25" t="inlineStr">
        <is>
          <t>ssrinivasan</t>
        </is>
      </c>
      <c r="F1674" s="25" t="n">
        <v>5370</v>
      </c>
      <c r="G1674" s="25" t="n">
        <v>1</v>
      </c>
      <c r="H1674" s="25" t="n">
        <v>5</v>
      </c>
      <c r="I1674" s="25" t="inlineStr">
        <is>
          <t>1 minute(s) and 35 second(s)</t>
        </is>
      </c>
      <c r="J1674" s="25">
        <f>IFERROR(VALUE(TRIM(LEFT(I1674,FIND("minute",I1674)-1)))*60,0)+IFERROR(VALUE(SUBSTITUTE(MID(I1674,IFERROR(FIND("and",I1674)+3,1),20),"second(s)","")),0)</f>
        <v/>
      </c>
      <c r="K1674" s="41">
        <f>J1674/60</f>
        <v/>
      </c>
      <c r="L1674" s="41">
        <f>IFERROR(J1674/H1674,"")</f>
        <v/>
      </c>
      <c r="M1674" s="25" t="inlineStr">
        <is>
          <t>2.5.12</t>
        </is>
      </c>
      <c r="N1674" s="25">
        <f>IF(J1674&gt;300,1,0)</f>
        <v/>
      </c>
      <c r="O1674" s="25">
        <f>IF(J1674&gt;600,1,0)</f>
        <v/>
      </c>
      <c r="P1674" s="25">
        <f>IF(H1674&gt;0,J1674,"")</f>
        <v/>
      </c>
      <c r="Q1674" s="25">
        <f>TEXT(A1674,"YYYY-MM-DD HH")</f>
        <v/>
      </c>
      <c r="R1674" s="25">
        <f>COUNTIF($Q$2:$Q$5295,Q1674)</f>
        <v/>
      </c>
      <c r="S1674" s="25">
        <f>IF(R1674&lt;=2,"1-2",IF(R1674&lt;=5,"3-5",IF(R1674&lt;=10,"6-10","11+")))</f>
        <v/>
      </c>
    </row>
    <row r="1675">
      <c r="A1675" s="39" t="n">
        <v>46169.40275462963</v>
      </c>
      <c r="B1675" s="25">
        <f>TEXT(A1675,"YYYY-MM")</f>
        <v/>
      </c>
      <c r="C1675" s="25">
        <f>TEXT(A1675,"MMM-YYYY")</f>
        <v/>
      </c>
      <c r="D1675" s="40">
        <f>INT(A1675)-WEEKDAY(A1675,2)+1</f>
        <v/>
      </c>
      <c r="E1675" s="25" t="inlineStr">
        <is>
          <t>csaha</t>
        </is>
      </c>
      <c r="F1675" s="25" t="n">
        <v>6124</v>
      </c>
      <c r="G1675" s="25" t="n">
        <v>1</v>
      </c>
      <c r="H1675" s="25" t="n">
        <v>7</v>
      </c>
      <c r="I1675" s="25" t="inlineStr">
        <is>
          <t>1 minute(s) and 28 second(s)</t>
        </is>
      </c>
      <c r="J1675" s="25">
        <f>IFERROR(VALUE(TRIM(LEFT(I1675,FIND("minute",I1675)-1)))*60,0)+IFERROR(VALUE(SUBSTITUTE(MID(I1675,IFERROR(FIND("and",I1675)+3,1),20),"second(s)","")),0)</f>
        <v/>
      </c>
      <c r="K1675" s="41">
        <f>J1675/60</f>
        <v/>
      </c>
      <c r="L1675" s="41">
        <f>IFERROR(J1675/H1675,"")</f>
        <v/>
      </c>
      <c r="M1675" s="25" t="inlineStr">
        <is>
          <t>2.5.12</t>
        </is>
      </c>
      <c r="N1675" s="25">
        <f>IF(J1675&gt;300,1,0)</f>
        <v/>
      </c>
      <c r="O1675" s="25">
        <f>IF(J1675&gt;600,1,0)</f>
        <v/>
      </c>
      <c r="P1675" s="25">
        <f>IF(H1675&gt;0,J1675,"")</f>
        <v/>
      </c>
      <c r="Q1675" s="25">
        <f>TEXT(A1675,"YYYY-MM-DD HH")</f>
        <v/>
      </c>
      <c r="R1675" s="25">
        <f>COUNTIF($Q$2:$Q$5295,Q1675)</f>
        <v/>
      </c>
      <c r="S1675" s="25">
        <f>IF(R1675&lt;=2,"1-2",IF(R1675&lt;=5,"3-5",IF(R1675&lt;=10,"6-10","11+")))</f>
        <v/>
      </c>
    </row>
    <row r="1676">
      <c r="A1676" s="39" t="n">
        <v>46169.4033449074</v>
      </c>
      <c r="B1676" s="25">
        <f>TEXT(A1676,"YYYY-MM")</f>
        <v/>
      </c>
      <c r="C1676" s="25">
        <f>TEXT(A1676,"MMM-YYYY")</f>
        <v/>
      </c>
      <c r="D1676" s="40">
        <f>INT(A1676)-WEEKDAY(A1676,2)+1</f>
        <v/>
      </c>
      <c r="E1676" s="25" t="inlineStr">
        <is>
          <t>arsarkar</t>
        </is>
      </c>
      <c r="F1676" s="25" t="n">
        <v>4995</v>
      </c>
      <c r="G1676" s="25" t="n">
        <v>1</v>
      </c>
      <c r="H1676" s="25" t="n">
        <v>7</v>
      </c>
      <c r="I1676" s="25" t="inlineStr">
        <is>
          <t>1 minute(s) and 23 second(s)</t>
        </is>
      </c>
      <c r="J1676" s="25">
        <f>IFERROR(VALUE(TRIM(LEFT(I1676,FIND("minute",I1676)-1)))*60,0)+IFERROR(VALUE(SUBSTITUTE(MID(I1676,IFERROR(FIND("and",I1676)+3,1),20),"second(s)","")),0)</f>
        <v/>
      </c>
      <c r="K1676" s="41">
        <f>J1676/60</f>
        <v/>
      </c>
      <c r="L1676" s="41">
        <f>IFERROR(J1676/H1676,"")</f>
        <v/>
      </c>
      <c r="M1676" s="25" t="inlineStr">
        <is>
          <t>2.5.12</t>
        </is>
      </c>
      <c r="N1676" s="25">
        <f>IF(J1676&gt;300,1,0)</f>
        <v/>
      </c>
      <c r="O1676" s="25">
        <f>IF(J1676&gt;600,1,0)</f>
        <v/>
      </c>
      <c r="P1676" s="25">
        <f>IF(H1676&gt;0,J1676,"")</f>
        <v/>
      </c>
      <c r="Q1676" s="25">
        <f>TEXT(A1676,"YYYY-MM-DD HH")</f>
        <v/>
      </c>
      <c r="R1676" s="25">
        <f>COUNTIF($Q$2:$Q$5295,Q1676)</f>
        <v/>
      </c>
      <c r="S1676" s="25">
        <f>IF(R1676&lt;=2,"1-2",IF(R1676&lt;=5,"3-5",IF(R1676&lt;=10,"6-10","11+")))</f>
        <v/>
      </c>
    </row>
    <row r="1677">
      <c r="A1677" s="39" t="n">
        <v>46169.41277777778</v>
      </c>
      <c r="B1677" s="25">
        <f>TEXT(A1677,"YYYY-MM")</f>
        <v/>
      </c>
      <c r="C1677" s="25">
        <f>TEXT(A1677,"MMM-YYYY")</f>
        <v/>
      </c>
      <c r="D1677" s="40">
        <f>INT(A1677)-WEEKDAY(A1677,2)+1</f>
        <v/>
      </c>
      <c r="E1677" s="25" t="inlineStr">
        <is>
          <t>ssaha</t>
        </is>
      </c>
      <c r="F1677" s="25" t="n">
        <v>28253</v>
      </c>
      <c r="G1677" s="25" t="n">
        <v>2</v>
      </c>
      <c r="H1677" s="25" t="n">
        <v>8</v>
      </c>
      <c r="I1677" s="25" t="inlineStr">
        <is>
          <t>2 minute(s) and 43 second(s)</t>
        </is>
      </c>
      <c r="J1677" s="25">
        <f>IFERROR(VALUE(TRIM(LEFT(I1677,FIND("minute",I1677)-1)))*60,0)+IFERROR(VALUE(SUBSTITUTE(MID(I1677,IFERROR(FIND("and",I1677)+3,1),20),"second(s)","")),0)</f>
        <v/>
      </c>
      <c r="K1677" s="41">
        <f>J1677/60</f>
        <v/>
      </c>
      <c r="L1677" s="41">
        <f>IFERROR(J1677/H1677,"")</f>
        <v/>
      </c>
      <c r="M1677" s="25" t="inlineStr">
        <is>
          <t>2.5.12</t>
        </is>
      </c>
      <c r="N1677" s="25">
        <f>IF(J1677&gt;300,1,0)</f>
        <v/>
      </c>
      <c r="O1677" s="25">
        <f>IF(J1677&gt;600,1,0)</f>
        <v/>
      </c>
      <c r="P1677" s="25">
        <f>IF(H1677&gt;0,J1677,"")</f>
        <v/>
      </c>
      <c r="Q1677" s="25">
        <f>TEXT(A1677,"YYYY-MM-DD HH")</f>
        <v/>
      </c>
      <c r="R1677" s="25">
        <f>COUNTIF($Q$2:$Q$5295,Q1677)</f>
        <v/>
      </c>
      <c r="S1677" s="25">
        <f>IF(R1677&lt;=2,"1-2",IF(R1677&lt;=5,"3-5",IF(R1677&lt;=10,"6-10","11+")))</f>
        <v/>
      </c>
    </row>
    <row r="1678">
      <c r="A1678" s="39" t="n">
        <v>46169.41375</v>
      </c>
      <c r="B1678" s="25">
        <f>TEXT(A1678,"YYYY-MM")</f>
        <v/>
      </c>
      <c r="C1678" s="25">
        <f>TEXT(A1678,"MMM-YYYY")</f>
        <v/>
      </c>
      <c r="D1678" s="40">
        <f>INT(A1678)-WEEKDAY(A1678,2)+1</f>
        <v/>
      </c>
      <c r="E1678" s="25" t="inlineStr">
        <is>
          <t>ssarkar</t>
        </is>
      </c>
      <c r="F1678" s="25" t="n">
        <v>5974</v>
      </c>
      <c r="G1678" s="25" t="n">
        <v>1</v>
      </c>
      <c r="H1678" s="25" t="n">
        <v>7</v>
      </c>
      <c r="I1678" s="25" t="inlineStr">
        <is>
          <t>1 minute(s) and 26 second(s)</t>
        </is>
      </c>
      <c r="J1678" s="25">
        <f>IFERROR(VALUE(TRIM(LEFT(I1678,FIND("minute",I1678)-1)))*60,0)+IFERROR(VALUE(SUBSTITUTE(MID(I1678,IFERROR(FIND("and",I1678)+3,1),20),"second(s)","")),0)</f>
        <v/>
      </c>
      <c r="K1678" s="41">
        <f>J1678/60</f>
        <v/>
      </c>
      <c r="L1678" s="41">
        <f>IFERROR(J1678/H1678,"")</f>
        <v/>
      </c>
      <c r="M1678" s="25" t="inlineStr">
        <is>
          <t>2.5.12</t>
        </is>
      </c>
      <c r="N1678" s="25">
        <f>IF(J1678&gt;300,1,0)</f>
        <v/>
      </c>
      <c r="O1678" s="25">
        <f>IF(J1678&gt;600,1,0)</f>
        <v/>
      </c>
      <c r="P1678" s="25">
        <f>IF(H1678&gt;0,J1678,"")</f>
        <v/>
      </c>
      <c r="Q1678" s="25">
        <f>TEXT(A1678,"YYYY-MM-DD HH")</f>
        <v/>
      </c>
      <c r="R1678" s="25">
        <f>COUNTIF($Q$2:$Q$5295,Q1678)</f>
        <v/>
      </c>
      <c r="S1678" s="25">
        <f>IF(R1678&lt;=2,"1-2",IF(R1678&lt;=5,"3-5",IF(R1678&lt;=10,"6-10","11+")))</f>
        <v/>
      </c>
    </row>
    <row r="1679">
      <c r="A1679" s="39" t="n">
        <v>46169.41947916667</v>
      </c>
      <c r="B1679" s="25">
        <f>TEXT(A1679,"YYYY-MM")</f>
        <v/>
      </c>
      <c r="C1679" s="25">
        <f>TEXT(A1679,"MMM-YYYY")</f>
        <v/>
      </c>
      <c r="D1679" s="40">
        <f>INT(A1679)-WEEKDAY(A1679,2)+1</f>
        <v/>
      </c>
      <c r="E1679" s="25" t="inlineStr">
        <is>
          <t>pgautam</t>
        </is>
      </c>
      <c r="F1679" s="25" t="n">
        <v>80650</v>
      </c>
      <c r="G1679" s="25" t="n">
        <v>4</v>
      </c>
      <c r="H1679" s="25" t="n">
        <v>14</v>
      </c>
      <c r="I1679" s="25" t="inlineStr">
        <is>
          <t>3 minute(s) and 11 second(s)</t>
        </is>
      </c>
      <c r="J1679" s="25">
        <f>IFERROR(VALUE(TRIM(LEFT(I1679,FIND("minute",I1679)-1)))*60,0)+IFERROR(VALUE(SUBSTITUTE(MID(I1679,IFERROR(FIND("and",I1679)+3,1),20),"second(s)","")),0)</f>
        <v/>
      </c>
      <c r="K1679" s="41">
        <f>J1679/60</f>
        <v/>
      </c>
      <c r="L1679" s="41">
        <f>IFERROR(J1679/H1679,"")</f>
        <v/>
      </c>
      <c r="M1679" s="25" t="inlineStr">
        <is>
          <t>2.5.12</t>
        </is>
      </c>
      <c r="N1679" s="25">
        <f>IF(J1679&gt;300,1,0)</f>
        <v/>
      </c>
      <c r="O1679" s="25">
        <f>IF(J1679&gt;600,1,0)</f>
        <v/>
      </c>
      <c r="P1679" s="25">
        <f>IF(H1679&gt;0,J1679,"")</f>
        <v/>
      </c>
      <c r="Q1679" s="25">
        <f>TEXT(A1679,"YYYY-MM-DD HH")</f>
        <v/>
      </c>
      <c r="R1679" s="25">
        <f>COUNTIF($Q$2:$Q$5295,Q1679)</f>
        <v/>
      </c>
      <c r="S1679" s="25">
        <f>IF(R1679&lt;=2,"1-2",IF(R1679&lt;=5,"3-5",IF(R1679&lt;=10,"6-10","11+")))</f>
        <v/>
      </c>
    </row>
    <row r="1680">
      <c r="A1680" s="39" t="n">
        <v>46169.42900462963</v>
      </c>
      <c r="B1680" s="25">
        <f>TEXT(A1680,"YYYY-MM")</f>
        <v/>
      </c>
      <c r="C1680" s="25">
        <f>TEXT(A1680,"MMM-YYYY")</f>
        <v/>
      </c>
      <c r="D1680" s="40">
        <f>INT(A1680)-WEEKDAY(A1680,2)+1</f>
        <v/>
      </c>
      <c r="E1680" s="25" t="inlineStr">
        <is>
          <t>ssaha</t>
        </is>
      </c>
      <c r="F1680" s="25" t="n">
        <v>28329</v>
      </c>
      <c r="G1680" s="25" t="n">
        <v>1</v>
      </c>
      <c r="H1680" s="25" t="n">
        <v>5</v>
      </c>
      <c r="I1680" s="25" t="inlineStr">
        <is>
          <t>2 minute(s) and 26 second(s)</t>
        </is>
      </c>
      <c r="J1680" s="25">
        <f>IFERROR(VALUE(TRIM(LEFT(I1680,FIND("minute",I1680)-1)))*60,0)+IFERROR(VALUE(SUBSTITUTE(MID(I1680,IFERROR(FIND("and",I1680)+3,1),20),"second(s)","")),0)</f>
        <v/>
      </c>
      <c r="K1680" s="41">
        <f>J1680/60</f>
        <v/>
      </c>
      <c r="L1680" s="41">
        <f>IFERROR(J1680/H1680,"")</f>
        <v/>
      </c>
      <c r="M1680" s="25" t="inlineStr">
        <is>
          <t>2.5.12</t>
        </is>
      </c>
      <c r="N1680" s="25">
        <f>IF(J1680&gt;300,1,0)</f>
        <v/>
      </c>
      <c r="O1680" s="25">
        <f>IF(J1680&gt;600,1,0)</f>
        <v/>
      </c>
      <c r="P1680" s="25">
        <f>IF(H1680&gt;0,J1680,"")</f>
        <v/>
      </c>
      <c r="Q1680" s="25">
        <f>TEXT(A1680,"YYYY-MM-DD HH")</f>
        <v/>
      </c>
      <c r="R1680" s="25">
        <f>COUNTIF($Q$2:$Q$5295,Q1680)</f>
        <v/>
      </c>
      <c r="S1680" s="25">
        <f>IF(R1680&lt;=2,"1-2",IF(R1680&lt;=5,"3-5",IF(R1680&lt;=10,"6-10","11+")))</f>
        <v/>
      </c>
    </row>
    <row r="1681">
      <c r="A1681" s="39" t="n">
        <v>46169.43076388889</v>
      </c>
      <c r="B1681" s="25">
        <f>TEXT(A1681,"YYYY-MM")</f>
        <v/>
      </c>
      <c r="C1681" s="25">
        <f>TEXT(A1681,"MMM-YYYY")</f>
        <v/>
      </c>
      <c r="D1681" s="40">
        <f>INT(A1681)-WEEKDAY(A1681,2)+1</f>
        <v/>
      </c>
      <c r="E1681" s="25" t="inlineStr">
        <is>
          <t>emishra</t>
        </is>
      </c>
      <c r="F1681" s="25" t="n">
        <v>7558</v>
      </c>
      <c r="G1681" s="25" t="n">
        <v>1</v>
      </c>
      <c r="H1681" s="25" t="n">
        <v>7</v>
      </c>
      <c r="I1681" s="25" t="inlineStr">
        <is>
          <t>1 minute(s) and 38 second(s)</t>
        </is>
      </c>
      <c r="J1681" s="25">
        <f>IFERROR(VALUE(TRIM(LEFT(I1681,FIND("minute",I1681)-1)))*60,0)+IFERROR(VALUE(SUBSTITUTE(MID(I1681,IFERROR(FIND("and",I1681)+3,1),20),"second(s)","")),0)</f>
        <v/>
      </c>
      <c r="K1681" s="41">
        <f>J1681/60</f>
        <v/>
      </c>
      <c r="L1681" s="41">
        <f>IFERROR(J1681/H1681,"")</f>
        <v/>
      </c>
      <c r="M1681" s="25" t="inlineStr">
        <is>
          <t>2.5.12</t>
        </is>
      </c>
      <c r="N1681" s="25">
        <f>IF(J1681&gt;300,1,0)</f>
        <v/>
      </c>
      <c r="O1681" s="25">
        <f>IF(J1681&gt;600,1,0)</f>
        <v/>
      </c>
      <c r="P1681" s="25">
        <f>IF(H1681&gt;0,J1681,"")</f>
        <v/>
      </c>
      <c r="Q1681" s="25">
        <f>TEXT(A1681,"YYYY-MM-DD HH")</f>
        <v/>
      </c>
      <c r="R1681" s="25">
        <f>COUNTIF($Q$2:$Q$5295,Q1681)</f>
        <v/>
      </c>
      <c r="S1681" s="25">
        <f>IF(R1681&lt;=2,"1-2",IF(R1681&lt;=5,"3-5",IF(R1681&lt;=10,"6-10","11+")))</f>
        <v/>
      </c>
    </row>
    <row r="1682">
      <c r="A1682" s="39" t="n">
        <v>46169.43756944445</v>
      </c>
      <c r="B1682" s="25">
        <f>TEXT(A1682,"YYYY-MM")</f>
        <v/>
      </c>
      <c r="C1682" s="25">
        <f>TEXT(A1682,"MMM-YYYY")</f>
        <v/>
      </c>
      <c r="D1682" s="40">
        <f>INT(A1682)-WEEKDAY(A1682,2)+1</f>
        <v/>
      </c>
      <c r="E1682" s="25" t="inlineStr">
        <is>
          <t>arsarkar</t>
        </is>
      </c>
      <c r="F1682" s="25" t="n">
        <v>6242</v>
      </c>
      <c r="G1682" s="25" t="n">
        <v>1</v>
      </c>
      <c r="H1682" s="25" t="n">
        <v>5</v>
      </c>
      <c r="I1682" s="25" t="inlineStr">
        <is>
          <t>2 minute(s) and 27 second(s)</t>
        </is>
      </c>
      <c r="J1682" s="25">
        <f>IFERROR(VALUE(TRIM(LEFT(I1682,FIND("minute",I1682)-1)))*60,0)+IFERROR(VALUE(SUBSTITUTE(MID(I1682,IFERROR(FIND("and",I1682)+3,1),20),"second(s)","")),0)</f>
        <v/>
      </c>
      <c r="K1682" s="41">
        <f>J1682/60</f>
        <v/>
      </c>
      <c r="L1682" s="41">
        <f>IFERROR(J1682/H1682,"")</f>
        <v/>
      </c>
      <c r="M1682" s="25" t="inlineStr">
        <is>
          <t>2.5.12</t>
        </is>
      </c>
      <c r="N1682" s="25">
        <f>IF(J1682&gt;300,1,0)</f>
        <v/>
      </c>
      <c r="O1682" s="25">
        <f>IF(J1682&gt;600,1,0)</f>
        <v/>
      </c>
      <c r="P1682" s="25">
        <f>IF(H1682&gt;0,J1682,"")</f>
        <v/>
      </c>
      <c r="Q1682" s="25">
        <f>TEXT(A1682,"YYYY-MM-DD HH")</f>
        <v/>
      </c>
      <c r="R1682" s="25">
        <f>COUNTIF($Q$2:$Q$5295,Q1682)</f>
        <v/>
      </c>
      <c r="S1682" s="25">
        <f>IF(R1682&lt;=2,"1-2",IF(R1682&lt;=5,"3-5",IF(R1682&lt;=10,"6-10","11+")))</f>
        <v/>
      </c>
    </row>
    <row r="1683">
      <c r="A1683" s="39" t="n">
        <v>46169.44701388889</v>
      </c>
      <c r="B1683" s="25">
        <f>TEXT(A1683,"YYYY-MM")</f>
        <v/>
      </c>
      <c r="C1683" s="25">
        <f>TEXT(A1683,"MMM-YYYY")</f>
        <v/>
      </c>
      <c r="D1683" s="40">
        <f>INT(A1683)-WEEKDAY(A1683,2)+1</f>
        <v/>
      </c>
      <c r="E1683" s="25" t="inlineStr">
        <is>
          <t>csaha</t>
        </is>
      </c>
      <c r="F1683" s="25" t="n">
        <v>6126</v>
      </c>
      <c r="G1683" s="25" t="n">
        <v>1</v>
      </c>
      <c r="H1683" s="25" t="n">
        <v>5</v>
      </c>
      <c r="I1683" s="25" t="inlineStr">
        <is>
          <t>2 minute(s) and 15 second(s)</t>
        </is>
      </c>
      <c r="J1683" s="25">
        <f>IFERROR(VALUE(TRIM(LEFT(I1683,FIND("minute",I1683)-1)))*60,0)+IFERROR(VALUE(SUBSTITUTE(MID(I1683,IFERROR(FIND("and",I1683)+3,1),20),"second(s)","")),0)</f>
        <v/>
      </c>
      <c r="K1683" s="41">
        <f>J1683/60</f>
        <v/>
      </c>
      <c r="L1683" s="41">
        <f>IFERROR(J1683/H1683,"")</f>
        <v/>
      </c>
      <c r="M1683" s="25" t="inlineStr">
        <is>
          <t>2.5.12</t>
        </is>
      </c>
      <c r="N1683" s="25">
        <f>IF(J1683&gt;300,1,0)</f>
        <v/>
      </c>
      <c r="O1683" s="25">
        <f>IF(J1683&gt;600,1,0)</f>
        <v/>
      </c>
      <c r="P1683" s="25">
        <f>IF(H1683&gt;0,J1683,"")</f>
        <v/>
      </c>
      <c r="Q1683" s="25">
        <f>TEXT(A1683,"YYYY-MM-DD HH")</f>
        <v/>
      </c>
      <c r="R1683" s="25">
        <f>COUNTIF($Q$2:$Q$5295,Q1683)</f>
        <v/>
      </c>
      <c r="S1683" s="25">
        <f>IF(R1683&lt;=2,"1-2",IF(R1683&lt;=5,"3-5",IF(R1683&lt;=10,"6-10","11+")))</f>
        <v/>
      </c>
    </row>
    <row r="1684">
      <c r="A1684" s="39" t="n">
        <v>46169.45616898148</v>
      </c>
      <c r="B1684" s="25">
        <f>TEXT(A1684,"YYYY-MM")</f>
        <v/>
      </c>
      <c r="C1684" s="25">
        <f>TEXT(A1684,"MMM-YYYY")</f>
        <v/>
      </c>
      <c r="D1684" s="40">
        <f>INT(A1684)-WEEKDAY(A1684,2)+1</f>
        <v/>
      </c>
      <c r="E1684" s="25" t="inlineStr">
        <is>
          <t>pgautam</t>
        </is>
      </c>
      <c r="F1684" s="25" t="n">
        <v>45268</v>
      </c>
      <c r="G1684" s="25" t="n">
        <v>2</v>
      </c>
      <c r="H1684" s="25" t="n">
        <v>11</v>
      </c>
      <c r="I1684" s="25" t="inlineStr">
        <is>
          <t>3 minute(s) and 12 second(s)</t>
        </is>
      </c>
      <c r="J1684" s="25">
        <f>IFERROR(VALUE(TRIM(LEFT(I1684,FIND("minute",I1684)-1)))*60,0)+IFERROR(VALUE(SUBSTITUTE(MID(I1684,IFERROR(FIND("and",I1684)+3,1),20),"second(s)","")),0)</f>
        <v/>
      </c>
      <c r="K1684" s="41">
        <f>J1684/60</f>
        <v/>
      </c>
      <c r="L1684" s="41">
        <f>IFERROR(J1684/H1684,"")</f>
        <v/>
      </c>
      <c r="M1684" s="25" t="inlineStr">
        <is>
          <t>2.5.12</t>
        </is>
      </c>
      <c r="N1684" s="25">
        <f>IF(J1684&gt;300,1,0)</f>
        <v/>
      </c>
      <c r="O1684" s="25">
        <f>IF(J1684&gt;600,1,0)</f>
        <v/>
      </c>
      <c r="P1684" s="25">
        <f>IF(H1684&gt;0,J1684,"")</f>
        <v/>
      </c>
      <c r="Q1684" s="25">
        <f>TEXT(A1684,"YYYY-MM-DD HH")</f>
        <v/>
      </c>
      <c r="R1684" s="25">
        <f>COUNTIF($Q$2:$Q$5295,Q1684)</f>
        <v/>
      </c>
      <c r="S1684" s="25">
        <f>IF(R1684&lt;=2,"1-2",IF(R1684&lt;=5,"3-5",IF(R1684&lt;=10,"6-10","11+")))</f>
        <v/>
      </c>
    </row>
    <row r="1685">
      <c r="A1685" s="39" t="n">
        <v>46169.45642361111</v>
      </c>
      <c r="B1685" s="25">
        <f>TEXT(A1685,"YYYY-MM")</f>
        <v/>
      </c>
      <c r="C1685" s="25">
        <f>TEXT(A1685,"MMM-YYYY")</f>
        <v/>
      </c>
      <c r="D1685" s="40">
        <f>INT(A1685)-WEEKDAY(A1685,2)+1</f>
        <v/>
      </c>
      <c r="E1685" s="25" t="inlineStr">
        <is>
          <t>emishra</t>
        </is>
      </c>
      <c r="F1685" s="25" t="n">
        <v>7748</v>
      </c>
      <c r="G1685" s="25" t="n">
        <v>1</v>
      </c>
      <c r="H1685" s="25" t="n">
        <v>7</v>
      </c>
      <c r="I1685" s="25" t="inlineStr">
        <is>
          <t>2 minute(s) and 32 second(s)</t>
        </is>
      </c>
      <c r="J1685" s="25">
        <f>IFERROR(VALUE(TRIM(LEFT(I1685,FIND("minute",I1685)-1)))*60,0)+IFERROR(VALUE(SUBSTITUTE(MID(I1685,IFERROR(FIND("and",I1685)+3,1),20),"second(s)","")),0)</f>
        <v/>
      </c>
      <c r="K1685" s="41">
        <f>J1685/60</f>
        <v/>
      </c>
      <c r="L1685" s="41">
        <f>IFERROR(J1685/H1685,"")</f>
        <v/>
      </c>
      <c r="M1685" s="25" t="inlineStr">
        <is>
          <t>2.5.12</t>
        </is>
      </c>
      <c r="N1685" s="25">
        <f>IF(J1685&gt;300,1,0)</f>
        <v/>
      </c>
      <c r="O1685" s="25">
        <f>IF(J1685&gt;600,1,0)</f>
        <v/>
      </c>
      <c r="P1685" s="25">
        <f>IF(H1685&gt;0,J1685,"")</f>
        <v/>
      </c>
      <c r="Q1685" s="25">
        <f>TEXT(A1685,"YYYY-MM-DD HH")</f>
        <v/>
      </c>
      <c r="R1685" s="25">
        <f>COUNTIF($Q$2:$Q$5295,Q1685)</f>
        <v/>
      </c>
      <c r="S1685" s="25">
        <f>IF(R1685&lt;=2,"1-2",IF(R1685&lt;=5,"3-5",IF(R1685&lt;=10,"6-10","11+")))</f>
        <v/>
      </c>
    </row>
    <row r="1686">
      <c r="A1686" s="39" t="n">
        <v>46169.4568287037</v>
      </c>
      <c r="B1686" s="25">
        <f>TEXT(A1686,"YYYY-MM")</f>
        <v/>
      </c>
      <c r="C1686" s="25">
        <f>TEXT(A1686,"MMM-YYYY")</f>
        <v/>
      </c>
      <c r="D1686" s="40">
        <f>INT(A1686)-WEEKDAY(A1686,2)+1</f>
        <v/>
      </c>
      <c r="E1686" s="25" t="inlineStr">
        <is>
          <t>sdey</t>
        </is>
      </c>
      <c r="F1686" s="25" t="n">
        <v>5411</v>
      </c>
      <c r="G1686" s="25" t="n">
        <v>1</v>
      </c>
      <c r="H1686" s="25" t="n">
        <v>5</v>
      </c>
      <c r="I1686" s="25" t="inlineStr">
        <is>
          <t>53 second(s)</t>
        </is>
      </c>
      <c r="J1686" s="25">
        <f>IFERROR(VALUE(TRIM(LEFT(I1686,FIND("minute",I1686)-1)))*60,0)+IFERROR(VALUE(SUBSTITUTE(MID(I1686,IFERROR(FIND("and",I1686)+3,1),20),"second(s)","")),0)</f>
        <v/>
      </c>
      <c r="K1686" s="41">
        <f>J1686/60</f>
        <v/>
      </c>
      <c r="L1686" s="41">
        <f>IFERROR(J1686/H1686,"")</f>
        <v/>
      </c>
      <c r="M1686" s="25" t="inlineStr">
        <is>
          <t>2.5.12</t>
        </is>
      </c>
      <c r="N1686" s="25">
        <f>IF(J1686&gt;300,1,0)</f>
        <v/>
      </c>
      <c r="O1686" s="25">
        <f>IF(J1686&gt;600,1,0)</f>
        <v/>
      </c>
      <c r="P1686" s="25">
        <f>IF(H1686&gt;0,J1686,"")</f>
        <v/>
      </c>
      <c r="Q1686" s="25">
        <f>TEXT(A1686,"YYYY-MM-DD HH")</f>
        <v/>
      </c>
      <c r="R1686" s="25">
        <f>COUNTIF($Q$2:$Q$5295,Q1686)</f>
        <v/>
      </c>
      <c r="S1686" s="25">
        <f>IF(R1686&lt;=2,"1-2",IF(R1686&lt;=5,"3-5",IF(R1686&lt;=10,"6-10","11+")))</f>
        <v/>
      </c>
    </row>
    <row r="1687">
      <c r="A1687" s="39" t="n">
        <v>46169.45825231481</v>
      </c>
      <c r="B1687" s="25">
        <f>TEXT(A1687,"YYYY-MM")</f>
        <v/>
      </c>
      <c r="C1687" s="25">
        <f>TEXT(A1687,"MMM-YYYY")</f>
        <v/>
      </c>
      <c r="D1687" s="40">
        <f>INT(A1687)-WEEKDAY(A1687,2)+1</f>
        <v/>
      </c>
      <c r="E1687" s="25" t="inlineStr">
        <is>
          <t>vprasad</t>
        </is>
      </c>
      <c r="F1687" s="25" t="n">
        <v>89906</v>
      </c>
      <c r="G1687" s="25" t="n">
        <v>1</v>
      </c>
      <c r="H1687" s="25" t="n">
        <v>5</v>
      </c>
      <c r="I1687" s="25" t="inlineStr">
        <is>
          <t>2 minute(s) and 48 second(s)</t>
        </is>
      </c>
      <c r="J1687" s="25">
        <f>IFERROR(VALUE(TRIM(LEFT(I1687,FIND("minute",I1687)-1)))*60,0)+IFERROR(VALUE(SUBSTITUTE(MID(I1687,IFERROR(FIND("and",I1687)+3,1),20),"second(s)","")),0)</f>
        <v/>
      </c>
      <c r="K1687" s="41">
        <f>J1687/60</f>
        <v/>
      </c>
      <c r="L1687" s="41">
        <f>IFERROR(J1687/H1687,"")</f>
        <v/>
      </c>
      <c r="M1687" s="25" t="inlineStr">
        <is>
          <t>2.5.12</t>
        </is>
      </c>
      <c r="N1687" s="25">
        <f>IF(J1687&gt;300,1,0)</f>
        <v/>
      </c>
      <c r="O1687" s="25">
        <f>IF(J1687&gt;600,1,0)</f>
        <v/>
      </c>
      <c r="P1687" s="25">
        <f>IF(H1687&gt;0,J1687,"")</f>
        <v/>
      </c>
      <c r="Q1687" s="25">
        <f>TEXT(A1687,"YYYY-MM-DD HH")</f>
        <v/>
      </c>
      <c r="R1687" s="25">
        <f>COUNTIF($Q$2:$Q$5295,Q1687)</f>
        <v/>
      </c>
      <c r="S1687" s="25">
        <f>IF(R1687&lt;=2,"1-2",IF(R1687&lt;=5,"3-5",IF(R1687&lt;=10,"6-10","11+")))</f>
        <v/>
      </c>
    </row>
    <row r="1688">
      <c r="A1688" s="39" t="n">
        <v>46169.47355324074</v>
      </c>
      <c r="B1688" s="25">
        <f>TEXT(A1688,"YYYY-MM")</f>
        <v/>
      </c>
      <c r="C1688" s="25">
        <f>TEXT(A1688,"MMM-YYYY")</f>
        <v/>
      </c>
      <c r="D1688" s="40">
        <f>INT(A1688)-WEEKDAY(A1688,2)+1</f>
        <v/>
      </c>
      <c r="E1688" s="25" t="inlineStr">
        <is>
          <t>asaxena</t>
        </is>
      </c>
      <c r="F1688" s="25" t="n">
        <v>90022</v>
      </c>
      <c r="G1688" s="25" t="n">
        <v>2</v>
      </c>
      <c r="H1688" s="25" t="n">
        <v>12</v>
      </c>
      <c r="I1688" s="25" t="inlineStr">
        <is>
          <t>2 minute(s) and 31 second(s)</t>
        </is>
      </c>
      <c r="J1688" s="25">
        <f>IFERROR(VALUE(TRIM(LEFT(I1688,FIND("minute",I1688)-1)))*60,0)+IFERROR(VALUE(SUBSTITUTE(MID(I1688,IFERROR(FIND("and",I1688)+3,1),20),"second(s)","")),0)</f>
        <v/>
      </c>
      <c r="K1688" s="41">
        <f>J1688/60</f>
        <v/>
      </c>
      <c r="L1688" s="41">
        <f>IFERROR(J1688/H1688,"")</f>
        <v/>
      </c>
      <c r="M1688" s="25" t="inlineStr">
        <is>
          <t>2.5.12</t>
        </is>
      </c>
      <c r="N1688" s="25">
        <f>IF(J1688&gt;300,1,0)</f>
        <v/>
      </c>
      <c r="O1688" s="25">
        <f>IF(J1688&gt;600,1,0)</f>
        <v/>
      </c>
      <c r="P1688" s="25">
        <f>IF(H1688&gt;0,J1688,"")</f>
        <v/>
      </c>
      <c r="Q1688" s="25">
        <f>TEXT(A1688,"YYYY-MM-DD HH")</f>
        <v/>
      </c>
      <c r="R1688" s="25">
        <f>COUNTIF($Q$2:$Q$5295,Q1688)</f>
        <v/>
      </c>
      <c r="S1688" s="25">
        <f>IF(R1688&lt;=2,"1-2",IF(R1688&lt;=5,"3-5",IF(R1688&lt;=10,"6-10","11+")))</f>
        <v/>
      </c>
    </row>
    <row r="1689">
      <c r="A1689" s="39" t="n">
        <v>46169.49666666667</v>
      </c>
      <c r="B1689" s="25">
        <f>TEXT(A1689,"YYYY-MM")</f>
        <v/>
      </c>
      <c r="C1689" s="25">
        <f>TEXT(A1689,"MMM-YYYY")</f>
        <v/>
      </c>
      <c r="D1689" s="40">
        <f>INT(A1689)-WEEKDAY(A1689,2)+1</f>
        <v/>
      </c>
      <c r="E1689" s="25" t="inlineStr">
        <is>
          <t>pgautam</t>
        </is>
      </c>
      <c r="F1689" s="25" t="n">
        <v>22368</v>
      </c>
      <c r="G1689" s="25" t="n">
        <v>3</v>
      </c>
      <c r="H1689" s="25" t="n">
        <v>13</v>
      </c>
      <c r="I1689" s="25" t="inlineStr">
        <is>
          <t>3 minute(s) and 16 second(s)</t>
        </is>
      </c>
      <c r="J1689" s="25">
        <f>IFERROR(VALUE(TRIM(LEFT(I1689,FIND("minute",I1689)-1)))*60,0)+IFERROR(VALUE(SUBSTITUTE(MID(I1689,IFERROR(FIND("and",I1689)+3,1),20),"second(s)","")),0)</f>
        <v/>
      </c>
      <c r="K1689" s="41">
        <f>J1689/60</f>
        <v/>
      </c>
      <c r="L1689" s="41">
        <f>IFERROR(J1689/H1689,"")</f>
        <v/>
      </c>
      <c r="M1689" s="25" t="inlineStr">
        <is>
          <t>2.5.12</t>
        </is>
      </c>
      <c r="N1689" s="25">
        <f>IF(J1689&gt;300,1,0)</f>
        <v/>
      </c>
      <c r="O1689" s="25">
        <f>IF(J1689&gt;600,1,0)</f>
        <v/>
      </c>
      <c r="P1689" s="25">
        <f>IF(H1689&gt;0,J1689,"")</f>
        <v/>
      </c>
      <c r="Q1689" s="25">
        <f>TEXT(A1689,"YYYY-MM-DD HH")</f>
        <v/>
      </c>
      <c r="R1689" s="25">
        <f>COUNTIF($Q$2:$Q$5295,Q1689)</f>
        <v/>
      </c>
      <c r="S1689" s="25">
        <f>IF(R1689&lt;=2,"1-2",IF(R1689&lt;=5,"3-5",IF(R1689&lt;=10,"6-10","11+")))</f>
        <v/>
      </c>
    </row>
    <row r="1690">
      <c r="A1690" s="39" t="n">
        <v>46169.49792824074</v>
      </c>
      <c r="B1690" s="25">
        <f>TEXT(A1690,"YYYY-MM")</f>
        <v/>
      </c>
      <c r="C1690" s="25">
        <f>TEXT(A1690,"MMM-YYYY")</f>
        <v/>
      </c>
      <c r="D1690" s="40">
        <f>INT(A1690)-WEEKDAY(A1690,2)+1</f>
        <v/>
      </c>
      <c r="E1690" s="25" t="inlineStr">
        <is>
          <t>ssarkar</t>
        </is>
      </c>
      <c r="F1690" s="25" t="n">
        <v>5976</v>
      </c>
      <c r="G1690" s="25" t="n">
        <v>1</v>
      </c>
      <c r="H1690" s="25" t="n">
        <v>7</v>
      </c>
      <c r="I1690" s="25" t="inlineStr">
        <is>
          <t>1 minute(s) and 28 second(s)</t>
        </is>
      </c>
      <c r="J1690" s="25">
        <f>IFERROR(VALUE(TRIM(LEFT(I1690,FIND("minute",I1690)-1)))*60,0)+IFERROR(VALUE(SUBSTITUTE(MID(I1690,IFERROR(FIND("and",I1690)+3,1),20),"second(s)","")),0)</f>
        <v/>
      </c>
      <c r="K1690" s="41">
        <f>J1690/60</f>
        <v/>
      </c>
      <c r="L1690" s="41">
        <f>IFERROR(J1690/H1690,"")</f>
        <v/>
      </c>
      <c r="M1690" s="25" t="inlineStr">
        <is>
          <t>2.5.12</t>
        </is>
      </c>
      <c r="N1690" s="25">
        <f>IF(J1690&gt;300,1,0)</f>
        <v/>
      </c>
      <c r="O1690" s="25">
        <f>IF(J1690&gt;600,1,0)</f>
        <v/>
      </c>
      <c r="P1690" s="25">
        <f>IF(H1690&gt;0,J1690,"")</f>
        <v/>
      </c>
      <c r="Q1690" s="25">
        <f>TEXT(A1690,"YYYY-MM-DD HH")</f>
        <v/>
      </c>
      <c r="R1690" s="25">
        <f>COUNTIF($Q$2:$Q$5295,Q1690)</f>
        <v/>
      </c>
      <c r="S1690" s="25">
        <f>IF(R1690&lt;=2,"1-2",IF(R1690&lt;=5,"3-5",IF(R1690&lt;=10,"6-10","11+")))</f>
        <v/>
      </c>
    </row>
    <row r="1691">
      <c r="A1691" s="39" t="n">
        <v>46169.50878472222</v>
      </c>
      <c r="B1691" s="25">
        <f>TEXT(A1691,"YYYY-MM")</f>
        <v/>
      </c>
      <c r="C1691" s="25">
        <f>TEXT(A1691,"MMM-YYYY")</f>
        <v/>
      </c>
      <c r="D1691" s="40">
        <f>INT(A1691)-WEEKDAY(A1691,2)+1</f>
        <v/>
      </c>
      <c r="E1691" s="25" t="inlineStr">
        <is>
          <t>sdey</t>
        </is>
      </c>
      <c r="F1691" s="25" t="n">
        <v>5412</v>
      </c>
      <c r="G1691" s="25" t="n">
        <v>1</v>
      </c>
      <c r="H1691" s="25" t="n">
        <v>5</v>
      </c>
      <c r="I1691" s="25" t="inlineStr">
        <is>
          <t>2 minute(s) and 8 second(s)</t>
        </is>
      </c>
      <c r="J1691" s="25">
        <f>IFERROR(VALUE(TRIM(LEFT(I1691,FIND("minute",I1691)-1)))*60,0)+IFERROR(VALUE(SUBSTITUTE(MID(I1691,IFERROR(FIND("and",I1691)+3,1),20),"second(s)","")),0)</f>
        <v/>
      </c>
      <c r="K1691" s="41">
        <f>J1691/60</f>
        <v/>
      </c>
      <c r="L1691" s="41">
        <f>IFERROR(J1691/H1691,"")</f>
        <v/>
      </c>
      <c r="M1691" s="25" t="inlineStr">
        <is>
          <t>2.5.12</t>
        </is>
      </c>
      <c r="N1691" s="25">
        <f>IF(J1691&gt;300,1,0)</f>
        <v/>
      </c>
      <c r="O1691" s="25">
        <f>IF(J1691&gt;600,1,0)</f>
        <v/>
      </c>
      <c r="P1691" s="25">
        <f>IF(H1691&gt;0,J1691,"")</f>
        <v/>
      </c>
      <c r="Q1691" s="25">
        <f>TEXT(A1691,"YYYY-MM-DD HH")</f>
        <v/>
      </c>
      <c r="R1691" s="25">
        <f>COUNTIF($Q$2:$Q$5295,Q1691)</f>
        <v/>
      </c>
      <c r="S1691" s="25">
        <f>IF(R1691&lt;=2,"1-2",IF(R1691&lt;=5,"3-5",IF(R1691&lt;=10,"6-10","11+")))</f>
        <v/>
      </c>
    </row>
    <row r="1692">
      <c r="A1692" s="39" t="n">
        <v>46169.5119212963</v>
      </c>
      <c r="B1692" s="25">
        <f>TEXT(A1692,"YYYY-MM")</f>
        <v/>
      </c>
      <c r="C1692" s="25">
        <f>TEXT(A1692,"MMM-YYYY")</f>
        <v/>
      </c>
      <c r="D1692" s="40">
        <f>INT(A1692)-WEEKDAY(A1692,2)+1</f>
        <v/>
      </c>
      <c r="E1692" s="25" t="inlineStr">
        <is>
          <t>psingh</t>
        </is>
      </c>
      <c r="F1692" s="25" t="n">
        <v>1940</v>
      </c>
      <c r="G1692" s="25" t="n">
        <v>2</v>
      </c>
      <c r="H1692" s="25" t="n">
        <v>12</v>
      </c>
      <c r="I1692" s="25" t="inlineStr">
        <is>
          <t>2 minute(s) and 52 second(s)</t>
        </is>
      </c>
      <c r="J1692" s="25">
        <f>IFERROR(VALUE(TRIM(LEFT(I1692,FIND("minute",I1692)-1)))*60,0)+IFERROR(VALUE(SUBSTITUTE(MID(I1692,IFERROR(FIND("and",I1692)+3,1),20),"second(s)","")),0)</f>
        <v/>
      </c>
      <c r="K1692" s="41">
        <f>J1692/60</f>
        <v/>
      </c>
      <c r="L1692" s="41">
        <f>IFERROR(J1692/H1692,"")</f>
        <v/>
      </c>
      <c r="M1692" s="25" t="inlineStr">
        <is>
          <t>2.5.12</t>
        </is>
      </c>
      <c r="N1692" s="25">
        <f>IF(J1692&gt;300,1,0)</f>
        <v/>
      </c>
      <c r="O1692" s="25">
        <f>IF(J1692&gt;600,1,0)</f>
        <v/>
      </c>
      <c r="P1692" s="25">
        <f>IF(H1692&gt;0,J1692,"")</f>
        <v/>
      </c>
      <c r="Q1692" s="25">
        <f>TEXT(A1692,"YYYY-MM-DD HH")</f>
        <v/>
      </c>
      <c r="R1692" s="25">
        <f>COUNTIF($Q$2:$Q$5295,Q1692)</f>
        <v/>
      </c>
      <c r="S1692" s="25">
        <f>IF(R1692&lt;=2,"1-2",IF(R1692&lt;=5,"3-5",IF(R1692&lt;=10,"6-10","11+")))</f>
        <v/>
      </c>
    </row>
    <row r="1693">
      <c r="A1693" s="39" t="n">
        <v>46169.52359953704</v>
      </c>
      <c r="B1693" s="25">
        <f>TEXT(A1693,"YYYY-MM")</f>
        <v/>
      </c>
      <c r="C1693" s="25">
        <f>TEXT(A1693,"MMM-YYYY")</f>
        <v/>
      </c>
      <c r="D1693" s="40">
        <f>INT(A1693)-WEEKDAY(A1693,2)+1</f>
        <v/>
      </c>
      <c r="E1693" s="25" t="inlineStr">
        <is>
          <t>mbhalla</t>
        </is>
      </c>
      <c r="F1693" s="25" t="n">
        <v>58724</v>
      </c>
      <c r="G1693" s="25" t="n">
        <v>1</v>
      </c>
      <c r="H1693" s="25" t="n">
        <v>7</v>
      </c>
      <c r="I1693" s="25" t="inlineStr">
        <is>
          <t>1 minute(s) and 26 second(s)</t>
        </is>
      </c>
      <c r="J1693" s="25">
        <f>IFERROR(VALUE(TRIM(LEFT(I1693,FIND("minute",I1693)-1)))*60,0)+IFERROR(VALUE(SUBSTITUTE(MID(I1693,IFERROR(FIND("and",I1693)+3,1),20),"second(s)","")),0)</f>
        <v/>
      </c>
      <c r="K1693" s="41">
        <f>J1693/60</f>
        <v/>
      </c>
      <c r="L1693" s="41">
        <f>IFERROR(J1693/H1693,"")</f>
        <v/>
      </c>
      <c r="M1693" s="25" t="inlineStr">
        <is>
          <t>2.5.12</t>
        </is>
      </c>
      <c r="N1693" s="25">
        <f>IF(J1693&gt;300,1,0)</f>
        <v/>
      </c>
      <c r="O1693" s="25">
        <f>IF(J1693&gt;600,1,0)</f>
        <v/>
      </c>
      <c r="P1693" s="25">
        <f>IF(H1693&gt;0,J1693,"")</f>
        <v/>
      </c>
      <c r="Q1693" s="25">
        <f>TEXT(A1693,"YYYY-MM-DD HH")</f>
        <v/>
      </c>
      <c r="R1693" s="25">
        <f>COUNTIF($Q$2:$Q$5295,Q1693)</f>
        <v/>
      </c>
      <c r="S1693" s="25">
        <f>IF(R1693&lt;=2,"1-2",IF(R1693&lt;=5,"3-5",IF(R1693&lt;=10,"6-10","11+")))</f>
        <v/>
      </c>
    </row>
    <row r="1694">
      <c r="A1694" s="39" t="n">
        <v>46169.54633101852</v>
      </c>
      <c r="B1694" s="25">
        <f>TEXT(A1694,"YYYY-MM")</f>
        <v/>
      </c>
      <c r="C1694" s="25">
        <f>TEXT(A1694,"MMM-YYYY")</f>
        <v/>
      </c>
      <c r="D1694" s="40">
        <f>INT(A1694)-WEEKDAY(A1694,2)+1</f>
        <v/>
      </c>
      <c r="E1694" s="25" t="inlineStr">
        <is>
          <t>psingh</t>
        </is>
      </c>
      <c r="F1694" s="25" t="n">
        <v>1940</v>
      </c>
      <c r="G1694" s="25" t="n">
        <v>1</v>
      </c>
      <c r="H1694" s="25" t="n">
        <v>7</v>
      </c>
      <c r="I1694" s="25" t="inlineStr">
        <is>
          <t>1 minute(s) and 15 second(s)</t>
        </is>
      </c>
      <c r="J1694" s="25">
        <f>IFERROR(VALUE(TRIM(LEFT(I1694,FIND("minute",I1694)-1)))*60,0)+IFERROR(VALUE(SUBSTITUTE(MID(I1694,IFERROR(FIND("and",I1694)+3,1),20),"second(s)","")),0)</f>
        <v/>
      </c>
      <c r="K1694" s="41">
        <f>J1694/60</f>
        <v/>
      </c>
      <c r="L1694" s="41">
        <f>IFERROR(J1694/H1694,"")</f>
        <v/>
      </c>
      <c r="M1694" s="25" t="inlineStr">
        <is>
          <t>2.5.12</t>
        </is>
      </c>
      <c r="N1694" s="25">
        <f>IF(J1694&gt;300,1,0)</f>
        <v/>
      </c>
      <c r="O1694" s="25">
        <f>IF(J1694&gt;600,1,0)</f>
        <v/>
      </c>
      <c r="P1694" s="25">
        <f>IF(H1694&gt;0,J1694,"")</f>
        <v/>
      </c>
      <c r="Q1694" s="25">
        <f>TEXT(A1694,"YYYY-MM-DD HH")</f>
        <v/>
      </c>
      <c r="R1694" s="25">
        <f>COUNTIF($Q$2:$Q$5295,Q1694)</f>
        <v/>
      </c>
      <c r="S1694" s="25">
        <f>IF(R1694&lt;=2,"1-2",IF(R1694&lt;=5,"3-5",IF(R1694&lt;=10,"6-10","11+")))</f>
        <v/>
      </c>
    </row>
    <row r="1695">
      <c r="A1695" s="39" t="n">
        <v>46169.5487037037</v>
      </c>
      <c r="B1695" s="25">
        <f>TEXT(A1695,"YYYY-MM")</f>
        <v/>
      </c>
      <c r="C1695" s="25">
        <f>TEXT(A1695,"MMM-YYYY")</f>
        <v/>
      </c>
      <c r="D1695" s="40">
        <f>INT(A1695)-WEEKDAY(A1695,2)+1</f>
        <v/>
      </c>
      <c r="E1695" s="25" t="inlineStr">
        <is>
          <t>psingh</t>
        </is>
      </c>
      <c r="F1695" s="25" t="n">
        <v>1940</v>
      </c>
      <c r="G1695" s="25" t="n">
        <v>1</v>
      </c>
      <c r="H1695" s="25" t="n">
        <v>7</v>
      </c>
      <c r="I1695" s="25" t="inlineStr">
        <is>
          <t>1 minute(s) and 28 second(s)</t>
        </is>
      </c>
      <c r="J1695" s="25">
        <f>IFERROR(VALUE(TRIM(LEFT(I1695,FIND("minute",I1695)-1)))*60,0)+IFERROR(VALUE(SUBSTITUTE(MID(I1695,IFERROR(FIND("and",I1695)+3,1),20),"second(s)","")),0)</f>
        <v/>
      </c>
      <c r="K1695" s="41">
        <f>J1695/60</f>
        <v/>
      </c>
      <c r="L1695" s="41">
        <f>IFERROR(J1695/H1695,"")</f>
        <v/>
      </c>
      <c r="M1695" s="25" t="inlineStr">
        <is>
          <t>2.5.12</t>
        </is>
      </c>
      <c r="N1695" s="25">
        <f>IF(J1695&gt;300,1,0)</f>
        <v/>
      </c>
      <c r="O1695" s="25">
        <f>IF(J1695&gt;600,1,0)</f>
        <v/>
      </c>
      <c r="P1695" s="25">
        <f>IF(H1695&gt;0,J1695,"")</f>
        <v/>
      </c>
      <c r="Q1695" s="25">
        <f>TEXT(A1695,"YYYY-MM-DD HH")</f>
        <v/>
      </c>
      <c r="R1695" s="25">
        <f>COUNTIF($Q$2:$Q$5295,Q1695)</f>
        <v/>
      </c>
      <c r="S1695" s="25">
        <f>IF(R1695&lt;=2,"1-2",IF(R1695&lt;=5,"3-5",IF(R1695&lt;=10,"6-10","11+")))</f>
        <v/>
      </c>
    </row>
    <row r="1696">
      <c r="A1696" s="39" t="n">
        <v>46169.54956018519</v>
      </c>
      <c r="B1696" s="25">
        <f>TEXT(A1696,"YYYY-MM")</f>
        <v/>
      </c>
      <c r="C1696" s="25">
        <f>TEXT(A1696,"MMM-YYYY")</f>
        <v/>
      </c>
      <c r="D1696" s="40">
        <f>INT(A1696)-WEEKDAY(A1696,2)+1</f>
        <v/>
      </c>
      <c r="E1696" s="25" t="inlineStr">
        <is>
          <t>pgautam</t>
        </is>
      </c>
      <c r="F1696" s="25" t="n">
        <v>45670</v>
      </c>
      <c r="G1696" s="25" t="n">
        <v>5</v>
      </c>
      <c r="H1696" s="25" t="n">
        <v>27</v>
      </c>
      <c r="I1696" s="25" t="inlineStr">
        <is>
          <t>8 minute(s) and 27 second(s)</t>
        </is>
      </c>
      <c r="J1696" s="25">
        <f>IFERROR(VALUE(TRIM(LEFT(I1696,FIND("minute",I1696)-1)))*60,0)+IFERROR(VALUE(SUBSTITUTE(MID(I1696,IFERROR(FIND("and",I1696)+3,1),20),"second(s)","")),0)</f>
        <v/>
      </c>
      <c r="K1696" s="41">
        <f>J1696/60</f>
        <v/>
      </c>
      <c r="L1696" s="41">
        <f>IFERROR(J1696/H1696,"")</f>
        <v/>
      </c>
      <c r="M1696" s="25" t="inlineStr">
        <is>
          <t>2.5.12</t>
        </is>
      </c>
      <c r="N1696" s="25">
        <f>IF(J1696&gt;300,1,0)</f>
        <v/>
      </c>
      <c r="O1696" s="25">
        <f>IF(J1696&gt;600,1,0)</f>
        <v/>
      </c>
      <c r="P1696" s="25">
        <f>IF(H1696&gt;0,J1696,"")</f>
        <v/>
      </c>
      <c r="Q1696" s="25">
        <f>TEXT(A1696,"YYYY-MM-DD HH")</f>
        <v/>
      </c>
      <c r="R1696" s="25">
        <f>COUNTIF($Q$2:$Q$5295,Q1696)</f>
        <v/>
      </c>
      <c r="S1696" s="25">
        <f>IF(R1696&lt;=2,"1-2",IF(R1696&lt;=5,"3-5",IF(R1696&lt;=10,"6-10","11+")))</f>
        <v/>
      </c>
    </row>
    <row r="1697">
      <c r="A1697" s="39" t="n">
        <v>46169.5733912037</v>
      </c>
      <c r="B1697" s="25">
        <f>TEXT(A1697,"YYYY-MM")</f>
        <v/>
      </c>
      <c r="C1697" s="25">
        <f>TEXT(A1697,"MMM-YYYY")</f>
        <v/>
      </c>
      <c r="D1697" s="40">
        <f>INT(A1697)-WEEKDAY(A1697,2)+1</f>
        <v/>
      </c>
      <c r="E1697" s="25" t="inlineStr">
        <is>
          <t>vprasad</t>
        </is>
      </c>
      <c r="F1697" s="25" t="n">
        <v>89883</v>
      </c>
      <c r="G1697" s="25" t="n">
        <v>4</v>
      </c>
      <c r="H1697" s="25" t="n">
        <v>14</v>
      </c>
      <c r="I1697" s="25" t="inlineStr">
        <is>
          <t>3 minute(s) and 52 second(s)</t>
        </is>
      </c>
      <c r="J1697" s="25">
        <f>IFERROR(VALUE(TRIM(LEFT(I1697,FIND("minute",I1697)-1)))*60,0)+IFERROR(VALUE(SUBSTITUTE(MID(I1697,IFERROR(FIND("and",I1697)+3,1),20),"second(s)","")),0)</f>
        <v/>
      </c>
      <c r="K1697" s="41">
        <f>J1697/60</f>
        <v/>
      </c>
      <c r="L1697" s="41">
        <f>IFERROR(J1697/H1697,"")</f>
        <v/>
      </c>
      <c r="M1697" s="25" t="inlineStr">
        <is>
          <t>2.5.12</t>
        </is>
      </c>
      <c r="N1697" s="25">
        <f>IF(J1697&gt;300,1,0)</f>
        <v/>
      </c>
      <c r="O1697" s="25">
        <f>IF(J1697&gt;600,1,0)</f>
        <v/>
      </c>
      <c r="P1697" s="25">
        <f>IF(H1697&gt;0,J1697,"")</f>
        <v/>
      </c>
      <c r="Q1697" s="25">
        <f>TEXT(A1697,"YYYY-MM-DD HH")</f>
        <v/>
      </c>
      <c r="R1697" s="25">
        <f>COUNTIF($Q$2:$Q$5295,Q1697)</f>
        <v/>
      </c>
      <c r="S1697" s="25">
        <f>IF(R1697&lt;=2,"1-2",IF(R1697&lt;=5,"3-5",IF(R1697&lt;=10,"6-10","11+")))</f>
        <v/>
      </c>
    </row>
    <row r="1698">
      <c r="A1698" s="39" t="n">
        <v>46169.57395833333</v>
      </c>
      <c r="B1698" s="25">
        <f>TEXT(A1698,"YYYY-MM")</f>
        <v/>
      </c>
      <c r="C1698" s="25">
        <f>TEXT(A1698,"MMM-YYYY")</f>
        <v/>
      </c>
      <c r="D1698" s="40">
        <f>INT(A1698)-WEEKDAY(A1698,2)+1</f>
        <v/>
      </c>
      <c r="E1698" s="25" t="inlineStr">
        <is>
          <t>mbhalla</t>
        </is>
      </c>
      <c r="F1698" s="25" t="n">
        <v>59777</v>
      </c>
      <c r="G1698" s="25" t="n">
        <v>1</v>
      </c>
      <c r="H1698" s="25" t="n">
        <v>7</v>
      </c>
      <c r="I1698" s="25" t="inlineStr">
        <is>
          <t>1 minute(s) and 27 second(s)</t>
        </is>
      </c>
      <c r="J1698" s="25">
        <f>IFERROR(VALUE(TRIM(LEFT(I1698,FIND("minute",I1698)-1)))*60,0)+IFERROR(VALUE(SUBSTITUTE(MID(I1698,IFERROR(FIND("and",I1698)+3,1),20),"second(s)","")),0)</f>
        <v/>
      </c>
      <c r="K1698" s="41">
        <f>J1698/60</f>
        <v/>
      </c>
      <c r="L1698" s="41">
        <f>IFERROR(J1698/H1698,"")</f>
        <v/>
      </c>
      <c r="M1698" s="25" t="inlineStr">
        <is>
          <t>2.5.12</t>
        </is>
      </c>
      <c r="N1698" s="25">
        <f>IF(J1698&gt;300,1,0)</f>
        <v/>
      </c>
      <c r="O1698" s="25">
        <f>IF(J1698&gt;600,1,0)</f>
        <v/>
      </c>
      <c r="P1698" s="25">
        <f>IF(H1698&gt;0,J1698,"")</f>
        <v/>
      </c>
      <c r="Q1698" s="25">
        <f>TEXT(A1698,"YYYY-MM-DD HH")</f>
        <v/>
      </c>
      <c r="R1698" s="25">
        <f>COUNTIF($Q$2:$Q$5295,Q1698)</f>
        <v/>
      </c>
      <c r="S1698" s="25">
        <f>IF(R1698&lt;=2,"1-2",IF(R1698&lt;=5,"3-5",IF(R1698&lt;=10,"6-10","11+")))</f>
        <v/>
      </c>
    </row>
    <row r="1699">
      <c r="A1699" s="39" t="n">
        <v>46169.619375</v>
      </c>
      <c r="B1699" s="25">
        <f>TEXT(A1699,"YYYY-MM")</f>
        <v/>
      </c>
      <c r="C1699" s="25">
        <f>TEXT(A1699,"MMM-YYYY")</f>
        <v/>
      </c>
      <c r="D1699" s="40">
        <f>INT(A1699)-WEEKDAY(A1699,2)+1</f>
        <v/>
      </c>
      <c r="E1699" s="25" t="inlineStr">
        <is>
          <t>mbhalla</t>
        </is>
      </c>
      <c r="F1699" s="25" t="n">
        <v>62370</v>
      </c>
      <c r="G1699" s="25" t="n">
        <v>1</v>
      </c>
      <c r="H1699" s="25" t="n">
        <v>7</v>
      </c>
      <c r="I1699" s="25" t="inlineStr">
        <is>
          <t>2 minute(s) and 38 second(s)</t>
        </is>
      </c>
      <c r="J1699" s="25">
        <f>IFERROR(VALUE(TRIM(LEFT(I1699,FIND("minute",I1699)-1)))*60,0)+IFERROR(VALUE(SUBSTITUTE(MID(I1699,IFERROR(FIND("and",I1699)+3,1),20),"second(s)","")),0)</f>
        <v/>
      </c>
      <c r="K1699" s="41">
        <f>J1699/60</f>
        <v/>
      </c>
      <c r="L1699" s="41">
        <f>IFERROR(J1699/H1699,"")</f>
        <v/>
      </c>
      <c r="M1699" s="25" t="inlineStr">
        <is>
          <t>2.5.12</t>
        </is>
      </c>
      <c r="N1699" s="25">
        <f>IF(J1699&gt;300,1,0)</f>
        <v/>
      </c>
      <c r="O1699" s="25">
        <f>IF(J1699&gt;600,1,0)</f>
        <v/>
      </c>
      <c r="P1699" s="25">
        <f>IF(H1699&gt;0,J1699,"")</f>
        <v/>
      </c>
      <c r="Q1699" s="25">
        <f>TEXT(A1699,"YYYY-MM-DD HH")</f>
        <v/>
      </c>
      <c r="R1699" s="25">
        <f>COUNTIF($Q$2:$Q$5295,Q1699)</f>
        <v/>
      </c>
      <c r="S1699" s="25">
        <f>IF(R1699&lt;=2,"1-2",IF(R1699&lt;=5,"3-5",IF(R1699&lt;=10,"6-10","11+")))</f>
        <v/>
      </c>
    </row>
    <row r="1700">
      <c r="A1700" s="39" t="n">
        <v>46169.62217592593</v>
      </c>
      <c r="B1700" s="25">
        <f>TEXT(A1700,"YYYY-MM")</f>
        <v/>
      </c>
      <c r="C1700" s="25">
        <f>TEXT(A1700,"MMM-YYYY")</f>
        <v/>
      </c>
      <c r="D1700" s="40">
        <f>INT(A1700)-WEEKDAY(A1700,2)+1</f>
        <v/>
      </c>
      <c r="E1700" s="25" t="inlineStr">
        <is>
          <t>vprasad</t>
        </is>
      </c>
      <c r="F1700" s="25" t="n">
        <v>89872</v>
      </c>
      <c r="G1700" s="25" t="n">
        <v>4</v>
      </c>
      <c r="H1700" s="25" t="n">
        <v>14</v>
      </c>
      <c r="I1700" s="25" t="inlineStr">
        <is>
          <t>2 minute(s) and 23 second(s)</t>
        </is>
      </c>
      <c r="J1700" s="25">
        <f>IFERROR(VALUE(TRIM(LEFT(I1700,FIND("minute",I1700)-1)))*60,0)+IFERROR(VALUE(SUBSTITUTE(MID(I1700,IFERROR(FIND("and",I1700)+3,1),20),"second(s)","")),0)</f>
        <v/>
      </c>
      <c r="K1700" s="41">
        <f>J1700/60</f>
        <v/>
      </c>
      <c r="L1700" s="41">
        <f>IFERROR(J1700/H1700,"")</f>
        <v/>
      </c>
      <c r="M1700" s="25" t="inlineStr">
        <is>
          <t>2.5.12</t>
        </is>
      </c>
      <c r="N1700" s="25">
        <f>IF(J1700&gt;300,1,0)</f>
        <v/>
      </c>
      <c r="O1700" s="25">
        <f>IF(J1700&gt;600,1,0)</f>
        <v/>
      </c>
      <c r="P1700" s="25">
        <f>IF(H1700&gt;0,J1700,"")</f>
        <v/>
      </c>
      <c r="Q1700" s="25">
        <f>TEXT(A1700,"YYYY-MM-DD HH")</f>
        <v/>
      </c>
      <c r="R1700" s="25">
        <f>COUNTIF($Q$2:$Q$5295,Q1700)</f>
        <v/>
      </c>
      <c r="S1700" s="25">
        <f>IF(R1700&lt;=2,"1-2",IF(R1700&lt;=5,"3-5",IF(R1700&lt;=10,"6-10","11+")))</f>
        <v/>
      </c>
    </row>
    <row r="1701">
      <c r="A1701" s="39" t="n">
        <v>46169.63675925926</v>
      </c>
      <c r="B1701" s="25">
        <f>TEXT(A1701,"YYYY-MM")</f>
        <v/>
      </c>
      <c r="C1701" s="25">
        <f>TEXT(A1701,"MMM-YYYY")</f>
        <v/>
      </c>
      <c r="D1701" s="40">
        <f>INT(A1701)-WEEKDAY(A1701,2)+1</f>
        <v/>
      </c>
      <c r="E1701" s="25" t="inlineStr">
        <is>
          <t>mbhalla</t>
        </is>
      </c>
      <c r="F1701" s="25" t="n">
        <v>62409</v>
      </c>
      <c r="G1701" s="25" t="n">
        <v>1</v>
      </c>
      <c r="H1701" s="25" t="n">
        <v>7</v>
      </c>
      <c r="I1701" s="25" t="inlineStr">
        <is>
          <t>2 minute(s) and 19 second(s)</t>
        </is>
      </c>
      <c r="J1701" s="25">
        <f>IFERROR(VALUE(TRIM(LEFT(I1701,FIND("minute",I1701)-1)))*60,0)+IFERROR(VALUE(SUBSTITUTE(MID(I1701,IFERROR(FIND("and",I1701)+3,1),20),"second(s)","")),0)</f>
        <v/>
      </c>
      <c r="K1701" s="41">
        <f>J1701/60</f>
        <v/>
      </c>
      <c r="L1701" s="41">
        <f>IFERROR(J1701/H1701,"")</f>
        <v/>
      </c>
      <c r="M1701" s="25" t="inlineStr">
        <is>
          <t>2.5.12</t>
        </is>
      </c>
      <c r="N1701" s="25">
        <f>IF(J1701&gt;300,1,0)</f>
        <v/>
      </c>
      <c r="O1701" s="25">
        <f>IF(J1701&gt;600,1,0)</f>
        <v/>
      </c>
      <c r="P1701" s="25">
        <f>IF(H1701&gt;0,J1701,"")</f>
        <v/>
      </c>
      <c r="Q1701" s="25">
        <f>TEXT(A1701,"YYYY-MM-DD HH")</f>
        <v/>
      </c>
      <c r="R1701" s="25">
        <f>COUNTIF($Q$2:$Q$5295,Q1701)</f>
        <v/>
      </c>
      <c r="S1701" s="25">
        <f>IF(R1701&lt;=2,"1-2",IF(R1701&lt;=5,"3-5",IF(R1701&lt;=10,"6-10","11+")))</f>
        <v/>
      </c>
    </row>
    <row r="1702">
      <c r="A1702" s="39" t="n">
        <v>46169.65310185185</v>
      </c>
      <c r="B1702" s="25">
        <f>TEXT(A1702,"YYYY-MM")</f>
        <v/>
      </c>
      <c r="C1702" s="25">
        <f>TEXT(A1702,"MMM-YYYY")</f>
        <v/>
      </c>
      <c r="D1702" s="40">
        <f>INT(A1702)-WEEKDAY(A1702,2)+1</f>
        <v/>
      </c>
      <c r="E1702" s="25" t="inlineStr">
        <is>
          <t>psingh</t>
        </is>
      </c>
      <c r="F1702" s="25" t="n">
        <v>1941</v>
      </c>
      <c r="G1702" s="25" t="n">
        <v>2</v>
      </c>
      <c r="H1702" s="25" t="n">
        <v>12</v>
      </c>
      <c r="I1702" s="25" t="inlineStr">
        <is>
          <t>3 minute(s) and 12 second(s)</t>
        </is>
      </c>
      <c r="J1702" s="25">
        <f>IFERROR(VALUE(TRIM(LEFT(I1702,FIND("minute",I1702)-1)))*60,0)+IFERROR(VALUE(SUBSTITUTE(MID(I1702,IFERROR(FIND("and",I1702)+3,1),20),"second(s)","")),0)</f>
        <v/>
      </c>
      <c r="K1702" s="41">
        <f>J1702/60</f>
        <v/>
      </c>
      <c r="L1702" s="41">
        <f>IFERROR(J1702/H1702,"")</f>
        <v/>
      </c>
      <c r="M1702" s="25" t="inlineStr">
        <is>
          <t>2.5.12</t>
        </is>
      </c>
      <c r="N1702" s="25">
        <f>IF(J1702&gt;300,1,0)</f>
        <v/>
      </c>
      <c r="O1702" s="25">
        <f>IF(J1702&gt;600,1,0)</f>
        <v/>
      </c>
      <c r="P1702" s="25">
        <f>IF(H1702&gt;0,J1702,"")</f>
        <v/>
      </c>
      <c r="Q1702" s="25">
        <f>TEXT(A1702,"YYYY-MM-DD HH")</f>
        <v/>
      </c>
      <c r="R1702" s="25">
        <f>COUNTIF($Q$2:$Q$5295,Q1702)</f>
        <v/>
      </c>
      <c r="S1702" s="25">
        <f>IF(R1702&lt;=2,"1-2",IF(R1702&lt;=5,"3-5",IF(R1702&lt;=10,"6-10","11+")))</f>
        <v/>
      </c>
    </row>
    <row r="1703">
      <c r="A1703" s="39" t="n">
        <v>46169.65715277778</v>
      </c>
      <c r="B1703" s="25">
        <f>TEXT(A1703,"YYYY-MM")</f>
        <v/>
      </c>
      <c r="C1703" s="25">
        <f>TEXT(A1703,"MMM-YYYY")</f>
        <v/>
      </c>
      <c r="D1703" s="40">
        <f>INT(A1703)-WEEKDAY(A1703,2)+1</f>
        <v/>
      </c>
      <c r="E1703" s="25" t="inlineStr">
        <is>
          <t>mbhalla</t>
        </is>
      </c>
      <c r="F1703" s="25" t="n">
        <v>4883</v>
      </c>
      <c r="G1703" s="25" t="n">
        <v>2</v>
      </c>
      <c r="H1703" s="25" t="n">
        <v>10</v>
      </c>
      <c r="I1703" s="25" t="inlineStr">
        <is>
          <t>1 minute(s) and 54 second(s)</t>
        </is>
      </c>
      <c r="J1703" s="25">
        <f>IFERROR(VALUE(TRIM(LEFT(I1703,FIND("minute",I1703)-1)))*60,0)+IFERROR(VALUE(SUBSTITUTE(MID(I1703,IFERROR(FIND("and",I1703)+3,1),20),"second(s)","")),0)</f>
        <v/>
      </c>
      <c r="K1703" s="41">
        <f>J1703/60</f>
        <v/>
      </c>
      <c r="L1703" s="41">
        <f>IFERROR(J1703/H1703,"")</f>
        <v/>
      </c>
      <c r="M1703" s="25" t="inlineStr">
        <is>
          <t>2.5.12</t>
        </is>
      </c>
      <c r="N1703" s="25">
        <f>IF(J1703&gt;300,1,0)</f>
        <v/>
      </c>
      <c r="O1703" s="25">
        <f>IF(J1703&gt;600,1,0)</f>
        <v/>
      </c>
      <c r="P1703" s="25">
        <f>IF(H1703&gt;0,J1703,"")</f>
        <v/>
      </c>
      <c r="Q1703" s="25">
        <f>TEXT(A1703,"YYYY-MM-DD HH")</f>
        <v/>
      </c>
      <c r="R1703" s="25">
        <f>COUNTIF($Q$2:$Q$5295,Q1703)</f>
        <v/>
      </c>
      <c r="S1703" s="25">
        <f>IF(R1703&lt;=2,"1-2",IF(R1703&lt;=5,"3-5",IF(R1703&lt;=10,"6-10","11+")))</f>
        <v/>
      </c>
    </row>
    <row r="1704">
      <c r="A1704" s="39" t="n">
        <v>46169.70133101852</v>
      </c>
      <c r="B1704" s="25">
        <f>TEXT(A1704,"YYYY-MM")</f>
        <v/>
      </c>
      <c r="C1704" s="25">
        <f>TEXT(A1704,"MMM-YYYY")</f>
        <v/>
      </c>
      <c r="D1704" s="40">
        <f>INT(A1704)-WEEKDAY(A1704,2)+1</f>
        <v/>
      </c>
      <c r="E1704" s="25" t="inlineStr">
        <is>
          <t>emishra</t>
        </is>
      </c>
      <c r="F1704" s="25" t="n">
        <v>8428</v>
      </c>
      <c r="G1704" s="25" t="n">
        <v>1</v>
      </c>
      <c r="H1704" s="25" t="n">
        <v>7</v>
      </c>
      <c r="I1704" s="25" t="inlineStr">
        <is>
          <t>1 minute(s) and 19 second(s)</t>
        </is>
      </c>
      <c r="J1704" s="25">
        <f>IFERROR(VALUE(TRIM(LEFT(I1704,FIND("minute",I1704)-1)))*60,0)+IFERROR(VALUE(SUBSTITUTE(MID(I1704,IFERROR(FIND("and",I1704)+3,1),20),"second(s)","")),0)</f>
        <v/>
      </c>
      <c r="K1704" s="41">
        <f>J1704/60</f>
        <v/>
      </c>
      <c r="L1704" s="41">
        <f>IFERROR(J1704/H1704,"")</f>
        <v/>
      </c>
      <c r="M1704" s="25" t="inlineStr">
        <is>
          <t>2.5.12</t>
        </is>
      </c>
      <c r="N1704" s="25">
        <f>IF(J1704&gt;300,1,0)</f>
        <v/>
      </c>
      <c r="O1704" s="25">
        <f>IF(J1704&gt;600,1,0)</f>
        <v/>
      </c>
      <c r="P1704" s="25">
        <f>IF(H1704&gt;0,J1704,"")</f>
        <v/>
      </c>
      <c r="Q1704" s="25">
        <f>TEXT(A1704,"YYYY-MM-DD HH")</f>
        <v/>
      </c>
      <c r="R1704" s="25">
        <f>COUNTIF($Q$2:$Q$5295,Q1704)</f>
        <v/>
      </c>
      <c r="S1704" s="25">
        <f>IF(R1704&lt;=2,"1-2",IF(R1704&lt;=5,"3-5",IF(R1704&lt;=10,"6-10","11+")))</f>
        <v/>
      </c>
    </row>
    <row r="1705">
      <c r="A1705" s="39" t="n">
        <v>46169.7066550926</v>
      </c>
      <c r="B1705" s="25">
        <f>TEXT(A1705,"YYYY-MM")</f>
        <v/>
      </c>
      <c r="C1705" s="25">
        <f>TEXT(A1705,"MMM-YYYY")</f>
        <v/>
      </c>
      <c r="D1705" s="40">
        <f>INT(A1705)-WEEKDAY(A1705,2)+1</f>
        <v/>
      </c>
      <c r="E1705" s="25" t="inlineStr">
        <is>
          <t>rsingh</t>
        </is>
      </c>
      <c r="F1705" s="25" t="n">
        <v>69096</v>
      </c>
      <c r="G1705" s="25" t="n">
        <v>1</v>
      </c>
      <c r="H1705" s="25" t="n">
        <v>7</v>
      </c>
      <c r="I1705" s="25" t="inlineStr">
        <is>
          <t>3 minute(s) and 35 second(s)</t>
        </is>
      </c>
      <c r="J1705" s="25">
        <f>IFERROR(VALUE(TRIM(LEFT(I1705,FIND("minute",I1705)-1)))*60,0)+IFERROR(VALUE(SUBSTITUTE(MID(I1705,IFERROR(FIND("and",I1705)+3,1),20),"second(s)","")),0)</f>
        <v/>
      </c>
      <c r="K1705" s="41">
        <f>J1705/60</f>
        <v/>
      </c>
      <c r="L1705" s="41">
        <f>IFERROR(J1705/H1705,"")</f>
        <v/>
      </c>
      <c r="M1705" s="25" t="inlineStr">
        <is>
          <t>2.5.12</t>
        </is>
      </c>
      <c r="N1705" s="25">
        <f>IF(J1705&gt;300,1,0)</f>
        <v/>
      </c>
      <c r="O1705" s="25">
        <f>IF(J1705&gt;600,1,0)</f>
        <v/>
      </c>
      <c r="P1705" s="25">
        <f>IF(H1705&gt;0,J1705,"")</f>
        <v/>
      </c>
      <c r="Q1705" s="25">
        <f>TEXT(A1705,"YYYY-MM-DD HH")</f>
        <v/>
      </c>
      <c r="R1705" s="25">
        <f>COUNTIF($Q$2:$Q$5295,Q1705)</f>
        <v/>
      </c>
      <c r="S1705" s="25">
        <f>IF(R1705&lt;=2,"1-2",IF(R1705&lt;=5,"3-5",IF(R1705&lt;=10,"6-10","11+")))</f>
        <v/>
      </c>
    </row>
    <row r="1706">
      <c r="A1706" s="39" t="n">
        <v>46169.72045138889</v>
      </c>
      <c r="B1706" s="25">
        <f>TEXT(A1706,"YYYY-MM")</f>
        <v/>
      </c>
      <c r="C1706" s="25">
        <f>TEXT(A1706,"MMM-YYYY")</f>
        <v/>
      </c>
      <c r="D1706" s="40">
        <f>INT(A1706)-WEEKDAY(A1706,2)+1</f>
        <v/>
      </c>
      <c r="E1706" s="25" t="inlineStr">
        <is>
          <t>emishra</t>
        </is>
      </c>
      <c r="F1706" s="25" t="n">
        <v>5024</v>
      </c>
      <c r="G1706" s="25" t="n">
        <v>1</v>
      </c>
      <c r="H1706" s="25" t="n">
        <v>7</v>
      </c>
      <c r="I1706" s="25" t="inlineStr">
        <is>
          <t>1 minute(s) and 26 second(s)</t>
        </is>
      </c>
      <c r="J1706" s="25">
        <f>IFERROR(VALUE(TRIM(LEFT(I1706,FIND("minute",I1706)-1)))*60,0)+IFERROR(VALUE(SUBSTITUTE(MID(I1706,IFERROR(FIND("and",I1706)+3,1),20),"second(s)","")),0)</f>
        <v/>
      </c>
      <c r="K1706" s="41">
        <f>J1706/60</f>
        <v/>
      </c>
      <c r="L1706" s="41">
        <f>IFERROR(J1706/H1706,"")</f>
        <v/>
      </c>
      <c r="M1706" s="25" t="inlineStr">
        <is>
          <t>2.5.12</t>
        </is>
      </c>
      <c r="N1706" s="25">
        <f>IF(J1706&gt;300,1,0)</f>
        <v/>
      </c>
      <c r="O1706" s="25">
        <f>IF(J1706&gt;600,1,0)</f>
        <v/>
      </c>
      <c r="P1706" s="25">
        <f>IF(H1706&gt;0,J1706,"")</f>
        <v/>
      </c>
      <c r="Q1706" s="25">
        <f>TEXT(A1706,"YYYY-MM-DD HH")</f>
        <v/>
      </c>
      <c r="R1706" s="25">
        <f>COUNTIF($Q$2:$Q$5295,Q1706)</f>
        <v/>
      </c>
      <c r="S1706" s="25">
        <f>IF(R1706&lt;=2,"1-2",IF(R1706&lt;=5,"3-5",IF(R1706&lt;=10,"6-10","11+")))</f>
        <v/>
      </c>
    </row>
    <row r="1707">
      <c r="A1707" s="39" t="n">
        <v>46169.7390162037</v>
      </c>
      <c r="B1707" s="25">
        <f>TEXT(A1707,"YYYY-MM")</f>
        <v/>
      </c>
      <c r="C1707" s="25">
        <f>TEXT(A1707,"MMM-YYYY")</f>
        <v/>
      </c>
      <c r="D1707" s="40">
        <f>INT(A1707)-WEEKDAY(A1707,2)+1</f>
        <v/>
      </c>
      <c r="E1707" s="25" t="inlineStr">
        <is>
          <t>emishra</t>
        </is>
      </c>
      <c r="F1707" s="25" t="n">
        <v>5025</v>
      </c>
      <c r="G1707" s="25" t="n">
        <v>1</v>
      </c>
      <c r="H1707" s="25" t="n">
        <v>7</v>
      </c>
      <c r="I1707" s="25" t="inlineStr">
        <is>
          <t>1 minute(s) and 31 second(s)</t>
        </is>
      </c>
      <c r="J1707" s="25">
        <f>IFERROR(VALUE(TRIM(LEFT(I1707,FIND("minute",I1707)-1)))*60,0)+IFERROR(VALUE(SUBSTITUTE(MID(I1707,IFERROR(FIND("and",I1707)+3,1),20),"second(s)","")),0)</f>
        <v/>
      </c>
      <c r="K1707" s="41">
        <f>J1707/60</f>
        <v/>
      </c>
      <c r="L1707" s="41">
        <f>IFERROR(J1707/H1707,"")</f>
        <v/>
      </c>
      <c r="M1707" s="25" t="inlineStr">
        <is>
          <t>2.5.12</t>
        </is>
      </c>
      <c r="N1707" s="25">
        <f>IF(J1707&gt;300,1,0)</f>
        <v/>
      </c>
      <c r="O1707" s="25">
        <f>IF(J1707&gt;600,1,0)</f>
        <v/>
      </c>
      <c r="P1707" s="25">
        <f>IF(H1707&gt;0,J1707,"")</f>
        <v/>
      </c>
      <c r="Q1707" s="25">
        <f>TEXT(A1707,"YYYY-MM-DD HH")</f>
        <v/>
      </c>
      <c r="R1707" s="25">
        <f>COUNTIF($Q$2:$Q$5295,Q1707)</f>
        <v/>
      </c>
      <c r="S1707" s="25">
        <f>IF(R1707&lt;=2,"1-2",IF(R1707&lt;=5,"3-5",IF(R1707&lt;=10,"6-10","11+")))</f>
        <v/>
      </c>
    </row>
    <row r="1708">
      <c r="A1708" s="39" t="n">
        <v>46169.76729166666</v>
      </c>
      <c r="B1708" s="25">
        <f>TEXT(A1708,"YYYY-MM")</f>
        <v/>
      </c>
      <c r="C1708" s="25">
        <f>TEXT(A1708,"MMM-YYYY")</f>
        <v/>
      </c>
      <c r="D1708" s="40">
        <f>INT(A1708)-WEEKDAY(A1708,2)+1</f>
        <v/>
      </c>
      <c r="E1708" s="25" t="inlineStr">
        <is>
          <t>psingh</t>
        </is>
      </c>
      <c r="F1708" s="25" t="n">
        <v>1952</v>
      </c>
      <c r="G1708" s="25" t="n">
        <v>1</v>
      </c>
      <c r="H1708" s="25" t="n">
        <v>7</v>
      </c>
      <c r="I1708" s="25" t="inlineStr">
        <is>
          <t>1 minute(s) and 21 second(s)</t>
        </is>
      </c>
      <c r="J1708" s="25">
        <f>IFERROR(VALUE(TRIM(LEFT(I1708,FIND("minute",I1708)-1)))*60,0)+IFERROR(VALUE(SUBSTITUTE(MID(I1708,IFERROR(FIND("and",I1708)+3,1),20),"second(s)","")),0)</f>
        <v/>
      </c>
      <c r="K1708" s="41">
        <f>J1708/60</f>
        <v/>
      </c>
      <c r="L1708" s="41">
        <f>IFERROR(J1708/H1708,"")</f>
        <v/>
      </c>
      <c r="M1708" s="25" t="inlineStr">
        <is>
          <t>2.5.12</t>
        </is>
      </c>
      <c r="N1708" s="25">
        <f>IF(J1708&gt;300,1,0)</f>
        <v/>
      </c>
      <c r="O1708" s="25">
        <f>IF(J1708&gt;600,1,0)</f>
        <v/>
      </c>
      <c r="P1708" s="25">
        <f>IF(H1708&gt;0,J1708,"")</f>
        <v/>
      </c>
      <c r="Q1708" s="25">
        <f>TEXT(A1708,"YYYY-MM-DD HH")</f>
        <v/>
      </c>
      <c r="R1708" s="25">
        <f>COUNTIF($Q$2:$Q$5295,Q1708)</f>
        <v/>
      </c>
      <c r="S1708" s="25">
        <f>IF(R1708&lt;=2,"1-2",IF(R1708&lt;=5,"3-5",IF(R1708&lt;=10,"6-10","11+")))</f>
        <v/>
      </c>
    </row>
    <row r="1709">
      <c r="A1709" s="39" t="n">
        <v>46169.77936342593</v>
      </c>
      <c r="B1709" s="25">
        <f>TEXT(A1709,"YYYY-MM")</f>
        <v/>
      </c>
      <c r="C1709" s="25">
        <f>TEXT(A1709,"MMM-YYYY")</f>
        <v/>
      </c>
      <c r="D1709" s="40">
        <f>INT(A1709)-WEEKDAY(A1709,2)+1</f>
        <v/>
      </c>
      <c r="E1709" s="25" t="inlineStr">
        <is>
          <t>rsingh</t>
        </is>
      </c>
      <c r="F1709" s="25" t="n">
        <v>6214</v>
      </c>
      <c r="G1709" s="25" t="n">
        <v>1</v>
      </c>
      <c r="H1709" s="25" t="n">
        <v>5</v>
      </c>
      <c r="I1709" s="25" t="inlineStr">
        <is>
          <t>2 minute(s) and 21 second(s)</t>
        </is>
      </c>
      <c r="J1709" s="25">
        <f>IFERROR(VALUE(TRIM(LEFT(I1709,FIND("minute",I1709)-1)))*60,0)+IFERROR(VALUE(SUBSTITUTE(MID(I1709,IFERROR(FIND("and",I1709)+3,1),20),"second(s)","")),0)</f>
        <v/>
      </c>
      <c r="K1709" s="41">
        <f>J1709/60</f>
        <v/>
      </c>
      <c r="L1709" s="41">
        <f>IFERROR(J1709/H1709,"")</f>
        <v/>
      </c>
      <c r="M1709" s="25" t="inlineStr">
        <is>
          <t>2.5.12</t>
        </is>
      </c>
      <c r="N1709" s="25">
        <f>IF(J1709&gt;300,1,0)</f>
        <v/>
      </c>
      <c r="O1709" s="25">
        <f>IF(J1709&gt;600,1,0)</f>
        <v/>
      </c>
      <c r="P1709" s="25">
        <f>IF(H1709&gt;0,J1709,"")</f>
        <v/>
      </c>
      <c r="Q1709" s="25">
        <f>TEXT(A1709,"YYYY-MM-DD HH")</f>
        <v/>
      </c>
      <c r="R1709" s="25">
        <f>COUNTIF($Q$2:$Q$5295,Q1709)</f>
        <v/>
      </c>
      <c r="S1709" s="25">
        <f>IF(R1709&lt;=2,"1-2",IF(R1709&lt;=5,"3-5",IF(R1709&lt;=10,"6-10","11+")))</f>
        <v/>
      </c>
    </row>
    <row r="1710">
      <c r="A1710" s="39" t="n">
        <v>46169.79859953704</v>
      </c>
      <c r="B1710" s="25">
        <f>TEXT(A1710,"YYYY-MM")</f>
        <v/>
      </c>
      <c r="C1710" s="25">
        <f>TEXT(A1710,"MMM-YYYY")</f>
        <v/>
      </c>
      <c r="D1710" s="40">
        <f>INT(A1710)-WEEKDAY(A1710,2)+1</f>
        <v/>
      </c>
      <c r="E1710" s="25" t="inlineStr">
        <is>
          <t>dchoudhury</t>
        </is>
      </c>
      <c r="F1710" s="25" t="n">
        <v>5476</v>
      </c>
      <c r="G1710" s="25" t="n">
        <v>1</v>
      </c>
      <c r="H1710" s="25" t="n">
        <v>7</v>
      </c>
      <c r="I1710" s="25" t="inlineStr">
        <is>
          <t>3 minute(s) and 7 second(s)</t>
        </is>
      </c>
      <c r="J1710" s="25">
        <f>IFERROR(VALUE(TRIM(LEFT(I1710,FIND("minute",I1710)-1)))*60,0)+IFERROR(VALUE(SUBSTITUTE(MID(I1710,IFERROR(FIND("and",I1710)+3,1),20),"second(s)","")),0)</f>
        <v/>
      </c>
      <c r="K1710" s="41">
        <f>J1710/60</f>
        <v/>
      </c>
      <c r="L1710" s="41">
        <f>IFERROR(J1710/H1710,"")</f>
        <v/>
      </c>
      <c r="M1710" s="25" t="inlineStr">
        <is>
          <t>2.5.12</t>
        </is>
      </c>
      <c r="N1710" s="25">
        <f>IF(J1710&gt;300,1,0)</f>
        <v/>
      </c>
      <c r="O1710" s="25">
        <f>IF(J1710&gt;600,1,0)</f>
        <v/>
      </c>
      <c r="P1710" s="25">
        <f>IF(H1710&gt;0,J1710,"")</f>
        <v/>
      </c>
      <c r="Q1710" s="25">
        <f>TEXT(A1710,"YYYY-MM-DD HH")</f>
        <v/>
      </c>
      <c r="R1710" s="25">
        <f>COUNTIF($Q$2:$Q$5295,Q1710)</f>
        <v/>
      </c>
      <c r="S1710" s="25">
        <f>IF(R1710&lt;=2,"1-2",IF(R1710&lt;=5,"3-5",IF(R1710&lt;=10,"6-10","11+")))</f>
        <v/>
      </c>
    </row>
    <row r="1711">
      <c r="A1711" s="39" t="n">
        <v>46169.80377314815</v>
      </c>
      <c r="B1711" s="25">
        <f>TEXT(A1711,"YYYY-MM")</f>
        <v/>
      </c>
      <c r="C1711" s="25">
        <f>TEXT(A1711,"MMM-YYYY")</f>
        <v/>
      </c>
      <c r="D1711" s="40">
        <f>INT(A1711)-WEEKDAY(A1711,2)+1</f>
        <v/>
      </c>
      <c r="E1711" s="25" t="inlineStr">
        <is>
          <t>rsingh</t>
        </is>
      </c>
      <c r="F1711" s="25" t="n">
        <v>6215</v>
      </c>
      <c r="G1711" s="25" t="n">
        <v>1</v>
      </c>
      <c r="H1711" s="25" t="n">
        <v>7</v>
      </c>
      <c r="I1711" s="25" t="inlineStr">
        <is>
          <t>2 minute(s) and 56 second(s)</t>
        </is>
      </c>
      <c r="J1711" s="25">
        <f>IFERROR(VALUE(TRIM(LEFT(I1711,FIND("minute",I1711)-1)))*60,0)+IFERROR(VALUE(SUBSTITUTE(MID(I1711,IFERROR(FIND("and",I1711)+3,1),20),"second(s)","")),0)</f>
        <v/>
      </c>
      <c r="K1711" s="41">
        <f>J1711/60</f>
        <v/>
      </c>
      <c r="L1711" s="41">
        <f>IFERROR(J1711/H1711,"")</f>
        <v/>
      </c>
      <c r="M1711" s="25" t="inlineStr">
        <is>
          <t>2.5.12</t>
        </is>
      </c>
      <c r="N1711" s="25">
        <f>IF(J1711&gt;300,1,0)</f>
        <v/>
      </c>
      <c r="O1711" s="25">
        <f>IF(J1711&gt;600,1,0)</f>
        <v/>
      </c>
      <c r="P1711" s="25">
        <f>IF(H1711&gt;0,J1711,"")</f>
        <v/>
      </c>
      <c r="Q1711" s="25">
        <f>TEXT(A1711,"YYYY-MM-DD HH")</f>
        <v/>
      </c>
      <c r="R1711" s="25">
        <f>COUNTIF($Q$2:$Q$5295,Q1711)</f>
        <v/>
      </c>
      <c r="S1711" s="25">
        <f>IF(R1711&lt;=2,"1-2",IF(R1711&lt;=5,"3-5",IF(R1711&lt;=10,"6-10","11+")))</f>
        <v/>
      </c>
    </row>
    <row r="1712">
      <c r="A1712" s="39" t="n">
        <v>46169.83824074074</v>
      </c>
      <c r="B1712" s="25">
        <f>TEXT(A1712,"YYYY-MM")</f>
        <v/>
      </c>
      <c r="C1712" s="25">
        <f>TEXT(A1712,"MMM-YYYY")</f>
        <v/>
      </c>
      <c r="D1712" s="40">
        <f>INT(A1712)-WEEKDAY(A1712,2)+1</f>
        <v/>
      </c>
      <c r="E1712" s="25" t="inlineStr">
        <is>
          <t>rsingh</t>
        </is>
      </c>
      <c r="F1712" s="25" t="n">
        <v>6217</v>
      </c>
      <c r="G1712" s="25" t="n">
        <v>1</v>
      </c>
      <c r="H1712" s="25" t="n">
        <v>7</v>
      </c>
      <c r="I1712" s="25" t="inlineStr">
        <is>
          <t>1 minute(s) and 25 second(s)</t>
        </is>
      </c>
      <c r="J1712" s="25">
        <f>IFERROR(VALUE(TRIM(LEFT(I1712,FIND("minute",I1712)-1)))*60,0)+IFERROR(VALUE(SUBSTITUTE(MID(I1712,IFERROR(FIND("and",I1712)+3,1),20),"second(s)","")),0)</f>
        <v/>
      </c>
      <c r="K1712" s="41">
        <f>J1712/60</f>
        <v/>
      </c>
      <c r="L1712" s="41">
        <f>IFERROR(J1712/H1712,"")</f>
        <v/>
      </c>
      <c r="M1712" s="25" t="inlineStr">
        <is>
          <t>2.5.12</t>
        </is>
      </c>
      <c r="N1712" s="25">
        <f>IF(J1712&gt;300,1,0)</f>
        <v/>
      </c>
      <c r="O1712" s="25">
        <f>IF(J1712&gt;600,1,0)</f>
        <v/>
      </c>
      <c r="P1712" s="25">
        <f>IF(H1712&gt;0,J1712,"")</f>
        <v/>
      </c>
      <c r="Q1712" s="25">
        <f>TEXT(A1712,"YYYY-MM-DD HH")</f>
        <v/>
      </c>
      <c r="R1712" s="25">
        <f>COUNTIF($Q$2:$Q$5295,Q1712)</f>
        <v/>
      </c>
      <c r="S1712" s="25">
        <f>IF(R1712&lt;=2,"1-2",IF(R1712&lt;=5,"3-5",IF(R1712&lt;=10,"6-10","11+")))</f>
        <v/>
      </c>
    </row>
    <row r="1713">
      <c r="A1713" s="39" t="n">
        <v>46169.83855324074</v>
      </c>
      <c r="B1713" s="25">
        <f>TEXT(A1713,"YYYY-MM")</f>
        <v/>
      </c>
      <c r="C1713" s="25">
        <f>TEXT(A1713,"MMM-YYYY")</f>
        <v/>
      </c>
      <c r="D1713" s="40">
        <f>INT(A1713)-WEEKDAY(A1713,2)+1</f>
        <v/>
      </c>
      <c r="E1713" s="25" t="inlineStr">
        <is>
          <t>dchoudhury</t>
        </is>
      </c>
      <c r="F1713" s="25" t="n">
        <v>5477</v>
      </c>
      <c r="G1713" s="25" t="n">
        <v>2</v>
      </c>
      <c r="H1713" s="25" t="n">
        <v>11</v>
      </c>
      <c r="I1713" s="25" t="inlineStr">
        <is>
          <t>4 minute(s) and 20 second(s)</t>
        </is>
      </c>
      <c r="J1713" s="25">
        <f>IFERROR(VALUE(TRIM(LEFT(I1713,FIND("minute",I1713)-1)))*60,0)+IFERROR(VALUE(SUBSTITUTE(MID(I1713,IFERROR(FIND("and",I1713)+3,1),20),"second(s)","")),0)</f>
        <v/>
      </c>
      <c r="K1713" s="41">
        <f>J1713/60</f>
        <v/>
      </c>
      <c r="L1713" s="41">
        <f>IFERROR(J1713/H1713,"")</f>
        <v/>
      </c>
      <c r="M1713" s="25" t="inlineStr">
        <is>
          <t>2.5.12</t>
        </is>
      </c>
      <c r="N1713" s="25">
        <f>IF(J1713&gt;300,1,0)</f>
        <v/>
      </c>
      <c r="O1713" s="25">
        <f>IF(J1713&gt;600,1,0)</f>
        <v/>
      </c>
      <c r="P1713" s="25">
        <f>IF(H1713&gt;0,J1713,"")</f>
        <v/>
      </c>
      <c r="Q1713" s="25">
        <f>TEXT(A1713,"YYYY-MM-DD HH")</f>
        <v/>
      </c>
      <c r="R1713" s="25">
        <f>COUNTIF($Q$2:$Q$5295,Q1713)</f>
        <v/>
      </c>
      <c r="S1713" s="25">
        <f>IF(R1713&lt;=2,"1-2",IF(R1713&lt;=5,"3-5",IF(R1713&lt;=10,"6-10","11+")))</f>
        <v/>
      </c>
    </row>
    <row r="1714">
      <c r="A1714" s="39" t="n">
        <v>46169.84900462963</v>
      </c>
      <c r="B1714" s="25">
        <f>TEXT(A1714,"YYYY-MM")</f>
        <v/>
      </c>
      <c r="C1714" s="25">
        <f>TEXT(A1714,"MMM-YYYY")</f>
        <v/>
      </c>
      <c r="D1714" s="40">
        <f>INT(A1714)-WEEKDAY(A1714,2)+1</f>
        <v/>
      </c>
      <c r="E1714" s="25" t="inlineStr">
        <is>
          <t>psingh</t>
        </is>
      </c>
      <c r="F1714" s="25" t="n">
        <v>1953</v>
      </c>
      <c r="G1714" s="25" t="n">
        <v>1</v>
      </c>
      <c r="H1714" s="25" t="n">
        <v>7</v>
      </c>
      <c r="I1714" s="25" t="inlineStr">
        <is>
          <t>2 minute(s) and 33 second(s)</t>
        </is>
      </c>
      <c r="J1714" s="25">
        <f>IFERROR(VALUE(TRIM(LEFT(I1714,FIND("minute",I1714)-1)))*60,0)+IFERROR(VALUE(SUBSTITUTE(MID(I1714,IFERROR(FIND("and",I1714)+3,1),20),"second(s)","")),0)</f>
        <v/>
      </c>
      <c r="K1714" s="41">
        <f>J1714/60</f>
        <v/>
      </c>
      <c r="L1714" s="41">
        <f>IFERROR(J1714/H1714,"")</f>
        <v/>
      </c>
      <c r="M1714" s="25" t="inlineStr">
        <is>
          <t>2.5.12</t>
        </is>
      </c>
      <c r="N1714" s="25">
        <f>IF(J1714&gt;300,1,0)</f>
        <v/>
      </c>
      <c r="O1714" s="25">
        <f>IF(J1714&gt;600,1,0)</f>
        <v/>
      </c>
      <c r="P1714" s="25">
        <f>IF(H1714&gt;0,J1714,"")</f>
        <v/>
      </c>
      <c r="Q1714" s="25">
        <f>TEXT(A1714,"YYYY-MM-DD HH")</f>
        <v/>
      </c>
      <c r="R1714" s="25">
        <f>COUNTIF($Q$2:$Q$5295,Q1714)</f>
        <v/>
      </c>
      <c r="S1714" s="25">
        <f>IF(R1714&lt;=2,"1-2",IF(R1714&lt;=5,"3-5",IF(R1714&lt;=10,"6-10","11+")))</f>
        <v/>
      </c>
    </row>
    <row r="1715">
      <c r="A1715" s="39" t="n">
        <v>46169.87390046296</v>
      </c>
      <c r="B1715" s="25">
        <f>TEXT(A1715,"YYYY-MM")</f>
        <v/>
      </c>
      <c r="C1715" s="25">
        <f>TEXT(A1715,"MMM-YYYY")</f>
        <v/>
      </c>
      <c r="D1715" s="40">
        <f>INT(A1715)-WEEKDAY(A1715,2)+1</f>
        <v/>
      </c>
      <c r="E1715" s="25" t="inlineStr">
        <is>
          <t>dchoudhury</t>
        </is>
      </c>
      <c r="F1715" s="25" t="n">
        <v>5557</v>
      </c>
      <c r="G1715" s="25" t="n">
        <v>1</v>
      </c>
      <c r="H1715" s="25" t="n">
        <v>7</v>
      </c>
      <c r="I1715" s="25" t="inlineStr">
        <is>
          <t>1 minute(s) and 53 second(s)</t>
        </is>
      </c>
      <c r="J1715" s="25">
        <f>IFERROR(VALUE(TRIM(LEFT(I1715,FIND("minute",I1715)-1)))*60,0)+IFERROR(VALUE(SUBSTITUTE(MID(I1715,IFERROR(FIND("and",I1715)+3,1),20),"second(s)","")),0)</f>
        <v/>
      </c>
      <c r="K1715" s="41">
        <f>J1715/60</f>
        <v/>
      </c>
      <c r="L1715" s="41">
        <f>IFERROR(J1715/H1715,"")</f>
        <v/>
      </c>
      <c r="M1715" s="25" t="inlineStr">
        <is>
          <t>2.5.12</t>
        </is>
      </c>
      <c r="N1715" s="25">
        <f>IF(J1715&gt;300,1,0)</f>
        <v/>
      </c>
      <c r="O1715" s="25">
        <f>IF(J1715&gt;600,1,0)</f>
        <v/>
      </c>
      <c r="P1715" s="25">
        <f>IF(H1715&gt;0,J1715,"")</f>
        <v/>
      </c>
      <c r="Q1715" s="25">
        <f>TEXT(A1715,"YYYY-MM-DD HH")</f>
        <v/>
      </c>
      <c r="R1715" s="25">
        <f>COUNTIF($Q$2:$Q$5295,Q1715)</f>
        <v/>
      </c>
      <c r="S1715" s="25">
        <f>IF(R1715&lt;=2,"1-2",IF(R1715&lt;=5,"3-5",IF(R1715&lt;=10,"6-10","11+")))</f>
        <v/>
      </c>
    </row>
    <row r="1716">
      <c r="A1716" s="39" t="n">
        <v>46169.8984375</v>
      </c>
      <c r="B1716" s="25">
        <f>TEXT(A1716,"YYYY-MM")</f>
        <v/>
      </c>
      <c r="C1716" s="25">
        <f>TEXT(A1716,"MMM-YYYY")</f>
        <v/>
      </c>
      <c r="D1716" s="40">
        <f>INT(A1716)-WEEKDAY(A1716,2)+1</f>
        <v/>
      </c>
      <c r="E1716" s="25" t="inlineStr">
        <is>
          <t>sswati</t>
        </is>
      </c>
      <c r="F1716" s="25" t="n">
        <v>5281</v>
      </c>
      <c r="G1716" s="25" t="n">
        <v>1</v>
      </c>
      <c r="H1716" s="25" t="n">
        <v>5</v>
      </c>
      <c r="I1716" s="25" t="inlineStr">
        <is>
          <t>1 minute(s) and 41 second(s)</t>
        </is>
      </c>
      <c r="J1716" s="25">
        <f>IFERROR(VALUE(TRIM(LEFT(I1716,FIND("minute",I1716)-1)))*60,0)+IFERROR(VALUE(SUBSTITUTE(MID(I1716,IFERROR(FIND("and",I1716)+3,1),20),"second(s)","")),0)</f>
        <v/>
      </c>
      <c r="K1716" s="41">
        <f>J1716/60</f>
        <v/>
      </c>
      <c r="L1716" s="41">
        <f>IFERROR(J1716/H1716,"")</f>
        <v/>
      </c>
      <c r="M1716" s="25" t="inlineStr">
        <is>
          <t>2.5.12</t>
        </is>
      </c>
      <c r="N1716" s="25">
        <f>IF(J1716&gt;300,1,0)</f>
        <v/>
      </c>
      <c r="O1716" s="25">
        <f>IF(J1716&gt;600,1,0)</f>
        <v/>
      </c>
      <c r="P1716" s="25">
        <f>IF(H1716&gt;0,J1716,"")</f>
        <v/>
      </c>
      <c r="Q1716" s="25">
        <f>TEXT(A1716,"YYYY-MM-DD HH")</f>
        <v/>
      </c>
      <c r="R1716" s="25">
        <f>COUNTIF($Q$2:$Q$5295,Q1716)</f>
        <v/>
      </c>
      <c r="S1716" s="25">
        <f>IF(R1716&lt;=2,"1-2",IF(R1716&lt;=5,"3-5",IF(R1716&lt;=10,"6-10","11+")))</f>
        <v/>
      </c>
    </row>
    <row r="1717">
      <c r="A1717" s="39" t="n">
        <v>46169.90208333333</v>
      </c>
      <c r="B1717" s="25">
        <f>TEXT(A1717,"YYYY-MM")</f>
        <v/>
      </c>
      <c r="C1717" s="25">
        <f>TEXT(A1717,"MMM-YYYY")</f>
        <v/>
      </c>
      <c r="D1717" s="40">
        <f>INT(A1717)-WEEKDAY(A1717,2)+1</f>
        <v/>
      </c>
      <c r="E1717" s="25" t="inlineStr">
        <is>
          <t>psingh</t>
        </is>
      </c>
      <c r="F1717" s="25" t="n">
        <v>6193</v>
      </c>
      <c r="G1717" s="25" t="n">
        <v>1</v>
      </c>
      <c r="H1717" s="25" t="n">
        <v>7</v>
      </c>
      <c r="I1717" s="25" t="inlineStr">
        <is>
          <t>2 minute(s) and 17 second(s)</t>
        </is>
      </c>
      <c r="J1717" s="25">
        <f>IFERROR(VALUE(TRIM(LEFT(I1717,FIND("minute",I1717)-1)))*60,0)+IFERROR(VALUE(SUBSTITUTE(MID(I1717,IFERROR(FIND("and",I1717)+3,1),20),"second(s)","")),0)</f>
        <v/>
      </c>
      <c r="K1717" s="41">
        <f>J1717/60</f>
        <v/>
      </c>
      <c r="L1717" s="41">
        <f>IFERROR(J1717/H1717,"")</f>
        <v/>
      </c>
      <c r="M1717" s="25" t="inlineStr">
        <is>
          <t>2.5.12</t>
        </is>
      </c>
      <c r="N1717" s="25">
        <f>IF(J1717&gt;300,1,0)</f>
        <v/>
      </c>
      <c r="O1717" s="25">
        <f>IF(J1717&gt;600,1,0)</f>
        <v/>
      </c>
      <c r="P1717" s="25">
        <f>IF(H1717&gt;0,J1717,"")</f>
        <v/>
      </c>
      <c r="Q1717" s="25">
        <f>TEXT(A1717,"YYYY-MM-DD HH")</f>
        <v/>
      </c>
      <c r="R1717" s="25">
        <f>COUNTIF($Q$2:$Q$5295,Q1717)</f>
        <v/>
      </c>
      <c r="S1717" s="25">
        <f>IF(R1717&lt;=2,"1-2",IF(R1717&lt;=5,"3-5",IF(R1717&lt;=10,"6-10","11+")))</f>
        <v/>
      </c>
    </row>
    <row r="1718">
      <c r="A1718" s="39" t="n">
        <v>46169.90729166667</v>
      </c>
      <c r="B1718" s="25">
        <f>TEXT(A1718,"YYYY-MM")</f>
        <v/>
      </c>
      <c r="C1718" s="25">
        <f>TEXT(A1718,"MMM-YYYY")</f>
        <v/>
      </c>
      <c r="D1718" s="40">
        <f>INT(A1718)-WEEKDAY(A1718,2)+1</f>
        <v/>
      </c>
      <c r="E1718" s="25" t="inlineStr">
        <is>
          <t>sswati</t>
        </is>
      </c>
      <c r="F1718" s="25" t="n">
        <v>6323</v>
      </c>
      <c r="G1718" s="25" t="n">
        <v>1</v>
      </c>
      <c r="H1718" s="25" t="n">
        <v>7</v>
      </c>
      <c r="I1718" s="25" t="inlineStr">
        <is>
          <t>2 minute(s) and 58 second(s)</t>
        </is>
      </c>
      <c r="J1718" s="25">
        <f>IFERROR(VALUE(TRIM(LEFT(I1718,FIND("minute",I1718)-1)))*60,0)+IFERROR(VALUE(SUBSTITUTE(MID(I1718,IFERROR(FIND("and",I1718)+3,1),20),"second(s)","")),0)</f>
        <v/>
      </c>
      <c r="K1718" s="41">
        <f>J1718/60</f>
        <v/>
      </c>
      <c r="L1718" s="41">
        <f>IFERROR(J1718/H1718,"")</f>
        <v/>
      </c>
      <c r="M1718" s="25" t="inlineStr">
        <is>
          <t>2.5.12</t>
        </is>
      </c>
      <c r="N1718" s="25">
        <f>IF(J1718&gt;300,1,0)</f>
        <v/>
      </c>
      <c r="O1718" s="25">
        <f>IF(J1718&gt;600,1,0)</f>
        <v/>
      </c>
      <c r="P1718" s="25">
        <f>IF(H1718&gt;0,J1718,"")</f>
        <v/>
      </c>
      <c r="Q1718" s="25">
        <f>TEXT(A1718,"YYYY-MM-DD HH")</f>
        <v/>
      </c>
      <c r="R1718" s="25">
        <f>COUNTIF($Q$2:$Q$5295,Q1718)</f>
        <v/>
      </c>
      <c r="S1718" s="25">
        <f>IF(R1718&lt;=2,"1-2",IF(R1718&lt;=5,"3-5",IF(R1718&lt;=10,"6-10","11+")))</f>
        <v/>
      </c>
    </row>
    <row r="1719">
      <c r="A1719" s="39" t="n">
        <v>46169.9100462963</v>
      </c>
      <c r="B1719" s="25">
        <f>TEXT(A1719,"YYYY-MM")</f>
        <v/>
      </c>
      <c r="C1719" s="25">
        <f>TEXT(A1719,"MMM-YYYY")</f>
        <v/>
      </c>
      <c r="D1719" s="40">
        <f>INT(A1719)-WEEKDAY(A1719,2)+1</f>
        <v/>
      </c>
      <c r="E1719" s="25" t="inlineStr">
        <is>
          <t>dchoudhury</t>
        </is>
      </c>
      <c r="F1719" s="25" t="n">
        <v>5558</v>
      </c>
      <c r="G1719" s="25" t="n">
        <v>1</v>
      </c>
      <c r="H1719" s="25" t="n">
        <v>7</v>
      </c>
      <c r="I1719" s="25" t="inlineStr">
        <is>
          <t>3 minute(s) and 2 second(s)</t>
        </is>
      </c>
      <c r="J1719" s="25">
        <f>IFERROR(VALUE(TRIM(LEFT(I1719,FIND("minute",I1719)-1)))*60,0)+IFERROR(VALUE(SUBSTITUTE(MID(I1719,IFERROR(FIND("and",I1719)+3,1),20),"second(s)","")),0)</f>
        <v/>
      </c>
      <c r="K1719" s="41">
        <f>J1719/60</f>
        <v/>
      </c>
      <c r="L1719" s="41">
        <f>IFERROR(J1719/H1719,"")</f>
        <v/>
      </c>
      <c r="M1719" s="25" t="inlineStr">
        <is>
          <t>2.5.12</t>
        </is>
      </c>
      <c r="N1719" s="25">
        <f>IF(J1719&gt;300,1,0)</f>
        <v/>
      </c>
      <c r="O1719" s="25">
        <f>IF(J1719&gt;600,1,0)</f>
        <v/>
      </c>
      <c r="P1719" s="25">
        <f>IF(H1719&gt;0,J1719,"")</f>
        <v/>
      </c>
      <c r="Q1719" s="25">
        <f>TEXT(A1719,"YYYY-MM-DD HH")</f>
        <v/>
      </c>
      <c r="R1719" s="25">
        <f>COUNTIF($Q$2:$Q$5295,Q1719)</f>
        <v/>
      </c>
      <c r="S1719" s="25">
        <f>IF(R1719&lt;=2,"1-2",IF(R1719&lt;=5,"3-5",IF(R1719&lt;=10,"6-10","11+")))</f>
        <v/>
      </c>
    </row>
    <row r="1720">
      <c r="A1720" s="39" t="n">
        <v>46169.92428240741</v>
      </c>
      <c r="B1720" s="25">
        <f>TEXT(A1720,"YYYY-MM")</f>
        <v/>
      </c>
      <c r="C1720" s="25">
        <f>TEXT(A1720,"MMM-YYYY")</f>
        <v/>
      </c>
      <c r="D1720" s="40">
        <f>INT(A1720)-WEEKDAY(A1720,2)+1</f>
        <v/>
      </c>
      <c r="E1720" s="25" t="inlineStr">
        <is>
          <t>sswati</t>
        </is>
      </c>
      <c r="F1720" s="25" t="n">
        <v>6324</v>
      </c>
      <c r="G1720" s="25" t="n">
        <v>1</v>
      </c>
      <c r="H1720" s="25" t="n">
        <v>7</v>
      </c>
      <c r="I1720" s="25" t="inlineStr">
        <is>
          <t>2 minute(s) and 38 second(s)</t>
        </is>
      </c>
      <c r="J1720" s="25">
        <f>IFERROR(VALUE(TRIM(LEFT(I1720,FIND("minute",I1720)-1)))*60,0)+IFERROR(VALUE(SUBSTITUTE(MID(I1720,IFERROR(FIND("and",I1720)+3,1),20),"second(s)","")),0)</f>
        <v/>
      </c>
      <c r="K1720" s="41">
        <f>J1720/60</f>
        <v/>
      </c>
      <c r="L1720" s="41">
        <f>IFERROR(J1720/H1720,"")</f>
        <v/>
      </c>
      <c r="M1720" s="25" t="inlineStr">
        <is>
          <t>2.5.12</t>
        </is>
      </c>
      <c r="N1720" s="25">
        <f>IF(J1720&gt;300,1,0)</f>
        <v/>
      </c>
      <c r="O1720" s="25">
        <f>IF(J1720&gt;600,1,0)</f>
        <v/>
      </c>
      <c r="P1720" s="25">
        <f>IF(H1720&gt;0,J1720,"")</f>
        <v/>
      </c>
      <c r="Q1720" s="25">
        <f>TEXT(A1720,"YYYY-MM-DD HH")</f>
        <v/>
      </c>
      <c r="R1720" s="25">
        <f>COUNTIF($Q$2:$Q$5295,Q1720)</f>
        <v/>
      </c>
      <c r="S1720" s="25">
        <f>IF(R1720&lt;=2,"1-2",IF(R1720&lt;=5,"3-5",IF(R1720&lt;=10,"6-10","11+")))</f>
        <v/>
      </c>
    </row>
    <row r="1721">
      <c r="A1721" s="39" t="n">
        <v>46169.94111111111</v>
      </c>
      <c r="B1721" s="25">
        <f>TEXT(A1721,"YYYY-MM")</f>
        <v/>
      </c>
      <c r="C1721" s="25">
        <f>TEXT(A1721,"MMM-YYYY")</f>
        <v/>
      </c>
      <c r="D1721" s="40">
        <f>INT(A1721)-WEEKDAY(A1721,2)+1</f>
        <v/>
      </c>
      <c r="E1721" s="25" t="inlineStr">
        <is>
          <t>sswati</t>
        </is>
      </c>
      <c r="F1721" s="25" t="n">
        <v>6325</v>
      </c>
      <c r="G1721" s="25" t="n">
        <v>1</v>
      </c>
      <c r="H1721" s="25" t="n">
        <v>7</v>
      </c>
      <c r="I1721" s="25" t="inlineStr">
        <is>
          <t>2 minute(s) and 11 second(s)</t>
        </is>
      </c>
      <c r="J1721" s="25">
        <f>IFERROR(VALUE(TRIM(LEFT(I1721,FIND("minute",I1721)-1)))*60,0)+IFERROR(VALUE(SUBSTITUTE(MID(I1721,IFERROR(FIND("and",I1721)+3,1),20),"second(s)","")),0)</f>
        <v/>
      </c>
      <c r="K1721" s="41">
        <f>J1721/60</f>
        <v/>
      </c>
      <c r="L1721" s="41">
        <f>IFERROR(J1721/H1721,"")</f>
        <v/>
      </c>
      <c r="M1721" s="25" t="inlineStr">
        <is>
          <t>2.5.12</t>
        </is>
      </c>
      <c r="N1721" s="25">
        <f>IF(J1721&gt;300,1,0)</f>
        <v/>
      </c>
      <c r="O1721" s="25">
        <f>IF(J1721&gt;600,1,0)</f>
        <v/>
      </c>
      <c r="P1721" s="25">
        <f>IF(H1721&gt;0,J1721,"")</f>
        <v/>
      </c>
      <c r="Q1721" s="25">
        <f>TEXT(A1721,"YYYY-MM-DD HH")</f>
        <v/>
      </c>
      <c r="R1721" s="25">
        <f>COUNTIF($Q$2:$Q$5295,Q1721)</f>
        <v/>
      </c>
      <c r="S1721" s="25">
        <f>IF(R1721&lt;=2,"1-2",IF(R1721&lt;=5,"3-5",IF(R1721&lt;=10,"6-10","11+")))</f>
        <v/>
      </c>
    </row>
    <row r="1722">
      <c r="A1722" s="39" t="n">
        <v>46169.94114583333</v>
      </c>
      <c r="B1722" s="25">
        <f>TEXT(A1722,"YYYY-MM")</f>
        <v/>
      </c>
      <c r="C1722" s="25">
        <f>TEXT(A1722,"MMM-YYYY")</f>
        <v/>
      </c>
      <c r="D1722" s="40">
        <f>INT(A1722)-WEEKDAY(A1722,2)+1</f>
        <v/>
      </c>
      <c r="E1722" s="25" t="inlineStr">
        <is>
          <t>psingh</t>
        </is>
      </c>
      <c r="F1722" s="25" t="n">
        <v>6172</v>
      </c>
      <c r="G1722" s="25" t="n">
        <v>1</v>
      </c>
      <c r="H1722" s="25" t="n">
        <v>5</v>
      </c>
      <c r="I1722" s="25" t="inlineStr">
        <is>
          <t>1 minute(s) and 16 second(s)</t>
        </is>
      </c>
      <c r="J1722" s="25">
        <f>IFERROR(VALUE(TRIM(LEFT(I1722,FIND("minute",I1722)-1)))*60,0)+IFERROR(VALUE(SUBSTITUTE(MID(I1722,IFERROR(FIND("and",I1722)+3,1),20),"second(s)","")),0)</f>
        <v/>
      </c>
      <c r="K1722" s="41">
        <f>J1722/60</f>
        <v/>
      </c>
      <c r="L1722" s="41">
        <f>IFERROR(J1722/H1722,"")</f>
        <v/>
      </c>
      <c r="M1722" s="25" t="inlineStr">
        <is>
          <t>2.5.12</t>
        </is>
      </c>
      <c r="N1722" s="25">
        <f>IF(J1722&gt;300,1,0)</f>
        <v/>
      </c>
      <c r="O1722" s="25">
        <f>IF(J1722&gt;600,1,0)</f>
        <v/>
      </c>
      <c r="P1722" s="25">
        <f>IF(H1722&gt;0,J1722,"")</f>
        <v/>
      </c>
      <c r="Q1722" s="25">
        <f>TEXT(A1722,"YYYY-MM-DD HH")</f>
        <v/>
      </c>
      <c r="R1722" s="25">
        <f>COUNTIF($Q$2:$Q$5295,Q1722)</f>
        <v/>
      </c>
      <c r="S1722" s="25">
        <f>IF(R1722&lt;=2,"1-2",IF(R1722&lt;=5,"3-5",IF(R1722&lt;=10,"6-10","11+")))</f>
        <v/>
      </c>
    </row>
    <row r="1723">
      <c r="A1723" s="39" t="n">
        <v>46169.96412037037</v>
      </c>
      <c r="B1723" s="25">
        <f>TEXT(A1723,"YYYY-MM")</f>
        <v/>
      </c>
      <c r="C1723" s="25">
        <f>TEXT(A1723,"MMM-YYYY")</f>
        <v/>
      </c>
      <c r="D1723" s="40">
        <f>INT(A1723)-WEEKDAY(A1723,2)+1</f>
        <v/>
      </c>
      <c r="E1723" s="25" t="inlineStr">
        <is>
          <t>dchoudhury</t>
        </is>
      </c>
      <c r="F1723" s="25" t="n">
        <v>5559</v>
      </c>
      <c r="G1723" s="25" t="n">
        <v>1</v>
      </c>
      <c r="H1723" s="25" t="n">
        <v>7</v>
      </c>
      <c r="I1723" s="25" t="inlineStr">
        <is>
          <t>1 minute(s) and 41 second(s)</t>
        </is>
      </c>
      <c r="J1723" s="25">
        <f>IFERROR(VALUE(TRIM(LEFT(I1723,FIND("minute",I1723)-1)))*60,0)+IFERROR(VALUE(SUBSTITUTE(MID(I1723,IFERROR(FIND("and",I1723)+3,1),20),"second(s)","")),0)</f>
        <v/>
      </c>
      <c r="K1723" s="41">
        <f>J1723/60</f>
        <v/>
      </c>
      <c r="L1723" s="41">
        <f>IFERROR(J1723/H1723,"")</f>
        <v/>
      </c>
      <c r="M1723" s="25" t="inlineStr">
        <is>
          <t>2.5.12</t>
        </is>
      </c>
      <c r="N1723" s="25">
        <f>IF(J1723&gt;300,1,0)</f>
        <v/>
      </c>
      <c r="O1723" s="25">
        <f>IF(J1723&gt;600,1,0)</f>
        <v/>
      </c>
      <c r="P1723" s="25">
        <f>IF(H1723&gt;0,J1723,"")</f>
        <v/>
      </c>
      <c r="Q1723" s="25">
        <f>TEXT(A1723,"YYYY-MM-DD HH")</f>
        <v/>
      </c>
      <c r="R1723" s="25">
        <f>COUNTIF($Q$2:$Q$5295,Q1723)</f>
        <v/>
      </c>
      <c r="S1723" s="25">
        <f>IF(R1723&lt;=2,"1-2",IF(R1723&lt;=5,"3-5",IF(R1723&lt;=10,"6-10","11+")))</f>
        <v/>
      </c>
    </row>
    <row r="1724">
      <c r="A1724" s="39" t="n">
        <v>46169.99413194445</v>
      </c>
      <c r="B1724" s="25">
        <f>TEXT(A1724,"YYYY-MM")</f>
        <v/>
      </c>
      <c r="C1724" s="25">
        <f>TEXT(A1724,"MMM-YYYY")</f>
        <v/>
      </c>
      <c r="D1724" s="40">
        <f>INT(A1724)-WEEKDAY(A1724,2)+1</f>
        <v/>
      </c>
      <c r="E1724" s="25" t="inlineStr">
        <is>
          <t>dchoudhury</t>
        </is>
      </c>
      <c r="F1724" s="25" t="n">
        <v>5561</v>
      </c>
      <c r="G1724" s="25" t="n">
        <v>1</v>
      </c>
      <c r="H1724" s="25" t="n">
        <v>7</v>
      </c>
      <c r="I1724" s="25" t="inlineStr">
        <is>
          <t>2 minute(s) and 40 second(s)</t>
        </is>
      </c>
      <c r="J1724" s="25">
        <f>IFERROR(VALUE(TRIM(LEFT(I1724,FIND("minute",I1724)-1)))*60,0)+IFERROR(VALUE(SUBSTITUTE(MID(I1724,IFERROR(FIND("and",I1724)+3,1),20),"second(s)","")),0)</f>
        <v/>
      </c>
      <c r="K1724" s="41">
        <f>J1724/60</f>
        <v/>
      </c>
      <c r="L1724" s="41">
        <f>IFERROR(J1724/H1724,"")</f>
        <v/>
      </c>
      <c r="M1724" s="25" t="inlineStr">
        <is>
          <t>2.5.12</t>
        </is>
      </c>
      <c r="N1724" s="25">
        <f>IF(J1724&gt;300,1,0)</f>
        <v/>
      </c>
      <c r="O1724" s="25">
        <f>IF(J1724&gt;600,1,0)</f>
        <v/>
      </c>
      <c r="P1724" s="25">
        <f>IF(H1724&gt;0,J1724,"")</f>
        <v/>
      </c>
      <c r="Q1724" s="25">
        <f>TEXT(A1724,"YYYY-MM-DD HH")</f>
        <v/>
      </c>
      <c r="R1724" s="25">
        <f>COUNTIF($Q$2:$Q$5295,Q1724)</f>
        <v/>
      </c>
      <c r="S1724" s="25">
        <f>IF(R1724&lt;=2,"1-2",IF(R1724&lt;=5,"3-5",IF(R1724&lt;=10,"6-10","11+")))</f>
        <v/>
      </c>
    </row>
    <row r="1725">
      <c r="A1725" s="39" t="n">
        <v>46170.01490740741</v>
      </c>
      <c r="B1725" s="25">
        <f>TEXT(A1725,"YYYY-MM")</f>
        <v/>
      </c>
      <c r="C1725" s="25">
        <f>TEXT(A1725,"MMM-YYYY")</f>
        <v/>
      </c>
      <c r="D1725" s="40">
        <f>INT(A1725)-WEEKDAY(A1725,2)+1</f>
        <v/>
      </c>
      <c r="E1725" s="25" t="inlineStr">
        <is>
          <t>mgupta</t>
        </is>
      </c>
      <c r="F1725" s="25" t="n">
        <v>30834</v>
      </c>
      <c r="G1725" s="25" t="n">
        <v>1</v>
      </c>
      <c r="H1725" s="25" t="n">
        <v>7</v>
      </c>
      <c r="I1725" s="25" t="inlineStr">
        <is>
          <t>1 minute(s) and 38 second(s)</t>
        </is>
      </c>
      <c r="J1725" s="25">
        <f>IFERROR(VALUE(TRIM(LEFT(I1725,FIND("minute",I1725)-1)))*60,0)+IFERROR(VALUE(SUBSTITUTE(MID(I1725,IFERROR(FIND("and",I1725)+3,1),20),"second(s)","")),0)</f>
        <v/>
      </c>
      <c r="K1725" s="41">
        <f>J1725/60</f>
        <v/>
      </c>
      <c r="L1725" s="41">
        <f>IFERROR(J1725/H1725,"")</f>
        <v/>
      </c>
      <c r="M1725" s="25" t="inlineStr">
        <is>
          <t>2.5.12</t>
        </is>
      </c>
      <c r="N1725" s="25">
        <f>IF(J1725&gt;300,1,0)</f>
        <v/>
      </c>
      <c r="O1725" s="25">
        <f>IF(J1725&gt;600,1,0)</f>
        <v/>
      </c>
      <c r="P1725" s="25">
        <f>IF(H1725&gt;0,J1725,"")</f>
        <v/>
      </c>
      <c r="Q1725" s="25">
        <f>TEXT(A1725,"YYYY-MM-DD HH")</f>
        <v/>
      </c>
      <c r="R1725" s="25">
        <f>COUNTIF($Q$2:$Q$5295,Q1725)</f>
        <v/>
      </c>
      <c r="S1725" s="25">
        <f>IF(R1725&lt;=2,"1-2",IF(R1725&lt;=5,"3-5",IF(R1725&lt;=10,"6-10","11+")))</f>
        <v/>
      </c>
    </row>
    <row r="1726">
      <c r="A1726" s="39" t="n">
        <v>46170.03237268519</v>
      </c>
      <c r="B1726" s="25">
        <f>TEXT(A1726,"YYYY-MM")</f>
        <v/>
      </c>
      <c r="C1726" s="25">
        <f>TEXT(A1726,"MMM-YYYY")</f>
        <v/>
      </c>
      <c r="D1726" s="40">
        <f>INT(A1726)-WEEKDAY(A1726,2)+1</f>
        <v/>
      </c>
      <c r="E1726" s="25" t="inlineStr">
        <is>
          <t>arsarkar</t>
        </is>
      </c>
      <c r="F1726" s="25" t="n">
        <v>6246</v>
      </c>
      <c r="G1726" s="25" t="n">
        <v>1</v>
      </c>
      <c r="H1726" s="25" t="n">
        <v>5</v>
      </c>
      <c r="I1726" s="25" t="inlineStr">
        <is>
          <t>1 minute(s) and 28 second(s)</t>
        </is>
      </c>
      <c r="J1726" s="25">
        <f>IFERROR(VALUE(TRIM(LEFT(I1726,FIND("minute",I1726)-1)))*60,0)+IFERROR(VALUE(SUBSTITUTE(MID(I1726,IFERROR(FIND("and",I1726)+3,1),20),"second(s)","")),0)</f>
        <v/>
      </c>
      <c r="K1726" s="41">
        <f>J1726/60</f>
        <v/>
      </c>
      <c r="L1726" s="41">
        <f>IFERROR(J1726/H1726,"")</f>
        <v/>
      </c>
      <c r="M1726" s="25" t="inlineStr">
        <is>
          <t>2.5.12</t>
        </is>
      </c>
      <c r="N1726" s="25">
        <f>IF(J1726&gt;300,1,0)</f>
        <v/>
      </c>
      <c r="O1726" s="25">
        <f>IF(J1726&gt;600,1,0)</f>
        <v/>
      </c>
      <c r="P1726" s="25">
        <f>IF(H1726&gt;0,J1726,"")</f>
        <v/>
      </c>
      <c r="Q1726" s="25">
        <f>TEXT(A1726,"YYYY-MM-DD HH")</f>
        <v/>
      </c>
      <c r="R1726" s="25">
        <f>COUNTIF($Q$2:$Q$5295,Q1726)</f>
        <v/>
      </c>
      <c r="S1726" s="25">
        <f>IF(R1726&lt;=2,"1-2",IF(R1726&lt;=5,"3-5",IF(R1726&lt;=10,"6-10","11+")))</f>
        <v/>
      </c>
    </row>
    <row r="1727">
      <c r="A1727" s="39" t="n">
        <v>46170.04046296296</v>
      </c>
      <c r="B1727" s="25">
        <f>TEXT(A1727,"YYYY-MM")</f>
        <v/>
      </c>
      <c r="C1727" s="25">
        <f>TEXT(A1727,"MMM-YYYY")</f>
        <v/>
      </c>
      <c r="D1727" s="40">
        <f>INT(A1727)-WEEKDAY(A1727,2)+1</f>
        <v/>
      </c>
      <c r="E1727" s="25" t="inlineStr">
        <is>
          <t>smukhopadhyay</t>
        </is>
      </c>
      <c r="F1727" s="25" t="n">
        <v>6508</v>
      </c>
      <c r="G1727" s="25" t="n">
        <v>1</v>
      </c>
      <c r="H1727" s="25" t="n">
        <v>7</v>
      </c>
      <c r="I1727" s="25" t="inlineStr">
        <is>
          <t>3 minute(s) and 30 second(s)</t>
        </is>
      </c>
      <c r="J1727" s="25">
        <f>IFERROR(VALUE(TRIM(LEFT(I1727,FIND("minute",I1727)-1)))*60,0)+IFERROR(VALUE(SUBSTITUTE(MID(I1727,IFERROR(FIND("and",I1727)+3,1),20),"second(s)","")),0)</f>
        <v/>
      </c>
      <c r="K1727" s="41">
        <f>J1727/60</f>
        <v/>
      </c>
      <c r="L1727" s="41">
        <f>IFERROR(J1727/H1727,"")</f>
        <v/>
      </c>
      <c r="M1727" s="25" t="inlineStr">
        <is>
          <t>2.5.12</t>
        </is>
      </c>
      <c r="N1727" s="25">
        <f>IF(J1727&gt;300,1,0)</f>
        <v/>
      </c>
      <c r="O1727" s="25">
        <f>IF(J1727&gt;600,1,0)</f>
        <v/>
      </c>
      <c r="P1727" s="25">
        <f>IF(H1727&gt;0,J1727,"")</f>
        <v/>
      </c>
      <c r="Q1727" s="25">
        <f>TEXT(A1727,"YYYY-MM-DD HH")</f>
        <v/>
      </c>
      <c r="R1727" s="25">
        <f>COUNTIF($Q$2:$Q$5295,Q1727)</f>
        <v/>
      </c>
      <c r="S1727" s="25">
        <f>IF(R1727&lt;=2,"1-2",IF(R1727&lt;=5,"3-5",IF(R1727&lt;=10,"6-10","11+")))</f>
        <v/>
      </c>
    </row>
    <row r="1728">
      <c r="A1728" s="39" t="n">
        <v>46170.04322916667</v>
      </c>
      <c r="B1728" s="25">
        <f>TEXT(A1728,"YYYY-MM")</f>
        <v/>
      </c>
      <c r="C1728" s="25">
        <f>TEXT(A1728,"MMM-YYYY")</f>
        <v/>
      </c>
      <c r="D1728" s="40">
        <f>INT(A1728)-WEEKDAY(A1728,2)+1</f>
        <v/>
      </c>
      <c r="E1728" s="25" t="inlineStr">
        <is>
          <t>anusharma</t>
        </is>
      </c>
      <c r="F1728" s="25" t="n">
        <v>5316</v>
      </c>
      <c r="G1728" s="25" t="n">
        <v>1</v>
      </c>
      <c r="H1728" s="25" t="n">
        <v>5</v>
      </c>
      <c r="I1728" s="25" t="inlineStr">
        <is>
          <t>1 minute(s) and 9 second(s)</t>
        </is>
      </c>
      <c r="J1728" s="25">
        <f>IFERROR(VALUE(TRIM(LEFT(I1728,FIND("minute",I1728)-1)))*60,0)+IFERROR(VALUE(SUBSTITUTE(MID(I1728,IFERROR(FIND("and",I1728)+3,1),20),"second(s)","")),0)</f>
        <v/>
      </c>
      <c r="K1728" s="41">
        <f>J1728/60</f>
        <v/>
      </c>
      <c r="L1728" s="41">
        <f>IFERROR(J1728/H1728,"")</f>
        <v/>
      </c>
      <c r="M1728" s="25" t="inlineStr">
        <is>
          <t>2.5.12</t>
        </is>
      </c>
      <c r="N1728" s="25">
        <f>IF(J1728&gt;300,1,0)</f>
        <v/>
      </c>
      <c r="O1728" s="25">
        <f>IF(J1728&gt;600,1,0)</f>
        <v/>
      </c>
      <c r="P1728" s="25">
        <f>IF(H1728&gt;0,J1728,"")</f>
        <v/>
      </c>
      <c r="Q1728" s="25">
        <f>TEXT(A1728,"YYYY-MM-DD HH")</f>
        <v/>
      </c>
      <c r="R1728" s="25">
        <f>COUNTIF($Q$2:$Q$5295,Q1728)</f>
        <v/>
      </c>
      <c r="S1728" s="25">
        <f>IF(R1728&lt;=2,"1-2",IF(R1728&lt;=5,"3-5",IF(R1728&lt;=10,"6-10","11+")))</f>
        <v/>
      </c>
    </row>
    <row r="1729">
      <c r="A1729" s="39" t="n">
        <v>46170.05206018518</v>
      </c>
      <c r="B1729" s="25">
        <f>TEXT(A1729,"YYYY-MM")</f>
        <v/>
      </c>
      <c r="C1729" s="25">
        <f>TEXT(A1729,"MMM-YYYY")</f>
        <v/>
      </c>
      <c r="D1729" s="40">
        <f>INT(A1729)-WEEKDAY(A1729,2)+1</f>
        <v/>
      </c>
      <c r="E1729" s="25" t="inlineStr">
        <is>
          <t>abhaskarkp</t>
        </is>
      </c>
      <c r="F1729" s="25" t="n">
        <v>3603</v>
      </c>
      <c r="G1729" s="25" t="n">
        <v>1</v>
      </c>
      <c r="H1729" s="25" t="n">
        <v>7</v>
      </c>
      <c r="I1729" s="25" t="inlineStr">
        <is>
          <t>2 minute(s) and 48 second(s)</t>
        </is>
      </c>
      <c r="J1729" s="25">
        <f>IFERROR(VALUE(TRIM(LEFT(I1729,FIND("minute",I1729)-1)))*60,0)+IFERROR(VALUE(SUBSTITUTE(MID(I1729,IFERROR(FIND("and",I1729)+3,1),20),"second(s)","")),0)</f>
        <v/>
      </c>
      <c r="K1729" s="41">
        <f>J1729/60</f>
        <v/>
      </c>
      <c r="L1729" s="41">
        <f>IFERROR(J1729/H1729,"")</f>
        <v/>
      </c>
      <c r="M1729" s="25" t="inlineStr">
        <is>
          <t>2.5.12</t>
        </is>
      </c>
      <c r="N1729" s="25">
        <f>IF(J1729&gt;300,1,0)</f>
        <v/>
      </c>
      <c r="O1729" s="25">
        <f>IF(J1729&gt;600,1,0)</f>
        <v/>
      </c>
      <c r="P1729" s="25">
        <f>IF(H1729&gt;0,J1729,"")</f>
        <v/>
      </c>
      <c r="Q1729" s="25">
        <f>TEXT(A1729,"YYYY-MM-DD HH")</f>
        <v/>
      </c>
      <c r="R1729" s="25">
        <f>COUNTIF($Q$2:$Q$5295,Q1729)</f>
        <v/>
      </c>
      <c r="S1729" s="25">
        <f>IF(R1729&lt;=2,"1-2",IF(R1729&lt;=5,"3-5",IF(R1729&lt;=10,"6-10","11+")))</f>
        <v/>
      </c>
    </row>
    <row r="1730">
      <c r="A1730" s="39" t="n">
        <v>46170.06436342592</v>
      </c>
      <c r="B1730" s="25">
        <f>TEXT(A1730,"YYYY-MM")</f>
        <v/>
      </c>
      <c r="C1730" s="25">
        <f>TEXT(A1730,"MMM-YYYY")</f>
        <v/>
      </c>
      <c r="D1730" s="40">
        <f>INT(A1730)-WEEKDAY(A1730,2)+1</f>
        <v/>
      </c>
      <c r="E1730" s="25" t="inlineStr">
        <is>
          <t>arsarkar</t>
        </is>
      </c>
      <c r="F1730" s="25" t="n">
        <v>6247</v>
      </c>
      <c r="G1730" s="25" t="n">
        <v>1</v>
      </c>
      <c r="H1730" s="25" t="n">
        <v>5</v>
      </c>
      <c r="I1730" s="25" t="inlineStr">
        <is>
          <t>1 minute(s) and 28 second(s)</t>
        </is>
      </c>
      <c r="J1730" s="25">
        <f>IFERROR(VALUE(TRIM(LEFT(I1730,FIND("minute",I1730)-1)))*60,0)+IFERROR(VALUE(SUBSTITUTE(MID(I1730,IFERROR(FIND("and",I1730)+3,1),20),"second(s)","")),0)</f>
        <v/>
      </c>
      <c r="K1730" s="41">
        <f>J1730/60</f>
        <v/>
      </c>
      <c r="L1730" s="41">
        <f>IFERROR(J1730/H1730,"")</f>
        <v/>
      </c>
      <c r="M1730" s="25" t="inlineStr">
        <is>
          <t>2.5.12</t>
        </is>
      </c>
      <c r="N1730" s="25">
        <f>IF(J1730&gt;300,1,0)</f>
        <v/>
      </c>
      <c r="O1730" s="25">
        <f>IF(J1730&gt;600,1,0)</f>
        <v/>
      </c>
      <c r="P1730" s="25">
        <f>IF(H1730&gt;0,J1730,"")</f>
        <v/>
      </c>
      <c r="Q1730" s="25">
        <f>TEXT(A1730,"YYYY-MM-DD HH")</f>
        <v/>
      </c>
      <c r="R1730" s="25">
        <f>COUNTIF($Q$2:$Q$5295,Q1730)</f>
        <v/>
      </c>
      <c r="S1730" s="25">
        <f>IF(R1730&lt;=2,"1-2",IF(R1730&lt;=5,"3-5",IF(R1730&lt;=10,"6-10","11+")))</f>
        <v/>
      </c>
    </row>
    <row r="1731">
      <c r="A1731" s="39" t="n">
        <v>46170.0661574074</v>
      </c>
      <c r="B1731" s="25">
        <f>TEXT(A1731,"YYYY-MM")</f>
        <v/>
      </c>
      <c r="C1731" s="25">
        <f>TEXT(A1731,"MMM-YYYY")</f>
        <v/>
      </c>
      <c r="D1731" s="40">
        <f>INT(A1731)-WEEKDAY(A1731,2)+1</f>
        <v/>
      </c>
      <c r="E1731" s="25" t="inlineStr">
        <is>
          <t>smukhopadhyay</t>
        </is>
      </c>
      <c r="F1731" s="25" t="n">
        <v>6510</v>
      </c>
      <c r="G1731" s="25" t="n">
        <v>1</v>
      </c>
      <c r="H1731" s="25" t="n">
        <v>7</v>
      </c>
      <c r="I1731" s="25" t="inlineStr">
        <is>
          <t>1 minute(s) and 28 second(s)</t>
        </is>
      </c>
      <c r="J1731" s="25">
        <f>IFERROR(VALUE(TRIM(LEFT(I1731,FIND("minute",I1731)-1)))*60,0)+IFERROR(VALUE(SUBSTITUTE(MID(I1731,IFERROR(FIND("and",I1731)+3,1),20),"second(s)","")),0)</f>
        <v/>
      </c>
      <c r="K1731" s="41">
        <f>J1731/60</f>
        <v/>
      </c>
      <c r="L1731" s="41">
        <f>IFERROR(J1731/H1731,"")</f>
        <v/>
      </c>
      <c r="M1731" s="25" t="inlineStr">
        <is>
          <t>2.5.12</t>
        </is>
      </c>
      <c r="N1731" s="25">
        <f>IF(J1731&gt;300,1,0)</f>
        <v/>
      </c>
      <c r="O1731" s="25">
        <f>IF(J1731&gt;600,1,0)</f>
        <v/>
      </c>
      <c r="P1731" s="25">
        <f>IF(H1731&gt;0,J1731,"")</f>
        <v/>
      </c>
      <c r="Q1731" s="25">
        <f>TEXT(A1731,"YYYY-MM-DD HH")</f>
        <v/>
      </c>
      <c r="R1731" s="25">
        <f>COUNTIF($Q$2:$Q$5295,Q1731)</f>
        <v/>
      </c>
      <c r="S1731" s="25">
        <f>IF(R1731&lt;=2,"1-2",IF(R1731&lt;=5,"3-5",IF(R1731&lt;=10,"6-10","11+")))</f>
        <v/>
      </c>
    </row>
    <row r="1732">
      <c r="A1732" s="39" t="n">
        <v>46170.0728125</v>
      </c>
      <c r="B1732" s="25">
        <f>TEXT(A1732,"YYYY-MM")</f>
        <v/>
      </c>
      <c r="C1732" s="25">
        <f>TEXT(A1732,"MMM-YYYY")</f>
        <v/>
      </c>
      <c r="D1732" s="40">
        <f>INT(A1732)-WEEKDAY(A1732,2)+1</f>
        <v/>
      </c>
      <c r="E1732" s="25" t="inlineStr">
        <is>
          <t>asahoo</t>
        </is>
      </c>
      <c r="F1732" s="25" t="n">
        <v>5007</v>
      </c>
      <c r="G1732" s="25" t="n">
        <v>1</v>
      </c>
      <c r="H1732" s="25" t="n">
        <v>7</v>
      </c>
      <c r="I1732" s="25" t="inlineStr">
        <is>
          <t>1 minute(s) and 13 second(s)</t>
        </is>
      </c>
      <c r="J1732" s="25">
        <f>IFERROR(VALUE(TRIM(LEFT(I1732,FIND("minute",I1732)-1)))*60,0)+IFERROR(VALUE(SUBSTITUTE(MID(I1732,IFERROR(FIND("and",I1732)+3,1),20),"second(s)","")),0)</f>
        <v/>
      </c>
      <c r="K1732" s="41">
        <f>J1732/60</f>
        <v/>
      </c>
      <c r="L1732" s="41">
        <f>IFERROR(J1732/H1732,"")</f>
        <v/>
      </c>
      <c r="M1732" s="25" t="inlineStr">
        <is>
          <t>2.5.12</t>
        </is>
      </c>
      <c r="N1732" s="25">
        <f>IF(J1732&gt;300,1,0)</f>
        <v/>
      </c>
      <c r="O1732" s="25">
        <f>IF(J1732&gt;600,1,0)</f>
        <v/>
      </c>
      <c r="P1732" s="25">
        <f>IF(H1732&gt;0,J1732,"")</f>
        <v/>
      </c>
      <c r="Q1732" s="25">
        <f>TEXT(A1732,"YYYY-MM-DD HH")</f>
        <v/>
      </c>
      <c r="R1732" s="25">
        <f>COUNTIF($Q$2:$Q$5295,Q1732)</f>
        <v/>
      </c>
      <c r="S1732" s="25">
        <f>IF(R1732&lt;=2,"1-2",IF(R1732&lt;=5,"3-5",IF(R1732&lt;=10,"6-10","11+")))</f>
        <v/>
      </c>
    </row>
    <row r="1733">
      <c r="A1733" s="39" t="n">
        <v>46170.07332175926</v>
      </c>
      <c r="B1733" s="25">
        <f>TEXT(A1733,"YYYY-MM")</f>
        <v/>
      </c>
      <c r="C1733" s="25">
        <f>TEXT(A1733,"MMM-YYYY")</f>
        <v/>
      </c>
      <c r="D1733" s="40">
        <f>INT(A1733)-WEEKDAY(A1733,2)+1</f>
        <v/>
      </c>
      <c r="E1733" s="25" t="inlineStr">
        <is>
          <t>aupadhayay</t>
        </is>
      </c>
      <c r="F1733" s="25" t="n">
        <v>489</v>
      </c>
      <c r="G1733" s="25" t="n">
        <v>1</v>
      </c>
      <c r="H1733" s="25" t="n">
        <v>7</v>
      </c>
      <c r="I1733" s="25" t="inlineStr">
        <is>
          <t>1 minute(s) and 58 second(s)</t>
        </is>
      </c>
      <c r="J1733" s="25">
        <f>IFERROR(VALUE(TRIM(LEFT(I1733,FIND("minute",I1733)-1)))*60,0)+IFERROR(VALUE(SUBSTITUTE(MID(I1733,IFERROR(FIND("and",I1733)+3,1),20),"second(s)","")),0)</f>
        <v/>
      </c>
      <c r="K1733" s="41">
        <f>J1733/60</f>
        <v/>
      </c>
      <c r="L1733" s="41">
        <f>IFERROR(J1733/H1733,"")</f>
        <v/>
      </c>
      <c r="M1733" s="25" t="inlineStr">
        <is>
          <t>2.5.12</t>
        </is>
      </c>
      <c r="N1733" s="25">
        <f>IF(J1733&gt;300,1,0)</f>
        <v/>
      </c>
      <c r="O1733" s="25">
        <f>IF(J1733&gt;600,1,0)</f>
        <v/>
      </c>
      <c r="P1733" s="25">
        <f>IF(H1733&gt;0,J1733,"")</f>
        <v/>
      </c>
      <c r="Q1733" s="25">
        <f>TEXT(A1733,"YYYY-MM-DD HH")</f>
        <v/>
      </c>
      <c r="R1733" s="25">
        <f>COUNTIF($Q$2:$Q$5295,Q1733)</f>
        <v/>
      </c>
      <c r="S1733" s="25">
        <f>IF(R1733&lt;=2,"1-2",IF(R1733&lt;=5,"3-5",IF(R1733&lt;=10,"6-10","11+")))</f>
        <v/>
      </c>
    </row>
    <row r="1734">
      <c r="A1734" s="39" t="n">
        <v>46170.07439814815</v>
      </c>
      <c r="B1734" s="25">
        <f>TEXT(A1734,"YYYY-MM")</f>
        <v/>
      </c>
      <c r="C1734" s="25">
        <f>TEXT(A1734,"MMM-YYYY")</f>
        <v/>
      </c>
      <c r="D1734" s="40">
        <f>INT(A1734)-WEEKDAY(A1734,2)+1</f>
        <v/>
      </c>
      <c r="E1734" s="25" t="inlineStr">
        <is>
          <t>abhaskarkp</t>
        </is>
      </c>
      <c r="F1734" s="25" t="n">
        <v>3602</v>
      </c>
      <c r="G1734" s="25" t="n">
        <v>1</v>
      </c>
      <c r="H1734" s="25" t="n">
        <v>7</v>
      </c>
      <c r="I1734" s="25" t="inlineStr">
        <is>
          <t>1 minute(s) and 42 second(s)</t>
        </is>
      </c>
      <c r="J1734" s="25">
        <f>IFERROR(VALUE(TRIM(LEFT(I1734,FIND("minute",I1734)-1)))*60,0)+IFERROR(VALUE(SUBSTITUTE(MID(I1734,IFERROR(FIND("and",I1734)+3,1),20),"second(s)","")),0)</f>
        <v/>
      </c>
      <c r="K1734" s="41">
        <f>J1734/60</f>
        <v/>
      </c>
      <c r="L1734" s="41">
        <f>IFERROR(J1734/H1734,"")</f>
        <v/>
      </c>
      <c r="M1734" s="25" t="inlineStr">
        <is>
          <t>2.5.12</t>
        </is>
      </c>
      <c r="N1734" s="25">
        <f>IF(J1734&gt;300,1,0)</f>
        <v/>
      </c>
      <c r="O1734" s="25">
        <f>IF(J1734&gt;600,1,0)</f>
        <v/>
      </c>
      <c r="P1734" s="25">
        <f>IF(H1734&gt;0,J1734,"")</f>
        <v/>
      </c>
      <c r="Q1734" s="25">
        <f>TEXT(A1734,"YYYY-MM-DD HH")</f>
        <v/>
      </c>
      <c r="R1734" s="25">
        <f>COUNTIF($Q$2:$Q$5295,Q1734)</f>
        <v/>
      </c>
      <c r="S1734" s="25">
        <f>IF(R1734&lt;=2,"1-2",IF(R1734&lt;=5,"3-5",IF(R1734&lt;=10,"6-10","11+")))</f>
        <v/>
      </c>
    </row>
    <row r="1735">
      <c r="A1735" s="39" t="n">
        <v>46170.08090277778</v>
      </c>
      <c r="B1735" s="25">
        <f>TEXT(A1735,"YYYY-MM")</f>
        <v/>
      </c>
      <c r="C1735" s="25">
        <f>TEXT(A1735,"MMM-YYYY")</f>
        <v/>
      </c>
      <c r="D1735" s="40">
        <f>INT(A1735)-WEEKDAY(A1735,2)+1</f>
        <v/>
      </c>
      <c r="E1735" s="25" t="inlineStr">
        <is>
          <t>stiwari</t>
        </is>
      </c>
      <c r="F1735" s="25" t="n">
        <v>5085</v>
      </c>
      <c r="G1735" s="25" t="n">
        <v>1</v>
      </c>
      <c r="H1735" s="25" t="n">
        <v>7</v>
      </c>
      <c r="I1735" s="25" t="inlineStr">
        <is>
          <t>3 minute(s) and 5 second(s)</t>
        </is>
      </c>
      <c r="J1735" s="25">
        <f>IFERROR(VALUE(TRIM(LEFT(I1735,FIND("minute",I1735)-1)))*60,0)+IFERROR(VALUE(SUBSTITUTE(MID(I1735,IFERROR(FIND("and",I1735)+3,1),20),"second(s)","")),0)</f>
        <v/>
      </c>
      <c r="K1735" s="41">
        <f>J1735/60</f>
        <v/>
      </c>
      <c r="L1735" s="41">
        <f>IFERROR(J1735/H1735,"")</f>
        <v/>
      </c>
      <c r="M1735" s="25" t="inlineStr">
        <is>
          <t>2.5.12</t>
        </is>
      </c>
      <c r="N1735" s="25">
        <f>IF(J1735&gt;300,1,0)</f>
        <v/>
      </c>
      <c r="O1735" s="25">
        <f>IF(J1735&gt;600,1,0)</f>
        <v/>
      </c>
      <c r="P1735" s="25">
        <f>IF(H1735&gt;0,J1735,"")</f>
        <v/>
      </c>
      <c r="Q1735" s="25">
        <f>TEXT(A1735,"YYYY-MM-DD HH")</f>
        <v/>
      </c>
      <c r="R1735" s="25">
        <f>COUNTIF($Q$2:$Q$5295,Q1735)</f>
        <v/>
      </c>
      <c r="S1735" s="25">
        <f>IF(R1735&lt;=2,"1-2",IF(R1735&lt;=5,"3-5",IF(R1735&lt;=10,"6-10","11+")))</f>
        <v/>
      </c>
    </row>
    <row r="1736">
      <c r="A1736" s="39" t="n">
        <v>46170.08447916667</v>
      </c>
      <c r="B1736" s="25">
        <f>TEXT(A1736,"YYYY-MM")</f>
        <v/>
      </c>
      <c r="C1736" s="25">
        <f>TEXT(A1736,"MMM-YYYY")</f>
        <v/>
      </c>
      <c r="D1736" s="40">
        <f>INT(A1736)-WEEKDAY(A1736,2)+1</f>
        <v/>
      </c>
      <c r="E1736" s="25" t="inlineStr">
        <is>
          <t>ssrinivasan</t>
        </is>
      </c>
      <c r="F1736" s="25" t="n">
        <v>5385</v>
      </c>
      <c r="G1736" s="25" t="n">
        <v>1</v>
      </c>
      <c r="H1736" s="25" t="n">
        <v>5</v>
      </c>
      <c r="I1736" s="25" t="inlineStr">
        <is>
          <t>2 minute(s) and 22 second(s)</t>
        </is>
      </c>
      <c r="J1736" s="25">
        <f>IFERROR(VALUE(TRIM(LEFT(I1736,FIND("minute",I1736)-1)))*60,0)+IFERROR(VALUE(SUBSTITUTE(MID(I1736,IFERROR(FIND("and",I1736)+3,1),20),"second(s)","")),0)</f>
        <v/>
      </c>
      <c r="K1736" s="41">
        <f>J1736/60</f>
        <v/>
      </c>
      <c r="L1736" s="41">
        <f>IFERROR(J1736/H1736,"")</f>
        <v/>
      </c>
      <c r="M1736" s="25" t="inlineStr">
        <is>
          <t>2.5.12</t>
        </is>
      </c>
      <c r="N1736" s="25">
        <f>IF(J1736&gt;300,1,0)</f>
        <v/>
      </c>
      <c r="O1736" s="25">
        <f>IF(J1736&gt;600,1,0)</f>
        <v/>
      </c>
      <c r="P1736" s="25">
        <f>IF(H1736&gt;0,J1736,"")</f>
        <v/>
      </c>
      <c r="Q1736" s="25">
        <f>TEXT(A1736,"YYYY-MM-DD HH")</f>
        <v/>
      </c>
      <c r="R1736" s="25">
        <f>COUNTIF($Q$2:$Q$5295,Q1736)</f>
        <v/>
      </c>
      <c r="S1736" s="25">
        <f>IF(R1736&lt;=2,"1-2",IF(R1736&lt;=5,"3-5",IF(R1736&lt;=10,"6-10","11+")))</f>
        <v/>
      </c>
    </row>
    <row r="1737">
      <c r="A1737" s="39" t="n">
        <v>46170.08607638889</v>
      </c>
      <c r="B1737" s="25">
        <f>TEXT(A1737,"YYYY-MM")</f>
        <v/>
      </c>
      <c r="C1737" s="25">
        <f>TEXT(A1737,"MMM-YYYY")</f>
        <v/>
      </c>
      <c r="D1737" s="40">
        <f>INT(A1737)-WEEKDAY(A1737,2)+1</f>
        <v/>
      </c>
      <c r="E1737" s="25" t="inlineStr">
        <is>
          <t>aupadhayay</t>
        </is>
      </c>
      <c r="F1737" s="25" t="n">
        <v>491</v>
      </c>
      <c r="G1737" s="25" t="n">
        <v>1</v>
      </c>
      <c r="H1737" s="25" t="n">
        <v>7</v>
      </c>
      <c r="I1737" s="25" t="inlineStr">
        <is>
          <t>2 minute(s) and 41 second(s)</t>
        </is>
      </c>
      <c r="J1737" s="25">
        <f>IFERROR(VALUE(TRIM(LEFT(I1737,FIND("minute",I1737)-1)))*60,0)+IFERROR(VALUE(SUBSTITUTE(MID(I1737,IFERROR(FIND("and",I1737)+3,1),20),"second(s)","")),0)</f>
        <v/>
      </c>
      <c r="K1737" s="41">
        <f>J1737/60</f>
        <v/>
      </c>
      <c r="L1737" s="41">
        <f>IFERROR(J1737/H1737,"")</f>
        <v/>
      </c>
      <c r="M1737" s="25" t="inlineStr">
        <is>
          <t>2.5.12</t>
        </is>
      </c>
      <c r="N1737" s="25">
        <f>IF(J1737&gt;300,1,0)</f>
        <v/>
      </c>
      <c r="O1737" s="25">
        <f>IF(J1737&gt;600,1,0)</f>
        <v/>
      </c>
      <c r="P1737" s="25">
        <f>IF(H1737&gt;0,J1737,"")</f>
        <v/>
      </c>
      <c r="Q1737" s="25">
        <f>TEXT(A1737,"YYYY-MM-DD HH")</f>
        <v/>
      </c>
      <c r="R1737" s="25">
        <f>COUNTIF($Q$2:$Q$5295,Q1737)</f>
        <v/>
      </c>
      <c r="S1737" s="25">
        <f>IF(R1737&lt;=2,"1-2",IF(R1737&lt;=5,"3-5",IF(R1737&lt;=10,"6-10","11+")))</f>
        <v/>
      </c>
    </row>
    <row r="1738">
      <c r="A1738" s="39" t="n">
        <v>46170.08789351852</v>
      </c>
      <c r="B1738" s="25">
        <f>TEXT(A1738,"YYYY-MM")</f>
        <v/>
      </c>
      <c r="C1738" s="25">
        <f>TEXT(A1738,"MMM-YYYY")</f>
        <v/>
      </c>
      <c r="D1738" s="40">
        <f>INT(A1738)-WEEKDAY(A1738,2)+1</f>
        <v/>
      </c>
      <c r="E1738" s="25" t="inlineStr">
        <is>
          <t>ns</t>
        </is>
      </c>
      <c r="F1738" s="25" t="n">
        <v>5180</v>
      </c>
      <c r="G1738" s="25" t="n">
        <v>1</v>
      </c>
      <c r="H1738" s="25" t="n">
        <v>7</v>
      </c>
      <c r="I1738" s="25" t="inlineStr">
        <is>
          <t>2 minute(s) and 45 second(s)</t>
        </is>
      </c>
      <c r="J1738" s="25">
        <f>IFERROR(VALUE(TRIM(LEFT(I1738,FIND("minute",I1738)-1)))*60,0)+IFERROR(VALUE(SUBSTITUTE(MID(I1738,IFERROR(FIND("and",I1738)+3,1),20),"second(s)","")),0)</f>
        <v/>
      </c>
      <c r="K1738" s="41">
        <f>J1738/60</f>
        <v/>
      </c>
      <c r="L1738" s="41">
        <f>IFERROR(J1738/H1738,"")</f>
        <v/>
      </c>
      <c r="M1738" s="25" t="inlineStr">
        <is>
          <t>2.5.12</t>
        </is>
      </c>
      <c r="N1738" s="25">
        <f>IF(J1738&gt;300,1,0)</f>
        <v/>
      </c>
      <c r="O1738" s="25">
        <f>IF(J1738&gt;600,1,0)</f>
        <v/>
      </c>
      <c r="P1738" s="25">
        <f>IF(H1738&gt;0,J1738,"")</f>
        <v/>
      </c>
      <c r="Q1738" s="25">
        <f>TEXT(A1738,"YYYY-MM-DD HH")</f>
        <v/>
      </c>
      <c r="R1738" s="25">
        <f>COUNTIF($Q$2:$Q$5295,Q1738)</f>
        <v/>
      </c>
      <c r="S1738" s="25">
        <f>IF(R1738&lt;=2,"1-2",IF(R1738&lt;=5,"3-5",IF(R1738&lt;=10,"6-10","11+")))</f>
        <v/>
      </c>
    </row>
    <row r="1739">
      <c r="A1739" s="39" t="n">
        <v>46170.08949074074</v>
      </c>
      <c r="B1739" s="25">
        <f>TEXT(A1739,"YYYY-MM")</f>
        <v/>
      </c>
      <c r="C1739" s="25">
        <f>TEXT(A1739,"MMM-YYYY")</f>
        <v/>
      </c>
      <c r="D1739" s="40">
        <f>INT(A1739)-WEEKDAY(A1739,2)+1</f>
        <v/>
      </c>
      <c r="E1739" s="25" t="inlineStr">
        <is>
          <t>npriya</t>
        </is>
      </c>
      <c r="F1739" s="25" t="n">
        <v>6029</v>
      </c>
      <c r="G1739" s="25" t="n">
        <v>1</v>
      </c>
      <c r="H1739" s="25" t="n">
        <v>7</v>
      </c>
      <c r="I1739" s="25" t="inlineStr">
        <is>
          <t>2 minute(s) and 5 second(s)</t>
        </is>
      </c>
      <c r="J1739" s="25">
        <f>IFERROR(VALUE(TRIM(LEFT(I1739,FIND("minute",I1739)-1)))*60,0)+IFERROR(VALUE(SUBSTITUTE(MID(I1739,IFERROR(FIND("and",I1739)+3,1),20),"second(s)","")),0)</f>
        <v/>
      </c>
      <c r="K1739" s="41">
        <f>J1739/60</f>
        <v/>
      </c>
      <c r="L1739" s="41">
        <f>IFERROR(J1739/H1739,"")</f>
        <v/>
      </c>
      <c r="M1739" s="25" t="inlineStr">
        <is>
          <t>2.5.12</t>
        </is>
      </c>
      <c r="N1739" s="25">
        <f>IF(J1739&gt;300,1,0)</f>
        <v/>
      </c>
      <c r="O1739" s="25">
        <f>IF(J1739&gt;600,1,0)</f>
        <v/>
      </c>
      <c r="P1739" s="25">
        <f>IF(H1739&gt;0,J1739,"")</f>
        <v/>
      </c>
      <c r="Q1739" s="25">
        <f>TEXT(A1739,"YYYY-MM-DD HH")</f>
        <v/>
      </c>
      <c r="R1739" s="25">
        <f>COUNTIF($Q$2:$Q$5295,Q1739)</f>
        <v/>
      </c>
      <c r="S1739" s="25">
        <f>IF(R1739&lt;=2,"1-2",IF(R1739&lt;=5,"3-5",IF(R1739&lt;=10,"6-10","11+")))</f>
        <v/>
      </c>
    </row>
    <row r="1740">
      <c r="A1740" s="39" t="n">
        <v>46170.08975694444</v>
      </c>
      <c r="B1740" s="25">
        <f>TEXT(A1740,"YYYY-MM")</f>
        <v/>
      </c>
      <c r="C1740" s="25">
        <f>TEXT(A1740,"MMM-YYYY")</f>
        <v/>
      </c>
      <c r="D1740" s="40">
        <f>INT(A1740)-WEEKDAY(A1740,2)+1</f>
        <v/>
      </c>
      <c r="E1740" s="25" t="inlineStr">
        <is>
          <t>adey</t>
        </is>
      </c>
      <c r="F1740" s="25" t="n">
        <v>5277</v>
      </c>
      <c r="G1740" s="25" t="n">
        <v>2</v>
      </c>
      <c r="H1740" s="25" t="n">
        <v>10</v>
      </c>
      <c r="I1740" s="25" t="inlineStr">
        <is>
          <t>2 minute(s) and 35 second(s)</t>
        </is>
      </c>
      <c r="J1740" s="25">
        <f>IFERROR(VALUE(TRIM(LEFT(I1740,FIND("minute",I1740)-1)))*60,0)+IFERROR(VALUE(SUBSTITUTE(MID(I1740,IFERROR(FIND("and",I1740)+3,1),20),"second(s)","")),0)</f>
        <v/>
      </c>
      <c r="K1740" s="41">
        <f>J1740/60</f>
        <v/>
      </c>
      <c r="L1740" s="41">
        <f>IFERROR(J1740/H1740,"")</f>
        <v/>
      </c>
      <c r="M1740" s="25" t="inlineStr">
        <is>
          <t>2.5.12</t>
        </is>
      </c>
      <c r="N1740" s="25">
        <f>IF(J1740&gt;300,1,0)</f>
        <v/>
      </c>
      <c r="O1740" s="25">
        <f>IF(J1740&gt;600,1,0)</f>
        <v/>
      </c>
      <c r="P1740" s="25">
        <f>IF(H1740&gt;0,J1740,"")</f>
        <v/>
      </c>
      <c r="Q1740" s="25">
        <f>TEXT(A1740,"YYYY-MM-DD HH")</f>
        <v/>
      </c>
      <c r="R1740" s="25">
        <f>COUNTIF($Q$2:$Q$5295,Q1740)</f>
        <v/>
      </c>
      <c r="S1740" s="25">
        <f>IF(R1740&lt;=2,"1-2",IF(R1740&lt;=5,"3-5",IF(R1740&lt;=10,"6-10","11+")))</f>
        <v/>
      </c>
    </row>
    <row r="1741">
      <c r="A1741" s="39" t="n">
        <v>46170.09267361111</v>
      </c>
      <c r="B1741" s="25">
        <f>TEXT(A1741,"YYYY-MM")</f>
        <v/>
      </c>
      <c r="C1741" s="25">
        <f>TEXT(A1741,"MMM-YYYY")</f>
        <v/>
      </c>
      <c r="D1741" s="40">
        <f>INT(A1741)-WEEKDAY(A1741,2)+1</f>
        <v/>
      </c>
      <c r="E1741" s="25" t="inlineStr">
        <is>
          <t>anusharma</t>
        </is>
      </c>
      <c r="F1741" s="25" t="n">
        <v>5317</v>
      </c>
      <c r="G1741" s="25" t="n">
        <v>1</v>
      </c>
      <c r="H1741" s="25" t="n">
        <v>5</v>
      </c>
      <c r="I1741" s="25" t="inlineStr">
        <is>
          <t>1 minute(s) and 3 second(s)</t>
        </is>
      </c>
      <c r="J1741" s="25">
        <f>IFERROR(VALUE(TRIM(LEFT(I1741,FIND("minute",I1741)-1)))*60,0)+IFERROR(VALUE(SUBSTITUTE(MID(I1741,IFERROR(FIND("and",I1741)+3,1),20),"second(s)","")),0)</f>
        <v/>
      </c>
      <c r="K1741" s="41">
        <f>J1741/60</f>
        <v/>
      </c>
      <c r="L1741" s="41">
        <f>IFERROR(J1741/H1741,"")</f>
        <v/>
      </c>
      <c r="M1741" s="25" t="inlineStr">
        <is>
          <t>2.5.12</t>
        </is>
      </c>
      <c r="N1741" s="25">
        <f>IF(J1741&gt;300,1,0)</f>
        <v/>
      </c>
      <c r="O1741" s="25">
        <f>IF(J1741&gt;600,1,0)</f>
        <v/>
      </c>
      <c r="P1741" s="25">
        <f>IF(H1741&gt;0,J1741,"")</f>
        <v/>
      </c>
      <c r="Q1741" s="25">
        <f>TEXT(A1741,"YYYY-MM-DD HH")</f>
        <v/>
      </c>
      <c r="R1741" s="25">
        <f>COUNTIF($Q$2:$Q$5295,Q1741)</f>
        <v/>
      </c>
      <c r="S1741" s="25">
        <f>IF(R1741&lt;=2,"1-2",IF(R1741&lt;=5,"3-5",IF(R1741&lt;=10,"6-10","11+")))</f>
        <v/>
      </c>
    </row>
    <row r="1742">
      <c r="A1742" s="39" t="n">
        <v>46170.09861111111</v>
      </c>
      <c r="B1742" s="25">
        <f>TEXT(A1742,"YYYY-MM")</f>
        <v/>
      </c>
      <c r="C1742" s="25">
        <f>TEXT(A1742,"MMM-YYYY")</f>
        <v/>
      </c>
      <c r="D1742" s="40">
        <f>INT(A1742)-WEEKDAY(A1742,2)+1</f>
        <v/>
      </c>
      <c r="E1742" s="25" t="inlineStr">
        <is>
          <t>smukhopadhyay</t>
        </is>
      </c>
      <c r="F1742" s="25" t="n">
        <v>6511</v>
      </c>
      <c r="G1742" s="25" t="n">
        <v>1</v>
      </c>
      <c r="H1742" s="25" t="n">
        <v>7</v>
      </c>
      <c r="I1742" s="25" t="inlineStr">
        <is>
          <t>3 minute(s) and 8 second(s)</t>
        </is>
      </c>
      <c r="J1742" s="25">
        <f>IFERROR(VALUE(TRIM(LEFT(I1742,FIND("minute",I1742)-1)))*60,0)+IFERROR(VALUE(SUBSTITUTE(MID(I1742,IFERROR(FIND("and",I1742)+3,1),20),"second(s)","")),0)</f>
        <v/>
      </c>
      <c r="K1742" s="41">
        <f>J1742/60</f>
        <v/>
      </c>
      <c r="L1742" s="41">
        <f>IFERROR(J1742/H1742,"")</f>
        <v/>
      </c>
      <c r="M1742" s="25" t="inlineStr">
        <is>
          <t>2.5.12</t>
        </is>
      </c>
      <c r="N1742" s="25">
        <f>IF(J1742&gt;300,1,0)</f>
        <v/>
      </c>
      <c r="O1742" s="25">
        <f>IF(J1742&gt;600,1,0)</f>
        <v/>
      </c>
      <c r="P1742" s="25">
        <f>IF(H1742&gt;0,J1742,"")</f>
        <v/>
      </c>
      <c r="Q1742" s="25">
        <f>TEXT(A1742,"YYYY-MM-DD HH")</f>
        <v/>
      </c>
      <c r="R1742" s="25">
        <f>COUNTIF($Q$2:$Q$5295,Q1742)</f>
        <v/>
      </c>
      <c r="S1742" s="25">
        <f>IF(R1742&lt;=2,"1-2",IF(R1742&lt;=5,"3-5",IF(R1742&lt;=10,"6-10","11+")))</f>
        <v/>
      </c>
    </row>
    <row r="1743">
      <c r="A1743" s="39" t="n">
        <v>46170.10023148148</v>
      </c>
      <c r="B1743" s="25">
        <f>TEXT(A1743,"YYYY-MM")</f>
        <v/>
      </c>
      <c r="C1743" s="25">
        <f>TEXT(A1743,"MMM-YYYY")</f>
        <v/>
      </c>
      <c r="D1743" s="40">
        <f>INT(A1743)-WEEKDAY(A1743,2)+1</f>
        <v/>
      </c>
      <c r="E1743" s="25" t="inlineStr">
        <is>
          <t>arsarkar</t>
        </is>
      </c>
      <c r="F1743" s="25" t="n">
        <v>6248</v>
      </c>
      <c r="G1743" s="25" t="n">
        <v>1</v>
      </c>
      <c r="H1743" s="25" t="n">
        <v>7</v>
      </c>
      <c r="I1743" s="25" t="inlineStr">
        <is>
          <t>3 minute(s) and 17 second(s)</t>
        </is>
      </c>
      <c r="J1743" s="25">
        <f>IFERROR(VALUE(TRIM(LEFT(I1743,FIND("minute",I1743)-1)))*60,0)+IFERROR(VALUE(SUBSTITUTE(MID(I1743,IFERROR(FIND("and",I1743)+3,1),20),"second(s)","")),0)</f>
        <v/>
      </c>
      <c r="K1743" s="41">
        <f>J1743/60</f>
        <v/>
      </c>
      <c r="L1743" s="41">
        <f>IFERROR(J1743/H1743,"")</f>
        <v/>
      </c>
      <c r="M1743" s="25" t="inlineStr">
        <is>
          <t>2.5.12</t>
        </is>
      </c>
      <c r="N1743" s="25">
        <f>IF(J1743&gt;300,1,0)</f>
        <v/>
      </c>
      <c r="O1743" s="25">
        <f>IF(J1743&gt;600,1,0)</f>
        <v/>
      </c>
      <c r="P1743" s="25">
        <f>IF(H1743&gt;0,J1743,"")</f>
        <v/>
      </c>
      <c r="Q1743" s="25">
        <f>TEXT(A1743,"YYYY-MM-DD HH")</f>
        <v/>
      </c>
      <c r="R1743" s="25">
        <f>COUNTIF($Q$2:$Q$5295,Q1743)</f>
        <v/>
      </c>
      <c r="S1743" s="25">
        <f>IF(R1743&lt;=2,"1-2",IF(R1743&lt;=5,"3-5",IF(R1743&lt;=10,"6-10","11+")))</f>
        <v/>
      </c>
    </row>
    <row r="1744">
      <c r="A1744" s="39" t="n">
        <v>46170.10518518519</v>
      </c>
      <c r="B1744" s="25">
        <f>TEXT(A1744,"YYYY-MM")</f>
        <v/>
      </c>
      <c r="C1744" s="25">
        <f>TEXT(A1744,"MMM-YYYY")</f>
        <v/>
      </c>
      <c r="D1744" s="40">
        <f>INT(A1744)-WEEKDAY(A1744,2)+1</f>
        <v/>
      </c>
      <c r="E1744" s="25" t="inlineStr">
        <is>
          <t>nlnu</t>
        </is>
      </c>
      <c r="F1744" s="25" t="n">
        <v>5170</v>
      </c>
      <c r="G1744" s="25" t="n">
        <v>1</v>
      </c>
      <c r="H1744" s="25" t="n">
        <v>7</v>
      </c>
      <c r="I1744" s="25" t="inlineStr">
        <is>
          <t>2 minute(s) and 55 second(s)</t>
        </is>
      </c>
      <c r="J1744" s="25">
        <f>IFERROR(VALUE(TRIM(LEFT(I1744,FIND("minute",I1744)-1)))*60,0)+IFERROR(VALUE(SUBSTITUTE(MID(I1744,IFERROR(FIND("and",I1744)+3,1),20),"second(s)","")),0)</f>
        <v/>
      </c>
      <c r="K1744" s="41">
        <f>J1744/60</f>
        <v/>
      </c>
      <c r="L1744" s="41">
        <f>IFERROR(J1744/H1744,"")</f>
        <v/>
      </c>
      <c r="M1744" s="25" t="inlineStr">
        <is>
          <t>2.5.12</t>
        </is>
      </c>
      <c r="N1744" s="25">
        <f>IF(J1744&gt;300,1,0)</f>
        <v/>
      </c>
      <c r="O1744" s="25">
        <f>IF(J1744&gt;600,1,0)</f>
        <v/>
      </c>
      <c r="P1744" s="25">
        <f>IF(H1744&gt;0,J1744,"")</f>
        <v/>
      </c>
      <c r="Q1744" s="25">
        <f>TEXT(A1744,"YYYY-MM-DD HH")</f>
        <v/>
      </c>
      <c r="R1744" s="25">
        <f>COUNTIF($Q$2:$Q$5295,Q1744)</f>
        <v/>
      </c>
      <c r="S1744" s="25">
        <f>IF(R1744&lt;=2,"1-2",IF(R1744&lt;=5,"3-5",IF(R1744&lt;=10,"6-10","11+")))</f>
        <v/>
      </c>
    </row>
    <row r="1745">
      <c r="A1745" s="39" t="n">
        <v>46170.10583333333</v>
      </c>
      <c r="B1745" s="25">
        <f>TEXT(A1745,"YYYY-MM")</f>
        <v/>
      </c>
      <c r="C1745" s="25">
        <f>TEXT(A1745,"MMM-YYYY")</f>
        <v/>
      </c>
      <c r="D1745" s="40">
        <f>INT(A1745)-WEEKDAY(A1745,2)+1</f>
        <v/>
      </c>
      <c r="E1745" s="25" t="inlineStr">
        <is>
          <t>sdey</t>
        </is>
      </c>
      <c r="F1745" s="25" t="n">
        <v>5414</v>
      </c>
      <c r="G1745" s="25" t="n">
        <v>1</v>
      </c>
      <c r="H1745" s="25" t="n">
        <v>7</v>
      </c>
      <c r="I1745" s="25" t="inlineStr">
        <is>
          <t>1 minute(s) and 43 second(s)</t>
        </is>
      </c>
      <c r="J1745" s="25">
        <f>IFERROR(VALUE(TRIM(LEFT(I1745,FIND("minute",I1745)-1)))*60,0)+IFERROR(VALUE(SUBSTITUTE(MID(I1745,IFERROR(FIND("and",I1745)+3,1),20),"second(s)","")),0)</f>
        <v/>
      </c>
      <c r="K1745" s="41">
        <f>J1745/60</f>
        <v/>
      </c>
      <c r="L1745" s="41">
        <f>IFERROR(J1745/H1745,"")</f>
        <v/>
      </c>
      <c r="M1745" s="25" t="inlineStr">
        <is>
          <t>2.5.12</t>
        </is>
      </c>
      <c r="N1745" s="25">
        <f>IF(J1745&gt;300,1,0)</f>
        <v/>
      </c>
      <c r="O1745" s="25">
        <f>IF(J1745&gt;600,1,0)</f>
        <v/>
      </c>
      <c r="P1745" s="25">
        <f>IF(H1745&gt;0,J1745,"")</f>
        <v/>
      </c>
      <c r="Q1745" s="25">
        <f>TEXT(A1745,"YYYY-MM-DD HH")</f>
        <v/>
      </c>
      <c r="R1745" s="25">
        <f>COUNTIF($Q$2:$Q$5295,Q1745)</f>
        <v/>
      </c>
      <c r="S1745" s="25">
        <f>IF(R1745&lt;=2,"1-2",IF(R1745&lt;=5,"3-5",IF(R1745&lt;=10,"6-10","11+")))</f>
        <v/>
      </c>
    </row>
    <row r="1746">
      <c r="A1746" s="39" t="n">
        <v>46170.10893518518</v>
      </c>
      <c r="B1746" s="25">
        <f>TEXT(A1746,"YYYY-MM")</f>
        <v/>
      </c>
      <c r="C1746" s="25">
        <f>TEXT(A1746,"MMM-YYYY")</f>
        <v/>
      </c>
      <c r="D1746" s="40">
        <f>INT(A1746)-WEEKDAY(A1746,2)+1</f>
        <v/>
      </c>
      <c r="E1746" s="25" t="inlineStr">
        <is>
          <t>asahoo</t>
        </is>
      </c>
      <c r="F1746" s="25" t="n">
        <v>5009</v>
      </c>
      <c r="G1746" s="25" t="n">
        <v>1</v>
      </c>
      <c r="H1746" s="25" t="n">
        <v>7</v>
      </c>
      <c r="I1746" s="25" t="inlineStr">
        <is>
          <t>1 minute(s) and 24 second(s)</t>
        </is>
      </c>
      <c r="J1746" s="25">
        <f>IFERROR(VALUE(TRIM(LEFT(I1746,FIND("minute",I1746)-1)))*60,0)+IFERROR(VALUE(SUBSTITUTE(MID(I1746,IFERROR(FIND("and",I1746)+3,1),20),"second(s)","")),0)</f>
        <v/>
      </c>
      <c r="K1746" s="41">
        <f>J1746/60</f>
        <v/>
      </c>
      <c r="L1746" s="41">
        <f>IFERROR(J1746/H1746,"")</f>
        <v/>
      </c>
      <c r="M1746" s="25" t="inlineStr">
        <is>
          <t>2.5.12</t>
        </is>
      </c>
      <c r="N1746" s="25">
        <f>IF(J1746&gt;300,1,0)</f>
        <v/>
      </c>
      <c r="O1746" s="25">
        <f>IF(J1746&gt;600,1,0)</f>
        <v/>
      </c>
      <c r="P1746" s="25">
        <f>IF(H1746&gt;0,J1746,"")</f>
        <v/>
      </c>
      <c r="Q1746" s="25">
        <f>TEXT(A1746,"YYYY-MM-DD HH")</f>
        <v/>
      </c>
      <c r="R1746" s="25">
        <f>COUNTIF($Q$2:$Q$5295,Q1746)</f>
        <v/>
      </c>
      <c r="S1746" s="25">
        <f>IF(R1746&lt;=2,"1-2",IF(R1746&lt;=5,"3-5",IF(R1746&lt;=10,"6-10","11+")))</f>
        <v/>
      </c>
    </row>
    <row r="1747">
      <c r="A1747" s="39" t="n">
        <v>46170.10901620371</v>
      </c>
      <c r="B1747" s="25">
        <f>TEXT(A1747,"YYYY-MM")</f>
        <v/>
      </c>
      <c r="C1747" s="25">
        <f>TEXT(A1747,"MMM-YYYY")</f>
        <v/>
      </c>
      <c r="D1747" s="40">
        <f>INT(A1747)-WEEKDAY(A1747,2)+1</f>
        <v/>
      </c>
      <c r="E1747" s="25" t="inlineStr">
        <is>
          <t>pmishra</t>
        </is>
      </c>
      <c r="F1747" s="25" t="n">
        <v>5608</v>
      </c>
      <c r="G1747" s="25" t="n">
        <v>1</v>
      </c>
      <c r="H1747" s="25" t="n">
        <v>7</v>
      </c>
      <c r="I1747" s="25" t="inlineStr">
        <is>
          <t>3 minute(s) and 18 second(s)</t>
        </is>
      </c>
      <c r="J1747" s="25">
        <f>IFERROR(VALUE(TRIM(LEFT(I1747,FIND("minute",I1747)-1)))*60,0)+IFERROR(VALUE(SUBSTITUTE(MID(I1747,IFERROR(FIND("and",I1747)+3,1),20),"second(s)","")),0)</f>
        <v/>
      </c>
      <c r="K1747" s="41">
        <f>J1747/60</f>
        <v/>
      </c>
      <c r="L1747" s="41">
        <f>IFERROR(J1747/H1747,"")</f>
        <v/>
      </c>
      <c r="M1747" s="25" t="inlineStr">
        <is>
          <t>2.5.12</t>
        </is>
      </c>
      <c r="N1747" s="25">
        <f>IF(J1747&gt;300,1,0)</f>
        <v/>
      </c>
      <c r="O1747" s="25">
        <f>IF(J1747&gt;600,1,0)</f>
        <v/>
      </c>
      <c r="P1747" s="25">
        <f>IF(H1747&gt;0,J1747,"")</f>
        <v/>
      </c>
      <c r="Q1747" s="25">
        <f>TEXT(A1747,"YYYY-MM-DD HH")</f>
        <v/>
      </c>
      <c r="R1747" s="25">
        <f>COUNTIF($Q$2:$Q$5295,Q1747)</f>
        <v/>
      </c>
      <c r="S1747" s="25">
        <f>IF(R1747&lt;=2,"1-2",IF(R1747&lt;=5,"3-5",IF(R1747&lt;=10,"6-10","11+")))</f>
        <v/>
      </c>
    </row>
    <row r="1748">
      <c r="A1748" s="39" t="n">
        <v>46170.11957175926</v>
      </c>
      <c r="B1748" s="25">
        <f>TEXT(A1748,"YYYY-MM")</f>
        <v/>
      </c>
      <c r="C1748" s="25">
        <f>TEXT(A1748,"MMM-YYYY")</f>
        <v/>
      </c>
      <c r="D1748" s="40">
        <f>INT(A1748)-WEEKDAY(A1748,2)+1</f>
        <v/>
      </c>
      <c r="E1748" s="25" t="inlineStr">
        <is>
          <t>ssrinivasan</t>
        </is>
      </c>
      <c r="F1748" s="25" t="n">
        <v>5369</v>
      </c>
      <c r="G1748" s="25" t="n">
        <v>1</v>
      </c>
      <c r="H1748" s="25" t="n">
        <v>5</v>
      </c>
      <c r="I1748" s="25" t="inlineStr">
        <is>
          <t>4 minute(s) and 34 second(s)</t>
        </is>
      </c>
      <c r="J1748" s="25">
        <f>IFERROR(VALUE(TRIM(LEFT(I1748,FIND("minute",I1748)-1)))*60,0)+IFERROR(VALUE(SUBSTITUTE(MID(I1748,IFERROR(FIND("and",I1748)+3,1),20),"second(s)","")),0)</f>
        <v/>
      </c>
      <c r="K1748" s="41">
        <f>J1748/60</f>
        <v/>
      </c>
      <c r="L1748" s="41">
        <f>IFERROR(J1748/H1748,"")</f>
        <v/>
      </c>
      <c r="M1748" s="25" t="inlineStr">
        <is>
          <t>2.5.12</t>
        </is>
      </c>
      <c r="N1748" s="25">
        <f>IF(J1748&gt;300,1,0)</f>
        <v/>
      </c>
      <c r="O1748" s="25">
        <f>IF(J1748&gt;600,1,0)</f>
        <v/>
      </c>
      <c r="P1748" s="25">
        <f>IF(H1748&gt;0,J1748,"")</f>
        <v/>
      </c>
      <c r="Q1748" s="25">
        <f>TEXT(A1748,"YYYY-MM-DD HH")</f>
        <v/>
      </c>
      <c r="R1748" s="25">
        <f>COUNTIF($Q$2:$Q$5295,Q1748)</f>
        <v/>
      </c>
      <c r="S1748" s="25">
        <f>IF(R1748&lt;=2,"1-2",IF(R1748&lt;=5,"3-5",IF(R1748&lt;=10,"6-10","11+")))</f>
        <v/>
      </c>
    </row>
    <row r="1749">
      <c r="A1749" s="39" t="n">
        <v>46170.11986111111</v>
      </c>
      <c r="B1749" s="25">
        <f>TEXT(A1749,"YYYY-MM")</f>
        <v/>
      </c>
      <c r="C1749" s="25">
        <f>TEXT(A1749,"MMM-YYYY")</f>
        <v/>
      </c>
      <c r="D1749" s="40">
        <f>INT(A1749)-WEEKDAY(A1749,2)+1</f>
        <v/>
      </c>
      <c r="E1749" s="25" t="inlineStr">
        <is>
          <t>npriya</t>
        </is>
      </c>
      <c r="F1749" s="25" t="n">
        <v>6030</v>
      </c>
      <c r="G1749" s="25" t="n">
        <v>1</v>
      </c>
      <c r="H1749" s="25" t="n">
        <v>7</v>
      </c>
      <c r="I1749" s="25" t="inlineStr">
        <is>
          <t>3 minute(s) and 25 second(s)</t>
        </is>
      </c>
      <c r="J1749" s="25">
        <f>IFERROR(VALUE(TRIM(LEFT(I1749,FIND("minute",I1749)-1)))*60,0)+IFERROR(VALUE(SUBSTITUTE(MID(I1749,IFERROR(FIND("and",I1749)+3,1),20),"second(s)","")),0)</f>
        <v/>
      </c>
      <c r="K1749" s="41">
        <f>J1749/60</f>
        <v/>
      </c>
      <c r="L1749" s="41">
        <f>IFERROR(J1749/H1749,"")</f>
        <v/>
      </c>
      <c r="M1749" s="25" t="inlineStr">
        <is>
          <t>2.5.12</t>
        </is>
      </c>
      <c r="N1749" s="25">
        <f>IF(J1749&gt;300,1,0)</f>
        <v/>
      </c>
      <c r="O1749" s="25">
        <f>IF(J1749&gt;600,1,0)</f>
        <v/>
      </c>
      <c r="P1749" s="25">
        <f>IF(H1749&gt;0,J1749,"")</f>
        <v/>
      </c>
      <c r="Q1749" s="25">
        <f>TEXT(A1749,"YYYY-MM-DD HH")</f>
        <v/>
      </c>
      <c r="R1749" s="25">
        <f>COUNTIF($Q$2:$Q$5295,Q1749)</f>
        <v/>
      </c>
      <c r="S1749" s="25">
        <f>IF(R1749&lt;=2,"1-2",IF(R1749&lt;=5,"3-5",IF(R1749&lt;=10,"6-10","11+")))</f>
        <v/>
      </c>
    </row>
    <row r="1750">
      <c r="A1750" s="39" t="n">
        <v>46170.1212962963</v>
      </c>
      <c r="B1750" s="25">
        <f>TEXT(A1750,"YYYY-MM")</f>
        <v/>
      </c>
      <c r="C1750" s="25">
        <f>TEXT(A1750,"MMM-YYYY")</f>
        <v/>
      </c>
      <c r="D1750" s="40">
        <f>INT(A1750)-WEEKDAY(A1750,2)+1</f>
        <v/>
      </c>
      <c r="E1750" s="25" t="inlineStr">
        <is>
          <t>atiwari</t>
        </is>
      </c>
      <c r="F1750" s="25" t="n">
        <v>85536</v>
      </c>
      <c r="G1750" s="25" t="n">
        <v>1</v>
      </c>
      <c r="H1750" s="25" t="n">
        <v>6</v>
      </c>
      <c r="I1750" s="25" t="inlineStr">
        <is>
          <t>1 minute(s) and 26 second(s)</t>
        </is>
      </c>
      <c r="J1750" s="25">
        <f>IFERROR(VALUE(TRIM(LEFT(I1750,FIND("minute",I1750)-1)))*60,0)+IFERROR(VALUE(SUBSTITUTE(MID(I1750,IFERROR(FIND("and",I1750)+3,1),20),"second(s)","")),0)</f>
        <v/>
      </c>
      <c r="K1750" s="41">
        <f>J1750/60</f>
        <v/>
      </c>
      <c r="L1750" s="41">
        <f>IFERROR(J1750/H1750,"")</f>
        <v/>
      </c>
      <c r="M1750" s="25" t="inlineStr">
        <is>
          <t>2.5.12</t>
        </is>
      </c>
      <c r="N1750" s="25">
        <f>IF(J1750&gt;300,1,0)</f>
        <v/>
      </c>
      <c r="O1750" s="25">
        <f>IF(J1750&gt;600,1,0)</f>
        <v/>
      </c>
      <c r="P1750" s="25">
        <f>IF(H1750&gt;0,J1750,"")</f>
        <v/>
      </c>
      <c r="Q1750" s="25">
        <f>TEXT(A1750,"YYYY-MM-DD HH")</f>
        <v/>
      </c>
      <c r="R1750" s="25">
        <f>COUNTIF($Q$2:$Q$5295,Q1750)</f>
        <v/>
      </c>
      <c r="S1750" s="25">
        <f>IF(R1750&lt;=2,"1-2",IF(R1750&lt;=5,"3-5",IF(R1750&lt;=10,"6-10","11+")))</f>
        <v/>
      </c>
    </row>
    <row r="1751">
      <c r="A1751" s="39" t="n">
        <v>46170.1240625</v>
      </c>
      <c r="B1751" s="25">
        <f>TEXT(A1751,"YYYY-MM")</f>
        <v/>
      </c>
      <c r="C1751" s="25">
        <f>TEXT(A1751,"MMM-YYYY")</f>
        <v/>
      </c>
      <c r="D1751" s="40">
        <f>INT(A1751)-WEEKDAY(A1751,2)+1</f>
        <v/>
      </c>
      <c r="E1751" s="25" t="inlineStr">
        <is>
          <t>csaha</t>
        </is>
      </c>
      <c r="F1751" s="25" t="n">
        <v>6128</v>
      </c>
      <c r="G1751" s="25" t="n">
        <v>1</v>
      </c>
      <c r="H1751" s="25" t="n">
        <v>7</v>
      </c>
      <c r="I1751" s="25" t="inlineStr">
        <is>
          <t>1 minute(s) and 46 second(s)</t>
        </is>
      </c>
      <c r="J1751" s="25">
        <f>IFERROR(VALUE(TRIM(LEFT(I1751,FIND("minute",I1751)-1)))*60,0)+IFERROR(VALUE(SUBSTITUTE(MID(I1751,IFERROR(FIND("and",I1751)+3,1),20),"second(s)","")),0)</f>
        <v/>
      </c>
      <c r="K1751" s="41">
        <f>J1751/60</f>
        <v/>
      </c>
      <c r="L1751" s="41">
        <f>IFERROR(J1751/H1751,"")</f>
        <v/>
      </c>
      <c r="M1751" s="25" t="inlineStr">
        <is>
          <t>2.5.12</t>
        </is>
      </c>
      <c r="N1751" s="25">
        <f>IF(J1751&gt;300,1,0)</f>
        <v/>
      </c>
      <c r="O1751" s="25">
        <f>IF(J1751&gt;600,1,0)</f>
        <v/>
      </c>
      <c r="P1751" s="25">
        <f>IF(H1751&gt;0,J1751,"")</f>
        <v/>
      </c>
      <c r="Q1751" s="25">
        <f>TEXT(A1751,"YYYY-MM-DD HH")</f>
        <v/>
      </c>
      <c r="R1751" s="25">
        <f>COUNTIF($Q$2:$Q$5295,Q1751)</f>
        <v/>
      </c>
      <c r="S1751" s="25">
        <f>IF(R1751&lt;=2,"1-2",IF(R1751&lt;=5,"3-5",IF(R1751&lt;=10,"6-10","11+")))</f>
        <v/>
      </c>
    </row>
    <row r="1752">
      <c r="A1752" s="39" t="n">
        <v>46170.13694444444</v>
      </c>
      <c r="B1752" s="25">
        <f>TEXT(A1752,"YYYY-MM")</f>
        <v/>
      </c>
      <c r="C1752" s="25">
        <f>TEXT(A1752,"MMM-YYYY")</f>
        <v/>
      </c>
      <c r="D1752" s="40">
        <f>INT(A1752)-WEEKDAY(A1752,2)+1</f>
        <v/>
      </c>
      <c r="E1752" s="25" t="inlineStr">
        <is>
          <t>ssrinivasan</t>
        </is>
      </c>
      <c r="F1752" s="25" t="n">
        <v>5379</v>
      </c>
      <c r="G1752" s="25" t="n">
        <v>1</v>
      </c>
      <c r="H1752" s="25" t="n">
        <v>5</v>
      </c>
      <c r="I1752" s="25" t="inlineStr">
        <is>
          <t>3 minute(s) and 1 second(s)</t>
        </is>
      </c>
      <c r="J1752" s="25">
        <f>IFERROR(VALUE(TRIM(LEFT(I1752,FIND("minute",I1752)-1)))*60,0)+IFERROR(VALUE(SUBSTITUTE(MID(I1752,IFERROR(FIND("and",I1752)+3,1),20),"second(s)","")),0)</f>
        <v/>
      </c>
      <c r="K1752" s="41">
        <f>J1752/60</f>
        <v/>
      </c>
      <c r="L1752" s="41">
        <f>IFERROR(J1752/H1752,"")</f>
        <v/>
      </c>
      <c r="M1752" s="25" t="inlineStr">
        <is>
          <t>2.5.12</t>
        </is>
      </c>
      <c r="N1752" s="25">
        <f>IF(J1752&gt;300,1,0)</f>
        <v/>
      </c>
      <c r="O1752" s="25">
        <f>IF(J1752&gt;600,1,0)</f>
        <v/>
      </c>
      <c r="P1752" s="25">
        <f>IF(H1752&gt;0,J1752,"")</f>
        <v/>
      </c>
      <c r="Q1752" s="25">
        <f>TEXT(A1752,"YYYY-MM-DD HH")</f>
        <v/>
      </c>
      <c r="R1752" s="25">
        <f>COUNTIF($Q$2:$Q$5295,Q1752)</f>
        <v/>
      </c>
      <c r="S1752" s="25">
        <f>IF(R1752&lt;=2,"1-2",IF(R1752&lt;=5,"3-5",IF(R1752&lt;=10,"6-10","11+")))</f>
        <v/>
      </c>
    </row>
    <row r="1753">
      <c r="A1753" s="39" t="n">
        <v>46170.14142361111</v>
      </c>
      <c r="B1753" s="25">
        <f>TEXT(A1753,"YYYY-MM")</f>
        <v/>
      </c>
      <c r="C1753" s="25">
        <f>TEXT(A1753,"MMM-YYYY")</f>
        <v/>
      </c>
      <c r="D1753" s="40">
        <f>INT(A1753)-WEEKDAY(A1753,2)+1</f>
        <v/>
      </c>
      <c r="E1753" s="25" t="inlineStr">
        <is>
          <t>anusharma</t>
        </is>
      </c>
      <c r="F1753" s="25" t="n">
        <v>5318</v>
      </c>
      <c r="G1753" s="25" t="n">
        <v>2</v>
      </c>
      <c r="H1753" s="25" t="n">
        <v>8</v>
      </c>
      <c r="I1753" s="25" t="inlineStr">
        <is>
          <t>2 minute(s) and 13 second(s)</t>
        </is>
      </c>
      <c r="J1753" s="25">
        <f>IFERROR(VALUE(TRIM(LEFT(I1753,FIND("minute",I1753)-1)))*60,0)+IFERROR(VALUE(SUBSTITUTE(MID(I1753,IFERROR(FIND("and",I1753)+3,1),20),"second(s)","")),0)</f>
        <v/>
      </c>
      <c r="K1753" s="41">
        <f>J1753/60</f>
        <v/>
      </c>
      <c r="L1753" s="41">
        <f>IFERROR(J1753/H1753,"")</f>
        <v/>
      </c>
      <c r="M1753" s="25" t="inlineStr">
        <is>
          <t>2.5.12</t>
        </is>
      </c>
      <c r="N1753" s="25">
        <f>IF(J1753&gt;300,1,0)</f>
        <v/>
      </c>
      <c r="O1753" s="25">
        <f>IF(J1753&gt;600,1,0)</f>
        <v/>
      </c>
      <c r="P1753" s="25">
        <f>IF(H1753&gt;0,J1753,"")</f>
        <v/>
      </c>
      <c r="Q1753" s="25">
        <f>TEXT(A1753,"YYYY-MM-DD HH")</f>
        <v/>
      </c>
      <c r="R1753" s="25">
        <f>COUNTIF($Q$2:$Q$5295,Q1753)</f>
        <v/>
      </c>
      <c r="S1753" s="25">
        <f>IF(R1753&lt;=2,"1-2",IF(R1753&lt;=5,"3-5",IF(R1753&lt;=10,"6-10","11+")))</f>
        <v/>
      </c>
    </row>
    <row r="1754">
      <c r="A1754" s="39" t="n">
        <v>46170.15081018519</v>
      </c>
      <c r="B1754" s="25">
        <f>TEXT(A1754,"YYYY-MM")</f>
        <v/>
      </c>
      <c r="C1754" s="25">
        <f>TEXT(A1754,"MMM-YYYY")</f>
        <v/>
      </c>
      <c r="D1754" s="40">
        <f>INT(A1754)-WEEKDAY(A1754,2)+1</f>
        <v/>
      </c>
      <c r="E1754" s="25" t="inlineStr">
        <is>
          <t>nlnu</t>
        </is>
      </c>
      <c r="F1754" s="25" t="n">
        <v>5175</v>
      </c>
      <c r="G1754" s="25" t="n">
        <v>1</v>
      </c>
      <c r="H1754" s="25" t="n">
        <v>5</v>
      </c>
      <c r="I1754" s="25" t="inlineStr">
        <is>
          <t>2 minute(s) and 6 second(s)</t>
        </is>
      </c>
      <c r="J1754" s="25">
        <f>IFERROR(VALUE(TRIM(LEFT(I1754,FIND("minute",I1754)-1)))*60,0)+IFERROR(VALUE(SUBSTITUTE(MID(I1754,IFERROR(FIND("and",I1754)+3,1),20),"second(s)","")),0)</f>
        <v/>
      </c>
      <c r="K1754" s="41">
        <f>J1754/60</f>
        <v/>
      </c>
      <c r="L1754" s="41">
        <f>IFERROR(J1754/H1754,"")</f>
        <v/>
      </c>
      <c r="M1754" s="25" t="inlineStr">
        <is>
          <t>2.5.12</t>
        </is>
      </c>
      <c r="N1754" s="25">
        <f>IF(J1754&gt;300,1,0)</f>
        <v/>
      </c>
      <c r="O1754" s="25">
        <f>IF(J1754&gt;600,1,0)</f>
        <v/>
      </c>
      <c r="P1754" s="25">
        <f>IF(H1754&gt;0,J1754,"")</f>
        <v/>
      </c>
      <c r="Q1754" s="25">
        <f>TEXT(A1754,"YYYY-MM-DD HH")</f>
        <v/>
      </c>
      <c r="R1754" s="25">
        <f>COUNTIF($Q$2:$Q$5295,Q1754)</f>
        <v/>
      </c>
      <c r="S1754" s="25">
        <f>IF(R1754&lt;=2,"1-2",IF(R1754&lt;=5,"3-5",IF(R1754&lt;=10,"6-10","11+")))</f>
        <v/>
      </c>
    </row>
    <row r="1755">
      <c r="A1755" s="39" t="n">
        <v>46170.15180555556</v>
      </c>
      <c r="B1755" s="25">
        <f>TEXT(A1755,"YYYY-MM")</f>
        <v/>
      </c>
      <c r="C1755" s="25">
        <f>TEXT(A1755,"MMM-YYYY")</f>
        <v/>
      </c>
      <c r="D1755" s="40">
        <f>INT(A1755)-WEEKDAY(A1755,2)+1</f>
        <v/>
      </c>
      <c r="E1755" s="25" t="inlineStr">
        <is>
          <t>pmishra</t>
        </is>
      </c>
      <c r="F1755" s="25" t="n">
        <v>5609</v>
      </c>
      <c r="G1755" s="25" t="n">
        <v>1</v>
      </c>
      <c r="H1755" s="25" t="n">
        <v>5</v>
      </c>
      <c r="I1755" s="25" t="inlineStr">
        <is>
          <t>2 minute(s) and 11 second(s)</t>
        </is>
      </c>
      <c r="J1755" s="25">
        <f>IFERROR(VALUE(TRIM(LEFT(I1755,FIND("minute",I1755)-1)))*60,0)+IFERROR(VALUE(SUBSTITUTE(MID(I1755,IFERROR(FIND("and",I1755)+3,1),20),"second(s)","")),0)</f>
        <v/>
      </c>
      <c r="K1755" s="41">
        <f>J1755/60</f>
        <v/>
      </c>
      <c r="L1755" s="41">
        <f>IFERROR(J1755/H1755,"")</f>
        <v/>
      </c>
      <c r="M1755" s="25" t="inlineStr">
        <is>
          <t>2.5.12</t>
        </is>
      </c>
      <c r="N1755" s="25">
        <f>IF(J1755&gt;300,1,0)</f>
        <v/>
      </c>
      <c r="O1755" s="25">
        <f>IF(J1755&gt;600,1,0)</f>
        <v/>
      </c>
      <c r="P1755" s="25">
        <f>IF(H1755&gt;0,J1755,"")</f>
        <v/>
      </c>
      <c r="Q1755" s="25">
        <f>TEXT(A1755,"YYYY-MM-DD HH")</f>
        <v/>
      </c>
      <c r="R1755" s="25">
        <f>COUNTIF($Q$2:$Q$5295,Q1755)</f>
        <v/>
      </c>
      <c r="S1755" s="25">
        <f>IF(R1755&lt;=2,"1-2",IF(R1755&lt;=5,"3-5",IF(R1755&lt;=10,"6-10","11+")))</f>
        <v/>
      </c>
    </row>
    <row r="1756">
      <c r="A1756" s="39" t="n">
        <v>46170.15319444444</v>
      </c>
      <c r="B1756" s="25">
        <f>TEXT(A1756,"YYYY-MM")</f>
        <v/>
      </c>
      <c r="C1756" s="25">
        <f>TEXT(A1756,"MMM-YYYY")</f>
        <v/>
      </c>
      <c r="D1756" s="40">
        <f>INT(A1756)-WEEKDAY(A1756,2)+1</f>
        <v/>
      </c>
      <c r="E1756" s="25" t="inlineStr">
        <is>
          <t>npriya</t>
        </is>
      </c>
      <c r="F1756" s="25" t="n">
        <v>6031</v>
      </c>
      <c r="G1756" s="25" t="n">
        <v>1</v>
      </c>
      <c r="H1756" s="25" t="n">
        <v>7</v>
      </c>
      <c r="I1756" s="25" t="inlineStr">
        <is>
          <t>2 minute(s) and 59 second(s)</t>
        </is>
      </c>
      <c r="J1756" s="25">
        <f>IFERROR(VALUE(TRIM(LEFT(I1756,FIND("minute",I1756)-1)))*60,0)+IFERROR(VALUE(SUBSTITUTE(MID(I1756,IFERROR(FIND("and",I1756)+3,1),20),"second(s)","")),0)</f>
        <v/>
      </c>
      <c r="K1756" s="41">
        <f>J1756/60</f>
        <v/>
      </c>
      <c r="L1756" s="41">
        <f>IFERROR(J1756/H1756,"")</f>
        <v/>
      </c>
      <c r="M1756" s="25" t="inlineStr">
        <is>
          <t>2.5.12</t>
        </is>
      </c>
      <c r="N1756" s="25">
        <f>IF(J1756&gt;300,1,0)</f>
        <v/>
      </c>
      <c r="O1756" s="25">
        <f>IF(J1756&gt;600,1,0)</f>
        <v/>
      </c>
      <c r="P1756" s="25">
        <f>IF(H1756&gt;0,J1756,"")</f>
        <v/>
      </c>
      <c r="Q1756" s="25">
        <f>TEXT(A1756,"YYYY-MM-DD HH")</f>
        <v/>
      </c>
      <c r="R1756" s="25">
        <f>COUNTIF($Q$2:$Q$5295,Q1756)</f>
        <v/>
      </c>
      <c r="S1756" s="25">
        <f>IF(R1756&lt;=2,"1-2",IF(R1756&lt;=5,"3-5",IF(R1756&lt;=10,"6-10","11+")))</f>
        <v/>
      </c>
    </row>
    <row r="1757">
      <c r="A1757" s="39" t="n">
        <v>46170.16173611111</v>
      </c>
      <c r="B1757" s="25">
        <f>TEXT(A1757,"YYYY-MM")</f>
        <v/>
      </c>
      <c r="C1757" s="25">
        <f>TEXT(A1757,"MMM-YYYY")</f>
        <v/>
      </c>
      <c r="D1757" s="40">
        <f>INT(A1757)-WEEKDAY(A1757,2)+1</f>
        <v/>
      </c>
      <c r="E1757" s="25" t="inlineStr">
        <is>
          <t>hsindwani</t>
        </is>
      </c>
      <c r="F1757" s="25" t="n">
        <v>5338</v>
      </c>
      <c r="G1757" s="25" t="n">
        <v>4</v>
      </c>
      <c r="H1757" s="25" t="n">
        <v>16</v>
      </c>
      <c r="I1757" s="25" t="inlineStr">
        <is>
          <t>10 minute(s) and 43 second(s)</t>
        </is>
      </c>
      <c r="J1757" s="25">
        <f>IFERROR(VALUE(TRIM(LEFT(I1757,FIND("minute",I1757)-1)))*60,0)+IFERROR(VALUE(SUBSTITUTE(MID(I1757,IFERROR(FIND("and",I1757)+3,1),20),"second(s)","")),0)</f>
        <v/>
      </c>
      <c r="K1757" s="41">
        <f>J1757/60</f>
        <v/>
      </c>
      <c r="L1757" s="41">
        <f>IFERROR(J1757/H1757,"")</f>
        <v/>
      </c>
      <c r="M1757" s="25" t="inlineStr">
        <is>
          <t>2.5.12</t>
        </is>
      </c>
      <c r="N1757" s="25">
        <f>IF(J1757&gt;300,1,0)</f>
        <v/>
      </c>
      <c r="O1757" s="25">
        <f>IF(J1757&gt;600,1,0)</f>
        <v/>
      </c>
      <c r="P1757" s="25">
        <f>IF(H1757&gt;0,J1757,"")</f>
        <v/>
      </c>
      <c r="Q1757" s="25">
        <f>TEXT(A1757,"YYYY-MM-DD HH")</f>
        <v/>
      </c>
      <c r="R1757" s="25">
        <f>COUNTIF($Q$2:$Q$5295,Q1757)</f>
        <v/>
      </c>
      <c r="S1757" s="25">
        <f>IF(R1757&lt;=2,"1-2",IF(R1757&lt;=5,"3-5",IF(R1757&lt;=10,"6-10","11+")))</f>
        <v/>
      </c>
    </row>
    <row r="1758">
      <c r="A1758" s="39" t="n">
        <v>46170.16859953704</v>
      </c>
      <c r="B1758" s="25">
        <f>TEXT(A1758,"YYYY-MM")</f>
        <v/>
      </c>
      <c r="C1758" s="25">
        <f>TEXT(A1758,"MMM-YYYY")</f>
        <v/>
      </c>
      <c r="D1758" s="40">
        <f>INT(A1758)-WEEKDAY(A1758,2)+1</f>
        <v/>
      </c>
      <c r="E1758" s="25" t="inlineStr">
        <is>
          <t>smukhopadhyay</t>
        </is>
      </c>
      <c r="F1758" s="25" t="n">
        <v>6513</v>
      </c>
      <c r="G1758" s="25" t="n">
        <v>1</v>
      </c>
      <c r="H1758" s="25" t="n">
        <v>5</v>
      </c>
      <c r="I1758" s="25" t="inlineStr">
        <is>
          <t>2 minute(s) and 37 second(s)</t>
        </is>
      </c>
      <c r="J1758" s="25">
        <f>IFERROR(VALUE(TRIM(LEFT(I1758,FIND("minute",I1758)-1)))*60,0)+IFERROR(VALUE(SUBSTITUTE(MID(I1758,IFERROR(FIND("and",I1758)+3,1),20),"second(s)","")),0)</f>
        <v/>
      </c>
      <c r="K1758" s="41">
        <f>J1758/60</f>
        <v/>
      </c>
      <c r="L1758" s="41">
        <f>IFERROR(J1758/H1758,"")</f>
        <v/>
      </c>
      <c r="M1758" s="25" t="inlineStr">
        <is>
          <t>2.5.12</t>
        </is>
      </c>
      <c r="N1758" s="25">
        <f>IF(J1758&gt;300,1,0)</f>
        <v/>
      </c>
      <c r="O1758" s="25">
        <f>IF(J1758&gt;600,1,0)</f>
        <v/>
      </c>
      <c r="P1758" s="25">
        <f>IF(H1758&gt;0,J1758,"")</f>
        <v/>
      </c>
      <c r="Q1758" s="25">
        <f>TEXT(A1758,"YYYY-MM-DD HH")</f>
        <v/>
      </c>
      <c r="R1758" s="25">
        <f>COUNTIF($Q$2:$Q$5295,Q1758)</f>
        <v/>
      </c>
      <c r="S1758" s="25">
        <f>IF(R1758&lt;=2,"1-2",IF(R1758&lt;=5,"3-5",IF(R1758&lt;=10,"6-10","11+")))</f>
        <v/>
      </c>
    </row>
    <row r="1759">
      <c r="A1759" s="39" t="n">
        <v>46170.18145833333</v>
      </c>
      <c r="B1759" s="25">
        <f>TEXT(A1759,"YYYY-MM")</f>
        <v/>
      </c>
      <c r="C1759" s="25">
        <f>TEXT(A1759,"MMM-YYYY")</f>
        <v/>
      </c>
      <c r="D1759" s="40">
        <f>INT(A1759)-WEEKDAY(A1759,2)+1</f>
        <v/>
      </c>
      <c r="E1759" s="25" t="inlineStr">
        <is>
          <t>ssarkar</t>
        </is>
      </c>
      <c r="F1759" s="25" t="n">
        <v>5977</v>
      </c>
      <c r="G1759" s="25" t="n">
        <v>1</v>
      </c>
      <c r="H1759" s="25" t="n">
        <v>7</v>
      </c>
      <c r="I1759" s="25" t="inlineStr">
        <is>
          <t>1 minute(s) and 51 second(s)</t>
        </is>
      </c>
      <c r="J1759" s="25">
        <f>IFERROR(VALUE(TRIM(LEFT(I1759,FIND("minute",I1759)-1)))*60,0)+IFERROR(VALUE(SUBSTITUTE(MID(I1759,IFERROR(FIND("and",I1759)+3,1),20),"second(s)","")),0)</f>
        <v/>
      </c>
      <c r="K1759" s="41">
        <f>J1759/60</f>
        <v/>
      </c>
      <c r="L1759" s="41">
        <f>IFERROR(J1759/H1759,"")</f>
        <v/>
      </c>
      <c r="M1759" s="25" t="inlineStr">
        <is>
          <t>2.5.12</t>
        </is>
      </c>
      <c r="N1759" s="25">
        <f>IF(J1759&gt;300,1,0)</f>
        <v/>
      </c>
      <c r="O1759" s="25">
        <f>IF(J1759&gt;600,1,0)</f>
        <v/>
      </c>
      <c r="P1759" s="25">
        <f>IF(H1759&gt;0,J1759,"")</f>
        <v/>
      </c>
      <c r="Q1759" s="25">
        <f>TEXT(A1759,"YYYY-MM-DD HH")</f>
        <v/>
      </c>
      <c r="R1759" s="25">
        <f>COUNTIF($Q$2:$Q$5295,Q1759)</f>
        <v/>
      </c>
      <c r="S1759" s="25">
        <f>IF(R1759&lt;=2,"1-2",IF(R1759&lt;=5,"3-5",IF(R1759&lt;=10,"6-10","11+")))</f>
        <v/>
      </c>
    </row>
    <row r="1760">
      <c r="A1760" s="39" t="n">
        <v>46170.18871527778</v>
      </c>
      <c r="B1760" s="25">
        <f>TEXT(A1760,"YYYY-MM")</f>
        <v/>
      </c>
      <c r="C1760" s="25">
        <f>TEXT(A1760,"MMM-YYYY")</f>
        <v/>
      </c>
      <c r="D1760" s="40">
        <f>INT(A1760)-WEEKDAY(A1760,2)+1</f>
        <v/>
      </c>
      <c r="E1760" s="25" t="inlineStr">
        <is>
          <t>npriya</t>
        </is>
      </c>
      <c r="F1760" s="25" t="n">
        <v>6034</v>
      </c>
      <c r="G1760" s="25" t="n">
        <v>1</v>
      </c>
      <c r="H1760" s="25" t="n">
        <v>5</v>
      </c>
      <c r="I1760" s="25" t="inlineStr">
        <is>
          <t>1 minute(s) and 42 second(s)</t>
        </is>
      </c>
      <c r="J1760" s="25">
        <f>IFERROR(VALUE(TRIM(LEFT(I1760,FIND("minute",I1760)-1)))*60,0)+IFERROR(VALUE(SUBSTITUTE(MID(I1760,IFERROR(FIND("and",I1760)+3,1),20),"second(s)","")),0)</f>
        <v/>
      </c>
      <c r="K1760" s="41">
        <f>J1760/60</f>
        <v/>
      </c>
      <c r="L1760" s="41">
        <f>IFERROR(J1760/H1760,"")</f>
        <v/>
      </c>
      <c r="M1760" s="25" t="inlineStr">
        <is>
          <t>2.5.12</t>
        </is>
      </c>
      <c r="N1760" s="25">
        <f>IF(J1760&gt;300,1,0)</f>
        <v/>
      </c>
      <c r="O1760" s="25">
        <f>IF(J1760&gt;600,1,0)</f>
        <v/>
      </c>
      <c r="P1760" s="25">
        <f>IF(H1760&gt;0,J1760,"")</f>
        <v/>
      </c>
      <c r="Q1760" s="25">
        <f>TEXT(A1760,"YYYY-MM-DD HH")</f>
        <v/>
      </c>
      <c r="R1760" s="25">
        <f>COUNTIF($Q$2:$Q$5295,Q1760)</f>
        <v/>
      </c>
      <c r="S1760" s="25">
        <f>IF(R1760&lt;=2,"1-2",IF(R1760&lt;=5,"3-5",IF(R1760&lt;=10,"6-10","11+")))</f>
        <v/>
      </c>
    </row>
    <row r="1761">
      <c r="A1761" s="39" t="n">
        <v>46170.19270833334</v>
      </c>
      <c r="B1761" s="25">
        <f>TEXT(A1761,"YYYY-MM")</f>
        <v/>
      </c>
      <c r="C1761" s="25">
        <f>TEXT(A1761,"MMM-YYYY")</f>
        <v/>
      </c>
      <c r="D1761" s="40">
        <f>INT(A1761)-WEEKDAY(A1761,2)+1</f>
        <v/>
      </c>
      <c r="E1761" s="25" t="inlineStr">
        <is>
          <t>ssrinivasan</t>
        </is>
      </c>
      <c r="F1761" s="25" t="n">
        <v>5364</v>
      </c>
      <c r="G1761" s="25" t="n">
        <v>5</v>
      </c>
      <c r="H1761" s="25" t="n">
        <v>25</v>
      </c>
      <c r="I1761" s="25" t="inlineStr">
        <is>
          <t>8 minute(s) and 45 second(s)</t>
        </is>
      </c>
      <c r="J1761" s="25">
        <f>IFERROR(VALUE(TRIM(LEFT(I1761,FIND("minute",I1761)-1)))*60,0)+IFERROR(VALUE(SUBSTITUTE(MID(I1761,IFERROR(FIND("and",I1761)+3,1),20),"second(s)","")),0)</f>
        <v/>
      </c>
      <c r="K1761" s="41">
        <f>J1761/60</f>
        <v/>
      </c>
      <c r="L1761" s="41">
        <f>IFERROR(J1761/H1761,"")</f>
        <v/>
      </c>
      <c r="M1761" s="25" t="inlineStr">
        <is>
          <t>2.5.12</t>
        </is>
      </c>
      <c r="N1761" s="25">
        <f>IF(J1761&gt;300,1,0)</f>
        <v/>
      </c>
      <c r="O1761" s="25">
        <f>IF(J1761&gt;600,1,0)</f>
        <v/>
      </c>
      <c r="P1761" s="25">
        <f>IF(H1761&gt;0,J1761,"")</f>
        <v/>
      </c>
      <c r="Q1761" s="25">
        <f>TEXT(A1761,"YYYY-MM-DD HH")</f>
        <v/>
      </c>
      <c r="R1761" s="25">
        <f>COUNTIF($Q$2:$Q$5295,Q1761)</f>
        <v/>
      </c>
      <c r="S1761" s="25">
        <f>IF(R1761&lt;=2,"1-2",IF(R1761&lt;=5,"3-5",IF(R1761&lt;=10,"6-10","11+")))</f>
        <v/>
      </c>
    </row>
    <row r="1762">
      <c r="A1762" s="39" t="n">
        <v>46170.19364583334</v>
      </c>
      <c r="B1762" s="25">
        <f>TEXT(A1762,"YYYY-MM")</f>
        <v/>
      </c>
      <c r="C1762" s="25">
        <f>TEXT(A1762,"MMM-YYYY")</f>
        <v/>
      </c>
      <c r="D1762" s="40">
        <f>INT(A1762)-WEEKDAY(A1762,2)+1</f>
        <v/>
      </c>
      <c r="E1762" s="25" t="inlineStr">
        <is>
          <t>anusharma</t>
        </is>
      </c>
      <c r="F1762" s="25" t="n">
        <v>5319</v>
      </c>
      <c r="G1762" s="25" t="n">
        <v>2</v>
      </c>
      <c r="H1762" s="25" t="n">
        <v>8</v>
      </c>
      <c r="I1762" s="25" t="inlineStr">
        <is>
          <t>2 minute(s) and 26 second(s)</t>
        </is>
      </c>
      <c r="J1762" s="25">
        <f>IFERROR(VALUE(TRIM(LEFT(I1762,FIND("minute",I1762)-1)))*60,0)+IFERROR(VALUE(SUBSTITUTE(MID(I1762,IFERROR(FIND("and",I1762)+3,1),20),"second(s)","")),0)</f>
        <v/>
      </c>
      <c r="K1762" s="41">
        <f>J1762/60</f>
        <v/>
      </c>
      <c r="L1762" s="41">
        <f>IFERROR(J1762/H1762,"")</f>
        <v/>
      </c>
      <c r="M1762" s="25" t="inlineStr">
        <is>
          <t>2.5.12</t>
        </is>
      </c>
      <c r="N1762" s="25">
        <f>IF(J1762&gt;300,1,0)</f>
        <v/>
      </c>
      <c r="O1762" s="25">
        <f>IF(J1762&gt;600,1,0)</f>
        <v/>
      </c>
      <c r="P1762" s="25">
        <f>IF(H1762&gt;0,J1762,"")</f>
        <v/>
      </c>
      <c r="Q1762" s="25">
        <f>TEXT(A1762,"YYYY-MM-DD HH")</f>
        <v/>
      </c>
      <c r="R1762" s="25">
        <f>COUNTIF($Q$2:$Q$5295,Q1762)</f>
        <v/>
      </c>
      <c r="S1762" s="25">
        <f>IF(R1762&lt;=2,"1-2",IF(R1762&lt;=5,"3-5",IF(R1762&lt;=10,"6-10","11+")))</f>
        <v/>
      </c>
    </row>
    <row r="1763">
      <c r="A1763" s="39" t="n">
        <v>46170.20079861111</v>
      </c>
      <c r="B1763" s="25">
        <f>TEXT(A1763,"YYYY-MM")</f>
        <v/>
      </c>
      <c r="C1763" s="25">
        <f>TEXT(A1763,"MMM-YYYY")</f>
        <v/>
      </c>
      <c r="D1763" s="40">
        <f>INT(A1763)-WEEKDAY(A1763,2)+1</f>
        <v/>
      </c>
      <c r="E1763" s="25" t="inlineStr">
        <is>
          <t>mbhalla</t>
        </is>
      </c>
      <c r="F1763" s="25" t="n">
        <v>4887</v>
      </c>
      <c r="G1763" s="25" t="n">
        <v>1</v>
      </c>
      <c r="H1763" s="25" t="n">
        <v>5</v>
      </c>
      <c r="I1763" s="25" t="inlineStr">
        <is>
          <t>51 second(s)</t>
        </is>
      </c>
      <c r="J1763" s="25">
        <f>IFERROR(VALUE(TRIM(LEFT(I1763,FIND("minute",I1763)-1)))*60,0)+IFERROR(VALUE(SUBSTITUTE(MID(I1763,IFERROR(FIND("and",I1763)+3,1),20),"second(s)","")),0)</f>
        <v/>
      </c>
      <c r="K1763" s="41">
        <f>J1763/60</f>
        <v/>
      </c>
      <c r="L1763" s="41">
        <f>IFERROR(J1763/H1763,"")</f>
        <v/>
      </c>
      <c r="M1763" s="25" t="inlineStr">
        <is>
          <t>2.5.12</t>
        </is>
      </c>
      <c r="N1763" s="25">
        <f>IF(J1763&gt;300,1,0)</f>
        <v/>
      </c>
      <c r="O1763" s="25">
        <f>IF(J1763&gt;600,1,0)</f>
        <v/>
      </c>
      <c r="P1763" s="25">
        <f>IF(H1763&gt;0,J1763,"")</f>
        <v/>
      </c>
      <c r="Q1763" s="25">
        <f>TEXT(A1763,"YYYY-MM-DD HH")</f>
        <v/>
      </c>
      <c r="R1763" s="25">
        <f>COUNTIF($Q$2:$Q$5295,Q1763)</f>
        <v/>
      </c>
      <c r="S1763" s="25">
        <f>IF(R1763&lt;=2,"1-2",IF(R1763&lt;=5,"3-5",IF(R1763&lt;=10,"6-10","11+")))</f>
        <v/>
      </c>
    </row>
    <row r="1764">
      <c r="A1764" s="39" t="n">
        <v>46170.20116898148</v>
      </c>
      <c r="B1764" s="25">
        <f>TEXT(A1764,"YYYY-MM")</f>
        <v/>
      </c>
      <c r="C1764" s="25">
        <f>TEXT(A1764,"MMM-YYYY")</f>
        <v/>
      </c>
      <c r="D1764" s="40">
        <f>INT(A1764)-WEEKDAY(A1764,2)+1</f>
        <v/>
      </c>
      <c r="E1764" s="25" t="inlineStr">
        <is>
          <t>adey</t>
        </is>
      </c>
      <c r="F1764" s="25" t="n">
        <v>5279</v>
      </c>
      <c r="G1764" s="25" t="n">
        <v>2</v>
      </c>
      <c r="H1764" s="25" t="n">
        <v>10</v>
      </c>
      <c r="I1764" s="25" t="inlineStr">
        <is>
          <t>3 minute(s) and 4 second(s)</t>
        </is>
      </c>
      <c r="J1764" s="25">
        <f>IFERROR(VALUE(TRIM(LEFT(I1764,FIND("minute",I1764)-1)))*60,0)+IFERROR(VALUE(SUBSTITUTE(MID(I1764,IFERROR(FIND("and",I1764)+3,1),20),"second(s)","")),0)</f>
        <v/>
      </c>
      <c r="K1764" s="41">
        <f>J1764/60</f>
        <v/>
      </c>
      <c r="L1764" s="41">
        <f>IFERROR(J1764/H1764,"")</f>
        <v/>
      </c>
      <c r="M1764" s="25" t="inlineStr">
        <is>
          <t>2.5.12</t>
        </is>
      </c>
      <c r="N1764" s="25">
        <f>IF(J1764&gt;300,1,0)</f>
        <v/>
      </c>
      <c r="O1764" s="25">
        <f>IF(J1764&gt;600,1,0)</f>
        <v/>
      </c>
      <c r="P1764" s="25">
        <f>IF(H1764&gt;0,J1764,"")</f>
        <v/>
      </c>
      <c r="Q1764" s="25">
        <f>TEXT(A1764,"YYYY-MM-DD HH")</f>
        <v/>
      </c>
      <c r="R1764" s="25">
        <f>COUNTIF($Q$2:$Q$5295,Q1764)</f>
        <v/>
      </c>
      <c r="S1764" s="25">
        <f>IF(R1764&lt;=2,"1-2",IF(R1764&lt;=5,"3-5",IF(R1764&lt;=10,"6-10","11+")))</f>
        <v/>
      </c>
    </row>
    <row r="1765">
      <c r="A1765" s="39" t="n">
        <v>46170.209375</v>
      </c>
      <c r="B1765" s="25">
        <f>TEXT(A1765,"YYYY-MM")</f>
        <v/>
      </c>
      <c r="C1765" s="25">
        <f>TEXT(A1765,"MMM-YYYY")</f>
        <v/>
      </c>
      <c r="D1765" s="40">
        <f>INT(A1765)-WEEKDAY(A1765,2)+1</f>
        <v/>
      </c>
      <c r="E1765" s="25" t="inlineStr">
        <is>
          <t>smukhopadhyay</t>
        </is>
      </c>
      <c r="F1765" s="25" t="n">
        <v>6514</v>
      </c>
      <c r="G1765" s="25" t="n">
        <v>2</v>
      </c>
      <c r="H1765" s="25" t="n">
        <v>12</v>
      </c>
      <c r="I1765" s="25" t="inlineStr">
        <is>
          <t>3 minute(s) and 0 second(s)</t>
        </is>
      </c>
      <c r="J1765" s="25">
        <f>IFERROR(VALUE(TRIM(LEFT(I1765,FIND("minute",I1765)-1)))*60,0)+IFERROR(VALUE(SUBSTITUTE(MID(I1765,IFERROR(FIND("and",I1765)+3,1),20),"second(s)","")),0)</f>
        <v/>
      </c>
      <c r="K1765" s="41">
        <f>J1765/60</f>
        <v/>
      </c>
      <c r="L1765" s="41">
        <f>IFERROR(J1765/H1765,"")</f>
        <v/>
      </c>
      <c r="M1765" s="25" t="inlineStr">
        <is>
          <t>2.5.12</t>
        </is>
      </c>
      <c r="N1765" s="25">
        <f>IF(J1765&gt;300,1,0)</f>
        <v/>
      </c>
      <c r="O1765" s="25">
        <f>IF(J1765&gt;600,1,0)</f>
        <v/>
      </c>
      <c r="P1765" s="25">
        <f>IF(H1765&gt;0,J1765,"")</f>
        <v/>
      </c>
      <c r="Q1765" s="25">
        <f>TEXT(A1765,"YYYY-MM-DD HH")</f>
        <v/>
      </c>
      <c r="R1765" s="25">
        <f>COUNTIF($Q$2:$Q$5295,Q1765)</f>
        <v/>
      </c>
      <c r="S1765" s="25">
        <f>IF(R1765&lt;=2,"1-2",IF(R1765&lt;=5,"3-5",IF(R1765&lt;=10,"6-10","11+")))</f>
        <v/>
      </c>
    </row>
    <row r="1766">
      <c r="A1766" s="39" t="n">
        <v>46170.22357638889</v>
      </c>
      <c r="B1766" s="25">
        <f>TEXT(A1766,"YYYY-MM")</f>
        <v/>
      </c>
      <c r="C1766" s="25">
        <f>TEXT(A1766,"MMM-YYYY")</f>
        <v/>
      </c>
      <c r="D1766" s="40">
        <f>INT(A1766)-WEEKDAY(A1766,2)+1</f>
        <v/>
      </c>
      <c r="E1766" s="25" t="inlineStr">
        <is>
          <t>nlnu</t>
        </is>
      </c>
      <c r="F1766" s="25" t="n">
        <v>5173</v>
      </c>
      <c r="G1766" s="25" t="n">
        <v>1</v>
      </c>
      <c r="H1766" s="25" t="n">
        <v>7</v>
      </c>
      <c r="I1766" s="25" t="inlineStr">
        <is>
          <t>4 minute(s) and 31 second(s)</t>
        </is>
      </c>
      <c r="J1766" s="25">
        <f>IFERROR(VALUE(TRIM(LEFT(I1766,FIND("minute",I1766)-1)))*60,0)+IFERROR(VALUE(SUBSTITUTE(MID(I1766,IFERROR(FIND("and",I1766)+3,1),20),"second(s)","")),0)</f>
        <v/>
      </c>
      <c r="K1766" s="41">
        <f>J1766/60</f>
        <v/>
      </c>
      <c r="L1766" s="41">
        <f>IFERROR(J1766/H1766,"")</f>
        <v/>
      </c>
      <c r="M1766" s="25" t="inlineStr">
        <is>
          <t>2.5.12</t>
        </is>
      </c>
      <c r="N1766" s="25">
        <f>IF(J1766&gt;300,1,0)</f>
        <v/>
      </c>
      <c r="O1766" s="25">
        <f>IF(J1766&gt;600,1,0)</f>
        <v/>
      </c>
      <c r="P1766" s="25">
        <f>IF(H1766&gt;0,J1766,"")</f>
        <v/>
      </c>
      <c r="Q1766" s="25">
        <f>TEXT(A1766,"YYYY-MM-DD HH")</f>
        <v/>
      </c>
      <c r="R1766" s="25">
        <f>COUNTIF($Q$2:$Q$5295,Q1766)</f>
        <v/>
      </c>
      <c r="S1766" s="25">
        <f>IF(R1766&lt;=2,"1-2",IF(R1766&lt;=5,"3-5",IF(R1766&lt;=10,"6-10","11+")))</f>
        <v/>
      </c>
    </row>
    <row r="1767">
      <c r="A1767" s="39" t="n">
        <v>46170.22658564815</v>
      </c>
      <c r="B1767" s="25">
        <f>TEXT(A1767,"YYYY-MM")</f>
        <v/>
      </c>
      <c r="C1767" s="25">
        <f>TEXT(A1767,"MMM-YYYY")</f>
        <v/>
      </c>
      <c r="D1767" s="40">
        <f>INT(A1767)-WEEKDAY(A1767,2)+1</f>
        <v/>
      </c>
      <c r="E1767" s="25" t="inlineStr">
        <is>
          <t>pgautam</t>
        </is>
      </c>
      <c r="F1767" s="25" t="n">
        <v>34576</v>
      </c>
      <c r="G1767" s="25" t="n">
        <v>2</v>
      </c>
      <c r="H1767" s="25" t="n">
        <v>10</v>
      </c>
      <c r="I1767" s="25" t="inlineStr">
        <is>
          <t>1 minute(s) and 56 second(s)</t>
        </is>
      </c>
      <c r="J1767" s="25">
        <f>IFERROR(VALUE(TRIM(LEFT(I1767,FIND("minute",I1767)-1)))*60,0)+IFERROR(VALUE(SUBSTITUTE(MID(I1767,IFERROR(FIND("and",I1767)+3,1),20),"second(s)","")),0)</f>
        <v/>
      </c>
      <c r="K1767" s="41">
        <f>J1767/60</f>
        <v/>
      </c>
      <c r="L1767" s="41">
        <f>IFERROR(J1767/H1767,"")</f>
        <v/>
      </c>
      <c r="M1767" s="25" t="inlineStr">
        <is>
          <t>2.5.12</t>
        </is>
      </c>
      <c r="N1767" s="25">
        <f>IF(J1767&gt;300,1,0)</f>
        <v/>
      </c>
      <c r="O1767" s="25">
        <f>IF(J1767&gt;600,1,0)</f>
        <v/>
      </c>
      <c r="P1767" s="25">
        <f>IF(H1767&gt;0,J1767,"")</f>
        <v/>
      </c>
      <c r="Q1767" s="25">
        <f>TEXT(A1767,"YYYY-MM-DD HH")</f>
        <v/>
      </c>
      <c r="R1767" s="25">
        <f>COUNTIF($Q$2:$Q$5295,Q1767)</f>
        <v/>
      </c>
      <c r="S1767" s="25">
        <f>IF(R1767&lt;=2,"1-2",IF(R1767&lt;=5,"3-5",IF(R1767&lt;=10,"6-10","11+")))</f>
        <v/>
      </c>
    </row>
    <row r="1768">
      <c r="A1768" s="39" t="n">
        <v>46170.22902777778</v>
      </c>
      <c r="B1768" s="25">
        <f>TEXT(A1768,"YYYY-MM")</f>
        <v/>
      </c>
      <c r="C1768" s="25">
        <f>TEXT(A1768,"MMM-YYYY")</f>
        <v/>
      </c>
      <c r="D1768" s="40">
        <f>INT(A1768)-WEEKDAY(A1768,2)+1</f>
        <v/>
      </c>
      <c r="E1768" s="25" t="inlineStr">
        <is>
          <t>arsarkar</t>
        </is>
      </c>
      <c r="F1768" s="25" t="n">
        <v>6256</v>
      </c>
      <c r="G1768" s="25" t="n">
        <v>1</v>
      </c>
      <c r="H1768" s="25" t="n">
        <v>7</v>
      </c>
      <c r="I1768" s="25" t="inlineStr">
        <is>
          <t>1 minute(s) and 40 second(s)</t>
        </is>
      </c>
      <c r="J1768" s="25">
        <f>IFERROR(VALUE(TRIM(LEFT(I1768,FIND("minute",I1768)-1)))*60,0)+IFERROR(VALUE(SUBSTITUTE(MID(I1768,IFERROR(FIND("and",I1768)+3,1),20),"second(s)","")),0)</f>
        <v/>
      </c>
      <c r="K1768" s="41">
        <f>J1768/60</f>
        <v/>
      </c>
      <c r="L1768" s="41">
        <f>IFERROR(J1768/H1768,"")</f>
        <v/>
      </c>
      <c r="M1768" s="25" t="inlineStr">
        <is>
          <t>2.5.12</t>
        </is>
      </c>
      <c r="N1768" s="25">
        <f>IF(J1768&gt;300,1,0)</f>
        <v/>
      </c>
      <c r="O1768" s="25">
        <f>IF(J1768&gt;600,1,0)</f>
        <v/>
      </c>
      <c r="P1768" s="25">
        <f>IF(H1768&gt;0,J1768,"")</f>
        <v/>
      </c>
      <c r="Q1768" s="25">
        <f>TEXT(A1768,"YYYY-MM-DD HH")</f>
        <v/>
      </c>
      <c r="R1768" s="25">
        <f>COUNTIF($Q$2:$Q$5295,Q1768)</f>
        <v/>
      </c>
      <c r="S1768" s="25">
        <f>IF(R1768&lt;=2,"1-2",IF(R1768&lt;=5,"3-5",IF(R1768&lt;=10,"6-10","11+")))</f>
        <v/>
      </c>
    </row>
    <row r="1769">
      <c r="A1769" s="39" t="n">
        <v>46170.23332175926</v>
      </c>
      <c r="B1769" s="25">
        <f>TEXT(A1769,"YYYY-MM")</f>
        <v/>
      </c>
      <c r="C1769" s="25">
        <f>TEXT(A1769,"MMM-YYYY")</f>
        <v/>
      </c>
      <c r="D1769" s="40">
        <f>INT(A1769)-WEEKDAY(A1769,2)+1</f>
        <v/>
      </c>
      <c r="E1769" s="25" t="inlineStr">
        <is>
          <t>anusharma</t>
        </is>
      </c>
      <c r="F1769" s="25" t="n">
        <v>5320</v>
      </c>
      <c r="G1769" s="25" t="n">
        <v>1</v>
      </c>
      <c r="H1769" s="25" t="n">
        <v>5</v>
      </c>
      <c r="I1769" s="25" t="inlineStr">
        <is>
          <t>56 second(s)</t>
        </is>
      </c>
      <c r="J1769" s="25">
        <f>IFERROR(VALUE(TRIM(LEFT(I1769,FIND("minute",I1769)-1)))*60,0)+IFERROR(VALUE(SUBSTITUTE(MID(I1769,IFERROR(FIND("and",I1769)+3,1),20),"second(s)","")),0)</f>
        <v/>
      </c>
      <c r="K1769" s="41">
        <f>J1769/60</f>
        <v/>
      </c>
      <c r="L1769" s="41">
        <f>IFERROR(J1769/H1769,"")</f>
        <v/>
      </c>
      <c r="M1769" s="25" t="inlineStr">
        <is>
          <t>2.5.12</t>
        </is>
      </c>
      <c r="N1769" s="25">
        <f>IF(J1769&gt;300,1,0)</f>
        <v/>
      </c>
      <c r="O1769" s="25">
        <f>IF(J1769&gt;600,1,0)</f>
        <v/>
      </c>
      <c r="P1769" s="25">
        <f>IF(H1769&gt;0,J1769,"")</f>
        <v/>
      </c>
      <c r="Q1769" s="25">
        <f>TEXT(A1769,"YYYY-MM-DD HH")</f>
        <v/>
      </c>
      <c r="R1769" s="25">
        <f>COUNTIF($Q$2:$Q$5295,Q1769)</f>
        <v/>
      </c>
      <c r="S1769" s="25">
        <f>IF(R1769&lt;=2,"1-2",IF(R1769&lt;=5,"3-5",IF(R1769&lt;=10,"6-10","11+")))</f>
        <v/>
      </c>
    </row>
    <row r="1770">
      <c r="A1770" s="39" t="n">
        <v>46170.23516203704</v>
      </c>
      <c r="B1770" s="25">
        <f>TEXT(A1770,"YYYY-MM")</f>
        <v/>
      </c>
      <c r="C1770" s="25">
        <f>TEXT(A1770,"MMM-YYYY")</f>
        <v/>
      </c>
      <c r="D1770" s="40">
        <f>INT(A1770)-WEEKDAY(A1770,2)+1</f>
        <v/>
      </c>
      <c r="E1770" s="25" t="inlineStr">
        <is>
          <t>asaxena</t>
        </is>
      </c>
      <c r="F1770" s="25" t="n">
        <v>89914</v>
      </c>
      <c r="G1770" s="25" t="n">
        <v>1</v>
      </c>
      <c r="H1770" s="25" t="n">
        <v>7</v>
      </c>
      <c r="I1770" s="25" t="inlineStr">
        <is>
          <t>1 minute(s) and 18 second(s)</t>
        </is>
      </c>
      <c r="J1770" s="25">
        <f>IFERROR(VALUE(TRIM(LEFT(I1770,FIND("minute",I1770)-1)))*60,0)+IFERROR(VALUE(SUBSTITUTE(MID(I1770,IFERROR(FIND("and",I1770)+3,1),20),"second(s)","")),0)</f>
        <v/>
      </c>
      <c r="K1770" s="41">
        <f>J1770/60</f>
        <v/>
      </c>
      <c r="L1770" s="41">
        <f>IFERROR(J1770/H1770,"")</f>
        <v/>
      </c>
      <c r="M1770" s="25" t="inlineStr">
        <is>
          <t>2.5.12</t>
        </is>
      </c>
      <c r="N1770" s="25">
        <f>IF(J1770&gt;300,1,0)</f>
        <v/>
      </c>
      <c r="O1770" s="25">
        <f>IF(J1770&gt;600,1,0)</f>
        <v/>
      </c>
      <c r="P1770" s="25">
        <f>IF(H1770&gt;0,J1770,"")</f>
        <v/>
      </c>
      <c r="Q1770" s="25">
        <f>TEXT(A1770,"YYYY-MM-DD HH")</f>
        <v/>
      </c>
      <c r="R1770" s="25">
        <f>COUNTIF($Q$2:$Q$5295,Q1770)</f>
        <v/>
      </c>
      <c r="S1770" s="25">
        <f>IF(R1770&lt;=2,"1-2",IF(R1770&lt;=5,"3-5",IF(R1770&lt;=10,"6-10","11+")))</f>
        <v/>
      </c>
    </row>
    <row r="1771">
      <c r="A1771" s="39" t="n">
        <v>46170.24115740741</v>
      </c>
      <c r="B1771" s="25">
        <f>TEXT(A1771,"YYYY-MM")</f>
        <v/>
      </c>
      <c r="C1771" s="25">
        <f>TEXT(A1771,"MMM-YYYY")</f>
        <v/>
      </c>
      <c r="D1771" s="40">
        <f>INT(A1771)-WEEKDAY(A1771,2)+1</f>
        <v/>
      </c>
      <c r="E1771" s="25" t="inlineStr">
        <is>
          <t>mgupta</t>
        </is>
      </c>
      <c r="F1771" s="25" t="n">
        <v>30693</v>
      </c>
      <c r="G1771" s="25" t="n">
        <v>1</v>
      </c>
      <c r="H1771" s="25" t="n">
        <v>5</v>
      </c>
      <c r="I1771" s="25" t="inlineStr">
        <is>
          <t>1 minute(s) and 26 second(s)</t>
        </is>
      </c>
      <c r="J1771" s="25">
        <f>IFERROR(VALUE(TRIM(LEFT(I1771,FIND("minute",I1771)-1)))*60,0)+IFERROR(VALUE(SUBSTITUTE(MID(I1771,IFERROR(FIND("and",I1771)+3,1),20),"second(s)","")),0)</f>
        <v/>
      </c>
      <c r="K1771" s="41">
        <f>J1771/60</f>
        <v/>
      </c>
      <c r="L1771" s="41">
        <f>IFERROR(J1771/H1771,"")</f>
        <v/>
      </c>
      <c r="M1771" s="25" t="inlineStr">
        <is>
          <t>2.5.12</t>
        </is>
      </c>
      <c r="N1771" s="25">
        <f>IF(J1771&gt;300,1,0)</f>
        <v/>
      </c>
      <c r="O1771" s="25">
        <f>IF(J1771&gt;600,1,0)</f>
        <v/>
      </c>
      <c r="P1771" s="25">
        <f>IF(H1771&gt;0,J1771,"")</f>
        <v/>
      </c>
      <c r="Q1771" s="25">
        <f>TEXT(A1771,"YYYY-MM-DD HH")</f>
        <v/>
      </c>
      <c r="R1771" s="25">
        <f>COUNTIF($Q$2:$Q$5295,Q1771)</f>
        <v/>
      </c>
      <c r="S1771" s="25">
        <f>IF(R1771&lt;=2,"1-2",IF(R1771&lt;=5,"3-5",IF(R1771&lt;=10,"6-10","11+")))</f>
        <v/>
      </c>
    </row>
    <row r="1772">
      <c r="A1772" s="39" t="n">
        <v>46170.24546296296</v>
      </c>
      <c r="B1772" s="25">
        <f>TEXT(A1772,"YYYY-MM")</f>
        <v/>
      </c>
      <c r="C1772" s="25">
        <f>TEXT(A1772,"MMM-YYYY")</f>
        <v/>
      </c>
      <c r="D1772" s="40">
        <f>INT(A1772)-WEEKDAY(A1772,2)+1</f>
        <v/>
      </c>
      <c r="E1772" s="25" t="inlineStr">
        <is>
          <t>nlnu</t>
        </is>
      </c>
      <c r="F1772" s="25" t="n">
        <v>5173</v>
      </c>
      <c r="G1772" s="25" t="n">
        <v>2</v>
      </c>
      <c r="H1772" s="25" t="n">
        <v>10</v>
      </c>
      <c r="I1772" s="25" t="inlineStr">
        <is>
          <t>1 minute(s) and 58 second(s)</t>
        </is>
      </c>
      <c r="J1772" s="25">
        <f>IFERROR(VALUE(TRIM(LEFT(I1772,FIND("minute",I1772)-1)))*60,0)+IFERROR(VALUE(SUBSTITUTE(MID(I1772,IFERROR(FIND("and",I1772)+3,1),20),"second(s)","")),0)</f>
        <v/>
      </c>
      <c r="K1772" s="41">
        <f>J1772/60</f>
        <v/>
      </c>
      <c r="L1772" s="41">
        <f>IFERROR(J1772/H1772,"")</f>
        <v/>
      </c>
      <c r="M1772" s="25" t="inlineStr">
        <is>
          <t>2.5.12</t>
        </is>
      </c>
      <c r="N1772" s="25">
        <f>IF(J1772&gt;300,1,0)</f>
        <v/>
      </c>
      <c r="O1772" s="25">
        <f>IF(J1772&gt;600,1,0)</f>
        <v/>
      </c>
      <c r="P1772" s="25">
        <f>IF(H1772&gt;0,J1772,"")</f>
        <v/>
      </c>
      <c r="Q1772" s="25">
        <f>TEXT(A1772,"YYYY-MM-DD HH")</f>
        <v/>
      </c>
      <c r="R1772" s="25">
        <f>COUNTIF($Q$2:$Q$5295,Q1772)</f>
        <v/>
      </c>
      <c r="S1772" s="25">
        <f>IF(R1772&lt;=2,"1-2",IF(R1772&lt;=5,"3-5",IF(R1772&lt;=10,"6-10","11+")))</f>
        <v/>
      </c>
    </row>
    <row r="1773">
      <c r="A1773" s="39" t="n">
        <v>46170.2478125</v>
      </c>
      <c r="B1773" s="25">
        <f>TEXT(A1773,"YYYY-MM")</f>
        <v/>
      </c>
      <c r="C1773" s="25">
        <f>TEXT(A1773,"MMM-YYYY")</f>
        <v/>
      </c>
      <c r="D1773" s="40">
        <f>INT(A1773)-WEEKDAY(A1773,2)+1</f>
        <v/>
      </c>
      <c r="E1773" s="25" t="inlineStr">
        <is>
          <t>atiwari</t>
        </is>
      </c>
      <c r="F1773" s="25" t="n">
        <v>3738</v>
      </c>
      <c r="G1773" s="25" t="n">
        <v>2</v>
      </c>
      <c r="H1773" s="25" t="n">
        <v>10</v>
      </c>
      <c r="I1773" s="25" t="inlineStr">
        <is>
          <t>2 minute(s) and 25 second(s)</t>
        </is>
      </c>
      <c r="J1773" s="25">
        <f>IFERROR(VALUE(TRIM(LEFT(I1773,FIND("minute",I1773)-1)))*60,0)+IFERROR(VALUE(SUBSTITUTE(MID(I1773,IFERROR(FIND("and",I1773)+3,1),20),"second(s)","")),0)</f>
        <v/>
      </c>
      <c r="K1773" s="41">
        <f>J1773/60</f>
        <v/>
      </c>
      <c r="L1773" s="41">
        <f>IFERROR(J1773/H1773,"")</f>
        <v/>
      </c>
      <c r="M1773" s="25" t="inlineStr">
        <is>
          <t>2.5.12</t>
        </is>
      </c>
      <c r="N1773" s="25">
        <f>IF(J1773&gt;300,1,0)</f>
        <v/>
      </c>
      <c r="O1773" s="25">
        <f>IF(J1773&gt;600,1,0)</f>
        <v/>
      </c>
      <c r="P1773" s="25">
        <f>IF(H1773&gt;0,J1773,"")</f>
        <v/>
      </c>
      <c r="Q1773" s="25">
        <f>TEXT(A1773,"YYYY-MM-DD HH")</f>
        <v/>
      </c>
      <c r="R1773" s="25">
        <f>COUNTIF($Q$2:$Q$5295,Q1773)</f>
        <v/>
      </c>
      <c r="S1773" s="25">
        <f>IF(R1773&lt;=2,"1-2",IF(R1773&lt;=5,"3-5",IF(R1773&lt;=10,"6-10","11+")))</f>
        <v/>
      </c>
    </row>
    <row r="1774">
      <c r="A1774" s="39" t="n">
        <v>46170.2491087963</v>
      </c>
      <c r="B1774" s="25">
        <f>TEXT(A1774,"YYYY-MM")</f>
        <v/>
      </c>
      <c r="C1774" s="25">
        <f>TEXT(A1774,"MMM-YYYY")</f>
        <v/>
      </c>
      <c r="D1774" s="40">
        <f>INT(A1774)-WEEKDAY(A1774,2)+1</f>
        <v/>
      </c>
      <c r="E1774" s="25" t="inlineStr">
        <is>
          <t>sswati</t>
        </is>
      </c>
      <c r="F1774" s="25" t="n">
        <v>6326</v>
      </c>
      <c r="G1774" s="25" t="n">
        <v>1</v>
      </c>
      <c r="H1774" s="25" t="n">
        <v>7</v>
      </c>
      <c r="I1774" s="25" t="inlineStr">
        <is>
          <t>3 minute(s) and 23 second(s)</t>
        </is>
      </c>
      <c r="J1774" s="25">
        <f>IFERROR(VALUE(TRIM(LEFT(I1774,FIND("minute",I1774)-1)))*60,0)+IFERROR(VALUE(SUBSTITUTE(MID(I1774,IFERROR(FIND("and",I1774)+3,1),20),"second(s)","")),0)</f>
        <v/>
      </c>
      <c r="K1774" s="41">
        <f>J1774/60</f>
        <v/>
      </c>
      <c r="L1774" s="41">
        <f>IFERROR(J1774/H1774,"")</f>
        <v/>
      </c>
      <c r="M1774" s="25" t="inlineStr">
        <is>
          <t>2.5.12</t>
        </is>
      </c>
      <c r="N1774" s="25">
        <f>IF(J1774&gt;300,1,0)</f>
        <v/>
      </c>
      <c r="O1774" s="25">
        <f>IF(J1774&gt;600,1,0)</f>
        <v/>
      </c>
      <c r="P1774" s="25">
        <f>IF(H1774&gt;0,J1774,"")</f>
        <v/>
      </c>
      <c r="Q1774" s="25">
        <f>TEXT(A1774,"YYYY-MM-DD HH")</f>
        <v/>
      </c>
      <c r="R1774" s="25">
        <f>COUNTIF($Q$2:$Q$5295,Q1774)</f>
        <v/>
      </c>
      <c r="S1774" s="25">
        <f>IF(R1774&lt;=2,"1-2",IF(R1774&lt;=5,"3-5",IF(R1774&lt;=10,"6-10","11+")))</f>
        <v/>
      </c>
    </row>
    <row r="1775">
      <c r="A1775" s="39" t="n">
        <v>46170.25467592593</v>
      </c>
      <c r="B1775" s="25">
        <f>TEXT(A1775,"YYYY-MM")</f>
        <v/>
      </c>
      <c r="C1775" s="25">
        <f>TEXT(A1775,"MMM-YYYY")</f>
        <v/>
      </c>
      <c r="D1775" s="40">
        <f>INT(A1775)-WEEKDAY(A1775,2)+1</f>
        <v/>
      </c>
      <c r="E1775" s="25" t="inlineStr">
        <is>
          <t>pmishra</t>
        </is>
      </c>
      <c r="F1775" s="25" t="n">
        <v>5594</v>
      </c>
      <c r="G1775" s="25" t="n">
        <v>1</v>
      </c>
      <c r="H1775" s="25" t="n">
        <v>7</v>
      </c>
      <c r="I1775" s="25" t="inlineStr">
        <is>
          <t>3 minute(s) and 6 second(s)</t>
        </is>
      </c>
      <c r="J1775" s="25">
        <f>IFERROR(VALUE(TRIM(LEFT(I1775,FIND("minute",I1775)-1)))*60,0)+IFERROR(VALUE(SUBSTITUTE(MID(I1775,IFERROR(FIND("and",I1775)+3,1),20),"second(s)","")),0)</f>
        <v/>
      </c>
      <c r="K1775" s="41">
        <f>J1775/60</f>
        <v/>
      </c>
      <c r="L1775" s="41">
        <f>IFERROR(J1775/H1775,"")</f>
        <v/>
      </c>
      <c r="M1775" s="25" t="inlineStr">
        <is>
          <t>2.5.12</t>
        </is>
      </c>
      <c r="N1775" s="25">
        <f>IF(J1775&gt;300,1,0)</f>
        <v/>
      </c>
      <c r="O1775" s="25">
        <f>IF(J1775&gt;600,1,0)</f>
        <v/>
      </c>
      <c r="P1775" s="25">
        <f>IF(H1775&gt;0,J1775,"")</f>
        <v/>
      </c>
      <c r="Q1775" s="25">
        <f>TEXT(A1775,"YYYY-MM-DD HH")</f>
        <v/>
      </c>
      <c r="R1775" s="25">
        <f>COUNTIF($Q$2:$Q$5295,Q1775)</f>
        <v/>
      </c>
      <c r="S1775" s="25">
        <f>IF(R1775&lt;=2,"1-2",IF(R1775&lt;=5,"3-5",IF(R1775&lt;=10,"6-10","11+")))</f>
        <v/>
      </c>
    </row>
    <row r="1776">
      <c r="A1776" s="39" t="n">
        <v>46170.25549768518</v>
      </c>
      <c r="B1776" s="25">
        <f>TEXT(A1776,"YYYY-MM")</f>
        <v/>
      </c>
      <c r="C1776" s="25">
        <f>TEXT(A1776,"MMM-YYYY")</f>
        <v/>
      </c>
      <c r="D1776" s="40">
        <f>INT(A1776)-WEEKDAY(A1776,2)+1</f>
        <v/>
      </c>
      <c r="E1776" s="25" t="inlineStr">
        <is>
          <t>smukhopadhyay</t>
        </is>
      </c>
      <c r="F1776" s="25" t="n">
        <v>6515</v>
      </c>
      <c r="G1776" s="25" t="n">
        <v>1</v>
      </c>
      <c r="H1776" s="25" t="n">
        <v>7</v>
      </c>
      <c r="I1776" s="25" t="inlineStr">
        <is>
          <t>1 minute(s) and 37 second(s)</t>
        </is>
      </c>
      <c r="J1776" s="25">
        <f>IFERROR(VALUE(TRIM(LEFT(I1776,FIND("minute",I1776)-1)))*60,0)+IFERROR(VALUE(SUBSTITUTE(MID(I1776,IFERROR(FIND("and",I1776)+3,1),20),"second(s)","")),0)</f>
        <v/>
      </c>
      <c r="K1776" s="41">
        <f>J1776/60</f>
        <v/>
      </c>
      <c r="L1776" s="41">
        <f>IFERROR(J1776/H1776,"")</f>
        <v/>
      </c>
      <c r="M1776" s="25" t="inlineStr">
        <is>
          <t>2.5.12</t>
        </is>
      </c>
      <c r="N1776" s="25">
        <f>IF(J1776&gt;300,1,0)</f>
        <v/>
      </c>
      <c r="O1776" s="25">
        <f>IF(J1776&gt;600,1,0)</f>
        <v/>
      </c>
      <c r="P1776" s="25">
        <f>IF(H1776&gt;0,J1776,"")</f>
        <v/>
      </c>
      <c r="Q1776" s="25">
        <f>TEXT(A1776,"YYYY-MM-DD HH")</f>
        <v/>
      </c>
      <c r="R1776" s="25">
        <f>COUNTIF($Q$2:$Q$5295,Q1776)</f>
        <v/>
      </c>
      <c r="S1776" s="25">
        <f>IF(R1776&lt;=2,"1-2",IF(R1776&lt;=5,"3-5",IF(R1776&lt;=10,"6-10","11+")))</f>
        <v/>
      </c>
    </row>
    <row r="1777">
      <c r="A1777" s="39" t="n">
        <v>46170.25603009259</v>
      </c>
      <c r="B1777" s="25">
        <f>TEXT(A1777,"YYYY-MM")</f>
        <v/>
      </c>
      <c r="C1777" s="25">
        <f>TEXT(A1777,"MMM-YYYY")</f>
        <v/>
      </c>
      <c r="D1777" s="40">
        <f>INT(A1777)-WEEKDAY(A1777,2)+1</f>
        <v/>
      </c>
      <c r="E1777" s="25" t="inlineStr">
        <is>
          <t>mbhalla</t>
        </is>
      </c>
      <c r="F1777" s="25" t="n">
        <v>4889</v>
      </c>
      <c r="G1777" s="25" t="n">
        <v>1</v>
      </c>
      <c r="H1777" s="25" t="n">
        <v>7</v>
      </c>
      <c r="I1777" s="25" t="inlineStr">
        <is>
          <t>2 minute(s) and 26 second(s)</t>
        </is>
      </c>
      <c r="J1777" s="25">
        <f>IFERROR(VALUE(TRIM(LEFT(I1777,FIND("minute",I1777)-1)))*60,0)+IFERROR(VALUE(SUBSTITUTE(MID(I1777,IFERROR(FIND("and",I1777)+3,1),20),"second(s)","")),0)</f>
        <v/>
      </c>
      <c r="K1777" s="41">
        <f>J1777/60</f>
        <v/>
      </c>
      <c r="L1777" s="41">
        <f>IFERROR(J1777/H1777,"")</f>
        <v/>
      </c>
      <c r="M1777" s="25" t="inlineStr">
        <is>
          <t>2.5.12</t>
        </is>
      </c>
      <c r="N1777" s="25">
        <f>IF(J1777&gt;300,1,0)</f>
        <v/>
      </c>
      <c r="O1777" s="25">
        <f>IF(J1777&gt;600,1,0)</f>
        <v/>
      </c>
      <c r="P1777" s="25">
        <f>IF(H1777&gt;0,J1777,"")</f>
        <v/>
      </c>
      <c r="Q1777" s="25">
        <f>TEXT(A1777,"YYYY-MM-DD HH")</f>
        <v/>
      </c>
      <c r="R1777" s="25">
        <f>COUNTIF($Q$2:$Q$5295,Q1777)</f>
        <v/>
      </c>
      <c r="S1777" s="25">
        <f>IF(R1777&lt;=2,"1-2",IF(R1777&lt;=5,"3-5",IF(R1777&lt;=10,"6-10","11+")))</f>
        <v/>
      </c>
    </row>
    <row r="1778">
      <c r="A1778" s="39" t="n">
        <v>46170.25791666667</v>
      </c>
      <c r="B1778" s="25">
        <f>TEXT(A1778,"YYYY-MM")</f>
        <v/>
      </c>
      <c r="C1778" s="25">
        <f>TEXT(A1778,"MMM-YYYY")</f>
        <v/>
      </c>
      <c r="D1778" s="40">
        <f>INT(A1778)-WEEKDAY(A1778,2)+1</f>
        <v/>
      </c>
      <c r="E1778" s="25" t="inlineStr">
        <is>
          <t>sdey</t>
        </is>
      </c>
      <c r="F1778" s="25" t="n">
        <v>5416</v>
      </c>
      <c r="G1778" s="25" t="n">
        <v>1</v>
      </c>
      <c r="H1778" s="25" t="n">
        <v>7</v>
      </c>
      <c r="I1778" s="25" t="inlineStr">
        <is>
          <t>2 minute(s) and 36 second(s)</t>
        </is>
      </c>
      <c r="J1778" s="25">
        <f>IFERROR(VALUE(TRIM(LEFT(I1778,FIND("minute",I1778)-1)))*60,0)+IFERROR(VALUE(SUBSTITUTE(MID(I1778,IFERROR(FIND("and",I1778)+3,1),20),"second(s)","")),0)</f>
        <v/>
      </c>
      <c r="K1778" s="41">
        <f>J1778/60</f>
        <v/>
      </c>
      <c r="L1778" s="41">
        <f>IFERROR(J1778/H1778,"")</f>
        <v/>
      </c>
      <c r="M1778" s="25" t="inlineStr">
        <is>
          <t>2.5.12</t>
        </is>
      </c>
      <c r="N1778" s="25">
        <f>IF(J1778&gt;300,1,0)</f>
        <v/>
      </c>
      <c r="O1778" s="25">
        <f>IF(J1778&gt;600,1,0)</f>
        <v/>
      </c>
      <c r="P1778" s="25">
        <f>IF(H1778&gt;0,J1778,"")</f>
        <v/>
      </c>
      <c r="Q1778" s="25">
        <f>TEXT(A1778,"YYYY-MM-DD HH")</f>
        <v/>
      </c>
      <c r="R1778" s="25">
        <f>COUNTIF($Q$2:$Q$5295,Q1778)</f>
        <v/>
      </c>
      <c r="S1778" s="25">
        <f>IF(R1778&lt;=2,"1-2",IF(R1778&lt;=5,"3-5",IF(R1778&lt;=10,"6-10","11+")))</f>
        <v/>
      </c>
    </row>
    <row r="1779">
      <c r="A1779" s="39" t="n">
        <v>46170.26769675926</v>
      </c>
      <c r="B1779" s="25">
        <f>TEXT(A1779,"YYYY-MM")</f>
        <v/>
      </c>
      <c r="C1779" s="25">
        <f>TEXT(A1779,"MMM-YYYY")</f>
        <v/>
      </c>
      <c r="D1779" s="40">
        <f>INT(A1779)-WEEKDAY(A1779,2)+1</f>
        <v/>
      </c>
      <c r="E1779" s="25" t="inlineStr">
        <is>
          <t>nlnu</t>
        </is>
      </c>
      <c r="F1779" s="25" t="n">
        <v>4246</v>
      </c>
      <c r="G1779" s="25" t="n">
        <v>1</v>
      </c>
      <c r="H1779" s="25" t="n">
        <v>7</v>
      </c>
      <c r="I1779" s="25" t="inlineStr">
        <is>
          <t>2 minute(s) and 57 second(s)</t>
        </is>
      </c>
      <c r="J1779" s="25">
        <f>IFERROR(VALUE(TRIM(LEFT(I1779,FIND("minute",I1779)-1)))*60,0)+IFERROR(VALUE(SUBSTITUTE(MID(I1779,IFERROR(FIND("and",I1779)+3,1),20),"second(s)","")),0)</f>
        <v/>
      </c>
      <c r="K1779" s="41">
        <f>J1779/60</f>
        <v/>
      </c>
      <c r="L1779" s="41">
        <f>IFERROR(J1779/H1779,"")</f>
        <v/>
      </c>
      <c r="M1779" s="25" t="inlineStr">
        <is>
          <t>2.5.12</t>
        </is>
      </c>
      <c r="N1779" s="25">
        <f>IF(J1779&gt;300,1,0)</f>
        <v/>
      </c>
      <c r="O1779" s="25">
        <f>IF(J1779&gt;600,1,0)</f>
        <v/>
      </c>
      <c r="P1779" s="25">
        <f>IF(H1779&gt;0,J1779,"")</f>
        <v/>
      </c>
      <c r="Q1779" s="25">
        <f>TEXT(A1779,"YYYY-MM-DD HH")</f>
        <v/>
      </c>
      <c r="R1779" s="25">
        <f>COUNTIF($Q$2:$Q$5295,Q1779)</f>
        <v/>
      </c>
      <c r="S1779" s="25">
        <f>IF(R1779&lt;=2,"1-2",IF(R1779&lt;=5,"3-5",IF(R1779&lt;=10,"6-10","11+")))</f>
        <v/>
      </c>
    </row>
    <row r="1780">
      <c r="A1780" s="39" t="n">
        <v>46170.26813657407</v>
      </c>
      <c r="B1780" s="25">
        <f>TEXT(A1780,"YYYY-MM")</f>
        <v/>
      </c>
      <c r="C1780" s="25">
        <f>TEXT(A1780,"MMM-YYYY")</f>
        <v/>
      </c>
      <c r="D1780" s="40">
        <f>INT(A1780)-WEEKDAY(A1780,2)+1</f>
        <v/>
      </c>
      <c r="E1780" s="25" t="inlineStr">
        <is>
          <t>npriya</t>
        </is>
      </c>
      <c r="F1780" s="25" t="n">
        <v>6035</v>
      </c>
      <c r="G1780" s="25" t="n">
        <v>1</v>
      </c>
      <c r="H1780" s="25" t="n">
        <v>5</v>
      </c>
      <c r="I1780" s="25" t="inlineStr">
        <is>
          <t>1 minute(s) and 6 second(s)</t>
        </is>
      </c>
      <c r="J1780" s="25">
        <f>IFERROR(VALUE(TRIM(LEFT(I1780,FIND("minute",I1780)-1)))*60,0)+IFERROR(VALUE(SUBSTITUTE(MID(I1780,IFERROR(FIND("and",I1780)+3,1),20),"second(s)","")),0)</f>
        <v/>
      </c>
      <c r="K1780" s="41">
        <f>J1780/60</f>
        <v/>
      </c>
      <c r="L1780" s="41">
        <f>IFERROR(J1780/H1780,"")</f>
        <v/>
      </c>
      <c r="M1780" s="25" t="inlineStr">
        <is>
          <t>2.5.12</t>
        </is>
      </c>
      <c r="N1780" s="25">
        <f>IF(J1780&gt;300,1,0)</f>
        <v/>
      </c>
      <c r="O1780" s="25">
        <f>IF(J1780&gt;600,1,0)</f>
        <v/>
      </c>
      <c r="P1780" s="25">
        <f>IF(H1780&gt;0,J1780,"")</f>
        <v/>
      </c>
      <c r="Q1780" s="25">
        <f>TEXT(A1780,"YYYY-MM-DD HH")</f>
        <v/>
      </c>
      <c r="R1780" s="25">
        <f>COUNTIF($Q$2:$Q$5295,Q1780)</f>
        <v/>
      </c>
      <c r="S1780" s="25">
        <f>IF(R1780&lt;=2,"1-2",IF(R1780&lt;=5,"3-5",IF(R1780&lt;=10,"6-10","11+")))</f>
        <v/>
      </c>
    </row>
    <row r="1781">
      <c r="A1781" s="39" t="n">
        <v>46170.27070601852</v>
      </c>
      <c r="B1781" s="25">
        <f>TEXT(A1781,"YYYY-MM")</f>
        <v/>
      </c>
      <c r="C1781" s="25">
        <f>TEXT(A1781,"MMM-YYYY")</f>
        <v/>
      </c>
      <c r="D1781" s="40">
        <f>INT(A1781)-WEEKDAY(A1781,2)+1</f>
        <v/>
      </c>
      <c r="E1781" s="25" t="inlineStr">
        <is>
          <t>pgautam</t>
        </is>
      </c>
      <c r="F1781" s="25" t="n">
        <v>26804</v>
      </c>
      <c r="G1781" s="25" t="n">
        <v>4</v>
      </c>
      <c r="H1781" s="25" t="n">
        <v>14</v>
      </c>
      <c r="I1781" s="25" t="inlineStr">
        <is>
          <t>3 minute(s) and 1 second(s)</t>
        </is>
      </c>
      <c r="J1781" s="25">
        <f>IFERROR(VALUE(TRIM(LEFT(I1781,FIND("minute",I1781)-1)))*60,0)+IFERROR(VALUE(SUBSTITUTE(MID(I1781,IFERROR(FIND("and",I1781)+3,1),20),"second(s)","")),0)</f>
        <v/>
      </c>
      <c r="K1781" s="41">
        <f>J1781/60</f>
        <v/>
      </c>
      <c r="L1781" s="41">
        <f>IFERROR(J1781/H1781,"")</f>
        <v/>
      </c>
      <c r="M1781" s="25" t="inlineStr">
        <is>
          <t>2.5.12</t>
        </is>
      </c>
      <c r="N1781" s="25">
        <f>IF(J1781&gt;300,1,0)</f>
        <v/>
      </c>
      <c r="O1781" s="25">
        <f>IF(J1781&gt;600,1,0)</f>
        <v/>
      </c>
      <c r="P1781" s="25">
        <f>IF(H1781&gt;0,J1781,"")</f>
        <v/>
      </c>
      <c r="Q1781" s="25">
        <f>TEXT(A1781,"YYYY-MM-DD HH")</f>
        <v/>
      </c>
      <c r="R1781" s="25">
        <f>COUNTIF($Q$2:$Q$5295,Q1781)</f>
        <v/>
      </c>
      <c r="S1781" s="25">
        <f>IF(R1781&lt;=2,"1-2",IF(R1781&lt;=5,"3-5",IF(R1781&lt;=10,"6-10","11+")))</f>
        <v/>
      </c>
    </row>
    <row r="1782">
      <c r="A1782" s="39" t="n">
        <v>46170.27512731482</v>
      </c>
      <c r="B1782" s="25">
        <f>TEXT(A1782,"YYYY-MM")</f>
        <v/>
      </c>
      <c r="C1782" s="25">
        <f>TEXT(A1782,"MMM-YYYY")</f>
        <v/>
      </c>
      <c r="D1782" s="40">
        <f>INT(A1782)-WEEKDAY(A1782,2)+1</f>
        <v/>
      </c>
      <c r="E1782" s="25" t="inlineStr">
        <is>
          <t>mgupta</t>
        </is>
      </c>
      <c r="F1782" s="25" t="n">
        <v>30676</v>
      </c>
      <c r="G1782" s="25" t="n">
        <v>3</v>
      </c>
      <c r="H1782" s="25" t="n">
        <v>20</v>
      </c>
      <c r="I1782" s="25" t="inlineStr">
        <is>
          <t>5 minute(s) and 56 second(s)</t>
        </is>
      </c>
      <c r="J1782" s="25">
        <f>IFERROR(VALUE(TRIM(LEFT(I1782,FIND("minute",I1782)-1)))*60,0)+IFERROR(VALUE(SUBSTITUTE(MID(I1782,IFERROR(FIND("and",I1782)+3,1),20),"second(s)","")),0)</f>
        <v/>
      </c>
      <c r="K1782" s="41">
        <f>J1782/60</f>
        <v/>
      </c>
      <c r="L1782" s="41">
        <f>IFERROR(J1782/H1782,"")</f>
        <v/>
      </c>
      <c r="M1782" s="25" t="inlineStr">
        <is>
          <t>2.5.12</t>
        </is>
      </c>
      <c r="N1782" s="25">
        <f>IF(J1782&gt;300,1,0)</f>
        <v/>
      </c>
      <c r="O1782" s="25">
        <f>IF(J1782&gt;600,1,0)</f>
        <v/>
      </c>
      <c r="P1782" s="25">
        <f>IF(H1782&gt;0,J1782,"")</f>
        <v/>
      </c>
      <c r="Q1782" s="25">
        <f>TEXT(A1782,"YYYY-MM-DD HH")</f>
        <v/>
      </c>
      <c r="R1782" s="25">
        <f>COUNTIF($Q$2:$Q$5295,Q1782)</f>
        <v/>
      </c>
      <c r="S1782" s="25">
        <f>IF(R1782&lt;=2,"1-2",IF(R1782&lt;=5,"3-5",IF(R1782&lt;=10,"6-10","11+")))</f>
        <v/>
      </c>
    </row>
    <row r="1783">
      <c r="A1783" s="39" t="n">
        <v>46170.27635416666</v>
      </c>
      <c r="B1783" s="25">
        <f>TEXT(A1783,"YYYY-MM")</f>
        <v/>
      </c>
      <c r="C1783" s="25">
        <f>TEXT(A1783,"MMM-YYYY")</f>
        <v/>
      </c>
      <c r="D1783" s="40">
        <f>INT(A1783)-WEEKDAY(A1783,2)+1</f>
        <v/>
      </c>
      <c r="E1783" s="25" t="inlineStr">
        <is>
          <t>atiwari</t>
        </is>
      </c>
      <c r="F1783" s="25" t="n">
        <v>3743</v>
      </c>
      <c r="G1783" s="25" t="n">
        <v>3</v>
      </c>
      <c r="H1783" s="25" t="n">
        <v>13</v>
      </c>
      <c r="I1783" s="25" t="inlineStr">
        <is>
          <t>5 minute(s) and 43 second(s)</t>
        </is>
      </c>
      <c r="J1783" s="25">
        <f>IFERROR(VALUE(TRIM(LEFT(I1783,FIND("minute",I1783)-1)))*60,0)+IFERROR(VALUE(SUBSTITUTE(MID(I1783,IFERROR(FIND("and",I1783)+3,1),20),"second(s)","")),0)</f>
        <v/>
      </c>
      <c r="K1783" s="41">
        <f>J1783/60</f>
        <v/>
      </c>
      <c r="L1783" s="41">
        <f>IFERROR(J1783/H1783,"")</f>
        <v/>
      </c>
      <c r="M1783" s="25" t="inlineStr">
        <is>
          <t>2.5.12</t>
        </is>
      </c>
      <c r="N1783" s="25">
        <f>IF(J1783&gt;300,1,0)</f>
        <v/>
      </c>
      <c r="O1783" s="25">
        <f>IF(J1783&gt;600,1,0)</f>
        <v/>
      </c>
      <c r="P1783" s="25">
        <f>IF(H1783&gt;0,J1783,"")</f>
        <v/>
      </c>
      <c r="Q1783" s="25">
        <f>TEXT(A1783,"YYYY-MM-DD HH")</f>
        <v/>
      </c>
      <c r="R1783" s="25">
        <f>COUNTIF($Q$2:$Q$5295,Q1783)</f>
        <v/>
      </c>
      <c r="S1783" s="25">
        <f>IF(R1783&lt;=2,"1-2",IF(R1783&lt;=5,"3-5",IF(R1783&lt;=10,"6-10","11+")))</f>
        <v/>
      </c>
    </row>
    <row r="1784">
      <c r="A1784" s="39" t="n">
        <v>46170.28126157408</v>
      </c>
      <c r="B1784" s="25">
        <f>TEXT(A1784,"YYYY-MM")</f>
        <v/>
      </c>
      <c r="C1784" s="25">
        <f>TEXT(A1784,"MMM-YYYY")</f>
        <v/>
      </c>
      <c r="D1784" s="40">
        <f>INT(A1784)-WEEKDAY(A1784,2)+1</f>
        <v/>
      </c>
      <c r="E1784" s="25" t="inlineStr">
        <is>
          <t>mgupta</t>
        </is>
      </c>
      <c r="F1784" s="25" t="n">
        <v>30676</v>
      </c>
      <c r="G1784" s="25" t="n">
        <v>1</v>
      </c>
      <c r="H1784" s="25" t="n">
        <v>7</v>
      </c>
      <c r="I1784" s="25" t="inlineStr">
        <is>
          <t>1 minute(s) and 42 second(s)</t>
        </is>
      </c>
      <c r="J1784" s="25">
        <f>IFERROR(VALUE(TRIM(LEFT(I1784,FIND("minute",I1784)-1)))*60,0)+IFERROR(VALUE(SUBSTITUTE(MID(I1784,IFERROR(FIND("and",I1784)+3,1),20),"second(s)","")),0)</f>
        <v/>
      </c>
      <c r="K1784" s="41">
        <f>J1784/60</f>
        <v/>
      </c>
      <c r="L1784" s="41">
        <f>IFERROR(J1784/H1784,"")</f>
        <v/>
      </c>
      <c r="M1784" s="25" t="inlineStr">
        <is>
          <t>2.5.12</t>
        </is>
      </c>
      <c r="N1784" s="25">
        <f>IF(J1784&gt;300,1,0)</f>
        <v/>
      </c>
      <c r="O1784" s="25">
        <f>IF(J1784&gt;600,1,0)</f>
        <v/>
      </c>
      <c r="P1784" s="25">
        <f>IF(H1784&gt;0,J1784,"")</f>
        <v/>
      </c>
      <c r="Q1784" s="25">
        <f>TEXT(A1784,"YYYY-MM-DD HH")</f>
        <v/>
      </c>
      <c r="R1784" s="25">
        <f>COUNTIF($Q$2:$Q$5295,Q1784)</f>
        <v/>
      </c>
      <c r="S1784" s="25">
        <f>IF(R1784&lt;=2,"1-2",IF(R1784&lt;=5,"3-5",IF(R1784&lt;=10,"6-10","11+")))</f>
        <v/>
      </c>
    </row>
    <row r="1785">
      <c r="A1785" s="39" t="n">
        <v>46170.29005787037</v>
      </c>
      <c r="B1785" s="25">
        <f>TEXT(A1785,"YYYY-MM")</f>
        <v/>
      </c>
      <c r="C1785" s="25">
        <f>TEXT(A1785,"MMM-YYYY")</f>
        <v/>
      </c>
      <c r="D1785" s="40">
        <f>INT(A1785)-WEEKDAY(A1785,2)+1</f>
        <v/>
      </c>
      <c r="E1785" s="25" t="inlineStr">
        <is>
          <t>pmishra</t>
        </is>
      </c>
      <c r="F1785" s="25" t="n">
        <v>5595</v>
      </c>
      <c r="G1785" s="25" t="n">
        <v>1</v>
      </c>
      <c r="H1785" s="25" t="n">
        <v>7</v>
      </c>
      <c r="I1785" s="25" t="inlineStr">
        <is>
          <t>1 minute(s) and 13 second(s)</t>
        </is>
      </c>
      <c r="J1785" s="25">
        <f>IFERROR(VALUE(TRIM(LEFT(I1785,FIND("minute",I1785)-1)))*60,0)+IFERROR(VALUE(SUBSTITUTE(MID(I1785,IFERROR(FIND("and",I1785)+3,1),20),"second(s)","")),0)</f>
        <v/>
      </c>
      <c r="K1785" s="41">
        <f>J1785/60</f>
        <v/>
      </c>
      <c r="L1785" s="41">
        <f>IFERROR(J1785/H1785,"")</f>
        <v/>
      </c>
      <c r="M1785" s="25" t="inlineStr">
        <is>
          <t>2.5.12</t>
        </is>
      </c>
      <c r="N1785" s="25">
        <f>IF(J1785&gt;300,1,0)</f>
        <v/>
      </c>
      <c r="O1785" s="25">
        <f>IF(J1785&gt;600,1,0)</f>
        <v/>
      </c>
      <c r="P1785" s="25">
        <f>IF(H1785&gt;0,J1785,"")</f>
        <v/>
      </c>
      <c r="Q1785" s="25">
        <f>TEXT(A1785,"YYYY-MM-DD HH")</f>
        <v/>
      </c>
      <c r="R1785" s="25">
        <f>COUNTIF($Q$2:$Q$5295,Q1785)</f>
        <v/>
      </c>
      <c r="S1785" s="25">
        <f>IF(R1785&lt;=2,"1-2",IF(R1785&lt;=5,"3-5",IF(R1785&lt;=10,"6-10","11+")))</f>
        <v/>
      </c>
    </row>
    <row r="1786">
      <c r="A1786" s="39" t="n">
        <v>46170.29148148148</v>
      </c>
      <c r="B1786" s="25">
        <f>TEXT(A1786,"YYYY-MM")</f>
        <v/>
      </c>
      <c r="C1786" s="25">
        <f>TEXT(A1786,"MMM-YYYY")</f>
        <v/>
      </c>
      <c r="D1786" s="40">
        <f>INT(A1786)-WEEKDAY(A1786,2)+1</f>
        <v/>
      </c>
      <c r="E1786" s="25" t="inlineStr">
        <is>
          <t>csaha</t>
        </is>
      </c>
      <c r="F1786" s="25" t="n">
        <v>6129</v>
      </c>
      <c r="G1786" s="25" t="n">
        <v>1</v>
      </c>
      <c r="H1786" s="25" t="n">
        <v>7</v>
      </c>
      <c r="I1786" s="25" t="inlineStr">
        <is>
          <t>2 minute(s) and 2 second(s)</t>
        </is>
      </c>
      <c r="J1786" s="25">
        <f>IFERROR(VALUE(TRIM(LEFT(I1786,FIND("minute",I1786)-1)))*60,0)+IFERROR(VALUE(SUBSTITUTE(MID(I1786,IFERROR(FIND("and",I1786)+3,1),20),"second(s)","")),0)</f>
        <v/>
      </c>
      <c r="K1786" s="41">
        <f>J1786/60</f>
        <v/>
      </c>
      <c r="L1786" s="41">
        <f>IFERROR(J1786/H1786,"")</f>
        <v/>
      </c>
      <c r="M1786" s="25" t="inlineStr">
        <is>
          <t>2.5.12</t>
        </is>
      </c>
      <c r="N1786" s="25">
        <f>IF(J1786&gt;300,1,0)</f>
        <v/>
      </c>
      <c r="O1786" s="25">
        <f>IF(J1786&gt;600,1,0)</f>
        <v/>
      </c>
      <c r="P1786" s="25">
        <f>IF(H1786&gt;0,J1786,"")</f>
        <v/>
      </c>
      <c r="Q1786" s="25">
        <f>TEXT(A1786,"YYYY-MM-DD HH")</f>
        <v/>
      </c>
      <c r="R1786" s="25">
        <f>COUNTIF($Q$2:$Q$5295,Q1786)</f>
        <v/>
      </c>
      <c r="S1786" s="25">
        <f>IF(R1786&lt;=2,"1-2",IF(R1786&lt;=5,"3-5",IF(R1786&lt;=10,"6-10","11+")))</f>
        <v/>
      </c>
    </row>
    <row r="1787">
      <c r="A1787" s="39" t="n">
        <v>46170.29553240741</v>
      </c>
      <c r="B1787" s="25">
        <f>TEXT(A1787,"YYYY-MM")</f>
        <v/>
      </c>
      <c r="C1787" s="25">
        <f>TEXT(A1787,"MMM-YYYY")</f>
        <v/>
      </c>
      <c r="D1787" s="40">
        <f>INT(A1787)-WEEKDAY(A1787,2)+1</f>
        <v/>
      </c>
      <c r="E1787" s="25" t="inlineStr">
        <is>
          <t>anusharma</t>
        </is>
      </c>
      <c r="F1787" s="25" t="n">
        <v>5299</v>
      </c>
      <c r="G1787" s="25" t="n">
        <v>4</v>
      </c>
      <c r="H1787" s="25" t="n">
        <v>14</v>
      </c>
      <c r="I1787" s="25" t="inlineStr">
        <is>
          <t>4 minute(s) and 9 second(s)</t>
        </is>
      </c>
      <c r="J1787" s="25">
        <f>IFERROR(VALUE(TRIM(LEFT(I1787,FIND("minute",I1787)-1)))*60,0)+IFERROR(VALUE(SUBSTITUTE(MID(I1787,IFERROR(FIND("and",I1787)+3,1),20),"second(s)","")),0)</f>
        <v/>
      </c>
      <c r="K1787" s="41">
        <f>J1787/60</f>
        <v/>
      </c>
      <c r="L1787" s="41">
        <f>IFERROR(J1787/H1787,"")</f>
        <v/>
      </c>
      <c r="M1787" s="25" t="inlineStr">
        <is>
          <t>2.5.12</t>
        </is>
      </c>
      <c r="N1787" s="25">
        <f>IF(J1787&gt;300,1,0)</f>
        <v/>
      </c>
      <c r="O1787" s="25">
        <f>IF(J1787&gt;600,1,0)</f>
        <v/>
      </c>
      <c r="P1787" s="25">
        <f>IF(H1787&gt;0,J1787,"")</f>
        <v/>
      </c>
      <c r="Q1787" s="25">
        <f>TEXT(A1787,"YYYY-MM-DD HH")</f>
        <v/>
      </c>
      <c r="R1787" s="25">
        <f>COUNTIF($Q$2:$Q$5295,Q1787)</f>
        <v/>
      </c>
      <c r="S1787" s="25">
        <f>IF(R1787&lt;=2,"1-2",IF(R1787&lt;=5,"3-5",IF(R1787&lt;=10,"6-10","11+")))</f>
        <v/>
      </c>
    </row>
    <row r="1788">
      <c r="A1788" s="39" t="n">
        <v>46170.29599537037</v>
      </c>
      <c r="B1788" s="25">
        <f>TEXT(A1788,"YYYY-MM")</f>
        <v/>
      </c>
      <c r="C1788" s="25">
        <f>TEXT(A1788,"MMM-YYYY")</f>
        <v/>
      </c>
      <c r="D1788" s="40">
        <f>INT(A1788)-WEEKDAY(A1788,2)+1</f>
        <v/>
      </c>
      <c r="E1788" s="25" t="inlineStr">
        <is>
          <t>pgautam</t>
        </is>
      </c>
      <c r="F1788" s="25" t="n">
        <v>68689</v>
      </c>
      <c r="G1788" s="25" t="n">
        <v>3</v>
      </c>
      <c r="H1788" s="25" t="n">
        <v>13</v>
      </c>
      <c r="I1788" s="25" t="inlineStr">
        <is>
          <t>2 minute(s) and 44 second(s)</t>
        </is>
      </c>
      <c r="J1788" s="25">
        <f>IFERROR(VALUE(TRIM(LEFT(I1788,FIND("minute",I1788)-1)))*60,0)+IFERROR(VALUE(SUBSTITUTE(MID(I1788,IFERROR(FIND("and",I1788)+3,1),20),"second(s)","")),0)</f>
        <v/>
      </c>
      <c r="K1788" s="41">
        <f>J1788/60</f>
        <v/>
      </c>
      <c r="L1788" s="41">
        <f>IFERROR(J1788/H1788,"")</f>
        <v/>
      </c>
      <c r="M1788" s="25" t="inlineStr">
        <is>
          <t>2.5.12</t>
        </is>
      </c>
      <c r="N1788" s="25">
        <f>IF(J1788&gt;300,1,0)</f>
        <v/>
      </c>
      <c r="O1788" s="25">
        <f>IF(J1788&gt;600,1,0)</f>
        <v/>
      </c>
      <c r="P1788" s="25">
        <f>IF(H1788&gt;0,J1788,"")</f>
        <v/>
      </c>
      <c r="Q1788" s="25">
        <f>TEXT(A1788,"YYYY-MM-DD HH")</f>
        <v/>
      </c>
      <c r="R1788" s="25">
        <f>COUNTIF($Q$2:$Q$5295,Q1788)</f>
        <v/>
      </c>
      <c r="S1788" s="25">
        <f>IF(R1788&lt;=2,"1-2",IF(R1788&lt;=5,"3-5",IF(R1788&lt;=10,"6-10","11+")))</f>
        <v/>
      </c>
    </row>
    <row r="1789">
      <c r="A1789" s="39" t="n">
        <v>46170.30650462963</v>
      </c>
      <c r="B1789" s="25">
        <f>TEXT(A1789,"YYYY-MM")</f>
        <v/>
      </c>
      <c r="C1789" s="25">
        <f>TEXT(A1789,"MMM-YYYY")</f>
        <v/>
      </c>
      <c r="D1789" s="40">
        <f>INT(A1789)-WEEKDAY(A1789,2)+1</f>
        <v/>
      </c>
      <c r="E1789" s="25" t="inlineStr">
        <is>
          <t>arsarkar</t>
        </is>
      </c>
      <c r="F1789" s="25" t="n">
        <v>6257</v>
      </c>
      <c r="G1789" s="25" t="n">
        <v>1</v>
      </c>
      <c r="H1789" s="25" t="n">
        <v>7</v>
      </c>
      <c r="I1789" s="25" t="inlineStr">
        <is>
          <t>1 minute(s) and 35 second(s)</t>
        </is>
      </c>
      <c r="J1789" s="25">
        <f>IFERROR(VALUE(TRIM(LEFT(I1789,FIND("minute",I1789)-1)))*60,0)+IFERROR(VALUE(SUBSTITUTE(MID(I1789,IFERROR(FIND("and",I1789)+3,1),20),"second(s)","")),0)</f>
        <v/>
      </c>
      <c r="K1789" s="41">
        <f>J1789/60</f>
        <v/>
      </c>
      <c r="L1789" s="41">
        <f>IFERROR(J1789/H1789,"")</f>
        <v/>
      </c>
      <c r="M1789" s="25" t="inlineStr">
        <is>
          <t>2.5.12</t>
        </is>
      </c>
      <c r="N1789" s="25">
        <f>IF(J1789&gt;300,1,0)</f>
        <v/>
      </c>
      <c r="O1789" s="25">
        <f>IF(J1789&gt;600,1,0)</f>
        <v/>
      </c>
      <c r="P1789" s="25">
        <f>IF(H1789&gt;0,J1789,"")</f>
        <v/>
      </c>
      <c r="Q1789" s="25">
        <f>TEXT(A1789,"YYYY-MM-DD HH")</f>
        <v/>
      </c>
      <c r="R1789" s="25">
        <f>COUNTIF($Q$2:$Q$5295,Q1789)</f>
        <v/>
      </c>
      <c r="S1789" s="25">
        <f>IF(R1789&lt;=2,"1-2",IF(R1789&lt;=5,"3-5",IF(R1789&lt;=10,"6-10","11+")))</f>
        <v/>
      </c>
    </row>
    <row r="1790">
      <c r="A1790" s="39" t="n">
        <v>46170.31395833333</v>
      </c>
      <c r="B1790" s="25">
        <f>TEXT(A1790,"YYYY-MM")</f>
        <v/>
      </c>
      <c r="C1790" s="25">
        <f>TEXT(A1790,"MMM-YYYY")</f>
        <v/>
      </c>
      <c r="D1790" s="40">
        <f>INT(A1790)-WEEKDAY(A1790,2)+1</f>
        <v/>
      </c>
      <c r="E1790" s="25" t="inlineStr">
        <is>
          <t>csaha</t>
        </is>
      </c>
      <c r="F1790" s="25" t="n">
        <v>6132</v>
      </c>
      <c r="G1790" s="25" t="n">
        <v>1</v>
      </c>
      <c r="H1790" s="25" t="n">
        <v>7</v>
      </c>
      <c r="I1790" s="25" t="inlineStr">
        <is>
          <t>3 minute(s) and 25 second(s)</t>
        </is>
      </c>
      <c r="J1790" s="25">
        <f>IFERROR(VALUE(TRIM(LEFT(I1790,FIND("minute",I1790)-1)))*60,0)+IFERROR(VALUE(SUBSTITUTE(MID(I1790,IFERROR(FIND("and",I1790)+3,1),20),"second(s)","")),0)</f>
        <v/>
      </c>
      <c r="K1790" s="41">
        <f>J1790/60</f>
        <v/>
      </c>
      <c r="L1790" s="41">
        <f>IFERROR(J1790/H1790,"")</f>
        <v/>
      </c>
      <c r="M1790" s="25" t="inlineStr">
        <is>
          <t>2.5.12</t>
        </is>
      </c>
      <c r="N1790" s="25">
        <f>IF(J1790&gt;300,1,0)</f>
        <v/>
      </c>
      <c r="O1790" s="25">
        <f>IF(J1790&gt;600,1,0)</f>
        <v/>
      </c>
      <c r="P1790" s="25">
        <f>IF(H1790&gt;0,J1790,"")</f>
        <v/>
      </c>
      <c r="Q1790" s="25">
        <f>TEXT(A1790,"YYYY-MM-DD HH")</f>
        <v/>
      </c>
      <c r="R1790" s="25">
        <f>COUNTIF($Q$2:$Q$5295,Q1790)</f>
        <v/>
      </c>
      <c r="S1790" s="25">
        <f>IF(R1790&lt;=2,"1-2",IF(R1790&lt;=5,"3-5",IF(R1790&lt;=10,"6-10","11+")))</f>
        <v/>
      </c>
    </row>
    <row r="1791">
      <c r="A1791" s="39" t="n">
        <v>46170.32274305556</v>
      </c>
      <c r="B1791" s="25">
        <f>TEXT(A1791,"YYYY-MM")</f>
        <v/>
      </c>
      <c r="C1791" s="25">
        <f>TEXT(A1791,"MMM-YYYY")</f>
        <v/>
      </c>
      <c r="D1791" s="40">
        <f>INT(A1791)-WEEKDAY(A1791,2)+1</f>
        <v/>
      </c>
      <c r="E1791" s="25" t="inlineStr">
        <is>
          <t>pmishra</t>
        </is>
      </c>
      <c r="F1791" s="25" t="n">
        <v>5604</v>
      </c>
      <c r="G1791" s="25" t="n">
        <v>1</v>
      </c>
      <c r="H1791" s="25" t="n">
        <v>7</v>
      </c>
      <c r="I1791" s="25" t="inlineStr">
        <is>
          <t>1 minute(s) and 50 second(s)</t>
        </is>
      </c>
      <c r="J1791" s="25">
        <f>IFERROR(VALUE(TRIM(LEFT(I1791,FIND("minute",I1791)-1)))*60,0)+IFERROR(VALUE(SUBSTITUTE(MID(I1791,IFERROR(FIND("and",I1791)+3,1),20),"second(s)","")),0)</f>
        <v/>
      </c>
      <c r="K1791" s="41">
        <f>J1791/60</f>
        <v/>
      </c>
      <c r="L1791" s="41">
        <f>IFERROR(J1791/H1791,"")</f>
        <v/>
      </c>
      <c r="M1791" s="25" t="inlineStr">
        <is>
          <t>2.5.12</t>
        </is>
      </c>
      <c r="N1791" s="25">
        <f>IF(J1791&gt;300,1,0)</f>
        <v/>
      </c>
      <c r="O1791" s="25">
        <f>IF(J1791&gt;600,1,0)</f>
        <v/>
      </c>
      <c r="P1791" s="25">
        <f>IF(H1791&gt;0,J1791,"")</f>
        <v/>
      </c>
      <c r="Q1791" s="25">
        <f>TEXT(A1791,"YYYY-MM-DD HH")</f>
        <v/>
      </c>
      <c r="R1791" s="25">
        <f>COUNTIF($Q$2:$Q$5295,Q1791)</f>
        <v/>
      </c>
      <c r="S1791" s="25">
        <f>IF(R1791&lt;=2,"1-2",IF(R1791&lt;=5,"3-5",IF(R1791&lt;=10,"6-10","11+")))</f>
        <v/>
      </c>
    </row>
    <row r="1792">
      <c r="A1792" s="39" t="n">
        <v>46170.32335648148</v>
      </c>
      <c r="B1792" s="25">
        <f>TEXT(A1792,"YYYY-MM")</f>
        <v/>
      </c>
      <c r="C1792" s="25">
        <f>TEXT(A1792,"MMM-YYYY")</f>
        <v/>
      </c>
      <c r="D1792" s="40">
        <f>INT(A1792)-WEEKDAY(A1792,2)+1</f>
        <v/>
      </c>
      <c r="E1792" s="25" t="inlineStr">
        <is>
          <t>ns</t>
        </is>
      </c>
      <c r="F1792" s="25" t="n">
        <v>5182</v>
      </c>
      <c r="G1792" s="25" t="n">
        <v>1</v>
      </c>
      <c r="H1792" s="25" t="n">
        <v>7</v>
      </c>
      <c r="I1792" s="25" t="inlineStr">
        <is>
          <t>2 minute(s) and 43 second(s)</t>
        </is>
      </c>
      <c r="J1792" s="25">
        <f>IFERROR(VALUE(TRIM(LEFT(I1792,FIND("minute",I1792)-1)))*60,0)+IFERROR(VALUE(SUBSTITUTE(MID(I1792,IFERROR(FIND("and",I1792)+3,1),20),"second(s)","")),0)</f>
        <v/>
      </c>
      <c r="K1792" s="41">
        <f>J1792/60</f>
        <v/>
      </c>
      <c r="L1792" s="41">
        <f>IFERROR(J1792/H1792,"")</f>
        <v/>
      </c>
      <c r="M1792" s="25" t="inlineStr">
        <is>
          <t>2.5.12</t>
        </is>
      </c>
      <c r="N1792" s="25">
        <f>IF(J1792&gt;300,1,0)</f>
        <v/>
      </c>
      <c r="O1792" s="25">
        <f>IF(J1792&gt;600,1,0)</f>
        <v/>
      </c>
      <c r="P1792" s="25">
        <f>IF(H1792&gt;0,J1792,"")</f>
        <v/>
      </c>
      <c r="Q1792" s="25">
        <f>TEXT(A1792,"YYYY-MM-DD HH")</f>
        <v/>
      </c>
      <c r="R1792" s="25">
        <f>COUNTIF($Q$2:$Q$5295,Q1792)</f>
        <v/>
      </c>
      <c r="S1792" s="25">
        <f>IF(R1792&lt;=2,"1-2",IF(R1792&lt;=5,"3-5",IF(R1792&lt;=10,"6-10","11+")))</f>
        <v/>
      </c>
    </row>
    <row r="1793">
      <c r="A1793" s="39" t="n">
        <v>46170.32920138889</v>
      </c>
      <c r="B1793" s="25">
        <f>TEXT(A1793,"YYYY-MM")</f>
        <v/>
      </c>
      <c r="C1793" s="25">
        <f>TEXT(A1793,"MMM-YYYY")</f>
        <v/>
      </c>
      <c r="D1793" s="40">
        <f>INT(A1793)-WEEKDAY(A1793,2)+1</f>
        <v/>
      </c>
      <c r="E1793" s="25" t="inlineStr">
        <is>
          <t>hsindwani</t>
        </is>
      </c>
      <c r="F1793" s="25" t="n">
        <v>5338</v>
      </c>
      <c r="G1793" s="25" t="n">
        <v>1</v>
      </c>
      <c r="H1793" s="25" t="n">
        <v>5</v>
      </c>
      <c r="I1793" s="25" t="inlineStr">
        <is>
          <t>1 minute(s) and 45 second(s)</t>
        </is>
      </c>
      <c r="J1793" s="25">
        <f>IFERROR(VALUE(TRIM(LEFT(I1793,FIND("minute",I1793)-1)))*60,0)+IFERROR(VALUE(SUBSTITUTE(MID(I1793,IFERROR(FIND("and",I1793)+3,1),20),"second(s)","")),0)</f>
        <v/>
      </c>
      <c r="K1793" s="41">
        <f>J1793/60</f>
        <v/>
      </c>
      <c r="L1793" s="41">
        <f>IFERROR(J1793/H1793,"")</f>
        <v/>
      </c>
      <c r="M1793" s="25" t="inlineStr">
        <is>
          <t>2.5.12</t>
        </is>
      </c>
      <c r="N1793" s="25">
        <f>IF(J1793&gt;300,1,0)</f>
        <v/>
      </c>
      <c r="O1793" s="25">
        <f>IF(J1793&gt;600,1,0)</f>
        <v/>
      </c>
      <c r="P1793" s="25">
        <f>IF(H1793&gt;0,J1793,"")</f>
        <v/>
      </c>
      <c r="Q1793" s="25">
        <f>TEXT(A1793,"YYYY-MM-DD HH")</f>
        <v/>
      </c>
      <c r="R1793" s="25">
        <f>COUNTIF($Q$2:$Q$5295,Q1793)</f>
        <v/>
      </c>
      <c r="S1793" s="25">
        <f>IF(R1793&lt;=2,"1-2",IF(R1793&lt;=5,"3-5",IF(R1793&lt;=10,"6-10","11+")))</f>
        <v/>
      </c>
    </row>
    <row r="1794">
      <c r="A1794" s="39" t="n">
        <v>46170.33164351852</v>
      </c>
      <c r="B1794" s="25">
        <f>TEXT(A1794,"YYYY-MM")</f>
        <v/>
      </c>
      <c r="C1794" s="25">
        <f>TEXT(A1794,"MMM-YYYY")</f>
        <v/>
      </c>
      <c r="D1794" s="40">
        <f>INT(A1794)-WEEKDAY(A1794,2)+1</f>
        <v/>
      </c>
      <c r="E1794" s="25" t="inlineStr">
        <is>
          <t>atiwari</t>
        </is>
      </c>
      <c r="F1794" s="25" t="n">
        <v>3741</v>
      </c>
      <c r="G1794" s="25" t="n">
        <v>1</v>
      </c>
      <c r="H1794" s="25" t="n">
        <v>5</v>
      </c>
      <c r="I1794" s="25" t="inlineStr">
        <is>
          <t>1 minute(s) and 44 second(s)</t>
        </is>
      </c>
      <c r="J1794" s="25">
        <f>IFERROR(VALUE(TRIM(LEFT(I1794,FIND("minute",I1794)-1)))*60,0)+IFERROR(VALUE(SUBSTITUTE(MID(I1794,IFERROR(FIND("and",I1794)+3,1),20),"second(s)","")),0)</f>
        <v/>
      </c>
      <c r="K1794" s="41">
        <f>J1794/60</f>
        <v/>
      </c>
      <c r="L1794" s="41">
        <f>IFERROR(J1794/H1794,"")</f>
        <v/>
      </c>
      <c r="M1794" s="25" t="inlineStr">
        <is>
          <t>2.5.12</t>
        </is>
      </c>
      <c r="N1794" s="25">
        <f>IF(J1794&gt;300,1,0)</f>
        <v/>
      </c>
      <c r="O1794" s="25">
        <f>IF(J1794&gt;600,1,0)</f>
        <v/>
      </c>
      <c r="P1794" s="25">
        <f>IF(H1794&gt;0,J1794,"")</f>
        <v/>
      </c>
      <c r="Q1794" s="25">
        <f>TEXT(A1794,"YYYY-MM-DD HH")</f>
        <v/>
      </c>
      <c r="R1794" s="25">
        <f>COUNTIF($Q$2:$Q$5295,Q1794)</f>
        <v/>
      </c>
      <c r="S1794" s="25">
        <f>IF(R1794&lt;=2,"1-2",IF(R1794&lt;=5,"3-5",IF(R1794&lt;=10,"6-10","11+")))</f>
        <v/>
      </c>
    </row>
    <row r="1795">
      <c r="A1795" s="39" t="n">
        <v>46170.33793981482</v>
      </c>
      <c r="B1795" s="25">
        <f>TEXT(A1795,"YYYY-MM")</f>
        <v/>
      </c>
      <c r="C1795" s="25">
        <f>TEXT(A1795,"MMM-YYYY")</f>
        <v/>
      </c>
      <c r="D1795" s="40">
        <f>INT(A1795)-WEEKDAY(A1795,2)+1</f>
        <v/>
      </c>
      <c r="E1795" s="25" t="inlineStr">
        <is>
          <t>csaha</t>
        </is>
      </c>
      <c r="F1795" s="25" t="n">
        <v>6135</v>
      </c>
      <c r="G1795" s="25" t="n">
        <v>1</v>
      </c>
      <c r="H1795" s="25" t="n">
        <v>5</v>
      </c>
      <c r="I1795" s="25" t="inlineStr">
        <is>
          <t>2 minute(s) and 25 second(s)</t>
        </is>
      </c>
      <c r="J1795" s="25">
        <f>IFERROR(VALUE(TRIM(LEFT(I1795,FIND("minute",I1795)-1)))*60,0)+IFERROR(VALUE(SUBSTITUTE(MID(I1795,IFERROR(FIND("and",I1795)+3,1),20),"second(s)","")),0)</f>
        <v/>
      </c>
      <c r="K1795" s="41">
        <f>J1795/60</f>
        <v/>
      </c>
      <c r="L1795" s="41">
        <f>IFERROR(J1795/H1795,"")</f>
        <v/>
      </c>
      <c r="M1795" s="25" t="inlineStr">
        <is>
          <t>2.5.12</t>
        </is>
      </c>
      <c r="N1795" s="25">
        <f>IF(J1795&gt;300,1,0)</f>
        <v/>
      </c>
      <c r="O1795" s="25">
        <f>IF(J1795&gt;600,1,0)</f>
        <v/>
      </c>
      <c r="P1795" s="25">
        <f>IF(H1795&gt;0,J1795,"")</f>
        <v/>
      </c>
      <c r="Q1795" s="25">
        <f>TEXT(A1795,"YYYY-MM-DD HH")</f>
        <v/>
      </c>
      <c r="R1795" s="25">
        <f>COUNTIF($Q$2:$Q$5295,Q1795)</f>
        <v/>
      </c>
      <c r="S1795" s="25">
        <f>IF(R1795&lt;=2,"1-2",IF(R1795&lt;=5,"3-5",IF(R1795&lt;=10,"6-10","11+")))</f>
        <v/>
      </c>
    </row>
    <row r="1796">
      <c r="A1796" s="39" t="n">
        <v>46170.33976851852</v>
      </c>
      <c r="B1796" s="25">
        <f>TEXT(A1796,"YYYY-MM")</f>
        <v/>
      </c>
      <c r="C1796" s="25">
        <f>TEXT(A1796,"MMM-YYYY")</f>
        <v/>
      </c>
      <c r="D1796" s="40">
        <f>INT(A1796)-WEEKDAY(A1796,2)+1</f>
        <v/>
      </c>
      <c r="E1796" s="25" t="inlineStr">
        <is>
          <t>pmishra</t>
        </is>
      </c>
      <c r="F1796" s="25" t="n">
        <v>5600</v>
      </c>
      <c r="G1796" s="25" t="n">
        <v>1</v>
      </c>
      <c r="H1796" s="25" t="n">
        <v>7</v>
      </c>
      <c r="I1796" s="25" t="inlineStr">
        <is>
          <t>2 minute(s) and 58 second(s)</t>
        </is>
      </c>
      <c r="J1796" s="25">
        <f>IFERROR(VALUE(TRIM(LEFT(I1796,FIND("minute",I1796)-1)))*60,0)+IFERROR(VALUE(SUBSTITUTE(MID(I1796,IFERROR(FIND("and",I1796)+3,1),20),"second(s)","")),0)</f>
        <v/>
      </c>
      <c r="K1796" s="41">
        <f>J1796/60</f>
        <v/>
      </c>
      <c r="L1796" s="41">
        <f>IFERROR(J1796/H1796,"")</f>
        <v/>
      </c>
      <c r="M1796" s="25" t="inlineStr">
        <is>
          <t>2.5.12</t>
        </is>
      </c>
      <c r="N1796" s="25">
        <f>IF(J1796&gt;300,1,0)</f>
        <v/>
      </c>
      <c r="O1796" s="25">
        <f>IF(J1796&gt;600,1,0)</f>
        <v/>
      </c>
      <c r="P1796" s="25">
        <f>IF(H1796&gt;0,J1796,"")</f>
        <v/>
      </c>
      <c r="Q1796" s="25">
        <f>TEXT(A1796,"YYYY-MM-DD HH")</f>
        <v/>
      </c>
      <c r="R1796" s="25">
        <f>COUNTIF($Q$2:$Q$5295,Q1796)</f>
        <v/>
      </c>
      <c r="S1796" s="25">
        <f>IF(R1796&lt;=2,"1-2",IF(R1796&lt;=5,"3-5",IF(R1796&lt;=10,"6-10","11+")))</f>
        <v/>
      </c>
    </row>
    <row r="1797">
      <c r="A1797" s="39" t="n">
        <v>46170.34422453704</v>
      </c>
      <c r="B1797" s="25">
        <f>TEXT(A1797,"YYYY-MM")</f>
        <v/>
      </c>
      <c r="C1797" s="25">
        <f>TEXT(A1797,"MMM-YYYY")</f>
        <v/>
      </c>
      <c r="D1797" s="40">
        <f>INT(A1797)-WEEKDAY(A1797,2)+1</f>
        <v/>
      </c>
      <c r="E1797" s="25" t="inlineStr">
        <is>
          <t>anusharma</t>
        </is>
      </c>
      <c r="F1797" s="25" t="n">
        <v>6235</v>
      </c>
      <c r="G1797" s="25" t="n">
        <v>1</v>
      </c>
      <c r="H1797" s="25" t="n">
        <v>7</v>
      </c>
      <c r="I1797" s="25" t="inlineStr">
        <is>
          <t>1 minute(s) and 45 second(s)</t>
        </is>
      </c>
      <c r="J1797" s="25">
        <f>IFERROR(VALUE(TRIM(LEFT(I1797,FIND("minute",I1797)-1)))*60,0)+IFERROR(VALUE(SUBSTITUTE(MID(I1797,IFERROR(FIND("and",I1797)+3,1),20),"second(s)","")),0)</f>
        <v/>
      </c>
      <c r="K1797" s="41">
        <f>J1797/60</f>
        <v/>
      </c>
      <c r="L1797" s="41">
        <f>IFERROR(J1797/H1797,"")</f>
        <v/>
      </c>
      <c r="M1797" s="25" t="inlineStr">
        <is>
          <t>2.5.12</t>
        </is>
      </c>
      <c r="N1797" s="25">
        <f>IF(J1797&gt;300,1,0)</f>
        <v/>
      </c>
      <c r="O1797" s="25">
        <f>IF(J1797&gt;600,1,0)</f>
        <v/>
      </c>
      <c r="P1797" s="25">
        <f>IF(H1797&gt;0,J1797,"")</f>
        <v/>
      </c>
      <c r="Q1797" s="25">
        <f>TEXT(A1797,"YYYY-MM-DD HH")</f>
        <v/>
      </c>
      <c r="R1797" s="25">
        <f>COUNTIF($Q$2:$Q$5295,Q1797)</f>
        <v/>
      </c>
      <c r="S1797" s="25">
        <f>IF(R1797&lt;=2,"1-2",IF(R1797&lt;=5,"3-5",IF(R1797&lt;=10,"6-10","11+")))</f>
        <v/>
      </c>
    </row>
    <row r="1798">
      <c r="A1798" s="39" t="n">
        <v>46170.35200231482</v>
      </c>
      <c r="B1798" s="25">
        <f>TEXT(A1798,"YYYY-MM")</f>
        <v/>
      </c>
      <c r="C1798" s="25">
        <f>TEXT(A1798,"MMM-YYYY")</f>
        <v/>
      </c>
      <c r="D1798" s="40">
        <f>INT(A1798)-WEEKDAY(A1798,2)+1</f>
        <v/>
      </c>
      <c r="E1798" s="25" t="inlineStr">
        <is>
          <t>atiwari</t>
        </is>
      </c>
      <c r="F1798" s="25" t="n">
        <v>3740</v>
      </c>
      <c r="G1798" s="25" t="n">
        <v>1</v>
      </c>
      <c r="H1798" s="25" t="n">
        <v>5</v>
      </c>
      <c r="I1798" s="25" t="inlineStr">
        <is>
          <t>2 minute(s) and 53 second(s)</t>
        </is>
      </c>
      <c r="J1798" s="25">
        <f>IFERROR(VALUE(TRIM(LEFT(I1798,FIND("minute",I1798)-1)))*60,0)+IFERROR(VALUE(SUBSTITUTE(MID(I1798,IFERROR(FIND("and",I1798)+3,1),20),"second(s)","")),0)</f>
        <v/>
      </c>
      <c r="K1798" s="41">
        <f>J1798/60</f>
        <v/>
      </c>
      <c r="L1798" s="41">
        <f>IFERROR(J1798/H1798,"")</f>
        <v/>
      </c>
      <c r="M1798" s="25" t="inlineStr">
        <is>
          <t>2.5.12</t>
        </is>
      </c>
      <c r="N1798" s="25">
        <f>IF(J1798&gt;300,1,0)</f>
        <v/>
      </c>
      <c r="O1798" s="25">
        <f>IF(J1798&gt;600,1,0)</f>
        <v/>
      </c>
      <c r="P1798" s="25">
        <f>IF(H1798&gt;0,J1798,"")</f>
        <v/>
      </c>
      <c r="Q1798" s="25">
        <f>TEXT(A1798,"YYYY-MM-DD HH")</f>
        <v/>
      </c>
      <c r="R1798" s="25">
        <f>COUNTIF($Q$2:$Q$5295,Q1798)</f>
        <v/>
      </c>
      <c r="S1798" s="25">
        <f>IF(R1798&lt;=2,"1-2",IF(R1798&lt;=5,"3-5",IF(R1798&lt;=10,"6-10","11+")))</f>
        <v/>
      </c>
    </row>
    <row r="1799">
      <c r="A1799" s="39" t="n">
        <v>46170.35225694445</v>
      </c>
      <c r="B1799" s="25">
        <f>TEXT(A1799,"YYYY-MM")</f>
        <v/>
      </c>
      <c r="C1799" s="25">
        <f>TEXT(A1799,"MMM-YYYY")</f>
        <v/>
      </c>
      <c r="D1799" s="40">
        <f>INT(A1799)-WEEKDAY(A1799,2)+1</f>
        <v/>
      </c>
      <c r="E1799" s="25" t="inlineStr">
        <is>
          <t>mgupta</t>
        </is>
      </c>
      <c r="F1799" s="25" t="n">
        <v>89611</v>
      </c>
      <c r="G1799" s="25" t="n">
        <v>3</v>
      </c>
      <c r="H1799" s="25" t="n">
        <v>15</v>
      </c>
      <c r="I1799" s="25" t="inlineStr">
        <is>
          <t>3 minute(s) and 20 second(s)</t>
        </is>
      </c>
      <c r="J1799" s="25">
        <f>IFERROR(VALUE(TRIM(LEFT(I1799,FIND("minute",I1799)-1)))*60,0)+IFERROR(VALUE(SUBSTITUTE(MID(I1799,IFERROR(FIND("and",I1799)+3,1),20),"second(s)","")),0)</f>
        <v/>
      </c>
      <c r="K1799" s="41">
        <f>J1799/60</f>
        <v/>
      </c>
      <c r="L1799" s="41">
        <f>IFERROR(J1799/H1799,"")</f>
        <v/>
      </c>
      <c r="M1799" s="25" t="inlineStr">
        <is>
          <t>2.5.12</t>
        </is>
      </c>
      <c r="N1799" s="25">
        <f>IF(J1799&gt;300,1,0)</f>
        <v/>
      </c>
      <c r="O1799" s="25">
        <f>IF(J1799&gt;600,1,0)</f>
        <v/>
      </c>
      <c r="P1799" s="25">
        <f>IF(H1799&gt;0,J1799,"")</f>
        <v/>
      </c>
      <c r="Q1799" s="25">
        <f>TEXT(A1799,"YYYY-MM-DD HH")</f>
        <v/>
      </c>
      <c r="R1799" s="25">
        <f>COUNTIF($Q$2:$Q$5295,Q1799)</f>
        <v/>
      </c>
      <c r="S1799" s="25">
        <f>IF(R1799&lt;=2,"1-2",IF(R1799&lt;=5,"3-5",IF(R1799&lt;=10,"6-10","11+")))</f>
        <v/>
      </c>
    </row>
    <row r="1800">
      <c r="A1800" s="39" t="n">
        <v>46170.35745370371</v>
      </c>
      <c r="B1800" s="25">
        <f>TEXT(A1800,"YYYY-MM")</f>
        <v/>
      </c>
      <c r="C1800" s="25">
        <f>TEXT(A1800,"MMM-YYYY")</f>
        <v/>
      </c>
      <c r="D1800" s="40">
        <f>INT(A1800)-WEEKDAY(A1800,2)+1</f>
        <v/>
      </c>
      <c r="E1800" s="25" t="inlineStr">
        <is>
          <t>ssrinivasan</t>
        </is>
      </c>
      <c r="F1800" s="25" t="n">
        <v>53170</v>
      </c>
      <c r="G1800" s="25" t="n">
        <v>2</v>
      </c>
      <c r="H1800" s="25" t="n">
        <v>6</v>
      </c>
      <c r="I1800" s="25" t="inlineStr">
        <is>
          <t>1 minute(s) and 34 second(s)</t>
        </is>
      </c>
      <c r="J1800" s="25">
        <f>IFERROR(VALUE(TRIM(LEFT(I1800,FIND("minute",I1800)-1)))*60,0)+IFERROR(VALUE(SUBSTITUTE(MID(I1800,IFERROR(FIND("and",I1800)+3,1),20),"second(s)","")),0)</f>
        <v/>
      </c>
      <c r="K1800" s="41">
        <f>J1800/60</f>
        <v/>
      </c>
      <c r="L1800" s="41">
        <f>IFERROR(J1800/H1800,"")</f>
        <v/>
      </c>
      <c r="M1800" s="25" t="inlineStr">
        <is>
          <t>2.5.12</t>
        </is>
      </c>
      <c r="N1800" s="25">
        <f>IF(J1800&gt;300,1,0)</f>
        <v/>
      </c>
      <c r="O1800" s="25">
        <f>IF(J1800&gt;600,1,0)</f>
        <v/>
      </c>
      <c r="P1800" s="25">
        <f>IF(H1800&gt;0,J1800,"")</f>
        <v/>
      </c>
      <c r="Q1800" s="25">
        <f>TEXT(A1800,"YYYY-MM-DD HH")</f>
        <v/>
      </c>
      <c r="R1800" s="25">
        <f>COUNTIF($Q$2:$Q$5295,Q1800)</f>
        <v/>
      </c>
      <c r="S1800" s="25">
        <f>IF(R1800&lt;=2,"1-2",IF(R1800&lt;=5,"3-5",IF(R1800&lt;=10,"6-10","11+")))</f>
        <v/>
      </c>
    </row>
    <row r="1801">
      <c r="A1801" s="39" t="n">
        <v>46170.3618287037</v>
      </c>
      <c r="B1801" s="25">
        <f>TEXT(A1801,"YYYY-MM")</f>
        <v/>
      </c>
      <c r="C1801" s="25">
        <f>TEXT(A1801,"MMM-YYYY")</f>
        <v/>
      </c>
      <c r="D1801" s="40">
        <f>INT(A1801)-WEEKDAY(A1801,2)+1</f>
        <v/>
      </c>
      <c r="E1801" s="25" t="inlineStr">
        <is>
          <t>pgautam</t>
        </is>
      </c>
      <c r="F1801" s="25" t="n">
        <v>35287</v>
      </c>
      <c r="G1801" s="25" t="n">
        <v>3</v>
      </c>
      <c r="H1801" s="25" t="n">
        <v>13</v>
      </c>
      <c r="I1801" s="25" t="inlineStr">
        <is>
          <t>3 minute(s) and 1 second(s)</t>
        </is>
      </c>
      <c r="J1801" s="25">
        <f>IFERROR(VALUE(TRIM(LEFT(I1801,FIND("minute",I1801)-1)))*60,0)+IFERROR(VALUE(SUBSTITUTE(MID(I1801,IFERROR(FIND("and",I1801)+3,1),20),"second(s)","")),0)</f>
        <v/>
      </c>
      <c r="K1801" s="41">
        <f>J1801/60</f>
        <v/>
      </c>
      <c r="L1801" s="41">
        <f>IFERROR(J1801/H1801,"")</f>
        <v/>
      </c>
      <c r="M1801" s="25" t="inlineStr">
        <is>
          <t>2.5.12</t>
        </is>
      </c>
      <c r="N1801" s="25">
        <f>IF(J1801&gt;300,1,0)</f>
        <v/>
      </c>
      <c r="O1801" s="25">
        <f>IF(J1801&gt;600,1,0)</f>
        <v/>
      </c>
      <c r="P1801" s="25">
        <f>IF(H1801&gt;0,J1801,"")</f>
        <v/>
      </c>
      <c r="Q1801" s="25">
        <f>TEXT(A1801,"YYYY-MM-DD HH")</f>
        <v/>
      </c>
      <c r="R1801" s="25">
        <f>COUNTIF($Q$2:$Q$5295,Q1801)</f>
        <v/>
      </c>
      <c r="S1801" s="25">
        <f>IF(R1801&lt;=2,"1-2",IF(R1801&lt;=5,"3-5",IF(R1801&lt;=10,"6-10","11+")))</f>
        <v/>
      </c>
    </row>
    <row r="1802">
      <c r="A1802" s="39" t="n">
        <v>46170.37032407407</v>
      </c>
      <c r="B1802" s="25">
        <f>TEXT(A1802,"YYYY-MM")</f>
        <v/>
      </c>
      <c r="C1802" s="25">
        <f>TEXT(A1802,"MMM-YYYY")</f>
        <v/>
      </c>
      <c r="D1802" s="40">
        <f>INT(A1802)-WEEKDAY(A1802,2)+1</f>
        <v/>
      </c>
      <c r="E1802" s="25" t="inlineStr">
        <is>
          <t>ethomas</t>
        </is>
      </c>
      <c r="F1802" s="25" t="n">
        <v>5426</v>
      </c>
      <c r="G1802" s="25" t="n">
        <v>2</v>
      </c>
      <c r="H1802" s="25" t="n">
        <v>10</v>
      </c>
      <c r="I1802" s="25" t="inlineStr">
        <is>
          <t>2 minute(s) and 9 second(s)</t>
        </is>
      </c>
      <c r="J1802" s="25">
        <f>IFERROR(VALUE(TRIM(LEFT(I1802,FIND("minute",I1802)-1)))*60,0)+IFERROR(VALUE(SUBSTITUTE(MID(I1802,IFERROR(FIND("and",I1802)+3,1),20),"second(s)","")),0)</f>
        <v/>
      </c>
      <c r="K1802" s="41">
        <f>J1802/60</f>
        <v/>
      </c>
      <c r="L1802" s="41">
        <f>IFERROR(J1802/H1802,"")</f>
        <v/>
      </c>
      <c r="M1802" s="25" t="inlineStr">
        <is>
          <t>2.5.12</t>
        </is>
      </c>
      <c r="N1802" s="25">
        <f>IF(J1802&gt;300,1,0)</f>
        <v/>
      </c>
      <c r="O1802" s="25">
        <f>IF(J1802&gt;600,1,0)</f>
        <v/>
      </c>
      <c r="P1802" s="25">
        <f>IF(H1802&gt;0,J1802,"")</f>
        <v/>
      </c>
      <c r="Q1802" s="25">
        <f>TEXT(A1802,"YYYY-MM-DD HH")</f>
        <v/>
      </c>
      <c r="R1802" s="25">
        <f>COUNTIF($Q$2:$Q$5295,Q1802)</f>
        <v/>
      </c>
      <c r="S1802" s="25">
        <f>IF(R1802&lt;=2,"1-2",IF(R1802&lt;=5,"3-5",IF(R1802&lt;=10,"6-10","11+")))</f>
        <v/>
      </c>
    </row>
    <row r="1803">
      <c r="A1803" s="39" t="n">
        <v>46170.381875</v>
      </c>
      <c r="B1803" s="25">
        <f>TEXT(A1803,"YYYY-MM")</f>
        <v/>
      </c>
      <c r="C1803" s="25">
        <f>TEXT(A1803,"MMM-YYYY")</f>
        <v/>
      </c>
      <c r="D1803" s="40">
        <f>INT(A1803)-WEEKDAY(A1803,2)+1</f>
        <v/>
      </c>
      <c r="E1803" s="25" t="inlineStr">
        <is>
          <t>atiwari</t>
        </is>
      </c>
      <c r="F1803" s="25" t="n">
        <v>3739</v>
      </c>
      <c r="G1803" s="25" t="n">
        <v>2</v>
      </c>
      <c r="H1803" s="25" t="n">
        <v>8</v>
      </c>
      <c r="I1803" s="25" t="inlineStr">
        <is>
          <t>3 minute(s) and 39 second(s)</t>
        </is>
      </c>
      <c r="J1803" s="25">
        <f>IFERROR(VALUE(TRIM(LEFT(I1803,FIND("minute",I1803)-1)))*60,0)+IFERROR(VALUE(SUBSTITUTE(MID(I1803,IFERROR(FIND("and",I1803)+3,1),20),"second(s)","")),0)</f>
        <v/>
      </c>
      <c r="K1803" s="41">
        <f>J1803/60</f>
        <v/>
      </c>
      <c r="L1803" s="41">
        <f>IFERROR(J1803/H1803,"")</f>
        <v/>
      </c>
      <c r="M1803" s="25" t="inlineStr">
        <is>
          <t>2.5.12</t>
        </is>
      </c>
      <c r="N1803" s="25">
        <f>IF(J1803&gt;300,1,0)</f>
        <v/>
      </c>
      <c r="O1803" s="25">
        <f>IF(J1803&gt;600,1,0)</f>
        <v/>
      </c>
      <c r="P1803" s="25">
        <f>IF(H1803&gt;0,J1803,"")</f>
        <v/>
      </c>
      <c r="Q1803" s="25">
        <f>TEXT(A1803,"YYYY-MM-DD HH")</f>
        <v/>
      </c>
      <c r="R1803" s="25">
        <f>COUNTIF($Q$2:$Q$5295,Q1803)</f>
        <v/>
      </c>
      <c r="S1803" s="25">
        <f>IF(R1803&lt;=2,"1-2",IF(R1803&lt;=5,"3-5",IF(R1803&lt;=10,"6-10","11+")))</f>
        <v/>
      </c>
    </row>
    <row r="1804">
      <c r="A1804" s="39" t="n">
        <v>46170.38876157408</v>
      </c>
      <c r="B1804" s="25">
        <f>TEXT(A1804,"YYYY-MM")</f>
        <v/>
      </c>
      <c r="C1804" s="25">
        <f>TEXT(A1804,"MMM-YYYY")</f>
        <v/>
      </c>
      <c r="D1804" s="40">
        <f>INT(A1804)-WEEKDAY(A1804,2)+1</f>
        <v/>
      </c>
      <c r="E1804" s="25" t="inlineStr">
        <is>
          <t>csaha</t>
        </is>
      </c>
      <c r="F1804" s="25" t="n">
        <v>6137</v>
      </c>
      <c r="G1804" s="25" t="n">
        <v>1</v>
      </c>
      <c r="H1804" s="25" t="n">
        <v>7</v>
      </c>
      <c r="I1804" s="25" t="inlineStr">
        <is>
          <t>1 minute(s) and 41 second(s)</t>
        </is>
      </c>
      <c r="J1804" s="25">
        <f>IFERROR(VALUE(TRIM(LEFT(I1804,FIND("minute",I1804)-1)))*60,0)+IFERROR(VALUE(SUBSTITUTE(MID(I1804,IFERROR(FIND("and",I1804)+3,1),20),"second(s)","")),0)</f>
        <v/>
      </c>
      <c r="K1804" s="41">
        <f>J1804/60</f>
        <v/>
      </c>
      <c r="L1804" s="41">
        <f>IFERROR(J1804/H1804,"")</f>
        <v/>
      </c>
      <c r="M1804" s="25" t="inlineStr">
        <is>
          <t>2.5.12</t>
        </is>
      </c>
      <c r="N1804" s="25">
        <f>IF(J1804&gt;300,1,0)</f>
        <v/>
      </c>
      <c r="O1804" s="25">
        <f>IF(J1804&gt;600,1,0)</f>
        <v/>
      </c>
      <c r="P1804" s="25">
        <f>IF(H1804&gt;0,J1804,"")</f>
        <v/>
      </c>
      <c r="Q1804" s="25">
        <f>TEXT(A1804,"YYYY-MM-DD HH")</f>
        <v/>
      </c>
      <c r="R1804" s="25">
        <f>COUNTIF($Q$2:$Q$5295,Q1804)</f>
        <v/>
      </c>
      <c r="S1804" s="25">
        <f>IF(R1804&lt;=2,"1-2",IF(R1804&lt;=5,"3-5",IF(R1804&lt;=10,"6-10","11+")))</f>
        <v/>
      </c>
    </row>
    <row r="1805">
      <c r="A1805" s="39" t="n">
        <v>46170.39921296296</v>
      </c>
      <c r="B1805" s="25">
        <f>TEXT(A1805,"YYYY-MM")</f>
        <v/>
      </c>
      <c r="C1805" s="25">
        <f>TEXT(A1805,"MMM-YYYY")</f>
        <v/>
      </c>
      <c r="D1805" s="40">
        <f>INT(A1805)-WEEKDAY(A1805,2)+1</f>
        <v/>
      </c>
      <c r="E1805" s="25" t="inlineStr">
        <is>
          <t>sswati</t>
        </is>
      </c>
      <c r="F1805" s="25" t="n">
        <v>6327</v>
      </c>
      <c r="G1805" s="25" t="n">
        <v>1</v>
      </c>
      <c r="H1805" s="25" t="n">
        <v>7</v>
      </c>
      <c r="I1805" s="25" t="inlineStr">
        <is>
          <t>3 minute(s) and 8 second(s)</t>
        </is>
      </c>
      <c r="J1805" s="25">
        <f>IFERROR(VALUE(TRIM(LEFT(I1805,FIND("minute",I1805)-1)))*60,0)+IFERROR(VALUE(SUBSTITUTE(MID(I1805,IFERROR(FIND("and",I1805)+3,1),20),"second(s)","")),0)</f>
        <v/>
      </c>
      <c r="K1805" s="41">
        <f>J1805/60</f>
        <v/>
      </c>
      <c r="L1805" s="41">
        <f>IFERROR(J1805/H1805,"")</f>
        <v/>
      </c>
      <c r="M1805" s="25" t="inlineStr">
        <is>
          <t>2.5.12</t>
        </is>
      </c>
      <c r="N1805" s="25">
        <f>IF(J1805&gt;300,1,0)</f>
        <v/>
      </c>
      <c r="O1805" s="25">
        <f>IF(J1805&gt;600,1,0)</f>
        <v/>
      </c>
      <c r="P1805" s="25">
        <f>IF(H1805&gt;0,J1805,"")</f>
        <v/>
      </c>
      <c r="Q1805" s="25">
        <f>TEXT(A1805,"YYYY-MM-DD HH")</f>
        <v/>
      </c>
      <c r="R1805" s="25">
        <f>COUNTIF($Q$2:$Q$5295,Q1805)</f>
        <v/>
      </c>
      <c r="S1805" s="25">
        <f>IF(R1805&lt;=2,"1-2",IF(R1805&lt;=5,"3-5",IF(R1805&lt;=10,"6-10","11+")))</f>
        <v/>
      </c>
    </row>
    <row r="1806">
      <c r="A1806" s="39" t="n">
        <v>46170.39938657408</v>
      </c>
      <c r="B1806" s="25">
        <f>TEXT(A1806,"YYYY-MM")</f>
        <v/>
      </c>
      <c r="C1806" s="25">
        <f>TEXT(A1806,"MMM-YYYY")</f>
        <v/>
      </c>
      <c r="D1806" s="40">
        <f>INT(A1806)-WEEKDAY(A1806,2)+1</f>
        <v/>
      </c>
      <c r="E1806" s="25" t="inlineStr">
        <is>
          <t>hsindwani</t>
        </is>
      </c>
      <c r="F1806" s="25" t="n">
        <v>5343</v>
      </c>
      <c r="G1806" s="25" t="n">
        <v>1</v>
      </c>
      <c r="H1806" s="25" t="n">
        <v>7</v>
      </c>
      <c r="I1806" s="25" t="inlineStr">
        <is>
          <t>2 minute(s) and 24 second(s)</t>
        </is>
      </c>
      <c r="J1806" s="25">
        <f>IFERROR(VALUE(TRIM(LEFT(I1806,FIND("minute",I1806)-1)))*60,0)+IFERROR(VALUE(SUBSTITUTE(MID(I1806,IFERROR(FIND("and",I1806)+3,1),20),"second(s)","")),0)</f>
        <v/>
      </c>
      <c r="K1806" s="41">
        <f>J1806/60</f>
        <v/>
      </c>
      <c r="L1806" s="41">
        <f>IFERROR(J1806/H1806,"")</f>
        <v/>
      </c>
      <c r="M1806" s="25" t="inlineStr">
        <is>
          <t>2.5.12</t>
        </is>
      </c>
      <c r="N1806" s="25">
        <f>IF(J1806&gt;300,1,0)</f>
        <v/>
      </c>
      <c r="O1806" s="25">
        <f>IF(J1806&gt;600,1,0)</f>
        <v/>
      </c>
      <c r="P1806" s="25">
        <f>IF(H1806&gt;0,J1806,"")</f>
        <v/>
      </c>
      <c r="Q1806" s="25">
        <f>TEXT(A1806,"YYYY-MM-DD HH")</f>
        <v/>
      </c>
      <c r="R1806" s="25">
        <f>COUNTIF($Q$2:$Q$5295,Q1806)</f>
        <v/>
      </c>
      <c r="S1806" s="25">
        <f>IF(R1806&lt;=2,"1-2",IF(R1806&lt;=5,"3-5",IF(R1806&lt;=10,"6-10","11+")))</f>
        <v/>
      </c>
    </row>
    <row r="1807">
      <c r="A1807" s="39" t="n">
        <v>46170.40115740741</v>
      </c>
      <c r="B1807" s="25">
        <f>TEXT(A1807,"YYYY-MM")</f>
        <v/>
      </c>
      <c r="C1807" s="25">
        <f>TEXT(A1807,"MMM-YYYY")</f>
        <v/>
      </c>
      <c r="D1807" s="40">
        <f>INT(A1807)-WEEKDAY(A1807,2)+1</f>
        <v/>
      </c>
      <c r="E1807" s="25" t="inlineStr">
        <is>
          <t>ssarkar</t>
        </is>
      </c>
      <c r="F1807" s="25" t="n">
        <v>5980</v>
      </c>
      <c r="G1807" s="25" t="n">
        <v>1</v>
      </c>
      <c r="H1807" s="25" t="n">
        <v>5</v>
      </c>
      <c r="I1807" s="25" t="inlineStr">
        <is>
          <t>1 minute(s) and 12 second(s)</t>
        </is>
      </c>
      <c r="J1807" s="25">
        <f>IFERROR(VALUE(TRIM(LEFT(I1807,FIND("minute",I1807)-1)))*60,0)+IFERROR(VALUE(SUBSTITUTE(MID(I1807,IFERROR(FIND("and",I1807)+3,1),20),"second(s)","")),0)</f>
        <v/>
      </c>
      <c r="K1807" s="41">
        <f>J1807/60</f>
        <v/>
      </c>
      <c r="L1807" s="41">
        <f>IFERROR(J1807/H1807,"")</f>
        <v/>
      </c>
      <c r="M1807" s="25" t="inlineStr">
        <is>
          <t>2.5.12</t>
        </is>
      </c>
      <c r="N1807" s="25">
        <f>IF(J1807&gt;300,1,0)</f>
        <v/>
      </c>
      <c r="O1807" s="25">
        <f>IF(J1807&gt;600,1,0)</f>
        <v/>
      </c>
      <c r="P1807" s="25">
        <f>IF(H1807&gt;0,J1807,"")</f>
        <v/>
      </c>
      <c r="Q1807" s="25">
        <f>TEXT(A1807,"YYYY-MM-DD HH")</f>
        <v/>
      </c>
      <c r="R1807" s="25">
        <f>COUNTIF($Q$2:$Q$5295,Q1807)</f>
        <v/>
      </c>
      <c r="S1807" s="25">
        <f>IF(R1807&lt;=2,"1-2",IF(R1807&lt;=5,"3-5",IF(R1807&lt;=10,"6-10","11+")))</f>
        <v/>
      </c>
    </row>
    <row r="1808">
      <c r="A1808" s="39" t="n">
        <v>46170.40988425926</v>
      </c>
      <c r="B1808" s="25">
        <f>TEXT(A1808,"YYYY-MM")</f>
        <v/>
      </c>
      <c r="C1808" s="25">
        <f>TEXT(A1808,"MMM-YYYY")</f>
        <v/>
      </c>
      <c r="D1808" s="40">
        <f>INT(A1808)-WEEKDAY(A1808,2)+1</f>
        <v/>
      </c>
      <c r="E1808" s="25" t="inlineStr">
        <is>
          <t>ns</t>
        </is>
      </c>
      <c r="F1808" s="25" t="n">
        <v>5183</v>
      </c>
      <c r="G1808" s="25" t="n">
        <v>1</v>
      </c>
      <c r="H1808" s="25" t="n">
        <v>7</v>
      </c>
      <c r="I1808" s="25" t="inlineStr">
        <is>
          <t>2 minute(s) and 28 second(s)</t>
        </is>
      </c>
      <c r="J1808" s="25">
        <f>IFERROR(VALUE(TRIM(LEFT(I1808,FIND("minute",I1808)-1)))*60,0)+IFERROR(VALUE(SUBSTITUTE(MID(I1808,IFERROR(FIND("and",I1808)+3,1),20),"second(s)","")),0)</f>
        <v/>
      </c>
      <c r="K1808" s="41">
        <f>J1808/60</f>
        <v/>
      </c>
      <c r="L1808" s="41">
        <f>IFERROR(J1808/H1808,"")</f>
        <v/>
      </c>
      <c r="M1808" s="25" t="inlineStr">
        <is>
          <t>2.5.12</t>
        </is>
      </c>
      <c r="N1808" s="25">
        <f>IF(J1808&gt;300,1,0)</f>
        <v/>
      </c>
      <c r="O1808" s="25">
        <f>IF(J1808&gt;600,1,0)</f>
        <v/>
      </c>
      <c r="P1808" s="25">
        <f>IF(H1808&gt;0,J1808,"")</f>
        <v/>
      </c>
      <c r="Q1808" s="25">
        <f>TEXT(A1808,"YYYY-MM-DD HH")</f>
        <v/>
      </c>
      <c r="R1808" s="25">
        <f>COUNTIF($Q$2:$Q$5295,Q1808)</f>
        <v/>
      </c>
      <c r="S1808" s="25">
        <f>IF(R1808&lt;=2,"1-2",IF(R1808&lt;=5,"3-5",IF(R1808&lt;=10,"6-10","11+")))</f>
        <v/>
      </c>
    </row>
    <row r="1809">
      <c r="A1809" s="39" t="n">
        <v>46170.41309027778</v>
      </c>
      <c r="B1809" s="25">
        <f>TEXT(A1809,"YYYY-MM")</f>
        <v/>
      </c>
      <c r="C1809" s="25">
        <f>TEXT(A1809,"MMM-YYYY")</f>
        <v/>
      </c>
      <c r="D1809" s="40">
        <f>INT(A1809)-WEEKDAY(A1809,2)+1</f>
        <v/>
      </c>
      <c r="E1809" s="25" t="inlineStr">
        <is>
          <t>pmishra</t>
        </is>
      </c>
      <c r="F1809" s="25" t="n">
        <v>5596</v>
      </c>
      <c r="G1809" s="25" t="n">
        <v>1</v>
      </c>
      <c r="H1809" s="25" t="n">
        <v>7</v>
      </c>
      <c r="I1809" s="25" t="inlineStr">
        <is>
          <t>3 minute(s) and 6 second(s)</t>
        </is>
      </c>
      <c r="J1809" s="25">
        <f>IFERROR(VALUE(TRIM(LEFT(I1809,FIND("minute",I1809)-1)))*60,0)+IFERROR(VALUE(SUBSTITUTE(MID(I1809,IFERROR(FIND("and",I1809)+3,1),20),"second(s)","")),0)</f>
        <v/>
      </c>
      <c r="K1809" s="41">
        <f>J1809/60</f>
        <v/>
      </c>
      <c r="L1809" s="41">
        <f>IFERROR(J1809/H1809,"")</f>
        <v/>
      </c>
      <c r="M1809" s="25" t="inlineStr">
        <is>
          <t>2.5.12</t>
        </is>
      </c>
      <c r="N1809" s="25">
        <f>IF(J1809&gt;300,1,0)</f>
        <v/>
      </c>
      <c r="O1809" s="25">
        <f>IF(J1809&gt;600,1,0)</f>
        <v/>
      </c>
      <c r="P1809" s="25">
        <f>IF(H1809&gt;0,J1809,"")</f>
        <v/>
      </c>
      <c r="Q1809" s="25">
        <f>TEXT(A1809,"YYYY-MM-DD HH")</f>
        <v/>
      </c>
      <c r="R1809" s="25">
        <f>COUNTIF($Q$2:$Q$5295,Q1809)</f>
        <v/>
      </c>
      <c r="S1809" s="25">
        <f>IF(R1809&lt;=2,"1-2",IF(R1809&lt;=5,"3-5",IF(R1809&lt;=10,"6-10","11+")))</f>
        <v/>
      </c>
    </row>
    <row r="1810">
      <c r="A1810" s="39" t="n">
        <v>46170.43209490741</v>
      </c>
      <c r="B1810" s="25">
        <f>TEXT(A1810,"YYYY-MM")</f>
        <v/>
      </c>
      <c r="C1810" s="25">
        <f>TEXT(A1810,"MMM-YYYY")</f>
        <v/>
      </c>
      <c r="D1810" s="40">
        <f>INT(A1810)-WEEKDAY(A1810,2)+1</f>
        <v/>
      </c>
      <c r="E1810" s="25" t="inlineStr">
        <is>
          <t>pmishra</t>
        </is>
      </c>
      <c r="F1810" s="25" t="n">
        <v>5597</v>
      </c>
      <c r="G1810" s="25" t="n">
        <v>1</v>
      </c>
      <c r="H1810" s="25" t="n">
        <v>5</v>
      </c>
      <c r="I1810" s="25" t="inlineStr">
        <is>
          <t>3 minute(s) and 6 second(s)</t>
        </is>
      </c>
      <c r="J1810" s="25">
        <f>IFERROR(VALUE(TRIM(LEFT(I1810,FIND("minute",I1810)-1)))*60,0)+IFERROR(VALUE(SUBSTITUTE(MID(I1810,IFERROR(FIND("and",I1810)+3,1),20),"second(s)","")),0)</f>
        <v/>
      </c>
      <c r="K1810" s="41">
        <f>J1810/60</f>
        <v/>
      </c>
      <c r="L1810" s="41">
        <f>IFERROR(J1810/H1810,"")</f>
        <v/>
      </c>
      <c r="M1810" s="25" t="inlineStr">
        <is>
          <t>2.5.12</t>
        </is>
      </c>
      <c r="N1810" s="25">
        <f>IF(J1810&gt;300,1,0)</f>
        <v/>
      </c>
      <c r="O1810" s="25">
        <f>IF(J1810&gt;600,1,0)</f>
        <v/>
      </c>
      <c r="P1810" s="25">
        <f>IF(H1810&gt;0,J1810,"")</f>
        <v/>
      </c>
      <c r="Q1810" s="25">
        <f>TEXT(A1810,"YYYY-MM-DD HH")</f>
        <v/>
      </c>
      <c r="R1810" s="25">
        <f>COUNTIF($Q$2:$Q$5295,Q1810)</f>
        <v/>
      </c>
      <c r="S1810" s="25">
        <f>IF(R1810&lt;=2,"1-2",IF(R1810&lt;=5,"3-5",IF(R1810&lt;=10,"6-10","11+")))</f>
        <v/>
      </c>
    </row>
    <row r="1811">
      <c r="A1811" s="39" t="n">
        <v>46170.44179398148</v>
      </c>
      <c r="B1811" s="25">
        <f>TEXT(A1811,"YYYY-MM")</f>
        <v/>
      </c>
      <c r="C1811" s="25">
        <f>TEXT(A1811,"MMM-YYYY")</f>
        <v/>
      </c>
      <c r="D1811" s="40">
        <f>INT(A1811)-WEEKDAY(A1811,2)+1</f>
        <v/>
      </c>
      <c r="E1811" s="25" t="inlineStr">
        <is>
          <t>pgautam</t>
        </is>
      </c>
      <c r="F1811" s="25" t="n">
        <v>106514</v>
      </c>
      <c r="G1811" s="25" t="n">
        <v>3</v>
      </c>
      <c r="H1811" s="25" t="n">
        <v>13</v>
      </c>
      <c r="I1811" s="25" t="inlineStr">
        <is>
          <t>2 minute(s) and 19 second(s)</t>
        </is>
      </c>
      <c r="J1811" s="25">
        <f>IFERROR(VALUE(TRIM(LEFT(I1811,FIND("minute",I1811)-1)))*60,0)+IFERROR(VALUE(SUBSTITUTE(MID(I1811,IFERROR(FIND("and",I1811)+3,1),20),"second(s)","")),0)</f>
        <v/>
      </c>
      <c r="K1811" s="41">
        <f>J1811/60</f>
        <v/>
      </c>
      <c r="L1811" s="41">
        <f>IFERROR(J1811/H1811,"")</f>
        <v/>
      </c>
      <c r="M1811" s="25" t="inlineStr">
        <is>
          <t>2.5.12</t>
        </is>
      </c>
      <c r="N1811" s="25">
        <f>IF(J1811&gt;300,1,0)</f>
        <v/>
      </c>
      <c r="O1811" s="25">
        <f>IF(J1811&gt;600,1,0)</f>
        <v/>
      </c>
      <c r="P1811" s="25">
        <f>IF(H1811&gt;0,J1811,"")</f>
        <v/>
      </c>
      <c r="Q1811" s="25">
        <f>TEXT(A1811,"YYYY-MM-DD HH")</f>
        <v/>
      </c>
      <c r="R1811" s="25">
        <f>COUNTIF($Q$2:$Q$5295,Q1811)</f>
        <v/>
      </c>
      <c r="S1811" s="25">
        <f>IF(R1811&lt;=2,"1-2",IF(R1811&lt;=5,"3-5",IF(R1811&lt;=10,"6-10","11+")))</f>
        <v/>
      </c>
    </row>
    <row r="1812">
      <c r="A1812" s="39" t="n">
        <v>46170.44678240741</v>
      </c>
      <c r="B1812" s="25">
        <f>TEXT(A1812,"YYYY-MM")</f>
        <v/>
      </c>
      <c r="C1812" s="25">
        <f>TEXT(A1812,"MMM-YYYY")</f>
        <v/>
      </c>
      <c r="D1812" s="40">
        <f>INT(A1812)-WEEKDAY(A1812,2)+1</f>
        <v/>
      </c>
      <c r="E1812" s="25" t="inlineStr">
        <is>
          <t>csaha</t>
        </is>
      </c>
      <c r="F1812" s="25" t="n">
        <v>6140</v>
      </c>
      <c r="G1812" s="25" t="n">
        <v>1</v>
      </c>
      <c r="H1812" s="25" t="n">
        <v>5</v>
      </c>
      <c r="I1812" s="25" t="inlineStr">
        <is>
          <t>1 minute(s) and 8 second(s)</t>
        </is>
      </c>
      <c r="J1812" s="25">
        <f>IFERROR(VALUE(TRIM(LEFT(I1812,FIND("minute",I1812)-1)))*60,0)+IFERROR(VALUE(SUBSTITUTE(MID(I1812,IFERROR(FIND("and",I1812)+3,1),20),"second(s)","")),0)</f>
        <v/>
      </c>
      <c r="K1812" s="41">
        <f>J1812/60</f>
        <v/>
      </c>
      <c r="L1812" s="41">
        <f>IFERROR(J1812/H1812,"")</f>
        <v/>
      </c>
      <c r="M1812" s="25" t="inlineStr">
        <is>
          <t>2.5.12</t>
        </is>
      </c>
      <c r="N1812" s="25">
        <f>IF(J1812&gt;300,1,0)</f>
        <v/>
      </c>
      <c r="O1812" s="25">
        <f>IF(J1812&gt;600,1,0)</f>
        <v/>
      </c>
      <c r="P1812" s="25">
        <f>IF(H1812&gt;0,J1812,"")</f>
        <v/>
      </c>
      <c r="Q1812" s="25">
        <f>TEXT(A1812,"YYYY-MM-DD HH")</f>
        <v/>
      </c>
      <c r="R1812" s="25">
        <f>COUNTIF($Q$2:$Q$5295,Q1812)</f>
        <v/>
      </c>
      <c r="S1812" s="25">
        <f>IF(R1812&lt;=2,"1-2",IF(R1812&lt;=5,"3-5",IF(R1812&lt;=10,"6-10","11+")))</f>
        <v/>
      </c>
    </row>
    <row r="1813">
      <c r="A1813" s="39" t="n">
        <v>46170.46758101852</v>
      </c>
      <c r="B1813" s="25">
        <f>TEXT(A1813,"YYYY-MM")</f>
        <v/>
      </c>
      <c r="C1813" s="25">
        <f>TEXT(A1813,"MMM-YYYY")</f>
        <v/>
      </c>
      <c r="D1813" s="40">
        <f>INT(A1813)-WEEKDAY(A1813,2)+1</f>
        <v/>
      </c>
      <c r="E1813" s="25" t="inlineStr">
        <is>
          <t>ssarkar</t>
        </is>
      </c>
      <c r="F1813" s="25" t="n">
        <v>5981</v>
      </c>
      <c r="G1813" s="25" t="n">
        <v>1</v>
      </c>
      <c r="H1813" s="25" t="n">
        <v>5</v>
      </c>
      <c r="I1813" s="25" t="inlineStr">
        <is>
          <t>1 minute(s) and 23 second(s)</t>
        </is>
      </c>
      <c r="J1813" s="25">
        <f>IFERROR(VALUE(TRIM(LEFT(I1813,FIND("minute",I1813)-1)))*60,0)+IFERROR(VALUE(SUBSTITUTE(MID(I1813,IFERROR(FIND("and",I1813)+3,1),20),"second(s)","")),0)</f>
        <v/>
      </c>
      <c r="K1813" s="41">
        <f>J1813/60</f>
        <v/>
      </c>
      <c r="L1813" s="41">
        <f>IFERROR(J1813/H1813,"")</f>
        <v/>
      </c>
      <c r="M1813" s="25" t="inlineStr">
        <is>
          <t>2.5.12</t>
        </is>
      </c>
      <c r="N1813" s="25">
        <f>IF(J1813&gt;300,1,0)</f>
        <v/>
      </c>
      <c r="O1813" s="25">
        <f>IF(J1813&gt;600,1,0)</f>
        <v/>
      </c>
      <c r="P1813" s="25">
        <f>IF(H1813&gt;0,J1813,"")</f>
        <v/>
      </c>
      <c r="Q1813" s="25">
        <f>TEXT(A1813,"YYYY-MM-DD HH")</f>
        <v/>
      </c>
      <c r="R1813" s="25">
        <f>COUNTIF($Q$2:$Q$5295,Q1813)</f>
        <v/>
      </c>
      <c r="S1813" s="25">
        <f>IF(R1813&lt;=2,"1-2",IF(R1813&lt;=5,"3-5",IF(R1813&lt;=10,"6-10","11+")))</f>
        <v/>
      </c>
    </row>
    <row r="1814">
      <c r="A1814" s="39" t="n">
        <v>46170.47402777777</v>
      </c>
      <c r="B1814" s="25">
        <f>TEXT(A1814,"YYYY-MM")</f>
        <v/>
      </c>
      <c r="C1814" s="25">
        <f>TEXT(A1814,"MMM-YYYY")</f>
        <v/>
      </c>
      <c r="D1814" s="40">
        <f>INT(A1814)-WEEKDAY(A1814,2)+1</f>
        <v/>
      </c>
      <c r="E1814" s="25" t="inlineStr">
        <is>
          <t>mbhalla</t>
        </is>
      </c>
      <c r="F1814" s="25" t="n">
        <v>4892</v>
      </c>
      <c r="G1814" s="25" t="n">
        <v>1</v>
      </c>
      <c r="H1814" s="25" t="n">
        <v>7</v>
      </c>
      <c r="I1814" s="25" t="inlineStr">
        <is>
          <t>1 minute(s) and 9 second(s)</t>
        </is>
      </c>
      <c r="J1814" s="25">
        <f>IFERROR(VALUE(TRIM(LEFT(I1814,FIND("minute",I1814)-1)))*60,0)+IFERROR(VALUE(SUBSTITUTE(MID(I1814,IFERROR(FIND("and",I1814)+3,1),20),"second(s)","")),0)</f>
        <v/>
      </c>
      <c r="K1814" s="41">
        <f>J1814/60</f>
        <v/>
      </c>
      <c r="L1814" s="41">
        <f>IFERROR(J1814/H1814,"")</f>
        <v/>
      </c>
      <c r="M1814" s="25" t="inlineStr">
        <is>
          <t>2.5.12</t>
        </is>
      </c>
      <c r="N1814" s="25">
        <f>IF(J1814&gt;300,1,0)</f>
        <v/>
      </c>
      <c r="O1814" s="25">
        <f>IF(J1814&gt;600,1,0)</f>
        <v/>
      </c>
      <c r="P1814" s="25">
        <f>IF(H1814&gt;0,J1814,"")</f>
        <v/>
      </c>
      <c r="Q1814" s="25">
        <f>TEXT(A1814,"YYYY-MM-DD HH")</f>
        <v/>
      </c>
      <c r="R1814" s="25">
        <f>COUNTIF($Q$2:$Q$5295,Q1814)</f>
        <v/>
      </c>
      <c r="S1814" s="25">
        <f>IF(R1814&lt;=2,"1-2",IF(R1814&lt;=5,"3-5",IF(R1814&lt;=10,"6-10","11+")))</f>
        <v/>
      </c>
    </row>
    <row r="1815">
      <c r="A1815" s="39" t="n">
        <v>46170.4954050926</v>
      </c>
      <c r="B1815" s="25">
        <f>TEXT(A1815,"YYYY-MM")</f>
        <v/>
      </c>
      <c r="C1815" s="25">
        <f>TEXT(A1815,"MMM-YYYY")</f>
        <v/>
      </c>
      <c r="D1815" s="40">
        <f>INT(A1815)-WEEKDAY(A1815,2)+1</f>
        <v/>
      </c>
      <c r="E1815" s="25" t="inlineStr">
        <is>
          <t>mbhalla</t>
        </is>
      </c>
      <c r="F1815" s="25" t="n">
        <v>4893</v>
      </c>
      <c r="G1815" s="25" t="n">
        <v>1</v>
      </c>
      <c r="H1815" s="25" t="n">
        <v>7</v>
      </c>
      <c r="I1815" s="25" t="inlineStr">
        <is>
          <t>58 second(s)</t>
        </is>
      </c>
      <c r="J1815" s="25">
        <f>IFERROR(VALUE(TRIM(LEFT(I1815,FIND("minute",I1815)-1)))*60,0)+IFERROR(VALUE(SUBSTITUTE(MID(I1815,IFERROR(FIND("and",I1815)+3,1),20),"second(s)","")),0)</f>
        <v/>
      </c>
      <c r="K1815" s="41">
        <f>J1815/60</f>
        <v/>
      </c>
      <c r="L1815" s="41">
        <f>IFERROR(J1815/H1815,"")</f>
        <v/>
      </c>
      <c r="M1815" s="25" t="inlineStr">
        <is>
          <t>2.5.12</t>
        </is>
      </c>
      <c r="N1815" s="25">
        <f>IF(J1815&gt;300,1,0)</f>
        <v/>
      </c>
      <c r="O1815" s="25">
        <f>IF(J1815&gt;600,1,0)</f>
        <v/>
      </c>
      <c r="P1815" s="25">
        <f>IF(H1815&gt;0,J1815,"")</f>
        <v/>
      </c>
      <c r="Q1815" s="25">
        <f>TEXT(A1815,"YYYY-MM-DD HH")</f>
        <v/>
      </c>
      <c r="R1815" s="25">
        <f>COUNTIF($Q$2:$Q$5295,Q1815)</f>
        <v/>
      </c>
      <c r="S1815" s="25">
        <f>IF(R1815&lt;=2,"1-2",IF(R1815&lt;=5,"3-5",IF(R1815&lt;=10,"6-10","11+")))</f>
        <v/>
      </c>
    </row>
    <row r="1816">
      <c r="A1816" s="39" t="n">
        <v>46170.51611111111</v>
      </c>
      <c r="B1816" s="25">
        <f>TEXT(A1816,"YYYY-MM")</f>
        <v/>
      </c>
      <c r="C1816" s="25">
        <f>TEXT(A1816,"MMM-YYYY")</f>
        <v/>
      </c>
      <c r="D1816" s="40">
        <f>INT(A1816)-WEEKDAY(A1816,2)+1</f>
        <v/>
      </c>
      <c r="E1816" s="25" t="inlineStr">
        <is>
          <t>mbhalla</t>
        </is>
      </c>
      <c r="F1816" s="25" t="n">
        <v>4897</v>
      </c>
      <c r="G1816" s="25" t="n">
        <v>1</v>
      </c>
      <c r="H1816" s="25" t="n">
        <v>7</v>
      </c>
      <c r="I1816" s="25" t="inlineStr">
        <is>
          <t>1 minute(s) and 7 second(s)</t>
        </is>
      </c>
      <c r="J1816" s="25">
        <f>IFERROR(VALUE(TRIM(LEFT(I1816,FIND("minute",I1816)-1)))*60,0)+IFERROR(VALUE(SUBSTITUTE(MID(I1816,IFERROR(FIND("and",I1816)+3,1),20),"second(s)","")),0)</f>
        <v/>
      </c>
      <c r="K1816" s="41">
        <f>J1816/60</f>
        <v/>
      </c>
      <c r="L1816" s="41">
        <f>IFERROR(J1816/H1816,"")</f>
        <v/>
      </c>
      <c r="M1816" s="25" t="inlineStr">
        <is>
          <t>2.5.12</t>
        </is>
      </c>
      <c r="N1816" s="25">
        <f>IF(J1816&gt;300,1,0)</f>
        <v/>
      </c>
      <c r="O1816" s="25">
        <f>IF(J1816&gt;600,1,0)</f>
        <v/>
      </c>
      <c r="P1816" s="25">
        <f>IF(H1816&gt;0,J1816,"")</f>
        <v/>
      </c>
      <c r="Q1816" s="25">
        <f>TEXT(A1816,"YYYY-MM-DD HH")</f>
        <v/>
      </c>
      <c r="R1816" s="25">
        <f>COUNTIF($Q$2:$Q$5295,Q1816)</f>
        <v/>
      </c>
      <c r="S1816" s="25">
        <f>IF(R1816&lt;=2,"1-2",IF(R1816&lt;=5,"3-5",IF(R1816&lt;=10,"6-10","11+")))</f>
        <v/>
      </c>
    </row>
    <row r="1817">
      <c r="A1817" s="39" t="n">
        <v>46170.51913194444</v>
      </c>
      <c r="B1817" s="25">
        <f>TEXT(A1817,"YYYY-MM")</f>
        <v/>
      </c>
      <c r="C1817" s="25">
        <f>TEXT(A1817,"MMM-YYYY")</f>
        <v/>
      </c>
      <c r="D1817" s="40">
        <f>INT(A1817)-WEEKDAY(A1817,2)+1</f>
        <v/>
      </c>
      <c r="E1817" s="25" t="inlineStr">
        <is>
          <t>psingh</t>
        </is>
      </c>
      <c r="F1817" s="25" t="n">
        <v>114713</v>
      </c>
      <c r="G1817" s="25" t="n">
        <v>5</v>
      </c>
      <c r="H1817" s="25" t="n">
        <v>27</v>
      </c>
      <c r="I1817" s="25" t="inlineStr">
        <is>
          <t>4 minute(s) and 18 second(s)</t>
        </is>
      </c>
      <c r="J1817" s="25">
        <f>IFERROR(VALUE(TRIM(LEFT(I1817,FIND("minute",I1817)-1)))*60,0)+IFERROR(VALUE(SUBSTITUTE(MID(I1817,IFERROR(FIND("and",I1817)+3,1),20),"second(s)","")),0)</f>
        <v/>
      </c>
      <c r="K1817" s="41">
        <f>J1817/60</f>
        <v/>
      </c>
      <c r="L1817" s="41">
        <f>IFERROR(J1817/H1817,"")</f>
        <v/>
      </c>
      <c r="M1817" s="25" t="inlineStr">
        <is>
          <t>2.5.12</t>
        </is>
      </c>
      <c r="N1817" s="25">
        <f>IF(J1817&gt;300,1,0)</f>
        <v/>
      </c>
      <c r="O1817" s="25">
        <f>IF(J1817&gt;600,1,0)</f>
        <v/>
      </c>
      <c r="P1817" s="25">
        <f>IF(H1817&gt;0,J1817,"")</f>
        <v/>
      </c>
      <c r="Q1817" s="25">
        <f>TEXT(A1817,"YYYY-MM-DD HH")</f>
        <v/>
      </c>
      <c r="R1817" s="25">
        <f>COUNTIF($Q$2:$Q$5295,Q1817)</f>
        <v/>
      </c>
      <c r="S1817" s="25">
        <f>IF(R1817&lt;=2,"1-2",IF(R1817&lt;=5,"3-5",IF(R1817&lt;=10,"6-10","11+")))</f>
        <v/>
      </c>
    </row>
    <row r="1818">
      <c r="A1818" s="39" t="n">
        <v>46170.52017361111</v>
      </c>
      <c r="B1818" s="25">
        <f>TEXT(A1818,"YYYY-MM")</f>
        <v/>
      </c>
      <c r="C1818" s="25">
        <f>TEXT(A1818,"MMM-YYYY")</f>
        <v/>
      </c>
      <c r="D1818" s="40">
        <f>INT(A1818)-WEEKDAY(A1818,2)+1</f>
        <v/>
      </c>
      <c r="E1818" s="25" t="inlineStr">
        <is>
          <t>mgupta</t>
        </is>
      </c>
      <c r="F1818" s="25" t="n">
        <v>117247</v>
      </c>
      <c r="G1818" s="25" t="n">
        <v>1</v>
      </c>
      <c r="H1818" s="25" t="n">
        <v>5</v>
      </c>
      <c r="I1818" s="25" t="inlineStr">
        <is>
          <t>2 minute(s) and 23 second(s)</t>
        </is>
      </c>
      <c r="J1818" s="25">
        <f>IFERROR(VALUE(TRIM(LEFT(I1818,FIND("minute",I1818)-1)))*60,0)+IFERROR(VALUE(SUBSTITUTE(MID(I1818,IFERROR(FIND("and",I1818)+3,1),20),"second(s)","")),0)</f>
        <v/>
      </c>
      <c r="K1818" s="41">
        <f>J1818/60</f>
        <v/>
      </c>
      <c r="L1818" s="41">
        <f>IFERROR(J1818/H1818,"")</f>
        <v/>
      </c>
      <c r="M1818" s="25" t="inlineStr">
        <is>
          <t>2.5.12</t>
        </is>
      </c>
      <c r="N1818" s="25">
        <f>IF(J1818&gt;300,1,0)</f>
        <v/>
      </c>
      <c r="O1818" s="25">
        <f>IF(J1818&gt;600,1,0)</f>
        <v/>
      </c>
      <c r="P1818" s="25">
        <f>IF(H1818&gt;0,J1818,"")</f>
        <v/>
      </c>
      <c r="Q1818" s="25">
        <f>TEXT(A1818,"YYYY-MM-DD HH")</f>
        <v/>
      </c>
      <c r="R1818" s="25">
        <f>COUNTIF($Q$2:$Q$5295,Q1818)</f>
        <v/>
      </c>
      <c r="S1818" s="25">
        <f>IF(R1818&lt;=2,"1-2",IF(R1818&lt;=5,"3-5",IF(R1818&lt;=10,"6-10","11+")))</f>
        <v/>
      </c>
    </row>
    <row r="1819">
      <c r="A1819" s="39" t="n">
        <v>46170.53883101852</v>
      </c>
      <c r="B1819" s="25">
        <f>TEXT(A1819,"YYYY-MM")</f>
        <v/>
      </c>
      <c r="C1819" s="25">
        <f>TEXT(A1819,"MMM-YYYY")</f>
        <v/>
      </c>
      <c r="D1819" s="40">
        <f>INT(A1819)-WEEKDAY(A1819,2)+1</f>
        <v/>
      </c>
      <c r="E1819" s="25" t="inlineStr">
        <is>
          <t>mbhalla</t>
        </is>
      </c>
      <c r="F1819" s="25" t="n">
        <v>4898</v>
      </c>
      <c r="G1819" s="25" t="n">
        <v>1</v>
      </c>
      <c r="H1819" s="25" t="n">
        <v>7</v>
      </c>
      <c r="I1819" s="25" t="inlineStr">
        <is>
          <t>2 minute(s) and 39 second(s)</t>
        </is>
      </c>
      <c r="J1819" s="25">
        <f>IFERROR(VALUE(TRIM(LEFT(I1819,FIND("minute",I1819)-1)))*60,0)+IFERROR(VALUE(SUBSTITUTE(MID(I1819,IFERROR(FIND("and",I1819)+3,1),20),"second(s)","")),0)</f>
        <v/>
      </c>
      <c r="K1819" s="41">
        <f>J1819/60</f>
        <v/>
      </c>
      <c r="L1819" s="41">
        <f>IFERROR(J1819/H1819,"")</f>
        <v/>
      </c>
      <c r="M1819" s="25" t="inlineStr">
        <is>
          <t>2.5.12</t>
        </is>
      </c>
      <c r="N1819" s="25">
        <f>IF(J1819&gt;300,1,0)</f>
        <v/>
      </c>
      <c r="O1819" s="25">
        <f>IF(J1819&gt;600,1,0)</f>
        <v/>
      </c>
      <c r="P1819" s="25">
        <f>IF(H1819&gt;0,J1819,"")</f>
        <v/>
      </c>
      <c r="Q1819" s="25">
        <f>TEXT(A1819,"YYYY-MM-DD HH")</f>
        <v/>
      </c>
      <c r="R1819" s="25">
        <f>COUNTIF($Q$2:$Q$5295,Q1819)</f>
        <v/>
      </c>
      <c r="S1819" s="25">
        <f>IF(R1819&lt;=2,"1-2",IF(R1819&lt;=5,"3-5",IF(R1819&lt;=10,"6-10","11+")))</f>
        <v/>
      </c>
    </row>
    <row r="1820">
      <c r="A1820" s="39" t="n">
        <v>46170.55211805556</v>
      </c>
      <c r="B1820" s="25">
        <f>TEXT(A1820,"YYYY-MM")</f>
        <v/>
      </c>
      <c r="C1820" s="25">
        <f>TEXT(A1820,"MMM-YYYY")</f>
        <v/>
      </c>
      <c r="D1820" s="40">
        <f>INT(A1820)-WEEKDAY(A1820,2)+1</f>
        <v/>
      </c>
      <c r="E1820" s="25" t="inlineStr">
        <is>
          <t>rsingh</t>
        </is>
      </c>
      <c r="F1820" s="25" t="n">
        <v>6216</v>
      </c>
      <c r="G1820" s="25" t="n">
        <v>1</v>
      </c>
      <c r="H1820" s="25" t="n">
        <v>7</v>
      </c>
      <c r="I1820" s="25" t="inlineStr">
        <is>
          <t>4 minute(s) and 48 second(s)</t>
        </is>
      </c>
      <c r="J1820" s="25">
        <f>IFERROR(VALUE(TRIM(LEFT(I1820,FIND("minute",I1820)-1)))*60,0)+IFERROR(VALUE(SUBSTITUTE(MID(I1820,IFERROR(FIND("and",I1820)+3,1),20),"second(s)","")),0)</f>
        <v/>
      </c>
      <c r="K1820" s="41">
        <f>J1820/60</f>
        <v/>
      </c>
      <c r="L1820" s="41">
        <f>IFERROR(J1820/H1820,"")</f>
        <v/>
      </c>
      <c r="M1820" s="25" t="inlineStr">
        <is>
          <t>2.5.12</t>
        </is>
      </c>
      <c r="N1820" s="25">
        <f>IF(J1820&gt;300,1,0)</f>
        <v/>
      </c>
      <c r="O1820" s="25">
        <f>IF(J1820&gt;600,1,0)</f>
        <v/>
      </c>
      <c r="P1820" s="25">
        <f>IF(H1820&gt;0,J1820,"")</f>
        <v/>
      </c>
      <c r="Q1820" s="25">
        <f>TEXT(A1820,"YYYY-MM-DD HH")</f>
        <v/>
      </c>
      <c r="R1820" s="25">
        <f>COUNTIF($Q$2:$Q$5295,Q1820)</f>
        <v/>
      </c>
      <c r="S1820" s="25">
        <f>IF(R1820&lt;=2,"1-2",IF(R1820&lt;=5,"3-5",IF(R1820&lt;=10,"6-10","11+")))</f>
        <v/>
      </c>
    </row>
    <row r="1821">
      <c r="A1821" s="39" t="n">
        <v>46170.55694444444</v>
      </c>
      <c r="B1821" s="25">
        <f>TEXT(A1821,"YYYY-MM")</f>
        <v/>
      </c>
      <c r="C1821" s="25">
        <f>TEXT(A1821,"MMM-YYYY")</f>
        <v/>
      </c>
      <c r="D1821" s="40">
        <f>INT(A1821)-WEEKDAY(A1821,2)+1</f>
        <v/>
      </c>
      <c r="E1821" s="25" t="inlineStr">
        <is>
          <t>mbhalla</t>
        </is>
      </c>
      <c r="F1821" s="25" t="n">
        <v>4900</v>
      </c>
      <c r="G1821" s="25" t="n">
        <v>2</v>
      </c>
      <c r="H1821" s="25" t="n">
        <v>10</v>
      </c>
      <c r="I1821" s="25" t="inlineStr">
        <is>
          <t>2 minute(s) and 22 second(s)</t>
        </is>
      </c>
      <c r="J1821" s="25">
        <f>IFERROR(VALUE(TRIM(LEFT(I1821,FIND("minute",I1821)-1)))*60,0)+IFERROR(VALUE(SUBSTITUTE(MID(I1821,IFERROR(FIND("and",I1821)+3,1),20),"second(s)","")),0)</f>
        <v/>
      </c>
      <c r="K1821" s="41">
        <f>J1821/60</f>
        <v/>
      </c>
      <c r="L1821" s="41">
        <f>IFERROR(J1821/H1821,"")</f>
        <v/>
      </c>
      <c r="M1821" s="25" t="inlineStr">
        <is>
          <t>2.5.12</t>
        </is>
      </c>
      <c r="N1821" s="25">
        <f>IF(J1821&gt;300,1,0)</f>
        <v/>
      </c>
      <c r="O1821" s="25">
        <f>IF(J1821&gt;600,1,0)</f>
        <v/>
      </c>
      <c r="P1821" s="25">
        <f>IF(H1821&gt;0,J1821,"")</f>
        <v/>
      </c>
      <c r="Q1821" s="25">
        <f>TEXT(A1821,"YYYY-MM-DD HH")</f>
        <v/>
      </c>
      <c r="R1821" s="25">
        <f>COUNTIF($Q$2:$Q$5295,Q1821)</f>
        <v/>
      </c>
      <c r="S1821" s="25">
        <f>IF(R1821&lt;=2,"1-2",IF(R1821&lt;=5,"3-5",IF(R1821&lt;=10,"6-10","11+")))</f>
        <v/>
      </c>
    </row>
    <row r="1822">
      <c r="A1822" s="39" t="n">
        <v>46170.60791666667</v>
      </c>
      <c r="B1822" s="25">
        <f>TEXT(A1822,"YYYY-MM")</f>
        <v/>
      </c>
      <c r="C1822" s="25">
        <f>TEXT(A1822,"MMM-YYYY")</f>
        <v/>
      </c>
      <c r="D1822" s="40">
        <f>INT(A1822)-WEEKDAY(A1822,2)+1</f>
        <v/>
      </c>
      <c r="E1822" s="25" t="inlineStr">
        <is>
          <t>emishra</t>
        </is>
      </c>
      <c r="F1822" s="25" t="n">
        <v>5026</v>
      </c>
      <c r="G1822" s="25" t="n">
        <v>1</v>
      </c>
      <c r="H1822" s="25" t="n">
        <v>7</v>
      </c>
      <c r="I1822" s="25" t="inlineStr">
        <is>
          <t>1 minute(s) and 38 second(s)</t>
        </is>
      </c>
      <c r="J1822" s="25">
        <f>IFERROR(VALUE(TRIM(LEFT(I1822,FIND("minute",I1822)-1)))*60,0)+IFERROR(VALUE(SUBSTITUTE(MID(I1822,IFERROR(FIND("and",I1822)+3,1),20),"second(s)","")),0)</f>
        <v/>
      </c>
      <c r="K1822" s="41">
        <f>J1822/60</f>
        <v/>
      </c>
      <c r="L1822" s="41">
        <f>IFERROR(J1822/H1822,"")</f>
        <v/>
      </c>
      <c r="M1822" s="25" t="inlineStr">
        <is>
          <t>2.5.12</t>
        </is>
      </c>
      <c r="N1822" s="25">
        <f>IF(J1822&gt;300,1,0)</f>
        <v/>
      </c>
      <c r="O1822" s="25">
        <f>IF(J1822&gt;600,1,0)</f>
        <v/>
      </c>
      <c r="P1822" s="25">
        <f>IF(H1822&gt;0,J1822,"")</f>
        <v/>
      </c>
      <c r="Q1822" s="25">
        <f>TEXT(A1822,"YYYY-MM-DD HH")</f>
        <v/>
      </c>
      <c r="R1822" s="25">
        <f>COUNTIF($Q$2:$Q$5295,Q1822)</f>
        <v/>
      </c>
      <c r="S1822" s="25">
        <f>IF(R1822&lt;=2,"1-2",IF(R1822&lt;=5,"3-5",IF(R1822&lt;=10,"6-10","11+")))</f>
        <v/>
      </c>
    </row>
    <row r="1823">
      <c r="A1823" s="39" t="n">
        <v>46170.61091435186</v>
      </c>
      <c r="B1823" s="25">
        <f>TEXT(A1823,"YYYY-MM")</f>
        <v/>
      </c>
      <c r="C1823" s="25">
        <f>TEXT(A1823,"MMM-YYYY")</f>
        <v/>
      </c>
      <c r="D1823" s="40">
        <f>INT(A1823)-WEEKDAY(A1823,2)+1</f>
        <v/>
      </c>
      <c r="E1823" s="25" t="inlineStr">
        <is>
          <t>ssarkar</t>
        </is>
      </c>
      <c r="F1823" s="25" t="n">
        <v>5982</v>
      </c>
      <c r="G1823" s="25" t="n">
        <v>1</v>
      </c>
      <c r="H1823" s="25" t="n">
        <v>7</v>
      </c>
      <c r="I1823" s="25" t="inlineStr">
        <is>
          <t>1 minute(s) and 51 second(s)</t>
        </is>
      </c>
      <c r="J1823" s="25">
        <f>IFERROR(VALUE(TRIM(LEFT(I1823,FIND("minute",I1823)-1)))*60,0)+IFERROR(VALUE(SUBSTITUTE(MID(I1823,IFERROR(FIND("and",I1823)+3,1),20),"second(s)","")),0)</f>
        <v/>
      </c>
      <c r="K1823" s="41">
        <f>J1823/60</f>
        <v/>
      </c>
      <c r="L1823" s="41">
        <f>IFERROR(J1823/H1823,"")</f>
        <v/>
      </c>
      <c r="M1823" s="25" t="inlineStr">
        <is>
          <t>2.5.12</t>
        </is>
      </c>
      <c r="N1823" s="25">
        <f>IF(J1823&gt;300,1,0)</f>
        <v/>
      </c>
      <c r="O1823" s="25">
        <f>IF(J1823&gt;600,1,0)</f>
        <v/>
      </c>
      <c r="P1823" s="25">
        <f>IF(H1823&gt;0,J1823,"")</f>
        <v/>
      </c>
      <c r="Q1823" s="25">
        <f>TEXT(A1823,"YYYY-MM-DD HH")</f>
        <v/>
      </c>
      <c r="R1823" s="25">
        <f>COUNTIF($Q$2:$Q$5295,Q1823)</f>
        <v/>
      </c>
      <c r="S1823" s="25">
        <f>IF(R1823&lt;=2,"1-2",IF(R1823&lt;=5,"3-5",IF(R1823&lt;=10,"6-10","11+")))</f>
        <v/>
      </c>
    </row>
    <row r="1824">
      <c r="A1824" s="39" t="n">
        <v>46170.6250462963</v>
      </c>
      <c r="B1824" s="25">
        <f>TEXT(A1824,"YYYY-MM")</f>
        <v/>
      </c>
      <c r="C1824" s="25">
        <f>TEXT(A1824,"MMM-YYYY")</f>
        <v/>
      </c>
      <c r="D1824" s="40">
        <f>INT(A1824)-WEEKDAY(A1824,2)+1</f>
        <v/>
      </c>
      <c r="E1824" s="25" t="inlineStr">
        <is>
          <t>emishra</t>
        </is>
      </c>
      <c r="F1824" s="25" t="n">
        <v>3307</v>
      </c>
      <c r="G1824" s="25" t="n">
        <v>1</v>
      </c>
      <c r="H1824" s="25" t="n">
        <v>7</v>
      </c>
      <c r="I1824" s="25" t="inlineStr">
        <is>
          <t>1 minute(s) and 8 second(s)</t>
        </is>
      </c>
      <c r="J1824" s="25">
        <f>IFERROR(VALUE(TRIM(LEFT(I1824,FIND("minute",I1824)-1)))*60,0)+IFERROR(VALUE(SUBSTITUTE(MID(I1824,IFERROR(FIND("and",I1824)+3,1),20),"second(s)","")),0)</f>
        <v/>
      </c>
      <c r="K1824" s="41">
        <f>J1824/60</f>
        <v/>
      </c>
      <c r="L1824" s="41">
        <f>IFERROR(J1824/H1824,"")</f>
        <v/>
      </c>
      <c r="M1824" s="25" t="inlineStr">
        <is>
          <t>2.5.12</t>
        </is>
      </c>
      <c r="N1824" s="25">
        <f>IF(J1824&gt;300,1,0)</f>
        <v/>
      </c>
      <c r="O1824" s="25">
        <f>IF(J1824&gt;600,1,0)</f>
        <v/>
      </c>
      <c r="P1824" s="25">
        <f>IF(H1824&gt;0,J1824,"")</f>
        <v/>
      </c>
      <c r="Q1824" s="25">
        <f>TEXT(A1824,"YYYY-MM-DD HH")</f>
        <v/>
      </c>
      <c r="R1824" s="25">
        <f>COUNTIF($Q$2:$Q$5295,Q1824)</f>
        <v/>
      </c>
      <c r="S1824" s="25">
        <f>IF(R1824&lt;=2,"1-2",IF(R1824&lt;=5,"3-5",IF(R1824&lt;=10,"6-10","11+")))</f>
        <v/>
      </c>
    </row>
    <row r="1825">
      <c r="A1825" s="39" t="n">
        <v>46170.63667824074</v>
      </c>
      <c r="B1825" s="25">
        <f>TEXT(A1825,"YYYY-MM")</f>
        <v/>
      </c>
      <c r="C1825" s="25">
        <f>TEXT(A1825,"MMM-YYYY")</f>
        <v/>
      </c>
      <c r="D1825" s="40">
        <f>INT(A1825)-WEEKDAY(A1825,2)+1</f>
        <v/>
      </c>
      <c r="E1825" s="25" t="inlineStr">
        <is>
          <t>hsindwani</t>
        </is>
      </c>
      <c r="F1825" s="25" t="n">
        <v>5356</v>
      </c>
      <c r="G1825" s="25" t="n">
        <v>1</v>
      </c>
      <c r="H1825" s="25" t="n">
        <v>7</v>
      </c>
      <c r="I1825" s="25" t="inlineStr">
        <is>
          <t>4 minute(s) and 30 second(s)</t>
        </is>
      </c>
      <c r="J1825" s="25">
        <f>IFERROR(VALUE(TRIM(LEFT(I1825,FIND("minute",I1825)-1)))*60,0)+IFERROR(VALUE(SUBSTITUTE(MID(I1825,IFERROR(FIND("and",I1825)+3,1),20),"second(s)","")),0)</f>
        <v/>
      </c>
      <c r="K1825" s="41">
        <f>J1825/60</f>
        <v/>
      </c>
      <c r="L1825" s="41">
        <f>IFERROR(J1825/H1825,"")</f>
        <v/>
      </c>
      <c r="M1825" s="25" t="inlineStr">
        <is>
          <t>2.5.12</t>
        </is>
      </c>
      <c r="N1825" s="25">
        <f>IF(J1825&gt;300,1,0)</f>
        <v/>
      </c>
      <c r="O1825" s="25">
        <f>IF(J1825&gt;600,1,0)</f>
        <v/>
      </c>
      <c r="P1825" s="25">
        <f>IF(H1825&gt;0,J1825,"")</f>
        <v/>
      </c>
      <c r="Q1825" s="25">
        <f>TEXT(A1825,"YYYY-MM-DD HH")</f>
        <v/>
      </c>
      <c r="R1825" s="25">
        <f>COUNTIF($Q$2:$Q$5295,Q1825)</f>
        <v/>
      </c>
      <c r="S1825" s="25">
        <f>IF(R1825&lt;=2,"1-2",IF(R1825&lt;=5,"3-5",IF(R1825&lt;=10,"6-10","11+")))</f>
        <v/>
      </c>
    </row>
    <row r="1826">
      <c r="A1826" s="39" t="n">
        <v>46170.64017361111</v>
      </c>
      <c r="B1826" s="25">
        <f>TEXT(A1826,"YYYY-MM")</f>
        <v/>
      </c>
      <c r="C1826" s="25">
        <f>TEXT(A1826,"MMM-YYYY")</f>
        <v/>
      </c>
      <c r="D1826" s="40">
        <f>INT(A1826)-WEEKDAY(A1826,2)+1</f>
        <v/>
      </c>
      <c r="E1826" s="25" t="inlineStr">
        <is>
          <t>emishra</t>
        </is>
      </c>
      <c r="F1826" s="25" t="n">
        <v>3306</v>
      </c>
      <c r="G1826" s="25" t="n">
        <v>1</v>
      </c>
      <c r="H1826" s="25" t="n">
        <v>7</v>
      </c>
      <c r="I1826" s="25" t="inlineStr">
        <is>
          <t>2 minute(s) and 32 second(s)</t>
        </is>
      </c>
      <c r="J1826" s="25">
        <f>IFERROR(VALUE(TRIM(LEFT(I1826,FIND("minute",I1826)-1)))*60,0)+IFERROR(VALUE(SUBSTITUTE(MID(I1826,IFERROR(FIND("and",I1826)+3,1),20),"second(s)","")),0)</f>
        <v/>
      </c>
      <c r="K1826" s="41">
        <f>J1826/60</f>
        <v/>
      </c>
      <c r="L1826" s="41">
        <f>IFERROR(J1826/H1826,"")</f>
        <v/>
      </c>
      <c r="M1826" s="25" t="inlineStr">
        <is>
          <t>2.5.12</t>
        </is>
      </c>
      <c r="N1826" s="25">
        <f>IF(J1826&gt;300,1,0)</f>
        <v/>
      </c>
      <c r="O1826" s="25">
        <f>IF(J1826&gt;600,1,0)</f>
        <v/>
      </c>
      <c r="P1826" s="25">
        <f>IF(H1826&gt;0,J1826,"")</f>
        <v/>
      </c>
      <c r="Q1826" s="25">
        <f>TEXT(A1826,"YYYY-MM-DD HH")</f>
        <v/>
      </c>
      <c r="R1826" s="25">
        <f>COUNTIF($Q$2:$Q$5295,Q1826)</f>
        <v/>
      </c>
      <c r="S1826" s="25">
        <f>IF(R1826&lt;=2,"1-2",IF(R1826&lt;=5,"3-5",IF(R1826&lt;=10,"6-10","11+")))</f>
        <v/>
      </c>
    </row>
    <row r="1827">
      <c r="A1827" s="39" t="n">
        <v>46170.65638888889</v>
      </c>
      <c r="B1827" s="25">
        <f>TEXT(A1827,"YYYY-MM")</f>
        <v/>
      </c>
      <c r="C1827" s="25">
        <f>TEXT(A1827,"MMM-YYYY")</f>
        <v/>
      </c>
      <c r="D1827" s="40">
        <f>INT(A1827)-WEEKDAY(A1827,2)+1</f>
        <v/>
      </c>
      <c r="E1827" s="25" t="inlineStr">
        <is>
          <t>sswati</t>
        </is>
      </c>
      <c r="F1827" s="25" t="n">
        <v>6331</v>
      </c>
      <c r="G1827" s="25" t="n">
        <v>1</v>
      </c>
      <c r="H1827" s="25" t="n">
        <v>5</v>
      </c>
      <c r="I1827" s="25" t="inlineStr">
        <is>
          <t>2 minute(s) and 48 second(s)</t>
        </is>
      </c>
      <c r="J1827" s="25">
        <f>IFERROR(VALUE(TRIM(LEFT(I1827,FIND("minute",I1827)-1)))*60,0)+IFERROR(VALUE(SUBSTITUTE(MID(I1827,IFERROR(FIND("and",I1827)+3,1),20),"second(s)","")),0)</f>
        <v/>
      </c>
      <c r="K1827" s="41">
        <f>J1827/60</f>
        <v/>
      </c>
      <c r="L1827" s="41">
        <f>IFERROR(J1827/H1827,"")</f>
        <v/>
      </c>
      <c r="M1827" s="25" t="inlineStr">
        <is>
          <t>2.5.12</t>
        </is>
      </c>
      <c r="N1827" s="25">
        <f>IF(J1827&gt;300,1,0)</f>
        <v/>
      </c>
      <c r="O1827" s="25">
        <f>IF(J1827&gt;600,1,0)</f>
        <v/>
      </c>
      <c r="P1827" s="25">
        <f>IF(H1827&gt;0,J1827,"")</f>
        <v/>
      </c>
      <c r="Q1827" s="25">
        <f>TEXT(A1827,"YYYY-MM-DD HH")</f>
        <v/>
      </c>
      <c r="R1827" s="25">
        <f>COUNTIF($Q$2:$Q$5295,Q1827)</f>
        <v/>
      </c>
      <c r="S1827" s="25">
        <f>IF(R1827&lt;=2,"1-2",IF(R1827&lt;=5,"3-5",IF(R1827&lt;=10,"6-10","11+")))</f>
        <v/>
      </c>
    </row>
    <row r="1828">
      <c r="A1828" s="39" t="n">
        <v>46170.67</v>
      </c>
      <c r="B1828" s="25">
        <f>TEXT(A1828,"YYYY-MM")</f>
        <v/>
      </c>
      <c r="C1828" s="25">
        <f>TEXT(A1828,"MMM-YYYY")</f>
        <v/>
      </c>
      <c r="D1828" s="40">
        <f>INT(A1828)-WEEKDAY(A1828,2)+1</f>
        <v/>
      </c>
      <c r="E1828" s="25" t="inlineStr">
        <is>
          <t>emishra</t>
        </is>
      </c>
      <c r="F1828" s="25" t="n">
        <v>3305</v>
      </c>
      <c r="G1828" s="25" t="n">
        <v>1</v>
      </c>
      <c r="H1828" s="25" t="n">
        <v>7</v>
      </c>
      <c r="I1828" s="25" t="inlineStr">
        <is>
          <t>1 minute(s) and 25 second(s)</t>
        </is>
      </c>
      <c r="J1828" s="25">
        <f>IFERROR(VALUE(TRIM(LEFT(I1828,FIND("minute",I1828)-1)))*60,0)+IFERROR(VALUE(SUBSTITUTE(MID(I1828,IFERROR(FIND("and",I1828)+3,1),20),"second(s)","")),0)</f>
        <v/>
      </c>
      <c r="K1828" s="41">
        <f>J1828/60</f>
        <v/>
      </c>
      <c r="L1828" s="41">
        <f>IFERROR(J1828/H1828,"")</f>
        <v/>
      </c>
      <c r="M1828" s="25" t="inlineStr">
        <is>
          <t>2.5.12</t>
        </is>
      </c>
      <c r="N1828" s="25">
        <f>IF(J1828&gt;300,1,0)</f>
        <v/>
      </c>
      <c r="O1828" s="25">
        <f>IF(J1828&gt;600,1,0)</f>
        <v/>
      </c>
      <c r="P1828" s="25">
        <f>IF(H1828&gt;0,J1828,"")</f>
        <v/>
      </c>
      <c r="Q1828" s="25">
        <f>TEXT(A1828,"YYYY-MM-DD HH")</f>
        <v/>
      </c>
      <c r="R1828" s="25">
        <f>COUNTIF($Q$2:$Q$5295,Q1828)</f>
        <v/>
      </c>
      <c r="S1828" s="25">
        <f>IF(R1828&lt;=2,"1-2",IF(R1828&lt;=5,"3-5",IF(R1828&lt;=10,"6-10","11+")))</f>
        <v/>
      </c>
    </row>
    <row r="1829">
      <c r="A1829" s="39" t="n">
        <v>46170.67165509259</v>
      </c>
      <c r="B1829" s="25">
        <f>TEXT(A1829,"YYYY-MM")</f>
        <v/>
      </c>
      <c r="C1829" s="25">
        <f>TEXT(A1829,"MMM-YYYY")</f>
        <v/>
      </c>
      <c r="D1829" s="40">
        <f>INT(A1829)-WEEKDAY(A1829,2)+1</f>
        <v/>
      </c>
      <c r="E1829" s="25" t="inlineStr">
        <is>
          <t>sswati</t>
        </is>
      </c>
      <c r="F1829" s="25" t="n">
        <v>6332</v>
      </c>
      <c r="G1829" s="25" t="n">
        <v>1</v>
      </c>
      <c r="H1829" s="25" t="n">
        <v>7</v>
      </c>
      <c r="I1829" s="25" t="inlineStr">
        <is>
          <t>1 minute(s) and 31 second(s)</t>
        </is>
      </c>
      <c r="J1829" s="25">
        <f>IFERROR(VALUE(TRIM(LEFT(I1829,FIND("minute",I1829)-1)))*60,0)+IFERROR(VALUE(SUBSTITUTE(MID(I1829,IFERROR(FIND("and",I1829)+3,1),20),"second(s)","")),0)</f>
        <v/>
      </c>
      <c r="K1829" s="41">
        <f>J1829/60</f>
        <v/>
      </c>
      <c r="L1829" s="41">
        <f>IFERROR(J1829/H1829,"")</f>
        <v/>
      </c>
      <c r="M1829" s="25" t="inlineStr">
        <is>
          <t>2.5.12</t>
        </is>
      </c>
      <c r="N1829" s="25">
        <f>IF(J1829&gt;300,1,0)</f>
        <v/>
      </c>
      <c r="O1829" s="25">
        <f>IF(J1829&gt;600,1,0)</f>
        <v/>
      </c>
      <c r="P1829" s="25">
        <f>IF(H1829&gt;0,J1829,"")</f>
        <v/>
      </c>
      <c r="Q1829" s="25">
        <f>TEXT(A1829,"YYYY-MM-DD HH")</f>
        <v/>
      </c>
      <c r="R1829" s="25">
        <f>COUNTIF($Q$2:$Q$5295,Q1829)</f>
        <v/>
      </c>
      <c r="S1829" s="25">
        <f>IF(R1829&lt;=2,"1-2",IF(R1829&lt;=5,"3-5",IF(R1829&lt;=10,"6-10","11+")))</f>
        <v/>
      </c>
    </row>
    <row r="1830">
      <c r="A1830" s="39" t="n">
        <v>46170.6833449074</v>
      </c>
      <c r="B1830" s="25">
        <f>TEXT(A1830,"YYYY-MM")</f>
        <v/>
      </c>
      <c r="C1830" s="25">
        <f>TEXT(A1830,"MMM-YYYY")</f>
        <v/>
      </c>
      <c r="D1830" s="40">
        <f>INT(A1830)-WEEKDAY(A1830,2)+1</f>
        <v/>
      </c>
      <c r="E1830" s="25" t="inlineStr">
        <is>
          <t>psingh</t>
        </is>
      </c>
      <c r="F1830" s="25" t="n">
        <v>6181</v>
      </c>
      <c r="G1830" s="25" t="n">
        <v>1</v>
      </c>
      <c r="H1830" s="25" t="n">
        <v>5</v>
      </c>
      <c r="I1830" s="25" t="inlineStr">
        <is>
          <t>1 minute(s) and 17 second(s)</t>
        </is>
      </c>
      <c r="J1830" s="25">
        <f>IFERROR(VALUE(TRIM(LEFT(I1830,FIND("minute",I1830)-1)))*60,0)+IFERROR(VALUE(SUBSTITUTE(MID(I1830,IFERROR(FIND("and",I1830)+3,1),20),"second(s)","")),0)</f>
        <v/>
      </c>
      <c r="K1830" s="41">
        <f>J1830/60</f>
        <v/>
      </c>
      <c r="L1830" s="41">
        <f>IFERROR(J1830/H1830,"")</f>
        <v/>
      </c>
      <c r="M1830" s="25" t="inlineStr">
        <is>
          <t>2.5.12</t>
        </is>
      </c>
      <c r="N1830" s="25">
        <f>IF(J1830&gt;300,1,0)</f>
        <v/>
      </c>
      <c r="O1830" s="25">
        <f>IF(J1830&gt;600,1,0)</f>
        <v/>
      </c>
      <c r="P1830" s="25">
        <f>IF(H1830&gt;0,J1830,"")</f>
        <v/>
      </c>
      <c r="Q1830" s="25">
        <f>TEXT(A1830,"YYYY-MM-DD HH")</f>
        <v/>
      </c>
      <c r="R1830" s="25">
        <f>COUNTIF($Q$2:$Q$5295,Q1830)</f>
        <v/>
      </c>
      <c r="S1830" s="25">
        <f>IF(R1830&lt;=2,"1-2",IF(R1830&lt;=5,"3-5",IF(R1830&lt;=10,"6-10","11+")))</f>
        <v/>
      </c>
    </row>
    <row r="1831">
      <c r="A1831" s="39" t="n">
        <v>46170.71414351852</v>
      </c>
      <c r="B1831" s="25">
        <f>TEXT(A1831,"YYYY-MM")</f>
        <v/>
      </c>
      <c r="C1831" s="25">
        <f>TEXT(A1831,"MMM-YYYY")</f>
        <v/>
      </c>
      <c r="D1831" s="40">
        <f>INT(A1831)-WEEKDAY(A1831,2)+1</f>
        <v/>
      </c>
      <c r="E1831" s="25" t="inlineStr">
        <is>
          <t>hsindwani</t>
        </is>
      </c>
      <c r="F1831" s="25" t="n">
        <v>5360</v>
      </c>
      <c r="G1831" s="25" t="n">
        <v>2</v>
      </c>
      <c r="H1831" s="25" t="n">
        <v>10</v>
      </c>
      <c r="I1831" s="25" t="inlineStr">
        <is>
          <t>3 minute(s) and 51 second(s)</t>
        </is>
      </c>
      <c r="J1831" s="25">
        <f>IFERROR(VALUE(TRIM(LEFT(I1831,FIND("minute",I1831)-1)))*60,0)+IFERROR(VALUE(SUBSTITUTE(MID(I1831,IFERROR(FIND("and",I1831)+3,1),20),"second(s)","")),0)</f>
        <v/>
      </c>
      <c r="K1831" s="41">
        <f>J1831/60</f>
        <v/>
      </c>
      <c r="L1831" s="41">
        <f>IFERROR(J1831/H1831,"")</f>
        <v/>
      </c>
      <c r="M1831" s="25" t="inlineStr">
        <is>
          <t>2.5.12</t>
        </is>
      </c>
      <c r="N1831" s="25">
        <f>IF(J1831&gt;300,1,0)</f>
        <v/>
      </c>
      <c r="O1831" s="25">
        <f>IF(J1831&gt;600,1,0)</f>
        <v/>
      </c>
      <c r="P1831" s="25">
        <f>IF(H1831&gt;0,J1831,"")</f>
        <v/>
      </c>
      <c r="Q1831" s="25">
        <f>TEXT(A1831,"YYYY-MM-DD HH")</f>
        <v/>
      </c>
      <c r="R1831" s="25">
        <f>COUNTIF($Q$2:$Q$5295,Q1831)</f>
        <v/>
      </c>
      <c r="S1831" s="25">
        <f>IF(R1831&lt;=2,"1-2",IF(R1831&lt;=5,"3-5",IF(R1831&lt;=10,"6-10","11+")))</f>
        <v/>
      </c>
    </row>
    <row r="1832">
      <c r="A1832" s="39" t="n">
        <v>46170.71784722222</v>
      </c>
      <c r="B1832" s="25">
        <f>TEXT(A1832,"YYYY-MM")</f>
        <v/>
      </c>
      <c r="C1832" s="25">
        <f>TEXT(A1832,"MMM-YYYY")</f>
        <v/>
      </c>
      <c r="D1832" s="40">
        <f>INT(A1832)-WEEKDAY(A1832,2)+1</f>
        <v/>
      </c>
      <c r="E1832" s="25" t="inlineStr">
        <is>
          <t>psingh</t>
        </is>
      </c>
      <c r="F1832" s="25" t="n">
        <v>6174</v>
      </c>
      <c r="G1832" s="25" t="n">
        <v>1</v>
      </c>
      <c r="H1832" s="25" t="n">
        <v>7</v>
      </c>
      <c r="I1832" s="25" t="inlineStr">
        <is>
          <t>3 minute(s) and 35 second(s)</t>
        </is>
      </c>
      <c r="J1832" s="25">
        <f>IFERROR(VALUE(TRIM(LEFT(I1832,FIND("minute",I1832)-1)))*60,0)+IFERROR(VALUE(SUBSTITUTE(MID(I1832,IFERROR(FIND("and",I1832)+3,1),20),"second(s)","")),0)</f>
        <v/>
      </c>
      <c r="K1832" s="41">
        <f>J1832/60</f>
        <v/>
      </c>
      <c r="L1832" s="41">
        <f>IFERROR(J1832/H1832,"")</f>
        <v/>
      </c>
      <c r="M1832" s="25" t="inlineStr">
        <is>
          <t>2.5.12</t>
        </is>
      </c>
      <c r="N1832" s="25">
        <f>IF(J1832&gt;300,1,0)</f>
        <v/>
      </c>
      <c r="O1832" s="25">
        <f>IF(J1832&gt;600,1,0)</f>
        <v/>
      </c>
      <c r="P1832" s="25">
        <f>IF(H1832&gt;0,J1832,"")</f>
        <v/>
      </c>
      <c r="Q1832" s="25">
        <f>TEXT(A1832,"YYYY-MM-DD HH")</f>
        <v/>
      </c>
      <c r="R1832" s="25">
        <f>COUNTIF($Q$2:$Q$5295,Q1832)</f>
        <v/>
      </c>
      <c r="S1832" s="25">
        <f>IF(R1832&lt;=2,"1-2",IF(R1832&lt;=5,"3-5",IF(R1832&lt;=10,"6-10","11+")))</f>
        <v/>
      </c>
    </row>
    <row r="1833">
      <c r="A1833" s="39" t="n">
        <v>46170.73113425926</v>
      </c>
      <c r="B1833" s="25">
        <f>TEXT(A1833,"YYYY-MM")</f>
        <v/>
      </c>
      <c r="C1833" s="25">
        <f>TEXT(A1833,"MMM-YYYY")</f>
        <v/>
      </c>
      <c r="D1833" s="40">
        <f>INT(A1833)-WEEKDAY(A1833,2)+1</f>
        <v/>
      </c>
      <c r="E1833" s="25" t="inlineStr">
        <is>
          <t>sswati</t>
        </is>
      </c>
      <c r="F1833" s="25" t="n">
        <v>6333</v>
      </c>
      <c r="G1833" s="25" t="n">
        <v>1</v>
      </c>
      <c r="H1833" s="25" t="n">
        <v>7</v>
      </c>
      <c r="I1833" s="25" t="inlineStr">
        <is>
          <t>1 minute(s) and 17 second(s)</t>
        </is>
      </c>
      <c r="J1833" s="25">
        <f>IFERROR(VALUE(TRIM(LEFT(I1833,FIND("minute",I1833)-1)))*60,0)+IFERROR(VALUE(SUBSTITUTE(MID(I1833,IFERROR(FIND("and",I1833)+3,1),20),"second(s)","")),0)</f>
        <v/>
      </c>
      <c r="K1833" s="41">
        <f>J1833/60</f>
        <v/>
      </c>
      <c r="L1833" s="41">
        <f>IFERROR(J1833/H1833,"")</f>
        <v/>
      </c>
      <c r="M1833" s="25" t="inlineStr">
        <is>
          <t>2.5.12</t>
        </is>
      </c>
      <c r="N1833" s="25">
        <f>IF(J1833&gt;300,1,0)</f>
        <v/>
      </c>
      <c r="O1833" s="25">
        <f>IF(J1833&gt;600,1,0)</f>
        <v/>
      </c>
      <c r="P1833" s="25">
        <f>IF(H1833&gt;0,J1833,"")</f>
        <v/>
      </c>
      <c r="Q1833" s="25">
        <f>TEXT(A1833,"YYYY-MM-DD HH")</f>
        <v/>
      </c>
      <c r="R1833" s="25">
        <f>COUNTIF($Q$2:$Q$5295,Q1833)</f>
        <v/>
      </c>
      <c r="S1833" s="25">
        <f>IF(R1833&lt;=2,"1-2",IF(R1833&lt;=5,"3-5",IF(R1833&lt;=10,"6-10","11+")))</f>
        <v/>
      </c>
    </row>
    <row r="1834">
      <c r="A1834" s="39" t="n">
        <v>46170.7440625</v>
      </c>
      <c r="B1834" s="25">
        <f>TEXT(A1834,"YYYY-MM")</f>
        <v/>
      </c>
      <c r="C1834" s="25">
        <f>TEXT(A1834,"MMM-YYYY")</f>
        <v/>
      </c>
      <c r="D1834" s="40">
        <f>INT(A1834)-WEEKDAY(A1834,2)+1</f>
        <v/>
      </c>
      <c r="E1834" s="25" t="inlineStr">
        <is>
          <t>dchoudhury</t>
        </is>
      </c>
      <c r="F1834" s="25" t="n">
        <v>5562</v>
      </c>
      <c r="G1834" s="25" t="n">
        <v>1</v>
      </c>
      <c r="H1834" s="25" t="n">
        <v>7</v>
      </c>
      <c r="I1834" s="25" t="inlineStr">
        <is>
          <t>2 minute(s) and 8 second(s)</t>
        </is>
      </c>
      <c r="J1834" s="25">
        <f>IFERROR(VALUE(TRIM(LEFT(I1834,FIND("minute",I1834)-1)))*60,0)+IFERROR(VALUE(SUBSTITUTE(MID(I1834,IFERROR(FIND("and",I1834)+3,1),20),"second(s)","")),0)</f>
        <v/>
      </c>
      <c r="K1834" s="41">
        <f>J1834/60</f>
        <v/>
      </c>
      <c r="L1834" s="41">
        <f>IFERROR(J1834/H1834,"")</f>
        <v/>
      </c>
      <c r="M1834" s="25" t="inlineStr">
        <is>
          <t>2.5.12</t>
        </is>
      </c>
      <c r="N1834" s="25">
        <f>IF(J1834&gt;300,1,0)</f>
        <v/>
      </c>
      <c r="O1834" s="25">
        <f>IF(J1834&gt;600,1,0)</f>
        <v/>
      </c>
      <c r="P1834" s="25">
        <f>IF(H1834&gt;0,J1834,"")</f>
        <v/>
      </c>
      <c r="Q1834" s="25">
        <f>TEXT(A1834,"YYYY-MM-DD HH")</f>
        <v/>
      </c>
      <c r="R1834" s="25">
        <f>COUNTIF($Q$2:$Q$5295,Q1834)</f>
        <v/>
      </c>
      <c r="S1834" s="25">
        <f>IF(R1834&lt;=2,"1-2",IF(R1834&lt;=5,"3-5",IF(R1834&lt;=10,"6-10","11+")))</f>
        <v/>
      </c>
    </row>
    <row r="1835">
      <c r="A1835" s="39" t="n">
        <v>46170.75083333333</v>
      </c>
      <c r="B1835" s="25">
        <f>TEXT(A1835,"YYYY-MM")</f>
        <v/>
      </c>
      <c r="C1835" s="25">
        <f>TEXT(A1835,"MMM-YYYY")</f>
        <v/>
      </c>
      <c r="D1835" s="40">
        <f>INT(A1835)-WEEKDAY(A1835,2)+1</f>
        <v/>
      </c>
      <c r="E1835" s="25" t="inlineStr">
        <is>
          <t>sswati</t>
        </is>
      </c>
      <c r="F1835" s="25" t="n">
        <v>6334</v>
      </c>
      <c r="G1835" s="25" t="n">
        <v>1</v>
      </c>
      <c r="H1835" s="25" t="n">
        <v>5</v>
      </c>
      <c r="I1835" s="25" t="inlineStr">
        <is>
          <t>1 minute(s) and 27 second(s)</t>
        </is>
      </c>
      <c r="J1835" s="25">
        <f>IFERROR(VALUE(TRIM(LEFT(I1835,FIND("minute",I1835)-1)))*60,0)+IFERROR(VALUE(SUBSTITUTE(MID(I1835,IFERROR(FIND("and",I1835)+3,1),20),"second(s)","")),0)</f>
        <v/>
      </c>
      <c r="K1835" s="41">
        <f>J1835/60</f>
        <v/>
      </c>
      <c r="L1835" s="41">
        <f>IFERROR(J1835/H1835,"")</f>
        <v/>
      </c>
      <c r="M1835" s="25" t="inlineStr">
        <is>
          <t>2.5.12</t>
        </is>
      </c>
      <c r="N1835" s="25">
        <f>IF(J1835&gt;300,1,0)</f>
        <v/>
      </c>
      <c r="O1835" s="25">
        <f>IF(J1835&gt;600,1,0)</f>
        <v/>
      </c>
      <c r="P1835" s="25">
        <f>IF(H1835&gt;0,J1835,"")</f>
        <v/>
      </c>
      <c r="Q1835" s="25">
        <f>TEXT(A1835,"YYYY-MM-DD HH")</f>
        <v/>
      </c>
      <c r="R1835" s="25">
        <f>COUNTIF($Q$2:$Q$5295,Q1835)</f>
        <v/>
      </c>
      <c r="S1835" s="25">
        <f>IF(R1835&lt;=2,"1-2",IF(R1835&lt;=5,"3-5",IF(R1835&lt;=10,"6-10","11+")))</f>
        <v/>
      </c>
    </row>
    <row r="1836">
      <c r="A1836" s="39" t="n">
        <v>46170.75254629629</v>
      </c>
      <c r="B1836" s="25">
        <f>TEXT(A1836,"YYYY-MM")</f>
        <v/>
      </c>
      <c r="C1836" s="25">
        <f>TEXT(A1836,"MMM-YYYY")</f>
        <v/>
      </c>
      <c r="D1836" s="40">
        <f>INT(A1836)-WEEKDAY(A1836,2)+1</f>
        <v/>
      </c>
      <c r="E1836" s="25" t="inlineStr">
        <is>
          <t>emishra</t>
        </is>
      </c>
      <c r="F1836" s="25" t="n">
        <v>3304</v>
      </c>
      <c r="G1836" s="25" t="n">
        <v>1</v>
      </c>
      <c r="H1836" s="25" t="n">
        <v>7</v>
      </c>
      <c r="I1836" s="25" t="inlineStr">
        <is>
          <t>2 minute(s) and 27 second(s)</t>
        </is>
      </c>
      <c r="J1836" s="25">
        <f>IFERROR(VALUE(TRIM(LEFT(I1836,FIND("minute",I1836)-1)))*60,0)+IFERROR(VALUE(SUBSTITUTE(MID(I1836,IFERROR(FIND("and",I1836)+3,1),20),"second(s)","")),0)</f>
        <v/>
      </c>
      <c r="K1836" s="41">
        <f>J1836/60</f>
        <v/>
      </c>
      <c r="L1836" s="41">
        <f>IFERROR(J1836/H1836,"")</f>
        <v/>
      </c>
      <c r="M1836" s="25" t="inlineStr">
        <is>
          <t>2.5.12</t>
        </is>
      </c>
      <c r="N1836" s="25">
        <f>IF(J1836&gt;300,1,0)</f>
        <v/>
      </c>
      <c r="O1836" s="25">
        <f>IF(J1836&gt;600,1,0)</f>
        <v/>
      </c>
      <c r="P1836" s="25">
        <f>IF(H1836&gt;0,J1836,"")</f>
        <v/>
      </c>
      <c r="Q1836" s="25">
        <f>TEXT(A1836,"YYYY-MM-DD HH")</f>
        <v/>
      </c>
      <c r="R1836" s="25">
        <f>COUNTIF($Q$2:$Q$5295,Q1836)</f>
        <v/>
      </c>
      <c r="S1836" s="25">
        <f>IF(R1836&lt;=2,"1-2",IF(R1836&lt;=5,"3-5",IF(R1836&lt;=10,"6-10","11+")))</f>
        <v/>
      </c>
    </row>
    <row r="1837">
      <c r="A1837" s="39" t="n">
        <v>46170.75589120371</v>
      </c>
      <c r="B1837" s="25">
        <f>TEXT(A1837,"YYYY-MM")</f>
        <v/>
      </c>
      <c r="C1837" s="25">
        <f>TEXT(A1837,"MMM-YYYY")</f>
        <v/>
      </c>
      <c r="D1837" s="40">
        <f>INT(A1837)-WEEKDAY(A1837,2)+1</f>
        <v/>
      </c>
      <c r="E1837" s="25" t="inlineStr">
        <is>
          <t>ssarkar</t>
        </is>
      </c>
      <c r="F1837" s="25" t="n">
        <v>5983</v>
      </c>
      <c r="G1837" s="25" t="n">
        <v>1</v>
      </c>
      <c r="H1837" s="25" t="n">
        <v>7</v>
      </c>
      <c r="I1837" s="25" t="inlineStr">
        <is>
          <t>1 minute(s) and 54 second(s)</t>
        </is>
      </c>
      <c r="J1837" s="25">
        <f>IFERROR(VALUE(TRIM(LEFT(I1837,FIND("minute",I1837)-1)))*60,0)+IFERROR(VALUE(SUBSTITUTE(MID(I1837,IFERROR(FIND("and",I1837)+3,1),20),"second(s)","")),0)</f>
        <v/>
      </c>
      <c r="K1837" s="41">
        <f>J1837/60</f>
        <v/>
      </c>
      <c r="L1837" s="41">
        <f>IFERROR(J1837/H1837,"")</f>
        <v/>
      </c>
      <c r="M1837" s="25" t="inlineStr">
        <is>
          <t>2.5.12</t>
        </is>
      </c>
      <c r="N1837" s="25">
        <f>IF(J1837&gt;300,1,0)</f>
        <v/>
      </c>
      <c r="O1837" s="25">
        <f>IF(J1837&gt;600,1,0)</f>
        <v/>
      </c>
      <c r="P1837" s="25">
        <f>IF(H1837&gt;0,J1837,"")</f>
        <v/>
      </c>
      <c r="Q1837" s="25">
        <f>TEXT(A1837,"YYYY-MM-DD HH")</f>
        <v/>
      </c>
      <c r="R1837" s="25">
        <f>COUNTIF($Q$2:$Q$5295,Q1837)</f>
        <v/>
      </c>
      <c r="S1837" s="25">
        <f>IF(R1837&lt;=2,"1-2",IF(R1837&lt;=5,"3-5",IF(R1837&lt;=10,"6-10","11+")))</f>
        <v/>
      </c>
    </row>
    <row r="1838">
      <c r="A1838" s="39" t="n">
        <v>46170.75974537037</v>
      </c>
      <c r="B1838" s="25">
        <f>TEXT(A1838,"YYYY-MM")</f>
        <v/>
      </c>
      <c r="C1838" s="25">
        <f>TEXT(A1838,"MMM-YYYY")</f>
        <v/>
      </c>
      <c r="D1838" s="40">
        <f>INT(A1838)-WEEKDAY(A1838,2)+1</f>
        <v/>
      </c>
      <c r="E1838" s="25" t="inlineStr">
        <is>
          <t>psingh</t>
        </is>
      </c>
      <c r="F1838" s="25" t="n">
        <v>6182</v>
      </c>
      <c r="G1838" s="25" t="n">
        <v>1</v>
      </c>
      <c r="H1838" s="25" t="n">
        <v>7</v>
      </c>
      <c r="I1838" s="25" t="inlineStr">
        <is>
          <t>1 minute(s) and 40 second(s)</t>
        </is>
      </c>
      <c r="J1838" s="25">
        <f>IFERROR(VALUE(TRIM(LEFT(I1838,FIND("minute",I1838)-1)))*60,0)+IFERROR(VALUE(SUBSTITUTE(MID(I1838,IFERROR(FIND("and",I1838)+3,1),20),"second(s)","")),0)</f>
        <v/>
      </c>
      <c r="K1838" s="41">
        <f>J1838/60</f>
        <v/>
      </c>
      <c r="L1838" s="41">
        <f>IFERROR(J1838/H1838,"")</f>
        <v/>
      </c>
      <c r="M1838" s="25" t="inlineStr">
        <is>
          <t>2.5.12</t>
        </is>
      </c>
      <c r="N1838" s="25">
        <f>IF(J1838&gt;300,1,0)</f>
        <v/>
      </c>
      <c r="O1838" s="25">
        <f>IF(J1838&gt;600,1,0)</f>
        <v/>
      </c>
      <c r="P1838" s="25">
        <f>IF(H1838&gt;0,J1838,"")</f>
        <v/>
      </c>
      <c r="Q1838" s="25">
        <f>TEXT(A1838,"YYYY-MM-DD HH")</f>
        <v/>
      </c>
      <c r="R1838" s="25">
        <f>COUNTIF($Q$2:$Q$5295,Q1838)</f>
        <v/>
      </c>
      <c r="S1838" s="25">
        <f>IF(R1838&lt;=2,"1-2",IF(R1838&lt;=5,"3-5",IF(R1838&lt;=10,"6-10","11+")))</f>
        <v/>
      </c>
    </row>
    <row r="1839">
      <c r="A1839" s="39" t="n">
        <v>46170.77040509259</v>
      </c>
      <c r="B1839" s="25">
        <f>TEXT(A1839,"YYYY-MM")</f>
        <v/>
      </c>
      <c r="C1839" s="25">
        <f>TEXT(A1839,"MMM-YYYY")</f>
        <v/>
      </c>
      <c r="D1839" s="40">
        <f>INT(A1839)-WEEKDAY(A1839,2)+1</f>
        <v/>
      </c>
      <c r="E1839" s="25" t="inlineStr">
        <is>
          <t>emishra</t>
        </is>
      </c>
      <c r="F1839" s="25" t="n">
        <v>3303</v>
      </c>
      <c r="G1839" s="25" t="n">
        <v>1</v>
      </c>
      <c r="H1839" s="25" t="n">
        <v>5</v>
      </c>
      <c r="I1839" s="25" t="inlineStr">
        <is>
          <t>45 second(s)</t>
        </is>
      </c>
      <c r="J1839" s="25">
        <f>IFERROR(VALUE(TRIM(LEFT(I1839,FIND("minute",I1839)-1)))*60,0)+IFERROR(VALUE(SUBSTITUTE(MID(I1839,IFERROR(FIND("and",I1839)+3,1),20),"second(s)","")),0)</f>
        <v/>
      </c>
      <c r="K1839" s="41">
        <f>J1839/60</f>
        <v/>
      </c>
      <c r="L1839" s="41">
        <f>IFERROR(J1839/H1839,"")</f>
        <v/>
      </c>
      <c r="M1839" s="25" t="inlineStr">
        <is>
          <t>2.5.12</t>
        </is>
      </c>
      <c r="N1839" s="25">
        <f>IF(J1839&gt;300,1,0)</f>
        <v/>
      </c>
      <c r="O1839" s="25">
        <f>IF(J1839&gt;600,1,0)</f>
        <v/>
      </c>
      <c r="P1839" s="25">
        <f>IF(H1839&gt;0,J1839,"")</f>
        <v/>
      </c>
      <c r="Q1839" s="25">
        <f>TEXT(A1839,"YYYY-MM-DD HH")</f>
        <v/>
      </c>
      <c r="R1839" s="25">
        <f>COUNTIF($Q$2:$Q$5295,Q1839)</f>
        <v/>
      </c>
      <c r="S1839" s="25">
        <f>IF(R1839&lt;=2,"1-2",IF(R1839&lt;=5,"3-5",IF(R1839&lt;=10,"6-10","11+")))</f>
        <v/>
      </c>
    </row>
    <row r="1840">
      <c r="A1840" s="39" t="n">
        <v>46170.77820601852</v>
      </c>
      <c r="B1840" s="25">
        <f>TEXT(A1840,"YYYY-MM")</f>
        <v/>
      </c>
      <c r="C1840" s="25">
        <f>TEXT(A1840,"MMM-YYYY")</f>
        <v/>
      </c>
      <c r="D1840" s="40">
        <f>INT(A1840)-WEEKDAY(A1840,2)+1</f>
        <v/>
      </c>
      <c r="E1840" s="25" t="inlineStr">
        <is>
          <t>ssarkar</t>
        </is>
      </c>
      <c r="F1840" s="25" t="n">
        <v>5986</v>
      </c>
      <c r="G1840" s="25" t="n">
        <v>1</v>
      </c>
      <c r="H1840" s="25" t="n">
        <v>7</v>
      </c>
      <c r="I1840" s="25" t="inlineStr">
        <is>
          <t>1 minute(s) and 43 second(s)</t>
        </is>
      </c>
      <c r="J1840" s="25">
        <f>IFERROR(VALUE(TRIM(LEFT(I1840,FIND("minute",I1840)-1)))*60,0)+IFERROR(VALUE(SUBSTITUTE(MID(I1840,IFERROR(FIND("and",I1840)+3,1),20),"second(s)","")),0)</f>
        <v/>
      </c>
      <c r="K1840" s="41">
        <f>J1840/60</f>
        <v/>
      </c>
      <c r="L1840" s="41">
        <f>IFERROR(J1840/H1840,"")</f>
        <v/>
      </c>
      <c r="M1840" s="25" t="inlineStr">
        <is>
          <t>2.5.12</t>
        </is>
      </c>
      <c r="N1840" s="25">
        <f>IF(J1840&gt;300,1,0)</f>
        <v/>
      </c>
      <c r="O1840" s="25">
        <f>IF(J1840&gt;600,1,0)</f>
        <v/>
      </c>
      <c r="P1840" s="25">
        <f>IF(H1840&gt;0,J1840,"")</f>
        <v/>
      </c>
      <c r="Q1840" s="25">
        <f>TEXT(A1840,"YYYY-MM-DD HH")</f>
        <v/>
      </c>
      <c r="R1840" s="25">
        <f>COUNTIF($Q$2:$Q$5295,Q1840)</f>
        <v/>
      </c>
      <c r="S1840" s="25">
        <f>IF(R1840&lt;=2,"1-2",IF(R1840&lt;=5,"3-5",IF(R1840&lt;=10,"6-10","11+")))</f>
        <v/>
      </c>
    </row>
    <row r="1841">
      <c r="A1841" s="39" t="n">
        <v>46170.77875</v>
      </c>
      <c r="B1841" s="25">
        <f>TEXT(A1841,"YYYY-MM")</f>
        <v/>
      </c>
      <c r="C1841" s="25">
        <f>TEXT(A1841,"MMM-YYYY")</f>
        <v/>
      </c>
      <c r="D1841" s="40">
        <f>INT(A1841)-WEEKDAY(A1841,2)+1</f>
        <v/>
      </c>
      <c r="E1841" s="25" t="inlineStr">
        <is>
          <t>hsindwani</t>
        </is>
      </c>
      <c r="F1841" s="25" t="n">
        <v>5347</v>
      </c>
      <c r="G1841" s="25" t="n">
        <v>2</v>
      </c>
      <c r="H1841" s="25" t="n">
        <v>6</v>
      </c>
      <c r="I1841" s="25" t="inlineStr">
        <is>
          <t>2 minute(s) and 18 second(s)</t>
        </is>
      </c>
      <c r="J1841" s="25">
        <f>IFERROR(VALUE(TRIM(LEFT(I1841,FIND("minute",I1841)-1)))*60,0)+IFERROR(VALUE(SUBSTITUTE(MID(I1841,IFERROR(FIND("and",I1841)+3,1),20),"second(s)","")),0)</f>
        <v/>
      </c>
      <c r="K1841" s="41">
        <f>J1841/60</f>
        <v/>
      </c>
      <c r="L1841" s="41">
        <f>IFERROR(J1841/H1841,"")</f>
        <v/>
      </c>
      <c r="M1841" s="25" t="inlineStr">
        <is>
          <t>2.5.12</t>
        </is>
      </c>
      <c r="N1841" s="25">
        <f>IF(J1841&gt;300,1,0)</f>
        <v/>
      </c>
      <c r="O1841" s="25">
        <f>IF(J1841&gt;600,1,0)</f>
        <v/>
      </c>
      <c r="P1841" s="25">
        <f>IF(H1841&gt;0,J1841,"")</f>
        <v/>
      </c>
      <c r="Q1841" s="25">
        <f>TEXT(A1841,"YYYY-MM-DD HH")</f>
        <v/>
      </c>
      <c r="R1841" s="25">
        <f>COUNTIF($Q$2:$Q$5295,Q1841)</f>
        <v/>
      </c>
      <c r="S1841" s="25">
        <f>IF(R1841&lt;=2,"1-2",IF(R1841&lt;=5,"3-5",IF(R1841&lt;=10,"6-10","11+")))</f>
        <v/>
      </c>
    </row>
    <row r="1842">
      <c r="A1842" s="39" t="n">
        <v>46170.79108796296</v>
      </c>
      <c r="B1842" s="25">
        <f>TEXT(A1842,"YYYY-MM")</f>
        <v/>
      </c>
      <c r="C1842" s="25">
        <f>TEXT(A1842,"MMM-YYYY")</f>
        <v/>
      </c>
      <c r="D1842" s="40">
        <f>INT(A1842)-WEEKDAY(A1842,2)+1</f>
        <v/>
      </c>
      <c r="E1842" s="25" t="inlineStr">
        <is>
          <t>dchoudhury</t>
        </is>
      </c>
      <c r="F1842" s="25" t="n">
        <v>5564</v>
      </c>
      <c r="G1842" s="25" t="n">
        <v>1</v>
      </c>
      <c r="H1842" s="25" t="n">
        <v>7</v>
      </c>
      <c r="I1842" s="25" t="inlineStr">
        <is>
          <t>2 minute(s) and 28 second(s)</t>
        </is>
      </c>
      <c r="J1842" s="25">
        <f>IFERROR(VALUE(TRIM(LEFT(I1842,FIND("minute",I1842)-1)))*60,0)+IFERROR(VALUE(SUBSTITUTE(MID(I1842,IFERROR(FIND("and",I1842)+3,1),20),"second(s)","")),0)</f>
        <v/>
      </c>
      <c r="K1842" s="41">
        <f>J1842/60</f>
        <v/>
      </c>
      <c r="L1842" s="41">
        <f>IFERROR(J1842/H1842,"")</f>
        <v/>
      </c>
      <c r="M1842" s="25" t="inlineStr">
        <is>
          <t>2.5.12</t>
        </is>
      </c>
      <c r="N1842" s="25">
        <f>IF(J1842&gt;300,1,0)</f>
        <v/>
      </c>
      <c r="O1842" s="25">
        <f>IF(J1842&gt;600,1,0)</f>
        <v/>
      </c>
      <c r="P1842" s="25">
        <f>IF(H1842&gt;0,J1842,"")</f>
        <v/>
      </c>
      <c r="Q1842" s="25">
        <f>TEXT(A1842,"YYYY-MM-DD HH")</f>
        <v/>
      </c>
      <c r="R1842" s="25">
        <f>COUNTIF($Q$2:$Q$5295,Q1842)</f>
        <v/>
      </c>
      <c r="S1842" s="25">
        <f>IF(R1842&lt;=2,"1-2",IF(R1842&lt;=5,"3-5",IF(R1842&lt;=10,"6-10","11+")))</f>
        <v/>
      </c>
    </row>
    <row r="1843">
      <c r="A1843" s="39" t="n">
        <v>46170.81674768519</v>
      </c>
      <c r="B1843" s="25">
        <f>TEXT(A1843,"YYYY-MM")</f>
        <v/>
      </c>
      <c r="C1843" s="25">
        <f>TEXT(A1843,"MMM-YYYY")</f>
        <v/>
      </c>
      <c r="D1843" s="40">
        <f>INT(A1843)-WEEKDAY(A1843,2)+1</f>
        <v/>
      </c>
      <c r="E1843" s="25" t="inlineStr">
        <is>
          <t>ssarkar</t>
        </is>
      </c>
      <c r="F1843" s="25" t="n">
        <v>5987</v>
      </c>
      <c r="G1843" s="25" t="n">
        <v>1</v>
      </c>
      <c r="H1843" s="25" t="n">
        <v>7</v>
      </c>
      <c r="I1843" s="25" t="inlineStr">
        <is>
          <t>3 minute(s) and 9 second(s)</t>
        </is>
      </c>
      <c r="J1843" s="25">
        <f>IFERROR(VALUE(TRIM(LEFT(I1843,FIND("minute",I1843)-1)))*60,0)+IFERROR(VALUE(SUBSTITUTE(MID(I1843,IFERROR(FIND("and",I1843)+3,1),20),"second(s)","")),0)</f>
        <v/>
      </c>
      <c r="K1843" s="41">
        <f>J1843/60</f>
        <v/>
      </c>
      <c r="L1843" s="41">
        <f>IFERROR(J1843/H1843,"")</f>
        <v/>
      </c>
      <c r="M1843" s="25" t="inlineStr">
        <is>
          <t>2.5.12</t>
        </is>
      </c>
      <c r="N1843" s="25">
        <f>IF(J1843&gt;300,1,0)</f>
        <v/>
      </c>
      <c r="O1843" s="25">
        <f>IF(J1843&gt;600,1,0)</f>
        <v/>
      </c>
      <c r="P1843" s="25">
        <f>IF(H1843&gt;0,J1843,"")</f>
        <v/>
      </c>
      <c r="Q1843" s="25">
        <f>TEXT(A1843,"YYYY-MM-DD HH")</f>
        <v/>
      </c>
      <c r="R1843" s="25">
        <f>COUNTIF($Q$2:$Q$5295,Q1843)</f>
        <v/>
      </c>
      <c r="S1843" s="25">
        <f>IF(R1843&lt;=2,"1-2",IF(R1843&lt;=5,"3-5",IF(R1843&lt;=10,"6-10","11+")))</f>
        <v/>
      </c>
    </row>
    <row r="1844">
      <c r="A1844" s="39" t="n">
        <v>46170.83629629629</v>
      </c>
      <c r="B1844" s="25">
        <f>TEXT(A1844,"YYYY-MM")</f>
        <v/>
      </c>
      <c r="C1844" s="25">
        <f>TEXT(A1844,"MMM-YYYY")</f>
        <v/>
      </c>
      <c r="D1844" s="40">
        <f>INT(A1844)-WEEKDAY(A1844,2)+1</f>
        <v/>
      </c>
      <c r="E1844" s="25" t="inlineStr">
        <is>
          <t>dchoudhury</t>
        </is>
      </c>
      <c r="F1844" s="25" t="n">
        <v>5567</v>
      </c>
      <c r="G1844" s="25" t="n">
        <v>1</v>
      </c>
      <c r="H1844" s="25" t="n">
        <v>5</v>
      </c>
      <c r="I1844" s="25" t="inlineStr">
        <is>
          <t>1 minute(s) and 20 second(s)</t>
        </is>
      </c>
      <c r="J1844" s="25">
        <f>IFERROR(VALUE(TRIM(LEFT(I1844,FIND("minute",I1844)-1)))*60,0)+IFERROR(VALUE(SUBSTITUTE(MID(I1844,IFERROR(FIND("and",I1844)+3,1),20),"second(s)","")),0)</f>
        <v/>
      </c>
      <c r="K1844" s="41">
        <f>J1844/60</f>
        <v/>
      </c>
      <c r="L1844" s="41">
        <f>IFERROR(J1844/H1844,"")</f>
        <v/>
      </c>
      <c r="M1844" s="25" t="inlineStr">
        <is>
          <t>2.5.12</t>
        </is>
      </c>
      <c r="N1844" s="25">
        <f>IF(J1844&gt;300,1,0)</f>
        <v/>
      </c>
      <c r="O1844" s="25">
        <f>IF(J1844&gt;600,1,0)</f>
        <v/>
      </c>
      <c r="P1844" s="25">
        <f>IF(H1844&gt;0,J1844,"")</f>
        <v/>
      </c>
      <c r="Q1844" s="25">
        <f>TEXT(A1844,"YYYY-MM-DD HH")</f>
        <v/>
      </c>
      <c r="R1844" s="25">
        <f>COUNTIF($Q$2:$Q$5295,Q1844)</f>
        <v/>
      </c>
      <c r="S1844" s="25">
        <f>IF(R1844&lt;=2,"1-2",IF(R1844&lt;=5,"3-5",IF(R1844&lt;=10,"6-10","11+")))</f>
        <v/>
      </c>
    </row>
    <row r="1845">
      <c r="A1845" s="39" t="n">
        <v>46170.88336805555</v>
      </c>
      <c r="B1845" s="25">
        <f>TEXT(A1845,"YYYY-MM")</f>
        <v/>
      </c>
      <c r="C1845" s="25">
        <f>TEXT(A1845,"MMM-YYYY")</f>
        <v/>
      </c>
      <c r="D1845" s="40">
        <f>INT(A1845)-WEEKDAY(A1845,2)+1</f>
        <v/>
      </c>
      <c r="E1845" s="25" t="inlineStr">
        <is>
          <t>psingh</t>
        </is>
      </c>
      <c r="F1845" s="25" t="n">
        <v>6180</v>
      </c>
      <c r="G1845" s="25" t="n">
        <v>1</v>
      </c>
      <c r="H1845" s="25" t="n">
        <v>7</v>
      </c>
      <c r="I1845" s="25" t="inlineStr">
        <is>
          <t>3 minute(s) and 19 second(s)</t>
        </is>
      </c>
      <c r="J1845" s="25">
        <f>IFERROR(VALUE(TRIM(LEFT(I1845,FIND("minute",I1845)-1)))*60,0)+IFERROR(VALUE(SUBSTITUTE(MID(I1845,IFERROR(FIND("and",I1845)+3,1),20),"second(s)","")),0)</f>
        <v/>
      </c>
      <c r="K1845" s="41">
        <f>J1845/60</f>
        <v/>
      </c>
      <c r="L1845" s="41">
        <f>IFERROR(J1845/H1845,"")</f>
        <v/>
      </c>
      <c r="M1845" s="25" t="inlineStr">
        <is>
          <t>2.5.12</t>
        </is>
      </c>
      <c r="N1845" s="25">
        <f>IF(J1845&gt;300,1,0)</f>
        <v/>
      </c>
      <c r="O1845" s="25">
        <f>IF(J1845&gt;600,1,0)</f>
        <v/>
      </c>
      <c r="P1845" s="25">
        <f>IF(H1845&gt;0,J1845,"")</f>
        <v/>
      </c>
      <c r="Q1845" s="25">
        <f>TEXT(A1845,"YYYY-MM-DD HH")</f>
        <v/>
      </c>
      <c r="R1845" s="25">
        <f>COUNTIF($Q$2:$Q$5295,Q1845)</f>
        <v/>
      </c>
      <c r="S1845" s="25">
        <f>IF(R1845&lt;=2,"1-2",IF(R1845&lt;=5,"3-5",IF(R1845&lt;=10,"6-10","11+")))</f>
        <v/>
      </c>
    </row>
    <row r="1846">
      <c r="A1846" s="39" t="n">
        <v>46170.88693287037</v>
      </c>
      <c r="B1846" s="25">
        <f>TEXT(A1846,"YYYY-MM")</f>
        <v/>
      </c>
      <c r="C1846" s="25">
        <f>TEXT(A1846,"MMM-YYYY")</f>
        <v/>
      </c>
      <c r="D1846" s="40">
        <f>INT(A1846)-WEEKDAY(A1846,2)+1</f>
        <v/>
      </c>
      <c r="E1846" s="25" t="inlineStr">
        <is>
          <t>dchoudhury</t>
        </is>
      </c>
      <c r="F1846" s="25" t="n">
        <v>5570</v>
      </c>
      <c r="G1846" s="25" t="n">
        <v>1</v>
      </c>
      <c r="H1846" s="25" t="n">
        <v>7</v>
      </c>
      <c r="I1846" s="25" t="inlineStr">
        <is>
          <t>3 minute(s) and 17 second(s)</t>
        </is>
      </c>
      <c r="J1846" s="25">
        <f>IFERROR(VALUE(TRIM(LEFT(I1846,FIND("minute",I1846)-1)))*60,0)+IFERROR(VALUE(SUBSTITUTE(MID(I1846,IFERROR(FIND("and",I1846)+3,1),20),"second(s)","")),0)</f>
        <v/>
      </c>
      <c r="K1846" s="41">
        <f>J1846/60</f>
        <v/>
      </c>
      <c r="L1846" s="41">
        <f>IFERROR(J1846/H1846,"")</f>
        <v/>
      </c>
      <c r="M1846" s="25" t="inlineStr">
        <is>
          <t>2.5.12</t>
        </is>
      </c>
      <c r="N1846" s="25">
        <f>IF(J1846&gt;300,1,0)</f>
        <v/>
      </c>
      <c r="O1846" s="25">
        <f>IF(J1846&gt;600,1,0)</f>
        <v/>
      </c>
      <c r="P1846" s="25">
        <f>IF(H1846&gt;0,J1846,"")</f>
        <v/>
      </c>
      <c r="Q1846" s="25">
        <f>TEXT(A1846,"YYYY-MM-DD HH")</f>
        <v/>
      </c>
      <c r="R1846" s="25">
        <f>COUNTIF($Q$2:$Q$5295,Q1846)</f>
        <v/>
      </c>
      <c r="S1846" s="25">
        <f>IF(R1846&lt;=2,"1-2",IF(R1846&lt;=5,"3-5",IF(R1846&lt;=10,"6-10","11+")))</f>
        <v/>
      </c>
    </row>
    <row r="1847">
      <c r="A1847" s="39" t="n">
        <v>46170.92671296297</v>
      </c>
      <c r="B1847" s="25">
        <f>TEXT(A1847,"YYYY-MM")</f>
        <v/>
      </c>
      <c r="C1847" s="25">
        <f>TEXT(A1847,"MMM-YYYY")</f>
        <v/>
      </c>
      <c r="D1847" s="40">
        <f>INT(A1847)-WEEKDAY(A1847,2)+1</f>
        <v/>
      </c>
      <c r="E1847" s="25" t="inlineStr">
        <is>
          <t>dchoudhury</t>
        </is>
      </c>
      <c r="F1847" s="25" t="n">
        <v>5571</v>
      </c>
      <c r="G1847" s="25" t="n">
        <v>1</v>
      </c>
      <c r="H1847" s="25" t="n">
        <v>5</v>
      </c>
      <c r="I1847" s="25" t="inlineStr">
        <is>
          <t>3 minute(s) and 25 second(s)</t>
        </is>
      </c>
      <c r="J1847" s="25">
        <f>IFERROR(VALUE(TRIM(LEFT(I1847,FIND("minute",I1847)-1)))*60,0)+IFERROR(VALUE(SUBSTITUTE(MID(I1847,IFERROR(FIND("and",I1847)+3,1),20),"second(s)","")),0)</f>
        <v/>
      </c>
      <c r="K1847" s="41">
        <f>J1847/60</f>
        <v/>
      </c>
      <c r="L1847" s="41">
        <f>IFERROR(J1847/H1847,"")</f>
        <v/>
      </c>
      <c r="M1847" s="25" t="inlineStr">
        <is>
          <t>2.5.12</t>
        </is>
      </c>
      <c r="N1847" s="25">
        <f>IF(J1847&gt;300,1,0)</f>
        <v/>
      </c>
      <c r="O1847" s="25">
        <f>IF(J1847&gt;600,1,0)</f>
        <v/>
      </c>
      <c r="P1847" s="25">
        <f>IF(H1847&gt;0,J1847,"")</f>
        <v/>
      </c>
      <c r="Q1847" s="25">
        <f>TEXT(A1847,"YYYY-MM-DD HH")</f>
        <v/>
      </c>
      <c r="R1847" s="25">
        <f>COUNTIF($Q$2:$Q$5295,Q1847)</f>
        <v/>
      </c>
      <c r="S1847" s="25">
        <f>IF(R1847&lt;=2,"1-2",IF(R1847&lt;=5,"3-5",IF(R1847&lt;=10,"6-10","11+")))</f>
        <v/>
      </c>
    </row>
    <row r="1848">
      <c r="A1848" s="39" t="n">
        <v>46170.98324074074</v>
      </c>
      <c r="B1848" s="25">
        <f>TEXT(A1848,"YYYY-MM")</f>
        <v/>
      </c>
      <c r="C1848" s="25">
        <f>TEXT(A1848,"MMM-YYYY")</f>
        <v/>
      </c>
      <c r="D1848" s="40">
        <f>INT(A1848)-WEEKDAY(A1848,2)+1</f>
        <v/>
      </c>
      <c r="E1848" s="25" t="inlineStr">
        <is>
          <t>dchoudhury</t>
        </is>
      </c>
      <c r="F1848" s="25" t="n">
        <v>5573</v>
      </c>
      <c r="G1848" s="25" t="n">
        <v>1</v>
      </c>
      <c r="H1848" s="25" t="n">
        <v>5</v>
      </c>
      <c r="I1848" s="25" t="inlineStr">
        <is>
          <t>1 minute(s) and 33 second(s)</t>
        </is>
      </c>
      <c r="J1848" s="25">
        <f>IFERROR(VALUE(TRIM(LEFT(I1848,FIND("minute",I1848)-1)))*60,0)+IFERROR(VALUE(SUBSTITUTE(MID(I1848,IFERROR(FIND("and",I1848)+3,1),20),"second(s)","")),0)</f>
        <v/>
      </c>
      <c r="K1848" s="41">
        <f>J1848/60</f>
        <v/>
      </c>
      <c r="L1848" s="41">
        <f>IFERROR(J1848/H1848,"")</f>
        <v/>
      </c>
      <c r="M1848" s="25" t="inlineStr">
        <is>
          <t>2.5.12</t>
        </is>
      </c>
      <c r="N1848" s="25">
        <f>IF(J1848&gt;300,1,0)</f>
        <v/>
      </c>
      <c r="O1848" s="25">
        <f>IF(J1848&gt;600,1,0)</f>
        <v/>
      </c>
      <c r="P1848" s="25">
        <f>IF(H1848&gt;0,J1848,"")</f>
        <v/>
      </c>
      <c r="Q1848" s="25">
        <f>TEXT(A1848,"YYYY-MM-DD HH")</f>
        <v/>
      </c>
      <c r="R1848" s="25">
        <f>COUNTIF($Q$2:$Q$5295,Q1848)</f>
        <v/>
      </c>
      <c r="S1848" s="25">
        <f>IF(R1848&lt;=2,"1-2",IF(R1848&lt;=5,"3-5",IF(R1848&lt;=10,"6-10","11+")))</f>
        <v/>
      </c>
    </row>
    <row r="1849">
      <c r="A1849" s="39" t="n">
        <v>46171.01935185185</v>
      </c>
      <c r="B1849" s="25">
        <f>TEXT(A1849,"YYYY-MM")</f>
        <v/>
      </c>
      <c r="C1849" s="25">
        <f>TEXT(A1849,"MMM-YYYY")</f>
        <v/>
      </c>
      <c r="D1849" s="40">
        <f>INT(A1849)-WEEKDAY(A1849,2)+1</f>
        <v/>
      </c>
      <c r="E1849" s="25" t="inlineStr">
        <is>
          <t>asahoo</t>
        </is>
      </c>
      <c r="F1849" s="25" t="n">
        <v>5014</v>
      </c>
      <c r="G1849" s="25" t="n">
        <v>1</v>
      </c>
      <c r="H1849" s="25" t="n">
        <v>7</v>
      </c>
      <c r="I1849" s="25" t="inlineStr">
        <is>
          <t>1 minute(s) and 32 second(s)</t>
        </is>
      </c>
      <c r="J1849" s="25">
        <f>IFERROR(VALUE(TRIM(LEFT(I1849,FIND("minute",I1849)-1)))*60,0)+IFERROR(VALUE(SUBSTITUTE(MID(I1849,IFERROR(FIND("and",I1849)+3,1),20),"second(s)","")),0)</f>
        <v/>
      </c>
      <c r="K1849" s="41">
        <f>J1849/60</f>
        <v/>
      </c>
      <c r="L1849" s="41">
        <f>IFERROR(J1849/H1849,"")</f>
        <v/>
      </c>
      <c r="M1849" s="25" t="inlineStr">
        <is>
          <t>2.5.12</t>
        </is>
      </c>
      <c r="N1849" s="25">
        <f>IF(J1849&gt;300,1,0)</f>
        <v/>
      </c>
      <c r="O1849" s="25">
        <f>IF(J1849&gt;600,1,0)</f>
        <v/>
      </c>
      <c r="P1849" s="25">
        <f>IF(H1849&gt;0,J1849,"")</f>
        <v/>
      </c>
      <c r="Q1849" s="25">
        <f>TEXT(A1849,"YYYY-MM-DD HH")</f>
        <v/>
      </c>
      <c r="R1849" s="25">
        <f>COUNTIF($Q$2:$Q$5295,Q1849)</f>
        <v/>
      </c>
      <c r="S1849" s="25">
        <f>IF(R1849&lt;=2,"1-2",IF(R1849&lt;=5,"3-5",IF(R1849&lt;=10,"6-10","11+")))</f>
        <v/>
      </c>
    </row>
    <row r="1850">
      <c r="A1850" s="39" t="n">
        <v>46171.03752314814</v>
      </c>
      <c r="B1850" s="25">
        <f>TEXT(A1850,"YYYY-MM")</f>
        <v/>
      </c>
      <c r="C1850" s="25">
        <f>TEXT(A1850,"MMM-YYYY")</f>
        <v/>
      </c>
      <c r="D1850" s="40">
        <f>INT(A1850)-WEEKDAY(A1850,2)+1</f>
        <v/>
      </c>
      <c r="E1850" s="25" t="inlineStr">
        <is>
          <t>asahoo</t>
        </is>
      </c>
      <c r="F1850" s="25" t="n">
        <v>5017</v>
      </c>
      <c r="G1850" s="25" t="n">
        <v>1</v>
      </c>
      <c r="H1850" s="25" t="n">
        <v>5</v>
      </c>
      <c r="I1850" s="25" t="inlineStr">
        <is>
          <t>1 minute(s) and 10 second(s)</t>
        </is>
      </c>
      <c r="J1850" s="25">
        <f>IFERROR(VALUE(TRIM(LEFT(I1850,FIND("minute",I1850)-1)))*60,0)+IFERROR(VALUE(SUBSTITUTE(MID(I1850,IFERROR(FIND("and",I1850)+3,1),20),"second(s)","")),0)</f>
        <v/>
      </c>
      <c r="K1850" s="41">
        <f>J1850/60</f>
        <v/>
      </c>
      <c r="L1850" s="41">
        <f>IFERROR(J1850/H1850,"")</f>
        <v/>
      </c>
      <c r="M1850" s="25" t="inlineStr">
        <is>
          <t>2.5.12</t>
        </is>
      </c>
      <c r="N1850" s="25">
        <f>IF(J1850&gt;300,1,0)</f>
        <v/>
      </c>
      <c r="O1850" s="25">
        <f>IF(J1850&gt;600,1,0)</f>
        <v/>
      </c>
      <c r="P1850" s="25">
        <f>IF(H1850&gt;0,J1850,"")</f>
        <v/>
      </c>
      <c r="Q1850" s="25">
        <f>TEXT(A1850,"YYYY-MM-DD HH")</f>
        <v/>
      </c>
      <c r="R1850" s="25">
        <f>COUNTIF($Q$2:$Q$5295,Q1850)</f>
        <v/>
      </c>
      <c r="S1850" s="25">
        <f>IF(R1850&lt;=2,"1-2",IF(R1850&lt;=5,"3-5",IF(R1850&lt;=10,"6-10","11+")))</f>
        <v/>
      </c>
    </row>
    <row r="1851">
      <c r="A1851" s="39" t="n">
        <v>46171.04620370371</v>
      </c>
      <c r="B1851" s="25">
        <f>TEXT(A1851,"YYYY-MM")</f>
        <v/>
      </c>
      <c r="C1851" s="25">
        <f>TEXT(A1851,"MMM-YYYY")</f>
        <v/>
      </c>
      <c r="D1851" s="40">
        <f>INT(A1851)-WEEKDAY(A1851,2)+1</f>
        <v/>
      </c>
      <c r="E1851" s="25" t="inlineStr">
        <is>
          <t>arsarkar</t>
        </is>
      </c>
      <c r="F1851" s="25" t="n">
        <v>6259</v>
      </c>
      <c r="G1851" s="25" t="n">
        <v>1</v>
      </c>
      <c r="H1851" s="25" t="n">
        <v>7</v>
      </c>
      <c r="I1851" s="25" t="inlineStr">
        <is>
          <t>3 minute(s) and 12 second(s)</t>
        </is>
      </c>
      <c r="J1851" s="25">
        <f>IFERROR(VALUE(TRIM(LEFT(I1851,FIND("minute",I1851)-1)))*60,0)+IFERROR(VALUE(SUBSTITUTE(MID(I1851,IFERROR(FIND("and",I1851)+3,1),20),"second(s)","")),0)</f>
        <v/>
      </c>
      <c r="K1851" s="41">
        <f>J1851/60</f>
        <v/>
      </c>
      <c r="L1851" s="41">
        <f>IFERROR(J1851/H1851,"")</f>
        <v/>
      </c>
      <c r="M1851" s="25" t="inlineStr">
        <is>
          <t>2.5.12</t>
        </is>
      </c>
      <c r="N1851" s="25">
        <f>IF(J1851&gt;300,1,0)</f>
        <v/>
      </c>
      <c r="O1851" s="25">
        <f>IF(J1851&gt;600,1,0)</f>
        <v/>
      </c>
      <c r="P1851" s="25">
        <f>IF(H1851&gt;0,J1851,"")</f>
        <v/>
      </c>
      <c r="Q1851" s="25">
        <f>TEXT(A1851,"YYYY-MM-DD HH")</f>
        <v/>
      </c>
      <c r="R1851" s="25">
        <f>COUNTIF($Q$2:$Q$5295,Q1851)</f>
        <v/>
      </c>
      <c r="S1851" s="25">
        <f>IF(R1851&lt;=2,"1-2",IF(R1851&lt;=5,"3-5",IF(R1851&lt;=10,"6-10","11+")))</f>
        <v/>
      </c>
    </row>
    <row r="1852">
      <c r="A1852" s="39" t="n">
        <v>46171.07364583333</v>
      </c>
      <c r="B1852" s="25">
        <f>TEXT(A1852,"YYYY-MM")</f>
        <v/>
      </c>
      <c r="C1852" s="25">
        <f>TEXT(A1852,"MMM-YYYY")</f>
        <v/>
      </c>
      <c r="D1852" s="40">
        <f>INT(A1852)-WEEKDAY(A1852,2)+1</f>
        <v/>
      </c>
      <c r="E1852" s="25" t="inlineStr">
        <is>
          <t>ns</t>
        </is>
      </c>
      <c r="F1852" s="25" t="n">
        <v>5184</v>
      </c>
      <c r="G1852" s="25" t="n">
        <v>1</v>
      </c>
      <c r="H1852" s="25" t="n">
        <v>5</v>
      </c>
      <c r="I1852" s="25" t="inlineStr">
        <is>
          <t>2 minute(s) and 11 second(s)</t>
        </is>
      </c>
      <c r="J1852" s="25">
        <f>IFERROR(VALUE(TRIM(LEFT(I1852,FIND("minute",I1852)-1)))*60,0)+IFERROR(VALUE(SUBSTITUTE(MID(I1852,IFERROR(FIND("and",I1852)+3,1),20),"second(s)","")),0)</f>
        <v/>
      </c>
      <c r="K1852" s="41">
        <f>J1852/60</f>
        <v/>
      </c>
      <c r="L1852" s="41">
        <f>IFERROR(J1852/H1852,"")</f>
        <v/>
      </c>
      <c r="M1852" s="25" t="inlineStr">
        <is>
          <t>2.5.12</t>
        </is>
      </c>
      <c r="N1852" s="25">
        <f>IF(J1852&gt;300,1,0)</f>
        <v/>
      </c>
      <c r="O1852" s="25">
        <f>IF(J1852&gt;600,1,0)</f>
        <v/>
      </c>
      <c r="P1852" s="25">
        <f>IF(H1852&gt;0,J1852,"")</f>
        <v/>
      </c>
      <c r="Q1852" s="25">
        <f>TEXT(A1852,"YYYY-MM-DD HH")</f>
        <v/>
      </c>
      <c r="R1852" s="25">
        <f>COUNTIF($Q$2:$Q$5295,Q1852)</f>
        <v/>
      </c>
      <c r="S1852" s="25">
        <f>IF(R1852&lt;=2,"1-2",IF(R1852&lt;=5,"3-5",IF(R1852&lt;=10,"6-10","11+")))</f>
        <v/>
      </c>
    </row>
    <row r="1853">
      <c r="A1853" s="39" t="n">
        <v>46171.08423611111</v>
      </c>
      <c r="B1853" s="25">
        <f>TEXT(A1853,"YYYY-MM")</f>
        <v/>
      </c>
      <c r="C1853" s="25">
        <f>TEXT(A1853,"MMM-YYYY")</f>
        <v/>
      </c>
      <c r="D1853" s="40">
        <f>INT(A1853)-WEEKDAY(A1853,2)+1</f>
        <v/>
      </c>
      <c r="E1853" s="25" t="inlineStr">
        <is>
          <t>ethomas</t>
        </is>
      </c>
      <c r="F1853" s="25" t="n">
        <v>5428</v>
      </c>
      <c r="G1853" s="25" t="n">
        <v>3</v>
      </c>
      <c r="H1853" s="25" t="n">
        <v>9</v>
      </c>
      <c r="I1853" s="25" t="inlineStr">
        <is>
          <t>1 minute(s) and 42 second(s)</t>
        </is>
      </c>
      <c r="J1853" s="25">
        <f>IFERROR(VALUE(TRIM(LEFT(I1853,FIND("minute",I1853)-1)))*60,0)+IFERROR(VALUE(SUBSTITUTE(MID(I1853,IFERROR(FIND("and",I1853)+3,1),20),"second(s)","")),0)</f>
        <v/>
      </c>
      <c r="K1853" s="41">
        <f>J1853/60</f>
        <v/>
      </c>
      <c r="L1853" s="41">
        <f>IFERROR(J1853/H1853,"")</f>
        <v/>
      </c>
      <c r="M1853" s="25" t="inlineStr">
        <is>
          <t>2.5.12</t>
        </is>
      </c>
      <c r="N1853" s="25">
        <f>IF(J1853&gt;300,1,0)</f>
        <v/>
      </c>
      <c r="O1853" s="25">
        <f>IF(J1853&gt;600,1,0)</f>
        <v/>
      </c>
      <c r="P1853" s="25">
        <f>IF(H1853&gt;0,J1853,"")</f>
        <v/>
      </c>
      <c r="Q1853" s="25">
        <f>TEXT(A1853,"YYYY-MM-DD HH")</f>
        <v/>
      </c>
      <c r="R1853" s="25">
        <f>COUNTIF($Q$2:$Q$5295,Q1853)</f>
        <v/>
      </c>
      <c r="S1853" s="25">
        <f>IF(R1853&lt;=2,"1-2",IF(R1853&lt;=5,"3-5",IF(R1853&lt;=10,"6-10","11+")))</f>
        <v/>
      </c>
    </row>
    <row r="1854">
      <c r="A1854" s="39" t="n">
        <v>46171.08943287037</v>
      </c>
      <c r="B1854" s="25">
        <f>TEXT(A1854,"YYYY-MM")</f>
        <v/>
      </c>
      <c r="C1854" s="25">
        <f>TEXT(A1854,"MMM-YYYY")</f>
        <v/>
      </c>
      <c r="D1854" s="40">
        <f>INT(A1854)-WEEKDAY(A1854,2)+1</f>
        <v/>
      </c>
      <c r="E1854" s="25" t="inlineStr">
        <is>
          <t>arsarkar</t>
        </is>
      </c>
      <c r="F1854" s="25" t="n">
        <v>6261</v>
      </c>
      <c r="G1854" s="25" t="n">
        <v>1</v>
      </c>
      <c r="H1854" s="25" t="n">
        <v>7</v>
      </c>
      <c r="I1854" s="25" t="inlineStr">
        <is>
          <t>2 minute(s) and 3 second(s)</t>
        </is>
      </c>
      <c r="J1854" s="25">
        <f>IFERROR(VALUE(TRIM(LEFT(I1854,FIND("minute",I1854)-1)))*60,0)+IFERROR(VALUE(SUBSTITUTE(MID(I1854,IFERROR(FIND("and",I1854)+3,1),20),"second(s)","")),0)</f>
        <v/>
      </c>
      <c r="K1854" s="41">
        <f>J1854/60</f>
        <v/>
      </c>
      <c r="L1854" s="41">
        <f>IFERROR(J1854/H1854,"")</f>
        <v/>
      </c>
      <c r="M1854" s="25" t="inlineStr">
        <is>
          <t>2.5.12</t>
        </is>
      </c>
      <c r="N1854" s="25">
        <f>IF(J1854&gt;300,1,0)</f>
        <v/>
      </c>
      <c r="O1854" s="25">
        <f>IF(J1854&gt;600,1,0)</f>
        <v/>
      </c>
      <c r="P1854" s="25">
        <f>IF(H1854&gt;0,J1854,"")</f>
        <v/>
      </c>
      <c r="Q1854" s="25">
        <f>TEXT(A1854,"YYYY-MM-DD HH")</f>
        <v/>
      </c>
      <c r="R1854" s="25">
        <f>COUNTIF($Q$2:$Q$5295,Q1854)</f>
        <v/>
      </c>
      <c r="S1854" s="25">
        <f>IF(R1854&lt;=2,"1-2",IF(R1854&lt;=5,"3-5",IF(R1854&lt;=10,"6-10","11+")))</f>
        <v/>
      </c>
    </row>
    <row r="1855">
      <c r="A1855" s="39" t="n">
        <v>46171.10457175926</v>
      </c>
      <c r="B1855" s="25">
        <f>TEXT(A1855,"YYYY-MM")</f>
        <v/>
      </c>
      <c r="C1855" s="25">
        <f>TEXT(A1855,"MMM-YYYY")</f>
        <v/>
      </c>
      <c r="D1855" s="40">
        <f>INT(A1855)-WEEKDAY(A1855,2)+1</f>
        <v/>
      </c>
      <c r="E1855" s="25" t="inlineStr">
        <is>
          <t>csaha</t>
        </is>
      </c>
      <c r="F1855" s="25" t="n">
        <v>6141</v>
      </c>
      <c r="G1855" s="25" t="n">
        <v>1</v>
      </c>
      <c r="H1855" s="25" t="n">
        <v>7</v>
      </c>
      <c r="I1855" s="25" t="inlineStr">
        <is>
          <t>1 minute(s) and 52 second(s)</t>
        </is>
      </c>
      <c r="J1855" s="25">
        <f>IFERROR(VALUE(TRIM(LEFT(I1855,FIND("minute",I1855)-1)))*60,0)+IFERROR(VALUE(SUBSTITUTE(MID(I1855,IFERROR(FIND("and",I1855)+3,1),20),"second(s)","")),0)</f>
        <v/>
      </c>
      <c r="K1855" s="41">
        <f>J1855/60</f>
        <v/>
      </c>
      <c r="L1855" s="41">
        <f>IFERROR(J1855/H1855,"")</f>
        <v/>
      </c>
      <c r="M1855" s="25" t="inlineStr">
        <is>
          <t>2.5.12</t>
        </is>
      </c>
      <c r="N1855" s="25">
        <f>IF(J1855&gt;300,1,0)</f>
        <v/>
      </c>
      <c r="O1855" s="25">
        <f>IF(J1855&gt;600,1,0)</f>
        <v/>
      </c>
      <c r="P1855" s="25">
        <f>IF(H1855&gt;0,J1855,"")</f>
        <v/>
      </c>
      <c r="Q1855" s="25">
        <f>TEXT(A1855,"YYYY-MM-DD HH")</f>
        <v/>
      </c>
      <c r="R1855" s="25">
        <f>COUNTIF($Q$2:$Q$5295,Q1855)</f>
        <v/>
      </c>
      <c r="S1855" s="25">
        <f>IF(R1855&lt;=2,"1-2",IF(R1855&lt;=5,"3-5",IF(R1855&lt;=10,"6-10","11+")))</f>
        <v/>
      </c>
    </row>
    <row r="1856">
      <c r="A1856" s="39" t="n">
        <v>46171.10572916667</v>
      </c>
      <c r="B1856" s="25">
        <f>TEXT(A1856,"YYYY-MM")</f>
        <v/>
      </c>
      <c r="C1856" s="25">
        <f>TEXT(A1856,"MMM-YYYY")</f>
        <v/>
      </c>
      <c r="D1856" s="40">
        <f>INT(A1856)-WEEKDAY(A1856,2)+1</f>
        <v/>
      </c>
      <c r="E1856" s="25" t="inlineStr">
        <is>
          <t>atiwari</t>
        </is>
      </c>
      <c r="F1856" s="25" t="n">
        <v>5327</v>
      </c>
      <c r="G1856" s="25" t="n">
        <v>1</v>
      </c>
      <c r="H1856" s="25" t="n">
        <v>5</v>
      </c>
      <c r="I1856" s="25" t="inlineStr">
        <is>
          <t>2 minute(s) and 23 second(s)</t>
        </is>
      </c>
      <c r="J1856" s="25">
        <f>IFERROR(VALUE(TRIM(LEFT(I1856,FIND("minute",I1856)-1)))*60,0)+IFERROR(VALUE(SUBSTITUTE(MID(I1856,IFERROR(FIND("and",I1856)+3,1),20),"second(s)","")),0)</f>
        <v/>
      </c>
      <c r="K1856" s="41">
        <f>J1856/60</f>
        <v/>
      </c>
      <c r="L1856" s="41">
        <f>IFERROR(J1856/H1856,"")</f>
        <v/>
      </c>
      <c r="M1856" s="25" t="inlineStr">
        <is>
          <t>2.5.12</t>
        </is>
      </c>
      <c r="N1856" s="25">
        <f>IF(J1856&gt;300,1,0)</f>
        <v/>
      </c>
      <c r="O1856" s="25">
        <f>IF(J1856&gt;600,1,0)</f>
        <v/>
      </c>
      <c r="P1856" s="25">
        <f>IF(H1856&gt;0,J1856,"")</f>
        <v/>
      </c>
      <c r="Q1856" s="25">
        <f>TEXT(A1856,"YYYY-MM-DD HH")</f>
        <v/>
      </c>
      <c r="R1856" s="25">
        <f>COUNTIF($Q$2:$Q$5295,Q1856)</f>
        <v/>
      </c>
      <c r="S1856" s="25">
        <f>IF(R1856&lt;=2,"1-2",IF(R1856&lt;=5,"3-5",IF(R1856&lt;=10,"6-10","11+")))</f>
        <v/>
      </c>
    </row>
    <row r="1857">
      <c r="A1857" s="39" t="n">
        <v>46171.10728009259</v>
      </c>
      <c r="B1857" s="25">
        <f>TEXT(A1857,"YYYY-MM")</f>
        <v/>
      </c>
      <c r="C1857" s="25">
        <f>TEXT(A1857,"MMM-YYYY")</f>
        <v/>
      </c>
      <c r="D1857" s="40">
        <f>INT(A1857)-WEEKDAY(A1857,2)+1</f>
        <v/>
      </c>
      <c r="E1857" s="25" t="inlineStr">
        <is>
          <t>stiwari</t>
        </is>
      </c>
      <c r="F1857" s="25" t="n">
        <v>5087</v>
      </c>
      <c r="G1857" s="25" t="n">
        <v>1</v>
      </c>
      <c r="H1857" s="25" t="n">
        <v>5</v>
      </c>
      <c r="I1857" s="25" t="inlineStr">
        <is>
          <t>2 minute(s) and 14 second(s)</t>
        </is>
      </c>
      <c r="J1857" s="25">
        <f>IFERROR(VALUE(TRIM(LEFT(I1857,FIND("minute",I1857)-1)))*60,0)+IFERROR(VALUE(SUBSTITUTE(MID(I1857,IFERROR(FIND("and",I1857)+3,1),20),"second(s)","")),0)</f>
        <v/>
      </c>
      <c r="K1857" s="41">
        <f>J1857/60</f>
        <v/>
      </c>
      <c r="L1857" s="41">
        <f>IFERROR(J1857/H1857,"")</f>
        <v/>
      </c>
      <c r="M1857" s="25" t="inlineStr">
        <is>
          <t>2.5.12</t>
        </is>
      </c>
      <c r="N1857" s="25">
        <f>IF(J1857&gt;300,1,0)</f>
        <v/>
      </c>
      <c r="O1857" s="25">
        <f>IF(J1857&gt;600,1,0)</f>
        <v/>
      </c>
      <c r="P1857" s="25">
        <f>IF(H1857&gt;0,J1857,"")</f>
        <v/>
      </c>
      <c r="Q1857" s="25">
        <f>TEXT(A1857,"YYYY-MM-DD HH")</f>
        <v/>
      </c>
      <c r="R1857" s="25">
        <f>COUNTIF($Q$2:$Q$5295,Q1857)</f>
        <v/>
      </c>
      <c r="S1857" s="25">
        <f>IF(R1857&lt;=2,"1-2",IF(R1857&lt;=5,"3-5",IF(R1857&lt;=10,"6-10","11+")))</f>
        <v/>
      </c>
    </row>
    <row r="1858">
      <c r="A1858" s="39" t="n">
        <v>46171.10826388889</v>
      </c>
      <c r="B1858" s="25">
        <f>TEXT(A1858,"YYYY-MM")</f>
        <v/>
      </c>
      <c r="C1858" s="25">
        <f>TEXT(A1858,"MMM-YYYY")</f>
        <v/>
      </c>
      <c r="D1858" s="40">
        <f>INT(A1858)-WEEKDAY(A1858,2)+1</f>
        <v/>
      </c>
      <c r="E1858" s="25" t="inlineStr">
        <is>
          <t>mbohra</t>
        </is>
      </c>
      <c r="F1858" s="25" t="n">
        <v>112770</v>
      </c>
      <c r="G1858" s="25" t="n">
        <v>2</v>
      </c>
      <c r="H1858" s="25" t="n">
        <v>6</v>
      </c>
      <c r="I1858" s="25" t="inlineStr">
        <is>
          <t>3 minute(s) and 14 second(s)</t>
        </is>
      </c>
      <c r="J1858" s="25">
        <f>IFERROR(VALUE(TRIM(LEFT(I1858,FIND("minute",I1858)-1)))*60,0)+IFERROR(VALUE(SUBSTITUTE(MID(I1858,IFERROR(FIND("and",I1858)+3,1),20),"second(s)","")),0)</f>
        <v/>
      </c>
      <c r="K1858" s="41">
        <f>J1858/60</f>
        <v/>
      </c>
      <c r="L1858" s="41">
        <f>IFERROR(J1858/H1858,"")</f>
        <v/>
      </c>
      <c r="M1858" s="25" t="inlineStr">
        <is>
          <t>2.5.12</t>
        </is>
      </c>
      <c r="N1858" s="25">
        <f>IF(J1858&gt;300,1,0)</f>
        <v/>
      </c>
      <c r="O1858" s="25">
        <f>IF(J1858&gt;600,1,0)</f>
        <v/>
      </c>
      <c r="P1858" s="25">
        <f>IF(H1858&gt;0,J1858,"")</f>
        <v/>
      </c>
      <c r="Q1858" s="25">
        <f>TEXT(A1858,"YYYY-MM-DD HH")</f>
        <v/>
      </c>
      <c r="R1858" s="25">
        <f>COUNTIF($Q$2:$Q$5295,Q1858)</f>
        <v/>
      </c>
      <c r="S1858" s="25">
        <f>IF(R1858&lt;=2,"1-2",IF(R1858&lt;=5,"3-5",IF(R1858&lt;=10,"6-10","11+")))</f>
        <v/>
      </c>
    </row>
    <row r="1859">
      <c r="A1859" s="39" t="n">
        <v>46171.11625</v>
      </c>
      <c r="B1859" s="25">
        <f>TEXT(A1859,"YYYY-MM")</f>
        <v/>
      </c>
      <c r="C1859" s="25">
        <f>TEXT(A1859,"MMM-YYYY")</f>
        <v/>
      </c>
      <c r="D1859" s="40">
        <f>INT(A1859)-WEEKDAY(A1859,2)+1</f>
        <v/>
      </c>
      <c r="E1859" s="25" t="inlineStr">
        <is>
          <t>ns</t>
        </is>
      </c>
      <c r="F1859" s="25" t="n">
        <v>5189</v>
      </c>
      <c r="G1859" s="25" t="n">
        <v>1</v>
      </c>
      <c r="H1859" s="25" t="n">
        <v>7</v>
      </c>
      <c r="I1859" s="25" t="inlineStr">
        <is>
          <t>2 minute(s) and 48 second(s)</t>
        </is>
      </c>
      <c r="J1859" s="25">
        <f>IFERROR(VALUE(TRIM(LEFT(I1859,FIND("minute",I1859)-1)))*60,0)+IFERROR(VALUE(SUBSTITUTE(MID(I1859,IFERROR(FIND("and",I1859)+3,1),20),"second(s)","")),0)</f>
        <v/>
      </c>
      <c r="K1859" s="41">
        <f>J1859/60</f>
        <v/>
      </c>
      <c r="L1859" s="41">
        <f>IFERROR(J1859/H1859,"")</f>
        <v/>
      </c>
      <c r="M1859" s="25" t="inlineStr">
        <is>
          <t>2.5.12</t>
        </is>
      </c>
      <c r="N1859" s="25">
        <f>IF(J1859&gt;300,1,0)</f>
        <v/>
      </c>
      <c r="O1859" s="25">
        <f>IF(J1859&gt;600,1,0)</f>
        <v/>
      </c>
      <c r="P1859" s="25">
        <f>IF(H1859&gt;0,J1859,"")</f>
        <v/>
      </c>
      <c r="Q1859" s="25">
        <f>TEXT(A1859,"YYYY-MM-DD HH")</f>
        <v/>
      </c>
      <c r="R1859" s="25">
        <f>COUNTIF($Q$2:$Q$5295,Q1859)</f>
        <v/>
      </c>
      <c r="S1859" s="25">
        <f>IF(R1859&lt;=2,"1-2",IF(R1859&lt;=5,"3-5",IF(R1859&lt;=10,"6-10","11+")))</f>
        <v/>
      </c>
    </row>
    <row r="1860">
      <c r="A1860" s="39" t="n">
        <v>46171.11847222222</v>
      </c>
      <c r="B1860" s="25">
        <f>TEXT(A1860,"YYYY-MM")</f>
        <v/>
      </c>
      <c r="C1860" s="25">
        <f>TEXT(A1860,"MMM-YYYY")</f>
        <v/>
      </c>
      <c r="D1860" s="40">
        <f>INT(A1860)-WEEKDAY(A1860,2)+1</f>
        <v/>
      </c>
      <c r="E1860" s="25" t="inlineStr">
        <is>
          <t>aupadhayay</t>
        </is>
      </c>
      <c r="F1860" s="25" t="n">
        <v>6688</v>
      </c>
      <c r="G1860" s="25" t="n">
        <v>1</v>
      </c>
      <c r="H1860" s="25" t="n">
        <v>5</v>
      </c>
      <c r="I1860" s="25" t="inlineStr">
        <is>
          <t>3 minute(s) and 34 second(s)</t>
        </is>
      </c>
      <c r="J1860" s="25">
        <f>IFERROR(VALUE(TRIM(LEFT(I1860,FIND("minute",I1860)-1)))*60,0)+IFERROR(VALUE(SUBSTITUTE(MID(I1860,IFERROR(FIND("and",I1860)+3,1),20),"second(s)","")),0)</f>
        <v/>
      </c>
      <c r="K1860" s="41">
        <f>J1860/60</f>
        <v/>
      </c>
      <c r="L1860" s="41">
        <f>IFERROR(J1860/H1860,"")</f>
        <v/>
      </c>
      <c r="M1860" s="25" t="inlineStr">
        <is>
          <t>2.5.12</t>
        </is>
      </c>
      <c r="N1860" s="25">
        <f>IF(J1860&gt;300,1,0)</f>
        <v/>
      </c>
      <c r="O1860" s="25">
        <f>IF(J1860&gt;600,1,0)</f>
        <v/>
      </c>
      <c r="P1860" s="25">
        <f>IF(H1860&gt;0,J1860,"")</f>
        <v/>
      </c>
      <c r="Q1860" s="25">
        <f>TEXT(A1860,"YYYY-MM-DD HH")</f>
        <v/>
      </c>
      <c r="R1860" s="25">
        <f>COUNTIF($Q$2:$Q$5295,Q1860)</f>
        <v/>
      </c>
      <c r="S1860" s="25">
        <f>IF(R1860&lt;=2,"1-2",IF(R1860&lt;=5,"3-5",IF(R1860&lt;=10,"6-10","11+")))</f>
        <v/>
      </c>
    </row>
    <row r="1861">
      <c r="A1861" s="39" t="n">
        <v>46171.12142361111</v>
      </c>
      <c r="B1861" s="25">
        <f>TEXT(A1861,"YYYY-MM")</f>
        <v/>
      </c>
      <c r="C1861" s="25">
        <f>TEXT(A1861,"MMM-YYYY")</f>
        <v/>
      </c>
      <c r="D1861" s="40">
        <f>INT(A1861)-WEEKDAY(A1861,2)+1</f>
        <v/>
      </c>
      <c r="E1861" s="25" t="inlineStr">
        <is>
          <t>stiwari</t>
        </is>
      </c>
      <c r="F1861" s="25" t="n">
        <v>5088</v>
      </c>
      <c r="G1861" s="25" t="n">
        <v>1</v>
      </c>
      <c r="H1861" s="25" t="n">
        <v>7</v>
      </c>
      <c r="I1861" s="25" t="inlineStr">
        <is>
          <t>2 minute(s) and 29 second(s)</t>
        </is>
      </c>
      <c r="J1861" s="25">
        <f>IFERROR(VALUE(TRIM(LEFT(I1861,FIND("minute",I1861)-1)))*60,0)+IFERROR(VALUE(SUBSTITUTE(MID(I1861,IFERROR(FIND("and",I1861)+3,1),20),"second(s)","")),0)</f>
        <v/>
      </c>
      <c r="K1861" s="41">
        <f>J1861/60</f>
        <v/>
      </c>
      <c r="L1861" s="41">
        <f>IFERROR(J1861/H1861,"")</f>
        <v/>
      </c>
      <c r="M1861" s="25" t="inlineStr">
        <is>
          <t>2.5.12</t>
        </is>
      </c>
      <c r="N1861" s="25">
        <f>IF(J1861&gt;300,1,0)</f>
        <v/>
      </c>
      <c r="O1861" s="25">
        <f>IF(J1861&gt;600,1,0)</f>
        <v/>
      </c>
      <c r="P1861" s="25">
        <f>IF(H1861&gt;0,J1861,"")</f>
        <v/>
      </c>
      <c r="Q1861" s="25">
        <f>TEXT(A1861,"YYYY-MM-DD HH")</f>
        <v/>
      </c>
      <c r="R1861" s="25">
        <f>COUNTIF($Q$2:$Q$5295,Q1861)</f>
        <v/>
      </c>
      <c r="S1861" s="25">
        <f>IF(R1861&lt;=2,"1-2",IF(R1861&lt;=5,"3-5",IF(R1861&lt;=10,"6-10","11+")))</f>
        <v/>
      </c>
    </row>
    <row r="1862">
      <c r="A1862" s="39" t="n">
        <v>46171.1216087963</v>
      </c>
      <c r="B1862" s="25">
        <f>TEXT(A1862,"YYYY-MM")</f>
        <v/>
      </c>
      <c r="C1862" s="25">
        <f>TEXT(A1862,"MMM-YYYY")</f>
        <v/>
      </c>
      <c r="D1862" s="40">
        <f>INT(A1862)-WEEKDAY(A1862,2)+1</f>
        <v/>
      </c>
      <c r="E1862" s="25" t="inlineStr">
        <is>
          <t>ethomas</t>
        </is>
      </c>
      <c r="F1862" s="25" t="n">
        <v>5429</v>
      </c>
      <c r="G1862" s="25" t="n">
        <v>4</v>
      </c>
      <c r="H1862" s="25" t="n">
        <v>12</v>
      </c>
      <c r="I1862" s="25" t="inlineStr">
        <is>
          <t>5 minute(s) and 3 second(s)</t>
        </is>
      </c>
      <c r="J1862" s="25">
        <f>IFERROR(VALUE(TRIM(LEFT(I1862,FIND("minute",I1862)-1)))*60,0)+IFERROR(VALUE(SUBSTITUTE(MID(I1862,IFERROR(FIND("and",I1862)+3,1),20),"second(s)","")),0)</f>
        <v/>
      </c>
      <c r="K1862" s="41">
        <f>J1862/60</f>
        <v/>
      </c>
      <c r="L1862" s="41">
        <f>IFERROR(J1862/H1862,"")</f>
        <v/>
      </c>
      <c r="M1862" s="25" t="inlineStr">
        <is>
          <t>2.5.12</t>
        </is>
      </c>
      <c r="N1862" s="25">
        <f>IF(J1862&gt;300,1,0)</f>
        <v/>
      </c>
      <c r="O1862" s="25">
        <f>IF(J1862&gt;600,1,0)</f>
        <v/>
      </c>
      <c r="P1862" s="25">
        <f>IF(H1862&gt;0,J1862,"")</f>
        <v/>
      </c>
      <c r="Q1862" s="25">
        <f>TEXT(A1862,"YYYY-MM-DD HH")</f>
        <v/>
      </c>
      <c r="R1862" s="25">
        <f>COUNTIF($Q$2:$Q$5295,Q1862)</f>
        <v/>
      </c>
      <c r="S1862" s="25">
        <f>IF(R1862&lt;=2,"1-2",IF(R1862&lt;=5,"3-5",IF(R1862&lt;=10,"6-10","11+")))</f>
        <v/>
      </c>
    </row>
    <row r="1863">
      <c r="A1863" s="39" t="n">
        <v>46171.12979166667</v>
      </c>
      <c r="B1863" s="25">
        <f>TEXT(A1863,"YYYY-MM")</f>
        <v/>
      </c>
      <c r="C1863" s="25">
        <f>TEXT(A1863,"MMM-YYYY")</f>
        <v/>
      </c>
      <c r="D1863" s="40">
        <f>INT(A1863)-WEEKDAY(A1863,2)+1</f>
        <v/>
      </c>
      <c r="E1863" s="25" t="inlineStr">
        <is>
          <t>pgautam</t>
        </is>
      </c>
      <c r="F1863" s="25" t="n">
        <v>97073</v>
      </c>
      <c r="G1863" s="25" t="n">
        <v>5</v>
      </c>
      <c r="H1863" s="25" t="n">
        <v>23</v>
      </c>
      <c r="I1863" s="25" t="inlineStr">
        <is>
          <t>4 minute(s) and 31 second(s)</t>
        </is>
      </c>
      <c r="J1863" s="25">
        <f>IFERROR(VALUE(TRIM(LEFT(I1863,FIND("minute",I1863)-1)))*60,0)+IFERROR(VALUE(SUBSTITUTE(MID(I1863,IFERROR(FIND("and",I1863)+3,1),20),"second(s)","")),0)</f>
        <v/>
      </c>
      <c r="K1863" s="41">
        <f>J1863/60</f>
        <v/>
      </c>
      <c r="L1863" s="41">
        <f>IFERROR(J1863/H1863,"")</f>
        <v/>
      </c>
      <c r="M1863" s="25" t="inlineStr">
        <is>
          <t>2.5.12</t>
        </is>
      </c>
      <c r="N1863" s="25">
        <f>IF(J1863&gt;300,1,0)</f>
        <v/>
      </c>
      <c r="O1863" s="25">
        <f>IF(J1863&gt;600,1,0)</f>
        <v/>
      </c>
      <c r="P1863" s="25">
        <f>IF(H1863&gt;0,J1863,"")</f>
        <v/>
      </c>
      <c r="Q1863" s="25">
        <f>TEXT(A1863,"YYYY-MM-DD HH")</f>
        <v/>
      </c>
      <c r="R1863" s="25">
        <f>COUNTIF($Q$2:$Q$5295,Q1863)</f>
        <v/>
      </c>
      <c r="S1863" s="25">
        <f>IF(R1863&lt;=2,"1-2",IF(R1863&lt;=5,"3-5",IF(R1863&lt;=10,"6-10","11+")))</f>
        <v/>
      </c>
    </row>
    <row r="1864">
      <c r="A1864" s="39" t="n">
        <v>46171.13026620371</v>
      </c>
      <c r="B1864" s="25">
        <f>TEXT(A1864,"YYYY-MM")</f>
        <v/>
      </c>
      <c r="C1864" s="25">
        <f>TEXT(A1864,"MMM-YYYY")</f>
        <v/>
      </c>
      <c r="D1864" s="40">
        <f>INT(A1864)-WEEKDAY(A1864,2)+1</f>
        <v/>
      </c>
      <c r="E1864" s="25" t="inlineStr">
        <is>
          <t>mbhalla</t>
        </is>
      </c>
      <c r="F1864" s="25" t="n">
        <v>4223</v>
      </c>
      <c r="G1864" s="25" t="n">
        <v>1</v>
      </c>
      <c r="H1864" s="25" t="n">
        <v>5</v>
      </c>
      <c r="I1864" s="25" t="inlineStr">
        <is>
          <t>2 minute(s) and 17 second(s)</t>
        </is>
      </c>
      <c r="J1864" s="25">
        <f>IFERROR(VALUE(TRIM(LEFT(I1864,FIND("minute",I1864)-1)))*60,0)+IFERROR(VALUE(SUBSTITUTE(MID(I1864,IFERROR(FIND("and",I1864)+3,1),20),"second(s)","")),0)</f>
        <v/>
      </c>
      <c r="K1864" s="41">
        <f>J1864/60</f>
        <v/>
      </c>
      <c r="L1864" s="41">
        <f>IFERROR(J1864/H1864,"")</f>
        <v/>
      </c>
      <c r="M1864" s="25" t="inlineStr">
        <is>
          <t>2.5.12</t>
        </is>
      </c>
      <c r="N1864" s="25">
        <f>IF(J1864&gt;300,1,0)</f>
        <v/>
      </c>
      <c r="O1864" s="25">
        <f>IF(J1864&gt;600,1,0)</f>
        <v/>
      </c>
      <c r="P1864" s="25">
        <f>IF(H1864&gt;0,J1864,"")</f>
        <v/>
      </c>
      <c r="Q1864" s="25">
        <f>TEXT(A1864,"YYYY-MM-DD HH")</f>
        <v/>
      </c>
      <c r="R1864" s="25">
        <f>COUNTIF($Q$2:$Q$5295,Q1864)</f>
        <v/>
      </c>
      <c r="S1864" s="25">
        <f>IF(R1864&lt;=2,"1-2",IF(R1864&lt;=5,"3-5",IF(R1864&lt;=10,"6-10","11+")))</f>
        <v/>
      </c>
    </row>
    <row r="1865">
      <c r="A1865" s="39" t="n">
        <v>46171.13550925926</v>
      </c>
      <c r="B1865" s="25">
        <f>TEXT(A1865,"YYYY-MM")</f>
        <v/>
      </c>
      <c r="C1865" s="25">
        <f>TEXT(A1865,"MMM-YYYY")</f>
        <v/>
      </c>
      <c r="D1865" s="40">
        <f>INT(A1865)-WEEKDAY(A1865,2)+1</f>
        <v/>
      </c>
      <c r="E1865" s="25" t="inlineStr">
        <is>
          <t>arsarkar</t>
        </is>
      </c>
      <c r="F1865" s="25" t="n">
        <v>6262</v>
      </c>
      <c r="G1865" s="25" t="n">
        <v>1</v>
      </c>
      <c r="H1865" s="25" t="n">
        <v>5</v>
      </c>
      <c r="I1865" s="25" t="inlineStr">
        <is>
          <t>2 minute(s) and 28 second(s)</t>
        </is>
      </c>
      <c r="J1865" s="25">
        <f>IFERROR(VALUE(TRIM(LEFT(I1865,FIND("minute",I1865)-1)))*60,0)+IFERROR(VALUE(SUBSTITUTE(MID(I1865,IFERROR(FIND("and",I1865)+3,1),20),"second(s)","")),0)</f>
        <v/>
      </c>
      <c r="K1865" s="41">
        <f>J1865/60</f>
        <v/>
      </c>
      <c r="L1865" s="41">
        <f>IFERROR(J1865/H1865,"")</f>
        <v/>
      </c>
      <c r="M1865" s="25" t="inlineStr">
        <is>
          <t>2.5.12</t>
        </is>
      </c>
      <c r="N1865" s="25">
        <f>IF(J1865&gt;300,1,0)</f>
        <v/>
      </c>
      <c r="O1865" s="25">
        <f>IF(J1865&gt;600,1,0)</f>
        <v/>
      </c>
      <c r="P1865" s="25">
        <f>IF(H1865&gt;0,J1865,"")</f>
        <v/>
      </c>
      <c r="Q1865" s="25">
        <f>TEXT(A1865,"YYYY-MM-DD HH")</f>
        <v/>
      </c>
      <c r="R1865" s="25">
        <f>COUNTIF($Q$2:$Q$5295,Q1865)</f>
        <v/>
      </c>
      <c r="S1865" s="25">
        <f>IF(R1865&lt;=2,"1-2",IF(R1865&lt;=5,"3-5",IF(R1865&lt;=10,"6-10","11+")))</f>
        <v/>
      </c>
    </row>
    <row r="1866">
      <c r="A1866" s="39" t="n">
        <v>46171.13751157407</v>
      </c>
      <c r="B1866" s="25">
        <f>TEXT(A1866,"YYYY-MM")</f>
        <v/>
      </c>
      <c r="C1866" s="25">
        <f>TEXT(A1866,"MMM-YYYY")</f>
        <v/>
      </c>
      <c r="D1866" s="40">
        <f>INT(A1866)-WEEKDAY(A1866,2)+1</f>
        <v/>
      </c>
      <c r="E1866" s="25" t="inlineStr">
        <is>
          <t>atiwari</t>
        </is>
      </c>
      <c r="F1866" s="25" t="n">
        <v>5326</v>
      </c>
      <c r="G1866" s="25" t="n">
        <v>1</v>
      </c>
      <c r="H1866" s="25" t="n">
        <v>5</v>
      </c>
      <c r="I1866" s="25" t="inlineStr">
        <is>
          <t>2 minute(s) and 59 second(s)</t>
        </is>
      </c>
      <c r="J1866" s="25">
        <f>IFERROR(VALUE(TRIM(LEFT(I1866,FIND("minute",I1866)-1)))*60,0)+IFERROR(VALUE(SUBSTITUTE(MID(I1866,IFERROR(FIND("and",I1866)+3,1),20),"second(s)","")),0)</f>
        <v/>
      </c>
      <c r="K1866" s="41">
        <f>J1866/60</f>
        <v/>
      </c>
      <c r="L1866" s="41">
        <f>IFERROR(J1866/H1866,"")</f>
        <v/>
      </c>
      <c r="M1866" s="25" t="inlineStr">
        <is>
          <t>2.5.12</t>
        </is>
      </c>
      <c r="N1866" s="25">
        <f>IF(J1866&gt;300,1,0)</f>
        <v/>
      </c>
      <c r="O1866" s="25">
        <f>IF(J1866&gt;600,1,0)</f>
        <v/>
      </c>
      <c r="P1866" s="25">
        <f>IF(H1866&gt;0,J1866,"")</f>
        <v/>
      </c>
      <c r="Q1866" s="25">
        <f>TEXT(A1866,"YYYY-MM-DD HH")</f>
        <v/>
      </c>
      <c r="R1866" s="25">
        <f>COUNTIF($Q$2:$Q$5295,Q1866)</f>
        <v/>
      </c>
      <c r="S1866" s="25">
        <f>IF(R1866&lt;=2,"1-2",IF(R1866&lt;=5,"3-5",IF(R1866&lt;=10,"6-10","11+")))</f>
        <v/>
      </c>
    </row>
    <row r="1867">
      <c r="A1867" s="39" t="n">
        <v>46171.15489583334</v>
      </c>
      <c r="B1867" s="25">
        <f>TEXT(A1867,"YYYY-MM")</f>
        <v/>
      </c>
      <c r="C1867" s="25">
        <f>TEXT(A1867,"MMM-YYYY")</f>
        <v/>
      </c>
      <c r="D1867" s="40">
        <f>INT(A1867)-WEEKDAY(A1867,2)+1</f>
        <v/>
      </c>
      <c r="E1867" s="25" t="inlineStr">
        <is>
          <t>ssrinivasan</t>
        </is>
      </c>
      <c r="F1867" s="25" t="n">
        <v>5366</v>
      </c>
      <c r="G1867" s="25" t="n">
        <v>5</v>
      </c>
      <c r="H1867" s="25" t="n">
        <v>29</v>
      </c>
      <c r="I1867" s="25" t="inlineStr">
        <is>
          <t>12 minute(s) and 42 second(s)</t>
        </is>
      </c>
      <c r="J1867" s="25">
        <f>IFERROR(VALUE(TRIM(LEFT(I1867,FIND("minute",I1867)-1)))*60,0)+IFERROR(VALUE(SUBSTITUTE(MID(I1867,IFERROR(FIND("and",I1867)+3,1),20),"second(s)","")),0)</f>
        <v/>
      </c>
      <c r="K1867" s="41">
        <f>J1867/60</f>
        <v/>
      </c>
      <c r="L1867" s="41">
        <f>IFERROR(J1867/H1867,"")</f>
        <v/>
      </c>
      <c r="M1867" s="25" t="inlineStr">
        <is>
          <t>2.5.12</t>
        </is>
      </c>
      <c r="N1867" s="25">
        <f>IF(J1867&gt;300,1,0)</f>
        <v/>
      </c>
      <c r="O1867" s="25">
        <f>IF(J1867&gt;600,1,0)</f>
        <v/>
      </c>
      <c r="P1867" s="25">
        <f>IF(H1867&gt;0,J1867,"")</f>
        <v/>
      </c>
      <c r="Q1867" s="25">
        <f>TEXT(A1867,"YYYY-MM-DD HH")</f>
        <v/>
      </c>
      <c r="R1867" s="25">
        <f>COUNTIF($Q$2:$Q$5295,Q1867)</f>
        <v/>
      </c>
      <c r="S1867" s="25">
        <f>IF(R1867&lt;=2,"1-2",IF(R1867&lt;=5,"3-5",IF(R1867&lt;=10,"6-10","11+")))</f>
        <v/>
      </c>
    </row>
    <row r="1868">
      <c r="A1868" s="39" t="n">
        <v>46171.160625</v>
      </c>
      <c r="B1868" s="25">
        <f>TEXT(A1868,"YYYY-MM")</f>
        <v/>
      </c>
      <c r="C1868" s="25">
        <f>TEXT(A1868,"MMM-YYYY")</f>
        <v/>
      </c>
      <c r="D1868" s="40">
        <f>INT(A1868)-WEEKDAY(A1868,2)+1</f>
        <v/>
      </c>
      <c r="E1868" s="25" t="inlineStr">
        <is>
          <t>stiwari</t>
        </is>
      </c>
      <c r="F1868" s="25" t="n">
        <v>5091</v>
      </c>
      <c r="G1868" s="25" t="n">
        <v>1</v>
      </c>
      <c r="H1868" s="25" t="n">
        <v>7</v>
      </c>
      <c r="I1868" s="25" t="inlineStr">
        <is>
          <t>56 second(s)</t>
        </is>
      </c>
      <c r="J1868" s="25">
        <f>IFERROR(VALUE(TRIM(LEFT(I1868,FIND("minute",I1868)-1)))*60,0)+IFERROR(VALUE(SUBSTITUTE(MID(I1868,IFERROR(FIND("and",I1868)+3,1),20),"second(s)","")),0)</f>
        <v/>
      </c>
      <c r="K1868" s="41">
        <f>J1868/60</f>
        <v/>
      </c>
      <c r="L1868" s="41">
        <f>IFERROR(J1868/H1868,"")</f>
        <v/>
      </c>
      <c r="M1868" s="25" t="inlineStr">
        <is>
          <t>2.5.12</t>
        </is>
      </c>
      <c r="N1868" s="25">
        <f>IF(J1868&gt;300,1,0)</f>
        <v/>
      </c>
      <c r="O1868" s="25">
        <f>IF(J1868&gt;600,1,0)</f>
        <v/>
      </c>
      <c r="P1868" s="25">
        <f>IF(H1868&gt;0,J1868,"")</f>
        <v/>
      </c>
      <c r="Q1868" s="25">
        <f>TEXT(A1868,"YYYY-MM-DD HH")</f>
        <v/>
      </c>
      <c r="R1868" s="25">
        <f>COUNTIF($Q$2:$Q$5295,Q1868)</f>
        <v/>
      </c>
      <c r="S1868" s="25">
        <f>IF(R1868&lt;=2,"1-2",IF(R1868&lt;=5,"3-5",IF(R1868&lt;=10,"6-10","11+")))</f>
        <v/>
      </c>
    </row>
    <row r="1869">
      <c r="A1869" s="39" t="n">
        <v>46171.16248842593</v>
      </c>
      <c r="B1869" s="25">
        <f>TEXT(A1869,"YYYY-MM")</f>
        <v/>
      </c>
      <c r="C1869" s="25">
        <f>TEXT(A1869,"MMM-YYYY")</f>
        <v/>
      </c>
      <c r="D1869" s="40">
        <f>INT(A1869)-WEEKDAY(A1869,2)+1</f>
        <v/>
      </c>
      <c r="E1869" s="25" t="inlineStr">
        <is>
          <t>mbohra</t>
        </is>
      </c>
      <c r="F1869" s="25" t="n">
        <v>116063</v>
      </c>
      <c r="G1869" s="25" t="n">
        <v>3</v>
      </c>
      <c r="H1869" s="25" t="n">
        <v>15</v>
      </c>
      <c r="I1869" s="25" t="inlineStr">
        <is>
          <t>4 minute(s) and 34 second(s)</t>
        </is>
      </c>
      <c r="J1869" s="25">
        <f>IFERROR(VALUE(TRIM(LEFT(I1869,FIND("minute",I1869)-1)))*60,0)+IFERROR(VALUE(SUBSTITUTE(MID(I1869,IFERROR(FIND("and",I1869)+3,1),20),"second(s)","")),0)</f>
        <v/>
      </c>
      <c r="K1869" s="41">
        <f>J1869/60</f>
        <v/>
      </c>
      <c r="L1869" s="41">
        <f>IFERROR(J1869/H1869,"")</f>
        <v/>
      </c>
      <c r="M1869" s="25" t="inlineStr">
        <is>
          <t>2.5.12</t>
        </is>
      </c>
      <c r="N1869" s="25">
        <f>IF(J1869&gt;300,1,0)</f>
        <v/>
      </c>
      <c r="O1869" s="25">
        <f>IF(J1869&gt;600,1,0)</f>
        <v/>
      </c>
      <c r="P1869" s="25">
        <f>IF(H1869&gt;0,J1869,"")</f>
        <v/>
      </c>
      <c r="Q1869" s="25">
        <f>TEXT(A1869,"YYYY-MM-DD HH")</f>
        <v/>
      </c>
      <c r="R1869" s="25">
        <f>COUNTIF($Q$2:$Q$5295,Q1869)</f>
        <v/>
      </c>
      <c r="S1869" s="25">
        <f>IF(R1869&lt;=2,"1-2",IF(R1869&lt;=5,"3-5",IF(R1869&lt;=10,"6-10","11+")))</f>
        <v/>
      </c>
    </row>
    <row r="1870">
      <c r="A1870" s="39" t="n">
        <v>46171.16888888889</v>
      </c>
      <c r="B1870" s="25">
        <f>TEXT(A1870,"YYYY-MM")</f>
        <v/>
      </c>
      <c r="C1870" s="25">
        <f>TEXT(A1870,"MMM-YYYY")</f>
        <v/>
      </c>
      <c r="D1870" s="40">
        <f>INT(A1870)-WEEKDAY(A1870,2)+1</f>
        <v/>
      </c>
      <c r="E1870" s="25" t="inlineStr">
        <is>
          <t>mbhalla</t>
        </is>
      </c>
      <c r="F1870" s="25" t="n">
        <v>4224</v>
      </c>
      <c r="G1870" s="25" t="n">
        <v>1</v>
      </c>
      <c r="H1870" s="25" t="n">
        <v>7</v>
      </c>
      <c r="I1870" s="25" t="inlineStr">
        <is>
          <t>1 minute(s) and 6 second(s)</t>
        </is>
      </c>
      <c r="J1870" s="25">
        <f>IFERROR(VALUE(TRIM(LEFT(I1870,FIND("minute",I1870)-1)))*60,0)+IFERROR(VALUE(SUBSTITUTE(MID(I1870,IFERROR(FIND("and",I1870)+3,1),20),"second(s)","")),0)</f>
        <v/>
      </c>
      <c r="K1870" s="41">
        <f>J1870/60</f>
        <v/>
      </c>
      <c r="L1870" s="41">
        <f>IFERROR(J1870/H1870,"")</f>
        <v/>
      </c>
      <c r="M1870" s="25" t="inlineStr">
        <is>
          <t>2.5.12</t>
        </is>
      </c>
      <c r="N1870" s="25">
        <f>IF(J1870&gt;300,1,0)</f>
        <v/>
      </c>
      <c r="O1870" s="25">
        <f>IF(J1870&gt;600,1,0)</f>
        <v/>
      </c>
      <c r="P1870" s="25">
        <f>IF(H1870&gt;0,J1870,"")</f>
        <v/>
      </c>
      <c r="Q1870" s="25">
        <f>TEXT(A1870,"YYYY-MM-DD HH")</f>
        <v/>
      </c>
      <c r="R1870" s="25">
        <f>COUNTIF($Q$2:$Q$5295,Q1870)</f>
        <v/>
      </c>
      <c r="S1870" s="25">
        <f>IF(R1870&lt;=2,"1-2",IF(R1870&lt;=5,"3-5",IF(R1870&lt;=10,"6-10","11+")))</f>
        <v/>
      </c>
    </row>
    <row r="1871">
      <c r="A1871" s="39" t="n">
        <v>46171.17289351852</v>
      </c>
      <c r="B1871" s="25">
        <f>TEXT(A1871,"YYYY-MM")</f>
        <v/>
      </c>
      <c r="C1871" s="25">
        <f>TEXT(A1871,"MMM-YYYY")</f>
        <v/>
      </c>
      <c r="D1871" s="40">
        <f>INT(A1871)-WEEKDAY(A1871,2)+1</f>
        <v/>
      </c>
      <c r="E1871" s="25" t="inlineStr">
        <is>
          <t>aupadhayay</t>
        </is>
      </c>
      <c r="F1871" s="25" t="n">
        <v>6689</v>
      </c>
      <c r="G1871" s="25" t="n">
        <v>1</v>
      </c>
      <c r="H1871" s="25" t="n">
        <v>5</v>
      </c>
      <c r="I1871" s="25" t="inlineStr">
        <is>
          <t>1 minute(s) and 47 second(s)</t>
        </is>
      </c>
      <c r="J1871" s="25">
        <f>IFERROR(VALUE(TRIM(LEFT(I1871,FIND("minute",I1871)-1)))*60,0)+IFERROR(VALUE(SUBSTITUTE(MID(I1871,IFERROR(FIND("and",I1871)+3,1),20),"second(s)","")),0)</f>
        <v/>
      </c>
      <c r="K1871" s="41">
        <f>J1871/60</f>
        <v/>
      </c>
      <c r="L1871" s="41">
        <f>IFERROR(J1871/H1871,"")</f>
        <v/>
      </c>
      <c r="M1871" s="25" t="inlineStr">
        <is>
          <t>2.5.12</t>
        </is>
      </c>
      <c r="N1871" s="25">
        <f>IF(J1871&gt;300,1,0)</f>
        <v/>
      </c>
      <c r="O1871" s="25">
        <f>IF(J1871&gt;600,1,0)</f>
        <v/>
      </c>
      <c r="P1871" s="25">
        <f>IF(H1871&gt;0,J1871,"")</f>
        <v/>
      </c>
      <c r="Q1871" s="25">
        <f>TEXT(A1871,"YYYY-MM-DD HH")</f>
        <v/>
      </c>
      <c r="R1871" s="25">
        <f>COUNTIF($Q$2:$Q$5295,Q1871)</f>
        <v/>
      </c>
      <c r="S1871" s="25">
        <f>IF(R1871&lt;=2,"1-2",IF(R1871&lt;=5,"3-5",IF(R1871&lt;=10,"6-10","11+")))</f>
        <v/>
      </c>
    </row>
    <row r="1872">
      <c r="A1872" s="39" t="n">
        <v>46171.17663194444</v>
      </c>
      <c r="B1872" s="25">
        <f>TEXT(A1872,"YYYY-MM")</f>
        <v/>
      </c>
      <c r="C1872" s="25">
        <f>TEXT(A1872,"MMM-YYYY")</f>
        <v/>
      </c>
      <c r="D1872" s="40">
        <f>INT(A1872)-WEEKDAY(A1872,2)+1</f>
        <v/>
      </c>
      <c r="E1872" s="25" t="inlineStr">
        <is>
          <t>csaha</t>
        </is>
      </c>
      <c r="F1872" s="25" t="n">
        <v>6143</v>
      </c>
      <c r="G1872" s="25" t="n">
        <v>1</v>
      </c>
      <c r="H1872" s="25" t="n">
        <v>7</v>
      </c>
      <c r="I1872" s="25" t="inlineStr">
        <is>
          <t>1 minute(s) and 52 second(s)</t>
        </is>
      </c>
      <c r="J1872" s="25">
        <f>IFERROR(VALUE(TRIM(LEFT(I1872,FIND("minute",I1872)-1)))*60,0)+IFERROR(VALUE(SUBSTITUTE(MID(I1872,IFERROR(FIND("and",I1872)+3,1),20),"second(s)","")),0)</f>
        <v/>
      </c>
      <c r="K1872" s="41">
        <f>J1872/60</f>
        <v/>
      </c>
      <c r="L1872" s="41">
        <f>IFERROR(J1872/H1872,"")</f>
        <v/>
      </c>
      <c r="M1872" s="25" t="inlineStr">
        <is>
          <t>2.5.12</t>
        </is>
      </c>
      <c r="N1872" s="25">
        <f>IF(J1872&gt;300,1,0)</f>
        <v/>
      </c>
      <c r="O1872" s="25">
        <f>IF(J1872&gt;600,1,0)</f>
        <v/>
      </c>
      <c r="P1872" s="25">
        <f>IF(H1872&gt;0,J1872,"")</f>
        <v/>
      </c>
      <c r="Q1872" s="25">
        <f>TEXT(A1872,"YYYY-MM-DD HH")</f>
        <v/>
      </c>
      <c r="R1872" s="25">
        <f>COUNTIF($Q$2:$Q$5295,Q1872)</f>
        <v/>
      </c>
      <c r="S1872" s="25">
        <f>IF(R1872&lt;=2,"1-2",IF(R1872&lt;=5,"3-5",IF(R1872&lt;=10,"6-10","11+")))</f>
        <v/>
      </c>
    </row>
    <row r="1873">
      <c r="A1873" s="39" t="n">
        <v>46171.1931712963</v>
      </c>
      <c r="B1873" s="25">
        <f>TEXT(A1873,"YYYY-MM")</f>
        <v/>
      </c>
      <c r="C1873" s="25">
        <f>TEXT(A1873,"MMM-YYYY")</f>
        <v/>
      </c>
      <c r="D1873" s="40">
        <f>INT(A1873)-WEEKDAY(A1873,2)+1</f>
        <v/>
      </c>
      <c r="E1873" s="25" t="inlineStr">
        <is>
          <t>ssarkar</t>
        </is>
      </c>
      <c r="F1873" s="25" t="n">
        <v>5994</v>
      </c>
      <c r="G1873" s="25" t="n">
        <v>1</v>
      </c>
      <c r="H1873" s="25" t="n">
        <v>5</v>
      </c>
      <c r="I1873" s="25" t="inlineStr">
        <is>
          <t>1 minute(s) and 17 second(s)</t>
        </is>
      </c>
      <c r="J1873" s="25">
        <f>IFERROR(VALUE(TRIM(LEFT(I1873,FIND("minute",I1873)-1)))*60,0)+IFERROR(VALUE(SUBSTITUTE(MID(I1873,IFERROR(FIND("and",I1873)+3,1),20),"second(s)","")),0)</f>
        <v/>
      </c>
      <c r="K1873" s="41">
        <f>J1873/60</f>
        <v/>
      </c>
      <c r="L1873" s="41">
        <f>IFERROR(J1873/H1873,"")</f>
        <v/>
      </c>
      <c r="M1873" s="25" t="inlineStr">
        <is>
          <t>2.5.12</t>
        </is>
      </c>
      <c r="N1873" s="25">
        <f>IF(J1873&gt;300,1,0)</f>
        <v/>
      </c>
      <c r="O1873" s="25">
        <f>IF(J1873&gt;600,1,0)</f>
        <v/>
      </c>
      <c r="P1873" s="25">
        <f>IF(H1873&gt;0,J1873,"")</f>
        <v/>
      </c>
      <c r="Q1873" s="25">
        <f>TEXT(A1873,"YYYY-MM-DD HH")</f>
        <v/>
      </c>
      <c r="R1873" s="25">
        <f>COUNTIF($Q$2:$Q$5295,Q1873)</f>
        <v/>
      </c>
      <c r="S1873" s="25">
        <f>IF(R1873&lt;=2,"1-2",IF(R1873&lt;=5,"3-5",IF(R1873&lt;=10,"6-10","11+")))</f>
        <v/>
      </c>
    </row>
    <row r="1874">
      <c r="A1874" s="39" t="n">
        <v>46171.20918981481</v>
      </c>
      <c r="B1874" s="25">
        <f>TEXT(A1874,"YYYY-MM")</f>
        <v/>
      </c>
      <c r="C1874" s="25">
        <f>TEXT(A1874,"MMM-YYYY")</f>
        <v/>
      </c>
      <c r="D1874" s="40">
        <f>INT(A1874)-WEEKDAY(A1874,2)+1</f>
        <v/>
      </c>
      <c r="E1874" s="25" t="inlineStr">
        <is>
          <t>atiwari</t>
        </is>
      </c>
      <c r="F1874" s="25" t="n">
        <v>5324</v>
      </c>
      <c r="G1874" s="25" t="n">
        <v>5</v>
      </c>
      <c r="H1874" s="25" t="n">
        <v>23</v>
      </c>
      <c r="I1874" s="25" t="inlineStr">
        <is>
          <t>5 minute(s) and 49 second(s)</t>
        </is>
      </c>
      <c r="J1874" s="25">
        <f>IFERROR(VALUE(TRIM(LEFT(I1874,FIND("minute",I1874)-1)))*60,0)+IFERROR(VALUE(SUBSTITUTE(MID(I1874,IFERROR(FIND("and",I1874)+3,1),20),"second(s)","")),0)</f>
        <v/>
      </c>
      <c r="K1874" s="41">
        <f>J1874/60</f>
        <v/>
      </c>
      <c r="L1874" s="41">
        <f>IFERROR(J1874/H1874,"")</f>
        <v/>
      </c>
      <c r="M1874" s="25" t="inlineStr">
        <is>
          <t>2.5.12</t>
        </is>
      </c>
      <c r="N1874" s="25">
        <f>IF(J1874&gt;300,1,0)</f>
        <v/>
      </c>
      <c r="O1874" s="25">
        <f>IF(J1874&gt;600,1,0)</f>
        <v/>
      </c>
      <c r="P1874" s="25">
        <f>IF(H1874&gt;0,J1874,"")</f>
        <v/>
      </c>
      <c r="Q1874" s="25">
        <f>TEXT(A1874,"YYYY-MM-DD HH")</f>
        <v/>
      </c>
      <c r="R1874" s="25">
        <f>COUNTIF($Q$2:$Q$5295,Q1874)</f>
        <v/>
      </c>
      <c r="S1874" s="25">
        <f>IF(R1874&lt;=2,"1-2",IF(R1874&lt;=5,"3-5",IF(R1874&lt;=10,"6-10","11+")))</f>
        <v/>
      </c>
    </row>
    <row r="1875">
      <c r="A1875" s="39" t="n">
        <v>46171.22905092593</v>
      </c>
      <c r="B1875" s="25">
        <f>TEXT(A1875,"YYYY-MM")</f>
        <v/>
      </c>
      <c r="C1875" s="25">
        <f>TEXT(A1875,"MMM-YYYY")</f>
        <v/>
      </c>
      <c r="D1875" s="40">
        <f>INT(A1875)-WEEKDAY(A1875,2)+1</f>
        <v/>
      </c>
      <c r="E1875" s="25" t="inlineStr">
        <is>
          <t>aupadhayay</t>
        </is>
      </c>
      <c r="F1875" s="25" t="n">
        <v>5424</v>
      </c>
      <c r="G1875" s="25" t="n">
        <v>3</v>
      </c>
      <c r="H1875" s="25" t="n">
        <v>11</v>
      </c>
      <c r="I1875" s="25" t="inlineStr">
        <is>
          <t>2 minute(s) and 44 second(s)</t>
        </is>
      </c>
      <c r="J1875" s="25">
        <f>IFERROR(VALUE(TRIM(LEFT(I1875,FIND("minute",I1875)-1)))*60,0)+IFERROR(VALUE(SUBSTITUTE(MID(I1875,IFERROR(FIND("and",I1875)+3,1),20),"second(s)","")),0)</f>
        <v/>
      </c>
      <c r="K1875" s="41">
        <f>J1875/60</f>
        <v/>
      </c>
      <c r="L1875" s="41">
        <f>IFERROR(J1875/H1875,"")</f>
        <v/>
      </c>
      <c r="M1875" s="25" t="inlineStr">
        <is>
          <t>2.5.12</t>
        </is>
      </c>
      <c r="N1875" s="25">
        <f>IF(J1875&gt;300,1,0)</f>
        <v/>
      </c>
      <c r="O1875" s="25">
        <f>IF(J1875&gt;600,1,0)</f>
        <v/>
      </c>
      <c r="P1875" s="25">
        <f>IF(H1875&gt;0,J1875,"")</f>
        <v/>
      </c>
      <c r="Q1875" s="25">
        <f>TEXT(A1875,"YYYY-MM-DD HH")</f>
        <v/>
      </c>
      <c r="R1875" s="25">
        <f>COUNTIF($Q$2:$Q$5295,Q1875)</f>
        <v/>
      </c>
      <c r="S1875" s="25">
        <f>IF(R1875&lt;=2,"1-2",IF(R1875&lt;=5,"3-5",IF(R1875&lt;=10,"6-10","11+")))</f>
        <v/>
      </c>
    </row>
    <row r="1876">
      <c r="A1876" s="39" t="n">
        <v>46171.23667824074</v>
      </c>
      <c r="B1876" s="25">
        <f>TEXT(A1876,"YYYY-MM")</f>
        <v/>
      </c>
      <c r="C1876" s="25">
        <f>TEXT(A1876,"MMM-YYYY")</f>
        <v/>
      </c>
      <c r="D1876" s="40">
        <f>INT(A1876)-WEEKDAY(A1876,2)+1</f>
        <v/>
      </c>
      <c r="E1876" s="25" t="inlineStr">
        <is>
          <t>emishra</t>
        </is>
      </c>
      <c r="F1876" s="25" t="n">
        <v>3301</v>
      </c>
      <c r="G1876" s="25" t="n">
        <v>1</v>
      </c>
      <c r="H1876" s="25" t="n">
        <v>7</v>
      </c>
      <c r="I1876" s="25" t="inlineStr">
        <is>
          <t>1 minute(s) and 49 second(s)</t>
        </is>
      </c>
      <c r="J1876" s="25">
        <f>IFERROR(VALUE(TRIM(LEFT(I1876,FIND("minute",I1876)-1)))*60,0)+IFERROR(VALUE(SUBSTITUTE(MID(I1876,IFERROR(FIND("and",I1876)+3,1),20),"second(s)","")),0)</f>
        <v/>
      </c>
      <c r="K1876" s="41">
        <f>J1876/60</f>
        <v/>
      </c>
      <c r="L1876" s="41">
        <f>IFERROR(J1876/H1876,"")</f>
        <v/>
      </c>
      <c r="M1876" s="25" t="inlineStr">
        <is>
          <t>2.5.12</t>
        </is>
      </c>
      <c r="N1876" s="25">
        <f>IF(J1876&gt;300,1,0)</f>
        <v/>
      </c>
      <c r="O1876" s="25">
        <f>IF(J1876&gt;600,1,0)</f>
        <v/>
      </c>
      <c r="P1876" s="25">
        <f>IF(H1876&gt;0,J1876,"")</f>
        <v/>
      </c>
      <c r="Q1876" s="25">
        <f>TEXT(A1876,"YYYY-MM-DD HH")</f>
        <v/>
      </c>
      <c r="R1876" s="25">
        <f>COUNTIF($Q$2:$Q$5295,Q1876)</f>
        <v/>
      </c>
      <c r="S1876" s="25">
        <f>IF(R1876&lt;=2,"1-2",IF(R1876&lt;=5,"3-5",IF(R1876&lt;=10,"6-10","11+")))</f>
        <v/>
      </c>
    </row>
    <row r="1877">
      <c r="A1877" s="39" t="n">
        <v>46171.23686342593</v>
      </c>
      <c r="B1877" s="25">
        <f>TEXT(A1877,"YYYY-MM")</f>
        <v/>
      </c>
      <c r="C1877" s="25">
        <f>TEXT(A1877,"MMM-YYYY")</f>
        <v/>
      </c>
      <c r="D1877" s="40">
        <f>INT(A1877)-WEEKDAY(A1877,2)+1</f>
        <v/>
      </c>
      <c r="E1877" s="25" t="inlineStr">
        <is>
          <t>pmishra</t>
        </is>
      </c>
      <c r="F1877" s="25" t="n">
        <v>5611</v>
      </c>
      <c r="G1877" s="25" t="n">
        <v>2</v>
      </c>
      <c r="H1877" s="25" t="n">
        <v>10</v>
      </c>
      <c r="I1877" s="25" t="inlineStr">
        <is>
          <t>3 minute(s) and 35 second(s)</t>
        </is>
      </c>
      <c r="J1877" s="25">
        <f>IFERROR(VALUE(TRIM(LEFT(I1877,FIND("minute",I1877)-1)))*60,0)+IFERROR(VALUE(SUBSTITUTE(MID(I1877,IFERROR(FIND("and",I1877)+3,1),20),"second(s)","")),0)</f>
        <v/>
      </c>
      <c r="K1877" s="41">
        <f>J1877/60</f>
        <v/>
      </c>
      <c r="L1877" s="41">
        <f>IFERROR(J1877/H1877,"")</f>
        <v/>
      </c>
      <c r="M1877" s="25" t="inlineStr">
        <is>
          <t>2.5.12</t>
        </is>
      </c>
      <c r="N1877" s="25">
        <f>IF(J1877&gt;300,1,0)</f>
        <v/>
      </c>
      <c r="O1877" s="25">
        <f>IF(J1877&gt;600,1,0)</f>
        <v/>
      </c>
      <c r="P1877" s="25">
        <f>IF(H1877&gt;0,J1877,"")</f>
        <v/>
      </c>
      <c r="Q1877" s="25">
        <f>TEXT(A1877,"YYYY-MM-DD HH")</f>
        <v/>
      </c>
      <c r="R1877" s="25">
        <f>COUNTIF($Q$2:$Q$5295,Q1877)</f>
        <v/>
      </c>
      <c r="S1877" s="25">
        <f>IF(R1877&lt;=2,"1-2",IF(R1877&lt;=5,"3-5",IF(R1877&lt;=10,"6-10","11+")))</f>
        <v/>
      </c>
    </row>
    <row r="1878">
      <c r="A1878" s="39" t="n">
        <v>46171.24196759259</v>
      </c>
      <c r="B1878" s="25">
        <f>TEXT(A1878,"YYYY-MM")</f>
        <v/>
      </c>
      <c r="C1878" s="25">
        <f>TEXT(A1878,"MMM-YYYY")</f>
        <v/>
      </c>
      <c r="D1878" s="40">
        <f>INT(A1878)-WEEKDAY(A1878,2)+1</f>
        <v/>
      </c>
      <c r="E1878" s="25" t="inlineStr">
        <is>
          <t>atiwari</t>
        </is>
      </c>
      <c r="F1878" s="25" t="n">
        <v>5323</v>
      </c>
      <c r="G1878" s="25" t="n">
        <v>5</v>
      </c>
      <c r="H1878" s="25" t="n">
        <v>25</v>
      </c>
      <c r="I1878" s="25" t="inlineStr">
        <is>
          <t>5 minute(s) and 55 second(s)</t>
        </is>
      </c>
      <c r="J1878" s="25">
        <f>IFERROR(VALUE(TRIM(LEFT(I1878,FIND("minute",I1878)-1)))*60,0)+IFERROR(VALUE(SUBSTITUTE(MID(I1878,IFERROR(FIND("and",I1878)+3,1),20),"second(s)","")),0)</f>
        <v/>
      </c>
      <c r="K1878" s="41">
        <f>J1878/60</f>
        <v/>
      </c>
      <c r="L1878" s="41">
        <f>IFERROR(J1878/H1878,"")</f>
        <v/>
      </c>
      <c r="M1878" s="25" t="inlineStr">
        <is>
          <t>2.5.12</t>
        </is>
      </c>
      <c r="N1878" s="25">
        <f>IF(J1878&gt;300,1,0)</f>
        <v/>
      </c>
      <c r="O1878" s="25">
        <f>IF(J1878&gt;600,1,0)</f>
        <v/>
      </c>
      <c r="P1878" s="25">
        <f>IF(H1878&gt;0,J1878,"")</f>
        <v/>
      </c>
      <c r="Q1878" s="25">
        <f>TEXT(A1878,"YYYY-MM-DD HH")</f>
        <v/>
      </c>
      <c r="R1878" s="25">
        <f>COUNTIF($Q$2:$Q$5295,Q1878)</f>
        <v/>
      </c>
      <c r="S1878" s="25">
        <f>IF(R1878&lt;=2,"1-2",IF(R1878&lt;=5,"3-5",IF(R1878&lt;=10,"6-10","11+")))</f>
        <v/>
      </c>
    </row>
    <row r="1879">
      <c r="A1879" s="39" t="n">
        <v>46171.24363425926</v>
      </c>
      <c r="B1879" s="25">
        <f>TEXT(A1879,"YYYY-MM")</f>
        <v/>
      </c>
      <c r="C1879" s="25">
        <f>TEXT(A1879,"MMM-YYYY")</f>
        <v/>
      </c>
      <c r="D1879" s="40">
        <f>INT(A1879)-WEEKDAY(A1879,2)+1</f>
        <v/>
      </c>
      <c r="E1879" s="25" t="inlineStr">
        <is>
          <t>arsarkar</t>
        </is>
      </c>
      <c r="F1879" s="25" t="n">
        <v>6263</v>
      </c>
      <c r="G1879" s="25" t="n">
        <v>1</v>
      </c>
      <c r="H1879" s="25" t="n">
        <v>7</v>
      </c>
      <c r="I1879" s="25" t="inlineStr">
        <is>
          <t>1 minute(s) and 41 second(s)</t>
        </is>
      </c>
      <c r="J1879" s="25">
        <f>IFERROR(VALUE(TRIM(LEFT(I1879,FIND("minute",I1879)-1)))*60,0)+IFERROR(VALUE(SUBSTITUTE(MID(I1879,IFERROR(FIND("and",I1879)+3,1),20),"second(s)","")),0)</f>
        <v/>
      </c>
      <c r="K1879" s="41">
        <f>J1879/60</f>
        <v/>
      </c>
      <c r="L1879" s="41">
        <f>IFERROR(J1879/H1879,"")</f>
        <v/>
      </c>
      <c r="M1879" s="25" t="inlineStr">
        <is>
          <t>2.5.12</t>
        </is>
      </c>
      <c r="N1879" s="25">
        <f>IF(J1879&gt;300,1,0)</f>
        <v/>
      </c>
      <c r="O1879" s="25">
        <f>IF(J1879&gt;600,1,0)</f>
        <v/>
      </c>
      <c r="P1879" s="25">
        <f>IF(H1879&gt;0,J1879,"")</f>
        <v/>
      </c>
      <c r="Q1879" s="25">
        <f>TEXT(A1879,"YYYY-MM-DD HH")</f>
        <v/>
      </c>
      <c r="R1879" s="25">
        <f>COUNTIF($Q$2:$Q$5295,Q1879)</f>
        <v/>
      </c>
      <c r="S1879" s="25">
        <f>IF(R1879&lt;=2,"1-2",IF(R1879&lt;=5,"3-5",IF(R1879&lt;=10,"6-10","11+")))</f>
        <v/>
      </c>
    </row>
    <row r="1880">
      <c r="A1880" s="39" t="n">
        <v>46171.2453587963</v>
      </c>
      <c r="B1880" s="25">
        <f>TEXT(A1880,"YYYY-MM")</f>
        <v/>
      </c>
      <c r="C1880" s="25">
        <f>TEXT(A1880,"MMM-YYYY")</f>
        <v/>
      </c>
      <c r="D1880" s="40">
        <f>INT(A1880)-WEEKDAY(A1880,2)+1</f>
        <v/>
      </c>
      <c r="E1880" s="25" t="inlineStr">
        <is>
          <t>mbohra</t>
        </is>
      </c>
      <c r="F1880" s="25" t="n">
        <v>90099</v>
      </c>
      <c r="G1880" s="25" t="n">
        <v>4</v>
      </c>
      <c r="H1880" s="25" t="n">
        <v>16</v>
      </c>
      <c r="I1880" s="25" t="inlineStr">
        <is>
          <t>5 minute(s) and 58 second(s)</t>
        </is>
      </c>
      <c r="J1880" s="25">
        <f>IFERROR(VALUE(TRIM(LEFT(I1880,FIND("minute",I1880)-1)))*60,0)+IFERROR(VALUE(SUBSTITUTE(MID(I1880,IFERROR(FIND("and",I1880)+3,1),20),"second(s)","")),0)</f>
        <v/>
      </c>
      <c r="K1880" s="41">
        <f>J1880/60</f>
        <v/>
      </c>
      <c r="L1880" s="41">
        <f>IFERROR(J1880/H1880,"")</f>
        <v/>
      </c>
      <c r="M1880" s="25" t="inlineStr">
        <is>
          <t>2.5.12</t>
        </is>
      </c>
      <c r="N1880" s="25">
        <f>IF(J1880&gt;300,1,0)</f>
        <v/>
      </c>
      <c r="O1880" s="25">
        <f>IF(J1880&gt;600,1,0)</f>
        <v/>
      </c>
      <c r="P1880" s="25">
        <f>IF(H1880&gt;0,J1880,"")</f>
        <v/>
      </c>
      <c r="Q1880" s="25">
        <f>TEXT(A1880,"YYYY-MM-DD HH")</f>
        <v/>
      </c>
      <c r="R1880" s="25">
        <f>COUNTIF($Q$2:$Q$5295,Q1880)</f>
        <v/>
      </c>
      <c r="S1880" s="25">
        <f>IF(R1880&lt;=2,"1-2",IF(R1880&lt;=5,"3-5",IF(R1880&lt;=10,"6-10","11+")))</f>
        <v/>
      </c>
    </row>
    <row r="1881">
      <c r="A1881" s="39" t="n">
        <v>46171.25424768519</v>
      </c>
      <c r="B1881" s="25">
        <f>TEXT(A1881,"YYYY-MM")</f>
        <v/>
      </c>
      <c r="C1881" s="25">
        <f>TEXT(A1881,"MMM-YYYY")</f>
        <v/>
      </c>
      <c r="D1881" s="40">
        <f>INT(A1881)-WEEKDAY(A1881,2)+1</f>
        <v/>
      </c>
      <c r="E1881" s="25" t="inlineStr">
        <is>
          <t>aupadhayay</t>
        </is>
      </c>
      <c r="F1881" s="25" t="n">
        <v>5423</v>
      </c>
      <c r="G1881" s="25" t="n">
        <v>1</v>
      </c>
      <c r="H1881" s="25" t="n">
        <v>5</v>
      </c>
      <c r="I1881" s="25" t="inlineStr">
        <is>
          <t>1 minute(s) and 6 second(s)</t>
        </is>
      </c>
      <c r="J1881" s="25">
        <f>IFERROR(VALUE(TRIM(LEFT(I1881,FIND("minute",I1881)-1)))*60,0)+IFERROR(VALUE(SUBSTITUTE(MID(I1881,IFERROR(FIND("and",I1881)+3,1),20),"second(s)","")),0)</f>
        <v/>
      </c>
      <c r="K1881" s="41">
        <f>J1881/60</f>
        <v/>
      </c>
      <c r="L1881" s="41">
        <f>IFERROR(J1881/H1881,"")</f>
        <v/>
      </c>
      <c r="M1881" s="25" t="inlineStr">
        <is>
          <t>2.5.12</t>
        </is>
      </c>
      <c r="N1881" s="25">
        <f>IF(J1881&gt;300,1,0)</f>
        <v/>
      </c>
      <c r="O1881" s="25">
        <f>IF(J1881&gt;600,1,0)</f>
        <v/>
      </c>
      <c r="P1881" s="25">
        <f>IF(H1881&gt;0,J1881,"")</f>
        <v/>
      </c>
      <c r="Q1881" s="25">
        <f>TEXT(A1881,"YYYY-MM-DD HH")</f>
        <v/>
      </c>
      <c r="R1881" s="25">
        <f>COUNTIF($Q$2:$Q$5295,Q1881)</f>
        <v/>
      </c>
      <c r="S1881" s="25">
        <f>IF(R1881&lt;=2,"1-2",IF(R1881&lt;=5,"3-5",IF(R1881&lt;=10,"6-10","11+")))</f>
        <v/>
      </c>
    </row>
    <row r="1882">
      <c r="A1882" s="39" t="n">
        <v>46171.25731481481</v>
      </c>
      <c r="B1882" s="25">
        <f>TEXT(A1882,"YYYY-MM")</f>
        <v/>
      </c>
      <c r="C1882" s="25">
        <f>TEXT(A1882,"MMM-YYYY")</f>
        <v/>
      </c>
      <c r="D1882" s="40">
        <f>INT(A1882)-WEEKDAY(A1882,2)+1</f>
        <v/>
      </c>
      <c r="E1882" s="25" t="inlineStr">
        <is>
          <t>mbhalla</t>
        </is>
      </c>
      <c r="F1882" s="25" t="n">
        <v>4225</v>
      </c>
      <c r="G1882" s="25" t="n">
        <v>1</v>
      </c>
      <c r="H1882" s="25" t="n">
        <v>7</v>
      </c>
      <c r="I1882" s="25" t="inlineStr">
        <is>
          <t>1 minute(s) and 38 second(s)</t>
        </is>
      </c>
      <c r="J1882" s="25">
        <f>IFERROR(VALUE(TRIM(LEFT(I1882,FIND("minute",I1882)-1)))*60,0)+IFERROR(VALUE(SUBSTITUTE(MID(I1882,IFERROR(FIND("and",I1882)+3,1),20),"second(s)","")),0)</f>
        <v/>
      </c>
      <c r="K1882" s="41">
        <f>J1882/60</f>
        <v/>
      </c>
      <c r="L1882" s="41">
        <f>IFERROR(J1882/H1882,"")</f>
        <v/>
      </c>
      <c r="M1882" s="25" t="inlineStr">
        <is>
          <t>2.5.12</t>
        </is>
      </c>
      <c r="N1882" s="25">
        <f>IF(J1882&gt;300,1,0)</f>
        <v/>
      </c>
      <c r="O1882" s="25">
        <f>IF(J1882&gt;600,1,0)</f>
        <v/>
      </c>
      <c r="P1882" s="25">
        <f>IF(H1882&gt;0,J1882,"")</f>
        <v/>
      </c>
      <c r="Q1882" s="25">
        <f>TEXT(A1882,"YYYY-MM-DD HH")</f>
        <v/>
      </c>
      <c r="R1882" s="25">
        <f>COUNTIF($Q$2:$Q$5295,Q1882)</f>
        <v/>
      </c>
      <c r="S1882" s="25">
        <f>IF(R1882&lt;=2,"1-2",IF(R1882&lt;=5,"3-5",IF(R1882&lt;=10,"6-10","11+")))</f>
        <v/>
      </c>
    </row>
    <row r="1883">
      <c r="A1883" s="39" t="n">
        <v>46171.2763425926</v>
      </c>
      <c r="B1883" s="25">
        <f>TEXT(A1883,"YYYY-MM")</f>
        <v/>
      </c>
      <c r="C1883" s="25">
        <f>TEXT(A1883,"MMM-YYYY")</f>
        <v/>
      </c>
      <c r="D1883" s="40">
        <f>INT(A1883)-WEEKDAY(A1883,2)+1</f>
        <v/>
      </c>
      <c r="E1883" s="25" t="inlineStr">
        <is>
          <t>mbhalla</t>
        </is>
      </c>
      <c r="F1883" s="25" t="n">
        <v>4225</v>
      </c>
      <c r="G1883" s="25" t="n">
        <v>1</v>
      </c>
      <c r="H1883" s="25" t="n">
        <v>5</v>
      </c>
      <c r="I1883" s="25" t="inlineStr">
        <is>
          <t>41 second(s)</t>
        </is>
      </c>
      <c r="J1883" s="25">
        <f>IFERROR(VALUE(TRIM(LEFT(I1883,FIND("minute",I1883)-1)))*60,0)+IFERROR(VALUE(SUBSTITUTE(MID(I1883,IFERROR(FIND("and",I1883)+3,1),20),"second(s)","")),0)</f>
        <v/>
      </c>
      <c r="K1883" s="41">
        <f>J1883/60</f>
        <v/>
      </c>
      <c r="L1883" s="41">
        <f>IFERROR(J1883/H1883,"")</f>
        <v/>
      </c>
      <c r="M1883" s="25" t="inlineStr">
        <is>
          <t>2.5.12</t>
        </is>
      </c>
      <c r="N1883" s="25">
        <f>IF(J1883&gt;300,1,0)</f>
        <v/>
      </c>
      <c r="O1883" s="25">
        <f>IF(J1883&gt;600,1,0)</f>
        <v/>
      </c>
      <c r="P1883" s="25">
        <f>IF(H1883&gt;0,J1883,"")</f>
        <v/>
      </c>
      <c r="Q1883" s="25">
        <f>TEXT(A1883,"YYYY-MM-DD HH")</f>
        <v/>
      </c>
      <c r="R1883" s="25">
        <f>COUNTIF($Q$2:$Q$5295,Q1883)</f>
        <v/>
      </c>
      <c r="S1883" s="25">
        <f>IF(R1883&lt;=2,"1-2",IF(R1883&lt;=5,"3-5",IF(R1883&lt;=10,"6-10","11+")))</f>
        <v/>
      </c>
    </row>
    <row r="1884">
      <c r="A1884" s="39" t="n">
        <v>46171.2769675926</v>
      </c>
      <c r="B1884" s="25">
        <f>TEXT(A1884,"YYYY-MM")</f>
        <v/>
      </c>
      <c r="C1884" s="25">
        <f>TEXT(A1884,"MMM-YYYY")</f>
        <v/>
      </c>
      <c r="D1884" s="40">
        <f>INT(A1884)-WEEKDAY(A1884,2)+1</f>
        <v/>
      </c>
      <c r="E1884" s="25" t="inlineStr">
        <is>
          <t>aupadhayay</t>
        </is>
      </c>
      <c r="F1884" s="25" t="n">
        <v>5421</v>
      </c>
      <c r="G1884" s="25" t="n">
        <v>1</v>
      </c>
      <c r="H1884" s="25" t="n">
        <v>5</v>
      </c>
      <c r="I1884" s="25" t="inlineStr">
        <is>
          <t>1 minute(s) and 20 second(s)</t>
        </is>
      </c>
      <c r="J1884" s="25">
        <f>IFERROR(VALUE(TRIM(LEFT(I1884,FIND("minute",I1884)-1)))*60,0)+IFERROR(VALUE(SUBSTITUTE(MID(I1884,IFERROR(FIND("and",I1884)+3,1),20),"second(s)","")),0)</f>
        <v/>
      </c>
      <c r="K1884" s="41">
        <f>J1884/60</f>
        <v/>
      </c>
      <c r="L1884" s="41">
        <f>IFERROR(J1884/H1884,"")</f>
        <v/>
      </c>
      <c r="M1884" s="25" t="inlineStr">
        <is>
          <t>2.5.12</t>
        </is>
      </c>
      <c r="N1884" s="25">
        <f>IF(J1884&gt;300,1,0)</f>
        <v/>
      </c>
      <c r="O1884" s="25">
        <f>IF(J1884&gt;600,1,0)</f>
        <v/>
      </c>
      <c r="P1884" s="25">
        <f>IF(H1884&gt;0,J1884,"")</f>
        <v/>
      </c>
      <c r="Q1884" s="25">
        <f>TEXT(A1884,"YYYY-MM-DD HH")</f>
        <v/>
      </c>
      <c r="R1884" s="25">
        <f>COUNTIF($Q$2:$Q$5295,Q1884)</f>
        <v/>
      </c>
      <c r="S1884" s="25">
        <f>IF(R1884&lt;=2,"1-2",IF(R1884&lt;=5,"3-5",IF(R1884&lt;=10,"6-10","11+")))</f>
        <v/>
      </c>
    </row>
    <row r="1885">
      <c r="A1885" s="39" t="n">
        <v>46171.28328703704</v>
      </c>
      <c r="B1885" s="25">
        <f>TEXT(A1885,"YYYY-MM")</f>
        <v/>
      </c>
      <c r="C1885" s="25">
        <f>TEXT(A1885,"MMM-YYYY")</f>
        <v/>
      </c>
      <c r="D1885" s="40">
        <f>INT(A1885)-WEEKDAY(A1885,2)+1</f>
        <v/>
      </c>
      <c r="E1885" s="25" t="inlineStr">
        <is>
          <t>atiwari</t>
        </is>
      </c>
      <c r="F1885" s="25" t="n">
        <v>5321</v>
      </c>
      <c r="G1885" s="25" t="n">
        <v>1</v>
      </c>
      <c r="H1885" s="25" t="n">
        <v>5</v>
      </c>
      <c r="I1885" s="25" t="inlineStr">
        <is>
          <t>55 second(s)</t>
        </is>
      </c>
      <c r="J1885" s="25">
        <f>IFERROR(VALUE(TRIM(LEFT(I1885,FIND("minute",I1885)-1)))*60,0)+IFERROR(VALUE(SUBSTITUTE(MID(I1885,IFERROR(FIND("and",I1885)+3,1),20),"second(s)","")),0)</f>
        <v/>
      </c>
      <c r="K1885" s="41">
        <f>J1885/60</f>
        <v/>
      </c>
      <c r="L1885" s="41">
        <f>IFERROR(J1885/H1885,"")</f>
        <v/>
      </c>
      <c r="M1885" s="25" t="inlineStr">
        <is>
          <t>2.5.12</t>
        </is>
      </c>
      <c r="N1885" s="25">
        <f>IF(J1885&gt;300,1,0)</f>
        <v/>
      </c>
      <c r="O1885" s="25">
        <f>IF(J1885&gt;600,1,0)</f>
        <v/>
      </c>
      <c r="P1885" s="25">
        <f>IF(H1885&gt;0,J1885,"")</f>
        <v/>
      </c>
      <c r="Q1885" s="25">
        <f>TEXT(A1885,"YYYY-MM-DD HH")</f>
        <v/>
      </c>
      <c r="R1885" s="25">
        <f>COUNTIF($Q$2:$Q$5295,Q1885)</f>
        <v/>
      </c>
      <c r="S1885" s="25">
        <f>IF(R1885&lt;=2,"1-2",IF(R1885&lt;=5,"3-5",IF(R1885&lt;=10,"6-10","11+")))</f>
        <v/>
      </c>
    </row>
    <row r="1886">
      <c r="A1886" s="39" t="n">
        <v>46171.28974537037</v>
      </c>
      <c r="B1886" s="25">
        <f>TEXT(A1886,"YYYY-MM")</f>
        <v/>
      </c>
      <c r="C1886" s="25">
        <f>TEXT(A1886,"MMM-YYYY")</f>
        <v/>
      </c>
      <c r="D1886" s="40">
        <f>INT(A1886)-WEEKDAY(A1886,2)+1</f>
        <v/>
      </c>
      <c r="E1886" s="25" t="inlineStr">
        <is>
          <t>adey</t>
        </is>
      </c>
      <c r="F1886" s="25" t="n">
        <v>3950</v>
      </c>
      <c r="G1886" s="25" t="n">
        <v>1</v>
      </c>
      <c r="H1886" s="25" t="n">
        <v>7</v>
      </c>
      <c r="I1886" s="25" t="inlineStr">
        <is>
          <t>2 minute(s) and 8 second(s)</t>
        </is>
      </c>
      <c r="J1886" s="25">
        <f>IFERROR(VALUE(TRIM(LEFT(I1886,FIND("minute",I1886)-1)))*60,0)+IFERROR(VALUE(SUBSTITUTE(MID(I1886,IFERROR(FIND("and",I1886)+3,1),20),"second(s)","")),0)</f>
        <v/>
      </c>
      <c r="K1886" s="41">
        <f>J1886/60</f>
        <v/>
      </c>
      <c r="L1886" s="41">
        <f>IFERROR(J1886/H1886,"")</f>
        <v/>
      </c>
      <c r="M1886" s="25" t="inlineStr">
        <is>
          <t>2.5.12</t>
        </is>
      </c>
      <c r="N1886" s="25">
        <f>IF(J1886&gt;300,1,0)</f>
        <v/>
      </c>
      <c r="O1886" s="25">
        <f>IF(J1886&gt;600,1,0)</f>
        <v/>
      </c>
      <c r="P1886" s="25">
        <f>IF(H1886&gt;0,J1886,"")</f>
        <v/>
      </c>
      <c r="Q1886" s="25">
        <f>TEXT(A1886,"YYYY-MM-DD HH")</f>
        <v/>
      </c>
      <c r="R1886" s="25">
        <f>COUNTIF($Q$2:$Q$5295,Q1886)</f>
        <v/>
      </c>
      <c r="S1886" s="25">
        <f>IF(R1886&lt;=2,"1-2",IF(R1886&lt;=5,"3-5",IF(R1886&lt;=10,"6-10","11+")))</f>
        <v/>
      </c>
    </row>
    <row r="1887">
      <c r="A1887" s="39" t="n">
        <v>46171.30700231482</v>
      </c>
      <c r="B1887" s="25">
        <f>TEXT(A1887,"YYYY-MM")</f>
        <v/>
      </c>
      <c r="C1887" s="25">
        <f>TEXT(A1887,"MMM-YYYY")</f>
        <v/>
      </c>
      <c r="D1887" s="40">
        <f>INT(A1887)-WEEKDAY(A1887,2)+1</f>
        <v/>
      </c>
      <c r="E1887" s="25" t="inlineStr">
        <is>
          <t>csaha</t>
        </is>
      </c>
      <c r="F1887" s="25" t="n">
        <v>4522</v>
      </c>
      <c r="G1887" s="25" t="n">
        <v>1</v>
      </c>
      <c r="H1887" s="25" t="n">
        <v>5</v>
      </c>
      <c r="I1887" s="25" t="inlineStr">
        <is>
          <t>1 minute(s) and 18 second(s)</t>
        </is>
      </c>
      <c r="J1887" s="25">
        <f>IFERROR(VALUE(TRIM(LEFT(I1887,FIND("minute",I1887)-1)))*60,0)+IFERROR(VALUE(SUBSTITUTE(MID(I1887,IFERROR(FIND("and",I1887)+3,1),20),"second(s)","")),0)</f>
        <v/>
      </c>
      <c r="K1887" s="41">
        <f>J1887/60</f>
        <v/>
      </c>
      <c r="L1887" s="41">
        <f>IFERROR(J1887/H1887,"")</f>
        <v/>
      </c>
      <c r="M1887" s="25" t="inlineStr">
        <is>
          <t>2.5.12</t>
        </is>
      </c>
      <c r="N1887" s="25">
        <f>IF(J1887&gt;300,1,0)</f>
        <v/>
      </c>
      <c r="O1887" s="25">
        <f>IF(J1887&gt;600,1,0)</f>
        <v/>
      </c>
      <c r="P1887" s="25">
        <f>IF(H1887&gt;0,J1887,"")</f>
        <v/>
      </c>
      <c r="Q1887" s="25">
        <f>TEXT(A1887,"YYYY-MM-DD HH")</f>
        <v/>
      </c>
      <c r="R1887" s="25">
        <f>COUNTIF($Q$2:$Q$5295,Q1887)</f>
        <v/>
      </c>
      <c r="S1887" s="25">
        <f>IF(R1887&lt;=2,"1-2",IF(R1887&lt;=5,"3-5",IF(R1887&lt;=10,"6-10","11+")))</f>
        <v/>
      </c>
    </row>
    <row r="1888">
      <c r="A1888" s="39" t="n">
        <v>46171.30825231481</v>
      </c>
      <c r="B1888" s="25">
        <f>TEXT(A1888,"YYYY-MM")</f>
        <v/>
      </c>
      <c r="C1888" s="25">
        <f>TEXT(A1888,"MMM-YYYY")</f>
        <v/>
      </c>
      <c r="D1888" s="40">
        <f>INT(A1888)-WEEKDAY(A1888,2)+1</f>
        <v/>
      </c>
      <c r="E1888" s="25" t="inlineStr">
        <is>
          <t>atiwari</t>
        </is>
      </c>
      <c r="F1888" s="25" t="n">
        <v>5295</v>
      </c>
      <c r="G1888" s="25" t="n">
        <v>2</v>
      </c>
      <c r="H1888" s="25" t="n">
        <v>12</v>
      </c>
      <c r="I1888" s="25" t="inlineStr">
        <is>
          <t>1 minute(s) and 51 second(s)</t>
        </is>
      </c>
      <c r="J1888" s="25">
        <f>IFERROR(VALUE(TRIM(LEFT(I1888,FIND("minute",I1888)-1)))*60,0)+IFERROR(VALUE(SUBSTITUTE(MID(I1888,IFERROR(FIND("and",I1888)+3,1),20),"second(s)","")),0)</f>
        <v/>
      </c>
      <c r="K1888" s="41">
        <f>J1888/60</f>
        <v/>
      </c>
      <c r="L1888" s="41">
        <f>IFERROR(J1888/H1888,"")</f>
        <v/>
      </c>
      <c r="M1888" s="25" t="inlineStr">
        <is>
          <t>2.5.12</t>
        </is>
      </c>
      <c r="N1888" s="25">
        <f>IF(J1888&gt;300,1,0)</f>
        <v/>
      </c>
      <c r="O1888" s="25">
        <f>IF(J1888&gt;600,1,0)</f>
        <v/>
      </c>
      <c r="P1888" s="25">
        <f>IF(H1888&gt;0,J1888,"")</f>
        <v/>
      </c>
      <c r="Q1888" s="25">
        <f>TEXT(A1888,"YYYY-MM-DD HH")</f>
        <v/>
      </c>
      <c r="R1888" s="25">
        <f>COUNTIF($Q$2:$Q$5295,Q1888)</f>
        <v/>
      </c>
      <c r="S1888" s="25">
        <f>IF(R1888&lt;=2,"1-2",IF(R1888&lt;=5,"3-5",IF(R1888&lt;=10,"6-10","11+")))</f>
        <v/>
      </c>
    </row>
    <row r="1889">
      <c r="A1889" s="39" t="n">
        <v>46171.30883101852</v>
      </c>
      <c r="B1889" s="25">
        <f>TEXT(A1889,"YYYY-MM")</f>
        <v/>
      </c>
      <c r="C1889" s="25">
        <f>TEXT(A1889,"MMM-YYYY")</f>
        <v/>
      </c>
      <c r="D1889" s="40">
        <f>INT(A1889)-WEEKDAY(A1889,2)+1</f>
        <v/>
      </c>
      <c r="E1889" s="25" t="inlineStr">
        <is>
          <t>ssrinivasan</t>
        </is>
      </c>
      <c r="F1889" s="25" t="n">
        <v>52940</v>
      </c>
      <c r="G1889" s="25" t="n">
        <v>2</v>
      </c>
      <c r="H1889" s="25" t="n">
        <v>6</v>
      </c>
      <c r="I1889" s="25" t="inlineStr">
        <is>
          <t>1 minute(s) and 14 second(s)</t>
        </is>
      </c>
      <c r="J1889" s="25">
        <f>IFERROR(VALUE(TRIM(LEFT(I1889,FIND("minute",I1889)-1)))*60,0)+IFERROR(VALUE(SUBSTITUTE(MID(I1889,IFERROR(FIND("and",I1889)+3,1),20),"second(s)","")),0)</f>
        <v/>
      </c>
      <c r="K1889" s="41">
        <f>J1889/60</f>
        <v/>
      </c>
      <c r="L1889" s="41">
        <f>IFERROR(J1889/H1889,"")</f>
        <v/>
      </c>
      <c r="M1889" s="25" t="inlineStr">
        <is>
          <t>2.5.12</t>
        </is>
      </c>
      <c r="N1889" s="25">
        <f>IF(J1889&gt;300,1,0)</f>
        <v/>
      </c>
      <c r="O1889" s="25">
        <f>IF(J1889&gt;600,1,0)</f>
        <v/>
      </c>
      <c r="P1889" s="25">
        <f>IF(H1889&gt;0,J1889,"")</f>
        <v/>
      </c>
      <c r="Q1889" s="25">
        <f>TEXT(A1889,"YYYY-MM-DD HH")</f>
        <v/>
      </c>
      <c r="R1889" s="25">
        <f>COUNTIF($Q$2:$Q$5295,Q1889)</f>
        <v/>
      </c>
      <c r="S1889" s="25">
        <f>IF(R1889&lt;=2,"1-2",IF(R1889&lt;=5,"3-5",IF(R1889&lt;=10,"6-10","11+")))</f>
        <v/>
      </c>
    </row>
    <row r="1890">
      <c r="A1890" s="39" t="n">
        <v>46171.69760416666</v>
      </c>
      <c r="B1890" s="25">
        <f>TEXT(A1890,"YYYY-MM")</f>
        <v/>
      </c>
      <c r="C1890" s="25">
        <f>TEXT(A1890,"MMM-YYYY")</f>
        <v/>
      </c>
      <c r="D1890" s="40">
        <f>INT(A1890)-WEEKDAY(A1890,2)+1</f>
        <v/>
      </c>
      <c r="E1890" s="25" t="inlineStr">
        <is>
          <t>psingh</t>
        </is>
      </c>
      <c r="F1890" s="25" t="n">
        <v>6183</v>
      </c>
      <c r="G1890" s="25" t="n">
        <v>1</v>
      </c>
      <c r="H1890" s="25" t="n">
        <v>7</v>
      </c>
      <c r="I1890" s="25" t="inlineStr">
        <is>
          <t>4 minute(s) and 49 second(s)</t>
        </is>
      </c>
      <c r="J1890" s="25">
        <f>IFERROR(VALUE(TRIM(LEFT(I1890,FIND("minute",I1890)-1)))*60,0)+IFERROR(VALUE(SUBSTITUTE(MID(I1890,IFERROR(FIND("and",I1890)+3,1),20),"second(s)","")),0)</f>
        <v/>
      </c>
      <c r="K1890" s="41">
        <f>J1890/60</f>
        <v/>
      </c>
      <c r="L1890" s="41">
        <f>IFERROR(J1890/H1890,"")</f>
        <v/>
      </c>
      <c r="M1890" s="25" t="inlineStr">
        <is>
          <t>2.5.12</t>
        </is>
      </c>
      <c r="N1890" s="25">
        <f>IF(J1890&gt;300,1,0)</f>
        <v/>
      </c>
      <c r="O1890" s="25">
        <f>IF(J1890&gt;600,1,0)</f>
        <v/>
      </c>
      <c r="P1890" s="25">
        <f>IF(H1890&gt;0,J1890,"")</f>
        <v/>
      </c>
      <c r="Q1890" s="25">
        <f>TEXT(A1890,"YYYY-MM-DD HH")</f>
        <v/>
      </c>
      <c r="R1890" s="25">
        <f>COUNTIF($Q$2:$Q$5295,Q1890)</f>
        <v/>
      </c>
      <c r="S1890" s="25">
        <f>IF(R1890&lt;=2,"1-2",IF(R1890&lt;=5,"3-5",IF(R1890&lt;=10,"6-10","11+")))</f>
        <v/>
      </c>
    </row>
    <row r="1891">
      <c r="A1891" s="39" t="n">
        <v>46171.75453703704</v>
      </c>
      <c r="B1891" s="25">
        <f>TEXT(A1891,"YYYY-MM")</f>
        <v/>
      </c>
      <c r="C1891" s="25">
        <f>TEXT(A1891,"MMM-YYYY")</f>
        <v/>
      </c>
      <c r="D1891" s="40">
        <f>INT(A1891)-WEEKDAY(A1891,2)+1</f>
        <v/>
      </c>
      <c r="E1891" s="25" t="inlineStr">
        <is>
          <t>ssaha</t>
        </is>
      </c>
      <c r="F1891" s="25" t="n">
        <v>49249</v>
      </c>
      <c r="G1891" s="25" t="n">
        <v>1</v>
      </c>
      <c r="H1891" s="25" t="n">
        <v>5</v>
      </c>
      <c r="I1891" s="25" t="inlineStr">
        <is>
          <t>2 minute(s) and 6 second(s)</t>
        </is>
      </c>
      <c r="J1891" s="25">
        <f>IFERROR(VALUE(TRIM(LEFT(I1891,FIND("minute",I1891)-1)))*60,0)+IFERROR(VALUE(SUBSTITUTE(MID(I1891,IFERROR(FIND("and",I1891)+3,1),20),"second(s)","")),0)</f>
        <v/>
      </c>
      <c r="K1891" s="41">
        <f>J1891/60</f>
        <v/>
      </c>
      <c r="L1891" s="41">
        <f>IFERROR(J1891/H1891,"")</f>
        <v/>
      </c>
      <c r="M1891" s="25" t="inlineStr">
        <is>
          <t>2.5.12</t>
        </is>
      </c>
      <c r="N1891" s="25">
        <f>IF(J1891&gt;300,1,0)</f>
        <v/>
      </c>
      <c r="O1891" s="25">
        <f>IF(J1891&gt;600,1,0)</f>
        <v/>
      </c>
      <c r="P1891" s="25">
        <f>IF(H1891&gt;0,J1891,"")</f>
        <v/>
      </c>
      <c r="Q1891" s="25">
        <f>TEXT(A1891,"YYYY-MM-DD HH")</f>
        <v/>
      </c>
      <c r="R1891" s="25">
        <f>COUNTIF($Q$2:$Q$5295,Q1891)</f>
        <v/>
      </c>
      <c r="S1891" s="25">
        <f>IF(R1891&lt;=2,"1-2",IF(R1891&lt;=5,"3-5",IF(R1891&lt;=10,"6-10","11+")))</f>
        <v/>
      </c>
    </row>
    <row r="1892">
      <c r="A1892" s="39" t="n">
        <v>46174.6609375</v>
      </c>
      <c r="B1892" s="25">
        <f>TEXT(A1892,"YYYY-MM")</f>
        <v/>
      </c>
      <c r="C1892" s="25">
        <f>TEXT(A1892,"MMM-YYYY")</f>
        <v/>
      </c>
      <c r="D1892" s="40">
        <f>INT(A1892)-WEEKDAY(A1892,2)+1</f>
        <v/>
      </c>
      <c r="E1892" s="25" t="inlineStr">
        <is>
          <t>ssaha</t>
        </is>
      </c>
      <c r="F1892" s="25" t="n">
        <v>17458</v>
      </c>
      <c r="G1892" s="25" t="n">
        <v>1</v>
      </c>
      <c r="H1892" s="25" t="n">
        <v>7</v>
      </c>
      <c r="I1892" s="25" t="inlineStr">
        <is>
          <t>2 minute(s) and 17 second(s)</t>
        </is>
      </c>
      <c r="J1892" s="25">
        <f>IFERROR(VALUE(TRIM(LEFT(I1892,FIND("minute",I1892)-1)))*60,0)+IFERROR(VALUE(SUBSTITUTE(MID(I1892,IFERROR(FIND("and",I1892)+3,1),20),"second(s)","")),0)</f>
        <v/>
      </c>
      <c r="K1892" s="41">
        <f>J1892/60</f>
        <v/>
      </c>
      <c r="L1892" s="41">
        <f>IFERROR(J1892/H1892,"")</f>
        <v/>
      </c>
      <c r="M1892" s="25" t="inlineStr">
        <is>
          <t>2.5.12</t>
        </is>
      </c>
      <c r="N1892" s="25">
        <f>IF(J1892&gt;300,1,0)</f>
        <v/>
      </c>
      <c r="O1892" s="25">
        <f>IF(J1892&gt;600,1,0)</f>
        <v/>
      </c>
      <c r="P1892" s="25">
        <f>IF(H1892&gt;0,J1892,"")</f>
        <v/>
      </c>
      <c r="Q1892" s="25">
        <f>TEXT(A1892,"YYYY-MM-DD HH")</f>
        <v/>
      </c>
      <c r="R1892" s="25">
        <f>COUNTIF($Q$2:$Q$5295,Q1892)</f>
        <v/>
      </c>
      <c r="S1892" s="25">
        <f>IF(R1892&lt;=2,"1-2",IF(R1892&lt;=5,"3-5",IF(R1892&lt;=10,"6-10","11+")))</f>
        <v/>
      </c>
    </row>
    <row r="1893">
      <c r="A1893" s="39" t="n">
        <v>46174.71903935185</v>
      </c>
      <c r="B1893" s="25">
        <f>TEXT(A1893,"YYYY-MM")</f>
        <v/>
      </c>
      <c r="C1893" s="25">
        <f>TEXT(A1893,"MMM-YYYY")</f>
        <v/>
      </c>
      <c r="D1893" s="40">
        <f>INT(A1893)-WEEKDAY(A1893,2)+1</f>
        <v/>
      </c>
      <c r="E1893" s="25" t="inlineStr">
        <is>
          <t>ssaha</t>
        </is>
      </c>
      <c r="F1893" s="25" t="n">
        <v>17457</v>
      </c>
      <c r="G1893" s="25" t="n">
        <v>1</v>
      </c>
      <c r="H1893" s="25" t="n">
        <v>7</v>
      </c>
      <c r="I1893" s="25" t="inlineStr">
        <is>
          <t>2 minute(s) and 31 second(s)</t>
        </is>
      </c>
      <c r="J1893" s="25">
        <f>IFERROR(VALUE(TRIM(LEFT(I1893,FIND("minute",I1893)-1)))*60,0)+IFERROR(VALUE(SUBSTITUTE(MID(I1893,IFERROR(FIND("and",I1893)+3,1),20),"second(s)","")),0)</f>
        <v/>
      </c>
      <c r="K1893" s="41">
        <f>J1893/60</f>
        <v/>
      </c>
      <c r="L1893" s="41">
        <f>IFERROR(J1893/H1893,"")</f>
        <v/>
      </c>
      <c r="M1893" s="25" t="inlineStr">
        <is>
          <t>2.5.12</t>
        </is>
      </c>
      <c r="N1893" s="25">
        <f>IF(J1893&gt;300,1,0)</f>
        <v/>
      </c>
      <c r="O1893" s="25">
        <f>IF(J1893&gt;600,1,0)</f>
        <v/>
      </c>
      <c r="P1893" s="25">
        <f>IF(H1893&gt;0,J1893,"")</f>
        <v/>
      </c>
      <c r="Q1893" s="25">
        <f>TEXT(A1893,"YYYY-MM-DD HH")</f>
        <v/>
      </c>
      <c r="R1893" s="25">
        <f>COUNTIF($Q$2:$Q$5295,Q1893)</f>
        <v/>
      </c>
      <c r="S1893" s="25">
        <f>IF(R1893&lt;=2,"1-2",IF(R1893&lt;=5,"3-5",IF(R1893&lt;=10,"6-10","11+")))</f>
        <v/>
      </c>
    </row>
    <row r="1894">
      <c r="A1894" s="39" t="n">
        <v>46174.74994212963</v>
      </c>
      <c r="B1894" s="25">
        <f>TEXT(A1894,"YYYY-MM")</f>
        <v/>
      </c>
      <c r="C1894" s="25">
        <f>TEXT(A1894,"MMM-YYYY")</f>
        <v/>
      </c>
      <c r="D1894" s="40">
        <f>INT(A1894)-WEEKDAY(A1894,2)+1</f>
        <v/>
      </c>
      <c r="E1894" s="25" t="inlineStr">
        <is>
          <t>ssaha</t>
        </is>
      </c>
      <c r="F1894" s="25" t="n">
        <v>17456</v>
      </c>
      <c r="G1894" s="25" t="n">
        <v>1</v>
      </c>
      <c r="H1894" s="25" t="n">
        <v>7</v>
      </c>
      <c r="I1894" s="25" t="inlineStr">
        <is>
          <t>3 minute(s) and 0 second(s)</t>
        </is>
      </c>
      <c r="J1894" s="25">
        <f>IFERROR(VALUE(TRIM(LEFT(I1894,FIND("minute",I1894)-1)))*60,0)+IFERROR(VALUE(SUBSTITUTE(MID(I1894,IFERROR(FIND("and",I1894)+3,1),20),"second(s)","")),0)</f>
        <v/>
      </c>
      <c r="K1894" s="41">
        <f>J1894/60</f>
        <v/>
      </c>
      <c r="L1894" s="41">
        <f>IFERROR(J1894/H1894,"")</f>
        <v/>
      </c>
      <c r="M1894" s="25" t="inlineStr">
        <is>
          <t>2.5.12</t>
        </is>
      </c>
      <c r="N1894" s="25">
        <f>IF(J1894&gt;300,1,0)</f>
        <v/>
      </c>
      <c r="O1894" s="25">
        <f>IF(J1894&gt;600,1,0)</f>
        <v/>
      </c>
      <c r="P1894" s="25">
        <f>IF(H1894&gt;0,J1894,"")</f>
        <v/>
      </c>
      <c r="Q1894" s="25">
        <f>TEXT(A1894,"YYYY-MM-DD HH")</f>
        <v/>
      </c>
      <c r="R1894" s="25">
        <f>COUNTIF($Q$2:$Q$5295,Q1894)</f>
        <v/>
      </c>
      <c r="S1894" s="25">
        <f>IF(R1894&lt;=2,"1-2",IF(R1894&lt;=5,"3-5",IF(R1894&lt;=10,"6-10","11+")))</f>
        <v/>
      </c>
    </row>
    <row r="1895">
      <c r="A1895" s="39" t="n">
        <v>46174.82971064815</v>
      </c>
      <c r="B1895" s="25">
        <f>TEXT(A1895,"YYYY-MM")</f>
        <v/>
      </c>
      <c r="C1895" s="25">
        <f>TEXT(A1895,"MMM-YYYY")</f>
        <v/>
      </c>
      <c r="D1895" s="40">
        <f>INT(A1895)-WEEKDAY(A1895,2)+1</f>
        <v/>
      </c>
      <c r="E1895" s="25" t="inlineStr">
        <is>
          <t>ssaha</t>
        </is>
      </c>
      <c r="F1895" s="25" t="n">
        <v>17455</v>
      </c>
      <c r="G1895" s="25" t="n">
        <v>1</v>
      </c>
      <c r="H1895" s="25" t="n">
        <v>7</v>
      </c>
      <c r="I1895" s="25" t="inlineStr">
        <is>
          <t>3 minute(s) and 39 second(s)</t>
        </is>
      </c>
      <c r="J1895" s="25">
        <f>IFERROR(VALUE(TRIM(LEFT(I1895,FIND("minute",I1895)-1)))*60,0)+IFERROR(VALUE(SUBSTITUTE(MID(I1895,IFERROR(FIND("and",I1895)+3,1),20),"second(s)","")),0)</f>
        <v/>
      </c>
      <c r="K1895" s="41">
        <f>J1895/60</f>
        <v/>
      </c>
      <c r="L1895" s="41">
        <f>IFERROR(J1895/H1895,"")</f>
        <v/>
      </c>
      <c r="M1895" s="25" t="inlineStr">
        <is>
          <t>2.5.12</t>
        </is>
      </c>
      <c r="N1895" s="25">
        <f>IF(J1895&gt;300,1,0)</f>
        <v/>
      </c>
      <c r="O1895" s="25">
        <f>IF(J1895&gt;600,1,0)</f>
        <v/>
      </c>
      <c r="P1895" s="25">
        <f>IF(H1895&gt;0,J1895,"")</f>
        <v/>
      </c>
      <c r="Q1895" s="25">
        <f>TEXT(A1895,"YYYY-MM-DD HH")</f>
        <v/>
      </c>
      <c r="R1895" s="25">
        <f>COUNTIF($Q$2:$Q$5295,Q1895)</f>
        <v/>
      </c>
      <c r="S1895" s="25">
        <f>IF(R1895&lt;=2,"1-2",IF(R1895&lt;=5,"3-5",IF(R1895&lt;=10,"6-10","11+")))</f>
        <v/>
      </c>
    </row>
    <row r="1896">
      <c r="A1896" s="39" t="n">
        <v>46174.84126157407</v>
      </c>
      <c r="B1896" s="25">
        <f>TEXT(A1896,"YYYY-MM")</f>
        <v/>
      </c>
      <c r="C1896" s="25">
        <f>TEXT(A1896,"MMM-YYYY")</f>
        <v/>
      </c>
      <c r="D1896" s="40">
        <f>INT(A1896)-WEEKDAY(A1896,2)+1</f>
        <v/>
      </c>
      <c r="E1896" s="25" t="inlineStr">
        <is>
          <t>ssaha</t>
        </is>
      </c>
      <c r="F1896" s="25" t="n">
        <v>17454</v>
      </c>
      <c r="G1896" s="25" t="n">
        <v>1</v>
      </c>
      <c r="H1896" s="25" t="n">
        <v>7</v>
      </c>
      <c r="I1896" s="25" t="inlineStr">
        <is>
          <t>3 minute(s) and 1 second(s)</t>
        </is>
      </c>
      <c r="J1896" s="25">
        <f>IFERROR(VALUE(TRIM(LEFT(I1896,FIND("minute",I1896)-1)))*60,0)+IFERROR(VALUE(SUBSTITUTE(MID(I1896,IFERROR(FIND("and",I1896)+3,1),20),"second(s)","")),0)</f>
        <v/>
      </c>
      <c r="K1896" s="41">
        <f>J1896/60</f>
        <v/>
      </c>
      <c r="L1896" s="41">
        <f>IFERROR(J1896/H1896,"")</f>
        <v/>
      </c>
      <c r="M1896" s="25" t="inlineStr">
        <is>
          <t>2.5.12</t>
        </is>
      </c>
      <c r="N1896" s="25">
        <f>IF(J1896&gt;300,1,0)</f>
        <v/>
      </c>
      <c r="O1896" s="25">
        <f>IF(J1896&gt;600,1,0)</f>
        <v/>
      </c>
      <c r="P1896" s="25">
        <f>IF(H1896&gt;0,J1896,"")</f>
        <v/>
      </c>
      <c r="Q1896" s="25">
        <f>TEXT(A1896,"YYYY-MM-DD HH")</f>
        <v/>
      </c>
      <c r="R1896" s="25">
        <f>COUNTIF($Q$2:$Q$5295,Q1896)</f>
        <v/>
      </c>
      <c r="S1896" s="25">
        <f>IF(R1896&lt;=2,"1-2",IF(R1896&lt;=5,"3-5",IF(R1896&lt;=10,"6-10","11+")))</f>
        <v/>
      </c>
    </row>
    <row r="1897">
      <c r="A1897" s="39" t="n">
        <v>46174.86304398148</v>
      </c>
      <c r="B1897" s="25">
        <f>TEXT(A1897,"YYYY-MM")</f>
        <v/>
      </c>
      <c r="C1897" s="25">
        <f>TEXT(A1897,"MMM-YYYY")</f>
        <v/>
      </c>
      <c r="D1897" s="40">
        <f>INT(A1897)-WEEKDAY(A1897,2)+1</f>
        <v/>
      </c>
      <c r="E1897" s="25" t="inlineStr">
        <is>
          <t>ssaha</t>
        </is>
      </c>
      <c r="F1897" s="25" t="n">
        <v>17452</v>
      </c>
      <c r="G1897" s="25" t="n">
        <v>1</v>
      </c>
      <c r="H1897" s="25" t="n">
        <v>7</v>
      </c>
      <c r="I1897" s="25" t="inlineStr">
        <is>
          <t>1 minute(s) and 18 second(s)</t>
        </is>
      </c>
      <c r="J1897" s="25">
        <f>IFERROR(VALUE(TRIM(LEFT(I1897,FIND("minute",I1897)-1)))*60,0)+IFERROR(VALUE(SUBSTITUTE(MID(I1897,IFERROR(FIND("and",I1897)+3,1),20),"second(s)","")),0)</f>
        <v/>
      </c>
      <c r="K1897" s="41">
        <f>J1897/60</f>
        <v/>
      </c>
      <c r="L1897" s="41">
        <f>IFERROR(J1897/H1897,"")</f>
        <v/>
      </c>
      <c r="M1897" s="25" t="inlineStr">
        <is>
          <t>2.5.12</t>
        </is>
      </c>
      <c r="N1897" s="25">
        <f>IF(J1897&gt;300,1,0)</f>
        <v/>
      </c>
      <c r="O1897" s="25">
        <f>IF(J1897&gt;600,1,0)</f>
        <v/>
      </c>
      <c r="P1897" s="25">
        <f>IF(H1897&gt;0,J1897,"")</f>
        <v/>
      </c>
      <c r="Q1897" s="25">
        <f>TEXT(A1897,"YYYY-MM-DD HH")</f>
        <v/>
      </c>
      <c r="R1897" s="25">
        <f>COUNTIF($Q$2:$Q$5295,Q1897)</f>
        <v/>
      </c>
      <c r="S1897" s="25">
        <f>IF(R1897&lt;=2,"1-2",IF(R1897&lt;=5,"3-5",IF(R1897&lt;=10,"6-10","11+")))</f>
        <v/>
      </c>
    </row>
    <row r="1898">
      <c r="A1898" s="39" t="n">
        <v>46174.8765162037</v>
      </c>
      <c r="B1898" s="25">
        <f>TEXT(A1898,"YYYY-MM")</f>
        <v/>
      </c>
      <c r="C1898" s="25">
        <f>TEXT(A1898,"MMM-YYYY")</f>
        <v/>
      </c>
      <c r="D1898" s="40">
        <f>INT(A1898)-WEEKDAY(A1898,2)+1</f>
        <v/>
      </c>
      <c r="E1898" s="25" t="inlineStr">
        <is>
          <t>ssaha</t>
        </is>
      </c>
      <c r="F1898" s="25" t="n">
        <v>17449</v>
      </c>
      <c r="G1898" s="25" t="n">
        <v>1</v>
      </c>
      <c r="H1898" s="25" t="n">
        <v>7</v>
      </c>
      <c r="I1898" s="25" t="inlineStr">
        <is>
          <t>1 minute(s) and 26 second(s)</t>
        </is>
      </c>
      <c r="J1898" s="25">
        <f>IFERROR(VALUE(TRIM(LEFT(I1898,FIND("minute",I1898)-1)))*60,0)+IFERROR(VALUE(SUBSTITUTE(MID(I1898,IFERROR(FIND("and",I1898)+3,1),20),"second(s)","")),0)</f>
        <v/>
      </c>
      <c r="K1898" s="41">
        <f>J1898/60</f>
        <v/>
      </c>
      <c r="L1898" s="41">
        <f>IFERROR(J1898/H1898,"")</f>
        <v/>
      </c>
      <c r="M1898" s="25" t="inlineStr">
        <is>
          <t>2.5.12</t>
        </is>
      </c>
      <c r="N1898" s="25">
        <f>IF(J1898&gt;300,1,0)</f>
        <v/>
      </c>
      <c r="O1898" s="25">
        <f>IF(J1898&gt;600,1,0)</f>
        <v/>
      </c>
      <c r="P1898" s="25">
        <f>IF(H1898&gt;0,J1898,"")</f>
        <v/>
      </c>
      <c r="Q1898" s="25">
        <f>TEXT(A1898,"YYYY-MM-DD HH")</f>
        <v/>
      </c>
      <c r="R1898" s="25">
        <f>COUNTIF($Q$2:$Q$5295,Q1898)</f>
        <v/>
      </c>
      <c r="S1898" s="25">
        <f>IF(R1898&lt;=2,"1-2",IF(R1898&lt;=5,"3-5",IF(R1898&lt;=10,"6-10","11+")))</f>
        <v/>
      </c>
    </row>
    <row r="1899">
      <c r="A1899" s="39" t="n">
        <v>46174.8949074074</v>
      </c>
      <c r="B1899" s="25">
        <f>TEXT(A1899,"YYYY-MM")</f>
        <v/>
      </c>
      <c r="C1899" s="25">
        <f>TEXT(A1899,"MMM-YYYY")</f>
        <v/>
      </c>
      <c r="D1899" s="40">
        <f>INT(A1899)-WEEKDAY(A1899,2)+1</f>
        <v/>
      </c>
      <c r="E1899" s="25" t="inlineStr">
        <is>
          <t>ssaha</t>
        </is>
      </c>
      <c r="F1899" s="25" t="n">
        <v>17447</v>
      </c>
      <c r="G1899" s="25" t="n">
        <v>1</v>
      </c>
      <c r="H1899" s="25" t="n">
        <v>7</v>
      </c>
      <c r="I1899" s="25" t="inlineStr">
        <is>
          <t>1 minute(s) and 28 second(s)</t>
        </is>
      </c>
      <c r="J1899" s="25">
        <f>IFERROR(VALUE(TRIM(LEFT(I1899,FIND("minute",I1899)-1)))*60,0)+IFERROR(VALUE(SUBSTITUTE(MID(I1899,IFERROR(FIND("and",I1899)+3,1),20),"second(s)","")),0)</f>
        <v/>
      </c>
      <c r="K1899" s="41">
        <f>J1899/60</f>
        <v/>
      </c>
      <c r="L1899" s="41">
        <f>IFERROR(J1899/H1899,"")</f>
        <v/>
      </c>
      <c r="M1899" s="25" t="inlineStr">
        <is>
          <t>2.5.12</t>
        </is>
      </c>
      <c r="N1899" s="25">
        <f>IF(J1899&gt;300,1,0)</f>
        <v/>
      </c>
      <c r="O1899" s="25">
        <f>IF(J1899&gt;600,1,0)</f>
        <v/>
      </c>
      <c r="P1899" s="25">
        <f>IF(H1899&gt;0,J1899,"")</f>
        <v/>
      </c>
      <c r="Q1899" s="25">
        <f>TEXT(A1899,"YYYY-MM-DD HH")</f>
        <v/>
      </c>
      <c r="R1899" s="25">
        <f>COUNTIF($Q$2:$Q$5295,Q1899)</f>
        <v/>
      </c>
      <c r="S1899" s="25">
        <f>IF(R1899&lt;=2,"1-2",IF(R1899&lt;=5,"3-5",IF(R1899&lt;=10,"6-10","11+")))</f>
        <v/>
      </c>
    </row>
    <row r="1900">
      <c r="A1900" s="39" t="n">
        <v>46175.53746527778</v>
      </c>
      <c r="B1900" s="25">
        <f>TEXT(A1900,"YYYY-MM")</f>
        <v/>
      </c>
      <c r="C1900" s="25">
        <f>TEXT(A1900,"MMM-YYYY")</f>
        <v/>
      </c>
      <c r="D1900" s="40">
        <f>INT(A1900)-WEEKDAY(A1900,2)+1</f>
        <v/>
      </c>
      <c r="E1900" s="25" t="inlineStr">
        <is>
          <t>ssaha</t>
        </is>
      </c>
      <c r="F1900" s="25" t="n">
        <v>125508</v>
      </c>
      <c r="G1900" s="25" t="n">
        <v>5</v>
      </c>
      <c r="H1900" s="25" t="n">
        <v>17</v>
      </c>
      <c r="I1900" s="25" t="inlineStr">
        <is>
          <t>3 minute(s) and 50 second(s)</t>
        </is>
      </c>
      <c r="J1900" s="25">
        <f>IFERROR(VALUE(TRIM(LEFT(I1900,FIND("minute",I1900)-1)))*60,0)+IFERROR(VALUE(SUBSTITUTE(MID(I1900,IFERROR(FIND("and",I1900)+3,1),20),"second(s)","")),0)</f>
        <v/>
      </c>
      <c r="K1900" s="41">
        <f>J1900/60</f>
        <v/>
      </c>
      <c r="L1900" s="41">
        <f>IFERROR(J1900/H1900,"")</f>
        <v/>
      </c>
      <c r="M1900" s="25" t="inlineStr">
        <is>
          <t>2.5.12</t>
        </is>
      </c>
      <c r="N1900" s="25">
        <f>IF(J1900&gt;300,1,0)</f>
        <v/>
      </c>
      <c r="O1900" s="25">
        <f>IF(J1900&gt;600,1,0)</f>
        <v/>
      </c>
      <c r="P1900" s="25">
        <f>IF(H1900&gt;0,J1900,"")</f>
        <v/>
      </c>
      <c r="Q1900" s="25">
        <f>TEXT(A1900,"YYYY-MM-DD HH")</f>
        <v/>
      </c>
      <c r="R1900" s="25">
        <f>COUNTIF($Q$2:$Q$5295,Q1900)</f>
        <v/>
      </c>
      <c r="S1900" s="25">
        <f>IF(R1900&lt;=2,"1-2",IF(R1900&lt;=5,"3-5",IF(R1900&lt;=10,"6-10","11+")))</f>
        <v/>
      </c>
    </row>
    <row r="1901">
      <c r="A1901" s="39" t="n">
        <v>46175.64509259259</v>
      </c>
      <c r="B1901" s="25">
        <f>TEXT(A1901,"YYYY-MM")</f>
        <v/>
      </c>
      <c r="C1901" s="25">
        <f>TEXT(A1901,"MMM-YYYY")</f>
        <v/>
      </c>
      <c r="D1901" s="40">
        <f>INT(A1901)-WEEKDAY(A1901,2)+1</f>
        <v/>
      </c>
      <c r="E1901" s="25" t="inlineStr">
        <is>
          <t>ssaha</t>
        </is>
      </c>
      <c r="F1901" s="25" t="n">
        <v>126044</v>
      </c>
      <c r="G1901" s="25" t="n">
        <v>4</v>
      </c>
      <c r="H1901" s="25" t="n">
        <v>20</v>
      </c>
      <c r="I1901" s="25" t="inlineStr">
        <is>
          <t>5 minute(s) and 49 second(s)</t>
        </is>
      </c>
      <c r="J1901" s="25">
        <f>IFERROR(VALUE(TRIM(LEFT(I1901,FIND("minute",I1901)-1)))*60,0)+IFERROR(VALUE(SUBSTITUTE(MID(I1901,IFERROR(FIND("and",I1901)+3,1),20),"second(s)","")),0)</f>
        <v/>
      </c>
      <c r="K1901" s="41">
        <f>J1901/60</f>
        <v/>
      </c>
      <c r="L1901" s="41">
        <f>IFERROR(J1901/H1901,"")</f>
        <v/>
      </c>
      <c r="M1901" s="25" t="inlineStr">
        <is>
          <t>2.5.12</t>
        </is>
      </c>
      <c r="N1901" s="25">
        <f>IF(J1901&gt;300,1,0)</f>
        <v/>
      </c>
      <c r="O1901" s="25">
        <f>IF(J1901&gt;600,1,0)</f>
        <v/>
      </c>
      <c r="P1901" s="25">
        <f>IF(H1901&gt;0,J1901,"")</f>
        <v/>
      </c>
      <c r="Q1901" s="25">
        <f>TEXT(A1901,"YYYY-MM-DD HH")</f>
        <v/>
      </c>
      <c r="R1901" s="25">
        <f>COUNTIF($Q$2:$Q$5295,Q1901)</f>
        <v/>
      </c>
      <c r="S1901" s="25">
        <f>IF(R1901&lt;=2,"1-2",IF(R1901&lt;=5,"3-5",IF(R1901&lt;=10,"6-10","11+")))</f>
        <v/>
      </c>
    </row>
    <row r="1902">
      <c r="A1902" s="39" t="n">
        <v>46175.7386574074</v>
      </c>
      <c r="B1902" s="25">
        <f>TEXT(A1902,"YYYY-MM")</f>
        <v/>
      </c>
      <c r="C1902" s="25">
        <f>TEXT(A1902,"MMM-YYYY")</f>
        <v/>
      </c>
      <c r="D1902" s="40">
        <f>INT(A1902)-WEEKDAY(A1902,2)+1</f>
        <v/>
      </c>
      <c r="E1902" s="25" t="inlineStr">
        <is>
          <t>ssaha</t>
        </is>
      </c>
      <c r="F1902" s="25" t="n">
        <v>121663</v>
      </c>
      <c r="G1902" s="25" t="n">
        <v>5</v>
      </c>
      <c r="H1902" s="25" t="n">
        <v>9</v>
      </c>
      <c r="I1902" s="25" t="inlineStr">
        <is>
          <t>1 minute(s) and 23 second(s)</t>
        </is>
      </c>
      <c r="J1902" s="25">
        <f>IFERROR(VALUE(TRIM(LEFT(I1902,FIND("minute",I1902)-1)))*60,0)+IFERROR(VALUE(SUBSTITUTE(MID(I1902,IFERROR(FIND("and",I1902)+3,1),20),"second(s)","")),0)</f>
        <v/>
      </c>
      <c r="K1902" s="41">
        <f>J1902/60</f>
        <v/>
      </c>
      <c r="L1902" s="41">
        <f>IFERROR(J1902/H1902,"")</f>
        <v/>
      </c>
      <c r="M1902" s="25" t="inlineStr">
        <is>
          <t>2.5.12</t>
        </is>
      </c>
      <c r="N1902" s="25">
        <f>IF(J1902&gt;300,1,0)</f>
        <v/>
      </c>
      <c r="O1902" s="25">
        <f>IF(J1902&gt;600,1,0)</f>
        <v/>
      </c>
      <c r="P1902" s="25">
        <f>IF(H1902&gt;0,J1902,"")</f>
        <v/>
      </c>
      <c r="Q1902" s="25">
        <f>TEXT(A1902,"YYYY-MM-DD HH")</f>
        <v/>
      </c>
      <c r="R1902" s="25">
        <f>COUNTIF($Q$2:$Q$5295,Q1902)</f>
        <v/>
      </c>
      <c r="S1902" s="25">
        <f>IF(R1902&lt;=2,"1-2",IF(R1902&lt;=5,"3-5",IF(R1902&lt;=10,"6-10","11+")))</f>
        <v/>
      </c>
    </row>
    <row r="1903">
      <c r="A1903" s="39" t="n">
        <v>46175.96046296296</v>
      </c>
      <c r="B1903" s="25">
        <f>TEXT(A1903,"YYYY-MM")</f>
        <v/>
      </c>
      <c r="C1903" s="25">
        <f>TEXT(A1903,"MMM-YYYY")</f>
        <v/>
      </c>
      <c r="D1903" s="40">
        <f>INT(A1903)-WEEKDAY(A1903,2)+1</f>
        <v/>
      </c>
      <c r="E1903" s="25" t="inlineStr">
        <is>
          <t>dchoudhury</t>
        </is>
      </c>
      <c r="F1903" s="25" t="n">
        <v>125780</v>
      </c>
      <c r="G1903" s="25" t="n">
        <v>4</v>
      </c>
      <c r="H1903" s="25" t="n">
        <v>15</v>
      </c>
      <c r="I1903" s="25" t="inlineStr">
        <is>
          <t>7 minute(s) and 56 second(s)</t>
        </is>
      </c>
      <c r="J1903" s="25">
        <f>IFERROR(VALUE(TRIM(LEFT(I1903,FIND("minute",I1903)-1)))*60,0)+IFERROR(VALUE(SUBSTITUTE(MID(I1903,IFERROR(FIND("and",I1903)+3,1),20),"second(s)","")),0)</f>
        <v/>
      </c>
      <c r="K1903" s="41">
        <f>J1903/60</f>
        <v/>
      </c>
      <c r="L1903" s="41">
        <f>IFERROR(J1903/H1903,"")</f>
        <v/>
      </c>
      <c r="M1903" s="25" t="inlineStr">
        <is>
          <t>2.5.12</t>
        </is>
      </c>
      <c r="N1903" s="25">
        <f>IF(J1903&gt;300,1,0)</f>
        <v/>
      </c>
      <c r="O1903" s="25">
        <f>IF(J1903&gt;600,1,0)</f>
        <v/>
      </c>
      <c r="P1903" s="25">
        <f>IF(H1903&gt;0,J1903,"")</f>
        <v/>
      </c>
      <c r="Q1903" s="25">
        <f>TEXT(A1903,"YYYY-MM-DD HH")</f>
        <v/>
      </c>
      <c r="R1903" s="25">
        <f>COUNTIF($Q$2:$Q$5295,Q1903)</f>
        <v/>
      </c>
      <c r="S1903" s="25">
        <f>IF(R1903&lt;=2,"1-2",IF(R1903&lt;=5,"3-5",IF(R1903&lt;=10,"6-10","11+")))</f>
        <v/>
      </c>
    </row>
    <row r="1904">
      <c r="A1904" s="39" t="n">
        <v>46176.08957175926</v>
      </c>
      <c r="B1904" s="25">
        <f>TEXT(A1904,"YYYY-MM")</f>
        <v/>
      </c>
      <c r="C1904" s="25">
        <f>TEXT(A1904,"MMM-YYYY")</f>
        <v/>
      </c>
      <c r="D1904" s="40">
        <f>INT(A1904)-WEEKDAY(A1904,2)+1</f>
        <v/>
      </c>
      <c r="E1904" s="25" t="inlineStr">
        <is>
          <t>ethomas</t>
        </is>
      </c>
      <c r="F1904" s="25" t="n">
        <v>122887</v>
      </c>
      <c r="G1904" s="25" t="n">
        <v>3</v>
      </c>
      <c r="H1904" s="25" t="n">
        <v>19</v>
      </c>
      <c r="I1904" s="25" t="inlineStr">
        <is>
          <t>6 minute(s) and 27 second(s)</t>
        </is>
      </c>
      <c r="J1904" s="25">
        <f>IFERROR(VALUE(TRIM(LEFT(I1904,FIND("minute",I1904)-1)))*60,0)+IFERROR(VALUE(SUBSTITUTE(MID(I1904,IFERROR(FIND("and",I1904)+3,1),20),"second(s)","")),0)</f>
        <v/>
      </c>
      <c r="K1904" s="41">
        <f>J1904/60</f>
        <v/>
      </c>
      <c r="L1904" s="41">
        <f>IFERROR(J1904/H1904,"")</f>
        <v/>
      </c>
      <c r="M1904" s="25" t="inlineStr">
        <is>
          <t>2.5.12</t>
        </is>
      </c>
      <c r="N1904" s="25">
        <f>IF(J1904&gt;300,1,0)</f>
        <v/>
      </c>
      <c r="O1904" s="25">
        <f>IF(J1904&gt;600,1,0)</f>
        <v/>
      </c>
      <c r="P1904" s="25">
        <f>IF(H1904&gt;0,J1904,"")</f>
        <v/>
      </c>
      <c r="Q1904" s="25">
        <f>TEXT(A1904,"YYYY-MM-DD HH")</f>
        <v/>
      </c>
      <c r="R1904" s="25">
        <f>COUNTIF($Q$2:$Q$5295,Q1904)</f>
        <v/>
      </c>
      <c r="S1904" s="25">
        <f>IF(R1904&lt;=2,"1-2",IF(R1904&lt;=5,"3-5",IF(R1904&lt;=10,"6-10","11+")))</f>
        <v/>
      </c>
    </row>
    <row r="1905">
      <c r="A1905" s="39" t="n">
        <v>46176.09630787037</v>
      </c>
      <c r="B1905" s="25">
        <f>TEXT(A1905,"YYYY-MM")</f>
        <v/>
      </c>
      <c r="C1905" s="25">
        <f>TEXT(A1905,"MMM-YYYY")</f>
        <v/>
      </c>
      <c r="D1905" s="40">
        <f>INT(A1905)-WEEKDAY(A1905,2)+1</f>
        <v/>
      </c>
      <c r="E1905" s="25" t="inlineStr">
        <is>
          <t>atiwari</t>
        </is>
      </c>
      <c r="F1905" s="25" t="n">
        <v>125433</v>
      </c>
      <c r="G1905" s="25" t="n">
        <v>1</v>
      </c>
      <c r="H1905" s="25" t="n">
        <v>7</v>
      </c>
      <c r="I1905" s="25" t="inlineStr">
        <is>
          <t>3 minute(s) and 25 second(s)</t>
        </is>
      </c>
      <c r="J1905" s="25">
        <f>IFERROR(VALUE(TRIM(LEFT(I1905,FIND("minute",I1905)-1)))*60,0)+IFERROR(VALUE(SUBSTITUTE(MID(I1905,IFERROR(FIND("and",I1905)+3,1),20),"second(s)","")),0)</f>
        <v/>
      </c>
      <c r="K1905" s="41">
        <f>J1905/60</f>
        <v/>
      </c>
      <c r="L1905" s="41">
        <f>IFERROR(J1905/H1905,"")</f>
        <v/>
      </c>
      <c r="M1905" s="25" t="inlineStr">
        <is>
          <t>2.5.12</t>
        </is>
      </c>
      <c r="N1905" s="25">
        <f>IF(J1905&gt;300,1,0)</f>
        <v/>
      </c>
      <c r="O1905" s="25">
        <f>IF(J1905&gt;600,1,0)</f>
        <v/>
      </c>
      <c r="P1905" s="25">
        <f>IF(H1905&gt;0,J1905,"")</f>
        <v/>
      </c>
      <c r="Q1905" s="25">
        <f>TEXT(A1905,"YYYY-MM-DD HH")</f>
        <v/>
      </c>
      <c r="R1905" s="25">
        <f>COUNTIF($Q$2:$Q$5295,Q1905)</f>
        <v/>
      </c>
      <c r="S1905" s="25">
        <f>IF(R1905&lt;=2,"1-2",IF(R1905&lt;=5,"3-5",IF(R1905&lt;=10,"6-10","11+")))</f>
        <v/>
      </c>
    </row>
    <row r="1906">
      <c r="A1906" s="39" t="n">
        <v>46176.09736111111</v>
      </c>
      <c r="B1906" s="25">
        <f>TEXT(A1906,"YYYY-MM")</f>
        <v/>
      </c>
      <c r="C1906" s="25">
        <f>TEXT(A1906,"MMM-YYYY")</f>
        <v/>
      </c>
      <c r="D1906" s="40">
        <f>INT(A1906)-WEEKDAY(A1906,2)+1</f>
        <v/>
      </c>
      <c r="E1906" s="25" t="inlineStr">
        <is>
          <t>mgupta</t>
        </is>
      </c>
      <c r="F1906" s="25" t="n">
        <v>125400</v>
      </c>
      <c r="G1906" s="25" t="n">
        <v>1</v>
      </c>
      <c r="H1906" s="25" t="n">
        <v>5</v>
      </c>
      <c r="I1906" s="25" t="inlineStr">
        <is>
          <t>1 minute(s) and 20 second(s)</t>
        </is>
      </c>
      <c r="J1906" s="25">
        <f>IFERROR(VALUE(TRIM(LEFT(I1906,FIND("minute",I1906)-1)))*60,0)+IFERROR(VALUE(SUBSTITUTE(MID(I1906,IFERROR(FIND("and",I1906)+3,1),20),"second(s)","")),0)</f>
        <v/>
      </c>
      <c r="K1906" s="41">
        <f>J1906/60</f>
        <v/>
      </c>
      <c r="L1906" s="41">
        <f>IFERROR(J1906/H1906,"")</f>
        <v/>
      </c>
      <c r="M1906" s="25" t="inlineStr">
        <is>
          <t>2.5.12</t>
        </is>
      </c>
      <c r="N1906" s="25">
        <f>IF(J1906&gt;300,1,0)</f>
        <v/>
      </c>
      <c r="O1906" s="25">
        <f>IF(J1906&gt;600,1,0)</f>
        <v/>
      </c>
      <c r="P1906" s="25">
        <f>IF(H1906&gt;0,J1906,"")</f>
        <v/>
      </c>
      <c r="Q1906" s="25">
        <f>TEXT(A1906,"YYYY-MM-DD HH")</f>
        <v/>
      </c>
      <c r="R1906" s="25">
        <f>COUNTIF($Q$2:$Q$5295,Q1906)</f>
        <v/>
      </c>
      <c r="S1906" s="25">
        <f>IF(R1906&lt;=2,"1-2",IF(R1906&lt;=5,"3-5",IF(R1906&lt;=10,"6-10","11+")))</f>
        <v/>
      </c>
    </row>
    <row r="1907">
      <c r="A1907" s="39" t="n">
        <v>46176.09806712963</v>
      </c>
      <c r="B1907" s="25">
        <f>TEXT(A1907,"YYYY-MM")</f>
        <v/>
      </c>
      <c r="C1907" s="25">
        <f>TEXT(A1907,"MMM-YYYY")</f>
        <v/>
      </c>
      <c r="D1907" s="40">
        <f>INT(A1907)-WEEKDAY(A1907,2)+1</f>
        <v/>
      </c>
      <c r="E1907" s="25" t="inlineStr">
        <is>
          <t>ns</t>
        </is>
      </c>
      <c r="F1907" s="25" t="n">
        <v>126458</v>
      </c>
      <c r="G1907" s="25" t="n">
        <v>3</v>
      </c>
      <c r="H1907" s="25" t="n">
        <v>11</v>
      </c>
      <c r="I1907" s="25" t="inlineStr">
        <is>
          <t>3 minute(s) and 11 second(s)</t>
        </is>
      </c>
      <c r="J1907" s="25">
        <f>IFERROR(VALUE(TRIM(LEFT(I1907,FIND("minute",I1907)-1)))*60,0)+IFERROR(VALUE(SUBSTITUTE(MID(I1907,IFERROR(FIND("and",I1907)+3,1),20),"second(s)","")),0)</f>
        <v/>
      </c>
      <c r="K1907" s="41">
        <f>J1907/60</f>
        <v/>
      </c>
      <c r="L1907" s="41">
        <f>IFERROR(J1907/H1907,"")</f>
        <v/>
      </c>
      <c r="M1907" s="25" t="inlineStr">
        <is>
          <t>2.5.12</t>
        </is>
      </c>
      <c r="N1907" s="25">
        <f>IF(J1907&gt;300,1,0)</f>
        <v/>
      </c>
      <c r="O1907" s="25">
        <f>IF(J1907&gt;600,1,0)</f>
        <v/>
      </c>
      <c r="P1907" s="25">
        <f>IF(H1907&gt;0,J1907,"")</f>
        <v/>
      </c>
      <c r="Q1907" s="25">
        <f>TEXT(A1907,"YYYY-MM-DD HH")</f>
        <v/>
      </c>
      <c r="R1907" s="25">
        <f>COUNTIF($Q$2:$Q$5295,Q1907)</f>
        <v/>
      </c>
      <c r="S1907" s="25">
        <f>IF(R1907&lt;=2,"1-2",IF(R1907&lt;=5,"3-5",IF(R1907&lt;=10,"6-10","11+")))</f>
        <v/>
      </c>
    </row>
    <row r="1908">
      <c r="A1908" s="39" t="n">
        <v>46176.10034722222</v>
      </c>
      <c r="B1908" s="25">
        <f>TEXT(A1908,"YYYY-MM")</f>
        <v/>
      </c>
      <c r="C1908" s="25">
        <f>TEXT(A1908,"MMM-YYYY")</f>
        <v/>
      </c>
      <c r="D1908" s="40">
        <f>INT(A1908)-WEEKDAY(A1908,2)+1</f>
        <v/>
      </c>
      <c r="E1908" s="25" t="inlineStr">
        <is>
          <t>apriyadarshi</t>
        </is>
      </c>
      <c r="F1908" s="25" t="n">
        <v>121911</v>
      </c>
      <c r="G1908" s="25" t="n">
        <v>5</v>
      </c>
      <c r="H1908" s="25" t="n">
        <v>17</v>
      </c>
      <c r="I1908" s="25" t="inlineStr">
        <is>
          <t>3 minute(s) and 42 second(s)</t>
        </is>
      </c>
      <c r="J1908" s="25">
        <f>IFERROR(VALUE(TRIM(LEFT(I1908,FIND("minute",I1908)-1)))*60,0)+IFERROR(VALUE(SUBSTITUTE(MID(I1908,IFERROR(FIND("and",I1908)+3,1),20),"second(s)","")),0)</f>
        <v/>
      </c>
      <c r="K1908" s="41">
        <f>J1908/60</f>
        <v/>
      </c>
      <c r="L1908" s="41">
        <f>IFERROR(J1908/H1908,"")</f>
        <v/>
      </c>
      <c r="M1908" s="25" t="inlineStr">
        <is>
          <t>2.5.12</t>
        </is>
      </c>
      <c r="N1908" s="25">
        <f>IF(J1908&gt;300,1,0)</f>
        <v/>
      </c>
      <c r="O1908" s="25">
        <f>IF(J1908&gt;600,1,0)</f>
        <v/>
      </c>
      <c r="P1908" s="25">
        <f>IF(H1908&gt;0,J1908,"")</f>
        <v/>
      </c>
      <c r="Q1908" s="25">
        <f>TEXT(A1908,"YYYY-MM-DD HH")</f>
        <v/>
      </c>
      <c r="R1908" s="25">
        <f>COUNTIF($Q$2:$Q$5295,Q1908)</f>
        <v/>
      </c>
      <c r="S1908" s="25">
        <f>IF(R1908&lt;=2,"1-2",IF(R1908&lt;=5,"3-5",IF(R1908&lt;=10,"6-10","11+")))</f>
        <v/>
      </c>
    </row>
    <row r="1909">
      <c r="A1909" s="39" t="n">
        <v>46176.11049768519</v>
      </c>
      <c r="B1909" s="25">
        <f>TEXT(A1909,"YYYY-MM")</f>
        <v/>
      </c>
      <c r="C1909" s="25">
        <f>TEXT(A1909,"MMM-YYYY")</f>
        <v/>
      </c>
      <c r="D1909" s="40">
        <f>INT(A1909)-WEEKDAY(A1909,2)+1</f>
        <v/>
      </c>
      <c r="E1909" s="25" t="inlineStr">
        <is>
          <t>stiwari</t>
        </is>
      </c>
      <c r="F1909" s="25" t="n">
        <v>125956</v>
      </c>
      <c r="G1909" s="25" t="n">
        <v>5</v>
      </c>
      <c r="H1909" s="25" t="n">
        <v>23</v>
      </c>
      <c r="I1909" s="25" t="inlineStr">
        <is>
          <t>4 minute(s) and 7 second(s)</t>
        </is>
      </c>
      <c r="J1909" s="25">
        <f>IFERROR(VALUE(TRIM(LEFT(I1909,FIND("minute",I1909)-1)))*60,0)+IFERROR(VALUE(SUBSTITUTE(MID(I1909,IFERROR(FIND("and",I1909)+3,1),20),"second(s)","")),0)</f>
        <v/>
      </c>
      <c r="K1909" s="41">
        <f>J1909/60</f>
        <v/>
      </c>
      <c r="L1909" s="41">
        <f>IFERROR(J1909/H1909,"")</f>
        <v/>
      </c>
      <c r="M1909" s="25" t="inlineStr">
        <is>
          <t>2.5.12</t>
        </is>
      </c>
      <c r="N1909" s="25">
        <f>IF(J1909&gt;300,1,0)</f>
        <v/>
      </c>
      <c r="O1909" s="25">
        <f>IF(J1909&gt;600,1,0)</f>
        <v/>
      </c>
      <c r="P1909" s="25">
        <f>IF(H1909&gt;0,J1909,"")</f>
        <v/>
      </c>
      <c r="Q1909" s="25">
        <f>TEXT(A1909,"YYYY-MM-DD HH")</f>
        <v/>
      </c>
      <c r="R1909" s="25">
        <f>COUNTIF($Q$2:$Q$5295,Q1909)</f>
        <v/>
      </c>
      <c r="S1909" s="25">
        <f>IF(R1909&lt;=2,"1-2",IF(R1909&lt;=5,"3-5",IF(R1909&lt;=10,"6-10","11+")))</f>
        <v/>
      </c>
    </row>
    <row r="1910">
      <c r="A1910" s="39" t="n">
        <v>46176.12778935185</v>
      </c>
      <c r="B1910" s="25">
        <f>TEXT(A1910,"YYYY-MM")</f>
        <v/>
      </c>
      <c r="C1910" s="25">
        <f>TEXT(A1910,"MMM-YYYY")</f>
        <v/>
      </c>
      <c r="D1910" s="40">
        <f>INT(A1910)-WEEKDAY(A1910,2)+1</f>
        <v/>
      </c>
      <c r="E1910" s="25" t="inlineStr">
        <is>
          <t>taggarwal</t>
        </is>
      </c>
      <c r="F1910" s="25" t="n">
        <v>121959</v>
      </c>
      <c r="G1910" s="25" t="n">
        <v>4</v>
      </c>
      <c r="H1910" s="25" t="n">
        <v>26</v>
      </c>
      <c r="I1910" s="25" t="inlineStr">
        <is>
          <t>5 minute(s) and 58 second(s)</t>
        </is>
      </c>
      <c r="J1910" s="25">
        <f>IFERROR(VALUE(TRIM(LEFT(I1910,FIND("minute",I1910)-1)))*60,0)+IFERROR(VALUE(SUBSTITUTE(MID(I1910,IFERROR(FIND("and",I1910)+3,1),20),"second(s)","")),0)</f>
        <v/>
      </c>
      <c r="K1910" s="41">
        <f>J1910/60</f>
        <v/>
      </c>
      <c r="L1910" s="41">
        <f>IFERROR(J1910/H1910,"")</f>
        <v/>
      </c>
      <c r="M1910" s="25" t="inlineStr">
        <is>
          <t>2.5.12</t>
        </is>
      </c>
      <c r="N1910" s="25">
        <f>IF(J1910&gt;300,1,0)</f>
        <v/>
      </c>
      <c r="O1910" s="25">
        <f>IF(J1910&gt;600,1,0)</f>
        <v/>
      </c>
      <c r="P1910" s="25">
        <f>IF(H1910&gt;0,J1910,"")</f>
        <v/>
      </c>
      <c r="Q1910" s="25">
        <f>TEXT(A1910,"YYYY-MM-DD HH")</f>
        <v/>
      </c>
      <c r="R1910" s="25">
        <f>COUNTIF($Q$2:$Q$5295,Q1910)</f>
        <v/>
      </c>
      <c r="S1910" s="25">
        <f>IF(R1910&lt;=2,"1-2",IF(R1910&lt;=5,"3-5",IF(R1910&lt;=10,"6-10","11+")))</f>
        <v/>
      </c>
    </row>
    <row r="1911">
      <c r="A1911" s="39" t="n">
        <v>46176.1289699074</v>
      </c>
      <c r="B1911" s="25">
        <f>TEXT(A1911,"YYYY-MM")</f>
        <v/>
      </c>
      <c r="C1911" s="25">
        <f>TEXT(A1911,"MMM-YYYY")</f>
        <v/>
      </c>
      <c r="D1911" s="40">
        <f>INT(A1911)-WEEKDAY(A1911,2)+1</f>
        <v/>
      </c>
      <c r="E1911" s="25" t="inlineStr">
        <is>
          <t>hsindwani</t>
        </is>
      </c>
      <c r="F1911" s="25" t="n">
        <v>121703</v>
      </c>
      <c r="G1911" s="25" t="n">
        <v>4</v>
      </c>
      <c r="H1911" s="25" t="n">
        <v>26</v>
      </c>
      <c r="I1911" s="25" t="inlineStr">
        <is>
          <t>9 minute(s) and 44 second(s)</t>
        </is>
      </c>
      <c r="J1911" s="25">
        <f>IFERROR(VALUE(TRIM(LEFT(I1911,FIND("minute",I1911)-1)))*60,0)+IFERROR(VALUE(SUBSTITUTE(MID(I1911,IFERROR(FIND("and",I1911)+3,1),20),"second(s)","")),0)</f>
        <v/>
      </c>
      <c r="K1911" s="41">
        <f>J1911/60</f>
        <v/>
      </c>
      <c r="L1911" s="41">
        <f>IFERROR(J1911/H1911,"")</f>
        <v/>
      </c>
      <c r="M1911" s="25" t="inlineStr">
        <is>
          <t>2.5.12</t>
        </is>
      </c>
      <c r="N1911" s="25">
        <f>IF(J1911&gt;300,1,0)</f>
        <v/>
      </c>
      <c r="O1911" s="25">
        <f>IF(J1911&gt;600,1,0)</f>
        <v/>
      </c>
      <c r="P1911" s="25">
        <f>IF(H1911&gt;0,J1911,"")</f>
        <v/>
      </c>
      <c r="Q1911" s="25">
        <f>TEXT(A1911,"YYYY-MM-DD HH")</f>
        <v/>
      </c>
      <c r="R1911" s="25">
        <f>COUNTIF($Q$2:$Q$5295,Q1911)</f>
        <v/>
      </c>
      <c r="S1911" s="25">
        <f>IF(R1911&lt;=2,"1-2",IF(R1911&lt;=5,"3-5",IF(R1911&lt;=10,"6-10","11+")))</f>
        <v/>
      </c>
    </row>
    <row r="1912">
      <c r="A1912" s="39" t="n">
        <v>46176.14640046296</v>
      </c>
      <c r="B1912" s="25">
        <f>TEXT(A1912,"YYYY-MM")</f>
        <v/>
      </c>
      <c r="C1912" s="25">
        <f>TEXT(A1912,"MMM-YYYY")</f>
        <v/>
      </c>
      <c r="D1912" s="40">
        <f>INT(A1912)-WEEKDAY(A1912,2)+1</f>
        <v/>
      </c>
      <c r="E1912" s="25" t="inlineStr">
        <is>
          <t>atiwari</t>
        </is>
      </c>
      <c r="F1912" s="25" t="n">
        <v>125104</v>
      </c>
      <c r="G1912" s="25" t="n">
        <v>1</v>
      </c>
      <c r="H1912" s="25" t="n">
        <v>7</v>
      </c>
      <c r="I1912" s="25" t="inlineStr">
        <is>
          <t>3 minute(s) and 29 second(s)</t>
        </is>
      </c>
      <c r="J1912" s="25">
        <f>IFERROR(VALUE(TRIM(LEFT(I1912,FIND("minute",I1912)-1)))*60,0)+IFERROR(VALUE(SUBSTITUTE(MID(I1912,IFERROR(FIND("and",I1912)+3,1),20),"second(s)","")),0)</f>
        <v/>
      </c>
      <c r="K1912" s="41">
        <f>J1912/60</f>
        <v/>
      </c>
      <c r="L1912" s="41">
        <f>IFERROR(J1912/H1912,"")</f>
        <v/>
      </c>
      <c r="M1912" s="25" t="inlineStr">
        <is>
          <t>2.5.12</t>
        </is>
      </c>
      <c r="N1912" s="25">
        <f>IF(J1912&gt;300,1,0)</f>
        <v/>
      </c>
      <c r="O1912" s="25">
        <f>IF(J1912&gt;600,1,0)</f>
        <v/>
      </c>
      <c r="P1912" s="25">
        <f>IF(H1912&gt;0,J1912,"")</f>
        <v/>
      </c>
      <c r="Q1912" s="25">
        <f>TEXT(A1912,"YYYY-MM-DD HH")</f>
        <v/>
      </c>
      <c r="R1912" s="25">
        <f>COUNTIF($Q$2:$Q$5295,Q1912)</f>
        <v/>
      </c>
      <c r="S1912" s="25">
        <f>IF(R1912&lt;=2,"1-2",IF(R1912&lt;=5,"3-5",IF(R1912&lt;=10,"6-10","11+")))</f>
        <v/>
      </c>
    </row>
    <row r="1913">
      <c r="A1913" s="39" t="n">
        <v>46176.15475694444</v>
      </c>
      <c r="B1913" s="25">
        <f>TEXT(A1913,"YYYY-MM")</f>
        <v/>
      </c>
      <c r="C1913" s="25">
        <f>TEXT(A1913,"MMM-YYYY")</f>
        <v/>
      </c>
      <c r="D1913" s="40">
        <f>INT(A1913)-WEEKDAY(A1913,2)+1</f>
        <v/>
      </c>
      <c r="E1913" s="25" t="inlineStr">
        <is>
          <t>mgupta</t>
        </is>
      </c>
      <c r="F1913" s="25" t="n">
        <v>124394</v>
      </c>
      <c r="G1913" s="25" t="n">
        <v>5</v>
      </c>
      <c r="H1913" s="25" t="n">
        <v>17</v>
      </c>
      <c r="I1913" s="25" t="inlineStr">
        <is>
          <t>4 minute(s) and 11 second(s)</t>
        </is>
      </c>
      <c r="J1913" s="25">
        <f>IFERROR(VALUE(TRIM(LEFT(I1913,FIND("minute",I1913)-1)))*60,0)+IFERROR(VALUE(SUBSTITUTE(MID(I1913,IFERROR(FIND("and",I1913)+3,1),20),"second(s)","")),0)</f>
        <v/>
      </c>
      <c r="K1913" s="41">
        <f>J1913/60</f>
        <v/>
      </c>
      <c r="L1913" s="41">
        <f>IFERROR(J1913/H1913,"")</f>
        <v/>
      </c>
      <c r="M1913" s="25" t="inlineStr">
        <is>
          <t>2.5.12</t>
        </is>
      </c>
      <c r="N1913" s="25">
        <f>IF(J1913&gt;300,1,0)</f>
        <v/>
      </c>
      <c r="O1913" s="25">
        <f>IF(J1913&gt;600,1,0)</f>
        <v/>
      </c>
      <c r="P1913" s="25">
        <f>IF(H1913&gt;0,J1913,"")</f>
        <v/>
      </c>
      <c r="Q1913" s="25">
        <f>TEXT(A1913,"YYYY-MM-DD HH")</f>
        <v/>
      </c>
      <c r="R1913" s="25">
        <f>COUNTIF($Q$2:$Q$5295,Q1913)</f>
        <v/>
      </c>
      <c r="S1913" s="25">
        <f>IF(R1913&lt;=2,"1-2",IF(R1913&lt;=5,"3-5",IF(R1913&lt;=10,"6-10","11+")))</f>
        <v/>
      </c>
    </row>
    <row r="1914">
      <c r="A1914" s="39" t="n">
        <v>46176.15872685185</v>
      </c>
      <c r="B1914" s="25">
        <f>TEXT(A1914,"YYYY-MM")</f>
        <v/>
      </c>
      <c r="C1914" s="25">
        <f>TEXT(A1914,"MMM-YYYY")</f>
        <v/>
      </c>
      <c r="D1914" s="40">
        <f>INT(A1914)-WEEKDAY(A1914,2)+1</f>
        <v/>
      </c>
      <c r="E1914" s="25" t="inlineStr">
        <is>
          <t>aghosh</t>
        </is>
      </c>
      <c r="F1914" s="25" t="n">
        <v>126057</v>
      </c>
      <c r="G1914" s="25" t="n">
        <v>1</v>
      </c>
      <c r="H1914" s="25" t="n">
        <v>5</v>
      </c>
      <c r="I1914" s="25" t="inlineStr">
        <is>
          <t>1 minute(s) and 27 second(s)</t>
        </is>
      </c>
      <c r="J1914" s="25">
        <f>IFERROR(VALUE(TRIM(LEFT(I1914,FIND("minute",I1914)-1)))*60,0)+IFERROR(VALUE(SUBSTITUTE(MID(I1914,IFERROR(FIND("and",I1914)+3,1),20),"second(s)","")),0)</f>
        <v/>
      </c>
      <c r="K1914" s="41">
        <f>J1914/60</f>
        <v/>
      </c>
      <c r="L1914" s="41">
        <f>IFERROR(J1914/H1914,"")</f>
        <v/>
      </c>
      <c r="M1914" s="25" t="inlineStr">
        <is>
          <t>2.5.12</t>
        </is>
      </c>
      <c r="N1914" s="25">
        <f>IF(J1914&gt;300,1,0)</f>
        <v/>
      </c>
      <c r="O1914" s="25">
        <f>IF(J1914&gt;600,1,0)</f>
        <v/>
      </c>
      <c r="P1914" s="25">
        <f>IF(H1914&gt;0,J1914,"")</f>
        <v/>
      </c>
      <c r="Q1914" s="25">
        <f>TEXT(A1914,"YYYY-MM-DD HH")</f>
        <v/>
      </c>
      <c r="R1914" s="25">
        <f>COUNTIF($Q$2:$Q$5295,Q1914)</f>
        <v/>
      </c>
      <c r="S1914" s="25">
        <f>IF(R1914&lt;=2,"1-2",IF(R1914&lt;=5,"3-5",IF(R1914&lt;=10,"6-10","11+")))</f>
        <v/>
      </c>
    </row>
    <row r="1915">
      <c r="A1915" s="39" t="n">
        <v>46176.16172453704</v>
      </c>
      <c r="B1915" s="25">
        <f>TEXT(A1915,"YYYY-MM")</f>
        <v/>
      </c>
      <c r="C1915" s="25">
        <f>TEXT(A1915,"MMM-YYYY")</f>
        <v/>
      </c>
      <c r="D1915" s="40">
        <f>INT(A1915)-WEEKDAY(A1915,2)+1</f>
        <v/>
      </c>
      <c r="E1915" s="25" t="inlineStr">
        <is>
          <t>bverma</t>
        </is>
      </c>
      <c r="F1915" s="25" t="n">
        <v>124623</v>
      </c>
      <c r="G1915" s="25" t="n">
        <v>1</v>
      </c>
      <c r="H1915" s="25" t="n">
        <v>8</v>
      </c>
      <c r="I1915" s="25" t="inlineStr">
        <is>
          <t>1 minute(s) and 34 second(s)</t>
        </is>
      </c>
      <c r="J1915" s="25">
        <f>IFERROR(VALUE(TRIM(LEFT(I1915,FIND("minute",I1915)-1)))*60,0)+IFERROR(VALUE(SUBSTITUTE(MID(I1915,IFERROR(FIND("and",I1915)+3,1),20),"second(s)","")),0)</f>
        <v/>
      </c>
      <c r="K1915" s="41">
        <f>J1915/60</f>
        <v/>
      </c>
      <c r="L1915" s="41">
        <f>IFERROR(J1915/H1915,"")</f>
        <v/>
      </c>
      <c r="M1915" s="25" t="inlineStr">
        <is>
          <t>2.5.12</t>
        </is>
      </c>
      <c r="N1915" s="25">
        <f>IF(J1915&gt;300,1,0)</f>
        <v/>
      </c>
      <c r="O1915" s="25">
        <f>IF(J1915&gt;600,1,0)</f>
        <v/>
      </c>
      <c r="P1915" s="25">
        <f>IF(H1915&gt;0,J1915,"")</f>
        <v/>
      </c>
      <c r="Q1915" s="25">
        <f>TEXT(A1915,"YYYY-MM-DD HH")</f>
        <v/>
      </c>
      <c r="R1915" s="25">
        <f>COUNTIF($Q$2:$Q$5295,Q1915)</f>
        <v/>
      </c>
      <c r="S1915" s="25">
        <f>IF(R1915&lt;=2,"1-2",IF(R1915&lt;=5,"3-5",IF(R1915&lt;=10,"6-10","11+")))</f>
        <v/>
      </c>
    </row>
    <row r="1916">
      <c r="A1916" s="39" t="n">
        <v>46176.1709837963</v>
      </c>
      <c r="B1916" s="25">
        <f>TEXT(A1916,"YYYY-MM")</f>
        <v/>
      </c>
      <c r="C1916" s="25">
        <f>TEXT(A1916,"MMM-YYYY")</f>
        <v/>
      </c>
      <c r="D1916" s="40">
        <f>INT(A1916)-WEEKDAY(A1916,2)+1</f>
        <v/>
      </c>
      <c r="E1916" s="25" t="inlineStr">
        <is>
          <t>dchoudhury</t>
        </is>
      </c>
      <c r="F1916" s="25" t="n">
        <v>122779</v>
      </c>
      <c r="G1916" s="25" t="n">
        <v>1</v>
      </c>
      <c r="H1916" s="25" t="n">
        <v>6</v>
      </c>
      <c r="I1916" s="25" t="inlineStr">
        <is>
          <t>3 minute(s) and 4 second(s)</t>
        </is>
      </c>
      <c r="J1916" s="25">
        <f>IFERROR(VALUE(TRIM(LEFT(I1916,FIND("minute",I1916)-1)))*60,0)+IFERROR(VALUE(SUBSTITUTE(MID(I1916,IFERROR(FIND("and",I1916)+3,1),20),"second(s)","")),0)</f>
        <v/>
      </c>
      <c r="K1916" s="41">
        <f>J1916/60</f>
        <v/>
      </c>
      <c r="L1916" s="41">
        <f>IFERROR(J1916/H1916,"")</f>
        <v/>
      </c>
      <c r="M1916" s="25" t="inlineStr">
        <is>
          <t>2.5.12</t>
        </is>
      </c>
      <c r="N1916" s="25">
        <f>IF(J1916&gt;300,1,0)</f>
        <v/>
      </c>
      <c r="O1916" s="25">
        <f>IF(J1916&gt;600,1,0)</f>
        <v/>
      </c>
      <c r="P1916" s="25">
        <f>IF(H1916&gt;0,J1916,"")</f>
        <v/>
      </c>
      <c r="Q1916" s="25">
        <f>TEXT(A1916,"YYYY-MM-DD HH")</f>
        <v/>
      </c>
      <c r="R1916" s="25">
        <f>COUNTIF($Q$2:$Q$5295,Q1916)</f>
        <v/>
      </c>
      <c r="S1916" s="25">
        <f>IF(R1916&lt;=2,"1-2",IF(R1916&lt;=5,"3-5",IF(R1916&lt;=10,"6-10","11+")))</f>
        <v/>
      </c>
    </row>
    <row r="1917">
      <c r="A1917" s="39" t="n">
        <v>46176.19171296297</v>
      </c>
      <c r="B1917" s="25">
        <f>TEXT(A1917,"YYYY-MM")</f>
        <v/>
      </c>
      <c r="C1917" s="25">
        <f>TEXT(A1917,"MMM-YYYY")</f>
        <v/>
      </c>
      <c r="D1917" s="40">
        <f>INT(A1917)-WEEKDAY(A1917,2)+1</f>
        <v/>
      </c>
      <c r="E1917" s="25" t="inlineStr">
        <is>
          <t>schoppakatla</t>
        </is>
      </c>
      <c r="F1917" s="25" t="n">
        <v>122486</v>
      </c>
      <c r="G1917" s="25" t="n">
        <v>1</v>
      </c>
      <c r="H1917" s="25" t="n">
        <v>5</v>
      </c>
      <c r="I1917" s="25" t="inlineStr">
        <is>
          <t>1 minute(s) and 16 second(s)</t>
        </is>
      </c>
      <c r="J1917" s="25">
        <f>IFERROR(VALUE(TRIM(LEFT(I1917,FIND("minute",I1917)-1)))*60,0)+IFERROR(VALUE(SUBSTITUTE(MID(I1917,IFERROR(FIND("and",I1917)+3,1),20),"second(s)","")),0)</f>
        <v/>
      </c>
      <c r="K1917" s="41">
        <f>J1917/60</f>
        <v/>
      </c>
      <c r="L1917" s="41">
        <f>IFERROR(J1917/H1917,"")</f>
        <v/>
      </c>
      <c r="M1917" s="25" t="inlineStr">
        <is>
          <t>2.5.12</t>
        </is>
      </c>
      <c r="N1917" s="25">
        <f>IF(J1917&gt;300,1,0)</f>
        <v/>
      </c>
      <c r="O1917" s="25">
        <f>IF(J1917&gt;600,1,0)</f>
        <v/>
      </c>
      <c r="P1917" s="25">
        <f>IF(H1917&gt;0,J1917,"")</f>
        <v/>
      </c>
      <c r="Q1917" s="25">
        <f>TEXT(A1917,"YYYY-MM-DD HH")</f>
        <v/>
      </c>
      <c r="R1917" s="25">
        <f>COUNTIF($Q$2:$Q$5295,Q1917)</f>
        <v/>
      </c>
      <c r="S1917" s="25">
        <f>IF(R1917&lt;=2,"1-2",IF(R1917&lt;=5,"3-5",IF(R1917&lt;=10,"6-10","11+")))</f>
        <v/>
      </c>
    </row>
    <row r="1918">
      <c r="A1918" s="39" t="n">
        <v>46176.19690972222</v>
      </c>
      <c r="B1918" s="25">
        <f>TEXT(A1918,"YYYY-MM")</f>
        <v/>
      </c>
      <c r="C1918" s="25">
        <f>TEXT(A1918,"MMM-YYYY")</f>
        <v/>
      </c>
      <c r="D1918" s="40">
        <f>INT(A1918)-WEEKDAY(A1918,2)+1</f>
        <v/>
      </c>
      <c r="E1918" s="25" t="inlineStr">
        <is>
          <t>ssarkar</t>
        </is>
      </c>
      <c r="F1918" s="25" t="n">
        <v>124124</v>
      </c>
      <c r="G1918" s="25" t="n">
        <v>1</v>
      </c>
      <c r="H1918" s="25" t="n">
        <v>7</v>
      </c>
      <c r="I1918" s="25" t="inlineStr">
        <is>
          <t>2 minute(s) and 13 second(s)</t>
        </is>
      </c>
      <c r="J1918" s="25">
        <f>IFERROR(VALUE(TRIM(LEFT(I1918,FIND("minute",I1918)-1)))*60,0)+IFERROR(VALUE(SUBSTITUTE(MID(I1918,IFERROR(FIND("and",I1918)+3,1),20),"second(s)","")),0)</f>
        <v/>
      </c>
      <c r="K1918" s="41">
        <f>J1918/60</f>
        <v/>
      </c>
      <c r="L1918" s="41">
        <f>IFERROR(J1918/H1918,"")</f>
        <v/>
      </c>
      <c r="M1918" s="25" t="inlineStr">
        <is>
          <t>2.5.12</t>
        </is>
      </c>
      <c r="N1918" s="25">
        <f>IF(J1918&gt;300,1,0)</f>
        <v/>
      </c>
      <c r="O1918" s="25">
        <f>IF(J1918&gt;600,1,0)</f>
        <v/>
      </c>
      <c r="P1918" s="25">
        <f>IF(H1918&gt;0,J1918,"")</f>
        <v/>
      </c>
      <c r="Q1918" s="25">
        <f>TEXT(A1918,"YYYY-MM-DD HH")</f>
        <v/>
      </c>
      <c r="R1918" s="25">
        <f>COUNTIF($Q$2:$Q$5295,Q1918)</f>
        <v/>
      </c>
      <c r="S1918" s="25">
        <f>IF(R1918&lt;=2,"1-2",IF(R1918&lt;=5,"3-5",IF(R1918&lt;=10,"6-10","11+")))</f>
        <v/>
      </c>
    </row>
    <row r="1919">
      <c r="A1919" s="39" t="n">
        <v>46176.20016203704</v>
      </c>
      <c r="B1919" s="25">
        <f>TEXT(A1919,"YYYY-MM")</f>
        <v/>
      </c>
      <c r="C1919" s="25">
        <f>TEXT(A1919,"MMM-YYYY")</f>
        <v/>
      </c>
      <c r="D1919" s="40">
        <f>INT(A1919)-WEEKDAY(A1919,2)+1</f>
        <v/>
      </c>
      <c r="E1919" s="25" t="inlineStr">
        <is>
          <t>stiwari</t>
        </is>
      </c>
      <c r="F1919" s="25" t="n">
        <v>126491</v>
      </c>
      <c r="G1919" s="25" t="n">
        <v>4</v>
      </c>
      <c r="H1919" s="25" t="n">
        <v>16</v>
      </c>
      <c r="I1919" s="25" t="inlineStr">
        <is>
          <t>3 minute(s) and 42 second(s)</t>
        </is>
      </c>
      <c r="J1919" s="25">
        <f>IFERROR(VALUE(TRIM(LEFT(I1919,FIND("minute",I1919)-1)))*60,0)+IFERROR(VALUE(SUBSTITUTE(MID(I1919,IFERROR(FIND("and",I1919)+3,1),20),"second(s)","")),0)</f>
        <v/>
      </c>
      <c r="K1919" s="41">
        <f>J1919/60</f>
        <v/>
      </c>
      <c r="L1919" s="41">
        <f>IFERROR(J1919/H1919,"")</f>
        <v/>
      </c>
      <c r="M1919" s="25" t="inlineStr">
        <is>
          <t>2.5.12</t>
        </is>
      </c>
      <c r="N1919" s="25">
        <f>IF(J1919&gt;300,1,0)</f>
        <v/>
      </c>
      <c r="O1919" s="25">
        <f>IF(J1919&gt;600,1,0)</f>
        <v/>
      </c>
      <c r="P1919" s="25">
        <f>IF(H1919&gt;0,J1919,"")</f>
        <v/>
      </c>
      <c r="Q1919" s="25">
        <f>TEXT(A1919,"YYYY-MM-DD HH")</f>
        <v/>
      </c>
      <c r="R1919" s="25">
        <f>COUNTIF($Q$2:$Q$5295,Q1919)</f>
        <v/>
      </c>
      <c r="S1919" s="25">
        <f>IF(R1919&lt;=2,"1-2",IF(R1919&lt;=5,"3-5",IF(R1919&lt;=10,"6-10","11+")))</f>
        <v/>
      </c>
    </row>
    <row r="1920">
      <c r="A1920" s="39" t="n">
        <v>46176.20351851852</v>
      </c>
      <c r="B1920" s="25">
        <f>TEXT(A1920,"YYYY-MM")</f>
        <v/>
      </c>
      <c r="C1920" s="25">
        <f>TEXT(A1920,"MMM-YYYY")</f>
        <v/>
      </c>
      <c r="D1920" s="40">
        <f>INT(A1920)-WEEKDAY(A1920,2)+1</f>
        <v/>
      </c>
      <c r="E1920" s="25" t="inlineStr">
        <is>
          <t>rts</t>
        </is>
      </c>
      <c r="F1920" s="25" t="n">
        <v>122006</v>
      </c>
      <c r="G1920" s="25" t="n">
        <v>4</v>
      </c>
      <c r="H1920" s="25" t="n">
        <v>14</v>
      </c>
      <c r="I1920" s="25" t="inlineStr">
        <is>
          <t>5 minute(s) and 4 second(s)</t>
        </is>
      </c>
      <c r="J1920" s="25">
        <f>IFERROR(VALUE(TRIM(LEFT(I1920,FIND("minute",I1920)-1)))*60,0)+IFERROR(VALUE(SUBSTITUTE(MID(I1920,IFERROR(FIND("and",I1920)+3,1),20),"second(s)","")),0)</f>
        <v/>
      </c>
      <c r="K1920" s="41">
        <f>J1920/60</f>
        <v/>
      </c>
      <c r="L1920" s="41">
        <f>IFERROR(J1920/H1920,"")</f>
        <v/>
      </c>
      <c r="M1920" s="25" t="inlineStr">
        <is>
          <t>2.5.12</t>
        </is>
      </c>
      <c r="N1920" s="25">
        <f>IF(J1920&gt;300,1,0)</f>
        <v/>
      </c>
      <c r="O1920" s="25">
        <f>IF(J1920&gt;600,1,0)</f>
        <v/>
      </c>
      <c r="P1920" s="25">
        <f>IF(H1920&gt;0,J1920,"")</f>
        <v/>
      </c>
      <c r="Q1920" s="25">
        <f>TEXT(A1920,"YYYY-MM-DD HH")</f>
        <v/>
      </c>
      <c r="R1920" s="25">
        <f>COUNTIF($Q$2:$Q$5295,Q1920)</f>
        <v/>
      </c>
      <c r="S1920" s="25">
        <f>IF(R1920&lt;=2,"1-2",IF(R1920&lt;=5,"3-5",IF(R1920&lt;=10,"6-10","11+")))</f>
        <v/>
      </c>
    </row>
    <row r="1921">
      <c r="A1921" s="39" t="n">
        <v>46176.20895833334</v>
      </c>
      <c r="B1921" s="25">
        <f>TEXT(A1921,"YYYY-MM")</f>
        <v/>
      </c>
      <c r="C1921" s="25">
        <f>TEXT(A1921,"MMM-YYYY")</f>
        <v/>
      </c>
      <c r="D1921" s="40">
        <f>INT(A1921)-WEEKDAY(A1921,2)+1</f>
        <v/>
      </c>
      <c r="E1921" s="25" t="inlineStr">
        <is>
          <t>bverma</t>
        </is>
      </c>
      <c r="F1921" s="25" t="n">
        <v>124623</v>
      </c>
      <c r="G1921" s="25" t="n">
        <v>3</v>
      </c>
      <c r="H1921" s="25" t="n">
        <v>17</v>
      </c>
      <c r="I1921" s="25" t="inlineStr">
        <is>
          <t>4 minute(s) and 53 second(s)</t>
        </is>
      </c>
      <c r="J1921" s="25">
        <f>IFERROR(VALUE(TRIM(LEFT(I1921,FIND("minute",I1921)-1)))*60,0)+IFERROR(VALUE(SUBSTITUTE(MID(I1921,IFERROR(FIND("and",I1921)+3,1),20),"second(s)","")),0)</f>
        <v/>
      </c>
      <c r="K1921" s="41">
        <f>J1921/60</f>
        <v/>
      </c>
      <c r="L1921" s="41">
        <f>IFERROR(J1921/H1921,"")</f>
        <v/>
      </c>
      <c r="M1921" s="25" t="inlineStr">
        <is>
          <t>2.5.12</t>
        </is>
      </c>
      <c r="N1921" s="25">
        <f>IF(J1921&gt;300,1,0)</f>
        <v/>
      </c>
      <c r="O1921" s="25">
        <f>IF(J1921&gt;600,1,0)</f>
        <v/>
      </c>
      <c r="P1921" s="25">
        <f>IF(H1921&gt;0,J1921,"")</f>
        <v/>
      </c>
      <c r="Q1921" s="25">
        <f>TEXT(A1921,"YYYY-MM-DD HH")</f>
        <v/>
      </c>
      <c r="R1921" s="25">
        <f>COUNTIF($Q$2:$Q$5295,Q1921)</f>
        <v/>
      </c>
      <c r="S1921" s="25">
        <f>IF(R1921&lt;=2,"1-2",IF(R1921&lt;=5,"3-5",IF(R1921&lt;=10,"6-10","11+")))</f>
        <v/>
      </c>
    </row>
    <row r="1922">
      <c r="A1922" s="39" t="n">
        <v>46176.20914351852</v>
      </c>
      <c r="B1922" s="25">
        <f>TEXT(A1922,"YYYY-MM")</f>
        <v/>
      </c>
      <c r="C1922" s="25">
        <f>TEXT(A1922,"MMM-YYYY")</f>
        <v/>
      </c>
      <c r="D1922" s="40">
        <f>INT(A1922)-WEEKDAY(A1922,2)+1</f>
        <v/>
      </c>
      <c r="E1922" s="25" t="inlineStr">
        <is>
          <t>atiwari</t>
        </is>
      </c>
      <c r="F1922" s="25" t="n">
        <v>123152</v>
      </c>
      <c r="G1922" s="25" t="n">
        <v>2</v>
      </c>
      <c r="H1922" s="25" t="n">
        <v>10</v>
      </c>
      <c r="I1922" s="25" t="inlineStr">
        <is>
          <t>3 minute(s) and 10 second(s)</t>
        </is>
      </c>
      <c r="J1922" s="25">
        <f>IFERROR(VALUE(TRIM(LEFT(I1922,FIND("minute",I1922)-1)))*60,0)+IFERROR(VALUE(SUBSTITUTE(MID(I1922,IFERROR(FIND("and",I1922)+3,1),20),"second(s)","")),0)</f>
        <v/>
      </c>
      <c r="K1922" s="41">
        <f>J1922/60</f>
        <v/>
      </c>
      <c r="L1922" s="41">
        <f>IFERROR(J1922/H1922,"")</f>
        <v/>
      </c>
      <c r="M1922" s="25" t="inlineStr">
        <is>
          <t>2.5.12</t>
        </is>
      </c>
      <c r="N1922" s="25">
        <f>IF(J1922&gt;300,1,0)</f>
        <v/>
      </c>
      <c r="O1922" s="25">
        <f>IF(J1922&gt;600,1,0)</f>
        <v/>
      </c>
      <c r="P1922" s="25">
        <f>IF(H1922&gt;0,J1922,"")</f>
        <v/>
      </c>
      <c r="Q1922" s="25">
        <f>TEXT(A1922,"YYYY-MM-DD HH")</f>
        <v/>
      </c>
      <c r="R1922" s="25">
        <f>COUNTIF($Q$2:$Q$5295,Q1922)</f>
        <v/>
      </c>
      <c r="S1922" s="25">
        <f>IF(R1922&lt;=2,"1-2",IF(R1922&lt;=5,"3-5",IF(R1922&lt;=10,"6-10","11+")))</f>
        <v/>
      </c>
    </row>
    <row r="1923">
      <c r="A1923" s="39" t="n">
        <v>46176.21394675926</v>
      </c>
      <c r="B1923" s="25">
        <f>TEXT(A1923,"YYYY-MM")</f>
        <v/>
      </c>
      <c r="C1923" s="25">
        <f>TEXT(A1923,"MMM-YYYY")</f>
        <v/>
      </c>
      <c r="D1923" s="40">
        <f>INT(A1923)-WEEKDAY(A1923,2)+1</f>
        <v/>
      </c>
      <c r="E1923" s="25" t="inlineStr">
        <is>
          <t>bverma</t>
        </is>
      </c>
      <c r="F1923" s="25" t="n">
        <v>124623</v>
      </c>
      <c r="G1923" s="25" t="n">
        <v>1</v>
      </c>
      <c r="H1923" s="25" t="n">
        <v>8</v>
      </c>
      <c r="I1923" s="25" t="inlineStr">
        <is>
          <t>2 minute(s) and 28 second(s)</t>
        </is>
      </c>
      <c r="J1923" s="25">
        <f>IFERROR(VALUE(TRIM(LEFT(I1923,FIND("minute",I1923)-1)))*60,0)+IFERROR(VALUE(SUBSTITUTE(MID(I1923,IFERROR(FIND("and",I1923)+3,1),20),"second(s)","")),0)</f>
        <v/>
      </c>
      <c r="K1923" s="41">
        <f>J1923/60</f>
        <v/>
      </c>
      <c r="L1923" s="41">
        <f>IFERROR(J1923/H1923,"")</f>
        <v/>
      </c>
      <c r="M1923" s="25" t="inlineStr">
        <is>
          <t>2.5.12</t>
        </is>
      </c>
      <c r="N1923" s="25">
        <f>IF(J1923&gt;300,1,0)</f>
        <v/>
      </c>
      <c r="O1923" s="25">
        <f>IF(J1923&gt;600,1,0)</f>
        <v/>
      </c>
      <c r="P1923" s="25">
        <f>IF(H1923&gt;0,J1923,"")</f>
        <v/>
      </c>
      <c r="Q1923" s="25">
        <f>TEXT(A1923,"YYYY-MM-DD HH")</f>
        <v/>
      </c>
      <c r="R1923" s="25">
        <f>COUNTIF($Q$2:$Q$5295,Q1923)</f>
        <v/>
      </c>
      <c r="S1923" s="25">
        <f>IF(R1923&lt;=2,"1-2",IF(R1923&lt;=5,"3-5",IF(R1923&lt;=10,"6-10","11+")))</f>
        <v/>
      </c>
    </row>
    <row r="1924">
      <c r="A1924" s="39" t="n">
        <v>46176.22997685185</v>
      </c>
      <c r="B1924" s="25">
        <f>TEXT(A1924,"YYYY-MM")</f>
        <v/>
      </c>
      <c r="C1924" s="25">
        <f>TEXT(A1924,"MMM-YYYY")</f>
        <v/>
      </c>
      <c r="D1924" s="40">
        <f>INT(A1924)-WEEKDAY(A1924,2)+1</f>
        <v/>
      </c>
      <c r="E1924" s="25" t="inlineStr">
        <is>
          <t>ns</t>
        </is>
      </c>
      <c r="F1924" s="25" t="n">
        <v>126065</v>
      </c>
      <c r="G1924" s="25" t="n">
        <v>4</v>
      </c>
      <c r="H1924" s="25" t="n">
        <v>20</v>
      </c>
      <c r="I1924" s="25" t="inlineStr">
        <is>
          <t>5 minute(s) and 59 second(s)</t>
        </is>
      </c>
      <c r="J1924" s="25">
        <f>IFERROR(VALUE(TRIM(LEFT(I1924,FIND("minute",I1924)-1)))*60,0)+IFERROR(VALUE(SUBSTITUTE(MID(I1924,IFERROR(FIND("and",I1924)+3,1),20),"second(s)","")),0)</f>
        <v/>
      </c>
      <c r="K1924" s="41">
        <f>J1924/60</f>
        <v/>
      </c>
      <c r="L1924" s="41">
        <f>IFERROR(J1924/H1924,"")</f>
        <v/>
      </c>
      <c r="M1924" s="25" t="inlineStr">
        <is>
          <t>2.5.12</t>
        </is>
      </c>
      <c r="N1924" s="25">
        <f>IF(J1924&gt;300,1,0)</f>
        <v/>
      </c>
      <c r="O1924" s="25">
        <f>IF(J1924&gt;600,1,0)</f>
        <v/>
      </c>
      <c r="P1924" s="25">
        <f>IF(H1924&gt;0,J1924,"")</f>
        <v/>
      </c>
      <c r="Q1924" s="25">
        <f>TEXT(A1924,"YYYY-MM-DD HH")</f>
        <v/>
      </c>
      <c r="R1924" s="25">
        <f>COUNTIF($Q$2:$Q$5295,Q1924)</f>
        <v/>
      </c>
      <c r="S1924" s="25">
        <f>IF(R1924&lt;=2,"1-2",IF(R1924&lt;=5,"3-5",IF(R1924&lt;=10,"6-10","11+")))</f>
        <v/>
      </c>
    </row>
    <row r="1925">
      <c r="A1925" s="39" t="n">
        <v>46176.23094907407</v>
      </c>
      <c r="B1925" s="25">
        <f>TEXT(A1925,"YYYY-MM")</f>
        <v/>
      </c>
      <c r="C1925" s="25">
        <f>TEXT(A1925,"MMM-YYYY")</f>
        <v/>
      </c>
      <c r="D1925" s="40">
        <f>INT(A1925)-WEEKDAY(A1925,2)+1</f>
        <v/>
      </c>
      <c r="E1925" s="25" t="inlineStr">
        <is>
          <t>mgupta</t>
        </is>
      </c>
      <c r="F1925" s="25" t="n">
        <v>125128</v>
      </c>
      <c r="G1925" s="25" t="n">
        <v>4</v>
      </c>
      <c r="H1925" s="25" t="n">
        <v>14</v>
      </c>
      <c r="I1925" s="25" t="inlineStr">
        <is>
          <t>3 minute(s) and 56 second(s)</t>
        </is>
      </c>
      <c r="J1925" s="25">
        <f>IFERROR(VALUE(TRIM(LEFT(I1925,FIND("minute",I1925)-1)))*60,0)+IFERROR(VALUE(SUBSTITUTE(MID(I1925,IFERROR(FIND("and",I1925)+3,1),20),"second(s)","")),0)</f>
        <v/>
      </c>
      <c r="K1925" s="41">
        <f>J1925/60</f>
        <v/>
      </c>
      <c r="L1925" s="41">
        <f>IFERROR(J1925/H1925,"")</f>
        <v/>
      </c>
      <c r="M1925" s="25" t="inlineStr">
        <is>
          <t>2.5.12</t>
        </is>
      </c>
      <c r="N1925" s="25">
        <f>IF(J1925&gt;300,1,0)</f>
        <v/>
      </c>
      <c r="O1925" s="25">
        <f>IF(J1925&gt;600,1,0)</f>
        <v/>
      </c>
      <c r="P1925" s="25">
        <f>IF(H1925&gt;0,J1925,"")</f>
        <v/>
      </c>
      <c r="Q1925" s="25">
        <f>TEXT(A1925,"YYYY-MM-DD HH")</f>
        <v/>
      </c>
      <c r="R1925" s="25">
        <f>COUNTIF($Q$2:$Q$5295,Q1925)</f>
        <v/>
      </c>
      <c r="S1925" s="25">
        <f>IF(R1925&lt;=2,"1-2",IF(R1925&lt;=5,"3-5",IF(R1925&lt;=10,"6-10","11+")))</f>
        <v/>
      </c>
    </row>
    <row r="1926">
      <c r="A1926" s="39" t="n">
        <v>46176.23113425926</v>
      </c>
      <c r="B1926" s="25">
        <f>TEXT(A1926,"YYYY-MM")</f>
        <v/>
      </c>
      <c r="C1926" s="25">
        <f>TEXT(A1926,"MMM-YYYY")</f>
        <v/>
      </c>
      <c r="D1926" s="40">
        <f>INT(A1926)-WEEKDAY(A1926,2)+1</f>
        <v/>
      </c>
      <c r="E1926" s="25" t="inlineStr">
        <is>
          <t>aghosh</t>
        </is>
      </c>
      <c r="F1926" s="25" t="n">
        <v>122126</v>
      </c>
      <c r="G1926" s="25" t="n">
        <v>5</v>
      </c>
      <c r="H1926" s="25" t="n">
        <v>29</v>
      </c>
      <c r="I1926" s="25" t="inlineStr">
        <is>
          <t>10 minute(s) and 23 second(s)</t>
        </is>
      </c>
      <c r="J1926" s="25">
        <f>IFERROR(VALUE(TRIM(LEFT(I1926,FIND("minute",I1926)-1)))*60,0)+IFERROR(VALUE(SUBSTITUTE(MID(I1926,IFERROR(FIND("and",I1926)+3,1),20),"second(s)","")),0)</f>
        <v/>
      </c>
      <c r="K1926" s="41">
        <f>J1926/60</f>
        <v/>
      </c>
      <c r="L1926" s="41">
        <f>IFERROR(J1926/H1926,"")</f>
        <v/>
      </c>
      <c r="M1926" s="25" t="inlineStr">
        <is>
          <t>2.5.12</t>
        </is>
      </c>
      <c r="N1926" s="25">
        <f>IF(J1926&gt;300,1,0)</f>
        <v/>
      </c>
      <c r="O1926" s="25">
        <f>IF(J1926&gt;600,1,0)</f>
        <v/>
      </c>
      <c r="P1926" s="25">
        <f>IF(H1926&gt;0,J1926,"")</f>
        <v/>
      </c>
      <c r="Q1926" s="25">
        <f>TEXT(A1926,"YYYY-MM-DD HH")</f>
        <v/>
      </c>
      <c r="R1926" s="25">
        <f>COUNTIF($Q$2:$Q$5295,Q1926)</f>
        <v/>
      </c>
      <c r="S1926" s="25">
        <f>IF(R1926&lt;=2,"1-2",IF(R1926&lt;=5,"3-5",IF(R1926&lt;=10,"6-10","11+")))</f>
        <v/>
      </c>
    </row>
    <row r="1927">
      <c r="A1927" s="39" t="n">
        <v>46176.23986111111</v>
      </c>
      <c r="B1927" s="25">
        <f>TEXT(A1927,"YYYY-MM")</f>
        <v/>
      </c>
      <c r="C1927" s="25">
        <f>TEXT(A1927,"MMM-YYYY")</f>
        <v/>
      </c>
      <c r="D1927" s="40">
        <f>INT(A1927)-WEEKDAY(A1927,2)+1</f>
        <v/>
      </c>
      <c r="E1927" s="25" t="inlineStr">
        <is>
          <t>schoppakatla</t>
        </is>
      </c>
      <c r="F1927" s="25" t="n">
        <v>124672</v>
      </c>
      <c r="G1927" s="25" t="n">
        <v>2</v>
      </c>
      <c r="H1927" s="25" t="n">
        <v>8</v>
      </c>
      <c r="I1927" s="25" t="inlineStr">
        <is>
          <t>1 minute(s) and 27 second(s)</t>
        </is>
      </c>
      <c r="J1927" s="25">
        <f>IFERROR(VALUE(TRIM(LEFT(I1927,FIND("minute",I1927)-1)))*60,0)+IFERROR(VALUE(SUBSTITUTE(MID(I1927,IFERROR(FIND("and",I1927)+3,1),20),"second(s)","")),0)</f>
        <v/>
      </c>
      <c r="K1927" s="41">
        <f>J1927/60</f>
        <v/>
      </c>
      <c r="L1927" s="41">
        <f>IFERROR(J1927/H1927,"")</f>
        <v/>
      </c>
      <c r="M1927" s="25" t="inlineStr">
        <is>
          <t>2.5.12</t>
        </is>
      </c>
      <c r="N1927" s="25">
        <f>IF(J1927&gt;300,1,0)</f>
        <v/>
      </c>
      <c r="O1927" s="25">
        <f>IF(J1927&gt;600,1,0)</f>
        <v/>
      </c>
      <c r="P1927" s="25">
        <f>IF(H1927&gt;0,J1927,"")</f>
        <v/>
      </c>
      <c r="Q1927" s="25">
        <f>TEXT(A1927,"YYYY-MM-DD HH")</f>
        <v/>
      </c>
      <c r="R1927" s="25">
        <f>COUNTIF($Q$2:$Q$5295,Q1927)</f>
        <v/>
      </c>
      <c r="S1927" s="25">
        <f>IF(R1927&lt;=2,"1-2",IF(R1927&lt;=5,"3-5",IF(R1927&lt;=10,"6-10","11+")))</f>
        <v/>
      </c>
    </row>
    <row r="1928">
      <c r="A1928" s="39" t="n">
        <v>46176.23996527777</v>
      </c>
      <c r="B1928" s="25">
        <f>TEXT(A1928,"YYYY-MM")</f>
        <v/>
      </c>
      <c r="C1928" s="25">
        <f>TEXT(A1928,"MMM-YYYY")</f>
        <v/>
      </c>
      <c r="D1928" s="40">
        <f>INT(A1928)-WEEKDAY(A1928,2)+1</f>
        <v/>
      </c>
      <c r="E1928" s="25" t="inlineStr">
        <is>
          <t>ssrinivasan</t>
        </is>
      </c>
      <c r="F1928" s="25" t="n">
        <v>126436</v>
      </c>
      <c r="G1928" s="25" t="n">
        <v>1</v>
      </c>
      <c r="H1928" s="25" t="n">
        <v>7</v>
      </c>
      <c r="I1928" s="25" t="inlineStr">
        <is>
          <t>1 minute(s) and 11 second(s)</t>
        </is>
      </c>
      <c r="J1928" s="25">
        <f>IFERROR(VALUE(TRIM(LEFT(I1928,FIND("minute",I1928)-1)))*60,0)+IFERROR(VALUE(SUBSTITUTE(MID(I1928,IFERROR(FIND("and",I1928)+3,1),20),"second(s)","")),0)</f>
        <v/>
      </c>
      <c r="K1928" s="41">
        <f>J1928/60</f>
        <v/>
      </c>
      <c r="L1928" s="41">
        <f>IFERROR(J1928/H1928,"")</f>
        <v/>
      </c>
      <c r="M1928" s="25" t="inlineStr">
        <is>
          <t>2.5.12</t>
        </is>
      </c>
      <c r="N1928" s="25">
        <f>IF(J1928&gt;300,1,0)</f>
        <v/>
      </c>
      <c r="O1928" s="25">
        <f>IF(J1928&gt;600,1,0)</f>
        <v/>
      </c>
      <c r="P1928" s="25">
        <f>IF(H1928&gt;0,J1928,"")</f>
        <v/>
      </c>
      <c r="Q1928" s="25">
        <f>TEXT(A1928,"YYYY-MM-DD HH")</f>
        <v/>
      </c>
      <c r="R1928" s="25">
        <f>COUNTIF($Q$2:$Q$5295,Q1928)</f>
        <v/>
      </c>
      <c r="S1928" s="25">
        <f>IF(R1928&lt;=2,"1-2",IF(R1928&lt;=5,"3-5",IF(R1928&lt;=10,"6-10","11+")))</f>
        <v/>
      </c>
    </row>
    <row r="1929">
      <c r="A1929" s="39" t="n">
        <v>46176.24681712963</v>
      </c>
      <c r="B1929" s="25">
        <f>TEXT(A1929,"YYYY-MM")</f>
        <v/>
      </c>
      <c r="C1929" s="25">
        <f>TEXT(A1929,"MMM-YYYY")</f>
        <v/>
      </c>
      <c r="D1929" s="40">
        <f>INT(A1929)-WEEKDAY(A1929,2)+1</f>
        <v/>
      </c>
      <c r="E1929" s="25" t="inlineStr">
        <is>
          <t>apriyadarshi</t>
        </is>
      </c>
      <c r="F1929" s="25" t="n">
        <v>124243</v>
      </c>
      <c r="G1929" s="25" t="n">
        <v>4</v>
      </c>
      <c r="H1929" s="25" t="n">
        <v>14</v>
      </c>
      <c r="I1929" s="25" t="inlineStr">
        <is>
          <t>4 minute(s) and 25 second(s)</t>
        </is>
      </c>
      <c r="J1929" s="25">
        <f>IFERROR(VALUE(TRIM(LEFT(I1929,FIND("minute",I1929)-1)))*60,0)+IFERROR(VALUE(SUBSTITUTE(MID(I1929,IFERROR(FIND("and",I1929)+3,1),20),"second(s)","")),0)</f>
        <v/>
      </c>
      <c r="K1929" s="41">
        <f>J1929/60</f>
        <v/>
      </c>
      <c r="L1929" s="41">
        <f>IFERROR(J1929/H1929,"")</f>
        <v/>
      </c>
      <c r="M1929" s="25" t="inlineStr">
        <is>
          <t>2.5.12</t>
        </is>
      </c>
      <c r="N1929" s="25">
        <f>IF(J1929&gt;300,1,0)</f>
        <v/>
      </c>
      <c r="O1929" s="25">
        <f>IF(J1929&gt;600,1,0)</f>
        <v/>
      </c>
      <c r="P1929" s="25">
        <f>IF(H1929&gt;0,J1929,"")</f>
        <v/>
      </c>
      <c r="Q1929" s="25">
        <f>TEXT(A1929,"YYYY-MM-DD HH")</f>
        <v/>
      </c>
      <c r="R1929" s="25">
        <f>COUNTIF($Q$2:$Q$5295,Q1929)</f>
        <v/>
      </c>
      <c r="S1929" s="25">
        <f>IF(R1929&lt;=2,"1-2",IF(R1929&lt;=5,"3-5",IF(R1929&lt;=10,"6-10","11+")))</f>
        <v/>
      </c>
    </row>
    <row r="1930">
      <c r="A1930" s="39" t="n">
        <v>46176.24746527777</v>
      </c>
      <c r="B1930" s="25">
        <f>TEXT(A1930,"YYYY-MM")</f>
        <v/>
      </c>
      <c r="C1930" s="25">
        <f>TEXT(A1930,"MMM-YYYY")</f>
        <v/>
      </c>
      <c r="D1930" s="40">
        <f>INT(A1930)-WEEKDAY(A1930,2)+1</f>
        <v/>
      </c>
      <c r="E1930" s="25" t="inlineStr">
        <is>
          <t>atiwari</t>
        </is>
      </c>
      <c r="F1930" s="25" t="n">
        <v>123695</v>
      </c>
      <c r="G1930" s="25" t="n">
        <v>3</v>
      </c>
      <c r="H1930" s="25" t="n">
        <v>15</v>
      </c>
      <c r="I1930" s="25" t="inlineStr">
        <is>
          <t>4 minute(s) and 37 second(s)</t>
        </is>
      </c>
      <c r="J1930" s="25">
        <f>IFERROR(VALUE(TRIM(LEFT(I1930,FIND("minute",I1930)-1)))*60,0)+IFERROR(VALUE(SUBSTITUTE(MID(I1930,IFERROR(FIND("and",I1930)+3,1),20),"second(s)","")),0)</f>
        <v/>
      </c>
      <c r="K1930" s="41">
        <f>J1930/60</f>
        <v/>
      </c>
      <c r="L1930" s="41">
        <f>IFERROR(J1930/H1930,"")</f>
        <v/>
      </c>
      <c r="M1930" s="25" t="inlineStr">
        <is>
          <t>2.5.12</t>
        </is>
      </c>
      <c r="N1930" s="25">
        <f>IF(J1930&gt;300,1,0)</f>
        <v/>
      </c>
      <c r="O1930" s="25">
        <f>IF(J1930&gt;600,1,0)</f>
        <v/>
      </c>
      <c r="P1930" s="25">
        <f>IF(H1930&gt;0,J1930,"")</f>
        <v/>
      </c>
      <c r="Q1930" s="25">
        <f>TEXT(A1930,"YYYY-MM-DD HH")</f>
        <v/>
      </c>
      <c r="R1930" s="25">
        <f>COUNTIF($Q$2:$Q$5295,Q1930)</f>
        <v/>
      </c>
      <c r="S1930" s="25">
        <f>IF(R1930&lt;=2,"1-2",IF(R1930&lt;=5,"3-5",IF(R1930&lt;=10,"6-10","11+")))</f>
        <v/>
      </c>
    </row>
    <row r="1931">
      <c r="A1931" s="39" t="n">
        <v>46176.25195601852</v>
      </c>
      <c r="B1931" s="25">
        <f>TEXT(A1931,"YYYY-MM")</f>
        <v/>
      </c>
      <c r="C1931" s="25">
        <f>TEXT(A1931,"MMM-YYYY")</f>
        <v/>
      </c>
      <c r="D1931" s="40">
        <f>INT(A1931)-WEEKDAY(A1931,2)+1</f>
        <v/>
      </c>
      <c r="E1931" s="25" t="inlineStr">
        <is>
          <t>sswati</t>
        </is>
      </c>
      <c r="F1931" s="25" t="n">
        <v>126502</v>
      </c>
      <c r="G1931" s="25" t="n">
        <v>2</v>
      </c>
      <c r="H1931" s="25" t="n">
        <v>6</v>
      </c>
      <c r="I1931" s="25" t="inlineStr">
        <is>
          <t>1 minute(s) and 53 second(s)</t>
        </is>
      </c>
      <c r="J1931" s="25">
        <f>IFERROR(VALUE(TRIM(LEFT(I1931,FIND("minute",I1931)-1)))*60,0)+IFERROR(VALUE(SUBSTITUTE(MID(I1931,IFERROR(FIND("and",I1931)+3,1),20),"second(s)","")),0)</f>
        <v/>
      </c>
      <c r="K1931" s="41">
        <f>J1931/60</f>
        <v/>
      </c>
      <c r="L1931" s="41">
        <f>IFERROR(J1931/H1931,"")</f>
        <v/>
      </c>
      <c r="M1931" s="25" t="inlineStr">
        <is>
          <t>2.5.12</t>
        </is>
      </c>
      <c r="N1931" s="25">
        <f>IF(J1931&gt;300,1,0)</f>
        <v/>
      </c>
      <c r="O1931" s="25">
        <f>IF(J1931&gt;600,1,0)</f>
        <v/>
      </c>
      <c r="P1931" s="25">
        <f>IF(H1931&gt;0,J1931,"")</f>
        <v/>
      </c>
      <c r="Q1931" s="25">
        <f>TEXT(A1931,"YYYY-MM-DD HH")</f>
        <v/>
      </c>
      <c r="R1931" s="25">
        <f>COUNTIF($Q$2:$Q$5295,Q1931)</f>
        <v/>
      </c>
      <c r="S1931" s="25">
        <f>IF(R1931&lt;=2,"1-2",IF(R1931&lt;=5,"3-5",IF(R1931&lt;=10,"6-10","11+")))</f>
        <v/>
      </c>
    </row>
    <row r="1932">
      <c r="A1932" s="39" t="n">
        <v>46176.25210648148</v>
      </c>
      <c r="B1932" s="25">
        <f>TEXT(A1932,"YYYY-MM")</f>
        <v/>
      </c>
      <c r="C1932" s="25">
        <f>TEXT(A1932,"MMM-YYYY")</f>
        <v/>
      </c>
      <c r="D1932" s="40">
        <f>INT(A1932)-WEEKDAY(A1932,2)+1</f>
        <v/>
      </c>
      <c r="E1932" s="25" t="inlineStr">
        <is>
          <t>stiwari</t>
        </is>
      </c>
      <c r="F1932" s="25" t="n">
        <v>124468</v>
      </c>
      <c r="G1932" s="25" t="n">
        <v>3</v>
      </c>
      <c r="H1932" s="25" t="n">
        <v>11</v>
      </c>
      <c r="I1932" s="25" t="inlineStr">
        <is>
          <t>2 minute(s) and 21 second(s)</t>
        </is>
      </c>
      <c r="J1932" s="25">
        <f>IFERROR(VALUE(TRIM(LEFT(I1932,FIND("minute",I1932)-1)))*60,0)+IFERROR(VALUE(SUBSTITUTE(MID(I1932,IFERROR(FIND("and",I1932)+3,1),20),"second(s)","")),0)</f>
        <v/>
      </c>
      <c r="K1932" s="41">
        <f>J1932/60</f>
        <v/>
      </c>
      <c r="L1932" s="41">
        <f>IFERROR(J1932/H1932,"")</f>
        <v/>
      </c>
      <c r="M1932" s="25" t="inlineStr">
        <is>
          <t>2.5.12</t>
        </is>
      </c>
      <c r="N1932" s="25">
        <f>IF(J1932&gt;300,1,0)</f>
        <v/>
      </c>
      <c r="O1932" s="25">
        <f>IF(J1932&gt;600,1,0)</f>
        <v/>
      </c>
      <c r="P1932" s="25">
        <f>IF(H1932&gt;0,J1932,"")</f>
        <v/>
      </c>
      <c r="Q1932" s="25">
        <f>TEXT(A1932,"YYYY-MM-DD HH")</f>
        <v/>
      </c>
      <c r="R1932" s="25">
        <f>COUNTIF($Q$2:$Q$5295,Q1932)</f>
        <v/>
      </c>
      <c r="S1932" s="25">
        <f>IF(R1932&lt;=2,"1-2",IF(R1932&lt;=5,"3-5",IF(R1932&lt;=10,"6-10","11+")))</f>
        <v/>
      </c>
    </row>
    <row r="1933">
      <c r="A1933" s="39" t="n">
        <v>46176.2524537037</v>
      </c>
      <c r="B1933" s="25">
        <f>TEXT(A1933,"YYYY-MM")</f>
        <v/>
      </c>
      <c r="C1933" s="25">
        <f>TEXT(A1933,"MMM-YYYY")</f>
        <v/>
      </c>
      <c r="D1933" s="40">
        <f>INT(A1933)-WEEKDAY(A1933,2)+1</f>
        <v/>
      </c>
      <c r="E1933" s="25" t="inlineStr">
        <is>
          <t>ethomas</t>
        </is>
      </c>
      <c r="F1933" s="25" t="n">
        <v>121465</v>
      </c>
      <c r="G1933" s="25" t="n">
        <v>4</v>
      </c>
      <c r="H1933" s="25" t="n">
        <v>29</v>
      </c>
      <c r="I1933" s="25" t="inlineStr">
        <is>
          <t>13 minute(s) and 23 second(s)</t>
        </is>
      </c>
      <c r="J1933" s="25">
        <f>IFERROR(VALUE(TRIM(LEFT(I1933,FIND("minute",I1933)-1)))*60,0)+IFERROR(VALUE(SUBSTITUTE(MID(I1933,IFERROR(FIND("and",I1933)+3,1),20),"second(s)","")),0)</f>
        <v/>
      </c>
      <c r="K1933" s="41">
        <f>J1933/60</f>
        <v/>
      </c>
      <c r="L1933" s="41">
        <f>IFERROR(J1933/H1933,"")</f>
        <v/>
      </c>
      <c r="M1933" s="25" t="inlineStr">
        <is>
          <t>2.5.12</t>
        </is>
      </c>
      <c r="N1933" s="25">
        <f>IF(J1933&gt;300,1,0)</f>
        <v/>
      </c>
      <c r="O1933" s="25">
        <f>IF(J1933&gt;600,1,0)</f>
        <v/>
      </c>
      <c r="P1933" s="25">
        <f>IF(H1933&gt;0,J1933,"")</f>
        <v/>
      </c>
      <c r="Q1933" s="25">
        <f>TEXT(A1933,"YYYY-MM-DD HH")</f>
        <v/>
      </c>
      <c r="R1933" s="25">
        <f>COUNTIF($Q$2:$Q$5295,Q1933)</f>
        <v/>
      </c>
      <c r="S1933" s="25">
        <f>IF(R1933&lt;=2,"1-2",IF(R1933&lt;=5,"3-5",IF(R1933&lt;=10,"6-10","11+")))</f>
        <v/>
      </c>
    </row>
    <row r="1934">
      <c r="A1934" s="39" t="n">
        <v>46176.25920138889</v>
      </c>
      <c r="B1934" s="25">
        <f>TEXT(A1934,"YYYY-MM")</f>
        <v/>
      </c>
      <c r="C1934" s="25">
        <f>TEXT(A1934,"MMM-YYYY")</f>
        <v/>
      </c>
      <c r="D1934" s="40">
        <f>INT(A1934)-WEEKDAY(A1934,2)+1</f>
        <v/>
      </c>
      <c r="E1934" s="25" t="inlineStr">
        <is>
          <t>adey</t>
        </is>
      </c>
      <c r="F1934" s="25" t="n">
        <v>122277</v>
      </c>
      <c r="G1934" s="25" t="n">
        <v>2</v>
      </c>
      <c r="H1934" s="25" t="n">
        <v>10</v>
      </c>
      <c r="I1934" s="25" t="inlineStr">
        <is>
          <t>2 minute(s) and 27 second(s)</t>
        </is>
      </c>
      <c r="J1934" s="25">
        <f>IFERROR(VALUE(TRIM(LEFT(I1934,FIND("minute",I1934)-1)))*60,0)+IFERROR(VALUE(SUBSTITUTE(MID(I1934,IFERROR(FIND("and",I1934)+3,1),20),"second(s)","")),0)</f>
        <v/>
      </c>
      <c r="K1934" s="41">
        <f>J1934/60</f>
        <v/>
      </c>
      <c r="L1934" s="41">
        <f>IFERROR(J1934/H1934,"")</f>
        <v/>
      </c>
      <c r="M1934" s="25" t="inlineStr">
        <is>
          <t>2.5.12</t>
        </is>
      </c>
      <c r="N1934" s="25">
        <f>IF(J1934&gt;300,1,0)</f>
        <v/>
      </c>
      <c r="O1934" s="25">
        <f>IF(J1934&gt;600,1,0)</f>
        <v/>
      </c>
      <c r="P1934" s="25">
        <f>IF(H1934&gt;0,J1934,"")</f>
        <v/>
      </c>
      <c r="Q1934" s="25">
        <f>TEXT(A1934,"YYYY-MM-DD HH")</f>
        <v/>
      </c>
      <c r="R1934" s="25">
        <f>COUNTIF($Q$2:$Q$5295,Q1934)</f>
        <v/>
      </c>
      <c r="S1934" s="25">
        <f>IF(R1934&lt;=2,"1-2",IF(R1934&lt;=5,"3-5",IF(R1934&lt;=10,"6-10","11+")))</f>
        <v/>
      </c>
    </row>
    <row r="1935">
      <c r="A1935" s="39" t="n">
        <v>46176.27362268518</v>
      </c>
      <c r="B1935" s="25">
        <f>TEXT(A1935,"YYYY-MM")</f>
        <v/>
      </c>
      <c r="C1935" s="25">
        <f>TEXT(A1935,"MMM-YYYY")</f>
        <v/>
      </c>
      <c r="D1935" s="40">
        <f>INT(A1935)-WEEKDAY(A1935,2)+1</f>
        <v/>
      </c>
      <c r="E1935" s="25" t="inlineStr">
        <is>
          <t>csaha</t>
        </is>
      </c>
      <c r="F1935" s="25" t="n">
        <v>123805</v>
      </c>
      <c r="G1935" s="25" t="n">
        <v>1</v>
      </c>
      <c r="H1935" s="25" t="n">
        <v>7</v>
      </c>
      <c r="I1935" s="25" t="inlineStr">
        <is>
          <t>1 minute(s) and 48 second(s)</t>
        </is>
      </c>
      <c r="J1935" s="25">
        <f>IFERROR(VALUE(TRIM(LEFT(I1935,FIND("minute",I1935)-1)))*60,0)+IFERROR(VALUE(SUBSTITUTE(MID(I1935,IFERROR(FIND("and",I1935)+3,1),20),"second(s)","")),0)</f>
        <v/>
      </c>
      <c r="K1935" s="41">
        <f>J1935/60</f>
        <v/>
      </c>
      <c r="L1935" s="41">
        <f>IFERROR(J1935/H1935,"")</f>
        <v/>
      </c>
      <c r="M1935" s="25" t="inlineStr">
        <is>
          <t>2.5.12</t>
        </is>
      </c>
      <c r="N1935" s="25">
        <f>IF(J1935&gt;300,1,0)</f>
        <v/>
      </c>
      <c r="O1935" s="25">
        <f>IF(J1935&gt;600,1,0)</f>
        <v/>
      </c>
      <c r="P1935" s="25">
        <f>IF(H1935&gt;0,J1935,"")</f>
        <v/>
      </c>
      <c r="Q1935" s="25">
        <f>TEXT(A1935,"YYYY-MM-DD HH")</f>
        <v/>
      </c>
      <c r="R1935" s="25">
        <f>COUNTIF($Q$2:$Q$5295,Q1935)</f>
        <v/>
      </c>
      <c r="S1935" s="25">
        <f>IF(R1935&lt;=2,"1-2",IF(R1935&lt;=5,"3-5",IF(R1935&lt;=10,"6-10","11+")))</f>
        <v/>
      </c>
    </row>
    <row r="1936">
      <c r="A1936" s="39" t="n">
        <v>46176.27609953703</v>
      </c>
      <c r="B1936" s="25">
        <f>TEXT(A1936,"YYYY-MM")</f>
        <v/>
      </c>
      <c r="C1936" s="25">
        <f>TEXT(A1936,"MMM-YYYY")</f>
        <v/>
      </c>
      <c r="D1936" s="40">
        <f>INT(A1936)-WEEKDAY(A1936,2)+1</f>
        <v/>
      </c>
      <c r="E1936" s="25" t="inlineStr">
        <is>
          <t>vprasad</t>
        </is>
      </c>
      <c r="F1936" s="25" t="n">
        <v>89995</v>
      </c>
      <c r="G1936" s="25" t="n">
        <v>1</v>
      </c>
      <c r="H1936" s="25" t="n">
        <v>5</v>
      </c>
      <c r="I1936" s="25" t="inlineStr">
        <is>
          <t>2 minute(s) and 16 second(s)</t>
        </is>
      </c>
      <c r="J1936" s="25">
        <f>IFERROR(VALUE(TRIM(LEFT(I1936,FIND("minute",I1936)-1)))*60,0)+IFERROR(VALUE(SUBSTITUTE(MID(I1936,IFERROR(FIND("and",I1936)+3,1),20),"second(s)","")),0)</f>
        <v/>
      </c>
      <c r="K1936" s="41">
        <f>J1936/60</f>
        <v/>
      </c>
      <c r="L1936" s="41">
        <f>IFERROR(J1936/H1936,"")</f>
        <v/>
      </c>
      <c r="M1936" s="25" t="inlineStr">
        <is>
          <t>2.5.12</t>
        </is>
      </c>
      <c r="N1936" s="25">
        <f>IF(J1936&gt;300,1,0)</f>
        <v/>
      </c>
      <c r="O1936" s="25">
        <f>IF(J1936&gt;600,1,0)</f>
        <v/>
      </c>
      <c r="P1936" s="25">
        <f>IF(H1936&gt;0,J1936,"")</f>
        <v/>
      </c>
      <c r="Q1936" s="25">
        <f>TEXT(A1936,"YYYY-MM-DD HH")</f>
        <v/>
      </c>
      <c r="R1936" s="25">
        <f>COUNTIF($Q$2:$Q$5295,Q1936)</f>
        <v/>
      </c>
      <c r="S1936" s="25">
        <f>IF(R1936&lt;=2,"1-2",IF(R1936&lt;=5,"3-5",IF(R1936&lt;=10,"6-10","11+")))</f>
        <v/>
      </c>
    </row>
    <row r="1937">
      <c r="A1937" s="39" t="n">
        <v>46176.2772800926</v>
      </c>
      <c r="B1937" s="25">
        <f>TEXT(A1937,"YYYY-MM")</f>
        <v/>
      </c>
      <c r="C1937" s="25">
        <f>TEXT(A1937,"MMM-YYYY")</f>
        <v/>
      </c>
      <c r="D1937" s="40">
        <f>INT(A1937)-WEEKDAY(A1937,2)+1</f>
        <v/>
      </c>
      <c r="E1937" s="25" t="inlineStr">
        <is>
          <t>vprasad</t>
        </is>
      </c>
      <c r="F1937" s="25" t="n">
        <v>89995</v>
      </c>
      <c r="G1937" s="25" t="n">
        <v>1</v>
      </c>
      <c r="H1937" s="25" t="n">
        <v>5</v>
      </c>
      <c r="I1937" s="25" t="inlineStr">
        <is>
          <t>46 second(s)</t>
        </is>
      </c>
      <c r="J1937" s="25">
        <f>IFERROR(VALUE(TRIM(LEFT(I1937,FIND("minute",I1937)-1)))*60,0)+IFERROR(VALUE(SUBSTITUTE(MID(I1937,IFERROR(FIND("and",I1937)+3,1),20),"second(s)","")),0)</f>
        <v/>
      </c>
      <c r="K1937" s="41">
        <f>J1937/60</f>
        <v/>
      </c>
      <c r="L1937" s="41">
        <f>IFERROR(J1937/H1937,"")</f>
        <v/>
      </c>
      <c r="M1937" s="25" t="inlineStr">
        <is>
          <t>2.5.12</t>
        </is>
      </c>
      <c r="N1937" s="25">
        <f>IF(J1937&gt;300,1,0)</f>
        <v/>
      </c>
      <c r="O1937" s="25">
        <f>IF(J1937&gt;600,1,0)</f>
        <v/>
      </c>
      <c r="P1937" s="25">
        <f>IF(H1937&gt;0,J1937,"")</f>
        <v/>
      </c>
      <c r="Q1937" s="25">
        <f>TEXT(A1937,"YYYY-MM-DD HH")</f>
        <v/>
      </c>
      <c r="R1937" s="25">
        <f>COUNTIF($Q$2:$Q$5295,Q1937)</f>
        <v/>
      </c>
      <c r="S1937" s="25">
        <f>IF(R1937&lt;=2,"1-2",IF(R1937&lt;=5,"3-5",IF(R1937&lt;=10,"6-10","11+")))</f>
        <v/>
      </c>
    </row>
    <row r="1938">
      <c r="A1938" s="39" t="n">
        <v>46176.28408564815</v>
      </c>
      <c r="B1938" s="25">
        <f>TEXT(A1938,"YYYY-MM")</f>
        <v/>
      </c>
      <c r="C1938" s="25">
        <f>TEXT(A1938,"MMM-YYYY")</f>
        <v/>
      </c>
      <c r="D1938" s="40">
        <f>INT(A1938)-WEEKDAY(A1938,2)+1</f>
        <v/>
      </c>
      <c r="E1938" s="25" t="inlineStr">
        <is>
          <t>bverma</t>
        </is>
      </c>
      <c r="F1938" s="25" t="n">
        <v>124515</v>
      </c>
      <c r="G1938" s="25" t="n">
        <v>2</v>
      </c>
      <c r="H1938" s="25" t="n">
        <v>12</v>
      </c>
      <c r="I1938" s="25" t="inlineStr">
        <is>
          <t>3 minute(s) and 32 second(s)</t>
        </is>
      </c>
      <c r="J1938" s="25">
        <f>IFERROR(VALUE(TRIM(LEFT(I1938,FIND("minute",I1938)-1)))*60,0)+IFERROR(VALUE(SUBSTITUTE(MID(I1938,IFERROR(FIND("and",I1938)+3,1),20),"second(s)","")),0)</f>
        <v/>
      </c>
      <c r="K1938" s="41">
        <f>J1938/60</f>
        <v/>
      </c>
      <c r="L1938" s="41">
        <f>IFERROR(J1938/H1938,"")</f>
        <v/>
      </c>
      <c r="M1938" s="25" t="inlineStr">
        <is>
          <t>2.5.12</t>
        </is>
      </c>
      <c r="N1938" s="25">
        <f>IF(J1938&gt;300,1,0)</f>
        <v/>
      </c>
      <c r="O1938" s="25">
        <f>IF(J1938&gt;600,1,0)</f>
        <v/>
      </c>
      <c r="P1938" s="25">
        <f>IF(H1938&gt;0,J1938,"")</f>
        <v/>
      </c>
      <c r="Q1938" s="25">
        <f>TEXT(A1938,"YYYY-MM-DD HH")</f>
        <v/>
      </c>
      <c r="R1938" s="25">
        <f>COUNTIF($Q$2:$Q$5295,Q1938)</f>
        <v/>
      </c>
      <c r="S1938" s="25">
        <f>IF(R1938&lt;=2,"1-2",IF(R1938&lt;=5,"3-5",IF(R1938&lt;=10,"6-10","11+")))</f>
        <v/>
      </c>
    </row>
    <row r="1939">
      <c r="A1939" s="39" t="n">
        <v>46176.28564814815</v>
      </c>
      <c r="B1939" s="25">
        <f>TEXT(A1939,"YYYY-MM")</f>
        <v/>
      </c>
      <c r="C1939" s="25">
        <f>TEXT(A1939,"MMM-YYYY")</f>
        <v/>
      </c>
      <c r="D1939" s="40">
        <f>INT(A1939)-WEEKDAY(A1939,2)+1</f>
        <v/>
      </c>
      <c r="E1939" s="25" t="inlineStr">
        <is>
          <t>ssrinivasan</t>
        </is>
      </c>
      <c r="F1939" s="25" t="n">
        <v>122282</v>
      </c>
      <c r="G1939" s="25" t="n">
        <v>4</v>
      </c>
      <c r="H1939" s="25" t="n">
        <v>24</v>
      </c>
      <c r="I1939" s="25" t="inlineStr">
        <is>
          <t>6 minute(s) and 26 second(s)</t>
        </is>
      </c>
      <c r="J1939" s="25">
        <f>IFERROR(VALUE(TRIM(LEFT(I1939,FIND("minute",I1939)-1)))*60,0)+IFERROR(VALUE(SUBSTITUTE(MID(I1939,IFERROR(FIND("and",I1939)+3,1),20),"second(s)","")),0)</f>
        <v/>
      </c>
      <c r="K1939" s="41">
        <f>J1939/60</f>
        <v/>
      </c>
      <c r="L1939" s="41">
        <f>IFERROR(J1939/H1939,"")</f>
        <v/>
      </c>
      <c r="M1939" s="25" t="inlineStr">
        <is>
          <t>2.5.12</t>
        </is>
      </c>
      <c r="N1939" s="25">
        <f>IF(J1939&gt;300,1,0)</f>
        <v/>
      </c>
      <c r="O1939" s="25">
        <f>IF(J1939&gt;600,1,0)</f>
        <v/>
      </c>
      <c r="P1939" s="25">
        <f>IF(H1939&gt;0,J1939,"")</f>
        <v/>
      </c>
      <c r="Q1939" s="25">
        <f>TEXT(A1939,"YYYY-MM-DD HH")</f>
        <v/>
      </c>
      <c r="R1939" s="25">
        <f>COUNTIF($Q$2:$Q$5295,Q1939)</f>
        <v/>
      </c>
      <c r="S1939" s="25">
        <f>IF(R1939&lt;=2,"1-2",IF(R1939&lt;=5,"3-5",IF(R1939&lt;=10,"6-10","11+")))</f>
        <v/>
      </c>
    </row>
    <row r="1940">
      <c r="A1940" s="39" t="n">
        <v>46176.28765046296</v>
      </c>
      <c r="B1940" s="25">
        <f>TEXT(A1940,"YYYY-MM")</f>
        <v/>
      </c>
      <c r="C1940" s="25">
        <f>TEXT(A1940,"MMM-YYYY")</f>
        <v/>
      </c>
      <c r="D1940" s="40">
        <f>INT(A1940)-WEEKDAY(A1940,2)+1</f>
        <v/>
      </c>
      <c r="E1940" s="25" t="inlineStr">
        <is>
          <t>vprasad</t>
        </is>
      </c>
      <c r="F1940" s="25" t="n">
        <v>89995</v>
      </c>
      <c r="G1940" s="25" t="n">
        <v>1</v>
      </c>
      <c r="H1940" s="25" t="n">
        <v>5</v>
      </c>
      <c r="I1940" s="25" t="inlineStr">
        <is>
          <t>1 minute(s) and 17 second(s)</t>
        </is>
      </c>
      <c r="J1940" s="25">
        <f>IFERROR(VALUE(TRIM(LEFT(I1940,FIND("minute",I1940)-1)))*60,0)+IFERROR(VALUE(SUBSTITUTE(MID(I1940,IFERROR(FIND("and",I1940)+3,1),20),"second(s)","")),0)</f>
        <v/>
      </c>
      <c r="K1940" s="41">
        <f>J1940/60</f>
        <v/>
      </c>
      <c r="L1940" s="41">
        <f>IFERROR(J1940/H1940,"")</f>
        <v/>
      </c>
      <c r="M1940" s="25" t="inlineStr">
        <is>
          <t>2.5.12</t>
        </is>
      </c>
      <c r="N1940" s="25">
        <f>IF(J1940&gt;300,1,0)</f>
        <v/>
      </c>
      <c r="O1940" s="25">
        <f>IF(J1940&gt;600,1,0)</f>
        <v/>
      </c>
      <c r="P1940" s="25">
        <f>IF(H1940&gt;0,J1940,"")</f>
        <v/>
      </c>
      <c r="Q1940" s="25">
        <f>TEXT(A1940,"YYYY-MM-DD HH")</f>
        <v/>
      </c>
      <c r="R1940" s="25">
        <f>COUNTIF($Q$2:$Q$5295,Q1940)</f>
        <v/>
      </c>
      <c r="S1940" s="25">
        <f>IF(R1940&lt;=2,"1-2",IF(R1940&lt;=5,"3-5",IF(R1940&lt;=10,"6-10","11+")))</f>
        <v/>
      </c>
    </row>
    <row r="1941">
      <c r="A1941" s="39" t="n">
        <v>46176.29017361111</v>
      </c>
      <c r="B1941" s="25">
        <f>TEXT(A1941,"YYYY-MM")</f>
        <v/>
      </c>
      <c r="C1941" s="25">
        <f>TEXT(A1941,"MMM-YYYY")</f>
        <v/>
      </c>
      <c r="D1941" s="40">
        <f>INT(A1941)-WEEKDAY(A1941,2)+1</f>
        <v/>
      </c>
      <c r="E1941" s="25" t="inlineStr">
        <is>
          <t>stiwari</t>
        </is>
      </c>
      <c r="F1941" s="25" t="n">
        <v>121853</v>
      </c>
      <c r="G1941" s="25" t="n">
        <v>3</v>
      </c>
      <c r="H1941" s="25" t="n">
        <v>11</v>
      </c>
      <c r="I1941" s="25" t="inlineStr">
        <is>
          <t>3 minute(s) and 37 second(s)</t>
        </is>
      </c>
      <c r="J1941" s="25">
        <f>IFERROR(VALUE(TRIM(LEFT(I1941,FIND("minute",I1941)-1)))*60,0)+IFERROR(VALUE(SUBSTITUTE(MID(I1941,IFERROR(FIND("and",I1941)+3,1),20),"second(s)","")),0)</f>
        <v/>
      </c>
      <c r="K1941" s="41">
        <f>J1941/60</f>
        <v/>
      </c>
      <c r="L1941" s="41">
        <f>IFERROR(J1941/H1941,"")</f>
        <v/>
      </c>
      <c r="M1941" s="25" t="inlineStr">
        <is>
          <t>2.5.12</t>
        </is>
      </c>
      <c r="N1941" s="25">
        <f>IF(J1941&gt;300,1,0)</f>
        <v/>
      </c>
      <c r="O1941" s="25">
        <f>IF(J1941&gt;600,1,0)</f>
        <v/>
      </c>
      <c r="P1941" s="25">
        <f>IF(H1941&gt;0,J1941,"")</f>
        <v/>
      </c>
      <c r="Q1941" s="25">
        <f>TEXT(A1941,"YYYY-MM-DD HH")</f>
        <v/>
      </c>
      <c r="R1941" s="25">
        <f>COUNTIF($Q$2:$Q$5295,Q1941)</f>
        <v/>
      </c>
      <c r="S1941" s="25">
        <f>IF(R1941&lt;=2,"1-2",IF(R1941&lt;=5,"3-5",IF(R1941&lt;=10,"6-10","11+")))</f>
        <v/>
      </c>
    </row>
    <row r="1942">
      <c r="A1942" s="39" t="n">
        <v>46176.29092592592</v>
      </c>
      <c r="B1942" s="25">
        <f>TEXT(A1942,"YYYY-MM")</f>
        <v/>
      </c>
      <c r="C1942" s="25">
        <f>TEXT(A1942,"MMM-YYYY")</f>
        <v/>
      </c>
      <c r="D1942" s="40">
        <f>INT(A1942)-WEEKDAY(A1942,2)+1</f>
        <v/>
      </c>
      <c r="E1942" s="25" t="inlineStr">
        <is>
          <t>aghosh</t>
        </is>
      </c>
      <c r="F1942" s="25" t="n">
        <v>126514</v>
      </c>
      <c r="G1942" s="25" t="n">
        <v>2</v>
      </c>
      <c r="H1942" s="25" t="n">
        <v>8</v>
      </c>
      <c r="I1942" s="25" t="inlineStr">
        <is>
          <t>3 minute(s) and 38 second(s)</t>
        </is>
      </c>
      <c r="J1942" s="25">
        <f>IFERROR(VALUE(TRIM(LEFT(I1942,FIND("minute",I1942)-1)))*60,0)+IFERROR(VALUE(SUBSTITUTE(MID(I1942,IFERROR(FIND("and",I1942)+3,1),20),"second(s)","")),0)</f>
        <v/>
      </c>
      <c r="K1942" s="41">
        <f>J1942/60</f>
        <v/>
      </c>
      <c r="L1942" s="41">
        <f>IFERROR(J1942/H1942,"")</f>
        <v/>
      </c>
      <c r="M1942" s="25" t="inlineStr">
        <is>
          <t>2.5.12</t>
        </is>
      </c>
      <c r="N1942" s="25">
        <f>IF(J1942&gt;300,1,0)</f>
        <v/>
      </c>
      <c r="O1942" s="25">
        <f>IF(J1942&gt;600,1,0)</f>
        <v/>
      </c>
      <c r="P1942" s="25">
        <f>IF(H1942&gt;0,J1942,"")</f>
        <v/>
      </c>
      <c r="Q1942" s="25">
        <f>TEXT(A1942,"YYYY-MM-DD HH")</f>
        <v/>
      </c>
      <c r="R1942" s="25">
        <f>COUNTIF($Q$2:$Q$5295,Q1942)</f>
        <v/>
      </c>
      <c r="S1942" s="25">
        <f>IF(R1942&lt;=2,"1-2",IF(R1942&lt;=5,"3-5",IF(R1942&lt;=10,"6-10","11+")))</f>
        <v/>
      </c>
    </row>
    <row r="1943">
      <c r="A1943" s="39" t="n">
        <v>46176.29435185185</v>
      </c>
      <c r="B1943" s="25">
        <f>TEXT(A1943,"YYYY-MM")</f>
        <v/>
      </c>
      <c r="C1943" s="25">
        <f>TEXT(A1943,"MMM-YYYY")</f>
        <v/>
      </c>
      <c r="D1943" s="40">
        <f>INT(A1943)-WEEKDAY(A1943,2)+1</f>
        <v/>
      </c>
      <c r="E1943" s="25" t="inlineStr">
        <is>
          <t>schoppakatla</t>
        </is>
      </c>
      <c r="F1943" s="25" t="n">
        <v>122464</v>
      </c>
      <c r="G1943" s="25" t="n">
        <v>1</v>
      </c>
      <c r="H1943" s="25" t="n">
        <v>5</v>
      </c>
      <c r="I1943" s="25" t="inlineStr">
        <is>
          <t>1 minute(s) and 2 second(s)</t>
        </is>
      </c>
      <c r="J1943" s="25">
        <f>IFERROR(VALUE(TRIM(LEFT(I1943,FIND("minute",I1943)-1)))*60,0)+IFERROR(VALUE(SUBSTITUTE(MID(I1943,IFERROR(FIND("and",I1943)+3,1),20),"second(s)","")),0)</f>
        <v/>
      </c>
      <c r="K1943" s="41">
        <f>J1943/60</f>
        <v/>
      </c>
      <c r="L1943" s="41">
        <f>IFERROR(J1943/H1943,"")</f>
        <v/>
      </c>
      <c r="M1943" s="25" t="inlineStr">
        <is>
          <t>2.5.12</t>
        </is>
      </c>
      <c r="N1943" s="25">
        <f>IF(J1943&gt;300,1,0)</f>
        <v/>
      </c>
      <c r="O1943" s="25">
        <f>IF(J1943&gt;600,1,0)</f>
        <v/>
      </c>
      <c r="P1943" s="25">
        <f>IF(H1943&gt;0,J1943,"")</f>
        <v/>
      </c>
      <c r="Q1943" s="25">
        <f>TEXT(A1943,"YYYY-MM-DD HH")</f>
        <v/>
      </c>
      <c r="R1943" s="25">
        <f>COUNTIF($Q$2:$Q$5295,Q1943)</f>
        <v/>
      </c>
      <c r="S1943" s="25">
        <f>IF(R1943&lt;=2,"1-2",IF(R1943&lt;=5,"3-5",IF(R1943&lt;=10,"6-10","11+")))</f>
        <v/>
      </c>
    </row>
    <row r="1944">
      <c r="A1944" s="39" t="n">
        <v>46176.29944444444</v>
      </c>
      <c r="B1944" s="25">
        <f>TEXT(A1944,"YYYY-MM")</f>
        <v/>
      </c>
      <c r="C1944" s="25">
        <f>TEXT(A1944,"MMM-YYYY")</f>
        <v/>
      </c>
      <c r="D1944" s="40">
        <f>INT(A1944)-WEEKDAY(A1944,2)+1</f>
        <v/>
      </c>
      <c r="E1944" s="25" t="inlineStr">
        <is>
          <t>adey</t>
        </is>
      </c>
      <c r="F1944" s="25" t="n">
        <v>123156</v>
      </c>
      <c r="G1944" s="25" t="n">
        <v>4</v>
      </c>
      <c r="H1944" s="25" t="n">
        <v>22</v>
      </c>
      <c r="I1944" s="25" t="inlineStr">
        <is>
          <t>4 minute(s) and 53 second(s)</t>
        </is>
      </c>
      <c r="J1944" s="25">
        <f>IFERROR(VALUE(TRIM(LEFT(I1944,FIND("minute",I1944)-1)))*60,0)+IFERROR(VALUE(SUBSTITUTE(MID(I1944,IFERROR(FIND("and",I1944)+3,1),20),"second(s)","")),0)</f>
        <v/>
      </c>
      <c r="K1944" s="41">
        <f>J1944/60</f>
        <v/>
      </c>
      <c r="L1944" s="41">
        <f>IFERROR(J1944/H1944,"")</f>
        <v/>
      </c>
      <c r="M1944" s="25" t="inlineStr">
        <is>
          <t>2.5.12</t>
        </is>
      </c>
      <c r="N1944" s="25">
        <f>IF(J1944&gt;300,1,0)</f>
        <v/>
      </c>
      <c r="O1944" s="25">
        <f>IF(J1944&gt;600,1,0)</f>
        <v/>
      </c>
      <c r="P1944" s="25">
        <f>IF(H1944&gt;0,J1944,"")</f>
        <v/>
      </c>
      <c r="Q1944" s="25">
        <f>TEXT(A1944,"YYYY-MM-DD HH")</f>
        <v/>
      </c>
      <c r="R1944" s="25">
        <f>COUNTIF($Q$2:$Q$5295,Q1944)</f>
        <v/>
      </c>
      <c r="S1944" s="25">
        <f>IF(R1944&lt;=2,"1-2",IF(R1944&lt;=5,"3-5",IF(R1944&lt;=10,"6-10","11+")))</f>
        <v/>
      </c>
    </row>
    <row r="1945">
      <c r="A1945" s="39" t="n">
        <v>46176.29962962963</v>
      </c>
      <c r="B1945" s="25">
        <f>TEXT(A1945,"YYYY-MM")</f>
        <v/>
      </c>
      <c r="C1945" s="25">
        <f>TEXT(A1945,"MMM-YYYY")</f>
        <v/>
      </c>
      <c r="D1945" s="40">
        <f>INT(A1945)-WEEKDAY(A1945,2)+1</f>
        <v/>
      </c>
      <c r="E1945" s="25" t="inlineStr">
        <is>
          <t>ethomas</t>
        </is>
      </c>
      <c r="F1945" s="25" t="n">
        <v>126007</v>
      </c>
      <c r="G1945" s="25" t="n">
        <v>1</v>
      </c>
      <c r="H1945" s="25" t="n">
        <v>5</v>
      </c>
      <c r="I1945" s="25" t="inlineStr">
        <is>
          <t>3 minute(s) and 34 second(s)</t>
        </is>
      </c>
      <c r="J1945" s="25">
        <f>IFERROR(VALUE(TRIM(LEFT(I1945,FIND("minute",I1945)-1)))*60,0)+IFERROR(VALUE(SUBSTITUTE(MID(I1945,IFERROR(FIND("and",I1945)+3,1),20),"second(s)","")),0)</f>
        <v/>
      </c>
      <c r="K1945" s="41">
        <f>J1945/60</f>
        <v/>
      </c>
      <c r="L1945" s="41">
        <f>IFERROR(J1945/H1945,"")</f>
        <v/>
      </c>
      <c r="M1945" s="25" t="inlineStr">
        <is>
          <t>2.5.12</t>
        </is>
      </c>
      <c r="N1945" s="25">
        <f>IF(J1945&gt;300,1,0)</f>
        <v/>
      </c>
      <c r="O1945" s="25">
        <f>IF(J1945&gt;600,1,0)</f>
        <v/>
      </c>
      <c r="P1945" s="25">
        <f>IF(H1945&gt;0,J1945,"")</f>
        <v/>
      </c>
      <c r="Q1945" s="25">
        <f>TEXT(A1945,"YYYY-MM-DD HH")</f>
        <v/>
      </c>
      <c r="R1945" s="25">
        <f>COUNTIF($Q$2:$Q$5295,Q1945)</f>
        <v/>
      </c>
      <c r="S1945" s="25">
        <f>IF(R1945&lt;=2,"1-2",IF(R1945&lt;=5,"3-5",IF(R1945&lt;=10,"6-10","11+")))</f>
        <v/>
      </c>
    </row>
    <row r="1946">
      <c r="A1946" s="39" t="n">
        <v>46176.3016087963</v>
      </c>
      <c r="B1946" s="25">
        <f>TEXT(A1946,"YYYY-MM")</f>
        <v/>
      </c>
      <c r="C1946" s="25">
        <f>TEXT(A1946,"MMM-YYYY")</f>
        <v/>
      </c>
      <c r="D1946" s="40">
        <f>INT(A1946)-WEEKDAY(A1946,2)+1</f>
        <v/>
      </c>
      <c r="E1946" s="25" t="inlineStr">
        <is>
          <t>ns</t>
        </is>
      </c>
      <c r="F1946" s="25" t="n">
        <v>125686</v>
      </c>
      <c r="G1946" s="25" t="n">
        <v>4</v>
      </c>
      <c r="H1946" s="25" t="n">
        <v>20</v>
      </c>
      <c r="I1946" s="25" t="inlineStr">
        <is>
          <t>5 minute(s) and 16 second(s)</t>
        </is>
      </c>
      <c r="J1946" s="25">
        <f>IFERROR(VALUE(TRIM(LEFT(I1946,FIND("minute",I1946)-1)))*60,0)+IFERROR(VALUE(SUBSTITUTE(MID(I1946,IFERROR(FIND("and",I1946)+3,1),20),"second(s)","")),0)</f>
        <v/>
      </c>
      <c r="K1946" s="41">
        <f>J1946/60</f>
        <v/>
      </c>
      <c r="L1946" s="41">
        <f>IFERROR(J1946/H1946,"")</f>
        <v/>
      </c>
      <c r="M1946" s="25" t="inlineStr">
        <is>
          <t>2.5.12</t>
        </is>
      </c>
      <c r="N1946" s="25">
        <f>IF(J1946&gt;300,1,0)</f>
        <v/>
      </c>
      <c r="O1946" s="25">
        <f>IF(J1946&gt;600,1,0)</f>
        <v/>
      </c>
      <c r="P1946" s="25">
        <f>IF(H1946&gt;0,J1946,"")</f>
        <v/>
      </c>
      <c r="Q1946" s="25">
        <f>TEXT(A1946,"YYYY-MM-DD HH")</f>
        <v/>
      </c>
      <c r="R1946" s="25">
        <f>COUNTIF($Q$2:$Q$5295,Q1946)</f>
        <v/>
      </c>
      <c r="S1946" s="25">
        <f>IF(R1946&lt;=2,"1-2",IF(R1946&lt;=5,"3-5",IF(R1946&lt;=10,"6-10","11+")))</f>
        <v/>
      </c>
    </row>
    <row r="1947">
      <c r="A1947" s="39" t="n">
        <v>46176.30446759259</v>
      </c>
      <c r="B1947" s="25">
        <f>TEXT(A1947,"YYYY-MM")</f>
        <v/>
      </c>
      <c r="C1947" s="25">
        <f>TEXT(A1947,"MMM-YYYY")</f>
        <v/>
      </c>
      <c r="D1947" s="40">
        <f>INT(A1947)-WEEKDAY(A1947,2)+1</f>
        <v/>
      </c>
      <c r="E1947" s="25" t="inlineStr">
        <is>
          <t>atiwari</t>
        </is>
      </c>
      <c r="F1947" s="25" t="n">
        <v>121795</v>
      </c>
      <c r="G1947" s="25" t="n">
        <v>3</v>
      </c>
      <c r="H1947" s="25" t="n">
        <v>11</v>
      </c>
      <c r="I1947" s="25" t="inlineStr">
        <is>
          <t>4 minute(s) and 48 second(s)</t>
        </is>
      </c>
      <c r="J1947" s="25">
        <f>IFERROR(VALUE(TRIM(LEFT(I1947,FIND("minute",I1947)-1)))*60,0)+IFERROR(VALUE(SUBSTITUTE(MID(I1947,IFERROR(FIND("and",I1947)+3,1),20),"second(s)","")),0)</f>
        <v/>
      </c>
      <c r="K1947" s="41">
        <f>J1947/60</f>
        <v/>
      </c>
      <c r="L1947" s="41">
        <f>IFERROR(J1947/H1947,"")</f>
        <v/>
      </c>
      <c r="M1947" s="25" t="inlineStr">
        <is>
          <t>2.5.12</t>
        </is>
      </c>
      <c r="N1947" s="25">
        <f>IF(J1947&gt;300,1,0)</f>
        <v/>
      </c>
      <c r="O1947" s="25">
        <f>IF(J1947&gt;600,1,0)</f>
        <v/>
      </c>
      <c r="P1947" s="25">
        <f>IF(H1947&gt;0,J1947,"")</f>
        <v/>
      </c>
      <c r="Q1947" s="25">
        <f>TEXT(A1947,"YYYY-MM-DD HH")</f>
        <v/>
      </c>
      <c r="R1947" s="25">
        <f>COUNTIF($Q$2:$Q$5295,Q1947)</f>
        <v/>
      </c>
      <c r="S1947" s="25">
        <f>IF(R1947&lt;=2,"1-2",IF(R1947&lt;=5,"3-5",IF(R1947&lt;=10,"6-10","11+")))</f>
        <v/>
      </c>
    </row>
    <row r="1948">
      <c r="A1948" s="39" t="n">
        <v>46176.30952546297</v>
      </c>
      <c r="B1948" s="25">
        <f>TEXT(A1948,"YYYY-MM")</f>
        <v/>
      </c>
      <c r="C1948" s="25">
        <f>TEXT(A1948,"MMM-YYYY")</f>
        <v/>
      </c>
      <c r="D1948" s="40">
        <f>INT(A1948)-WEEKDAY(A1948,2)+1</f>
        <v/>
      </c>
      <c r="E1948" s="25" t="inlineStr">
        <is>
          <t>ssaha</t>
        </is>
      </c>
      <c r="F1948" s="25" t="n">
        <v>1250508</v>
      </c>
      <c r="G1948" s="25" t="n">
        <v>1</v>
      </c>
      <c r="H1948" s="25" t="n">
        <v>5</v>
      </c>
      <c r="I1948" s="25" t="inlineStr">
        <is>
          <t>1 minute(s) and 33 second(s)</t>
        </is>
      </c>
      <c r="J1948" s="25">
        <f>IFERROR(VALUE(TRIM(LEFT(I1948,FIND("minute",I1948)-1)))*60,0)+IFERROR(VALUE(SUBSTITUTE(MID(I1948,IFERROR(FIND("and",I1948)+3,1),20),"second(s)","")),0)</f>
        <v/>
      </c>
      <c r="K1948" s="41">
        <f>J1948/60</f>
        <v/>
      </c>
      <c r="L1948" s="41">
        <f>IFERROR(J1948/H1948,"")</f>
        <v/>
      </c>
      <c r="M1948" s="25" t="inlineStr">
        <is>
          <t>2.5.12</t>
        </is>
      </c>
      <c r="N1948" s="25">
        <f>IF(J1948&gt;300,1,0)</f>
        <v/>
      </c>
      <c r="O1948" s="25">
        <f>IF(J1948&gt;600,1,0)</f>
        <v/>
      </c>
      <c r="P1948" s="25">
        <f>IF(H1948&gt;0,J1948,"")</f>
        <v/>
      </c>
      <c r="Q1948" s="25">
        <f>TEXT(A1948,"YYYY-MM-DD HH")</f>
        <v/>
      </c>
      <c r="R1948" s="25">
        <f>COUNTIF($Q$2:$Q$5295,Q1948)</f>
        <v/>
      </c>
      <c r="S1948" s="25">
        <f>IF(R1948&lt;=2,"1-2",IF(R1948&lt;=5,"3-5",IF(R1948&lt;=10,"6-10","11+")))</f>
        <v/>
      </c>
    </row>
    <row r="1949">
      <c r="A1949" s="39" t="n">
        <v>46176.31865740741</v>
      </c>
      <c r="B1949" s="25">
        <f>TEXT(A1949,"YYYY-MM")</f>
        <v/>
      </c>
      <c r="C1949" s="25">
        <f>TEXT(A1949,"MMM-YYYY")</f>
        <v/>
      </c>
      <c r="D1949" s="40">
        <f>INT(A1949)-WEEKDAY(A1949,2)+1</f>
        <v/>
      </c>
      <c r="E1949" s="25" t="inlineStr">
        <is>
          <t>apriyadarshi</t>
        </is>
      </c>
      <c r="F1949" s="25" t="n">
        <v>123705</v>
      </c>
      <c r="G1949" s="25" t="n">
        <v>4</v>
      </c>
      <c r="H1949" s="25" t="n">
        <v>24</v>
      </c>
      <c r="I1949" s="25" t="inlineStr">
        <is>
          <t>8 minute(s) and 9 second(s)</t>
        </is>
      </c>
      <c r="J1949" s="25">
        <f>IFERROR(VALUE(TRIM(LEFT(I1949,FIND("minute",I1949)-1)))*60,0)+IFERROR(VALUE(SUBSTITUTE(MID(I1949,IFERROR(FIND("and",I1949)+3,1),20),"second(s)","")),0)</f>
        <v/>
      </c>
      <c r="K1949" s="41">
        <f>J1949/60</f>
        <v/>
      </c>
      <c r="L1949" s="41">
        <f>IFERROR(J1949/H1949,"")</f>
        <v/>
      </c>
      <c r="M1949" s="25" t="inlineStr">
        <is>
          <t>2.5.12</t>
        </is>
      </c>
      <c r="N1949" s="25">
        <f>IF(J1949&gt;300,1,0)</f>
        <v/>
      </c>
      <c r="O1949" s="25">
        <f>IF(J1949&gt;600,1,0)</f>
        <v/>
      </c>
      <c r="P1949" s="25">
        <f>IF(H1949&gt;0,J1949,"")</f>
        <v/>
      </c>
      <c r="Q1949" s="25">
        <f>TEXT(A1949,"YYYY-MM-DD HH")</f>
        <v/>
      </c>
      <c r="R1949" s="25">
        <f>COUNTIF($Q$2:$Q$5295,Q1949)</f>
        <v/>
      </c>
      <c r="S1949" s="25">
        <f>IF(R1949&lt;=2,"1-2",IF(R1949&lt;=5,"3-5",IF(R1949&lt;=10,"6-10","11+")))</f>
        <v/>
      </c>
    </row>
    <row r="1950">
      <c r="A1950" s="39" t="n">
        <v>46176.32304398148</v>
      </c>
      <c r="B1950" s="25">
        <f>TEXT(A1950,"YYYY-MM")</f>
        <v/>
      </c>
      <c r="C1950" s="25">
        <f>TEXT(A1950,"MMM-YYYY")</f>
        <v/>
      </c>
      <c r="D1950" s="40">
        <f>INT(A1950)-WEEKDAY(A1950,2)+1</f>
        <v/>
      </c>
      <c r="E1950" s="25" t="inlineStr">
        <is>
          <t>rts</t>
        </is>
      </c>
      <c r="F1950" s="25" t="n">
        <v>122812</v>
      </c>
      <c r="G1950" s="25" t="n">
        <v>2</v>
      </c>
      <c r="H1950" s="25" t="n">
        <v>10</v>
      </c>
      <c r="I1950" s="25" t="inlineStr">
        <is>
          <t>3 minute(s) and 41 second(s)</t>
        </is>
      </c>
      <c r="J1950" s="25">
        <f>IFERROR(VALUE(TRIM(LEFT(I1950,FIND("minute",I1950)-1)))*60,0)+IFERROR(VALUE(SUBSTITUTE(MID(I1950,IFERROR(FIND("and",I1950)+3,1),20),"second(s)","")),0)</f>
        <v/>
      </c>
      <c r="K1950" s="41">
        <f>J1950/60</f>
        <v/>
      </c>
      <c r="L1950" s="41">
        <f>IFERROR(J1950/H1950,"")</f>
        <v/>
      </c>
      <c r="M1950" s="25" t="inlineStr">
        <is>
          <t>2.5.12</t>
        </is>
      </c>
      <c r="N1950" s="25">
        <f>IF(J1950&gt;300,1,0)</f>
        <v/>
      </c>
      <c r="O1950" s="25">
        <f>IF(J1950&gt;600,1,0)</f>
        <v/>
      </c>
      <c r="P1950" s="25">
        <f>IF(H1950&gt;0,J1950,"")</f>
        <v/>
      </c>
      <c r="Q1950" s="25">
        <f>TEXT(A1950,"YYYY-MM-DD HH")</f>
        <v/>
      </c>
      <c r="R1950" s="25">
        <f>COUNTIF($Q$2:$Q$5295,Q1950)</f>
        <v/>
      </c>
      <c r="S1950" s="25">
        <f>IF(R1950&lt;=2,"1-2",IF(R1950&lt;=5,"3-5",IF(R1950&lt;=10,"6-10","11+")))</f>
        <v/>
      </c>
    </row>
    <row r="1951">
      <c r="A1951" s="39" t="n">
        <v>46176.32438657407</v>
      </c>
      <c r="B1951" s="25">
        <f>TEXT(A1951,"YYYY-MM")</f>
        <v/>
      </c>
      <c r="C1951" s="25">
        <f>TEXT(A1951,"MMM-YYYY")</f>
        <v/>
      </c>
      <c r="D1951" s="40">
        <f>INT(A1951)-WEEKDAY(A1951,2)+1</f>
        <v/>
      </c>
      <c r="E1951" s="25" t="inlineStr">
        <is>
          <t>sswati</t>
        </is>
      </c>
      <c r="F1951" s="25" t="n">
        <v>122762</v>
      </c>
      <c r="G1951" s="25" t="n">
        <v>2</v>
      </c>
      <c r="H1951" s="25" t="n">
        <v>12</v>
      </c>
      <c r="I1951" s="25" t="inlineStr">
        <is>
          <t>4 minute(s) and 41 second(s)</t>
        </is>
      </c>
      <c r="J1951" s="25">
        <f>IFERROR(VALUE(TRIM(LEFT(I1951,FIND("minute",I1951)-1)))*60,0)+IFERROR(VALUE(SUBSTITUTE(MID(I1951,IFERROR(FIND("and",I1951)+3,1),20),"second(s)","")),0)</f>
        <v/>
      </c>
      <c r="K1951" s="41">
        <f>J1951/60</f>
        <v/>
      </c>
      <c r="L1951" s="41">
        <f>IFERROR(J1951/H1951,"")</f>
        <v/>
      </c>
      <c r="M1951" s="25" t="inlineStr">
        <is>
          <t>2.5.12</t>
        </is>
      </c>
      <c r="N1951" s="25">
        <f>IF(J1951&gt;300,1,0)</f>
        <v/>
      </c>
      <c r="O1951" s="25">
        <f>IF(J1951&gt;600,1,0)</f>
        <v/>
      </c>
      <c r="P1951" s="25">
        <f>IF(H1951&gt;0,J1951,"")</f>
        <v/>
      </c>
      <c r="Q1951" s="25">
        <f>TEXT(A1951,"YYYY-MM-DD HH")</f>
        <v/>
      </c>
      <c r="R1951" s="25">
        <f>COUNTIF($Q$2:$Q$5295,Q1951)</f>
        <v/>
      </c>
      <c r="S1951" s="25">
        <f>IF(R1951&lt;=2,"1-2",IF(R1951&lt;=5,"3-5",IF(R1951&lt;=10,"6-10","11+")))</f>
        <v/>
      </c>
    </row>
    <row r="1952">
      <c r="A1952" s="39" t="n">
        <v>46176.33016203704</v>
      </c>
      <c r="B1952" s="25">
        <f>TEXT(A1952,"YYYY-MM")</f>
        <v/>
      </c>
      <c r="C1952" s="25">
        <f>TEXT(A1952,"MMM-YYYY")</f>
        <v/>
      </c>
      <c r="D1952" s="40">
        <f>INT(A1952)-WEEKDAY(A1952,2)+1</f>
        <v/>
      </c>
      <c r="E1952" s="25" t="inlineStr">
        <is>
          <t>csaha</t>
        </is>
      </c>
      <c r="F1952" s="25" t="n">
        <v>125059</v>
      </c>
      <c r="G1952" s="25" t="n">
        <v>1</v>
      </c>
      <c r="H1952" s="25" t="n">
        <v>5</v>
      </c>
      <c r="I1952" s="25" t="inlineStr">
        <is>
          <t>1 minute(s) and 29 second(s)</t>
        </is>
      </c>
      <c r="J1952" s="25">
        <f>IFERROR(VALUE(TRIM(LEFT(I1952,FIND("minute",I1952)-1)))*60,0)+IFERROR(VALUE(SUBSTITUTE(MID(I1952,IFERROR(FIND("and",I1952)+3,1),20),"second(s)","")),0)</f>
        <v/>
      </c>
      <c r="K1952" s="41">
        <f>J1952/60</f>
        <v/>
      </c>
      <c r="L1952" s="41">
        <f>IFERROR(J1952/H1952,"")</f>
        <v/>
      </c>
      <c r="M1952" s="25" t="inlineStr">
        <is>
          <t>2.5.12</t>
        </is>
      </c>
      <c r="N1952" s="25">
        <f>IF(J1952&gt;300,1,0)</f>
        <v/>
      </c>
      <c r="O1952" s="25">
        <f>IF(J1952&gt;600,1,0)</f>
        <v/>
      </c>
      <c r="P1952" s="25">
        <f>IF(H1952&gt;0,J1952,"")</f>
        <v/>
      </c>
      <c r="Q1952" s="25">
        <f>TEXT(A1952,"YYYY-MM-DD HH")</f>
        <v/>
      </c>
      <c r="R1952" s="25">
        <f>COUNTIF($Q$2:$Q$5295,Q1952)</f>
        <v/>
      </c>
      <c r="S1952" s="25">
        <f>IF(R1952&lt;=2,"1-2",IF(R1952&lt;=5,"3-5",IF(R1952&lt;=10,"6-10","11+")))</f>
        <v/>
      </c>
    </row>
    <row r="1953">
      <c r="A1953" s="39" t="n">
        <v>46176.33184027778</v>
      </c>
      <c r="B1953" s="25">
        <f>TEXT(A1953,"YYYY-MM")</f>
        <v/>
      </c>
      <c r="C1953" s="25">
        <f>TEXT(A1953,"MMM-YYYY")</f>
        <v/>
      </c>
      <c r="D1953" s="40">
        <f>INT(A1953)-WEEKDAY(A1953,2)+1</f>
        <v/>
      </c>
      <c r="E1953" s="25" t="inlineStr">
        <is>
          <t>ssarkar</t>
        </is>
      </c>
      <c r="F1953" s="25" t="n">
        <v>122630</v>
      </c>
      <c r="G1953" s="25" t="n">
        <v>4</v>
      </c>
      <c r="H1953" s="25" t="n">
        <v>16</v>
      </c>
      <c r="I1953" s="25" t="inlineStr">
        <is>
          <t>5 minute(s) and 15 second(s)</t>
        </is>
      </c>
      <c r="J1953" s="25">
        <f>IFERROR(VALUE(TRIM(LEFT(I1953,FIND("minute",I1953)-1)))*60,0)+IFERROR(VALUE(SUBSTITUTE(MID(I1953,IFERROR(FIND("and",I1953)+3,1),20),"second(s)","")),0)</f>
        <v/>
      </c>
      <c r="K1953" s="41">
        <f>J1953/60</f>
        <v/>
      </c>
      <c r="L1953" s="41">
        <f>IFERROR(J1953/H1953,"")</f>
        <v/>
      </c>
      <c r="M1953" s="25" t="inlineStr">
        <is>
          <t>2.5.12</t>
        </is>
      </c>
      <c r="N1953" s="25">
        <f>IF(J1953&gt;300,1,0)</f>
        <v/>
      </c>
      <c r="O1953" s="25">
        <f>IF(J1953&gt;600,1,0)</f>
        <v/>
      </c>
      <c r="P1953" s="25">
        <f>IF(H1953&gt;0,J1953,"")</f>
        <v/>
      </c>
      <c r="Q1953" s="25">
        <f>TEXT(A1953,"YYYY-MM-DD HH")</f>
        <v/>
      </c>
      <c r="R1953" s="25">
        <f>COUNTIF($Q$2:$Q$5295,Q1953)</f>
        <v/>
      </c>
      <c r="S1953" s="25">
        <f>IF(R1953&lt;=2,"1-2",IF(R1953&lt;=5,"3-5",IF(R1953&lt;=10,"6-10","11+")))</f>
        <v/>
      </c>
    </row>
    <row r="1954">
      <c r="A1954" s="39" t="n">
        <v>46176.3428587963</v>
      </c>
      <c r="B1954" s="25">
        <f>TEXT(A1954,"YYYY-MM")</f>
        <v/>
      </c>
      <c r="C1954" s="25">
        <f>TEXT(A1954,"MMM-YYYY")</f>
        <v/>
      </c>
      <c r="D1954" s="40">
        <f>INT(A1954)-WEEKDAY(A1954,2)+1</f>
        <v/>
      </c>
      <c r="E1954" s="25" t="inlineStr">
        <is>
          <t>pmehndiratta</t>
        </is>
      </c>
      <c r="F1954" s="25" t="n">
        <v>122329</v>
      </c>
      <c r="G1954" s="25" t="n">
        <v>2</v>
      </c>
      <c r="H1954" s="25" t="n">
        <v>10</v>
      </c>
      <c r="I1954" s="25" t="inlineStr">
        <is>
          <t>2 minute(s) and 10 second(s)</t>
        </is>
      </c>
      <c r="J1954" s="25">
        <f>IFERROR(VALUE(TRIM(LEFT(I1954,FIND("minute",I1954)-1)))*60,0)+IFERROR(VALUE(SUBSTITUTE(MID(I1954,IFERROR(FIND("and",I1954)+3,1),20),"second(s)","")),0)</f>
        <v/>
      </c>
      <c r="K1954" s="41">
        <f>J1954/60</f>
        <v/>
      </c>
      <c r="L1954" s="41">
        <f>IFERROR(J1954/H1954,"")</f>
        <v/>
      </c>
      <c r="M1954" s="25" t="inlineStr">
        <is>
          <t>2.5.12</t>
        </is>
      </c>
      <c r="N1954" s="25">
        <f>IF(J1954&gt;300,1,0)</f>
        <v/>
      </c>
      <c r="O1954" s="25">
        <f>IF(J1954&gt;600,1,0)</f>
        <v/>
      </c>
      <c r="P1954" s="25">
        <f>IF(H1954&gt;0,J1954,"")</f>
        <v/>
      </c>
      <c r="Q1954" s="25">
        <f>TEXT(A1954,"YYYY-MM-DD HH")</f>
        <v/>
      </c>
      <c r="R1954" s="25">
        <f>COUNTIF($Q$2:$Q$5295,Q1954)</f>
        <v/>
      </c>
      <c r="S1954" s="25">
        <f>IF(R1954&lt;=2,"1-2",IF(R1954&lt;=5,"3-5",IF(R1954&lt;=10,"6-10","11+")))</f>
        <v/>
      </c>
    </row>
    <row r="1955">
      <c r="A1955" s="39" t="n">
        <v>46176.35274305556</v>
      </c>
      <c r="B1955" s="25">
        <f>TEXT(A1955,"YYYY-MM")</f>
        <v/>
      </c>
      <c r="C1955" s="25">
        <f>TEXT(A1955,"MMM-YYYY")</f>
        <v/>
      </c>
      <c r="D1955" s="40">
        <f>INT(A1955)-WEEKDAY(A1955,2)+1</f>
        <v/>
      </c>
      <c r="E1955" s="25" t="inlineStr">
        <is>
          <t>atiwari</t>
        </is>
      </c>
      <c r="F1955" s="25" t="n">
        <v>122835</v>
      </c>
      <c r="G1955" s="25" t="n">
        <v>4</v>
      </c>
      <c r="H1955" s="25" t="n">
        <v>29</v>
      </c>
      <c r="I1955" s="25" t="inlineStr">
        <is>
          <t>8 minute(s) and 37 second(s)</t>
        </is>
      </c>
      <c r="J1955" s="25">
        <f>IFERROR(VALUE(TRIM(LEFT(I1955,FIND("minute",I1955)-1)))*60,0)+IFERROR(VALUE(SUBSTITUTE(MID(I1955,IFERROR(FIND("and",I1955)+3,1),20),"second(s)","")),0)</f>
        <v/>
      </c>
      <c r="K1955" s="41">
        <f>J1955/60</f>
        <v/>
      </c>
      <c r="L1955" s="41">
        <f>IFERROR(J1955/H1955,"")</f>
        <v/>
      </c>
      <c r="M1955" s="25" t="inlineStr">
        <is>
          <t>2.5.12</t>
        </is>
      </c>
      <c r="N1955" s="25">
        <f>IF(J1955&gt;300,1,0)</f>
        <v/>
      </c>
      <c r="O1955" s="25">
        <f>IF(J1955&gt;600,1,0)</f>
        <v/>
      </c>
      <c r="P1955" s="25">
        <f>IF(H1955&gt;0,J1955,"")</f>
        <v/>
      </c>
      <c r="Q1955" s="25">
        <f>TEXT(A1955,"YYYY-MM-DD HH")</f>
        <v/>
      </c>
      <c r="R1955" s="25">
        <f>COUNTIF($Q$2:$Q$5295,Q1955)</f>
        <v/>
      </c>
      <c r="S1955" s="25">
        <f>IF(R1955&lt;=2,"1-2",IF(R1955&lt;=5,"3-5",IF(R1955&lt;=10,"6-10","11+")))</f>
        <v/>
      </c>
    </row>
    <row r="1956">
      <c r="A1956" s="39" t="n">
        <v>46176.35519675926</v>
      </c>
      <c r="B1956" s="25">
        <f>TEXT(A1956,"YYYY-MM")</f>
        <v/>
      </c>
      <c r="C1956" s="25">
        <f>TEXT(A1956,"MMM-YYYY")</f>
        <v/>
      </c>
      <c r="D1956" s="40">
        <f>INT(A1956)-WEEKDAY(A1956,2)+1</f>
        <v/>
      </c>
      <c r="E1956" s="25" t="inlineStr">
        <is>
          <t>ethomas</t>
        </is>
      </c>
      <c r="F1956" s="25" t="n">
        <v>125805</v>
      </c>
      <c r="G1956" s="25" t="n">
        <v>3</v>
      </c>
      <c r="H1956" s="25" t="n">
        <v>12</v>
      </c>
      <c r="I1956" s="25" t="inlineStr">
        <is>
          <t>6 minute(s) and 0 second(s)</t>
        </is>
      </c>
      <c r="J1956" s="25">
        <f>IFERROR(VALUE(TRIM(LEFT(I1956,FIND("minute",I1956)-1)))*60,0)+IFERROR(VALUE(SUBSTITUTE(MID(I1956,IFERROR(FIND("and",I1956)+3,1),20),"second(s)","")),0)</f>
        <v/>
      </c>
      <c r="K1956" s="41">
        <f>J1956/60</f>
        <v/>
      </c>
      <c r="L1956" s="41">
        <f>IFERROR(J1956/H1956,"")</f>
        <v/>
      </c>
      <c r="M1956" s="25" t="inlineStr">
        <is>
          <t>2.5.12</t>
        </is>
      </c>
      <c r="N1956" s="25">
        <f>IF(J1956&gt;300,1,0)</f>
        <v/>
      </c>
      <c r="O1956" s="25">
        <f>IF(J1956&gt;600,1,0)</f>
        <v/>
      </c>
      <c r="P1956" s="25">
        <f>IF(H1956&gt;0,J1956,"")</f>
        <v/>
      </c>
      <c r="Q1956" s="25">
        <f>TEXT(A1956,"YYYY-MM-DD HH")</f>
        <v/>
      </c>
      <c r="R1956" s="25">
        <f>COUNTIF($Q$2:$Q$5295,Q1956)</f>
        <v/>
      </c>
      <c r="S1956" s="25">
        <f>IF(R1956&lt;=2,"1-2",IF(R1956&lt;=5,"3-5",IF(R1956&lt;=10,"6-10","11+")))</f>
        <v/>
      </c>
    </row>
    <row r="1957">
      <c r="A1957" s="39" t="n">
        <v>46176.35603009259</v>
      </c>
      <c r="B1957" s="25">
        <f>TEXT(A1957,"YYYY-MM")</f>
        <v/>
      </c>
      <c r="C1957" s="25">
        <f>TEXT(A1957,"MMM-YYYY")</f>
        <v/>
      </c>
      <c r="D1957" s="40">
        <f>INT(A1957)-WEEKDAY(A1957,2)+1</f>
        <v/>
      </c>
      <c r="E1957" s="25" t="inlineStr">
        <is>
          <t>schoppakatla</t>
        </is>
      </c>
      <c r="F1957" s="25" t="n">
        <v>124021</v>
      </c>
      <c r="G1957" s="25" t="n">
        <v>1</v>
      </c>
      <c r="H1957" s="25" t="n">
        <v>5</v>
      </c>
      <c r="I1957" s="25" t="inlineStr">
        <is>
          <t>1 minute(s) and 12 second(s)</t>
        </is>
      </c>
      <c r="J1957" s="25">
        <f>IFERROR(VALUE(TRIM(LEFT(I1957,FIND("minute",I1957)-1)))*60,0)+IFERROR(VALUE(SUBSTITUTE(MID(I1957,IFERROR(FIND("and",I1957)+3,1),20),"second(s)","")),0)</f>
        <v/>
      </c>
      <c r="K1957" s="41">
        <f>J1957/60</f>
        <v/>
      </c>
      <c r="L1957" s="41">
        <f>IFERROR(J1957/H1957,"")</f>
        <v/>
      </c>
      <c r="M1957" s="25" t="inlineStr">
        <is>
          <t>2.5.12</t>
        </is>
      </c>
      <c r="N1957" s="25">
        <f>IF(J1957&gt;300,1,0)</f>
        <v/>
      </c>
      <c r="O1957" s="25">
        <f>IF(J1957&gt;600,1,0)</f>
        <v/>
      </c>
      <c r="P1957" s="25">
        <f>IF(H1957&gt;0,J1957,"")</f>
        <v/>
      </c>
      <c r="Q1957" s="25">
        <f>TEXT(A1957,"YYYY-MM-DD HH")</f>
        <v/>
      </c>
      <c r="R1957" s="25">
        <f>COUNTIF($Q$2:$Q$5295,Q1957)</f>
        <v/>
      </c>
      <c r="S1957" s="25">
        <f>IF(R1957&lt;=2,"1-2",IF(R1957&lt;=5,"3-5",IF(R1957&lt;=10,"6-10","11+")))</f>
        <v/>
      </c>
    </row>
    <row r="1958">
      <c r="A1958" s="39" t="n">
        <v>46176.37998842593</v>
      </c>
      <c r="B1958" s="25">
        <f>TEXT(A1958,"YYYY-MM")</f>
        <v/>
      </c>
      <c r="C1958" s="25">
        <f>TEXT(A1958,"MMM-YYYY")</f>
        <v/>
      </c>
      <c r="D1958" s="40">
        <f>INT(A1958)-WEEKDAY(A1958,2)+1</f>
        <v/>
      </c>
      <c r="E1958" s="25" t="inlineStr">
        <is>
          <t>ns</t>
        </is>
      </c>
      <c r="F1958" s="25" t="n">
        <v>124181</v>
      </c>
      <c r="G1958" s="25" t="n">
        <v>4</v>
      </c>
      <c r="H1958" s="25" t="n">
        <v>23</v>
      </c>
      <c r="I1958" s="25" t="inlineStr">
        <is>
          <t>6 minute(s) and 12 second(s)</t>
        </is>
      </c>
      <c r="J1958" s="25">
        <f>IFERROR(VALUE(TRIM(LEFT(I1958,FIND("minute",I1958)-1)))*60,0)+IFERROR(VALUE(SUBSTITUTE(MID(I1958,IFERROR(FIND("and",I1958)+3,1),20),"second(s)","")),0)</f>
        <v/>
      </c>
      <c r="K1958" s="41">
        <f>J1958/60</f>
        <v/>
      </c>
      <c r="L1958" s="41">
        <f>IFERROR(J1958/H1958,"")</f>
        <v/>
      </c>
      <c r="M1958" s="25" t="inlineStr">
        <is>
          <t>2.5.12</t>
        </is>
      </c>
      <c r="N1958" s="25">
        <f>IF(J1958&gt;300,1,0)</f>
        <v/>
      </c>
      <c r="O1958" s="25">
        <f>IF(J1958&gt;600,1,0)</f>
        <v/>
      </c>
      <c r="P1958" s="25">
        <f>IF(H1958&gt;0,J1958,"")</f>
        <v/>
      </c>
      <c r="Q1958" s="25">
        <f>TEXT(A1958,"YYYY-MM-DD HH")</f>
        <v/>
      </c>
      <c r="R1958" s="25">
        <f>COUNTIF($Q$2:$Q$5295,Q1958)</f>
        <v/>
      </c>
      <c r="S1958" s="25">
        <f>IF(R1958&lt;=2,"1-2",IF(R1958&lt;=5,"3-5",IF(R1958&lt;=10,"6-10","11+")))</f>
        <v/>
      </c>
    </row>
    <row r="1959">
      <c r="A1959" s="39" t="n">
        <v>46176.38107638889</v>
      </c>
      <c r="B1959" s="25">
        <f>TEXT(A1959,"YYYY-MM")</f>
        <v/>
      </c>
      <c r="C1959" s="25">
        <f>TEXT(A1959,"MMM-YYYY")</f>
        <v/>
      </c>
      <c r="D1959" s="40">
        <f>INT(A1959)-WEEKDAY(A1959,2)+1</f>
        <v/>
      </c>
      <c r="E1959" s="25" t="inlineStr">
        <is>
          <t>stiwari</t>
        </is>
      </c>
      <c r="F1959" s="25" t="n">
        <v>123106</v>
      </c>
      <c r="G1959" s="25" t="n">
        <v>4</v>
      </c>
      <c r="H1959" s="25" t="n">
        <v>14</v>
      </c>
      <c r="I1959" s="25" t="inlineStr">
        <is>
          <t>3 minute(s) and 27 second(s)</t>
        </is>
      </c>
      <c r="J1959" s="25">
        <f>IFERROR(VALUE(TRIM(LEFT(I1959,FIND("minute",I1959)-1)))*60,0)+IFERROR(VALUE(SUBSTITUTE(MID(I1959,IFERROR(FIND("and",I1959)+3,1),20),"second(s)","")),0)</f>
        <v/>
      </c>
      <c r="K1959" s="41">
        <f>J1959/60</f>
        <v/>
      </c>
      <c r="L1959" s="41">
        <f>IFERROR(J1959/H1959,"")</f>
        <v/>
      </c>
      <c r="M1959" s="25" t="inlineStr">
        <is>
          <t>2.5.12</t>
        </is>
      </c>
      <c r="N1959" s="25">
        <f>IF(J1959&gt;300,1,0)</f>
        <v/>
      </c>
      <c r="O1959" s="25">
        <f>IF(J1959&gt;600,1,0)</f>
        <v/>
      </c>
      <c r="P1959" s="25">
        <f>IF(H1959&gt;0,J1959,"")</f>
        <v/>
      </c>
      <c r="Q1959" s="25">
        <f>TEXT(A1959,"YYYY-MM-DD HH")</f>
        <v/>
      </c>
      <c r="R1959" s="25">
        <f>COUNTIF($Q$2:$Q$5295,Q1959)</f>
        <v/>
      </c>
      <c r="S1959" s="25">
        <f>IF(R1959&lt;=2,"1-2",IF(R1959&lt;=5,"3-5",IF(R1959&lt;=10,"6-10","11+")))</f>
        <v/>
      </c>
    </row>
    <row r="1960">
      <c r="A1960" s="39" t="n">
        <v>46176.39223379629</v>
      </c>
      <c r="B1960" s="25">
        <f>TEXT(A1960,"YYYY-MM")</f>
        <v/>
      </c>
      <c r="C1960" s="25">
        <f>TEXT(A1960,"MMM-YYYY")</f>
        <v/>
      </c>
      <c r="D1960" s="40">
        <f>INT(A1960)-WEEKDAY(A1960,2)+1</f>
        <v/>
      </c>
      <c r="E1960" s="25" t="inlineStr">
        <is>
          <t>aghosh</t>
        </is>
      </c>
      <c r="F1960" s="25" t="n">
        <v>122488</v>
      </c>
      <c r="G1960" s="25" t="n">
        <v>2</v>
      </c>
      <c r="H1960" s="25" t="n">
        <v>8</v>
      </c>
      <c r="I1960" s="25" t="inlineStr">
        <is>
          <t>2 minute(s) and 48 second(s)</t>
        </is>
      </c>
      <c r="J1960" s="25">
        <f>IFERROR(VALUE(TRIM(LEFT(I1960,FIND("minute",I1960)-1)))*60,0)+IFERROR(VALUE(SUBSTITUTE(MID(I1960,IFERROR(FIND("and",I1960)+3,1),20),"second(s)","")),0)</f>
        <v/>
      </c>
      <c r="K1960" s="41">
        <f>J1960/60</f>
        <v/>
      </c>
      <c r="L1960" s="41">
        <f>IFERROR(J1960/H1960,"")</f>
        <v/>
      </c>
      <c r="M1960" s="25" t="inlineStr">
        <is>
          <t>2.5.12</t>
        </is>
      </c>
      <c r="N1960" s="25">
        <f>IF(J1960&gt;300,1,0)</f>
        <v/>
      </c>
      <c r="O1960" s="25">
        <f>IF(J1960&gt;600,1,0)</f>
        <v/>
      </c>
      <c r="P1960" s="25">
        <f>IF(H1960&gt;0,J1960,"")</f>
        <v/>
      </c>
      <c r="Q1960" s="25">
        <f>TEXT(A1960,"YYYY-MM-DD HH")</f>
        <v/>
      </c>
      <c r="R1960" s="25">
        <f>COUNTIF($Q$2:$Q$5295,Q1960)</f>
        <v/>
      </c>
      <c r="S1960" s="25">
        <f>IF(R1960&lt;=2,"1-2",IF(R1960&lt;=5,"3-5",IF(R1960&lt;=10,"6-10","11+")))</f>
        <v/>
      </c>
    </row>
    <row r="1961">
      <c r="A1961" s="39" t="n">
        <v>46176.39753472222</v>
      </c>
      <c r="B1961" s="25">
        <f>TEXT(A1961,"YYYY-MM")</f>
        <v/>
      </c>
      <c r="C1961" s="25">
        <f>TEXT(A1961,"MMM-YYYY")</f>
        <v/>
      </c>
      <c r="D1961" s="40">
        <f>INT(A1961)-WEEKDAY(A1961,2)+1</f>
        <v/>
      </c>
      <c r="E1961" s="25" t="inlineStr">
        <is>
          <t>csaha</t>
        </is>
      </c>
      <c r="F1961" s="25" t="n">
        <v>124576</v>
      </c>
      <c r="G1961" s="25" t="n">
        <v>5</v>
      </c>
      <c r="H1961" s="25" t="n">
        <v>25</v>
      </c>
      <c r="I1961" s="25" t="inlineStr">
        <is>
          <t>14 minute(s) and 8 second(s)</t>
        </is>
      </c>
      <c r="J1961" s="25">
        <f>IFERROR(VALUE(TRIM(LEFT(I1961,FIND("minute",I1961)-1)))*60,0)+IFERROR(VALUE(SUBSTITUTE(MID(I1961,IFERROR(FIND("and",I1961)+3,1),20),"second(s)","")),0)</f>
        <v/>
      </c>
      <c r="K1961" s="41">
        <f>J1961/60</f>
        <v/>
      </c>
      <c r="L1961" s="41">
        <f>IFERROR(J1961/H1961,"")</f>
        <v/>
      </c>
      <c r="M1961" s="25" t="inlineStr">
        <is>
          <t>2.5.12</t>
        </is>
      </c>
      <c r="N1961" s="25">
        <f>IF(J1961&gt;300,1,0)</f>
        <v/>
      </c>
      <c r="O1961" s="25">
        <f>IF(J1961&gt;600,1,0)</f>
        <v/>
      </c>
      <c r="P1961" s="25">
        <f>IF(H1961&gt;0,J1961,"")</f>
        <v/>
      </c>
      <c r="Q1961" s="25">
        <f>TEXT(A1961,"YYYY-MM-DD HH")</f>
        <v/>
      </c>
      <c r="R1961" s="25">
        <f>COUNTIF($Q$2:$Q$5295,Q1961)</f>
        <v/>
      </c>
      <c r="S1961" s="25">
        <f>IF(R1961&lt;=2,"1-2",IF(R1961&lt;=5,"3-5",IF(R1961&lt;=10,"6-10","11+")))</f>
        <v/>
      </c>
    </row>
    <row r="1962">
      <c r="A1962" s="39" t="n">
        <v>46176.41063657407</v>
      </c>
      <c r="B1962" s="25">
        <f>TEXT(A1962,"YYYY-MM")</f>
        <v/>
      </c>
      <c r="C1962" s="25">
        <f>TEXT(A1962,"MMM-YYYY")</f>
        <v/>
      </c>
      <c r="D1962" s="40">
        <f>INT(A1962)-WEEKDAY(A1962,2)+1</f>
        <v/>
      </c>
      <c r="E1962" s="25" t="inlineStr">
        <is>
          <t>ssrinivasan</t>
        </is>
      </c>
      <c r="F1962" s="25" t="n">
        <v>124641</v>
      </c>
      <c r="G1962" s="25" t="n">
        <v>4</v>
      </c>
      <c r="H1962" s="25" t="n">
        <v>14</v>
      </c>
      <c r="I1962" s="25" t="inlineStr">
        <is>
          <t>3 minute(s) and 1 second(s)</t>
        </is>
      </c>
      <c r="J1962" s="25">
        <f>IFERROR(VALUE(TRIM(LEFT(I1962,FIND("minute",I1962)-1)))*60,0)+IFERROR(VALUE(SUBSTITUTE(MID(I1962,IFERROR(FIND("and",I1962)+3,1),20),"second(s)","")),0)</f>
        <v/>
      </c>
      <c r="K1962" s="41">
        <f>J1962/60</f>
        <v/>
      </c>
      <c r="L1962" s="41">
        <f>IFERROR(J1962/H1962,"")</f>
        <v/>
      </c>
      <c r="M1962" s="25" t="inlineStr">
        <is>
          <t>2.5.12</t>
        </is>
      </c>
      <c r="N1962" s="25">
        <f>IF(J1962&gt;300,1,0)</f>
        <v/>
      </c>
      <c r="O1962" s="25">
        <f>IF(J1962&gt;600,1,0)</f>
        <v/>
      </c>
      <c r="P1962" s="25">
        <f>IF(H1962&gt;0,J1962,"")</f>
        <v/>
      </c>
      <c r="Q1962" s="25">
        <f>TEXT(A1962,"YYYY-MM-DD HH")</f>
        <v/>
      </c>
      <c r="R1962" s="25">
        <f>COUNTIF($Q$2:$Q$5295,Q1962)</f>
        <v/>
      </c>
      <c r="S1962" s="25">
        <f>IF(R1962&lt;=2,"1-2",IF(R1962&lt;=5,"3-5",IF(R1962&lt;=10,"6-10","11+")))</f>
        <v/>
      </c>
    </row>
    <row r="1963">
      <c r="A1963" s="39" t="n">
        <v>46176.4137962963</v>
      </c>
      <c r="B1963" s="25">
        <f>TEXT(A1963,"YYYY-MM")</f>
        <v/>
      </c>
      <c r="C1963" s="25">
        <f>TEXT(A1963,"MMM-YYYY")</f>
        <v/>
      </c>
      <c r="D1963" s="40">
        <f>INT(A1963)-WEEKDAY(A1963,2)+1</f>
        <v/>
      </c>
      <c r="E1963" s="25" t="inlineStr">
        <is>
          <t>taggarwal</t>
        </is>
      </c>
      <c r="F1963" s="25" t="n">
        <v>123259</v>
      </c>
      <c r="G1963" s="25" t="n">
        <v>2</v>
      </c>
      <c r="H1963" s="25" t="n">
        <v>14</v>
      </c>
      <c r="I1963" s="25" t="inlineStr">
        <is>
          <t>3 minute(s) and 23 second(s)</t>
        </is>
      </c>
      <c r="J1963" s="25">
        <f>IFERROR(VALUE(TRIM(LEFT(I1963,FIND("minute",I1963)-1)))*60,0)+IFERROR(VALUE(SUBSTITUTE(MID(I1963,IFERROR(FIND("and",I1963)+3,1),20),"second(s)","")),0)</f>
        <v/>
      </c>
      <c r="K1963" s="41">
        <f>J1963/60</f>
        <v/>
      </c>
      <c r="L1963" s="41">
        <f>IFERROR(J1963/H1963,"")</f>
        <v/>
      </c>
      <c r="M1963" s="25" t="inlineStr">
        <is>
          <t>2.5.12</t>
        </is>
      </c>
      <c r="N1963" s="25">
        <f>IF(J1963&gt;300,1,0)</f>
        <v/>
      </c>
      <c r="O1963" s="25">
        <f>IF(J1963&gt;600,1,0)</f>
        <v/>
      </c>
      <c r="P1963" s="25">
        <f>IF(H1963&gt;0,J1963,"")</f>
        <v/>
      </c>
      <c r="Q1963" s="25">
        <f>TEXT(A1963,"YYYY-MM-DD HH")</f>
        <v/>
      </c>
      <c r="R1963" s="25">
        <f>COUNTIF($Q$2:$Q$5295,Q1963)</f>
        <v/>
      </c>
      <c r="S1963" s="25">
        <f>IF(R1963&lt;=2,"1-2",IF(R1963&lt;=5,"3-5",IF(R1963&lt;=10,"6-10","11+")))</f>
        <v/>
      </c>
    </row>
    <row r="1964">
      <c r="A1964" s="39" t="n">
        <v>46176.41539351852</v>
      </c>
      <c r="B1964" s="25">
        <f>TEXT(A1964,"YYYY-MM")</f>
        <v/>
      </c>
      <c r="C1964" s="25">
        <f>TEXT(A1964,"MMM-YYYY")</f>
        <v/>
      </c>
      <c r="D1964" s="40">
        <f>INT(A1964)-WEEKDAY(A1964,2)+1</f>
        <v/>
      </c>
      <c r="E1964" s="25" t="inlineStr">
        <is>
          <t>ethomas</t>
        </is>
      </c>
      <c r="F1964" s="25" t="n">
        <v>124463</v>
      </c>
      <c r="G1964" s="25" t="n">
        <v>1</v>
      </c>
      <c r="H1964" s="25" t="n">
        <v>6</v>
      </c>
      <c r="I1964" s="25" t="inlineStr">
        <is>
          <t>3 minute(s) and 10 second(s)</t>
        </is>
      </c>
      <c r="J1964" s="25">
        <f>IFERROR(VALUE(TRIM(LEFT(I1964,FIND("minute",I1964)-1)))*60,0)+IFERROR(VALUE(SUBSTITUTE(MID(I1964,IFERROR(FIND("and",I1964)+3,1),20),"second(s)","")),0)</f>
        <v/>
      </c>
      <c r="K1964" s="41">
        <f>J1964/60</f>
        <v/>
      </c>
      <c r="L1964" s="41">
        <f>IFERROR(J1964/H1964,"")</f>
        <v/>
      </c>
      <c r="M1964" s="25" t="inlineStr">
        <is>
          <t>2.5.12</t>
        </is>
      </c>
      <c r="N1964" s="25">
        <f>IF(J1964&gt;300,1,0)</f>
        <v/>
      </c>
      <c r="O1964" s="25">
        <f>IF(J1964&gt;600,1,0)</f>
        <v/>
      </c>
      <c r="P1964" s="25">
        <f>IF(H1964&gt;0,J1964,"")</f>
        <v/>
      </c>
      <c r="Q1964" s="25">
        <f>TEXT(A1964,"YYYY-MM-DD HH")</f>
        <v/>
      </c>
      <c r="R1964" s="25">
        <f>COUNTIF($Q$2:$Q$5295,Q1964)</f>
        <v/>
      </c>
      <c r="S1964" s="25">
        <f>IF(R1964&lt;=2,"1-2",IF(R1964&lt;=5,"3-5",IF(R1964&lt;=10,"6-10","11+")))</f>
        <v/>
      </c>
    </row>
    <row r="1965">
      <c r="A1965" s="39" t="n">
        <v>46176.41951388889</v>
      </c>
      <c r="B1965" s="25">
        <f>TEXT(A1965,"YYYY-MM")</f>
        <v/>
      </c>
      <c r="C1965" s="25">
        <f>TEXT(A1965,"MMM-YYYY")</f>
        <v/>
      </c>
      <c r="D1965" s="40">
        <f>INT(A1965)-WEEKDAY(A1965,2)+1</f>
        <v/>
      </c>
      <c r="E1965" s="25" t="inlineStr">
        <is>
          <t>rts</t>
        </is>
      </c>
      <c r="F1965" s="25" t="n">
        <v>124710</v>
      </c>
      <c r="G1965" s="25" t="n">
        <v>4</v>
      </c>
      <c r="H1965" s="25" t="n">
        <v>12</v>
      </c>
      <c r="I1965" s="25" t="inlineStr">
        <is>
          <t>7 minute(s) and 30 second(s)</t>
        </is>
      </c>
      <c r="J1965" s="25">
        <f>IFERROR(VALUE(TRIM(LEFT(I1965,FIND("minute",I1965)-1)))*60,0)+IFERROR(VALUE(SUBSTITUTE(MID(I1965,IFERROR(FIND("and",I1965)+3,1),20),"second(s)","")),0)</f>
        <v/>
      </c>
      <c r="K1965" s="41">
        <f>J1965/60</f>
        <v/>
      </c>
      <c r="L1965" s="41">
        <f>IFERROR(J1965/H1965,"")</f>
        <v/>
      </c>
      <c r="M1965" s="25" t="inlineStr">
        <is>
          <t>2.5.12</t>
        </is>
      </c>
      <c r="N1965" s="25">
        <f>IF(J1965&gt;300,1,0)</f>
        <v/>
      </c>
      <c r="O1965" s="25">
        <f>IF(J1965&gt;600,1,0)</f>
        <v/>
      </c>
      <c r="P1965" s="25">
        <f>IF(H1965&gt;0,J1965,"")</f>
        <v/>
      </c>
      <c r="Q1965" s="25">
        <f>TEXT(A1965,"YYYY-MM-DD HH")</f>
        <v/>
      </c>
      <c r="R1965" s="25">
        <f>COUNTIF($Q$2:$Q$5295,Q1965)</f>
        <v/>
      </c>
      <c r="S1965" s="25">
        <f>IF(R1965&lt;=2,"1-2",IF(R1965&lt;=5,"3-5",IF(R1965&lt;=10,"6-10","11+")))</f>
        <v/>
      </c>
    </row>
    <row r="1966">
      <c r="A1966" s="39" t="n">
        <v>46176.43277777778</v>
      </c>
      <c r="B1966" s="25">
        <f>TEXT(A1966,"YYYY-MM")</f>
        <v/>
      </c>
      <c r="C1966" s="25">
        <f>TEXT(A1966,"MMM-YYYY")</f>
        <v/>
      </c>
      <c r="D1966" s="40">
        <f>INT(A1966)-WEEKDAY(A1966,2)+1</f>
        <v/>
      </c>
      <c r="E1966" s="25" t="inlineStr">
        <is>
          <t>ssaha</t>
        </is>
      </c>
      <c r="F1966" s="25" t="n">
        <v>126504</v>
      </c>
      <c r="G1966" s="25" t="n">
        <v>2</v>
      </c>
      <c r="H1966" s="25" t="n">
        <v>6</v>
      </c>
      <c r="I1966" s="25" t="inlineStr">
        <is>
          <t>1 minute(s) and 27 second(s)</t>
        </is>
      </c>
      <c r="J1966" s="25">
        <f>IFERROR(VALUE(TRIM(LEFT(I1966,FIND("minute",I1966)-1)))*60,0)+IFERROR(VALUE(SUBSTITUTE(MID(I1966,IFERROR(FIND("and",I1966)+3,1),20),"second(s)","")),0)</f>
        <v/>
      </c>
      <c r="K1966" s="41">
        <f>J1966/60</f>
        <v/>
      </c>
      <c r="L1966" s="41">
        <f>IFERROR(J1966/H1966,"")</f>
        <v/>
      </c>
      <c r="M1966" s="25" t="inlineStr">
        <is>
          <t>2.5.12</t>
        </is>
      </c>
      <c r="N1966" s="25">
        <f>IF(J1966&gt;300,1,0)</f>
        <v/>
      </c>
      <c r="O1966" s="25">
        <f>IF(J1966&gt;600,1,0)</f>
        <v/>
      </c>
      <c r="P1966" s="25">
        <f>IF(H1966&gt;0,J1966,"")</f>
        <v/>
      </c>
      <c r="Q1966" s="25">
        <f>TEXT(A1966,"YYYY-MM-DD HH")</f>
        <v/>
      </c>
      <c r="R1966" s="25">
        <f>COUNTIF($Q$2:$Q$5295,Q1966)</f>
        <v/>
      </c>
      <c r="S1966" s="25">
        <f>IF(R1966&lt;=2,"1-2",IF(R1966&lt;=5,"3-5",IF(R1966&lt;=10,"6-10","11+")))</f>
        <v/>
      </c>
    </row>
    <row r="1967">
      <c r="A1967" s="39" t="n">
        <v>46176.43891203704</v>
      </c>
      <c r="B1967" s="25">
        <f>TEXT(A1967,"YYYY-MM")</f>
        <v/>
      </c>
      <c r="C1967" s="25">
        <f>TEXT(A1967,"MMM-YYYY")</f>
        <v/>
      </c>
      <c r="D1967" s="40">
        <f>INT(A1967)-WEEKDAY(A1967,2)+1</f>
        <v/>
      </c>
      <c r="E1967" s="25" t="inlineStr">
        <is>
          <t>ns</t>
        </is>
      </c>
      <c r="F1967" s="25" t="n">
        <v>124204</v>
      </c>
      <c r="G1967" s="25" t="n">
        <v>5</v>
      </c>
      <c r="H1967" s="25" t="n">
        <v>25</v>
      </c>
      <c r="I1967" s="25" t="inlineStr">
        <is>
          <t>6 minute(s) and 12 second(s)</t>
        </is>
      </c>
      <c r="J1967" s="25">
        <f>IFERROR(VALUE(TRIM(LEFT(I1967,FIND("minute",I1967)-1)))*60,0)+IFERROR(VALUE(SUBSTITUTE(MID(I1967,IFERROR(FIND("and",I1967)+3,1),20),"second(s)","")),0)</f>
        <v/>
      </c>
      <c r="K1967" s="41">
        <f>J1967/60</f>
        <v/>
      </c>
      <c r="L1967" s="41">
        <f>IFERROR(J1967/H1967,"")</f>
        <v/>
      </c>
      <c r="M1967" s="25" t="inlineStr">
        <is>
          <t>2.5.12</t>
        </is>
      </c>
      <c r="N1967" s="25">
        <f>IF(J1967&gt;300,1,0)</f>
        <v/>
      </c>
      <c r="O1967" s="25">
        <f>IF(J1967&gt;600,1,0)</f>
        <v/>
      </c>
      <c r="P1967" s="25">
        <f>IF(H1967&gt;0,J1967,"")</f>
        <v/>
      </c>
      <c r="Q1967" s="25">
        <f>TEXT(A1967,"YYYY-MM-DD HH")</f>
        <v/>
      </c>
      <c r="R1967" s="25">
        <f>COUNTIF($Q$2:$Q$5295,Q1967)</f>
        <v/>
      </c>
      <c r="S1967" s="25">
        <f>IF(R1967&lt;=2,"1-2",IF(R1967&lt;=5,"3-5",IF(R1967&lt;=10,"6-10","11+")))</f>
        <v/>
      </c>
    </row>
    <row r="1968">
      <c r="A1968" s="39" t="n">
        <v>46176.48028935185</v>
      </c>
      <c r="B1968" s="25">
        <f>TEXT(A1968,"YYYY-MM")</f>
        <v/>
      </c>
      <c r="C1968" s="25">
        <f>TEXT(A1968,"MMM-YYYY")</f>
        <v/>
      </c>
      <c r="D1968" s="40">
        <f>INT(A1968)-WEEKDAY(A1968,2)+1</f>
        <v/>
      </c>
      <c r="E1968" s="25" t="inlineStr">
        <is>
          <t>ssaha</t>
        </is>
      </c>
      <c r="F1968" s="25" t="n">
        <v>125788</v>
      </c>
      <c r="G1968" s="25" t="n">
        <v>3</v>
      </c>
      <c r="H1968" s="25" t="n">
        <v>11</v>
      </c>
      <c r="I1968" s="25" t="inlineStr">
        <is>
          <t>2 minute(s) and 19 second(s)</t>
        </is>
      </c>
      <c r="J1968" s="25">
        <f>IFERROR(VALUE(TRIM(LEFT(I1968,FIND("minute",I1968)-1)))*60,0)+IFERROR(VALUE(SUBSTITUTE(MID(I1968,IFERROR(FIND("and",I1968)+3,1),20),"second(s)","")),0)</f>
        <v/>
      </c>
      <c r="K1968" s="41">
        <f>J1968/60</f>
        <v/>
      </c>
      <c r="L1968" s="41">
        <f>IFERROR(J1968/H1968,"")</f>
        <v/>
      </c>
      <c r="M1968" s="25" t="inlineStr">
        <is>
          <t>2.5.12</t>
        </is>
      </c>
      <c r="N1968" s="25">
        <f>IF(J1968&gt;300,1,0)</f>
        <v/>
      </c>
      <c r="O1968" s="25">
        <f>IF(J1968&gt;600,1,0)</f>
        <v/>
      </c>
      <c r="P1968" s="25">
        <f>IF(H1968&gt;0,J1968,"")</f>
        <v/>
      </c>
      <c r="Q1968" s="25">
        <f>TEXT(A1968,"YYYY-MM-DD HH")</f>
        <v/>
      </c>
      <c r="R1968" s="25">
        <f>COUNTIF($Q$2:$Q$5295,Q1968)</f>
        <v/>
      </c>
      <c r="S1968" s="25">
        <f>IF(R1968&lt;=2,"1-2",IF(R1968&lt;=5,"3-5",IF(R1968&lt;=10,"6-10","11+")))</f>
        <v/>
      </c>
    </row>
    <row r="1969">
      <c r="A1969" s="39" t="n">
        <v>46176.48578703704</v>
      </c>
      <c r="B1969" s="25">
        <f>TEXT(A1969,"YYYY-MM")</f>
        <v/>
      </c>
      <c r="C1969" s="25">
        <f>TEXT(A1969,"MMM-YYYY")</f>
        <v/>
      </c>
      <c r="D1969" s="40">
        <f>INT(A1969)-WEEKDAY(A1969,2)+1</f>
        <v/>
      </c>
      <c r="E1969" s="25" t="inlineStr">
        <is>
          <t>aghosh</t>
        </is>
      </c>
      <c r="F1969" s="25" t="n">
        <v>122435</v>
      </c>
      <c r="G1969" s="25" t="n">
        <v>5</v>
      </c>
      <c r="H1969" s="25" t="n">
        <v>27</v>
      </c>
      <c r="I1969" s="25" t="inlineStr">
        <is>
          <t>9 minute(s) and 22 second(s)</t>
        </is>
      </c>
      <c r="J1969" s="25">
        <f>IFERROR(VALUE(TRIM(LEFT(I1969,FIND("minute",I1969)-1)))*60,0)+IFERROR(VALUE(SUBSTITUTE(MID(I1969,IFERROR(FIND("and",I1969)+3,1),20),"second(s)","")),0)</f>
        <v/>
      </c>
      <c r="K1969" s="41">
        <f>J1969/60</f>
        <v/>
      </c>
      <c r="L1969" s="41">
        <f>IFERROR(J1969/H1969,"")</f>
        <v/>
      </c>
      <c r="M1969" s="25" t="inlineStr">
        <is>
          <t>2.5.12</t>
        </is>
      </c>
      <c r="N1969" s="25">
        <f>IF(J1969&gt;300,1,0)</f>
        <v/>
      </c>
      <c r="O1969" s="25">
        <f>IF(J1969&gt;600,1,0)</f>
        <v/>
      </c>
      <c r="P1969" s="25">
        <f>IF(H1969&gt;0,J1969,"")</f>
        <v/>
      </c>
      <c r="Q1969" s="25">
        <f>TEXT(A1969,"YYYY-MM-DD HH")</f>
        <v/>
      </c>
      <c r="R1969" s="25">
        <f>COUNTIF($Q$2:$Q$5295,Q1969)</f>
        <v/>
      </c>
      <c r="S1969" s="25">
        <f>IF(R1969&lt;=2,"1-2",IF(R1969&lt;=5,"3-5",IF(R1969&lt;=10,"6-10","11+")))</f>
        <v/>
      </c>
    </row>
    <row r="1970">
      <c r="A1970" s="39" t="n">
        <v>46176.49043981481</v>
      </c>
      <c r="B1970" s="25">
        <f>TEXT(A1970,"YYYY-MM")</f>
        <v/>
      </c>
      <c r="C1970" s="25">
        <f>TEXT(A1970,"MMM-YYYY")</f>
        <v/>
      </c>
      <c r="D1970" s="40">
        <f>INT(A1970)-WEEKDAY(A1970,2)+1</f>
        <v/>
      </c>
      <c r="E1970" s="25" t="inlineStr">
        <is>
          <t>taggarwal</t>
        </is>
      </c>
      <c r="F1970" s="25" t="n">
        <v>122536</v>
      </c>
      <c r="G1970" s="25" t="n">
        <v>1</v>
      </c>
      <c r="H1970" s="25" t="n">
        <v>5</v>
      </c>
      <c r="I1970" s="25" t="inlineStr">
        <is>
          <t>1 minute(s) and 19 second(s)</t>
        </is>
      </c>
      <c r="J1970" s="25">
        <f>IFERROR(VALUE(TRIM(LEFT(I1970,FIND("minute",I1970)-1)))*60,0)+IFERROR(VALUE(SUBSTITUTE(MID(I1970,IFERROR(FIND("and",I1970)+3,1),20),"second(s)","")),0)</f>
        <v/>
      </c>
      <c r="K1970" s="41">
        <f>J1970/60</f>
        <v/>
      </c>
      <c r="L1970" s="41">
        <f>IFERROR(J1970/H1970,"")</f>
        <v/>
      </c>
      <c r="M1970" s="25" t="inlineStr">
        <is>
          <t>2.5.12</t>
        </is>
      </c>
      <c r="N1970" s="25">
        <f>IF(J1970&gt;300,1,0)</f>
        <v/>
      </c>
      <c r="O1970" s="25">
        <f>IF(J1970&gt;600,1,0)</f>
        <v/>
      </c>
      <c r="P1970" s="25">
        <f>IF(H1970&gt;0,J1970,"")</f>
        <v/>
      </c>
      <c r="Q1970" s="25">
        <f>TEXT(A1970,"YYYY-MM-DD HH")</f>
        <v/>
      </c>
      <c r="R1970" s="25">
        <f>COUNTIF($Q$2:$Q$5295,Q1970)</f>
        <v/>
      </c>
      <c r="S1970" s="25">
        <f>IF(R1970&lt;=2,"1-2",IF(R1970&lt;=5,"3-5",IF(R1970&lt;=10,"6-10","11+")))</f>
        <v/>
      </c>
    </row>
    <row r="1971">
      <c r="A1971" s="39" t="n">
        <v>46176.49528935185</v>
      </c>
      <c r="B1971" s="25">
        <f>TEXT(A1971,"YYYY-MM")</f>
        <v/>
      </c>
      <c r="C1971" s="25">
        <f>TEXT(A1971,"MMM-YYYY")</f>
        <v/>
      </c>
      <c r="D1971" s="40">
        <f>INT(A1971)-WEEKDAY(A1971,2)+1</f>
        <v/>
      </c>
      <c r="E1971" s="25" t="inlineStr">
        <is>
          <t>ssarkar</t>
        </is>
      </c>
      <c r="F1971" s="25" t="n">
        <v>123730</v>
      </c>
      <c r="G1971" s="25" t="n">
        <v>4</v>
      </c>
      <c r="H1971" s="25" t="n">
        <v>22</v>
      </c>
      <c r="I1971" s="25" t="inlineStr">
        <is>
          <t>6 minute(s) and 19 second(s)</t>
        </is>
      </c>
      <c r="J1971" s="25">
        <f>IFERROR(VALUE(TRIM(LEFT(I1971,FIND("minute",I1971)-1)))*60,0)+IFERROR(VALUE(SUBSTITUTE(MID(I1971,IFERROR(FIND("and",I1971)+3,1),20),"second(s)","")),0)</f>
        <v/>
      </c>
      <c r="K1971" s="41">
        <f>J1971/60</f>
        <v/>
      </c>
      <c r="L1971" s="41">
        <f>IFERROR(J1971/H1971,"")</f>
        <v/>
      </c>
      <c r="M1971" s="25" t="inlineStr">
        <is>
          <t>2.5.12</t>
        </is>
      </c>
      <c r="N1971" s="25">
        <f>IF(J1971&gt;300,1,0)</f>
        <v/>
      </c>
      <c r="O1971" s="25">
        <f>IF(J1971&gt;600,1,0)</f>
        <v/>
      </c>
      <c r="P1971" s="25">
        <f>IF(H1971&gt;0,J1971,"")</f>
        <v/>
      </c>
      <c r="Q1971" s="25">
        <f>TEXT(A1971,"YYYY-MM-DD HH")</f>
        <v/>
      </c>
      <c r="R1971" s="25">
        <f>COUNTIF($Q$2:$Q$5295,Q1971)</f>
        <v/>
      </c>
      <c r="S1971" s="25">
        <f>IF(R1971&lt;=2,"1-2",IF(R1971&lt;=5,"3-5",IF(R1971&lt;=10,"6-10","11+")))</f>
        <v/>
      </c>
    </row>
    <row r="1972">
      <c r="A1972" s="39" t="n">
        <v>46176.53223379629</v>
      </c>
      <c r="B1972" s="25">
        <f>TEXT(A1972,"YYYY-MM")</f>
        <v/>
      </c>
      <c r="C1972" s="25">
        <f>TEXT(A1972,"MMM-YYYY")</f>
        <v/>
      </c>
      <c r="D1972" s="40">
        <f>INT(A1972)-WEEKDAY(A1972,2)+1</f>
        <v/>
      </c>
      <c r="E1972" s="25" t="inlineStr">
        <is>
          <t>ns</t>
        </is>
      </c>
      <c r="F1972" s="25" t="n">
        <v>124809</v>
      </c>
      <c r="G1972" s="25" t="n">
        <v>3</v>
      </c>
      <c r="H1972" s="25" t="n">
        <v>11</v>
      </c>
      <c r="I1972" s="25" t="inlineStr">
        <is>
          <t>3 minute(s) and 50 second(s)</t>
        </is>
      </c>
      <c r="J1972" s="25">
        <f>IFERROR(VALUE(TRIM(LEFT(I1972,FIND("minute",I1972)-1)))*60,0)+IFERROR(VALUE(SUBSTITUTE(MID(I1972,IFERROR(FIND("and",I1972)+3,1),20),"second(s)","")),0)</f>
        <v/>
      </c>
      <c r="K1972" s="41">
        <f>J1972/60</f>
        <v/>
      </c>
      <c r="L1972" s="41">
        <f>IFERROR(J1972/H1972,"")</f>
        <v/>
      </c>
      <c r="M1972" s="25" t="inlineStr">
        <is>
          <t>2.5.12</t>
        </is>
      </c>
      <c r="N1972" s="25">
        <f>IF(J1972&gt;300,1,0)</f>
        <v/>
      </c>
      <c r="O1972" s="25">
        <f>IF(J1972&gt;600,1,0)</f>
        <v/>
      </c>
      <c r="P1972" s="25">
        <f>IF(H1972&gt;0,J1972,"")</f>
        <v/>
      </c>
      <c r="Q1972" s="25">
        <f>TEXT(A1972,"YYYY-MM-DD HH")</f>
        <v/>
      </c>
      <c r="R1972" s="25">
        <f>COUNTIF($Q$2:$Q$5295,Q1972)</f>
        <v/>
      </c>
      <c r="S1972" s="25">
        <f>IF(R1972&lt;=2,"1-2",IF(R1972&lt;=5,"3-5",IF(R1972&lt;=10,"6-10","11+")))</f>
        <v/>
      </c>
    </row>
    <row r="1973">
      <c r="A1973" s="39" t="n">
        <v>46176.53674768518</v>
      </c>
      <c r="B1973" s="25">
        <f>TEXT(A1973,"YYYY-MM")</f>
        <v/>
      </c>
      <c r="C1973" s="25">
        <f>TEXT(A1973,"MMM-YYYY")</f>
        <v/>
      </c>
      <c r="D1973" s="40">
        <f>INT(A1973)-WEEKDAY(A1973,2)+1</f>
        <v/>
      </c>
      <c r="E1973" s="25" t="inlineStr">
        <is>
          <t>ssaha</t>
        </is>
      </c>
      <c r="F1973" s="25" t="n">
        <v>124908</v>
      </c>
      <c r="G1973" s="25" t="n">
        <v>4</v>
      </c>
      <c r="H1973" s="25" t="n">
        <v>14</v>
      </c>
      <c r="I1973" s="25" t="inlineStr">
        <is>
          <t>3 minute(s) and 7 second(s)</t>
        </is>
      </c>
      <c r="J1973" s="25">
        <f>IFERROR(VALUE(TRIM(LEFT(I1973,FIND("minute",I1973)-1)))*60,0)+IFERROR(VALUE(SUBSTITUTE(MID(I1973,IFERROR(FIND("and",I1973)+3,1),20),"second(s)","")),0)</f>
        <v/>
      </c>
      <c r="K1973" s="41">
        <f>J1973/60</f>
        <v/>
      </c>
      <c r="L1973" s="41">
        <f>IFERROR(J1973/H1973,"")</f>
        <v/>
      </c>
      <c r="M1973" s="25" t="inlineStr">
        <is>
          <t>2.5.12</t>
        </is>
      </c>
      <c r="N1973" s="25">
        <f>IF(J1973&gt;300,1,0)</f>
        <v/>
      </c>
      <c r="O1973" s="25">
        <f>IF(J1973&gt;600,1,0)</f>
        <v/>
      </c>
      <c r="P1973" s="25">
        <f>IF(H1973&gt;0,J1973,"")</f>
        <v/>
      </c>
      <c r="Q1973" s="25">
        <f>TEXT(A1973,"YYYY-MM-DD HH")</f>
        <v/>
      </c>
      <c r="R1973" s="25">
        <f>COUNTIF($Q$2:$Q$5295,Q1973)</f>
        <v/>
      </c>
      <c r="S1973" s="25">
        <f>IF(R1973&lt;=2,"1-2",IF(R1973&lt;=5,"3-5",IF(R1973&lt;=10,"6-10","11+")))</f>
        <v/>
      </c>
    </row>
    <row r="1974">
      <c r="A1974" s="39" t="n">
        <v>46176.56325231482</v>
      </c>
      <c r="B1974" s="25">
        <f>TEXT(A1974,"YYYY-MM")</f>
        <v/>
      </c>
      <c r="C1974" s="25">
        <f>TEXT(A1974,"MMM-YYYY")</f>
        <v/>
      </c>
      <c r="D1974" s="40">
        <f>INT(A1974)-WEEKDAY(A1974,2)+1</f>
        <v/>
      </c>
      <c r="E1974" s="25" t="inlineStr">
        <is>
          <t>csaha</t>
        </is>
      </c>
      <c r="F1974" s="25" t="n">
        <v>12345</v>
      </c>
      <c r="G1974" s="25" t="n">
        <v>1</v>
      </c>
      <c r="H1974" s="25" t="n">
        <v>5</v>
      </c>
      <c r="I1974" s="25" t="inlineStr">
        <is>
          <t>1 minute(s) and 43 second(s)</t>
        </is>
      </c>
      <c r="J1974" s="25">
        <f>IFERROR(VALUE(TRIM(LEFT(I1974,FIND("minute",I1974)-1)))*60,0)+IFERROR(VALUE(SUBSTITUTE(MID(I1974,IFERROR(FIND("and",I1974)+3,1),20),"second(s)","")),0)</f>
        <v/>
      </c>
      <c r="K1974" s="41">
        <f>J1974/60</f>
        <v/>
      </c>
      <c r="L1974" s="41">
        <f>IFERROR(J1974/H1974,"")</f>
        <v/>
      </c>
      <c r="M1974" s="25" t="inlineStr">
        <is>
          <t>2.5.12</t>
        </is>
      </c>
      <c r="N1974" s="25">
        <f>IF(J1974&gt;300,1,0)</f>
        <v/>
      </c>
      <c r="O1974" s="25">
        <f>IF(J1974&gt;600,1,0)</f>
        <v/>
      </c>
      <c r="P1974" s="25">
        <f>IF(H1974&gt;0,J1974,"")</f>
        <v/>
      </c>
      <c r="Q1974" s="25">
        <f>TEXT(A1974,"YYYY-MM-DD HH")</f>
        <v/>
      </c>
      <c r="R1974" s="25">
        <f>COUNTIF($Q$2:$Q$5295,Q1974)</f>
        <v/>
      </c>
      <c r="S1974" s="25">
        <f>IF(R1974&lt;=2,"1-2",IF(R1974&lt;=5,"3-5",IF(R1974&lt;=10,"6-10","11+")))</f>
        <v/>
      </c>
    </row>
    <row r="1975">
      <c r="A1975" s="39" t="n">
        <v>46176.57380787037</v>
      </c>
      <c r="B1975" s="25">
        <f>TEXT(A1975,"YYYY-MM")</f>
        <v/>
      </c>
      <c r="C1975" s="25">
        <f>TEXT(A1975,"MMM-YYYY")</f>
        <v/>
      </c>
      <c r="D1975" s="40">
        <f>INT(A1975)-WEEKDAY(A1975,2)+1</f>
        <v/>
      </c>
      <c r="E1975" s="25" t="inlineStr">
        <is>
          <t>hsindwani</t>
        </is>
      </c>
      <c r="F1975" s="25" t="n">
        <v>126003</v>
      </c>
      <c r="G1975" s="25" t="n">
        <v>4</v>
      </c>
      <c r="H1975" s="25" t="n">
        <v>28</v>
      </c>
      <c r="I1975" s="25" t="inlineStr">
        <is>
          <t>20 minute(s) and 36 second(s)</t>
        </is>
      </c>
      <c r="J1975" s="25">
        <f>IFERROR(VALUE(TRIM(LEFT(I1975,FIND("minute",I1975)-1)))*60,0)+IFERROR(VALUE(SUBSTITUTE(MID(I1975,IFERROR(FIND("and",I1975)+3,1),20),"second(s)","")),0)</f>
        <v/>
      </c>
      <c r="K1975" s="41">
        <f>J1975/60</f>
        <v/>
      </c>
      <c r="L1975" s="41">
        <f>IFERROR(J1975/H1975,"")</f>
        <v/>
      </c>
      <c r="M1975" s="25" t="inlineStr">
        <is>
          <t>2.5.12</t>
        </is>
      </c>
      <c r="N1975" s="25">
        <f>IF(J1975&gt;300,1,0)</f>
        <v/>
      </c>
      <c r="O1975" s="25">
        <f>IF(J1975&gt;600,1,0)</f>
        <v/>
      </c>
      <c r="P1975" s="25">
        <f>IF(H1975&gt;0,J1975,"")</f>
        <v/>
      </c>
      <c r="Q1975" s="25">
        <f>TEXT(A1975,"YYYY-MM-DD HH")</f>
        <v/>
      </c>
      <c r="R1975" s="25">
        <f>COUNTIF($Q$2:$Q$5295,Q1975)</f>
        <v/>
      </c>
      <c r="S1975" s="25">
        <f>IF(R1975&lt;=2,"1-2",IF(R1975&lt;=5,"3-5",IF(R1975&lt;=10,"6-10","11+")))</f>
        <v/>
      </c>
    </row>
    <row r="1976">
      <c r="A1976" s="39" t="n">
        <v>46176.59351851852</v>
      </c>
      <c r="B1976" s="25">
        <f>TEXT(A1976,"YYYY-MM")</f>
        <v/>
      </c>
      <c r="C1976" s="25">
        <f>TEXT(A1976,"MMM-YYYY")</f>
        <v/>
      </c>
      <c r="D1976" s="40">
        <f>INT(A1976)-WEEKDAY(A1976,2)+1</f>
        <v/>
      </c>
      <c r="E1976" s="25" t="inlineStr">
        <is>
          <t>mgupta</t>
        </is>
      </c>
      <c r="F1976" s="25" t="n">
        <v>122268</v>
      </c>
      <c r="G1976" s="25" t="n">
        <v>5</v>
      </c>
      <c r="H1976" s="25" t="n">
        <v>29</v>
      </c>
      <c r="I1976" s="25" t="inlineStr">
        <is>
          <t>7 minute(s) and 24 second(s)</t>
        </is>
      </c>
      <c r="J1976" s="25">
        <f>IFERROR(VALUE(TRIM(LEFT(I1976,FIND("minute",I1976)-1)))*60,0)+IFERROR(VALUE(SUBSTITUTE(MID(I1976,IFERROR(FIND("and",I1976)+3,1),20),"second(s)","")),0)</f>
        <v/>
      </c>
      <c r="K1976" s="41">
        <f>J1976/60</f>
        <v/>
      </c>
      <c r="L1976" s="41">
        <f>IFERROR(J1976/H1976,"")</f>
        <v/>
      </c>
      <c r="M1976" s="25" t="inlineStr">
        <is>
          <t>2.5.12</t>
        </is>
      </c>
      <c r="N1976" s="25">
        <f>IF(J1976&gt;300,1,0)</f>
        <v/>
      </c>
      <c r="O1976" s="25">
        <f>IF(J1976&gt;600,1,0)</f>
        <v/>
      </c>
      <c r="P1976" s="25">
        <f>IF(H1976&gt;0,J1976,"")</f>
        <v/>
      </c>
      <c r="Q1976" s="25">
        <f>TEXT(A1976,"YYYY-MM-DD HH")</f>
        <v/>
      </c>
      <c r="R1976" s="25">
        <f>COUNTIF($Q$2:$Q$5295,Q1976)</f>
        <v/>
      </c>
      <c r="S1976" s="25">
        <f>IF(R1976&lt;=2,"1-2",IF(R1976&lt;=5,"3-5",IF(R1976&lt;=10,"6-10","11+")))</f>
        <v/>
      </c>
    </row>
    <row r="1977">
      <c r="A1977" s="39" t="n">
        <v>46176.60888888889</v>
      </c>
      <c r="B1977" s="25">
        <f>TEXT(A1977,"YYYY-MM")</f>
        <v/>
      </c>
      <c r="C1977" s="25">
        <f>TEXT(A1977,"MMM-YYYY")</f>
        <v/>
      </c>
      <c r="D1977" s="40">
        <f>INT(A1977)-WEEKDAY(A1977,2)+1</f>
        <v/>
      </c>
      <c r="E1977" s="25" t="inlineStr">
        <is>
          <t>apriyadarshi</t>
        </is>
      </c>
      <c r="F1977" s="25" t="n">
        <v>122852</v>
      </c>
      <c r="G1977" s="25" t="n">
        <v>4</v>
      </c>
      <c r="H1977" s="25" t="n">
        <v>21</v>
      </c>
      <c r="I1977" s="25" t="inlineStr">
        <is>
          <t>4 minute(s) and 32 second(s)</t>
        </is>
      </c>
      <c r="J1977" s="25">
        <f>IFERROR(VALUE(TRIM(LEFT(I1977,FIND("minute",I1977)-1)))*60,0)+IFERROR(VALUE(SUBSTITUTE(MID(I1977,IFERROR(FIND("and",I1977)+3,1),20),"second(s)","")),0)</f>
        <v/>
      </c>
      <c r="K1977" s="41">
        <f>J1977/60</f>
        <v/>
      </c>
      <c r="L1977" s="41">
        <f>IFERROR(J1977/H1977,"")</f>
        <v/>
      </c>
      <c r="M1977" s="25" t="inlineStr">
        <is>
          <t>2.5.12</t>
        </is>
      </c>
      <c r="N1977" s="25">
        <f>IF(J1977&gt;300,1,0)</f>
        <v/>
      </c>
      <c r="O1977" s="25">
        <f>IF(J1977&gt;600,1,0)</f>
        <v/>
      </c>
      <c r="P1977" s="25">
        <f>IF(H1977&gt;0,J1977,"")</f>
        <v/>
      </c>
      <c r="Q1977" s="25">
        <f>TEXT(A1977,"YYYY-MM-DD HH")</f>
        <v/>
      </c>
      <c r="R1977" s="25">
        <f>COUNTIF($Q$2:$Q$5295,Q1977)</f>
        <v/>
      </c>
      <c r="S1977" s="25">
        <f>IF(R1977&lt;=2,"1-2",IF(R1977&lt;=5,"3-5",IF(R1977&lt;=10,"6-10","11+")))</f>
        <v/>
      </c>
    </row>
    <row r="1978">
      <c r="A1978" s="39" t="n">
        <v>46176.60996527778</v>
      </c>
      <c r="B1978" s="25">
        <f>TEXT(A1978,"YYYY-MM")</f>
        <v/>
      </c>
      <c r="C1978" s="25">
        <f>TEXT(A1978,"MMM-YYYY")</f>
        <v/>
      </c>
      <c r="D1978" s="40">
        <f>INT(A1978)-WEEKDAY(A1978,2)+1</f>
        <v/>
      </c>
      <c r="E1978" s="25" t="inlineStr">
        <is>
          <t>dchoudhury</t>
        </is>
      </c>
      <c r="F1978" s="25" t="n">
        <v>123709</v>
      </c>
      <c r="G1978" s="25" t="n">
        <v>2</v>
      </c>
      <c r="H1978" s="25" t="n">
        <v>8</v>
      </c>
      <c r="I1978" s="25" t="inlineStr">
        <is>
          <t>3 minute(s) and 36 second(s)</t>
        </is>
      </c>
      <c r="J1978" s="25">
        <f>IFERROR(VALUE(TRIM(LEFT(I1978,FIND("minute",I1978)-1)))*60,0)+IFERROR(VALUE(SUBSTITUTE(MID(I1978,IFERROR(FIND("and",I1978)+3,1),20),"second(s)","")),0)</f>
        <v/>
      </c>
      <c r="K1978" s="41">
        <f>J1978/60</f>
        <v/>
      </c>
      <c r="L1978" s="41">
        <f>IFERROR(J1978/H1978,"")</f>
        <v/>
      </c>
      <c r="M1978" s="25" t="inlineStr">
        <is>
          <t>2.5.12</t>
        </is>
      </c>
      <c r="N1978" s="25">
        <f>IF(J1978&gt;300,1,0)</f>
        <v/>
      </c>
      <c r="O1978" s="25">
        <f>IF(J1978&gt;600,1,0)</f>
        <v/>
      </c>
      <c r="P1978" s="25">
        <f>IF(H1978&gt;0,J1978,"")</f>
        <v/>
      </c>
      <c r="Q1978" s="25">
        <f>TEXT(A1978,"YYYY-MM-DD HH")</f>
        <v/>
      </c>
      <c r="R1978" s="25">
        <f>COUNTIF($Q$2:$Q$5295,Q1978)</f>
        <v/>
      </c>
      <c r="S1978" s="25">
        <f>IF(R1978&lt;=2,"1-2",IF(R1978&lt;=5,"3-5",IF(R1978&lt;=10,"6-10","11+")))</f>
        <v/>
      </c>
    </row>
    <row r="1979">
      <c r="A1979" s="39" t="n">
        <v>46176.62895833333</v>
      </c>
      <c r="B1979" s="25">
        <f>TEXT(A1979,"YYYY-MM")</f>
        <v/>
      </c>
      <c r="C1979" s="25">
        <f>TEXT(A1979,"MMM-YYYY")</f>
        <v/>
      </c>
      <c r="D1979" s="40">
        <f>INT(A1979)-WEEKDAY(A1979,2)+1</f>
        <v/>
      </c>
      <c r="E1979" s="25" t="inlineStr">
        <is>
          <t>ssarkar</t>
        </is>
      </c>
      <c r="F1979" s="25" t="n">
        <v>125063</v>
      </c>
      <c r="G1979" s="25" t="n">
        <v>4</v>
      </c>
      <c r="H1979" s="25" t="n">
        <v>27</v>
      </c>
      <c r="I1979" s="25" t="inlineStr">
        <is>
          <t>9 minute(s) and 29 second(s)</t>
        </is>
      </c>
      <c r="J1979" s="25">
        <f>IFERROR(VALUE(TRIM(LEFT(I1979,FIND("minute",I1979)-1)))*60,0)+IFERROR(VALUE(SUBSTITUTE(MID(I1979,IFERROR(FIND("and",I1979)+3,1),20),"second(s)","")),0)</f>
        <v/>
      </c>
      <c r="K1979" s="41">
        <f>J1979/60</f>
        <v/>
      </c>
      <c r="L1979" s="41">
        <f>IFERROR(J1979/H1979,"")</f>
        <v/>
      </c>
      <c r="M1979" s="25" t="inlineStr">
        <is>
          <t>2.5.12</t>
        </is>
      </c>
      <c r="N1979" s="25">
        <f>IF(J1979&gt;300,1,0)</f>
        <v/>
      </c>
      <c r="O1979" s="25">
        <f>IF(J1979&gt;600,1,0)</f>
        <v/>
      </c>
      <c r="P1979" s="25">
        <f>IF(H1979&gt;0,J1979,"")</f>
        <v/>
      </c>
      <c r="Q1979" s="25">
        <f>TEXT(A1979,"YYYY-MM-DD HH")</f>
        <v/>
      </c>
      <c r="R1979" s="25">
        <f>COUNTIF($Q$2:$Q$5295,Q1979)</f>
        <v/>
      </c>
      <c r="S1979" s="25">
        <f>IF(R1979&lt;=2,"1-2",IF(R1979&lt;=5,"3-5",IF(R1979&lt;=10,"6-10","11+")))</f>
        <v/>
      </c>
    </row>
    <row r="1980">
      <c r="A1980" s="39" t="n">
        <v>46176.64590277777</v>
      </c>
      <c r="B1980" s="25">
        <f>TEXT(A1980,"YYYY-MM")</f>
        <v/>
      </c>
      <c r="C1980" s="25">
        <f>TEXT(A1980,"MMM-YYYY")</f>
        <v/>
      </c>
      <c r="D1980" s="40">
        <f>INT(A1980)-WEEKDAY(A1980,2)+1</f>
        <v/>
      </c>
      <c r="E1980" s="25" t="inlineStr">
        <is>
          <t>apriyadarshi</t>
        </is>
      </c>
      <c r="F1980" s="25" t="n">
        <v>123482</v>
      </c>
      <c r="G1980" s="25" t="n">
        <v>3</v>
      </c>
      <c r="H1980" s="25" t="n">
        <v>15</v>
      </c>
      <c r="I1980" s="25" t="inlineStr">
        <is>
          <t>4 minute(s) and 30 second(s)</t>
        </is>
      </c>
      <c r="J1980" s="25">
        <f>IFERROR(VALUE(TRIM(LEFT(I1980,FIND("minute",I1980)-1)))*60,0)+IFERROR(VALUE(SUBSTITUTE(MID(I1980,IFERROR(FIND("and",I1980)+3,1),20),"second(s)","")),0)</f>
        <v/>
      </c>
      <c r="K1980" s="41">
        <f>J1980/60</f>
        <v/>
      </c>
      <c r="L1980" s="41">
        <f>IFERROR(J1980/H1980,"")</f>
        <v/>
      </c>
      <c r="M1980" s="25" t="inlineStr">
        <is>
          <t>2.5.12</t>
        </is>
      </c>
      <c r="N1980" s="25">
        <f>IF(J1980&gt;300,1,0)</f>
        <v/>
      </c>
      <c r="O1980" s="25">
        <f>IF(J1980&gt;600,1,0)</f>
        <v/>
      </c>
      <c r="P1980" s="25">
        <f>IF(H1980&gt;0,J1980,"")</f>
        <v/>
      </c>
      <c r="Q1980" s="25">
        <f>TEXT(A1980,"YYYY-MM-DD HH")</f>
        <v/>
      </c>
      <c r="R1980" s="25">
        <f>COUNTIF($Q$2:$Q$5295,Q1980)</f>
        <v/>
      </c>
      <c r="S1980" s="25">
        <f>IF(R1980&lt;=2,"1-2",IF(R1980&lt;=5,"3-5",IF(R1980&lt;=10,"6-10","11+")))</f>
        <v/>
      </c>
    </row>
    <row r="1981">
      <c r="A1981" s="39" t="n">
        <v>46176.64740740741</v>
      </c>
      <c r="B1981" s="25">
        <f>TEXT(A1981,"YYYY-MM")</f>
        <v/>
      </c>
      <c r="C1981" s="25">
        <f>TEXT(A1981,"MMM-YYYY")</f>
        <v/>
      </c>
      <c r="D1981" s="40">
        <f>INT(A1981)-WEEKDAY(A1981,2)+1</f>
        <v/>
      </c>
      <c r="E1981" s="25" t="inlineStr">
        <is>
          <t>dchoudhury</t>
        </is>
      </c>
      <c r="F1981" s="25" t="n">
        <v>125506</v>
      </c>
      <c r="G1981" s="25" t="n">
        <v>3</v>
      </c>
      <c r="H1981" s="25" t="n">
        <v>11</v>
      </c>
      <c r="I1981" s="25" t="inlineStr">
        <is>
          <t>4 minute(s) and 18 second(s)</t>
        </is>
      </c>
      <c r="J1981" s="25">
        <f>IFERROR(VALUE(TRIM(LEFT(I1981,FIND("minute",I1981)-1)))*60,0)+IFERROR(VALUE(SUBSTITUTE(MID(I1981,IFERROR(FIND("and",I1981)+3,1),20),"second(s)","")),0)</f>
        <v/>
      </c>
      <c r="K1981" s="41">
        <f>J1981/60</f>
        <v/>
      </c>
      <c r="L1981" s="41">
        <f>IFERROR(J1981/H1981,"")</f>
        <v/>
      </c>
      <c r="M1981" s="25" t="inlineStr">
        <is>
          <t>2.5.12</t>
        </is>
      </c>
      <c r="N1981" s="25">
        <f>IF(J1981&gt;300,1,0)</f>
        <v/>
      </c>
      <c r="O1981" s="25">
        <f>IF(J1981&gt;600,1,0)</f>
        <v/>
      </c>
      <c r="P1981" s="25">
        <f>IF(H1981&gt;0,J1981,"")</f>
        <v/>
      </c>
      <c r="Q1981" s="25">
        <f>TEXT(A1981,"YYYY-MM-DD HH")</f>
        <v/>
      </c>
      <c r="R1981" s="25">
        <f>COUNTIF($Q$2:$Q$5295,Q1981)</f>
        <v/>
      </c>
      <c r="S1981" s="25">
        <f>IF(R1981&lt;=2,"1-2",IF(R1981&lt;=5,"3-5",IF(R1981&lt;=10,"6-10","11+")))</f>
        <v/>
      </c>
    </row>
    <row r="1982">
      <c r="A1982" s="39" t="n">
        <v>46176.66186342593</v>
      </c>
      <c r="B1982" s="25">
        <f>TEXT(A1982,"YYYY-MM")</f>
        <v/>
      </c>
      <c r="C1982" s="25">
        <f>TEXT(A1982,"MMM-YYYY")</f>
        <v/>
      </c>
      <c r="D1982" s="40">
        <f>INT(A1982)-WEEKDAY(A1982,2)+1</f>
        <v/>
      </c>
      <c r="E1982" s="25" t="inlineStr">
        <is>
          <t>svora</t>
        </is>
      </c>
      <c r="F1982" s="25" t="n">
        <v>16701</v>
      </c>
      <c r="G1982" s="25" t="n">
        <v>1</v>
      </c>
      <c r="H1982" s="25" t="n">
        <v>7</v>
      </c>
      <c r="I1982" s="25" t="inlineStr">
        <is>
          <t>1 minute(s) and 46 second(s)</t>
        </is>
      </c>
      <c r="J1982" s="25">
        <f>IFERROR(VALUE(TRIM(LEFT(I1982,FIND("minute",I1982)-1)))*60,0)+IFERROR(VALUE(SUBSTITUTE(MID(I1982,IFERROR(FIND("and",I1982)+3,1),20),"second(s)","")),0)</f>
        <v/>
      </c>
      <c r="K1982" s="41">
        <f>J1982/60</f>
        <v/>
      </c>
      <c r="L1982" s="41">
        <f>IFERROR(J1982/H1982,"")</f>
        <v/>
      </c>
      <c r="M1982" s="25" t="inlineStr">
        <is>
          <t>2.5.12</t>
        </is>
      </c>
      <c r="N1982" s="25">
        <f>IF(J1982&gt;300,1,0)</f>
        <v/>
      </c>
      <c r="O1982" s="25">
        <f>IF(J1982&gt;600,1,0)</f>
        <v/>
      </c>
      <c r="P1982" s="25">
        <f>IF(H1982&gt;0,J1982,"")</f>
        <v/>
      </c>
      <c r="Q1982" s="25">
        <f>TEXT(A1982,"YYYY-MM-DD HH")</f>
        <v/>
      </c>
      <c r="R1982" s="25">
        <f>COUNTIF($Q$2:$Q$5295,Q1982)</f>
        <v/>
      </c>
      <c r="S1982" s="25">
        <f>IF(R1982&lt;=2,"1-2",IF(R1982&lt;=5,"3-5",IF(R1982&lt;=10,"6-10","11+")))</f>
        <v/>
      </c>
    </row>
    <row r="1983">
      <c r="A1983" s="39" t="n">
        <v>46176.67681712963</v>
      </c>
      <c r="B1983" s="25">
        <f>TEXT(A1983,"YYYY-MM")</f>
        <v/>
      </c>
      <c r="C1983" s="25">
        <f>TEXT(A1983,"MMM-YYYY")</f>
        <v/>
      </c>
      <c r="D1983" s="40">
        <f>INT(A1983)-WEEKDAY(A1983,2)+1</f>
        <v/>
      </c>
      <c r="E1983" s="25" t="inlineStr">
        <is>
          <t>csaha</t>
        </is>
      </c>
      <c r="F1983" s="25" t="n">
        <v>123760</v>
      </c>
      <c r="G1983" s="25" t="n">
        <v>2</v>
      </c>
      <c r="H1983" s="25" t="n">
        <v>10</v>
      </c>
      <c r="I1983" s="25" t="inlineStr">
        <is>
          <t>3 minute(s) and 18 second(s)</t>
        </is>
      </c>
      <c r="J1983" s="25">
        <f>IFERROR(VALUE(TRIM(LEFT(I1983,FIND("minute",I1983)-1)))*60,0)+IFERROR(VALUE(SUBSTITUTE(MID(I1983,IFERROR(FIND("and",I1983)+3,1),20),"second(s)","")),0)</f>
        <v/>
      </c>
      <c r="K1983" s="41">
        <f>J1983/60</f>
        <v/>
      </c>
      <c r="L1983" s="41">
        <f>IFERROR(J1983/H1983,"")</f>
        <v/>
      </c>
      <c r="M1983" s="25" t="inlineStr">
        <is>
          <t>2.5.12</t>
        </is>
      </c>
      <c r="N1983" s="25">
        <f>IF(J1983&gt;300,1,0)</f>
        <v/>
      </c>
      <c r="O1983" s="25">
        <f>IF(J1983&gt;600,1,0)</f>
        <v/>
      </c>
      <c r="P1983" s="25">
        <f>IF(H1983&gt;0,J1983,"")</f>
        <v/>
      </c>
      <c r="Q1983" s="25">
        <f>TEXT(A1983,"YYYY-MM-DD HH")</f>
        <v/>
      </c>
      <c r="R1983" s="25">
        <f>COUNTIF($Q$2:$Q$5295,Q1983)</f>
        <v/>
      </c>
      <c r="S1983" s="25">
        <f>IF(R1983&lt;=2,"1-2",IF(R1983&lt;=5,"3-5",IF(R1983&lt;=10,"6-10","11+")))</f>
        <v/>
      </c>
    </row>
    <row r="1984">
      <c r="A1984" s="39" t="n">
        <v>46176.6850462963</v>
      </c>
      <c r="B1984" s="25">
        <f>TEXT(A1984,"YYYY-MM")</f>
        <v/>
      </c>
      <c r="C1984" s="25">
        <f>TEXT(A1984,"MMM-YYYY")</f>
        <v/>
      </c>
      <c r="D1984" s="40">
        <f>INT(A1984)-WEEKDAY(A1984,2)+1</f>
        <v/>
      </c>
      <c r="E1984" s="25" t="inlineStr">
        <is>
          <t>rsingh</t>
        </is>
      </c>
      <c r="F1984" s="25" t="n">
        <v>126033</v>
      </c>
      <c r="G1984" s="25" t="n">
        <v>4</v>
      </c>
      <c r="H1984" s="25" t="n">
        <v>23</v>
      </c>
      <c r="I1984" s="25" t="inlineStr">
        <is>
          <t>9 minute(s) and 30 second(s)</t>
        </is>
      </c>
      <c r="J1984" s="25">
        <f>IFERROR(VALUE(TRIM(LEFT(I1984,FIND("minute",I1984)-1)))*60,0)+IFERROR(VALUE(SUBSTITUTE(MID(I1984,IFERROR(FIND("and",I1984)+3,1),20),"second(s)","")),0)</f>
        <v/>
      </c>
      <c r="K1984" s="41">
        <f>J1984/60</f>
        <v/>
      </c>
      <c r="L1984" s="41">
        <f>IFERROR(J1984/H1984,"")</f>
        <v/>
      </c>
      <c r="M1984" s="25" t="inlineStr">
        <is>
          <t>2.5.12</t>
        </is>
      </c>
      <c r="N1984" s="25">
        <f>IF(J1984&gt;300,1,0)</f>
        <v/>
      </c>
      <c r="O1984" s="25">
        <f>IF(J1984&gt;600,1,0)</f>
        <v/>
      </c>
      <c r="P1984" s="25">
        <f>IF(H1984&gt;0,J1984,"")</f>
        <v/>
      </c>
      <c r="Q1984" s="25">
        <f>TEXT(A1984,"YYYY-MM-DD HH")</f>
        <v/>
      </c>
      <c r="R1984" s="25">
        <f>COUNTIF($Q$2:$Q$5295,Q1984)</f>
        <v/>
      </c>
      <c r="S1984" s="25">
        <f>IF(R1984&lt;=2,"1-2",IF(R1984&lt;=5,"3-5",IF(R1984&lt;=10,"6-10","11+")))</f>
        <v/>
      </c>
    </row>
    <row r="1985">
      <c r="A1985" s="39" t="n">
        <v>46176.71454861111</v>
      </c>
      <c r="B1985" s="25">
        <f>TEXT(A1985,"YYYY-MM")</f>
        <v/>
      </c>
      <c r="C1985" s="25">
        <f>TEXT(A1985,"MMM-YYYY")</f>
        <v/>
      </c>
      <c r="D1985" s="40">
        <f>INT(A1985)-WEEKDAY(A1985,2)+1</f>
        <v/>
      </c>
      <c r="E1985" s="25" t="inlineStr">
        <is>
          <t>hsindwani</t>
        </is>
      </c>
      <c r="F1985" s="25" t="n">
        <v>124701</v>
      </c>
      <c r="G1985" s="25" t="n">
        <v>2</v>
      </c>
      <c r="H1985" s="25" t="n">
        <v>8</v>
      </c>
      <c r="I1985" s="25" t="inlineStr">
        <is>
          <t>8 minute(s) and 34 second(s)</t>
        </is>
      </c>
      <c r="J1985" s="25">
        <f>IFERROR(VALUE(TRIM(LEFT(I1985,FIND("minute",I1985)-1)))*60,0)+IFERROR(VALUE(SUBSTITUTE(MID(I1985,IFERROR(FIND("and",I1985)+3,1),20),"second(s)","")),0)</f>
        <v/>
      </c>
      <c r="K1985" s="41">
        <f>J1985/60</f>
        <v/>
      </c>
      <c r="L1985" s="41">
        <f>IFERROR(J1985/H1985,"")</f>
        <v/>
      </c>
      <c r="M1985" s="25" t="inlineStr">
        <is>
          <t>2.5.12</t>
        </is>
      </c>
      <c r="N1985" s="25">
        <f>IF(J1985&gt;300,1,0)</f>
        <v/>
      </c>
      <c r="O1985" s="25">
        <f>IF(J1985&gt;600,1,0)</f>
        <v/>
      </c>
      <c r="P1985" s="25">
        <f>IF(H1985&gt;0,J1985,"")</f>
        <v/>
      </c>
      <c r="Q1985" s="25">
        <f>TEXT(A1985,"YYYY-MM-DD HH")</f>
        <v/>
      </c>
      <c r="R1985" s="25">
        <f>COUNTIF($Q$2:$Q$5295,Q1985)</f>
        <v/>
      </c>
      <c r="S1985" s="25">
        <f>IF(R1985&lt;=2,"1-2",IF(R1985&lt;=5,"3-5",IF(R1985&lt;=10,"6-10","11+")))</f>
        <v/>
      </c>
    </row>
    <row r="1986">
      <c r="A1986" s="39" t="n">
        <v>46176.75024305555</v>
      </c>
      <c r="B1986" s="25">
        <f>TEXT(A1986,"YYYY-MM")</f>
        <v/>
      </c>
      <c r="C1986" s="25">
        <f>TEXT(A1986,"MMM-YYYY")</f>
        <v/>
      </c>
      <c r="D1986" s="40">
        <f>INT(A1986)-WEEKDAY(A1986,2)+1</f>
        <v/>
      </c>
      <c r="E1986" s="25" t="inlineStr">
        <is>
          <t>rsingh</t>
        </is>
      </c>
      <c r="F1986" s="25" t="n">
        <v>124193</v>
      </c>
      <c r="G1986" s="25" t="n">
        <v>4</v>
      </c>
      <c r="H1986" s="25" t="n">
        <v>22</v>
      </c>
      <c r="I1986" s="25" t="inlineStr">
        <is>
          <t>7 minute(s) and 56 second(s)</t>
        </is>
      </c>
      <c r="J1986" s="25">
        <f>IFERROR(VALUE(TRIM(LEFT(I1986,FIND("minute",I1986)-1)))*60,0)+IFERROR(VALUE(SUBSTITUTE(MID(I1986,IFERROR(FIND("and",I1986)+3,1),20),"second(s)","")),0)</f>
        <v/>
      </c>
      <c r="K1986" s="41">
        <f>J1986/60</f>
        <v/>
      </c>
      <c r="L1986" s="41">
        <f>IFERROR(J1986/H1986,"")</f>
        <v/>
      </c>
      <c r="M1986" s="25" t="inlineStr">
        <is>
          <t>2.5.12</t>
        </is>
      </c>
      <c r="N1986" s="25">
        <f>IF(J1986&gt;300,1,0)</f>
        <v/>
      </c>
      <c r="O1986" s="25">
        <f>IF(J1986&gt;600,1,0)</f>
        <v/>
      </c>
      <c r="P1986" s="25">
        <f>IF(H1986&gt;0,J1986,"")</f>
        <v/>
      </c>
      <c r="Q1986" s="25">
        <f>TEXT(A1986,"YYYY-MM-DD HH")</f>
        <v/>
      </c>
      <c r="R1986" s="25">
        <f>COUNTIF($Q$2:$Q$5295,Q1986)</f>
        <v/>
      </c>
      <c r="S1986" s="25">
        <f>IF(R1986&lt;=2,"1-2",IF(R1986&lt;=5,"3-5",IF(R1986&lt;=10,"6-10","11+")))</f>
        <v/>
      </c>
    </row>
    <row r="1987">
      <c r="A1987" s="39" t="n">
        <v>46176.80837962963</v>
      </c>
      <c r="B1987" s="25">
        <f>TEXT(A1987,"YYYY-MM")</f>
        <v/>
      </c>
      <c r="C1987" s="25">
        <f>TEXT(A1987,"MMM-YYYY")</f>
        <v/>
      </c>
      <c r="D1987" s="40">
        <f>INT(A1987)-WEEKDAY(A1987,2)+1</f>
        <v/>
      </c>
      <c r="E1987" s="25" t="inlineStr">
        <is>
          <t>rsingh</t>
        </is>
      </c>
      <c r="F1987" s="25" t="n">
        <v>125941</v>
      </c>
      <c r="G1987" s="25" t="n">
        <v>4</v>
      </c>
      <c r="H1987" s="25" t="n">
        <v>20</v>
      </c>
      <c r="I1987" s="25" t="inlineStr">
        <is>
          <t>7 minute(s) and 40 second(s)</t>
        </is>
      </c>
      <c r="J1987" s="25">
        <f>IFERROR(VALUE(TRIM(LEFT(I1987,FIND("minute",I1987)-1)))*60,0)+IFERROR(VALUE(SUBSTITUTE(MID(I1987,IFERROR(FIND("and",I1987)+3,1),20),"second(s)","")),0)</f>
        <v/>
      </c>
      <c r="K1987" s="41">
        <f>J1987/60</f>
        <v/>
      </c>
      <c r="L1987" s="41">
        <f>IFERROR(J1987/H1987,"")</f>
        <v/>
      </c>
      <c r="M1987" s="25" t="inlineStr">
        <is>
          <t>2.5.12</t>
        </is>
      </c>
      <c r="N1987" s="25">
        <f>IF(J1987&gt;300,1,0)</f>
        <v/>
      </c>
      <c r="O1987" s="25">
        <f>IF(J1987&gt;600,1,0)</f>
        <v/>
      </c>
      <c r="P1987" s="25">
        <f>IF(H1987&gt;0,J1987,"")</f>
        <v/>
      </c>
      <c r="Q1987" s="25">
        <f>TEXT(A1987,"YYYY-MM-DD HH")</f>
        <v/>
      </c>
      <c r="R1987" s="25">
        <f>COUNTIF($Q$2:$Q$5295,Q1987)</f>
        <v/>
      </c>
      <c r="S1987" s="25">
        <f>IF(R1987&lt;=2,"1-2",IF(R1987&lt;=5,"3-5",IF(R1987&lt;=10,"6-10","11+")))</f>
        <v/>
      </c>
    </row>
    <row r="1988">
      <c r="A1988" s="39" t="n">
        <v>46176.81799768518</v>
      </c>
      <c r="B1988" s="25">
        <f>TEXT(A1988,"YYYY-MM")</f>
        <v/>
      </c>
      <c r="C1988" s="25">
        <f>TEXT(A1988,"MMM-YYYY")</f>
        <v/>
      </c>
      <c r="D1988" s="40">
        <f>INT(A1988)-WEEKDAY(A1988,2)+1</f>
        <v/>
      </c>
      <c r="E1988" s="25" t="inlineStr">
        <is>
          <t>ssarkar</t>
        </is>
      </c>
      <c r="F1988" s="25" t="n">
        <v>125447</v>
      </c>
      <c r="G1988" s="25" t="n">
        <v>1</v>
      </c>
      <c r="H1988" s="25" t="n">
        <v>7</v>
      </c>
      <c r="I1988" s="25" t="inlineStr">
        <is>
          <t>3 minute(s) and 21 second(s)</t>
        </is>
      </c>
      <c r="J1988" s="25">
        <f>IFERROR(VALUE(TRIM(LEFT(I1988,FIND("minute",I1988)-1)))*60,0)+IFERROR(VALUE(SUBSTITUTE(MID(I1988,IFERROR(FIND("and",I1988)+3,1),20),"second(s)","")),0)</f>
        <v/>
      </c>
      <c r="K1988" s="41">
        <f>J1988/60</f>
        <v/>
      </c>
      <c r="L1988" s="41">
        <f>IFERROR(J1988/H1988,"")</f>
        <v/>
      </c>
      <c r="M1988" s="25" t="inlineStr">
        <is>
          <t>2.5.12</t>
        </is>
      </c>
      <c r="N1988" s="25">
        <f>IF(J1988&gt;300,1,0)</f>
        <v/>
      </c>
      <c r="O1988" s="25">
        <f>IF(J1988&gt;600,1,0)</f>
        <v/>
      </c>
      <c r="P1988" s="25">
        <f>IF(H1988&gt;0,J1988,"")</f>
        <v/>
      </c>
      <c r="Q1988" s="25">
        <f>TEXT(A1988,"YYYY-MM-DD HH")</f>
        <v/>
      </c>
      <c r="R1988" s="25">
        <f>COUNTIF($Q$2:$Q$5295,Q1988)</f>
        <v/>
      </c>
      <c r="S1988" s="25">
        <f>IF(R1988&lt;=2,"1-2",IF(R1988&lt;=5,"3-5",IF(R1988&lt;=10,"6-10","11+")))</f>
        <v/>
      </c>
    </row>
    <row r="1989">
      <c r="A1989" s="39" t="n">
        <v>46176.87325231481</v>
      </c>
      <c r="B1989" s="25">
        <f>TEXT(A1989,"YYYY-MM")</f>
        <v/>
      </c>
      <c r="C1989" s="25">
        <f>TEXT(A1989,"MMM-YYYY")</f>
        <v/>
      </c>
      <c r="D1989" s="40">
        <f>INT(A1989)-WEEKDAY(A1989,2)+1</f>
        <v/>
      </c>
      <c r="E1989" s="25" t="inlineStr">
        <is>
          <t>dchoudhury</t>
        </is>
      </c>
      <c r="F1989" s="25" t="n">
        <v>124711</v>
      </c>
      <c r="G1989" s="25" t="n">
        <v>4</v>
      </c>
      <c r="H1989" s="25" t="n">
        <v>14</v>
      </c>
      <c r="I1989" s="25" t="inlineStr">
        <is>
          <t>4 minute(s) and 57 second(s)</t>
        </is>
      </c>
      <c r="J1989" s="25">
        <f>IFERROR(VALUE(TRIM(LEFT(I1989,FIND("minute",I1989)-1)))*60,0)+IFERROR(VALUE(SUBSTITUTE(MID(I1989,IFERROR(FIND("and",I1989)+3,1),20),"second(s)","")),0)</f>
        <v/>
      </c>
      <c r="K1989" s="41">
        <f>J1989/60</f>
        <v/>
      </c>
      <c r="L1989" s="41">
        <f>IFERROR(J1989/H1989,"")</f>
        <v/>
      </c>
      <c r="M1989" s="25" t="inlineStr">
        <is>
          <t>2.5.12</t>
        </is>
      </c>
      <c r="N1989" s="25">
        <f>IF(J1989&gt;300,1,0)</f>
        <v/>
      </c>
      <c r="O1989" s="25">
        <f>IF(J1989&gt;600,1,0)</f>
        <v/>
      </c>
      <c r="P1989" s="25">
        <f>IF(H1989&gt;0,J1989,"")</f>
        <v/>
      </c>
      <c r="Q1989" s="25">
        <f>TEXT(A1989,"YYYY-MM-DD HH")</f>
        <v/>
      </c>
      <c r="R1989" s="25">
        <f>COUNTIF($Q$2:$Q$5295,Q1989)</f>
        <v/>
      </c>
      <c r="S1989" s="25">
        <f>IF(R1989&lt;=2,"1-2",IF(R1989&lt;=5,"3-5",IF(R1989&lt;=10,"6-10","11+")))</f>
        <v/>
      </c>
    </row>
    <row r="1990">
      <c r="A1990" s="39" t="n">
        <v>46176.87938657407</v>
      </c>
      <c r="B1990" s="25">
        <f>TEXT(A1990,"YYYY-MM")</f>
        <v/>
      </c>
      <c r="C1990" s="25">
        <f>TEXT(A1990,"MMM-YYYY")</f>
        <v/>
      </c>
      <c r="D1990" s="40">
        <f>INT(A1990)-WEEKDAY(A1990,2)+1</f>
        <v/>
      </c>
      <c r="E1990" s="25" t="inlineStr">
        <is>
          <t>rsingh</t>
        </is>
      </c>
      <c r="F1990" s="25" t="n">
        <v>123242</v>
      </c>
      <c r="G1990" s="25" t="n">
        <v>2</v>
      </c>
      <c r="H1990" s="25" t="n">
        <v>12</v>
      </c>
      <c r="I1990" s="25" t="inlineStr">
        <is>
          <t>4 minute(s) and 39 second(s)</t>
        </is>
      </c>
      <c r="J1990" s="25">
        <f>IFERROR(VALUE(TRIM(LEFT(I1990,FIND("minute",I1990)-1)))*60,0)+IFERROR(VALUE(SUBSTITUTE(MID(I1990,IFERROR(FIND("and",I1990)+3,1),20),"second(s)","")),0)</f>
        <v/>
      </c>
      <c r="K1990" s="41">
        <f>J1990/60</f>
        <v/>
      </c>
      <c r="L1990" s="41">
        <f>IFERROR(J1990/H1990,"")</f>
        <v/>
      </c>
      <c r="M1990" s="25" t="inlineStr">
        <is>
          <t>2.5.12</t>
        </is>
      </c>
      <c r="N1990" s="25">
        <f>IF(J1990&gt;300,1,0)</f>
        <v/>
      </c>
      <c r="O1990" s="25">
        <f>IF(J1990&gt;600,1,0)</f>
        <v/>
      </c>
      <c r="P1990" s="25">
        <f>IF(H1990&gt;0,J1990,"")</f>
        <v/>
      </c>
      <c r="Q1990" s="25">
        <f>TEXT(A1990,"YYYY-MM-DD HH")</f>
        <v/>
      </c>
      <c r="R1990" s="25">
        <f>COUNTIF($Q$2:$Q$5295,Q1990)</f>
        <v/>
      </c>
      <c r="S1990" s="25">
        <f>IF(R1990&lt;=2,"1-2",IF(R1990&lt;=5,"3-5",IF(R1990&lt;=10,"6-10","11+")))</f>
        <v/>
      </c>
    </row>
    <row r="1991">
      <c r="A1991" s="39" t="n">
        <v>46176.9180324074</v>
      </c>
      <c r="B1991" s="25">
        <f>TEXT(A1991,"YYYY-MM")</f>
        <v/>
      </c>
      <c r="C1991" s="25">
        <f>TEXT(A1991,"MMM-YYYY")</f>
        <v/>
      </c>
      <c r="D1991" s="40">
        <f>INT(A1991)-WEEKDAY(A1991,2)+1</f>
        <v/>
      </c>
      <c r="E1991" s="25" t="inlineStr">
        <is>
          <t>rsingh</t>
        </is>
      </c>
      <c r="F1991" s="25" t="n">
        <v>121883</v>
      </c>
      <c r="G1991" s="25" t="n">
        <v>4</v>
      </c>
      <c r="H1991" s="25" t="n">
        <v>22</v>
      </c>
      <c r="I1991" s="25" t="inlineStr">
        <is>
          <t>7 minute(s) and 17 second(s)</t>
        </is>
      </c>
      <c r="J1991" s="25">
        <f>IFERROR(VALUE(TRIM(LEFT(I1991,FIND("minute",I1991)-1)))*60,0)+IFERROR(VALUE(SUBSTITUTE(MID(I1991,IFERROR(FIND("and",I1991)+3,1),20),"second(s)","")),0)</f>
        <v/>
      </c>
      <c r="K1991" s="41">
        <f>J1991/60</f>
        <v/>
      </c>
      <c r="L1991" s="41">
        <f>IFERROR(J1991/H1991,"")</f>
        <v/>
      </c>
      <c r="M1991" s="25" t="inlineStr">
        <is>
          <t>2.5.12</t>
        </is>
      </c>
      <c r="N1991" s="25">
        <f>IF(J1991&gt;300,1,0)</f>
        <v/>
      </c>
      <c r="O1991" s="25">
        <f>IF(J1991&gt;600,1,0)</f>
        <v/>
      </c>
      <c r="P1991" s="25">
        <f>IF(H1991&gt;0,J1991,"")</f>
        <v/>
      </c>
      <c r="Q1991" s="25">
        <f>TEXT(A1991,"YYYY-MM-DD HH")</f>
        <v/>
      </c>
      <c r="R1991" s="25">
        <f>COUNTIF($Q$2:$Q$5295,Q1991)</f>
        <v/>
      </c>
      <c r="S1991" s="25">
        <f>IF(R1991&lt;=2,"1-2",IF(R1991&lt;=5,"3-5",IF(R1991&lt;=10,"6-10","11+")))</f>
        <v/>
      </c>
    </row>
    <row r="1992">
      <c r="A1992" s="39" t="n">
        <v>46176.94689814815</v>
      </c>
      <c r="B1992" s="25">
        <f>TEXT(A1992,"YYYY-MM")</f>
        <v/>
      </c>
      <c r="C1992" s="25">
        <f>TEXT(A1992,"MMM-YYYY")</f>
        <v/>
      </c>
      <c r="D1992" s="40">
        <f>INT(A1992)-WEEKDAY(A1992,2)+1</f>
        <v/>
      </c>
      <c r="E1992" s="25" t="inlineStr">
        <is>
          <t>sswati</t>
        </is>
      </c>
      <c r="F1992" s="25" t="n">
        <v>123524</v>
      </c>
      <c r="G1992" s="25" t="n">
        <v>5</v>
      </c>
      <c r="H1992" s="25" t="n">
        <v>20</v>
      </c>
      <c r="I1992" s="25" t="inlineStr">
        <is>
          <t>8 minute(s) and 47 second(s)</t>
        </is>
      </c>
      <c r="J1992" s="25">
        <f>IFERROR(VALUE(TRIM(LEFT(I1992,FIND("minute",I1992)-1)))*60,0)+IFERROR(VALUE(SUBSTITUTE(MID(I1992,IFERROR(FIND("and",I1992)+3,1),20),"second(s)","")),0)</f>
        <v/>
      </c>
      <c r="K1992" s="41">
        <f>J1992/60</f>
        <v/>
      </c>
      <c r="L1992" s="41">
        <f>IFERROR(J1992/H1992,"")</f>
        <v/>
      </c>
      <c r="M1992" s="25" t="inlineStr">
        <is>
          <t>2.5.12</t>
        </is>
      </c>
      <c r="N1992" s="25">
        <f>IF(J1992&gt;300,1,0)</f>
        <v/>
      </c>
      <c r="O1992" s="25">
        <f>IF(J1992&gt;600,1,0)</f>
        <v/>
      </c>
      <c r="P1992" s="25">
        <f>IF(H1992&gt;0,J1992,"")</f>
        <v/>
      </c>
      <c r="Q1992" s="25">
        <f>TEXT(A1992,"YYYY-MM-DD HH")</f>
        <v/>
      </c>
      <c r="R1992" s="25">
        <f>COUNTIF($Q$2:$Q$5295,Q1992)</f>
        <v/>
      </c>
      <c r="S1992" s="25">
        <f>IF(R1992&lt;=2,"1-2",IF(R1992&lt;=5,"3-5",IF(R1992&lt;=10,"6-10","11+")))</f>
        <v/>
      </c>
    </row>
    <row r="1993">
      <c r="A1993" s="39" t="n">
        <v>46176.96025462963</v>
      </c>
      <c r="B1993" s="25">
        <f>TEXT(A1993,"YYYY-MM")</f>
        <v/>
      </c>
      <c r="C1993" s="25">
        <f>TEXT(A1993,"MMM-YYYY")</f>
        <v/>
      </c>
      <c r="D1993" s="40">
        <f>INT(A1993)-WEEKDAY(A1993,2)+1</f>
        <v/>
      </c>
      <c r="E1993" s="25" t="inlineStr">
        <is>
          <t>hsindwani</t>
        </is>
      </c>
      <c r="F1993" s="25" t="n">
        <v>124701</v>
      </c>
      <c r="G1993" s="25" t="n">
        <v>1</v>
      </c>
      <c r="H1993" s="25" t="n">
        <v>3</v>
      </c>
      <c r="I1993" s="25" t="inlineStr">
        <is>
          <t>4 minute(s) and 44 second(s)</t>
        </is>
      </c>
      <c r="J1993" s="25">
        <f>IFERROR(VALUE(TRIM(LEFT(I1993,FIND("minute",I1993)-1)))*60,0)+IFERROR(VALUE(SUBSTITUTE(MID(I1993,IFERROR(FIND("and",I1993)+3,1),20),"second(s)","")),0)</f>
        <v/>
      </c>
      <c r="K1993" s="41">
        <f>J1993/60</f>
        <v/>
      </c>
      <c r="L1993" s="41">
        <f>IFERROR(J1993/H1993,"")</f>
        <v/>
      </c>
      <c r="M1993" s="25" t="inlineStr">
        <is>
          <t>2.5.12</t>
        </is>
      </c>
      <c r="N1993" s="25">
        <f>IF(J1993&gt;300,1,0)</f>
        <v/>
      </c>
      <c r="O1993" s="25">
        <f>IF(J1993&gt;600,1,0)</f>
        <v/>
      </c>
      <c r="P1993" s="25">
        <f>IF(H1993&gt;0,J1993,"")</f>
        <v/>
      </c>
      <c r="Q1993" s="25">
        <f>TEXT(A1993,"YYYY-MM-DD HH")</f>
        <v/>
      </c>
      <c r="R1993" s="25">
        <f>COUNTIF($Q$2:$Q$5295,Q1993)</f>
        <v/>
      </c>
      <c r="S1993" s="25">
        <f>IF(R1993&lt;=2,"1-2",IF(R1993&lt;=5,"3-5",IF(R1993&lt;=10,"6-10","11+")))</f>
        <v/>
      </c>
    </row>
    <row r="1994">
      <c r="A1994" s="39" t="n">
        <v>46176.96115740741</v>
      </c>
      <c r="B1994" s="25">
        <f>TEXT(A1994,"YYYY-MM")</f>
        <v/>
      </c>
      <c r="C1994" s="25">
        <f>TEXT(A1994,"MMM-YYYY")</f>
        <v/>
      </c>
      <c r="D1994" s="40">
        <f>INT(A1994)-WEEKDAY(A1994,2)+1</f>
        <v/>
      </c>
      <c r="E1994" s="25" t="inlineStr">
        <is>
          <t>dchoudhury</t>
        </is>
      </c>
      <c r="F1994" s="25" t="n">
        <v>125115</v>
      </c>
      <c r="G1994" s="25" t="n">
        <v>4</v>
      </c>
      <c r="H1994" s="25" t="n">
        <v>14</v>
      </c>
      <c r="I1994" s="25" t="inlineStr">
        <is>
          <t>7 minute(s) and 12 second(s)</t>
        </is>
      </c>
      <c r="J1994" s="25">
        <f>IFERROR(VALUE(TRIM(LEFT(I1994,FIND("minute",I1994)-1)))*60,0)+IFERROR(VALUE(SUBSTITUTE(MID(I1994,IFERROR(FIND("and",I1994)+3,1),20),"second(s)","")),0)</f>
        <v/>
      </c>
      <c r="K1994" s="41">
        <f>J1994/60</f>
        <v/>
      </c>
      <c r="L1994" s="41">
        <f>IFERROR(J1994/H1994,"")</f>
        <v/>
      </c>
      <c r="M1994" s="25" t="inlineStr">
        <is>
          <t>2.5.12</t>
        </is>
      </c>
      <c r="N1994" s="25">
        <f>IF(J1994&gt;300,1,0)</f>
        <v/>
      </c>
      <c r="O1994" s="25">
        <f>IF(J1994&gt;600,1,0)</f>
        <v/>
      </c>
      <c r="P1994" s="25">
        <f>IF(H1994&gt;0,J1994,"")</f>
        <v/>
      </c>
      <c r="Q1994" s="25">
        <f>TEXT(A1994,"YYYY-MM-DD HH")</f>
        <v/>
      </c>
      <c r="R1994" s="25">
        <f>COUNTIF($Q$2:$Q$5295,Q1994)</f>
        <v/>
      </c>
      <c r="S1994" s="25">
        <f>IF(R1994&lt;=2,"1-2",IF(R1994&lt;=5,"3-5",IF(R1994&lt;=10,"6-10","11+")))</f>
        <v/>
      </c>
    </row>
    <row r="1995">
      <c r="A1995" s="39" t="n">
        <v>46176.99851851852</v>
      </c>
      <c r="B1995" s="25">
        <f>TEXT(A1995,"YYYY-MM")</f>
        <v/>
      </c>
      <c r="C1995" s="25">
        <f>TEXT(A1995,"MMM-YYYY")</f>
        <v/>
      </c>
      <c r="D1995" s="40">
        <f>INT(A1995)-WEEKDAY(A1995,2)+1</f>
        <v/>
      </c>
      <c r="E1995" s="25" t="inlineStr">
        <is>
          <t>sswati</t>
        </is>
      </c>
      <c r="F1995" s="25" t="n">
        <v>123207</v>
      </c>
      <c r="G1995" s="25" t="n">
        <v>1</v>
      </c>
      <c r="H1995" s="25" t="n">
        <v>7</v>
      </c>
      <c r="I1995" s="25" t="inlineStr">
        <is>
          <t>6 minute(s) and 30 second(s)</t>
        </is>
      </c>
      <c r="J1995" s="25">
        <f>IFERROR(VALUE(TRIM(LEFT(I1995,FIND("minute",I1995)-1)))*60,0)+IFERROR(VALUE(SUBSTITUTE(MID(I1995,IFERROR(FIND("and",I1995)+3,1),20),"second(s)","")),0)</f>
        <v/>
      </c>
      <c r="K1995" s="41">
        <f>J1995/60</f>
        <v/>
      </c>
      <c r="L1995" s="41">
        <f>IFERROR(J1995/H1995,"")</f>
        <v/>
      </c>
      <c r="M1995" s="25" t="inlineStr">
        <is>
          <t>2.5.12</t>
        </is>
      </c>
      <c r="N1995" s="25">
        <f>IF(J1995&gt;300,1,0)</f>
        <v/>
      </c>
      <c r="O1995" s="25">
        <f>IF(J1995&gt;600,1,0)</f>
        <v/>
      </c>
      <c r="P1995" s="25">
        <f>IF(H1995&gt;0,J1995,"")</f>
        <v/>
      </c>
      <c r="Q1995" s="25">
        <f>TEXT(A1995,"YYYY-MM-DD HH")</f>
        <v/>
      </c>
      <c r="R1995" s="25">
        <f>COUNTIF($Q$2:$Q$5295,Q1995)</f>
        <v/>
      </c>
      <c r="S1995" s="25">
        <f>IF(R1995&lt;=2,"1-2",IF(R1995&lt;=5,"3-5",IF(R1995&lt;=10,"6-10","11+")))</f>
        <v/>
      </c>
    </row>
    <row r="1996">
      <c r="A1996" s="39" t="n">
        <v>46177.03403935185</v>
      </c>
      <c r="B1996" s="25">
        <f>TEXT(A1996,"YYYY-MM")</f>
        <v/>
      </c>
      <c r="C1996" s="25">
        <f>TEXT(A1996,"MMM-YYYY")</f>
        <v/>
      </c>
      <c r="D1996" s="40">
        <f>INT(A1996)-WEEKDAY(A1996,2)+1</f>
        <v/>
      </c>
      <c r="E1996" s="25" t="inlineStr">
        <is>
          <t>mgupta</t>
        </is>
      </c>
      <c r="F1996" s="25" t="n">
        <v>122475</v>
      </c>
      <c r="G1996" s="25" t="n">
        <v>5</v>
      </c>
      <c r="H1996" s="25" t="n">
        <v>27</v>
      </c>
      <c r="I1996" s="25" t="inlineStr">
        <is>
          <t>8 minute(s) and 27 second(s)</t>
        </is>
      </c>
      <c r="J1996" s="25">
        <f>IFERROR(VALUE(TRIM(LEFT(I1996,FIND("minute",I1996)-1)))*60,0)+IFERROR(VALUE(SUBSTITUTE(MID(I1996,IFERROR(FIND("and",I1996)+3,1),20),"second(s)","")),0)</f>
        <v/>
      </c>
      <c r="K1996" s="41">
        <f>J1996/60</f>
        <v/>
      </c>
      <c r="L1996" s="41">
        <f>IFERROR(J1996/H1996,"")</f>
        <v/>
      </c>
      <c r="M1996" s="25" t="inlineStr">
        <is>
          <t>2.5.12</t>
        </is>
      </c>
      <c r="N1996" s="25">
        <f>IF(J1996&gt;300,1,0)</f>
        <v/>
      </c>
      <c r="O1996" s="25">
        <f>IF(J1996&gt;600,1,0)</f>
        <v/>
      </c>
      <c r="P1996" s="25">
        <f>IF(H1996&gt;0,J1996,"")</f>
        <v/>
      </c>
      <c r="Q1996" s="25">
        <f>TEXT(A1996,"YYYY-MM-DD HH")</f>
        <v/>
      </c>
      <c r="R1996" s="25">
        <f>COUNTIF($Q$2:$Q$5295,Q1996)</f>
        <v/>
      </c>
      <c r="S1996" s="25">
        <f>IF(R1996&lt;=2,"1-2",IF(R1996&lt;=5,"3-5",IF(R1996&lt;=10,"6-10","11+")))</f>
        <v/>
      </c>
    </row>
    <row r="1997">
      <c r="A1997" s="39" t="n">
        <v>46177.05045138889</v>
      </c>
      <c r="B1997" s="25">
        <f>TEXT(A1997,"YYYY-MM")</f>
        <v/>
      </c>
      <c r="C1997" s="25">
        <f>TEXT(A1997,"MMM-YYYY")</f>
        <v/>
      </c>
      <c r="D1997" s="40">
        <f>INT(A1997)-WEEKDAY(A1997,2)+1</f>
        <v/>
      </c>
      <c r="E1997" s="25" t="inlineStr">
        <is>
          <t>ssrinivasan</t>
        </is>
      </c>
      <c r="F1997" s="25" t="n">
        <v>125738</v>
      </c>
      <c r="G1997" s="25" t="n">
        <v>4</v>
      </c>
      <c r="H1997" s="25" t="n">
        <v>28</v>
      </c>
      <c r="I1997" s="25" t="inlineStr">
        <is>
          <t>7 minute(s) and 20 second(s)</t>
        </is>
      </c>
      <c r="J1997" s="25">
        <f>IFERROR(VALUE(TRIM(LEFT(I1997,FIND("minute",I1997)-1)))*60,0)+IFERROR(VALUE(SUBSTITUTE(MID(I1997,IFERROR(FIND("and",I1997)+3,1),20),"second(s)","")),0)</f>
        <v/>
      </c>
      <c r="K1997" s="41">
        <f>J1997/60</f>
        <v/>
      </c>
      <c r="L1997" s="41">
        <f>IFERROR(J1997/H1997,"")</f>
        <v/>
      </c>
      <c r="M1997" s="25" t="inlineStr">
        <is>
          <t>2.5.12</t>
        </is>
      </c>
      <c r="N1997" s="25">
        <f>IF(J1997&gt;300,1,0)</f>
        <v/>
      </c>
      <c r="O1997" s="25">
        <f>IF(J1997&gt;600,1,0)</f>
        <v/>
      </c>
      <c r="P1997" s="25">
        <f>IF(H1997&gt;0,J1997,"")</f>
        <v/>
      </c>
      <c r="Q1997" s="25">
        <f>TEXT(A1997,"YYYY-MM-DD HH")</f>
        <v/>
      </c>
      <c r="R1997" s="25">
        <f>COUNTIF($Q$2:$Q$5295,Q1997)</f>
        <v/>
      </c>
      <c r="S1997" s="25">
        <f>IF(R1997&lt;=2,"1-2",IF(R1997&lt;=5,"3-5",IF(R1997&lt;=10,"6-10","11+")))</f>
        <v/>
      </c>
    </row>
    <row r="1998">
      <c r="A1998" s="39" t="n">
        <v>46177.08590277778</v>
      </c>
      <c r="B1998" s="25">
        <f>TEXT(A1998,"YYYY-MM")</f>
        <v/>
      </c>
      <c r="C1998" s="25">
        <f>TEXT(A1998,"MMM-YYYY")</f>
        <v/>
      </c>
      <c r="D1998" s="40">
        <f>INT(A1998)-WEEKDAY(A1998,2)+1</f>
        <v/>
      </c>
      <c r="E1998" s="25" t="inlineStr">
        <is>
          <t>ns</t>
        </is>
      </c>
      <c r="F1998" s="25" t="n">
        <v>121744</v>
      </c>
      <c r="G1998" s="25" t="n">
        <v>3</v>
      </c>
      <c r="H1998" s="25" t="n">
        <v>13</v>
      </c>
      <c r="I1998" s="25" t="inlineStr">
        <is>
          <t>3 minute(s) and 28 second(s)</t>
        </is>
      </c>
      <c r="J1998" s="25">
        <f>IFERROR(VALUE(TRIM(LEFT(I1998,FIND("minute",I1998)-1)))*60,0)+IFERROR(VALUE(SUBSTITUTE(MID(I1998,IFERROR(FIND("and",I1998)+3,1),20),"second(s)","")),0)</f>
        <v/>
      </c>
      <c r="K1998" s="41">
        <f>J1998/60</f>
        <v/>
      </c>
      <c r="L1998" s="41">
        <f>IFERROR(J1998/H1998,"")</f>
        <v/>
      </c>
      <c r="M1998" s="25" t="inlineStr">
        <is>
          <t>2.5.12</t>
        </is>
      </c>
      <c r="N1998" s="25">
        <f>IF(J1998&gt;300,1,0)</f>
        <v/>
      </c>
      <c r="O1998" s="25">
        <f>IF(J1998&gt;600,1,0)</f>
        <v/>
      </c>
      <c r="P1998" s="25">
        <f>IF(H1998&gt;0,J1998,"")</f>
        <v/>
      </c>
      <c r="Q1998" s="25">
        <f>TEXT(A1998,"YYYY-MM-DD HH")</f>
        <v/>
      </c>
      <c r="R1998" s="25">
        <f>COUNTIF($Q$2:$Q$5295,Q1998)</f>
        <v/>
      </c>
      <c r="S1998" s="25">
        <f>IF(R1998&lt;=2,"1-2",IF(R1998&lt;=5,"3-5",IF(R1998&lt;=10,"6-10","11+")))</f>
        <v/>
      </c>
    </row>
    <row r="1999">
      <c r="A1999" s="39" t="n">
        <v>46177.08717592592</v>
      </c>
      <c r="B1999" s="25">
        <f>TEXT(A1999,"YYYY-MM")</f>
        <v/>
      </c>
      <c r="C1999" s="25">
        <f>TEXT(A1999,"MMM-YYYY")</f>
        <v/>
      </c>
      <c r="D1999" s="40">
        <f>INT(A1999)-WEEKDAY(A1999,2)+1</f>
        <v/>
      </c>
      <c r="E1999" s="25" t="inlineStr">
        <is>
          <t>taggarwal</t>
        </is>
      </c>
      <c r="F1999" s="25" t="n">
        <v>122981</v>
      </c>
      <c r="G1999" s="25" t="n">
        <v>3</v>
      </c>
      <c r="H1999" s="25" t="n">
        <v>21</v>
      </c>
      <c r="I1999" s="25" t="inlineStr">
        <is>
          <t>6 minute(s) and 58 second(s)</t>
        </is>
      </c>
      <c r="J1999" s="25">
        <f>IFERROR(VALUE(TRIM(LEFT(I1999,FIND("minute",I1999)-1)))*60,0)+IFERROR(VALUE(SUBSTITUTE(MID(I1999,IFERROR(FIND("and",I1999)+3,1),20),"second(s)","")),0)</f>
        <v/>
      </c>
      <c r="K1999" s="41">
        <f>J1999/60</f>
        <v/>
      </c>
      <c r="L1999" s="41">
        <f>IFERROR(J1999/H1999,"")</f>
        <v/>
      </c>
      <c r="M1999" s="25" t="inlineStr">
        <is>
          <t>2.5.12</t>
        </is>
      </c>
      <c r="N1999" s="25">
        <f>IF(J1999&gt;300,1,0)</f>
        <v/>
      </c>
      <c r="O1999" s="25">
        <f>IF(J1999&gt;600,1,0)</f>
        <v/>
      </c>
      <c r="P1999" s="25">
        <f>IF(H1999&gt;0,J1999,"")</f>
        <v/>
      </c>
      <c r="Q1999" s="25">
        <f>TEXT(A1999,"YYYY-MM-DD HH")</f>
        <v/>
      </c>
      <c r="R1999" s="25">
        <f>COUNTIF($Q$2:$Q$5295,Q1999)</f>
        <v/>
      </c>
      <c r="S1999" s="25">
        <f>IF(R1999&lt;=2,"1-2",IF(R1999&lt;=5,"3-5",IF(R1999&lt;=10,"6-10","11+")))</f>
        <v/>
      </c>
    </row>
    <row r="2000">
      <c r="A2000" s="39" t="n">
        <v>46177.09491898148</v>
      </c>
      <c r="B2000" s="25">
        <f>TEXT(A2000,"YYYY-MM")</f>
        <v/>
      </c>
      <c r="C2000" s="25">
        <f>TEXT(A2000,"MMM-YYYY")</f>
        <v/>
      </c>
      <c r="D2000" s="40">
        <f>INT(A2000)-WEEKDAY(A2000,2)+1</f>
        <v/>
      </c>
      <c r="E2000" s="25" t="inlineStr">
        <is>
          <t>pmehndiratta</t>
        </is>
      </c>
      <c r="F2000" s="25" t="n">
        <v>124802</v>
      </c>
      <c r="G2000" s="25" t="n">
        <v>2</v>
      </c>
      <c r="H2000" s="25" t="n">
        <v>12</v>
      </c>
      <c r="I2000" s="25" t="inlineStr">
        <is>
          <t>3 minute(s) and 4 second(s)</t>
        </is>
      </c>
      <c r="J2000" s="25">
        <f>IFERROR(VALUE(TRIM(LEFT(I2000,FIND("minute",I2000)-1)))*60,0)+IFERROR(VALUE(SUBSTITUTE(MID(I2000,IFERROR(FIND("and",I2000)+3,1),20),"second(s)","")),0)</f>
        <v/>
      </c>
      <c r="K2000" s="41">
        <f>J2000/60</f>
        <v/>
      </c>
      <c r="L2000" s="41">
        <f>IFERROR(J2000/H2000,"")</f>
        <v/>
      </c>
      <c r="M2000" s="25" t="inlineStr">
        <is>
          <t>2.5.12</t>
        </is>
      </c>
      <c r="N2000" s="25">
        <f>IF(J2000&gt;300,1,0)</f>
        <v/>
      </c>
      <c r="O2000" s="25">
        <f>IF(J2000&gt;600,1,0)</f>
        <v/>
      </c>
      <c r="P2000" s="25">
        <f>IF(H2000&gt;0,J2000,"")</f>
        <v/>
      </c>
      <c r="Q2000" s="25">
        <f>TEXT(A2000,"YYYY-MM-DD HH")</f>
        <v/>
      </c>
      <c r="R2000" s="25">
        <f>COUNTIF($Q$2:$Q$5295,Q2000)</f>
        <v/>
      </c>
      <c r="S2000" s="25">
        <f>IF(R2000&lt;=2,"1-2",IF(R2000&lt;=5,"3-5",IF(R2000&lt;=10,"6-10","11+")))</f>
        <v/>
      </c>
    </row>
    <row r="2001">
      <c r="A2001" s="39" t="n">
        <v>46177.099375</v>
      </c>
      <c r="B2001" s="25">
        <f>TEXT(A2001,"YYYY-MM")</f>
        <v/>
      </c>
      <c r="C2001" s="25">
        <f>TEXT(A2001,"MMM-YYYY")</f>
        <v/>
      </c>
      <c r="D2001" s="40">
        <f>INT(A2001)-WEEKDAY(A2001,2)+1</f>
        <v/>
      </c>
      <c r="E2001" s="25" t="inlineStr">
        <is>
          <t>aghosh</t>
        </is>
      </c>
      <c r="F2001" s="25" t="n">
        <v>121707</v>
      </c>
      <c r="G2001" s="25" t="n">
        <v>1</v>
      </c>
      <c r="H2001" s="25" t="n">
        <v>7</v>
      </c>
      <c r="I2001" s="25" t="inlineStr">
        <is>
          <t>1 minute(s) and 40 second(s)</t>
        </is>
      </c>
      <c r="J2001" s="25">
        <f>IFERROR(VALUE(TRIM(LEFT(I2001,FIND("minute",I2001)-1)))*60,0)+IFERROR(VALUE(SUBSTITUTE(MID(I2001,IFERROR(FIND("and",I2001)+3,1),20),"second(s)","")),0)</f>
        <v/>
      </c>
      <c r="K2001" s="41">
        <f>J2001/60</f>
        <v/>
      </c>
      <c r="L2001" s="41">
        <f>IFERROR(J2001/H2001,"")</f>
        <v/>
      </c>
      <c r="M2001" s="25" t="inlineStr">
        <is>
          <t>2.5.12</t>
        </is>
      </c>
      <c r="N2001" s="25">
        <f>IF(J2001&gt;300,1,0)</f>
        <v/>
      </c>
      <c r="O2001" s="25">
        <f>IF(J2001&gt;600,1,0)</f>
        <v/>
      </c>
      <c r="P2001" s="25">
        <f>IF(H2001&gt;0,J2001,"")</f>
        <v/>
      </c>
      <c r="Q2001" s="25">
        <f>TEXT(A2001,"YYYY-MM-DD HH")</f>
        <v/>
      </c>
      <c r="R2001" s="25">
        <f>COUNTIF($Q$2:$Q$5295,Q2001)</f>
        <v/>
      </c>
      <c r="S2001" s="25">
        <f>IF(R2001&lt;=2,"1-2",IF(R2001&lt;=5,"3-5",IF(R2001&lt;=10,"6-10","11+")))</f>
        <v/>
      </c>
    </row>
    <row r="2002">
      <c r="A2002" s="39" t="n">
        <v>46177.10418981482</v>
      </c>
      <c r="B2002" s="25">
        <f>TEXT(A2002,"YYYY-MM")</f>
        <v/>
      </c>
      <c r="C2002" s="25">
        <f>TEXT(A2002,"MMM-YYYY")</f>
        <v/>
      </c>
      <c r="D2002" s="40">
        <f>INT(A2002)-WEEKDAY(A2002,2)+1</f>
        <v/>
      </c>
      <c r="E2002" s="25" t="inlineStr">
        <is>
          <t>ssrinivasan</t>
        </is>
      </c>
      <c r="F2002" s="25" t="n">
        <v>125738</v>
      </c>
      <c r="G2002" s="25" t="n">
        <v>1</v>
      </c>
      <c r="H2002" s="25" t="n">
        <v>7</v>
      </c>
      <c r="I2002" s="25" t="inlineStr">
        <is>
          <t>3 minute(s) and 16 second(s)</t>
        </is>
      </c>
      <c r="J2002" s="25">
        <f>IFERROR(VALUE(TRIM(LEFT(I2002,FIND("minute",I2002)-1)))*60,0)+IFERROR(VALUE(SUBSTITUTE(MID(I2002,IFERROR(FIND("and",I2002)+3,1),20),"second(s)","")),0)</f>
        <v/>
      </c>
      <c r="K2002" s="41">
        <f>J2002/60</f>
        <v/>
      </c>
      <c r="L2002" s="41">
        <f>IFERROR(J2002/H2002,"")</f>
        <v/>
      </c>
      <c r="M2002" s="25" t="inlineStr">
        <is>
          <t>2.5.12</t>
        </is>
      </c>
      <c r="N2002" s="25">
        <f>IF(J2002&gt;300,1,0)</f>
        <v/>
      </c>
      <c r="O2002" s="25">
        <f>IF(J2002&gt;600,1,0)</f>
        <v/>
      </c>
      <c r="P2002" s="25">
        <f>IF(H2002&gt;0,J2002,"")</f>
        <v/>
      </c>
      <c r="Q2002" s="25">
        <f>TEXT(A2002,"YYYY-MM-DD HH")</f>
        <v/>
      </c>
      <c r="R2002" s="25">
        <f>COUNTIF($Q$2:$Q$5295,Q2002)</f>
        <v/>
      </c>
      <c r="S2002" s="25">
        <f>IF(R2002&lt;=2,"1-2",IF(R2002&lt;=5,"3-5",IF(R2002&lt;=10,"6-10","11+")))</f>
        <v/>
      </c>
    </row>
    <row r="2003">
      <c r="A2003" s="39" t="n">
        <v>46177.10447916666</v>
      </c>
      <c r="B2003" s="25">
        <f>TEXT(A2003,"YYYY-MM")</f>
        <v/>
      </c>
      <c r="C2003" s="25">
        <f>TEXT(A2003,"MMM-YYYY")</f>
        <v/>
      </c>
      <c r="D2003" s="40">
        <f>INT(A2003)-WEEKDAY(A2003,2)+1</f>
        <v/>
      </c>
      <c r="E2003" s="25" t="inlineStr">
        <is>
          <t>rts</t>
        </is>
      </c>
      <c r="F2003" s="25" t="n">
        <v>123229</v>
      </c>
      <c r="G2003" s="25" t="n">
        <v>2</v>
      </c>
      <c r="H2003" s="25" t="n">
        <v>8</v>
      </c>
      <c r="I2003" s="25" t="inlineStr">
        <is>
          <t>2 minute(s) and 57 second(s)</t>
        </is>
      </c>
      <c r="J2003" s="25">
        <f>IFERROR(VALUE(TRIM(LEFT(I2003,FIND("minute",I2003)-1)))*60,0)+IFERROR(VALUE(SUBSTITUTE(MID(I2003,IFERROR(FIND("and",I2003)+3,1),20),"second(s)","")),0)</f>
        <v/>
      </c>
      <c r="K2003" s="41">
        <f>J2003/60</f>
        <v/>
      </c>
      <c r="L2003" s="41">
        <f>IFERROR(J2003/H2003,"")</f>
        <v/>
      </c>
      <c r="M2003" s="25" t="inlineStr">
        <is>
          <t>2.5.12</t>
        </is>
      </c>
      <c r="N2003" s="25">
        <f>IF(J2003&gt;300,1,0)</f>
        <v/>
      </c>
      <c r="O2003" s="25">
        <f>IF(J2003&gt;600,1,0)</f>
        <v/>
      </c>
      <c r="P2003" s="25">
        <f>IF(H2003&gt;0,J2003,"")</f>
        <v/>
      </c>
      <c r="Q2003" s="25">
        <f>TEXT(A2003,"YYYY-MM-DD HH")</f>
        <v/>
      </c>
      <c r="R2003" s="25">
        <f>COUNTIF($Q$2:$Q$5295,Q2003)</f>
        <v/>
      </c>
      <c r="S2003" s="25">
        <f>IF(R2003&lt;=2,"1-2",IF(R2003&lt;=5,"3-5",IF(R2003&lt;=10,"6-10","11+")))</f>
        <v/>
      </c>
    </row>
    <row r="2004">
      <c r="A2004" s="39" t="n">
        <v>46177.11047453704</v>
      </c>
      <c r="B2004" s="25">
        <f>TEXT(A2004,"YYYY-MM")</f>
        <v/>
      </c>
      <c r="C2004" s="25">
        <f>TEXT(A2004,"MMM-YYYY")</f>
        <v/>
      </c>
      <c r="D2004" s="40">
        <f>INT(A2004)-WEEKDAY(A2004,2)+1</f>
        <v/>
      </c>
      <c r="E2004" s="25" t="inlineStr">
        <is>
          <t>adey</t>
        </is>
      </c>
      <c r="F2004" s="25" t="n">
        <v>122911</v>
      </c>
      <c r="G2004" s="25" t="n">
        <v>1</v>
      </c>
      <c r="H2004" s="25" t="n">
        <v>6</v>
      </c>
      <c r="I2004" s="25" t="inlineStr">
        <is>
          <t>1 minute(s) and 30 second(s)</t>
        </is>
      </c>
      <c r="J2004" s="25">
        <f>IFERROR(VALUE(TRIM(LEFT(I2004,FIND("minute",I2004)-1)))*60,0)+IFERROR(VALUE(SUBSTITUTE(MID(I2004,IFERROR(FIND("and",I2004)+3,1),20),"second(s)","")),0)</f>
        <v/>
      </c>
      <c r="K2004" s="41">
        <f>J2004/60</f>
        <v/>
      </c>
      <c r="L2004" s="41">
        <f>IFERROR(J2004/H2004,"")</f>
        <v/>
      </c>
      <c r="M2004" s="25" t="inlineStr">
        <is>
          <t>2.5.12</t>
        </is>
      </c>
      <c r="N2004" s="25">
        <f>IF(J2004&gt;300,1,0)</f>
        <v/>
      </c>
      <c r="O2004" s="25">
        <f>IF(J2004&gt;600,1,0)</f>
        <v/>
      </c>
      <c r="P2004" s="25">
        <f>IF(H2004&gt;0,J2004,"")</f>
        <v/>
      </c>
      <c r="Q2004" s="25">
        <f>TEXT(A2004,"YYYY-MM-DD HH")</f>
        <v/>
      </c>
      <c r="R2004" s="25">
        <f>COUNTIF($Q$2:$Q$5295,Q2004)</f>
        <v/>
      </c>
      <c r="S2004" s="25">
        <f>IF(R2004&lt;=2,"1-2",IF(R2004&lt;=5,"3-5",IF(R2004&lt;=10,"6-10","11+")))</f>
        <v/>
      </c>
    </row>
    <row r="2005">
      <c r="A2005" s="39" t="n">
        <v>46177.12358796296</v>
      </c>
      <c r="B2005" s="25">
        <f>TEXT(A2005,"YYYY-MM")</f>
        <v/>
      </c>
      <c r="C2005" s="25">
        <f>TEXT(A2005,"MMM-YYYY")</f>
        <v/>
      </c>
      <c r="D2005" s="40">
        <f>INT(A2005)-WEEKDAY(A2005,2)+1</f>
        <v/>
      </c>
      <c r="E2005" s="25" t="inlineStr">
        <is>
          <t>stiwari</t>
        </is>
      </c>
      <c r="F2005" s="25" t="n">
        <v>123282</v>
      </c>
      <c r="G2005" s="25" t="n">
        <v>1</v>
      </c>
      <c r="H2005" s="25" t="n">
        <v>8</v>
      </c>
      <c r="I2005" s="25" t="inlineStr">
        <is>
          <t>1 minute(s) and 43 second(s)</t>
        </is>
      </c>
      <c r="J2005" s="25">
        <f>IFERROR(VALUE(TRIM(LEFT(I2005,FIND("minute",I2005)-1)))*60,0)+IFERROR(VALUE(SUBSTITUTE(MID(I2005,IFERROR(FIND("and",I2005)+3,1),20),"second(s)","")),0)</f>
        <v/>
      </c>
      <c r="K2005" s="41">
        <f>J2005/60</f>
        <v/>
      </c>
      <c r="L2005" s="41">
        <f>IFERROR(J2005/H2005,"")</f>
        <v/>
      </c>
      <c r="M2005" s="25" t="inlineStr">
        <is>
          <t>2.5.12</t>
        </is>
      </c>
      <c r="N2005" s="25">
        <f>IF(J2005&gt;300,1,0)</f>
        <v/>
      </c>
      <c r="O2005" s="25">
        <f>IF(J2005&gt;600,1,0)</f>
        <v/>
      </c>
      <c r="P2005" s="25">
        <f>IF(H2005&gt;0,J2005,"")</f>
        <v/>
      </c>
      <c r="Q2005" s="25">
        <f>TEXT(A2005,"YYYY-MM-DD HH")</f>
        <v/>
      </c>
      <c r="R2005" s="25">
        <f>COUNTIF($Q$2:$Q$5295,Q2005)</f>
        <v/>
      </c>
      <c r="S2005" s="25">
        <f>IF(R2005&lt;=2,"1-2",IF(R2005&lt;=5,"3-5",IF(R2005&lt;=10,"6-10","11+")))</f>
        <v/>
      </c>
    </row>
    <row r="2006">
      <c r="A2006" s="39" t="n">
        <v>46177.12438657408</v>
      </c>
      <c r="B2006" s="25">
        <f>TEXT(A2006,"YYYY-MM")</f>
        <v/>
      </c>
      <c r="C2006" s="25">
        <f>TEXT(A2006,"MMM-YYYY")</f>
        <v/>
      </c>
      <c r="D2006" s="40">
        <f>INT(A2006)-WEEKDAY(A2006,2)+1</f>
        <v/>
      </c>
      <c r="E2006" s="25" t="inlineStr">
        <is>
          <t>ns</t>
        </is>
      </c>
      <c r="F2006" s="25" t="n">
        <v>122136</v>
      </c>
      <c r="G2006" s="25" t="n">
        <v>1</v>
      </c>
      <c r="H2006" s="25" t="n">
        <v>5</v>
      </c>
      <c r="I2006" s="25" t="inlineStr">
        <is>
          <t>1 minute(s) and 25 second(s)</t>
        </is>
      </c>
      <c r="J2006" s="25">
        <f>IFERROR(VALUE(TRIM(LEFT(I2006,FIND("minute",I2006)-1)))*60,0)+IFERROR(VALUE(SUBSTITUTE(MID(I2006,IFERROR(FIND("and",I2006)+3,1),20),"second(s)","")),0)</f>
        <v/>
      </c>
      <c r="K2006" s="41">
        <f>J2006/60</f>
        <v/>
      </c>
      <c r="L2006" s="41">
        <f>IFERROR(J2006/H2006,"")</f>
        <v/>
      </c>
      <c r="M2006" s="25" t="inlineStr">
        <is>
          <t>2.5.12</t>
        </is>
      </c>
      <c r="N2006" s="25">
        <f>IF(J2006&gt;300,1,0)</f>
        <v/>
      </c>
      <c r="O2006" s="25">
        <f>IF(J2006&gt;600,1,0)</f>
        <v/>
      </c>
      <c r="P2006" s="25">
        <f>IF(H2006&gt;0,J2006,"")</f>
        <v/>
      </c>
      <c r="Q2006" s="25">
        <f>TEXT(A2006,"YYYY-MM-DD HH")</f>
        <v/>
      </c>
      <c r="R2006" s="25">
        <f>COUNTIF($Q$2:$Q$5295,Q2006)</f>
        <v/>
      </c>
      <c r="S2006" s="25">
        <f>IF(R2006&lt;=2,"1-2",IF(R2006&lt;=5,"3-5",IF(R2006&lt;=10,"6-10","11+")))</f>
        <v/>
      </c>
    </row>
    <row r="2007">
      <c r="A2007" s="39" t="n">
        <v>46177.13443287037</v>
      </c>
      <c r="B2007" s="25">
        <f>TEXT(A2007,"YYYY-MM")</f>
        <v/>
      </c>
      <c r="C2007" s="25">
        <f>TEXT(A2007,"MMM-YYYY")</f>
        <v/>
      </c>
      <c r="D2007" s="40">
        <f>INT(A2007)-WEEKDAY(A2007,2)+1</f>
        <v/>
      </c>
      <c r="E2007" s="25" t="inlineStr">
        <is>
          <t>taggarwal</t>
        </is>
      </c>
      <c r="F2007" s="25" t="n">
        <v>123289</v>
      </c>
      <c r="G2007" s="25" t="n">
        <v>2</v>
      </c>
      <c r="H2007" s="25" t="n">
        <v>14</v>
      </c>
      <c r="I2007" s="25" t="inlineStr">
        <is>
          <t>2 minute(s) and 50 second(s)</t>
        </is>
      </c>
      <c r="J2007" s="25">
        <f>IFERROR(VALUE(TRIM(LEFT(I2007,FIND("minute",I2007)-1)))*60,0)+IFERROR(VALUE(SUBSTITUTE(MID(I2007,IFERROR(FIND("and",I2007)+3,1),20),"second(s)","")),0)</f>
        <v/>
      </c>
      <c r="K2007" s="41">
        <f>J2007/60</f>
        <v/>
      </c>
      <c r="L2007" s="41">
        <f>IFERROR(J2007/H2007,"")</f>
        <v/>
      </c>
      <c r="M2007" s="25" t="inlineStr">
        <is>
          <t>2.5.12</t>
        </is>
      </c>
      <c r="N2007" s="25">
        <f>IF(J2007&gt;300,1,0)</f>
        <v/>
      </c>
      <c r="O2007" s="25">
        <f>IF(J2007&gt;600,1,0)</f>
        <v/>
      </c>
      <c r="P2007" s="25">
        <f>IF(H2007&gt;0,J2007,"")</f>
        <v/>
      </c>
      <c r="Q2007" s="25">
        <f>TEXT(A2007,"YYYY-MM-DD HH")</f>
        <v/>
      </c>
      <c r="R2007" s="25">
        <f>COUNTIF($Q$2:$Q$5295,Q2007)</f>
        <v/>
      </c>
      <c r="S2007" s="25">
        <f>IF(R2007&lt;=2,"1-2",IF(R2007&lt;=5,"3-5",IF(R2007&lt;=10,"6-10","11+")))</f>
        <v/>
      </c>
    </row>
    <row r="2008">
      <c r="A2008" s="39" t="n">
        <v>46177.13556712963</v>
      </c>
      <c r="B2008" s="25">
        <f>TEXT(A2008,"YYYY-MM")</f>
        <v/>
      </c>
      <c r="C2008" s="25">
        <f>TEXT(A2008,"MMM-YYYY")</f>
        <v/>
      </c>
      <c r="D2008" s="40">
        <f>INT(A2008)-WEEKDAY(A2008,2)+1</f>
        <v/>
      </c>
      <c r="E2008" s="25" t="inlineStr">
        <is>
          <t>bverma</t>
        </is>
      </c>
      <c r="F2008" s="25" t="n">
        <v>123204</v>
      </c>
      <c r="G2008" s="25" t="n">
        <v>1</v>
      </c>
      <c r="H2008" s="25" t="n">
        <v>5</v>
      </c>
      <c r="I2008" s="25" t="inlineStr">
        <is>
          <t>1 minute(s) and 2 second(s)</t>
        </is>
      </c>
      <c r="J2008" s="25">
        <f>IFERROR(VALUE(TRIM(LEFT(I2008,FIND("minute",I2008)-1)))*60,0)+IFERROR(VALUE(SUBSTITUTE(MID(I2008,IFERROR(FIND("and",I2008)+3,1),20),"second(s)","")),0)</f>
        <v/>
      </c>
      <c r="K2008" s="41">
        <f>J2008/60</f>
        <v/>
      </c>
      <c r="L2008" s="41">
        <f>IFERROR(J2008/H2008,"")</f>
        <v/>
      </c>
      <c r="M2008" s="25" t="inlineStr">
        <is>
          <t>2.5.12</t>
        </is>
      </c>
      <c r="N2008" s="25">
        <f>IF(J2008&gt;300,1,0)</f>
        <v/>
      </c>
      <c r="O2008" s="25">
        <f>IF(J2008&gt;600,1,0)</f>
        <v/>
      </c>
      <c r="P2008" s="25">
        <f>IF(H2008&gt;0,J2008,"")</f>
        <v/>
      </c>
      <c r="Q2008" s="25">
        <f>TEXT(A2008,"YYYY-MM-DD HH")</f>
        <v/>
      </c>
      <c r="R2008" s="25">
        <f>COUNTIF($Q$2:$Q$5295,Q2008)</f>
        <v/>
      </c>
      <c r="S2008" s="25">
        <f>IF(R2008&lt;=2,"1-2",IF(R2008&lt;=5,"3-5",IF(R2008&lt;=10,"6-10","11+")))</f>
        <v/>
      </c>
    </row>
    <row r="2009">
      <c r="A2009" s="39" t="n">
        <v>46177.14018518518</v>
      </c>
      <c r="B2009" s="25">
        <f>TEXT(A2009,"YYYY-MM")</f>
        <v/>
      </c>
      <c r="C2009" s="25">
        <f>TEXT(A2009,"MMM-YYYY")</f>
        <v/>
      </c>
      <c r="D2009" s="40">
        <f>INT(A2009)-WEEKDAY(A2009,2)+1</f>
        <v/>
      </c>
      <c r="E2009" s="25" t="inlineStr">
        <is>
          <t>atiwari</t>
        </is>
      </c>
      <c r="F2009" s="25" t="n">
        <v>125385</v>
      </c>
      <c r="G2009" s="25" t="n">
        <v>2</v>
      </c>
      <c r="H2009" s="25" t="n">
        <v>13</v>
      </c>
      <c r="I2009" s="25" t="inlineStr">
        <is>
          <t>3 minute(s) and 51 second(s)</t>
        </is>
      </c>
      <c r="J2009" s="25">
        <f>IFERROR(VALUE(TRIM(LEFT(I2009,FIND("minute",I2009)-1)))*60,0)+IFERROR(VALUE(SUBSTITUTE(MID(I2009,IFERROR(FIND("and",I2009)+3,1),20),"second(s)","")),0)</f>
        <v/>
      </c>
      <c r="K2009" s="41">
        <f>J2009/60</f>
        <v/>
      </c>
      <c r="L2009" s="41">
        <f>IFERROR(J2009/H2009,"")</f>
        <v/>
      </c>
      <c r="M2009" s="25" t="inlineStr">
        <is>
          <t>2.5.12</t>
        </is>
      </c>
      <c r="N2009" s="25">
        <f>IF(J2009&gt;300,1,0)</f>
        <v/>
      </c>
      <c r="O2009" s="25">
        <f>IF(J2009&gt;600,1,0)</f>
        <v/>
      </c>
      <c r="P2009" s="25">
        <f>IF(H2009&gt;0,J2009,"")</f>
        <v/>
      </c>
      <c r="Q2009" s="25">
        <f>TEXT(A2009,"YYYY-MM-DD HH")</f>
        <v/>
      </c>
      <c r="R2009" s="25">
        <f>COUNTIF($Q$2:$Q$5295,Q2009)</f>
        <v/>
      </c>
      <c r="S2009" s="25">
        <f>IF(R2009&lt;=2,"1-2",IF(R2009&lt;=5,"3-5",IF(R2009&lt;=10,"6-10","11+")))</f>
        <v/>
      </c>
    </row>
    <row r="2010">
      <c r="A2010" s="39" t="n">
        <v>46177.14125</v>
      </c>
      <c r="B2010" s="25">
        <f>TEXT(A2010,"YYYY-MM")</f>
        <v/>
      </c>
      <c r="C2010" s="25">
        <f>TEXT(A2010,"MMM-YYYY")</f>
        <v/>
      </c>
      <c r="D2010" s="40">
        <f>INT(A2010)-WEEKDAY(A2010,2)+1</f>
        <v/>
      </c>
      <c r="E2010" s="25" t="inlineStr">
        <is>
          <t>aghosh</t>
        </is>
      </c>
      <c r="F2010" s="25" t="n">
        <v>123490</v>
      </c>
      <c r="G2010" s="25" t="n">
        <v>2</v>
      </c>
      <c r="H2010" s="25" t="n">
        <v>8</v>
      </c>
      <c r="I2010" s="25" t="inlineStr">
        <is>
          <t>2 minute(s) and 35 second(s)</t>
        </is>
      </c>
      <c r="J2010" s="25">
        <f>IFERROR(VALUE(TRIM(LEFT(I2010,FIND("minute",I2010)-1)))*60,0)+IFERROR(VALUE(SUBSTITUTE(MID(I2010,IFERROR(FIND("and",I2010)+3,1),20),"second(s)","")),0)</f>
        <v/>
      </c>
      <c r="K2010" s="41">
        <f>J2010/60</f>
        <v/>
      </c>
      <c r="L2010" s="41">
        <f>IFERROR(J2010/H2010,"")</f>
        <v/>
      </c>
      <c r="M2010" s="25" t="inlineStr">
        <is>
          <t>2.5.12</t>
        </is>
      </c>
      <c r="N2010" s="25">
        <f>IF(J2010&gt;300,1,0)</f>
        <v/>
      </c>
      <c r="O2010" s="25">
        <f>IF(J2010&gt;600,1,0)</f>
        <v/>
      </c>
      <c r="P2010" s="25">
        <f>IF(H2010&gt;0,J2010,"")</f>
        <v/>
      </c>
      <c r="Q2010" s="25">
        <f>TEXT(A2010,"YYYY-MM-DD HH")</f>
        <v/>
      </c>
      <c r="R2010" s="25">
        <f>COUNTIF($Q$2:$Q$5295,Q2010)</f>
        <v/>
      </c>
      <c r="S2010" s="25">
        <f>IF(R2010&lt;=2,"1-2",IF(R2010&lt;=5,"3-5",IF(R2010&lt;=10,"6-10","11+")))</f>
        <v/>
      </c>
    </row>
    <row r="2011">
      <c r="A2011" s="39" t="n">
        <v>46177.15480324074</v>
      </c>
      <c r="B2011" s="25">
        <f>TEXT(A2011,"YYYY-MM")</f>
        <v/>
      </c>
      <c r="C2011" s="25">
        <f>TEXT(A2011,"MMM-YYYY")</f>
        <v/>
      </c>
      <c r="D2011" s="40">
        <f>INT(A2011)-WEEKDAY(A2011,2)+1</f>
        <v/>
      </c>
      <c r="E2011" s="25" t="inlineStr">
        <is>
          <t>ssrinivasan</t>
        </is>
      </c>
      <c r="F2011" s="25" t="n">
        <v>125738</v>
      </c>
      <c r="G2011" s="25" t="n">
        <v>1</v>
      </c>
      <c r="H2011" s="25" t="n">
        <v>7</v>
      </c>
      <c r="I2011" s="25" t="inlineStr">
        <is>
          <t>1 minute(s) and 33 second(s)</t>
        </is>
      </c>
      <c r="J2011" s="25">
        <f>IFERROR(VALUE(TRIM(LEFT(I2011,FIND("minute",I2011)-1)))*60,0)+IFERROR(VALUE(SUBSTITUTE(MID(I2011,IFERROR(FIND("and",I2011)+3,1),20),"second(s)","")),0)</f>
        <v/>
      </c>
      <c r="K2011" s="41">
        <f>J2011/60</f>
        <v/>
      </c>
      <c r="L2011" s="41">
        <f>IFERROR(J2011/H2011,"")</f>
        <v/>
      </c>
      <c r="M2011" s="25" t="inlineStr">
        <is>
          <t>2.5.12</t>
        </is>
      </c>
      <c r="N2011" s="25">
        <f>IF(J2011&gt;300,1,0)</f>
        <v/>
      </c>
      <c r="O2011" s="25">
        <f>IF(J2011&gt;600,1,0)</f>
        <v/>
      </c>
      <c r="P2011" s="25">
        <f>IF(H2011&gt;0,J2011,"")</f>
        <v/>
      </c>
      <c r="Q2011" s="25">
        <f>TEXT(A2011,"YYYY-MM-DD HH")</f>
        <v/>
      </c>
      <c r="R2011" s="25">
        <f>COUNTIF($Q$2:$Q$5295,Q2011)</f>
        <v/>
      </c>
      <c r="S2011" s="25">
        <f>IF(R2011&lt;=2,"1-2",IF(R2011&lt;=5,"3-5",IF(R2011&lt;=10,"6-10","11+")))</f>
        <v/>
      </c>
    </row>
    <row r="2012">
      <c r="A2012" s="39" t="n">
        <v>46177.16002314815</v>
      </c>
      <c r="B2012" s="25">
        <f>TEXT(A2012,"YYYY-MM")</f>
        <v/>
      </c>
      <c r="C2012" s="25">
        <f>TEXT(A2012,"MMM-YYYY")</f>
        <v/>
      </c>
      <c r="D2012" s="40">
        <f>INT(A2012)-WEEKDAY(A2012,2)+1</f>
        <v/>
      </c>
      <c r="E2012" s="25" t="inlineStr">
        <is>
          <t>bverma</t>
        </is>
      </c>
      <c r="F2012" s="25" t="n">
        <v>123204</v>
      </c>
      <c r="G2012" s="25" t="n">
        <v>1</v>
      </c>
      <c r="H2012" s="25" t="n">
        <v>5</v>
      </c>
      <c r="I2012" s="25" t="inlineStr">
        <is>
          <t>1 minute(s) and 3 second(s)</t>
        </is>
      </c>
      <c r="J2012" s="25">
        <f>IFERROR(VALUE(TRIM(LEFT(I2012,FIND("minute",I2012)-1)))*60,0)+IFERROR(VALUE(SUBSTITUTE(MID(I2012,IFERROR(FIND("and",I2012)+3,1),20),"second(s)","")),0)</f>
        <v/>
      </c>
      <c r="K2012" s="41">
        <f>J2012/60</f>
        <v/>
      </c>
      <c r="L2012" s="41">
        <f>IFERROR(J2012/H2012,"")</f>
        <v/>
      </c>
      <c r="M2012" s="25" t="inlineStr">
        <is>
          <t>2.5.12</t>
        </is>
      </c>
      <c r="N2012" s="25">
        <f>IF(J2012&gt;300,1,0)</f>
        <v/>
      </c>
      <c r="O2012" s="25">
        <f>IF(J2012&gt;600,1,0)</f>
        <v/>
      </c>
      <c r="P2012" s="25">
        <f>IF(H2012&gt;0,J2012,"")</f>
        <v/>
      </c>
      <c r="Q2012" s="25">
        <f>TEXT(A2012,"YYYY-MM-DD HH")</f>
        <v/>
      </c>
      <c r="R2012" s="25">
        <f>COUNTIF($Q$2:$Q$5295,Q2012)</f>
        <v/>
      </c>
      <c r="S2012" s="25">
        <f>IF(R2012&lt;=2,"1-2",IF(R2012&lt;=5,"3-5",IF(R2012&lt;=10,"6-10","11+")))</f>
        <v/>
      </c>
    </row>
    <row r="2013">
      <c r="A2013" s="39" t="n">
        <v>46177.16276620371</v>
      </c>
      <c r="B2013" s="25">
        <f>TEXT(A2013,"YYYY-MM")</f>
        <v/>
      </c>
      <c r="C2013" s="25">
        <f>TEXT(A2013,"MMM-YYYY")</f>
        <v/>
      </c>
      <c r="D2013" s="40">
        <f>INT(A2013)-WEEKDAY(A2013,2)+1</f>
        <v/>
      </c>
      <c r="E2013" s="25" t="inlineStr">
        <is>
          <t>ssarkar</t>
        </is>
      </c>
      <c r="F2013" s="25" t="n">
        <v>124136</v>
      </c>
      <c r="G2013" s="25" t="n">
        <v>4</v>
      </c>
      <c r="H2013" s="25" t="n">
        <v>23</v>
      </c>
      <c r="I2013" s="25" t="inlineStr">
        <is>
          <t>6 minute(s) and 24 second(s)</t>
        </is>
      </c>
      <c r="J2013" s="25">
        <f>IFERROR(VALUE(TRIM(LEFT(I2013,FIND("minute",I2013)-1)))*60,0)+IFERROR(VALUE(SUBSTITUTE(MID(I2013,IFERROR(FIND("and",I2013)+3,1),20),"second(s)","")),0)</f>
        <v/>
      </c>
      <c r="K2013" s="41">
        <f>J2013/60</f>
        <v/>
      </c>
      <c r="L2013" s="41">
        <f>IFERROR(J2013/H2013,"")</f>
        <v/>
      </c>
      <c r="M2013" s="25" t="inlineStr">
        <is>
          <t>2.5.12</t>
        </is>
      </c>
      <c r="N2013" s="25">
        <f>IF(J2013&gt;300,1,0)</f>
        <v/>
      </c>
      <c r="O2013" s="25">
        <f>IF(J2013&gt;600,1,0)</f>
        <v/>
      </c>
      <c r="P2013" s="25">
        <f>IF(H2013&gt;0,J2013,"")</f>
        <v/>
      </c>
      <c r="Q2013" s="25">
        <f>TEXT(A2013,"YYYY-MM-DD HH")</f>
        <v/>
      </c>
      <c r="R2013" s="25">
        <f>COUNTIF($Q$2:$Q$5295,Q2013)</f>
        <v/>
      </c>
      <c r="S2013" s="25">
        <f>IF(R2013&lt;=2,"1-2",IF(R2013&lt;=5,"3-5",IF(R2013&lt;=10,"6-10","11+")))</f>
        <v/>
      </c>
    </row>
    <row r="2014">
      <c r="A2014" s="39" t="n">
        <v>46177.16699074074</v>
      </c>
      <c r="B2014" s="25">
        <f>TEXT(A2014,"YYYY-MM")</f>
        <v/>
      </c>
      <c r="C2014" s="25">
        <f>TEXT(A2014,"MMM-YYYY")</f>
        <v/>
      </c>
      <c r="D2014" s="40">
        <f>INT(A2014)-WEEKDAY(A2014,2)+1</f>
        <v/>
      </c>
      <c r="E2014" s="25" t="inlineStr">
        <is>
          <t>smukhopadhyay</t>
        </is>
      </c>
      <c r="F2014" s="25" t="n">
        <v>122419</v>
      </c>
      <c r="G2014" s="25" t="n">
        <v>4</v>
      </c>
      <c r="H2014" s="25" t="n">
        <v>26</v>
      </c>
      <c r="I2014" s="25" t="inlineStr">
        <is>
          <t>9 minute(s) and 16 second(s)</t>
        </is>
      </c>
      <c r="J2014" s="25">
        <f>IFERROR(VALUE(TRIM(LEFT(I2014,FIND("minute",I2014)-1)))*60,0)+IFERROR(VALUE(SUBSTITUTE(MID(I2014,IFERROR(FIND("and",I2014)+3,1),20),"second(s)","")),0)</f>
        <v/>
      </c>
      <c r="K2014" s="41">
        <f>J2014/60</f>
        <v/>
      </c>
      <c r="L2014" s="41">
        <f>IFERROR(J2014/H2014,"")</f>
        <v/>
      </c>
      <c r="M2014" s="25" t="inlineStr">
        <is>
          <t>2.5.12</t>
        </is>
      </c>
      <c r="N2014" s="25">
        <f>IF(J2014&gt;300,1,0)</f>
        <v/>
      </c>
      <c r="O2014" s="25">
        <f>IF(J2014&gt;600,1,0)</f>
        <v/>
      </c>
      <c r="P2014" s="25">
        <f>IF(H2014&gt;0,J2014,"")</f>
        <v/>
      </c>
      <c r="Q2014" s="25">
        <f>TEXT(A2014,"YYYY-MM-DD HH")</f>
        <v/>
      </c>
      <c r="R2014" s="25">
        <f>COUNTIF($Q$2:$Q$5295,Q2014)</f>
        <v/>
      </c>
      <c r="S2014" s="25">
        <f>IF(R2014&lt;=2,"1-2",IF(R2014&lt;=5,"3-5",IF(R2014&lt;=10,"6-10","11+")))</f>
        <v/>
      </c>
    </row>
    <row r="2015">
      <c r="A2015" s="39" t="n">
        <v>46177.17354166666</v>
      </c>
      <c r="B2015" s="25">
        <f>TEXT(A2015,"YYYY-MM")</f>
        <v/>
      </c>
      <c r="C2015" s="25">
        <f>TEXT(A2015,"MMM-YYYY")</f>
        <v/>
      </c>
      <c r="D2015" s="40">
        <f>INT(A2015)-WEEKDAY(A2015,2)+1</f>
        <v/>
      </c>
      <c r="E2015" s="25" t="inlineStr">
        <is>
          <t>ssrinivasan</t>
        </is>
      </c>
      <c r="F2015" s="25" t="n">
        <v>126034</v>
      </c>
      <c r="G2015" s="25" t="n">
        <v>4</v>
      </c>
      <c r="H2015" s="25" t="n">
        <v>28</v>
      </c>
      <c r="I2015" s="25" t="inlineStr">
        <is>
          <t>9 minute(s) and 40 second(s)</t>
        </is>
      </c>
      <c r="J2015" s="25">
        <f>IFERROR(VALUE(TRIM(LEFT(I2015,FIND("minute",I2015)-1)))*60,0)+IFERROR(VALUE(SUBSTITUTE(MID(I2015,IFERROR(FIND("and",I2015)+3,1),20),"second(s)","")),0)</f>
        <v/>
      </c>
      <c r="K2015" s="41">
        <f>J2015/60</f>
        <v/>
      </c>
      <c r="L2015" s="41">
        <f>IFERROR(J2015/H2015,"")</f>
        <v/>
      </c>
      <c r="M2015" s="25" t="inlineStr">
        <is>
          <t>2.5.12</t>
        </is>
      </c>
      <c r="N2015" s="25">
        <f>IF(J2015&gt;300,1,0)</f>
        <v/>
      </c>
      <c r="O2015" s="25">
        <f>IF(J2015&gt;600,1,0)</f>
        <v/>
      </c>
      <c r="P2015" s="25">
        <f>IF(H2015&gt;0,J2015,"")</f>
        <v/>
      </c>
      <c r="Q2015" s="25">
        <f>TEXT(A2015,"YYYY-MM-DD HH")</f>
        <v/>
      </c>
      <c r="R2015" s="25">
        <f>COUNTIF($Q$2:$Q$5295,Q2015)</f>
        <v/>
      </c>
      <c r="S2015" s="25">
        <f>IF(R2015&lt;=2,"1-2",IF(R2015&lt;=5,"3-5",IF(R2015&lt;=10,"6-10","11+")))</f>
        <v/>
      </c>
    </row>
    <row r="2016">
      <c r="A2016" s="39" t="n">
        <v>46177.17488425926</v>
      </c>
      <c r="B2016" s="25">
        <f>TEXT(A2016,"YYYY-MM")</f>
        <v/>
      </c>
      <c r="C2016" s="25">
        <f>TEXT(A2016,"MMM-YYYY")</f>
        <v/>
      </c>
      <c r="D2016" s="40">
        <f>INT(A2016)-WEEKDAY(A2016,2)+1</f>
        <v/>
      </c>
      <c r="E2016" s="25" t="inlineStr">
        <is>
          <t>apriyadarshi</t>
        </is>
      </c>
      <c r="F2016" s="25" t="n">
        <v>122937</v>
      </c>
      <c r="G2016" s="25" t="n">
        <v>2</v>
      </c>
      <c r="H2016" s="25" t="n">
        <v>6</v>
      </c>
      <c r="I2016" s="25" t="inlineStr">
        <is>
          <t>1 minute(s) and 50 second(s)</t>
        </is>
      </c>
      <c r="J2016" s="25">
        <f>IFERROR(VALUE(TRIM(LEFT(I2016,FIND("minute",I2016)-1)))*60,0)+IFERROR(VALUE(SUBSTITUTE(MID(I2016,IFERROR(FIND("and",I2016)+3,1),20),"second(s)","")),0)</f>
        <v/>
      </c>
      <c r="K2016" s="41">
        <f>J2016/60</f>
        <v/>
      </c>
      <c r="L2016" s="41">
        <f>IFERROR(J2016/H2016,"")</f>
        <v/>
      </c>
      <c r="M2016" s="25" t="inlineStr">
        <is>
          <t>2.5.12</t>
        </is>
      </c>
      <c r="N2016" s="25">
        <f>IF(J2016&gt;300,1,0)</f>
        <v/>
      </c>
      <c r="O2016" s="25">
        <f>IF(J2016&gt;600,1,0)</f>
        <v/>
      </c>
      <c r="P2016" s="25">
        <f>IF(H2016&gt;0,J2016,"")</f>
        <v/>
      </c>
      <c r="Q2016" s="25">
        <f>TEXT(A2016,"YYYY-MM-DD HH")</f>
        <v/>
      </c>
      <c r="R2016" s="25">
        <f>COUNTIF($Q$2:$Q$5295,Q2016)</f>
        <v/>
      </c>
      <c r="S2016" s="25">
        <f>IF(R2016&lt;=2,"1-2",IF(R2016&lt;=5,"3-5",IF(R2016&lt;=10,"6-10","11+")))</f>
        <v/>
      </c>
    </row>
    <row r="2017">
      <c r="A2017" s="39" t="n">
        <v>46177.17538194444</v>
      </c>
      <c r="B2017" s="25">
        <f>TEXT(A2017,"YYYY-MM")</f>
        <v/>
      </c>
      <c r="C2017" s="25">
        <f>TEXT(A2017,"MMM-YYYY")</f>
        <v/>
      </c>
      <c r="D2017" s="40">
        <f>INT(A2017)-WEEKDAY(A2017,2)+1</f>
        <v/>
      </c>
      <c r="E2017" s="25" t="inlineStr">
        <is>
          <t>ns</t>
        </is>
      </c>
      <c r="F2017" s="25" t="n">
        <v>121693</v>
      </c>
      <c r="G2017" s="25" t="n">
        <v>1</v>
      </c>
      <c r="H2017" s="25" t="n">
        <v>5</v>
      </c>
      <c r="I2017" s="25" t="inlineStr">
        <is>
          <t>1 minute(s) and 7 second(s)</t>
        </is>
      </c>
      <c r="J2017" s="25">
        <f>IFERROR(VALUE(TRIM(LEFT(I2017,FIND("minute",I2017)-1)))*60,0)+IFERROR(VALUE(SUBSTITUTE(MID(I2017,IFERROR(FIND("and",I2017)+3,1),20),"second(s)","")),0)</f>
        <v/>
      </c>
      <c r="K2017" s="41">
        <f>J2017/60</f>
        <v/>
      </c>
      <c r="L2017" s="41">
        <f>IFERROR(J2017/H2017,"")</f>
        <v/>
      </c>
      <c r="M2017" s="25" t="inlineStr">
        <is>
          <t>2.5.12</t>
        </is>
      </c>
      <c r="N2017" s="25">
        <f>IF(J2017&gt;300,1,0)</f>
        <v/>
      </c>
      <c r="O2017" s="25">
        <f>IF(J2017&gt;600,1,0)</f>
        <v/>
      </c>
      <c r="P2017" s="25">
        <f>IF(H2017&gt;0,J2017,"")</f>
        <v/>
      </c>
      <c r="Q2017" s="25">
        <f>TEXT(A2017,"YYYY-MM-DD HH")</f>
        <v/>
      </c>
      <c r="R2017" s="25">
        <f>COUNTIF($Q$2:$Q$5295,Q2017)</f>
        <v/>
      </c>
      <c r="S2017" s="25">
        <f>IF(R2017&lt;=2,"1-2",IF(R2017&lt;=5,"3-5",IF(R2017&lt;=10,"6-10","11+")))</f>
        <v/>
      </c>
    </row>
    <row r="2018">
      <c r="A2018" s="39" t="n">
        <v>46177.17982638889</v>
      </c>
      <c r="B2018" s="25">
        <f>TEXT(A2018,"YYYY-MM")</f>
        <v/>
      </c>
      <c r="C2018" s="25">
        <f>TEXT(A2018,"MMM-YYYY")</f>
        <v/>
      </c>
      <c r="D2018" s="40">
        <f>INT(A2018)-WEEKDAY(A2018,2)+1</f>
        <v/>
      </c>
      <c r="E2018" s="25" t="inlineStr">
        <is>
          <t>rts</t>
        </is>
      </c>
      <c r="F2018" s="25" t="n">
        <v>123856</v>
      </c>
      <c r="G2018" s="25" t="n">
        <v>1</v>
      </c>
      <c r="H2018" s="25" t="n">
        <v>5</v>
      </c>
      <c r="I2018" s="25" t="inlineStr">
        <is>
          <t>2 minute(s) and 27 second(s)</t>
        </is>
      </c>
      <c r="J2018" s="25">
        <f>IFERROR(VALUE(TRIM(LEFT(I2018,FIND("minute",I2018)-1)))*60,0)+IFERROR(VALUE(SUBSTITUTE(MID(I2018,IFERROR(FIND("and",I2018)+3,1),20),"second(s)","")),0)</f>
        <v/>
      </c>
      <c r="K2018" s="41">
        <f>J2018/60</f>
        <v/>
      </c>
      <c r="L2018" s="41">
        <f>IFERROR(J2018/H2018,"")</f>
        <v/>
      </c>
      <c r="M2018" s="25" t="inlineStr">
        <is>
          <t>2.5.12</t>
        </is>
      </c>
      <c r="N2018" s="25">
        <f>IF(J2018&gt;300,1,0)</f>
        <v/>
      </c>
      <c r="O2018" s="25">
        <f>IF(J2018&gt;600,1,0)</f>
        <v/>
      </c>
      <c r="P2018" s="25">
        <f>IF(H2018&gt;0,J2018,"")</f>
        <v/>
      </c>
      <c r="Q2018" s="25">
        <f>TEXT(A2018,"YYYY-MM-DD HH")</f>
        <v/>
      </c>
      <c r="R2018" s="25">
        <f>COUNTIF($Q$2:$Q$5295,Q2018)</f>
        <v/>
      </c>
      <c r="S2018" s="25">
        <f>IF(R2018&lt;=2,"1-2",IF(R2018&lt;=5,"3-5",IF(R2018&lt;=10,"6-10","11+")))</f>
        <v/>
      </c>
    </row>
    <row r="2019">
      <c r="A2019" s="39" t="n">
        <v>46177.18186342593</v>
      </c>
      <c r="B2019" s="25">
        <f>TEXT(A2019,"YYYY-MM")</f>
        <v/>
      </c>
      <c r="C2019" s="25">
        <f>TEXT(A2019,"MMM-YYYY")</f>
        <v/>
      </c>
      <c r="D2019" s="40">
        <f>INT(A2019)-WEEKDAY(A2019,2)+1</f>
        <v/>
      </c>
      <c r="E2019" s="25" t="inlineStr">
        <is>
          <t>stiwari</t>
        </is>
      </c>
      <c r="F2019" s="25" t="n">
        <v>125092</v>
      </c>
      <c r="G2019" s="25" t="n">
        <v>1</v>
      </c>
      <c r="H2019" s="25" t="n">
        <v>8</v>
      </c>
      <c r="I2019" s="25" t="inlineStr">
        <is>
          <t>1 minute(s) and 35 second(s)</t>
        </is>
      </c>
      <c r="J2019" s="25">
        <f>IFERROR(VALUE(TRIM(LEFT(I2019,FIND("minute",I2019)-1)))*60,0)+IFERROR(VALUE(SUBSTITUTE(MID(I2019,IFERROR(FIND("and",I2019)+3,1),20),"second(s)","")),0)</f>
        <v/>
      </c>
      <c r="K2019" s="41">
        <f>J2019/60</f>
        <v/>
      </c>
      <c r="L2019" s="41">
        <f>IFERROR(J2019/H2019,"")</f>
        <v/>
      </c>
      <c r="M2019" s="25" t="inlineStr">
        <is>
          <t>2.5.12</t>
        </is>
      </c>
      <c r="N2019" s="25">
        <f>IF(J2019&gt;300,1,0)</f>
        <v/>
      </c>
      <c r="O2019" s="25">
        <f>IF(J2019&gt;600,1,0)</f>
        <v/>
      </c>
      <c r="P2019" s="25">
        <f>IF(H2019&gt;0,J2019,"")</f>
        <v/>
      </c>
      <c r="Q2019" s="25">
        <f>TEXT(A2019,"YYYY-MM-DD HH")</f>
        <v/>
      </c>
      <c r="R2019" s="25">
        <f>COUNTIF($Q$2:$Q$5295,Q2019)</f>
        <v/>
      </c>
      <c r="S2019" s="25">
        <f>IF(R2019&lt;=2,"1-2",IF(R2019&lt;=5,"3-5",IF(R2019&lt;=10,"6-10","11+")))</f>
        <v/>
      </c>
    </row>
    <row r="2020">
      <c r="A2020" s="39" t="n">
        <v>46177.18414351852</v>
      </c>
      <c r="B2020" s="25">
        <f>TEXT(A2020,"YYYY-MM")</f>
        <v/>
      </c>
      <c r="C2020" s="25">
        <f>TEXT(A2020,"MMM-YYYY")</f>
        <v/>
      </c>
      <c r="D2020" s="40">
        <f>INT(A2020)-WEEKDAY(A2020,2)+1</f>
        <v/>
      </c>
      <c r="E2020" s="25" t="inlineStr">
        <is>
          <t>schoppakatla</t>
        </is>
      </c>
      <c r="F2020" s="25" t="n">
        <v>124671</v>
      </c>
      <c r="G2020" s="25" t="n">
        <v>5</v>
      </c>
      <c r="H2020" s="25" t="n">
        <v>17</v>
      </c>
      <c r="I2020" s="25" t="inlineStr">
        <is>
          <t>3 minute(s) and 43 second(s)</t>
        </is>
      </c>
      <c r="J2020" s="25">
        <f>IFERROR(VALUE(TRIM(LEFT(I2020,FIND("minute",I2020)-1)))*60,0)+IFERROR(VALUE(SUBSTITUTE(MID(I2020,IFERROR(FIND("and",I2020)+3,1),20),"second(s)","")),0)</f>
        <v/>
      </c>
      <c r="K2020" s="41">
        <f>J2020/60</f>
        <v/>
      </c>
      <c r="L2020" s="41">
        <f>IFERROR(J2020/H2020,"")</f>
        <v/>
      </c>
      <c r="M2020" s="25" t="inlineStr">
        <is>
          <t>2.5.12</t>
        </is>
      </c>
      <c r="N2020" s="25">
        <f>IF(J2020&gt;300,1,0)</f>
        <v/>
      </c>
      <c r="O2020" s="25">
        <f>IF(J2020&gt;600,1,0)</f>
        <v/>
      </c>
      <c r="P2020" s="25">
        <f>IF(H2020&gt;0,J2020,"")</f>
        <v/>
      </c>
      <c r="Q2020" s="25">
        <f>TEXT(A2020,"YYYY-MM-DD HH")</f>
        <v/>
      </c>
      <c r="R2020" s="25">
        <f>COUNTIF($Q$2:$Q$5295,Q2020)</f>
        <v/>
      </c>
      <c r="S2020" s="25">
        <f>IF(R2020&lt;=2,"1-2",IF(R2020&lt;=5,"3-5",IF(R2020&lt;=10,"6-10","11+")))</f>
        <v/>
      </c>
    </row>
    <row r="2021">
      <c r="A2021" s="39" t="n">
        <v>46177.18791666667</v>
      </c>
      <c r="B2021" s="25">
        <f>TEXT(A2021,"YYYY-MM")</f>
        <v/>
      </c>
      <c r="C2021" s="25">
        <f>TEXT(A2021,"MMM-YYYY")</f>
        <v/>
      </c>
      <c r="D2021" s="40">
        <f>INT(A2021)-WEEKDAY(A2021,2)+1</f>
        <v/>
      </c>
      <c r="E2021" s="25" t="inlineStr">
        <is>
          <t>hsindwani</t>
        </is>
      </c>
      <c r="F2021" s="25" t="n">
        <v>125734</v>
      </c>
      <c r="G2021" s="25" t="n">
        <v>4</v>
      </c>
      <c r="H2021" s="25" t="n">
        <v>28</v>
      </c>
      <c r="I2021" s="25" t="inlineStr">
        <is>
          <t>28 minute(s) and 47 second(s)</t>
        </is>
      </c>
      <c r="J2021" s="25">
        <f>IFERROR(VALUE(TRIM(LEFT(I2021,FIND("minute",I2021)-1)))*60,0)+IFERROR(VALUE(SUBSTITUTE(MID(I2021,IFERROR(FIND("and",I2021)+3,1),20),"second(s)","")),0)</f>
        <v/>
      </c>
      <c r="K2021" s="41">
        <f>J2021/60</f>
        <v/>
      </c>
      <c r="L2021" s="41">
        <f>IFERROR(J2021/H2021,"")</f>
        <v/>
      </c>
      <c r="M2021" s="25" t="inlineStr">
        <is>
          <t>2.5.12</t>
        </is>
      </c>
      <c r="N2021" s="25">
        <f>IF(J2021&gt;300,1,0)</f>
        <v/>
      </c>
      <c r="O2021" s="25">
        <f>IF(J2021&gt;600,1,0)</f>
        <v/>
      </c>
      <c r="P2021" s="25">
        <f>IF(H2021&gt;0,J2021,"")</f>
        <v/>
      </c>
      <c r="Q2021" s="25">
        <f>TEXT(A2021,"YYYY-MM-DD HH")</f>
        <v/>
      </c>
      <c r="R2021" s="25">
        <f>COUNTIF($Q$2:$Q$5295,Q2021)</f>
        <v/>
      </c>
      <c r="S2021" s="25">
        <f>IF(R2021&lt;=2,"1-2",IF(R2021&lt;=5,"3-5",IF(R2021&lt;=10,"6-10","11+")))</f>
        <v/>
      </c>
    </row>
    <row r="2022">
      <c r="A2022" s="39" t="n">
        <v>46177.18881944445</v>
      </c>
      <c r="B2022" s="25">
        <f>TEXT(A2022,"YYYY-MM")</f>
        <v/>
      </c>
      <c r="C2022" s="25">
        <f>TEXT(A2022,"MMM-YYYY")</f>
        <v/>
      </c>
      <c r="D2022" s="40">
        <f>INT(A2022)-WEEKDAY(A2022,2)+1</f>
        <v/>
      </c>
      <c r="E2022" s="25" t="inlineStr">
        <is>
          <t>taggarwal</t>
        </is>
      </c>
      <c r="F2022" s="25" t="n">
        <v>123105</v>
      </c>
      <c r="G2022" s="25" t="n">
        <v>2</v>
      </c>
      <c r="H2022" s="25" t="n">
        <v>12</v>
      </c>
      <c r="I2022" s="25" t="inlineStr">
        <is>
          <t>2 minute(s) and 59 second(s)</t>
        </is>
      </c>
      <c r="J2022" s="25">
        <f>IFERROR(VALUE(TRIM(LEFT(I2022,FIND("minute",I2022)-1)))*60,0)+IFERROR(VALUE(SUBSTITUTE(MID(I2022,IFERROR(FIND("and",I2022)+3,1),20),"second(s)","")),0)</f>
        <v/>
      </c>
      <c r="K2022" s="41">
        <f>J2022/60</f>
        <v/>
      </c>
      <c r="L2022" s="41">
        <f>IFERROR(J2022/H2022,"")</f>
        <v/>
      </c>
      <c r="M2022" s="25" t="inlineStr">
        <is>
          <t>2.5.12</t>
        </is>
      </c>
      <c r="N2022" s="25">
        <f>IF(J2022&gt;300,1,0)</f>
        <v/>
      </c>
      <c r="O2022" s="25">
        <f>IF(J2022&gt;600,1,0)</f>
        <v/>
      </c>
      <c r="P2022" s="25">
        <f>IF(H2022&gt;0,J2022,"")</f>
        <v/>
      </c>
      <c r="Q2022" s="25">
        <f>TEXT(A2022,"YYYY-MM-DD HH")</f>
        <v/>
      </c>
      <c r="R2022" s="25">
        <f>COUNTIF($Q$2:$Q$5295,Q2022)</f>
        <v/>
      </c>
      <c r="S2022" s="25">
        <f>IF(R2022&lt;=2,"1-2",IF(R2022&lt;=5,"3-5",IF(R2022&lt;=10,"6-10","11+")))</f>
        <v/>
      </c>
    </row>
    <row r="2023">
      <c r="A2023" s="39" t="n">
        <v>46177.20638888889</v>
      </c>
      <c r="B2023" s="25">
        <f>TEXT(A2023,"YYYY-MM")</f>
        <v/>
      </c>
      <c r="C2023" s="25">
        <f>TEXT(A2023,"MMM-YYYY")</f>
        <v/>
      </c>
      <c r="D2023" s="40">
        <f>INT(A2023)-WEEKDAY(A2023,2)+1</f>
        <v/>
      </c>
      <c r="E2023" s="25" t="inlineStr">
        <is>
          <t>csaha</t>
        </is>
      </c>
      <c r="F2023" s="25" t="n">
        <v>122657</v>
      </c>
      <c r="G2023" s="25" t="n">
        <v>3</v>
      </c>
      <c r="H2023" s="25" t="n">
        <v>13</v>
      </c>
      <c r="I2023" s="25" t="inlineStr">
        <is>
          <t>4 minute(s) and 25 second(s)</t>
        </is>
      </c>
      <c r="J2023" s="25">
        <f>IFERROR(VALUE(TRIM(LEFT(I2023,FIND("minute",I2023)-1)))*60,0)+IFERROR(VALUE(SUBSTITUTE(MID(I2023,IFERROR(FIND("and",I2023)+3,1),20),"second(s)","")),0)</f>
        <v/>
      </c>
      <c r="K2023" s="41">
        <f>J2023/60</f>
        <v/>
      </c>
      <c r="L2023" s="41">
        <f>IFERROR(J2023/H2023,"")</f>
        <v/>
      </c>
      <c r="M2023" s="25" t="inlineStr">
        <is>
          <t>2.5.12</t>
        </is>
      </c>
      <c r="N2023" s="25">
        <f>IF(J2023&gt;300,1,0)</f>
        <v/>
      </c>
      <c r="O2023" s="25">
        <f>IF(J2023&gt;600,1,0)</f>
        <v/>
      </c>
      <c r="P2023" s="25">
        <f>IF(H2023&gt;0,J2023,"")</f>
        <v/>
      </c>
      <c r="Q2023" s="25">
        <f>TEXT(A2023,"YYYY-MM-DD HH")</f>
        <v/>
      </c>
      <c r="R2023" s="25">
        <f>COUNTIF($Q$2:$Q$5295,Q2023)</f>
        <v/>
      </c>
      <c r="S2023" s="25">
        <f>IF(R2023&lt;=2,"1-2",IF(R2023&lt;=5,"3-5",IF(R2023&lt;=10,"6-10","11+")))</f>
        <v/>
      </c>
    </row>
    <row r="2024">
      <c r="A2024" s="39" t="n">
        <v>46177.2294675926</v>
      </c>
      <c r="B2024" s="25">
        <f>TEXT(A2024,"YYYY-MM")</f>
        <v/>
      </c>
      <c r="C2024" s="25">
        <f>TEXT(A2024,"MMM-YYYY")</f>
        <v/>
      </c>
      <c r="D2024" s="40">
        <f>INT(A2024)-WEEKDAY(A2024,2)+1</f>
        <v/>
      </c>
      <c r="E2024" s="25" t="inlineStr">
        <is>
          <t>taggarwal</t>
        </is>
      </c>
      <c r="F2024" s="25" t="n">
        <v>123303</v>
      </c>
      <c r="G2024" s="25" t="n">
        <v>2</v>
      </c>
      <c r="H2024" s="25" t="n">
        <v>14</v>
      </c>
      <c r="I2024" s="25" t="inlineStr">
        <is>
          <t>4 minute(s) and 35 second(s)</t>
        </is>
      </c>
      <c r="J2024" s="25">
        <f>IFERROR(VALUE(TRIM(LEFT(I2024,FIND("minute",I2024)-1)))*60,0)+IFERROR(VALUE(SUBSTITUTE(MID(I2024,IFERROR(FIND("and",I2024)+3,1),20),"second(s)","")),0)</f>
        <v/>
      </c>
      <c r="K2024" s="41">
        <f>J2024/60</f>
        <v/>
      </c>
      <c r="L2024" s="41">
        <f>IFERROR(J2024/H2024,"")</f>
        <v/>
      </c>
      <c r="M2024" s="25" t="inlineStr">
        <is>
          <t>2.5.12</t>
        </is>
      </c>
      <c r="N2024" s="25">
        <f>IF(J2024&gt;300,1,0)</f>
        <v/>
      </c>
      <c r="O2024" s="25">
        <f>IF(J2024&gt;600,1,0)</f>
        <v/>
      </c>
      <c r="P2024" s="25">
        <f>IF(H2024&gt;0,J2024,"")</f>
        <v/>
      </c>
      <c r="Q2024" s="25">
        <f>TEXT(A2024,"YYYY-MM-DD HH")</f>
        <v/>
      </c>
      <c r="R2024" s="25">
        <f>COUNTIF($Q$2:$Q$5295,Q2024)</f>
        <v/>
      </c>
      <c r="S2024" s="25">
        <f>IF(R2024&lt;=2,"1-2",IF(R2024&lt;=5,"3-5",IF(R2024&lt;=10,"6-10","11+")))</f>
        <v/>
      </c>
    </row>
    <row r="2025">
      <c r="A2025" s="39" t="n">
        <v>46177.25414351852</v>
      </c>
      <c r="B2025" s="25">
        <f>TEXT(A2025,"YYYY-MM")</f>
        <v/>
      </c>
      <c r="C2025" s="25">
        <f>TEXT(A2025,"MMM-YYYY")</f>
        <v/>
      </c>
      <c r="D2025" s="40">
        <f>INT(A2025)-WEEKDAY(A2025,2)+1</f>
        <v/>
      </c>
      <c r="E2025" s="25" t="inlineStr">
        <is>
          <t>ns</t>
        </is>
      </c>
      <c r="F2025" s="25" t="n">
        <v>123332</v>
      </c>
      <c r="G2025" s="25" t="n">
        <v>1</v>
      </c>
      <c r="H2025" s="25" t="n">
        <v>7</v>
      </c>
      <c r="I2025" s="25" t="inlineStr">
        <is>
          <t>3 minute(s) and 3 second(s)</t>
        </is>
      </c>
      <c r="J2025" s="25">
        <f>IFERROR(VALUE(TRIM(LEFT(I2025,FIND("minute",I2025)-1)))*60,0)+IFERROR(VALUE(SUBSTITUTE(MID(I2025,IFERROR(FIND("and",I2025)+3,1),20),"second(s)","")),0)</f>
        <v/>
      </c>
      <c r="K2025" s="41">
        <f>J2025/60</f>
        <v/>
      </c>
      <c r="L2025" s="41">
        <f>IFERROR(J2025/H2025,"")</f>
        <v/>
      </c>
      <c r="M2025" s="25" t="inlineStr">
        <is>
          <t>2.5.12</t>
        </is>
      </c>
      <c r="N2025" s="25">
        <f>IF(J2025&gt;300,1,0)</f>
        <v/>
      </c>
      <c r="O2025" s="25">
        <f>IF(J2025&gt;600,1,0)</f>
        <v/>
      </c>
      <c r="P2025" s="25">
        <f>IF(H2025&gt;0,J2025,"")</f>
        <v/>
      </c>
      <c r="Q2025" s="25">
        <f>TEXT(A2025,"YYYY-MM-DD HH")</f>
        <v/>
      </c>
      <c r="R2025" s="25">
        <f>COUNTIF($Q$2:$Q$5295,Q2025)</f>
        <v/>
      </c>
      <c r="S2025" s="25">
        <f>IF(R2025&lt;=2,"1-2",IF(R2025&lt;=5,"3-5",IF(R2025&lt;=10,"6-10","11+")))</f>
        <v/>
      </c>
    </row>
    <row r="2026">
      <c r="A2026" s="39" t="n">
        <v>46177.25630787037</v>
      </c>
      <c r="B2026" s="25">
        <f>TEXT(A2026,"YYYY-MM")</f>
        <v/>
      </c>
      <c r="C2026" s="25">
        <f>TEXT(A2026,"MMM-YYYY")</f>
        <v/>
      </c>
      <c r="D2026" s="40">
        <f>INT(A2026)-WEEKDAY(A2026,2)+1</f>
        <v/>
      </c>
      <c r="E2026" s="25" t="inlineStr">
        <is>
          <t>atiwari</t>
        </is>
      </c>
      <c r="F2026" s="25" t="n">
        <v>124306</v>
      </c>
      <c r="G2026" s="25" t="n">
        <v>1</v>
      </c>
      <c r="H2026" s="25" t="n">
        <v>7</v>
      </c>
      <c r="I2026" s="25" t="inlineStr">
        <is>
          <t>1 minute(s) and 53 second(s)</t>
        </is>
      </c>
      <c r="J2026" s="25">
        <f>IFERROR(VALUE(TRIM(LEFT(I2026,FIND("minute",I2026)-1)))*60,0)+IFERROR(VALUE(SUBSTITUTE(MID(I2026,IFERROR(FIND("and",I2026)+3,1),20),"second(s)","")),0)</f>
        <v/>
      </c>
      <c r="K2026" s="41">
        <f>J2026/60</f>
        <v/>
      </c>
      <c r="L2026" s="41">
        <f>IFERROR(J2026/H2026,"")</f>
        <v/>
      </c>
      <c r="M2026" s="25" t="inlineStr">
        <is>
          <t>2.5.12</t>
        </is>
      </c>
      <c r="N2026" s="25">
        <f>IF(J2026&gt;300,1,0)</f>
        <v/>
      </c>
      <c r="O2026" s="25">
        <f>IF(J2026&gt;600,1,0)</f>
        <v/>
      </c>
      <c r="P2026" s="25">
        <f>IF(H2026&gt;0,J2026,"")</f>
        <v/>
      </c>
      <c r="Q2026" s="25">
        <f>TEXT(A2026,"YYYY-MM-DD HH")</f>
        <v/>
      </c>
      <c r="R2026" s="25">
        <f>COUNTIF($Q$2:$Q$5295,Q2026)</f>
        <v/>
      </c>
      <c r="S2026" s="25">
        <f>IF(R2026&lt;=2,"1-2",IF(R2026&lt;=5,"3-5",IF(R2026&lt;=10,"6-10","11+")))</f>
        <v/>
      </c>
    </row>
    <row r="2027">
      <c r="A2027" s="39" t="n">
        <v>46177.25921296296</v>
      </c>
      <c r="B2027" s="25">
        <f>TEXT(A2027,"YYYY-MM")</f>
        <v/>
      </c>
      <c r="C2027" s="25">
        <f>TEXT(A2027,"MMM-YYYY")</f>
        <v/>
      </c>
      <c r="D2027" s="40">
        <f>INT(A2027)-WEEKDAY(A2027,2)+1</f>
        <v/>
      </c>
      <c r="E2027" s="25" t="inlineStr">
        <is>
          <t>rts</t>
        </is>
      </c>
      <c r="F2027" s="25" t="n">
        <v>123448</v>
      </c>
      <c r="G2027" s="25" t="n">
        <v>1</v>
      </c>
      <c r="H2027" s="25" t="n">
        <v>5</v>
      </c>
      <c r="I2027" s="25" t="inlineStr">
        <is>
          <t>1 minute(s) and 30 second(s)</t>
        </is>
      </c>
      <c r="J2027" s="25">
        <f>IFERROR(VALUE(TRIM(LEFT(I2027,FIND("minute",I2027)-1)))*60,0)+IFERROR(VALUE(SUBSTITUTE(MID(I2027,IFERROR(FIND("and",I2027)+3,1),20),"second(s)","")),0)</f>
        <v/>
      </c>
      <c r="K2027" s="41">
        <f>J2027/60</f>
        <v/>
      </c>
      <c r="L2027" s="41">
        <f>IFERROR(J2027/H2027,"")</f>
        <v/>
      </c>
      <c r="M2027" s="25" t="inlineStr">
        <is>
          <t>2.5.12</t>
        </is>
      </c>
      <c r="N2027" s="25">
        <f>IF(J2027&gt;300,1,0)</f>
        <v/>
      </c>
      <c r="O2027" s="25">
        <f>IF(J2027&gt;600,1,0)</f>
        <v/>
      </c>
      <c r="P2027" s="25">
        <f>IF(H2027&gt;0,J2027,"")</f>
        <v/>
      </c>
      <c r="Q2027" s="25">
        <f>TEXT(A2027,"YYYY-MM-DD HH")</f>
        <v/>
      </c>
      <c r="R2027" s="25">
        <f>COUNTIF($Q$2:$Q$5295,Q2027)</f>
        <v/>
      </c>
      <c r="S2027" s="25">
        <f>IF(R2027&lt;=2,"1-2",IF(R2027&lt;=5,"3-5",IF(R2027&lt;=10,"6-10","11+")))</f>
        <v/>
      </c>
    </row>
    <row r="2028">
      <c r="A2028" s="39" t="n">
        <v>46177.27885416667</v>
      </c>
      <c r="B2028" s="25">
        <f>TEXT(A2028,"YYYY-MM")</f>
        <v/>
      </c>
      <c r="C2028" s="25">
        <f>TEXT(A2028,"MMM-YYYY")</f>
        <v/>
      </c>
      <c r="D2028" s="40">
        <f>INT(A2028)-WEEKDAY(A2028,2)+1</f>
        <v/>
      </c>
      <c r="E2028" s="25" t="inlineStr">
        <is>
          <t>apriyadarshi</t>
        </is>
      </c>
      <c r="F2028" s="25" t="n">
        <v>124594</v>
      </c>
      <c r="G2028" s="25" t="n">
        <v>2</v>
      </c>
      <c r="H2028" s="25" t="n">
        <v>8</v>
      </c>
      <c r="I2028" s="25" t="inlineStr">
        <is>
          <t>1 minute(s) and 45 second(s)</t>
        </is>
      </c>
      <c r="J2028" s="25">
        <f>IFERROR(VALUE(TRIM(LEFT(I2028,FIND("minute",I2028)-1)))*60,0)+IFERROR(VALUE(SUBSTITUTE(MID(I2028,IFERROR(FIND("and",I2028)+3,1),20),"second(s)","")),0)</f>
        <v/>
      </c>
      <c r="K2028" s="41">
        <f>J2028/60</f>
        <v/>
      </c>
      <c r="L2028" s="41">
        <f>IFERROR(J2028/H2028,"")</f>
        <v/>
      </c>
      <c r="M2028" s="25" t="inlineStr">
        <is>
          <t>2.5.12</t>
        </is>
      </c>
      <c r="N2028" s="25">
        <f>IF(J2028&gt;300,1,0)</f>
        <v/>
      </c>
      <c r="O2028" s="25">
        <f>IF(J2028&gt;600,1,0)</f>
        <v/>
      </c>
      <c r="P2028" s="25">
        <f>IF(H2028&gt;0,J2028,"")</f>
        <v/>
      </c>
      <c r="Q2028" s="25">
        <f>TEXT(A2028,"YYYY-MM-DD HH")</f>
        <v/>
      </c>
      <c r="R2028" s="25">
        <f>COUNTIF($Q$2:$Q$5295,Q2028)</f>
        <v/>
      </c>
      <c r="S2028" s="25">
        <f>IF(R2028&lt;=2,"1-2",IF(R2028&lt;=5,"3-5",IF(R2028&lt;=10,"6-10","11+")))</f>
        <v/>
      </c>
    </row>
    <row r="2029">
      <c r="A2029" s="39" t="n">
        <v>46177.28947916667</v>
      </c>
      <c r="B2029" s="25">
        <f>TEXT(A2029,"YYYY-MM")</f>
        <v/>
      </c>
      <c r="C2029" s="25">
        <f>TEXT(A2029,"MMM-YYYY")</f>
        <v/>
      </c>
      <c r="D2029" s="40">
        <f>INT(A2029)-WEEKDAY(A2029,2)+1</f>
        <v/>
      </c>
      <c r="E2029" s="25" t="inlineStr">
        <is>
          <t>taggarwal</t>
        </is>
      </c>
      <c r="F2029" s="25" t="n">
        <v>123452</v>
      </c>
      <c r="G2029" s="25" t="n">
        <v>3</v>
      </c>
      <c r="H2029" s="25" t="n">
        <v>17</v>
      </c>
      <c r="I2029" s="25" t="inlineStr">
        <is>
          <t>6 minute(s) and 9 second(s)</t>
        </is>
      </c>
      <c r="J2029" s="25">
        <f>IFERROR(VALUE(TRIM(LEFT(I2029,FIND("minute",I2029)-1)))*60,0)+IFERROR(VALUE(SUBSTITUTE(MID(I2029,IFERROR(FIND("and",I2029)+3,1),20),"second(s)","")),0)</f>
        <v/>
      </c>
      <c r="K2029" s="41">
        <f>J2029/60</f>
        <v/>
      </c>
      <c r="L2029" s="41">
        <f>IFERROR(J2029/H2029,"")</f>
        <v/>
      </c>
      <c r="M2029" s="25" t="inlineStr">
        <is>
          <t>2.5.12</t>
        </is>
      </c>
      <c r="N2029" s="25">
        <f>IF(J2029&gt;300,1,0)</f>
        <v/>
      </c>
      <c r="O2029" s="25">
        <f>IF(J2029&gt;600,1,0)</f>
        <v/>
      </c>
      <c r="P2029" s="25">
        <f>IF(H2029&gt;0,J2029,"")</f>
        <v/>
      </c>
      <c r="Q2029" s="25">
        <f>TEXT(A2029,"YYYY-MM-DD HH")</f>
        <v/>
      </c>
      <c r="R2029" s="25">
        <f>COUNTIF($Q$2:$Q$5295,Q2029)</f>
        <v/>
      </c>
      <c r="S2029" s="25">
        <f>IF(R2029&lt;=2,"1-2",IF(R2029&lt;=5,"3-5",IF(R2029&lt;=10,"6-10","11+")))</f>
        <v/>
      </c>
    </row>
    <row r="2030">
      <c r="A2030" s="39" t="n">
        <v>46177.29787037037</v>
      </c>
      <c r="B2030" s="25">
        <f>TEXT(A2030,"YYYY-MM")</f>
        <v/>
      </c>
      <c r="C2030" s="25">
        <f>TEXT(A2030,"MMM-YYYY")</f>
        <v/>
      </c>
      <c r="D2030" s="40">
        <f>INT(A2030)-WEEKDAY(A2030,2)+1</f>
        <v/>
      </c>
      <c r="E2030" s="25" t="inlineStr">
        <is>
          <t>pmehndiratta</t>
        </is>
      </c>
      <c r="F2030" s="25" t="n">
        <v>121664</v>
      </c>
      <c r="G2030" s="25" t="n">
        <v>4</v>
      </c>
      <c r="H2030" s="25" t="n">
        <v>23</v>
      </c>
      <c r="I2030" s="25" t="inlineStr">
        <is>
          <t>4 minute(s) and 40 second(s)</t>
        </is>
      </c>
      <c r="J2030" s="25">
        <f>IFERROR(VALUE(TRIM(LEFT(I2030,FIND("minute",I2030)-1)))*60,0)+IFERROR(VALUE(SUBSTITUTE(MID(I2030,IFERROR(FIND("and",I2030)+3,1),20),"second(s)","")),0)</f>
        <v/>
      </c>
      <c r="K2030" s="41">
        <f>J2030/60</f>
        <v/>
      </c>
      <c r="L2030" s="41">
        <f>IFERROR(J2030/H2030,"")</f>
        <v/>
      </c>
      <c r="M2030" s="25" t="inlineStr">
        <is>
          <t>2.5.12</t>
        </is>
      </c>
      <c r="N2030" s="25">
        <f>IF(J2030&gt;300,1,0)</f>
        <v/>
      </c>
      <c r="O2030" s="25">
        <f>IF(J2030&gt;600,1,0)</f>
        <v/>
      </c>
      <c r="P2030" s="25">
        <f>IF(H2030&gt;0,J2030,"")</f>
        <v/>
      </c>
      <c r="Q2030" s="25">
        <f>TEXT(A2030,"YYYY-MM-DD HH")</f>
        <v/>
      </c>
      <c r="R2030" s="25">
        <f>COUNTIF($Q$2:$Q$5295,Q2030)</f>
        <v/>
      </c>
      <c r="S2030" s="25">
        <f>IF(R2030&lt;=2,"1-2",IF(R2030&lt;=5,"3-5",IF(R2030&lt;=10,"6-10","11+")))</f>
        <v/>
      </c>
    </row>
    <row r="2031">
      <c r="A2031" s="39" t="n">
        <v>46177.30171296297</v>
      </c>
      <c r="B2031" s="25">
        <f>TEXT(A2031,"YYYY-MM")</f>
        <v/>
      </c>
      <c r="C2031" s="25">
        <f>TEXT(A2031,"MMM-YYYY")</f>
        <v/>
      </c>
      <c r="D2031" s="40">
        <f>INT(A2031)-WEEKDAY(A2031,2)+1</f>
        <v/>
      </c>
      <c r="E2031" s="25" t="inlineStr">
        <is>
          <t>csaha</t>
        </is>
      </c>
      <c r="F2031" s="25" t="n">
        <v>122663</v>
      </c>
      <c r="G2031" s="25" t="n">
        <v>6</v>
      </c>
      <c r="H2031" s="25" t="n">
        <v>18</v>
      </c>
      <c r="I2031" s="25" t="inlineStr">
        <is>
          <t>4 minute(s) and 59 second(s)</t>
        </is>
      </c>
      <c r="J2031" s="25">
        <f>IFERROR(VALUE(TRIM(LEFT(I2031,FIND("minute",I2031)-1)))*60,0)+IFERROR(VALUE(SUBSTITUTE(MID(I2031,IFERROR(FIND("and",I2031)+3,1),20),"second(s)","")),0)</f>
        <v/>
      </c>
      <c r="K2031" s="41">
        <f>J2031/60</f>
        <v/>
      </c>
      <c r="L2031" s="41">
        <f>IFERROR(J2031/H2031,"")</f>
        <v/>
      </c>
      <c r="M2031" s="25" t="inlineStr">
        <is>
          <t>2.5.12</t>
        </is>
      </c>
      <c r="N2031" s="25">
        <f>IF(J2031&gt;300,1,0)</f>
        <v/>
      </c>
      <c r="O2031" s="25">
        <f>IF(J2031&gt;600,1,0)</f>
        <v/>
      </c>
      <c r="P2031" s="25">
        <f>IF(H2031&gt;0,J2031,"")</f>
        <v/>
      </c>
      <c r="Q2031" s="25">
        <f>TEXT(A2031,"YYYY-MM-DD HH")</f>
        <v/>
      </c>
      <c r="R2031" s="25">
        <f>COUNTIF($Q$2:$Q$5295,Q2031)</f>
        <v/>
      </c>
      <c r="S2031" s="25">
        <f>IF(R2031&lt;=2,"1-2",IF(R2031&lt;=5,"3-5",IF(R2031&lt;=10,"6-10","11+")))</f>
        <v/>
      </c>
    </row>
    <row r="2032">
      <c r="A2032" s="39" t="n">
        <v>46177.31157407408</v>
      </c>
      <c r="B2032" s="25">
        <f>TEXT(A2032,"YYYY-MM")</f>
        <v/>
      </c>
      <c r="C2032" s="25">
        <f>TEXT(A2032,"MMM-YYYY")</f>
        <v/>
      </c>
      <c r="D2032" s="40">
        <f>INT(A2032)-WEEKDAY(A2032,2)+1</f>
        <v/>
      </c>
      <c r="E2032" s="25" t="inlineStr">
        <is>
          <t>schoppakatla</t>
        </is>
      </c>
      <c r="F2032" s="25" t="n">
        <v>122489</v>
      </c>
      <c r="G2032" s="25" t="n">
        <v>1</v>
      </c>
      <c r="H2032" s="25" t="n">
        <v>5</v>
      </c>
      <c r="I2032" s="25" t="inlineStr">
        <is>
          <t>58 second(s)</t>
        </is>
      </c>
      <c r="J2032" s="25">
        <f>IFERROR(VALUE(TRIM(LEFT(I2032,FIND("minute",I2032)-1)))*60,0)+IFERROR(VALUE(SUBSTITUTE(MID(I2032,IFERROR(FIND("and",I2032)+3,1),20),"second(s)","")),0)</f>
        <v/>
      </c>
      <c r="K2032" s="41">
        <f>J2032/60</f>
        <v/>
      </c>
      <c r="L2032" s="41">
        <f>IFERROR(J2032/H2032,"")</f>
        <v/>
      </c>
      <c r="M2032" s="25" t="inlineStr">
        <is>
          <t>2.5.12</t>
        </is>
      </c>
      <c r="N2032" s="25">
        <f>IF(J2032&gt;300,1,0)</f>
        <v/>
      </c>
      <c r="O2032" s="25">
        <f>IF(J2032&gt;600,1,0)</f>
        <v/>
      </c>
      <c r="P2032" s="25">
        <f>IF(H2032&gt;0,J2032,"")</f>
        <v/>
      </c>
      <c r="Q2032" s="25">
        <f>TEXT(A2032,"YYYY-MM-DD HH")</f>
        <v/>
      </c>
      <c r="R2032" s="25">
        <f>COUNTIF($Q$2:$Q$5295,Q2032)</f>
        <v/>
      </c>
      <c r="S2032" s="25">
        <f>IF(R2032&lt;=2,"1-2",IF(R2032&lt;=5,"3-5",IF(R2032&lt;=10,"6-10","11+")))</f>
        <v/>
      </c>
    </row>
    <row r="2033">
      <c r="A2033" s="39" t="n">
        <v>46177.31739583334</v>
      </c>
      <c r="B2033" s="25">
        <f>TEXT(A2033,"YYYY-MM")</f>
        <v/>
      </c>
      <c r="C2033" s="25">
        <f>TEXT(A2033,"MMM-YYYY")</f>
        <v/>
      </c>
      <c r="D2033" s="40">
        <f>INT(A2033)-WEEKDAY(A2033,2)+1</f>
        <v/>
      </c>
      <c r="E2033" s="25" t="inlineStr">
        <is>
          <t>stiwari</t>
        </is>
      </c>
      <c r="F2033" s="25" t="n">
        <v>123311</v>
      </c>
      <c r="G2033" s="25" t="n">
        <v>3</v>
      </c>
      <c r="H2033" s="25" t="n">
        <v>21</v>
      </c>
      <c r="I2033" s="25" t="inlineStr">
        <is>
          <t>5 minute(s) and 2 second(s)</t>
        </is>
      </c>
      <c r="J2033" s="25">
        <f>IFERROR(VALUE(TRIM(LEFT(I2033,FIND("minute",I2033)-1)))*60,0)+IFERROR(VALUE(SUBSTITUTE(MID(I2033,IFERROR(FIND("and",I2033)+3,1),20),"second(s)","")),0)</f>
        <v/>
      </c>
      <c r="K2033" s="41">
        <f>J2033/60</f>
        <v/>
      </c>
      <c r="L2033" s="41">
        <f>IFERROR(J2033/H2033,"")</f>
        <v/>
      </c>
      <c r="M2033" s="25" t="inlineStr">
        <is>
          <t>2.5.12</t>
        </is>
      </c>
      <c r="N2033" s="25">
        <f>IF(J2033&gt;300,1,0)</f>
        <v/>
      </c>
      <c r="O2033" s="25">
        <f>IF(J2033&gt;600,1,0)</f>
        <v/>
      </c>
      <c r="P2033" s="25">
        <f>IF(H2033&gt;0,J2033,"")</f>
        <v/>
      </c>
      <c r="Q2033" s="25">
        <f>TEXT(A2033,"YYYY-MM-DD HH")</f>
        <v/>
      </c>
      <c r="R2033" s="25">
        <f>COUNTIF($Q$2:$Q$5295,Q2033)</f>
        <v/>
      </c>
      <c r="S2033" s="25">
        <f>IF(R2033&lt;=2,"1-2",IF(R2033&lt;=5,"3-5",IF(R2033&lt;=10,"6-10","11+")))</f>
        <v/>
      </c>
    </row>
    <row r="2034">
      <c r="A2034" s="39" t="n">
        <v>46177.32118055555</v>
      </c>
      <c r="B2034" s="25">
        <f>TEXT(A2034,"YYYY-MM")</f>
        <v/>
      </c>
      <c r="C2034" s="25">
        <f>TEXT(A2034,"MMM-YYYY")</f>
        <v/>
      </c>
      <c r="D2034" s="40">
        <f>INT(A2034)-WEEKDAY(A2034,2)+1</f>
        <v/>
      </c>
      <c r="E2034" s="25" t="inlineStr">
        <is>
          <t>sswati</t>
        </is>
      </c>
      <c r="F2034" s="25" t="n">
        <v>122028</v>
      </c>
      <c r="G2034" s="25" t="n">
        <v>4</v>
      </c>
      <c r="H2034" s="25" t="n">
        <v>22</v>
      </c>
      <c r="I2034" s="25" t="inlineStr">
        <is>
          <t>7 minute(s) and 36 second(s)</t>
        </is>
      </c>
      <c r="J2034" s="25">
        <f>IFERROR(VALUE(TRIM(LEFT(I2034,FIND("minute",I2034)-1)))*60,0)+IFERROR(VALUE(SUBSTITUTE(MID(I2034,IFERROR(FIND("and",I2034)+3,1),20),"second(s)","")),0)</f>
        <v/>
      </c>
      <c r="K2034" s="41">
        <f>J2034/60</f>
        <v/>
      </c>
      <c r="L2034" s="41">
        <f>IFERROR(J2034/H2034,"")</f>
        <v/>
      </c>
      <c r="M2034" s="25" t="inlineStr">
        <is>
          <t>2.5.12</t>
        </is>
      </c>
      <c r="N2034" s="25">
        <f>IF(J2034&gt;300,1,0)</f>
        <v/>
      </c>
      <c r="O2034" s="25">
        <f>IF(J2034&gt;600,1,0)</f>
        <v/>
      </c>
      <c r="P2034" s="25">
        <f>IF(H2034&gt;0,J2034,"")</f>
        <v/>
      </c>
      <c r="Q2034" s="25">
        <f>TEXT(A2034,"YYYY-MM-DD HH")</f>
        <v/>
      </c>
      <c r="R2034" s="25">
        <f>COUNTIF($Q$2:$Q$5295,Q2034)</f>
        <v/>
      </c>
      <c r="S2034" s="25">
        <f>IF(R2034&lt;=2,"1-2",IF(R2034&lt;=5,"3-5",IF(R2034&lt;=10,"6-10","11+")))</f>
        <v/>
      </c>
    </row>
    <row r="2035">
      <c r="A2035" s="39" t="n">
        <v>46177.3265625</v>
      </c>
      <c r="B2035" s="25">
        <f>TEXT(A2035,"YYYY-MM")</f>
        <v/>
      </c>
      <c r="C2035" s="25">
        <f>TEXT(A2035,"MMM-YYYY")</f>
        <v/>
      </c>
      <c r="D2035" s="40">
        <f>INT(A2035)-WEEKDAY(A2035,2)+1</f>
        <v/>
      </c>
      <c r="E2035" s="25" t="inlineStr">
        <is>
          <t>dchoudhury</t>
        </is>
      </c>
      <c r="F2035" s="25" t="n">
        <v>123994</v>
      </c>
      <c r="G2035" s="25" t="n">
        <v>1</v>
      </c>
      <c r="H2035" s="25" t="n">
        <v>5</v>
      </c>
      <c r="I2035" s="25" t="inlineStr">
        <is>
          <t>2 minute(s) and 30 second(s)</t>
        </is>
      </c>
      <c r="J2035" s="25">
        <f>IFERROR(VALUE(TRIM(LEFT(I2035,FIND("minute",I2035)-1)))*60,0)+IFERROR(VALUE(SUBSTITUTE(MID(I2035,IFERROR(FIND("and",I2035)+3,1),20),"second(s)","")),0)</f>
        <v/>
      </c>
      <c r="K2035" s="41">
        <f>J2035/60</f>
        <v/>
      </c>
      <c r="L2035" s="41">
        <f>IFERROR(J2035/H2035,"")</f>
        <v/>
      </c>
      <c r="M2035" s="25" t="inlineStr">
        <is>
          <t>2.5.12</t>
        </is>
      </c>
      <c r="N2035" s="25">
        <f>IF(J2035&gt;300,1,0)</f>
        <v/>
      </c>
      <c r="O2035" s="25">
        <f>IF(J2035&gt;600,1,0)</f>
        <v/>
      </c>
      <c r="P2035" s="25">
        <f>IF(H2035&gt;0,J2035,"")</f>
        <v/>
      </c>
      <c r="Q2035" s="25">
        <f>TEXT(A2035,"YYYY-MM-DD HH")</f>
        <v/>
      </c>
      <c r="R2035" s="25">
        <f>COUNTIF($Q$2:$Q$5295,Q2035)</f>
        <v/>
      </c>
      <c r="S2035" s="25">
        <f>IF(R2035&lt;=2,"1-2",IF(R2035&lt;=5,"3-5",IF(R2035&lt;=10,"6-10","11+")))</f>
        <v/>
      </c>
    </row>
    <row r="2036">
      <c r="A2036" s="39" t="n">
        <v>46177.33021990741</v>
      </c>
      <c r="B2036" s="25">
        <f>TEXT(A2036,"YYYY-MM")</f>
        <v/>
      </c>
      <c r="C2036" s="25">
        <f>TEXT(A2036,"MMM-YYYY")</f>
        <v/>
      </c>
      <c r="D2036" s="40">
        <f>INT(A2036)-WEEKDAY(A2036,2)+1</f>
        <v/>
      </c>
      <c r="E2036" s="25" t="inlineStr">
        <is>
          <t>bverma</t>
        </is>
      </c>
      <c r="F2036" s="25" t="n">
        <v>124685</v>
      </c>
      <c r="G2036" s="25" t="n">
        <v>1</v>
      </c>
      <c r="H2036" s="25" t="n">
        <v>5</v>
      </c>
      <c r="I2036" s="25" t="inlineStr">
        <is>
          <t>1 minute(s) and 4 second(s)</t>
        </is>
      </c>
      <c r="J2036" s="25">
        <f>IFERROR(VALUE(TRIM(LEFT(I2036,FIND("minute",I2036)-1)))*60,0)+IFERROR(VALUE(SUBSTITUTE(MID(I2036,IFERROR(FIND("and",I2036)+3,1),20),"second(s)","")),0)</f>
        <v/>
      </c>
      <c r="K2036" s="41">
        <f>J2036/60</f>
        <v/>
      </c>
      <c r="L2036" s="41">
        <f>IFERROR(J2036/H2036,"")</f>
        <v/>
      </c>
      <c r="M2036" s="25" t="inlineStr">
        <is>
          <t>2.5.12</t>
        </is>
      </c>
      <c r="N2036" s="25">
        <f>IF(J2036&gt;300,1,0)</f>
        <v/>
      </c>
      <c r="O2036" s="25">
        <f>IF(J2036&gt;600,1,0)</f>
        <v/>
      </c>
      <c r="P2036" s="25">
        <f>IF(H2036&gt;0,J2036,"")</f>
        <v/>
      </c>
      <c r="Q2036" s="25">
        <f>TEXT(A2036,"YYYY-MM-DD HH")</f>
        <v/>
      </c>
      <c r="R2036" s="25">
        <f>COUNTIF($Q$2:$Q$5295,Q2036)</f>
        <v/>
      </c>
      <c r="S2036" s="25">
        <f>IF(R2036&lt;=2,"1-2",IF(R2036&lt;=5,"3-5",IF(R2036&lt;=10,"6-10","11+")))</f>
        <v/>
      </c>
    </row>
    <row r="2037">
      <c r="A2037" s="39" t="n">
        <v>46177.33056712963</v>
      </c>
      <c r="B2037" s="25">
        <f>TEXT(A2037,"YYYY-MM")</f>
        <v/>
      </c>
      <c r="C2037" s="25">
        <f>TEXT(A2037,"MMM-YYYY")</f>
        <v/>
      </c>
      <c r="D2037" s="40">
        <f>INT(A2037)-WEEKDAY(A2037,2)+1</f>
        <v/>
      </c>
      <c r="E2037" s="25" t="inlineStr">
        <is>
          <t>ethomas</t>
        </is>
      </c>
      <c r="F2037" s="25" t="n">
        <v>125436</v>
      </c>
      <c r="G2037" s="25" t="n">
        <v>1</v>
      </c>
      <c r="H2037" s="25" t="n">
        <v>7</v>
      </c>
      <c r="I2037" s="25" t="inlineStr">
        <is>
          <t>1 minute(s) and 36 second(s)</t>
        </is>
      </c>
      <c r="J2037" s="25">
        <f>IFERROR(VALUE(TRIM(LEFT(I2037,FIND("minute",I2037)-1)))*60,0)+IFERROR(VALUE(SUBSTITUTE(MID(I2037,IFERROR(FIND("and",I2037)+3,1),20),"second(s)","")),0)</f>
        <v/>
      </c>
      <c r="K2037" s="41">
        <f>J2037/60</f>
        <v/>
      </c>
      <c r="L2037" s="41">
        <f>IFERROR(J2037/H2037,"")</f>
        <v/>
      </c>
      <c r="M2037" s="25" t="inlineStr">
        <is>
          <t>2.5.12</t>
        </is>
      </c>
      <c r="N2037" s="25">
        <f>IF(J2037&gt;300,1,0)</f>
        <v/>
      </c>
      <c r="O2037" s="25">
        <f>IF(J2037&gt;600,1,0)</f>
        <v/>
      </c>
      <c r="P2037" s="25">
        <f>IF(H2037&gt;0,J2037,"")</f>
        <v/>
      </c>
      <c r="Q2037" s="25">
        <f>TEXT(A2037,"YYYY-MM-DD HH")</f>
        <v/>
      </c>
      <c r="R2037" s="25">
        <f>COUNTIF($Q$2:$Q$5295,Q2037)</f>
        <v/>
      </c>
      <c r="S2037" s="25">
        <f>IF(R2037&lt;=2,"1-2",IF(R2037&lt;=5,"3-5",IF(R2037&lt;=10,"6-10","11+")))</f>
        <v/>
      </c>
    </row>
    <row r="2038">
      <c r="A2038" s="39" t="n">
        <v>46177.33604166667</v>
      </c>
      <c r="B2038" s="25">
        <f>TEXT(A2038,"YYYY-MM")</f>
        <v/>
      </c>
      <c r="C2038" s="25">
        <f>TEXT(A2038,"MMM-YYYY")</f>
        <v/>
      </c>
      <c r="D2038" s="40">
        <f>INT(A2038)-WEEKDAY(A2038,2)+1</f>
        <v/>
      </c>
      <c r="E2038" s="25" t="inlineStr">
        <is>
          <t>ssrinivasan</t>
        </is>
      </c>
      <c r="F2038" s="25" t="n">
        <v>123847</v>
      </c>
      <c r="G2038" s="25" t="n">
        <v>4</v>
      </c>
      <c r="H2038" s="25" t="n">
        <v>16</v>
      </c>
      <c r="I2038" s="25" t="inlineStr">
        <is>
          <t>5 minute(s) and 38 second(s)</t>
        </is>
      </c>
      <c r="J2038" s="25">
        <f>IFERROR(VALUE(TRIM(LEFT(I2038,FIND("minute",I2038)-1)))*60,0)+IFERROR(VALUE(SUBSTITUTE(MID(I2038,IFERROR(FIND("and",I2038)+3,1),20),"second(s)","")),0)</f>
        <v/>
      </c>
      <c r="K2038" s="41">
        <f>J2038/60</f>
        <v/>
      </c>
      <c r="L2038" s="41">
        <f>IFERROR(J2038/H2038,"")</f>
        <v/>
      </c>
      <c r="M2038" s="25" t="inlineStr">
        <is>
          <t>2.5.12</t>
        </is>
      </c>
      <c r="N2038" s="25">
        <f>IF(J2038&gt;300,1,0)</f>
        <v/>
      </c>
      <c r="O2038" s="25">
        <f>IF(J2038&gt;600,1,0)</f>
        <v/>
      </c>
      <c r="P2038" s="25">
        <f>IF(H2038&gt;0,J2038,"")</f>
        <v/>
      </c>
      <c r="Q2038" s="25">
        <f>TEXT(A2038,"YYYY-MM-DD HH")</f>
        <v/>
      </c>
      <c r="R2038" s="25">
        <f>COUNTIF($Q$2:$Q$5295,Q2038)</f>
        <v/>
      </c>
      <c r="S2038" s="25">
        <f>IF(R2038&lt;=2,"1-2",IF(R2038&lt;=5,"3-5",IF(R2038&lt;=10,"6-10","11+")))</f>
        <v/>
      </c>
    </row>
    <row r="2039">
      <c r="A2039" s="39" t="n">
        <v>46177.34983796296</v>
      </c>
      <c r="B2039" s="25">
        <f>TEXT(A2039,"YYYY-MM")</f>
        <v/>
      </c>
      <c r="C2039" s="25">
        <f>TEXT(A2039,"MMM-YYYY")</f>
        <v/>
      </c>
      <c r="D2039" s="40">
        <f>INT(A2039)-WEEKDAY(A2039,2)+1</f>
        <v/>
      </c>
      <c r="E2039" s="25" t="inlineStr">
        <is>
          <t>smukhopadhyay</t>
        </is>
      </c>
      <c r="F2039" s="25" t="n">
        <v>125470</v>
      </c>
      <c r="G2039" s="25" t="n">
        <v>1</v>
      </c>
      <c r="H2039" s="25" t="n">
        <v>7</v>
      </c>
      <c r="I2039" s="25" t="inlineStr">
        <is>
          <t>3 minute(s) and 17 second(s)</t>
        </is>
      </c>
      <c r="J2039" s="25">
        <f>IFERROR(VALUE(TRIM(LEFT(I2039,FIND("minute",I2039)-1)))*60,0)+IFERROR(VALUE(SUBSTITUTE(MID(I2039,IFERROR(FIND("and",I2039)+3,1),20),"second(s)","")),0)</f>
        <v/>
      </c>
      <c r="K2039" s="41">
        <f>J2039/60</f>
        <v/>
      </c>
      <c r="L2039" s="41">
        <f>IFERROR(J2039/H2039,"")</f>
        <v/>
      </c>
      <c r="M2039" s="25" t="inlineStr">
        <is>
          <t>2.5.12</t>
        </is>
      </c>
      <c r="N2039" s="25">
        <f>IF(J2039&gt;300,1,0)</f>
        <v/>
      </c>
      <c r="O2039" s="25">
        <f>IF(J2039&gt;600,1,0)</f>
        <v/>
      </c>
      <c r="P2039" s="25">
        <f>IF(H2039&gt;0,J2039,"")</f>
        <v/>
      </c>
      <c r="Q2039" s="25">
        <f>TEXT(A2039,"YYYY-MM-DD HH")</f>
        <v/>
      </c>
      <c r="R2039" s="25">
        <f>COUNTIF($Q$2:$Q$5295,Q2039)</f>
        <v/>
      </c>
      <c r="S2039" s="25">
        <f>IF(R2039&lt;=2,"1-2",IF(R2039&lt;=5,"3-5",IF(R2039&lt;=10,"6-10","11+")))</f>
        <v/>
      </c>
    </row>
    <row r="2040">
      <c r="A2040" s="39" t="n">
        <v>46177.35121527778</v>
      </c>
      <c r="B2040" s="25">
        <f>TEXT(A2040,"YYYY-MM")</f>
        <v/>
      </c>
      <c r="C2040" s="25">
        <f>TEXT(A2040,"MMM-YYYY")</f>
        <v/>
      </c>
      <c r="D2040" s="40">
        <f>INT(A2040)-WEEKDAY(A2040,2)+1</f>
        <v/>
      </c>
      <c r="E2040" s="25" t="inlineStr">
        <is>
          <t>ssarkar</t>
        </is>
      </c>
      <c r="F2040" s="25" t="n">
        <v>122916</v>
      </c>
      <c r="G2040" s="25" t="n">
        <v>1</v>
      </c>
      <c r="H2040" s="25" t="n">
        <v>5</v>
      </c>
      <c r="I2040" s="25" t="inlineStr">
        <is>
          <t>1 minute(s) and 23 second(s)</t>
        </is>
      </c>
      <c r="J2040" s="25">
        <f>IFERROR(VALUE(TRIM(LEFT(I2040,FIND("minute",I2040)-1)))*60,0)+IFERROR(VALUE(SUBSTITUTE(MID(I2040,IFERROR(FIND("and",I2040)+3,1),20),"second(s)","")),0)</f>
        <v/>
      </c>
      <c r="K2040" s="41">
        <f>J2040/60</f>
        <v/>
      </c>
      <c r="L2040" s="41">
        <f>IFERROR(J2040/H2040,"")</f>
        <v/>
      </c>
      <c r="M2040" s="25" t="inlineStr">
        <is>
          <t>2.5.12</t>
        </is>
      </c>
      <c r="N2040" s="25">
        <f>IF(J2040&gt;300,1,0)</f>
        <v/>
      </c>
      <c r="O2040" s="25">
        <f>IF(J2040&gt;600,1,0)</f>
        <v/>
      </c>
      <c r="P2040" s="25">
        <f>IF(H2040&gt;0,J2040,"")</f>
        <v/>
      </c>
      <c r="Q2040" s="25">
        <f>TEXT(A2040,"YYYY-MM-DD HH")</f>
        <v/>
      </c>
      <c r="R2040" s="25">
        <f>COUNTIF($Q$2:$Q$5295,Q2040)</f>
        <v/>
      </c>
      <c r="S2040" s="25">
        <f>IF(R2040&lt;=2,"1-2",IF(R2040&lt;=5,"3-5",IF(R2040&lt;=10,"6-10","11+")))</f>
        <v/>
      </c>
    </row>
    <row r="2041">
      <c r="A2041" s="39" t="n">
        <v>46177.35649305556</v>
      </c>
      <c r="B2041" s="25">
        <f>TEXT(A2041,"YYYY-MM")</f>
        <v/>
      </c>
      <c r="C2041" s="25">
        <f>TEXT(A2041,"MMM-YYYY")</f>
        <v/>
      </c>
      <c r="D2041" s="40">
        <f>INT(A2041)-WEEKDAY(A2041,2)+1</f>
        <v/>
      </c>
      <c r="E2041" s="25" t="inlineStr">
        <is>
          <t>aghosh</t>
        </is>
      </c>
      <c r="F2041" s="25" t="n">
        <v>123494</v>
      </c>
      <c r="G2041" s="25" t="n">
        <v>2</v>
      </c>
      <c r="H2041" s="25" t="n">
        <v>12</v>
      </c>
      <c r="I2041" s="25" t="inlineStr">
        <is>
          <t>3 minute(s) and 0 second(s)</t>
        </is>
      </c>
      <c r="J2041" s="25">
        <f>IFERROR(VALUE(TRIM(LEFT(I2041,FIND("minute",I2041)-1)))*60,0)+IFERROR(VALUE(SUBSTITUTE(MID(I2041,IFERROR(FIND("and",I2041)+3,1),20),"second(s)","")),0)</f>
        <v/>
      </c>
      <c r="K2041" s="41">
        <f>J2041/60</f>
        <v/>
      </c>
      <c r="L2041" s="41">
        <f>IFERROR(J2041/H2041,"")</f>
        <v/>
      </c>
      <c r="M2041" s="25" t="inlineStr">
        <is>
          <t>2.5.12</t>
        </is>
      </c>
      <c r="N2041" s="25">
        <f>IF(J2041&gt;300,1,0)</f>
        <v/>
      </c>
      <c r="O2041" s="25">
        <f>IF(J2041&gt;600,1,0)</f>
        <v/>
      </c>
      <c r="P2041" s="25">
        <f>IF(H2041&gt;0,J2041,"")</f>
        <v/>
      </c>
      <c r="Q2041" s="25">
        <f>TEXT(A2041,"YYYY-MM-DD HH")</f>
        <v/>
      </c>
      <c r="R2041" s="25">
        <f>COUNTIF($Q$2:$Q$5295,Q2041)</f>
        <v/>
      </c>
      <c r="S2041" s="25">
        <f>IF(R2041&lt;=2,"1-2",IF(R2041&lt;=5,"3-5",IF(R2041&lt;=10,"6-10","11+")))</f>
        <v/>
      </c>
    </row>
    <row r="2042">
      <c r="A2042" s="39" t="n">
        <v>46177.36167824074</v>
      </c>
      <c r="B2042" s="25">
        <f>TEXT(A2042,"YYYY-MM")</f>
        <v/>
      </c>
      <c r="C2042" s="25">
        <f>TEXT(A2042,"MMM-YYYY")</f>
        <v/>
      </c>
      <c r="D2042" s="40">
        <f>INT(A2042)-WEEKDAY(A2042,2)+1</f>
        <v/>
      </c>
      <c r="E2042" s="25" t="inlineStr">
        <is>
          <t>apriyadarshi</t>
        </is>
      </c>
      <c r="F2042" s="25" t="n">
        <v>121981</v>
      </c>
      <c r="G2042" s="25" t="n">
        <v>2</v>
      </c>
      <c r="H2042" s="25" t="n">
        <v>10</v>
      </c>
      <c r="I2042" s="25" t="inlineStr">
        <is>
          <t>2 minute(s) and 29 second(s)</t>
        </is>
      </c>
      <c r="J2042" s="25">
        <f>IFERROR(VALUE(TRIM(LEFT(I2042,FIND("minute",I2042)-1)))*60,0)+IFERROR(VALUE(SUBSTITUTE(MID(I2042,IFERROR(FIND("and",I2042)+3,1),20),"second(s)","")),0)</f>
        <v/>
      </c>
      <c r="K2042" s="41">
        <f>J2042/60</f>
        <v/>
      </c>
      <c r="L2042" s="41">
        <f>IFERROR(J2042/H2042,"")</f>
        <v/>
      </c>
      <c r="M2042" s="25" t="inlineStr">
        <is>
          <t>2.5.12</t>
        </is>
      </c>
      <c r="N2042" s="25">
        <f>IF(J2042&gt;300,1,0)</f>
        <v/>
      </c>
      <c r="O2042" s="25">
        <f>IF(J2042&gt;600,1,0)</f>
        <v/>
      </c>
      <c r="P2042" s="25">
        <f>IF(H2042&gt;0,J2042,"")</f>
        <v/>
      </c>
      <c r="Q2042" s="25">
        <f>TEXT(A2042,"YYYY-MM-DD HH")</f>
        <v/>
      </c>
      <c r="R2042" s="25">
        <f>COUNTIF($Q$2:$Q$5295,Q2042)</f>
        <v/>
      </c>
      <c r="S2042" s="25">
        <f>IF(R2042&lt;=2,"1-2",IF(R2042&lt;=5,"3-5",IF(R2042&lt;=10,"6-10","11+")))</f>
        <v/>
      </c>
    </row>
    <row r="2043">
      <c r="A2043" s="39" t="n">
        <v>46177.36704861111</v>
      </c>
      <c r="B2043" s="25">
        <f>TEXT(A2043,"YYYY-MM")</f>
        <v/>
      </c>
      <c r="C2043" s="25">
        <f>TEXT(A2043,"MMM-YYYY")</f>
        <v/>
      </c>
      <c r="D2043" s="40">
        <f>INT(A2043)-WEEKDAY(A2043,2)+1</f>
        <v/>
      </c>
      <c r="E2043" s="25" t="inlineStr">
        <is>
          <t>taggarwal</t>
        </is>
      </c>
      <c r="F2043" s="25" t="n">
        <v>123672</v>
      </c>
      <c r="G2043" s="25" t="n">
        <v>1</v>
      </c>
      <c r="H2043" s="25" t="n">
        <v>8</v>
      </c>
      <c r="I2043" s="25" t="inlineStr">
        <is>
          <t>2 minute(s) and 9 second(s)</t>
        </is>
      </c>
      <c r="J2043" s="25">
        <f>IFERROR(VALUE(TRIM(LEFT(I2043,FIND("minute",I2043)-1)))*60,0)+IFERROR(VALUE(SUBSTITUTE(MID(I2043,IFERROR(FIND("and",I2043)+3,1),20),"second(s)","")),0)</f>
        <v/>
      </c>
      <c r="K2043" s="41">
        <f>J2043/60</f>
        <v/>
      </c>
      <c r="L2043" s="41">
        <f>IFERROR(J2043/H2043,"")</f>
        <v/>
      </c>
      <c r="M2043" s="25" t="inlineStr">
        <is>
          <t>2.5.12</t>
        </is>
      </c>
      <c r="N2043" s="25">
        <f>IF(J2043&gt;300,1,0)</f>
        <v/>
      </c>
      <c r="O2043" s="25">
        <f>IF(J2043&gt;600,1,0)</f>
        <v/>
      </c>
      <c r="P2043" s="25">
        <f>IF(H2043&gt;0,J2043,"")</f>
        <v/>
      </c>
      <c r="Q2043" s="25">
        <f>TEXT(A2043,"YYYY-MM-DD HH")</f>
        <v/>
      </c>
      <c r="R2043" s="25">
        <f>COUNTIF($Q$2:$Q$5295,Q2043)</f>
        <v/>
      </c>
      <c r="S2043" s="25">
        <f>IF(R2043&lt;=2,"1-2",IF(R2043&lt;=5,"3-5",IF(R2043&lt;=10,"6-10","11+")))</f>
        <v/>
      </c>
    </row>
    <row r="2044">
      <c r="A2044" s="39" t="n">
        <v>46177.37449074074</v>
      </c>
      <c r="B2044" s="25">
        <f>TEXT(A2044,"YYYY-MM")</f>
        <v/>
      </c>
      <c r="C2044" s="25">
        <f>TEXT(A2044,"MMM-YYYY")</f>
        <v/>
      </c>
      <c r="D2044" s="40">
        <f>INT(A2044)-WEEKDAY(A2044,2)+1</f>
        <v/>
      </c>
      <c r="E2044" s="25" t="inlineStr">
        <is>
          <t>ssaha</t>
        </is>
      </c>
      <c r="F2044" s="25" t="n">
        <v>121758</v>
      </c>
      <c r="G2044" s="25" t="n">
        <v>4</v>
      </c>
      <c r="H2044" s="25" t="n">
        <v>16</v>
      </c>
      <c r="I2044" s="25" t="inlineStr">
        <is>
          <t>4 minute(s) and 7 second(s)</t>
        </is>
      </c>
      <c r="J2044" s="25">
        <f>IFERROR(VALUE(TRIM(LEFT(I2044,FIND("minute",I2044)-1)))*60,0)+IFERROR(VALUE(SUBSTITUTE(MID(I2044,IFERROR(FIND("and",I2044)+3,1),20),"second(s)","")),0)</f>
        <v/>
      </c>
      <c r="K2044" s="41">
        <f>J2044/60</f>
        <v/>
      </c>
      <c r="L2044" s="41">
        <f>IFERROR(J2044/H2044,"")</f>
        <v/>
      </c>
      <c r="M2044" s="25" t="inlineStr">
        <is>
          <t>2.5.12</t>
        </is>
      </c>
      <c r="N2044" s="25">
        <f>IF(J2044&gt;300,1,0)</f>
        <v/>
      </c>
      <c r="O2044" s="25">
        <f>IF(J2044&gt;600,1,0)</f>
        <v/>
      </c>
      <c r="P2044" s="25">
        <f>IF(H2044&gt;0,J2044,"")</f>
        <v/>
      </c>
      <c r="Q2044" s="25">
        <f>TEXT(A2044,"YYYY-MM-DD HH")</f>
        <v/>
      </c>
      <c r="R2044" s="25">
        <f>COUNTIF($Q$2:$Q$5295,Q2044)</f>
        <v/>
      </c>
      <c r="S2044" s="25">
        <f>IF(R2044&lt;=2,"1-2",IF(R2044&lt;=5,"3-5",IF(R2044&lt;=10,"6-10","11+")))</f>
        <v/>
      </c>
    </row>
    <row r="2045">
      <c r="A2045" s="39" t="n">
        <v>46177.37737268519</v>
      </c>
      <c r="B2045" s="25">
        <f>TEXT(A2045,"YYYY-MM")</f>
        <v/>
      </c>
      <c r="C2045" s="25">
        <f>TEXT(A2045,"MMM-YYYY")</f>
        <v/>
      </c>
      <c r="D2045" s="40">
        <f>INT(A2045)-WEEKDAY(A2045,2)+1</f>
        <v/>
      </c>
      <c r="E2045" s="25" t="inlineStr">
        <is>
          <t>hsindwani</t>
        </is>
      </c>
      <c r="F2045" s="25" t="n">
        <v>124649</v>
      </c>
      <c r="G2045" s="25" t="n">
        <v>3</v>
      </c>
      <c r="H2045" s="25" t="n">
        <v>19</v>
      </c>
      <c r="I2045" s="25" t="inlineStr">
        <is>
          <t>5 minute(s) and 17 second(s)</t>
        </is>
      </c>
      <c r="J2045" s="25">
        <f>IFERROR(VALUE(TRIM(LEFT(I2045,FIND("minute",I2045)-1)))*60,0)+IFERROR(VALUE(SUBSTITUTE(MID(I2045,IFERROR(FIND("and",I2045)+3,1),20),"second(s)","")),0)</f>
        <v/>
      </c>
      <c r="K2045" s="41">
        <f>J2045/60</f>
        <v/>
      </c>
      <c r="L2045" s="41">
        <f>IFERROR(J2045/H2045,"")</f>
        <v/>
      </c>
      <c r="M2045" s="25" t="inlineStr">
        <is>
          <t>2.5.12</t>
        </is>
      </c>
      <c r="N2045" s="25">
        <f>IF(J2045&gt;300,1,0)</f>
        <v/>
      </c>
      <c r="O2045" s="25">
        <f>IF(J2045&gt;600,1,0)</f>
        <v/>
      </c>
      <c r="P2045" s="25">
        <f>IF(H2045&gt;0,J2045,"")</f>
        <v/>
      </c>
      <c r="Q2045" s="25">
        <f>TEXT(A2045,"YYYY-MM-DD HH")</f>
        <v/>
      </c>
      <c r="R2045" s="25">
        <f>COUNTIF($Q$2:$Q$5295,Q2045)</f>
        <v/>
      </c>
      <c r="S2045" s="25">
        <f>IF(R2045&lt;=2,"1-2",IF(R2045&lt;=5,"3-5",IF(R2045&lt;=10,"6-10","11+")))</f>
        <v/>
      </c>
    </row>
    <row r="2046">
      <c r="A2046" s="39" t="n">
        <v>46177.37758101852</v>
      </c>
      <c r="B2046" s="25">
        <f>TEXT(A2046,"YYYY-MM")</f>
        <v/>
      </c>
      <c r="C2046" s="25">
        <f>TEXT(A2046,"MMM-YYYY")</f>
        <v/>
      </c>
      <c r="D2046" s="40">
        <f>INT(A2046)-WEEKDAY(A2046,2)+1</f>
        <v/>
      </c>
      <c r="E2046" s="25" t="inlineStr">
        <is>
          <t>ssneha</t>
        </is>
      </c>
      <c r="F2046" s="25" t="n">
        <v>14378</v>
      </c>
      <c r="G2046" s="25" t="n">
        <v>4</v>
      </c>
      <c r="H2046" s="25" t="n">
        <v>20</v>
      </c>
      <c r="I2046" s="25" t="inlineStr">
        <is>
          <t>13 minute(s) and 5 second(s)</t>
        </is>
      </c>
      <c r="J2046" s="25">
        <f>IFERROR(VALUE(TRIM(LEFT(I2046,FIND("minute",I2046)-1)))*60,0)+IFERROR(VALUE(SUBSTITUTE(MID(I2046,IFERROR(FIND("and",I2046)+3,1),20),"second(s)","")),0)</f>
        <v/>
      </c>
      <c r="K2046" s="41">
        <f>J2046/60</f>
        <v/>
      </c>
      <c r="L2046" s="41">
        <f>IFERROR(J2046/H2046,"")</f>
        <v/>
      </c>
      <c r="M2046" s="25" t="inlineStr">
        <is>
          <t>2.5.12</t>
        </is>
      </c>
      <c r="N2046" s="25">
        <f>IF(J2046&gt;300,1,0)</f>
        <v/>
      </c>
      <c r="O2046" s="25">
        <f>IF(J2046&gt;600,1,0)</f>
        <v/>
      </c>
      <c r="P2046" s="25">
        <f>IF(H2046&gt;0,J2046,"")</f>
        <v/>
      </c>
      <c r="Q2046" s="25">
        <f>TEXT(A2046,"YYYY-MM-DD HH")</f>
        <v/>
      </c>
      <c r="R2046" s="25">
        <f>COUNTIF($Q$2:$Q$5295,Q2046)</f>
        <v/>
      </c>
      <c r="S2046" s="25">
        <f>IF(R2046&lt;=2,"1-2",IF(R2046&lt;=5,"3-5",IF(R2046&lt;=10,"6-10","11+")))</f>
        <v/>
      </c>
    </row>
    <row r="2047">
      <c r="A2047" s="39" t="n">
        <v>46177.38037037037</v>
      </c>
      <c r="B2047" s="25">
        <f>TEXT(A2047,"YYYY-MM")</f>
        <v/>
      </c>
      <c r="C2047" s="25">
        <f>TEXT(A2047,"MMM-YYYY")</f>
        <v/>
      </c>
      <c r="D2047" s="40">
        <f>INT(A2047)-WEEKDAY(A2047,2)+1</f>
        <v/>
      </c>
      <c r="E2047" s="25" t="inlineStr">
        <is>
          <t>schoppakatla</t>
        </is>
      </c>
      <c r="F2047" s="25" t="n">
        <v>121510</v>
      </c>
      <c r="G2047" s="25" t="n">
        <v>2</v>
      </c>
      <c r="H2047" s="25" t="n">
        <v>8</v>
      </c>
      <c r="I2047" s="25" t="inlineStr">
        <is>
          <t>3 minute(s) and 17 second(s)</t>
        </is>
      </c>
      <c r="J2047" s="25">
        <f>IFERROR(VALUE(TRIM(LEFT(I2047,FIND("minute",I2047)-1)))*60,0)+IFERROR(VALUE(SUBSTITUTE(MID(I2047,IFERROR(FIND("and",I2047)+3,1),20),"second(s)","")),0)</f>
        <v/>
      </c>
      <c r="K2047" s="41">
        <f>J2047/60</f>
        <v/>
      </c>
      <c r="L2047" s="41">
        <f>IFERROR(J2047/H2047,"")</f>
        <v/>
      </c>
      <c r="M2047" s="25" t="inlineStr">
        <is>
          <t>2.5.12</t>
        </is>
      </c>
      <c r="N2047" s="25">
        <f>IF(J2047&gt;300,1,0)</f>
        <v/>
      </c>
      <c r="O2047" s="25">
        <f>IF(J2047&gt;600,1,0)</f>
        <v/>
      </c>
      <c r="P2047" s="25">
        <f>IF(H2047&gt;0,J2047,"")</f>
        <v/>
      </c>
      <c r="Q2047" s="25">
        <f>TEXT(A2047,"YYYY-MM-DD HH")</f>
        <v/>
      </c>
      <c r="R2047" s="25">
        <f>COUNTIF($Q$2:$Q$5295,Q2047)</f>
        <v/>
      </c>
      <c r="S2047" s="25">
        <f>IF(R2047&lt;=2,"1-2",IF(R2047&lt;=5,"3-5",IF(R2047&lt;=10,"6-10","11+")))</f>
        <v/>
      </c>
    </row>
    <row r="2048">
      <c r="A2048" s="39" t="n">
        <v>46177.3837037037</v>
      </c>
      <c r="B2048" s="25">
        <f>TEXT(A2048,"YYYY-MM")</f>
        <v/>
      </c>
      <c r="C2048" s="25">
        <f>TEXT(A2048,"MMM-YYYY")</f>
        <v/>
      </c>
      <c r="D2048" s="40">
        <f>INT(A2048)-WEEKDAY(A2048,2)+1</f>
        <v/>
      </c>
      <c r="E2048" s="25" t="inlineStr">
        <is>
          <t>ethomas</t>
        </is>
      </c>
      <c r="F2048" s="25" t="n">
        <v>123379</v>
      </c>
      <c r="G2048" s="25" t="n">
        <v>1</v>
      </c>
      <c r="H2048" s="25" t="n">
        <v>7</v>
      </c>
      <c r="I2048" s="25" t="inlineStr">
        <is>
          <t>3 minute(s) and 6 second(s)</t>
        </is>
      </c>
      <c r="J2048" s="25">
        <f>IFERROR(VALUE(TRIM(LEFT(I2048,FIND("minute",I2048)-1)))*60,0)+IFERROR(VALUE(SUBSTITUTE(MID(I2048,IFERROR(FIND("and",I2048)+3,1),20),"second(s)","")),0)</f>
        <v/>
      </c>
      <c r="K2048" s="41">
        <f>J2048/60</f>
        <v/>
      </c>
      <c r="L2048" s="41">
        <f>IFERROR(J2048/H2048,"")</f>
        <v/>
      </c>
      <c r="M2048" s="25" t="inlineStr">
        <is>
          <t>2.5.12</t>
        </is>
      </c>
      <c r="N2048" s="25">
        <f>IF(J2048&gt;300,1,0)</f>
        <v/>
      </c>
      <c r="O2048" s="25">
        <f>IF(J2048&gt;600,1,0)</f>
        <v/>
      </c>
      <c r="P2048" s="25">
        <f>IF(H2048&gt;0,J2048,"")</f>
        <v/>
      </c>
      <c r="Q2048" s="25">
        <f>TEXT(A2048,"YYYY-MM-DD HH")</f>
        <v/>
      </c>
      <c r="R2048" s="25">
        <f>COUNTIF($Q$2:$Q$5295,Q2048)</f>
        <v/>
      </c>
      <c r="S2048" s="25">
        <f>IF(R2048&lt;=2,"1-2",IF(R2048&lt;=5,"3-5",IF(R2048&lt;=10,"6-10","11+")))</f>
        <v/>
      </c>
    </row>
    <row r="2049">
      <c r="A2049" s="39" t="n">
        <v>46177.39230324074</v>
      </c>
      <c r="B2049" s="25">
        <f>TEXT(A2049,"YYYY-MM")</f>
        <v/>
      </c>
      <c r="C2049" s="25">
        <f>TEXT(A2049,"MMM-YYYY")</f>
        <v/>
      </c>
      <c r="D2049" s="40">
        <f>INT(A2049)-WEEKDAY(A2049,2)+1</f>
        <v/>
      </c>
      <c r="E2049" s="25" t="inlineStr">
        <is>
          <t>atiwari</t>
        </is>
      </c>
      <c r="F2049" s="25" t="n">
        <v>122930</v>
      </c>
      <c r="G2049" s="25" t="n">
        <v>4</v>
      </c>
      <c r="H2049" s="25" t="n">
        <v>23</v>
      </c>
      <c r="I2049" s="25" t="inlineStr">
        <is>
          <t>5 minute(s) and 40 second(s)</t>
        </is>
      </c>
      <c r="J2049" s="25">
        <f>IFERROR(VALUE(TRIM(LEFT(I2049,FIND("minute",I2049)-1)))*60,0)+IFERROR(VALUE(SUBSTITUTE(MID(I2049,IFERROR(FIND("and",I2049)+3,1),20),"second(s)","")),0)</f>
        <v/>
      </c>
      <c r="K2049" s="41">
        <f>J2049/60</f>
        <v/>
      </c>
      <c r="L2049" s="41">
        <f>IFERROR(J2049/H2049,"")</f>
        <v/>
      </c>
      <c r="M2049" s="25" t="inlineStr">
        <is>
          <t>2.5.12</t>
        </is>
      </c>
      <c r="N2049" s="25">
        <f>IF(J2049&gt;300,1,0)</f>
        <v/>
      </c>
      <c r="O2049" s="25">
        <f>IF(J2049&gt;600,1,0)</f>
        <v/>
      </c>
      <c r="P2049" s="25">
        <f>IF(H2049&gt;0,J2049,"")</f>
        <v/>
      </c>
      <c r="Q2049" s="25">
        <f>TEXT(A2049,"YYYY-MM-DD HH")</f>
        <v/>
      </c>
      <c r="R2049" s="25">
        <f>COUNTIF($Q$2:$Q$5295,Q2049)</f>
        <v/>
      </c>
      <c r="S2049" s="25">
        <f>IF(R2049&lt;=2,"1-2",IF(R2049&lt;=5,"3-5",IF(R2049&lt;=10,"6-10","11+")))</f>
        <v/>
      </c>
    </row>
    <row r="2050">
      <c r="A2050" s="39" t="n">
        <v>46177.39254629629</v>
      </c>
      <c r="B2050" s="25">
        <f>TEXT(A2050,"YYYY-MM")</f>
        <v/>
      </c>
      <c r="C2050" s="25">
        <f>TEXT(A2050,"MMM-YYYY")</f>
        <v/>
      </c>
      <c r="D2050" s="40">
        <f>INT(A2050)-WEEKDAY(A2050,2)+1</f>
        <v/>
      </c>
      <c r="E2050" s="25" t="inlineStr">
        <is>
          <t>stiwari</t>
        </is>
      </c>
      <c r="F2050" s="25" t="n">
        <v>122775</v>
      </c>
      <c r="G2050" s="25" t="n">
        <v>2</v>
      </c>
      <c r="H2050" s="25" t="n">
        <v>10</v>
      </c>
      <c r="I2050" s="25" t="inlineStr">
        <is>
          <t>2 minute(s) and 6 second(s)</t>
        </is>
      </c>
      <c r="J2050" s="25">
        <f>IFERROR(VALUE(TRIM(LEFT(I2050,FIND("minute",I2050)-1)))*60,0)+IFERROR(VALUE(SUBSTITUTE(MID(I2050,IFERROR(FIND("and",I2050)+3,1),20),"second(s)","")),0)</f>
        <v/>
      </c>
      <c r="K2050" s="41">
        <f>J2050/60</f>
        <v/>
      </c>
      <c r="L2050" s="41">
        <f>IFERROR(J2050/H2050,"")</f>
        <v/>
      </c>
      <c r="M2050" s="25" t="inlineStr">
        <is>
          <t>2.5.12</t>
        </is>
      </c>
      <c r="N2050" s="25">
        <f>IF(J2050&gt;300,1,0)</f>
        <v/>
      </c>
      <c r="O2050" s="25">
        <f>IF(J2050&gt;600,1,0)</f>
        <v/>
      </c>
      <c r="P2050" s="25">
        <f>IF(H2050&gt;0,J2050,"")</f>
        <v/>
      </c>
      <c r="Q2050" s="25">
        <f>TEXT(A2050,"YYYY-MM-DD HH")</f>
        <v/>
      </c>
      <c r="R2050" s="25">
        <f>COUNTIF($Q$2:$Q$5295,Q2050)</f>
        <v/>
      </c>
      <c r="S2050" s="25">
        <f>IF(R2050&lt;=2,"1-2",IF(R2050&lt;=5,"3-5",IF(R2050&lt;=10,"6-10","11+")))</f>
        <v/>
      </c>
    </row>
    <row r="2051">
      <c r="A2051" s="39" t="n">
        <v>46177.39439814815</v>
      </c>
      <c r="B2051" s="25">
        <f>TEXT(A2051,"YYYY-MM")</f>
        <v/>
      </c>
      <c r="C2051" s="25">
        <f>TEXT(A2051,"MMM-YYYY")</f>
        <v/>
      </c>
      <c r="D2051" s="40">
        <f>INT(A2051)-WEEKDAY(A2051,2)+1</f>
        <v/>
      </c>
      <c r="E2051" s="25" t="inlineStr">
        <is>
          <t>ssrinivasan</t>
        </is>
      </c>
      <c r="F2051" s="25" t="n">
        <v>123657</v>
      </c>
      <c r="G2051" s="25" t="n">
        <v>2</v>
      </c>
      <c r="H2051" s="25" t="n">
        <v>15</v>
      </c>
      <c r="I2051" s="25" t="inlineStr">
        <is>
          <t>3 minute(s) and 6 second(s)</t>
        </is>
      </c>
      <c r="J2051" s="25">
        <f>IFERROR(VALUE(TRIM(LEFT(I2051,FIND("minute",I2051)-1)))*60,0)+IFERROR(VALUE(SUBSTITUTE(MID(I2051,IFERROR(FIND("and",I2051)+3,1),20),"second(s)","")),0)</f>
        <v/>
      </c>
      <c r="K2051" s="41">
        <f>J2051/60</f>
        <v/>
      </c>
      <c r="L2051" s="41">
        <f>IFERROR(J2051/H2051,"")</f>
        <v/>
      </c>
      <c r="M2051" s="25" t="inlineStr">
        <is>
          <t>2.5.12</t>
        </is>
      </c>
      <c r="N2051" s="25">
        <f>IF(J2051&gt;300,1,0)</f>
        <v/>
      </c>
      <c r="O2051" s="25">
        <f>IF(J2051&gt;600,1,0)</f>
        <v/>
      </c>
      <c r="P2051" s="25">
        <f>IF(H2051&gt;0,J2051,"")</f>
        <v/>
      </c>
      <c r="Q2051" s="25">
        <f>TEXT(A2051,"YYYY-MM-DD HH")</f>
        <v/>
      </c>
      <c r="R2051" s="25">
        <f>COUNTIF($Q$2:$Q$5295,Q2051)</f>
        <v/>
      </c>
      <c r="S2051" s="25">
        <f>IF(R2051&lt;=2,"1-2",IF(R2051&lt;=5,"3-5",IF(R2051&lt;=10,"6-10","11+")))</f>
        <v/>
      </c>
    </row>
    <row r="2052">
      <c r="A2052" s="39" t="n">
        <v>46177.39542824074</v>
      </c>
      <c r="B2052" s="25">
        <f>TEXT(A2052,"YYYY-MM")</f>
        <v/>
      </c>
      <c r="C2052" s="25">
        <f>TEXT(A2052,"MMM-YYYY")</f>
        <v/>
      </c>
      <c r="D2052" s="40">
        <f>INT(A2052)-WEEKDAY(A2052,2)+1</f>
        <v/>
      </c>
      <c r="E2052" s="25" t="inlineStr">
        <is>
          <t>smukhopadhyay</t>
        </is>
      </c>
      <c r="F2052" s="25" t="n">
        <v>124363</v>
      </c>
      <c r="G2052" s="25" t="n">
        <v>3</v>
      </c>
      <c r="H2052" s="25" t="n">
        <v>15</v>
      </c>
      <c r="I2052" s="25" t="inlineStr">
        <is>
          <t>5 minute(s) and 46 second(s)</t>
        </is>
      </c>
      <c r="J2052" s="25">
        <f>IFERROR(VALUE(TRIM(LEFT(I2052,FIND("minute",I2052)-1)))*60,0)+IFERROR(VALUE(SUBSTITUTE(MID(I2052,IFERROR(FIND("and",I2052)+3,1),20),"second(s)","")),0)</f>
        <v/>
      </c>
      <c r="K2052" s="41">
        <f>J2052/60</f>
        <v/>
      </c>
      <c r="L2052" s="41">
        <f>IFERROR(J2052/H2052,"")</f>
        <v/>
      </c>
      <c r="M2052" s="25" t="inlineStr">
        <is>
          <t>2.5.12</t>
        </is>
      </c>
      <c r="N2052" s="25">
        <f>IF(J2052&gt;300,1,0)</f>
        <v/>
      </c>
      <c r="O2052" s="25">
        <f>IF(J2052&gt;600,1,0)</f>
        <v/>
      </c>
      <c r="P2052" s="25">
        <f>IF(H2052&gt;0,J2052,"")</f>
        <v/>
      </c>
      <c r="Q2052" s="25">
        <f>TEXT(A2052,"YYYY-MM-DD HH")</f>
        <v/>
      </c>
      <c r="R2052" s="25">
        <f>COUNTIF($Q$2:$Q$5295,Q2052)</f>
        <v/>
      </c>
      <c r="S2052" s="25">
        <f>IF(R2052&lt;=2,"1-2",IF(R2052&lt;=5,"3-5",IF(R2052&lt;=10,"6-10","11+")))</f>
        <v/>
      </c>
    </row>
    <row r="2053">
      <c r="A2053" s="39" t="n">
        <v>46177.40576388889</v>
      </c>
      <c r="B2053" s="25">
        <f>TEXT(A2053,"YYYY-MM")</f>
        <v/>
      </c>
      <c r="C2053" s="25">
        <f>TEXT(A2053,"MMM-YYYY")</f>
        <v/>
      </c>
      <c r="D2053" s="40">
        <f>INT(A2053)-WEEKDAY(A2053,2)+1</f>
        <v/>
      </c>
      <c r="E2053" s="25" t="inlineStr">
        <is>
          <t>aghosh</t>
        </is>
      </c>
      <c r="F2053" s="25" t="n">
        <v>126130</v>
      </c>
      <c r="G2053" s="25" t="n">
        <v>4</v>
      </c>
      <c r="H2053" s="25" t="n">
        <v>10</v>
      </c>
      <c r="I2053" s="25" t="inlineStr">
        <is>
          <t>2 minute(s) and 37 second(s)</t>
        </is>
      </c>
      <c r="J2053" s="25">
        <f>IFERROR(VALUE(TRIM(LEFT(I2053,FIND("minute",I2053)-1)))*60,0)+IFERROR(VALUE(SUBSTITUTE(MID(I2053,IFERROR(FIND("and",I2053)+3,1),20),"second(s)","")),0)</f>
        <v/>
      </c>
      <c r="K2053" s="41">
        <f>J2053/60</f>
        <v/>
      </c>
      <c r="L2053" s="41">
        <f>IFERROR(J2053/H2053,"")</f>
        <v/>
      </c>
      <c r="M2053" s="25" t="inlineStr">
        <is>
          <t>2.5.12</t>
        </is>
      </c>
      <c r="N2053" s="25">
        <f>IF(J2053&gt;300,1,0)</f>
        <v/>
      </c>
      <c r="O2053" s="25">
        <f>IF(J2053&gt;600,1,0)</f>
        <v/>
      </c>
      <c r="P2053" s="25">
        <f>IF(H2053&gt;0,J2053,"")</f>
        <v/>
      </c>
      <c r="Q2053" s="25">
        <f>TEXT(A2053,"YYYY-MM-DD HH")</f>
        <v/>
      </c>
      <c r="R2053" s="25">
        <f>COUNTIF($Q$2:$Q$5295,Q2053)</f>
        <v/>
      </c>
      <c r="S2053" s="25">
        <f>IF(R2053&lt;=2,"1-2",IF(R2053&lt;=5,"3-5",IF(R2053&lt;=10,"6-10","11+")))</f>
        <v/>
      </c>
    </row>
    <row r="2054">
      <c r="A2054" s="39" t="n">
        <v>46177.40600694445</v>
      </c>
      <c r="B2054" s="25">
        <f>TEXT(A2054,"YYYY-MM")</f>
        <v/>
      </c>
      <c r="C2054" s="25">
        <f>TEXT(A2054,"MMM-YYYY")</f>
        <v/>
      </c>
      <c r="D2054" s="40">
        <f>INT(A2054)-WEEKDAY(A2054,2)+1</f>
        <v/>
      </c>
      <c r="E2054" s="25" t="inlineStr">
        <is>
          <t>sswati</t>
        </is>
      </c>
      <c r="F2054" s="25" t="n">
        <v>125610</v>
      </c>
      <c r="G2054" s="25" t="n">
        <v>1</v>
      </c>
      <c r="H2054" s="25" t="n">
        <v>5</v>
      </c>
      <c r="I2054" s="25" t="inlineStr">
        <is>
          <t>2 minute(s) and 33 second(s)</t>
        </is>
      </c>
      <c r="J2054" s="25">
        <f>IFERROR(VALUE(TRIM(LEFT(I2054,FIND("minute",I2054)-1)))*60,0)+IFERROR(VALUE(SUBSTITUTE(MID(I2054,IFERROR(FIND("and",I2054)+3,1),20),"second(s)","")),0)</f>
        <v/>
      </c>
      <c r="K2054" s="41">
        <f>J2054/60</f>
        <v/>
      </c>
      <c r="L2054" s="41">
        <f>IFERROR(J2054/H2054,"")</f>
        <v/>
      </c>
      <c r="M2054" s="25" t="inlineStr">
        <is>
          <t>2.5.12</t>
        </is>
      </c>
      <c r="N2054" s="25">
        <f>IF(J2054&gt;300,1,0)</f>
        <v/>
      </c>
      <c r="O2054" s="25">
        <f>IF(J2054&gt;600,1,0)</f>
        <v/>
      </c>
      <c r="P2054" s="25">
        <f>IF(H2054&gt;0,J2054,"")</f>
        <v/>
      </c>
      <c r="Q2054" s="25">
        <f>TEXT(A2054,"YYYY-MM-DD HH")</f>
        <v/>
      </c>
      <c r="R2054" s="25">
        <f>COUNTIF($Q$2:$Q$5295,Q2054)</f>
        <v/>
      </c>
      <c r="S2054" s="25">
        <f>IF(R2054&lt;=2,"1-2",IF(R2054&lt;=5,"3-5",IF(R2054&lt;=10,"6-10","11+")))</f>
        <v/>
      </c>
    </row>
    <row r="2055">
      <c r="A2055" s="39" t="n">
        <v>46177.42415509259</v>
      </c>
      <c r="B2055" s="25">
        <f>TEXT(A2055,"YYYY-MM")</f>
        <v/>
      </c>
      <c r="C2055" s="25">
        <f>TEXT(A2055,"MMM-YYYY")</f>
        <v/>
      </c>
      <c r="D2055" s="40">
        <f>INT(A2055)-WEEKDAY(A2055,2)+1</f>
        <v/>
      </c>
      <c r="E2055" s="25" t="inlineStr">
        <is>
          <t>schoppakatla</t>
        </is>
      </c>
      <c r="F2055" s="25" t="n">
        <v>125159</v>
      </c>
      <c r="G2055" s="25" t="n">
        <v>4</v>
      </c>
      <c r="H2055" s="25" t="n">
        <v>14</v>
      </c>
      <c r="I2055" s="25" t="inlineStr">
        <is>
          <t>3 minute(s) and 25 second(s)</t>
        </is>
      </c>
      <c r="J2055" s="25">
        <f>IFERROR(VALUE(TRIM(LEFT(I2055,FIND("minute",I2055)-1)))*60,0)+IFERROR(VALUE(SUBSTITUTE(MID(I2055,IFERROR(FIND("and",I2055)+3,1),20),"second(s)","")),0)</f>
        <v/>
      </c>
      <c r="K2055" s="41">
        <f>J2055/60</f>
        <v/>
      </c>
      <c r="L2055" s="41">
        <f>IFERROR(J2055/H2055,"")</f>
        <v/>
      </c>
      <c r="M2055" s="25" t="inlineStr">
        <is>
          <t>2.5.12</t>
        </is>
      </c>
      <c r="N2055" s="25">
        <f>IF(J2055&gt;300,1,0)</f>
        <v/>
      </c>
      <c r="O2055" s="25">
        <f>IF(J2055&gt;600,1,0)</f>
        <v/>
      </c>
      <c r="P2055" s="25">
        <f>IF(H2055&gt;0,J2055,"")</f>
        <v/>
      </c>
      <c r="Q2055" s="25">
        <f>TEXT(A2055,"YYYY-MM-DD HH")</f>
        <v/>
      </c>
      <c r="R2055" s="25">
        <f>COUNTIF($Q$2:$Q$5295,Q2055)</f>
        <v/>
      </c>
      <c r="S2055" s="25">
        <f>IF(R2055&lt;=2,"1-2",IF(R2055&lt;=5,"3-5",IF(R2055&lt;=10,"6-10","11+")))</f>
        <v/>
      </c>
    </row>
    <row r="2056">
      <c r="A2056" s="39" t="n">
        <v>46177.42481481482</v>
      </c>
      <c r="B2056" s="25">
        <f>TEXT(A2056,"YYYY-MM")</f>
        <v/>
      </c>
      <c r="C2056" s="25">
        <f>TEXT(A2056,"MMM-YYYY")</f>
        <v/>
      </c>
      <c r="D2056" s="40">
        <f>INT(A2056)-WEEKDAY(A2056,2)+1</f>
        <v/>
      </c>
      <c r="E2056" s="25" t="inlineStr">
        <is>
          <t>ethomas</t>
        </is>
      </c>
      <c r="F2056" s="25" t="n">
        <v>124122</v>
      </c>
      <c r="G2056" s="25" t="n">
        <v>4</v>
      </c>
      <c r="H2056" s="25" t="n">
        <v>18</v>
      </c>
      <c r="I2056" s="25" t="inlineStr">
        <is>
          <t>5 minute(s) and 51 second(s)</t>
        </is>
      </c>
      <c r="J2056" s="25">
        <f>IFERROR(VALUE(TRIM(LEFT(I2056,FIND("minute",I2056)-1)))*60,0)+IFERROR(VALUE(SUBSTITUTE(MID(I2056,IFERROR(FIND("and",I2056)+3,1),20),"second(s)","")),0)</f>
        <v/>
      </c>
      <c r="K2056" s="41">
        <f>J2056/60</f>
        <v/>
      </c>
      <c r="L2056" s="41">
        <f>IFERROR(J2056/H2056,"")</f>
        <v/>
      </c>
      <c r="M2056" s="25" t="inlineStr">
        <is>
          <t>2.5.12</t>
        </is>
      </c>
      <c r="N2056" s="25">
        <f>IF(J2056&gt;300,1,0)</f>
        <v/>
      </c>
      <c r="O2056" s="25">
        <f>IF(J2056&gt;600,1,0)</f>
        <v/>
      </c>
      <c r="P2056" s="25">
        <f>IF(H2056&gt;0,J2056,"")</f>
        <v/>
      </c>
      <c r="Q2056" s="25">
        <f>TEXT(A2056,"YYYY-MM-DD HH")</f>
        <v/>
      </c>
      <c r="R2056" s="25">
        <f>COUNTIF($Q$2:$Q$5295,Q2056)</f>
        <v/>
      </c>
      <c r="S2056" s="25">
        <f>IF(R2056&lt;=2,"1-2",IF(R2056&lt;=5,"3-5",IF(R2056&lt;=10,"6-10","11+")))</f>
        <v/>
      </c>
    </row>
    <row r="2057">
      <c r="A2057" s="39" t="n">
        <v>46177.45489583333</v>
      </c>
      <c r="B2057" s="25">
        <f>TEXT(A2057,"YYYY-MM")</f>
        <v/>
      </c>
      <c r="C2057" s="25">
        <f>TEXT(A2057,"MMM-YYYY")</f>
        <v/>
      </c>
      <c r="D2057" s="40">
        <f>INT(A2057)-WEEKDAY(A2057,2)+1</f>
        <v/>
      </c>
      <c r="E2057" s="25" t="inlineStr">
        <is>
          <t>ssrinivasan</t>
        </is>
      </c>
      <c r="F2057" s="25" t="n">
        <v>122054</v>
      </c>
      <c r="G2057" s="25" t="n">
        <v>4</v>
      </c>
      <c r="H2057" s="25" t="n">
        <v>25</v>
      </c>
      <c r="I2057" s="25" t="inlineStr">
        <is>
          <t>6 minute(s) and 11 second(s)</t>
        </is>
      </c>
      <c r="J2057" s="25">
        <f>IFERROR(VALUE(TRIM(LEFT(I2057,FIND("minute",I2057)-1)))*60,0)+IFERROR(VALUE(SUBSTITUTE(MID(I2057,IFERROR(FIND("and",I2057)+3,1),20),"second(s)","")),0)</f>
        <v/>
      </c>
      <c r="K2057" s="41">
        <f>J2057/60</f>
        <v/>
      </c>
      <c r="L2057" s="41">
        <f>IFERROR(J2057/H2057,"")</f>
        <v/>
      </c>
      <c r="M2057" s="25" t="inlineStr">
        <is>
          <t>2.5.12</t>
        </is>
      </c>
      <c r="N2057" s="25">
        <f>IF(J2057&gt;300,1,0)</f>
        <v/>
      </c>
      <c r="O2057" s="25">
        <f>IF(J2057&gt;600,1,0)</f>
        <v/>
      </c>
      <c r="P2057" s="25">
        <f>IF(H2057&gt;0,J2057,"")</f>
        <v/>
      </c>
      <c r="Q2057" s="25">
        <f>TEXT(A2057,"YYYY-MM-DD HH")</f>
        <v/>
      </c>
      <c r="R2057" s="25">
        <f>COUNTIF($Q$2:$Q$5295,Q2057)</f>
        <v/>
      </c>
      <c r="S2057" s="25">
        <f>IF(R2057&lt;=2,"1-2",IF(R2057&lt;=5,"3-5",IF(R2057&lt;=10,"6-10","11+")))</f>
        <v/>
      </c>
    </row>
    <row r="2058">
      <c r="A2058" s="39" t="n">
        <v>46177.45592592593</v>
      </c>
      <c r="B2058" s="25">
        <f>TEXT(A2058,"YYYY-MM")</f>
        <v/>
      </c>
      <c r="C2058" s="25">
        <f>TEXT(A2058,"MMM-YYYY")</f>
        <v/>
      </c>
      <c r="D2058" s="40">
        <f>INT(A2058)-WEEKDAY(A2058,2)+1</f>
        <v/>
      </c>
      <c r="E2058" s="25" t="inlineStr">
        <is>
          <t>smukhopadhyay</t>
        </is>
      </c>
      <c r="F2058" s="25" t="n">
        <v>123610</v>
      </c>
      <c r="G2058" s="25" t="n">
        <v>2</v>
      </c>
      <c r="H2058" s="25" t="n">
        <v>10</v>
      </c>
      <c r="I2058" s="25" t="inlineStr">
        <is>
          <t>2 minute(s) and 46 second(s)</t>
        </is>
      </c>
      <c r="J2058" s="25">
        <f>IFERROR(VALUE(TRIM(LEFT(I2058,FIND("minute",I2058)-1)))*60,0)+IFERROR(VALUE(SUBSTITUTE(MID(I2058,IFERROR(FIND("and",I2058)+3,1),20),"second(s)","")),0)</f>
        <v/>
      </c>
      <c r="K2058" s="41">
        <f>J2058/60</f>
        <v/>
      </c>
      <c r="L2058" s="41">
        <f>IFERROR(J2058/H2058,"")</f>
        <v/>
      </c>
      <c r="M2058" s="25" t="inlineStr">
        <is>
          <t>2.5.12</t>
        </is>
      </c>
      <c r="N2058" s="25">
        <f>IF(J2058&gt;300,1,0)</f>
        <v/>
      </c>
      <c r="O2058" s="25">
        <f>IF(J2058&gt;600,1,0)</f>
        <v/>
      </c>
      <c r="P2058" s="25">
        <f>IF(H2058&gt;0,J2058,"")</f>
        <v/>
      </c>
      <c r="Q2058" s="25">
        <f>TEXT(A2058,"YYYY-MM-DD HH")</f>
        <v/>
      </c>
      <c r="R2058" s="25">
        <f>COUNTIF($Q$2:$Q$5295,Q2058)</f>
        <v/>
      </c>
      <c r="S2058" s="25">
        <f>IF(R2058&lt;=2,"1-2",IF(R2058&lt;=5,"3-5",IF(R2058&lt;=10,"6-10","11+")))</f>
        <v/>
      </c>
    </row>
    <row r="2059">
      <c r="A2059" s="39" t="n">
        <v>46177.45811342593</v>
      </c>
      <c r="B2059" s="25">
        <f>TEXT(A2059,"YYYY-MM")</f>
        <v/>
      </c>
      <c r="C2059" s="25">
        <f>TEXT(A2059,"MMM-YYYY")</f>
        <v/>
      </c>
      <c r="D2059" s="40">
        <f>INT(A2059)-WEEKDAY(A2059,2)+1</f>
        <v/>
      </c>
      <c r="E2059" s="25" t="inlineStr">
        <is>
          <t>atiwari</t>
        </is>
      </c>
      <c r="F2059" s="25" t="n">
        <v>122109</v>
      </c>
      <c r="G2059" s="25" t="n">
        <v>3</v>
      </c>
      <c r="H2059" s="25" t="n">
        <v>20</v>
      </c>
      <c r="I2059" s="25" t="inlineStr">
        <is>
          <t>6 minute(s) and 50 second(s)</t>
        </is>
      </c>
      <c r="J2059" s="25">
        <f>IFERROR(VALUE(TRIM(LEFT(I2059,FIND("minute",I2059)-1)))*60,0)+IFERROR(VALUE(SUBSTITUTE(MID(I2059,IFERROR(FIND("and",I2059)+3,1),20),"second(s)","")),0)</f>
        <v/>
      </c>
      <c r="K2059" s="41">
        <f>J2059/60</f>
        <v/>
      </c>
      <c r="L2059" s="41">
        <f>IFERROR(J2059/H2059,"")</f>
        <v/>
      </c>
      <c r="M2059" s="25" t="inlineStr">
        <is>
          <t>2.5.12</t>
        </is>
      </c>
      <c r="N2059" s="25">
        <f>IF(J2059&gt;300,1,0)</f>
        <v/>
      </c>
      <c r="O2059" s="25">
        <f>IF(J2059&gt;600,1,0)</f>
        <v/>
      </c>
      <c r="P2059" s="25">
        <f>IF(H2059&gt;0,J2059,"")</f>
        <v/>
      </c>
      <c r="Q2059" s="25">
        <f>TEXT(A2059,"YYYY-MM-DD HH")</f>
        <v/>
      </c>
      <c r="R2059" s="25">
        <f>COUNTIF($Q$2:$Q$5295,Q2059)</f>
        <v/>
      </c>
      <c r="S2059" s="25">
        <f>IF(R2059&lt;=2,"1-2",IF(R2059&lt;=5,"3-5",IF(R2059&lt;=10,"6-10","11+")))</f>
        <v/>
      </c>
    </row>
    <row r="2060">
      <c r="A2060" s="39" t="n">
        <v>46177.46087962963</v>
      </c>
      <c r="B2060" s="25">
        <f>TEXT(A2060,"YYYY-MM")</f>
        <v/>
      </c>
      <c r="C2060" s="25">
        <f>TEXT(A2060,"MMM-YYYY")</f>
        <v/>
      </c>
      <c r="D2060" s="40">
        <f>INT(A2060)-WEEKDAY(A2060,2)+1</f>
        <v/>
      </c>
      <c r="E2060" s="25" t="inlineStr">
        <is>
          <t>ns</t>
        </is>
      </c>
      <c r="F2060" s="25" t="n">
        <v>121764</v>
      </c>
      <c r="G2060" s="25" t="n">
        <v>4</v>
      </c>
      <c r="H2060" s="25" t="n">
        <v>20</v>
      </c>
      <c r="I2060" s="25" t="inlineStr">
        <is>
          <t>4 minute(s) and 54 second(s)</t>
        </is>
      </c>
      <c r="J2060" s="25">
        <f>IFERROR(VALUE(TRIM(LEFT(I2060,FIND("minute",I2060)-1)))*60,0)+IFERROR(VALUE(SUBSTITUTE(MID(I2060,IFERROR(FIND("and",I2060)+3,1),20),"second(s)","")),0)</f>
        <v/>
      </c>
      <c r="K2060" s="41">
        <f>J2060/60</f>
        <v/>
      </c>
      <c r="L2060" s="41">
        <f>IFERROR(J2060/H2060,"")</f>
        <v/>
      </c>
      <c r="M2060" s="25" t="inlineStr">
        <is>
          <t>2.5.12</t>
        </is>
      </c>
      <c r="N2060" s="25">
        <f>IF(J2060&gt;300,1,0)</f>
        <v/>
      </c>
      <c r="O2060" s="25">
        <f>IF(J2060&gt;600,1,0)</f>
        <v/>
      </c>
      <c r="P2060" s="25">
        <f>IF(H2060&gt;0,J2060,"")</f>
        <v/>
      </c>
      <c r="Q2060" s="25">
        <f>TEXT(A2060,"YYYY-MM-DD HH")</f>
        <v/>
      </c>
      <c r="R2060" s="25">
        <f>COUNTIF($Q$2:$Q$5295,Q2060)</f>
        <v/>
      </c>
      <c r="S2060" s="25">
        <f>IF(R2060&lt;=2,"1-2",IF(R2060&lt;=5,"3-5",IF(R2060&lt;=10,"6-10","11+")))</f>
        <v/>
      </c>
    </row>
    <row r="2061">
      <c r="A2061" s="39" t="n">
        <v>46177.46128472222</v>
      </c>
      <c r="B2061" s="25">
        <f>TEXT(A2061,"YYYY-MM")</f>
        <v/>
      </c>
      <c r="C2061" s="25">
        <f>TEXT(A2061,"MMM-YYYY")</f>
        <v/>
      </c>
      <c r="D2061" s="40">
        <f>INT(A2061)-WEEKDAY(A2061,2)+1</f>
        <v/>
      </c>
      <c r="E2061" s="25" t="inlineStr">
        <is>
          <t>ssaha</t>
        </is>
      </c>
      <c r="F2061" s="25" t="n">
        <v>121791</v>
      </c>
      <c r="G2061" s="25" t="n">
        <v>4</v>
      </c>
      <c r="H2061" s="25" t="n">
        <v>24</v>
      </c>
      <c r="I2061" s="25" t="inlineStr">
        <is>
          <t>6 minute(s) and 0 second(s)</t>
        </is>
      </c>
      <c r="J2061" s="25">
        <f>IFERROR(VALUE(TRIM(LEFT(I2061,FIND("minute",I2061)-1)))*60,0)+IFERROR(VALUE(SUBSTITUTE(MID(I2061,IFERROR(FIND("and",I2061)+3,1),20),"second(s)","")),0)</f>
        <v/>
      </c>
      <c r="K2061" s="41">
        <f>J2061/60</f>
        <v/>
      </c>
      <c r="L2061" s="41">
        <f>IFERROR(J2061/H2061,"")</f>
        <v/>
      </c>
      <c r="M2061" s="25" t="inlineStr">
        <is>
          <t>2.5.12</t>
        </is>
      </c>
      <c r="N2061" s="25">
        <f>IF(J2061&gt;300,1,0)</f>
        <v/>
      </c>
      <c r="O2061" s="25">
        <f>IF(J2061&gt;600,1,0)</f>
        <v/>
      </c>
      <c r="P2061" s="25">
        <f>IF(H2061&gt;0,J2061,"")</f>
        <v/>
      </c>
      <c r="Q2061" s="25">
        <f>TEXT(A2061,"YYYY-MM-DD HH")</f>
        <v/>
      </c>
      <c r="R2061" s="25">
        <f>COUNTIF($Q$2:$Q$5295,Q2061)</f>
        <v/>
      </c>
      <c r="S2061" s="25">
        <f>IF(R2061&lt;=2,"1-2",IF(R2061&lt;=5,"3-5",IF(R2061&lt;=10,"6-10","11+")))</f>
        <v/>
      </c>
    </row>
    <row r="2062">
      <c r="A2062" s="39" t="n">
        <v>46177.46616898148</v>
      </c>
      <c r="B2062" s="25">
        <f>TEXT(A2062,"YYYY-MM")</f>
        <v/>
      </c>
      <c r="C2062" s="25">
        <f>TEXT(A2062,"MMM-YYYY")</f>
        <v/>
      </c>
      <c r="D2062" s="40">
        <f>INT(A2062)-WEEKDAY(A2062,2)+1</f>
        <v/>
      </c>
      <c r="E2062" s="25" t="inlineStr">
        <is>
          <t>ssneha</t>
        </is>
      </c>
      <c r="F2062" s="25" t="n">
        <v>24636</v>
      </c>
      <c r="G2062" s="25" t="n">
        <v>1</v>
      </c>
      <c r="H2062" s="25" t="n">
        <v>7</v>
      </c>
      <c r="I2062" s="25" t="inlineStr">
        <is>
          <t>5 minute(s) and 7 second(s)</t>
        </is>
      </c>
      <c r="J2062" s="25">
        <f>IFERROR(VALUE(TRIM(LEFT(I2062,FIND("minute",I2062)-1)))*60,0)+IFERROR(VALUE(SUBSTITUTE(MID(I2062,IFERROR(FIND("and",I2062)+3,1),20),"second(s)","")),0)</f>
        <v/>
      </c>
      <c r="K2062" s="41">
        <f>J2062/60</f>
        <v/>
      </c>
      <c r="L2062" s="41">
        <f>IFERROR(J2062/H2062,"")</f>
        <v/>
      </c>
      <c r="M2062" s="25" t="inlineStr">
        <is>
          <t>2.5.12</t>
        </is>
      </c>
      <c r="N2062" s="25">
        <f>IF(J2062&gt;300,1,0)</f>
        <v/>
      </c>
      <c r="O2062" s="25">
        <f>IF(J2062&gt;600,1,0)</f>
        <v/>
      </c>
      <c r="P2062" s="25">
        <f>IF(H2062&gt;0,J2062,"")</f>
        <v/>
      </c>
      <c r="Q2062" s="25">
        <f>TEXT(A2062,"YYYY-MM-DD HH")</f>
        <v/>
      </c>
      <c r="R2062" s="25">
        <f>COUNTIF($Q$2:$Q$5295,Q2062)</f>
        <v/>
      </c>
      <c r="S2062" s="25">
        <f>IF(R2062&lt;=2,"1-2",IF(R2062&lt;=5,"3-5",IF(R2062&lt;=10,"6-10","11+")))</f>
        <v/>
      </c>
    </row>
    <row r="2063">
      <c r="A2063" s="39" t="n">
        <v>46177.46806712963</v>
      </c>
      <c r="B2063" s="25">
        <f>TEXT(A2063,"YYYY-MM")</f>
        <v/>
      </c>
      <c r="C2063" s="25">
        <f>TEXT(A2063,"MMM-YYYY")</f>
        <v/>
      </c>
      <c r="D2063" s="40">
        <f>INT(A2063)-WEEKDAY(A2063,2)+1</f>
        <v/>
      </c>
      <c r="E2063" s="25" t="inlineStr">
        <is>
          <t>csaha</t>
        </is>
      </c>
      <c r="F2063" s="25" t="n">
        <v>125702</v>
      </c>
      <c r="G2063" s="25" t="n">
        <v>4</v>
      </c>
      <c r="H2063" s="25" t="n">
        <v>22</v>
      </c>
      <c r="I2063" s="25" t="inlineStr">
        <is>
          <t>4 minute(s) and 58 second(s)</t>
        </is>
      </c>
      <c r="J2063" s="25">
        <f>IFERROR(VALUE(TRIM(LEFT(I2063,FIND("minute",I2063)-1)))*60,0)+IFERROR(VALUE(SUBSTITUTE(MID(I2063,IFERROR(FIND("and",I2063)+3,1),20),"second(s)","")),0)</f>
        <v/>
      </c>
      <c r="K2063" s="41">
        <f>J2063/60</f>
        <v/>
      </c>
      <c r="L2063" s="41">
        <f>IFERROR(J2063/H2063,"")</f>
        <v/>
      </c>
      <c r="M2063" s="25" t="inlineStr">
        <is>
          <t>2.5.12</t>
        </is>
      </c>
      <c r="N2063" s="25">
        <f>IF(J2063&gt;300,1,0)</f>
        <v/>
      </c>
      <c r="O2063" s="25">
        <f>IF(J2063&gt;600,1,0)</f>
        <v/>
      </c>
      <c r="P2063" s="25">
        <f>IF(H2063&gt;0,J2063,"")</f>
        <v/>
      </c>
      <c r="Q2063" s="25">
        <f>TEXT(A2063,"YYYY-MM-DD HH")</f>
        <v/>
      </c>
      <c r="R2063" s="25">
        <f>COUNTIF($Q$2:$Q$5295,Q2063)</f>
        <v/>
      </c>
      <c r="S2063" s="25">
        <f>IF(R2063&lt;=2,"1-2",IF(R2063&lt;=5,"3-5",IF(R2063&lt;=10,"6-10","11+")))</f>
        <v/>
      </c>
    </row>
    <row r="2064">
      <c r="A2064" s="39" t="n">
        <v>46177.47369212963</v>
      </c>
      <c r="B2064" s="25">
        <f>TEXT(A2064,"YYYY-MM")</f>
        <v/>
      </c>
      <c r="C2064" s="25">
        <f>TEXT(A2064,"MMM-YYYY")</f>
        <v/>
      </c>
      <c r="D2064" s="40">
        <f>INT(A2064)-WEEKDAY(A2064,2)+1</f>
        <v/>
      </c>
      <c r="E2064" s="25" t="inlineStr">
        <is>
          <t>ethomas</t>
        </is>
      </c>
      <c r="F2064" s="25" t="n">
        <v>124726</v>
      </c>
      <c r="G2064" s="25" t="n">
        <v>4</v>
      </c>
      <c r="H2064" s="25" t="n">
        <v>14</v>
      </c>
      <c r="I2064" s="25" t="inlineStr">
        <is>
          <t>3 minute(s) and 43 second(s)</t>
        </is>
      </c>
      <c r="J2064" s="25">
        <f>IFERROR(VALUE(TRIM(LEFT(I2064,FIND("minute",I2064)-1)))*60,0)+IFERROR(VALUE(SUBSTITUTE(MID(I2064,IFERROR(FIND("and",I2064)+3,1),20),"second(s)","")),0)</f>
        <v/>
      </c>
      <c r="K2064" s="41">
        <f>J2064/60</f>
        <v/>
      </c>
      <c r="L2064" s="41">
        <f>IFERROR(J2064/H2064,"")</f>
        <v/>
      </c>
      <c r="M2064" s="25" t="inlineStr">
        <is>
          <t>2.5.12</t>
        </is>
      </c>
      <c r="N2064" s="25">
        <f>IF(J2064&gt;300,1,0)</f>
        <v/>
      </c>
      <c r="O2064" s="25">
        <f>IF(J2064&gt;600,1,0)</f>
        <v/>
      </c>
      <c r="P2064" s="25">
        <f>IF(H2064&gt;0,J2064,"")</f>
        <v/>
      </c>
      <c r="Q2064" s="25">
        <f>TEXT(A2064,"YYYY-MM-DD HH")</f>
        <v/>
      </c>
      <c r="R2064" s="25">
        <f>COUNTIF($Q$2:$Q$5295,Q2064)</f>
        <v/>
      </c>
      <c r="S2064" s="25">
        <f>IF(R2064&lt;=2,"1-2",IF(R2064&lt;=5,"3-5",IF(R2064&lt;=10,"6-10","11+")))</f>
        <v/>
      </c>
    </row>
    <row r="2065">
      <c r="A2065" s="39" t="n">
        <v>46177.47988425926</v>
      </c>
      <c r="B2065" s="25">
        <f>TEXT(A2065,"YYYY-MM")</f>
        <v/>
      </c>
      <c r="C2065" s="25">
        <f>TEXT(A2065,"MMM-YYYY")</f>
        <v/>
      </c>
      <c r="D2065" s="40">
        <f>INT(A2065)-WEEKDAY(A2065,2)+1</f>
        <v/>
      </c>
      <c r="E2065" s="25" t="inlineStr">
        <is>
          <t>rts</t>
        </is>
      </c>
      <c r="F2065" s="25" t="n">
        <v>125876</v>
      </c>
      <c r="G2065" s="25" t="n">
        <v>3</v>
      </c>
      <c r="H2065" s="25" t="n">
        <v>7</v>
      </c>
      <c r="I2065" s="25" t="inlineStr">
        <is>
          <t>2 minute(s) and 47 second(s)</t>
        </is>
      </c>
      <c r="J2065" s="25">
        <f>IFERROR(VALUE(TRIM(LEFT(I2065,FIND("minute",I2065)-1)))*60,0)+IFERROR(VALUE(SUBSTITUTE(MID(I2065,IFERROR(FIND("and",I2065)+3,1),20),"second(s)","")),0)</f>
        <v/>
      </c>
      <c r="K2065" s="41">
        <f>J2065/60</f>
        <v/>
      </c>
      <c r="L2065" s="41">
        <f>IFERROR(J2065/H2065,"")</f>
        <v/>
      </c>
      <c r="M2065" s="25" t="inlineStr">
        <is>
          <t>2.5.12</t>
        </is>
      </c>
      <c r="N2065" s="25">
        <f>IF(J2065&gt;300,1,0)</f>
        <v/>
      </c>
      <c r="O2065" s="25">
        <f>IF(J2065&gt;600,1,0)</f>
        <v/>
      </c>
      <c r="P2065" s="25">
        <f>IF(H2065&gt;0,J2065,"")</f>
        <v/>
      </c>
      <c r="Q2065" s="25">
        <f>TEXT(A2065,"YYYY-MM-DD HH")</f>
        <v/>
      </c>
      <c r="R2065" s="25">
        <f>COUNTIF($Q$2:$Q$5295,Q2065)</f>
        <v/>
      </c>
      <c r="S2065" s="25">
        <f>IF(R2065&lt;=2,"1-2",IF(R2065&lt;=5,"3-5",IF(R2065&lt;=10,"6-10","11+")))</f>
        <v/>
      </c>
    </row>
    <row r="2066">
      <c r="A2066" s="39" t="n">
        <v>46177.48108796297</v>
      </c>
      <c r="B2066" s="25">
        <f>TEXT(A2066,"YYYY-MM")</f>
        <v/>
      </c>
      <c r="C2066" s="25">
        <f>TEXT(A2066,"MMM-YYYY")</f>
        <v/>
      </c>
      <c r="D2066" s="40">
        <f>INT(A2066)-WEEKDAY(A2066,2)+1</f>
        <v/>
      </c>
      <c r="E2066" s="25" t="inlineStr">
        <is>
          <t>psingh</t>
        </is>
      </c>
      <c r="F2066" s="25" t="n">
        <v>72164</v>
      </c>
      <c r="G2066" s="25" t="n">
        <v>1</v>
      </c>
      <c r="H2066" s="25" t="n">
        <v>5</v>
      </c>
      <c r="I2066" s="25" t="inlineStr">
        <is>
          <t>54 second(s)</t>
        </is>
      </c>
      <c r="J2066" s="25">
        <f>IFERROR(VALUE(TRIM(LEFT(I2066,FIND("minute",I2066)-1)))*60,0)+IFERROR(VALUE(SUBSTITUTE(MID(I2066,IFERROR(FIND("and",I2066)+3,1),20),"second(s)","")),0)</f>
        <v/>
      </c>
      <c r="K2066" s="41">
        <f>J2066/60</f>
        <v/>
      </c>
      <c r="L2066" s="41">
        <f>IFERROR(J2066/H2066,"")</f>
        <v/>
      </c>
      <c r="M2066" s="25" t="inlineStr">
        <is>
          <t>2.5.12</t>
        </is>
      </c>
      <c r="N2066" s="25">
        <f>IF(J2066&gt;300,1,0)</f>
        <v/>
      </c>
      <c r="O2066" s="25">
        <f>IF(J2066&gt;600,1,0)</f>
        <v/>
      </c>
      <c r="P2066" s="25">
        <f>IF(H2066&gt;0,J2066,"")</f>
        <v/>
      </c>
      <c r="Q2066" s="25">
        <f>TEXT(A2066,"YYYY-MM-DD HH")</f>
        <v/>
      </c>
      <c r="R2066" s="25">
        <f>COUNTIF($Q$2:$Q$5295,Q2066)</f>
        <v/>
      </c>
      <c r="S2066" s="25">
        <f>IF(R2066&lt;=2,"1-2",IF(R2066&lt;=5,"3-5",IF(R2066&lt;=10,"6-10","11+")))</f>
        <v/>
      </c>
    </row>
    <row r="2067">
      <c r="A2067" s="39" t="n">
        <v>46177.506875</v>
      </c>
      <c r="B2067" s="25">
        <f>TEXT(A2067,"YYYY-MM")</f>
        <v/>
      </c>
      <c r="C2067" s="25">
        <f>TEXT(A2067,"MMM-YYYY")</f>
        <v/>
      </c>
      <c r="D2067" s="40">
        <f>INT(A2067)-WEEKDAY(A2067,2)+1</f>
        <v/>
      </c>
      <c r="E2067" s="25" t="inlineStr">
        <is>
          <t>ssneha</t>
        </is>
      </c>
      <c r="F2067" s="25" t="n">
        <v>26551</v>
      </c>
      <c r="G2067" s="25" t="n">
        <v>4</v>
      </c>
      <c r="H2067" s="25" t="n">
        <v>20</v>
      </c>
      <c r="I2067" s="25" t="inlineStr">
        <is>
          <t>15 minute(s) and 35 second(s)</t>
        </is>
      </c>
      <c r="J2067" s="25">
        <f>IFERROR(VALUE(TRIM(LEFT(I2067,FIND("minute",I2067)-1)))*60,0)+IFERROR(VALUE(SUBSTITUTE(MID(I2067,IFERROR(FIND("and",I2067)+3,1),20),"second(s)","")),0)</f>
        <v/>
      </c>
      <c r="K2067" s="41">
        <f>J2067/60</f>
        <v/>
      </c>
      <c r="L2067" s="41">
        <f>IFERROR(J2067/H2067,"")</f>
        <v/>
      </c>
      <c r="M2067" s="25" t="inlineStr">
        <is>
          <t>2.5.12</t>
        </is>
      </c>
      <c r="N2067" s="25">
        <f>IF(J2067&gt;300,1,0)</f>
        <v/>
      </c>
      <c r="O2067" s="25">
        <f>IF(J2067&gt;600,1,0)</f>
        <v/>
      </c>
      <c r="P2067" s="25">
        <f>IF(H2067&gt;0,J2067,"")</f>
        <v/>
      </c>
      <c r="Q2067" s="25">
        <f>TEXT(A2067,"YYYY-MM-DD HH")</f>
        <v/>
      </c>
      <c r="R2067" s="25">
        <f>COUNTIF($Q$2:$Q$5295,Q2067)</f>
        <v/>
      </c>
      <c r="S2067" s="25">
        <f>IF(R2067&lt;=2,"1-2",IF(R2067&lt;=5,"3-5",IF(R2067&lt;=10,"6-10","11+")))</f>
        <v/>
      </c>
    </row>
    <row r="2068">
      <c r="A2068" s="39" t="n">
        <v>46177.51143518519</v>
      </c>
      <c r="B2068" s="25">
        <f>TEXT(A2068,"YYYY-MM")</f>
        <v/>
      </c>
      <c r="C2068" s="25">
        <f>TEXT(A2068,"MMM-YYYY")</f>
        <v/>
      </c>
      <c r="D2068" s="40">
        <f>INT(A2068)-WEEKDAY(A2068,2)+1</f>
        <v/>
      </c>
      <c r="E2068" s="25" t="inlineStr">
        <is>
          <t>ssarkar</t>
        </is>
      </c>
      <c r="F2068" s="25" t="n">
        <v>125313</v>
      </c>
      <c r="G2068" s="25" t="n">
        <v>2</v>
      </c>
      <c r="H2068" s="25" t="n">
        <v>10</v>
      </c>
      <c r="I2068" s="25" t="inlineStr">
        <is>
          <t>2 minute(s) and 9 second(s)</t>
        </is>
      </c>
      <c r="J2068" s="25">
        <f>IFERROR(VALUE(TRIM(LEFT(I2068,FIND("minute",I2068)-1)))*60,0)+IFERROR(VALUE(SUBSTITUTE(MID(I2068,IFERROR(FIND("and",I2068)+3,1),20),"second(s)","")),0)</f>
        <v/>
      </c>
      <c r="K2068" s="41">
        <f>J2068/60</f>
        <v/>
      </c>
      <c r="L2068" s="41">
        <f>IFERROR(J2068/H2068,"")</f>
        <v/>
      </c>
      <c r="M2068" s="25" t="inlineStr">
        <is>
          <t>2.5.12</t>
        </is>
      </c>
      <c r="N2068" s="25">
        <f>IF(J2068&gt;300,1,0)</f>
        <v/>
      </c>
      <c r="O2068" s="25">
        <f>IF(J2068&gt;600,1,0)</f>
        <v/>
      </c>
      <c r="P2068" s="25">
        <f>IF(H2068&gt;0,J2068,"")</f>
        <v/>
      </c>
      <c r="Q2068" s="25">
        <f>TEXT(A2068,"YYYY-MM-DD HH")</f>
        <v/>
      </c>
      <c r="R2068" s="25">
        <f>COUNTIF($Q$2:$Q$5295,Q2068)</f>
        <v/>
      </c>
      <c r="S2068" s="25">
        <f>IF(R2068&lt;=2,"1-2",IF(R2068&lt;=5,"3-5",IF(R2068&lt;=10,"6-10","11+")))</f>
        <v/>
      </c>
    </row>
    <row r="2069">
      <c r="A2069" s="39" t="n">
        <v>46177.52180555555</v>
      </c>
      <c r="B2069" s="25">
        <f>TEXT(A2069,"YYYY-MM")</f>
        <v/>
      </c>
      <c r="C2069" s="25">
        <f>TEXT(A2069,"MMM-YYYY")</f>
        <v/>
      </c>
      <c r="D2069" s="40">
        <f>INT(A2069)-WEEKDAY(A2069,2)+1</f>
        <v/>
      </c>
      <c r="E2069" s="25" t="inlineStr">
        <is>
          <t>csaha</t>
        </is>
      </c>
      <c r="F2069" s="25" t="n">
        <v>122994</v>
      </c>
      <c r="G2069" s="25" t="n">
        <v>2</v>
      </c>
      <c r="H2069" s="25" t="n">
        <v>12</v>
      </c>
      <c r="I2069" s="25" t="inlineStr">
        <is>
          <t>2 minute(s) and 36 second(s)</t>
        </is>
      </c>
      <c r="J2069" s="25">
        <f>IFERROR(VALUE(TRIM(LEFT(I2069,FIND("minute",I2069)-1)))*60,0)+IFERROR(VALUE(SUBSTITUTE(MID(I2069,IFERROR(FIND("and",I2069)+3,1),20),"second(s)","")),0)</f>
        <v/>
      </c>
      <c r="K2069" s="41">
        <f>J2069/60</f>
        <v/>
      </c>
      <c r="L2069" s="41">
        <f>IFERROR(J2069/H2069,"")</f>
        <v/>
      </c>
      <c r="M2069" s="25" t="inlineStr">
        <is>
          <t>2.5.12</t>
        </is>
      </c>
      <c r="N2069" s="25">
        <f>IF(J2069&gt;300,1,0)</f>
        <v/>
      </c>
      <c r="O2069" s="25">
        <f>IF(J2069&gt;600,1,0)</f>
        <v/>
      </c>
      <c r="P2069" s="25">
        <f>IF(H2069&gt;0,J2069,"")</f>
        <v/>
      </c>
      <c r="Q2069" s="25">
        <f>TEXT(A2069,"YYYY-MM-DD HH")</f>
        <v/>
      </c>
      <c r="R2069" s="25">
        <f>COUNTIF($Q$2:$Q$5295,Q2069)</f>
        <v/>
      </c>
      <c r="S2069" s="25">
        <f>IF(R2069&lt;=2,"1-2",IF(R2069&lt;=5,"3-5",IF(R2069&lt;=10,"6-10","11+")))</f>
        <v/>
      </c>
    </row>
    <row r="2070">
      <c r="A2070" s="39" t="n">
        <v>46177.55599537037</v>
      </c>
      <c r="B2070" s="25">
        <f>TEXT(A2070,"YYYY-MM")</f>
        <v/>
      </c>
      <c r="C2070" s="25">
        <f>TEXT(A2070,"MMM-YYYY")</f>
        <v/>
      </c>
      <c r="D2070" s="40">
        <f>INT(A2070)-WEEKDAY(A2070,2)+1</f>
        <v/>
      </c>
      <c r="E2070" s="25" t="inlineStr">
        <is>
          <t>aghosh</t>
        </is>
      </c>
      <c r="F2070" s="25" t="n">
        <v>124510</v>
      </c>
      <c r="G2070" s="25" t="n">
        <v>1</v>
      </c>
      <c r="H2070" s="25" t="n">
        <v>5</v>
      </c>
      <c r="I2070" s="25" t="inlineStr">
        <is>
          <t>2 minute(s) and 24 second(s)</t>
        </is>
      </c>
      <c r="J2070" s="25">
        <f>IFERROR(VALUE(TRIM(LEFT(I2070,FIND("minute",I2070)-1)))*60,0)+IFERROR(VALUE(SUBSTITUTE(MID(I2070,IFERROR(FIND("and",I2070)+3,1),20),"second(s)","")),0)</f>
        <v/>
      </c>
      <c r="K2070" s="41">
        <f>J2070/60</f>
        <v/>
      </c>
      <c r="L2070" s="41">
        <f>IFERROR(J2070/H2070,"")</f>
        <v/>
      </c>
      <c r="M2070" s="25" t="inlineStr">
        <is>
          <t>2.5.12</t>
        </is>
      </c>
      <c r="N2070" s="25">
        <f>IF(J2070&gt;300,1,0)</f>
        <v/>
      </c>
      <c r="O2070" s="25">
        <f>IF(J2070&gt;600,1,0)</f>
        <v/>
      </c>
      <c r="P2070" s="25">
        <f>IF(H2070&gt;0,J2070,"")</f>
        <v/>
      </c>
      <c r="Q2070" s="25">
        <f>TEXT(A2070,"YYYY-MM-DD HH")</f>
        <v/>
      </c>
      <c r="R2070" s="25">
        <f>COUNTIF($Q$2:$Q$5295,Q2070)</f>
        <v/>
      </c>
      <c r="S2070" s="25">
        <f>IF(R2070&lt;=2,"1-2",IF(R2070&lt;=5,"3-5",IF(R2070&lt;=10,"6-10","11+")))</f>
        <v/>
      </c>
    </row>
    <row r="2071">
      <c r="A2071" s="39" t="n">
        <v>46177.55895833333</v>
      </c>
      <c r="B2071" s="25">
        <f>TEXT(A2071,"YYYY-MM")</f>
        <v/>
      </c>
      <c r="C2071" s="25">
        <f>TEXT(A2071,"MMM-YYYY")</f>
        <v/>
      </c>
      <c r="D2071" s="40">
        <f>INT(A2071)-WEEKDAY(A2071,2)+1</f>
        <v/>
      </c>
      <c r="E2071" s="25" t="inlineStr">
        <is>
          <t>rsingh</t>
        </is>
      </c>
      <c r="F2071" s="25" t="n">
        <v>124215</v>
      </c>
      <c r="G2071" s="25" t="n">
        <v>5</v>
      </c>
      <c r="H2071" s="25" t="n">
        <v>31</v>
      </c>
      <c r="I2071" s="25" t="inlineStr">
        <is>
          <t>11 minute(s) and 9 second(s)</t>
        </is>
      </c>
      <c r="J2071" s="25">
        <f>IFERROR(VALUE(TRIM(LEFT(I2071,FIND("minute",I2071)-1)))*60,0)+IFERROR(VALUE(SUBSTITUTE(MID(I2071,IFERROR(FIND("and",I2071)+3,1),20),"second(s)","")),0)</f>
        <v/>
      </c>
      <c r="K2071" s="41">
        <f>J2071/60</f>
        <v/>
      </c>
      <c r="L2071" s="41">
        <f>IFERROR(J2071/H2071,"")</f>
        <v/>
      </c>
      <c r="M2071" s="25" t="inlineStr">
        <is>
          <t>2.5.12</t>
        </is>
      </c>
      <c r="N2071" s="25">
        <f>IF(J2071&gt;300,1,0)</f>
        <v/>
      </c>
      <c r="O2071" s="25">
        <f>IF(J2071&gt;600,1,0)</f>
        <v/>
      </c>
      <c r="P2071" s="25">
        <f>IF(H2071&gt;0,J2071,"")</f>
        <v/>
      </c>
      <c r="Q2071" s="25">
        <f>TEXT(A2071,"YYYY-MM-DD HH")</f>
        <v/>
      </c>
      <c r="R2071" s="25">
        <f>COUNTIF($Q$2:$Q$5295,Q2071)</f>
        <v/>
      </c>
      <c r="S2071" s="25">
        <f>IF(R2071&lt;=2,"1-2",IF(R2071&lt;=5,"3-5",IF(R2071&lt;=10,"6-10","11+")))</f>
        <v/>
      </c>
    </row>
    <row r="2072">
      <c r="A2072" s="39" t="n">
        <v>46177.56491898148</v>
      </c>
      <c r="B2072" s="25">
        <f>TEXT(A2072,"YYYY-MM")</f>
        <v/>
      </c>
      <c r="C2072" s="25">
        <f>TEXT(A2072,"MMM-YYYY")</f>
        <v/>
      </c>
      <c r="D2072" s="40">
        <f>INT(A2072)-WEEKDAY(A2072,2)+1</f>
        <v/>
      </c>
      <c r="E2072" s="25" t="inlineStr">
        <is>
          <t>ssaha</t>
        </is>
      </c>
      <c r="F2072" s="25" t="n">
        <v>122343</v>
      </c>
      <c r="G2072" s="25" t="n">
        <v>2</v>
      </c>
      <c r="H2072" s="25" t="n">
        <v>10</v>
      </c>
      <c r="I2072" s="25" t="inlineStr">
        <is>
          <t>2 minute(s) and 10 second(s)</t>
        </is>
      </c>
      <c r="J2072" s="25">
        <f>IFERROR(VALUE(TRIM(LEFT(I2072,FIND("minute",I2072)-1)))*60,0)+IFERROR(VALUE(SUBSTITUTE(MID(I2072,IFERROR(FIND("and",I2072)+3,1),20),"second(s)","")),0)</f>
        <v/>
      </c>
      <c r="K2072" s="41">
        <f>J2072/60</f>
        <v/>
      </c>
      <c r="L2072" s="41">
        <f>IFERROR(J2072/H2072,"")</f>
        <v/>
      </c>
      <c r="M2072" s="25" t="inlineStr">
        <is>
          <t>2.5.12</t>
        </is>
      </c>
      <c r="N2072" s="25">
        <f>IF(J2072&gt;300,1,0)</f>
        <v/>
      </c>
      <c r="O2072" s="25">
        <f>IF(J2072&gt;600,1,0)</f>
        <v/>
      </c>
      <c r="P2072" s="25">
        <f>IF(H2072&gt;0,J2072,"")</f>
        <v/>
      </c>
      <c r="Q2072" s="25">
        <f>TEXT(A2072,"YYYY-MM-DD HH")</f>
        <v/>
      </c>
      <c r="R2072" s="25">
        <f>COUNTIF($Q$2:$Q$5295,Q2072)</f>
        <v/>
      </c>
      <c r="S2072" s="25">
        <f>IF(R2072&lt;=2,"1-2",IF(R2072&lt;=5,"3-5",IF(R2072&lt;=10,"6-10","11+")))</f>
        <v/>
      </c>
    </row>
    <row r="2073">
      <c r="A2073" s="39" t="n">
        <v>46177.56959490741</v>
      </c>
      <c r="B2073" s="25">
        <f>TEXT(A2073,"YYYY-MM")</f>
        <v/>
      </c>
      <c r="C2073" s="25">
        <f>TEXT(A2073,"MMM-YYYY")</f>
        <v/>
      </c>
      <c r="D2073" s="40">
        <f>INT(A2073)-WEEKDAY(A2073,2)+1</f>
        <v/>
      </c>
      <c r="E2073" s="25" t="inlineStr">
        <is>
          <t>aghosh</t>
        </is>
      </c>
      <c r="F2073" s="25" t="n">
        <v>124510</v>
      </c>
      <c r="G2073" s="25" t="n">
        <v>2</v>
      </c>
      <c r="H2073" s="25" t="n">
        <v>8</v>
      </c>
      <c r="I2073" s="25" t="inlineStr">
        <is>
          <t>2 minute(s) and 43 second(s)</t>
        </is>
      </c>
      <c r="J2073" s="25">
        <f>IFERROR(VALUE(TRIM(LEFT(I2073,FIND("minute",I2073)-1)))*60,0)+IFERROR(VALUE(SUBSTITUTE(MID(I2073,IFERROR(FIND("and",I2073)+3,1),20),"second(s)","")),0)</f>
        <v/>
      </c>
      <c r="K2073" s="41">
        <f>J2073/60</f>
        <v/>
      </c>
      <c r="L2073" s="41">
        <f>IFERROR(J2073/H2073,"")</f>
        <v/>
      </c>
      <c r="M2073" s="25" t="inlineStr">
        <is>
          <t>2.5.12</t>
        </is>
      </c>
      <c r="N2073" s="25">
        <f>IF(J2073&gt;300,1,0)</f>
        <v/>
      </c>
      <c r="O2073" s="25">
        <f>IF(J2073&gt;600,1,0)</f>
        <v/>
      </c>
      <c r="P2073" s="25">
        <f>IF(H2073&gt;0,J2073,"")</f>
        <v/>
      </c>
      <c r="Q2073" s="25">
        <f>TEXT(A2073,"YYYY-MM-DD HH")</f>
        <v/>
      </c>
      <c r="R2073" s="25">
        <f>COUNTIF($Q$2:$Q$5295,Q2073)</f>
        <v/>
      </c>
      <c r="S2073" s="25">
        <f>IF(R2073&lt;=2,"1-2",IF(R2073&lt;=5,"3-5",IF(R2073&lt;=10,"6-10","11+")))</f>
        <v/>
      </c>
    </row>
    <row r="2074">
      <c r="A2074" s="39" t="n">
        <v>46177.57331018519</v>
      </c>
      <c r="B2074" s="25">
        <f>TEXT(A2074,"YYYY-MM")</f>
        <v/>
      </c>
      <c r="C2074" s="25">
        <f>TEXT(A2074,"MMM-YYYY")</f>
        <v/>
      </c>
      <c r="D2074" s="40">
        <f>INT(A2074)-WEEKDAY(A2074,2)+1</f>
        <v/>
      </c>
      <c r="E2074" s="25" t="inlineStr">
        <is>
          <t>apriyadarshi</t>
        </is>
      </c>
      <c r="F2074" s="25" t="n">
        <v>125944</v>
      </c>
      <c r="G2074" s="25" t="n">
        <v>1</v>
      </c>
      <c r="H2074" s="25" t="n">
        <v>5</v>
      </c>
      <c r="I2074" s="25" t="inlineStr">
        <is>
          <t>49 second(s)</t>
        </is>
      </c>
      <c r="J2074" s="25">
        <f>IFERROR(VALUE(TRIM(LEFT(I2074,FIND("minute",I2074)-1)))*60,0)+IFERROR(VALUE(SUBSTITUTE(MID(I2074,IFERROR(FIND("and",I2074)+3,1),20),"second(s)","")),0)</f>
        <v/>
      </c>
      <c r="K2074" s="41">
        <f>J2074/60</f>
        <v/>
      </c>
      <c r="L2074" s="41">
        <f>IFERROR(J2074/H2074,"")</f>
        <v/>
      </c>
      <c r="M2074" s="25" t="inlineStr">
        <is>
          <t>2.5.12</t>
        </is>
      </c>
      <c r="N2074" s="25">
        <f>IF(J2074&gt;300,1,0)</f>
        <v/>
      </c>
      <c r="O2074" s="25">
        <f>IF(J2074&gt;600,1,0)</f>
        <v/>
      </c>
      <c r="P2074" s="25">
        <f>IF(H2074&gt;0,J2074,"")</f>
        <v/>
      </c>
      <c r="Q2074" s="25">
        <f>TEXT(A2074,"YYYY-MM-DD HH")</f>
        <v/>
      </c>
      <c r="R2074" s="25">
        <f>COUNTIF($Q$2:$Q$5295,Q2074)</f>
        <v/>
      </c>
      <c r="S2074" s="25">
        <f>IF(R2074&lt;=2,"1-2",IF(R2074&lt;=5,"3-5",IF(R2074&lt;=10,"6-10","11+")))</f>
        <v/>
      </c>
    </row>
    <row r="2075">
      <c r="A2075" s="39" t="n">
        <v>46177.57358796296</v>
      </c>
      <c r="B2075" s="25">
        <f>TEXT(A2075,"YYYY-MM")</f>
        <v/>
      </c>
      <c r="C2075" s="25">
        <f>TEXT(A2075,"MMM-YYYY")</f>
        <v/>
      </c>
      <c r="D2075" s="40">
        <f>INT(A2075)-WEEKDAY(A2075,2)+1</f>
        <v/>
      </c>
      <c r="E2075" s="25" t="inlineStr">
        <is>
          <t>hsindwani</t>
        </is>
      </c>
      <c r="F2075" s="25" t="n">
        <v>122077</v>
      </c>
      <c r="G2075" s="25" t="n">
        <v>2</v>
      </c>
      <c r="H2075" s="25" t="n">
        <v>8</v>
      </c>
      <c r="I2075" s="25" t="inlineStr">
        <is>
          <t>4 minute(s) and 44 second(s)</t>
        </is>
      </c>
      <c r="J2075" s="25">
        <f>IFERROR(VALUE(TRIM(LEFT(I2075,FIND("minute",I2075)-1)))*60,0)+IFERROR(VALUE(SUBSTITUTE(MID(I2075,IFERROR(FIND("and",I2075)+3,1),20),"second(s)","")),0)</f>
        <v/>
      </c>
      <c r="K2075" s="41">
        <f>J2075/60</f>
        <v/>
      </c>
      <c r="L2075" s="41">
        <f>IFERROR(J2075/H2075,"")</f>
        <v/>
      </c>
      <c r="M2075" s="25" t="inlineStr">
        <is>
          <t>2.5.12</t>
        </is>
      </c>
      <c r="N2075" s="25">
        <f>IF(J2075&gt;300,1,0)</f>
        <v/>
      </c>
      <c r="O2075" s="25">
        <f>IF(J2075&gt;600,1,0)</f>
        <v/>
      </c>
      <c r="P2075" s="25">
        <f>IF(H2075&gt;0,J2075,"")</f>
        <v/>
      </c>
      <c r="Q2075" s="25">
        <f>TEXT(A2075,"YYYY-MM-DD HH")</f>
        <v/>
      </c>
      <c r="R2075" s="25">
        <f>COUNTIF($Q$2:$Q$5295,Q2075)</f>
        <v/>
      </c>
      <c r="S2075" s="25">
        <f>IF(R2075&lt;=2,"1-2",IF(R2075&lt;=5,"3-5",IF(R2075&lt;=10,"6-10","11+")))</f>
        <v/>
      </c>
    </row>
    <row r="2076">
      <c r="A2076" s="39" t="n">
        <v>46177.60650462963</v>
      </c>
      <c r="B2076" s="25">
        <f>TEXT(A2076,"YYYY-MM")</f>
        <v/>
      </c>
      <c r="C2076" s="25">
        <f>TEXT(A2076,"MMM-YYYY")</f>
        <v/>
      </c>
      <c r="D2076" s="40">
        <f>INT(A2076)-WEEKDAY(A2076,2)+1</f>
        <v/>
      </c>
      <c r="E2076" s="25" t="inlineStr">
        <is>
          <t>ssaha</t>
        </is>
      </c>
      <c r="F2076" s="25" t="n">
        <v>122541</v>
      </c>
      <c r="G2076" s="25" t="n">
        <v>2</v>
      </c>
      <c r="H2076" s="25" t="n">
        <v>6</v>
      </c>
      <c r="I2076" s="25" t="inlineStr">
        <is>
          <t>1 minute(s) and 43 second(s)</t>
        </is>
      </c>
      <c r="J2076" s="25">
        <f>IFERROR(VALUE(TRIM(LEFT(I2076,FIND("minute",I2076)-1)))*60,0)+IFERROR(VALUE(SUBSTITUTE(MID(I2076,IFERROR(FIND("and",I2076)+3,1),20),"second(s)","")),0)</f>
        <v/>
      </c>
      <c r="K2076" s="41">
        <f>J2076/60</f>
        <v/>
      </c>
      <c r="L2076" s="41">
        <f>IFERROR(J2076/H2076,"")</f>
        <v/>
      </c>
      <c r="M2076" s="25" t="inlineStr">
        <is>
          <t>2.5.12</t>
        </is>
      </c>
      <c r="N2076" s="25">
        <f>IF(J2076&gt;300,1,0)</f>
        <v/>
      </c>
      <c r="O2076" s="25">
        <f>IF(J2076&gt;600,1,0)</f>
        <v/>
      </c>
      <c r="P2076" s="25">
        <f>IF(H2076&gt;0,J2076,"")</f>
        <v/>
      </c>
      <c r="Q2076" s="25">
        <f>TEXT(A2076,"YYYY-MM-DD HH")</f>
        <v/>
      </c>
      <c r="R2076" s="25">
        <f>COUNTIF($Q$2:$Q$5295,Q2076)</f>
        <v/>
      </c>
      <c r="S2076" s="25">
        <f>IF(R2076&lt;=2,"1-2",IF(R2076&lt;=5,"3-5",IF(R2076&lt;=10,"6-10","11+")))</f>
        <v/>
      </c>
    </row>
    <row r="2077">
      <c r="A2077" s="39" t="n">
        <v>46177.61517361111</v>
      </c>
      <c r="B2077" s="25">
        <f>TEXT(A2077,"YYYY-MM")</f>
        <v/>
      </c>
      <c r="C2077" s="25">
        <f>TEXT(A2077,"MMM-YYYY")</f>
        <v/>
      </c>
      <c r="D2077" s="40">
        <f>INT(A2077)-WEEKDAY(A2077,2)+1</f>
        <v/>
      </c>
      <c r="E2077" s="25" t="inlineStr">
        <is>
          <t>csaha</t>
        </is>
      </c>
      <c r="F2077" s="25" t="n">
        <v>123804</v>
      </c>
      <c r="G2077" s="25" t="n">
        <v>2</v>
      </c>
      <c r="H2077" s="25" t="n">
        <v>10</v>
      </c>
      <c r="I2077" s="25" t="inlineStr">
        <is>
          <t>2 minute(s) and 6 second(s)</t>
        </is>
      </c>
      <c r="J2077" s="25">
        <f>IFERROR(VALUE(TRIM(LEFT(I2077,FIND("minute",I2077)-1)))*60,0)+IFERROR(VALUE(SUBSTITUTE(MID(I2077,IFERROR(FIND("and",I2077)+3,1),20),"second(s)","")),0)</f>
        <v/>
      </c>
      <c r="K2077" s="41">
        <f>J2077/60</f>
        <v/>
      </c>
      <c r="L2077" s="41">
        <f>IFERROR(J2077/H2077,"")</f>
        <v/>
      </c>
      <c r="M2077" s="25" t="inlineStr">
        <is>
          <t>2.5.12</t>
        </is>
      </c>
      <c r="N2077" s="25">
        <f>IF(J2077&gt;300,1,0)</f>
        <v/>
      </c>
      <c r="O2077" s="25">
        <f>IF(J2077&gt;600,1,0)</f>
        <v/>
      </c>
      <c r="P2077" s="25">
        <f>IF(H2077&gt;0,J2077,"")</f>
        <v/>
      </c>
      <c r="Q2077" s="25">
        <f>TEXT(A2077,"YYYY-MM-DD HH")</f>
        <v/>
      </c>
      <c r="R2077" s="25">
        <f>COUNTIF($Q$2:$Q$5295,Q2077)</f>
        <v/>
      </c>
      <c r="S2077" s="25">
        <f>IF(R2077&lt;=2,"1-2",IF(R2077&lt;=5,"3-5",IF(R2077&lt;=10,"6-10","11+")))</f>
        <v/>
      </c>
    </row>
    <row r="2078">
      <c r="A2078" s="39" t="n">
        <v>46177.63451388889</v>
      </c>
      <c r="B2078" s="25">
        <f>TEXT(A2078,"YYYY-MM")</f>
        <v/>
      </c>
      <c r="C2078" s="25">
        <f>TEXT(A2078,"MMM-YYYY")</f>
        <v/>
      </c>
      <c r="D2078" s="40">
        <f>INT(A2078)-WEEKDAY(A2078,2)+1</f>
        <v/>
      </c>
      <c r="E2078" s="25" t="inlineStr">
        <is>
          <t>ssaha</t>
        </is>
      </c>
      <c r="F2078" s="25" t="n">
        <v>122541</v>
      </c>
      <c r="G2078" s="25" t="n">
        <v>2</v>
      </c>
      <c r="H2078" s="25" t="n">
        <v>8</v>
      </c>
      <c r="I2078" s="25" t="inlineStr">
        <is>
          <t>1 minute(s) and 41 second(s)</t>
        </is>
      </c>
      <c r="J2078" s="25">
        <f>IFERROR(VALUE(TRIM(LEFT(I2078,FIND("minute",I2078)-1)))*60,0)+IFERROR(VALUE(SUBSTITUTE(MID(I2078,IFERROR(FIND("and",I2078)+3,1),20),"second(s)","")),0)</f>
        <v/>
      </c>
      <c r="K2078" s="41">
        <f>J2078/60</f>
        <v/>
      </c>
      <c r="L2078" s="41">
        <f>IFERROR(J2078/H2078,"")</f>
        <v/>
      </c>
      <c r="M2078" s="25" t="inlineStr">
        <is>
          <t>2.5.12</t>
        </is>
      </c>
      <c r="N2078" s="25">
        <f>IF(J2078&gt;300,1,0)</f>
        <v/>
      </c>
      <c r="O2078" s="25">
        <f>IF(J2078&gt;600,1,0)</f>
        <v/>
      </c>
      <c r="P2078" s="25">
        <f>IF(H2078&gt;0,J2078,"")</f>
        <v/>
      </c>
      <c r="Q2078" s="25">
        <f>TEXT(A2078,"YYYY-MM-DD HH")</f>
        <v/>
      </c>
      <c r="R2078" s="25">
        <f>COUNTIF($Q$2:$Q$5295,Q2078)</f>
        <v/>
      </c>
      <c r="S2078" s="25">
        <f>IF(R2078&lt;=2,"1-2",IF(R2078&lt;=5,"3-5",IF(R2078&lt;=10,"6-10","11+")))</f>
        <v/>
      </c>
    </row>
    <row r="2079">
      <c r="A2079" s="39" t="n">
        <v>46177.67075231481</v>
      </c>
      <c r="B2079" s="25">
        <f>TEXT(A2079,"YYYY-MM")</f>
        <v/>
      </c>
      <c r="C2079" s="25">
        <f>TEXT(A2079,"MMM-YYYY")</f>
        <v/>
      </c>
      <c r="D2079" s="40">
        <f>INT(A2079)-WEEKDAY(A2079,2)+1</f>
        <v/>
      </c>
      <c r="E2079" s="25" t="inlineStr">
        <is>
          <t>ssarkar</t>
        </is>
      </c>
      <c r="F2079" s="25" t="n">
        <v>125179</v>
      </c>
      <c r="G2079" s="25" t="n">
        <v>2</v>
      </c>
      <c r="H2079" s="25" t="n">
        <v>8</v>
      </c>
      <c r="I2079" s="25" t="inlineStr">
        <is>
          <t>4 minute(s) and 3 second(s)</t>
        </is>
      </c>
      <c r="J2079" s="25">
        <f>IFERROR(VALUE(TRIM(LEFT(I2079,FIND("minute",I2079)-1)))*60,0)+IFERROR(VALUE(SUBSTITUTE(MID(I2079,IFERROR(FIND("and",I2079)+3,1),20),"second(s)","")),0)</f>
        <v/>
      </c>
      <c r="K2079" s="41">
        <f>J2079/60</f>
        <v/>
      </c>
      <c r="L2079" s="41">
        <f>IFERROR(J2079/H2079,"")</f>
        <v/>
      </c>
      <c r="M2079" s="25" t="inlineStr">
        <is>
          <t>2.5.12</t>
        </is>
      </c>
      <c r="N2079" s="25">
        <f>IF(J2079&gt;300,1,0)</f>
        <v/>
      </c>
      <c r="O2079" s="25">
        <f>IF(J2079&gt;600,1,0)</f>
        <v/>
      </c>
      <c r="P2079" s="25">
        <f>IF(H2079&gt;0,J2079,"")</f>
        <v/>
      </c>
      <c r="Q2079" s="25">
        <f>TEXT(A2079,"YYYY-MM-DD HH")</f>
        <v/>
      </c>
      <c r="R2079" s="25">
        <f>COUNTIF($Q$2:$Q$5295,Q2079)</f>
        <v/>
      </c>
      <c r="S2079" s="25">
        <f>IF(R2079&lt;=2,"1-2",IF(R2079&lt;=5,"3-5",IF(R2079&lt;=10,"6-10","11+")))</f>
        <v/>
      </c>
    </row>
    <row r="2080">
      <c r="A2080" s="39" t="n">
        <v>46177.68557870371</v>
      </c>
      <c r="B2080" s="25">
        <f>TEXT(A2080,"YYYY-MM")</f>
        <v/>
      </c>
      <c r="C2080" s="25">
        <f>TEXT(A2080,"MMM-YYYY")</f>
        <v/>
      </c>
      <c r="D2080" s="40">
        <f>INT(A2080)-WEEKDAY(A2080,2)+1</f>
        <v/>
      </c>
      <c r="E2080" s="25" t="inlineStr">
        <is>
          <t>hsindwani</t>
        </is>
      </c>
      <c r="F2080" s="25" t="n">
        <v>124997</v>
      </c>
      <c r="G2080" s="25" t="n">
        <v>2</v>
      </c>
      <c r="H2080" s="25" t="n">
        <v>12</v>
      </c>
      <c r="I2080" s="25" t="inlineStr">
        <is>
          <t>7 minute(s) and 2 second(s)</t>
        </is>
      </c>
      <c r="J2080" s="25">
        <f>IFERROR(VALUE(TRIM(LEFT(I2080,FIND("minute",I2080)-1)))*60,0)+IFERROR(VALUE(SUBSTITUTE(MID(I2080,IFERROR(FIND("and",I2080)+3,1),20),"second(s)","")),0)</f>
        <v/>
      </c>
      <c r="K2080" s="41">
        <f>J2080/60</f>
        <v/>
      </c>
      <c r="L2080" s="41">
        <f>IFERROR(J2080/H2080,"")</f>
        <v/>
      </c>
      <c r="M2080" s="25" t="inlineStr">
        <is>
          <t>2.5.12</t>
        </is>
      </c>
      <c r="N2080" s="25">
        <f>IF(J2080&gt;300,1,0)</f>
        <v/>
      </c>
      <c r="O2080" s="25">
        <f>IF(J2080&gt;600,1,0)</f>
        <v/>
      </c>
      <c r="P2080" s="25">
        <f>IF(H2080&gt;0,J2080,"")</f>
        <v/>
      </c>
      <c r="Q2080" s="25">
        <f>TEXT(A2080,"YYYY-MM-DD HH")</f>
        <v/>
      </c>
      <c r="R2080" s="25">
        <f>COUNTIF($Q$2:$Q$5295,Q2080)</f>
        <v/>
      </c>
      <c r="S2080" s="25">
        <f>IF(R2080&lt;=2,"1-2",IF(R2080&lt;=5,"3-5",IF(R2080&lt;=10,"6-10","11+")))</f>
        <v/>
      </c>
    </row>
    <row r="2081">
      <c r="A2081" s="39" t="n">
        <v>46177.76185185185</v>
      </c>
      <c r="B2081" s="25">
        <f>TEXT(A2081,"YYYY-MM")</f>
        <v/>
      </c>
      <c r="C2081" s="25">
        <f>TEXT(A2081,"MMM-YYYY")</f>
        <v/>
      </c>
      <c r="D2081" s="40">
        <f>INT(A2081)-WEEKDAY(A2081,2)+1</f>
        <v/>
      </c>
      <c r="E2081" s="25" t="inlineStr">
        <is>
          <t>dchoudhury</t>
        </is>
      </c>
      <c r="F2081" s="25" t="n">
        <v>123318</v>
      </c>
      <c r="G2081" s="25" t="n">
        <v>2</v>
      </c>
      <c r="H2081" s="25" t="n">
        <v>8</v>
      </c>
      <c r="I2081" s="25" t="inlineStr">
        <is>
          <t>3 minute(s) and 16 second(s)</t>
        </is>
      </c>
      <c r="J2081" s="25">
        <f>IFERROR(VALUE(TRIM(LEFT(I2081,FIND("minute",I2081)-1)))*60,0)+IFERROR(VALUE(SUBSTITUTE(MID(I2081,IFERROR(FIND("and",I2081)+3,1),20),"second(s)","")),0)</f>
        <v/>
      </c>
      <c r="K2081" s="41">
        <f>J2081/60</f>
        <v/>
      </c>
      <c r="L2081" s="41">
        <f>IFERROR(J2081/H2081,"")</f>
        <v/>
      </c>
      <c r="M2081" s="25" t="inlineStr">
        <is>
          <t>2.5.12</t>
        </is>
      </c>
      <c r="N2081" s="25">
        <f>IF(J2081&gt;300,1,0)</f>
        <v/>
      </c>
      <c r="O2081" s="25">
        <f>IF(J2081&gt;600,1,0)</f>
        <v/>
      </c>
      <c r="P2081" s="25">
        <f>IF(H2081&gt;0,J2081,"")</f>
        <v/>
      </c>
      <c r="Q2081" s="25">
        <f>TEXT(A2081,"YYYY-MM-DD HH")</f>
        <v/>
      </c>
      <c r="R2081" s="25">
        <f>COUNTIF($Q$2:$Q$5295,Q2081)</f>
        <v/>
      </c>
      <c r="S2081" s="25">
        <f>IF(R2081&lt;=2,"1-2",IF(R2081&lt;=5,"3-5",IF(R2081&lt;=10,"6-10","11+")))</f>
        <v/>
      </c>
    </row>
    <row r="2082">
      <c r="A2082" s="39" t="n">
        <v>46177.7621875</v>
      </c>
      <c r="B2082" s="25">
        <f>TEXT(A2082,"YYYY-MM")</f>
        <v/>
      </c>
      <c r="C2082" s="25">
        <f>TEXT(A2082,"MMM-YYYY")</f>
        <v/>
      </c>
      <c r="D2082" s="40">
        <f>INT(A2082)-WEEKDAY(A2082,2)+1</f>
        <v/>
      </c>
      <c r="E2082" s="25" t="inlineStr">
        <is>
          <t>rsingh</t>
        </is>
      </c>
      <c r="F2082" s="25" t="n">
        <v>124028</v>
      </c>
      <c r="G2082" s="25" t="n">
        <v>2</v>
      </c>
      <c r="H2082" s="25" t="n">
        <v>8</v>
      </c>
      <c r="I2082" s="25" t="inlineStr">
        <is>
          <t>2 minute(s) and 43 second(s)</t>
        </is>
      </c>
      <c r="J2082" s="25">
        <f>IFERROR(VALUE(TRIM(LEFT(I2082,FIND("minute",I2082)-1)))*60,0)+IFERROR(VALUE(SUBSTITUTE(MID(I2082,IFERROR(FIND("and",I2082)+3,1),20),"second(s)","")),0)</f>
        <v/>
      </c>
      <c r="K2082" s="41">
        <f>J2082/60</f>
        <v/>
      </c>
      <c r="L2082" s="41">
        <f>IFERROR(J2082/H2082,"")</f>
        <v/>
      </c>
      <c r="M2082" s="25" t="inlineStr">
        <is>
          <t>2.5.12</t>
        </is>
      </c>
      <c r="N2082" s="25">
        <f>IF(J2082&gt;300,1,0)</f>
        <v/>
      </c>
      <c r="O2082" s="25">
        <f>IF(J2082&gt;600,1,0)</f>
        <v/>
      </c>
      <c r="P2082" s="25">
        <f>IF(H2082&gt;0,J2082,"")</f>
        <v/>
      </c>
      <c r="Q2082" s="25">
        <f>TEXT(A2082,"YYYY-MM-DD HH")</f>
        <v/>
      </c>
      <c r="R2082" s="25">
        <f>COUNTIF($Q$2:$Q$5295,Q2082)</f>
        <v/>
      </c>
      <c r="S2082" s="25">
        <f>IF(R2082&lt;=2,"1-2",IF(R2082&lt;=5,"3-5",IF(R2082&lt;=10,"6-10","11+")))</f>
        <v/>
      </c>
    </row>
    <row r="2083">
      <c r="A2083" s="39" t="n">
        <v>46177.80403935185</v>
      </c>
      <c r="B2083" s="25">
        <f>TEXT(A2083,"YYYY-MM")</f>
        <v/>
      </c>
      <c r="C2083" s="25">
        <f>TEXT(A2083,"MMM-YYYY")</f>
        <v/>
      </c>
      <c r="D2083" s="40">
        <f>INT(A2083)-WEEKDAY(A2083,2)+1</f>
        <v/>
      </c>
      <c r="E2083" s="25" t="inlineStr">
        <is>
          <t>hsindwani</t>
        </is>
      </c>
      <c r="F2083" s="25" t="n">
        <v>124599</v>
      </c>
      <c r="G2083" s="25" t="n">
        <v>4</v>
      </c>
      <c r="H2083" s="25" t="n">
        <v>22</v>
      </c>
      <c r="I2083" s="25" t="inlineStr">
        <is>
          <t>13 minute(s) and 29 second(s)</t>
        </is>
      </c>
      <c r="J2083" s="25">
        <f>IFERROR(VALUE(TRIM(LEFT(I2083,FIND("minute",I2083)-1)))*60,0)+IFERROR(VALUE(SUBSTITUTE(MID(I2083,IFERROR(FIND("and",I2083)+3,1),20),"second(s)","")),0)</f>
        <v/>
      </c>
      <c r="K2083" s="41">
        <f>J2083/60</f>
        <v/>
      </c>
      <c r="L2083" s="41">
        <f>IFERROR(J2083/H2083,"")</f>
        <v/>
      </c>
      <c r="M2083" s="25" t="inlineStr">
        <is>
          <t>2.5.12</t>
        </is>
      </c>
      <c r="N2083" s="25">
        <f>IF(J2083&gt;300,1,0)</f>
        <v/>
      </c>
      <c r="O2083" s="25">
        <f>IF(J2083&gt;600,1,0)</f>
        <v/>
      </c>
      <c r="P2083" s="25">
        <f>IF(H2083&gt;0,J2083,"")</f>
        <v/>
      </c>
      <c r="Q2083" s="25">
        <f>TEXT(A2083,"YYYY-MM-DD HH")</f>
        <v/>
      </c>
      <c r="R2083" s="25">
        <f>COUNTIF($Q$2:$Q$5295,Q2083)</f>
        <v/>
      </c>
      <c r="S2083" s="25">
        <f>IF(R2083&lt;=2,"1-2",IF(R2083&lt;=5,"3-5",IF(R2083&lt;=10,"6-10","11+")))</f>
        <v/>
      </c>
    </row>
    <row r="2084">
      <c r="A2084" s="39" t="n">
        <v>46177.81295138889</v>
      </c>
      <c r="B2084" s="25">
        <f>TEXT(A2084,"YYYY-MM")</f>
        <v/>
      </c>
      <c r="C2084" s="25">
        <f>TEXT(A2084,"MMM-YYYY")</f>
        <v/>
      </c>
      <c r="D2084" s="40">
        <f>INT(A2084)-WEEKDAY(A2084,2)+1</f>
        <v/>
      </c>
      <c r="E2084" s="25" t="inlineStr">
        <is>
          <t>rsingh</t>
        </is>
      </c>
      <c r="F2084" s="25" t="n">
        <v>122512</v>
      </c>
      <c r="G2084" s="25" t="n">
        <v>2</v>
      </c>
      <c r="H2084" s="25" t="n">
        <v>10</v>
      </c>
      <c r="I2084" s="25" t="inlineStr">
        <is>
          <t>6 minute(s) and 38 second(s)</t>
        </is>
      </c>
      <c r="J2084" s="25">
        <f>IFERROR(VALUE(TRIM(LEFT(I2084,FIND("minute",I2084)-1)))*60,0)+IFERROR(VALUE(SUBSTITUTE(MID(I2084,IFERROR(FIND("and",I2084)+3,1),20),"second(s)","")),0)</f>
        <v/>
      </c>
      <c r="K2084" s="41">
        <f>J2084/60</f>
        <v/>
      </c>
      <c r="L2084" s="41">
        <f>IFERROR(J2084/H2084,"")</f>
        <v/>
      </c>
      <c r="M2084" s="25" t="inlineStr">
        <is>
          <t>2.5.12</t>
        </is>
      </c>
      <c r="N2084" s="25">
        <f>IF(J2084&gt;300,1,0)</f>
        <v/>
      </c>
      <c r="O2084" s="25">
        <f>IF(J2084&gt;600,1,0)</f>
        <v/>
      </c>
      <c r="P2084" s="25">
        <f>IF(H2084&gt;0,J2084,"")</f>
        <v/>
      </c>
      <c r="Q2084" s="25">
        <f>TEXT(A2084,"YYYY-MM-DD HH")</f>
        <v/>
      </c>
      <c r="R2084" s="25">
        <f>COUNTIF($Q$2:$Q$5295,Q2084)</f>
        <v/>
      </c>
      <c r="S2084" s="25">
        <f>IF(R2084&lt;=2,"1-2",IF(R2084&lt;=5,"3-5",IF(R2084&lt;=10,"6-10","11+")))</f>
        <v/>
      </c>
    </row>
    <row r="2085">
      <c r="A2085" s="39" t="n">
        <v>46177.8328587963</v>
      </c>
      <c r="B2085" s="25">
        <f>TEXT(A2085,"YYYY-MM")</f>
        <v/>
      </c>
      <c r="C2085" s="25">
        <f>TEXT(A2085,"MMM-YYYY")</f>
        <v/>
      </c>
      <c r="D2085" s="40">
        <f>INT(A2085)-WEEKDAY(A2085,2)+1</f>
        <v/>
      </c>
      <c r="E2085" s="25" t="inlineStr">
        <is>
          <t>dchoudhury</t>
        </is>
      </c>
      <c r="F2085" s="25" t="n">
        <v>123281</v>
      </c>
      <c r="G2085" s="25" t="n">
        <v>2</v>
      </c>
      <c r="H2085" s="25" t="n">
        <v>10</v>
      </c>
      <c r="I2085" s="25" t="inlineStr">
        <is>
          <t>2 minute(s) and 51 second(s)</t>
        </is>
      </c>
      <c r="J2085" s="25">
        <f>IFERROR(VALUE(TRIM(LEFT(I2085,FIND("minute",I2085)-1)))*60,0)+IFERROR(VALUE(SUBSTITUTE(MID(I2085,IFERROR(FIND("and",I2085)+3,1),20),"second(s)","")),0)</f>
        <v/>
      </c>
      <c r="K2085" s="41">
        <f>J2085/60</f>
        <v/>
      </c>
      <c r="L2085" s="41">
        <f>IFERROR(J2085/H2085,"")</f>
        <v/>
      </c>
      <c r="M2085" s="25" t="inlineStr">
        <is>
          <t>2.5.12</t>
        </is>
      </c>
      <c r="N2085" s="25">
        <f>IF(J2085&gt;300,1,0)</f>
        <v/>
      </c>
      <c r="O2085" s="25">
        <f>IF(J2085&gt;600,1,0)</f>
        <v/>
      </c>
      <c r="P2085" s="25">
        <f>IF(H2085&gt;0,J2085,"")</f>
        <v/>
      </c>
      <c r="Q2085" s="25">
        <f>TEXT(A2085,"YYYY-MM-DD HH")</f>
        <v/>
      </c>
      <c r="R2085" s="25">
        <f>COUNTIF($Q$2:$Q$5295,Q2085)</f>
        <v/>
      </c>
      <c r="S2085" s="25">
        <f>IF(R2085&lt;=2,"1-2",IF(R2085&lt;=5,"3-5",IF(R2085&lt;=10,"6-10","11+")))</f>
        <v/>
      </c>
    </row>
    <row r="2086">
      <c r="A2086" s="39" t="n">
        <v>46177.84809027778</v>
      </c>
      <c r="B2086" s="25">
        <f>TEXT(A2086,"YYYY-MM")</f>
        <v/>
      </c>
      <c r="C2086" s="25">
        <f>TEXT(A2086,"MMM-YYYY")</f>
        <v/>
      </c>
      <c r="D2086" s="40">
        <f>INT(A2086)-WEEKDAY(A2086,2)+1</f>
        <v/>
      </c>
      <c r="E2086" s="25" t="inlineStr">
        <is>
          <t>dchoudhury</t>
        </is>
      </c>
      <c r="F2086" s="25" t="n">
        <v>123281</v>
      </c>
      <c r="G2086" s="25" t="n">
        <v>2</v>
      </c>
      <c r="H2086" s="25" t="n">
        <v>10</v>
      </c>
      <c r="I2086" s="25" t="inlineStr">
        <is>
          <t>4 minute(s) and 36 second(s)</t>
        </is>
      </c>
      <c r="J2086" s="25">
        <f>IFERROR(VALUE(TRIM(LEFT(I2086,FIND("minute",I2086)-1)))*60,0)+IFERROR(VALUE(SUBSTITUTE(MID(I2086,IFERROR(FIND("and",I2086)+3,1),20),"second(s)","")),0)</f>
        <v/>
      </c>
      <c r="K2086" s="41">
        <f>J2086/60</f>
        <v/>
      </c>
      <c r="L2086" s="41">
        <f>IFERROR(J2086/H2086,"")</f>
        <v/>
      </c>
      <c r="M2086" s="25" t="inlineStr">
        <is>
          <t>2.5.12</t>
        </is>
      </c>
      <c r="N2086" s="25">
        <f>IF(J2086&gt;300,1,0)</f>
        <v/>
      </c>
      <c r="O2086" s="25">
        <f>IF(J2086&gt;600,1,0)</f>
        <v/>
      </c>
      <c r="P2086" s="25">
        <f>IF(H2086&gt;0,J2086,"")</f>
        <v/>
      </c>
      <c r="Q2086" s="25">
        <f>TEXT(A2086,"YYYY-MM-DD HH")</f>
        <v/>
      </c>
      <c r="R2086" s="25">
        <f>COUNTIF($Q$2:$Q$5295,Q2086)</f>
        <v/>
      </c>
      <c r="S2086" s="25">
        <f>IF(R2086&lt;=2,"1-2",IF(R2086&lt;=5,"3-5",IF(R2086&lt;=10,"6-10","11+")))</f>
        <v/>
      </c>
    </row>
    <row r="2087">
      <c r="A2087" s="39" t="n">
        <v>46177.85065972222</v>
      </c>
      <c r="B2087" s="25">
        <f>TEXT(A2087,"YYYY-MM")</f>
        <v/>
      </c>
      <c r="C2087" s="25">
        <f>TEXT(A2087,"MMM-YYYY")</f>
        <v/>
      </c>
      <c r="D2087" s="40">
        <f>INT(A2087)-WEEKDAY(A2087,2)+1</f>
        <v/>
      </c>
      <c r="E2087" s="25" t="inlineStr">
        <is>
          <t>rsingh</t>
        </is>
      </c>
      <c r="F2087" s="25" t="n">
        <v>122973</v>
      </c>
      <c r="G2087" s="25" t="n">
        <v>1</v>
      </c>
      <c r="H2087" s="25" t="n">
        <v>5</v>
      </c>
      <c r="I2087" s="25" t="inlineStr">
        <is>
          <t>4 minute(s) and 7 second(s)</t>
        </is>
      </c>
      <c r="J2087" s="25">
        <f>IFERROR(VALUE(TRIM(LEFT(I2087,FIND("minute",I2087)-1)))*60,0)+IFERROR(VALUE(SUBSTITUTE(MID(I2087,IFERROR(FIND("and",I2087)+3,1),20),"second(s)","")),0)</f>
        <v/>
      </c>
      <c r="K2087" s="41">
        <f>J2087/60</f>
        <v/>
      </c>
      <c r="L2087" s="41">
        <f>IFERROR(J2087/H2087,"")</f>
        <v/>
      </c>
      <c r="M2087" s="25" t="inlineStr">
        <is>
          <t>2.5.12</t>
        </is>
      </c>
      <c r="N2087" s="25">
        <f>IF(J2087&gt;300,1,0)</f>
        <v/>
      </c>
      <c r="O2087" s="25">
        <f>IF(J2087&gt;600,1,0)</f>
        <v/>
      </c>
      <c r="P2087" s="25">
        <f>IF(H2087&gt;0,J2087,"")</f>
        <v/>
      </c>
      <c r="Q2087" s="25">
        <f>TEXT(A2087,"YYYY-MM-DD HH")</f>
        <v/>
      </c>
      <c r="R2087" s="25">
        <f>COUNTIF($Q$2:$Q$5295,Q2087)</f>
        <v/>
      </c>
      <c r="S2087" s="25">
        <f>IF(R2087&lt;=2,"1-2",IF(R2087&lt;=5,"3-5",IF(R2087&lt;=10,"6-10","11+")))</f>
        <v/>
      </c>
    </row>
    <row r="2088">
      <c r="A2088" s="39" t="n">
        <v>46177.91506944445</v>
      </c>
      <c r="B2088" s="25">
        <f>TEXT(A2088,"YYYY-MM")</f>
        <v/>
      </c>
      <c r="C2088" s="25">
        <f>TEXT(A2088,"MMM-YYYY")</f>
        <v/>
      </c>
      <c r="D2088" s="40">
        <f>INT(A2088)-WEEKDAY(A2088,2)+1</f>
        <v/>
      </c>
      <c r="E2088" s="25" t="inlineStr">
        <is>
          <t>sswati</t>
        </is>
      </c>
      <c r="F2088" s="25" t="n">
        <v>124167</v>
      </c>
      <c r="G2088" s="25" t="n">
        <v>4</v>
      </c>
      <c r="H2088" s="25" t="n">
        <v>20</v>
      </c>
      <c r="I2088" s="25" t="inlineStr">
        <is>
          <t>10 minute(s) and 17 second(s)</t>
        </is>
      </c>
      <c r="J2088" s="25">
        <f>IFERROR(VALUE(TRIM(LEFT(I2088,FIND("minute",I2088)-1)))*60,0)+IFERROR(VALUE(SUBSTITUTE(MID(I2088,IFERROR(FIND("and",I2088)+3,1),20),"second(s)","")),0)</f>
        <v/>
      </c>
      <c r="K2088" s="41">
        <f>J2088/60</f>
        <v/>
      </c>
      <c r="L2088" s="41">
        <f>IFERROR(J2088/H2088,"")</f>
        <v/>
      </c>
      <c r="M2088" s="25" t="inlineStr">
        <is>
          <t>2.5.12</t>
        </is>
      </c>
      <c r="N2088" s="25">
        <f>IF(J2088&gt;300,1,0)</f>
        <v/>
      </c>
      <c r="O2088" s="25">
        <f>IF(J2088&gt;600,1,0)</f>
        <v/>
      </c>
      <c r="P2088" s="25">
        <f>IF(H2088&gt;0,J2088,"")</f>
        <v/>
      </c>
      <c r="Q2088" s="25">
        <f>TEXT(A2088,"YYYY-MM-DD HH")</f>
        <v/>
      </c>
      <c r="R2088" s="25">
        <f>COUNTIF($Q$2:$Q$5295,Q2088)</f>
        <v/>
      </c>
      <c r="S2088" s="25">
        <f>IF(R2088&lt;=2,"1-2",IF(R2088&lt;=5,"3-5",IF(R2088&lt;=10,"6-10","11+")))</f>
        <v/>
      </c>
    </row>
    <row r="2089">
      <c r="A2089" s="39" t="n">
        <v>46177.92854166667</v>
      </c>
      <c r="B2089" s="25">
        <f>TEXT(A2089,"YYYY-MM")</f>
        <v/>
      </c>
      <c r="C2089" s="25">
        <f>TEXT(A2089,"MMM-YYYY")</f>
        <v/>
      </c>
      <c r="D2089" s="40">
        <f>INT(A2089)-WEEKDAY(A2089,2)+1</f>
        <v/>
      </c>
      <c r="E2089" s="25" t="inlineStr">
        <is>
          <t>ssarkar</t>
        </is>
      </c>
      <c r="F2089" s="25" t="n">
        <v>125466</v>
      </c>
      <c r="G2089" s="25" t="n">
        <v>1</v>
      </c>
      <c r="H2089" s="25" t="n">
        <v>5</v>
      </c>
      <c r="I2089" s="25" t="inlineStr">
        <is>
          <t>2 minute(s) and 32 second(s)</t>
        </is>
      </c>
      <c r="J2089" s="25">
        <f>IFERROR(VALUE(TRIM(LEFT(I2089,FIND("minute",I2089)-1)))*60,0)+IFERROR(VALUE(SUBSTITUTE(MID(I2089,IFERROR(FIND("and",I2089)+3,1),20),"second(s)","")),0)</f>
        <v/>
      </c>
      <c r="K2089" s="41">
        <f>J2089/60</f>
        <v/>
      </c>
      <c r="L2089" s="41">
        <f>IFERROR(J2089/H2089,"")</f>
        <v/>
      </c>
      <c r="M2089" s="25" t="inlineStr">
        <is>
          <t>2.5.12</t>
        </is>
      </c>
      <c r="N2089" s="25">
        <f>IF(J2089&gt;300,1,0)</f>
        <v/>
      </c>
      <c r="O2089" s="25">
        <f>IF(J2089&gt;600,1,0)</f>
        <v/>
      </c>
      <c r="P2089" s="25">
        <f>IF(H2089&gt;0,J2089,"")</f>
        <v/>
      </c>
      <c r="Q2089" s="25">
        <f>TEXT(A2089,"YYYY-MM-DD HH")</f>
        <v/>
      </c>
      <c r="R2089" s="25">
        <f>COUNTIF($Q$2:$Q$5295,Q2089)</f>
        <v/>
      </c>
      <c r="S2089" s="25">
        <f>IF(R2089&lt;=2,"1-2",IF(R2089&lt;=5,"3-5",IF(R2089&lt;=10,"6-10","11+")))</f>
        <v/>
      </c>
    </row>
    <row r="2090">
      <c r="A2090" s="39" t="n">
        <v>46177.96119212963</v>
      </c>
      <c r="B2090" s="25">
        <f>TEXT(A2090,"YYYY-MM")</f>
        <v/>
      </c>
      <c r="C2090" s="25">
        <f>TEXT(A2090,"MMM-YYYY")</f>
        <v/>
      </c>
      <c r="D2090" s="40">
        <f>INT(A2090)-WEEKDAY(A2090,2)+1</f>
        <v/>
      </c>
      <c r="E2090" s="25" t="inlineStr">
        <is>
          <t>schoppakatla</t>
        </is>
      </c>
      <c r="F2090" s="25" t="n">
        <v>122032</v>
      </c>
      <c r="G2090" s="25" t="n">
        <v>3</v>
      </c>
      <c r="H2090" s="25" t="n">
        <v>15</v>
      </c>
      <c r="I2090" s="25" t="inlineStr">
        <is>
          <t>3 minute(s) and 24 second(s)</t>
        </is>
      </c>
      <c r="J2090" s="25">
        <f>IFERROR(VALUE(TRIM(LEFT(I2090,FIND("minute",I2090)-1)))*60,0)+IFERROR(VALUE(SUBSTITUTE(MID(I2090,IFERROR(FIND("and",I2090)+3,1),20),"second(s)","")),0)</f>
        <v/>
      </c>
      <c r="K2090" s="41">
        <f>J2090/60</f>
        <v/>
      </c>
      <c r="L2090" s="41">
        <f>IFERROR(J2090/H2090,"")</f>
        <v/>
      </c>
      <c r="M2090" s="25" t="inlineStr">
        <is>
          <t>2.5.12</t>
        </is>
      </c>
      <c r="N2090" s="25">
        <f>IF(J2090&gt;300,1,0)</f>
        <v/>
      </c>
      <c r="O2090" s="25">
        <f>IF(J2090&gt;600,1,0)</f>
        <v/>
      </c>
      <c r="P2090" s="25">
        <f>IF(H2090&gt;0,J2090,"")</f>
        <v/>
      </c>
      <c r="Q2090" s="25">
        <f>TEXT(A2090,"YYYY-MM-DD HH")</f>
        <v/>
      </c>
      <c r="R2090" s="25">
        <f>COUNTIF($Q$2:$Q$5295,Q2090)</f>
        <v/>
      </c>
      <c r="S2090" s="25">
        <f>IF(R2090&lt;=2,"1-2",IF(R2090&lt;=5,"3-5",IF(R2090&lt;=10,"6-10","11+")))</f>
        <v/>
      </c>
    </row>
    <row r="2091">
      <c r="A2091" s="39" t="n">
        <v>46177.96511574074</v>
      </c>
      <c r="B2091" s="25">
        <f>TEXT(A2091,"YYYY-MM")</f>
        <v/>
      </c>
      <c r="C2091" s="25">
        <f>TEXT(A2091,"MMM-YYYY")</f>
        <v/>
      </c>
      <c r="D2091" s="40">
        <f>INT(A2091)-WEEKDAY(A2091,2)+1</f>
        <v/>
      </c>
      <c r="E2091" s="25" t="inlineStr">
        <is>
          <t>ssarkar</t>
        </is>
      </c>
      <c r="F2091" s="25" t="n">
        <v>122075</v>
      </c>
      <c r="G2091" s="25" t="n">
        <v>1</v>
      </c>
      <c r="H2091" s="25" t="n">
        <v>5</v>
      </c>
      <c r="I2091" s="25" t="inlineStr">
        <is>
          <t>2 minute(s) and 25 second(s)</t>
        </is>
      </c>
      <c r="J2091" s="25">
        <f>IFERROR(VALUE(TRIM(LEFT(I2091,FIND("minute",I2091)-1)))*60,0)+IFERROR(VALUE(SUBSTITUTE(MID(I2091,IFERROR(FIND("and",I2091)+3,1),20),"second(s)","")),0)</f>
        <v/>
      </c>
      <c r="K2091" s="41">
        <f>J2091/60</f>
        <v/>
      </c>
      <c r="L2091" s="41">
        <f>IFERROR(J2091/H2091,"")</f>
        <v/>
      </c>
      <c r="M2091" s="25" t="inlineStr">
        <is>
          <t>2.5.12</t>
        </is>
      </c>
      <c r="N2091" s="25">
        <f>IF(J2091&gt;300,1,0)</f>
        <v/>
      </c>
      <c r="O2091" s="25">
        <f>IF(J2091&gt;600,1,0)</f>
        <v/>
      </c>
      <c r="P2091" s="25">
        <f>IF(H2091&gt;0,J2091,"")</f>
        <v/>
      </c>
      <c r="Q2091" s="25">
        <f>TEXT(A2091,"YYYY-MM-DD HH")</f>
        <v/>
      </c>
      <c r="R2091" s="25">
        <f>COUNTIF($Q$2:$Q$5295,Q2091)</f>
        <v/>
      </c>
      <c r="S2091" s="25">
        <f>IF(R2091&lt;=2,"1-2",IF(R2091&lt;=5,"3-5",IF(R2091&lt;=10,"6-10","11+")))</f>
        <v/>
      </c>
    </row>
    <row r="2092">
      <c r="A2092" s="39" t="n">
        <v>46178.01319444444</v>
      </c>
      <c r="B2092" s="25">
        <f>TEXT(A2092,"YYYY-MM")</f>
        <v/>
      </c>
      <c r="C2092" s="25">
        <f>TEXT(A2092,"MMM-YYYY")</f>
        <v/>
      </c>
      <c r="D2092" s="40">
        <f>INT(A2092)-WEEKDAY(A2092,2)+1</f>
        <v/>
      </c>
      <c r="E2092" s="25" t="inlineStr">
        <is>
          <t>smukhopadhyay</t>
        </is>
      </c>
      <c r="F2092" s="25" t="n">
        <v>124508</v>
      </c>
      <c r="G2092" s="25" t="n">
        <v>2</v>
      </c>
      <c r="H2092" s="25" t="n">
        <v>10</v>
      </c>
      <c r="I2092" s="25" t="inlineStr">
        <is>
          <t>3 minute(s) and 15 second(s)</t>
        </is>
      </c>
      <c r="J2092" s="25">
        <f>IFERROR(VALUE(TRIM(LEFT(I2092,FIND("minute",I2092)-1)))*60,0)+IFERROR(VALUE(SUBSTITUTE(MID(I2092,IFERROR(FIND("and",I2092)+3,1),20),"second(s)","")),0)</f>
        <v/>
      </c>
      <c r="K2092" s="41">
        <f>J2092/60</f>
        <v/>
      </c>
      <c r="L2092" s="41">
        <f>IFERROR(J2092/H2092,"")</f>
        <v/>
      </c>
      <c r="M2092" s="25" t="inlineStr">
        <is>
          <t>2.5.12</t>
        </is>
      </c>
      <c r="N2092" s="25">
        <f>IF(J2092&gt;300,1,0)</f>
        <v/>
      </c>
      <c r="O2092" s="25">
        <f>IF(J2092&gt;600,1,0)</f>
        <v/>
      </c>
      <c r="P2092" s="25">
        <f>IF(H2092&gt;0,J2092,"")</f>
        <v/>
      </c>
      <c r="Q2092" s="25">
        <f>TEXT(A2092,"YYYY-MM-DD HH")</f>
        <v/>
      </c>
      <c r="R2092" s="25">
        <f>COUNTIF($Q$2:$Q$5295,Q2092)</f>
        <v/>
      </c>
      <c r="S2092" s="25">
        <f>IF(R2092&lt;=2,"1-2",IF(R2092&lt;=5,"3-5",IF(R2092&lt;=10,"6-10","11+")))</f>
        <v/>
      </c>
    </row>
    <row r="2093">
      <c r="A2093" s="39" t="n">
        <v>46178.04395833334</v>
      </c>
      <c r="B2093" s="25">
        <f>TEXT(A2093,"YYYY-MM")</f>
        <v/>
      </c>
      <c r="C2093" s="25">
        <f>TEXT(A2093,"MMM-YYYY")</f>
        <v/>
      </c>
      <c r="D2093" s="40">
        <f>INT(A2093)-WEEKDAY(A2093,2)+1</f>
        <v/>
      </c>
      <c r="E2093" s="25" t="inlineStr">
        <is>
          <t>ssrinivasan</t>
        </is>
      </c>
      <c r="F2093" s="25" t="n">
        <v>124936</v>
      </c>
      <c r="G2093" s="25" t="n">
        <v>2</v>
      </c>
      <c r="H2093" s="25" t="n">
        <v>8</v>
      </c>
      <c r="I2093" s="25" t="inlineStr">
        <is>
          <t>1 minute(s) and 55 second(s)</t>
        </is>
      </c>
      <c r="J2093" s="25">
        <f>IFERROR(VALUE(TRIM(LEFT(I2093,FIND("minute",I2093)-1)))*60,0)+IFERROR(VALUE(SUBSTITUTE(MID(I2093,IFERROR(FIND("and",I2093)+3,1),20),"second(s)","")),0)</f>
        <v/>
      </c>
      <c r="K2093" s="41">
        <f>J2093/60</f>
        <v/>
      </c>
      <c r="L2093" s="41">
        <f>IFERROR(J2093/H2093,"")</f>
        <v/>
      </c>
      <c r="M2093" s="25" t="inlineStr">
        <is>
          <t>2.5.12</t>
        </is>
      </c>
      <c r="N2093" s="25">
        <f>IF(J2093&gt;300,1,0)</f>
        <v/>
      </c>
      <c r="O2093" s="25">
        <f>IF(J2093&gt;600,1,0)</f>
        <v/>
      </c>
      <c r="P2093" s="25">
        <f>IF(H2093&gt;0,J2093,"")</f>
        <v/>
      </c>
      <c r="Q2093" s="25">
        <f>TEXT(A2093,"YYYY-MM-DD HH")</f>
        <v/>
      </c>
      <c r="R2093" s="25">
        <f>COUNTIF($Q$2:$Q$5295,Q2093)</f>
        <v/>
      </c>
      <c r="S2093" s="25">
        <f>IF(R2093&lt;=2,"1-2",IF(R2093&lt;=5,"3-5",IF(R2093&lt;=10,"6-10","11+")))</f>
        <v/>
      </c>
    </row>
    <row r="2094">
      <c r="A2094" s="39" t="n">
        <v>46178.06436342592</v>
      </c>
      <c r="B2094" s="25">
        <f>TEXT(A2094,"YYYY-MM")</f>
        <v/>
      </c>
      <c r="C2094" s="25">
        <f>TEXT(A2094,"MMM-YYYY")</f>
        <v/>
      </c>
      <c r="D2094" s="40">
        <f>INT(A2094)-WEEKDAY(A2094,2)+1</f>
        <v/>
      </c>
      <c r="E2094" s="25" t="inlineStr">
        <is>
          <t>pmehndiratta</t>
        </is>
      </c>
      <c r="F2094" s="25" t="n">
        <v>122495</v>
      </c>
      <c r="G2094" s="25" t="n">
        <v>2</v>
      </c>
      <c r="H2094" s="25" t="n">
        <v>10</v>
      </c>
      <c r="I2094" s="25" t="inlineStr">
        <is>
          <t>2 minute(s) and 55 second(s)</t>
        </is>
      </c>
      <c r="J2094" s="25">
        <f>IFERROR(VALUE(TRIM(LEFT(I2094,FIND("minute",I2094)-1)))*60,0)+IFERROR(VALUE(SUBSTITUTE(MID(I2094,IFERROR(FIND("and",I2094)+3,1),20),"second(s)","")),0)</f>
        <v/>
      </c>
      <c r="K2094" s="41">
        <f>J2094/60</f>
        <v/>
      </c>
      <c r="L2094" s="41">
        <f>IFERROR(J2094/H2094,"")</f>
        <v/>
      </c>
      <c r="M2094" s="25" t="inlineStr">
        <is>
          <t>2.5.12</t>
        </is>
      </c>
      <c r="N2094" s="25">
        <f>IF(J2094&gt;300,1,0)</f>
        <v/>
      </c>
      <c r="O2094" s="25">
        <f>IF(J2094&gt;600,1,0)</f>
        <v/>
      </c>
      <c r="P2094" s="25">
        <f>IF(H2094&gt;0,J2094,"")</f>
        <v/>
      </c>
      <c r="Q2094" s="25">
        <f>TEXT(A2094,"YYYY-MM-DD HH")</f>
        <v/>
      </c>
      <c r="R2094" s="25">
        <f>COUNTIF($Q$2:$Q$5295,Q2094)</f>
        <v/>
      </c>
      <c r="S2094" s="25">
        <f>IF(R2094&lt;=2,"1-2",IF(R2094&lt;=5,"3-5",IF(R2094&lt;=10,"6-10","11+")))</f>
        <v/>
      </c>
    </row>
    <row r="2095">
      <c r="A2095" s="39" t="n">
        <v>46178.07048611111</v>
      </c>
      <c r="B2095" s="25">
        <f>TEXT(A2095,"YYYY-MM")</f>
        <v/>
      </c>
      <c r="C2095" s="25">
        <f>TEXT(A2095,"MMM-YYYY")</f>
        <v/>
      </c>
      <c r="D2095" s="40">
        <f>INT(A2095)-WEEKDAY(A2095,2)+1</f>
        <v/>
      </c>
      <c r="E2095" s="25" t="inlineStr">
        <is>
          <t>ethomas</t>
        </is>
      </c>
      <c r="F2095" s="25" t="n">
        <v>125714</v>
      </c>
      <c r="G2095" s="25" t="n">
        <v>3</v>
      </c>
      <c r="H2095" s="25" t="n">
        <v>9</v>
      </c>
      <c r="I2095" s="25" t="inlineStr">
        <is>
          <t>2 minute(s) and 14 second(s)</t>
        </is>
      </c>
      <c r="J2095" s="25">
        <f>IFERROR(VALUE(TRIM(LEFT(I2095,FIND("minute",I2095)-1)))*60,0)+IFERROR(VALUE(SUBSTITUTE(MID(I2095,IFERROR(FIND("and",I2095)+3,1),20),"second(s)","")),0)</f>
        <v/>
      </c>
      <c r="K2095" s="41">
        <f>J2095/60</f>
        <v/>
      </c>
      <c r="L2095" s="41">
        <f>IFERROR(J2095/H2095,"")</f>
        <v/>
      </c>
      <c r="M2095" s="25" t="inlineStr">
        <is>
          <t>2.5.12</t>
        </is>
      </c>
      <c r="N2095" s="25">
        <f>IF(J2095&gt;300,1,0)</f>
        <v/>
      </c>
      <c r="O2095" s="25">
        <f>IF(J2095&gt;600,1,0)</f>
        <v/>
      </c>
      <c r="P2095" s="25">
        <f>IF(H2095&gt;0,J2095,"")</f>
        <v/>
      </c>
      <c r="Q2095" s="25">
        <f>TEXT(A2095,"YYYY-MM-DD HH")</f>
        <v/>
      </c>
      <c r="R2095" s="25">
        <f>COUNTIF($Q$2:$Q$5295,Q2095)</f>
        <v/>
      </c>
      <c r="S2095" s="25">
        <f>IF(R2095&lt;=2,"1-2",IF(R2095&lt;=5,"3-5",IF(R2095&lt;=10,"6-10","11+")))</f>
        <v/>
      </c>
    </row>
    <row r="2096">
      <c r="A2096" s="39" t="n">
        <v>46178.07868055555</v>
      </c>
      <c r="B2096" s="25">
        <f>TEXT(A2096,"YYYY-MM")</f>
        <v/>
      </c>
      <c r="C2096" s="25">
        <f>TEXT(A2096,"MMM-YYYY")</f>
        <v/>
      </c>
      <c r="D2096" s="40">
        <f>INT(A2096)-WEEKDAY(A2096,2)+1</f>
        <v/>
      </c>
      <c r="E2096" s="25" t="inlineStr">
        <is>
          <t>smukhopadhyay</t>
        </is>
      </c>
      <c r="F2096" s="25" t="n">
        <v>125373</v>
      </c>
      <c r="G2096" s="25" t="n">
        <v>1</v>
      </c>
      <c r="H2096" s="25" t="n">
        <v>7</v>
      </c>
      <c r="I2096" s="25" t="inlineStr">
        <is>
          <t>1 minute(s) and 58 second(s)</t>
        </is>
      </c>
      <c r="J2096" s="25">
        <f>IFERROR(VALUE(TRIM(LEFT(I2096,FIND("minute",I2096)-1)))*60,0)+IFERROR(VALUE(SUBSTITUTE(MID(I2096,IFERROR(FIND("and",I2096)+3,1),20),"second(s)","")),0)</f>
        <v/>
      </c>
      <c r="K2096" s="41">
        <f>J2096/60</f>
        <v/>
      </c>
      <c r="L2096" s="41">
        <f>IFERROR(J2096/H2096,"")</f>
        <v/>
      </c>
      <c r="M2096" s="25" t="inlineStr">
        <is>
          <t>2.5.12</t>
        </is>
      </c>
      <c r="N2096" s="25">
        <f>IF(J2096&gt;300,1,0)</f>
        <v/>
      </c>
      <c r="O2096" s="25">
        <f>IF(J2096&gt;600,1,0)</f>
        <v/>
      </c>
      <c r="P2096" s="25">
        <f>IF(H2096&gt;0,J2096,"")</f>
        <v/>
      </c>
      <c r="Q2096" s="25">
        <f>TEXT(A2096,"YYYY-MM-DD HH")</f>
        <v/>
      </c>
      <c r="R2096" s="25">
        <f>COUNTIF($Q$2:$Q$5295,Q2096)</f>
        <v/>
      </c>
      <c r="S2096" s="25">
        <f>IF(R2096&lt;=2,"1-2",IF(R2096&lt;=5,"3-5",IF(R2096&lt;=10,"6-10","11+")))</f>
        <v/>
      </c>
    </row>
    <row r="2097">
      <c r="A2097" s="39" t="n">
        <v>46178.08230324074</v>
      </c>
      <c r="B2097" s="25">
        <f>TEXT(A2097,"YYYY-MM")</f>
        <v/>
      </c>
      <c r="C2097" s="25">
        <f>TEXT(A2097,"MMM-YYYY")</f>
        <v/>
      </c>
      <c r="D2097" s="40">
        <f>INT(A2097)-WEEKDAY(A2097,2)+1</f>
        <v/>
      </c>
      <c r="E2097" s="25" t="inlineStr">
        <is>
          <t>rts</t>
        </is>
      </c>
      <c r="F2097" s="25" t="n">
        <v>126368</v>
      </c>
      <c r="G2097" s="25" t="n">
        <v>3</v>
      </c>
      <c r="H2097" s="25" t="n">
        <v>11</v>
      </c>
      <c r="I2097" s="25" t="inlineStr">
        <is>
          <t>3 minute(s) and 22 second(s)</t>
        </is>
      </c>
      <c r="J2097" s="25">
        <f>IFERROR(VALUE(TRIM(LEFT(I2097,FIND("minute",I2097)-1)))*60,0)+IFERROR(VALUE(SUBSTITUTE(MID(I2097,IFERROR(FIND("and",I2097)+3,1),20),"second(s)","")),0)</f>
        <v/>
      </c>
      <c r="K2097" s="41">
        <f>J2097/60</f>
        <v/>
      </c>
      <c r="L2097" s="41">
        <f>IFERROR(J2097/H2097,"")</f>
        <v/>
      </c>
      <c r="M2097" s="25" t="inlineStr">
        <is>
          <t>2.5.12</t>
        </is>
      </c>
      <c r="N2097" s="25">
        <f>IF(J2097&gt;300,1,0)</f>
        <v/>
      </c>
      <c r="O2097" s="25">
        <f>IF(J2097&gt;600,1,0)</f>
        <v/>
      </c>
      <c r="P2097" s="25">
        <f>IF(H2097&gt;0,J2097,"")</f>
        <v/>
      </c>
      <c r="Q2097" s="25">
        <f>TEXT(A2097,"YYYY-MM-DD HH")</f>
        <v/>
      </c>
      <c r="R2097" s="25">
        <f>COUNTIF($Q$2:$Q$5295,Q2097)</f>
        <v/>
      </c>
      <c r="S2097" s="25">
        <f>IF(R2097&lt;=2,"1-2",IF(R2097&lt;=5,"3-5",IF(R2097&lt;=10,"6-10","11+")))</f>
        <v/>
      </c>
    </row>
    <row r="2098">
      <c r="A2098" s="39" t="n">
        <v>46178.08579861111</v>
      </c>
      <c r="B2098" s="25">
        <f>TEXT(A2098,"YYYY-MM")</f>
        <v/>
      </c>
      <c r="C2098" s="25">
        <f>TEXT(A2098,"MMM-YYYY")</f>
        <v/>
      </c>
      <c r="D2098" s="40">
        <f>INT(A2098)-WEEKDAY(A2098,2)+1</f>
        <v/>
      </c>
      <c r="E2098" s="25" t="inlineStr">
        <is>
          <t>aghosh</t>
        </is>
      </c>
      <c r="F2098" s="25" t="n">
        <v>122150</v>
      </c>
      <c r="G2098" s="25" t="n">
        <v>4</v>
      </c>
      <c r="H2098" s="25" t="n">
        <v>22</v>
      </c>
      <c r="I2098" s="25" t="inlineStr">
        <is>
          <t>6 minute(s) and 51 second(s)</t>
        </is>
      </c>
      <c r="J2098" s="25">
        <f>IFERROR(VALUE(TRIM(LEFT(I2098,FIND("minute",I2098)-1)))*60,0)+IFERROR(VALUE(SUBSTITUTE(MID(I2098,IFERROR(FIND("and",I2098)+3,1),20),"second(s)","")),0)</f>
        <v/>
      </c>
      <c r="K2098" s="41">
        <f>J2098/60</f>
        <v/>
      </c>
      <c r="L2098" s="41">
        <f>IFERROR(J2098/H2098,"")</f>
        <v/>
      </c>
      <c r="M2098" s="25" t="inlineStr">
        <is>
          <t>2.5.12</t>
        </is>
      </c>
      <c r="N2098" s="25">
        <f>IF(J2098&gt;300,1,0)</f>
        <v/>
      </c>
      <c r="O2098" s="25">
        <f>IF(J2098&gt;600,1,0)</f>
        <v/>
      </c>
      <c r="P2098" s="25">
        <f>IF(H2098&gt;0,J2098,"")</f>
        <v/>
      </c>
      <c r="Q2098" s="25">
        <f>TEXT(A2098,"YYYY-MM-DD HH")</f>
        <v/>
      </c>
      <c r="R2098" s="25">
        <f>COUNTIF($Q$2:$Q$5295,Q2098)</f>
        <v/>
      </c>
      <c r="S2098" s="25">
        <f>IF(R2098&lt;=2,"1-2",IF(R2098&lt;=5,"3-5",IF(R2098&lt;=10,"6-10","11+")))</f>
        <v/>
      </c>
    </row>
    <row r="2099">
      <c r="A2099" s="39" t="n">
        <v>46178.09668981482</v>
      </c>
      <c r="B2099" s="25">
        <f>TEXT(A2099,"YYYY-MM")</f>
        <v/>
      </c>
      <c r="C2099" s="25">
        <f>TEXT(A2099,"MMM-YYYY")</f>
        <v/>
      </c>
      <c r="D2099" s="40">
        <f>INT(A2099)-WEEKDAY(A2099,2)+1</f>
        <v/>
      </c>
      <c r="E2099" s="25" t="inlineStr">
        <is>
          <t>ns</t>
        </is>
      </c>
      <c r="F2099" s="25" t="n">
        <v>122859</v>
      </c>
      <c r="G2099" s="25" t="n">
        <v>2</v>
      </c>
      <c r="H2099" s="25" t="n">
        <v>10</v>
      </c>
      <c r="I2099" s="25" t="inlineStr">
        <is>
          <t>3 minute(s) and 13 second(s)</t>
        </is>
      </c>
      <c r="J2099" s="25">
        <f>IFERROR(VALUE(TRIM(LEFT(I2099,FIND("minute",I2099)-1)))*60,0)+IFERROR(VALUE(SUBSTITUTE(MID(I2099,IFERROR(FIND("and",I2099)+3,1),20),"second(s)","")),0)</f>
        <v/>
      </c>
      <c r="K2099" s="41">
        <f>J2099/60</f>
        <v/>
      </c>
      <c r="L2099" s="41">
        <f>IFERROR(J2099/H2099,"")</f>
        <v/>
      </c>
      <c r="M2099" s="25" t="inlineStr">
        <is>
          <t>2.5.12</t>
        </is>
      </c>
      <c r="N2099" s="25">
        <f>IF(J2099&gt;300,1,0)</f>
        <v/>
      </c>
      <c r="O2099" s="25">
        <f>IF(J2099&gt;600,1,0)</f>
        <v/>
      </c>
      <c r="P2099" s="25">
        <f>IF(H2099&gt;0,J2099,"")</f>
        <v/>
      </c>
      <c r="Q2099" s="25">
        <f>TEXT(A2099,"YYYY-MM-DD HH")</f>
        <v/>
      </c>
      <c r="R2099" s="25">
        <f>COUNTIF($Q$2:$Q$5295,Q2099)</f>
        <v/>
      </c>
      <c r="S2099" s="25">
        <f>IF(R2099&lt;=2,"1-2",IF(R2099&lt;=5,"3-5",IF(R2099&lt;=10,"6-10","11+")))</f>
        <v/>
      </c>
    </row>
    <row r="2100">
      <c r="A2100" s="39" t="n">
        <v>46178.10322916666</v>
      </c>
      <c r="B2100" s="25">
        <f>TEXT(A2100,"YYYY-MM")</f>
        <v/>
      </c>
      <c r="C2100" s="25">
        <f>TEXT(A2100,"MMM-YYYY")</f>
        <v/>
      </c>
      <c r="D2100" s="40">
        <f>INT(A2100)-WEEKDAY(A2100,2)+1</f>
        <v/>
      </c>
      <c r="E2100" s="25" t="inlineStr">
        <is>
          <t>taggarwal</t>
        </is>
      </c>
      <c r="F2100" s="25" t="n">
        <v>124598</v>
      </c>
      <c r="G2100" s="25" t="n">
        <v>3</v>
      </c>
      <c r="H2100" s="25" t="n">
        <v>17</v>
      </c>
      <c r="I2100" s="25" t="inlineStr">
        <is>
          <t>3 minute(s) and 44 second(s)</t>
        </is>
      </c>
      <c r="J2100" s="25">
        <f>IFERROR(VALUE(TRIM(LEFT(I2100,FIND("minute",I2100)-1)))*60,0)+IFERROR(VALUE(SUBSTITUTE(MID(I2100,IFERROR(FIND("and",I2100)+3,1),20),"second(s)","")),0)</f>
        <v/>
      </c>
      <c r="K2100" s="41">
        <f>J2100/60</f>
        <v/>
      </c>
      <c r="L2100" s="41">
        <f>IFERROR(J2100/H2100,"")</f>
        <v/>
      </c>
      <c r="M2100" s="25" t="inlineStr">
        <is>
          <t>2.5.12</t>
        </is>
      </c>
      <c r="N2100" s="25">
        <f>IF(J2100&gt;300,1,0)</f>
        <v/>
      </c>
      <c r="O2100" s="25">
        <f>IF(J2100&gt;600,1,0)</f>
        <v/>
      </c>
      <c r="P2100" s="25">
        <f>IF(H2100&gt;0,J2100,"")</f>
        <v/>
      </c>
      <c r="Q2100" s="25">
        <f>TEXT(A2100,"YYYY-MM-DD HH")</f>
        <v/>
      </c>
      <c r="R2100" s="25">
        <f>COUNTIF($Q$2:$Q$5295,Q2100)</f>
        <v/>
      </c>
      <c r="S2100" s="25">
        <f>IF(R2100&lt;=2,"1-2",IF(R2100&lt;=5,"3-5",IF(R2100&lt;=10,"6-10","11+")))</f>
        <v/>
      </c>
    </row>
    <row r="2101">
      <c r="A2101" s="39" t="n">
        <v>46178.11017361111</v>
      </c>
      <c r="B2101" s="25">
        <f>TEXT(A2101,"YYYY-MM")</f>
        <v/>
      </c>
      <c r="C2101" s="25">
        <f>TEXT(A2101,"MMM-YYYY")</f>
        <v/>
      </c>
      <c r="D2101" s="40">
        <f>INT(A2101)-WEEKDAY(A2101,2)+1</f>
        <v/>
      </c>
      <c r="E2101" s="25" t="inlineStr">
        <is>
          <t>atiwari</t>
        </is>
      </c>
      <c r="F2101" s="25" t="n">
        <v>123782</v>
      </c>
      <c r="G2101" s="25" t="n">
        <v>3</v>
      </c>
      <c r="H2101" s="25" t="n">
        <v>16</v>
      </c>
      <c r="I2101" s="25" t="inlineStr">
        <is>
          <t>4 minute(s) and 40 second(s)</t>
        </is>
      </c>
      <c r="J2101" s="25">
        <f>IFERROR(VALUE(TRIM(LEFT(I2101,FIND("minute",I2101)-1)))*60,0)+IFERROR(VALUE(SUBSTITUTE(MID(I2101,IFERROR(FIND("and",I2101)+3,1),20),"second(s)","")),0)</f>
        <v/>
      </c>
      <c r="K2101" s="41">
        <f>J2101/60</f>
        <v/>
      </c>
      <c r="L2101" s="41">
        <f>IFERROR(J2101/H2101,"")</f>
        <v/>
      </c>
      <c r="M2101" s="25" t="inlineStr">
        <is>
          <t>2.5.12</t>
        </is>
      </c>
      <c r="N2101" s="25">
        <f>IF(J2101&gt;300,1,0)</f>
        <v/>
      </c>
      <c r="O2101" s="25">
        <f>IF(J2101&gt;600,1,0)</f>
        <v/>
      </c>
      <c r="P2101" s="25">
        <f>IF(H2101&gt;0,J2101,"")</f>
        <v/>
      </c>
      <c r="Q2101" s="25">
        <f>TEXT(A2101,"YYYY-MM-DD HH")</f>
        <v/>
      </c>
      <c r="R2101" s="25">
        <f>COUNTIF($Q$2:$Q$5295,Q2101)</f>
        <v/>
      </c>
      <c r="S2101" s="25">
        <f>IF(R2101&lt;=2,"1-2",IF(R2101&lt;=5,"3-5",IF(R2101&lt;=10,"6-10","11+")))</f>
        <v/>
      </c>
    </row>
    <row r="2102">
      <c r="A2102" s="39" t="n">
        <v>46178.11050925926</v>
      </c>
      <c r="B2102" s="25">
        <f>TEXT(A2102,"YYYY-MM")</f>
        <v/>
      </c>
      <c r="C2102" s="25">
        <f>TEXT(A2102,"MMM-YYYY")</f>
        <v/>
      </c>
      <c r="D2102" s="40">
        <f>INT(A2102)-WEEKDAY(A2102,2)+1</f>
        <v/>
      </c>
      <c r="E2102" s="25" t="inlineStr">
        <is>
          <t>bverma</t>
        </is>
      </c>
      <c r="F2102" s="25" t="n">
        <v>124633</v>
      </c>
      <c r="G2102" s="25" t="n">
        <v>1</v>
      </c>
      <c r="H2102" s="25" t="n">
        <v>7</v>
      </c>
      <c r="I2102" s="25" t="inlineStr">
        <is>
          <t>2 minute(s) and 1 second(s)</t>
        </is>
      </c>
      <c r="J2102" s="25">
        <f>IFERROR(VALUE(TRIM(LEFT(I2102,FIND("minute",I2102)-1)))*60,0)+IFERROR(VALUE(SUBSTITUTE(MID(I2102,IFERROR(FIND("and",I2102)+3,1),20),"second(s)","")),0)</f>
        <v/>
      </c>
      <c r="K2102" s="41">
        <f>J2102/60</f>
        <v/>
      </c>
      <c r="L2102" s="41">
        <f>IFERROR(J2102/H2102,"")</f>
        <v/>
      </c>
      <c r="M2102" s="25" t="inlineStr">
        <is>
          <t>2.5.12</t>
        </is>
      </c>
      <c r="N2102" s="25">
        <f>IF(J2102&gt;300,1,0)</f>
        <v/>
      </c>
      <c r="O2102" s="25">
        <f>IF(J2102&gt;600,1,0)</f>
        <v/>
      </c>
      <c r="P2102" s="25">
        <f>IF(H2102&gt;0,J2102,"")</f>
        <v/>
      </c>
      <c r="Q2102" s="25">
        <f>TEXT(A2102,"YYYY-MM-DD HH")</f>
        <v/>
      </c>
      <c r="R2102" s="25">
        <f>COUNTIF($Q$2:$Q$5295,Q2102)</f>
        <v/>
      </c>
      <c r="S2102" s="25">
        <f>IF(R2102&lt;=2,"1-2",IF(R2102&lt;=5,"3-5",IF(R2102&lt;=10,"6-10","11+")))</f>
        <v/>
      </c>
    </row>
    <row r="2103">
      <c r="A2103" s="39" t="n">
        <v>46178.11219907407</v>
      </c>
      <c r="B2103" s="25">
        <f>TEXT(A2103,"YYYY-MM")</f>
        <v/>
      </c>
      <c r="C2103" s="25">
        <f>TEXT(A2103,"MMM-YYYY")</f>
        <v/>
      </c>
      <c r="D2103" s="40">
        <f>INT(A2103)-WEEKDAY(A2103,2)+1</f>
        <v/>
      </c>
      <c r="E2103" s="25" t="inlineStr">
        <is>
          <t>stiwari</t>
        </is>
      </c>
      <c r="F2103" s="25" t="n">
        <v>125040</v>
      </c>
      <c r="G2103" s="25" t="n">
        <v>2</v>
      </c>
      <c r="H2103" s="25" t="n">
        <v>13</v>
      </c>
      <c r="I2103" s="25" t="inlineStr">
        <is>
          <t>2 minute(s) and 22 second(s)</t>
        </is>
      </c>
      <c r="J2103" s="25">
        <f>IFERROR(VALUE(TRIM(LEFT(I2103,FIND("minute",I2103)-1)))*60,0)+IFERROR(VALUE(SUBSTITUTE(MID(I2103,IFERROR(FIND("and",I2103)+3,1),20),"second(s)","")),0)</f>
        <v/>
      </c>
      <c r="K2103" s="41">
        <f>J2103/60</f>
        <v/>
      </c>
      <c r="L2103" s="41">
        <f>IFERROR(J2103/H2103,"")</f>
        <v/>
      </c>
      <c r="M2103" s="25" t="inlineStr">
        <is>
          <t>2.5.12</t>
        </is>
      </c>
      <c r="N2103" s="25">
        <f>IF(J2103&gt;300,1,0)</f>
        <v/>
      </c>
      <c r="O2103" s="25">
        <f>IF(J2103&gt;600,1,0)</f>
        <v/>
      </c>
      <c r="P2103" s="25">
        <f>IF(H2103&gt;0,J2103,"")</f>
        <v/>
      </c>
      <c r="Q2103" s="25">
        <f>TEXT(A2103,"YYYY-MM-DD HH")</f>
        <v/>
      </c>
      <c r="R2103" s="25">
        <f>COUNTIF($Q$2:$Q$5295,Q2103)</f>
        <v/>
      </c>
      <c r="S2103" s="25">
        <f>IF(R2103&lt;=2,"1-2",IF(R2103&lt;=5,"3-5",IF(R2103&lt;=10,"6-10","11+")))</f>
        <v/>
      </c>
    </row>
    <row r="2104">
      <c r="A2104" s="39" t="n">
        <v>46178.1418287037</v>
      </c>
      <c r="B2104" s="25">
        <f>TEXT(A2104,"YYYY-MM")</f>
        <v/>
      </c>
      <c r="C2104" s="25">
        <f>TEXT(A2104,"MMM-YYYY")</f>
        <v/>
      </c>
      <c r="D2104" s="40">
        <f>INT(A2104)-WEEKDAY(A2104,2)+1</f>
        <v/>
      </c>
      <c r="E2104" s="25" t="inlineStr">
        <is>
          <t>bverma</t>
        </is>
      </c>
      <c r="F2104" s="25" t="n">
        <v>124633</v>
      </c>
      <c r="G2104" s="25" t="n">
        <v>1</v>
      </c>
      <c r="H2104" s="25" t="n">
        <v>8</v>
      </c>
      <c r="I2104" s="25" t="inlineStr">
        <is>
          <t>3 minute(s) and 11 second(s)</t>
        </is>
      </c>
      <c r="J2104" s="25">
        <f>IFERROR(VALUE(TRIM(LEFT(I2104,FIND("minute",I2104)-1)))*60,0)+IFERROR(VALUE(SUBSTITUTE(MID(I2104,IFERROR(FIND("and",I2104)+3,1),20),"second(s)","")),0)</f>
        <v/>
      </c>
      <c r="K2104" s="41">
        <f>J2104/60</f>
        <v/>
      </c>
      <c r="L2104" s="41">
        <f>IFERROR(J2104/H2104,"")</f>
        <v/>
      </c>
      <c r="M2104" s="25" t="inlineStr">
        <is>
          <t>2.5.12</t>
        </is>
      </c>
      <c r="N2104" s="25">
        <f>IF(J2104&gt;300,1,0)</f>
        <v/>
      </c>
      <c r="O2104" s="25">
        <f>IF(J2104&gt;600,1,0)</f>
        <v/>
      </c>
      <c r="P2104" s="25">
        <f>IF(H2104&gt;0,J2104,"")</f>
        <v/>
      </c>
      <c r="Q2104" s="25">
        <f>TEXT(A2104,"YYYY-MM-DD HH")</f>
        <v/>
      </c>
      <c r="R2104" s="25">
        <f>COUNTIF($Q$2:$Q$5295,Q2104)</f>
        <v/>
      </c>
      <c r="S2104" s="25">
        <f>IF(R2104&lt;=2,"1-2",IF(R2104&lt;=5,"3-5",IF(R2104&lt;=10,"6-10","11+")))</f>
        <v/>
      </c>
    </row>
    <row r="2105">
      <c r="A2105" s="39" t="n">
        <v>46178.14471064815</v>
      </c>
      <c r="B2105" s="25">
        <f>TEXT(A2105,"YYYY-MM")</f>
        <v/>
      </c>
      <c r="C2105" s="25">
        <f>TEXT(A2105,"MMM-YYYY")</f>
        <v/>
      </c>
      <c r="D2105" s="40">
        <f>INT(A2105)-WEEKDAY(A2105,2)+1</f>
        <v/>
      </c>
      <c r="E2105" s="25" t="inlineStr">
        <is>
          <t>bverma</t>
        </is>
      </c>
      <c r="F2105" s="25" t="n">
        <v>124633</v>
      </c>
      <c r="G2105" s="25" t="n">
        <v>1</v>
      </c>
      <c r="H2105" s="25" t="n">
        <v>6</v>
      </c>
      <c r="I2105" s="25" t="inlineStr">
        <is>
          <t>2 minute(s) and 1 second(s)</t>
        </is>
      </c>
      <c r="J2105" s="25">
        <f>IFERROR(VALUE(TRIM(LEFT(I2105,FIND("minute",I2105)-1)))*60,0)+IFERROR(VALUE(SUBSTITUTE(MID(I2105,IFERROR(FIND("and",I2105)+3,1),20),"second(s)","")),0)</f>
        <v/>
      </c>
      <c r="K2105" s="41">
        <f>J2105/60</f>
        <v/>
      </c>
      <c r="L2105" s="41">
        <f>IFERROR(J2105/H2105,"")</f>
        <v/>
      </c>
      <c r="M2105" s="25" t="inlineStr">
        <is>
          <t>2.5.12</t>
        </is>
      </c>
      <c r="N2105" s="25">
        <f>IF(J2105&gt;300,1,0)</f>
        <v/>
      </c>
      <c r="O2105" s="25">
        <f>IF(J2105&gt;600,1,0)</f>
        <v/>
      </c>
      <c r="P2105" s="25">
        <f>IF(H2105&gt;0,J2105,"")</f>
        <v/>
      </c>
      <c r="Q2105" s="25">
        <f>TEXT(A2105,"YYYY-MM-DD HH")</f>
        <v/>
      </c>
      <c r="R2105" s="25">
        <f>COUNTIF($Q$2:$Q$5295,Q2105)</f>
        <v/>
      </c>
      <c r="S2105" s="25">
        <f>IF(R2105&lt;=2,"1-2",IF(R2105&lt;=5,"3-5",IF(R2105&lt;=10,"6-10","11+")))</f>
        <v/>
      </c>
    </row>
    <row r="2106">
      <c r="A2106" s="39" t="n">
        <v>46178.14776620371</v>
      </c>
      <c r="B2106" s="25">
        <f>TEXT(A2106,"YYYY-MM")</f>
        <v/>
      </c>
      <c r="C2106" s="25">
        <f>TEXT(A2106,"MMM-YYYY")</f>
        <v/>
      </c>
      <c r="D2106" s="40">
        <f>INT(A2106)-WEEKDAY(A2106,2)+1</f>
        <v/>
      </c>
      <c r="E2106" s="25" t="inlineStr">
        <is>
          <t>ssrinivasan</t>
        </is>
      </c>
      <c r="F2106" s="25" t="n">
        <v>122870</v>
      </c>
      <c r="G2106" s="25" t="n">
        <v>2</v>
      </c>
      <c r="H2106" s="25" t="n">
        <v>15</v>
      </c>
      <c r="I2106" s="25" t="inlineStr">
        <is>
          <t>4 minute(s) and 56 second(s)</t>
        </is>
      </c>
      <c r="J2106" s="25">
        <f>IFERROR(VALUE(TRIM(LEFT(I2106,FIND("minute",I2106)-1)))*60,0)+IFERROR(VALUE(SUBSTITUTE(MID(I2106,IFERROR(FIND("and",I2106)+3,1),20),"second(s)","")),0)</f>
        <v/>
      </c>
      <c r="K2106" s="41">
        <f>J2106/60</f>
        <v/>
      </c>
      <c r="L2106" s="41">
        <f>IFERROR(J2106/H2106,"")</f>
        <v/>
      </c>
      <c r="M2106" s="25" t="inlineStr">
        <is>
          <t>2.5.12</t>
        </is>
      </c>
      <c r="N2106" s="25">
        <f>IF(J2106&gt;300,1,0)</f>
        <v/>
      </c>
      <c r="O2106" s="25">
        <f>IF(J2106&gt;600,1,0)</f>
        <v/>
      </c>
      <c r="P2106" s="25">
        <f>IF(H2106&gt;0,J2106,"")</f>
        <v/>
      </c>
      <c r="Q2106" s="25">
        <f>TEXT(A2106,"YYYY-MM-DD HH")</f>
        <v/>
      </c>
      <c r="R2106" s="25">
        <f>COUNTIF($Q$2:$Q$5295,Q2106)</f>
        <v/>
      </c>
      <c r="S2106" s="25">
        <f>IF(R2106&lt;=2,"1-2",IF(R2106&lt;=5,"3-5",IF(R2106&lt;=10,"6-10","11+")))</f>
        <v/>
      </c>
    </row>
    <row r="2107">
      <c r="A2107" s="39" t="n">
        <v>46178.14905092592</v>
      </c>
      <c r="B2107" s="25">
        <f>TEXT(A2107,"YYYY-MM")</f>
        <v/>
      </c>
      <c r="C2107" s="25">
        <f>TEXT(A2107,"MMM-YYYY")</f>
        <v/>
      </c>
      <c r="D2107" s="40">
        <f>INT(A2107)-WEEKDAY(A2107,2)+1</f>
        <v/>
      </c>
      <c r="E2107" s="25" t="inlineStr">
        <is>
          <t>ethomas</t>
        </is>
      </c>
      <c r="F2107" s="25" t="n">
        <v>125637</v>
      </c>
      <c r="G2107" s="25" t="n">
        <v>4</v>
      </c>
      <c r="H2107" s="25" t="n">
        <v>22</v>
      </c>
      <c r="I2107" s="25" t="inlineStr">
        <is>
          <t>5 minute(s) and 30 second(s)</t>
        </is>
      </c>
      <c r="J2107" s="25">
        <f>IFERROR(VALUE(TRIM(LEFT(I2107,FIND("minute",I2107)-1)))*60,0)+IFERROR(VALUE(SUBSTITUTE(MID(I2107,IFERROR(FIND("and",I2107)+3,1),20),"second(s)","")),0)</f>
        <v/>
      </c>
      <c r="K2107" s="41">
        <f>J2107/60</f>
        <v/>
      </c>
      <c r="L2107" s="41">
        <f>IFERROR(J2107/H2107,"")</f>
        <v/>
      </c>
      <c r="M2107" s="25" t="inlineStr">
        <is>
          <t>2.5.12</t>
        </is>
      </c>
      <c r="N2107" s="25">
        <f>IF(J2107&gt;300,1,0)</f>
        <v/>
      </c>
      <c r="O2107" s="25">
        <f>IF(J2107&gt;600,1,0)</f>
        <v/>
      </c>
      <c r="P2107" s="25">
        <f>IF(H2107&gt;0,J2107,"")</f>
        <v/>
      </c>
      <c r="Q2107" s="25">
        <f>TEXT(A2107,"YYYY-MM-DD HH")</f>
        <v/>
      </c>
      <c r="R2107" s="25">
        <f>COUNTIF($Q$2:$Q$5295,Q2107)</f>
        <v/>
      </c>
      <c r="S2107" s="25">
        <f>IF(R2107&lt;=2,"1-2",IF(R2107&lt;=5,"3-5",IF(R2107&lt;=10,"6-10","11+")))</f>
        <v/>
      </c>
    </row>
    <row r="2108">
      <c r="A2108" s="39" t="n">
        <v>46178.1493287037</v>
      </c>
      <c r="B2108" s="25">
        <f>TEXT(A2108,"YYYY-MM")</f>
        <v/>
      </c>
      <c r="C2108" s="25">
        <f>TEXT(A2108,"MMM-YYYY")</f>
        <v/>
      </c>
      <c r="D2108" s="40">
        <f>INT(A2108)-WEEKDAY(A2108,2)+1</f>
        <v/>
      </c>
      <c r="E2108" s="25" t="inlineStr">
        <is>
          <t>ns</t>
        </is>
      </c>
      <c r="F2108" s="25" t="n">
        <v>125029</v>
      </c>
      <c r="G2108" s="25" t="n">
        <v>1</v>
      </c>
      <c r="H2108" s="25" t="n">
        <v>6</v>
      </c>
      <c r="I2108" s="25" t="inlineStr">
        <is>
          <t>2 minute(s) and 16 second(s)</t>
        </is>
      </c>
      <c r="J2108" s="25">
        <f>IFERROR(VALUE(TRIM(LEFT(I2108,FIND("minute",I2108)-1)))*60,0)+IFERROR(VALUE(SUBSTITUTE(MID(I2108,IFERROR(FIND("and",I2108)+3,1),20),"second(s)","")),0)</f>
        <v/>
      </c>
      <c r="K2108" s="41">
        <f>J2108/60</f>
        <v/>
      </c>
      <c r="L2108" s="41">
        <f>IFERROR(J2108/H2108,"")</f>
        <v/>
      </c>
      <c r="M2108" s="25" t="inlineStr">
        <is>
          <t>2.5.12</t>
        </is>
      </c>
      <c r="N2108" s="25">
        <f>IF(J2108&gt;300,1,0)</f>
        <v/>
      </c>
      <c r="O2108" s="25">
        <f>IF(J2108&gt;600,1,0)</f>
        <v/>
      </c>
      <c r="P2108" s="25">
        <f>IF(H2108&gt;0,J2108,"")</f>
        <v/>
      </c>
      <c r="Q2108" s="25">
        <f>TEXT(A2108,"YYYY-MM-DD HH")</f>
        <v/>
      </c>
      <c r="R2108" s="25">
        <f>COUNTIF($Q$2:$Q$5295,Q2108)</f>
        <v/>
      </c>
      <c r="S2108" s="25">
        <f>IF(R2108&lt;=2,"1-2",IF(R2108&lt;=5,"3-5",IF(R2108&lt;=10,"6-10","11+")))</f>
        <v/>
      </c>
    </row>
    <row r="2109">
      <c r="A2109" s="39" t="n">
        <v>46178.15900462963</v>
      </c>
      <c r="B2109" s="25">
        <f>TEXT(A2109,"YYYY-MM")</f>
        <v/>
      </c>
      <c r="C2109" s="25">
        <f>TEXT(A2109,"MMM-YYYY")</f>
        <v/>
      </c>
      <c r="D2109" s="40">
        <f>INT(A2109)-WEEKDAY(A2109,2)+1</f>
        <v/>
      </c>
      <c r="E2109" s="25" t="inlineStr">
        <is>
          <t>csaha</t>
        </is>
      </c>
      <c r="F2109" s="25" t="n">
        <v>124984</v>
      </c>
      <c r="G2109" s="25" t="n">
        <v>3</v>
      </c>
      <c r="H2109" s="25" t="n">
        <v>15</v>
      </c>
      <c r="I2109" s="25" t="inlineStr">
        <is>
          <t>2 minute(s) and 42 second(s)</t>
        </is>
      </c>
      <c r="J2109" s="25">
        <f>IFERROR(VALUE(TRIM(LEFT(I2109,FIND("minute",I2109)-1)))*60,0)+IFERROR(VALUE(SUBSTITUTE(MID(I2109,IFERROR(FIND("and",I2109)+3,1),20),"second(s)","")),0)</f>
        <v/>
      </c>
      <c r="K2109" s="41">
        <f>J2109/60</f>
        <v/>
      </c>
      <c r="L2109" s="41">
        <f>IFERROR(J2109/H2109,"")</f>
        <v/>
      </c>
      <c r="M2109" s="25" t="inlineStr">
        <is>
          <t>2.5.12</t>
        </is>
      </c>
      <c r="N2109" s="25">
        <f>IF(J2109&gt;300,1,0)</f>
        <v/>
      </c>
      <c r="O2109" s="25">
        <f>IF(J2109&gt;600,1,0)</f>
        <v/>
      </c>
      <c r="P2109" s="25">
        <f>IF(H2109&gt;0,J2109,"")</f>
        <v/>
      </c>
      <c r="Q2109" s="25">
        <f>TEXT(A2109,"YYYY-MM-DD HH")</f>
        <v/>
      </c>
      <c r="R2109" s="25">
        <f>COUNTIF($Q$2:$Q$5295,Q2109)</f>
        <v/>
      </c>
      <c r="S2109" s="25">
        <f>IF(R2109&lt;=2,"1-2",IF(R2109&lt;=5,"3-5",IF(R2109&lt;=10,"6-10","11+")))</f>
        <v/>
      </c>
    </row>
    <row r="2110">
      <c r="A2110" s="39" t="n">
        <v>46178.16134259259</v>
      </c>
      <c r="B2110" s="25">
        <f>TEXT(A2110,"YYYY-MM")</f>
        <v/>
      </c>
      <c r="C2110" s="25">
        <f>TEXT(A2110,"MMM-YYYY")</f>
        <v/>
      </c>
      <c r="D2110" s="40">
        <f>INT(A2110)-WEEKDAY(A2110,2)+1</f>
        <v/>
      </c>
      <c r="E2110" s="25" t="inlineStr">
        <is>
          <t>stiwari</t>
        </is>
      </c>
      <c r="F2110" s="25" t="n">
        <v>122082</v>
      </c>
      <c r="G2110" s="25" t="n">
        <v>4</v>
      </c>
      <c r="H2110" s="25" t="n">
        <v>26</v>
      </c>
      <c r="I2110" s="25" t="inlineStr">
        <is>
          <t>4 minute(s) and 19 second(s)</t>
        </is>
      </c>
      <c r="J2110" s="25">
        <f>IFERROR(VALUE(TRIM(LEFT(I2110,FIND("minute",I2110)-1)))*60,0)+IFERROR(VALUE(SUBSTITUTE(MID(I2110,IFERROR(FIND("and",I2110)+3,1),20),"second(s)","")),0)</f>
        <v/>
      </c>
      <c r="K2110" s="41">
        <f>J2110/60</f>
        <v/>
      </c>
      <c r="L2110" s="41">
        <f>IFERROR(J2110/H2110,"")</f>
        <v/>
      </c>
      <c r="M2110" s="25" t="inlineStr">
        <is>
          <t>2.5.12</t>
        </is>
      </c>
      <c r="N2110" s="25">
        <f>IF(J2110&gt;300,1,0)</f>
        <v/>
      </c>
      <c r="O2110" s="25">
        <f>IF(J2110&gt;600,1,0)</f>
        <v/>
      </c>
      <c r="P2110" s="25">
        <f>IF(H2110&gt;0,J2110,"")</f>
        <v/>
      </c>
      <c r="Q2110" s="25">
        <f>TEXT(A2110,"YYYY-MM-DD HH")</f>
        <v/>
      </c>
      <c r="R2110" s="25">
        <f>COUNTIF($Q$2:$Q$5295,Q2110)</f>
        <v/>
      </c>
      <c r="S2110" s="25">
        <f>IF(R2110&lt;=2,"1-2",IF(R2110&lt;=5,"3-5",IF(R2110&lt;=10,"6-10","11+")))</f>
        <v/>
      </c>
    </row>
    <row r="2111">
      <c r="A2111" s="39" t="n">
        <v>46178.16237268518</v>
      </c>
      <c r="B2111" s="25">
        <f>TEXT(A2111,"YYYY-MM")</f>
        <v/>
      </c>
      <c r="C2111" s="25">
        <f>TEXT(A2111,"MMM-YYYY")</f>
        <v/>
      </c>
      <c r="D2111" s="40">
        <f>INT(A2111)-WEEKDAY(A2111,2)+1</f>
        <v/>
      </c>
      <c r="E2111" s="25" t="inlineStr">
        <is>
          <t>bverma</t>
        </is>
      </c>
      <c r="F2111" s="25" t="n">
        <v>124633</v>
      </c>
      <c r="G2111" s="25" t="n">
        <v>1</v>
      </c>
      <c r="H2111" s="25" t="n">
        <v>8</v>
      </c>
      <c r="I2111" s="25" t="inlineStr">
        <is>
          <t>3 minute(s) and 46 second(s)</t>
        </is>
      </c>
      <c r="J2111" s="25">
        <f>IFERROR(VALUE(TRIM(LEFT(I2111,FIND("minute",I2111)-1)))*60,0)+IFERROR(VALUE(SUBSTITUTE(MID(I2111,IFERROR(FIND("and",I2111)+3,1),20),"second(s)","")),0)</f>
        <v/>
      </c>
      <c r="K2111" s="41">
        <f>J2111/60</f>
        <v/>
      </c>
      <c r="L2111" s="41">
        <f>IFERROR(J2111/H2111,"")</f>
        <v/>
      </c>
      <c r="M2111" s="25" t="inlineStr">
        <is>
          <t>2.5.12</t>
        </is>
      </c>
      <c r="N2111" s="25">
        <f>IF(J2111&gt;300,1,0)</f>
        <v/>
      </c>
      <c r="O2111" s="25">
        <f>IF(J2111&gt;600,1,0)</f>
        <v/>
      </c>
      <c r="P2111" s="25">
        <f>IF(H2111&gt;0,J2111,"")</f>
        <v/>
      </c>
      <c r="Q2111" s="25">
        <f>TEXT(A2111,"YYYY-MM-DD HH")</f>
        <v/>
      </c>
      <c r="R2111" s="25">
        <f>COUNTIF($Q$2:$Q$5295,Q2111)</f>
        <v/>
      </c>
      <c r="S2111" s="25">
        <f>IF(R2111&lt;=2,"1-2",IF(R2111&lt;=5,"3-5",IF(R2111&lt;=10,"6-10","11+")))</f>
        <v/>
      </c>
    </row>
    <row r="2112">
      <c r="A2112" s="39" t="n">
        <v>46178.16271990741</v>
      </c>
      <c r="B2112" s="25">
        <f>TEXT(A2112,"YYYY-MM")</f>
        <v/>
      </c>
      <c r="C2112" s="25">
        <f>TEXT(A2112,"MMM-YYYY")</f>
        <v/>
      </c>
      <c r="D2112" s="40">
        <f>INT(A2112)-WEEKDAY(A2112,2)+1</f>
        <v/>
      </c>
      <c r="E2112" s="25" t="inlineStr">
        <is>
          <t>ssarkar</t>
        </is>
      </c>
      <c r="F2112" s="25" t="n">
        <v>122305</v>
      </c>
      <c r="G2112" s="25" t="n">
        <v>4</v>
      </c>
      <c r="H2112" s="25" t="n">
        <v>20</v>
      </c>
      <c r="I2112" s="25" t="inlineStr">
        <is>
          <t>5 minute(s) and 57 second(s)</t>
        </is>
      </c>
      <c r="J2112" s="25">
        <f>IFERROR(VALUE(TRIM(LEFT(I2112,FIND("minute",I2112)-1)))*60,0)+IFERROR(VALUE(SUBSTITUTE(MID(I2112,IFERROR(FIND("and",I2112)+3,1),20),"second(s)","")),0)</f>
        <v/>
      </c>
      <c r="K2112" s="41">
        <f>J2112/60</f>
        <v/>
      </c>
      <c r="L2112" s="41">
        <f>IFERROR(J2112/H2112,"")</f>
        <v/>
      </c>
      <c r="M2112" s="25" t="inlineStr">
        <is>
          <t>2.5.12</t>
        </is>
      </c>
      <c r="N2112" s="25">
        <f>IF(J2112&gt;300,1,0)</f>
        <v/>
      </c>
      <c r="O2112" s="25">
        <f>IF(J2112&gt;600,1,0)</f>
        <v/>
      </c>
      <c r="P2112" s="25">
        <f>IF(H2112&gt;0,J2112,"")</f>
        <v/>
      </c>
      <c r="Q2112" s="25">
        <f>TEXT(A2112,"YYYY-MM-DD HH")</f>
        <v/>
      </c>
      <c r="R2112" s="25">
        <f>COUNTIF($Q$2:$Q$5295,Q2112)</f>
        <v/>
      </c>
      <c r="S2112" s="25">
        <f>IF(R2112&lt;=2,"1-2",IF(R2112&lt;=5,"3-5",IF(R2112&lt;=10,"6-10","11+")))</f>
        <v/>
      </c>
    </row>
    <row r="2113">
      <c r="A2113" s="39" t="n">
        <v>46178.16329861111</v>
      </c>
      <c r="B2113" s="25">
        <f>TEXT(A2113,"YYYY-MM")</f>
        <v/>
      </c>
      <c r="C2113" s="25">
        <f>TEXT(A2113,"MMM-YYYY")</f>
        <v/>
      </c>
      <c r="D2113" s="40">
        <f>INT(A2113)-WEEKDAY(A2113,2)+1</f>
        <v/>
      </c>
      <c r="E2113" s="25" t="inlineStr">
        <is>
          <t>csaha</t>
        </is>
      </c>
      <c r="F2113" s="25" t="n">
        <v>124984</v>
      </c>
      <c r="G2113" s="25" t="n">
        <v>3</v>
      </c>
      <c r="H2113" s="25" t="n">
        <v>15</v>
      </c>
      <c r="I2113" s="25" t="inlineStr">
        <is>
          <t>3 minute(s) and 41 second(s)</t>
        </is>
      </c>
      <c r="J2113" s="25">
        <f>IFERROR(VALUE(TRIM(LEFT(I2113,FIND("minute",I2113)-1)))*60,0)+IFERROR(VALUE(SUBSTITUTE(MID(I2113,IFERROR(FIND("and",I2113)+3,1),20),"second(s)","")),0)</f>
        <v/>
      </c>
      <c r="K2113" s="41">
        <f>J2113/60</f>
        <v/>
      </c>
      <c r="L2113" s="41">
        <f>IFERROR(J2113/H2113,"")</f>
        <v/>
      </c>
      <c r="M2113" s="25" t="inlineStr">
        <is>
          <t>2.5.12</t>
        </is>
      </c>
      <c r="N2113" s="25">
        <f>IF(J2113&gt;300,1,0)</f>
        <v/>
      </c>
      <c r="O2113" s="25">
        <f>IF(J2113&gt;600,1,0)</f>
        <v/>
      </c>
      <c r="P2113" s="25">
        <f>IF(H2113&gt;0,J2113,"")</f>
        <v/>
      </c>
      <c r="Q2113" s="25">
        <f>TEXT(A2113,"YYYY-MM-DD HH")</f>
        <v/>
      </c>
      <c r="R2113" s="25">
        <f>COUNTIF($Q$2:$Q$5295,Q2113)</f>
        <v/>
      </c>
      <c r="S2113" s="25">
        <f>IF(R2113&lt;=2,"1-2",IF(R2113&lt;=5,"3-5",IF(R2113&lt;=10,"6-10","11+")))</f>
        <v/>
      </c>
    </row>
    <row r="2114">
      <c r="A2114" s="39" t="n">
        <v>46178.17255787037</v>
      </c>
      <c r="B2114" s="25">
        <f>TEXT(A2114,"YYYY-MM")</f>
        <v/>
      </c>
      <c r="C2114" s="25">
        <f>TEXT(A2114,"MMM-YYYY")</f>
        <v/>
      </c>
      <c r="D2114" s="40">
        <f>INT(A2114)-WEEKDAY(A2114,2)+1</f>
        <v/>
      </c>
      <c r="E2114" s="25" t="inlineStr">
        <is>
          <t>taggarwal</t>
        </is>
      </c>
      <c r="F2114" s="25" t="n">
        <v>125815</v>
      </c>
      <c r="G2114" s="25" t="n">
        <v>4</v>
      </c>
      <c r="H2114" s="25" t="n">
        <v>22</v>
      </c>
      <c r="I2114" s="25" t="inlineStr">
        <is>
          <t>4 minute(s) and 27 second(s)</t>
        </is>
      </c>
      <c r="J2114" s="25">
        <f>IFERROR(VALUE(TRIM(LEFT(I2114,FIND("minute",I2114)-1)))*60,0)+IFERROR(VALUE(SUBSTITUTE(MID(I2114,IFERROR(FIND("and",I2114)+3,1),20),"second(s)","")),0)</f>
        <v/>
      </c>
      <c r="K2114" s="41">
        <f>J2114/60</f>
        <v/>
      </c>
      <c r="L2114" s="41">
        <f>IFERROR(J2114/H2114,"")</f>
        <v/>
      </c>
      <c r="M2114" s="25" t="inlineStr">
        <is>
          <t>2.5.12</t>
        </is>
      </c>
      <c r="N2114" s="25">
        <f>IF(J2114&gt;300,1,0)</f>
        <v/>
      </c>
      <c r="O2114" s="25">
        <f>IF(J2114&gt;600,1,0)</f>
        <v/>
      </c>
      <c r="P2114" s="25">
        <f>IF(H2114&gt;0,J2114,"")</f>
        <v/>
      </c>
      <c r="Q2114" s="25">
        <f>TEXT(A2114,"YYYY-MM-DD HH")</f>
        <v/>
      </c>
      <c r="R2114" s="25">
        <f>COUNTIF($Q$2:$Q$5295,Q2114)</f>
        <v/>
      </c>
      <c r="S2114" s="25">
        <f>IF(R2114&lt;=2,"1-2",IF(R2114&lt;=5,"3-5",IF(R2114&lt;=10,"6-10","11+")))</f>
        <v/>
      </c>
    </row>
    <row r="2115">
      <c r="A2115" s="39" t="n">
        <v>46178.1903587963</v>
      </c>
      <c r="B2115" s="25">
        <f>TEXT(A2115,"YYYY-MM")</f>
        <v/>
      </c>
      <c r="C2115" s="25">
        <f>TEXT(A2115,"MMM-YYYY")</f>
        <v/>
      </c>
      <c r="D2115" s="40">
        <f>INT(A2115)-WEEKDAY(A2115,2)+1</f>
        <v/>
      </c>
      <c r="E2115" s="25" t="inlineStr">
        <is>
          <t>smukhopadhyay</t>
        </is>
      </c>
      <c r="F2115" s="25" t="n">
        <v>124567</v>
      </c>
      <c r="G2115" s="25" t="n">
        <v>4</v>
      </c>
      <c r="H2115" s="25" t="n">
        <v>22</v>
      </c>
      <c r="I2115" s="25" t="inlineStr">
        <is>
          <t>9 minute(s) and 28 second(s)</t>
        </is>
      </c>
      <c r="J2115" s="25">
        <f>IFERROR(VALUE(TRIM(LEFT(I2115,FIND("minute",I2115)-1)))*60,0)+IFERROR(VALUE(SUBSTITUTE(MID(I2115,IFERROR(FIND("and",I2115)+3,1),20),"second(s)","")),0)</f>
        <v/>
      </c>
      <c r="K2115" s="41">
        <f>J2115/60</f>
        <v/>
      </c>
      <c r="L2115" s="41">
        <f>IFERROR(J2115/H2115,"")</f>
        <v/>
      </c>
      <c r="M2115" s="25" t="inlineStr">
        <is>
          <t>2.5.12</t>
        </is>
      </c>
      <c r="N2115" s="25">
        <f>IF(J2115&gt;300,1,0)</f>
        <v/>
      </c>
      <c r="O2115" s="25">
        <f>IF(J2115&gt;600,1,0)</f>
        <v/>
      </c>
      <c r="P2115" s="25">
        <f>IF(H2115&gt;0,J2115,"")</f>
        <v/>
      </c>
      <c r="Q2115" s="25">
        <f>TEXT(A2115,"YYYY-MM-DD HH")</f>
        <v/>
      </c>
      <c r="R2115" s="25">
        <f>COUNTIF($Q$2:$Q$5295,Q2115)</f>
        <v/>
      </c>
      <c r="S2115" s="25">
        <f>IF(R2115&lt;=2,"1-2",IF(R2115&lt;=5,"3-5",IF(R2115&lt;=10,"6-10","11+")))</f>
        <v/>
      </c>
    </row>
    <row r="2116">
      <c r="A2116" s="39" t="n">
        <v>46178.21311342593</v>
      </c>
      <c r="B2116" s="25">
        <f>TEXT(A2116,"YYYY-MM")</f>
        <v/>
      </c>
      <c r="C2116" s="25">
        <f>TEXT(A2116,"MMM-YYYY")</f>
        <v/>
      </c>
      <c r="D2116" s="40">
        <f>INT(A2116)-WEEKDAY(A2116,2)+1</f>
        <v/>
      </c>
      <c r="E2116" s="25" t="inlineStr">
        <is>
          <t>hsindwani</t>
        </is>
      </c>
      <c r="F2116" s="25" t="n">
        <v>124051</v>
      </c>
      <c r="G2116" s="25" t="n">
        <v>1</v>
      </c>
      <c r="H2116" s="25" t="n">
        <v>5</v>
      </c>
      <c r="I2116" s="25" t="inlineStr">
        <is>
          <t>1 minute(s) and 28 second(s)</t>
        </is>
      </c>
      <c r="J2116" s="25">
        <f>IFERROR(VALUE(TRIM(LEFT(I2116,FIND("minute",I2116)-1)))*60,0)+IFERROR(VALUE(SUBSTITUTE(MID(I2116,IFERROR(FIND("and",I2116)+3,1),20),"second(s)","")),0)</f>
        <v/>
      </c>
      <c r="K2116" s="41">
        <f>J2116/60</f>
        <v/>
      </c>
      <c r="L2116" s="41">
        <f>IFERROR(J2116/H2116,"")</f>
        <v/>
      </c>
      <c r="M2116" s="25" t="inlineStr">
        <is>
          <t>2.5.12</t>
        </is>
      </c>
      <c r="N2116" s="25">
        <f>IF(J2116&gt;300,1,0)</f>
        <v/>
      </c>
      <c r="O2116" s="25">
        <f>IF(J2116&gt;600,1,0)</f>
        <v/>
      </c>
      <c r="P2116" s="25">
        <f>IF(H2116&gt;0,J2116,"")</f>
        <v/>
      </c>
      <c r="Q2116" s="25">
        <f>TEXT(A2116,"YYYY-MM-DD HH")</f>
        <v/>
      </c>
      <c r="R2116" s="25">
        <f>COUNTIF($Q$2:$Q$5295,Q2116)</f>
        <v/>
      </c>
      <c r="S2116" s="25">
        <f>IF(R2116&lt;=2,"1-2",IF(R2116&lt;=5,"3-5",IF(R2116&lt;=10,"6-10","11+")))</f>
        <v/>
      </c>
    </row>
    <row r="2117">
      <c r="A2117" s="39" t="n">
        <v>46178.22021990741</v>
      </c>
      <c r="B2117" s="25">
        <f>TEXT(A2117,"YYYY-MM")</f>
        <v/>
      </c>
      <c r="C2117" s="25">
        <f>TEXT(A2117,"MMM-YYYY")</f>
        <v/>
      </c>
      <c r="D2117" s="40">
        <f>INT(A2117)-WEEKDAY(A2117,2)+1</f>
        <v/>
      </c>
      <c r="E2117" s="25" t="inlineStr">
        <is>
          <t>apriyadarshi</t>
        </is>
      </c>
      <c r="F2117" s="25" t="n">
        <v>122878</v>
      </c>
      <c r="G2117" s="25" t="n">
        <v>3</v>
      </c>
      <c r="H2117" s="25" t="n">
        <v>15</v>
      </c>
      <c r="I2117" s="25" t="inlineStr">
        <is>
          <t>3 minute(s) and 29 second(s)</t>
        </is>
      </c>
      <c r="J2117" s="25">
        <f>IFERROR(VALUE(TRIM(LEFT(I2117,FIND("minute",I2117)-1)))*60,0)+IFERROR(VALUE(SUBSTITUTE(MID(I2117,IFERROR(FIND("and",I2117)+3,1),20),"second(s)","")),0)</f>
        <v/>
      </c>
      <c r="K2117" s="41">
        <f>J2117/60</f>
        <v/>
      </c>
      <c r="L2117" s="41">
        <f>IFERROR(J2117/H2117,"")</f>
        <v/>
      </c>
      <c r="M2117" s="25" t="inlineStr">
        <is>
          <t>2.5.12</t>
        </is>
      </c>
      <c r="N2117" s="25">
        <f>IF(J2117&gt;300,1,0)</f>
        <v/>
      </c>
      <c r="O2117" s="25">
        <f>IF(J2117&gt;600,1,0)</f>
        <v/>
      </c>
      <c r="P2117" s="25">
        <f>IF(H2117&gt;0,J2117,"")</f>
        <v/>
      </c>
      <c r="Q2117" s="25">
        <f>TEXT(A2117,"YYYY-MM-DD HH")</f>
        <v/>
      </c>
      <c r="R2117" s="25">
        <f>COUNTIF($Q$2:$Q$5295,Q2117)</f>
        <v/>
      </c>
      <c r="S2117" s="25">
        <f>IF(R2117&lt;=2,"1-2",IF(R2117&lt;=5,"3-5",IF(R2117&lt;=10,"6-10","11+")))</f>
        <v/>
      </c>
    </row>
    <row r="2118">
      <c r="A2118" s="39" t="n">
        <v>46178.23157407407</v>
      </c>
      <c r="B2118" s="25">
        <f>TEXT(A2118,"YYYY-MM")</f>
        <v/>
      </c>
      <c r="C2118" s="25">
        <f>TEXT(A2118,"MMM-YYYY")</f>
        <v/>
      </c>
      <c r="D2118" s="40">
        <f>INT(A2118)-WEEKDAY(A2118,2)+1</f>
        <v/>
      </c>
      <c r="E2118" s="25" t="inlineStr">
        <is>
          <t>schoppakatla</t>
        </is>
      </c>
      <c r="F2118" s="25" t="n">
        <v>124034</v>
      </c>
      <c r="G2118" s="25" t="n">
        <v>1</v>
      </c>
      <c r="H2118" s="25" t="n">
        <v>5</v>
      </c>
      <c r="I2118" s="25" t="inlineStr">
        <is>
          <t>1 minute(s) and 30 second(s)</t>
        </is>
      </c>
      <c r="J2118" s="25">
        <f>IFERROR(VALUE(TRIM(LEFT(I2118,FIND("minute",I2118)-1)))*60,0)+IFERROR(VALUE(SUBSTITUTE(MID(I2118,IFERROR(FIND("and",I2118)+3,1),20),"second(s)","")),0)</f>
        <v/>
      </c>
      <c r="K2118" s="41">
        <f>J2118/60</f>
        <v/>
      </c>
      <c r="L2118" s="41">
        <f>IFERROR(J2118/H2118,"")</f>
        <v/>
      </c>
      <c r="M2118" s="25" t="inlineStr">
        <is>
          <t>2.5.12</t>
        </is>
      </c>
      <c r="N2118" s="25">
        <f>IF(J2118&gt;300,1,0)</f>
        <v/>
      </c>
      <c r="O2118" s="25">
        <f>IF(J2118&gt;600,1,0)</f>
        <v/>
      </c>
      <c r="P2118" s="25">
        <f>IF(H2118&gt;0,J2118,"")</f>
        <v/>
      </c>
      <c r="Q2118" s="25">
        <f>TEXT(A2118,"YYYY-MM-DD HH")</f>
        <v/>
      </c>
      <c r="R2118" s="25">
        <f>COUNTIF($Q$2:$Q$5295,Q2118)</f>
        <v/>
      </c>
      <c r="S2118" s="25">
        <f>IF(R2118&lt;=2,"1-2",IF(R2118&lt;=5,"3-5",IF(R2118&lt;=10,"6-10","11+")))</f>
        <v/>
      </c>
    </row>
    <row r="2119">
      <c r="A2119" s="39" t="n">
        <v>46178.23568287037</v>
      </c>
      <c r="B2119" s="25">
        <f>TEXT(A2119,"YYYY-MM")</f>
        <v/>
      </c>
      <c r="C2119" s="25">
        <f>TEXT(A2119,"MMM-YYYY")</f>
        <v/>
      </c>
      <c r="D2119" s="40">
        <f>INT(A2119)-WEEKDAY(A2119,2)+1</f>
        <v/>
      </c>
      <c r="E2119" s="25" t="inlineStr">
        <is>
          <t>ns</t>
        </is>
      </c>
      <c r="F2119" s="25" t="n">
        <v>124782</v>
      </c>
      <c r="G2119" s="25" t="n">
        <v>4</v>
      </c>
      <c r="H2119" s="25" t="n">
        <v>14</v>
      </c>
      <c r="I2119" s="25" t="inlineStr">
        <is>
          <t>5 minute(s) and 17 second(s)</t>
        </is>
      </c>
      <c r="J2119" s="25">
        <f>IFERROR(VALUE(TRIM(LEFT(I2119,FIND("minute",I2119)-1)))*60,0)+IFERROR(VALUE(SUBSTITUTE(MID(I2119,IFERROR(FIND("and",I2119)+3,1),20),"second(s)","")),0)</f>
        <v/>
      </c>
      <c r="K2119" s="41">
        <f>J2119/60</f>
        <v/>
      </c>
      <c r="L2119" s="41">
        <f>IFERROR(J2119/H2119,"")</f>
        <v/>
      </c>
      <c r="M2119" s="25" t="inlineStr">
        <is>
          <t>2.5.12</t>
        </is>
      </c>
      <c r="N2119" s="25">
        <f>IF(J2119&gt;300,1,0)</f>
        <v/>
      </c>
      <c r="O2119" s="25">
        <f>IF(J2119&gt;600,1,0)</f>
        <v/>
      </c>
      <c r="P2119" s="25">
        <f>IF(H2119&gt;0,J2119,"")</f>
        <v/>
      </c>
      <c r="Q2119" s="25">
        <f>TEXT(A2119,"YYYY-MM-DD HH")</f>
        <v/>
      </c>
      <c r="R2119" s="25">
        <f>COUNTIF($Q$2:$Q$5295,Q2119)</f>
        <v/>
      </c>
      <c r="S2119" s="25">
        <f>IF(R2119&lt;=2,"1-2",IF(R2119&lt;=5,"3-5",IF(R2119&lt;=10,"6-10","11+")))</f>
        <v/>
      </c>
    </row>
    <row r="2120">
      <c r="A2120" s="39" t="n">
        <v>46178.23690972223</v>
      </c>
      <c r="B2120" s="25">
        <f>TEXT(A2120,"YYYY-MM")</f>
        <v/>
      </c>
      <c r="C2120" s="25">
        <f>TEXT(A2120,"MMM-YYYY")</f>
        <v/>
      </c>
      <c r="D2120" s="40">
        <f>INT(A2120)-WEEKDAY(A2120,2)+1</f>
        <v/>
      </c>
      <c r="E2120" s="25" t="inlineStr">
        <is>
          <t>pgautam</t>
        </is>
      </c>
      <c r="F2120" s="25" t="n">
        <v>25323</v>
      </c>
      <c r="G2120" s="25" t="n">
        <v>2</v>
      </c>
      <c r="H2120" s="25" t="n">
        <v>10</v>
      </c>
      <c r="I2120" s="25" t="inlineStr">
        <is>
          <t>1 minute(s) and 51 second(s)</t>
        </is>
      </c>
      <c r="J2120" s="25">
        <f>IFERROR(VALUE(TRIM(LEFT(I2120,FIND("minute",I2120)-1)))*60,0)+IFERROR(VALUE(SUBSTITUTE(MID(I2120,IFERROR(FIND("and",I2120)+3,1),20),"second(s)","")),0)</f>
        <v/>
      </c>
      <c r="K2120" s="41">
        <f>J2120/60</f>
        <v/>
      </c>
      <c r="L2120" s="41">
        <f>IFERROR(J2120/H2120,"")</f>
        <v/>
      </c>
      <c r="M2120" s="25" t="inlineStr">
        <is>
          <t>2.5.12</t>
        </is>
      </c>
      <c r="N2120" s="25">
        <f>IF(J2120&gt;300,1,0)</f>
        <v/>
      </c>
      <c r="O2120" s="25">
        <f>IF(J2120&gt;600,1,0)</f>
        <v/>
      </c>
      <c r="P2120" s="25">
        <f>IF(H2120&gt;0,J2120,"")</f>
        <v/>
      </c>
      <c r="Q2120" s="25">
        <f>TEXT(A2120,"YYYY-MM-DD HH")</f>
        <v/>
      </c>
      <c r="R2120" s="25">
        <f>COUNTIF($Q$2:$Q$5295,Q2120)</f>
        <v/>
      </c>
      <c r="S2120" s="25">
        <f>IF(R2120&lt;=2,"1-2",IF(R2120&lt;=5,"3-5",IF(R2120&lt;=10,"6-10","11+")))</f>
        <v/>
      </c>
    </row>
    <row r="2121">
      <c r="A2121" s="39" t="n">
        <v>46178.25050925926</v>
      </c>
      <c r="B2121" s="25">
        <f>TEXT(A2121,"YYYY-MM")</f>
        <v/>
      </c>
      <c r="C2121" s="25">
        <f>TEXT(A2121,"MMM-YYYY")</f>
        <v/>
      </c>
      <c r="D2121" s="40">
        <f>INT(A2121)-WEEKDAY(A2121,2)+1</f>
        <v/>
      </c>
      <c r="E2121" s="25" t="inlineStr">
        <is>
          <t>ethomas</t>
        </is>
      </c>
      <c r="F2121" s="25" t="n">
        <v>123785</v>
      </c>
      <c r="G2121" s="25" t="n">
        <v>1</v>
      </c>
      <c r="H2121" s="25" t="n">
        <v>5</v>
      </c>
      <c r="I2121" s="25" t="inlineStr">
        <is>
          <t>4 minute(s) and 31 second(s)</t>
        </is>
      </c>
      <c r="J2121" s="25">
        <f>IFERROR(VALUE(TRIM(LEFT(I2121,FIND("minute",I2121)-1)))*60,0)+IFERROR(VALUE(SUBSTITUTE(MID(I2121,IFERROR(FIND("and",I2121)+3,1),20),"second(s)","")),0)</f>
        <v/>
      </c>
      <c r="K2121" s="41">
        <f>J2121/60</f>
        <v/>
      </c>
      <c r="L2121" s="41">
        <f>IFERROR(J2121/H2121,"")</f>
        <v/>
      </c>
      <c r="M2121" s="25" t="inlineStr">
        <is>
          <t>2.5.12</t>
        </is>
      </c>
      <c r="N2121" s="25">
        <f>IF(J2121&gt;300,1,0)</f>
        <v/>
      </c>
      <c r="O2121" s="25">
        <f>IF(J2121&gt;600,1,0)</f>
        <v/>
      </c>
      <c r="P2121" s="25">
        <f>IF(H2121&gt;0,J2121,"")</f>
        <v/>
      </c>
      <c r="Q2121" s="25">
        <f>TEXT(A2121,"YYYY-MM-DD HH")</f>
        <v/>
      </c>
      <c r="R2121" s="25">
        <f>COUNTIF($Q$2:$Q$5295,Q2121)</f>
        <v/>
      </c>
      <c r="S2121" s="25">
        <f>IF(R2121&lt;=2,"1-2",IF(R2121&lt;=5,"3-5",IF(R2121&lt;=10,"6-10","11+")))</f>
        <v/>
      </c>
    </row>
    <row r="2122">
      <c r="A2122" s="39" t="n">
        <v>46178.25413194444</v>
      </c>
      <c r="B2122" s="25">
        <f>TEXT(A2122,"YYYY-MM")</f>
        <v/>
      </c>
      <c r="C2122" s="25">
        <f>TEXT(A2122,"MMM-YYYY")</f>
        <v/>
      </c>
      <c r="D2122" s="40">
        <f>INT(A2122)-WEEKDAY(A2122,2)+1</f>
        <v/>
      </c>
      <c r="E2122" s="25" t="inlineStr">
        <is>
          <t>aghosh</t>
        </is>
      </c>
      <c r="F2122" s="25" t="n">
        <v>122978</v>
      </c>
      <c r="G2122" s="25" t="n">
        <v>2</v>
      </c>
      <c r="H2122" s="25" t="n">
        <v>14</v>
      </c>
      <c r="I2122" s="25" t="inlineStr">
        <is>
          <t>3 minute(s) and 26 second(s)</t>
        </is>
      </c>
      <c r="J2122" s="25">
        <f>IFERROR(VALUE(TRIM(LEFT(I2122,FIND("minute",I2122)-1)))*60,0)+IFERROR(VALUE(SUBSTITUTE(MID(I2122,IFERROR(FIND("and",I2122)+3,1),20),"second(s)","")),0)</f>
        <v/>
      </c>
      <c r="K2122" s="41">
        <f>J2122/60</f>
        <v/>
      </c>
      <c r="L2122" s="41">
        <f>IFERROR(J2122/H2122,"")</f>
        <v/>
      </c>
      <c r="M2122" s="25" t="inlineStr">
        <is>
          <t>2.5.12</t>
        </is>
      </c>
      <c r="N2122" s="25">
        <f>IF(J2122&gt;300,1,0)</f>
        <v/>
      </c>
      <c r="O2122" s="25">
        <f>IF(J2122&gt;600,1,0)</f>
        <v/>
      </c>
      <c r="P2122" s="25">
        <f>IF(H2122&gt;0,J2122,"")</f>
        <v/>
      </c>
      <c r="Q2122" s="25">
        <f>TEXT(A2122,"YYYY-MM-DD HH")</f>
        <v/>
      </c>
      <c r="R2122" s="25">
        <f>COUNTIF($Q$2:$Q$5295,Q2122)</f>
        <v/>
      </c>
      <c r="S2122" s="25">
        <f>IF(R2122&lt;=2,"1-2",IF(R2122&lt;=5,"3-5",IF(R2122&lt;=10,"6-10","11+")))</f>
        <v/>
      </c>
    </row>
    <row r="2123">
      <c r="A2123" s="39" t="n">
        <v>46178.26878472222</v>
      </c>
      <c r="B2123" s="25">
        <f>TEXT(A2123,"YYYY-MM")</f>
        <v/>
      </c>
      <c r="C2123" s="25">
        <f>TEXT(A2123,"MMM-YYYY")</f>
        <v/>
      </c>
      <c r="D2123" s="40">
        <f>INT(A2123)-WEEKDAY(A2123,2)+1</f>
        <v/>
      </c>
      <c r="E2123" s="25" t="inlineStr">
        <is>
          <t>schoppakatla</t>
        </is>
      </c>
      <c r="F2123" s="25" t="n">
        <v>126441</v>
      </c>
      <c r="G2123" s="25" t="n">
        <v>1</v>
      </c>
      <c r="H2123" s="25" t="n">
        <v>5</v>
      </c>
      <c r="I2123" s="25" t="inlineStr">
        <is>
          <t>55 second(s)</t>
        </is>
      </c>
      <c r="J2123" s="25">
        <f>IFERROR(VALUE(TRIM(LEFT(I2123,FIND("minute",I2123)-1)))*60,0)+IFERROR(VALUE(SUBSTITUTE(MID(I2123,IFERROR(FIND("and",I2123)+3,1),20),"second(s)","")),0)</f>
        <v/>
      </c>
      <c r="K2123" s="41">
        <f>J2123/60</f>
        <v/>
      </c>
      <c r="L2123" s="41">
        <f>IFERROR(J2123/H2123,"")</f>
        <v/>
      </c>
      <c r="M2123" s="25" t="inlineStr">
        <is>
          <t>2.5.12</t>
        </is>
      </c>
      <c r="N2123" s="25">
        <f>IF(J2123&gt;300,1,0)</f>
        <v/>
      </c>
      <c r="O2123" s="25">
        <f>IF(J2123&gt;600,1,0)</f>
        <v/>
      </c>
      <c r="P2123" s="25">
        <f>IF(H2123&gt;0,J2123,"")</f>
        <v/>
      </c>
      <c r="Q2123" s="25">
        <f>TEXT(A2123,"YYYY-MM-DD HH")</f>
        <v/>
      </c>
      <c r="R2123" s="25">
        <f>COUNTIF($Q$2:$Q$5295,Q2123)</f>
        <v/>
      </c>
      <c r="S2123" s="25">
        <f>IF(R2123&lt;=2,"1-2",IF(R2123&lt;=5,"3-5",IF(R2123&lt;=10,"6-10","11+")))</f>
        <v/>
      </c>
    </row>
    <row r="2124">
      <c r="A2124" s="39" t="n">
        <v>46178.27711805556</v>
      </c>
      <c r="B2124" s="25">
        <f>TEXT(A2124,"YYYY-MM")</f>
        <v/>
      </c>
      <c r="C2124" s="25">
        <f>TEXT(A2124,"MMM-YYYY")</f>
        <v/>
      </c>
      <c r="D2124" s="40">
        <f>INT(A2124)-WEEKDAY(A2124,2)+1</f>
        <v/>
      </c>
      <c r="E2124" s="25" t="inlineStr">
        <is>
          <t>ns</t>
        </is>
      </c>
      <c r="F2124" s="25" t="n">
        <v>125806</v>
      </c>
      <c r="G2124" s="25" t="n">
        <v>3</v>
      </c>
      <c r="H2124" s="25" t="n">
        <v>13</v>
      </c>
      <c r="I2124" s="25" t="inlineStr">
        <is>
          <t>4 minute(s) and 44 second(s)</t>
        </is>
      </c>
      <c r="J2124" s="25">
        <f>IFERROR(VALUE(TRIM(LEFT(I2124,FIND("minute",I2124)-1)))*60,0)+IFERROR(VALUE(SUBSTITUTE(MID(I2124,IFERROR(FIND("and",I2124)+3,1),20),"second(s)","")),0)</f>
        <v/>
      </c>
      <c r="K2124" s="41">
        <f>J2124/60</f>
        <v/>
      </c>
      <c r="L2124" s="41">
        <f>IFERROR(J2124/H2124,"")</f>
        <v/>
      </c>
      <c r="M2124" s="25" t="inlineStr">
        <is>
          <t>2.5.12</t>
        </is>
      </c>
      <c r="N2124" s="25">
        <f>IF(J2124&gt;300,1,0)</f>
        <v/>
      </c>
      <c r="O2124" s="25">
        <f>IF(J2124&gt;600,1,0)</f>
        <v/>
      </c>
      <c r="P2124" s="25">
        <f>IF(H2124&gt;0,J2124,"")</f>
        <v/>
      </c>
      <c r="Q2124" s="25">
        <f>TEXT(A2124,"YYYY-MM-DD HH")</f>
        <v/>
      </c>
      <c r="R2124" s="25">
        <f>COUNTIF($Q$2:$Q$5295,Q2124)</f>
        <v/>
      </c>
      <c r="S2124" s="25">
        <f>IF(R2124&lt;=2,"1-2",IF(R2124&lt;=5,"3-5",IF(R2124&lt;=10,"6-10","11+")))</f>
        <v/>
      </c>
    </row>
    <row r="2125">
      <c r="A2125" s="39" t="n">
        <v>46178.29090277778</v>
      </c>
      <c r="B2125" s="25">
        <f>TEXT(A2125,"YYYY-MM")</f>
        <v/>
      </c>
      <c r="C2125" s="25">
        <f>TEXT(A2125,"MMM-YYYY")</f>
        <v/>
      </c>
      <c r="D2125" s="40">
        <f>INT(A2125)-WEEKDAY(A2125,2)+1</f>
        <v/>
      </c>
      <c r="E2125" s="25" t="inlineStr">
        <is>
          <t>atiwari</t>
        </is>
      </c>
      <c r="F2125" s="25" t="n">
        <v>124466</v>
      </c>
      <c r="G2125" s="25" t="n">
        <v>3</v>
      </c>
      <c r="H2125" s="25" t="n">
        <v>11</v>
      </c>
      <c r="I2125" s="25" t="inlineStr">
        <is>
          <t>6 minute(s) and 34 second(s)</t>
        </is>
      </c>
      <c r="J2125" s="25">
        <f>IFERROR(VALUE(TRIM(LEFT(I2125,FIND("minute",I2125)-1)))*60,0)+IFERROR(VALUE(SUBSTITUTE(MID(I2125,IFERROR(FIND("and",I2125)+3,1),20),"second(s)","")),0)</f>
        <v/>
      </c>
      <c r="K2125" s="41">
        <f>J2125/60</f>
        <v/>
      </c>
      <c r="L2125" s="41">
        <f>IFERROR(J2125/H2125,"")</f>
        <v/>
      </c>
      <c r="M2125" s="25" t="inlineStr">
        <is>
          <t>2.5.12</t>
        </is>
      </c>
      <c r="N2125" s="25">
        <f>IF(J2125&gt;300,1,0)</f>
        <v/>
      </c>
      <c r="O2125" s="25">
        <f>IF(J2125&gt;600,1,0)</f>
        <v/>
      </c>
      <c r="P2125" s="25">
        <f>IF(H2125&gt;0,J2125,"")</f>
        <v/>
      </c>
      <c r="Q2125" s="25">
        <f>TEXT(A2125,"YYYY-MM-DD HH")</f>
        <v/>
      </c>
      <c r="R2125" s="25">
        <f>COUNTIF($Q$2:$Q$5295,Q2125)</f>
        <v/>
      </c>
      <c r="S2125" s="25">
        <f>IF(R2125&lt;=2,"1-2",IF(R2125&lt;=5,"3-5",IF(R2125&lt;=10,"6-10","11+")))</f>
        <v/>
      </c>
    </row>
    <row r="2126">
      <c r="A2126" s="39" t="n">
        <v>46178.29484953704</v>
      </c>
      <c r="B2126" s="25">
        <f>TEXT(A2126,"YYYY-MM")</f>
        <v/>
      </c>
      <c r="C2126" s="25">
        <f>TEXT(A2126,"MMM-YYYY")</f>
        <v/>
      </c>
      <c r="D2126" s="40">
        <f>INT(A2126)-WEEKDAY(A2126,2)+1</f>
        <v/>
      </c>
      <c r="E2126" s="25" t="inlineStr">
        <is>
          <t>ssrinivasan</t>
        </is>
      </c>
      <c r="F2126" s="25" t="n">
        <v>123816</v>
      </c>
      <c r="G2126" s="25" t="n">
        <v>3</v>
      </c>
      <c r="H2126" s="25" t="n">
        <v>17</v>
      </c>
      <c r="I2126" s="25" t="inlineStr">
        <is>
          <t>5 minute(s) and 5 second(s)</t>
        </is>
      </c>
      <c r="J2126" s="25">
        <f>IFERROR(VALUE(TRIM(LEFT(I2126,FIND("minute",I2126)-1)))*60,0)+IFERROR(VALUE(SUBSTITUTE(MID(I2126,IFERROR(FIND("and",I2126)+3,1),20),"second(s)","")),0)</f>
        <v/>
      </c>
      <c r="K2126" s="41">
        <f>J2126/60</f>
        <v/>
      </c>
      <c r="L2126" s="41">
        <f>IFERROR(J2126/H2126,"")</f>
        <v/>
      </c>
      <c r="M2126" s="25" t="inlineStr">
        <is>
          <t>2.5.12</t>
        </is>
      </c>
      <c r="N2126" s="25">
        <f>IF(J2126&gt;300,1,0)</f>
        <v/>
      </c>
      <c r="O2126" s="25">
        <f>IF(J2126&gt;600,1,0)</f>
        <v/>
      </c>
      <c r="P2126" s="25">
        <f>IF(H2126&gt;0,J2126,"")</f>
        <v/>
      </c>
      <c r="Q2126" s="25">
        <f>TEXT(A2126,"YYYY-MM-DD HH")</f>
        <v/>
      </c>
      <c r="R2126" s="25">
        <f>COUNTIF($Q$2:$Q$5295,Q2126)</f>
        <v/>
      </c>
      <c r="S2126" s="25">
        <f>IF(R2126&lt;=2,"1-2",IF(R2126&lt;=5,"3-5",IF(R2126&lt;=10,"6-10","11+")))</f>
        <v/>
      </c>
    </row>
    <row r="2127">
      <c r="A2127" s="39" t="n">
        <v>46178.29516203704</v>
      </c>
      <c r="B2127" s="25">
        <f>TEXT(A2127,"YYYY-MM")</f>
        <v/>
      </c>
      <c r="C2127" s="25">
        <f>TEXT(A2127,"MMM-YYYY")</f>
        <v/>
      </c>
      <c r="D2127" s="40">
        <f>INT(A2127)-WEEKDAY(A2127,2)+1</f>
        <v/>
      </c>
      <c r="E2127" s="25" t="inlineStr">
        <is>
          <t>pgautam</t>
        </is>
      </c>
      <c r="F2127" s="25" t="n">
        <v>25216</v>
      </c>
      <c r="G2127" s="25" t="n">
        <v>5</v>
      </c>
      <c r="H2127" s="25" t="n">
        <v>27</v>
      </c>
      <c r="I2127" s="25" t="inlineStr">
        <is>
          <t>8 minute(s) and 31 second(s)</t>
        </is>
      </c>
      <c r="J2127" s="25">
        <f>IFERROR(VALUE(TRIM(LEFT(I2127,FIND("minute",I2127)-1)))*60,0)+IFERROR(VALUE(SUBSTITUTE(MID(I2127,IFERROR(FIND("and",I2127)+3,1),20),"second(s)","")),0)</f>
        <v/>
      </c>
      <c r="K2127" s="41">
        <f>J2127/60</f>
        <v/>
      </c>
      <c r="L2127" s="41">
        <f>IFERROR(J2127/H2127,"")</f>
        <v/>
      </c>
      <c r="M2127" s="25" t="inlineStr">
        <is>
          <t>2.5.12</t>
        </is>
      </c>
      <c r="N2127" s="25">
        <f>IF(J2127&gt;300,1,0)</f>
        <v/>
      </c>
      <c r="O2127" s="25">
        <f>IF(J2127&gt;600,1,0)</f>
        <v/>
      </c>
      <c r="P2127" s="25">
        <f>IF(H2127&gt;0,J2127,"")</f>
        <v/>
      </c>
      <c r="Q2127" s="25">
        <f>TEXT(A2127,"YYYY-MM-DD HH")</f>
        <v/>
      </c>
      <c r="R2127" s="25">
        <f>COUNTIF($Q$2:$Q$5295,Q2127)</f>
        <v/>
      </c>
      <c r="S2127" s="25">
        <f>IF(R2127&lt;=2,"1-2",IF(R2127&lt;=5,"3-5",IF(R2127&lt;=10,"6-10","11+")))</f>
        <v/>
      </c>
    </row>
    <row r="2128">
      <c r="A2128" s="39" t="n">
        <v>46178.30545138889</v>
      </c>
      <c r="B2128" s="25">
        <f>TEXT(A2128,"YYYY-MM")</f>
        <v/>
      </c>
      <c r="C2128" s="25">
        <f>TEXT(A2128,"MMM-YYYY")</f>
        <v/>
      </c>
      <c r="D2128" s="40">
        <f>INT(A2128)-WEEKDAY(A2128,2)+1</f>
        <v/>
      </c>
      <c r="E2128" s="25" t="inlineStr">
        <is>
          <t>ethomas</t>
        </is>
      </c>
      <c r="F2128" s="25" t="n">
        <v>121481</v>
      </c>
      <c r="G2128" s="25" t="n">
        <v>2</v>
      </c>
      <c r="H2128" s="25" t="n">
        <v>8</v>
      </c>
      <c r="I2128" s="25" t="inlineStr">
        <is>
          <t>5 minute(s) and 10 second(s)</t>
        </is>
      </c>
      <c r="J2128" s="25">
        <f>IFERROR(VALUE(TRIM(LEFT(I2128,FIND("minute",I2128)-1)))*60,0)+IFERROR(VALUE(SUBSTITUTE(MID(I2128,IFERROR(FIND("and",I2128)+3,1),20),"second(s)","")),0)</f>
        <v/>
      </c>
      <c r="K2128" s="41">
        <f>J2128/60</f>
        <v/>
      </c>
      <c r="L2128" s="41">
        <f>IFERROR(J2128/H2128,"")</f>
        <v/>
      </c>
      <c r="M2128" s="25" t="inlineStr">
        <is>
          <t>2.5.12</t>
        </is>
      </c>
      <c r="N2128" s="25">
        <f>IF(J2128&gt;300,1,0)</f>
        <v/>
      </c>
      <c r="O2128" s="25">
        <f>IF(J2128&gt;600,1,0)</f>
        <v/>
      </c>
      <c r="P2128" s="25">
        <f>IF(H2128&gt;0,J2128,"")</f>
        <v/>
      </c>
      <c r="Q2128" s="25">
        <f>TEXT(A2128,"YYYY-MM-DD HH")</f>
        <v/>
      </c>
      <c r="R2128" s="25">
        <f>COUNTIF($Q$2:$Q$5295,Q2128)</f>
        <v/>
      </c>
      <c r="S2128" s="25">
        <f>IF(R2128&lt;=2,"1-2",IF(R2128&lt;=5,"3-5",IF(R2128&lt;=10,"6-10","11+")))</f>
        <v/>
      </c>
    </row>
    <row r="2129">
      <c r="A2129" s="39" t="n">
        <v>46178.31342592592</v>
      </c>
      <c r="B2129" s="25">
        <f>TEXT(A2129,"YYYY-MM")</f>
        <v/>
      </c>
      <c r="C2129" s="25">
        <f>TEXT(A2129,"MMM-YYYY")</f>
        <v/>
      </c>
      <c r="D2129" s="40">
        <f>INT(A2129)-WEEKDAY(A2129,2)+1</f>
        <v/>
      </c>
      <c r="E2129" s="25" t="inlineStr">
        <is>
          <t>aghosh</t>
        </is>
      </c>
      <c r="F2129" s="25" t="n">
        <v>123133</v>
      </c>
      <c r="G2129" s="25" t="n">
        <v>2</v>
      </c>
      <c r="H2129" s="25" t="n">
        <v>12</v>
      </c>
      <c r="I2129" s="25" t="inlineStr">
        <is>
          <t>3 minute(s) and 42 second(s)</t>
        </is>
      </c>
      <c r="J2129" s="25">
        <f>IFERROR(VALUE(TRIM(LEFT(I2129,FIND("minute",I2129)-1)))*60,0)+IFERROR(VALUE(SUBSTITUTE(MID(I2129,IFERROR(FIND("and",I2129)+3,1),20),"second(s)","")),0)</f>
        <v/>
      </c>
      <c r="K2129" s="41">
        <f>J2129/60</f>
        <v/>
      </c>
      <c r="L2129" s="41">
        <f>IFERROR(J2129/H2129,"")</f>
        <v/>
      </c>
      <c r="M2129" s="25" t="inlineStr">
        <is>
          <t>2.5.12</t>
        </is>
      </c>
      <c r="N2129" s="25">
        <f>IF(J2129&gt;300,1,0)</f>
        <v/>
      </c>
      <c r="O2129" s="25">
        <f>IF(J2129&gt;600,1,0)</f>
        <v/>
      </c>
      <c r="P2129" s="25">
        <f>IF(H2129&gt;0,J2129,"")</f>
        <v/>
      </c>
      <c r="Q2129" s="25">
        <f>TEXT(A2129,"YYYY-MM-DD HH")</f>
        <v/>
      </c>
      <c r="R2129" s="25">
        <f>COUNTIF($Q$2:$Q$5295,Q2129)</f>
        <v/>
      </c>
      <c r="S2129" s="25">
        <f>IF(R2129&lt;=2,"1-2",IF(R2129&lt;=5,"3-5",IF(R2129&lt;=10,"6-10","11+")))</f>
        <v/>
      </c>
    </row>
    <row r="2130">
      <c r="A2130" s="39" t="n">
        <v>46178.31671296297</v>
      </c>
      <c r="B2130" s="25">
        <f>TEXT(A2130,"YYYY-MM")</f>
        <v/>
      </c>
      <c r="C2130" s="25">
        <f>TEXT(A2130,"MMM-YYYY")</f>
        <v/>
      </c>
      <c r="D2130" s="40">
        <f>INT(A2130)-WEEKDAY(A2130,2)+1</f>
        <v/>
      </c>
      <c r="E2130" s="25" t="inlineStr">
        <is>
          <t>sswati</t>
        </is>
      </c>
      <c r="F2130" s="25" t="n">
        <v>125473</v>
      </c>
      <c r="G2130" s="25" t="n">
        <v>2</v>
      </c>
      <c r="H2130" s="25" t="n">
        <v>8</v>
      </c>
      <c r="I2130" s="25" t="inlineStr">
        <is>
          <t>2 minute(s) and 46 second(s)</t>
        </is>
      </c>
      <c r="J2130" s="25">
        <f>IFERROR(VALUE(TRIM(LEFT(I2130,FIND("minute",I2130)-1)))*60,0)+IFERROR(VALUE(SUBSTITUTE(MID(I2130,IFERROR(FIND("and",I2130)+3,1),20),"second(s)","")),0)</f>
        <v/>
      </c>
      <c r="K2130" s="41">
        <f>J2130/60</f>
        <v/>
      </c>
      <c r="L2130" s="41">
        <f>IFERROR(J2130/H2130,"")</f>
        <v/>
      </c>
      <c r="M2130" s="25" t="inlineStr">
        <is>
          <t>2.5.12</t>
        </is>
      </c>
      <c r="N2130" s="25">
        <f>IF(J2130&gt;300,1,0)</f>
        <v/>
      </c>
      <c r="O2130" s="25">
        <f>IF(J2130&gt;600,1,0)</f>
        <v/>
      </c>
      <c r="P2130" s="25">
        <f>IF(H2130&gt;0,J2130,"")</f>
        <v/>
      </c>
      <c r="Q2130" s="25">
        <f>TEXT(A2130,"YYYY-MM-DD HH")</f>
        <v/>
      </c>
      <c r="R2130" s="25">
        <f>COUNTIF($Q$2:$Q$5295,Q2130)</f>
        <v/>
      </c>
      <c r="S2130" s="25">
        <f>IF(R2130&lt;=2,"1-2",IF(R2130&lt;=5,"3-5",IF(R2130&lt;=10,"6-10","11+")))</f>
        <v/>
      </c>
    </row>
    <row r="2131">
      <c r="A2131" s="39" t="n">
        <v>46178.32609953704</v>
      </c>
      <c r="B2131" s="25">
        <f>TEXT(A2131,"YYYY-MM")</f>
        <v/>
      </c>
      <c r="C2131" s="25">
        <f>TEXT(A2131,"MMM-YYYY")</f>
        <v/>
      </c>
      <c r="D2131" s="40">
        <f>INT(A2131)-WEEKDAY(A2131,2)+1</f>
        <v/>
      </c>
      <c r="E2131" s="25" t="inlineStr">
        <is>
          <t>apriyadarshi</t>
        </is>
      </c>
      <c r="F2131" s="25" t="n">
        <v>123011</v>
      </c>
      <c r="G2131" s="25" t="n">
        <v>2</v>
      </c>
      <c r="H2131" s="25" t="n">
        <v>11</v>
      </c>
      <c r="I2131" s="25" t="inlineStr">
        <is>
          <t>2 minute(s) and 45 second(s)</t>
        </is>
      </c>
      <c r="J2131" s="25">
        <f>IFERROR(VALUE(TRIM(LEFT(I2131,FIND("minute",I2131)-1)))*60,0)+IFERROR(VALUE(SUBSTITUTE(MID(I2131,IFERROR(FIND("and",I2131)+3,1),20),"second(s)","")),0)</f>
        <v/>
      </c>
      <c r="K2131" s="41">
        <f>J2131/60</f>
        <v/>
      </c>
      <c r="L2131" s="41">
        <f>IFERROR(J2131/H2131,"")</f>
        <v/>
      </c>
      <c r="M2131" s="25" t="inlineStr">
        <is>
          <t>2.5.12</t>
        </is>
      </c>
      <c r="N2131" s="25">
        <f>IF(J2131&gt;300,1,0)</f>
        <v/>
      </c>
      <c r="O2131" s="25">
        <f>IF(J2131&gt;600,1,0)</f>
        <v/>
      </c>
      <c r="P2131" s="25">
        <f>IF(H2131&gt;0,J2131,"")</f>
        <v/>
      </c>
      <c r="Q2131" s="25">
        <f>TEXT(A2131,"YYYY-MM-DD HH")</f>
        <v/>
      </c>
      <c r="R2131" s="25">
        <f>COUNTIF($Q$2:$Q$5295,Q2131)</f>
        <v/>
      </c>
      <c r="S2131" s="25">
        <f>IF(R2131&lt;=2,"1-2",IF(R2131&lt;=5,"3-5",IF(R2131&lt;=10,"6-10","11+")))</f>
        <v/>
      </c>
    </row>
    <row r="2132">
      <c r="A2132" s="39" t="n">
        <v>46178.33508101852</v>
      </c>
      <c r="B2132" s="25">
        <f>TEXT(A2132,"YYYY-MM")</f>
        <v/>
      </c>
      <c r="C2132" s="25">
        <f>TEXT(A2132,"MMM-YYYY")</f>
        <v/>
      </c>
      <c r="D2132" s="40">
        <f>INT(A2132)-WEEKDAY(A2132,2)+1</f>
        <v/>
      </c>
      <c r="E2132" s="25" t="inlineStr">
        <is>
          <t>ssarkar</t>
        </is>
      </c>
      <c r="F2132" s="25" t="n">
        <v>125466</v>
      </c>
      <c r="G2132" s="25" t="n">
        <v>1</v>
      </c>
      <c r="H2132" s="25" t="n">
        <v>7</v>
      </c>
      <c r="I2132" s="25" t="inlineStr">
        <is>
          <t>1 minute(s) and 33 second(s)</t>
        </is>
      </c>
      <c r="J2132" s="25">
        <f>IFERROR(VALUE(TRIM(LEFT(I2132,FIND("minute",I2132)-1)))*60,0)+IFERROR(VALUE(SUBSTITUTE(MID(I2132,IFERROR(FIND("and",I2132)+3,1),20),"second(s)","")),0)</f>
        <v/>
      </c>
      <c r="K2132" s="41">
        <f>J2132/60</f>
        <v/>
      </c>
      <c r="L2132" s="41">
        <f>IFERROR(J2132/H2132,"")</f>
        <v/>
      </c>
      <c r="M2132" s="25" t="inlineStr">
        <is>
          <t>2.5.12</t>
        </is>
      </c>
      <c r="N2132" s="25">
        <f>IF(J2132&gt;300,1,0)</f>
        <v/>
      </c>
      <c r="O2132" s="25">
        <f>IF(J2132&gt;600,1,0)</f>
        <v/>
      </c>
      <c r="P2132" s="25">
        <f>IF(H2132&gt;0,J2132,"")</f>
        <v/>
      </c>
      <c r="Q2132" s="25">
        <f>TEXT(A2132,"YYYY-MM-DD HH")</f>
        <v/>
      </c>
      <c r="R2132" s="25">
        <f>COUNTIF($Q$2:$Q$5295,Q2132)</f>
        <v/>
      </c>
      <c r="S2132" s="25">
        <f>IF(R2132&lt;=2,"1-2",IF(R2132&lt;=5,"3-5",IF(R2132&lt;=10,"6-10","11+")))</f>
        <v/>
      </c>
    </row>
    <row r="2133">
      <c r="A2133" s="39" t="n">
        <v>46178.33586805555</v>
      </c>
      <c r="B2133" s="25">
        <f>TEXT(A2133,"YYYY-MM")</f>
        <v/>
      </c>
      <c r="C2133" s="25">
        <f>TEXT(A2133,"MMM-YYYY")</f>
        <v/>
      </c>
      <c r="D2133" s="40">
        <f>INT(A2133)-WEEKDAY(A2133,2)+1</f>
        <v/>
      </c>
      <c r="E2133" s="25" t="inlineStr">
        <is>
          <t>stiwari</t>
        </is>
      </c>
      <c r="F2133" s="25" t="n">
        <v>121592</v>
      </c>
      <c r="G2133" s="25" t="n">
        <v>2</v>
      </c>
      <c r="H2133" s="25" t="n">
        <v>12</v>
      </c>
      <c r="I2133" s="25" t="inlineStr">
        <is>
          <t>2 minute(s) and 18 second(s)</t>
        </is>
      </c>
      <c r="J2133" s="25">
        <f>IFERROR(VALUE(TRIM(LEFT(I2133,FIND("minute",I2133)-1)))*60,0)+IFERROR(VALUE(SUBSTITUTE(MID(I2133,IFERROR(FIND("and",I2133)+3,1),20),"second(s)","")),0)</f>
        <v/>
      </c>
      <c r="K2133" s="41">
        <f>J2133/60</f>
        <v/>
      </c>
      <c r="L2133" s="41">
        <f>IFERROR(J2133/H2133,"")</f>
        <v/>
      </c>
      <c r="M2133" s="25" t="inlineStr">
        <is>
          <t>2.5.12</t>
        </is>
      </c>
      <c r="N2133" s="25">
        <f>IF(J2133&gt;300,1,0)</f>
        <v/>
      </c>
      <c r="O2133" s="25">
        <f>IF(J2133&gt;600,1,0)</f>
        <v/>
      </c>
      <c r="P2133" s="25">
        <f>IF(H2133&gt;0,J2133,"")</f>
        <v/>
      </c>
      <c r="Q2133" s="25">
        <f>TEXT(A2133,"YYYY-MM-DD HH")</f>
        <v/>
      </c>
      <c r="R2133" s="25">
        <f>COUNTIF($Q$2:$Q$5295,Q2133)</f>
        <v/>
      </c>
      <c r="S2133" s="25">
        <f>IF(R2133&lt;=2,"1-2",IF(R2133&lt;=5,"3-5",IF(R2133&lt;=10,"6-10","11+")))</f>
        <v/>
      </c>
    </row>
    <row r="2134">
      <c r="A2134" s="39" t="n">
        <v>46178.34244212963</v>
      </c>
      <c r="B2134" s="25">
        <f>TEXT(A2134,"YYYY-MM")</f>
        <v/>
      </c>
      <c r="C2134" s="25">
        <f>TEXT(A2134,"MMM-YYYY")</f>
        <v/>
      </c>
      <c r="D2134" s="40">
        <f>INT(A2134)-WEEKDAY(A2134,2)+1</f>
        <v/>
      </c>
      <c r="E2134" s="25" t="inlineStr">
        <is>
          <t>pmehndiratta</t>
        </is>
      </c>
      <c r="F2134" s="25" t="n">
        <v>123616</v>
      </c>
      <c r="G2134" s="25" t="n">
        <v>2</v>
      </c>
      <c r="H2134" s="25" t="n">
        <v>12</v>
      </c>
      <c r="I2134" s="25" t="inlineStr">
        <is>
          <t>2 minute(s) and 36 second(s)</t>
        </is>
      </c>
      <c r="J2134" s="25">
        <f>IFERROR(VALUE(TRIM(LEFT(I2134,FIND("minute",I2134)-1)))*60,0)+IFERROR(VALUE(SUBSTITUTE(MID(I2134,IFERROR(FIND("and",I2134)+3,1),20),"second(s)","")),0)</f>
        <v/>
      </c>
      <c r="K2134" s="41">
        <f>J2134/60</f>
        <v/>
      </c>
      <c r="L2134" s="41">
        <f>IFERROR(J2134/H2134,"")</f>
        <v/>
      </c>
      <c r="M2134" s="25" t="inlineStr">
        <is>
          <t>2.5.12</t>
        </is>
      </c>
      <c r="N2134" s="25">
        <f>IF(J2134&gt;300,1,0)</f>
        <v/>
      </c>
      <c r="O2134" s="25">
        <f>IF(J2134&gt;600,1,0)</f>
        <v/>
      </c>
      <c r="P2134" s="25">
        <f>IF(H2134&gt;0,J2134,"")</f>
        <v/>
      </c>
      <c r="Q2134" s="25">
        <f>TEXT(A2134,"YYYY-MM-DD HH")</f>
        <v/>
      </c>
      <c r="R2134" s="25">
        <f>COUNTIF($Q$2:$Q$5295,Q2134)</f>
        <v/>
      </c>
      <c r="S2134" s="25">
        <f>IF(R2134&lt;=2,"1-2",IF(R2134&lt;=5,"3-5",IF(R2134&lt;=10,"6-10","11+")))</f>
        <v/>
      </c>
    </row>
    <row r="2135">
      <c r="A2135" s="39" t="n">
        <v>46178.34412037037</v>
      </c>
      <c r="B2135" s="25">
        <f>TEXT(A2135,"YYYY-MM")</f>
        <v/>
      </c>
      <c r="C2135" s="25">
        <f>TEXT(A2135,"MMM-YYYY")</f>
        <v/>
      </c>
      <c r="D2135" s="40">
        <f>INT(A2135)-WEEKDAY(A2135,2)+1</f>
        <v/>
      </c>
      <c r="E2135" s="25" t="inlineStr">
        <is>
          <t>bverma</t>
        </is>
      </c>
      <c r="F2135" s="25" t="n">
        <v>126140</v>
      </c>
      <c r="G2135" s="25" t="n">
        <v>4</v>
      </c>
      <c r="H2135" s="25" t="n">
        <v>28</v>
      </c>
      <c r="I2135" s="25" t="inlineStr">
        <is>
          <t>9 minute(s) and 36 second(s)</t>
        </is>
      </c>
      <c r="J2135" s="25">
        <f>IFERROR(VALUE(TRIM(LEFT(I2135,FIND("minute",I2135)-1)))*60,0)+IFERROR(VALUE(SUBSTITUTE(MID(I2135,IFERROR(FIND("and",I2135)+3,1),20),"second(s)","")),0)</f>
        <v/>
      </c>
      <c r="K2135" s="41">
        <f>J2135/60</f>
        <v/>
      </c>
      <c r="L2135" s="41">
        <f>IFERROR(J2135/H2135,"")</f>
        <v/>
      </c>
      <c r="M2135" s="25" t="inlineStr">
        <is>
          <t>2.5.12</t>
        </is>
      </c>
      <c r="N2135" s="25">
        <f>IF(J2135&gt;300,1,0)</f>
        <v/>
      </c>
      <c r="O2135" s="25">
        <f>IF(J2135&gt;600,1,0)</f>
        <v/>
      </c>
      <c r="P2135" s="25">
        <f>IF(H2135&gt;0,J2135,"")</f>
        <v/>
      </c>
      <c r="Q2135" s="25">
        <f>TEXT(A2135,"YYYY-MM-DD HH")</f>
        <v/>
      </c>
      <c r="R2135" s="25">
        <f>COUNTIF($Q$2:$Q$5295,Q2135)</f>
        <v/>
      </c>
      <c r="S2135" s="25">
        <f>IF(R2135&lt;=2,"1-2",IF(R2135&lt;=5,"3-5",IF(R2135&lt;=10,"6-10","11+")))</f>
        <v/>
      </c>
    </row>
    <row r="2136">
      <c r="A2136" s="39" t="n">
        <v>46178.34832175926</v>
      </c>
      <c r="B2136" s="25">
        <f>TEXT(A2136,"YYYY-MM")</f>
        <v/>
      </c>
      <c r="C2136" s="25">
        <f>TEXT(A2136,"MMM-YYYY")</f>
        <v/>
      </c>
      <c r="D2136" s="40">
        <f>INT(A2136)-WEEKDAY(A2136,2)+1</f>
        <v/>
      </c>
      <c r="E2136" s="25" t="inlineStr">
        <is>
          <t>ssarkar</t>
        </is>
      </c>
      <c r="F2136" s="25" t="n">
        <v>125466</v>
      </c>
      <c r="G2136" s="25" t="n">
        <v>1</v>
      </c>
      <c r="H2136" s="25" t="n">
        <v>5</v>
      </c>
      <c r="I2136" s="25" t="inlineStr">
        <is>
          <t>1 minute(s) and 7 second(s)</t>
        </is>
      </c>
      <c r="J2136" s="25">
        <f>IFERROR(VALUE(TRIM(LEFT(I2136,FIND("minute",I2136)-1)))*60,0)+IFERROR(VALUE(SUBSTITUTE(MID(I2136,IFERROR(FIND("and",I2136)+3,1),20),"second(s)","")),0)</f>
        <v/>
      </c>
      <c r="K2136" s="41">
        <f>J2136/60</f>
        <v/>
      </c>
      <c r="L2136" s="41">
        <f>IFERROR(J2136/H2136,"")</f>
        <v/>
      </c>
      <c r="M2136" s="25" t="inlineStr">
        <is>
          <t>2.5.12</t>
        </is>
      </c>
      <c r="N2136" s="25">
        <f>IF(J2136&gt;300,1,0)</f>
        <v/>
      </c>
      <c r="O2136" s="25">
        <f>IF(J2136&gt;600,1,0)</f>
        <v/>
      </c>
      <c r="P2136" s="25">
        <f>IF(H2136&gt;0,J2136,"")</f>
        <v/>
      </c>
      <c r="Q2136" s="25">
        <f>TEXT(A2136,"YYYY-MM-DD HH")</f>
        <v/>
      </c>
      <c r="R2136" s="25">
        <f>COUNTIF($Q$2:$Q$5295,Q2136)</f>
        <v/>
      </c>
      <c r="S2136" s="25">
        <f>IF(R2136&lt;=2,"1-2",IF(R2136&lt;=5,"3-5",IF(R2136&lt;=10,"6-10","11+")))</f>
        <v/>
      </c>
    </row>
    <row r="2137">
      <c r="A2137" s="39" t="n">
        <v>46178.35657407407</v>
      </c>
      <c r="B2137" s="25">
        <f>TEXT(A2137,"YYYY-MM")</f>
        <v/>
      </c>
      <c r="C2137" s="25">
        <f>TEXT(A2137,"MMM-YYYY")</f>
        <v/>
      </c>
      <c r="D2137" s="40">
        <f>INT(A2137)-WEEKDAY(A2137,2)+1</f>
        <v/>
      </c>
      <c r="E2137" s="25" t="inlineStr">
        <is>
          <t>csaha</t>
        </is>
      </c>
      <c r="F2137" s="25" t="n">
        <v>123388</v>
      </c>
      <c r="G2137" s="25" t="n">
        <v>3</v>
      </c>
      <c r="H2137" s="25" t="n">
        <v>19</v>
      </c>
      <c r="I2137" s="25" t="inlineStr">
        <is>
          <t>3 minute(s) and 35 second(s)</t>
        </is>
      </c>
      <c r="J2137" s="25">
        <f>IFERROR(VALUE(TRIM(LEFT(I2137,FIND("minute",I2137)-1)))*60,0)+IFERROR(VALUE(SUBSTITUTE(MID(I2137,IFERROR(FIND("and",I2137)+3,1),20),"second(s)","")),0)</f>
        <v/>
      </c>
      <c r="K2137" s="41">
        <f>J2137/60</f>
        <v/>
      </c>
      <c r="L2137" s="41">
        <f>IFERROR(J2137/H2137,"")</f>
        <v/>
      </c>
      <c r="M2137" s="25" t="inlineStr">
        <is>
          <t>2.5.12</t>
        </is>
      </c>
      <c r="N2137" s="25">
        <f>IF(J2137&gt;300,1,0)</f>
        <v/>
      </c>
      <c r="O2137" s="25">
        <f>IF(J2137&gt;600,1,0)</f>
        <v/>
      </c>
      <c r="P2137" s="25">
        <f>IF(H2137&gt;0,J2137,"")</f>
        <v/>
      </c>
      <c r="Q2137" s="25">
        <f>TEXT(A2137,"YYYY-MM-DD HH")</f>
        <v/>
      </c>
      <c r="R2137" s="25">
        <f>COUNTIF($Q$2:$Q$5295,Q2137)</f>
        <v/>
      </c>
      <c r="S2137" s="25">
        <f>IF(R2137&lt;=2,"1-2",IF(R2137&lt;=5,"3-5",IF(R2137&lt;=10,"6-10","11+")))</f>
        <v/>
      </c>
    </row>
    <row r="2138">
      <c r="A2138" s="39" t="n">
        <v>46178.3700925926</v>
      </c>
      <c r="B2138" s="25">
        <f>TEXT(A2138,"YYYY-MM")</f>
        <v/>
      </c>
      <c r="C2138" s="25">
        <f>TEXT(A2138,"MMM-YYYY")</f>
        <v/>
      </c>
      <c r="D2138" s="40">
        <f>INT(A2138)-WEEKDAY(A2138,2)+1</f>
        <v/>
      </c>
      <c r="E2138" s="25" t="inlineStr">
        <is>
          <t>ethomas</t>
        </is>
      </c>
      <c r="F2138" s="25" t="n">
        <v>122566</v>
      </c>
      <c r="G2138" s="25" t="n">
        <v>1</v>
      </c>
      <c r="H2138" s="25" t="n">
        <v>7</v>
      </c>
      <c r="I2138" s="25" t="inlineStr">
        <is>
          <t>1 minute(s) and 56 second(s)</t>
        </is>
      </c>
      <c r="J2138" s="25">
        <f>IFERROR(VALUE(TRIM(LEFT(I2138,FIND("minute",I2138)-1)))*60,0)+IFERROR(VALUE(SUBSTITUTE(MID(I2138,IFERROR(FIND("and",I2138)+3,1),20),"second(s)","")),0)</f>
        <v/>
      </c>
      <c r="K2138" s="41">
        <f>J2138/60</f>
        <v/>
      </c>
      <c r="L2138" s="41">
        <f>IFERROR(J2138/H2138,"")</f>
        <v/>
      </c>
      <c r="M2138" s="25" t="inlineStr">
        <is>
          <t>2.5.12</t>
        </is>
      </c>
      <c r="N2138" s="25">
        <f>IF(J2138&gt;300,1,0)</f>
        <v/>
      </c>
      <c r="O2138" s="25">
        <f>IF(J2138&gt;600,1,0)</f>
        <v/>
      </c>
      <c r="P2138" s="25">
        <f>IF(H2138&gt;0,J2138,"")</f>
        <v/>
      </c>
      <c r="Q2138" s="25">
        <f>TEXT(A2138,"YYYY-MM-DD HH")</f>
        <v/>
      </c>
      <c r="R2138" s="25">
        <f>COUNTIF($Q$2:$Q$5295,Q2138)</f>
        <v/>
      </c>
      <c r="S2138" s="25">
        <f>IF(R2138&lt;=2,"1-2",IF(R2138&lt;=5,"3-5",IF(R2138&lt;=10,"6-10","11+")))</f>
        <v/>
      </c>
    </row>
    <row r="2139">
      <c r="A2139" s="39" t="n">
        <v>46178.37184027778</v>
      </c>
      <c r="B2139" s="25">
        <f>TEXT(A2139,"YYYY-MM")</f>
        <v/>
      </c>
      <c r="C2139" s="25">
        <f>TEXT(A2139,"MMM-YYYY")</f>
        <v/>
      </c>
      <c r="D2139" s="40">
        <f>INT(A2139)-WEEKDAY(A2139,2)+1</f>
        <v/>
      </c>
      <c r="E2139" s="25" t="inlineStr">
        <is>
          <t>pgautam</t>
        </is>
      </c>
      <c r="F2139" s="25" t="n">
        <v>36923</v>
      </c>
      <c r="G2139" s="25" t="n">
        <v>4</v>
      </c>
      <c r="H2139" s="25" t="n">
        <v>16</v>
      </c>
      <c r="I2139" s="25" t="inlineStr">
        <is>
          <t>12 minute(s) and 33 second(s)</t>
        </is>
      </c>
      <c r="J2139" s="25">
        <f>IFERROR(VALUE(TRIM(LEFT(I2139,FIND("minute",I2139)-1)))*60,0)+IFERROR(VALUE(SUBSTITUTE(MID(I2139,IFERROR(FIND("and",I2139)+3,1),20),"second(s)","")),0)</f>
        <v/>
      </c>
      <c r="K2139" s="41">
        <f>J2139/60</f>
        <v/>
      </c>
      <c r="L2139" s="41">
        <f>IFERROR(J2139/H2139,"")</f>
        <v/>
      </c>
      <c r="M2139" s="25" t="inlineStr">
        <is>
          <t>2.5.12</t>
        </is>
      </c>
      <c r="N2139" s="25">
        <f>IF(J2139&gt;300,1,0)</f>
        <v/>
      </c>
      <c r="O2139" s="25">
        <f>IF(J2139&gt;600,1,0)</f>
        <v/>
      </c>
      <c r="P2139" s="25">
        <f>IF(H2139&gt;0,J2139,"")</f>
        <v/>
      </c>
      <c r="Q2139" s="25">
        <f>TEXT(A2139,"YYYY-MM-DD HH")</f>
        <v/>
      </c>
      <c r="R2139" s="25">
        <f>COUNTIF($Q$2:$Q$5295,Q2139)</f>
        <v/>
      </c>
      <c r="S2139" s="25">
        <f>IF(R2139&lt;=2,"1-2",IF(R2139&lt;=5,"3-5",IF(R2139&lt;=10,"6-10","11+")))</f>
        <v/>
      </c>
    </row>
    <row r="2140">
      <c r="A2140" s="39" t="n">
        <v>46178.3806712963</v>
      </c>
      <c r="B2140" s="25">
        <f>TEXT(A2140,"YYYY-MM")</f>
        <v/>
      </c>
      <c r="C2140" s="25">
        <f>TEXT(A2140,"MMM-YYYY")</f>
        <v/>
      </c>
      <c r="D2140" s="40">
        <f>INT(A2140)-WEEKDAY(A2140,2)+1</f>
        <v/>
      </c>
      <c r="E2140" s="25" t="inlineStr">
        <is>
          <t>psathwika</t>
        </is>
      </c>
      <c r="F2140" s="25" t="n">
        <v>121956</v>
      </c>
      <c r="G2140" s="25" t="n">
        <v>3</v>
      </c>
      <c r="H2140" s="25" t="n">
        <v>17</v>
      </c>
      <c r="I2140" s="25" t="inlineStr">
        <is>
          <t>10 minute(s) and 20 second(s)</t>
        </is>
      </c>
      <c r="J2140" s="25">
        <f>IFERROR(VALUE(TRIM(LEFT(I2140,FIND("minute",I2140)-1)))*60,0)+IFERROR(VALUE(SUBSTITUTE(MID(I2140,IFERROR(FIND("and",I2140)+3,1),20),"second(s)","")),0)</f>
        <v/>
      </c>
      <c r="K2140" s="41">
        <f>J2140/60</f>
        <v/>
      </c>
      <c r="L2140" s="41">
        <f>IFERROR(J2140/H2140,"")</f>
        <v/>
      </c>
      <c r="M2140" s="25" t="inlineStr">
        <is>
          <t>2.5.12</t>
        </is>
      </c>
      <c r="N2140" s="25">
        <f>IF(J2140&gt;300,1,0)</f>
        <v/>
      </c>
      <c r="O2140" s="25">
        <f>IF(J2140&gt;600,1,0)</f>
        <v/>
      </c>
      <c r="P2140" s="25">
        <f>IF(H2140&gt;0,J2140,"")</f>
        <v/>
      </c>
      <c r="Q2140" s="25">
        <f>TEXT(A2140,"YYYY-MM-DD HH")</f>
        <v/>
      </c>
      <c r="R2140" s="25">
        <f>COUNTIF($Q$2:$Q$5295,Q2140)</f>
        <v/>
      </c>
      <c r="S2140" s="25">
        <f>IF(R2140&lt;=2,"1-2",IF(R2140&lt;=5,"3-5",IF(R2140&lt;=10,"6-10","11+")))</f>
        <v/>
      </c>
    </row>
    <row r="2141">
      <c r="A2141" s="39" t="n">
        <v>46178.389375</v>
      </c>
      <c r="B2141" s="25">
        <f>TEXT(A2141,"YYYY-MM")</f>
        <v/>
      </c>
      <c r="C2141" s="25">
        <f>TEXT(A2141,"MMM-YYYY")</f>
        <v/>
      </c>
      <c r="D2141" s="40">
        <f>INT(A2141)-WEEKDAY(A2141,2)+1</f>
        <v/>
      </c>
      <c r="E2141" s="25" t="inlineStr">
        <is>
          <t>aupadhayay</t>
        </is>
      </c>
      <c r="F2141" s="25" t="n">
        <v>125285</v>
      </c>
      <c r="G2141" s="25" t="n">
        <v>2</v>
      </c>
      <c r="H2141" s="25" t="n">
        <v>8</v>
      </c>
      <c r="I2141" s="25" t="inlineStr">
        <is>
          <t>1 minute(s) and 49 second(s)</t>
        </is>
      </c>
      <c r="J2141" s="25">
        <f>IFERROR(VALUE(TRIM(LEFT(I2141,FIND("minute",I2141)-1)))*60,0)+IFERROR(VALUE(SUBSTITUTE(MID(I2141,IFERROR(FIND("and",I2141)+3,1),20),"second(s)","")),0)</f>
        <v/>
      </c>
      <c r="K2141" s="41">
        <f>J2141/60</f>
        <v/>
      </c>
      <c r="L2141" s="41">
        <f>IFERROR(J2141/H2141,"")</f>
        <v/>
      </c>
      <c r="M2141" s="25" t="inlineStr">
        <is>
          <t>2.5.12</t>
        </is>
      </c>
      <c r="N2141" s="25">
        <f>IF(J2141&gt;300,1,0)</f>
        <v/>
      </c>
      <c r="O2141" s="25">
        <f>IF(J2141&gt;600,1,0)</f>
        <v/>
      </c>
      <c r="P2141" s="25">
        <f>IF(H2141&gt;0,J2141,"")</f>
        <v/>
      </c>
      <c r="Q2141" s="25">
        <f>TEXT(A2141,"YYYY-MM-DD HH")</f>
        <v/>
      </c>
      <c r="R2141" s="25">
        <f>COUNTIF($Q$2:$Q$5295,Q2141)</f>
        <v/>
      </c>
      <c r="S2141" s="25">
        <f>IF(R2141&lt;=2,"1-2",IF(R2141&lt;=5,"3-5",IF(R2141&lt;=10,"6-10","11+")))</f>
        <v/>
      </c>
    </row>
    <row r="2142">
      <c r="A2142" s="39" t="n">
        <v>46178.39479166667</v>
      </c>
      <c r="B2142" s="25">
        <f>TEXT(A2142,"YYYY-MM")</f>
        <v/>
      </c>
      <c r="C2142" s="25">
        <f>TEXT(A2142,"MMM-YYYY")</f>
        <v/>
      </c>
      <c r="D2142" s="40">
        <f>INT(A2142)-WEEKDAY(A2142,2)+1</f>
        <v/>
      </c>
      <c r="E2142" s="25" t="inlineStr">
        <is>
          <t>ethomas</t>
        </is>
      </c>
      <c r="F2142" s="25" t="n">
        <v>121637</v>
      </c>
      <c r="G2142" s="25" t="n">
        <v>2</v>
      </c>
      <c r="H2142" s="25" t="n">
        <v>10</v>
      </c>
      <c r="I2142" s="25" t="inlineStr">
        <is>
          <t>2 minute(s) and 12 second(s)</t>
        </is>
      </c>
      <c r="J2142" s="25">
        <f>IFERROR(VALUE(TRIM(LEFT(I2142,FIND("minute",I2142)-1)))*60,0)+IFERROR(VALUE(SUBSTITUTE(MID(I2142,IFERROR(FIND("and",I2142)+3,1),20),"second(s)","")),0)</f>
        <v/>
      </c>
      <c r="K2142" s="41">
        <f>J2142/60</f>
        <v/>
      </c>
      <c r="L2142" s="41">
        <f>IFERROR(J2142/H2142,"")</f>
        <v/>
      </c>
      <c r="M2142" s="25" t="inlineStr">
        <is>
          <t>2.5.12</t>
        </is>
      </c>
      <c r="N2142" s="25">
        <f>IF(J2142&gt;300,1,0)</f>
        <v/>
      </c>
      <c r="O2142" s="25">
        <f>IF(J2142&gt;600,1,0)</f>
        <v/>
      </c>
      <c r="P2142" s="25">
        <f>IF(H2142&gt;0,J2142,"")</f>
        <v/>
      </c>
      <c r="Q2142" s="25">
        <f>TEXT(A2142,"YYYY-MM-DD HH")</f>
        <v/>
      </c>
      <c r="R2142" s="25">
        <f>COUNTIF($Q$2:$Q$5295,Q2142)</f>
        <v/>
      </c>
      <c r="S2142" s="25">
        <f>IF(R2142&lt;=2,"1-2",IF(R2142&lt;=5,"3-5",IF(R2142&lt;=10,"6-10","11+")))</f>
        <v/>
      </c>
    </row>
    <row r="2143">
      <c r="A2143" s="39" t="n">
        <v>46178.40784722222</v>
      </c>
      <c r="B2143" s="25">
        <f>TEXT(A2143,"YYYY-MM")</f>
        <v/>
      </c>
      <c r="C2143" s="25">
        <f>TEXT(A2143,"MMM-YYYY")</f>
        <v/>
      </c>
      <c r="D2143" s="40">
        <f>INT(A2143)-WEEKDAY(A2143,2)+1</f>
        <v/>
      </c>
      <c r="E2143" s="25" t="inlineStr">
        <is>
          <t>schoppakatla</t>
        </is>
      </c>
      <c r="F2143" s="25" t="n">
        <v>124040</v>
      </c>
      <c r="G2143" s="25" t="n">
        <v>1</v>
      </c>
      <c r="H2143" s="25" t="n">
        <v>5</v>
      </c>
      <c r="I2143" s="25" t="inlineStr">
        <is>
          <t>1 minute(s) and 6 second(s)</t>
        </is>
      </c>
      <c r="J2143" s="25">
        <f>IFERROR(VALUE(TRIM(LEFT(I2143,FIND("minute",I2143)-1)))*60,0)+IFERROR(VALUE(SUBSTITUTE(MID(I2143,IFERROR(FIND("and",I2143)+3,1),20),"second(s)","")),0)</f>
        <v/>
      </c>
      <c r="K2143" s="41">
        <f>J2143/60</f>
        <v/>
      </c>
      <c r="L2143" s="41">
        <f>IFERROR(J2143/H2143,"")</f>
        <v/>
      </c>
      <c r="M2143" s="25" t="inlineStr">
        <is>
          <t>2.5.12</t>
        </is>
      </c>
      <c r="N2143" s="25">
        <f>IF(J2143&gt;300,1,0)</f>
        <v/>
      </c>
      <c r="O2143" s="25">
        <f>IF(J2143&gt;600,1,0)</f>
        <v/>
      </c>
      <c r="P2143" s="25">
        <f>IF(H2143&gt;0,J2143,"")</f>
        <v/>
      </c>
      <c r="Q2143" s="25">
        <f>TEXT(A2143,"YYYY-MM-DD HH")</f>
        <v/>
      </c>
      <c r="R2143" s="25">
        <f>COUNTIF($Q$2:$Q$5295,Q2143)</f>
        <v/>
      </c>
      <c r="S2143" s="25">
        <f>IF(R2143&lt;=2,"1-2",IF(R2143&lt;=5,"3-5",IF(R2143&lt;=10,"6-10","11+")))</f>
        <v/>
      </c>
    </row>
    <row r="2144">
      <c r="A2144" s="39" t="n">
        <v>46178.41613425926</v>
      </c>
      <c r="B2144" s="25">
        <f>TEXT(A2144,"YYYY-MM")</f>
        <v/>
      </c>
      <c r="C2144" s="25">
        <f>TEXT(A2144,"MMM-YYYY")</f>
        <v/>
      </c>
      <c r="D2144" s="40">
        <f>INT(A2144)-WEEKDAY(A2144,2)+1</f>
        <v/>
      </c>
      <c r="E2144" s="25" t="inlineStr">
        <is>
          <t>pgautam</t>
        </is>
      </c>
      <c r="F2144" s="25" t="n">
        <v>37059</v>
      </c>
      <c r="G2144" s="25" t="n">
        <v>2</v>
      </c>
      <c r="H2144" s="25" t="n">
        <v>12</v>
      </c>
      <c r="I2144" s="25" t="inlineStr">
        <is>
          <t>2 minute(s) and 29 second(s)</t>
        </is>
      </c>
      <c r="J2144" s="25">
        <f>IFERROR(VALUE(TRIM(LEFT(I2144,FIND("minute",I2144)-1)))*60,0)+IFERROR(VALUE(SUBSTITUTE(MID(I2144,IFERROR(FIND("and",I2144)+3,1),20),"second(s)","")),0)</f>
        <v/>
      </c>
      <c r="K2144" s="41">
        <f>J2144/60</f>
        <v/>
      </c>
      <c r="L2144" s="41">
        <f>IFERROR(J2144/H2144,"")</f>
        <v/>
      </c>
      <c r="M2144" s="25" t="inlineStr">
        <is>
          <t>2.5.12</t>
        </is>
      </c>
      <c r="N2144" s="25">
        <f>IF(J2144&gt;300,1,0)</f>
        <v/>
      </c>
      <c r="O2144" s="25">
        <f>IF(J2144&gt;600,1,0)</f>
        <v/>
      </c>
      <c r="P2144" s="25">
        <f>IF(H2144&gt;0,J2144,"")</f>
        <v/>
      </c>
      <c r="Q2144" s="25">
        <f>TEXT(A2144,"YYYY-MM-DD HH")</f>
        <v/>
      </c>
      <c r="R2144" s="25">
        <f>COUNTIF($Q$2:$Q$5295,Q2144)</f>
        <v/>
      </c>
      <c r="S2144" s="25">
        <f>IF(R2144&lt;=2,"1-2",IF(R2144&lt;=5,"3-5",IF(R2144&lt;=10,"6-10","11+")))</f>
        <v/>
      </c>
    </row>
    <row r="2145">
      <c r="A2145" s="39" t="n">
        <v>46178.41863425926</v>
      </c>
      <c r="B2145" s="25">
        <f>TEXT(A2145,"YYYY-MM")</f>
        <v/>
      </c>
      <c r="C2145" s="25">
        <f>TEXT(A2145,"MMM-YYYY")</f>
        <v/>
      </c>
      <c r="D2145" s="40">
        <f>INT(A2145)-WEEKDAY(A2145,2)+1</f>
        <v/>
      </c>
      <c r="E2145" s="25" t="inlineStr">
        <is>
          <t>stiwari</t>
        </is>
      </c>
      <c r="F2145" s="25" t="n">
        <v>122895</v>
      </c>
      <c r="G2145" s="25" t="n">
        <v>3</v>
      </c>
      <c r="H2145" s="25" t="n">
        <v>15</v>
      </c>
      <c r="I2145" s="25" t="inlineStr">
        <is>
          <t>2 minute(s) and 33 second(s)</t>
        </is>
      </c>
      <c r="J2145" s="25">
        <f>IFERROR(VALUE(TRIM(LEFT(I2145,FIND("minute",I2145)-1)))*60,0)+IFERROR(VALUE(SUBSTITUTE(MID(I2145,IFERROR(FIND("and",I2145)+3,1),20),"second(s)","")),0)</f>
        <v/>
      </c>
      <c r="K2145" s="41">
        <f>J2145/60</f>
        <v/>
      </c>
      <c r="L2145" s="41">
        <f>IFERROR(J2145/H2145,"")</f>
        <v/>
      </c>
      <c r="M2145" s="25" t="inlineStr">
        <is>
          <t>2.5.12</t>
        </is>
      </c>
      <c r="N2145" s="25">
        <f>IF(J2145&gt;300,1,0)</f>
        <v/>
      </c>
      <c r="O2145" s="25">
        <f>IF(J2145&gt;600,1,0)</f>
        <v/>
      </c>
      <c r="P2145" s="25">
        <f>IF(H2145&gt;0,J2145,"")</f>
        <v/>
      </c>
      <c r="Q2145" s="25">
        <f>TEXT(A2145,"YYYY-MM-DD HH")</f>
        <v/>
      </c>
      <c r="R2145" s="25">
        <f>COUNTIF($Q$2:$Q$5295,Q2145)</f>
        <v/>
      </c>
      <c r="S2145" s="25">
        <f>IF(R2145&lt;=2,"1-2",IF(R2145&lt;=5,"3-5",IF(R2145&lt;=10,"6-10","11+")))</f>
        <v/>
      </c>
    </row>
    <row r="2146">
      <c r="A2146" s="39" t="n">
        <v>46178.42009259259</v>
      </c>
      <c r="B2146" s="25">
        <f>TEXT(A2146,"YYYY-MM")</f>
        <v/>
      </c>
      <c r="C2146" s="25">
        <f>TEXT(A2146,"MMM-YYYY")</f>
        <v/>
      </c>
      <c r="D2146" s="40">
        <f>INT(A2146)-WEEKDAY(A2146,2)+1</f>
        <v/>
      </c>
      <c r="E2146" s="25" t="inlineStr">
        <is>
          <t>smukhopadhyay</t>
        </is>
      </c>
      <c r="F2146" s="25" t="n">
        <v>122441</v>
      </c>
      <c r="G2146" s="25" t="n">
        <v>2</v>
      </c>
      <c r="H2146" s="25" t="n">
        <v>12</v>
      </c>
      <c r="I2146" s="25" t="inlineStr">
        <is>
          <t>5 minute(s) and 12 second(s)</t>
        </is>
      </c>
      <c r="J2146" s="25">
        <f>IFERROR(VALUE(TRIM(LEFT(I2146,FIND("minute",I2146)-1)))*60,0)+IFERROR(VALUE(SUBSTITUTE(MID(I2146,IFERROR(FIND("and",I2146)+3,1),20),"second(s)","")),0)</f>
        <v/>
      </c>
      <c r="K2146" s="41">
        <f>J2146/60</f>
        <v/>
      </c>
      <c r="L2146" s="41">
        <f>IFERROR(J2146/H2146,"")</f>
        <v/>
      </c>
      <c r="M2146" s="25" t="inlineStr">
        <is>
          <t>2.5.12</t>
        </is>
      </c>
      <c r="N2146" s="25">
        <f>IF(J2146&gt;300,1,0)</f>
        <v/>
      </c>
      <c r="O2146" s="25">
        <f>IF(J2146&gt;600,1,0)</f>
        <v/>
      </c>
      <c r="P2146" s="25">
        <f>IF(H2146&gt;0,J2146,"")</f>
        <v/>
      </c>
      <c r="Q2146" s="25">
        <f>TEXT(A2146,"YYYY-MM-DD HH")</f>
        <v/>
      </c>
      <c r="R2146" s="25">
        <f>COUNTIF($Q$2:$Q$5295,Q2146)</f>
        <v/>
      </c>
      <c r="S2146" s="25">
        <f>IF(R2146&lt;=2,"1-2",IF(R2146&lt;=5,"3-5",IF(R2146&lt;=10,"6-10","11+")))</f>
        <v/>
      </c>
    </row>
    <row r="2147">
      <c r="A2147" s="39" t="n">
        <v>46178.42153935185</v>
      </c>
      <c r="B2147" s="25">
        <f>TEXT(A2147,"YYYY-MM")</f>
        <v/>
      </c>
      <c r="C2147" s="25">
        <f>TEXT(A2147,"MMM-YYYY")</f>
        <v/>
      </c>
      <c r="D2147" s="40">
        <f>INT(A2147)-WEEKDAY(A2147,2)+1</f>
        <v/>
      </c>
      <c r="E2147" s="25" t="inlineStr">
        <is>
          <t>psathwika</t>
        </is>
      </c>
      <c r="F2147" s="25" t="n">
        <v>121484</v>
      </c>
      <c r="G2147" s="25" t="n">
        <v>4</v>
      </c>
      <c r="H2147" s="25" t="n">
        <v>22</v>
      </c>
      <c r="I2147" s="25" t="inlineStr">
        <is>
          <t>8 minute(s) and 22 second(s)</t>
        </is>
      </c>
      <c r="J2147" s="25">
        <f>IFERROR(VALUE(TRIM(LEFT(I2147,FIND("minute",I2147)-1)))*60,0)+IFERROR(VALUE(SUBSTITUTE(MID(I2147,IFERROR(FIND("and",I2147)+3,1),20),"second(s)","")),0)</f>
        <v/>
      </c>
      <c r="K2147" s="41">
        <f>J2147/60</f>
        <v/>
      </c>
      <c r="L2147" s="41">
        <f>IFERROR(J2147/H2147,"")</f>
        <v/>
      </c>
      <c r="M2147" s="25" t="inlineStr">
        <is>
          <t>2.5.12</t>
        </is>
      </c>
      <c r="N2147" s="25">
        <f>IF(J2147&gt;300,1,0)</f>
        <v/>
      </c>
      <c r="O2147" s="25">
        <f>IF(J2147&gt;600,1,0)</f>
        <v/>
      </c>
      <c r="P2147" s="25">
        <f>IF(H2147&gt;0,J2147,"")</f>
        <v/>
      </c>
      <c r="Q2147" s="25">
        <f>TEXT(A2147,"YYYY-MM-DD HH")</f>
        <v/>
      </c>
      <c r="R2147" s="25">
        <f>COUNTIF($Q$2:$Q$5295,Q2147)</f>
        <v/>
      </c>
      <c r="S2147" s="25">
        <f>IF(R2147&lt;=2,"1-2",IF(R2147&lt;=5,"3-5",IF(R2147&lt;=10,"6-10","11+")))</f>
        <v/>
      </c>
    </row>
    <row r="2148">
      <c r="A2148" s="39" t="n">
        <v>46178.43135416666</v>
      </c>
      <c r="B2148" s="25">
        <f>TEXT(A2148,"YYYY-MM")</f>
        <v/>
      </c>
      <c r="C2148" s="25">
        <f>TEXT(A2148,"MMM-YYYY")</f>
        <v/>
      </c>
      <c r="D2148" s="40">
        <f>INT(A2148)-WEEKDAY(A2148,2)+1</f>
        <v/>
      </c>
      <c r="E2148" s="25" t="inlineStr">
        <is>
          <t>atiwari</t>
        </is>
      </c>
      <c r="F2148" s="25" t="n">
        <v>124450</v>
      </c>
      <c r="G2148" s="25" t="n">
        <v>2</v>
      </c>
      <c r="H2148" s="25" t="n">
        <v>8</v>
      </c>
      <c r="I2148" s="25" t="inlineStr">
        <is>
          <t>3 minute(s) and 30 second(s)</t>
        </is>
      </c>
      <c r="J2148" s="25">
        <f>IFERROR(VALUE(TRIM(LEFT(I2148,FIND("minute",I2148)-1)))*60,0)+IFERROR(VALUE(SUBSTITUTE(MID(I2148,IFERROR(FIND("and",I2148)+3,1),20),"second(s)","")),0)</f>
        <v/>
      </c>
      <c r="K2148" s="41">
        <f>J2148/60</f>
        <v/>
      </c>
      <c r="L2148" s="41">
        <f>IFERROR(J2148/H2148,"")</f>
        <v/>
      </c>
      <c r="M2148" s="25" t="inlineStr">
        <is>
          <t>2.5.12</t>
        </is>
      </c>
      <c r="N2148" s="25">
        <f>IF(J2148&gt;300,1,0)</f>
        <v/>
      </c>
      <c r="O2148" s="25">
        <f>IF(J2148&gt;600,1,0)</f>
        <v/>
      </c>
      <c r="P2148" s="25">
        <f>IF(H2148&gt;0,J2148,"")</f>
        <v/>
      </c>
      <c r="Q2148" s="25">
        <f>TEXT(A2148,"YYYY-MM-DD HH")</f>
        <v/>
      </c>
      <c r="R2148" s="25">
        <f>COUNTIF($Q$2:$Q$5295,Q2148)</f>
        <v/>
      </c>
      <c r="S2148" s="25">
        <f>IF(R2148&lt;=2,"1-2",IF(R2148&lt;=5,"3-5",IF(R2148&lt;=10,"6-10","11+")))</f>
        <v/>
      </c>
    </row>
    <row r="2149">
      <c r="A2149" s="39" t="n">
        <v>46178.4543287037</v>
      </c>
      <c r="B2149" s="25">
        <f>TEXT(A2149,"YYYY-MM")</f>
        <v/>
      </c>
      <c r="C2149" s="25">
        <f>TEXT(A2149,"MMM-YYYY")</f>
        <v/>
      </c>
      <c r="D2149" s="40">
        <f>INT(A2149)-WEEKDAY(A2149,2)+1</f>
        <v/>
      </c>
      <c r="E2149" s="25" t="inlineStr">
        <is>
          <t>hsindwani</t>
        </is>
      </c>
      <c r="F2149" s="25" t="n">
        <v>126414</v>
      </c>
      <c r="G2149" s="25" t="n">
        <v>1</v>
      </c>
      <c r="H2149" s="25" t="n">
        <v>7</v>
      </c>
      <c r="I2149" s="25" t="inlineStr">
        <is>
          <t>1 minute(s) and 44 second(s)</t>
        </is>
      </c>
      <c r="J2149" s="25">
        <f>IFERROR(VALUE(TRIM(LEFT(I2149,FIND("minute",I2149)-1)))*60,0)+IFERROR(VALUE(SUBSTITUTE(MID(I2149,IFERROR(FIND("and",I2149)+3,1),20),"second(s)","")),0)</f>
        <v/>
      </c>
      <c r="K2149" s="41">
        <f>J2149/60</f>
        <v/>
      </c>
      <c r="L2149" s="41">
        <f>IFERROR(J2149/H2149,"")</f>
        <v/>
      </c>
      <c r="M2149" s="25" t="inlineStr">
        <is>
          <t>2.5.12</t>
        </is>
      </c>
      <c r="N2149" s="25">
        <f>IF(J2149&gt;300,1,0)</f>
        <v/>
      </c>
      <c r="O2149" s="25">
        <f>IF(J2149&gt;600,1,0)</f>
        <v/>
      </c>
      <c r="P2149" s="25">
        <f>IF(H2149&gt;0,J2149,"")</f>
        <v/>
      </c>
      <c r="Q2149" s="25">
        <f>TEXT(A2149,"YYYY-MM-DD HH")</f>
        <v/>
      </c>
      <c r="R2149" s="25">
        <f>COUNTIF($Q$2:$Q$5295,Q2149)</f>
        <v/>
      </c>
      <c r="S2149" s="25">
        <f>IF(R2149&lt;=2,"1-2",IF(R2149&lt;=5,"3-5",IF(R2149&lt;=10,"6-10","11+")))</f>
        <v/>
      </c>
    </row>
    <row r="2150">
      <c r="A2150" s="39" t="n">
        <v>46178.49547453703</v>
      </c>
      <c r="B2150" s="25">
        <f>TEXT(A2150,"YYYY-MM")</f>
        <v/>
      </c>
      <c r="C2150" s="25">
        <f>TEXT(A2150,"MMM-YYYY")</f>
        <v/>
      </c>
      <c r="D2150" s="40">
        <f>INT(A2150)-WEEKDAY(A2150,2)+1</f>
        <v/>
      </c>
      <c r="E2150" s="25" t="inlineStr">
        <is>
          <t>pgautam</t>
        </is>
      </c>
      <c r="F2150" s="25" t="n">
        <v>30730</v>
      </c>
      <c r="G2150" s="25" t="n">
        <v>5</v>
      </c>
      <c r="H2150" s="25" t="n">
        <v>31</v>
      </c>
      <c r="I2150" s="25" t="inlineStr">
        <is>
          <t>6 minute(s) and 29 second(s)</t>
        </is>
      </c>
      <c r="J2150" s="25">
        <f>IFERROR(VALUE(TRIM(LEFT(I2150,FIND("minute",I2150)-1)))*60,0)+IFERROR(VALUE(SUBSTITUTE(MID(I2150,IFERROR(FIND("and",I2150)+3,1),20),"second(s)","")),0)</f>
        <v/>
      </c>
      <c r="K2150" s="41">
        <f>J2150/60</f>
        <v/>
      </c>
      <c r="L2150" s="41">
        <f>IFERROR(J2150/H2150,"")</f>
        <v/>
      </c>
      <c r="M2150" s="25" t="inlineStr">
        <is>
          <t>2.5.12</t>
        </is>
      </c>
      <c r="N2150" s="25">
        <f>IF(J2150&gt;300,1,0)</f>
        <v/>
      </c>
      <c r="O2150" s="25">
        <f>IF(J2150&gt;600,1,0)</f>
        <v/>
      </c>
      <c r="P2150" s="25">
        <f>IF(H2150&gt;0,J2150,"")</f>
        <v/>
      </c>
      <c r="Q2150" s="25">
        <f>TEXT(A2150,"YYYY-MM-DD HH")</f>
        <v/>
      </c>
      <c r="R2150" s="25">
        <f>COUNTIF($Q$2:$Q$5295,Q2150)</f>
        <v/>
      </c>
      <c r="S2150" s="25">
        <f>IF(R2150&lt;=2,"1-2",IF(R2150&lt;=5,"3-5",IF(R2150&lt;=10,"6-10","11+")))</f>
        <v/>
      </c>
    </row>
    <row r="2151">
      <c r="A2151" s="39" t="n">
        <v>46178.52121527777</v>
      </c>
      <c r="B2151" s="25">
        <f>TEXT(A2151,"YYYY-MM")</f>
        <v/>
      </c>
      <c r="C2151" s="25">
        <f>TEXT(A2151,"MMM-YYYY")</f>
        <v/>
      </c>
      <c r="D2151" s="40">
        <f>INT(A2151)-WEEKDAY(A2151,2)+1</f>
        <v/>
      </c>
      <c r="E2151" s="25" t="inlineStr">
        <is>
          <t>csaha</t>
        </is>
      </c>
      <c r="F2151" s="25" t="n">
        <v>123824</v>
      </c>
      <c r="G2151" s="25" t="n">
        <v>2</v>
      </c>
      <c r="H2151" s="25" t="n">
        <v>11</v>
      </c>
      <c r="I2151" s="25" t="inlineStr">
        <is>
          <t>2 minute(s) and 20 second(s)</t>
        </is>
      </c>
      <c r="J2151" s="25">
        <f>IFERROR(VALUE(TRIM(LEFT(I2151,FIND("minute",I2151)-1)))*60,0)+IFERROR(VALUE(SUBSTITUTE(MID(I2151,IFERROR(FIND("and",I2151)+3,1),20),"second(s)","")),0)</f>
        <v/>
      </c>
      <c r="K2151" s="41">
        <f>J2151/60</f>
        <v/>
      </c>
      <c r="L2151" s="41">
        <f>IFERROR(J2151/H2151,"")</f>
        <v/>
      </c>
      <c r="M2151" s="25" t="inlineStr">
        <is>
          <t>2.5.12</t>
        </is>
      </c>
      <c r="N2151" s="25">
        <f>IF(J2151&gt;300,1,0)</f>
        <v/>
      </c>
      <c r="O2151" s="25">
        <f>IF(J2151&gt;600,1,0)</f>
        <v/>
      </c>
      <c r="P2151" s="25">
        <f>IF(H2151&gt;0,J2151,"")</f>
        <v/>
      </c>
      <c r="Q2151" s="25">
        <f>TEXT(A2151,"YYYY-MM-DD HH")</f>
        <v/>
      </c>
      <c r="R2151" s="25">
        <f>COUNTIF($Q$2:$Q$5295,Q2151)</f>
        <v/>
      </c>
      <c r="S2151" s="25">
        <f>IF(R2151&lt;=2,"1-2",IF(R2151&lt;=5,"3-5",IF(R2151&lt;=10,"6-10","11+")))</f>
        <v/>
      </c>
    </row>
    <row r="2152">
      <c r="A2152" s="39" t="n">
        <v>46178.52513888889</v>
      </c>
      <c r="B2152" s="25">
        <f>TEXT(A2152,"YYYY-MM")</f>
        <v/>
      </c>
      <c r="C2152" s="25">
        <f>TEXT(A2152,"MMM-YYYY")</f>
        <v/>
      </c>
      <c r="D2152" s="40">
        <f>INT(A2152)-WEEKDAY(A2152,2)+1</f>
        <v/>
      </c>
      <c r="E2152" s="25" t="inlineStr">
        <is>
          <t>aghosh</t>
        </is>
      </c>
      <c r="F2152" s="25" t="n">
        <v>122308</v>
      </c>
      <c r="G2152" s="25" t="n">
        <v>3</v>
      </c>
      <c r="H2152" s="25" t="n">
        <v>11</v>
      </c>
      <c r="I2152" s="25" t="inlineStr">
        <is>
          <t>3 minute(s) and 27 second(s)</t>
        </is>
      </c>
      <c r="J2152" s="25">
        <f>IFERROR(VALUE(TRIM(LEFT(I2152,FIND("minute",I2152)-1)))*60,0)+IFERROR(VALUE(SUBSTITUTE(MID(I2152,IFERROR(FIND("and",I2152)+3,1),20),"second(s)","")),0)</f>
        <v/>
      </c>
      <c r="K2152" s="41">
        <f>J2152/60</f>
        <v/>
      </c>
      <c r="L2152" s="41">
        <f>IFERROR(J2152/H2152,"")</f>
        <v/>
      </c>
      <c r="M2152" s="25" t="inlineStr">
        <is>
          <t>2.5.12</t>
        </is>
      </c>
      <c r="N2152" s="25">
        <f>IF(J2152&gt;300,1,0)</f>
        <v/>
      </c>
      <c r="O2152" s="25">
        <f>IF(J2152&gt;600,1,0)</f>
        <v/>
      </c>
      <c r="P2152" s="25">
        <f>IF(H2152&gt;0,J2152,"")</f>
        <v/>
      </c>
      <c r="Q2152" s="25">
        <f>TEXT(A2152,"YYYY-MM-DD HH")</f>
        <v/>
      </c>
      <c r="R2152" s="25">
        <f>COUNTIF($Q$2:$Q$5295,Q2152)</f>
        <v/>
      </c>
      <c r="S2152" s="25">
        <f>IF(R2152&lt;=2,"1-2",IF(R2152&lt;=5,"3-5",IF(R2152&lt;=10,"6-10","11+")))</f>
        <v/>
      </c>
    </row>
    <row r="2153">
      <c r="A2153" s="39" t="n">
        <v>46178.5277662037</v>
      </c>
      <c r="B2153" s="25">
        <f>TEXT(A2153,"YYYY-MM")</f>
        <v/>
      </c>
      <c r="C2153" s="25">
        <f>TEXT(A2153,"MMM-YYYY")</f>
        <v/>
      </c>
      <c r="D2153" s="40">
        <f>INT(A2153)-WEEKDAY(A2153,2)+1</f>
        <v/>
      </c>
      <c r="E2153" s="25" t="inlineStr">
        <is>
          <t>rsingh</t>
        </is>
      </c>
      <c r="F2153" s="25" t="n">
        <v>121887</v>
      </c>
      <c r="G2153" s="25" t="n">
        <v>2</v>
      </c>
      <c r="H2153" s="25" t="n">
        <v>6</v>
      </c>
      <c r="I2153" s="25" t="inlineStr">
        <is>
          <t>2 minute(s) and 46 second(s)</t>
        </is>
      </c>
      <c r="J2153" s="25">
        <f>IFERROR(VALUE(TRIM(LEFT(I2153,FIND("minute",I2153)-1)))*60,0)+IFERROR(VALUE(SUBSTITUTE(MID(I2153,IFERROR(FIND("and",I2153)+3,1),20),"second(s)","")),0)</f>
        <v/>
      </c>
      <c r="K2153" s="41">
        <f>J2153/60</f>
        <v/>
      </c>
      <c r="L2153" s="41">
        <f>IFERROR(J2153/H2153,"")</f>
        <v/>
      </c>
      <c r="M2153" s="25" t="inlineStr">
        <is>
          <t>2.5.12</t>
        </is>
      </c>
      <c r="N2153" s="25">
        <f>IF(J2153&gt;300,1,0)</f>
        <v/>
      </c>
      <c r="O2153" s="25">
        <f>IF(J2153&gt;600,1,0)</f>
        <v/>
      </c>
      <c r="P2153" s="25">
        <f>IF(H2153&gt;0,J2153,"")</f>
        <v/>
      </c>
      <c r="Q2153" s="25">
        <f>TEXT(A2153,"YYYY-MM-DD HH")</f>
        <v/>
      </c>
      <c r="R2153" s="25">
        <f>COUNTIF($Q$2:$Q$5295,Q2153)</f>
        <v/>
      </c>
      <c r="S2153" s="25">
        <f>IF(R2153&lt;=2,"1-2",IF(R2153&lt;=5,"3-5",IF(R2153&lt;=10,"6-10","11+")))</f>
        <v/>
      </c>
    </row>
    <row r="2154">
      <c r="A2154" s="39" t="n">
        <v>46178.63341435185</v>
      </c>
      <c r="B2154" s="25">
        <f>TEXT(A2154,"YYYY-MM")</f>
        <v/>
      </c>
      <c r="C2154" s="25">
        <f>TEXT(A2154,"MMM-YYYY")</f>
        <v/>
      </c>
      <c r="D2154" s="40">
        <f>INT(A2154)-WEEKDAY(A2154,2)+1</f>
        <v/>
      </c>
      <c r="E2154" s="25" t="inlineStr">
        <is>
          <t>aghosh</t>
        </is>
      </c>
      <c r="F2154" s="25" t="n">
        <v>122355</v>
      </c>
      <c r="G2154" s="25" t="n">
        <v>4</v>
      </c>
      <c r="H2154" s="25" t="n">
        <v>23</v>
      </c>
      <c r="I2154" s="25" t="inlineStr">
        <is>
          <t>4 minute(s) and 57 second(s)</t>
        </is>
      </c>
      <c r="J2154" s="25">
        <f>IFERROR(VALUE(TRIM(LEFT(I2154,FIND("minute",I2154)-1)))*60,0)+IFERROR(VALUE(SUBSTITUTE(MID(I2154,IFERROR(FIND("and",I2154)+3,1),20),"second(s)","")),0)</f>
        <v/>
      </c>
      <c r="K2154" s="41">
        <f>J2154/60</f>
        <v/>
      </c>
      <c r="L2154" s="41">
        <f>IFERROR(J2154/H2154,"")</f>
        <v/>
      </c>
      <c r="M2154" s="25" t="inlineStr">
        <is>
          <t>2.5.12</t>
        </is>
      </c>
      <c r="N2154" s="25">
        <f>IF(J2154&gt;300,1,0)</f>
        <v/>
      </c>
      <c r="O2154" s="25">
        <f>IF(J2154&gt;600,1,0)</f>
        <v/>
      </c>
      <c r="P2154" s="25">
        <f>IF(H2154&gt;0,J2154,"")</f>
        <v/>
      </c>
      <c r="Q2154" s="25">
        <f>TEXT(A2154,"YYYY-MM-DD HH")</f>
        <v/>
      </c>
      <c r="R2154" s="25">
        <f>COUNTIF($Q$2:$Q$5295,Q2154)</f>
        <v/>
      </c>
      <c r="S2154" s="25">
        <f>IF(R2154&lt;=2,"1-2",IF(R2154&lt;=5,"3-5",IF(R2154&lt;=10,"6-10","11+")))</f>
        <v/>
      </c>
    </row>
    <row r="2155">
      <c r="A2155" s="39" t="n">
        <v>46178.64189814815</v>
      </c>
      <c r="B2155" s="25">
        <f>TEXT(A2155,"YYYY-MM")</f>
        <v/>
      </c>
      <c r="C2155" s="25">
        <f>TEXT(A2155,"MMM-YYYY")</f>
        <v/>
      </c>
      <c r="D2155" s="40">
        <f>INT(A2155)-WEEKDAY(A2155,2)+1</f>
        <v/>
      </c>
      <c r="E2155" s="25" t="inlineStr">
        <is>
          <t>rsingh</t>
        </is>
      </c>
      <c r="F2155" s="25" t="n">
        <v>114738</v>
      </c>
      <c r="G2155" s="25" t="n">
        <v>3</v>
      </c>
      <c r="H2155" s="25" t="n">
        <v>9</v>
      </c>
      <c r="I2155" s="25" t="inlineStr">
        <is>
          <t>5 minute(s) and 40 second(s)</t>
        </is>
      </c>
      <c r="J2155" s="25">
        <f>IFERROR(VALUE(TRIM(LEFT(I2155,FIND("minute",I2155)-1)))*60,0)+IFERROR(VALUE(SUBSTITUTE(MID(I2155,IFERROR(FIND("and",I2155)+3,1),20),"second(s)","")),0)</f>
        <v/>
      </c>
      <c r="K2155" s="41">
        <f>J2155/60</f>
        <v/>
      </c>
      <c r="L2155" s="41">
        <f>IFERROR(J2155/H2155,"")</f>
        <v/>
      </c>
      <c r="M2155" s="25" t="inlineStr">
        <is>
          <t>2.5.12</t>
        </is>
      </c>
      <c r="N2155" s="25">
        <f>IF(J2155&gt;300,1,0)</f>
        <v/>
      </c>
      <c r="O2155" s="25">
        <f>IF(J2155&gt;600,1,0)</f>
        <v/>
      </c>
      <c r="P2155" s="25">
        <f>IF(H2155&gt;0,J2155,"")</f>
        <v/>
      </c>
      <c r="Q2155" s="25">
        <f>TEXT(A2155,"YYYY-MM-DD HH")</f>
        <v/>
      </c>
      <c r="R2155" s="25">
        <f>COUNTIF($Q$2:$Q$5295,Q2155)</f>
        <v/>
      </c>
      <c r="S2155" s="25">
        <f>IF(R2155&lt;=2,"1-2",IF(R2155&lt;=5,"3-5",IF(R2155&lt;=10,"6-10","11+")))</f>
        <v/>
      </c>
    </row>
    <row r="2156">
      <c r="A2156" s="39" t="n">
        <v>46178.651875</v>
      </c>
      <c r="B2156" s="25">
        <f>TEXT(A2156,"YYYY-MM")</f>
        <v/>
      </c>
      <c r="C2156" s="25">
        <f>TEXT(A2156,"MMM-YYYY")</f>
        <v/>
      </c>
      <c r="D2156" s="40">
        <f>INT(A2156)-WEEKDAY(A2156,2)+1</f>
        <v/>
      </c>
      <c r="E2156" s="25" t="inlineStr">
        <is>
          <t>csaha</t>
        </is>
      </c>
      <c r="F2156" s="25" t="n">
        <v>125051</v>
      </c>
      <c r="G2156" s="25" t="n">
        <v>1</v>
      </c>
      <c r="H2156" s="25" t="n">
        <v>6</v>
      </c>
      <c r="I2156" s="25" t="inlineStr">
        <is>
          <t>1 minute(s) and 32 second(s)</t>
        </is>
      </c>
      <c r="J2156" s="25">
        <f>IFERROR(VALUE(TRIM(LEFT(I2156,FIND("minute",I2156)-1)))*60,0)+IFERROR(VALUE(SUBSTITUTE(MID(I2156,IFERROR(FIND("and",I2156)+3,1),20),"second(s)","")),0)</f>
        <v/>
      </c>
      <c r="K2156" s="41">
        <f>J2156/60</f>
        <v/>
      </c>
      <c r="L2156" s="41">
        <f>IFERROR(J2156/H2156,"")</f>
        <v/>
      </c>
      <c r="M2156" s="25" t="inlineStr">
        <is>
          <t>2.5.12</t>
        </is>
      </c>
      <c r="N2156" s="25">
        <f>IF(J2156&gt;300,1,0)</f>
        <v/>
      </c>
      <c r="O2156" s="25">
        <f>IF(J2156&gt;600,1,0)</f>
        <v/>
      </c>
      <c r="P2156" s="25">
        <f>IF(H2156&gt;0,J2156,"")</f>
        <v/>
      </c>
      <c r="Q2156" s="25">
        <f>TEXT(A2156,"YYYY-MM-DD HH")</f>
        <v/>
      </c>
      <c r="R2156" s="25">
        <f>COUNTIF($Q$2:$Q$5295,Q2156)</f>
        <v/>
      </c>
      <c r="S2156" s="25">
        <f>IF(R2156&lt;=2,"1-2",IF(R2156&lt;=5,"3-5",IF(R2156&lt;=10,"6-10","11+")))</f>
        <v/>
      </c>
    </row>
    <row r="2157">
      <c r="A2157" s="39" t="n">
        <v>46178.65702546296</v>
      </c>
      <c r="B2157" s="25">
        <f>TEXT(A2157,"YYYY-MM")</f>
        <v/>
      </c>
      <c r="C2157" s="25">
        <f>TEXT(A2157,"MMM-YYYY")</f>
        <v/>
      </c>
      <c r="D2157" s="40">
        <f>INT(A2157)-WEEKDAY(A2157,2)+1</f>
        <v/>
      </c>
      <c r="E2157" s="25" t="inlineStr">
        <is>
          <t>csaha</t>
        </is>
      </c>
      <c r="F2157" s="25" t="n">
        <v>125051</v>
      </c>
      <c r="G2157" s="25" t="n">
        <v>2</v>
      </c>
      <c r="H2157" s="25" t="n">
        <v>11</v>
      </c>
      <c r="I2157" s="25" t="inlineStr">
        <is>
          <t>4 minute(s) and 2 second(s)</t>
        </is>
      </c>
      <c r="J2157" s="25">
        <f>IFERROR(VALUE(TRIM(LEFT(I2157,FIND("minute",I2157)-1)))*60,0)+IFERROR(VALUE(SUBSTITUTE(MID(I2157,IFERROR(FIND("and",I2157)+3,1),20),"second(s)","")),0)</f>
        <v/>
      </c>
      <c r="K2157" s="41">
        <f>J2157/60</f>
        <v/>
      </c>
      <c r="L2157" s="41">
        <f>IFERROR(J2157/H2157,"")</f>
        <v/>
      </c>
      <c r="M2157" s="25" t="inlineStr">
        <is>
          <t>2.5.12</t>
        </is>
      </c>
      <c r="N2157" s="25">
        <f>IF(J2157&gt;300,1,0)</f>
        <v/>
      </c>
      <c r="O2157" s="25">
        <f>IF(J2157&gt;600,1,0)</f>
        <v/>
      </c>
      <c r="P2157" s="25">
        <f>IF(H2157&gt;0,J2157,"")</f>
        <v/>
      </c>
      <c r="Q2157" s="25">
        <f>TEXT(A2157,"YYYY-MM-DD HH")</f>
        <v/>
      </c>
      <c r="R2157" s="25">
        <f>COUNTIF($Q$2:$Q$5295,Q2157)</f>
        <v/>
      </c>
      <c r="S2157" s="25">
        <f>IF(R2157&lt;=2,"1-2",IF(R2157&lt;=5,"3-5",IF(R2157&lt;=10,"6-10","11+")))</f>
        <v/>
      </c>
    </row>
    <row r="2158">
      <c r="A2158" s="39" t="n">
        <v>46178.70246527778</v>
      </c>
      <c r="B2158" s="25">
        <f>TEXT(A2158,"YYYY-MM")</f>
        <v/>
      </c>
      <c r="C2158" s="25">
        <f>TEXT(A2158,"MMM-YYYY")</f>
        <v/>
      </c>
      <c r="D2158" s="40">
        <f>INT(A2158)-WEEKDAY(A2158,2)+1</f>
        <v/>
      </c>
      <c r="E2158" s="25" t="inlineStr">
        <is>
          <t>hsindwani</t>
        </is>
      </c>
      <c r="F2158" s="25" t="n">
        <v>122363</v>
      </c>
      <c r="G2158" s="25" t="n">
        <v>1</v>
      </c>
      <c r="H2158" s="25" t="n">
        <v>5</v>
      </c>
      <c r="I2158" s="25" t="inlineStr">
        <is>
          <t>3 minute(s) and 6 second(s)</t>
        </is>
      </c>
      <c r="J2158" s="25">
        <f>IFERROR(VALUE(TRIM(LEFT(I2158,FIND("minute",I2158)-1)))*60,0)+IFERROR(VALUE(SUBSTITUTE(MID(I2158,IFERROR(FIND("and",I2158)+3,1),20),"second(s)","")),0)</f>
        <v/>
      </c>
      <c r="K2158" s="41">
        <f>J2158/60</f>
        <v/>
      </c>
      <c r="L2158" s="41">
        <f>IFERROR(J2158/H2158,"")</f>
        <v/>
      </c>
      <c r="M2158" s="25" t="inlineStr">
        <is>
          <t>2.5.12</t>
        </is>
      </c>
      <c r="N2158" s="25">
        <f>IF(J2158&gt;300,1,0)</f>
        <v/>
      </c>
      <c r="O2158" s="25">
        <f>IF(J2158&gt;600,1,0)</f>
        <v/>
      </c>
      <c r="P2158" s="25">
        <f>IF(H2158&gt;0,J2158,"")</f>
        <v/>
      </c>
      <c r="Q2158" s="25">
        <f>TEXT(A2158,"YYYY-MM-DD HH")</f>
        <v/>
      </c>
      <c r="R2158" s="25">
        <f>COUNTIF($Q$2:$Q$5295,Q2158)</f>
        <v/>
      </c>
      <c r="S2158" s="25">
        <f>IF(R2158&lt;=2,"1-2",IF(R2158&lt;=5,"3-5",IF(R2158&lt;=10,"6-10","11+")))</f>
        <v/>
      </c>
    </row>
    <row r="2159">
      <c r="A2159" s="39" t="n">
        <v>46178.7353125</v>
      </c>
      <c r="B2159" s="25">
        <f>TEXT(A2159,"YYYY-MM")</f>
        <v/>
      </c>
      <c r="C2159" s="25">
        <f>TEXT(A2159,"MMM-YYYY")</f>
        <v/>
      </c>
      <c r="D2159" s="40">
        <f>INT(A2159)-WEEKDAY(A2159,2)+1</f>
        <v/>
      </c>
      <c r="E2159" s="25" t="inlineStr">
        <is>
          <t>csaha</t>
        </is>
      </c>
      <c r="F2159" s="25" t="n">
        <v>124760</v>
      </c>
      <c r="G2159" s="25" t="n">
        <v>4</v>
      </c>
      <c r="H2159" s="25" t="n">
        <v>8</v>
      </c>
      <c r="I2159" s="25" t="inlineStr">
        <is>
          <t>1 minute(s) and 18 second(s)</t>
        </is>
      </c>
      <c r="J2159" s="25">
        <f>IFERROR(VALUE(TRIM(LEFT(I2159,FIND("minute",I2159)-1)))*60,0)+IFERROR(VALUE(SUBSTITUTE(MID(I2159,IFERROR(FIND("and",I2159)+3,1),20),"second(s)","")),0)</f>
        <v/>
      </c>
      <c r="K2159" s="41">
        <f>J2159/60</f>
        <v/>
      </c>
      <c r="L2159" s="41">
        <f>IFERROR(J2159/H2159,"")</f>
        <v/>
      </c>
      <c r="M2159" s="25" t="inlineStr">
        <is>
          <t>2.5.12</t>
        </is>
      </c>
      <c r="N2159" s="25">
        <f>IF(J2159&gt;300,1,0)</f>
        <v/>
      </c>
      <c r="O2159" s="25">
        <f>IF(J2159&gt;600,1,0)</f>
        <v/>
      </c>
      <c r="P2159" s="25">
        <f>IF(H2159&gt;0,J2159,"")</f>
        <v/>
      </c>
      <c r="Q2159" s="25">
        <f>TEXT(A2159,"YYYY-MM-DD HH")</f>
        <v/>
      </c>
      <c r="R2159" s="25">
        <f>COUNTIF($Q$2:$Q$5295,Q2159)</f>
        <v/>
      </c>
      <c r="S2159" s="25">
        <f>IF(R2159&lt;=2,"1-2",IF(R2159&lt;=5,"3-5",IF(R2159&lt;=10,"6-10","11+")))</f>
        <v/>
      </c>
    </row>
    <row r="2160">
      <c r="A2160" s="39" t="n">
        <v>46178.78097222222</v>
      </c>
      <c r="B2160" s="25">
        <f>TEXT(A2160,"YYYY-MM")</f>
        <v/>
      </c>
      <c r="C2160" s="25">
        <f>TEXT(A2160,"MMM-YYYY")</f>
        <v/>
      </c>
      <c r="D2160" s="40">
        <f>INT(A2160)-WEEKDAY(A2160,2)+1</f>
        <v/>
      </c>
      <c r="E2160" s="25" t="inlineStr">
        <is>
          <t>rsingh</t>
        </is>
      </c>
      <c r="F2160" s="25" t="n">
        <v>121955</v>
      </c>
      <c r="G2160" s="25" t="n">
        <v>4</v>
      </c>
      <c r="H2160" s="25" t="n">
        <v>22</v>
      </c>
      <c r="I2160" s="25" t="inlineStr">
        <is>
          <t>8 minute(s) and 30 second(s)</t>
        </is>
      </c>
      <c r="J2160" s="25">
        <f>IFERROR(VALUE(TRIM(LEFT(I2160,FIND("minute",I2160)-1)))*60,0)+IFERROR(VALUE(SUBSTITUTE(MID(I2160,IFERROR(FIND("and",I2160)+3,1),20),"second(s)","")),0)</f>
        <v/>
      </c>
      <c r="K2160" s="41">
        <f>J2160/60</f>
        <v/>
      </c>
      <c r="L2160" s="41">
        <f>IFERROR(J2160/H2160,"")</f>
        <v/>
      </c>
      <c r="M2160" s="25" t="inlineStr">
        <is>
          <t>2.5.12</t>
        </is>
      </c>
      <c r="N2160" s="25">
        <f>IF(J2160&gt;300,1,0)</f>
        <v/>
      </c>
      <c r="O2160" s="25">
        <f>IF(J2160&gt;600,1,0)</f>
        <v/>
      </c>
      <c r="P2160" s="25">
        <f>IF(H2160&gt;0,J2160,"")</f>
        <v/>
      </c>
      <c r="Q2160" s="25">
        <f>TEXT(A2160,"YYYY-MM-DD HH")</f>
        <v/>
      </c>
      <c r="R2160" s="25">
        <f>COUNTIF($Q$2:$Q$5295,Q2160)</f>
        <v/>
      </c>
      <c r="S2160" s="25">
        <f>IF(R2160&lt;=2,"1-2",IF(R2160&lt;=5,"3-5",IF(R2160&lt;=10,"6-10","11+")))</f>
        <v/>
      </c>
    </row>
    <row r="2161">
      <c r="A2161" s="39" t="n">
        <v>46178.7844212963</v>
      </c>
      <c r="B2161" s="25">
        <f>TEXT(A2161,"YYYY-MM")</f>
        <v/>
      </c>
      <c r="C2161" s="25">
        <f>TEXT(A2161,"MMM-YYYY")</f>
        <v/>
      </c>
      <c r="D2161" s="40">
        <f>INT(A2161)-WEEKDAY(A2161,2)+1</f>
        <v/>
      </c>
      <c r="E2161" s="25" t="inlineStr">
        <is>
          <t>csaha</t>
        </is>
      </c>
      <c r="F2161" s="25" t="n">
        <v>126425</v>
      </c>
      <c r="G2161" s="25" t="n">
        <v>2</v>
      </c>
      <c r="H2161" s="25" t="n">
        <v>10</v>
      </c>
      <c r="I2161" s="25" t="inlineStr">
        <is>
          <t>2 minute(s) and 40 second(s)</t>
        </is>
      </c>
      <c r="J2161" s="25">
        <f>IFERROR(VALUE(TRIM(LEFT(I2161,FIND("minute",I2161)-1)))*60,0)+IFERROR(VALUE(SUBSTITUTE(MID(I2161,IFERROR(FIND("and",I2161)+3,1),20),"second(s)","")),0)</f>
        <v/>
      </c>
      <c r="K2161" s="41">
        <f>J2161/60</f>
        <v/>
      </c>
      <c r="L2161" s="41">
        <f>IFERROR(J2161/H2161,"")</f>
        <v/>
      </c>
      <c r="M2161" s="25" t="inlineStr">
        <is>
          <t>2.5.12</t>
        </is>
      </c>
      <c r="N2161" s="25">
        <f>IF(J2161&gt;300,1,0)</f>
        <v/>
      </c>
      <c r="O2161" s="25">
        <f>IF(J2161&gt;600,1,0)</f>
        <v/>
      </c>
      <c r="P2161" s="25">
        <f>IF(H2161&gt;0,J2161,"")</f>
        <v/>
      </c>
      <c r="Q2161" s="25">
        <f>TEXT(A2161,"YYYY-MM-DD HH")</f>
        <v/>
      </c>
      <c r="R2161" s="25">
        <f>COUNTIF($Q$2:$Q$5295,Q2161)</f>
        <v/>
      </c>
      <c r="S2161" s="25">
        <f>IF(R2161&lt;=2,"1-2",IF(R2161&lt;=5,"3-5",IF(R2161&lt;=10,"6-10","11+")))</f>
        <v/>
      </c>
    </row>
    <row r="2162">
      <c r="A2162" s="39" t="n">
        <v>46178.8400925926</v>
      </c>
      <c r="B2162" s="25">
        <f>TEXT(A2162,"YYYY-MM")</f>
        <v/>
      </c>
      <c r="C2162" s="25">
        <f>TEXT(A2162,"MMM-YYYY")</f>
        <v/>
      </c>
      <c r="D2162" s="40">
        <f>INT(A2162)-WEEKDAY(A2162,2)+1</f>
        <v/>
      </c>
      <c r="E2162" s="25" t="inlineStr">
        <is>
          <t>schoppakatla</t>
        </is>
      </c>
      <c r="F2162" s="25" t="n">
        <v>125584</v>
      </c>
      <c r="G2162" s="25" t="n">
        <v>1</v>
      </c>
      <c r="H2162" s="25" t="n">
        <v>7</v>
      </c>
      <c r="I2162" s="25" t="inlineStr">
        <is>
          <t>3 minute(s) and 4 second(s)</t>
        </is>
      </c>
      <c r="J2162" s="25">
        <f>IFERROR(VALUE(TRIM(LEFT(I2162,FIND("minute",I2162)-1)))*60,0)+IFERROR(VALUE(SUBSTITUTE(MID(I2162,IFERROR(FIND("and",I2162)+3,1),20),"second(s)","")),0)</f>
        <v/>
      </c>
      <c r="K2162" s="41">
        <f>J2162/60</f>
        <v/>
      </c>
      <c r="L2162" s="41">
        <f>IFERROR(J2162/H2162,"")</f>
        <v/>
      </c>
      <c r="M2162" s="25" t="inlineStr">
        <is>
          <t>2.5.12</t>
        </is>
      </c>
      <c r="N2162" s="25">
        <f>IF(J2162&gt;300,1,0)</f>
        <v/>
      </c>
      <c r="O2162" s="25">
        <f>IF(J2162&gt;600,1,0)</f>
        <v/>
      </c>
      <c r="P2162" s="25">
        <f>IF(H2162&gt;0,J2162,"")</f>
        <v/>
      </c>
      <c r="Q2162" s="25">
        <f>TEXT(A2162,"YYYY-MM-DD HH")</f>
        <v/>
      </c>
      <c r="R2162" s="25">
        <f>COUNTIF($Q$2:$Q$5295,Q2162)</f>
        <v/>
      </c>
      <c r="S2162" s="25">
        <f>IF(R2162&lt;=2,"1-2",IF(R2162&lt;=5,"3-5",IF(R2162&lt;=10,"6-10","11+")))</f>
        <v/>
      </c>
    </row>
    <row r="2163">
      <c r="A2163" s="39" t="n">
        <v>46178.86821759259</v>
      </c>
      <c r="B2163" s="25">
        <f>TEXT(A2163,"YYYY-MM")</f>
        <v/>
      </c>
      <c r="C2163" s="25">
        <f>TEXT(A2163,"MMM-YYYY")</f>
        <v/>
      </c>
      <c r="D2163" s="40">
        <f>INT(A2163)-WEEKDAY(A2163,2)+1</f>
        <v/>
      </c>
      <c r="E2163" s="25" t="inlineStr">
        <is>
          <t>schoppakatla</t>
        </is>
      </c>
      <c r="F2163" s="25" t="n">
        <v>125379</v>
      </c>
      <c r="G2163" s="25" t="n">
        <v>1</v>
      </c>
      <c r="H2163" s="25" t="n">
        <v>7</v>
      </c>
      <c r="I2163" s="25" t="inlineStr">
        <is>
          <t>2 minute(s) and 38 second(s)</t>
        </is>
      </c>
      <c r="J2163" s="25">
        <f>IFERROR(VALUE(TRIM(LEFT(I2163,FIND("minute",I2163)-1)))*60,0)+IFERROR(VALUE(SUBSTITUTE(MID(I2163,IFERROR(FIND("and",I2163)+3,1),20),"second(s)","")),0)</f>
        <v/>
      </c>
      <c r="K2163" s="41">
        <f>J2163/60</f>
        <v/>
      </c>
      <c r="L2163" s="41">
        <f>IFERROR(J2163/H2163,"")</f>
        <v/>
      </c>
      <c r="M2163" s="25" t="inlineStr">
        <is>
          <t>2.5.12</t>
        </is>
      </c>
      <c r="N2163" s="25">
        <f>IF(J2163&gt;300,1,0)</f>
        <v/>
      </c>
      <c r="O2163" s="25">
        <f>IF(J2163&gt;600,1,0)</f>
        <v/>
      </c>
      <c r="P2163" s="25">
        <f>IF(H2163&gt;0,J2163,"")</f>
        <v/>
      </c>
      <c r="Q2163" s="25">
        <f>TEXT(A2163,"YYYY-MM-DD HH")</f>
        <v/>
      </c>
      <c r="R2163" s="25">
        <f>COUNTIF($Q$2:$Q$5295,Q2163)</f>
        <v/>
      </c>
      <c r="S2163" s="25">
        <f>IF(R2163&lt;=2,"1-2",IF(R2163&lt;=5,"3-5",IF(R2163&lt;=10,"6-10","11+")))</f>
        <v/>
      </c>
    </row>
    <row r="2164">
      <c r="A2164" s="39" t="n">
        <v>46178.89356481482</v>
      </c>
      <c r="B2164" s="25">
        <f>TEXT(A2164,"YYYY-MM")</f>
        <v/>
      </c>
      <c r="C2164" s="25">
        <f>TEXT(A2164,"MMM-YYYY")</f>
        <v/>
      </c>
      <c r="D2164" s="40">
        <f>INT(A2164)-WEEKDAY(A2164,2)+1</f>
        <v/>
      </c>
      <c r="E2164" s="25" t="inlineStr">
        <is>
          <t>schoppakatla</t>
        </is>
      </c>
      <c r="F2164" s="25" t="n">
        <v>125652</v>
      </c>
      <c r="G2164" s="25" t="n">
        <v>1</v>
      </c>
      <c r="H2164" s="25" t="n">
        <v>5</v>
      </c>
      <c r="I2164" s="25" t="inlineStr">
        <is>
          <t>2 minute(s) and 14 second(s)</t>
        </is>
      </c>
      <c r="J2164" s="25">
        <f>IFERROR(VALUE(TRIM(LEFT(I2164,FIND("minute",I2164)-1)))*60,0)+IFERROR(VALUE(SUBSTITUTE(MID(I2164,IFERROR(FIND("and",I2164)+3,1),20),"second(s)","")),0)</f>
        <v/>
      </c>
      <c r="K2164" s="41">
        <f>J2164/60</f>
        <v/>
      </c>
      <c r="L2164" s="41">
        <f>IFERROR(J2164/H2164,"")</f>
        <v/>
      </c>
      <c r="M2164" s="25" t="inlineStr">
        <is>
          <t>2.5.12</t>
        </is>
      </c>
      <c r="N2164" s="25">
        <f>IF(J2164&gt;300,1,0)</f>
        <v/>
      </c>
      <c r="O2164" s="25">
        <f>IF(J2164&gt;600,1,0)</f>
        <v/>
      </c>
      <c r="P2164" s="25">
        <f>IF(H2164&gt;0,J2164,"")</f>
        <v/>
      </c>
      <c r="Q2164" s="25">
        <f>TEXT(A2164,"YYYY-MM-DD HH")</f>
        <v/>
      </c>
      <c r="R2164" s="25">
        <f>COUNTIF($Q$2:$Q$5295,Q2164)</f>
        <v/>
      </c>
      <c r="S2164" s="25">
        <f>IF(R2164&lt;=2,"1-2",IF(R2164&lt;=5,"3-5",IF(R2164&lt;=10,"6-10","11+")))</f>
        <v/>
      </c>
    </row>
    <row r="2165">
      <c r="A2165" s="39" t="n">
        <v>46179.18694444445</v>
      </c>
      <c r="B2165" s="25">
        <f>TEXT(A2165,"YYYY-MM")</f>
        <v/>
      </c>
      <c r="C2165" s="25">
        <f>TEXT(A2165,"MMM-YYYY")</f>
        <v/>
      </c>
      <c r="D2165" s="40">
        <f>INT(A2165)-WEEKDAY(A2165,2)+1</f>
        <v/>
      </c>
      <c r="E2165" s="25" t="inlineStr">
        <is>
          <t>rts</t>
        </is>
      </c>
      <c r="F2165" s="25" t="n">
        <v>89967</v>
      </c>
      <c r="G2165" s="25" t="n">
        <v>2</v>
      </c>
      <c r="H2165" s="25" t="n">
        <v>15</v>
      </c>
      <c r="I2165" s="25" t="inlineStr">
        <is>
          <t>8 minute(s) and 27 second(s)</t>
        </is>
      </c>
      <c r="J2165" s="25">
        <f>IFERROR(VALUE(TRIM(LEFT(I2165,FIND("minute",I2165)-1)))*60,0)+IFERROR(VALUE(SUBSTITUTE(MID(I2165,IFERROR(FIND("and",I2165)+3,1),20),"second(s)","")),0)</f>
        <v/>
      </c>
      <c r="K2165" s="41">
        <f>J2165/60</f>
        <v/>
      </c>
      <c r="L2165" s="41">
        <f>IFERROR(J2165/H2165,"")</f>
        <v/>
      </c>
      <c r="M2165" s="25" t="inlineStr">
        <is>
          <t>2.5.12</t>
        </is>
      </c>
      <c r="N2165" s="25">
        <f>IF(J2165&gt;300,1,0)</f>
        <v/>
      </c>
      <c r="O2165" s="25">
        <f>IF(J2165&gt;600,1,0)</f>
        <v/>
      </c>
      <c r="P2165" s="25">
        <f>IF(H2165&gt;0,J2165,"")</f>
        <v/>
      </c>
      <c r="Q2165" s="25">
        <f>TEXT(A2165,"YYYY-MM-DD HH")</f>
        <v/>
      </c>
      <c r="R2165" s="25">
        <f>COUNTIF($Q$2:$Q$5295,Q2165)</f>
        <v/>
      </c>
      <c r="S2165" s="25">
        <f>IF(R2165&lt;=2,"1-2",IF(R2165&lt;=5,"3-5",IF(R2165&lt;=10,"6-10","11+")))</f>
        <v/>
      </c>
    </row>
    <row r="2166">
      <c r="A2166" s="39" t="n">
        <v>46179.38528935185</v>
      </c>
      <c r="B2166" s="25">
        <f>TEXT(A2166,"YYYY-MM")</f>
        <v/>
      </c>
      <c r="C2166" s="25">
        <f>TEXT(A2166,"MMM-YYYY")</f>
        <v/>
      </c>
      <c r="D2166" s="40">
        <f>INT(A2166)-WEEKDAY(A2166,2)+1</f>
        <v/>
      </c>
      <c r="E2166" s="25" t="inlineStr">
        <is>
          <t>hsindwani</t>
        </is>
      </c>
      <c r="F2166" s="25" t="n">
        <v>124017</v>
      </c>
      <c r="G2166" s="25" t="n">
        <v>1</v>
      </c>
      <c r="H2166" s="25" t="n">
        <v>5</v>
      </c>
      <c r="I2166" s="25" t="inlineStr">
        <is>
          <t>5 minute(s) and 42 second(s)</t>
        </is>
      </c>
      <c r="J2166" s="25">
        <f>IFERROR(VALUE(TRIM(LEFT(I2166,FIND("minute",I2166)-1)))*60,0)+IFERROR(VALUE(SUBSTITUTE(MID(I2166,IFERROR(FIND("and",I2166)+3,1),20),"second(s)","")),0)</f>
        <v/>
      </c>
      <c r="K2166" s="41">
        <f>J2166/60</f>
        <v/>
      </c>
      <c r="L2166" s="41">
        <f>IFERROR(J2166/H2166,"")</f>
        <v/>
      </c>
      <c r="M2166" s="25" t="inlineStr">
        <is>
          <t>2.5.12</t>
        </is>
      </c>
      <c r="N2166" s="25">
        <f>IF(J2166&gt;300,1,0)</f>
        <v/>
      </c>
      <c r="O2166" s="25">
        <f>IF(J2166&gt;600,1,0)</f>
        <v/>
      </c>
      <c r="P2166" s="25">
        <f>IF(H2166&gt;0,J2166,"")</f>
        <v/>
      </c>
      <c r="Q2166" s="25">
        <f>TEXT(A2166,"YYYY-MM-DD HH")</f>
        <v/>
      </c>
      <c r="R2166" s="25">
        <f>COUNTIF($Q$2:$Q$5295,Q2166)</f>
        <v/>
      </c>
      <c r="S2166" s="25">
        <f>IF(R2166&lt;=2,"1-2",IF(R2166&lt;=5,"3-5",IF(R2166&lt;=10,"6-10","11+")))</f>
        <v/>
      </c>
    </row>
    <row r="2167">
      <c r="A2167" s="39" t="n">
        <v>46179.40424768518</v>
      </c>
      <c r="B2167" s="25">
        <f>TEXT(A2167,"YYYY-MM")</f>
        <v/>
      </c>
      <c r="C2167" s="25">
        <f>TEXT(A2167,"MMM-YYYY")</f>
        <v/>
      </c>
      <c r="D2167" s="40">
        <f>INT(A2167)-WEEKDAY(A2167,2)+1</f>
        <v/>
      </c>
      <c r="E2167" s="25" t="inlineStr">
        <is>
          <t>rts</t>
        </is>
      </c>
      <c r="F2167" s="25" t="n">
        <v>89969</v>
      </c>
      <c r="G2167" s="25" t="n">
        <v>2</v>
      </c>
      <c r="H2167" s="25" t="n">
        <v>11</v>
      </c>
      <c r="I2167" s="25" t="inlineStr">
        <is>
          <t>5 minute(s) and 30 second(s)</t>
        </is>
      </c>
      <c r="J2167" s="25">
        <f>IFERROR(VALUE(TRIM(LEFT(I2167,FIND("minute",I2167)-1)))*60,0)+IFERROR(VALUE(SUBSTITUTE(MID(I2167,IFERROR(FIND("and",I2167)+3,1),20),"second(s)","")),0)</f>
        <v/>
      </c>
      <c r="K2167" s="41">
        <f>J2167/60</f>
        <v/>
      </c>
      <c r="L2167" s="41">
        <f>IFERROR(J2167/H2167,"")</f>
        <v/>
      </c>
      <c r="M2167" s="25" t="inlineStr">
        <is>
          <t>2.5.12</t>
        </is>
      </c>
      <c r="N2167" s="25">
        <f>IF(J2167&gt;300,1,0)</f>
        <v/>
      </c>
      <c r="O2167" s="25">
        <f>IF(J2167&gt;600,1,0)</f>
        <v/>
      </c>
      <c r="P2167" s="25">
        <f>IF(H2167&gt;0,J2167,"")</f>
        <v/>
      </c>
      <c r="Q2167" s="25">
        <f>TEXT(A2167,"YYYY-MM-DD HH")</f>
        <v/>
      </c>
      <c r="R2167" s="25">
        <f>COUNTIF($Q$2:$Q$5295,Q2167)</f>
        <v/>
      </c>
      <c r="S2167" s="25">
        <f>IF(R2167&lt;=2,"1-2",IF(R2167&lt;=5,"3-5",IF(R2167&lt;=10,"6-10","11+")))</f>
        <v/>
      </c>
    </row>
    <row r="2168">
      <c r="A2168" s="39" t="n">
        <v>46179.42918981481</v>
      </c>
      <c r="B2168" s="25">
        <f>TEXT(A2168,"YYYY-MM")</f>
        <v/>
      </c>
      <c r="C2168" s="25">
        <f>TEXT(A2168,"MMM-YYYY")</f>
        <v/>
      </c>
      <c r="D2168" s="40">
        <f>INT(A2168)-WEEKDAY(A2168,2)+1</f>
        <v/>
      </c>
      <c r="E2168" s="25" t="inlineStr">
        <is>
          <t>dchoudhury</t>
        </is>
      </c>
      <c r="F2168" s="25" t="n">
        <v>123109</v>
      </c>
      <c r="G2168" s="25" t="n">
        <v>2</v>
      </c>
      <c r="H2168" s="25" t="n">
        <v>12</v>
      </c>
      <c r="I2168" s="25" t="inlineStr">
        <is>
          <t>3 minute(s) and 11 second(s)</t>
        </is>
      </c>
      <c r="J2168" s="25">
        <f>IFERROR(VALUE(TRIM(LEFT(I2168,FIND("minute",I2168)-1)))*60,0)+IFERROR(VALUE(SUBSTITUTE(MID(I2168,IFERROR(FIND("and",I2168)+3,1),20),"second(s)","")),0)</f>
        <v/>
      </c>
      <c r="K2168" s="41">
        <f>J2168/60</f>
        <v/>
      </c>
      <c r="L2168" s="41">
        <f>IFERROR(J2168/H2168,"")</f>
        <v/>
      </c>
      <c r="M2168" s="25" t="inlineStr">
        <is>
          <t>2.5.12</t>
        </is>
      </c>
      <c r="N2168" s="25">
        <f>IF(J2168&gt;300,1,0)</f>
        <v/>
      </c>
      <c r="O2168" s="25">
        <f>IF(J2168&gt;600,1,0)</f>
        <v/>
      </c>
      <c r="P2168" s="25">
        <f>IF(H2168&gt;0,J2168,"")</f>
        <v/>
      </c>
      <c r="Q2168" s="25">
        <f>TEXT(A2168,"YYYY-MM-DD HH")</f>
        <v/>
      </c>
      <c r="R2168" s="25">
        <f>COUNTIF($Q$2:$Q$5295,Q2168)</f>
        <v/>
      </c>
      <c r="S2168" s="25">
        <f>IF(R2168&lt;=2,"1-2",IF(R2168&lt;=5,"3-5",IF(R2168&lt;=10,"6-10","11+")))</f>
        <v/>
      </c>
    </row>
    <row r="2169">
      <c r="A2169" s="39" t="n">
        <v>46179.45619212963</v>
      </c>
      <c r="B2169" s="25">
        <f>TEXT(A2169,"YYYY-MM")</f>
        <v/>
      </c>
      <c r="C2169" s="25">
        <f>TEXT(A2169,"MMM-YYYY")</f>
        <v/>
      </c>
      <c r="D2169" s="40">
        <f>INT(A2169)-WEEKDAY(A2169,2)+1</f>
        <v/>
      </c>
      <c r="E2169" s="25" t="inlineStr">
        <is>
          <t>hsindwani</t>
        </is>
      </c>
      <c r="F2169" s="25" t="n">
        <v>124050</v>
      </c>
      <c r="G2169" s="25" t="n">
        <v>1</v>
      </c>
      <c r="H2169" s="25" t="n">
        <v>7</v>
      </c>
      <c r="I2169" s="25" t="inlineStr">
        <is>
          <t>7 minute(s) and 24 second(s)</t>
        </is>
      </c>
      <c r="J2169" s="25">
        <f>IFERROR(VALUE(TRIM(LEFT(I2169,FIND("minute",I2169)-1)))*60,0)+IFERROR(VALUE(SUBSTITUTE(MID(I2169,IFERROR(FIND("and",I2169)+3,1),20),"second(s)","")),0)</f>
        <v/>
      </c>
      <c r="K2169" s="41">
        <f>J2169/60</f>
        <v/>
      </c>
      <c r="L2169" s="41">
        <f>IFERROR(J2169/H2169,"")</f>
        <v/>
      </c>
      <c r="M2169" s="25" t="inlineStr">
        <is>
          <t>2.5.12</t>
        </is>
      </c>
      <c r="N2169" s="25">
        <f>IF(J2169&gt;300,1,0)</f>
        <v/>
      </c>
      <c r="O2169" s="25">
        <f>IF(J2169&gt;600,1,0)</f>
        <v/>
      </c>
      <c r="P2169" s="25">
        <f>IF(H2169&gt;0,J2169,"")</f>
        <v/>
      </c>
      <c r="Q2169" s="25">
        <f>TEXT(A2169,"YYYY-MM-DD HH")</f>
        <v/>
      </c>
      <c r="R2169" s="25">
        <f>COUNTIF($Q$2:$Q$5295,Q2169)</f>
        <v/>
      </c>
      <c r="S2169" s="25">
        <f>IF(R2169&lt;=2,"1-2",IF(R2169&lt;=5,"3-5",IF(R2169&lt;=10,"6-10","11+")))</f>
        <v/>
      </c>
    </row>
    <row r="2170">
      <c r="A2170" s="39" t="n">
        <v>46179.45672453703</v>
      </c>
      <c r="B2170" s="25">
        <f>TEXT(A2170,"YYYY-MM")</f>
        <v/>
      </c>
      <c r="C2170" s="25">
        <f>TEXT(A2170,"MMM-YYYY")</f>
        <v/>
      </c>
      <c r="D2170" s="40">
        <f>INT(A2170)-WEEKDAY(A2170,2)+1</f>
        <v/>
      </c>
      <c r="E2170" s="25" t="inlineStr">
        <is>
          <t>rts</t>
        </is>
      </c>
      <c r="F2170" s="25" t="n">
        <v>89970</v>
      </c>
      <c r="G2170" s="25" t="n">
        <v>3</v>
      </c>
      <c r="H2170" s="25" t="n">
        <v>20</v>
      </c>
      <c r="I2170" s="25" t="inlineStr">
        <is>
          <t>8 minute(s) and 14 second(s)</t>
        </is>
      </c>
      <c r="J2170" s="25">
        <f>IFERROR(VALUE(TRIM(LEFT(I2170,FIND("minute",I2170)-1)))*60,0)+IFERROR(VALUE(SUBSTITUTE(MID(I2170,IFERROR(FIND("and",I2170)+3,1),20),"second(s)","")),0)</f>
        <v/>
      </c>
      <c r="K2170" s="41">
        <f>J2170/60</f>
        <v/>
      </c>
      <c r="L2170" s="41">
        <f>IFERROR(J2170/H2170,"")</f>
        <v/>
      </c>
      <c r="M2170" s="25" t="inlineStr">
        <is>
          <t>2.5.12</t>
        </is>
      </c>
      <c r="N2170" s="25">
        <f>IF(J2170&gt;300,1,0)</f>
        <v/>
      </c>
      <c r="O2170" s="25">
        <f>IF(J2170&gt;600,1,0)</f>
        <v/>
      </c>
      <c r="P2170" s="25">
        <f>IF(H2170&gt;0,J2170,"")</f>
        <v/>
      </c>
      <c r="Q2170" s="25">
        <f>TEXT(A2170,"YYYY-MM-DD HH")</f>
        <v/>
      </c>
      <c r="R2170" s="25">
        <f>COUNTIF($Q$2:$Q$5295,Q2170)</f>
        <v/>
      </c>
      <c r="S2170" s="25">
        <f>IF(R2170&lt;=2,"1-2",IF(R2170&lt;=5,"3-5",IF(R2170&lt;=10,"6-10","11+")))</f>
        <v/>
      </c>
    </row>
    <row r="2171">
      <c r="A2171" s="39" t="n">
        <v>46179.53607638889</v>
      </c>
      <c r="B2171" s="25">
        <f>TEXT(A2171,"YYYY-MM")</f>
        <v/>
      </c>
      <c r="C2171" s="25">
        <f>TEXT(A2171,"MMM-YYYY")</f>
        <v/>
      </c>
      <c r="D2171" s="40">
        <f>INT(A2171)-WEEKDAY(A2171,2)+1</f>
        <v/>
      </c>
      <c r="E2171" s="25" t="inlineStr">
        <is>
          <t>rts</t>
        </is>
      </c>
      <c r="F2171" s="25" t="n">
        <v>89997</v>
      </c>
      <c r="G2171" s="25" t="n">
        <v>3</v>
      </c>
      <c r="H2171" s="25" t="n">
        <v>15</v>
      </c>
      <c r="I2171" s="25" t="inlineStr">
        <is>
          <t>6 minute(s) and 24 second(s)</t>
        </is>
      </c>
      <c r="J2171" s="25">
        <f>IFERROR(VALUE(TRIM(LEFT(I2171,FIND("minute",I2171)-1)))*60,0)+IFERROR(VALUE(SUBSTITUTE(MID(I2171,IFERROR(FIND("and",I2171)+3,1),20),"second(s)","")),0)</f>
        <v/>
      </c>
      <c r="K2171" s="41">
        <f>J2171/60</f>
        <v/>
      </c>
      <c r="L2171" s="41">
        <f>IFERROR(J2171/H2171,"")</f>
        <v/>
      </c>
      <c r="M2171" s="25" t="inlineStr">
        <is>
          <t>2.5.12</t>
        </is>
      </c>
      <c r="N2171" s="25">
        <f>IF(J2171&gt;300,1,0)</f>
        <v/>
      </c>
      <c r="O2171" s="25">
        <f>IF(J2171&gt;600,1,0)</f>
        <v/>
      </c>
      <c r="P2171" s="25">
        <f>IF(H2171&gt;0,J2171,"")</f>
        <v/>
      </c>
      <c r="Q2171" s="25">
        <f>TEXT(A2171,"YYYY-MM-DD HH")</f>
        <v/>
      </c>
      <c r="R2171" s="25">
        <f>COUNTIF($Q$2:$Q$5295,Q2171)</f>
        <v/>
      </c>
      <c r="S2171" s="25">
        <f>IF(R2171&lt;=2,"1-2",IF(R2171&lt;=5,"3-5",IF(R2171&lt;=10,"6-10","11+")))</f>
        <v/>
      </c>
    </row>
    <row r="2172">
      <c r="A2172" s="39" t="n">
        <v>46179.60054398148</v>
      </c>
      <c r="B2172" s="25">
        <f>TEXT(A2172,"YYYY-MM")</f>
        <v/>
      </c>
      <c r="C2172" s="25">
        <f>TEXT(A2172,"MMM-YYYY")</f>
        <v/>
      </c>
      <c r="D2172" s="40">
        <f>INT(A2172)-WEEKDAY(A2172,2)+1</f>
        <v/>
      </c>
      <c r="E2172" s="25" t="inlineStr">
        <is>
          <t>dchoudhury</t>
        </is>
      </c>
      <c r="F2172" s="25" t="n">
        <v>123055</v>
      </c>
      <c r="G2172" s="25" t="n">
        <v>2</v>
      </c>
      <c r="H2172" s="25" t="n">
        <v>10</v>
      </c>
      <c r="I2172" s="25" t="inlineStr">
        <is>
          <t>2 minute(s) and 58 second(s)</t>
        </is>
      </c>
      <c r="J2172" s="25">
        <f>IFERROR(VALUE(TRIM(LEFT(I2172,FIND("minute",I2172)-1)))*60,0)+IFERROR(VALUE(SUBSTITUTE(MID(I2172,IFERROR(FIND("and",I2172)+3,1),20),"second(s)","")),0)</f>
        <v/>
      </c>
      <c r="K2172" s="41">
        <f>J2172/60</f>
        <v/>
      </c>
      <c r="L2172" s="41">
        <f>IFERROR(J2172/H2172,"")</f>
        <v/>
      </c>
      <c r="M2172" s="25" t="inlineStr">
        <is>
          <t>2.5.12</t>
        </is>
      </c>
      <c r="N2172" s="25">
        <f>IF(J2172&gt;300,1,0)</f>
        <v/>
      </c>
      <c r="O2172" s="25">
        <f>IF(J2172&gt;600,1,0)</f>
        <v/>
      </c>
      <c r="P2172" s="25">
        <f>IF(H2172&gt;0,J2172,"")</f>
        <v/>
      </c>
      <c r="Q2172" s="25">
        <f>TEXT(A2172,"YYYY-MM-DD HH")</f>
        <v/>
      </c>
      <c r="R2172" s="25">
        <f>COUNTIF($Q$2:$Q$5295,Q2172)</f>
        <v/>
      </c>
      <c r="S2172" s="25">
        <f>IF(R2172&lt;=2,"1-2",IF(R2172&lt;=5,"3-5",IF(R2172&lt;=10,"6-10","11+")))</f>
        <v/>
      </c>
    </row>
    <row r="2173">
      <c r="A2173" s="39" t="n">
        <v>46179.6987962963</v>
      </c>
      <c r="B2173" s="25">
        <f>TEXT(A2173,"YYYY-MM")</f>
        <v/>
      </c>
      <c r="C2173" s="25">
        <f>TEXT(A2173,"MMM-YYYY")</f>
        <v/>
      </c>
      <c r="D2173" s="40">
        <f>INT(A2173)-WEEKDAY(A2173,2)+1</f>
        <v/>
      </c>
      <c r="E2173" s="25" t="inlineStr">
        <is>
          <t>sswati</t>
        </is>
      </c>
      <c r="F2173" s="25" t="n">
        <v>121878</v>
      </c>
      <c r="G2173" s="25" t="n">
        <v>4</v>
      </c>
      <c r="H2173" s="25" t="n">
        <v>18</v>
      </c>
      <c r="I2173" s="25" t="inlineStr">
        <is>
          <t>6 minute(s) and 57 second(s)</t>
        </is>
      </c>
      <c r="J2173" s="25">
        <f>IFERROR(VALUE(TRIM(LEFT(I2173,FIND("minute",I2173)-1)))*60,0)+IFERROR(VALUE(SUBSTITUTE(MID(I2173,IFERROR(FIND("and",I2173)+3,1),20),"second(s)","")),0)</f>
        <v/>
      </c>
      <c r="K2173" s="41">
        <f>J2173/60</f>
        <v/>
      </c>
      <c r="L2173" s="41">
        <f>IFERROR(J2173/H2173,"")</f>
        <v/>
      </c>
      <c r="M2173" s="25" t="inlineStr">
        <is>
          <t>2.5.12</t>
        </is>
      </c>
      <c r="N2173" s="25">
        <f>IF(J2173&gt;300,1,0)</f>
        <v/>
      </c>
      <c r="O2173" s="25">
        <f>IF(J2173&gt;600,1,0)</f>
        <v/>
      </c>
      <c r="P2173" s="25">
        <f>IF(H2173&gt;0,J2173,"")</f>
        <v/>
      </c>
      <c r="Q2173" s="25">
        <f>TEXT(A2173,"YYYY-MM-DD HH")</f>
        <v/>
      </c>
      <c r="R2173" s="25">
        <f>COUNTIF($Q$2:$Q$5295,Q2173)</f>
        <v/>
      </c>
      <c r="S2173" s="25">
        <f>IF(R2173&lt;=2,"1-2",IF(R2173&lt;=5,"3-5",IF(R2173&lt;=10,"6-10","11+")))</f>
        <v/>
      </c>
    </row>
    <row r="2174">
      <c r="A2174" s="39" t="n">
        <v>46179.70650462963</v>
      </c>
      <c r="B2174" s="25">
        <f>TEXT(A2174,"YYYY-MM")</f>
        <v/>
      </c>
      <c r="C2174" s="25">
        <f>TEXT(A2174,"MMM-YYYY")</f>
        <v/>
      </c>
      <c r="D2174" s="40">
        <f>INT(A2174)-WEEKDAY(A2174,2)+1</f>
        <v/>
      </c>
      <c r="E2174" s="25" t="inlineStr">
        <is>
          <t>dchoudhury</t>
        </is>
      </c>
      <c r="F2174" s="25" t="n">
        <v>122260</v>
      </c>
      <c r="G2174" s="25" t="n">
        <v>4</v>
      </c>
      <c r="H2174" s="25" t="n">
        <v>16</v>
      </c>
      <c r="I2174" s="25" t="inlineStr">
        <is>
          <t>4 minute(s) and 17 second(s)</t>
        </is>
      </c>
      <c r="J2174" s="25">
        <f>IFERROR(VALUE(TRIM(LEFT(I2174,FIND("minute",I2174)-1)))*60,0)+IFERROR(VALUE(SUBSTITUTE(MID(I2174,IFERROR(FIND("and",I2174)+3,1),20),"second(s)","")),0)</f>
        <v/>
      </c>
      <c r="K2174" s="41">
        <f>J2174/60</f>
        <v/>
      </c>
      <c r="L2174" s="41">
        <f>IFERROR(J2174/H2174,"")</f>
        <v/>
      </c>
      <c r="M2174" s="25" t="inlineStr">
        <is>
          <t>2.5.12</t>
        </is>
      </c>
      <c r="N2174" s="25">
        <f>IF(J2174&gt;300,1,0)</f>
        <v/>
      </c>
      <c r="O2174" s="25">
        <f>IF(J2174&gt;600,1,0)</f>
        <v/>
      </c>
      <c r="P2174" s="25">
        <f>IF(H2174&gt;0,J2174,"")</f>
        <v/>
      </c>
      <c r="Q2174" s="25">
        <f>TEXT(A2174,"YYYY-MM-DD HH")</f>
        <v/>
      </c>
      <c r="R2174" s="25">
        <f>COUNTIF($Q$2:$Q$5295,Q2174)</f>
        <v/>
      </c>
      <c r="S2174" s="25">
        <f>IF(R2174&lt;=2,"1-2",IF(R2174&lt;=5,"3-5",IF(R2174&lt;=10,"6-10","11+")))</f>
        <v/>
      </c>
    </row>
    <row r="2175">
      <c r="A2175" s="39" t="n">
        <v>46179.77767361111</v>
      </c>
      <c r="B2175" s="25">
        <f>TEXT(A2175,"YYYY-MM")</f>
        <v/>
      </c>
      <c r="C2175" s="25">
        <f>TEXT(A2175,"MMM-YYYY")</f>
        <v/>
      </c>
      <c r="D2175" s="40">
        <f>INT(A2175)-WEEKDAY(A2175,2)+1</f>
        <v/>
      </c>
      <c r="E2175" s="25" t="inlineStr">
        <is>
          <t>sswati</t>
        </is>
      </c>
      <c r="F2175" s="25" t="n">
        <v>125052</v>
      </c>
      <c r="G2175" s="25" t="n">
        <v>3</v>
      </c>
      <c r="H2175" s="25" t="n">
        <v>15</v>
      </c>
      <c r="I2175" s="25" t="inlineStr">
        <is>
          <t>6 minute(s) and 27 second(s)</t>
        </is>
      </c>
      <c r="J2175" s="25">
        <f>IFERROR(VALUE(TRIM(LEFT(I2175,FIND("minute",I2175)-1)))*60,0)+IFERROR(VALUE(SUBSTITUTE(MID(I2175,IFERROR(FIND("and",I2175)+3,1),20),"second(s)","")),0)</f>
        <v/>
      </c>
      <c r="K2175" s="41">
        <f>J2175/60</f>
        <v/>
      </c>
      <c r="L2175" s="41">
        <f>IFERROR(J2175/H2175,"")</f>
        <v/>
      </c>
      <c r="M2175" s="25" t="inlineStr">
        <is>
          <t>2.5.12</t>
        </is>
      </c>
      <c r="N2175" s="25">
        <f>IF(J2175&gt;300,1,0)</f>
        <v/>
      </c>
      <c r="O2175" s="25">
        <f>IF(J2175&gt;600,1,0)</f>
        <v/>
      </c>
      <c r="P2175" s="25">
        <f>IF(H2175&gt;0,J2175,"")</f>
        <v/>
      </c>
      <c r="Q2175" s="25">
        <f>TEXT(A2175,"YYYY-MM-DD HH")</f>
        <v/>
      </c>
      <c r="R2175" s="25">
        <f>COUNTIF($Q$2:$Q$5295,Q2175)</f>
        <v/>
      </c>
      <c r="S2175" s="25">
        <f>IF(R2175&lt;=2,"1-2",IF(R2175&lt;=5,"3-5",IF(R2175&lt;=10,"6-10","11+")))</f>
        <v/>
      </c>
    </row>
    <row r="2176">
      <c r="A2176" s="39" t="n">
        <v>46179.86876157407</v>
      </c>
      <c r="B2176" s="25">
        <f>TEXT(A2176,"YYYY-MM")</f>
        <v/>
      </c>
      <c r="C2176" s="25">
        <f>TEXT(A2176,"MMM-YYYY")</f>
        <v/>
      </c>
      <c r="D2176" s="40">
        <f>INT(A2176)-WEEKDAY(A2176,2)+1</f>
        <v/>
      </c>
      <c r="E2176" s="25" t="inlineStr">
        <is>
          <t>ssarkar</t>
        </is>
      </c>
      <c r="F2176" s="25" t="n">
        <v>104081</v>
      </c>
      <c r="G2176" s="25" t="n">
        <v>1</v>
      </c>
      <c r="H2176" s="25" t="n">
        <v>7</v>
      </c>
      <c r="I2176" s="25" t="inlineStr">
        <is>
          <t>3 minute(s) and 14 second(s)</t>
        </is>
      </c>
      <c r="J2176" s="25">
        <f>IFERROR(VALUE(TRIM(LEFT(I2176,FIND("minute",I2176)-1)))*60,0)+IFERROR(VALUE(SUBSTITUTE(MID(I2176,IFERROR(FIND("and",I2176)+3,1),20),"second(s)","")),0)</f>
        <v/>
      </c>
      <c r="K2176" s="41">
        <f>J2176/60</f>
        <v/>
      </c>
      <c r="L2176" s="41">
        <f>IFERROR(J2176/H2176,"")</f>
        <v/>
      </c>
      <c r="M2176" s="25" t="inlineStr">
        <is>
          <t>2.5.12</t>
        </is>
      </c>
      <c r="N2176" s="25">
        <f>IF(J2176&gt;300,1,0)</f>
        <v/>
      </c>
      <c r="O2176" s="25">
        <f>IF(J2176&gt;600,1,0)</f>
        <v/>
      </c>
      <c r="P2176" s="25">
        <f>IF(H2176&gt;0,J2176,"")</f>
        <v/>
      </c>
      <c r="Q2176" s="25">
        <f>TEXT(A2176,"YYYY-MM-DD HH")</f>
        <v/>
      </c>
      <c r="R2176" s="25">
        <f>COUNTIF($Q$2:$Q$5295,Q2176)</f>
        <v/>
      </c>
      <c r="S2176" s="25">
        <f>IF(R2176&lt;=2,"1-2",IF(R2176&lt;=5,"3-5",IF(R2176&lt;=10,"6-10","11+")))</f>
        <v/>
      </c>
    </row>
    <row r="2177">
      <c r="A2177" s="39" t="n">
        <v>46179.90447916667</v>
      </c>
      <c r="B2177" s="25">
        <f>TEXT(A2177,"YYYY-MM")</f>
        <v/>
      </c>
      <c r="C2177" s="25">
        <f>TEXT(A2177,"MMM-YYYY")</f>
        <v/>
      </c>
      <c r="D2177" s="40">
        <f>INT(A2177)-WEEKDAY(A2177,2)+1</f>
        <v/>
      </c>
      <c r="E2177" s="25" t="inlineStr">
        <is>
          <t>sswati</t>
        </is>
      </c>
      <c r="F2177" s="25" t="n">
        <v>125460</v>
      </c>
      <c r="G2177" s="25" t="n">
        <v>2</v>
      </c>
      <c r="H2177" s="25" t="n">
        <v>7</v>
      </c>
      <c r="I2177" s="25" t="inlineStr">
        <is>
          <t>2 minute(s) and 59 second(s)</t>
        </is>
      </c>
      <c r="J2177" s="25">
        <f>IFERROR(VALUE(TRIM(LEFT(I2177,FIND("minute",I2177)-1)))*60,0)+IFERROR(VALUE(SUBSTITUTE(MID(I2177,IFERROR(FIND("and",I2177)+3,1),20),"second(s)","")),0)</f>
        <v/>
      </c>
      <c r="K2177" s="41">
        <f>J2177/60</f>
        <v/>
      </c>
      <c r="L2177" s="41">
        <f>IFERROR(J2177/H2177,"")</f>
        <v/>
      </c>
      <c r="M2177" s="25" t="inlineStr">
        <is>
          <t>2.5.12</t>
        </is>
      </c>
      <c r="N2177" s="25">
        <f>IF(J2177&gt;300,1,0)</f>
        <v/>
      </c>
      <c r="O2177" s="25">
        <f>IF(J2177&gt;600,1,0)</f>
        <v/>
      </c>
      <c r="P2177" s="25">
        <f>IF(H2177&gt;0,J2177,"")</f>
        <v/>
      </c>
      <c r="Q2177" s="25">
        <f>TEXT(A2177,"YYYY-MM-DD HH")</f>
        <v/>
      </c>
      <c r="R2177" s="25">
        <f>COUNTIF($Q$2:$Q$5295,Q2177)</f>
        <v/>
      </c>
      <c r="S2177" s="25">
        <f>IF(R2177&lt;=2,"1-2",IF(R2177&lt;=5,"3-5",IF(R2177&lt;=10,"6-10","11+")))</f>
        <v/>
      </c>
    </row>
    <row r="2178">
      <c r="A2178" s="39" t="n">
        <v>46179.90508101852</v>
      </c>
      <c r="B2178" s="25">
        <f>TEXT(A2178,"YYYY-MM")</f>
        <v/>
      </c>
      <c r="C2178" s="25">
        <f>TEXT(A2178,"MMM-YYYY")</f>
        <v/>
      </c>
      <c r="D2178" s="40">
        <f>INT(A2178)-WEEKDAY(A2178,2)+1</f>
        <v/>
      </c>
      <c r="E2178" s="25" t="inlineStr">
        <is>
          <t>dchoudhury</t>
        </is>
      </c>
      <c r="F2178" s="25" t="n">
        <v>122128</v>
      </c>
      <c r="G2178" s="25" t="n">
        <v>4</v>
      </c>
      <c r="H2178" s="25" t="n">
        <v>16</v>
      </c>
      <c r="I2178" s="25" t="inlineStr">
        <is>
          <t>4 minute(s) and 32 second(s)</t>
        </is>
      </c>
      <c r="J2178" s="25">
        <f>IFERROR(VALUE(TRIM(LEFT(I2178,FIND("minute",I2178)-1)))*60,0)+IFERROR(VALUE(SUBSTITUTE(MID(I2178,IFERROR(FIND("and",I2178)+3,1),20),"second(s)","")),0)</f>
        <v/>
      </c>
      <c r="K2178" s="41">
        <f>J2178/60</f>
        <v/>
      </c>
      <c r="L2178" s="41">
        <f>IFERROR(J2178/H2178,"")</f>
        <v/>
      </c>
      <c r="M2178" s="25" t="inlineStr">
        <is>
          <t>2.5.12</t>
        </is>
      </c>
      <c r="N2178" s="25">
        <f>IF(J2178&gt;300,1,0)</f>
        <v/>
      </c>
      <c r="O2178" s="25">
        <f>IF(J2178&gt;600,1,0)</f>
        <v/>
      </c>
      <c r="P2178" s="25">
        <f>IF(H2178&gt;0,J2178,"")</f>
        <v/>
      </c>
      <c r="Q2178" s="25">
        <f>TEXT(A2178,"YYYY-MM-DD HH")</f>
        <v/>
      </c>
      <c r="R2178" s="25">
        <f>COUNTIF($Q$2:$Q$5295,Q2178)</f>
        <v/>
      </c>
      <c r="S2178" s="25">
        <f>IF(R2178&lt;=2,"1-2",IF(R2178&lt;=5,"3-5",IF(R2178&lt;=10,"6-10","11+")))</f>
        <v/>
      </c>
    </row>
    <row r="2179">
      <c r="A2179" s="39" t="n">
        <v>46179.94137731481</v>
      </c>
      <c r="B2179" s="25">
        <f>TEXT(A2179,"YYYY-MM")</f>
        <v/>
      </c>
      <c r="C2179" s="25">
        <f>TEXT(A2179,"MMM-YYYY")</f>
        <v/>
      </c>
      <c r="D2179" s="40">
        <f>INT(A2179)-WEEKDAY(A2179,2)+1</f>
        <v/>
      </c>
      <c r="E2179" s="25" t="inlineStr">
        <is>
          <t>ssarkar</t>
        </is>
      </c>
      <c r="F2179" s="25" t="n">
        <v>124807</v>
      </c>
      <c r="G2179" s="25" t="n">
        <v>4</v>
      </c>
      <c r="H2179" s="25" t="n">
        <v>16</v>
      </c>
      <c r="I2179" s="25" t="inlineStr">
        <is>
          <t>6 minute(s) and 28 second(s)</t>
        </is>
      </c>
      <c r="J2179" s="25">
        <f>IFERROR(VALUE(TRIM(LEFT(I2179,FIND("minute",I2179)-1)))*60,0)+IFERROR(VALUE(SUBSTITUTE(MID(I2179,IFERROR(FIND("and",I2179)+3,1),20),"second(s)","")),0)</f>
        <v/>
      </c>
      <c r="K2179" s="41">
        <f>J2179/60</f>
        <v/>
      </c>
      <c r="L2179" s="41">
        <f>IFERROR(J2179/H2179,"")</f>
        <v/>
      </c>
      <c r="M2179" s="25" t="inlineStr">
        <is>
          <t>2.5.12</t>
        </is>
      </c>
      <c r="N2179" s="25">
        <f>IF(J2179&gt;300,1,0)</f>
        <v/>
      </c>
      <c r="O2179" s="25">
        <f>IF(J2179&gt;600,1,0)</f>
        <v/>
      </c>
      <c r="P2179" s="25">
        <f>IF(H2179&gt;0,J2179,"")</f>
        <v/>
      </c>
      <c r="Q2179" s="25">
        <f>TEXT(A2179,"YYYY-MM-DD HH")</f>
        <v/>
      </c>
      <c r="R2179" s="25">
        <f>COUNTIF($Q$2:$Q$5295,Q2179)</f>
        <v/>
      </c>
      <c r="S2179" s="25">
        <f>IF(R2179&lt;=2,"1-2",IF(R2179&lt;=5,"3-5",IF(R2179&lt;=10,"6-10","11+")))</f>
        <v/>
      </c>
    </row>
    <row r="2180">
      <c r="A2180" s="39" t="n">
        <v>46179.94819444444</v>
      </c>
      <c r="B2180" s="25">
        <f>TEXT(A2180,"YYYY-MM")</f>
        <v/>
      </c>
      <c r="C2180" s="25">
        <f>TEXT(A2180,"MMM-YYYY")</f>
        <v/>
      </c>
      <c r="D2180" s="40">
        <f>INT(A2180)-WEEKDAY(A2180,2)+1</f>
        <v/>
      </c>
      <c r="E2180" s="25" t="inlineStr">
        <is>
          <t>sswati</t>
        </is>
      </c>
      <c r="F2180" s="25" t="n">
        <v>125416</v>
      </c>
      <c r="G2180" s="25" t="n">
        <v>2</v>
      </c>
      <c r="H2180" s="25" t="n">
        <v>8</v>
      </c>
      <c r="I2180" s="25" t="inlineStr">
        <is>
          <t>4 minute(s) and 3 second(s)</t>
        </is>
      </c>
      <c r="J2180" s="25">
        <f>IFERROR(VALUE(TRIM(LEFT(I2180,FIND("minute",I2180)-1)))*60,0)+IFERROR(VALUE(SUBSTITUTE(MID(I2180,IFERROR(FIND("and",I2180)+3,1),20),"second(s)","")),0)</f>
        <v/>
      </c>
      <c r="K2180" s="41">
        <f>J2180/60</f>
        <v/>
      </c>
      <c r="L2180" s="41">
        <f>IFERROR(J2180/H2180,"")</f>
        <v/>
      </c>
      <c r="M2180" s="25" t="inlineStr">
        <is>
          <t>2.5.12</t>
        </is>
      </c>
      <c r="N2180" s="25">
        <f>IF(J2180&gt;300,1,0)</f>
        <v/>
      </c>
      <c r="O2180" s="25">
        <f>IF(J2180&gt;600,1,0)</f>
        <v/>
      </c>
      <c r="P2180" s="25">
        <f>IF(H2180&gt;0,J2180,"")</f>
        <v/>
      </c>
      <c r="Q2180" s="25">
        <f>TEXT(A2180,"YYYY-MM-DD HH")</f>
        <v/>
      </c>
      <c r="R2180" s="25">
        <f>COUNTIF($Q$2:$Q$5295,Q2180)</f>
        <v/>
      </c>
      <c r="S2180" s="25">
        <f>IF(R2180&lt;=2,"1-2",IF(R2180&lt;=5,"3-5",IF(R2180&lt;=10,"6-10","11+")))</f>
        <v/>
      </c>
    </row>
    <row r="2181">
      <c r="A2181" s="39" t="n">
        <v>46179.96196759259</v>
      </c>
      <c r="B2181" s="25">
        <f>TEXT(A2181,"YYYY-MM")</f>
        <v/>
      </c>
      <c r="C2181" s="25">
        <f>TEXT(A2181,"MMM-YYYY")</f>
        <v/>
      </c>
      <c r="D2181" s="40">
        <f>INT(A2181)-WEEKDAY(A2181,2)+1</f>
        <v/>
      </c>
      <c r="E2181" s="25" t="inlineStr">
        <is>
          <t>dchoudhury</t>
        </is>
      </c>
      <c r="F2181" s="25" t="n">
        <v>122190</v>
      </c>
      <c r="G2181" s="25" t="n">
        <v>4</v>
      </c>
      <c r="H2181" s="25" t="n">
        <v>16</v>
      </c>
      <c r="I2181" s="25" t="inlineStr">
        <is>
          <t>5 minute(s) and 43 second(s)</t>
        </is>
      </c>
      <c r="J2181" s="25">
        <f>IFERROR(VALUE(TRIM(LEFT(I2181,FIND("minute",I2181)-1)))*60,0)+IFERROR(VALUE(SUBSTITUTE(MID(I2181,IFERROR(FIND("and",I2181)+3,1),20),"second(s)","")),0)</f>
        <v/>
      </c>
      <c r="K2181" s="41">
        <f>J2181/60</f>
        <v/>
      </c>
      <c r="L2181" s="41">
        <f>IFERROR(J2181/H2181,"")</f>
        <v/>
      </c>
      <c r="M2181" s="25" t="inlineStr">
        <is>
          <t>2.5.12</t>
        </is>
      </c>
      <c r="N2181" s="25">
        <f>IF(J2181&gt;300,1,0)</f>
        <v/>
      </c>
      <c r="O2181" s="25">
        <f>IF(J2181&gt;600,1,0)</f>
        <v/>
      </c>
      <c r="P2181" s="25">
        <f>IF(H2181&gt;0,J2181,"")</f>
        <v/>
      </c>
      <c r="Q2181" s="25">
        <f>TEXT(A2181,"YYYY-MM-DD HH")</f>
        <v/>
      </c>
      <c r="R2181" s="25">
        <f>COUNTIF($Q$2:$Q$5295,Q2181)</f>
        <v/>
      </c>
      <c r="S2181" s="25">
        <f>IF(R2181&lt;=2,"1-2",IF(R2181&lt;=5,"3-5",IF(R2181&lt;=10,"6-10","11+")))</f>
        <v/>
      </c>
    </row>
    <row r="2182">
      <c r="A2182" s="39" t="n">
        <v>46181.016875</v>
      </c>
      <c r="B2182" s="25">
        <f>TEXT(A2182,"YYYY-MM")</f>
        <v/>
      </c>
      <c r="C2182" s="25">
        <f>TEXT(A2182,"MMM-YYYY")</f>
        <v/>
      </c>
      <c r="D2182" s="40">
        <f>INT(A2182)-WEEKDAY(A2182,2)+1</f>
        <v/>
      </c>
      <c r="E2182" s="25" t="inlineStr">
        <is>
          <t>smukhopadhyay</t>
        </is>
      </c>
      <c r="F2182" s="25" t="n">
        <v>122322</v>
      </c>
      <c r="G2182" s="25" t="n">
        <v>1</v>
      </c>
      <c r="H2182" s="25" t="n">
        <v>7</v>
      </c>
      <c r="I2182" s="25" t="inlineStr">
        <is>
          <t>3 minute(s) and 14 second(s)</t>
        </is>
      </c>
      <c r="J2182" s="25">
        <f>IFERROR(VALUE(TRIM(LEFT(I2182,FIND("minute",I2182)-1)))*60,0)+IFERROR(VALUE(SUBSTITUTE(MID(I2182,IFERROR(FIND("and",I2182)+3,1),20),"second(s)","")),0)</f>
        <v/>
      </c>
      <c r="K2182" s="41">
        <f>J2182/60</f>
        <v/>
      </c>
      <c r="L2182" s="41">
        <f>IFERROR(J2182/H2182,"")</f>
        <v/>
      </c>
      <c r="M2182" s="25" t="inlineStr">
        <is>
          <t>2.5.12</t>
        </is>
      </c>
      <c r="N2182" s="25">
        <f>IF(J2182&gt;300,1,0)</f>
        <v/>
      </c>
      <c r="O2182" s="25">
        <f>IF(J2182&gt;600,1,0)</f>
        <v/>
      </c>
      <c r="P2182" s="25">
        <f>IF(H2182&gt;0,J2182,"")</f>
        <v/>
      </c>
      <c r="Q2182" s="25">
        <f>TEXT(A2182,"YYYY-MM-DD HH")</f>
        <v/>
      </c>
      <c r="R2182" s="25">
        <f>COUNTIF($Q$2:$Q$5295,Q2182)</f>
        <v/>
      </c>
      <c r="S2182" s="25">
        <f>IF(R2182&lt;=2,"1-2",IF(R2182&lt;=5,"3-5",IF(R2182&lt;=10,"6-10","11+")))</f>
        <v/>
      </c>
    </row>
    <row r="2183">
      <c r="A2183" s="39" t="n">
        <v>46181.07865740741</v>
      </c>
      <c r="B2183" s="25">
        <f>TEXT(A2183,"YYYY-MM")</f>
        <v/>
      </c>
      <c r="C2183" s="25">
        <f>TEXT(A2183,"MMM-YYYY")</f>
        <v/>
      </c>
      <c r="D2183" s="40">
        <f>INT(A2183)-WEEKDAY(A2183,2)+1</f>
        <v/>
      </c>
      <c r="E2183" s="25" t="inlineStr">
        <is>
          <t>smukhopadhyay</t>
        </is>
      </c>
      <c r="F2183" s="25" t="n">
        <v>122886</v>
      </c>
      <c r="G2183" s="25" t="n">
        <v>2</v>
      </c>
      <c r="H2183" s="25" t="n">
        <v>14</v>
      </c>
      <c r="I2183" s="25" t="inlineStr">
        <is>
          <t>7 minute(s) and 30 second(s)</t>
        </is>
      </c>
      <c r="J2183" s="25">
        <f>IFERROR(VALUE(TRIM(LEFT(I2183,FIND("minute",I2183)-1)))*60,0)+IFERROR(VALUE(SUBSTITUTE(MID(I2183,IFERROR(FIND("and",I2183)+3,1),20),"second(s)","")),0)</f>
        <v/>
      </c>
      <c r="K2183" s="41">
        <f>J2183/60</f>
        <v/>
      </c>
      <c r="L2183" s="41">
        <f>IFERROR(J2183/H2183,"")</f>
        <v/>
      </c>
      <c r="M2183" s="25" t="inlineStr">
        <is>
          <t>2.5.12</t>
        </is>
      </c>
      <c r="N2183" s="25">
        <f>IF(J2183&gt;300,1,0)</f>
        <v/>
      </c>
      <c r="O2183" s="25">
        <f>IF(J2183&gt;600,1,0)</f>
        <v/>
      </c>
      <c r="P2183" s="25">
        <f>IF(H2183&gt;0,J2183,"")</f>
        <v/>
      </c>
      <c r="Q2183" s="25">
        <f>TEXT(A2183,"YYYY-MM-DD HH")</f>
        <v/>
      </c>
      <c r="R2183" s="25">
        <f>COUNTIF($Q$2:$Q$5295,Q2183)</f>
        <v/>
      </c>
      <c r="S2183" s="25">
        <f>IF(R2183&lt;=2,"1-2",IF(R2183&lt;=5,"3-5",IF(R2183&lt;=10,"6-10","11+")))</f>
        <v/>
      </c>
    </row>
    <row r="2184">
      <c r="A2184" s="39" t="n">
        <v>46181.09319444445</v>
      </c>
      <c r="B2184" s="25">
        <f>TEXT(A2184,"YYYY-MM")</f>
        <v/>
      </c>
      <c r="C2184" s="25">
        <f>TEXT(A2184,"MMM-YYYY")</f>
        <v/>
      </c>
      <c r="D2184" s="40">
        <f>INT(A2184)-WEEKDAY(A2184,2)+1</f>
        <v/>
      </c>
      <c r="E2184" s="25" t="inlineStr">
        <is>
          <t>stiwari</t>
        </is>
      </c>
      <c r="F2184" s="25" t="n">
        <v>122198</v>
      </c>
      <c r="G2184" s="25" t="n">
        <v>2</v>
      </c>
      <c r="H2184" s="25" t="n">
        <v>8</v>
      </c>
      <c r="I2184" s="25" t="inlineStr">
        <is>
          <t>1 minute(s) and 49 second(s)</t>
        </is>
      </c>
      <c r="J2184" s="25">
        <f>IFERROR(VALUE(TRIM(LEFT(I2184,FIND("minute",I2184)-1)))*60,0)+IFERROR(VALUE(SUBSTITUTE(MID(I2184,IFERROR(FIND("and",I2184)+3,1),20),"second(s)","")),0)</f>
        <v/>
      </c>
      <c r="K2184" s="41">
        <f>J2184/60</f>
        <v/>
      </c>
      <c r="L2184" s="41">
        <f>IFERROR(J2184/H2184,"")</f>
        <v/>
      </c>
      <c r="M2184" s="25" t="inlineStr">
        <is>
          <t>2.5.12</t>
        </is>
      </c>
      <c r="N2184" s="25">
        <f>IF(J2184&gt;300,1,0)</f>
        <v/>
      </c>
      <c r="O2184" s="25">
        <f>IF(J2184&gt;600,1,0)</f>
        <v/>
      </c>
      <c r="P2184" s="25">
        <f>IF(H2184&gt;0,J2184,"")</f>
        <v/>
      </c>
      <c r="Q2184" s="25">
        <f>TEXT(A2184,"YYYY-MM-DD HH")</f>
        <v/>
      </c>
      <c r="R2184" s="25">
        <f>COUNTIF($Q$2:$Q$5295,Q2184)</f>
        <v/>
      </c>
      <c r="S2184" s="25">
        <f>IF(R2184&lt;=2,"1-2",IF(R2184&lt;=5,"3-5",IF(R2184&lt;=10,"6-10","11+")))</f>
        <v/>
      </c>
    </row>
    <row r="2185">
      <c r="A2185" s="39" t="n">
        <v>46181.12319444444</v>
      </c>
      <c r="B2185" s="25">
        <f>TEXT(A2185,"YYYY-MM")</f>
        <v/>
      </c>
      <c r="C2185" s="25">
        <f>TEXT(A2185,"MMM-YYYY")</f>
        <v/>
      </c>
      <c r="D2185" s="40">
        <f>INT(A2185)-WEEKDAY(A2185,2)+1</f>
        <v/>
      </c>
      <c r="E2185" s="25" t="inlineStr">
        <is>
          <t>aupadhayay</t>
        </is>
      </c>
      <c r="F2185" s="25" t="n">
        <v>125699</v>
      </c>
      <c r="G2185" s="25" t="n">
        <v>4</v>
      </c>
      <c r="H2185" s="25" t="n">
        <v>14</v>
      </c>
      <c r="I2185" s="25" t="inlineStr">
        <is>
          <t>5 minute(s) and 1 second(s)</t>
        </is>
      </c>
      <c r="J2185" s="25">
        <f>IFERROR(VALUE(TRIM(LEFT(I2185,FIND("minute",I2185)-1)))*60,0)+IFERROR(VALUE(SUBSTITUTE(MID(I2185,IFERROR(FIND("and",I2185)+3,1),20),"second(s)","")),0)</f>
        <v/>
      </c>
      <c r="K2185" s="41">
        <f>J2185/60</f>
        <v/>
      </c>
      <c r="L2185" s="41">
        <f>IFERROR(J2185/H2185,"")</f>
        <v/>
      </c>
      <c r="M2185" s="25" t="inlineStr">
        <is>
          <t>2.5.12</t>
        </is>
      </c>
      <c r="N2185" s="25">
        <f>IF(J2185&gt;300,1,0)</f>
        <v/>
      </c>
      <c r="O2185" s="25">
        <f>IF(J2185&gt;600,1,0)</f>
        <v/>
      </c>
      <c r="P2185" s="25">
        <f>IF(H2185&gt;0,J2185,"")</f>
        <v/>
      </c>
      <c r="Q2185" s="25">
        <f>TEXT(A2185,"YYYY-MM-DD HH")</f>
        <v/>
      </c>
      <c r="R2185" s="25">
        <f>COUNTIF($Q$2:$Q$5295,Q2185)</f>
        <v/>
      </c>
      <c r="S2185" s="25">
        <f>IF(R2185&lt;=2,"1-2",IF(R2185&lt;=5,"3-5",IF(R2185&lt;=10,"6-10","11+")))</f>
        <v/>
      </c>
    </row>
    <row r="2186">
      <c r="A2186" s="39" t="n">
        <v>46181.12505787037</v>
      </c>
      <c r="B2186" s="25">
        <f>TEXT(A2186,"YYYY-MM")</f>
        <v/>
      </c>
      <c r="C2186" s="25">
        <f>TEXT(A2186,"MMM-YYYY")</f>
        <v/>
      </c>
      <c r="D2186" s="40">
        <f>INT(A2186)-WEEKDAY(A2186,2)+1</f>
        <v/>
      </c>
      <c r="E2186" s="25" t="inlineStr">
        <is>
          <t>dchoudhury</t>
        </is>
      </c>
      <c r="F2186" s="25" t="n">
        <v>121476</v>
      </c>
      <c r="G2186" s="25" t="n">
        <v>4</v>
      </c>
      <c r="H2186" s="25" t="n">
        <v>18</v>
      </c>
      <c r="I2186" s="25" t="inlineStr">
        <is>
          <t>5 minute(s) and 34 second(s)</t>
        </is>
      </c>
      <c r="J2186" s="25">
        <f>IFERROR(VALUE(TRIM(LEFT(I2186,FIND("minute",I2186)-1)))*60,0)+IFERROR(VALUE(SUBSTITUTE(MID(I2186,IFERROR(FIND("and",I2186)+3,1),20),"second(s)","")),0)</f>
        <v/>
      </c>
      <c r="K2186" s="41">
        <f>J2186/60</f>
        <v/>
      </c>
      <c r="L2186" s="41">
        <f>IFERROR(J2186/H2186,"")</f>
        <v/>
      </c>
      <c r="M2186" s="25" t="inlineStr">
        <is>
          <t>2.5.12</t>
        </is>
      </c>
      <c r="N2186" s="25">
        <f>IF(J2186&gt;300,1,0)</f>
        <v/>
      </c>
      <c r="O2186" s="25">
        <f>IF(J2186&gt;600,1,0)</f>
        <v/>
      </c>
      <c r="P2186" s="25">
        <f>IF(H2186&gt;0,J2186,"")</f>
        <v/>
      </c>
      <c r="Q2186" s="25">
        <f>TEXT(A2186,"YYYY-MM-DD HH")</f>
        <v/>
      </c>
      <c r="R2186" s="25">
        <f>COUNTIF($Q$2:$Q$5295,Q2186)</f>
        <v/>
      </c>
      <c r="S2186" s="25">
        <f>IF(R2186&lt;=2,"1-2",IF(R2186&lt;=5,"3-5",IF(R2186&lt;=10,"6-10","11+")))</f>
        <v/>
      </c>
    </row>
    <row r="2187">
      <c r="A2187" s="39" t="n">
        <v>46181.12572916667</v>
      </c>
      <c r="B2187" s="25">
        <f>TEXT(A2187,"YYYY-MM")</f>
        <v/>
      </c>
      <c r="C2187" s="25">
        <f>TEXT(A2187,"MMM-YYYY")</f>
        <v/>
      </c>
      <c r="D2187" s="40">
        <f>INT(A2187)-WEEKDAY(A2187,2)+1</f>
        <v/>
      </c>
      <c r="E2187" s="25" t="inlineStr">
        <is>
          <t>schoppakatla</t>
        </is>
      </c>
      <c r="F2187" s="25" t="n">
        <v>16864</v>
      </c>
      <c r="G2187" s="25" t="n">
        <v>1</v>
      </c>
      <c r="H2187" s="25" t="n">
        <v>7</v>
      </c>
      <c r="I2187" s="25" t="inlineStr">
        <is>
          <t>4 minute(s) and 27 second(s)</t>
        </is>
      </c>
      <c r="J2187" s="25">
        <f>IFERROR(VALUE(TRIM(LEFT(I2187,FIND("minute",I2187)-1)))*60,0)+IFERROR(VALUE(SUBSTITUTE(MID(I2187,IFERROR(FIND("and",I2187)+3,1),20),"second(s)","")),0)</f>
        <v/>
      </c>
      <c r="K2187" s="41">
        <f>J2187/60</f>
        <v/>
      </c>
      <c r="L2187" s="41">
        <f>IFERROR(J2187/H2187,"")</f>
        <v/>
      </c>
      <c r="M2187" s="25" t="inlineStr">
        <is>
          <t>2.5.12</t>
        </is>
      </c>
      <c r="N2187" s="25">
        <f>IF(J2187&gt;300,1,0)</f>
        <v/>
      </c>
      <c r="O2187" s="25">
        <f>IF(J2187&gt;600,1,0)</f>
        <v/>
      </c>
      <c r="P2187" s="25">
        <f>IF(H2187&gt;0,J2187,"")</f>
        <v/>
      </c>
      <c r="Q2187" s="25">
        <f>TEXT(A2187,"YYYY-MM-DD HH")</f>
        <v/>
      </c>
      <c r="R2187" s="25">
        <f>COUNTIF($Q$2:$Q$5295,Q2187)</f>
        <v/>
      </c>
      <c r="S2187" s="25">
        <f>IF(R2187&lt;=2,"1-2",IF(R2187&lt;=5,"3-5",IF(R2187&lt;=10,"6-10","11+")))</f>
        <v/>
      </c>
    </row>
    <row r="2188">
      <c r="A2188" s="39" t="n">
        <v>46181.13300925926</v>
      </c>
      <c r="B2188" s="25">
        <f>TEXT(A2188,"YYYY-MM")</f>
        <v/>
      </c>
      <c r="C2188" s="25">
        <f>TEXT(A2188,"MMM-YYYY")</f>
        <v/>
      </c>
      <c r="D2188" s="40">
        <f>INT(A2188)-WEEKDAY(A2188,2)+1</f>
        <v/>
      </c>
      <c r="E2188" s="25" t="inlineStr">
        <is>
          <t>apriyadarshi</t>
        </is>
      </c>
      <c r="F2188" s="25" t="n">
        <v>122092</v>
      </c>
      <c r="G2188" s="25" t="n">
        <v>5</v>
      </c>
      <c r="H2188" s="25" t="n">
        <v>27</v>
      </c>
      <c r="I2188" s="25" t="inlineStr">
        <is>
          <t>6 minute(s) and 23 second(s)</t>
        </is>
      </c>
      <c r="J2188" s="25">
        <f>IFERROR(VALUE(TRIM(LEFT(I2188,FIND("minute",I2188)-1)))*60,0)+IFERROR(VALUE(SUBSTITUTE(MID(I2188,IFERROR(FIND("and",I2188)+3,1),20),"second(s)","")),0)</f>
        <v/>
      </c>
      <c r="K2188" s="41">
        <f>J2188/60</f>
        <v/>
      </c>
      <c r="L2188" s="41">
        <f>IFERROR(J2188/H2188,"")</f>
        <v/>
      </c>
      <c r="M2188" s="25" t="inlineStr">
        <is>
          <t>2.5.12</t>
        </is>
      </c>
      <c r="N2188" s="25">
        <f>IF(J2188&gt;300,1,0)</f>
        <v/>
      </c>
      <c r="O2188" s="25">
        <f>IF(J2188&gt;600,1,0)</f>
        <v/>
      </c>
      <c r="P2188" s="25">
        <f>IF(H2188&gt;0,J2188,"")</f>
        <v/>
      </c>
      <c r="Q2188" s="25">
        <f>TEXT(A2188,"YYYY-MM-DD HH")</f>
        <v/>
      </c>
      <c r="R2188" s="25">
        <f>COUNTIF($Q$2:$Q$5295,Q2188)</f>
        <v/>
      </c>
      <c r="S2188" s="25">
        <f>IF(R2188&lt;=2,"1-2",IF(R2188&lt;=5,"3-5",IF(R2188&lt;=10,"6-10","11+")))</f>
        <v/>
      </c>
    </row>
    <row r="2189">
      <c r="A2189" s="39" t="n">
        <v>46181.13790509259</v>
      </c>
      <c r="B2189" s="25">
        <f>TEXT(A2189,"YYYY-MM")</f>
        <v/>
      </c>
      <c r="C2189" s="25">
        <f>TEXT(A2189,"MMM-YYYY")</f>
        <v/>
      </c>
      <c r="D2189" s="40">
        <f>INT(A2189)-WEEKDAY(A2189,2)+1</f>
        <v/>
      </c>
      <c r="E2189" s="25" t="inlineStr">
        <is>
          <t>stiwari</t>
        </is>
      </c>
      <c r="F2189" s="25" t="n">
        <v>122197</v>
      </c>
      <c r="G2189" s="25" t="n">
        <v>4</v>
      </c>
      <c r="H2189" s="25" t="n">
        <v>14</v>
      </c>
      <c r="I2189" s="25" t="inlineStr">
        <is>
          <t>2 minute(s) and 48 second(s)</t>
        </is>
      </c>
      <c r="J2189" s="25">
        <f>IFERROR(VALUE(TRIM(LEFT(I2189,FIND("minute",I2189)-1)))*60,0)+IFERROR(VALUE(SUBSTITUTE(MID(I2189,IFERROR(FIND("and",I2189)+3,1),20),"second(s)","")),0)</f>
        <v/>
      </c>
      <c r="K2189" s="41">
        <f>J2189/60</f>
        <v/>
      </c>
      <c r="L2189" s="41">
        <f>IFERROR(J2189/H2189,"")</f>
        <v/>
      </c>
      <c r="M2189" s="25" t="inlineStr">
        <is>
          <t>2.5.12</t>
        </is>
      </c>
      <c r="N2189" s="25">
        <f>IF(J2189&gt;300,1,0)</f>
        <v/>
      </c>
      <c r="O2189" s="25">
        <f>IF(J2189&gt;600,1,0)</f>
        <v/>
      </c>
      <c r="P2189" s="25">
        <f>IF(H2189&gt;0,J2189,"")</f>
        <v/>
      </c>
      <c r="Q2189" s="25">
        <f>TEXT(A2189,"YYYY-MM-DD HH")</f>
        <v/>
      </c>
      <c r="R2189" s="25">
        <f>COUNTIF($Q$2:$Q$5295,Q2189)</f>
        <v/>
      </c>
      <c r="S2189" s="25">
        <f>IF(R2189&lt;=2,"1-2",IF(R2189&lt;=5,"3-5",IF(R2189&lt;=10,"6-10","11+")))</f>
        <v/>
      </c>
    </row>
    <row r="2190">
      <c r="A2190" s="39" t="n">
        <v>46181.13976851852</v>
      </c>
      <c r="B2190" s="25">
        <f>TEXT(A2190,"YYYY-MM")</f>
        <v/>
      </c>
      <c r="C2190" s="25">
        <f>TEXT(A2190,"MMM-YYYY")</f>
        <v/>
      </c>
      <c r="D2190" s="40">
        <f>INT(A2190)-WEEKDAY(A2190,2)+1</f>
        <v/>
      </c>
      <c r="E2190" s="25" t="inlineStr">
        <is>
          <t>sswati</t>
        </is>
      </c>
      <c r="F2190" s="25" t="n">
        <v>122228</v>
      </c>
      <c r="G2190" s="25" t="n">
        <v>1</v>
      </c>
      <c r="H2190" s="25" t="n">
        <v>5</v>
      </c>
      <c r="I2190" s="25" t="inlineStr">
        <is>
          <t>4 minute(s) and 36 second(s)</t>
        </is>
      </c>
      <c r="J2190" s="25">
        <f>IFERROR(VALUE(TRIM(LEFT(I2190,FIND("minute",I2190)-1)))*60,0)+IFERROR(VALUE(SUBSTITUTE(MID(I2190,IFERROR(FIND("and",I2190)+3,1),20),"second(s)","")),0)</f>
        <v/>
      </c>
      <c r="K2190" s="41">
        <f>J2190/60</f>
        <v/>
      </c>
      <c r="L2190" s="41">
        <f>IFERROR(J2190/H2190,"")</f>
        <v/>
      </c>
      <c r="M2190" s="25" t="inlineStr">
        <is>
          <t>2.5.12</t>
        </is>
      </c>
      <c r="N2190" s="25">
        <f>IF(J2190&gt;300,1,0)</f>
        <v/>
      </c>
      <c r="O2190" s="25">
        <f>IF(J2190&gt;600,1,0)</f>
        <v/>
      </c>
      <c r="P2190" s="25">
        <f>IF(H2190&gt;0,J2190,"")</f>
        <v/>
      </c>
      <c r="Q2190" s="25">
        <f>TEXT(A2190,"YYYY-MM-DD HH")</f>
        <v/>
      </c>
      <c r="R2190" s="25">
        <f>COUNTIF($Q$2:$Q$5295,Q2190)</f>
        <v/>
      </c>
      <c r="S2190" s="25">
        <f>IF(R2190&lt;=2,"1-2",IF(R2190&lt;=5,"3-5",IF(R2190&lt;=10,"6-10","11+")))</f>
        <v/>
      </c>
    </row>
    <row r="2191">
      <c r="A2191" s="39" t="n">
        <v>46181.14509259259</v>
      </c>
      <c r="B2191" s="25">
        <f>TEXT(A2191,"YYYY-MM")</f>
        <v/>
      </c>
      <c r="C2191" s="25">
        <f>TEXT(A2191,"MMM-YYYY")</f>
        <v/>
      </c>
      <c r="D2191" s="40">
        <f>INT(A2191)-WEEKDAY(A2191,2)+1</f>
        <v/>
      </c>
      <c r="E2191" s="25" t="inlineStr">
        <is>
          <t>stiwari</t>
        </is>
      </c>
      <c r="F2191" s="25" t="n">
        <v>122197</v>
      </c>
      <c r="G2191" s="25" t="n">
        <v>4</v>
      </c>
      <c r="H2191" s="25" t="n">
        <v>16</v>
      </c>
      <c r="I2191" s="25" t="inlineStr">
        <is>
          <t>5 minute(s) and 42 second(s)</t>
        </is>
      </c>
      <c r="J2191" s="25">
        <f>IFERROR(VALUE(TRIM(LEFT(I2191,FIND("minute",I2191)-1)))*60,0)+IFERROR(VALUE(SUBSTITUTE(MID(I2191,IFERROR(FIND("and",I2191)+3,1),20),"second(s)","")),0)</f>
        <v/>
      </c>
      <c r="K2191" s="41">
        <f>J2191/60</f>
        <v/>
      </c>
      <c r="L2191" s="41">
        <f>IFERROR(J2191/H2191,"")</f>
        <v/>
      </c>
      <c r="M2191" s="25" t="inlineStr">
        <is>
          <t>2.5.12</t>
        </is>
      </c>
      <c r="N2191" s="25">
        <f>IF(J2191&gt;300,1,0)</f>
        <v/>
      </c>
      <c r="O2191" s="25">
        <f>IF(J2191&gt;600,1,0)</f>
        <v/>
      </c>
      <c r="P2191" s="25">
        <f>IF(H2191&gt;0,J2191,"")</f>
        <v/>
      </c>
      <c r="Q2191" s="25">
        <f>TEXT(A2191,"YYYY-MM-DD HH")</f>
        <v/>
      </c>
      <c r="R2191" s="25">
        <f>COUNTIF($Q$2:$Q$5295,Q2191)</f>
        <v/>
      </c>
      <c r="S2191" s="25">
        <f>IF(R2191&lt;=2,"1-2",IF(R2191&lt;=5,"3-5",IF(R2191&lt;=10,"6-10","11+")))</f>
        <v/>
      </c>
    </row>
    <row r="2192">
      <c r="A2192" s="39" t="n">
        <v>46181.15467592593</v>
      </c>
      <c r="B2192" s="25">
        <f>TEXT(A2192,"YYYY-MM")</f>
        <v/>
      </c>
      <c r="C2192" s="25">
        <f>TEXT(A2192,"MMM-YYYY")</f>
        <v/>
      </c>
      <c r="D2192" s="40">
        <f>INT(A2192)-WEEKDAY(A2192,2)+1</f>
        <v/>
      </c>
      <c r="E2192" s="25" t="inlineStr">
        <is>
          <t>ns</t>
        </is>
      </c>
      <c r="F2192" s="25" t="n">
        <v>121622</v>
      </c>
      <c r="G2192" s="25" t="n">
        <v>1</v>
      </c>
      <c r="H2192" s="25" t="n">
        <v>5</v>
      </c>
      <c r="I2192" s="25" t="inlineStr">
        <is>
          <t>1 minute(s) and 27 second(s)</t>
        </is>
      </c>
      <c r="J2192" s="25">
        <f>IFERROR(VALUE(TRIM(LEFT(I2192,FIND("minute",I2192)-1)))*60,0)+IFERROR(VALUE(SUBSTITUTE(MID(I2192,IFERROR(FIND("and",I2192)+3,1),20),"second(s)","")),0)</f>
        <v/>
      </c>
      <c r="K2192" s="41">
        <f>J2192/60</f>
        <v/>
      </c>
      <c r="L2192" s="41">
        <f>IFERROR(J2192/H2192,"")</f>
        <v/>
      </c>
      <c r="M2192" s="25" t="inlineStr">
        <is>
          <t>2.5.12</t>
        </is>
      </c>
      <c r="N2192" s="25">
        <f>IF(J2192&gt;300,1,0)</f>
        <v/>
      </c>
      <c r="O2192" s="25">
        <f>IF(J2192&gt;600,1,0)</f>
        <v/>
      </c>
      <c r="P2192" s="25">
        <f>IF(H2192&gt;0,J2192,"")</f>
        <v/>
      </c>
      <c r="Q2192" s="25">
        <f>TEXT(A2192,"YYYY-MM-DD HH")</f>
        <v/>
      </c>
      <c r="R2192" s="25">
        <f>COUNTIF($Q$2:$Q$5295,Q2192)</f>
        <v/>
      </c>
      <c r="S2192" s="25">
        <f>IF(R2192&lt;=2,"1-2",IF(R2192&lt;=5,"3-5",IF(R2192&lt;=10,"6-10","11+")))</f>
        <v/>
      </c>
    </row>
    <row r="2193">
      <c r="A2193" s="39" t="n">
        <v>46181.15542824074</v>
      </c>
      <c r="B2193" s="25">
        <f>TEXT(A2193,"YYYY-MM")</f>
        <v/>
      </c>
      <c r="C2193" s="25">
        <f>TEXT(A2193,"MMM-YYYY")</f>
        <v/>
      </c>
      <c r="D2193" s="40">
        <f>INT(A2193)-WEEKDAY(A2193,2)+1</f>
        <v/>
      </c>
      <c r="E2193" s="25" t="inlineStr">
        <is>
          <t>mgupta</t>
        </is>
      </c>
      <c r="F2193" s="25" t="n">
        <v>102978</v>
      </c>
      <c r="G2193" s="25" t="n">
        <v>5</v>
      </c>
      <c r="H2193" s="25" t="n">
        <v>19</v>
      </c>
      <c r="I2193" s="25" t="inlineStr">
        <is>
          <t>6 minute(s) and 35 second(s)</t>
        </is>
      </c>
      <c r="J2193" s="25">
        <f>IFERROR(VALUE(TRIM(LEFT(I2193,FIND("minute",I2193)-1)))*60,0)+IFERROR(VALUE(SUBSTITUTE(MID(I2193,IFERROR(FIND("and",I2193)+3,1),20),"second(s)","")),0)</f>
        <v/>
      </c>
      <c r="K2193" s="41">
        <f>J2193/60</f>
        <v/>
      </c>
      <c r="L2193" s="41">
        <f>IFERROR(J2193/H2193,"")</f>
        <v/>
      </c>
      <c r="M2193" s="25" t="inlineStr">
        <is>
          <t>2.5.12</t>
        </is>
      </c>
      <c r="N2193" s="25">
        <f>IF(J2193&gt;300,1,0)</f>
        <v/>
      </c>
      <c r="O2193" s="25">
        <f>IF(J2193&gt;600,1,0)</f>
        <v/>
      </c>
      <c r="P2193" s="25">
        <f>IF(H2193&gt;0,J2193,"")</f>
        <v/>
      </c>
      <c r="Q2193" s="25">
        <f>TEXT(A2193,"YYYY-MM-DD HH")</f>
        <v/>
      </c>
      <c r="R2193" s="25">
        <f>COUNTIF($Q$2:$Q$5295,Q2193)</f>
        <v/>
      </c>
      <c r="S2193" s="25">
        <f>IF(R2193&lt;=2,"1-2",IF(R2193&lt;=5,"3-5",IF(R2193&lt;=10,"6-10","11+")))</f>
        <v/>
      </c>
    </row>
    <row r="2194">
      <c r="A2194" s="39" t="n">
        <v>46181.15917824074</v>
      </c>
      <c r="B2194" s="25">
        <f>TEXT(A2194,"YYYY-MM")</f>
        <v/>
      </c>
      <c r="C2194" s="25">
        <f>TEXT(A2194,"MMM-YYYY")</f>
        <v/>
      </c>
      <c r="D2194" s="40">
        <f>INT(A2194)-WEEKDAY(A2194,2)+1</f>
        <v/>
      </c>
      <c r="E2194" s="25" t="inlineStr">
        <is>
          <t>aghosh</t>
        </is>
      </c>
      <c r="F2194" s="25" t="n">
        <v>121533</v>
      </c>
      <c r="G2194" s="25" t="n">
        <v>1</v>
      </c>
      <c r="H2194" s="25" t="n">
        <v>5</v>
      </c>
      <c r="I2194" s="25" t="inlineStr">
        <is>
          <t>4 minute(s) and 27 second(s)</t>
        </is>
      </c>
      <c r="J2194" s="25">
        <f>IFERROR(VALUE(TRIM(LEFT(I2194,FIND("minute",I2194)-1)))*60,0)+IFERROR(VALUE(SUBSTITUTE(MID(I2194,IFERROR(FIND("and",I2194)+3,1),20),"second(s)","")),0)</f>
        <v/>
      </c>
      <c r="K2194" s="41">
        <f>J2194/60</f>
        <v/>
      </c>
      <c r="L2194" s="41">
        <f>IFERROR(J2194/H2194,"")</f>
        <v/>
      </c>
      <c r="M2194" s="25" t="inlineStr">
        <is>
          <t>2.5.12</t>
        </is>
      </c>
      <c r="N2194" s="25">
        <f>IF(J2194&gt;300,1,0)</f>
        <v/>
      </c>
      <c r="O2194" s="25">
        <f>IF(J2194&gt;600,1,0)</f>
        <v/>
      </c>
      <c r="P2194" s="25">
        <f>IF(H2194&gt;0,J2194,"")</f>
        <v/>
      </c>
      <c r="Q2194" s="25">
        <f>TEXT(A2194,"YYYY-MM-DD HH")</f>
        <v/>
      </c>
      <c r="R2194" s="25">
        <f>COUNTIF($Q$2:$Q$5295,Q2194)</f>
        <v/>
      </c>
      <c r="S2194" s="25">
        <f>IF(R2194&lt;=2,"1-2",IF(R2194&lt;=5,"3-5",IF(R2194&lt;=10,"6-10","11+")))</f>
        <v/>
      </c>
    </row>
    <row r="2195">
      <c r="A2195" s="39" t="n">
        <v>46181.16076388889</v>
      </c>
      <c r="B2195" s="25">
        <f>TEXT(A2195,"YYYY-MM")</f>
        <v/>
      </c>
      <c r="C2195" s="25">
        <f>TEXT(A2195,"MMM-YYYY")</f>
        <v/>
      </c>
      <c r="D2195" s="40">
        <f>INT(A2195)-WEEKDAY(A2195,2)+1</f>
        <v/>
      </c>
      <c r="E2195" s="25" t="inlineStr">
        <is>
          <t>vprasad</t>
        </is>
      </c>
      <c r="F2195" s="25" t="n">
        <v>89941</v>
      </c>
      <c r="G2195" s="25" t="n">
        <v>2</v>
      </c>
      <c r="H2195" s="25" t="n">
        <v>8</v>
      </c>
      <c r="I2195" s="25" t="inlineStr">
        <is>
          <t>1 minute(s) and 50 second(s)</t>
        </is>
      </c>
      <c r="J2195" s="25">
        <f>IFERROR(VALUE(TRIM(LEFT(I2195,FIND("minute",I2195)-1)))*60,0)+IFERROR(VALUE(SUBSTITUTE(MID(I2195,IFERROR(FIND("and",I2195)+3,1),20),"second(s)","")),0)</f>
        <v/>
      </c>
      <c r="K2195" s="41">
        <f>J2195/60</f>
        <v/>
      </c>
      <c r="L2195" s="41">
        <f>IFERROR(J2195/H2195,"")</f>
        <v/>
      </c>
      <c r="M2195" s="25" t="inlineStr">
        <is>
          <t>2.5.12</t>
        </is>
      </c>
      <c r="N2195" s="25">
        <f>IF(J2195&gt;300,1,0)</f>
        <v/>
      </c>
      <c r="O2195" s="25">
        <f>IF(J2195&gt;600,1,0)</f>
        <v/>
      </c>
      <c r="P2195" s="25">
        <f>IF(H2195&gt;0,J2195,"")</f>
        <v/>
      </c>
      <c r="Q2195" s="25">
        <f>TEXT(A2195,"YYYY-MM-DD HH")</f>
        <v/>
      </c>
      <c r="R2195" s="25">
        <f>COUNTIF($Q$2:$Q$5295,Q2195)</f>
        <v/>
      </c>
      <c r="S2195" s="25">
        <f>IF(R2195&lt;=2,"1-2",IF(R2195&lt;=5,"3-5",IF(R2195&lt;=10,"6-10","11+")))</f>
        <v/>
      </c>
    </row>
    <row r="2196">
      <c r="A2196" s="39" t="n">
        <v>46181.16364583333</v>
      </c>
      <c r="B2196" s="25">
        <f>TEXT(A2196,"YYYY-MM")</f>
        <v/>
      </c>
      <c r="C2196" s="25">
        <f>TEXT(A2196,"MMM-YYYY")</f>
        <v/>
      </c>
      <c r="D2196" s="40">
        <f>INT(A2196)-WEEKDAY(A2196,2)+1</f>
        <v/>
      </c>
      <c r="E2196" s="25" t="inlineStr">
        <is>
          <t>psathwika</t>
        </is>
      </c>
      <c r="F2196" s="25" t="n">
        <v>121727</v>
      </c>
      <c r="G2196" s="25" t="n">
        <v>3</v>
      </c>
      <c r="H2196" s="25" t="n">
        <v>15</v>
      </c>
      <c r="I2196" s="25" t="inlineStr">
        <is>
          <t>4 minute(s) and 23 second(s)</t>
        </is>
      </c>
      <c r="J2196" s="25">
        <f>IFERROR(VALUE(TRIM(LEFT(I2196,FIND("minute",I2196)-1)))*60,0)+IFERROR(VALUE(SUBSTITUTE(MID(I2196,IFERROR(FIND("and",I2196)+3,1),20),"second(s)","")),0)</f>
        <v/>
      </c>
      <c r="K2196" s="41">
        <f>J2196/60</f>
        <v/>
      </c>
      <c r="L2196" s="41">
        <f>IFERROR(J2196/H2196,"")</f>
        <v/>
      </c>
      <c r="M2196" s="25" t="inlineStr">
        <is>
          <t>2.5.12</t>
        </is>
      </c>
      <c r="N2196" s="25">
        <f>IF(J2196&gt;300,1,0)</f>
        <v/>
      </c>
      <c r="O2196" s="25">
        <f>IF(J2196&gt;600,1,0)</f>
        <v/>
      </c>
      <c r="P2196" s="25">
        <f>IF(H2196&gt;0,J2196,"")</f>
        <v/>
      </c>
      <c r="Q2196" s="25">
        <f>TEXT(A2196,"YYYY-MM-DD HH")</f>
        <v/>
      </c>
      <c r="R2196" s="25">
        <f>COUNTIF($Q$2:$Q$5295,Q2196)</f>
        <v/>
      </c>
      <c r="S2196" s="25">
        <f>IF(R2196&lt;=2,"1-2",IF(R2196&lt;=5,"3-5",IF(R2196&lt;=10,"6-10","11+")))</f>
        <v/>
      </c>
    </row>
    <row r="2197">
      <c r="A2197" s="39" t="n">
        <v>46181.16641203704</v>
      </c>
      <c r="B2197" s="25">
        <f>TEXT(A2197,"YYYY-MM")</f>
        <v/>
      </c>
      <c r="C2197" s="25">
        <f>TEXT(A2197,"MMM-YYYY")</f>
        <v/>
      </c>
      <c r="D2197" s="40">
        <f>INT(A2197)-WEEKDAY(A2197,2)+1</f>
        <v/>
      </c>
      <c r="E2197" s="25" t="inlineStr">
        <is>
          <t>aghosh</t>
        </is>
      </c>
      <c r="F2197" s="25" t="n">
        <v>121533</v>
      </c>
      <c r="G2197" s="25" t="n">
        <v>1</v>
      </c>
      <c r="H2197" s="25" t="n">
        <v>5</v>
      </c>
      <c r="I2197" s="25" t="inlineStr">
        <is>
          <t>1 minute(s) and 20 second(s)</t>
        </is>
      </c>
      <c r="J2197" s="25">
        <f>IFERROR(VALUE(TRIM(LEFT(I2197,FIND("minute",I2197)-1)))*60,0)+IFERROR(VALUE(SUBSTITUTE(MID(I2197,IFERROR(FIND("and",I2197)+3,1),20),"second(s)","")),0)</f>
        <v/>
      </c>
      <c r="K2197" s="41">
        <f>J2197/60</f>
        <v/>
      </c>
      <c r="L2197" s="41">
        <f>IFERROR(J2197/H2197,"")</f>
        <v/>
      </c>
      <c r="M2197" s="25" t="inlineStr">
        <is>
          <t>2.5.12</t>
        </is>
      </c>
      <c r="N2197" s="25">
        <f>IF(J2197&gt;300,1,0)</f>
        <v/>
      </c>
      <c r="O2197" s="25">
        <f>IF(J2197&gt;600,1,0)</f>
        <v/>
      </c>
      <c r="P2197" s="25">
        <f>IF(H2197&gt;0,J2197,"")</f>
        <v/>
      </c>
      <c r="Q2197" s="25">
        <f>TEXT(A2197,"YYYY-MM-DD HH")</f>
        <v/>
      </c>
      <c r="R2197" s="25">
        <f>COUNTIF($Q$2:$Q$5295,Q2197)</f>
        <v/>
      </c>
      <c r="S2197" s="25">
        <f>IF(R2197&lt;=2,"1-2",IF(R2197&lt;=5,"3-5",IF(R2197&lt;=10,"6-10","11+")))</f>
        <v/>
      </c>
    </row>
    <row r="2198">
      <c r="A2198" s="39" t="n">
        <v>46181.16861111111</v>
      </c>
      <c r="B2198" s="25">
        <f>TEXT(A2198,"YYYY-MM")</f>
        <v/>
      </c>
      <c r="C2198" s="25">
        <f>TEXT(A2198,"MMM-YYYY")</f>
        <v/>
      </c>
      <c r="D2198" s="40">
        <f>INT(A2198)-WEEKDAY(A2198,2)+1</f>
        <v/>
      </c>
      <c r="E2198" s="25" t="inlineStr">
        <is>
          <t>ssarkar</t>
        </is>
      </c>
      <c r="F2198" s="25" t="n">
        <v>122045</v>
      </c>
      <c r="G2198" s="25" t="n">
        <v>2</v>
      </c>
      <c r="H2198" s="25" t="n">
        <v>10</v>
      </c>
      <c r="I2198" s="25" t="inlineStr">
        <is>
          <t>3 minute(s) and 10 second(s)</t>
        </is>
      </c>
      <c r="J2198" s="25">
        <f>IFERROR(VALUE(TRIM(LEFT(I2198,FIND("minute",I2198)-1)))*60,0)+IFERROR(VALUE(SUBSTITUTE(MID(I2198,IFERROR(FIND("and",I2198)+3,1),20),"second(s)","")),0)</f>
        <v/>
      </c>
      <c r="K2198" s="41">
        <f>J2198/60</f>
        <v/>
      </c>
      <c r="L2198" s="41">
        <f>IFERROR(J2198/H2198,"")</f>
        <v/>
      </c>
      <c r="M2198" s="25" t="inlineStr">
        <is>
          <t>2.5.12</t>
        </is>
      </c>
      <c r="N2198" s="25">
        <f>IF(J2198&gt;300,1,0)</f>
        <v/>
      </c>
      <c r="O2198" s="25">
        <f>IF(J2198&gt;600,1,0)</f>
        <v/>
      </c>
      <c r="P2198" s="25">
        <f>IF(H2198&gt;0,J2198,"")</f>
        <v/>
      </c>
      <c r="Q2198" s="25">
        <f>TEXT(A2198,"YYYY-MM-DD HH")</f>
        <v/>
      </c>
      <c r="R2198" s="25">
        <f>COUNTIF($Q$2:$Q$5295,Q2198)</f>
        <v/>
      </c>
      <c r="S2198" s="25">
        <f>IF(R2198&lt;=2,"1-2",IF(R2198&lt;=5,"3-5",IF(R2198&lt;=10,"6-10","11+")))</f>
        <v/>
      </c>
    </row>
    <row r="2199">
      <c r="A2199" s="39" t="n">
        <v>46181.17072916667</v>
      </c>
      <c r="B2199" s="25">
        <f>TEXT(A2199,"YYYY-MM")</f>
        <v/>
      </c>
      <c r="C2199" s="25">
        <f>TEXT(A2199,"MMM-YYYY")</f>
        <v/>
      </c>
      <c r="D2199" s="40">
        <f>INT(A2199)-WEEKDAY(A2199,2)+1</f>
        <v/>
      </c>
      <c r="E2199" s="25" t="inlineStr">
        <is>
          <t>stiwari</t>
        </is>
      </c>
      <c r="F2199" s="25" t="n">
        <v>122196</v>
      </c>
      <c r="G2199" s="25" t="n">
        <v>4</v>
      </c>
      <c r="H2199" s="25" t="n">
        <v>18</v>
      </c>
      <c r="I2199" s="25" t="inlineStr">
        <is>
          <t>5 minute(s) and 11 second(s)</t>
        </is>
      </c>
      <c r="J2199" s="25">
        <f>IFERROR(VALUE(TRIM(LEFT(I2199,FIND("minute",I2199)-1)))*60,0)+IFERROR(VALUE(SUBSTITUTE(MID(I2199,IFERROR(FIND("and",I2199)+3,1),20),"second(s)","")),0)</f>
        <v/>
      </c>
      <c r="K2199" s="41">
        <f>J2199/60</f>
        <v/>
      </c>
      <c r="L2199" s="41">
        <f>IFERROR(J2199/H2199,"")</f>
        <v/>
      </c>
      <c r="M2199" s="25" t="inlineStr">
        <is>
          <t>2.5.12</t>
        </is>
      </c>
      <c r="N2199" s="25">
        <f>IF(J2199&gt;300,1,0)</f>
        <v/>
      </c>
      <c r="O2199" s="25">
        <f>IF(J2199&gt;600,1,0)</f>
        <v/>
      </c>
      <c r="P2199" s="25">
        <f>IF(H2199&gt;0,J2199,"")</f>
        <v/>
      </c>
      <c r="Q2199" s="25">
        <f>TEXT(A2199,"YYYY-MM-DD HH")</f>
        <v/>
      </c>
      <c r="R2199" s="25">
        <f>COUNTIF($Q$2:$Q$5295,Q2199)</f>
        <v/>
      </c>
      <c r="S2199" s="25">
        <f>IF(R2199&lt;=2,"1-2",IF(R2199&lt;=5,"3-5",IF(R2199&lt;=10,"6-10","11+")))</f>
        <v/>
      </c>
    </row>
    <row r="2200">
      <c r="A2200" s="39" t="n">
        <v>46181.17177083333</v>
      </c>
      <c r="B2200" s="25">
        <f>TEXT(A2200,"YYYY-MM")</f>
        <v/>
      </c>
      <c r="C2200" s="25">
        <f>TEXT(A2200,"MMM-YYYY")</f>
        <v/>
      </c>
      <c r="D2200" s="40">
        <f>INT(A2200)-WEEKDAY(A2200,2)+1</f>
        <v/>
      </c>
      <c r="E2200" s="25" t="inlineStr">
        <is>
          <t>sswati</t>
        </is>
      </c>
      <c r="F2200" s="25" t="n">
        <v>122228</v>
      </c>
      <c r="G2200" s="25" t="n">
        <v>2</v>
      </c>
      <c r="H2200" s="25" t="n">
        <v>8</v>
      </c>
      <c r="I2200" s="25" t="inlineStr">
        <is>
          <t>5 minute(s) and 27 second(s)</t>
        </is>
      </c>
      <c r="J2200" s="25">
        <f>IFERROR(VALUE(TRIM(LEFT(I2200,FIND("minute",I2200)-1)))*60,0)+IFERROR(VALUE(SUBSTITUTE(MID(I2200,IFERROR(FIND("and",I2200)+3,1),20),"second(s)","")),0)</f>
        <v/>
      </c>
      <c r="K2200" s="41">
        <f>J2200/60</f>
        <v/>
      </c>
      <c r="L2200" s="41">
        <f>IFERROR(J2200/H2200,"")</f>
        <v/>
      </c>
      <c r="M2200" s="25" t="inlineStr">
        <is>
          <t>2.5.12</t>
        </is>
      </c>
      <c r="N2200" s="25">
        <f>IF(J2200&gt;300,1,0)</f>
        <v/>
      </c>
      <c r="O2200" s="25">
        <f>IF(J2200&gt;600,1,0)</f>
        <v/>
      </c>
      <c r="P2200" s="25">
        <f>IF(H2200&gt;0,J2200,"")</f>
        <v/>
      </c>
      <c r="Q2200" s="25">
        <f>TEXT(A2200,"YYYY-MM-DD HH")</f>
        <v/>
      </c>
      <c r="R2200" s="25">
        <f>COUNTIF($Q$2:$Q$5295,Q2200)</f>
        <v/>
      </c>
      <c r="S2200" s="25">
        <f>IF(R2200&lt;=2,"1-2",IF(R2200&lt;=5,"3-5",IF(R2200&lt;=10,"6-10","11+")))</f>
        <v/>
      </c>
    </row>
    <row r="2201">
      <c r="A2201" s="39" t="n">
        <v>46181.17384259259</v>
      </c>
      <c r="B2201" s="25">
        <f>TEXT(A2201,"YYYY-MM")</f>
        <v/>
      </c>
      <c r="C2201" s="25">
        <f>TEXT(A2201,"MMM-YYYY")</f>
        <v/>
      </c>
      <c r="D2201" s="40">
        <f>INT(A2201)-WEEKDAY(A2201,2)+1</f>
        <v/>
      </c>
      <c r="E2201" s="25" t="inlineStr">
        <is>
          <t>aupadhayay</t>
        </is>
      </c>
      <c r="F2201" s="25" t="n">
        <v>122338</v>
      </c>
      <c r="G2201" s="25" t="n">
        <v>4</v>
      </c>
      <c r="H2201" s="25" t="n">
        <v>16</v>
      </c>
      <c r="I2201" s="25" t="inlineStr">
        <is>
          <t>3 minute(s) and 50 second(s)</t>
        </is>
      </c>
      <c r="J2201" s="25">
        <f>IFERROR(VALUE(TRIM(LEFT(I2201,FIND("minute",I2201)-1)))*60,0)+IFERROR(VALUE(SUBSTITUTE(MID(I2201,IFERROR(FIND("and",I2201)+3,1),20),"second(s)","")),0)</f>
        <v/>
      </c>
      <c r="K2201" s="41">
        <f>J2201/60</f>
        <v/>
      </c>
      <c r="L2201" s="41">
        <f>IFERROR(J2201/H2201,"")</f>
        <v/>
      </c>
      <c r="M2201" s="25" t="inlineStr">
        <is>
          <t>2.5.12</t>
        </is>
      </c>
      <c r="N2201" s="25">
        <f>IF(J2201&gt;300,1,0)</f>
        <v/>
      </c>
      <c r="O2201" s="25">
        <f>IF(J2201&gt;600,1,0)</f>
        <v/>
      </c>
      <c r="P2201" s="25">
        <f>IF(H2201&gt;0,J2201,"")</f>
        <v/>
      </c>
      <c r="Q2201" s="25">
        <f>TEXT(A2201,"YYYY-MM-DD HH")</f>
        <v/>
      </c>
      <c r="R2201" s="25">
        <f>COUNTIF($Q$2:$Q$5295,Q2201)</f>
        <v/>
      </c>
      <c r="S2201" s="25">
        <f>IF(R2201&lt;=2,"1-2",IF(R2201&lt;=5,"3-5",IF(R2201&lt;=10,"6-10","11+")))</f>
        <v/>
      </c>
    </row>
    <row r="2202">
      <c r="A2202" s="39" t="n">
        <v>46181.17420138889</v>
      </c>
      <c r="B2202" s="25">
        <f>TEXT(A2202,"YYYY-MM")</f>
        <v/>
      </c>
      <c r="C2202" s="25">
        <f>TEXT(A2202,"MMM-YYYY")</f>
        <v/>
      </c>
      <c r="D2202" s="40">
        <f>INT(A2202)-WEEKDAY(A2202,2)+1</f>
        <v/>
      </c>
      <c r="E2202" s="25" t="inlineStr">
        <is>
          <t>ssrinivasan</t>
        </is>
      </c>
      <c r="F2202" s="25" t="n">
        <v>123301</v>
      </c>
      <c r="G2202" s="25" t="n">
        <v>2</v>
      </c>
      <c r="H2202" s="25" t="n">
        <v>14</v>
      </c>
      <c r="I2202" s="25" t="inlineStr">
        <is>
          <t>5 minute(s) and 56 second(s)</t>
        </is>
      </c>
      <c r="J2202" s="25">
        <f>IFERROR(VALUE(TRIM(LEFT(I2202,FIND("minute",I2202)-1)))*60,0)+IFERROR(VALUE(SUBSTITUTE(MID(I2202,IFERROR(FIND("and",I2202)+3,1),20),"second(s)","")),0)</f>
        <v/>
      </c>
      <c r="K2202" s="41">
        <f>J2202/60</f>
        <v/>
      </c>
      <c r="L2202" s="41">
        <f>IFERROR(J2202/H2202,"")</f>
        <v/>
      </c>
      <c r="M2202" s="25" t="inlineStr">
        <is>
          <t>2.5.12</t>
        </is>
      </c>
      <c r="N2202" s="25">
        <f>IF(J2202&gt;300,1,0)</f>
        <v/>
      </c>
      <c r="O2202" s="25">
        <f>IF(J2202&gt;600,1,0)</f>
        <v/>
      </c>
      <c r="P2202" s="25">
        <f>IF(H2202&gt;0,J2202,"")</f>
        <v/>
      </c>
      <c r="Q2202" s="25">
        <f>TEXT(A2202,"YYYY-MM-DD HH")</f>
        <v/>
      </c>
      <c r="R2202" s="25">
        <f>COUNTIF($Q$2:$Q$5295,Q2202)</f>
        <v/>
      </c>
      <c r="S2202" s="25">
        <f>IF(R2202&lt;=2,"1-2",IF(R2202&lt;=5,"3-5",IF(R2202&lt;=10,"6-10","11+")))</f>
        <v/>
      </c>
    </row>
    <row r="2203">
      <c r="A2203" s="39" t="n">
        <v>46181.18474537037</v>
      </c>
      <c r="B2203" s="25">
        <f>TEXT(A2203,"YYYY-MM")</f>
        <v/>
      </c>
      <c r="C2203" s="25">
        <f>TEXT(A2203,"MMM-YYYY")</f>
        <v/>
      </c>
      <c r="D2203" s="40">
        <f>INT(A2203)-WEEKDAY(A2203,2)+1</f>
        <v/>
      </c>
      <c r="E2203" s="25" t="inlineStr">
        <is>
          <t>csaha</t>
        </is>
      </c>
      <c r="F2203" s="25" t="n">
        <v>122330</v>
      </c>
      <c r="G2203" s="25" t="n">
        <v>2</v>
      </c>
      <c r="H2203" s="25" t="n">
        <v>10</v>
      </c>
      <c r="I2203" s="25" t="inlineStr">
        <is>
          <t>2 minute(s) and 3 second(s)</t>
        </is>
      </c>
      <c r="J2203" s="25">
        <f>IFERROR(VALUE(TRIM(LEFT(I2203,FIND("minute",I2203)-1)))*60,0)+IFERROR(VALUE(SUBSTITUTE(MID(I2203,IFERROR(FIND("and",I2203)+3,1),20),"second(s)","")),0)</f>
        <v/>
      </c>
      <c r="K2203" s="41">
        <f>J2203/60</f>
        <v/>
      </c>
      <c r="L2203" s="41">
        <f>IFERROR(J2203/H2203,"")</f>
        <v/>
      </c>
      <c r="M2203" s="25" t="inlineStr">
        <is>
          <t>2.5.12</t>
        </is>
      </c>
      <c r="N2203" s="25">
        <f>IF(J2203&gt;300,1,0)</f>
        <v/>
      </c>
      <c r="O2203" s="25">
        <f>IF(J2203&gt;600,1,0)</f>
        <v/>
      </c>
      <c r="P2203" s="25">
        <f>IF(H2203&gt;0,J2203,"")</f>
        <v/>
      </c>
      <c r="Q2203" s="25">
        <f>TEXT(A2203,"YYYY-MM-DD HH")</f>
        <v/>
      </c>
      <c r="R2203" s="25">
        <f>COUNTIF($Q$2:$Q$5295,Q2203)</f>
        <v/>
      </c>
      <c r="S2203" s="25">
        <f>IF(R2203&lt;=2,"1-2",IF(R2203&lt;=5,"3-5",IF(R2203&lt;=10,"6-10","11+")))</f>
        <v/>
      </c>
    </row>
    <row r="2204">
      <c r="A2204" s="39" t="n">
        <v>46181.18587962963</v>
      </c>
      <c r="B2204" s="25">
        <f>TEXT(A2204,"YYYY-MM")</f>
        <v/>
      </c>
      <c r="C2204" s="25">
        <f>TEXT(A2204,"MMM-YYYY")</f>
        <v/>
      </c>
      <c r="D2204" s="40">
        <f>INT(A2204)-WEEKDAY(A2204,2)+1</f>
        <v/>
      </c>
      <c r="E2204" s="25" t="inlineStr">
        <is>
          <t>ethomas</t>
        </is>
      </c>
      <c r="F2204" s="25" t="n">
        <v>121505</v>
      </c>
      <c r="G2204" s="25" t="n">
        <v>2</v>
      </c>
      <c r="H2204" s="25" t="n">
        <v>8</v>
      </c>
      <c r="I2204" s="25" t="inlineStr">
        <is>
          <t>3 minute(s) and 31 second(s)</t>
        </is>
      </c>
      <c r="J2204" s="25">
        <f>IFERROR(VALUE(TRIM(LEFT(I2204,FIND("minute",I2204)-1)))*60,0)+IFERROR(VALUE(SUBSTITUTE(MID(I2204,IFERROR(FIND("and",I2204)+3,1),20),"second(s)","")),0)</f>
        <v/>
      </c>
      <c r="K2204" s="41">
        <f>J2204/60</f>
        <v/>
      </c>
      <c r="L2204" s="41">
        <f>IFERROR(J2204/H2204,"")</f>
        <v/>
      </c>
      <c r="M2204" s="25" t="inlineStr">
        <is>
          <t>2.5.12</t>
        </is>
      </c>
      <c r="N2204" s="25">
        <f>IF(J2204&gt;300,1,0)</f>
        <v/>
      </c>
      <c r="O2204" s="25">
        <f>IF(J2204&gt;600,1,0)</f>
        <v/>
      </c>
      <c r="P2204" s="25">
        <f>IF(H2204&gt;0,J2204,"")</f>
        <v/>
      </c>
      <c r="Q2204" s="25">
        <f>TEXT(A2204,"YYYY-MM-DD HH")</f>
        <v/>
      </c>
      <c r="R2204" s="25">
        <f>COUNTIF($Q$2:$Q$5295,Q2204)</f>
        <v/>
      </c>
      <c r="S2204" s="25">
        <f>IF(R2204&lt;=2,"1-2",IF(R2204&lt;=5,"3-5",IF(R2204&lt;=10,"6-10","11+")))</f>
        <v/>
      </c>
    </row>
    <row r="2205">
      <c r="A2205" s="39" t="n">
        <v>46181.18765046296</v>
      </c>
      <c r="B2205" s="25">
        <f>TEXT(A2205,"YYYY-MM")</f>
        <v/>
      </c>
      <c r="C2205" s="25">
        <f>TEXT(A2205,"MMM-YYYY")</f>
        <v/>
      </c>
      <c r="D2205" s="40">
        <f>INT(A2205)-WEEKDAY(A2205,2)+1</f>
        <v/>
      </c>
      <c r="E2205" s="25" t="inlineStr">
        <is>
          <t>pmehndiratta</t>
        </is>
      </c>
      <c r="F2205" s="25" t="n">
        <v>125224</v>
      </c>
      <c r="G2205" s="25" t="n">
        <v>1</v>
      </c>
      <c r="H2205" s="25" t="n">
        <v>5</v>
      </c>
      <c r="I2205" s="25" t="inlineStr">
        <is>
          <t>47 second(s)</t>
        </is>
      </c>
      <c r="J2205" s="25">
        <f>IFERROR(VALUE(TRIM(LEFT(I2205,FIND("minute",I2205)-1)))*60,0)+IFERROR(VALUE(SUBSTITUTE(MID(I2205,IFERROR(FIND("and",I2205)+3,1),20),"second(s)","")),0)</f>
        <v/>
      </c>
      <c r="K2205" s="41">
        <f>J2205/60</f>
        <v/>
      </c>
      <c r="L2205" s="41">
        <f>IFERROR(J2205/H2205,"")</f>
        <v/>
      </c>
      <c r="M2205" s="25" t="inlineStr">
        <is>
          <t>2.5.12</t>
        </is>
      </c>
      <c r="N2205" s="25">
        <f>IF(J2205&gt;300,1,0)</f>
        <v/>
      </c>
      <c r="O2205" s="25">
        <f>IF(J2205&gt;600,1,0)</f>
        <v/>
      </c>
      <c r="P2205" s="25">
        <f>IF(H2205&gt;0,J2205,"")</f>
        <v/>
      </c>
      <c r="Q2205" s="25">
        <f>TEXT(A2205,"YYYY-MM-DD HH")</f>
        <v/>
      </c>
      <c r="R2205" s="25">
        <f>COUNTIF($Q$2:$Q$5295,Q2205)</f>
        <v/>
      </c>
      <c r="S2205" s="25">
        <f>IF(R2205&lt;=2,"1-2",IF(R2205&lt;=5,"3-5",IF(R2205&lt;=10,"6-10","11+")))</f>
        <v/>
      </c>
    </row>
    <row r="2206">
      <c r="A2206" s="39" t="n">
        <v>46181.19435185185</v>
      </c>
      <c r="B2206" s="25">
        <f>TEXT(A2206,"YYYY-MM")</f>
        <v/>
      </c>
      <c r="C2206" s="25">
        <f>TEXT(A2206,"MMM-YYYY")</f>
        <v/>
      </c>
      <c r="D2206" s="40">
        <f>INT(A2206)-WEEKDAY(A2206,2)+1</f>
        <v/>
      </c>
      <c r="E2206" s="25" t="inlineStr">
        <is>
          <t>ns</t>
        </is>
      </c>
      <c r="F2206" s="25" t="n">
        <v>121640</v>
      </c>
      <c r="G2206" s="25" t="n">
        <v>3</v>
      </c>
      <c r="H2206" s="25" t="n">
        <v>11</v>
      </c>
      <c r="I2206" s="25" t="inlineStr">
        <is>
          <t>4 minute(s) and 15 second(s)</t>
        </is>
      </c>
      <c r="J2206" s="25">
        <f>IFERROR(VALUE(TRIM(LEFT(I2206,FIND("minute",I2206)-1)))*60,0)+IFERROR(VALUE(SUBSTITUTE(MID(I2206,IFERROR(FIND("and",I2206)+3,1),20),"second(s)","")),0)</f>
        <v/>
      </c>
      <c r="K2206" s="41">
        <f>J2206/60</f>
        <v/>
      </c>
      <c r="L2206" s="41">
        <f>IFERROR(J2206/H2206,"")</f>
        <v/>
      </c>
      <c r="M2206" s="25" t="inlineStr">
        <is>
          <t>2.5.12</t>
        </is>
      </c>
      <c r="N2206" s="25">
        <f>IF(J2206&gt;300,1,0)</f>
        <v/>
      </c>
      <c r="O2206" s="25">
        <f>IF(J2206&gt;600,1,0)</f>
        <v/>
      </c>
      <c r="P2206" s="25">
        <f>IF(H2206&gt;0,J2206,"")</f>
        <v/>
      </c>
      <c r="Q2206" s="25">
        <f>TEXT(A2206,"YYYY-MM-DD HH")</f>
        <v/>
      </c>
      <c r="R2206" s="25">
        <f>COUNTIF($Q$2:$Q$5295,Q2206)</f>
        <v/>
      </c>
      <c r="S2206" s="25">
        <f>IF(R2206&lt;=2,"1-2",IF(R2206&lt;=5,"3-5",IF(R2206&lt;=10,"6-10","11+")))</f>
        <v/>
      </c>
    </row>
    <row r="2207">
      <c r="A2207" s="39" t="n">
        <v>46181.19671296296</v>
      </c>
      <c r="B2207" s="25">
        <f>TEXT(A2207,"YYYY-MM")</f>
        <v/>
      </c>
      <c r="C2207" s="25">
        <f>TEXT(A2207,"MMM-YYYY")</f>
        <v/>
      </c>
      <c r="D2207" s="40">
        <f>INT(A2207)-WEEKDAY(A2207,2)+1</f>
        <v/>
      </c>
      <c r="E2207" s="25" t="inlineStr">
        <is>
          <t>adey</t>
        </is>
      </c>
      <c r="F2207" s="25" t="n">
        <v>125307</v>
      </c>
      <c r="G2207" s="25" t="n">
        <v>4</v>
      </c>
      <c r="H2207" s="25" t="n">
        <v>20</v>
      </c>
      <c r="I2207" s="25" t="inlineStr">
        <is>
          <t>5 minute(s) and 0 second(s)</t>
        </is>
      </c>
      <c r="J2207" s="25">
        <f>IFERROR(VALUE(TRIM(LEFT(I2207,FIND("minute",I2207)-1)))*60,0)+IFERROR(VALUE(SUBSTITUTE(MID(I2207,IFERROR(FIND("and",I2207)+3,1),20),"second(s)","")),0)</f>
        <v/>
      </c>
      <c r="K2207" s="41">
        <f>J2207/60</f>
        <v/>
      </c>
      <c r="L2207" s="41">
        <f>IFERROR(J2207/H2207,"")</f>
        <v/>
      </c>
      <c r="M2207" s="25" t="inlineStr">
        <is>
          <t>2.5.12</t>
        </is>
      </c>
      <c r="N2207" s="25">
        <f>IF(J2207&gt;300,1,0)</f>
        <v/>
      </c>
      <c r="O2207" s="25">
        <f>IF(J2207&gt;600,1,0)</f>
        <v/>
      </c>
      <c r="P2207" s="25">
        <f>IF(H2207&gt;0,J2207,"")</f>
        <v/>
      </c>
      <c r="Q2207" s="25">
        <f>TEXT(A2207,"YYYY-MM-DD HH")</f>
        <v/>
      </c>
      <c r="R2207" s="25">
        <f>COUNTIF($Q$2:$Q$5295,Q2207)</f>
        <v/>
      </c>
      <c r="S2207" s="25">
        <f>IF(R2207&lt;=2,"1-2",IF(R2207&lt;=5,"3-5",IF(R2207&lt;=10,"6-10","11+")))</f>
        <v/>
      </c>
    </row>
    <row r="2208">
      <c r="A2208" s="39" t="n">
        <v>46181.20357638889</v>
      </c>
      <c r="B2208" s="25">
        <f>TEXT(A2208,"YYYY-MM")</f>
        <v/>
      </c>
      <c r="C2208" s="25">
        <f>TEXT(A2208,"MMM-YYYY")</f>
        <v/>
      </c>
      <c r="D2208" s="40">
        <f>INT(A2208)-WEEKDAY(A2208,2)+1</f>
        <v/>
      </c>
      <c r="E2208" s="25" t="inlineStr">
        <is>
          <t>stiwari</t>
        </is>
      </c>
      <c r="F2208" s="25" t="n">
        <v>122195</v>
      </c>
      <c r="G2208" s="25" t="n">
        <v>3</v>
      </c>
      <c r="H2208" s="25" t="n">
        <v>11</v>
      </c>
      <c r="I2208" s="25" t="inlineStr">
        <is>
          <t>2 minute(s) and 55 second(s)</t>
        </is>
      </c>
      <c r="J2208" s="25">
        <f>IFERROR(VALUE(TRIM(LEFT(I2208,FIND("minute",I2208)-1)))*60,0)+IFERROR(VALUE(SUBSTITUTE(MID(I2208,IFERROR(FIND("and",I2208)+3,1),20),"second(s)","")),0)</f>
        <v/>
      </c>
      <c r="K2208" s="41">
        <f>J2208/60</f>
        <v/>
      </c>
      <c r="L2208" s="41">
        <f>IFERROR(J2208/H2208,"")</f>
        <v/>
      </c>
      <c r="M2208" s="25" t="inlineStr">
        <is>
          <t>2.5.12</t>
        </is>
      </c>
      <c r="N2208" s="25">
        <f>IF(J2208&gt;300,1,0)</f>
        <v/>
      </c>
      <c r="O2208" s="25">
        <f>IF(J2208&gt;600,1,0)</f>
        <v/>
      </c>
      <c r="P2208" s="25">
        <f>IF(H2208&gt;0,J2208,"")</f>
        <v/>
      </c>
      <c r="Q2208" s="25">
        <f>TEXT(A2208,"YYYY-MM-DD HH")</f>
        <v/>
      </c>
      <c r="R2208" s="25">
        <f>COUNTIF($Q$2:$Q$5295,Q2208)</f>
        <v/>
      </c>
      <c r="S2208" s="25">
        <f>IF(R2208&lt;=2,"1-2",IF(R2208&lt;=5,"3-5",IF(R2208&lt;=10,"6-10","11+")))</f>
        <v/>
      </c>
    </row>
    <row r="2209">
      <c r="A2209" s="39" t="n">
        <v>46181.2062962963</v>
      </c>
      <c r="B2209" s="25">
        <f>TEXT(A2209,"YYYY-MM")</f>
        <v/>
      </c>
      <c r="C2209" s="25">
        <f>TEXT(A2209,"MMM-YYYY")</f>
        <v/>
      </c>
      <c r="D2209" s="40">
        <f>INT(A2209)-WEEKDAY(A2209,2)+1</f>
        <v/>
      </c>
      <c r="E2209" s="25" t="inlineStr">
        <is>
          <t>rts</t>
        </is>
      </c>
      <c r="F2209" s="25" t="n">
        <v>90014</v>
      </c>
      <c r="G2209" s="25" t="n">
        <v>4</v>
      </c>
      <c r="H2209" s="25" t="n">
        <v>22</v>
      </c>
      <c r="I2209" s="25" t="inlineStr">
        <is>
          <t>9 minute(s) and 23 second(s)</t>
        </is>
      </c>
      <c r="J2209" s="25">
        <f>IFERROR(VALUE(TRIM(LEFT(I2209,FIND("minute",I2209)-1)))*60,0)+IFERROR(VALUE(SUBSTITUTE(MID(I2209,IFERROR(FIND("and",I2209)+3,1),20),"second(s)","")),0)</f>
        <v/>
      </c>
      <c r="K2209" s="41">
        <f>J2209/60</f>
        <v/>
      </c>
      <c r="L2209" s="41">
        <f>IFERROR(J2209/H2209,"")</f>
        <v/>
      </c>
      <c r="M2209" s="25" t="inlineStr">
        <is>
          <t>2.5.12</t>
        </is>
      </c>
      <c r="N2209" s="25">
        <f>IF(J2209&gt;300,1,0)</f>
        <v/>
      </c>
      <c r="O2209" s="25">
        <f>IF(J2209&gt;600,1,0)</f>
        <v/>
      </c>
      <c r="P2209" s="25">
        <f>IF(H2209&gt;0,J2209,"")</f>
        <v/>
      </c>
      <c r="Q2209" s="25">
        <f>TEXT(A2209,"YYYY-MM-DD HH")</f>
        <v/>
      </c>
      <c r="R2209" s="25">
        <f>COUNTIF($Q$2:$Q$5295,Q2209)</f>
        <v/>
      </c>
      <c r="S2209" s="25">
        <f>IF(R2209&lt;=2,"1-2",IF(R2209&lt;=5,"3-5",IF(R2209&lt;=10,"6-10","11+")))</f>
        <v/>
      </c>
    </row>
    <row r="2210">
      <c r="A2210" s="39" t="n">
        <v>46181.20706018519</v>
      </c>
      <c r="B2210" s="25">
        <f>TEXT(A2210,"YYYY-MM")</f>
        <v/>
      </c>
      <c r="C2210" s="25">
        <f>TEXT(A2210,"MMM-YYYY")</f>
        <v/>
      </c>
      <c r="D2210" s="40">
        <f>INT(A2210)-WEEKDAY(A2210,2)+1</f>
        <v/>
      </c>
      <c r="E2210" s="25" t="inlineStr">
        <is>
          <t>aghosh</t>
        </is>
      </c>
      <c r="F2210" s="25" t="n">
        <v>121534</v>
      </c>
      <c r="G2210" s="25" t="n">
        <v>1</v>
      </c>
      <c r="H2210" s="25" t="n">
        <v>5</v>
      </c>
      <c r="I2210" s="25" t="inlineStr">
        <is>
          <t>4 minute(s) and 22 second(s)</t>
        </is>
      </c>
      <c r="J2210" s="25">
        <f>IFERROR(VALUE(TRIM(LEFT(I2210,FIND("minute",I2210)-1)))*60,0)+IFERROR(VALUE(SUBSTITUTE(MID(I2210,IFERROR(FIND("and",I2210)+3,1),20),"second(s)","")),0)</f>
        <v/>
      </c>
      <c r="K2210" s="41">
        <f>J2210/60</f>
        <v/>
      </c>
      <c r="L2210" s="41">
        <f>IFERROR(J2210/H2210,"")</f>
        <v/>
      </c>
      <c r="M2210" s="25" t="inlineStr">
        <is>
          <t>2.5.12</t>
        </is>
      </c>
      <c r="N2210" s="25">
        <f>IF(J2210&gt;300,1,0)</f>
        <v/>
      </c>
      <c r="O2210" s="25">
        <f>IF(J2210&gt;600,1,0)</f>
        <v/>
      </c>
      <c r="P2210" s="25">
        <f>IF(H2210&gt;0,J2210,"")</f>
        <v/>
      </c>
      <c r="Q2210" s="25">
        <f>TEXT(A2210,"YYYY-MM-DD HH")</f>
        <v/>
      </c>
      <c r="R2210" s="25">
        <f>COUNTIF($Q$2:$Q$5295,Q2210)</f>
        <v/>
      </c>
      <c r="S2210" s="25">
        <f>IF(R2210&lt;=2,"1-2",IF(R2210&lt;=5,"3-5",IF(R2210&lt;=10,"6-10","11+")))</f>
        <v/>
      </c>
    </row>
    <row r="2211">
      <c r="A2211" s="39" t="n">
        <v>46181.23126157407</v>
      </c>
      <c r="B2211" s="25">
        <f>TEXT(A2211,"YYYY-MM")</f>
        <v/>
      </c>
      <c r="C2211" s="25">
        <f>TEXT(A2211,"MMM-YYYY")</f>
        <v/>
      </c>
      <c r="D2211" s="40">
        <f>INT(A2211)-WEEKDAY(A2211,2)+1</f>
        <v/>
      </c>
      <c r="E2211" s="25" t="inlineStr">
        <is>
          <t>mgupta</t>
        </is>
      </c>
      <c r="F2211" s="25" t="n">
        <v>30772</v>
      </c>
      <c r="G2211" s="25" t="n">
        <v>5</v>
      </c>
      <c r="H2211" s="25" t="n">
        <v>26</v>
      </c>
      <c r="I2211" s="25" t="inlineStr">
        <is>
          <t>5 minute(s) and 18 second(s)</t>
        </is>
      </c>
      <c r="J2211" s="25">
        <f>IFERROR(VALUE(TRIM(LEFT(I2211,FIND("minute",I2211)-1)))*60,0)+IFERROR(VALUE(SUBSTITUTE(MID(I2211,IFERROR(FIND("and",I2211)+3,1),20),"second(s)","")),0)</f>
        <v/>
      </c>
      <c r="K2211" s="41">
        <f>J2211/60</f>
        <v/>
      </c>
      <c r="L2211" s="41">
        <f>IFERROR(J2211/H2211,"")</f>
        <v/>
      </c>
      <c r="M2211" s="25" t="inlineStr">
        <is>
          <t>2.5.12</t>
        </is>
      </c>
      <c r="N2211" s="25">
        <f>IF(J2211&gt;300,1,0)</f>
        <v/>
      </c>
      <c r="O2211" s="25">
        <f>IF(J2211&gt;600,1,0)</f>
        <v/>
      </c>
      <c r="P2211" s="25">
        <f>IF(H2211&gt;0,J2211,"")</f>
        <v/>
      </c>
      <c r="Q2211" s="25">
        <f>TEXT(A2211,"YYYY-MM-DD HH")</f>
        <v/>
      </c>
      <c r="R2211" s="25">
        <f>COUNTIF($Q$2:$Q$5295,Q2211)</f>
        <v/>
      </c>
      <c r="S2211" s="25">
        <f>IF(R2211&lt;=2,"1-2",IF(R2211&lt;=5,"3-5",IF(R2211&lt;=10,"6-10","11+")))</f>
        <v/>
      </c>
    </row>
    <row r="2212">
      <c r="A2212" s="39" t="n">
        <v>46181.2372800926</v>
      </c>
      <c r="B2212" s="25">
        <f>TEXT(A2212,"YYYY-MM")</f>
        <v/>
      </c>
      <c r="C2212" s="25">
        <f>TEXT(A2212,"MMM-YYYY")</f>
        <v/>
      </c>
      <c r="D2212" s="40">
        <f>INT(A2212)-WEEKDAY(A2212,2)+1</f>
        <v/>
      </c>
      <c r="E2212" s="25" t="inlineStr">
        <is>
          <t>aupadhayay</t>
        </is>
      </c>
      <c r="F2212" s="25" t="n">
        <v>125245</v>
      </c>
      <c r="G2212" s="25" t="n">
        <v>4</v>
      </c>
      <c r="H2212" s="25" t="n">
        <v>16</v>
      </c>
      <c r="I2212" s="25" t="inlineStr">
        <is>
          <t>8 minute(s) and 16 second(s)</t>
        </is>
      </c>
      <c r="J2212" s="25">
        <f>IFERROR(VALUE(TRIM(LEFT(I2212,FIND("minute",I2212)-1)))*60,0)+IFERROR(VALUE(SUBSTITUTE(MID(I2212,IFERROR(FIND("and",I2212)+3,1),20),"second(s)","")),0)</f>
        <v/>
      </c>
      <c r="K2212" s="41">
        <f>J2212/60</f>
        <v/>
      </c>
      <c r="L2212" s="41">
        <f>IFERROR(J2212/H2212,"")</f>
        <v/>
      </c>
      <c r="M2212" s="25" t="inlineStr">
        <is>
          <t>2.5.12</t>
        </is>
      </c>
      <c r="N2212" s="25">
        <f>IF(J2212&gt;300,1,0)</f>
        <v/>
      </c>
      <c r="O2212" s="25">
        <f>IF(J2212&gt;600,1,0)</f>
        <v/>
      </c>
      <c r="P2212" s="25">
        <f>IF(H2212&gt;0,J2212,"")</f>
        <v/>
      </c>
      <c r="Q2212" s="25">
        <f>TEXT(A2212,"YYYY-MM-DD HH")</f>
        <v/>
      </c>
      <c r="R2212" s="25">
        <f>COUNTIF($Q$2:$Q$5295,Q2212)</f>
        <v/>
      </c>
      <c r="S2212" s="25">
        <f>IF(R2212&lt;=2,"1-2",IF(R2212&lt;=5,"3-5",IF(R2212&lt;=10,"6-10","11+")))</f>
        <v/>
      </c>
    </row>
    <row r="2213">
      <c r="A2213" s="39" t="n">
        <v>46181.24115740741</v>
      </c>
      <c r="B2213" s="25">
        <f>TEXT(A2213,"YYYY-MM")</f>
        <v/>
      </c>
      <c r="C2213" s="25">
        <f>TEXT(A2213,"MMM-YYYY")</f>
        <v/>
      </c>
      <c r="D2213" s="40">
        <f>INT(A2213)-WEEKDAY(A2213,2)+1</f>
        <v/>
      </c>
      <c r="E2213" s="25" t="inlineStr">
        <is>
          <t>stiwari</t>
        </is>
      </c>
      <c r="F2213" s="25" t="n">
        <v>122188</v>
      </c>
      <c r="G2213" s="25" t="n">
        <v>4</v>
      </c>
      <c r="H2213" s="25" t="n">
        <v>16</v>
      </c>
      <c r="I2213" s="25" t="inlineStr">
        <is>
          <t>4 minute(s) and 30 second(s)</t>
        </is>
      </c>
      <c r="J2213" s="25">
        <f>IFERROR(VALUE(TRIM(LEFT(I2213,FIND("minute",I2213)-1)))*60,0)+IFERROR(VALUE(SUBSTITUTE(MID(I2213,IFERROR(FIND("and",I2213)+3,1),20),"second(s)","")),0)</f>
        <v/>
      </c>
      <c r="K2213" s="41">
        <f>J2213/60</f>
        <v/>
      </c>
      <c r="L2213" s="41">
        <f>IFERROR(J2213/H2213,"")</f>
        <v/>
      </c>
      <c r="M2213" s="25" t="inlineStr">
        <is>
          <t>2.5.12</t>
        </is>
      </c>
      <c r="N2213" s="25">
        <f>IF(J2213&gt;300,1,0)</f>
        <v/>
      </c>
      <c r="O2213" s="25">
        <f>IF(J2213&gt;600,1,0)</f>
        <v/>
      </c>
      <c r="P2213" s="25">
        <f>IF(H2213&gt;0,J2213,"")</f>
        <v/>
      </c>
      <c r="Q2213" s="25">
        <f>TEXT(A2213,"YYYY-MM-DD HH")</f>
        <v/>
      </c>
      <c r="R2213" s="25">
        <f>COUNTIF($Q$2:$Q$5295,Q2213)</f>
        <v/>
      </c>
      <c r="S2213" s="25">
        <f>IF(R2213&lt;=2,"1-2",IF(R2213&lt;=5,"3-5",IF(R2213&lt;=10,"6-10","11+")))</f>
        <v/>
      </c>
    </row>
    <row r="2214">
      <c r="A2214" s="39" t="n">
        <v>46181.24254629629</v>
      </c>
      <c r="B2214" s="25">
        <f>TEXT(A2214,"YYYY-MM")</f>
        <v/>
      </c>
      <c r="C2214" s="25">
        <f>TEXT(A2214,"MMM-YYYY")</f>
        <v/>
      </c>
      <c r="D2214" s="40">
        <f>INT(A2214)-WEEKDAY(A2214,2)+1</f>
        <v/>
      </c>
      <c r="E2214" s="25" t="inlineStr">
        <is>
          <t>psathwika</t>
        </is>
      </c>
      <c r="F2214" s="25" t="n">
        <v>121692</v>
      </c>
      <c r="G2214" s="25" t="n">
        <v>1</v>
      </c>
      <c r="H2214" s="25" t="n">
        <v>5</v>
      </c>
      <c r="I2214" s="25" t="inlineStr">
        <is>
          <t>4 minute(s) and 59 second(s)</t>
        </is>
      </c>
      <c r="J2214" s="25">
        <f>IFERROR(VALUE(TRIM(LEFT(I2214,FIND("minute",I2214)-1)))*60,0)+IFERROR(VALUE(SUBSTITUTE(MID(I2214,IFERROR(FIND("and",I2214)+3,1),20),"second(s)","")),0)</f>
        <v/>
      </c>
      <c r="K2214" s="41">
        <f>J2214/60</f>
        <v/>
      </c>
      <c r="L2214" s="41">
        <f>IFERROR(J2214/H2214,"")</f>
        <v/>
      </c>
      <c r="M2214" s="25" t="inlineStr">
        <is>
          <t>2.5.12</t>
        </is>
      </c>
      <c r="N2214" s="25">
        <f>IF(J2214&gt;300,1,0)</f>
        <v/>
      </c>
      <c r="O2214" s="25">
        <f>IF(J2214&gt;600,1,0)</f>
        <v/>
      </c>
      <c r="P2214" s="25">
        <f>IF(H2214&gt;0,J2214,"")</f>
        <v/>
      </c>
      <c r="Q2214" s="25">
        <f>TEXT(A2214,"YYYY-MM-DD HH")</f>
        <v/>
      </c>
      <c r="R2214" s="25">
        <f>COUNTIF($Q$2:$Q$5295,Q2214)</f>
        <v/>
      </c>
      <c r="S2214" s="25">
        <f>IF(R2214&lt;=2,"1-2",IF(R2214&lt;=5,"3-5",IF(R2214&lt;=10,"6-10","11+")))</f>
        <v/>
      </c>
    </row>
    <row r="2215">
      <c r="A2215" s="39" t="n">
        <v>46181.24855324074</v>
      </c>
      <c r="B2215" s="25">
        <f>TEXT(A2215,"YYYY-MM")</f>
        <v/>
      </c>
      <c r="C2215" s="25">
        <f>TEXT(A2215,"MMM-YYYY")</f>
        <v/>
      </c>
      <c r="D2215" s="40">
        <f>INT(A2215)-WEEKDAY(A2215,2)+1</f>
        <v/>
      </c>
      <c r="E2215" s="25" t="inlineStr">
        <is>
          <t>adey</t>
        </is>
      </c>
      <c r="F2215" s="25" t="n">
        <v>125402</v>
      </c>
      <c r="G2215" s="25" t="n">
        <v>1</v>
      </c>
      <c r="H2215" s="25" t="n">
        <v>5</v>
      </c>
      <c r="I2215" s="25" t="inlineStr">
        <is>
          <t>1 minute(s) and 7 second(s)</t>
        </is>
      </c>
      <c r="J2215" s="25">
        <f>IFERROR(VALUE(TRIM(LEFT(I2215,FIND("minute",I2215)-1)))*60,0)+IFERROR(VALUE(SUBSTITUTE(MID(I2215,IFERROR(FIND("and",I2215)+3,1),20),"second(s)","")),0)</f>
        <v/>
      </c>
      <c r="K2215" s="41">
        <f>J2215/60</f>
        <v/>
      </c>
      <c r="L2215" s="41">
        <f>IFERROR(J2215/H2215,"")</f>
        <v/>
      </c>
      <c r="M2215" s="25" t="inlineStr">
        <is>
          <t>2.5.12</t>
        </is>
      </c>
      <c r="N2215" s="25">
        <f>IF(J2215&gt;300,1,0)</f>
        <v/>
      </c>
      <c r="O2215" s="25">
        <f>IF(J2215&gt;600,1,0)</f>
        <v/>
      </c>
      <c r="P2215" s="25">
        <f>IF(H2215&gt;0,J2215,"")</f>
        <v/>
      </c>
      <c r="Q2215" s="25">
        <f>TEXT(A2215,"YYYY-MM-DD HH")</f>
        <v/>
      </c>
      <c r="R2215" s="25">
        <f>COUNTIF($Q$2:$Q$5295,Q2215)</f>
        <v/>
      </c>
      <c r="S2215" s="25">
        <f>IF(R2215&lt;=2,"1-2",IF(R2215&lt;=5,"3-5",IF(R2215&lt;=10,"6-10","11+")))</f>
        <v/>
      </c>
    </row>
    <row r="2216">
      <c r="A2216" s="39" t="n">
        <v>46181.25634259259</v>
      </c>
      <c r="B2216" s="25">
        <f>TEXT(A2216,"YYYY-MM")</f>
        <v/>
      </c>
      <c r="C2216" s="25">
        <f>TEXT(A2216,"MMM-YYYY")</f>
        <v/>
      </c>
      <c r="D2216" s="40">
        <f>INT(A2216)-WEEKDAY(A2216,2)+1</f>
        <v/>
      </c>
      <c r="E2216" s="25" t="inlineStr">
        <is>
          <t>aghosh</t>
        </is>
      </c>
      <c r="F2216" s="25" t="n">
        <v>123463</v>
      </c>
      <c r="G2216" s="25" t="n">
        <v>2</v>
      </c>
      <c r="H2216" s="25" t="n">
        <v>12</v>
      </c>
      <c r="I2216" s="25" t="inlineStr">
        <is>
          <t>3 minute(s) and 44 second(s)</t>
        </is>
      </c>
      <c r="J2216" s="25">
        <f>IFERROR(VALUE(TRIM(LEFT(I2216,FIND("minute",I2216)-1)))*60,0)+IFERROR(VALUE(SUBSTITUTE(MID(I2216,IFERROR(FIND("and",I2216)+3,1),20),"second(s)","")),0)</f>
        <v/>
      </c>
      <c r="K2216" s="41">
        <f>J2216/60</f>
        <v/>
      </c>
      <c r="L2216" s="41">
        <f>IFERROR(J2216/H2216,"")</f>
        <v/>
      </c>
      <c r="M2216" s="25" t="inlineStr">
        <is>
          <t>2.5.12</t>
        </is>
      </c>
      <c r="N2216" s="25">
        <f>IF(J2216&gt;300,1,0)</f>
        <v/>
      </c>
      <c r="O2216" s="25">
        <f>IF(J2216&gt;600,1,0)</f>
        <v/>
      </c>
      <c r="P2216" s="25">
        <f>IF(H2216&gt;0,J2216,"")</f>
        <v/>
      </c>
      <c r="Q2216" s="25">
        <f>TEXT(A2216,"YYYY-MM-DD HH")</f>
        <v/>
      </c>
      <c r="R2216" s="25">
        <f>COUNTIF($Q$2:$Q$5295,Q2216)</f>
        <v/>
      </c>
      <c r="S2216" s="25">
        <f>IF(R2216&lt;=2,"1-2",IF(R2216&lt;=5,"3-5",IF(R2216&lt;=10,"6-10","11+")))</f>
        <v/>
      </c>
    </row>
    <row r="2217">
      <c r="A2217" s="39" t="n">
        <v>46181.269375</v>
      </c>
      <c r="B2217" s="25">
        <f>TEXT(A2217,"YYYY-MM")</f>
        <v/>
      </c>
      <c r="C2217" s="25">
        <f>TEXT(A2217,"MMM-YYYY")</f>
        <v/>
      </c>
      <c r="D2217" s="40">
        <f>INT(A2217)-WEEKDAY(A2217,2)+1</f>
        <v/>
      </c>
      <c r="E2217" s="25" t="inlineStr">
        <is>
          <t>apriyadarshi</t>
        </is>
      </c>
      <c r="F2217" s="25" t="n">
        <v>122014</v>
      </c>
      <c r="G2217" s="25" t="n">
        <v>4</v>
      </c>
      <c r="H2217" s="25" t="n">
        <v>22</v>
      </c>
      <c r="I2217" s="25" t="inlineStr">
        <is>
          <t>6 minute(s) and 17 second(s)</t>
        </is>
      </c>
      <c r="J2217" s="25">
        <f>IFERROR(VALUE(TRIM(LEFT(I2217,FIND("minute",I2217)-1)))*60,0)+IFERROR(VALUE(SUBSTITUTE(MID(I2217,IFERROR(FIND("and",I2217)+3,1),20),"second(s)","")),0)</f>
        <v/>
      </c>
      <c r="K2217" s="41">
        <f>J2217/60</f>
        <v/>
      </c>
      <c r="L2217" s="41">
        <f>IFERROR(J2217/H2217,"")</f>
        <v/>
      </c>
      <c r="M2217" s="25" t="inlineStr">
        <is>
          <t>2.5.12</t>
        </is>
      </c>
      <c r="N2217" s="25">
        <f>IF(J2217&gt;300,1,0)</f>
        <v/>
      </c>
      <c r="O2217" s="25">
        <f>IF(J2217&gt;600,1,0)</f>
        <v/>
      </c>
      <c r="P2217" s="25">
        <f>IF(H2217&gt;0,J2217,"")</f>
        <v/>
      </c>
      <c r="Q2217" s="25">
        <f>TEXT(A2217,"YYYY-MM-DD HH")</f>
        <v/>
      </c>
      <c r="R2217" s="25">
        <f>COUNTIF($Q$2:$Q$5295,Q2217)</f>
        <v/>
      </c>
      <c r="S2217" s="25">
        <f>IF(R2217&lt;=2,"1-2",IF(R2217&lt;=5,"3-5",IF(R2217&lt;=10,"6-10","11+")))</f>
        <v/>
      </c>
    </row>
    <row r="2218">
      <c r="A2218" s="39" t="n">
        <v>46181.43342592593</v>
      </c>
      <c r="B2218" s="25">
        <f>TEXT(A2218,"YYYY-MM")</f>
        <v/>
      </c>
      <c r="C2218" s="25">
        <f>TEXT(A2218,"MMM-YYYY")</f>
        <v/>
      </c>
      <c r="D2218" s="40">
        <f>INT(A2218)-WEEKDAY(A2218,2)+1</f>
        <v/>
      </c>
      <c r="E2218" s="25" t="inlineStr">
        <is>
          <t>ssaha</t>
        </is>
      </c>
      <c r="F2218" s="25" t="n">
        <v>123419</v>
      </c>
      <c r="G2218" s="25" t="n">
        <v>4</v>
      </c>
      <c r="H2218" s="25" t="n">
        <v>20</v>
      </c>
      <c r="I2218" s="25" t="inlineStr">
        <is>
          <t>6 minute(s) and 13 second(s)</t>
        </is>
      </c>
      <c r="J2218" s="25">
        <f>IFERROR(VALUE(TRIM(LEFT(I2218,FIND("minute",I2218)-1)))*60,0)+IFERROR(VALUE(SUBSTITUTE(MID(I2218,IFERROR(FIND("and",I2218)+3,1),20),"second(s)","")),0)</f>
        <v/>
      </c>
      <c r="K2218" s="41">
        <f>J2218/60</f>
        <v/>
      </c>
      <c r="L2218" s="41">
        <f>IFERROR(J2218/H2218,"")</f>
        <v/>
      </c>
      <c r="M2218" s="25" t="inlineStr">
        <is>
          <t>2.5.12</t>
        </is>
      </c>
      <c r="N2218" s="25">
        <f>IF(J2218&gt;300,1,0)</f>
        <v/>
      </c>
      <c r="O2218" s="25">
        <f>IF(J2218&gt;600,1,0)</f>
        <v/>
      </c>
      <c r="P2218" s="25">
        <f>IF(H2218&gt;0,J2218,"")</f>
        <v/>
      </c>
      <c r="Q2218" s="25">
        <f>TEXT(A2218,"YYYY-MM-DD HH")</f>
        <v/>
      </c>
      <c r="R2218" s="25">
        <f>COUNTIF($Q$2:$Q$5295,Q2218)</f>
        <v/>
      </c>
      <c r="S2218" s="25">
        <f>IF(R2218&lt;=2,"1-2",IF(R2218&lt;=5,"3-5",IF(R2218&lt;=10,"6-10","11+")))</f>
        <v/>
      </c>
    </row>
    <row r="2219">
      <c r="A2219" s="39" t="n">
        <v>46181.49474537037</v>
      </c>
      <c r="B2219" s="25">
        <f>TEXT(A2219,"YYYY-MM")</f>
        <v/>
      </c>
      <c r="C2219" s="25">
        <f>TEXT(A2219,"MMM-YYYY")</f>
        <v/>
      </c>
      <c r="D2219" s="40">
        <f>INT(A2219)-WEEKDAY(A2219,2)+1</f>
        <v/>
      </c>
      <c r="E2219" s="25" t="inlineStr">
        <is>
          <t>ssaha</t>
        </is>
      </c>
      <c r="F2219" s="25" t="n">
        <v>123732</v>
      </c>
      <c r="G2219" s="25" t="n">
        <v>2</v>
      </c>
      <c r="H2219" s="25" t="n">
        <v>12</v>
      </c>
      <c r="I2219" s="25" t="inlineStr">
        <is>
          <t>3 minute(s) and 37 second(s)</t>
        </is>
      </c>
      <c r="J2219" s="25">
        <f>IFERROR(VALUE(TRIM(LEFT(I2219,FIND("minute",I2219)-1)))*60,0)+IFERROR(VALUE(SUBSTITUTE(MID(I2219,IFERROR(FIND("and",I2219)+3,1),20),"second(s)","")),0)</f>
        <v/>
      </c>
      <c r="K2219" s="41">
        <f>J2219/60</f>
        <v/>
      </c>
      <c r="L2219" s="41">
        <f>IFERROR(J2219/H2219,"")</f>
        <v/>
      </c>
      <c r="M2219" s="25" t="inlineStr">
        <is>
          <t>2.5.12</t>
        </is>
      </c>
      <c r="N2219" s="25">
        <f>IF(J2219&gt;300,1,0)</f>
        <v/>
      </c>
      <c r="O2219" s="25">
        <f>IF(J2219&gt;600,1,0)</f>
        <v/>
      </c>
      <c r="P2219" s="25">
        <f>IF(H2219&gt;0,J2219,"")</f>
        <v/>
      </c>
      <c r="Q2219" s="25">
        <f>TEXT(A2219,"YYYY-MM-DD HH")</f>
        <v/>
      </c>
      <c r="R2219" s="25">
        <f>COUNTIF($Q$2:$Q$5295,Q2219)</f>
        <v/>
      </c>
      <c r="S2219" s="25">
        <f>IF(R2219&lt;=2,"1-2",IF(R2219&lt;=5,"3-5",IF(R2219&lt;=10,"6-10","11+")))</f>
        <v/>
      </c>
    </row>
    <row r="2220">
      <c r="A2220" s="39" t="n">
        <v>46181.58871527778</v>
      </c>
      <c r="B2220" s="25">
        <f>TEXT(A2220,"YYYY-MM")</f>
        <v/>
      </c>
      <c r="C2220" s="25">
        <f>TEXT(A2220,"MMM-YYYY")</f>
        <v/>
      </c>
      <c r="D2220" s="40">
        <f>INT(A2220)-WEEKDAY(A2220,2)+1</f>
        <v/>
      </c>
      <c r="E2220" s="25" t="inlineStr">
        <is>
          <t>rsingh</t>
        </is>
      </c>
      <c r="F2220" s="25" t="n">
        <v>122875</v>
      </c>
      <c r="G2220" s="25" t="n">
        <v>2</v>
      </c>
      <c r="H2220" s="25" t="n">
        <v>8</v>
      </c>
      <c r="I2220" s="25" t="inlineStr">
        <is>
          <t>2 minute(s) and 43 second(s)</t>
        </is>
      </c>
      <c r="J2220" s="25">
        <f>IFERROR(VALUE(TRIM(LEFT(I2220,FIND("minute",I2220)-1)))*60,0)+IFERROR(VALUE(SUBSTITUTE(MID(I2220,IFERROR(FIND("and",I2220)+3,1),20),"second(s)","")),0)</f>
        <v/>
      </c>
      <c r="K2220" s="41">
        <f>J2220/60</f>
        <v/>
      </c>
      <c r="L2220" s="41">
        <f>IFERROR(J2220/H2220,"")</f>
        <v/>
      </c>
      <c r="M2220" s="25" t="inlineStr">
        <is>
          <t>2.5.12</t>
        </is>
      </c>
      <c r="N2220" s="25">
        <f>IF(J2220&gt;300,1,0)</f>
        <v/>
      </c>
      <c r="O2220" s="25">
        <f>IF(J2220&gt;600,1,0)</f>
        <v/>
      </c>
      <c r="P2220" s="25">
        <f>IF(H2220&gt;0,J2220,"")</f>
        <v/>
      </c>
      <c r="Q2220" s="25">
        <f>TEXT(A2220,"YYYY-MM-DD HH")</f>
        <v/>
      </c>
      <c r="R2220" s="25">
        <f>COUNTIF($Q$2:$Q$5295,Q2220)</f>
        <v/>
      </c>
      <c r="S2220" s="25">
        <f>IF(R2220&lt;=2,"1-2",IF(R2220&lt;=5,"3-5",IF(R2220&lt;=10,"6-10","11+")))</f>
        <v/>
      </c>
    </row>
    <row r="2221">
      <c r="A2221" s="39" t="n">
        <v>46181.59915509259</v>
      </c>
      <c r="B2221" s="25">
        <f>TEXT(A2221,"YYYY-MM")</f>
        <v/>
      </c>
      <c r="C2221" s="25">
        <f>TEXT(A2221,"MMM-YYYY")</f>
        <v/>
      </c>
      <c r="D2221" s="40">
        <f>INT(A2221)-WEEKDAY(A2221,2)+1</f>
        <v/>
      </c>
      <c r="E2221" s="25" t="inlineStr">
        <is>
          <t>ssaha</t>
        </is>
      </c>
      <c r="F2221" s="25" t="n">
        <v>125777</v>
      </c>
      <c r="G2221" s="25" t="n">
        <v>4</v>
      </c>
      <c r="H2221" s="25" t="n">
        <v>20</v>
      </c>
      <c r="I2221" s="25" t="inlineStr">
        <is>
          <t>5 minute(s) and 3 second(s)</t>
        </is>
      </c>
      <c r="J2221" s="25">
        <f>IFERROR(VALUE(TRIM(LEFT(I2221,FIND("minute",I2221)-1)))*60,0)+IFERROR(VALUE(SUBSTITUTE(MID(I2221,IFERROR(FIND("and",I2221)+3,1),20),"second(s)","")),0)</f>
        <v/>
      </c>
      <c r="K2221" s="41">
        <f>J2221/60</f>
        <v/>
      </c>
      <c r="L2221" s="41">
        <f>IFERROR(J2221/H2221,"")</f>
        <v/>
      </c>
      <c r="M2221" s="25" t="inlineStr">
        <is>
          <t>2.5.12</t>
        </is>
      </c>
      <c r="N2221" s="25">
        <f>IF(J2221&gt;300,1,0)</f>
        <v/>
      </c>
      <c r="O2221" s="25">
        <f>IF(J2221&gt;600,1,0)</f>
        <v/>
      </c>
      <c r="P2221" s="25">
        <f>IF(H2221&gt;0,J2221,"")</f>
        <v/>
      </c>
      <c r="Q2221" s="25">
        <f>TEXT(A2221,"YYYY-MM-DD HH")</f>
        <v/>
      </c>
      <c r="R2221" s="25">
        <f>COUNTIF($Q$2:$Q$5295,Q2221)</f>
        <v/>
      </c>
      <c r="S2221" s="25">
        <f>IF(R2221&lt;=2,"1-2",IF(R2221&lt;=5,"3-5",IF(R2221&lt;=10,"6-10","11+")))</f>
        <v/>
      </c>
    </row>
    <row r="2222">
      <c r="A2222" s="39" t="n">
        <v>46181.65513888889</v>
      </c>
      <c r="B2222" s="25">
        <f>TEXT(A2222,"YYYY-MM")</f>
        <v/>
      </c>
      <c r="C2222" s="25">
        <f>TEXT(A2222,"MMM-YYYY")</f>
        <v/>
      </c>
      <c r="D2222" s="40">
        <f>INT(A2222)-WEEKDAY(A2222,2)+1</f>
        <v/>
      </c>
      <c r="E2222" s="25" t="inlineStr">
        <is>
          <t>rsingh</t>
        </is>
      </c>
      <c r="F2222" s="25" t="n">
        <v>123575</v>
      </c>
      <c r="G2222" s="25" t="n">
        <v>4</v>
      </c>
      <c r="H2222" s="25" t="n">
        <v>22</v>
      </c>
      <c r="I2222" s="25" t="inlineStr">
        <is>
          <t>13 minute(s) and 26 second(s)</t>
        </is>
      </c>
      <c r="J2222" s="25">
        <f>IFERROR(VALUE(TRIM(LEFT(I2222,FIND("minute",I2222)-1)))*60,0)+IFERROR(VALUE(SUBSTITUTE(MID(I2222,IFERROR(FIND("and",I2222)+3,1),20),"second(s)","")),0)</f>
        <v/>
      </c>
      <c r="K2222" s="41">
        <f>J2222/60</f>
        <v/>
      </c>
      <c r="L2222" s="41">
        <f>IFERROR(J2222/H2222,"")</f>
        <v/>
      </c>
      <c r="M2222" s="25" t="inlineStr">
        <is>
          <t>2.5.12</t>
        </is>
      </c>
      <c r="N2222" s="25">
        <f>IF(J2222&gt;300,1,0)</f>
        <v/>
      </c>
      <c r="O2222" s="25">
        <f>IF(J2222&gt;600,1,0)</f>
        <v/>
      </c>
      <c r="P2222" s="25">
        <f>IF(H2222&gt;0,J2222,"")</f>
        <v/>
      </c>
      <c r="Q2222" s="25">
        <f>TEXT(A2222,"YYYY-MM-DD HH")</f>
        <v/>
      </c>
      <c r="R2222" s="25">
        <f>COUNTIF($Q$2:$Q$5295,Q2222)</f>
        <v/>
      </c>
      <c r="S2222" s="25">
        <f>IF(R2222&lt;=2,"1-2",IF(R2222&lt;=5,"3-5",IF(R2222&lt;=10,"6-10","11+")))</f>
        <v/>
      </c>
    </row>
    <row r="2223">
      <c r="A2223" s="39" t="n">
        <v>46181.66871527778</v>
      </c>
      <c r="B2223" s="25">
        <f>TEXT(A2223,"YYYY-MM")</f>
        <v/>
      </c>
      <c r="C2223" s="25">
        <f>TEXT(A2223,"MMM-YYYY")</f>
        <v/>
      </c>
      <c r="D2223" s="40">
        <f>INT(A2223)-WEEKDAY(A2223,2)+1</f>
        <v/>
      </c>
      <c r="E2223" s="25" t="inlineStr">
        <is>
          <t>ssaha</t>
        </is>
      </c>
      <c r="F2223" s="25" t="n">
        <v>126075</v>
      </c>
      <c r="G2223" s="25" t="n">
        <v>4</v>
      </c>
      <c r="H2223" s="25" t="n">
        <v>21</v>
      </c>
      <c r="I2223" s="25" t="inlineStr">
        <is>
          <t>7 minute(s) and 16 second(s)</t>
        </is>
      </c>
      <c r="J2223" s="25">
        <f>IFERROR(VALUE(TRIM(LEFT(I2223,FIND("minute",I2223)-1)))*60,0)+IFERROR(VALUE(SUBSTITUTE(MID(I2223,IFERROR(FIND("and",I2223)+3,1),20),"second(s)","")),0)</f>
        <v/>
      </c>
      <c r="K2223" s="41">
        <f>J2223/60</f>
        <v/>
      </c>
      <c r="L2223" s="41">
        <f>IFERROR(J2223/H2223,"")</f>
        <v/>
      </c>
      <c r="M2223" s="25" t="inlineStr">
        <is>
          <t>2.5.12</t>
        </is>
      </c>
      <c r="N2223" s="25">
        <f>IF(J2223&gt;300,1,0)</f>
        <v/>
      </c>
      <c r="O2223" s="25">
        <f>IF(J2223&gt;600,1,0)</f>
        <v/>
      </c>
      <c r="P2223" s="25">
        <f>IF(H2223&gt;0,J2223,"")</f>
        <v/>
      </c>
      <c r="Q2223" s="25">
        <f>TEXT(A2223,"YYYY-MM-DD HH")</f>
        <v/>
      </c>
      <c r="R2223" s="25">
        <f>COUNTIF($Q$2:$Q$5295,Q2223)</f>
        <v/>
      </c>
      <c r="S2223" s="25">
        <f>IF(R2223&lt;=2,"1-2",IF(R2223&lt;=5,"3-5",IF(R2223&lt;=10,"6-10","11+")))</f>
        <v/>
      </c>
    </row>
    <row r="2224">
      <c r="A2224" s="39" t="n">
        <v>46181.79229166666</v>
      </c>
      <c r="B2224" s="25">
        <f>TEXT(A2224,"YYYY-MM")</f>
        <v/>
      </c>
      <c r="C2224" s="25">
        <f>TEXT(A2224,"MMM-YYYY")</f>
        <v/>
      </c>
      <c r="D2224" s="40">
        <f>INT(A2224)-WEEKDAY(A2224,2)+1</f>
        <v/>
      </c>
      <c r="E2224" s="25" t="inlineStr">
        <is>
          <t>ssaha</t>
        </is>
      </c>
      <c r="F2224" s="25" t="n">
        <v>124887</v>
      </c>
      <c r="G2224" s="25" t="n">
        <v>4</v>
      </c>
      <c r="H2224" s="25" t="n">
        <v>14</v>
      </c>
      <c r="I2224" s="25" t="inlineStr">
        <is>
          <t>4 minute(s) and 0 second(s)</t>
        </is>
      </c>
      <c r="J2224" s="25">
        <f>IFERROR(VALUE(TRIM(LEFT(I2224,FIND("minute",I2224)-1)))*60,0)+IFERROR(VALUE(SUBSTITUTE(MID(I2224,IFERROR(FIND("and",I2224)+3,1),20),"second(s)","")),0)</f>
        <v/>
      </c>
      <c r="K2224" s="41">
        <f>J2224/60</f>
        <v/>
      </c>
      <c r="L2224" s="41">
        <f>IFERROR(J2224/H2224,"")</f>
        <v/>
      </c>
      <c r="M2224" s="25" t="inlineStr">
        <is>
          <t>2.5.12</t>
        </is>
      </c>
      <c r="N2224" s="25">
        <f>IF(J2224&gt;300,1,0)</f>
        <v/>
      </c>
      <c r="O2224" s="25">
        <f>IF(J2224&gt;600,1,0)</f>
        <v/>
      </c>
      <c r="P2224" s="25">
        <f>IF(H2224&gt;0,J2224,"")</f>
        <v/>
      </c>
      <c r="Q2224" s="25">
        <f>TEXT(A2224,"YYYY-MM-DD HH")</f>
        <v/>
      </c>
      <c r="R2224" s="25">
        <f>COUNTIF($Q$2:$Q$5295,Q2224)</f>
        <v/>
      </c>
      <c r="S2224" s="25">
        <f>IF(R2224&lt;=2,"1-2",IF(R2224&lt;=5,"3-5",IF(R2224&lt;=10,"6-10","11+")))</f>
        <v/>
      </c>
    </row>
    <row r="2225">
      <c r="A2225" s="39" t="n">
        <v>46181.80096064815</v>
      </c>
      <c r="B2225" s="25">
        <f>TEXT(A2225,"YYYY-MM")</f>
        <v/>
      </c>
      <c r="C2225" s="25">
        <f>TEXT(A2225,"MMM-YYYY")</f>
        <v/>
      </c>
      <c r="D2225" s="40">
        <f>INT(A2225)-WEEKDAY(A2225,2)+1</f>
        <v/>
      </c>
      <c r="E2225" s="25" t="inlineStr">
        <is>
          <t>ssaha</t>
        </is>
      </c>
      <c r="F2225" s="25" t="n">
        <v>124887</v>
      </c>
      <c r="G2225" s="25" t="n">
        <v>4</v>
      </c>
      <c r="H2225" s="25" t="n">
        <v>8</v>
      </c>
      <c r="I2225" s="25" t="inlineStr">
        <is>
          <t>3 minute(s) and 23 second(s)</t>
        </is>
      </c>
      <c r="J2225" s="25">
        <f>IFERROR(VALUE(TRIM(LEFT(I2225,FIND("minute",I2225)-1)))*60,0)+IFERROR(VALUE(SUBSTITUTE(MID(I2225,IFERROR(FIND("and",I2225)+3,1),20),"second(s)","")),0)</f>
        <v/>
      </c>
      <c r="K2225" s="41">
        <f>J2225/60</f>
        <v/>
      </c>
      <c r="L2225" s="41">
        <f>IFERROR(J2225/H2225,"")</f>
        <v/>
      </c>
      <c r="M2225" s="25" t="inlineStr">
        <is>
          <t>2.5.12</t>
        </is>
      </c>
      <c r="N2225" s="25">
        <f>IF(J2225&gt;300,1,0)</f>
        <v/>
      </c>
      <c r="O2225" s="25">
        <f>IF(J2225&gt;600,1,0)</f>
        <v/>
      </c>
      <c r="P2225" s="25">
        <f>IF(H2225&gt;0,J2225,"")</f>
        <v/>
      </c>
      <c r="Q2225" s="25">
        <f>TEXT(A2225,"YYYY-MM-DD HH")</f>
        <v/>
      </c>
      <c r="R2225" s="25">
        <f>COUNTIF($Q$2:$Q$5295,Q2225)</f>
        <v/>
      </c>
      <c r="S2225" s="25">
        <f>IF(R2225&lt;=2,"1-2",IF(R2225&lt;=5,"3-5",IF(R2225&lt;=10,"6-10","11+")))</f>
        <v/>
      </c>
    </row>
    <row r="2226">
      <c r="A2226" s="39" t="n">
        <v>46181.87256944444</v>
      </c>
      <c r="B2226" s="25">
        <f>TEXT(A2226,"YYYY-MM")</f>
        <v/>
      </c>
      <c r="C2226" s="25">
        <f>TEXT(A2226,"MMM-YYYY")</f>
        <v/>
      </c>
      <c r="D2226" s="40">
        <f>INT(A2226)-WEEKDAY(A2226,2)+1</f>
        <v/>
      </c>
      <c r="E2226" s="25" t="inlineStr">
        <is>
          <t>ssaha</t>
        </is>
      </c>
      <c r="F2226" s="25" t="n">
        <v>125173</v>
      </c>
      <c r="G2226" s="25" t="n">
        <v>3</v>
      </c>
      <c r="H2226" s="25" t="n">
        <v>7</v>
      </c>
      <c r="I2226" s="25" t="inlineStr">
        <is>
          <t>2 minute(s) and 48 second(s)</t>
        </is>
      </c>
      <c r="J2226" s="25">
        <f>IFERROR(VALUE(TRIM(LEFT(I2226,FIND("minute",I2226)-1)))*60,0)+IFERROR(VALUE(SUBSTITUTE(MID(I2226,IFERROR(FIND("and",I2226)+3,1),20),"second(s)","")),0)</f>
        <v/>
      </c>
      <c r="K2226" s="41">
        <f>J2226/60</f>
        <v/>
      </c>
      <c r="L2226" s="41">
        <f>IFERROR(J2226/H2226,"")</f>
        <v/>
      </c>
      <c r="M2226" s="25" t="inlineStr">
        <is>
          <t>2.5.12</t>
        </is>
      </c>
      <c r="N2226" s="25">
        <f>IF(J2226&gt;300,1,0)</f>
        <v/>
      </c>
      <c r="O2226" s="25">
        <f>IF(J2226&gt;600,1,0)</f>
        <v/>
      </c>
      <c r="P2226" s="25">
        <f>IF(H2226&gt;0,J2226,"")</f>
        <v/>
      </c>
      <c r="Q2226" s="25">
        <f>TEXT(A2226,"YYYY-MM-DD HH")</f>
        <v/>
      </c>
      <c r="R2226" s="25">
        <f>COUNTIF($Q$2:$Q$5295,Q2226)</f>
        <v/>
      </c>
      <c r="S2226" s="25">
        <f>IF(R2226&lt;=2,"1-2",IF(R2226&lt;=5,"3-5",IF(R2226&lt;=10,"6-10","11+")))</f>
        <v/>
      </c>
    </row>
    <row r="2227">
      <c r="A2227" s="39" t="n">
        <v>46181.93717592592</v>
      </c>
      <c r="B2227" s="25">
        <f>TEXT(A2227,"YYYY-MM")</f>
        <v/>
      </c>
      <c r="C2227" s="25">
        <f>TEXT(A2227,"MMM-YYYY")</f>
        <v/>
      </c>
      <c r="D2227" s="40">
        <f>INT(A2227)-WEEKDAY(A2227,2)+1</f>
        <v/>
      </c>
      <c r="E2227" s="25" t="inlineStr">
        <is>
          <t>dchoudhury</t>
        </is>
      </c>
      <c r="F2227" s="25" t="n">
        <v>121496</v>
      </c>
      <c r="G2227" s="25" t="n">
        <v>3</v>
      </c>
      <c r="H2227" s="25" t="n">
        <v>14</v>
      </c>
      <c r="I2227" s="25" t="inlineStr">
        <is>
          <t>5 minute(s) and 19 second(s)</t>
        </is>
      </c>
      <c r="J2227" s="25">
        <f>IFERROR(VALUE(TRIM(LEFT(I2227,FIND("minute",I2227)-1)))*60,0)+IFERROR(VALUE(SUBSTITUTE(MID(I2227,IFERROR(FIND("and",I2227)+3,1),20),"second(s)","")),0)</f>
        <v/>
      </c>
      <c r="K2227" s="41">
        <f>J2227/60</f>
        <v/>
      </c>
      <c r="L2227" s="41">
        <f>IFERROR(J2227/H2227,"")</f>
        <v/>
      </c>
      <c r="M2227" s="25" t="inlineStr">
        <is>
          <t>2.5.12</t>
        </is>
      </c>
      <c r="N2227" s="25">
        <f>IF(J2227&gt;300,1,0)</f>
        <v/>
      </c>
      <c r="O2227" s="25">
        <f>IF(J2227&gt;600,1,0)</f>
        <v/>
      </c>
      <c r="P2227" s="25">
        <f>IF(H2227&gt;0,J2227,"")</f>
        <v/>
      </c>
      <c r="Q2227" s="25">
        <f>TEXT(A2227,"YYYY-MM-DD HH")</f>
        <v/>
      </c>
      <c r="R2227" s="25">
        <f>COUNTIF($Q$2:$Q$5295,Q2227)</f>
        <v/>
      </c>
      <c r="S2227" s="25">
        <f>IF(R2227&lt;=2,"1-2",IF(R2227&lt;=5,"3-5",IF(R2227&lt;=10,"6-10","11+")))</f>
        <v/>
      </c>
    </row>
    <row r="2228">
      <c r="A2228" s="39" t="n">
        <v>46182.07429398148</v>
      </c>
      <c r="B2228" s="25">
        <f>TEXT(A2228,"YYYY-MM")</f>
        <v/>
      </c>
      <c r="C2228" s="25">
        <f>TEXT(A2228,"MMM-YYYY")</f>
        <v/>
      </c>
      <c r="D2228" s="40">
        <f>INT(A2228)-WEEKDAY(A2228,2)+1</f>
        <v/>
      </c>
      <c r="E2228" s="25" t="inlineStr">
        <is>
          <t>stiwari</t>
        </is>
      </c>
      <c r="F2228" s="25" t="n">
        <v>124574</v>
      </c>
      <c r="G2228" s="25" t="n">
        <v>4</v>
      </c>
      <c r="H2228" s="25" t="n">
        <v>26</v>
      </c>
      <c r="I2228" s="25" t="inlineStr">
        <is>
          <t>5 minute(s) and 33 second(s)</t>
        </is>
      </c>
      <c r="J2228" s="25">
        <f>IFERROR(VALUE(TRIM(LEFT(I2228,FIND("minute",I2228)-1)))*60,0)+IFERROR(VALUE(SUBSTITUTE(MID(I2228,IFERROR(FIND("and",I2228)+3,1),20),"second(s)","")),0)</f>
        <v/>
      </c>
      <c r="K2228" s="41">
        <f>J2228/60</f>
        <v/>
      </c>
      <c r="L2228" s="41">
        <f>IFERROR(J2228/H2228,"")</f>
        <v/>
      </c>
      <c r="M2228" s="25" t="inlineStr">
        <is>
          <t>2.5.12</t>
        </is>
      </c>
      <c r="N2228" s="25">
        <f>IF(J2228&gt;300,1,0)</f>
        <v/>
      </c>
      <c r="O2228" s="25">
        <f>IF(J2228&gt;600,1,0)</f>
        <v/>
      </c>
      <c r="P2228" s="25">
        <f>IF(H2228&gt;0,J2228,"")</f>
        <v/>
      </c>
      <c r="Q2228" s="25">
        <f>TEXT(A2228,"YYYY-MM-DD HH")</f>
        <v/>
      </c>
      <c r="R2228" s="25">
        <f>COUNTIF($Q$2:$Q$5295,Q2228)</f>
        <v/>
      </c>
      <c r="S2228" s="25">
        <f>IF(R2228&lt;=2,"1-2",IF(R2228&lt;=5,"3-5",IF(R2228&lt;=10,"6-10","11+")))</f>
        <v/>
      </c>
    </row>
    <row r="2229">
      <c r="A2229" s="39" t="n">
        <v>46182.08048611111</v>
      </c>
      <c r="B2229" s="25">
        <f>TEXT(A2229,"YYYY-MM")</f>
        <v/>
      </c>
      <c r="C2229" s="25">
        <f>TEXT(A2229,"MMM-YYYY")</f>
        <v/>
      </c>
      <c r="D2229" s="40">
        <f>INT(A2229)-WEEKDAY(A2229,2)+1</f>
        <v/>
      </c>
      <c r="E2229" s="25" t="inlineStr">
        <is>
          <t>csaha</t>
        </is>
      </c>
      <c r="F2229" s="25" t="n">
        <v>123774</v>
      </c>
      <c r="G2229" s="25" t="n">
        <v>1</v>
      </c>
      <c r="H2229" s="25" t="n">
        <v>5</v>
      </c>
      <c r="I2229" s="25" t="inlineStr">
        <is>
          <t>2 minute(s) and 9 second(s)</t>
        </is>
      </c>
      <c r="J2229" s="25">
        <f>IFERROR(VALUE(TRIM(LEFT(I2229,FIND("minute",I2229)-1)))*60,0)+IFERROR(VALUE(SUBSTITUTE(MID(I2229,IFERROR(FIND("and",I2229)+3,1),20),"second(s)","")),0)</f>
        <v/>
      </c>
      <c r="K2229" s="41">
        <f>J2229/60</f>
        <v/>
      </c>
      <c r="L2229" s="41">
        <f>IFERROR(J2229/H2229,"")</f>
        <v/>
      </c>
      <c r="M2229" s="25" t="inlineStr">
        <is>
          <t>2.5.12</t>
        </is>
      </c>
      <c r="N2229" s="25">
        <f>IF(J2229&gt;300,1,0)</f>
        <v/>
      </c>
      <c r="O2229" s="25">
        <f>IF(J2229&gt;600,1,0)</f>
        <v/>
      </c>
      <c r="P2229" s="25">
        <f>IF(H2229&gt;0,J2229,"")</f>
        <v/>
      </c>
      <c r="Q2229" s="25">
        <f>TEXT(A2229,"YYYY-MM-DD HH")</f>
        <v/>
      </c>
      <c r="R2229" s="25">
        <f>COUNTIF($Q$2:$Q$5295,Q2229)</f>
        <v/>
      </c>
      <c r="S2229" s="25">
        <f>IF(R2229&lt;=2,"1-2",IF(R2229&lt;=5,"3-5",IF(R2229&lt;=10,"6-10","11+")))</f>
        <v/>
      </c>
    </row>
    <row r="2230">
      <c r="A2230" s="39" t="n">
        <v>46182.08601851852</v>
      </c>
      <c r="B2230" s="25">
        <f>TEXT(A2230,"YYYY-MM")</f>
        <v/>
      </c>
      <c r="C2230" s="25">
        <f>TEXT(A2230,"MMM-YYYY")</f>
        <v/>
      </c>
      <c r="D2230" s="40">
        <f>INT(A2230)-WEEKDAY(A2230,2)+1</f>
        <v/>
      </c>
      <c r="E2230" s="25" t="inlineStr">
        <is>
          <t>ethomas</t>
        </is>
      </c>
      <c r="F2230" s="25" t="n">
        <v>121525</v>
      </c>
      <c r="G2230" s="25" t="n">
        <v>4</v>
      </c>
      <c r="H2230" s="25" t="n">
        <v>25</v>
      </c>
      <c r="I2230" s="25" t="inlineStr">
        <is>
          <t>9 minute(s) and 18 second(s)</t>
        </is>
      </c>
      <c r="J2230" s="25">
        <f>IFERROR(VALUE(TRIM(LEFT(I2230,FIND("minute",I2230)-1)))*60,0)+IFERROR(VALUE(SUBSTITUTE(MID(I2230,IFERROR(FIND("and",I2230)+3,1),20),"second(s)","")),0)</f>
        <v/>
      </c>
      <c r="K2230" s="41">
        <f>J2230/60</f>
        <v/>
      </c>
      <c r="L2230" s="41">
        <f>IFERROR(J2230/H2230,"")</f>
        <v/>
      </c>
      <c r="M2230" s="25" t="inlineStr">
        <is>
          <t>2.5.12</t>
        </is>
      </c>
      <c r="N2230" s="25">
        <f>IF(J2230&gt;300,1,0)</f>
        <v/>
      </c>
      <c r="O2230" s="25">
        <f>IF(J2230&gt;600,1,0)</f>
        <v/>
      </c>
      <c r="P2230" s="25">
        <f>IF(H2230&gt;0,J2230,"")</f>
        <v/>
      </c>
      <c r="Q2230" s="25">
        <f>TEXT(A2230,"YYYY-MM-DD HH")</f>
        <v/>
      </c>
      <c r="R2230" s="25">
        <f>COUNTIF($Q$2:$Q$5295,Q2230)</f>
        <v/>
      </c>
      <c r="S2230" s="25">
        <f>IF(R2230&lt;=2,"1-2",IF(R2230&lt;=5,"3-5",IF(R2230&lt;=10,"6-10","11+")))</f>
        <v/>
      </c>
    </row>
    <row r="2231">
      <c r="A2231" s="39" t="n">
        <v>46182.10314814815</v>
      </c>
      <c r="B2231" s="25">
        <f>TEXT(A2231,"YYYY-MM")</f>
        <v/>
      </c>
      <c r="C2231" s="25">
        <f>TEXT(A2231,"MMM-YYYY")</f>
        <v/>
      </c>
      <c r="D2231" s="40">
        <f>INT(A2231)-WEEKDAY(A2231,2)+1</f>
        <v/>
      </c>
      <c r="E2231" s="25" t="inlineStr">
        <is>
          <t>mgupta</t>
        </is>
      </c>
      <c r="F2231" s="25" t="n">
        <v>89866</v>
      </c>
      <c r="G2231" s="25" t="n">
        <v>1</v>
      </c>
      <c r="H2231" s="25" t="n">
        <v>7</v>
      </c>
      <c r="I2231" s="25" t="inlineStr">
        <is>
          <t>2 minute(s) and 58 second(s)</t>
        </is>
      </c>
      <c r="J2231" s="25">
        <f>IFERROR(VALUE(TRIM(LEFT(I2231,FIND("minute",I2231)-1)))*60,0)+IFERROR(VALUE(SUBSTITUTE(MID(I2231,IFERROR(FIND("and",I2231)+3,1),20),"second(s)","")),0)</f>
        <v/>
      </c>
      <c r="K2231" s="41">
        <f>J2231/60</f>
        <v/>
      </c>
      <c r="L2231" s="41">
        <f>IFERROR(J2231/H2231,"")</f>
        <v/>
      </c>
      <c r="M2231" s="25" t="inlineStr">
        <is>
          <t>2.5.12</t>
        </is>
      </c>
      <c r="N2231" s="25">
        <f>IF(J2231&gt;300,1,0)</f>
        <v/>
      </c>
      <c r="O2231" s="25">
        <f>IF(J2231&gt;600,1,0)</f>
        <v/>
      </c>
      <c r="P2231" s="25">
        <f>IF(H2231&gt;0,J2231,"")</f>
        <v/>
      </c>
      <c r="Q2231" s="25">
        <f>TEXT(A2231,"YYYY-MM-DD HH")</f>
        <v/>
      </c>
      <c r="R2231" s="25">
        <f>COUNTIF($Q$2:$Q$5295,Q2231)</f>
        <v/>
      </c>
      <c r="S2231" s="25">
        <f>IF(R2231&lt;=2,"1-2",IF(R2231&lt;=5,"3-5",IF(R2231&lt;=10,"6-10","11+")))</f>
        <v/>
      </c>
    </row>
    <row r="2232">
      <c r="A2232" s="39" t="n">
        <v>46182.10353009259</v>
      </c>
      <c r="B2232" s="25">
        <f>TEXT(A2232,"YYYY-MM")</f>
        <v/>
      </c>
      <c r="C2232" s="25">
        <f>TEXT(A2232,"MMM-YYYY")</f>
        <v/>
      </c>
      <c r="D2232" s="40">
        <f>INT(A2232)-WEEKDAY(A2232,2)+1</f>
        <v/>
      </c>
      <c r="E2232" s="25" t="inlineStr">
        <is>
          <t>ssneha</t>
        </is>
      </c>
      <c r="F2232" s="25" t="n">
        <v>39491</v>
      </c>
      <c r="G2232" s="25" t="n">
        <v>4</v>
      </c>
      <c r="H2232" s="25" t="n">
        <v>14</v>
      </c>
      <c r="I2232" s="25" t="inlineStr">
        <is>
          <t>7 minute(s) and 17 second(s)</t>
        </is>
      </c>
      <c r="J2232" s="25">
        <f>IFERROR(VALUE(TRIM(LEFT(I2232,FIND("minute",I2232)-1)))*60,0)+IFERROR(VALUE(SUBSTITUTE(MID(I2232,IFERROR(FIND("and",I2232)+3,1),20),"second(s)","")),0)</f>
        <v/>
      </c>
      <c r="K2232" s="41">
        <f>J2232/60</f>
        <v/>
      </c>
      <c r="L2232" s="41">
        <f>IFERROR(J2232/H2232,"")</f>
        <v/>
      </c>
      <c r="M2232" s="25" t="inlineStr">
        <is>
          <t>2.5.12</t>
        </is>
      </c>
      <c r="N2232" s="25">
        <f>IF(J2232&gt;300,1,0)</f>
        <v/>
      </c>
      <c r="O2232" s="25">
        <f>IF(J2232&gt;600,1,0)</f>
        <v/>
      </c>
      <c r="P2232" s="25">
        <f>IF(H2232&gt;0,J2232,"")</f>
        <v/>
      </c>
      <c r="Q2232" s="25">
        <f>TEXT(A2232,"YYYY-MM-DD HH")</f>
        <v/>
      </c>
      <c r="R2232" s="25">
        <f>COUNTIF($Q$2:$Q$5295,Q2232)</f>
        <v/>
      </c>
      <c r="S2232" s="25">
        <f>IF(R2232&lt;=2,"1-2",IF(R2232&lt;=5,"3-5",IF(R2232&lt;=10,"6-10","11+")))</f>
        <v/>
      </c>
    </row>
    <row r="2233">
      <c r="A2233" s="39" t="n">
        <v>46182.10716435185</v>
      </c>
      <c r="B2233" s="25">
        <f>TEXT(A2233,"YYYY-MM")</f>
        <v/>
      </c>
      <c r="C2233" s="25">
        <f>TEXT(A2233,"MMM-YYYY")</f>
        <v/>
      </c>
      <c r="D2233" s="40">
        <f>INT(A2233)-WEEKDAY(A2233,2)+1</f>
        <v/>
      </c>
      <c r="E2233" s="25" t="inlineStr">
        <is>
          <t>apriyadarshi</t>
        </is>
      </c>
      <c r="F2233" s="25" t="n">
        <v>122586</v>
      </c>
      <c r="G2233" s="25" t="n">
        <v>3</v>
      </c>
      <c r="H2233" s="25" t="n">
        <v>9</v>
      </c>
      <c r="I2233" s="25" t="inlineStr">
        <is>
          <t>1 minute(s) and 47 second(s)</t>
        </is>
      </c>
      <c r="J2233" s="25">
        <f>IFERROR(VALUE(TRIM(LEFT(I2233,FIND("minute",I2233)-1)))*60,0)+IFERROR(VALUE(SUBSTITUTE(MID(I2233,IFERROR(FIND("and",I2233)+3,1),20),"second(s)","")),0)</f>
        <v/>
      </c>
      <c r="K2233" s="41">
        <f>J2233/60</f>
        <v/>
      </c>
      <c r="L2233" s="41">
        <f>IFERROR(J2233/H2233,"")</f>
        <v/>
      </c>
      <c r="M2233" s="25" t="inlineStr">
        <is>
          <t>2.5.12</t>
        </is>
      </c>
      <c r="N2233" s="25">
        <f>IF(J2233&gt;300,1,0)</f>
        <v/>
      </c>
      <c r="O2233" s="25">
        <f>IF(J2233&gt;600,1,0)</f>
        <v/>
      </c>
      <c r="P2233" s="25">
        <f>IF(H2233&gt;0,J2233,"")</f>
        <v/>
      </c>
      <c r="Q2233" s="25">
        <f>TEXT(A2233,"YYYY-MM-DD HH")</f>
        <v/>
      </c>
      <c r="R2233" s="25">
        <f>COUNTIF($Q$2:$Q$5295,Q2233)</f>
        <v/>
      </c>
      <c r="S2233" s="25">
        <f>IF(R2233&lt;=2,"1-2",IF(R2233&lt;=5,"3-5",IF(R2233&lt;=10,"6-10","11+")))</f>
        <v/>
      </c>
    </row>
    <row r="2234">
      <c r="A2234" s="39" t="n">
        <v>46182.1153587963</v>
      </c>
      <c r="B2234" s="25">
        <f>TEXT(A2234,"YYYY-MM")</f>
        <v/>
      </c>
      <c r="C2234" s="25">
        <f>TEXT(A2234,"MMM-YYYY")</f>
        <v/>
      </c>
      <c r="D2234" s="40">
        <f>INT(A2234)-WEEKDAY(A2234,2)+1</f>
        <v/>
      </c>
      <c r="E2234" s="25" t="inlineStr">
        <is>
          <t>rts</t>
        </is>
      </c>
      <c r="F2234" s="25" t="n">
        <v>89944</v>
      </c>
      <c r="G2234" s="25" t="n">
        <v>2</v>
      </c>
      <c r="H2234" s="25" t="n">
        <v>12</v>
      </c>
      <c r="I2234" s="25" t="inlineStr">
        <is>
          <t>7 minute(s) and 10 second(s)</t>
        </is>
      </c>
      <c r="J2234" s="25">
        <f>IFERROR(VALUE(TRIM(LEFT(I2234,FIND("minute",I2234)-1)))*60,0)+IFERROR(VALUE(SUBSTITUTE(MID(I2234,IFERROR(FIND("and",I2234)+3,1),20),"second(s)","")),0)</f>
        <v/>
      </c>
      <c r="K2234" s="41">
        <f>J2234/60</f>
        <v/>
      </c>
      <c r="L2234" s="41">
        <f>IFERROR(J2234/H2234,"")</f>
        <v/>
      </c>
      <c r="M2234" s="25" t="inlineStr">
        <is>
          <t>2.5.12</t>
        </is>
      </c>
      <c r="N2234" s="25">
        <f>IF(J2234&gt;300,1,0)</f>
        <v/>
      </c>
      <c r="O2234" s="25">
        <f>IF(J2234&gt;600,1,0)</f>
        <v/>
      </c>
      <c r="P2234" s="25">
        <f>IF(H2234&gt;0,J2234,"")</f>
        <v/>
      </c>
      <c r="Q2234" s="25">
        <f>TEXT(A2234,"YYYY-MM-DD HH")</f>
        <v/>
      </c>
      <c r="R2234" s="25">
        <f>COUNTIF($Q$2:$Q$5295,Q2234)</f>
        <v/>
      </c>
      <c r="S2234" s="25">
        <f>IF(R2234&lt;=2,"1-2",IF(R2234&lt;=5,"3-5",IF(R2234&lt;=10,"6-10","11+")))</f>
        <v/>
      </c>
    </row>
    <row r="2235">
      <c r="A2235" s="39" t="n">
        <v>46182.1165625</v>
      </c>
      <c r="B2235" s="25">
        <f>TEXT(A2235,"YYYY-MM")</f>
        <v/>
      </c>
      <c r="C2235" s="25">
        <f>TEXT(A2235,"MMM-YYYY")</f>
        <v/>
      </c>
      <c r="D2235" s="40">
        <f>INT(A2235)-WEEKDAY(A2235,2)+1</f>
        <v/>
      </c>
      <c r="E2235" s="25" t="inlineStr">
        <is>
          <t>aupadhayay</t>
        </is>
      </c>
      <c r="F2235" s="25" t="n">
        <v>124719</v>
      </c>
      <c r="G2235" s="25" t="n">
        <v>2</v>
      </c>
      <c r="H2235" s="25" t="n">
        <v>8</v>
      </c>
      <c r="I2235" s="25" t="inlineStr">
        <is>
          <t>3 minute(s) and 19 second(s)</t>
        </is>
      </c>
      <c r="J2235" s="25">
        <f>IFERROR(VALUE(TRIM(LEFT(I2235,FIND("minute",I2235)-1)))*60,0)+IFERROR(VALUE(SUBSTITUTE(MID(I2235,IFERROR(FIND("and",I2235)+3,1),20),"second(s)","")),0)</f>
        <v/>
      </c>
      <c r="K2235" s="41">
        <f>J2235/60</f>
        <v/>
      </c>
      <c r="L2235" s="41">
        <f>IFERROR(J2235/H2235,"")</f>
        <v/>
      </c>
      <c r="M2235" s="25" t="inlineStr">
        <is>
          <t>2.5.12</t>
        </is>
      </c>
      <c r="N2235" s="25">
        <f>IF(J2235&gt;300,1,0)</f>
        <v/>
      </c>
      <c r="O2235" s="25">
        <f>IF(J2235&gt;600,1,0)</f>
        <v/>
      </c>
      <c r="P2235" s="25">
        <f>IF(H2235&gt;0,J2235,"")</f>
        <v/>
      </c>
      <c r="Q2235" s="25">
        <f>TEXT(A2235,"YYYY-MM-DD HH")</f>
        <v/>
      </c>
      <c r="R2235" s="25">
        <f>COUNTIF($Q$2:$Q$5295,Q2235)</f>
        <v/>
      </c>
      <c r="S2235" s="25">
        <f>IF(R2235&lt;=2,"1-2",IF(R2235&lt;=5,"3-5",IF(R2235&lt;=10,"6-10","11+")))</f>
        <v/>
      </c>
    </row>
    <row r="2236">
      <c r="A2236" s="39" t="n">
        <v>46182.12339120371</v>
      </c>
      <c r="B2236" s="25">
        <f>TEXT(A2236,"YYYY-MM")</f>
        <v/>
      </c>
      <c r="C2236" s="25">
        <f>TEXT(A2236,"MMM-YYYY")</f>
        <v/>
      </c>
      <c r="D2236" s="40">
        <f>INT(A2236)-WEEKDAY(A2236,2)+1</f>
        <v/>
      </c>
      <c r="E2236" s="25" t="inlineStr">
        <is>
          <t>bverma</t>
        </is>
      </c>
      <c r="F2236" s="25" t="n">
        <v>124573</v>
      </c>
      <c r="G2236" s="25" t="n">
        <v>3</v>
      </c>
      <c r="H2236" s="25" t="n">
        <v>17</v>
      </c>
      <c r="I2236" s="25" t="inlineStr">
        <is>
          <t>4 minute(s) and 55 second(s)</t>
        </is>
      </c>
      <c r="J2236" s="25">
        <f>IFERROR(VALUE(TRIM(LEFT(I2236,FIND("minute",I2236)-1)))*60,0)+IFERROR(VALUE(SUBSTITUTE(MID(I2236,IFERROR(FIND("and",I2236)+3,1),20),"second(s)","")),0)</f>
        <v/>
      </c>
      <c r="K2236" s="41">
        <f>J2236/60</f>
        <v/>
      </c>
      <c r="L2236" s="41">
        <f>IFERROR(J2236/H2236,"")</f>
        <v/>
      </c>
      <c r="M2236" s="25" t="inlineStr">
        <is>
          <t>2.5.12</t>
        </is>
      </c>
      <c r="N2236" s="25">
        <f>IF(J2236&gt;300,1,0)</f>
        <v/>
      </c>
      <c r="O2236" s="25">
        <f>IF(J2236&gt;600,1,0)</f>
        <v/>
      </c>
      <c r="P2236" s="25">
        <f>IF(H2236&gt;0,J2236,"")</f>
        <v/>
      </c>
      <c r="Q2236" s="25">
        <f>TEXT(A2236,"YYYY-MM-DD HH")</f>
        <v/>
      </c>
      <c r="R2236" s="25">
        <f>COUNTIF($Q$2:$Q$5295,Q2236)</f>
        <v/>
      </c>
      <c r="S2236" s="25">
        <f>IF(R2236&lt;=2,"1-2",IF(R2236&lt;=5,"3-5",IF(R2236&lt;=10,"6-10","11+")))</f>
        <v/>
      </c>
    </row>
    <row r="2237">
      <c r="A2237" s="39" t="n">
        <v>46182.13306712963</v>
      </c>
      <c r="B2237" s="25">
        <f>TEXT(A2237,"YYYY-MM")</f>
        <v/>
      </c>
      <c r="C2237" s="25">
        <f>TEXT(A2237,"MMM-YYYY")</f>
        <v/>
      </c>
      <c r="D2237" s="40">
        <f>INT(A2237)-WEEKDAY(A2237,2)+1</f>
        <v/>
      </c>
      <c r="E2237" s="25" t="inlineStr">
        <is>
          <t>adey</t>
        </is>
      </c>
      <c r="F2237" s="25" t="n">
        <v>123910</v>
      </c>
      <c r="G2237" s="25" t="n">
        <v>4</v>
      </c>
      <c r="H2237" s="25" t="n">
        <v>20</v>
      </c>
      <c r="I2237" s="25" t="inlineStr">
        <is>
          <t>5 minute(s) and 30 second(s)</t>
        </is>
      </c>
      <c r="J2237" s="25">
        <f>IFERROR(VALUE(TRIM(LEFT(I2237,FIND("minute",I2237)-1)))*60,0)+IFERROR(VALUE(SUBSTITUTE(MID(I2237,IFERROR(FIND("and",I2237)+3,1),20),"second(s)","")),0)</f>
        <v/>
      </c>
      <c r="K2237" s="41">
        <f>J2237/60</f>
        <v/>
      </c>
      <c r="L2237" s="41">
        <f>IFERROR(J2237/H2237,"")</f>
        <v/>
      </c>
      <c r="M2237" s="25" t="inlineStr">
        <is>
          <t>2.5.12</t>
        </is>
      </c>
      <c r="N2237" s="25">
        <f>IF(J2237&gt;300,1,0)</f>
        <v/>
      </c>
      <c r="O2237" s="25">
        <f>IF(J2237&gt;600,1,0)</f>
        <v/>
      </c>
      <c r="P2237" s="25">
        <f>IF(H2237&gt;0,J2237,"")</f>
        <v/>
      </c>
      <c r="Q2237" s="25">
        <f>TEXT(A2237,"YYYY-MM-DD HH")</f>
        <v/>
      </c>
      <c r="R2237" s="25">
        <f>COUNTIF($Q$2:$Q$5295,Q2237)</f>
        <v/>
      </c>
      <c r="S2237" s="25">
        <f>IF(R2237&lt;=2,"1-2",IF(R2237&lt;=5,"3-5",IF(R2237&lt;=10,"6-10","11+")))</f>
        <v/>
      </c>
    </row>
    <row r="2238">
      <c r="A2238" s="39" t="n">
        <v>46182.14017361111</v>
      </c>
      <c r="B2238" s="25">
        <f>TEXT(A2238,"YYYY-MM")</f>
        <v/>
      </c>
      <c r="C2238" s="25">
        <f>TEXT(A2238,"MMM-YYYY")</f>
        <v/>
      </c>
      <c r="D2238" s="40">
        <f>INT(A2238)-WEEKDAY(A2238,2)+1</f>
        <v/>
      </c>
      <c r="E2238" s="25" t="inlineStr">
        <is>
          <t>ethomas</t>
        </is>
      </c>
      <c r="F2238" s="25" t="n">
        <v>122428</v>
      </c>
      <c r="G2238" s="25" t="n">
        <v>3</v>
      </c>
      <c r="H2238" s="25" t="n">
        <v>15</v>
      </c>
      <c r="I2238" s="25" t="inlineStr">
        <is>
          <t>4 minute(s) and 54 second(s)</t>
        </is>
      </c>
      <c r="J2238" s="25">
        <f>IFERROR(VALUE(TRIM(LEFT(I2238,FIND("minute",I2238)-1)))*60,0)+IFERROR(VALUE(SUBSTITUTE(MID(I2238,IFERROR(FIND("and",I2238)+3,1),20),"second(s)","")),0)</f>
        <v/>
      </c>
      <c r="K2238" s="41">
        <f>J2238/60</f>
        <v/>
      </c>
      <c r="L2238" s="41">
        <f>IFERROR(J2238/H2238,"")</f>
        <v/>
      </c>
      <c r="M2238" s="25" t="inlineStr">
        <is>
          <t>2.5.12</t>
        </is>
      </c>
      <c r="N2238" s="25">
        <f>IF(J2238&gt;300,1,0)</f>
        <v/>
      </c>
      <c r="O2238" s="25">
        <f>IF(J2238&gt;600,1,0)</f>
        <v/>
      </c>
      <c r="P2238" s="25">
        <f>IF(H2238&gt;0,J2238,"")</f>
        <v/>
      </c>
      <c r="Q2238" s="25">
        <f>TEXT(A2238,"YYYY-MM-DD HH")</f>
        <v/>
      </c>
      <c r="R2238" s="25">
        <f>COUNTIF($Q$2:$Q$5295,Q2238)</f>
        <v/>
      </c>
      <c r="S2238" s="25">
        <f>IF(R2238&lt;=2,"1-2",IF(R2238&lt;=5,"3-5",IF(R2238&lt;=10,"6-10","11+")))</f>
        <v/>
      </c>
    </row>
    <row r="2239">
      <c r="A2239" s="39" t="n">
        <v>46182.14813657408</v>
      </c>
      <c r="B2239" s="25">
        <f>TEXT(A2239,"YYYY-MM")</f>
        <v/>
      </c>
      <c r="C2239" s="25">
        <f>TEXT(A2239,"MMM-YYYY")</f>
        <v/>
      </c>
      <c r="D2239" s="40">
        <f>INT(A2239)-WEEKDAY(A2239,2)+1</f>
        <v/>
      </c>
      <c r="E2239" s="25" t="inlineStr">
        <is>
          <t>pmehndiratta</t>
        </is>
      </c>
      <c r="F2239" s="25" t="n">
        <v>121783</v>
      </c>
      <c r="G2239" s="25" t="n">
        <v>4</v>
      </c>
      <c r="H2239" s="25" t="n">
        <v>26</v>
      </c>
      <c r="I2239" s="25" t="inlineStr">
        <is>
          <t>7 minute(s) and 18 second(s)</t>
        </is>
      </c>
      <c r="J2239" s="25">
        <f>IFERROR(VALUE(TRIM(LEFT(I2239,FIND("minute",I2239)-1)))*60,0)+IFERROR(VALUE(SUBSTITUTE(MID(I2239,IFERROR(FIND("and",I2239)+3,1),20),"second(s)","")),0)</f>
        <v/>
      </c>
      <c r="K2239" s="41">
        <f>J2239/60</f>
        <v/>
      </c>
      <c r="L2239" s="41">
        <f>IFERROR(J2239/H2239,"")</f>
        <v/>
      </c>
      <c r="M2239" s="25" t="inlineStr">
        <is>
          <t>2.5.12</t>
        </is>
      </c>
      <c r="N2239" s="25">
        <f>IF(J2239&gt;300,1,0)</f>
        <v/>
      </c>
      <c r="O2239" s="25">
        <f>IF(J2239&gt;600,1,0)</f>
        <v/>
      </c>
      <c r="P2239" s="25">
        <f>IF(H2239&gt;0,J2239,"")</f>
        <v/>
      </c>
      <c r="Q2239" s="25">
        <f>TEXT(A2239,"YYYY-MM-DD HH")</f>
        <v/>
      </c>
      <c r="R2239" s="25">
        <f>COUNTIF($Q$2:$Q$5295,Q2239)</f>
        <v/>
      </c>
      <c r="S2239" s="25">
        <f>IF(R2239&lt;=2,"1-2",IF(R2239&lt;=5,"3-5",IF(R2239&lt;=10,"6-10","11+")))</f>
        <v/>
      </c>
    </row>
    <row r="2240">
      <c r="A2240" s="39" t="n">
        <v>46182.14893518519</v>
      </c>
      <c r="B2240" s="25">
        <f>TEXT(A2240,"YYYY-MM")</f>
        <v/>
      </c>
      <c r="C2240" s="25">
        <f>TEXT(A2240,"MMM-YYYY")</f>
        <v/>
      </c>
      <c r="D2240" s="40">
        <f>INT(A2240)-WEEKDAY(A2240,2)+1</f>
        <v/>
      </c>
      <c r="E2240" s="25" t="inlineStr">
        <is>
          <t>stiwari</t>
        </is>
      </c>
      <c r="F2240" s="25" t="n">
        <v>122194</v>
      </c>
      <c r="G2240" s="25" t="n">
        <v>2</v>
      </c>
      <c r="H2240" s="25" t="n">
        <v>10</v>
      </c>
      <c r="I2240" s="25" t="inlineStr">
        <is>
          <t>4 minute(s) and 45 second(s)</t>
        </is>
      </c>
      <c r="J2240" s="25">
        <f>IFERROR(VALUE(TRIM(LEFT(I2240,FIND("minute",I2240)-1)))*60,0)+IFERROR(VALUE(SUBSTITUTE(MID(I2240,IFERROR(FIND("and",I2240)+3,1),20),"second(s)","")),0)</f>
        <v/>
      </c>
      <c r="K2240" s="41">
        <f>J2240/60</f>
        <v/>
      </c>
      <c r="L2240" s="41">
        <f>IFERROR(J2240/H2240,"")</f>
        <v/>
      </c>
      <c r="M2240" s="25" t="inlineStr">
        <is>
          <t>2.5.12</t>
        </is>
      </c>
      <c r="N2240" s="25">
        <f>IF(J2240&gt;300,1,0)</f>
        <v/>
      </c>
      <c r="O2240" s="25">
        <f>IF(J2240&gt;600,1,0)</f>
        <v/>
      </c>
      <c r="P2240" s="25">
        <f>IF(H2240&gt;0,J2240,"")</f>
        <v/>
      </c>
      <c r="Q2240" s="25">
        <f>TEXT(A2240,"YYYY-MM-DD HH")</f>
        <v/>
      </c>
      <c r="R2240" s="25">
        <f>COUNTIF($Q$2:$Q$5295,Q2240)</f>
        <v/>
      </c>
      <c r="S2240" s="25">
        <f>IF(R2240&lt;=2,"1-2",IF(R2240&lt;=5,"3-5",IF(R2240&lt;=10,"6-10","11+")))</f>
        <v/>
      </c>
    </row>
    <row r="2241">
      <c r="A2241" s="39" t="n">
        <v>46182.16635416666</v>
      </c>
      <c r="B2241" s="25">
        <f>TEXT(A2241,"YYYY-MM")</f>
        <v/>
      </c>
      <c r="C2241" s="25">
        <f>TEXT(A2241,"MMM-YYYY")</f>
        <v/>
      </c>
      <c r="D2241" s="40">
        <f>INT(A2241)-WEEKDAY(A2241,2)+1</f>
        <v/>
      </c>
      <c r="E2241" s="25" t="inlineStr">
        <is>
          <t>ssneha</t>
        </is>
      </c>
      <c r="F2241" s="25" t="n">
        <v>14565</v>
      </c>
      <c r="G2241" s="25" t="n">
        <v>3</v>
      </c>
      <c r="H2241" s="25" t="n">
        <v>17</v>
      </c>
      <c r="I2241" s="25" t="inlineStr">
        <is>
          <t>11 minute(s) and 10 second(s)</t>
        </is>
      </c>
      <c r="J2241" s="25">
        <f>IFERROR(VALUE(TRIM(LEFT(I2241,FIND("minute",I2241)-1)))*60,0)+IFERROR(VALUE(SUBSTITUTE(MID(I2241,IFERROR(FIND("and",I2241)+3,1),20),"second(s)","")),0)</f>
        <v/>
      </c>
      <c r="K2241" s="41">
        <f>J2241/60</f>
        <v/>
      </c>
      <c r="L2241" s="41">
        <f>IFERROR(J2241/H2241,"")</f>
        <v/>
      </c>
      <c r="M2241" s="25" t="inlineStr">
        <is>
          <t>2.5.12</t>
        </is>
      </c>
      <c r="N2241" s="25">
        <f>IF(J2241&gt;300,1,0)</f>
        <v/>
      </c>
      <c r="O2241" s="25">
        <f>IF(J2241&gt;600,1,0)</f>
        <v/>
      </c>
      <c r="P2241" s="25">
        <f>IF(H2241&gt;0,J2241,"")</f>
        <v/>
      </c>
      <c r="Q2241" s="25">
        <f>TEXT(A2241,"YYYY-MM-DD HH")</f>
        <v/>
      </c>
      <c r="R2241" s="25">
        <f>COUNTIF($Q$2:$Q$5295,Q2241)</f>
        <v/>
      </c>
      <c r="S2241" s="25">
        <f>IF(R2241&lt;=2,"1-2",IF(R2241&lt;=5,"3-5",IF(R2241&lt;=10,"6-10","11+")))</f>
        <v/>
      </c>
    </row>
    <row r="2242">
      <c r="A2242" s="39" t="n">
        <v>46182.1683912037</v>
      </c>
      <c r="B2242" s="25">
        <f>TEXT(A2242,"YYYY-MM")</f>
        <v/>
      </c>
      <c r="C2242" s="25">
        <f>TEXT(A2242,"MMM-YYYY")</f>
        <v/>
      </c>
      <c r="D2242" s="40">
        <f>INT(A2242)-WEEKDAY(A2242,2)+1</f>
        <v/>
      </c>
      <c r="E2242" s="25" t="inlineStr">
        <is>
          <t>stiwari</t>
        </is>
      </c>
      <c r="F2242" s="25" t="n">
        <v>122191</v>
      </c>
      <c r="G2242" s="25" t="n">
        <v>4</v>
      </c>
      <c r="H2242" s="25" t="n">
        <v>28</v>
      </c>
      <c r="I2242" s="25" t="inlineStr">
        <is>
          <t>5 minute(s) and 47 second(s)</t>
        </is>
      </c>
      <c r="J2242" s="25">
        <f>IFERROR(VALUE(TRIM(LEFT(I2242,FIND("minute",I2242)-1)))*60,0)+IFERROR(VALUE(SUBSTITUTE(MID(I2242,IFERROR(FIND("and",I2242)+3,1),20),"second(s)","")),0)</f>
        <v/>
      </c>
      <c r="K2242" s="41">
        <f>J2242/60</f>
        <v/>
      </c>
      <c r="L2242" s="41">
        <f>IFERROR(J2242/H2242,"")</f>
        <v/>
      </c>
      <c r="M2242" s="25" t="inlineStr">
        <is>
          <t>2.5.12</t>
        </is>
      </c>
      <c r="N2242" s="25">
        <f>IF(J2242&gt;300,1,0)</f>
        <v/>
      </c>
      <c r="O2242" s="25">
        <f>IF(J2242&gt;600,1,0)</f>
        <v/>
      </c>
      <c r="P2242" s="25">
        <f>IF(H2242&gt;0,J2242,"")</f>
        <v/>
      </c>
      <c r="Q2242" s="25">
        <f>TEXT(A2242,"YYYY-MM-DD HH")</f>
        <v/>
      </c>
      <c r="R2242" s="25">
        <f>COUNTIF($Q$2:$Q$5295,Q2242)</f>
        <v/>
      </c>
      <c r="S2242" s="25">
        <f>IF(R2242&lt;=2,"1-2",IF(R2242&lt;=5,"3-5",IF(R2242&lt;=10,"6-10","11+")))</f>
        <v/>
      </c>
    </row>
    <row r="2243">
      <c r="A2243" s="39" t="n">
        <v>46182.17329861111</v>
      </c>
      <c r="B2243" s="25">
        <f>TEXT(A2243,"YYYY-MM")</f>
        <v/>
      </c>
      <c r="C2243" s="25">
        <f>TEXT(A2243,"MMM-YYYY")</f>
        <v/>
      </c>
      <c r="D2243" s="40">
        <f>INT(A2243)-WEEKDAY(A2243,2)+1</f>
        <v/>
      </c>
      <c r="E2243" s="25" t="inlineStr">
        <is>
          <t>ns</t>
        </is>
      </c>
      <c r="F2243" s="25" t="n">
        <v>121613</v>
      </c>
      <c r="G2243" s="25" t="n">
        <v>2</v>
      </c>
      <c r="H2243" s="25" t="n">
        <v>8</v>
      </c>
      <c r="I2243" s="25" t="inlineStr">
        <is>
          <t>2 minute(s) and 0 second(s)</t>
        </is>
      </c>
      <c r="J2243" s="25">
        <f>IFERROR(VALUE(TRIM(LEFT(I2243,FIND("minute",I2243)-1)))*60,0)+IFERROR(VALUE(SUBSTITUTE(MID(I2243,IFERROR(FIND("and",I2243)+3,1),20),"second(s)","")),0)</f>
        <v/>
      </c>
      <c r="K2243" s="41">
        <f>J2243/60</f>
        <v/>
      </c>
      <c r="L2243" s="41">
        <f>IFERROR(J2243/H2243,"")</f>
        <v/>
      </c>
      <c r="M2243" s="25" t="inlineStr">
        <is>
          <t>2.5.12</t>
        </is>
      </c>
      <c r="N2243" s="25">
        <f>IF(J2243&gt;300,1,0)</f>
        <v/>
      </c>
      <c r="O2243" s="25">
        <f>IF(J2243&gt;600,1,0)</f>
        <v/>
      </c>
      <c r="P2243" s="25">
        <f>IF(H2243&gt;0,J2243,"")</f>
        <v/>
      </c>
      <c r="Q2243" s="25">
        <f>TEXT(A2243,"YYYY-MM-DD HH")</f>
        <v/>
      </c>
      <c r="R2243" s="25">
        <f>COUNTIF($Q$2:$Q$5295,Q2243)</f>
        <v/>
      </c>
      <c r="S2243" s="25">
        <f>IF(R2243&lt;=2,"1-2",IF(R2243&lt;=5,"3-5",IF(R2243&lt;=10,"6-10","11+")))</f>
        <v/>
      </c>
    </row>
    <row r="2244">
      <c r="A2244" s="39" t="n">
        <v>46182.17347222222</v>
      </c>
      <c r="B2244" s="25">
        <f>TEXT(A2244,"YYYY-MM")</f>
        <v/>
      </c>
      <c r="C2244" s="25">
        <f>TEXT(A2244,"MMM-YYYY")</f>
        <v/>
      </c>
      <c r="D2244" s="40">
        <f>INT(A2244)-WEEKDAY(A2244,2)+1</f>
        <v/>
      </c>
      <c r="E2244" s="25" t="inlineStr">
        <is>
          <t>atiwari</t>
        </is>
      </c>
      <c r="F2244" s="25" t="n">
        <v>122521</v>
      </c>
      <c r="G2244" s="25" t="n">
        <v>4</v>
      </c>
      <c r="H2244" s="25" t="n">
        <v>24</v>
      </c>
      <c r="I2244" s="25" t="inlineStr">
        <is>
          <t>6 minute(s) and 30 second(s)</t>
        </is>
      </c>
      <c r="J2244" s="25">
        <f>IFERROR(VALUE(TRIM(LEFT(I2244,FIND("minute",I2244)-1)))*60,0)+IFERROR(VALUE(SUBSTITUTE(MID(I2244,IFERROR(FIND("and",I2244)+3,1),20),"second(s)","")),0)</f>
        <v/>
      </c>
      <c r="K2244" s="41">
        <f>J2244/60</f>
        <v/>
      </c>
      <c r="L2244" s="41">
        <f>IFERROR(J2244/H2244,"")</f>
        <v/>
      </c>
      <c r="M2244" s="25" t="inlineStr">
        <is>
          <t>2.5.12</t>
        </is>
      </c>
      <c r="N2244" s="25">
        <f>IF(J2244&gt;300,1,0)</f>
        <v/>
      </c>
      <c r="O2244" s="25">
        <f>IF(J2244&gt;600,1,0)</f>
        <v/>
      </c>
      <c r="P2244" s="25">
        <f>IF(H2244&gt;0,J2244,"")</f>
        <v/>
      </c>
      <c r="Q2244" s="25">
        <f>TEXT(A2244,"YYYY-MM-DD HH")</f>
        <v/>
      </c>
      <c r="R2244" s="25">
        <f>COUNTIF($Q$2:$Q$5295,Q2244)</f>
        <v/>
      </c>
      <c r="S2244" s="25">
        <f>IF(R2244&lt;=2,"1-2",IF(R2244&lt;=5,"3-5",IF(R2244&lt;=10,"6-10","11+")))</f>
        <v/>
      </c>
    </row>
    <row r="2245">
      <c r="A2245" s="39" t="n">
        <v>46182.17627314815</v>
      </c>
      <c r="B2245" s="25">
        <f>TEXT(A2245,"YYYY-MM")</f>
        <v/>
      </c>
      <c r="C2245" s="25">
        <f>TEXT(A2245,"MMM-YYYY")</f>
        <v/>
      </c>
      <c r="D2245" s="40">
        <f>INT(A2245)-WEEKDAY(A2245,2)+1</f>
        <v/>
      </c>
      <c r="E2245" s="25" t="inlineStr">
        <is>
          <t>hsindwani</t>
        </is>
      </c>
      <c r="F2245" s="25" t="n">
        <v>121551</v>
      </c>
      <c r="G2245" s="25" t="n">
        <v>3</v>
      </c>
      <c r="H2245" s="25" t="n">
        <v>13</v>
      </c>
      <c r="I2245" s="25" t="inlineStr">
        <is>
          <t>11 minute(s) and 14 second(s)</t>
        </is>
      </c>
      <c r="J2245" s="25">
        <f>IFERROR(VALUE(TRIM(LEFT(I2245,FIND("minute",I2245)-1)))*60,0)+IFERROR(VALUE(SUBSTITUTE(MID(I2245,IFERROR(FIND("and",I2245)+3,1),20),"second(s)","")),0)</f>
        <v/>
      </c>
      <c r="K2245" s="41">
        <f>J2245/60</f>
        <v/>
      </c>
      <c r="L2245" s="41">
        <f>IFERROR(J2245/H2245,"")</f>
        <v/>
      </c>
      <c r="M2245" s="25" t="inlineStr">
        <is>
          <t>2.5.12</t>
        </is>
      </c>
      <c r="N2245" s="25">
        <f>IF(J2245&gt;300,1,0)</f>
        <v/>
      </c>
      <c r="O2245" s="25">
        <f>IF(J2245&gt;600,1,0)</f>
        <v/>
      </c>
      <c r="P2245" s="25">
        <f>IF(H2245&gt;0,J2245,"")</f>
        <v/>
      </c>
      <c r="Q2245" s="25">
        <f>TEXT(A2245,"YYYY-MM-DD HH")</f>
        <v/>
      </c>
      <c r="R2245" s="25">
        <f>COUNTIF($Q$2:$Q$5295,Q2245)</f>
        <v/>
      </c>
      <c r="S2245" s="25">
        <f>IF(R2245&lt;=2,"1-2",IF(R2245&lt;=5,"3-5",IF(R2245&lt;=10,"6-10","11+")))</f>
        <v/>
      </c>
    </row>
    <row r="2246">
      <c r="A2246" s="39" t="n">
        <v>46182.17840277778</v>
      </c>
      <c r="B2246" s="25">
        <f>TEXT(A2246,"YYYY-MM")</f>
        <v/>
      </c>
      <c r="C2246" s="25">
        <f>TEXT(A2246,"MMM-YYYY")</f>
        <v/>
      </c>
      <c r="D2246" s="40">
        <f>INT(A2246)-WEEKDAY(A2246,2)+1</f>
        <v/>
      </c>
      <c r="E2246" s="25" t="inlineStr">
        <is>
          <t>aghosh</t>
        </is>
      </c>
      <c r="F2246" s="25" t="n">
        <v>124023</v>
      </c>
      <c r="G2246" s="25" t="n">
        <v>2</v>
      </c>
      <c r="H2246" s="25" t="n">
        <v>8</v>
      </c>
      <c r="I2246" s="25" t="inlineStr">
        <is>
          <t>2 minute(s) and 7 second(s)</t>
        </is>
      </c>
      <c r="J2246" s="25">
        <f>IFERROR(VALUE(TRIM(LEFT(I2246,FIND("minute",I2246)-1)))*60,0)+IFERROR(VALUE(SUBSTITUTE(MID(I2246,IFERROR(FIND("and",I2246)+3,1),20),"second(s)","")),0)</f>
        <v/>
      </c>
      <c r="K2246" s="41">
        <f>J2246/60</f>
        <v/>
      </c>
      <c r="L2246" s="41">
        <f>IFERROR(J2246/H2246,"")</f>
        <v/>
      </c>
      <c r="M2246" s="25" t="inlineStr">
        <is>
          <t>2.5.12</t>
        </is>
      </c>
      <c r="N2246" s="25">
        <f>IF(J2246&gt;300,1,0)</f>
        <v/>
      </c>
      <c r="O2246" s="25">
        <f>IF(J2246&gt;600,1,0)</f>
        <v/>
      </c>
      <c r="P2246" s="25">
        <f>IF(H2246&gt;0,J2246,"")</f>
        <v/>
      </c>
      <c r="Q2246" s="25">
        <f>TEXT(A2246,"YYYY-MM-DD HH")</f>
        <v/>
      </c>
      <c r="R2246" s="25">
        <f>COUNTIF($Q$2:$Q$5295,Q2246)</f>
        <v/>
      </c>
      <c r="S2246" s="25">
        <f>IF(R2246&lt;=2,"1-2",IF(R2246&lt;=5,"3-5",IF(R2246&lt;=10,"6-10","11+")))</f>
        <v/>
      </c>
    </row>
    <row r="2247">
      <c r="A2247" s="39" t="n">
        <v>46182.18857638889</v>
      </c>
      <c r="B2247" s="25">
        <f>TEXT(A2247,"YYYY-MM")</f>
        <v/>
      </c>
      <c r="C2247" s="25">
        <f>TEXT(A2247,"MMM-YYYY")</f>
        <v/>
      </c>
      <c r="D2247" s="40">
        <f>INT(A2247)-WEEKDAY(A2247,2)+1</f>
        <v/>
      </c>
      <c r="E2247" s="25" t="inlineStr">
        <is>
          <t>ssneha</t>
        </is>
      </c>
      <c r="F2247" s="25" t="n">
        <v>25793</v>
      </c>
      <c r="G2247" s="25" t="n">
        <v>1</v>
      </c>
      <c r="H2247" s="25" t="n">
        <v>7</v>
      </c>
      <c r="I2247" s="25" t="inlineStr">
        <is>
          <t>5 minute(s) and 17 second(s)</t>
        </is>
      </c>
      <c r="J2247" s="25">
        <f>IFERROR(VALUE(TRIM(LEFT(I2247,FIND("minute",I2247)-1)))*60,0)+IFERROR(VALUE(SUBSTITUTE(MID(I2247,IFERROR(FIND("and",I2247)+3,1),20),"second(s)","")),0)</f>
        <v/>
      </c>
      <c r="K2247" s="41">
        <f>J2247/60</f>
        <v/>
      </c>
      <c r="L2247" s="41">
        <f>IFERROR(J2247/H2247,"")</f>
        <v/>
      </c>
      <c r="M2247" s="25" t="inlineStr">
        <is>
          <t>2.5.12</t>
        </is>
      </c>
      <c r="N2247" s="25">
        <f>IF(J2247&gt;300,1,0)</f>
        <v/>
      </c>
      <c r="O2247" s="25">
        <f>IF(J2247&gt;600,1,0)</f>
        <v/>
      </c>
      <c r="P2247" s="25">
        <f>IF(H2247&gt;0,J2247,"")</f>
        <v/>
      </c>
      <c r="Q2247" s="25">
        <f>TEXT(A2247,"YYYY-MM-DD HH")</f>
        <v/>
      </c>
      <c r="R2247" s="25">
        <f>COUNTIF($Q$2:$Q$5295,Q2247)</f>
        <v/>
      </c>
      <c r="S2247" s="25">
        <f>IF(R2247&lt;=2,"1-2",IF(R2247&lt;=5,"3-5",IF(R2247&lt;=10,"6-10","11+")))</f>
        <v/>
      </c>
    </row>
    <row r="2248">
      <c r="A2248" s="39" t="n">
        <v>46182.18878472222</v>
      </c>
      <c r="B2248" s="25">
        <f>TEXT(A2248,"YYYY-MM")</f>
        <v/>
      </c>
      <c r="C2248" s="25">
        <f>TEXT(A2248,"MMM-YYYY")</f>
        <v/>
      </c>
      <c r="D2248" s="40">
        <f>INT(A2248)-WEEKDAY(A2248,2)+1</f>
        <v/>
      </c>
      <c r="E2248" s="25" t="inlineStr">
        <is>
          <t>apriyadarshi</t>
        </is>
      </c>
      <c r="F2248" s="25" t="n">
        <v>123591</v>
      </c>
      <c r="G2248" s="25" t="n">
        <v>2</v>
      </c>
      <c r="H2248" s="25" t="n">
        <v>12</v>
      </c>
      <c r="I2248" s="25" t="inlineStr">
        <is>
          <t>2 minute(s) and 56 second(s)</t>
        </is>
      </c>
      <c r="J2248" s="25">
        <f>IFERROR(VALUE(TRIM(LEFT(I2248,FIND("minute",I2248)-1)))*60,0)+IFERROR(VALUE(SUBSTITUTE(MID(I2248,IFERROR(FIND("and",I2248)+3,1),20),"second(s)","")),0)</f>
        <v/>
      </c>
      <c r="K2248" s="41">
        <f>J2248/60</f>
        <v/>
      </c>
      <c r="L2248" s="41">
        <f>IFERROR(J2248/H2248,"")</f>
        <v/>
      </c>
      <c r="M2248" s="25" t="inlineStr">
        <is>
          <t>2.5.12</t>
        </is>
      </c>
      <c r="N2248" s="25">
        <f>IF(J2248&gt;300,1,0)</f>
        <v/>
      </c>
      <c r="O2248" s="25">
        <f>IF(J2248&gt;600,1,0)</f>
        <v/>
      </c>
      <c r="P2248" s="25">
        <f>IF(H2248&gt;0,J2248,"")</f>
        <v/>
      </c>
      <c r="Q2248" s="25">
        <f>TEXT(A2248,"YYYY-MM-DD HH")</f>
        <v/>
      </c>
      <c r="R2248" s="25">
        <f>COUNTIF($Q$2:$Q$5295,Q2248)</f>
        <v/>
      </c>
      <c r="S2248" s="25">
        <f>IF(R2248&lt;=2,"1-2",IF(R2248&lt;=5,"3-5",IF(R2248&lt;=10,"6-10","11+")))</f>
        <v/>
      </c>
    </row>
    <row r="2249">
      <c r="A2249" s="39" t="n">
        <v>46182.20019675926</v>
      </c>
      <c r="B2249" s="25">
        <f>TEXT(A2249,"YYYY-MM")</f>
        <v/>
      </c>
      <c r="C2249" s="25">
        <f>TEXT(A2249,"MMM-YYYY")</f>
        <v/>
      </c>
      <c r="D2249" s="40">
        <f>INT(A2249)-WEEKDAY(A2249,2)+1</f>
        <v/>
      </c>
      <c r="E2249" s="25" t="inlineStr">
        <is>
          <t>ns</t>
        </is>
      </c>
      <c r="F2249" s="25" t="n">
        <v>121600</v>
      </c>
      <c r="G2249" s="25" t="n">
        <v>2</v>
      </c>
      <c r="H2249" s="25" t="n">
        <v>8</v>
      </c>
      <c r="I2249" s="25" t="inlineStr">
        <is>
          <t>3 minute(s) and 19 second(s)</t>
        </is>
      </c>
      <c r="J2249" s="25">
        <f>IFERROR(VALUE(TRIM(LEFT(I2249,FIND("minute",I2249)-1)))*60,0)+IFERROR(VALUE(SUBSTITUTE(MID(I2249,IFERROR(FIND("and",I2249)+3,1),20),"second(s)","")),0)</f>
        <v/>
      </c>
      <c r="K2249" s="41">
        <f>J2249/60</f>
        <v/>
      </c>
      <c r="L2249" s="41">
        <f>IFERROR(J2249/H2249,"")</f>
        <v/>
      </c>
      <c r="M2249" s="25" t="inlineStr">
        <is>
          <t>2.5.12</t>
        </is>
      </c>
      <c r="N2249" s="25">
        <f>IF(J2249&gt;300,1,0)</f>
        <v/>
      </c>
      <c r="O2249" s="25">
        <f>IF(J2249&gt;600,1,0)</f>
        <v/>
      </c>
      <c r="P2249" s="25">
        <f>IF(H2249&gt;0,J2249,"")</f>
        <v/>
      </c>
      <c r="Q2249" s="25">
        <f>TEXT(A2249,"YYYY-MM-DD HH")</f>
        <v/>
      </c>
      <c r="R2249" s="25">
        <f>COUNTIF($Q$2:$Q$5295,Q2249)</f>
        <v/>
      </c>
      <c r="S2249" s="25">
        <f>IF(R2249&lt;=2,"1-2",IF(R2249&lt;=5,"3-5",IF(R2249&lt;=10,"6-10","11+")))</f>
        <v/>
      </c>
    </row>
    <row r="2250">
      <c r="A2250" s="39" t="n">
        <v>46182.20342592592</v>
      </c>
      <c r="B2250" s="25">
        <f>TEXT(A2250,"YYYY-MM")</f>
        <v/>
      </c>
      <c r="C2250" s="25">
        <f>TEXT(A2250,"MMM-YYYY")</f>
        <v/>
      </c>
      <c r="D2250" s="40">
        <f>INT(A2250)-WEEKDAY(A2250,2)+1</f>
        <v/>
      </c>
      <c r="E2250" s="25" t="inlineStr">
        <is>
          <t>ssarkar</t>
        </is>
      </c>
      <c r="F2250" s="25" t="n">
        <v>122029</v>
      </c>
      <c r="G2250" s="25" t="n">
        <v>4</v>
      </c>
      <c r="H2250" s="25" t="n">
        <v>26</v>
      </c>
      <c r="I2250" s="25" t="inlineStr">
        <is>
          <t>8 minute(s) and 21 second(s)</t>
        </is>
      </c>
      <c r="J2250" s="25">
        <f>IFERROR(VALUE(TRIM(LEFT(I2250,FIND("minute",I2250)-1)))*60,0)+IFERROR(VALUE(SUBSTITUTE(MID(I2250,IFERROR(FIND("and",I2250)+3,1),20),"second(s)","")),0)</f>
        <v/>
      </c>
      <c r="K2250" s="41">
        <f>J2250/60</f>
        <v/>
      </c>
      <c r="L2250" s="41">
        <f>IFERROR(J2250/H2250,"")</f>
        <v/>
      </c>
      <c r="M2250" s="25" t="inlineStr">
        <is>
          <t>2.5.12</t>
        </is>
      </c>
      <c r="N2250" s="25">
        <f>IF(J2250&gt;300,1,0)</f>
        <v/>
      </c>
      <c r="O2250" s="25">
        <f>IF(J2250&gt;600,1,0)</f>
        <v/>
      </c>
      <c r="P2250" s="25">
        <f>IF(H2250&gt;0,J2250,"")</f>
        <v/>
      </c>
      <c r="Q2250" s="25">
        <f>TEXT(A2250,"YYYY-MM-DD HH")</f>
        <v/>
      </c>
      <c r="R2250" s="25">
        <f>COUNTIF($Q$2:$Q$5295,Q2250)</f>
        <v/>
      </c>
      <c r="S2250" s="25">
        <f>IF(R2250&lt;=2,"1-2",IF(R2250&lt;=5,"3-5",IF(R2250&lt;=10,"6-10","11+")))</f>
        <v/>
      </c>
    </row>
    <row r="2251">
      <c r="A2251" s="39" t="n">
        <v>46182.20377314815</v>
      </c>
      <c r="B2251" s="25">
        <f>TEXT(A2251,"YYYY-MM")</f>
        <v/>
      </c>
      <c r="C2251" s="25">
        <f>TEXT(A2251,"MMM-YYYY")</f>
        <v/>
      </c>
      <c r="D2251" s="40">
        <f>INT(A2251)-WEEKDAY(A2251,2)+1</f>
        <v/>
      </c>
      <c r="E2251" s="25" t="inlineStr">
        <is>
          <t>mgupta</t>
        </is>
      </c>
      <c r="F2251" s="25" t="n">
        <v>126070</v>
      </c>
      <c r="G2251" s="25" t="n">
        <v>5</v>
      </c>
      <c r="H2251" s="25" t="n">
        <v>17</v>
      </c>
      <c r="I2251" s="25" t="inlineStr">
        <is>
          <t>4 minute(s) and 1 second(s)</t>
        </is>
      </c>
      <c r="J2251" s="25">
        <f>IFERROR(VALUE(TRIM(LEFT(I2251,FIND("minute",I2251)-1)))*60,0)+IFERROR(VALUE(SUBSTITUTE(MID(I2251,IFERROR(FIND("and",I2251)+3,1),20),"second(s)","")),0)</f>
        <v/>
      </c>
      <c r="K2251" s="41">
        <f>J2251/60</f>
        <v/>
      </c>
      <c r="L2251" s="41">
        <f>IFERROR(J2251/H2251,"")</f>
        <v/>
      </c>
      <c r="M2251" s="25" t="inlineStr">
        <is>
          <t>2.5.12</t>
        </is>
      </c>
      <c r="N2251" s="25">
        <f>IF(J2251&gt;300,1,0)</f>
        <v/>
      </c>
      <c r="O2251" s="25">
        <f>IF(J2251&gt;600,1,0)</f>
        <v/>
      </c>
      <c r="P2251" s="25">
        <f>IF(H2251&gt;0,J2251,"")</f>
        <v/>
      </c>
      <c r="Q2251" s="25">
        <f>TEXT(A2251,"YYYY-MM-DD HH")</f>
        <v/>
      </c>
      <c r="R2251" s="25">
        <f>COUNTIF($Q$2:$Q$5295,Q2251)</f>
        <v/>
      </c>
      <c r="S2251" s="25">
        <f>IF(R2251&lt;=2,"1-2",IF(R2251&lt;=5,"3-5",IF(R2251&lt;=10,"6-10","11+")))</f>
        <v/>
      </c>
    </row>
    <row r="2252">
      <c r="A2252" s="39" t="n">
        <v>46182.20444444445</v>
      </c>
      <c r="B2252" s="25">
        <f>TEXT(A2252,"YYYY-MM")</f>
        <v/>
      </c>
      <c r="C2252" s="25">
        <f>TEXT(A2252,"MMM-YYYY")</f>
        <v/>
      </c>
      <c r="D2252" s="40">
        <f>INT(A2252)-WEEKDAY(A2252,2)+1</f>
        <v/>
      </c>
      <c r="E2252" s="25" t="inlineStr">
        <is>
          <t>csaha</t>
        </is>
      </c>
      <c r="F2252" s="25" t="n">
        <v>122395</v>
      </c>
      <c r="G2252" s="25" t="n">
        <v>4</v>
      </c>
      <c r="H2252" s="25" t="n">
        <v>20</v>
      </c>
      <c r="I2252" s="25" t="inlineStr">
        <is>
          <t>4 minute(s) and 38 second(s)</t>
        </is>
      </c>
      <c r="J2252" s="25">
        <f>IFERROR(VALUE(TRIM(LEFT(I2252,FIND("minute",I2252)-1)))*60,0)+IFERROR(VALUE(SUBSTITUTE(MID(I2252,IFERROR(FIND("and",I2252)+3,1),20),"second(s)","")),0)</f>
        <v/>
      </c>
      <c r="K2252" s="41">
        <f>J2252/60</f>
        <v/>
      </c>
      <c r="L2252" s="41">
        <f>IFERROR(J2252/H2252,"")</f>
        <v/>
      </c>
      <c r="M2252" s="25" t="inlineStr">
        <is>
          <t>2.5.12</t>
        </is>
      </c>
      <c r="N2252" s="25">
        <f>IF(J2252&gt;300,1,0)</f>
        <v/>
      </c>
      <c r="O2252" s="25">
        <f>IF(J2252&gt;600,1,0)</f>
        <v/>
      </c>
      <c r="P2252" s="25">
        <f>IF(H2252&gt;0,J2252,"")</f>
        <v/>
      </c>
      <c r="Q2252" s="25">
        <f>TEXT(A2252,"YYYY-MM-DD HH")</f>
        <v/>
      </c>
      <c r="R2252" s="25">
        <f>COUNTIF($Q$2:$Q$5295,Q2252)</f>
        <v/>
      </c>
      <c r="S2252" s="25">
        <f>IF(R2252&lt;=2,"1-2",IF(R2252&lt;=5,"3-5",IF(R2252&lt;=10,"6-10","11+")))</f>
        <v/>
      </c>
    </row>
    <row r="2253">
      <c r="A2253" s="39" t="n">
        <v>46182.21125</v>
      </c>
      <c r="B2253" s="25">
        <f>TEXT(A2253,"YYYY-MM")</f>
        <v/>
      </c>
      <c r="C2253" s="25">
        <f>TEXT(A2253,"MMM-YYYY")</f>
        <v/>
      </c>
      <c r="D2253" s="40">
        <f>INT(A2253)-WEEKDAY(A2253,2)+1</f>
        <v/>
      </c>
      <c r="E2253" s="25" t="inlineStr">
        <is>
          <t>rts</t>
        </is>
      </c>
      <c r="F2253" s="25" t="n">
        <v>89946</v>
      </c>
      <c r="G2253" s="25" t="n">
        <v>3</v>
      </c>
      <c r="H2253" s="25" t="n">
        <v>15</v>
      </c>
      <c r="I2253" s="25" t="inlineStr">
        <is>
          <t>9 minute(s) and 10 second(s)</t>
        </is>
      </c>
      <c r="J2253" s="25">
        <f>IFERROR(VALUE(TRIM(LEFT(I2253,FIND("minute",I2253)-1)))*60,0)+IFERROR(VALUE(SUBSTITUTE(MID(I2253,IFERROR(FIND("and",I2253)+3,1),20),"second(s)","")),0)</f>
        <v/>
      </c>
      <c r="K2253" s="41">
        <f>J2253/60</f>
        <v/>
      </c>
      <c r="L2253" s="41">
        <f>IFERROR(J2253/H2253,"")</f>
        <v/>
      </c>
      <c r="M2253" s="25" t="inlineStr">
        <is>
          <t>2.5.12</t>
        </is>
      </c>
      <c r="N2253" s="25">
        <f>IF(J2253&gt;300,1,0)</f>
        <v/>
      </c>
      <c r="O2253" s="25">
        <f>IF(J2253&gt;600,1,0)</f>
        <v/>
      </c>
      <c r="P2253" s="25">
        <f>IF(H2253&gt;0,J2253,"")</f>
        <v/>
      </c>
      <c r="Q2253" s="25">
        <f>TEXT(A2253,"YYYY-MM-DD HH")</f>
        <v/>
      </c>
      <c r="R2253" s="25">
        <f>COUNTIF($Q$2:$Q$5295,Q2253)</f>
        <v/>
      </c>
      <c r="S2253" s="25">
        <f>IF(R2253&lt;=2,"1-2",IF(R2253&lt;=5,"3-5",IF(R2253&lt;=10,"6-10","11+")))</f>
        <v/>
      </c>
    </row>
    <row r="2254">
      <c r="A2254" s="39" t="n">
        <v>46182.21965277778</v>
      </c>
      <c r="B2254" s="25">
        <f>TEXT(A2254,"YYYY-MM")</f>
        <v/>
      </c>
      <c r="C2254" s="25">
        <f>TEXT(A2254,"MMM-YYYY")</f>
        <v/>
      </c>
      <c r="D2254" s="40">
        <f>INT(A2254)-WEEKDAY(A2254,2)+1</f>
        <v/>
      </c>
      <c r="E2254" s="25" t="inlineStr">
        <is>
          <t>bverma</t>
        </is>
      </c>
      <c r="F2254" s="25" t="n">
        <v>121448</v>
      </c>
      <c r="G2254" s="25" t="n">
        <v>5</v>
      </c>
      <c r="H2254" s="25" t="n">
        <v>32</v>
      </c>
      <c r="I2254" s="25" t="inlineStr">
        <is>
          <t>11 minute(s) and 0 second(s)</t>
        </is>
      </c>
      <c r="J2254" s="25">
        <f>IFERROR(VALUE(TRIM(LEFT(I2254,FIND("minute",I2254)-1)))*60,0)+IFERROR(VALUE(SUBSTITUTE(MID(I2254,IFERROR(FIND("and",I2254)+3,1),20),"second(s)","")),0)</f>
        <v/>
      </c>
      <c r="K2254" s="41">
        <f>J2254/60</f>
        <v/>
      </c>
      <c r="L2254" s="41">
        <f>IFERROR(J2254/H2254,"")</f>
        <v/>
      </c>
      <c r="M2254" s="25" t="inlineStr">
        <is>
          <t>2.5.12</t>
        </is>
      </c>
      <c r="N2254" s="25">
        <f>IF(J2254&gt;300,1,0)</f>
        <v/>
      </c>
      <c r="O2254" s="25">
        <f>IF(J2254&gt;600,1,0)</f>
        <v/>
      </c>
      <c r="P2254" s="25">
        <f>IF(H2254&gt;0,J2254,"")</f>
        <v/>
      </c>
      <c r="Q2254" s="25">
        <f>TEXT(A2254,"YYYY-MM-DD HH")</f>
        <v/>
      </c>
      <c r="R2254" s="25">
        <f>COUNTIF($Q$2:$Q$5295,Q2254)</f>
        <v/>
      </c>
      <c r="S2254" s="25">
        <f>IF(R2254&lt;=2,"1-2",IF(R2254&lt;=5,"3-5",IF(R2254&lt;=10,"6-10","11+")))</f>
        <v/>
      </c>
    </row>
    <row r="2255">
      <c r="A2255" s="39" t="n">
        <v>46182.2277662037</v>
      </c>
      <c r="B2255" s="25">
        <f>TEXT(A2255,"YYYY-MM")</f>
        <v/>
      </c>
      <c r="C2255" s="25">
        <f>TEXT(A2255,"MMM-YYYY")</f>
        <v/>
      </c>
      <c r="D2255" s="40">
        <f>INT(A2255)-WEEKDAY(A2255,2)+1</f>
        <v/>
      </c>
      <c r="E2255" s="25" t="inlineStr">
        <is>
          <t>aghosh</t>
        </is>
      </c>
      <c r="F2255" s="25" t="n">
        <v>124139</v>
      </c>
      <c r="G2255" s="25" t="n">
        <v>4</v>
      </c>
      <c r="H2255" s="25" t="n">
        <v>20</v>
      </c>
      <c r="I2255" s="25" t="inlineStr">
        <is>
          <t>7 minute(s) and 0 second(s)</t>
        </is>
      </c>
      <c r="J2255" s="25">
        <f>IFERROR(VALUE(TRIM(LEFT(I2255,FIND("minute",I2255)-1)))*60,0)+IFERROR(VALUE(SUBSTITUTE(MID(I2255,IFERROR(FIND("and",I2255)+3,1),20),"second(s)","")),0)</f>
        <v/>
      </c>
      <c r="K2255" s="41">
        <f>J2255/60</f>
        <v/>
      </c>
      <c r="L2255" s="41">
        <f>IFERROR(J2255/H2255,"")</f>
        <v/>
      </c>
      <c r="M2255" s="25" t="inlineStr">
        <is>
          <t>2.5.12</t>
        </is>
      </c>
      <c r="N2255" s="25">
        <f>IF(J2255&gt;300,1,0)</f>
        <v/>
      </c>
      <c r="O2255" s="25">
        <f>IF(J2255&gt;600,1,0)</f>
        <v/>
      </c>
      <c r="P2255" s="25">
        <f>IF(H2255&gt;0,J2255,"")</f>
        <v/>
      </c>
      <c r="Q2255" s="25">
        <f>TEXT(A2255,"YYYY-MM-DD HH")</f>
        <v/>
      </c>
      <c r="R2255" s="25">
        <f>COUNTIF($Q$2:$Q$5295,Q2255)</f>
        <v/>
      </c>
      <c r="S2255" s="25">
        <f>IF(R2255&lt;=2,"1-2",IF(R2255&lt;=5,"3-5",IF(R2255&lt;=10,"6-10","11+")))</f>
        <v/>
      </c>
    </row>
    <row r="2256">
      <c r="A2256" s="39" t="n">
        <v>46182.23261574074</v>
      </c>
      <c r="B2256" s="25">
        <f>TEXT(A2256,"YYYY-MM")</f>
        <v/>
      </c>
      <c r="C2256" s="25">
        <f>TEXT(A2256,"MMM-YYYY")</f>
        <v/>
      </c>
      <c r="D2256" s="40">
        <f>INT(A2256)-WEEKDAY(A2256,2)+1</f>
        <v/>
      </c>
      <c r="E2256" s="25" t="inlineStr">
        <is>
          <t>ns</t>
        </is>
      </c>
      <c r="F2256" s="25" t="n">
        <v>121619</v>
      </c>
      <c r="G2256" s="25" t="n">
        <v>1</v>
      </c>
      <c r="H2256" s="25" t="n">
        <v>7</v>
      </c>
      <c r="I2256" s="25" t="inlineStr">
        <is>
          <t>2 minute(s) and 40 second(s)</t>
        </is>
      </c>
      <c r="J2256" s="25">
        <f>IFERROR(VALUE(TRIM(LEFT(I2256,FIND("minute",I2256)-1)))*60,0)+IFERROR(VALUE(SUBSTITUTE(MID(I2256,IFERROR(FIND("and",I2256)+3,1),20),"second(s)","")),0)</f>
        <v/>
      </c>
      <c r="K2256" s="41">
        <f>J2256/60</f>
        <v/>
      </c>
      <c r="L2256" s="41">
        <f>IFERROR(J2256/H2256,"")</f>
        <v/>
      </c>
      <c r="M2256" s="25" t="inlineStr">
        <is>
          <t>2.5.12</t>
        </is>
      </c>
      <c r="N2256" s="25">
        <f>IF(J2256&gt;300,1,0)</f>
        <v/>
      </c>
      <c r="O2256" s="25">
        <f>IF(J2256&gt;600,1,0)</f>
        <v/>
      </c>
      <c r="P2256" s="25">
        <f>IF(H2256&gt;0,J2256,"")</f>
        <v/>
      </c>
      <c r="Q2256" s="25">
        <f>TEXT(A2256,"YYYY-MM-DD HH")</f>
        <v/>
      </c>
      <c r="R2256" s="25">
        <f>COUNTIF($Q$2:$Q$5295,Q2256)</f>
        <v/>
      </c>
      <c r="S2256" s="25">
        <f>IF(R2256&lt;=2,"1-2",IF(R2256&lt;=5,"3-5",IF(R2256&lt;=10,"6-10","11+")))</f>
        <v/>
      </c>
    </row>
    <row r="2257">
      <c r="A2257" s="39" t="n">
        <v>46182.24113425926</v>
      </c>
      <c r="B2257" s="25">
        <f>TEXT(A2257,"YYYY-MM")</f>
        <v/>
      </c>
      <c r="C2257" s="25">
        <f>TEXT(A2257,"MMM-YYYY")</f>
        <v/>
      </c>
      <c r="D2257" s="40">
        <f>INT(A2257)-WEEKDAY(A2257,2)+1</f>
        <v/>
      </c>
      <c r="E2257" s="25" t="inlineStr">
        <is>
          <t>sswati</t>
        </is>
      </c>
      <c r="F2257" s="25" t="n">
        <v>122206</v>
      </c>
      <c r="G2257" s="25" t="n">
        <v>4</v>
      </c>
      <c r="H2257" s="25" t="n">
        <v>14</v>
      </c>
      <c r="I2257" s="25" t="inlineStr">
        <is>
          <t>9 minute(s) and 2 second(s)</t>
        </is>
      </c>
      <c r="J2257" s="25">
        <f>IFERROR(VALUE(TRIM(LEFT(I2257,FIND("minute",I2257)-1)))*60,0)+IFERROR(VALUE(SUBSTITUTE(MID(I2257,IFERROR(FIND("and",I2257)+3,1),20),"second(s)","")),0)</f>
        <v/>
      </c>
      <c r="K2257" s="41">
        <f>J2257/60</f>
        <v/>
      </c>
      <c r="L2257" s="41">
        <f>IFERROR(J2257/H2257,"")</f>
        <v/>
      </c>
      <c r="M2257" s="25" t="inlineStr">
        <is>
          <t>2.5.12</t>
        </is>
      </c>
      <c r="N2257" s="25">
        <f>IF(J2257&gt;300,1,0)</f>
        <v/>
      </c>
      <c r="O2257" s="25">
        <f>IF(J2257&gt;600,1,0)</f>
        <v/>
      </c>
      <c r="P2257" s="25">
        <f>IF(H2257&gt;0,J2257,"")</f>
        <v/>
      </c>
      <c r="Q2257" s="25">
        <f>TEXT(A2257,"YYYY-MM-DD HH")</f>
        <v/>
      </c>
      <c r="R2257" s="25">
        <f>COUNTIF($Q$2:$Q$5295,Q2257)</f>
        <v/>
      </c>
      <c r="S2257" s="25">
        <f>IF(R2257&lt;=2,"1-2",IF(R2257&lt;=5,"3-5",IF(R2257&lt;=10,"6-10","11+")))</f>
        <v/>
      </c>
    </row>
    <row r="2258">
      <c r="A2258" s="39" t="n">
        <v>46182.24482638889</v>
      </c>
      <c r="B2258" s="25">
        <f>TEXT(A2258,"YYYY-MM")</f>
        <v/>
      </c>
      <c r="C2258" s="25">
        <f>TEXT(A2258,"MMM-YYYY")</f>
        <v/>
      </c>
      <c r="D2258" s="40">
        <f>INT(A2258)-WEEKDAY(A2258,2)+1</f>
        <v/>
      </c>
      <c r="E2258" s="25" t="inlineStr">
        <is>
          <t>ethomas</t>
        </is>
      </c>
      <c r="F2258" s="25" t="n">
        <v>122401</v>
      </c>
      <c r="G2258" s="25" t="n">
        <v>1</v>
      </c>
      <c r="H2258" s="25" t="n">
        <v>5</v>
      </c>
      <c r="I2258" s="25" t="inlineStr">
        <is>
          <t>1 minute(s) and 18 second(s)</t>
        </is>
      </c>
      <c r="J2258" s="25">
        <f>IFERROR(VALUE(TRIM(LEFT(I2258,FIND("minute",I2258)-1)))*60,0)+IFERROR(VALUE(SUBSTITUTE(MID(I2258,IFERROR(FIND("and",I2258)+3,1),20),"second(s)","")),0)</f>
        <v/>
      </c>
      <c r="K2258" s="41">
        <f>J2258/60</f>
        <v/>
      </c>
      <c r="L2258" s="41">
        <f>IFERROR(J2258/H2258,"")</f>
        <v/>
      </c>
      <c r="M2258" s="25" t="inlineStr">
        <is>
          <t>2.5.12</t>
        </is>
      </c>
      <c r="N2258" s="25">
        <f>IF(J2258&gt;300,1,0)</f>
        <v/>
      </c>
      <c r="O2258" s="25">
        <f>IF(J2258&gt;600,1,0)</f>
        <v/>
      </c>
      <c r="P2258" s="25">
        <f>IF(H2258&gt;0,J2258,"")</f>
        <v/>
      </c>
      <c r="Q2258" s="25">
        <f>TEXT(A2258,"YYYY-MM-DD HH")</f>
        <v/>
      </c>
      <c r="R2258" s="25">
        <f>COUNTIF($Q$2:$Q$5295,Q2258)</f>
        <v/>
      </c>
      <c r="S2258" s="25">
        <f>IF(R2258&lt;=2,"1-2",IF(R2258&lt;=5,"3-5",IF(R2258&lt;=10,"6-10","11+")))</f>
        <v/>
      </c>
    </row>
    <row r="2259">
      <c r="A2259" s="39" t="n">
        <v>46182.2499537037</v>
      </c>
      <c r="B2259" s="25">
        <f>TEXT(A2259,"YYYY-MM")</f>
        <v/>
      </c>
      <c r="C2259" s="25">
        <f>TEXT(A2259,"MMM-YYYY")</f>
        <v/>
      </c>
      <c r="D2259" s="40">
        <f>INT(A2259)-WEEKDAY(A2259,2)+1</f>
        <v/>
      </c>
      <c r="E2259" s="25" t="inlineStr">
        <is>
          <t>ethomas</t>
        </is>
      </c>
      <c r="F2259" s="25" t="n">
        <v>122401</v>
      </c>
      <c r="G2259" s="25" t="n">
        <v>2</v>
      </c>
      <c r="H2259" s="25" t="n">
        <v>10</v>
      </c>
      <c r="I2259" s="25" t="inlineStr">
        <is>
          <t>4 minute(s) and 20 second(s)</t>
        </is>
      </c>
      <c r="J2259" s="25">
        <f>IFERROR(VALUE(TRIM(LEFT(I2259,FIND("minute",I2259)-1)))*60,0)+IFERROR(VALUE(SUBSTITUTE(MID(I2259,IFERROR(FIND("and",I2259)+3,1),20),"second(s)","")),0)</f>
        <v/>
      </c>
      <c r="K2259" s="41">
        <f>J2259/60</f>
        <v/>
      </c>
      <c r="L2259" s="41">
        <f>IFERROR(J2259/H2259,"")</f>
        <v/>
      </c>
      <c r="M2259" s="25" t="inlineStr">
        <is>
          <t>2.5.12</t>
        </is>
      </c>
      <c r="N2259" s="25">
        <f>IF(J2259&gt;300,1,0)</f>
        <v/>
      </c>
      <c r="O2259" s="25">
        <f>IF(J2259&gt;600,1,0)</f>
        <v/>
      </c>
      <c r="P2259" s="25">
        <f>IF(H2259&gt;0,J2259,"")</f>
        <v/>
      </c>
      <c r="Q2259" s="25">
        <f>TEXT(A2259,"YYYY-MM-DD HH")</f>
        <v/>
      </c>
      <c r="R2259" s="25">
        <f>COUNTIF($Q$2:$Q$5295,Q2259)</f>
        <v/>
      </c>
      <c r="S2259" s="25">
        <f>IF(R2259&lt;=2,"1-2",IF(R2259&lt;=5,"3-5",IF(R2259&lt;=10,"6-10","11+")))</f>
        <v/>
      </c>
    </row>
    <row r="2260">
      <c r="A2260" s="39" t="n">
        <v>46182.25116898148</v>
      </c>
      <c r="B2260" s="25">
        <f>TEXT(A2260,"YYYY-MM")</f>
        <v/>
      </c>
      <c r="C2260" s="25">
        <f>TEXT(A2260,"MMM-YYYY")</f>
        <v/>
      </c>
      <c r="D2260" s="40">
        <f>INT(A2260)-WEEKDAY(A2260,2)+1</f>
        <v/>
      </c>
      <c r="E2260" s="25" t="inlineStr">
        <is>
          <t>aupadhayay</t>
        </is>
      </c>
      <c r="F2260" s="25" t="n">
        <v>121940</v>
      </c>
      <c r="G2260" s="25" t="n">
        <v>4</v>
      </c>
      <c r="H2260" s="25" t="n">
        <v>14</v>
      </c>
      <c r="I2260" s="25" t="inlineStr">
        <is>
          <t>7 minute(s) and 4 second(s)</t>
        </is>
      </c>
      <c r="J2260" s="25">
        <f>IFERROR(VALUE(TRIM(LEFT(I2260,FIND("minute",I2260)-1)))*60,0)+IFERROR(VALUE(SUBSTITUTE(MID(I2260,IFERROR(FIND("and",I2260)+3,1),20),"second(s)","")),0)</f>
        <v/>
      </c>
      <c r="K2260" s="41">
        <f>J2260/60</f>
        <v/>
      </c>
      <c r="L2260" s="41">
        <f>IFERROR(J2260/H2260,"")</f>
        <v/>
      </c>
      <c r="M2260" s="25" t="inlineStr">
        <is>
          <t>2.5.12</t>
        </is>
      </c>
      <c r="N2260" s="25">
        <f>IF(J2260&gt;300,1,0)</f>
        <v/>
      </c>
      <c r="O2260" s="25">
        <f>IF(J2260&gt;600,1,0)</f>
        <v/>
      </c>
      <c r="P2260" s="25">
        <f>IF(H2260&gt;0,J2260,"")</f>
        <v/>
      </c>
      <c r="Q2260" s="25">
        <f>TEXT(A2260,"YYYY-MM-DD HH")</f>
        <v/>
      </c>
      <c r="R2260" s="25">
        <f>COUNTIF($Q$2:$Q$5295,Q2260)</f>
        <v/>
      </c>
      <c r="S2260" s="25">
        <f>IF(R2260&lt;=2,"1-2",IF(R2260&lt;=5,"3-5",IF(R2260&lt;=10,"6-10","11+")))</f>
        <v/>
      </c>
    </row>
    <row r="2261">
      <c r="A2261" s="39" t="n">
        <v>46182.25768518518</v>
      </c>
      <c r="B2261" s="25">
        <f>TEXT(A2261,"YYYY-MM")</f>
        <v/>
      </c>
      <c r="C2261" s="25">
        <f>TEXT(A2261,"MMM-YYYY")</f>
        <v/>
      </c>
      <c r="D2261" s="40">
        <f>INT(A2261)-WEEKDAY(A2261,2)+1</f>
        <v/>
      </c>
      <c r="E2261" s="25" t="inlineStr">
        <is>
          <t>stiwari</t>
        </is>
      </c>
      <c r="F2261" s="25" t="n">
        <v>122187</v>
      </c>
      <c r="G2261" s="25" t="n">
        <v>1</v>
      </c>
      <c r="H2261" s="25" t="n">
        <v>5</v>
      </c>
      <c r="I2261" s="25" t="inlineStr">
        <is>
          <t>2 minute(s) and 59 second(s)</t>
        </is>
      </c>
      <c r="J2261" s="25">
        <f>IFERROR(VALUE(TRIM(LEFT(I2261,FIND("minute",I2261)-1)))*60,0)+IFERROR(VALUE(SUBSTITUTE(MID(I2261,IFERROR(FIND("and",I2261)+3,1),20),"second(s)","")),0)</f>
        <v/>
      </c>
      <c r="K2261" s="41">
        <f>J2261/60</f>
        <v/>
      </c>
      <c r="L2261" s="41">
        <f>IFERROR(J2261/H2261,"")</f>
        <v/>
      </c>
      <c r="M2261" s="25" t="inlineStr">
        <is>
          <t>2.5.12</t>
        </is>
      </c>
      <c r="N2261" s="25">
        <f>IF(J2261&gt;300,1,0)</f>
        <v/>
      </c>
      <c r="O2261" s="25">
        <f>IF(J2261&gt;600,1,0)</f>
        <v/>
      </c>
      <c r="P2261" s="25">
        <f>IF(H2261&gt;0,J2261,"")</f>
        <v/>
      </c>
      <c r="Q2261" s="25">
        <f>TEXT(A2261,"YYYY-MM-DD HH")</f>
        <v/>
      </c>
      <c r="R2261" s="25">
        <f>COUNTIF($Q$2:$Q$5295,Q2261)</f>
        <v/>
      </c>
      <c r="S2261" s="25">
        <f>IF(R2261&lt;=2,"1-2",IF(R2261&lt;=5,"3-5",IF(R2261&lt;=10,"6-10","11+")))</f>
        <v/>
      </c>
    </row>
    <row r="2262">
      <c r="A2262" s="39" t="n">
        <v>46182.25774305555</v>
      </c>
      <c r="B2262" s="25">
        <f>TEXT(A2262,"YYYY-MM")</f>
        <v/>
      </c>
      <c r="C2262" s="25">
        <f>TEXT(A2262,"MMM-YYYY")</f>
        <v/>
      </c>
      <c r="D2262" s="40">
        <f>INT(A2262)-WEEKDAY(A2262,2)+1</f>
        <v/>
      </c>
      <c r="E2262" s="25" t="inlineStr">
        <is>
          <t>atiwari</t>
        </is>
      </c>
      <c r="F2262" s="25" t="n">
        <v>122163</v>
      </c>
      <c r="G2262" s="25" t="n">
        <v>4</v>
      </c>
      <c r="H2262" s="25" t="n">
        <v>27</v>
      </c>
      <c r="I2262" s="25" t="inlineStr">
        <is>
          <t>7 minute(s) and 55 second(s)</t>
        </is>
      </c>
      <c r="J2262" s="25">
        <f>IFERROR(VALUE(TRIM(LEFT(I2262,FIND("minute",I2262)-1)))*60,0)+IFERROR(VALUE(SUBSTITUTE(MID(I2262,IFERROR(FIND("and",I2262)+3,1),20),"second(s)","")),0)</f>
        <v/>
      </c>
      <c r="K2262" s="41">
        <f>J2262/60</f>
        <v/>
      </c>
      <c r="L2262" s="41">
        <f>IFERROR(J2262/H2262,"")</f>
        <v/>
      </c>
      <c r="M2262" s="25" t="inlineStr">
        <is>
          <t>2.5.12</t>
        </is>
      </c>
      <c r="N2262" s="25">
        <f>IF(J2262&gt;300,1,0)</f>
        <v/>
      </c>
      <c r="O2262" s="25">
        <f>IF(J2262&gt;600,1,0)</f>
        <v/>
      </c>
      <c r="P2262" s="25">
        <f>IF(H2262&gt;0,J2262,"")</f>
        <v/>
      </c>
      <c r="Q2262" s="25">
        <f>TEXT(A2262,"YYYY-MM-DD HH")</f>
        <v/>
      </c>
      <c r="R2262" s="25">
        <f>COUNTIF($Q$2:$Q$5295,Q2262)</f>
        <v/>
      </c>
      <c r="S2262" s="25">
        <f>IF(R2262&lt;=2,"1-2",IF(R2262&lt;=5,"3-5",IF(R2262&lt;=10,"6-10","11+")))</f>
        <v/>
      </c>
    </row>
    <row r="2263">
      <c r="A2263" s="39" t="n">
        <v>46182.26510416667</v>
      </c>
      <c r="B2263" s="25">
        <f>TEXT(A2263,"YYYY-MM")</f>
        <v/>
      </c>
      <c r="C2263" s="25">
        <f>TEXT(A2263,"MMM-YYYY")</f>
        <v/>
      </c>
      <c r="D2263" s="40">
        <f>INT(A2263)-WEEKDAY(A2263,2)+1</f>
        <v/>
      </c>
      <c r="E2263" s="25" t="inlineStr">
        <is>
          <t>ns</t>
        </is>
      </c>
      <c r="F2263" s="25" t="n">
        <v>121611</v>
      </c>
      <c r="G2263" s="25" t="n">
        <v>4</v>
      </c>
      <c r="H2263" s="25" t="n">
        <v>16</v>
      </c>
      <c r="I2263" s="25" t="inlineStr">
        <is>
          <t>6 minute(s) and 14 second(s)</t>
        </is>
      </c>
      <c r="J2263" s="25">
        <f>IFERROR(VALUE(TRIM(LEFT(I2263,FIND("minute",I2263)-1)))*60,0)+IFERROR(VALUE(SUBSTITUTE(MID(I2263,IFERROR(FIND("and",I2263)+3,1),20),"second(s)","")),0)</f>
        <v/>
      </c>
      <c r="K2263" s="41">
        <f>J2263/60</f>
        <v/>
      </c>
      <c r="L2263" s="41">
        <f>IFERROR(J2263/H2263,"")</f>
        <v/>
      </c>
      <c r="M2263" s="25" t="inlineStr">
        <is>
          <t>2.5.12</t>
        </is>
      </c>
      <c r="N2263" s="25">
        <f>IF(J2263&gt;300,1,0)</f>
        <v/>
      </c>
      <c r="O2263" s="25">
        <f>IF(J2263&gt;600,1,0)</f>
        <v/>
      </c>
      <c r="P2263" s="25">
        <f>IF(H2263&gt;0,J2263,"")</f>
        <v/>
      </c>
      <c r="Q2263" s="25">
        <f>TEXT(A2263,"YYYY-MM-DD HH")</f>
        <v/>
      </c>
      <c r="R2263" s="25">
        <f>COUNTIF($Q$2:$Q$5295,Q2263)</f>
        <v/>
      </c>
      <c r="S2263" s="25">
        <f>IF(R2263&lt;=2,"1-2",IF(R2263&lt;=5,"3-5",IF(R2263&lt;=10,"6-10","11+")))</f>
        <v/>
      </c>
    </row>
    <row r="2264">
      <c r="A2264" s="39" t="n">
        <v>46182.27097222222</v>
      </c>
      <c r="B2264" s="25">
        <f>TEXT(A2264,"YYYY-MM")</f>
        <v/>
      </c>
      <c r="C2264" s="25">
        <f>TEXT(A2264,"MMM-YYYY")</f>
        <v/>
      </c>
      <c r="D2264" s="40">
        <f>INT(A2264)-WEEKDAY(A2264,2)+1</f>
        <v/>
      </c>
      <c r="E2264" s="25" t="inlineStr">
        <is>
          <t>adey</t>
        </is>
      </c>
      <c r="F2264" s="25" t="n">
        <v>122719</v>
      </c>
      <c r="G2264" s="25" t="n">
        <v>2</v>
      </c>
      <c r="H2264" s="25" t="n">
        <v>10</v>
      </c>
      <c r="I2264" s="25" t="inlineStr">
        <is>
          <t>3 minute(s) and 24 second(s)</t>
        </is>
      </c>
      <c r="J2264" s="25">
        <f>IFERROR(VALUE(TRIM(LEFT(I2264,FIND("minute",I2264)-1)))*60,0)+IFERROR(VALUE(SUBSTITUTE(MID(I2264,IFERROR(FIND("and",I2264)+3,1),20),"second(s)","")),0)</f>
        <v/>
      </c>
      <c r="K2264" s="41">
        <f>J2264/60</f>
        <v/>
      </c>
      <c r="L2264" s="41">
        <f>IFERROR(J2264/H2264,"")</f>
        <v/>
      </c>
      <c r="M2264" s="25" t="inlineStr">
        <is>
          <t>2.5.12</t>
        </is>
      </c>
      <c r="N2264" s="25">
        <f>IF(J2264&gt;300,1,0)</f>
        <v/>
      </c>
      <c r="O2264" s="25">
        <f>IF(J2264&gt;600,1,0)</f>
        <v/>
      </c>
      <c r="P2264" s="25">
        <f>IF(H2264&gt;0,J2264,"")</f>
        <v/>
      </c>
      <c r="Q2264" s="25">
        <f>TEXT(A2264,"YYYY-MM-DD HH")</f>
        <v/>
      </c>
      <c r="R2264" s="25">
        <f>COUNTIF($Q$2:$Q$5295,Q2264)</f>
        <v/>
      </c>
      <c r="S2264" s="25">
        <f>IF(R2264&lt;=2,"1-2",IF(R2264&lt;=5,"3-5",IF(R2264&lt;=10,"6-10","11+")))</f>
        <v/>
      </c>
    </row>
    <row r="2265">
      <c r="A2265" s="39" t="n">
        <v>46182.2772800926</v>
      </c>
      <c r="B2265" s="25">
        <f>TEXT(A2265,"YYYY-MM")</f>
        <v/>
      </c>
      <c r="C2265" s="25">
        <f>TEXT(A2265,"MMM-YYYY")</f>
        <v/>
      </c>
      <c r="D2265" s="40">
        <f>INT(A2265)-WEEKDAY(A2265,2)+1</f>
        <v/>
      </c>
      <c r="E2265" s="25" t="inlineStr">
        <is>
          <t>psathwika</t>
        </is>
      </c>
      <c r="F2265" s="25" t="n">
        <v>121689</v>
      </c>
      <c r="G2265" s="25" t="n">
        <v>1</v>
      </c>
      <c r="H2265" s="25" t="n">
        <v>5</v>
      </c>
      <c r="I2265" s="25" t="inlineStr">
        <is>
          <t>3 minute(s) and 7 second(s)</t>
        </is>
      </c>
      <c r="J2265" s="25">
        <f>IFERROR(VALUE(TRIM(LEFT(I2265,FIND("minute",I2265)-1)))*60,0)+IFERROR(VALUE(SUBSTITUTE(MID(I2265,IFERROR(FIND("and",I2265)+3,1),20),"second(s)","")),0)</f>
        <v/>
      </c>
      <c r="K2265" s="41">
        <f>J2265/60</f>
        <v/>
      </c>
      <c r="L2265" s="41">
        <f>IFERROR(J2265/H2265,"")</f>
        <v/>
      </c>
      <c r="M2265" s="25" t="inlineStr">
        <is>
          <t>2.5.12</t>
        </is>
      </c>
      <c r="N2265" s="25">
        <f>IF(J2265&gt;300,1,0)</f>
        <v/>
      </c>
      <c r="O2265" s="25">
        <f>IF(J2265&gt;600,1,0)</f>
        <v/>
      </c>
      <c r="P2265" s="25">
        <f>IF(H2265&gt;0,J2265,"")</f>
        <v/>
      </c>
      <c r="Q2265" s="25">
        <f>TEXT(A2265,"YYYY-MM-DD HH")</f>
        <v/>
      </c>
      <c r="R2265" s="25">
        <f>COUNTIF($Q$2:$Q$5295,Q2265)</f>
        <v/>
      </c>
      <c r="S2265" s="25">
        <f>IF(R2265&lt;=2,"1-2",IF(R2265&lt;=5,"3-5",IF(R2265&lt;=10,"6-10","11+")))</f>
        <v/>
      </c>
    </row>
    <row r="2266">
      <c r="A2266" s="39" t="n">
        <v>46182.28152777778</v>
      </c>
      <c r="B2266" s="25">
        <f>TEXT(A2266,"YYYY-MM")</f>
        <v/>
      </c>
      <c r="C2266" s="25">
        <f>TEXT(A2266,"MMM-YYYY")</f>
        <v/>
      </c>
      <c r="D2266" s="40">
        <f>INT(A2266)-WEEKDAY(A2266,2)+1</f>
        <v/>
      </c>
      <c r="E2266" s="25" t="inlineStr">
        <is>
          <t>aghosh</t>
        </is>
      </c>
      <c r="F2266" s="25" t="n">
        <v>123466</v>
      </c>
      <c r="G2266" s="25" t="n">
        <v>2</v>
      </c>
      <c r="H2266" s="25" t="n">
        <v>14</v>
      </c>
      <c r="I2266" s="25" t="inlineStr">
        <is>
          <t>3 minute(s) and 0 second(s)</t>
        </is>
      </c>
      <c r="J2266" s="25">
        <f>IFERROR(VALUE(TRIM(LEFT(I2266,FIND("minute",I2266)-1)))*60,0)+IFERROR(VALUE(SUBSTITUTE(MID(I2266,IFERROR(FIND("and",I2266)+3,1),20),"second(s)","")),0)</f>
        <v/>
      </c>
      <c r="K2266" s="41">
        <f>J2266/60</f>
        <v/>
      </c>
      <c r="L2266" s="41">
        <f>IFERROR(J2266/H2266,"")</f>
        <v/>
      </c>
      <c r="M2266" s="25" t="inlineStr">
        <is>
          <t>2.5.12</t>
        </is>
      </c>
      <c r="N2266" s="25">
        <f>IF(J2266&gt;300,1,0)</f>
        <v/>
      </c>
      <c r="O2266" s="25">
        <f>IF(J2266&gt;600,1,0)</f>
        <v/>
      </c>
      <c r="P2266" s="25">
        <f>IF(H2266&gt;0,J2266,"")</f>
        <v/>
      </c>
      <c r="Q2266" s="25">
        <f>TEXT(A2266,"YYYY-MM-DD HH")</f>
        <v/>
      </c>
      <c r="R2266" s="25">
        <f>COUNTIF($Q$2:$Q$5295,Q2266)</f>
        <v/>
      </c>
      <c r="S2266" s="25">
        <f>IF(R2266&lt;=2,"1-2",IF(R2266&lt;=5,"3-5",IF(R2266&lt;=10,"6-10","11+")))</f>
        <v/>
      </c>
    </row>
    <row r="2267">
      <c r="A2267" s="39" t="n">
        <v>46182.28739583334</v>
      </c>
      <c r="B2267" s="25">
        <f>TEXT(A2267,"YYYY-MM")</f>
        <v/>
      </c>
      <c r="C2267" s="25">
        <f>TEXT(A2267,"MMM-YYYY")</f>
        <v/>
      </c>
      <c r="D2267" s="40">
        <f>INT(A2267)-WEEKDAY(A2267,2)+1</f>
        <v/>
      </c>
      <c r="E2267" s="25" t="inlineStr">
        <is>
          <t>pmehndiratta</t>
        </is>
      </c>
      <c r="F2267" s="25" t="n">
        <v>121739</v>
      </c>
      <c r="G2267" s="25" t="n">
        <v>4</v>
      </c>
      <c r="H2267" s="25" t="n">
        <v>26</v>
      </c>
      <c r="I2267" s="25" t="inlineStr">
        <is>
          <t>4 minute(s) and 45 second(s)</t>
        </is>
      </c>
      <c r="J2267" s="25">
        <f>IFERROR(VALUE(TRIM(LEFT(I2267,FIND("minute",I2267)-1)))*60,0)+IFERROR(VALUE(SUBSTITUTE(MID(I2267,IFERROR(FIND("and",I2267)+3,1),20),"second(s)","")),0)</f>
        <v/>
      </c>
      <c r="K2267" s="41">
        <f>J2267/60</f>
        <v/>
      </c>
      <c r="L2267" s="41">
        <f>IFERROR(J2267/H2267,"")</f>
        <v/>
      </c>
      <c r="M2267" s="25" t="inlineStr">
        <is>
          <t>2.5.12</t>
        </is>
      </c>
      <c r="N2267" s="25">
        <f>IF(J2267&gt;300,1,0)</f>
        <v/>
      </c>
      <c r="O2267" s="25">
        <f>IF(J2267&gt;600,1,0)</f>
        <v/>
      </c>
      <c r="P2267" s="25">
        <f>IF(H2267&gt;0,J2267,"")</f>
        <v/>
      </c>
      <c r="Q2267" s="25">
        <f>TEXT(A2267,"YYYY-MM-DD HH")</f>
        <v/>
      </c>
      <c r="R2267" s="25">
        <f>COUNTIF($Q$2:$Q$5295,Q2267)</f>
        <v/>
      </c>
      <c r="S2267" s="25">
        <f>IF(R2267&lt;=2,"1-2",IF(R2267&lt;=5,"3-5",IF(R2267&lt;=10,"6-10","11+")))</f>
        <v/>
      </c>
    </row>
    <row r="2268">
      <c r="A2268" s="39" t="n">
        <v>46182.28927083333</v>
      </c>
      <c r="B2268" s="25">
        <f>TEXT(A2268,"YYYY-MM")</f>
        <v/>
      </c>
      <c r="C2268" s="25">
        <f>TEXT(A2268,"MMM-YYYY")</f>
        <v/>
      </c>
      <c r="D2268" s="40">
        <f>INT(A2268)-WEEKDAY(A2268,2)+1</f>
        <v/>
      </c>
      <c r="E2268" s="25" t="inlineStr">
        <is>
          <t>aupadhayay</t>
        </is>
      </c>
      <c r="F2268" s="25" t="n">
        <v>124787</v>
      </c>
      <c r="G2268" s="25" t="n">
        <v>2</v>
      </c>
      <c r="H2268" s="25" t="n">
        <v>8</v>
      </c>
      <c r="I2268" s="25" t="inlineStr">
        <is>
          <t>6 minute(s) and 11 second(s)</t>
        </is>
      </c>
      <c r="J2268" s="25">
        <f>IFERROR(VALUE(TRIM(LEFT(I2268,FIND("minute",I2268)-1)))*60,0)+IFERROR(VALUE(SUBSTITUTE(MID(I2268,IFERROR(FIND("and",I2268)+3,1),20),"second(s)","")),0)</f>
        <v/>
      </c>
      <c r="K2268" s="41">
        <f>J2268/60</f>
        <v/>
      </c>
      <c r="L2268" s="41">
        <f>IFERROR(J2268/H2268,"")</f>
        <v/>
      </c>
      <c r="M2268" s="25" t="inlineStr">
        <is>
          <t>2.5.12</t>
        </is>
      </c>
      <c r="N2268" s="25">
        <f>IF(J2268&gt;300,1,0)</f>
        <v/>
      </c>
      <c r="O2268" s="25">
        <f>IF(J2268&gt;600,1,0)</f>
        <v/>
      </c>
      <c r="P2268" s="25">
        <f>IF(H2268&gt;0,J2268,"")</f>
        <v/>
      </c>
      <c r="Q2268" s="25">
        <f>TEXT(A2268,"YYYY-MM-DD HH")</f>
        <v/>
      </c>
      <c r="R2268" s="25">
        <f>COUNTIF($Q$2:$Q$5295,Q2268)</f>
        <v/>
      </c>
      <c r="S2268" s="25">
        <f>IF(R2268&lt;=2,"1-2",IF(R2268&lt;=5,"3-5",IF(R2268&lt;=10,"6-10","11+")))</f>
        <v/>
      </c>
    </row>
    <row r="2269">
      <c r="A2269" s="39" t="n">
        <v>46182.28954861111</v>
      </c>
      <c r="B2269" s="25">
        <f>TEXT(A2269,"YYYY-MM")</f>
        <v/>
      </c>
      <c r="C2269" s="25">
        <f>TEXT(A2269,"MMM-YYYY")</f>
        <v/>
      </c>
      <c r="D2269" s="40">
        <f>INT(A2269)-WEEKDAY(A2269,2)+1</f>
        <v/>
      </c>
      <c r="E2269" s="25" t="inlineStr">
        <is>
          <t>stiwari</t>
        </is>
      </c>
      <c r="F2269" s="25" t="n">
        <v>122185</v>
      </c>
      <c r="G2269" s="25" t="n">
        <v>4</v>
      </c>
      <c r="H2269" s="25" t="n">
        <v>27</v>
      </c>
      <c r="I2269" s="25" t="inlineStr">
        <is>
          <t>6 minute(s) and 37 second(s)</t>
        </is>
      </c>
      <c r="J2269" s="25">
        <f>IFERROR(VALUE(TRIM(LEFT(I2269,FIND("minute",I2269)-1)))*60,0)+IFERROR(VALUE(SUBSTITUTE(MID(I2269,IFERROR(FIND("and",I2269)+3,1),20),"second(s)","")),0)</f>
        <v/>
      </c>
      <c r="K2269" s="41">
        <f>J2269/60</f>
        <v/>
      </c>
      <c r="L2269" s="41">
        <f>IFERROR(J2269/H2269,"")</f>
        <v/>
      </c>
      <c r="M2269" s="25" t="inlineStr">
        <is>
          <t>2.5.12</t>
        </is>
      </c>
      <c r="N2269" s="25">
        <f>IF(J2269&gt;300,1,0)</f>
        <v/>
      </c>
      <c r="O2269" s="25">
        <f>IF(J2269&gt;600,1,0)</f>
        <v/>
      </c>
      <c r="P2269" s="25">
        <f>IF(H2269&gt;0,J2269,"")</f>
        <v/>
      </c>
      <c r="Q2269" s="25">
        <f>TEXT(A2269,"YYYY-MM-DD HH")</f>
        <v/>
      </c>
      <c r="R2269" s="25">
        <f>COUNTIF($Q$2:$Q$5295,Q2269)</f>
        <v/>
      </c>
      <c r="S2269" s="25">
        <f>IF(R2269&lt;=2,"1-2",IF(R2269&lt;=5,"3-5",IF(R2269&lt;=10,"6-10","11+")))</f>
        <v/>
      </c>
    </row>
    <row r="2270">
      <c r="A2270" s="39" t="n">
        <v>46182.2975</v>
      </c>
      <c r="B2270" s="25">
        <f>TEXT(A2270,"YYYY-MM")</f>
        <v/>
      </c>
      <c r="C2270" s="25">
        <f>TEXT(A2270,"MMM-YYYY")</f>
        <v/>
      </c>
      <c r="D2270" s="40">
        <f>INT(A2270)-WEEKDAY(A2270,2)+1</f>
        <v/>
      </c>
      <c r="E2270" s="25" t="inlineStr">
        <is>
          <t>ssneha</t>
        </is>
      </c>
      <c r="F2270" s="25" t="n">
        <v>45615</v>
      </c>
      <c r="G2270" s="25" t="n">
        <v>2</v>
      </c>
      <c r="H2270" s="25" t="n">
        <v>8</v>
      </c>
      <c r="I2270" s="25" t="inlineStr">
        <is>
          <t>7 minute(s) and 40 second(s)</t>
        </is>
      </c>
      <c r="J2270" s="25">
        <f>IFERROR(VALUE(TRIM(LEFT(I2270,FIND("minute",I2270)-1)))*60,0)+IFERROR(VALUE(SUBSTITUTE(MID(I2270,IFERROR(FIND("and",I2270)+3,1),20),"second(s)","")),0)</f>
        <v/>
      </c>
      <c r="K2270" s="41">
        <f>J2270/60</f>
        <v/>
      </c>
      <c r="L2270" s="41">
        <f>IFERROR(J2270/H2270,"")</f>
        <v/>
      </c>
      <c r="M2270" s="25" t="inlineStr">
        <is>
          <t>2.5.12</t>
        </is>
      </c>
      <c r="N2270" s="25">
        <f>IF(J2270&gt;300,1,0)</f>
        <v/>
      </c>
      <c r="O2270" s="25">
        <f>IF(J2270&gt;600,1,0)</f>
        <v/>
      </c>
      <c r="P2270" s="25">
        <f>IF(H2270&gt;0,J2270,"")</f>
        <v/>
      </c>
      <c r="Q2270" s="25">
        <f>TEXT(A2270,"YYYY-MM-DD HH")</f>
        <v/>
      </c>
      <c r="R2270" s="25">
        <f>COUNTIF($Q$2:$Q$5295,Q2270)</f>
        <v/>
      </c>
      <c r="S2270" s="25">
        <f>IF(R2270&lt;=2,"1-2",IF(R2270&lt;=5,"3-5",IF(R2270&lt;=10,"6-10","11+")))</f>
        <v/>
      </c>
    </row>
    <row r="2271">
      <c r="A2271" s="39" t="n">
        <v>46182.29912037037</v>
      </c>
      <c r="B2271" s="25">
        <f>TEXT(A2271,"YYYY-MM")</f>
        <v/>
      </c>
      <c r="C2271" s="25">
        <f>TEXT(A2271,"MMM-YYYY")</f>
        <v/>
      </c>
      <c r="D2271" s="40">
        <f>INT(A2271)-WEEKDAY(A2271,2)+1</f>
        <v/>
      </c>
      <c r="E2271" s="25" t="inlineStr">
        <is>
          <t>rts</t>
        </is>
      </c>
      <c r="F2271" s="25" t="n">
        <v>89943</v>
      </c>
      <c r="G2271" s="25" t="n">
        <v>2</v>
      </c>
      <c r="H2271" s="25" t="n">
        <v>13</v>
      </c>
      <c r="I2271" s="25" t="inlineStr">
        <is>
          <t>7 minute(s) and 31 second(s)</t>
        </is>
      </c>
      <c r="J2271" s="25">
        <f>IFERROR(VALUE(TRIM(LEFT(I2271,FIND("minute",I2271)-1)))*60,0)+IFERROR(VALUE(SUBSTITUTE(MID(I2271,IFERROR(FIND("and",I2271)+3,1),20),"second(s)","")),0)</f>
        <v/>
      </c>
      <c r="K2271" s="41">
        <f>J2271/60</f>
        <v/>
      </c>
      <c r="L2271" s="41">
        <f>IFERROR(J2271/H2271,"")</f>
        <v/>
      </c>
      <c r="M2271" s="25" t="inlineStr">
        <is>
          <t>2.5.12</t>
        </is>
      </c>
      <c r="N2271" s="25">
        <f>IF(J2271&gt;300,1,0)</f>
        <v/>
      </c>
      <c r="O2271" s="25">
        <f>IF(J2271&gt;600,1,0)</f>
        <v/>
      </c>
      <c r="P2271" s="25">
        <f>IF(H2271&gt;0,J2271,"")</f>
        <v/>
      </c>
      <c r="Q2271" s="25">
        <f>TEXT(A2271,"YYYY-MM-DD HH")</f>
        <v/>
      </c>
      <c r="R2271" s="25">
        <f>COUNTIF($Q$2:$Q$5295,Q2271)</f>
        <v/>
      </c>
      <c r="S2271" s="25">
        <f>IF(R2271&lt;=2,"1-2",IF(R2271&lt;=5,"3-5",IF(R2271&lt;=10,"6-10","11+")))</f>
        <v/>
      </c>
    </row>
    <row r="2272">
      <c r="A2272" s="39" t="n">
        <v>46182.30357638889</v>
      </c>
      <c r="B2272" s="25">
        <f>TEXT(A2272,"YYYY-MM")</f>
        <v/>
      </c>
      <c r="C2272" s="25">
        <f>TEXT(A2272,"MMM-YYYY")</f>
        <v/>
      </c>
      <c r="D2272" s="40">
        <f>INT(A2272)-WEEKDAY(A2272,2)+1</f>
        <v/>
      </c>
      <c r="E2272" s="25" t="inlineStr">
        <is>
          <t>ssaha</t>
        </is>
      </c>
      <c r="F2272" s="25" t="n">
        <v>122199</v>
      </c>
      <c r="G2272" s="25" t="n">
        <v>2</v>
      </c>
      <c r="H2272" s="25" t="n">
        <v>10</v>
      </c>
      <c r="I2272" s="25" t="inlineStr">
        <is>
          <t>3 minute(s) and 0 second(s)</t>
        </is>
      </c>
      <c r="J2272" s="25">
        <f>IFERROR(VALUE(TRIM(LEFT(I2272,FIND("minute",I2272)-1)))*60,0)+IFERROR(VALUE(SUBSTITUTE(MID(I2272,IFERROR(FIND("and",I2272)+3,1),20),"second(s)","")),0)</f>
        <v/>
      </c>
      <c r="K2272" s="41">
        <f>J2272/60</f>
        <v/>
      </c>
      <c r="L2272" s="41">
        <f>IFERROR(J2272/H2272,"")</f>
        <v/>
      </c>
      <c r="M2272" s="25" t="inlineStr">
        <is>
          <t>2.5.12</t>
        </is>
      </c>
      <c r="N2272" s="25">
        <f>IF(J2272&gt;300,1,0)</f>
        <v/>
      </c>
      <c r="O2272" s="25">
        <f>IF(J2272&gt;600,1,0)</f>
        <v/>
      </c>
      <c r="P2272" s="25">
        <f>IF(H2272&gt;0,J2272,"")</f>
        <v/>
      </c>
      <c r="Q2272" s="25">
        <f>TEXT(A2272,"YYYY-MM-DD HH")</f>
        <v/>
      </c>
      <c r="R2272" s="25">
        <f>COUNTIF($Q$2:$Q$5295,Q2272)</f>
        <v/>
      </c>
      <c r="S2272" s="25">
        <f>IF(R2272&lt;=2,"1-2",IF(R2272&lt;=5,"3-5",IF(R2272&lt;=10,"6-10","11+")))</f>
        <v/>
      </c>
    </row>
    <row r="2273">
      <c r="A2273" s="39" t="n">
        <v>46182.30405092592</v>
      </c>
      <c r="B2273" s="25">
        <f>TEXT(A2273,"YYYY-MM")</f>
        <v/>
      </c>
      <c r="C2273" s="25">
        <f>TEXT(A2273,"MMM-YYYY")</f>
        <v/>
      </c>
      <c r="D2273" s="40">
        <f>INT(A2273)-WEEKDAY(A2273,2)+1</f>
        <v/>
      </c>
      <c r="E2273" s="25" t="inlineStr">
        <is>
          <t>csaha</t>
        </is>
      </c>
      <c r="F2273" s="25" t="n">
        <v>122393</v>
      </c>
      <c r="G2273" s="25" t="n">
        <v>4</v>
      </c>
      <c r="H2273" s="25" t="n">
        <v>26</v>
      </c>
      <c r="I2273" s="25" t="inlineStr">
        <is>
          <t>5 minute(s) and 19 second(s)</t>
        </is>
      </c>
      <c r="J2273" s="25">
        <f>IFERROR(VALUE(TRIM(LEFT(I2273,FIND("minute",I2273)-1)))*60,0)+IFERROR(VALUE(SUBSTITUTE(MID(I2273,IFERROR(FIND("and",I2273)+3,1),20),"second(s)","")),0)</f>
        <v/>
      </c>
      <c r="K2273" s="41">
        <f>J2273/60</f>
        <v/>
      </c>
      <c r="L2273" s="41">
        <f>IFERROR(J2273/H2273,"")</f>
        <v/>
      </c>
      <c r="M2273" s="25" t="inlineStr">
        <is>
          <t>2.5.12</t>
        </is>
      </c>
      <c r="N2273" s="25">
        <f>IF(J2273&gt;300,1,0)</f>
        <v/>
      </c>
      <c r="O2273" s="25">
        <f>IF(J2273&gt;600,1,0)</f>
        <v/>
      </c>
      <c r="P2273" s="25">
        <f>IF(H2273&gt;0,J2273,"")</f>
        <v/>
      </c>
      <c r="Q2273" s="25">
        <f>TEXT(A2273,"YYYY-MM-DD HH")</f>
        <v/>
      </c>
      <c r="R2273" s="25">
        <f>COUNTIF($Q$2:$Q$5295,Q2273)</f>
        <v/>
      </c>
      <c r="S2273" s="25">
        <f>IF(R2273&lt;=2,"1-2",IF(R2273&lt;=5,"3-5",IF(R2273&lt;=10,"6-10","11+")))</f>
        <v/>
      </c>
    </row>
    <row r="2274">
      <c r="A2274" s="39" t="n">
        <v>46182.30841435185</v>
      </c>
      <c r="B2274" s="25">
        <f>TEXT(A2274,"YYYY-MM")</f>
        <v/>
      </c>
      <c r="C2274" s="25">
        <f>TEXT(A2274,"MMM-YYYY")</f>
        <v/>
      </c>
      <c r="D2274" s="40">
        <f>INT(A2274)-WEEKDAY(A2274,2)+1</f>
        <v/>
      </c>
      <c r="E2274" s="25" t="inlineStr">
        <is>
          <t>apriyadarshi</t>
        </is>
      </c>
      <c r="F2274" s="25" t="n">
        <v>123597</v>
      </c>
      <c r="G2274" s="25" t="n">
        <v>2</v>
      </c>
      <c r="H2274" s="25" t="n">
        <v>11</v>
      </c>
      <c r="I2274" s="25" t="inlineStr">
        <is>
          <t>2 minute(s) and 3 second(s)</t>
        </is>
      </c>
      <c r="J2274" s="25">
        <f>IFERROR(VALUE(TRIM(LEFT(I2274,FIND("minute",I2274)-1)))*60,0)+IFERROR(VALUE(SUBSTITUTE(MID(I2274,IFERROR(FIND("and",I2274)+3,1),20),"second(s)","")),0)</f>
        <v/>
      </c>
      <c r="K2274" s="41">
        <f>J2274/60</f>
        <v/>
      </c>
      <c r="L2274" s="41">
        <f>IFERROR(J2274/H2274,"")</f>
        <v/>
      </c>
      <c r="M2274" s="25" t="inlineStr">
        <is>
          <t>2.5.12</t>
        </is>
      </c>
      <c r="N2274" s="25">
        <f>IF(J2274&gt;300,1,0)</f>
        <v/>
      </c>
      <c r="O2274" s="25">
        <f>IF(J2274&gt;600,1,0)</f>
        <v/>
      </c>
      <c r="P2274" s="25">
        <f>IF(H2274&gt;0,J2274,"")</f>
        <v/>
      </c>
      <c r="Q2274" s="25">
        <f>TEXT(A2274,"YYYY-MM-DD HH")</f>
        <v/>
      </c>
      <c r="R2274" s="25">
        <f>COUNTIF($Q$2:$Q$5295,Q2274)</f>
        <v/>
      </c>
      <c r="S2274" s="25">
        <f>IF(R2274&lt;=2,"1-2",IF(R2274&lt;=5,"3-5",IF(R2274&lt;=10,"6-10","11+")))</f>
        <v/>
      </c>
    </row>
    <row r="2275">
      <c r="A2275" s="39" t="n">
        <v>46182.31707175926</v>
      </c>
      <c r="B2275" s="25">
        <f>TEXT(A2275,"YYYY-MM")</f>
        <v/>
      </c>
      <c r="C2275" s="25">
        <f>TEXT(A2275,"MMM-YYYY")</f>
        <v/>
      </c>
      <c r="D2275" s="40">
        <f>INT(A2275)-WEEKDAY(A2275,2)+1</f>
        <v/>
      </c>
      <c r="E2275" s="25" t="inlineStr">
        <is>
          <t>atiwari</t>
        </is>
      </c>
      <c r="F2275" s="25" t="n">
        <v>123188</v>
      </c>
      <c r="G2275" s="25" t="n">
        <v>4</v>
      </c>
      <c r="H2275" s="25" t="n">
        <v>16</v>
      </c>
      <c r="I2275" s="25" t="inlineStr">
        <is>
          <t>3 minute(s) and 55 second(s)</t>
        </is>
      </c>
      <c r="J2275" s="25">
        <f>IFERROR(VALUE(TRIM(LEFT(I2275,FIND("minute",I2275)-1)))*60,0)+IFERROR(VALUE(SUBSTITUTE(MID(I2275,IFERROR(FIND("and",I2275)+3,1),20),"second(s)","")),0)</f>
        <v/>
      </c>
      <c r="K2275" s="41">
        <f>J2275/60</f>
        <v/>
      </c>
      <c r="L2275" s="41">
        <f>IFERROR(J2275/H2275,"")</f>
        <v/>
      </c>
      <c r="M2275" s="25" t="inlineStr">
        <is>
          <t>2.5.12</t>
        </is>
      </c>
      <c r="N2275" s="25">
        <f>IF(J2275&gt;300,1,0)</f>
        <v/>
      </c>
      <c r="O2275" s="25">
        <f>IF(J2275&gt;600,1,0)</f>
        <v/>
      </c>
      <c r="P2275" s="25">
        <f>IF(H2275&gt;0,J2275,"")</f>
        <v/>
      </c>
      <c r="Q2275" s="25">
        <f>TEXT(A2275,"YYYY-MM-DD HH")</f>
        <v/>
      </c>
      <c r="R2275" s="25">
        <f>COUNTIF($Q$2:$Q$5295,Q2275)</f>
        <v/>
      </c>
      <c r="S2275" s="25">
        <f>IF(R2275&lt;=2,"1-2",IF(R2275&lt;=5,"3-5",IF(R2275&lt;=10,"6-10","11+")))</f>
        <v/>
      </c>
    </row>
    <row r="2276">
      <c r="A2276" s="39" t="n">
        <v>46182.32478009259</v>
      </c>
      <c r="B2276" s="25">
        <f>TEXT(A2276,"YYYY-MM")</f>
        <v/>
      </c>
      <c r="C2276" s="25">
        <f>TEXT(A2276,"MMM-YYYY")</f>
        <v/>
      </c>
      <c r="D2276" s="40">
        <f>INT(A2276)-WEEKDAY(A2276,2)+1</f>
        <v/>
      </c>
      <c r="E2276" s="25" t="inlineStr">
        <is>
          <t>dchoudhury</t>
        </is>
      </c>
      <c r="F2276" s="25" t="n">
        <v>121497</v>
      </c>
      <c r="G2276" s="25" t="n">
        <v>2</v>
      </c>
      <c r="H2276" s="25" t="n">
        <v>10</v>
      </c>
      <c r="I2276" s="25" t="inlineStr">
        <is>
          <t>2 minute(s) and 44 second(s)</t>
        </is>
      </c>
      <c r="J2276" s="25">
        <f>IFERROR(VALUE(TRIM(LEFT(I2276,FIND("minute",I2276)-1)))*60,0)+IFERROR(VALUE(SUBSTITUTE(MID(I2276,IFERROR(FIND("and",I2276)+3,1),20),"second(s)","")),0)</f>
        <v/>
      </c>
      <c r="K2276" s="41">
        <f>J2276/60</f>
        <v/>
      </c>
      <c r="L2276" s="41">
        <f>IFERROR(J2276/H2276,"")</f>
        <v/>
      </c>
      <c r="M2276" s="25" t="inlineStr">
        <is>
          <t>2.5.12</t>
        </is>
      </c>
      <c r="N2276" s="25">
        <f>IF(J2276&gt;300,1,0)</f>
        <v/>
      </c>
      <c r="O2276" s="25">
        <f>IF(J2276&gt;600,1,0)</f>
        <v/>
      </c>
      <c r="P2276" s="25">
        <f>IF(H2276&gt;0,J2276,"")</f>
        <v/>
      </c>
      <c r="Q2276" s="25">
        <f>TEXT(A2276,"YYYY-MM-DD HH")</f>
        <v/>
      </c>
      <c r="R2276" s="25">
        <f>COUNTIF($Q$2:$Q$5295,Q2276)</f>
        <v/>
      </c>
      <c r="S2276" s="25">
        <f>IF(R2276&lt;=2,"1-2",IF(R2276&lt;=5,"3-5",IF(R2276&lt;=10,"6-10","11+")))</f>
        <v/>
      </c>
    </row>
    <row r="2277">
      <c r="A2277" s="39" t="n">
        <v>46182.32548611111</v>
      </c>
      <c r="B2277" s="25">
        <f>TEXT(A2277,"YYYY-MM")</f>
        <v/>
      </c>
      <c r="C2277" s="25">
        <f>TEXT(A2277,"MMM-YYYY")</f>
        <v/>
      </c>
      <c r="D2277" s="40">
        <f>INT(A2277)-WEEKDAY(A2277,2)+1</f>
        <v/>
      </c>
      <c r="E2277" s="25" t="inlineStr">
        <is>
          <t>ethomas</t>
        </is>
      </c>
      <c r="F2277" s="25" t="n">
        <v>122403</v>
      </c>
      <c r="G2277" s="25" t="n">
        <v>1</v>
      </c>
      <c r="H2277" s="25" t="n">
        <v>5</v>
      </c>
      <c r="I2277" s="25" t="inlineStr">
        <is>
          <t>1 minute(s) and 55 second(s)</t>
        </is>
      </c>
      <c r="J2277" s="25">
        <f>IFERROR(VALUE(TRIM(LEFT(I2277,FIND("minute",I2277)-1)))*60,0)+IFERROR(VALUE(SUBSTITUTE(MID(I2277,IFERROR(FIND("and",I2277)+3,1),20),"second(s)","")),0)</f>
        <v/>
      </c>
      <c r="K2277" s="41">
        <f>J2277/60</f>
        <v/>
      </c>
      <c r="L2277" s="41">
        <f>IFERROR(J2277/H2277,"")</f>
        <v/>
      </c>
      <c r="M2277" s="25" t="inlineStr">
        <is>
          <t>2.5.12</t>
        </is>
      </c>
      <c r="N2277" s="25">
        <f>IF(J2277&gt;300,1,0)</f>
        <v/>
      </c>
      <c r="O2277" s="25">
        <f>IF(J2277&gt;600,1,0)</f>
        <v/>
      </c>
      <c r="P2277" s="25">
        <f>IF(H2277&gt;0,J2277,"")</f>
        <v/>
      </c>
      <c r="Q2277" s="25">
        <f>TEXT(A2277,"YYYY-MM-DD HH")</f>
        <v/>
      </c>
      <c r="R2277" s="25">
        <f>COUNTIF($Q$2:$Q$5295,Q2277)</f>
        <v/>
      </c>
      <c r="S2277" s="25">
        <f>IF(R2277&lt;=2,"1-2",IF(R2277&lt;=5,"3-5",IF(R2277&lt;=10,"6-10","11+")))</f>
        <v/>
      </c>
    </row>
    <row r="2278">
      <c r="A2278" s="39" t="n">
        <v>46182.32993055556</v>
      </c>
      <c r="B2278" s="25">
        <f>TEXT(A2278,"YYYY-MM")</f>
        <v/>
      </c>
      <c r="C2278" s="25">
        <f>TEXT(A2278,"MMM-YYYY")</f>
        <v/>
      </c>
      <c r="D2278" s="40">
        <f>INT(A2278)-WEEKDAY(A2278,2)+1</f>
        <v/>
      </c>
      <c r="E2278" s="25" t="inlineStr">
        <is>
          <t>aghosh</t>
        </is>
      </c>
      <c r="F2278" s="25" t="n">
        <v>122671</v>
      </c>
      <c r="G2278" s="25" t="n">
        <v>4</v>
      </c>
      <c r="H2278" s="25" t="n">
        <v>8</v>
      </c>
      <c r="I2278" s="25" t="inlineStr">
        <is>
          <t>1 minute(s) and 51 second(s)</t>
        </is>
      </c>
      <c r="J2278" s="25">
        <f>IFERROR(VALUE(TRIM(LEFT(I2278,FIND("minute",I2278)-1)))*60,0)+IFERROR(VALUE(SUBSTITUTE(MID(I2278,IFERROR(FIND("and",I2278)+3,1),20),"second(s)","")),0)</f>
        <v/>
      </c>
      <c r="K2278" s="41">
        <f>J2278/60</f>
        <v/>
      </c>
      <c r="L2278" s="41">
        <f>IFERROR(J2278/H2278,"")</f>
        <v/>
      </c>
      <c r="M2278" s="25" t="inlineStr">
        <is>
          <t>2.5.12</t>
        </is>
      </c>
      <c r="N2278" s="25">
        <f>IF(J2278&gt;300,1,0)</f>
        <v/>
      </c>
      <c r="O2278" s="25">
        <f>IF(J2278&gt;600,1,0)</f>
        <v/>
      </c>
      <c r="P2278" s="25">
        <f>IF(H2278&gt;0,J2278,"")</f>
        <v/>
      </c>
      <c r="Q2278" s="25">
        <f>TEXT(A2278,"YYYY-MM-DD HH")</f>
        <v/>
      </c>
      <c r="R2278" s="25">
        <f>COUNTIF($Q$2:$Q$5295,Q2278)</f>
        <v/>
      </c>
      <c r="S2278" s="25">
        <f>IF(R2278&lt;=2,"1-2",IF(R2278&lt;=5,"3-5",IF(R2278&lt;=10,"6-10","11+")))</f>
        <v/>
      </c>
    </row>
    <row r="2279">
      <c r="A2279" s="39" t="n">
        <v>46182.33158564815</v>
      </c>
      <c r="B2279" s="25">
        <f>TEXT(A2279,"YYYY-MM")</f>
        <v/>
      </c>
      <c r="C2279" s="25">
        <f>TEXT(A2279,"MMM-YYYY")</f>
        <v/>
      </c>
      <c r="D2279" s="40">
        <f>INT(A2279)-WEEKDAY(A2279,2)+1</f>
        <v/>
      </c>
      <c r="E2279" s="25" t="inlineStr">
        <is>
          <t>ssneha</t>
        </is>
      </c>
      <c r="F2279" s="25" t="n">
        <v>14570</v>
      </c>
      <c r="G2279" s="25" t="n">
        <v>2</v>
      </c>
      <c r="H2279" s="25" t="n">
        <v>12</v>
      </c>
      <c r="I2279" s="25" t="inlineStr">
        <is>
          <t>5 minute(s) and 45 second(s)</t>
        </is>
      </c>
      <c r="J2279" s="25">
        <f>IFERROR(VALUE(TRIM(LEFT(I2279,FIND("minute",I2279)-1)))*60,0)+IFERROR(VALUE(SUBSTITUTE(MID(I2279,IFERROR(FIND("and",I2279)+3,1),20),"second(s)","")),0)</f>
        <v/>
      </c>
      <c r="K2279" s="41">
        <f>J2279/60</f>
        <v/>
      </c>
      <c r="L2279" s="41">
        <f>IFERROR(J2279/H2279,"")</f>
        <v/>
      </c>
      <c r="M2279" s="25" t="inlineStr">
        <is>
          <t>2.5.12</t>
        </is>
      </c>
      <c r="N2279" s="25">
        <f>IF(J2279&gt;300,1,0)</f>
        <v/>
      </c>
      <c r="O2279" s="25">
        <f>IF(J2279&gt;600,1,0)</f>
        <v/>
      </c>
      <c r="P2279" s="25">
        <f>IF(H2279&gt;0,J2279,"")</f>
        <v/>
      </c>
      <c r="Q2279" s="25">
        <f>TEXT(A2279,"YYYY-MM-DD HH")</f>
        <v/>
      </c>
      <c r="R2279" s="25">
        <f>COUNTIF($Q$2:$Q$5295,Q2279)</f>
        <v/>
      </c>
      <c r="S2279" s="25">
        <f>IF(R2279&lt;=2,"1-2",IF(R2279&lt;=5,"3-5",IF(R2279&lt;=10,"6-10","11+")))</f>
        <v/>
      </c>
    </row>
    <row r="2280">
      <c r="A2280" s="39" t="n">
        <v>46182.33296296297</v>
      </c>
      <c r="B2280" s="25">
        <f>TEXT(A2280,"YYYY-MM")</f>
        <v/>
      </c>
      <c r="C2280" s="25">
        <f>TEXT(A2280,"MMM-YYYY")</f>
        <v/>
      </c>
      <c r="D2280" s="40">
        <f>INT(A2280)-WEEKDAY(A2280,2)+1</f>
        <v/>
      </c>
      <c r="E2280" s="25" t="inlineStr">
        <is>
          <t>mgupta</t>
        </is>
      </c>
      <c r="F2280" s="25" t="n">
        <v>125222</v>
      </c>
      <c r="G2280" s="25" t="n">
        <v>3</v>
      </c>
      <c r="H2280" s="25" t="n">
        <v>12</v>
      </c>
      <c r="I2280" s="25" t="inlineStr">
        <is>
          <t>2 minute(s) and 24 second(s)</t>
        </is>
      </c>
      <c r="J2280" s="25">
        <f>IFERROR(VALUE(TRIM(LEFT(I2280,FIND("minute",I2280)-1)))*60,0)+IFERROR(VALUE(SUBSTITUTE(MID(I2280,IFERROR(FIND("and",I2280)+3,1),20),"second(s)","")),0)</f>
        <v/>
      </c>
      <c r="K2280" s="41">
        <f>J2280/60</f>
        <v/>
      </c>
      <c r="L2280" s="41">
        <f>IFERROR(J2280/H2280,"")</f>
        <v/>
      </c>
      <c r="M2280" s="25" t="inlineStr">
        <is>
          <t>2.5.12</t>
        </is>
      </c>
      <c r="N2280" s="25">
        <f>IF(J2280&gt;300,1,0)</f>
        <v/>
      </c>
      <c r="O2280" s="25">
        <f>IF(J2280&gt;600,1,0)</f>
        <v/>
      </c>
      <c r="P2280" s="25">
        <f>IF(H2280&gt;0,J2280,"")</f>
        <v/>
      </c>
      <c r="Q2280" s="25">
        <f>TEXT(A2280,"YYYY-MM-DD HH")</f>
        <v/>
      </c>
      <c r="R2280" s="25">
        <f>COUNTIF($Q$2:$Q$5295,Q2280)</f>
        <v/>
      </c>
      <c r="S2280" s="25">
        <f>IF(R2280&lt;=2,"1-2",IF(R2280&lt;=5,"3-5",IF(R2280&lt;=10,"6-10","11+")))</f>
        <v/>
      </c>
    </row>
    <row r="2281">
      <c r="A2281" s="39" t="n">
        <v>46182.34341435185</v>
      </c>
      <c r="B2281" s="25">
        <f>TEXT(A2281,"YYYY-MM")</f>
        <v/>
      </c>
      <c r="C2281" s="25">
        <f>TEXT(A2281,"MMM-YYYY")</f>
        <v/>
      </c>
      <c r="D2281" s="40">
        <f>INT(A2281)-WEEKDAY(A2281,2)+1</f>
        <v/>
      </c>
      <c r="E2281" s="25" t="inlineStr">
        <is>
          <t>ssrinivasan</t>
        </is>
      </c>
      <c r="F2281" s="25" t="n">
        <v>122153</v>
      </c>
      <c r="G2281" s="25" t="n">
        <v>2</v>
      </c>
      <c r="H2281" s="25" t="n">
        <v>10</v>
      </c>
      <c r="I2281" s="25" t="inlineStr">
        <is>
          <t>7 minute(s) and 56 second(s)</t>
        </is>
      </c>
      <c r="J2281" s="25">
        <f>IFERROR(VALUE(TRIM(LEFT(I2281,FIND("minute",I2281)-1)))*60,0)+IFERROR(VALUE(SUBSTITUTE(MID(I2281,IFERROR(FIND("and",I2281)+3,1),20),"second(s)","")),0)</f>
        <v/>
      </c>
      <c r="K2281" s="41">
        <f>J2281/60</f>
        <v/>
      </c>
      <c r="L2281" s="41">
        <f>IFERROR(J2281/H2281,"")</f>
        <v/>
      </c>
      <c r="M2281" s="25" t="inlineStr">
        <is>
          <t>2.5.12</t>
        </is>
      </c>
      <c r="N2281" s="25">
        <f>IF(J2281&gt;300,1,0)</f>
        <v/>
      </c>
      <c r="O2281" s="25">
        <f>IF(J2281&gt;600,1,0)</f>
        <v/>
      </c>
      <c r="P2281" s="25">
        <f>IF(H2281&gt;0,J2281,"")</f>
        <v/>
      </c>
      <c r="Q2281" s="25">
        <f>TEXT(A2281,"YYYY-MM-DD HH")</f>
        <v/>
      </c>
      <c r="R2281" s="25">
        <f>COUNTIF($Q$2:$Q$5295,Q2281)</f>
        <v/>
      </c>
      <c r="S2281" s="25">
        <f>IF(R2281&lt;=2,"1-2",IF(R2281&lt;=5,"3-5",IF(R2281&lt;=10,"6-10","11+")))</f>
        <v/>
      </c>
    </row>
    <row r="2282">
      <c r="A2282" s="39" t="n">
        <v>46182.35100694445</v>
      </c>
      <c r="B2282" s="25">
        <f>TEXT(A2282,"YYYY-MM")</f>
        <v/>
      </c>
      <c r="C2282" s="25">
        <f>TEXT(A2282,"MMM-YYYY")</f>
        <v/>
      </c>
      <c r="D2282" s="40">
        <f>INT(A2282)-WEEKDAY(A2282,2)+1</f>
        <v/>
      </c>
      <c r="E2282" s="25" t="inlineStr">
        <is>
          <t>ssarkar</t>
        </is>
      </c>
      <c r="F2282" s="25" t="n">
        <v>122027</v>
      </c>
      <c r="G2282" s="25" t="n">
        <v>2</v>
      </c>
      <c r="H2282" s="25" t="n">
        <v>12</v>
      </c>
      <c r="I2282" s="25" t="inlineStr">
        <is>
          <t>2 minute(s) and 55 second(s)</t>
        </is>
      </c>
      <c r="J2282" s="25">
        <f>IFERROR(VALUE(TRIM(LEFT(I2282,FIND("minute",I2282)-1)))*60,0)+IFERROR(VALUE(SUBSTITUTE(MID(I2282,IFERROR(FIND("and",I2282)+3,1),20),"second(s)","")),0)</f>
        <v/>
      </c>
      <c r="K2282" s="41">
        <f>J2282/60</f>
        <v/>
      </c>
      <c r="L2282" s="41">
        <f>IFERROR(J2282/H2282,"")</f>
        <v/>
      </c>
      <c r="M2282" s="25" t="inlineStr">
        <is>
          <t>2.5.12</t>
        </is>
      </c>
      <c r="N2282" s="25">
        <f>IF(J2282&gt;300,1,0)</f>
        <v/>
      </c>
      <c r="O2282" s="25">
        <f>IF(J2282&gt;600,1,0)</f>
        <v/>
      </c>
      <c r="P2282" s="25">
        <f>IF(H2282&gt;0,J2282,"")</f>
        <v/>
      </c>
      <c r="Q2282" s="25">
        <f>TEXT(A2282,"YYYY-MM-DD HH")</f>
        <v/>
      </c>
      <c r="R2282" s="25">
        <f>COUNTIF($Q$2:$Q$5295,Q2282)</f>
        <v/>
      </c>
      <c r="S2282" s="25">
        <f>IF(R2282&lt;=2,"1-2",IF(R2282&lt;=5,"3-5",IF(R2282&lt;=10,"6-10","11+")))</f>
        <v/>
      </c>
    </row>
    <row r="2283">
      <c r="A2283" s="39" t="n">
        <v>46182.35791666667</v>
      </c>
      <c r="B2283" s="25">
        <f>TEXT(A2283,"YYYY-MM")</f>
        <v/>
      </c>
      <c r="C2283" s="25">
        <f>TEXT(A2283,"MMM-YYYY")</f>
        <v/>
      </c>
      <c r="D2283" s="40">
        <f>INT(A2283)-WEEKDAY(A2283,2)+1</f>
        <v/>
      </c>
      <c r="E2283" s="25" t="inlineStr">
        <is>
          <t>ssaha</t>
        </is>
      </c>
      <c r="F2283" s="25" t="n">
        <v>122201</v>
      </c>
      <c r="G2283" s="25" t="n">
        <v>2</v>
      </c>
      <c r="H2283" s="25" t="n">
        <v>10</v>
      </c>
      <c r="I2283" s="25" t="inlineStr">
        <is>
          <t>2 minute(s) and 40 second(s)</t>
        </is>
      </c>
      <c r="J2283" s="25">
        <f>IFERROR(VALUE(TRIM(LEFT(I2283,FIND("minute",I2283)-1)))*60,0)+IFERROR(VALUE(SUBSTITUTE(MID(I2283,IFERROR(FIND("and",I2283)+3,1),20),"second(s)","")),0)</f>
        <v/>
      </c>
      <c r="K2283" s="41">
        <f>J2283/60</f>
        <v/>
      </c>
      <c r="L2283" s="41">
        <f>IFERROR(J2283/H2283,"")</f>
        <v/>
      </c>
      <c r="M2283" s="25" t="inlineStr">
        <is>
          <t>2.5.12</t>
        </is>
      </c>
      <c r="N2283" s="25">
        <f>IF(J2283&gt;300,1,0)</f>
        <v/>
      </c>
      <c r="O2283" s="25">
        <f>IF(J2283&gt;600,1,0)</f>
        <v/>
      </c>
      <c r="P2283" s="25">
        <f>IF(H2283&gt;0,J2283,"")</f>
        <v/>
      </c>
      <c r="Q2283" s="25">
        <f>TEXT(A2283,"YYYY-MM-DD HH")</f>
        <v/>
      </c>
      <c r="R2283" s="25">
        <f>COUNTIF($Q$2:$Q$5295,Q2283)</f>
        <v/>
      </c>
      <c r="S2283" s="25">
        <f>IF(R2283&lt;=2,"1-2",IF(R2283&lt;=5,"3-5",IF(R2283&lt;=10,"6-10","11+")))</f>
        <v/>
      </c>
    </row>
    <row r="2284">
      <c r="A2284" s="39" t="n">
        <v>46182.36907407407</v>
      </c>
      <c r="B2284" s="25">
        <f>TEXT(A2284,"YYYY-MM")</f>
        <v/>
      </c>
      <c r="C2284" s="25">
        <f>TEXT(A2284,"MMM-YYYY")</f>
        <v/>
      </c>
      <c r="D2284" s="40">
        <f>INT(A2284)-WEEKDAY(A2284,2)+1</f>
        <v/>
      </c>
      <c r="E2284" s="25" t="inlineStr">
        <is>
          <t>atiwari</t>
        </is>
      </c>
      <c r="F2284" s="25" t="n">
        <v>124518</v>
      </c>
      <c r="G2284" s="25" t="n">
        <v>2</v>
      </c>
      <c r="H2284" s="25" t="n">
        <v>8</v>
      </c>
      <c r="I2284" s="25" t="inlineStr">
        <is>
          <t>5 minute(s) and 22 second(s)</t>
        </is>
      </c>
      <c r="J2284" s="25">
        <f>IFERROR(VALUE(TRIM(LEFT(I2284,FIND("minute",I2284)-1)))*60,0)+IFERROR(VALUE(SUBSTITUTE(MID(I2284,IFERROR(FIND("and",I2284)+3,1),20),"second(s)","")),0)</f>
        <v/>
      </c>
      <c r="K2284" s="41">
        <f>J2284/60</f>
        <v/>
      </c>
      <c r="L2284" s="41">
        <f>IFERROR(J2284/H2284,"")</f>
        <v/>
      </c>
      <c r="M2284" s="25" t="inlineStr">
        <is>
          <t>2.5.12</t>
        </is>
      </c>
      <c r="N2284" s="25">
        <f>IF(J2284&gt;300,1,0)</f>
        <v/>
      </c>
      <c r="O2284" s="25">
        <f>IF(J2284&gt;600,1,0)</f>
        <v/>
      </c>
      <c r="P2284" s="25">
        <f>IF(H2284&gt;0,J2284,"")</f>
        <v/>
      </c>
      <c r="Q2284" s="25">
        <f>TEXT(A2284,"YYYY-MM-DD HH")</f>
        <v/>
      </c>
      <c r="R2284" s="25">
        <f>COUNTIF($Q$2:$Q$5295,Q2284)</f>
        <v/>
      </c>
      <c r="S2284" s="25">
        <f>IF(R2284&lt;=2,"1-2",IF(R2284&lt;=5,"3-5",IF(R2284&lt;=10,"6-10","11+")))</f>
        <v/>
      </c>
    </row>
    <row r="2285">
      <c r="A2285" s="39" t="n">
        <v>46182.37778935185</v>
      </c>
      <c r="B2285" s="25">
        <f>TEXT(A2285,"YYYY-MM")</f>
        <v/>
      </c>
      <c r="C2285" s="25">
        <f>TEXT(A2285,"MMM-YYYY")</f>
        <v/>
      </c>
      <c r="D2285" s="40">
        <f>INT(A2285)-WEEKDAY(A2285,2)+1</f>
        <v/>
      </c>
      <c r="E2285" s="25" t="inlineStr">
        <is>
          <t>aghosh</t>
        </is>
      </c>
      <c r="F2285" s="25" t="n">
        <v>123552</v>
      </c>
      <c r="G2285" s="25" t="n">
        <v>2</v>
      </c>
      <c r="H2285" s="25" t="n">
        <v>10</v>
      </c>
      <c r="I2285" s="25" t="inlineStr">
        <is>
          <t>2 minute(s) and 34 second(s)</t>
        </is>
      </c>
      <c r="J2285" s="25">
        <f>IFERROR(VALUE(TRIM(LEFT(I2285,FIND("minute",I2285)-1)))*60,0)+IFERROR(VALUE(SUBSTITUTE(MID(I2285,IFERROR(FIND("and",I2285)+3,1),20),"second(s)","")),0)</f>
        <v/>
      </c>
      <c r="K2285" s="41">
        <f>J2285/60</f>
        <v/>
      </c>
      <c r="L2285" s="41">
        <f>IFERROR(J2285/H2285,"")</f>
        <v/>
      </c>
      <c r="M2285" s="25" t="inlineStr">
        <is>
          <t>2.5.12</t>
        </is>
      </c>
      <c r="N2285" s="25">
        <f>IF(J2285&gt;300,1,0)</f>
        <v/>
      </c>
      <c r="O2285" s="25">
        <f>IF(J2285&gt;600,1,0)</f>
        <v/>
      </c>
      <c r="P2285" s="25">
        <f>IF(H2285&gt;0,J2285,"")</f>
        <v/>
      </c>
      <c r="Q2285" s="25">
        <f>TEXT(A2285,"YYYY-MM-DD HH")</f>
        <v/>
      </c>
      <c r="R2285" s="25">
        <f>COUNTIF($Q$2:$Q$5295,Q2285)</f>
        <v/>
      </c>
      <c r="S2285" s="25">
        <f>IF(R2285&lt;=2,"1-2",IF(R2285&lt;=5,"3-5",IF(R2285&lt;=10,"6-10","11+")))</f>
        <v/>
      </c>
    </row>
    <row r="2286">
      <c r="A2286" s="39" t="n">
        <v>46182.3828587963</v>
      </c>
      <c r="B2286" s="25">
        <f>TEXT(A2286,"YYYY-MM")</f>
        <v/>
      </c>
      <c r="C2286" s="25">
        <f>TEXT(A2286,"MMM-YYYY")</f>
        <v/>
      </c>
      <c r="D2286" s="40">
        <f>INT(A2286)-WEEKDAY(A2286,2)+1</f>
        <v/>
      </c>
      <c r="E2286" s="25" t="inlineStr">
        <is>
          <t>ns</t>
        </is>
      </c>
      <c r="F2286" s="25" t="n">
        <v>122704</v>
      </c>
      <c r="G2286" s="25" t="n">
        <v>1</v>
      </c>
      <c r="H2286" s="25" t="n">
        <v>5</v>
      </c>
      <c r="I2286" s="25" t="inlineStr">
        <is>
          <t>2 minute(s) and 28 second(s)</t>
        </is>
      </c>
      <c r="J2286" s="25">
        <f>IFERROR(VALUE(TRIM(LEFT(I2286,FIND("minute",I2286)-1)))*60,0)+IFERROR(VALUE(SUBSTITUTE(MID(I2286,IFERROR(FIND("and",I2286)+3,1),20),"second(s)","")),0)</f>
        <v/>
      </c>
      <c r="K2286" s="41">
        <f>J2286/60</f>
        <v/>
      </c>
      <c r="L2286" s="41">
        <f>IFERROR(J2286/H2286,"")</f>
        <v/>
      </c>
      <c r="M2286" s="25" t="inlineStr">
        <is>
          <t>2.5.12</t>
        </is>
      </c>
      <c r="N2286" s="25">
        <f>IF(J2286&gt;300,1,0)</f>
        <v/>
      </c>
      <c r="O2286" s="25">
        <f>IF(J2286&gt;600,1,0)</f>
        <v/>
      </c>
      <c r="P2286" s="25">
        <f>IF(H2286&gt;0,J2286,"")</f>
        <v/>
      </c>
      <c r="Q2286" s="25">
        <f>TEXT(A2286,"YYYY-MM-DD HH")</f>
        <v/>
      </c>
      <c r="R2286" s="25">
        <f>COUNTIF($Q$2:$Q$5295,Q2286)</f>
        <v/>
      </c>
      <c r="S2286" s="25">
        <f>IF(R2286&lt;=2,"1-2",IF(R2286&lt;=5,"3-5",IF(R2286&lt;=10,"6-10","11+")))</f>
        <v/>
      </c>
    </row>
    <row r="2287">
      <c r="A2287" s="39" t="n">
        <v>46182.38606481482</v>
      </c>
      <c r="B2287" s="25">
        <f>TEXT(A2287,"YYYY-MM")</f>
        <v/>
      </c>
      <c r="C2287" s="25">
        <f>TEXT(A2287,"MMM-YYYY")</f>
        <v/>
      </c>
      <c r="D2287" s="40">
        <f>INT(A2287)-WEEKDAY(A2287,2)+1</f>
        <v/>
      </c>
      <c r="E2287" s="25" t="inlineStr">
        <is>
          <t>ssrinivasan</t>
        </is>
      </c>
      <c r="F2287" s="25" t="n">
        <v>122155</v>
      </c>
      <c r="G2287" s="25" t="n">
        <v>2</v>
      </c>
      <c r="H2287" s="25" t="n">
        <v>10</v>
      </c>
      <c r="I2287" s="25" t="inlineStr">
        <is>
          <t>5 minute(s) and 29 second(s)</t>
        </is>
      </c>
      <c r="J2287" s="25">
        <f>IFERROR(VALUE(TRIM(LEFT(I2287,FIND("minute",I2287)-1)))*60,0)+IFERROR(VALUE(SUBSTITUTE(MID(I2287,IFERROR(FIND("and",I2287)+3,1),20),"second(s)","")),0)</f>
        <v/>
      </c>
      <c r="K2287" s="41">
        <f>J2287/60</f>
        <v/>
      </c>
      <c r="L2287" s="41">
        <f>IFERROR(J2287/H2287,"")</f>
        <v/>
      </c>
      <c r="M2287" s="25" t="inlineStr">
        <is>
          <t>2.5.12</t>
        </is>
      </c>
      <c r="N2287" s="25">
        <f>IF(J2287&gt;300,1,0)</f>
        <v/>
      </c>
      <c r="O2287" s="25">
        <f>IF(J2287&gt;600,1,0)</f>
        <v/>
      </c>
      <c r="P2287" s="25">
        <f>IF(H2287&gt;0,J2287,"")</f>
        <v/>
      </c>
      <c r="Q2287" s="25">
        <f>TEXT(A2287,"YYYY-MM-DD HH")</f>
        <v/>
      </c>
      <c r="R2287" s="25">
        <f>COUNTIF($Q$2:$Q$5295,Q2287)</f>
        <v/>
      </c>
      <c r="S2287" s="25">
        <f>IF(R2287&lt;=2,"1-2",IF(R2287&lt;=5,"3-5",IF(R2287&lt;=10,"6-10","11+")))</f>
        <v/>
      </c>
    </row>
    <row r="2288">
      <c r="A2288" s="39" t="n">
        <v>46182.38905092593</v>
      </c>
      <c r="B2288" s="25">
        <f>TEXT(A2288,"YYYY-MM")</f>
        <v/>
      </c>
      <c r="C2288" s="25">
        <f>TEXT(A2288,"MMM-YYYY")</f>
        <v/>
      </c>
      <c r="D2288" s="40">
        <f>INT(A2288)-WEEKDAY(A2288,2)+1</f>
        <v/>
      </c>
      <c r="E2288" s="25" t="inlineStr">
        <is>
          <t>bverma</t>
        </is>
      </c>
      <c r="F2288" s="25" t="n">
        <v>121450</v>
      </c>
      <c r="G2288" s="25" t="n">
        <v>4</v>
      </c>
      <c r="H2288" s="25" t="n">
        <v>27</v>
      </c>
      <c r="I2288" s="25" t="inlineStr">
        <is>
          <t>11 minute(s) and 32 second(s)</t>
        </is>
      </c>
      <c r="J2288" s="25">
        <f>IFERROR(VALUE(TRIM(LEFT(I2288,FIND("minute",I2288)-1)))*60,0)+IFERROR(VALUE(SUBSTITUTE(MID(I2288,IFERROR(FIND("and",I2288)+3,1),20),"second(s)","")),0)</f>
        <v/>
      </c>
      <c r="K2288" s="41">
        <f>J2288/60</f>
        <v/>
      </c>
      <c r="L2288" s="41">
        <f>IFERROR(J2288/H2288,"")</f>
        <v/>
      </c>
      <c r="M2288" s="25" t="inlineStr">
        <is>
          <t>2.5.12</t>
        </is>
      </c>
      <c r="N2288" s="25">
        <f>IF(J2288&gt;300,1,0)</f>
        <v/>
      </c>
      <c r="O2288" s="25">
        <f>IF(J2288&gt;600,1,0)</f>
        <v/>
      </c>
      <c r="P2288" s="25">
        <f>IF(H2288&gt;0,J2288,"")</f>
        <v/>
      </c>
      <c r="Q2288" s="25">
        <f>TEXT(A2288,"YYYY-MM-DD HH")</f>
        <v/>
      </c>
      <c r="R2288" s="25">
        <f>COUNTIF($Q$2:$Q$5295,Q2288)</f>
        <v/>
      </c>
      <c r="S2288" s="25">
        <f>IF(R2288&lt;=2,"1-2",IF(R2288&lt;=5,"3-5",IF(R2288&lt;=10,"6-10","11+")))</f>
        <v/>
      </c>
    </row>
    <row r="2289">
      <c r="A2289" s="39" t="n">
        <v>46182.39298611111</v>
      </c>
      <c r="B2289" s="25">
        <f>TEXT(A2289,"YYYY-MM")</f>
        <v/>
      </c>
      <c r="C2289" s="25">
        <f>TEXT(A2289,"MMM-YYYY")</f>
        <v/>
      </c>
      <c r="D2289" s="40">
        <f>INT(A2289)-WEEKDAY(A2289,2)+1</f>
        <v/>
      </c>
      <c r="E2289" s="25" t="inlineStr">
        <is>
          <t>psathwika</t>
        </is>
      </c>
      <c r="F2289" s="25" t="n">
        <v>121687</v>
      </c>
      <c r="G2289" s="25" t="n">
        <v>4</v>
      </c>
      <c r="H2289" s="25" t="n">
        <v>14</v>
      </c>
      <c r="I2289" s="25" t="inlineStr">
        <is>
          <t>7 minute(s) and 34 second(s)</t>
        </is>
      </c>
      <c r="J2289" s="25">
        <f>IFERROR(VALUE(TRIM(LEFT(I2289,FIND("minute",I2289)-1)))*60,0)+IFERROR(VALUE(SUBSTITUTE(MID(I2289,IFERROR(FIND("and",I2289)+3,1),20),"second(s)","")),0)</f>
        <v/>
      </c>
      <c r="K2289" s="41">
        <f>J2289/60</f>
        <v/>
      </c>
      <c r="L2289" s="41">
        <f>IFERROR(J2289/H2289,"")</f>
        <v/>
      </c>
      <c r="M2289" s="25" t="inlineStr">
        <is>
          <t>2.5.12</t>
        </is>
      </c>
      <c r="N2289" s="25">
        <f>IF(J2289&gt;300,1,0)</f>
        <v/>
      </c>
      <c r="O2289" s="25">
        <f>IF(J2289&gt;600,1,0)</f>
        <v/>
      </c>
      <c r="P2289" s="25">
        <f>IF(H2289&gt;0,J2289,"")</f>
        <v/>
      </c>
      <c r="Q2289" s="25">
        <f>TEXT(A2289,"YYYY-MM-DD HH")</f>
        <v/>
      </c>
      <c r="R2289" s="25">
        <f>COUNTIF($Q$2:$Q$5295,Q2289)</f>
        <v/>
      </c>
      <c r="S2289" s="25">
        <f>IF(R2289&lt;=2,"1-2",IF(R2289&lt;=5,"3-5",IF(R2289&lt;=10,"6-10","11+")))</f>
        <v/>
      </c>
    </row>
    <row r="2290">
      <c r="A2290" s="39" t="n">
        <v>46182.39458333333</v>
      </c>
      <c r="B2290" s="25">
        <f>TEXT(A2290,"YYYY-MM")</f>
        <v/>
      </c>
      <c r="C2290" s="25">
        <f>TEXT(A2290,"MMM-YYYY")</f>
        <v/>
      </c>
      <c r="D2290" s="40">
        <f>INT(A2290)-WEEKDAY(A2290,2)+1</f>
        <v/>
      </c>
      <c r="E2290" s="25" t="inlineStr">
        <is>
          <t>aupadhayay</t>
        </is>
      </c>
      <c r="F2290" s="25" t="n">
        <v>122008</v>
      </c>
      <c r="G2290" s="25" t="n">
        <v>4</v>
      </c>
      <c r="H2290" s="25" t="n">
        <v>14</v>
      </c>
      <c r="I2290" s="25" t="inlineStr">
        <is>
          <t>3 minute(s) and 38 second(s)</t>
        </is>
      </c>
      <c r="J2290" s="25">
        <f>IFERROR(VALUE(TRIM(LEFT(I2290,FIND("minute",I2290)-1)))*60,0)+IFERROR(VALUE(SUBSTITUTE(MID(I2290,IFERROR(FIND("and",I2290)+3,1),20),"second(s)","")),0)</f>
        <v/>
      </c>
      <c r="K2290" s="41">
        <f>J2290/60</f>
        <v/>
      </c>
      <c r="L2290" s="41">
        <f>IFERROR(J2290/H2290,"")</f>
        <v/>
      </c>
      <c r="M2290" s="25" t="inlineStr">
        <is>
          <t>2.5.12</t>
        </is>
      </c>
      <c r="N2290" s="25">
        <f>IF(J2290&gt;300,1,0)</f>
        <v/>
      </c>
      <c r="O2290" s="25">
        <f>IF(J2290&gt;600,1,0)</f>
        <v/>
      </c>
      <c r="P2290" s="25">
        <f>IF(H2290&gt;0,J2290,"")</f>
        <v/>
      </c>
      <c r="Q2290" s="25">
        <f>TEXT(A2290,"YYYY-MM-DD HH")</f>
        <v/>
      </c>
      <c r="R2290" s="25">
        <f>COUNTIF($Q$2:$Q$5295,Q2290)</f>
        <v/>
      </c>
      <c r="S2290" s="25">
        <f>IF(R2290&lt;=2,"1-2",IF(R2290&lt;=5,"3-5",IF(R2290&lt;=10,"6-10","11+")))</f>
        <v/>
      </c>
    </row>
    <row r="2291">
      <c r="A2291" s="39" t="n">
        <v>46182.39658564814</v>
      </c>
      <c r="B2291" s="25">
        <f>TEXT(A2291,"YYYY-MM")</f>
        <v/>
      </c>
      <c r="C2291" s="25">
        <f>TEXT(A2291,"MMM-YYYY")</f>
        <v/>
      </c>
      <c r="D2291" s="40">
        <f>INT(A2291)-WEEKDAY(A2291,2)+1</f>
        <v/>
      </c>
      <c r="E2291" s="25" t="inlineStr">
        <is>
          <t>mgupta</t>
        </is>
      </c>
      <c r="F2291" s="25" t="n">
        <v>89887</v>
      </c>
      <c r="G2291" s="25" t="n">
        <v>3</v>
      </c>
      <c r="H2291" s="25" t="n">
        <v>15</v>
      </c>
      <c r="I2291" s="25" t="inlineStr">
        <is>
          <t>5 minute(s) and 25 second(s)</t>
        </is>
      </c>
      <c r="J2291" s="25">
        <f>IFERROR(VALUE(TRIM(LEFT(I2291,FIND("minute",I2291)-1)))*60,0)+IFERROR(VALUE(SUBSTITUTE(MID(I2291,IFERROR(FIND("and",I2291)+3,1),20),"second(s)","")),0)</f>
        <v/>
      </c>
      <c r="K2291" s="41">
        <f>J2291/60</f>
        <v/>
      </c>
      <c r="L2291" s="41">
        <f>IFERROR(J2291/H2291,"")</f>
        <v/>
      </c>
      <c r="M2291" s="25" t="inlineStr">
        <is>
          <t>2.5.12</t>
        </is>
      </c>
      <c r="N2291" s="25">
        <f>IF(J2291&gt;300,1,0)</f>
        <v/>
      </c>
      <c r="O2291" s="25">
        <f>IF(J2291&gt;600,1,0)</f>
        <v/>
      </c>
      <c r="P2291" s="25">
        <f>IF(H2291&gt;0,J2291,"")</f>
        <v/>
      </c>
      <c r="Q2291" s="25">
        <f>TEXT(A2291,"YYYY-MM-DD HH")</f>
        <v/>
      </c>
      <c r="R2291" s="25">
        <f>COUNTIF($Q$2:$Q$5295,Q2291)</f>
        <v/>
      </c>
      <c r="S2291" s="25">
        <f>IF(R2291&lt;=2,"1-2",IF(R2291&lt;=5,"3-5",IF(R2291&lt;=10,"6-10","11+")))</f>
        <v/>
      </c>
    </row>
    <row r="2292">
      <c r="A2292" s="39" t="n">
        <v>46182.39707175926</v>
      </c>
      <c r="B2292" s="25">
        <f>TEXT(A2292,"YYYY-MM")</f>
        <v/>
      </c>
      <c r="C2292" s="25">
        <f>TEXT(A2292,"MMM-YYYY")</f>
        <v/>
      </c>
      <c r="D2292" s="40">
        <f>INT(A2292)-WEEKDAY(A2292,2)+1</f>
        <v/>
      </c>
      <c r="E2292" s="25" t="inlineStr">
        <is>
          <t>ethomas</t>
        </is>
      </c>
      <c r="F2292" s="25" t="n">
        <v>122425</v>
      </c>
      <c r="G2292" s="25" t="n">
        <v>4</v>
      </c>
      <c r="H2292" s="25" t="n">
        <v>26</v>
      </c>
      <c r="I2292" s="25" t="inlineStr">
        <is>
          <t>11 minute(s) and 48 second(s)</t>
        </is>
      </c>
      <c r="J2292" s="25">
        <f>IFERROR(VALUE(TRIM(LEFT(I2292,FIND("minute",I2292)-1)))*60,0)+IFERROR(VALUE(SUBSTITUTE(MID(I2292,IFERROR(FIND("and",I2292)+3,1),20),"second(s)","")),0)</f>
        <v/>
      </c>
      <c r="K2292" s="41">
        <f>J2292/60</f>
        <v/>
      </c>
      <c r="L2292" s="41">
        <f>IFERROR(J2292/H2292,"")</f>
        <v/>
      </c>
      <c r="M2292" s="25" t="inlineStr">
        <is>
          <t>2.5.12</t>
        </is>
      </c>
      <c r="N2292" s="25">
        <f>IF(J2292&gt;300,1,0)</f>
        <v/>
      </c>
      <c r="O2292" s="25">
        <f>IF(J2292&gt;600,1,0)</f>
        <v/>
      </c>
      <c r="P2292" s="25">
        <f>IF(H2292&gt;0,J2292,"")</f>
        <v/>
      </c>
      <c r="Q2292" s="25">
        <f>TEXT(A2292,"YYYY-MM-DD HH")</f>
        <v/>
      </c>
      <c r="R2292" s="25">
        <f>COUNTIF($Q$2:$Q$5295,Q2292)</f>
        <v/>
      </c>
      <c r="S2292" s="25">
        <f>IF(R2292&lt;=2,"1-2",IF(R2292&lt;=5,"3-5",IF(R2292&lt;=10,"6-10","11+")))</f>
        <v/>
      </c>
    </row>
    <row r="2293">
      <c r="A2293" s="39" t="n">
        <v>46182.39940972222</v>
      </c>
      <c r="B2293" s="25">
        <f>TEXT(A2293,"YYYY-MM")</f>
        <v/>
      </c>
      <c r="C2293" s="25">
        <f>TEXT(A2293,"MMM-YYYY")</f>
        <v/>
      </c>
      <c r="D2293" s="40">
        <f>INT(A2293)-WEEKDAY(A2293,2)+1</f>
        <v/>
      </c>
      <c r="E2293" s="25" t="inlineStr">
        <is>
          <t>dchoudhury</t>
        </is>
      </c>
      <c r="F2293" s="25" t="n">
        <v>121498</v>
      </c>
      <c r="G2293" s="25" t="n">
        <v>1</v>
      </c>
      <c r="H2293" s="25" t="n">
        <v>5</v>
      </c>
      <c r="I2293" s="25" t="inlineStr">
        <is>
          <t>2 minute(s) and 38 second(s)</t>
        </is>
      </c>
      <c r="J2293" s="25">
        <f>IFERROR(VALUE(TRIM(LEFT(I2293,FIND("minute",I2293)-1)))*60,0)+IFERROR(VALUE(SUBSTITUTE(MID(I2293,IFERROR(FIND("and",I2293)+3,1),20),"second(s)","")),0)</f>
        <v/>
      </c>
      <c r="K2293" s="41">
        <f>J2293/60</f>
        <v/>
      </c>
      <c r="L2293" s="41">
        <f>IFERROR(J2293/H2293,"")</f>
        <v/>
      </c>
      <c r="M2293" s="25" t="inlineStr">
        <is>
          <t>2.5.12</t>
        </is>
      </c>
      <c r="N2293" s="25">
        <f>IF(J2293&gt;300,1,0)</f>
        <v/>
      </c>
      <c r="O2293" s="25">
        <f>IF(J2293&gt;600,1,0)</f>
        <v/>
      </c>
      <c r="P2293" s="25">
        <f>IF(H2293&gt;0,J2293,"")</f>
        <v/>
      </c>
      <c r="Q2293" s="25">
        <f>TEXT(A2293,"YYYY-MM-DD HH")</f>
        <v/>
      </c>
      <c r="R2293" s="25">
        <f>COUNTIF($Q$2:$Q$5295,Q2293)</f>
        <v/>
      </c>
      <c r="S2293" s="25">
        <f>IF(R2293&lt;=2,"1-2",IF(R2293&lt;=5,"3-5",IF(R2293&lt;=10,"6-10","11+")))</f>
        <v/>
      </c>
    </row>
    <row r="2294">
      <c r="A2294" s="39" t="n">
        <v>46182.40225694444</v>
      </c>
      <c r="B2294" s="25">
        <f>TEXT(A2294,"YYYY-MM")</f>
        <v/>
      </c>
      <c r="C2294" s="25">
        <f>TEXT(A2294,"MMM-YYYY")</f>
        <v/>
      </c>
      <c r="D2294" s="40">
        <f>INT(A2294)-WEEKDAY(A2294,2)+1</f>
        <v/>
      </c>
      <c r="E2294" s="25" t="inlineStr">
        <is>
          <t>apriyadarshi</t>
        </is>
      </c>
      <c r="F2294" s="25" t="n">
        <v>124877</v>
      </c>
      <c r="G2294" s="25" t="n">
        <v>4</v>
      </c>
      <c r="H2294" s="25" t="n">
        <v>12</v>
      </c>
      <c r="I2294" s="25" t="inlineStr">
        <is>
          <t>2 minute(s) and 20 second(s)</t>
        </is>
      </c>
      <c r="J2294" s="25">
        <f>IFERROR(VALUE(TRIM(LEFT(I2294,FIND("minute",I2294)-1)))*60,0)+IFERROR(VALUE(SUBSTITUTE(MID(I2294,IFERROR(FIND("and",I2294)+3,1),20),"second(s)","")),0)</f>
        <v/>
      </c>
      <c r="K2294" s="41">
        <f>J2294/60</f>
        <v/>
      </c>
      <c r="L2294" s="41">
        <f>IFERROR(J2294/H2294,"")</f>
        <v/>
      </c>
      <c r="M2294" s="25" t="inlineStr">
        <is>
          <t>2.5.12</t>
        </is>
      </c>
      <c r="N2294" s="25">
        <f>IF(J2294&gt;300,1,0)</f>
        <v/>
      </c>
      <c r="O2294" s="25">
        <f>IF(J2294&gt;600,1,0)</f>
        <v/>
      </c>
      <c r="P2294" s="25">
        <f>IF(H2294&gt;0,J2294,"")</f>
        <v/>
      </c>
      <c r="Q2294" s="25">
        <f>TEXT(A2294,"YYYY-MM-DD HH")</f>
        <v/>
      </c>
      <c r="R2294" s="25">
        <f>COUNTIF($Q$2:$Q$5295,Q2294)</f>
        <v/>
      </c>
      <c r="S2294" s="25">
        <f>IF(R2294&lt;=2,"1-2",IF(R2294&lt;=5,"3-5",IF(R2294&lt;=10,"6-10","11+")))</f>
        <v/>
      </c>
    </row>
    <row r="2295">
      <c r="A2295" s="39" t="n">
        <v>46182.41473379629</v>
      </c>
      <c r="B2295" s="25">
        <f>TEXT(A2295,"YYYY-MM")</f>
        <v/>
      </c>
      <c r="C2295" s="25">
        <f>TEXT(A2295,"MMM-YYYY")</f>
        <v/>
      </c>
      <c r="D2295" s="40">
        <f>INT(A2295)-WEEKDAY(A2295,2)+1</f>
        <v/>
      </c>
      <c r="E2295" s="25" t="inlineStr">
        <is>
          <t>hsindwani</t>
        </is>
      </c>
      <c r="F2295" s="25" t="n">
        <v>121456</v>
      </c>
      <c r="G2295" s="25" t="n">
        <v>2</v>
      </c>
      <c r="H2295" s="25" t="n">
        <v>10</v>
      </c>
      <c r="I2295" s="25" t="inlineStr">
        <is>
          <t>4 minute(s) and 4 second(s)</t>
        </is>
      </c>
      <c r="J2295" s="25">
        <f>IFERROR(VALUE(TRIM(LEFT(I2295,FIND("minute",I2295)-1)))*60,0)+IFERROR(VALUE(SUBSTITUTE(MID(I2295,IFERROR(FIND("and",I2295)+3,1),20),"second(s)","")),0)</f>
        <v/>
      </c>
      <c r="K2295" s="41">
        <f>J2295/60</f>
        <v/>
      </c>
      <c r="L2295" s="41">
        <f>IFERROR(J2295/H2295,"")</f>
        <v/>
      </c>
      <c r="M2295" s="25" t="inlineStr">
        <is>
          <t>2.5.12</t>
        </is>
      </c>
      <c r="N2295" s="25">
        <f>IF(J2295&gt;300,1,0)</f>
        <v/>
      </c>
      <c r="O2295" s="25">
        <f>IF(J2295&gt;600,1,0)</f>
        <v/>
      </c>
      <c r="P2295" s="25">
        <f>IF(H2295&gt;0,J2295,"")</f>
        <v/>
      </c>
      <c r="Q2295" s="25">
        <f>TEXT(A2295,"YYYY-MM-DD HH")</f>
        <v/>
      </c>
      <c r="R2295" s="25">
        <f>COUNTIF($Q$2:$Q$5295,Q2295)</f>
        <v/>
      </c>
      <c r="S2295" s="25">
        <f>IF(R2295&lt;=2,"1-2",IF(R2295&lt;=5,"3-5",IF(R2295&lt;=10,"6-10","11+")))</f>
        <v/>
      </c>
    </row>
    <row r="2296">
      <c r="A2296" s="39" t="n">
        <v>46182.42127314815</v>
      </c>
      <c r="B2296" s="25">
        <f>TEXT(A2296,"YYYY-MM")</f>
        <v/>
      </c>
      <c r="C2296" s="25">
        <f>TEXT(A2296,"MMM-YYYY")</f>
        <v/>
      </c>
      <c r="D2296" s="40">
        <f>INT(A2296)-WEEKDAY(A2296,2)+1</f>
        <v/>
      </c>
      <c r="E2296" s="25" t="inlineStr">
        <is>
          <t>ssaha</t>
        </is>
      </c>
      <c r="F2296" s="25" t="n">
        <v>122202</v>
      </c>
      <c r="G2296" s="25" t="n">
        <v>2</v>
      </c>
      <c r="H2296" s="25" t="n">
        <v>6</v>
      </c>
      <c r="I2296" s="25" t="inlineStr">
        <is>
          <t>1 minute(s) and 22 second(s)</t>
        </is>
      </c>
      <c r="J2296" s="25">
        <f>IFERROR(VALUE(TRIM(LEFT(I2296,FIND("minute",I2296)-1)))*60,0)+IFERROR(VALUE(SUBSTITUTE(MID(I2296,IFERROR(FIND("and",I2296)+3,1),20),"second(s)","")),0)</f>
        <v/>
      </c>
      <c r="K2296" s="41">
        <f>J2296/60</f>
        <v/>
      </c>
      <c r="L2296" s="41">
        <f>IFERROR(J2296/H2296,"")</f>
        <v/>
      </c>
      <c r="M2296" s="25" t="inlineStr">
        <is>
          <t>2.5.12</t>
        </is>
      </c>
      <c r="N2296" s="25">
        <f>IF(J2296&gt;300,1,0)</f>
        <v/>
      </c>
      <c r="O2296" s="25">
        <f>IF(J2296&gt;600,1,0)</f>
        <v/>
      </c>
      <c r="P2296" s="25">
        <f>IF(H2296&gt;0,J2296,"")</f>
        <v/>
      </c>
      <c r="Q2296" s="25">
        <f>TEXT(A2296,"YYYY-MM-DD HH")</f>
        <v/>
      </c>
      <c r="R2296" s="25">
        <f>COUNTIF($Q$2:$Q$5295,Q2296)</f>
        <v/>
      </c>
      <c r="S2296" s="25">
        <f>IF(R2296&lt;=2,"1-2",IF(R2296&lt;=5,"3-5",IF(R2296&lt;=10,"6-10","11+")))</f>
        <v/>
      </c>
    </row>
    <row r="2297">
      <c r="A2297" s="39" t="n">
        <v>46182.42194444445</v>
      </c>
      <c r="B2297" s="25">
        <f>TEXT(A2297,"YYYY-MM")</f>
        <v/>
      </c>
      <c r="C2297" s="25">
        <f>TEXT(A2297,"MMM-YYYY")</f>
        <v/>
      </c>
      <c r="D2297" s="40">
        <f>INT(A2297)-WEEKDAY(A2297,2)+1</f>
        <v/>
      </c>
      <c r="E2297" s="25" t="inlineStr">
        <is>
          <t>ssrinivasan</t>
        </is>
      </c>
      <c r="F2297" s="25" t="n">
        <v>122156</v>
      </c>
      <c r="G2297" s="25" t="n">
        <v>2</v>
      </c>
      <c r="H2297" s="25" t="n">
        <v>10</v>
      </c>
      <c r="I2297" s="25" t="inlineStr">
        <is>
          <t>4 minute(s) and 0 second(s)</t>
        </is>
      </c>
      <c r="J2297" s="25">
        <f>IFERROR(VALUE(TRIM(LEFT(I2297,FIND("minute",I2297)-1)))*60,0)+IFERROR(VALUE(SUBSTITUTE(MID(I2297,IFERROR(FIND("and",I2297)+3,1),20),"second(s)","")),0)</f>
        <v/>
      </c>
      <c r="K2297" s="41">
        <f>J2297/60</f>
        <v/>
      </c>
      <c r="L2297" s="41">
        <f>IFERROR(J2297/H2297,"")</f>
        <v/>
      </c>
      <c r="M2297" s="25" t="inlineStr">
        <is>
          <t>2.5.12</t>
        </is>
      </c>
      <c r="N2297" s="25">
        <f>IF(J2297&gt;300,1,0)</f>
        <v/>
      </c>
      <c r="O2297" s="25">
        <f>IF(J2297&gt;600,1,0)</f>
        <v/>
      </c>
      <c r="P2297" s="25">
        <f>IF(H2297&gt;0,J2297,"")</f>
        <v/>
      </c>
      <c r="Q2297" s="25">
        <f>TEXT(A2297,"YYYY-MM-DD HH")</f>
        <v/>
      </c>
      <c r="R2297" s="25">
        <f>COUNTIF($Q$2:$Q$5295,Q2297)</f>
        <v/>
      </c>
      <c r="S2297" s="25">
        <f>IF(R2297&lt;=2,"1-2",IF(R2297&lt;=5,"3-5",IF(R2297&lt;=10,"6-10","11+")))</f>
        <v/>
      </c>
    </row>
    <row r="2298">
      <c r="A2298" s="39" t="n">
        <v>46182.4230787037</v>
      </c>
      <c r="B2298" s="25">
        <f>TEXT(A2298,"YYYY-MM")</f>
        <v/>
      </c>
      <c r="C2298" s="25">
        <f>TEXT(A2298,"MMM-YYYY")</f>
        <v/>
      </c>
      <c r="D2298" s="40">
        <f>INT(A2298)-WEEKDAY(A2298,2)+1</f>
        <v/>
      </c>
      <c r="E2298" s="25" t="inlineStr">
        <is>
          <t>ethomas</t>
        </is>
      </c>
      <c r="F2298" s="25" t="n">
        <v>121528</v>
      </c>
      <c r="G2298" s="25" t="n">
        <v>1</v>
      </c>
      <c r="H2298" s="25" t="n">
        <v>7</v>
      </c>
      <c r="I2298" s="25" t="inlineStr">
        <is>
          <t>1 minute(s) and 33 second(s)</t>
        </is>
      </c>
      <c r="J2298" s="25">
        <f>IFERROR(VALUE(TRIM(LEFT(I2298,FIND("minute",I2298)-1)))*60,0)+IFERROR(VALUE(SUBSTITUTE(MID(I2298,IFERROR(FIND("and",I2298)+3,1),20),"second(s)","")),0)</f>
        <v/>
      </c>
      <c r="K2298" s="41">
        <f>J2298/60</f>
        <v/>
      </c>
      <c r="L2298" s="41">
        <f>IFERROR(J2298/H2298,"")</f>
        <v/>
      </c>
      <c r="M2298" s="25" t="inlineStr">
        <is>
          <t>2.5.12</t>
        </is>
      </c>
      <c r="N2298" s="25">
        <f>IF(J2298&gt;300,1,0)</f>
        <v/>
      </c>
      <c r="O2298" s="25">
        <f>IF(J2298&gt;600,1,0)</f>
        <v/>
      </c>
      <c r="P2298" s="25">
        <f>IF(H2298&gt;0,J2298,"")</f>
        <v/>
      </c>
      <c r="Q2298" s="25">
        <f>TEXT(A2298,"YYYY-MM-DD HH")</f>
        <v/>
      </c>
      <c r="R2298" s="25">
        <f>COUNTIF($Q$2:$Q$5295,Q2298)</f>
        <v/>
      </c>
      <c r="S2298" s="25">
        <f>IF(R2298&lt;=2,"1-2",IF(R2298&lt;=5,"3-5",IF(R2298&lt;=10,"6-10","11+")))</f>
        <v/>
      </c>
    </row>
    <row r="2299">
      <c r="A2299" s="39" t="n">
        <v>46182.44055555556</v>
      </c>
      <c r="B2299" s="25">
        <f>TEXT(A2299,"YYYY-MM")</f>
        <v/>
      </c>
      <c r="C2299" s="25">
        <f>TEXT(A2299,"MMM-YYYY")</f>
        <v/>
      </c>
      <c r="D2299" s="40">
        <f>INT(A2299)-WEEKDAY(A2299,2)+1</f>
        <v/>
      </c>
      <c r="E2299" s="25" t="inlineStr">
        <is>
          <t>ssaha</t>
        </is>
      </c>
      <c r="F2299" s="25" t="n">
        <v>122203</v>
      </c>
      <c r="G2299" s="25" t="n">
        <v>4</v>
      </c>
      <c r="H2299" s="25" t="n">
        <v>10</v>
      </c>
      <c r="I2299" s="25" t="inlineStr">
        <is>
          <t>2 minute(s) and 56 second(s)</t>
        </is>
      </c>
      <c r="J2299" s="25">
        <f>IFERROR(VALUE(TRIM(LEFT(I2299,FIND("minute",I2299)-1)))*60,0)+IFERROR(VALUE(SUBSTITUTE(MID(I2299,IFERROR(FIND("and",I2299)+3,1),20),"second(s)","")),0)</f>
        <v/>
      </c>
      <c r="K2299" s="41">
        <f>J2299/60</f>
        <v/>
      </c>
      <c r="L2299" s="41">
        <f>IFERROR(J2299/H2299,"")</f>
        <v/>
      </c>
      <c r="M2299" s="25" t="inlineStr">
        <is>
          <t>2.5.12</t>
        </is>
      </c>
      <c r="N2299" s="25">
        <f>IF(J2299&gt;300,1,0)</f>
        <v/>
      </c>
      <c r="O2299" s="25">
        <f>IF(J2299&gt;600,1,0)</f>
        <v/>
      </c>
      <c r="P2299" s="25">
        <f>IF(H2299&gt;0,J2299,"")</f>
        <v/>
      </c>
      <c r="Q2299" s="25">
        <f>TEXT(A2299,"YYYY-MM-DD HH")</f>
        <v/>
      </c>
      <c r="R2299" s="25">
        <f>COUNTIF($Q$2:$Q$5295,Q2299)</f>
        <v/>
      </c>
      <c r="S2299" s="25">
        <f>IF(R2299&lt;=2,"1-2",IF(R2299&lt;=5,"3-5",IF(R2299&lt;=10,"6-10","11+")))</f>
        <v/>
      </c>
    </row>
    <row r="2300">
      <c r="A2300" s="39" t="n">
        <v>46182.45065972222</v>
      </c>
      <c r="B2300" s="25">
        <f>TEXT(A2300,"YYYY-MM")</f>
        <v/>
      </c>
      <c r="C2300" s="25">
        <f>TEXT(A2300,"MMM-YYYY")</f>
        <v/>
      </c>
      <c r="D2300" s="40">
        <f>INT(A2300)-WEEKDAY(A2300,2)+1</f>
        <v/>
      </c>
      <c r="E2300" s="25" t="inlineStr">
        <is>
          <t>atiwari</t>
        </is>
      </c>
      <c r="F2300" s="25" t="n">
        <v>122474</v>
      </c>
      <c r="G2300" s="25" t="n">
        <v>4</v>
      </c>
      <c r="H2300" s="25" t="n">
        <v>24</v>
      </c>
      <c r="I2300" s="25" t="inlineStr">
        <is>
          <t>5 minute(s) and 45 second(s)</t>
        </is>
      </c>
      <c r="J2300" s="25">
        <f>IFERROR(VALUE(TRIM(LEFT(I2300,FIND("minute",I2300)-1)))*60,0)+IFERROR(VALUE(SUBSTITUTE(MID(I2300,IFERROR(FIND("and",I2300)+3,1),20),"second(s)","")),0)</f>
        <v/>
      </c>
      <c r="K2300" s="41">
        <f>J2300/60</f>
        <v/>
      </c>
      <c r="L2300" s="41">
        <f>IFERROR(J2300/H2300,"")</f>
        <v/>
      </c>
      <c r="M2300" s="25" t="inlineStr">
        <is>
          <t>2.5.12</t>
        </is>
      </c>
      <c r="N2300" s="25">
        <f>IF(J2300&gt;300,1,0)</f>
        <v/>
      </c>
      <c r="O2300" s="25">
        <f>IF(J2300&gt;600,1,0)</f>
        <v/>
      </c>
      <c r="P2300" s="25">
        <f>IF(H2300&gt;0,J2300,"")</f>
        <v/>
      </c>
      <c r="Q2300" s="25">
        <f>TEXT(A2300,"YYYY-MM-DD HH")</f>
        <v/>
      </c>
      <c r="R2300" s="25">
        <f>COUNTIF($Q$2:$Q$5295,Q2300)</f>
        <v/>
      </c>
      <c r="S2300" s="25">
        <f>IF(R2300&lt;=2,"1-2",IF(R2300&lt;=5,"3-5",IF(R2300&lt;=10,"6-10","11+")))</f>
        <v/>
      </c>
    </row>
    <row r="2301">
      <c r="A2301" s="39" t="n">
        <v>46182.48171296297</v>
      </c>
      <c r="B2301" s="25">
        <f>TEXT(A2301,"YYYY-MM")</f>
        <v/>
      </c>
      <c r="C2301" s="25">
        <f>TEXT(A2301,"MMM-YYYY")</f>
        <v/>
      </c>
      <c r="D2301" s="40">
        <f>INT(A2301)-WEEKDAY(A2301,2)+1</f>
        <v/>
      </c>
      <c r="E2301" s="25" t="inlineStr">
        <is>
          <t>mgupta</t>
        </is>
      </c>
      <c r="F2301" s="25" t="n">
        <v>115923</v>
      </c>
      <c r="G2301" s="25" t="n">
        <v>1</v>
      </c>
      <c r="H2301" s="25" t="n">
        <v>5</v>
      </c>
      <c r="I2301" s="25" t="inlineStr">
        <is>
          <t>2 minute(s) and 22 second(s)</t>
        </is>
      </c>
      <c r="J2301" s="25">
        <f>IFERROR(VALUE(TRIM(LEFT(I2301,FIND("minute",I2301)-1)))*60,0)+IFERROR(VALUE(SUBSTITUTE(MID(I2301,IFERROR(FIND("and",I2301)+3,1),20),"second(s)","")),0)</f>
        <v/>
      </c>
      <c r="K2301" s="41">
        <f>J2301/60</f>
        <v/>
      </c>
      <c r="L2301" s="41">
        <f>IFERROR(J2301/H2301,"")</f>
        <v/>
      </c>
      <c r="M2301" s="25" t="inlineStr">
        <is>
          <t>2.5.12</t>
        </is>
      </c>
      <c r="N2301" s="25">
        <f>IF(J2301&gt;300,1,0)</f>
        <v/>
      </c>
      <c r="O2301" s="25">
        <f>IF(J2301&gt;600,1,0)</f>
        <v/>
      </c>
      <c r="P2301" s="25">
        <f>IF(H2301&gt;0,J2301,"")</f>
        <v/>
      </c>
      <c r="Q2301" s="25">
        <f>TEXT(A2301,"YYYY-MM-DD HH")</f>
        <v/>
      </c>
      <c r="R2301" s="25">
        <f>COUNTIF($Q$2:$Q$5295,Q2301)</f>
        <v/>
      </c>
      <c r="S2301" s="25">
        <f>IF(R2301&lt;=2,"1-2",IF(R2301&lt;=5,"3-5",IF(R2301&lt;=10,"6-10","11+")))</f>
        <v/>
      </c>
    </row>
    <row r="2302">
      <c r="A2302" s="39" t="n">
        <v>46182.48844907407</v>
      </c>
      <c r="B2302" s="25">
        <f>TEXT(A2302,"YYYY-MM")</f>
        <v/>
      </c>
      <c r="C2302" s="25">
        <f>TEXT(A2302,"MMM-YYYY")</f>
        <v/>
      </c>
      <c r="D2302" s="40">
        <f>INT(A2302)-WEEKDAY(A2302,2)+1</f>
        <v/>
      </c>
      <c r="E2302" s="25" t="inlineStr">
        <is>
          <t>csaha</t>
        </is>
      </c>
      <c r="F2302" s="25" t="n">
        <v>122382</v>
      </c>
      <c r="G2302" s="25" t="n">
        <v>1</v>
      </c>
      <c r="H2302" s="25" t="n">
        <v>5</v>
      </c>
      <c r="I2302" s="25" t="inlineStr">
        <is>
          <t>1 minute(s) and 27 second(s)</t>
        </is>
      </c>
      <c r="J2302" s="25">
        <f>IFERROR(VALUE(TRIM(LEFT(I2302,FIND("minute",I2302)-1)))*60,0)+IFERROR(VALUE(SUBSTITUTE(MID(I2302,IFERROR(FIND("and",I2302)+3,1),20),"second(s)","")),0)</f>
        <v/>
      </c>
      <c r="K2302" s="41">
        <f>J2302/60</f>
        <v/>
      </c>
      <c r="L2302" s="41">
        <f>IFERROR(J2302/H2302,"")</f>
        <v/>
      </c>
      <c r="M2302" s="25" t="inlineStr">
        <is>
          <t>2.5.12</t>
        </is>
      </c>
      <c r="N2302" s="25">
        <f>IF(J2302&gt;300,1,0)</f>
        <v/>
      </c>
      <c r="O2302" s="25">
        <f>IF(J2302&gt;600,1,0)</f>
        <v/>
      </c>
      <c r="P2302" s="25">
        <f>IF(H2302&gt;0,J2302,"")</f>
        <v/>
      </c>
      <c r="Q2302" s="25">
        <f>TEXT(A2302,"YYYY-MM-DD HH")</f>
        <v/>
      </c>
      <c r="R2302" s="25">
        <f>COUNTIF($Q$2:$Q$5295,Q2302)</f>
        <v/>
      </c>
      <c r="S2302" s="25">
        <f>IF(R2302&lt;=2,"1-2",IF(R2302&lt;=5,"3-5",IF(R2302&lt;=10,"6-10","11+")))</f>
        <v/>
      </c>
    </row>
    <row r="2303">
      <c r="A2303" s="39" t="n">
        <v>46182.48920138889</v>
      </c>
      <c r="B2303" s="25">
        <f>TEXT(A2303,"YYYY-MM")</f>
        <v/>
      </c>
      <c r="C2303" s="25">
        <f>TEXT(A2303,"MMM-YYYY")</f>
        <v/>
      </c>
      <c r="D2303" s="40">
        <f>INT(A2303)-WEEKDAY(A2303,2)+1</f>
        <v/>
      </c>
      <c r="E2303" s="25" t="inlineStr">
        <is>
          <t>psathwika</t>
        </is>
      </c>
      <c r="F2303" s="25" t="n">
        <v>121686</v>
      </c>
      <c r="G2303" s="25" t="n">
        <v>2</v>
      </c>
      <c r="H2303" s="25" t="n">
        <v>8</v>
      </c>
      <c r="I2303" s="25" t="inlineStr">
        <is>
          <t>5 minute(s) and 24 second(s)</t>
        </is>
      </c>
      <c r="J2303" s="25">
        <f>IFERROR(VALUE(TRIM(LEFT(I2303,FIND("minute",I2303)-1)))*60,0)+IFERROR(VALUE(SUBSTITUTE(MID(I2303,IFERROR(FIND("and",I2303)+3,1),20),"second(s)","")),0)</f>
        <v/>
      </c>
      <c r="K2303" s="41">
        <f>J2303/60</f>
        <v/>
      </c>
      <c r="L2303" s="41">
        <f>IFERROR(J2303/H2303,"")</f>
        <v/>
      </c>
      <c r="M2303" s="25" t="inlineStr">
        <is>
          <t>2.5.12</t>
        </is>
      </c>
      <c r="N2303" s="25">
        <f>IF(J2303&gt;300,1,0)</f>
        <v/>
      </c>
      <c r="O2303" s="25">
        <f>IF(J2303&gt;600,1,0)</f>
        <v/>
      </c>
      <c r="P2303" s="25">
        <f>IF(H2303&gt;0,J2303,"")</f>
        <v/>
      </c>
      <c r="Q2303" s="25">
        <f>TEXT(A2303,"YYYY-MM-DD HH")</f>
        <v/>
      </c>
      <c r="R2303" s="25">
        <f>COUNTIF($Q$2:$Q$5295,Q2303)</f>
        <v/>
      </c>
      <c r="S2303" s="25">
        <f>IF(R2303&lt;=2,"1-2",IF(R2303&lt;=5,"3-5",IF(R2303&lt;=10,"6-10","11+")))</f>
        <v/>
      </c>
    </row>
    <row r="2304">
      <c r="A2304" s="39" t="n">
        <v>46182.49418981482</v>
      </c>
      <c r="B2304" s="25">
        <f>TEXT(A2304,"YYYY-MM")</f>
        <v/>
      </c>
      <c r="C2304" s="25">
        <f>TEXT(A2304,"MMM-YYYY")</f>
        <v/>
      </c>
      <c r="D2304" s="40">
        <f>INT(A2304)-WEEKDAY(A2304,2)+1</f>
        <v/>
      </c>
      <c r="E2304" s="25" t="inlineStr">
        <is>
          <t>apriyadarshi</t>
        </is>
      </c>
      <c r="F2304" s="25" t="n">
        <v>124397</v>
      </c>
      <c r="G2304" s="25" t="n">
        <v>1</v>
      </c>
      <c r="H2304" s="25" t="n">
        <v>7</v>
      </c>
      <c r="I2304" s="25" t="inlineStr">
        <is>
          <t>1 minute(s) and 25 second(s)</t>
        </is>
      </c>
      <c r="J2304" s="25">
        <f>IFERROR(VALUE(TRIM(LEFT(I2304,FIND("minute",I2304)-1)))*60,0)+IFERROR(VALUE(SUBSTITUTE(MID(I2304,IFERROR(FIND("and",I2304)+3,1),20),"second(s)","")),0)</f>
        <v/>
      </c>
      <c r="K2304" s="41">
        <f>J2304/60</f>
        <v/>
      </c>
      <c r="L2304" s="41">
        <f>IFERROR(J2304/H2304,"")</f>
        <v/>
      </c>
      <c r="M2304" s="25" t="inlineStr">
        <is>
          <t>2.5.12</t>
        </is>
      </c>
      <c r="N2304" s="25">
        <f>IF(J2304&gt;300,1,0)</f>
        <v/>
      </c>
      <c r="O2304" s="25">
        <f>IF(J2304&gt;600,1,0)</f>
        <v/>
      </c>
      <c r="P2304" s="25">
        <f>IF(H2304&gt;0,J2304,"")</f>
        <v/>
      </c>
      <c r="Q2304" s="25">
        <f>TEXT(A2304,"YYYY-MM-DD HH")</f>
        <v/>
      </c>
      <c r="R2304" s="25">
        <f>COUNTIF($Q$2:$Q$5295,Q2304)</f>
        <v/>
      </c>
      <c r="S2304" s="25">
        <f>IF(R2304&lt;=2,"1-2",IF(R2304&lt;=5,"3-5",IF(R2304&lt;=10,"6-10","11+")))</f>
        <v/>
      </c>
    </row>
    <row r="2305">
      <c r="A2305" s="39" t="n">
        <v>46182.49622685185</v>
      </c>
      <c r="B2305" s="25">
        <f>TEXT(A2305,"YYYY-MM")</f>
        <v/>
      </c>
      <c r="C2305" s="25">
        <f>TEXT(A2305,"MMM-YYYY")</f>
        <v/>
      </c>
      <c r="D2305" s="40">
        <f>INT(A2305)-WEEKDAY(A2305,2)+1</f>
        <v/>
      </c>
      <c r="E2305" s="25" t="inlineStr">
        <is>
          <t>rts</t>
        </is>
      </c>
      <c r="F2305" s="25" t="n">
        <v>89941</v>
      </c>
      <c r="G2305" s="25" t="n">
        <v>2</v>
      </c>
      <c r="H2305" s="25" t="n">
        <v>12</v>
      </c>
      <c r="I2305" s="25" t="inlineStr">
        <is>
          <t>4 minute(s) and 18 second(s)</t>
        </is>
      </c>
      <c r="J2305" s="25">
        <f>IFERROR(VALUE(TRIM(LEFT(I2305,FIND("minute",I2305)-1)))*60,0)+IFERROR(VALUE(SUBSTITUTE(MID(I2305,IFERROR(FIND("and",I2305)+3,1),20),"second(s)","")),0)</f>
        <v/>
      </c>
      <c r="K2305" s="41">
        <f>J2305/60</f>
        <v/>
      </c>
      <c r="L2305" s="41">
        <f>IFERROR(J2305/H2305,"")</f>
        <v/>
      </c>
      <c r="M2305" s="25" t="inlineStr">
        <is>
          <t>2.5.12</t>
        </is>
      </c>
      <c r="N2305" s="25">
        <f>IF(J2305&gt;300,1,0)</f>
        <v/>
      </c>
      <c r="O2305" s="25">
        <f>IF(J2305&gt;600,1,0)</f>
        <v/>
      </c>
      <c r="P2305" s="25">
        <f>IF(H2305&gt;0,J2305,"")</f>
        <v/>
      </c>
      <c r="Q2305" s="25">
        <f>TEXT(A2305,"YYYY-MM-DD HH")</f>
        <v/>
      </c>
      <c r="R2305" s="25">
        <f>COUNTIF($Q$2:$Q$5295,Q2305)</f>
        <v/>
      </c>
      <c r="S2305" s="25">
        <f>IF(R2305&lt;=2,"1-2",IF(R2305&lt;=5,"3-5",IF(R2305&lt;=10,"6-10","11+")))</f>
        <v/>
      </c>
    </row>
    <row r="2306">
      <c r="A2306" s="39" t="n">
        <v>46182.49905092592</v>
      </c>
      <c r="B2306" s="25">
        <f>TEXT(A2306,"YYYY-MM")</f>
        <v/>
      </c>
      <c r="C2306" s="25">
        <f>TEXT(A2306,"MMM-YYYY")</f>
        <v/>
      </c>
      <c r="D2306" s="40">
        <f>INT(A2306)-WEEKDAY(A2306,2)+1</f>
        <v/>
      </c>
      <c r="E2306" s="25" t="inlineStr">
        <is>
          <t>ssaha</t>
        </is>
      </c>
      <c r="F2306" s="25" t="n">
        <v>122205</v>
      </c>
      <c r="G2306" s="25" t="n">
        <v>4</v>
      </c>
      <c r="H2306" s="25" t="n">
        <v>10</v>
      </c>
      <c r="I2306" s="25" t="inlineStr">
        <is>
          <t>3 minute(s) and 31 second(s)</t>
        </is>
      </c>
      <c r="J2306" s="25">
        <f>IFERROR(VALUE(TRIM(LEFT(I2306,FIND("minute",I2306)-1)))*60,0)+IFERROR(VALUE(SUBSTITUTE(MID(I2306,IFERROR(FIND("and",I2306)+3,1),20),"second(s)","")),0)</f>
        <v/>
      </c>
      <c r="K2306" s="41">
        <f>J2306/60</f>
        <v/>
      </c>
      <c r="L2306" s="41">
        <f>IFERROR(J2306/H2306,"")</f>
        <v/>
      </c>
      <c r="M2306" s="25" t="inlineStr">
        <is>
          <t>2.5.12</t>
        </is>
      </c>
      <c r="N2306" s="25">
        <f>IF(J2306&gt;300,1,0)</f>
        <v/>
      </c>
      <c r="O2306" s="25">
        <f>IF(J2306&gt;600,1,0)</f>
        <v/>
      </c>
      <c r="P2306" s="25">
        <f>IF(H2306&gt;0,J2306,"")</f>
        <v/>
      </c>
      <c r="Q2306" s="25">
        <f>TEXT(A2306,"YYYY-MM-DD HH")</f>
        <v/>
      </c>
      <c r="R2306" s="25">
        <f>COUNTIF($Q$2:$Q$5295,Q2306)</f>
        <v/>
      </c>
      <c r="S2306" s="25">
        <f>IF(R2306&lt;=2,"1-2",IF(R2306&lt;=5,"3-5",IF(R2306&lt;=10,"6-10","11+")))</f>
        <v/>
      </c>
    </row>
    <row r="2307">
      <c r="A2307" s="39" t="n">
        <v>46182.50331018519</v>
      </c>
      <c r="B2307" s="25">
        <f>TEXT(A2307,"YYYY-MM")</f>
        <v/>
      </c>
      <c r="C2307" s="25">
        <f>TEXT(A2307,"MMM-YYYY")</f>
        <v/>
      </c>
      <c r="D2307" s="40">
        <f>INT(A2307)-WEEKDAY(A2307,2)+1</f>
        <v/>
      </c>
      <c r="E2307" s="25" t="inlineStr">
        <is>
          <t>hsindwani</t>
        </is>
      </c>
      <c r="F2307" s="25" t="n">
        <v>121538</v>
      </c>
      <c r="G2307" s="25" t="n">
        <v>1</v>
      </c>
      <c r="H2307" s="25" t="n">
        <v>7</v>
      </c>
      <c r="I2307" s="25" t="inlineStr">
        <is>
          <t>7 minute(s) and 56 second(s)</t>
        </is>
      </c>
      <c r="J2307" s="25">
        <f>IFERROR(VALUE(TRIM(LEFT(I2307,FIND("minute",I2307)-1)))*60,0)+IFERROR(VALUE(SUBSTITUTE(MID(I2307,IFERROR(FIND("and",I2307)+3,1),20),"second(s)","")),0)</f>
        <v/>
      </c>
      <c r="K2307" s="41">
        <f>J2307/60</f>
        <v/>
      </c>
      <c r="L2307" s="41">
        <f>IFERROR(J2307/H2307,"")</f>
        <v/>
      </c>
      <c r="M2307" s="25" t="inlineStr">
        <is>
          <t>2.5.12</t>
        </is>
      </c>
      <c r="N2307" s="25">
        <f>IF(J2307&gt;300,1,0)</f>
        <v/>
      </c>
      <c r="O2307" s="25">
        <f>IF(J2307&gt;600,1,0)</f>
        <v/>
      </c>
      <c r="P2307" s="25">
        <f>IF(H2307&gt;0,J2307,"")</f>
        <v/>
      </c>
      <c r="Q2307" s="25">
        <f>TEXT(A2307,"YYYY-MM-DD HH")</f>
        <v/>
      </c>
      <c r="R2307" s="25">
        <f>COUNTIF($Q$2:$Q$5295,Q2307)</f>
        <v/>
      </c>
      <c r="S2307" s="25">
        <f>IF(R2307&lt;=2,"1-2",IF(R2307&lt;=5,"3-5",IF(R2307&lt;=10,"6-10","11+")))</f>
        <v/>
      </c>
    </row>
    <row r="2308">
      <c r="A2308" s="39" t="n">
        <v>46182.54884259259</v>
      </c>
      <c r="B2308" s="25">
        <f>TEXT(A2308,"YYYY-MM")</f>
        <v/>
      </c>
      <c r="C2308" s="25">
        <f>TEXT(A2308,"MMM-YYYY")</f>
        <v/>
      </c>
      <c r="D2308" s="40">
        <f>INT(A2308)-WEEKDAY(A2308,2)+1</f>
        <v/>
      </c>
      <c r="E2308" s="25" t="inlineStr">
        <is>
          <t>rts</t>
        </is>
      </c>
      <c r="F2308" s="25" t="n">
        <v>89955</v>
      </c>
      <c r="G2308" s="25" t="n">
        <v>1</v>
      </c>
      <c r="H2308" s="25" t="n">
        <v>6</v>
      </c>
      <c r="I2308" s="25" t="inlineStr">
        <is>
          <t>3 minute(s) and 6 second(s)</t>
        </is>
      </c>
      <c r="J2308" s="25">
        <f>IFERROR(VALUE(TRIM(LEFT(I2308,FIND("minute",I2308)-1)))*60,0)+IFERROR(VALUE(SUBSTITUTE(MID(I2308,IFERROR(FIND("and",I2308)+3,1),20),"second(s)","")),0)</f>
        <v/>
      </c>
      <c r="K2308" s="41">
        <f>J2308/60</f>
        <v/>
      </c>
      <c r="L2308" s="41">
        <f>IFERROR(J2308/H2308,"")</f>
        <v/>
      </c>
      <c r="M2308" s="25" t="inlineStr">
        <is>
          <t>2.5.12</t>
        </is>
      </c>
      <c r="N2308" s="25">
        <f>IF(J2308&gt;300,1,0)</f>
        <v/>
      </c>
      <c r="O2308" s="25">
        <f>IF(J2308&gt;600,1,0)</f>
        <v/>
      </c>
      <c r="P2308" s="25">
        <f>IF(H2308&gt;0,J2308,"")</f>
        <v/>
      </c>
      <c r="Q2308" s="25">
        <f>TEXT(A2308,"YYYY-MM-DD HH")</f>
        <v/>
      </c>
      <c r="R2308" s="25">
        <f>COUNTIF($Q$2:$Q$5295,Q2308)</f>
        <v/>
      </c>
      <c r="S2308" s="25">
        <f>IF(R2308&lt;=2,"1-2",IF(R2308&lt;=5,"3-5",IF(R2308&lt;=10,"6-10","11+")))</f>
        <v/>
      </c>
    </row>
    <row r="2309">
      <c r="A2309" s="39" t="n">
        <v>46182.58721064815</v>
      </c>
      <c r="B2309" s="25">
        <f>TEXT(A2309,"YYYY-MM")</f>
        <v/>
      </c>
      <c r="C2309" s="25">
        <f>TEXT(A2309,"MMM-YYYY")</f>
        <v/>
      </c>
      <c r="D2309" s="40">
        <f>INT(A2309)-WEEKDAY(A2309,2)+1</f>
        <v/>
      </c>
      <c r="E2309" s="25" t="inlineStr">
        <is>
          <t>apriyadarshi</t>
        </is>
      </c>
      <c r="F2309" s="25" t="n">
        <v>125639</v>
      </c>
      <c r="G2309" s="25" t="n">
        <v>4</v>
      </c>
      <c r="H2309" s="25" t="n">
        <v>20</v>
      </c>
      <c r="I2309" s="25" t="inlineStr">
        <is>
          <t>4 minute(s) and 50 second(s)</t>
        </is>
      </c>
      <c r="J2309" s="25">
        <f>IFERROR(VALUE(TRIM(LEFT(I2309,FIND("minute",I2309)-1)))*60,0)+IFERROR(VALUE(SUBSTITUTE(MID(I2309,IFERROR(FIND("and",I2309)+3,1),20),"second(s)","")),0)</f>
        <v/>
      </c>
      <c r="K2309" s="41">
        <f>J2309/60</f>
        <v/>
      </c>
      <c r="L2309" s="41">
        <f>IFERROR(J2309/H2309,"")</f>
        <v/>
      </c>
      <c r="M2309" s="25" t="inlineStr">
        <is>
          <t>2.5.12</t>
        </is>
      </c>
      <c r="N2309" s="25">
        <f>IF(J2309&gt;300,1,0)</f>
        <v/>
      </c>
      <c r="O2309" s="25">
        <f>IF(J2309&gt;600,1,0)</f>
        <v/>
      </c>
      <c r="P2309" s="25">
        <f>IF(H2309&gt;0,J2309,"")</f>
        <v/>
      </c>
      <c r="Q2309" s="25">
        <f>TEXT(A2309,"YYYY-MM-DD HH")</f>
        <v/>
      </c>
      <c r="R2309" s="25">
        <f>COUNTIF($Q$2:$Q$5295,Q2309)</f>
        <v/>
      </c>
      <c r="S2309" s="25">
        <f>IF(R2309&lt;=2,"1-2",IF(R2309&lt;=5,"3-5",IF(R2309&lt;=10,"6-10","11+")))</f>
        <v/>
      </c>
    </row>
    <row r="2310">
      <c r="A2310" s="39" t="n">
        <v>46182.59747685185</v>
      </c>
      <c r="B2310" s="25">
        <f>TEXT(A2310,"YYYY-MM")</f>
        <v/>
      </c>
      <c r="C2310" s="25">
        <f>TEXT(A2310,"MMM-YYYY")</f>
        <v/>
      </c>
      <c r="D2310" s="40">
        <f>INT(A2310)-WEEKDAY(A2310,2)+1</f>
        <v/>
      </c>
      <c r="E2310" s="25" t="inlineStr">
        <is>
          <t>csaha</t>
        </is>
      </c>
      <c r="F2310" s="25" t="n">
        <v>122371</v>
      </c>
      <c r="G2310" s="25" t="n">
        <v>1</v>
      </c>
      <c r="H2310" s="25" t="n">
        <v>5</v>
      </c>
      <c r="I2310" s="25" t="inlineStr">
        <is>
          <t>3 minute(s) and 13 second(s)</t>
        </is>
      </c>
      <c r="J2310" s="25">
        <f>IFERROR(VALUE(TRIM(LEFT(I2310,FIND("minute",I2310)-1)))*60,0)+IFERROR(VALUE(SUBSTITUTE(MID(I2310,IFERROR(FIND("and",I2310)+3,1),20),"second(s)","")),0)</f>
        <v/>
      </c>
      <c r="K2310" s="41">
        <f>J2310/60</f>
        <v/>
      </c>
      <c r="L2310" s="41">
        <f>IFERROR(J2310/H2310,"")</f>
        <v/>
      </c>
      <c r="M2310" s="25" t="inlineStr">
        <is>
          <t>2.5.12</t>
        </is>
      </c>
      <c r="N2310" s="25">
        <f>IF(J2310&gt;300,1,0)</f>
        <v/>
      </c>
      <c r="O2310" s="25">
        <f>IF(J2310&gt;600,1,0)</f>
        <v/>
      </c>
      <c r="P2310" s="25">
        <f>IF(H2310&gt;0,J2310,"")</f>
        <v/>
      </c>
      <c r="Q2310" s="25">
        <f>TEXT(A2310,"YYYY-MM-DD HH")</f>
        <v/>
      </c>
      <c r="R2310" s="25">
        <f>COUNTIF($Q$2:$Q$5295,Q2310)</f>
        <v/>
      </c>
      <c r="S2310" s="25">
        <f>IF(R2310&lt;=2,"1-2",IF(R2310&lt;=5,"3-5",IF(R2310&lt;=10,"6-10","11+")))</f>
        <v/>
      </c>
    </row>
    <row r="2311">
      <c r="A2311" s="39" t="n">
        <v>46182.59883101852</v>
      </c>
      <c r="B2311" s="25">
        <f>TEXT(A2311,"YYYY-MM")</f>
        <v/>
      </c>
      <c r="C2311" s="25">
        <f>TEXT(A2311,"MMM-YYYY")</f>
        <v/>
      </c>
      <c r="D2311" s="40">
        <f>INT(A2311)-WEEKDAY(A2311,2)+1</f>
        <v/>
      </c>
      <c r="E2311" s="25" t="inlineStr">
        <is>
          <t>sswati</t>
        </is>
      </c>
      <c r="F2311" s="25" t="n">
        <v>122225</v>
      </c>
      <c r="G2311" s="25" t="n">
        <v>4</v>
      </c>
      <c r="H2311" s="25" t="n">
        <v>10</v>
      </c>
      <c r="I2311" s="25" t="inlineStr">
        <is>
          <t>2 minute(s) and 26 second(s)</t>
        </is>
      </c>
      <c r="J2311" s="25">
        <f>IFERROR(VALUE(TRIM(LEFT(I2311,FIND("minute",I2311)-1)))*60,0)+IFERROR(VALUE(SUBSTITUTE(MID(I2311,IFERROR(FIND("and",I2311)+3,1),20),"second(s)","")),0)</f>
        <v/>
      </c>
      <c r="K2311" s="41">
        <f>J2311/60</f>
        <v/>
      </c>
      <c r="L2311" s="41">
        <f>IFERROR(J2311/H2311,"")</f>
        <v/>
      </c>
      <c r="M2311" s="25" t="inlineStr">
        <is>
          <t>2.5.12</t>
        </is>
      </c>
      <c r="N2311" s="25">
        <f>IF(J2311&gt;300,1,0)</f>
        <v/>
      </c>
      <c r="O2311" s="25">
        <f>IF(J2311&gt;600,1,0)</f>
        <v/>
      </c>
      <c r="P2311" s="25">
        <f>IF(H2311&gt;0,J2311,"")</f>
        <v/>
      </c>
      <c r="Q2311" s="25">
        <f>TEXT(A2311,"YYYY-MM-DD HH")</f>
        <v/>
      </c>
      <c r="R2311" s="25">
        <f>COUNTIF($Q$2:$Q$5295,Q2311)</f>
        <v/>
      </c>
      <c r="S2311" s="25">
        <f>IF(R2311&lt;=2,"1-2",IF(R2311&lt;=5,"3-5",IF(R2311&lt;=10,"6-10","11+")))</f>
        <v/>
      </c>
    </row>
    <row r="2312">
      <c r="A2312" s="39" t="n">
        <v>46182.63351851852</v>
      </c>
      <c r="B2312" s="25">
        <f>TEXT(A2312,"YYYY-MM")</f>
        <v/>
      </c>
      <c r="C2312" s="25">
        <f>TEXT(A2312,"MMM-YYYY")</f>
        <v/>
      </c>
      <c r="D2312" s="40">
        <f>INT(A2312)-WEEKDAY(A2312,2)+1</f>
        <v/>
      </c>
      <c r="E2312" s="25" t="inlineStr">
        <is>
          <t>ssaha</t>
        </is>
      </c>
      <c r="F2312" s="25" t="n">
        <v>123797</v>
      </c>
      <c r="G2312" s="25" t="n">
        <v>2</v>
      </c>
      <c r="H2312" s="25" t="n">
        <v>10</v>
      </c>
      <c r="I2312" s="25" t="inlineStr">
        <is>
          <t>4 minute(s) and 43 second(s)</t>
        </is>
      </c>
      <c r="J2312" s="25">
        <f>IFERROR(VALUE(TRIM(LEFT(I2312,FIND("minute",I2312)-1)))*60,0)+IFERROR(VALUE(SUBSTITUTE(MID(I2312,IFERROR(FIND("and",I2312)+3,1),20),"second(s)","")),0)</f>
        <v/>
      </c>
      <c r="K2312" s="41">
        <f>J2312/60</f>
        <v/>
      </c>
      <c r="L2312" s="41">
        <f>IFERROR(J2312/H2312,"")</f>
        <v/>
      </c>
      <c r="M2312" s="25" t="inlineStr">
        <is>
          <t>2.5.12</t>
        </is>
      </c>
      <c r="N2312" s="25">
        <f>IF(J2312&gt;300,1,0)</f>
        <v/>
      </c>
      <c r="O2312" s="25">
        <f>IF(J2312&gt;600,1,0)</f>
        <v/>
      </c>
      <c r="P2312" s="25">
        <f>IF(H2312&gt;0,J2312,"")</f>
        <v/>
      </c>
      <c r="Q2312" s="25">
        <f>TEXT(A2312,"YYYY-MM-DD HH")</f>
        <v/>
      </c>
      <c r="R2312" s="25">
        <f>COUNTIF($Q$2:$Q$5295,Q2312)</f>
        <v/>
      </c>
      <c r="S2312" s="25">
        <f>IF(R2312&lt;=2,"1-2",IF(R2312&lt;=5,"3-5",IF(R2312&lt;=10,"6-10","11+")))</f>
        <v/>
      </c>
    </row>
    <row r="2313">
      <c r="A2313" s="39" t="n">
        <v>46182.64081018518</v>
      </c>
      <c r="B2313" s="25">
        <f>TEXT(A2313,"YYYY-MM")</f>
        <v/>
      </c>
      <c r="C2313" s="25">
        <f>TEXT(A2313,"MMM-YYYY")</f>
        <v/>
      </c>
      <c r="D2313" s="40">
        <f>INT(A2313)-WEEKDAY(A2313,2)+1</f>
        <v/>
      </c>
      <c r="E2313" s="25" t="inlineStr">
        <is>
          <t>hsindwani</t>
        </is>
      </c>
      <c r="F2313" s="25" t="n">
        <v>121536</v>
      </c>
      <c r="G2313" s="25" t="n">
        <v>2</v>
      </c>
      <c r="H2313" s="25" t="n">
        <v>10</v>
      </c>
      <c r="I2313" s="25" t="inlineStr">
        <is>
          <t>12 minute(s) and 1 second(s)</t>
        </is>
      </c>
      <c r="J2313" s="25">
        <f>IFERROR(VALUE(TRIM(LEFT(I2313,FIND("minute",I2313)-1)))*60,0)+IFERROR(VALUE(SUBSTITUTE(MID(I2313,IFERROR(FIND("and",I2313)+3,1),20),"second(s)","")),0)</f>
        <v/>
      </c>
      <c r="K2313" s="41">
        <f>J2313/60</f>
        <v/>
      </c>
      <c r="L2313" s="41">
        <f>IFERROR(J2313/H2313,"")</f>
        <v/>
      </c>
      <c r="M2313" s="25" t="inlineStr">
        <is>
          <t>2.5.12</t>
        </is>
      </c>
      <c r="N2313" s="25">
        <f>IF(J2313&gt;300,1,0)</f>
        <v/>
      </c>
      <c r="O2313" s="25">
        <f>IF(J2313&gt;600,1,0)</f>
        <v/>
      </c>
      <c r="P2313" s="25">
        <f>IF(H2313&gt;0,J2313,"")</f>
        <v/>
      </c>
      <c r="Q2313" s="25">
        <f>TEXT(A2313,"YYYY-MM-DD HH")</f>
        <v/>
      </c>
      <c r="R2313" s="25">
        <f>COUNTIF($Q$2:$Q$5295,Q2313)</f>
        <v/>
      </c>
      <c r="S2313" s="25">
        <f>IF(R2313&lt;=2,"1-2",IF(R2313&lt;=5,"3-5",IF(R2313&lt;=10,"6-10","11+")))</f>
        <v/>
      </c>
    </row>
    <row r="2314">
      <c r="A2314" s="39" t="n">
        <v>46182.6433912037</v>
      </c>
      <c r="B2314" s="25">
        <f>TEXT(A2314,"YYYY-MM")</f>
        <v/>
      </c>
      <c r="C2314" s="25">
        <f>TEXT(A2314,"MMM-YYYY")</f>
        <v/>
      </c>
      <c r="D2314" s="40">
        <f>INT(A2314)-WEEKDAY(A2314,2)+1</f>
        <v/>
      </c>
      <c r="E2314" s="25" t="inlineStr">
        <is>
          <t>sswati</t>
        </is>
      </c>
      <c r="F2314" s="25" t="n">
        <v>122207</v>
      </c>
      <c r="G2314" s="25" t="n">
        <v>2</v>
      </c>
      <c r="H2314" s="25" t="n">
        <v>10</v>
      </c>
      <c r="I2314" s="25" t="inlineStr">
        <is>
          <t>1 minute(s) and 57 second(s)</t>
        </is>
      </c>
      <c r="J2314" s="25">
        <f>IFERROR(VALUE(TRIM(LEFT(I2314,FIND("minute",I2314)-1)))*60,0)+IFERROR(VALUE(SUBSTITUTE(MID(I2314,IFERROR(FIND("and",I2314)+3,1),20),"second(s)","")),0)</f>
        <v/>
      </c>
      <c r="K2314" s="41">
        <f>J2314/60</f>
        <v/>
      </c>
      <c r="L2314" s="41">
        <f>IFERROR(J2314/H2314,"")</f>
        <v/>
      </c>
      <c r="M2314" s="25" t="inlineStr">
        <is>
          <t>2.5.12</t>
        </is>
      </c>
      <c r="N2314" s="25">
        <f>IF(J2314&gt;300,1,0)</f>
        <v/>
      </c>
      <c r="O2314" s="25">
        <f>IF(J2314&gt;600,1,0)</f>
        <v/>
      </c>
      <c r="P2314" s="25">
        <f>IF(H2314&gt;0,J2314,"")</f>
        <v/>
      </c>
      <c r="Q2314" s="25">
        <f>TEXT(A2314,"YYYY-MM-DD HH")</f>
        <v/>
      </c>
      <c r="R2314" s="25">
        <f>COUNTIF($Q$2:$Q$5295,Q2314)</f>
        <v/>
      </c>
      <c r="S2314" s="25">
        <f>IF(R2314&lt;=2,"1-2",IF(R2314&lt;=5,"3-5",IF(R2314&lt;=10,"6-10","11+")))</f>
        <v/>
      </c>
    </row>
    <row r="2315">
      <c r="A2315" s="39" t="n">
        <v>46182.6896875</v>
      </c>
      <c r="B2315" s="25">
        <f>TEXT(A2315,"YYYY-MM")</f>
        <v/>
      </c>
      <c r="C2315" s="25">
        <f>TEXT(A2315,"MMM-YYYY")</f>
        <v/>
      </c>
      <c r="D2315" s="40">
        <f>INT(A2315)-WEEKDAY(A2315,2)+1</f>
        <v/>
      </c>
      <c r="E2315" s="25" t="inlineStr">
        <is>
          <t>sswati</t>
        </is>
      </c>
      <c r="F2315" s="25" t="n">
        <v>122224</v>
      </c>
      <c r="G2315" s="25" t="n">
        <v>2</v>
      </c>
      <c r="H2315" s="25" t="n">
        <v>8</v>
      </c>
      <c r="I2315" s="25" t="inlineStr">
        <is>
          <t>2 minute(s) and 58 second(s)</t>
        </is>
      </c>
      <c r="J2315" s="25">
        <f>IFERROR(VALUE(TRIM(LEFT(I2315,FIND("minute",I2315)-1)))*60,0)+IFERROR(VALUE(SUBSTITUTE(MID(I2315,IFERROR(FIND("and",I2315)+3,1),20),"second(s)","")),0)</f>
        <v/>
      </c>
      <c r="K2315" s="41">
        <f>J2315/60</f>
        <v/>
      </c>
      <c r="L2315" s="41">
        <f>IFERROR(J2315/H2315,"")</f>
        <v/>
      </c>
      <c r="M2315" s="25" t="inlineStr">
        <is>
          <t>2.5.12</t>
        </is>
      </c>
      <c r="N2315" s="25">
        <f>IF(J2315&gt;300,1,0)</f>
        <v/>
      </c>
      <c r="O2315" s="25">
        <f>IF(J2315&gt;600,1,0)</f>
        <v/>
      </c>
      <c r="P2315" s="25">
        <f>IF(H2315&gt;0,J2315,"")</f>
        <v/>
      </c>
      <c r="Q2315" s="25">
        <f>TEXT(A2315,"YYYY-MM-DD HH")</f>
        <v/>
      </c>
      <c r="R2315" s="25">
        <f>COUNTIF($Q$2:$Q$5295,Q2315)</f>
        <v/>
      </c>
      <c r="S2315" s="25">
        <f>IF(R2315&lt;=2,"1-2",IF(R2315&lt;=5,"3-5",IF(R2315&lt;=10,"6-10","11+")))</f>
        <v/>
      </c>
    </row>
    <row r="2316">
      <c r="A2316" s="39" t="n">
        <v>46182.70737268519</v>
      </c>
      <c r="B2316" s="25">
        <f>TEXT(A2316,"YYYY-MM")</f>
        <v/>
      </c>
      <c r="C2316" s="25">
        <f>TEXT(A2316,"MMM-YYYY")</f>
        <v/>
      </c>
      <c r="D2316" s="40">
        <f>INT(A2316)-WEEKDAY(A2316,2)+1</f>
        <v/>
      </c>
      <c r="E2316" s="25" t="inlineStr">
        <is>
          <t>rsingh</t>
        </is>
      </c>
      <c r="F2316" s="25" t="n">
        <v>121910</v>
      </c>
      <c r="G2316" s="25" t="n">
        <v>2</v>
      </c>
      <c r="H2316" s="25" t="n">
        <v>8</v>
      </c>
      <c r="I2316" s="25" t="inlineStr">
        <is>
          <t>2 minute(s) and 52 second(s)</t>
        </is>
      </c>
      <c r="J2316" s="25">
        <f>IFERROR(VALUE(TRIM(LEFT(I2316,FIND("minute",I2316)-1)))*60,0)+IFERROR(VALUE(SUBSTITUTE(MID(I2316,IFERROR(FIND("and",I2316)+3,1),20),"second(s)","")),0)</f>
        <v/>
      </c>
      <c r="K2316" s="41">
        <f>J2316/60</f>
        <v/>
      </c>
      <c r="L2316" s="41">
        <f>IFERROR(J2316/H2316,"")</f>
        <v/>
      </c>
      <c r="M2316" s="25" t="inlineStr">
        <is>
          <t>2.5.12</t>
        </is>
      </c>
      <c r="N2316" s="25">
        <f>IF(J2316&gt;300,1,0)</f>
        <v/>
      </c>
      <c r="O2316" s="25">
        <f>IF(J2316&gt;600,1,0)</f>
        <v/>
      </c>
      <c r="P2316" s="25">
        <f>IF(H2316&gt;0,J2316,"")</f>
        <v/>
      </c>
      <c r="Q2316" s="25">
        <f>TEXT(A2316,"YYYY-MM-DD HH")</f>
        <v/>
      </c>
      <c r="R2316" s="25">
        <f>COUNTIF($Q$2:$Q$5295,Q2316)</f>
        <v/>
      </c>
      <c r="S2316" s="25">
        <f>IF(R2316&lt;=2,"1-2",IF(R2316&lt;=5,"3-5",IF(R2316&lt;=10,"6-10","11+")))</f>
        <v/>
      </c>
    </row>
    <row r="2317">
      <c r="A2317" s="39" t="n">
        <v>46182.72346064815</v>
      </c>
      <c r="B2317" s="25">
        <f>TEXT(A2317,"YYYY-MM")</f>
        <v/>
      </c>
      <c r="C2317" s="25">
        <f>TEXT(A2317,"MMM-YYYY")</f>
        <v/>
      </c>
      <c r="D2317" s="40">
        <f>INT(A2317)-WEEKDAY(A2317,2)+1</f>
        <v/>
      </c>
      <c r="E2317" s="25" t="inlineStr">
        <is>
          <t>sswati</t>
        </is>
      </c>
      <c r="F2317" s="25" t="n">
        <v>122222</v>
      </c>
      <c r="G2317" s="25" t="n">
        <v>4</v>
      </c>
      <c r="H2317" s="25" t="n">
        <v>16</v>
      </c>
      <c r="I2317" s="25" t="inlineStr">
        <is>
          <t>7 minute(s) and 18 second(s)</t>
        </is>
      </c>
      <c r="J2317" s="25">
        <f>IFERROR(VALUE(TRIM(LEFT(I2317,FIND("minute",I2317)-1)))*60,0)+IFERROR(VALUE(SUBSTITUTE(MID(I2317,IFERROR(FIND("and",I2317)+3,1),20),"second(s)","")),0)</f>
        <v/>
      </c>
      <c r="K2317" s="41">
        <f>J2317/60</f>
        <v/>
      </c>
      <c r="L2317" s="41">
        <f>IFERROR(J2317/H2317,"")</f>
        <v/>
      </c>
      <c r="M2317" s="25" t="inlineStr">
        <is>
          <t>2.5.12</t>
        </is>
      </c>
      <c r="N2317" s="25">
        <f>IF(J2317&gt;300,1,0)</f>
        <v/>
      </c>
      <c r="O2317" s="25">
        <f>IF(J2317&gt;600,1,0)</f>
        <v/>
      </c>
      <c r="P2317" s="25">
        <f>IF(H2317&gt;0,J2317,"")</f>
        <v/>
      </c>
      <c r="Q2317" s="25">
        <f>TEXT(A2317,"YYYY-MM-DD HH")</f>
        <v/>
      </c>
      <c r="R2317" s="25">
        <f>COUNTIF($Q$2:$Q$5295,Q2317)</f>
        <v/>
      </c>
      <c r="S2317" s="25">
        <f>IF(R2317&lt;=2,"1-2",IF(R2317&lt;=5,"3-5",IF(R2317&lt;=10,"6-10","11+")))</f>
        <v/>
      </c>
    </row>
    <row r="2318">
      <c r="A2318" s="39" t="n">
        <v>46182.72354166667</v>
      </c>
      <c r="B2318" s="25">
        <f>TEXT(A2318,"YYYY-MM")</f>
        <v/>
      </c>
      <c r="C2318" s="25">
        <f>TEXT(A2318,"MMM-YYYY")</f>
        <v/>
      </c>
      <c r="D2318" s="40">
        <f>INT(A2318)-WEEKDAY(A2318,2)+1</f>
        <v/>
      </c>
      <c r="E2318" s="25" t="inlineStr">
        <is>
          <t>hsindwani</t>
        </is>
      </c>
      <c r="F2318" s="25" t="n">
        <v>121548</v>
      </c>
      <c r="G2318" s="25" t="n">
        <v>1</v>
      </c>
      <c r="H2318" s="25" t="n">
        <v>7</v>
      </c>
      <c r="I2318" s="25" t="inlineStr">
        <is>
          <t>9 minute(s) and 6 second(s)</t>
        </is>
      </c>
      <c r="J2318" s="25">
        <f>IFERROR(VALUE(TRIM(LEFT(I2318,FIND("minute",I2318)-1)))*60,0)+IFERROR(VALUE(SUBSTITUTE(MID(I2318,IFERROR(FIND("and",I2318)+3,1),20),"second(s)","")),0)</f>
        <v/>
      </c>
      <c r="K2318" s="41">
        <f>J2318/60</f>
        <v/>
      </c>
      <c r="L2318" s="41">
        <f>IFERROR(J2318/H2318,"")</f>
        <v/>
      </c>
      <c r="M2318" s="25" t="inlineStr">
        <is>
          <t>2.5.12</t>
        </is>
      </c>
      <c r="N2318" s="25">
        <f>IF(J2318&gt;300,1,0)</f>
        <v/>
      </c>
      <c r="O2318" s="25">
        <f>IF(J2318&gt;600,1,0)</f>
        <v/>
      </c>
      <c r="P2318" s="25">
        <f>IF(H2318&gt;0,J2318,"")</f>
        <v/>
      </c>
      <c r="Q2318" s="25">
        <f>TEXT(A2318,"YYYY-MM-DD HH")</f>
        <v/>
      </c>
      <c r="R2318" s="25">
        <f>COUNTIF($Q$2:$Q$5295,Q2318)</f>
        <v/>
      </c>
      <c r="S2318" s="25">
        <f>IF(R2318&lt;=2,"1-2",IF(R2318&lt;=5,"3-5",IF(R2318&lt;=10,"6-10","11+")))</f>
        <v/>
      </c>
    </row>
    <row r="2319">
      <c r="A2319" s="39" t="n">
        <v>46182.74974537037</v>
      </c>
      <c r="B2319" s="25">
        <f>TEXT(A2319,"YYYY-MM")</f>
        <v/>
      </c>
      <c r="C2319" s="25">
        <f>TEXT(A2319,"MMM-YYYY")</f>
        <v/>
      </c>
      <c r="D2319" s="40">
        <f>INT(A2319)-WEEKDAY(A2319,2)+1</f>
        <v/>
      </c>
      <c r="E2319" s="25" t="inlineStr">
        <is>
          <t>rsingh</t>
        </is>
      </c>
      <c r="F2319" s="25" t="n">
        <v>121929</v>
      </c>
      <c r="G2319" s="25" t="n">
        <v>2</v>
      </c>
      <c r="H2319" s="25" t="n">
        <v>10</v>
      </c>
      <c r="I2319" s="25" t="inlineStr">
        <is>
          <t>6 minute(s) and 13 second(s)</t>
        </is>
      </c>
      <c r="J2319" s="25">
        <f>IFERROR(VALUE(TRIM(LEFT(I2319,FIND("minute",I2319)-1)))*60,0)+IFERROR(VALUE(SUBSTITUTE(MID(I2319,IFERROR(FIND("and",I2319)+3,1),20),"second(s)","")),0)</f>
        <v/>
      </c>
      <c r="K2319" s="41">
        <f>J2319/60</f>
        <v/>
      </c>
      <c r="L2319" s="41">
        <f>IFERROR(J2319/H2319,"")</f>
        <v/>
      </c>
      <c r="M2319" s="25" t="inlineStr">
        <is>
          <t>2.5.12</t>
        </is>
      </c>
      <c r="N2319" s="25">
        <f>IF(J2319&gt;300,1,0)</f>
        <v/>
      </c>
      <c r="O2319" s="25">
        <f>IF(J2319&gt;600,1,0)</f>
        <v/>
      </c>
      <c r="P2319" s="25">
        <f>IF(H2319&gt;0,J2319,"")</f>
        <v/>
      </c>
      <c r="Q2319" s="25">
        <f>TEXT(A2319,"YYYY-MM-DD HH")</f>
        <v/>
      </c>
      <c r="R2319" s="25">
        <f>COUNTIF($Q$2:$Q$5295,Q2319)</f>
        <v/>
      </c>
      <c r="S2319" s="25">
        <f>IF(R2319&lt;=2,"1-2",IF(R2319&lt;=5,"3-5",IF(R2319&lt;=10,"6-10","11+")))</f>
        <v/>
      </c>
    </row>
    <row r="2320">
      <c r="A2320" s="39" t="n">
        <v>46182.75530092593</v>
      </c>
      <c r="B2320" s="25">
        <f>TEXT(A2320,"YYYY-MM")</f>
        <v/>
      </c>
      <c r="C2320" s="25">
        <f>TEXT(A2320,"MMM-YYYY")</f>
        <v/>
      </c>
      <c r="D2320" s="40">
        <f>INT(A2320)-WEEKDAY(A2320,2)+1</f>
        <v/>
      </c>
      <c r="E2320" s="25" t="inlineStr">
        <is>
          <t>ssarkar</t>
        </is>
      </c>
      <c r="F2320" s="25" t="n">
        <v>122016</v>
      </c>
      <c r="G2320" s="25" t="n">
        <v>4</v>
      </c>
      <c r="H2320" s="25" t="n">
        <v>26</v>
      </c>
      <c r="I2320" s="25" t="inlineStr">
        <is>
          <t>7 minute(s) and 19 second(s)</t>
        </is>
      </c>
      <c r="J2320" s="25">
        <f>IFERROR(VALUE(TRIM(LEFT(I2320,FIND("minute",I2320)-1)))*60,0)+IFERROR(VALUE(SUBSTITUTE(MID(I2320,IFERROR(FIND("and",I2320)+3,1),20),"second(s)","")),0)</f>
        <v/>
      </c>
      <c r="K2320" s="41">
        <f>J2320/60</f>
        <v/>
      </c>
      <c r="L2320" s="41">
        <f>IFERROR(J2320/H2320,"")</f>
        <v/>
      </c>
      <c r="M2320" s="25" t="inlineStr">
        <is>
          <t>2.5.12</t>
        </is>
      </c>
      <c r="N2320" s="25">
        <f>IF(J2320&gt;300,1,0)</f>
        <v/>
      </c>
      <c r="O2320" s="25">
        <f>IF(J2320&gt;600,1,0)</f>
        <v/>
      </c>
      <c r="P2320" s="25">
        <f>IF(H2320&gt;0,J2320,"")</f>
        <v/>
      </c>
      <c r="Q2320" s="25">
        <f>TEXT(A2320,"YYYY-MM-DD HH")</f>
        <v/>
      </c>
      <c r="R2320" s="25">
        <f>COUNTIF($Q$2:$Q$5295,Q2320)</f>
        <v/>
      </c>
      <c r="S2320" s="25">
        <f>IF(R2320&lt;=2,"1-2",IF(R2320&lt;=5,"3-5",IF(R2320&lt;=10,"6-10","11+")))</f>
        <v/>
      </c>
    </row>
    <row r="2321">
      <c r="A2321" s="39" t="n">
        <v>46182.81604166667</v>
      </c>
      <c r="B2321" s="25">
        <f>TEXT(A2321,"YYYY-MM")</f>
        <v/>
      </c>
      <c r="C2321" s="25">
        <f>TEXT(A2321,"MMM-YYYY")</f>
        <v/>
      </c>
      <c r="D2321" s="40">
        <f>INT(A2321)-WEEKDAY(A2321,2)+1</f>
        <v/>
      </c>
      <c r="E2321" s="25" t="inlineStr">
        <is>
          <t>dchoudhury</t>
        </is>
      </c>
      <c r="F2321" s="25" t="n">
        <v>121500</v>
      </c>
      <c r="G2321" s="25" t="n">
        <v>1</v>
      </c>
      <c r="H2321" s="25" t="n">
        <v>6</v>
      </c>
      <c r="I2321" s="25" t="inlineStr">
        <is>
          <t>1 minute(s) and 43 second(s)</t>
        </is>
      </c>
      <c r="J2321" s="25">
        <f>IFERROR(VALUE(TRIM(LEFT(I2321,FIND("minute",I2321)-1)))*60,0)+IFERROR(VALUE(SUBSTITUTE(MID(I2321,IFERROR(FIND("and",I2321)+3,1),20),"second(s)","")),0)</f>
        <v/>
      </c>
      <c r="K2321" s="41">
        <f>J2321/60</f>
        <v/>
      </c>
      <c r="L2321" s="41">
        <f>IFERROR(J2321/H2321,"")</f>
        <v/>
      </c>
      <c r="M2321" s="25" t="inlineStr">
        <is>
          <t>2.5.12</t>
        </is>
      </c>
      <c r="N2321" s="25">
        <f>IF(J2321&gt;300,1,0)</f>
        <v/>
      </c>
      <c r="O2321" s="25">
        <f>IF(J2321&gt;600,1,0)</f>
        <v/>
      </c>
      <c r="P2321" s="25">
        <f>IF(H2321&gt;0,J2321,"")</f>
        <v/>
      </c>
      <c r="Q2321" s="25">
        <f>TEXT(A2321,"YYYY-MM-DD HH")</f>
        <v/>
      </c>
      <c r="R2321" s="25">
        <f>COUNTIF($Q$2:$Q$5295,Q2321)</f>
        <v/>
      </c>
      <c r="S2321" s="25">
        <f>IF(R2321&lt;=2,"1-2",IF(R2321&lt;=5,"3-5",IF(R2321&lt;=10,"6-10","11+")))</f>
        <v/>
      </c>
    </row>
    <row r="2322">
      <c r="A2322" s="39" t="n">
        <v>46182.82429398148</v>
      </c>
      <c r="B2322" s="25">
        <f>TEXT(A2322,"YYYY-MM")</f>
        <v/>
      </c>
      <c r="C2322" s="25">
        <f>TEXT(A2322,"MMM-YYYY")</f>
        <v/>
      </c>
      <c r="D2322" s="40">
        <f>INT(A2322)-WEEKDAY(A2322,2)+1</f>
        <v/>
      </c>
      <c r="E2322" s="25" t="inlineStr">
        <is>
          <t>adey</t>
        </is>
      </c>
      <c r="F2322" s="25" t="n">
        <v>121969</v>
      </c>
      <c r="G2322" s="25" t="n">
        <v>3</v>
      </c>
      <c r="H2322" s="25" t="n">
        <v>15</v>
      </c>
      <c r="I2322" s="25" t="inlineStr">
        <is>
          <t>4 minute(s) and 31 second(s)</t>
        </is>
      </c>
      <c r="J2322" s="25">
        <f>IFERROR(VALUE(TRIM(LEFT(I2322,FIND("minute",I2322)-1)))*60,0)+IFERROR(VALUE(SUBSTITUTE(MID(I2322,IFERROR(FIND("and",I2322)+3,1),20),"second(s)","")),0)</f>
        <v/>
      </c>
      <c r="K2322" s="41">
        <f>J2322/60</f>
        <v/>
      </c>
      <c r="L2322" s="41">
        <f>IFERROR(J2322/H2322,"")</f>
        <v/>
      </c>
      <c r="M2322" s="25" t="inlineStr">
        <is>
          <t>2.5.12</t>
        </is>
      </c>
      <c r="N2322" s="25">
        <f>IF(J2322&gt;300,1,0)</f>
        <v/>
      </c>
      <c r="O2322" s="25">
        <f>IF(J2322&gt;600,1,0)</f>
        <v/>
      </c>
      <c r="P2322" s="25">
        <f>IF(H2322&gt;0,J2322,"")</f>
        <v/>
      </c>
      <c r="Q2322" s="25">
        <f>TEXT(A2322,"YYYY-MM-DD HH")</f>
        <v/>
      </c>
      <c r="R2322" s="25">
        <f>COUNTIF($Q$2:$Q$5295,Q2322)</f>
        <v/>
      </c>
      <c r="S2322" s="25">
        <f>IF(R2322&lt;=2,"1-2",IF(R2322&lt;=5,"3-5",IF(R2322&lt;=10,"6-10","11+")))</f>
        <v/>
      </c>
    </row>
    <row r="2323">
      <c r="A2323" s="39" t="n">
        <v>46182.82748842592</v>
      </c>
      <c r="B2323" s="25">
        <f>TEXT(A2323,"YYYY-MM")</f>
        <v/>
      </c>
      <c r="C2323" s="25">
        <f>TEXT(A2323,"MMM-YYYY")</f>
        <v/>
      </c>
      <c r="D2323" s="40">
        <f>INT(A2323)-WEEKDAY(A2323,2)+1</f>
        <v/>
      </c>
      <c r="E2323" s="25" t="inlineStr">
        <is>
          <t>dchoudhury</t>
        </is>
      </c>
      <c r="F2323" s="25" t="n">
        <v>121500</v>
      </c>
      <c r="G2323" s="25" t="n">
        <v>4</v>
      </c>
      <c r="H2323" s="25" t="n">
        <v>11</v>
      </c>
      <c r="I2323" s="25" t="inlineStr">
        <is>
          <t>6 minute(s) and 41 second(s)</t>
        </is>
      </c>
      <c r="J2323" s="25">
        <f>IFERROR(VALUE(TRIM(LEFT(I2323,FIND("minute",I2323)-1)))*60,0)+IFERROR(VALUE(SUBSTITUTE(MID(I2323,IFERROR(FIND("and",I2323)+3,1),20),"second(s)","")),0)</f>
        <v/>
      </c>
      <c r="K2323" s="41">
        <f>J2323/60</f>
        <v/>
      </c>
      <c r="L2323" s="41">
        <f>IFERROR(J2323/H2323,"")</f>
        <v/>
      </c>
      <c r="M2323" s="25" t="inlineStr">
        <is>
          <t>2.5.12</t>
        </is>
      </c>
      <c r="N2323" s="25">
        <f>IF(J2323&gt;300,1,0)</f>
        <v/>
      </c>
      <c r="O2323" s="25">
        <f>IF(J2323&gt;600,1,0)</f>
        <v/>
      </c>
      <c r="P2323" s="25">
        <f>IF(H2323&gt;0,J2323,"")</f>
        <v/>
      </c>
      <c r="Q2323" s="25">
        <f>TEXT(A2323,"YYYY-MM-DD HH")</f>
        <v/>
      </c>
      <c r="R2323" s="25">
        <f>COUNTIF($Q$2:$Q$5295,Q2323)</f>
        <v/>
      </c>
      <c r="S2323" s="25">
        <f>IF(R2323&lt;=2,"1-2",IF(R2323&lt;=5,"3-5",IF(R2323&lt;=10,"6-10","11+")))</f>
        <v/>
      </c>
    </row>
    <row r="2324">
      <c r="A2324" s="39" t="n">
        <v>46182.84666666666</v>
      </c>
      <c r="B2324" s="25">
        <f>TEXT(A2324,"YYYY-MM")</f>
        <v/>
      </c>
      <c r="C2324" s="25">
        <f>TEXT(A2324,"MMM-YYYY")</f>
        <v/>
      </c>
      <c r="D2324" s="40">
        <f>INT(A2324)-WEEKDAY(A2324,2)+1</f>
        <v/>
      </c>
      <c r="E2324" s="25" t="inlineStr">
        <is>
          <t>ssarkar</t>
        </is>
      </c>
      <c r="F2324" s="25" t="n">
        <v>121494</v>
      </c>
      <c r="G2324" s="25" t="n">
        <v>1</v>
      </c>
      <c r="H2324" s="25" t="n">
        <v>7</v>
      </c>
      <c r="I2324" s="25" t="inlineStr">
        <is>
          <t>1 minute(s) and 53 second(s)</t>
        </is>
      </c>
      <c r="J2324" s="25">
        <f>IFERROR(VALUE(TRIM(LEFT(I2324,FIND("minute",I2324)-1)))*60,0)+IFERROR(VALUE(SUBSTITUTE(MID(I2324,IFERROR(FIND("and",I2324)+3,1),20),"second(s)","")),0)</f>
        <v/>
      </c>
      <c r="K2324" s="41">
        <f>J2324/60</f>
        <v/>
      </c>
      <c r="L2324" s="41">
        <f>IFERROR(J2324/H2324,"")</f>
        <v/>
      </c>
      <c r="M2324" s="25" t="inlineStr">
        <is>
          <t>2.5.12</t>
        </is>
      </c>
      <c r="N2324" s="25">
        <f>IF(J2324&gt;300,1,0)</f>
        <v/>
      </c>
      <c r="O2324" s="25">
        <f>IF(J2324&gt;600,1,0)</f>
        <v/>
      </c>
      <c r="P2324" s="25">
        <f>IF(H2324&gt;0,J2324,"")</f>
        <v/>
      </c>
      <c r="Q2324" s="25">
        <f>TEXT(A2324,"YYYY-MM-DD HH")</f>
        <v/>
      </c>
      <c r="R2324" s="25">
        <f>COUNTIF($Q$2:$Q$5295,Q2324)</f>
        <v/>
      </c>
      <c r="S2324" s="25">
        <f>IF(R2324&lt;=2,"1-2",IF(R2324&lt;=5,"3-5",IF(R2324&lt;=10,"6-10","11+")))</f>
        <v/>
      </c>
    </row>
    <row r="2325">
      <c r="A2325" s="39" t="n">
        <v>46182.86552083334</v>
      </c>
      <c r="B2325" s="25">
        <f>TEXT(A2325,"YYYY-MM")</f>
        <v/>
      </c>
      <c r="C2325" s="25">
        <f>TEXT(A2325,"MMM-YYYY")</f>
        <v/>
      </c>
      <c r="D2325" s="40">
        <f>INT(A2325)-WEEKDAY(A2325,2)+1</f>
        <v/>
      </c>
      <c r="E2325" s="25" t="inlineStr">
        <is>
          <t>rsingh</t>
        </is>
      </c>
      <c r="F2325" s="25" t="n">
        <v>121938</v>
      </c>
      <c r="G2325" s="25" t="n">
        <v>2</v>
      </c>
      <c r="H2325" s="25" t="n">
        <v>10</v>
      </c>
      <c r="I2325" s="25" t="inlineStr">
        <is>
          <t>3 minute(s) and 17 second(s)</t>
        </is>
      </c>
      <c r="J2325" s="25">
        <f>IFERROR(VALUE(TRIM(LEFT(I2325,FIND("minute",I2325)-1)))*60,0)+IFERROR(VALUE(SUBSTITUTE(MID(I2325,IFERROR(FIND("and",I2325)+3,1),20),"second(s)","")),0)</f>
        <v/>
      </c>
      <c r="K2325" s="41">
        <f>J2325/60</f>
        <v/>
      </c>
      <c r="L2325" s="41">
        <f>IFERROR(J2325/H2325,"")</f>
        <v/>
      </c>
      <c r="M2325" s="25" t="inlineStr">
        <is>
          <t>2.5.12</t>
        </is>
      </c>
      <c r="N2325" s="25">
        <f>IF(J2325&gt;300,1,0)</f>
        <v/>
      </c>
      <c r="O2325" s="25">
        <f>IF(J2325&gt;600,1,0)</f>
        <v/>
      </c>
      <c r="P2325" s="25">
        <f>IF(H2325&gt;0,J2325,"")</f>
        <v/>
      </c>
      <c r="Q2325" s="25">
        <f>TEXT(A2325,"YYYY-MM-DD HH")</f>
        <v/>
      </c>
      <c r="R2325" s="25">
        <f>COUNTIF($Q$2:$Q$5295,Q2325)</f>
        <v/>
      </c>
      <c r="S2325" s="25">
        <f>IF(R2325&lt;=2,"1-2",IF(R2325&lt;=5,"3-5",IF(R2325&lt;=10,"6-10","11+")))</f>
        <v/>
      </c>
    </row>
    <row r="2326">
      <c r="A2326" s="39" t="n">
        <v>46182.97935185185</v>
      </c>
      <c r="B2326" s="25">
        <f>TEXT(A2326,"YYYY-MM")</f>
        <v/>
      </c>
      <c r="C2326" s="25">
        <f>TEXT(A2326,"MMM-YYYY")</f>
        <v/>
      </c>
      <c r="D2326" s="40">
        <f>INT(A2326)-WEEKDAY(A2326,2)+1</f>
        <v/>
      </c>
      <c r="E2326" s="25" t="inlineStr">
        <is>
          <t>dchoudhury</t>
        </is>
      </c>
      <c r="F2326" s="25" t="n">
        <v>121501</v>
      </c>
      <c r="G2326" s="25" t="n">
        <v>3</v>
      </c>
      <c r="H2326" s="25" t="n">
        <v>11</v>
      </c>
      <c r="I2326" s="25" t="inlineStr">
        <is>
          <t>6 minute(s) and 0 second(s)</t>
        </is>
      </c>
      <c r="J2326" s="25">
        <f>IFERROR(VALUE(TRIM(LEFT(I2326,FIND("minute",I2326)-1)))*60,0)+IFERROR(VALUE(SUBSTITUTE(MID(I2326,IFERROR(FIND("and",I2326)+3,1),20),"second(s)","")),0)</f>
        <v/>
      </c>
      <c r="K2326" s="41">
        <f>J2326/60</f>
        <v/>
      </c>
      <c r="L2326" s="41">
        <f>IFERROR(J2326/H2326,"")</f>
        <v/>
      </c>
      <c r="M2326" s="25" t="inlineStr">
        <is>
          <t>2.5.12</t>
        </is>
      </c>
      <c r="N2326" s="25">
        <f>IF(J2326&gt;300,1,0)</f>
        <v/>
      </c>
      <c r="O2326" s="25">
        <f>IF(J2326&gt;600,1,0)</f>
        <v/>
      </c>
      <c r="P2326" s="25">
        <f>IF(H2326&gt;0,J2326,"")</f>
        <v/>
      </c>
      <c r="Q2326" s="25">
        <f>TEXT(A2326,"YYYY-MM-DD HH")</f>
        <v/>
      </c>
      <c r="R2326" s="25">
        <f>COUNTIF($Q$2:$Q$5295,Q2326)</f>
        <v/>
      </c>
      <c r="S2326" s="25">
        <f>IF(R2326&lt;=2,"1-2",IF(R2326&lt;=5,"3-5",IF(R2326&lt;=10,"6-10","11+")))</f>
        <v/>
      </c>
    </row>
    <row r="2327">
      <c r="A2327" s="39" t="n">
        <v>46183.02063657407</v>
      </c>
      <c r="B2327" s="25">
        <f>TEXT(A2327,"YYYY-MM")</f>
        <v/>
      </c>
      <c r="C2327" s="25">
        <f>TEXT(A2327,"MMM-YYYY")</f>
        <v/>
      </c>
      <c r="D2327" s="40">
        <f>INT(A2327)-WEEKDAY(A2327,2)+1</f>
        <v/>
      </c>
      <c r="E2327" s="25" t="inlineStr">
        <is>
          <t>bverma</t>
        </is>
      </c>
      <c r="F2327" s="25" t="n">
        <v>121922</v>
      </c>
      <c r="G2327" s="25" t="n">
        <v>2</v>
      </c>
      <c r="H2327" s="25" t="n">
        <v>10</v>
      </c>
      <c r="I2327" s="25" t="inlineStr">
        <is>
          <t>3 minute(s) and 11 second(s)</t>
        </is>
      </c>
      <c r="J2327" s="25">
        <f>IFERROR(VALUE(TRIM(LEFT(I2327,FIND("minute",I2327)-1)))*60,0)+IFERROR(VALUE(SUBSTITUTE(MID(I2327,IFERROR(FIND("and",I2327)+3,1),20),"second(s)","")),0)</f>
        <v/>
      </c>
      <c r="K2327" s="41">
        <f>J2327/60</f>
        <v/>
      </c>
      <c r="L2327" s="41">
        <f>IFERROR(J2327/H2327,"")</f>
        <v/>
      </c>
      <c r="M2327" s="25" t="inlineStr">
        <is>
          <t>2.5.12</t>
        </is>
      </c>
      <c r="N2327" s="25">
        <f>IF(J2327&gt;300,1,0)</f>
        <v/>
      </c>
      <c r="O2327" s="25">
        <f>IF(J2327&gt;600,1,0)</f>
        <v/>
      </c>
      <c r="P2327" s="25">
        <f>IF(H2327&gt;0,J2327,"")</f>
        <v/>
      </c>
      <c r="Q2327" s="25">
        <f>TEXT(A2327,"YYYY-MM-DD HH")</f>
        <v/>
      </c>
      <c r="R2327" s="25">
        <f>COUNTIF($Q$2:$Q$5295,Q2327)</f>
        <v/>
      </c>
      <c r="S2327" s="25">
        <f>IF(R2327&lt;=2,"1-2",IF(R2327&lt;=5,"3-5",IF(R2327&lt;=10,"6-10","11+")))</f>
        <v/>
      </c>
    </row>
    <row r="2328">
      <c r="A2328" s="39" t="n">
        <v>46183.02918981481</v>
      </c>
      <c r="B2328" s="25">
        <f>TEXT(A2328,"YYYY-MM")</f>
        <v/>
      </c>
      <c r="C2328" s="25">
        <f>TEXT(A2328,"MMM-YYYY")</f>
        <v/>
      </c>
      <c r="D2328" s="40">
        <f>INT(A2328)-WEEKDAY(A2328,2)+1</f>
        <v/>
      </c>
      <c r="E2328" s="25" t="inlineStr">
        <is>
          <t>ssrinivasan</t>
        </is>
      </c>
      <c r="F2328" s="25" t="n">
        <v>122703</v>
      </c>
      <c r="G2328" s="25" t="n">
        <v>2</v>
      </c>
      <c r="H2328" s="25" t="n">
        <v>8</v>
      </c>
      <c r="I2328" s="25" t="inlineStr">
        <is>
          <t>2 minute(s) and 38 second(s)</t>
        </is>
      </c>
      <c r="J2328" s="25">
        <f>IFERROR(VALUE(TRIM(LEFT(I2328,FIND("minute",I2328)-1)))*60,0)+IFERROR(VALUE(SUBSTITUTE(MID(I2328,IFERROR(FIND("and",I2328)+3,1),20),"second(s)","")),0)</f>
        <v/>
      </c>
      <c r="K2328" s="41">
        <f>J2328/60</f>
        <v/>
      </c>
      <c r="L2328" s="41">
        <f>IFERROR(J2328/H2328,"")</f>
        <v/>
      </c>
      <c r="M2328" s="25" t="inlineStr">
        <is>
          <t>2.5.12</t>
        </is>
      </c>
      <c r="N2328" s="25">
        <f>IF(J2328&gt;300,1,0)</f>
        <v/>
      </c>
      <c r="O2328" s="25">
        <f>IF(J2328&gt;600,1,0)</f>
        <v/>
      </c>
      <c r="P2328" s="25">
        <f>IF(H2328&gt;0,J2328,"")</f>
        <v/>
      </c>
      <c r="Q2328" s="25">
        <f>TEXT(A2328,"YYYY-MM-DD HH")</f>
        <v/>
      </c>
      <c r="R2328" s="25">
        <f>COUNTIF($Q$2:$Q$5295,Q2328)</f>
        <v/>
      </c>
      <c r="S2328" s="25">
        <f>IF(R2328&lt;=2,"1-2",IF(R2328&lt;=5,"3-5",IF(R2328&lt;=10,"6-10","11+")))</f>
        <v/>
      </c>
    </row>
    <row r="2329">
      <c r="A2329" s="39" t="n">
        <v>46183.0740625</v>
      </c>
      <c r="B2329" s="25">
        <f>TEXT(A2329,"YYYY-MM")</f>
        <v/>
      </c>
      <c r="C2329" s="25">
        <f>TEXT(A2329,"MMM-YYYY")</f>
        <v/>
      </c>
      <c r="D2329" s="40">
        <f>INT(A2329)-WEEKDAY(A2329,2)+1</f>
        <v/>
      </c>
      <c r="E2329" s="25" t="inlineStr">
        <is>
          <t>vprasad</t>
        </is>
      </c>
      <c r="F2329" s="25" t="n">
        <v>89857</v>
      </c>
      <c r="G2329" s="25" t="n">
        <v>2</v>
      </c>
      <c r="H2329" s="25" t="n">
        <v>10</v>
      </c>
      <c r="I2329" s="25" t="inlineStr">
        <is>
          <t>5 minute(s) and 9 second(s)</t>
        </is>
      </c>
      <c r="J2329" s="25">
        <f>IFERROR(VALUE(TRIM(LEFT(I2329,FIND("minute",I2329)-1)))*60,0)+IFERROR(VALUE(SUBSTITUTE(MID(I2329,IFERROR(FIND("and",I2329)+3,1),20),"second(s)","")),0)</f>
        <v/>
      </c>
      <c r="K2329" s="41">
        <f>J2329/60</f>
        <v/>
      </c>
      <c r="L2329" s="41">
        <f>IFERROR(J2329/H2329,"")</f>
        <v/>
      </c>
      <c r="M2329" s="25" t="inlineStr">
        <is>
          <t>2.5.12</t>
        </is>
      </c>
      <c r="N2329" s="25">
        <f>IF(J2329&gt;300,1,0)</f>
        <v/>
      </c>
      <c r="O2329" s="25">
        <f>IF(J2329&gt;600,1,0)</f>
        <v/>
      </c>
      <c r="P2329" s="25">
        <f>IF(H2329&gt;0,J2329,"")</f>
        <v/>
      </c>
      <c r="Q2329" s="25">
        <f>TEXT(A2329,"YYYY-MM-DD HH")</f>
        <v/>
      </c>
      <c r="R2329" s="25">
        <f>COUNTIF($Q$2:$Q$5295,Q2329)</f>
        <v/>
      </c>
      <c r="S2329" s="25">
        <f>IF(R2329&lt;=2,"1-2",IF(R2329&lt;=5,"3-5",IF(R2329&lt;=10,"6-10","11+")))</f>
        <v/>
      </c>
    </row>
    <row r="2330">
      <c r="A2330" s="39" t="n">
        <v>46183.0859837963</v>
      </c>
      <c r="B2330" s="25">
        <f>TEXT(A2330,"YYYY-MM")</f>
        <v/>
      </c>
      <c r="C2330" s="25">
        <f>TEXT(A2330,"MMM-YYYY")</f>
        <v/>
      </c>
      <c r="D2330" s="40">
        <f>INT(A2330)-WEEKDAY(A2330,2)+1</f>
        <v/>
      </c>
      <c r="E2330" s="25" t="inlineStr">
        <is>
          <t>aupadhayay</t>
        </is>
      </c>
      <c r="F2330" s="25" t="n">
        <v>122587</v>
      </c>
      <c r="G2330" s="25" t="n">
        <v>3</v>
      </c>
      <c r="H2330" s="25" t="n">
        <v>13</v>
      </c>
      <c r="I2330" s="25" t="inlineStr">
        <is>
          <t>8 minute(s) and 45 second(s)</t>
        </is>
      </c>
      <c r="J2330" s="25">
        <f>IFERROR(VALUE(TRIM(LEFT(I2330,FIND("minute",I2330)-1)))*60,0)+IFERROR(VALUE(SUBSTITUTE(MID(I2330,IFERROR(FIND("and",I2330)+3,1),20),"second(s)","")),0)</f>
        <v/>
      </c>
      <c r="K2330" s="41">
        <f>J2330/60</f>
        <v/>
      </c>
      <c r="L2330" s="41">
        <f>IFERROR(J2330/H2330,"")</f>
        <v/>
      </c>
      <c r="M2330" s="25" t="inlineStr">
        <is>
          <t>2.5.12</t>
        </is>
      </c>
      <c r="N2330" s="25">
        <f>IF(J2330&gt;300,1,0)</f>
        <v/>
      </c>
      <c r="O2330" s="25">
        <f>IF(J2330&gt;600,1,0)</f>
        <v/>
      </c>
      <c r="P2330" s="25">
        <f>IF(H2330&gt;0,J2330,"")</f>
        <v/>
      </c>
      <c r="Q2330" s="25">
        <f>TEXT(A2330,"YYYY-MM-DD HH")</f>
        <v/>
      </c>
      <c r="R2330" s="25">
        <f>COUNTIF($Q$2:$Q$5295,Q2330)</f>
        <v/>
      </c>
      <c r="S2330" s="25">
        <f>IF(R2330&lt;=2,"1-2",IF(R2330&lt;=5,"3-5",IF(R2330&lt;=10,"6-10","11+")))</f>
        <v/>
      </c>
    </row>
    <row r="2331">
      <c r="A2331" s="39" t="n">
        <v>46183.08678240741</v>
      </c>
      <c r="B2331" s="25">
        <f>TEXT(A2331,"YYYY-MM")</f>
        <v/>
      </c>
      <c r="C2331" s="25">
        <f>TEXT(A2331,"MMM-YYYY")</f>
        <v/>
      </c>
      <c r="D2331" s="40">
        <f>INT(A2331)-WEEKDAY(A2331,2)+1</f>
        <v/>
      </c>
      <c r="E2331" s="25" t="inlineStr">
        <is>
          <t>pmehndiratta</t>
        </is>
      </c>
      <c r="F2331" s="25" t="n">
        <v>121775</v>
      </c>
      <c r="G2331" s="25" t="n">
        <v>4</v>
      </c>
      <c r="H2331" s="25" t="n">
        <v>27</v>
      </c>
      <c r="I2331" s="25" t="inlineStr">
        <is>
          <t>5 minute(s) and 21 second(s)</t>
        </is>
      </c>
      <c r="J2331" s="25">
        <f>IFERROR(VALUE(TRIM(LEFT(I2331,FIND("minute",I2331)-1)))*60,0)+IFERROR(VALUE(SUBSTITUTE(MID(I2331,IFERROR(FIND("and",I2331)+3,1),20),"second(s)","")),0)</f>
        <v/>
      </c>
      <c r="K2331" s="41">
        <f>J2331/60</f>
        <v/>
      </c>
      <c r="L2331" s="41">
        <f>IFERROR(J2331/H2331,"")</f>
        <v/>
      </c>
      <c r="M2331" s="25" t="inlineStr">
        <is>
          <t>2.5.12</t>
        </is>
      </c>
      <c r="N2331" s="25">
        <f>IF(J2331&gt;300,1,0)</f>
        <v/>
      </c>
      <c r="O2331" s="25">
        <f>IF(J2331&gt;600,1,0)</f>
        <v/>
      </c>
      <c r="P2331" s="25">
        <f>IF(H2331&gt;0,J2331,"")</f>
        <v/>
      </c>
      <c r="Q2331" s="25">
        <f>TEXT(A2331,"YYYY-MM-DD HH")</f>
        <v/>
      </c>
      <c r="R2331" s="25">
        <f>COUNTIF($Q$2:$Q$5295,Q2331)</f>
        <v/>
      </c>
      <c r="S2331" s="25">
        <f>IF(R2331&lt;=2,"1-2",IF(R2331&lt;=5,"3-5",IF(R2331&lt;=10,"6-10","11+")))</f>
        <v/>
      </c>
    </row>
    <row r="2332">
      <c r="A2332" s="39" t="n">
        <v>46183.09043981481</v>
      </c>
      <c r="B2332" s="25">
        <f>TEXT(A2332,"YYYY-MM")</f>
        <v/>
      </c>
      <c r="C2332" s="25">
        <f>TEXT(A2332,"MMM-YYYY")</f>
        <v/>
      </c>
      <c r="D2332" s="40">
        <f>INT(A2332)-WEEKDAY(A2332,2)+1</f>
        <v/>
      </c>
      <c r="E2332" s="25" t="inlineStr">
        <is>
          <t>ns</t>
        </is>
      </c>
      <c r="F2332" s="25" t="n">
        <v>121601</v>
      </c>
      <c r="G2332" s="25" t="n">
        <v>2</v>
      </c>
      <c r="H2332" s="25" t="n">
        <v>8</v>
      </c>
      <c r="I2332" s="25" t="inlineStr">
        <is>
          <t>3 minute(s) and 13 second(s)</t>
        </is>
      </c>
      <c r="J2332" s="25">
        <f>IFERROR(VALUE(TRIM(LEFT(I2332,FIND("minute",I2332)-1)))*60,0)+IFERROR(VALUE(SUBSTITUTE(MID(I2332,IFERROR(FIND("and",I2332)+3,1),20),"second(s)","")),0)</f>
        <v/>
      </c>
      <c r="K2332" s="41">
        <f>J2332/60</f>
        <v/>
      </c>
      <c r="L2332" s="41">
        <f>IFERROR(J2332/H2332,"")</f>
        <v/>
      </c>
      <c r="M2332" s="25" t="inlineStr">
        <is>
          <t>2.5.12</t>
        </is>
      </c>
      <c r="N2332" s="25">
        <f>IF(J2332&gt;300,1,0)</f>
        <v/>
      </c>
      <c r="O2332" s="25">
        <f>IF(J2332&gt;600,1,0)</f>
        <v/>
      </c>
      <c r="P2332" s="25">
        <f>IF(H2332&gt;0,J2332,"")</f>
        <v/>
      </c>
      <c r="Q2332" s="25">
        <f>TEXT(A2332,"YYYY-MM-DD HH")</f>
        <v/>
      </c>
      <c r="R2332" s="25">
        <f>COUNTIF($Q$2:$Q$5295,Q2332)</f>
        <v/>
      </c>
      <c r="S2332" s="25">
        <f>IF(R2332&lt;=2,"1-2",IF(R2332&lt;=5,"3-5",IF(R2332&lt;=10,"6-10","11+")))</f>
        <v/>
      </c>
    </row>
    <row r="2333">
      <c r="A2333" s="39" t="n">
        <v>46183.09472222222</v>
      </c>
      <c r="B2333" s="25">
        <f>TEXT(A2333,"YYYY-MM")</f>
        <v/>
      </c>
      <c r="C2333" s="25">
        <f>TEXT(A2333,"MMM-YYYY")</f>
        <v/>
      </c>
      <c r="D2333" s="40">
        <f>INT(A2333)-WEEKDAY(A2333,2)+1</f>
        <v/>
      </c>
      <c r="E2333" s="25" t="inlineStr">
        <is>
          <t>rts</t>
        </is>
      </c>
      <c r="F2333" s="25" t="n">
        <v>89957</v>
      </c>
      <c r="G2333" s="25" t="n">
        <v>1</v>
      </c>
      <c r="H2333" s="25" t="n">
        <v>6</v>
      </c>
      <c r="I2333" s="25" t="inlineStr">
        <is>
          <t>4 minute(s) and 41 second(s)</t>
        </is>
      </c>
      <c r="J2333" s="25">
        <f>IFERROR(VALUE(TRIM(LEFT(I2333,FIND("minute",I2333)-1)))*60,0)+IFERROR(VALUE(SUBSTITUTE(MID(I2333,IFERROR(FIND("and",I2333)+3,1),20),"second(s)","")),0)</f>
        <v/>
      </c>
      <c r="K2333" s="41">
        <f>J2333/60</f>
        <v/>
      </c>
      <c r="L2333" s="41">
        <f>IFERROR(J2333/H2333,"")</f>
        <v/>
      </c>
      <c r="M2333" s="25" t="inlineStr">
        <is>
          <t>2.5.12</t>
        </is>
      </c>
      <c r="N2333" s="25">
        <f>IF(J2333&gt;300,1,0)</f>
        <v/>
      </c>
      <c r="O2333" s="25">
        <f>IF(J2333&gt;600,1,0)</f>
        <v/>
      </c>
      <c r="P2333" s="25">
        <f>IF(H2333&gt;0,J2333,"")</f>
        <v/>
      </c>
      <c r="Q2333" s="25">
        <f>TEXT(A2333,"YYYY-MM-DD HH")</f>
        <v/>
      </c>
      <c r="R2333" s="25">
        <f>COUNTIF($Q$2:$Q$5295,Q2333)</f>
        <v/>
      </c>
      <c r="S2333" s="25">
        <f>IF(R2333&lt;=2,"1-2",IF(R2333&lt;=5,"3-5",IF(R2333&lt;=10,"6-10","11+")))</f>
        <v/>
      </c>
    </row>
    <row r="2334">
      <c r="A2334" s="39" t="n">
        <v>46183.10377314815</v>
      </c>
      <c r="B2334" s="25">
        <f>TEXT(A2334,"YYYY-MM")</f>
        <v/>
      </c>
      <c r="C2334" s="25">
        <f>TEXT(A2334,"MMM-YYYY")</f>
        <v/>
      </c>
      <c r="D2334" s="40">
        <f>INT(A2334)-WEEKDAY(A2334,2)+1</f>
        <v/>
      </c>
      <c r="E2334" s="25" t="inlineStr">
        <is>
          <t>bverma</t>
        </is>
      </c>
      <c r="F2334" s="25" t="n">
        <v>121989</v>
      </c>
      <c r="G2334" s="25" t="n">
        <v>2</v>
      </c>
      <c r="H2334" s="25" t="n">
        <v>12</v>
      </c>
      <c r="I2334" s="25" t="inlineStr">
        <is>
          <t>3 minute(s) and 57 second(s)</t>
        </is>
      </c>
      <c r="J2334" s="25">
        <f>IFERROR(VALUE(TRIM(LEFT(I2334,FIND("minute",I2334)-1)))*60,0)+IFERROR(VALUE(SUBSTITUTE(MID(I2334,IFERROR(FIND("and",I2334)+3,1),20),"second(s)","")),0)</f>
        <v/>
      </c>
      <c r="K2334" s="41">
        <f>J2334/60</f>
        <v/>
      </c>
      <c r="L2334" s="41">
        <f>IFERROR(J2334/H2334,"")</f>
        <v/>
      </c>
      <c r="M2334" s="25" t="inlineStr">
        <is>
          <t>2.5.12</t>
        </is>
      </c>
      <c r="N2334" s="25">
        <f>IF(J2334&gt;300,1,0)</f>
        <v/>
      </c>
      <c r="O2334" s="25">
        <f>IF(J2334&gt;600,1,0)</f>
        <v/>
      </c>
      <c r="P2334" s="25">
        <f>IF(H2334&gt;0,J2334,"")</f>
        <v/>
      </c>
      <c r="Q2334" s="25">
        <f>TEXT(A2334,"YYYY-MM-DD HH")</f>
        <v/>
      </c>
      <c r="R2334" s="25">
        <f>COUNTIF($Q$2:$Q$5295,Q2334)</f>
        <v/>
      </c>
      <c r="S2334" s="25">
        <f>IF(R2334&lt;=2,"1-2",IF(R2334&lt;=5,"3-5",IF(R2334&lt;=10,"6-10","11+")))</f>
        <v/>
      </c>
    </row>
    <row r="2335">
      <c r="A2335" s="39" t="n">
        <v>46183.11042824074</v>
      </c>
      <c r="B2335" s="25">
        <f>TEXT(A2335,"YYYY-MM")</f>
        <v/>
      </c>
      <c r="C2335" s="25">
        <f>TEXT(A2335,"MMM-YYYY")</f>
        <v/>
      </c>
      <c r="D2335" s="40">
        <f>INT(A2335)-WEEKDAY(A2335,2)+1</f>
        <v/>
      </c>
      <c r="E2335" s="25" t="inlineStr">
        <is>
          <t>mgupta</t>
        </is>
      </c>
      <c r="F2335" s="25" t="n">
        <v>125565</v>
      </c>
      <c r="G2335" s="25" t="n">
        <v>5</v>
      </c>
      <c r="H2335" s="25" t="n">
        <v>25</v>
      </c>
      <c r="I2335" s="25" t="inlineStr">
        <is>
          <t>4 minute(s) and 46 second(s)</t>
        </is>
      </c>
      <c r="J2335" s="25">
        <f>IFERROR(VALUE(TRIM(LEFT(I2335,FIND("minute",I2335)-1)))*60,0)+IFERROR(VALUE(SUBSTITUTE(MID(I2335,IFERROR(FIND("and",I2335)+3,1),20),"second(s)","")),0)</f>
        <v/>
      </c>
      <c r="K2335" s="41">
        <f>J2335/60</f>
        <v/>
      </c>
      <c r="L2335" s="41">
        <f>IFERROR(J2335/H2335,"")</f>
        <v/>
      </c>
      <c r="M2335" s="25" t="inlineStr">
        <is>
          <t>2.5.12</t>
        </is>
      </c>
      <c r="N2335" s="25">
        <f>IF(J2335&gt;300,1,0)</f>
        <v/>
      </c>
      <c r="O2335" s="25">
        <f>IF(J2335&gt;600,1,0)</f>
        <v/>
      </c>
      <c r="P2335" s="25">
        <f>IF(H2335&gt;0,J2335,"")</f>
        <v/>
      </c>
      <c r="Q2335" s="25">
        <f>TEXT(A2335,"YYYY-MM-DD HH")</f>
        <v/>
      </c>
      <c r="R2335" s="25">
        <f>COUNTIF($Q$2:$Q$5295,Q2335)</f>
        <v/>
      </c>
      <c r="S2335" s="25">
        <f>IF(R2335&lt;=2,"1-2",IF(R2335&lt;=5,"3-5",IF(R2335&lt;=10,"6-10","11+")))</f>
        <v/>
      </c>
    </row>
    <row r="2336">
      <c r="A2336" s="39" t="n">
        <v>46183.11142361111</v>
      </c>
      <c r="B2336" s="25">
        <f>TEXT(A2336,"YYYY-MM")</f>
        <v/>
      </c>
      <c r="C2336" s="25">
        <f>TEXT(A2336,"MMM-YYYY")</f>
        <v/>
      </c>
      <c r="D2336" s="40">
        <f>INT(A2336)-WEEKDAY(A2336,2)+1</f>
        <v/>
      </c>
      <c r="E2336" s="25" t="inlineStr">
        <is>
          <t>csaha</t>
        </is>
      </c>
      <c r="F2336" s="25" t="n">
        <v>122352</v>
      </c>
      <c r="G2336" s="25" t="n">
        <v>4</v>
      </c>
      <c r="H2336" s="25" t="n">
        <v>20</v>
      </c>
      <c r="I2336" s="25" t="inlineStr">
        <is>
          <t>3 minute(s) and 33 second(s)</t>
        </is>
      </c>
      <c r="J2336" s="25">
        <f>IFERROR(VALUE(TRIM(LEFT(I2336,FIND("minute",I2336)-1)))*60,0)+IFERROR(VALUE(SUBSTITUTE(MID(I2336,IFERROR(FIND("and",I2336)+3,1),20),"second(s)","")),0)</f>
        <v/>
      </c>
      <c r="K2336" s="41">
        <f>J2336/60</f>
        <v/>
      </c>
      <c r="L2336" s="41">
        <f>IFERROR(J2336/H2336,"")</f>
        <v/>
      </c>
      <c r="M2336" s="25" t="inlineStr">
        <is>
          <t>2.5.12</t>
        </is>
      </c>
      <c r="N2336" s="25">
        <f>IF(J2336&gt;300,1,0)</f>
        <v/>
      </c>
      <c r="O2336" s="25">
        <f>IF(J2336&gt;600,1,0)</f>
        <v/>
      </c>
      <c r="P2336" s="25">
        <f>IF(H2336&gt;0,J2336,"")</f>
        <v/>
      </c>
      <c r="Q2336" s="25">
        <f>TEXT(A2336,"YYYY-MM-DD HH")</f>
        <v/>
      </c>
      <c r="R2336" s="25">
        <f>COUNTIF($Q$2:$Q$5295,Q2336)</f>
        <v/>
      </c>
      <c r="S2336" s="25">
        <f>IF(R2336&lt;=2,"1-2",IF(R2336&lt;=5,"3-5",IF(R2336&lt;=10,"6-10","11+")))</f>
        <v/>
      </c>
    </row>
    <row r="2337">
      <c r="A2337" s="39" t="n">
        <v>46183.11195601852</v>
      </c>
      <c r="B2337" s="25">
        <f>TEXT(A2337,"YYYY-MM")</f>
        <v/>
      </c>
      <c r="C2337" s="25">
        <f>TEXT(A2337,"MMM-YYYY")</f>
        <v/>
      </c>
      <c r="D2337" s="40">
        <f>INT(A2337)-WEEKDAY(A2337,2)+1</f>
        <v/>
      </c>
      <c r="E2337" s="25" t="inlineStr">
        <is>
          <t>dchoudhury</t>
        </is>
      </c>
      <c r="F2337" s="25" t="n">
        <v>121502</v>
      </c>
      <c r="G2337" s="25" t="n">
        <v>3</v>
      </c>
      <c r="H2337" s="25" t="n">
        <v>11</v>
      </c>
      <c r="I2337" s="25" t="inlineStr">
        <is>
          <t>4 minute(s) and 31 second(s)</t>
        </is>
      </c>
      <c r="J2337" s="25">
        <f>IFERROR(VALUE(TRIM(LEFT(I2337,FIND("minute",I2337)-1)))*60,0)+IFERROR(VALUE(SUBSTITUTE(MID(I2337,IFERROR(FIND("and",I2337)+3,1),20),"second(s)","")),0)</f>
        <v/>
      </c>
      <c r="K2337" s="41">
        <f>J2337/60</f>
        <v/>
      </c>
      <c r="L2337" s="41">
        <f>IFERROR(J2337/H2337,"")</f>
        <v/>
      </c>
      <c r="M2337" s="25" t="inlineStr">
        <is>
          <t>2.5.12</t>
        </is>
      </c>
      <c r="N2337" s="25">
        <f>IF(J2337&gt;300,1,0)</f>
        <v/>
      </c>
      <c r="O2337" s="25">
        <f>IF(J2337&gt;600,1,0)</f>
        <v/>
      </c>
      <c r="P2337" s="25">
        <f>IF(H2337&gt;0,J2337,"")</f>
        <v/>
      </c>
      <c r="Q2337" s="25">
        <f>TEXT(A2337,"YYYY-MM-DD HH")</f>
        <v/>
      </c>
      <c r="R2337" s="25">
        <f>COUNTIF($Q$2:$Q$5295,Q2337)</f>
        <v/>
      </c>
      <c r="S2337" s="25">
        <f>IF(R2337&lt;=2,"1-2",IF(R2337&lt;=5,"3-5",IF(R2337&lt;=10,"6-10","11+")))</f>
        <v/>
      </c>
    </row>
    <row r="2338">
      <c r="A2338" s="39" t="n">
        <v>46183.11387731481</v>
      </c>
      <c r="B2338" s="25">
        <f>TEXT(A2338,"YYYY-MM")</f>
        <v/>
      </c>
      <c r="C2338" s="25">
        <f>TEXT(A2338,"MMM-YYYY")</f>
        <v/>
      </c>
      <c r="D2338" s="40">
        <f>INT(A2338)-WEEKDAY(A2338,2)+1</f>
        <v/>
      </c>
      <c r="E2338" s="25" t="inlineStr">
        <is>
          <t>apriyadarshi</t>
        </is>
      </c>
      <c r="F2338" s="25" t="n">
        <v>122731</v>
      </c>
      <c r="G2338" s="25" t="n">
        <v>4</v>
      </c>
      <c r="H2338" s="25" t="n">
        <v>24</v>
      </c>
      <c r="I2338" s="25" t="inlineStr">
        <is>
          <t>5 minute(s) and 39 second(s)</t>
        </is>
      </c>
      <c r="J2338" s="25">
        <f>IFERROR(VALUE(TRIM(LEFT(I2338,FIND("minute",I2338)-1)))*60,0)+IFERROR(VALUE(SUBSTITUTE(MID(I2338,IFERROR(FIND("and",I2338)+3,1),20),"second(s)","")),0)</f>
        <v/>
      </c>
      <c r="K2338" s="41">
        <f>J2338/60</f>
        <v/>
      </c>
      <c r="L2338" s="41">
        <f>IFERROR(J2338/H2338,"")</f>
        <v/>
      </c>
      <c r="M2338" s="25" t="inlineStr">
        <is>
          <t>2.5.12</t>
        </is>
      </c>
      <c r="N2338" s="25">
        <f>IF(J2338&gt;300,1,0)</f>
        <v/>
      </c>
      <c r="O2338" s="25">
        <f>IF(J2338&gt;600,1,0)</f>
        <v/>
      </c>
      <c r="P2338" s="25">
        <f>IF(H2338&gt;0,J2338,"")</f>
        <v/>
      </c>
      <c r="Q2338" s="25">
        <f>TEXT(A2338,"YYYY-MM-DD HH")</f>
        <v/>
      </c>
      <c r="R2338" s="25">
        <f>COUNTIF($Q$2:$Q$5295,Q2338)</f>
        <v/>
      </c>
      <c r="S2338" s="25">
        <f>IF(R2338&lt;=2,"1-2",IF(R2338&lt;=5,"3-5",IF(R2338&lt;=10,"6-10","11+")))</f>
        <v/>
      </c>
    </row>
    <row r="2339">
      <c r="A2339" s="39" t="n">
        <v>46183.11846064815</v>
      </c>
      <c r="B2339" s="25">
        <f>TEXT(A2339,"YYYY-MM")</f>
        <v/>
      </c>
      <c r="C2339" s="25">
        <f>TEXT(A2339,"MMM-YYYY")</f>
        <v/>
      </c>
      <c r="D2339" s="40">
        <f>INT(A2339)-WEEKDAY(A2339,2)+1</f>
        <v/>
      </c>
      <c r="E2339" s="25" t="inlineStr">
        <is>
          <t>aghosh</t>
        </is>
      </c>
      <c r="F2339" s="25" t="n">
        <v>122646</v>
      </c>
      <c r="G2339" s="25" t="n">
        <v>4</v>
      </c>
      <c r="H2339" s="25" t="n">
        <v>22</v>
      </c>
      <c r="I2339" s="25" t="inlineStr">
        <is>
          <t>8 minute(s) and 7 second(s)</t>
        </is>
      </c>
      <c r="J2339" s="25">
        <f>IFERROR(VALUE(TRIM(LEFT(I2339,FIND("minute",I2339)-1)))*60,0)+IFERROR(VALUE(SUBSTITUTE(MID(I2339,IFERROR(FIND("and",I2339)+3,1),20),"second(s)","")),0)</f>
        <v/>
      </c>
      <c r="K2339" s="41">
        <f>J2339/60</f>
        <v/>
      </c>
      <c r="L2339" s="41">
        <f>IFERROR(J2339/H2339,"")</f>
        <v/>
      </c>
      <c r="M2339" s="25" t="inlineStr">
        <is>
          <t>2.5.12</t>
        </is>
      </c>
      <c r="N2339" s="25">
        <f>IF(J2339&gt;300,1,0)</f>
        <v/>
      </c>
      <c r="O2339" s="25">
        <f>IF(J2339&gt;600,1,0)</f>
        <v/>
      </c>
      <c r="P2339" s="25">
        <f>IF(H2339&gt;0,J2339,"")</f>
        <v/>
      </c>
      <c r="Q2339" s="25">
        <f>TEXT(A2339,"YYYY-MM-DD HH")</f>
        <v/>
      </c>
      <c r="R2339" s="25">
        <f>COUNTIF($Q$2:$Q$5295,Q2339)</f>
        <v/>
      </c>
      <c r="S2339" s="25">
        <f>IF(R2339&lt;=2,"1-2",IF(R2339&lt;=5,"3-5",IF(R2339&lt;=10,"6-10","11+")))</f>
        <v/>
      </c>
    </row>
    <row r="2340">
      <c r="A2340" s="39" t="n">
        <v>46183.11961805556</v>
      </c>
      <c r="B2340" s="25">
        <f>TEXT(A2340,"YYYY-MM")</f>
        <v/>
      </c>
      <c r="C2340" s="25">
        <f>TEXT(A2340,"MMM-YYYY")</f>
        <v/>
      </c>
      <c r="D2340" s="40">
        <f>INT(A2340)-WEEKDAY(A2340,2)+1</f>
        <v/>
      </c>
      <c r="E2340" s="25" t="inlineStr">
        <is>
          <t>ssneha</t>
        </is>
      </c>
      <c r="F2340" s="25" t="n">
        <v>123504</v>
      </c>
      <c r="G2340" s="25" t="n">
        <v>3</v>
      </c>
      <c r="H2340" s="25" t="n">
        <v>16</v>
      </c>
      <c r="I2340" s="25" t="inlineStr">
        <is>
          <t>8 minute(s) and 7 second(s)</t>
        </is>
      </c>
      <c r="J2340" s="25">
        <f>IFERROR(VALUE(TRIM(LEFT(I2340,FIND("minute",I2340)-1)))*60,0)+IFERROR(VALUE(SUBSTITUTE(MID(I2340,IFERROR(FIND("and",I2340)+3,1),20),"second(s)","")),0)</f>
        <v/>
      </c>
      <c r="K2340" s="41">
        <f>J2340/60</f>
        <v/>
      </c>
      <c r="L2340" s="41">
        <f>IFERROR(J2340/H2340,"")</f>
        <v/>
      </c>
      <c r="M2340" s="25" t="inlineStr">
        <is>
          <t>2.5.12</t>
        </is>
      </c>
      <c r="N2340" s="25">
        <f>IF(J2340&gt;300,1,0)</f>
        <v/>
      </c>
      <c r="O2340" s="25">
        <f>IF(J2340&gt;600,1,0)</f>
        <v/>
      </c>
      <c r="P2340" s="25">
        <f>IF(H2340&gt;0,J2340,"")</f>
        <v/>
      </c>
      <c r="Q2340" s="25">
        <f>TEXT(A2340,"YYYY-MM-DD HH")</f>
        <v/>
      </c>
      <c r="R2340" s="25">
        <f>COUNTIF($Q$2:$Q$5295,Q2340)</f>
        <v/>
      </c>
      <c r="S2340" s="25">
        <f>IF(R2340&lt;=2,"1-2",IF(R2340&lt;=5,"3-5",IF(R2340&lt;=10,"6-10","11+")))</f>
        <v/>
      </c>
    </row>
    <row r="2341">
      <c r="A2341" s="39" t="n">
        <v>46183.13376157408</v>
      </c>
      <c r="B2341" s="25">
        <f>TEXT(A2341,"YYYY-MM")</f>
        <v/>
      </c>
      <c r="C2341" s="25">
        <f>TEXT(A2341,"MMM-YYYY")</f>
        <v/>
      </c>
      <c r="D2341" s="40">
        <f>INT(A2341)-WEEKDAY(A2341,2)+1</f>
        <v/>
      </c>
      <c r="E2341" s="25" t="inlineStr">
        <is>
          <t>aupadhayay</t>
        </is>
      </c>
      <c r="F2341" s="25" t="n">
        <v>122583</v>
      </c>
      <c r="G2341" s="25" t="n">
        <v>3</v>
      </c>
      <c r="H2341" s="25" t="n">
        <v>13</v>
      </c>
      <c r="I2341" s="25" t="inlineStr">
        <is>
          <t>8 minute(s) and 13 second(s)</t>
        </is>
      </c>
      <c r="J2341" s="25">
        <f>IFERROR(VALUE(TRIM(LEFT(I2341,FIND("minute",I2341)-1)))*60,0)+IFERROR(VALUE(SUBSTITUTE(MID(I2341,IFERROR(FIND("and",I2341)+3,1),20),"second(s)","")),0)</f>
        <v/>
      </c>
      <c r="K2341" s="41">
        <f>J2341/60</f>
        <v/>
      </c>
      <c r="L2341" s="41">
        <f>IFERROR(J2341/H2341,"")</f>
        <v/>
      </c>
      <c r="M2341" s="25" t="inlineStr">
        <is>
          <t>2.5.12</t>
        </is>
      </c>
      <c r="N2341" s="25">
        <f>IF(J2341&gt;300,1,0)</f>
        <v/>
      </c>
      <c r="O2341" s="25">
        <f>IF(J2341&gt;600,1,0)</f>
        <v/>
      </c>
      <c r="P2341" s="25">
        <f>IF(H2341&gt;0,J2341,"")</f>
        <v/>
      </c>
      <c r="Q2341" s="25">
        <f>TEXT(A2341,"YYYY-MM-DD HH")</f>
        <v/>
      </c>
      <c r="R2341" s="25">
        <f>COUNTIF($Q$2:$Q$5295,Q2341)</f>
        <v/>
      </c>
      <c r="S2341" s="25">
        <f>IF(R2341&lt;=2,"1-2",IF(R2341&lt;=5,"3-5",IF(R2341&lt;=10,"6-10","11+")))</f>
        <v/>
      </c>
    </row>
    <row r="2342">
      <c r="A2342" s="39" t="n">
        <v>46183.13741898148</v>
      </c>
      <c r="B2342" s="25">
        <f>TEXT(A2342,"YYYY-MM")</f>
        <v/>
      </c>
      <c r="C2342" s="25">
        <f>TEXT(A2342,"MMM-YYYY")</f>
        <v/>
      </c>
      <c r="D2342" s="40">
        <f>INT(A2342)-WEEKDAY(A2342,2)+1</f>
        <v/>
      </c>
      <c r="E2342" s="25" t="inlineStr">
        <is>
          <t>ethomas</t>
        </is>
      </c>
      <c r="F2342" s="25" t="n">
        <v>122857</v>
      </c>
      <c r="G2342" s="25" t="n">
        <v>3</v>
      </c>
      <c r="H2342" s="25" t="n">
        <v>20</v>
      </c>
      <c r="I2342" s="25" t="inlineStr">
        <is>
          <t>5 minute(s) and 40 second(s)</t>
        </is>
      </c>
      <c r="J2342" s="25">
        <f>IFERROR(VALUE(TRIM(LEFT(I2342,FIND("minute",I2342)-1)))*60,0)+IFERROR(VALUE(SUBSTITUTE(MID(I2342,IFERROR(FIND("and",I2342)+3,1),20),"second(s)","")),0)</f>
        <v/>
      </c>
      <c r="K2342" s="41">
        <f>J2342/60</f>
        <v/>
      </c>
      <c r="L2342" s="41">
        <f>IFERROR(J2342/H2342,"")</f>
        <v/>
      </c>
      <c r="M2342" s="25" t="inlineStr">
        <is>
          <t>2.5.12</t>
        </is>
      </c>
      <c r="N2342" s="25">
        <f>IF(J2342&gt;300,1,0)</f>
        <v/>
      </c>
      <c r="O2342" s="25">
        <f>IF(J2342&gt;600,1,0)</f>
        <v/>
      </c>
      <c r="P2342" s="25">
        <f>IF(H2342&gt;0,J2342,"")</f>
        <v/>
      </c>
      <c r="Q2342" s="25">
        <f>TEXT(A2342,"YYYY-MM-DD HH")</f>
        <v/>
      </c>
      <c r="R2342" s="25">
        <f>COUNTIF($Q$2:$Q$5295,Q2342)</f>
        <v/>
      </c>
      <c r="S2342" s="25">
        <f>IF(R2342&lt;=2,"1-2",IF(R2342&lt;=5,"3-5",IF(R2342&lt;=10,"6-10","11+")))</f>
        <v/>
      </c>
    </row>
    <row r="2343">
      <c r="A2343" s="39" t="n">
        <v>46183.14414351852</v>
      </c>
      <c r="B2343" s="25">
        <f>TEXT(A2343,"YYYY-MM")</f>
        <v/>
      </c>
      <c r="C2343" s="25">
        <f>TEXT(A2343,"MMM-YYYY")</f>
        <v/>
      </c>
      <c r="D2343" s="40">
        <f>INT(A2343)-WEEKDAY(A2343,2)+1</f>
        <v/>
      </c>
      <c r="E2343" s="25" t="inlineStr">
        <is>
          <t>ssarkar</t>
        </is>
      </c>
      <c r="F2343" s="25" t="n">
        <v>122977</v>
      </c>
      <c r="G2343" s="25" t="n">
        <v>2</v>
      </c>
      <c r="H2343" s="25" t="n">
        <v>10</v>
      </c>
      <c r="I2343" s="25" t="inlineStr">
        <is>
          <t>2 minute(s) and 46 second(s)</t>
        </is>
      </c>
      <c r="J2343" s="25">
        <f>IFERROR(VALUE(TRIM(LEFT(I2343,FIND("minute",I2343)-1)))*60,0)+IFERROR(VALUE(SUBSTITUTE(MID(I2343,IFERROR(FIND("and",I2343)+3,1),20),"second(s)","")),0)</f>
        <v/>
      </c>
      <c r="K2343" s="41">
        <f>J2343/60</f>
        <v/>
      </c>
      <c r="L2343" s="41">
        <f>IFERROR(J2343/H2343,"")</f>
        <v/>
      </c>
      <c r="M2343" s="25" t="inlineStr">
        <is>
          <t>2.5.12</t>
        </is>
      </c>
      <c r="N2343" s="25">
        <f>IF(J2343&gt;300,1,0)</f>
        <v/>
      </c>
      <c r="O2343" s="25">
        <f>IF(J2343&gt;600,1,0)</f>
        <v/>
      </c>
      <c r="P2343" s="25">
        <f>IF(H2343&gt;0,J2343,"")</f>
        <v/>
      </c>
      <c r="Q2343" s="25">
        <f>TEXT(A2343,"YYYY-MM-DD HH")</f>
        <v/>
      </c>
      <c r="R2343" s="25">
        <f>COUNTIF($Q$2:$Q$5295,Q2343)</f>
        <v/>
      </c>
      <c r="S2343" s="25">
        <f>IF(R2343&lt;=2,"1-2",IF(R2343&lt;=5,"3-5",IF(R2343&lt;=10,"6-10","11+")))</f>
        <v/>
      </c>
    </row>
    <row r="2344">
      <c r="A2344" s="39" t="n">
        <v>46183.14460648148</v>
      </c>
      <c r="B2344" s="25">
        <f>TEXT(A2344,"YYYY-MM")</f>
        <v/>
      </c>
      <c r="C2344" s="25">
        <f>TEXT(A2344,"MMM-YYYY")</f>
        <v/>
      </c>
      <c r="D2344" s="40">
        <f>INT(A2344)-WEEKDAY(A2344,2)+1</f>
        <v/>
      </c>
      <c r="E2344" s="25" t="inlineStr">
        <is>
          <t>ns</t>
        </is>
      </c>
      <c r="F2344" s="25" t="n">
        <v>122939</v>
      </c>
      <c r="G2344" s="25" t="n">
        <v>2</v>
      </c>
      <c r="H2344" s="25" t="n">
        <v>10</v>
      </c>
      <c r="I2344" s="25" t="inlineStr">
        <is>
          <t>2 minute(s) and 52 second(s)</t>
        </is>
      </c>
      <c r="J2344" s="25">
        <f>IFERROR(VALUE(TRIM(LEFT(I2344,FIND("minute",I2344)-1)))*60,0)+IFERROR(VALUE(SUBSTITUTE(MID(I2344,IFERROR(FIND("and",I2344)+3,1),20),"second(s)","")),0)</f>
        <v/>
      </c>
      <c r="K2344" s="41">
        <f>J2344/60</f>
        <v/>
      </c>
      <c r="L2344" s="41">
        <f>IFERROR(J2344/H2344,"")</f>
        <v/>
      </c>
      <c r="M2344" s="25" t="inlineStr">
        <is>
          <t>2.5.12</t>
        </is>
      </c>
      <c r="N2344" s="25">
        <f>IF(J2344&gt;300,1,0)</f>
        <v/>
      </c>
      <c r="O2344" s="25">
        <f>IF(J2344&gt;600,1,0)</f>
        <v/>
      </c>
      <c r="P2344" s="25">
        <f>IF(H2344&gt;0,J2344,"")</f>
        <v/>
      </c>
      <c r="Q2344" s="25">
        <f>TEXT(A2344,"YYYY-MM-DD HH")</f>
        <v/>
      </c>
      <c r="R2344" s="25">
        <f>COUNTIF($Q$2:$Q$5295,Q2344)</f>
        <v/>
      </c>
      <c r="S2344" s="25">
        <f>IF(R2344&lt;=2,"1-2",IF(R2344&lt;=5,"3-5",IF(R2344&lt;=10,"6-10","11+")))</f>
        <v/>
      </c>
    </row>
    <row r="2345">
      <c r="A2345" s="39" t="n">
        <v>46183.14768518518</v>
      </c>
      <c r="B2345" s="25">
        <f>TEXT(A2345,"YYYY-MM")</f>
        <v/>
      </c>
      <c r="C2345" s="25">
        <f>TEXT(A2345,"MMM-YYYY")</f>
        <v/>
      </c>
      <c r="D2345" s="40">
        <f>INT(A2345)-WEEKDAY(A2345,2)+1</f>
        <v/>
      </c>
      <c r="E2345" s="25" t="inlineStr">
        <is>
          <t>ssrinivasan</t>
        </is>
      </c>
      <c r="F2345" s="25" t="n">
        <v>122705</v>
      </c>
      <c r="G2345" s="25" t="n">
        <v>2</v>
      </c>
      <c r="H2345" s="25" t="n">
        <v>8</v>
      </c>
      <c r="I2345" s="25" t="inlineStr">
        <is>
          <t>3 minute(s) and 21 second(s)</t>
        </is>
      </c>
      <c r="J2345" s="25">
        <f>IFERROR(VALUE(TRIM(LEFT(I2345,FIND("minute",I2345)-1)))*60,0)+IFERROR(VALUE(SUBSTITUTE(MID(I2345,IFERROR(FIND("and",I2345)+3,1),20),"second(s)","")),0)</f>
        <v/>
      </c>
      <c r="K2345" s="41">
        <f>J2345/60</f>
        <v/>
      </c>
      <c r="L2345" s="41">
        <f>IFERROR(J2345/H2345,"")</f>
        <v/>
      </c>
      <c r="M2345" s="25" t="inlineStr">
        <is>
          <t>2.5.12</t>
        </is>
      </c>
      <c r="N2345" s="25">
        <f>IF(J2345&gt;300,1,0)</f>
        <v/>
      </c>
      <c r="O2345" s="25">
        <f>IF(J2345&gt;600,1,0)</f>
        <v/>
      </c>
      <c r="P2345" s="25">
        <f>IF(H2345&gt;0,J2345,"")</f>
        <v/>
      </c>
      <c r="Q2345" s="25">
        <f>TEXT(A2345,"YYYY-MM-DD HH")</f>
        <v/>
      </c>
      <c r="R2345" s="25">
        <f>COUNTIF($Q$2:$Q$5295,Q2345)</f>
        <v/>
      </c>
      <c r="S2345" s="25">
        <f>IF(R2345&lt;=2,"1-2",IF(R2345&lt;=5,"3-5",IF(R2345&lt;=10,"6-10","11+")))</f>
        <v/>
      </c>
    </row>
    <row r="2346">
      <c r="A2346" s="39" t="n">
        <v>46183.16054398148</v>
      </c>
      <c r="B2346" s="25">
        <f>TEXT(A2346,"YYYY-MM")</f>
        <v/>
      </c>
      <c r="C2346" s="25">
        <f>TEXT(A2346,"MMM-YYYY")</f>
        <v/>
      </c>
      <c r="D2346" s="40">
        <f>INT(A2346)-WEEKDAY(A2346,2)+1</f>
        <v/>
      </c>
      <c r="E2346" s="25" t="inlineStr">
        <is>
          <t>aupadhayay</t>
        </is>
      </c>
      <c r="F2346" s="25" t="n">
        <v>122582</v>
      </c>
      <c r="G2346" s="25" t="n">
        <v>4</v>
      </c>
      <c r="H2346" s="25" t="n">
        <v>16</v>
      </c>
      <c r="I2346" s="25" t="inlineStr">
        <is>
          <t>3 minute(s) and 44 second(s)</t>
        </is>
      </c>
      <c r="J2346" s="25">
        <f>IFERROR(VALUE(TRIM(LEFT(I2346,FIND("minute",I2346)-1)))*60,0)+IFERROR(VALUE(SUBSTITUTE(MID(I2346,IFERROR(FIND("and",I2346)+3,1),20),"second(s)","")),0)</f>
        <v/>
      </c>
      <c r="K2346" s="41">
        <f>J2346/60</f>
        <v/>
      </c>
      <c r="L2346" s="41">
        <f>IFERROR(J2346/H2346,"")</f>
        <v/>
      </c>
      <c r="M2346" s="25" t="inlineStr">
        <is>
          <t>2.5.12</t>
        </is>
      </c>
      <c r="N2346" s="25">
        <f>IF(J2346&gt;300,1,0)</f>
        <v/>
      </c>
      <c r="O2346" s="25">
        <f>IF(J2346&gt;600,1,0)</f>
        <v/>
      </c>
      <c r="P2346" s="25">
        <f>IF(H2346&gt;0,J2346,"")</f>
        <v/>
      </c>
      <c r="Q2346" s="25">
        <f>TEXT(A2346,"YYYY-MM-DD HH")</f>
        <v/>
      </c>
      <c r="R2346" s="25">
        <f>COUNTIF($Q$2:$Q$5295,Q2346)</f>
        <v/>
      </c>
      <c r="S2346" s="25">
        <f>IF(R2346&lt;=2,"1-2",IF(R2346&lt;=5,"3-5",IF(R2346&lt;=10,"6-10","11+")))</f>
        <v/>
      </c>
    </row>
    <row r="2347">
      <c r="A2347" s="39" t="n">
        <v>46183.17976851852</v>
      </c>
      <c r="B2347" s="25">
        <f>TEXT(A2347,"YYYY-MM")</f>
        <v/>
      </c>
      <c r="C2347" s="25">
        <f>TEXT(A2347,"MMM-YYYY")</f>
        <v/>
      </c>
      <c r="D2347" s="40">
        <f>INT(A2347)-WEEKDAY(A2347,2)+1</f>
        <v/>
      </c>
      <c r="E2347" s="25" t="inlineStr">
        <is>
          <t>mgupta</t>
        </is>
      </c>
      <c r="F2347" s="25" t="n">
        <v>124092</v>
      </c>
      <c r="G2347" s="25" t="n">
        <v>4</v>
      </c>
      <c r="H2347" s="25" t="n">
        <v>14</v>
      </c>
      <c r="I2347" s="25" t="inlineStr">
        <is>
          <t>4 minute(s) and 42 second(s)</t>
        </is>
      </c>
      <c r="J2347" s="25">
        <f>IFERROR(VALUE(TRIM(LEFT(I2347,FIND("minute",I2347)-1)))*60,0)+IFERROR(VALUE(SUBSTITUTE(MID(I2347,IFERROR(FIND("and",I2347)+3,1),20),"second(s)","")),0)</f>
        <v/>
      </c>
      <c r="K2347" s="41">
        <f>J2347/60</f>
        <v/>
      </c>
      <c r="L2347" s="41">
        <f>IFERROR(J2347/H2347,"")</f>
        <v/>
      </c>
      <c r="M2347" s="25" t="inlineStr">
        <is>
          <t>2.5.12</t>
        </is>
      </c>
      <c r="N2347" s="25">
        <f>IF(J2347&gt;300,1,0)</f>
        <v/>
      </c>
      <c r="O2347" s="25">
        <f>IF(J2347&gt;600,1,0)</f>
        <v/>
      </c>
      <c r="P2347" s="25">
        <f>IF(H2347&gt;0,J2347,"")</f>
        <v/>
      </c>
      <c r="Q2347" s="25">
        <f>TEXT(A2347,"YYYY-MM-DD HH")</f>
        <v/>
      </c>
      <c r="R2347" s="25">
        <f>COUNTIF($Q$2:$Q$5295,Q2347)</f>
        <v/>
      </c>
      <c r="S2347" s="25">
        <f>IF(R2347&lt;=2,"1-2",IF(R2347&lt;=5,"3-5",IF(R2347&lt;=10,"6-10","11+")))</f>
        <v/>
      </c>
    </row>
    <row r="2348">
      <c r="A2348" s="39" t="n">
        <v>46183.18087962963</v>
      </c>
      <c r="B2348" s="25">
        <f>TEXT(A2348,"YYYY-MM")</f>
        <v/>
      </c>
      <c r="C2348" s="25">
        <f>TEXT(A2348,"MMM-YYYY")</f>
        <v/>
      </c>
      <c r="D2348" s="40">
        <f>INT(A2348)-WEEKDAY(A2348,2)+1</f>
        <v/>
      </c>
      <c r="E2348" s="25" t="inlineStr">
        <is>
          <t>sswati</t>
        </is>
      </c>
      <c r="F2348" s="25" t="n">
        <v>124591</v>
      </c>
      <c r="G2348" s="25" t="n">
        <v>2</v>
      </c>
      <c r="H2348" s="25" t="n">
        <v>6</v>
      </c>
      <c r="I2348" s="25" t="inlineStr">
        <is>
          <t>2 minute(s) and 12 second(s)</t>
        </is>
      </c>
      <c r="J2348" s="25">
        <f>IFERROR(VALUE(TRIM(LEFT(I2348,FIND("minute",I2348)-1)))*60,0)+IFERROR(VALUE(SUBSTITUTE(MID(I2348,IFERROR(FIND("and",I2348)+3,1),20),"second(s)","")),0)</f>
        <v/>
      </c>
      <c r="K2348" s="41">
        <f>J2348/60</f>
        <v/>
      </c>
      <c r="L2348" s="41">
        <f>IFERROR(J2348/H2348,"")</f>
        <v/>
      </c>
      <c r="M2348" s="25" t="inlineStr">
        <is>
          <t>2.5.12</t>
        </is>
      </c>
      <c r="N2348" s="25">
        <f>IF(J2348&gt;300,1,0)</f>
        <v/>
      </c>
      <c r="O2348" s="25">
        <f>IF(J2348&gt;600,1,0)</f>
        <v/>
      </c>
      <c r="P2348" s="25">
        <f>IF(H2348&gt;0,J2348,"")</f>
        <v/>
      </c>
      <c r="Q2348" s="25">
        <f>TEXT(A2348,"YYYY-MM-DD HH")</f>
        <v/>
      </c>
      <c r="R2348" s="25">
        <f>COUNTIF($Q$2:$Q$5295,Q2348)</f>
        <v/>
      </c>
      <c r="S2348" s="25">
        <f>IF(R2348&lt;=2,"1-2",IF(R2348&lt;=5,"3-5",IF(R2348&lt;=10,"6-10","11+")))</f>
        <v/>
      </c>
    </row>
    <row r="2349">
      <c r="A2349" s="39" t="n">
        <v>46183.20422453704</v>
      </c>
      <c r="B2349" s="25">
        <f>TEXT(A2349,"YYYY-MM")</f>
        <v/>
      </c>
      <c r="C2349" s="25">
        <f>TEXT(A2349,"MMM-YYYY")</f>
        <v/>
      </c>
      <c r="D2349" s="40">
        <f>INT(A2349)-WEEKDAY(A2349,2)+1</f>
        <v/>
      </c>
      <c r="E2349" s="25" t="inlineStr">
        <is>
          <t>dchoudhury</t>
        </is>
      </c>
      <c r="F2349" s="25" t="n">
        <v>121503</v>
      </c>
      <c r="G2349" s="25" t="n">
        <v>2</v>
      </c>
      <c r="H2349" s="25" t="n">
        <v>8</v>
      </c>
      <c r="I2349" s="25" t="inlineStr">
        <is>
          <t>4 minute(s) and 59 second(s)</t>
        </is>
      </c>
      <c r="J2349" s="25">
        <f>IFERROR(VALUE(TRIM(LEFT(I2349,FIND("minute",I2349)-1)))*60,0)+IFERROR(VALUE(SUBSTITUTE(MID(I2349,IFERROR(FIND("and",I2349)+3,1),20),"second(s)","")),0)</f>
        <v/>
      </c>
      <c r="K2349" s="41">
        <f>J2349/60</f>
        <v/>
      </c>
      <c r="L2349" s="41">
        <f>IFERROR(J2349/H2349,"")</f>
        <v/>
      </c>
      <c r="M2349" s="25" t="inlineStr">
        <is>
          <t>2.5.12</t>
        </is>
      </c>
      <c r="N2349" s="25">
        <f>IF(J2349&gt;300,1,0)</f>
        <v/>
      </c>
      <c r="O2349" s="25">
        <f>IF(J2349&gt;600,1,0)</f>
        <v/>
      </c>
      <c r="P2349" s="25">
        <f>IF(H2349&gt;0,J2349,"")</f>
        <v/>
      </c>
      <c r="Q2349" s="25">
        <f>TEXT(A2349,"YYYY-MM-DD HH")</f>
        <v/>
      </c>
      <c r="R2349" s="25">
        <f>COUNTIF($Q$2:$Q$5295,Q2349)</f>
        <v/>
      </c>
      <c r="S2349" s="25">
        <f>IF(R2349&lt;=2,"1-2",IF(R2349&lt;=5,"3-5",IF(R2349&lt;=10,"6-10","11+")))</f>
        <v/>
      </c>
    </row>
    <row r="2350">
      <c r="A2350" s="39" t="n">
        <v>46183.20454861111</v>
      </c>
      <c r="B2350" s="25">
        <f>TEXT(A2350,"YYYY-MM")</f>
        <v/>
      </c>
      <c r="C2350" s="25">
        <f>TEXT(A2350,"MMM-YYYY")</f>
        <v/>
      </c>
      <c r="D2350" s="40">
        <f>INT(A2350)-WEEKDAY(A2350,2)+1</f>
        <v/>
      </c>
      <c r="E2350" s="25" t="inlineStr">
        <is>
          <t>bverma</t>
        </is>
      </c>
      <c r="F2350" s="25" t="n">
        <v>125578</v>
      </c>
      <c r="G2350" s="25" t="n">
        <v>4</v>
      </c>
      <c r="H2350" s="25" t="n">
        <v>28</v>
      </c>
      <c r="I2350" s="25" t="inlineStr">
        <is>
          <t>14 minute(s) and 9 second(s)</t>
        </is>
      </c>
      <c r="J2350" s="25">
        <f>IFERROR(VALUE(TRIM(LEFT(I2350,FIND("minute",I2350)-1)))*60,0)+IFERROR(VALUE(SUBSTITUTE(MID(I2350,IFERROR(FIND("and",I2350)+3,1),20),"second(s)","")),0)</f>
        <v/>
      </c>
      <c r="K2350" s="41">
        <f>J2350/60</f>
        <v/>
      </c>
      <c r="L2350" s="41">
        <f>IFERROR(J2350/H2350,"")</f>
        <v/>
      </c>
      <c r="M2350" s="25" t="inlineStr">
        <is>
          <t>2.5.12</t>
        </is>
      </c>
      <c r="N2350" s="25">
        <f>IF(J2350&gt;300,1,0)</f>
        <v/>
      </c>
      <c r="O2350" s="25">
        <f>IF(J2350&gt;600,1,0)</f>
        <v/>
      </c>
      <c r="P2350" s="25">
        <f>IF(H2350&gt;0,J2350,"")</f>
        <v/>
      </c>
      <c r="Q2350" s="25">
        <f>TEXT(A2350,"YYYY-MM-DD HH")</f>
        <v/>
      </c>
      <c r="R2350" s="25">
        <f>COUNTIF($Q$2:$Q$5295,Q2350)</f>
        <v/>
      </c>
      <c r="S2350" s="25">
        <f>IF(R2350&lt;=2,"1-2",IF(R2350&lt;=5,"3-5",IF(R2350&lt;=10,"6-10","11+")))</f>
        <v/>
      </c>
    </row>
    <row r="2351">
      <c r="A2351" s="39" t="n">
        <v>46183.2127662037</v>
      </c>
      <c r="B2351" s="25">
        <f>TEXT(A2351,"YYYY-MM")</f>
        <v/>
      </c>
      <c r="C2351" s="25">
        <f>TEXT(A2351,"MMM-YYYY")</f>
        <v/>
      </c>
      <c r="D2351" s="40">
        <f>INT(A2351)-WEEKDAY(A2351,2)+1</f>
        <v/>
      </c>
      <c r="E2351" s="25" t="inlineStr">
        <is>
          <t>ssarkar</t>
        </is>
      </c>
      <c r="F2351" s="25" t="n">
        <v>122976</v>
      </c>
      <c r="G2351" s="25" t="n">
        <v>4</v>
      </c>
      <c r="H2351" s="25" t="n">
        <v>24</v>
      </c>
      <c r="I2351" s="25" t="inlineStr">
        <is>
          <t>9 minute(s) and 42 second(s)</t>
        </is>
      </c>
      <c r="J2351" s="25">
        <f>IFERROR(VALUE(TRIM(LEFT(I2351,FIND("minute",I2351)-1)))*60,0)+IFERROR(VALUE(SUBSTITUTE(MID(I2351,IFERROR(FIND("and",I2351)+3,1),20),"second(s)","")),0)</f>
        <v/>
      </c>
      <c r="K2351" s="41">
        <f>J2351/60</f>
        <v/>
      </c>
      <c r="L2351" s="41">
        <f>IFERROR(J2351/H2351,"")</f>
        <v/>
      </c>
      <c r="M2351" s="25" t="inlineStr">
        <is>
          <t>2.5.12</t>
        </is>
      </c>
      <c r="N2351" s="25">
        <f>IF(J2351&gt;300,1,0)</f>
        <v/>
      </c>
      <c r="O2351" s="25">
        <f>IF(J2351&gt;600,1,0)</f>
        <v/>
      </c>
      <c r="P2351" s="25">
        <f>IF(H2351&gt;0,J2351,"")</f>
        <v/>
      </c>
      <c r="Q2351" s="25">
        <f>TEXT(A2351,"YYYY-MM-DD HH")</f>
        <v/>
      </c>
      <c r="R2351" s="25">
        <f>COUNTIF($Q$2:$Q$5295,Q2351)</f>
        <v/>
      </c>
      <c r="S2351" s="25">
        <f>IF(R2351&lt;=2,"1-2",IF(R2351&lt;=5,"3-5",IF(R2351&lt;=10,"6-10","11+")))</f>
        <v/>
      </c>
    </row>
    <row r="2352">
      <c r="A2352" s="39" t="n">
        <v>46183.22626157408</v>
      </c>
      <c r="B2352" s="25">
        <f>TEXT(A2352,"YYYY-MM")</f>
        <v/>
      </c>
      <c r="C2352" s="25">
        <f>TEXT(A2352,"MMM-YYYY")</f>
        <v/>
      </c>
      <c r="D2352" s="40">
        <f>INT(A2352)-WEEKDAY(A2352,2)+1</f>
        <v/>
      </c>
      <c r="E2352" s="25" t="inlineStr">
        <is>
          <t>rts</t>
        </is>
      </c>
      <c r="F2352" s="25" t="n">
        <v>121142</v>
      </c>
      <c r="G2352" s="25" t="n">
        <v>5</v>
      </c>
      <c r="H2352" s="25" t="n">
        <v>30</v>
      </c>
      <c r="I2352" s="25" t="inlineStr">
        <is>
          <t>12 minute(s) and 2 second(s)</t>
        </is>
      </c>
      <c r="J2352" s="25">
        <f>IFERROR(VALUE(TRIM(LEFT(I2352,FIND("minute",I2352)-1)))*60,0)+IFERROR(VALUE(SUBSTITUTE(MID(I2352,IFERROR(FIND("and",I2352)+3,1),20),"second(s)","")),0)</f>
        <v/>
      </c>
      <c r="K2352" s="41">
        <f>J2352/60</f>
        <v/>
      </c>
      <c r="L2352" s="41">
        <f>IFERROR(J2352/H2352,"")</f>
        <v/>
      </c>
      <c r="M2352" s="25" t="inlineStr">
        <is>
          <t>2.5.12</t>
        </is>
      </c>
      <c r="N2352" s="25">
        <f>IF(J2352&gt;300,1,0)</f>
        <v/>
      </c>
      <c r="O2352" s="25">
        <f>IF(J2352&gt;600,1,0)</f>
        <v/>
      </c>
      <c r="P2352" s="25">
        <f>IF(H2352&gt;0,J2352,"")</f>
        <v/>
      </c>
      <c r="Q2352" s="25">
        <f>TEXT(A2352,"YYYY-MM-DD HH")</f>
        <v/>
      </c>
      <c r="R2352" s="25">
        <f>COUNTIF($Q$2:$Q$5295,Q2352)</f>
        <v/>
      </c>
      <c r="S2352" s="25">
        <f>IF(R2352&lt;=2,"1-2",IF(R2352&lt;=5,"3-5",IF(R2352&lt;=10,"6-10","11+")))</f>
        <v/>
      </c>
    </row>
    <row r="2353">
      <c r="A2353" s="39" t="n">
        <v>46183.23148148148</v>
      </c>
      <c r="B2353" s="25">
        <f>TEXT(A2353,"YYYY-MM")</f>
        <v/>
      </c>
      <c r="C2353" s="25">
        <f>TEXT(A2353,"MMM-YYYY")</f>
        <v/>
      </c>
      <c r="D2353" s="40">
        <f>INT(A2353)-WEEKDAY(A2353,2)+1</f>
        <v/>
      </c>
      <c r="E2353" s="25" t="inlineStr">
        <is>
          <t>ssneha</t>
        </is>
      </c>
      <c r="F2353" s="25" t="n">
        <v>14600</v>
      </c>
      <c r="G2353" s="25" t="n">
        <v>2</v>
      </c>
      <c r="H2353" s="25" t="n">
        <v>10</v>
      </c>
      <c r="I2353" s="25" t="inlineStr">
        <is>
          <t>9 minute(s) and 15 second(s)</t>
        </is>
      </c>
      <c r="J2353" s="25">
        <f>IFERROR(VALUE(TRIM(LEFT(I2353,FIND("minute",I2353)-1)))*60,0)+IFERROR(VALUE(SUBSTITUTE(MID(I2353,IFERROR(FIND("and",I2353)+3,1),20),"second(s)","")),0)</f>
        <v/>
      </c>
      <c r="K2353" s="41">
        <f>J2353/60</f>
        <v/>
      </c>
      <c r="L2353" s="41">
        <f>IFERROR(J2353/H2353,"")</f>
        <v/>
      </c>
      <c r="M2353" s="25" t="inlineStr">
        <is>
          <t>2.5.12</t>
        </is>
      </c>
      <c r="N2353" s="25">
        <f>IF(J2353&gt;300,1,0)</f>
        <v/>
      </c>
      <c r="O2353" s="25">
        <f>IF(J2353&gt;600,1,0)</f>
        <v/>
      </c>
      <c r="P2353" s="25">
        <f>IF(H2353&gt;0,J2353,"")</f>
        <v/>
      </c>
      <c r="Q2353" s="25">
        <f>TEXT(A2353,"YYYY-MM-DD HH")</f>
        <v/>
      </c>
      <c r="R2353" s="25">
        <f>COUNTIF($Q$2:$Q$5295,Q2353)</f>
        <v/>
      </c>
      <c r="S2353" s="25">
        <f>IF(R2353&lt;=2,"1-2",IF(R2353&lt;=5,"3-5",IF(R2353&lt;=10,"6-10","11+")))</f>
        <v/>
      </c>
    </row>
    <row r="2354">
      <c r="A2354" s="39" t="n">
        <v>46183.23201388889</v>
      </c>
      <c r="B2354" s="25">
        <f>TEXT(A2354,"YYYY-MM")</f>
        <v/>
      </c>
      <c r="C2354" s="25">
        <f>TEXT(A2354,"MMM-YYYY")</f>
        <v/>
      </c>
      <c r="D2354" s="40">
        <f>INT(A2354)-WEEKDAY(A2354,2)+1</f>
        <v/>
      </c>
      <c r="E2354" s="25" t="inlineStr">
        <is>
          <t>aupadhayay</t>
        </is>
      </c>
      <c r="F2354" s="25" t="n">
        <v>122581</v>
      </c>
      <c r="G2354" s="25" t="n">
        <v>4</v>
      </c>
      <c r="H2354" s="25" t="n">
        <v>14</v>
      </c>
      <c r="I2354" s="25" t="inlineStr">
        <is>
          <t>5 minute(s) and 8 second(s)</t>
        </is>
      </c>
      <c r="J2354" s="25">
        <f>IFERROR(VALUE(TRIM(LEFT(I2354,FIND("minute",I2354)-1)))*60,0)+IFERROR(VALUE(SUBSTITUTE(MID(I2354,IFERROR(FIND("and",I2354)+3,1),20),"second(s)","")),0)</f>
        <v/>
      </c>
      <c r="K2354" s="41">
        <f>J2354/60</f>
        <v/>
      </c>
      <c r="L2354" s="41">
        <f>IFERROR(J2354/H2354,"")</f>
        <v/>
      </c>
      <c r="M2354" s="25" t="inlineStr">
        <is>
          <t>2.5.12</t>
        </is>
      </c>
      <c r="N2354" s="25">
        <f>IF(J2354&gt;300,1,0)</f>
        <v/>
      </c>
      <c r="O2354" s="25">
        <f>IF(J2354&gt;600,1,0)</f>
        <v/>
      </c>
      <c r="P2354" s="25">
        <f>IF(H2354&gt;0,J2354,"")</f>
        <v/>
      </c>
      <c r="Q2354" s="25">
        <f>TEXT(A2354,"YYYY-MM-DD HH")</f>
        <v/>
      </c>
      <c r="R2354" s="25">
        <f>COUNTIF($Q$2:$Q$5295,Q2354)</f>
        <v/>
      </c>
      <c r="S2354" s="25">
        <f>IF(R2354&lt;=2,"1-2",IF(R2354&lt;=5,"3-5",IF(R2354&lt;=10,"6-10","11+")))</f>
        <v/>
      </c>
    </row>
    <row r="2355">
      <c r="A2355" s="39" t="n">
        <v>46183.23680555556</v>
      </c>
      <c r="B2355" s="25">
        <f>TEXT(A2355,"YYYY-MM")</f>
        <v/>
      </c>
      <c r="C2355" s="25">
        <f>TEXT(A2355,"MMM-YYYY")</f>
        <v/>
      </c>
      <c r="D2355" s="40">
        <f>INT(A2355)-WEEKDAY(A2355,2)+1</f>
        <v/>
      </c>
      <c r="E2355" s="25" t="inlineStr">
        <is>
          <t>aghosh</t>
        </is>
      </c>
      <c r="F2355" s="25" t="n">
        <v>122634</v>
      </c>
      <c r="G2355" s="25" t="n">
        <v>2</v>
      </c>
      <c r="H2355" s="25" t="n">
        <v>10</v>
      </c>
      <c r="I2355" s="25" t="inlineStr">
        <is>
          <t>4 minute(s) and 38 second(s)</t>
        </is>
      </c>
      <c r="J2355" s="25">
        <f>IFERROR(VALUE(TRIM(LEFT(I2355,FIND("minute",I2355)-1)))*60,0)+IFERROR(VALUE(SUBSTITUTE(MID(I2355,IFERROR(FIND("and",I2355)+3,1),20),"second(s)","")),0)</f>
        <v/>
      </c>
      <c r="K2355" s="41">
        <f>J2355/60</f>
        <v/>
      </c>
      <c r="L2355" s="41">
        <f>IFERROR(J2355/H2355,"")</f>
        <v/>
      </c>
      <c r="M2355" s="25" t="inlineStr">
        <is>
          <t>2.5.12</t>
        </is>
      </c>
      <c r="N2355" s="25">
        <f>IF(J2355&gt;300,1,0)</f>
        <v/>
      </c>
      <c r="O2355" s="25">
        <f>IF(J2355&gt;600,1,0)</f>
        <v/>
      </c>
      <c r="P2355" s="25">
        <f>IF(H2355&gt;0,J2355,"")</f>
        <v/>
      </c>
      <c r="Q2355" s="25">
        <f>TEXT(A2355,"YYYY-MM-DD HH")</f>
        <v/>
      </c>
      <c r="R2355" s="25">
        <f>COUNTIF($Q$2:$Q$5295,Q2355)</f>
        <v/>
      </c>
      <c r="S2355" s="25">
        <f>IF(R2355&lt;=2,"1-2",IF(R2355&lt;=5,"3-5",IF(R2355&lt;=10,"6-10","11+")))</f>
        <v/>
      </c>
    </row>
    <row r="2356">
      <c r="A2356" s="39" t="n">
        <v>46183.24194444445</v>
      </c>
      <c r="B2356" s="25">
        <f>TEXT(A2356,"YYYY-MM")</f>
        <v/>
      </c>
      <c r="C2356" s="25">
        <f>TEXT(A2356,"MMM-YYYY")</f>
        <v/>
      </c>
      <c r="D2356" s="40">
        <f>INT(A2356)-WEEKDAY(A2356,2)+1</f>
        <v/>
      </c>
      <c r="E2356" s="25" t="inlineStr">
        <is>
          <t>adey</t>
        </is>
      </c>
      <c r="F2356" s="25" t="n">
        <v>123292</v>
      </c>
      <c r="G2356" s="25" t="n">
        <v>2</v>
      </c>
      <c r="H2356" s="25" t="n">
        <v>10</v>
      </c>
      <c r="I2356" s="25" t="inlineStr">
        <is>
          <t>1 minute(s) and 48 second(s)</t>
        </is>
      </c>
      <c r="J2356" s="25">
        <f>IFERROR(VALUE(TRIM(LEFT(I2356,FIND("minute",I2356)-1)))*60,0)+IFERROR(VALUE(SUBSTITUTE(MID(I2356,IFERROR(FIND("and",I2356)+3,1),20),"second(s)","")),0)</f>
        <v/>
      </c>
      <c r="K2356" s="41">
        <f>J2356/60</f>
        <v/>
      </c>
      <c r="L2356" s="41">
        <f>IFERROR(J2356/H2356,"")</f>
        <v/>
      </c>
      <c r="M2356" s="25" t="inlineStr">
        <is>
          <t>2.5.12</t>
        </is>
      </c>
      <c r="N2356" s="25">
        <f>IF(J2356&gt;300,1,0)</f>
        <v/>
      </c>
      <c r="O2356" s="25">
        <f>IF(J2356&gt;600,1,0)</f>
        <v/>
      </c>
      <c r="P2356" s="25">
        <f>IF(H2356&gt;0,J2356,"")</f>
        <v/>
      </c>
      <c r="Q2356" s="25">
        <f>TEXT(A2356,"YYYY-MM-DD HH")</f>
        <v/>
      </c>
      <c r="R2356" s="25">
        <f>COUNTIF($Q$2:$Q$5295,Q2356)</f>
        <v/>
      </c>
      <c r="S2356" s="25">
        <f>IF(R2356&lt;=2,"1-2",IF(R2356&lt;=5,"3-5",IF(R2356&lt;=10,"6-10","11+")))</f>
        <v/>
      </c>
    </row>
    <row r="2357">
      <c r="A2357" s="39" t="n">
        <v>46183.24283564815</v>
      </c>
      <c r="B2357" s="25">
        <f>TEXT(A2357,"YYYY-MM")</f>
        <v/>
      </c>
      <c r="C2357" s="25">
        <f>TEXT(A2357,"MMM-YYYY")</f>
        <v/>
      </c>
      <c r="D2357" s="40">
        <f>INT(A2357)-WEEKDAY(A2357,2)+1</f>
        <v/>
      </c>
      <c r="E2357" s="25" t="inlineStr">
        <is>
          <t>apriyadarshi</t>
        </is>
      </c>
      <c r="F2357" s="25" t="n">
        <v>122729</v>
      </c>
      <c r="G2357" s="25" t="n">
        <v>1</v>
      </c>
      <c r="H2357" s="25" t="n">
        <v>1</v>
      </c>
      <c r="I2357" s="25" t="inlineStr">
        <is>
          <t>22 second(s)</t>
        </is>
      </c>
      <c r="J2357" s="25">
        <f>IFERROR(VALUE(TRIM(LEFT(I2357,FIND("minute",I2357)-1)))*60,0)+IFERROR(VALUE(SUBSTITUTE(MID(I2357,IFERROR(FIND("and",I2357)+3,1),20),"second(s)","")),0)</f>
        <v/>
      </c>
      <c r="K2357" s="41">
        <f>J2357/60</f>
        <v/>
      </c>
      <c r="L2357" s="41">
        <f>IFERROR(J2357/H2357,"")</f>
        <v/>
      </c>
      <c r="M2357" s="25" t="inlineStr">
        <is>
          <t>2.5.12</t>
        </is>
      </c>
      <c r="N2357" s="25">
        <f>IF(J2357&gt;300,1,0)</f>
        <v/>
      </c>
      <c r="O2357" s="25">
        <f>IF(J2357&gt;600,1,0)</f>
        <v/>
      </c>
      <c r="P2357" s="25">
        <f>IF(H2357&gt;0,J2357,"")</f>
        <v/>
      </c>
      <c r="Q2357" s="25">
        <f>TEXT(A2357,"YYYY-MM-DD HH")</f>
        <v/>
      </c>
      <c r="R2357" s="25">
        <f>COUNTIF($Q$2:$Q$5295,Q2357)</f>
        <v/>
      </c>
      <c r="S2357" s="25">
        <f>IF(R2357&lt;=2,"1-2",IF(R2357&lt;=5,"3-5",IF(R2357&lt;=10,"6-10","11+")))</f>
        <v/>
      </c>
    </row>
    <row r="2358">
      <c r="A2358" s="39" t="n">
        <v>46183.25133101852</v>
      </c>
      <c r="B2358" s="25">
        <f>TEXT(A2358,"YYYY-MM")</f>
        <v/>
      </c>
      <c r="C2358" s="25">
        <f>TEXT(A2358,"MMM-YYYY")</f>
        <v/>
      </c>
      <c r="D2358" s="40">
        <f>INT(A2358)-WEEKDAY(A2358,2)+1</f>
        <v/>
      </c>
      <c r="E2358" s="25" t="inlineStr">
        <is>
          <t>psathwika</t>
        </is>
      </c>
      <c r="F2358" s="25" t="n">
        <v>122765</v>
      </c>
      <c r="G2358" s="25" t="n">
        <v>3</v>
      </c>
      <c r="H2358" s="25" t="n">
        <v>7</v>
      </c>
      <c r="I2358" s="25" t="inlineStr">
        <is>
          <t>2 minute(s) and 12 second(s)</t>
        </is>
      </c>
      <c r="J2358" s="25">
        <f>IFERROR(VALUE(TRIM(LEFT(I2358,FIND("minute",I2358)-1)))*60,0)+IFERROR(VALUE(SUBSTITUTE(MID(I2358,IFERROR(FIND("and",I2358)+3,1),20),"second(s)","")),0)</f>
        <v/>
      </c>
      <c r="K2358" s="41">
        <f>J2358/60</f>
        <v/>
      </c>
      <c r="L2358" s="41">
        <f>IFERROR(J2358/H2358,"")</f>
        <v/>
      </c>
      <c r="M2358" s="25" t="inlineStr">
        <is>
          <t>2.5.12</t>
        </is>
      </c>
      <c r="N2358" s="25">
        <f>IF(J2358&gt;300,1,0)</f>
        <v/>
      </c>
      <c r="O2358" s="25">
        <f>IF(J2358&gt;600,1,0)</f>
        <v/>
      </c>
      <c r="P2358" s="25">
        <f>IF(H2358&gt;0,J2358,"")</f>
        <v/>
      </c>
      <c r="Q2358" s="25">
        <f>TEXT(A2358,"YYYY-MM-DD HH")</f>
        <v/>
      </c>
      <c r="R2358" s="25">
        <f>COUNTIF($Q$2:$Q$5295,Q2358)</f>
        <v/>
      </c>
      <c r="S2358" s="25">
        <f>IF(R2358&lt;=2,"1-2",IF(R2358&lt;=5,"3-5",IF(R2358&lt;=10,"6-10","11+")))</f>
        <v/>
      </c>
    </row>
    <row r="2359">
      <c r="A2359" s="39" t="n">
        <v>46183.25978009259</v>
      </c>
      <c r="B2359" s="25">
        <f>TEXT(A2359,"YYYY-MM")</f>
        <v/>
      </c>
      <c r="C2359" s="25">
        <f>TEXT(A2359,"MMM-YYYY")</f>
        <v/>
      </c>
      <c r="D2359" s="40">
        <f>INT(A2359)-WEEKDAY(A2359,2)+1</f>
        <v/>
      </c>
      <c r="E2359" s="25" t="inlineStr">
        <is>
          <t>ns</t>
        </is>
      </c>
      <c r="F2359" s="25" t="n">
        <v>122935</v>
      </c>
      <c r="G2359" s="25" t="n">
        <v>1</v>
      </c>
      <c r="H2359" s="25" t="n">
        <v>5</v>
      </c>
      <c r="I2359" s="25" t="inlineStr">
        <is>
          <t>2 minute(s) and 31 second(s)</t>
        </is>
      </c>
      <c r="J2359" s="25">
        <f>IFERROR(VALUE(TRIM(LEFT(I2359,FIND("minute",I2359)-1)))*60,0)+IFERROR(VALUE(SUBSTITUTE(MID(I2359,IFERROR(FIND("and",I2359)+3,1),20),"second(s)","")),0)</f>
        <v/>
      </c>
      <c r="K2359" s="41">
        <f>J2359/60</f>
        <v/>
      </c>
      <c r="L2359" s="41">
        <f>IFERROR(J2359/H2359,"")</f>
        <v/>
      </c>
      <c r="M2359" s="25" t="inlineStr">
        <is>
          <t>2.5.12</t>
        </is>
      </c>
      <c r="N2359" s="25">
        <f>IF(J2359&gt;300,1,0)</f>
        <v/>
      </c>
      <c r="O2359" s="25">
        <f>IF(J2359&gt;600,1,0)</f>
        <v/>
      </c>
      <c r="P2359" s="25">
        <f>IF(H2359&gt;0,J2359,"")</f>
        <v/>
      </c>
      <c r="Q2359" s="25">
        <f>TEXT(A2359,"YYYY-MM-DD HH")</f>
        <v/>
      </c>
      <c r="R2359" s="25">
        <f>COUNTIF($Q$2:$Q$5295,Q2359)</f>
        <v/>
      </c>
      <c r="S2359" s="25">
        <f>IF(R2359&lt;=2,"1-2",IF(R2359&lt;=5,"3-5",IF(R2359&lt;=10,"6-10","11+")))</f>
        <v/>
      </c>
    </row>
    <row r="2360">
      <c r="A2360" s="39" t="n">
        <v>46183.26278935185</v>
      </c>
      <c r="B2360" s="25">
        <f>TEXT(A2360,"YYYY-MM")</f>
        <v/>
      </c>
      <c r="C2360" s="25">
        <f>TEXT(A2360,"MMM-YYYY")</f>
        <v/>
      </c>
      <c r="D2360" s="40">
        <f>INT(A2360)-WEEKDAY(A2360,2)+1</f>
        <v/>
      </c>
      <c r="E2360" s="25" t="inlineStr">
        <is>
          <t>stiwari</t>
        </is>
      </c>
      <c r="F2360" s="25" t="n">
        <v>123064</v>
      </c>
      <c r="G2360" s="25" t="n">
        <v>2</v>
      </c>
      <c r="H2360" s="25" t="n">
        <v>12</v>
      </c>
      <c r="I2360" s="25" t="inlineStr">
        <is>
          <t>3 minute(s) and 48 second(s)</t>
        </is>
      </c>
      <c r="J2360" s="25">
        <f>IFERROR(VALUE(TRIM(LEFT(I2360,FIND("minute",I2360)-1)))*60,0)+IFERROR(VALUE(SUBSTITUTE(MID(I2360,IFERROR(FIND("and",I2360)+3,1),20),"second(s)","")),0)</f>
        <v/>
      </c>
      <c r="K2360" s="41">
        <f>J2360/60</f>
        <v/>
      </c>
      <c r="L2360" s="41">
        <f>IFERROR(J2360/H2360,"")</f>
        <v/>
      </c>
      <c r="M2360" s="25" t="inlineStr">
        <is>
          <t>2.5.12</t>
        </is>
      </c>
      <c r="N2360" s="25">
        <f>IF(J2360&gt;300,1,0)</f>
        <v/>
      </c>
      <c r="O2360" s="25">
        <f>IF(J2360&gt;600,1,0)</f>
        <v/>
      </c>
      <c r="P2360" s="25">
        <f>IF(H2360&gt;0,J2360,"")</f>
        <v/>
      </c>
      <c r="Q2360" s="25">
        <f>TEXT(A2360,"YYYY-MM-DD HH")</f>
        <v/>
      </c>
      <c r="R2360" s="25">
        <f>COUNTIF($Q$2:$Q$5295,Q2360)</f>
        <v/>
      </c>
      <c r="S2360" s="25">
        <f>IF(R2360&lt;=2,"1-2",IF(R2360&lt;=5,"3-5",IF(R2360&lt;=10,"6-10","11+")))</f>
        <v/>
      </c>
    </row>
    <row r="2361">
      <c r="A2361" s="39" t="n">
        <v>46183.26766203704</v>
      </c>
      <c r="B2361" s="25">
        <f>TEXT(A2361,"YYYY-MM")</f>
        <v/>
      </c>
      <c r="C2361" s="25">
        <f>TEXT(A2361,"MMM-YYYY")</f>
        <v/>
      </c>
      <c r="D2361" s="40">
        <f>INT(A2361)-WEEKDAY(A2361,2)+1</f>
        <v/>
      </c>
      <c r="E2361" s="25" t="inlineStr">
        <is>
          <t>aupadhayay</t>
        </is>
      </c>
      <c r="F2361" s="25" t="n">
        <v>122580</v>
      </c>
      <c r="G2361" s="25" t="n">
        <v>3</v>
      </c>
      <c r="H2361" s="25" t="n">
        <v>13</v>
      </c>
      <c r="I2361" s="25" t="inlineStr">
        <is>
          <t>4 minute(s) and 11 second(s)</t>
        </is>
      </c>
      <c r="J2361" s="25">
        <f>IFERROR(VALUE(TRIM(LEFT(I2361,FIND("minute",I2361)-1)))*60,0)+IFERROR(VALUE(SUBSTITUTE(MID(I2361,IFERROR(FIND("and",I2361)+3,1),20),"second(s)","")),0)</f>
        <v/>
      </c>
      <c r="K2361" s="41">
        <f>J2361/60</f>
        <v/>
      </c>
      <c r="L2361" s="41">
        <f>IFERROR(J2361/H2361,"")</f>
        <v/>
      </c>
      <c r="M2361" s="25" t="inlineStr">
        <is>
          <t>2.5.12</t>
        </is>
      </c>
      <c r="N2361" s="25">
        <f>IF(J2361&gt;300,1,0)</f>
        <v/>
      </c>
      <c r="O2361" s="25">
        <f>IF(J2361&gt;600,1,0)</f>
        <v/>
      </c>
      <c r="P2361" s="25">
        <f>IF(H2361&gt;0,J2361,"")</f>
        <v/>
      </c>
      <c r="Q2361" s="25">
        <f>TEXT(A2361,"YYYY-MM-DD HH")</f>
        <v/>
      </c>
      <c r="R2361" s="25">
        <f>COUNTIF($Q$2:$Q$5295,Q2361)</f>
        <v/>
      </c>
      <c r="S2361" s="25">
        <f>IF(R2361&lt;=2,"1-2",IF(R2361&lt;=5,"3-5",IF(R2361&lt;=10,"6-10","11+")))</f>
        <v/>
      </c>
    </row>
    <row r="2362">
      <c r="A2362" s="39" t="n">
        <v>46183.27408564815</v>
      </c>
      <c r="B2362" s="25">
        <f>TEXT(A2362,"YYYY-MM")</f>
        <v/>
      </c>
      <c r="C2362" s="25">
        <f>TEXT(A2362,"MMM-YYYY")</f>
        <v/>
      </c>
      <c r="D2362" s="40">
        <f>INT(A2362)-WEEKDAY(A2362,2)+1</f>
        <v/>
      </c>
      <c r="E2362" s="25" t="inlineStr">
        <is>
          <t>mgupta</t>
        </is>
      </c>
      <c r="F2362" s="25" t="n">
        <v>124445</v>
      </c>
      <c r="G2362" s="25" t="n">
        <v>1</v>
      </c>
      <c r="H2362" s="25" t="n">
        <v>6</v>
      </c>
      <c r="I2362" s="25" t="inlineStr">
        <is>
          <t>1 minute(s) and 33 second(s)</t>
        </is>
      </c>
      <c r="J2362" s="25">
        <f>IFERROR(VALUE(TRIM(LEFT(I2362,FIND("minute",I2362)-1)))*60,0)+IFERROR(VALUE(SUBSTITUTE(MID(I2362,IFERROR(FIND("and",I2362)+3,1),20),"second(s)","")),0)</f>
        <v/>
      </c>
      <c r="K2362" s="41">
        <f>J2362/60</f>
        <v/>
      </c>
      <c r="L2362" s="41">
        <f>IFERROR(J2362/H2362,"")</f>
        <v/>
      </c>
      <c r="M2362" s="25" t="inlineStr">
        <is>
          <t>2.5.12</t>
        </is>
      </c>
      <c r="N2362" s="25">
        <f>IF(J2362&gt;300,1,0)</f>
        <v/>
      </c>
      <c r="O2362" s="25">
        <f>IF(J2362&gt;600,1,0)</f>
        <v/>
      </c>
      <c r="P2362" s="25">
        <f>IF(H2362&gt;0,J2362,"")</f>
        <v/>
      </c>
      <c r="Q2362" s="25">
        <f>TEXT(A2362,"YYYY-MM-DD HH")</f>
        <v/>
      </c>
      <c r="R2362" s="25">
        <f>COUNTIF($Q$2:$Q$5295,Q2362)</f>
        <v/>
      </c>
      <c r="S2362" s="25">
        <f>IF(R2362&lt;=2,"1-2",IF(R2362&lt;=5,"3-5",IF(R2362&lt;=10,"6-10","11+")))</f>
        <v/>
      </c>
    </row>
    <row r="2363">
      <c r="A2363" s="39" t="n">
        <v>46183.27643518519</v>
      </c>
      <c r="B2363" s="25">
        <f>TEXT(A2363,"YYYY-MM")</f>
        <v/>
      </c>
      <c r="C2363" s="25">
        <f>TEXT(A2363,"MMM-YYYY")</f>
        <v/>
      </c>
      <c r="D2363" s="40">
        <f>INT(A2363)-WEEKDAY(A2363,2)+1</f>
        <v/>
      </c>
      <c r="E2363" s="25" t="inlineStr">
        <is>
          <t>ssneha</t>
        </is>
      </c>
      <c r="F2363" s="25" t="n">
        <v>20957</v>
      </c>
      <c r="G2363" s="25" t="n">
        <v>1</v>
      </c>
      <c r="H2363" s="25" t="n">
        <v>7</v>
      </c>
      <c r="I2363" s="25" t="inlineStr">
        <is>
          <t>4 minute(s) and 48 second(s)</t>
        </is>
      </c>
      <c r="J2363" s="25">
        <f>IFERROR(VALUE(TRIM(LEFT(I2363,FIND("minute",I2363)-1)))*60,0)+IFERROR(VALUE(SUBSTITUTE(MID(I2363,IFERROR(FIND("and",I2363)+3,1),20),"second(s)","")),0)</f>
        <v/>
      </c>
      <c r="K2363" s="41">
        <f>J2363/60</f>
        <v/>
      </c>
      <c r="L2363" s="41">
        <f>IFERROR(J2363/H2363,"")</f>
        <v/>
      </c>
      <c r="M2363" s="25" t="inlineStr">
        <is>
          <t>2.5.12</t>
        </is>
      </c>
      <c r="N2363" s="25">
        <f>IF(J2363&gt;300,1,0)</f>
        <v/>
      </c>
      <c r="O2363" s="25">
        <f>IF(J2363&gt;600,1,0)</f>
        <v/>
      </c>
      <c r="P2363" s="25">
        <f>IF(H2363&gt;0,J2363,"")</f>
        <v/>
      </c>
      <c r="Q2363" s="25">
        <f>TEXT(A2363,"YYYY-MM-DD HH")</f>
        <v/>
      </c>
      <c r="R2363" s="25">
        <f>COUNTIF($Q$2:$Q$5295,Q2363)</f>
        <v/>
      </c>
      <c r="S2363" s="25">
        <f>IF(R2363&lt;=2,"1-2",IF(R2363&lt;=5,"3-5",IF(R2363&lt;=10,"6-10","11+")))</f>
        <v/>
      </c>
    </row>
    <row r="2364">
      <c r="A2364" s="39" t="n">
        <v>46183.27684027778</v>
      </c>
      <c r="B2364" s="25">
        <f>TEXT(A2364,"YYYY-MM")</f>
        <v/>
      </c>
      <c r="C2364" s="25">
        <f>TEXT(A2364,"MMM-YYYY")</f>
        <v/>
      </c>
      <c r="D2364" s="40">
        <f>INT(A2364)-WEEKDAY(A2364,2)+1</f>
        <v/>
      </c>
      <c r="E2364" s="25" t="inlineStr">
        <is>
          <t>apriyadarshi</t>
        </is>
      </c>
      <c r="F2364" s="25" t="n">
        <v>122725</v>
      </c>
      <c r="G2364" s="25" t="n">
        <v>3</v>
      </c>
      <c r="H2364" s="25" t="n">
        <v>12</v>
      </c>
      <c r="I2364" s="25" t="inlineStr">
        <is>
          <t>2 minute(s) and 16 second(s)</t>
        </is>
      </c>
      <c r="J2364" s="25">
        <f>IFERROR(VALUE(TRIM(LEFT(I2364,FIND("minute",I2364)-1)))*60,0)+IFERROR(VALUE(SUBSTITUTE(MID(I2364,IFERROR(FIND("and",I2364)+3,1),20),"second(s)","")),0)</f>
        <v/>
      </c>
      <c r="K2364" s="41">
        <f>J2364/60</f>
        <v/>
      </c>
      <c r="L2364" s="41">
        <f>IFERROR(J2364/H2364,"")</f>
        <v/>
      </c>
      <c r="M2364" s="25" t="inlineStr">
        <is>
          <t>2.5.12</t>
        </is>
      </c>
      <c r="N2364" s="25">
        <f>IF(J2364&gt;300,1,0)</f>
        <v/>
      </c>
      <c r="O2364" s="25">
        <f>IF(J2364&gt;600,1,0)</f>
        <v/>
      </c>
      <c r="P2364" s="25">
        <f>IF(H2364&gt;0,J2364,"")</f>
        <v/>
      </c>
      <c r="Q2364" s="25">
        <f>TEXT(A2364,"YYYY-MM-DD HH")</f>
        <v/>
      </c>
      <c r="R2364" s="25">
        <f>COUNTIF($Q$2:$Q$5295,Q2364)</f>
        <v/>
      </c>
      <c r="S2364" s="25">
        <f>IF(R2364&lt;=2,"1-2",IF(R2364&lt;=5,"3-5",IF(R2364&lt;=10,"6-10","11+")))</f>
        <v/>
      </c>
    </row>
    <row r="2365">
      <c r="A2365" s="39" t="n">
        <v>46183.27962962963</v>
      </c>
      <c r="B2365" s="25">
        <f>TEXT(A2365,"YYYY-MM")</f>
        <v/>
      </c>
      <c r="C2365" s="25">
        <f>TEXT(A2365,"MMM-YYYY")</f>
        <v/>
      </c>
      <c r="D2365" s="40">
        <f>INT(A2365)-WEEKDAY(A2365,2)+1</f>
        <v/>
      </c>
      <c r="E2365" s="25" t="inlineStr">
        <is>
          <t>csaha</t>
        </is>
      </c>
      <c r="F2365" s="25" t="n">
        <v>122353</v>
      </c>
      <c r="G2365" s="25" t="n">
        <v>4</v>
      </c>
      <c r="H2365" s="25" t="n">
        <v>20</v>
      </c>
      <c r="I2365" s="25" t="inlineStr">
        <is>
          <t>4 minute(s) and 28 second(s)</t>
        </is>
      </c>
      <c r="J2365" s="25">
        <f>IFERROR(VALUE(TRIM(LEFT(I2365,FIND("minute",I2365)-1)))*60,0)+IFERROR(VALUE(SUBSTITUTE(MID(I2365,IFERROR(FIND("and",I2365)+3,1),20),"second(s)","")),0)</f>
        <v/>
      </c>
      <c r="K2365" s="41">
        <f>J2365/60</f>
        <v/>
      </c>
      <c r="L2365" s="41">
        <f>IFERROR(J2365/H2365,"")</f>
        <v/>
      </c>
      <c r="M2365" s="25" t="inlineStr">
        <is>
          <t>2.5.12</t>
        </is>
      </c>
      <c r="N2365" s="25">
        <f>IF(J2365&gt;300,1,0)</f>
        <v/>
      </c>
      <c r="O2365" s="25">
        <f>IF(J2365&gt;600,1,0)</f>
        <v/>
      </c>
      <c r="P2365" s="25">
        <f>IF(H2365&gt;0,J2365,"")</f>
        <v/>
      </c>
      <c r="Q2365" s="25">
        <f>TEXT(A2365,"YYYY-MM-DD HH")</f>
        <v/>
      </c>
      <c r="R2365" s="25">
        <f>COUNTIF($Q$2:$Q$5295,Q2365)</f>
        <v/>
      </c>
      <c r="S2365" s="25">
        <f>IF(R2365&lt;=2,"1-2",IF(R2365&lt;=5,"3-5",IF(R2365&lt;=10,"6-10","11+")))</f>
        <v/>
      </c>
    </row>
    <row r="2366">
      <c r="A2366" s="39" t="n">
        <v>46183.28375</v>
      </c>
      <c r="B2366" s="25">
        <f>TEXT(A2366,"YYYY-MM")</f>
        <v/>
      </c>
      <c r="C2366" s="25">
        <f>TEXT(A2366,"MMM-YYYY")</f>
        <v/>
      </c>
      <c r="D2366" s="40">
        <f>INT(A2366)-WEEKDAY(A2366,2)+1</f>
        <v/>
      </c>
      <c r="E2366" s="25" t="inlineStr">
        <is>
          <t>mgupta</t>
        </is>
      </c>
      <c r="F2366" s="25" t="n">
        <v>124445</v>
      </c>
      <c r="G2366" s="25" t="n">
        <v>1</v>
      </c>
      <c r="H2366" s="25" t="n">
        <v>5</v>
      </c>
      <c r="I2366" s="25" t="inlineStr">
        <is>
          <t>1 minute(s) and 19 second(s)</t>
        </is>
      </c>
      <c r="J2366" s="25">
        <f>IFERROR(VALUE(TRIM(LEFT(I2366,FIND("minute",I2366)-1)))*60,0)+IFERROR(VALUE(SUBSTITUTE(MID(I2366,IFERROR(FIND("and",I2366)+3,1),20),"second(s)","")),0)</f>
        <v/>
      </c>
      <c r="K2366" s="41">
        <f>J2366/60</f>
        <v/>
      </c>
      <c r="L2366" s="41">
        <f>IFERROR(J2366/H2366,"")</f>
        <v/>
      </c>
      <c r="M2366" s="25" t="inlineStr">
        <is>
          <t>2.5.12</t>
        </is>
      </c>
      <c r="N2366" s="25">
        <f>IF(J2366&gt;300,1,0)</f>
        <v/>
      </c>
      <c r="O2366" s="25">
        <f>IF(J2366&gt;600,1,0)</f>
        <v/>
      </c>
      <c r="P2366" s="25">
        <f>IF(H2366&gt;0,J2366,"")</f>
        <v/>
      </c>
      <c r="Q2366" s="25">
        <f>TEXT(A2366,"YYYY-MM-DD HH")</f>
        <v/>
      </c>
      <c r="R2366" s="25">
        <f>COUNTIF($Q$2:$Q$5295,Q2366)</f>
        <v/>
      </c>
      <c r="S2366" s="25">
        <f>IF(R2366&lt;=2,"1-2",IF(R2366&lt;=5,"3-5",IF(R2366&lt;=10,"6-10","11+")))</f>
        <v/>
      </c>
    </row>
    <row r="2367">
      <c r="A2367" s="39" t="n">
        <v>46183.30478009259</v>
      </c>
      <c r="B2367" s="25">
        <f>TEXT(A2367,"YYYY-MM")</f>
        <v/>
      </c>
      <c r="C2367" s="25">
        <f>TEXT(A2367,"MMM-YYYY")</f>
        <v/>
      </c>
      <c r="D2367" s="40">
        <f>INT(A2367)-WEEKDAY(A2367,2)+1</f>
        <v/>
      </c>
      <c r="E2367" s="25" t="inlineStr">
        <is>
          <t>bverma</t>
        </is>
      </c>
      <c r="F2367" s="25" t="n">
        <v>126018</v>
      </c>
      <c r="G2367" s="25" t="n">
        <v>4</v>
      </c>
      <c r="H2367" s="25" t="n">
        <v>28</v>
      </c>
      <c r="I2367" s="25" t="inlineStr">
        <is>
          <t>17 minute(s) and 24 second(s)</t>
        </is>
      </c>
      <c r="J2367" s="25">
        <f>IFERROR(VALUE(TRIM(LEFT(I2367,FIND("minute",I2367)-1)))*60,0)+IFERROR(VALUE(SUBSTITUTE(MID(I2367,IFERROR(FIND("and",I2367)+3,1),20),"second(s)","")),0)</f>
        <v/>
      </c>
      <c r="K2367" s="41">
        <f>J2367/60</f>
        <v/>
      </c>
      <c r="L2367" s="41">
        <f>IFERROR(J2367/H2367,"")</f>
        <v/>
      </c>
      <c r="M2367" s="25" t="inlineStr">
        <is>
          <t>2.5.12</t>
        </is>
      </c>
      <c r="N2367" s="25">
        <f>IF(J2367&gt;300,1,0)</f>
        <v/>
      </c>
      <c r="O2367" s="25">
        <f>IF(J2367&gt;600,1,0)</f>
        <v/>
      </c>
      <c r="P2367" s="25">
        <f>IF(H2367&gt;0,J2367,"")</f>
        <v/>
      </c>
      <c r="Q2367" s="25">
        <f>TEXT(A2367,"YYYY-MM-DD HH")</f>
        <v/>
      </c>
      <c r="R2367" s="25">
        <f>COUNTIF($Q$2:$Q$5295,Q2367)</f>
        <v/>
      </c>
      <c r="S2367" s="25">
        <f>IF(R2367&lt;=2,"1-2",IF(R2367&lt;=5,"3-5",IF(R2367&lt;=10,"6-10","11+")))</f>
        <v/>
      </c>
    </row>
    <row r="2368">
      <c r="A2368" s="39" t="n">
        <v>46183.30567129629</v>
      </c>
      <c r="B2368" s="25">
        <f>TEXT(A2368,"YYYY-MM")</f>
        <v/>
      </c>
      <c r="C2368" s="25">
        <f>TEXT(A2368,"MMM-YYYY")</f>
        <v/>
      </c>
      <c r="D2368" s="40">
        <f>INT(A2368)-WEEKDAY(A2368,2)+1</f>
        <v/>
      </c>
      <c r="E2368" s="25" t="inlineStr">
        <is>
          <t>dchoudhury</t>
        </is>
      </c>
      <c r="F2368" s="25" t="n">
        <v>121504</v>
      </c>
      <c r="G2368" s="25" t="n">
        <v>3</v>
      </c>
      <c r="H2368" s="25" t="n">
        <v>11</v>
      </c>
      <c r="I2368" s="25" t="inlineStr">
        <is>
          <t>4 minute(s) and 0 second(s)</t>
        </is>
      </c>
      <c r="J2368" s="25">
        <f>IFERROR(VALUE(TRIM(LEFT(I2368,FIND("minute",I2368)-1)))*60,0)+IFERROR(VALUE(SUBSTITUTE(MID(I2368,IFERROR(FIND("and",I2368)+3,1),20),"second(s)","")),0)</f>
        <v/>
      </c>
      <c r="K2368" s="41">
        <f>J2368/60</f>
        <v/>
      </c>
      <c r="L2368" s="41">
        <f>IFERROR(J2368/H2368,"")</f>
        <v/>
      </c>
      <c r="M2368" s="25" t="inlineStr">
        <is>
          <t>2.5.12</t>
        </is>
      </c>
      <c r="N2368" s="25">
        <f>IF(J2368&gt;300,1,0)</f>
        <v/>
      </c>
      <c r="O2368" s="25">
        <f>IF(J2368&gt;600,1,0)</f>
        <v/>
      </c>
      <c r="P2368" s="25">
        <f>IF(H2368&gt;0,J2368,"")</f>
        <v/>
      </c>
      <c r="Q2368" s="25">
        <f>TEXT(A2368,"YYYY-MM-DD HH")</f>
        <v/>
      </c>
      <c r="R2368" s="25">
        <f>COUNTIF($Q$2:$Q$5295,Q2368)</f>
        <v/>
      </c>
      <c r="S2368" s="25">
        <f>IF(R2368&lt;=2,"1-2",IF(R2368&lt;=5,"3-5",IF(R2368&lt;=10,"6-10","11+")))</f>
        <v/>
      </c>
    </row>
    <row r="2369">
      <c r="A2369" s="39" t="n">
        <v>46183.30621527778</v>
      </c>
      <c r="B2369" s="25">
        <f>TEXT(A2369,"YYYY-MM")</f>
        <v/>
      </c>
      <c r="C2369" s="25">
        <f>TEXT(A2369,"MMM-YYYY")</f>
        <v/>
      </c>
      <c r="D2369" s="40">
        <f>INT(A2369)-WEEKDAY(A2369,2)+1</f>
        <v/>
      </c>
      <c r="E2369" s="25" t="inlineStr">
        <is>
          <t>ssneha</t>
        </is>
      </c>
      <c r="F2369" s="25" t="n">
        <v>122510</v>
      </c>
      <c r="G2369" s="25" t="n">
        <v>2</v>
      </c>
      <c r="H2369" s="25" t="n">
        <v>6</v>
      </c>
      <c r="I2369" s="25" t="inlineStr">
        <is>
          <t>4 minute(s) and 33 second(s)</t>
        </is>
      </c>
      <c r="J2369" s="25">
        <f>IFERROR(VALUE(TRIM(LEFT(I2369,FIND("minute",I2369)-1)))*60,0)+IFERROR(VALUE(SUBSTITUTE(MID(I2369,IFERROR(FIND("and",I2369)+3,1),20),"second(s)","")),0)</f>
        <v/>
      </c>
      <c r="K2369" s="41">
        <f>J2369/60</f>
        <v/>
      </c>
      <c r="L2369" s="41">
        <f>IFERROR(J2369/H2369,"")</f>
        <v/>
      </c>
      <c r="M2369" s="25" t="inlineStr">
        <is>
          <t>2.5.12</t>
        </is>
      </c>
      <c r="N2369" s="25">
        <f>IF(J2369&gt;300,1,0)</f>
        <v/>
      </c>
      <c r="O2369" s="25">
        <f>IF(J2369&gt;600,1,0)</f>
        <v/>
      </c>
      <c r="P2369" s="25">
        <f>IF(H2369&gt;0,J2369,"")</f>
        <v/>
      </c>
      <c r="Q2369" s="25">
        <f>TEXT(A2369,"YYYY-MM-DD HH")</f>
        <v/>
      </c>
      <c r="R2369" s="25">
        <f>COUNTIF($Q$2:$Q$5295,Q2369)</f>
        <v/>
      </c>
      <c r="S2369" s="25">
        <f>IF(R2369&lt;=2,"1-2",IF(R2369&lt;=5,"3-5",IF(R2369&lt;=10,"6-10","11+")))</f>
        <v/>
      </c>
    </row>
    <row r="2370">
      <c r="A2370" s="39" t="n">
        <v>46183.31096064814</v>
      </c>
      <c r="B2370" s="25">
        <f>TEXT(A2370,"YYYY-MM")</f>
        <v/>
      </c>
      <c r="C2370" s="25">
        <f>TEXT(A2370,"MMM-YYYY")</f>
        <v/>
      </c>
      <c r="D2370" s="40">
        <f>INT(A2370)-WEEKDAY(A2370,2)+1</f>
        <v/>
      </c>
      <c r="E2370" s="25" t="inlineStr">
        <is>
          <t>ethomas</t>
        </is>
      </c>
      <c r="F2370" s="25" t="n">
        <v>122405</v>
      </c>
      <c r="G2370" s="25" t="n">
        <v>1</v>
      </c>
      <c r="H2370" s="25" t="n">
        <v>5</v>
      </c>
      <c r="I2370" s="25" t="inlineStr">
        <is>
          <t>2 minute(s) and 25 second(s)</t>
        </is>
      </c>
      <c r="J2370" s="25">
        <f>IFERROR(VALUE(TRIM(LEFT(I2370,FIND("minute",I2370)-1)))*60,0)+IFERROR(VALUE(SUBSTITUTE(MID(I2370,IFERROR(FIND("and",I2370)+3,1),20),"second(s)","")),0)</f>
        <v/>
      </c>
      <c r="K2370" s="41">
        <f>J2370/60</f>
        <v/>
      </c>
      <c r="L2370" s="41">
        <f>IFERROR(J2370/H2370,"")</f>
        <v/>
      </c>
      <c r="M2370" s="25" t="inlineStr">
        <is>
          <t>2.5.12</t>
        </is>
      </c>
      <c r="N2370" s="25">
        <f>IF(J2370&gt;300,1,0)</f>
        <v/>
      </c>
      <c r="O2370" s="25">
        <f>IF(J2370&gt;600,1,0)</f>
        <v/>
      </c>
      <c r="P2370" s="25">
        <f>IF(H2370&gt;0,J2370,"")</f>
        <v/>
      </c>
      <c r="Q2370" s="25">
        <f>TEXT(A2370,"YYYY-MM-DD HH")</f>
        <v/>
      </c>
      <c r="R2370" s="25">
        <f>COUNTIF($Q$2:$Q$5295,Q2370)</f>
        <v/>
      </c>
      <c r="S2370" s="25">
        <f>IF(R2370&lt;=2,"1-2",IF(R2370&lt;=5,"3-5",IF(R2370&lt;=10,"6-10","11+")))</f>
        <v/>
      </c>
    </row>
    <row r="2371">
      <c r="A2371" s="39" t="n">
        <v>46183.31108796296</v>
      </c>
      <c r="B2371" s="25">
        <f>TEXT(A2371,"YYYY-MM")</f>
        <v/>
      </c>
      <c r="C2371" s="25">
        <f>TEXT(A2371,"MMM-YYYY")</f>
        <v/>
      </c>
      <c r="D2371" s="40">
        <f>INT(A2371)-WEEKDAY(A2371,2)+1</f>
        <v/>
      </c>
      <c r="E2371" s="25" t="inlineStr">
        <is>
          <t>psathwika</t>
        </is>
      </c>
      <c r="F2371" s="25" t="n">
        <v>122768</v>
      </c>
      <c r="G2371" s="25" t="n">
        <v>1</v>
      </c>
      <c r="H2371" s="25" t="n">
        <v>5</v>
      </c>
      <c r="I2371" s="25" t="inlineStr">
        <is>
          <t>1 minute(s) and 17 second(s)</t>
        </is>
      </c>
      <c r="J2371" s="25">
        <f>IFERROR(VALUE(TRIM(LEFT(I2371,FIND("minute",I2371)-1)))*60,0)+IFERROR(VALUE(SUBSTITUTE(MID(I2371,IFERROR(FIND("and",I2371)+3,1),20),"second(s)","")),0)</f>
        <v/>
      </c>
      <c r="K2371" s="41">
        <f>J2371/60</f>
        <v/>
      </c>
      <c r="L2371" s="41">
        <f>IFERROR(J2371/H2371,"")</f>
        <v/>
      </c>
      <c r="M2371" s="25" t="inlineStr">
        <is>
          <t>2.5.12</t>
        </is>
      </c>
      <c r="N2371" s="25">
        <f>IF(J2371&gt;300,1,0)</f>
        <v/>
      </c>
      <c r="O2371" s="25">
        <f>IF(J2371&gt;600,1,0)</f>
        <v/>
      </c>
      <c r="P2371" s="25">
        <f>IF(H2371&gt;0,J2371,"")</f>
        <v/>
      </c>
      <c r="Q2371" s="25">
        <f>TEXT(A2371,"YYYY-MM-DD HH")</f>
        <v/>
      </c>
      <c r="R2371" s="25">
        <f>COUNTIF($Q$2:$Q$5295,Q2371)</f>
        <v/>
      </c>
      <c r="S2371" s="25">
        <f>IF(R2371&lt;=2,"1-2",IF(R2371&lt;=5,"3-5",IF(R2371&lt;=10,"6-10","11+")))</f>
        <v/>
      </c>
    </row>
    <row r="2372">
      <c r="A2372" s="39" t="n">
        <v>46183.31350694445</v>
      </c>
      <c r="B2372" s="25">
        <f>TEXT(A2372,"YYYY-MM")</f>
        <v/>
      </c>
      <c r="C2372" s="25">
        <f>TEXT(A2372,"MMM-YYYY")</f>
        <v/>
      </c>
      <c r="D2372" s="40">
        <f>INT(A2372)-WEEKDAY(A2372,2)+1</f>
        <v/>
      </c>
      <c r="E2372" s="25" t="inlineStr">
        <is>
          <t>atiwari</t>
        </is>
      </c>
      <c r="F2372" s="25" t="n">
        <v>122746</v>
      </c>
      <c r="G2372" s="25" t="n">
        <v>4</v>
      </c>
      <c r="H2372" s="25" t="n">
        <v>14</v>
      </c>
      <c r="I2372" s="25" t="inlineStr">
        <is>
          <t>3 minute(s) and 35 second(s)</t>
        </is>
      </c>
      <c r="J2372" s="25">
        <f>IFERROR(VALUE(TRIM(LEFT(I2372,FIND("minute",I2372)-1)))*60,0)+IFERROR(VALUE(SUBSTITUTE(MID(I2372,IFERROR(FIND("and",I2372)+3,1),20),"second(s)","")),0)</f>
        <v/>
      </c>
      <c r="K2372" s="41">
        <f>J2372/60</f>
        <v/>
      </c>
      <c r="L2372" s="41">
        <f>IFERROR(J2372/H2372,"")</f>
        <v/>
      </c>
      <c r="M2372" s="25" t="inlineStr">
        <is>
          <t>2.5.12</t>
        </is>
      </c>
      <c r="N2372" s="25">
        <f>IF(J2372&gt;300,1,0)</f>
        <v/>
      </c>
      <c r="O2372" s="25">
        <f>IF(J2372&gt;600,1,0)</f>
        <v/>
      </c>
      <c r="P2372" s="25">
        <f>IF(H2372&gt;0,J2372,"")</f>
        <v/>
      </c>
      <c r="Q2372" s="25">
        <f>TEXT(A2372,"YYYY-MM-DD HH")</f>
        <v/>
      </c>
      <c r="R2372" s="25">
        <f>COUNTIF($Q$2:$Q$5295,Q2372)</f>
        <v/>
      </c>
      <c r="S2372" s="25">
        <f>IF(R2372&lt;=2,"1-2",IF(R2372&lt;=5,"3-5",IF(R2372&lt;=10,"6-10","11+")))</f>
        <v/>
      </c>
    </row>
    <row r="2373">
      <c r="A2373" s="39" t="n">
        <v>46183.32258101852</v>
      </c>
      <c r="B2373" s="25">
        <f>TEXT(A2373,"YYYY-MM")</f>
        <v/>
      </c>
      <c r="C2373" s="25">
        <f>TEXT(A2373,"MMM-YYYY")</f>
        <v/>
      </c>
      <c r="D2373" s="40">
        <f>INT(A2373)-WEEKDAY(A2373,2)+1</f>
        <v/>
      </c>
      <c r="E2373" s="25" t="inlineStr">
        <is>
          <t>adey</t>
        </is>
      </c>
      <c r="F2373" s="25" t="n">
        <v>122797</v>
      </c>
      <c r="G2373" s="25" t="n">
        <v>2</v>
      </c>
      <c r="H2373" s="25" t="n">
        <v>10</v>
      </c>
      <c r="I2373" s="25" t="inlineStr">
        <is>
          <t>2 minute(s) and 4 second(s)</t>
        </is>
      </c>
      <c r="J2373" s="25">
        <f>IFERROR(VALUE(TRIM(LEFT(I2373,FIND("minute",I2373)-1)))*60,0)+IFERROR(VALUE(SUBSTITUTE(MID(I2373,IFERROR(FIND("and",I2373)+3,1),20),"second(s)","")),0)</f>
        <v/>
      </c>
      <c r="K2373" s="41">
        <f>J2373/60</f>
        <v/>
      </c>
      <c r="L2373" s="41">
        <f>IFERROR(J2373/H2373,"")</f>
        <v/>
      </c>
      <c r="M2373" s="25" t="inlineStr">
        <is>
          <t>2.5.12</t>
        </is>
      </c>
      <c r="N2373" s="25">
        <f>IF(J2373&gt;300,1,0)</f>
        <v/>
      </c>
      <c r="O2373" s="25">
        <f>IF(J2373&gt;600,1,0)</f>
        <v/>
      </c>
      <c r="P2373" s="25">
        <f>IF(H2373&gt;0,J2373,"")</f>
        <v/>
      </c>
      <c r="Q2373" s="25">
        <f>TEXT(A2373,"YYYY-MM-DD HH")</f>
        <v/>
      </c>
      <c r="R2373" s="25">
        <f>COUNTIF($Q$2:$Q$5295,Q2373)</f>
        <v/>
      </c>
      <c r="S2373" s="25">
        <f>IF(R2373&lt;=2,"1-2",IF(R2373&lt;=5,"3-5",IF(R2373&lt;=10,"6-10","11+")))</f>
        <v/>
      </c>
    </row>
    <row r="2374">
      <c r="A2374" s="39" t="n">
        <v>46183.32709490741</v>
      </c>
      <c r="B2374" s="25">
        <f>TEXT(A2374,"YYYY-MM")</f>
        <v/>
      </c>
      <c r="C2374" s="25">
        <f>TEXT(A2374,"MMM-YYYY")</f>
        <v/>
      </c>
      <c r="D2374" s="40">
        <f>INT(A2374)-WEEKDAY(A2374,2)+1</f>
        <v/>
      </c>
      <c r="E2374" s="25" t="inlineStr">
        <is>
          <t>sswati</t>
        </is>
      </c>
      <c r="F2374" s="25" t="n">
        <v>123082</v>
      </c>
      <c r="G2374" s="25" t="n">
        <v>3</v>
      </c>
      <c r="H2374" s="25" t="n">
        <v>21</v>
      </c>
      <c r="I2374" s="25" t="inlineStr">
        <is>
          <t>8 minute(s) and 25 second(s)</t>
        </is>
      </c>
      <c r="J2374" s="25">
        <f>IFERROR(VALUE(TRIM(LEFT(I2374,FIND("minute",I2374)-1)))*60,0)+IFERROR(VALUE(SUBSTITUTE(MID(I2374,IFERROR(FIND("and",I2374)+3,1),20),"second(s)","")),0)</f>
        <v/>
      </c>
      <c r="K2374" s="41">
        <f>J2374/60</f>
        <v/>
      </c>
      <c r="L2374" s="41">
        <f>IFERROR(J2374/H2374,"")</f>
        <v/>
      </c>
      <c r="M2374" s="25" t="inlineStr">
        <is>
          <t>2.5.12</t>
        </is>
      </c>
      <c r="N2374" s="25">
        <f>IF(J2374&gt;300,1,0)</f>
        <v/>
      </c>
      <c r="O2374" s="25">
        <f>IF(J2374&gt;600,1,0)</f>
        <v/>
      </c>
      <c r="P2374" s="25">
        <f>IF(H2374&gt;0,J2374,"")</f>
        <v/>
      </c>
      <c r="Q2374" s="25">
        <f>TEXT(A2374,"YYYY-MM-DD HH")</f>
        <v/>
      </c>
      <c r="R2374" s="25">
        <f>COUNTIF($Q$2:$Q$5295,Q2374)</f>
        <v/>
      </c>
      <c r="S2374" s="25">
        <f>IF(R2374&lt;=2,"1-2",IF(R2374&lt;=5,"3-5",IF(R2374&lt;=10,"6-10","11+")))</f>
        <v/>
      </c>
    </row>
    <row r="2375">
      <c r="A2375" s="39" t="n">
        <v>46183.32846064815</v>
      </c>
      <c r="B2375" s="25">
        <f>TEXT(A2375,"YYYY-MM")</f>
        <v/>
      </c>
      <c r="C2375" s="25">
        <f>TEXT(A2375,"MMM-YYYY")</f>
        <v/>
      </c>
      <c r="D2375" s="40">
        <f>INT(A2375)-WEEKDAY(A2375,2)+1</f>
        <v/>
      </c>
      <c r="E2375" s="25" t="inlineStr">
        <is>
          <t>mgupta</t>
        </is>
      </c>
      <c r="F2375" s="25" t="n">
        <v>124226</v>
      </c>
      <c r="G2375" s="25" t="n">
        <v>3</v>
      </c>
      <c r="H2375" s="25" t="n">
        <v>11</v>
      </c>
      <c r="I2375" s="25" t="inlineStr">
        <is>
          <t>1 minute(s) and 57 second(s)</t>
        </is>
      </c>
      <c r="J2375" s="25">
        <f>IFERROR(VALUE(TRIM(LEFT(I2375,FIND("minute",I2375)-1)))*60,0)+IFERROR(VALUE(SUBSTITUTE(MID(I2375,IFERROR(FIND("and",I2375)+3,1),20),"second(s)","")),0)</f>
        <v/>
      </c>
      <c r="K2375" s="41">
        <f>J2375/60</f>
        <v/>
      </c>
      <c r="L2375" s="41">
        <f>IFERROR(J2375/H2375,"")</f>
        <v/>
      </c>
      <c r="M2375" s="25" t="inlineStr">
        <is>
          <t>2.5.12</t>
        </is>
      </c>
      <c r="N2375" s="25">
        <f>IF(J2375&gt;300,1,0)</f>
        <v/>
      </c>
      <c r="O2375" s="25">
        <f>IF(J2375&gt;600,1,0)</f>
        <v/>
      </c>
      <c r="P2375" s="25">
        <f>IF(H2375&gt;0,J2375,"")</f>
        <v/>
      </c>
      <c r="Q2375" s="25">
        <f>TEXT(A2375,"YYYY-MM-DD HH")</f>
        <v/>
      </c>
      <c r="R2375" s="25">
        <f>COUNTIF($Q$2:$Q$5295,Q2375)</f>
        <v/>
      </c>
      <c r="S2375" s="25">
        <f>IF(R2375&lt;=2,"1-2",IF(R2375&lt;=5,"3-5",IF(R2375&lt;=10,"6-10","11+")))</f>
        <v/>
      </c>
    </row>
    <row r="2376">
      <c r="A2376" s="39" t="n">
        <v>46183.34175925926</v>
      </c>
      <c r="B2376" s="25">
        <f>TEXT(A2376,"YYYY-MM")</f>
        <v/>
      </c>
      <c r="C2376" s="25">
        <f>TEXT(A2376,"MMM-YYYY")</f>
        <v/>
      </c>
      <c r="D2376" s="40">
        <f>INT(A2376)-WEEKDAY(A2376,2)+1</f>
        <v/>
      </c>
      <c r="E2376" s="25" t="inlineStr">
        <is>
          <t>psathwika</t>
        </is>
      </c>
      <c r="F2376" s="25" t="n">
        <v>122767</v>
      </c>
      <c r="G2376" s="25" t="n">
        <v>1</v>
      </c>
      <c r="H2376" s="25" t="n">
        <v>7</v>
      </c>
      <c r="I2376" s="25" t="inlineStr">
        <is>
          <t>3 minute(s) and 18 second(s)</t>
        </is>
      </c>
      <c r="J2376" s="25">
        <f>IFERROR(VALUE(TRIM(LEFT(I2376,FIND("minute",I2376)-1)))*60,0)+IFERROR(VALUE(SUBSTITUTE(MID(I2376,IFERROR(FIND("and",I2376)+3,1),20),"second(s)","")),0)</f>
        <v/>
      </c>
      <c r="K2376" s="41">
        <f>J2376/60</f>
        <v/>
      </c>
      <c r="L2376" s="41">
        <f>IFERROR(J2376/H2376,"")</f>
        <v/>
      </c>
      <c r="M2376" s="25" t="inlineStr">
        <is>
          <t>2.5.12</t>
        </is>
      </c>
      <c r="N2376" s="25">
        <f>IF(J2376&gt;300,1,0)</f>
        <v/>
      </c>
      <c r="O2376" s="25">
        <f>IF(J2376&gt;600,1,0)</f>
        <v/>
      </c>
      <c r="P2376" s="25">
        <f>IF(H2376&gt;0,J2376,"")</f>
        <v/>
      </c>
      <c r="Q2376" s="25">
        <f>TEXT(A2376,"YYYY-MM-DD HH")</f>
        <v/>
      </c>
      <c r="R2376" s="25">
        <f>COUNTIF($Q$2:$Q$5295,Q2376)</f>
        <v/>
      </c>
      <c r="S2376" s="25">
        <f>IF(R2376&lt;=2,"1-2",IF(R2376&lt;=5,"3-5",IF(R2376&lt;=10,"6-10","11+")))</f>
        <v/>
      </c>
    </row>
    <row r="2377">
      <c r="A2377" s="39" t="n">
        <v>46183.34868055556</v>
      </c>
      <c r="B2377" s="25">
        <f>TEXT(A2377,"YYYY-MM")</f>
        <v/>
      </c>
      <c r="C2377" s="25">
        <f>TEXT(A2377,"MMM-YYYY")</f>
        <v/>
      </c>
      <c r="D2377" s="40">
        <f>INT(A2377)-WEEKDAY(A2377,2)+1</f>
        <v/>
      </c>
      <c r="E2377" s="25" t="inlineStr">
        <is>
          <t>csaha</t>
        </is>
      </c>
      <c r="F2377" s="25" t="n">
        <v>122364</v>
      </c>
      <c r="G2377" s="25" t="n">
        <v>1</v>
      </c>
      <c r="H2377" s="25" t="n">
        <v>5</v>
      </c>
      <c r="I2377" s="25" t="inlineStr">
        <is>
          <t>1 minute(s) and 15 second(s)</t>
        </is>
      </c>
      <c r="J2377" s="25">
        <f>IFERROR(VALUE(TRIM(LEFT(I2377,FIND("minute",I2377)-1)))*60,0)+IFERROR(VALUE(SUBSTITUTE(MID(I2377,IFERROR(FIND("and",I2377)+3,1),20),"second(s)","")),0)</f>
        <v/>
      </c>
      <c r="K2377" s="41">
        <f>J2377/60</f>
        <v/>
      </c>
      <c r="L2377" s="41">
        <f>IFERROR(J2377/H2377,"")</f>
        <v/>
      </c>
      <c r="M2377" s="25" t="inlineStr">
        <is>
          <t>2.5.12</t>
        </is>
      </c>
      <c r="N2377" s="25">
        <f>IF(J2377&gt;300,1,0)</f>
        <v/>
      </c>
      <c r="O2377" s="25">
        <f>IF(J2377&gt;600,1,0)</f>
        <v/>
      </c>
      <c r="P2377" s="25">
        <f>IF(H2377&gt;0,J2377,"")</f>
        <v/>
      </c>
      <c r="Q2377" s="25">
        <f>TEXT(A2377,"YYYY-MM-DD HH")</f>
        <v/>
      </c>
      <c r="R2377" s="25">
        <f>COUNTIF($Q$2:$Q$5295,Q2377)</f>
        <v/>
      </c>
      <c r="S2377" s="25">
        <f>IF(R2377&lt;=2,"1-2",IF(R2377&lt;=5,"3-5",IF(R2377&lt;=10,"6-10","11+")))</f>
        <v/>
      </c>
    </row>
    <row r="2378">
      <c r="A2378" s="39" t="n">
        <v>46183.36130787037</v>
      </c>
      <c r="B2378" s="25">
        <f>TEXT(A2378,"YYYY-MM")</f>
        <v/>
      </c>
      <c r="C2378" s="25">
        <f>TEXT(A2378,"MMM-YYYY")</f>
        <v/>
      </c>
      <c r="D2378" s="40">
        <f>INT(A2378)-WEEKDAY(A2378,2)+1</f>
        <v/>
      </c>
      <c r="E2378" s="25" t="inlineStr">
        <is>
          <t>pmehndiratta</t>
        </is>
      </c>
      <c r="F2378" s="25" t="n">
        <v>121778</v>
      </c>
      <c r="G2378" s="25" t="n">
        <v>3</v>
      </c>
      <c r="H2378" s="25" t="n">
        <v>17</v>
      </c>
      <c r="I2378" s="25" t="inlineStr">
        <is>
          <t>2 minute(s) and 57 second(s)</t>
        </is>
      </c>
      <c r="J2378" s="25">
        <f>IFERROR(VALUE(TRIM(LEFT(I2378,FIND("minute",I2378)-1)))*60,0)+IFERROR(VALUE(SUBSTITUTE(MID(I2378,IFERROR(FIND("and",I2378)+3,1),20),"second(s)","")),0)</f>
        <v/>
      </c>
      <c r="K2378" s="41">
        <f>J2378/60</f>
        <v/>
      </c>
      <c r="L2378" s="41">
        <f>IFERROR(J2378/H2378,"")</f>
        <v/>
      </c>
      <c r="M2378" s="25" t="inlineStr">
        <is>
          <t>2.5.12</t>
        </is>
      </c>
      <c r="N2378" s="25">
        <f>IF(J2378&gt;300,1,0)</f>
        <v/>
      </c>
      <c r="O2378" s="25">
        <f>IF(J2378&gt;600,1,0)</f>
        <v/>
      </c>
      <c r="P2378" s="25">
        <f>IF(H2378&gt;0,J2378,"")</f>
        <v/>
      </c>
      <c r="Q2378" s="25">
        <f>TEXT(A2378,"YYYY-MM-DD HH")</f>
        <v/>
      </c>
      <c r="R2378" s="25">
        <f>COUNTIF($Q$2:$Q$5295,Q2378)</f>
        <v/>
      </c>
      <c r="S2378" s="25">
        <f>IF(R2378&lt;=2,"1-2",IF(R2378&lt;=5,"3-5",IF(R2378&lt;=10,"6-10","11+")))</f>
        <v/>
      </c>
    </row>
    <row r="2379">
      <c r="A2379" s="39" t="n">
        <v>46183.36583333334</v>
      </c>
      <c r="B2379" s="25">
        <f>TEXT(A2379,"YYYY-MM")</f>
        <v/>
      </c>
      <c r="C2379" s="25">
        <f>TEXT(A2379,"MMM-YYYY")</f>
        <v/>
      </c>
      <c r="D2379" s="40">
        <f>INT(A2379)-WEEKDAY(A2379,2)+1</f>
        <v/>
      </c>
      <c r="E2379" s="25" t="inlineStr">
        <is>
          <t>psathwika</t>
        </is>
      </c>
      <c r="F2379" s="25" t="n">
        <v>122757</v>
      </c>
      <c r="G2379" s="25" t="n">
        <v>1</v>
      </c>
      <c r="H2379" s="25" t="n">
        <v>5</v>
      </c>
      <c r="I2379" s="25" t="inlineStr">
        <is>
          <t>2 minute(s) and 52 second(s)</t>
        </is>
      </c>
      <c r="J2379" s="25">
        <f>IFERROR(VALUE(TRIM(LEFT(I2379,FIND("minute",I2379)-1)))*60,0)+IFERROR(VALUE(SUBSTITUTE(MID(I2379,IFERROR(FIND("and",I2379)+3,1),20),"second(s)","")),0)</f>
        <v/>
      </c>
      <c r="K2379" s="41">
        <f>J2379/60</f>
        <v/>
      </c>
      <c r="L2379" s="41">
        <f>IFERROR(J2379/H2379,"")</f>
        <v/>
      </c>
      <c r="M2379" s="25" t="inlineStr">
        <is>
          <t>2.5.12</t>
        </is>
      </c>
      <c r="N2379" s="25">
        <f>IF(J2379&gt;300,1,0)</f>
        <v/>
      </c>
      <c r="O2379" s="25">
        <f>IF(J2379&gt;600,1,0)</f>
        <v/>
      </c>
      <c r="P2379" s="25">
        <f>IF(H2379&gt;0,J2379,"")</f>
        <v/>
      </c>
      <c r="Q2379" s="25">
        <f>TEXT(A2379,"YYYY-MM-DD HH")</f>
        <v/>
      </c>
      <c r="R2379" s="25">
        <f>COUNTIF($Q$2:$Q$5295,Q2379)</f>
        <v/>
      </c>
      <c r="S2379" s="25">
        <f>IF(R2379&lt;=2,"1-2",IF(R2379&lt;=5,"3-5",IF(R2379&lt;=10,"6-10","11+")))</f>
        <v/>
      </c>
    </row>
    <row r="2380">
      <c r="A2380" s="39" t="n">
        <v>46183.37053240741</v>
      </c>
      <c r="B2380" s="25">
        <f>TEXT(A2380,"YYYY-MM")</f>
        <v/>
      </c>
      <c r="C2380" s="25">
        <f>TEXT(A2380,"MMM-YYYY")</f>
        <v/>
      </c>
      <c r="D2380" s="40">
        <f>INT(A2380)-WEEKDAY(A2380,2)+1</f>
        <v/>
      </c>
      <c r="E2380" s="25" t="inlineStr">
        <is>
          <t>stiwari</t>
        </is>
      </c>
      <c r="F2380" s="25" t="n">
        <v>123058</v>
      </c>
      <c r="G2380" s="25" t="n">
        <v>3</v>
      </c>
      <c r="H2380" s="25" t="n">
        <v>22</v>
      </c>
      <c r="I2380" s="25" t="inlineStr">
        <is>
          <t>5 minute(s) and 12 second(s)</t>
        </is>
      </c>
      <c r="J2380" s="25">
        <f>IFERROR(VALUE(TRIM(LEFT(I2380,FIND("minute",I2380)-1)))*60,0)+IFERROR(VALUE(SUBSTITUTE(MID(I2380,IFERROR(FIND("and",I2380)+3,1),20),"second(s)","")),0)</f>
        <v/>
      </c>
      <c r="K2380" s="41">
        <f>J2380/60</f>
        <v/>
      </c>
      <c r="L2380" s="41">
        <f>IFERROR(J2380/H2380,"")</f>
        <v/>
      </c>
      <c r="M2380" s="25" t="inlineStr">
        <is>
          <t>2.5.12</t>
        </is>
      </c>
      <c r="N2380" s="25">
        <f>IF(J2380&gt;300,1,0)</f>
        <v/>
      </c>
      <c r="O2380" s="25">
        <f>IF(J2380&gt;600,1,0)</f>
        <v/>
      </c>
      <c r="P2380" s="25">
        <f>IF(H2380&gt;0,J2380,"")</f>
        <v/>
      </c>
      <c r="Q2380" s="25">
        <f>TEXT(A2380,"YYYY-MM-DD HH")</f>
        <v/>
      </c>
      <c r="R2380" s="25">
        <f>COUNTIF($Q$2:$Q$5295,Q2380)</f>
        <v/>
      </c>
      <c r="S2380" s="25">
        <f>IF(R2380&lt;=2,"1-2",IF(R2380&lt;=5,"3-5",IF(R2380&lt;=10,"6-10","11+")))</f>
        <v/>
      </c>
    </row>
    <row r="2381">
      <c r="A2381" s="39" t="n">
        <v>46183.37483796296</v>
      </c>
      <c r="B2381" s="25">
        <f>TEXT(A2381,"YYYY-MM")</f>
        <v/>
      </c>
      <c r="C2381" s="25">
        <f>TEXT(A2381,"MMM-YYYY")</f>
        <v/>
      </c>
      <c r="D2381" s="40">
        <f>INT(A2381)-WEEKDAY(A2381,2)+1</f>
        <v/>
      </c>
      <c r="E2381" s="25" t="inlineStr">
        <is>
          <t>ethomas</t>
        </is>
      </c>
      <c r="F2381" s="25" t="n">
        <v>122412</v>
      </c>
      <c r="G2381" s="25" t="n">
        <v>2</v>
      </c>
      <c r="H2381" s="25" t="n">
        <v>10</v>
      </c>
      <c r="I2381" s="25" t="inlineStr">
        <is>
          <t>2 minute(s) and 58 second(s)</t>
        </is>
      </c>
      <c r="J2381" s="25">
        <f>IFERROR(VALUE(TRIM(LEFT(I2381,FIND("minute",I2381)-1)))*60,0)+IFERROR(VALUE(SUBSTITUTE(MID(I2381,IFERROR(FIND("and",I2381)+3,1),20),"second(s)","")),0)</f>
        <v/>
      </c>
      <c r="K2381" s="41">
        <f>J2381/60</f>
        <v/>
      </c>
      <c r="L2381" s="41">
        <f>IFERROR(J2381/H2381,"")</f>
        <v/>
      </c>
      <c r="M2381" s="25" t="inlineStr">
        <is>
          <t>2.5.12</t>
        </is>
      </c>
      <c r="N2381" s="25">
        <f>IF(J2381&gt;300,1,0)</f>
        <v/>
      </c>
      <c r="O2381" s="25">
        <f>IF(J2381&gt;600,1,0)</f>
        <v/>
      </c>
      <c r="P2381" s="25">
        <f>IF(H2381&gt;0,J2381,"")</f>
        <v/>
      </c>
      <c r="Q2381" s="25">
        <f>TEXT(A2381,"YYYY-MM-DD HH")</f>
        <v/>
      </c>
      <c r="R2381" s="25">
        <f>COUNTIF($Q$2:$Q$5295,Q2381)</f>
        <v/>
      </c>
      <c r="S2381" s="25">
        <f>IF(R2381&lt;=2,"1-2",IF(R2381&lt;=5,"3-5",IF(R2381&lt;=10,"6-10","11+")))</f>
        <v/>
      </c>
    </row>
    <row r="2382">
      <c r="A2382" s="39" t="n">
        <v>46183.37659722222</v>
      </c>
      <c r="B2382" s="25">
        <f>TEXT(A2382,"YYYY-MM")</f>
        <v/>
      </c>
      <c r="C2382" s="25">
        <f>TEXT(A2382,"MMM-YYYY")</f>
        <v/>
      </c>
      <c r="D2382" s="40">
        <f>INT(A2382)-WEEKDAY(A2382,2)+1</f>
        <v/>
      </c>
      <c r="E2382" s="25" t="inlineStr">
        <is>
          <t>ns</t>
        </is>
      </c>
      <c r="F2382" s="25" t="n">
        <v>122933</v>
      </c>
      <c r="G2382" s="25" t="n">
        <v>1</v>
      </c>
      <c r="H2382" s="25" t="n">
        <v>5</v>
      </c>
      <c r="I2382" s="25" t="inlineStr">
        <is>
          <t>1 minute(s) and 28 second(s)</t>
        </is>
      </c>
      <c r="J2382" s="25">
        <f>IFERROR(VALUE(TRIM(LEFT(I2382,FIND("minute",I2382)-1)))*60,0)+IFERROR(VALUE(SUBSTITUTE(MID(I2382,IFERROR(FIND("and",I2382)+3,1),20),"second(s)","")),0)</f>
        <v/>
      </c>
      <c r="K2382" s="41">
        <f>J2382/60</f>
        <v/>
      </c>
      <c r="L2382" s="41">
        <f>IFERROR(J2382/H2382,"")</f>
        <v/>
      </c>
      <c r="M2382" s="25" t="inlineStr">
        <is>
          <t>2.5.12</t>
        </is>
      </c>
      <c r="N2382" s="25">
        <f>IF(J2382&gt;300,1,0)</f>
        <v/>
      </c>
      <c r="O2382" s="25">
        <f>IF(J2382&gt;600,1,0)</f>
        <v/>
      </c>
      <c r="P2382" s="25">
        <f>IF(H2382&gt;0,J2382,"")</f>
        <v/>
      </c>
      <c r="Q2382" s="25">
        <f>TEXT(A2382,"YYYY-MM-DD HH")</f>
        <v/>
      </c>
      <c r="R2382" s="25">
        <f>COUNTIF($Q$2:$Q$5295,Q2382)</f>
        <v/>
      </c>
      <c r="S2382" s="25">
        <f>IF(R2382&lt;=2,"1-2",IF(R2382&lt;=5,"3-5",IF(R2382&lt;=10,"6-10","11+")))</f>
        <v/>
      </c>
    </row>
    <row r="2383">
      <c r="A2383" s="39" t="n">
        <v>46183.38555555556</v>
      </c>
      <c r="B2383" s="25">
        <f>TEXT(A2383,"YYYY-MM")</f>
        <v/>
      </c>
      <c r="C2383" s="25">
        <f>TEXT(A2383,"MMM-YYYY")</f>
        <v/>
      </c>
      <c r="D2383" s="40">
        <f>INT(A2383)-WEEKDAY(A2383,2)+1</f>
        <v/>
      </c>
      <c r="E2383" s="25" t="inlineStr">
        <is>
          <t>apriyadarshi</t>
        </is>
      </c>
      <c r="F2383" s="25" t="n">
        <v>122726</v>
      </c>
      <c r="G2383" s="25" t="n">
        <v>4</v>
      </c>
      <c r="H2383" s="25" t="n">
        <v>12</v>
      </c>
      <c r="I2383" s="25" t="inlineStr">
        <is>
          <t>2 minute(s) and 56 second(s)</t>
        </is>
      </c>
      <c r="J2383" s="25">
        <f>IFERROR(VALUE(TRIM(LEFT(I2383,FIND("minute",I2383)-1)))*60,0)+IFERROR(VALUE(SUBSTITUTE(MID(I2383,IFERROR(FIND("and",I2383)+3,1),20),"second(s)","")),0)</f>
        <v/>
      </c>
      <c r="K2383" s="41">
        <f>J2383/60</f>
        <v/>
      </c>
      <c r="L2383" s="41">
        <f>IFERROR(J2383/H2383,"")</f>
        <v/>
      </c>
      <c r="M2383" s="25" t="inlineStr">
        <is>
          <t>2.5.12</t>
        </is>
      </c>
      <c r="N2383" s="25">
        <f>IF(J2383&gt;300,1,0)</f>
        <v/>
      </c>
      <c r="O2383" s="25">
        <f>IF(J2383&gt;600,1,0)</f>
        <v/>
      </c>
      <c r="P2383" s="25">
        <f>IF(H2383&gt;0,J2383,"")</f>
        <v/>
      </c>
      <c r="Q2383" s="25">
        <f>TEXT(A2383,"YYYY-MM-DD HH")</f>
        <v/>
      </c>
      <c r="R2383" s="25">
        <f>COUNTIF($Q$2:$Q$5295,Q2383)</f>
        <v/>
      </c>
      <c r="S2383" s="25">
        <f>IF(R2383&lt;=2,"1-2",IF(R2383&lt;=5,"3-5",IF(R2383&lt;=10,"6-10","11+")))</f>
        <v/>
      </c>
    </row>
    <row r="2384">
      <c r="A2384" s="39" t="n">
        <v>46183.53038194445</v>
      </c>
      <c r="B2384" s="25">
        <f>TEXT(A2384,"YYYY-MM")</f>
        <v/>
      </c>
      <c r="C2384" s="25">
        <f>TEXT(A2384,"MMM-YYYY")</f>
        <v/>
      </c>
      <c r="D2384" s="40">
        <f>INT(A2384)-WEEKDAY(A2384,2)+1</f>
        <v/>
      </c>
      <c r="E2384" s="25" t="inlineStr">
        <is>
          <t>sdey</t>
        </is>
      </c>
      <c r="F2384" s="25" t="n">
        <v>123583</v>
      </c>
      <c r="G2384" s="25" t="n">
        <v>1</v>
      </c>
      <c r="H2384" s="25" t="n">
        <v>5</v>
      </c>
      <c r="I2384" s="25" t="inlineStr">
        <is>
          <t>56 second(s)</t>
        </is>
      </c>
      <c r="J2384" s="25">
        <f>IFERROR(VALUE(TRIM(LEFT(I2384,FIND("minute",I2384)-1)))*60,0)+IFERROR(VALUE(SUBSTITUTE(MID(I2384,IFERROR(FIND("and",I2384)+3,1),20),"second(s)","")),0)</f>
        <v/>
      </c>
      <c r="K2384" s="41">
        <f>J2384/60</f>
        <v/>
      </c>
      <c r="L2384" s="41">
        <f>IFERROR(J2384/H2384,"")</f>
        <v/>
      </c>
      <c r="M2384" s="25" t="inlineStr">
        <is>
          <t>2.5.12</t>
        </is>
      </c>
      <c r="N2384" s="25">
        <f>IF(J2384&gt;300,1,0)</f>
        <v/>
      </c>
      <c r="O2384" s="25">
        <f>IF(J2384&gt;600,1,0)</f>
        <v/>
      </c>
      <c r="P2384" s="25">
        <f>IF(H2384&gt;0,J2384,"")</f>
        <v/>
      </c>
      <c r="Q2384" s="25">
        <f>TEXT(A2384,"YYYY-MM-DD HH")</f>
        <v/>
      </c>
      <c r="R2384" s="25">
        <f>COUNTIF($Q$2:$Q$5295,Q2384)</f>
        <v/>
      </c>
      <c r="S2384" s="25">
        <f>IF(R2384&lt;=2,"1-2",IF(R2384&lt;=5,"3-5",IF(R2384&lt;=10,"6-10","11+")))</f>
        <v/>
      </c>
    </row>
    <row r="2385">
      <c r="A2385" s="39" t="n">
        <v>46183.58145833333</v>
      </c>
      <c r="B2385" s="25">
        <f>TEXT(A2385,"YYYY-MM")</f>
        <v/>
      </c>
      <c r="C2385" s="25">
        <f>TEXT(A2385,"MMM-YYYY")</f>
        <v/>
      </c>
      <c r="D2385" s="40">
        <f>INT(A2385)-WEEKDAY(A2385,2)+1</f>
        <v/>
      </c>
      <c r="E2385" s="25" t="inlineStr">
        <is>
          <t>rsingh</t>
        </is>
      </c>
      <c r="F2385" s="25" t="n">
        <v>121908</v>
      </c>
      <c r="G2385" s="25" t="n">
        <v>2</v>
      </c>
      <c r="H2385" s="25" t="n">
        <v>12</v>
      </c>
      <c r="I2385" s="25" t="inlineStr">
        <is>
          <t>7 minute(s) and 21 second(s)</t>
        </is>
      </c>
      <c r="J2385" s="25">
        <f>IFERROR(VALUE(TRIM(LEFT(I2385,FIND("minute",I2385)-1)))*60,0)+IFERROR(VALUE(SUBSTITUTE(MID(I2385,IFERROR(FIND("and",I2385)+3,1),20),"second(s)","")),0)</f>
        <v/>
      </c>
      <c r="K2385" s="41">
        <f>J2385/60</f>
        <v/>
      </c>
      <c r="L2385" s="41">
        <f>IFERROR(J2385/H2385,"")</f>
        <v/>
      </c>
      <c r="M2385" s="25" t="inlineStr">
        <is>
          <t>2.5.12</t>
        </is>
      </c>
      <c r="N2385" s="25">
        <f>IF(J2385&gt;300,1,0)</f>
        <v/>
      </c>
      <c r="O2385" s="25">
        <f>IF(J2385&gt;600,1,0)</f>
        <v/>
      </c>
      <c r="P2385" s="25">
        <f>IF(H2385&gt;0,J2385,"")</f>
        <v/>
      </c>
      <c r="Q2385" s="25">
        <f>TEXT(A2385,"YYYY-MM-DD HH")</f>
        <v/>
      </c>
      <c r="R2385" s="25">
        <f>COUNTIF($Q$2:$Q$5295,Q2385)</f>
        <v/>
      </c>
      <c r="S2385" s="25">
        <f>IF(R2385&lt;=2,"1-2",IF(R2385&lt;=5,"3-5",IF(R2385&lt;=10,"6-10","11+")))</f>
        <v/>
      </c>
    </row>
    <row r="2386">
      <c r="A2386" s="39" t="n">
        <v>46183.68758101852</v>
      </c>
      <c r="B2386" s="25">
        <f>TEXT(A2386,"YYYY-MM")</f>
        <v/>
      </c>
      <c r="C2386" s="25">
        <f>TEXT(A2386,"MMM-YYYY")</f>
        <v/>
      </c>
      <c r="D2386" s="40">
        <f>INT(A2386)-WEEKDAY(A2386,2)+1</f>
        <v/>
      </c>
      <c r="E2386" s="25" t="inlineStr">
        <is>
          <t>rsingh</t>
        </is>
      </c>
      <c r="F2386" s="25" t="n">
        <v>122612</v>
      </c>
      <c r="G2386" s="25" t="n">
        <v>2</v>
      </c>
      <c r="H2386" s="25" t="n">
        <v>8</v>
      </c>
      <c r="I2386" s="25" t="inlineStr">
        <is>
          <t>3 minute(s) and 51 second(s)</t>
        </is>
      </c>
      <c r="J2386" s="25">
        <f>IFERROR(VALUE(TRIM(LEFT(I2386,FIND("minute",I2386)-1)))*60,0)+IFERROR(VALUE(SUBSTITUTE(MID(I2386,IFERROR(FIND("and",I2386)+3,1),20),"second(s)","")),0)</f>
        <v/>
      </c>
      <c r="K2386" s="41">
        <f>J2386/60</f>
        <v/>
      </c>
      <c r="L2386" s="41">
        <f>IFERROR(J2386/H2386,"")</f>
        <v/>
      </c>
      <c r="M2386" s="25" t="inlineStr">
        <is>
          <t>2.5.12</t>
        </is>
      </c>
      <c r="N2386" s="25">
        <f>IF(J2386&gt;300,1,0)</f>
        <v/>
      </c>
      <c r="O2386" s="25">
        <f>IF(J2386&gt;600,1,0)</f>
        <v/>
      </c>
      <c r="P2386" s="25">
        <f>IF(H2386&gt;0,J2386,"")</f>
        <v/>
      </c>
      <c r="Q2386" s="25">
        <f>TEXT(A2386,"YYYY-MM-DD HH")</f>
        <v/>
      </c>
      <c r="R2386" s="25">
        <f>COUNTIF($Q$2:$Q$5295,Q2386)</f>
        <v/>
      </c>
      <c r="S2386" s="25">
        <f>IF(R2386&lt;=2,"1-2",IF(R2386&lt;=5,"3-5",IF(R2386&lt;=10,"6-10","11+")))</f>
        <v/>
      </c>
    </row>
    <row r="2387">
      <c r="A2387" s="39" t="n">
        <v>46183.78481481481</v>
      </c>
      <c r="B2387" s="25">
        <f>TEXT(A2387,"YYYY-MM")</f>
        <v/>
      </c>
      <c r="C2387" s="25">
        <f>TEXT(A2387,"MMM-YYYY")</f>
        <v/>
      </c>
      <c r="D2387" s="40">
        <f>INT(A2387)-WEEKDAY(A2387,2)+1</f>
        <v/>
      </c>
      <c r="E2387" s="25" t="inlineStr">
        <is>
          <t>ssaha</t>
        </is>
      </c>
      <c r="F2387" s="25" t="n">
        <v>1</v>
      </c>
      <c r="G2387" s="25" t="n">
        <v>1</v>
      </c>
      <c r="H2387" s="25" t="n">
        <v>5</v>
      </c>
      <c r="I2387" s="25" t="inlineStr">
        <is>
          <t>2 minute(s) and 27 second(s)</t>
        </is>
      </c>
      <c r="J2387" s="25">
        <f>IFERROR(VALUE(TRIM(LEFT(I2387,FIND("minute",I2387)-1)))*60,0)+IFERROR(VALUE(SUBSTITUTE(MID(I2387,IFERROR(FIND("and",I2387)+3,1),20),"second(s)","")),0)</f>
        <v/>
      </c>
      <c r="K2387" s="41">
        <f>J2387/60</f>
        <v/>
      </c>
      <c r="L2387" s="41">
        <f>IFERROR(J2387/H2387,"")</f>
        <v/>
      </c>
      <c r="M2387" s="25" t="inlineStr">
        <is>
          <t>2.5.12</t>
        </is>
      </c>
      <c r="N2387" s="25">
        <f>IF(J2387&gt;300,1,0)</f>
        <v/>
      </c>
      <c r="O2387" s="25">
        <f>IF(J2387&gt;600,1,0)</f>
        <v/>
      </c>
      <c r="P2387" s="25">
        <f>IF(H2387&gt;0,J2387,"")</f>
        <v/>
      </c>
      <c r="Q2387" s="25">
        <f>TEXT(A2387,"YYYY-MM-DD HH")</f>
        <v/>
      </c>
      <c r="R2387" s="25">
        <f>COUNTIF($Q$2:$Q$5295,Q2387)</f>
        <v/>
      </c>
      <c r="S2387" s="25">
        <f>IF(R2387&lt;=2,"1-2",IF(R2387&lt;=5,"3-5",IF(R2387&lt;=10,"6-10","11+")))</f>
        <v/>
      </c>
    </row>
    <row r="2388">
      <c r="A2388" s="39" t="n">
        <v>46183.80256944444</v>
      </c>
      <c r="B2388" s="25">
        <f>TEXT(A2388,"YYYY-MM")</f>
        <v/>
      </c>
      <c r="C2388" s="25">
        <f>TEXT(A2388,"MMM-YYYY")</f>
        <v/>
      </c>
      <c r="D2388" s="40">
        <f>INT(A2388)-WEEKDAY(A2388,2)+1</f>
        <v/>
      </c>
      <c r="E2388" s="25" t="inlineStr">
        <is>
          <t>ssaha</t>
        </is>
      </c>
      <c r="F2388" s="25" t="n">
        <v>1</v>
      </c>
      <c r="G2388" s="25" t="n">
        <v>1</v>
      </c>
      <c r="H2388" s="25" t="n">
        <v>5</v>
      </c>
      <c r="I2388" s="25" t="inlineStr">
        <is>
          <t>1 minute(s) and 36 second(s)</t>
        </is>
      </c>
      <c r="J2388" s="25">
        <f>IFERROR(VALUE(TRIM(LEFT(I2388,FIND("minute",I2388)-1)))*60,0)+IFERROR(VALUE(SUBSTITUTE(MID(I2388,IFERROR(FIND("and",I2388)+3,1),20),"second(s)","")),0)</f>
        <v/>
      </c>
      <c r="K2388" s="41">
        <f>J2388/60</f>
        <v/>
      </c>
      <c r="L2388" s="41">
        <f>IFERROR(J2388/H2388,"")</f>
        <v/>
      </c>
      <c r="M2388" s="25" t="inlineStr">
        <is>
          <t>2.5.12</t>
        </is>
      </c>
      <c r="N2388" s="25">
        <f>IF(J2388&gt;300,1,0)</f>
        <v/>
      </c>
      <c r="O2388" s="25">
        <f>IF(J2388&gt;600,1,0)</f>
        <v/>
      </c>
      <c r="P2388" s="25">
        <f>IF(H2388&gt;0,J2388,"")</f>
        <v/>
      </c>
      <c r="Q2388" s="25">
        <f>TEXT(A2388,"YYYY-MM-DD HH")</f>
        <v/>
      </c>
      <c r="R2388" s="25">
        <f>COUNTIF($Q$2:$Q$5295,Q2388)</f>
        <v/>
      </c>
      <c r="S2388" s="25">
        <f>IF(R2388&lt;=2,"1-2",IF(R2388&lt;=5,"3-5",IF(R2388&lt;=10,"6-10","11+")))</f>
        <v/>
      </c>
    </row>
    <row r="2389">
      <c r="A2389" s="39" t="n">
        <v>46183.91702546296</v>
      </c>
      <c r="B2389" s="25">
        <f>TEXT(A2389,"YYYY-MM")</f>
        <v/>
      </c>
      <c r="C2389" s="25">
        <f>TEXT(A2389,"MMM-YYYY")</f>
        <v/>
      </c>
      <c r="D2389" s="40">
        <f>INT(A2389)-WEEKDAY(A2389,2)+1</f>
        <v/>
      </c>
      <c r="E2389" s="25" t="inlineStr">
        <is>
          <t>sswati</t>
        </is>
      </c>
      <c r="F2389" s="25" t="n">
        <v>123080</v>
      </c>
      <c r="G2389" s="25" t="n">
        <v>2</v>
      </c>
      <c r="H2389" s="25" t="n">
        <v>10</v>
      </c>
      <c r="I2389" s="25" t="inlineStr">
        <is>
          <t>3 minute(s) and 14 second(s)</t>
        </is>
      </c>
      <c r="J2389" s="25">
        <f>IFERROR(VALUE(TRIM(LEFT(I2389,FIND("minute",I2389)-1)))*60,0)+IFERROR(VALUE(SUBSTITUTE(MID(I2389,IFERROR(FIND("and",I2389)+3,1),20),"second(s)","")),0)</f>
        <v/>
      </c>
      <c r="K2389" s="41">
        <f>J2389/60</f>
        <v/>
      </c>
      <c r="L2389" s="41">
        <f>IFERROR(J2389/H2389,"")</f>
        <v/>
      </c>
      <c r="M2389" s="25" t="inlineStr">
        <is>
          <t>2.5.12</t>
        </is>
      </c>
      <c r="N2389" s="25">
        <f>IF(J2389&gt;300,1,0)</f>
        <v/>
      </c>
      <c r="O2389" s="25">
        <f>IF(J2389&gt;600,1,0)</f>
        <v/>
      </c>
      <c r="P2389" s="25">
        <f>IF(H2389&gt;0,J2389,"")</f>
        <v/>
      </c>
      <c r="Q2389" s="25">
        <f>TEXT(A2389,"YYYY-MM-DD HH")</f>
        <v/>
      </c>
      <c r="R2389" s="25">
        <f>COUNTIF($Q$2:$Q$5295,Q2389)</f>
        <v/>
      </c>
      <c r="S2389" s="25">
        <f>IF(R2389&lt;=2,"1-2",IF(R2389&lt;=5,"3-5",IF(R2389&lt;=10,"6-10","11+")))</f>
        <v/>
      </c>
    </row>
    <row r="2390">
      <c r="A2390" s="39" t="n">
        <v>46183.92609953704</v>
      </c>
      <c r="B2390" s="25">
        <f>TEXT(A2390,"YYYY-MM")</f>
        <v/>
      </c>
      <c r="C2390" s="25">
        <f>TEXT(A2390,"MMM-YYYY")</f>
        <v/>
      </c>
      <c r="D2390" s="40">
        <f>INT(A2390)-WEEKDAY(A2390,2)+1</f>
        <v/>
      </c>
      <c r="E2390" s="25" t="inlineStr">
        <is>
          <t>ssarkar</t>
        </is>
      </c>
      <c r="F2390" s="25" t="n">
        <v>122971</v>
      </c>
      <c r="G2390" s="25" t="n">
        <v>1</v>
      </c>
      <c r="H2390" s="25" t="n">
        <v>7</v>
      </c>
      <c r="I2390" s="25" t="inlineStr">
        <is>
          <t>3 minute(s) and 14 second(s)</t>
        </is>
      </c>
      <c r="J2390" s="25">
        <f>IFERROR(VALUE(TRIM(LEFT(I2390,FIND("minute",I2390)-1)))*60,0)+IFERROR(VALUE(SUBSTITUTE(MID(I2390,IFERROR(FIND("and",I2390)+3,1),20),"second(s)","")),0)</f>
        <v/>
      </c>
      <c r="K2390" s="41">
        <f>J2390/60</f>
        <v/>
      </c>
      <c r="L2390" s="41">
        <f>IFERROR(J2390/H2390,"")</f>
        <v/>
      </c>
      <c r="M2390" s="25" t="inlineStr">
        <is>
          <t>2.5.12</t>
        </is>
      </c>
      <c r="N2390" s="25">
        <f>IF(J2390&gt;300,1,0)</f>
        <v/>
      </c>
      <c r="O2390" s="25">
        <f>IF(J2390&gt;600,1,0)</f>
        <v/>
      </c>
      <c r="P2390" s="25">
        <f>IF(H2390&gt;0,J2390,"")</f>
        <v/>
      </c>
      <c r="Q2390" s="25">
        <f>TEXT(A2390,"YYYY-MM-DD HH")</f>
        <v/>
      </c>
      <c r="R2390" s="25">
        <f>COUNTIF($Q$2:$Q$5295,Q2390)</f>
        <v/>
      </c>
      <c r="S2390" s="25">
        <f>IF(R2390&lt;=2,"1-2",IF(R2390&lt;=5,"3-5",IF(R2390&lt;=10,"6-10","11+")))</f>
        <v/>
      </c>
    </row>
    <row r="2391">
      <c r="A2391" s="39" t="n">
        <v>46183.93268518519</v>
      </c>
      <c r="B2391" s="25">
        <f>TEXT(A2391,"YYYY-MM")</f>
        <v/>
      </c>
      <c r="C2391" s="25">
        <f>TEXT(A2391,"MMM-YYYY")</f>
        <v/>
      </c>
      <c r="D2391" s="40">
        <f>INT(A2391)-WEEKDAY(A2391,2)+1</f>
        <v/>
      </c>
      <c r="E2391" s="25" t="inlineStr">
        <is>
          <t>ssaha</t>
        </is>
      </c>
      <c r="F2391" s="25" t="n">
        <v>122429</v>
      </c>
      <c r="G2391" s="25" t="n">
        <v>4</v>
      </c>
      <c r="H2391" s="25" t="n">
        <v>22</v>
      </c>
      <c r="I2391" s="25" t="inlineStr">
        <is>
          <t>7 minute(s) and 9 second(s)</t>
        </is>
      </c>
      <c r="J2391" s="25">
        <f>IFERROR(VALUE(TRIM(LEFT(I2391,FIND("minute",I2391)-1)))*60,0)+IFERROR(VALUE(SUBSTITUTE(MID(I2391,IFERROR(FIND("and",I2391)+3,1),20),"second(s)","")),0)</f>
        <v/>
      </c>
      <c r="K2391" s="41">
        <f>J2391/60</f>
        <v/>
      </c>
      <c r="L2391" s="41">
        <f>IFERROR(J2391/H2391,"")</f>
        <v/>
      </c>
      <c r="M2391" s="25" t="inlineStr">
        <is>
          <t>2.5.12</t>
        </is>
      </c>
      <c r="N2391" s="25">
        <f>IF(J2391&gt;300,1,0)</f>
        <v/>
      </c>
      <c r="O2391" s="25">
        <f>IF(J2391&gt;600,1,0)</f>
        <v/>
      </c>
      <c r="P2391" s="25">
        <f>IF(H2391&gt;0,J2391,"")</f>
        <v/>
      </c>
      <c r="Q2391" s="25">
        <f>TEXT(A2391,"YYYY-MM-DD HH")</f>
        <v/>
      </c>
      <c r="R2391" s="25">
        <f>COUNTIF($Q$2:$Q$5295,Q2391)</f>
        <v/>
      </c>
      <c r="S2391" s="25">
        <f>IF(R2391&lt;=2,"1-2",IF(R2391&lt;=5,"3-5",IF(R2391&lt;=10,"6-10","11+")))</f>
        <v/>
      </c>
    </row>
    <row r="2392">
      <c r="A2392" s="39" t="n">
        <v>46183.93422453704</v>
      </c>
      <c r="B2392" s="25">
        <f>TEXT(A2392,"YYYY-MM")</f>
        <v/>
      </c>
      <c r="C2392" s="25">
        <f>TEXT(A2392,"MMM-YYYY")</f>
        <v/>
      </c>
      <c r="D2392" s="40">
        <f>INT(A2392)-WEEKDAY(A2392,2)+1</f>
        <v/>
      </c>
      <c r="E2392" s="25" t="inlineStr">
        <is>
          <t>dchoudhury</t>
        </is>
      </c>
      <c r="F2392" s="25" t="n">
        <v>122846</v>
      </c>
      <c r="G2392" s="25" t="n">
        <v>1</v>
      </c>
      <c r="H2392" s="25" t="n">
        <v>7</v>
      </c>
      <c r="I2392" s="25" t="inlineStr">
        <is>
          <t>1 minute(s) and 49 second(s)</t>
        </is>
      </c>
      <c r="J2392" s="25">
        <f>IFERROR(VALUE(TRIM(LEFT(I2392,FIND("minute",I2392)-1)))*60,0)+IFERROR(VALUE(SUBSTITUTE(MID(I2392,IFERROR(FIND("and",I2392)+3,1),20),"second(s)","")),0)</f>
        <v/>
      </c>
      <c r="K2392" s="41">
        <f>J2392/60</f>
        <v/>
      </c>
      <c r="L2392" s="41">
        <f>IFERROR(J2392/H2392,"")</f>
        <v/>
      </c>
      <c r="M2392" s="25" t="inlineStr">
        <is>
          <t>2.5.12</t>
        </is>
      </c>
      <c r="N2392" s="25">
        <f>IF(J2392&gt;300,1,0)</f>
        <v/>
      </c>
      <c r="O2392" s="25">
        <f>IF(J2392&gt;600,1,0)</f>
        <v/>
      </c>
      <c r="P2392" s="25">
        <f>IF(H2392&gt;0,J2392,"")</f>
        <v/>
      </c>
      <c r="Q2392" s="25">
        <f>TEXT(A2392,"YYYY-MM-DD HH")</f>
        <v/>
      </c>
      <c r="R2392" s="25">
        <f>COUNTIF($Q$2:$Q$5295,Q2392)</f>
        <v/>
      </c>
      <c r="S2392" s="25">
        <f>IF(R2392&lt;=2,"1-2",IF(R2392&lt;=5,"3-5",IF(R2392&lt;=10,"6-10","11+")))</f>
        <v/>
      </c>
    </row>
    <row r="2393">
      <c r="A2393" s="39" t="n">
        <v>46183.94648148148</v>
      </c>
      <c r="B2393" s="25">
        <f>TEXT(A2393,"YYYY-MM")</f>
        <v/>
      </c>
      <c r="C2393" s="25">
        <f>TEXT(A2393,"MMM-YYYY")</f>
        <v/>
      </c>
      <c r="D2393" s="40">
        <f>INT(A2393)-WEEKDAY(A2393,2)+1</f>
        <v/>
      </c>
      <c r="E2393" s="25" t="inlineStr">
        <is>
          <t>sswati</t>
        </is>
      </c>
      <c r="F2393" s="25" t="n">
        <v>122208</v>
      </c>
      <c r="G2393" s="25" t="n">
        <v>2</v>
      </c>
      <c r="H2393" s="25" t="n">
        <v>8</v>
      </c>
      <c r="I2393" s="25" t="inlineStr">
        <is>
          <t>4 minute(s) and 59 second(s)</t>
        </is>
      </c>
      <c r="J2393" s="25">
        <f>IFERROR(VALUE(TRIM(LEFT(I2393,FIND("minute",I2393)-1)))*60,0)+IFERROR(VALUE(SUBSTITUTE(MID(I2393,IFERROR(FIND("and",I2393)+3,1),20),"second(s)","")),0)</f>
        <v/>
      </c>
      <c r="K2393" s="41">
        <f>J2393/60</f>
        <v/>
      </c>
      <c r="L2393" s="41">
        <f>IFERROR(J2393/H2393,"")</f>
        <v/>
      </c>
      <c r="M2393" s="25" t="inlineStr">
        <is>
          <t>2.5.12</t>
        </is>
      </c>
      <c r="N2393" s="25">
        <f>IF(J2393&gt;300,1,0)</f>
        <v/>
      </c>
      <c r="O2393" s="25">
        <f>IF(J2393&gt;600,1,0)</f>
        <v/>
      </c>
      <c r="P2393" s="25">
        <f>IF(H2393&gt;0,J2393,"")</f>
        <v/>
      </c>
      <c r="Q2393" s="25">
        <f>TEXT(A2393,"YYYY-MM-DD HH")</f>
        <v/>
      </c>
      <c r="R2393" s="25">
        <f>COUNTIF($Q$2:$Q$5295,Q2393)</f>
        <v/>
      </c>
      <c r="S2393" s="25">
        <f>IF(R2393&lt;=2,"1-2",IF(R2393&lt;=5,"3-5",IF(R2393&lt;=10,"6-10","11+")))</f>
        <v/>
      </c>
    </row>
    <row r="2394">
      <c r="A2394" s="39" t="n">
        <v>46183.94861111111</v>
      </c>
      <c r="B2394" s="25">
        <f>TEXT(A2394,"YYYY-MM")</f>
        <v/>
      </c>
      <c r="C2394" s="25">
        <f>TEXT(A2394,"MMM-YYYY")</f>
        <v/>
      </c>
      <c r="D2394" s="40">
        <f>INT(A2394)-WEEKDAY(A2394,2)+1</f>
        <v/>
      </c>
      <c r="E2394" s="25" t="inlineStr">
        <is>
          <t>ssaha</t>
        </is>
      </c>
      <c r="F2394" s="25" t="n">
        <v>122429</v>
      </c>
      <c r="G2394" s="25" t="n">
        <v>4</v>
      </c>
      <c r="H2394" s="25" t="n">
        <v>22</v>
      </c>
      <c r="I2394" s="25" t="inlineStr">
        <is>
          <t>11 minute(s) and 27 second(s)</t>
        </is>
      </c>
      <c r="J2394" s="25">
        <f>IFERROR(VALUE(TRIM(LEFT(I2394,FIND("minute",I2394)-1)))*60,0)+IFERROR(VALUE(SUBSTITUTE(MID(I2394,IFERROR(FIND("and",I2394)+3,1),20),"second(s)","")),0)</f>
        <v/>
      </c>
      <c r="K2394" s="41">
        <f>J2394/60</f>
        <v/>
      </c>
      <c r="L2394" s="41">
        <f>IFERROR(J2394/H2394,"")</f>
        <v/>
      </c>
      <c r="M2394" s="25" t="inlineStr">
        <is>
          <t>2.5.12</t>
        </is>
      </c>
      <c r="N2394" s="25">
        <f>IF(J2394&gt;300,1,0)</f>
        <v/>
      </c>
      <c r="O2394" s="25">
        <f>IF(J2394&gt;600,1,0)</f>
        <v/>
      </c>
      <c r="P2394" s="25">
        <f>IF(H2394&gt;0,J2394,"")</f>
        <v/>
      </c>
      <c r="Q2394" s="25">
        <f>TEXT(A2394,"YYYY-MM-DD HH")</f>
        <v/>
      </c>
      <c r="R2394" s="25">
        <f>COUNTIF($Q$2:$Q$5295,Q2394)</f>
        <v/>
      </c>
      <c r="S2394" s="25">
        <f>IF(R2394&lt;=2,"1-2",IF(R2394&lt;=5,"3-5",IF(R2394&lt;=10,"6-10","11+")))</f>
        <v/>
      </c>
    </row>
    <row r="2395">
      <c r="A2395" s="39" t="n">
        <v>46183.95210648148</v>
      </c>
      <c r="B2395" s="25">
        <f>TEXT(A2395,"YYYY-MM")</f>
        <v/>
      </c>
      <c r="C2395" s="25">
        <f>TEXT(A2395,"MMM-YYYY")</f>
        <v/>
      </c>
      <c r="D2395" s="40">
        <f>INT(A2395)-WEEKDAY(A2395,2)+1</f>
        <v/>
      </c>
      <c r="E2395" s="25" t="inlineStr">
        <is>
          <t>ssarkar</t>
        </is>
      </c>
      <c r="F2395" s="25" t="n">
        <v>122972</v>
      </c>
      <c r="G2395" s="25" t="n">
        <v>1</v>
      </c>
      <c r="H2395" s="25" t="n">
        <v>7</v>
      </c>
      <c r="I2395" s="25" t="inlineStr">
        <is>
          <t>3 minute(s) and 3 second(s)</t>
        </is>
      </c>
      <c r="J2395" s="25">
        <f>IFERROR(VALUE(TRIM(LEFT(I2395,FIND("minute",I2395)-1)))*60,0)+IFERROR(VALUE(SUBSTITUTE(MID(I2395,IFERROR(FIND("and",I2395)+3,1),20),"second(s)","")),0)</f>
        <v/>
      </c>
      <c r="K2395" s="41">
        <f>J2395/60</f>
        <v/>
      </c>
      <c r="L2395" s="41">
        <f>IFERROR(J2395/H2395,"")</f>
        <v/>
      </c>
      <c r="M2395" s="25" t="inlineStr">
        <is>
          <t>2.5.12</t>
        </is>
      </c>
      <c r="N2395" s="25">
        <f>IF(J2395&gt;300,1,0)</f>
        <v/>
      </c>
      <c r="O2395" s="25">
        <f>IF(J2395&gt;600,1,0)</f>
        <v/>
      </c>
      <c r="P2395" s="25">
        <f>IF(H2395&gt;0,J2395,"")</f>
        <v/>
      </c>
      <c r="Q2395" s="25">
        <f>TEXT(A2395,"YYYY-MM-DD HH")</f>
        <v/>
      </c>
      <c r="R2395" s="25">
        <f>COUNTIF($Q$2:$Q$5295,Q2395)</f>
        <v/>
      </c>
      <c r="S2395" s="25">
        <f>IF(R2395&lt;=2,"1-2",IF(R2395&lt;=5,"3-5",IF(R2395&lt;=10,"6-10","11+")))</f>
        <v/>
      </c>
    </row>
    <row r="2396">
      <c r="A2396" s="39" t="n">
        <v>46183.95590277778</v>
      </c>
      <c r="B2396" s="25">
        <f>TEXT(A2396,"YYYY-MM")</f>
        <v/>
      </c>
      <c r="C2396" s="25">
        <f>TEXT(A2396,"MMM-YYYY")</f>
        <v/>
      </c>
      <c r="D2396" s="40">
        <f>INT(A2396)-WEEKDAY(A2396,2)+1</f>
        <v/>
      </c>
      <c r="E2396" s="25" t="inlineStr">
        <is>
          <t>sswati</t>
        </is>
      </c>
      <c r="F2396" s="25" t="n">
        <v>122208</v>
      </c>
      <c r="G2396" s="25" t="n">
        <v>2</v>
      </c>
      <c r="H2396" s="25" t="n">
        <v>10</v>
      </c>
      <c r="I2396" s="25" t="inlineStr">
        <is>
          <t>4 minute(s) and 11 second(s)</t>
        </is>
      </c>
      <c r="J2396" s="25">
        <f>IFERROR(VALUE(TRIM(LEFT(I2396,FIND("minute",I2396)-1)))*60,0)+IFERROR(VALUE(SUBSTITUTE(MID(I2396,IFERROR(FIND("and",I2396)+3,1),20),"second(s)","")),0)</f>
        <v/>
      </c>
      <c r="K2396" s="41">
        <f>J2396/60</f>
        <v/>
      </c>
      <c r="L2396" s="41">
        <f>IFERROR(J2396/H2396,"")</f>
        <v/>
      </c>
      <c r="M2396" s="25" t="inlineStr">
        <is>
          <t>2.5.12</t>
        </is>
      </c>
      <c r="N2396" s="25">
        <f>IF(J2396&gt;300,1,0)</f>
        <v/>
      </c>
      <c r="O2396" s="25">
        <f>IF(J2396&gt;600,1,0)</f>
        <v/>
      </c>
      <c r="P2396" s="25">
        <f>IF(H2396&gt;0,J2396,"")</f>
        <v/>
      </c>
      <c r="Q2396" s="25">
        <f>TEXT(A2396,"YYYY-MM-DD HH")</f>
        <v/>
      </c>
      <c r="R2396" s="25">
        <f>COUNTIF($Q$2:$Q$5295,Q2396)</f>
        <v/>
      </c>
      <c r="S2396" s="25">
        <f>IF(R2396&lt;=2,"1-2",IF(R2396&lt;=5,"3-5",IF(R2396&lt;=10,"6-10","11+")))</f>
        <v/>
      </c>
    </row>
    <row r="2397">
      <c r="A2397" s="39" t="n">
        <v>46183.97084490741</v>
      </c>
      <c r="B2397" s="25">
        <f>TEXT(A2397,"YYYY-MM")</f>
        <v/>
      </c>
      <c r="C2397" s="25">
        <f>TEXT(A2397,"MMM-YYYY")</f>
        <v/>
      </c>
      <c r="D2397" s="40">
        <f>INT(A2397)-WEEKDAY(A2397,2)+1</f>
        <v/>
      </c>
      <c r="E2397" s="25" t="inlineStr">
        <is>
          <t>dchoudhury</t>
        </is>
      </c>
      <c r="F2397" s="25" t="n">
        <v>122832</v>
      </c>
      <c r="G2397" s="25" t="n">
        <v>1</v>
      </c>
      <c r="H2397" s="25" t="n">
        <v>8</v>
      </c>
      <c r="I2397" s="25" t="inlineStr">
        <is>
          <t>3 minute(s) and 18 second(s)</t>
        </is>
      </c>
      <c r="J2397" s="25">
        <f>IFERROR(VALUE(TRIM(LEFT(I2397,FIND("minute",I2397)-1)))*60,0)+IFERROR(VALUE(SUBSTITUTE(MID(I2397,IFERROR(FIND("and",I2397)+3,1),20),"second(s)","")),0)</f>
        <v/>
      </c>
      <c r="K2397" s="41">
        <f>J2397/60</f>
        <v/>
      </c>
      <c r="L2397" s="41">
        <f>IFERROR(J2397/H2397,"")</f>
        <v/>
      </c>
      <c r="M2397" s="25" t="inlineStr">
        <is>
          <t>2.5.12</t>
        </is>
      </c>
      <c r="N2397" s="25">
        <f>IF(J2397&gt;300,1,0)</f>
        <v/>
      </c>
      <c r="O2397" s="25">
        <f>IF(J2397&gt;600,1,0)</f>
        <v/>
      </c>
      <c r="P2397" s="25">
        <f>IF(H2397&gt;0,J2397,"")</f>
        <v/>
      </c>
      <c r="Q2397" s="25">
        <f>TEXT(A2397,"YYYY-MM-DD HH")</f>
        <v/>
      </c>
      <c r="R2397" s="25">
        <f>COUNTIF($Q$2:$Q$5295,Q2397)</f>
        <v/>
      </c>
      <c r="S2397" s="25">
        <f>IF(R2397&lt;=2,"1-2",IF(R2397&lt;=5,"3-5",IF(R2397&lt;=10,"6-10","11+")))</f>
        <v/>
      </c>
    </row>
    <row r="2398">
      <c r="A2398" s="39" t="n">
        <v>46183.97768518519</v>
      </c>
      <c r="B2398" s="25">
        <f>TEXT(A2398,"YYYY-MM")</f>
        <v/>
      </c>
      <c r="C2398" s="25">
        <f>TEXT(A2398,"MMM-YYYY")</f>
        <v/>
      </c>
      <c r="D2398" s="40">
        <f>INT(A2398)-WEEKDAY(A2398,2)+1</f>
        <v/>
      </c>
      <c r="E2398" s="25" t="inlineStr">
        <is>
          <t>ssarkar</t>
        </is>
      </c>
      <c r="F2398" s="25" t="n">
        <v>122967</v>
      </c>
      <c r="G2398" s="25" t="n">
        <v>1</v>
      </c>
      <c r="H2398" s="25" t="n">
        <v>7</v>
      </c>
      <c r="I2398" s="25" t="inlineStr">
        <is>
          <t>2 minute(s) and 1 second(s)</t>
        </is>
      </c>
      <c r="J2398" s="25">
        <f>IFERROR(VALUE(TRIM(LEFT(I2398,FIND("minute",I2398)-1)))*60,0)+IFERROR(VALUE(SUBSTITUTE(MID(I2398,IFERROR(FIND("and",I2398)+3,1),20),"second(s)","")),0)</f>
        <v/>
      </c>
      <c r="K2398" s="41">
        <f>J2398/60</f>
        <v/>
      </c>
      <c r="L2398" s="41">
        <f>IFERROR(J2398/H2398,"")</f>
        <v/>
      </c>
      <c r="M2398" s="25" t="inlineStr">
        <is>
          <t>2.5.12</t>
        </is>
      </c>
      <c r="N2398" s="25">
        <f>IF(J2398&gt;300,1,0)</f>
        <v/>
      </c>
      <c r="O2398" s="25">
        <f>IF(J2398&gt;600,1,0)</f>
        <v/>
      </c>
      <c r="P2398" s="25">
        <f>IF(H2398&gt;0,J2398,"")</f>
        <v/>
      </c>
      <c r="Q2398" s="25">
        <f>TEXT(A2398,"YYYY-MM-DD HH")</f>
        <v/>
      </c>
      <c r="R2398" s="25">
        <f>COUNTIF($Q$2:$Q$5295,Q2398)</f>
        <v/>
      </c>
      <c r="S2398" s="25">
        <f>IF(R2398&lt;=2,"1-2",IF(R2398&lt;=5,"3-5",IF(R2398&lt;=10,"6-10","11+")))</f>
        <v/>
      </c>
    </row>
    <row r="2399">
      <c r="A2399" s="39" t="n">
        <v>46183.97936342593</v>
      </c>
      <c r="B2399" s="25">
        <f>TEXT(A2399,"YYYY-MM")</f>
        <v/>
      </c>
      <c r="C2399" s="25">
        <f>TEXT(A2399,"MMM-YYYY")</f>
        <v/>
      </c>
      <c r="D2399" s="40">
        <f>INT(A2399)-WEEKDAY(A2399,2)+1</f>
        <v/>
      </c>
      <c r="E2399" s="25" t="inlineStr">
        <is>
          <t>ssrinivasan</t>
        </is>
      </c>
      <c r="F2399" s="25" t="n">
        <v>122707</v>
      </c>
      <c r="G2399" s="25" t="n">
        <v>2</v>
      </c>
      <c r="H2399" s="25" t="n">
        <v>6</v>
      </c>
      <c r="I2399" s="25" t="inlineStr">
        <is>
          <t>2 minute(s) and 7 second(s)</t>
        </is>
      </c>
      <c r="J2399" s="25">
        <f>IFERROR(VALUE(TRIM(LEFT(I2399,FIND("minute",I2399)-1)))*60,0)+IFERROR(VALUE(SUBSTITUTE(MID(I2399,IFERROR(FIND("and",I2399)+3,1),20),"second(s)","")),0)</f>
        <v/>
      </c>
      <c r="K2399" s="41">
        <f>J2399/60</f>
        <v/>
      </c>
      <c r="L2399" s="41">
        <f>IFERROR(J2399/H2399,"")</f>
        <v/>
      </c>
      <c r="M2399" s="25" t="inlineStr">
        <is>
          <t>2.5.12</t>
        </is>
      </c>
      <c r="N2399" s="25">
        <f>IF(J2399&gt;300,1,0)</f>
        <v/>
      </c>
      <c r="O2399" s="25">
        <f>IF(J2399&gt;600,1,0)</f>
        <v/>
      </c>
      <c r="P2399" s="25">
        <f>IF(H2399&gt;0,J2399,"")</f>
        <v/>
      </c>
      <c r="Q2399" s="25">
        <f>TEXT(A2399,"YYYY-MM-DD HH")</f>
        <v/>
      </c>
      <c r="R2399" s="25">
        <f>COUNTIF($Q$2:$Q$5295,Q2399)</f>
        <v/>
      </c>
      <c r="S2399" s="25">
        <f>IF(R2399&lt;=2,"1-2",IF(R2399&lt;=5,"3-5",IF(R2399&lt;=10,"6-10","11+")))</f>
        <v/>
      </c>
    </row>
    <row r="2400">
      <c r="A2400" s="39" t="n">
        <v>46184.02136574074</v>
      </c>
      <c r="B2400" s="25">
        <f>TEXT(A2400,"YYYY-MM")</f>
        <v/>
      </c>
      <c r="C2400" s="25">
        <f>TEXT(A2400,"MMM-YYYY")</f>
        <v/>
      </c>
      <c r="D2400" s="40">
        <f>INT(A2400)-WEEKDAY(A2400,2)+1</f>
        <v/>
      </c>
      <c r="E2400" s="25" t="inlineStr">
        <is>
          <t>mgupta</t>
        </is>
      </c>
      <c r="F2400" s="25" t="n">
        <v>84743</v>
      </c>
      <c r="G2400" s="25" t="n">
        <v>5</v>
      </c>
      <c r="H2400" s="25" t="n">
        <v>15</v>
      </c>
      <c r="I2400" s="25" t="inlineStr">
        <is>
          <t>4 minute(s) and 33 second(s)</t>
        </is>
      </c>
      <c r="J2400" s="25">
        <f>IFERROR(VALUE(TRIM(LEFT(I2400,FIND("minute",I2400)-1)))*60,0)+IFERROR(VALUE(SUBSTITUTE(MID(I2400,IFERROR(FIND("and",I2400)+3,1),20),"second(s)","")),0)</f>
        <v/>
      </c>
      <c r="K2400" s="41">
        <f>J2400/60</f>
        <v/>
      </c>
      <c r="L2400" s="41">
        <f>IFERROR(J2400/H2400,"")</f>
        <v/>
      </c>
      <c r="M2400" s="25" t="inlineStr">
        <is>
          <t>2.5.12</t>
        </is>
      </c>
      <c r="N2400" s="25">
        <f>IF(J2400&gt;300,1,0)</f>
        <v/>
      </c>
      <c r="O2400" s="25">
        <f>IF(J2400&gt;600,1,0)</f>
        <v/>
      </c>
      <c r="P2400" s="25">
        <f>IF(H2400&gt;0,J2400,"")</f>
        <v/>
      </c>
      <c r="Q2400" s="25">
        <f>TEXT(A2400,"YYYY-MM-DD HH")</f>
        <v/>
      </c>
      <c r="R2400" s="25">
        <f>COUNTIF($Q$2:$Q$5295,Q2400)</f>
        <v/>
      </c>
      <c r="S2400" s="25">
        <f>IF(R2400&lt;=2,"1-2",IF(R2400&lt;=5,"3-5",IF(R2400&lt;=10,"6-10","11+")))</f>
        <v/>
      </c>
    </row>
    <row r="2401">
      <c r="A2401" s="39" t="n">
        <v>46184.03869212963</v>
      </c>
      <c r="B2401" s="25">
        <f>TEXT(A2401,"YYYY-MM")</f>
        <v/>
      </c>
      <c r="C2401" s="25">
        <f>TEXT(A2401,"MMM-YYYY")</f>
        <v/>
      </c>
      <c r="D2401" s="40">
        <f>INT(A2401)-WEEKDAY(A2401,2)+1</f>
        <v/>
      </c>
      <c r="E2401" s="25" t="inlineStr">
        <is>
          <t>pmehndiratta</t>
        </is>
      </c>
      <c r="F2401" s="25" t="n">
        <v>123586</v>
      </c>
      <c r="G2401" s="25" t="n">
        <v>1</v>
      </c>
      <c r="H2401" s="25" t="n">
        <v>5</v>
      </c>
      <c r="I2401" s="25" t="inlineStr">
        <is>
          <t>2 minute(s) and 4 second(s)</t>
        </is>
      </c>
      <c r="J2401" s="25">
        <f>IFERROR(VALUE(TRIM(LEFT(I2401,FIND("minute",I2401)-1)))*60,0)+IFERROR(VALUE(SUBSTITUTE(MID(I2401,IFERROR(FIND("and",I2401)+3,1),20),"second(s)","")),0)</f>
        <v/>
      </c>
      <c r="K2401" s="41">
        <f>J2401/60</f>
        <v/>
      </c>
      <c r="L2401" s="41">
        <f>IFERROR(J2401/H2401,"")</f>
        <v/>
      </c>
      <c r="M2401" s="25" t="inlineStr">
        <is>
          <t>2.5.12</t>
        </is>
      </c>
      <c r="N2401" s="25">
        <f>IF(J2401&gt;300,1,0)</f>
        <v/>
      </c>
      <c r="O2401" s="25">
        <f>IF(J2401&gt;600,1,0)</f>
        <v/>
      </c>
      <c r="P2401" s="25">
        <f>IF(H2401&gt;0,J2401,"")</f>
        <v/>
      </c>
      <c r="Q2401" s="25">
        <f>TEXT(A2401,"YYYY-MM-DD HH")</f>
        <v/>
      </c>
      <c r="R2401" s="25">
        <f>COUNTIF($Q$2:$Q$5295,Q2401)</f>
        <v/>
      </c>
      <c r="S2401" s="25">
        <f>IF(R2401&lt;=2,"1-2",IF(R2401&lt;=5,"3-5",IF(R2401&lt;=10,"6-10","11+")))</f>
        <v/>
      </c>
    </row>
    <row r="2402">
      <c r="A2402" s="39" t="n">
        <v>46184.04847222222</v>
      </c>
      <c r="B2402" s="25">
        <f>TEXT(A2402,"YYYY-MM")</f>
        <v/>
      </c>
      <c r="C2402" s="25">
        <f>TEXT(A2402,"MMM-YYYY")</f>
        <v/>
      </c>
      <c r="D2402" s="40">
        <f>INT(A2402)-WEEKDAY(A2402,2)+1</f>
        <v/>
      </c>
      <c r="E2402" s="25" t="inlineStr">
        <is>
          <t>shassan</t>
        </is>
      </c>
      <c r="F2402" s="25" t="n">
        <v>123661</v>
      </c>
      <c r="G2402" s="25" t="n">
        <v>2</v>
      </c>
      <c r="H2402" s="25" t="n">
        <v>8</v>
      </c>
      <c r="I2402" s="25" t="inlineStr">
        <is>
          <t>2 minute(s) and 34 second(s)</t>
        </is>
      </c>
      <c r="J2402" s="25">
        <f>IFERROR(VALUE(TRIM(LEFT(I2402,FIND("minute",I2402)-1)))*60,0)+IFERROR(VALUE(SUBSTITUTE(MID(I2402,IFERROR(FIND("and",I2402)+3,1),20),"second(s)","")),0)</f>
        <v/>
      </c>
      <c r="K2402" s="41">
        <f>J2402/60</f>
        <v/>
      </c>
      <c r="L2402" s="41">
        <f>IFERROR(J2402/H2402,"")</f>
        <v/>
      </c>
      <c r="M2402" s="25" t="inlineStr">
        <is>
          <t>2.5.12</t>
        </is>
      </c>
      <c r="N2402" s="25">
        <f>IF(J2402&gt;300,1,0)</f>
        <v/>
      </c>
      <c r="O2402" s="25">
        <f>IF(J2402&gt;600,1,0)</f>
        <v/>
      </c>
      <c r="P2402" s="25">
        <f>IF(H2402&gt;0,J2402,"")</f>
        <v/>
      </c>
      <c r="Q2402" s="25">
        <f>TEXT(A2402,"YYYY-MM-DD HH")</f>
        <v/>
      </c>
      <c r="R2402" s="25">
        <f>COUNTIF($Q$2:$Q$5295,Q2402)</f>
        <v/>
      </c>
      <c r="S2402" s="25">
        <f>IF(R2402&lt;=2,"1-2",IF(R2402&lt;=5,"3-5",IF(R2402&lt;=10,"6-10","11+")))</f>
        <v/>
      </c>
    </row>
    <row r="2403">
      <c r="A2403" s="39" t="n">
        <v>46184.06582175926</v>
      </c>
      <c r="B2403" s="25">
        <f>TEXT(A2403,"YYYY-MM")</f>
        <v/>
      </c>
      <c r="C2403" s="25">
        <f>TEXT(A2403,"MMM-YYYY")</f>
        <v/>
      </c>
      <c r="D2403" s="40">
        <f>INT(A2403)-WEEKDAY(A2403,2)+1</f>
        <v/>
      </c>
      <c r="E2403" s="25" t="inlineStr">
        <is>
          <t>bverma</t>
        </is>
      </c>
      <c r="F2403" s="25" t="n">
        <v>121442</v>
      </c>
      <c r="G2403" s="25" t="n">
        <v>1</v>
      </c>
      <c r="H2403" s="25" t="n">
        <v>5</v>
      </c>
      <c r="I2403" s="25" t="inlineStr">
        <is>
          <t>3 minute(s) and 1 second(s)</t>
        </is>
      </c>
      <c r="J2403" s="25">
        <f>IFERROR(VALUE(TRIM(LEFT(I2403,FIND("minute",I2403)-1)))*60,0)+IFERROR(VALUE(SUBSTITUTE(MID(I2403,IFERROR(FIND("and",I2403)+3,1),20),"second(s)","")),0)</f>
        <v/>
      </c>
      <c r="K2403" s="41">
        <f>J2403/60</f>
        <v/>
      </c>
      <c r="L2403" s="41">
        <f>IFERROR(J2403/H2403,"")</f>
        <v/>
      </c>
      <c r="M2403" s="25" t="inlineStr">
        <is>
          <t>2.5.12</t>
        </is>
      </c>
      <c r="N2403" s="25">
        <f>IF(J2403&gt;300,1,0)</f>
        <v/>
      </c>
      <c r="O2403" s="25">
        <f>IF(J2403&gt;600,1,0)</f>
        <v/>
      </c>
      <c r="P2403" s="25">
        <f>IF(H2403&gt;0,J2403,"")</f>
        <v/>
      </c>
      <c r="Q2403" s="25">
        <f>TEXT(A2403,"YYYY-MM-DD HH")</f>
        <v/>
      </c>
      <c r="R2403" s="25">
        <f>COUNTIF($Q$2:$Q$5295,Q2403)</f>
        <v/>
      </c>
      <c r="S2403" s="25">
        <f>IF(R2403&lt;=2,"1-2",IF(R2403&lt;=5,"3-5",IF(R2403&lt;=10,"6-10","11+")))</f>
        <v/>
      </c>
    </row>
    <row r="2404">
      <c r="A2404" s="39" t="n">
        <v>46184.07373842593</v>
      </c>
      <c r="B2404" s="25">
        <f>TEXT(A2404,"YYYY-MM")</f>
        <v/>
      </c>
      <c r="C2404" s="25">
        <f>TEXT(A2404,"MMM-YYYY")</f>
        <v/>
      </c>
      <c r="D2404" s="40">
        <f>INT(A2404)-WEEKDAY(A2404,2)+1</f>
        <v/>
      </c>
      <c r="E2404" s="25" t="inlineStr">
        <is>
          <t>shassan</t>
        </is>
      </c>
      <c r="F2404" s="25" t="n">
        <v>123662</v>
      </c>
      <c r="G2404" s="25" t="n">
        <v>2</v>
      </c>
      <c r="H2404" s="25" t="n">
        <v>10</v>
      </c>
      <c r="I2404" s="25" t="inlineStr">
        <is>
          <t>2 minute(s) and 5 second(s)</t>
        </is>
      </c>
      <c r="J2404" s="25">
        <f>IFERROR(VALUE(TRIM(LEFT(I2404,FIND("minute",I2404)-1)))*60,0)+IFERROR(VALUE(SUBSTITUTE(MID(I2404,IFERROR(FIND("and",I2404)+3,1),20),"second(s)","")),0)</f>
        <v/>
      </c>
      <c r="K2404" s="41">
        <f>J2404/60</f>
        <v/>
      </c>
      <c r="L2404" s="41">
        <f>IFERROR(J2404/H2404,"")</f>
        <v/>
      </c>
      <c r="M2404" s="25" t="inlineStr">
        <is>
          <t>2.5.12</t>
        </is>
      </c>
      <c r="N2404" s="25">
        <f>IF(J2404&gt;300,1,0)</f>
        <v/>
      </c>
      <c r="O2404" s="25">
        <f>IF(J2404&gt;600,1,0)</f>
        <v/>
      </c>
      <c r="P2404" s="25">
        <f>IF(H2404&gt;0,J2404,"")</f>
        <v/>
      </c>
      <c r="Q2404" s="25">
        <f>TEXT(A2404,"YYYY-MM-DD HH")</f>
        <v/>
      </c>
      <c r="R2404" s="25">
        <f>COUNTIF($Q$2:$Q$5295,Q2404)</f>
        <v/>
      </c>
      <c r="S2404" s="25">
        <f>IF(R2404&lt;=2,"1-2",IF(R2404&lt;=5,"3-5",IF(R2404&lt;=10,"6-10","11+")))</f>
        <v/>
      </c>
    </row>
    <row r="2405">
      <c r="A2405" s="39" t="n">
        <v>46184.08077546296</v>
      </c>
      <c r="B2405" s="25">
        <f>TEXT(A2405,"YYYY-MM")</f>
        <v/>
      </c>
      <c r="C2405" s="25">
        <f>TEXT(A2405,"MMM-YYYY")</f>
        <v/>
      </c>
      <c r="D2405" s="40">
        <f>INT(A2405)-WEEKDAY(A2405,2)+1</f>
        <v/>
      </c>
      <c r="E2405" s="25" t="inlineStr">
        <is>
          <t>ns</t>
        </is>
      </c>
      <c r="F2405" s="25" t="n">
        <v>122932</v>
      </c>
      <c r="G2405" s="25" t="n">
        <v>2</v>
      </c>
      <c r="H2405" s="25" t="n">
        <v>10</v>
      </c>
      <c r="I2405" s="25" t="inlineStr">
        <is>
          <t>2 minute(s) and 11 second(s)</t>
        </is>
      </c>
      <c r="J2405" s="25">
        <f>IFERROR(VALUE(TRIM(LEFT(I2405,FIND("minute",I2405)-1)))*60,0)+IFERROR(VALUE(SUBSTITUTE(MID(I2405,IFERROR(FIND("and",I2405)+3,1),20),"second(s)","")),0)</f>
        <v/>
      </c>
      <c r="K2405" s="41">
        <f>J2405/60</f>
        <v/>
      </c>
      <c r="L2405" s="41">
        <f>IFERROR(J2405/H2405,"")</f>
        <v/>
      </c>
      <c r="M2405" s="25" t="inlineStr">
        <is>
          <t>2.5.12</t>
        </is>
      </c>
      <c r="N2405" s="25">
        <f>IF(J2405&gt;300,1,0)</f>
        <v/>
      </c>
      <c r="O2405" s="25">
        <f>IF(J2405&gt;600,1,0)</f>
        <v/>
      </c>
      <c r="P2405" s="25">
        <f>IF(H2405&gt;0,J2405,"")</f>
        <v/>
      </c>
      <c r="Q2405" s="25">
        <f>TEXT(A2405,"YYYY-MM-DD HH")</f>
        <v/>
      </c>
      <c r="R2405" s="25">
        <f>COUNTIF($Q$2:$Q$5295,Q2405)</f>
        <v/>
      </c>
      <c r="S2405" s="25">
        <f>IF(R2405&lt;=2,"1-2",IF(R2405&lt;=5,"3-5",IF(R2405&lt;=10,"6-10","11+")))</f>
        <v/>
      </c>
    </row>
    <row r="2406">
      <c r="A2406" s="39" t="n">
        <v>46184.09998842593</v>
      </c>
      <c r="B2406" s="25">
        <f>TEXT(A2406,"YYYY-MM")</f>
        <v/>
      </c>
      <c r="C2406" s="25">
        <f>TEXT(A2406,"MMM-YYYY")</f>
        <v/>
      </c>
      <c r="D2406" s="40">
        <f>INT(A2406)-WEEKDAY(A2406,2)+1</f>
        <v/>
      </c>
      <c r="E2406" s="25" t="inlineStr">
        <is>
          <t>anusharma</t>
        </is>
      </c>
      <c r="F2406" s="25" t="n">
        <v>125541</v>
      </c>
      <c r="G2406" s="25" t="n">
        <v>1</v>
      </c>
      <c r="H2406" s="25" t="n">
        <v>5</v>
      </c>
      <c r="I2406" s="25" t="inlineStr">
        <is>
          <t>1 minute(s) and 28 second(s)</t>
        </is>
      </c>
      <c r="J2406" s="25">
        <f>IFERROR(VALUE(TRIM(LEFT(I2406,FIND("minute",I2406)-1)))*60,0)+IFERROR(VALUE(SUBSTITUTE(MID(I2406,IFERROR(FIND("and",I2406)+3,1),20),"second(s)","")),0)</f>
        <v/>
      </c>
      <c r="K2406" s="41">
        <f>J2406/60</f>
        <v/>
      </c>
      <c r="L2406" s="41">
        <f>IFERROR(J2406/H2406,"")</f>
        <v/>
      </c>
      <c r="M2406" s="25" t="inlineStr">
        <is>
          <t>2.5.12</t>
        </is>
      </c>
      <c r="N2406" s="25">
        <f>IF(J2406&gt;300,1,0)</f>
        <v/>
      </c>
      <c r="O2406" s="25">
        <f>IF(J2406&gt;600,1,0)</f>
        <v/>
      </c>
      <c r="P2406" s="25">
        <f>IF(H2406&gt;0,J2406,"")</f>
        <v/>
      </c>
      <c r="Q2406" s="25">
        <f>TEXT(A2406,"YYYY-MM-DD HH")</f>
        <v/>
      </c>
      <c r="R2406" s="25">
        <f>COUNTIF($Q$2:$Q$5295,Q2406)</f>
        <v/>
      </c>
      <c r="S2406" s="25">
        <f>IF(R2406&lt;=2,"1-2",IF(R2406&lt;=5,"3-5",IF(R2406&lt;=10,"6-10","11+")))</f>
        <v/>
      </c>
    </row>
    <row r="2407">
      <c r="A2407" s="39" t="n">
        <v>46184.10811342593</v>
      </c>
      <c r="B2407" s="25">
        <f>TEXT(A2407,"YYYY-MM")</f>
        <v/>
      </c>
      <c r="C2407" s="25">
        <f>TEXT(A2407,"MMM-YYYY")</f>
        <v/>
      </c>
      <c r="D2407" s="40">
        <f>INT(A2407)-WEEKDAY(A2407,2)+1</f>
        <v/>
      </c>
      <c r="E2407" s="25" t="inlineStr">
        <is>
          <t>ns</t>
        </is>
      </c>
      <c r="F2407" s="25" t="n">
        <v>122932</v>
      </c>
      <c r="G2407" s="25" t="n">
        <v>3</v>
      </c>
      <c r="H2407" s="25" t="n">
        <v>17</v>
      </c>
      <c r="I2407" s="25" t="inlineStr">
        <is>
          <t>4 minute(s) and 28 second(s)</t>
        </is>
      </c>
      <c r="J2407" s="25">
        <f>IFERROR(VALUE(TRIM(LEFT(I2407,FIND("minute",I2407)-1)))*60,0)+IFERROR(VALUE(SUBSTITUTE(MID(I2407,IFERROR(FIND("and",I2407)+3,1),20),"second(s)","")),0)</f>
        <v/>
      </c>
      <c r="K2407" s="41">
        <f>J2407/60</f>
        <v/>
      </c>
      <c r="L2407" s="41">
        <f>IFERROR(J2407/H2407,"")</f>
        <v/>
      </c>
      <c r="M2407" s="25" t="inlineStr">
        <is>
          <t>2.5.12</t>
        </is>
      </c>
      <c r="N2407" s="25">
        <f>IF(J2407&gt;300,1,0)</f>
        <v/>
      </c>
      <c r="O2407" s="25">
        <f>IF(J2407&gt;600,1,0)</f>
        <v/>
      </c>
      <c r="P2407" s="25">
        <f>IF(H2407&gt;0,J2407,"")</f>
        <v/>
      </c>
      <c r="Q2407" s="25">
        <f>TEXT(A2407,"YYYY-MM-DD HH")</f>
        <v/>
      </c>
      <c r="R2407" s="25">
        <f>COUNTIF($Q$2:$Q$5295,Q2407)</f>
        <v/>
      </c>
      <c r="S2407" s="25">
        <f>IF(R2407&lt;=2,"1-2",IF(R2407&lt;=5,"3-5",IF(R2407&lt;=10,"6-10","11+")))</f>
        <v/>
      </c>
    </row>
    <row r="2408">
      <c r="A2408" s="39" t="n">
        <v>46184.11175925926</v>
      </c>
      <c r="B2408" s="25">
        <f>TEXT(A2408,"YYYY-MM")</f>
        <v/>
      </c>
      <c r="C2408" s="25">
        <f>TEXT(A2408,"MMM-YYYY")</f>
        <v/>
      </c>
      <c r="D2408" s="40">
        <f>INT(A2408)-WEEKDAY(A2408,2)+1</f>
        <v/>
      </c>
      <c r="E2408" s="25" t="inlineStr">
        <is>
          <t>asahoo</t>
        </is>
      </c>
      <c r="F2408" s="25" t="n">
        <v>123164</v>
      </c>
      <c r="G2408" s="25" t="n">
        <v>2</v>
      </c>
      <c r="H2408" s="25" t="n">
        <v>8</v>
      </c>
      <c r="I2408" s="25" t="inlineStr">
        <is>
          <t>2 minute(s) and 25 second(s)</t>
        </is>
      </c>
      <c r="J2408" s="25">
        <f>IFERROR(VALUE(TRIM(LEFT(I2408,FIND("minute",I2408)-1)))*60,0)+IFERROR(VALUE(SUBSTITUTE(MID(I2408,IFERROR(FIND("and",I2408)+3,1),20),"second(s)","")),0)</f>
        <v/>
      </c>
      <c r="K2408" s="41">
        <f>J2408/60</f>
        <v/>
      </c>
      <c r="L2408" s="41">
        <f>IFERROR(J2408/H2408,"")</f>
        <v/>
      </c>
      <c r="M2408" s="25" t="inlineStr">
        <is>
          <t>2.5.12</t>
        </is>
      </c>
      <c r="N2408" s="25">
        <f>IF(J2408&gt;300,1,0)</f>
        <v/>
      </c>
      <c r="O2408" s="25">
        <f>IF(J2408&gt;600,1,0)</f>
        <v/>
      </c>
      <c r="P2408" s="25">
        <f>IF(H2408&gt;0,J2408,"")</f>
        <v/>
      </c>
      <c r="Q2408" s="25">
        <f>TEXT(A2408,"YYYY-MM-DD HH")</f>
        <v/>
      </c>
      <c r="R2408" s="25">
        <f>COUNTIF($Q$2:$Q$5295,Q2408)</f>
        <v/>
      </c>
      <c r="S2408" s="25">
        <f>IF(R2408&lt;=2,"1-2",IF(R2408&lt;=5,"3-5",IF(R2408&lt;=10,"6-10","11+")))</f>
        <v/>
      </c>
    </row>
    <row r="2409">
      <c r="A2409" s="39" t="n">
        <v>46184.1215625</v>
      </c>
      <c r="B2409" s="25">
        <f>TEXT(A2409,"YYYY-MM")</f>
        <v/>
      </c>
      <c r="C2409" s="25">
        <f>TEXT(A2409,"MMM-YYYY")</f>
        <v/>
      </c>
      <c r="D2409" s="40">
        <f>INT(A2409)-WEEKDAY(A2409,2)+1</f>
        <v/>
      </c>
      <c r="E2409" s="25" t="inlineStr">
        <is>
          <t>ssrinivasan</t>
        </is>
      </c>
      <c r="F2409" s="25" t="n">
        <v>122694</v>
      </c>
      <c r="G2409" s="25" t="n">
        <v>2</v>
      </c>
      <c r="H2409" s="25" t="n">
        <v>8</v>
      </c>
      <c r="I2409" s="25" t="inlineStr">
        <is>
          <t>3 minute(s) and 37 second(s)</t>
        </is>
      </c>
      <c r="J2409" s="25">
        <f>IFERROR(VALUE(TRIM(LEFT(I2409,FIND("minute",I2409)-1)))*60,0)+IFERROR(VALUE(SUBSTITUTE(MID(I2409,IFERROR(FIND("and",I2409)+3,1),20),"second(s)","")),0)</f>
        <v/>
      </c>
      <c r="K2409" s="41">
        <f>J2409/60</f>
        <v/>
      </c>
      <c r="L2409" s="41">
        <f>IFERROR(J2409/H2409,"")</f>
        <v/>
      </c>
      <c r="M2409" s="25" t="inlineStr">
        <is>
          <t>2.5.12</t>
        </is>
      </c>
      <c r="N2409" s="25">
        <f>IF(J2409&gt;300,1,0)</f>
        <v/>
      </c>
      <c r="O2409" s="25">
        <f>IF(J2409&gt;600,1,0)</f>
        <v/>
      </c>
      <c r="P2409" s="25">
        <f>IF(H2409&gt;0,J2409,"")</f>
        <v/>
      </c>
      <c r="Q2409" s="25">
        <f>TEXT(A2409,"YYYY-MM-DD HH")</f>
        <v/>
      </c>
      <c r="R2409" s="25">
        <f>COUNTIF($Q$2:$Q$5295,Q2409)</f>
        <v/>
      </c>
      <c r="S2409" s="25">
        <f>IF(R2409&lt;=2,"1-2",IF(R2409&lt;=5,"3-5",IF(R2409&lt;=10,"6-10","11+")))</f>
        <v/>
      </c>
    </row>
    <row r="2410">
      <c r="A2410" s="39" t="n">
        <v>46184.12699074074</v>
      </c>
      <c r="B2410" s="25">
        <f>TEXT(A2410,"YYYY-MM")</f>
        <v/>
      </c>
      <c r="C2410" s="25">
        <f>TEXT(A2410,"MMM-YYYY")</f>
        <v/>
      </c>
      <c r="D2410" s="40">
        <f>INT(A2410)-WEEKDAY(A2410,2)+1</f>
        <v/>
      </c>
      <c r="E2410" s="25" t="inlineStr">
        <is>
          <t>mgupta</t>
        </is>
      </c>
      <c r="F2410" s="25" t="n">
        <v>123478</v>
      </c>
      <c r="G2410" s="25" t="n">
        <v>2</v>
      </c>
      <c r="H2410" s="25" t="n">
        <v>10</v>
      </c>
      <c r="I2410" s="25" t="inlineStr">
        <is>
          <t>1 minute(s) and 53 second(s)</t>
        </is>
      </c>
      <c r="J2410" s="25">
        <f>IFERROR(VALUE(TRIM(LEFT(I2410,FIND("minute",I2410)-1)))*60,0)+IFERROR(VALUE(SUBSTITUTE(MID(I2410,IFERROR(FIND("and",I2410)+3,1),20),"second(s)","")),0)</f>
        <v/>
      </c>
      <c r="K2410" s="41">
        <f>J2410/60</f>
        <v/>
      </c>
      <c r="L2410" s="41">
        <f>IFERROR(J2410/H2410,"")</f>
        <v/>
      </c>
      <c r="M2410" s="25" t="inlineStr">
        <is>
          <t>2.5.12</t>
        </is>
      </c>
      <c r="N2410" s="25">
        <f>IF(J2410&gt;300,1,0)</f>
        <v/>
      </c>
      <c r="O2410" s="25">
        <f>IF(J2410&gt;600,1,0)</f>
        <v/>
      </c>
      <c r="P2410" s="25">
        <f>IF(H2410&gt;0,J2410,"")</f>
        <v/>
      </c>
      <c r="Q2410" s="25">
        <f>TEXT(A2410,"YYYY-MM-DD HH")</f>
        <v/>
      </c>
      <c r="R2410" s="25">
        <f>COUNTIF($Q$2:$Q$5295,Q2410)</f>
        <v/>
      </c>
      <c r="S2410" s="25">
        <f>IF(R2410&lt;=2,"1-2",IF(R2410&lt;=5,"3-5",IF(R2410&lt;=10,"6-10","11+")))</f>
        <v/>
      </c>
    </row>
    <row r="2411">
      <c r="A2411" s="39" t="n">
        <v>46184.13018518518</v>
      </c>
      <c r="B2411" s="25">
        <f>TEXT(A2411,"YYYY-MM")</f>
        <v/>
      </c>
      <c r="C2411" s="25">
        <f>TEXT(A2411,"MMM-YYYY")</f>
        <v/>
      </c>
      <c r="D2411" s="40">
        <f>INT(A2411)-WEEKDAY(A2411,2)+1</f>
        <v/>
      </c>
      <c r="E2411" s="25" t="inlineStr">
        <is>
          <t>psathwika</t>
        </is>
      </c>
      <c r="F2411" s="25" t="n">
        <v>122756</v>
      </c>
      <c r="G2411" s="25" t="n">
        <v>2</v>
      </c>
      <c r="H2411" s="25" t="n">
        <v>12</v>
      </c>
      <c r="I2411" s="25" t="inlineStr">
        <is>
          <t>8 minute(s) and 52 second(s)</t>
        </is>
      </c>
      <c r="J2411" s="25">
        <f>IFERROR(VALUE(TRIM(LEFT(I2411,FIND("minute",I2411)-1)))*60,0)+IFERROR(VALUE(SUBSTITUTE(MID(I2411,IFERROR(FIND("and",I2411)+3,1),20),"second(s)","")),0)</f>
        <v/>
      </c>
      <c r="K2411" s="41">
        <f>J2411/60</f>
        <v/>
      </c>
      <c r="L2411" s="41">
        <f>IFERROR(J2411/H2411,"")</f>
        <v/>
      </c>
      <c r="M2411" s="25" t="inlineStr">
        <is>
          <t>2.5.12</t>
        </is>
      </c>
      <c r="N2411" s="25">
        <f>IF(J2411&gt;300,1,0)</f>
        <v/>
      </c>
      <c r="O2411" s="25">
        <f>IF(J2411&gt;600,1,0)</f>
        <v/>
      </c>
      <c r="P2411" s="25">
        <f>IF(H2411&gt;0,J2411,"")</f>
        <v/>
      </c>
      <c r="Q2411" s="25">
        <f>TEXT(A2411,"YYYY-MM-DD HH")</f>
        <v/>
      </c>
      <c r="R2411" s="25">
        <f>COUNTIF($Q$2:$Q$5295,Q2411)</f>
        <v/>
      </c>
      <c r="S2411" s="25">
        <f>IF(R2411&lt;=2,"1-2",IF(R2411&lt;=5,"3-5",IF(R2411&lt;=10,"6-10","11+")))</f>
        <v/>
      </c>
    </row>
    <row r="2412">
      <c r="A2412" s="39" t="n">
        <v>46184.13928240741</v>
      </c>
      <c r="B2412" s="25">
        <f>TEXT(A2412,"YYYY-MM")</f>
        <v/>
      </c>
      <c r="C2412" s="25">
        <f>TEXT(A2412,"MMM-YYYY")</f>
        <v/>
      </c>
      <c r="D2412" s="40">
        <f>INT(A2412)-WEEKDAY(A2412,2)+1</f>
        <v/>
      </c>
      <c r="E2412" s="25" t="inlineStr">
        <is>
          <t>aupadhayay</t>
        </is>
      </c>
      <c r="F2412" s="25" t="n">
        <v>123223</v>
      </c>
      <c r="G2412" s="25" t="n">
        <v>1</v>
      </c>
      <c r="H2412" s="25" t="n">
        <v>5</v>
      </c>
      <c r="I2412" s="25" t="inlineStr">
        <is>
          <t>1 minute(s) and 31 second(s)</t>
        </is>
      </c>
      <c r="J2412" s="25">
        <f>IFERROR(VALUE(TRIM(LEFT(I2412,FIND("minute",I2412)-1)))*60,0)+IFERROR(VALUE(SUBSTITUTE(MID(I2412,IFERROR(FIND("and",I2412)+3,1),20),"second(s)","")),0)</f>
        <v/>
      </c>
      <c r="K2412" s="41">
        <f>J2412/60</f>
        <v/>
      </c>
      <c r="L2412" s="41">
        <f>IFERROR(J2412/H2412,"")</f>
        <v/>
      </c>
      <c r="M2412" s="25" t="inlineStr">
        <is>
          <t>2.5.12</t>
        </is>
      </c>
      <c r="N2412" s="25">
        <f>IF(J2412&gt;300,1,0)</f>
        <v/>
      </c>
      <c r="O2412" s="25">
        <f>IF(J2412&gt;600,1,0)</f>
        <v/>
      </c>
      <c r="P2412" s="25">
        <f>IF(H2412&gt;0,J2412,"")</f>
        <v/>
      </c>
      <c r="Q2412" s="25">
        <f>TEXT(A2412,"YYYY-MM-DD HH")</f>
        <v/>
      </c>
      <c r="R2412" s="25">
        <f>COUNTIF($Q$2:$Q$5295,Q2412)</f>
        <v/>
      </c>
      <c r="S2412" s="25">
        <f>IF(R2412&lt;=2,"1-2",IF(R2412&lt;=5,"3-5",IF(R2412&lt;=10,"6-10","11+")))</f>
        <v/>
      </c>
    </row>
    <row r="2413">
      <c r="A2413" s="39" t="n">
        <v>46184.14325231482</v>
      </c>
      <c r="B2413" s="25">
        <f>TEXT(A2413,"YYYY-MM")</f>
        <v/>
      </c>
      <c r="C2413" s="25">
        <f>TEXT(A2413,"MMM-YYYY")</f>
        <v/>
      </c>
      <c r="D2413" s="40">
        <f>INT(A2413)-WEEKDAY(A2413,2)+1</f>
        <v/>
      </c>
      <c r="E2413" s="25" t="inlineStr">
        <is>
          <t>aghosh</t>
        </is>
      </c>
      <c r="F2413" s="25" t="n">
        <v>123228</v>
      </c>
      <c r="G2413" s="25" t="n">
        <v>3</v>
      </c>
      <c r="H2413" s="25" t="n">
        <v>15</v>
      </c>
      <c r="I2413" s="25" t="inlineStr">
        <is>
          <t>3 minute(s) and 56 second(s)</t>
        </is>
      </c>
      <c r="J2413" s="25">
        <f>IFERROR(VALUE(TRIM(LEFT(I2413,FIND("minute",I2413)-1)))*60,0)+IFERROR(VALUE(SUBSTITUTE(MID(I2413,IFERROR(FIND("and",I2413)+3,1),20),"second(s)","")),0)</f>
        <v/>
      </c>
      <c r="K2413" s="41">
        <f>J2413/60</f>
        <v/>
      </c>
      <c r="L2413" s="41">
        <f>IFERROR(J2413/H2413,"")</f>
        <v/>
      </c>
      <c r="M2413" s="25" t="inlineStr">
        <is>
          <t>2.5.12</t>
        </is>
      </c>
      <c r="N2413" s="25">
        <f>IF(J2413&gt;300,1,0)</f>
        <v/>
      </c>
      <c r="O2413" s="25">
        <f>IF(J2413&gt;600,1,0)</f>
        <v/>
      </c>
      <c r="P2413" s="25">
        <f>IF(H2413&gt;0,J2413,"")</f>
        <v/>
      </c>
      <c r="Q2413" s="25">
        <f>TEXT(A2413,"YYYY-MM-DD HH")</f>
        <v/>
      </c>
      <c r="R2413" s="25">
        <f>COUNTIF($Q$2:$Q$5295,Q2413)</f>
        <v/>
      </c>
      <c r="S2413" s="25">
        <f>IF(R2413&lt;=2,"1-2",IF(R2413&lt;=5,"3-5",IF(R2413&lt;=10,"6-10","11+")))</f>
        <v/>
      </c>
    </row>
    <row r="2414">
      <c r="A2414" s="39" t="n">
        <v>46184.15431712963</v>
      </c>
      <c r="B2414" s="25">
        <f>TEXT(A2414,"YYYY-MM")</f>
        <v/>
      </c>
      <c r="C2414" s="25">
        <f>TEXT(A2414,"MMM-YYYY")</f>
        <v/>
      </c>
      <c r="D2414" s="40">
        <f>INT(A2414)-WEEKDAY(A2414,2)+1</f>
        <v/>
      </c>
      <c r="E2414" s="25" t="inlineStr">
        <is>
          <t>adey</t>
        </is>
      </c>
      <c r="F2414" s="25" t="n">
        <v>122795</v>
      </c>
      <c r="G2414" s="25" t="n">
        <v>2</v>
      </c>
      <c r="H2414" s="25" t="n">
        <v>10</v>
      </c>
      <c r="I2414" s="25" t="inlineStr">
        <is>
          <t>2 minute(s) and 18 second(s)</t>
        </is>
      </c>
      <c r="J2414" s="25">
        <f>IFERROR(VALUE(TRIM(LEFT(I2414,FIND("minute",I2414)-1)))*60,0)+IFERROR(VALUE(SUBSTITUTE(MID(I2414,IFERROR(FIND("and",I2414)+3,1),20),"second(s)","")),0)</f>
        <v/>
      </c>
      <c r="K2414" s="41">
        <f>J2414/60</f>
        <v/>
      </c>
      <c r="L2414" s="41">
        <f>IFERROR(J2414/H2414,"")</f>
        <v/>
      </c>
      <c r="M2414" s="25" t="inlineStr">
        <is>
          <t>2.5.12</t>
        </is>
      </c>
      <c r="N2414" s="25">
        <f>IF(J2414&gt;300,1,0)</f>
        <v/>
      </c>
      <c r="O2414" s="25">
        <f>IF(J2414&gt;600,1,0)</f>
        <v/>
      </c>
      <c r="P2414" s="25">
        <f>IF(H2414&gt;0,J2414,"")</f>
        <v/>
      </c>
      <c r="Q2414" s="25">
        <f>TEXT(A2414,"YYYY-MM-DD HH")</f>
        <v/>
      </c>
      <c r="R2414" s="25">
        <f>COUNTIF($Q$2:$Q$5295,Q2414)</f>
        <v/>
      </c>
      <c r="S2414" s="25">
        <f>IF(R2414&lt;=2,"1-2",IF(R2414&lt;=5,"3-5",IF(R2414&lt;=10,"6-10","11+")))</f>
        <v/>
      </c>
    </row>
    <row r="2415">
      <c r="A2415" s="39" t="n">
        <v>46184.16377314815</v>
      </c>
      <c r="B2415" s="25">
        <f>TEXT(A2415,"YYYY-MM")</f>
        <v/>
      </c>
      <c r="C2415" s="25">
        <f>TEXT(A2415,"MMM-YYYY")</f>
        <v/>
      </c>
      <c r="D2415" s="40">
        <f>INT(A2415)-WEEKDAY(A2415,2)+1</f>
        <v/>
      </c>
      <c r="E2415" s="25" t="inlineStr">
        <is>
          <t>anusharma</t>
        </is>
      </c>
      <c r="F2415" s="25" t="n">
        <v>121788</v>
      </c>
      <c r="G2415" s="25" t="n">
        <v>4</v>
      </c>
      <c r="H2415" s="25" t="n">
        <v>20</v>
      </c>
      <c r="I2415" s="25" t="inlineStr">
        <is>
          <t>6 minute(s) and 3 second(s)</t>
        </is>
      </c>
      <c r="J2415" s="25">
        <f>IFERROR(VALUE(TRIM(LEFT(I2415,FIND("minute",I2415)-1)))*60,0)+IFERROR(VALUE(SUBSTITUTE(MID(I2415,IFERROR(FIND("and",I2415)+3,1),20),"second(s)","")),0)</f>
        <v/>
      </c>
      <c r="K2415" s="41">
        <f>J2415/60</f>
        <v/>
      </c>
      <c r="L2415" s="41">
        <f>IFERROR(J2415/H2415,"")</f>
        <v/>
      </c>
      <c r="M2415" s="25" t="inlineStr">
        <is>
          <t>2.5.12</t>
        </is>
      </c>
      <c r="N2415" s="25">
        <f>IF(J2415&gt;300,1,0)</f>
        <v/>
      </c>
      <c r="O2415" s="25">
        <f>IF(J2415&gt;600,1,0)</f>
        <v/>
      </c>
      <c r="P2415" s="25">
        <f>IF(H2415&gt;0,J2415,"")</f>
        <v/>
      </c>
      <c r="Q2415" s="25">
        <f>TEXT(A2415,"YYYY-MM-DD HH")</f>
        <v/>
      </c>
      <c r="R2415" s="25">
        <f>COUNTIF($Q$2:$Q$5295,Q2415)</f>
        <v/>
      </c>
      <c r="S2415" s="25">
        <f>IF(R2415&lt;=2,"1-2",IF(R2415&lt;=5,"3-5",IF(R2415&lt;=10,"6-10","11+")))</f>
        <v/>
      </c>
    </row>
    <row r="2416">
      <c r="A2416" s="39" t="n">
        <v>46184.19907407407</v>
      </c>
      <c r="B2416" s="25">
        <f>TEXT(A2416,"YYYY-MM")</f>
        <v/>
      </c>
      <c r="C2416" s="25">
        <f>TEXT(A2416,"MMM-YYYY")</f>
        <v/>
      </c>
      <c r="D2416" s="40">
        <f>INT(A2416)-WEEKDAY(A2416,2)+1</f>
        <v/>
      </c>
      <c r="E2416" s="25" t="inlineStr">
        <is>
          <t>shassan</t>
        </is>
      </c>
      <c r="F2416" s="25" t="n">
        <v>123660</v>
      </c>
      <c r="G2416" s="25" t="n">
        <v>1</v>
      </c>
      <c r="H2416" s="25" t="n">
        <v>5</v>
      </c>
      <c r="I2416" s="25" t="inlineStr">
        <is>
          <t>1 minute(s) and 18 second(s)</t>
        </is>
      </c>
      <c r="J2416" s="25">
        <f>IFERROR(VALUE(TRIM(LEFT(I2416,FIND("minute",I2416)-1)))*60,0)+IFERROR(VALUE(SUBSTITUTE(MID(I2416,IFERROR(FIND("and",I2416)+3,1),20),"second(s)","")),0)</f>
        <v/>
      </c>
      <c r="K2416" s="41">
        <f>J2416/60</f>
        <v/>
      </c>
      <c r="L2416" s="41">
        <f>IFERROR(J2416/H2416,"")</f>
        <v/>
      </c>
      <c r="M2416" s="25" t="inlineStr">
        <is>
          <t>2.5.12</t>
        </is>
      </c>
      <c r="N2416" s="25">
        <f>IF(J2416&gt;300,1,0)</f>
        <v/>
      </c>
      <c r="O2416" s="25">
        <f>IF(J2416&gt;600,1,0)</f>
        <v/>
      </c>
      <c r="P2416" s="25">
        <f>IF(H2416&gt;0,J2416,"")</f>
        <v/>
      </c>
      <c r="Q2416" s="25">
        <f>TEXT(A2416,"YYYY-MM-DD HH")</f>
        <v/>
      </c>
      <c r="R2416" s="25">
        <f>COUNTIF($Q$2:$Q$5295,Q2416)</f>
        <v/>
      </c>
      <c r="S2416" s="25">
        <f>IF(R2416&lt;=2,"1-2",IF(R2416&lt;=5,"3-5",IF(R2416&lt;=10,"6-10","11+")))</f>
        <v/>
      </c>
    </row>
    <row r="2417">
      <c r="A2417" s="39" t="n">
        <v>46184.20449074074</v>
      </c>
      <c r="B2417" s="25">
        <f>TEXT(A2417,"YYYY-MM")</f>
        <v/>
      </c>
      <c r="C2417" s="25">
        <f>TEXT(A2417,"MMM-YYYY")</f>
        <v/>
      </c>
      <c r="D2417" s="40">
        <f>INT(A2417)-WEEKDAY(A2417,2)+1</f>
        <v/>
      </c>
      <c r="E2417" s="25" t="inlineStr">
        <is>
          <t>sswati</t>
        </is>
      </c>
      <c r="F2417" s="25" t="n">
        <v>114883</v>
      </c>
      <c r="G2417" s="25" t="n">
        <v>1</v>
      </c>
      <c r="H2417" s="25" t="n">
        <v>7</v>
      </c>
      <c r="I2417" s="25" t="inlineStr">
        <is>
          <t>1 minute(s) and 52 second(s)</t>
        </is>
      </c>
      <c r="J2417" s="25">
        <f>IFERROR(VALUE(TRIM(LEFT(I2417,FIND("minute",I2417)-1)))*60,0)+IFERROR(VALUE(SUBSTITUTE(MID(I2417,IFERROR(FIND("and",I2417)+3,1),20),"second(s)","")),0)</f>
        <v/>
      </c>
      <c r="K2417" s="41">
        <f>J2417/60</f>
        <v/>
      </c>
      <c r="L2417" s="41">
        <f>IFERROR(J2417/H2417,"")</f>
        <v/>
      </c>
      <c r="M2417" s="25" t="inlineStr">
        <is>
          <t>2.5.12</t>
        </is>
      </c>
      <c r="N2417" s="25">
        <f>IF(J2417&gt;300,1,0)</f>
        <v/>
      </c>
      <c r="O2417" s="25">
        <f>IF(J2417&gt;600,1,0)</f>
        <v/>
      </c>
      <c r="P2417" s="25">
        <f>IF(H2417&gt;0,J2417,"")</f>
        <v/>
      </c>
      <c r="Q2417" s="25">
        <f>TEXT(A2417,"YYYY-MM-DD HH")</f>
        <v/>
      </c>
      <c r="R2417" s="25">
        <f>COUNTIF($Q$2:$Q$5295,Q2417)</f>
        <v/>
      </c>
      <c r="S2417" s="25">
        <f>IF(R2417&lt;=2,"1-2",IF(R2417&lt;=5,"3-5",IF(R2417&lt;=10,"6-10","11+")))</f>
        <v/>
      </c>
    </row>
    <row r="2418">
      <c r="A2418" s="39" t="n">
        <v>46184.27225694444</v>
      </c>
      <c r="B2418" s="25">
        <f>TEXT(A2418,"YYYY-MM")</f>
        <v/>
      </c>
      <c r="C2418" s="25">
        <f>TEXT(A2418,"MMM-YYYY")</f>
        <v/>
      </c>
      <c r="D2418" s="40">
        <f>INT(A2418)-WEEKDAY(A2418,2)+1</f>
        <v/>
      </c>
      <c r="E2418" s="25" t="inlineStr">
        <is>
          <t>ssaha</t>
        </is>
      </c>
      <c r="F2418" s="25" t="n">
        <v>122429</v>
      </c>
      <c r="G2418" s="25" t="n">
        <v>4</v>
      </c>
      <c r="H2418" s="25" t="n">
        <v>22</v>
      </c>
      <c r="I2418" s="25" t="inlineStr">
        <is>
          <t>5 minute(s) and 5 second(s)</t>
        </is>
      </c>
      <c r="J2418" s="25">
        <f>IFERROR(VALUE(TRIM(LEFT(I2418,FIND("minute",I2418)-1)))*60,0)+IFERROR(VALUE(SUBSTITUTE(MID(I2418,IFERROR(FIND("and",I2418)+3,1),20),"second(s)","")),0)</f>
        <v/>
      </c>
      <c r="K2418" s="41">
        <f>J2418/60</f>
        <v/>
      </c>
      <c r="L2418" s="41">
        <f>IFERROR(J2418/H2418,"")</f>
        <v/>
      </c>
      <c r="M2418" s="25" t="inlineStr">
        <is>
          <t>2.5.12</t>
        </is>
      </c>
      <c r="N2418" s="25">
        <f>IF(J2418&gt;300,1,0)</f>
        <v/>
      </c>
      <c r="O2418" s="25">
        <f>IF(J2418&gt;600,1,0)</f>
        <v/>
      </c>
      <c r="P2418" s="25">
        <f>IF(H2418&gt;0,J2418,"")</f>
        <v/>
      </c>
      <c r="Q2418" s="25">
        <f>TEXT(A2418,"YYYY-MM-DD HH")</f>
        <v/>
      </c>
      <c r="R2418" s="25">
        <f>COUNTIF($Q$2:$Q$5295,Q2418)</f>
        <v/>
      </c>
      <c r="S2418" s="25">
        <f>IF(R2418&lt;=2,"1-2",IF(R2418&lt;=5,"3-5",IF(R2418&lt;=10,"6-10","11+")))</f>
        <v/>
      </c>
    </row>
    <row r="2419">
      <c r="A2419" s="39" t="n">
        <v>46184.4104050926</v>
      </c>
      <c r="B2419" s="25">
        <f>TEXT(A2419,"YYYY-MM")</f>
        <v/>
      </c>
      <c r="C2419" s="25">
        <f>TEXT(A2419,"MMM-YYYY")</f>
        <v/>
      </c>
      <c r="D2419" s="40">
        <f>INT(A2419)-WEEKDAY(A2419,2)+1</f>
        <v/>
      </c>
      <c r="E2419" s="25" t="inlineStr">
        <is>
          <t>ssaha</t>
        </is>
      </c>
      <c r="F2419" s="25" t="n">
        <v>122430</v>
      </c>
      <c r="G2419" s="25" t="n">
        <v>2</v>
      </c>
      <c r="H2419" s="25" t="n">
        <v>12</v>
      </c>
      <c r="I2419" s="25" t="inlineStr">
        <is>
          <t>4 minute(s) and 29 second(s)</t>
        </is>
      </c>
      <c r="J2419" s="25">
        <f>IFERROR(VALUE(TRIM(LEFT(I2419,FIND("minute",I2419)-1)))*60,0)+IFERROR(VALUE(SUBSTITUTE(MID(I2419,IFERROR(FIND("and",I2419)+3,1),20),"second(s)","")),0)</f>
        <v/>
      </c>
      <c r="K2419" s="41">
        <f>J2419/60</f>
        <v/>
      </c>
      <c r="L2419" s="41">
        <f>IFERROR(J2419/H2419,"")</f>
        <v/>
      </c>
      <c r="M2419" s="25" t="inlineStr">
        <is>
          <t>2.5.12</t>
        </is>
      </c>
      <c r="N2419" s="25">
        <f>IF(J2419&gt;300,1,0)</f>
        <v/>
      </c>
      <c r="O2419" s="25">
        <f>IF(J2419&gt;600,1,0)</f>
        <v/>
      </c>
      <c r="P2419" s="25">
        <f>IF(H2419&gt;0,J2419,"")</f>
        <v/>
      </c>
      <c r="Q2419" s="25">
        <f>TEXT(A2419,"YYYY-MM-DD HH")</f>
        <v/>
      </c>
      <c r="R2419" s="25">
        <f>COUNTIF($Q$2:$Q$5295,Q2419)</f>
        <v/>
      </c>
      <c r="S2419" s="25">
        <f>IF(R2419&lt;=2,"1-2",IF(R2419&lt;=5,"3-5",IF(R2419&lt;=10,"6-10","11+")))</f>
        <v/>
      </c>
    </row>
    <row r="2420">
      <c r="A2420" s="39" t="n">
        <v>46184.48525462963</v>
      </c>
      <c r="B2420" s="25">
        <f>TEXT(A2420,"YYYY-MM")</f>
        <v/>
      </c>
      <c r="C2420" s="25">
        <f>TEXT(A2420,"MMM-YYYY")</f>
        <v/>
      </c>
      <c r="D2420" s="40">
        <f>INT(A2420)-WEEKDAY(A2420,2)+1</f>
        <v/>
      </c>
      <c r="E2420" s="25" t="inlineStr">
        <is>
          <t>ssaha</t>
        </is>
      </c>
      <c r="F2420" s="25" t="n">
        <v>122437</v>
      </c>
      <c r="G2420" s="25" t="n">
        <v>4</v>
      </c>
      <c r="H2420" s="25" t="n">
        <v>18</v>
      </c>
      <c r="I2420" s="25" t="inlineStr">
        <is>
          <t>5 minute(s) and 10 second(s)</t>
        </is>
      </c>
      <c r="J2420" s="25">
        <f>IFERROR(VALUE(TRIM(LEFT(I2420,FIND("minute",I2420)-1)))*60,0)+IFERROR(VALUE(SUBSTITUTE(MID(I2420,IFERROR(FIND("and",I2420)+3,1),20),"second(s)","")),0)</f>
        <v/>
      </c>
      <c r="K2420" s="41">
        <f>J2420/60</f>
        <v/>
      </c>
      <c r="L2420" s="41">
        <f>IFERROR(J2420/H2420,"")</f>
        <v/>
      </c>
      <c r="M2420" s="25" t="inlineStr">
        <is>
          <t>2.5.12</t>
        </is>
      </c>
      <c r="N2420" s="25">
        <f>IF(J2420&gt;300,1,0)</f>
        <v/>
      </c>
      <c r="O2420" s="25">
        <f>IF(J2420&gt;600,1,0)</f>
        <v/>
      </c>
      <c r="P2420" s="25">
        <f>IF(H2420&gt;0,J2420,"")</f>
        <v/>
      </c>
      <c r="Q2420" s="25">
        <f>TEXT(A2420,"YYYY-MM-DD HH")</f>
        <v/>
      </c>
      <c r="R2420" s="25">
        <f>COUNTIF($Q$2:$Q$5295,Q2420)</f>
        <v/>
      </c>
      <c r="S2420" s="25">
        <f>IF(R2420&lt;=2,"1-2",IF(R2420&lt;=5,"3-5",IF(R2420&lt;=10,"6-10","11+")))</f>
        <v/>
      </c>
    </row>
    <row r="2421">
      <c r="A2421" s="39" t="n">
        <v>46184.51856481482</v>
      </c>
      <c r="B2421" s="25">
        <f>TEXT(A2421,"YYYY-MM")</f>
        <v/>
      </c>
      <c r="C2421" s="25">
        <f>TEXT(A2421,"MMM-YYYY")</f>
        <v/>
      </c>
      <c r="D2421" s="40">
        <f>INT(A2421)-WEEKDAY(A2421,2)+1</f>
        <v/>
      </c>
      <c r="E2421" s="25" t="inlineStr">
        <is>
          <t>rsingh</t>
        </is>
      </c>
      <c r="F2421" s="25" t="n">
        <v>122601</v>
      </c>
      <c r="G2421" s="25" t="n">
        <v>2</v>
      </c>
      <c r="H2421" s="25" t="n">
        <v>8</v>
      </c>
      <c r="I2421" s="25" t="inlineStr">
        <is>
          <t>5 minute(s) and 17 second(s)</t>
        </is>
      </c>
      <c r="J2421" s="25">
        <f>IFERROR(VALUE(TRIM(LEFT(I2421,FIND("minute",I2421)-1)))*60,0)+IFERROR(VALUE(SUBSTITUTE(MID(I2421,IFERROR(FIND("and",I2421)+3,1),20),"second(s)","")),0)</f>
        <v/>
      </c>
      <c r="K2421" s="41">
        <f>J2421/60</f>
        <v/>
      </c>
      <c r="L2421" s="41">
        <f>IFERROR(J2421/H2421,"")</f>
        <v/>
      </c>
      <c r="M2421" s="25" t="inlineStr">
        <is>
          <t>2.5.12</t>
        </is>
      </c>
      <c r="N2421" s="25">
        <f>IF(J2421&gt;300,1,0)</f>
        <v/>
      </c>
      <c r="O2421" s="25">
        <f>IF(J2421&gt;600,1,0)</f>
        <v/>
      </c>
      <c r="P2421" s="25">
        <f>IF(H2421&gt;0,J2421,"")</f>
        <v/>
      </c>
      <c r="Q2421" s="25">
        <f>TEXT(A2421,"YYYY-MM-DD HH")</f>
        <v/>
      </c>
      <c r="R2421" s="25">
        <f>COUNTIF($Q$2:$Q$5295,Q2421)</f>
        <v/>
      </c>
      <c r="S2421" s="25">
        <f>IF(R2421&lt;=2,"1-2",IF(R2421&lt;=5,"3-5",IF(R2421&lt;=10,"6-10","11+")))</f>
        <v/>
      </c>
    </row>
    <row r="2422">
      <c r="A2422" s="39" t="n">
        <v>46184.53733796296</v>
      </c>
      <c r="B2422" s="25">
        <f>TEXT(A2422,"YYYY-MM")</f>
        <v/>
      </c>
      <c r="C2422" s="25">
        <f>TEXT(A2422,"MMM-YYYY")</f>
        <v/>
      </c>
      <c r="D2422" s="40">
        <f>INT(A2422)-WEEKDAY(A2422,2)+1</f>
        <v/>
      </c>
      <c r="E2422" s="25" t="inlineStr">
        <is>
          <t>ssaha</t>
        </is>
      </c>
      <c r="F2422" s="25" t="n">
        <v>12440</v>
      </c>
      <c r="G2422" s="25" t="n">
        <v>2</v>
      </c>
      <c r="H2422" s="25" t="n">
        <v>10</v>
      </c>
      <c r="I2422" s="25" t="inlineStr">
        <is>
          <t>3 minute(s) and 12 second(s)</t>
        </is>
      </c>
      <c r="J2422" s="25">
        <f>IFERROR(VALUE(TRIM(LEFT(I2422,FIND("minute",I2422)-1)))*60,0)+IFERROR(VALUE(SUBSTITUTE(MID(I2422,IFERROR(FIND("and",I2422)+3,1),20),"second(s)","")),0)</f>
        <v/>
      </c>
      <c r="K2422" s="41">
        <f>J2422/60</f>
        <v/>
      </c>
      <c r="L2422" s="41">
        <f>IFERROR(J2422/H2422,"")</f>
        <v/>
      </c>
      <c r="M2422" s="25" t="inlineStr">
        <is>
          <t>2.5.12</t>
        </is>
      </c>
      <c r="N2422" s="25">
        <f>IF(J2422&gt;300,1,0)</f>
        <v/>
      </c>
      <c r="O2422" s="25">
        <f>IF(J2422&gt;600,1,0)</f>
        <v/>
      </c>
      <c r="P2422" s="25">
        <f>IF(H2422&gt;0,J2422,"")</f>
        <v/>
      </c>
      <c r="Q2422" s="25">
        <f>TEXT(A2422,"YYYY-MM-DD HH")</f>
        <v/>
      </c>
      <c r="R2422" s="25">
        <f>COUNTIF($Q$2:$Q$5295,Q2422)</f>
        <v/>
      </c>
      <c r="S2422" s="25">
        <f>IF(R2422&lt;=2,"1-2",IF(R2422&lt;=5,"3-5",IF(R2422&lt;=10,"6-10","11+")))</f>
        <v/>
      </c>
    </row>
    <row r="2423">
      <c r="A2423" s="39" t="n">
        <v>46184.56200231481</v>
      </c>
      <c r="B2423" s="25">
        <f>TEXT(A2423,"YYYY-MM")</f>
        <v/>
      </c>
      <c r="C2423" s="25">
        <f>TEXT(A2423,"MMM-YYYY")</f>
        <v/>
      </c>
      <c r="D2423" s="40">
        <f>INT(A2423)-WEEKDAY(A2423,2)+1</f>
        <v/>
      </c>
      <c r="E2423" s="25" t="inlineStr">
        <is>
          <t>rsingh</t>
        </is>
      </c>
      <c r="F2423" s="25" t="n">
        <v>122605</v>
      </c>
      <c r="G2423" s="25" t="n">
        <v>2</v>
      </c>
      <c r="H2423" s="25" t="n">
        <v>12</v>
      </c>
      <c r="I2423" s="25" t="inlineStr">
        <is>
          <t>5 minute(s) and 55 second(s)</t>
        </is>
      </c>
      <c r="J2423" s="25">
        <f>IFERROR(VALUE(TRIM(LEFT(I2423,FIND("minute",I2423)-1)))*60,0)+IFERROR(VALUE(SUBSTITUTE(MID(I2423,IFERROR(FIND("and",I2423)+3,1),20),"second(s)","")),0)</f>
        <v/>
      </c>
      <c r="K2423" s="41">
        <f>J2423/60</f>
        <v/>
      </c>
      <c r="L2423" s="41">
        <f>IFERROR(J2423/H2423,"")</f>
        <v/>
      </c>
      <c r="M2423" s="25" t="inlineStr">
        <is>
          <t>2.5.12</t>
        </is>
      </c>
      <c r="N2423" s="25">
        <f>IF(J2423&gt;300,1,0)</f>
        <v/>
      </c>
      <c r="O2423" s="25">
        <f>IF(J2423&gt;600,1,0)</f>
        <v/>
      </c>
      <c r="P2423" s="25">
        <f>IF(H2423&gt;0,J2423,"")</f>
        <v/>
      </c>
      <c r="Q2423" s="25">
        <f>TEXT(A2423,"YYYY-MM-DD HH")</f>
        <v/>
      </c>
      <c r="R2423" s="25">
        <f>COUNTIF($Q$2:$Q$5295,Q2423)</f>
        <v/>
      </c>
      <c r="S2423" s="25">
        <f>IF(R2423&lt;=2,"1-2",IF(R2423&lt;=5,"3-5",IF(R2423&lt;=10,"6-10","11+")))</f>
        <v/>
      </c>
    </row>
    <row r="2424">
      <c r="A2424" s="39" t="n">
        <v>46184.58355324074</v>
      </c>
      <c r="B2424" s="25">
        <f>TEXT(A2424,"YYYY-MM")</f>
        <v/>
      </c>
      <c r="C2424" s="25">
        <f>TEXT(A2424,"MMM-YYYY")</f>
        <v/>
      </c>
      <c r="D2424" s="40">
        <f>INT(A2424)-WEEKDAY(A2424,2)+1</f>
        <v/>
      </c>
      <c r="E2424" s="25" t="inlineStr">
        <is>
          <t>ssaha</t>
        </is>
      </c>
      <c r="F2424" s="25" t="n">
        <v>122445</v>
      </c>
      <c r="G2424" s="25" t="n">
        <v>2</v>
      </c>
      <c r="H2424" s="25" t="n">
        <v>10</v>
      </c>
      <c r="I2424" s="25" t="inlineStr">
        <is>
          <t>1 minute(s) and 58 second(s)</t>
        </is>
      </c>
      <c r="J2424" s="25">
        <f>IFERROR(VALUE(TRIM(LEFT(I2424,FIND("minute",I2424)-1)))*60,0)+IFERROR(VALUE(SUBSTITUTE(MID(I2424,IFERROR(FIND("and",I2424)+3,1),20),"second(s)","")),0)</f>
        <v/>
      </c>
      <c r="K2424" s="41">
        <f>J2424/60</f>
        <v/>
      </c>
      <c r="L2424" s="41">
        <f>IFERROR(J2424/H2424,"")</f>
        <v/>
      </c>
      <c r="M2424" s="25" t="inlineStr">
        <is>
          <t>2.5.12</t>
        </is>
      </c>
      <c r="N2424" s="25">
        <f>IF(J2424&gt;300,1,0)</f>
        <v/>
      </c>
      <c r="O2424" s="25">
        <f>IF(J2424&gt;600,1,0)</f>
        <v/>
      </c>
      <c r="P2424" s="25">
        <f>IF(H2424&gt;0,J2424,"")</f>
        <v/>
      </c>
      <c r="Q2424" s="25">
        <f>TEXT(A2424,"YYYY-MM-DD HH")</f>
        <v/>
      </c>
      <c r="R2424" s="25">
        <f>COUNTIF($Q$2:$Q$5295,Q2424)</f>
        <v/>
      </c>
      <c r="S2424" s="25">
        <f>IF(R2424&lt;=2,"1-2",IF(R2424&lt;=5,"3-5",IF(R2424&lt;=10,"6-10","11+")))</f>
        <v/>
      </c>
    </row>
    <row r="2425">
      <c r="A2425" s="39" t="n">
        <v>46184.60936342592</v>
      </c>
      <c r="B2425" s="25">
        <f>TEXT(A2425,"YYYY-MM")</f>
        <v/>
      </c>
      <c r="C2425" s="25">
        <f>TEXT(A2425,"MMM-YYYY")</f>
        <v/>
      </c>
      <c r="D2425" s="40">
        <f>INT(A2425)-WEEKDAY(A2425,2)+1</f>
        <v/>
      </c>
      <c r="E2425" s="25" t="inlineStr">
        <is>
          <t>ssaha</t>
        </is>
      </c>
      <c r="F2425" s="25" t="n">
        <v>122446</v>
      </c>
      <c r="G2425" s="25" t="n">
        <v>2</v>
      </c>
      <c r="H2425" s="25" t="n">
        <v>10</v>
      </c>
      <c r="I2425" s="25" t="inlineStr">
        <is>
          <t>2 minute(s) and 31 second(s)</t>
        </is>
      </c>
      <c r="J2425" s="25">
        <f>IFERROR(VALUE(TRIM(LEFT(I2425,FIND("minute",I2425)-1)))*60,0)+IFERROR(VALUE(SUBSTITUTE(MID(I2425,IFERROR(FIND("and",I2425)+3,1),20),"second(s)","")),0)</f>
        <v/>
      </c>
      <c r="K2425" s="41">
        <f>J2425/60</f>
        <v/>
      </c>
      <c r="L2425" s="41">
        <f>IFERROR(J2425/H2425,"")</f>
        <v/>
      </c>
      <c r="M2425" s="25" t="inlineStr">
        <is>
          <t>2.5.12</t>
        </is>
      </c>
      <c r="N2425" s="25">
        <f>IF(J2425&gt;300,1,0)</f>
        <v/>
      </c>
      <c r="O2425" s="25">
        <f>IF(J2425&gt;600,1,0)</f>
        <v/>
      </c>
      <c r="P2425" s="25">
        <f>IF(H2425&gt;0,J2425,"")</f>
        <v/>
      </c>
      <c r="Q2425" s="25">
        <f>TEXT(A2425,"YYYY-MM-DD HH")</f>
        <v/>
      </c>
      <c r="R2425" s="25">
        <f>COUNTIF($Q$2:$Q$5295,Q2425)</f>
        <v/>
      </c>
      <c r="S2425" s="25">
        <f>IF(R2425&lt;=2,"1-2",IF(R2425&lt;=5,"3-5",IF(R2425&lt;=10,"6-10","11+")))</f>
        <v/>
      </c>
    </row>
    <row r="2426">
      <c r="A2426" s="39" t="n">
        <v>46184.65432870371</v>
      </c>
      <c r="B2426" s="25">
        <f>TEXT(A2426,"YYYY-MM")</f>
        <v/>
      </c>
      <c r="C2426" s="25">
        <f>TEXT(A2426,"MMM-YYYY")</f>
        <v/>
      </c>
      <c r="D2426" s="40">
        <f>INT(A2426)-WEEKDAY(A2426,2)+1</f>
        <v/>
      </c>
      <c r="E2426" s="25" t="inlineStr">
        <is>
          <t>ssaha</t>
        </is>
      </c>
      <c r="F2426" s="25" t="n">
        <v>122449</v>
      </c>
      <c r="G2426" s="25" t="n">
        <v>4</v>
      </c>
      <c r="H2426" s="25" t="n">
        <v>20</v>
      </c>
      <c r="I2426" s="25" t="inlineStr">
        <is>
          <t>4 minute(s) and 47 second(s)</t>
        </is>
      </c>
      <c r="J2426" s="25">
        <f>IFERROR(VALUE(TRIM(LEFT(I2426,FIND("minute",I2426)-1)))*60,0)+IFERROR(VALUE(SUBSTITUTE(MID(I2426,IFERROR(FIND("and",I2426)+3,1),20),"second(s)","")),0)</f>
        <v/>
      </c>
      <c r="K2426" s="41">
        <f>J2426/60</f>
        <v/>
      </c>
      <c r="L2426" s="41">
        <f>IFERROR(J2426/H2426,"")</f>
        <v/>
      </c>
      <c r="M2426" s="25" t="inlineStr">
        <is>
          <t>2.5.12</t>
        </is>
      </c>
      <c r="N2426" s="25">
        <f>IF(J2426&gt;300,1,0)</f>
        <v/>
      </c>
      <c r="O2426" s="25">
        <f>IF(J2426&gt;600,1,0)</f>
        <v/>
      </c>
      <c r="P2426" s="25">
        <f>IF(H2426&gt;0,J2426,"")</f>
        <v/>
      </c>
      <c r="Q2426" s="25">
        <f>TEXT(A2426,"YYYY-MM-DD HH")</f>
        <v/>
      </c>
      <c r="R2426" s="25">
        <f>COUNTIF($Q$2:$Q$5295,Q2426)</f>
        <v/>
      </c>
      <c r="S2426" s="25">
        <f>IF(R2426&lt;=2,"1-2",IF(R2426&lt;=5,"3-5",IF(R2426&lt;=10,"6-10","11+")))</f>
        <v/>
      </c>
    </row>
    <row r="2427">
      <c r="A2427" s="39" t="n">
        <v>46184.70712962963</v>
      </c>
      <c r="B2427" s="25">
        <f>TEXT(A2427,"YYYY-MM")</f>
        <v/>
      </c>
      <c r="C2427" s="25">
        <f>TEXT(A2427,"MMM-YYYY")</f>
        <v/>
      </c>
      <c r="D2427" s="40">
        <f>INT(A2427)-WEEKDAY(A2427,2)+1</f>
        <v/>
      </c>
      <c r="E2427" s="25" t="inlineStr">
        <is>
          <t>ssaha</t>
        </is>
      </c>
      <c r="F2427" s="25" t="n">
        <v>122490</v>
      </c>
      <c r="G2427" s="25" t="n">
        <v>2</v>
      </c>
      <c r="H2427" s="25" t="n">
        <v>8</v>
      </c>
      <c r="I2427" s="25" t="inlineStr">
        <is>
          <t>2 minute(s) and 7 second(s)</t>
        </is>
      </c>
      <c r="J2427" s="25">
        <f>IFERROR(VALUE(TRIM(LEFT(I2427,FIND("minute",I2427)-1)))*60,0)+IFERROR(VALUE(SUBSTITUTE(MID(I2427,IFERROR(FIND("and",I2427)+3,1),20),"second(s)","")),0)</f>
        <v/>
      </c>
      <c r="K2427" s="41">
        <f>J2427/60</f>
        <v/>
      </c>
      <c r="L2427" s="41">
        <f>IFERROR(J2427/H2427,"")</f>
        <v/>
      </c>
      <c r="M2427" s="25" t="inlineStr">
        <is>
          <t>2.5.12</t>
        </is>
      </c>
      <c r="N2427" s="25">
        <f>IF(J2427&gt;300,1,0)</f>
        <v/>
      </c>
      <c r="O2427" s="25">
        <f>IF(J2427&gt;600,1,0)</f>
        <v/>
      </c>
      <c r="P2427" s="25">
        <f>IF(H2427&gt;0,J2427,"")</f>
        <v/>
      </c>
      <c r="Q2427" s="25">
        <f>TEXT(A2427,"YYYY-MM-DD HH")</f>
        <v/>
      </c>
      <c r="R2427" s="25">
        <f>COUNTIF($Q$2:$Q$5295,Q2427)</f>
        <v/>
      </c>
      <c r="S2427" s="25">
        <f>IF(R2427&lt;=2,"1-2",IF(R2427&lt;=5,"3-5",IF(R2427&lt;=10,"6-10","11+")))</f>
        <v/>
      </c>
    </row>
    <row r="2428">
      <c r="A2428" s="39" t="n">
        <v>46184.96445601852</v>
      </c>
      <c r="B2428" s="25">
        <f>TEXT(A2428,"YYYY-MM")</f>
        <v/>
      </c>
      <c r="C2428" s="25">
        <f>TEXT(A2428,"MMM-YYYY")</f>
        <v/>
      </c>
      <c r="D2428" s="40">
        <f>INT(A2428)-WEEKDAY(A2428,2)+1</f>
        <v/>
      </c>
      <c r="E2428" s="25" t="inlineStr">
        <is>
          <t>ssarkar</t>
        </is>
      </c>
      <c r="F2428" s="25" t="n">
        <v>122966</v>
      </c>
      <c r="G2428" s="25" t="n">
        <v>1</v>
      </c>
      <c r="H2428" s="25" t="n">
        <v>7</v>
      </c>
      <c r="I2428" s="25" t="inlineStr">
        <is>
          <t>3 minute(s) and 9 second(s)</t>
        </is>
      </c>
      <c r="J2428" s="25">
        <f>IFERROR(VALUE(TRIM(LEFT(I2428,FIND("minute",I2428)-1)))*60,0)+IFERROR(VALUE(SUBSTITUTE(MID(I2428,IFERROR(FIND("and",I2428)+3,1),20),"second(s)","")),0)</f>
        <v/>
      </c>
      <c r="K2428" s="41">
        <f>J2428/60</f>
        <v/>
      </c>
      <c r="L2428" s="41">
        <f>IFERROR(J2428/H2428,"")</f>
        <v/>
      </c>
      <c r="M2428" s="25" t="inlineStr">
        <is>
          <t>2.5.12</t>
        </is>
      </c>
      <c r="N2428" s="25">
        <f>IF(J2428&gt;300,1,0)</f>
        <v/>
      </c>
      <c r="O2428" s="25">
        <f>IF(J2428&gt;600,1,0)</f>
        <v/>
      </c>
      <c r="P2428" s="25">
        <f>IF(H2428&gt;0,J2428,"")</f>
        <v/>
      </c>
      <c r="Q2428" s="25">
        <f>TEXT(A2428,"YYYY-MM-DD HH")</f>
        <v/>
      </c>
      <c r="R2428" s="25">
        <f>COUNTIF($Q$2:$Q$5295,Q2428)</f>
        <v/>
      </c>
      <c r="S2428" s="25">
        <f>IF(R2428&lt;=2,"1-2",IF(R2428&lt;=5,"3-5",IF(R2428&lt;=10,"6-10","11+")))</f>
        <v/>
      </c>
    </row>
    <row r="2429">
      <c r="A2429" s="39" t="n">
        <v>46184.96945601852</v>
      </c>
      <c r="B2429" s="25">
        <f>TEXT(A2429,"YYYY-MM")</f>
        <v/>
      </c>
      <c r="C2429" s="25">
        <f>TEXT(A2429,"MMM-YYYY")</f>
        <v/>
      </c>
      <c r="D2429" s="40">
        <f>INT(A2429)-WEEKDAY(A2429,2)+1</f>
        <v/>
      </c>
      <c r="E2429" s="25" t="inlineStr">
        <is>
          <t>dchoudhury</t>
        </is>
      </c>
      <c r="F2429" s="25" t="n">
        <v>122837</v>
      </c>
      <c r="G2429" s="25" t="n">
        <v>2</v>
      </c>
      <c r="H2429" s="25" t="n">
        <v>13</v>
      </c>
      <c r="I2429" s="25" t="inlineStr">
        <is>
          <t>3 minute(s) and 21 second(s)</t>
        </is>
      </c>
      <c r="J2429" s="25">
        <f>IFERROR(VALUE(TRIM(LEFT(I2429,FIND("minute",I2429)-1)))*60,0)+IFERROR(VALUE(SUBSTITUTE(MID(I2429,IFERROR(FIND("and",I2429)+3,1),20),"second(s)","")),0)</f>
        <v/>
      </c>
      <c r="K2429" s="41">
        <f>J2429/60</f>
        <v/>
      </c>
      <c r="L2429" s="41">
        <f>IFERROR(J2429/H2429,"")</f>
        <v/>
      </c>
      <c r="M2429" s="25" t="inlineStr">
        <is>
          <t>2.5.12</t>
        </is>
      </c>
      <c r="N2429" s="25">
        <f>IF(J2429&gt;300,1,0)</f>
        <v/>
      </c>
      <c r="O2429" s="25">
        <f>IF(J2429&gt;600,1,0)</f>
        <v/>
      </c>
      <c r="P2429" s="25">
        <f>IF(H2429&gt;0,J2429,"")</f>
        <v/>
      </c>
      <c r="Q2429" s="25">
        <f>TEXT(A2429,"YYYY-MM-DD HH")</f>
        <v/>
      </c>
      <c r="R2429" s="25">
        <f>COUNTIF($Q$2:$Q$5295,Q2429)</f>
        <v/>
      </c>
      <c r="S2429" s="25">
        <f>IF(R2429&lt;=2,"1-2",IF(R2429&lt;=5,"3-5",IF(R2429&lt;=10,"6-10","11+")))</f>
        <v/>
      </c>
    </row>
    <row r="2430">
      <c r="A2430" s="39" t="n">
        <v>46184.9970949074</v>
      </c>
      <c r="B2430" s="25">
        <f>TEXT(A2430,"YYYY-MM")</f>
        <v/>
      </c>
      <c r="C2430" s="25">
        <f>TEXT(A2430,"MMM-YYYY")</f>
        <v/>
      </c>
      <c r="D2430" s="40">
        <f>INT(A2430)-WEEKDAY(A2430,2)+1</f>
        <v/>
      </c>
      <c r="E2430" s="25" t="inlineStr">
        <is>
          <t>ssarkar</t>
        </is>
      </c>
      <c r="F2430" s="25" t="n">
        <v>122963</v>
      </c>
      <c r="G2430" s="25" t="n">
        <v>1</v>
      </c>
      <c r="H2430" s="25" t="n">
        <v>7</v>
      </c>
      <c r="I2430" s="25" t="inlineStr">
        <is>
          <t>4 minute(s) and 55 second(s)</t>
        </is>
      </c>
      <c r="J2430" s="25">
        <f>IFERROR(VALUE(TRIM(LEFT(I2430,FIND("minute",I2430)-1)))*60,0)+IFERROR(VALUE(SUBSTITUTE(MID(I2430,IFERROR(FIND("and",I2430)+3,1),20),"second(s)","")),0)</f>
        <v/>
      </c>
      <c r="K2430" s="41">
        <f>J2430/60</f>
        <v/>
      </c>
      <c r="L2430" s="41">
        <f>IFERROR(J2430/H2430,"")</f>
        <v/>
      </c>
      <c r="M2430" s="25" t="inlineStr">
        <is>
          <t>2.5.12</t>
        </is>
      </c>
      <c r="N2430" s="25">
        <f>IF(J2430&gt;300,1,0)</f>
        <v/>
      </c>
      <c r="O2430" s="25">
        <f>IF(J2430&gt;600,1,0)</f>
        <v/>
      </c>
      <c r="P2430" s="25">
        <f>IF(H2430&gt;0,J2430,"")</f>
        <v/>
      </c>
      <c r="Q2430" s="25">
        <f>TEXT(A2430,"YYYY-MM-DD HH")</f>
        <v/>
      </c>
      <c r="R2430" s="25">
        <f>COUNTIF($Q$2:$Q$5295,Q2430)</f>
        <v/>
      </c>
      <c r="S2430" s="25">
        <f>IF(R2430&lt;=2,"1-2",IF(R2430&lt;=5,"3-5",IF(R2430&lt;=10,"6-10","11+")))</f>
        <v/>
      </c>
    </row>
    <row r="2431">
      <c r="A2431" s="39" t="n">
        <v>46185.04431712963</v>
      </c>
      <c r="B2431" s="25">
        <f>TEXT(A2431,"YYYY-MM")</f>
        <v/>
      </c>
      <c r="C2431" s="25">
        <f>TEXT(A2431,"MMM-YYYY")</f>
        <v/>
      </c>
      <c r="D2431" s="40">
        <f>INT(A2431)-WEEKDAY(A2431,2)+1</f>
        <v/>
      </c>
      <c r="E2431" s="25" t="inlineStr">
        <is>
          <t>anusharma</t>
        </is>
      </c>
      <c r="F2431" s="25" t="n">
        <v>123169</v>
      </c>
      <c r="G2431" s="25" t="n">
        <v>2</v>
      </c>
      <c r="H2431" s="25" t="n">
        <v>10</v>
      </c>
      <c r="I2431" s="25" t="inlineStr">
        <is>
          <t>4 minute(s) and 42 second(s)</t>
        </is>
      </c>
      <c r="J2431" s="25">
        <f>IFERROR(VALUE(TRIM(LEFT(I2431,FIND("minute",I2431)-1)))*60,0)+IFERROR(VALUE(SUBSTITUTE(MID(I2431,IFERROR(FIND("and",I2431)+3,1),20),"second(s)","")),0)</f>
        <v/>
      </c>
      <c r="K2431" s="41">
        <f>J2431/60</f>
        <v/>
      </c>
      <c r="L2431" s="41">
        <f>IFERROR(J2431/H2431,"")</f>
        <v/>
      </c>
      <c r="M2431" s="25" t="inlineStr">
        <is>
          <t>2.5.12</t>
        </is>
      </c>
      <c r="N2431" s="25">
        <f>IF(J2431&gt;300,1,0)</f>
        <v/>
      </c>
      <c r="O2431" s="25">
        <f>IF(J2431&gt;600,1,0)</f>
        <v/>
      </c>
      <c r="P2431" s="25">
        <f>IF(H2431&gt;0,J2431,"")</f>
        <v/>
      </c>
      <c r="Q2431" s="25">
        <f>TEXT(A2431,"YYYY-MM-DD HH")</f>
        <v/>
      </c>
      <c r="R2431" s="25">
        <f>COUNTIF($Q$2:$Q$5295,Q2431)</f>
        <v/>
      </c>
      <c r="S2431" s="25">
        <f>IF(R2431&lt;=2,"1-2",IF(R2431&lt;=5,"3-5",IF(R2431&lt;=10,"6-10","11+")))</f>
        <v/>
      </c>
    </row>
    <row r="2432">
      <c r="A2432" s="39" t="n">
        <v>46185.06853009259</v>
      </c>
      <c r="B2432" s="25">
        <f>TEXT(A2432,"YYYY-MM")</f>
        <v/>
      </c>
      <c r="C2432" s="25">
        <f>TEXT(A2432,"MMM-YYYY")</f>
        <v/>
      </c>
      <c r="D2432" s="40">
        <f>INT(A2432)-WEEKDAY(A2432,2)+1</f>
        <v/>
      </c>
      <c r="E2432" s="25" t="inlineStr">
        <is>
          <t>rts</t>
        </is>
      </c>
      <c r="F2432" s="25" t="n">
        <v>125832</v>
      </c>
      <c r="G2432" s="25" t="n">
        <v>1</v>
      </c>
      <c r="H2432" s="25" t="n">
        <v>6</v>
      </c>
      <c r="I2432" s="25" t="inlineStr">
        <is>
          <t>1 minute(s) and 44 second(s)</t>
        </is>
      </c>
      <c r="J2432" s="25">
        <f>IFERROR(VALUE(TRIM(LEFT(I2432,FIND("minute",I2432)-1)))*60,0)+IFERROR(VALUE(SUBSTITUTE(MID(I2432,IFERROR(FIND("and",I2432)+3,1),20),"second(s)","")),0)</f>
        <v/>
      </c>
      <c r="K2432" s="41">
        <f>J2432/60</f>
        <v/>
      </c>
      <c r="L2432" s="41">
        <f>IFERROR(J2432/H2432,"")</f>
        <v/>
      </c>
      <c r="M2432" s="25" t="inlineStr">
        <is>
          <t>2.5.12</t>
        </is>
      </c>
      <c r="N2432" s="25">
        <f>IF(J2432&gt;300,1,0)</f>
        <v/>
      </c>
      <c r="O2432" s="25">
        <f>IF(J2432&gt;600,1,0)</f>
        <v/>
      </c>
      <c r="P2432" s="25">
        <f>IF(H2432&gt;0,J2432,"")</f>
        <v/>
      </c>
      <c r="Q2432" s="25">
        <f>TEXT(A2432,"YYYY-MM-DD HH")</f>
        <v/>
      </c>
      <c r="R2432" s="25">
        <f>COUNTIF($Q$2:$Q$5295,Q2432)</f>
        <v/>
      </c>
      <c r="S2432" s="25">
        <f>IF(R2432&lt;=2,"1-2",IF(R2432&lt;=5,"3-5",IF(R2432&lt;=10,"6-10","11+")))</f>
        <v/>
      </c>
    </row>
    <row r="2433">
      <c r="A2433" s="39" t="n">
        <v>46185.0803125</v>
      </c>
      <c r="B2433" s="25">
        <f>TEXT(A2433,"YYYY-MM")</f>
        <v/>
      </c>
      <c r="C2433" s="25">
        <f>TEXT(A2433,"MMM-YYYY")</f>
        <v/>
      </c>
      <c r="D2433" s="40">
        <f>INT(A2433)-WEEKDAY(A2433,2)+1</f>
        <v/>
      </c>
      <c r="E2433" s="25" t="inlineStr">
        <is>
          <t>psathwika</t>
        </is>
      </c>
      <c r="F2433" s="25" t="n">
        <v>123548</v>
      </c>
      <c r="G2433" s="25" t="n">
        <v>2</v>
      </c>
      <c r="H2433" s="25" t="n">
        <v>12</v>
      </c>
      <c r="I2433" s="25" t="inlineStr">
        <is>
          <t>4 minute(s) and 35 second(s)</t>
        </is>
      </c>
      <c r="J2433" s="25">
        <f>IFERROR(VALUE(TRIM(LEFT(I2433,FIND("minute",I2433)-1)))*60,0)+IFERROR(VALUE(SUBSTITUTE(MID(I2433,IFERROR(FIND("and",I2433)+3,1),20),"second(s)","")),0)</f>
        <v/>
      </c>
      <c r="K2433" s="41">
        <f>J2433/60</f>
        <v/>
      </c>
      <c r="L2433" s="41">
        <f>IFERROR(J2433/H2433,"")</f>
        <v/>
      </c>
      <c r="M2433" s="25" t="inlineStr">
        <is>
          <t>2.5.12</t>
        </is>
      </c>
      <c r="N2433" s="25">
        <f>IF(J2433&gt;300,1,0)</f>
        <v/>
      </c>
      <c r="O2433" s="25">
        <f>IF(J2433&gt;600,1,0)</f>
        <v/>
      </c>
      <c r="P2433" s="25">
        <f>IF(H2433&gt;0,J2433,"")</f>
        <v/>
      </c>
      <c r="Q2433" s="25">
        <f>TEXT(A2433,"YYYY-MM-DD HH")</f>
        <v/>
      </c>
      <c r="R2433" s="25">
        <f>COUNTIF($Q$2:$Q$5295,Q2433)</f>
        <v/>
      </c>
      <c r="S2433" s="25">
        <f>IF(R2433&lt;=2,"1-2",IF(R2433&lt;=5,"3-5",IF(R2433&lt;=10,"6-10","11+")))</f>
        <v/>
      </c>
    </row>
    <row r="2434">
      <c r="A2434" s="39" t="n">
        <v>46185.08150462963</v>
      </c>
      <c r="B2434" s="25">
        <f>TEXT(A2434,"YYYY-MM")</f>
        <v/>
      </c>
      <c r="C2434" s="25">
        <f>TEXT(A2434,"MMM-YYYY")</f>
        <v/>
      </c>
      <c r="D2434" s="40">
        <f>INT(A2434)-WEEKDAY(A2434,2)+1</f>
        <v/>
      </c>
      <c r="E2434" s="25" t="inlineStr">
        <is>
          <t>pmehndiratta</t>
        </is>
      </c>
      <c r="F2434" s="25" t="n">
        <v>121781</v>
      </c>
      <c r="G2434" s="25" t="n">
        <v>4</v>
      </c>
      <c r="H2434" s="25" t="n">
        <v>28</v>
      </c>
      <c r="I2434" s="25" t="inlineStr">
        <is>
          <t>7 minute(s) and 47 second(s)</t>
        </is>
      </c>
      <c r="J2434" s="25">
        <f>IFERROR(VALUE(TRIM(LEFT(I2434,FIND("minute",I2434)-1)))*60,0)+IFERROR(VALUE(SUBSTITUTE(MID(I2434,IFERROR(FIND("and",I2434)+3,1),20),"second(s)","")),0)</f>
        <v/>
      </c>
      <c r="K2434" s="41">
        <f>J2434/60</f>
        <v/>
      </c>
      <c r="L2434" s="41">
        <f>IFERROR(J2434/H2434,"")</f>
        <v/>
      </c>
      <c r="M2434" s="25" t="inlineStr">
        <is>
          <t>2.5.12</t>
        </is>
      </c>
      <c r="N2434" s="25">
        <f>IF(J2434&gt;300,1,0)</f>
        <v/>
      </c>
      <c r="O2434" s="25">
        <f>IF(J2434&gt;600,1,0)</f>
        <v/>
      </c>
      <c r="P2434" s="25">
        <f>IF(H2434&gt;0,J2434,"")</f>
        <v/>
      </c>
      <c r="Q2434" s="25">
        <f>TEXT(A2434,"YYYY-MM-DD HH")</f>
        <v/>
      </c>
      <c r="R2434" s="25">
        <f>COUNTIF($Q$2:$Q$5295,Q2434)</f>
        <v/>
      </c>
      <c r="S2434" s="25">
        <f>IF(R2434&lt;=2,"1-2",IF(R2434&lt;=5,"3-5",IF(R2434&lt;=10,"6-10","11+")))</f>
        <v/>
      </c>
    </row>
    <row r="2435">
      <c r="A2435" s="39" t="n">
        <v>46185.09850694444</v>
      </c>
      <c r="B2435" s="25">
        <f>TEXT(A2435,"YYYY-MM")</f>
        <v/>
      </c>
      <c r="C2435" s="25">
        <f>TEXT(A2435,"MMM-YYYY")</f>
        <v/>
      </c>
      <c r="D2435" s="40">
        <f>INT(A2435)-WEEKDAY(A2435,2)+1</f>
        <v/>
      </c>
      <c r="E2435" s="25" t="inlineStr">
        <is>
          <t>aupadhayay</t>
        </is>
      </c>
      <c r="F2435" s="25" t="n">
        <v>123215</v>
      </c>
      <c r="G2435" s="25" t="n">
        <v>2</v>
      </c>
      <c r="H2435" s="25" t="n">
        <v>14</v>
      </c>
      <c r="I2435" s="25" t="inlineStr">
        <is>
          <t>5 minute(s) and 0 second(s)</t>
        </is>
      </c>
      <c r="J2435" s="25">
        <f>IFERROR(VALUE(TRIM(LEFT(I2435,FIND("minute",I2435)-1)))*60,0)+IFERROR(VALUE(SUBSTITUTE(MID(I2435,IFERROR(FIND("and",I2435)+3,1),20),"second(s)","")),0)</f>
        <v/>
      </c>
      <c r="K2435" s="41">
        <f>J2435/60</f>
        <v/>
      </c>
      <c r="L2435" s="41">
        <f>IFERROR(J2435/H2435,"")</f>
        <v/>
      </c>
      <c r="M2435" s="25" t="inlineStr">
        <is>
          <t>2.5.12</t>
        </is>
      </c>
      <c r="N2435" s="25">
        <f>IF(J2435&gt;300,1,0)</f>
        <v/>
      </c>
      <c r="O2435" s="25">
        <f>IF(J2435&gt;600,1,0)</f>
        <v/>
      </c>
      <c r="P2435" s="25">
        <f>IF(H2435&gt;0,J2435,"")</f>
        <v/>
      </c>
      <c r="Q2435" s="25">
        <f>TEXT(A2435,"YYYY-MM-DD HH")</f>
        <v/>
      </c>
      <c r="R2435" s="25">
        <f>COUNTIF($Q$2:$Q$5295,Q2435)</f>
        <v/>
      </c>
      <c r="S2435" s="25">
        <f>IF(R2435&lt;=2,"1-2",IF(R2435&lt;=5,"3-5",IF(R2435&lt;=10,"6-10","11+")))</f>
        <v/>
      </c>
    </row>
    <row r="2436">
      <c r="A2436" s="39" t="n">
        <v>46185.11895833333</v>
      </c>
      <c r="B2436" s="25">
        <f>TEXT(A2436,"YYYY-MM")</f>
        <v/>
      </c>
      <c r="C2436" s="25">
        <f>TEXT(A2436,"MMM-YYYY")</f>
        <v/>
      </c>
      <c r="D2436" s="40">
        <f>INT(A2436)-WEEKDAY(A2436,2)+1</f>
        <v/>
      </c>
      <c r="E2436" s="25" t="inlineStr">
        <is>
          <t>stiwari</t>
        </is>
      </c>
      <c r="F2436" s="25" t="n">
        <v>123042</v>
      </c>
      <c r="G2436" s="25" t="n">
        <v>2</v>
      </c>
      <c r="H2436" s="25" t="n">
        <v>14</v>
      </c>
      <c r="I2436" s="25" t="inlineStr">
        <is>
          <t>2 minute(s) and 56 second(s)</t>
        </is>
      </c>
      <c r="J2436" s="25">
        <f>IFERROR(VALUE(TRIM(LEFT(I2436,FIND("minute",I2436)-1)))*60,0)+IFERROR(VALUE(SUBSTITUTE(MID(I2436,IFERROR(FIND("and",I2436)+3,1),20),"second(s)","")),0)</f>
        <v/>
      </c>
      <c r="K2436" s="41">
        <f>J2436/60</f>
        <v/>
      </c>
      <c r="L2436" s="41">
        <f>IFERROR(J2436/H2436,"")</f>
        <v/>
      </c>
      <c r="M2436" s="25" t="inlineStr">
        <is>
          <t>2.5.12</t>
        </is>
      </c>
      <c r="N2436" s="25">
        <f>IF(J2436&gt;300,1,0)</f>
        <v/>
      </c>
      <c r="O2436" s="25">
        <f>IF(J2436&gt;600,1,0)</f>
        <v/>
      </c>
      <c r="P2436" s="25">
        <f>IF(H2436&gt;0,J2436,"")</f>
        <v/>
      </c>
      <c r="Q2436" s="25">
        <f>TEXT(A2436,"YYYY-MM-DD HH")</f>
        <v/>
      </c>
      <c r="R2436" s="25">
        <f>COUNTIF($Q$2:$Q$5295,Q2436)</f>
        <v/>
      </c>
      <c r="S2436" s="25">
        <f>IF(R2436&lt;=2,"1-2",IF(R2436&lt;=5,"3-5",IF(R2436&lt;=10,"6-10","11+")))</f>
        <v/>
      </c>
    </row>
    <row r="2437">
      <c r="A2437" s="39" t="n">
        <v>46185.12313657408</v>
      </c>
      <c r="B2437" s="25">
        <f>TEXT(A2437,"YYYY-MM")</f>
        <v/>
      </c>
      <c r="C2437" s="25">
        <f>TEXT(A2437,"MMM-YYYY")</f>
        <v/>
      </c>
      <c r="D2437" s="40">
        <f>INT(A2437)-WEEKDAY(A2437,2)+1</f>
        <v/>
      </c>
      <c r="E2437" s="25" t="inlineStr">
        <is>
          <t>mbohra</t>
        </is>
      </c>
      <c r="F2437" s="25" t="n">
        <v>123441</v>
      </c>
      <c r="G2437" s="25" t="n">
        <v>3</v>
      </c>
      <c r="H2437" s="25" t="n">
        <v>15</v>
      </c>
      <c r="I2437" s="25" t="inlineStr">
        <is>
          <t>5 minute(s) and 29 second(s)</t>
        </is>
      </c>
      <c r="J2437" s="25">
        <f>IFERROR(VALUE(TRIM(LEFT(I2437,FIND("minute",I2437)-1)))*60,0)+IFERROR(VALUE(SUBSTITUTE(MID(I2437,IFERROR(FIND("and",I2437)+3,1),20),"second(s)","")),0)</f>
        <v/>
      </c>
      <c r="K2437" s="41">
        <f>J2437/60</f>
        <v/>
      </c>
      <c r="L2437" s="41">
        <f>IFERROR(J2437/H2437,"")</f>
        <v/>
      </c>
      <c r="M2437" s="25" t="inlineStr">
        <is>
          <t>2.5.12</t>
        </is>
      </c>
      <c r="N2437" s="25">
        <f>IF(J2437&gt;300,1,0)</f>
        <v/>
      </c>
      <c r="O2437" s="25">
        <f>IF(J2437&gt;600,1,0)</f>
        <v/>
      </c>
      <c r="P2437" s="25">
        <f>IF(H2437&gt;0,J2437,"")</f>
        <v/>
      </c>
      <c r="Q2437" s="25">
        <f>TEXT(A2437,"YYYY-MM-DD HH")</f>
        <v/>
      </c>
      <c r="R2437" s="25">
        <f>COUNTIF($Q$2:$Q$5295,Q2437)</f>
        <v/>
      </c>
      <c r="S2437" s="25">
        <f>IF(R2437&lt;=2,"1-2",IF(R2437&lt;=5,"3-5",IF(R2437&lt;=10,"6-10","11+")))</f>
        <v/>
      </c>
    </row>
    <row r="2438">
      <c r="A2438" s="39" t="n">
        <v>46185.12633101852</v>
      </c>
      <c r="B2438" s="25">
        <f>TEXT(A2438,"YYYY-MM")</f>
        <v/>
      </c>
      <c r="C2438" s="25">
        <f>TEXT(A2438,"MMM-YYYY")</f>
        <v/>
      </c>
      <c r="D2438" s="40">
        <f>INT(A2438)-WEEKDAY(A2438,2)+1</f>
        <v/>
      </c>
      <c r="E2438" s="25" t="inlineStr">
        <is>
          <t>anusharma</t>
        </is>
      </c>
      <c r="F2438" s="25" t="n">
        <v>123211</v>
      </c>
      <c r="G2438" s="25" t="n">
        <v>2</v>
      </c>
      <c r="H2438" s="25" t="n">
        <v>10</v>
      </c>
      <c r="I2438" s="25" t="inlineStr">
        <is>
          <t>4 minute(s) and 4 second(s)</t>
        </is>
      </c>
      <c r="J2438" s="25">
        <f>IFERROR(VALUE(TRIM(LEFT(I2438,FIND("minute",I2438)-1)))*60,0)+IFERROR(VALUE(SUBSTITUTE(MID(I2438,IFERROR(FIND("and",I2438)+3,1),20),"second(s)","")),0)</f>
        <v/>
      </c>
      <c r="K2438" s="41">
        <f>J2438/60</f>
        <v/>
      </c>
      <c r="L2438" s="41">
        <f>IFERROR(J2438/H2438,"")</f>
        <v/>
      </c>
      <c r="M2438" s="25" t="inlineStr">
        <is>
          <t>2.5.12</t>
        </is>
      </c>
      <c r="N2438" s="25">
        <f>IF(J2438&gt;300,1,0)</f>
        <v/>
      </c>
      <c r="O2438" s="25">
        <f>IF(J2438&gt;600,1,0)</f>
        <v/>
      </c>
      <c r="P2438" s="25">
        <f>IF(H2438&gt;0,J2438,"")</f>
        <v/>
      </c>
      <c r="Q2438" s="25">
        <f>TEXT(A2438,"YYYY-MM-DD HH")</f>
        <v/>
      </c>
      <c r="R2438" s="25">
        <f>COUNTIF($Q$2:$Q$5295,Q2438)</f>
        <v/>
      </c>
      <c r="S2438" s="25">
        <f>IF(R2438&lt;=2,"1-2",IF(R2438&lt;=5,"3-5",IF(R2438&lt;=10,"6-10","11+")))</f>
        <v/>
      </c>
    </row>
    <row r="2439">
      <c r="A2439" s="39" t="n">
        <v>46185.12832175926</v>
      </c>
      <c r="B2439" s="25">
        <f>TEXT(A2439,"YYYY-MM")</f>
        <v/>
      </c>
      <c r="C2439" s="25">
        <f>TEXT(A2439,"MMM-YYYY")</f>
        <v/>
      </c>
      <c r="D2439" s="40">
        <f>INT(A2439)-WEEKDAY(A2439,2)+1</f>
        <v/>
      </c>
      <c r="E2439" s="25" t="inlineStr">
        <is>
          <t>mgupta</t>
        </is>
      </c>
      <c r="F2439" s="25" t="n">
        <v>123418</v>
      </c>
      <c r="G2439" s="25" t="n">
        <v>2</v>
      </c>
      <c r="H2439" s="25" t="n">
        <v>12</v>
      </c>
      <c r="I2439" s="25" t="inlineStr">
        <is>
          <t>3 minute(s) and 39 second(s)</t>
        </is>
      </c>
      <c r="J2439" s="25">
        <f>IFERROR(VALUE(TRIM(LEFT(I2439,FIND("minute",I2439)-1)))*60,0)+IFERROR(VALUE(SUBSTITUTE(MID(I2439,IFERROR(FIND("and",I2439)+3,1),20),"second(s)","")),0)</f>
        <v/>
      </c>
      <c r="K2439" s="41">
        <f>J2439/60</f>
        <v/>
      </c>
      <c r="L2439" s="41">
        <f>IFERROR(J2439/H2439,"")</f>
        <v/>
      </c>
      <c r="M2439" s="25" t="inlineStr">
        <is>
          <t>2.5.12</t>
        </is>
      </c>
      <c r="N2439" s="25">
        <f>IF(J2439&gt;300,1,0)</f>
        <v/>
      </c>
      <c r="O2439" s="25">
        <f>IF(J2439&gt;600,1,0)</f>
        <v/>
      </c>
      <c r="P2439" s="25">
        <f>IF(H2439&gt;0,J2439,"")</f>
        <v/>
      </c>
      <c r="Q2439" s="25">
        <f>TEXT(A2439,"YYYY-MM-DD HH")</f>
        <v/>
      </c>
      <c r="R2439" s="25">
        <f>COUNTIF($Q$2:$Q$5295,Q2439)</f>
        <v/>
      </c>
      <c r="S2439" s="25">
        <f>IF(R2439&lt;=2,"1-2",IF(R2439&lt;=5,"3-5",IF(R2439&lt;=10,"6-10","11+")))</f>
        <v/>
      </c>
    </row>
    <row r="2440">
      <c r="A2440" s="39" t="n">
        <v>46185.15114583333</v>
      </c>
      <c r="B2440" s="25">
        <f>TEXT(A2440,"YYYY-MM")</f>
        <v/>
      </c>
      <c r="C2440" s="25">
        <f>TEXT(A2440,"MMM-YYYY")</f>
        <v/>
      </c>
      <c r="D2440" s="40">
        <f>INT(A2440)-WEEKDAY(A2440,2)+1</f>
        <v/>
      </c>
      <c r="E2440" s="25" t="inlineStr">
        <is>
          <t>ssrinivasan</t>
        </is>
      </c>
      <c r="F2440" s="25" t="n">
        <v>123687</v>
      </c>
      <c r="G2440" s="25" t="n">
        <v>2</v>
      </c>
      <c r="H2440" s="25" t="n">
        <v>10</v>
      </c>
      <c r="I2440" s="25" t="inlineStr">
        <is>
          <t>3 minute(s) and 25 second(s)</t>
        </is>
      </c>
      <c r="J2440" s="25">
        <f>IFERROR(VALUE(TRIM(LEFT(I2440,FIND("minute",I2440)-1)))*60,0)+IFERROR(VALUE(SUBSTITUTE(MID(I2440,IFERROR(FIND("and",I2440)+3,1),20),"second(s)","")),0)</f>
        <v/>
      </c>
      <c r="K2440" s="41">
        <f>J2440/60</f>
        <v/>
      </c>
      <c r="L2440" s="41">
        <f>IFERROR(J2440/H2440,"")</f>
        <v/>
      </c>
      <c r="M2440" s="25" t="inlineStr">
        <is>
          <t>2.5.12</t>
        </is>
      </c>
      <c r="N2440" s="25">
        <f>IF(J2440&gt;300,1,0)</f>
        <v/>
      </c>
      <c r="O2440" s="25">
        <f>IF(J2440&gt;600,1,0)</f>
        <v/>
      </c>
      <c r="P2440" s="25">
        <f>IF(H2440&gt;0,J2440,"")</f>
        <v/>
      </c>
      <c r="Q2440" s="25">
        <f>TEXT(A2440,"YYYY-MM-DD HH")</f>
        <v/>
      </c>
      <c r="R2440" s="25">
        <f>COUNTIF($Q$2:$Q$5295,Q2440)</f>
        <v/>
      </c>
      <c r="S2440" s="25">
        <f>IF(R2440&lt;=2,"1-2",IF(R2440&lt;=5,"3-5",IF(R2440&lt;=10,"6-10","11+")))</f>
        <v/>
      </c>
    </row>
    <row r="2441">
      <c r="A2441" s="39" t="n">
        <v>46185.15168981482</v>
      </c>
      <c r="B2441" s="25">
        <f>TEXT(A2441,"YYYY-MM")</f>
        <v/>
      </c>
      <c r="C2441" s="25">
        <f>TEXT(A2441,"MMM-YYYY")</f>
        <v/>
      </c>
      <c r="D2441" s="40">
        <f>INT(A2441)-WEEKDAY(A2441,2)+1</f>
        <v/>
      </c>
      <c r="E2441" s="25" t="inlineStr">
        <is>
          <t>bverma</t>
        </is>
      </c>
      <c r="F2441" s="25" t="n">
        <v>123316</v>
      </c>
      <c r="G2441" s="25" t="n">
        <v>2</v>
      </c>
      <c r="H2441" s="25" t="n">
        <v>13</v>
      </c>
      <c r="I2441" s="25" t="inlineStr">
        <is>
          <t>4 minute(s) and 24 second(s)</t>
        </is>
      </c>
      <c r="J2441" s="25">
        <f>IFERROR(VALUE(TRIM(LEFT(I2441,FIND("minute",I2441)-1)))*60,0)+IFERROR(VALUE(SUBSTITUTE(MID(I2441,IFERROR(FIND("and",I2441)+3,1),20),"second(s)","")),0)</f>
        <v/>
      </c>
      <c r="K2441" s="41">
        <f>J2441/60</f>
        <v/>
      </c>
      <c r="L2441" s="41">
        <f>IFERROR(J2441/H2441,"")</f>
        <v/>
      </c>
      <c r="M2441" s="25" t="inlineStr">
        <is>
          <t>2.5.12</t>
        </is>
      </c>
      <c r="N2441" s="25">
        <f>IF(J2441&gt;300,1,0)</f>
        <v/>
      </c>
      <c r="O2441" s="25">
        <f>IF(J2441&gt;600,1,0)</f>
        <v/>
      </c>
      <c r="P2441" s="25">
        <f>IF(H2441&gt;0,J2441,"")</f>
        <v/>
      </c>
      <c r="Q2441" s="25">
        <f>TEXT(A2441,"YYYY-MM-DD HH")</f>
        <v/>
      </c>
      <c r="R2441" s="25">
        <f>COUNTIF($Q$2:$Q$5295,Q2441)</f>
        <v/>
      </c>
      <c r="S2441" s="25">
        <f>IF(R2441&lt;=2,"1-2",IF(R2441&lt;=5,"3-5",IF(R2441&lt;=10,"6-10","11+")))</f>
        <v/>
      </c>
    </row>
    <row r="2442">
      <c r="A2442" s="39" t="n">
        <v>46185.15365740741</v>
      </c>
      <c r="B2442" s="25">
        <f>TEXT(A2442,"YYYY-MM")</f>
        <v/>
      </c>
      <c r="C2442" s="25">
        <f>TEXT(A2442,"MMM-YYYY")</f>
        <v/>
      </c>
      <c r="D2442" s="40">
        <f>INT(A2442)-WEEKDAY(A2442,2)+1</f>
        <v/>
      </c>
      <c r="E2442" s="25" t="inlineStr">
        <is>
          <t>aupadhayay</t>
        </is>
      </c>
      <c r="F2442" s="25" t="n">
        <v>122576</v>
      </c>
      <c r="G2442" s="25" t="n">
        <v>3</v>
      </c>
      <c r="H2442" s="25" t="n">
        <v>11</v>
      </c>
      <c r="I2442" s="25" t="inlineStr">
        <is>
          <t>5 minute(s) and 12 second(s)</t>
        </is>
      </c>
      <c r="J2442" s="25">
        <f>IFERROR(VALUE(TRIM(LEFT(I2442,FIND("minute",I2442)-1)))*60,0)+IFERROR(VALUE(SUBSTITUTE(MID(I2442,IFERROR(FIND("and",I2442)+3,1),20),"second(s)","")),0)</f>
        <v/>
      </c>
      <c r="K2442" s="41">
        <f>J2442/60</f>
        <v/>
      </c>
      <c r="L2442" s="41">
        <f>IFERROR(J2442/H2442,"")</f>
        <v/>
      </c>
      <c r="M2442" s="25" t="inlineStr">
        <is>
          <t>2.5.12</t>
        </is>
      </c>
      <c r="N2442" s="25">
        <f>IF(J2442&gt;300,1,0)</f>
        <v/>
      </c>
      <c r="O2442" s="25">
        <f>IF(J2442&gt;600,1,0)</f>
        <v/>
      </c>
      <c r="P2442" s="25">
        <f>IF(H2442&gt;0,J2442,"")</f>
        <v/>
      </c>
      <c r="Q2442" s="25">
        <f>TEXT(A2442,"YYYY-MM-DD HH")</f>
        <v/>
      </c>
      <c r="R2442" s="25">
        <f>COUNTIF($Q$2:$Q$5295,Q2442)</f>
        <v/>
      </c>
      <c r="S2442" s="25">
        <f>IF(R2442&lt;=2,"1-2",IF(R2442&lt;=5,"3-5",IF(R2442&lt;=10,"6-10","11+")))</f>
        <v/>
      </c>
    </row>
    <row r="2443">
      <c r="A2443" s="39" t="n">
        <v>46185.15851851852</v>
      </c>
      <c r="B2443" s="25">
        <f>TEXT(A2443,"YYYY-MM")</f>
        <v/>
      </c>
      <c r="C2443" s="25">
        <f>TEXT(A2443,"MMM-YYYY")</f>
        <v/>
      </c>
      <c r="D2443" s="40">
        <f>INT(A2443)-WEEKDAY(A2443,2)+1</f>
        <v/>
      </c>
      <c r="E2443" s="25" t="inlineStr">
        <is>
          <t>ns</t>
        </is>
      </c>
      <c r="F2443" s="25" t="n">
        <v>122921</v>
      </c>
      <c r="G2443" s="25" t="n">
        <v>4</v>
      </c>
      <c r="H2443" s="25" t="n">
        <v>29</v>
      </c>
      <c r="I2443" s="25" t="inlineStr">
        <is>
          <t>7 minute(s) and 44 second(s)</t>
        </is>
      </c>
      <c r="J2443" s="25">
        <f>IFERROR(VALUE(TRIM(LEFT(I2443,FIND("minute",I2443)-1)))*60,0)+IFERROR(VALUE(SUBSTITUTE(MID(I2443,IFERROR(FIND("and",I2443)+3,1),20),"second(s)","")),0)</f>
        <v/>
      </c>
      <c r="K2443" s="41">
        <f>J2443/60</f>
        <v/>
      </c>
      <c r="L2443" s="41">
        <f>IFERROR(J2443/H2443,"")</f>
        <v/>
      </c>
      <c r="M2443" s="25" t="inlineStr">
        <is>
          <t>2.5.12</t>
        </is>
      </c>
      <c r="N2443" s="25">
        <f>IF(J2443&gt;300,1,0)</f>
        <v/>
      </c>
      <c r="O2443" s="25">
        <f>IF(J2443&gt;600,1,0)</f>
        <v/>
      </c>
      <c r="P2443" s="25">
        <f>IF(H2443&gt;0,J2443,"")</f>
        <v/>
      </c>
      <c r="Q2443" s="25">
        <f>TEXT(A2443,"YYYY-MM-DD HH")</f>
        <v/>
      </c>
      <c r="R2443" s="25">
        <f>COUNTIF($Q$2:$Q$5295,Q2443)</f>
        <v/>
      </c>
      <c r="S2443" s="25">
        <f>IF(R2443&lt;=2,"1-2",IF(R2443&lt;=5,"3-5",IF(R2443&lt;=10,"6-10","11+")))</f>
        <v/>
      </c>
    </row>
    <row r="2444">
      <c r="A2444" s="39" t="n">
        <v>46185.16185185185</v>
      </c>
      <c r="B2444" s="25">
        <f>TEXT(A2444,"YYYY-MM")</f>
        <v/>
      </c>
      <c r="C2444" s="25">
        <f>TEXT(A2444,"MMM-YYYY")</f>
        <v/>
      </c>
      <c r="D2444" s="40">
        <f>INT(A2444)-WEEKDAY(A2444,2)+1</f>
        <v/>
      </c>
      <c r="E2444" s="25" t="inlineStr">
        <is>
          <t>stiwari</t>
        </is>
      </c>
      <c r="F2444" s="25" t="n">
        <v>123043</v>
      </c>
      <c r="G2444" s="25" t="n">
        <v>2</v>
      </c>
      <c r="H2444" s="25" t="n">
        <v>15</v>
      </c>
      <c r="I2444" s="25" t="inlineStr">
        <is>
          <t>3 minute(s) and 57 second(s)</t>
        </is>
      </c>
      <c r="J2444" s="25">
        <f>IFERROR(VALUE(TRIM(LEFT(I2444,FIND("minute",I2444)-1)))*60,0)+IFERROR(VALUE(SUBSTITUTE(MID(I2444,IFERROR(FIND("and",I2444)+3,1),20),"second(s)","")),0)</f>
        <v/>
      </c>
      <c r="K2444" s="41">
        <f>J2444/60</f>
        <v/>
      </c>
      <c r="L2444" s="41">
        <f>IFERROR(J2444/H2444,"")</f>
        <v/>
      </c>
      <c r="M2444" s="25" t="inlineStr">
        <is>
          <t>2.5.12</t>
        </is>
      </c>
      <c r="N2444" s="25">
        <f>IF(J2444&gt;300,1,0)</f>
        <v/>
      </c>
      <c r="O2444" s="25">
        <f>IF(J2444&gt;600,1,0)</f>
        <v/>
      </c>
      <c r="P2444" s="25">
        <f>IF(H2444&gt;0,J2444,"")</f>
        <v/>
      </c>
      <c r="Q2444" s="25">
        <f>TEXT(A2444,"YYYY-MM-DD HH")</f>
        <v/>
      </c>
      <c r="R2444" s="25">
        <f>COUNTIF($Q$2:$Q$5295,Q2444)</f>
        <v/>
      </c>
      <c r="S2444" s="25">
        <f>IF(R2444&lt;=2,"1-2",IF(R2444&lt;=5,"3-5",IF(R2444&lt;=10,"6-10","11+")))</f>
        <v/>
      </c>
    </row>
    <row r="2445">
      <c r="A2445" s="39" t="n">
        <v>46185.16275462963</v>
      </c>
      <c r="B2445" s="25">
        <f>TEXT(A2445,"YYYY-MM")</f>
        <v/>
      </c>
      <c r="C2445" s="25">
        <f>TEXT(A2445,"MMM-YYYY")</f>
        <v/>
      </c>
      <c r="D2445" s="40">
        <f>INT(A2445)-WEEKDAY(A2445,2)+1</f>
        <v/>
      </c>
      <c r="E2445" s="25" t="inlineStr">
        <is>
          <t>asahoo</t>
        </is>
      </c>
      <c r="F2445" s="25" t="n">
        <v>121446</v>
      </c>
      <c r="G2445" s="25" t="n">
        <v>1</v>
      </c>
      <c r="H2445" s="25" t="n">
        <v>5</v>
      </c>
      <c r="I2445" s="25" t="inlineStr">
        <is>
          <t>2 minute(s) and 7 second(s)</t>
        </is>
      </c>
      <c r="J2445" s="25">
        <f>IFERROR(VALUE(TRIM(LEFT(I2445,FIND("minute",I2445)-1)))*60,0)+IFERROR(VALUE(SUBSTITUTE(MID(I2445,IFERROR(FIND("and",I2445)+3,1),20),"second(s)","")),0)</f>
        <v/>
      </c>
      <c r="K2445" s="41">
        <f>J2445/60</f>
        <v/>
      </c>
      <c r="L2445" s="41">
        <f>IFERROR(J2445/H2445,"")</f>
        <v/>
      </c>
      <c r="M2445" s="25" t="inlineStr">
        <is>
          <t>2.5.12</t>
        </is>
      </c>
      <c r="N2445" s="25">
        <f>IF(J2445&gt;300,1,0)</f>
        <v/>
      </c>
      <c r="O2445" s="25">
        <f>IF(J2445&gt;600,1,0)</f>
        <v/>
      </c>
      <c r="P2445" s="25">
        <f>IF(H2445&gt;0,J2445,"")</f>
        <v/>
      </c>
      <c r="Q2445" s="25">
        <f>TEXT(A2445,"YYYY-MM-DD HH")</f>
        <v/>
      </c>
      <c r="R2445" s="25">
        <f>COUNTIF($Q$2:$Q$5295,Q2445)</f>
        <v/>
      </c>
      <c r="S2445" s="25">
        <f>IF(R2445&lt;=2,"1-2",IF(R2445&lt;=5,"3-5",IF(R2445&lt;=10,"6-10","11+")))</f>
        <v/>
      </c>
    </row>
    <row r="2446">
      <c r="A2446" s="39" t="n">
        <v>46185.16767361111</v>
      </c>
      <c r="B2446" s="25">
        <f>TEXT(A2446,"YYYY-MM")</f>
        <v/>
      </c>
      <c r="C2446" s="25">
        <f>TEXT(A2446,"MMM-YYYY")</f>
        <v/>
      </c>
      <c r="D2446" s="40">
        <f>INT(A2446)-WEEKDAY(A2446,2)+1</f>
        <v/>
      </c>
      <c r="E2446" s="25" t="inlineStr">
        <is>
          <t>aghosh</t>
        </is>
      </c>
      <c r="F2446" s="25" t="n">
        <v>123231</v>
      </c>
      <c r="G2446" s="25" t="n">
        <v>2</v>
      </c>
      <c r="H2446" s="25" t="n">
        <v>8</v>
      </c>
      <c r="I2446" s="25" t="inlineStr">
        <is>
          <t>1 minute(s) and 36 second(s)</t>
        </is>
      </c>
      <c r="J2446" s="25">
        <f>IFERROR(VALUE(TRIM(LEFT(I2446,FIND("minute",I2446)-1)))*60,0)+IFERROR(VALUE(SUBSTITUTE(MID(I2446,IFERROR(FIND("and",I2446)+3,1),20),"second(s)","")),0)</f>
        <v/>
      </c>
      <c r="K2446" s="41">
        <f>J2446/60</f>
        <v/>
      </c>
      <c r="L2446" s="41">
        <f>IFERROR(J2446/H2446,"")</f>
        <v/>
      </c>
      <c r="M2446" s="25" t="inlineStr">
        <is>
          <t>2.5.12</t>
        </is>
      </c>
      <c r="N2446" s="25">
        <f>IF(J2446&gt;300,1,0)</f>
        <v/>
      </c>
      <c r="O2446" s="25">
        <f>IF(J2446&gt;600,1,0)</f>
        <v/>
      </c>
      <c r="P2446" s="25">
        <f>IF(H2446&gt;0,J2446,"")</f>
        <v/>
      </c>
      <c r="Q2446" s="25">
        <f>TEXT(A2446,"YYYY-MM-DD HH")</f>
        <v/>
      </c>
      <c r="R2446" s="25">
        <f>COUNTIF($Q$2:$Q$5295,Q2446)</f>
        <v/>
      </c>
      <c r="S2446" s="25">
        <f>IF(R2446&lt;=2,"1-2",IF(R2446&lt;=5,"3-5",IF(R2446&lt;=10,"6-10","11+")))</f>
        <v/>
      </c>
    </row>
    <row r="2447">
      <c r="A2447" s="39" t="n">
        <v>46185.16917824074</v>
      </c>
      <c r="B2447" s="25">
        <f>TEXT(A2447,"YYYY-MM")</f>
        <v/>
      </c>
      <c r="C2447" s="25">
        <f>TEXT(A2447,"MMM-YYYY")</f>
        <v/>
      </c>
      <c r="D2447" s="40">
        <f>INT(A2447)-WEEKDAY(A2447,2)+1</f>
        <v/>
      </c>
      <c r="E2447" s="25" t="inlineStr">
        <is>
          <t>mbohra</t>
        </is>
      </c>
      <c r="F2447" s="25" t="n">
        <v>123441</v>
      </c>
      <c r="G2447" s="25" t="n">
        <v>3</v>
      </c>
      <c r="H2447" s="25" t="n">
        <v>19</v>
      </c>
      <c r="I2447" s="25" t="inlineStr">
        <is>
          <t>8 minute(s) and 42 second(s)</t>
        </is>
      </c>
      <c r="J2447" s="25">
        <f>IFERROR(VALUE(TRIM(LEFT(I2447,FIND("minute",I2447)-1)))*60,0)+IFERROR(VALUE(SUBSTITUTE(MID(I2447,IFERROR(FIND("and",I2447)+3,1),20),"second(s)","")),0)</f>
        <v/>
      </c>
      <c r="K2447" s="41">
        <f>J2447/60</f>
        <v/>
      </c>
      <c r="L2447" s="41">
        <f>IFERROR(J2447/H2447,"")</f>
        <v/>
      </c>
      <c r="M2447" s="25" t="inlineStr">
        <is>
          <t>2.5.12</t>
        </is>
      </c>
      <c r="N2447" s="25">
        <f>IF(J2447&gt;300,1,0)</f>
        <v/>
      </c>
      <c r="O2447" s="25">
        <f>IF(J2447&gt;600,1,0)</f>
        <v/>
      </c>
      <c r="P2447" s="25">
        <f>IF(H2447&gt;0,J2447,"")</f>
        <v/>
      </c>
      <c r="Q2447" s="25">
        <f>TEXT(A2447,"YYYY-MM-DD HH")</f>
        <v/>
      </c>
      <c r="R2447" s="25">
        <f>COUNTIF($Q$2:$Q$5295,Q2447)</f>
        <v/>
      </c>
      <c r="S2447" s="25">
        <f>IF(R2447&lt;=2,"1-2",IF(R2447&lt;=5,"3-5",IF(R2447&lt;=10,"6-10","11+")))</f>
        <v/>
      </c>
    </row>
    <row r="2448">
      <c r="A2448" s="39" t="n">
        <v>46185.17042824074</v>
      </c>
      <c r="B2448" s="25">
        <f>TEXT(A2448,"YYYY-MM")</f>
        <v/>
      </c>
      <c r="C2448" s="25">
        <f>TEXT(A2448,"MMM-YYYY")</f>
        <v/>
      </c>
      <c r="D2448" s="40">
        <f>INT(A2448)-WEEKDAY(A2448,2)+1</f>
        <v/>
      </c>
      <c r="E2448" s="25" t="inlineStr">
        <is>
          <t>psathwika</t>
        </is>
      </c>
      <c r="F2448" s="25" t="n">
        <v>123545</v>
      </c>
      <c r="G2448" s="25" t="n">
        <v>2</v>
      </c>
      <c r="H2448" s="25" t="n">
        <v>10</v>
      </c>
      <c r="I2448" s="25" t="inlineStr">
        <is>
          <t>3 minute(s) and 39 second(s)</t>
        </is>
      </c>
      <c r="J2448" s="25">
        <f>IFERROR(VALUE(TRIM(LEFT(I2448,FIND("minute",I2448)-1)))*60,0)+IFERROR(VALUE(SUBSTITUTE(MID(I2448,IFERROR(FIND("and",I2448)+3,1),20),"second(s)","")),0)</f>
        <v/>
      </c>
      <c r="K2448" s="41">
        <f>J2448/60</f>
        <v/>
      </c>
      <c r="L2448" s="41">
        <f>IFERROR(J2448/H2448,"")</f>
        <v/>
      </c>
      <c r="M2448" s="25" t="inlineStr">
        <is>
          <t>2.5.12</t>
        </is>
      </c>
      <c r="N2448" s="25">
        <f>IF(J2448&gt;300,1,0)</f>
        <v/>
      </c>
      <c r="O2448" s="25">
        <f>IF(J2448&gt;600,1,0)</f>
        <v/>
      </c>
      <c r="P2448" s="25">
        <f>IF(H2448&gt;0,J2448,"")</f>
        <v/>
      </c>
      <c r="Q2448" s="25">
        <f>TEXT(A2448,"YYYY-MM-DD HH")</f>
        <v/>
      </c>
      <c r="R2448" s="25">
        <f>COUNTIF($Q$2:$Q$5295,Q2448)</f>
        <v/>
      </c>
      <c r="S2448" s="25">
        <f>IF(R2448&lt;=2,"1-2",IF(R2448&lt;=5,"3-5",IF(R2448&lt;=10,"6-10","11+")))</f>
        <v/>
      </c>
    </row>
    <row r="2449">
      <c r="A2449" s="39" t="n">
        <v>46185.17510416666</v>
      </c>
      <c r="B2449" s="25">
        <f>TEXT(A2449,"YYYY-MM")</f>
        <v/>
      </c>
      <c r="C2449" s="25">
        <f>TEXT(A2449,"MMM-YYYY")</f>
        <v/>
      </c>
      <c r="D2449" s="40">
        <f>INT(A2449)-WEEKDAY(A2449,2)+1</f>
        <v/>
      </c>
      <c r="E2449" s="25" t="inlineStr">
        <is>
          <t>mgupta</t>
        </is>
      </c>
      <c r="F2449" s="25" t="n">
        <v>123411</v>
      </c>
      <c r="G2449" s="25" t="n">
        <v>1</v>
      </c>
      <c r="H2449" s="25" t="n">
        <v>7</v>
      </c>
      <c r="I2449" s="25" t="inlineStr">
        <is>
          <t>1 minute(s) and 29 second(s)</t>
        </is>
      </c>
      <c r="J2449" s="25">
        <f>IFERROR(VALUE(TRIM(LEFT(I2449,FIND("minute",I2449)-1)))*60,0)+IFERROR(VALUE(SUBSTITUTE(MID(I2449,IFERROR(FIND("and",I2449)+3,1),20),"second(s)","")),0)</f>
        <v/>
      </c>
      <c r="K2449" s="41">
        <f>J2449/60</f>
        <v/>
      </c>
      <c r="L2449" s="41">
        <f>IFERROR(J2449/H2449,"")</f>
        <v/>
      </c>
      <c r="M2449" s="25" t="inlineStr">
        <is>
          <t>2.5.12</t>
        </is>
      </c>
      <c r="N2449" s="25">
        <f>IF(J2449&gt;300,1,0)</f>
        <v/>
      </c>
      <c r="O2449" s="25">
        <f>IF(J2449&gt;600,1,0)</f>
        <v/>
      </c>
      <c r="P2449" s="25">
        <f>IF(H2449&gt;0,J2449,"")</f>
        <v/>
      </c>
      <c r="Q2449" s="25">
        <f>TEXT(A2449,"YYYY-MM-DD HH")</f>
        <v/>
      </c>
      <c r="R2449" s="25">
        <f>COUNTIF($Q$2:$Q$5295,Q2449)</f>
        <v/>
      </c>
      <c r="S2449" s="25">
        <f>IF(R2449&lt;=2,"1-2",IF(R2449&lt;=5,"3-5",IF(R2449&lt;=10,"6-10","11+")))</f>
        <v/>
      </c>
    </row>
    <row r="2450">
      <c r="A2450" s="39" t="n">
        <v>46185.18457175926</v>
      </c>
      <c r="B2450" s="25">
        <f>TEXT(A2450,"YYYY-MM")</f>
        <v/>
      </c>
      <c r="C2450" s="25">
        <f>TEXT(A2450,"MMM-YYYY")</f>
        <v/>
      </c>
      <c r="D2450" s="40">
        <f>INT(A2450)-WEEKDAY(A2450,2)+1</f>
        <v/>
      </c>
      <c r="E2450" s="25" t="inlineStr">
        <is>
          <t>sdey</t>
        </is>
      </c>
      <c r="F2450" s="25" t="n">
        <v>123645</v>
      </c>
      <c r="G2450" s="25" t="n">
        <v>1</v>
      </c>
      <c r="H2450" s="25" t="n">
        <v>7</v>
      </c>
      <c r="I2450" s="25" t="inlineStr">
        <is>
          <t>1 minute(s) and 37 second(s)</t>
        </is>
      </c>
      <c r="J2450" s="25">
        <f>IFERROR(VALUE(TRIM(LEFT(I2450,FIND("minute",I2450)-1)))*60,0)+IFERROR(VALUE(SUBSTITUTE(MID(I2450,IFERROR(FIND("and",I2450)+3,1),20),"second(s)","")),0)</f>
        <v/>
      </c>
      <c r="K2450" s="41">
        <f>J2450/60</f>
        <v/>
      </c>
      <c r="L2450" s="41">
        <f>IFERROR(J2450/H2450,"")</f>
        <v/>
      </c>
      <c r="M2450" s="25" t="inlineStr">
        <is>
          <t>2.5.12</t>
        </is>
      </c>
      <c r="N2450" s="25">
        <f>IF(J2450&gt;300,1,0)</f>
        <v/>
      </c>
      <c r="O2450" s="25">
        <f>IF(J2450&gt;600,1,0)</f>
        <v/>
      </c>
      <c r="P2450" s="25">
        <f>IF(H2450&gt;0,J2450,"")</f>
        <v/>
      </c>
      <c r="Q2450" s="25">
        <f>TEXT(A2450,"YYYY-MM-DD HH")</f>
        <v/>
      </c>
      <c r="R2450" s="25">
        <f>COUNTIF($Q$2:$Q$5295,Q2450)</f>
        <v/>
      </c>
      <c r="S2450" s="25">
        <f>IF(R2450&lt;=2,"1-2",IF(R2450&lt;=5,"3-5",IF(R2450&lt;=10,"6-10","11+")))</f>
        <v/>
      </c>
    </row>
    <row r="2451">
      <c r="A2451" s="39" t="n">
        <v>46185.19370370371</v>
      </c>
      <c r="B2451" s="25">
        <f>TEXT(A2451,"YYYY-MM")</f>
        <v/>
      </c>
      <c r="C2451" s="25">
        <f>TEXT(A2451,"MMM-YYYY")</f>
        <v/>
      </c>
      <c r="D2451" s="40">
        <f>INT(A2451)-WEEKDAY(A2451,2)+1</f>
        <v/>
      </c>
      <c r="E2451" s="25" t="inlineStr">
        <is>
          <t>csaha</t>
        </is>
      </c>
      <c r="F2451" s="25" t="n">
        <v>122367</v>
      </c>
      <c r="G2451" s="25" t="n">
        <v>2</v>
      </c>
      <c r="H2451" s="25" t="n">
        <v>10</v>
      </c>
      <c r="I2451" s="25" t="inlineStr">
        <is>
          <t>3 minute(s) and 8 second(s)</t>
        </is>
      </c>
      <c r="J2451" s="25">
        <f>IFERROR(VALUE(TRIM(LEFT(I2451,FIND("minute",I2451)-1)))*60,0)+IFERROR(VALUE(SUBSTITUTE(MID(I2451,IFERROR(FIND("and",I2451)+3,1),20),"second(s)","")),0)</f>
        <v/>
      </c>
      <c r="K2451" s="41">
        <f>J2451/60</f>
        <v/>
      </c>
      <c r="L2451" s="41">
        <f>IFERROR(J2451/H2451,"")</f>
        <v/>
      </c>
      <c r="M2451" s="25" t="inlineStr">
        <is>
          <t>2.5.12</t>
        </is>
      </c>
      <c r="N2451" s="25">
        <f>IF(J2451&gt;300,1,0)</f>
        <v/>
      </c>
      <c r="O2451" s="25">
        <f>IF(J2451&gt;600,1,0)</f>
        <v/>
      </c>
      <c r="P2451" s="25">
        <f>IF(H2451&gt;0,J2451,"")</f>
        <v/>
      </c>
      <c r="Q2451" s="25">
        <f>TEXT(A2451,"YYYY-MM-DD HH")</f>
        <v/>
      </c>
      <c r="R2451" s="25">
        <f>COUNTIF($Q$2:$Q$5295,Q2451)</f>
        <v/>
      </c>
      <c r="S2451" s="25">
        <f>IF(R2451&lt;=2,"1-2",IF(R2451&lt;=5,"3-5",IF(R2451&lt;=10,"6-10","11+")))</f>
        <v/>
      </c>
    </row>
    <row r="2452">
      <c r="A2452" s="39" t="n">
        <v>46185.20167824074</v>
      </c>
      <c r="B2452" s="25">
        <f>TEXT(A2452,"YYYY-MM")</f>
        <v/>
      </c>
      <c r="C2452" s="25">
        <f>TEXT(A2452,"MMM-YYYY")</f>
        <v/>
      </c>
      <c r="D2452" s="40">
        <f>INT(A2452)-WEEKDAY(A2452,2)+1</f>
        <v/>
      </c>
      <c r="E2452" s="25" t="inlineStr">
        <is>
          <t>stiwari</t>
        </is>
      </c>
      <c r="F2452" s="25" t="n">
        <v>123046</v>
      </c>
      <c r="G2452" s="25" t="n">
        <v>2</v>
      </c>
      <c r="H2452" s="25" t="n">
        <v>12</v>
      </c>
      <c r="I2452" s="25" t="inlineStr">
        <is>
          <t>2 minute(s) and 38 second(s)</t>
        </is>
      </c>
      <c r="J2452" s="25">
        <f>IFERROR(VALUE(TRIM(LEFT(I2452,FIND("minute",I2452)-1)))*60,0)+IFERROR(VALUE(SUBSTITUTE(MID(I2452,IFERROR(FIND("and",I2452)+3,1),20),"second(s)","")),0)</f>
        <v/>
      </c>
      <c r="K2452" s="41">
        <f>J2452/60</f>
        <v/>
      </c>
      <c r="L2452" s="41">
        <f>IFERROR(J2452/H2452,"")</f>
        <v/>
      </c>
      <c r="M2452" s="25" t="inlineStr">
        <is>
          <t>2.5.12</t>
        </is>
      </c>
      <c r="N2452" s="25">
        <f>IF(J2452&gt;300,1,0)</f>
        <v/>
      </c>
      <c r="O2452" s="25">
        <f>IF(J2452&gt;600,1,0)</f>
        <v/>
      </c>
      <c r="P2452" s="25">
        <f>IF(H2452&gt;0,J2452,"")</f>
        <v/>
      </c>
      <c r="Q2452" s="25">
        <f>TEXT(A2452,"YYYY-MM-DD HH")</f>
        <v/>
      </c>
      <c r="R2452" s="25">
        <f>COUNTIF($Q$2:$Q$5295,Q2452)</f>
        <v/>
      </c>
      <c r="S2452" s="25">
        <f>IF(R2452&lt;=2,"1-2",IF(R2452&lt;=5,"3-5",IF(R2452&lt;=10,"6-10","11+")))</f>
        <v/>
      </c>
    </row>
    <row r="2453">
      <c r="A2453" s="39" t="n">
        <v>46185.20545138889</v>
      </c>
      <c r="B2453" s="25">
        <f>TEXT(A2453,"YYYY-MM")</f>
        <v/>
      </c>
      <c r="C2453" s="25">
        <f>TEXT(A2453,"MMM-YYYY")</f>
        <v/>
      </c>
      <c r="D2453" s="40">
        <f>INT(A2453)-WEEKDAY(A2453,2)+1</f>
        <v/>
      </c>
      <c r="E2453" s="25" t="inlineStr">
        <is>
          <t>anusharma</t>
        </is>
      </c>
      <c r="F2453" s="25" t="n">
        <v>123202</v>
      </c>
      <c r="G2453" s="25" t="n">
        <v>1</v>
      </c>
      <c r="H2453" s="25" t="n">
        <v>5</v>
      </c>
      <c r="I2453" s="25" t="inlineStr">
        <is>
          <t>2 minute(s) and 56 second(s)</t>
        </is>
      </c>
      <c r="J2453" s="25">
        <f>IFERROR(VALUE(TRIM(LEFT(I2453,FIND("minute",I2453)-1)))*60,0)+IFERROR(VALUE(SUBSTITUTE(MID(I2453,IFERROR(FIND("and",I2453)+3,1),20),"second(s)","")),0)</f>
        <v/>
      </c>
      <c r="K2453" s="41">
        <f>J2453/60</f>
        <v/>
      </c>
      <c r="L2453" s="41">
        <f>IFERROR(J2453/H2453,"")</f>
        <v/>
      </c>
      <c r="M2453" s="25" t="inlineStr">
        <is>
          <t>2.5.12</t>
        </is>
      </c>
      <c r="N2453" s="25">
        <f>IF(J2453&gt;300,1,0)</f>
        <v/>
      </c>
      <c r="O2453" s="25">
        <f>IF(J2453&gt;600,1,0)</f>
        <v/>
      </c>
      <c r="P2453" s="25">
        <f>IF(H2453&gt;0,J2453,"")</f>
        <v/>
      </c>
      <c r="Q2453" s="25">
        <f>TEXT(A2453,"YYYY-MM-DD HH")</f>
        <v/>
      </c>
      <c r="R2453" s="25">
        <f>COUNTIF($Q$2:$Q$5295,Q2453)</f>
        <v/>
      </c>
      <c r="S2453" s="25">
        <f>IF(R2453&lt;=2,"1-2",IF(R2453&lt;=5,"3-5",IF(R2453&lt;=10,"6-10","11+")))</f>
        <v/>
      </c>
    </row>
    <row r="2454">
      <c r="A2454" s="39" t="n">
        <v>46185.20775462963</v>
      </c>
      <c r="B2454" s="25">
        <f>TEXT(A2454,"YYYY-MM")</f>
        <v/>
      </c>
      <c r="C2454" s="25">
        <f>TEXT(A2454,"MMM-YYYY")</f>
        <v/>
      </c>
      <c r="D2454" s="40">
        <f>INT(A2454)-WEEKDAY(A2454,2)+1</f>
        <v/>
      </c>
      <c r="E2454" s="25" t="inlineStr">
        <is>
          <t>asahoo</t>
        </is>
      </c>
      <c r="F2454" s="25" t="n">
        <v>122975</v>
      </c>
      <c r="G2454" s="25" t="n">
        <v>2</v>
      </c>
      <c r="H2454" s="25" t="n">
        <v>10</v>
      </c>
      <c r="I2454" s="25" t="inlineStr">
        <is>
          <t>2 minute(s) and 38 second(s)</t>
        </is>
      </c>
      <c r="J2454" s="25">
        <f>IFERROR(VALUE(TRIM(LEFT(I2454,FIND("minute",I2454)-1)))*60,0)+IFERROR(VALUE(SUBSTITUTE(MID(I2454,IFERROR(FIND("and",I2454)+3,1),20),"second(s)","")),0)</f>
        <v/>
      </c>
      <c r="K2454" s="41">
        <f>J2454/60</f>
        <v/>
      </c>
      <c r="L2454" s="41">
        <f>IFERROR(J2454/H2454,"")</f>
        <v/>
      </c>
      <c r="M2454" s="25" t="inlineStr">
        <is>
          <t>2.5.12</t>
        </is>
      </c>
      <c r="N2454" s="25">
        <f>IF(J2454&gt;300,1,0)</f>
        <v/>
      </c>
      <c r="O2454" s="25">
        <f>IF(J2454&gt;600,1,0)</f>
        <v/>
      </c>
      <c r="P2454" s="25">
        <f>IF(H2454&gt;0,J2454,"")</f>
        <v/>
      </c>
      <c r="Q2454" s="25">
        <f>TEXT(A2454,"YYYY-MM-DD HH")</f>
        <v/>
      </c>
      <c r="R2454" s="25">
        <f>COUNTIF($Q$2:$Q$5295,Q2454)</f>
        <v/>
      </c>
      <c r="S2454" s="25">
        <f>IF(R2454&lt;=2,"1-2",IF(R2454&lt;=5,"3-5",IF(R2454&lt;=10,"6-10","11+")))</f>
        <v/>
      </c>
    </row>
    <row r="2455">
      <c r="A2455" s="39" t="n">
        <v>46185.20895833334</v>
      </c>
      <c r="B2455" s="25">
        <f>TEXT(A2455,"YYYY-MM")</f>
        <v/>
      </c>
      <c r="C2455" s="25">
        <f>TEXT(A2455,"MMM-YYYY")</f>
        <v/>
      </c>
      <c r="D2455" s="40">
        <f>INT(A2455)-WEEKDAY(A2455,2)+1</f>
        <v/>
      </c>
      <c r="E2455" s="25" t="inlineStr">
        <is>
          <t>ns</t>
        </is>
      </c>
      <c r="F2455" s="25" t="n">
        <v>122919</v>
      </c>
      <c r="G2455" s="25" t="n">
        <v>2</v>
      </c>
      <c r="H2455" s="25" t="n">
        <v>8</v>
      </c>
      <c r="I2455" s="25" t="inlineStr">
        <is>
          <t>2 minute(s) and 57 second(s)</t>
        </is>
      </c>
      <c r="J2455" s="25">
        <f>IFERROR(VALUE(TRIM(LEFT(I2455,FIND("minute",I2455)-1)))*60,0)+IFERROR(VALUE(SUBSTITUTE(MID(I2455,IFERROR(FIND("and",I2455)+3,1),20),"second(s)","")),0)</f>
        <v/>
      </c>
      <c r="K2455" s="41">
        <f>J2455/60</f>
        <v/>
      </c>
      <c r="L2455" s="41">
        <f>IFERROR(J2455/H2455,"")</f>
        <v/>
      </c>
      <c r="M2455" s="25" t="inlineStr">
        <is>
          <t>2.5.12</t>
        </is>
      </c>
      <c r="N2455" s="25">
        <f>IF(J2455&gt;300,1,0)</f>
        <v/>
      </c>
      <c r="O2455" s="25">
        <f>IF(J2455&gt;600,1,0)</f>
        <v/>
      </c>
      <c r="P2455" s="25">
        <f>IF(H2455&gt;0,J2455,"")</f>
        <v/>
      </c>
      <c r="Q2455" s="25">
        <f>TEXT(A2455,"YYYY-MM-DD HH")</f>
        <v/>
      </c>
      <c r="R2455" s="25">
        <f>COUNTIF($Q$2:$Q$5295,Q2455)</f>
        <v/>
      </c>
      <c r="S2455" s="25">
        <f>IF(R2455&lt;=2,"1-2",IF(R2455&lt;=5,"3-5",IF(R2455&lt;=10,"6-10","11+")))</f>
        <v/>
      </c>
    </row>
    <row r="2456">
      <c r="A2456" s="39" t="n">
        <v>46185.2090625</v>
      </c>
      <c r="B2456" s="25">
        <f>TEXT(A2456,"YYYY-MM")</f>
        <v/>
      </c>
      <c r="C2456" s="25">
        <f>TEXT(A2456,"MMM-YYYY")</f>
        <v/>
      </c>
      <c r="D2456" s="40">
        <f>INT(A2456)-WEEKDAY(A2456,2)+1</f>
        <v/>
      </c>
      <c r="E2456" s="25" t="inlineStr">
        <is>
          <t>hsindwani</t>
        </is>
      </c>
      <c r="F2456" s="25" t="n">
        <v>122867</v>
      </c>
      <c r="G2456" s="25" t="n">
        <v>2</v>
      </c>
      <c r="H2456" s="25" t="n">
        <v>12</v>
      </c>
      <c r="I2456" s="25" t="inlineStr">
        <is>
          <t>4 minute(s) and 11 second(s)</t>
        </is>
      </c>
      <c r="J2456" s="25">
        <f>IFERROR(VALUE(TRIM(LEFT(I2456,FIND("minute",I2456)-1)))*60,0)+IFERROR(VALUE(SUBSTITUTE(MID(I2456,IFERROR(FIND("and",I2456)+3,1),20),"second(s)","")),0)</f>
        <v/>
      </c>
      <c r="K2456" s="41">
        <f>J2456/60</f>
        <v/>
      </c>
      <c r="L2456" s="41">
        <f>IFERROR(J2456/H2456,"")</f>
        <v/>
      </c>
      <c r="M2456" s="25" t="inlineStr">
        <is>
          <t>2.5.12</t>
        </is>
      </c>
      <c r="N2456" s="25">
        <f>IF(J2456&gt;300,1,0)</f>
        <v/>
      </c>
      <c r="O2456" s="25">
        <f>IF(J2456&gt;600,1,0)</f>
        <v/>
      </c>
      <c r="P2456" s="25">
        <f>IF(H2456&gt;0,J2456,"")</f>
        <v/>
      </c>
      <c r="Q2456" s="25">
        <f>TEXT(A2456,"YYYY-MM-DD HH")</f>
        <v/>
      </c>
      <c r="R2456" s="25">
        <f>COUNTIF($Q$2:$Q$5295,Q2456)</f>
        <v/>
      </c>
      <c r="S2456" s="25">
        <f>IF(R2456&lt;=2,"1-2",IF(R2456&lt;=5,"3-5",IF(R2456&lt;=10,"6-10","11+")))</f>
        <v/>
      </c>
    </row>
    <row r="2457">
      <c r="A2457" s="39" t="n">
        <v>46185.21942129629</v>
      </c>
      <c r="B2457" s="25">
        <f>TEXT(A2457,"YYYY-MM")</f>
        <v/>
      </c>
      <c r="C2457" s="25">
        <f>TEXT(A2457,"MMM-YYYY")</f>
        <v/>
      </c>
      <c r="D2457" s="40">
        <f>INT(A2457)-WEEKDAY(A2457,2)+1</f>
        <v/>
      </c>
      <c r="E2457" s="25" t="inlineStr">
        <is>
          <t>ssrinivasan</t>
        </is>
      </c>
      <c r="F2457" s="25" t="n">
        <v>123689</v>
      </c>
      <c r="G2457" s="25" t="n">
        <v>2</v>
      </c>
      <c r="H2457" s="25" t="n">
        <v>10</v>
      </c>
      <c r="I2457" s="25" t="inlineStr">
        <is>
          <t>2 minute(s) and 11 second(s)</t>
        </is>
      </c>
      <c r="J2457" s="25">
        <f>IFERROR(VALUE(TRIM(LEFT(I2457,FIND("minute",I2457)-1)))*60,0)+IFERROR(VALUE(SUBSTITUTE(MID(I2457,IFERROR(FIND("and",I2457)+3,1),20),"second(s)","")),0)</f>
        <v/>
      </c>
      <c r="K2457" s="41">
        <f>J2457/60</f>
        <v/>
      </c>
      <c r="L2457" s="41">
        <f>IFERROR(J2457/H2457,"")</f>
        <v/>
      </c>
      <c r="M2457" s="25" t="inlineStr">
        <is>
          <t>2.5.12</t>
        </is>
      </c>
      <c r="N2457" s="25">
        <f>IF(J2457&gt;300,1,0)</f>
        <v/>
      </c>
      <c r="O2457" s="25">
        <f>IF(J2457&gt;600,1,0)</f>
        <v/>
      </c>
      <c r="P2457" s="25">
        <f>IF(H2457&gt;0,J2457,"")</f>
        <v/>
      </c>
      <c r="Q2457" s="25">
        <f>TEXT(A2457,"YYYY-MM-DD HH")</f>
        <v/>
      </c>
      <c r="R2457" s="25">
        <f>COUNTIF($Q$2:$Q$5295,Q2457)</f>
        <v/>
      </c>
      <c r="S2457" s="25">
        <f>IF(R2457&lt;=2,"1-2",IF(R2457&lt;=5,"3-5",IF(R2457&lt;=10,"6-10","11+")))</f>
        <v/>
      </c>
    </row>
    <row r="2458">
      <c r="A2458" s="39" t="n">
        <v>46185.23082175926</v>
      </c>
      <c r="B2458" s="25">
        <f>TEXT(A2458,"YYYY-MM")</f>
        <v/>
      </c>
      <c r="C2458" s="25">
        <f>TEXT(A2458,"MMM-YYYY")</f>
        <v/>
      </c>
      <c r="D2458" s="40">
        <f>INT(A2458)-WEEKDAY(A2458,2)+1</f>
        <v/>
      </c>
      <c r="E2458" s="25" t="inlineStr">
        <is>
          <t>aupadhayay</t>
        </is>
      </c>
      <c r="F2458" s="25" t="n">
        <v>126511</v>
      </c>
      <c r="G2458" s="25" t="n">
        <v>1</v>
      </c>
      <c r="H2458" s="25" t="n">
        <v>5</v>
      </c>
      <c r="I2458" s="25" t="inlineStr">
        <is>
          <t>2 minute(s) and 57 second(s)</t>
        </is>
      </c>
      <c r="J2458" s="25">
        <f>IFERROR(VALUE(TRIM(LEFT(I2458,FIND("minute",I2458)-1)))*60,0)+IFERROR(VALUE(SUBSTITUTE(MID(I2458,IFERROR(FIND("and",I2458)+3,1),20),"second(s)","")),0)</f>
        <v/>
      </c>
      <c r="K2458" s="41">
        <f>J2458/60</f>
        <v/>
      </c>
      <c r="L2458" s="41">
        <f>IFERROR(J2458/H2458,"")</f>
        <v/>
      </c>
      <c r="M2458" s="25" t="inlineStr">
        <is>
          <t>2.5.12</t>
        </is>
      </c>
      <c r="N2458" s="25">
        <f>IF(J2458&gt;300,1,0)</f>
        <v/>
      </c>
      <c r="O2458" s="25">
        <f>IF(J2458&gt;600,1,0)</f>
        <v/>
      </c>
      <c r="P2458" s="25">
        <f>IF(H2458&gt;0,J2458,"")</f>
        <v/>
      </c>
      <c r="Q2458" s="25">
        <f>TEXT(A2458,"YYYY-MM-DD HH")</f>
        <v/>
      </c>
      <c r="R2458" s="25">
        <f>COUNTIF($Q$2:$Q$5295,Q2458)</f>
        <v/>
      </c>
      <c r="S2458" s="25">
        <f>IF(R2458&lt;=2,"1-2",IF(R2458&lt;=5,"3-5",IF(R2458&lt;=10,"6-10","11+")))</f>
        <v/>
      </c>
    </row>
    <row r="2459">
      <c r="A2459" s="39" t="n">
        <v>46185.23505787037</v>
      </c>
      <c r="B2459" s="25">
        <f>TEXT(A2459,"YYYY-MM")</f>
        <v/>
      </c>
      <c r="C2459" s="25">
        <f>TEXT(A2459,"MMM-YYYY")</f>
        <v/>
      </c>
      <c r="D2459" s="40">
        <f>INT(A2459)-WEEKDAY(A2459,2)+1</f>
        <v/>
      </c>
      <c r="E2459" s="25" t="inlineStr">
        <is>
          <t>aghosh</t>
        </is>
      </c>
      <c r="F2459" s="25" t="n">
        <v>123231</v>
      </c>
      <c r="G2459" s="25" t="n">
        <v>2</v>
      </c>
      <c r="H2459" s="25" t="n">
        <v>8</v>
      </c>
      <c r="I2459" s="25" t="inlineStr">
        <is>
          <t>2 minute(s) and 12 second(s)</t>
        </is>
      </c>
      <c r="J2459" s="25">
        <f>IFERROR(VALUE(TRIM(LEFT(I2459,FIND("minute",I2459)-1)))*60,0)+IFERROR(VALUE(SUBSTITUTE(MID(I2459,IFERROR(FIND("and",I2459)+3,1),20),"second(s)","")),0)</f>
        <v/>
      </c>
      <c r="K2459" s="41">
        <f>J2459/60</f>
        <v/>
      </c>
      <c r="L2459" s="41">
        <f>IFERROR(J2459/H2459,"")</f>
        <v/>
      </c>
      <c r="M2459" s="25" t="inlineStr">
        <is>
          <t>2.5.12</t>
        </is>
      </c>
      <c r="N2459" s="25">
        <f>IF(J2459&gt;300,1,0)</f>
        <v/>
      </c>
      <c r="O2459" s="25">
        <f>IF(J2459&gt;600,1,0)</f>
        <v/>
      </c>
      <c r="P2459" s="25">
        <f>IF(H2459&gt;0,J2459,"")</f>
        <v/>
      </c>
      <c r="Q2459" s="25">
        <f>TEXT(A2459,"YYYY-MM-DD HH")</f>
        <v/>
      </c>
      <c r="R2459" s="25">
        <f>COUNTIF($Q$2:$Q$5295,Q2459)</f>
        <v/>
      </c>
      <c r="S2459" s="25">
        <f>IF(R2459&lt;=2,"1-2",IF(R2459&lt;=5,"3-5",IF(R2459&lt;=10,"6-10","11+")))</f>
        <v/>
      </c>
    </row>
    <row r="2460">
      <c r="A2460" s="39" t="n">
        <v>46185.2368287037</v>
      </c>
      <c r="B2460" s="25">
        <f>TEXT(A2460,"YYYY-MM")</f>
        <v/>
      </c>
      <c r="C2460" s="25">
        <f>TEXT(A2460,"MMM-YYYY")</f>
        <v/>
      </c>
      <c r="D2460" s="40">
        <f>INT(A2460)-WEEKDAY(A2460,2)+1</f>
        <v/>
      </c>
      <c r="E2460" s="25" t="inlineStr">
        <is>
          <t>psathwika</t>
        </is>
      </c>
      <c r="F2460" s="25" t="n">
        <v>123544</v>
      </c>
      <c r="G2460" s="25" t="n">
        <v>2</v>
      </c>
      <c r="H2460" s="25" t="n">
        <v>12</v>
      </c>
      <c r="I2460" s="25" t="inlineStr">
        <is>
          <t>5 minute(s) and 4 second(s)</t>
        </is>
      </c>
      <c r="J2460" s="25">
        <f>IFERROR(VALUE(TRIM(LEFT(I2460,FIND("minute",I2460)-1)))*60,0)+IFERROR(VALUE(SUBSTITUTE(MID(I2460,IFERROR(FIND("and",I2460)+3,1),20),"second(s)","")),0)</f>
        <v/>
      </c>
      <c r="K2460" s="41">
        <f>J2460/60</f>
        <v/>
      </c>
      <c r="L2460" s="41">
        <f>IFERROR(J2460/H2460,"")</f>
        <v/>
      </c>
      <c r="M2460" s="25" t="inlineStr">
        <is>
          <t>2.5.12</t>
        </is>
      </c>
      <c r="N2460" s="25">
        <f>IF(J2460&gt;300,1,0)</f>
        <v/>
      </c>
      <c r="O2460" s="25">
        <f>IF(J2460&gt;600,1,0)</f>
        <v/>
      </c>
      <c r="P2460" s="25">
        <f>IF(H2460&gt;0,J2460,"")</f>
        <v/>
      </c>
      <c r="Q2460" s="25">
        <f>TEXT(A2460,"YYYY-MM-DD HH")</f>
        <v/>
      </c>
      <c r="R2460" s="25">
        <f>COUNTIF($Q$2:$Q$5295,Q2460)</f>
        <v/>
      </c>
      <c r="S2460" s="25">
        <f>IF(R2460&lt;=2,"1-2",IF(R2460&lt;=5,"3-5",IF(R2460&lt;=10,"6-10","11+")))</f>
        <v/>
      </c>
    </row>
    <row r="2461">
      <c r="A2461" s="39" t="n">
        <v>46185.24490740741</v>
      </c>
      <c r="B2461" s="25">
        <f>TEXT(A2461,"YYYY-MM")</f>
        <v/>
      </c>
      <c r="C2461" s="25">
        <f>TEXT(A2461,"MMM-YYYY")</f>
        <v/>
      </c>
      <c r="D2461" s="40">
        <f>INT(A2461)-WEEKDAY(A2461,2)+1</f>
        <v/>
      </c>
      <c r="E2461" s="25" t="inlineStr">
        <is>
          <t>mgupta</t>
        </is>
      </c>
      <c r="F2461" s="25" t="n">
        <v>122184</v>
      </c>
      <c r="G2461" s="25" t="n">
        <v>5</v>
      </c>
      <c r="H2461" s="25" t="n">
        <v>27</v>
      </c>
      <c r="I2461" s="25" t="inlineStr">
        <is>
          <t>9 minute(s) and 50 second(s)</t>
        </is>
      </c>
      <c r="J2461" s="25">
        <f>IFERROR(VALUE(TRIM(LEFT(I2461,FIND("minute",I2461)-1)))*60,0)+IFERROR(VALUE(SUBSTITUTE(MID(I2461,IFERROR(FIND("and",I2461)+3,1),20),"second(s)","")),0)</f>
        <v/>
      </c>
      <c r="K2461" s="41">
        <f>J2461/60</f>
        <v/>
      </c>
      <c r="L2461" s="41">
        <f>IFERROR(J2461/H2461,"")</f>
        <v/>
      </c>
      <c r="M2461" s="25" t="inlineStr">
        <is>
          <t>2.5.12</t>
        </is>
      </c>
      <c r="N2461" s="25">
        <f>IF(J2461&gt;300,1,0)</f>
        <v/>
      </c>
      <c r="O2461" s="25">
        <f>IF(J2461&gt;600,1,0)</f>
        <v/>
      </c>
      <c r="P2461" s="25">
        <f>IF(H2461&gt;0,J2461,"")</f>
        <v/>
      </c>
      <c r="Q2461" s="25">
        <f>TEXT(A2461,"YYYY-MM-DD HH")</f>
        <v/>
      </c>
      <c r="R2461" s="25">
        <f>COUNTIF($Q$2:$Q$5295,Q2461)</f>
        <v/>
      </c>
      <c r="S2461" s="25">
        <f>IF(R2461&lt;=2,"1-2",IF(R2461&lt;=5,"3-5",IF(R2461&lt;=10,"6-10","11+")))</f>
        <v/>
      </c>
    </row>
    <row r="2462">
      <c r="A2462" s="39" t="n">
        <v>46185.25046296296</v>
      </c>
      <c r="B2462" s="25">
        <f>TEXT(A2462,"YYYY-MM")</f>
        <v/>
      </c>
      <c r="C2462" s="25">
        <f>TEXT(A2462,"MMM-YYYY")</f>
        <v/>
      </c>
      <c r="D2462" s="40">
        <f>INT(A2462)-WEEKDAY(A2462,2)+1</f>
        <v/>
      </c>
      <c r="E2462" s="25" t="inlineStr">
        <is>
          <t>asahoo</t>
        </is>
      </c>
      <c r="F2462" s="25" t="n">
        <v>124778</v>
      </c>
      <c r="G2462" s="25" t="n">
        <v>2</v>
      </c>
      <c r="H2462" s="25" t="n">
        <v>8</v>
      </c>
      <c r="I2462" s="25" t="inlineStr">
        <is>
          <t>4 minute(s) and 20 second(s)</t>
        </is>
      </c>
      <c r="J2462" s="25">
        <f>IFERROR(VALUE(TRIM(LEFT(I2462,FIND("minute",I2462)-1)))*60,0)+IFERROR(VALUE(SUBSTITUTE(MID(I2462,IFERROR(FIND("and",I2462)+3,1),20),"second(s)","")),0)</f>
        <v/>
      </c>
      <c r="K2462" s="41">
        <f>J2462/60</f>
        <v/>
      </c>
      <c r="L2462" s="41">
        <f>IFERROR(J2462/H2462,"")</f>
        <v/>
      </c>
      <c r="M2462" s="25" t="inlineStr">
        <is>
          <t>2.5.12</t>
        </is>
      </c>
      <c r="N2462" s="25">
        <f>IF(J2462&gt;300,1,0)</f>
        <v/>
      </c>
      <c r="O2462" s="25">
        <f>IF(J2462&gt;600,1,0)</f>
        <v/>
      </c>
      <c r="P2462" s="25">
        <f>IF(H2462&gt;0,J2462,"")</f>
        <v/>
      </c>
      <c r="Q2462" s="25">
        <f>TEXT(A2462,"YYYY-MM-DD HH")</f>
        <v/>
      </c>
      <c r="R2462" s="25">
        <f>COUNTIF($Q$2:$Q$5295,Q2462)</f>
        <v/>
      </c>
      <c r="S2462" s="25">
        <f>IF(R2462&lt;=2,"1-2",IF(R2462&lt;=5,"3-5",IF(R2462&lt;=10,"6-10","11+")))</f>
        <v/>
      </c>
    </row>
    <row r="2463">
      <c r="A2463" s="39" t="n">
        <v>46185.25614583334</v>
      </c>
      <c r="B2463" s="25">
        <f>TEXT(A2463,"YYYY-MM")</f>
        <v/>
      </c>
      <c r="C2463" s="25">
        <f>TEXT(A2463,"MMM-YYYY")</f>
        <v/>
      </c>
      <c r="D2463" s="40">
        <f>INT(A2463)-WEEKDAY(A2463,2)+1</f>
        <v/>
      </c>
      <c r="E2463" s="25" t="inlineStr">
        <is>
          <t>ns</t>
        </is>
      </c>
      <c r="F2463" s="25" t="n">
        <v>122918</v>
      </c>
      <c r="G2463" s="25" t="n">
        <v>1</v>
      </c>
      <c r="H2463" s="25" t="n">
        <v>7</v>
      </c>
      <c r="I2463" s="25" t="inlineStr">
        <is>
          <t>3 minute(s) and 0 second(s)</t>
        </is>
      </c>
      <c r="J2463" s="25">
        <f>IFERROR(VALUE(TRIM(LEFT(I2463,FIND("minute",I2463)-1)))*60,0)+IFERROR(VALUE(SUBSTITUTE(MID(I2463,IFERROR(FIND("and",I2463)+3,1),20),"second(s)","")),0)</f>
        <v/>
      </c>
      <c r="K2463" s="41">
        <f>J2463/60</f>
        <v/>
      </c>
      <c r="L2463" s="41">
        <f>IFERROR(J2463/H2463,"")</f>
        <v/>
      </c>
      <c r="M2463" s="25" t="inlineStr">
        <is>
          <t>2.5.12</t>
        </is>
      </c>
      <c r="N2463" s="25">
        <f>IF(J2463&gt;300,1,0)</f>
        <v/>
      </c>
      <c r="O2463" s="25">
        <f>IF(J2463&gt;600,1,0)</f>
        <v/>
      </c>
      <c r="P2463" s="25">
        <f>IF(H2463&gt;0,J2463,"")</f>
        <v/>
      </c>
      <c r="Q2463" s="25">
        <f>TEXT(A2463,"YYYY-MM-DD HH")</f>
        <v/>
      </c>
      <c r="R2463" s="25">
        <f>COUNTIF($Q$2:$Q$5295,Q2463)</f>
        <v/>
      </c>
      <c r="S2463" s="25">
        <f>IF(R2463&lt;=2,"1-2",IF(R2463&lt;=5,"3-5",IF(R2463&lt;=10,"6-10","11+")))</f>
        <v/>
      </c>
    </row>
    <row r="2464">
      <c r="A2464" s="39" t="n">
        <v>46185.25679398148</v>
      </c>
      <c r="B2464" s="25">
        <f>TEXT(A2464,"YYYY-MM")</f>
        <v/>
      </c>
      <c r="C2464" s="25">
        <f>TEXT(A2464,"MMM-YYYY")</f>
        <v/>
      </c>
      <c r="D2464" s="40">
        <f>INT(A2464)-WEEKDAY(A2464,2)+1</f>
        <v/>
      </c>
      <c r="E2464" s="25" t="inlineStr">
        <is>
          <t>stiwari</t>
        </is>
      </c>
      <c r="F2464" s="25" t="n">
        <v>123049</v>
      </c>
      <c r="G2464" s="25" t="n">
        <v>1</v>
      </c>
      <c r="H2464" s="25" t="n">
        <v>6</v>
      </c>
      <c r="I2464" s="25" t="inlineStr">
        <is>
          <t>1 minute(s) and 14 second(s)</t>
        </is>
      </c>
      <c r="J2464" s="25">
        <f>IFERROR(VALUE(TRIM(LEFT(I2464,FIND("minute",I2464)-1)))*60,0)+IFERROR(VALUE(SUBSTITUTE(MID(I2464,IFERROR(FIND("and",I2464)+3,1),20),"second(s)","")),0)</f>
        <v/>
      </c>
      <c r="K2464" s="41">
        <f>J2464/60</f>
        <v/>
      </c>
      <c r="L2464" s="41">
        <f>IFERROR(J2464/H2464,"")</f>
        <v/>
      </c>
      <c r="M2464" s="25" t="inlineStr">
        <is>
          <t>2.5.12</t>
        </is>
      </c>
      <c r="N2464" s="25">
        <f>IF(J2464&gt;300,1,0)</f>
        <v/>
      </c>
      <c r="O2464" s="25">
        <f>IF(J2464&gt;600,1,0)</f>
        <v/>
      </c>
      <c r="P2464" s="25">
        <f>IF(H2464&gt;0,J2464,"")</f>
        <v/>
      </c>
      <c r="Q2464" s="25">
        <f>TEXT(A2464,"YYYY-MM-DD HH")</f>
        <v/>
      </c>
      <c r="R2464" s="25">
        <f>COUNTIF($Q$2:$Q$5295,Q2464)</f>
        <v/>
      </c>
      <c r="S2464" s="25">
        <f>IF(R2464&lt;=2,"1-2",IF(R2464&lt;=5,"3-5",IF(R2464&lt;=10,"6-10","11+")))</f>
        <v/>
      </c>
    </row>
    <row r="2465">
      <c r="A2465" s="39" t="n">
        <v>46185.25821759259</v>
      </c>
      <c r="B2465" s="25">
        <f>TEXT(A2465,"YYYY-MM")</f>
        <v/>
      </c>
      <c r="C2465" s="25">
        <f>TEXT(A2465,"MMM-YYYY")</f>
        <v/>
      </c>
      <c r="D2465" s="40">
        <f>INT(A2465)-WEEKDAY(A2465,2)+1</f>
        <v/>
      </c>
      <c r="E2465" s="25" t="inlineStr">
        <is>
          <t>rts</t>
        </is>
      </c>
      <c r="F2465" s="25" t="n">
        <v>123405</v>
      </c>
      <c r="G2465" s="25" t="n">
        <v>1</v>
      </c>
      <c r="H2465" s="25" t="n">
        <v>8</v>
      </c>
      <c r="I2465" s="25" t="inlineStr">
        <is>
          <t>1 minute(s) and 46 second(s)</t>
        </is>
      </c>
      <c r="J2465" s="25">
        <f>IFERROR(VALUE(TRIM(LEFT(I2465,FIND("minute",I2465)-1)))*60,0)+IFERROR(VALUE(SUBSTITUTE(MID(I2465,IFERROR(FIND("and",I2465)+3,1),20),"second(s)","")),0)</f>
        <v/>
      </c>
      <c r="K2465" s="41">
        <f>J2465/60</f>
        <v/>
      </c>
      <c r="L2465" s="41">
        <f>IFERROR(J2465/H2465,"")</f>
        <v/>
      </c>
      <c r="M2465" s="25" t="inlineStr">
        <is>
          <t>2.5.12</t>
        </is>
      </c>
      <c r="N2465" s="25">
        <f>IF(J2465&gt;300,1,0)</f>
        <v/>
      </c>
      <c r="O2465" s="25">
        <f>IF(J2465&gt;600,1,0)</f>
        <v/>
      </c>
      <c r="P2465" s="25">
        <f>IF(H2465&gt;0,J2465,"")</f>
        <v/>
      </c>
      <c r="Q2465" s="25">
        <f>TEXT(A2465,"YYYY-MM-DD HH")</f>
        <v/>
      </c>
      <c r="R2465" s="25">
        <f>COUNTIF($Q$2:$Q$5295,Q2465)</f>
        <v/>
      </c>
      <c r="S2465" s="25">
        <f>IF(R2465&lt;=2,"1-2",IF(R2465&lt;=5,"3-5",IF(R2465&lt;=10,"6-10","11+")))</f>
        <v/>
      </c>
    </row>
    <row r="2466">
      <c r="A2466" s="39" t="n">
        <v>46185.26116898148</v>
      </c>
      <c r="B2466" s="25">
        <f>TEXT(A2466,"YYYY-MM")</f>
        <v/>
      </c>
      <c r="C2466" s="25">
        <f>TEXT(A2466,"MMM-YYYY")</f>
        <v/>
      </c>
      <c r="D2466" s="40">
        <f>INT(A2466)-WEEKDAY(A2466,2)+1</f>
        <v/>
      </c>
      <c r="E2466" s="25" t="inlineStr">
        <is>
          <t>adey</t>
        </is>
      </c>
      <c r="F2466" s="25" t="n">
        <v>123306</v>
      </c>
      <c r="G2466" s="25" t="n">
        <v>2</v>
      </c>
      <c r="H2466" s="25" t="n">
        <v>10</v>
      </c>
      <c r="I2466" s="25" t="inlineStr">
        <is>
          <t>3 minute(s) and 15 second(s)</t>
        </is>
      </c>
      <c r="J2466" s="25">
        <f>IFERROR(VALUE(TRIM(LEFT(I2466,FIND("minute",I2466)-1)))*60,0)+IFERROR(VALUE(SUBSTITUTE(MID(I2466,IFERROR(FIND("and",I2466)+3,1),20),"second(s)","")),0)</f>
        <v/>
      </c>
      <c r="K2466" s="41">
        <f>J2466/60</f>
        <v/>
      </c>
      <c r="L2466" s="41">
        <f>IFERROR(J2466/H2466,"")</f>
        <v/>
      </c>
      <c r="M2466" s="25" t="inlineStr">
        <is>
          <t>2.5.12</t>
        </is>
      </c>
      <c r="N2466" s="25">
        <f>IF(J2466&gt;300,1,0)</f>
        <v/>
      </c>
      <c r="O2466" s="25">
        <f>IF(J2466&gt;600,1,0)</f>
        <v/>
      </c>
      <c r="P2466" s="25">
        <f>IF(H2466&gt;0,J2466,"")</f>
        <v/>
      </c>
      <c r="Q2466" s="25">
        <f>TEXT(A2466,"YYYY-MM-DD HH")</f>
        <v/>
      </c>
      <c r="R2466" s="25">
        <f>COUNTIF($Q$2:$Q$5295,Q2466)</f>
        <v/>
      </c>
      <c r="S2466" s="25">
        <f>IF(R2466&lt;=2,"1-2",IF(R2466&lt;=5,"3-5",IF(R2466&lt;=10,"6-10","11+")))</f>
        <v/>
      </c>
    </row>
    <row r="2467">
      <c r="A2467" s="39" t="n">
        <v>46185.26631944445</v>
      </c>
      <c r="B2467" s="25">
        <f>TEXT(A2467,"YYYY-MM")</f>
        <v/>
      </c>
      <c r="C2467" s="25">
        <f>TEXT(A2467,"MMM-YYYY")</f>
        <v/>
      </c>
      <c r="D2467" s="40">
        <f>INT(A2467)-WEEKDAY(A2467,2)+1</f>
        <v/>
      </c>
      <c r="E2467" s="25" t="inlineStr">
        <is>
          <t>pmehndiratta</t>
        </is>
      </c>
      <c r="F2467" s="25" t="n">
        <v>121819</v>
      </c>
      <c r="G2467" s="25" t="n">
        <v>3</v>
      </c>
      <c r="H2467" s="25" t="n">
        <v>17</v>
      </c>
      <c r="I2467" s="25" t="inlineStr">
        <is>
          <t>3 minute(s) and 29 second(s)</t>
        </is>
      </c>
      <c r="J2467" s="25">
        <f>IFERROR(VALUE(TRIM(LEFT(I2467,FIND("minute",I2467)-1)))*60,0)+IFERROR(VALUE(SUBSTITUTE(MID(I2467,IFERROR(FIND("and",I2467)+3,1),20),"second(s)","")),0)</f>
        <v/>
      </c>
      <c r="K2467" s="41">
        <f>J2467/60</f>
        <v/>
      </c>
      <c r="L2467" s="41">
        <f>IFERROR(J2467/H2467,"")</f>
        <v/>
      </c>
      <c r="M2467" s="25" t="inlineStr">
        <is>
          <t>2.5.12</t>
        </is>
      </c>
      <c r="N2467" s="25">
        <f>IF(J2467&gt;300,1,0)</f>
        <v/>
      </c>
      <c r="O2467" s="25">
        <f>IF(J2467&gt;600,1,0)</f>
        <v/>
      </c>
      <c r="P2467" s="25">
        <f>IF(H2467&gt;0,J2467,"")</f>
        <v/>
      </c>
      <c r="Q2467" s="25">
        <f>TEXT(A2467,"YYYY-MM-DD HH")</f>
        <v/>
      </c>
      <c r="R2467" s="25">
        <f>COUNTIF($Q$2:$Q$5295,Q2467)</f>
        <v/>
      </c>
      <c r="S2467" s="25">
        <f>IF(R2467&lt;=2,"1-2",IF(R2467&lt;=5,"3-5",IF(R2467&lt;=10,"6-10","11+")))</f>
        <v/>
      </c>
    </row>
    <row r="2468">
      <c r="A2468" s="39" t="n">
        <v>46185.27221064815</v>
      </c>
      <c r="B2468" s="25">
        <f>TEXT(A2468,"YYYY-MM")</f>
        <v/>
      </c>
      <c r="C2468" s="25">
        <f>TEXT(A2468,"MMM-YYYY")</f>
        <v/>
      </c>
      <c r="D2468" s="40">
        <f>INT(A2468)-WEEKDAY(A2468,2)+1</f>
        <v/>
      </c>
      <c r="E2468" s="25" t="inlineStr">
        <is>
          <t>mbohra</t>
        </is>
      </c>
      <c r="F2468" s="25" t="n">
        <v>123449</v>
      </c>
      <c r="G2468" s="25" t="n">
        <v>2</v>
      </c>
      <c r="H2468" s="25" t="n">
        <v>10</v>
      </c>
      <c r="I2468" s="25" t="inlineStr">
        <is>
          <t>3 minute(s) and 55 second(s)</t>
        </is>
      </c>
      <c r="J2468" s="25">
        <f>IFERROR(VALUE(TRIM(LEFT(I2468,FIND("minute",I2468)-1)))*60,0)+IFERROR(VALUE(SUBSTITUTE(MID(I2468,IFERROR(FIND("and",I2468)+3,1),20),"second(s)","")),0)</f>
        <v/>
      </c>
      <c r="K2468" s="41">
        <f>J2468/60</f>
        <v/>
      </c>
      <c r="L2468" s="41">
        <f>IFERROR(J2468/H2468,"")</f>
        <v/>
      </c>
      <c r="M2468" s="25" t="inlineStr">
        <is>
          <t>2.5.12</t>
        </is>
      </c>
      <c r="N2468" s="25">
        <f>IF(J2468&gt;300,1,0)</f>
        <v/>
      </c>
      <c r="O2468" s="25">
        <f>IF(J2468&gt;600,1,0)</f>
        <v/>
      </c>
      <c r="P2468" s="25">
        <f>IF(H2468&gt;0,J2468,"")</f>
        <v/>
      </c>
      <c r="Q2468" s="25">
        <f>TEXT(A2468,"YYYY-MM-DD HH")</f>
        <v/>
      </c>
      <c r="R2468" s="25">
        <f>COUNTIF($Q$2:$Q$5295,Q2468)</f>
        <v/>
      </c>
      <c r="S2468" s="25">
        <f>IF(R2468&lt;=2,"1-2",IF(R2468&lt;=5,"3-5",IF(R2468&lt;=10,"6-10","11+")))</f>
        <v/>
      </c>
    </row>
    <row r="2469">
      <c r="A2469" s="39" t="n">
        <v>46185.27568287037</v>
      </c>
      <c r="B2469" s="25">
        <f>TEXT(A2469,"YYYY-MM")</f>
        <v/>
      </c>
      <c r="C2469" s="25">
        <f>TEXT(A2469,"MMM-YYYY")</f>
        <v/>
      </c>
      <c r="D2469" s="40">
        <f>INT(A2469)-WEEKDAY(A2469,2)+1</f>
        <v/>
      </c>
      <c r="E2469" s="25" t="inlineStr">
        <is>
          <t>anusharma</t>
        </is>
      </c>
      <c r="F2469" s="25" t="n">
        <v>123210</v>
      </c>
      <c r="G2469" s="25" t="n">
        <v>2</v>
      </c>
      <c r="H2469" s="25" t="n">
        <v>8</v>
      </c>
      <c r="I2469" s="25" t="inlineStr">
        <is>
          <t>2 minute(s) and 26 second(s)</t>
        </is>
      </c>
      <c r="J2469" s="25">
        <f>IFERROR(VALUE(TRIM(LEFT(I2469,FIND("minute",I2469)-1)))*60,0)+IFERROR(VALUE(SUBSTITUTE(MID(I2469,IFERROR(FIND("and",I2469)+3,1),20),"second(s)","")),0)</f>
        <v/>
      </c>
      <c r="K2469" s="41">
        <f>J2469/60</f>
        <v/>
      </c>
      <c r="L2469" s="41">
        <f>IFERROR(J2469/H2469,"")</f>
        <v/>
      </c>
      <c r="M2469" s="25" t="inlineStr">
        <is>
          <t>2.5.12</t>
        </is>
      </c>
      <c r="N2469" s="25">
        <f>IF(J2469&gt;300,1,0)</f>
        <v/>
      </c>
      <c r="O2469" s="25">
        <f>IF(J2469&gt;600,1,0)</f>
        <v/>
      </c>
      <c r="P2469" s="25">
        <f>IF(H2469&gt;0,J2469,"")</f>
        <v/>
      </c>
      <c r="Q2469" s="25">
        <f>TEXT(A2469,"YYYY-MM-DD HH")</f>
        <v/>
      </c>
      <c r="R2469" s="25">
        <f>COUNTIF($Q$2:$Q$5295,Q2469)</f>
        <v/>
      </c>
      <c r="S2469" s="25">
        <f>IF(R2469&lt;=2,"1-2",IF(R2469&lt;=5,"3-5",IF(R2469&lt;=10,"6-10","11+")))</f>
        <v/>
      </c>
    </row>
    <row r="2470">
      <c r="A2470" s="39" t="n">
        <v>46185.28928240741</v>
      </c>
      <c r="B2470" s="25">
        <f>TEXT(A2470,"YYYY-MM")</f>
        <v/>
      </c>
      <c r="C2470" s="25">
        <f>TEXT(A2470,"MMM-YYYY")</f>
        <v/>
      </c>
      <c r="D2470" s="40">
        <f>INT(A2470)-WEEKDAY(A2470,2)+1</f>
        <v/>
      </c>
      <c r="E2470" s="25" t="inlineStr">
        <is>
          <t>psathwika</t>
        </is>
      </c>
      <c r="F2470" s="25" t="n">
        <v>123543</v>
      </c>
      <c r="G2470" s="25" t="n">
        <v>2</v>
      </c>
      <c r="H2470" s="25" t="n">
        <v>10</v>
      </c>
      <c r="I2470" s="25" t="inlineStr">
        <is>
          <t>5 minute(s) and 58 second(s)</t>
        </is>
      </c>
      <c r="J2470" s="25">
        <f>IFERROR(VALUE(TRIM(LEFT(I2470,FIND("minute",I2470)-1)))*60,0)+IFERROR(VALUE(SUBSTITUTE(MID(I2470,IFERROR(FIND("and",I2470)+3,1),20),"second(s)","")),0)</f>
        <v/>
      </c>
      <c r="K2470" s="41">
        <f>J2470/60</f>
        <v/>
      </c>
      <c r="L2470" s="41">
        <f>IFERROR(J2470/H2470,"")</f>
        <v/>
      </c>
      <c r="M2470" s="25" t="inlineStr">
        <is>
          <t>2.5.12</t>
        </is>
      </c>
      <c r="N2470" s="25">
        <f>IF(J2470&gt;300,1,0)</f>
        <v/>
      </c>
      <c r="O2470" s="25">
        <f>IF(J2470&gt;600,1,0)</f>
        <v/>
      </c>
      <c r="P2470" s="25">
        <f>IF(H2470&gt;0,J2470,"")</f>
        <v/>
      </c>
      <c r="Q2470" s="25">
        <f>TEXT(A2470,"YYYY-MM-DD HH")</f>
        <v/>
      </c>
      <c r="R2470" s="25">
        <f>COUNTIF($Q$2:$Q$5295,Q2470)</f>
        <v/>
      </c>
      <c r="S2470" s="25">
        <f>IF(R2470&lt;=2,"1-2",IF(R2470&lt;=5,"3-5",IF(R2470&lt;=10,"6-10","11+")))</f>
        <v/>
      </c>
    </row>
    <row r="2471">
      <c r="A2471" s="39" t="n">
        <v>46185.29620370371</v>
      </c>
      <c r="B2471" s="25">
        <f>TEXT(A2471,"YYYY-MM")</f>
        <v/>
      </c>
      <c r="C2471" s="25">
        <f>TEXT(A2471,"MMM-YYYY")</f>
        <v/>
      </c>
      <c r="D2471" s="40">
        <f>INT(A2471)-WEEKDAY(A2471,2)+1</f>
        <v/>
      </c>
      <c r="E2471" s="25" t="inlineStr">
        <is>
          <t>emishra</t>
        </is>
      </c>
      <c r="F2471" s="25" t="n">
        <v>123904</v>
      </c>
      <c r="G2471" s="25" t="n">
        <v>2</v>
      </c>
      <c r="H2471" s="25" t="n">
        <v>12</v>
      </c>
      <c r="I2471" s="25" t="inlineStr">
        <is>
          <t>3 minute(s) and 26 second(s)</t>
        </is>
      </c>
      <c r="J2471" s="25">
        <f>IFERROR(VALUE(TRIM(LEFT(I2471,FIND("minute",I2471)-1)))*60,0)+IFERROR(VALUE(SUBSTITUTE(MID(I2471,IFERROR(FIND("and",I2471)+3,1),20),"second(s)","")),0)</f>
        <v/>
      </c>
      <c r="K2471" s="41">
        <f>J2471/60</f>
        <v/>
      </c>
      <c r="L2471" s="41">
        <f>IFERROR(J2471/H2471,"")</f>
        <v/>
      </c>
      <c r="M2471" s="25" t="inlineStr">
        <is>
          <t>2.5.12</t>
        </is>
      </c>
      <c r="N2471" s="25">
        <f>IF(J2471&gt;300,1,0)</f>
        <v/>
      </c>
      <c r="O2471" s="25">
        <f>IF(J2471&gt;600,1,0)</f>
        <v/>
      </c>
      <c r="P2471" s="25">
        <f>IF(H2471&gt;0,J2471,"")</f>
        <v/>
      </c>
      <c r="Q2471" s="25">
        <f>TEXT(A2471,"YYYY-MM-DD HH")</f>
        <v/>
      </c>
      <c r="R2471" s="25">
        <f>COUNTIF($Q$2:$Q$5295,Q2471)</f>
        <v/>
      </c>
      <c r="S2471" s="25">
        <f>IF(R2471&lt;=2,"1-2",IF(R2471&lt;=5,"3-5",IF(R2471&lt;=10,"6-10","11+")))</f>
        <v/>
      </c>
    </row>
    <row r="2472">
      <c r="A2472" s="39" t="n">
        <v>46185.29965277778</v>
      </c>
      <c r="B2472" s="25">
        <f>TEXT(A2472,"YYYY-MM")</f>
        <v/>
      </c>
      <c r="C2472" s="25">
        <f>TEXT(A2472,"MMM-YYYY")</f>
        <v/>
      </c>
      <c r="D2472" s="40">
        <f>INT(A2472)-WEEKDAY(A2472,2)+1</f>
        <v/>
      </c>
      <c r="E2472" s="25" t="inlineStr">
        <is>
          <t>aghosh</t>
        </is>
      </c>
      <c r="F2472" s="25" t="n">
        <v>122620</v>
      </c>
      <c r="G2472" s="25" t="n">
        <v>3</v>
      </c>
      <c r="H2472" s="25" t="n">
        <v>13</v>
      </c>
      <c r="I2472" s="25" t="inlineStr">
        <is>
          <t>4 minute(s) and 13 second(s)</t>
        </is>
      </c>
      <c r="J2472" s="25">
        <f>IFERROR(VALUE(TRIM(LEFT(I2472,FIND("minute",I2472)-1)))*60,0)+IFERROR(VALUE(SUBSTITUTE(MID(I2472,IFERROR(FIND("and",I2472)+3,1),20),"second(s)","")),0)</f>
        <v/>
      </c>
      <c r="K2472" s="41">
        <f>J2472/60</f>
        <v/>
      </c>
      <c r="L2472" s="41">
        <f>IFERROR(J2472/H2472,"")</f>
        <v/>
      </c>
      <c r="M2472" s="25" t="inlineStr">
        <is>
          <t>2.5.12</t>
        </is>
      </c>
      <c r="N2472" s="25">
        <f>IF(J2472&gt;300,1,0)</f>
        <v/>
      </c>
      <c r="O2472" s="25">
        <f>IF(J2472&gt;600,1,0)</f>
        <v/>
      </c>
      <c r="P2472" s="25">
        <f>IF(H2472&gt;0,J2472,"")</f>
        <v/>
      </c>
      <c r="Q2472" s="25">
        <f>TEXT(A2472,"YYYY-MM-DD HH")</f>
        <v/>
      </c>
      <c r="R2472" s="25">
        <f>COUNTIF($Q$2:$Q$5295,Q2472)</f>
        <v/>
      </c>
      <c r="S2472" s="25">
        <f>IF(R2472&lt;=2,"1-2",IF(R2472&lt;=5,"3-5",IF(R2472&lt;=10,"6-10","11+")))</f>
        <v/>
      </c>
    </row>
    <row r="2473">
      <c r="A2473" s="39" t="n">
        <v>46185.30421296296</v>
      </c>
      <c r="B2473" s="25">
        <f>TEXT(A2473,"YYYY-MM")</f>
        <v/>
      </c>
      <c r="C2473" s="25">
        <f>TEXT(A2473,"MMM-YYYY")</f>
        <v/>
      </c>
      <c r="D2473" s="40">
        <f>INT(A2473)-WEEKDAY(A2473,2)+1</f>
        <v/>
      </c>
      <c r="E2473" s="25" t="inlineStr">
        <is>
          <t>mbohra</t>
        </is>
      </c>
      <c r="F2473" s="25" t="n">
        <v>123430</v>
      </c>
      <c r="G2473" s="25" t="n">
        <v>2</v>
      </c>
      <c r="H2473" s="25" t="n">
        <v>10</v>
      </c>
      <c r="I2473" s="25" t="inlineStr">
        <is>
          <t>4 minute(s) and 29 second(s)</t>
        </is>
      </c>
      <c r="J2473" s="25">
        <f>IFERROR(VALUE(TRIM(LEFT(I2473,FIND("minute",I2473)-1)))*60,0)+IFERROR(VALUE(SUBSTITUTE(MID(I2473,IFERROR(FIND("and",I2473)+3,1),20),"second(s)","")),0)</f>
        <v/>
      </c>
      <c r="K2473" s="41">
        <f>J2473/60</f>
        <v/>
      </c>
      <c r="L2473" s="41">
        <f>IFERROR(J2473/H2473,"")</f>
        <v/>
      </c>
      <c r="M2473" s="25" t="inlineStr">
        <is>
          <t>2.5.12</t>
        </is>
      </c>
      <c r="N2473" s="25">
        <f>IF(J2473&gt;300,1,0)</f>
        <v/>
      </c>
      <c r="O2473" s="25">
        <f>IF(J2473&gt;600,1,0)</f>
        <v/>
      </c>
      <c r="P2473" s="25">
        <f>IF(H2473&gt;0,J2473,"")</f>
        <v/>
      </c>
      <c r="Q2473" s="25">
        <f>TEXT(A2473,"YYYY-MM-DD HH")</f>
        <v/>
      </c>
      <c r="R2473" s="25">
        <f>COUNTIF($Q$2:$Q$5295,Q2473)</f>
        <v/>
      </c>
      <c r="S2473" s="25">
        <f>IF(R2473&lt;=2,"1-2",IF(R2473&lt;=5,"3-5",IF(R2473&lt;=10,"6-10","11+")))</f>
        <v/>
      </c>
    </row>
    <row r="2474">
      <c r="A2474" s="39" t="n">
        <v>46185.30650462963</v>
      </c>
      <c r="B2474" s="25">
        <f>TEXT(A2474,"YYYY-MM")</f>
        <v/>
      </c>
      <c r="C2474" s="25">
        <f>TEXT(A2474,"MMM-YYYY")</f>
        <v/>
      </c>
      <c r="D2474" s="40">
        <f>INT(A2474)-WEEKDAY(A2474,2)+1</f>
        <v/>
      </c>
      <c r="E2474" s="25" t="inlineStr">
        <is>
          <t>shassan</t>
        </is>
      </c>
      <c r="F2474" s="25" t="n">
        <v>123653</v>
      </c>
      <c r="G2474" s="25" t="n">
        <v>1</v>
      </c>
      <c r="H2474" s="25" t="n">
        <v>7</v>
      </c>
      <c r="I2474" s="25" t="inlineStr">
        <is>
          <t>2 minute(s) and 54 second(s)</t>
        </is>
      </c>
      <c r="J2474" s="25">
        <f>IFERROR(VALUE(TRIM(LEFT(I2474,FIND("minute",I2474)-1)))*60,0)+IFERROR(VALUE(SUBSTITUTE(MID(I2474,IFERROR(FIND("and",I2474)+3,1),20),"second(s)","")),0)</f>
        <v/>
      </c>
      <c r="K2474" s="41">
        <f>J2474/60</f>
        <v/>
      </c>
      <c r="L2474" s="41">
        <f>IFERROR(J2474/H2474,"")</f>
        <v/>
      </c>
      <c r="M2474" s="25" t="inlineStr">
        <is>
          <t>2.5.12</t>
        </is>
      </c>
      <c r="N2474" s="25">
        <f>IF(J2474&gt;300,1,0)</f>
        <v/>
      </c>
      <c r="O2474" s="25">
        <f>IF(J2474&gt;600,1,0)</f>
        <v/>
      </c>
      <c r="P2474" s="25">
        <f>IF(H2474&gt;0,J2474,"")</f>
        <v/>
      </c>
      <c r="Q2474" s="25">
        <f>TEXT(A2474,"YYYY-MM-DD HH")</f>
        <v/>
      </c>
      <c r="R2474" s="25">
        <f>COUNTIF($Q$2:$Q$5295,Q2474)</f>
        <v/>
      </c>
      <c r="S2474" s="25">
        <f>IF(R2474&lt;=2,"1-2",IF(R2474&lt;=5,"3-5",IF(R2474&lt;=10,"6-10","11+")))</f>
        <v/>
      </c>
    </row>
    <row r="2475">
      <c r="A2475" s="39" t="n">
        <v>46185.32046296296</v>
      </c>
      <c r="B2475" s="25">
        <f>TEXT(A2475,"YYYY-MM")</f>
        <v/>
      </c>
      <c r="C2475" s="25">
        <f>TEXT(A2475,"MMM-YYYY")</f>
        <v/>
      </c>
      <c r="D2475" s="40">
        <f>INT(A2475)-WEEKDAY(A2475,2)+1</f>
        <v/>
      </c>
      <c r="E2475" s="25" t="inlineStr">
        <is>
          <t>bverma</t>
        </is>
      </c>
      <c r="F2475" s="25" t="n">
        <v>122167</v>
      </c>
      <c r="G2475" s="25" t="n">
        <v>2</v>
      </c>
      <c r="H2475" s="25" t="n">
        <v>10</v>
      </c>
      <c r="I2475" s="25" t="inlineStr">
        <is>
          <t>5 minute(s) and 38 second(s)</t>
        </is>
      </c>
      <c r="J2475" s="25">
        <f>IFERROR(VALUE(TRIM(LEFT(I2475,FIND("minute",I2475)-1)))*60,0)+IFERROR(VALUE(SUBSTITUTE(MID(I2475,IFERROR(FIND("and",I2475)+3,1),20),"second(s)","")),0)</f>
        <v/>
      </c>
      <c r="K2475" s="41">
        <f>J2475/60</f>
        <v/>
      </c>
      <c r="L2475" s="41">
        <f>IFERROR(J2475/H2475,"")</f>
        <v/>
      </c>
      <c r="M2475" s="25" t="inlineStr">
        <is>
          <t>2.5.12</t>
        </is>
      </c>
      <c r="N2475" s="25">
        <f>IF(J2475&gt;300,1,0)</f>
        <v/>
      </c>
      <c r="O2475" s="25">
        <f>IF(J2475&gt;600,1,0)</f>
        <v/>
      </c>
      <c r="P2475" s="25">
        <f>IF(H2475&gt;0,J2475,"")</f>
        <v/>
      </c>
      <c r="Q2475" s="25">
        <f>TEXT(A2475,"YYYY-MM-DD HH")</f>
        <v/>
      </c>
      <c r="R2475" s="25">
        <f>COUNTIF($Q$2:$Q$5295,Q2475)</f>
        <v/>
      </c>
      <c r="S2475" s="25">
        <f>IF(R2475&lt;=2,"1-2",IF(R2475&lt;=5,"3-5",IF(R2475&lt;=10,"6-10","11+")))</f>
        <v/>
      </c>
    </row>
    <row r="2476">
      <c r="A2476" s="39" t="n">
        <v>46185.32702546296</v>
      </c>
      <c r="B2476" s="25">
        <f>TEXT(A2476,"YYYY-MM")</f>
        <v/>
      </c>
      <c r="C2476" s="25">
        <f>TEXT(A2476,"MMM-YYYY")</f>
        <v/>
      </c>
      <c r="D2476" s="40">
        <f>INT(A2476)-WEEKDAY(A2476,2)+1</f>
        <v/>
      </c>
      <c r="E2476" s="25" t="inlineStr">
        <is>
          <t>sdey</t>
        </is>
      </c>
      <c r="F2476" s="25" t="n">
        <v>123635</v>
      </c>
      <c r="G2476" s="25" t="n">
        <v>3</v>
      </c>
      <c r="H2476" s="25" t="n">
        <v>15</v>
      </c>
      <c r="I2476" s="25" t="inlineStr">
        <is>
          <t>4 minute(s) and 53 second(s)</t>
        </is>
      </c>
      <c r="J2476" s="25">
        <f>IFERROR(VALUE(TRIM(LEFT(I2476,FIND("minute",I2476)-1)))*60,0)+IFERROR(VALUE(SUBSTITUTE(MID(I2476,IFERROR(FIND("and",I2476)+3,1),20),"second(s)","")),0)</f>
        <v/>
      </c>
      <c r="K2476" s="41">
        <f>J2476/60</f>
        <v/>
      </c>
      <c r="L2476" s="41">
        <f>IFERROR(J2476/H2476,"")</f>
        <v/>
      </c>
      <c r="M2476" s="25" t="inlineStr">
        <is>
          <t>2.5.12</t>
        </is>
      </c>
      <c r="N2476" s="25">
        <f>IF(J2476&gt;300,1,0)</f>
        <v/>
      </c>
      <c r="O2476" s="25">
        <f>IF(J2476&gt;600,1,0)</f>
        <v/>
      </c>
      <c r="P2476" s="25">
        <f>IF(H2476&gt;0,J2476,"")</f>
        <v/>
      </c>
      <c r="Q2476" s="25">
        <f>TEXT(A2476,"YYYY-MM-DD HH")</f>
        <v/>
      </c>
      <c r="R2476" s="25">
        <f>COUNTIF($Q$2:$Q$5295,Q2476)</f>
        <v/>
      </c>
      <c r="S2476" s="25">
        <f>IF(R2476&lt;=2,"1-2",IF(R2476&lt;=5,"3-5",IF(R2476&lt;=10,"6-10","11+")))</f>
        <v/>
      </c>
    </row>
    <row r="2477">
      <c r="A2477" s="39" t="n">
        <v>46185.33554398148</v>
      </c>
      <c r="B2477" s="25">
        <f>TEXT(A2477,"YYYY-MM")</f>
        <v/>
      </c>
      <c r="C2477" s="25">
        <f>TEXT(A2477,"MMM-YYYY")</f>
        <v/>
      </c>
      <c r="D2477" s="40">
        <f>INT(A2477)-WEEKDAY(A2477,2)+1</f>
        <v/>
      </c>
      <c r="E2477" s="25" t="inlineStr">
        <is>
          <t>stiwari</t>
        </is>
      </c>
      <c r="F2477" s="25" t="n">
        <v>123050</v>
      </c>
      <c r="G2477" s="25" t="n">
        <v>2</v>
      </c>
      <c r="H2477" s="25" t="n">
        <v>14</v>
      </c>
      <c r="I2477" s="25" t="inlineStr">
        <is>
          <t>3 minute(s) and 39 second(s)</t>
        </is>
      </c>
      <c r="J2477" s="25">
        <f>IFERROR(VALUE(TRIM(LEFT(I2477,FIND("minute",I2477)-1)))*60,0)+IFERROR(VALUE(SUBSTITUTE(MID(I2477,IFERROR(FIND("and",I2477)+3,1),20),"second(s)","")),0)</f>
        <v/>
      </c>
      <c r="K2477" s="41">
        <f>J2477/60</f>
        <v/>
      </c>
      <c r="L2477" s="41">
        <f>IFERROR(J2477/H2477,"")</f>
        <v/>
      </c>
      <c r="M2477" s="25" t="inlineStr">
        <is>
          <t>2.5.12</t>
        </is>
      </c>
      <c r="N2477" s="25">
        <f>IF(J2477&gt;300,1,0)</f>
        <v/>
      </c>
      <c r="O2477" s="25">
        <f>IF(J2477&gt;600,1,0)</f>
        <v/>
      </c>
      <c r="P2477" s="25">
        <f>IF(H2477&gt;0,J2477,"")</f>
        <v/>
      </c>
      <c r="Q2477" s="25">
        <f>TEXT(A2477,"YYYY-MM-DD HH")</f>
        <v/>
      </c>
      <c r="R2477" s="25">
        <f>COUNTIF($Q$2:$Q$5295,Q2477)</f>
        <v/>
      </c>
      <c r="S2477" s="25">
        <f>IF(R2477&lt;=2,"1-2",IF(R2477&lt;=5,"3-5",IF(R2477&lt;=10,"6-10","11+")))</f>
        <v/>
      </c>
    </row>
    <row r="2478">
      <c r="A2478" s="39" t="n">
        <v>46185.33748842592</v>
      </c>
      <c r="B2478" s="25">
        <f>TEXT(A2478,"YYYY-MM")</f>
        <v/>
      </c>
      <c r="C2478" s="25">
        <f>TEXT(A2478,"MMM-YYYY")</f>
        <v/>
      </c>
      <c r="D2478" s="40">
        <f>INT(A2478)-WEEKDAY(A2478,2)+1</f>
        <v/>
      </c>
      <c r="E2478" s="25" t="inlineStr">
        <is>
          <t>aupadhayay</t>
        </is>
      </c>
      <c r="F2478" s="25" t="n">
        <v>123913</v>
      </c>
      <c r="G2478" s="25" t="n">
        <v>4</v>
      </c>
      <c r="H2478" s="25" t="n">
        <v>14</v>
      </c>
      <c r="I2478" s="25" t="inlineStr">
        <is>
          <t>8 minute(s) and 6 second(s)</t>
        </is>
      </c>
      <c r="J2478" s="25">
        <f>IFERROR(VALUE(TRIM(LEFT(I2478,FIND("minute",I2478)-1)))*60,0)+IFERROR(VALUE(SUBSTITUTE(MID(I2478,IFERROR(FIND("and",I2478)+3,1),20),"second(s)","")),0)</f>
        <v/>
      </c>
      <c r="K2478" s="41">
        <f>J2478/60</f>
        <v/>
      </c>
      <c r="L2478" s="41">
        <f>IFERROR(J2478/H2478,"")</f>
        <v/>
      </c>
      <c r="M2478" s="25" t="inlineStr">
        <is>
          <t>2.5.12</t>
        </is>
      </c>
      <c r="N2478" s="25">
        <f>IF(J2478&gt;300,1,0)</f>
        <v/>
      </c>
      <c r="O2478" s="25">
        <f>IF(J2478&gt;600,1,0)</f>
        <v/>
      </c>
      <c r="P2478" s="25">
        <f>IF(H2478&gt;0,J2478,"")</f>
        <v/>
      </c>
      <c r="Q2478" s="25">
        <f>TEXT(A2478,"YYYY-MM-DD HH")</f>
        <v/>
      </c>
      <c r="R2478" s="25">
        <f>COUNTIF($Q$2:$Q$5295,Q2478)</f>
        <v/>
      </c>
      <c r="S2478" s="25">
        <f>IF(R2478&lt;=2,"1-2",IF(R2478&lt;=5,"3-5",IF(R2478&lt;=10,"6-10","11+")))</f>
        <v/>
      </c>
    </row>
    <row r="2479">
      <c r="A2479" s="39" t="n">
        <v>46185.34866898148</v>
      </c>
      <c r="B2479" s="25">
        <f>TEXT(A2479,"YYYY-MM")</f>
        <v/>
      </c>
      <c r="C2479" s="25">
        <f>TEXT(A2479,"MMM-YYYY")</f>
        <v/>
      </c>
      <c r="D2479" s="40">
        <f>INT(A2479)-WEEKDAY(A2479,2)+1</f>
        <v/>
      </c>
      <c r="E2479" s="25" t="inlineStr">
        <is>
          <t>anusharma</t>
        </is>
      </c>
      <c r="F2479" s="25" t="n">
        <v>123189</v>
      </c>
      <c r="G2479" s="25" t="n">
        <v>1</v>
      </c>
      <c r="H2479" s="25" t="n">
        <v>5</v>
      </c>
      <c r="I2479" s="25" t="inlineStr">
        <is>
          <t>1 minute(s) and 32 second(s)</t>
        </is>
      </c>
      <c r="J2479" s="25">
        <f>IFERROR(VALUE(TRIM(LEFT(I2479,FIND("minute",I2479)-1)))*60,0)+IFERROR(VALUE(SUBSTITUTE(MID(I2479,IFERROR(FIND("and",I2479)+3,1),20),"second(s)","")),0)</f>
        <v/>
      </c>
      <c r="K2479" s="41">
        <f>J2479/60</f>
        <v/>
      </c>
      <c r="L2479" s="41">
        <f>IFERROR(J2479/H2479,"")</f>
        <v/>
      </c>
      <c r="M2479" s="25" t="inlineStr">
        <is>
          <t>2.5.12</t>
        </is>
      </c>
      <c r="N2479" s="25">
        <f>IF(J2479&gt;300,1,0)</f>
        <v/>
      </c>
      <c r="O2479" s="25">
        <f>IF(J2479&gt;600,1,0)</f>
        <v/>
      </c>
      <c r="P2479" s="25">
        <f>IF(H2479&gt;0,J2479,"")</f>
        <v/>
      </c>
      <c r="Q2479" s="25">
        <f>TEXT(A2479,"YYYY-MM-DD HH")</f>
        <v/>
      </c>
      <c r="R2479" s="25">
        <f>COUNTIF($Q$2:$Q$5295,Q2479)</f>
        <v/>
      </c>
      <c r="S2479" s="25">
        <f>IF(R2479&lt;=2,"1-2",IF(R2479&lt;=5,"3-5",IF(R2479&lt;=10,"6-10","11+")))</f>
        <v/>
      </c>
    </row>
    <row r="2480">
      <c r="A2480" s="39" t="n">
        <v>46185.35857638889</v>
      </c>
      <c r="B2480" s="25">
        <f>TEXT(A2480,"YYYY-MM")</f>
        <v/>
      </c>
      <c r="C2480" s="25">
        <f>TEXT(A2480,"MMM-YYYY")</f>
        <v/>
      </c>
      <c r="D2480" s="40">
        <f>INT(A2480)-WEEKDAY(A2480,2)+1</f>
        <v/>
      </c>
      <c r="E2480" s="25" t="inlineStr">
        <is>
          <t>ssaha</t>
        </is>
      </c>
      <c r="F2480" s="25" t="n">
        <v>123501</v>
      </c>
      <c r="G2480" s="25" t="n">
        <v>2</v>
      </c>
      <c r="H2480" s="25" t="n">
        <v>12</v>
      </c>
      <c r="I2480" s="25" t="inlineStr">
        <is>
          <t>3 minute(s) and 44 second(s)</t>
        </is>
      </c>
      <c r="J2480" s="25">
        <f>IFERROR(VALUE(TRIM(LEFT(I2480,FIND("minute",I2480)-1)))*60,0)+IFERROR(VALUE(SUBSTITUTE(MID(I2480,IFERROR(FIND("and",I2480)+3,1),20),"second(s)","")),0)</f>
        <v/>
      </c>
      <c r="K2480" s="41">
        <f>J2480/60</f>
        <v/>
      </c>
      <c r="L2480" s="41">
        <f>IFERROR(J2480/H2480,"")</f>
        <v/>
      </c>
      <c r="M2480" s="25" t="inlineStr">
        <is>
          <t>2.5.12</t>
        </is>
      </c>
      <c r="N2480" s="25">
        <f>IF(J2480&gt;300,1,0)</f>
        <v/>
      </c>
      <c r="O2480" s="25">
        <f>IF(J2480&gt;600,1,0)</f>
        <v/>
      </c>
      <c r="P2480" s="25">
        <f>IF(H2480&gt;0,J2480,"")</f>
        <v/>
      </c>
      <c r="Q2480" s="25">
        <f>TEXT(A2480,"YYYY-MM-DD HH")</f>
        <v/>
      </c>
      <c r="R2480" s="25">
        <f>COUNTIF($Q$2:$Q$5295,Q2480)</f>
        <v/>
      </c>
      <c r="S2480" s="25">
        <f>IF(R2480&lt;=2,"1-2",IF(R2480&lt;=5,"3-5",IF(R2480&lt;=10,"6-10","11+")))</f>
        <v/>
      </c>
    </row>
    <row r="2481">
      <c r="A2481" s="39" t="n">
        <v>46185.3640162037</v>
      </c>
      <c r="B2481" s="25">
        <f>TEXT(A2481,"YYYY-MM")</f>
        <v/>
      </c>
      <c r="C2481" s="25">
        <f>TEXT(A2481,"MMM-YYYY")</f>
        <v/>
      </c>
      <c r="D2481" s="40">
        <f>INT(A2481)-WEEKDAY(A2481,2)+1</f>
        <v/>
      </c>
      <c r="E2481" s="25" t="inlineStr">
        <is>
          <t>aupadhayay</t>
        </is>
      </c>
      <c r="F2481" s="25" t="n">
        <v>123914</v>
      </c>
      <c r="G2481" s="25" t="n">
        <v>3</v>
      </c>
      <c r="H2481" s="25" t="n">
        <v>11</v>
      </c>
      <c r="I2481" s="25" t="inlineStr">
        <is>
          <t>3 minute(s) and 42 second(s)</t>
        </is>
      </c>
      <c r="J2481" s="25">
        <f>IFERROR(VALUE(TRIM(LEFT(I2481,FIND("minute",I2481)-1)))*60,0)+IFERROR(VALUE(SUBSTITUTE(MID(I2481,IFERROR(FIND("and",I2481)+3,1),20),"second(s)","")),0)</f>
        <v/>
      </c>
      <c r="K2481" s="41">
        <f>J2481/60</f>
        <v/>
      </c>
      <c r="L2481" s="41">
        <f>IFERROR(J2481/H2481,"")</f>
        <v/>
      </c>
      <c r="M2481" s="25" t="inlineStr">
        <is>
          <t>2.5.12</t>
        </is>
      </c>
      <c r="N2481" s="25">
        <f>IF(J2481&gt;300,1,0)</f>
        <v/>
      </c>
      <c r="O2481" s="25">
        <f>IF(J2481&gt;600,1,0)</f>
        <v/>
      </c>
      <c r="P2481" s="25">
        <f>IF(H2481&gt;0,J2481,"")</f>
        <v/>
      </c>
      <c r="Q2481" s="25">
        <f>TEXT(A2481,"YYYY-MM-DD HH")</f>
        <v/>
      </c>
      <c r="R2481" s="25">
        <f>COUNTIF($Q$2:$Q$5295,Q2481)</f>
        <v/>
      </c>
      <c r="S2481" s="25">
        <f>IF(R2481&lt;=2,"1-2",IF(R2481&lt;=5,"3-5",IF(R2481&lt;=10,"6-10","11+")))</f>
        <v/>
      </c>
    </row>
    <row r="2482">
      <c r="A2482" s="39" t="n">
        <v>46185.37341435185</v>
      </c>
      <c r="B2482" s="25">
        <f>TEXT(A2482,"YYYY-MM")</f>
        <v/>
      </c>
      <c r="C2482" s="25">
        <f>TEXT(A2482,"MMM-YYYY")</f>
        <v/>
      </c>
      <c r="D2482" s="40">
        <f>INT(A2482)-WEEKDAY(A2482,2)+1</f>
        <v/>
      </c>
      <c r="E2482" s="25" t="inlineStr">
        <is>
          <t>aghosh</t>
        </is>
      </c>
      <c r="F2482" s="25" t="n">
        <v>124911</v>
      </c>
      <c r="G2482" s="25" t="n">
        <v>3</v>
      </c>
      <c r="H2482" s="25" t="n">
        <v>7</v>
      </c>
      <c r="I2482" s="25" t="inlineStr">
        <is>
          <t>6 minute(s) and 2 second(s)</t>
        </is>
      </c>
      <c r="J2482" s="25">
        <f>IFERROR(VALUE(TRIM(LEFT(I2482,FIND("minute",I2482)-1)))*60,0)+IFERROR(VALUE(SUBSTITUTE(MID(I2482,IFERROR(FIND("and",I2482)+3,1),20),"second(s)","")),0)</f>
        <v/>
      </c>
      <c r="K2482" s="41">
        <f>J2482/60</f>
        <v/>
      </c>
      <c r="L2482" s="41">
        <f>IFERROR(J2482/H2482,"")</f>
        <v/>
      </c>
      <c r="M2482" s="25" t="inlineStr">
        <is>
          <t>2.5.12</t>
        </is>
      </c>
      <c r="N2482" s="25">
        <f>IF(J2482&gt;300,1,0)</f>
        <v/>
      </c>
      <c r="O2482" s="25">
        <f>IF(J2482&gt;600,1,0)</f>
        <v/>
      </c>
      <c r="P2482" s="25">
        <f>IF(H2482&gt;0,J2482,"")</f>
        <v/>
      </c>
      <c r="Q2482" s="25">
        <f>TEXT(A2482,"YYYY-MM-DD HH")</f>
        <v/>
      </c>
      <c r="R2482" s="25">
        <f>COUNTIF($Q$2:$Q$5295,Q2482)</f>
        <v/>
      </c>
      <c r="S2482" s="25">
        <f>IF(R2482&lt;=2,"1-2",IF(R2482&lt;=5,"3-5",IF(R2482&lt;=10,"6-10","11+")))</f>
        <v/>
      </c>
    </row>
    <row r="2483">
      <c r="A2483" s="39" t="n">
        <v>46185.37484953704</v>
      </c>
      <c r="B2483" s="25">
        <f>TEXT(A2483,"YYYY-MM")</f>
        <v/>
      </c>
      <c r="C2483" s="25">
        <f>TEXT(A2483,"MMM-YYYY")</f>
        <v/>
      </c>
      <c r="D2483" s="40">
        <f>INT(A2483)-WEEKDAY(A2483,2)+1</f>
        <v/>
      </c>
      <c r="E2483" s="25" t="inlineStr">
        <is>
          <t>csaha</t>
        </is>
      </c>
      <c r="F2483" s="25" t="n">
        <v>1228229</v>
      </c>
      <c r="G2483" s="25" t="n">
        <v>3</v>
      </c>
      <c r="H2483" s="25" t="n">
        <v>15</v>
      </c>
      <c r="I2483" s="25" t="inlineStr">
        <is>
          <t>5 minute(s) and 19 second(s)</t>
        </is>
      </c>
      <c r="J2483" s="25">
        <f>IFERROR(VALUE(TRIM(LEFT(I2483,FIND("minute",I2483)-1)))*60,0)+IFERROR(VALUE(SUBSTITUTE(MID(I2483,IFERROR(FIND("and",I2483)+3,1),20),"second(s)","")),0)</f>
        <v/>
      </c>
      <c r="K2483" s="41">
        <f>J2483/60</f>
        <v/>
      </c>
      <c r="L2483" s="41">
        <f>IFERROR(J2483/H2483,"")</f>
        <v/>
      </c>
      <c r="M2483" s="25" t="inlineStr">
        <is>
          <t>2.5.12</t>
        </is>
      </c>
      <c r="N2483" s="25">
        <f>IF(J2483&gt;300,1,0)</f>
        <v/>
      </c>
      <c r="O2483" s="25">
        <f>IF(J2483&gt;600,1,0)</f>
        <v/>
      </c>
      <c r="P2483" s="25">
        <f>IF(H2483&gt;0,J2483,"")</f>
        <v/>
      </c>
      <c r="Q2483" s="25">
        <f>TEXT(A2483,"YYYY-MM-DD HH")</f>
        <v/>
      </c>
      <c r="R2483" s="25">
        <f>COUNTIF($Q$2:$Q$5295,Q2483)</f>
        <v/>
      </c>
      <c r="S2483" s="25">
        <f>IF(R2483&lt;=2,"1-2",IF(R2483&lt;=5,"3-5",IF(R2483&lt;=10,"6-10","11+")))</f>
        <v/>
      </c>
    </row>
    <row r="2484">
      <c r="A2484" s="39" t="n">
        <v>46185.37954861111</v>
      </c>
      <c r="B2484" s="25">
        <f>TEXT(A2484,"YYYY-MM")</f>
        <v/>
      </c>
      <c r="C2484" s="25">
        <f>TEXT(A2484,"MMM-YYYY")</f>
        <v/>
      </c>
      <c r="D2484" s="40">
        <f>INT(A2484)-WEEKDAY(A2484,2)+1</f>
        <v/>
      </c>
      <c r="E2484" s="25" t="inlineStr">
        <is>
          <t>stiwari</t>
        </is>
      </c>
      <c r="F2484" s="25" t="n">
        <v>123313</v>
      </c>
      <c r="G2484" s="25" t="n">
        <v>2</v>
      </c>
      <c r="H2484" s="25" t="n">
        <v>14</v>
      </c>
      <c r="I2484" s="25" t="inlineStr">
        <is>
          <t>3 minute(s) and 49 second(s)</t>
        </is>
      </c>
      <c r="J2484" s="25">
        <f>IFERROR(VALUE(TRIM(LEFT(I2484,FIND("minute",I2484)-1)))*60,0)+IFERROR(VALUE(SUBSTITUTE(MID(I2484,IFERROR(FIND("and",I2484)+3,1),20),"second(s)","")),0)</f>
        <v/>
      </c>
      <c r="K2484" s="41">
        <f>J2484/60</f>
        <v/>
      </c>
      <c r="L2484" s="41">
        <f>IFERROR(J2484/H2484,"")</f>
        <v/>
      </c>
      <c r="M2484" s="25" t="inlineStr">
        <is>
          <t>2.5.12</t>
        </is>
      </c>
      <c r="N2484" s="25">
        <f>IF(J2484&gt;300,1,0)</f>
        <v/>
      </c>
      <c r="O2484" s="25">
        <f>IF(J2484&gt;600,1,0)</f>
        <v/>
      </c>
      <c r="P2484" s="25">
        <f>IF(H2484&gt;0,J2484,"")</f>
        <v/>
      </c>
      <c r="Q2484" s="25">
        <f>TEXT(A2484,"YYYY-MM-DD HH")</f>
        <v/>
      </c>
      <c r="R2484" s="25">
        <f>COUNTIF($Q$2:$Q$5295,Q2484)</f>
        <v/>
      </c>
      <c r="S2484" s="25">
        <f>IF(R2484&lt;=2,"1-2",IF(R2484&lt;=5,"3-5",IF(R2484&lt;=10,"6-10","11+")))</f>
        <v/>
      </c>
    </row>
    <row r="2485">
      <c r="A2485" s="39" t="n">
        <v>46185.38659722222</v>
      </c>
      <c r="B2485" s="25">
        <f>TEXT(A2485,"YYYY-MM")</f>
        <v/>
      </c>
      <c r="C2485" s="25">
        <f>TEXT(A2485,"MMM-YYYY")</f>
        <v/>
      </c>
      <c r="D2485" s="40">
        <f>INT(A2485)-WEEKDAY(A2485,2)+1</f>
        <v/>
      </c>
      <c r="E2485" s="25" t="inlineStr">
        <is>
          <t>mgupta</t>
        </is>
      </c>
      <c r="F2485" s="25" t="n">
        <v>123412</v>
      </c>
      <c r="G2485" s="25" t="n">
        <v>2</v>
      </c>
      <c r="H2485" s="25" t="n">
        <v>11</v>
      </c>
      <c r="I2485" s="25" t="inlineStr">
        <is>
          <t>2 minute(s) and 8 second(s)</t>
        </is>
      </c>
      <c r="J2485" s="25">
        <f>IFERROR(VALUE(TRIM(LEFT(I2485,FIND("minute",I2485)-1)))*60,0)+IFERROR(VALUE(SUBSTITUTE(MID(I2485,IFERROR(FIND("and",I2485)+3,1),20),"second(s)","")),0)</f>
        <v/>
      </c>
      <c r="K2485" s="41">
        <f>J2485/60</f>
        <v/>
      </c>
      <c r="L2485" s="41">
        <f>IFERROR(J2485/H2485,"")</f>
        <v/>
      </c>
      <c r="M2485" s="25" t="inlineStr">
        <is>
          <t>2.5.12</t>
        </is>
      </c>
      <c r="N2485" s="25">
        <f>IF(J2485&gt;300,1,0)</f>
        <v/>
      </c>
      <c r="O2485" s="25">
        <f>IF(J2485&gt;600,1,0)</f>
        <v/>
      </c>
      <c r="P2485" s="25">
        <f>IF(H2485&gt;0,J2485,"")</f>
        <v/>
      </c>
      <c r="Q2485" s="25">
        <f>TEXT(A2485,"YYYY-MM-DD HH")</f>
        <v/>
      </c>
      <c r="R2485" s="25">
        <f>COUNTIF($Q$2:$Q$5295,Q2485)</f>
        <v/>
      </c>
      <c r="S2485" s="25">
        <f>IF(R2485&lt;=2,"1-2",IF(R2485&lt;=5,"3-5",IF(R2485&lt;=10,"6-10","11+")))</f>
        <v/>
      </c>
    </row>
    <row r="2486">
      <c r="A2486" s="39" t="n">
        <v>46185.3887962963</v>
      </c>
      <c r="B2486" s="25">
        <f>TEXT(A2486,"YYYY-MM")</f>
        <v/>
      </c>
      <c r="C2486" s="25">
        <f>TEXT(A2486,"MMM-YYYY")</f>
        <v/>
      </c>
      <c r="D2486" s="40">
        <f>INT(A2486)-WEEKDAY(A2486,2)+1</f>
        <v/>
      </c>
      <c r="E2486" s="25" t="inlineStr">
        <is>
          <t>adey</t>
        </is>
      </c>
      <c r="F2486" s="25" t="n">
        <v>123305</v>
      </c>
      <c r="G2486" s="25" t="n">
        <v>2</v>
      </c>
      <c r="H2486" s="25" t="n">
        <v>10</v>
      </c>
      <c r="I2486" s="25" t="inlineStr">
        <is>
          <t>3 minute(s) and 50 second(s)</t>
        </is>
      </c>
      <c r="J2486" s="25">
        <f>IFERROR(VALUE(TRIM(LEFT(I2486,FIND("minute",I2486)-1)))*60,0)+IFERROR(VALUE(SUBSTITUTE(MID(I2486,IFERROR(FIND("and",I2486)+3,1),20),"second(s)","")),0)</f>
        <v/>
      </c>
      <c r="K2486" s="41">
        <f>J2486/60</f>
        <v/>
      </c>
      <c r="L2486" s="41">
        <f>IFERROR(J2486/H2486,"")</f>
        <v/>
      </c>
      <c r="M2486" s="25" t="inlineStr">
        <is>
          <t>2.5.12</t>
        </is>
      </c>
      <c r="N2486" s="25">
        <f>IF(J2486&gt;300,1,0)</f>
        <v/>
      </c>
      <c r="O2486" s="25">
        <f>IF(J2486&gt;600,1,0)</f>
        <v/>
      </c>
      <c r="P2486" s="25">
        <f>IF(H2486&gt;0,J2486,"")</f>
        <v/>
      </c>
      <c r="Q2486" s="25">
        <f>TEXT(A2486,"YYYY-MM-DD HH")</f>
        <v/>
      </c>
      <c r="R2486" s="25">
        <f>COUNTIF($Q$2:$Q$5295,Q2486)</f>
        <v/>
      </c>
      <c r="S2486" s="25">
        <f>IF(R2486&lt;=2,"1-2",IF(R2486&lt;=5,"3-5",IF(R2486&lt;=10,"6-10","11+")))</f>
        <v/>
      </c>
    </row>
    <row r="2487">
      <c r="A2487" s="39" t="n">
        <v>46185.39027777778</v>
      </c>
      <c r="B2487" s="25">
        <f>TEXT(A2487,"YYYY-MM")</f>
        <v/>
      </c>
      <c r="C2487" s="25">
        <f>TEXT(A2487,"MMM-YYYY")</f>
        <v/>
      </c>
      <c r="D2487" s="40">
        <f>INT(A2487)-WEEKDAY(A2487,2)+1</f>
        <v/>
      </c>
      <c r="E2487" s="25" t="inlineStr">
        <is>
          <t>mbohra</t>
        </is>
      </c>
      <c r="F2487" s="25" t="n">
        <v>123428</v>
      </c>
      <c r="G2487" s="25" t="n">
        <v>2</v>
      </c>
      <c r="H2487" s="25" t="n">
        <v>10</v>
      </c>
      <c r="I2487" s="25" t="inlineStr">
        <is>
          <t>2 minute(s) and 33 second(s)</t>
        </is>
      </c>
      <c r="J2487" s="25">
        <f>IFERROR(VALUE(TRIM(LEFT(I2487,FIND("minute",I2487)-1)))*60,0)+IFERROR(VALUE(SUBSTITUTE(MID(I2487,IFERROR(FIND("and",I2487)+3,1),20),"second(s)","")),0)</f>
        <v/>
      </c>
      <c r="K2487" s="41">
        <f>J2487/60</f>
        <v/>
      </c>
      <c r="L2487" s="41">
        <f>IFERROR(J2487/H2487,"")</f>
        <v/>
      </c>
      <c r="M2487" s="25" t="inlineStr">
        <is>
          <t>2.5.12</t>
        </is>
      </c>
      <c r="N2487" s="25">
        <f>IF(J2487&gt;300,1,0)</f>
        <v/>
      </c>
      <c r="O2487" s="25">
        <f>IF(J2487&gt;600,1,0)</f>
        <v/>
      </c>
      <c r="P2487" s="25">
        <f>IF(H2487&gt;0,J2487,"")</f>
        <v/>
      </c>
      <c r="Q2487" s="25">
        <f>TEXT(A2487,"YYYY-MM-DD HH")</f>
        <v/>
      </c>
      <c r="R2487" s="25">
        <f>COUNTIF($Q$2:$Q$5295,Q2487)</f>
        <v/>
      </c>
      <c r="S2487" s="25">
        <f>IF(R2487&lt;=2,"1-2",IF(R2487&lt;=5,"3-5",IF(R2487&lt;=10,"6-10","11+")))</f>
        <v/>
      </c>
    </row>
    <row r="2488">
      <c r="A2488" s="39" t="n">
        <v>46185.39363425926</v>
      </c>
      <c r="B2488" s="25">
        <f>TEXT(A2488,"YYYY-MM")</f>
        <v/>
      </c>
      <c r="C2488" s="25">
        <f>TEXT(A2488,"MMM-YYYY")</f>
        <v/>
      </c>
      <c r="D2488" s="40">
        <f>INT(A2488)-WEEKDAY(A2488,2)+1</f>
        <v/>
      </c>
      <c r="E2488" s="25" t="inlineStr">
        <is>
          <t>aghosh</t>
        </is>
      </c>
      <c r="F2488" s="25" t="n">
        <v>122374</v>
      </c>
      <c r="G2488" s="25" t="n">
        <v>2</v>
      </c>
      <c r="H2488" s="25" t="n">
        <v>6</v>
      </c>
      <c r="I2488" s="25" t="inlineStr">
        <is>
          <t>1 minute(s) and 27 second(s)</t>
        </is>
      </c>
      <c r="J2488" s="25">
        <f>IFERROR(VALUE(TRIM(LEFT(I2488,FIND("minute",I2488)-1)))*60,0)+IFERROR(VALUE(SUBSTITUTE(MID(I2488,IFERROR(FIND("and",I2488)+3,1),20),"second(s)","")),0)</f>
        <v/>
      </c>
      <c r="K2488" s="41">
        <f>J2488/60</f>
        <v/>
      </c>
      <c r="L2488" s="41">
        <f>IFERROR(J2488/H2488,"")</f>
        <v/>
      </c>
      <c r="M2488" s="25" t="inlineStr">
        <is>
          <t>2.5.12</t>
        </is>
      </c>
      <c r="N2488" s="25">
        <f>IF(J2488&gt;300,1,0)</f>
        <v/>
      </c>
      <c r="O2488" s="25">
        <f>IF(J2488&gt;600,1,0)</f>
        <v/>
      </c>
      <c r="P2488" s="25">
        <f>IF(H2488&gt;0,J2488,"")</f>
        <v/>
      </c>
      <c r="Q2488" s="25">
        <f>TEXT(A2488,"YYYY-MM-DD HH")</f>
        <v/>
      </c>
      <c r="R2488" s="25">
        <f>COUNTIF($Q$2:$Q$5295,Q2488)</f>
        <v/>
      </c>
      <c r="S2488" s="25">
        <f>IF(R2488&lt;=2,"1-2",IF(R2488&lt;=5,"3-5",IF(R2488&lt;=10,"6-10","11+")))</f>
        <v/>
      </c>
    </row>
    <row r="2489">
      <c r="A2489" s="39" t="n">
        <v>46185.4087037037</v>
      </c>
      <c r="B2489" s="25">
        <f>TEXT(A2489,"YYYY-MM")</f>
        <v/>
      </c>
      <c r="C2489" s="25">
        <f>TEXT(A2489,"MMM-YYYY")</f>
        <v/>
      </c>
      <c r="D2489" s="40">
        <f>INT(A2489)-WEEKDAY(A2489,2)+1</f>
        <v/>
      </c>
      <c r="E2489" s="25" t="inlineStr">
        <is>
          <t>psathwika</t>
        </is>
      </c>
      <c r="F2489" s="25" t="n">
        <v>123540</v>
      </c>
      <c r="G2489" s="25" t="n">
        <v>2</v>
      </c>
      <c r="H2489" s="25" t="n">
        <v>12</v>
      </c>
      <c r="I2489" s="25" t="inlineStr">
        <is>
          <t>2 minute(s) and 53 second(s)</t>
        </is>
      </c>
      <c r="J2489" s="25">
        <f>IFERROR(VALUE(TRIM(LEFT(I2489,FIND("minute",I2489)-1)))*60,0)+IFERROR(VALUE(SUBSTITUTE(MID(I2489,IFERROR(FIND("and",I2489)+3,1),20),"second(s)","")),0)</f>
        <v/>
      </c>
      <c r="K2489" s="41">
        <f>J2489/60</f>
        <v/>
      </c>
      <c r="L2489" s="41">
        <f>IFERROR(J2489/H2489,"")</f>
        <v/>
      </c>
      <c r="M2489" s="25" t="inlineStr">
        <is>
          <t>2.5.12</t>
        </is>
      </c>
      <c r="N2489" s="25">
        <f>IF(J2489&gt;300,1,0)</f>
        <v/>
      </c>
      <c r="O2489" s="25">
        <f>IF(J2489&gt;600,1,0)</f>
        <v/>
      </c>
      <c r="P2489" s="25">
        <f>IF(H2489&gt;0,J2489,"")</f>
        <v/>
      </c>
      <c r="Q2489" s="25">
        <f>TEXT(A2489,"YYYY-MM-DD HH")</f>
        <v/>
      </c>
      <c r="R2489" s="25">
        <f>COUNTIF($Q$2:$Q$5295,Q2489)</f>
        <v/>
      </c>
      <c r="S2489" s="25">
        <f>IF(R2489&lt;=2,"1-2",IF(R2489&lt;=5,"3-5",IF(R2489&lt;=10,"6-10","11+")))</f>
        <v/>
      </c>
    </row>
    <row r="2490">
      <c r="A2490" s="39" t="n">
        <v>46185.40888888889</v>
      </c>
      <c r="B2490" s="25">
        <f>TEXT(A2490,"YYYY-MM")</f>
        <v/>
      </c>
      <c r="C2490" s="25">
        <f>TEXT(A2490,"MMM-YYYY")</f>
        <v/>
      </c>
      <c r="D2490" s="40">
        <f>INT(A2490)-WEEKDAY(A2490,2)+1</f>
        <v/>
      </c>
      <c r="E2490" s="25" t="inlineStr">
        <is>
          <t>asahoo</t>
        </is>
      </c>
      <c r="F2490" s="25" t="n">
        <v>123924</v>
      </c>
      <c r="G2490" s="25" t="n">
        <v>1</v>
      </c>
      <c r="H2490" s="25" t="n">
        <v>5</v>
      </c>
      <c r="I2490" s="25" t="inlineStr">
        <is>
          <t>2 minute(s) and 47 second(s)</t>
        </is>
      </c>
      <c r="J2490" s="25">
        <f>IFERROR(VALUE(TRIM(LEFT(I2490,FIND("minute",I2490)-1)))*60,0)+IFERROR(VALUE(SUBSTITUTE(MID(I2490,IFERROR(FIND("and",I2490)+3,1),20),"second(s)","")),0)</f>
        <v/>
      </c>
      <c r="K2490" s="41">
        <f>J2490/60</f>
        <v/>
      </c>
      <c r="L2490" s="41">
        <f>IFERROR(J2490/H2490,"")</f>
        <v/>
      </c>
      <c r="M2490" s="25" t="inlineStr">
        <is>
          <t>2.5.12</t>
        </is>
      </c>
      <c r="N2490" s="25">
        <f>IF(J2490&gt;300,1,0)</f>
        <v/>
      </c>
      <c r="O2490" s="25">
        <f>IF(J2490&gt;600,1,0)</f>
        <v/>
      </c>
      <c r="P2490" s="25">
        <f>IF(H2490&gt;0,J2490,"")</f>
        <v/>
      </c>
      <c r="Q2490" s="25">
        <f>TEXT(A2490,"YYYY-MM-DD HH")</f>
        <v/>
      </c>
      <c r="R2490" s="25">
        <f>COUNTIF($Q$2:$Q$5295,Q2490)</f>
        <v/>
      </c>
      <c r="S2490" s="25">
        <f>IF(R2490&lt;=2,"1-2",IF(R2490&lt;=5,"3-5",IF(R2490&lt;=10,"6-10","11+")))</f>
        <v/>
      </c>
    </row>
    <row r="2491">
      <c r="A2491" s="39" t="n">
        <v>46185.41252314814</v>
      </c>
      <c r="B2491" s="25">
        <f>TEXT(A2491,"YYYY-MM")</f>
        <v/>
      </c>
      <c r="C2491" s="25">
        <f>TEXT(A2491,"MMM-YYYY")</f>
        <v/>
      </c>
      <c r="D2491" s="40">
        <f>INT(A2491)-WEEKDAY(A2491,2)+1</f>
        <v/>
      </c>
      <c r="E2491" s="25" t="inlineStr">
        <is>
          <t>shassan</t>
        </is>
      </c>
      <c r="F2491" s="25" t="n">
        <v>123951</v>
      </c>
      <c r="G2491" s="25" t="n">
        <v>4</v>
      </c>
      <c r="H2491" s="25" t="n">
        <v>14</v>
      </c>
      <c r="I2491" s="25" t="inlineStr">
        <is>
          <t>4 minute(s) and 17 second(s)</t>
        </is>
      </c>
      <c r="J2491" s="25">
        <f>IFERROR(VALUE(TRIM(LEFT(I2491,FIND("minute",I2491)-1)))*60,0)+IFERROR(VALUE(SUBSTITUTE(MID(I2491,IFERROR(FIND("and",I2491)+3,1),20),"second(s)","")),0)</f>
        <v/>
      </c>
      <c r="K2491" s="41">
        <f>J2491/60</f>
        <v/>
      </c>
      <c r="L2491" s="41">
        <f>IFERROR(J2491/H2491,"")</f>
        <v/>
      </c>
      <c r="M2491" s="25" t="inlineStr">
        <is>
          <t>2.5.12</t>
        </is>
      </c>
      <c r="N2491" s="25">
        <f>IF(J2491&gt;300,1,0)</f>
        <v/>
      </c>
      <c r="O2491" s="25">
        <f>IF(J2491&gt;600,1,0)</f>
        <v/>
      </c>
      <c r="P2491" s="25">
        <f>IF(H2491&gt;0,J2491,"")</f>
        <v/>
      </c>
      <c r="Q2491" s="25">
        <f>TEXT(A2491,"YYYY-MM-DD HH")</f>
        <v/>
      </c>
      <c r="R2491" s="25">
        <f>COUNTIF($Q$2:$Q$5295,Q2491)</f>
        <v/>
      </c>
      <c r="S2491" s="25">
        <f>IF(R2491&lt;=2,"1-2",IF(R2491&lt;=5,"3-5",IF(R2491&lt;=10,"6-10","11+")))</f>
        <v/>
      </c>
    </row>
    <row r="2492">
      <c r="A2492" s="39" t="n">
        <v>46185.41314814815</v>
      </c>
      <c r="B2492" s="25">
        <f>TEXT(A2492,"YYYY-MM")</f>
        <v/>
      </c>
      <c r="C2492" s="25">
        <f>TEXT(A2492,"MMM-YYYY")</f>
        <v/>
      </c>
      <c r="D2492" s="40">
        <f>INT(A2492)-WEEKDAY(A2492,2)+1</f>
        <v/>
      </c>
      <c r="E2492" s="25" t="inlineStr">
        <is>
          <t>stiwari</t>
        </is>
      </c>
      <c r="F2492" s="25" t="n">
        <v>123927</v>
      </c>
      <c r="G2492" s="25" t="n">
        <v>2</v>
      </c>
      <c r="H2492" s="25" t="n">
        <v>8</v>
      </c>
      <c r="I2492" s="25" t="inlineStr">
        <is>
          <t>1 minute(s) and 42 second(s)</t>
        </is>
      </c>
      <c r="J2492" s="25">
        <f>IFERROR(VALUE(TRIM(LEFT(I2492,FIND("minute",I2492)-1)))*60,0)+IFERROR(VALUE(SUBSTITUTE(MID(I2492,IFERROR(FIND("and",I2492)+3,1),20),"second(s)","")),0)</f>
        <v/>
      </c>
      <c r="K2492" s="41">
        <f>J2492/60</f>
        <v/>
      </c>
      <c r="L2492" s="41">
        <f>IFERROR(J2492/H2492,"")</f>
        <v/>
      </c>
      <c r="M2492" s="25" t="inlineStr">
        <is>
          <t>2.5.12</t>
        </is>
      </c>
      <c r="N2492" s="25">
        <f>IF(J2492&gt;300,1,0)</f>
        <v/>
      </c>
      <c r="O2492" s="25">
        <f>IF(J2492&gt;600,1,0)</f>
        <v/>
      </c>
      <c r="P2492" s="25">
        <f>IF(H2492&gt;0,J2492,"")</f>
        <v/>
      </c>
      <c r="Q2492" s="25">
        <f>TEXT(A2492,"YYYY-MM-DD HH")</f>
        <v/>
      </c>
      <c r="R2492" s="25">
        <f>COUNTIF($Q$2:$Q$5295,Q2492)</f>
        <v/>
      </c>
      <c r="S2492" s="25">
        <f>IF(R2492&lt;=2,"1-2",IF(R2492&lt;=5,"3-5",IF(R2492&lt;=10,"6-10","11+")))</f>
        <v/>
      </c>
    </row>
    <row r="2493">
      <c r="A2493" s="39" t="n">
        <v>46185.41606481482</v>
      </c>
      <c r="B2493" s="25">
        <f>TEXT(A2493,"YYYY-MM")</f>
        <v/>
      </c>
      <c r="C2493" s="25">
        <f>TEXT(A2493,"MMM-YYYY")</f>
        <v/>
      </c>
      <c r="D2493" s="40">
        <f>INT(A2493)-WEEKDAY(A2493,2)+1</f>
        <v/>
      </c>
      <c r="E2493" s="25" t="inlineStr">
        <is>
          <t>rts</t>
        </is>
      </c>
      <c r="F2493" s="25" t="n">
        <v>125017</v>
      </c>
      <c r="G2493" s="25" t="n">
        <v>2</v>
      </c>
      <c r="H2493" s="25" t="n">
        <v>11</v>
      </c>
      <c r="I2493" s="25" t="inlineStr">
        <is>
          <t>3 minute(s) and 41 second(s)</t>
        </is>
      </c>
      <c r="J2493" s="25">
        <f>IFERROR(VALUE(TRIM(LEFT(I2493,FIND("minute",I2493)-1)))*60,0)+IFERROR(VALUE(SUBSTITUTE(MID(I2493,IFERROR(FIND("and",I2493)+3,1),20),"second(s)","")),0)</f>
        <v/>
      </c>
      <c r="K2493" s="41">
        <f>J2493/60</f>
        <v/>
      </c>
      <c r="L2493" s="41">
        <f>IFERROR(J2493/H2493,"")</f>
        <v/>
      </c>
      <c r="M2493" s="25" t="inlineStr">
        <is>
          <t>2.5.12</t>
        </is>
      </c>
      <c r="N2493" s="25">
        <f>IF(J2493&gt;300,1,0)</f>
        <v/>
      </c>
      <c r="O2493" s="25">
        <f>IF(J2493&gt;600,1,0)</f>
        <v/>
      </c>
      <c r="P2493" s="25">
        <f>IF(H2493&gt;0,J2493,"")</f>
        <v/>
      </c>
      <c r="Q2493" s="25">
        <f>TEXT(A2493,"YYYY-MM-DD HH")</f>
        <v/>
      </c>
      <c r="R2493" s="25">
        <f>COUNTIF($Q$2:$Q$5295,Q2493)</f>
        <v/>
      </c>
      <c r="S2493" s="25">
        <f>IF(R2493&lt;=2,"1-2",IF(R2493&lt;=5,"3-5",IF(R2493&lt;=10,"6-10","11+")))</f>
        <v/>
      </c>
    </row>
    <row r="2494">
      <c r="A2494" s="39" t="n">
        <v>46185.42168981482</v>
      </c>
      <c r="B2494" s="25">
        <f>TEXT(A2494,"YYYY-MM")</f>
        <v/>
      </c>
      <c r="C2494" s="25">
        <f>TEXT(A2494,"MMM-YYYY")</f>
        <v/>
      </c>
      <c r="D2494" s="40">
        <f>INT(A2494)-WEEKDAY(A2494,2)+1</f>
        <v/>
      </c>
      <c r="E2494" s="25" t="inlineStr">
        <is>
          <t>mbohra</t>
        </is>
      </c>
      <c r="F2494" s="25" t="n">
        <v>123421</v>
      </c>
      <c r="G2494" s="25" t="n">
        <v>2</v>
      </c>
      <c r="H2494" s="25" t="n">
        <v>10</v>
      </c>
      <c r="I2494" s="25" t="inlineStr">
        <is>
          <t>4 minute(s) and 26 second(s)</t>
        </is>
      </c>
      <c r="J2494" s="25">
        <f>IFERROR(VALUE(TRIM(LEFT(I2494,FIND("minute",I2494)-1)))*60,0)+IFERROR(VALUE(SUBSTITUTE(MID(I2494,IFERROR(FIND("and",I2494)+3,1),20),"second(s)","")),0)</f>
        <v/>
      </c>
      <c r="K2494" s="41">
        <f>J2494/60</f>
        <v/>
      </c>
      <c r="L2494" s="41">
        <f>IFERROR(J2494/H2494,"")</f>
        <v/>
      </c>
      <c r="M2494" s="25" t="inlineStr">
        <is>
          <t>2.5.12</t>
        </is>
      </c>
      <c r="N2494" s="25">
        <f>IF(J2494&gt;300,1,0)</f>
        <v/>
      </c>
      <c r="O2494" s="25">
        <f>IF(J2494&gt;600,1,0)</f>
        <v/>
      </c>
      <c r="P2494" s="25">
        <f>IF(H2494&gt;0,J2494,"")</f>
        <v/>
      </c>
      <c r="Q2494" s="25">
        <f>TEXT(A2494,"YYYY-MM-DD HH")</f>
        <v/>
      </c>
      <c r="R2494" s="25">
        <f>COUNTIF($Q$2:$Q$5295,Q2494)</f>
        <v/>
      </c>
      <c r="S2494" s="25">
        <f>IF(R2494&lt;=2,"1-2",IF(R2494&lt;=5,"3-5",IF(R2494&lt;=10,"6-10","11+")))</f>
        <v/>
      </c>
    </row>
    <row r="2495">
      <c r="A2495" s="39" t="n">
        <v>46185.42319444445</v>
      </c>
      <c r="B2495" s="25">
        <f>TEXT(A2495,"YYYY-MM")</f>
        <v/>
      </c>
      <c r="C2495" s="25">
        <f>TEXT(A2495,"MMM-YYYY")</f>
        <v/>
      </c>
      <c r="D2495" s="40">
        <f>INT(A2495)-WEEKDAY(A2495,2)+1</f>
        <v/>
      </c>
      <c r="E2495" s="25" t="inlineStr">
        <is>
          <t>ssaha</t>
        </is>
      </c>
      <c r="F2495" s="25" t="n">
        <v>122467</v>
      </c>
      <c r="G2495" s="25" t="n">
        <v>4</v>
      </c>
      <c r="H2495" s="25" t="n">
        <v>20</v>
      </c>
      <c r="I2495" s="25" t="inlineStr">
        <is>
          <t>7 minute(s) and 54 second(s)</t>
        </is>
      </c>
      <c r="J2495" s="25">
        <f>IFERROR(VALUE(TRIM(LEFT(I2495,FIND("minute",I2495)-1)))*60,0)+IFERROR(VALUE(SUBSTITUTE(MID(I2495,IFERROR(FIND("and",I2495)+3,1),20),"second(s)","")),0)</f>
        <v/>
      </c>
      <c r="K2495" s="41">
        <f>J2495/60</f>
        <v/>
      </c>
      <c r="L2495" s="41">
        <f>IFERROR(J2495/H2495,"")</f>
        <v/>
      </c>
      <c r="M2495" s="25" t="inlineStr">
        <is>
          <t>2.5.12</t>
        </is>
      </c>
      <c r="N2495" s="25">
        <f>IF(J2495&gt;300,1,0)</f>
        <v/>
      </c>
      <c r="O2495" s="25">
        <f>IF(J2495&gt;600,1,0)</f>
        <v/>
      </c>
      <c r="P2495" s="25">
        <f>IF(H2495&gt;0,J2495,"")</f>
        <v/>
      </c>
      <c r="Q2495" s="25">
        <f>TEXT(A2495,"YYYY-MM-DD HH")</f>
        <v/>
      </c>
      <c r="R2495" s="25">
        <f>COUNTIF($Q$2:$Q$5295,Q2495)</f>
        <v/>
      </c>
      <c r="S2495" s="25">
        <f>IF(R2495&lt;=2,"1-2",IF(R2495&lt;=5,"3-5",IF(R2495&lt;=10,"6-10","11+")))</f>
        <v/>
      </c>
    </row>
    <row r="2496">
      <c r="A2496" s="39" t="n">
        <v>46185.44020833333</v>
      </c>
      <c r="B2496" s="25">
        <f>TEXT(A2496,"YYYY-MM")</f>
        <v/>
      </c>
      <c r="C2496" s="25">
        <f>TEXT(A2496,"MMM-YYYY")</f>
        <v/>
      </c>
      <c r="D2496" s="40">
        <f>INT(A2496)-WEEKDAY(A2496,2)+1</f>
        <v/>
      </c>
      <c r="E2496" s="25" t="inlineStr">
        <is>
          <t>mgupta</t>
        </is>
      </c>
      <c r="F2496" s="25" t="n">
        <v>123416</v>
      </c>
      <c r="G2496" s="25" t="n">
        <v>2</v>
      </c>
      <c r="H2496" s="25" t="n">
        <v>10</v>
      </c>
      <c r="I2496" s="25" t="inlineStr">
        <is>
          <t>3 minute(s) and 8 second(s)</t>
        </is>
      </c>
      <c r="J2496" s="25">
        <f>IFERROR(VALUE(TRIM(LEFT(I2496,FIND("minute",I2496)-1)))*60,0)+IFERROR(VALUE(SUBSTITUTE(MID(I2496,IFERROR(FIND("and",I2496)+3,1),20),"second(s)","")),0)</f>
        <v/>
      </c>
      <c r="K2496" s="41">
        <f>J2496/60</f>
        <v/>
      </c>
      <c r="L2496" s="41">
        <f>IFERROR(J2496/H2496,"")</f>
        <v/>
      </c>
      <c r="M2496" s="25" t="inlineStr">
        <is>
          <t>2.5.12</t>
        </is>
      </c>
      <c r="N2496" s="25">
        <f>IF(J2496&gt;300,1,0)</f>
        <v/>
      </c>
      <c r="O2496" s="25">
        <f>IF(J2496&gt;600,1,0)</f>
        <v/>
      </c>
      <c r="P2496" s="25">
        <f>IF(H2496&gt;0,J2496,"")</f>
        <v/>
      </c>
      <c r="Q2496" s="25">
        <f>TEXT(A2496,"YYYY-MM-DD HH")</f>
        <v/>
      </c>
      <c r="R2496" s="25">
        <f>COUNTIF($Q$2:$Q$5295,Q2496)</f>
        <v/>
      </c>
      <c r="S2496" s="25">
        <f>IF(R2496&lt;=2,"1-2",IF(R2496&lt;=5,"3-5",IF(R2496&lt;=10,"6-10","11+")))</f>
        <v/>
      </c>
    </row>
    <row r="2497">
      <c r="A2497" s="39" t="n">
        <v>46185.44565972222</v>
      </c>
      <c r="B2497" s="25">
        <f>TEXT(A2497,"YYYY-MM")</f>
        <v/>
      </c>
      <c r="C2497" s="25">
        <f>TEXT(A2497,"MMM-YYYY")</f>
        <v/>
      </c>
      <c r="D2497" s="40">
        <f>INT(A2497)-WEEKDAY(A2497,2)+1</f>
        <v/>
      </c>
      <c r="E2497" s="25" t="inlineStr">
        <is>
          <t>hsindwani</t>
        </is>
      </c>
      <c r="F2497" s="25" t="n">
        <v>122868</v>
      </c>
      <c r="G2497" s="25" t="n">
        <v>1</v>
      </c>
      <c r="H2497" s="25" t="n">
        <v>7</v>
      </c>
      <c r="I2497" s="25" t="inlineStr">
        <is>
          <t>4 minute(s) and 12 second(s)</t>
        </is>
      </c>
      <c r="J2497" s="25">
        <f>IFERROR(VALUE(TRIM(LEFT(I2497,FIND("minute",I2497)-1)))*60,0)+IFERROR(VALUE(SUBSTITUTE(MID(I2497,IFERROR(FIND("and",I2497)+3,1),20),"second(s)","")),0)</f>
        <v/>
      </c>
      <c r="K2497" s="41">
        <f>J2497/60</f>
        <v/>
      </c>
      <c r="L2497" s="41">
        <f>IFERROR(J2497/H2497,"")</f>
        <v/>
      </c>
      <c r="M2497" s="25" t="inlineStr">
        <is>
          <t>2.5.12</t>
        </is>
      </c>
      <c r="N2497" s="25">
        <f>IF(J2497&gt;300,1,0)</f>
        <v/>
      </c>
      <c r="O2497" s="25">
        <f>IF(J2497&gt;600,1,0)</f>
        <v/>
      </c>
      <c r="P2497" s="25">
        <f>IF(H2497&gt;0,J2497,"")</f>
        <v/>
      </c>
      <c r="Q2497" s="25">
        <f>TEXT(A2497,"YYYY-MM-DD HH")</f>
        <v/>
      </c>
      <c r="R2497" s="25">
        <f>COUNTIF($Q$2:$Q$5295,Q2497)</f>
        <v/>
      </c>
      <c r="S2497" s="25">
        <f>IF(R2497&lt;=2,"1-2",IF(R2497&lt;=5,"3-5",IF(R2497&lt;=10,"6-10","11+")))</f>
        <v/>
      </c>
    </row>
    <row r="2498">
      <c r="A2498" s="39" t="n">
        <v>46185.45688657407</v>
      </c>
      <c r="B2498" s="25">
        <f>TEXT(A2498,"YYYY-MM")</f>
        <v/>
      </c>
      <c r="C2498" s="25">
        <f>TEXT(A2498,"MMM-YYYY")</f>
        <v/>
      </c>
      <c r="D2498" s="40">
        <f>INT(A2498)-WEEKDAY(A2498,2)+1</f>
        <v/>
      </c>
      <c r="E2498" s="25" t="inlineStr">
        <is>
          <t>shassan</t>
        </is>
      </c>
      <c r="F2498" s="25" t="n">
        <v>123953</v>
      </c>
      <c r="G2498" s="25" t="n">
        <v>2</v>
      </c>
      <c r="H2498" s="25" t="n">
        <v>6</v>
      </c>
      <c r="I2498" s="25" t="inlineStr">
        <is>
          <t>2 minute(s) and 33 second(s)</t>
        </is>
      </c>
      <c r="J2498" s="25">
        <f>IFERROR(VALUE(TRIM(LEFT(I2498,FIND("minute",I2498)-1)))*60,0)+IFERROR(VALUE(SUBSTITUTE(MID(I2498,IFERROR(FIND("and",I2498)+3,1),20),"second(s)","")),0)</f>
        <v/>
      </c>
      <c r="K2498" s="41">
        <f>J2498/60</f>
        <v/>
      </c>
      <c r="L2498" s="41">
        <f>IFERROR(J2498/H2498,"")</f>
        <v/>
      </c>
      <c r="M2498" s="25" t="inlineStr">
        <is>
          <t>2.5.12</t>
        </is>
      </c>
      <c r="N2498" s="25">
        <f>IF(J2498&gt;300,1,0)</f>
        <v/>
      </c>
      <c r="O2498" s="25">
        <f>IF(J2498&gt;600,1,0)</f>
        <v/>
      </c>
      <c r="P2498" s="25">
        <f>IF(H2498&gt;0,J2498,"")</f>
        <v/>
      </c>
      <c r="Q2498" s="25">
        <f>TEXT(A2498,"YYYY-MM-DD HH")</f>
        <v/>
      </c>
      <c r="R2498" s="25">
        <f>COUNTIF($Q$2:$Q$5295,Q2498)</f>
        <v/>
      </c>
      <c r="S2498" s="25">
        <f>IF(R2498&lt;=2,"1-2",IF(R2498&lt;=5,"3-5",IF(R2498&lt;=10,"6-10","11+")))</f>
        <v/>
      </c>
    </row>
    <row r="2499">
      <c r="A2499" s="39" t="n">
        <v>46185.46060185185</v>
      </c>
      <c r="B2499" s="25">
        <f>TEXT(A2499,"YYYY-MM")</f>
        <v/>
      </c>
      <c r="C2499" s="25">
        <f>TEXT(A2499,"MMM-YYYY")</f>
        <v/>
      </c>
      <c r="D2499" s="40">
        <f>INT(A2499)-WEEKDAY(A2499,2)+1</f>
        <v/>
      </c>
      <c r="E2499" s="25" t="inlineStr">
        <is>
          <t>asahoo</t>
        </is>
      </c>
      <c r="F2499" s="25" t="n">
        <v>123926</v>
      </c>
      <c r="G2499" s="25" t="n">
        <v>1</v>
      </c>
      <c r="H2499" s="25" t="n">
        <v>5</v>
      </c>
      <c r="I2499" s="25" t="inlineStr">
        <is>
          <t>2 minute(s) and 32 second(s)</t>
        </is>
      </c>
      <c r="J2499" s="25">
        <f>IFERROR(VALUE(TRIM(LEFT(I2499,FIND("minute",I2499)-1)))*60,0)+IFERROR(VALUE(SUBSTITUTE(MID(I2499,IFERROR(FIND("and",I2499)+3,1),20),"second(s)","")),0)</f>
        <v/>
      </c>
      <c r="K2499" s="41">
        <f>J2499/60</f>
        <v/>
      </c>
      <c r="L2499" s="41">
        <f>IFERROR(J2499/H2499,"")</f>
        <v/>
      </c>
      <c r="M2499" s="25" t="inlineStr">
        <is>
          <t>2.5.12</t>
        </is>
      </c>
      <c r="N2499" s="25">
        <f>IF(J2499&gt;300,1,0)</f>
        <v/>
      </c>
      <c r="O2499" s="25">
        <f>IF(J2499&gt;600,1,0)</f>
        <v/>
      </c>
      <c r="P2499" s="25">
        <f>IF(H2499&gt;0,J2499,"")</f>
        <v/>
      </c>
      <c r="Q2499" s="25">
        <f>TEXT(A2499,"YYYY-MM-DD HH")</f>
        <v/>
      </c>
      <c r="R2499" s="25">
        <f>COUNTIF($Q$2:$Q$5295,Q2499)</f>
        <v/>
      </c>
      <c r="S2499" s="25">
        <f>IF(R2499&lt;=2,"1-2",IF(R2499&lt;=5,"3-5",IF(R2499&lt;=10,"6-10","11+")))</f>
        <v/>
      </c>
    </row>
    <row r="2500">
      <c r="A2500" s="39" t="n">
        <v>46185.46631944444</v>
      </c>
      <c r="B2500" s="25">
        <f>TEXT(A2500,"YYYY-MM")</f>
        <v/>
      </c>
      <c r="C2500" s="25">
        <f>TEXT(A2500,"MMM-YYYY")</f>
        <v/>
      </c>
      <c r="D2500" s="40">
        <f>INT(A2500)-WEEKDAY(A2500,2)+1</f>
        <v/>
      </c>
      <c r="E2500" s="25" t="inlineStr">
        <is>
          <t>ssrinivasan</t>
        </is>
      </c>
      <c r="F2500" s="25" t="n">
        <v>123684</v>
      </c>
      <c r="G2500" s="25" t="n">
        <v>1</v>
      </c>
      <c r="H2500" s="25" t="n">
        <v>7</v>
      </c>
      <c r="I2500" s="25" t="inlineStr">
        <is>
          <t>2 minute(s) and 53 second(s)</t>
        </is>
      </c>
      <c r="J2500" s="25">
        <f>IFERROR(VALUE(TRIM(LEFT(I2500,FIND("minute",I2500)-1)))*60,0)+IFERROR(VALUE(SUBSTITUTE(MID(I2500,IFERROR(FIND("and",I2500)+3,1),20),"second(s)","")),0)</f>
        <v/>
      </c>
      <c r="K2500" s="41">
        <f>J2500/60</f>
        <v/>
      </c>
      <c r="L2500" s="41">
        <f>IFERROR(J2500/H2500,"")</f>
        <v/>
      </c>
      <c r="M2500" s="25" t="inlineStr">
        <is>
          <t>2.5.12</t>
        </is>
      </c>
      <c r="N2500" s="25">
        <f>IF(J2500&gt;300,1,0)</f>
        <v/>
      </c>
      <c r="O2500" s="25">
        <f>IF(J2500&gt;600,1,0)</f>
        <v/>
      </c>
      <c r="P2500" s="25">
        <f>IF(H2500&gt;0,J2500,"")</f>
        <v/>
      </c>
      <c r="Q2500" s="25">
        <f>TEXT(A2500,"YYYY-MM-DD HH")</f>
        <v/>
      </c>
      <c r="R2500" s="25">
        <f>COUNTIF($Q$2:$Q$5295,Q2500)</f>
        <v/>
      </c>
      <c r="S2500" s="25">
        <f>IF(R2500&lt;=2,"1-2",IF(R2500&lt;=5,"3-5",IF(R2500&lt;=10,"6-10","11+")))</f>
        <v/>
      </c>
    </row>
    <row r="2501">
      <c r="A2501" s="39" t="n">
        <v>46185.47130787037</v>
      </c>
      <c r="B2501" s="25">
        <f>TEXT(A2501,"YYYY-MM")</f>
        <v/>
      </c>
      <c r="C2501" s="25">
        <f>TEXT(A2501,"MMM-YYYY")</f>
        <v/>
      </c>
      <c r="D2501" s="40">
        <f>INT(A2501)-WEEKDAY(A2501,2)+1</f>
        <v/>
      </c>
      <c r="E2501" s="25" t="inlineStr">
        <is>
          <t>psathwika</t>
        </is>
      </c>
      <c r="F2501" s="25" t="n">
        <v>123537</v>
      </c>
      <c r="G2501" s="25" t="n">
        <v>1</v>
      </c>
      <c r="H2501" s="25" t="n">
        <v>5</v>
      </c>
      <c r="I2501" s="25" t="inlineStr">
        <is>
          <t>2 minute(s) and 40 second(s)</t>
        </is>
      </c>
      <c r="J2501" s="25">
        <f>IFERROR(VALUE(TRIM(LEFT(I2501,FIND("minute",I2501)-1)))*60,0)+IFERROR(VALUE(SUBSTITUTE(MID(I2501,IFERROR(FIND("and",I2501)+3,1),20),"second(s)","")),0)</f>
        <v/>
      </c>
      <c r="K2501" s="41">
        <f>J2501/60</f>
        <v/>
      </c>
      <c r="L2501" s="41">
        <f>IFERROR(J2501/H2501,"")</f>
        <v/>
      </c>
      <c r="M2501" s="25" t="inlineStr">
        <is>
          <t>2.5.12</t>
        </is>
      </c>
      <c r="N2501" s="25">
        <f>IF(J2501&gt;300,1,0)</f>
        <v/>
      </c>
      <c r="O2501" s="25">
        <f>IF(J2501&gt;600,1,0)</f>
        <v/>
      </c>
      <c r="P2501" s="25">
        <f>IF(H2501&gt;0,J2501,"")</f>
        <v/>
      </c>
      <c r="Q2501" s="25">
        <f>TEXT(A2501,"YYYY-MM-DD HH")</f>
        <v/>
      </c>
      <c r="R2501" s="25">
        <f>COUNTIF($Q$2:$Q$5295,Q2501)</f>
        <v/>
      </c>
      <c r="S2501" s="25">
        <f>IF(R2501&lt;=2,"1-2",IF(R2501&lt;=5,"3-5",IF(R2501&lt;=10,"6-10","11+")))</f>
        <v/>
      </c>
    </row>
    <row r="2502">
      <c r="A2502" s="39" t="n">
        <v>46185.48489583333</v>
      </c>
      <c r="B2502" s="25">
        <f>TEXT(A2502,"YYYY-MM")</f>
        <v/>
      </c>
      <c r="C2502" s="25">
        <f>TEXT(A2502,"MMM-YYYY")</f>
        <v/>
      </c>
      <c r="D2502" s="40">
        <f>INT(A2502)-WEEKDAY(A2502,2)+1</f>
        <v/>
      </c>
      <c r="E2502" s="25" t="inlineStr">
        <is>
          <t>shassan</t>
        </is>
      </c>
      <c r="F2502" s="25" t="n">
        <v>123955</v>
      </c>
      <c r="G2502" s="25" t="n">
        <v>3</v>
      </c>
      <c r="H2502" s="25" t="n">
        <v>11</v>
      </c>
      <c r="I2502" s="25" t="inlineStr">
        <is>
          <t>2 minute(s) and 51 second(s)</t>
        </is>
      </c>
      <c r="J2502" s="25">
        <f>IFERROR(VALUE(TRIM(LEFT(I2502,FIND("minute",I2502)-1)))*60,0)+IFERROR(VALUE(SUBSTITUTE(MID(I2502,IFERROR(FIND("and",I2502)+3,1),20),"second(s)","")),0)</f>
        <v/>
      </c>
      <c r="K2502" s="41">
        <f>J2502/60</f>
        <v/>
      </c>
      <c r="L2502" s="41">
        <f>IFERROR(J2502/H2502,"")</f>
        <v/>
      </c>
      <c r="M2502" s="25" t="inlineStr">
        <is>
          <t>2.5.12</t>
        </is>
      </c>
      <c r="N2502" s="25">
        <f>IF(J2502&gt;300,1,0)</f>
        <v/>
      </c>
      <c r="O2502" s="25">
        <f>IF(J2502&gt;600,1,0)</f>
        <v/>
      </c>
      <c r="P2502" s="25">
        <f>IF(H2502&gt;0,J2502,"")</f>
        <v/>
      </c>
      <c r="Q2502" s="25">
        <f>TEXT(A2502,"YYYY-MM-DD HH")</f>
        <v/>
      </c>
      <c r="R2502" s="25">
        <f>COUNTIF($Q$2:$Q$5295,Q2502)</f>
        <v/>
      </c>
      <c r="S2502" s="25">
        <f>IF(R2502&lt;=2,"1-2",IF(R2502&lt;=5,"3-5",IF(R2502&lt;=10,"6-10","11+")))</f>
        <v/>
      </c>
    </row>
    <row r="2503">
      <c r="A2503" s="39" t="n">
        <v>46185.50846064815</v>
      </c>
      <c r="B2503" s="25">
        <f>TEXT(A2503,"YYYY-MM")</f>
        <v/>
      </c>
      <c r="C2503" s="25">
        <f>TEXT(A2503,"MMM-YYYY")</f>
        <v/>
      </c>
      <c r="D2503" s="40">
        <f>INT(A2503)-WEEKDAY(A2503,2)+1</f>
        <v/>
      </c>
      <c r="E2503" s="25" t="inlineStr">
        <is>
          <t>psingh</t>
        </is>
      </c>
      <c r="F2503" s="25" t="n">
        <v>123556</v>
      </c>
      <c r="G2503" s="25" t="n">
        <v>2</v>
      </c>
      <c r="H2503" s="25" t="n">
        <v>12</v>
      </c>
      <c r="I2503" s="25" t="inlineStr">
        <is>
          <t>3 minute(s) and 8 second(s)</t>
        </is>
      </c>
      <c r="J2503" s="25">
        <f>IFERROR(VALUE(TRIM(LEFT(I2503,FIND("minute",I2503)-1)))*60,0)+IFERROR(VALUE(SUBSTITUTE(MID(I2503,IFERROR(FIND("and",I2503)+3,1),20),"second(s)","")),0)</f>
        <v/>
      </c>
      <c r="K2503" s="41">
        <f>J2503/60</f>
        <v/>
      </c>
      <c r="L2503" s="41">
        <f>IFERROR(J2503/H2503,"")</f>
        <v/>
      </c>
      <c r="M2503" s="25" t="inlineStr">
        <is>
          <t>2.5.12</t>
        </is>
      </c>
      <c r="N2503" s="25">
        <f>IF(J2503&gt;300,1,0)</f>
        <v/>
      </c>
      <c r="O2503" s="25">
        <f>IF(J2503&gt;600,1,0)</f>
        <v/>
      </c>
      <c r="P2503" s="25">
        <f>IF(H2503&gt;0,J2503,"")</f>
        <v/>
      </c>
      <c r="Q2503" s="25">
        <f>TEXT(A2503,"YYYY-MM-DD HH")</f>
        <v/>
      </c>
      <c r="R2503" s="25">
        <f>COUNTIF($Q$2:$Q$5295,Q2503)</f>
        <v/>
      </c>
      <c r="S2503" s="25">
        <f>IF(R2503&lt;=2,"1-2",IF(R2503&lt;=5,"3-5",IF(R2503&lt;=10,"6-10","11+")))</f>
        <v/>
      </c>
    </row>
    <row r="2504">
      <c r="A2504" s="39" t="n">
        <v>46185.50922453704</v>
      </c>
      <c r="B2504" s="25">
        <f>TEXT(A2504,"YYYY-MM")</f>
        <v/>
      </c>
      <c r="C2504" s="25">
        <f>TEXT(A2504,"MMM-YYYY")</f>
        <v/>
      </c>
      <c r="D2504" s="40">
        <f>INT(A2504)-WEEKDAY(A2504,2)+1</f>
        <v/>
      </c>
      <c r="E2504" s="25" t="inlineStr">
        <is>
          <t>shassan</t>
        </is>
      </c>
      <c r="F2504" s="25" t="n">
        <v>123961</v>
      </c>
      <c r="G2504" s="25" t="n">
        <v>4</v>
      </c>
      <c r="H2504" s="25" t="n">
        <v>12</v>
      </c>
      <c r="I2504" s="25" t="inlineStr">
        <is>
          <t>3 minute(s) and 9 second(s)</t>
        </is>
      </c>
      <c r="J2504" s="25">
        <f>IFERROR(VALUE(TRIM(LEFT(I2504,FIND("minute",I2504)-1)))*60,0)+IFERROR(VALUE(SUBSTITUTE(MID(I2504,IFERROR(FIND("and",I2504)+3,1),20),"second(s)","")),0)</f>
        <v/>
      </c>
      <c r="K2504" s="41">
        <f>J2504/60</f>
        <v/>
      </c>
      <c r="L2504" s="41">
        <f>IFERROR(J2504/H2504,"")</f>
        <v/>
      </c>
      <c r="M2504" s="25" t="inlineStr">
        <is>
          <t>2.5.12</t>
        </is>
      </c>
      <c r="N2504" s="25">
        <f>IF(J2504&gt;300,1,0)</f>
        <v/>
      </c>
      <c r="O2504" s="25">
        <f>IF(J2504&gt;600,1,0)</f>
        <v/>
      </c>
      <c r="P2504" s="25">
        <f>IF(H2504&gt;0,J2504,"")</f>
        <v/>
      </c>
      <c r="Q2504" s="25">
        <f>TEXT(A2504,"YYYY-MM-DD HH")</f>
        <v/>
      </c>
      <c r="R2504" s="25">
        <f>COUNTIF($Q$2:$Q$5295,Q2504)</f>
        <v/>
      </c>
      <c r="S2504" s="25">
        <f>IF(R2504&lt;=2,"1-2",IF(R2504&lt;=5,"3-5",IF(R2504&lt;=10,"6-10","11+")))</f>
        <v/>
      </c>
    </row>
    <row r="2505">
      <c r="A2505" s="39" t="n">
        <v>46185.52050925926</v>
      </c>
      <c r="B2505" s="25">
        <f>TEXT(A2505,"YYYY-MM")</f>
        <v/>
      </c>
      <c r="C2505" s="25">
        <f>TEXT(A2505,"MMM-YYYY")</f>
        <v/>
      </c>
      <c r="D2505" s="40">
        <f>INT(A2505)-WEEKDAY(A2505,2)+1</f>
        <v/>
      </c>
      <c r="E2505" s="25" t="inlineStr">
        <is>
          <t>adey</t>
        </is>
      </c>
      <c r="F2505" s="25" t="n">
        <v>123299</v>
      </c>
      <c r="G2505" s="25" t="n">
        <v>2</v>
      </c>
      <c r="H2505" s="25" t="n">
        <v>10</v>
      </c>
      <c r="I2505" s="25" t="inlineStr">
        <is>
          <t>2 minute(s) and 57 second(s)</t>
        </is>
      </c>
      <c r="J2505" s="25">
        <f>IFERROR(VALUE(TRIM(LEFT(I2505,FIND("minute",I2505)-1)))*60,0)+IFERROR(VALUE(SUBSTITUTE(MID(I2505,IFERROR(FIND("and",I2505)+3,1),20),"second(s)","")),0)</f>
        <v/>
      </c>
      <c r="K2505" s="41">
        <f>J2505/60</f>
        <v/>
      </c>
      <c r="L2505" s="41">
        <f>IFERROR(J2505/H2505,"")</f>
        <v/>
      </c>
      <c r="M2505" s="25" t="inlineStr">
        <is>
          <t>2.5.12</t>
        </is>
      </c>
      <c r="N2505" s="25">
        <f>IF(J2505&gt;300,1,0)</f>
        <v/>
      </c>
      <c r="O2505" s="25">
        <f>IF(J2505&gt;600,1,0)</f>
        <v/>
      </c>
      <c r="P2505" s="25">
        <f>IF(H2505&gt;0,J2505,"")</f>
        <v/>
      </c>
      <c r="Q2505" s="25">
        <f>TEXT(A2505,"YYYY-MM-DD HH")</f>
        <v/>
      </c>
      <c r="R2505" s="25">
        <f>COUNTIF($Q$2:$Q$5295,Q2505)</f>
        <v/>
      </c>
      <c r="S2505" s="25">
        <f>IF(R2505&lt;=2,"1-2",IF(R2505&lt;=5,"3-5",IF(R2505&lt;=10,"6-10","11+")))</f>
        <v/>
      </c>
    </row>
    <row r="2506">
      <c r="A2506" s="39" t="n">
        <v>46185.53005787037</v>
      </c>
      <c r="B2506" s="25">
        <f>TEXT(A2506,"YYYY-MM")</f>
        <v/>
      </c>
      <c r="C2506" s="25">
        <f>TEXT(A2506,"MMM-YYYY")</f>
        <v/>
      </c>
      <c r="D2506" s="40">
        <f>INT(A2506)-WEEKDAY(A2506,2)+1</f>
        <v/>
      </c>
      <c r="E2506" s="25" t="inlineStr">
        <is>
          <t>sdey</t>
        </is>
      </c>
      <c r="F2506" s="25" t="n">
        <v>122778</v>
      </c>
      <c r="G2506" s="25" t="n">
        <v>1</v>
      </c>
      <c r="H2506" s="25" t="n">
        <v>7</v>
      </c>
      <c r="I2506" s="25" t="inlineStr">
        <is>
          <t>2 minute(s) and 56 second(s)</t>
        </is>
      </c>
      <c r="J2506" s="25">
        <f>IFERROR(VALUE(TRIM(LEFT(I2506,FIND("minute",I2506)-1)))*60,0)+IFERROR(VALUE(SUBSTITUTE(MID(I2506,IFERROR(FIND("and",I2506)+3,1),20),"second(s)","")),0)</f>
        <v/>
      </c>
      <c r="K2506" s="41">
        <f>J2506/60</f>
        <v/>
      </c>
      <c r="L2506" s="41">
        <f>IFERROR(J2506/H2506,"")</f>
        <v/>
      </c>
      <c r="M2506" s="25" t="inlineStr">
        <is>
          <t>2.5.12</t>
        </is>
      </c>
      <c r="N2506" s="25">
        <f>IF(J2506&gt;300,1,0)</f>
        <v/>
      </c>
      <c r="O2506" s="25">
        <f>IF(J2506&gt;600,1,0)</f>
        <v/>
      </c>
      <c r="P2506" s="25">
        <f>IF(H2506&gt;0,J2506,"")</f>
        <v/>
      </c>
      <c r="Q2506" s="25">
        <f>TEXT(A2506,"YYYY-MM-DD HH")</f>
        <v/>
      </c>
      <c r="R2506" s="25">
        <f>COUNTIF($Q$2:$Q$5295,Q2506)</f>
        <v/>
      </c>
      <c r="S2506" s="25">
        <f>IF(R2506&lt;=2,"1-2",IF(R2506&lt;=5,"3-5",IF(R2506&lt;=10,"6-10","11+")))</f>
        <v/>
      </c>
    </row>
    <row r="2507">
      <c r="A2507" s="39" t="n">
        <v>46185.53023148148</v>
      </c>
      <c r="B2507" s="25">
        <f>TEXT(A2507,"YYYY-MM")</f>
        <v/>
      </c>
      <c r="C2507" s="25">
        <f>TEXT(A2507,"MMM-YYYY")</f>
        <v/>
      </c>
      <c r="D2507" s="40">
        <f>INT(A2507)-WEEKDAY(A2507,2)+1</f>
        <v/>
      </c>
      <c r="E2507" s="25" t="inlineStr">
        <is>
          <t>ssaha</t>
        </is>
      </c>
      <c r="F2507" s="25" t="n">
        <v>122461</v>
      </c>
      <c r="G2507" s="25" t="n">
        <v>2</v>
      </c>
      <c r="H2507" s="25" t="n">
        <v>6</v>
      </c>
      <c r="I2507" s="25" t="inlineStr">
        <is>
          <t>1 minute(s) and 33 second(s)</t>
        </is>
      </c>
      <c r="J2507" s="25">
        <f>IFERROR(VALUE(TRIM(LEFT(I2507,FIND("minute",I2507)-1)))*60,0)+IFERROR(VALUE(SUBSTITUTE(MID(I2507,IFERROR(FIND("and",I2507)+3,1),20),"second(s)","")),0)</f>
        <v/>
      </c>
      <c r="K2507" s="41">
        <f>J2507/60</f>
        <v/>
      </c>
      <c r="L2507" s="41">
        <f>IFERROR(J2507/H2507,"")</f>
        <v/>
      </c>
      <c r="M2507" s="25" t="inlineStr">
        <is>
          <t>2.5.12</t>
        </is>
      </c>
      <c r="N2507" s="25">
        <f>IF(J2507&gt;300,1,0)</f>
        <v/>
      </c>
      <c r="O2507" s="25">
        <f>IF(J2507&gt;600,1,0)</f>
        <v/>
      </c>
      <c r="P2507" s="25">
        <f>IF(H2507&gt;0,J2507,"")</f>
        <v/>
      </c>
      <c r="Q2507" s="25">
        <f>TEXT(A2507,"YYYY-MM-DD HH")</f>
        <v/>
      </c>
      <c r="R2507" s="25">
        <f>COUNTIF($Q$2:$Q$5295,Q2507)</f>
        <v/>
      </c>
      <c r="S2507" s="25">
        <f>IF(R2507&lt;=2,"1-2",IF(R2507&lt;=5,"3-5",IF(R2507&lt;=10,"6-10","11+")))</f>
        <v/>
      </c>
    </row>
    <row r="2508">
      <c r="A2508" s="39" t="n">
        <v>46185.56295138889</v>
      </c>
      <c r="B2508" s="25">
        <f>TEXT(A2508,"YYYY-MM")</f>
        <v/>
      </c>
      <c r="C2508" s="25">
        <f>TEXT(A2508,"MMM-YYYY")</f>
        <v/>
      </c>
      <c r="D2508" s="40">
        <f>INT(A2508)-WEEKDAY(A2508,2)+1</f>
        <v/>
      </c>
      <c r="E2508" s="25" t="inlineStr">
        <is>
          <t>ssaha</t>
        </is>
      </c>
      <c r="F2508" s="25" t="n">
        <v>122497</v>
      </c>
      <c r="G2508" s="25" t="n">
        <v>2</v>
      </c>
      <c r="H2508" s="25" t="n">
        <v>6</v>
      </c>
      <c r="I2508" s="25" t="inlineStr">
        <is>
          <t>1 minute(s) and 47 second(s)</t>
        </is>
      </c>
      <c r="J2508" s="25">
        <f>IFERROR(VALUE(TRIM(LEFT(I2508,FIND("minute",I2508)-1)))*60,0)+IFERROR(VALUE(SUBSTITUTE(MID(I2508,IFERROR(FIND("and",I2508)+3,1),20),"second(s)","")),0)</f>
        <v/>
      </c>
      <c r="K2508" s="41">
        <f>J2508/60</f>
        <v/>
      </c>
      <c r="L2508" s="41">
        <f>IFERROR(J2508/H2508,"")</f>
        <v/>
      </c>
      <c r="M2508" s="25" t="inlineStr">
        <is>
          <t>2.5.12</t>
        </is>
      </c>
      <c r="N2508" s="25">
        <f>IF(J2508&gt;300,1,0)</f>
        <v/>
      </c>
      <c r="O2508" s="25">
        <f>IF(J2508&gt;600,1,0)</f>
        <v/>
      </c>
      <c r="P2508" s="25">
        <f>IF(H2508&gt;0,J2508,"")</f>
        <v/>
      </c>
      <c r="Q2508" s="25">
        <f>TEXT(A2508,"YYYY-MM-DD HH")</f>
        <v/>
      </c>
      <c r="R2508" s="25">
        <f>COUNTIF($Q$2:$Q$5295,Q2508)</f>
        <v/>
      </c>
      <c r="S2508" s="25">
        <f>IF(R2508&lt;=2,"1-2",IF(R2508&lt;=5,"3-5",IF(R2508&lt;=10,"6-10","11+")))</f>
        <v/>
      </c>
    </row>
    <row r="2509">
      <c r="A2509" s="39" t="n">
        <v>46185.56986111111</v>
      </c>
      <c r="B2509" s="25">
        <f>TEXT(A2509,"YYYY-MM")</f>
        <v/>
      </c>
      <c r="C2509" s="25">
        <f>TEXT(A2509,"MMM-YYYY")</f>
        <v/>
      </c>
      <c r="D2509" s="40">
        <f>INT(A2509)-WEEKDAY(A2509,2)+1</f>
        <v/>
      </c>
      <c r="E2509" s="25" t="inlineStr">
        <is>
          <t>hsindwani</t>
        </is>
      </c>
      <c r="F2509" s="25" t="n">
        <v>123396</v>
      </c>
      <c r="G2509" s="25" t="n">
        <v>1</v>
      </c>
      <c r="H2509" s="25" t="n">
        <v>7</v>
      </c>
      <c r="I2509" s="25" t="inlineStr">
        <is>
          <t>4 minute(s) and 29 second(s)</t>
        </is>
      </c>
      <c r="J2509" s="25">
        <f>IFERROR(VALUE(TRIM(LEFT(I2509,FIND("minute",I2509)-1)))*60,0)+IFERROR(VALUE(SUBSTITUTE(MID(I2509,IFERROR(FIND("and",I2509)+3,1),20),"second(s)","")),0)</f>
        <v/>
      </c>
      <c r="K2509" s="41">
        <f>J2509/60</f>
        <v/>
      </c>
      <c r="L2509" s="41">
        <f>IFERROR(J2509/H2509,"")</f>
        <v/>
      </c>
      <c r="M2509" s="25" t="inlineStr">
        <is>
          <t>2.5.12</t>
        </is>
      </c>
      <c r="N2509" s="25">
        <f>IF(J2509&gt;300,1,0)</f>
        <v/>
      </c>
      <c r="O2509" s="25">
        <f>IF(J2509&gt;600,1,0)</f>
        <v/>
      </c>
      <c r="P2509" s="25">
        <f>IF(H2509&gt;0,J2509,"")</f>
        <v/>
      </c>
      <c r="Q2509" s="25">
        <f>TEXT(A2509,"YYYY-MM-DD HH")</f>
        <v/>
      </c>
      <c r="R2509" s="25">
        <f>COUNTIF($Q$2:$Q$5295,Q2509)</f>
        <v/>
      </c>
      <c r="S2509" s="25">
        <f>IF(R2509&lt;=2,"1-2",IF(R2509&lt;=5,"3-5",IF(R2509&lt;=10,"6-10","11+")))</f>
        <v/>
      </c>
    </row>
    <row r="2510">
      <c r="A2510" s="39" t="n">
        <v>46185.59329861111</v>
      </c>
      <c r="B2510" s="25">
        <f>TEXT(A2510,"YYYY-MM")</f>
        <v/>
      </c>
      <c r="C2510" s="25">
        <f>TEXT(A2510,"MMM-YYYY")</f>
        <v/>
      </c>
      <c r="D2510" s="40">
        <f>INT(A2510)-WEEKDAY(A2510,2)+1</f>
        <v/>
      </c>
      <c r="E2510" s="25" t="inlineStr">
        <is>
          <t>emishra</t>
        </is>
      </c>
      <c r="F2510" s="25" t="n">
        <v>123907</v>
      </c>
      <c r="G2510" s="25" t="n">
        <v>5</v>
      </c>
      <c r="H2510" s="25" t="n">
        <v>17</v>
      </c>
      <c r="I2510" s="25" t="inlineStr">
        <is>
          <t>3 minute(s) and 44 second(s)</t>
        </is>
      </c>
      <c r="J2510" s="25">
        <f>IFERROR(VALUE(TRIM(LEFT(I2510,FIND("minute",I2510)-1)))*60,0)+IFERROR(VALUE(SUBSTITUTE(MID(I2510,IFERROR(FIND("and",I2510)+3,1),20),"second(s)","")),0)</f>
        <v/>
      </c>
      <c r="K2510" s="41">
        <f>J2510/60</f>
        <v/>
      </c>
      <c r="L2510" s="41">
        <f>IFERROR(J2510/H2510,"")</f>
        <v/>
      </c>
      <c r="M2510" s="25" t="inlineStr">
        <is>
          <t>2.5.12</t>
        </is>
      </c>
      <c r="N2510" s="25">
        <f>IF(J2510&gt;300,1,0)</f>
        <v/>
      </c>
      <c r="O2510" s="25">
        <f>IF(J2510&gt;600,1,0)</f>
        <v/>
      </c>
      <c r="P2510" s="25">
        <f>IF(H2510&gt;0,J2510,"")</f>
        <v/>
      </c>
      <c r="Q2510" s="25">
        <f>TEXT(A2510,"YYYY-MM-DD HH")</f>
        <v/>
      </c>
      <c r="R2510" s="25">
        <f>COUNTIF($Q$2:$Q$5295,Q2510)</f>
        <v/>
      </c>
      <c r="S2510" s="25">
        <f>IF(R2510&lt;=2,"1-2",IF(R2510&lt;=5,"3-5",IF(R2510&lt;=10,"6-10","11+")))</f>
        <v/>
      </c>
    </row>
    <row r="2511">
      <c r="A2511" s="39" t="n">
        <v>46185.604375</v>
      </c>
      <c r="B2511" s="25">
        <f>TEXT(A2511,"YYYY-MM")</f>
        <v/>
      </c>
      <c r="C2511" s="25">
        <f>TEXT(A2511,"MMM-YYYY")</f>
        <v/>
      </c>
      <c r="D2511" s="40">
        <f>INT(A2511)-WEEKDAY(A2511,2)+1</f>
        <v/>
      </c>
      <c r="E2511" s="25" t="inlineStr">
        <is>
          <t>adey</t>
        </is>
      </c>
      <c r="F2511" s="25" t="n">
        <v>123307</v>
      </c>
      <c r="G2511" s="25" t="n">
        <v>2</v>
      </c>
      <c r="H2511" s="25" t="n">
        <v>12</v>
      </c>
      <c r="I2511" s="25" t="inlineStr">
        <is>
          <t>2 minute(s) and 50 second(s)</t>
        </is>
      </c>
      <c r="J2511" s="25">
        <f>IFERROR(VALUE(TRIM(LEFT(I2511,FIND("minute",I2511)-1)))*60,0)+IFERROR(VALUE(SUBSTITUTE(MID(I2511,IFERROR(FIND("and",I2511)+3,1),20),"second(s)","")),0)</f>
        <v/>
      </c>
      <c r="K2511" s="41">
        <f>J2511/60</f>
        <v/>
      </c>
      <c r="L2511" s="41">
        <f>IFERROR(J2511/H2511,"")</f>
        <v/>
      </c>
      <c r="M2511" s="25" t="inlineStr">
        <is>
          <t>2.5.12</t>
        </is>
      </c>
      <c r="N2511" s="25">
        <f>IF(J2511&gt;300,1,0)</f>
        <v/>
      </c>
      <c r="O2511" s="25">
        <f>IF(J2511&gt;600,1,0)</f>
        <v/>
      </c>
      <c r="P2511" s="25">
        <f>IF(H2511&gt;0,J2511,"")</f>
        <v/>
      </c>
      <c r="Q2511" s="25">
        <f>TEXT(A2511,"YYYY-MM-DD HH")</f>
        <v/>
      </c>
      <c r="R2511" s="25">
        <f>COUNTIF($Q$2:$Q$5295,Q2511)</f>
        <v/>
      </c>
      <c r="S2511" s="25">
        <f>IF(R2511&lt;=2,"1-2",IF(R2511&lt;=5,"3-5",IF(R2511&lt;=10,"6-10","11+")))</f>
        <v/>
      </c>
    </row>
    <row r="2512">
      <c r="A2512" s="39" t="n">
        <v>46185.60518518519</v>
      </c>
      <c r="B2512" s="25">
        <f>TEXT(A2512,"YYYY-MM")</f>
        <v/>
      </c>
      <c r="C2512" s="25">
        <f>TEXT(A2512,"MMM-YYYY")</f>
        <v/>
      </c>
      <c r="D2512" s="40">
        <f>INT(A2512)-WEEKDAY(A2512,2)+1</f>
        <v/>
      </c>
      <c r="E2512" s="25" t="inlineStr">
        <is>
          <t>rsingh</t>
        </is>
      </c>
      <c r="F2512" s="25" t="n">
        <v>123596</v>
      </c>
      <c r="G2512" s="25" t="n">
        <v>2</v>
      </c>
      <c r="H2512" s="25" t="n">
        <v>13</v>
      </c>
      <c r="I2512" s="25" t="inlineStr">
        <is>
          <t>6 minute(s) and 38 second(s)</t>
        </is>
      </c>
      <c r="J2512" s="25">
        <f>IFERROR(VALUE(TRIM(LEFT(I2512,FIND("minute",I2512)-1)))*60,0)+IFERROR(VALUE(SUBSTITUTE(MID(I2512,IFERROR(FIND("and",I2512)+3,1),20),"second(s)","")),0)</f>
        <v/>
      </c>
      <c r="K2512" s="41">
        <f>J2512/60</f>
        <v/>
      </c>
      <c r="L2512" s="41">
        <f>IFERROR(J2512/H2512,"")</f>
        <v/>
      </c>
      <c r="M2512" s="25" t="inlineStr">
        <is>
          <t>2.5.12</t>
        </is>
      </c>
      <c r="N2512" s="25">
        <f>IF(J2512&gt;300,1,0)</f>
        <v/>
      </c>
      <c r="O2512" s="25">
        <f>IF(J2512&gt;600,1,0)</f>
        <v/>
      </c>
      <c r="P2512" s="25">
        <f>IF(H2512&gt;0,J2512,"")</f>
        <v/>
      </c>
      <c r="Q2512" s="25">
        <f>TEXT(A2512,"YYYY-MM-DD HH")</f>
        <v/>
      </c>
      <c r="R2512" s="25">
        <f>COUNTIF($Q$2:$Q$5295,Q2512)</f>
        <v/>
      </c>
      <c r="S2512" s="25">
        <f>IF(R2512&lt;=2,"1-2",IF(R2512&lt;=5,"3-5",IF(R2512&lt;=10,"6-10","11+")))</f>
        <v/>
      </c>
    </row>
    <row r="2513">
      <c r="A2513" s="39" t="n">
        <v>46185.62873842593</v>
      </c>
      <c r="B2513" s="25">
        <f>TEXT(A2513,"YYYY-MM")</f>
        <v/>
      </c>
      <c r="C2513" s="25">
        <f>TEXT(A2513,"MMM-YYYY")</f>
        <v/>
      </c>
      <c r="D2513" s="40">
        <f>INT(A2513)-WEEKDAY(A2513,2)+1</f>
        <v/>
      </c>
      <c r="E2513" s="25" t="inlineStr">
        <is>
          <t>csaha</t>
        </is>
      </c>
      <c r="F2513" s="25" t="n">
        <v>122389</v>
      </c>
      <c r="G2513" s="25" t="n">
        <v>3</v>
      </c>
      <c r="H2513" s="25" t="n">
        <v>15</v>
      </c>
      <c r="I2513" s="25" t="inlineStr">
        <is>
          <t>10 minute(s) and 50 second(s)</t>
        </is>
      </c>
      <c r="J2513" s="25">
        <f>IFERROR(VALUE(TRIM(LEFT(I2513,FIND("minute",I2513)-1)))*60,0)+IFERROR(VALUE(SUBSTITUTE(MID(I2513,IFERROR(FIND("and",I2513)+3,1),20),"second(s)","")),0)</f>
        <v/>
      </c>
      <c r="K2513" s="41">
        <f>J2513/60</f>
        <v/>
      </c>
      <c r="L2513" s="41">
        <f>IFERROR(J2513/H2513,"")</f>
        <v/>
      </c>
      <c r="M2513" s="25" t="inlineStr">
        <is>
          <t>2.5.12</t>
        </is>
      </c>
      <c r="N2513" s="25">
        <f>IF(J2513&gt;300,1,0)</f>
        <v/>
      </c>
      <c r="O2513" s="25">
        <f>IF(J2513&gt;600,1,0)</f>
        <v/>
      </c>
      <c r="P2513" s="25">
        <f>IF(H2513&gt;0,J2513,"")</f>
        <v/>
      </c>
      <c r="Q2513" s="25">
        <f>TEXT(A2513,"YYYY-MM-DD HH")</f>
        <v/>
      </c>
      <c r="R2513" s="25">
        <f>COUNTIF($Q$2:$Q$5295,Q2513)</f>
        <v/>
      </c>
      <c r="S2513" s="25">
        <f>IF(R2513&lt;=2,"1-2",IF(R2513&lt;=5,"3-5",IF(R2513&lt;=10,"6-10","11+")))</f>
        <v/>
      </c>
    </row>
    <row r="2514">
      <c r="A2514" s="39" t="n">
        <v>46185.64790509259</v>
      </c>
      <c r="B2514" s="25">
        <f>TEXT(A2514,"YYYY-MM")</f>
        <v/>
      </c>
      <c r="C2514" s="25">
        <f>TEXT(A2514,"MMM-YYYY")</f>
        <v/>
      </c>
      <c r="D2514" s="40">
        <f>INT(A2514)-WEEKDAY(A2514,2)+1</f>
        <v/>
      </c>
      <c r="E2514" s="25" t="inlineStr">
        <is>
          <t>csaha</t>
        </is>
      </c>
      <c r="F2514" s="25" t="n">
        <v>122807</v>
      </c>
      <c r="G2514" s="25" t="n">
        <v>3</v>
      </c>
      <c r="H2514" s="25" t="n">
        <v>15</v>
      </c>
      <c r="I2514" s="25" t="inlineStr">
        <is>
          <t>4 minute(s) and 18 second(s)</t>
        </is>
      </c>
      <c r="J2514" s="25">
        <f>IFERROR(VALUE(TRIM(LEFT(I2514,FIND("minute",I2514)-1)))*60,0)+IFERROR(VALUE(SUBSTITUTE(MID(I2514,IFERROR(FIND("and",I2514)+3,1),20),"second(s)","")),0)</f>
        <v/>
      </c>
      <c r="K2514" s="41">
        <f>J2514/60</f>
        <v/>
      </c>
      <c r="L2514" s="41">
        <f>IFERROR(J2514/H2514,"")</f>
        <v/>
      </c>
      <c r="M2514" s="25" t="inlineStr">
        <is>
          <t>2.5.12</t>
        </is>
      </c>
      <c r="N2514" s="25">
        <f>IF(J2514&gt;300,1,0)</f>
        <v/>
      </c>
      <c r="O2514" s="25">
        <f>IF(J2514&gt;600,1,0)</f>
        <v/>
      </c>
      <c r="P2514" s="25">
        <f>IF(H2514&gt;0,J2514,"")</f>
        <v/>
      </c>
      <c r="Q2514" s="25">
        <f>TEXT(A2514,"YYYY-MM-DD HH")</f>
        <v/>
      </c>
      <c r="R2514" s="25">
        <f>COUNTIF($Q$2:$Q$5295,Q2514)</f>
        <v/>
      </c>
      <c r="S2514" s="25">
        <f>IF(R2514&lt;=2,"1-2",IF(R2514&lt;=5,"3-5",IF(R2514&lt;=10,"6-10","11+")))</f>
        <v/>
      </c>
    </row>
    <row r="2515">
      <c r="A2515" s="39" t="n">
        <v>46185.65777777778</v>
      </c>
      <c r="B2515" s="25">
        <f>TEXT(A2515,"YYYY-MM")</f>
        <v/>
      </c>
      <c r="C2515" s="25">
        <f>TEXT(A2515,"MMM-YYYY")</f>
        <v/>
      </c>
      <c r="D2515" s="40">
        <f>INT(A2515)-WEEKDAY(A2515,2)+1</f>
        <v/>
      </c>
      <c r="E2515" s="25" t="inlineStr">
        <is>
          <t>emishra</t>
        </is>
      </c>
      <c r="F2515" s="25" t="n">
        <v>123908</v>
      </c>
      <c r="G2515" s="25" t="n">
        <v>5</v>
      </c>
      <c r="H2515" s="25" t="n">
        <v>19</v>
      </c>
      <c r="I2515" s="25" t="inlineStr">
        <is>
          <t>4 minute(s) and 36 second(s)</t>
        </is>
      </c>
      <c r="J2515" s="25">
        <f>IFERROR(VALUE(TRIM(LEFT(I2515,FIND("minute",I2515)-1)))*60,0)+IFERROR(VALUE(SUBSTITUTE(MID(I2515,IFERROR(FIND("and",I2515)+3,1),20),"second(s)","")),0)</f>
        <v/>
      </c>
      <c r="K2515" s="41">
        <f>J2515/60</f>
        <v/>
      </c>
      <c r="L2515" s="41">
        <f>IFERROR(J2515/H2515,"")</f>
        <v/>
      </c>
      <c r="M2515" s="25" t="inlineStr">
        <is>
          <t>2.5.12</t>
        </is>
      </c>
      <c r="N2515" s="25">
        <f>IF(J2515&gt;300,1,0)</f>
        <v/>
      </c>
      <c r="O2515" s="25">
        <f>IF(J2515&gt;600,1,0)</f>
        <v/>
      </c>
      <c r="P2515" s="25">
        <f>IF(H2515&gt;0,J2515,"")</f>
        <v/>
      </c>
      <c r="Q2515" s="25">
        <f>TEXT(A2515,"YYYY-MM-DD HH")</f>
        <v/>
      </c>
      <c r="R2515" s="25">
        <f>COUNTIF($Q$2:$Q$5295,Q2515)</f>
        <v/>
      </c>
      <c r="S2515" s="25">
        <f>IF(R2515&lt;=2,"1-2",IF(R2515&lt;=5,"3-5",IF(R2515&lt;=10,"6-10","11+")))</f>
        <v/>
      </c>
    </row>
    <row r="2516">
      <c r="A2516" s="39" t="n">
        <v>46185.67267361111</v>
      </c>
      <c r="B2516" s="25">
        <f>TEXT(A2516,"YYYY-MM")</f>
        <v/>
      </c>
      <c r="C2516" s="25">
        <f>TEXT(A2516,"MMM-YYYY")</f>
        <v/>
      </c>
      <c r="D2516" s="40">
        <f>INT(A2516)-WEEKDAY(A2516,2)+1</f>
        <v/>
      </c>
      <c r="E2516" s="25" t="inlineStr">
        <is>
          <t>psingh</t>
        </is>
      </c>
      <c r="F2516" s="25" t="n">
        <v>123560</v>
      </c>
      <c r="G2516" s="25" t="n">
        <v>2</v>
      </c>
      <c r="H2516" s="25" t="n">
        <v>12</v>
      </c>
      <c r="I2516" s="25" t="inlineStr">
        <is>
          <t>4 minute(s) and 52 second(s)</t>
        </is>
      </c>
      <c r="J2516" s="25">
        <f>IFERROR(VALUE(TRIM(LEFT(I2516,FIND("minute",I2516)-1)))*60,0)+IFERROR(VALUE(SUBSTITUTE(MID(I2516,IFERROR(FIND("and",I2516)+3,1),20),"second(s)","")),0)</f>
        <v/>
      </c>
      <c r="K2516" s="41">
        <f>J2516/60</f>
        <v/>
      </c>
      <c r="L2516" s="41">
        <f>IFERROR(J2516/H2516,"")</f>
        <v/>
      </c>
      <c r="M2516" s="25" t="inlineStr">
        <is>
          <t>2.5.12</t>
        </is>
      </c>
      <c r="N2516" s="25">
        <f>IF(J2516&gt;300,1,0)</f>
        <v/>
      </c>
      <c r="O2516" s="25">
        <f>IF(J2516&gt;600,1,0)</f>
        <v/>
      </c>
      <c r="P2516" s="25">
        <f>IF(H2516&gt;0,J2516,"")</f>
        <v/>
      </c>
      <c r="Q2516" s="25">
        <f>TEXT(A2516,"YYYY-MM-DD HH")</f>
        <v/>
      </c>
      <c r="R2516" s="25">
        <f>COUNTIF($Q$2:$Q$5295,Q2516)</f>
        <v/>
      </c>
      <c r="S2516" s="25">
        <f>IF(R2516&lt;=2,"1-2",IF(R2516&lt;=5,"3-5",IF(R2516&lt;=10,"6-10","11+")))</f>
        <v/>
      </c>
    </row>
    <row r="2517">
      <c r="A2517" s="39" t="n">
        <v>46185.68277777778</v>
      </c>
      <c r="B2517" s="25">
        <f>TEXT(A2517,"YYYY-MM")</f>
        <v/>
      </c>
      <c r="C2517" s="25">
        <f>TEXT(A2517,"MMM-YYYY")</f>
        <v/>
      </c>
      <c r="D2517" s="40">
        <f>INT(A2517)-WEEKDAY(A2517,2)+1</f>
        <v/>
      </c>
      <c r="E2517" s="25" t="inlineStr">
        <is>
          <t>hsindwani</t>
        </is>
      </c>
      <c r="F2517" s="25" t="n">
        <v>123896</v>
      </c>
      <c r="G2517" s="25" t="n">
        <v>1</v>
      </c>
      <c r="H2517" s="25" t="n">
        <v>5</v>
      </c>
      <c r="I2517" s="25" t="inlineStr">
        <is>
          <t>4 minute(s) and 10 second(s)</t>
        </is>
      </c>
      <c r="J2517" s="25">
        <f>IFERROR(VALUE(TRIM(LEFT(I2517,FIND("minute",I2517)-1)))*60,0)+IFERROR(VALUE(SUBSTITUTE(MID(I2517,IFERROR(FIND("and",I2517)+3,1),20),"second(s)","")),0)</f>
        <v/>
      </c>
      <c r="K2517" s="41">
        <f>J2517/60</f>
        <v/>
      </c>
      <c r="L2517" s="41">
        <f>IFERROR(J2517/H2517,"")</f>
        <v/>
      </c>
      <c r="M2517" s="25" t="inlineStr">
        <is>
          <t>2.5.12</t>
        </is>
      </c>
      <c r="N2517" s="25">
        <f>IF(J2517&gt;300,1,0)</f>
        <v/>
      </c>
      <c r="O2517" s="25">
        <f>IF(J2517&gt;600,1,0)</f>
        <v/>
      </c>
      <c r="P2517" s="25">
        <f>IF(H2517&gt;0,J2517,"")</f>
        <v/>
      </c>
      <c r="Q2517" s="25">
        <f>TEXT(A2517,"YYYY-MM-DD HH")</f>
        <v/>
      </c>
      <c r="R2517" s="25">
        <f>COUNTIF($Q$2:$Q$5295,Q2517)</f>
        <v/>
      </c>
      <c r="S2517" s="25">
        <f>IF(R2517&lt;=2,"1-2",IF(R2517&lt;=5,"3-5",IF(R2517&lt;=10,"6-10","11+")))</f>
        <v/>
      </c>
    </row>
    <row r="2518">
      <c r="A2518" s="39" t="n">
        <v>46185.69445601852</v>
      </c>
      <c r="B2518" s="25">
        <f>TEXT(A2518,"YYYY-MM")</f>
        <v/>
      </c>
      <c r="C2518" s="25">
        <f>TEXT(A2518,"MMM-YYYY")</f>
        <v/>
      </c>
      <c r="D2518" s="40">
        <f>INT(A2518)-WEEKDAY(A2518,2)+1</f>
        <v/>
      </c>
      <c r="E2518" s="25" t="inlineStr">
        <is>
          <t>ssaha</t>
        </is>
      </c>
      <c r="F2518" s="25" t="n">
        <v>123892</v>
      </c>
      <c r="G2518" s="25" t="n">
        <v>4</v>
      </c>
      <c r="H2518" s="25" t="n">
        <v>10</v>
      </c>
      <c r="I2518" s="25" t="inlineStr">
        <is>
          <t>2 minute(s) and 31 second(s)</t>
        </is>
      </c>
      <c r="J2518" s="25">
        <f>IFERROR(VALUE(TRIM(LEFT(I2518,FIND("minute",I2518)-1)))*60,0)+IFERROR(VALUE(SUBSTITUTE(MID(I2518,IFERROR(FIND("and",I2518)+3,1),20),"second(s)","")),0)</f>
        <v/>
      </c>
      <c r="K2518" s="41">
        <f>J2518/60</f>
        <v/>
      </c>
      <c r="L2518" s="41">
        <f>IFERROR(J2518/H2518,"")</f>
        <v/>
      </c>
      <c r="M2518" s="25" t="inlineStr">
        <is>
          <t>2.5.12</t>
        </is>
      </c>
      <c r="N2518" s="25">
        <f>IF(J2518&gt;300,1,0)</f>
        <v/>
      </c>
      <c r="O2518" s="25">
        <f>IF(J2518&gt;600,1,0)</f>
        <v/>
      </c>
      <c r="P2518" s="25">
        <f>IF(H2518&gt;0,J2518,"")</f>
        <v/>
      </c>
      <c r="Q2518" s="25">
        <f>TEXT(A2518,"YYYY-MM-DD HH")</f>
        <v/>
      </c>
      <c r="R2518" s="25">
        <f>COUNTIF($Q$2:$Q$5295,Q2518)</f>
        <v/>
      </c>
      <c r="S2518" s="25">
        <f>IF(R2518&lt;=2,"1-2",IF(R2518&lt;=5,"3-5",IF(R2518&lt;=10,"6-10","11+")))</f>
        <v/>
      </c>
    </row>
    <row r="2519">
      <c r="A2519" s="39" t="n">
        <v>46185.70982638889</v>
      </c>
      <c r="B2519" s="25">
        <f>TEXT(A2519,"YYYY-MM")</f>
        <v/>
      </c>
      <c r="C2519" s="25">
        <f>TEXT(A2519,"MMM-YYYY")</f>
        <v/>
      </c>
      <c r="D2519" s="40">
        <f>INT(A2519)-WEEKDAY(A2519,2)+1</f>
        <v/>
      </c>
      <c r="E2519" s="25" t="inlineStr">
        <is>
          <t>emishra</t>
        </is>
      </c>
      <c r="F2519" s="25" t="n">
        <v>123909</v>
      </c>
      <c r="G2519" s="25" t="n">
        <v>5</v>
      </c>
      <c r="H2519" s="25" t="n">
        <v>19</v>
      </c>
      <c r="I2519" s="25" t="inlineStr">
        <is>
          <t>3 minute(s) and 31 second(s)</t>
        </is>
      </c>
      <c r="J2519" s="25">
        <f>IFERROR(VALUE(TRIM(LEFT(I2519,FIND("minute",I2519)-1)))*60,0)+IFERROR(VALUE(SUBSTITUTE(MID(I2519,IFERROR(FIND("and",I2519)+3,1),20),"second(s)","")),0)</f>
        <v/>
      </c>
      <c r="K2519" s="41">
        <f>J2519/60</f>
        <v/>
      </c>
      <c r="L2519" s="41">
        <f>IFERROR(J2519/H2519,"")</f>
        <v/>
      </c>
      <c r="M2519" s="25" t="inlineStr">
        <is>
          <t>2.5.12</t>
        </is>
      </c>
      <c r="N2519" s="25">
        <f>IF(J2519&gt;300,1,0)</f>
        <v/>
      </c>
      <c r="O2519" s="25">
        <f>IF(J2519&gt;600,1,0)</f>
        <v/>
      </c>
      <c r="P2519" s="25">
        <f>IF(H2519&gt;0,J2519,"")</f>
        <v/>
      </c>
      <c r="Q2519" s="25">
        <f>TEXT(A2519,"YYYY-MM-DD HH")</f>
        <v/>
      </c>
      <c r="R2519" s="25">
        <f>COUNTIF($Q$2:$Q$5295,Q2519)</f>
        <v/>
      </c>
      <c r="S2519" s="25">
        <f>IF(R2519&lt;=2,"1-2",IF(R2519&lt;=5,"3-5",IF(R2519&lt;=10,"6-10","11+")))</f>
        <v/>
      </c>
    </row>
    <row r="2520">
      <c r="A2520" s="39" t="n">
        <v>46185.73528935185</v>
      </c>
      <c r="B2520" s="25">
        <f>TEXT(A2520,"YYYY-MM")</f>
        <v/>
      </c>
      <c r="C2520" s="25">
        <f>TEXT(A2520,"MMM-YYYY")</f>
        <v/>
      </c>
      <c r="D2520" s="40">
        <f>INT(A2520)-WEEKDAY(A2520,2)+1</f>
        <v/>
      </c>
      <c r="E2520" s="25" t="inlineStr">
        <is>
          <t>rsingh</t>
        </is>
      </c>
      <c r="F2520" s="25" t="n">
        <v>121765</v>
      </c>
      <c r="G2520" s="25" t="n">
        <v>4</v>
      </c>
      <c r="H2520" s="25" t="n">
        <v>22</v>
      </c>
      <c r="I2520" s="25" t="inlineStr">
        <is>
          <t>10 minute(s) and 33 second(s)</t>
        </is>
      </c>
      <c r="J2520" s="25">
        <f>IFERROR(VALUE(TRIM(LEFT(I2520,FIND("minute",I2520)-1)))*60,0)+IFERROR(VALUE(SUBSTITUTE(MID(I2520,IFERROR(FIND("and",I2520)+3,1),20),"second(s)","")),0)</f>
        <v/>
      </c>
      <c r="K2520" s="41">
        <f>J2520/60</f>
        <v/>
      </c>
      <c r="L2520" s="41">
        <f>IFERROR(J2520/H2520,"")</f>
        <v/>
      </c>
      <c r="M2520" s="25" t="inlineStr">
        <is>
          <t>2.5.12</t>
        </is>
      </c>
      <c r="N2520" s="25">
        <f>IF(J2520&gt;300,1,0)</f>
        <v/>
      </c>
      <c r="O2520" s="25">
        <f>IF(J2520&gt;600,1,0)</f>
        <v/>
      </c>
      <c r="P2520" s="25">
        <f>IF(H2520&gt;0,J2520,"")</f>
        <v/>
      </c>
      <c r="Q2520" s="25">
        <f>TEXT(A2520,"YYYY-MM-DD HH")</f>
        <v/>
      </c>
      <c r="R2520" s="25">
        <f>COUNTIF($Q$2:$Q$5295,Q2520)</f>
        <v/>
      </c>
      <c r="S2520" s="25">
        <f>IF(R2520&lt;=2,"1-2",IF(R2520&lt;=5,"3-5",IF(R2520&lt;=10,"6-10","11+")))</f>
        <v/>
      </c>
    </row>
    <row r="2521">
      <c r="A2521" s="39" t="n">
        <v>46185.7503125</v>
      </c>
      <c r="B2521" s="25">
        <f>TEXT(A2521,"YYYY-MM")</f>
        <v/>
      </c>
      <c r="C2521" s="25">
        <f>TEXT(A2521,"MMM-YYYY")</f>
        <v/>
      </c>
      <c r="D2521" s="40">
        <f>INT(A2521)-WEEKDAY(A2521,2)+1</f>
        <v/>
      </c>
      <c r="E2521" s="25" t="inlineStr">
        <is>
          <t>psingh</t>
        </is>
      </c>
      <c r="F2521" s="25" t="n">
        <v>123557</v>
      </c>
      <c r="G2521" s="25" t="n">
        <v>2</v>
      </c>
      <c r="H2521" s="25" t="n">
        <v>12</v>
      </c>
      <c r="I2521" s="25" t="inlineStr">
        <is>
          <t>4 minute(s) and 4 second(s)</t>
        </is>
      </c>
      <c r="J2521" s="25">
        <f>IFERROR(VALUE(TRIM(LEFT(I2521,FIND("minute",I2521)-1)))*60,0)+IFERROR(VALUE(SUBSTITUTE(MID(I2521,IFERROR(FIND("and",I2521)+3,1),20),"second(s)","")),0)</f>
        <v/>
      </c>
      <c r="K2521" s="41">
        <f>J2521/60</f>
        <v/>
      </c>
      <c r="L2521" s="41">
        <f>IFERROR(J2521/H2521,"")</f>
        <v/>
      </c>
      <c r="M2521" s="25" t="inlineStr">
        <is>
          <t>2.5.12</t>
        </is>
      </c>
      <c r="N2521" s="25">
        <f>IF(J2521&gt;300,1,0)</f>
        <v/>
      </c>
      <c r="O2521" s="25">
        <f>IF(J2521&gt;600,1,0)</f>
        <v/>
      </c>
      <c r="P2521" s="25">
        <f>IF(H2521&gt;0,J2521,"")</f>
        <v/>
      </c>
      <c r="Q2521" s="25">
        <f>TEXT(A2521,"YYYY-MM-DD HH")</f>
        <v/>
      </c>
      <c r="R2521" s="25">
        <f>COUNTIF($Q$2:$Q$5295,Q2521)</f>
        <v/>
      </c>
      <c r="S2521" s="25">
        <f>IF(R2521&lt;=2,"1-2",IF(R2521&lt;=5,"3-5",IF(R2521&lt;=10,"6-10","11+")))</f>
        <v/>
      </c>
    </row>
    <row r="2522">
      <c r="A2522" s="39" t="n">
        <v>46185.81590277778</v>
      </c>
      <c r="B2522" s="25">
        <f>TEXT(A2522,"YYYY-MM")</f>
        <v/>
      </c>
      <c r="C2522" s="25">
        <f>TEXT(A2522,"MMM-YYYY")</f>
        <v/>
      </c>
      <c r="D2522" s="40">
        <f>INT(A2522)-WEEKDAY(A2522,2)+1</f>
        <v/>
      </c>
      <c r="E2522" s="25" t="inlineStr">
        <is>
          <t>rsingh</t>
        </is>
      </c>
      <c r="F2522" s="25" t="n">
        <v>123598</v>
      </c>
      <c r="G2522" s="25" t="n">
        <v>2</v>
      </c>
      <c r="H2522" s="25" t="n">
        <v>13</v>
      </c>
      <c r="I2522" s="25" t="inlineStr">
        <is>
          <t>8 minute(s) and 18 second(s)</t>
        </is>
      </c>
      <c r="J2522" s="25">
        <f>IFERROR(VALUE(TRIM(LEFT(I2522,FIND("minute",I2522)-1)))*60,0)+IFERROR(VALUE(SUBSTITUTE(MID(I2522,IFERROR(FIND("and",I2522)+3,1),20),"second(s)","")),0)</f>
        <v/>
      </c>
      <c r="K2522" s="41">
        <f>J2522/60</f>
        <v/>
      </c>
      <c r="L2522" s="41">
        <f>IFERROR(J2522/H2522,"")</f>
        <v/>
      </c>
      <c r="M2522" s="25" t="inlineStr">
        <is>
          <t>2.5.12</t>
        </is>
      </c>
      <c r="N2522" s="25">
        <f>IF(J2522&gt;300,1,0)</f>
        <v/>
      </c>
      <c r="O2522" s="25">
        <f>IF(J2522&gt;600,1,0)</f>
        <v/>
      </c>
      <c r="P2522" s="25">
        <f>IF(H2522&gt;0,J2522,"")</f>
        <v/>
      </c>
      <c r="Q2522" s="25">
        <f>TEXT(A2522,"YYYY-MM-DD HH")</f>
        <v/>
      </c>
      <c r="R2522" s="25">
        <f>COUNTIF($Q$2:$Q$5295,Q2522)</f>
        <v/>
      </c>
      <c r="S2522" s="25">
        <f>IF(R2522&lt;=2,"1-2",IF(R2522&lt;=5,"3-5",IF(R2522&lt;=10,"6-10","11+")))</f>
        <v/>
      </c>
    </row>
    <row r="2523">
      <c r="A2523" s="39" t="n">
        <v>46185.85714120371</v>
      </c>
      <c r="B2523" s="25">
        <f>TEXT(A2523,"YYYY-MM")</f>
        <v/>
      </c>
      <c r="C2523" s="25">
        <f>TEXT(A2523,"MMM-YYYY")</f>
        <v/>
      </c>
      <c r="D2523" s="40">
        <f>INT(A2523)-WEEKDAY(A2523,2)+1</f>
        <v/>
      </c>
      <c r="E2523" s="25" t="inlineStr">
        <is>
          <t>rsingh</t>
        </is>
      </c>
      <c r="F2523" s="25" t="n">
        <v>121850</v>
      </c>
      <c r="G2523" s="25" t="n">
        <v>4</v>
      </c>
      <c r="H2523" s="25" t="n">
        <v>20</v>
      </c>
      <c r="I2523" s="25" t="inlineStr">
        <is>
          <t>10 minute(s) and 42 second(s)</t>
        </is>
      </c>
      <c r="J2523" s="25">
        <f>IFERROR(VALUE(TRIM(LEFT(I2523,FIND("minute",I2523)-1)))*60,0)+IFERROR(VALUE(SUBSTITUTE(MID(I2523,IFERROR(FIND("and",I2523)+3,1),20),"second(s)","")),0)</f>
        <v/>
      </c>
      <c r="K2523" s="41">
        <f>J2523/60</f>
        <v/>
      </c>
      <c r="L2523" s="41">
        <f>IFERROR(J2523/H2523,"")</f>
        <v/>
      </c>
      <c r="M2523" s="25" t="inlineStr">
        <is>
          <t>2.5.12</t>
        </is>
      </c>
      <c r="N2523" s="25">
        <f>IF(J2523&gt;300,1,0)</f>
        <v/>
      </c>
      <c r="O2523" s="25">
        <f>IF(J2523&gt;600,1,0)</f>
        <v/>
      </c>
      <c r="P2523" s="25">
        <f>IF(H2523&gt;0,J2523,"")</f>
        <v/>
      </c>
      <c r="Q2523" s="25">
        <f>TEXT(A2523,"YYYY-MM-DD HH")</f>
        <v/>
      </c>
      <c r="R2523" s="25">
        <f>COUNTIF($Q$2:$Q$5295,Q2523)</f>
        <v/>
      </c>
      <c r="S2523" s="25">
        <f>IF(R2523&lt;=2,"1-2",IF(R2523&lt;=5,"3-5",IF(R2523&lt;=10,"6-10","11+")))</f>
        <v/>
      </c>
    </row>
    <row r="2524">
      <c r="A2524" s="39" t="n">
        <v>46185.8903125</v>
      </c>
      <c r="B2524" s="25">
        <f>TEXT(A2524,"YYYY-MM")</f>
        <v/>
      </c>
      <c r="C2524" s="25">
        <f>TEXT(A2524,"MMM-YYYY")</f>
        <v/>
      </c>
      <c r="D2524" s="40">
        <f>INT(A2524)-WEEKDAY(A2524,2)+1</f>
        <v/>
      </c>
      <c r="E2524" s="25" t="inlineStr">
        <is>
          <t>psingh</t>
        </is>
      </c>
      <c r="F2524" s="25" t="n">
        <v>123573</v>
      </c>
      <c r="G2524" s="25" t="n">
        <v>2</v>
      </c>
      <c r="H2524" s="25" t="n">
        <v>12</v>
      </c>
      <c r="I2524" s="25" t="inlineStr">
        <is>
          <t>5 minute(s) and 30 second(s)</t>
        </is>
      </c>
      <c r="J2524" s="25">
        <f>IFERROR(VALUE(TRIM(LEFT(I2524,FIND("minute",I2524)-1)))*60,0)+IFERROR(VALUE(SUBSTITUTE(MID(I2524,IFERROR(FIND("and",I2524)+3,1),20),"second(s)","")),0)</f>
        <v/>
      </c>
      <c r="K2524" s="41">
        <f>J2524/60</f>
        <v/>
      </c>
      <c r="L2524" s="41">
        <f>IFERROR(J2524/H2524,"")</f>
        <v/>
      </c>
      <c r="M2524" s="25" t="inlineStr">
        <is>
          <t>2.5.12</t>
        </is>
      </c>
      <c r="N2524" s="25">
        <f>IF(J2524&gt;300,1,0)</f>
        <v/>
      </c>
      <c r="O2524" s="25">
        <f>IF(J2524&gt;600,1,0)</f>
        <v/>
      </c>
      <c r="P2524" s="25">
        <f>IF(H2524&gt;0,J2524,"")</f>
        <v/>
      </c>
      <c r="Q2524" s="25">
        <f>TEXT(A2524,"YYYY-MM-DD HH")</f>
        <v/>
      </c>
      <c r="R2524" s="25">
        <f>COUNTIF($Q$2:$Q$5295,Q2524)</f>
        <v/>
      </c>
      <c r="S2524" s="25">
        <f>IF(R2524&lt;=2,"1-2",IF(R2524&lt;=5,"3-5",IF(R2524&lt;=10,"6-10","11+")))</f>
        <v/>
      </c>
    </row>
    <row r="2525">
      <c r="A2525" s="39" t="n">
        <v>46185.91239583334</v>
      </c>
      <c r="B2525" s="25">
        <f>TEXT(A2525,"YYYY-MM")</f>
        <v/>
      </c>
      <c r="C2525" s="25">
        <f>TEXT(A2525,"MMM-YYYY")</f>
        <v/>
      </c>
      <c r="D2525" s="40">
        <f>INT(A2525)-WEEKDAY(A2525,2)+1</f>
        <v/>
      </c>
      <c r="E2525" s="25" t="inlineStr">
        <is>
          <t>ssrinivasan</t>
        </is>
      </c>
      <c r="F2525" s="25" t="n">
        <v>124647</v>
      </c>
      <c r="G2525" s="25" t="n">
        <v>3</v>
      </c>
      <c r="H2525" s="25" t="n">
        <v>7</v>
      </c>
      <c r="I2525" s="25" t="inlineStr">
        <is>
          <t>4 minute(s) and 24 second(s)</t>
        </is>
      </c>
      <c r="J2525" s="25">
        <f>IFERROR(VALUE(TRIM(LEFT(I2525,FIND("minute",I2525)-1)))*60,0)+IFERROR(VALUE(SUBSTITUTE(MID(I2525,IFERROR(FIND("and",I2525)+3,1),20),"second(s)","")),0)</f>
        <v/>
      </c>
      <c r="K2525" s="41">
        <f>J2525/60</f>
        <v/>
      </c>
      <c r="L2525" s="41">
        <f>IFERROR(J2525/H2525,"")</f>
        <v/>
      </c>
      <c r="M2525" s="25" t="inlineStr">
        <is>
          <t>2.5.12</t>
        </is>
      </c>
      <c r="N2525" s="25">
        <f>IF(J2525&gt;300,1,0)</f>
        <v/>
      </c>
      <c r="O2525" s="25">
        <f>IF(J2525&gt;600,1,0)</f>
        <v/>
      </c>
      <c r="P2525" s="25">
        <f>IF(H2525&gt;0,J2525,"")</f>
        <v/>
      </c>
      <c r="Q2525" s="25">
        <f>TEXT(A2525,"YYYY-MM-DD HH")</f>
        <v/>
      </c>
      <c r="R2525" s="25">
        <f>COUNTIF($Q$2:$Q$5295,Q2525)</f>
        <v/>
      </c>
      <c r="S2525" s="25">
        <f>IF(R2525&lt;=2,"1-2",IF(R2525&lt;=5,"3-5",IF(R2525&lt;=10,"6-10","11+")))</f>
        <v/>
      </c>
    </row>
    <row r="2526">
      <c r="A2526" s="39" t="n">
        <v>46185.95152777778</v>
      </c>
      <c r="B2526" s="25">
        <f>TEXT(A2526,"YYYY-MM")</f>
        <v/>
      </c>
      <c r="C2526" s="25">
        <f>TEXT(A2526,"MMM-YYYY")</f>
        <v/>
      </c>
      <c r="D2526" s="40">
        <f>INT(A2526)-WEEKDAY(A2526,2)+1</f>
        <v/>
      </c>
      <c r="E2526" s="25" t="inlineStr">
        <is>
          <t>psingh</t>
        </is>
      </c>
      <c r="F2526" s="25" t="n">
        <v>123574</v>
      </c>
      <c r="G2526" s="25" t="n">
        <v>1</v>
      </c>
      <c r="H2526" s="25" t="n">
        <v>7</v>
      </c>
      <c r="I2526" s="25" t="inlineStr">
        <is>
          <t>4 minute(s) and 22 second(s)</t>
        </is>
      </c>
      <c r="J2526" s="25">
        <f>IFERROR(VALUE(TRIM(LEFT(I2526,FIND("minute",I2526)-1)))*60,0)+IFERROR(VALUE(SUBSTITUTE(MID(I2526,IFERROR(FIND("and",I2526)+3,1),20),"second(s)","")),0)</f>
        <v/>
      </c>
      <c r="K2526" s="41">
        <f>J2526/60</f>
        <v/>
      </c>
      <c r="L2526" s="41">
        <f>IFERROR(J2526/H2526,"")</f>
        <v/>
      </c>
      <c r="M2526" s="25" t="inlineStr">
        <is>
          <t>2.5.12</t>
        </is>
      </c>
      <c r="N2526" s="25">
        <f>IF(J2526&gt;300,1,0)</f>
        <v/>
      </c>
      <c r="O2526" s="25">
        <f>IF(J2526&gt;600,1,0)</f>
        <v/>
      </c>
      <c r="P2526" s="25">
        <f>IF(H2526&gt;0,J2526,"")</f>
        <v/>
      </c>
      <c r="Q2526" s="25">
        <f>TEXT(A2526,"YYYY-MM-DD HH")</f>
        <v/>
      </c>
      <c r="R2526" s="25">
        <f>COUNTIF($Q$2:$Q$5295,Q2526)</f>
        <v/>
      </c>
      <c r="S2526" s="25">
        <f>IF(R2526&lt;=2,"1-2",IF(R2526&lt;=5,"3-5",IF(R2526&lt;=10,"6-10","11+")))</f>
        <v/>
      </c>
    </row>
    <row r="2527">
      <c r="A2527" s="39" t="n">
        <v>46185.99700231481</v>
      </c>
      <c r="B2527" s="25">
        <f>TEXT(A2527,"YYYY-MM")</f>
        <v/>
      </c>
      <c r="C2527" s="25">
        <f>TEXT(A2527,"MMM-YYYY")</f>
        <v/>
      </c>
      <c r="D2527" s="40">
        <f>INT(A2527)-WEEKDAY(A2527,2)+1</f>
        <v/>
      </c>
      <c r="E2527" s="25" t="inlineStr">
        <is>
          <t>psingh</t>
        </is>
      </c>
      <c r="F2527" s="25" t="n">
        <v>123561</v>
      </c>
      <c r="G2527" s="25" t="n">
        <v>1</v>
      </c>
      <c r="H2527" s="25" t="n">
        <v>5</v>
      </c>
      <c r="I2527" s="25" t="inlineStr">
        <is>
          <t>1 minute(s) and 45 second(s)</t>
        </is>
      </c>
      <c r="J2527" s="25">
        <f>IFERROR(VALUE(TRIM(LEFT(I2527,FIND("minute",I2527)-1)))*60,0)+IFERROR(VALUE(SUBSTITUTE(MID(I2527,IFERROR(FIND("and",I2527)+3,1),20),"second(s)","")),0)</f>
        <v/>
      </c>
      <c r="K2527" s="41">
        <f>J2527/60</f>
        <v/>
      </c>
      <c r="L2527" s="41">
        <f>IFERROR(J2527/H2527,"")</f>
        <v/>
      </c>
      <c r="M2527" s="25" t="inlineStr">
        <is>
          <t>2.5.12</t>
        </is>
      </c>
      <c r="N2527" s="25">
        <f>IF(J2527&gt;300,1,0)</f>
        <v/>
      </c>
      <c r="O2527" s="25">
        <f>IF(J2527&gt;600,1,0)</f>
        <v/>
      </c>
      <c r="P2527" s="25">
        <f>IF(H2527&gt;0,J2527,"")</f>
        <v/>
      </c>
      <c r="Q2527" s="25">
        <f>TEXT(A2527,"YYYY-MM-DD HH")</f>
        <v/>
      </c>
      <c r="R2527" s="25">
        <f>COUNTIF($Q$2:$Q$5295,Q2527)</f>
        <v/>
      </c>
      <c r="S2527" s="25">
        <f>IF(R2527&lt;=2,"1-2",IF(R2527&lt;=5,"3-5",IF(R2527&lt;=10,"6-10","11+")))</f>
        <v/>
      </c>
    </row>
    <row r="2528">
      <c r="A2528" s="39" t="n">
        <v>46186.37850694444</v>
      </c>
      <c r="B2528" s="25">
        <f>TEXT(A2528,"YYYY-MM")</f>
        <v/>
      </c>
      <c r="C2528" s="25">
        <f>TEXT(A2528,"MMM-YYYY")</f>
        <v/>
      </c>
      <c r="D2528" s="40">
        <f>INT(A2528)-WEEKDAY(A2528,2)+1</f>
        <v/>
      </c>
      <c r="E2528" s="25" t="inlineStr">
        <is>
          <t>hsindwani</t>
        </is>
      </c>
      <c r="F2528" s="25" t="n">
        <v>123897</v>
      </c>
      <c r="G2528" s="25" t="n">
        <v>2</v>
      </c>
      <c r="H2528" s="25" t="n">
        <v>10</v>
      </c>
      <c r="I2528" s="25" t="inlineStr">
        <is>
          <t>6 minute(s) and 3 second(s)</t>
        </is>
      </c>
      <c r="J2528" s="25">
        <f>IFERROR(VALUE(TRIM(LEFT(I2528,FIND("minute",I2528)-1)))*60,0)+IFERROR(VALUE(SUBSTITUTE(MID(I2528,IFERROR(FIND("and",I2528)+3,1),20),"second(s)","")),0)</f>
        <v/>
      </c>
      <c r="K2528" s="41">
        <f>J2528/60</f>
        <v/>
      </c>
      <c r="L2528" s="41">
        <f>IFERROR(J2528/H2528,"")</f>
        <v/>
      </c>
      <c r="M2528" s="25" t="inlineStr">
        <is>
          <t>2.5.12</t>
        </is>
      </c>
      <c r="N2528" s="25">
        <f>IF(J2528&gt;300,1,0)</f>
        <v/>
      </c>
      <c r="O2528" s="25">
        <f>IF(J2528&gt;600,1,0)</f>
        <v/>
      </c>
      <c r="P2528" s="25">
        <f>IF(H2528&gt;0,J2528,"")</f>
        <v/>
      </c>
      <c r="Q2528" s="25">
        <f>TEXT(A2528,"YYYY-MM-DD HH")</f>
        <v/>
      </c>
      <c r="R2528" s="25">
        <f>COUNTIF($Q$2:$Q$5295,Q2528)</f>
        <v/>
      </c>
      <c r="S2528" s="25">
        <f>IF(R2528&lt;=2,"1-2",IF(R2528&lt;=5,"3-5",IF(R2528&lt;=10,"6-10","11+")))</f>
        <v/>
      </c>
    </row>
    <row r="2529">
      <c r="A2529" s="39" t="n">
        <v>46186.4814699074</v>
      </c>
      <c r="B2529" s="25">
        <f>TEXT(A2529,"YYYY-MM")</f>
        <v/>
      </c>
      <c r="C2529" s="25">
        <f>TEXT(A2529,"MMM-YYYY")</f>
        <v/>
      </c>
      <c r="D2529" s="40">
        <f>INT(A2529)-WEEKDAY(A2529,2)+1</f>
        <v/>
      </c>
      <c r="E2529" s="25" t="inlineStr">
        <is>
          <t>hsindwani</t>
        </is>
      </c>
      <c r="F2529" s="25" t="n">
        <v>122861</v>
      </c>
      <c r="G2529" s="25" t="n">
        <v>1</v>
      </c>
      <c r="H2529" s="25" t="n">
        <v>7</v>
      </c>
      <c r="I2529" s="25" t="inlineStr">
        <is>
          <t>2 minute(s) and 31 second(s)</t>
        </is>
      </c>
      <c r="J2529" s="25">
        <f>IFERROR(VALUE(TRIM(LEFT(I2529,FIND("minute",I2529)-1)))*60,0)+IFERROR(VALUE(SUBSTITUTE(MID(I2529,IFERROR(FIND("and",I2529)+3,1),20),"second(s)","")),0)</f>
        <v/>
      </c>
      <c r="K2529" s="41">
        <f>J2529/60</f>
        <v/>
      </c>
      <c r="L2529" s="41">
        <f>IFERROR(J2529/H2529,"")</f>
        <v/>
      </c>
      <c r="M2529" s="25" t="inlineStr">
        <is>
          <t>2.5.12</t>
        </is>
      </c>
      <c r="N2529" s="25">
        <f>IF(J2529&gt;300,1,0)</f>
        <v/>
      </c>
      <c r="O2529" s="25">
        <f>IF(J2529&gt;600,1,0)</f>
        <v/>
      </c>
      <c r="P2529" s="25">
        <f>IF(H2529&gt;0,J2529,"")</f>
        <v/>
      </c>
      <c r="Q2529" s="25">
        <f>TEXT(A2529,"YYYY-MM-DD HH")</f>
        <v/>
      </c>
      <c r="R2529" s="25">
        <f>COUNTIF($Q$2:$Q$5295,Q2529)</f>
        <v/>
      </c>
      <c r="S2529" s="25">
        <f>IF(R2529&lt;=2,"1-2",IF(R2529&lt;=5,"3-5",IF(R2529&lt;=10,"6-10","11+")))</f>
        <v/>
      </c>
    </row>
    <row r="2530">
      <c r="A2530" s="39" t="n">
        <v>46186.49924768518</v>
      </c>
      <c r="B2530" s="25">
        <f>TEXT(A2530,"YYYY-MM")</f>
        <v/>
      </c>
      <c r="C2530" s="25">
        <f>TEXT(A2530,"MMM-YYYY")</f>
        <v/>
      </c>
      <c r="D2530" s="40">
        <f>INT(A2530)-WEEKDAY(A2530,2)+1</f>
        <v/>
      </c>
      <c r="E2530" s="25" t="inlineStr">
        <is>
          <t>rts</t>
        </is>
      </c>
      <c r="F2530" s="25" t="n">
        <v>125383</v>
      </c>
      <c r="G2530" s="25" t="n">
        <v>2</v>
      </c>
      <c r="H2530" s="25" t="n">
        <v>6</v>
      </c>
      <c r="I2530" s="25" t="inlineStr">
        <is>
          <t>1 minute(s) and 32 second(s)</t>
        </is>
      </c>
      <c r="J2530" s="25">
        <f>IFERROR(VALUE(TRIM(LEFT(I2530,FIND("minute",I2530)-1)))*60,0)+IFERROR(VALUE(SUBSTITUTE(MID(I2530,IFERROR(FIND("and",I2530)+3,1),20),"second(s)","")),0)</f>
        <v/>
      </c>
      <c r="K2530" s="41">
        <f>J2530/60</f>
        <v/>
      </c>
      <c r="L2530" s="41">
        <f>IFERROR(J2530/H2530,"")</f>
        <v/>
      </c>
      <c r="M2530" s="25" t="inlineStr">
        <is>
          <t>2.5.12</t>
        </is>
      </c>
      <c r="N2530" s="25">
        <f>IF(J2530&gt;300,1,0)</f>
        <v/>
      </c>
      <c r="O2530" s="25">
        <f>IF(J2530&gt;600,1,0)</f>
        <v/>
      </c>
      <c r="P2530" s="25">
        <f>IF(H2530&gt;0,J2530,"")</f>
        <v/>
      </c>
      <c r="Q2530" s="25">
        <f>TEXT(A2530,"YYYY-MM-DD HH")</f>
        <v/>
      </c>
      <c r="R2530" s="25">
        <f>COUNTIF($Q$2:$Q$5295,Q2530)</f>
        <v/>
      </c>
      <c r="S2530" s="25">
        <f>IF(R2530&lt;=2,"1-2",IF(R2530&lt;=5,"3-5",IF(R2530&lt;=10,"6-10","11+")))</f>
        <v/>
      </c>
    </row>
    <row r="2531">
      <c r="A2531" s="39" t="n">
        <v>46186.59369212963</v>
      </c>
      <c r="B2531" s="25">
        <f>TEXT(A2531,"YYYY-MM")</f>
        <v/>
      </c>
      <c r="C2531" s="25">
        <f>TEXT(A2531,"MMM-YYYY")</f>
        <v/>
      </c>
      <c r="D2531" s="40">
        <f>INT(A2531)-WEEKDAY(A2531,2)+1</f>
        <v/>
      </c>
      <c r="E2531" s="25" t="inlineStr">
        <is>
          <t>ssarkar</t>
        </is>
      </c>
      <c r="F2531" s="25" t="n">
        <v>121992</v>
      </c>
      <c r="G2531" s="25" t="n">
        <v>4</v>
      </c>
      <c r="H2531" s="25" t="n">
        <v>22</v>
      </c>
      <c r="I2531" s="25" t="inlineStr">
        <is>
          <t>4 minute(s) and 57 second(s)</t>
        </is>
      </c>
      <c r="J2531" s="25">
        <f>IFERROR(VALUE(TRIM(LEFT(I2531,FIND("minute",I2531)-1)))*60,0)+IFERROR(VALUE(SUBSTITUTE(MID(I2531,IFERROR(FIND("and",I2531)+3,1),20),"second(s)","")),0)</f>
        <v/>
      </c>
      <c r="K2531" s="41">
        <f>J2531/60</f>
        <v/>
      </c>
      <c r="L2531" s="41">
        <f>IFERROR(J2531/H2531,"")</f>
        <v/>
      </c>
      <c r="M2531" s="25" t="inlineStr">
        <is>
          <t>2.5.12</t>
        </is>
      </c>
      <c r="N2531" s="25">
        <f>IF(J2531&gt;300,1,0)</f>
        <v/>
      </c>
      <c r="O2531" s="25">
        <f>IF(J2531&gt;600,1,0)</f>
        <v/>
      </c>
      <c r="P2531" s="25">
        <f>IF(H2531&gt;0,J2531,"")</f>
        <v/>
      </c>
      <c r="Q2531" s="25">
        <f>TEXT(A2531,"YYYY-MM-DD HH")</f>
        <v/>
      </c>
      <c r="R2531" s="25">
        <f>COUNTIF($Q$2:$Q$5295,Q2531)</f>
        <v/>
      </c>
      <c r="S2531" s="25">
        <f>IF(R2531&lt;=2,"1-2",IF(R2531&lt;=5,"3-5",IF(R2531&lt;=10,"6-10","11+")))</f>
        <v/>
      </c>
    </row>
    <row r="2532">
      <c r="A2532" s="39" t="n">
        <v>46186.63913194444</v>
      </c>
      <c r="B2532" s="25">
        <f>TEXT(A2532,"YYYY-MM")</f>
        <v/>
      </c>
      <c r="C2532" s="25">
        <f>TEXT(A2532,"MMM-YYYY")</f>
        <v/>
      </c>
      <c r="D2532" s="40">
        <f>INT(A2532)-WEEKDAY(A2532,2)+1</f>
        <v/>
      </c>
      <c r="E2532" s="25" t="inlineStr">
        <is>
          <t>dchoudhury</t>
        </is>
      </c>
      <c r="F2532" s="25" t="n">
        <v>122845</v>
      </c>
      <c r="G2532" s="25" t="n">
        <v>3</v>
      </c>
      <c r="H2532" s="25" t="n">
        <v>13</v>
      </c>
      <c r="I2532" s="25" t="inlineStr">
        <is>
          <t>3 minute(s) and 28 second(s)</t>
        </is>
      </c>
      <c r="J2532" s="25">
        <f>IFERROR(VALUE(TRIM(LEFT(I2532,FIND("minute",I2532)-1)))*60,0)+IFERROR(VALUE(SUBSTITUTE(MID(I2532,IFERROR(FIND("and",I2532)+3,1),20),"second(s)","")),0)</f>
        <v/>
      </c>
      <c r="K2532" s="41">
        <f>J2532/60</f>
        <v/>
      </c>
      <c r="L2532" s="41">
        <f>IFERROR(J2532/H2532,"")</f>
        <v/>
      </c>
      <c r="M2532" s="25" t="inlineStr">
        <is>
          <t>2.5.12</t>
        </is>
      </c>
      <c r="N2532" s="25">
        <f>IF(J2532&gt;300,1,0)</f>
        <v/>
      </c>
      <c r="O2532" s="25">
        <f>IF(J2532&gt;600,1,0)</f>
        <v/>
      </c>
      <c r="P2532" s="25">
        <f>IF(H2532&gt;0,J2532,"")</f>
        <v/>
      </c>
      <c r="Q2532" s="25">
        <f>TEXT(A2532,"YYYY-MM-DD HH")</f>
        <v/>
      </c>
      <c r="R2532" s="25">
        <f>COUNTIF($Q$2:$Q$5295,Q2532)</f>
        <v/>
      </c>
      <c r="S2532" s="25">
        <f>IF(R2532&lt;=2,"1-2",IF(R2532&lt;=5,"3-5",IF(R2532&lt;=10,"6-10","11+")))</f>
        <v/>
      </c>
    </row>
    <row r="2533">
      <c r="A2533" s="39" t="n">
        <v>46186.68623842593</v>
      </c>
      <c r="B2533" s="25">
        <f>TEXT(A2533,"YYYY-MM")</f>
        <v/>
      </c>
      <c r="C2533" s="25">
        <f>TEXT(A2533,"MMM-YYYY")</f>
        <v/>
      </c>
      <c r="D2533" s="40">
        <f>INT(A2533)-WEEKDAY(A2533,2)+1</f>
        <v/>
      </c>
      <c r="E2533" s="25" t="inlineStr">
        <is>
          <t>dchoudhury</t>
        </is>
      </c>
      <c r="F2533" s="25" t="n">
        <v>123344</v>
      </c>
      <c r="G2533" s="25" t="n">
        <v>2</v>
      </c>
      <c r="H2533" s="25" t="n">
        <v>8</v>
      </c>
      <c r="I2533" s="25" t="inlineStr">
        <is>
          <t>1 minute(s) and 55 second(s)</t>
        </is>
      </c>
      <c r="J2533" s="25">
        <f>IFERROR(VALUE(TRIM(LEFT(I2533,FIND("minute",I2533)-1)))*60,0)+IFERROR(VALUE(SUBSTITUTE(MID(I2533,IFERROR(FIND("and",I2533)+3,1),20),"second(s)","")),0)</f>
        <v/>
      </c>
      <c r="K2533" s="41">
        <f>J2533/60</f>
        <v/>
      </c>
      <c r="L2533" s="41">
        <f>IFERROR(J2533/H2533,"")</f>
        <v/>
      </c>
      <c r="M2533" s="25" t="inlineStr">
        <is>
          <t>2.5.12</t>
        </is>
      </c>
      <c r="N2533" s="25">
        <f>IF(J2533&gt;300,1,0)</f>
        <v/>
      </c>
      <c r="O2533" s="25">
        <f>IF(J2533&gt;600,1,0)</f>
        <v/>
      </c>
      <c r="P2533" s="25">
        <f>IF(H2533&gt;0,J2533,"")</f>
        <v/>
      </c>
      <c r="Q2533" s="25">
        <f>TEXT(A2533,"YYYY-MM-DD HH")</f>
        <v/>
      </c>
      <c r="R2533" s="25">
        <f>COUNTIF($Q$2:$Q$5295,Q2533)</f>
        <v/>
      </c>
      <c r="S2533" s="25">
        <f>IF(R2533&lt;=2,"1-2",IF(R2533&lt;=5,"3-5",IF(R2533&lt;=10,"6-10","11+")))</f>
        <v/>
      </c>
    </row>
    <row r="2534">
      <c r="A2534" s="39" t="n">
        <v>46186.69141203703</v>
      </c>
      <c r="B2534" s="25">
        <f>TEXT(A2534,"YYYY-MM")</f>
        <v/>
      </c>
      <c r="C2534" s="25">
        <f>TEXT(A2534,"MMM-YYYY")</f>
        <v/>
      </c>
      <c r="D2534" s="40">
        <f>INT(A2534)-WEEKDAY(A2534,2)+1</f>
        <v/>
      </c>
      <c r="E2534" s="25" t="inlineStr">
        <is>
          <t>dchoudhury</t>
        </is>
      </c>
      <c r="F2534" s="25" t="n">
        <v>123344</v>
      </c>
      <c r="G2534" s="25" t="n">
        <v>2</v>
      </c>
      <c r="H2534" s="25" t="n">
        <v>8</v>
      </c>
      <c r="I2534" s="25" t="inlineStr">
        <is>
          <t>2 minute(s) and 6 second(s)</t>
        </is>
      </c>
      <c r="J2534" s="25">
        <f>IFERROR(VALUE(TRIM(LEFT(I2534,FIND("minute",I2534)-1)))*60,0)+IFERROR(VALUE(SUBSTITUTE(MID(I2534,IFERROR(FIND("and",I2534)+3,1),20),"second(s)","")),0)</f>
        <v/>
      </c>
      <c r="K2534" s="41">
        <f>J2534/60</f>
        <v/>
      </c>
      <c r="L2534" s="41">
        <f>IFERROR(J2534/H2534,"")</f>
        <v/>
      </c>
      <c r="M2534" s="25" t="inlineStr">
        <is>
          <t>2.5.12</t>
        </is>
      </c>
      <c r="N2534" s="25">
        <f>IF(J2534&gt;300,1,0)</f>
        <v/>
      </c>
      <c r="O2534" s="25">
        <f>IF(J2534&gt;600,1,0)</f>
        <v/>
      </c>
      <c r="P2534" s="25">
        <f>IF(H2534&gt;0,J2534,"")</f>
        <v/>
      </c>
      <c r="Q2534" s="25">
        <f>TEXT(A2534,"YYYY-MM-DD HH")</f>
        <v/>
      </c>
      <c r="R2534" s="25">
        <f>COUNTIF($Q$2:$Q$5295,Q2534)</f>
        <v/>
      </c>
      <c r="S2534" s="25">
        <f>IF(R2534&lt;=2,"1-2",IF(R2534&lt;=5,"3-5",IF(R2534&lt;=10,"6-10","11+")))</f>
        <v/>
      </c>
    </row>
    <row r="2535">
      <c r="A2535" s="39" t="n">
        <v>46186.75372685185</v>
      </c>
      <c r="B2535" s="25">
        <f>TEXT(A2535,"YYYY-MM")</f>
        <v/>
      </c>
      <c r="C2535" s="25">
        <f>TEXT(A2535,"MMM-YYYY")</f>
        <v/>
      </c>
      <c r="D2535" s="40">
        <f>INT(A2535)-WEEKDAY(A2535,2)+1</f>
        <v/>
      </c>
      <c r="E2535" s="25" t="inlineStr">
        <is>
          <t>emishra</t>
        </is>
      </c>
      <c r="F2535" s="25" t="n">
        <v>123911</v>
      </c>
      <c r="G2535" s="25" t="n">
        <v>5</v>
      </c>
      <c r="H2535" s="25" t="n">
        <v>17</v>
      </c>
      <c r="I2535" s="25" t="inlineStr">
        <is>
          <t>3 minute(s) and 31 second(s)</t>
        </is>
      </c>
      <c r="J2535" s="25">
        <f>IFERROR(VALUE(TRIM(LEFT(I2535,FIND("minute",I2535)-1)))*60,0)+IFERROR(VALUE(SUBSTITUTE(MID(I2535,IFERROR(FIND("and",I2535)+3,1),20),"second(s)","")),0)</f>
        <v/>
      </c>
      <c r="K2535" s="41">
        <f>J2535/60</f>
        <v/>
      </c>
      <c r="L2535" s="41">
        <f>IFERROR(J2535/H2535,"")</f>
        <v/>
      </c>
      <c r="M2535" s="25" t="inlineStr">
        <is>
          <t>2.5.12</t>
        </is>
      </c>
      <c r="N2535" s="25">
        <f>IF(J2535&gt;300,1,0)</f>
        <v/>
      </c>
      <c r="O2535" s="25">
        <f>IF(J2535&gt;600,1,0)</f>
        <v/>
      </c>
      <c r="P2535" s="25">
        <f>IF(H2535&gt;0,J2535,"")</f>
        <v/>
      </c>
      <c r="Q2535" s="25">
        <f>TEXT(A2535,"YYYY-MM-DD HH")</f>
        <v/>
      </c>
      <c r="R2535" s="25">
        <f>COUNTIF($Q$2:$Q$5295,Q2535)</f>
        <v/>
      </c>
      <c r="S2535" s="25">
        <f>IF(R2535&lt;=2,"1-2",IF(R2535&lt;=5,"3-5",IF(R2535&lt;=10,"6-10","11+")))</f>
        <v/>
      </c>
    </row>
    <row r="2536">
      <c r="A2536" s="39" t="n">
        <v>46186.82759259259</v>
      </c>
      <c r="B2536" s="25">
        <f>TEXT(A2536,"YYYY-MM")</f>
        <v/>
      </c>
      <c r="C2536" s="25">
        <f>TEXT(A2536,"MMM-YYYY")</f>
        <v/>
      </c>
      <c r="D2536" s="40">
        <f>INT(A2536)-WEEKDAY(A2536,2)+1</f>
        <v/>
      </c>
      <c r="E2536" s="25" t="inlineStr">
        <is>
          <t>dchoudhury</t>
        </is>
      </c>
      <c r="F2536" s="25" t="n">
        <v>123348</v>
      </c>
      <c r="G2536" s="25" t="n">
        <v>2</v>
      </c>
      <c r="H2536" s="25" t="n">
        <v>13</v>
      </c>
      <c r="I2536" s="25" t="inlineStr">
        <is>
          <t>3 minute(s) and 53 second(s)</t>
        </is>
      </c>
      <c r="J2536" s="25">
        <f>IFERROR(VALUE(TRIM(LEFT(I2536,FIND("minute",I2536)-1)))*60,0)+IFERROR(VALUE(SUBSTITUTE(MID(I2536,IFERROR(FIND("and",I2536)+3,1),20),"second(s)","")),0)</f>
        <v/>
      </c>
      <c r="K2536" s="41">
        <f>J2536/60</f>
        <v/>
      </c>
      <c r="L2536" s="41">
        <f>IFERROR(J2536/H2536,"")</f>
        <v/>
      </c>
      <c r="M2536" s="25" t="inlineStr">
        <is>
          <t>2.5.12</t>
        </is>
      </c>
      <c r="N2536" s="25">
        <f>IF(J2536&gt;300,1,0)</f>
        <v/>
      </c>
      <c r="O2536" s="25">
        <f>IF(J2536&gt;600,1,0)</f>
        <v/>
      </c>
      <c r="P2536" s="25">
        <f>IF(H2536&gt;0,J2536,"")</f>
        <v/>
      </c>
      <c r="Q2536" s="25">
        <f>TEXT(A2536,"YYYY-MM-DD HH")</f>
        <v/>
      </c>
      <c r="R2536" s="25">
        <f>COUNTIF($Q$2:$Q$5295,Q2536)</f>
        <v/>
      </c>
      <c r="S2536" s="25">
        <f>IF(R2536&lt;=2,"1-2",IF(R2536&lt;=5,"3-5",IF(R2536&lt;=10,"6-10","11+")))</f>
        <v/>
      </c>
    </row>
    <row r="2537">
      <c r="A2537" s="39" t="n">
        <v>46186.83040509259</v>
      </c>
      <c r="B2537" s="25">
        <f>TEXT(A2537,"YYYY-MM")</f>
        <v/>
      </c>
      <c r="C2537" s="25">
        <f>TEXT(A2537,"MMM-YYYY")</f>
        <v/>
      </c>
      <c r="D2537" s="40">
        <f>INT(A2537)-WEEKDAY(A2537,2)+1</f>
        <v/>
      </c>
      <c r="E2537" s="25" t="inlineStr">
        <is>
          <t>ssarkar</t>
        </is>
      </c>
      <c r="F2537" s="25" t="n">
        <v>126427</v>
      </c>
      <c r="G2537" s="25" t="n">
        <v>1</v>
      </c>
      <c r="H2537" s="25" t="n">
        <v>5</v>
      </c>
      <c r="I2537" s="25" t="inlineStr">
        <is>
          <t>2 minute(s) and 24 second(s)</t>
        </is>
      </c>
      <c r="J2537" s="25">
        <f>IFERROR(VALUE(TRIM(LEFT(I2537,FIND("minute",I2537)-1)))*60,0)+IFERROR(VALUE(SUBSTITUTE(MID(I2537,IFERROR(FIND("and",I2537)+3,1),20),"second(s)","")),0)</f>
        <v/>
      </c>
      <c r="K2537" s="41">
        <f>J2537/60</f>
        <v/>
      </c>
      <c r="L2537" s="41">
        <f>IFERROR(J2537/H2537,"")</f>
        <v/>
      </c>
      <c r="M2537" s="25" t="inlineStr">
        <is>
          <t>2.5.12</t>
        </is>
      </c>
      <c r="N2537" s="25">
        <f>IF(J2537&gt;300,1,0)</f>
        <v/>
      </c>
      <c r="O2537" s="25">
        <f>IF(J2537&gt;600,1,0)</f>
        <v/>
      </c>
      <c r="P2537" s="25">
        <f>IF(H2537&gt;0,J2537,"")</f>
        <v/>
      </c>
      <c r="Q2537" s="25">
        <f>TEXT(A2537,"YYYY-MM-DD HH")</f>
        <v/>
      </c>
      <c r="R2537" s="25">
        <f>COUNTIF($Q$2:$Q$5295,Q2537)</f>
        <v/>
      </c>
      <c r="S2537" s="25">
        <f>IF(R2537&lt;=2,"1-2",IF(R2537&lt;=5,"3-5",IF(R2537&lt;=10,"6-10","11+")))</f>
        <v/>
      </c>
    </row>
    <row r="2538">
      <c r="A2538" s="39" t="n">
        <v>46186.85878472222</v>
      </c>
      <c r="B2538" s="25">
        <f>TEXT(A2538,"YYYY-MM")</f>
        <v/>
      </c>
      <c r="C2538" s="25">
        <f>TEXT(A2538,"MMM-YYYY")</f>
        <v/>
      </c>
      <c r="D2538" s="40">
        <f>INT(A2538)-WEEKDAY(A2538,2)+1</f>
        <v/>
      </c>
      <c r="E2538" s="25" t="inlineStr">
        <is>
          <t>dchoudhury</t>
        </is>
      </c>
      <c r="F2538" s="25" t="n">
        <v>122842</v>
      </c>
      <c r="G2538" s="25" t="n">
        <v>1</v>
      </c>
      <c r="H2538" s="25" t="n">
        <v>7</v>
      </c>
      <c r="I2538" s="25" t="inlineStr">
        <is>
          <t>1 minute(s) and 38 second(s)</t>
        </is>
      </c>
      <c r="J2538" s="25">
        <f>IFERROR(VALUE(TRIM(LEFT(I2538,FIND("minute",I2538)-1)))*60,0)+IFERROR(VALUE(SUBSTITUTE(MID(I2538,IFERROR(FIND("and",I2538)+3,1),20),"second(s)","")),0)</f>
        <v/>
      </c>
      <c r="K2538" s="41">
        <f>J2538/60</f>
        <v/>
      </c>
      <c r="L2538" s="41">
        <f>IFERROR(J2538/H2538,"")</f>
        <v/>
      </c>
      <c r="M2538" s="25" t="inlineStr">
        <is>
          <t>2.5.12</t>
        </is>
      </c>
      <c r="N2538" s="25">
        <f>IF(J2538&gt;300,1,0)</f>
        <v/>
      </c>
      <c r="O2538" s="25">
        <f>IF(J2538&gt;600,1,0)</f>
        <v/>
      </c>
      <c r="P2538" s="25">
        <f>IF(H2538&gt;0,J2538,"")</f>
        <v/>
      </c>
      <c r="Q2538" s="25">
        <f>TEXT(A2538,"YYYY-MM-DD HH")</f>
        <v/>
      </c>
      <c r="R2538" s="25">
        <f>COUNTIF($Q$2:$Q$5295,Q2538)</f>
        <v/>
      </c>
      <c r="S2538" s="25">
        <f>IF(R2538&lt;=2,"1-2",IF(R2538&lt;=5,"3-5",IF(R2538&lt;=10,"6-10","11+")))</f>
        <v/>
      </c>
    </row>
    <row r="2539">
      <c r="A2539" s="39" t="n">
        <v>46186.92650462963</v>
      </c>
      <c r="B2539" s="25">
        <f>TEXT(A2539,"YYYY-MM")</f>
        <v/>
      </c>
      <c r="C2539" s="25">
        <f>TEXT(A2539,"MMM-YYYY")</f>
        <v/>
      </c>
      <c r="D2539" s="40">
        <f>INT(A2539)-WEEKDAY(A2539,2)+1</f>
        <v/>
      </c>
      <c r="E2539" s="25" t="inlineStr">
        <is>
          <t>dchoudhury</t>
        </is>
      </c>
      <c r="F2539" s="25" t="n">
        <v>122831</v>
      </c>
      <c r="G2539" s="25" t="n">
        <v>2</v>
      </c>
      <c r="H2539" s="25" t="n">
        <v>10</v>
      </c>
      <c r="I2539" s="25" t="inlineStr">
        <is>
          <t>3 minute(s) and 57 second(s)</t>
        </is>
      </c>
      <c r="J2539" s="25">
        <f>IFERROR(VALUE(TRIM(LEFT(I2539,FIND("minute",I2539)-1)))*60,0)+IFERROR(VALUE(SUBSTITUTE(MID(I2539,IFERROR(FIND("and",I2539)+3,1),20),"second(s)","")),0)</f>
        <v/>
      </c>
      <c r="K2539" s="41">
        <f>J2539/60</f>
        <v/>
      </c>
      <c r="L2539" s="41">
        <f>IFERROR(J2539/H2539,"")</f>
        <v/>
      </c>
      <c r="M2539" s="25" t="inlineStr">
        <is>
          <t>2.5.12</t>
        </is>
      </c>
      <c r="N2539" s="25">
        <f>IF(J2539&gt;300,1,0)</f>
        <v/>
      </c>
      <c r="O2539" s="25">
        <f>IF(J2539&gt;600,1,0)</f>
        <v/>
      </c>
      <c r="P2539" s="25">
        <f>IF(H2539&gt;0,J2539,"")</f>
        <v/>
      </c>
      <c r="Q2539" s="25">
        <f>TEXT(A2539,"YYYY-MM-DD HH")</f>
        <v/>
      </c>
      <c r="R2539" s="25">
        <f>COUNTIF($Q$2:$Q$5295,Q2539)</f>
        <v/>
      </c>
      <c r="S2539" s="25">
        <f>IF(R2539&lt;=2,"1-2",IF(R2539&lt;=5,"3-5",IF(R2539&lt;=10,"6-10","11+")))</f>
        <v/>
      </c>
    </row>
    <row r="2540">
      <c r="A2540" s="39" t="n">
        <v>46186.94008101852</v>
      </c>
      <c r="B2540" s="25">
        <f>TEXT(A2540,"YYYY-MM")</f>
        <v/>
      </c>
      <c r="C2540" s="25">
        <f>TEXT(A2540,"MMM-YYYY")</f>
        <v/>
      </c>
      <c r="D2540" s="40">
        <f>INT(A2540)-WEEKDAY(A2540,2)+1</f>
        <v/>
      </c>
      <c r="E2540" s="25" t="inlineStr">
        <is>
          <t>ssarkar</t>
        </is>
      </c>
      <c r="F2540" s="25" t="n">
        <v>124055</v>
      </c>
      <c r="G2540" s="25" t="n">
        <v>1</v>
      </c>
      <c r="H2540" s="25" t="n">
        <v>5</v>
      </c>
      <c r="I2540" s="25" t="inlineStr">
        <is>
          <t>1 minute(s) and 11 second(s)</t>
        </is>
      </c>
      <c r="J2540" s="25">
        <f>IFERROR(VALUE(TRIM(LEFT(I2540,FIND("minute",I2540)-1)))*60,0)+IFERROR(VALUE(SUBSTITUTE(MID(I2540,IFERROR(FIND("and",I2540)+3,1),20),"second(s)","")),0)</f>
        <v/>
      </c>
      <c r="K2540" s="41">
        <f>J2540/60</f>
        <v/>
      </c>
      <c r="L2540" s="41">
        <f>IFERROR(J2540/H2540,"")</f>
        <v/>
      </c>
      <c r="M2540" s="25" t="inlineStr">
        <is>
          <t>2.5.12</t>
        </is>
      </c>
      <c r="N2540" s="25">
        <f>IF(J2540&gt;300,1,0)</f>
        <v/>
      </c>
      <c r="O2540" s="25">
        <f>IF(J2540&gt;600,1,0)</f>
        <v/>
      </c>
      <c r="P2540" s="25">
        <f>IF(H2540&gt;0,J2540,"")</f>
        <v/>
      </c>
      <c r="Q2540" s="25">
        <f>TEXT(A2540,"YYYY-MM-DD HH")</f>
        <v/>
      </c>
      <c r="R2540" s="25">
        <f>COUNTIF($Q$2:$Q$5295,Q2540)</f>
        <v/>
      </c>
      <c r="S2540" s="25">
        <f>IF(R2540&lt;=2,"1-2",IF(R2540&lt;=5,"3-5",IF(R2540&lt;=10,"6-10","11+")))</f>
        <v/>
      </c>
    </row>
    <row r="2541">
      <c r="A2541" s="39" t="n">
        <v>46186.97893518519</v>
      </c>
      <c r="B2541" s="25">
        <f>TEXT(A2541,"YYYY-MM")</f>
        <v/>
      </c>
      <c r="C2541" s="25">
        <f>TEXT(A2541,"MMM-YYYY")</f>
        <v/>
      </c>
      <c r="D2541" s="40">
        <f>INT(A2541)-WEEKDAY(A2541,2)+1</f>
        <v/>
      </c>
      <c r="E2541" s="25" t="inlineStr">
        <is>
          <t>dchoudhury</t>
        </is>
      </c>
      <c r="F2541" s="25" t="n">
        <v>122266</v>
      </c>
      <c r="G2541" s="25" t="n">
        <v>2</v>
      </c>
      <c r="H2541" s="25" t="n">
        <v>10</v>
      </c>
      <c r="I2541" s="25" t="inlineStr">
        <is>
          <t>3 minute(s) and 14 second(s)</t>
        </is>
      </c>
      <c r="J2541" s="25">
        <f>IFERROR(VALUE(TRIM(LEFT(I2541,FIND("minute",I2541)-1)))*60,0)+IFERROR(VALUE(SUBSTITUTE(MID(I2541,IFERROR(FIND("and",I2541)+3,1),20),"second(s)","")),0)</f>
        <v/>
      </c>
      <c r="K2541" s="41">
        <f>J2541/60</f>
        <v/>
      </c>
      <c r="L2541" s="41">
        <f>IFERROR(J2541/H2541,"")</f>
        <v/>
      </c>
      <c r="M2541" s="25" t="inlineStr">
        <is>
          <t>2.5.12</t>
        </is>
      </c>
      <c r="N2541" s="25">
        <f>IF(J2541&gt;300,1,0)</f>
        <v/>
      </c>
      <c r="O2541" s="25">
        <f>IF(J2541&gt;600,1,0)</f>
        <v/>
      </c>
      <c r="P2541" s="25">
        <f>IF(H2541&gt;0,J2541,"")</f>
        <v/>
      </c>
      <c r="Q2541" s="25">
        <f>TEXT(A2541,"YYYY-MM-DD HH")</f>
        <v/>
      </c>
      <c r="R2541" s="25">
        <f>COUNTIF($Q$2:$Q$5295,Q2541)</f>
        <v/>
      </c>
      <c r="S2541" s="25">
        <f>IF(R2541&lt;=2,"1-2",IF(R2541&lt;=5,"3-5",IF(R2541&lt;=10,"6-10","11+")))</f>
        <v/>
      </c>
    </row>
    <row r="2542">
      <c r="A2542" s="39" t="n">
        <v>46186.9803587963</v>
      </c>
      <c r="B2542" s="25">
        <f>TEXT(A2542,"YYYY-MM")</f>
        <v/>
      </c>
      <c r="C2542" s="25">
        <f>TEXT(A2542,"MMM-YYYY")</f>
        <v/>
      </c>
      <c r="D2542" s="40">
        <f>INT(A2542)-WEEKDAY(A2542,2)+1</f>
        <v/>
      </c>
      <c r="E2542" s="25" t="inlineStr">
        <is>
          <t>ssarkar</t>
        </is>
      </c>
      <c r="F2542" s="25" t="n">
        <v>124056</v>
      </c>
      <c r="G2542" s="25" t="n">
        <v>1</v>
      </c>
      <c r="H2542" s="25" t="n">
        <v>6</v>
      </c>
      <c r="I2542" s="25" t="inlineStr">
        <is>
          <t>1 minute(s) and 30 second(s)</t>
        </is>
      </c>
      <c r="J2542" s="25">
        <f>IFERROR(VALUE(TRIM(LEFT(I2542,FIND("minute",I2542)-1)))*60,0)+IFERROR(VALUE(SUBSTITUTE(MID(I2542,IFERROR(FIND("and",I2542)+3,1),20),"second(s)","")),0)</f>
        <v/>
      </c>
      <c r="K2542" s="41">
        <f>J2542/60</f>
        <v/>
      </c>
      <c r="L2542" s="41">
        <f>IFERROR(J2542/H2542,"")</f>
        <v/>
      </c>
      <c r="M2542" s="25" t="inlineStr">
        <is>
          <t>2.5.12</t>
        </is>
      </c>
      <c r="N2542" s="25">
        <f>IF(J2542&gt;300,1,0)</f>
        <v/>
      </c>
      <c r="O2542" s="25">
        <f>IF(J2542&gt;600,1,0)</f>
        <v/>
      </c>
      <c r="P2542" s="25">
        <f>IF(H2542&gt;0,J2542,"")</f>
        <v/>
      </c>
      <c r="Q2542" s="25">
        <f>TEXT(A2542,"YYYY-MM-DD HH")</f>
        <v/>
      </c>
      <c r="R2542" s="25">
        <f>COUNTIF($Q$2:$Q$5295,Q2542)</f>
        <v/>
      </c>
      <c r="S2542" s="25">
        <f>IF(R2542&lt;=2,"1-2",IF(R2542&lt;=5,"3-5",IF(R2542&lt;=10,"6-10","11+")))</f>
        <v/>
      </c>
    </row>
    <row r="2543">
      <c r="A2543" s="39" t="n">
        <v>46187.96560185185</v>
      </c>
      <c r="B2543" s="25">
        <f>TEXT(A2543,"YYYY-MM")</f>
        <v/>
      </c>
      <c r="C2543" s="25">
        <f>TEXT(A2543,"MMM-YYYY")</f>
        <v/>
      </c>
      <c r="D2543" s="40">
        <f>INT(A2543)-WEEKDAY(A2543,2)+1</f>
        <v/>
      </c>
      <c r="E2543" s="25" t="inlineStr">
        <is>
          <t>csaha</t>
        </is>
      </c>
      <c r="F2543" s="25" t="n">
        <v>123388</v>
      </c>
      <c r="G2543" s="25" t="n">
        <v>2</v>
      </c>
      <c r="H2543" s="25" t="n">
        <v>13</v>
      </c>
      <c r="I2543" s="25" t="inlineStr">
        <is>
          <t>3 minute(s) and 10 second(s)</t>
        </is>
      </c>
      <c r="J2543" s="25">
        <f>IFERROR(VALUE(TRIM(LEFT(I2543,FIND("minute",I2543)-1)))*60,0)+IFERROR(VALUE(SUBSTITUTE(MID(I2543,IFERROR(FIND("and",I2543)+3,1),20),"second(s)","")),0)</f>
        <v/>
      </c>
      <c r="K2543" s="41">
        <f>J2543/60</f>
        <v/>
      </c>
      <c r="L2543" s="41">
        <f>IFERROR(J2543/H2543,"")</f>
        <v/>
      </c>
      <c r="M2543" s="25" t="inlineStr">
        <is>
          <t>2.5.12</t>
        </is>
      </c>
      <c r="N2543" s="25">
        <f>IF(J2543&gt;300,1,0)</f>
        <v/>
      </c>
      <c r="O2543" s="25">
        <f>IF(J2543&gt;600,1,0)</f>
        <v/>
      </c>
      <c r="P2543" s="25">
        <f>IF(H2543&gt;0,J2543,"")</f>
        <v/>
      </c>
      <c r="Q2543" s="25">
        <f>TEXT(A2543,"YYYY-MM-DD HH")</f>
        <v/>
      </c>
      <c r="R2543" s="25">
        <f>COUNTIF($Q$2:$Q$5295,Q2543)</f>
        <v/>
      </c>
      <c r="S2543" s="25">
        <f>IF(R2543&lt;=2,"1-2",IF(R2543&lt;=5,"3-5",IF(R2543&lt;=10,"6-10","11+")))</f>
        <v/>
      </c>
    </row>
    <row r="2544">
      <c r="A2544" s="39" t="n">
        <v>46188.01741898148</v>
      </c>
      <c r="B2544" s="25">
        <f>TEXT(A2544,"YYYY-MM")</f>
        <v/>
      </c>
      <c r="C2544" s="25">
        <f>TEXT(A2544,"MMM-YYYY")</f>
        <v/>
      </c>
      <c r="D2544" s="40">
        <f>INT(A2544)-WEEKDAY(A2544,2)+1</f>
        <v/>
      </c>
      <c r="E2544" s="25" t="inlineStr">
        <is>
          <t>ssrinivasan</t>
        </is>
      </c>
      <c r="F2544" s="25" t="n">
        <v>125484</v>
      </c>
      <c r="G2544" s="25" t="n">
        <v>4</v>
      </c>
      <c r="H2544" s="25" t="n">
        <v>16</v>
      </c>
      <c r="I2544" s="25" t="inlineStr">
        <is>
          <t>8 minute(s) and 27 second(s)</t>
        </is>
      </c>
      <c r="J2544" s="25">
        <f>IFERROR(VALUE(TRIM(LEFT(I2544,FIND("minute",I2544)-1)))*60,0)+IFERROR(VALUE(SUBSTITUTE(MID(I2544,IFERROR(FIND("and",I2544)+3,1),20),"second(s)","")),0)</f>
        <v/>
      </c>
      <c r="K2544" s="41">
        <f>J2544/60</f>
        <v/>
      </c>
      <c r="L2544" s="41">
        <f>IFERROR(J2544/H2544,"")</f>
        <v/>
      </c>
      <c r="M2544" s="25" t="inlineStr">
        <is>
          <t>2.5.12</t>
        </is>
      </c>
      <c r="N2544" s="25">
        <f>IF(J2544&gt;300,1,0)</f>
        <v/>
      </c>
      <c r="O2544" s="25">
        <f>IF(J2544&gt;600,1,0)</f>
        <v/>
      </c>
      <c r="P2544" s="25">
        <f>IF(H2544&gt;0,J2544,"")</f>
        <v/>
      </c>
      <c r="Q2544" s="25">
        <f>TEXT(A2544,"YYYY-MM-DD HH")</f>
        <v/>
      </c>
      <c r="R2544" s="25">
        <f>COUNTIF($Q$2:$Q$5295,Q2544)</f>
        <v/>
      </c>
      <c r="S2544" s="25">
        <f>IF(R2544&lt;=2,"1-2",IF(R2544&lt;=5,"3-5",IF(R2544&lt;=10,"6-10","11+")))</f>
        <v/>
      </c>
    </row>
    <row r="2545">
      <c r="A2545" s="39" t="n">
        <v>46188.02318287037</v>
      </c>
      <c r="B2545" s="25">
        <f>TEXT(A2545,"YYYY-MM")</f>
        <v/>
      </c>
      <c r="C2545" s="25">
        <f>TEXT(A2545,"MMM-YYYY")</f>
        <v/>
      </c>
      <c r="D2545" s="40">
        <f>INT(A2545)-WEEKDAY(A2545,2)+1</f>
        <v/>
      </c>
      <c r="E2545" s="25" t="inlineStr">
        <is>
          <t>shassan</t>
        </is>
      </c>
      <c r="F2545" s="25" t="n">
        <v>125292</v>
      </c>
      <c r="G2545" s="25" t="n">
        <v>2</v>
      </c>
      <c r="H2545" s="25" t="n">
        <v>6</v>
      </c>
      <c r="I2545" s="25" t="inlineStr">
        <is>
          <t>2 minute(s) and 56 second(s)</t>
        </is>
      </c>
      <c r="J2545" s="25">
        <f>IFERROR(VALUE(TRIM(LEFT(I2545,FIND("minute",I2545)-1)))*60,0)+IFERROR(VALUE(SUBSTITUTE(MID(I2545,IFERROR(FIND("and",I2545)+3,1),20),"second(s)","")),0)</f>
        <v/>
      </c>
      <c r="K2545" s="41">
        <f>J2545/60</f>
        <v/>
      </c>
      <c r="L2545" s="41">
        <f>IFERROR(J2545/H2545,"")</f>
        <v/>
      </c>
      <c r="M2545" s="25" t="inlineStr">
        <is>
          <t>2.5.12</t>
        </is>
      </c>
      <c r="N2545" s="25">
        <f>IF(J2545&gt;300,1,0)</f>
        <v/>
      </c>
      <c r="O2545" s="25">
        <f>IF(J2545&gt;600,1,0)</f>
        <v/>
      </c>
      <c r="P2545" s="25">
        <f>IF(H2545&gt;0,J2545,"")</f>
        <v/>
      </c>
      <c r="Q2545" s="25">
        <f>TEXT(A2545,"YYYY-MM-DD HH")</f>
        <v/>
      </c>
      <c r="R2545" s="25">
        <f>COUNTIF($Q$2:$Q$5295,Q2545)</f>
        <v/>
      </c>
      <c r="S2545" s="25">
        <f>IF(R2545&lt;=2,"1-2",IF(R2545&lt;=5,"3-5",IF(R2545&lt;=10,"6-10","11+")))</f>
        <v/>
      </c>
    </row>
    <row r="2546">
      <c r="A2546" s="39" t="n">
        <v>46188.02881944444</v>
      </c>
      <c r="B2546" s="25">
        <f>TEXT(A2546,"YYYY-MM")</f>
        <v/>
      </c>
      <c r="C2546" s="25">
        <f>TEXT(A2546,"MMM-YYYY")</f>
        <v/>
      </c>
      <c r="D2546" s="40">
        <f>INT(A2546)-WEEKDAY(A2546,2)+1</f>
        <v/>
      </c>
      <c r="E2546" s="25" t="inlineStr">
        <is>
          <t>rts</t>
        </is>
      </c>
      <c r="F2546" s="25" t="n">
        <v>125061</v>
      </c>
      <c r="G2546" s="25" t="n">
        <v>1</v>
      </c>
      <c r="H2546" s="25" t="n">
        <v>5</v>
      </c>
      <c r="I2546" s="25" t="inlineStr">
        <is>
          <t>2 minute(s) and 1 second(s)</t>
        </is>
      </c>
      <c r="J2546" s="25">
        <f>IFERROR(VALUE(TRIM(LEFT(I2546,FIND("minute",I2546)-1)))*60,0)+IFERROR(VALUE(SUBSTITUTE(MID(I2546,IFERROR(FIND("and",I2546)+3,1),20),"second(s)","")),0)</f>
        <v/>
      </c>
      <c r="K2546" s="41">
        <f>J2546/60</f>
        <v/>
      </c>
      <c r="L2546" s="41">
        <f>IFERROR(J2546/H2546,"")</f>
        <v/>
      </c>
      <c r="M2546" s="25" t="inlineStr">
        <is>
          <t>2.5.12</t>
        </is>
      </c>
      <c r="N2546" s="25">
        <f>IF(J2546&gt;300,1,0)</f>
        <v/>
      </c>
      <c r="O2546" s="25">
        <f>IF(J2546&gt;600,1,0)</f>
        <v/>
      </c>
      <c r="P2546" s="25">
        <f>IF(H2546&gt;0,J2546,"")</f>
        <v/>
      </c>
      <c r="Q2546" s="25">
        <f>TEXT(A2546,"YYYY-MM-DD HH")</f>
        <v/>
      </c>
      <c r="R2546" s="25">
        <f>COUNTIF($Q$2:$Q$5295,Q2546)</f>
        <v/>
      </c>
      <c r="S2546" s="25">
        <f>IF(R2546&lt;=2,"1-2",IF(R2546&lt;=5,"3-5",IF(R2546&lt;=10,"6-10","11+")))</f>
        <v/>
      </c>
    </row>
    <row r="2547">
      <c r="A2547" s="39" t="n">
        <v>46188.04814814815</v>
      </c>
      <c r="B2547" s="25">
        <f>TEXT(A2547,"YYYY-MM")</f>
        <v/>
      </c>
      <c r="C2547" s="25">
        <f>TEXT(A2547,"MMM-YYYY")</f>
        <v/>
      </c>
      <c r="D2547" s="40">
        <f>INT(A2547)-WEEKDAY(A2547,2)+1</f>
        <v/>
      </c>
      <c r="E2547" s="25" t="inlineStr">
        <is>
          <t>shassan</t>
        </is>
      </c>
      <c r="F2547" s="25" t="n">
        <v>125290</v>
      </c>
      <c r="G2547" s="25" t="n">
        <v>2</v>
      </c>
      <c r="H2547" s="25" t="n">
        <v>8</v>
      </c>
      <c r="I2547" s="25" t="inlineStr">
        <is>
          <t>1 minute(s) and 47 second(s)</t>
        </is>
      </c>
      <c r="J2547" s="25">
        <f>IFERROR(VALUE(TRIM(LEFT(I2547,FIND("minute",I2547)-1)))*60,0)+IFERROR(VALUE(SUBSTITUTE(MID(I2547,IFERROR(FIND("and",I2547)+3,1),20),"second(s)","")),0)</f>
        <v/>
      </c>
      <c r="K2547" s="41">
        <f>J2547/60</f>
        <v/>
      </c>
      <c r="L2547" s="41">
        <f>IFERROR(J2547/H2547,"")</f>
        <v/>
      </c>
      <c r="M2547" s="25" t="inlineStr">
        <is>
          <t>2.5.12</t>
        </is>
      </c>
      <c r="N2547" s="25">
        <f>IF(J2547&gt;300,1,0)</f>
        <v/>
      </c>
      <c r="O2547" s="25">
        <f>IF(J2547&gt;600,1,0)</f>
        <v/>
      </c>
      <c r="P2547" s="25">
        <f>IF(H2547&gt;0,J2547,"")</f>
        <v/>
      </c>
      <c r="Q2547" s="25">
        <f>TEXT(A2547,"YYYY-MM-DD HH")</f>
        <v/>
      </c>
      <c r="R2547" s="25">
        <f>COUNTIF($Q$2:$Q$5295,Q2547)</f>
        <v/>
      </c>
      <c r="S2547" s="25">
        <f>IF(R2547&lt;=2,"1-2",IF(R2547&lt;=5,"3-5",IF(R2547&lt;=10,"6-10","11+")))</f>
        <v/>
      </c>
    </row>
    <row r="2548">
      <c r="A2548" s="39" t="n">
        <v>46188.06487268519</v>
      </c>
      <c r="B2548" s="25">
        <f>TEXT(A2548,"YYYY-MM")</f>
        <v/>
      </c>
      <c r="C2548" s="25">
        <f>TEXT(A2548,"MMM-YYYY")</f>
        <v/>
      </c>
      <c r="D2548" s="40">
        <f>INT(A2548)-WEEKDAY(A2548,2)+1</f>
        <v/>
      </c>
      <c r="E2548" s="25" t="inlineStr">
        <is>
          <t>psathwika</t>
        </is>
      </c>
      <c r="F2548" s="25" t="n">
        <v>124888</v>
      </c>
      <c r="G2548" s="25" t="n">
        <v>1</v>
      </c>
      <c r="H2548" s="25" t="n">
        <v>5</v>
      </c>
      <c r="I2548" s="25" t="inlineStr">
        <is>
          <t>3 minute(s) and 7 second(s)</t>
        </is>
      </c>
      <c r="J2548" s="25">
        <f>IFERROR(VALUE(TRIM(LEFT(I2548,FIND("minute",I2548)-1)))*60,0)+IFERROR(VALUE(SUBSTITUTE(MID(I2548,IFERROR(FIND("and",I2548)+3,1),20),"second(s)","")),0)</f>
        <v/>
      </c>
      <c r="K2548" s="41">
        <f>J2548/60</f>
        <v/>
      </c>
      <c r="L2548" s="41">
        <f>IFERROR(J2548/H2548,"")</f>
        <v/>
      </c>
      <c r="M2548" s="25" t="inlineStr">
        <is>
          <t>2.5.12</t>
        </is>
      </c>
      <c r="N2548" s="25">
        <f>IF(J2548&gt;300,1,0)</f>
        <v/>
      </c>
      <c r="O2548" s="25">
        <f>IF(J2548&gt;600,1,0)</f>
        <v/>
      </c>
      <c r="P2548" s="25">
        <f>IF(H2548&gt;0,J2548,"")</f>
        <v/>
      </c>
      <c r="Q2548" s="25">
        <f>TEXT(A2548,"YYYY-MM-DD HH")</f>
        <v/>
      </c>
      <c r="R2548" s="25">
        <f>COUNTIF($Q$2:$Q$5295,Q2548)</f>
        <v/>
      </c>
      <c r="S2548" s="25">
        <f>IF(R2548&lt;=2,"1-2",IF(R2548&lt;=5,"3-5",IF(R2548&lt;=10,"6-10","11+")))</f>
        <v/>
      </c>
    </row>
    <row r="2549">
      <c r="A2549" s="39" t="n">
        <v>46188.06923611111</v>
      </c>
      <c r="B2549" s="25">
        <f>TEXT(A2549,"YYYY-MM")</f>
        <v/>
      </c>
      <c r="C2549" s="25">
        <f>TEXT(A2549,"MMM-YYYY")</f>
        <v/>
      </c>
      <c r="D2549" s="40">
        <f>INT(A2549)-WEEKDAY(A2549,2)+1</f>
        <v/>
      </c>
      <c r="E2549" s="25" t="inlineStr">
        <is>
          <t>asahoo</t>
        </is>
      </c>
      <c r="F2549" s="25" t="n">
        <v>123925</v>
      </c>
      <c r="G2549" s="25" t="n">
        <v>3</v>
      </c>
      <c r="H2549" s="25" t="n">
        <v>11</v>
      </c>
      <c r="I2549" s="25" t="inlineStr">
        <is>
          <t>2 minute(s) and 38 second(s)</t>
        </is>
      </c>
      <c r="J2549" s="25">
        <f>IFERROR(VALUE(TRIM(LEFT(I2549,FIND("minute",I2549)-1)))*60,0)+IFERROR(VALUE(SUBSTITUTE(MID(I2549,IFERROR(FIND("and",I2549)+3,1),20),"second(s)","")),0)</f>
        <v/>
      </c>
      <c r="K2549" s="41">
        <f>J2549/60</f>
        <v/>
      </c>
      <c r="L2549" s="41">
        <f>IFERROR(J2549/H2549,"")</f>
        <v/>
      </c>
      <c r="M2549" s="25" t="inlineStr">
        <is>
          <t>2.5.12</t>
        </is>
      </c>
      <c r="N2549" s="25">
        <f>IF(J2549&gt;300,1,0)</f>
        <v/>
      </c>
      <c r="O2549" s="25">
        <f>IF(J2549&gt;600,1,0)</f>
        <v/>
      </c>
      <c r="P2549" s="25">
        <f>IF(H2549&gt;0,J2549,"")</f>
        <v/>
      </c>
      <c r="Q2549" s="25">
        <f>TEXT(A2549,"YYYY-MM-DD HH")</f>
        <v/>
      </c>
      <c r="R2549" s="25">
        <f>COUNTIF($Q$2:$Q$5295,Q2549)</f>
        <v/>
      </c>
      <c r="S2549" s="25">
        <f>IF(R2549&lt;=2,"1-2",IF(R2549&lt;=5,"3-5",IF(R2549&lt;=10,"6-10","11+")))</f>
        <v/>
      </c>
    </row>
    <row r="2550">
      <c r="A2550" s="39" t="n">
        <v>46188.07042824074</v>
      </c>
      <c r="B2550" s="25">
        <f>TEXT(A2550,"YYYY-MM")</f>
        <v/>
      </c>
      <c r="C2550" s="25">
        <f>TEXT(A2550,"MMM-YYYY")</f>
        <v/>
      </c>
      <c r="D2550" s="40">
        <f>INT(A2550)-WEEKDAY(A2550,2)+1</f>
        <v/>
      </c>
      <c r="E2550" s="25" t="inlineStr">
        <is>
          <t>ethomas</t>
        </is>
      </c>
      <c r="F2550" s="25" t="n">
        <v>122417</v>
      </c>
      <c r="G2550" s="25" t="n">
        <v>4</v>
      </c>
      <c r="H2550" s="25" t="n">
        <v>22</v>
      </c>
      <c r="I2550" s="25" t="inlineStr">
        <is>
          <t>5 minute(s) and 50 second(s)</t>
        </is>
      </c>
      <c r="J2550" s="25">
        <f>IFERROR(VALUE(TRIM(LEFT(I2550,FIND("minute",I2550)-1)))*60,0)+IFERROR(VALUE(SUBSTITUTE(MID(I2550,IFERROR(FIND("and",I2550)+3,1),20),"second(s)","")),0)</f>
        <v/>
      </c>
      <c r="K2550" s="41">
        <f>J2550/60</f>
        <v/>
      </c>
      <c r="L2550" s="41">
        <f>IFERROR(J2550/H2550,"")</f>
        <v/>
      </c>
      <c r="M2550" s="25" t="inlineStr">
        <is>
          <t>2.5.12</t>
        </is>
      </c>
      <c r="N2550" s="25">
        <f>IF(J2550&gt;300,1,0)</f>
        <v/>
      </c>
      <c r="O2550" s="25">
        <f>IF(J2550&gt;600,1,0)</f>
        <v/>
      </c>
      <c r="P2550" s="25">
        <f>IF(H2550&gt;0,J2550,"")</f>
        <v/>
      </c>
      <c r="Q2550" s="25">
        <f>TEXT(A2550,"YYYY-MM-DD HH")</f>
        <v/>
      </c>
      <c r="R2550" s="25">
        <f>COUNTIF($Q$2:$Q$5295,Q2550)</f>
        <v/>
      </c>
      <c r="S2550" s="25">
        <f>IF(R2550&lt;=2,"1-2",IF(R2550&lt;=5,"3-5",IF(R2550&lt;=10,"6-10","11+")))</f>
        <v/>
      </c>
    </row>
    <row r="2551">
      <c r="A2551" s="39" t="n">
        <v>46188.07150462963</v>
      </c>
      <c r="B2551" s="25">
        <f>TEXT(A2551,"YYYY-MM")</f>
        <v/>
      </c>
      <c r="C2551" s="25">
        <f>TEXT(A2551,"MMM-YYYY")</f>
        <v/>
      </c>
      <c r="D2551" s="40">
        <f>INT(A2551)-WEEKDAY(A2551,2)+1</f>
        <v/>
      </c>
      <c r="E2551" s="25" t="inlineStr">
        <is>
          <t>mgupta</t>
        </is>
      </c>
      <c r="F2551" s="25" t="n">
        <v>124699</v>
      </c>
      <c r="G2551" s="25" t="n">
        <v>2</v>
      </c>
      <c r="H2551" s="25" t="n">
        <v>6</v>
      </c>
      <c r="I2551" s="25" t="inlineStr">
        <is>
          <t>1 minute(s) and 7 second(s)</t>
        </is>
      </c>
      <c r="J2551" s="25">
        <f>IFERROR(VALUE(TRIM(LEFT(I2551,FIND("minute",I2551)-1)))*60,0)+IFERROR(VALUE(SUBSTITUTE(MID(I2551,IFERROR(FIND("and",I2551)+3,1),20),"second(s)","")),0)</f>
        <v/>
      </c>
      <c r="K2551" s="41">
        <f>J2551/60</f>
        <v/>
      </c>
      <c r="L2551" s="41">
        <f>IFERROR(J2551/H2551,"")</f>
        <v/>
      </c>
      <c r="M2551" s="25" t="inlineStr">
        <is>
          <t>2.5.12</t>
        </is>
      </c>
      <c r="N2551" s="25">
        <f>IF(J2551&gt;300,1,0)</f>
        <v/>
      </c>
      <c r="O2551" s="25">
        <f>IF(J2551&gt;600,1,0)</f>
        <v/>
      </c>
      <c r="P2551" s="25">
        <f>IF(H2551&gt;0,J2551,"")</f>
        <v/>
      </c>
      <c r="Q2551" s="25">
        <f>TEXT(A2551,"YYYY-MM-DD HH")</f>
        <v/>
      </c>
      <c r="R2551" s="25">
        <f>COUNTIF($Q$2:$Q$5295,Q2551)</f>
        <v/>
      </c>
      <c r="S2551" s="25">
        <f>IF(R2551&lt;=2,"1-2",IF(R2551&lt;=5,"3-5",IF(R2551&lt;=10,"6-10","11+")))</f>
        <v/>
      </c>
    </row>
    <row r="2552">
      <c r="A2552" s="39" t="n">
        <v>46188.07837962963</v>
      </c>
      <c r="B2552" s="25">
        <f>TEXT(A2552,"YYYY-MM")</f>
        <v/>
      </c>
      <c r="C2552" s="25">
        <f>TEXT(A2552,"MMM-YYYY")</f>
        <v/>
      </c>
      <c r="D2552" s="40">
        <f>INT(A2552)-WEEKDAY(A2552,2)+1</f>
        <v/>
      </c>
      <c r="E2552" s="25" t="inlineStr">
        <is>
          <t>csaha</t>
        </is>
      </c>
      <c r="F2552" s="25" t="n">
        <v>124386</v>
      </c>
      <c r="G2552" s="25" t="n">
        <v>4</v>
      </c>
      <c r="H2552" s="25" t="n">
        <v>10</v>
      </c>
      <c r="I2552" s="25" t="inlineStr">
        <is>
          <t>2 minute(s) and 6 second(s)</t>
        </is>
      </c>
      <c r="J2552" s="25">
        <f>IFERROR(VALUE(TRIM(LEFT(I2552,FIND("minute",I2552)-1)))*60,0)+IFERROR(VALUE(SUBSTITUTE(MID(I2552,IFERROR(FIND("and",I2552)+3,1),20),"second(s)","")),0)</f>
        <v/>
      </c>
      <c r="K2552" s="41">
        <f>J2552/60</f>
        <v/>
      </c>
      <c r="L2552" s="41">
        <f>IFERROR(J2552/H2552,"")</f>
        <v/>
      </c>
      <c r="M2552" s="25" t="inlineStr">
        <is>
          <t>2.5.12</t>
        </is>
      </c>
      <c r="N2552" s="25">
        <f>IF(J2552&gt;300,1,0)</f>
        <v/>
      </c>
      <c r="O2552" s="25">
        <f>IF(J2552&gt;600,1,0)</f>
        <v/>
      </c>
      <c r="P2552" s="25">
        <f>IF(H2552&gt;0,J2552,"")</f>
        <v/>
      </c>
      <c r="Q2552" s="25">
        <f>TEXT(A2552,"YYYY-MM-DD HH")</f>
        <v/>
      </c>
      <c r="R2552" s="25">
        <f>COUNTIF($Q$2:$Q$5295,Q2552)</f>
        <v/>
      </c>
      <c r="S2552" s="25">
        <f>IF(R2552&lt;=2,"1-2",IF(R2552&lt;=5,"3-5",IF(R2552&lt;=10,"6-10","11+")))</f>
        <v/>
      </c>
    </row>
    <row r="2553">
      <c r="A2553" s="39" t="n">
        <v>46188.08148148148</v>
      </c>
      <c r="B2553" s="25">
        <f>TEXT(A2553,"YYYY-MM")</f>
        <v/>
      </c>
      <c r="C2553" s="25">
        <f>TEXT(A2553,"MMM-YYYY")</f>
        <v/>
      </c>
      <c r="D2553" s="40">
        <f>INT(A2553)-WEEKDAY(A2553,2)+1</f>
        <v/>
      </c>
      <c r="E2553" s="25" t="inlineStr">
        <is>
          <t>aghosh</t>
        </is>
      </c>
      <c r="F2553" s="25" t="n">
        <v>124126</v>
      </c>
      <c r="G2553" s="25" t="n">
        <v>2</v>
      </c>
      <c r="H2553" s="25" t="n">
        <v>12</v>
      </c>
      <c r="I2553" s="25" t="inlineStr">
        <is>
          <t>4 minute(s) and 42 second(s)</t>
        </is>
      </c>
      <c r="J2553" s="25">
        <f>IFERROR(VALUE(TRIM(LEFT(I2553,FIND("minute",I2553)-1)))*60,0)+IFERROR(VALUE(SUBSTITUTE(MID(I2553,IFERROR(FIND("and",I2553)+3,1),20),"second(s)","")),0)</f>
        <v/>
      </c>
      <c r="K2553" s="41">
        <f>J2553/60</f>
        <v/>
      </c>
      <c r="L2553" s="41">
        <f>IFERROR(J2553/H2553,"")</f>
        <v/>
      </c>
      <c r="M2553" s="25" t="inlineStr">
        <is>
          <t>2.5.12</t>
        </is>
      </c>
      <c r="N2553" s="25">
        <f>IF(J2553&gt;300,1,0)</f>
        <v/>
      </c>
      <c r="O2553" s="25">
        <f>IF(J2553&gt;600,1,0)</f>
        <v/>
      </c>
      <c r="P2553" s="25">
        <f>IF(H2553&gt;0,J2553,"")</f>
        <v/>
      </c>
      <c r="Q2553" s="25">
        <f>TEXT(A2553,"YYYY-MM-DD HH")</f>
        <v/>
      </c>
      <c r="R2553" s="25">
        <f>COUNTIF($Q$2:$Q$5295,Q2553)</f>
        <v/>
      </c>
      <c r="S2553" s="25">
        <f>IF(R2553&lt;=2,"1-2",IF(R2553&lt;=5,"3-5",IF(R2553&lt;=10,"6-10","11+")))</f>
        <v/>
      </c>
    </row>
    <row r="2554">
      <c r="A2554" s="39" t="n">
        <v>46188.08315972222</v>
      </c>
      <c r="B2554" s="25">
        <f>TEXT(A2554,"YYYY-MM")</f>
        <v/>
      </c>
      <c r="C2554" s="25">
        <f>TEXT(A2554,"MMM-YYYY")</f>
        <v/>
      </c>
      <c r="D2554" s="40">
        <f>INT(A2554)-WEEKDAY(A2554,2)+1</f>
        <v/>
      </c>
      <c r="E2554" s="25" t="inlineStr">
        <is>
          <t>ns</t>
        </is>
      </c>
      <c r="F2554" s="25" t="n">
        <v>124785</v>
      </c>
      <c r="G2554" s="25" t="n">
        <v>4</v>
      </c>
      <c r="H2554" s="25" t="n">
        <v>14</v>
      </c>
      <c r="I2554" s="25" t="inlineStr">
        <is>
          <t>3 minute(s) and 36 second(s)</t>
        </is>
      </c>
      <c r="J2554" s="25">
        <f>IFERROR(VALUE(TRIM(LEFT(I2554,FIND("minute",I2554)-1)))*60,0)+IFERROR(VALUE(SUBSTITUTE(MID(I2554,IFERROR(FIND("and",I2554)+3,1),20),"second(s)","")),0)</f>
        <v/>
      </c>
      <c r="K2554" s="41">
        <f>J2554/60</f>
        <v/>
      </c>
      <c r="L2554" s="41">
        <f>IFERROR(J2554/H2554,"")</f>
        <v/>
      </c>
      <c r="M2554" s="25" t="inlineStr">
        <is>
          <t>2.5.12</t>
        </is>
      </c>
      <c r="N2554" s="25">
        <f>IF(J2554&gt;300,1,0)</f>
        <v/>
      </c>
      <c r="O2554" s="25">
        <f>IF(J2554&gt;600,1,0)</f>
        <v/>
      </c>
      <c r="P2554" s="25">
        <f>IF(H2554&gt;0,J2554,"")</f>
        <v/>
      </c>
      <c r="Q2554" s="25">
        <f>TEXT(A2554,"YYYY-MM-DD HH")</f>
        <v/>
      </c>
      <c r="R2554" s="25">
        <f>COUNTIF($Q$2:$Q$5295,Q2554)</f>
        <v/>
      </c>
      <c r="S2554" s="25">
        <f>IF(R2554&lt;=2,"1-2",IF(R2554&lt;=5,"3-5",IF(R2554&lt;=10,"6-10","11+")))</f>
        <v/>
      </c>
    </row>
    <row r="2555">
      <c r="A2555" s="39" t="n">
        <v>46188.08627314815</v>
      </c>
      <c r="B2555" s="25">
        <f>TEXT(A2555,"YYYY-MM")</f>
        <v/>
      </c>
      <c r="C2555" s="25">
        <f>TEXT(A2555,"MMM-YYYY")</f>
        <v/>
      </c>
      <c r="D2555" s="40">
        <f>INT(A2555)-WEEKDAY(A2555,2)+1</f>
        <v/>
      </c>
      <c r="E2555" s="25" t="inlineStr">
        <is>
          <t>ssrinivasan</t>
        </is>
      </c>
      <c r="F2555" s="25" t="n">
        <v>125588</v>
      </c>
      <c r="G2555" s="25" t="n">
        <v>4</v>
      </c>
      <c r="H2555" s="25" t="n">
        <v>24</v>
      </c>
      <c r="I2555" s="25" t="inlineStr">
        <is>
          <t>7 minute(s) and 7 second(s)</t>
        </is>
      </c>
      <c r="J2555" s="25">
        <f>IFERROR(VALUE(TRIM(LEFT(I2555,FIND("minute",I2555)-1)))*60,0)+IFERROR(VALUE(SUBSTITUTE(MID(I2555,IFERROR(FIND("and",I2555)+3,1),20),"second(s)","")),0)</f>
        <v/>
      </c>
      <c r="K2555" s="41">
        <f>J2555/60</f>
        <v/>
      </c>
      <c r="L2555" s="41">
        <f>IFERROR(J2555/H2555,"")</f>
        <v/>
      </c>
      <c r="M2555" s="25" t="inlineStr">
        <is>
          <t>2.5.12</t>
        </is>
      </c>
      <c r="N2555" s="25">
        <f>IF(J2555&gt;300,1,0)</f>
        <v/>
      </c>
      <c r="O2555" s="25">
        <f>IF(J2555&gt;600,1,0)</f>
        <v/>
      </c>
      <c r="P2555" s="25">
        <f>IF(H2555&gt;0,J2555,"")</f>
        <v/>
      </c>
      <c r="Q2555" s="25">
        <f>TEXT(A2555,"YYYY-MM-DD HH")</f>
        <v/>
      </c>
      <c r="R2555" s="25">
        <f>COUNTIF($Q$2:$Q$5295,Q2555)</f>
        <v/>
      </c>
      <c r="S2555" s="25">
        <f>IF(R2555&lt;=2,"1-2",IF(R2555&lt;=5,"3-5",IF(R2555&lt;=10,"6-10","11+")))</f>
        <v/>
      </c>
    </row>
    <row r="2556">
      <c r="A2556" s="39" t="n">
        <v>46188.09697916666</v>
      </c>
      <c r="B2556" s="25">
        <f>TEXT(A2556,"YYYY-MM")</f>
        <v/>
      </c>
      <c r="C2556" s="25">
        <f>TEXT(A2556,"MMM-YYYY")</f>
        <v/>
      </c>
      <c r="D2556" s="40">
        <f>INT(A2556)-WEEKDAY(A2556,2)+1</f>
        <v/>
      </c>
      <c r="E2556" s="25" t="inlineStr">
        <is>
          <t>aupadhayay</t>
        </is>
      </c>
      <c r="F2556" s="25" t="n">
        <v>123915</v>
      </c>
      <c r="G2556" s="25" t="n">
        <v>2</v>
      </c>
      <c r="H2556" s="25" t="n">
        <v>8</v>
      </c>
      <c r="I2556" s="25" t="inlineStr">
        <is>
          <t>5 minute(s) and 16 second(s)</t>
        </is>
      </c>
      <c r="J2556" s="25">
        <f>IFERROR(VALUE(TRIM(LEFT(I2556,FIND("minute",I2556)-1)))*60,0)+IFERROR(VALUE(SUBSTITUTE(MID(I2556,IFERROR(FIND("and",I2556)+3,1),20),"second(s)","")),0)</f>
        <v/>
      </c>
      <c r="K2556" s="41">
        <f>J2556/60</f>
        <v/>
      </c>
      <c r="L2556" s="41">
        <f>IFERROR(J2556/H2556,"")</f>
        <v/>
      </c>
      <c r="M2556" s="25" t="inlineStr">
        <is>
          <t>2.5.12</t>
        </is>
      </c>
      <c r="N2556" s="25">
        <f>IF(J2556&gt;300,1,0)</f>
        <v/>
      </c>
      <c r="O2556" s="25">
        <f>IF(J2556&gt;600,1,0)</f>
        <v/>
      </c>
      <c r="P2556" s="25">
        <f>IF(H2556&gt;0,J2556,"")</f>
        <v/>
      </c>
      <c r="Q2556" s="25">
        <f>TEXT(A2556,"YYYY-MM-DD HH")</f>
        <v/>
      </c>
      <c r="R2556" s="25">
        <f>COUNTIF($Q$2:$Q$5295,Q2556)</f>
        <v/>
      </c>
      <c r="S2556" s="25">
        <f>IF(R2556&lt;=2,"1-2",IF(R2556&lt;=5,"3-5",IF(R2556&lt;=10,"6-10","11+")))</f>
        <v/>
      </c>
    </row>
    <row r="2557">
      <c r="A2557" s="39" t="n">
        <v>46188.09791666667</v>
      </c>
      <c r="B2557" s="25">
        <f>TEXT(A2557,"YYYY-MM")</f>
        <v/>
      </c>
      <c r="C2557" s="25">
        <f>TEXT(A2557,"MMM-YYYY")</f>
        <v/>
      </c>
      <c r="D2557" s="40">
        <f>INT(A2557)-WEEKDAY(A2557,2)+1</f>
        <v/>
      </c>
      <c r="E2557" s="25" t="inlineStr">
        <is>
          <t>pmehndiratta</t>
        </is>
      </c>
      <c r="F2557" s="25" t="n">
        <v>124980</v>
      </c>
      <c r="G2557" s="25" t="n">
        <v>2</v>
      </c>
      <c r="H2557" s="25" t="n">
        <v>14</v>
      </c>
      <c r="I2557" s="25" t="inlineStr">
        <is>
          <t>2 minute(s) and 52 second(s)</t>
        </is>
      </c>
      <c r="J2557" s="25">
        <f>IFERROR(VALUE(TRIM(LEFT(I2557,FIND("minute",I2557)-1)))*60,0)+IFERROR(VALUE(SUBSTITUTE(MID(I2557,IFERROR(FIND("and",I2557)+3,1),20),"second(s)","")),0)</f>
        <v/>
      </c>
      <c r="K2557" s="41">
        <f>J2557/60</f>
        <v/>
      </c>
      <c r="L2557" s="41">
        <f>IFERROR(J2557/H2557,"")</f>
        <v/>
      </c>
      <c r="M2557" s="25" t="inlineStr">
        <is>
          <t>2.5.12</t>
        </is>
      </c>
      <c r="N2557" s="25">
        <f>IF(J2557&gt;300,1,0)</f>
        <v/>
      </c>
      <c r="O2557" s="25">
        <f>IF(J2557&gt;600,1,0)</f>
        <v/>
      </c>
      <c r="P2557" s="25">
        <f>IF(H2557&gt;0,J2557,"")</f>
        <v/>
      </c>
      <c r="Q2557" s="25">
        <f>TEXT(A2557,"YYYY-MM-DD HH")</f>
        <v/>
      </c>
      <c r="R2557" s="25">
        <f>COUNTIF($Q$2:$Q$5295,Q2557)</f>
        <v/>
      </c>
      <c r="S2557" s="25">
        <f>IF(R2557&lt;=2,"1-2",IF(R2557&lt;=5,"3-5",IF(R2557&lt;=10,"6-10","11+")))</f>
        <v/>
      </c>
    </row>
    <row r="2558">
      <c r="A2558" s="39" t="n">
        <v>46188.09822916667</v>
      </c>
      <c r="B2558" s="25">
        <f>TEXT(A2558,"YYYY-MM")</f>
        <v/>
      </c>
      <c r="C2558" s="25">
        <f>TEXT(A2558,"MMM-YYYY")</f>
        <v/>
      </c>
      <c r="D2558" s="40">
        <f>INT(A2558)-WEEKDAY(A2558,2)+1</f>
        <v/>
      </c>
      <c r="E2558" s="25" t="inlineStr">
        <is>
          <t>adey</t>
        </is>
      </c>
      <c r="F2558" s="25" t="n">
        <v>124354</v>
      </c>
      <c r="G2558" s="25" t="n">
        <v>3</v>
      </c>
      <c r="H2558" s="25" t="n">
        <v>15</v>
      </c>
      <c r="I2558" s="25" t="inlineStr">
        <is>
          <t>4 minute(s) and 44 second(s)</t>
        </is>
      </c>
      <c r="J2558" s="25">
        <f>IFERROR(VALUE(TRIM(LEFT(I2558,FIND("minute",I2558)-1)))*60,0)+IFERROR(VALUE(SUBSTITUTE(MID(I2558,IFERROR(FIND("and",I2558)+3,1),20),"second(s)","")),0)</f>
        <v/>
      </c>
      <c r="K2558" s="41">
        <f>J2558/60</f>
        <v/>
      </c>
      <c r="L2558" s="41">
        <f>IFERROR(J2558/H2558,"")</f>
        <v/>
      </c>
      <c r="M2558" s="25" t="inlineStr">
        <is>
          <t>2.5.12</t>
        </is>
      </c>
      <c r="N2558" s="25">
        <f>IF(J2558&gt;300,1,0)</f>
        <v/>
      </c>
      <c r="O2558" s="25">
        <f>IF(J2558&gt;600,1,0)</f>
        <v/>
      </c>
      <c r="P2558" s="25">
        <f>IF(H2558&gt;0,J2558,"")</f>
        <v/>
      </c>
      <c r="Q2558" s="25">
        <f>TEXT(A2558,"YYYY-MM-DD HH")</f>
        <v/>
      </c>
      <c r="R2558" s="25">
        <f>COUNTIF($Q$2:$Q$5295,Q2558)</f>
        <v/>
      </c>
      <c r="S2558" s="25">
        <f>IF(R2558&lt;=2,"1-2",IF(R2558&lt;=5,"3-5",IF(R2558&lt;=10,"6-10","11+")))</f>
        <v/>
      </c>
    </row>
    <row r="2559">
      <c r="A2559" s="39" t="n">
        <v>46188.10104166667</v>
      </c>
      <c r="B2559" s="25">
        <f>TEXT(A2559,"YYYY-MM")</f>
        <v/>
      </c>
      <c r="C2559" s="25">
        <f>TEXT(A2559,"MMM-YYYY")</f>
        <v/>
      </c>
      <c r="D2559" s="40">
        <f>INT(A2559)-WEEKDAY(A2559,2)+1</f>
        <v/>
      </c>
      <c r="E2559" s="25" t="inlineStr">
        <is>
          <t>shassan</t>
        </is>
      </c>
      <c r="F2559" s="25" t="n">
        <v>125289</v>
      </c>
      <c r="G2559" s="25" t="n">
        <v>2</v>
      </c>
      <c r="H2559" s="25" t="n">
        <v>8</v>
      </c>
      <c r="I2559" s="25" t="inlineStr">
        <is>
          <t>3 minute(s) and 9 second(s)</t>
        </is>
      </c>
      <c r="J2559" s="25">
        <f>IFERROR(VALUE(TRIM(LEFT(I2559,FIND("minute",I2559)-1)))*60,0)+IFERROR(VALUE(SUBSTITUTE(MID(I2559,IFERROR(FIND("and",I2559)+3,1),20),"second(s)","")),0)</f>
        <v/>
      </c>
      <c r="K2559" s="41">
        <f>J2559/60</f>
        <v/>
      </c>
      <c r="L2559" s="41">
        <f>IFERROR(J2559/H2559,"")</f>
        <v/>
      </c>
      <c r="M2559" s="25" t="inlineStr">
        <is>
          <t>2.5.12</t>
        </is>
      </c>
      <c r="N2559" s="25">
        <f>IF(J2559&gt;300,1,0)</f>
        <v/>
      </c>
      <c r="O2559" s="25">
        <f>IF(J2559&gt;600,1,0)</f>
        <v/>
      </c>
      <c r="P2559" s="25">
        <f>IF(H2559&gt;0,J2559,"")</f>
        <v/>
      </c>
      <c r="Q2559" s="25">
        <f>TEXT(A2559,"YYYY-MM-DD HH")</f>
        <v/>
      </c>
      <c r="R2559" s="25">
        <f>COUNTIF($Q$2:$Q$5295,Q2559)</f>
        <v/>
      </c>
      <c r="S2559" s="25">
        <f>IF(R2559&lt;=2,"1-2",IF(R2559&lt;=5,"3-5",IF(R2559&lt;=10,"6-10","11+")))</f>
        <v/>
      </c>
    </row>
    <row r="2560">
      <c r="A2560" s="39" t="n">
        <v>46188.10119212963</v>
      </c>
      <c r="B2560" s="25">
        <f>TEXT(A2560,"YYYY-MM")</f>
        <v/>
      </c>
      <c r="C2560" s="25">
        <f>TEXT(A2560,"MMM-YYYY")</f>
        <v/>
      </c>
      <c r="D2560" s="40">
        <f>INT(A2560)-WEEKDAY(A2560,2)+1</f>
        <v/>
      </c>
      <c r="E2560" s="25" t="inlineStr">
        <is>
          <t>bverma</t>
        </is>
      </c>
      <c r="F2560" s="25" t="n">
        <v>124364</v>
      </c>
      <c r="G2560" s="25" t="n">
        <v>2</v>
      </c>
      <c r="H2560" s="25" t="n">
        <v>12</v>
      </c>
      <c r="I2560" s="25" t="inlineStr">
        <is>
          <t>3 minute(s) and 16 second(s)</t>
        </is>
      </c>
      <c r="J2560" s="25">
        <f>IFERROR(VALUE(TRIM(LEFT(I2560,FIND("minute",I2560)-1)))*60,0)+IFERROR(VALUE(SUBSTITUTE(MID(I2560,IFERROR(FIND("and",I2560)+3,1),20),"second(s)","")),0)</f>
        <v/>
      </c>
      <c r="K2560" s="41">
        <f>J2560/60</f>
        <v/>
      </c>
      <c r="L2560" s="41">
        <f>IFERROR(J2560/H2560,"")</f>
        <v/>
      </c>
      <c r="M2560" s="25" t="inlineStr">
        <is>
          <t>2.5.12</t>
        </is>
      </c>
      <c r="N2560" s="25">
        <f>IF(J2560&gt;300,1,0)</f>
        <v/>
      </c>
      <c r="O2560" s="25">
        <f>IF(J2560&gt;600,1,0)</f>
        <v/>
      </c>
      <c r="P2560" s="25">
        <f>IF(H2560&gt;0,J2560,"")</f>
        <v/>
      </c>
      <c r="Q2560" s="25">
        <f>TEXT(A2560,"YYYY-MM-DD HH")</f>
        <v/>
      </c>
      <c r="R2560" s="25">
        <f>COUNTIF($Q$2:$Q$5295,Q2560)</f>
        <v/>
      </c>
      <c r="S2560" s="25">
        <f>IF(R2560&lt;=2,"1-2",IF(R2560&lt;=5,"3-5",IF(R2560&lt;=10,"6-10","11+")))</f>
        <v/>
      </c>
    </row>
    <row r="2561">
      <c r="A2561" s="39" t="n">
        <v>46188.12329861111</v>
      </c>
      <c r="B2561" s="25">
        <f>TEXT(A2561,"YYYY-MM")</f>
        <v/>
      </c>
      <c r="C2561" s="25">
        <f>TEXT(A2561,"MMM-YYYY")</f>
        <v/>
      </c>
      <c r="D2561" s="40">
        <f>INT(A2561)-WEEKDAY(A2561,2)+1</f>
        <v/>
      </c>
      <c r="E2561" s="25" t="inlineStr">
        <is>
          <t>tkarmakar</t>
        </is>
      </c>
      <c r="F2561" s="25" t="n">
        <v>123767</v>
      </c>
      <c r="G2561" s="25" t="n">
        <v>2</v>
      </c>
      <c r="H2561" s="25" t="n">
        <v>10</v>
      </c>
      <c r="I2561" s="25" t="inlineStr">
        <is>
          <t>1 minute(s) and 42 second(s)</t>
        </is>
      </c>
      <c r="J2561" s="25">
        <f>IFERROR(VALUE(TRIM(LEFT(I2561,FIND("minute",I2561)-1)))*60,0)+IFERROR(VALUE(SUBSTITUTE(MID(I2561,IFERROR(FIND("and",I2561)+3,1),20),"second(s)","")),0)</f>
        <v/>
      </c>
      <c r="K2561" s="41">
        <f>J2561/60</f>
        <v/>
      </c>
      <c r="L2561" s="41">
        <f>IFERROR(J2561/H2561,"")</f>
        <v/>
      </c>
      <c r="M2561" s="25" t="inlineStr">
        <is>
          <t>2.5.12</t>
        </is>
      </c>
      <c r="N2561" s="25">
        <f>IF(J2561&gt;300,1,0)</f>
        <v/>
      </c>
      <c r="O2561" s="25">
        <f>IF(J2561&gt;600,1,0)</f>
        <v/>
      </c>
      <c r="P2561" s="25">
        <f>IF(H2561&gt;0,J2561,"")</f>
        <v/>
      </c>
      <c r="Q2561" s="25">
        <f>TEXT(A2561,"YYYY-MM-DD HH")</f>
        <v/>
      </c>
      <c r="R2561" s="25">
        <f>COUNTIF($Q$2:$Q$5295,Q2561)</f>
        <v/>
      </c>
      <c r="S2561" s="25">
        <f>IF(R2561&lt;=2,"1-2",IF(R2561&lt;=5,"3-5",IF(R2561&lt;=10,"6-10","11+")))</f>
        <v/>
      </c>
    </row>
    <row r="2562">
      <c r="A2562" s="39" t="n">
        <v>46188.12494212963</v>
      </c>
      <c r="B2562" s="25">
        <f>TEXT(A2562,"YYYY-MM")</f>
        <v/>
      </c>
      <c r="C2562" s="25">
        <f>TEXT(A2562,"MMM-YYYY")</f>
        <v/>
      </c>
      <c r="D2562" s="40">
        <f>INT(A2562)-WEEKDAY(A2562,2)+1</f>
        <v/>
      </c>
      <c r="E2562" s="25" t="inlineStr">
        <is>
          <t>sdey</t>
        </is>
      </c>
      <c r="F2562" s="25" t="n">
        <v>125273</v>
      </c>
      <c r="G2562" s="25" t="n">
        <v>4</v>
      </c>
      <c r="H2562" s="25" t="n">
        <v>16</v>
      </c>
      <c r="I2562" s="25" t="inlineStr">
        <is>
          <t>3 minute(s) and 54 second(s)</t>
        </is>
      </c>
      <c r="J2562" s="25">
        <f>IFERROR(VALUE(TRIM(LEFT(I2562,FIND("minute",I2562)-1)))*60,0)+IFERROR(VALUE(SUBSTITUTE(MID(I2562,IFERROR(FIND("and",I2562)+3,1),20),"second(s)","")),0)</f>
        <v/>
      </c>
      <c r="K2562" s="41">
        <f>J2562/60</f>
        <v/>
      </c>
      <c r="L2562" s="41">
        <f>IFERROR(J2562/H2562,"")</f>
        <v/>
      </c>
      <c r="M2562" s="25" t="inlineStr">
        <is>
          <t>2.5.12</t>
        </is>
      </c>
      <c r="N2562" s="25">
        <f>IF(J2562&gt;300,1,0)</f>
        <v/>
      </c>
      <c r="O2562" s="25">
        <f>IF(J2562&gt;600,1,0)</f>
        <v/>
      </c>
      <c r="P2562" s="25">
        <f>IF(H2562&gt;0,J2562,"")</f>
        <v/>
      </c>
      <c r="Q2562" s="25">
        <f>TEXT(A2562,"YYYY-MM-DD HH")</f>
        <v/>
      </c>
      <c r="R2562" s="25">
        <f>COUNTIF($Q$2:$Q$5295,Q2562)</f>
        <v/>
      </c>
      <c r="S2562" s="25">
        <f>IF(R2562&lt;=2,"1-2",IF(R2562&lt;=5,"3-5",IF(R2562&lt;=10,"6-10","11+")))</f>
        <v/>
      </c>
    </row>
    <row r="2563">
      <c r="A2563" s="39" t="n">
        <v>46188.12520833333</v>
      </c>
      <c r="B2563" s="25">
        <f>TEXT(A2563,"YYYY-MM")</f>
        <v/>
      </c>
      <c r="C2563" s="25">
        <f>TEXT(A2563,"MMM-YYYY")</f>
        <v/>
      </c>
      <c r="D2563" s="40">
        <f>INT(A2563)-WEEKDAY(A2563,2)+1</f>
        <v/>
      </c>
      <c r="E2563" s="25" t="inlineStr">
        <is>
          <t>stiwari</t>
        </is>
      </c>
      <c r="F2563" s="25" t="n">
        <v>123932</v>
      </c>
      <c r="G2563" s="25" t="n">
        <v>4</v>
      </c>
      <c r="H2563" s="25" t="n">
        <v>16</v>
      </c>
      <c r="I2563" s="25" t="inlineStr">
        <is>
          <t>4 minute(s) and 37 second(s)</t>
        </is>
      </c>
      <c r="J2563" s="25">
        <f>IFERROR(VALUE(TRIM(LEFT(I2563,FIND("minute",I2563)-1)))*60,0)+IFERROR(VALUE(SUBSTITUTE(MID(I2563,IFERROR(FIND("and",I2563)+3,1),20),"second(s)","")),0)</f>
        <v/>
      </c>
      <c r="K2563" s="41">
        <f>J2563/60</f>
        <v/>
      </c>
      <c r="L2563" s="41">
        <f>IFERROR(J2563/H2563,"")</f>
        <v/>
      </c>
      <c r="M2563" s="25" t="inlineStr">
        <is>
          <t>2.5.12</t>
        </is>
      </c>
      <c r="N2563" s="25">
        <f>IF(J2563&gt;300,1,0)</f>
        <v/>
      </c>
      <c r="O2563" s="25">
        <f>IF(J2563&gt;600,1,0)</f>
        <v/>
      </c>
      <c r="P2563" s="25">
        <f>IF(H2563&gt;0,J2563,"")</f>
        <v/>
      </c>
      <c r="Q2563" s="25">
        <f>TEXT(A2563,"YYYY-MM-DD HH")</f>
        <v/>
      </c>
      <c r="R2563" s="25">
        <f>COUNTIF($Q$2:$Q$5295,Q2563)</f>
        <v/>
      </c>
      <c r="S2563" s="25">
        <f>IF(R2563&lt;=2,"1-2",IF(R2563&lt;=5,"3-5",IF(R2563&lt;=10,"6-10","11+")))</f>
        <v/>
      </c>
    </row>
    <row r="2564">
      <c r="A2564" s="39" t="n">
        <v>46188.12844907407</v>
      </c>
      <c r="B2564" s="25">
        <f>TEXT(A2564,"YYYY-MM")</f>
        <v/>
      </c>
      <c r="C2564" s="25">
        <f>TEXT(A2564,"MMM-YYYY")</f>
        <v/>
      </c>
      <c r="D2564" s="40">
        <f>INT(A2564)-WEEKDAY(A2564,2)+1</f>
        <v/>
      </c>
      <c r="E2564" s="25" t="inlineStr">
        <is>
          <t>psathwika</t>
        </is>
      </c>
      <c r="F2564" s="25" t="n">
        <v>124868</v>
      </c>
      <c r="G2564" s="25" t="n">
        <v>1</v>
      </c>
      <c r="H2564" s="25" t="n">
        <v>7</v>
      </c>
      <c r="I2564" s="25" t="inlineStr">
        <is>
          <t>1 minute(s) and 40 second(s)</t>
        </is>
      </c>
      <c r="J2564" s="25">
        <f>IFERROR(VALUE(TRIM(LEFT(I2564,FIND("minute",I2564)-1)))*60,0)+IFERROR(VALUE(SUBSTITUTE(MID(I2564,IFERROR(FIND("and",I2564)+3,1),20),"second(s)","")),0)</f>
        <v/>
      </c>
      <c r="K2564" s="41">
        <f>J2564/60</f>
        <v/>
      </c>
      <c r="L2564" s="41">
        <f>IFERROR(J2564/H2564,"")</f>
        <v/>
      </c>
      <c r="M2564" s="25" t="inlineStr">
        <is>
          <t>2.5.12</t>
        </is>
      </c>
      <c r="N2564" s="25">
        <f>IF(J2564&gt;300,1,0)</f>
        <v/>
      </c>
      <c r="O2564" s="25">
        <f>IF(J2564&gt;600,1,0)</f>
        <v/>
      </c>
      <c r="P2564" s="25">
        <f>IF(H2564&gt;0,J2564,"")</f>
        <v/>
      </c>
      <c r="Q2564" s="25">
        <f>TEXT(A2564,"YYYY-MM-DD HH")</f>
        <v/>
      </c>
      <c r="R2564" s="25">
        <f>COUNTIF($Q$2:$Q$5295,Q2564)</f>
        <v/>
      </c>
      <c r="S2564" s="25">
        <f>IF(R2564&lt;=2,"1-2",IF(R2564&lt;=5,"3-5",IF(R2564&lt;=10,"6-10","11+")))</f>
        <v/>
      </c>
    </row>
    <row r="2565">
      <c r="A2565" s="39" t="n">
        <v>46188.12981481481</v>
      </c>
      <c r="B2565" s="25">
        <f>TEXT(A2565,"YYYY-MM")</f>
        <v/>
      </c>
      <c r="C2565" s="25">
        <f>TEXT(A2565,"MMM-YYYY")</f>
        <v/>
      </c>
      <c r="D2565" s="40">
        <f>INT(A2565)-WEEKDAY(A2565,2)+1</f>
        <v/>
      </c>
      <c r="E2565" s="25" t="inlineStr">
        <is>
          <t>ns</t>
        </is>
      </c>
      <c r="F2565" s="25" t="n">
        <v>124784</v>
      </c>
      <c r="G2565" s="25" t="n">
        <v>2</v>
      </c>
      <c r="H2565" s="25" t="n">
        <v>8</v>
      </c>
      <c r="I2565" s="25" t="inlineStr">
        <is>
          <t>4 minute(s) and 4 second(s)</t>
        </is>
      </c>
      <c r="J2565" s="25">
        <f>IFERROR(VALUE(TRIM(LEFT(I2565,FIND("minute",I2565)-1)))*60,0)+IFERROR(VALUE(SUBSTITUTE(MID(I2565,IFERROR(FIND("and",I2565)+3,1),20),"second(s)","")),0)</f>
        <v/>
      </c>
      <c r="K2565" s="41">
        <f>J2565/60</f>
        <v/>
      </c>
      <c r="L2565" s="41">
        <f>IFERROR(J2565/H2565,"")</f>
        <v/>
      </c>
      <c r="M2565" s="25" t="inlineStr">
        <is>
          <t>2.5.12</t>
        </is>
      </c>
      <c r="N2565" s="25">
        <f>IF(J2565&gt;300,1,0)</f>
        <v/>
      </c>
      <c r="O2565" s="25">
        <f>IF(J2565&gt;600,1,0)</f>
        <v/>
      </c>
      <c r="P2565" s="25">
        <f>IF(H2565&gt;0,J2565,"")</f>
        <v/>
      </c>
      <c r="Q2565" s="25">
        <f>TEXT(A2565,"YYYY-MM-DD HH")</f>
        <v/>
      </c>
      <c r="R2565" s="25">
        <f>COUNTIF($Q$2:$Q$5295,Q2565)</f>
        <v/>
      </c>
      <c r="S2565" s="25">
        <f>IF(R2565&lt;=2,"1-2",IF(R2565&lt;=5,"3-5",IF(R2565&lt;=10,"6-10","11+")))</f>
        <v/>
      </c>
    </row>
    <row r="2566">
      <c r="A2566" s="39" t="n">
        <v>46188.13118055555</v>
      </c>
      <c r="B2566" s="25">
        <f>TEXT(A2566,"YYYY-MM")</f>
        <v/>
      </c>
      <c r="C2566" s="25">
        <f>TEXT(A2566,"MMM-YYYY")</f>
        <v/>
      </c>
      <c r="D2566" s="40">
        <f>INT(A2566)-WEEKDAY(A2566,2)+1</f>
        <v/>
      </c>
      <c r="E2566" s="25" t="inlineStr">
        <is>
          <t>rts</t>
        </is>
      </c>
      <c r="F2566" s="25" t="n">
        <v>125060</v>
      </c>
      <c r="G2566" s="25" t="n">
        <v>2</v>
      </c>
      <c r="H2566" s="25" t="n">
        <v>10</v>
      </c>
      <c r="I2566" s="25" t="inlineStr">
        <is>
          <t>4 minute(s) and 25 second(s)</t>
        </is>
      </c>
      <c r="J2566" s="25">
        <f>IFERROR(VALUE(TRIM(LEFT(I2566,FIND("minute",I2566)-1)))*60,0)+IFERROR(VALUE(SUBSTITUTE(MID(I2566,IFERROR(FIND("and",I2566)+3,1),20),"second(s)","")),0)</f>
        <v/>
      </c>
      <c r="K2566" s="41">
        <f>J2566/60</f>
        <v/>
      </c>
      <c r="L2566" s="41">
        <f>IFERROR(J2566/H2566,"")</f>
        <v/>
      </c>
      <c r="M2566" s="25" t="inlineStr">
        <is>
          <t>2.5.12</t>
        </is>
      </c>
      <c r="N2566" s="25">
        <f>IF(J2566&gt;300,1,0)</f>
        <v/>
      </c>
      <c r="O2566" s="25">
        <f>IF(J2566&gt;600,1,0)</f>
        <v/>
      </c>
      <c r="P2566" s="25">
        <f>IF(H2566&gt;0,J2566,"")</f>
        <v/>
      </c>
      <c r="Q2566" s="25">
        <f>TEXT(A2566,"YYYY-MM-DD HH")</f>
        <v/>
      </c>
      <c r="R2566" s="25">
        <f>COUNTIF($Q$2:$Q$5295,Q2566)</f>
        <v/>
      </c>
      <c r="S2566" s="25">
        <f>IF(R2566&lt;=2,"1-2",IF(R2566&lt;=5,"3-5",IF(R2566&lt;=10,"6-10","11+")))</f>
        <v/>
      </c>
    </row>
    <row r="2567">
      <c r="A2567" s="39" t="n">
        <v>46188.13853009259</v>
      </c>
      <c r="B2567" s="25">
        <f>TEXT(A2567,"YYYY-MM")</f>
        <v/>
      </c>
      <c r="C2567" s="25">
        <f>TEXT(A2567,"MMM-YYYY")</f>
        <v/>
      </c>
      <c r="D2567" s="40">
        <f>INT(A2567)-WEEKDAY(A2567,2)+1</f>
        <v/>
      </c>
      <c r="E2567" s="25" t="inlineStr">
        <is>
          <t>shassan</t>
        </is>
      </c>
      <c r="F2567" s="25" t="n">
        <v>125287</v>
      </c>
      <c r="G2567" s="25" t="n">
        <v>2</v>
      </c>
      <c r="H2567" s="25" t="n">
        <v>8</v>
      </c>
      <c r="I2567" s="25" t="inlineStr">
        <is>
          <t>2 minute(s) and 40 second(s)</t>
        </is>
      </c>
      <c r="J2567" s="25">
        <f>IFERROR(VALUE(TRIM(LEFT(I2567,FIND("minute",I2567)-1)))*60,0)+IFERROR(VALUE(SUBSTITUTE(MID(I2567,IFERROR(FIND("and",I2567)+3,1),20),"second(s)","")),0)</f>
        <v/>
      </c>
      <c r="K2567" s="41">
        <f>J2567/60</f>
        <v/>
      </c>
      <c r="L2567" s="41">
        <f>IFERROR(J2567/H2567,"")</f>
        <v/>
      </c>
      <c r="M2567" s="25" t="inlineStr">
        <is>
          <t>2.5.12</t>
        </is>
      </c>
      <c r="N2567" s="25">
        <f>IF(J2567&gt;300,1,0)</f>
        <v/>
      </c>
      <c r="O2567" s="25">
        <f>IF(J2567&gt;600,1,0)</f>
        <v/>
      </c>
      <c r="P2567" s="25">
        <f>IF(H2567&gt;0,J2567,"")</f>
        <v/>
      </c>
      <c r="Q2567" s="25">
        <f>TEXT(A2567,"YYYY-MM-DD HH")</f>
        <v/>
      </c>
      <c r="R2567" s="25">
        <f>COUNTIF($Q$2:$Q$5295,Q2567)</f>
        <v/>
      </c>
      <c r="S2567" s="25">
        <f>IF(R2567&lt;=2,"1-2",IF(R2567&lt;=5,"3-5",IF(R2567&lt;=10,"6-10","11+")))</f>
        <v/>
      </c>
    </row>
    <row r="2568">
      <c r="A2568" s="39" t="n">
        <v>46188.15306712963</v>
      </c>
      <c r="B2568" s="25">
        <f>TEXT(A2568,"YYYY-MM")</f>
        <v/>
      </c>
      <c r="C2568" s="25">
        <f>TEXT(A2568,"MMM-YYYY")</f>
        <v/>
      </c>
      <c r="D2568" s="40">
        <f>INT(A2568)-WEEKDAY(A2568,2)+1</f>
        <v/>
      </c>
      <c r="E2568" s="25" t="inlineStr">
        <is>
          <t>asahoo</t>
        </is>
      </c>
      <c r="F2568" s="25" t="n">
        <v>123923</v>
      </c>
      <c r="G2568" s="25" t="n">
        <v>1</v>
      </c>
      <c r="H2568" s="25" t="n">
        <v>5</v>
      </c>
      <c r="I2568" s="25" t="inlineStr">
        <is>
          <t>1 minute(s) and 48 second(s)</t>
        </is>
      </c>
      <c r="J2568" s="25">
        <f>IFERROR(VALUE(TRIM(LEFT(I2568,FIND("minute",I2568)-1)))*60,0)+IFERROR(VALUE(SUBSTITUTE(MID(I2568,IFERROR(FIND("and",I2568)+3,1),20),"second(s)","")),0)</f>
        <v/>
      </c>
      <c r="K2568" s="41">
        <f>J2568/60</f>
        <v/>
      </c>
      <c r="L2568" s="41">
        <f>IFERROR(J2568/H2568,"")</f>
        <v/>
      </c>
      <c r="M2568" s="25" t="inlineStr">
        <is>
          <t>2.5.12</t>
        </is>
      </c>
      <c r="N2568" s="25">
        <f>IF(J2568&gt;300,1,0)</f>
        <v/>
      </c>
      <c r="O2568" s="25">
        <f>IF(J2568&gt;600,1,0)</f>
        <v/>
      </c>
      <c r="P2568" s="25">
        <f>IF(H2568&gt;0,J2568,"")</f>
        <v/>
      </c>
      <c r="Q2568" s="25">
        <f>TEXT(A2568,"YYYY-MM-DD HH")</f>
        <v/>
      </c>
      <c r="R2568" s="25">
        <f>COUNTIF($Q$2:$Q$5295,Q2568)</f>
        <v/>
      </c>
      <c r="S2568" s="25">
        <f>IF(R2568&lt;=2,"1-2",IF(R2568&lt;=5,"3-5",IF(R2568&lt;=10,"6-10","11+")))</f>
        <v/>
      </c>
    </row>
    <row r="2569">
      <c r="A2569" s="39" t="n">
        <v>46188.15590277778</v>
      </c>
      <c r="B2569" s="25">
        <f>TEXT(A2569,"YYYY-MM")</f>
        <v/>
      </c>
      <c r="C2569" s="25">
        <f>TEXT(A2569,"MMM-YYYY")</f>
        <v/>
      </c>
      <c r="D2569" s="40">
        <f>INT(A2569)-WEEKDAY(A2569,2)+1</f>
        <v/>
      </c>
      <c r="E2569" s="25" t="inlineStr">
        <is>
          <t>aghosh</t>
        </is>
      </c>
      <c r="F2569" s="25" t="n">
        <v>124125</v>
      </c>
      <c r="G2569" s="25" t="n">
        <v>4</v>
      </c>
      <c r="H2569" s="25" t="n">
        <v>16</v>
      </c>
      <c r="I2569" s="25" t="inlineStr">
        <is>
          <t>6 minute(s) and 19 second(s)</t>
        </is>
      </c>
      <c r="J2569" s="25">
        <f>IFERROR(VALUE(TRIM(LEFT(I2569,FIND("minute",I2569)-1)))*60,0)+IFERROR(VALUE(SUBSTITUTE(MID(I2569,IFERROR(FIND("and",I2569)+3,1),20),"second(s)","")),0)</f>
        <v/>
      </c>
      <c r="K2569" s="41">
        <f>J2569/60</f>
        <v/>
      </c>
      <c r="L2569" s="41">
        <f>IFERROR(J2569/H2569,"")</f>
        <v/>
      </c>
      <c r="M2569" s="25" t="inlineStr">
        <is>
          <t>2.5.12</t>
        </is>
      </c>
      <c r="N2569" s="25">
        <f>IF(J2569&gt;300,1,0)</f>
        <v/>
      </c>
      <c r="O2569" s="25">
        <f>IF(J2569&gt;600,1,0)</f>
        <v/>
      </c>
      <c r="P2569" s="25">
        <f>IF(H2569&gt;0,J2569,"")</f>
        <v/>
      </c>
      <c r="Q2569" s="25">
        <f>TEXT(A2569,"YYYY-MM-DD HH")</f>
        <v/>
      </c>
      <c r="R2569" s="25">
        <f>COUNTIF($Q$2:$Q$5295,Q2569)</f>
        <v/>
      </c>
      <c r="S2569" s="25">
        <f>IF(R2569&lt;=2,"1-2",IF(R2569&lt;=5,"3-5",IF(R2569&lt;=10,"6-10","11+")))</f>
        <v/>
      </c>
    </row>
    <row r="2570">
      <c r="A2570" s="39" t="n">
        <v>46188.15670138889</v>
      </c>
      <c r="B2570" s="25">
        <f>TEXT(A2570,"YYYY-MM")</f>
        <v/>
      </c>
      <c r="C2570" s="25">
        <f>TEXT(A2570,"MMM-YYYY")</f>
        <v/>
      </c>
      <c r="D2570" s="40">
        <f>INT(A2570)-WEEKDAY(A2570,2)+1</f>
        <v/>
      </c>
      <c r="E2570" s="25" t="inlineStr">
        <is>
          <t>ssarkar</t>
        </is>
      </c>
      <c r="F2570" s="25" t="n">
        <v>125254</v>
      </c>
      <c r="G2570" s="25" t="n">
        <v>2</v>
      </c>
      <c r="H2570" s="25" t="n">
        <v>8</v>
      </c>
      <c r="I2570" s="25" t="inlineStr">
        <is>
          <t>3 minute(s) and 7 second(s)</t>
        </is>
      </c>
      <c r="J2570" s="25">
        <f>IFERROR(VALUE(TRIM(LEFT(I2570,FIND("minute",I2570)-1)))*60,0)+IFERROR(VALUE(SUBSTITUTE(MID(I2570,IFERROR(FIND("and",I2570)+3,1),20),"second(s)","")),0)</f>
        <v/>
      </c>
      <c r="K2570" s="41">
        <f>J2570/60</f>
        <v/>
      </c>
      <c r="L2570" s="41">
        <f>IFERROR(J2570/H2570,"")</f>
        <v/>
      </c>
      <c r="M2570" s="25" t="inlineStr">
        <is>
          <t>2.5.12</t>
        </is>
      </c>
      <c r="N2570" s="25">
        <f>IF(J2570&gt;300,1,0)</f>
        <v/>
      </c>
      <c r="O2570" s="25">
        <f>IF(J2570&gt;600,1,0)</f>
        <v/>
      </c>
      <c r="P2570" s="25">
        <f>IF(H2570&gt;0,J2570,"")</f>
        <v/>
      </c>
      <c r="Q2570" s="25">
        <f>TEXT(A2570,"YYYY-MM-DD HH")</f>
        <v/>
      </c>
      <c r="R2570" s="25">
        <f>COUNTIF($Q$2:$Q$5295,Q2570)</f>
        <v/>
      </c>
      <c r="S2570" s="25">
        <f>IF(R2570&lt;=2,"1-2",IF(R2570&lt;=5,"3-5",IF(R2570&lt;=10,"6-10","11+")))</f>
        <v/>
      </c>
    </row>
    <row r="2571">
      <c r="A2571" s="39" t="n">
        <v>46188.16524305556</v>
      </c>
      <c r="B2571" s="25">
        <f>TEXT(A2571,"YYYY-MM")</f>
        <v/>
      </c>
      <c r="C2571" s="25">
        <f>TEXT(A2571,"MMM-YYYY")</f>
        <v/>
      </c>
      <c r="D2571" s="40">
        <f>INT(A2571)-WEEKDAY(A2571,2)+1</f>
        <v/>
      </c>
      <c r="E2571" s="25" t="inlineStr">
        <is>
          <t>bverma</t>
        </is>
      </c>
      <c r="F2571" s="25" t="n">
        <v>124362</v>
      </c>
      <c r="G2571" s="25" t="n">
        <v>3</v>
      </c>
      <c r="H2571" s="25" t="n">
        <v>15</v>
      </c>
      <c r="I2571" s="25" t="inlineStr">
        <is>
          <t>5 minute(s) and 13 second(s)</t>
        </is>
      </c>
      <c r="J2571" s="25">
        <f>IFERROR(VALUE(TRIM(LEFT(I2571,FIND("minute",I2571)-1)))*60,0)+IFERROR(VALUE(SUBSTITUTE(MID(I2571,IFERROR(FIND("and",I2571)+3,1),20),"second(s)","")),0)</f>
        <v/>
      </c>
      <c r="K2571" s="41">
        <f>J2571/60</f>
        <v/>
      </c>
      <c r="L2571" s="41">
        <f>IFERROR(J2571/H2571,"")</f>
        <v/>
      </c>
      <c r="M2571" s="25" t="inlineStr">
        <is>
          <t>2.5.12</t>
        </is>
      </c>
      <c r="N2571" s="25">
        <f>IF(J2571&gt;300,1,0)</f>
        <v/>
      </c>
      <c r="O2571" s="25">
        <f>IF(J2571&gt;600,1,0)</f>
        <v/>
      </c>
      <c r="P2571" s="25">
        <f>IF(H2571&gt;0,J2571,"")</f>
        <v/>
      </c>
      <c r="Q2571" s="25">
        <f>TEXT(A2571,"YYYY-MM-DD HH")</f>
        <v/>
      </c>
      <c r="R2571" s="25">
        <f>COUNTIF($Q$2:$Q$5295,Q2571)</f>
        <v/>
      </c>
      <c r="S2571" s="25">
        <f>IF(R2571&lt;=2,"1-2",IF(R2571&lt;=5,"3-5",IF(R2571&lt;=10,"6-10","11+")))</f>
        <v/>
      </c>
    </row>
    <row r="2572">
      <c r="A2572" s="39" t="n">
        <v>46188.17439814815</v>
      </c>
      <c r="B2572" s="25">
        <f>TEXT(A2572,"YYYY-MM")</f>
        <v/>
      </c>
      <c r="C2572" s="25">
        <f>TEXT(A2572,"MMM-YYYY")</f>
        <v/>
      </c>
      <c r="D2572" s="40">
        <f>INT(A2572)-WEEKDAY(A2572,2)+1</f>
        <v/>
      </c>
      <c r="E2572" s="25" t="inlineStr">
        <is>
          <t>mbohra</t>
        </is>
      </c>
      <c r="F2572" s="25" t="n">
        <v>125255</v>
      </c>
      <c r="G2572" s="25" t="n">
        <v>5</v>
      </c>
      <c r="H2572" s="25" t="n">
        <v>19</v>
      </c>
      <c r="I2572" s="25" t="inlineStr">
        <is>
          <t>9 minute(s) and 18 second(s)</t>
        </is>
      </c>
      <c r="J2572" s="25">
        <f>IFERROR(VALUE(TRIM(LEFT(I2572,FIND("minute",I2572)-1)))*60,0)+IFERROR(VALUE(SUBSTITUTE(MID(I2572,IFERROR(FIND("and",I2572)+3,1),20),"second(s)","")),0)</f>
        <v/>
      </c>
      <c r="K2572" s="41">
        <f>J2572/60</f>
        <v/>
      </c>
      <c r="L2572" s="41">
        <f>IFERROR(J2572/H2572,"")</f>
        <v/>
      </c>
      <c r="M2572" s="25" t="inlineStr">
        <is>
          <t>2.5.12</t>
        </is>
      </c>
      <c r="N2572" s="25">
        <f>IF(J2572&gt;300,1,0)</f>
        <v/>
      </c>
      <c r="O2572" s="25">
        <f>IF(J2572&gt;600,1,0)</f>
        <v/>
      </c>
      <c r="P2572" s="25">
        <f>IF(H2572&gt;0,J2572,"")</f>
        <v/>
      </c>
      <c r="Q2572" s="25">
        <f>TEXT(A2572,"YYYY-MM-DD HH")</f>
        <v/>
      </c>
      <c r="R2572" s="25">
        <f>COUNTIF($Q$2:$Q$5295,Q2572)</f>
        <v/>
      </c>
      <c r="S2572" s="25">
        <f>IF(R2572&lt;=2,"1-2",IF(R2572&lt;=5,"3-5",IF(R2572&lt;=10,"6-10","11+")))</f>
        <v/>
      </c>
    </row>
    <row r="2573">
      <c r="A2573" s="39" t="n">
        <v>46188.19085648148</v>
      </c>
      <c r="B2573" s="25">
        <f>TEXT(A2573,"YYYY-MM")</f>
        <v/>
      </c>
      <c r="C2573" s="25">
        <f>TEXT(A2573,"MMM-YYYY")</f>
        <v/>
      </c>
      <c r="D2573" s="40">
        <f>INT(A2573)-WEEKDAY(A2573,2)+1</f>
        <v/>
      </c>
      <c r="E2573" s="25" t="inlineStr">
        <is>
          <t>psathwika</t>
        </is>
      </c>
      <c r="F2573" s="25" t="n">
        <v>124905</v>
      </c>
      <c r="G2573" s="25" t="n">
        <v>4</v>
      </c>
      <c r="H2573" s="25" t="n">
        <v>22</v>
      </c>
      <c r="I2573" s="25" t="inlineStr">
        <is>
          <t>8 minute(s) and 19 second(s)</t>
        </is>
      </c>
      <c r="J2573" s="25">
        <f>IFERROR(VALUE(TRIM(LEFT(I2573,FIND("minute",I2573)-1)))*60,0)+IFERROR(VALUE(SUBSTITUTE(MID(I2573,IFERROR(FIND("and",I2573)+3,1),20),"second(s)","")),0)</f>
        <v/>
      </c>
      <c r="K2573" s="41">
        <f>J2573/60</f>
        <v/>
      </c>
      <c r="L2573" s="41">
        <f>IFERROR(J2573/H2573,"")</f>
        <v/>
      </c>
      <c r="M2573" s="25" t="inlineStr">
        <is>
          <t>2.5.12</t>
        </is>
      </c>
      <c r="N2573" s="25">
        <f>IF(J2573&gt;300,1,0)</f>
        <v/>
      </c>
      <c r="O2573" s="25">
        <f>IF(J2573&gt;600,1,0)</f>
        <v/>
      </c>
      <c r="P2573" s="25">
        <f>IF(H2573&gt;0,J2573,"")</f>
        <v/>
      </c>
      <c r="Q2573" s="25">
        <f>TEXT(A2573,"YYYY-MM-DD HH")</f>
        <v/>
      </c>
      <c r="R2573" s="25">
        <f>COUNTIF($Q$2:$Q$5295,Q2573)</f>
        <v/>
      </c>
      <c r="S2573" s="25">
        <f>IF(R2573&lt;=2,"1-2",IF(R2573&lt;=5,"3-5",IF(R2573&lt;=10,"6-10","11+")))</f>
        <v/>
      </c>
    </row>
    <row r="2574">
      <c r="A2574" s="39" t="n">
        <v>46188.19215277778</v>
      </c>
      <c r="B2574" s="25">
        <f>TEXT(A2574,"YYYY-MM")</f>
        <v/>
      </c>
      <c r="C2574" s="25">
        <f>TEXT(A2574,"MMM-YYYY")</f>
        <v/>
      </c>
      <c r="D2574" s="40">
        <f>INT(A2574)-WEEKDAY(A2574,2)+1</f>
        <v/>
      </c>
      <c r="E2574" s="25" t="inlineStr">
        <is>
          <t>asahoo</t>
        </is>
      </c>
      <c r="F2574" s="25" t="n">
        <v>123922</v>
      </c>
      <c r="G2574" s="25" t="n">
        <v>2</v>
      </c>
      <c r="H2574" s="25" t="n">
        <v>6</v>
      </c>
      <c r="I2574" s="25" t="inlineStr">
        <is>
          <t>1 minute(s) and 27 second(s)</t>
        </is>
      </c>
      <c r="J2574" s="25">
        <f>IFERROR(VALUE(TRIM(LEFT(I2574,FIND("minute",I2574)-1)))*60,0)+IFERROR(VALUE(SUBSTITUTE(MID(I2574,IFERROR(FIND("and",I2574)+3,1),20),"second(s)","")),0)</f>
        <v/>
      </c>
      <c r="K2574" s="41">
        <f>J2574/60</f>
        <v/>
      </c>
      <c r="L2574" s="41">
        <f>IFERROR(J2574/H2574,"")</f>
        <v/>
      </c>
      <c r="M2574" s="25" t="inlineStr">
        <is>
          <t>2.5.12</t>
        </is>
      </c>
      <c r="N2574" s="25">
        <f>IF(J2574&gt;300,1,0)</f>
        <v/>
      </c>
      <c r="O2574" s="25">
        <f>IF(J2574&gt;600,1,0)</f>
        <v/>
      </c>
      <c r="P2574" s="25">
        <f>IF(H2574&gt;0,J2574,"")</f>
        <v/>
      </c>
      <c r="Q2574" s="25">
        <f>TEXT(A2574,"YYYY-MM-DD HH")</f>
        <v/>
      </c>
      <c r="R2574" s="25">
        <f>COUNTIF($Q$2:$Q$5295,Q2574)</f>
        <v/>
      </c>
      <c r="S2574" s="25">
        <f>IF(R2574&lt;=2,"1-2",IF(R2574&lt;=5,"3-5",IF(R2574&lt;=10,"6-10","11+")))</f>
        <v/>
      </c>
    </row>
    <row r="2575">
      <c r="A2575" s="39" t="n">
        <v>46188.19384259259</v>
      </c>
      <c r="B2575" s="25">
        <f>TEXT(A2575,"YYYY-MM")</f>
        <v/>
      </c>
      <c r="C2575" s="25">
        <f>TEXT(A2575,"MMM-YYYY")</f>
        <v/>
      </c>
      <c r="D2575" s="40">
        <f>INT(A2575)-WEEKDAY(A2575,2)+1</f>
        <v/>
      </c>
      <c r="E2575" s="25" t="inlineStr">
        <is>
          <t>hsindwani</t>
        </is>
      </c>
      <c r="F2575" s="25" t="n">
        <v>121921</v>
      </c>
      <c r="G2575" s="25" t="n">
        <v>3</v>
      </c>
      <c r="H2575" s="25" t="n">
        <v>17</v>
      </c>
      <c r="I2575" s="25" t="inlineStr">
        <is>
          <t>12 minute(s) and 43 second(s)</t>
        </is>
      </c>
      <c r="J2575" s="25">
        <f>IFERROR(VALUE(TRIM(LEFT(I2575,FIND("minute",I2575)-1)))*60,0)+IFERROR(VALUE(SUBSTITUTE(MID(I2575,IFERROR(FIND("and",I2575)+3,1),20),"second(s)","")),0)</f>
        <v/>
      </c>
      <c r="K2575" s="41">
        <f>J2575/60</f>
        <v/>
      </c>
      <c r="L2575" s="41">
        <f>IFERROR(J2575/H2575,"")</f>
        <v/>
      </c>
      <c r="M2575" s="25" t="inlineStr">
        <is>
          <t>2.5.12</t>
        </is>
      </c>
      <c r="N2575" s="25">
        <f>IF(J2575&gt;300,1,0)</f>
        <v/>
      </c>
      <c r="O2575" s="25">
        <f>IF(J2575&gt;600,1,0)</f>
        <v/>
      </c>
      <c r="P2575" s="25">
        <f>IF(H2575&gt;0,J2575,"")</f>
        <v/>
      </c>
      <c r="Q2575" s="25">
        <f>TEXT(A2575,"YYYY-MM-DD HH")</f>
        <v/>
      </c>
      <c r="R2575" s="25">
        <f>COUNTIF($Q$2:$Q$5295,Q2575)</f>
        <v/>
      </c>
      <c r="S2575" s="25">
        <f>IF(R2575&lt;=2,"1-2",IF(R2575&lt;=5,"3-5",IF(R2575&lt;=10,"6-10","11+")))</f>
        <v/>
      </c>
    </row>
    <row r="2576">
      <c r="A2576" s="39" t="n">
        <v>46188.19392361111</v>
      </c>
      <c r="B2576" s="25">
        <f>TEXT(A2576,"YYYY-MM")</f>
        <v/>
      </c>
      <c r="C2576" s="25">
        <f>TEXT(A2576,"MMM-YYYY")</f>
        <v/>
      </c>
      <c r="D2576" s="40">
        <f>INT(A2576)-WEEKDAY(A2576,2)+1</f>
        <v/>
      </c>
      <c r="E2576" s="25" t="inlineStr">
        <is>
          <t>ssrinivasan</t>
        </is>
      </c>
      <c r="F2576" s="25" t="n">
        <v>125579</v>
      </c>
      <c r="G2576" s="25" t="n">
        <v>4</v>
      </c>
      <c r="H2576" s="25" t="n">
        <v>24</v>
      </c>
      <c r="I2576" s="25" t="inlineStr">
        <is>
          <t>6 minute(s) and 21 second(s)</t>
        </is>
      </c>
      <c r="J2576" s="25">
        <f>IFERROR(VALUE(TRIM(LEFT(I2576,FIND("minute",I2576)-1)))*60,0)+IFERROR(VALUE(SUBSTITUTE(MID(I2576,IFERROR(FIND("and",I2576)+3,1),20),"second(s)","")),0)</f>
        <v/>
      </c>
      <c r="K2576" s="41">
        <f>J2576/60</f>
        <v/>
      </c>
      <c r="L2576" s="41">
        <f>IFERROR(J2576/H2576,"")</f>
        <v/>
      </c>
      <c r="M2576" s="25" t="inlineStr">
        <is>
          <t>2.5.12</t>
        </is>
      </c>
      <c r="N2576" s="25">
        <f>IF(J2576&gt;300,1,0)</f>
        <v/>
      </c>
      <c r="O2576" s="25">
        <f>IF(J2576&gt;600,1,0)</f>
        <v/>
      </c>
      <c r="P2576" s="25">
        <f>IF(H2576&gt;0,J2576,"")</f>
        <v/>
      </c>
      <c r="Q2576" s="25">
        <f>TEXT(A2576,"YYYY-MM-DD HH")</f>
        <v/>
      </c>
      <c r="R2576" s="25">
        <f>COUNTIF($Q$2:$Q$5295,Q2576)</f>
        <v/>
      </c>
      <c r="S2576" s="25">
        <f>IF(R2576&lt;=2,"1-2",IF(R2576&lt;=5,"3-5",IF(R2576&lt;=10,"6-10","11+")))</f>
        <v/>
      </c>
    </row>
    <row r="2577">
      <c r="A2577" s="39" t="n">
        <v>46188.19565972222</v>
      </c>
      <c r="B2577" s="25">
        <f>TEXT(A2577,"YYYY-MM")</f>
        <v/>
      </c>
      <c r="C2577" s="25">
        <f>TEXT(A2577,"MMM-YYYY")</f>
        <v/>
      </c>
      <c r="D2577" s="40">
        <f>INT(A2577)-WEEKDAY(A2577,2)+1</f>
        <v/>
      </c>
      <c r="E2577" s="25" t="inlineStr">
        <is>
          <t>aupadhayay</t>
        </is>
      </c>
      <c r="F2577" s="25" t="n">
        <v>123917</v>
      </c>
      <c r="G2577" s="25" t="n">
        <v>4</v>
      </c>
      <c r="H2577" s="25" t="n">
        <v>16</v>
      </c>
      <c r="I2577" s="25" t="inlineStr">
        <is>
          <t>6 minute(s) and 40 second(s)</t>
        </is>
      </c>
      <c r="J2577" s="25">
        <f>IFERROR(VALUE(TRIM(LEFT(I2577,FIND("minute",I2577)-1)))*60,0)+IFERROR(VALUE(SUBSTITUTE(MID(I2577,IFERROR(FIND("and",I2577)+3,1),20),"second(s)","")),0)</f>
        <v/>
      </c>
      <c r="K2577" s="41">
        <f>J2577/60</f>
        <v/>
      </c>
      <c r="L2577" s="41">
        <f>IFERROR(J2577/H2577,"")</f>
        <v/>
      </c>
      <c r="M2577" s="25" t="inlineStr">
        <is>
          <t>2.5.12</t>
        </is>
      </c>
      <c r="N2577" s="25">
        <f>IF(J2577&gt;300,1,0)</f>
        <v/>
      </c>
      <c r="O2577" s="25">
        <f>IF(J2577&gt;600,1,0)</f>
        <v/>
      </c>
      <c r="P2577" s="25">
        <f>IF(H2577&gt;0,J2577,"")</f>
        <v/>
      </c>
      <c r="Q2577" s="25">
        <f>TEXT(A2577,"YYYY-MM-DD HH")</f>
        <v/>
      </c>
      <c r="R2577" s="25">
        <f>COUNTIF($Q$2:$Q$5295,Q2577)</f>
        <v/>
      </c>
      <c r="S2577" s="25">
        <f>IF(R2577&lt;=2,"1-2",IF(R2577&lt;=5,"3-5",IF(R2577&lt;=10,"6-10","11+")))</f>
        <v/>
      </c>
    </row>
    <row r="2578">
      <c r="A2578" s="39" t="n">
        <v>46188.20356481482</v>
      </c>
      <c r="B2578" s="25">
        <f>TEXT(A2578,"YYYY-MM")</f>
        <v/>
      </c>
      <c r="C2578" s="25">
        <f>TEXT(A2578,"MMM-YYYY")</f>
        <v/>
      </c>
      <c r="D2578" s="40">
        <f>INT(A2578)-WEEKDAY(A2578,2)+1</f>
        <v/>
      </c>
      <c r="E2578" s="25" t="inlineStr">
        <is>
          <t>csaha</t>
        </is>
      </c>
      <c r="F2578" s="25" t="n">
        <v>124387</v>
      </c>
      <c r="G2578" s="25" t="n">
        <v>2</v>
      </c>
      <c r="H2578" s="25" t="n">
        <v>6</v>
      </c>
      <c r="I2578" s="25" t="inlineStr">
        <is>
          <t>1 minute(s) and 2 second(s)</t>
        </is>
      </c>
      <c r="J2578" s="25">
        <f>IFERROR(VALUE(TRIM(LEFT(I2578,FIND("minute",I2578)-1)))*60,0)+IFERROR(VALUE(SUBSTITUTE(MID(I2578,IFERROR(FIND("and",I2578)+3,1),20),"second(s)","")),0)</f>
        <v/>
      </c>
      <c r="K2578" s="41">
        <f>J2578/60</f>
        <v/>
      </c>
      <c r="L2578" s="41">
        <f>IFERROR(J2578/H2578,"")</f>
        <v/>
      </c>
      <c r="M2578" s="25" t="inlineStr">
        <is>
          <t>2.5.12</t>
        </is>
      </c>
      <c r="N2578" s="25">
        <f>IF(J2578&gt;300,1,0)</f>
        <v/>
      </c>
      <c r="O2578" s="25">
        <f>IF(J2578&gt;600,1,0)</f>
        <v/>
      </c>
      <c r="P2578" s="25">
        <f>IF(H2578&gt;0,J2578,"")</f>
        <v/>
      </c>
      <c r="Q2578" s="25">
        <f>TEXT(A2578,"YYYY-MM-DD HH")</f>
        <v/>
      </c>
      <c r="R2578" s="25">
        <f>COUNTIF($Q$2:$Q$5295,Q2578)</f>
        <v/>
      </c>
      <c r="S2578" s="25">
        <f>IF(R2578&lt;=2,"1-2",IF(R2578&lt;=5,"3-5",IF(R2578&lt;=10,"6-10","11+")))</f>
        <v/>
      </c>
    </row>
    <row r="2579">
      <c r="A2579" s="39" t="n">
        <v>46188.2037037037</v>
      </c>
      <c r="B2579" s="25">
        <f>TEXT(A2579,"YYYY-MM")</f>
        <v/>
      </c>
      <c r="C2579" s="25">
        <f>TEXT(A2579,"MMM-YYYY")</f>
        <v/>
      </c>
      <c r="D2579" s="40">
        <f>INT(A2579)-WEEKDAY(A2579,2)+1</f>
        <v/>
      </c>
      <c r="E2579" s="25" t="inlineStr">
        <is>
          <t>shassan</t>
        </is>
      </c>
      <c r="F2579" s="25" t="n">
        <v>125279</v>
      </c>
      <c r="G2579" s="25" t="n">
        <v>2</v>
      </c>
      <c r="H2579" s="25" t="n">
        <v>6</v>
      </c>
      <c r="I2579" s="25" t="inlineStr">
        <is>
          <t>1 minute(s) and 12 second(s)</t>
        </is>
      </c>
      <c r="J2579" s="25">
        <f>IFERROR(VALUE(TRIM(LEFT(I2579,FIND("minute",I2579)-1)))*60,0)+IFERROR(VALUE(SUBSTITUTE(MID(I2579,IFERROR(FIND("and",I2579)+3,1),20),"second(s)","")),0)</f>
        <v/>
      </c>
      <c r="K2579" s="41">
        <f>J2579/60</f>
        <v/>
      </c>
      <c r="L2579" s="41">
        <f>IFERROR(J2579/H2579,"")</f>
        <v/>
      </c>
      <c r="M2579" s="25" t="inlineStr">
        <is>
          <t>2.5.12</t>
        </is>
      </c>
      <c r="N2579" s="25">
        <f>IF(J2579&gt;300,1,0)</f>
        <v/>
      </c>
      <c r="O2579" s="25">
        <f>IF(J2579&gt;600,1,0)</f>
        <v/>
      </c>
      <c r="P2579" s="25">
        <f>IF(H2579&gt;0,J2579,"")</f>
        <v/>
      </c>
      <c r="Q2579" s="25">
        <f>TEXT(A2579,"YYYY-MM-DD HH")</f>
        <v/>
      </c>
      <c r="R2579" s="25">
        <f>COUNTIF($Q$2:$Q$5295,Q2579)</f>
        <v/>
      </c>
      <c r="S2579" s="25">
        <f>IF(R2579&lt;=2,"1-2",IF(R2579&lt;=5,"3-5",IF(R2579&lt;=10,"6-10","11+")))</f>
        <v/>
      </c>
    </row>
    <row r="2580">
      <c r="A2580" s="39" t="n">
        <v>46188.20392361111</v>
      </c>
      <c r="B2580" s="25">
        <f>TEXT(A2580,"YYYY-MM")</f>
        <v/>
      </c>
      <c r="C2580" s="25">
        <f>TEXT(A2580,"MMM-YYYY")</f>
        <v/>
      </c>
      <c r="D2580" s="40">
        <f>INT(A2580)-WEEKDAY(A2580,2)+1</f>
        <v/>
      </c>
      <c r="E2580" s="25" t="inlineStr">
        <is>
          <t>mgupta</t>
        </is>
      </c>
      <c r="F2580" s="25" t="n">
        <v>124689</v>
      </c>
      <c r="G2580" s="25" t="n">
        <v>1</v>
      </c>
      <c r="H2580" s="25" t="n">
        <v>5</v>
      </c>
      <c r="I2580" s="25" t="inlineStr">
        <is>
          <t>1 minute(s) and 43 second(s)</t>
        </is>
      </c>
      <c r="J2580" s="25">
        <f>IFERROR(VALUE(TRIM(LEFT(I2580,FIND("minute",I2580)-1)))*60,0)+IFERROR(VALUE(SUBSTITUTE(MID(I2580,IFERROR(FIND("and",I2580)+3,1),20),"second(s)","")),0)</f>
        <v/>
      </c>
      <c r="K2580" s="41">
        <f>J2580/60</f>
        <v/>
      </c>
      <c r="L2580" s="41">
        <f>IFERROR(J2580/H2580,"")</f>
        <v/>
      </c>
      <c r="M2580" s="25" t="inlineStr">
        <is>
          <t>2.5.12</t>
        </is>
      </c>
      <c r="N2580" s="25">
        <f>IF(J2580&gt;300,1,0)</f>
        <v/>
      </c>
      <c r="O2580" s="25">
        <f>IF(J2580&gt;600,1,0)</f>
        <v/>
      </c>
      <c r="P2580" s="25">
        <f>IF(H2580&gt;0,J2580,"")</f>
        <v/>
      </c>
      <c r="Q2580" s="25">
        <f>TEXT(A2580,"YYYY-MM-DD HH")</f>
        <v/>
      </c>
      <c r="R2580" s="25">
        <f>COUNTIF($Q$2:$Q$5295,Q2580)</f>
        <v/>
      </c>
      <c r="S2580" s="25">
        <f>IF(R2580&lt;=2,"1-2",IF(R2580&lt;=5,"3-5",IF(R2580&lt;=10,"6-10","11+")))</f>
        <v/>
      </c>
    </row>
    <row r="2581">
      <c r="A2581" s="39" t="n">
        <v>46188.20755787037</v>
      </c>
      <c r="B2581" s="25">
        <f>TEXT(A2581,"YYYY-MM")</f>
        <v/>
      </c>
      <c r="C2581" s="25">
        <f>TEXT(A2581,"MMM-YYYY")</f>
        <v/>
      </c>
      <c r="D2581" s="40">
        <f>INT(A2581)-WEEKDAY(A2581,2)+1</f>
        <v/>
      </c>
      <c r="E2581" s="25" t="inlineStr">
        <is>
          <t>emishra</t>
        </is>
      </c>
      <c r="F2581" s="25" t="n">
        <v>124540</v>
      </c>
      <c r="G2581" s="25" t="n">
        <v>3</v>
      </c>
      <c r="H2581" s="25" t="n">
        <v>21</v>
      </c>
      <c r="I2581" s="25" t="inlineStr">
        <is>
          <t>5 minute(s) and 37 second(s)</t>
        </is>
      </c>
      <c r="J2581" s="25">
        <f>IFERROR(VALUE(TRIM(LEFT(I2581,FIND("minute",I2581)-1)))*60,0)+IFERROR(VALUE(SUBSTITUTE(MID(I2581,IFERROR(FIND("and",I2581)+3,1),20),"second(s)","")),0)</f>
        <v/>
      </c>
      <c r="K2581" s="41">
        <f>J2581/60</f>
        <v/>
      </c>
      <c r="L2581" s="41">
        <f>IFERROR(J2581/H2581,"")</f>
        <v/>
      </c>
      <c r="M2581" s="25" t="inlineStr">
        <is>
          <t>2.5.12</t>
        </is>
      </c>
      <c r="N2581" s="25">
        <f>IF(J2581&gt;300,1,0)</f>
        <v/>
      </c>
      <c r="O2581" s="25">
        <f>IF(J2581&gt;600,1,0)</f>
        <v/>
      </c>
      <c r="P2581" s="25">
        <f>IF(H2581&gt;0,J2581,"")</f>
        <v/>
      </c>
      <c r="Q2581" s="25">
        <f>TEXT(A2581,"YYYY-MM-DD HH")</f>
        <v/>
      </c>
      <c r="R2581" s="25">
        <f>COUNTIF($Q$2:$Q$5295,Q2581)</f>
        <v/>
      </c>
      <c r="S2581" s="25">
        <f>IF(R2581&lt;=2,"1-2",IF(R2581&lt;=5,"3-5",IF(R2581&lt;=10,"6-10","11+")))</f>
        <v/>
      </c>
    </row>
    <row r="2582">
      <c r="A2582" s="39" t="n">
        <v>46188.211875</v>
      </c>
      <c r="B2582" s="25">
        <f>TEXT(A2582,"YYYY-MM")</f>
        <v/>
      </c>
      <c r="C2582" s="25">
        <f>TEXT(A2582,"MMM-YYYY")</f>
        <v/>
      </c>
      <c r="D2582" s="40">
        <f>INT(A2582)-WEEKDAY(A2582,2)+1</f>
        <v/>
      </c>
      <c r="E2582" s="25" t="inlineStr">
        <is>
          <t>aghosh</t>
        </is>
      </c>
      <c r="F2582" s="25" t="n">
        <v>124123</v>
      </c>
      <c r="G2582" s="25" t="n">
        <v>4</v>
      </c>
      <c r="H2582" s="25" t="n">
        <v>18</v>
      </c>
      <c r="I2582" s="25" t="inlineStr">
        <is>
          <t>6 minute(s) and 5 second(s)</t>
        </is>
      </c>
      <c r="J2582" s="25">
        <f>IFERROR(VALUE(TRIM(LEFT(I2582,FIND("minute",I2582)-1)))*60,0)+IFERROR(VALUE(SUBSTITUTE(MID(I2582,IFERROR(FIND("and",I2582)+3,1),20),"second(s)","")),0)</f>
        <v/>
      </c>
      <c r="K2582" s="41">
        <f>J2582/60</f>
        <v/>
      </c>
      <c r="L2582" s="41">
        <f>IFERROR(J2582/H2582,"")</f>
        <v/>
      </c>
      <c r="M2582" s="25" t="inlineStr">
        <is>
          <t>2.5.12</t>
        </is>
      </c>
      <c r="N2582" s="25">
        <f>IF(J2582&gt;300,1,0)</f>
        <v/>
      </c>
      <c r="O2582" s="25">
        <f>IF(J2582&gt;600,1,0)</f>
        <v/>
      </c>
      <c r="P2582" s="25">
        <f>IF(H2582&gt;0,J2582,"")</f>
        <v/>
      </c>
      <c r="Q2582" s="25">
        <f>TEXT(A2582,"YYYY-MM-DD HH")</f>
        <v/>
      </c>
      <c r="R2582" s="25">
        <f>COUNTIF($Q$2:$Q$5295,Q2582)</f>
        <v/>
      </c>
      <c r="S2582" s="25">
        <f>IF(R2582&lt;=2,"1-2",IF(R2582&lt;=5,"3-5",IF(R2582&lt;=10,"6-10","11+")))</f>
        <v/>
      </c>
    </row>
    <row r="2583">
      <c r="A2583" s="39" t="n">
        <v>46188.21344907407</v>
      </c>
      <c r="B2583" s="25">
        <f>TEXT(A2583,"YYYY-MM")</f>
        <v/>
      </c>
      <c r="C2583" s="25">
        <f>TEXT(A2583,"MMM-YYYY")</f>
        <v/>
      </c>
      <c r="D2583" s="40">
        <f>INT(A2583)-WEEKDAY(A2583,2)+1</f>
        <v/>
      </c>
      <c r="E2583" s="25" t="inlineStr">
        <is>
          <t>rts</t>
        </is>
      </c>
      <c r="F2583" s="25" t="n">
        <v>125056</v>
      </c>
      <c r="G2583" s="25" t="n">
        <v>1</v>
      </c>
      <c r="H2583" s="25" t="n">
        <v>6</v>
      </c>
      <c r="I2583" s="25" t="inlineStr">
        <is>
          <t>3 minute(s) and 42 second(s)</t>
        </is>
      </c>
      <c r="J2583" s="25">
        <f>IFERROR(VALUE(TRIM(LEFT(I2583,FIND("minute",I2583)-1)))*60,0)+IFERROR(VALUE(SUBSTITUTE(MID(I2583,IFERROR(FIND("and",I2583)+3,1),20),"second(s)","")),0)</f>
        <v/>
      </c>
      <c r="K2583" s="41">
        <f>J2583/60</f>
        <v/>
      </c>
      <c r="L2583" s="41">
        <f>IFERROR(J2583/H2583,"")</f>
        <v/>
      </c>
      <c r="M2583" s="25" t="inlineStr">
        <is>
          <t>2.5.12</t>
        </is>
      </c>
      <c r="N2583" s="25">
        <f>IF(J2583&gt;300,1,0)</f>
        <v/>
      </c>
      <c r="O2583" s="25">
        <f>IF(J2583&gt;600,1,0)</f>
        <v/>
      </c>
      <c r="P2583" s="25">
        <f>IF(H2583&gt;0,J2583,"")</f>
        <v/>
      </c>
      <c r="Q2583" s="25">
        <f>TEXT(A2583,"YYYY-MM-DD HH")</f>
        <v/>
      </c>
      <c r="R2583" s="25">
        <f>COUNTIF($Q$2:$Q$5295,Q2583)</f>
        <v/>
      </c>
      <c r="S2583" s="25">
        <f>IF(R2583&lt;=2,"1-2",IF(R2583&lt;=5,"3-5",IF(R2583&lt;=10,"6-10","11+")))</f>
        <v/>
      </c>
    </row>
    <row r="2584">
      <c r="A2584" s="39" t="n">
        <v>46188.21421296296</v>
      </c>
      <c r="B2584" s="25">
        <f>TEXT(A2584,"YYYY-MM")</f>
        <v/>
      </c>
      <c r="C2584" s="25">
        <f>TEXT(A2584,"MMM-YYYY")</f>
        <v/>
      </c>
      <c r="D2584" s="40">
        <f>INT(A2584)-WEEKDAY(A2584,2)+1</f>
        <v/>
      </c>
      <c r="E2584" s="25" t="inlineStr">
        <is>
          <t>ssarkar</t>
        </is>
      </c>
      <c r="F2584" s="25" t="n">
        <v>125254</v>
      </c>
      <c r="G2584" s="25" t="n">
        <v>2</v>
      </c>
      <c r="H2584" s="25" t="n">
        <v>8</v>
      </c>
      <c r="I2584" s="25" t="inlineStr">
        <is>
          <t>2 minute(s) and 35 second(s)</t>
        </is>
      </c>
      <c r="J2584" s="25">
        <f>IFERROR(VALUE(TRIM(LEFT(I2584,FIND("minute",I2584)-1)))*60,0)+IFERROR(VALUE(SUBSTITUTE(MID(I2584,IFERROR(FIND("and",I2584)+3,1),20),"second(s)","")),0)</f>
        <v/>
      </c>
      <c r="K2584" s="41">
        <f>J2584/60</f>
        <v/>
      </c>
      <c r="L2584" s="41">
        <f>IFERROR(J2584/H2584,"")</f>
        <v/>
      </c>
      <c r="M2584" s="25" t="inlineStr">
        <is>
          <t>2.5.12</t>
        </is>
      </c>
      <c r="N2584" s="25">
        <f>IF(J2584&gt;300,1,0)</f>
        <v/>
      </c>
      <c r="O2584" s="25">
        <f>IF(J2584&gt;600,1,0)</f>
        <v/>
      </c>
      <c r="P2584" s="25">
        <f>IF(H2584&gt;0,J2584,"")</f>
        <v/>
      </c>
      <c r="Q2584" s="25">
        <f>TEXT(A2584,"YYYY-MM-DD HH")</f>
        <v/>
      </c>
      <c r="R2584" s="25">
        <f>COUNTIF($Q$2:$Q$5295,Q2584)</f>
        <v/>
      </c>
      <c r="S2584" s="25">
        <f>IF(R2584&lt;=2,"1-2",IF(R2584&lt;=5,"3-5",IF(R2584&lt;=10,"6-10","11+")))</f>
        <v/>
      </c>
    </row>
    <row r="2585">
      <c r="A2585" s="39" t="n">
        <v>46188.2184375</v>
      </c>
      <c r="B2585" s="25">
        <f>TEXT(A2585,"YYYY-MM")</f>
        <v/>
      </c>
      <c r="C2585" s="25">
        <f>TEXT(A2585,"MMM-YYYY")</f>
        <v/>
      </c>
      <c r="D2585" s="40">
        <f>INT(A2585)-WEEKDAY(A2585,2)+1</f>
        <v/>
      </c>
      <c r="E2585" s="25" t="inlineStr">
        <is>
          <t>stiwari</t>
        </is>
      </c>
      <c r="F2585" s="25" t="n">
        <v>123930</v>
      </c>
      <c r="G2585" s="25" t="n">
        <v>2</v>
      </c>
      <c r="H2585" s="25" t="n">
        <v>8</v>
      </c>
      <c r="I2585" s="25" t="inlineStr">
        <is>
          <t>3 minute(s) and 9 second(s)</t>
        </is>
      </c>
      <c r="J2585" s="25">
        <f>IFERROR(VALUE(TRIM(LEFT(I2585,FIND("minute",I2585)-1)))*60,0)+IFERROR(VALUE(SUBSTITUTE(MID(I2585,IFERROR(FIND("and",I2585)+3,1),20),"second(s)","")),0)</f>
        <v/>
      </c>
      <c r="K2585" s="41">
        <f>J2585/60</f>
        <v/>
      </c>
      <c r="L2585" s="41">
        <f>IFERROR(J2585/H2585,"")</f>
        <v/>
      </c>
      <c r="M2585" s="25" t="inlineStr">
        <is>
          <t>2.5.12</t>
        </is>
      </c>
      <c r="N2585" s="25">
        <f>IF(J2585&gt;300,1,0)</f>
        <v/>
      </c>
      <c r="O2585" s="25">
        <f>IF(J2585&gt;600,1,0)</f>
        <v/>
      </c>
      <c r="P2585" s="25">
        <f>IF(H2585&gt;0,J2585,"")</f>
        <v/>
      </c>
      <c r="Q2585" s="25">
        <f>TEXT(A2585,"YYYY-MM-DD HH")</f>
        <v/>
      </c>
      <c r="R2585" s="25">
        <f>COUNTIF($Q$2:$Q$5295,Q2585)</f>
        <v/>
      </c>
      <c r="S2585" s="25">
        <f>IF(R2585&lt;=2,"1-2",IF(R2585&lt;=5,"3-5",IF(R2585&lt;=10,"6-10","11+")))</f>
        <v/>
      </c>
    </row>
    <row r="2586">
      <c r="A2586" s="39" t="n">
        <v>46188.22478009259</v>
      </c>
      <c r="B2586" s="25">
        <f>TEXT(A2586,"YYYY-MM")</f>
        <v/>
      </c>
      <c r="C2586" s="25">
        <f>TEXT(A2586,"MMM-YYYY")</f>
        <v/>
      </c>
      <c r="D2586" s="40">
        <f>INT(A2586)-WEEKDAY(A2586,2)+1</f>
        <v/>
      </c>
      <c r="E2586" s="25" t="inlineStr">
        <is>
          <t>tkarmakar</t>
        </is>
      </c>
      <c r="F2586" s="25" t="n">
        <v>123768</v>
      </c>
      <c r="G2586" s="25" t="n">
        <v>2</v>
      </c>
      <c r="H2586" s="25" t="n">
        <v>10</v>
      </c>
      <c r="I2586" s="25" t="inlineStr">
        <is>
          <t>3 minute(s) and 4 second(s)</t>
        </is>
      </c>
      <c r="J2586" s="25">
        <f>IFERROR(VALUE(TRIM(LEFT(I2586,FIND("minute",I2586)-1)))*60,0)+IFERROR(VALUE(SUBSTITUTE(MID(I2586,IFERROR(FIND("and",I2586)+3,1),20),"second(s)","")),0)</f>
        <v/>
      </c>
      <c r="K2586" s="41">
        <f>J2586/60</f>
        <v/>
      </c>
      <c r="L2586" s="41">
        <f>IFERROR(J2586/H2586,"")</f>
        <v/>
      </c>
      <c r="M2586" s="25" t="inlineStr">
        <is>
          <t>2.5.12</t>
        </is>
      </c>
      <c r="N2586" s="25">
        <f>IF(J2586&gt;300,1,0)</f>
        <v/>
      </c>
      <c r="O2586" s="25">
        <f>IF(J2586&gt;600,1,0)</f>
        <v/>
      </c>
      <c r="P2586" s="25">
        <f>IF(H2586&gt;0,J2586,"")</f>
        <v/>
      </c>
      <c r="Q2586" s="25">
        <f>TEXT(A2586,"YYYY-MM-DD HH")</f>
        <v/>
      </c>
      <c r="R2586" s="25">
        <f>COUNTIF($Q$2:$Q$5295,Q2586)</f>
        <v/>
      </c>
      <c r="S2586" s="25">
        <f>IF(R2586&lt;=2,"1-2",IF(R2586&lt;=5,"3-5",IF(R2586&lt;=10,"6-10","11+")))</f>
        <v/>
      </c>
    </row>
    <row r="2587">
      <c r="A2587" s="39" t="n">
        <v>46188.22547453704</v>
      </c>
      <c r="B2587" s="25">
        <f>TEXT(A2587,"YYYY-MM")</f>
        <v/>
      </c>
      <c r="C2587" s="25">
        <f>TEXT(A2587,"MMM-YYYY")</f>
        <v/>
      </c>
      <c r="D2587" s="40">
        <f>INT(A2587)-WEEKDAY(A2587,2)+1</f>
        <v/>
      </c>
      <c r="E2587" s="25" t="inlineStr">
        <is>
          <t>aupadhayay</t>
        </is>
      </c>
      <c r="F2587" s="25" t="n">
        <v>123918</v>
      </c>
      <c r="G2587" s="25" t="n">
        <v>1</v>
      </c>
      <c r="H2587" s="25" t="n">
        <v>5</v>
      </c>
      <c r="I2587" s="25" t="inlineStr">
        <is>
          <t>3 minute(s) and 4 second(s)</t>
        </is>
      </c>
      <c r="J2587" s="25">
        <f>IFERROR(VALUE(TRIM(LEFT(I2587,FIND("minute",I2587)-1)))*60,0)+IFERROR(VALUE(SUBSTITUTE(MID(I2587,IFERROR(FIND("and",I2587)+3,1),20),"second(s)","")),0)</f>
        <v/>
      </c>
      <c r="K2587" s="41">
        <f>J2587/60</f>
        <v/>
      </c>
      <c r="L2587" s="41">
        <f>IFERROR(J2587/H2587,"")</f>
        <v/>
      </c>
      <c r="M2587" s="25" t="inlineStr">
        <is>
          <t>2.5.12</t>
        </is>
      </c>
      <c r="N2587" s="25">
        <f>IF(J2587&gt;300,1,0)</f>
        <v/>
      </c>
      <c r="O2587" s="25">
        <f>IF(J2587&gt;600,1,0)</f>
        <v/>
      </c>
      <c r="P2587" s="25">
        <f>IF(H2587&gt;0,J2587,"")</f>
        <v/>
      </c>
      <c r="Q2587" s="25">
        <f>TEXT(A2587,"YYYY-MM-DD HH")</f>
        <v/>
      </c>
      <c r="R2587" s="25">
        <f>COUNTIF($Q$2:$Q$5295,Q2587)</f>
        <v/>
      </c>
      <c r="S2587" s="25">
        <f>IF(R2587&lt;=2,"1-2",IF(R2587&lt;=5,"3-5",IF(R2587&lt;=10,"6-10","11+")))</f>
        <v/>
      </c>
    </row>
    <row r="2588">
      <c r="A2588" s="39" t="n">
        <v>46188.22755787037</v>
      </c>
      <c r="B2588" s="25">
        <f>TEXT(A2588,"YYYY-MM")</f>
        <v/>
      </c>
      <c r="C2588" s="25">
        <f>TEXT(A2588,"MMM-YYYY")</f>
        <v/>
      </c>
      <c r="D2588" s="40">
        <f>INT(A2588)-WEEKDAY(A2588,2)+1</f>
        <v/>
      </c>
      <c r="E2588" s="25" t="inlineStr">
        <is>
          <t>anusharma</t>
        </is>
      </c>
      <c r="F2588" s="25" t="n">
        <v>124337</v>
      </c>
      <c r="G2588" s="25" t="n">
        <v>2</v>
      </c>
      <c r="H2588" s="25" t="n">
        <v>8</v>
      </c>
      <c r="I2588" s="25" t="inlineStr">
        <is>
          <t>2 minute(s) and 8 second(s)</t>
        </is>
      </c>
      <c r="J2588" s="25">
        <f>IFERROR(VALUE(TRIM(LEFT(I2588,FIND("minute",I2588)-1)))*60,0)+IFERROR(VALUE(SUBSTITUTE(MID(I2588,IFERROR(FIND("and",I2588)+3,1),20),"second(s)","")),0)</f>
        <v/>
      </c>
      <c r="K2588" s="41">
        <f>J2588/60</f>
        <v/>
      </c>
      <c r="L2588" s="41">
        <f>IFERROR(J2588/H2588,"")</f>
        <v/>
      </c>
      <c r="M2588" s="25" t="inlineStr">
        <is>
          <t>2.5.12</t>
        </is>
      </c>
      <c r="N2588" s="25">
        <f>IF(J2588&gt;300,1,0)</f>
        <v/>
      </c>
      <c r="O2588" s="25">
        <f>IF(J2588&gt;600,1,0)</f>
        <v/>
      </c>
      <c r="P2588" s="25">
        <f>IF(H2588&gt;0,J2588,"")</f>
        <v/>
      </c>
      <c r="Q2588" s="25">
        <f>TEXT(A2588,"YYYY-MM-DD HH")</f>
        <v/>
      </c>
      <c r="R2588" s="25">
        <f>COUNTIF($Q$2:$Q$5295,Q2588)</f>
        <v/>
      </c>
      <c r="S2588" s="25">
        <f>IF(R2588&lt;=2,"1-2",IF(R2588&lt;=5,"3-5",IF(R2588&lt;=10,"6-10","11+")))</f>
        <v/>
      </c>
    </row>
    <row r="2589">
      <c r="A2589" s="39" t="n">
        <v>46188.23436342592</v>
      </c>
      <c r="B2589" s="25">
        <f>TEXT(A2589,"YYYY-MM")</f>
        <v/>
      </c>
      <c r="C2589" s="25">
        <f>TEXT(A2589,"MMM-YYYY")</f>
        <v/>
      </c>
      <c r="D2589" s="40">
        <f>INT(A2589)-WEEKDAY(A2589,2)+1</f>
        <v/>
      </c>
      <c r="E2589" s="25" t="inlineStr">
        <is>
          <t>pmehndiratta</t>
        </is>
      </c>
      <c r="F2589" s="25" t="n">
        <v>124991</v>
      </c>
      <c r="G2589" s="25" t="n">
        <v>2</v>
      </c>
      <c r="H2589" s="25" t="n">
        <v>14</v>
      </c>
      <c r="I2589" s="25" t="inlineStr">
        <is>
          <t>5 minute(s) and 3 second(s)</t>
        </is>
      </c>
      <c r="J2589" s="25">
        <f>IFERROR(VALUE(TRIM(LEFT(I2589,FIND("minute",I2589)-1)))*60,0)+IFERROR(VALUE(SUBSTITUTE(MID(I2589,IFERROR(FIND("and",I2589)+3,1),20),"second(s)","")),0)</f>
        <v/>
      </c>
      <c r="K2589" s="41">
        <f>J2589/60</f>
        <v/>
      </c>
      <c r="L2589" s="41">
        <f>IFERROR(J2589/H2589,"")</f>
        <v/>
      </c>
      <c r="M2589" s="25" t="inlineStr">
        <is>
          <t>2.5.12</t>
        </is>
      </c>
      <c r="N2589" s="25">
        <f>IF(J2589&gt;300,1,0)</f>
        <v/>
      </c>
      <c r="O2589" s="25">
        <f>IF(J2589&gt;600,1,0)</f>
        <v/>
      </c>
      <c r="P2589" s="25">
        <f>IF(H2589&gt;0,J2589,"")</f>
        <v/>
      </c>
      <c r="Q2589" s="25">
        <f>TEXT(A2589,"YYYY-MM-DD HH")</f>
        <v/>
      </c>
      <c r="R2589" s="25">
        <f>COUNTIF($Q$2:$Q$5295,Q2589)</f>
        <v/>
      </c>
      <c r="S2589" s="25">
        <f>IF(R2589&lt;=2,"1-2",IF(R2589&lt;=5,"3-5",IF(R2589&lt;=10,"6-10","11+")))</f>
        <v/>
      </c>
    </row>
    <row r="2590">
      <c r="A2590" s="39" t="n">
        <v>46188.23657407407</v>
      </c>
      <c r="B2590" s="25">
        <f>TEXT(A2590,"YYYY-MM")</f>
        <v/>
      </c>
      <c r="C2590" s="25">
        <f>TEXT(A2590,"MMM-YYYY")</f>
        <v/>
      </c>
      <c r="D2590" s="40">
        <f>INT(A2590)-WEEKDAY(A2590,2)+1</f>
        <v/>
      </c>
      <c r="E2590" s="25" t="inlineStr">
        <is>
          <t>ns</t>
        </is>
      </c>
      <c r="F2590" s="25" t="n">
        <v>123533</v>
      </c>
      <c r="G2590" s="25" t="n">
        <v>2</v>
      </c>
      <c r="H2590" s="25" t="n">
        <v>8</v>
      </c>
      <c r="I2590" s="25" t="inlineStr">
        <is>
          <t>2 minute(s) and 0 second(s)</t>
        </is>
      </c>
      <c r="J2590" s="25">
        <f>IFERROR(VALUE(TRIM(LEFT(I2590,FIND("minute",I2590)-1)))*60,0)+IFERROR(VALUE(SUBSTITUTE(MID(I2590,IFERROR(FIND("and",I2590)+3,1),20),"second(s)","")),0)</f>
        <v/>
      </c>
      <c r="K2590" s="41">
        <f>J2590/60</f>
        <v/>
      </c>
      <c r="L2590" s="41">
        <f>IFERROR(J2590/H2590,"")</f>
        <v/>
      </c>
      <c r="M2590" s="25" t="inlineStr">
        <is>
          <t>2.5.12</t>
        </is>
      </c>
      <c r="N2590" s="25">
        <f>IF(J2590&gt;300,1,0)</f>
        <v/>
      </c>
      <c r="O2590" s="25">
        <f>IF(J2590&gt;600,1,0)</f>
        <v/>
      </c>
      <c r="P2590" s="25">
        <f>IF(H2590&gt;0,J2590,"")</f>
        <v/>
      </c>
      <c r="Q2590" s="25">
        <f>TEXT(A2590,"YYYY-MM-DD HH")</f>
        <v/>
      </c>
      <c r="R2590" s="25">
        <f>COUNTIF($Q$2:$Q$5295,Q2590)</f>
        <v/>
      </c>
      <c r="S2590" s="25">
        <f>IF(R2590&lt;=2,"1-2",IF(R2590&lt;=5,"3-5",IF(R2590&lt;=10,"6-10","11+")))</f>
        <v/>
      </c>
    </row>
    <row r="2591">
      <c r="A2591" s="39" t="n">
        <v>46188.24456018519</v>
      </c>
      <c r="B2591" s="25">
        <f>TEXT(A2591,"YYYY-MM")</f>
        <v/>
      </c>
      <c r="C2591" s="25">
        <f>TEXT(A2591,"MMM-YYYY")</f>
        <v/>
      </c>
      <c r="D2591" s="40">
        <f>INT(A2591)-WEEKDAY(A2591,2)+1</f>
        <v/>
      </c>
      <c r="E2591" s="25" t="inlineStr">
        <is>
          <t>mbohra</t>
        </is>
      </c>
      <c r="F2591" s="25" t="n">
        <v>125217</v>
      </c>
      <c r="G2591" s="25" t="n">
        <v>2</v>
      </c>
      <c r="H2591" s="25" t="n">
        <v>10</v>
      </c>
      <c r="I2591" s="25" t="inlineStr">
        <is>
          <t>4 minute(s) and 19 second(s)</t>
        </is>
      </c>
      <c r="J2591" s="25">
        <f>IFERROR(VALUE(TRIM(LEFT(I2591,FIND("minute",I2591)-1)))*60,0)+IFERROR(VALUE(SUBSTITUTE(MID(I2591,IFERROR(FIND("and",I2591)+3,1),20),"second(s)","")),0)</f>
        <v/>
      </c>
      <c r="K2591" s="41">
        <f>J2591/60</f>
        <v/>
      </c>
      <c r="L2591" s="41">
        <f>IFERROR(J2591/H2591,"")</f>
        <v/>
      </c>
      <c r="M2591" s="25" t="inlineStr">
        <is>
          <t>2.5.12</t>
        </is>
      </c>
      <c r="N2591" s="25">
        <f>IF(J2591&gt;300,1,0)</f>
        <v/>
      </c>
      <c r="O2591" s="25">
        <f>IF(J2591&gt;600,1,0)</f>
        <v/>
      </c>
      <c r="P2591" s="25">
        <f>IF(H2591&gt;0,J2591,"")</f>
        <v/>
      </c>
      <c r="Q2591" s="25">
        <f>TEXT(A2591,"YYYY-MM-DD HH")</f>
        <v/>
      </c>
      <c r="R2591" s="25">
        <f>COUNTIF($Q$2:$Q$5295,Q2591)</f>
        <v/>
      </c>
      <c r="S2591" s="25">
        <f>IF(R2591&lt;=2,"1-2",IF(R2591&lt;=5,"3-5",IF(R2591&lt;=10,"6-10","11+")))</f>
        <v/>
      </c>
    </row>
    <row r="2592">
      <c r="A2592" s="39" t="n">
        <v>46188.25084490741</v>
      </c>
      <c r="B2592" s="25">
        <f>TEXT(A2592,"YYYY-MM")</f>
        <v/>
      </c>
      <c r="C2592" s="25">
        <f>TEXT(A2592,"MMM-YYYY")</f>
        <v/>
      </c>
      <c r="D2592" s="40">
        <f>INT(A2592)-WEEKDAY(A2592,2)+1</f>
        <v/>
      </c>
      <c r="E2592" s="25" t="inlineStr">
        <is>
          <t>asahoo</t>
        </is>
      </c>
      <c r="F2592" s="25" t="n">
        <v>123484</v>
      </c>
      <c r="G2592" s="25" t="n">
        <v>2</v>
      </c>
      <c r="H2592" s="25" t="n">
        <v>10</v>
      </c>
      <c r="I2592" s="25" t="inlineStr">
        <is>
          <t>2 minute(s) and 23 second(s)</t>
        </is>
      </c>
      <c r="J2592" s="25">
        <f>IFERROR(VALUE(TRIM(LEFT(I2592,FIND("minute",I2592)-1)))*60,0)+IFERROR(VALUE(SUBSTITUTE(MID(I2592,IFERROR(FIND("and",I2592)+3,1),20),"second(s)","")),0)</f>
        <v/>
      </c>
      <c r="K2592" s="41">
        <f>J2592/60</f>
        <v/>
      </c>
      <c r="L2592" s="41">
        <f>IFERROR(J2592/H2592,"")</f>
        <v/>
      </c>
      <c r="M2592" s="25" t="inlineStr">
        <is>
          <t>2.5.12</t>
        </is>
      </c>
      <c r="N2592" s="25">
        <f>IF(J2592&gt;300,1,0)</f>
        <v/>
      </c>
      <c r="O2592" s="25">
        <f>IF(J2592&gt;600,1,0)</f>
        <v/>
      </c>
      <c r="P2592" s="25">
        <f>IF(H2592&gt;0,J2592,"")</f>
        <v/>
      </c>
      <c r="Q2592" s="25">
        <f>TEXT(A2592,"YYYY-MM-DD HH")</f>
        <v/>
      </c>
      <c r="R2592" s="25">
        <f>COUNTIF($Q$2:$Q$5295,Q2592)</f>
        <v/>
      </c>
      <c r="S2592" s="25">
        <f>IF(R2592&lt;=2,"1-2",IF(R2592&lt;=5,"3-5",IF(R2592&lt;=10,"6-10","11+")))</f>
        <v/>
      </c>
    </row>
    <row r="2593">
      <c r="A2593" s="39" t="n">
        <v>46188.25149305556</v>
      </c>
      <c r="B2593" s="25">
        <f>TEXT(A2593,"YYYY-MM")</f>
        <v/>
      </c>
      <c r="C2593" s="25">
        <f>TEXT(A2593,"MMM-YYYY")</f>
        <v/>
      </c>
      <c r="D2593" s="40">
        <f>INT(A2593)-WEEKDAY(A2593,2)+1</f>
        <v/>
      </c>
      <c r="E2593" s="25" t="inlineStr">
        <is>
          <t>emishra</t>
        </is>
      </c>
      <c r="F2593" s="25" t="n">
        <v>124534</v>
      </c>
      <c r="G2593" s="25" t="n">
        <v>5</v>
      </c>
      <c r="H2593" s="25" t="n">
        <v>27</v>
      </c>
      <c r="I2593" s="25" t="inlineStr">
        <is>
          <t>4 minute(s) and 41 second(s)</t>
        </is>
      </c>
      <c r="J2593" s="25">
        <f>IFERROR(VALUE(TRIM(LEFT(I2593,FIND("minute",I2593)-1)))*60,0)+IFERROR(VALUE(SUBSTITUTE(MID(I2593,IFERROR(FIND("and",I2593)+3,1),20),"second(s)","")),0)</f>
        <v/>
      </c>
      <c r="K2593" s="41">
        <f>J2593/60</f>
        <v/>
      </c>
      <c r="L2593" s="41">
        <f>IFERROR(J2593/H2593,"")</f>
        <v/>
      </c>
      <c r="M2593" s="25" t="inlineStr">
        <is>
          <t>2.5.12</t>
        </is>
      </c>
      <c r="N2593" s="25">
        <f>IF(J2593&gt;300,1,0)</f>
        <v/>
      </c>
      <c r="O2593" s="25">
        <f>IF(J2593&gt;600,1,0)</f>
        <v/>
      </c>
      <c r="P2593" s="25">
        <f>IF(H2593&gt;0,J2593,"")</f>
        <v/>
      </c>
      <c r="Q2593" s="25">
        <f>TEXT(A2593,"YYYY-MM-DD HH")</f>
        <v/>
      </c>
      <c r="R2593" s="25">
        <f>COUNTIF($Q$2:$Q$5295,Q2593)</f>
        <v/>
      </c>
      <c r="S2593" s="25">
        <f>IF(R2593&lt;=2,"1-2",IF(R2593&lt;=5,"3-5",IF(R2593&lt;=10,"6-10","11+")))</f>
        <v/>
      </c>
    </row>
    <row r="2594">
      <c r="A2594" s="39" t="n">
        <v>46188.25454861111</v>
      </c>
      <c r="B2594" s="25">
        <f>TEXT(A2594,"YYYY-MM")</f>
        <v/>
      </c>
      <c r="C2594" s="25">
        <f>TEXT(A2594,"MMM-YYYY")</f>
        <v/>
      </c>
      <c r="D2594" s="40">
        <f>INT(A2594)-WEEKDAY(A2594,2)+1</f>
        <v/>
      </c>
      <c r="E2594" s="25" t="inlineStr">
        <is>
          <t>aupadhayay</t>
        </is>
      </c>
      <c r="F2594" s="25" t="n">
        <v>123919</v>
      </c>
      <c r="G2594" s="25" t="n">
        <v>2</v>
      </c>
      <c r="H2594" s="25" t="n">
        <v>8</v>
      </c>
      <c r="I2594" s="25" t="inlineStr">
        <is>
          <t>5 minute(s) and 24 second(s)</t>
        </is>
      </c>
      <c r="J2594" s="25">
        <f>IFERROR(VALUE(TRIM(LEFT(I2594,FIND("minute",I2594)-1)))*60,0)+IFERROR(VALUE(SUBSTITUTE(MID(I2594,IFERROR(FIND("and",I2594)+3,1),20),"second(s)","")),0)</f>
        <v/>
      </c>
      <c r="K2594" s="41">
        <f>J2594/60</f>
        <v/>
      </c>
      <c r="L2594" s="41">
        <f>IFERROR(J2594/H2594,"")</f>
        <v/>
      </c>
      <c r="M2594" s="25" t="inlineStr">
        <is>
          <t>2.5.12</t>
        </is>
      </c>
      <c r="N2594" s="25">
        <f>IF(J2594&gt;300,1,0)</f>
        <v/>
      </c>
      <c r="O2594" s="25">
        <f>IF(J2594&gt;600,1,0)</f>
        <v/>
      </c>
      <c r="P2594" s="25">
        <f>IF(H2594&gt;0,J2594,"")</f>
        <v/>
      </c>
      <c r="Q2594" s="25">
        <f>TEXT(A2594,"YYYY-MM-DD HH")</f>
        <v/>
      </c>
      <c r="R2594" s="25">
        <f>COUNTIF($Q$2:$Q$5295,Q2594)</f>
        <v/>
      </c>
      <c r="S2594" s="25">
        <f>IF(R2594&lt;=2,"1-2",IF(R2594&lt;=5,"3-5",IF(R2594&lt;=10,"6-10","11+")))</f>
        <v/>
      </c>
    </row>
    <row r="2595">
      <c r="A2595" s="39" t="n">
        <v>46188.25498842593</v>
      </c>
      <c r="B2595" s="25">
        <f>TEXT(A2595,"YYYY-MM")</f>
        <v/>
      </c>
      <c r="C2595" s="25">
        <f>TEXT(A2595,"MMM-YYYY")</f>
        <v/>
      </c>
      <c r="D2595" s="40">
        <f>INT(A2595)-WEEKDAY(A2595,2)+1</f>
        <v/>
      </c>
      <c r="E2595" s="25" t="inlineStr">
        <is>
          <t>sswati</t>
        </is>
      </c>
      <c r="F2595" s="25" t="n">
        <v>123069</v>
      </c>
      <c r="G2595" s="25" t="n">
        <v>4</v>
      </c>
      <c r="H2595" s="25" t="n">
        <v>16</v>
      </c>
      <c r="I2595" s="25" t="inlineStr">
        <is>
          <t>3 minute(s) and 26 second(s)</t>
        </is>
      </c>
      <c r="J2595" s="25">
        <f>IFERROR(VALUE(TRIM(LEFT(I2595,FIND("minute",I2595)-1)))*60,0)+IFERROR(VALUE(SUBSTITUTE(MID(I2595,IFERROR(FIND("and",I2595)+3,1),20),"second(s)","")),0)</f>
        <v/>
      </c>
      <c r="K2595" s="41">
        <f>J2595/60</f>
        <v/>
      </c>
      <c r="L2595" s="41">
        <f>IFERROR(J2595/H2595,"")</f>
        <v/>
      </c>
      <c r="M2595" s="25" t="inlineStr">
        <is>
          <t>2.5.12</t>
        </is>
      </c>
      <c r="N2595" s="25">
        <f>IF(J2595&gt;300,1,0)</f>
        <v/>
      </c>
      <c r="O2595" s="25">
        <f>IF(J2595&gt;600,1,0)</f>
        <v/>
      </c>
      <c r="P2595" s="25">
        <f>IF(H2595&gt;0,J2595,"")</f>
        <v/>
      </c>
      <c r="Q2595" s="25">
        <f>TEXT(A2595,"YYYY-MM-DD HH")</f>
        <v/>
      </c>
      <c r="R2595" s="25">
        <f>COUNTIF($Q$2:$Q$5295,Q2595)</f>
        <v/>
      </c>
      <c r="S2595" s="25">
        <f>IF(R2595&lt;=2,"1-2",IF(R2595&lt;=5,"3-5",IF(R2595&lt;=10,"6-10","11+")))</f>
        <v/>
      </c>
    </row>
    <row r="2596">
      <c r="A2596" s="39" t="n">
        <v>46188.26055555556</v>
      </c>
      <c r="B2596" s="25">
        <f>TEXT(A2596,"YYYY-MM")</f>
        <v/>
      </c>
      <c r="C2596" s="25">
        <f>TEXT(A2596,"MMM-YYYY")</f>
        <v/>
      </c>
      <c r="D2596" s="40">
        <f>INT(A2596)-WEEKDAY(A2596,2)+1</f>
        <v/>
      </c>
      <c r="E2596" s="25" t="inlineStr">
        <is>
          <t>bverma</t>
        </is>
      </c>
      <c r="F2596" s="25" t="n">
        <v>124358</v>
      </c>
      <c r="G2596" s="25" t="n">
        <v>2</v>
      </c>
      <c r="H2596" s="25" t="n">
        <v>10</v>
      </c>
      <c r="I2596" s="25" t="inlineStr">
        <is>
          <t>2 minute(s) and 58 second(s)</t>
        </is>
      </c>
      <c r="J2596" s="25">
        <f>IFERROR(VALUE(TRIM(LEFT(I2596,FIND("minute",I2596)-1)))*60,0)+IFERROR(VALUE(SUBSTITUTE(MID(I2596,IFERROR(FIND("and",I2596)+3,1),20),"second(s)","")),0)</f>
        <v/>
      </c>
      <c r="K2596" s="41">
        <f>J2596/60</f>
        <v/>
      </c>
      <c r="L2596" s="41">
        <f>IFERROR(J2596/H2596,"")</f>
        <v/>
      </c>
      <c r="M2596" s="25" t="inlineStr">
        <is>
          <t>2.5.12</t>
        </is>
      </c>
      <c r="N2596" s="25">
        <f>IF(J2596&gt;300,1,0)</f>
        <v/>
      </c>
      <c r="O2596" s="25">
        <f>IF(J2596&gt;600,1,0)</f>
        <v/>
      </c>
      <c r="P2596" s="25">
        <f>IF(H2596&gt;0,J2596,"")</f>
        <v/>
      </c>
      <c r="Q2596" s="25">
        <f>TEXT(A2596,"YYYY-MM-DD HH")</f>
        <v/>
      </c>
      <c r="R2596" s="25">
        <f>COUNTIF($Q$2:$Q$5295,Q2596)</f>
        <v/>
      </c>
      <c r="S2596" s="25">
        <f>IF(R2596&lt;=2,"1-2",IF(R2596&lt;=5,"3-5",IF(R2596&lt;=10,"6-10","11+")))</f>
        <v/>
      </c>
    </row>
    <row r="2597">
      <c r="A2597" s="39" t="n">
        <v>46188.261875</v>
      </c>
      <c r="B2597" s="25">
        <f>TEXT(A2597,"YYYY-MM")</f>
        <v/>
      </c>
      <c r="C2597" s="25">
        <f>TEXT(A2597,"MMM-YYYY")</f>
        <v/>
      </c>
      <c r="D2597" s="40">
        <f>INT(A2597)-WEEKDAY(A2597,2)+1</f>
        <v/>
      </c>
      <c r="E2597" s="25" t="inlineStr">
        <is>
          <t>mgupta</t>
        </is>
      </c>
      <c r="F2597" s="25" t="n">
        <v>124690</v>
      </c>
      <c r="G2597" s="25" t="n">
        <v>1</v>
      </c>
      <c r="H2597" s="25" t="n">
        <v>5</v>
      </c>
      <c r="I2597" s="25" t="inlineStr">
        <is>
          <t>1 minute(s) and 12 second(s)</t>
        </is>
      </c>
      <c r="J2597" s="25">
        <f>IFERROR(VALUE(TRIM(LEFT(I2597,FIND("minute",I2597)-1)))*60,0)+IFERROR(VALUE(SUBSTITUTE(MID(I2597,IFERROR(FIND("and",I2597)+3,1),20),"second(s)","")),0)</f>
        <v/>
      </c>
      <c r="K2597" s="41">
        <f>J2597/60</f>
        <v/>
      </c>
      <c r="L2597" s="41">
        <f>IFERROR(J2597/H2597,"")</f>
        <v/>
      </c>
      <c r="M2597" s="25" t="inlineStr">
        <is>
          <t>2.5.12</t>
        </is>
      </c>
      <c r="N2597" s="25">
        <f>IF(J2597&gt;300,1,0)</f>
        <v/>
      </c>
      <c r="O2597" s="25">
        <f>IF(J2597&gt;600,1,0)</f>
        <v/>
      </c>
      <c r="P2597" s="25">
        <f>IF(H2597&gt;0,J2597,"")</f>
        <v/>
      </c>
      <c r="Q2597" s="25">
        <f>TEXT(A2597,"YYYY-MM-DD HH")</f>
        <v/>
      </c>
      <c r="R2597" s="25">
        <f>COUNTIF($Q$2:$Q$5295,Q2597)</f>
        <v/>
      </c>
      <c r="S2597" s="25">
        <f>IF(R2597&lt;=2,"1-2",IF(R2597&lt;=5,"3-5",IF(R2597&lt;=10,"6-10","11+")))</f>
        <v/>
      </c>
    </row>
    <row r="2598">
      <c r="A2598" s="39" t="n">
        <v>46188.26571759259</v>
      </c>
      <c r="B2598" s="25">
        <f>TEXT(A2598,"YYYY-MM")</f>
        <v/>
      </c>
      <c r="C2598" s="25">
        <f>TEXT(A2598,"MMM-YYYY")</f>
        <v/>
      </c>
      <c r="D2598" s="40">
        <f>INT(A2598)-WEEKDAY(A2598,2)+1</f>
        <v/>
      </c>
      <c r="E2598" s="25" t="inlineStr">
        <is>
          <t>bverma</t>
        </is>
      </c>
      <c r="F2598" s="25" t="n">
        <v>124358</v>
      </c>
      <c r="G2598" s="25" t="n">
        <v>2</v>
      </c>
      <c r="H2598" s="25" t="n">
        <v>12</v>
      </c>
      <c r="I2598" s="25" t="inlineStr">
        <is>
          <t>2 minute(s) and 44 second(s)</t>
        </is>
      </c>
      <c r="J2598" s="25">
        <f>IFERROR(VALUE(TRIM(LEFT(I2598,FIND("minute",I2598)-1)))*60,0)+IFERROR(VALUE(SUBSTITUTE(MID(I2598,IFERROR(FIND("and",I2598)+3,1),20),"second(s)","")),0)</f>
        <v/>
      </c>
      <c r="K2598" s="41">
        <f>J2598/60</f>
        <v/>
      </c>
      <c r="L2598" s="41">
        <f>IFERROR(J2598/H2598,"")</f>
        <v/>
      </c>
      <c r="M2598" s="25" t="inlineStr">
        <is>
          <t>2.5.12</t>
        </is>
      </c>
      <c r="N2598" s="25">
        <f>IF(J2598&gt;300,1,0)</f>
        <v/>
      </c>
      <c r="O2598" s="25">
        <f>IF(J2598&gt;600,1,0)</f>
        <v/>
      </c>
      <c r="P2598" s="25">
        <f>IF(H2598&gt;0,J2598,"")</f>
        <v/>
      </c>
      <c r="Q2598" s="25">
        <f>TEXT(A2598,"YYYY-MM-DD HH")</f>
        <v/>
      </c>
      <c r="R2598" s="25">
        <f>COUNTIF($Q$2:$Q$5295,Q2598)</f>
        <v/>
      </c>
      <c r="S2598" s="25">
        <f>IF(R2598&lt;=2,"1-2",IF(R2598&lt;=5,"3-5",IF(R2598&lt;=10,"6-10","11+")))</f>
        <v/>
      </c>
    </row>
    <row r="2599">
      <c r="A2599" s="39" t="n">
        <v>46188.27236111111</v>
      </c>
      <c r="B2599" s="25">
        <f>TEXT(A2599,"YYYY-MM")</f>
        <v/>
      </c>
      <c r="C2599" s="25">
        <f>TEXT(A2599,"MMM-YYYY")</f>
        <v/>
      </c>
      <c r="D2599" s="40">
        <f>INT(A2599)-WEEKDAY(A2599,2)+1</f>
        <v/>
      </c>
      <c r="E2599" s="25" t="inlineStr">
        <is>
          <t>shassan</t>
        </is>
      </c>
      <c r="F2599" s="25" t="n">
        <v>125278</v>
      </c>
      <c r="G2599" s="25" t="n">
        <v>3</v>
      </c>
      <c r="H2599" s="25" t="n">
        <v>11</v>
      </c>
      <c r="I2599" s="25" t="inlineStr">
        <is>
          <t>4 minute(s) and 51 second(s)</t>
        </is>
      </c>
      <c r="J2599" s="25">
        <f>IFERROR(VALUE(TRIM(LEFT(I2599,FIND("minute",I2599)-1)))*60,0)+IFERROR(VALUE(SUBSTITUTE(MID(I2599,IFERROR(FIND("and",I2599)+3,1),20),"second(s)","")),0)</f>
        <v/>
      </c>
      <c r="K2599" s="41">
        <f>J2599/60</f>
        <v/>
      </c>
      <c r="L2599" s="41">
        <f>IFERROR(J2599/H2599,"")</f>
        <v/>
      </c>
      <c r="M2599" s="25" t="inlineStr">
        <is>
          <t>2.5.12</t>
        </is>
      </c>
      <c r="N2599" s="25">
        <f>IF(J2599&gt;300,1,0)</f>
        <v/>
      </c>
      <c r="O2599" s="25">
        <f>IF(J2599&gt;600,1,0)</f>
        <v/>
      </c>
      <c r="P2599" s="25">
        <f>IF(H2599&gt;0,J2599,"")</f>
        <v/>
      </c>
      <c r="Q2599" s="25">
        <f>TEXT(A2599,"YYYY-MM-DD HH")</f>
        <v/>
      </c>
      <c r="R2599" s="25">
        <f>COUNTIF($Q$2:$Q$5295,Q2599)</f>
        <v/>
      </c>
      <c r="S2599" s="25">
        <f>IF(R2599&lt;=2,"1-2",IF(R2599&lt;=5,"3-5",IF(R2599&lt;=10,"6-10","11+")))</f>
        <v/>
      </c>
    </row>
    <row r="2600">
      <c r="A2600" s="39" t="n">
        <v>46188.27828703704</v>
      </c>
      <c r="B2600" s="25">
        <f>TEXT(A2600,"YYYY-MM")</f>
        <v/>
      </c>
      <c r="C2600" s="25">
        <f>TEXT(A2600,"MMM-YYYY")</f>
        <v/>
      </c>
      <c r="D2600" s="40">
        <f>INT(A2600)-WEEKDAY(A2600,2)+1</f>
        <v/>
      </c>
      <c r="E2600" s="25" t="inlineStr">
        <is>
          <t>csaha</t>
        </is>
      </c>
      <c r="F2600" s="25" t="n">
        <v>124380</v>
      </c>
      <c r="G2600" s="25" t="n">
        <v>2</v>
      </c>
      <c r="H2600" s="25" t="n">
        <v>8</v>
      </c>
      <c r="I2600" s="25" t="inlineStr">
        <is>
          <t>1 minute(s) and 54 second(s)</t>
        </is>
      </c>
      <c r="J2600" s="25">
        <f>IFERROR(VALUE(TRIM(LEFT(I2600,FIND("minute",I2600)-1)))*60,0)+IFERROR(VALUE(SUBSTITUTE(MID(I2600,IFERROR(FIND("and",I2600)+3,1),20),"second(s)","")),0)</f>
        <v/>
      </c>
      <c r="K2600" s="41">
        <f>J2600/60</f>
        <v/>
      </c>
      <c r="L2600" s="41">
        <f>IFERROR(J2600/H2600,"")</f>
        <v/>
      </c>
      <c r="M2600" s="25" t="inlineStr">
        <is>
          <t>2.5.12</t>
        </is>
      </c>
      <c r="N2600" s="25">
        <f>IF(J2600&gt;300,1,0)</f>
        <v/>
      </c>
      <c r="O2600" s="25">
        <f>IF(J2600&gt;600,1,0)</f>
        <v/>
      </c>
      <c r="P2600" s="25">
        <f>IF(H2600&gt;0,J2600,"")</f>
        <v/>
      </c>
      <c r="Q2600" s="25">
        <f>TEXT(A2600,"YYYY-MM-DD HH")</f>
        <v/>
      </c>
      <c r="R2600" s="25">
        <f>COUNTIF($Q$2:$Q$5295,Q2600)</f>
        <v/>
      </c>
      <c r="S2600" s="25">
        <f>IF(R2600&lt;=2,"1-2",IF(R2600&lt;=5,"3-5",IF(R2600&lt;=10,"6-10","11+")))</f>
        <v/>
      </c>
    </row>
    <row r="2601">
      <c r="A2601" s="39" t="n">
        <v>46188.27980324074</v>
      </c>
      <c r="B2601" s="25">
        <f>TEXT(A2601,"YYYY-MM")</f>
        <v/>
      </c>
      <c r="C2601" s="25">
        <f>TEXT(A2601,"MMM-YYYY")</f>
        <v/>
      </c>
      <c r="D2601" s="40">
        <f>INT(A2601)-WEEKDAY(A2601,2)+1</f>
        <v/>
      </c>
      <c r="E2601" s="25" t="inlineStr">
        <is>
          <t>ssrinivasan</t>
        </is>
      </c>
      <c r="F2601" s="25" t="n">
        <v>125497</v>
      </c>
      <c r="G2601" s="25" t="n">
        <v>2</v>
      </c>
      <c r="H2601" s="25" t="n">
        <v>10</v>
      </c>
      <c r="I2601" s="25" t="inlineStr">
        <is>
          <t>6 minute(s) and 39 second(s)</t>
        </is>
      </c>
      <c r="J2601" s="25">
        <f>IFERROR(VALUE(TRIM(LEFT(I2601,FIND("minute",I2601)-1)))*60,0)+IFERROR(VALUE(SUBSTITUTE(MID(I2601,IFERROR(FIND("and",I2601)+3,1),20),"second(s)","")),0)</f>
        <v/>
      </c>
      <c r="K2601" s="41">
        <f>J2601/60</f>
        <v/>
      </c>
      <c r="L2601" s="41">
        <f>IFERROR(J2601/H2601,"")</f>
        <v/>
      </c>
      <c r="M2601" s="25" t="inlineStr">
        <is>
          <t>2.5.12</t>
        </is>
      </c>
      <c r="N2601" s="25">
        <f>IF(J2601&gt;300,1,0)</f>
        <v/>
      </c>
      <c r="O2601" s="25">
        <f>IF(J2601&gt;600,1,0)</f>
        <v/>
      </c>
      <c r="P2601" s="25">
        <f>IF(H2601&gt;0,J2601,"")</f>
        <v/>
      </c>
      <c r="Q2601" s="25">
        <f>TEXT(A2601,"YYYY-MM-DD HH")</f>
        <v/>
      </c>
      <c r="R2601" s="25">
        <f>COUNTIF($Q$2:$Q$5295,Q2601)</f>
        <v/>
      </c>
      <c r="S2601" s="25">
        <f>IF(R2601&lt;=2,"1-2",IF(R2601&lt;=5,"3-5",IF(R2601&lt;=10,"6-10","11+")))</f>
        <v/>
      </c>
    </row>
    <row r="2602">
      <c r="A2602" s="39" t="n">
        <v>46188.28527777778</v>
      </c>
      <c r="B2602" s="25">
        <f>TEXT(A2602,"YYYY-MM")</f>
        <v/>
      </c>
      <c r="C2602" s="25">
        <f>TEXT(A2602,"MMM-YYYY")</f>
        <v/>
      </c>
      <c r="D2602" s="40">
        <f>INT(A2602)-WEEKDAY(A2602,2)+1</f>
        <v/>
      </c>
      <c r="E2602" s="25" t="inlineStr">
        <is>
          <t>anusharma</t>
        </is>
      </c>
      <c r="F2602" s="25" t="n">
        <v>124335</v>
      </c>
      <c r="G2602" s="25" t="n">
        <v>2</v>
      </c>
      <c r="H2602" s="25" t="n">
        <v>8</v>
      </c>
      <c r="I2602" s="25" t="inlineStr">
        <is>
          <t>2 minute(s) and 29 second(s)</t>
        </is>
      </c>
      <c r="J2602" s="25">
        <f>IFERROR(VALUE(TRIM(LEFT(I2602,FIND("minute",I2602)-1)))*60,0)+IFERROR(VALUE(SUBSTITUTE(MID(I2602,IFERROR(FIND("and",I2602)+3,1),20),"second(s)","")),0)</f>
        <v/>
      </c>
      <c r="K2602" s="41">
        <f>J2602/60</f>
        <v/>
      </c>
      <c r="L2602" s="41">
        <f>IFERROR(J2602/H2602,"")</f>
        <v/>
      </c>
      <c r="M2602" s="25" t="inlineStr">
        <is>
          <t>2.5.12</t>
        </is>
      </c>
      <c r="N2602" s="25">
        <f>IF(J2602&gt;300,1,0)</f>
        <v/>
      </c>
      <c r="O2602" s="25">
        <f>IF(J2602&gt;600,1,0)</f>
        <v/>
      </c>
      <c r="P2602" s="25">
        <f>IF(H2602&gt;0,J2602,"")</f>
        <v/>
      </c>
      <c r="Q2602" s="25">
        <f>TEXT(A2602,"YYYY-MM-DD HH")</f>
        <v/>
      </c>
      <c r="R2602" s="25">
        <f>COUNTIF($Q$2:$Q$5295,Q2602)</f>
        <v/>
      </c>
      <c r="S2602" s="25">
        <f>IF(R2602&lt;=2,"1-2",IF(R2602&lt;=5,"3-5",IF(R2602&lt;=10,"6-10","11+")))</f>
        <v/>
      </c>
    </row>
    <row r="2603">
      <c r="A2603" s="39" t="n">
        <v>46188.288125</v>
      </c>
      <c r="B2603" s="25">
        <f>TEXT(A2603,"YYYY-MM")</f>
        <v/>
      </c>
      <c r="C2603" s="25">
        <f>TEXT(A2603,"MMM-YYYY")</f>
        <v/>
      </c>
      <c r="D2603" s="40">
        <f>INT(A2603)-WEEKDAY(A2603,2)+1</f>
        <v/>
      </c>
      <c r="E2603" s="25" t="inlineStr">
        <is>
          <t>aghosh</t>
        </is>
      </c>
      <c r="F2603" s="25" t="n">
        <v>124121</v>
      </c>
      <c r="G2603" s="25" t="n">
        <v>2</v>
      </c>
      <c r="H2603" s="25" t="n">
        <v>12</v>
      </c>
      <c r="I2603" s="25" t="inlineStr">
        <is>
          <t>3 minute(s) and 8 second(s)</t>
        </is>
      </c>
      <c r="J2603" s="25">
        <f>IFERROR(VALUE(TRIM(LEFT(I2603,FIND("minute",I2603)-1)))*60,0)+IFERROR(VALUE(SUBSTITUTE(MID(I2603,IFERROR(FIND("and",I2603)+3,1),20),"second(s)","")),0)</f>
        <v/>
      </c>
      <c r="K2603" s="41">
        <f>J2603/60</f>
        <v/>
      </c>
      <c r="L2603" s="41">
        <f>IFERROR(J2603/H2603,"")</f>
        <v/>
      </c>
      <c r="M2603" s="25" t="inlineStr">
        <is>
          <t>2.5.12</t>
        </is>
      </c>
      <c r="N2603" s="25">
        <f>IF(J2603&gt;300,1,0)</f>
        <v/>
      </c>
      <c r="O2603" s="25">
        <f>IF(J2603&gt;600,1,0)</f>
        <v/>
      </c>
      <c r="P2603" s="25">
        <f>IF(H2603&gt;0,J2603,"")</f>
        <v/>
      </c>
      <c r="Q2603" s="25">
        <f>TEXT(A2603,"YYYY-MM-DD HH")</f>
        <v/>
      </c>
      <c r="R2603" s="25">
        <f>COUNTIF($Q$2:$Q$5295,Q2603)</f>
        <v/>
      </c>
      <c r="S2603" s="25">
        <f>IF(R2603&lt;=2,"1-2",IF(R2603&lt;=5,"3-5",IF(R2603&lt;=10,"6-10","11+")))</f>
        <v/>
      </c>
    </row>
    <row r="2604">
      <c r="A2604" s="39" t="n">
        <v>46188.29221064815</v>
      </c>
      <c r="B2604" s="25">
        <f>TEXT(A2604,"YYYY-MM")</f>
        <v/>
      </c>
      <c r="C2604" s="25">
        <f>TEXT(A2604,"MMM-YYYY")</f>
        <v/>
      </c>
      <c r="D2604" s="40">
        <f>INT(A2604)-WEEKDAY(A2604,2)+1</f>
        <v/>
      </c>
      <c r="E2604" s="25" t="inlineStr">
        <is>
          <t>mbohra</t>
        </is>
      </c>
      <c r="F2604" s="25" t="n">
        <v>125216</v>
      </c>
      <c r="G2604" s="25" t="n">
        <v>2</v>
      </c>
      <c r="H2604" s="25" t="n">
        <v>10</v>
      </c>
      <c r="I2604" s="25" t="inlineStr">
        <is>
          <t>2 minute(s) and 59 second(s)</t>
        </is>
      </c>
      <c r="J2604" s="25">
        <f>IFERROR(VALUE(TRIM(LEFT(I2604,FIND("minute",I2604)-1)))*60,0)+IFERROR(VALUE(SUBSTITUTE(MID(I2604,IFERROR(FIND("and",I2604)+3,1),20),"second(s)","")),0)</f>
        <v/>
      </c>
      <c r="K2604" s="41">
        <f>J2604/60</f>
        <v/>
      </c>
      <c r="L2604" s="41">
        <f>IFERROR(J2604/H2604,"")</f>
        <v/>
      </c>
      <c r="M2604" s="25" t="inlineStr">
        <is>
          <t>2.5.12</t>
        </is>
      </c>
      <c r="N2604" s="25">
        <f>IF(J2604&gt;300,1,0)</f>
        <v/>
      </c>
      <c r="O2604" s="25">
        <f>IF(J2604&gt;600,1,0)</f>
        <v/>
      </c>
      <c r="P2604" s="25">
        <f>IF(H2604&gt;0,J2604,"")</f>
        <v/>
      </c>
      <c r="Q2604" s="25">
        <f>TEXT(A2604,"YYYY-MM-DD HH")</f>
        <v/>
      </c>
      <c r="R2604" s="25">
        <f>COUNTIF($Q$2:$Q$5295,Q2604)</f>
        <v/>
      </c>
      <c r="S2604" s="25">
        <f>IF(R2604&lt;=2,"1-2",IF(R2604&lt;=5,"3-5",IF(R2604&lt;=10,"6-10","11+")))</f>
        <v/>
      </c>
    </row>
    <row r="2605">
      <c r="A2605" s="39" t="n">
        <v>46188.29716435185</v>
      </c>
      <c r="B2605" s="25">
        <f>TEXT(A2605,"YYYY-MM")</f>
        <v/>
      </c>
      <c r="C2605" s="25">
        <f>TEXT(A2605,"MMM-YYYY")</f>
        <v/>
      </c>
      <c r="D2605" s="40">
        <f>INT(A2605)-WEEKDAY(A2605,2)+1</f>
        <v/>
      </c>
      <c r="E2605" s="25" t="inlineStr">
        <is>
          <t>psathwika</t>
        </is>
      </c>
      <c r="F2605" s="25" t="n">
        <v>124866</v>
      </c>
      <c r="G2605" s="25" t="n">
        <v>2</v>
      </c>
      <c r="H2605" s="25" t="n">
        <v>10</v>
      </c>
      <c r="I2605" s="25" t="inlineStr">
        <is>
          <t>3 minute(s) and 49 second(s)</t>
        </is>
      </c>
      <c r="J2605" s="25">
        <f>IFERROR(VALUE(TRIM(LEFT(I2605,FIND("minute",I2605)-1)))*60,0)+IFERROR(VALUE(SUBSTITUTE(MID(I2605,IFERROR(FIND("and",I2605)+3,1),20),"second(s)","")),0)</f>
        <v/>
      </c>
      <c r="K2605" s="41">
        <f>J2605/60</f>
        <v/>
      </c>
      <c r="L2605" s="41">
        <f>IFERROR(J2605/H2605,"")</f>
        <v/>
      </c>
      <c r="M2605" s="25" t="inlineStr">
        <is>
          <t>2.5.12</t>
        </is>
      </c>
      <c r="N2605" s="25">
        <f>IF(J2605&gt;300,1,0)</f>
        <v/>
      </c>
      <c r="O2605" s="25">
        <f>IF(J2605&gt;600,1,0)</f>
        <v/>
      </c>
      <c r="P2605" s="25">
        <f>IF(H2605&gt;0,J2605,"")</f>
        <v/>
      </c>
      <c r="Q2605" s="25">
        <f>TEXT(A2605,"YYYY-MM-DD HH")</f>
        <v/>
      </c>
      <c r="R2605" s="25">
        <f>COUNTIF($Q$2:$Q$5295,Q2605)</f>
        <v/>
      </c>
      <c r="S2605" s="25">
        <f>IF(R2605&lt;=2,"1-2",IF(R2605&lt;=5,"3-5",IF(R2605&lt;=10,"6-10","11+")))</f>
        <v/>
      </c>
    </row>
    <row r="2606">
      <c r="A2606" s="39" t="n">
        <v>46188.30594907407</v>
      </c>
      <c r="B2606" s="25">
        <f>TEXT(A2606,"YYYY-MM")</f>
        <v/>
      </c>
      <c r="C2606" s="25">
        <f>TEXT(A2606,"MMM-YYYY")</f>
        <v/>
      </c>
      <c r="D2606" s="40">
        <f>INT(A2606)-WEEKDAY(A2606,2)+1</f>
        <v/>
      </c>
      <c r="E2606" s="25" t="inlineStr">
        <is>
          <t>mgupta</t>
        </is>
      </c>
      <c r="F2606" s="25" t="n">
        <v>124676</v>
      </c>
      <c r="G2606" s="25" t="n">
        <v>3</v>
      </c>
      <c r="H2606" s="25" t="n">
        <v>11</v>
      </c>
      <c r="I2606" s="25" t="inlineStr">
        <is>
          <t>2 minute(s) and 23 second(s)</t>
        </is>
      </c>
      <c r="J2606" s="25">
        <f>IFERROR(VALUE(TRIM(LEFT(I2606,FIND("minute",I2606)-1)))*60,0)+IFERROR(VALUE(SUBSTITUTE(MID(I2606,IFERROR(FIND("and",I2606)+3,1),20),"second(s)","")),0)</f>
        <v/>
      </c>
      <c r="K2606" s="41">
        <f>J2606/60</f>
        <v/>
      </c>
      <c r="L2606" s="41">
        <f>IFERROR(J2606/H2606,"")</f>
        <v/>
      </c>
      <c r="M2606" s="25" t="inlineStr">
        <is>
          <t>2.5.12</t>
        </is>
      </c>
      <c r="N2606" s="25">
        <f>IF(J2606&gt;300,1,0)</f>
        <v/>
      </c>
      <c r="O2606" s="25">
        <f>IF(J2606&gt;600,1,0)</f>
        <v/>
      </c>
      <c r="P2606" s="25">
        <f>IF(H2606&gt;0,J2606,"")</f>
        <v/>
      </c>
      <c r="Q2606" s="25">
        <f>TEXT(A2606,"YYYY-MM-DD HH")</f>
        <v/>
      </c>
      <c r="R2606" s="25">
        <f>COUNTIF($Q$2:$Q$5295,Q2606)</f>
        <v/>
      </c>
      <c r="S2606" s="25">
        <f>IF(R2606&lt;=2,"1-2",IF(R2606&lt;=5,"3-5",IF(R2606&lt;=10,"6-10","11+")))</f>
        <v/>
      </c>
    </row>
    <row r="2607">
      <c r="A2607" s="39" t="n">
        <v>46188.31193287037</v>
      </c>
      <c r="B2607" s="25">
        <f>TEXT(A2607,"YYYY-MM")</f>
        <v/>
      </c>
      <c r="C2607" s="25">
        <f>TEXT(A2607,"MMM-YYYY")</f>
        <v/>
      </c>
      <c r="D2607" s="40">
        <f>INT(A2607)-WEEKDAY(A2607,2)+1</f>
        <v/>
      </c>
      <c r="E2607" s="25" t="inlineStr">
        <is>
          <t>adey</t>
        </is>
      </c>
      <c r="F2607" s="25" t="n">
        <v>124352</v>
      </c>
      <c r="G2607" s="25" t="n">
        <v>2</v>
      </c>
      <c r="H2607" s="25" t="n">
        <v>10</v>
      </c>
      <c r="I2607" s="25" t="inlineStr">
        <is>
          <t>3 minute(s) and 40 second(s)</t>
        </is>
      </c>
      <c r="J2607" s="25">
        <f>IFERROR(VALUE(TRIM(LEFT(I2607,FIND("minute",I2607)-1)))*60,0)+IFERROR(VALUE(SUBSTITUTE(MID(I2607,IFERROR(FIND("and",I2607)+3,1),20),"second(s)","")),0)</f>
        <v/>
      </c>
      <c r="K2607" s="41">
        <f>J2607/60</f>
        <v/>
      </c>
      <c r="L2607" s="41">
        <f>IFERROR(J2607/H2607,"")</f>
        <v/>
      </c>
      <c r="M2607" s="25" t="inlineStr">
        <is>
          <t>2.5.12</t>
        </is>
      </c>
      <c r="N2607" s="25">
        <f>IF(J2607&gt;300,1,0)</f>
        <v/>
      </c>
      <c r="O2607" s="25">
        <f>IF(J2607&gt;600,1,0)</f>
        <v/>
      </c>
      <c r="P2607" s="25">
        <f>IF(H2607&gt;0,J2607,"")</f>
        <v/>
      </c>
      <c r="Q2607" s="25">
        <f>TEXT(A2607,"YYYY-MM-DD HH")</f>
        <v/>
      </c>
      <c r="R2607" s="25">
        <f>COUNTIF($Q$2:$Q$5295,Q2607)</f>
        <v/>
      </c>
      <c r="S2607" s="25">
        <f>IF(R2607&lt;=2,"1-2",IF(R2607&lt;=5,"3-5",IF(R2607&lt;=10,"6-10","11+")))</f>
        <v/>
      </c>
    </row>
    <row r="2608">
      <c r="A2608" s="39" t="n">
        <v>46188.31414351852</v>
      </c>
      <c r="B2608" s="25">
        <f>TEXT(A2608,"YYYY-MM")</f>
        <v/>
      </c>
      <c r="C2608" s="25">
        <f>TEXT(A2608,"MMM-YYYY")</f>
        <v/>
      </c>
      <c r="D2608" s="40">
        <f>INT(A2608)-WEEKDAY(A2608,2)+1</f>
        <v/>
      </c>
      <c r="E2608" s="25" t="inlineStr">
        <is>
          <t>pmehndiratta</t>
        </is>
      </c>
      <c r="F2608" s="25" t="n">
        <v>124978</v>
      </c>
      <c r="G2608" s="25" t="n">
        <v>2</v>
      </c>
      <c r="H2608" s="25" t="n">
        <v>10</v>
      </c>
      <c r="I2608" s="25" t="inlineStr">
        <is>
          <t>3 minute(s) and 10 second(s)</t>
        </is>
      </c>
      <c r="J2608" s="25">
        <f>IFERROR(VALUE(TRIM(LEFT(I2608,FIND("minute",I2608)-1)))*60,0)+IFERROR(VALUE(SUBSTITUTE(MID(I2608,IFERROR(FIND("and",I2608)+3,1),20),"second(s)","")),0)</f>
        <v/>
      </c>
      <c r="K2608" s="41">
        <f>J2608/60</f>
        <v/>
      </c>
      <c r="L2608" s="41">
        <f>IFERROR(J2608/H2608,"")</f>
        <v/>
      </c>
      <c r="M2608" s="25" t="inlineStr">
        <is>
          <t>2.5.12</t>
        </is>
      </c>
      <c r="N2608" s="25">
        <f>IF(J2608&gt;300,1,0)</f>
        <v/>
      </c>
      <c r="O2608" s="25">
        <f>IF(J2608&gt;600,1,0)</f>
        <v/>
      </c>
      <c r="P2608" s="25">
        <f>IF(H2608&gt;0,J2608,"")</f>
        <v/>
      </c>
      <c r="Q2608" s="25">
        <f>TEXT(A2608,"YYYY-MM-DD HH")</f>
        <v/>
      </c>
      <c r="R2608" s="25">
        <f>COUNTIF($Q$2:$Q$5295,Q2608)</f>
        <v/>
      </c>
      <c r="S2608" s="25">
        <f>IF(R2608&lt;=2,"1-2",IF(R2608&lt;=5,"3-5",IF(R2608&lt;=10,"6-10","11+")))</f>
        <v/>
      </c>
    </row>
    <row r="2609">
      <c r="A2609" s="39" t="n">
        <v>46188.31478009259</v>
      </c>
      <c r="B2609" s="25">
        <f>TEXT(A2609,"YYYY-MM")</f>
        <v/>
      </c>
      <c r="C2609" s="25">
        <f>TEXT(A2609,"MMM-YYYY")</f>
        <v/>
      </c>
      <c r="D2609" s="40">
        <f>INT(A2609)-WEEKDAY(A2609,2)+1</f>
        <v/>
      </c>
      <c r="E2609" s="25" t="inlineStr">
        <is>
          <t>stiwari</t>
        </is>
      </c>
      <c r="F2609" s="25" t="n">
        <v>123928</v>
      </c>
      <c r="G2609" s="25" t="n">
        <v>2</v>
      </c>
      <c r="H2609" s="25" t="n">
        <v>10</v>
      </c>
      <c r="I2609" s="25" t="inlineStr">
        <is>
          <t>1 minute(s) and 49 second(s)</t>
        </is>
      </c>
      <c r="J2609" s="25">
        <f>IFERROR(VALUE(TRIM(LEFT(I2609,FIND("minute",I2609)-1)))*60,0)+IFERROR(VALUE(SUBSTITUTE(MID(I2609,IFERROR(FIND("and",I2609)+3,1),20),"second(s)","")),0)</f>
        <v/>
      </c>
      <c r="K2609" s="41">
        <f>J2609/60</f>
        <v/>
      </c>
      <c r="L2609" s="41">
        <f>IFERROR(J2609/H2609,"")</f>
        <v/>
      </c>
      <c r="M2609" s="25" t="inlineStr">
        <is>
          <t>2.5.12</t>
        </is>
      </c>
      <c r="N2609" s="25">
        <f>IF(J2609&gt;300,1,0)</f>
        <v/>
      </c>
      <c r="O2609" s="25">
        <f>IF(J2609&gt;600,1,0)</f>
        <v/>
      </c>
      <c r="P2609" s="25">
        <f>IF(H2609&gt;0,J2609,"")</f>
        <v/>
      </c>
      <c r="Q2609" s="25">
        <f>TEXT(A2609,"YYYY-MM-DD HH")</f>
        <v/>
      </c>
      <c r="R2609" s="25">
        <f>COUNTIF($Q$2:$Q$5295,Q2609)</f>
        <v/>
      </c>
      <c r="S2609" s="25">
        <f>IF(R2609&lt;=2,"1-2",IF(R2609&lt;=5,"3-5",IF(R2609&lt;=10,"6-10","11+")))</f>
        <v/>
      </c>
    </row>
    <row r="2610">
      <c r="A2610" s="39" t="n">
        <v>46188.32262731482</v>
      </c>
      <c r="B2610" s="25">
        <f>TEXT(A2610,"YYYY-MM")</f>
        <v/>
      </c>
      <c r="C2610" s="25">
        <f>TEXT(A2610,"MMM-YYYY")</f>
        <v/>
      </c>
      <c r="D2610" s="40">
        <f>INT(A2610)-WEEKDAY(A2610,2)+1</f>
        <v/>
      </c>
      <c r="E2610" s="25" t="inlineStr">
        <is>
          <t>asahoo</t>
        </is>
      </c>
      <c r="F2610" s="25" t="n">
        <v>124255</v>
      </c>
      <c r="G2610" s="25" t="n">
        <v>2</v>
      </c>
      <c r="H2610" s="25" t="n">
        <v>8</v>
      </c>
      <c r="I2610" s="25" t="inlineStr">
        <is>
          <t>1 minute(s) and 47 second(s)</t>
        </is>
      </c>
      <c r="J2610" s="25">
        <f>IFERROR(VALUE(TRIM(LEFT(I2610,FIND("minute",I2610)-1)))*60,0)+IFERROR(VALUE(SUBSTITUTE(MID(I2610,IFERROR(FIND("and",I2610)+3,1),20),"second(s)","")),0)</f>
        <v/>
      </c>
      <c r="K2610" s="41">
        <f>J2610/60</f>
        <v/>
      </c>
      <c r="L2610" s="41">
        <f>IFERROR(J2610/H2610,"")</f>
        <v/>
      </c>
      <c r="M2610" s="25" t="inlineStr">
        <is>
          <t>2.5.12</t>
        </is>
      </c>
      <c r="N2610" s="25">
        <f>IF(J2610&gt;300,1,0)</f>
        <v/>
      </c>
      <c r="O2610" s="25">
        <f>IF(J2610&gt;600,1,0)</f>
        <v/>
      </c>
      <c r="P2610" s="25">
        <f>IF(H2610&gt;0,J2610,"")</f>
        <v/>
      </c>
      <c r="Q2610" s="25">
        <f>TEXT(A2610,"YYYY-MM-DD HH")</f>
        <v/>
      </c>
      <c r="R2610" s="25">
        <f>COUNTIF($Q$2:$Q$5295,Q2610)</f>
        <v/>
      </c>
      <c r="S2610" s="25">
        <f>IF(R2610&lt;=2,"1-2",IF(R2610&lt;=5,"3-5",IF(R2610&lt;=10,"6-10","11+")))</f>
        <v/>
      </c>
    </row>
    <row r="2611">
      <c r="A2611" s="39" t="n">
        <v>46188.32399305556</v>
      </c>
      <c r="B2611" s="25">
        <f>TEXT(A2611,"YYYY-MM")</f>
        <v/>
      </c>
      <c r="C2611" s="25">
        <f>TEXT(A2611,"MMM-YYYY")</f>
        <v/>
      </c>
      <c r="D2611" s="40">
        <f>INT(A2611)-WEEKDAY(A2611,2)+1</f>
        <v/>
      </c>
      <c r="E2611" s="25" t="inlineStr">
        <is>
          <t>aghosh</t>
        </is>
      </c>
      <c r="F2611" s="25" t="n">
        <v>124119</v>
      </c>
      <c r="G2611" s="25" t="n">
        <v>4</v>
      </c>
      <c r="H2611" s="25" t="n">
        <v>12</v>
      </c>
      <c r="I2611" s="25" t="inlineStr">
        <is>
          <t>2 minute(s) and 0 second(s)</t>
        </is>
      </c>
      <c r="J2611" s="25">
        <f>IFERROR(VALUE(TRIM(LEFT(I2611,FIND("minute",I2611)-1)))*60,0)+IFERROR(VALUE(SUBSTITUTE(MID(I2611,IFERROR(FIND("and",I2611)+3,1),20),"second(s)","")),0)</f>
        <v/>
      </c>
      <c r="K2611" s="41">
        <f>J2611/60</f>
        <v/>
      </c>
      <c r="L2611" s="41">
        <f>IFERROR(J2611/H2611,"")</f>
        <v/>
      </c>
      <c r="M2611" s="25" t="inlineStr">
        <is>
          <t>2.5.12</t>
        </is>
      </c>
      <c r="N2611" s="25">
        <f>IF(J2611&gt;300,1,0)</f>
        <v/>
      </c>
      <c r="O2611" s="25">
        <f>IF(J2611&gt;600,1,0)</f>
        <v/>
      </c>
      <c r="P2611" s="25">
        <f>IF(H2611&gt;0,J2611,"")</f>
        <v/>
      </c>
      <c r="Q2611" s="25">
        <f>TEXT(A2611,"YYYY-MM-DD HH")</f>
        <v/>
      </c>
      <c r="R2611" s="25">
        <f>COUNTIF($Q$2:$Q$5295,Q2611)</f>
        <v/>
      </c>
      <c r="S2611" s="25">
        <f>IF(R2611&lt;=2,"1-2",IF(R2611&lt;=5,"3-5",IF(R2611&lt;=10,"6-10","11+")))</f>
        <v/>
      </c>
    </row>
    <row r="2612">
      <c r="A2612" s="39" t="n">
        <v>46188.3266087963</v>
      </c>
      <c r="B2612" s="25">
        <f>TEXT(A2612,"YYYY-MM")</f>
        <v/>
      </c>
      <c r="C2612" s="25">
        <f>TEXT(A2612,"MMM-YYYY")</f>
        <v/>
      </c>
      <c r="D2612" s="40">
        <f>INT(A2612)-WEEKDAY(A2612,2)+1</f>
        <v/>
      </c>
      <c r="E2612" s="25" t="inlineStr">
        <is>
          <t>ssrinivasan</t>
        </is>
      </c>
      <c r="F2612" s="25" t="n">
        <v>125566</v>
      </c>
      <c r="G2612" s="25" t="n">
        <v>4</v>
      </c>
      <c r="H2612" s="25" t="n">
        <v>14</v>
      </c>
      <c r="I2612" s="25" t="inlineStr">
        <is>
          <t>7 minute(s) and 12 second(s)</t>
        </is>
      </c>
      <c r="J2612" s="25">
        <f>IFERROR(VALUE(TRIM(LEFT(I2612,FIND("minute",I2612)-1)))*60,0)+IFERROR(VALUE(SUBSTITUTE(MID(I2612,IFERROR(FIND("and",I2612)+3,1),20),"second(s)","")),0)</f>
        <v/>
      </c>
      <c r="K2612" s="41">
        <f>J2612/60</f>
        <v/>
      </c>
      <c r="L2612" s="41">
        <f>IFERROR(J2612/H2612,"")</f>
        <v/>
      </c>
      <c r="M2612" s="25" t="inlineStr">
        <is>
          <t>2.5.12</t>
        </is>
      </c>
      <c r="N2612" s="25">
        <f>IF(J2612&gt;300,1,0)</f>
        <v/>
      </c>
      <c r="O2612" s="25">
        <f>IF(J2612&gt;600,1,0)</f>
        <v/>
      </c>
      <c r="P2612" s="25">
        <f>IF(H2612&gt;0,J2612,"")</f>
        <v/>
      </c>
      <c r="Q2612" s="25">
        <f>TEXT(A2612,"YYYY-MM-DD HH")</f>
        <v/>
      </c>
      <c r="R2612" s="25">
        <f>COUNTIF($Q$2:$Q$5295,Q2612)</f>
        <v/>
      </c>
      <c r="S2612" s="25">
        <f>IF(R2612&lt;=2,"1-2",IF(R2612&lt;=5,"3-5",IF(R2612&lt;=10,"6-10","11+")))</f>
        <v/>
      </c>
    </row>
    <row r="2613">
      <c r="A2613" s="39" t="n">
        <v>46188.32863425926</v>
      </c>
      <c r="B2613" s="25">
        <f>TEXT(A2613,"YYYY-MM")</f>
        <v/>
      </c>
      <c r="C2613" s="25">
        <f>TEXT(A2613,"MMM-YYYY")</f>
        <v/>
      </c>
      <c r="D2613" s="40">
        <f>INT(A2613)-WEEKDAY(A2613,2)+1</f>
        <v/>
      </c>
      <c r="E2613" s="25" t="inlineStr">
        <is>
          <t>sdey</t>
        </is>
      </c>
      <c r="F2613" s="25" t="n">
        <v>125266</v>
      </c>
      <c r="G2613" s="25" t="n">
        <v>4</v>
      </c>
      <c r="H2613" s="25" t="n">
        <v>16</v>
      </c>
      <c r="I2613" s="25" t="inlineStr">
        <is>
          <t>3 minute(s) and 25 second(s)</t>
        </is>
      </c>
      <c r="J2613" s="25">
        <f>IFERROR(VALUE(TRIM(LEFT(I2613,FIND("minute",I2613)-1)))*60,0)+IFERROR(VALUE(SUBSTITUTE(MID(I2613,IFERROR(FIND("and",I2613)+3,1),20),"second(s)","")),0)</f>
        <v/>
      </c>
      <c r="K2613" s="41">
        <f>J2613/60</f>
        <v/>
      </c>
      <c r="L2613" s="41">
        <f>IFERROR(J2613/H2613,"")</f>
        <v/>
      </c>
      <c r="M2613" s="25" t="inlineStr">
        <is>
          <t>2.5.12</t>
        </is>
      </c>
      <c r="N2613" s="25">
        <f>IF(J2613&gt;300,1,0)</f>
        <v/>
      </c>
      <c r="O2613" s="25">
        <f>IF(J2613&gt;600,1,0)</f>
        <v/>
      </c>
      <c r="P2613" s="25">
        <f>IF(H2613&gt;0,J2613,"")</f>
        <v/>
      </c>
      <c r="Q2613" s="25">
        <f>TEXT(A2613,"YYYY-MM-DD HH")</f>
        <v/>
      </c>
      <c r="R2613" s="25">
        <f>COUNTIF($Q$2:$Q$5295,Q2613)</f>
        <v/>
      </c>
      <c r="S2613" s="25">
        <f>IF(R2613&lt;=2,"1-2",IF(R2613&lt;=5,"3-5",IF(R2613&lt;=10,"6-10","11+")))</f>
        <v/>
      </c>
    </row>
    <row r="2614">
      <c r="A2614" s="39" t="n">
        <v>46188.32981481482</v>
      </c>
      <c r="B2614" s="25">
        <f>TEXT(A2614,"YYYY-MM")</f>
        <v/>
      </c>
      <c r="C2614" s="25">
        <f>TEXT(A2614,"MMM-YYYY")</f>
        <v/>
      </c>
      <c r="D2614" s="40">
        <f>INT(A2614)-WEEKDAY(A2614,2)+1</f>
        <v/>
      </c>
      <c r="E2614" s="25" t="inlineStr">
        <is>
          <t>sswati</t>
        </is>
      </c>
      <c r="F2614" s="25" t="n">
        <v>125907</v>
      </c>
      <c r="G2614" s="25" t="n">
        <v>2</v>
      </c>
      <c r="H2614" s="25" t="n">
        <v>8</v>
      </c>
      <c r="I2614" s="25" t="inlineStr">
        <is>
          <t>4 minute(s) and 3 second(s)</t>
        </is>
      </c>
      <c r="J2614" s="25">
        <f>IFERROR(VALUE(TRIM(LEFT(I2614,FIND("minute",I2614)-1)))*60,0)+IFERROR(VALUE(SUBSTITUTE(MID(I2614,IFERROR(FIND("and",I2614)+3,1),20),"second(s)","")),0)</f>
        <v/>
      </c>
      <c r="K2614" s="41">
        <f>J2614/60</f>
        <v/>
      </c>
      <c r="L2614" s="41">
        <f>IFERROR(J2614/H2614,"")</f>
        <v/>
      </c>
      <c r="M2614" s="25" t="inlineStr">
        <is>
          <t>2.5.12</t>
        </is>
      </c>
      <c r="N2614" s="25">
        <f>IF(J2614&gt;300,1,0)</f>
        <v/>
      </c>
      <c r="O2614" s="25">
        <f>IF(J2614&gt;600,1,0)</f>
        <v/>
      </c>
      <c r="P2614" s="25">
        <f>IF(H2614&gt;0,J2614,"")</f>
        <v/>
      </c>
      <c r="Q2614" s="25">
        <f>TEXT(A2614,"YYYY-MM-DD HH")</f>
        <v/>
      </c>
      <c r="R2614" s="25">
        <f>COUNTIF($Q$2:$Q$5295,Q2614)</f>
        <v/>
      </c>
      <c r="S2614" s="25">
        <f>IF(R2614&lt;=2,"1-2",IF(R2614&lt;=5,"3-5",IF(R2614&lt;=10,"6-10","11+")))</f>
        <v/>
      </c>
    </row>
    <row r="2615">
      <c r="A2615" s="39" t="n">
        <v>46188.33059027778</v>
      </c>
      <c r="B2615" s="25">
        <f>TEXT(A2615,"YYYY-MM")</f>
        <v/>
      </c>
      <c r="C2615" s="25">
        <f>TEXT(A2615,"MMM-YYYY")</f>
        <v/>
      </c>
      <c r="D2615" s="40">
        <f>INT(A2615)-WEEKDAY(A2615,2)+1</f>
        <v/>
      </c>
      <c r="E2615" s="25" t="inlineStr">
        <is>
          <t>mbohra</t>
        </is>
      </c>
      <c r="F2615" s="25" t="n">
        <v>125215</v>
      </c>
      <c r="G2615" s="25" t="n">
        <v>4</v>
      </c>
      <c r="H2615" s="25" t="n">
        <v>18</v>
      </c>
      <c r="I2615" s="25" t="inlineStr">
        <is>
          <t>8 minute(s) and 32 second(s)</t>
        </is>
      </c>
      <c r="J2615" s="25">
        <f>IFERROR(VALUE(TRIM(LEFT(I2615,FIND("minute",I2615)-1)))*60,0)+IFERROR(VALUE(SUBSTITUTE(MID(I2615,IFERROR(FIND("and",I2615)+3,1),20),"second(s)","")),0)</f>
        <v/>
      </c>
      <c r="K2615" s="41">
        <f>J2615/60</f>
        <v/>
      </c>
      <c r="L2615" s="41">
        <f>IFERROR(J2615/H2615,"")</f>
        <v/>
      </c>
      <c r="M2615" s="25" t="inlineStr">
        <is>
          <t>2.5.12</t>
        </is>
      </c>
      <c r="N2615" s="25">
        <f>IF(J2615&gt;300,1,0)</f>
        <v/>
      </c>
      <c r="O2615" s="25">
        <f>IF(J2615&gt;600,1,0)</f>
        <v/>
      </c>
      <c r="P2615" s="25">
        <f>IF(H2615&gt;0,J2615,"")</f>
        <v/>
      </c>
      <c r="Q2615" s="25">
        <f>TEXT(A2615,"YYYY-MM-DD HH")</f>
        <v/>
      </c>
      <c r="R2615" s="25">
        <f>COUNTIF($Q$2:$Q$5295,Q2615)</f>
        <v/>
      </c>
      <c r="S2615" s="25">
        <f>IF(R2615&lt;=2,"1-2",IF(R2615&lt;=5,"3-5",IF(R2615&lt;=10,"6-10","11+")))</f>
        <v/>
      </c>
    </row>
    <row r="2616">
      <c r="A2616" s="39" t="n">
        <v>46188.33078703703</v>
      </c>
      <c r="B2616" s="25">
        <f>TEXT(A2616,"YYYY-MM")</f>
        <v/>
      </c>
      <c r="C2616" s="25">
        <f>TEXT(A2616,"MMM-YYYY")</f>
        <v/>
      </c>
      <c r="D2616" s="40">
        <f>INT(A2616)-WEEKDAY(A2616,2)+1</f>
        <v/>
      </c>
      <c r="E2616" s="25" t="inlineStr">
        <is>
          <t>csaha</t>
        </is>
      </c>
      <c r="F2616" s="25" t="n">
        <v>124382</v>
      </c>
      <c r="G2616" s="25" t="n">
        <v>2</v>
      </c>
      <c r="H2616" s="25" t="n">
        <v>8</v>
      </c>
      <c r="I2616" s="25" t="inlineStr">
        <is>
          <t>1 minute(s) and 46 second(s)</t>
        </is>
      </c>
      <c r="J2616" s="25">
        <f>IFERROR(VALUE(TRIM(LEFT(I2616,FIND("minute",I2616)-1)))*60,0)+IFERROR(VALUE(SUBSTITUTE(MID(I2616,IFERROR(FIND("and",I2616)+3,1),20),"second(s)","")),0)</f>
        <v/>
      </c>
      <c r="K2616" s="41">
        <f>J2616/60</f>
        <v/>
      </c>
      <c r="L2616" s="41">
        <f>IFERROR(J2616/H2616,"")</f>
        <v/>
      </c>
      <c r="M2616" s="25" t="inlineStr">
        <is>
          <t>2.5.12</t>
        </is>
      </c>
      <c r="N2616" s="25">
        <f>IF(J2616&gt;300,1,0)</f>
        <v/>
      </c>
      <c r="O2616" s="25">
        <f>IF(J2616&gt;600,1,0)</f>
        <v/>
      </c>
      <c r="P2616" s="25">
        <f>IF(H2616&gt;0,J2616,"")</f>
        <v/>
      </c>
      <c r="Q2616" s="25">
        <f>TEXT(A2616,"YYYY-MM-DD HH")</f>
        <v/>
      </c>
      <c r="R2616" s="25">
        <f>COUNTIF($Q$2:$Q$5295,Q2616)</f>
        <v/>
      </c>
      <c r="S2616" s="25">
        <f>IF(R2616&lt;=2,"1-2",IF(R2616&lt;=5,"3-5",IF(R2616&lt;=10,"6-10","11+")))</f>
        <v/>
      </c>
    </row>
    <row r="2617">
      <c r="A2617" s="39" t="n">
        <v>46188.34226851852</v>
      </c>
      <c r="B2617" s="25">
        <f>TEXT(A2617,"YYYY-MM")</f>
        <v/>
      </c>
      <c r="C2617" s="25">
        <f>TEXT(A2617,"MMM-YYYY")</f>
        <v/>
      </c>
      <c r="D2617" s="40">
        <f>INT(A2617)-WEEKDAY(A2617,2)+1</f>
        <v/>
      </c>
      <c r="E2617" s="25" t="inlineStr">
        <is>
          <t>psathwika</t>
        </is>
      </c>
      <c r="F2617" s="25" t="n">
        <v>124863</v>
      </c>
      <c r="G2617" s="25" t="n">
        <v>4</v>
      </c>
      <c r="H2617" s="25" t="n">
        <v>21</v>
      </c>
      <c r="I2617" s="25" t="inlineStr">
        <is>
          <t>9 minute(s) and 19 second(s)</t>
        </is>
      </c>
      <c r="J2617" s="25">
        <f>IFERROR(VALUE(TRIM(LEFT(I2617,FIND("minute",I2617)-1)))*60,0)+IFERROR(VALUE(SUBSTITUTE(MID(I2617,IFERROR(FIND("and",I2617)+3,1),20),"second(s)","")),0)</f>
        <v/>
      </c>
      <c r="K2617" s="41">
        <f>J2617/60</f>
        <v/>
      </c>
      <c r="L2617" s="41">
        <f>IFERROR(J2617/H2617,"")</f>
        <v/>
      </c>
      <c r="M2617" s="25" t="inlineStr">
        <is>
          <t>2.5.12</t>
        </is>
      </c>
      <c r="N2617" s="25">
        <f>IF(J2617&gt;300,1,0)</f>
        <v/>
      </c>
      <c r="O2617" s="25">
        <f>IF(J2617&gt;600,1,0)</f>
        <v/>
      </c>
      <c r="P2617" s="25">
        <f>IF(H2617&gt;0,J2617,"")</f>
        <v/>
      </c>
      <c r="Q2617" s="25">
        <f>TEXT(A2617,"YYYY-MM-DD HH")</f>
        <v/>
      </c>
      <c r="R2617" s="25">
        <f>COUNTIF($Q$2:$Q$5295,Q2617)</f>
        <v/>
      </c>
      <c r="S2617" s="25">
        <f>IF(R2617&lt;=2,"1-2",IF(R2617&lt;=5,"3-5",IF(R2617&lt;=10,"6-10","11+")))</f>
        <v/>
      </c>
    </row>
    <row r="2618">
      <c r="A2618" s="39" t="n">
        <v>46188.34358796296</v>
      </c>
      <c r="B2618" s="25">
        <f>TEXT(A2618,"YYYY-MM")</f>
        <v/>
      </c>
      <c r="C2618" s="25">
        <f>TEXT(A2618,"MMM-YYYY")</f>
        <v/>
      </c>
      <c r="D2618" s="40">
        <f>INT(A2618)-WEEKDAY(A2618,2)+1</f>
        <v/>
      </c>
      <c r="E2618" s="25" t="inlineStr">
        <is>
          <t>emishra</t>
        </is>
      </c>
      <c r="F2618" s="25" t="n">
        <v>124529</v>
      </c>
      <c r="G2618" s="25" t="n">
        <v>4</v>
      </c>
      <c r="H2618" s="25" t="n">
        <v>14</v>
      </c>
      <c r="I2618" s="25" t="inlineStr">
        <is>
          <t>2 minute(s) and 47 second(s)</t>
        </is>
      </c>
      <c r="J2618" s="25">
        <f>IFERROR(VALUE(TRIM(LEFT(I2618,FIND("minute",I2618)-1)))*60,0)+IFERROR(VALUE(SUBSTITUTE(MID(I2618,IFERROR(FIND("and",I2618)+3,1),20),"second(s)","")),0)</f>
        <v/>
      </c>
      <c r="K2618" s="41">
        <f>J2618/60</f>
        <v/>
      </c>
      <c r="L2618" s="41">
        <f>IFERROR(J2618/H2618,"")</f>
        <v/>
      </c>
      <c r="M2618" s="25" t="inlineStr">
        <is>
          <t>2.5.12</t>
        </is>
      </c>
      <c r="N2618" s="25">
        <f>IF(J2618&gt;300,1,0)</f>
        <v/>
      </c>
      <c r="O2618" s="25">
        <f>IF(J2618&gt;600,1,0)</f>
        <v/>
      </c>
      <c r="P2618" s="25">
        <f>IF(H2618&gt;0,J2618,"")</f>
        <v/>
      </c>
      <c r="Q2618" s="25">
        <f>TEXT(A2618,"YYYY-MM-DD HH")</f>
        <v/>
      </c>
      <c r="R2618" s="25">
        <f>COUNTIF($Q$2:$Q$5295,Q2618)</f>
        <v/>
      </c>
      <c r="S2618" s="25">
        <f>IF(R2618&lt;=2,"1-2",IF(R2618&lt;=5,"3-5",IF(R2618&lt;=10,"6-10","11+")))</f>
        <v/>
      </c>
    </row>
    <row r="2619">
      <c r="A2619" s="39" t="n">
        <v>46188.35259259259</v>
      </c>
      <c r="B2619" s="25">
        <f>TEXT(A2619,"YYYY-MM")</f>
        <v/>
      </c>
      <c r="C2619" s="25">
        <f>TEXT(A2619,"MMM-YYYY")</f>
        <v/>
      </c>
      <c r="D2619" s="40">
        <f>INT(A2619)-WEEKDAY(A2619,2)+1</f>
        <v/>
      </c>
      <c r="E2619" s="25" t="inlineStr">
        <is>
          <t>adey</t>
        </is>
      </c>
      <c r="F2619" s="25" t="n">
        <v>124351</v>
      </c>
      <c r="G2619" s="25" t="n">
        <v>4</v>
      </c>
      <c r="H2619" s="25" t="n">
        <v>20</v>
      </c>
      <c r="I2619" s="25" t="inlineStr">
        <is>
          <t>6 minute(s) and 22 second(s)</t>
        </is>
      </c>
      <c r="J2619" s="25">
        <f>IFERROR(VALUE(TRIM(LEFT(I2619,FIND("minute",I2619)-1)))*60,0)+IFERROR(VALUE(SUBSTITUTE(MID(I2619,IFERROR(FIND("and",I2619)+3,1),20),"second(s)","")),0)</f>
        <v/>
      </c>
      <c r="K2619" s="41">
        <f>J2619/60</f>
        <v/>
      </c>
      <c r="L2619" s="41">
        <f>IFERROR(J2619/H2619,"")</f>
        <v/>
      </c>
      <c r="M2619" s="25" t="inlineStr">
        <is>
          <t>2.5.12</t>
        </is>
      </c>
      <c r="N2619" s="25">
        <f>IF(J2619&gt;300,1,0)</f>
        <v/>
      </c>
      <c r="O2619" s="25">
        <f>IF(J2619&gt;600,1,0)</f>
        <v/>
      </c>
      <c r="P2619" s="25">
        <f>IF(H2619&gt;0,J2619,"")</f>
        <v/>
      </c>
      <c r="Q2619" s="25">
        <f>TEXT(A2619,"YYYY-MM-DD HH")</f>
        <v/>
      </c>
      <c r="R2619" s="25">
        <f>COUNTIF($Q$2:$Q$5295,Q2619)</f>
        <v/>
      </c>
      <c r="S2619" s="25">
        <f>IF(R2619&lt;=2,"1-2",IF(R2619&lt;=5,"3-5",IF(R2619&lt;=10,"6-10","11+")))</f>
        <v/>
      </c>
    </row>
    <row r="2620">
      <c r="A2620" s="39" t="n">
        <v>46188.35585648148</v>
      </c>
      <c r="B2620" s="25">
        <f>TEXT(A2620,"YYYY-MM")</f>
        <v/>
      </c>
      <c r="C2620" s="25">
        <f>TEXT(A2620,"MMM-YYYY")</f>
        <v/>
      </c>
      <c r="D2620" s="40">
        <f>INT(A2620)-WEEKDAY(A2620,2)+1</f>
        <v/>
      </c>
      <c r="E2620" s="25" t="inlineStr">
        <is>
          <t>ns</t>
        </is>
      </c>
      <c r="F2620" s="25" t="n">
        <v>123529</v>
      </c>
      <c r="G2620" s="25" t="n">
        <v>2</v>
      </c>
      <c r="H2620" s="25" t="n">
        <v>12</v>
      </c>
      <c r="I2620" s="25" t="inlineStr">
        <is>
          <t>2 minute(s) and 43 second(s)</t>
        </is>
      </c>
      <c r="J2620" s="25">
        <f>IFERROR(VALUE(TRIM(LEFT(I2620,FIND("minute",I2620)-1)))*60,0)+IFERROR(VALUE(SUBSTITUTE(MID(I2620,IFERROR(FIND("and",I2620)+3,1),20),"second(s)","")),0)</f>
        <v/>
      </c>
      <c r="K2620" s="41">
        <f>J2620/60</f>
        <v/>
      </c>
      <c r="L2620" s="41">
        <f>IFERROR(J2620/H2620,"")</f>
        <v/>
      </c>
      <c r="M2620" s="25" t="inlineStr">
        <is>
          <t>2.5.12</t>
        </is>
      </c>
      <c r="N2620" s="25">
        <f>IF(J2620&gt;300,1,0)</f>
        <v/>
      </c>
      <c r="O2620" s="25">
        <f>IF(J2620&gt;600,1,0)</f>
        <v/>
      </c>
      <c r="P2620" s="25">
        <f>IF(H2620&gt;0,J2620,"")</f>
        <v/>
      </c>
      <c r="Q2620" s="25">
        <f>TEXT(A2620,"YYYY-MM-DD HH")</f>
        <v/>
      </c>
      <c r="R2620" s="25">
        <f>COUNTIF($Q$2:$Q$5295,Q2620)</f>
        <v/>
      </c>
      <c r="S2620" s="25">
        <f>IF(R2620&lt;=2,"1-2",IF(R2620&lt;=5,"3-5",IF(R2620&lt;=10,"6-10","11+")))</f>
        <v/>
      </c>
    </row>
    <row r="2621">
      <c r="A2621" s="39" t="n">
        <v>46188.3569212963</v>
      </c>
      <c r="B2621" s="25">
        <f>TEXT(A2621,"YYYY-MM")</f>
        <v/>
      </c>
      <c r="C2621" s="25">
        <f>TEXT(A2621,"MMM-YYYY")</f>
        <v/>
      </c>
      <c r="D2621" s="40">
        <f>INT(A2621)-WEEKDAY(A2621,2)+1</f>
        <v/>
      </c>
      <c r="E2621" s="25" t="inlineStr">
        <is>
          <t>stiwari</t>
        </is>
      </c>
      <c r="F2621" s="25" t="n">
        <v>125782</v>
      </c>
      <c r="G2621" s="25" t="n">
        <v>3</v>
      </c>
      <c r="H2621" s="25" t="n">
        <v>13</v>
      </c>
      <c r="I2621" s="25" t="inlineStr">
        <is>
          <t>3 minute(s) and 1 second(s)</t>
        </is>
      </c>
      <c r="J2621" s="25">
        <f>IFERROR(VALUE(TRIM(LEFT(I2621,FIND("minute",I2621)-1)))*60,0)+IFERROR(VALUE(SUBSTITUTE(MID(I2621,IFERROR(FIND("and",I2621)+3,1),20),"second(s)","")),0)</f>
        <v/>
      </c>
      <c r="K2621" s="41">
        <f>J2621/60</f>
        <v/>
      </c>
      <c r="L2621" s="41">
        <f>IFERROR(J2621/H2621,"")</f>
        <v/>
      </c>
      <c r="M2621" s="25" t="inlineStr">
        <is>
          <t>2.5.12</t>
        </is>
      </c>
      <c r="N2621" s="25">
        <f>IF(J2621&gt;300,1,0)</f>
        <v/>
      </c>
      <c r="O2621" s="25">
        <f>IF(J2621&gt;600,1,0)</f>
        <v/>
      </c>
      <c r="P2621" s="25">
        <f>IF(H2621&gt;0,J2621,"")</f>
        <v/>
      </c>
      <c r="Q2621" s="25">
        <f>TEXT(A2621,"YYYY-MM-DD HH")</f>
        <v/>
      </c>
      <c r="R2621" s="25">
        <f>COUNTIF($Q$2:$Q$5295,Q2621)</f>
        <v/>
      </c>
      <c r="S2621" s="25">
        <f>IF(R2621&lt;=2,"1-2",IF(R2621&lt;=5,"3-5",IF(R2621&lt;=10,"6-10","11+")))</f>
        <v/>
      </c>
    </row>
    <row r="2622">
      <c r="A2622" s="39" t="n">
        <v>46188.36569444444</v>
      </c>
      <c r="B2622" s="25">
        <f>TEXT(A2622,"YYYY-MM")</f>
        <v/>
      </c>
      <c r="C2622" s="25">
        <f>TEXT(A2622,"MMM-YYYY")</f>
        <v/>
      </c>
      <c r="D2622" s="40">
        <f>INT(A2622)-WEEKDAY(A2622,2)+1</f>
        <v/>
      </c>
      <c r="E2622" s="25" t="inlineStr">
        <is>
          <t>anusharma</t>
        </is>
      </c>
      <c r="F2622" s="25" t="n">
        <v>124330</v>
      </c>
      <c r="G2622" s="25" t="n">
        <v>1</v>
      </c>
      <c r="H2622" s="25" t="n">
        <v>5</v>
      </c>
      <c r="I2622" s="25" t="inlineStr">
        <is>
          <t>1 minute(s) and 29 second(s)</t>
        </is>
      </c>
      <c r="J2622" s="25">
        <f>IFERROR(VALUE(TRIM(LEFT(I2622,FIND("minute",I2622)-1)))*60,0)+IFERROR(VALUE(SUBSTITUTE(MID(I2622,IFERROR(FIND("and",I2622)+3,1),20),"second(s)","")),0)</f>
        <v/>
      </c>
      <c r="K2622" s="41">
        <f>J2622/60</f>
        <v/>
      </c>
      <c r="L2622" s="41">
        <f>IFERROR(J2622/H2622,"")</f>
        <v/>
      </c>
      <c r="M2622" s="25" t="inlineStr">
        <is>
          <t>2.5.12</t>
        </is>
      </c>
      <c r="N2622" s="25">
        <f>IF(J2622&gt;300,1,0)</f>
        <v/>
      </c>
      <c r="O2622" s="25">
        <f>IF(J2622&gt;600,1,0)</f>
        <v/>
      </c>
      <c r="P2622" s="25">
        <f>IF(H2622&gt;0,J2622,"")</f>
        <v/>
      </c>
      <c r="Q2622" s="25">
        <f>TEXT(A2622,"YYYY-MM-DD HH")</f>
        <v/>
      </c>
      <c r="R2622" s="25">
        <f>COUNTIF($Q$2:$Q$5295,Q2622)</f>
        <v/>
      </c>
      <c r="S2622" s="25">
        <f>IF(R2622&lt;=2,"1-2",IF(R2622&lt;=5,"3-5",IF(R2622&lt;=10,"6-10","11+")))</f>
        <v/>
      </c>
    </row>
    <row r="2623">
      <c r="A2623" s="39" t="n">
        <v>46188.36600694444</v>
      </c>
      <c r="B2623" s="25">
        <f>TEXT(A2623,"YYYY-MM")</f>
        <v/>
      </c>
      <c r="C2623" s="25">
        <f>TEXT(A2623,"MMM-YYYY")</f>
        <v/>
      </c>
      <c r="D2623" s="40">
        <f>INT(A2623)-WEEKDAY(A2623,2)+1</f>
        <v/>
      </c>
      <c r="E2623" s="25" t="inlineStr">
        <is>
          <t>asahoo</t>
        </is>
      </c>
      <c r="F2623" s="25" t="n">
        <v>124266</v>
      </c>
      <c r="G2623" s="25" t="n">
        <v>2</v>
      </c>
      <c r="H2623" s="25" t="n">
        <v>8</v>
      </c>
      <c r="I2623" s="25" t="inlineStr">
        <is>
          <t>3 minute(s) and 1 second(s)</t>
        </is>
      </c>
      <c r="J2623" s="25">
        <f>IFERROR(VALUE(TRIM(LEFT(I2623,FIND("minute",I2623)-1)))*60,0)+IFERROR(VALUE(SUBSTITUTE(MID(I2623,IFERROR(FIND("and",I2623)+3,1),20),"second(s)","")),0)</f>
        <v/>
      </c>
      <c r="K2623" s="41">
        <f>J2623/60</f>
        <v/>
      </c>
      <c r="L2623" s="41">
        <f>IFERROR(J2623/H2623,"")</f>
        <v/>
      </c>
      <c r="M2623" s="25" t="inlineStr">
        <is>
          <t>2.5.12</t>
        </is>
      </c>
      <c r="N2623" s="25">
        <f>IF(J2623&gt;300,1,0)</f>
        <v/>
      </c>
      <c r="O2623" s="25">
        <f>IF(J2623&gt;600,1,0)</f>
        <v/>
      </c>
      <c r="P2623" s="25">
        <f>IF(H2623&gt;0,J2623,"")</f>
        <v/>
      </c>
      <c r="Q2623" s="25">
        <f>TEXT(A2623,"YYYY-MM-DD HH")</f>
        <v/>
      </c>
      <c r="R2623" s="25">
        <f>COUNTIF($Q$2:$Q$5295,Q2623)</f>
        <v/>
      </c>
      <c r="S2623" s="25">
        <f>IF(R2623&lt;=2,"1-2",IF(R2623&lt;=5,"3-5",IF(R2623&lt;=10,"6-10","11+")))</f>
        <v/>
      </c>
    </row>
    <row r="2624">
      <c r="A2624" s="39" t="n">
        <v>46188.37375</v>
      </c>
      <c r="B2624" s="25">
        <f>TEXT(A2624,"YYYY-MM")</f>
        <v/>
      </c>
      <c r="C2624" s="25">
        <f>TEXT(A2624,"MMM-YYYY")</f>
        <v/>
      </c>
      <c r="D2624" s="40">
        <f>INT(A2624)-WEEKDAY(A2624,2)+1</f>
        <v/>
      </c>
      <c r="E2624" s="25" t="inlineStr">
        <is>
          <t>tkarmakar</t>
        </is>
      </c>
      <c r="F2624" s="25" t="n">
        <v>123770</v>
      </c>
      <c r="G2624" s="25" t="n">
        <v>1</v>
      </c>
      <c r="H2624" s="25" t="n">
        <v>7</v>
      </c>
      <c r="I2624" s="25" t="inlineStr">
        <is>
          <t>1 minute(s) and 2 second(s)</t>
        </is>
      </c>
      <c r="J2624" s="25">
        <f>IFERROR(VALUE(TRIM(LEFT(I2624,FIND("minute",I2624)-1)))*60,0)+IFERROR(VALUE(SUBSTITUTE(MID(I2624,IFERROR(FIND("and",I2624)+3,1),20),"second(s)","")),0)</f>
        <v/>
      </c>
      <c r="K2624" s="41">
        <f>J2624/60</f>
        <v/>
      </c>
      <c r="L2624" s="41">
        <f>IFERROR(J2624/H2624,"")</f>
        <v/>
      </c>
      <c r="M2624" s="25" t="inlineStr">
        <is>
          <t>2.5.12</t>
        </is>
      </c>
      <c r="N2624" s="25">
        <f>IF(J2624&gt;300,1,0)</f>
        <v/>
      </c>
      <c r="O2624" s="25">
        <f>IF(J2624&gt;600,1,0)</f>
        <v/>
      </c>
      <c r="P2624" s="25">
        <f>IF(H2624&gt;0,J2624,"")</f>
        <v/>
      </c>
      <c r="Q2624" s="25">
        <f>TEXT(A2624,"YYYY-MM-DD HH")</f>
        <v/>
      </c>
      <c r="R2624" s="25">
        <f>COUNTIF($Q$2:$Q$5295,Q2624)</f>
        <v/>
      </c>
      <c r="S2624" s="25">
        <f>IF(R2624&lt;=2,"1-2",IF(R2624&lt;=5,"3-5",IF(R2624&lt;=10,"6-10","11+")))</f>
        <v/>
      </c>
    </row>
    <row r="2625">
      <c r="A2625" s="39" t="n">
        <v>46188.37898148148</v>
      </c>
      <c r="B2625" s="25">
        <f>TEXT(A2625,"YYYY-MM")</f>
        <v/>
      </c>
      <c r="C2625" s="25">
        <f>TEXT(A2625,"MMM-YYYY")</f>
        <v/>
      </c>
      <c r="D2625" s="40">
        <f>INT(A2625)-WEEKDAY(A2625,2)+1</f>
        <v/>
      </c>
      <c r="E2625" s="25" t="inlineStr">
        <is>
          <t>ssrinivasan</t>
        </is>
      </c>
      <c r="F2625" s="25" t="n">
        <v>125568</v>
      </c>
      <c r="G2625" s="25" t="n">
        <v>3</v>
      </c>
      <c r="H2625" s="25" t="n">
        <v>13</v>
      </c>
      <c r="I2625" s="25" t="inlineStr">
        <is>
          <t>5 minute(s) and 6 second(s)</t>
        </is>
      </c>
      <c r="J2625" s="25">
        <f>IFERROR(VALUE(TRIM(LEFT(I2625,FIND("minute",I2625)-1)))*60,0)+IFERROR(VALUE(SUBSTITUTE(MID(I2625,IFERROR(FIND("and",I2625)+3,1),20),"second(s)","")),0)</f>
        <v/>
      </c>
      <c r="K2625" s="41">
        <f>J2625/60</f>
        <v/>
      </c>
      <c r="L2625" s="41">
        <f>IFERROR(J2625/H2625,"")</f>
        <v/>
      </c>
      <c r="M2625" s="25" t="inlineStr">
        <is>
          <t>2.5.12</t>
        </is>
      </c>
      <c r="N2625" s="25">
        <f>IF(J2625&gt;300,1,0)</f>
        <v/>
      </c>
      <c r="O2625" s="25">
        <f>IF(J2625&gt;600,1,0)</f>
        <v/>
      </c>
      <c r="P2625" s="25">
        <f>IF(H2625&gt;0,J2625,"")</f>
        <v/>
      </c>
      <c r="Q2625" s="25">
        <f>TEXT(A2625,"YYYY-MM-DD HH")</f>
        <v/>
      </c>
      <c r="R2625" s="25">
        <f>COUNTIF($Q$2:$Q$5295,Q2625)</f>
        <v/>
      </c>
      <c r="S2625" s="25">
        <f>IF(R2625&lt;=2,"1-2",IF(R2625&lt;=5,"3-5",IF(R2625&lt;=10,"6-10","11+")))</f>
        <v/>
      </c>
    </row>
    <row r="2626">
      <c r="A2626" s="39" t="n">
        <v>46188.38109953704</v>
      </c>
      <c r="B2626" s="25">
        <f>TEXT(A2626,"YYYY-MM")</f>
        <v/>
      </c>
      <c r="C2626" s="25">
        <f>TEXT(A2626,"MMM-YYYY")</f>
        <v/>
      </c>
      <c r="D2626" s="40">
        <f>INT(A2626)-WEEKDAY(A2626,2)+1</f>
        <v/>
      </c>
      <c r="E2626" s="25" t="inlineStr">
        <is>
          <t>sdey</t>
        </is>
      </c>
      <c r="F2626" s="25" t="n">
        <v>125265</v>
      </c>
      <c r="G2626" s="25" t="n">
        <v>2</v>
      </c>
      <c r="H2626" s="25" t="n">
        <v>10</v>
      </c>
      <c r="I2626" s="25" t="inlineStr">
        <is>
          <t>2 minute(s) and 13 second(s)</t>
        </is>
      </c>
      <c r="J2626" s="25">
        <f>IFERROR(VALUE(TRIM(LEFT(I2626,FIND("minute",I2626)-1)))*60,0)+IFERROR(VALUE(SUBSTITUTE(MID(I2626,IFERROR(FIND("and",I2626)+3,1),20),"second(s)","")),0)</f>
        <v/>
      </c>
      <c r="K2626" s="41">
        <f>J2626/60</f>
        <v/>
      </c>
      <c r="L2626" s="41">
        <f>IFERROR(J2626/H2626,"")</f>
        <v/>
      </c>
      <c r="M2626" s="25" t="inlineStr">
        <is>
          <t>2.5.12</t>
        </is>
      </c>
      <c r="N2626" s="25">
        <f>IF(J2626&gt;300,1,0)</f>
        <v/>
      </c>
      <c r="O2626" s="25">
        <f>IF(J2626&gt;600,1,0)</f>
        <v/>
      </c>
      <c r="P2626" s="25">
        <f>IF(H2626&gt;0,J2626,"")</f>
        <v/>
      </c>
      <c r="Q2626" s="25">
        <f>TEXT(A2626,"YYYY-MM-DD HH")</f>
        <v/>
      </c>
      <c r="R2626" s="25">
        <f>COUNTIF($Q$2:$Q$5295,Q2626)</f>
        <v/>
      </c>
      <c r="S2626" s="25">
        <f>IF(R2626&lt;=2,"1-2",IF(R2626&lt;=5,"3-5",IF(R2626&lt;=10,"6-10","11+")))</f>
        <v/>
      </c>
    </row>
    <row r="2627">
      <c r="A2627" s="39" t="n">
        <v>46188.38802083334</v>
      </c>
      <c r="B2627" s="25">
        <f>TEXT(A2627,"YYYY-MM")</f>
        <v/>
      </c>
      <c r="C2627" s="25">
        <f>TEXT(A2627,"MMM-YYYY")</f>
        <v/>
      </c>
      <c r="D2627" s="40">
        <f>INT(A2627)-WEEKDAY(A2627,2)+1</f>
        <v/>
      </c>
      <c r="E2627" s="25" t="inlineStr">
        <is>
          <t>pmehndiratta</t>
        </is>
      </c>
      <c r="F2627" s="25" t="n">
        <v>124277</v>
      </c>
      <c r="G2627" s="25" t="n">
        <v>1</v>
      </c>
      <c r="H2627" s="25" t="n">
        <v>5</v>
      </c>
      <c r="I2627" s="25" t="inlineStr">
        <is>
          <t>1 minute(s) and 25 second(s)</t>
        </is>
      </c>
      <c r="J2627" s="25">
        <f>IFERROR(VALUE(TRIM(LEFT(I2627,FIND("minute",I2627)-1)))*60,0)+IFERROR(VALUE(SUBSTITUTE(MID(I2627,IFERROR(FIND("and",I2627)+3,1),20),"second(s)","")),0)</f>
        <v/>
      </c>
      <c r="K2627" s="41">
        <f>J2627/60</f>
        <v/>
      </c>
      <c r="L2627" s="41">
        <f>IFERROR(J2627/H2627,"")</f>
        <v/>
      </c>
      <c r="M2627" s="25" t="inlineStr">
        <is>
          <t>2.5.12</t>
        </is>
      </c>
      <c r="N2627" s="25">
        <f>IF(J2627&gt;300,1,0)</f>
        <v/>
      </c>
      <c r="O2627" s="25">
        <f>IF(J2627&gt;600,1,0)</f>
        <v/>
      </c>
      <c r="P2627" s="25">
        <f>IF(H2627&gt;0,J2627,"")</f>
        <v/>
      </c>
      <c r="Q2627" s="25">
        <f>TEXT(A2627,"YYYY-MM-DD HH")</f>
        <v/>
      </c>
      <c r="R2627" s="25">
        <f>COUNTIF($Q$2:$Q$5295,Q2627)</f>
        <v/>
      </c>
      <c r="S2627" s="25">
        <f>IF(R2627&lt;=2,"1-2",IF(R2627&lt;=5,"3-5",IF(R2627&lt;=10,"6-10","11+")))</f>
        <v/>
      </c>
    </row>
    <row r="2628">
      <c r="A2628" s="39" t="n">
        <v>46188.38825231481</v>
      </c>
      <c r="B2628" s="25">
        <f>TEXT(A2628,"YYYY-MM")</f>
        <v/>
      </c>
      <c r="C2628" s="25">
        <f>TEXT(A2628,"MMM-YYYY")</f>
        <v/>
      </c>
      <c r="D2628" s="40">
        <f>INT(A2628)-WEEKDAY(A2628,2)+1</f>
        <v/>
      </c>
      <c r="E2628" s="25" t="inlineStr">
        <is>
          <t>csaha</t>
        </is>
      </c>
      <c r="F2628" s="25" t="n">
        <v>124367</v>
      </c>
      <c r="G2628" s="25" t="n">
        <v>2</v>
      </c>
      <c r="H2628" s="25" t="n">
        <v>8</v>
      </c>
      <c r="I2628" s="25" t="inlineStr">
        <is>
          <t>4 minute(s) and 39 second(s)</t>
        </is>
      </c>
      <c r="J2628" s="25">
        <f>IFERROR(VALUE(TRIM(LEFT(I2628,FIND("minute",I2628)-1)))*60,0)+IFERROR(VALUE(SUBSTITUTE(MID(I2628,IFERROR(FIND("and",I2628)+3,1),20),"second(s)","")),0)</f>
        <v/>
      </c>
      <c r="K2628" s="41">
        <f>J2628/60</f>
        <v/>
      </c>
      <c r="L2628" s="41">
        <f>IFERROR(J2628/H2628,"")</f>
        <v/>
      </c>
      <c r="M2628" s="25" t="inlineStr">
        <is>
          <t>2.5.12</t>
        </is>
      </c>
      <c r="N2628" s="25">
        <f>IF(J2628&gt;300,1,0)</f>
        <v/>
      </c>
      <c r="O2628" s="25">
        <f>IF(J2628&gt;600,1,0)</f>
        <v/>
      </c>
      <c r="P2628" s="25">
        <f>IF(H2628&gt;0,J2628,"")</f>
        <v/>
      </c>
      <c r="Q2628" s="25">
        <f>TEXT(A2628,"YYYY-MM-DD HH")</f>
        <v/>
      </c>
      <c r="R2628" s="25">
        <f>COUNTIF($Q$2:$Q$5295,Q2628)</f>
        <v/>
      </c>
      <c r="S2628" s="25">
        <f>IF(R2628&lt;=2,"1-2",IF(R2628&lt;=5,"3-5",IF(R2628&lt;=10,"6-10","11+")))</f>
        <v/>
      </c>
    </row>
    <row r="2629">
      <c r="A2629" s="39" t="n">
        <v>46188.39579861111</v>
      </c>
      <c r="B2629" s="25">
        <f>TEXT(A2629,"YYYY-MM")</f>
        <v/>
      </c>
      <c r="C2629" s="25">
        <f>TEXT(A2629,"MMM-YYYY")</f>
        <v/>
      </c>
      <c r="D2629" s="40">
        <f>INT(A2629)-WEEKDAY(A2629,2)+1</f>
        <v/>
      </c>
      <c r="E2629" s="25" t="inlineStr">
        <is>
          <t>mbohra</t>
        </is>
      </c>
      <c r="F2629" s="25" t="n">
        <v>125214</v>
      </c>
      <c r="G2629" s="25" t="n">
        <v>4</v>
      </c>
      <c r="H2629" s="25" t="n">
        <v>16</v>
      </c>
      <c r="I2629" s="25" t="inlineStr">
        <is>
          <t>5 minute(s) and 51 second(s)</t>
        </is>
      </c>
      <c r="J2629" s="25">
        <f>IFERROR(VALUE(TRIM(LEFT(I2629,FIND("minute",I2629)-1)))*60,0)+IFERROR(VALUE(SUBSTITUTE(MID(I2629,IFERROR(FIND("and",I2629)+3,1),20),"second(s)","")),0)</f>
        <v/>
      </c>
      <c r="K2629" s="41">
        <f>J2629/60</f>
        <v/>
      </c>
      <c r="L2629" s="41">
        <f>IFERROR(J2629/H2629,"")</f>
        <v/>
      </c>
      <c r="M2629" s="25" t="inlineStr">
        <is>
          <t>2.5.12</t>
        </is>
      </c>
      <c r="N2629" s="25">
        <f>IF(J2629&gt;300,1,0)</f>
        <v/>
      </c>
      <c r="O2629" s="25">
        <f>IF(J2629&gt;600,1,0)</f>
        <v/>
      </c>
      <c r="P2629" s="25">
        <f>IF(H2629&gt;0,J2629,"")</f>
        <v/>
      </c>
      <c r="Q2629" s="25">
        <f>TEXT(A2629,"YYYY-MM-DD HH")</f>
        <v/>
      </c>
      <c r="R2629" s="25">
        <f>COUNTIF($Q$2:$Q$5295,Q2629)</f>
        <v/>
      </c>
      <c r="S2629" s="25">
        <f>IF(R2629&lt;=2,"1-2",IF(R2629&lt;=5,"3-5",IF(R2629&lt;=10,"6-10","11+")))</f>
        <v/>
      </c>
    </row>
    <row r="2630">
      <c r="A2630" s="39" t="n">
        <v>46188.39907407408</v>
      </c>
      <c r="B2630" s="25">
        <f>TEXT(A2630,"YYYY-MM")</f>
        <v/>
      </c>
      <c r="C2630" s="25">
        <f>TEXT(A2630,"MMM-YYYY")</f>
        <v/>
      </c>
      <c r="D2630" s="40">
        <f>INT(A2630)-WEEKDAY(A2630,2)+1</f>
        <v/>
      </c>
      <c r="E2630" s="25" t="inlineStr">
        <is>
          <t>ssarkar</t>
        </is>
      </c>
      <c r="F2630" s="25" t="n">
        <v>125253</v>
      </c>
      <c r="G2630" s="25" t="n">
        <v>2</v>
      </c>
      <c r="H2630" s="25" t="n">
        <v>10</v>
      </c>
      <c r="I2630" s="25" t="inlineStr">
        <is>
          <t>2 minute(s) and 26 second(s)</t>
        </is>
      </c>
      <c r="J2630" s="25">
        <f>IFERROR(VALUE(TRIM(LEFT(I2630,FIND("minute",I2630)-1)))*60,0)+IFERROR(VALUE(SUBSTITUTE(MID(I2630,IFERROR(FIND("and",I2630)+3,1),20),"second(s)","")),0)</f>
        <v/>
      </c>
      <c r="K2630" s="41">
        <f>J2630/60</f>
        <v/>
      </c>
      <c r="L2630" s="41">
        <f>IFERROR(J2630/H2630,"")</f>
        <v/>
      </c>
      <c r="M2630" s="25" t="inlineStr">
        <is>
          <t>2.5.12</t>
        </is>
      </c>
      <c r="N2630" s="25">
        <f>IF(J2630&gt;300,1,0)</f>
        <v/>
      </c>
      <c r="O2630" s="25">
        <f>IF(J2630&gt;600,1,0)</f>
        <v/>
      </c>
      <c r="P2630" s="25">
        <f>IF(H2630&gt;0,J2630,"")</f>
        <v/>
      </c>
      <c r="Q2630" s="25">
        <f>TEXT(A2630,"YYYY-MM-DD HH")</f>
        <v/>
      </c>
      <c r="R2630" s="25">
        <f>COUNTIF($Q$2:$Q$5295,Q2630)</f>
        <v/>
      </c>
      <c r="S2630" s="25">
        <f>IF(R2630&lt;=2,"1-2",IF(R2630&lt;=5,"3-5",IF(R2630&lt;=10,"6-10","11+")))</f>
        <v/>
      </c>
    </row>
    <row r="2631">
      <c r="A2631" s="39" t="n">
        <v>46188.40018518519</v>
      </c>
      <c r="B2631" s="25">
        <f>TEXT(A2631,"YYYY-MM")</f>
        <v/>
      </c>
      <c r="C2631" s="25">
        <f>TEXT(A2631,"MMM-YYYY")</f>
        <v/>
      </c>
      <c r="D2631" s="40">
        <f>INT(A2631)-WEEKDAY(A2631,2)+1</f>
        <v/>
      </c>
      <c r="E2631" s="25" t="inlineStr">
        <is>
          <t>tkarmakar</t>
        </is>
      </c>
      <c r="F2631" s="25" t="n">
        <v>123773</v>
      </c>
      <c r="G2631" s="25" t="n">
        <v>1</v>
      </c>
      <c r="H2631" s="25" t="n">
        <v>5</v>
      </c>
      <c r="I2631" s="25" t="inlineStr">
        <is>
          <t>2 minute(s) and 3 second(s)</t>
        </is>
      </c>
      <c r="J2631" s="25">
        <f>IFERROR(VALUE(TRIM(LEFT(I2631,FIND("minute",I2631)-1)))*60,0)+IFERROR(VALUE(SUBSTITUTE(MID(I2631,IFERROR(FIND("and",I2631)+3,1),20),"second(s)","")),0)</f>
        <v/>
      </c>
      <c r="K2631" s="41">
        <f>J2631/60</f>
        <v/>
      </c>
      <c r="L2631" s="41">
        <f>IFERROR(J2631/H2631,"")</f>
        <v/>
      </c>
      <c r="M2631" s="25" t="inlineStr">
        <is>
          <t>2.5.12</t>
        </is>
      </c>
      <c r="N2631" s="25">
        <f>IF(J2631&gt;300,1,0)</f>
        <v/>
      </c>
      <c r="O2631" s="25">
        <f>IF(J2631&gt;600,1,0)</f>
        <v/>
      </c>
      <c r="P2631" s="25">
        <f>IF(H2631&gt;0,J2631,"")</f>
        <v/>
      </c>
      <c r="Q2631" s="25">
        <f>TEXT(A2631,"YYYY-MM-DD HH")</f>
        <v/>
      </c>
      <c r="R2631" s="25">
        <f>COUNTIF($Q$2:$Q$5295,Q2631)</f>
        <v/>
      </c>
      <c r="S2631" s="25">
        <f>IF(R2631&lt;=2,"1-2",IF(R2631&lt;=5,"3-5",IF(R2631&lt;=10,"6-10","11+")))</f>
        <v/>
      </c>
    </row>
    <row r="2632">
      <c r="A2632" s="39" t="n">
        <v>46188.40337962963</v>
      </c>
      <c r="B2632" s="25">
        <f>TEXT(A2632,"YYYY-MM")</f>
        <v/>
      </c>
      <c r="C2632" s="25">
        <f>TEXT(A2632,"MMM-YYYY")</f>
        <v/>
      </c>
      <c r="D2632" s="40">
        <f>INT(A2632)-WEEKDAY(A2632,2)+1</f>
        <v/>
      </c>
      <c r="E2632" s="25" t="inlineStr">
        <is>
          <t>ethomas</t>
        </is>
      </c>
      <c r="F2632" s="25" t="n">
        <v>123376</v>
      </c>
      <c r="G2632" s="25" t="n">
        <v>2</v>
      </c>
      <c r="H2632" s="25" t="n">
        <v>14</v>
      </c>
      <c r="I2632" s="25" t="inlineStr">
        <is>
          <t>5 minute(s) and 46 second(s)</t>
        </is>
      </c>
      <c r="J2632" s="25">
        <f>IFERROR(VALUE(TRIM(LEFT(I2632,FIND("minute",I2632)-1)))*60,0)+IFERROR(VALUE(SUBSTITUTE(MID(I2632,IFERROR(FIND("and",I2632)+3,1),20),"second(s)","")),0)</f>
        <v/>
      </c>
      <c r="K2632" s="41">
        <f>J2632/60</f>
        <v/>
      </c>
      <c r="L2632" s="41">
        <f>IFERROR(J2632/H2632,"")</f>
        <v/>
      </c>
      <c r="M2632" s="25" t="inlineStr">
        <is>
          <t>2.5.12</t>
        </is>
      </c>
      <c r="N2632" s="25">
        <f>IF(J2632&gt;300,1,0)</f>
        <v/>
      </c>
      <c r="O2632" s="25">
        <f>IF(J2632&gt;600,1,0)</f>
        <v/>
      </c>
      <c r="P2632" s="25">
        <f>IF(H2632&gt;0,J2632,"")</f>
        <v/>
      </c>
      <c r="Q2632" s="25">
        <f>TEXT(A2632,"YYYY-MM-DD HH")</f>
        <v/>
      </c>
      <c r="R2632" s="25">
        <f>COUNTIF($Q$2:$Q$5295,Q2632)</f>
        <v/>
      </c>
      <c r="S2632" s="25">
        <f>IF(R2632&lt;=2,"1-2",IF(R2632&lt;=5,"3-5",IF(R2632&lt;=10,"6-10","11+")))</f>
        <v/>
      </c>
    </row>
    <row r="2633">
      <c r="A2633" s="39" t="n">
        <v>46188.40510416667</v>
      </c>
      <c r="B2633" s="25">
        <f>TEXT(A2633,"YYYY-MM")</f>
        <v/>
      </c>
      <c r="C2633" s="25">
        <f>TEXT(A2633,"MMM-YYYY")</f>
        <v/>
      </c>
      <c r="D2633" s="40">
        <f>INT(A2633)-WEEKDAY(A2633,2)+1</f>
        <v/>
      </c>
      <c r="E2633" s="25" t="inlineStr">
        <is>
          <t>adey</t>
        </is>
      </c>
      <c r="F2633" s="25" t="n">
        <v>124350</v>
      </c>
      <c r="G2633" s="25" t="n">
        <v>3</v>
      </c>
      <c r="H2633" s="25" t="n">
        <v>15</v>
      </c>
      <c r="I2633" s="25" t="inlineStr">
        <is>
          <t>3 minute(s) and 36 second(s)</t>
        </is>
      </c>
      <c r="J2633" s="25">
        <f>IFERROR(VALUE(TRIM(LEFT(I2633,FIND("minute",I2633)-1)))*60,0)+IFERROR(VALUE(SUBSTITUTE(MID(I2633,IFERROR(FIND("and",I2633)+3,1),20),"second(s)","")),0)</f>
        <v/>
      </c>
      <c r="K2633" s="41">
        <f>J2633/60</f>
        <v/>
      </c>
      <c r="L2633" s="41">
        <f>IFERROR(J2633/H2633,"")</f>
        <v/>
      </c>
      <c r="M2633" s="25" t="inlineStr">
        <is>
          <t>2.5.12</t>
        </is>
      </c>
      <c r="N2633" s="25">
        <f>IF(J2633&gt;300,1,0)</f>
        <v/>
      </c>
      <c r="O2633" s="25">
        <f>IF(J2633&gt;600,1,0)</f>
        <v/>
      </c>
      <c r="P2633" s="25">
        <f>IF(H2633&gt;0,J2633,"")</f>
        <v/>
      </c>
      <c r="Q2633" s="25">
        <f>TEXT(A2633,"YYYY-MM-DD HH")</f>
        <v/>
      </c>
      <c r="R2633" s="25">
        <f>COUNTIF($Q$2:$Q$5295,Q2633)</f>
        <v/>
      </c>
      <c r="S2633" s="25">
        <f>IF(R2633&lt;=2,"1-2",IF(R2633&lt;=5,"3-5",IF(R2633&lt;=10,"6-10","11+")))</f>
        <v/>
      </c>
    </row>
    <row r="2634">
      <c r="A2634" s="39" t="n">
        <v>46188.40516203704</v>
      </c>
      <c r="B2634" s="25">
        <f>TEXT(A2634,"YYYY-MM")</f>
        <v/>
      </c>
      <c r="C2634" s="25">
        <f>TEXT(A2634,"MMM-YYYY")</f>
        <v/>
      </c>
      <c r="D2634" s="40">
        <f>INT(A2634)-WEEKDAY(A2634,2)+1</f>
        <v/>
      </c>
      <c r="E2634" s="25" t="inlineStr">
        <is>
          <t>psathwika</t>
        </is>
      </c>
      <c r="F2634" s="25" t="n">
        <v>124861</v>
      </c>
      <c r="G2634" s="25" t="n">
        <v>1</v>
      </c>
      <c r="H2634" s="25" t="n">
        <v>7</v>
      </c>
      <c r="I2634" s="25" t="inlineStr">
        <is>
          <t>3 minute(s) and 48 second(s)</t>
        </is>
      </c>
      <c r="J2634" s="25">
        <f>IFERROR(VALUE(TRIM(LEFT(I2634,FIND("minute",I2634)-1)))*60,0)+IFERROR(VALUE(SUBSTITUTE(MID(I2634,IFERROR(FIND("and",I2634)+3,1),20),"second(s)","")),0)</f>
        <v/>
      </c>
      <c r="K2634" s="41">
        <f>J2634/60</f>
        <v/>
      </c>
      <c r="L2634" s="41">
        <f>IFERROR(J2634/H2634,"")</f>
        <v/>
      </c>
      <c r="M2634" s="25" t="inlineStr">
        <is>
          <t>2.5.12</t>
        </is>
      </c>
      <c r="N2634" s="25">
        <f>IF(J2634&gt;300,1,0)</f>
        <v/>
      </c>
      <c r="O2634" s="25">
        <f>IF(J2634&gt;600,1,0)</f>
        <v/>
      </c>
      <c r="P2634" s="25">
        <f>IF(H2634&gt;0,J2634,"")</f>
        <v/>
      </c>
      <c r="Q2634" s="25">
        <f>TEXT(A2634,"YYYY-MM-DD HH")</f>
        <v/>
      </c>
      <c r="R2634" s="25">
        <f>COUNTIF($Q$2:$Q$5295,Q2634)</f>
        <v/>
      </c>
      <c r="S2634" s="25">
        <f>IF(R2634&lt;=2,"1-2",IF(R2634&lt;=5,"3-5",IF(R2634&lt;=10,"6-10","11+")))</f>
        <v/>
      </c>
    </row>
    <row r="2635">
      <c r="A2635" s="39" t="n">
        <v>46188.41503472222</v>
      </c>
      <c r="B2635" s="25">
        <f>TEXT(A2635,"YYYY-MM")</f>
        <v/>
      </c>
      <c r="C2635" s="25">
        <f>TEXT(A2635,"MMM-YYYY")</f>
        <v/>
      </c>
      <c r="D2635" s="40">
        <f>INT(A2635)-WEEKDAY(A2635,2)+1</f>
        <v/>
      </c>
      <c r="E2635" s="25" t="inlineStr">
        <is>
          <t>anusharma</t>
        </is>
      </c>
      <c r="F2635" s="25" t="n">
        <v>124280</v>
      </c>
      <c r="G2635" s="25" t="n">
        <v>2</v>
      </c>
      <c r="H2635" s="25" t="n">
        <v>8</v>
      </c>
      <c r="I2635" s="25" t="inlineStr">
        <is>
          <t>2 minute(s) and 4 second(s)</t>
        </is>
      </c>
      <c r="J2635" s="25">
        <f>IFERROR(VALUE(TRIM(LEFT(I2635,FIND("minute",I2635)-1)))*60,0)+IFERROR(VALUE(SUBSTITUTE(MID(I2635,IFERROR(FIND("and",I2635)+3,1),20),"second(s)","")),0)</f>
        <v/>
      </c>
      <c r="K2635" s="41">
        <f>J2635/60</f>
        <v/>
      </c>
      <c r="L2635" s="41">
        <f>IFERROR(J2635/H2635,"")</f>
        <v/>
      </c>
      <c r="M2635" s="25" t="inlineStr">
        <is>
          <t>2.5.12</t>
        </is>
      </c>
      <c r="N2635" s="25">
        <f>IF(J2635&gt;300,1,0)</f>
        <v/>
      </c>
      <c r="O2635" s="25">
        <f>IF(J2635&gt;600,1,0)</f>
        <v/>
      </c>
      <c r="P2635" s="25">
        <f>IF(H2635&gt;0,J2635,"")</f>
        <v/>
      </c>
      <c r="Q2635" s="25">
        <f>TEXT(A2635,"YYYY-MM-DD HH")</f>
        <v/>
      </c>
      <c r="R2635" s="25">
        <f>COUNTIF($Q$2:$Q$5295,Q2635)</f>
        <v/>
      </c>
      <c r="S2635" s="25">
        <f>IF(R2635&lt;=2,"1-2",IF(R2635&lt;=5,"3-5",IF(R2635&lt;=10,"6-10","11+")))</f>
        <v/>
      </c>
    </row>
    <row r="2636">
      <c r="A2636" s="39" t="n">
        <v>46188.41898148148</v>
      </c>
      <c r="B2636" s="25">
        <f>TEXT(A2636,"YYYY-MM")</f>
        <v/>
      </c>
      <c r="C2636" s="25">
        <f>TEXT(A2636,"MMM-YYYY")</f>
        <v/>
      </c>
      <c r="D2636" s="40">
        <f>INT(A2636)-WEEKDAY(A2636,2)+1</f>
        <v/>
      </c>
      <c r="E2636" s="25" t="inlineStr">
        <is>
          <t>adey</t>
        </is>
      </c>
      <c r="F2636" s="25" t="n">
        <v>124349</v>
      </c>
      <c r="G2636" s="25" t="n">
        <v>1</v>
      </c>
      <c r="H2636" s="25" t="n">
        <v>5</v>
      </c>
      <c r="I2636" s="25" t="inlineStr">
        <is>
          <t>1 minute(s) and 24 second(s)</t>
        </is>
      </c>
      <c r="J2636" s="25">
        <f>IFERROR(VALUE(TRIM(LEFT(I2636,FIND("minute",I2636)-1)))*60,0)+IFERROR(VALUE(SUBSTITUTE(MID(I2636,IFERROR(FIND("and",I2636)+3,1),20),"second(s)","")),0)</f>
        <v/>
      </c>
      <c r="K2636" s="41">
        <f>J2636/60</f>
        <v/>
      </c>
      <c r="L2636" s="41">
        <f>IFERROR(J2636/H2636,"")</f>
        <v/>
      </c>
      <c r="M2636" s="25" t="inlineStr">
        <is>
          <t>2.5.12</t>
        </is>
      </c>
      <c r="N2636" s="25">
        <f>IF(J2636&gt;300,1,0)</f>
        <v/>
      </c>
      <c r="O2636" s="25">
        <f>IF(J2636&gt;600,1,0)</f>
        <v/>
      </c>
      <c r="P2636" s="25">
        <f>IF(H2636&gt;0,J2636,"")</f>
        <v/>
      </c>
      <c r="Q2636" s="25">
        <f>TEXT(A2636,"YYYY-MM-DD HH")</f>
        <v/>
      </c>
      <c r="R2636" s="25">
        <f>COUNTIF($Q$2:$Q$5295,Q2636)</f>
        <v/>
      </c>
      <c r="S2636" s="25">
        <f>IF(R2636&lt;=2,"1-2",IF(R2636&lt;=5,"3-5",IF(R2636&lt;=10,"6-10","11+")))</f>
        <v/>
      </c>
    </row>
    <row r="2637">
      <c r="A2637" s="39" t="n">
        <v>46188.43008101852</v>
      </c>
      <c r="B2637" s="25">
        <f>TEXT(A2637,"YYYY-MM")</f>
        <v/>
      </c>
      <c r="C2637" s="25">
        <f>TEXT(A2637,"MMM-YYYY")</f>
        <v/>
      </c>
      <c r="D2637" s="40">
        <f>INT(A2637)-WEEKDAY(A2637,2)+1</f>
        <v/>
      </c>
      <c r="E2637" s="25" t="inlineStr">
        <is>
          <t>rts</t>
        </is>
      </c>
      <c r="F2637" s="25" t="n">
        <v>125054</v>
      </c>
      <c r="G2637" s="25" t="n">
        <v>2</v>
      </c>
      <c r="H2637" s="25" t="n">
        <v>10</v>
      </c>
      <c r="I2637" s="25" t="inlineStr">
        <is>
          <t>3 minute(s) and 41 second(s)</t>
        </is>
      </c>
      <c r="J2637" s="25">
        <f>IFERROR(VALUE(TRIM(LEFT(I2637,FIND("minute",I2637)-1)))*60,0)+IFERROR(VALUE(SUBSTITUTE(MID(I2637,IFERROR(FIND("and",I2637)+3,1),20),"second(s)","")),0)</f>
        <v/>
      </c>
      <c r="K2637" s="41">
        <f>J2637/60</f>
        <v/>
      </c>
      <c r="L2637" s="41">
        <f>IFERROR(J2637/H2637,"")</f>
        <v/>
      </c>
      <c r="M2637" s="25" t="inlineStr">
        <is>
          <t>2.5.12</t>
        </is>
      </c>
      <c r="N2637" s="25">
        <f>IF(J2637&gt;300,1,0)</f>
        <v/>
      </c>
      <c r="O2637" s="25">
        <f>IF(J2637&gt;600,1,0)</f>
        <v/>
      </c>
      <c r="P2637" s="25">
        <f>IF(H2637&gt;0,J2637,"")</f>
        <v/>
      </c>
      <c r="Q2637" s="25">
        <f>TEXT(A2637,"YYYY-MM-DD HH")</f>
        <v/>
      </c>
      <c r="R2637" s="25">
        <f>COUNTIF($Q$2:$Q$5295,Q2637)</f>
        <v/>
      </c>
      <c r="S2637" s="25">
        <f>IF(R2637&lt;=2,"1-2",IF(R2637&lt;=5,"3-5",IF(R2637&lt;=10,"6-10","11+")))</f>
        <v/>
      </c>
    </row>
    <row r="2638">
      <c r="A2638" s="39" t="n">
        <v>46188.43193287037</v>
      </c>
      <c r="B2638" s="25">
        <f>TEXT(A2638,"YYYY-MM")</f>
        <v/>
      </c>
      <c r="C2638" s="25">
        <f>TEXT(A2638,"MMM-YYYY")</f>
        <v/>
      </c>
      <c r="D2638" s="40">
        <f>INT(A2638)-WEEKDAY(A2638,2)+1</f>
        <v/>
      </c>
      <c r="E2638" s="25" t="inlineStr">
        <is>
          <t>ethomas</t>
        </is>
      </c>
      <c r="F2638" s="25" t="n">
        <v>122423</v>
      </c>
      <c r="G2638" s="25" t="n">
        <v>4</v>
      </c>
      <c r="H2638" s="25" t="n">
        <v>24</v>
      </c>
      <c r="I2638" s="25" t="inlineStr">
        <is>
          <t>6 minute(s) and 30 second(s)</t>
        </is>
      </c>
      <c r="J2638" s="25">
        <f>IFERROR(VALUE(TRIM(LEFT(I2638,FIND("minute",I2638)-1)))*60,0)+IFERROR(VALUE(SUBSTITUTE(MID(I2638,IFERROR(FIND("and",I2638)+3,1),20),"second(s)","")),0)</f>
        <v/>
      </c>
      <c r="K2638" s="41">
        <f>J2638/60</f>
        <v/>
      </c>
      <c r="L2638" s="41">
        <f>IFERROR(J2638/H2638,"")</f>
        <v/>
      </c>
      <c r="M2638" s="25" t="inlineStr">
        <is>
          <t>2.5.12</t>
        </is>
      </c>
      <c r="N2638" s="25">
        <f>IF(J2638&gt;300,1,0)</f>
        <v/>
      </c>
      <c r="O2638" s="25">
        <f>IF(J2638&gt;600,1,0)</f>
        <v/>
      </c>
      <c r="P2638" s="25">
        <f>IF(H2638&gt;0,J2638,"")</f>
        <v/>
      </c>
      <c r="Q2638" s="25">
        <f>TEXT(A2638,"YYYY-MM-DD HH")</f>
        <v/>
      </c>
      <c r="R2638" s="25">
        <f>COUNTIF($Q$2:$Q$5295,Q2638)</f>
        <v/>
      </c>
      <c r="S2638" s="25">
        <f>IF(R2638&lt;=2,"1-2",IF(R2638&lt;=5,"3-5",IF(R2638&lt;=10,"6-10","11+")))</f>
        <v/>
      </c>
    </row>
    <row r="2639">
      <c r="A2639" s="39" t="n">
        <v>46188.43503472222</v>
      </c>
      <c r="B2639" s="25">
        <f>TEXT(A2639,"YYYY-MM")</f>
        <v/>
      </c>
      <c r="C2639" s="25">
        <f>TEXT(A2639,"MMM-YYYY")</f>
        <v/>
      </c>
      <c r="D2639" s="40">
        <f>INT(A2639)-WEEKDAY(A2639,2)+1</f>
        <v/>
      </c>
      <c r="E2639" s="25" t="inlineStr">
        <is>
          <t>mgupta</t>
        </is>
      </c>
      <c r="F2639" s="25" t="n">
        <v>123413</v>
      </c>
      <c r="G2639" s="25" t="n">
        <v>2</v>
      </c>
      <c r="H2639" s="25" t="n">
        <v>10</v>
      </c>
      <c r="I2639" s="25" t="inlineStr">
        <is>
          <t>2 minute(s) and 11 second(s)</t>
        </is>
      </c>
      <c r="J2639" s="25">
        <f>IFERROR(VALUE(TRIM(LEFT(I2639,FIND("minute",I2639)-1)))*60,0)+IFERROR(VALUE(SUBSTITUTE(MID(I2639,IFERROR(FIND("and",I2639)+3,1),20),"second(s)","")),0)</f>
        <v/>
      </c>
      <c r="K2639" s="41">
        <f>J2639/60</f>
        <v/>
      </c>
      <c r="L2639" s="41">
        <f>IFERROR(J2639/H2639,"")</f>
        <v/>
      </c>
      <c r="M2639" s="25" t="inlineStr">
        <is>
          <t>2.5.12</t>
        </is>
      </c>
      <c r="N2639" s="25">
        <f>IF(J2639&gt;300,1,0)</f>
        <v/>
      </c>
      <c r="O2639" s="25">
        <f>IF(J2639&gt;600,1,0)</f>
        <v/>
      </c>
      <c r="P2639" s="25">
        <f>IF(H2639&gt;0,J2639,"")</f>
        <v/>
      </c>
      <c r="Q2639" s="25">
        <f>TEXT(A2639,"YYYY-MM-DD HH")</f>
        <v/>
      </c>
      <c r="R2639" s="25">
        <f>COUNTIF($Q$2:$Q$5295,Q2639)</f>
        <v/>
      </c>
      <c r="S2639" s="25">
        <f>IF(R2639&lt;=2,"1-2",IF(R2639&lt;=5,"3-5",IF(R2639&lt;=10,"6-10","11+")))</f>
        <v/>
      </c>
    </row>
    <row r="2640">
      <c r="A2640" s="39" t="n">
        <v>46188.43575231481</v>
      </c>
      <c r="B2640" s="25">
        <f>TEXT(A2640,"YYYY-MM")</f>
        <v/>
      </c>
      <c r="C2640" s="25">
        <f>TEXT(A2640,"MMM-YYYY")</f>
        <v/>
      </c>
      <c r="D2640" s="40">
        <f>INT(A2640)-WEEKDAY(A2640,2)+1</f>
        <v/>
      </c>
      <c r="E2640" s="25" t="inlineStr">
        <is>
          <t>aghosh</t>
        </is>
      </c>
      <c r="F2640" s="25" t="n">
        <v>124115</v>
      </c>
      <c r="G2640" s="25" t="n">
        <v>4</v>
      </c>
      <c r="H2640" s="25" t="n">
        <v>18</v>
      </c>
      <c r="I2640" s="25" t="inlineStr">
        <is>
          <t>6 minute(s) and 32 second(s)</t>
        </is>
      </c>
      <c r="J2640" s="25">
        <f>IFERROR(VALUE(TRIM(LEFT(I2640,FIND("minute",I2640)-1)))*60,0)+IFERROR(VALUE(SUBSTITUTE(MID(I2640,IFERROR(FIND("and",I2640)+3,1),20),"second(s)","")),0)</f>
        <v/>
      </c>
      <c r="K2640" s="41">
        <f>J2640/60</f>
        <v/>
      </c>
      <c r="L2640" s="41">
        <f>IFERROR(J2640/H2640,"")</f>
        <v/>
      </c>
      <c r="M2640" s="25" t="inlineStr">
        <is>
          <t>2.5.12</t>
        </is>
      </c>
      <c r="N2640" s="25">
        <f>IF(J2640&gt;300,1,0)</f>
        <v/>
      </c>
      <c r="O2640" s="25">
        <f>IF(J2640&gt;600,1,0)</f>
        <v/>
      </c>
      <c r="P2640" s="25">
        <f>IF(H2640&gt;0,J2640,"")</f>
        <v/>
      </c>
      <c r="Q2640" s="25">
        <f>TEXT(A2640,"YYYY-MM-DD HH")</f>
        <v/>
      </c>
      <c r="R2640" s="25">
        <f>COUNTIF($Q$2:$Q$5295,Q2640)</f>
        <v/>
      </c>
      <c r="S2640" s="25">
        <f>IF(R2640&lt;=2,"1-2",IF(R2640&lt;=5,"3-5",IF(R2640&lt;=10,"6-10","11+")))</f>
        <v/>
      </c>
    </row>
    <row r="2641">
      <c r="A2641" s="39" t="n">
        <v>46188.45057870371</v>
      </c>
      <c r="B2641" s="25">
        <f>TEXT(A2641,"YYYY-MM")</f>
        <v/>
      </c>
      <c r="C2641" s="25">
        <f>TEXT(A2641,"MMM-YYYY")</f>
        <v/>
      </c>
      <c r="D2641" s="40">
        <f>INT(A2641)-WEEKDAY(A2641,2)+1</f>
        <v/>
      </c>
      <c r="E2641" s="25" t="inlineStr">
        <is>
          <t>hsindwani</t>
        </is>
      </c>
      <c r="F2641" s="25" t="n">
        <v>124544</v>
      </c>
      <c r="G2641" s="25" t="n">
        <v>3</v>
      </c>
      <c r="H2641" s="25" t="n">
        <v>19</v>
      </c>
      <c r="I2641" s="25" t="inlineStr">
        <is>
          <t>15 minute(s) and 14 second(s)</t>
        </is>
      </c>
      <c r="J2641" s="25">
        <f>IFERROR(VALUE(TRIM(LEFT(I2641,FIND("minute",I2641)-1)))*60,0)+IFERROR(VALUE(SUBSTITUTE(MID(I2641,IFERROR(FIND("and",I2641)+3,1),20),"second(s)","")),0)</f>
        <v/>
      </c>
      <c r="K2641" s="41">
        <f>J2641/60</f>
        <v/>
      </c>
      <c r="L2641" s="41">
        <f>IFERROR(J2641/H2641,"")</f>
        <v/>
      </c>
      <c r="M2641" s="25" t="inlineStr">
        <is>
          <t>2.5.12</t>
        </is>
      </c>
      <c r="N2641" s="25">
        <f>IF(J2641&gt;300,1,0)</f>
        <v/>
      </c>
      <c r="O2641" s="25">
        <f>IF(J2641&gt;600,1,0)</f>
        <v/>
      </c>
      <c r="P2641" s="25">
        <f>IF(H2641&gt;0,J2641,"")</f>
        <v/>
      </c>
      <c r="Q2641" s="25">
        <f>TEXT(A2641,"YYYY-MM-DD HH")</f>
        <v/>
      </c>
      <c r="R2641" s="25">
        <f>COUNTIF($Q$2:$Q$5295,Q2641)</f>
        <v/>
      </c>
      <c r="S2641" s="25">
        <f>IF(R2641&lt;=2,"1-2",IF(R2641&lt;=5,"3-5",IF(R2641&lt;=10,"6-10","11+")))</f>
        <v/>
      </c>
    </row>
    <row r="2642">
      <c r="A2642" s="39" t="n">
        <v>46188.45828703704</v>
      </c>
      <c r="B2642" s="25">
        <f>TEXT(A2642,"YYYY-MM")</f>
        <v/>
      </c>
      <c r="C2642" s="25">
        <f>TEXT(A2642,"MMM-YYYY")</f>
        <v/>
      </c>
      <c r="D2642" s="40">
        <f>INT(A2642)-WEEKDAY(A2642,2)+1</f>
        <v/>
      </c>
      <c r="E2642" s="25" t="inlineStr">
        <is>
          <t>csaha</t>
        </is>
      </c>
      <c r="F2642" s="25" t="n">
        <v>124374</v>
      </c>
      <c r="G2642" s="25" t="n">
        <v>2</v>
      </c>
      <c r="H2642" s="25" t="n">
        <v>6</v>
      </c>
      <c r="I2642" s="25" t="inlineStr">
        <is>
          <t>1 minute(s) and 20 second(s)</t>
        </is>
      </c>
      <c r="J2642" s="25">
        <f>IFERROR(VALUE(TRIM(LEFT(I2642,FIND("minute",I2642)-1)))*60,0)+IFERROR(VALUE(SUBSTITUTE(MID(I2642,IFERROR(FIND("and",I2642)+3,1),20),"second(s)","")),0)</f>
        <v/>
      </c>
      <c r="K2642" s="41">
        <f>J2642/60</f>
        <v/>
      </c>
      <c r="L2642" s="41">
        <f>IFERROR(J2642/H2642,"")</f>
        <v/>
      </c>
      <c r="M2642" s="25" t="inlineStr">
        <is>
          <t>2.5.12</t>
        </is>
      </c>
      <c r="N2642" s="25">
        <f>IF(J2642&gt;300,1,0)</f>
        <v/>
      </c>
      <c r="O2642" s="25">
        <f>IF(J2642&gt;600,1,0)</f>
        <v/>
      </c>
      <c r="P2642" s="25">
        <f>IF(H2642&gt;0,J2642,"")</f>
        <v/>
      </c>
      <c r="Q2642" s="25">
        <f>TEXT(A2642,"YYYY-MM-DD HH")</f>
        <v/>
      </c>
      <c r="R2642" s="25">
        <f>COUNTIF($Q$2:$Q$5295,Q2642)</f>
        <v/>
      </c>
      <c r="S2642" s="25">
        <f>IF(R2642&lt;=2,"1-2",IF(R2642&lt;=5,"3-5",IF(R2642&lt;=10,"6-10","11+")))</f>
        <v/>
      </c>
    </row>
    <row r="2643">
      <c r="A2643" s="39" t="n">
        <v>46188.46292824074</v>
      </c>
      <c r="B2643" s="25">
        <f>TEXT(A2643,"YYYY-MM")</f>
        <v/>
      </c>
      <c r="C2643" s="25">
        <f>TEXT(A2643,"MMM-YYYY")</f>
        <v/>
      </c>
      <c r="D2643" s="40">
        <f>INT(A2643)-WEEKDAY(A2643,2)+1</f>
        <v/>
      </c>
      <c r="E2643" s="25" t="inlineStr">
        <is>
          <t>emishra</t>
        </is>
      </c>
      <c r="F2643" s="25" t="n">
        <v>124520</v>
      </c>
      <c r="G2643" s="25" t="n">
        <v>3</v>
      </c>
      <c r="H2643" s="25" t="n">
        <v>13</v>
      </c>
      <c r="I2643" s="25" t="inlineStr">
        <is>
          <t>3 minute(s) and 56 second(s)</t>
        </is>
      </c>
      <c r="J2643" s="25">
        <f>IFERROR(VALUE(TRIM(LEFT(I2643,FIND("minute",I2643)-1)))*60,0)+IFERROR(VALUE(SUBSTITUTE(MID(I2643,IFERROR(FIND("and",I2643)+3,1),20),"second(s)","")),0)</f>
        <v/>
      </c>
      <c r="K2643" s="41">
        <f>J2643/60</f>
        <v/>
      </c>
      <c r="L2643" s="41">
        <f>IFERROR(J2643/H2643,"")</f>
        <v/>
      </c>
      <c r="M2643" s="25" t="inlineStr">
        <is>
          <t>2.5.12</t>
        </is>
      </c>
      <c r="N2643" s="25">
        <f>IF(J2643&gt;300,1,0)</f>
        <v/>
      </c>
      <c r="O2643" s="25">
        <f>IF(J2643&gt;600,1,0)</f>
        <v/>
      </c>
      <c r="P2643" s="25">
        <f>IF(H2643&gt;0,J2643,"")</f>
        <v/>
      </c>
      <c r="Q2643" s="25">
        <f>TEXT(A2643,"YYYY-MM-DD HH")</f>
        <v/>
      </c>
      <c r="R2643" s="25">
        <f>COUNTIF($Q$2:$Q$5295,Q2643)</f>
        <v/>
      </c>
      <c r="S2643" s="25">
        <f>IF(R2643&lt;=2,"1-2",IF(R2643&lt;=5,"3-5",IF(R2643&lt;=10,"6-10","11+")))</f>
        <v/>
      </c>
    </row>
    <row r="2644">
      <c r="A2644" s="39" t="n">
        <v>46188.46909722222</v>
      </c>
      <c r="B2644" s="25">
        <f>TEXT(A2644,"YYYY-MM")</f>
        <v/>
      </c>
      <c r="C2644" s="25">
        <f>TEXT(A2644,"MMM-YYYY")</f>
        <v/>
      </c>
      <c r="D2644" s="40">
        <f>INT(A2644)-WEEKDAY(A2644,2)+1</f>
        <v/>
      </c>
      <c r="E2644" s="25" t="inlineStr">
        <is>
          <t>tkarmakar</t>
        </is>
      </c>
      <c r="F2644" s="25" t="n">
        <v>123775</v>
      </c>
      <c r="G2644" s="25" t="n">
        <v>1</v>
      </c>
      <c r="H2644" s="25" t="n">
        <v>5</v>
      </c>
      <c r="I2644" s="25" t="inlineStr">
        <is>
          <t>2 minute(s) and 55 second(s)</t>
        </is>
      </c>
      <c r="J2644" s="25">
        <f>IFERROR(VALUE(TRIM(LEFT(I2644,FIND("minute",I2644)-1)))*60,0)+IFERROR(VALUE(SUBSTITUTE(MID(I2644,IFERROR(FIND("and",I2644)+3,1),20),"second(s)","")),0)</f>
        <v/>
      </c>
      <c r="K2644" s="41">
        <f>J2644/60</f>
        <v/>
      </c>
      <c r="L2644" s="41">
        <f>IFERROR(J2644/H2644,"")</f>
        <v/>
      </c>
      <c r="M2644" s="25" t="inlineStr">
        <is>
          <t>2.5.12</t>
        </is>
      </c>
      <c r="N2644" s="25">
        <f>IF(J2644&gt;300,1,0)</f>
        <v/>
      </c>
      <c r="O2644" s="25">
        <f>IF(J2644&gt;600,1,0)</f>
        <v/>
      </c>
      <c r="P2644" s="25">
        <f>IF(H2644&gt;0,J2644,"")</f>
        <v/>
      </c>
      <c r="Q2644" s="25">
        <f>TEXT(A2644,"YYYY-MM-DD HH")</f>
        <v/>
      </c>
      <c r="R2644" s="25">
        <f>COUNTIF($Q$2:$Q$5295,Q2644)</f>
        <v/>
      </c>
      <c r="S2644" s="25">
        <f>IF(R2644&lt;=2,"1-2",IF(R2644&lt;=5,"3-5",IF(R2644&lt;=10,"6-10","11+")))</f>
        <v/>
      </c>
    </row>
    <row r="2645">
      <c r="A2645" s="39" t="n">
        <v>46188.49162037037</v>
      </c>
      <c r="B2645" s="25">
        <f>TEXT(A2645,"YYYY-MM")</f>
        <v/>
      </c>
      <c r="C2645" s="25">
        <f>TEXT(A2645,"MMM-YYYY")</f>
        <v/>
      </c>
      <c r="D2645" s="40">
        <f>INT(A2645)-WEEKDAY(A2645,2)+1</f>
        <v/>
      </c>
      <c r="E2645" s="25" t="inlineStr">
        <is>
          <t>ssaha</t>
        </is>
      </c>
      <c r="F2645" s="25" t="n">
        <v>125906</v>
      </c>
      <c r="G2645" s="25" t="n">
        <v>4</v>
      </c>
      <c r="H2645" s="25" t="n">
        <v>14</v>
      </c>
      <c r="I2645" s="25" t="inlineStr">
        <is>
          <t>3 minute(s) and 53 second(s)</t>
        </is>
      </c>
      <c r="J2645" s="25">
        <f>IFERROR(VALUE(TRIM(LEFT(I2645,FIND("minute",I2645)-1)))*60,0)+IFERROR(VALUE(SUBSTITUTE(MID(I2645,IFERROR(FIND("and",I2645)+3,1),20),"second(s)","")),0)</f>
        <v/>
      </c>
      <c r="K2645" s="41">
        <f>J2645/60</f>
        <v/>
      </c>
      <c r="L2645" s="41">
        <f>IFERROR(J2645/H2645,"")</f>
        <v/>
      </c>
      <c r="M2645" s="25" t="inlineStr">
        <is>
          <t>2.5.12</t>
        </is>
      </c>
      <c r="N2645" s="25">
        <f>IF(J2645&gt;300,1,0)</f>
        <v/>
      </c>
      <c r="O2645" s="25">
        <f>IF(J2645&gt;600,1,0)</f>
        <v/>
      </c>
      <c r="P2645" s="25">
        <f>IF(H2645&gt;0,J2645,"")</f>
        <v/>
      </c>
      <c r="Q2645" s="25">
        <f>TEXT(A2645,"YYYY-MM-DD HH")</f>
        <v/>
      </c>
      <c r="R2645" s="25">
        <f>COUNTIF($Q$2:$Q$5295,Q2645)</f>
        <v/>
      </c>
      <c r="S2645" s="25">
        <f>IF(R2645&lt;=2,"1-2",IF(R2645&lt;=5,"3-5",IF(R2645&lt;=10,"6-10","11+")))</f>
        <v/>
      </c>
    </row>
    <row r="2646">
      <c r="A2646" s="39" t="n">
        <v>46188.52245370371</v>
      </c>
      <c r="B2646" s="25">
        <f>TEXT(A2646,"YYYY-MM")</f>
        <v/>
      </c>
      <c r="C2646" s="25">
        <f>TEXT(A2646,"MMM-YYYY")</f>
        <v/>
      </c>
      <c r="D2646" s="40">
        <f>INT(A2646)-WEEKDAY(A2646,2)+1</f>
        <v/>
      </c>
      <c r="E2646" s="25" t="inlineStr">
        <is>
          <t>psingh</t>
        </is>
      </c>
      <c r="F2646" s="25" t="n">
        <v>124910</v>
      </c>
      <c r="G2646" s="25" t="n">
        <v>2</v>
      </c>
      <c r="H2646" s="25" t="n">
        <v>10</v>
      </c>
      <c r="I2646" s="25" t="inlineStr">
        <is>
          <t>3 minute(s) and 39 second(s)</t>
        </is>
      </c>
      <c r="J2646" s="25">
        <f>IFERROR(VALUE(TRIM(LEFT(I2646,FIND("minute",I2646)-1)))*60,0)+IFERROR(VALUE(SUBSTITUTE(MID(I2646,IFERROR(FIND("and",I2646)+3,1),20),"second(s)","")),0)</f>
        <v/>
      </c>
      <c r="K2646" s="41">
        <f>J2646/60</f>
        <v/>
      </c>
      <c r="L2646" s="41">
        <f>IFERROR(J2646/H2646,"")</f>
        <v/>
      </c>
      <c r="M2646" s="25" t="inlineStr">
        <is>
          <t>2.5.12</t>
        </is>
      </c>
      <c r="N2646" s="25">
        <f>IF(J2646&gt;300,1,0)</f>
        <v/>
      </c>
      <c r="O2646" s="25">
        <f>IF(J2646&gt;600,1,0)</f>
        <v/>
      </c>
      <c r="P2646" s="25">
        <f>IF(H2646&gt;0,J2646,"")</f>
        <v/>
      </c>
      <c r="Q2646" s="25">
        <f>TEXT(A2646,"YYYY-MM-DD HH")</f>
        <v/>
      </c>
      <c r="R2646" s="25">
        <f>COUNTIF($Q$2:$Q$5295,Q2646)</f>
        <v/>
      </c>
      <c r="S2646" s="25">
        <f>IF(R2646&lt;=2,"1-2",IF(R2646&lt;=5,"3-5",IF(R2646&lt;=10,"6-10","11+")))</f>
        <v/>
      </c>
    </row>
    <row r="2647">
      <c r="A2647" s="39" t="n">
        <v>46188.571875</v>
      </c>
      <c r="B2647" s="25">
        <f>TEXT(A2647,"YYYY-MM")</f>
        <v/>
      </c>
      <c r="C2647" s="25">
        <f>TEXT(A2647,"MMM-YYYY")</f>
        <v/>
      </c>
      <c r="D2647" s="40">
        <f>INT(A2647)-WEEKDAY(A2647,2)+1</f>
        <v/>
      </c>
      <c r="E2647" s="25" t="inlineStr">
        <is>
          <t>ssaha</t>
        </is>
      </c>
      <c r="F2647" s="25" t="n">
        <v>125901</v>
      </c>
      <c r="G2647" s="25" t="n">
        <v>4</v>
      </c>
      <c r="H2647" s="25" t="n">
        <v>20</v>
      </c>
      <c r="I2647" s="25" t="inlineStr">
        <is>
          <t>10 minute(s) and 25 second(s)</t>
        </is>
      </c>
      <c r="J2647" s="25">
        <f>IFERROR(VALUE(TRIM(LEFT(I2647,FIND("minute",I2647)-1)))*60,0)+IFERROR(VALUE(SUBSTITUTE(MID(I2647,IFERROR(FIND("and",I2647)+3,1),20),"second(s)","")),0)</f>
        <v/>
      </c>
      <c r="K2647" s="41">
        <f>J2647/60</f>
        <v/>
      </c>
      <c r="L2647" s="41">
        <f>IFERROR(J2647/H2647,"")</f>
        <v/>
      </c>
      <c r="M2647" s="25" t="inlineStr">
        <is>
          <t>2.5.12</t>
        </is>
      </c>
      <c r="N2647" s="25">
        <f>IF(J2647&gt;300,1,0)</f>
        <v/>
      </c>
      <c r="O2647" s="25">
        <f>IF(J2647&gt;600,1,0)</f>
        <v/>
      </c>
      <c r="P2647" s="25">
        <f>IF(H2647&gt;0,J2647,"")</f>
        <v/>
      </c>
      <c r="Q2647" s="25">
        <f>TEXT(A2647,"YYYY-MM-DD HH")</f>
        <v/>
      </c>
      <c r="R2647" s="25">
        <f>COUNTIF($Q$2:$Q$5295,Q2647)</f>
        <v/>
      </c>
      <c r="S2647" s="25">
        <f>IF(R2647&lt;=2,"1-2",IF(R2647&lt;=5,"3-5",IF(R2647&lt;=10,"6-10","11+")))</f>
        <v/>
      </c>
    </row>
    <row r="2648">
      <c r="A2648" s="39" t="n">
        <v>46188.58805555556</v>
      </c>
      <c r="B2648" s="25">
        <f>TEXT(A2648,"YYYY-MM")</f>
        <v/>
      </c>
      <c r="C2648" s="25">
        <f>TEXT(A2648,"MMM-YYYY")</f>
        <v/>
      </c>
      <c r="D2648" s="40">
        <f>INT(A2648)-WEEKDAY(A2648,2)+1</f>
        <v/>
      </c>
      <c r="E2648" s="25" t="inlineStr">
        <is>
          <t>hsindwani</t>
        </is>
      </c>
      <c r="F2648" s="25" t="n">
        <v>124602</v>
      </c>
      <c r="G2648" s="25" t="n">
        <v>4</v>
      </c>
      <c r="H2648" s="25" t="n">
        <v>26</v>
      </c>
      <c r="I2648" s="25" t="inlineStr">
        <is>
          <t>28 minute(s) and 35 second(s)</t>
        </is>
      </c>
      <c r="J2648" s="25">
        <f>IFERROR(VALUE(TRIM(LEFT(I2648,FIND("minute",I2648)-1)))*60,0)+IFERROR(VALUE(SUBSTITUTE(MID(I2648,IFERROR(FIND("and",I2648)+3,1),20),"second(s)","")),0)</f>
        <v/>
      </c>
      <c r="K2648" s="41">
        <f>J2648/60</f>
        <v/>
      </c>
      <c r="L2648" s="41">
        <f>IFERROR(J2648/H2648,"")</f>
        <v/>
      </c>
      <c r="M2648" s="25" t="inlineStr">
        <is>
          <t>2.5.12</t>
        </is>
      </c>
      <c r="N2648" s="25">
        <f>IF(J2648&gt;300,1,0)</f>
        <v/>
      </c>
      <c r="O2648" s="25">
        <f>IF(J2648&gt;600,1,0)</f>
        <v/>
      </c>
      <c r="P2648" s="25">
        <f>IF(H2648&gt;0,J2648,"")</f>
        <v/>
      </c>
      <c r="Q2648" s="25">
        <f>TEXT(A2648,"YYYY-MM-DD HH")</f>
        <v/>
      </c>
      <c r="R2648" s="25">
        <f>COUNTIF($Q$2:$Q$5295,Q2648)</f>
        <v/>
      </c>
      <c r="S2648" s="25">
        <f>IF(R2648&lt;=2,"1-2",IF(R2648&lt;=5,"3-5",IF(R2648&lt;=10,"6-10","11+")))</f>
        <v/>
      </c>
    </row>
    <row r="2649">
      <c r="A2649" s="39" t="n">
        <v>46188.59905092593</v>
      </c>
      <c r="B2649" s="25">
        <f>TEXT(A2649,"YYYY-MM")</f>
        <v/>
      </c>
      <c r="C2649" s="25">
        <f>TEXT(A2649,"MMM-YYYY")</f>
        <v/>
      </c>
      <c r="D2649" s="40">
        <f>INT(A2649)-WEEKDAY(A2649,2)+1</f>
        <v/>
      </c>
      <c r="E2649" s="25" t="inlineStr">
        <is>
          <t>pgautam</t>
        </is>
      </c>
      <c r="F2649" s="25" t="n">
        <v>124963</v>
      </c>
      <c r="G2649" s="25" t="n">
        <v>1</v>
      </c>
      <c r="H2649" s="25" t="n">
        <v>7</v>
      </c>
      <c r="I2649" s="25" t="inlineStr">
        <is>
          <t>1 minute(s) and 40 second(s)</t>
        </is>
      </c>
      <c r="J2649" s="25">
        <f>IFERROR(VALUE(TRIM(LEFT(I2649,FIND("minute",I2649)-1)))*60,0)+IFERROR(VALUE(SUBSTITUTE(MID(I2649,IFERROR(FIND("and",I2649)+3,1),20),"second(s)","")),0)</f>
        <v/>
      </c>
      <c r="K2649" s="41">
        <f>J2649/60</f>
        <v/>
      </c>
      <c r="L2649" s="41">
        <f>IFERROR(J2649/H2649,"")</f>
        <v/>
      </c>
      <c r="M2649" s="25" t="inlineStr">
        <is>
          <t>2.5.12</t>
        </is>
      </c>
      <c r="N2649" s="25">
        <f>IF(J2649&gt;300,1,0)</f>
        <v/>
      </c>
      <c r="O2649" s="25">
        <f>IF(J2649&gt;600,1,0)</f>
        <v/>
      </c>
      <c r="P2649" s="25">
        <f>IF(H2649&gt;0,J2649,"")</f>
        <v/>
      </c>
      <c r="Q2649" s="25">
        <f>TEXT(A2649,"YYYY-MM-DD HH")</f>
        <v/>
      </c>
      <c r="R2649" s="25">
        <f>COUNTIF($Q$2:$Q$5295,Q2649)</f>
        <v/>
      </c>
      <c r="S2649" s="25">
        <f>IF(R2649&lt;=2,"1-2",IF(R2649&lt;=5,"3-5",IF(R2649&lt;=10,"6-10","11+")))</f>
        <v/>
      </c>
    </row>
    <row r="2650">
      <c r="A2650" s="39" t="n">
        <v>46188.61546296296</v>
      </c>
      <c r="B2650" s="25">
        <f>TEXT(A2650,"YYYY-MM")</f>
        <v/>
      </c>
      <c r="C2650" s="25">
        <f>TEXT(A2650,"MMM-YYYY")</f>
        <v/>
      </c>
      <c r="D2650" s="40">
        <f>INT(A2650)-WEEKDAY(A2650,2)+1</f>
        <v/>
      </c>
      <c r="E2650" s="25" t="inlineStr">
        <is>
          <t>emishra</t>
        </is>
      </c>
      <c r="F2650" s="25" t="n">
        <v>124517</v>
      </c>
      <c r="G2650" s="25" t="n">
        <v>4</v>
      </c>
      <c r="H2650" s="25" t="n">
        <v>16</v>
      </c>
      <c r="I2650" s="25" t="inlineStr">
        <is>
          <t>3 minute(s) and 58 second(s)</t>
        </is>
      </c>
      <c r="J2650" s="25">
        <f>IFERROR(VALUE(TRIM(LEFT(I2650,FIND("minute",I2650)-1)))*60,0)+IFERROR(VALUE(SUBSTITUTE(MID(I2650,IFERROR(FIND("and",I2650)+3,1),20),"second(s)","")),0)</f>
        <v/>
      </c>
      <c r="K2650" s="41">
        <f>J2650/60</f>
        <v/>
      </c>
      <c r="L2650" s="41">
        <f>IFERROR(J2650/H2650,"")</f>
        <v/>
      </c>
      <c r="M2650" s="25" t="inlineStr">
        <is>
          <t>2.5.12</t>
        </is>
      </c>
      <c r="N2650" s="25">
        <f>IF(J2650&gt;300,1,0)</f>
        <v/>
      </c>
      <c r="O2650" s="25">
        <f>IF(J2650&gt;600,1,0)</f>
        <v/>
      </c>
      <c r="P2650" s="25">
        <f>IF(H2650&gt;0,J2650,"")</f>
        <v/>
      </c>
      <c r="Q2650" s="25">
        <f>TEXT(A2650,"YYYY-MM-DD HH")</f>
        <v/>
      </c>
      <c r="R2650" s="25">
        <f>COUNTIF($Q$2:$Q$5295,Q2650)</f>
        <v/>
      </c>
      <c r="S2650" s="25">
        <f>IF(R2650&lt;=2,"1-2",IF(R2650&lt;=5,"3-5",IF(R2650&lt;=10,"6-10","11+")))</f>
        <v/>
      </c>
    </row>
    <row r="2651">
      <c r="A2651" s="39" t="n">
        <v>46188.61606481481</v>
      </c>
      <c r="B2651" s="25">
        <f>TEXT(A2651,"YYYY-MM")</f>
        <v/>
      </c>
      <c r="C2651" s="25">
        <f>TEXT(A2651,"MMM-YYYY")</f>
        <v/>
      </c>
      <c r="D2651" s="40">
        <f>INT(A2651)-WEEKDAY(A2651,2)+1</f>
        <v/>
      </c>
      <c r="E2651" s="25" t="inlineStr">
        <is>
          <t>sswati</t>
        </is>
      </c>
      <c r="F2651" s="25" t="n">
        <v>123084</v>
      </c>
      <c r="G2651" s="25" t="n">
        <v>3</v>
      </c>
      <c r="H2651" s="25" t="n">
        <v>17</v>
      </c>
      <c r="I2651" s="25" t="inlineStr">
        <is>
          <t>8 minute(s) and 25 second(s)</t>
        </is>
      </c>
      <c r="J2651" s="25">
        <f>IFERROR(VALUE(TRIM(LEFT(I2651,FIND("minute",I2651)-1)))*60,0)+IFERROR(VALUE(SUBSTITUTE(MID(I2651,IFERROR(FIND("and",I2651)+3,1),20),"second(s)","")),0)</f>
        <v/>
      </c>
      <c r="K2651" s="41">
        <f>J2651/60</f>
        <v/>
      </c>
      <c r="L2651" s="41">
        <f>IFERROR(J2651/H2651,"")</f>
        <v/>
      </c>
      <c r="M2651" s="25" t="inlineStr">
        <is>
          <t>2.5.12</t>
        </is>
      </c>
      <c r="N2651" s="25">
        <f>IF(J2651&gt;300,1,0)</f>
        <v/>
      </c>
      <c r="O2651" s="25">
        <f>IF(J2651&gt;600,1,0)</f>
        <v/>
      </c>
      <c r="P2651" s="25">
        <f>IF(H2651&gt;0,J2651,"")</f>
        <v/>
      </c>
      <c r="Q2651" s="25">
        <f>TEXT(A2651,"YYYY-MM-DD HH")</f>
        <v/>
      </c>
      <c r="R2651" s="25">
        <f>COUNTIF($Q$2:$Q$5295,Q2651)</f>
        <v/>
      </c>
      <c r="S2651" s="25">
        <f>IF(R2651&lt;=2,"1-2",IF(R2651&lt;=5,"3-5",IF(R2651&lt;=10,"6-10","11+")))</f>
        <v/>
      </c>
    </row>
    <row r="2652">
      <c r="A2652" s="39" t="n">
        <v>46188.64479166667</v>
      </c>
      <c r="B2652" s="25">
        <f>TEXT(A2652,"YYYY-MM")</f>
        <v/>
      </c>
      <c r="C2652" s="25">
        <f>TEXT(A2652,"MMM-YYYY")</f>
        <v/>
      </c>
      <c r="D2652" s="40">
        <f>INT(A2652)-WEEKDAY(A2652,2)+1</f>
        <v/>
      </c>
      <c r="E2652" s="25" t="inlineStr">
        <is>
          <t>ssaha</t>
        </is>
      </c>
      <c r="F2652" s="25" t="n">
        <v>125894</v>
      </c>
      <c r="G2652" s="25" t="n">
        <v>4</v>
      </c>
      <c r="H2652" s="25" t="n">
        <v>21</v>
      </c>
      <c r="I2652" s="25" t="inlineStr">
        <is>
          <t>4 minute(s) and 26 second(s)</t>
        </is>
      </c>
      <c r="J2652" s="25">
        <f>IFERROR(VALUE(TRIM(LEFT(I2652,FIND("minute",I2652)-1)))*60,0)+IFERROR(VALUE(SUBSTITUTE(MID(I2652,IFERROR(FIND("and",I2652)+3,1),20),"second(s)","")),0)</f>
        <v/>
      </c>
      <c r="K2652" s="41">
        <f>J2652/60</f>
        <v/>
      </c>
      <c r="L2652" s="41">
        <f>IFERROR(J2652/H2652,"")</f>
        <v/>
      </c>
      <c r="M2652" s="25" t="inlineStr">
        <is>
          <t>2.5.12</t>
        </is>
      </c>
      <c r="N2652" s="25">
        <f>IF(J2652&gt;300,1,0)</f>
        <v/>
      </c>
      <c r="O2652" s="25">
        <f>IF(J2652&gt;600,1,0)</f>
        <v/>
      </c>
      <c r="P2652" s="25">
        <f>IF(H2652&gt;0,J2652,"")</f>
        <v/>
      </c>
      <c r="Q2652" s="25">
        <f>TEXT(A2652,"YYYY-MM-DD HH")</f>
        <v/>
      </c>
      <c r="R2652" s="25">
        <f>COUNTIF($Q$2:$Q$5295,Q2652)</f>
        <v/>
      </c>
      <c r="S2652" s="25">
        <f>IF(R2652&lt;=2,"1-2",IF(R2652&lt;=5,"3-5",IF(R2652&lt;=10,"6-10","11+")))</f>
        <v/>
      </c>
    </row>
    <row r="2653">
      <c r="A2653" s="39" t="n">
        <v>46188.69550925926</v>
      </c>
      <c r="B2653" s="25">
        <f>TEXT(A2653,"YYYY-MM")</f>
        <v/>
      </c>
      <c r="C2653" s="25">
        <f>TEXT(A2653,"MMM-YYYY")</f>
        <v/>
      </c>
      <c r="D2653" s="40">
        <f>INT(A2653)-WEEKDAY(A2653,2)+1</f>
        <v/>
      </c>
      <c r="E2653" s="25" t="inlineStr">
        <is>
          <t>emishra</t>
        </is>
      </c>
      <c r="F2653" s="25" t="n">
        <v>124509</v>
      </c>
      <c r="G2653" s="25" t="n">
        <v>2</v>
      </c>
      <c r="H2653" s="25" t="n">
        <v>10</v>
      </c>
      <c r="I2653" s="25" t="inlineStr">
        <is>
          <t>2 minute(s) and 28 second(s)</t>
        </is>
      </c>
      <c r="J2653" s="25">
        <f>IFERROR(VALUE(TRIM(LEFT(I2653,FIND("minute",I2653)-1)))*60,0)+IFERROR(VALUE(SUBSTITUTE(MID(I2653,IFERROR(FIND("and",I2653)+3,1),20),"second(s)","")),0)</f>
        <v/>
      </c>
      <c r="K2653" s="41">
        <f>J2653/60</f>
        <v/>
      </c>
      <c r="L2653" s="41">
        <f>IFERROR(J2653/H2653,"")</f>
        <v/>
      </c>
      <c r="M2653" s="25" t="inlineStr">
        <is>
          <t>2.5.12</t>
        </is>
      </c>
      <c r="N2653" s="25">
        <f>IF(J2653&gt;300,1,0)</f>
        <v/>
      </c>
      <c r="O2653" s="25">
        <f>IF(J2653&gt;600,1,0)</f>
        <v/>
      </c>
      <c r="P2653" s="25">
        <f>IF(H2653&gt;0,J2653,"")</f>
        <v/>
      </c>
      <c r="Q2653" s="25">
        <f>TEXT(A2653,"YYYY-MM-DD HH")</f>
        <v/>
      </c>
      <c r="R2653" s="25">
        <f>COUNTIF($Q$2:$Q$5295,Q2653)</f>
        <v/>
      </c>
      <c r="S2653" s="25">
        <f>IF(R2653&lt;=2,"1-2",IF(R2653&lt;=5,"3-5",IF(R2653&lt;=10,"6-10","11+")))</f>
        <v/>
      </c>
    </row>
    <row r="2654">
      <c r="A2654" s="39" t="n">
        <v>46188.74094907408</v>
      </c>
      <c r="B2654" s="25">
        <f>TEXT(A2654,"YYYY-MM")</f>
        <v/>
      </c>
      <c r="C2654" s="25">
        <f>TEXT(A2654,"MMM-YYYY")</f>
        <v/>
      </c>
      <c r="D2654" s="40">
        <f>INT(A2654)-WEEKDAY(A2654,2)+1</f>
        <v/>
      </c>
      <c r="E2654" s="25" t="inlineStr">
        <is>
          <t>ssaha</t>
        </is>
      </c>
      <c r="F2654" s="25" t="n">
        <v>125884</v>
      </c>
      <c r="G2654" s="25" t="n">
        <v>4</v>
      </c>
      <c r="H2654" s="25" t="n">
        <v>21</v>
      </c>
      <c r="I2654" s="25" t="inlineStr">
        <is>
          <t>4 minute(s) and 16 second(s)</t>
        </is>
      </c>
      <c r="J2654" s="25">
        <f>IFERROR(VALUE(TRIM(LEFT(I2654,FIND("minute",I2654)-1)))*60,0)+IFERROR(VALUE(SUBSTITUTE(MID(I2654,IFERROR(FIND("and",I2654)+3,1),20),"second(s)","")),0)</f>
        <v/>
      </c>
      <c r="K2654" s="41">
        <f>J2654/60</f>
        <v/>
      </c>
      <c r="L2654" s="41">
        <f>IFERROR(J2654/H2654,"")</f>
        <v/>
      </c>
      <c r="M2654" s="25" t="inlineStr">
        <is>
          <t>2.5.12</t>
        </is>
      </c>
      <c r="N2654" s="25">
        <f>IF(J2654&gt;300,1,0)</f>
        <v/>
      </c>
      <c r="O2654" s="25">
        <f>IF(J2654&gt;600,1,0)</f>
        <v/>
      </c>
      <c r="P2654" s="25">
        <f>IF(H2654&gt;0,J2654,"")</f>
        <v/>
      </c>
      <c r="Q2654" s="25">
        <f>TEXT(A2654,"YYYY-MM-DD HH")</f>
        <v/>
      </c>
      <c r="R2654" s="25">
        <f>COUNTIF($Q$2:$Q$5295,Q2654)</f>
        <v/>
      </c>
      <c r="S2654" s="25">
        <f>IF(R2654&lt;=2,"1-2",IF(R2654&lt;=5,"3-5",IF(R2654&lt;=10,"6-10","11+")))</f>
        <v/>
      </c>
    </row>
    <row r="2655">
      <c r="A2655" s="39" t="n">
        <v>46188.76821759259</v>
      </c>
      <c r="B2655" s="25">
        <f>TEXT(A2655,"YYYY-MM")</f>
        <v/>
      </c>
      <c r="C2655" s="25">
        <f>TEXT(A2655,"MMM-YYYY")</f>
        <v/>
      </c>
      <c r="D2655" s="40">
        <f>INT(A2655)-WEEKDAY(A2655,2)+1</f>
        <v/>
      </c>
      <c r="E2655" s="25" t="inlineStr">
        <is>
          <t>rsingh</t>
        </is>
      </c>
      <c r="F2655" s="25" t="n">
        <v>125071</v>
      </c>
      <c r="G2655" s="25" t="n">
        <v>1</v>
      </c>
      <c r="H2655" s="25" t="n">
        <v>7</v>
      </c>
      <c r="I2655" s="25" t="inlineStr">
        <is>
          <t>3 minute(s) and 3 second(s)</t>
        </is>
      </c>
      <c r="J2655" s="25">
        <f>IFERROR(VALUE(TRIM(LEFT(I2655,FIND("minute",I2655)-1)))*60,0)+IFERROR(VALUE(SUBSTITUTE(MID(I2655,IFERROR(FIND("and",I2655)+3,1),20),"second(s)","")),0)</f>
        <v/>
      </c>
      <c r="K2655" s="41">
        <f>J2655/60</f>
        <v/>
      </c>
      <c r="L2655" s="41">
        <f>IFERROR(J2655/H2655,"")</f>
        <v/>
      </c>
      <c r="M2655" s="25" t="inlineStr">
        <is>
          <t>2.5.12</t>
        </is>
      </c>
      <c r="N2655" s="25">
        <f>IF(J2655&gt;300,1,0)</f>
        <v/>
      </c>
      <c r="O2655" s="25">
        <f>IF(J2655&gt;600,1,0)</f>
        <v/>
      </c>
      <c r="P2655" s="25">
        <f>IF(H2655&gt;0,J2655,"")</f>
        <v/>
      </c>
      <c r="Q2655" s="25">
        <f>TEXT(A2655,"YYYY-MM-DD HH")</f>
        <v/>
      </c>
      <c r="R2655" s="25">
        <f>COUNTIF($Q$2:$Q$5295,Q2655)</f>
        <v/>
      </c>
      <c r="S2655" s="25">
        <f>IF(R2655&lt;=2,"1-2",IF(R2655&lt;=5,"3-5",IF(R2655&lt;=10,"6-10","11+")))</f>
        <v/>
      </c>
    </row>
    <row r="2656">
      <c r="A2656" s="39" t="n">
        <v>46188.80334490741</v>
      </c>
      <c r="B2656" s="25">
        <f>TEXT(A2656,"YYYY-MM")</f>
        <v/>
      </c>
      <c r="C2656" s="25">
        <f>TEXT(A2656,"MMM-YYYY")</f>
        <v/>
      </c>
      <c r="D2656" s="40">
        <f>INT(A2656)-WEEKDAY(A2656,2)+1</f>
        <v/>
      </c>
      <c r="E2656" s="25" t="inlineStr">
        <is>
          <t>ssaha</t>
        </is>
      </c>
      <c r="F2656" s="25" t="n">
        <v>125868</v>
      </c>
      <c r="G2656" s="25" t="n">
        <v>4</v>
      </c>
      <c r="H2656" s="25" t="n">
        <v>20</v>
      </c>
      <c r="I2656" s="25" t="inlineStr">
        <is>
          <t>5 minute(s) and 48 second(s)</t>
        </is>
      </c>
      <c r="J2656" s="25">
        <f>IFERROR(VALUE(TRIM(LEFT(I2656,FIND("minute",I2656)-1)))*60,0)+IFERROR(VALUE(SUBSTITUTE(MID(I2656,IFERROR(FIND("and",I2656)+3,1),20),"second(s)","")),0)</f>
        <v/>
      </c>
      <c r="K2656" s="41">
        <f>J2656/60</f>
        <v/>
      </c>
      <c r="L2656" s="41">
        <f>IFERROR(J2656/H2656,"")</f>
        <v/>
      </c>
      <c r="M2656" s="25" t="inlineStr">
        <is>
          <t>2.5.12</t>
        </is>
      </c>
      <c r="N2656" s="25">
        <f>IF(J2656&gt;300,1,0)</f>
        <v/>
      </c>
      <c r="O2656" s="25">
        <f>IF(J2656&gt;600,1,0)</f>
        <v/>
      </c>
      <c r="P2656" s="25">
        <f>IF(H2656&gt;0,J2656,"")</f>
        <v/>
      </c>
      <c r="Q2656" s="25">
        <f>TEXT(A2656,"YYYY-MM-DD HH")</f>
        <v/>
      </c>
      <c r="R2656" s="25">
        <f>COUNTIF($Q$2:$Q$5295,Q2656)</f>
        <v/>
      </c>
      <c r="S2656" s="25">
        <f>IF(R2656&lt;=2,"1-2",IF(R2656&lt;=5,"3-5",IF(R2656&lt;=10,"6-10","11+")))</f>
        <v/>
      </c>
    </row>
    <row r="2657">
      <c r="A2657" s="39" t="n">
        <v>46188.80881944444</v>
      </c>
      <c r="B2657" s="25">
        <f>TEXT(A2657,"YYYY-MM")</f>
        <v/>
      </c>
      <c r="C2657" s="25">
        <f>TEXT(A2657,"MMM-YYYY")</f>
        <v/>
      </c>
      <c r="D2657" s="40">
        <f>INT(A2657)-WEEKDAY(A2657,2)+1</f>
        <v/>
      </c>
      <c r="E2657" s="25" t="inlineStr">
        <is>
          <t>rsingh</t>
        </is>
      </c>
      <c r="F2657" s="25" t="n">
        <v>125073</v>
      </c>
      <c r="G2657" s="25" t="n">
        <v>1</v>
      </c>
      <c r="H2657" s="25" t="n">
        <v>5</v>
      </c>
      <c r="I2657" s="25" t="inlineStr">
        <is>
          <t>2 minute(s) and 3 second(s)</t>
        </is>
      </c>
      <c r="J2657" s="25">
        <f>IFERROR(VALUE(TRIM(LEFT(I2657,FIND("minute",I2657)-1)))*60,0)+IFERROR(VALUE(SUBSTITUTE(MID(I2657,IFERROR(FIND("and",I2657)+3,1),20),"second(s)","")),0)</f>
        <v/>
      </c>
      <c r="K2657" s="41">
        <f>J2657/60</f>
        <v/>
      </c>
      <c r="L2657" s="41">
        <f>IFERROR(J2657/H2657,"")</f>
        <v/>
      </c>
      <c r="M2657" s="25" t="inlineStr">
        <is>
          <t>2.5.12</t>
        </is>
      </c>
      <c r="N2657" s="25">
        <f>IF(J2657&gt;300,1,0)</f>
        <v/>
      </c>
      <c r="O2657" s="25">
        <f>IF(J2657&gt;600,1,0)</f>
        <v/>
      </c>
      <c r="P2657" s="25">
        <f>IF(H2657&gt;0,J2657,"")</f>
        <v/>
      </c>
      <c r="Q2657" s="25">
        <f>TEXT(A2657,"YYYY-MM-DD HH")</f>
        <v/>
      </c>
      <c r="R2657" s="25">
        <f>COUNTIF($Q$2:$Q$5295,Q2657)</f>
        <v/>
      </c>
      <c r="S2657" s="25">
        <f>IF(R2657&lt;=2,"1-2",IF(R2657&lt;=5,"3-5",IF(R2657&lt;=10,"6-10","11+")))</f>
        <v/>
      </c>
    </row>
    <row r="2658">
      <c r="A2658" s="39" t="n">
        <v>46188.82219907407</v>
      </c>
      <c r="B2658" s="25">
        <f>TEXT(A2658,"YYYY-MM")</f>
        <v/>
      </c>
      <c r="C2658" s="25">
        <f>TEXT(A2658,"MMM-YYYY")</f>
        <v/>
      </c>
      <c r="D2658" s="40">
        <f>INT(A2658)-WEEKDAY(A2658,2)+1</f>
        <v/>
      </c>
      <c r="E2658" s="25" t="inlineStr">
        <is>
          <t>dchoudhury</t>
        </is>
      </c>
      <c r="F2658" s="25" t="n">
        <v>124429</v>
      </c>
      <c r="G2658" s="25" t="n">
        <v>2</v>
      </c>
      <c r="H2658" s="25" t="n">
        <v>8</v>
      </c>
      <c r="I2658" s="25" t="inlineStr">
        <is>
          <t>3 minute(s) and 26 second(s)</t>
        </is>
      </c>
      <c r="J2658" s="25">
        <f>IFERROR(VALUE(TRIM(LEFT(I2658,FIND("minute",I2658)-1)))*60,0)+IFERROR(VALUE(SUBSTITUTE(MID(I2658,IFERROR(FIND("and",I2658)+3,1),20),"second(s)","")),0)</f>
        <v/>
      </c>
      <c r="K2658" s="41">
        <f>J2658/60</f>
        <v/>
      </c>
      <c r="L2658" s="41">
        <f>IFERROR(J2658/H2658,"")</f>
        <v/>
      </c>
      <c r="M2658" s="25" t="inlineStr">
        <is>
          <t>2.5.12</t>
        </is>
      </c>
      <c r="N2658" s="25">
        <f>IF(J2658&gt;300,1,0)</f>
        <v/>
      </c>
      <c r="O2658" s="25">
        <f>IF(J2658&gt;600,1,0)</f>
        <v/>
      </c>
      <c r="P2658" s="25">
        <f>IF(H2658&gt;0,J2658,"")</f>
        <v/>
      </c>
      <c r="Q2658" s="25">
        <f>TEXT(A2658,"YYYY-MM-DD HH")</f>
        <v/>
      </c>
      <c r="R2658" s="25">
        <f>COUNTIF($Q$2:$Q$5295,Q2658)</f>
        <v/>
      </c>
      <c r="S2658" s="25">
        <f>IF(R2658&lt;=2,"1-2",IF(R2658&lt;=5,"3-5",IF(R2658&lt;=10,"6-10","11+")))</f>
        <v/>
      </c>
    </row>
    <row r="2659">
      <c r="A2659" s="39" t="n">
        <v>46188.8244212963</v>
      </c>
      <c r="B2659" s="25">
        <f>TEXT(A2659,"YYYY-MM")</f>
        <v/>
      </c>
      <c r="C2659" s="25">
        <f>TEXT(A2659,"MMM-YYYY")</f>
        <v/>
      </c>
      <c r="D2659" s="40">
        <f>INT(A2659)-WEEKDAY(A2659,2)+1</f>
        <v/>
      </c>
      <c r="E2659" s="25" t="inlineStr">
        <is>
          <t>rsingh</t>
        </is>
      </c>
      <c r="F2659" s="25" t="n">
        <v>125077</v>
      </c>
      <c r="G2659" s="25" t="n">
        <v>1</v>
      </c>
      <c r="H2659" s="25" t="n">
        <v>7</v>
      </c>
      <c r="I2659" s="25" t="inlineStr">
        <is>
          <t>3 minute(s) and 15 second(s)</t>
        </is>
      </c>
      <c r="J2659" s="25">
        <f>IFERROR(VALUE(TRIM(LEFT(I2659,FIND("minute",I2659)-1)))*60,0)+IFERROR(VALUE(SUBSTITUTE(MID(I2659,IFERROR(FIND("and",I2659)+3,1),20),"second(s)","")),0)</f>
        <v/>
      </c>
      <c r="K2659" s="41">
        <f>J2659/60</f>
        <v/>
      </c>
      <c r="L2659" s="41">
        <f>IFERROR(J2659/H2659,"")</f>
        <v/>
      </c>
      <c r="M2659" s="25" t="inlineStr">
        <is>
          <t>2.5.12</t>
        </is>
      </c>
      <c r="N2659" s="25">
        <f>IF(J2659&gt;300,1,0)</f>
        <v/>
      </c>
      <c r="O2659" s="25">
        <f>IF(J2659&gt;600,1,0)</f>
        <v/>
      </c>
      <c r="P2659" s="25">
        <f>IF(H2659&gt;0,J2659,"")</f>
        <v/>
      </c>
      <c r="Q2659" s="25">
        <f>TEXT(A2659,"YYYY-MM-DD HH")</f>
        <v/>
      </c>
      <c r="R2659" s="25">
        <f>COUNTIF($Q$2:$Q$5295,Q2659)</f>
        <v/>
      </c>
      <c r="S2659" s="25">
        <f>IF(R2659&lt;=2,"1-2",IF(R2659&lt;=5,"3-5",IF(R2659&lt;=10,"6-10","11+")))</f>
        <v/>
      </c>
    </row>
    <row r="2660">
      <c r="A2660" s="39" t="n">
        <v>46188.85092592592</v>
      </c>
      <c r="B2660" s="25">
        <f>TEXT(A2660,"YYYY-MM")</f>
        <v/>
      </c>
      <c r="C2660" s="25">
        <f>TEXT(A2660,"MMM-YYYY")</f>
        <v/>
      </c>
      <c r="D2660" s="40">
        <f>INT(A2660)-WEEKDAY(A2660,2)+1</f>
        <v/>
      </c>
      <c r="E2660" s="25" t="inlineStr">
        <is>
          <t>ssaha</t>
        </is>
      </c>
      <c r="F2660" s="25" t="n">
        <v>125852</v>
      </c>
      <c r="G2660" s="25" t="n">
        <v>2</v>
      </c>
      <c r="H2660" s="25" t="n">
        <v>8</v>
      </c>
      <c r="I2660" s="25" t="inlineStr">
        <is>
          <t>4 minute(s) and 0 second(s)</t>
        </is>
      </c>
      <c r="J2660" s="25">
        <f>IFERROR(VALUE(TRIM(LEFT(I2660,FIND("minute",I2660)-1)))*60,0)+IFERROR(VALUE(SUBSTITUTE(MID(I2660,IFERROR(FIND("and",I2660)+3,1),20),"second(s)","")),0)</f>
        <v/>
      </c>
      <c r="K2660" s="41">
        <f>J2660/60</f>
        <v/>
      </c>
      <c r="L2660" s="41">
        <f>IFERROR(J2660/H2660,"")</f>
        <v/>
      </c>
      <c r="M2660" s="25" t="inlineStr">
        <is>
          <t>2.5.12</t>
        </is>
      </c>
      <c r="N2660" s="25">
        <f>IF(J2660&gt;300,1,0)</f>
        <v/>
      </c>
      <c r="O2660" s="25">
        <f>IF(J2660&gt;600,1,0)</f>
        <v/>
      </c>
      <c r="P2660" s="25">
        <f>IF(H2660&gt;0,J2660,"")</f>
        <v/>
      </c>
      <c r="Q2660" s="25">
        <f>TEXT(A2660,"YYYY-MM-DD HH")</f>
        <v/>
      </c>
      <c r="R2660" s="25">
        <f>COUNTIF($Q$2:$Q$5295,Q2660)</f>
        <v/>
      </c>
      <c r="S2660" s="25">
        <f>IF(R2660&lt;=2,"1-2",IF(R2660&lt;=5,"3-5",IF(R2660&lt;=10,"6-10","11+")))</f>
        <v/>
      </c>
    </row>
    <row r="2661">
      <c r="A2661" s="39" t="n">
        <v>46188.85976851852</v>
      </c>
      <c r="B2661" s="25">
        <f>TEXT(A2661,"YYYY-MM")</f>
        <v/>
      </c>
      <c r="C2661" s="25">
        <f>TEXT(A2661,"MMM-YYYY")</f>
        <v/>
      </c>
      <c r="D2661" s="40">
        <f>INT(A2661)-WEEKDAY(A2661,2)+1</f>
        <v/>
      </c>
      <c r="E2661" s="25" t="inlineStr">
        <is>
          <t>psingh</t>
        </is>
      </c>
      <c r="F2661" s="25" t="n">
        <v>124960</v>
      </c>
      <c r="G2661" s="25" t="n">
        <v>1</v>
      </c>
      <c r="H2661" s="25" t="n">
        <v>5</v>
      </c>
      <c r="I2661" s="25" t="inlineStr">
        <is>
          <t>1 minute(s) and 13 second(s)</t>
        </is>
      </c>
      <c r="J2661" s="25">
        <f>IFERROR(VALUE(TRIM(LEFT(I2661,FIND("minute",I2661)-1)))*60,0)+IFERROR(VALUE(SUBSTITUTE(MID(I2661,IFERROR(FIND("and",I2661)+3,1),20),"second(s)","")),0)</f>
        <v/>
      </c>
      <c r="K2661" s="41">
        <f>J2661/60</f>
        <v/>
      </c>
      <c r="L2661" s="41">
        <f>IFERROR(J2661/H2661,"")</f>
        <v/>
      </c>
      <c r="M2661" s="25" t="inlineStr">
        <is>
          <t>2.5.12</t>
        </is>
      </c>
      <c r="N2661" s="25">
        <f>IF(J2661&gt;300,1,0)</f>
        <v/>
      </c>
      <c r="O2661" s="25">
        <f>IF(J2661&gt;600,1,0)</f>
        <v/>
      </c>
      <c r="P2661" s="25">
        <f>IF(H2661&gt;0,J2661,"")</f>
        <v/>
      </c>
      <c r="Q2661" s="25">
        <f>TEXT(A2661,"YYYY-MM-DD HH")</f>
        <v/>
      </c>
      <c r="R2661" s="25">
        <f>COUNTIF($Q$2:$Q$5295,Q2661)</f>
        <v/>
      </c>
      <c r="S2661" s="25">
        <f>IF(R2661&lt;=2,"1-2",IF(R2661&lt;=5,"3-5",IF(R2661&lt;=10,"6-10","11+")))</f>
        <v/>
      </c>
    </row>
    <row r="2662">
      <c r="A2662" s="39" t="n">
        <v>46188.8634375</v>
      </c>
      <c r="B2662" s="25">
        <f>TEXT(A2662,"YYYY-MM")</f>
        <v/>
      </c>
      <c r="C2662" s="25">
        <f>TEXT(A2662,"MMM-YYYY")</f>
        <v/>
      </c>
      <c r="D2662" s="40">
        <f>INT(A2662)-WEEKDAY(A2662,2)+1</f>
        <v/>
      </c>
      <c r="E2662" s="25" t="inlineStr">
        <is>
          <t>rsingh</t>
        </is>
      </c>
      <c r="F2662" s="25" t="n">
        <v>125080</v>
      </c>
      <c r="G2662" s="25" t="n">
        <v>2</v>
      </c>
      <c r="H2662" s="25" t="n">
        <v>12</v>
      </c>
      <c r="I2662" s="25" t="inlineStr">
        <is>
          <t>6 minute(s) and 17 second(s)</t>
        </is>
      </c>
      <c r="J2662" s="25">
        <f>IFERROR(VALUE(TRIM(LEFT(I2662,FIND("minute",I2662)-1)))*60,0)+IFERROR(VALUE(SUBSTITUTE(MID(I2662,IFERROR(FIND("and",I2662)+3,1),20),"second(s)","")),0)</f>
        <v/>
      </c>
      <c r="K2662" s="41">
        <f>J2662/60</f>
        <v/>
      </c>
      <c r="L2662" s="41">
        <f>IFERROR(J2662/H2662,"")</f>
        <v/>
      </c>
      <c r="M2662" s="25" t="inlineStr">
        <is>
          <t>2.5.12</t>
        </is>
      </c>
      <c r="N2662" s="25">
        <f>IF(J2662&gt;300,1,0)</f>
        <v/>
      </c>
      <c r="O2662" s="25">
        <f>IF(J2662&gt;600,1,0)</f>
        <v/>
      </c>
      <c r="P2662" s="25">
        <f>IF(H2662&gt;0,J2662,"")</f>
        <v/>
      </c>
      <c r="Q2662" s="25">
        <f>TEXT(A2662,"YYYY-MM-DD HH")</f>
        <v/>
      </c>
      <c r="R2662" s="25">
        <f>COUNTIF($Q$2:$Q$5295,Q2662)</f>
        <v/>
      </c>
      <c r="S2662" s="25">
        <f>IF(R2662&lt;=2,"1-2",IF(R2662&lt;=5,"3-5",IF(R2662&lt;=10,"6-10","11+")))</f>
        <v/>
      </c>
    </row>
    <row r="2663">
      <c r="A2663" s="39" t="n">
        <v>46188.86876157407</v>
      </c>
      <c r="B2663" s="25">
        <f>TEXT(A2663,"YYYY-MM")</f>
        <v/>
      </c>
      <c r="C2663" s="25">
        <f>TEXT(A2663,"MMM-YYYY")</f>
        <v/>
      </c>
      <c r="D2663" s="40">
        <f>INT(A2663)-WEEKDAY(A2663,2)+1</f>
        <v/>
      </c>
      <c r="E2663" s="25" t="inlineStr">
        <is>
          <t>dchoudhury</t>
        </is>
      </c>
      <c r="F2663" s="25" t="n">
        <v>124441</v>
      </c>
      <c r="G2663" s="25" t="n">
        <v>2</v>
      </c>
      <c r="H2663" s="25" t="n">
        <v>8</v>
      </c>
      <c r="I2663" s="25" t="inlineStr">
        <is>
          <t>4 minute(s) and 43 second(s)</t>
        </is>
      </c>
      <c r="J2663" s="25">
        <f>IFERROR(VALUE(TRIM(LEFT(I2663,FIND("minute",I2663)-1)))*60,0)+IFERROR(VALUE(SUBSTITUTE(MID(I2663,IFERROR(FIND("and",I2663)+3,1),20),"second(s)","")),0)</f>
        <v/>
      </c>
      <c r="K2663" s="41">
        <f>J2663/60</f>
        <v/>
      </c>
      <c r="L2663" s="41">
        <f>IFERROR(J2663/H2663,"")</f>
        <v/>
      </c>
      <c r="M2663" s="25" t="inlineStr">
        <is>
          <t>2.5.12</t>
        </is>
      </c>
      <c r="N2663" s="25">
        <f>IF(J2663&gt;300,1,0)</f>
        <v/>
      </c>
      <c r="O2663" s="25">
        <f>IF(J2663&gt;600,1,0)</f>
        <v/>
      </c>
      <c r="P2663" s="25">
        <f>IF(H2663&gt;0,J2663,"")</f>
        <v/>
      </c>
      <c r="Q2663" s="25">
        <f>TEXT(A2663,"YYYY-MM-DD HH")</f>
        <v/>
      </c>
      <c r="R2663" s="25">
        <f>COUNTIF($Q$2:$Q$5295,Q2663)</f>
        <v/>
      </c>
      <c r="S2663" s="25">
        <f>IF(R2663&lt;=2,"1-2",IF(R2663&lt;=5,"3-5",IF(R2663&lt;=10,"6-10","11+")))</f>
        <v/>
      </c>
    </row>
    <row r="2664">
      <c r="A2664" s="39" t="n">
        <v>46188.87278935185</v>
      </c>
      <c r="B2664" s="25">
        <f>TEXT(A2664,"YYYY-MM")</f>
        <v/>
      </c>
      <c r="C2664" s="25">
        <f>TEXT(A2664,"MMM-YYYY")</f>
        <v/>
      </c>
      <c r="D2664" s="40">
        <f>INT(A2664)-WEEKDAY(A2664,2)+1</f>
        <v/>
      </c>
      <c r="E2664" s="25" t="inlineStr">
        <is>
          <t>sswati</t>
        </is>
      </c>
      <c r="F2664" s="25" t="n">
        <v>123084</v>
      </c>
      <c r="G2664" s="25" t="n">
        <v>1</v>
      </c>
      <c r="H2664" s="25" t="n">
        <v>7</v>
      </c>
      <c r="I2664" s="25" t="inlineStr">
        <is>
          <t>4 minute(s) and 52 second(s)</t>
        </is>
      </c>
      <c r="J2664" s="25">
        <f>IFERROR(VALUE(TRIM(LEFT(I2664,FIND("minute",I2664)-1)))*60,0)+IFERROR(VALUE(SUBSTITUTE(MID(I2664,IFERROR(FIND("and",I2664)+3,1),20),"second(s)","")),0)</f>
        <v/>
      </c>
      <c r="K2664" s="41">
        <f>J2664/60</f>
        <v/>
      </c>
      <c r="L2664" s="41">
        <f>IFERROR(J2664/H2664,"")</f>
        <v/>
      </c>
      <c r="M2664" s="25" t="inlineStr">
        <is>
          <t>2.5.12</t>
        </is>
      </c>
      <c r="N2664" s="25">
        <f>IF(J2664&gt;300,1,0)</f>
        <v/>
      </c>
      <c r="O2664" s="25">
        <f>IF(J2664&gt;600,1,0)</f>
        <v/>
      </c>
      <c r="P2664" s="25">
        <f>IF(H2664&gt;0,J2664,"")</f>
        <v/>
      </c>
      <c r="Q2664" s="25">
        <f>TEXT(A2664,"YYYY-MM-DD HH")</f>
        <v/>
      </c>
      <c r="R2664" s="25">
        <f>COUNTIF($Q$2:$Q$5295,Q2664)</f>
        <v/>
      </c>
      <c r="S2664" s="25">
        <f>IF(R2664&lt;=2,"1-2",IF(R2664&lt;=5,"3-5",IF(R2664&lt;=10,"6-10","11+")))</f>
        <v/>
      </c>
    </row>
    <row r="2665">
      <c r="A2665" s="39" t="n">
        <v>46188.92011574074</v>
      </c>
      <c r="B2665" s="25">
        <f>TEXT(A2665,"YYYY-MM")</f>
        <v/>
      </c>
      <c r="C2665" s="25">
        <f>TEXT(A2665,"MMM-YYYY")</f>
        <v/>
      </c>
      <c r="D2665" s="40">
        <f>INT(A2665)-WEEKDAY(A2665,2)+1</f>
        <v/>
      </c>
      <c r="E2665" s="25" t="inlineStr">
        <is>
          <t>dchoudhury</t>
        </is>
      </c>
      <c r="F2665" s="25" t="n">
        <v>124447</v>
      </c>
      <c r="G2665" s="25" t="n">
        <v>3</v>
      </c>
      <c r="H2665" s="25" t="n">
        <v>11</v>
      </c>
      <c r="I2665" s="25" t="inlineStr">
        <is>
          <t>3 minute(s) and 22 second(s)</t>
        </is>
      </c>
      <c r="J2665" s="25">
        <f>IFERROR(VALUE(TRIM(LEFT(I2665,FIND("minute",I2665)-1)))*60,0)+IFERROR(VALUE(SUBSTITUTE(MID(I2665,IFERROR(FIND("and",I2665)+3,1),20),"second(s)","")),0)</f>
        <v/>
      </c>
      <c r="K2665" s="41">
        <f>J2665/60</f>
        <v/>
      </c>
      <c r="L2665" s="41">
        <f>IFERROR(J2665/H2665,"")</f>
        <v/>
      </c>
      <c r="M2665" s="25" t="inlineStr">
        <is>
          <t>2.5.12</t>
        </is>
      </c>
      <c r="N2665" s="25">
        <f>IF(J2665&gt;300,1,0)</f>
        <v/>
      </c>
      <c r="O2665" s="25">
        <f>IF(J2665&gt;600,1,0)</f>
        <v/>
      </c>
      <c r="P2665" s="25">
        <f>IF(H2665&gt;0,J2665,"")</f>
        <v/>
      </c>
      <c r="Q2665" s="25">
        <f>TEXT(A2665,"YYYY-MM-DD HH")</f>
        <v/>
      </c>
      <c r="R2665" s="25">
        <f>COUNTIF($Q$2:$Q$5295,Q2665)</f>
        <v/>
      </c>
      <c r="S2665" s="25">
        <f>IF(R2665&lt;=2,"1-2",IF(R2665&lt;=5,"3-5",IF(R2665&lt;=10,"6-10","11+")))</f>
        <v/>
      </c>
    </row>
    <row r="2666">
      <c r="A2666" s="39" t="n">
        <v>46188.945625</v>
      </c>
      <c r="B2666" s="25">
        <f>TEXT(A2666,"YYYY-MM")</f>
        <v/>
      </c>
      <c r="C2666" s="25">
        <f>TEXT(A2666,"MMM-YYYY")</f>
        <v/>
      </c>
      <c r="D2666" s="40">
        <f>INT(A2666)-WEEKDAY(A2666,2)+1</f>
        <v/>
      </c>
      <c r="E2666" s="25" t="inlineStr">
        <is>
          <t>hsindwani</t>
        </is>
      </c>
      <c r="F2666" s="25" t="n">
        <v>123394</v>
      </c>
      <c r="G2666" s="25" t="n">
        <v>1</v>
      </c>
      <c r="H2666" s="25" t="n">
        <v>7</v>
      </c>
      <c r="I2666" s="25" t="inlineStr">
        <is>
          <t>5 minute(s) and 12 second(s)</t>
        </is>
      </c>
      <c r="J2666" s="25">
        <f>IFERROR(VALUE(TRIM(LEFT(I2666,FIND("minute",I2666)-1)))*60,0)+IFERROR(VALUE(SUBSTITUTE(MID(I2666,IFERROR(FIND("and",I2666)+3,1),20),"second(s)","")),0)</f>
        <v/>
      </c>
      <c r="K2666" s="41">
        <f>J2666/60</f>
        <v/>
      </c>
      <c r="L2666" s="41">
        <f>IFERROR(J2666/H2666,"")</f>
        <v/>
      </c>
      <c r="M2666" s="25" t="inlineStr">
        <is>
          <t>2.5.12</t>
        </is>
      </c>
      <c r="N2666" s="25">
        <f>IF(J2666&gt;300,1,0)</f>
        <v/>
      </c>
      <c r="O2666" s="25">
        <f>IF(J2666&gt;600,1,0)</f>
        <v/>
      </c>
      <c r="P2666" s="25">
        <f>IF(H2666&gt;0,J2666,"")</f>
        <v/>
      </c>
      <c r="Q2666" s="25">
        <f>TEXT(A2666,"YYYY-MM-DD HH")</f>
        <v/>
      </c>
      <c r="R2666" s="25">
        <f>COUNTIF($Q$2:$Q$5295,Q2666)</f>
        <v/>
      </c>
      <c r="S2666" s="25">
        <f>IF(R2666&lt;=2,"1-2",IF(R2666&lt;=5,"3-5",IF(R2666&lt;=10,"6-10","11+")))</f>
        <v/>
      </c>
    </row>
    <row r="2667">
      <c r="A2667" s="39" t="n">
        <v>46188.95363425926</v>
      </c>
      <c r="B2667" s="25">
        <f>TEXT(A2667,"YYYY-MM")</f>
        <v/>
      </c>
      <c r="C2667" s="25">
        <f>TEXT(A2667,"MMM-YYYY")</f>
        <v/>
      </c>
      <c r="D2667" s="40">
        <f>INT(A2667)-WEEKDAY(A2667,2)+1</f>
        <v/>
      </c>
      <c r="E2667" s="25" t="inlineStr">
        <is>
          <t>sswati</t>
        </is>
      </c>
      <c r="F2667" s="25" t="n">
        <v>125916</v>
      </c>
      <c r="G2667" s="25" t="n">
        <v>4</v>
      </c>
      <c r="H2667" s="25" t="n">
        <v>18</v>
      </c>
      <c r="I2667" s="25" t="inlineStr">
        <is>
          <t>14 minute(s) and 19 second(s)</t>
        </is>
      </c>
      <c r="J2667" s="25">
        <f>IFERROR(VALUE(TRIM(LEFT(I2667,FIND("minute",I2667)-1)))*60,0)+IFERROR(VALUE(SUBSTITUTE(MID(I2667,IFERROR(FIND("and",I2667)+3,1),20),"second(s)","")),0)</f>
        <v/>
      </c>
      <c r="K2667" s="41">
        <f>J2667/60</f>
        <v/>
      </c>
      <c r="L2667" s="41">
        <f>IFERROR(J2667/H2667,"")</f>
        <v/>
      </c>
      <c r="M2667" s="25" t="inlineStr">
        <is>
          <t>2.5.12</t>
        </is>
      </c>
      <c r="N2667" s="25">
        <f>IF(J2667&gt;300,1,0)</f>
        <v/>
      </c>
      <c r="O2667" s="25">
        <f>IF(J2667&gt;600,1,0)</f>
        <v/>
      </c>
      <c r="P2667" s="25">
        <f>IF(H2667&gt;0,J2667,"")</f>
        <v/>
      </c>
      <c r="Q2667" s="25">
        <f>TEXT(A2667,"YYYY-MM-DD HH")</f>
        <v/>
      </c>
      <c r="R2667" s="25">
        <f>COUNTIF($Q$2:$Q$5295,Q2667)</f>
        <v/>
      </c>
      <c r="S2667" s="25">
        <f>IF(R2667&lt;=2,"1-2",IF(R2667&lt;=5,"3-5",IF(R2667&lt;=10,"6-10","11+")))</f>
        <v/>
      </c>
    </row>
    <row r="2668">
      <c r="A2668" s="39" t="n">
        <v>46188.9581712963</v>
      </c>
      <c r="B2668" s="25">
        <f>TEXT(A2668,"YYYY-MM")</f>
        <v/>
      </c>
      <c r="C2668" s="25">
        <f>TEXT(A2668,"MMM-YYYY")</f>
        <v/>
      </c>
      <c r="D2668" s="40">
        <f>INT(A2668)-WEEKDAY(A2668,2)+1</f>
        <v/>
      </c>
      <c r="E2668" s="25" t="inlineStr">
        <is>
          <t>ssarkar</t>
        </is>
      </c>
      <c r="F2668" s="25" t="n">
        <v>125252</v>
      </c>
      <c r="G2668" s="25" t="n">
        <v>2</v>
      </c>
      <c r="H2668" s="25" t="n">
        <v>10</v>
      </c>
      <c r="I2668" s="25" t="inlineStr">
        <is>
          <t>3 minute(s) and 43 second(s)</t>
        </is>
      </c>
      <c r="J2668" s="25">
        <f>IFERROR(VALUE(TRIM(LEFT(I2668,FIND("minute",I2668)-1)))*60,0)+IFERROR(VALUE(SUBSTITUTE(MID(I2668,IFERROR(FIND("and",I2668)+3,1),20),"second(s)","")),0)</f>
        <v/>
      </c>
      <c r="K2668" s="41">
        <f>J2668/60</f>
        <v/>
      </c>
      <c r="L2668" s="41">
        <f>IFERROR(J2668/H2668,"")</f>
        <v/>
      </c>
      <c r="M2668" s="25" t="inlineStr">
        <is>
          <t>2.5.12</t>
        </is>
      </c>
      <c r="N2668" s="25">
        <f>IF(J2668&gt;300,1,0)</f>
        <v/>
      </c>
      <c r="O2668" s="25">
        <f>IF(J2668&gt;600,1,0)</f>
        <v/>
      </c>
      <c r="P2668" s="25">
        <f>IF(H2668&gt;0,J2668,"")</f>
        <v/>
      </c>
      <c r="Q2668" s="25">
        <f>TEXT(A2668,"YYYY-MM-DD HH")</f>
        <v/>
      </c>
      <c r="R2668" s="25">
        <f>COUNTIF($Q$2:$Q$5295,Q2668)</f>
        <v/>
      </c>
      <c r="S2668" s="25">
        <f>IF(R2668&lt;=2,"1-2",IF(R2668&lt;=5,"3-5",IF(R2668&lt;=10,"6-10","11+")))</f>
        <v/>
      </c>
    </row>
    <row r="2669">
      <c r="A2669" s="39" t="n">
        <v>46188.97346064815</v>
      </c>
      <c r="B2669" s="25">
        <f>TEXT(A2669,"YYYY-MM")</f>
        <v/>
      </c>
      <c r="C2669" s="25">
        <f>TEXT(A2669,"MMM-YYYY")</f>
        <v/>
      </c>
      <c r="D2669" s="40">
        <f>INT(A2669)-WEEKDAY(A2669,2)+1</f>
        <v/>
      </c>
      <c r="E2669" s="25" t="inlineStr">
        <is>
          <t>ssaha</t>
        </is>
      </c>
      <c r="F2669" s="25" t="inlineStr">
        <is>
          <t>Test 2</t>
        </is>
      </c>
      <c r="G2669" s="25" t="n">
        <v>1</v>
      </c>
      <c r="H2669" s="25" t="n">
        <v>5</v>
      </c>
      <c r="I2669" s="25" t="inlineStr">
        <is>
          <t>2 minute(s) and 23 second(s)</t>
        </is>
      </c>
      <c r="J2669" s="25">
        <f>IFERROR(VALUE(TRIM(LEFT(I2669,FIND("minute",I2669)-1)))*60,0)+IFERROR(VALUE(SUBSTITUTE(MID(I2669,IFERROR(FIND("and",I2669)+3,1),20),"second(s)","")),0)</f>
        <v/>
      </c>
      <c r="K2669" s="41">
        <f>J2669/60</f>
        <v/>
      </c>
      <c r="L2669" s="41">
        <f>IFERROR(J2669/H2669,"")</f>
        <v/>
      </c>
      <c r="M2669" s="25" t="inlineStr">
        <is>
          <t>2.5.12</t>
        </is>
      </c>
      <c r="N2669" s="25">
        <f>IF(J2669&gt;300,1,0)</f>
        <v/>
      </c>
      <c r="O2669" s="25">
        <f>IF(J2669&gt;600,1,0)</f>
        <v/>
      </c>
      <c r="P2669" s="25">
        <f>IF(H2669&gt;0,J2669,"")</f>
        <v/>
      </c>
      <c r="Q2669" s="25">
        <f>TEXT(A2669,"YYYY-MM-DD HH")</f>
        <v/>
      </c>
      <c r="R2669" s="25">
        <f>COUNTIF($Q$2:$Q$5295,Q2669)</f>
        <v/>
      </c>
      <c r="S2669" s="25">
        <f>IF(R2669&lt;=2,"1-2",IF(R2669&lt;=5,"3-5",IF(R2669&lt;=10,"6-10","11+")))</f>
        <v/>
      </c>
    </row>
    <row r="2670">
      <c r="A2670" s="39" t="n">
        <v>46188.97559027778</v>
      </c>
      <c r="B2670" s="25">
        <f>TEXT(A2670,"YYYY-MM")</f>
        <v/>
      </c>
      <c r="C2670" s="25">
        <f>TEXT(A2670,"MMM-YYYY")</f>
        <v/>
      </c>
      <c r="D2670" s="40">
        <f>INT(A2670)-WEEKDAY(A2670,2)+1</f>
        <v/>
      </c>
      <c r="E2670" s="25" t="inlineStr">
        <is>
          <t>psingh</t>
        </is>
      </c>
      <c r="F2670" s="25" t="n">
        <v>123572</v>
      </c>
      <c r="G2670" s="25" t="n">
        <v>2</v>
      </c>
      <c r="H2670" s="25" t="n">
        <v>10</v>
      </c>
      <c r="I2670" s="25" t="inlineStr">
        <is>
          <t>4 minute(s) and 2 second(s)</t>
        </is>
      </c>
      <c r="J2670" s="25">
        <f>IFERROR(VALUE(TRIM(LEFT(I2670,FIND("minute",I2670)-1)))*60,0)+IFERROR(VALUE(SUBSTITUTE(MID(I2670,IFERROR(FIND("and",I2670)+3,1),20),"second(s)","")),0)</f>
        <v/>
      </c>
      <c r="K2670" s="41">
        <f>J2670/60</f>
        <v/>
      </c>
      <c r="L2670" s="41">
        <f>IFERROR(J2670/H2670,"")</f>
        <v/>
      </c>
      <c r="M2670" s="25" t="inlineStr">
        <is>
          <t>2.5.12</t>
        </is>
      </c>
      <c r="N2670" s="25">
        <f>IF(J2670&gt;300,1,0)</f>
        <v/>
      </c>
      <c r="O2670" s="25">
        <f>IF(J2670&gt;600,1,0)</f>
        <v/>
      </c>
      <c r="P2670" s="25">
        <f>IF(H2670&gt;0,J2670,"")</f>
        <v/>
      </c>
      <c r="Q2670" s="25">
        <f>TEXT(A2670,"YYYY-MM-DD HH")</f>
        <v/>
      </c>
      <c r="R2670" s="25">
        <f>COUNTIF($Q$2:$Q$5295,Q2670)</f>
        <v/>
      </c>
      <c r="S2670" s="25">
        <f>IF(R2670&lt;=2,"1-2",IF(R2670&lt;=5,"3-5",IF(R2670&lt;=10,"6-10","11+")))</f>
        <v/>
      </c>
    </row>
    <row r="2671">
      <c r="A2671" s="39" t="n">
        <v>46189.0490625</v>
      </c>
      <c r="B2671" s="25">
        <f>TEXT(A2671,"YYYY-MM")</f>
        <v/>
      </c>
      <c r="C2671" s="25">
        <f>TEXT(A2671,"MMM-YYYY")</f>
        <v/>
      </c>
      <c r="D2671" s="40">
        <f>INT(A2671)-WEEKDAY(A2671,2)+1</f>
        <v/>
      </c>
      <c r="E2671" s="25" t="inlineStr">
        <is>
          <t>shassan</t>
        </is>
      </c>
      <c r="F2671" s="25" t="n">
        <v>125276</v>
      </c>
      <c r="G2671" s="25" t="n">
        <v>2</v>
      </c>
      <c r="H2671" s="25" t="n">
        <v>10</v>
      </c>
      <c r="I2671" s="25" t="inlineStr">
        <is>
          <t>2 minute(s) and 9 second(s)</t>
        </is>
      </c>
      <c r="J2671" s="25">
        <f>IFERROR(VALUE(TRIM(LEFT(I2671,FIND("minute",I2671)-1)))*60,0)+IFERROR(VALUE(SUBSTITUTE(MID(I2671,IFERROR(FIND("and",I2671)+3,1),20),"second(s)","")),0)</f>
        <v/>
      </c>
      <c r="K2671" s="41">
        <f>J2671/60</f>
        <v/>
      </c>
      <c r="L2671" s="41">
        <f>IFERROR(J2671/H2671,"")</f>
        <v/>
      </c>
      <c r="M2671" s="25" t="inlineStr">
        <is>
          <t>2.5.12</t>
        </is>
      </c>
      <c r="N2671" s="25">
        <f>IF(J2671&gt;300,1,0)</f>
        <v/>
      </c>
      <c r="O2671" s="25">
        <f>IF(J2671&gt;600,1,0)</f>
        <v/>
      </c>
      <c r="P2671" s="25">
        <f>IF(H2671&gt;0,J2671,"")</f>
        <v/>
      </c>
      <c r="Q2671" s="25">
        <f>TEXT(A2671,"YYYY-MM-DD HH")</f>
        <v/>
      </c>
      <c r="R2671" s="25">
        <f>COUNTIF($Q$2:$Q$5295,Q2671)</f>
        <v/>
      </c>
      <c r="S2671" s="25">
        <f>IF(R2671&lt;=2,"1-2",IF(R2671&lt;=5,"3-5",IF(R2671&lt;=10,"6-10","11+")))</f>
        <v/>
      </c>
    </row>
    <row r="2672">
      <c r="A2672" s="39" t="n">
        <v>46189.0850462963</v>
      </c>
      <c r="B2672" s="25">
        <f>TEXT(A2672,"YYYY-MM")</f>
        <v/>
      </c>
      <c r="C2672" s="25">
        <f>TEXT(A2672,"MMM-YYYY")</f>
        <v/>
      </c>
      <c r="D2672" s="40">
        <f>INT(A2672)-WEEKDAY(A2672,2)+1</f>
        <v/>
      </c>
      <c r="E2672" s="25" t="inlineStr">
        <is>
          <t>anusharma</t>
        </is>
      </c>
      <c r="F2672" s="25" t="n">
        <v>124268</v>
      </c>
      <c r="G2672" s="25" t="n">
        <v>4</v>
      </c>
      <c r="H2672" s="25" t="n">
        <v>16</v>
      </c>
      <c r="I2672" s="25" t="inlineStr">
        <is>
          <t>6 minute(s) and 11 second(s)</t>
        </is>
      </c>
      <c r="J2672" s="25">
        <f>IFERROR(VALUE(TRIM(LEFT(I2672,FIND("minute",I2672)-1)))*60,0)+IFERROR(VALUE(SUBSTITUTE(MID(I2672,IFERROR(FIND("and",I2672)+3,1),20),"second(s)","")),0)</f>
        <v/>
      </c>
      <c r="K2672" s="41">
        <f>J2672/60</f>
        <v/>
      </c>
      <c r="L2672" s="41">
        <f>IFERROR(J2672/H2672,"")</f>
        <v/>
      </c>
      <c r="M2672" s="25" t="inlineStr">
        <is>
          <t>2.5.12</t>
        </is>
      </c>
      <c r="N2672" s="25">
        <f>IF(J2672&gt;300,1,0)</f>
        <v/>
      </c>
      <c r="O2672" s="25">
        <f>IF(J2672&gt;600,1,0)</f>
        <v/>
      </c>
      <c r="P2672" s="25">
        <f>IF(H2672&gt;0,J2672,"")</f>
        <v/>
      </c>
      <c r="Q2672" s="25">
        <f>TEXT(A2672,"YYYY-MM-DD HH")</f>
        <v/>
      </c>
      <c r="R2672" s="25">
        <f>COUNTIF($Q$2:$Q$5295,Q2672)</f>
        <v/>
      </c>
      <c r="S2672" s="25">
        <f>IF(R2672&lt;=2,"1-2",IF(R2672&lt;=5,"3-5",IF(R2672&lt;=10,"6-10","11+")))</f>
        <v/>
      </c>
    </row>
    <row r="2673">
      <c r="A2673" s="39" t="n">
        <v>46189.09130787037</v>
      </c>
      <c r="B2673" s="25">
        <f>TEXT(A2673,"YYYY-MM")</f>
        <v/>
      </c>
      <c r="C2673" s="25">
        <f>TEXT(A2673,"MMM-YYYY")</f>
        <v/>
      </c>
      <c r="D2673" s="40">
        <f>INT(A2673)-WEEKDAY(A2673,2)+1</f>
        <v/>
      </c>
      <c r="E2673" s="25" t="inlineStr">
        <is>
          <t>mbohra</t>
        </is>
      </c>
      <c r="F2673" s="25" t="n">
        <v>125206</v>
      </c>
      <c r="G2673" s="25" t="n">
        <v>4</v>
      </c>
      <c r="H2673" s="25" t="n">
        <v>20</v>
      </c>
      <c r="I2673" s="25" t="inlineStr">
        <is>
          <t>7 minute(s) and 45 second(s)</t>
        </is>
      </c>
      <c r="J2673" s="25">
        <f>IFERROR(VALUE(TRIM(LEFT(I2673,FIND("minute",I2673)-1)))*60,0)+IFERROR(VALUE(SUBSTITUTE(MID(I2673,IFERROR(FIND("and",I2673)+3,1),20),"second(s)","")),0)</f>
        <v/>
      </c>
      <c r="K2673" s="41">
        <f>J2673/60</f>
        <v/>
      </c>
      <c r="L2673" s="41">
        <f>IFERROR(J2673/H2673,"")</f>
        <v/>
      </c>
      <c r="M2673" s="25" t="inlineStr">
        <is>
          <t>2.5.12</t>
        </is>
      </c>
      <c r="N2673" s="25">
        <f>IF(J2673&gt;300,1,0)</f>
        <v/>
      </c>
      <c r="O2673" s="25">
        <f>IF(J2673&gt;600,1,0)</f>
        <v/>
      </c>
      <c r="P2673" s="25">
        <f>IF(H2673&gt;0,J2673,"")</f>
        <v/>
      </c>
      <c r="Q2673" s="25">
        <f>TEXT(A2673,"YYYY-MM-DD HH")</f>
        <v/>
      </c>
      <c r="R2673" s="25">
        <f>COUNTIF($Q$2:$Q$5295,Q2673)</f>
        <v/>
      </c>
      <c r="S2673" s="25">
        <f>IF(R2673&lt;=2,"1-2",IF(R2673&lt;=5,"3-5",IF(R2673&lt;=10,"6-10","11+")))</f>
        <v/>
      </c>
    </row>
    <row r="2674">
      <c r="A2674" s="39" t="n">
        <v>46189.09349537037</v>
      </c>
      <c r="B2674" s="25">
        <f>TEXT(A2674,"YYYY-MM")</f>
        <v/>
      </c>
      <c r="C2674" s="25">
        <f>TEXT(A2674,"MMM-YYYY")</f>
        <v/>
      </c>
      <c r="D2674" s="40">
        <f>INT(A2674)-WEEKDAY(A2674,2)+1</f>
        <v/>
      </c>
      <c r="E2674" s="25" t="inlineStr">
        <is>
          <t>shassan</t>
        </is>
      </c>
      <c r="F2674" s="25" t="n">
        <v>125275</v>
      </c>
      <c r="G2674" s="25" t="n">
        <v>2</v>
      </c>
      <c r="H2674" s="25" t="n">
        <v>8</v>
      </c>
      <c r="I2674" s="25" t="inlineStr">
        <is>
          <t>3 minute(s) and 38 second(s)</t>
        </is>
      </c>
      <c r="J2674" s="25">
        <f>IFERROR(VALUE(TRIM(LEFT(I2674,FIND("minute",I2674)-1)))*60,0)+IFERROR(VALUE(SUBSTITUTE(MID(I2674,IFERROR(FIND("and",I2674)+3,1),20),"second(s)","")),0)</f>
        <v/>
      </c>
      <c r="K2674" s="41">
        <f>J2674/60</f>
        <v/>
      </c>
      <c r="L2674" s="41">
        <f>IFERROR(J2674/H2674,"")</f>
        <v/>
      </c>
      <c r="M2674" s="25" t="inlineStr">
        <is>
          <t>2.5.12</t>
        </is>
      </c>
      <c r="N2674" s="25">
        <f>IF(J2674&gt;300,1,0)</f>
        <v/>
      </c>
      <c r="O2674" s="25">
        <f>IF(J2674&gt;600,1,0)</f>
        <v/>
      </c>
      <c r="P2674" s="25">
        <f>IF(H2674&gt;0,J2674,"")</f>
        <v/>
      </c>
      <c r="Q2674" s="25">
        <f>TEXT(A2674,"YYYY-MM-DD HH")</f>
        <v/>
      </c>
      <c r="R2674" s="25">
        <f>COUNTIF($Q$2:$Q$5295,Q2674)</f>
        <v/>
      </c>
      <c r="S2674" s="25">
        <f>IF(R2674&lt;=2,"1-2",IF(R2674&lt;=5,"3-5",IF(R2674&lt;=10,"6-10","11+")))</f>
        <v/>
      </c>
    </row>
    <row r="2675">
      <c r="A2675" s="39" t="n">
        <v>46189.09922453704</v>
      </c>
      <c r="B2675" s="25">
        <f>TEXT(A2675,"YYYY-MM")</f>
        <v/>
      </c>
      <c r="C2675" s="25">
        <f>TEXT(A2675,"MMM-YYYY")</f>
        <v/>
      </c>
      <c r="D2675" s="40">
        <f>INT(A2675)-WEEKDAY(A2675,2)+1</f>
        <v/>
      </c>
      <c r="E2675" s="25" t="inlineStr">
        <is>
          <t>ns</t>
        </is>
      </c>
      <c r="F2675" s="25" t="n">
        <v>124772</v>
      </c>
      <c r="G2675" s="25" t="n">
        <v>1</v>
      </c>
      <c r="H2675" s="25" t="n">
        <v>5</v>
      </c>
      <c r="I2675" s="25" t="inlineStr">
        <is>
          <t>2 minute(s) and 55 second(s)</t>
        </is>
      </c>
      <c r="J2675" s="25">
        <f>IFERROR(VALUE(TRIM(LEFT(I2675,FIND("minute",I2675)-1)))*60,0)+IFERROR(VALUE(SUBSTITUTE(MID(I2675,IFERROR(FIND("and",I2675)+3,1),20),"second(s)","")),0)</f>
        <v/>
      </c>
      <c r="K2675" s="41">
        <f>J2675/60</f>
        <v/>
      </c>
      <c r="L2675" s="41">
        <f>IFERROR(J2675/H2675,"")</f>
        <v/>
      </c>
      <c r="M2675" s="25" t="inlineStr">
        <is>
          <t>2.5.12</t>
        </is>
      </c>
      <c r="N2675" s="25">
        <f>IF(J2675&gt;300,1,0)</f>
        <v/>
      </c>
      <c r="O2675" s="25">
        <f>IF(J2675&gt;600,1,0)</f>
        <v/>
      </c>
      <c r="P2675" s="25">
        <f>IF(H2675&gt;0,J2675,"")</f>
        <v/>
      </c>
      <c r="Q2675" s="25">
        <f>TEXT(A2675,"YYYY-MM-DD HH")</f>
        <v/>
      </c>
      <c r="R2675" s="25">
        <f>COUNTIF($Q$2:$Q$5295,Q2675)</f>
        <v/>
      </c>
      <c r="S2675" s="25">
        <f>IF(R2675&lt;=2,"1-2",IF(R2675&lt;=5,"3-5",IF(R2675&lt;=10,"6-10","11+")))</f>
        <v/>
      </c>
    </row>
    <row r="2676">
      <c r="A2676" s="39" t="n">
        <v>46189.09998842593</v>
      </c>
      <c r="B2676" s="25">
        <f>TEXT(A2676,"YYYY-MM")</f>
        <v/>
      </c>
      <c r="C2676" s="25">
        <f>TEXT(A2676,"MMM-YYYY")</f>
        <v/>
      </c>
      <c r="D2676" s="40">
        <f>INT(A2676)-WEEKDAY(A2676,2)+1</f>
        <v/>
      </c>
      <c r="E2676" s="25" t="inlineStr">
        <is>
          <t>adey</t>
        </is>
      </c>
      <c r="F2676" s="25" t="n">
        <v>124340</v>
      </c>
      <c r="G2676" s="25" t="n">
        <v>2</v>
      </c>
      <c r="H2676" s="25" t="n">
        <v>10</v>
      </c>
      <c r="I2676" s="25" t="inlineStr">
        <is>
          <t>2 minute(s) and 47 second(s)</t>
        </is>
      </c>
      <c r="J2676" s="25">
        <f>IFERROR(VALUE(TRIM(LEFT(I2676,FIND("minute",I2676)-1)))*60,0)+IFERROR(VALUE(SUBSTITUTE(MID(I2676,IFERROR(FIND("and",I2676)+3,1),20),"second(s)","")),0)</f>
        <v/>
      </c>
      <c r="K2676" s="41">
        <f>J2676/60</f>
        <v/>
      </c>
      <c r="L2676" s="41">
        <f>IFERROR(J2676/H2676,"")</f>
        <v/>
      </c>
      <c r="M2676" s="25" t="inlineStr">
        <is>
          <t>2.5.12</t>
        </is>
      </c>
      <c r="N2676" s="25">
        <f>IF(J2676&gt;300,1,0)</f>
        <v/>
      </c>
      <c r="O2676" s="25">
        <f>IF(J2676&gt;600,1,0)</f>
        <v/>
      </c>
      <c r="P2676" s="25">
        <f>IF(H2676&gt;0,J2676,"")</f>
        <v/>
      </c>
      <c r="Q2676" s="25">
        <f>TEXT(A2676,"YYYY-MM-DD HH")</f>
        <v/>
      </c>
      <c r="R2676" s="25">
        <f>COUNTIF($Q$2:$Q$5295,Q2676)</f>
        <v/>
      </c>
      <c r="S2676" s="25">
        <f>IF(R2676&lt;=2,"1-2",IF(R2676&lt;=5,"3-5",IF(R2676&lt;=10,"6-10","11+")))</f>
        <v/>
      </c>
    </row>
    <row r="2677">
      <c r="A2677" s="39" t="n">
        <v>46189.10079861111</v>
      </c>
      <c r="B2677" s="25">
        <f>TEXT(A2677,"YYYY-MM")</f>
        <v/>
      </c>
      <c r="C2677" s="25">
        <f>TEXT(A2677,"MMM-YYYY")</f>
        <v/>
      </c>
      <c r="D2677" s="40">
        <f>INT(A2677)-WEEKDAY(A2677,2)+1</f>
        <v/>
      </c>
      <c r="E2677" s="25" t="inlineStr">
        <is>
          <t>aghosh</t>
        </is>
      </c>
      <c r="F2677" s="25" t="n">
        <v>123648</v>
      </c>
      <c r="G2677" s="25" t="n">
        <v>1</v>
      </c>
      <c r="H2677" s="25" t="n">
        <v>7</v>
      </c>
      <c r="I2677" s="25" t="inlineStr">
        <is>
          <t>4 minute(s) and 27 second(s)</t>
        </is>
      </c>
      <c r="J2677" s="25">
        <f>IFERROR(VALUE(TRIM(LEFT(I2677,FIND("minute",I2677)-1)))*60,0)+IFERROR(VALUE(SUBSTITUTE(MID(I2677,IFERROR(FIND("and",I2677)+3,1),20),"second(s)","")),0)</f>
        <v/>
      </c>
      <c r="K2677" s="41">
        <f>J2677/60</f>
        <v/>
      </c>
      <c r="L2677" s="41">
        <f>IFERROR(J2677/H2677,"")</f>
        <v/>
      </c>
      <c r="M2677" s="25" t="inlineStr">
        <is>
          <t>2.5.12</t>
        </is>
      </c>
      <c r="N2677" s="25">
        <f>IF(J2677&gt;300,1,0)</f>
        <v/>
      </c>
      <c r="O2677" s="25">
        <f>IF(J2677&gt;600,1,0)</f>
        <v/>
      </c>
      <c r="P2677" s="25">
        <f>IF(H2677&gt;0,J2677,"")</f>
        <v/>
      </c>
      <c r="Q2677" s="25">
        <f>TEXT(A2677,"YYYY-MM-DD HH")</f>
        <v/>
      </c>
      <c r="R2677" s="25">
        <f>COUNTIF($Q$2:$Q$5295,Q2677)</f>
        <v/>
      </c>
      <c r="S2677" s="25">
        <f>IF(R2677&lt;=2,"1-2",IF(R2677&lt;=5,"3-5",IF(R2677&lt;=10,"6-10","11+")))</f>
        <v/>
      </c>
    </row>
    <row r="2678">
      <c r="A2678" s="39" t="n">
        <v>46189.10248842592</v>
      </c>
      <c r="B2678" s="25">
        <f>TEXT(A2678,"YYYY-MM")</f>
        <v/>
      </c>
      <c r="C2678" s="25">
        <f>TEXT(A2678,"MMM-YYYY")</f>
        <v/>
      </c>
      <c r="D2678" s="40">
        <f>INT(A2678)-WEEKDAY(A2678,2)+1</f>
        <v/>
      </c>
      <c r="E2678" s="25" t="inlineStr">
        <is>
          <t>sdey</t>
        </is>
      </c>
      <c r="F2678" s="25" t="n">
        <v>125262</v>
      </c>
      <c r="G2678" s="25" t="n">
        <v>3</v>
      </c>
      <c r="H2678" s="25" t="n">
        <v>11</v>
      </c>
      <c r="I2678" s="25" t="inlineStr">
        <is>
          <t>3 minute(s) and 10 second(s)</t>
        </is>
      </c>
      <c r="J2678" s="25">
        <f>IFERROR(VALUE(TRIM(LEFT(I2678,FIND("minute",I2678)-1)))*60,0)+IFERROR(VALUE(SUBSTITUTE(MID(I2678,IFERROR(FIND("and",I2678)+3,1),20),"second(s)","")),0)</f>
        <v/>
      </c>
      <c r="K2678" s="41">
        <f>J2678/60</f>
        <v/>
      </c>
      <c r="L2678" s="41">
        <f>IFERROR(J2678/H2678,"")</f>
        <v/>
      </c>
      <c r="M2678" s="25" t="inlineStr">
        <is>
          <t>2.5.12</t>
        </is>
      </c>
      <c r="N2678" s="25">
        <f>IF(J2678&gt;300,1,0)</f>
        <v/>
      </c>
      <c r="O2678" s="25">
        <f>IF(J2678&gt;600,1,0)</f>
        <v/>
      </c>
      <c r="P2678" s="25">
        <f>IF(H2678&gt;0,J2678,"")</f>
        <v/>
      </c>
      <c r="Q2678" s="25">
        <f>TEXT(A2678,"YYYY-MM-DD HH")</f>
        <v/>
      </c>
      <c r="R2678" s="25">
        <f>COUNTIF($Q$2:$Q$5295,Q2678)</f>
        <v/>
      </c>
      <c r="S2678" s="25">
        <f>IF(R2678&lt;=2,"1-2",IF(R2678&lt;=5,"3-5",IF(R2678&lt;=10,"6-10","11+")))</f>
        <v/>
      </c>
    </row>
    <row r="2679">
      <c r="A2679" s="39" t="n">
        <v>46189.10684027777</v>
      </c>
      <c r="B2679" s="25">
        <f>TEXT(A2679,"YYYY-MM")</f>
        <v/>
      </c>
      <c r="C2679" s="25">
        <f>TEXT(A2679,"MMM-YYYY")</f>
        <v/>
      </c>
      <c r="D2679" s="40">
        <f>INT(A2679)-WEEKDAY(A2679,2)+1</f>
        <v/>
      </c>
      <c r="E2679" s="25" t="inlineStr">
        <is>
          <t>csaha</t>
        </is>
      </c>
      <c r="F2679" s="25" t="n">
        <v>124368</v>
      </c>
      <c r="G2679" s="25" t="n">
        <v>4</v>
      </c>
      <c r="H2679" s="25" t="n">
        <v>12</v>
      </c>
      <c r="I2679" s="25" t="inlineStr">
        <is>
          <t>2 minute(s) and 50 second(s)</t>
        </is>
      </c>
      <c r="J2679" s="25">
        <f>IFERROR(VALUE(TRIM(LEFT(I2679,FIND("minute",I2679)-1)))*60,0)+IFERROR(VALUE(SUBSTITUTE(MID(I2679,IFERROR(FIND("and",I2679)+3,1),20),"second(s)","")),0)</f>
        <v/>
      </c>
      <c r="K2679" s="41">
        <f>J2679/60</f>
        <v/>
      </c>
      <c r="L2679" s="41">
        <f>IFERROR(J2679/H2679,"")</f>
        <v/>
      </c>
      <c r="M2679" s="25" t="inlineStr">
        <is>
          <t>2.5.12</t>
        </is>
      </c>
      <c r="N2679" s="25">
        <f>IF(J2679&gt;300,1,0)</f>
        <v/>
      </c>
      <c r="O2679" s="25">
        <f>IF(J2679&gt;600,1,0)</f>
        <v/>
      </c>
      <c r="P2679" s="25">
        <f>IF(H2679&gt;0,J2679,"")</f>
        <v/>
      </c>
      <c r="Q2679" s="25">
        <f>TEXT(A2679,"YYYY-MM-DD HH")</f>
        <v/>
      </c>
      <c r="R2679" s="25">
        <f>COUNTIF($Q$2:$Q$5295,Q2679)</f>
        <v/>
      </c>
      <c r="S2679" s="25">
        <f>IF(R2679&lt;=2,"1-2",IF(R2679&lt;=5,"3-5",IF(R2679&lt;=10,"6-10","11+")))</f>
        <v/>
      </c>
    </row>
    <row r="2680">
      <c r="A2680" s="39" t="n">
        <v>46189.11811342592</v>
      </c>
      <c r="B2680" s="25">
        <f>TEXT(A2680,"YYYY-MM")</f>
        <v/>
      </c>
      <c r="C2680" s="25">
        <f>TEXT(A2680,"MMM-YYYY")</f>
        <v/>
      </c>
      <c r="D2680" s="40">
        <f>INT(A2680)-WEEKDAY(A2680,2)+1</f>
        <v/>
      </c>
      <c r="E2680" s="25" t="inlineStr">
        <is>
          <t>tkarmakar</t>
        </is>
      </c>
      <c r="F2680" s="25" t="n">
        <v>123780</v>
      </c>
      <c r="G2680" s="25" t="n">
        <v>1</v>
      </c>
      <c r="H2680" s="25" t="n">
        <v>5</v>
      </c>
      <c r="I2680" s="25" t="inlineStr">
        <is>
          <t>2 minute(s) and 47 second(s)</t>
        </is>
      </c>
      <c r="J2680" s="25">
        <f>IFERROR(VALUE(TRIM(LEFT(I2680,FIND("minute",I2680)-1)))*60,0)+IFERROR(VALUE(SUBSTITUTE(MID(I2680,IFERROR(FIND("and",I2680)+3,1),20),"second(s)","")),0)</f>
        <v/>
      </c>
      <c r="K2680" s="41">
        <f>J2680/60</f>
        <v/>
      </c>
      <c r="L2680" s="41">
        <f>IFERROR(J2680/H2680,"")</f>
        <v/>
      </c>
      <c r="M2680" s="25" t="inlineStr">
        <is>
          <t>2.5.12</t>
        </is>
      </c>
      <c r="N2680" s="25">
        <f>IF(J2680&gt;300,1,0)</f>
        <v/>
      </c>
      <c r="O2680" s="25">
        <f>IF(J2680&gt;600,1,0)</f>
        <v/>
      </c>
      <c r="P2680" s="25">
        <f>IF(H2680&gt;0,J2680,"")</f>
        <v/>
      </c>
      <c r="Q2680" s="25">
        <f>TEXT(A2680,"YYYY-MM-DD HH")</f>
        <v/>
      </c>
      <c r="R2680" s="25">
        <f>COUNTIF($Q$2:$Q$5295,Q2680)</f>
        <v/>
      </c>
      <c r="S2680" s="25">
        <f>IF(R2680&lt;=2,"1-2",IF(R2680&lt;=5,"3-5",IF(R2680&lt;=10,"6-10","11+")))</f>
        <v/>
      </c>
    </row>
    <row r="2681">
      <c r="A2681" s="39" t="n">
        <v>46189.12895833333</v>
      </c>
      <c r="B2681" s="25">
        <f>TEXT(A2681,"YYYY-MM")</f>
        <v/>
      </c>
      <c r="C2681" s="25">
        <f>TEXT(A2681,"MMM-YYYY")</f>
        <v/>
      </c>
      <c r="D2681" s="40">
        <f>INT(A2681)-WEEKDAY(A2681,2)+1</f>
        <v/>
      </c>
      <c r="E2681" s="25" t="inlineStr">
        <is>
          <t>shassan</t>
        </is>
      </c>
      <c r="F2681" s="25" t="n">
        <v>124307</v>
      </c>
      <c r="G2681" s="25" t="n">
        <v>4</v>
      </c>
      <c r="H2681" s="25" t="n">
        <v>10</v>
      </c>
      <c r="I2681" s="25" t="inlineStr">
        <is>
          <t>2 minute(s) and 44 second(s)</t>
        </is>
      </c>
      <c r="J2681" s="25">
        <f>IFERROR(VALUE(TRIM(LEFT(I2681,FIND("minute",I2681)-1)))*60,0)+IFERROR(VALUE(SUBSTITUTE(MID(I2681,IFERROR(FIND("and",I2681)+3,1),20),"second(s)","")),0)</f>
        <v/>
      </c>
      <c r="K2681" s="41">
        <f>J2681/60</f>
        <v/>
      </c>
      <c r="L2681" s="41">
        <f>IFERROR(J2681/H2681,"")</f>
        <v/>
      </c>
      <c r="M2681" s="25" t="inlineStr">
        <is>
          <t>2.5.12</t>
        </is>
      </c>
      <c r="N2681" s="25">
        <f>IF(J2681&gt;300,1,0)</f>
        <v/>
      </c>
      <c r="O2681" s="25">
        <f>IF(J2681&gt;600,1,0)</f>
        <v/>
      </c>
      <c r="P2681" s="25">
        <f>IF(H2681&gt;0,J2681,"")</f>
        <v/>
      </c>
      <c r="Q2681" s="25">
        <f>TEXT(A2681,"YYYY-MM-DD HH")</f>
        <v/>
      </c>
      <c r="R2681" s="25">
        <f>COUNTIF($Q$2:$Q$5295,Q2681)</f>
        <v/>
      </c>
      <c r="S2681" s="25">
        <f>IF(R2681&lt;=2,"1-2",IF(R2681&lt;=5,"3-5",IF(R2681&lt;=10,"6-10","11+")))</f>
        <v/>
      </c>
    </row>
    <row r="2682">
      <c r="A2682" s="39" t="n">
        <v>46189.1319212963</v>
      </c>
      <c r="B2682" s="25">
        <f>TEXT(A2682,"YYYY-MM")</f>
        <v/>
      </c>
      <c r="C2682" s="25">
        <f>TEXT(A2682,"MMM-YYYY")</f>
        <v/>
      </c>
      <c r="D2682" s="40">
        <f>INT(A2682)-WEEKDAY(A2682,2)+1</f>
        <v/>
      </c>
      <c r="E2682" s="25" t="inlineStr">
        <is>
          <t>psathwika</t>
        </is>
      </c>
      <c r="F2682" s="25" t="n">
        <v>124860</v>
      </c>
      <c r="G2682" s="25" t="n">
        <v>5</v>
      </c>
      <c r="H2682" s="25" t="n">
        <v>27</v>
      </c>
      <c r="I2682" s="25" t="inlineStr">
        <is>
          <t>9 minute(s) and 28 second(s)</t>
        </is>
      </c>
      <c r="J2682" s="25">
        <f>IFERROR(VALUE(TRIM(LEFT(I2682,FIND("minute",I2682)-1)))*60,0)+IFERROR(VALUE(SUBSTITUTE(MID(I2682,IFERROR(FIND("and",I2682)+3,1),20),"second(s)","")),0)</f>
        <v/>
      </c>
      <c r="K2682" s="41">
        <f>J2682/60</f>
        <v/>
      </c>
      <c r="L2682" s="41">
        <f>IFERROR(J2682/H2682,"")</f>
        <v/>
      </c>
      <c r="M2682" s="25" t="inlineStr">
        <is>
          <t>2.5.12</t>
        </is>
      </c>
      <c r="N2682" s="25">
        <f>IF(J2682&gt;300,1,0)</f>
        <v/>
      </c>
      <c r="O2682" s="25">
        <f>IF(J2682&gt;600,1,0)</f>
        <v/>
      </c>
      <c r="P2682" s="25">
        <f>IF(H2682&gt;0,J2682,"")</f>
        <v/>
      </c>
      <c r="Q2682" s="25">
        <f>TEXT(A2682,"YYYY-MM-DD HH")</f>
        <v/>
      </c>
      <c r="R2682" s="25">
        <f>COUNTIF($Q$2:$Q$5295,Q2682)</f>
        <v/>
      </c>
      <c r="S2682" s="25">
        <f>IF(R2682&lt;=2,"1-2",IF(R2682&lt;=5,"3-5",IF(R2682&lt;=10,"6-10","11+")))</f>
        <v/>
      </c>
    </row>
    <row r="2683">
      <c r="A2683" s="39" t="n">
        <v>46189.13707175926</v>
      </c>
      <c r="B2683" s="25">
        <f>TEXT(A2683,"YYYY-MM")</f>
        <v/>
      </c>
      <c r="C2683" s="25">
        <f>TEXT(A2683,"MMM-YYYY")</f>
        <v/>
      </c>
      <c r="D2683" s="40">
        <f>INT(A2683)-WEEKDAY(A2683,2)+1</f>
        <v/>
      </c>
      <c r="E2683" s="25" t="inlineStr">
        <is>
          <t>mgupta</t>
        </is>
      </c>
      <c r="F2683" s="25" t="n">
        <v>124669</v>
      </c>
      <c r="G2683" s="25" t="n">
        <v>4</v>
      </c>
      <c r="H2683" s="25" t="n">
        <v>14</v>
      </c>
      <c r="I2683" s="25" t="inlineStr">
        <is>
          <t>3 minute(s) and 19 second(s)</t>
        </is>
      </c>
      <c r="J2683" s="25">
        <f>IFERROR(VALUE(TRIM(LEFT(I2683,FIND("minute",I2683)-1)))*60,0)+IFERROR(VALUE(SUBSTITUTE(MID(I2683,IFERROR(FIND("and",I2683)+3,1),20),"second(s)","")),0)</f>
        <v/>
      </c>
      <c r="K2683" s="41">
        <f>J2683/60</f>
        <v/>
      </c>
      <c r="L2683" s="41">
        <f>IFERROR(J2683/H2683,"")</f>
        <v/>
      </c>
      <c r="M2683" s="25" t="inlineStr">
        <is>
          <t>2.5.12</t>
        </is>
      </c>
      <c r="N2683" s="25">
        <f>IF(J2683&gt;300,1,0)</f>
        <v/>
      </c>
      <c r="O2683" s="25">
        <f>IF(J2683&gt;600,1,0)</f>
        <v/>
      </c>
      <c r="P2683" s="25">
        <f>IF(H2683&gt;0,J2683,"")</f>
        <v/>
      </c>
      <c r="Q2683" s="25">
        <f>TEXT(A2683,"YYYY-MM-DD HH")</f>
        <v/>
      </c>
      <c r="R2683" s="25">
        <f>COUNTIF($Q$2:$Q$5295,Q2683)</f>
        <v/>
      </c>
      <c r="S2683" s="25">
        <f>IF(R2683&lt;=2,"1-2",IF(R2683&lt;=5,"3-5",IF(R2683&lt;=10,"6-10","11+")))</f>
        <v/>
      </c>
    </row>
    <row r="2684">
      <c r="A2684" s="39" t="n">
        <v>46189.14111111111</v>
      </c>
      <c r="B2684" s="25">
        <f>TEXT(A2684,"YYYY-MM")</f>
        <v/>
      </c>
      <c r="C2684" s="25">
        <f>TEXT(A2684,"MMM-YYYY")</f>
        <v/>
      </c>
      <c r="D2684" s="40">
        <f>INT(A2684)-WEEKDAY(A2684,2)+1</f>
        <v/>
      </c>
      <c r="E2684" s="25" t="inlineStr">
        <is>
          <t>hsindwani</t>
        </is>
      </c>
      <c r="F2684" s="25" t="n">
        <v>123394</v>
      </c>
      <c r="G2684" s="25" t="n">
        <v>2</v>
      </c>
      <c r="H2684" s="25" t="n">
        <v>14</v>
      </c>
      <c r="I2684" s="25" t="inlineStr">
        <is>
          <t>13 minute(s) and 38 second(s)</t>
        </is>
      </c>
      <c r="J2684" s="25">
        <f>IFERROR(VALUE(TRIM(LEFT(I2684,FIND("minute",I2684)-1)))*60,0)+IFERROR(VALUE(SUBSTITUTE(MID(I2684,IFERROR(FIND("and",I2684)+3,1),20),"second(s)","")),0)</f>
        <v/>
      </c>
      <c r="K2684" s="41">
        <f>J2684/60</f>
        <v/>
      </c>
      <c r="L2684" s="41">
        <f>IFERROR(J2684/H2684,"")</f>
        <v/>
      </c>
      <c r="M2684" s="25" t="inlineStr">
        <is>
          <t>2.5.12</t>
        </is>
      </c>
      <c r="N2684" s="25">
        <f>IF(J2684&gt;300,1,0)</f>
        <v/>
      </c>
      <c r="O2684" s="25">
        <f>IF(J2684&gt;600,1,0)</f>
        <v/>
      </c>
      <c r="P2684" s="25">
        <f>IF(H2684&gt;0,J2684,"")</f>
        <v/>
      </c>
      <c r="Q2684" s="25">
        <f>TEXT(A2684,"YYYY-MM-DD HH")</f>
        <v/>
      </c>
      <c r="R2684" s="25">
        <f>COUNTIF($Q$2:$Q$5295,Q2684)</f>
        <v/>
      </c>
      <c r="S2684" s="25">
        <f>IF(R2684&lt;=2,"1-2",IF(R2684&lt;=5,"3-5",IF(R2684&lt;=10,"6-10","11+")))</f>
        <v/>
      </c>
    </row>
    <row r="2685">
      <c r="A2685" s="39" t="n">
        <v>46189.14131944445</v>
      </c>
      <c r="B2685" s="25">
        <f>TEXT(A2685,"YYYY-MM")</f>
        <v/>
      </c>
      <c r="C2685" s="25">
        <f>TEXT(A2685,"MMM-YYYY")</f>
        <v/>
      </c>
      <c r="D2685" s="40">
        <f>INT(A2685)-WEEKDAY(A2685,2)+1</f>
        <v/>
      </c>
      <c r="E2685" s="25" t="inlineStr">
        <is>
          <t>tkarmakar</t>
        </is>
      </c>
      <c r="F2685" s="25" t="n">
        <v>123788</v>
      </c>
      <c r="G2685" s="25" t="n">
        <v>2</v>
      </c>
      <c r="H2685" s="25" t="n">
        <v>10</v>
      </c>
      <c r="I2685" s="25" t="inlineStr">
        <is>
          <t>2 minute(s) and 14 second(s)</t>
        </is>
      </c>
      <c r="J2685" s="25">
        <f>IFERROR(VALUE(TRIM(LEFT(I2685,FIND("minute",I2685)-1)))*60,0)+IFERROR(VALUE(SUBSTITUTE(MID(I2685,IFERROR(FIND("and",I2685)+3,1),20),"second(s)","")),0)</f>
        <v/>
      </c>
      <c r="K2685" s="41">
        <f>J2685/60</f>
        <v/>
      </c>
      <c r="L2685" s="41">
        <f>IFERROR(J2685/H2685,"")</f>
        <v/>
      </c>
      <c r="M2685" s="25" t="inlineStr">
        <is>
          <t>2.5.12</t>
        </is>
      </c>
      <c r="N2685" s="25">
        <f>IF(J2685&gt;300,1,0)</f>
        <v/>
      </c>
      <c r="O2685" s="25">
        <f>IF(J2685&gt;600,1,0)</f>
        <v/>
      </c>
      <c r="P2685" s="25">
        <f>IF(H2685&gt;0,J2685,"")</f>
        <v/>
      </c>
      <c r="Q2685" s="25">
        <f>TEXT(A2685,"YYYY-MM-DD HH")</f>
        <v/>
      </c>
      <c r="R2685" s="25">
        <f>COUNTIF($Q$2:$Q$5295,Q2685)</f>
        <v/>
      </c>
      <c r="S2685" s="25">
        <f>IF(R2685&lt;=2,"1-2",IF(R2685&lt;=5,"3-5",IF(R2685&lt;=10,"6-10","11+")))</f>
        <v/>
      </c>
    </row>
    <row r="2686">
      <c r="A2686" s="39" t="n">
        <v>46189.14715277778</v>
      </c>
      <c r="B2686" s="25">
        <f>TEXT(A2686,"YYYY-MM")</f>
        <v/>
      </c>
      <c r="C2686" s="25">
        <f>TEXT(A2686,"MMM-YYYY")</f>
        <v/>
      </c>
      <c r="D2686" s="40">
        <f>INT(A2686)-WEEKDAY(A2686,2)+1</f>
        <v/>
      </c>
      <c r="E2686" s="25" t="inlineStr">
        <is>
          <t>mbohra</t>
        </is>
      </c>
      <c r="F2686" s="25" t="n">
        <v>125203</v>
      </c>
      <c r="G2686" s="25" t="n">
        <v>3</v>
      </c>
      <c r="H2686" s="25" t="n">
        <v>15</v>
      </c>
      <c r="I2686" s="25" t="inlineStr">
        <is>
          <t>8 minute(s) and 21 second(s)</t>
        </is>
      </c>
      <c r="J2686" s="25">
        <f>IFERROR(VALUE(TRIM(LEFT(I2686,FIND("minute",I2686)-1)))*60,0)+IFERROR(VALUE(SUBSTITUTE(MID(I2686,IFERROR(FIND("and",I2686)+3,1),20),"second(s)","")),0)</f>
        <v/>
      </c>
      <c r="K2686" s="41">
        <f>J2686/60</f>
        <v/>
      </c>
      <c r="L2686" s="41">
        <f>IFERROR(J2686/H2686,"")</f>
        <v/>
      </c>
      <c r="M2686" s="25" t="inlineStr">
        <is>
          <t>2.5.12</t>
        </is>
      </c>
      <c r="N2686" s="25">
        <f>IF(J2686&gt;300,1,0)</f>
        <v/>
      </c>
      <c r="O2686" s="25">
        <f>IF(J2686&gt;600,1,0)</f>
        <v/>
      </c>
      <c r="P2686" s="25">
        <f>IF(H2686&gt;0,J2686,"")</f>
        <v/>
      </c>
      <c r="Q2686" s="25">
        <f>TEXT(A2686,"YYYY-MM-DD HH")</f>
        <v/>
      </c>
      <c r="R2686" s="25">
        <f>COUNTIF($Q$2:$Q$5295,Q2686)</f>
        <v/>
      </c>
      <c r="S2686" s="25">
        <f>IF(R2686&lt;=2,"1-2",IF(R2686&lt;=5,"3-5",IF(R2686&lt;=10,"6-10","11+")))</f>
        <v/>
      </c>
    </row>
    <row r="2687">
      <c r="A2687" s="39" t="n">
        <v>46189.14934027778</v>
      </c>
      <c r="B2687" s="25">
        <f>TEXT(A2687,"YYYY-MM")</f>
        <v/>
      </c>
      <c r="C2687" s="25">
        <f>TEXT(A2687,"MMM-YYYY")</f>
        <v/>
      </c>
      <c r="D2687" s="40">
        <f>INT(A2687)-WEEKDAY(A2687,2)+1</f>
        <v/>
      </c>
      <c r="E2687" s="25" t="inlineStr">
        <is>
          <t>sdey</t>
        </is>
      </c>
      <c r="F2687" s="25" t="n">
        <v>125261</v>
      </c>
      <c r="G2687" s="25" t="n">
        <v>2</v>
      </c>
      <c r="H2687" s="25" t="n">
        <v>10</v>
      </c>
      <c r="I2687" s="25" t="inlineStr">
        <is>
          <t>4 minute(s) and 56 second(s)</t>
        </is>
      </c>
      <c r="J2687" s="25">
        <f>IFERROR(VALUE(TRIM(LEFT(I2687,FIND("minute",I2687)-1)))*60,0)+IFERROR(VALUE(SUBSTITUTE(MID(I2687,IFERROR(FIND("and",I2687)+3,1),20),"second(s)","")),0)</f>
        <v/>
      </c>
      <c r="K2687" s="41">
        <f>J2687/60</f>
        <v/>
      </c>
      <c r="L2687" s="41">
        <f>IFERROR(J2687/H2687,"")</f>
        <v/>
      </c>
      <c r="M2687" s="25" t="inlineStr">
        <is>
          <t>2.5.12</t>
        </is>
      </c>
      <c r="N2687" s="25">
        <f>IF(J2687&gt;300,1,0)</f>
        <v/>
      </c>
      <c r="O2687" s="25">
        <f>IF(J2687&gt;600,1,0)</f>
        <v/>
      </c>
      <c r="P2687" s="25">
        <f>IF(H2687&gt;0,J2687,"")</f>
        <v/>
      </c>
      <c r="Q2687" s="25">
        <f>TEXT(A2687,"YYYY-MM-DD HH")</f>
        <v/>
      </c>
      <c r="R2687" s="25">
        <f>COUNTIF($Q$2:$Q$5295,Q2687)</f>
        <v/>
      </c>
      <c r="S2687" s="25">
        <f>IF(R2687&lt;=2,"1-2",IF(R2687&lt;=5,"3-5",IF(R2687&lt;=10,"6-10","11+")))</f>
        <v/>
      </c>
    </row>
    <row r="2688">
      <c r="A2688" s="39" t="n">
        <v>46189.16652777778</v>
      </c>
      <c r="B2688" s="25">
        <f>TEXT(A2688,"YYYY-MM")</f>
        <v/>
      </c>
      <c r="C2688" s="25">
        <f>TEXT(A2688,"MMM-YYYY")</f>
        <v/>
      </c>
      <c r="D2688" s="40">
        <f>INT(A2688)-WEEKDAY(A2688,2)+1</f>
        <v/>
      </c>
      <c r="E2688" s="25" t="inlineStr">
        <is>
          <t>asahoo</t>
        </is>
      </c>
      <c r="F2688" s="25" t="n">
        <v>123203</v>
      </c>
      <c r="G2688" s="25" t="n">
        <v>1</v>
      </c>
      <c r="H2688" s="25" t="n">
        <v>5</v>
      </c>
      <c r="I2688" s="25" t="inlineStr">
        <is>
          <t>1 minute(s) and 39 second(s)</t>
        </is>
      </c>
      <c r="J2688" s="25">
        <f>IFERROR(VALUE(TRIM(LEFT(I2688,FIND("minute",I2688)-1)))*60,0)+IFERROR(VALUE(SUBSTITUTE(MID(I2688,IFERROR(FIND("and",I2688)+3,1),20),"second(s)","")),0)</f>
        <v/>
      </c>
      <c r="K2688" s="41">
        <f>J2688/60</f>
        <v/>
      </c>
      <c r="L2688" s="41">
        <f>IFERROR(J2688/H2688,"")</f>
        <v/>
      </c>
      <c r="M2688" s="25" t="inlineStr">
        <is>
          <t>2.5.12</t>
        </is>
      </c>
      <c r="N2688" s="25">
        <f>IF(J2688&gt;300,1,0)</f>
        <v/>
      </c>
      <c r="O2688" s="25">
        <f>IF(J2688&gt;600,1,0)</f>
        <v/>
      </c>
      <c r="P2688" s="25">
        <f>IF(H2688&gt;0,J2688,"")</f>
        <v/>
      </c>
      <c r="Q2688" s="25">
        <f>TEXT(A2688,"YYYY-MM-DD HH")</f>
        <v/>
      </c>
      <c r="R2688" s="25">
        <f>COUNTIF($Q$2:$Q$5295,Q2688)</f>
        <v/>
      </c>
      <c r="S2688" s="25">
        <f>IF(R2688&lt;=2,"1-2",IF(R2688&lt;=5,"3-5",IF(R2688&lt;=10,"6-10","11+")))</f>
        <v/>
      </c>
    </row>
    <row r="2689">
      <c r="A2689" s="39" t="n">
        <v>46189.16918981481</v>
      </c>
      <c r="B2689" s="25">
        <f>TEXT(A2689,"YYYY-MM")</f>
        <v/>
      </c>
      <c r="C2689" s="25">
        <f>TEXT(A2689,"MMM-YYYY")</f>
        <v/>
      </c>
      <c r="D2689" s="40">
        <f>INT(A2689)-WEEKDAY(A2689,2)+1</f>
        <v/>
      </c>
      <c r="E2689" s="25" t="inlineStr">
        <is>
          <t>bverma</t>
        </is>
      </c>
      <c r="F2689" s="25" t="n">
        <v>124355</v>
      </c>
      <c r="G2689" s="25" t="n">
        <v>2</v>
      </c>
      <c r="H2689" s="25" t="n">
        <v>10</v>
      </c>
      <c r="I2689" s="25" t="inlineStr">
        <is>
          <t>3 minute(s) and 32 second(s)</t>
        </is>
      </c>
      <c r="J2689" s="25">
        <f>IFERROR(VALUE(TRIM(LEFT(I2689,FIND("minute",I2689)-1)))*60,0)+IFERROR(VALUE(SUBSTITUTE(MID(I2689,IFERROR(FIND("and",I2689)+3,1),20),"second(s)","")),0)</f>
        <v/>
      </c>
      <c r="K2689" s="41">
        <f>J2689/60</f>
        <v/>
      </c>
      <c r="L2689" s="41">
        <f>IFERROR(J2689/H2689,"")</f>
        <v/>
      </c>
      <c r="M2689" s="25" t="inlineStr">
        <is>
          <t>2.5.12</t>
        </is>
      </c>
      <c r="N2689" s="25">
        <f>IF(J2689&gt;300,1,0)</f>
        <v/>
      </c>
      <c r="O2689" s="25">
        <f>IF(J2689&gt;600,1,0)</f>
        <v/>
      </c>
      <c r="P2689" s="25">
        <f>IF(H2689&gt;0,J2689,"")</f>
        <v/>
      </c>
      <c r="Q2689" s="25">
        <f>TEXT(A2689,"YYYY-MM-DD HH")</f>
        <v/>
      </c>
      <c r="R2689" s="25">
        <f>COUNTIF($Q$2:$Q$5295,Q2689)</f>
        <v/>
      </c>
      <c r="S2689" s="25">
        <f>IF(R2689&lt;=2,"1-2",IF(R2689&lt;=5,"3-5",IF(R2689&lt;=10,"6-10","11+")))</f>
        <v/>
      </c>
    </row>
    <row r="2690">
      <c r="A2690" s="39" t="n">
        <v>46189.17207175926</v>
      </c>
      <c r="B2690" s="25">
        <f>TEXT(A2690,"YYYY-MM")</f>
        <v/>
      </c>
      <c r="C2690" s="25">
        <f>TEXT(A2690,"MMM-YYYY")</f>
        <v/>
      </c>
      <c r="D2690" s="40">
        <f>INT(A2690)-WEEKDAY(A2690,2)+1</f>
        <v/>
      </c>
      <c r="E2690" s="25" t="inlineStr">
        <is>
          <t>stiwari</t>
        </is>
      </c>
      <c r="F2690" s="25" t="n">
        <v>125764</v>
      </c>
      <c r="G2690" s="25" t="n">
        <v>3</v>
      </c>
      <c r="H2690" s="25" t="n">
        <v>15</v>
      </c>
      <c r="I2690" s="25" t="inlineStr">
        <is>
          <t>4 minute(s) and 21 second(s)</t>
        </is>
      </c>
      <c r="J2690" s="25">
        <f>IFERROR(VALUE(TRIM(LEFT(I2690,FIND("minute",I2690)-1)))*60,0)+IFERROR(VALUE(SUBSTITUTE(MID(I2690,IFERROR(FIND("and",I2690)+3,1),20),"second(s)","")),0)</f>
        <v/>
      </c>
      <c r="K2690" s="41">
        <f>J2690/60</f>
        <v/>
      </c>
      <c r="L2690" s="41">
        <f>IFERROR(J2690/H2690,"")</f>
        <v/>
      </c>
      <c r="M2690" s="25" t="inlineStr">
        <is>
          <t>2.5.12</t>
        </is>
      </c>
      <c r="N2690" s="25">
        <f>IF(J2690&gt;300,1,0)</f>
        <v/>
      </c>
      <c r="O2690" s="25">
        <f>IF(J2690&gt;600,1,0)</f>
        <v/>
      </c>
      <c r="P2690" s="25">
        <f>IF(H2690&gt;0,J2690,"")</f>
        <v/>
      </c>
      <c r="Q2690" s="25">
        <f>TEXT(A2690,"YYYY-MM-DD HH")</f>
        <v/>
      </c>
      <c r="R2690" s="25">
        <f>COUNTIF($Q$2:$Q$5295,Q2690)</f>
        <v/>
      </c>
      <c r="S2690" s="25">
        <f>IF(R2690&lt;=2,"1-2",IF(R2690&lt;=5,"3-5",IF(R2690&lt;=10,"6-10","11+")))</f>
        <v/>
      </c>
    </row>
    <row r="2691">
      <c r="A2691" s="39" t="n">
        <v>46189.18006944445</v>
      </c>
      <c r="B2691" s="25">
        <f>TEXT(A2691,"YYYY-MM")</f>
        <v/>
      </c>
      <c r="C2691" s="25">
        <f>TEXT(A2691,"MMM-YYYY")</f>
        <v/>
      </c>
      <c r="D2691" s="40">
        <f>INT(A2691)-WEEKDAY(A2691,2)+1</f>
        <v/>
      </c>
      <c r="E2691" s="25" t="inlineStr">
        <is>
          <t>rts</t>
        </is>
      </c>
      <c r="F2691" s="25" t="n">
        <v>125043</v>
      </c>
      <c r="G2691" s="25" t="n">
        <v>1</v>
      </c>
      <c r="H2691" s="25" t="n">
        <v>6</v>
      </c>
      <c r="I2691" s="25" t="inlineStr">
        <is>
          <t>1 minute(s) and 43 second(s)</t>
        </is>
      </c>
      <c r="J2691" s="25">
        <f>IFERROR(VALUE(TRIM(LEFT(I2691,FIND("minute",I2691)-1)))*60,0)+IFERROR(VALUE(SUBSTITUTE(MID(I2691,IFERROR(FIND("and",I2691)+3,1),20),"second(s)","")),0)</f>
        <v/>
      </c>
      <c r="K2691" s="41">
        <f>J2691/60</f>
        <v/>
      </c>
      <c r="L2691" s="41">
        <f>IFERROR(J2691/H2691,"")</f>
        <v/>
      </c>
      <c r="M2691" s="25" t="inlineStr">
        <is>
          <t>2.5.12</t>
        </is>
      </c>
      <c r="N2691" s="25">
        <f>IF(J2691&gt;300,1,0)</f>
        <v/>
      </c>
      <c r="O2691" s="25">
        <f>IF(J2691&gt;600,1,0)</f>
        <v/>
      </c>
      <c r="P2691" s="25">
        <f>IF(H2691&gt;0,J2691,"")</f>
        <v/>
      </c>
      <c r="Q2691" s="25">
        <f>TEXT(A2691,"YYYY-MM-DD HH")</f>
        <v/>
      </c>
      <c r="R2691" s="25">
        <f>COUNTIF($Q$2:$Q$5295,Q2691)</f>
        <v/>
      </c>
      <c r="S2691" s="25">
        <f>IF(R2691&lt;=2,"1-2",IF(R2691&lt;=5,"3-5",IF(R2691&lt;=10,"6-10","11+")))</f>
        <v/>
      </c>
    </row>
    <row r="2692">
      <c r="A2692" s="39" t="n">
        <v>46189.18314814815</v>
      </c>
      <c r="B2692" s="25">
        <f>TEXT(A2692,"YYYY-MM")</f>
        <v/>
      </c>
      <c r="C2692" s="25">
        <f>TEXT(A2692,"MMM-YYYY")</f>
        <v/>
      </c>
      <c r="D2692" s="40">
        <f>INT(A2692)-WEEKDAY(A2692,2)+1</f>
        <v/>
      </c>
      <c r="E2692" s="25" t="inlineStr">
        <is>
          <t>adey</t>
        </is>
      </c>
      <c r="F2692" s="25" t="n">
        <v>124322</v>
      </c>
      <c r="G2692" s="25" t="n">
        <v>2</v>
      </c>
      <c r="H2692" s="25" t="n">
        <v>10</v>
      </c>
      <c r="I2692" s="25" t="inlineStr">
        <is>
          <t>2 minute(s) and 24 second(s)</t>
        </is>
      </c>
      <c r="J2692" s="25">
        <f>IFERROR(VALUE(TRIM(LEFT(I2692,FIND("minute",I2692)-1)))*60,0)+IFERROR(VALUE(SUBSTITUTE(MID(I2692,IFERROR(FIND("and",I2692)+3,1),20),"second(s)","")),0)</f>
        <v/>
      </c>
      <c r="K2692" s="41">
        <f>J2692/60</f>
        <v/>
      </c>
      <c r="L2692" s="41">
        <f>IFERROR(J2692/H2692,"")</f>
        <v/>
      </c>
      <c r="M2692" s="25" t="inlineStr">
        <is>
          <t>2.5.12</t>
        </is>
      </c>
      <c r="N2692" s="25">
        <f>IF(J2692&gt;300,1,0)</f>
        <v/>
      </c>
      <c r="O2692" s="25">
        <f>IF(J2692&gt;600,1,0)</f>
        <v/>
      </c>
      <c r="P2692" s="25">
        <f>IF(H2692&gt;0,J2692,"")</f>
        <v/>
      </c>
      <c r="Q2692" s="25">
        <f>TEXT(A2692,"YYYY-MM-DD HH")</f>
        <v/>
      </c>
      <c r="R2692" s="25">
        <f>COUNTIF($Q$2:$Q$5295,Q2692)</f>
        <v/>
      </c>
      <c r="S2692" s="25">
        <f>IF(R2692&lt;=2,"1-2",IF(R2692&lt;=5,"3-5",IF(R2692&lt;=10,"6-10","11+")))</f>
        <v/>
      </c>
    </row>
    <row r="2693">
      <c r="A2693" s="39" t="n">
        <v>46189.18325231481</v>
      </c>
      <c r="B2693" s="25">
        <f>TEXT(A2693,"YYYY-MM")</f>
        <v/>
      </c>
      <c r="C2693" s="25">
        <f>TEXT(A2693,"MMM-YYYY")</f>
        <v/>
      </c>
      <c r="D2693" s="40">
        <f>INT(A2693)-WEEKDAY(A2693,2)+1</f>
        <v/>
      </c>
      <c r="E2693" s="25" t="inlineStr">
        <is>
          <t>mbohra</t>
        </is>
      </c>
      <c r="F2693" s="25" t="n">
        <v>123956</v>
      </c>
      <c r="G2693" s="25" t="n">
        <v>2</v>
      </c>
      <c r="H2693" s="25" t="n">
        <v>12</v>
      </c>
      <c r="I2693" s="25" t="inlineStr">
        <is>
          <t>5 minute(s) and 7 second(s)</t>
        </is>
      </c>
      <c r="J2693" s="25">
        <f>IFERROR(VALUE(TRIM(LEFT(I2693,FIND("minute",I2693)-1)))*60,0)+IFERROR(VALUE(SUBSTITUTE(MID(I2693,IFERROR(FIND("and",I2693)+3,1),20),"second(s)","")),0)</f>
        <v/>
      </c>
      <c r="K2693" s="41">
        <f>J2693/60</f>
        <v/>
      </c>
      <c r="L2693" s="41">
        <f>IFERROR(J2693/H2693,"")</f>
        <v/>
      </c>
      <c r="M2693" s="25" t="inlineStr">
        <is>
          <t>2.5.12</t>
        </is>
      </c>
      <c r="N2693" s="25">
        <f>IF(J2693&gt;300,1,0)</f>
        <v/>
      </c>
      <c r="O2693" s="25">
        <f>IF(J2693&gt;600,1,0)</f>
        <v/>
      </c>
      <c r="P2693" s="25">
        <f>IF(H2693&gt;0,J2693,"")</f>
        <v/>
      </c>
      <c r="Q2693" s="25">
        <f>TEXT(A2693,"YYYY-MM-DD HH")</f>
        <v/>
      </c>
      <c r="R2693" s="25">
        <f>COUNTIF($Q$2:$Q$5295,Q2693)</f>
        <v/>
      </c>
      <c r="S2693" s="25">
        <f>IF(R2693&lt;=2,"1-2",IF(R2693&lt;=5,"3-5",IF(R2693&lt;=10,"6-10","11+")))</f>
        <v/>
      </c>
    </row>
    <row r="2694">
      <c r="A2694" s="39" t="n">
        <v>46189.19545138889</v>
      </c>
      <c r="B2694" s="25">
        <f>TEXT(A2694,"YYYY-MM")</f>
        <v/>
      </c>
      <c r="C2694" s="25">
        <f>TEXT(A2694,"MMM-YYYY")</f>
        <v/>
      </c>
      <c r="D2694" s="40">
        <f>INT(A2694)-WEEKDAY(A2694,2)+1</f>
        <v/>
      </c>
      <c r="E2694" s="25" t="inlineStr">
        <is>
          <t>aghosh</t>
        </is>
      </c>
      <c r="F2694" s="25" t="n">
        <v>124129</v>
      </c>
      <c r="G2694" s="25" t="n">
        <v>2</v>
      </c>
      <c r="H2694" s="25" t="n">
        <v>12</v>
      </c>
      <c r="I2694" s="25" t="inlineStr">
        <is>
          <t>2 minute(s) and 53 second(s)</t>
        </is>
      </c>
      <c r="J2694" s="25">
        <f>IFERROR(VALUE(TRIM(LEFT(I2694,FIND("minute",I2694)-1)))*60,0)+IFERROR(VALUE(SUBSTITUTE(MID(I2694,IFERROR(FIND("and",I2694)+3,1),20),"second(s)","")),0)</f>
        <v/>
      </c>
      <c r="K2694" s="41">
        <f>J2694/60</f>
        <v/>
      </c>
      <c r="L2694" s="41">
        <f>IFERROR(J2694/H2694,"")</f>
        <v/>
      </c>
      <c r="M2694" s="25" t="inlineStr">
        <is>
          <t>2.5.12</t>
        </is>
      </c>
      <c r="N2694" s="25">
        <f>IF(J2694&gt;300,1,0)</f>
        <v/>
      </c>
      <c r="O2694" s="25">
        <f>IF(J2694&gt;600,1,0)</f>
        <v/>
      </c>
      <c r="P2694" s="25">
        <f>IF(H2694&gt;0,J2694,"")</f>
        <v/>
      </c>
      <c r="Q2694" s="25">
        <f>TEXT(A2694,"YYYY-MM-DD HH")</f>
        <v/>
      </c>
      <c r="R2694" s="25">
        <f>COUNTIF($Q$2:$Q$5295,Q2694)</f>
        <v/>
      </c>
      <c r="S2694" s="25">
        <f>IF(R2694&lt;=2,"1-2",IF(R2694&lt;=5,"3-5",IF(R2694&lt;=10,"6-10","11+")))</f>
        <v/>
      </c>
    </row>
    <row r="2695">
      <c r="A2695" s="39" t="n">
        <v>46189.22890046296</v>
      </c>
      <c r="B2695" s="25">
        <f>TEXT(A2695,"YYYY-MM")</f>
        <v/>
      </c>
      <c r="C2695" s="25">
        <f>TEXT(A2695,"MMM-YYYY")</f>
        <v/>
      </c>
      <c r="D2695" s="40">
        <f>INT(A2695)-WEEKDAY(A2695,2)+1</f>
        <v/>
      </c>
      <c r="E2695" s="25" t="inlineStr">
        <is>
          <t>pmehndiratta</t>
        </is>
      </c>
      <c r="F2695" s="25" t="n">
        <v>124992</v>
      </c>
      <c r="G2695" s="25" t="n">
        <v>2</v>
      </c>
      <c r="H2695" s="25" t="n">
        <v>12</v>
      </c>
      <c r="I2695" s="25" t="inlineStr">
        <is>
          <t>2 minute(s) and 4 second(s)</t>
        </is>
      </c>
      <c r="J2695" s="25">
        <f>IFERROR(VALUE(TRIM(LEFT(I2695,FIND("minute",I2695)-1)))*60,0)+IFERROR(VALUE(SUBSTITUTE(MID(I2695,IFERROR(FIND("and",I2695)+3,1),20),"second(s)","")),0)</f>
        <v/>
      </c>
      <c r="K2695" s="41">
        <f>J2695/60</f>
        <v/>
      </c>
      <c r="L2695" s="41">
        <f>IFERROR(J2695/H2695,"")</f>
        <v/>
      </c>
      <c r="M2695" s="25" t="inlineStr">
        <is>
          <t>2.5.12</t>
        </is>
      </c>
      <c r="N2695" s="25">
        <f>IF(J2695&gt;300,1,0)</f>
        <v/>
      </c>
      <c r="O2695" s="25">
        <f>IF(J2695&gt;600,1,0)</f>
        <v/>
      </c>
      <c r="P2695" s="25">
        <f>IF(H2695&gt;0,J2695,"")</f>
        <v/>
      </c>
      <c r="Q2695" s="25">
        <f>TEXT(A2695,"YYYY-MM-DD HH")</f>
        <v/>
      </c>
      <c r="R2695" s="25">
        <f>COUNTIF($Q$2:$Q$5295,Q2695)</f>
        <v/>
      </c>
      <c r="S2695" s="25">
        <f>IF(R2695&lt;=2,"1-2",IF(R2695&lt;=5,"3-5",IF(R2695&lt;=10,"6-10","11+")))</f>
        <v/>
      </c>
    </row>
    <row r="2696">
      <c r="A2696" s="39" t="n">
        <v>46189.23025462963</v>
      </c>
      <c r="B2696" s="25">
        <f>TEXT(A2696,"YYYY-MM")</f>
        <v/>
      </c>
      <c r="C2696" s="25">
        <f>TEXT(A2696,"MMM-YYYY")</f>
        <v/>
      </c>
      <c r="D2696" s="40">
        <f>INT(A2696)-WEEKDAY(A2696,2)+1</f>
        <v/>
      </c>
      <c r="E2696" s="25" t="inlineStr">
        <is>
          <t>psathwika</t>
        </is>
      </c>
      <c r="F2696" s="25" t="n">
        <v>124858</v>
      </c>
      <c r="G2696" s="25" t="n">
        <v>2</v>
      </c>
      <c r="H2696" s="25" t="n">
        <v>8</v>
      </c>
      <c r="I2696" s="25" t="inlineStr">
        <is>
          <t>3 minute(s) and 14 second(s)</t>
        </is>
      </c>
      <c r="J2696" s="25">
        <f>IFERROR(VALUE(TRIM(LEFT(I2696,FIND("minute",I2696)-1)))*60,0)+IFERROR(VALUE(SUBSTITUTE(MID(I2696,IFERROR(FIND("and",I2696)+3,1),20),"second(s)","")),0)</f>
        <v/>
      </c>
      <c r="K2696" s="41">
        <f>J2696/60</f>
        <v/>
      </c>
      <c r="L2696" s="41">
        <f>IFERROR(J2696/H2696,"")</f>
        <v/>
      </c>
      <c r="M2696" s="25" t="inlineStr">
        <is>
          <t>2.5.12</t>
        </is>
      </c>
      <c r="N2696" s="25">
        <f>IF(J2696&gt;300,1,0)</f>
        <v/>
      </c>
      <c r="O2696" s="25">
        <f>IF(J2696&gt;600,1,0)</f>
        <v/>
      </c>
      <c r="P2696" s="25">
        <f>IF(H2696&gt;0,J2696,"")</f>
        <v/>
      </c>
      <c r="Q2696" s="25">
        <f>TEXT(A2696,"YYYY-MM-DD HH")</f>
        <v/>
      </c>
      <c r="R2696" s="25">
        <f>COUNTIF($Q$2:$Q$5295,Q2696)</f>
        <v/>
      </c>
      <c r="S2696" s="25">
        <f>IF(R2696&lt;=2,"1-2",IF(R2696&lt;=5,"3-5",IF(R2696&lt;=10,"6-10","11+")))</f>
        <v/>
      </c>
    </row>
    <row r="2697">
      <c r="A2697" s="39" t="n">
        <v>46189.24373842592</v>
      </c>
      <c r="B2697" s="25">
        <f>TEXT(A2697,"YYYY-MM")</f>
        <v/>
      </c>
      <c r="C2697" s="25">
        <f>TEXT(A2697,"MMM-YYYY")</f>
        <v/>
      </c>
      <c r="D2697" s="40">
        <f>INT(A2697)-WEEKDAY(A2697,2)+1</f>
        <v/>
      </c>
      <c r="E2697" s="25" t="inlineStr">
        <is>
          <t>bverma</t>
        </is>
      </c>
      <c r="F2697" s="25" t="n">
        <v>124356</v>
      </c>
      <c r="G2697" s="25" t="n">
        <v>2</v>
      </c>
      <c r="H2697" s="25" t="n">
        <v>10</v>
      </c>
      <c r="I2697" s="25" t="inlineStr">
        <is>
          <t>3 minute(s) and 16 second(s)</t>
        </is>
      </c>
      <c r="J2697" s="25">
        <f>IFERROR(VALUE(TRIM(LEFT(I2697,FIND("minute",I2697)-1)))*60,0)+IFERROR(VALUE(SUBSTITUTE(MID(I2697,IFERROR(FIND("and",I2697)+3,1),20),"second(s)","")),0)</f>
        <v/>
      </c>
      <c r="K2697" s="41">
        <f>J2697/60</f>
        <v/>
      </c>
      <c r="L2697" s="41">
        <f>IFERROR(J2697/H2697,"")</f>
        <v/>
      </c>
      <c r="M2697" s="25" t="inlineStr">
        <is>
          <t>2.5.12</t>
        </is>
      </c>
      <c r="N2697" s="25">
        <f>IF(J2697&gt;300,1,0)</f>
        <v/>
      </c>
      <c r="O2697" s="25">
        <f>IF(J2697&gt;600,1,0)</f>
        <v/>
      </c>
      <c r="P2697" s="25">
        <f>IF(H2697&gt;0,J2697,"")</f>
        <v/>
      </c>
      <c r="Q2697" s="25">
        <f>TEXT(A2697,"YYYY-MM-DD HH")</f>
        <v/>
      </c>
      <c r="R2697" s="25">
        <f>COUNTIF($Q$2:$Q$5295,Q2697)</f>
        <v/>
      </c>
      <c r="S2697" s="25">
        <f>IF(R2697&lt;=2,"1-2",IF(R2697&lt;=5,"3-5",IF(R2697&lt;=10,"6-10","11+")))</f>
        <v/>
      </c>
    </row>
    <row r="2698">
      <c r="A2698" s="39" t="n">
        <v>46189.2496875</v>
      </c>
      <c r="B2698" s="25">
        <f>TEXT(A2698,"YYYY-MM")</f>
        <v/>
      </c>
      <c r="C2698" s="25">
        <f>TEXT(A2698,"MMM-YYYY")</f>
        <v/>
      </c>
      <c r="D2698" s="40">
        <f>INT(A2698)-WEEKDAY(A2698,2)+1</f>
        <v/>
      </c>
      <c r="E2698" s="25" t="inlineStr">
        <is>
          <t>tkarmakar</t>
        </is>
      </c>
      <c r="F2698" s="25" t="n">
        <v>123791</v>
      </c>
      <c r="G2698" s="25" t="n">
        <v>2</v>
      </c>
      <c r="H2698" s="25" t="n">
        <v>8</v>
      </c>
      <c r="I2698" s="25" t="inlineStr">
        <is>
          <t>1 minute(s) and 27 second(s)</t>
        </is>
      </c>
      <c r="J2698" s="25">
        <f>IFERROR(VALUE(TRIM(LEFT(I2698,FIND("minute",I2698)-1)))*60,0)+IFERROR(VALUE(SUBSTITUTE(MID(I2698,IFERROR(FIND("and",I2698)+3,1),20),"second(s)","")),0)</f>
        <v/>
      </c>
      <c r="K2698" s="41">
        <f>J2698/60</f>
        <v/>
      </c>
      <c r="L2698" s="41">
        <f>IFERROR(J2698/H2698,"")</f>
        <v/>
      </c>
      <c r="M2698" s="25" t="inlineStr">
        <is>
          <t>2.5.12</t>
        </is>
      </c>
      <c r="N2698" s="25">
        <f>IF(J2698&gt;300,1,0)</f>
        <v/>
      </c>
      <c r="O2698" s="25">
        <f>IF(J2698&gt;600,1,0)</f>
        <v/>
      </c>
      <c r="P2698" s="25">
        <f>IF(H2698&gt;0,J2698,"")</f>
        <v/>
      </c>
      <c r="Q2698" s="25">
        <f>TEXT(A2698,"YYYY-MM-DD HH")</f>
        <v/>
      </c>
      <c r="R2698" s="25">
        <f>COUNTIF($Q$2:$Q$5295,Q2698)</f>
        <v/>
      </c>
      <c r="S2698" s="25">
        <f>IF(R2698&lt;=2,"1-2",IF(R2698&lt;=5,"3-5",IF(R2698&lt;=10,"6-10","11+")))</f>
        <v/>
      </c>
    </row>
    <row r="2699">
      <c r="A2699" s="39" t="n">
        <v>46189.26159722222</v>
      </c>
      <c r="B2699" s="25">
        <f>TEXT(A2699,"YYYY-MM")</f>
        <v/>
      </c>
      <c r="C2699" s="25">
        <f>TEXT(A2699,"MMM-YYYY")</f>
        <v/>
      </c>
      <c r="D2699" s="40">
        <f>INT(A2699)-WEEKDAY(A2699,2)+1</f>
        <v/>
      </c>
      <c r="E2699" s="25" t="inlineStr">
        <is>
          <t>mgupta</t>
        </is>
      </c>
      <c r="F2699" s="25" t="n">
        <v>124629</v>
      </c>
      <c r="G2699" s="25" t="n">
        <v>1</v>
      </c>
      <c r="H2699" s="25" t="n">
        <v>7</v>
      </c>
      <c r="I2699" s="25" t="inlineStr">
        <is>
          <t>1 minute(s) and 43 second(s)</t>
        </is>
      </c>
      <c r="J2699" s="25">
        <f>IFERROR(VALUE(TRIM(LEFT(I2699,FIND("minute",I2699)-1)))*60,0)+IFERROR(VALUE(SUBSTITUTE(MID(I2699,IFERROR(FIND("and",I2699)+3,1),20),"second(s)","")),0)</f>
        <v/>
      </c>
      <c r="K2699" s="41">
        <f>J2699/60</f>
        <v/>
      </c>
      <c r="L2699" s="41">
        <f>IFERROR(J2699/H2699,"")</f>
        <v/>
      </c>
      <c r="M2699" s="25" t="inlineStr">
        <is>
          <t>2.5.12</t>
        </is>
      </c>
      <c r="N2699" s="25">
        <f>IF(J2699&gt;300,1,0)</f>
        <v/>
      </c>
      <c r="O2699" s="25">
        <f>IF(J2699&gt;600,1,0)</f>
        <v/>
      </c>
      <c r="P2699" s="25">
        <f>IF(H2699&gt;0,J2699,"")</f>
        <v/>
      </c>
      <c r="Q2699" s="25">
        <f>TEXT(A2699,"YYYY-MM-DD HH")</f>
        <v/>
      </c>
      <c r="R2699" s="25">
        <f>COUNTIF($Q$2:$Q$5295,Q2699)</f>
        <v/>
      </c>
      <c r="S2699" s="25">
        <f>IF(R2699&lt;=2,"1-2",IF(R2699&lt;=5,"3-5",IF(R2699&lt;=10,"6-10","11+")))</f>
        <v/>
      </c>
    </row>
    <row r="2700">
      <c r="A2700" s="39" t="n">
        <v>46189.27219907408</v>
      </c>
      <c r="B2700" s="25">
        <f>TEXT(A2700,"YYYY-MM")</f>
        <v/>
      </c>
      <c r="C2700" s="25">
        <f>TEXT(A2700,"MMM-YYYY")</f>
        <v/>
      </c>
      <c r="D2700" s="40">
        <f>INT(A2700)-WEEKDAY(A2700,2)+1</f>
        <v/>
      </c>
      <c r="E2700" s="25" t="inlineStr">
        <is>
          <t>adey</t>
        </is>
      </c>
      <c r="F2700" s="25" t="n">
        <v>124321</v>
      </c>
      <c r="G2700" s="25" t="n">
        <v>2</v>
      </c>
      <c r="H2700" s="25" t="n">
        <v>10</v>
      </c>
      <c r="I2700" s="25" t="inlineStr">
        <is>
          <t>2 minute(s) and 21 second(s)</t>
        </is>
      </c>
      <c r="J2700" s="25">
        <f>IFERROR(VALUE(TRIM(LEFT(I2700,FIND("minute",I2700)-1)))*60,0)+IFERROR(VALUE(SUBSTITUTE(MID(I2700,IFERROR(FIND("and",I2700)+3,1),20),"second(s)","")),0)</f>
        <v/>
      </c>
      <c r="K2700" s="41">
        <f>J2700/60</f>
        <v/>
      </c>
      <c r="L2700" s="41">
        <f>IFERROR(J2700/H2700,"")</f>
        <v/>
      </c>
      <c r="M2700" s="25" t="inlineStr">
        <is>
          <t>2.5.12</t>
        </is>
      </c>
      <c r="N2700" s="25">
        <f>IF(J2700&gt;300,1,0)</f>
        <v/>
      </c>
      <c r="O2700" s="25">
        <f>IF(J2700&gt;600,1,0)</f>
        <v/>
      </c>
      <c r="P2700" s="25">
        <f>IF(H2700&gt;0,J2700,"")</f>
        <v/>
      </c>
      <c r="Q2700" s="25">
        <f>TEXT(A2700,"YYYY-MM-DD HH")</f>
        <v/>
      </c>
      <c r="R2700" s="25">
        <f>COUNTIF($Q$2:$Q$5295,Q2700)</f>
        <v/>
      </c>
      <c r="S2700" s="25">
        <f>IF(R2700&lt;=2,"1-2",IF(R2700&lt;=5,"3-5",IF(R2700&lt;=10,"6-10","11+")))</f>
        <v/>
      </c>
    </row>
    <row r="2701">
      <c r="A2701" s="39" t="n">
        <v>46189.2734837963</v>
      </c>
      <c r="B2701" s="25">
        <f>TEXT(A2701,"YYYY-MM")</f>
        <v/>
      </c>
      <c r="C2701" s="25">
        <f>TEXT(A2701,"MMM-YYYY")</f>
        <v/>
      </c>
      <c r="D2701" s="40">
        <f>INT(A2701)-WEEKDAY(A2701,2)+1</f>
        <v/>
      </c>
      <c r="E2701" s="25" t="inlineStr">
        <is>
          <t>sswati</t>
        </is>
      </c>
      <c r="F2701" s="25" t="n">
        <v>125936</v>
      </c>
      <c r="G2701" s="25" t="n">
        <v>2</v>
      </c>
      <c r="H2701" s="25" t="n">
        <v>6</v>
      </c>
      <c r="I2701" s="25" t="inlineStr">
        <is>
          <t>3 minute(s) and 9 second(s)</t>
        </is>
      </c>
      <c r="J2701" s="25">
        <f>IFERROR(VALUE(TRIM(LEFT(I2701,FIND("minute",I2701)-1)))*60,0)+IFERROR(VALUE(SUBSTITUTE(MID(I2701,IFERROR(FIND("and",I2701)+3,1),20),"second(s)","")),0)</f>
        <v/>
      </c>
      <c r="K2701" s="41">
        <f>J2701/60</f>
        <v/>
      </c>
      <c r="L2701" s="41">
        <f>IFERROR(J2701/H2701,"")</f>
        <v/>
      </c>
      <c r="M2701" s="25" t="inlineStr">
        <is>
          <t>2.5.12</t>
        </is>
      </c>
      <c r="N2701" s="25">
        <f>IF(J2701&gt;300,1,0)</f>
        <v/>
      </c>
      <c r="O2701" s="25">
        <f>IF(J2701&gt;600,1,0)</f>
        <v/>
      </c>
      <c r="P2701" s="25">
        <f>IF(H2701&gt;0,J2701,"")</f>
        <v/>
      </c>
      <c r="Q2701" s="25">
        <f>TEXT(A2701,"YYYY-MM-DD HH")</f>
        <v/>
      </c>
      <c r="R2701" s="25">
        <f>COUNTIF($Q$2:$Q$5295,Q2701)</f>
        <v/>
      </c>
      <c r="S2701" s="25">
        <f>IF(R2701&lt;=2,"1-2",IF(R2701&lt;=5,"3-5",IF(R2701&lt;=10,"6-10","11+")))</f>
        <v/>
      </c>
    </row>
    <row r="2702">
      <c r="A2702" s="39" t="n">
        <v>46189.27509259259</v>
      </c>
      <c r="B2702" s="25">
        <f>TEXT(A2702,"YYYY-MM")</f>
        <v/>
      </c>
      <c r="C2702" s="25">
        <f>TEXT(A2702,"MMM-YYYY")</f>
        <v/>
      </c>
      <c r="D2702" s="40">
        <f>INT(A2702)-WEEKDAY(A2702,2)+1</f>
        <v/>
      </c>
      <c r="E2702" s="25" t="inlineStr">
        <is>
          <t>ssrinivasan</t>
        </is>
      </c>
      <c r="F2702" s="25" t="n">
        <v>125465</v>
      </c>
      <c r="G2702" s="25" t="n">
        <v>2</v>
      </c>
      <c r="H2702" s="25" t="n">
        <v>8</v>
      </c>
      <c r="I2702" s="25" t="inlineStr">
        <is>
          <t>2 minute(s) and 1 second(s)</t>
        </is>
      </c>
      <c r="J2702" s="25">
        <f>IFERROR(VALUE(TRIM(LEFT(I2702,FIND("minute",I2702)-1)))*60,0)+IFERROR(VALUE(SUBSTITUTE(MID(I2702,IFERROR(FIND("and",I2702)+3,1),20),"second(s)","")),0)</f>
        <v/>
      </c>
      <c r="K2702" s="41">
        <f>J2702/60</f>
        <v/>
      </c>
      <c r="L2702" s="41">
        <f>IFERROR(J2702/H2702,"")</f>
        <v/>
      </c>
      <c r="M2702" s="25" t="inlineStr">
        <is>
          <t>2.5.12</t>
        </is>
      </c>
      <c r="N2702" s="25">
        <f>IF(J2702&gt;300,1,0)</f>
        <v/>
      </c>
      <c r="O2702" s="25">
        <f>IF(J2702&gt;600,1,0)</f>
        <v/>
      </c>
      <c r="P2702" s="25">
        <f>IF(H2702&gt;0,J2702,"")</f>
        <v/>
      </c>
      <c r="Q2702" s="25">
        <f>TEXT(A2702,"YYYY-MM-DD HH")</f>
        <v/>
      </c>
      <c r="R2702" s="25">
        <f>COUNTIF($Q$2:$Q$5295,Q2702)</f>
        <v/>
      </c>
      <c r="S2702" s="25">
        <f>IF(R2702&lt;=2,"1-2",IF(R2702&lt;=5,"3-5",IF(R2702&lt;=10,"6-10","11+")))</f>
        <v/>
      </c>
    </row>
    <row r="2703">
      <c r="A2703" s="39" t="n">
        <v>46189.2768287037</v>
      </c>
      <c r="B2703" s="25">
        <f>TEXT(A2703,"YYYY-MM")</f>
        <v/>
      </c>
      <c r="C2703" s="25">
        <f>TEXT(A2703,"MMM-YYYY")</f>
        <v/>
      </c>
      <c r="D2703" s="40">
        <f>INT(A2703)-WEEKDAY(A2703,2)+1</f>
        <v/>
      </c>
      <c r="E2703" s="25" t="inlineStr">
        <is>
          <t>asahoo</t>
        </is>
      </c>
      <c r="F2703" s="25" t="n">
        <v>124211</v>
      </c>
      <c r="G2703" s="25" t="n">
        <v>4</v>
      </c>
      <c r="H2703" s="25" t="n">
        <v>20</v>
      </c>
      <c r="I2703" s="25" t="inlineStr">
        <is>
          <t>6 minute(s) and 32 second(s)</t>
        </is>
      </c>
      <c r="J2703" s="25">
        <f>IFERROR(VALUE(TRIM(LEFT(I2703,FIND("minute",I2703)-1)))*60,0)+IFERROR(VALUE(SUBSTITUTE(MID(I2703,IFERROR(FIND("and",I2703)+3,1),20),"second(s)","")),0)</f>
        <v/>
      </c>
      <c r="K2703" s="41">
        <f>J2703/60</f>
        <v/>
      </c>
      <c r="L2703" s="41">
        <f>IFERROR(J2703/H2703,"")</f>
        <v/>
      </c>
      <c r="M2703" s="25" t="inlineStr">
        <is>
          <t>2.5.12</t>
        </is>
      </c>
      <c r="N2703" s="25">
        <f>IF(J2703&gt;300,1,0)</f>
        <v/>
      </c>
      <c r="O2703" s="25">
        <f>IF(J2703&gt;600,1,0)</f>
        <v/>
      </c>
      <c r="P2703" s="25">
        <f>IF(H2703&gt;0,J2703,"")</f>
        <v/>
      </c>
      <c r="Q2703" s="25">
        <f>TEXT(A2703,"YYYY-MM-DD HH")</f>
        <v/>
      </c>
      <c r="R2703" s="25">
        <f>COUNTIF($Q$2:$Q$5295,Q2703)</f>
        <v/>
      </c>
      <c r="S2703" s="25">
        <f>IF(R2703&lt;=2,"1-2",IF(R2703&lt;=5,"3-5",IF(R2703&lt;=10,"6-10","11+")))</f>
        <v/>
      </c>
    </row>
    <row r="2704">
      <c r="A2704" s="39" t="n">
        <v>46189.27734953703</v>
      </c>
      <c r="B2704" s="25">
        <f>TEXT(A2704,"YYYY-MM")</f>
        <v/>
      </c>
      <c r="C2704" s="25">
        <f>TEXT(A2704,"MMM-YYYY")</f>
        <v/>
      </c>
      <c r="D2704" s="40">
        <f>INT(A2704)-WEEKDAY(A2704,2)+1</f>
        <v/>
      </c>
      <c r="E2704" s="25" t="inlineStr">
        <is>
          <t>shassan</t>
        </is>
      </c>
      <c r="F2704" s="25" t="n">
        <v>124288</v>
      </c>
      <c r="G2704" s="25" t="n">
        <v>2</v>
      </c>
      <c r="H2704" s="25" t="n">
        <v>6</v>
      </c>
      <c r="I2704" s="25" t="inlineStr">
        <is>
          <t>1 minute(s) and 48 second(s)</t>
        </is>
      </c>
      <c r="J2704" s="25">
        <f>IFERROR(VALUE(TRIM(LEFT(I2704,FIND("minute",I2704)-1)))*60,0)+IFERROR(VALUE(SUBSTITUTE(MID(I2704,IFERROR(FIND("and",I2704)+3,1),20),"second(s)","")),0)</f>
        <v/>
      </c>
      <c r="K2704" s="41">
        <f>J2704/60</f>
        <v/>
      </c>
      <c r="L2704" s="41">
        <f>IFERROR(J2704/H2704,"")</f>
        <v/>
      </c>
      <c r="M2704" s="25" t="inlineStr">
        <is>
          <t>2.5.12</t>
        </is>
      </c>
      <c r="N2704" s="25">
        <f>IF(J2704&gt;300,1,0)</f>
        <v/>
      </c>
      <c r="O2704" s="25">
        <f>IF(J2704&gt;600,1,0)</f>
        <v/>
      </c>
      <c r="P2704" s="25">
        <f>IF(H2704&gt;0,J2704,"")</f>
        <v/>
      </c>
      <c r="Q2704" s="25">
        <f>TEXT(A2704,"YYYY-MM-DD HH")</f>
        <v/>
      </c>
      <c r="R2704" s="25">
        <f>COUNTIF($Q$2:$Q$5295,Q2704)</f>
        <v/>
      </c>
      <c r="S2704" s="25">
        <f>IF(R2704&lt;=2,"1-2",IF(R2704&lt;=5,"3-5",IF(R2704&lt;=10,"6-10","11+")))</f>
        <v/>
      </c>
    </row>
    <row r="2705">
      <c r="A2705" s="39" t="n">
        <v>46189.28232638889</v>
      </c>
      <c r="B2705" s="25">
        <f>TEXT(A2705,"YYYY-MM")</f>
        <v/>
      </c>
      <c r="C2705" s="25">
        <f>TEXT(A2705,"MMM-YYYY")</f>
        <v/>
      </c>
      <c r="D2705" s="40">
        <f>INT(A2705)-WEEKDAY(A2705,2)+1</f>
        <v/>
      </c>
      <c r="E2705" s="25" t="inlineStr">
        <is>
          <t>pgautam</t>
        </is>
      </c>
      <c r="F2705" s="25" t="n">
        <v>125096</v>
      </c>
      <c r="G2705" s="25" t="n">
        <v>7</v>
      </c>
      <c r="H2705" s="25" t="n">
        <v>33</v>
      </c>
      <c r="I2705" s="25" t="inlineStr">
        <is>
          <t>7 minute(s) and 55 second(s)</t>
        </is>
      </c>
      <c r="J2705" s="25">
        <f>IFERROR(VALUE(TRIM(LEFT(I2705,FIND("minute",I2705)-1)))*60,0)+IFERROR(VALUE(SUBSTITUTE(MID(I2705,IFERROR(FIND("and",I2705)+3,1),20),"second(s)","")),0)</f>
        <v/>
      </c>
      <c r="K2705" s="41">
        <f>J2705/60</f>
        <v/>
      </c>
      <c r="L2705" s="41">
        <f>IFERROR(J2705/H2705,"")</f>
        <v/>
      </c>
      <c r="M2705" s="25" t="inlineStr">
        <is>
          <t>2.5.12</t>
        </is>
      </c>
      <c r="N2705" s="25">
        <f>IF(J2705&gt;300,1,0)</f>
        <v/>
      </c>
      <c r="O2705" s="25">
        <f>IF(J2705&gt;600,1,0)</f>
        <v/>
      </c>
      <c r="P2705" s="25">
        <f>IF(H2705&gt;0,J2705,"")</f>
        <v/>
      </c>
      <c r="Q2705" s="25">
        <f>TEXT(A2705,"YYYY-MM-DD HH")</f>
        <v/>
      </c>
      <c r="R2705" s="25">
        <f>COUNTIF($Q$2:$Q$5295,Q2705)</f>
        <v/>
      </c>
      <c r="S2705" s="25">
        <f>IF(R2705&lt;=2,"1-2",IF(R2705&lt;=5,"3-5",IF(R2705&lt;=10,"6-10","11+")))</f>
        <v/>
      </c>
    </row>
    <row r="2706">
      <c r="A2706" s="39" t="n">
        <v>46189.28866898148</v>
      </c>
      <c r="B2706" s="25">
        <f>TEXT(A2706,"YYYY-MM")</f>
        <v/>
      </c>
      <c r="C2706" s="25">
        <f>TEXT(A2706,"MMM-YYYY")</f>
        <v/>
      </c>
      <c r="D2706" s="40">
        <f>INT(A2706)-WEEKDAY(A2706,2)+1</f>
        <v/>
      </c>
      <c r="E2706" s="25" t="inlineStr">
        <is>
          <t>aghosh</t>
        </is>
      </c>
      <c r="F2706" s="25" t="n">
        <v>124114</v>
      </c>
      <c r="G2706" s="25" t="n">
        <v>4</v>
      </c>
      <c r="H2706" s="25" t="n">
        <v>18</v>
      </c>
      <c r="I2706" s="25" t="inlineStr">
        <is>
          <t>5 minute(s) and 52 second(s)</t>
        </is>
      </c>
      <c r="J2706" s="25">
        <f>IFERROR(VALUE(TRIM(LEFT(I2706,FIND("minute",I2706)-1)))*60,0)+IFERROR(VALUE(SUBSTITUTE(MID(I2706,IFERROR(FIND("and",I2706)+3,1),20),"second(s)","")),0)</f>
        <v/>
      </c>
      <c r="K2706" s="41">
        <f>J2706/60</f>
        <v/>
      </c>
      <c r="L2706" s="41">
        <f>IFERROR(J2706/H2706,"")</f>
        <v/>
      </c>
      <c r="M2706" s="25" t="inlineStr">
        <is>
          <t>2.5.12</t>
        </is>
      </c>
      <c r="N2706" s="25">
        <f>IF(J2706&gt;300,1,0)</f>
        <v/>
      </c>
      <c r="O2706" s="25">
        <f>IF(J2706&gt;600,1,0)</f>
        <v/>
      </c>
      <c r="P2706" s="25">
        <f>IF(H2706&gt;0,J2706,"")</f>
        <v/>
      </c>
      <c r="Q2706" s="25">
        <f>TEXT(A2706,"YYYY-MM-DD HH")</f>
        <v/>
      </c>
      <c r="R2706" s="25">
        <f>COUNTIF($Q$2:$Q$5295,Q2706)</f>
        <v/>
      </c>
      <c r="S2706" s="25">
        <f>IF(R2706&lt;=2,"1-2",IF(R2706&lt;=5,"3-5",IF(R2706&lt;=10,"6-10","11+")))</f>
        <v/>
      </c>
    </row>
    <row r="2707">
      <c r="A2707" s="39" t="n">
        <v>46189.2918287037</v>
      </c>
      <c r="B2707" s="25">
        <f>TEXT(A2707,"YYYY-MM")</f>
        <v/>
      </c>
      <c r="C2707" s="25">
        <f>TEXT(A2707,"MMM-YYYY")</f>
        <v/>
      </c>
      <c r="D2707" s="40">
        <f>INT(A2707)-WEEKDAY(A2707,2)+1</f>
        <v/>
      </c>
      <c r="E2707" s="25" t="inlineStr">
        <is>
          <t>sdey</t>
        </is>
      </c>
      <c r="F2707" s="25" t="n">
        <v>125267</v>
      </c>
      <c r="G2707" s="25" t="n">
        <v>2</v>
      </c>
      <c r="H2707" s="25" t="n">
        <v>8</v>
      </c>
      <c r="I2707" s="25" t="inlineStr">
        <is>
          <t>5 minute(s) and 10 second(s)</t>
        </is>
      </c>
      <c r="J2707" s="25">
        <f>IFERROR(VALUE(TRIM(LEFT(I2707,FIND("minute",I2707)-1)))*60,0)+IFERROR(VALUE(SUBSTITUTE(MID(I2707,IFERROR(FIND("and",I2707)+3,1),20),"second(s)","")),0)</f>
        <v/>
      </c>
      <c r="K2707" s="41">
        <f>J2707/60</f>
        <v/>
      </c>
      <c r="L2707" s="41">
        <f>IFERROR(J2707/H2707,"")</f>
        <v/>
      </c>
      <c r="M2707" s="25" t="inlineStr">
        <is>
          <t>2.5.12</t>
        </is>
      </c>
      <c r="N2707" s="25">
        <f>IF(J2707&gt;300,1,0)</f>
        <v/>
      </c>
      <c r="O2707" s="25">
        <f>IF(J2707&gt;600,1,0)</f>
        <v/>
      </c>
      <c r="P2707" s="25">
        <f>IF(H2707&gt;0,J2707,"")</f>
        <v/>
      </c>
      <c r="Q2707" s="25">
        <f>TEXT(A2707,"YYYY-MM-DD HH")</f>
        <v/>
      </c>
      <c r="R2707" s="25">
        <f>COUNTIF($Q$2:$Q$5295,Q2707)</f>
        <v/>
      </c>
      <c r="S2707" s="25">
        <f>IF(R2707&lt;=2,"1-2",IF(R2707&lt;=5,"3-5",IF(R2707&lt;=10,"6-10","11+")))</f>
        <v/>
      </c>
    </row>
    <row r="2708">
      <c r="A2708" s="39" t="n">
        <v>46189.29359953704</v>
      </c>
      <c r="B2708" s="25">
        <f>TEXT(A2708,"YYYY-MM")</f>
        <v/>
      </c>
      <c r="C2708" s="25">
        <f>TEXT(A2708,"MMM-YYYY")</f>
        <v/>
      </c>
      <c r="D2708" s="40">
        <f>INT(A2708)-WEEKDAY(A2708,2)+1</f>
        <v/>
      </c>
      <c r="E2708" s="25" t="inlineStr">
        <is>
          <t>emishra</t>
        </is>
      </c>
      <c r="F2708" s="25" t="n">
        <v>123370</v>
      </c>
      <c r="G2708" s="25" t="n">
        <v>4</v>
      </c>
      <c r="H2708" s="25" t="n">
        <v>20</v>
      </c>
      <c r="I2708" s="25" t="inlineStr">
        <is>
          <t>3 minute(s) and 48 second(s)</t>
        </is>
      </c>
      <c r="J2708" s="25">
        <f>IFERROR(VALUE(TRIM(LEFT(I2708,FIND("minute",I2708)-1)))*60,0)+IFERROR(VALUE(SUBSTITUTE(MID(I2708,IFERROR(FIND("and",I2708)+3,1),20),"second(s)","")),0)</f>
        <v/>
      </c>
      <c r="K2708" s="41">
        <f>J2708/60</f>
        <v/>
      </c>
      <c r="L2708" s="41">
        <f>IFERROR(J2708/H2708,"")</f>
        <v/>
      </c>
      <c r="M2708" s="25" t="inlineStr">
        <is>
          <t>2.5.12</t>
        </is>
      </c>
      <c r="N2708" s="25">
        <f>IF(J2708&gt;300,1,0)</f>
        <v/>
      </c>
      <c r="O2708" s="25">
        <f>IF(J2708&gt;600,1,0)</f>
        <v/>
      </c>
      <c r="P2708" s="25">
        <f>IF(H2708&gt;0,J2708,"")</f>
        <v/>
      </c>
      <c r="Q2708" s="25">
        <f>TEXT(A2708,"YYYY-MM-DD HH")</f>
        <v/>
      </c>
      <c r="R2708" s="25">
        <f>COUNTIF($Q$2:$Q$5295,Q2708)</f>
        <v/>
      </c>
      <c r="S2708" s="25">
        <f>IF(R2708&lt;=2,"1-2",IF(R2708&lt;=5,"3-5",IF(R2708&lt;=10,"6-10","11+")))</f>
        <v/>
      </c>
    </row>
    <row r="2709">
      <c r="A2709" s="39" t="n">
        <v>46189.29561342593</v>
      </c>
      <c r="B2709" s="25">
        <f>TEXT(A2709,"YYYY-MM")</f>
        <v/>
      </c>
      <c r="C2709" s="25">
        <f>TEXT(A2709,"MMM-YYYY")</f>
        <v/>
      </c>
      <c r="D2709" s="40">
        <f>INT(A2709)-WEEKDAY(A2709,2)+1</f>
        <v/>
      </c>
      <c r="E2709" s="25" t="inlineStr">
        <is>
          <t>mbohra</t>
        </is>
      </c>
      <c r="F2709" s="25" t="n">
        <v>123966</v>
      </c>
      <c r="G2709" s="25" t="n">
        <v>4</v>
      </c>
      <c r="H2709" s="25" t="n">
        <v>22</v>
      </c>
      <c r="I2709" s="25" t="inlineStr">
        <is>
          <t>8 minute(s) and 20 second(s)</t>
        </is>
      </c>
      <c r="J2709" s="25">
        <f>IFERROR(VALUE(TRIM(LEFT(I2709,FIND("minute",I2709)-1)))*60,0)+IFERROR(VALUE(SUBSTITUTE(MID(I2709,IFERROR(FIND("and",I2709)+3,1),20),"second(s)","")),0)</f>
        <v/>
      </c>
      <c r="K2709" s="41">
        <f>J2709/60</f>
        <v/>
      </c>
      <c r="L2709" s="41">
        <f>IFERROR(J2709/H2709,"")</f>
        <v/>
      </c>
      <c r="M2709" s="25" t="inlineStr">
        <is>
          <t>2.5.12</t>
        </is>
      </c>
      <c r="N2709" s="25">
        <f>IF(J2709&gt;300,1,0)</f>
        <v/>
      </c>
      <c r="O2709" s="25">
        <f>IF(J2709&gt;600,1,0)</f>
        <v/>
      </c>
      <c r="P2709" s="25">
        <f>IF(H2709&gt;0,J2709,"")</f>
        <v/>
      </c>
      <c r="Q2709" s="25">
        <f>TEXT(A2709,"YYYY-MM-DD HH")</f>
        <v/>
      </c>
      <c r="R2709" s="25">
        <f>COUNTIF($Q$2:$Q$5295,Q2709)</f>
        <v/>
      </c>
      <c r="S2709" s="25">
        <f>IF(R2709&lt;=2,"1-2",IF(R2709&lt;=5,"3-5",IF(R2709&lt;=10,"6-10","11+")))</f>
        <v/>
      </c>
    </row>
    <row r="2710">
      <c r="A2710" s="39" t="n">
        <v>46189.29878472222</v>
      </c>
      <c r="B2710" s="25">
        <f>TEXT(A2710,"YYYY-MM")</f>
        <v/>
      </c>
      <c r="C2710" s="25">
        <f>TEXT(A2710,"MMM-YYYY")</f>
        <v/>
      </c>
      <c r="D2710" s="40">
        <f>INT(A2710)-WEEKDAY(A2710,2)+1</f>
        <v/>
      </c>
      <c r="E2710" s="25" t="inlineStr">
        <is>
          <t>ssarkar</t>
        </is>
      </c>
      <c r="F2710" s="25" t="n">
        <v>125246</v>
      </c>
      <c r="G2710" s="25" t="n">
        <v>1</v>
      </c>
      <c r="H2710" s="25" t="n">
        <v>5</v>
      </c>
      <c r="I2710" s="25" t="inlineStr">
        <is>
          <t>2 minute(s) and 31 second(s)</t>
        </is>
      </c>
      <c r="J2710" s="25">
        <f>IFERROR(VALUE(TRIM(LEFT(I2710,FIND("minute",I2710)-1)))*60,0)+IFERROR(VALUE(SUBSTITUTE(MID(I2710,IFERROR(FIND("and",I2710)+3,1),20),"second(s)","")),0)</f>
        <v/>
      </c>
      <c r="K2710" s="41">
        <f>J2710/60</f>
        <v/>
      </c>
      <c r="L2710" s="41">
        <f>IFERROR(J2710/H2710,"")</f>
        <v/>
      </c>
      <c r="M2710" s="25" t="inlineStr">
        <is>
          <t>2.5.12</t>
        </is>
      </c>
      <c r="N2710" s="25">
        <f>IF(J2710&gt;300,1,0)</f>
        <v/>
      </c>
      <c r="O2710" s="25">
        <f>IF(J2710&gt;600,1,0)</f>
        <v/>
      </c>
      <c r="P2710" s="25">
        <f>IF(H2710&gt;0,J2710,"")</f>
        <v/>
      </c>
      <c r="Q2710" s="25">
        <f>TEXT(A2710,"YYYY-MM-DD HH")</f>
        <v/>
      </c>
      <c r="R2710" s="25">
        <f>COUNTIF($Q$2:$Q$5295,Q2710)</f>
        <v/>
      </c>
      <c r="S2710" s="25">
        <f>IF(R2710&lt;=2,"1-2",IF(R2710&lt;=5,"3-5",IF(R2710&lt;=10,"6-10","11+")))</f>
        <v/>
      </c>
    </row>
    <row r="2711">
      <c r="A2711" s="39" t="n">
        <v>46189.30604166666</v>
      </c>
      <c r="B2711" s="25">
        <f>TEXT(A2711,"YYYY-MM")</f>
        <v/>
      </c>
      <c r="C2711" s="25">
        <f>TEXT(A2711,"MMM-YYYY")</f>
        <v/>
      </c>
      <c r="D2711" s="40">
        <f>INT(A2711)-WEEKDAY(A2711,2)+1</f>
        <v/>
      </c>
      <c r="E2711" s="25" t="inlineStr">
        <is>
          <t>psathwika</t>
        </is>
      </c>
      <c r="F2711" s="25" t="n">
        <v>124853</v>
      </c>
      <c r="G2711" s="25" t="n">
        <v>4</v>
      </c>
      <c r="H2711" s="25" t="n">
        <v>16</v>
      </c>
      <c r="I2711" s="25" t="inlineStr">
        <is>
          <t>5 minute(s) and 56 second(s)</t>
        </is>
      </c>
      <c r="J2711" s="25">
        <f>IFERROR(VALUE(TRIM(LEFT(I2711,FIND("minute",I2711)-1)))*60,0)+IFERROR(VALUE(SUBSTITUTE(MID(I2711,IFERROR(FIND("and",I2711)+3,1),20),"second(s)","")),0)</f>
        <v/>
      </c>
      <c r="K2711" s="41">
        <f>J2711/60</f>
        <v/>
      </c>
      <c r="L2711" s="41">
        <f>IFERROR(J2711/H2711,"")</f>
        <v/>
      </c>
      <c r="M2711" s="25" t="inlineStr">
        <is>
          <t>2.5.12</t>
        </is>
      </c>
      <c r="N2711" s="25">
        <f>IF(J2711&gt;300,1,0)</f>
        <v/>
      </c>
      <c r="O2711" s="25">
        <f>IF(J2711&gt;600,1,0)</f>
        <v/>
      </c>
      <c r="P2711" s="25">
        <f>IF(H2711&gt;0,J2711,"")</f>
        <v/>
      </c>
      <c r="Q2711" s="25">
        <f>TEXT(A2711,"YYYY-MM-DD HH")</f>
        <v/>
      </c>
      <c r="R2711" s="25">
        <f>COUNTIF($Q$2:$Q$5295,Q2711)</f>
        <v/>
      </c>
      <c r="S2711" s="25">
        <f>IF(R2711&lt;=2,"1-2",IF(R2711&lt;=5,"3-5",IF(R2711&lt;=10,"6-10","11+")))</f>
        <v/>
      </c>
    </row>
    <row r="2712">
      <c r="A2712" s="39" t="n">
        <v>46189.31394675926</v>
      </c>
      <c r="B2712" s="25">
        <f>TEXT(A2712,"YYYY-MM")</f>
        <v/>
      </c>
      <c r="C2712" s="25">
        <f>TEXT(A2712,"MMM-YYYY")</f>
        <v/>
      </c>
      <c r="D2712" s="40">
        <f>INT(A2712)-WEEKDAY(A2712,2)+1</f>
        <v/>
      </c>
      <c r="E2712" s="25" t="inlineStr">
        <is>
          <t>emishra</t>
        </is>
      </c>
      <c r="F2712" s="25" t="n">
        <v>123359</v>
      </c>
      <c r="G2712" s="25" t="n">
        <v>2</v>
      </c>
      <c r="H2712" s="25" t="n">
        <v>10</v>
      </c>
      <c r="I2712" s="25" t="inlineStr">
        <is>
          <t>3 minute(s) and 53 second(s)</t>
        </is>
      </c>
      <c r="J2712" s="25">
        <f>IFERROR(VALUE(TRIM(LEFT(I2712,FIND("minute",I2712)-1)))*60,0)+IFERROR(VALUE(SUBSTITUTE(MID(I2712,IFERROR(FIND("and",I2712)+3,1),20),"second(s)","")),0)</f>
        <v/>
      </c>
      <c r="K2712" s="41">
        <f>J2712/60</f>
        <v/>
      </c>
      <c r="L2712" s="41">
        <f>IFERROR(J2712/H2712,"")</f>
        <v/>
      </c>
      <c r="M2712" s="25" t="inlineStr">
        <is>
          <t>2.5.12</t>
        </is>
      </c>
      <c r="N2712" s="25">
        <f>IF(J2712&gt;300,1,0)</f>
        <v/>
      </c>
      <c r="O2712" s="25">
        <f>IF(J2712&gt;600,1,0)</f>
        <v/>
      </c>
      <c r="P2712" s="25">
        <f>IF(H2712&gt;0,J2712,"")</f>
        <v/>
      </c>
      <c r="Q2712" s="25">
        <f>TEXT(A2712,"YYYY-MM-DD HH")</f>
        <v/>
      </c>
      <c r="R2712" s="25">
        <f>COUNTIF($Q$2:$Q$5295,Q2712)</f>
        <v/>
      </c>
      <c r="S2712" s="25">
        <f>IF(R2712&lt;=2,"1-2",IF(R2712&lt;=5,"3-5",IF(R2712&lt;=10,"6-10","11+")))</f>
        <v/>
      </c>
    </row>
    <row r="2713">
      <c r="A2713" s="39" t="n">
        <v>46189.32908564815</v>
      </c>
      <c r="B2713" s="25">
        <f>TEXT(A2713,"YYYY-MM")</f>
        <v/>
      </c>
      <c r="C2713" s="25">
        <f>TEXT(A2713,"MMM-YYYY")</f>
        <v/>
      </c>
      <c r="D2713" s="40">
        <f>INT(A2713)-WEEKDAY(A2713,2)+1</f>
        <v/>
      </c>
      <c r="E2713" s="25" t="inlineStr">
        <is>
          <t>ns</t>
        </is>
      </c>
      <c r="F2713" s="25" t="n">
        <v>124781</v>
      </c>
      <c r="G2713" s="25" t="n">
        <v>2</v>
      </c>
      <c r="H2713" s="25" t="n">
        <v>8</v>
      </c>
      <c r="I2713" s="25" t="inlineStr">
        <is>
          <t>2 minute(s) and 8 second(s)</t>
        </is>
      </c>
      <c r="J2713" s="25">
        <f>IFERROR(VALUE(TRIM(LEFT(I2713,FIND("minute",I2713)-1)))*60,0)+IFERROR(VALUE(SUBSTITUTE(MID(I2713,IFERROR(FIND("and",I2713)+3,1),20),"second(s)","")),0)</f>
        <v/>
      </c>
      <c r="K2713" s="41">
        <f>J2713/60</f>
        <v/>
      </c>
      <c r="L2713" s="41">
        <f>IFERROR(J2713/H2713,"")</f>
        <v/>
      </c>
      <c r="M2713" s="25" t="inlineStr">
        <is>
          <t>2.5.12</t>
        </is>
      </c>
      <c r="N2713" s="25">
        <f>IF(J2713&gt;300,1,0)</f>
        <v/>
      </c>
      <c r="O2713" s="25">
        <f>IF(J2713&gt;600,1,0)</f>
        <v/>
      </c>
      <c r="P2713" s="25">
        <f>IF(H2713&gt;0,J2713,"")</f>
        <v/>
      </c>
      <c r="Q2713" s="25">
        <f>TEXT(A2713,"YYYY-MM-DD HH")</f>
        <v/>
      </c>
      <c r="R2713" s="25">
        <f>COUNTIF($Q$2:$Q$5295,Q2713)</f>
        <v/>
      </c>
      <c r="S2713" s="25">
        <f>IF(R2713&lt;=2,"1-2",IF(R2713&lt;=5,"3-5",IF(R2713&lt;=10,"6-10","11+")))</f>
        <v/>
      </c>
    </row>
    <row r="2714">
      <c r="A2714" s="39" t="n">
        <v>46189.33148148148</v>
      </c>
      <c r="B2714" s="25">
        <f>TEXT(A2714,"YYYY-MM")</f>
        <v/>
      </c>
      <c r="C2714" s="25">
        <f>TEXT(A2714,"MMM-YYYY")</f>
        <v/>
      </c>
      <c r="D2714" s="40">
        <f>INT(A2714)-WEEKDAY(A2714,2)+1</f>
        <v/>
      </c>
      <c r="E2714" s="25" t="inlineStr">
        <is>
          <t>aghosh</t>
        </is>
      </c>
      <c r="F2714" s="25" t="n">
        <v>124113</v>
      </c>
      <c r="G2714" s="25" t="n">
        <v>4</v>
      </c>
      <c r="H2714" s="25" t="n">
        <v>10</v>
      </c>
      <c r="I2714" s="25" t="inlineStr">
        <is>
          <t>2 minute(s) and 23 second(s)</t>
        </is>
      </c>
      <c r="J2714" s="25">
        <f>IFERROR(VALUE(TRIM(LEFT(I2714,FIND("minute",I2714)-1)))*60,0)+IFERROR(VALUE(SUBSTITUTE(MID(I2714,IFERROR(FIND("and",I2714)+3,1),20),"second(s)","")),0)</f>
        <v/>
      </c>
      <c r="K2714" s="41">
        <f>J2714/60</f>
        <v/>
      </c>
      <c r="L2714" s="41">
        <f>IFERROR(J2714/H2714,"")</f>
        <v/>
      </c>
      <c r="M2714" s="25" t="inlineStr">
        <is>
          <t>2.5.12</t>
        </is>
      </c>
      <c r="N2714" s="25">
        <f>IF(J2714&gt;300,1,0)</f>
        <v/>
      </c>
      <c r="O2714" s="25">
        <f>IF(J2714&gt;600,1,0)</f>
        <v/>
      </c>
      <c r="P2714" s="25">
        <f>IF(H2714&gt;0,J2714,"")</f>
        <v/>
      </c>
      <c r="Q2714" s="25">
        <f>TEXT(A2714,"YYYY-MM-DD HH")</f>
        <v/>
      </c>
      <c r="R2714" s="25">
        <f>COUNTIF($Q$2:$Q$5295,Q2714)</f>
        <v/>
      </c>
      <c r="S2714" s="25">
        <f>IF(R2714&lt;=2,"1-2",IF(R2714&lt;=5,"3-5",IF(R2714&lt;=10,"6-10","11+")))</f>
        <v/>
      </c>
    </row>
    <row r="2715">
      <c r="A2715" s="39" t="n">
        <v>46189.33395833334</v>
      </c>
      <c r="B2715" s="25">
        <f>TEXT(A2715,"YYYY-MM")</f>
        <v/>
      </c>
      <c r="C2715" s="25">
        <f>TEXT(A2715,"MMM-YYYY")</f>
        <v/>
      </c>
      <c r="D2715" s="40">
        <f>INT(A2715)-WEEKDAY(A2715,2)+1</f>
        <v/>
      </c>
      <c r="E2715" s="25" t="inlineStr">
        <is>
          <t>csaha</t>
        </is>
      </c>
      <c r="F2715" s="25" t="n">
        <v>124373</v>
      </c>
      <c r="G2715" s="25" t="n">
        <v>3</v>
      </c>
      <c r="H2715" s="25" t="n">
        <v>11</v>
      </c>
      <c r="I2715" s="25" t="inlineStr">
        <is>
          <t>2 minute(s) and 45 second(s)</t>
        </is>
      </c>
      <c r="J2715" s="25">
        <f>IFERROR(VALUE(TRIM(LEFT(I2715,FIND("minute",I2715)-1)))*60,0)+IFERROR(VALUE(SUBSTITUTE(MID(I2715,IFERROR(FIND("and",I2715)+3,1),20),"second(s)","")),0)</f>
        <v/>
      </c>
      <c r="K2715" s="41">
        <f>J2715/60</f>
        <v/>
      </c>
      <c r="L2715" s="41">
        <f>IFERROR(J2715/H2715,"")</f>
        <v/>
      </c>
      <c r="M2715" s="25" t="inlineStr">
        <is>
          <t>2.5.12</t>
        </is>
      </c>
      <c r="N2715" s="25">
        <f>IF(J2715&gt;300,1,0)</f>
        <v/>
      </c>
      <c r="O2715" s="25">
        <f>IF(J2715&gt;600,1,0)</f>
        <v/>
      </c>
      <c r="P2715" s="25">
        <f>IF(H2715&gt;0,J2715,"")</f>
        <v/>
      </c>
      <c r="Q2715" s="25">
        <f>TEXT(A2715,"YYYY-MM-DD HH")</f>
        <v/>
      </c>
      <c r="R2715" s="25">
        <f>COUNTIF($Q$2:$Q$5295,Q2715)</f>
        <v/>
      </c>
      <c r="S2715" s="25">
        <f>IF(R2715&lt;=2,"1-2",IF(R2715&lt;=5,"3-5",IF(R2715&lt;=10,"6-10","11+")))</f>
        <v/>
      </c>
    </row>
    <row r="2716">
      <c r="A2716" s="39" t="n">
        <v>46189.3394675926</v>
      </c>
      <c r="B2716" s="25">
        <f>TEXT(A2716,"YYYY-MM")</f>
        <v/>
      </c>
      <c r="C2716" s="25">
        <f>TEXT(A2716,"MMM-YYYY")</f>
        <v/>
      </c>
      <c r="D2716" s="40">
        <f>INT(A2716)-WEEKDAY(A2716,2)+1</f>
        <v/>
      </c>
      <c r="E2716" s="25" t="inlineStr">
        <is>
          <t>emishra</t>
        </is>
      </c>
      <c r="F2716" s="25" t="n">
        <v>123124</v>
      </c>
      <c r="G2716" s="25" t="n">
        <v>1</v>
      </c>
      <c r="H2716" s="25" t="n">
        <v>7</v>
      </c>
      <c r="I2716" s="25" t="inlineStr">
        <is>
          <t>1 minute(s) and 16 second(s)</t>
        </is>
      </c>
      <c r="J2716" s="25">
        <f>IFERROR(VALUE(TRIM(LEFT(I2716,FIND("minute",I2716)-1)))*60,0)+IFERROR(VALUE(SUBSTITUTE(MID(I2716,IFERROR(FIND("and",I2716)+3,1),20),"second(s)","")),0)</f>
        <v/>
      </c>
      <c r="K2716" s="41">
        <f>J2716/60</f>
        <v/>
      </c>
      <c r="L2716" s="41">
        <f>IFERROR(J2716/H2716,"")</f>
        <v/>
      </c>
      <c r="M2716" s="25" t="inlineStr">
        <is>
          <t>2.5.12</t>
        </is>
      </c>
      <c r="N2716" s="25">
        <f>IF(J2716&gt;300,1,0)</f>
        <v/>
      </c>
      <c r="O2716" s="25">
        <f>IF(J2716&gt;600,1,0)</f>
        <v/>
      </c>
      <c r="P2716" s="25">
        <f>IF(H2716&gt;0,J2716,"")</f>
        <v/>
      </c>
      <c r="Q2716" s="25">
        <f>TEXT(A2716,"YYYY-MM-DD HH")</f>
        <v/>
      </c>
      <c r="R2716" s="25">
        <f>COUNTIF($Q$2:$Q$5295,Q2716)</f>
        <v/>
      </c>
      <c r="S2716" s="25">
        <f>IF(R2716&lt;=2,"1-2",IF(R2716&lt;=5,"3-5",IF(R2716&lt;=10,"6-10","11+")))</f>
        <v/>
      </c>
    </row>
    <row r="2717">
      <c r="A2717" s="39" t="n">
        <v>46189.34567129629</v>
      </c>
      <c r="B2717" s="25">
        <f>TEXT(A2717,"YYYY-MM")</f>
        <v/>
      </c>
      <c r="C2717" s="25">
        <f>TEXT(A2717,"MMM-YYYY")</f>
        <v/>
      </c>
      <c r="D2717" s="40">
        <f>INT(A2717)-WEEKDAY(A2717,2)+1</f>
        <v/>
      </c>
      <c r="E2717" s="25" t="inlineStr">
        <is>
          <t>asahoo</t>
        </is>
      </c>
      <c r="F2717" s="25" t="n">
        <v>121964</v>
      </c>
      <c r="G2717" s="25" t="n">
        <v>2</v>
      </c>
      <c r="H2717" s="25" t="n">
        <v>10</v>
      </c>
      <c r="I2717" s="25" t="inlineStr">
        <is>
          <t>3 minute(s) and 38 second(s)</t>
        </is>
      </c>
      <c r="J2717" s="25">
        <f>IFERROR(VALUE(TRIM(LEFT(I2717,FIND("minute",I2717)-1)))*60,0)+IFERROR(VALUE(SUBSTITUTE(MID(I2717,IFERROR(FIND("and",I2717)+3,1),20),"second(s)","")),0)</f>
        <v/>
      </c>
      <c r="K2717" s="41">
        <f>J2717/60</f>
        <v/>
      </c>
      <c r="L2717" s="41">
        <f>IFERROR(J2717/H2717,"")</f>
        <v/>
      </c>
      <c r="M2717" s="25" t="inlineStr">
        <is>
          <t>2.5.12</t>
        </is>
      </c>
      <c r="N2717" s="25">
        <f>IF(J2717&gt;300,1,0)</f>
        <v/>
      </c>
      <c r="O2717" s="25">
        <f>IF(J2717&gt;600,1,0)</f>
        <v/>
      </c>
      <c r="P2717" s="25">
        <f>IF(H2717&gt;0,J2717,"")</f>
        <v/>
      </c>
      <c r="Q2717" s="25">
        <f>TEXT(A2717,"YYYY-MM-DD HH")</f>
        <v/>
      </c>
      <c r="R2717" s="25">
        <f>COUNTIF($Q$2:$Q$5295,Q2717)</f>
        <v/>
      </c>
      <c r="S2717" s="25">
        <f>IF(R2717&lt;=2,"1-2",IF(R2717&lt;=5,"3-5",IF(R2717&lt;=10,"6-10","11+")))</f>
        <v/>
      </c>
    </row>
    <row r="2718">
      <c r="A2718" s="39" t="n">
        <v>46189.35505787037</v>
      </c>
      <c r="B2718" s="25">
        <f>TEXT(A2718,"YYYY-MM")</f>
        <v/>
      </c>
      <c r="C2718" s="25">
        <f>TEXT(A2718,"MMM-YYYY")</f>
        <v/>
      </c>
      <c r="D2718" s="40">
        <f>INT(A2718)-WEEKDAY(A2718,2)+1</f>
        <v/>
      </c>
      <c r="E2718" s="25" t="inlineStr">
        <is>
          <t>ssarkar</t>
        </is>
      </c>
      <c r="F2718" s="25" t="n">
        <v>125244</v>
      </c>
      <c r="G2718" s="25" t="n">
        <v>3</v>
      </c>
      <c r="H2718" s="25" t="n">
        <v>11</v>
      </c>
      <c r="I2718" s="25" t="inlineStr">
        <is>
          <t>3 minute(s) and 59 second(s)</t>
        </is>
      </c>
      <c r="J2718" s="25">
        <f>IFERROR(VALUE(TRIM(LEFT(I2718,FIND("minute",I2718)-1)))*60,0)+IFERROR(VALUE(SUBSTITUTE(MID(I2718,IFERROR(FIND("and",I2718)+3,1),20),"second(s)","")),0)</f>
        <v/>
      </c>
      <c r="K2718" s="41">
        <f>J2718/60</f>
        <v/>
      </c>
      <c r="L2718" s="41">
        <f>IFERROR(J2718/H2718,"")</f>
        <v/>
      </c>
      <c r="M2718" s="25" t="inlineStr">
        <is>
          <t>2.5.12</t>
        </is>
      </c>
      <c r="N2718" s="25">
        <f>IF(J2718&gt;300,1,0)</f>
        <v/>
      </c>
      <c r="O2718" s="25">
        <f>IF(J2718&gt;600,1,0)</f>
        <v/>
      </c>
      <c r="P2718" s="25">
        <f>IF(H2718&gt;0,J2718,"")</f>
        <v/>
      </c>
      <c r="Q2718" s="25">
        <f>TEXT(A2718,"YYYY-MM-DD HH")</f>
        <v/>
      </c>
      <c r="R2718" s="25">
        <f>COUNTIF($Q$2:$Q$5295,Q2718)</f>
        <v/>
      </c>
      <c r="S2718" s="25">
        <f>IF(R2718&lt;=2,"1-2",IF(R2718&lt;=5,"3-5",IF(R2718&lt;=10,"6-10","11+")))</f>
        <v/>
      </c>
    </row>
    <row r="2719">
      <c r="A2719" s="39" t="n">
        <v>46189.36091435186</v>
      </c>
      <c r="B2719" s="25">
        <f>TEXT(A2719,"YYYY-MM")</f>
        <v/>
      </c>
      <c r="C2719" s="25">
        <f>TEXT(A2719,"MMM-YYYY")</f>
        <v/>
      </c>
      <c r="D2719" s="40">
        <f>INT(A2719)-WEEKDAY(A2719,2)+1</f>
        <v/>
      </c>
      <c r="E2719" s="25" t="inlineStr">
        <is>
          <t>tkarmakar</t>
        </is>
      </c>
      <c r="F2719" s="25" t="n">
        <v>123798</v>
      </c>
      <c r="G2719" s="25" t="n">
        <v>2</v>
      </c>
      <c r="H2719" s="25" t="n">
        <v>12</v>
      </c>
      <c r="I2719" s="25" t="inlineStr">
        <is>
          <t>3 minute(s) and 22 second(s)</t>
        </is>
      </c>
      <c r="J2719" s="25">
        <f>IFERROR(VALUE(TRIM(LEFT(I2719,FIND("minute",I2719)-1)))*60,0)+IFERROR(VALUE(SUBSTITUTE(MID(I2719,IFERROR(FIND("and",I2719)+3,1),20),"second(s)","")),0)</f>
        <v/>
      </c>
      <c r="K2719" s="41">
        <f>J2719/60</f>
        <v/>
      </c>
      <c r="L2719" s="41">
        <f>IFERROR(J2719/H2719,"")</f>
        <v/>
      </c>
      <c r="M2719" s="25" t="inlineStr">
        <is>
          <t>2.5.12</t>
        </is>
      </c>
      <c r="N2719" s="25">
        <f>IF(J2719&gt;300,1,0)</f>
        <v/>
      </c>
      <c r="O2719" s="25">
        <f>IF(J2719&gt;600,1,0)</f>
        <v/>
      </c>
      <c r="P2719" s="25">
        <f>IF(H2719&gt;0,J2719,"")</f>
        <v/>
      </c>
      <c r="Q2719" s="25">
        <f>TEXT(A2719,"YYYY-MM-DD HH")</f>
        <v/>
      </c>
      <c r="R2719" s="25">
        <f>COUNTIF($Q$2:$Q$5295,Q2719)</f>
        <v/>
      </c>
      <c r="S2719" s="25">
        <f>IF(R2719&lt;=2,"1-2",IF(R2719&lt;=5,"3-5",IF(R2719&lt;=10,"6-10","11+")))</f>
        <v/>
      </c>
    </row>
    <row r="2720">
      <c r="A2720" s="39" t="n">
        <v>46189.36480324074</v>
      </c>
      <c r="B2720" s="25">
        <f>TEXT(A2720,"YYYY-MM")</f>
        <v/>
      </c>
      <c r="C2720" s="25">
        <f>TEXT(A2720,"MMM-YYYY")</f>
        <v/>
      </c>
      <c r="D2720" s="40">
        <f>INT(A2720)-WEEKDAY(A2720,2)+1</f>
        <v/>
      </c>
      <c r="E2720" s="25" t="inlineStr">
        <is>
          <t>ns</t>
        </is>
      </c>
      <c r="F2720" s="25" t="n">
        <v>124780</v>
      </c>
      <c r="G2720" s="25" t="n">
        <v>2</v>
      </c>
      <c r="H2720" s="25" t="n">
        <v>8</v>
      </c>
      <c r="I2720" s="25" t="inlineStr">
        <is>
          <t>3 minute(s) and 42 second(s)</t>
        </is>
      </c>
      <c r="J2720" s="25">
        <f>IFERROR(VALUE(TRIM(LEFT(I2720,FIND("minute",I2720)-1)))*60,0)+IFERROR(VALUE(SUBSTITUTE(MID(I2720,IFERROR(FIND("and",I2720)+3,1),20),"second(s)","")),0)</f>
        <v/>
      </c>
      <c r="K2720" s="41">
        <f>J2720/60</f>
        <v/>
      </c>
      <c r="L2720" s="41">
        <f>IFERROR(J2720/H2720,"")</f>
        <v/>
      </c>
      <c r="M2720" s="25" t="inlineStr">
        <is>
          <t>2.5.12</t>
        </is>
      </c>
      <c r="N2720" s="25">
        <f>IF(J2720&gt;300,1,0)</f>
        <v/>
      </c>
      <c r="O2720" s="25">
        <f>IF(J2720&gt;600,1,0)</f>
        <v/>
      </c>
      <c r="P2720" s="25">
        <f>IF(H2720&gt;0,J2720,"")</f>
        <v/>
      </c>
      <c r="Q2720" s="25">
        <f>TEXT(A2720,"YYYY-MM-DD HH")</f>
        <v/>
      </c>
      <c r="R2720" s="25">
        <f>COUNTIF($Q$2:$Q$5295,Q2720)</f>
        <v/>
      </c>
      <c r="S2720" s="25">
        <f>IF(R2720&lt;=2,"1-2",IF(R2720&lt;=5,"3-5",IF(R2720&lt;=10,"6-10","11+")))</f>
        <v/>
      </c>
    </row>
    <row r="2721">
      <c r="A2721" s="39" t="n">
        <v>46189.37226851852</v>
      </c>
      <c r="B2721" s="25">
        <f>TEXT(A2721,"YYYY-MM")</f>
        <v/>
      </c>
      <c r="C2721" s="25">
        <f>TEXT(A2721,"MMM-YYYY")</f>
        <v/>
      </c>
      <c r="D2721" s="40">
        <f>INT(A2721)-WEEKDAY(A2721,2)+1</f>
        <v/>
      </c>
      <c r="E2721" s="25" t="inlineStr">
        <is>
          <t>anusharma</t>
        </is>
      </c>
      <c r="F2721" s="25" t="n">
        <v>124267</v>
      </c>
      <c r="G2721" s="25" t="n">
        <v>2</v>
      </c>
      <c r="H2721" s="25" t="n">
        <v>8</v>
      </c>
      <c r="I2721" s="25" t="inlineStr">
        <is>
          <t>2 minute(s) and 9 second(s)</t>
        </is>
      </c>
      <c r="J2721" s="25">
        <f>IFERROR(VALUE(TRIM(LEFT(I2721,FIND("minute",I2721)-1)))*60,0)+IFERROR(VALUE(SUBSTITUTE(MID(I2721,IFERROR(FIND("and",I2721)+3,1),20),"second(s)","")),0)</f>
        <v/>
      </c>
      <c r="K2721" s="41">
        <f>J2721/60</f>
        <v/>
      </c>
      <c r="L2721" s="41">
        <f>IFERROR(J2721/H2721,"")</f>
        <v/>
      </c>
      <c r="M2721" s="25" t="inlineStr">
        <is>
          <t>2.5.12</t>
        </is>
      </c>
      <c r="N2721" s="25">
        <f>IF(J2721&gt;300,1,0)</f>
        <v/>
      </c>
      <c r="O2721" s="25">
        <f>IF(J2721&gt;600,1,0)</f>
        <v/>
      </c>
      <c r="P2721" s="25">
        <f>IF(H2721&gt;0,J2721,"")</f>
        <v/>
      </c>
      <c r="Q2721" s="25">
        <f>TEXT(A2721,"YYYY-MM-DD HH")</f>
        <v/>
      </c>
      <c r="R2721" s="25">
        <f>COUNTIF($Q$2:$Q$5295,Q2721)</f>
        <v/>
      </c>
      <c r="S2721" s="25">
        <f>IF(R2721&lt;=2,"1-2",IF(R2721&lt;=5,"3-5",IF(R2721&lt;=10,"6-10","11+")))</f>
        <v/>
      </c>
    </row>
    <row r="2722">
      <c r="A2722" s="39" t="n">
        <v>46189.37835648148</v>
      </c>
      <c r="B2722" s="25">
        <f>TEXT(A2722,"YYYY-MM")</f>
        <v/>
      </c>
      <c r="C2722" s="25">
        <f>TEXT(A2722,"MMM-YYYY")</f>
        <v/>
      </c>
      <c r="D2722" s="40">
        <f>INT(A2722)-WEEKDAY(A2722,2)+1</f>
        <v/>
      </c>
      <c r="E2722" s="25" t="inlineStr">
        <is>
          <t>psathwika</t>
        </is>
      </c>
      <c r="F2722" s="25" t="n">
        <v>124851</v>
      </c>
      <c r="G2722" s="25" t="n">
        <v>4</v>
      </c>
      <c r="H2722" s="25" t="n">
        <v>22</v>
      </c>
      <c r="I2722" s="25" t="inlineStr">
        <is>
          <t>10 minute(s) and 37 second(s)</t>
        </is>
      </c>
      <c r="J2722" s="25">
        <f>IFERROR(VALUE(TRIM(LEFT(I2722,FIND("minute",I2722)-1)))*60,0)+IFERROR(VALUE(SUBSTITUTE(MID(I2722,IFERROR(FIND("and",I2722)+3,1),20),"second(s)","")),0)</f>
        <v/>
      </c>
      <c r="K2722" s="41">
        <f>J2722/60</f>
        <v/>
      </c>
      <c r="L2722" s="41">
        <f>IFERROR(J2722/H2722,"")</f>
        <v/>
      </c>
      <c r="M2722" s="25" t="inlineStr">
        <is>
          <t>2.5.12</t>
        </is>
      </c>
      <c r="N2722" s="25">
        <f>IF(J2722&gt;300,1,0)</f>
        <v/>
      </c>
      <c r="O2722" s="25">
        <f>IF(J2722&gt;600,1,0)</f>
        <v/>
      </c>
      <c r="P2722" s="25">
        <f>IF(H2722&gt;0,J2722,"")</f>
        <v/>
      </c>
      <c r="Q2722" s="25">
        <f>TEXT(A2722,"YYYY-MM-DD HH")</f>
        <v/>
      </c>
      <c r="R2722" s="25">
        <f>COUNTIF($Q$2:$Q$5295,Q2722)</f>
        <v/>
      </c>
      <c r="S2722" s="25">
        <f>IF(R2722&lt;=2,"1-2",IF(R2722&lt;=5,"3-5",IF(R2722&lt;=10,"6-10","11+")))</f>
        <v/>
      </c>
    </row>
    <row r="2723">
      <c r="A2723" s="39" t="n">
        <v>46189.37875</v>
      </c>
      <c r="B2723" s="25">
        <f>TEXT(A2723,"YYYY-MM")</f>
        <v/>
      </c>
      <c r="C2723" s="25">
        <f>TEXT(A2723,"MMM-YYYY")</f>
        <v/>
      </c>
      <c r="D2723" s="40">
        <f>INT(A2723)-WEEKDAY(A2723,2)+1</f>
        <v/>
      </c>
      <c r="E2723" s="25" t="inlineStr">
        <is>
          <t>aghosh</t>
        </is>
      </c>
      <c r="F2723" s="25" t="n">
        <v>123234</v>
      </c>
      <c r="G2723" s="25" t="n">
        <v>3</v>
      </c>
      <c r="H2723" s="25" t="n">
        <v>11</v>
      </c>
      <c r="I2723" s="25" t="inlineStr">
        <is>
          <t>4 minute(s) and 38 second(s)</t>
        </is>
      </c>
      <c r="J2723" s="25">
        <f>IFERROR(VALUE(TRIM(LEFT(I2723,FIND("minute",I2723)-1)))*60,0)+IFERROR(VALUE(SUBSTITUTE(MID(I2723,IFERROR(FIND("and",I2723)+3,1),20),"second(s)","")),0)</f>
        <v/>
      </c>
      <c r="K2723" s="41">
        <f>J2723/60</f>
        <v/>
      </c>
      <c r="L2723" s="41">
        <f>IFERROR(J2723/H2723,"")</f>
        <v/>
      </c>
      <c r="M2723" s="25" t="inlineStr">
        <is>
          <t>2.5.12</t>
        </is>
      </c>
      <c r="N2723" s="25">
        <f>IF(J2723&gt;300,1,0)</f>
        <v/>
      </c>
      <c r="O2723" s="25">
        <f>IF(J2723&gt;600,1,0)</f>
        <v/>
      </c>
      <c r="P2723" s="25">
        <f>IF(H2723&gt;0,J2723,"")</f>
        <v/>
      </c>
      <c r="Q2723" s="25">
        <f>TEXT(A2723,"YYYY-MM-DD HH")</f>
        <v/>
      </c>
      <c r="R2723" s="25">
        <f>COUNTIF($Q$2:$Q$5295,Q2723)</f>
        <v/>
      </c>
      <c r="S2723" s="25">
        <f>IF(R2723&lt;=2,"1-2",IF(R2723&lt;=5,"3-5",IF(R2723&lt;=10,"6-10","11+")))</f>
        <v/>
      </c>
    </row>
    <row r="2724">
      <c r="A2724" s="39" t="n">
        <v>46189.38445601852</v>
      </c>
      <c r="B2724" s="25">
        <f>TEXT(A2724,"YYYY-MM")</f>
        <v/>
      </c>
      <c r="C2724" s="25">
        <f>TEXT(A2724,"MMM-YYYY")</f>
        <v/>
      </c>
      <c r="D2724" s="40">
        <f>INT(A2724)-WEEKDAY(A2724,2)+1</f>
        <v/>
      </c>
      <c r="E2724" s="25" t="inlineStr">
        <is>
          <t>ethomas</t>
        </is>
      </c>
      <c r="F2724" s="25" t="n">
        <v>122854</v>
      </c>
      <c r="G2724" s="25" t="n">
        <v>2</v>
      </c>
      <c r="H2724" s="25" t="n">
        <v>10</v>
      </c>
      <c r="I2724" s="25" t="inlineStr">
        <is>
          <t>2 minute(s) and 50 second(s)</t>
        </is>
      </c>
      <c r="J2724" s="25">
        <f>IFERROR(VALUE(TRIM(LEFT(I2724,FIND("minute",I2724)-1)))*60,0)+IFERROR(VALUE(SUBSTITUTE(MID(I2724,IFERROR(FIND("and",I2724)+3,1),20),"second(s)","")),0)</f>
        <v/>
      </c>
      <c r="K2724" s="41">
        <f>J2724/60</f>
        <v/>
      </c>
      <c r="L2724" s="41">
        <f>IFERROR(J2724/H2724,"")</f>
        <v/>
      </c>
      <c r="M2724" s="25" t="inlineStr">
        <is>
          <t>2.5.12</t>
        </is>
      </c>
      <c r="N2724" s="25">
        <f>IF(J2724&gt;300,1,0)</f>
        <v/>
      </c>
      <c r="O2724" s="25">
        <f>IF(J2724&gt;600,1,0)</f>
        <v/>
      </c>
      <c r="P2724" s="25">
        <f>IF(H2724&gt;0,J2724,"")</f>
        <v/>
      </c>
      <c r="Q2724" s="25">
        <f>TEXT(A2724,"YYYY-MM-DD HH")</f>
        <v/>
      </c>
      <c r="R2724" s="25">
        <f>COUNTIF($Q$2:$Q$5295,Q2724)</f>
        <v/>
      </c>
      <c r="S2724" s="25">
        <f>IF(R2724&lt;=2,"1-2",IF(R2724&lt;=5,"3-5",IF(R2724&lt;=10,"6-10","11+")))</f>
        <v/>
      </c>
    </row>
    <row r="2725">
      <c r="A2725" s="39" t="n">
        <v>46189.38905092593</v>
      </c>
      <c r="B2725" s="25">
        <f>TEXT(A2725,"YYYY-MM")</f>
        <v/>
      </c>
      <c r="C2725" s="25">
        <f>TEXT(A2725,"MMM-YYYY")</f>
        <v/>
      </c>
      <c r="D2725" s="40">
        <f>INT(A2725)-WEEKDAY(A2725,2)+1</f>
        <v/>
      </c>
      <c r="E2725" s="25" t="inlineStr">
        <is>
          <t>ssaha</t>
        </is>
      </c>
      <c r="F2725" s="25" t="n">
        <v>125849</v>
      </c>
      <c r="G2725" s="25" t="n">
        <v>2</v>
      </c>
      <c r="H2725" s="25" t="n">
        <v>8</v>
      </c>
      <c r="I2725" s="25" t="inlineStr">
        <is>
          <t>1 minute(s) and 44 second(s)</t>
        </is>
      </c>
      <c r="J2725" s="25">
        <f>IFERROR(VALUE(TRIM(LEFT(I2725,FIND("minute",I2725)-1)))*60,0)+IFERROR(VALUE(SUBSTITUTE(MID(I2725,IFERROR(FIND("and",I2725)+3,1),20),"second(s)","")),0)</f>
        <v/>
      </c>
      <c r="K2725" s="41">
        <f>J2725/60</f>
        <v/>
      </c>
      <c r="L2725" s="41">
        <f>IFERROR(J2725/H2725,"")</f>
        <v/>
      </c>
      <c r="M2725" s="25" t="inlineStr">
        <is>
          <t>2.5.12</t>
        </is>
      </c>
      <c r="N2725" s="25">
        <f>IF(J2725&gt;300,1,0)</f>
        <v/>
      </c>
      <c r="O2725" s="25">
        <f>IF(J2725&gt;600,1,0)</f>
        <v/>
      </c>
      <c r="P2725" s="25">
        <f>IF(H2725&gt;0,J2725,"")</f>
        <v/>
      </c>
      <c r="Q2725" s="25">
        <f>TEXT(A2725,"YYYY-MM-DD HH")</f>
        <v/>
      </c>
      <c r="R2725" s="25">
        <f>COUNTIF($Q$2:$Q$5295,Q2725)</f>
        <v/>
      </c>
      <c r="S2725" s="25">
        <f>IF(R2725&lt;=2,"1-2",IF(R2725&lt;=5,"3-5",IF(R2725&lt;=10,"6-10","11+")))</f>
        <v/>
      </c>
    </row>
    <row r="2726">
      <c r="A2726" s="39" t="n">
        <v>46189.39469907407</v>
      </c>
      <c r="B2726" s="25">
        <f>TEXT(A2726,"YYYY-MM")</f>
        <v/>
      </c>
      <c r="C2726" s="25">
        <f>TEXT(A2726,"MMM-YYYY")</f>
        <v/>
      </c>
      <c r="D2726" s="40">
        <f>INT(A2726)-WEEKDAY(A2726,2)+1</f>
        <v/>
      </c>
      <c r="E2726" s="25" t="inlineStr">
        <is>
          <t>asahoo</t>
        </is>
      </c>
      <c r="F2726" s="25" t="n">
        <v>123559</v>
      </c>
      <c r="G2726" s="25" t="n">
        <v>2</v>
      </c>
      <c r="H2726" s="25" t="n">
        <v>10</v>
      </c>
      <c r="I2726" s="25" t="inlineStr">
        <is>
          <t>2 minute(s) and 28 second(s)</t>
        </is>
      </c>
      <c r="J2726" s="25">
        <f>IFERROR(VALUE(TRIM(LEFT(I2726,FIND("minute",I2726)-1)))*60,0)+IFERROR(VALUE(SUBSTITUTE(MID(I2726,IFERROR(FIND("and",I2726)+3,1),20),"second(s)","")),0)</f>
        <v/>
      </c>
      <c r="K2726" s="41">
        <f>J2726/60</f>
        <v/>
      </c>
      <c r="L2726" s="41">
        <f>IFERROR(J2726/H2726,"")</f>
        <v/>
      </c>
      <c r="M2726" s="25" t="inlineStr">
        <is>
          <t>2.5.12</t>
        </is>
      </c>
      <c r="N2726" s="25">
        <f>IF(J2726&gt;300,1,0)</f>
        <v/>
      </c>
      <c r="O2726" s="25">
        <f>IF(J2726&gt;600,1,0)</f>
        <v/>
      </c>
      <c r="P2726" s="25">
        <f>IF(H2726&gt;0,J2726,"")</f>
        <v/>
      </c>
      <c r="Q2726" s="25">
        <f>TEXT(A2726,"YYYY-MM-DD HH")</f>
        <v/>
      </c>
      <c r="R2726" s="25">
        <f>COUNTIF($Q$2:$Q$5295,Q2726)</f>
        <v/>
      </c>
      <c r="S2726" s="25">
        <f>IF(R2726&lt;=2,"1-2",IF(R2726&lt;=5,"3-5",IF(R2726&lt;=10,"6-10","11+")))</f>
        <v/>
      </c>
    </row>
    <row r="2727">
      <c r="A2727" s="39" t="n">
        <v>46189.40359953704</v>
      </c>
      <c r="B2727" s="25">
        <f>TEXT(A2727,"YYYY-MM")</f>
        <v/>
      </c>
      <c r="C2727" s="25">
        <f>TEXT(A2727,"MMM-YYYY")</f>
        <v/>
      </c>
      <c r="D2727" s="40">
        <f>INT(A2727)-WEEKDAY(A2727,2)+1</f>
        <v/>
      </c>
      <c r="E2727" s="25" t="inlineStr">
        <is>
          <t>mbohra</t>
        </is>
      </c>
      <c r="F2727" s="25" t="n">
        <v>123955</v>
      </c>
      <c r="G2727" s="25" t="n">
        <v>3</v>
      </c>
      <c r="H2727" s="25" t="n">
        <v>15</v>
      </c>
      <c r="I2727" s="25" t="inlineStr">
        <is>
          <t>7 minute(s) and 37 second(s)</t>
        </is>
      </c>
      <c r="J2727" s="25">
        <f>IFERROR(VALUE(TRIM(LEFT(I2727,FIND("minute",I2727)-1)))*60,0)+IFERROR(VALUE(SUBSTITUTE(MID(I2727,IFERROR(FIND("and",I2727)+3,1),20),"second(s)","")),0)</f>
        <v/>
      </c>
      <c r="K2727" s="41">
        <f>J2727/60</f>
        <v/>
      </c>
      <c r="L2727" s="41">
        <f>IFERROR(J2727/H2727,"")</f>
        <v/>
      </c>
      <c r="M2727" s="25" t="inlineStr">
        <is>
          <t>2.5.12</t>
        </is>
      </c>
      <c r="N2727" s="25">
        <f>IF(J2727&gt;300,1,0)</f>
        <v/>
      </c>
      <c r="O2727" s="25">
        <f>IF(J2727&gt;600,1,0)</f>
        <v/>
      </c>
      <c r="P2727" s="25">
        <f>IF(H2727&gt;0,J2727,"")</f>
        <v/>
      </c>
      <c r="Q2727" s="25">
        <f>TEXT(A2727,"YYYY-MM-DD HH")</f>
        <v/>
      </c>
      <c r="R2727" s="25">
        <f>COUNTIF($Q$2:$Q$5295,Q2727)</f>
        <v/>
      </c>
      <c r="S2727" s="25">
        <f>IF(R2727&lt;=2,"1-2",IF(R2727&lt;=5,"3-5",IF(R2727&lt;=10,"6-10","11+")))</f>
        <v/>
      </c>
    </row>
    <row r="2728">
      <c r="A2728" s="39" t="n">
        <v>46189.40875</v>
      </c>
      <c r="B2728" s="25">
        <f>TEXT(A2728,"YYYY-MM")</f>
        <v/>
      </c>
      <c r="C2728" s="25">
        <f>TEXT(A2728,"MMM-YYYY")</f>
        <v/>
      </c>
      <c r="D2728" s="40">
        <f>INT(A2728)-WEEKDAY(A2728,2)+1</f>
        <v/>
      </c>
      <c r="E2728" s="25" t="inlineStr">
        <is>
          <t>tkarmakar</t>
        </is>
      </c>
      <c r="F2728" s="25" t="n">
        <v>126095</v>
      </c>
      <c r="G2728" s="25" t="n">
        <v>2</v>
      </c>
      <c r="H2728" s="25" t="n">
        <v>10</v>
      </c>
      <c r="I2728" s="25" t="inlineStr">
        <is>
          <t>2 minute(s) and 40 second(s)</t>
        </is>
      </c>
      <c r="J2728" s="25">
        <f>IFERROR(VALUE(TRIM(LEFT(I2728,FIND("minute",I2728)-1)))*60,0)+IFERROR(VALUE(SUBSTITUTE(MID(I2728,IFERROR(FIND("and",I2728)+3,1),20),"second(s)","")),0)</f>
        <v/>
      </c>
      <c r="K2728" s="41">
        <f>J2728/60</f>
        <v/>
      </c>
      <c r="L2728" s="41">
        <f>IFERROR(J2728/H2728,"")</f>
        <v/>
      </c>
      <c r="M2728" s="25" t="inlineStr">
        <is>
          <t>2.5.12</t>
        </is>
      </c>
      <c r="N2728" s="25">
        <f>IF(J2728&gt;300,1,0)</f>
        <v/>
      </c>
      <c r="O2728" s="25">
        <f>IF(J2728&gt;600,1,0)</f>
        <v/>
      </c>
      <c r="P2728" s="25">
        <f>IF(H2728&gt;0,J2728,"")</f>
        <v/>
      </c>
      <c r="Q2728" s="25">
        <f>TEXT(A2728,"YYYY-MM-DD HH")</f>
        <v/>
      </c>
      <c r="R2728" s="25">
        <f>COUNTIF($Q$2:$Q$5295,Q2728)</f>
        <v/>
      </c>
      <c r="S2728" s="25">
        <f>IF(R2728&lt;=2,"1-2",IF(R2728&lt;=5,"3-5",IF(R2728&lt;=10,"6-10","11+")))</f>
        <v/>
      </c>
    </row>
    <row r="2729">
      <c r="A2729" s="39" t="n">
        <v>46189.41731481482</v>
      </c>
      <c r="B2729" s="25">
        <f>TEXT(A2729,"YYYY-MM")</f>
        <v/>
      </c>
      <c r="C2729" s="25">
        <f>TEXT(A2729,"MMM-YYYY")</f>
        <v/>
      </c>
      <c r="D2729" s="40">
        <f>INT(A2729)-WEEKDAY(A2729,2)+1</f>
        <v/>
      </c>
      <c r="E2729" s="25" t="inlineStr">
        <is>
          <t>sdey</t>
        </is>
      </c>
      <c r="F2729" s="25" t="n">
        <v>103840</v>
      </c>
      <c r="G2729" s="25" t="n">
        <v>1</v>
      </c>
      <c r="H2729" s="25" t="n">
        <v>5</v>
      </c>
      <c r="I2729" s="25" t="inlineStr">
        <is>
          <t>3 minute(s) and 0 second(s)</t>
        </is>
      </c>
      <c r="J2729" s="25">
        <f>IFERROR(VALUE(TRIM(LEFT(I2729,FIND("minute",I2729)-1)))*60,0)+IFERROR(VALUE(SUBSTITUTE(MID(I2729,IFERROR(FIND("and",I2729)+3,1),20),"second(s)","")),0)</f>
        <v/>
      </c>
      <c r="K2729" s="41">
        <f>J2729/60</f>
        <v/>
      </c>
      <c r="L2729" s="41">
        <f>IFERROR(J2729/H2729,"")</f>
        <v/>
      </c>
      <c r="M2729" s="25" t="inlineStr">
        <is>
          <t>2.5.12</t>
        </is>
      </c>
      <c r="N2729" s="25">
        <f>IF(J2729&gt;300,1,0)</f>
        <v/>
      </c>
      <c r="O2729" s="25">
        <f>IF(J2729&gt;600,1,0)</f>
        <v/>
      </c>
      <c r="P2729" s="25">
        <f>IF(H2729&gt;0,J2729,"")</f>
        <v/>
      </c>
      <c r="Q2729" s="25">
        <f>TEXT(A2729,"YYYY-MM-DD HH")</f>
        <v/>
      </c>
      <c r="R2729" s="25">
        <f>COUNTIF($Q$2:$Q$5295,Q2729)</f>
        <v/>
      </c>
      <c r="S2729" s="25">
        <f>IF(R2729&lt;=2,"1-2",IF(R2729&lt;=5,"3-5",IF(R2729&lt;=10,"6-10","11+")))</f>
        <v/>
      </c>
    </row>
    <row r="2730">
      <c r="A2730" s="39" t="n">
        <v>46189.430625</v>
      </c>
      <c r="B2730" s="25">
        <f>TEXT(A2730,"YYYY-MM")</f>
        <v/>
      </c>
      <c r="C2730" s="25">
        <f>TEXT(A2730,"MMM-YYYY")</f>
        <v/>
      </c>
      <c r="D2730" s="40">
        <f>INT(A2730)-WEEKDAY(A2730,2)+1</f>
        <v/>
      </c>
      <c r="E2730" s="25" t="inlineStr">
        <is>
          <t>psathwika</t>
        </is>
      </c>
      <c r="F2730" s="25" t="n">
        <v>124834</v>
      </c>
      <c r="G2730" s="25" t="n">
        <v>4</v>
      </c>
      <c r="H2730" s="25" t="n">
        <v>22</v>
      </c>
      <c r="I2730" s="25" t="inlineStr">
        <is>
          <t>10 minute(s) and 45 second(s)</t>
        </is>
      </c>
      <c r="J2730" s="25">
        <f>IFERROR(VALUE(TRIM(LEFT(I2730,FIND("minute",I2730)-1)))*60,0)+IFERROR(VALUE(SUBSTITUTE(MID(I2730,IFERROR(FIND("and",I2730)+3,1),20),"second(s)","")),0)</f>
        <v/>
      </c>
      <c r="K2730" s="41">
        <f>J2730/60</f>
        <v/>
      </c>
      <c r="L2730" s="41">
        <f>IFERROR(J2730/H2730,"")</f>
        <v/>
      </c>
      <c r="M2730" s="25" t="inlineStr">
        <is>
          <t>2.5.12</t>
        </is>
      </c>
      <c r="N2730" s="25">
        <f>IF(J2730&gt;300,1,0)</f>
        <v/>
      </c>
      <c r="O2730" s="25">
        <f>IF(J2730&gt;600,1,0)</f>
        <v/>
      </c>
      <c r="P2730" s="25">
        <f>IF(H2730&gt;0,J2730,"")</f>
        <v/>
      </c>
      <c r="Q2730" s="25">
        <f>TEXT(A2730,"YYYY-MM-DD HH")</f>
        <v/>
      </c>
      <c r="R2730" s="25">
        <f>COUNTIF($Q$2:$Q$5295,Q2730)</f>
        <v/>
      </c>
      <c r="S2730" s="25">
        <f>IF(R2730&lt;=2,"1-2",IF(R2730&lt;=5,"3-5",IF(R2730&lt;=10,"6-10","11+")))</f>
        <v/>
      </c>
    </row>
    <row r="2731">
      <c r="A2731" s="39" t="n">
        <v>46189.43449074074</v>
      </c>
      <c r="B2731" s="25">
        <f>TEXT(A2731,"YYYY-MM")</f>
        <v/>
      </c>
      <c r="C2731" s="25">
        <f>TEXT(A2731,"MMM-YYYY")</f>
        <v/>
      </c>
      <c r="D2731" s="40">
        <f>INT(A2731)-WEEKDAY(A2731,2)+1</f>
        <v/>
      </c>
      <c r="E2731" s="25" t="inlineStr">
        <is>
          <t>tkarmakar</t>
        </is>
      </c>
      <c r="F2731" s="25" t="n">
        <v>126095</v>
      </c>
      <c r="G2731" s="25" t="n">
        <v>4</v>
      </c>
      <c r="H2731" s="25" t="n">
        <v>20</v>
      </c>
      <c r="I2731" s="25" t="inlineStr">
        <is>
          <t>4 minute(s) and 49 second(s)</t>
        </is>
      </c>
      <c r="J2731" s="25">
        <f>IFERROR(VALUE(TRIM(LEFT(I2731,FIND("minute",I2731)-1)))*60,0)+IFERROR(VALUE(SUBSTITUTE(MID(I2731,IFERROR(FIND("and",I2731)+3,1),20),"second(s)","")),0)</f>
        <v/>
      </c>
      <c r="K2731" s="41">
        <f>J2731/60</f>
        <v/>
      </c>
      <c r="L2731" s="41">
        <f>IFERROR(J2731/H2731,"")</f>
        <v/>
      </c>
      <c r="M2731" s="25" t="inlineStr">
        <is>
          <t>2.5.12</t>
        </is>
      </c>
      <c r="N2731" s="25">
        <f>IF(J2731&gt;300,1,0)</f>
        <v/>
      </c>
      <c r="O2731" s="25">
        <f>IF(J2731&gt;600,1,0)</f>
        <v/>
      </c>
      <c r="P2731" s="25">
        <f>IF(H2731&gt;0,J2731,"")</f>
        <v/>
      </c>
      <c r="Q2731" s="25">
        <f>TEXT(A2731,"YYYY-MM-DD HH")</f>
        <v/>
      </c>
      <c r="R2731" s="25">
        <f>COUNTIF($Q$2:$Q$5295,Q2731)</f>
        <v/>
      </c>
      <c r="S2731" s="25">
        <f>IF(R2731&lt;=2,"1-2",IF(R2731&lt;=5,"3-5",IF(R2731&lt;=10,"6-10","11+")))</f>
        <v/>
      </c>
    </row>
    <row r="2732">
      <c r="A2732" s="39" t="n">
        <v>46189.43570601852</v>
      </c>
      <c r="B2732" s="25">
        <f>TEXT(A2732,"YYYY-MM")</f>
        <v/>
      </c>
      <c r="C2732" s="25">
        <f>TEXT(A2732,"MMM-YYYY")</f>
        <v/>
      </c>
      <c r="D2732" s="40">
        <f>INT(A2732)-WEEKDAY(A2732,2)+1</f>
        <v/>
      </c>
      <c r="E2732" s="25" t="inlineStr">
        <is>
          <t>ethomas</t>
        </is>
      </c>
      <c r="F2732" s="25" t="n">
        <v>122856</v>
      </c>
      <c r="G2732" s="25" t="n">
        <v>3</v>
      </c>
      <c r="H2732" s="25" t="n">
        <v>21</v>
      </c>
      <c r="I2732" s="25" t="inlineStr">
        <is>
          <t>10 minute(s) and 32 second(s)</t>
        </is>
      </c>
      <c r="J2732" s="25">
        <f>IFERROR(VALUE(TRIM(LEFT(I2732,FIND("minute",I2732)-1)))*60,0)+IFERROR(VALUE(SUBSTITUTE(MID(I2732,IFERROR(FIND("and",I2732)+3,1),20),"second(s)","")),0)</f>
        <v/>
      </c>
      <c r="K2732" s="41">
        <f>J2732/60</f>
        <v/>
      </c>
      <c r="L2732" s="41">
        <f>IFERROR(J2732/H2732,"")</f>
        <v/>
      </c>
      <c r="M2732" s="25" t="inlineStr">
        <is>
          <t>2.5.12</t>
        </is>
      </c>
      <c r="N2732" s="25">
        <f>IF(J2732&gt;300,1,0)</f>
        <v/>
      </c>
      <c r="O2732" s="25">
        <f>IF(J2732&gt;600,1,0)</f>
        <v/>
      </c>
      <c r="P2732" s="25">
        <f>IF(H2732&gt;0,J2732,"")</f>
        <v/>
      </c>
      <c r="Q2732" s="25">
        <f>TEXT(A2732,"YYYY-MM-DD HH")</f>
        <v/>
      </c>
      <c r="R2732" s="25">
        <f>COUNTIF($Q$2:$Q$5295,Q2732)</f>
        <v/>
      </c>
      <c r="S2732" s="25">
        <f>IF(R2732&lt;=2,"1-2",IF(R2732&lt;=5,"3-5",IF(R2732&lt;=10,"6-10","11+")))</f>
        <v/>
      </c>
    </row>
    <row r="2733">
      <c r="A2733" s="39" t="n">
        <v>46189.44217592593</v>
      </c>
      <c r="B2733" s="25">
        <f>TEXT(A2733,"YYYY-MM")</f>
        <v/>
      </c>
      <c r="C2733" s="25">
        <f>TEXT(A2733,"MMM-YYYY")</f>
        <v/>
      </c>
      <c r="D2733" s="40">
        <f>INT(A2733)-WEEKDAY(A2733,2)+1</f>
        <v/>
      </c>
      <c r="E2733" s="25" t="inlineStr">
        <is>
          <t>adey</t>
        </is>
      </c>
      <c r="F2733" s="25" t="n">
        <v>124318</v>
      </c>
      <c r="G2733" s="25" t="n">
        <v>3</v>
      </c>
      <c r="H2733" s="25" t="n">
        <v>15</v>
      </c>
      <c r="I2733" s="25" t="inlineStr">
        <is>
          <t>3 minute(s) and 23 second(s)</t>
        </is>
      </c>
      <c r="J2733" s="25">
        <f>IFERROR(VALUE(TRIM(LEFT(I2733,FIND("minute",I2733)-1)))*60,0)+IFERROR(VALUE(SUBSTITUTE(MID(I2733,IFERROR(FIND("and",I2733)+3,1),20),"second(s)","")),0)</f>
        <v/>
      </c>
      <c r="K2733" s="41">
        <f>J2733/60</f>
        <v/>
      </c>
      <c r="L2733" s="41">
        <f>IFERROR(J2733/H2733,"")</f>
        <v/>
      </c>
      <c r="M2733" s="25" t="inlineStr">
        <is>
          <t>2.5.12</t>
        </is>
      </c>
      <c r="N2733" s="25">
        <f>IF(J2733&gt;300,1,0)</f>
        <v/>
      </c>
      <c r="O2733" s="25">
        <f>IF(J2733&gt;600,1,0)</f>
        <v/>
      </c>
      <c r="P2733" s="25">
        <f>IF(H2733&gt;0,J2733,"")</f>
        <v/>
      </c>
      <c r="Q2733" s="25">
        <f>TEXT(A2733,"YYYY-MM-DD HH")</f>
        <v/>
      </c>
      <c r="R2733" s="25">
        <f>COUNTIF($Q$2:$Q$5295,Q2733)</f>
        <v/>
      </c>
      <c r="S2733" s="25">
        <f>IF(R2733&lt;=2,"1-2",IF(R2733&lt;=5,"3-5",IF(R2733&lt;=10,"6-10","11+")))</f>
        <v/>
      </c>
    </row>
    <row r="2734">
      <c r="A2734" s="39" t="n">
        <v>46189.4425462963</v>
      </c>
      <c r="B2734" s="25">
        <f>TEXT(A2734,"YYYY-MM")</f>
        <v/>
      </c>
      <c r="C2734" s="25">
        <f>TEXT(A2734,"MMM-YYYY")</f>
        <v/>
      </c>
      <c r="D2734" s="40">
        <f>INT(A2734)-WEEKDAY(A2734,2)+1</f>
        <v/>
      </c>
      <c r="E2734" s="25" t="inlineStr">
        <is>
          <t>csaha</t>
        </is>
      </c>
      <c r="F2734" s="25" t="n">
        <v>124372</v>
      </c>
      <c r="G2734" s="25" t="n">
        <v>4</v>
      </c>
      <c r="H2734" s="25" t="n">
        <v>10</v>
      </c>
      <c r="I2734" s="25" t="inlineStr">
        <is>
          <t>4 minute(s) and 45 second(s)</t>
        </is>
      </c>
      <c r="J2734" s="25">
        <f>IFERROR(VALUE(TRIM(LEFT(I2734,FIND("minute",I2734)-1)))*60,0)+IFERROR(VALUE(SUBSTITUTE(MID(I2734,IFERROR(FIND("and",I2734)+3,1),20),"second(s)","")),0)</f>
        <v/>
      </c>
      <c r="K2734" s="41">
        <f>J2734/60</f>
        <v/>
      </c>
      <c r="L2734" s="41">
        <f>IFERROR(J2734/H2734,"")</f>
        <v/>
      </c>
      <c r="M2734" s="25" t="inlineStr">
        <is>
          <t>2.5.12</t>
        </is>
      </c>
      <c r="N2734" s="25">
        <f>IF(J2734&gt;300,1,0)</f>
        <v/>
      </c>
      <c r="O2734" s="25">
        <f>IF(J2734&gt;600,1,0)</f>
        <v/>
      </c>
      <c r="P2734" s="25">
        <f>IF(H2734&gt;0,J2734,"")</f>
        <v/>
      </c>
      <c r="Q2734" s="25">
        <f>TEXT(A2734,"YYYY-MM-DD HH")</f>
        <v/>
      </c>
      <c r="R2734" s="25">
        <f>COUNTIF($Q$2:$Q$5295,Q2734)</f>
        <v/>
      </c>
      <c r="S2734" s="25">
        <f>IF(R2734&lt;=2,"1-2",IF(R2734&lt;=5,"3-5",IF(R2734&lt;=10,"6-10","11+")))</f>
        <v/>
      </c>
    </row>
    <row r="2735">
      <c r="A2735" s="39" t="n">
        <v>46189.44778935185</v>
      </c>
      <c r="B2735" s="25">
        <f>TEXT(A2735,"YYYY-MM")</f>
        <v/>
      </c>
      <c r="C2735" s="25">
        <f>TEXT(A2735,"MMM-YYYY")</f>
        <v/>
      </c>
      <c r="D2735" s="40">
        <f>INT(A2735)-WEEKDAY(A2735,2)+1</f>
        <v/>
      </c>
      <c r="E2735" s="25" t="inlineStr">
        <is>
          <t>ssaha</t>
        </is>
      </c>
      <c r="F2735" s="25" t="n">
        <v>125845</v>
      </c>
      <c r="G2735" s="25" t="n">
        <v>4</v>
      </c>
      <c r="H2735" s="25" t="n">
        <v>25</v>
      </c>
      <c r="I2735" s="25" t="inlineStr">
        <is>
          <t>5 minute(s) and 48 second(s)</t>
        </is>
      </c>
      <c r="J2735" s="25">
        <f>IFERROR(VALUE(TRIM(LEFT(I2735,FIND("minute",I2735)-1)))*60,0)+IFERROR(VALUE(SUBSTITUTE(MID(I2735,IFERROR(FIND("and",I2735)+3,1),20),"second(s)","")),0)</f>
        <v/>
      </c>
      <c r="K2735" s="41">
        <f>J2735/60</f>
        <v/>
      </c>
      <c r="L2735" s="41">
        <f>IFERROR(J2735/H2735,"")</f>
        <v/>
      </c>
      <c r="M2735" s="25" t="inlineStr">
        <is>
          <t>2.5.12</t>
        </is>
      </c>
      <c r="N2735" s="25">
        <f>IF(J2735&gt;300,1,0)</f>
        <v/>
      </c>
      <c r="O2735" s="25">
        <f>IF(J2735&gt;600,1,0)</f>
        <v/>
      </c>
      <c r="P2735" s="25">
        <f>IF(H2735&gt;0,J2735,"")</f>
        <v/>
      </c>
      <c r="Q2735" s="25">
        <f>TEXT(A2735,"YYYY-MM-DD HH")</f>
        <v/>
      </c>
      <c r="R2735" s="25">
        <f>COUNTIF($Q$2:$Q$5295,Q2735)</f>
        <v/>
      </c>
      <c r="S2735" s="25">
        <f>IF(R2735&lt;=2,"1-2",IF(R2735&lt;=5,"3-5",IF(R2735&lt;=10,"6-10","11+")))</f>
        <v/>
      </c>
    </row>
    <row r="2736">
      <c r="A2736" s="39" t="n">
        <v>46189.45627314815</v>
      </c>
      <c r="B2736" s="25">
        <f>TEXT(A2736,"YYYY-MM")</f>
        <v/>
      </c>
      <c r="C2736" s="25">
        <f>TEXT(A2736,"MMM-YYYY")</f>
        <v/>
      </c>
      <c r="D2736" s="40">
        <f>INT(A2736)-WEEKDAY(A2736,2)+1</f>
        <v/>
      </c>
      <c r="E2736" s="25" t="inlineStr">
        <is>
          <t>aghosh</t>
        </is>
      </c>
      <c r="F2736" s="25" t="n">
        <v>124134</v>
      </c>
      <c r="G2736" s="25" t="n">
        <v>4</v>
      </c>
      <c r="H2736" s="25" t="n">
        <v>16</v>
      </c>
      <c r="I2736" s="25" t="inlineStr">
        <is>
          <t>4 minute(s) and 50 second(s)</t>
        </is>
      </c>
      <c r="J2736" s="25">
        <f>IFERROR(VALUE(TRIM(LEFT(I2736,FIND("minute",I2736)-1)))*60,0)+IFERROR(VALUE(SUBSTITUTE(MID(I2736,IFERROR(FIND("and",I2736)+3,1),20),"second(s)","")),0)</f>
        <v/>
      </c>
      <c r="K2736" s="41">
        <f>J2736/60</f>
        <v/>
      </c>
      <c r="L2736" s="41">
        <f>IFERROR(J2736/H2736,"")</f>
        <v/>
      </c>
      <c r="M2736" s="25" t="inlineStr">
        <is>
          <t>2.5.12</t>
        </is>
      </c>
      <c r="N2736" s="25">
        <f>IF(J2736&gt;300,1,0)</f>
        <v/>
      </c>
      <c r="O2736" s="25">
        <f>IF(J2736&gt;600,1,0)</f>
        <v/>
      </c>
      <c r="P2736" s="25">
        <f>IF(H2736&gt;0,J2736,"")</f>
        <v/>
      </c>
      <c r="Q2736" s="25">
        <f>TEXT(A2736,"YYYY-MM-DD HH")</f>
        <v/>
      </c>
      <c r="R2736" s="25">
        <f>COUNTIF($Q$2:$Q$5295,Q2736)</f>
        <v/>
      </c>
      <c r="S2736" s="25">
        <f>IF(R2736&lt;=2,"1-2",IF(R2736&lt;=5,"3-5",IF(R2736&lt;=10,"6-10","11+")))</f>
        <v/>
      </c>
    </row>
    <row r="2737">
      <c r="A2737" s="39" t="n">
        <v>46189.46060185185</v>
      </c>
      <c r="B2737" s="25">
        <f>TEXT(A2737,"YYYY-MM")</f>
        <v/>
      </c>
      <c r="C2737" s="25">
        <f>TEXT(A2737,"MMM-YYYY")</f>
        <v/>
      </c>
      <c r="D2737" s="40">
        <f>INT(A2737)-WEEKDAY(A2737,2)+1</f>
        <v/>
      </c>
      <c r="E2737" s="25" t="inlineStr">
        <is>
          <t>psathwika</t>
        </is>
      </c>
      <c r="F2737" s="25" t="n">
        <v>124830</v>
      </c>
      <c r="G2737" s="25" t="n">
        <v>1</v>
      </c>
      <c r="H2737" s="25" t="n">
        <v>5</v>
      </c>
      <c r="I2737" s="25" t="inlineStr">
        <is>
          <t>1 minute(s) and 35 second(s)</t>
        </is>
      </c>
      <c r="J2737" s="25">
        <f>IFERROR(VALUE(TRIM(LEFT(I2737,FIND("minute",I2737)-1)))*60,0)+IFERROR(VALUE(SUBSTITUTE(MID(I2737,IFERROR(FIND("and",I2737)+3,1),20),"second(s)","")),0)</f>
        <v/>
      </c>
      <c r="K2737" s="41">
        <f>J2737/60</f>
        <v/>
      </c>
      <c r="L2737" s="41">
        <f>IFERROR(J2737/H2737,"")</f>
        <v/>
      </c>
      <c r="M2737" s="25" t="inlineStr">
        <is>
          <t>2.5.12</t>
        </is>
      </c>
      <c r="N2737" s="25">
        <f>IF(J2737&gt;300,1,0)</f>
        <v/>
      </c>
      <c r="O2737" s="25">
        <f>IF(J2737&gt;600,1,0)</f>
        <v/>
      </c>
      <c r="P2737" s="25">
        <f>IF(H2737&gt;0,J2737,"")</f>
        <v/>
      </c>
      <c r="Q2737" s="25">
        <f>TEXT(A2737,"YYYY-MM-DD HH")</f>
        <v/>
      </c>
      <c r="R2737" s="25">
        <f>COUNTIF($Q$2:$Q$5295,Q2737)</f>
        <v/>
      </c>
      <c r="S2737" s="25">
        <f>IF(R2737&lt;=2,"1-2",IF(R2737&lt;=5,"3-5",IF(R2737&lt;=10,"6-10","11+")))</f>
        <v/>
      </c>
    </row>
    <row r="2738">
      <c r="A2738" s="39" t="n">
        <v>46189.46166666667</v>
      </c>
      <c r="B2738" s="25">
        <f>TEXT(A2738,"YYYY-MM")</f>
        <v/>
      </c>
      <c r="C2738" s="25">
        <f>TEXT(A2738,"MMM-YYYY")</f>
        <v/>
      </c>
      <c r="D2738" s="40">
        <f>INT(A2738)-WEEKDAY(A2738,2)+1</f>
        <v/>
      </c>
      <c r="E2738" s="25" t="inlineStr">
        <is>
          <t>mbohra</t>
        </is>
      </c>
      <c r="F2738" s="25" t="n">
        <v>122777</v>
      </c>
      <c r="G2738" s="25" t="n">
        <v>4</v>
      </c>
      <c r="H2738" s="25" t="n">
        <v>22</v>
      </c>
      <c r="I2738" s="25" t="inlineStr">
        <is>
          <t>12 minute(s) and 26 second(s)</t>
        </is>
      </c>
      <c r="J2738" s="25">
        <f>IFERROR(VALUE(TRIM(LEFT(I2738,FIND("minute",I2738)-1)))*60,0)+IFERROR(VALUE(SUBSTITUTE(MID(I2738,IFERROR(FIND("and",I2738)+3,1),20),"second(s)","")),0)</f>
        <v/>
      </c>
      <c r="K2738" s="41">
        <f>J2738/60</f>
        <v/>
      </c>
      <c r="L2738" s="41">
        <f>IFERROR(J2738/H2738,"")</f>
        <v/>
      </c>
      <c r="M2738" s="25" t="inlineStr">
        <is>
          <t>2.5.12</t>
        </is>
      </c>
      <c r="N2738" s="25">
        <f>IF(J2738&gt;300,1,0)</f>
        <v/>
      </c>
      <c r="O2738" s="25">
        <f>IF(J2738&gt;600,1,0)</f>
        <v/>
      </c>
      <c r="P2738" s="25">
        <f>IF(H2738&gt;0,J2738,"")</f>
        <v/>
      </c>
      <c r="Q2738" s="25">
        <f>TEXT(A2738,"YYYY-MM-DD HH")</f>
        <v/>
      </c>
      <c r="R2738" s="25">
        <f>COUNTIF($Q$2:$Q$5295,Q2738)</f>
        <v/>
      </c>
      <c r="S2738" s="25">
        <f>IF(R2738&lt;=2,"1-2",IF(R2738&lt;=5,"3-5",IF(R2738&lt;=10,"6-10","11+")))</f>
        <v/>
      </c>
    </row>
    <row r="2739">
      <c r="A2739" s="39" t="n">
        <v>46189.46275462963</v>
      </c>
      <c r="B2739" s="25">
        <f>TEXT(A2739,"YYYY-MM")</f>
        <v/>
      </c>
      <c r="C2739" s="25">
        <f>TEXT(A2739,"MMM-YYYY")</f>
        <v/>
      </c>
      <c r="D2739" s="40">
        <f>INT(A2739)-WEEKDAY(A2739,2)+1</f>
        <v/>
      </c>
      <c r="E2739" s="25" t="inlineStr">
        <is>
          <t>asahoo</t>
        </is>
      </c>
      <c r="F2739" s="25" t="n">
        <v>122902</v>
      </c>
      <c r="G2739" s="25" t="n">
        <v>3</v>
      </c>
      <c r="H2739" s="25" t="n">
        <v>11</v>
      </c>
      <c r="I2739" s="25" t="inlineStr">
        <is>
          <t>4 minute(s) and 29 second(s)</t>
        </is>
      </c>
      <c r="J2739" s="25">
        <f>IFERROR(VALUE(TRIM(LEFT(I2739,FIND("minute",I2739)-1)))*60,0)+IFERROR(VALUE(SUBSTITUTE(MID(I2739,IFERROR(FIND("and",I2739)+3,1),20),"second(s)","")),0)</f>
        <v/>
      </c>
      <c r="K2739" s="41">
        <f>J2739/60</f>
        <v/>
      </c>
      <c r="L2739" s="41">
        <f>IFERROR(J2739/H2739,"")</f>
        <v/>
      </c>
      <c r="M2739" s="25" t="inlineStr">
        <is>
          <t>2.5.12</t>
        </is>
      </c>
      <c r="N2739" s="25">
        <f>IF(J2739&gt;300,1,0)</f>
        <v/>
      </c>
      <c r="O2739" s="25">
        <f>IF(J2739&gt;600,1,0)</f>
        <v/>
      </c>
      <c r="P2739" s="25">
        <f>IF(H2739&gt;0,J2739,"")</f>
        <v/>
      </c>
      <c r="Q2739" s="25">
        <f>TEXT(A2739,"YYYY-MM-DD HH")</f>
        <v/>
      </c>
      <c r="R2739" s="25">
        <f>COUNTIF($Q$2:$Q$5295,Q2739)</f>
        <v/>
      </c>
      <c r="S2739" s="25">
        <f>IF(R2739&lt;=2,"1-2",IF(R2739&lt;=5,"3-5",IF(R2739&lt;=10,"6-10","11+")))</f>
        <v/>
      </c>
    </row>
    <row r="2740">
      <c r="A2740" s="39" t="n">
        <v>46189.46376157407</v>
      </c>
      <c r="B2740" s="25">
        <f>TEXT(A2740,"YYYY-MM")</f>
        <v/>
      </c>
      <c r="C2740" s="25">
        <f>TEXT(A2740,"MMM-YYYY")</f>
        <v/>
      </c>
      <c r="D2740" s="40">
        <f>INT(A2740)-WEEKDAY(A2740,2)+1</f>
        <v/>
      </c>
      <c r="E2740" s="25" t="inlineStr">
        <is>
          <t>ssrinivasan</t>
        </is>
      </c>
      <c r="F2740" s="25" t="n">
        <v>122713</v>
      </c>
      <c r="G2740" s="25" t="n">
        <v>1</v>
      </c>
      <c r="H2740" s="25" t="n">
        <v>7</v>
      </c>
      <c r="I2740" s="25" t="inlineStr">
        <is>
          <t>4 minute(s) and 31 second(s)</t>
        </is>
      </c>
      <c r="J2740" s="25">
        <f>IFERROR(VALUE(TRIM(LEFT(I2740,FIND("minute",I2740)-1)))*60,0)+IFERROR(VALUE(SUBSTITUTE(MID(I2740,IFERROR(FIND("and",I2740)+3,1),20),"second(s)","")),0)</f>
        <v/>
      </c>
      <c r="K2740" s="41">
        <f>J2740/60</f>
        <v/>
      </c>
      <c r="L2740" s="41">
        <f>IFERROR(J2740/H2740,"")</f>
        <v/>
      </c>
      <c r="M2740" s="25" t="inlineStr">
        <is>
          <t>2.5.12</t>
        </is>
      </c>
      <c r="N2740" s="25">
        <f>IF(J2740&gt;300,1,0)</f>
        <v/>
      </c>
      <c r="O2740" s="25">
        <f>IF(J2740&gt;600,1,0)</f>
        <v/>
      </c>
      <c r="P2740" s="25">
        <f>IF(H2740&gt;0,J2740,"")</f>
        <v/>
      </c>
      <c r="Q2740" s="25">
        <f>TEXT(A2740,"YYYY-MM-DD HH")</f>
        <v/>
      </c>
      <c r="R2740" s="25">
        <f>COUNTIF($Q$2:$Q$5295,Q2740)</f>
        <v/>
      </c>
      <c r="S2740" s="25">
        <f>IF(R2740&lt;=2,"1-2",IF(R2740&lt;=5,"3-5",IF(R2740&lt;=10,"6-10","11+")))</f>
        <v/>
      </c>
    </row>
    <row r="2741">
      <c r="A2741" s="39" t="n">
        <v>46189.46627314815</v>
      </c>
      <c r="B2741" s="25">
        <f>TEXT(A2741,"YYYY-MM")</f>
        <v/>
      </c>
      <c r="C2741" s="25">
        <f>TEXT(A2741,"MMM-YYYY")</f>
        <v/>
      </c>
      <c r="D2741" s="40">
        <f>INT(A2741)-WEEKDAY(A2741,2)+1</f>
        <v/>
      </c>
      <c r="E2741" s="25" t="inlineStr">
        <is>
          <t>aghosh</t>
        </is>
      </c>
      <c r="F2741" s="25" t="n">
        <v>124134</v>
      </c>
      <c r="G2741" s="25" t="n">
        <v>4</v>
      </c>
      <c r="H2741" s="25" t="n">
        <v>16</v>
      </c>
      <c r="I2741" s="25" t="inlineStr">
        <is>
          <t>4 minute(s) and 0 second(s)</t>
        </is>
      </c>
      <c r="J2741" s="25">
        <f>IFERROR(VALUE(TRIM(LEFT(I2741,FIND("minute",I2741)-1)))*60,0)+IFERROR(VALUE(SUBSTITUTE(MID(I2741,IFERROR(FIND("and",I2741)+3,1),20),"second(s)","")),0)</f>
        <v/>
      </c>
      <c r="K2741" s="41">
        <f>J2741/60</f>
        <v/>
      </c>
      <c r="L2741" s="41">
        <f>IFERROR(J2741/H2741,"")</f>
        <v/>
      </c>
      <c r="M2741" s="25" t="inlineStr">
        <is>
          <t>2.5.12</t>
        </is>
      </c>
      <c r="N2741" s="25">
        <f>IF(J2741&gt;300,1,0)</f>
        <v/>
      </c>
      <c r="O2741" s="25">
        <f>IF(J2741&gt;600,1,0)</f>
        <v/>
      </c>
      <c r="P2741" s="25">
        <f>IF(H2741&gt;0,J2741,"")</f>
        <v/>
      </c>
      <c r="Q2741" s="25">
        <f>TEXT(A2741,"YYYY-MM-DD HH")</f>
        <v/>
      </c>
      <c r="R2741" s="25">
        <f>COUNTIF($Q$2:$Q$5295,Q2741)</f>
        <v/>
      </c>
      <c r="S2741" s="25">
        <f>IF(R2741&lt;=2,"1-2",IF(R2741&lt;=5,"3-5",IF(R2741&lt;=10,"6-10","11+")))</f>
        <v/>
      </c>
    </row>
    <row r="2742">
      <c r="A2742" s="39" t="n">
        <v>46189.46813657408</v>
      </c>
      <c r="B2742" s="25">
        <f>TEXT(A2742,"YYYY-MM")</f>
        <v/>
      </c>
      <c r="C2742" s="25">
        <f>TEXT(A2742,"MMM-YYYY")</f>
        <v/>
      </c>
      <c r="D2742" s="40">
        <f>INT(A2742)-WEEKDAY(A2742,2)+1</f>
        <v/>
      </c>
      <c r="E2742" s="25" t="inlineStr">
        <is>
          <t>mgupta</t>
        </is>
      </c>
      <c r="F2742" s="25" t="n">
        <v>124638</v>
      </c>
      <c r="G2742" s="25" t="n">
        <v>4</v>
      </c>
      <c r="H2742" s="25" t="n">
        <v>20</v>
      </c>
      <c r="I2742" s="25" t="inlineStr">
        <is>
          <t>6 minute(s) and 2 second(s)</t>
        </is>
      </c>
      <c r="J2742" s="25">
        <f>IFERROR(VALUE(TRIM(LEFT(I2742,FIND("minute",I2742)-1)))*60,0)+IFERROR(VALUE(SUBSTITUTE(MID(I2742,IFERROR(FIND("and",I2742)+3,1),20),"second(s)","")),0)</f>
        <v/>
      </c>
      <c r="K2742" s="41">
        <f>J2742/60</f>
        <v/>
      </c>
      <c r="L2742" s="41">
        <f>IFERROR(J2742/H2742,"")</f>
        <v/>
      </c>
      <c r="M2742" s="25" t="inlineStr">
        <is>
          <t>2.5.12</t>
        </is>
      </c>
      <c r="N2742" s="25">
        <f>IF(J2742&gt;300,1,0)</f>
        <v/>
      </c>
      <c r="O2742" s="25">
        <f>IF(J2742&gt;600,1,0)</f>
        <v/>
      </c>
      <c r="P2742" s="25">
        <f>IF(H2742&gt;0,J2742,"")</f>
        <v/>
      </c>
      <c r="Q2742" s="25">
        <f>TEXT(A2742,"YYYY-MM-DD HH")</f>
        <v/>
      </c>
      <c r="R2742" s="25">
        <f>COUNTIF($Q$2:$Q$5295,Q2742)</f>
        <v/>
      </c>
      <c r="S2742" s="25">
        <f>IF(R2742&lt;=2,"1-2",IF(R2742&lt;=5,"3-5",IF(R2742&lt;=10,"6-10","11+")))</f>
        <v/>
      </c>
    </row>
    <row r="2743">
      <c r="A2743" s="39" t="n">
        <v>46189.47715277778</v>
      </c>
      <c r="B2743" s="25">
        <f>TEXT(A2743,"YYYY-MM")</f>
        <v/>
      </c>
      <c r="C2743" s="25">
        <f>TEXT(A2743,"MMM-YYYY")</f>
        <v/>
      </c>
      <c r="D2743" s="40">
        <f>INT(A2743)-WEEKDAY(A2743,2)+1</f>
        <v/>
      </c>
      <c r="E2743" s="25" t="inlineStr">
        <is>
          <t>bverma</t>
        </is>
      </c>
      <c r="F2743" s="25" t="n">
        <v>124357</v>
      </c>
      <c r="G2743" s="25" t="n">
        <v>3</v>
      </c>
      <c r="H2743" s="25" t="n">
        <v>15</v>
      </c>
      <c r="I2743" s="25" t="inlineStr">
        <is>
          <t>5 minute(s) and 30 second(s)</t>
        </is>
      </c>
      <c r="J2743" s="25">
        <f>IFERROR(VALUE(TRIM(LEFT(I2743,FIND("minute",I2743)-1)))*60,0)+IFERROR(VALUE(SUBSTITUTE(MID(I2743,IFERROR(FIND("and",I2743)+3,1),20),"second(s)","")),0)</f>
        <v/>
      </c>
      <c r="K2743" s="41">
        <f>J2743/60</f>
        <v/>
      </c>
      <c r="L2743" s="41">
        <f>IFERROR(J2743/H2743,"")</f>
        <v/>
      </c>
      <c r="M2743" s="25" t="inlineStr">
        <is>
          <t>2.5.12</t>
        </is>
      </c>
      <c r="N2743" s="25">
        <f>IF(J2743&gt;300,1,0)</f>
        <v/>
      </c>
      <c r="O2743" s="25">
        <f>IF(J2743&gt;600,1,0)</f>
        <v/>
      </c>
      <c r="P2743" s="25">
        <f>IF(H2743&gt;0,J2743,"")</f>
        <v/>
      </c>
      <c r="Q2743" s="25">
        <f>TEXT(A2743,"YYYY-MM-DD HH")</f>
        <v/>
      </c>
      <c r="R2743" s="25">
        <f>COUNTIF($Q$2:$Q$5295,Q2743)</f>
        <v/>
      </c>
      <c r="S2743" s="25">
        <f>IF(R2743&lt;=2,"1-2",IF(R2743&lt;=5,"3-5",IF(R2743&lt;=10,"6-10","11+")))</f>
        <v/>
      </c>
    </row>
    <row r="2744">
      <c r="A2744" s="39" t="n">
        <v>46189.49106481481</v>
      </c>
      <c r="B2744" s="25">
        <f>TEXT(A2744,"YYYY-MM")</f>
        <v/>
      </c>
      <c r="C2744" s="25">
        <f>TEXT(A2744,"MMM-YYYY")</f>
        <v/>
      </c>
      <c r="D2744" s="40">
        <f>INT(A2744)-WEEKDAY(A2744,2)+1</f>
        <v/>
      </c>
      <c r="E2744" s="25" t="inlineStr">
        <is>
          <t>ethomas</t>
        </is>
      </c>
      <c r="F2744" s="25" t="n">
        <v>123381</v>
      </c>
      <c r="G2744" s="25" t="n">
        <v>2</v>
      </c>
      <c r="H2744" s="25" t="n">
        <v>10</v>
      </c>
      <c r="I2744" s="25" t="inlineStr">
        <is>
          <t>2 minute(s) and 41 second(s)</t>
        </is>
      </c>
      <c r="J2744" s="25">
        <f>IFERROR(VALUE(TRIM(LEFT(I2744,FIND("minute",I2744)-1)))*60,0)+IFERROR(VALUE(SUBSTITUTE(MID(I2744,IFERROR(FIND("and",I2744)+3,1),20),"second(s)","")),0)</f>
        <v/>
      </c>
      <c r="K2744" s="41">
        <f>J2744/60</f>
        <v/>
      </c>
      <c r="L2744" s="41">
        <f>IFERROR(J2744/H2744,"")</f>
        <v/>
      </c>
      <c r="M2744" s="25" t="inlineStr">
        <is>
          <t>2.5.12</t>
        </is>
      </c>
      <c r="N2744" s="25">
        <f>IF(J2744&gt;300,1,0)</f>
        <v/>
      </c>
      <c r="O2744" s="25">
        <f>IF(J2744&gt;600,1,0)</f>
        <v/>
      </c>
      <c r="P2744" s="25">
        <f>IF(H2744&gt;0,J2744,"")</f>
        <v/>
      </c>
      <c r="Q2744" s="25">
        <f>TEXT(A2744,"YYYY-MM-DD HH")</f>
        <v/>
      </c>
      <c r="R2744" s="25">
        <f>COUNTIF($Q$2:$Q$5295,Q2744)</f>
        <v/>
      </c>
      <c r="S2744" s="25">
        <f>IF(R2744&lt;=2,"1-2",IF(R2744&lt;=5,"3-5",IF(R2744&lt;=10,"6-10","11+")))</f>
        <v/>
      </c>
    </row>
    <row r="2745">
      <c r="A2745" s="39" t="n">
        <v>46189.50278935185</v>
      </c>
      <c r="B2745" s="25">
        <f>TEXT(A2745,"YYYY-MM")</f>
        <v/>
      </c>
      <c r="C2745" s="25">
        <f>TEXT(A2745,"MMM-YYYY")</f>
        <v/>
      </c>
      <c r="D2745" s="40">
        <f>INT(A2745)-WEEKDAY(A2745,2)+1</f>
        <v/>
      </c>
      <c r="E2745" s="25" t="inlineStr">
        <is>
          <t>sdey</t>
        </is>
      </c>
      <c r="F2745" s="25" t="n">
        <v>83195</v>
      </c>
      <c r="G2745" s="25" t="n">
        <v>1</v>
      </c>
      <c r="H2745" s="25" t="n">
        <v>5</v>
      </c>
      <c r="I2745" s="25" t="inlineStr">
        <is>
          <t>3 minute(s) and 3 second(s)</t>
        </is>
      </c>
      <c r="J2745" s="25">
        <f>IFERROR(VALUE(TRIM(LEFT(I2745,FIND("minute",I2745)-1)))*60,0)+IFERROR(VALUE(SUBSTITUTE(MID(I2745,IFERROR(FIND("and",I2745)+3,1),20),"second(s)","")),0)</f>
        <v/>
      </c>
      <c r="K2745" s="41">
        <f>J2745/60</f>
        <v/>
      </c>
      <c r="L2745" s="41">
        <f>IFERROR(J2745/H2745,"")</f>
        <v/>
      </c>
      <c r="M2745" s="25" t="inlineStr">
        <is>
          <t>2.5.12</t>
        </is>
      </c>
      <c r="N2745" s="25">
        <f>IF(J2745&gt;300,1,0)</f>
        <v/>
      </c>
      <c r="O2745" s="25">
        <f>IF(J2745&gt;600,1,0)</f>
        <v/>
      </c>
      <c r="P2745" s="25">
        <f>IF(H2745&gt;0,J2745,"")</f>
        <v/>
      </c>
      <c r="Q2745" s="25">
        <f>TEXT(A2745,"YYYY-MM-DD HH")</f>
        <v/>
      </c>
      <c r="R2745" s="25">
        <f>COUNTIF($Q$2:$Q$5295,Q2745)</f>
        <v/>
      </c>
      <c r="S2745" s="25">
        <f>IF(R2745&lt;=2,"1-2",IF(R2745&lt;=5,"3-5",IF(R2745&lt;=10,"6-10","11+")))</f>
        <v/>
      </c>
    </row>
    <row r="2746">
      <c r="A2746" s="39" t="n">
        <v>46189.52508101852</v>
      </c>
      <c r="B2746" s="25">
        <f>TEXT(A2746,"YYYY-MM")</f>
        <v/>
      </c>
      <c r="C2746" s="25">
        <f>TEXT(A2746,"MMM-YYYY")</f>
        <v/>
      </c>
      <c r="D2746" s="40">
        <f>INT(A2746)-WEEKDAY(A2746,2)+1</f>
        <v/>
      </c>
      <c r="E2746" s="25" t="inlineStr">
        <is>
          <t>csaha</t>
        </is>
      </c>
      <c r="F2746" s="25" t="n">
        <v>124370</v>
      </c>
      <c r="G2746" s="25" t="n">
        <v>4</v>
      </c>
      <c r="H2746" s="25" t="n">
        <v>10</v>
      </c>
      <c r="I2746" s="25" t="inlineStr">
        <is>
          <t>2 minute(s) and 32 second(s)</t>
        </is>
      </c>
      <c r="J2746" s="25">
        <f>IFERROR(VALUE(TRIM(LEFT(I2746,FIND("minute",I2746)-1)))*60,0)+IFERROR(VALUE(SUBSTITUTE(MID(I2746,IFERROR(FIND("and",I2746)+3,1),20),"second(s)","")),0)</f>
        <v/>
      </c>
      <c r="K2746" s="41">
        <f>J2746/60</f>
        <v/>
      </c>
      <c r="L2746" s="41">
        <f>IFERROR(J2746/H2746,"")</f>
        <v/>
      </c>
      <c r="M2746" s="25" t="inlineStr">
        <is>
          <t>2.5.12</t>
        </is>
      </c>
      <c r="N2746" s="25">
        <f>IF(J2746&gt;300,1,0)</f>
        <v/>
      </c>
      <c r="O2746" s="25">
        <f>IF(J2746&gt;600,1,0)</f>
        <v/>
      </c>
      <c r="P2746" s="25">
        <f>IF(H2746&gt;0,J2746,"")</f>
        <v/>
      </c>
      <c r="Q2746" s="25">
        <f>TEXT(A2746,"YYYY-MM-DD HH")</f>
        <v/>
      </c>
      <c r="R2746" s="25">
        <f>COUNTIF($Q$2:$Q$5295,Q2746)</f>
        <v/>
      </c>
      <c r="S2746" s="25">
        <f>IF(R2746&lt;=2,"1-2",IF(R2746&lt;=5,"3-5",IF(R2746&lt;=10,"6-10","11+")))</f>
        <v/>
      </c>
    </row>
    <row r="2747">
      <c r="A2747" s="39" t="n">
        <v>46189.52623842593</v>
      </c>
      <c r="B2747" s="25">
        <f>TEXT(A2747,"YYYY-MM")</f>
        <v/>
      </c>
      <c r="C2747" s="25">
        <f>TEXT(A2747,"MMM-YYYY")</f>
        <v/>
      </c>
      <c r="D2747" s="40">
        <f>INT(A2747)-WEEKDAY(A2747,2)+1</f>
        <v/>
      </c>
      <c r="E2747" s="25" t="inlineStr">
        <is>
          <t>hsindwani</t>
        </is>
      </c>
      <c r="F2747" s="25" t="n">
        <v>124589</v>
      </c>
      <c r="G2747" s="25" t="n">
        <v>3</v>
      </c>
      <c r="H2747" s="25" t="n">
        <v>21</v>
      </c>
      <c r="I2747" s="25" t="inlineStr">
        <is>
          <t>16 minute(s) and 50 second(s)</t>
        </is>
      </c>
      <c r="J2747" s="25">
        <f>IFERROR(VALUE(TRIM(LEFT(I2747,FIND("minute",I2747)-1)))*60,0)+IFERROR(VALUE(SUBSTITUTE(MID(I2747,IFERROR(FIND("and",I2747)+3,1),20),"second(s)","")),0)</f>
        <v/>
      </c>
      <c r="K2747" s="41">
        <f>J2747/60</f>
        <v/>
      </c>
      <c r="L2747" s="41">
        <f>IFERROR(J2747/H2747,"")</f>
        <v/>
      </c>
      <c r="M2747" s="25" t="inlineStr">
        <is>
          <t>2.5.12</t>
        </is>
      </c>
      <c r="N2747" s="25">
        <f>IF(J2747&gt;300,1,0)</f>
        <v/>
      </c>
      <c r="O2747" s="25">
        <f>IF(J2747&gt;600,1,0)</f>
        <v/>
      </c>
      <c r="P2747" s="25">
        <f>IF(H2747&gt;0,J2747,"")</f>
        <v/>
      </c>
      <c r="Q2747" s="25">
        <f>TEXT(A2747,"YYYY-MM-DD HH")</f>
        <v/>
      </c>
      <c r="R2747" s="25">
        <f>COUNTIF($Q$2:$Q$5295,Q2747)</f>
        <v/>
      </c>
      <c r="S2747" s="25">
        <f>IF(R2747&lt;=2,"1-2",IF(R2747&lt;=5,"3-5",IF(R2747&lt;=10,"6-10","11+")))</f>
        <v/>
      </c>
    </row>
    <row r="2748">
      <c r="A2748" s="39" t="n">
        <v>46189.54013888889</v>
      </c>
      <c r="B2748" s="25">
        <f>TEXT(A2748,"YYYY-MM")</f>
        <v/>
      </c>
      <c r="C2748" s="25">
        <f>TEXT(A2748,"MMM-YYYY")</f>
        <v/>
      </c>
      <c r="D2748" s="40">
        <f>INT(A2748)-WEEKDAY(A2748,2)+1</f>
        <v/>
      </c>
      <c r="E2748" s="25" t="inlineStr">
        <is>
          <t>pgautam</t>
        </is>
      </c>
      <c r="F2748" s="25" t="n">
        <v>123980</v>
      </c>
      <c r="G2748" s="25" t="n">
        <v>3</v>
      </c>
      <c r="H2748" s="25" t="n">
        <v>13</v>
      </c>
      <c r="I2748" s="25" t="inlineStr">
        <is>
          <t>3 minute(s) and 21 second(s)</t>
        </is>
      </c>
      <c r="J2748" s="25">
        <f>IFERROR(VALUE(TRIM(LEFT(I2748,FIND("minute",I2748)-1)))*60,0)+IFERROR(VALUE(SUBSTITUTE(MID(I2748,IFERROR(FIND("and",I2748)+3,1),20),"second(s)","")),0)</f>
        <v/>
      </c>
      <c r="K2748" s="41">
        <f>J2748/60</f>
        <v/>
      </c>
      <c r="L2748" s="41">
        <f>IFERROR(J2748/H2748,"")</f>
        <v/>
      </c>
      <c r="M2748" s="25" t="inlineStr">
        <is>
          <t>2.5.12</t>
        </is>
      </c>
      <c r="N2748" s="25">
        <f>IF(J2748&gt;300,1,0)</f>
        <v/>
      </c>
      <c r="O2748" s="25">
        <f>IF(J2748&gt;600,1,0)</f>
        <v/>
      </c>
      <c r="P2748" s="25">
        <f>IF(H2748&gt;0,J2748,"")</f>
        <v/>
      </c>
      <c r="Q2748" s="25">
        <f>TEXT(A2748,"YYYY-MM-DD HH")</f>
        <v/>
      </c>
      <c r="R2748" s="25">
        <f>COUNTIF($Q$2:$Q$5295,Q2748)</f>
        <v/>
      </c>
      <c r="S2748" s="25">
        <f>IF(R2748&lt;=2,"1-2",IF(R2748&lt;=5,"3-5",IF(R2748&lt;=10,"6-10","11+")))</f>
        <v/>
      </c>
    </row>
    <row r="2749">
      <c r="A2749" s="39" t="n">
        <v>46189.56451388889</v>
      </c>
      <c r="B2749" s="25">
        <f>TEXT(A2749,"YYYY-MM")</f>
        <v/>
      </c>
      <c r="C2749" s="25">
        <f>TEXT(A2749,"MMM-YYYY")</f>
        <v/>
      </c>
      <c r="D2749" s="40">
        <f>INT(A2749)-WEEKDAY(A2749,2)+1</f>
        <v/>
      </c>
      <c r="E2749" s="25" t="inlineStr">
        <is>
          <t>rsingh</t>
        </is>
      </c>
      <c r="F2749" s="25" t="n">
        <v>125073</v>
      </c>
      <c r="G2749" s="25" t="n">
        <v>2</v>
      </c>
      <c r="H2749" s="25" t="n">
        <v>13</v>
      </c>
      <c r="I2749" s="25" t="inlineStr">
        <is>
          <t>4 minute(s) and 19 second(s)</t>
        </is>
      </c>
      <c r="J2749" s="25">
        <f>IFERROR(VALUE(TRIM(LEFT(I2749,FIND("minute",I2749)-1)))*60,0)+IFERROR(VALUE(SUBSTITUTE(MID(I2749,IFERROR(FIND("and",I2749)+3,1),20),"second(s)","")),0)</f>
        <v/>
      </c>
      <c r="K2749" s="41">
        <f>J2749/60</f>
        <v/>
      </c>
      <c r="L2749" s="41">
        <f>IFERROR(J2749/H2749,"")</f>
        <v/>
      </c>
      <c r="M2749" s="25" t="inlineStr">
        <is>
          <t>2.5.12</t>
        </is>
      </c>
      <c r="N2749" s="25">
        <f>IF(J2749&gt;300,1,0)</f>
        <v/>
      </c>
      <c r="O2749" s="25">
        <f>IF(J2749&gt;600,1,0)</f>
        <v/>
      </c>
      <c r="P2749" s="25">
        <f>IF(H2749&gt;0,J2749,"")</f>
        <v/>
      </c>
      <c r="Q2749" s="25">
        <f>TEXT(A2749,"YYYY-MM-DD HH")</f>
        <v/>
      </c>
      <c r="R2749" s="25">
        <f>COUNTIF($Q$2:$Q$5295,Q2749)</f>
        <v/>
      </c>
      <c r="S2749" s="25">
        <f>IF(R2749&lt;=2,"1-2",IF(R2749&lt;=5,"3-5",IF(R2749&lt;=10,"6-10","11+")))</f>
        <v/>
      </c>
    </row>
    <row r="2750">
      <c r="A2750" s="39" t="n">
        <v>46189.59608796296</v>
      </c>
      <c r="B2750" s="25">
        <f>TEXT(A2750,"YYYY-MM")</f>
        <v/>
      </c>
      <c r="C2750" s="25">
        <f>TEXT(A2750,"MMM-YYYY")</f>
        <v/>
      </c>
      <c r="D2750" s="40">
        <f>INT(A2750)-WEEKDAY(A2750,2)+1</f>
        <v/>
      </c>
      <c r="E2750" s="25" t="inlineStr">
        <is>
          <t>ssaha</t>
        </is>
      </c>
      <c r="F2750" s="25" t="n">
        <v>125828</v>
      </c>
      <c r="G2750" s="25" t="n">
        <v>4</v>
      </c>
      <c r="H2750" s="25" t="n">
        <v>20</v>
      </c>
      <c r="I2750" s="25" t="inlineStr">
        <is>
          <t>3 minute(s) and 39 second(s)</t>
        </is>
      </c>
      <c r="J2750" s="25">
        <f>IFERROR(VALUE(TRIM(LEFT(I2750,FIND("minute",I2750)-1)))*60,0)+IFERROR(VALUE(SUBSTITUTE(MID(I2750,IFERROR(FIND("and",I2750)+3,1),20),"second(s)","")),0)</f>
        <v/>
      </c>
      <c r="K2750" s="41">
        <f>J2750/60</f>
        <v/>
      </c>
      <c r="L2750" s="41">
        <f>IFERROR(J2750/H2750,"")</f>
        <v/>
      </c>
      <c r="M2750" s="25" t="inlineStr">
        <is>
          <t>2.5.12</t>
        </is>
      </c>
      <c r="N2750" s="25">
        <f>IF(J2750&gt;300,1,0)</f>
        <v/>
      </c>
      <c r="O2750" s="25">
        <f>IF(J2750&gt;600,1,0)</f>
        <v/>
      </c>
      <c r="P2750" s="25">
        <f>IF(H2750&gt;0,J2750,"")</f>
        <v/>
      </c>
      <c r="Q2750" s="25">
        <f>TEXT(A2750,"YYYY-MM-DD HH")</f>
        <v/>
      </c>
      <c r="R2750" s="25">
        <f>COUNTIF($Q$2:$Q$5295,Q2750)</f>
        <v/>
      </c>
      <c r="S2750" s="25">
        <f>IF(R2750&lt;=2,"1-2",IF(R2750&lt;=5,"3-5",IF(R2750&lt;=10,"6-10","11+")))</f>
        <v/>
      </c>
    </row>
    <row r="2751">
      <c r="A2751" s="39" t="n">
        <v>46189.59949074074</v>
      </c>
      <c r="B2751" s="25">
        <f>TEXT(A2751,"YYYY-MM")</f>
        <v/>
      </c>
      <c r="C2751" s="25">
        <f>TEXT(A2751,"MMM-YYYY")</f>
        <v/>
      </c>
      <c r="D2751" s="40">
        <f>INT(A2751)-WEEKDAY(A2751,2)+1</f>
        <v/>
      </c>
      <c r="E2751" s="25" t="inlineStr">
        <is>
          <t>sdey</t>
        </is>
      </c>
      <c r="F2751" s="25" t="n">
        <v>104078</v>
      </c>
      <c r="G2751" s="25" t="n">
        <v>1</v>
      </c>
      <c r="H2751" s="25" t="n">
        <v>5</v>
      </c>
      <c r="I2751" s="25" t="inlineStr">
        <is>
          <t>1 minute(s) and 29 second(s)</t>
        </is>
      </c>
      <c r="J2751" s="25">
        <f>IFERROR(VALUE(TRIM(LEFT(I2751,FIND("minute",I2751)-1)))*60,0)+IFERROR(VALUE(SUBSTITUTE(MID(I2751,IFERROR(FIND("and",I2751)+3,1),20),"second(s)","")),0)</f>
        <v/>
      </c>
      <c r="K2751" s="41">
        <f>J2751/60</f>
        <v/>
      </c>
      <c r="L2751" s="41">
        <f>IFERROR(J2751/H2751,"")</f>
        <v/>
      </c>
      <c r="M2751" s="25" t="inlineStr">
        <is>
          <t>2.5.12</t>
        </is>
      </c>
      <c r="N2751" s="25">
        <f>IF(J2751&gt;300,1,0)</f>
        <v/>
      </c>
      <c r="O2751" s="25">
        <f>IF(J2751&gt;600,1,0)</f>
        <v/>
      </c>
      <c r="P2751" s="25">
        <f>IF(H2751&gt;0,J2751,"")</f>
        <v/>
      </c>
      <c r="Q2751" s="25">
        <f>TEXT(A2751,"YYYY-MM-DD HH")</f>
        <v/>
      </c>
      <c r="R2751" s="25">
        <f>COUNTIF($Q$2:$Q$5295,Q2751)</f>
        <v/>
      </c>
      <c r="S2751" s="25">
        <f>IF(R2751&lt;=2,"1-2",IF(R2751&lt;=5,"3-5",IF(R2751&lt;=10,"6-10","11+")))</f>
        <v/>
      </c>
    </row>
    <row r="2752">
      <c r="A2752" s="39" t="n">
        <v>46189.60680555556</v>
      </c>
      <c r="B2752" s="25">
        <f>TEXT(A2752,"YYYY-MM")</f>
        <v/>
      </c>
      <c r="C2752" s="25">
        <f>TEXT(A2752,"MMM-YYYY")</f>
        <v/>
      </c>
      <c r="D2752" s="40">
        <f>INT(A2752)-WEEKDAY(A2752,2)+1</f>
        <v/>
      </c>
      <c r="E2752" s="25" t="inlineStr">
        <is>
          <t>csaha</t>
        </is>
      </c>
      <c r="F2752" s="25" t="n">
        <v>124371</v>
      </c>
      <c r="G2752" s="25" t="n">
        <v>4</v>
      </c>
      <c r="H2752" s="25" t="n">
        <v>8</v>
      </c>
      <c r="I2752" s="25" t="inlineStr">
        <is>
          <t>2 minute(s) and 27 second(s)</t>
        </is>
      </c>
      <c r="J2752" s="25">
        <f>IFERROR(VALUE(TRIM(LEFT(I2752,FIND("minute",I2752)-1)))*60,0)+IFERROR(VALUE(SUBSTITUTE(MID(I2752,IFERROR(FIND("and",I2752)+3,1),20),"second(s)","")),0)</f>
        <v/>
      </c>
      <c r="K2752" s="41">
        <f>J2752/60</f>
        <v/>
      </c>
      <c r="L2752" s="41">
        <f>IFERROR(J2752/H2752,"")</f>
        <v/>
      </c>
      <c r="M2752" s="25" t="inlineStr">
        <is>
          <t>2.5.12</t>
        </is>
      </c>
      <c r="N2752" s="25">
        <f>IF(J2752&gt;300,1,0)</f>
        <v/>
      </c>
      <c r="O2752" s="25">
        <f>IF(J2752&gt;600,1,0)</f>
        <v/>
      </c>
      <c r="P2752" s="25">
        <f>IF(H2752&gt;0,J2752,"")</f>
        <v/>
      </c>
      <c r="Q2752" s="25">
        <f>TEXT(A2752,"YYYY-MM-DD HH")</f>
        <v/>
      </c>
      <c r="R2752" s="25">
        <f>COUNTIF($Q$2:$Q$5295,Q2752)</f>
        <v/>
      </c>
      <c r="S2752" s="25">
        <f>IF(R2752&lt;=2,"1-2",IF(R2752&lt;=5,"3-5",IF(R2752&lt;=10,"6-10","11+")))</f>
        <v/>
      </c>
    </row>
    <row r="2753">
      <c r="A2753" s="39" t="n">
        <v>46189.61701388889</v>
      </c>
      <c r="B2753" s="25">
        <f>TEXT(A2753,"YYYY-MM")</f>
        <v/>
      </c>
      <c r="C2753" s="25">
        <f>TEXT(A2753,"MMM-YYYY")</f>
        <v/>
      </c>
      <c r="D2753" s="40">
        <f>INT(A2753)-WEEKDAY(A2753,2)+1</f>
        <v/>
      </c>
      <c r="E2753" s="25" t="inlineStr">
        <is>
          <t>ssarkar</t>
        </is>
      </c>
      <c r="F2753" s="25" t="n">
        <v>125243</v>
      </c>
      <c r="G2753" s="25" t="n">
        <v>2</v>
      </c>
      <c r="H2753" s="25" t="n">
        <v>8</v>
      </c>
      <c r="I2753" s="25" t="inlineStr">
        <is>
          <t>3 minute(s) and 8 second(s)</t>
        </is>
      </c>
      <c r="J2753" s="25">
        <f>IFERROR(VALUE(TRIM(LEFT(I2753,FIND("minute",I2753)-1)))*60,0)+IFERROR(VALUE(SUBSTITUTE(MID(I2753,IFERROR(FIND("and",I2753)+3,1),20),"second(s)","")),0)</f>
        <v/>
      </c>
      <c r="K2753" s="41">
        <f>J2753/60</f>
        <v/>
      </c>
      <c r="L2753" s="41">
        <f>IFERROR(J2753/H2753,"")</f>
        <v/>
      </c>
      <c r="M2753" s="25" t="inlineStr">
        <is>
          <t>2.5.12</t>
        </is>
      </c>
      <c r="N2753" s="25">
        <f>IF(J2753&gt;300,1,0)</f>
        <v/>
      </c>
      <c r="O2753" s="25">
        <f>IF(J2753&gt;600,1,0)</f>
        <v/>
      </c>
      <c r="P2753" s="25">
        <f>IF(H2753&gt;0,J2753,"")</f>
        <v/>
      </c>
      <c r="Q2753" s="25">
        <f>TEXT(A2753,"YYYY-MM-DD HH")</f>
        <v/>
      </c>
      <c r="R2753" s="25">
        <f>COUNTIF($Q$2:$Q$5295,Q2753)</f>
        <v/>
      </c>
      <c r="S2753" s="25">
        <f>IF(R2753&lt;=2,"1-2",IF(R2753&lt;=5,"3-5",IF(R2753&lt;=10,"6-10","11+")))</f>
        <v/>
      </c>
    </row>
    <row r="2754">
      <c r="A2754" s="39" t="n">
        <v>46189.64991898148</v>
      </c>
      <c r="B2754" s="25">
        <f>TEXT(A2754,"YYYY-MM")</f>
        <v/>
      </c>
      <c r="C2754" s="25">
        <f>TEXT(A2754,"MMM-YYYY")</f>
        <v/>
      </c>
      <c r="D2754" s="40">
        <f>INT(A2754)-WEEKDAY(A2754,2)+1</f>
        <v/>
      </c>
      <c r="E2754" s="25" t="inlineStr">
        <is>
          <t>rsingh</t>
        </is>
      </c>
      <c r="F2754" s="25" t="n">
        <v>125075</v>
      </c>
      <c r="G2754" s="25" t="n">
        <v>2</v>
      </c>
      <c r="H2754" s="25" t="n">
        <v>13</v>
      </c>
      <c r="I2754" s="25" t="inlineStr">
        <is>
          <t>7 minute(s) and 4 second(s)</t>
        </is>
      </c>
      <c r="J2754" s="25">
        <f>IFERROR(VALUE(TRIM(LEFT(I2754,FIND("minute",I2754)-1)))*60,0)+IFERROR(VALUE(SUBSTITUTE(MID(I2754,IFERROR(FIND("and",I2754)+3,1),20),"second(s)","")),0)</f>
        <v/>
      </c>
      <c r="K2754" s="41">
        <f>J2754/60</f>
        <v/>
      </c>
      <c r="L2754" s="41">
        <f>IFERROR(J2754/H2754,"")</f>
        <v/>
      </c>
      <c r="M2754" s="25" t="inlineStr">
        <is>
          <t>2.5.12</t>
        </is>
      </c>
      <c r="N2754" s="25">
        <f>IF(J2754&gt;300,1,0)</f>
        <v/>
      </c>
      <c r="O2754" s="25">
        <f>IF(J2754&gt;600,1,0)</f>
        <v/>
      </c>
      <c r="P2754" s="25">
        <f>IF(H2754&gt;0,J2754,"")</f>
        <v/>
      </c>
      <c r="Q2754" s="25">
        <f>TEXT(A2754,"YYYY-MM-DD HH")</f>
        <v/>
      </c>
      <c r="R2754" s="25">
        <f>COUNTIF($Q$2:$Q$5295,Q2754)</f>
        <v/>
      </c>
      <c r="S2754" s="25">
        <f>IF(R2754&lt;=2,"1-2",IF(R2754&lt;=5,"3-5",IF(R2754&lt;=10,"6-10","11+")))</f>
        <v/>
      </c>
    </row>
    <row r="2755">
      <c r="A2755" s="39" t="n">
        <v>46189.65827546296</v>
      </c>
      <c r="B2755" s="25">
        <f>TEXT(A2755,"YYYY-MM")</f>
        <v/>
      </c>
      <c r="C2755" s="25">
        <f>TEXT(A2755,"MMM-YYYY")</f>
        <v/>
      </c>
      <c r="D2755" s="40">
        <f>INT(A2755)-WEEKDAY(A2755,2)+1</f>
        <v/>
      </c>
      <c r="E2755" s="25" t="inlineStr">
        <is>
          <t>ssaha</t>
        </is>
      </c>
      <c r="F2755" s="25" t="n">
        <v>123891</v>
      </c>
      <c r="G2755" s="25" t="n">
        <v>4</v>
      </c>
      <c r="H2755" s="25" t="n">
        <v>6</v>
      </c>
      <c r="I2755" s="25" t="inlineStr">
        <is>
          <t>1 minute(s) and 1 second(s)</t>
        </is>
      </c>
      <c r="J2755" s="25">
        <f>IFERROR(VALUE(TRIM(LEFT(I2755,FIND("minute",I2755)-1)))*60,0)+IFERROR(VALUE(SUBSTITUTE(MID(I2755,IFERROR(FIND("and",I2755)+3,1),20),"second(s)","")),0)</f>
        <v/>
      </c>
      <c r="K2755" s="41">
        <f>J2755/60</f>
        <v/>
      </c>
      <c r="L2755" s="41">
        <f>IFERROR(J2755/H2755,"")</f>
        <v/>
      </c>
      <c r="M2755" s="25" t="inlineStr">
        <is>
          <t>2.5.12</t>
        </is>
      </c>
      <c r="N2755" s="25">
        <f>IF(J2755&gt;300,1,0)</f>
        <v/>
      </c>
      <c r="O2755" s="25">
        <f>IF(J2755&gt;600,1,0)</f>
        <v/>
      </c>
      <c r="P2755" s="25">
        <f>IF(H2755&gt;0,J2755,"")</f>
        <v/>
      </c>
      <c r="Q2755" s="25">
        <f>TEXT(A2755,"YYYY-MM-DD HH")</f>
        <v/>
      </c>
      <c r="R2755" s="25">
        <f>COUNTIF($Q$2:$Q$5295,Q2755)</f>
        <v/>
      </c>
      <c r="S2755" s="25">
        <f>IF(R2755&lt;=2,"1-2",IF(R2755&lt;=5,"3-5",IF(R2755&lt;=10,"6-10","11+")))</f>
        <v/>
      </c>
    </row>
    <row r="2756">
      <c r="A2756" s="39" t="n">
        <v>46189.65928240741</v>
      </c>
      <c r="B2756" s="25">
        <f>TEXT(A2756,"YYYY-MM")</f>
        <v/>
      </c>
      <c r="C2756" s="25">
        <f>TEXT(A2756,"MMM-YYYY")</f>
        <v/>
      </c>
      <c r="D2756" s="40">
        <f>INT(A2756)-WEEKDAY(A2756,2)+1</f>
        <v/>
      </c>
      <c r="E2756" s="25" t="inlineStr">
        <is>
          <t>emishra</t>
        </is>
      </c>
      <c r="F2756" s="25" t="n">
        <v>84770</v>
      </c>
      <c r="G2756" s="25" t="n">
        <v>5</v>
      </c>
      <c r="H2756" s="25" t="n">
        <v>19</v>
      </c>
      <c r="I2756" s="25" t="inlineStr">
        <is>
          <t>5 minute(s) and 20 second(s)</t>
        </is>
      </c>
      <c r="J2756" s="25">
        <f>IFERROR(VALUE(TRIM(LEFT(I2756,FIND("minute",I2756)-1)))*60,0)+IFERROR(VALUE(SUBSTITUTE(MID(I2756,IFERROR(FIND("and",I2756)+3,1),20),"second(s)","")),0)</f>
        <v/>
      </c>
      <c r="K2756" s="41">
        <f>J2756/60</f>
        <v/>
      </c>
      <c r="L2756" s="41">
        <f>IFERROR(J2756/H2756,"")</f>
        <v/>
      </c>
      <c r="M2756" s="25" t="inlineStr">
        <is>
          <t>2.5.12</t>
        </is>
      </c>
      <c r="N2756" s="25">
        <f>IF(J2756&gt;300,1,0)</f>
        <v/>
      </c>
      <c r="O2756" s="25">
        <f>IF(J2756&gt;600,1,0)</f>
        <v/>
      </c>
      <c r="P2756" s="25">
        <f>IF(H2756&gt;0,J2756,"")</f>
        <v/>
      </c>
      <c r="Q2756" s="25">
        <f>TEXT(A2756,"YYYY-MM-DD HH")</f>
        <v/>
      </c>
      <c r="R2756" s="25">
        <f>COUNTIF($Q$2:$Q$5295,Q2756)</f>
        <v/>
      </c>
      <c r="S2756" s="25">
        <f>IF(R2756&lt;=2,"1-2",IF(R2756&lt;=5,"3-5",IF(R2756&lt;=10,"6-10","11+")))</f>
        <v/>
      </c>
    </row>
    <row r="2757">
      <c r="A2757" s="39" t="n">
        <v>46189.67868055555</v>
      </c>
      <c r="B2757" s="25">
        <f>TEXT(A2757,"YYYY-MM")</f>
        <v/>
      </c>
      <c r="C2757" s="25">
        <f>TEXT(A2757,"MMM-YYYY")</f>
        <v/>
      </c>
      <c r="D2757" s="40">
        <f>INT(A2757)-WEEKDAY(A2757,2)+1</f>
        <v/>
      </c>
      <c r="E2757" s="25" t="inlineStr">
        <is>
          <t>emishra</t>
        </is>
      </c>
      <c r="F2757" s="25" t="n">
        <v>84804</v>
      </c>
      <c r="G2757" s="25" t="n">
        <v>4</v>
      </c>
      <c r="H2757" s="25" t="n">
        <v>26</v>
      </c>
      <c r="I2757" s="25" t="inlineStr">
        <is>
          <t>6 minute(s) and 12 second(s)</t>
        </is>
      </c>
      <c r="J2757" s="25">
        <f>IFERROR(VALUE(TRIM(LEFT(I2757,FIND("minute",I2757)-1)))*60,0)+IFERROR(VALUE(SUBSTITUTE(MID(I2757,IFERROR(FIND("and",I2757)+3,1),20),"second(s)","")),0)</f>
        <v/>
      </c>
      <c r="K2757" s="41">
        <f>J2757/60</f>
        <v/>
      </c>
      <c r="L2757" s="41">
        <f>IFERROR(J2757/H2757,"")</f>
        <v/>
      </c>
      <c r="M2757" s="25" t="inlineStr">
        <is>
          <t>2.5.12</t>
        </is>
      </c>
      <c r="N2757" s="25">
        <f>IF(J2757&gt;300,1,0)</f>
        <v/>
      </c>
      <c r="O2757" s="25">
        <f>IF(J2757&gt;600,1,0)</f>
        <v/>
      </c>
      <c r="P2757" s="25">
        <f>IF(H2757&gt;0,J2757,"")</f>
        <v/>
      </c>
      <c r="Q2757" s="25">
        <f>TEXT(A2757,"YYYY-MM-DD HH")</f>
        <v/>
      </c>
      <c r="R2757" s="25">
        <f>COUNTIF($Q$2:$Q$5295,Q2757)</f>
        <v/>
      </c>
      <c r="S2757" s="25">
        <f>IF(R2757&lt;=2,"1-2",IF(R2757&lt;=5,"3-5",IF(R2757&lt;=10,"6-10","11+")))</f>
        <v/>
      </c>
    </row>
    <row r="2758">
      <c r="A2758" s="39" t="n">
        <v>46189.67925925926</v>
      </c>
      <c r="B2758" s="25">
        <f>TEXT(A2758,"YYYY-MM")</f>
        <v/>
      </c>
      <c r="C2758" s="25">
        <f>TEXT(A2758,"MMM-YYYY")</f>
        <v/>
      </c>
      <c r="D2758" s="40">
        <f>INT(A2758)-WEEKDAY(A2758,2)+1</f>
        <v/>
      </c>
      <c r="E2758" s="25" t="inlineStr">
        <is>
          <t>psingh</t>
        </is>
      </c>
      <c r="F2758" s="25" t="n">
        <v>123571</v>
      </c>
      <c r="G2758" s="25" t="n">
        <v>3</v>
      </c>
      <c r="H2758" s="25" t="n">
        <v>13</v>
      </c>
      <c r="I2758" s="25" t="inlineStr">
        <is>
          <t>3 minute(s) and 6 second(s)</t>
        </is>
      </c>
      <c r="J2758" s="25">
        <f>IFERROR(VALUE(TRIM(LEFT(I2758,FIND("minute",I2758)-1)))*60,0)+IFERROR(VALUE(SUBSTITUTE(MID(I2758,IFERROR(FIND("and",I2758)+3,1),20),"second(s)","")),0)</f>
        <v/>
      </c>
      <c r="K2758" s="41">
        <f>J2758/60</f>
        <v/>
      </c>
      <c r="L2758" s="41">
        <f>IFERROR(J2758/H2758,"")</f>
        <v/>
      </c>
      <c r="M2758" s="25" t="inlineStr">
        <is>
          <t>2.5.12</t>
        </is>
      </c>
      <c r="N2758" s="25">
        <f>IF(J2758&gt;300,1,0)</f>
        <v/>
      </c>
      <c r="O2758" s="25">
        <f>IF(J2758&gt;600,1,0)</f>
        <v/>
      </c>
      <c r="P2758" s="25">
        <f>IF(H2758&gt;0,J2758,"")</f>
        <v/>
      </c>
      <c r="Q2758" s="25">
        <f>TEXT(A2758,"YYYY-MM-DD HH")</f>
        <v/>
      </c>
      <c r="R2758" s="25">
        <f>COUNTIF($Q$2:$Q$5295,Q2758)</f>
        <v/>
      </c>
      <c r="S2758" s="25">
        <f>IF(R2758&lt;=2,"1-2",IF(R2758&lt;=5,"3-5",IF(R2758&lt;=10,"6-10","11+")))</f>
        <v/>
      </c>
    </row>
    <row r="2759">
      <c r="A2759" s="39" t="n">
        <v>46189.72185185185</v>
      </c>
      <c r="B2759" s="25">
        <f>TEXT(A2759,"YYYY-MM")</f>
        <v/>
      </c>
      <c r="C2759" s="25">
        <f>TEXT(A2759,"MMM-YYYY")</f>
        <v/>
      </c>
      <c r="D2759" s="40">
        <f>INT(A2759)-WEEKDAY(A2759,2)+1</f>
        <v/>
      </c>
      <c r="E2759" s="25" t="inlineStr">
        <is>
          <t>emishra</t>
        </is>
      </c>
      <c r="F2759" s="25" t="n">
        <v>95684</v>
      </c>
      <c r="G2759" s="25" t="n">
        <v>4</v>
      </c>
      <c r="H2759" s="25" t="n">
        <v>22</v>
      </c>
      <c r="I2759" s="25" t="inlineStr">
        <is>
          <t>4 minute(s) and 51 second(s)</t>
        </is>
      </c>
      <c r="J2759" s="25">
        <f>IFERROR(VALUE(TRIM(LEFT(I2759,FIND("minute",I2759)-1)))*60,0)+IFERROR(VALUE(SUBSTITUTE(MID(I2759,IFERROR(FIND("and",I2759)+3,1),20),"second(s)","")),0)</f>
        <v/>
      </c>
      <c r="K2759" s="41">
        <f>J2759/60</f>
        <v/>
      </c>
      <c r="L2759" s="41">
        <f>IFERROR(J2759/H2759,"")</f>
        <v/>
      </c>
      <c r="M2759" s="25" t="inlineStr">
        <is>
          <t>2.5.12</t>
        </is>
      </c>
      <c r="N2759" s="25">
        <f>IF(J2759&gt;300,1,0)</f>
        <v/>
      </c>
      <c r="O2759" s="25">
        <f>IF(J2759&gt;600,1,0)</f>
        <v/>
      </c>
      <c r="P2759" s="25">
        <f>IF(H2759&gt;0,J2759,"")</f>
        <v/>
      </c>
      <c r="Q2759" s="25">
        <f>TEXT(A2759,"YYYY-MM-DD HH")</f>
        <v/>
      </c>
      <c r="R2759" s="25">
        <f>COUNTIF($Q$2:$Q$5295,Q2759)</f>
        <v/>
      </c>
      <c r="S2759" s="25">
        <f>IF(R2759&lt;=2,"1-2",IF(R2759&lt;=5,"3-5",IF(R2759&lt;=10,"6-10","11+")))</f>
        <v/>
      </c>
    </row>
    <row r="2760">
      <c r="A2760" s="39" t="n">
        <v>46189.7653587963</v>
      </c>
      <c r="B2760" s="25">
        <f>TEXT(A2760,"YYYY-MM")</f>
        <v/>
      </c>
      <c r="C2760" s="25">
        <f>TEXT(A2760,"MMM-YYYY")</f>
        <v/>
      </c>
      <c r="D2760" s="40">
        <f>INT(A2760)-WEEKDAY(A2760,2)+1</f>
        <v/>
      </c>
      <c r="E2760" s="25" t="inlineStr">
        <is>
          <t>ssaha</t>
        </is>
      </c>
      <c r="F2760" s="25" t="n">
        <v>123890</v>
      </c>
      <c r="G2760" s="25" t="n">
        <v>2</v>
      </c>
      <c r="H2760" s="25" t="n">
        <v>4</v>
      </c>
      <c r="I2760" s="25" t="inlineStr">
        <is>
          <t>1 minute(s) and 19 second(s)</t>
        </is>
      </c>
      <c r="J2760" s="25">
        <f>IFERROR(VALUE(TRIM(LEFT(I2760,FIND("minute",I2760)-1)))*60,0)+IFERROR(VALUE(SUBSTITUTE(MID(I2760,IFERROR(FIND("and",I2760)+3,1),20),"second(s)","")),0)</f>
        <v/>
      </c>
      <c r="K2760" s="41">
        <f>J2760/60</f>
        <v/>
      </c>
      <c r="L2760" s="41">
        <f>IFERROR(J2760/H2760,"")</f>
        <v/>
      </c>
      <c r="M2760" s="25" t="inlineStr">
        <is>
          <t>2.5.12</t>
        </is>
      </c>
      <c r="N2760" s="25">
        <f>IF(J2760&gt;300,1,0)</f>
        <v/>
      </c>
      <c r="O2760" s="25">
        <f>IF(J2760&gt;600,1,0)</f>
        <v/>
      </c>
      <c r="P2760" s="25">
        <f>IF(H2760&gt;0,J2760,"")</f>
        <v/>
      </c>
      <c r="Q2760" s="25">
        <f>TEXT(A2760,"YYYY-MM-DD HH")</f>
        <v/>
      </c>
      <c r="R2760" s="25">
        <f>COUNTIF($Q$2:$Q$5295,Q2760)</f>
        <v/>
      </c>
      <c r="S2760" s="25">
        <f>IF(R2760&lt;=2,"1-2",IF(R2760&lt;=5,"3-5",IF(R2760&lt;=10,"6-10","11+")))</f>
        <v/>
      </c>
    </row>
    <row r="2761">
      <c r="A2761" s="39" t="n">
        <v>46189.78664351852</v>
      </c>
      <c r="B2761" s="25">
        <f>TEXT(A2761,"YYYY-MM")</f>
        <v/>
      </c>
      <c r="C2761" s="25">
        <f>TEXT(A2761,"MMM-YYYY")</f>
        <v/>
      </c>
      <c r="D2761" s="40">
        <f>INT(A2761)-WEEKDAY(A2761,2)+1</f>
        <v/>
      </c>
      <c r="E2761" s="25" t="inlineStr">
        <is>
          <t>rsingh</t>
        </is>
      </c>
      <c r="F2761" s="25" t="n">
        <v>125081</v>
      </c>
      <c r="G2761" s="25" t="n">
        <v>2</v>
      </c>
      <c r="H2761" s="25" t="n">
        <v>12</v>
      </c>
      <c r="I2761" s="25" t="inlineStr">
        <is>
          <t>7 minute(s) and 37 second(s)</t>
        </is>
      </c>
      <c r="J2761" s="25">
        <f>IFERROR(VALUE(TRIM(LEFT(I2761,FIND("minute",I2761)-1)))*60,0)+IFERROR(VALUE(SUBSTITUTE(MID(I2761,IFERROR(FIND("and",I2761)+3,1),20),"second(s)","")),0)</f>
        <v/>
      </c>
      <c r="K2761" s="41">
        <f>J2761/60</f>
        <v/>
      </c>
      <c r="L2761" s="41">
        <f>IFERROR(J2761/H2761,"")</f>
        <v/>
      </c>
      <c r="M2761" s="25" t="inlineStr">
        <is>
          <t>2.5.12</t>
        </is>
      </c>
      <c r="N2761" s="25">
        <f>IF(J2761&gt;300,1,0)</f>
        <v/>
      </c>
      <c r="O2761" s="25">
        <f>IF(J2761&gt;600,1,0)</f>
        <v/>
      </c>
      <c r="P2761" s="25">
        <f>IF(H2761&gt;0,J2761,"")</f>
        <v/>
      </c>
      <c r="Q2761" s="25">
        <f>TEXT(A2761,"YYYY-MM-DD HH")</f>
        <v/>
      </c>
      <c r="R2761" s="25">
        <f>COUNTIF($Q$2:$Q$5295,Q2761)</f>
        <v/>
      </c>
      <c r="S2761" s="25">
        <f>IF(R2761&lt;=2,"1-2",IF(R2761&lt;=5,"3-5",IF(R2761&lt;=10,"6-10","11+")))</f>
        <v/>
      </c>
    </row>
    <row r="2762">
      <c r="A2762" s="39" t="n">
        <v>46189.84701388889</v>
      </c>
      <c r="B2762" s="25">
        <f>TEXT(A2762,"YYYY-MM")</f>
        <v/>
      </c>
      <c r="C2762" s="25">
        <f>TEXT(A2762,"MMM-YYYY")</f>
        <v/>
      </c>
      <c r="D2762" s="40">
        <f>INT(A2762)-WEEKDAY(A2762,2)+1</f>
        <v/>
      </c>
      <c r="E2762" s="25" t="inlineStr">
        <is>
          <t>dchoudhury</t>
        </is>
      </c>
      <c r="F2762" s="25" t="n">
        <v>124455</v>
      </c>
      <c r="G2762" s="25" t="n">
        <v>4</v>
      </c>
      <c r="H2762" s="25" t="n">
        <v>15</v>
      </c>
      <c r="I2762" s="25" t="inlineStr">
        <is>
          <t>4 minute(s) and 27 second(s)</t>
        </is>
      </c>
      <c r="J2762" s="25">
        <f>IFERROR(VALUE(TRIM(LEFT(I2762,FIND("minute",I2762)-1)))*60,0)+IFERROR(VALUE(SUBSTITUTE(MID(I2762,IFERROR(FIND("and",I2762)+3,1),20),"second(s)","")),0)</f>
        <v/>
      </c>
      <c r="K2762" s="41">
        <f>J2762/60</f>
        <v/>
      </c>
      <c r="L2762" s="41">
        <f>IFERROR(J2762/H2762,"")</f>
        <v/>
      </c>
      <c r="M2762" s="25" t="inlineStr">
        <is>
          <t>2.5.12</t>
        </is>
      </c>
      <c r="N2762" s="25">
        <f>IF(J2762&gt;300,1,0)</f>
        <v/>
      </c>
      <c r="O2762" s="25">
        <f>IF(J2762&gt;600,1,0)</f>
        <v/>
      </c>
      <c r="P2762" s="25">
        <f>IF(H2762&gt;0,J2762,"")</f>
        <v/>
      </c>
      <c r="Q2762" s="25">
        <f>TEXT(A2762,"YYYY-MM-DD HH")</f>
        <v/>
      </c>
      <c r="R2762" s="25">
        <f>COUNTIF($Q$2:$Q$5295,Q2762)</f>
        <v/>
      </c>
      <c r="S2762" s="25">
        <f>IF(R2762&lt;=2,"1-2",IF(R2762&lt;=5,"3-5",IF(R2762&lt;=10,"6-10","11+")))</f>
        <v/>
      </c>
    </row>
    <row r="2763">
      <c r="A2763" s="39" t="n">
        <v>46189.86030092592</v>
      </c>
      <c r="B2763" s="25">
        <f>TEXT(A2763,"YYYY-MM")</f>
        <v/>
      </c>
      <c r="C2763" s="25">
        <f>TEXT(A2763,"MMM-YYYY")</f>
        <v/>
      </c>
      <c r="D2763" s="40">
        <f>INT(A2763)-WEEKDAY(A2763,2)+1</f>
        <v/>
      </c>
      <c r="E2763" s="25" t="inlineStr">
        <is>
          <t>psingh</t>
        </is>
      </c>
      <c r="F2763" s="25" t="n">
        <v>124926</v>
      </c>
      <c r="G2763" s="25" t="n">
        <v>1</v>
      </c>
      <c r="H2763" s="25" t="n">
        <v>5</v>
      </c>
      <c r="I2763" s="25" t="inlineStr">
        <is>
          <t>3 minute(s) and 23 second(s)</t>
        </is>
      </c>
      <c r="J2763" s="25">
        <f>IFERROR(VALUE(TRIM(LEFT(I2763,FIND("minute",I2763)-1)))*60,0)+IFERROR(VALUE(SUBSTITUTE(MID(I2763,IFERROR(FIND("and",I2763)+3,1),20),"second(s)","")),0)</f>
        <v/>
      </c>
      <c r="K2763" s="41">
        <f>J2763/60</f>
        <v/>
      </c>
      <c r="L2763" s="41">
        <f>IFERROR(J2763/H2763,"")</f>
        <v/>
      </c>
      <c r="M2763" s="25" t="inlineStr">
        <is>
          <t>2.5.12</t>
        </is>
      </c>
      <c r="N2763" s="25">
        <f>IF(J2763&gt;300,1,0)</f>
        <v/>
      </c>
      <c r="O2763" s="25">
        <f>IF(J2763&gt;600,1,0)</f>
        <v/>
      </c>
      <c r="P2763" s="25">
        <f>IF(H2763&gt;0,J2763,"")</f>
        <v/>
      </c>
      <c r="Q2763" s="25">
        <f>TEXT(A2763,"YYYY-MM-DD HH")</f>
        <v/>
      </c>
      <c r="R2763" s="25">
        <f>COUNTIF($Q$2:$Q$5295,Q2763)</f>
        <v/>
      </c>
      <c r="S2763" s="25">
        <f>IF(R2763&lt;=2,"1-2",IF(R2763&lt;=5,"3-5",IF(R2763&lt;=10,"6-10","11+")))</f>
        <v/>
      </c>
    </row>
    <row r="2764">
      <c r="A2764" s="39" t="n">
        <v>46189.86222222223</v>
      </c>
      <c r="B2764" s="25">
        <f>TEXT(A2764,"YYYY-MM")</f>
        <v/>
      </c>
      <c r="C2764" s="25">
        <f>TEXT(A2764,"MMM-YYYY")</f>
        <v/>
      </c>
      <c r="D2764" s="40">
        <f>INT(A2764)-WEEKDAY(A2764,2)+1</f>
        <v/>
      </c>
      <c r="E2764" s="25" t="inlineStr">
        <is>
          <t>sswati</t>
        </is>
      </c>
      <c r="F2764" s="25" t="n">
        <v>123878</v>
      </c>
      <c r="G2764" s="25" t="n">
        <v>4</v>
      </c>
      <c r="H2764" s="25" t="n">
        <v>12</v>
      </c>
      <c r="I2764" s="25" t="inlineStr">
        <is>
          <t>3 minute(s) and 45 second(s)</t>
        </is>
      </c>
      <c r="J2764" s="25">
        <f>IFERROR(VALUE(TRIM(LEFT(I2764,FIND("minute",I2764)-1)))*60,0)+IFERROR(VALUE(SUBSTITUTE(MID(I2764,IFERROR(FIND("and",I2764)+3,1),20),"second(s)","")),0)</f>
        <v/>
      </c>
      <c r="K2764" s="41">
        <f>J2764/60</f>
        <v/>
      </c>
      <c r="L2764" s="41">
        <f>IFERROR(J2764/H2764,"")</f>
        <v/>
      </c>
      <c r="M2764" s="25" t="inlineStr">
        <is>
          <t>2.5.12</t>
        </is>
      </c>
      <c r="N2764" s="25">
        <f>IF(J2764&gt;300,1,0)</f>
        <v/>
      </c>
      <c r="O2764" s="25">
        <f>IF(J2764&gt;600,1,0)</f>
        <v/>
      </c>
      <c r="P2764" s="25">
        <f>IF(H2764&gt;0,J2764,"")</f>
        <v/>
      </c>
      <c r="Q2764" s="25">
        <f>TEXT(A2764,"YYYY-MM-DD HH")</f>
        <v/>
      </c>
      <c r="R2764" s="25">
        <f>COUNTIF($Q$2:$Q$5295,Q2764)</f>
        <v/>
      </c>
      <c r="S2764" s="25">
        <f>IF(R2764&lt;=2,"1-2",IF(R2764&lt;=5,"3-5",IF(R2764&lt;=10,"6-10","11+")))</f>
        <v/>
      </c>
    </row>
    <row r="2765">
      <c r="A2765" s="39" t="n">
        <v>46189.8625</v>
      </c>
      <c r="B2765" s="25">
        <f>TEXT(A2765,"YYYY-MM")</f>
        <v/>
      </c>
      <c r="C2765" s="25">
        <f>TEXT(A2765,"MMM-YYYY")</f>
        <v/>
      </c>
      <c r="D2765" s="40">
        <f>INT(A2765)-WEEKDAY(A2765,2)+1</f>
        <v/>
      </c>
      <c r="E2765" s="25" t="inlineStr">
        <is>
          <t>rsingh</t>
        </is>
      </c>
      <c r="F2765" s="25" t="n">
        <v>125086</v>
      </c>
      <c r="G2765" s="25" t="n">
        <v>2</v>
      </c>
      <c r="H2765" s="25" t="n">
        <v>12</v>
      </c>
      <c r="I2765" s="25" t="inlineStr">
        <is>
          <t>5 minute(s) and 23 second(s)</t>
        </is>
      </c>
      <c r="J2765" s="25">
        <f>IFERROR(VALUE(TRIM(LEFT(I2765,FIND("minute",I2765)-1)))*60,0)+IFERROR(VALUE(SUBSTITUTE(MID(I2765,IFERROR(FIND("and",I2765)+3,1),20),"second(s)","")),0)</f>
        <v/>
      </c>
      <c r="K2765" s="41">
        <f>J2765/60</f>
        <v/>
      </c>
      <c r="L2765" s="41">
        <f>IFERROR(J2765/H2765,"")</f>
        <v/>
      </c>
      <c r="M2765" s="25" t="inlineStr">
        <is>
          <t>2.5.12</t>
        </is>
      </c>
      <c r="N2765" s="25">
        <f>IF(J2765&gt;300,1,0)</f>
        <v/>
      </c>
      <c r="O2765" s="25">
        <f>IF(J2765&gt;600,1,0)</f>
        <v/>
      </c>
      <c r="P2765" s="25">
        <f>IF(H2765&gt;0,J2765,"")</f>
        <v/>
      </c>
      <c r="Q2765" s="25">
        <f>TEXT(A2765,"YYYY-MM-DD HH")</f>
        <v/>
      </c>
      <c r="R2765" s="25">
        <f>COUNTIF($Q$2:$Q$5295,Q2765)</f>
        <v/>
      </c>
      <c r="S2765" s="25">
        <f>IF(R2765&lt;=2,"1-2",IF(R2765&lt;=5,"3-5",IF(R2765&lt;=10,"6-10","11+")))</f>
        <v/>
      </c>
    </row>
    <row r="2766">
      <c r="A2766" s="39" t="n">
        <v>46189.86966435185</v>
      </c>
      <c r="B2766" s="25">
        <f>TEXT(A2766,"YYYY-MM")</f>
        <v/>
      </c>
      <c r="C2766" s="25">
        <f>TEXT(A2766,"MMM-YYYY")</f>
        <v/>
      </c>
      <c r="D2766" s="40">
        <f>INT(A2766)-WEEKDAY(A2766,2)+1</f>
        <v/>
      </c>
      <c r="E2766" s="25" t="inlineStr">
        <is>
          <t>rsingh</t>
        </is>
      </c>
      <c r="F2766" s="25" t="n">
        <v>125086</v>
      </c>
      <c r="G2766" s="25" t="n">
        <v>1</v>
      </c>
      <c r="H2766" s="25" t="n">
        <v>5</v>
      </c>
      <c r="I2766" s="25" t="inlineStr">
        <is>
          <t>4 minute(s) and 15 second(s)</t>
        </is>
      </c>
      <c r="J2766" s="25">
        <f>IFERROR(VALUE(TRIM(LEFT(I2766,FIND("minute",I2766)-1)))*60,0)+IFERROR(VALUE(SUBSTITUTE(MID(I2766,IFERROR(FIND("and",I2766)+3,1),20),"second(s)","")),0)</f>
        <v/>
      </c>
      <c r="K2766" s="41">
        <f>J2766/60</f>
        <v/>
      </c>
      <c r="L2766" s="41">
        <f>IFERROR(J2766/H2766,"")</f>
        <v/>
      </c>
      <c r="M2766" s="25" t="inlineStr">
        <is>
          <t>2.5.12</t>
        </is>
      </c>
      <c r="N2766" s="25">
        <f>IF(J2766&gt;300,1,0)</f>
        <v/>
      </c>
      <c r="O2766" s="25">
        <f>IF(J2766&gt;600,1,0)</f>
        <v/>
      </c>
      <c r="P2766" s="25">
        <f>IF(H2766&gt;0,J2766,"")</f>
        <v/>
      </c>
      <c r="Q2766" s="25">
        <f>TEXT(A2766,"YYYY-MM-DD HH")</f>
        <v/>
      </c>
      <c r="R2766" s="25">
        <f>COUNTIF($Q$2:$Q$5295,Q2766)</f>
        <v/>
      </c>
      <c r="S2766" s="25">
        <f>IF(R2766&lt;=2,"1-2",IF(R2766&lt;=5,"3-5",IF(R2766&lt;=10,"6-10","11+")))</f>
        <v/>
      </c>
    </row>
    <row r="2767">
      <c r="A2767" s="39" t="n">
        <v>46189.87070601852</v>
      </c>
      <c r="B2767" s="25">
        <f>TEXT(A2767,"YYYY-MM")</f>
        <v/>
      </c>
      <c r="C2767" s="25">
        <f>TEXT(A2767,"MMM-YYYY")</f>
        <v/>
      </c>
      <c r="D2767" s="40">
        <f>INT(A2767)-WEEKDAY(A2767,2)+1</f>
        <v/>
      </c>
      <c r="E2767" s="25" t="inlineStr">
        <is>
          <t>ssarkar</t>
        </is>
      </c>
      <c r="F2767" s="25" t="n">
        <v>107277</v>
      </c>
      <c r="G2767" s="25" t="n">
        <v>1</v>
      </c>
      <c r="H2767" s="25" t="n">
        <v>6</v>
      </c>
      <c r="I2767" s="25" t="inlineStr">
        <is>
          <t>3 minute(s) and 11 second(s)</t>
        </is>
      </c>
      <c r="J2767" s="25">
        <f>IFERROR(VALUE(TRIM(LEFT(I2767,FIND("minute",I2767)-1)))*60,0)+IFERROR(VALUE(SUBSTITUTE(MID(I2767,IFERROR(FIND("and",I2767)+3,1),20),"second(s)","")),0)</f>
        <v/>
      </c>
      <c r="K2767" s="41">
        <f>J2767/60</f>
        <v/>
      </c>
      <c r="L2767" s="41">
        <f>IFERROR(J2767/H2767,"")</f>
        <v/>
      </c>
      <c r="M2767" s="25" t="inlineStr">
        <is>
          <t>2.5.12</t>
        </is>
      </c>
      <c r="N2767" s="25">
        <f>IF(J2767&gt;300,1,0)</f>
        <v/>
      </c>
      <c r="O2767" s="25">
        <f>IF(J2767&gt;600,1,0)</f>
        <v/>
      </c>
      <c r="P2767" s="25">
        <f>IF(H2767&gt;0,J2767,"")</f>
        <v/>
      </c>
      <c r="Q2767" s="25">
        <f>TEXT(A2767,"YYYY-MM-DD HH")</f>
        <v/>
      </c>
      <c r="R2767" s="25">
        <f>COUNTIF($Q$2:$Q$5295,Q2767)</f>
        <v/>
      </c>
      <c r="S2767" s="25">
        <f>IF(R2767&lt;=2,"1-2",IF(R2767&lt;=5,"3-5",IF(R2767&lt;=10,"6-10","11+")))</f>
        <v/>
      </c>
    </row>
    <row r="2768">
      <c r="A2768" s="39" t="n">
        <v>46189.90423611111</v>
      </c>
      <c r="B2768" s="25">
        <f>TEXT(A2768,"YYYY-MM")</f>
        <v/>
      </c>
      <c r="C2768" s="25">
        <f>TEXT(A2768,"MMM-YYYY")</f>
        <v/>
      </c>
      <c r="D2768" s="40">
        <f>INT(A2768)-WEEKDAY(A2768,2)+1</f>
        <v/>
      </c>
      <c r="E2768" s="25" t="inlineStr">
        <is>
          <t>rts</t>
        </is>
      </c>
      <c r="F2768" s="25" t="n">
        <v>122309</v>
      </c>
      <c r="G2768" s="25" t="n">
        <v>1</v>
      </c>
      <c r="H2768" s="25" t="n">
        <v>5</v>
      </c>
      <c r="I2768" s="25" t="inlineStr">
        <is>
          <t>2 minute(s) and 40 second(s)</t>
        </is>
      </c>
      <c r="J2768" s="25">
        <f>IFERROR(VALUE(TRIM(LEFT(I2768,FIND("minute",I2768)-1)))*60,0)+IFERROR(VALUE(SUBSTITUTE(MID(I2768,IFERROR(FIND("and",I2768)+3,1),20),"second(s)","")),0)</f>
        <v/>
      </c>
      <c r="K2768" s="41">
        <f>J2768/60</f>
        <v/>
      </c>
      <c r="L2768" s="41">
        <f>IFERROR(J2768/H2768,"")</f>
        <v/>
      </c>
      <c r="M2768" s="25" t="inlineStr">
        <is>
          <t>2.5.12</t>
        </is>
      </c>
      <c r="N2768" s="25">
        <f>IF(J2768&gt;300,1,0)</f>
        <v/>
      </c>
      <c r="O2768" s="25">
        <f>IF(J2768&gt;600,1,0)</f>
        <v/>
      </c>
      <c r="P2768" s="25">
        <f>IF(H2768&gt;0,J2768,"")</f>
        <v/>
      </c>
      <c r="Q2768" s="25">
        <f>TEXT(A2768,"YYYY-MM-DD HH")</f>
        <v/>
      </c>
      <c r="R2768" s="25">
        <f>COUNTIF($Q$2:$Q$5295,Q2768)</f>
        <v/>
      </c>
      <c r="S2768" s="25">
        <f>IF(R2768&lt;=2,"1-2",IF(R2768&lt;=5,"3-5",IF(R2768&lt;=10,"6-10","11+")))</f>
        <v/>
      </c>
    </row>
    <row r="2769">
      <c r="A2769" s="39" t="n">
        <v>46189.91216435185</v>
      </c>
      <c r="B2769" s="25">
        <f>TEXT(A2769,"YYYY-MM")</f>
        <v/>
      </c>
      <c r="C2769" s="25">
        <f>TEXT(A2769,"MMM-YYYY")</f>
        <v/>
      </c>
      <c r="D2769" s="40">
        <f>INT(A2769)-WEEKDAY(A2769,2)+1</f>
        <v/>
      </c>
      <c r="E2769" s="25" t="inlineStr">
        <is>
          <t>dchoudhury</t>
        </is>
      </c>
      <c r="F2769" s="25" t="n">
        <v>124452</v>
      </c>
      <c r="G2769" s="25" t="n">
        <v>3</v>
      </c>
      <c r="H2769" s="25" t="n">
        <v>11</v>
      </c>
      <c r="I2769" s="25" t="inlineStr">
        <is>
          <t>3 minute(s) and 30 second(s)</t>
        </is>
      </c>
      <c r="J2769" s="25">
        <f>IFERROR(VALUE(TRIM(LEFT(I2769,FIND("minute",I2769)-1)))*60,0)+IFERROR(VALUE(SUBSTITUTE(MID(I2769,IFERROR(FIND("and",I2769)+3,1),20),"second(s)","")),0)</f>
        <v/>
      </c>
      <c r="K2769" s="41">
        <f>J2769/60</f>
        <v/>
      </c>
      <c r="L2769" s="41">
        <f>IFERROR(J2769/H2769,"")</f>
        <v/>
      </c>
      <c r="M2769" s="25" t="inlineStr">
        <is>
          <t>2.5.12</t>
        </is>
      </c>
      <c r="N2769" s="25">
        <f>IF(J2769&gt;300,1,0)</f>
        <v/>
      </c>
      <c r="O2769" s="25">
        <f>IF(J2769&gt;600,1,0)</f>
        <v/>
      </c>
      <c r="P2769" s="25">
        <f>IF(H2769&gt;0,J2769,"")</f>
        <v/>
      </c>
      <c r="Q2769" s="25">
        <f>TEXT(A2769,"YYYY-MM-DD HH")</f>
        <v/>
      </c>
      <c r="R2769" s="25">
        <f>COUNTIF($Q$2:$Q$5295,Q2769)</f>
        <v/>
      </c>
      <c r="S2769" s="25">
        <f>IF(R2769&lt;=2,"1-2",IF(R2769&lt;=5,"3-5",IF(R2769&lt;=10,"6-10","11+")))</f>
        <v/>
      </c>
    </row>
    <row r="2770">
      <c r="A2770" s="39" t="n">
        <v>46189.94112268519</v>
      </c>
      <c r="B2770" s="25">
        <f>TEXT(A2770,"YYYY-MM")</f>
        <v/>
      </c>
      <c r="C2770" s="25">
        <f>TEXT(A2770,"MMM-YYYY")</f>
        <v/>
      </c>
      <c r="D2770" s="40">
        <f>INT(A2770)-WEEKDAY(A2770,2)+1</f>
        <v/>
      </c>
      <c r="E2770" s="25" t="inlineStr">
        <is>
          <t>ssaha</t>
        </is>
      </c>
      <c r="F2770" s="25" t="n">
        <v>123889</v>
      </c>
      <c r="G2770" s="25" t="n">
        <v>2</v>
      </c>
      <c r="H2770" s="25" t="n">
        <v>6</v>
      </c>
      <c r="I2770" s="25" t="inlineStr">
        <is>
          <t>2 minute(s) and 17 second(s)</t>
        </is>
      </c>
      <c r="J2770" s="25">
        <f>IFERROR(VALUE(TRIM(LEFT(I2770,FIND("minute",I2770)-1)))*60,0)+IFERROR(VALUE(SUBSTITUTE(MID(I2770,IFERROR(FIND("and",I2770)+3,1),20),"second(s)","")),0)</f>
        <v/>
      </c>
      <c r="K2770" s="41">
        <f>J2770/60</f>
        <v/>
      </c>
      <c r="L2770" s="41">
        <f>IFERROR(J2770/H2770,"")</f>
        <v/>
      </c>
      <c r="M2770" s="25" t="inlineStr">
        <is>
          <t>2.5.12</t>
        </is>
      </c>
      <c r="N2770" s="25">
        <f>IF(J2770&gt;300,1,0)</f>
        <v/>
      </c>
      <c r="O2770" s="25">
        <f>IF(J2770&gt;600,1,0)</f>
        <v/>
      </c>
      <c r="P2770" s="25">
        <f>IF(H2770&gt;0,J2770,"")</f>
        <v/>
      </c>
      <c r="Q2770" s="25">
        <f>TEXT(A2770,"YYYY-MM-DD HH")</f>
        <v/>
      </c>
      <c r="R2770" s="25">
        <f>COUNTIF($Q$2:$Q$5295,Q2770)</f>
        <v/>
      </c>
      <c r="S2770" s="25">
        <f>IF(R2770&lt;=2,"1-2",IF(R2770&lt;=5,"3-5",IF(R2770&lt;=10,"6-10","11+")))</f>
        <v/>
      </c>
    </row>
    <row r="2771">
      <c r="A2771" s="39" t="n">
        <v>46189.95423611111</v>
      </c>
      <c r="B2771" s="25">
        <f>TEXT(A2771,"YYYY-MM")</f>
        <v/>
      </c>
      <c r="C2771" s="25">
        <f>TEXT(A2771,"MMM-YYYY")</f>
        <v/>
      </c>
      <c r="D2771" s="40">
        <f>INT(A2771)-WEEKDAY(A2771,2)+1</f>
        <v/>
      </c>
      <c r="E2771" s="25" t="inlineStr">
        <is>
          <t>sswati</t>
        </is>
      </c>
      <c r="F2771" s="25" t="n">
        <v>123879</v>
      </c>
      <c r="G2771" s="25" t="n">
        <v>2</v>
      </c>
      <c r="H2771" s="25" t="n">
        <v>8</v>
      </c>
      <c r="I2771" s="25" t="inlineStr">
        <is>
          <t>3 minute(s) and 29 second(s)</t>
        </is>
      </c>
      <c r="J2771" s="25">
        <f>IFERROR(VALUE(TRIM(LEFT(I2771,FIND("minute",I2771)-1)))*60,0)+IFERROR(VALUE(SUBSTITUTE(MID(I2771,IFERROR(FIND("and",I2771)+3,1),20),"second(s)","")),0)</f>
        <v/>
      </c>
      <c r="K2771" s="41">
        <f>J2771/60</f>
        <v/>
      </c>
      <c r="L2771" s="41">
        <f>IFERROR(J2771/H2771,"")</f>
        <v/>
      </c>
      <c r="M2771" s="25" t="inlineStr">
        <is>
          <t>2.5.12</t>
        </is>
      </c>
      <c r="N2771" s="25">
        <f>IF(J2771&gt;300,1,0)</f>
        <v/>
      </c>
      <c r="O2771" s="25">
        <f>IF(J2771&gt;600,1,0)</f>
        <v/>
      </c>
      <c r="P2771" s="25">
        <f>IF(H2771&gt;0,J2771,"")</f>
        <v/>
      </c>
      <c r="Q2771" s="25">
        <f>TEXT(A2771,"YYYY-MM-DD HH")</f>
        <v/>
      </c>
      <c r="R2771" s="25">
        <f>COUNTIF($Q$2:$Q$5295,Q2771)</f>
        <v/>
      </c>
      <c r="S2771" s="25">
        <f>IF(R2771&lt;=2,"1-2",IF(R2771&lt;=5,"3-5",IF(R2771&lt;=10,"6-10","11+")))</f>
        <v/>
      </c>
    </row>
    <row r="2772">
      <c r="A2772" s="39" t="n">
        <v>46189.97436342593</v>
      </c>
      <c r="B2772" s="25">
        <f>TEXT(A2772,"YYYY-MM")</f>
        <v/>
      </c>
      <c r="C2772" s="25">
        <f>TEXT(A2772,"MMM-YYYY")</f>
        <v/>
      </c>
      <c r="D2772" s="40">
        <f>INT(A2772)-WEEKDAY(A2772,2)+1</f>
        <v/>
      </c>
      <c r="E2772" s="25" t="inlineStr">
        <is>
          <t>dchoudhury</t>
        </is>
      </c>
      <c r="F2772" s="25" t="n">
        <v>124454</v>
      </c>
      <c r="G2772" s="25" t="n">
        <v>3</v>
      </c>
      <c r="H2772" s="25" t="n">
        <v>11</v>
      </c>
      <c r="I2772" s="25" t="inlineStr">
        <is>
          <t>5 minute(s) and 16 second(s)</t>
        </is>
      </c>
      <c r="J2772" s="25">
        <f>IFERROR(VALUE(TRIM(LEFT(I2772,FIND("minute",I2772)-1)))*60,0)+IFERROR(VALUE(SUBSTITUTE(MID(I2772,IFERROR(FIND("and",I2772)+3,1),20),"second(s)","")),0)</f>
        <v/>
      </c>
      <c r="K2772" s="41">
        <f>J2772/60</f>
        <v/>
      </c>
      <c r="L2772" s="41">
        <f>IFERROR(J2772/H2772,"")</f>
        <v/>
      </c>
      <c r="M2772" s="25" t="inlineStr">
        <is>
          <t>2.5.12</t>
        </is>
      </c>
      <c r="N2772" s="25">
        <f>IF(J2772&gt;300,1,0)</f>
        <v/>
      </c>
      <c r="O2772" s="25">
        <f>IF(J2772&gt;600,1,0)</f>
        <v/>
      </c>
      <c r="P2772" s="25">
        <f>IF(H2772&gt;0,J2772,"")</f>
        <v/>
      </c>
      <c r="Q2772" s="25">
        <f>TEXT(A2772,"YYYY-MM-DD HH")</f>
        <v/>
      </c>
      <c r="R2772" s="25">
        <f>COUNTIF($Q$2:$Q$5295,Q2772)</f>
        <v/>
      </c>
      <c r="S2772" s="25">
        <f>IF(R2772&lt;=2,"1-2",IF(R2772&lt;=5,"3-5",IF(R2772&lt;=10,"6-10","11+")))</f>
        <v/>
      </c>
    </row>
    <row r="2773">
      <c r="A2773" s="39" t="n">
        <v>46189.99327546296</v>
      </c>
      <c r="B2773" s="25">
        <f>TEXT(A2773,"YYYY-MM")</f>
        <v/>
      </c>
      <c r="C2773" s="25">
        <f>TEXT(A2773,"MMM-YYYY")</f>
        <v/>
      </c>
      <c r="D2773" s="40">
        <f>INT(A2773)-WEEKDAY(A2773,2)+1</f>
        <v/>
      </c>
      <c r="E2773" s="25" t="inlineStr">
        <is>
          <t>psingh</t>
        </is>
      </c>
      <c r="F2773" s="25" t="n">
        <v>122724</v>
      </c>
      <c r="G2773" s="25" t="n">
        <v>1</v>
      </c>
      <c r="H2773" s="25" t="n">
        <v>7</v>
      </c>
      <c r="I2773" s="25" t="inlineStr">
        <is>
          <t>5 minute(s) and 21 second(s)</t>
        </is>
      </c>
      <c r="J2773" s="25">
        <f>IFERROR(VALUE(TRIM(LEFT(I2773,FIND("minute",I2773)-1)))*60,0)+IFERROR(VALUE(SUBSTITUTE(MID(I2773,IFERROR(FIND("and",I2773)+3,1),20),"second(s)","")),0)</f>
        <v/>
      </c>
      <c r="K2773" s="41">
        <f>J2773/60</f>
        <v/>
      </c>
      <c r="L2773" s="41">
        <f>IFERROR(J2773/H2773,"")</f>
        <v/>
      </c>
      <c r="M2773" s="25" t="inlineStr">
        <is>
          <t>2.5.12</t>
        </is>
      </c>
      <c r="N2773" s="25">
        <f>IF(J2773&gt;300,1,0)</f>
        <v/>
      </c>
      <c r="O2773" s="25">
        <f>IF(J2773&gt;600,1,0)</f>
        <v/>
      </c>
      <c r="P2773" s="25">
        <f>IF(H2773&gt;0,J2773,"")</f>
        <v/>
      </c>
      <c r="Q2773" s="25">
        <f>TEXT(A2773,"YYYY-MM-DD HH")</f>
        <v/>
      </c>
      <c r="R2773" s="25">
        <f>COUNTIF($Q$2:$Q$5295,Q2773)</f>
        <v/>
      </c>
      <c r="S2773" s="25">
        <f>IF(R2773&lt;=2,"1-2",IF(R2773&lt;=5,"3-5",IF(R2773&lt;=10,"6-10","11+")))</f>
        <v/>
      </c>
    </row>
    <row r="2774">
      <c r="A2774" s="39" t="n">
        <v>46190.06775462963</v>
      </c>
      <c r="B2774" s="25">
        <f>TEXT(A2774,"YYYY-MM")</f>
        <v/>
      </c>
      <c r="C2774" s="25">
        <f>TEXT(A2774,"MMM-YYYY")</f>
        <v/>
      </c>
      <c r="D2774" s="40">
        <f>INT(A2774)-WEEKDAY(A2774,2)+1</f>
        <v/>
      </c>
      <c r="E2774" s="25" t="inlineStr">
        <is>
          <t>mbohra</t>
        </is>
      </c>
      <c r="F2774" s="25" t="n">
        <v>122776</v>
      </c>
      <c r="G2774" s="25" t="n">
        <v>3</v>
      </c>
      <c r="H2774" s="25" t="n">
        <v>15</v>
      </c>
      <c r="I2774" s="25" t="inlineStr">
        <is>
          <t>11 minute(s) and 21 second(s)</t>
        </is>
      </c>
      <c r="J2774" s="25">
        <f>IFERROR(VALUE(TRIM(LEFT(I2774,FIND("minute",I2774)-1)))*60,0)+IFERROR(VALUE(SUBSTITUTE(MID(I2774,IFERROR(FIND("and",I2774)+3,1),20),"second(s)","")),0)</f>
        <v/>
      </c>
      <c r="K2774" s="41">
        <f>J2774/60</f>
        <v/>
      </c>
      <c r="L2774" s="41">
        <f>IFERROR(J2774/H2774,"")</f>
        <v/>
      </c>
      <c r="M2774" s="25" t="inlineStr">
        <is>
          <t>2.5.12</t>
        </is>
      </c>
      <c r="N2774" s="25">
        <f>IF(J2774&gt;300,1,0)</f>
        <v/>
      </c>
      <c r="O2774" s="25">
        <f>IF(J2774&gt;600,1,0)</f>
        <v/>
      </c>
      <c r="P2774" s="25">
        <f>IF(H2774&gt;0,J2774,"")</f>
        <v/>
      </c>
      <c r="Q2774" s="25">
        <f>TEXT(A2774,"YYYY-MM-DD HH")</f>
        <v/>
      </c>
      <c r="R2774" s="25">
        <f>COUNTIF($Q$2:$Q$5295,Q2774)</f>
        <v/>
      </c>
      <c r="S2774" s="25">
        <f>IF(R2774&lt;=2,"1-2",IF(R2774&lt;=5,"3-5",IF(R2774&lt;=10,"6-10","11+")))</f>
        <v/>
      </c>
    </row>
    <row r="2775">
      <c r="A2775" s="39" t="n">
        <v>46190.08318287037</v>
      </c>
      <c r="B2775" s="25">
        <f>TEXT(A2775,"YYYY-MM")</f>
        <v/>
      </c>
      <c r="C2775" s="25">
        <f>TEXT(A2775,"MMM-YYYY")</f>
        <v/>
      </c>
      <c r="D2775" s="40">
        <f>INT(A2775)-WEEKDAY(A2775,2)+1</f>
        <v/>
      </c>
      <c r="E2775" s="25" t="inlineStr">
        <is>
          <t>anusharma</t>
        </is>
      </c>
      <c r="F2775" s="25" t="n">
        <v>124190</v>
      </c>
      <c r="G2775" s="25" t="n">
        <v>2</v>
      </c>
      <c r="H2775" s="25" t="n">
        <v>8</v>
      </c>
      <c r="I2775" s="25" t="inlineStr">
        <is>
          <t>3 minute(s) and 55 second(s)</t>
        </is>
      </c>
      <c r="J2775" s="25">
        <f>IFERROR(VALUE(TRIM(LEFT(I2775,FIND("minute",I2775)-1)))*60,0)+IFERROR(VALUE(SUBSTITUTE(MID(I2775,IFERROR(FIND("and",I2775)+3,1),20),"second(s)","")),0)</f>
        <v/>
      </c>
      <c r="K2775" s="41">
        <f>J2775/60</f>
        <v/>
      </c>
      <c r="L2775" s="41">
        <f>IFERROR(J2775/H2775,"")</f>
        <v/>
      </c>
      <c r="M2775" s="25" t="inlineStr">
        <is>
          <t>2.5.12</t>
        </is>
      </c>
      <c r="N2775" s="25">
        <f>IF(J2775&gt;300,1,0)</f>
        <v/>
      </c>
      <c r="O2775" s="25">
        <f>IF(J2775&gt;600,1,0)</f>
        <v/>
      </c>
      <c r="P2775" s="25">
        <f>IF(H2775&gt;0,J2775,"")</f>
        <v/>
      </c>
      <c r="Q2775" s="25">
        <f>TEXT(A2775,"YYYY-MM-DD HH")</f>
        <v/>
      </c>
      <c r="R2775" s="25">
        <f>COUNTIF($Q$2:$Q$5295,Q2775)</f>
        <v/>
      </c>
      <c r="S2775" s="25">
        <f>IF(R2775&lt;=2,"1-2",IF(R2775&lt;=5,"3-5",IF(R2775&lt;=10,"6-10","11+")))</f>
        <v/>
      </c>
    </row>
    <row r="2776">
      <c r="A2776" s="39" t="n">
        <v>46190.09715277778</v>
      </c>
      <c r="B2776" s="25">
        <f>TEXT(A2776,"YYYY-MM")</f>
        <v/>
      </c>
      <c r="C2776" s="25">
        <f>TEXT(A2776,"MMM-YYYY")</f>
        <v/>
      </c>
      <c r="D2776" s="40">
        <f>INT(A2776)-WEEKDAY(A2776,2)+1</f>
        <v/>
      </c>
      <c r="E2776" s="25" t="inlineStr">
        <is>
          <t>shassan</t>
        </is>
      </c>
      <c r="F2776" s="25" t="n">
        <v>124069</v>
      </c>
      <c r="G2776" s="25" t="n">
        <v>4</v>
      </c>
      <c r="H2776" s="25" t="n">
        <v>16</v>
      </c>
      <c r="I2776" s="25" t="inlineStr">
        <is>
          <t>5 minute(s) and 8 second(s)</t>
        </is>
      </c>
      <c r="J2776" s="25">
        <f>IFERROR(VALUE(TRIM(LEFT(I2776,FIND("minute",I2776)-1)))*60,0)+IFERROR(VALUE(SUBSTITUTE(MID(I2776,IFERROR(FIND("and",I2776)+3,1),20),"second(s)","")),0)</f>
        <v/>
      </c>
      <c r="K2776" s="41">
        <f>J2776/60</f>
        <v/>
      </c>
      <c r="L2776" s="41">
        <f>IFERROR(J2776/H2776,"")</f>
        <v/>
      </c>
      <c r="M2776" s="25" t="inlineStr">
        <is>
          <t>2.5.12</t>
        </is>
      </c>
      <c r="N2776" s="25">
        <f>IF(J2776&gt;300,1,0)</f>
        <v/>
      </c>
      <c r="O2776" s="25">
        <f>IF(J2776&gt;600,1,0)</f>
        <v/>
      </c>
      <c r="P2776" s="25">
        <f>IF(H2776&gt;0,J2776,"")</f>
        <v/>
      </c>
      <c r="Q2776" s="25">
        <f>TEXT(A2776,"YYYY-MM-DD HH")</f>
        <v/>
      </c>
      <c r="R2776" s="25">
        <f>COUNTIF($Q$2:$Q$5295,Q2776)</f>
        <v/>
      </c>
      <c r="S2776" s="25">
        <f>IF(R2776&lt;=2,"1-2",IF(R2776&lt;=5,"3-5",IF(R2776&lt;=10,"6-10","11+")))</f>
        <v/>
      </c>
    </row>
    <row r="2777">
      <c r="A2777" s="39" t="n">
        <v>46190.09804398148</v>
      </c>
      <c r="B2777" s="25">
        <f>TEXT(A2777,"YYYY-MM")</f>
        <v/>
      </c>
      <c r="C2777" s="25">
        <f>TEXT(A2777,"MMM-YYYY")</f>
        <v/>
      </c>
      <c r="D2777" s="40">
        <f>INT(A2777)-WEEKDAY(A2777,2)+1</f>
        <v/>
      </c>
      <c r="E2777" s="25" t="inlineStr">
        <is>
          <t>mgupta</t>
        </is>
      </c>
      <c r="F2777" s="25" t="n">
        <v>124605</v>
      </c>
      <c r="G2777" s="25" t="n">
        <v>2</v>
      </c>
      <c r="H2777" s="25" t="n">
        <v>6</v>
      </c>
      <c r="I2777" s="25" t="inlineStr">
        <is>
          <t>2 minute(s) and 41 second(s)</t>
        </is>
      </c>
      <c r="J2777" s="25">
        <f>IFERROR(VALUE(TRIM(LEFT(I2777,FIND("minute",I2777)-1)))*60,0)+IFERROR(VALUE(SUBSTITUTE(MID(I2777,IFERROR(FIND("and",I2777)+3,1),20),"second(s)","")),0)</f>
        <v/>
      </c>
      <c r="K2777" s="41">
        <f>J2777/60</f>
        <v/>
      </c>
      <c r="L2777" s="41">
        <f>IFERROR(J2777/H2777,"")</f>
        <v/>
      </c>
      <c r="M2777" s="25" t="inlineStr">
        <is>
          <t>2.5.12</t>
        </is>
      </c>
      <c r="N2777" s="25">
        <f>IF(J2777&gt;300,1,0)</f>
        <v/>
      </c>
      <c r="O2777" s="25">
        <f>IF(J2777&gt;600,1,0)</f>
        <v/>
      </c>
      <c r="P2777" s="25">
        <f>IF(H2777&gt;0,J2777,"")</f>
        <v/>
      </c>
      <c r="Q2777" s="25">
        <f>TEXT(A2777,"YYYY-MM-DD HH")</f>
        <v/>
      </c>
      <c r="R2777" s="25">
        <f>COUNTIF($Q$2:$Q$5295,Q2777)</f>
        <v/>
      </c>
      <c r="S2777" s="25">
        <f>IF(R2777&lt;=2,"1-2",IF(R2777&lt;=5,"3-5",IF(R2777&lt;=10,"6-10","11+")))</f>
        <v/>
      </c>
    </row>
    <row r="2778">
      <c r="A2778" s="39" t="n">
        <v>46190.11496527777</v>
      </c>
      <c r="B2778" s="25">
        <f>TEXT(A2778,"YYYY-MM")</f>
        <v/>
      </c>
      <c r="C2778" s="25">
        <f>TEXT(A2778,"MMM-YYYY")</f>
        <v/>
      </c>
      <c r="D2778" s="40">
        <f>INT(A2778)-WEEKDAY(A2778,2)+1</f>
        <v/>
      </c>
      <c r="E2778" s="25" t="inlineStr">
        <is>
          <t>aghosh</t>
        </is>
      </c>
      <c r="F2778" s="25" t="n">
        <v>123233</v>
      </c>
      <c r="G2778" s="25" t="n">
        <v>3</v>
      </c>
      <c r="H2778" s="25" t="n">
        <v>15</v>
      </c>
      <c r="I2778" s="25" t="inlineStr">
        <is>
          <t>5 minute(s) and 51 second(s)</t>
        </is>
      </c>
      <c r="J2778" s="25">
        <f>IFERROR(VALUE(TRIM(LEFT(I2778,FIND("minute",I2778)-1)))*60,0)+IFERROR(VALUE(SUBSTITUTE(MID(I2778,IFERROR(FIND("and",I2778)+3,1),20),"second(s)","")),0)</f>
        <v/>
      </c>
      <c r="K2778" s="41">
        <f>J2778/60</f>
        <v/>
      </c>
      <c r="L2778" s="41">
        <f>IFERROR(J2778/H2778,"")</f>
        <v/>
      </c>
      <c r="M2778" s="25" t="inlineStr">
        <is>
          <t>2.5.12</t>
        </is>
      </c>
      <c r="N2778" s="25">
        <f>IF(J2778&gt;300,1,0)</f>
        <v/>
      </c>
      <c r="O2778" s="25">
        <f>IF(J2778&gt;600,1,0)</f>
        <v/>
      </c>
      <c r="P2778" s="25">
        <f>IF(H2778&gt;0,J2778,"")</f>
        <v/>
      </c>
      <c r="Q2778" s="25">
        <f>TEXT(A2778,"YYYY-MM-DD HH")</f>
        <v/>
      </c>
      <c r="R2778" s="25">
        <f>COUNTIF($Q$2:$Q$5295,Q2778)</f>
        <v/>
      </c>
      <c r="S2778" s="25">
        <f>IF(R2778&lt;=2,"1-2",IF(R2778&lt;=5,"3-5",IF(R2778&lt;=10,"6-10","11+")))</f>
        <v/>
      </c>
    </row>
    <row r="2779">
      <c r="A2779" s="39" t="n">
        <v>46190.11643518518</v>
      </c>
      <c r="B2779" s="25">
        <f>TEXT(A2779,"YYYY-MM")</f>
        <v/>
      </c>
      <c r="C2779" s="25">
        <f>TEXT(A2779,"MMM-YYYY")</f>
        <v/>
      </c>
      <c r="D2779" s="40">
        <f>INT(A2779)-WEEKDAY(A2779,2)+1</f>
        <v/>
      </c>
      <c r="E2779" s="25" t="inlineStr">
        <is>
          <t>ethomas</t>
        </is>
      </c>
      <c r="F2779" s="25" t="n">
        <v>106343</v>
      </c>
      <c r="G2779" s="25" t="n">
        <v>3</v>
      </c>
      <c r="H2779" s="25" t="n">
        <v>15</v>
      </c>
      <c r="I2779" s="25" t="inlineStr">
        <is>
          <t>7 minute(s) and 0 second(s)</t>
        </is>
      </c>
      <c r="J2779" s="25">
        <f>IFERROR(VALUE(TRIM(LEFT(I2779,FIND("minute",I2779)-1)))*60,0)+IFERROR(VALUE(SUBSTITUTE(MID(I2779,IFERROR(FIND("and",I2779)+3,1),20),"second(s)","")),0)</f>
        <v/>
      </c>
      <c r="K2779" s="41">
        <f>J2779/60</f>
        <v/>
      </c>
      <c r="L2779" s="41">
        <f>IFERROR(J2779/H2779,"")</f>
        <v/>
      </c>
      <c r="M2779" s="25" t="inlineStr">
        <is>
          <t>2.5.12</t>
        </is>
      </c>
      <c r="N2779" s="25">
        <f>IF(J2779&gt;300,1,0)</f>
        <v/>
      </c>
      <c r="O2779" s="25">
        <f>IF(J2779&gt;600,1,0)</f>
        <v/>
      </c>
      <c r="P2779" s="25">
        <f>IF(H2779&gt;0,J2779,"")</f>
        <v/>
      </c>
      <c r="Q2779" s="25">
        <f>TEXT(A2779,"YYYY-MM-DD HH")</f>
        <v/>
      </c>
      <c r="R2779" s="25">
        <f>COUNTIF($Q$2:$Q$5295,Q2779)</f>
        <v/>
      </c>
      <c r="S2779" s="25">
        <f>IF(R2779&lt;=2,"1-2",IF(R2779&lt;=5,"3-5",IF(R2779&lt;=10,"6-10","11+")))</f>
        <v/>
      </c>
    </row>
    <row r="2780">
      <c r="A2780" s="39" t="n">
        <v>46190.12679398148</v>
      </c>
      <c r="B2780" s="25">
        <f>TEXT(A2780,"YYYY-MM")</f>
        <v/>
      </c>
      <c r="C2780" s="25">
        <f>TEXT(A2780,"MMM-YYYY")</f>
        <v/>
      </c>
      <c r="D2780" s="40">
        <f>INT(A2780)-WEEKDAY(A2780,2)+1</f>
        <v/>
      </c>
      <c r="E2780" s="25" t="inlineStr">
        <is>
          <t>stiwari</t>
        </is>
      </c>
      <c r="F2780" s="25" t="n">
        <v>96542</v>
      </c>
      <c r="G2780" s="25" t="n">
        <v>4</v>
      </c>
      <c r="H2780" s="25" t="n">
        <v>18</v>
      </c>
      <c r="I2780" s="25" t="inlineStr">
        <is>
          <t>6 minute(s) and 34 second(s)</t>
        </is>
      </c>
      <c r="J2780" s="25">
        <f>IFERROR(VALUE(TRIM(LEFT(I2780,FIND("minute",I2780)-1)))*60,0)+IFERROR(VALUE(SUBSTITUTE(MID(I2780,IFERROR(FIND("and",I2780)+3,1),20),"second(s)","")),0)</f>
        <v/>
      </c>
      <c r="K2780" s="41">
        <f>J2780/60</f>
        <v/>
      </c>
      <c r="L2780" s="41">
        <f>IFERROR(J2780/H2780,"")</f>
        <v/>
      </c>
      <c r="M2780" s="25" t="inlineStr">
        <is>
          <t>2.5.12</t>
        </is>
      </c>
      <c r="N2780" s="25">
        <f>IF(J2780&gt;300,1,0)</f>
        <v/>
      </c>
      <c r="O2780" s="25">
        <f>IF(J2780&gt;600,1,0)</f>
        <v/>
      </c>
      <c r="P2780" s="25">
        <f>IF(H2780&gt;0,J2780,"")</f>
        <v/>
      </c>
      <c r="Q2780" s="25">
        <f>TEXT(A2780,"YYYY-MM-DD HH")</f>
        <v/>
      </c>
      <c r="R2780" s="25">
        <f>COUNTIF($Q$2:$Q$5295,Q2780)</f>
        <v/>
      </c>
      <c r="S2780" s="25">
        <f>IF(R2780&lt;=2,"1-2",IF(R2780&lt;=5,"3-5",IF(R2780&lt;=10,"6-10","11+")))</f>
        <v/>
      </c>
    </row>
    <row r="2781">
      <c r="A2781" s="39" t="n">
        <v>46190.13100694444</v>
      </c>
      <c r="B2781" s="25">
        <f>TEXT(A2781,"YYYY-MM")</f>
        <v/>
      </c>
      <c r="C2781" s="25">
        <f>TEXT(A2781,"MMM-YYYY")</f>
        <v/>
      </c>
      <c r="D2781" s="40">
        <f>INT(A2781)-WEEKDAY(A2781,2)+1</f>
        <v/>
      </c>
      <c r="E2781" s="25" t="inlineStr">
        <is>
          <t>anusharma</t>
        </is>
      </c>
      <c r="F2781" s="25" t="n">
        <v>124189</v>
      </c>
      <c r="G2781" s="25" t="n">
        <v>1</v>
      </c>
      <c r="H2781" s="25" t="n">
        <v>5</v>
      </c>
      <c r="I2781" s="25" t="inlineStr">
        <is>
          <t>1 minute(s) and 22 second(s)</t>
        </is>
      </c>
      <c r="J2781" s="25">
        <f>IFERROR(VALUE(TRIM(LEFT(I2781,FIND("minute",I2781)-1)))*60,0)+IFERROR(VALUE(SUBSTITUTE(MID(I2781,IFERROR(FIND("and",I2781)+3,1),20),"second(s)","")),0)</f>
        <v/>
      </c>
      <c r="K2781" s="41">
        <f>J2781/60</f>
        <v/>
      </c>
      <c r="L2781" s="41">
        <f>IFERROR(J2781/H2781,"")</f>
        <v/>
      </c>
      <c r="M2781" s="25" t="inlineStr">
        <is>
          <t>2.5.12</t>
        </is>
      </c>
      <c r="N2781" s="25">
        <f>IF(J2781&gt;300,1,0)</f>
        <v/>
      </c>
      <c r="O2781" s="25">
        <f>IF(J2781&gt;600,1,0)</f>
        <v/>
      </c>
      <c r="P2781" s="25">
        <f>IF(H2781&gt;0,J2781,"")</f>
        <v/>
      </c>
      <c r="Q2781" s="25">
        <f>TEXT(A2781,"YYYY-MM-DD HH")</f>
        <v/>
      </c>
      <c r="R2781" s="25">
        <f>COUNTIF($Q$2:$Q$5295,Q2781)</f>
        <v/>
      </c>
      <c r="S2781" s="25">
        <f>IF(R2781&lt;=2,"1-2",IF(R2781&lt;=5,"3-5",IF(R2781&lt;=10,"6-10","11+")))</f>
        <v/>
      </c>
    </row>
    <row r="2782">
      <c r="A2782" s="39" t="n">
        <v>46190.14820601852</v>
      </c>
      <c r="B2782" s="25">
        <f>TEXT(A2782,"YYYY-MM")</f>
        <v/>
      </c>
      <c r="C2782" s="25">
        <f>TEXT(A2782,"MMM-YYYY")</f>
        <v/>
      </c>
      <c r="D2782" s="40">
        <f>INT(A2782)-WEEKDAY(A2782,2)+1</f>
        <v/>
      </c>
      <c r="E2782" s="25" t="inlineStr">
        <is>
          <t>tkarmakar</t>
        </is>
      </c>
      <c r="F2782" s="25" t="n">
        <v>105982</v>
      </c>
      <c r="G2782" s="25" t="n">
        <v>2</v>
      </c>
      <c r="H2782" s="25" t="n">
        <v>12</v>
      </c>
      <c r="I2782" s="25" t="inlineStr">
        <is>
          <t>2 minute(s) and 49 second(s)</t>
        </is>
      </c>
      <c r="J2782" s="25">
        <f>IFERROR(VALUE(TRIM(LEFT(I2782,FIND("minute",I2782)-1)))*60,0)+IFERROR(VALUE(SUBSTITUTE(MID(I2782,IFERROR(FIND("and",I2782)+3,1),20),"second(s)","")),0)</f>
        <v/>
      </c>
      <c r="K2782" s="41">
        <f>J2782/60</f>
        <v/>
      </c>
      <c r="L2782" s="41">
        <f>IFERROR(J2782/H2782,"")</f>
        <v/>
      </c>
      <c r="M2782" s="25" t="inlineStr">
        <is>
          <t>2.5.12</t>
        </is>
      </c>
      <c r="N2782" s="25">
        <f>IF(J2782&gt;300,1,0)</f>
        <v/>
      </c>
      <c r="O2782" s="25">
        <f>IF(J2782&gt;600,1,0)</f>
        <v/>
      </c>
      <c r="P2782" s="25">
        <f>IF(H2782&gt;0,J2782,"")</f>
        <v/>
      </c>
      <c r="Q2782" s="25">
        <f>TEXT(A2782,"YYYY-MM-DD HH")</f>
        <v/>
      </c>
      <c r="R2782" s="25">
        <f>COUNTIF($Q$2:$Q$5295,Q2782)</f>
        <v/>
      </c>
      <c r="S2782" s="25">
        <f>IF(R2782&lt;=2,"1-2",IF(R2782&lt;=5,"3-5",IF(R2782&lt;=10,"6-10","11+")))</f>
        <v/>
      </c>
    </row>
    <row r="2783">
      <c r="A2783" s="39" t="n">
        <v>46190.15421296296</v>
      </c>
      <c r="B2783" s="25">
        <f>TEXT(A2783,"YYYY-MM")</f>
        <v/>
      </c>
      <c r="C2783" s="25">
        <f>TEXT(A2783,"MMM-YYYY")</f>
        <v/>
      </c>
      <c r="D2783" s="40">
        <f>INT(A2783)-WEEKDAY(A2783,2)+1</f>
        <v/>
      </c>
      <c r="E2783" s="25" t="inlineStr">
        <is>
          <t>bverma</t>
        </is>
      </c>
      <c r="F2783" s="25" t="n">
        <v>124366</v>
      </c>
      <c r="G2783" s="25" t="n">
        <v>5</v>
      </c>
      <c r="H2783" s="25" t="n">
        <v>25</v>
      </c>
      <c r="I2783" s="25" t="inlineStr">
        <is>
          <t>8 minute(s) and 1 second(s)</t>
        </is>
      </c>
      <c r="J2783" s="25">
        <f>IFERROR(VALUE(TRIM(LEFT(I2783,FIND("minute",I2783)-1)))*60,0)+IFERROR(VALUE(SUBSTITUTE(MID(I2783,IFERROR(FIND("and",I2783)+3,1),20),"second(s)","")),0)</f>
        <v/>
      </c>
      <c r="K2783" s="41">
        <f>J2783/60</f>
        <v/>
      </c>
      <c r="L2783" s="41">
        <f>IFERROR(J2783/H2783,"")</f>
        <v/>
      </c>
      <c r="M2783" s="25" t="inlineStr">
        <is>
          <t>2.5.12</t>
        </is>
      </c>
      <c r="N2783" s="25">
        <f>IF(J2783&gt;300,1,0)</f>
        <v/>
      </c>
      <c r="O2783" s="25">
        <f>IF(J2783&gt;600,1,0)</f>
        <v/>
      </c>
      <c r="P2783" s="25">
        <f>IF(H2783&gt;0,J2783,"")</f>
        <v/>
      </c>
      <c r="Q2783" s="25">
        <f>TEXT(A2783,"YYYY-MM-DD HH")</f>
        <v/>
      </c>
      <c r="R2783" s="25">
        <f>COUNTIF($Q$2:$Q$5295,Q2783)</f>
        <v/>
      </c>
      <c r="S2783" s="25">
        <f>IF(R2783&lt;=2,"1-2",IF(R2783&lt;=5,"3-5",IF(R2783&lt;=10,"6-10","11+")))</f>
        <v/>
      </c>
    </row>
    <row r="2784">
      <c r="A2784" s="39" t="n">
        <v>46190.15783564815</v>
      </c>
      <c r="B2784" s="25">
        <f>TEXT(A2784,"YYYY-MM")</f>
        <v/>
      </c>
      <c r="C2784" s="25">
        <f>TEXT(A2784,"MMM-YYYY")</f>
        <v/>
      </c>
      <c r="D2784" s="40">
        <f>INT(A2784)-WEEKDAY(A2784,2)+1</f>
        <v/>
      </c>
      <c r="E2784" s="25" t="inlineStr">
        <is>
          <t>stiwari</t>
        </is>
      </c>
      <c r="F2784" s="25" t="n">
        <v>96435</v>
      </c>
      <c r="G2784" s="25" t="n">
        <v>2</v>
      </c>
      <c r="H2784" s="25" t="n">
        <v>10</v>
      </c>
      <c r="I2784" s="25" t="inlineStr">
        <is>
          <t>3 minute(s) and 29 second(s)</t>
        </is>
      </c>
      <c r="J2784" s="25">
        <f>IFERROR(VALUE(TRIM(LEFT(I2784,FIND("minute",I2784)-1)))*60,0)+IFERROR(VALUE(SUBSTITUTE(MID(I2784,IFERROR(FIND("and",I2784)+3,1),20),"second(s)","")),0)</f>
        <v/>
      </c>
      <c r="K2784" s="41">
        <f>J2784/60</f>
        <v/>
      </c>
      <c r="L2784" s="41">
        <f>IFERROR(J2784/H2784,"")</f>
        <v/>
      </c>
      <c r="M2784" s="25" t="inlineStr">
        <is>
          <t>2.5.12</t>
        </is>
      </c>
      <c r="N2784" s="25">
        <f>IF(J2784&gt;300,1,0)</f>
        <v/>
      </c>
      <c r="O2784" s="25">
        <f>IF(J2784&gt;600,1,0)</f>
        <v/>
      </c>
      <c r="P2784" s="25">
        <f>IF(H2784&gt;0,J2784,"")</f>
        <v/>
      </c>
      <c r="Q2784" s="25">
        <f>TEXT(A2784,"YYYY-MM-DD HH")</f>
        <v/>
      </c>
      <c r="R2784" s="25">
        <f>COUNTIF($Q$2:$Q$5295,Q2784)</f>
        <v/>
      </c>
      <c r="S2784" s="25">
        <f>IF(R2784&lt;=2,"1-2",IF(R2784&lt;=5,"3-5",IF(R2784&lt;=10,"6-10","11+")))</f>
        <v/>
      </c>
    </row>
    <row r="2785">
      <c r="A2785" s="39" t="n">
        <v>46190.15959490741</v>
      </c>
      <c r="B2785" s="25">
        <f>TEXT(A2785,"YYYY-MM")</f>
        <v/>
      </c>
      <c r="C2785" s="25">
        <f>TEXT(A2785,"MMM-YYYY")</f>
        <v/>
      </c>
      <c r="D2785" s="40">
        <f>INT(A2785)-WEEKDAY(A2785,2)+1</f>
        <v/>
      </c>
      <c r="E2785" s="25" t="inlineStr">
        <is>
          <t>csaha</t>
        </is>
      </c>
      <c r="F2785" s="25" t="n">
        <v>93397</v>
      </c>
      <c r="G2785" s="25" t="n">
        <v>4</v>
      </c>
      <c r="H2785" s="25" t="n">
        <v>11</v>
      </c>
      <c r="I2785" s="25" t="inlineStr">
        <is>
          <t>2 minute(s) and 48 second(s)</t>
        </is>
      </c>
      <c r="J2785" s="25">
        <f>IFERROR(VALUE(TRIM(LEFT(I2785,FIND("minute",I2785)-1)))*60,0)+IFERROR(VALUE(SUBSTITUTE(MID(I2785,IFERROR(FIND("and",I2785)+3,1),20),"second(s)","")),0)</f>
        <v/>
      </c>
      <c r="K2785" s="41">
        <f>J2785/60</f>
        <v/>
      </c>
      <c r="L2785" s="41">
        <f>IFERROR(J2785/H2785,"")</f>
        <v/>
      </c>
      <c r="M2785" s="25" t="inlineStr">
        <is>
          <t>2.5.12</t>
        </is>
      </c>
      <c r="N2785" s="25">
        <f>IF(J2785&gt;300,1,0)</f>
        <v/>
      </c>
      <c r="O2785" s="25">
        <f>IF(J2785&gt;600,1,0)</f>
        <v/>
      </c>
      <c r="P2785" s="25">
        <f>IF(H2785&gt;0,J2785,"")</f>
        <v/>
      </c>
      <c r="Q2785" s="25">
        <f>TEXT(A2785,"YYYY-MM-DD HH")</f>
        <v/>
      </c>
      <c r="R2785" s="25">
        <f>COUNTIF($Q$2:$Q$5295,Q2785)</f>
        <v/>
      </c>
      <c r="S2785" s="25">
        <f>IF(R2785&lt;=2,"1-2",IF(R2785&lt;=5,"3-5",IF(R2785&lt;=10,"6-10","11+")))</f>
        <v/>
      </c>
    </row>
    <row r="2786">
      <c r="A2786" s="39" t="n">
        <v>46190.42650462963</v>
      </c>
      <c r="B2786" s="25">
        <f>TEXT(A2786,"YYYY-MM")</f>
        <v/>
      </c>
      <c r="C2786" s="25">
        <f>TEXT(A2786,"MMM-YYYY")</f>
        <v/>
      </c>
      <c r="D2786" s="40">
        <f>INT(A2786)-WEEKDAY(A2786,2)+1</f>
        <v/>
      </c>
      <c r="E2786" s="25" t="inlineStr">
        <is>
          <t>ssaha</t>
        </is>
      </c>
      <c r="F2786" s="25" t="n">
        <v>80509</v>
      </c>
      <c r="G2786" s="25" t="n">
        <v>4</v>
      </c>
      <c r="H2786" s="25" t="n">
        <v>8</v>
      </c>
      <c r="I2786" s="25" t="inlineStr">
        <is>
          <t>2 minute(s) and 57 second(s)</t>
        </is>
      </c>
      <c r="J2786" s="25">
        <f>IFERROR(VALUE(TRIM(LEFT(I2786,FIND("minute",I2786)-1)))*60,0)+IFERROR(VALUE(SUBSTITUTE(MID(I2786,IFERROR(FIND("and",I2786)+3,1),20),"second(s)","")),0)</f>
        <v/>
      </c>
      <c r="K2786" s="41">
        <f>J2786/60</f>
        <v/>
      </c>
      <c r="L2786" s="41">
        <f>IFERROR(J2786/H2786,"")</f>
        <v/>
      </c>
      <c r="M2786" s="25" t="inlineStr">
        <is>
          <t>2.5.12</t>
        </is>
      </c>
      <c r="N2786" s="25">
        <f>IF(J2786&gt;300,1,0)</f>
        <v/>
      </c>
      <c r="O2786" s="25">
        <f>IF(J2786&gt;600,1,0)</f>
        <v/>
      </c>
      <c r="P2786" s="25">
        <f>IF(H2786&gt;0,J2786,"")</f>
        <v/>
      </c>
      <c r="Q2786" s="25">
        <f>TEXT(A2786,"YYYY-MM-DD HH")</f>
        <v/>
      </c>
      <c r="R2786" s="25">
        <f>COUNTIF($Q$2:$Q$5295,Q2786)</f>
        <v/>
      </c>
      <c r="S2786" s="25">
        <f>IF(R2786&lt;=2,"1-2",IF(R2786&lt;=5,"3-5",IF(R2786&lt;=10,"6-10","11+")))</f>
        <v/>
      </c>
    </row>
    <row r="2787">
      <c r="A2787" s="39" t="n">
        <v>46190.48300925926</v>
      </c>
      <c r="B2787" s="25">
        <f>TEXT(A2787,"YYYY-MM")</f>
        <v/>
      </c>
      <c r="C2787" s="25">
        <f>TEXT(A2787,"MMM-YYYY")</f>
        <v/>
      </c>
      <c r="D2787" s="40">
        <f>INT(A2787)-WEEKDAY(A2787,2)+1</f>
        <v/>
      </c>
      <c r="E2787" s="25" t="inlineStr">
        <is>
          <t>psingh</t>
        </is>
      </c>
      <c r="F2787" s="25" t="n">
        <v>85871</v>
      </c>
      <c r="G2787" s="25" t="n">
        <v>2</v>
      </c>
      <c r="H2787" s="25" t="n">
        <v>12</v>
      </c>
      <c r="I2787" s="25" t="inlineStr">
        <is>
          <t>2 minute(s) and 42 second(s)</t>
        </is>
      </c>
      <c r="J2787" s="25">
        <f>IFERROR(VALUE(TRIM(LEFT(I2787,FIND("minute",I2787)-1)))*60,0)+IFERROR(VALUE(SUBSTITUTE(MID(I2787,IFERROR(FIND("and",I2787)+3,1),20),"second(s)","")),0)</f>
        <v/>
      </c>
      <c r="K2787" s="41">
        <f>J2787/60</f>
        <v/>
      </c>
      <c r="L2787" s="41">
        <f>IFERROR(J2787/H2787,"")</f>
        <v/>
      </c>
      <c r="M2787" s="25" t="inlineStr">
        <is>
          <t>2.5.12</t>
        </is>
      </c>
      <c r="N2787" s="25">
        <f>IF(J2787&gt;300,1,0)</f>
        <v/>
      </c>
      <c r="O2787" s="25">
        <f>IF(J2787&gt;600,1,0)</f>
        <v/>
      </c>
      <c r="P2787" s="25">
        <f>IF(H2787&gt;0,J2787,"")</f>
        <v/>
      </c>
      <c r="Q2787" s="25">
        <f>TEXT(A2787,"YYYY-MM-DD HH")</f>
        <v/>
      </c>
      <c r="R2787" s="25">
        <f>COUNTIF($Q$2:$Q$5295,Q2787)</f>
        <v/>
      </c>
      <c r="S2787" s="25">
        <f>IF(R2787&lt;=2,"1-2",IF(R2787&lt;=5,"3-5",IF(R2787&lt;=10,"6-10","11+")))</f>
        <v/>
      </c>
    </row>
    <row r="2788">
      <c r="A2788" s="39" t="n">
        <v>46190.48422453704</v>
      </c>
      <c r="B2788" s="25">
        <f>TEXT(A2788,"YYYY-MM")</f>
        <v/>
      </c>
      <c r="C2788" s="25">
        <f>TEXT(A2788,"MMM-YYYY")</f>
        <v/>
      </c>
      <c r="D2788" s="40">
        <f>INT(A2788)-WEEKDAY(A2788,2)+1</f>
        <v/>
      </c>
      <c r="E2788" s="25" t="inlineStr">
        <is>
          <t>ssaha</t>
        </is>
      </c>
      <c r="F2788" s="25" t="n">
        <v>123888</v>
      </c>
      <c r="G2788" s="25" t="n">
        <v>4</v>
      </c>
      <c r="H2788" s="25" t="n">
        <v>8</v>
      </c>
      <c r="I2788" s="25" t="inlineStr">
        <is>
          <t>3 minute(s) and 12 second(s)</t>
        </is>
      </c>
      <c r="J2788" s="25">
        <f>IFERROR(VALUE(TRIM(LEFT(I2788,FIND("minute",I2788)-1)))*60,0)+IFERROR(VALUE(SUBSTITUTE(MID(I2788,IFERROR(FIND("and",I2788)+3,1),20),"second(s)","")),0)</f>
        <v/>
      </c>
      <c r="K2788" s="41">
        <f>J2788/60</f>
        <v/>
      </c>
      <c r="L2788" s="41">
        <f>IFERROR(J2788/H2788,"")</f>
        <v/>
      </c>
      <c r="M2788" s="25" t="inlineStr">
        <is>
          <t>2.5.12</t>
        </is>
      </c>
      <c r="N2788" s="25">
        <f>IF(J2788&gt;300,1,0)</f>
        <v/>
      </c>
      <c r="O2788" s="25">
        <f>IF(J2788&gt;600,1,0)</f>
        <v/>
      </c>
      <c r="P2788" s="25">
        <f>IF(H2788&gt;0,J2788,"")</f>
        <v/>
      </c>
      <c r="Q2788" s="25">
        <f>TEXT(A2788,"YYYY-MM-DD HH")</f>
        <v/>
      </c>
      <c r="R2788" s="25">
        <f>COUNTIF($Q$2:$Q$5295,Q2788)</f>
        <v/>
      </c>
      <c r="S2788" s="25">
        <f>IF(R2788&lt;=2,"1-2",IF(R2788&lt;=5,"3-5",IF(R2788&lt;=10,"6-10","11+")))</f>
        <v/>
      </c>
    </row>
    <row r="2789">
      <c r="A2789" s="39" t="n">
        <v>46190.56128472222</v>
      </c>
      <c r="B2789" s="25">
        <f>TEXT(A2789,"YYYY-MM")</f>
        <v/>
      </c>
      <c r="C2789" s="25">
        <f>TEXT(A2789,"MMM-YYYY")</f>
        <v/>
      </c>
      <c r="D2789" s="40">
        <f>INT(A2789)-WEEKDAY(A2789,2)+1</f>
        <v/>
      </c>
      <c r="E2789" s="25" t="inlineStr">
        <is>
          <t>ssaha</t>
        </is>
      </c>
      <c r="F2789" s="25" t="n">
        <v>104320</v>
      </c>
      <c r="G2789" s="25" t="n">
        <v>2</v>
      </c>
      <c r="H2789" s="25" t="n">
        <v>6</v>
      </c>
      <c r="I2789" s="25" t="inlineStr">
        <is>
          <t>1 minute(s) and 19 second(s)</t>
        </is>
      </c>
      <c r="J2789" s="25">
        <f>IFERROR(VALUE(TRIM(LEFT(I2789,FIND("minute",I2789)-1)))*60,0)+IFERROR(VALUE(SUBSTITUTE(MID(I2789,IFERROR(FIND("and",I2789)+3,1),20),"second(s)","")),0)</f>
        <v/>
      </c>
      <c r="K2789" s="41">
        <f>J2789/60</f>
        <v/>
      </c>
      <c r="L2789" s="41">
        <f>IFERROR(J2789/H2789,"")</f>
        <v/>
      </c>
      <c r="M2789" s="25" t="inlineStr">
        <is>
          <t>2.5.12</t>
        </is>
      </c>
      <c r="N2789" s="25">
        <f>IF(J2789&gt;300,1,0)</f>
        <v/>
      </c>
      <c r="O2789" s="25">
        <f>IF(J2789&gt;600,1,0)</f>
        <v/>
      </c>
      <c r="P2789" s="25">
        <f>IF(H2789&gt;0,J2789,"")</f>
        <v/>
      </c>
      <c r="Q2789" s="25">
        <f>TEXT(A2789,"YYYY-MM-DD HH")</f>
        <v/>
      </c>
      <c r="R2789" s="25">
        <f>COUNTIF($Q$2:$Q$5295,Q2789)</f>
        <v/>
      </c>
      <c r="S2789" s="25">
        <f>IF(R2789&lt;=2,"1-2",IF(R2789&lt;=5,"3-5",IF(R2789&lt;=10,"6-10","11+")))</f>
        <v/>
      </c>
    </row>
    <row r="2790">
      <c r="A2790" s="39" t="n">
        <v>46190.59130787037</v>
      </c>
      <c r="B2790" s="25">
        <f>TEXT(A2790,"YYYY-MM")</f>
        <v/>
      </c>
      <c r="C2790" s="25">
        <f>TEXT(A2790,"MMM-YYYY")</f>
        <v/>
      </c>
      <c r="D2790" s="40">
        <f>INT(A2790)-WEEKDAY(A2790,2)+1</f>
        <v/>
      </c>
      <c r="E2790" s="25" t="inlineStr">
        <is>
          <t>ssaha</t>
        </is>
      </c>
      <c r="F2790" s="25" t="n">
        <v>113717</v>
      </c>
      <c r="G2790" s="25" t="n">
        <v>2</v>
      </c>
      <c r="H2790" s="25" t="n">
        <v>10</v>
      </c>
      <c r="I2790" s="25" t="inlineStr">
        <is>
          <t>3 minute(s) and 34 second(s)</t>
        </is>
      </c>
      <c r="J2790" s="25">
        <f>IFERROR(VALUE(TRIM(LEFT(I2790,FIND("minute",I2790)-1)))*60,0)+IFERROR(VALUE(SUBSTITUTE(MID(I2790,IFERROR(FIND("and",I2790)+3,1),20),"second(s)","")),0)</f>
        <v/>
      </c>
      <c r="K2790" s="41">
        <f>J2790/60</f>
        <v/>
      </c>
      <c r="L2790" s="41">
        <f>IFERROR(J2790/H2790,"")</f>
        <v/>
      </c>
      <c r="M2790" s="25" t="inlineStr">
        <is>
          <t>2.5.12</t>
        </is>
      </c>
      <c r="N2790" s="25">
        <f>IF(J2790&gt;300,1,0)</f>
        <v/>
      </c>
      <c r="O2790" s="25">
        <f>IF(J2790&gt;600,1,0)</f>
        <v/>
      </c>
      <c r="P2790" s="25">
        <f>IF(H2790&gt;0,J2790,"")</f>
        <v/>
      </c>
      <c r="Q2790" s="25">
        <f>TEXT(A2790,"YYYY-MM-DD HH")</f>
        <v/>
      </c>
      <c r="R2790" s="25">
        <f>COUNTIF($Q$2:$Q$5295,Q2790)</f>
        <v/>
      </c>
      <c r="S2790" s="25">
        <f>IF(R2790&lt;=2,"1-2",IF(R2790&lt;=5,"3-5",IF(R2790&lt;=10,"6-10","11+")))</f>
        <v/>
      </c>
    </row>
    <row r="2791">
      <c r="A2791" s="39" t="n">
        <v>46190.61167824074</v>
      </c>
      <c r="B2791" s="25">
        <f>TEXT(A2791,"YYYY-MM")</f>
        <v/>
      </c>
      <c r="C2791" s="25">
        <f>TEXT(A2791,"MMM-YYYY")</f>
        <v/>
      </c>
      <c r="D2791" s="40">
        <f>INT(A2791)-WEEKDAY(A2791,2)+1</f>
        <v/>
      </c>
      <c r="E2791" s="25" t="inlineStr">
        <is>
          <t>ssaha</t>
        </is>
      </c>
      <c r="F2791" s="25" t="n">
        <v>114801</v>
      </c>
      <c r="G2791" s="25" t="n">
        <v>2</v>
      </c>
      <c r="H2791" s="25" t="n">
        <v>6</v>
      </c>
      <c r="I2791" s="25" t="inlineStr">
        <is>
          <t>1 minute(s) and 25 second(s)</t>
        </is>
      </c>
      <c r="J2791" s="25">
        <f>IFERROR(VALUE(TRIM(LEFT(I2791,FIND("minute",I2791)-1)))*60,0)+IFERROR(VALUE(SUBSTITUTE(MID(I2791,IFERROR(FIND("and",I2791)+3,1),20),"second(s)","")),0)</f>
        <v/>
      </c>
      <c r="K2791" s="41">
        <f>J2791/60</f>
        <v/>
      </c>
      <c r="L2791" s="41">
        <f>IFERROR(J2791/H2791,"")</f>
        <v/>
      </c>
      <c r="M2791" s="25" t="inlineStr">
        <is>
          <t>2.5.12</t>
        </is>
      </c>
      <c r="N2791" s="25">
        <f>IF(J2791&gt;300,1,0)</f>
        <v/>
      </c>
      <c r="O2791" s="25">
        <f>IF(J2791&gt;600,1,0)</f>
        <v/>
      </c>
      <c r="P2791" s="25">
        <f>IF(H2791&gt;0,J2791,"")</f>
        <v/>
      </c>
      <c r="Q2791" s="25">
        <f>TEXT(A2791,"YYYY-MM-DD HH")</f>
        <v/>
      </c>
      <c r="R2791" s="25">
        <f>COUNTIF($Q$2:$Q$5295,Q2791)</f>
        <v/>
      </c>
      <c r="S2791" s="25">
        <f>IF(R2791&lt;=2,"1-2",IF(R2791&lt;=5,"3-5",IF(R2791&lt;=10,"6-10","11+")))</f>
        <v/>
      </c>
    </row>
    <row r="2792">
      <c r="A2792" s="39" t="n">
        <v>46191.00775462963</v>
      </c>
      <c r="B2792" s="25">
        <f>TEXT(A2792,"YYYY-MM")</f>
        <v/>
      </c>
      <c r="C2792" s="25">
        <f>TEXT(A2792,"MMM-YYYY")</f>
        <v/>
      </c>
      <c r="D2792" s="40">
        <f>INT(A2792)-WEEKDAY(A2792,2)+1</f>
        <v/>
      </c>
      <c r="E2792" s="25" t="inlineStr">
        <is>
          <t>sthomas</t>
        </is>
      </c>
      <c r="F2792" s="25" t="n">
        <v>123451</v>
      </c>
      <c r="G2792" s="25" t="n">
        <v>1</v>
      </c>
      <c r="H2792" s="25" t="n">
        <v>5</v>
      </c>
      <c r="I2792" s="25" t="inlineStr">
        <is>
          <t>1 minute(s) and 25 second(s)</t>
        </is>
      </c>
      <c r="J2792" s="25">
        <f>IFERROR(VALUE(TRIM(LEFT(I2792,FIND("minute",I2792)-1)))*60,0)+IFERROR(VALUE(SUBSTITUTE(MID(I2792,IFERROR(FIND("and",I2792)+3,1),20),"second(s)","")),0)</f>
        <v/>
      </c>
      <c r="K2792" s="41">
        <f>J2792/60</f>
        <v/>
      </c>
      <c r="L2792" s="41">
        <f>IFERROR(J2792/H2792,"")</f>
        <v/>
      </c>
      <c r="M2792" s="25" t="inlineStr">
        <is>
          <t>2.5.12</t>
        </is>
      </c>
      <c r="N2792" s="25">
        <f>IF(J2792&gt;300,1,0)</f>
        <v/>
      </c>
      <c r="O2792" s="25">
        <f>IF(J2792&gt;600,1,0)</f>
        <v/>
      </c>
      <c r="P2792" s="25">
        <f>IF(H2792&gt;0,J2792,"")</f>
        <v/>
      </c>
      <c r="Q2792" s="25">
        <f>TEXT(A2792,"YYYY-MM-DD HH")</f>
        <v/>
      </c>
      <c r="R2792" s="25">
        <f>COUNTIF($Q$2:$Q$5295,Q2792)</f>
        <v/>
      </c>
      <c r="S2792" s="25">
        <f>IF(R2792&lt;=2,"1-2",IF(R2792&lt;=5,"3-5",IF(R2792&lt;=10,"6-10","11+")))</f>
        <v/>
      </c>
    </row>
    <row r="2793">
      <c r="A2793" s="39" t="n">
        <v>46191.05476851852</v>
      </c>
      <c r="B2793" s="25">
        <f>TEXT(A2793,"YYYY-MM")</f>
        <v/>
      </c>
      <c r="C2793" s="25">
        <f>TEXT(A2793,"MMM-YYYY")</f>
        <v/>
      </c>
      <c r="D2793" s="40">
        <f>INT(A2793)-WEEKDAY(A2793,2)+1</f>
        <v/>
      </c>
      <c r="E2793" s="25" t="inlineStr">
        <is>
          <t>ssrinivasan</t>
        </is>
      </c>
      <c r="F2793" s="25" t="n">
        <v>105593</v>
      </c>
      <c r="G2793" s="25" t="n">
        <v>4</v>
      </c>
      <c r="H2793" s="25" t="n">
        <v>22</v>
      </c>
      <c r="I2793" s="25" t="inlineStr">
        <is>
          <t>8 minute(s) and 27 second(s)</t>
        </is>
      </c>
      <c r="J2793" s="25">
        <f>IFERROR(VALUE(TRIM(LEFT(I2793,FIND("minute",I2793)-1)))*60,0)+IFERROR(VALUE(SUBSTITUTE(MID(I2793,IFERROR(FIND("and",I2793)+3,1),20),"second(s)","")),0)</f>
        <v/>
      </c>
      <c r="K2793" s="41">
        <f>J2793/60</f>
        <v/>
      </c>
      <c r="L2793" s="41">
        <f>IFERROR(J2793/H2793,"")</f>
        <v/>
      </c>
      <c r="M2793" s="25" t="inlineStr">
        <is>
          <t>2.5.12</t>
        </is>
      </c>
      <c r="N2793" s="25">
        <f>IF(J2793&gt;300,1,0)</f>
        <v/>
      </c>
      <c r="O2793" s="25">
        <f>IF(J2793&gt;600,1,0)</f>
        <v/>
      </c>
      <c r="P2793" s="25">
        <f>IF(H2793&gt;0,J2793,"")</f>
        <v/>
      </c>
      <c r="Q2793" s="25">
        <f>TEXT(A2793,"YYYY-MM-DD HH")</f>
        <v/>
      </c>
      <c r="R2793" s="25">
        <f>COUNTIF($Q$2:$Q$5295,Q2793)</f>
        <v/>
      </c>
      <c r="S2793" s="25">
        <f>IF(R2793&lt;=2,"1-2",IF(R2793&lt;=5,"3-5",IF(R2793&lt;=10,"6-10","11+")))</f>
        <v/>
      </c>
    </row>
    <row r="2794">
      <c r="A2794" s="39" t="n">
        <v>46191.06623842593</v>
      </c>
      <c r="B2794" s="25">
        <f>TEXT(A2794,"YYYY-MM")</f>
        <v/>
      </c>
      <c r="C2794" s="25">
        <f>TEXT(A2794,"MMM-YYYY")</f>
        <v/>
      </c>
      <c r="D2794" s="40">
        <f>INT(A2794)-WEEKDAY(A2794,2)+1</f>
        <v/>
      </c>
      <c r="E2794" s="25" t="inlineStr">
        <is>
          <t>anusharma</t>
        </is>
      </c>
      <c r="F2794" s="25" t="n">
        <v>103843</v>
      </c>
      <c r="G2794" s="25" t="n">
        <v>1</v>
      </c>
      <c r="H2794" s="25" t="n">
        <v>5</v>
      </c>
      <c r="I2794" s="25" t="inlineStr">
        <is>
          <t>2 minute(s) and 1 second(s)</t>
        </is>
      </c>
      <c r="J2794" s="25">
        <f>IFERROR(VALUE(TRIM(LEFT(I2794,FIND("minute",I2794)-1)))*60,0)+IFERROR(VALUE(SUBSTITUTE(MID(I2794,IFERROR(FIND("and",I2794)+3,1),20),"second(s)","")),0)</f>
        <v/>
      </c>
      <c r="K2794" s="41">
        <f>J2794/60</f>
        <v/>
      </c>
      <c r="L2794" s="41">
        <f>IFERROR(J2794/H2794,"")</f>
        <v/>
      </c>
      <c r="M2794" s="25" t="inlineStr">
        <is>
          <t>2.5.12</t>
        </is>
      </c>
      <c r="N2794" s="25">
        <f>IF(J2794&gt;300,1,0)</f>
        <v/>
      </c>
      <c r="O2794" s="25">
        <f>IF(J2794&gt;600,1,0)</f>
        <v/>
      </c>
      <c r="P2794" s="25">
        <f>IF(H2794&gt;0,J2794,"")</f>
        <v/>
      </c>
      <c r="Q2794" s="25">
        <f>TEXT(A2794,"YYYY-MM-DD HH")</f>
        <v/>
      </c>
      <c r="R2794" s="25">
        <f>COUNTIF($Q$2:$Q$5295,Q2794)</f>
        <v/>
      </c>
      <c r="S2794" s="25">
        <f>IF(R2794&lt;=2,"1-2",IF(R2794&lt;=5,"3-5",IF(R2794&lt;=10,"6-10","11+")))</f>
        <v/>
      </c>
    </row>
    <row r="2795">
      <c r="A2795" s="39" t="n">
        <v>46191.07938657407</v>
      </c>
      <c r="B2795" s="25">
        <f>TEXT(A2795,"YYYY-MM")</f>
        <v/>
      </c>
      <c r="C2795" s="25">
        <f>TEXT(A2795,"MMM-YYYY")</f>
        <v/>
      </c>
      <c r="D2795" s="40">
        <f>INT(A2795)-WEEKDAY(A2795,2)+1</f>
        <v/>
      </c>
      <c r="E2795" s="25" t="inlineStr">
        <is>
          <t>stiwari</t>
        </is>
      </c>
      <c r="F2795" s="25" t="n">
        <v>109269</v>
      </c>
      <c r="G2795" s="25" t="n">
        <v>3</v>
      </c>
      <c r="H2795" s="25" t="n">
        <v>11</v>
      </c>
      <c r="I2795" s="25" t="inlineStr">
        <is>
          <t>3 minute(s) and 49 second(s)</t>
        </is>
      </c>
      <c r="J2795" s="25">
        <f>IFERROR(VALUE(TRIM(LEFT(I2795,FIND("minute",I2795)-1)))*60,0)+IFERROR(VALUE(SUBSTITUTE(MID(I2795,IFERROR(FIND("and",I2795)+3,1),20),"second(s)","")),0)</f>
        <v/>
      </c>
      <c r="K2795" s="41">
        <f>J2795/60</f>
        <v/>
      </c>
      <c r="L2795" s="41">
        <f>IFERROR(J2795/H2795,"")</f>
        <v/>
      </c>
      <c r="M2795" s="25" t="inlineStr">
        <is>
          <t>2.5.12</t>
        </is>
      </c>
      <c r="N2795" s="25">
        <f>IF(J2795&gt;300,1,0)</f>
        <v/>
      </c>
      <c r="O2795" s="25">
        <f>IF(J2795&gt;600,1,0)</f>
        <v/>
      </c>
      <c r="P2795" s="25">
        <f>IF(H2795&gt;0,J2795,"")</f>
        <v/>
      </c>
      <c r="Q2795" s="25">
        <f>TEXT(A2795,"YYYY-MM-DD HH")</f>
        <v/>
      </c>
      <c r="R2795" s="25">
        <f>COUNTIF($Q$2:$Q$5295,Q2795)</f>
        <v/>
      </c>
      <c r="S2795" s="25">
        <f>IF(R2795&lt;=2,"1-2",IF(R2795&lt;=5,"3-5",IF(R2795&lt;=10,"6-10","11+")))</f>
        <v/>
      </c>
    </row>
    <row r="2796">
      <c r="A2796" s="39" t="n">
        <v>46191.0859837963</v>
      </c>
      <c r="B2796" s="25">
        <f>TEXT(A2796,"YYYY-MM")</f>
        <v/>
      </c>
      <c r="C2796" s="25">
        <f>TEXT(A2796,"MMM-YYYY")</f>
        <v/>
      </c>
      <c r="D2796" s="40">
        <f>INT(A2796)-WEEKDAY(A2796,2)+1</f>
        <v/>
      </c>
      <c r="E2796" s="25" t="inlineStr">
        <is>
          <t>ns</t>
        </is>
      </c>
      <c r="F2796" s="25" t="n">
        <v>115283</v>
      </c>
      <c r="G2796" s="25" t="n">
        <v>2</v>
      </c>
      <c r="H2796" s="25" t="n">
        <v>14</v>
      </c>
      <c r="I2796" s="25" t="inlineStr">
        <is>
          <t>5 minute(s) and 17 second(s)</t>
        </is>
      </c>
      <c r="J2796" s="25">
        <f>IFERROR(VALUE(TRIM(LEFT(I2796,FIND("minute",I2796)-1)))*60,0)+IFERROR(VALUE(SUBSTITUTE(MID(I2796,IFERROR(FIND("and",I2796)+3,1),20),"second(s)","")),0)</f>
        <v/>
      </c>
      <c r="K2796" s="41">
        <f>J2796/60</f>
        <v/>
      </c>
      <c r="L2796" s="41">
        <f>IFERROR(J2796/H2796,"")</f>
        <v/>
      </c>
      <c r="M2796" s="25" t="inlineStr">
        <is>
          <t>2.5.12</t>
        </is>
      </c>
      <c r="N2796" s="25">
        <f>IF(J2796&gt;300,1,0)</f>
        <v/>
      </c>
      <c r="O2796" s="25">
        <f>IF(J2796&gt;600,1,0)</f>
        <v/>
      </c>
      <c r="P2796" s="25">
        <f>IF(H2796&gt;0,J2796,"")</f>
        <v/>
      </c>
      <c r="Q2796" s="25">
        <f>TEXT(A2796,"YYYY-MM-DD HH")</f>
        <v/>
      </c>
      <c r="R2796" s="25">
        <f>COUNTIF($Q$2:$Q$5295,Q2796)</f>
        <v/>
      </c>
      <c r="S2796" s="25">
        <f>IF(R2796&lt;=2,"1-2",IF(R2796&lt;=5,"3-5",IF(R2796&lt;=10,"6-10","11+")))</f>
        <v/>
      </c>
    </row>
    <row r="2797">
      <c r="A2797" s="39" t="n">
        <v>46191.10045138889</v>
      </c>
      <c r="B2797" s="25">
        <f>TEXT(A2797,"YYYY-MM")</f>
        <v/>
      </c>
      <c r="C2797" s="25">
        <f>TEXT(A2797,"MMM-YYYY")</f>
        <v/>
      </c>
      <c r="D2797" s="40">
        <f>INT(A2797)-WEEKDAY(A2797,2)+1</f>
        <v/>
      </c>
      <c r="E2797" s="25" t="inlineStr">
        <is>
          <t>bverma</t>
        </is>
      </c>
      <c r="F2797" s="25" t="n">
        <v>117333</v>
      </c>
      <c r="G2797" s="25" t="n">
        <v>2</v>
      </c>
      <c r="H2797" s="25" t="n">
        <v>12</v>
      </c>
      <c r="I2797" s="25" t="inlineStr">
        <is>
          <t>6 minute(s) and 21 second(s)</t>
        </is>
      </c>
      <c r="J2797" s="25">
        <f>IFERROR(VALUE(TRIM(LEFT(I2797,FIND("minute",I2797)-1)))*60,0)+IFERROR(VALUE(SUBSTITUTE(MID(I2797,IFERROR(FIND("and",I2797)+3,1),20),"second(s)","")),0)</f>
        <v/>
      </c>
      <c r="K2797" s="41">
        <f>J2797/60</f>
        <v/>
      </c>
      <c r="L2797" s="41">
        <f>IFERROR(J2797/H2797,"")</f>
        <v/>
      </c>
      <c r="M2797" s="25" t="inlineStr">
        <is>
          <t>2.5.12</t>
        </is>
      </c>
      <c r="N2797" s="25">
        <f>IF(J2797&gt;300,1,0)</f>
        <v/>
      </c>
      <c r="O2797" s="25">
        <f>IF(J2797&gt;600,1,0)</f>
        <v/>
      </c>
      <c r="P2797" s="25">
        <f>IF(H2797&gt;0,J2797,"")</f>
        <v/>
      </c>
      <c r="Q2797" s="25">
        <f>TEXT(A2797,"YYYY-MM-DD HH")</f>
        <v/>
      </c>
      <c r="R2797" s="25">
        <f>COUNTIF($Q$2:$Q$5295,Q2797)</f>
        <v/>
      </c>
      <c r="S2797" s="25">
        <f>IF(R2797&lt;=2,"1-2",IF(R2797&lt;=5,"3-5",IF(R2797&lt;=10,"6-10","11+")))</f>
        <v/>
      </c>
    </row>
    <row r="2798">
      <c r="A2798" s="39" t="n">
        <v>46191.10179398148</v>
      </c>
      <c r="B2798" s="25">
        <f>TEXT(A2798,"YYYY-MM")</f>
        <v/>
      </c>
      <c r="C2798" s="25">
        <f>TEXT(A2798,"MMM-YYYY")</f>
        <v/>
      </c>
      <c r="D2798" s="40">
        <f>INT(A2798)-WEEKDAY(A2798,2)+1</f>
        <v/>
      </c>
      <c r="E2798" s="25" t="inlineStr">
        <is>
          <t>rts</t>
        </is>
      </c>
      <c r="F2798" s="25" t="n">
        <v>125039</v>
      </c>
      <c r="G2798" s="25" t="n">
        <v>2</v>
      </c>
      <c r="H2798" s="25" t="n">
        <v>8</v>
      </c>
      <c r="I2798" s="25" t="inlineStr">
        <is>
          <t>5 minute(s) and 3 second(s)</t>
        </is>
      </c>
      <c r="J2798" s="25">
        <f>IFERROR(VALUE(TRIM(LEFT(I2798,FIND("minute",I2798)-1)))*60,0)+IFERROR(VALUE(SUBSTITUTE(MID(I2798,IFERROR(FIND("and",I2798)+3,1),20),"second(s)","")),0)</f>
        <v/>
      </c>
      <c r="K2798" s="41">
        <f>J2798/60</f>
        <v/>
      </c>
      <c r="L2798" s="41">
        <f>IFERROR(J2798/H2798,"")</f>
        <v/>
      </c>
      <c r="M2798" s="25" t="inlineStr">
        <is>
          <t>2.5.12</t>
        </is>
      </c>
      <c r="N2798" s="25">
        <f>IF(J2798&gt;300,1,0)</f>
        <v/>
      </c>
      <c r="O2798" s="25">
        <f>IF(J2798&gt;600,1,0)</f>
        <v/>
      </c>
      <c r="P2798" s="25">
        <f>IF(H2798&gt;0,J2798,"")</f>
        <v/>
      </c>
      <c r="Q2798" s="25">
        <f>TEXT(A2798,"YYYY-MM-DD HH")</f>
        <v/>
      </c>
      <c r="R2798" s="25">
        <f>COUNTIF($Q$2:$Q$5295,Q2798)</f>
        <v/>
      </c>
      <c r="S2798" s="25">
        <f>IF(R2798&lt;=2,"1-2",IF(R2798&lt;=5,"3-5",IF(R2798&lt;=10,"6-10","11+")))</f>
        <v/>
      </c>
    </row>
    <row r="2799">
      <c r="A2799" s="39" t="n">
        <v>46191.10199074074</v>
      </c>
      <c r="B2799" s="25">
        <f>TEXT(A2799,"YYYY-MM")</f>
        <v/>
      </c>
      <c r="C2799" s="25">
        <f>TEXT(A2799,"MMM-YYYY")</f>
        <v/>
      </c>
      <c r="D2799" s="40">
        <f>INT(A2799)-WEEKDAY(A2799,2)+1</f>
        <v/>
      </c>
      <c r="E2799" s="25" t="inlineStr">
        <is>
          <t>shassan</t>
        </is>
      </c>
      <c r="F2799" s="25" t="n">
        <v>113431</v>
      </c>
      <c r="G2799" s="25" t="n">
        <v>5</v>
      </c>
      <c r="H2799" s="25" t="n">
        <v>25</v>
      </c>
      <c r="I2799" s="25" t="inlineStr">
        <is>
          <t>5 minute(s) and 50 second(s)</t>
        </is>
      </c>
      <c r="J2799" s="25">
        <f>IFERROR(VALUE(TRIM(LEFT(I2799,FIND("minute",I2799)-1)))*60,0)+IFERROR(VALUE(SUBSTITUTE(MID(I2799,IFERROR(FIND("and",I2799)+3,1),20),"second(s)","")),0)</f>
        <v/>
      </c>
      <c r="K2799" s="41">
        <f>J2799/60</f>
        <v/>
      </c>
      <c r="L2799" s="41">
        <f>IFERROR(J2799/H2799,"")</f>
        <v/>
      </c>
      <c r="M2799" s="25" t="inlineStr">
        <is>
          <t>2.5.12</t>
        </is>
      </c>
      <c r="N2799" s="25">
        <f>IF(J2799&gt;300,1,0)</f>
        <v/>
      </c>
      <c r="O2799" s="25">
        <f>IF(J2799&gt;600,1,0)</f>
        <v/>
      </c>
      <c r="P2799" s="25">
        <f>IF(H2799&gt;0,J2799,"")</f>
        <v/>
      </c>
      <c r="Q2799" s="25">
        <f>TEXT(A2799,"YYYY-MM-DD HH")</f>
        <v/>
      </c>
      <c r="R2799" s="25">
        <f>COUNTIF($Q$2:$Q$5295,Q2799)</f>
        <v/>
      </c>
      <c r="S2799" s="25">
        <f>IF(R2799&lt;=2,"1-2",IF(R2799&lt;=5,"3-5",IF(R2799&lt;=10,"6-10","11+")))</f>
        <v/>
      </c>
    </row>
    <row r="2800">
      <c r="A2800" s="39" t="n">
        <v>46191.10894675926</v>
      </c>
      <c r="B2800" s="25">
        <f>TEXT(A2800,"YYYY-MM")</f>
        <v/>
      </c>
      <c r="C2800" s="25">
        <f>TEXT(A2800,"MMM-YYYY")</f>
        <v/>
      </c>
      <c r="D2800" s="40">
        <f>INT(A2800)-WEEKDAY(A2800,2)+1</f>
        <v/>
      </c>
      <c r="E2800" s="25" t="inlineStr">
        <is>
          <t>tkarmakar</t>
        </is>
      </c>
      <c r="F2800" s="25" t="n">
        <v>80421</v>
      </c>
      <c r="G2800" s="25" t="n">
        <v>1</v>
      </c>
      <c r="H2800" s="25" t="n">
        <v>5</v>
      </c>
      <c r="I2800" s="25" t="inlineStr">
        <is>
          <t>2 minute(s) and 26 second(s)</t>
        </is>
      </c>
      <c r="J2800" s="25">
        <f>IFERROR(VALUE(TRIM(LEFT(I2800,FIND("minute",I2800)-1)))*60,0)+IFERROR(VALUE(SUBSTITUTE(MID(I2800,IFERROR(FIND("and",I2800)+3,1),20),"second(s)","")),0)</f>
        <v/>
      </c>
      <c r="K2800" s="41">
        <f>J2800/60</f>
        <v/>
      </c>
      <c r="L2800" s="41">
        <f>IFERROR(J2800/H2800,"")</f>
        <v/>
      </c>
      <c r="M2800" s="25" t="inlineStr">
        <is>
          <t>2.5.12</t>
        </is>
      </c>
      <c r="N2800" s="25">
        <f>IF(J2800&gt;300,1,0)</f>
        <v/>
      </c>
      <c r="O2800" s="25">
        <f>IF(J2800&gt;600,1,0)</f>
        <v/>
      </c>
      <c r="P2800" s="25">
        <f>IF(H2800&gt;0,J2800,"")</f>
        <v/>
      </c>
      <c r="Q2800" s="25">
        <f>TEXT(A2800,"YYYY-MM-DD HH")</f>
        <v/>
      </c>
      <c r="R2800" s="25">
        <f>COUNTIF($Q$2:$Q$5295,Q2800)</f>
        <v/>
      </c>
      <c r="S2800" s="25">
        <f>IF(R2800&lt;=2,"1-2",IF(R2800&lt;=5,"3-5",IF(R2800&lt;=10,"6-10","11+")))</f>
        <v/>
      </c>
    </row>
    <row r="2801">
      <c r="A2801" s="39" t="n">
        <v>46191.10915509259</v>
      </c>
      <c r="B2801" s="25">
        <f>TEXT(A2801,"YYYY-MM")</f>
        <v/>
      </c>
      <c r="C2801" s="25">
        <f>TEXT(A2801,"MMM-YYYY")</f>
        <v/>
      </c>
      <c r="D2801" s="40">
        <f>INT(A2801)-WEEKDAY(A2801,2)+1</f>
        <v/>
      </c>
      <c r="E2801" s="25" t="inlineStr">
        <is>
          <t>pmehndiratta</t>
        </is>
      </c>
      <c r="F2801" s="25" t="n">
        <v>84144</v>
      </c>
      <c r="G2801" s="25" t="n">
        <v>4</v>
      </c>
      <c r="H2801" s="25" t="n">
        <v>26</v>
      </c>
      <c r="I2801" s="25" t="inlineStr">
        <is>
          <t>4 minute(s) and 50 second(s)</t>
        </is>
      </c>
      <c r="J2801" s="25">
        <f>IFERROR(VALUE(TRIM(LEFT(I2801,FIND("minute",I2801)-1)))*60,0)+IFERROR(VALUE(SUBSTITUTE(MID(I2801,IFERROR(FIND("and",I2801)+3,1),20),"second(s)","")),0)</f>
        <v/>
      </c>
      <c r="K2801" s="41">
        <f>J2801/60</f>
        <v/>
      </c>
      <c r="L2801" s="41">
        <f>IFERROR(J2801/H2801,"")</f>
        <v/>
      </c>
      <c r="M2801" s="25" t="inlineStr">
        <is>
          <t>2.5.12</t>
        </is>
      </c>
      <c r="N2801" s="25">
        <f>IF(J2801&gt;300,1,0)</f>
        <v/>
      </c>
      <c r="O2801" s="25">
        <f>IF(J2801&gt;600,1,0)</f>
        <v/>
      </c>
      <c r="P2801" s="25">
        <f>IF(H2801&gt;0,J2801,"")</f>
        <v/>
      </c>
      <c r="Q2801" s="25">
        <f>TEXT(A2801,"YYYY-MM-DD HH")</f>
        <v/>
      </c>
      <c r="R2801" s="25">
        <f>COUNTIF($Q$2:$Q$5295,Q2801)</f>
        <v/>
      </c>
      <c r="S2801" s="25">
        <f>IF(R2801&lt;=2,"1-2",IF(R2801&lt;=5,"3-5",IF(R2801&lt;=10,"6-10","11+")))</f>
        <v/>
      </c>
    </row>
    <row r="2802">
      <c r="A2802" s="39" t="n">
        <v>46191.11480324074</v>
      </c>
      <c r="B2802" s="25">
        <f>TEXT(A2802,"YYYY-MM")</f>
        <v/>
      </c>
      <c r="C2802" s="25">
        <f>TEXT(A2802,"MMM-YYYY")</f>
        <v/>
      </c>
      <c r="D2802" s="40">
        <f>INT(A2802)-WEEKDAY(A2802,2)+1</f>
        <v/>
      </c>
      <c r="E2802" s="25" t="inlineStr">
        <is>
          <t>anusharma</t>
        </is>
      </c>
      <c r="F2802" s="25" t="n">
        <v>104117</v>
      </c>
      <c r="G2802" s="25" t="n">
        <v>1</v>
      </c>
      <c r="H2802" s="25" t="n">
        <v>5</v>
      </c>
      <c r="I2802" s="25" t="inlineStr">
        <is>
          <t>1 minute(s) and 29 second(s)</t>
        </is>
      </c>
      <c r="J2802" s="25">
        <f>IFERROR(VALUE(TRIM(LEFT(I2802,FIND("minute",I2802)-1)))*60,0)+IFERROR(VALUE(SUBSTITUTE(MID(I2802,IFERROR(FIND("and",I2802)+3,1),20),"second(s)","")),0)</f>
        <v/>
      </c>
      <c r="K2802" s="41">
        <f>J2802/60</f>
        <v/>
      </c>
      <c r="L2802" s="41">
        <f>IFERROR(J2802/H2802,"")</f>
        <v/>
      </c>
      <c r="M2802" s="25" t="inlineStr">
        <is>
          <t>2.5.12</t>
        </is>
      </c>
      <c r="N2802" s="25">
        <f>IF(J2802&gt;300,1,0)</f>
        <v/>
      </c>
      <c r="O2802" s="25">
        <f>IF(J2802&gt;600,1,0)</f>
        <v/>
      </c>
      <c r="P2802" s="25">
        <f>IF(H2802&gt;0,J2802,"")</f>
        <v/>
      </c>
      <c r="Q2802" s="25">
        <f>TEXT(A2802,"YYYY-MM-DD HH")</f>
        <v/>
      </c>
      <c r="R2802" s="25">
        <f>COUNTIF($Q$2:$Q$5295,Q2802)</f>
        <v/>
      </c>
      <c r="S2802" s="25">
        <f>IF(R2802&lt;=2,"1-2",IF(R2802&lt;=5,"3-5",IF(R2802&lt;=10,"6-10","11+")))</f>
        <v/>
      </c>
    </row>
    <row r="2803">
      <c r="A2803" s="39" t="n">
        <v>46191.11738425926</v>
      </c>
      <c r="B2803" s="25">
        <f>TEXT(A2803,"YYYY-MM")</f>
        <v/>
      </c>
      <c r="C2803" s="25">
        <f>TEXT(A2803,"MMM-YYYY")</f>
        <v/>
      </c>
      <c r="D2803" s="40">
        <f>INT(A2803)-WEEKDAY(A2803,2)+1</f>
        <v/>
      </c>
      <c r="E2803" s="25" t="inlineStr">
        <is>
          <t>asahoo</t>
        </is>
      </c>
      <c r="F2803" s="25" t="n">
        <v>115732</v>
      </c>
      <c r="G2803" s="25" t="n">
        <v>2</v>
      </c>
      <c r="H2803" s="25" t="n">
        <v>10</v>
      </c>
      <c r="I2803" s="25" t="inlineStr">
        <is>
          <t>2 minute(s) and 17 second(s)</t>
        </is>
      </c>
      <c r="J2803" s="25">
        <f>IFERROR(VALUE(TRIM(LEFT(I2803,FIND("minute",I2803)-1)))*60,0)+IFERROR(VALUE(SUBSTITUTE(MID(I2803,IFERROR(FIND("and",I2803)+3,1),20),"second(s)","")),0)</f>
        <v/>
      </c>
      <c r="K2803" s="41">
        <f>J2803/60</f>
        <v/>
      </c>
      <c r="L2803" s="41">
        <f>IFERROR(J2803/H2803,"")</f>
        <v/>
      </c>
      <c r="M2803" s="25" t="inlineStr">
        <is>
          <t>2.5.12</t>
        </is>
      </c>
      <c r="N2803" s="25">
        <f>IF(J2803&gt;300,1,0)</f>
        <v/>
      </c>
      <c r="O2803" s="25">
        <f>IF(J2803&gt;600,1,0)</f>
        <v/>
      </c>
      <c r="P2803" s="25">
        <f>IF(H2803&gt;0,J2803,"")</f>
        <v/>
      </c>
      <c r="Q2803" s="25">
        <f>TEXT(A2803,"YYYY-MM-DD HH")</f>
        <v/>
      </c>
      <c r="R2803" s="25">
        <f>COUNTIF($Q$2:$Q$5295,Q2803)</f>
        <v/>
      </c>
      <c r="S2803" s="25">
        <f>IF(R2803&lt;=2,"1-2",IF(R2803&lt;=5,"3-5",IF(R2803&lt;=10,"6-10","11+")))</f>
        <v/>
      </c>
    </row>
    <row r="2804">
      <c r="A2804" s="39" t="n">
        <v>46191.1334375</v>
      </c>
      <c r="B2804" s="25">
        <f>TEXT(A2804,"YYYY-MM")</f>
        <v/>
      </c>
      <c r="C2804" s="25">
        <f>TEXT(A2804,"MMM-YYYY")</f>
        <v/>
      </c>
      <c r="D2804" s="40">
        <f>INT(A2804)-WEEKDAY(A2804,2)+1</f>
        <v/>
      </c>
      <c r="E2804" s="25" t="inlineStr">
        <is>
          <t>ns</t>
        </is>
      </c>
      <c r="F2804" s="25" t="n">
        <v>114822</v>
      </c>
      <c r="G2804" s="25" t="n">
        <v>1</v>
      </c>
      <c r="H2804" s="25" t="n">
        <v>5</v>
      </c>
      <c r="I2804" s="25" t="inlineStr">
        <is>
          <t>2 minute(s) and 56 second(s)</t>
        </is>
      </c>
      <c r="J2804" s="25">
        <f>IFERROR(VALUE(TRIM(LEFT(I2804,FIND("minute",I2804)-1)))*60,0)+IFERROR(VALUE(SUBSTITUTE(MID(I2804,IFERROR(FIND("and",I2804)+3,1),20),"second(s)","")),0)</f>
        <v/>
      </c>
      <c r="K2804" s="41">
        <f>J2804/60</f>
        <v/>
      </c>
      <c r="L2804" s="41">
        <f>IFERROR(J2804/H2804,"")</f>
        <v/>
      </c>
      <c r="M2804" s="25" t="inlineStr">
        <is>
          <t>2.5.12</t>
        </is>
      </c>
      <c r="N2804" s="25">
        <f>IF(J2804&gt;300,1,0)</f>
        <v/>
      </c>
      <c r="O2804" s="25">
        <f>IF(J2804&gt;600,1,0)</f>
        <v/>
      </c>
      <c r="P2804" s="25">
        <f>IF(H2804&gt;0,J2804,"")</f>
        <v/>
      </c>
      <c r="Q2804" s="25">
        <f>TEXT(A2804,"YYYY-MM-DD HH")</f>
        <v/>
      </c>
      <c r="R2804" s="25">
        <f>COUNTIF($Q$2:$Q$5295,Q2804)</f>
        <v/>
      </c>
      <c r="S2804" s="25">
        <f>IF(R2804&lt;=2,"1-2",IF(R2804&lt;=5,"3-5",IF(R2804&lt;=10,"6-10","11+")))</f>
        <v/>
      </c>
    </row>
    <row r="2805">
      <c r="A2805" s="39" t="n">
        <v>46191.14982638889</v>
      </c>
      <c r="B2805" s="25">
        <f>TEXT(A2805,"YYYY-MM")</f>
        <v/>
      </c>
      <c r="C2805" s="25">
        <f>TEXT(A2805,"MMM-YYYY")</f>
        <v/>
      </c>
      <c r="D2805" s="40">
        <f>INT(A2805)-WEEKDAY(A2805,2)+1</f>
        <v/>
      </c>
      <c r="E2805" s="25" t="inlineStr">
        <is>
          <t>adey</t>
        </is>
      </c>
      <c r="F2805" s="25" t="n">
        <v>123298</v>
      </c>
      <c r="G2805" s="25" t="n">
        <v>2</v>
      </c>
      <c r="H2805" s="25" t="n">
        <v>10</v>
      </c>
      <c r="I2805" s="25" t="inlineStr">
        <is>
          <t>2 minute(s) and 29 second(s)</t>
        </is>
      </c>
      <c r="J2805" s="25">
        <f>IFERROR(VALUE(TRIM(LEFT(I2805,FIND("minute",I2805)-1)))*60,0)+IFERROR(VALUE(SUBSTITUTE(MID(I2805,IFERROR(FIND("and",I2805)+3,1),20),"second(s)","")),0)</f>
        <v/>
      </c>
      <c r="K2805" s="41">
        <f>J2805/60</f>
        <v/>
      </c>
      <c r="L2805" s="41">
        <f>IFERROR(J2805/H2805,"")</f>
        <v/>
      </c>
      <c r="M2805" s="25" t="inlineStr">
        <is>
          <t>2.5.12</t>
        </is>
      </c>
      <c r="N2805" s="25">
        <f>IF(J2805&gt;300,1,0)</f>
        <v/>
      </c>
      <c r="O2805" s="25">
        <f>IF(J2805&gt;600,1,0)</f>
        <v/>
      </c>
      <c r="P2805" s="25">
        <f>IF(H2805&gt;0,J2805,"")</f>
        <v/>
      </c>
      <c r="Q2805" s="25">
        <f>TEXT(A2805,"YYYY-MM-DD HH")</f>
        <v/>
      </c>
      <c r="R2805" s="25">
        <f>COUNTIF($Q$2:$Q$5295,Q2805)</f>
        <v/>
      </c>
      <c r="S2805" s="25">
        <f>IF(R2805&lt;=2,"1-2",IF(R2805&lt;=5,"3-5",IF(R2805&lt;=10,"6-10","11+")))</f>
        <v/>
      </c>
    </row>
    <row r="2806">
      <c r="A2806" s="39" t="n">
        <v>46191.15525462963</v>
      </c>
      <c r="B2806" s="25">
        <f>TEXT(A2806,"YYYY-MM")</f>
        <v/>
      </c>
      <c r="C2806" s="25">
        <f>TEXT(A2806,"MMM-YYYY")</f>
        <v/>
      </c>
      <c r="D2806" s="40">
        <f>INT(A2806)-WEEKDAY(A2806,2)+1</f>
        <v/>
      </c>
      <c r="E2806" s="25" t="inlineStr">
        <is>
          <t>ssrinivasan</t>
        </is>
      </c>
      <c r="F2806" s="25" t="n">
        <v>116657</v>
      </c>
      <c r="G2806" s="25" t="n">
        <v>1</v>
      </c>
      <c r="H2806" s="25" t="n">
        <v>6</v>
      </c>
      <c r="I2806" s="25" t="inlineStr">
        <is>
          <t>5 minute(s) and 21 second(s)</t>
        </is>
      </c>
      <c r="J2806" s="25">
        <f>IFERROR(VALUE(TRIM(LEFT(I2806,FIND("minute",I2806)-1)))*60,0)+IFERROR(VALUE(SUBSTITUTE(MID(I2806,IFERROR(FIND("and",I2806)+3,1),20),"second(s)","")),0)</f>
        <v/>
      </c>
      <c r="K2806" s="41">
        <f>J2806/60</f>
        <v/>
      </c>
      <c r="L2806" s="41">
        <f>IFERROR(J2806/H2806,"")</f>
        <v/>
      </c>
      <c r="M2806" s="25" t="inlineStr">
        <is>
          <t>2.5.12</t>
        </is>
      </c>
      <c r="N2806" s="25">
        <f>IF(J2806&gt;300,1,0)</f>
        <v/>
      </c>
      <c r="O2806" s="25">
        <f>IF(J2806&gt;600,1,0)</f>
        <v/>
      </c>
      <c r="P2806" s="25">
        <f>IF(H2806&gt;0,J2806,"")</f>
        <v/>
      </c>
      <c r="Q2806" s="25">
        <f>TEXT(A2806,"YYYY-MM-DD HH")</f>
        <v/>
      </c>
      <c r="R2806" s="25">
        <f>COUNTIF($Q$2:$Q$5295,Q2806)</f>
        <v/>
      </c>
      <c r="S2806" s="25">
        <f>IF(R2806&lt;=2,"1-2",IF(R2806&lt;=5,"3-5",IF(R2806&lt;=10,"6-10","11+")))</f>
        <v/>
      </c>
    </row>
    <row r="2807">
      <c r="A2807" s="39" t="n">
        <v>46191.16216435185</v>
      </c>
      <c r="B2807" s="25">
        <f>TEXT(A2807,"YYYY-MM")</f>
        <v/>
      </c>
      <c r="C2807" s="25">
        <f>TEXT(A2807,"MMM-YYYY")</f>
        <v/>
      </c>
      <c r="D2807" s="40">
        <f>INT(A2807)-WEEKDAY(A2807,2)+1</f>
        <v/>
      </c>
      <c r="E2807" s="25" t="inlineStr">
        <is>
          <t>tkarmakar</t>
        </is>
      </c>
      <c r="F2807" s="25" t="n">
        <v>85397</v>
      </c>
      <c r="G2807" s="25" t="n">
        <v>5</v>
      </c>
      <c r="H2807" s="25" t="n">
        <v>17</v>
      </c>
      <c r="I2807" s="25" t="inlineStr">
        <is>
          <t>4 minute(s) and 10 second(s)</t>
        </is>
      </c>
      <c r="J2807" s="25">
        <f>IFERROR(VALUE(TRIM(LEFT(I2807,FIND("minute",I2807)-1)))*60,0)+IFERROR(VALUE(SUBSTITUTE(MID(I2807,IFERROR(FIND("and",I2807)+3,1),20),"second(s)","")),0)</f>
        <v/>
      </c>
      <c r="K2807" s="41">
        <f>J2807/60</f>
        <v/>
      </c>
      <c r="L2807" s="41">
        <f>IFERROR(J2807/H2807,"")</f>
        <v/>
      </c>
      <c r="M2807" s="25" t="inlineStr">
        <is>
          <t>2.5.12</t>
        </is>
      </c>
      <c r="N2807" s="25">
        <f>IF(J2807&gt;300,1,0)</f>
        <v/>
      </c>
      <c r="O2807" s="25">
        <f>IF(J2807&gt;600,1,0)</f>
        <v/>
      </c>
      <c r="P2807" s="25">
        <f>IF(H2807&gt;0,J2807,"")</f>
        <v/>
      </c>
      <c r="Q2807" s="25">
        <f>TEXT(A2807,"YYYY-MM-DD HH")</f>
        <v/>
      </c>
      <c r="R2807" s="25">
        <f>COUNTIF($Q$2:$Q$5295,Q2807)</f>
        <v/>
      </c>
      <c r="S2807" s="25">
        <f>IF(R2807&lt;=2,"1-2",IF(R2807&lt;=5,"3-5",IF(R2807&lt;=10,"6-10","11+")))</f>
        <v/>
      </c>
    </row>
    <row r="2808">
      <c r="A2808" s="39" t="n">
        <v>46191.16413194445</v>
      </c>
      <c r="B2808" s="25">
        <f>TEXT(A2808,"YYYY-MM")</f>
        <v/>
      </c>
      <c r="C2808" s="25">
        <f>TEXT(A2808,"MMM-YYYY")</f>
        <v/>
      </c>
      <c r="D2808" s="40">
        <f>INT(A2808)-WEEKDAY(A2808,2)+1</f>
        <v/>
      </c>
      <c r="E2808" s="25" t="inlineStr">
        <is>
          <t>rts</t>
        </is>
      </c>
      <c r="F2808" s="25" t="n">
        <v>125036</v>
      </c>
      <c r="G2808" s="25" t="n">
        <v>1</v>
      </c>
      <c r="H2808" s="25" t="n">
        <v>6</v>
      </c>
      <c r="I2808" s="25" t="inlineStr">
        <is>
          <t>5 minute(s) and 1 second(s)</t>
        </is>
      </c>
      <c r="J2808" s="25">
        <f>IFERROR(VALUE(TRIM(LEFT(I2808,FIND("minute",I2808)-1)))*60,0)+IFERROR(VALUE(SUBSTITUTE(MID(I2808,IFERROR(FIND("and",I2808)+3,1),20),"second(s)","")),0)</f>
        <v/>
      </c>
      <c r="K2808" s="41">
        <f>J2808/60</f>
        <v/>
      </c>
      <c r="L2808" s="41">
        <f>IFERROR(J2808/H2808,"")</f>
        <v/>
      </c>
      <c r="M2808" s="25" t="inlineStr">
        <is>
          <t>2.5.12</t>
        </is>
      </c>
      <c r="N2808" s="25">
        <f>IF(J2808&gt;300,1,0)</f>
        <v/>
      </c>
      <c r="O2808" s="25">
        <f>IF(J2808&gt;600,1,0)</f>
        <v/>
      </c>
      <c r="P2808" s="25">
        <f>IF(H2808&gt;0,J2808,"")</f>
        <v/>
      </c>
      <c r="Q2808" s="25">
        <f>TEXT(A2808,"YYYY-MM-DD HH")</f>
        <v/>
      </c>
      <c r="R2808" s="25">
        <f>COUNTIF($Q$2:$Q$5295,Q2808)</f>
        <v/>
      </c>
      <c r="S2808" s="25">
        <f>IF(R2808&lt;=2,"1-2",IF(R2808&lt;=5,"3-5",IF(R2808&lt;=10,"6-10","11+")))</f>
        <v/>
      </c>
    </row>
    <row r="2809">
      <c r="A2809" s="39" t="n">
        <v>46191.16532407407</v>
      </c>
      <c r="B2809" s="25">
        <f>TEXT(A2809,"YYYY-MM")</f>
        <v/>
      </c>
      <c r="C2809" s="25">
        <f>TEXT(A2809,"MMM-YYYY")</f>
        <v/>
      </c>
      <c r="D2809" s="40">
        <f>INT(A2809)-WEEKDAY(A2809,2)+1</f>
        <v/>
      </c>
      <c r="E2809" s="25" t="inlineStr">
        <is>
          <t>pgautam</t>
        </is>
      </c>
      <c r="F2809" s="25" t="n">
        <v>103923</v>
      </c>
      <c r="G2809" s="25" t="n">
        <v>5</v>
      </c>
      <c r="H2809" s="25" t="n">
        <v>17</v>
      </c>
      <c r="I2809" s="25" t="inlineStr">
        <is>
          <t>3 minute(s) and 39 second(s)</t>
        </is>
      </c>
      <c r="J2809" s="25">
        <f>IFERROR(VALUE(TRIM(LEFT(I2809,FIND("minute",I2809)-1)))*60,0)+IFERROR(VALUE(SUBSTITUTE(MID(I2809,IFERROR(FIND("and",I2809)+3,1),20),"second(s)","")),0)</f>
        <v/>
      </c>
      <c r="K2809" s="41">
        <f>J2809/60</f>
        <v/>
      </c>
      <c r="L2809" s="41">
        <f>IFERROR(J2809/H2809,"")</f>
        <v/>
      </c>
      <c r="M2809" s="25" t="inlineStr">
        <is>
          <t>2.5.12</t>
        </is>
      </c>
      <c r="N2809" s="25">
        <f>IF(J2809&gt;300,1,0)</f>
        <v/>
      </c>
      <c r="O2809" s="25">
        <f>IF(J2809&gt;600,1,0)</f>
        <v/>
      </c>
      <c r="P2809" s="25">
        <f>IF(H2809&gt;0,J2809,"")</f>
        <v/>
      </c>
      <c r="Q2809" s="25">
        <f>TEXT(A2809,"YYYY-MM-DD HH")</f>
        <v/>
      </c>
      <c r="R2809" s="25">
        <f>COUNTIF($Q$2:$Q$5295,Q2809)</f>
        <v/>
      </c>
      <c r="S2809" s="25">
        <f>IF(R2809&lt;=2,"1-2",IF(R2809&lt;=5,"3-5",IF(R2809&lt;=10,"6-10","11+")))</f>
        <v/>
      </c>
    </row>
    <row r="2810">
      <c r="A2810" s="39" t="n">
        <v>46191.16598379629</v>
      </c>
      <c r="B2810" s="25">
        <f>TEXT(A2810,"YYYY-MM")</f>
        <v/>
      </c>
      <c r="C2810" s="25">
        <f>TEXT(A2810,"MMM-YYYY")</f>
        <v/>
      </c>
      <c r="D2810" s="40">
        <f>INT(A2810)-WEEKDAY(A2810,2)+1</f>
        <v/>
      </c>
      <c r="E2810" s="25" t="inlineStr">
        <is>
          <t>ethomas</t>
        </is>
      </c>
      <c r="F2810" s="25" t="n">
        <v>115484</v>
      </c>
      <c r="G2810" s="25" t="n">
        <v>3</v>
      </c>
      <c r="H2810" s="25" t="n">
        <v>21</v>
      </c>
      <c r="I2810" s="25" t="inlineStr">
        <is>
          <t>5 minute(s) and 31 second(s)</t>
        </is>
      </c>
      <c r="J2810" s="25">
        <f>IFERROR(VALUE(TRIM(LEFT(I2810,FIND("minute",I2810)-1)))*60,0)+IFERROR(VALUE(SUBSTITUTE(MID(I2810,IFERROR(FIND("and",I2810)+3,1),20),"second(s)","")),0)</f>
        <v/>
      </c>
      <c r="K2810" s="41">
        <f>J2810/60</f>
        <v/>
      </c>
      <c r="L2810" s="41">
        <f>IFERROR(J2810/H2810,"")</f>
        <v/>
      </c>
      <c r="M2810" s="25" t="inlineStr">
        <is>
          <t>2.5.12</t>
        </is>
      </c>
      <c r="N2810" s="25">
        <f>IF(J2810&gt;300,1,0)</f>
        <v/>
      </c>
      <c r="O2810" s="25">
        <f>IF(J2810&gt;600,1,0)</f>
        <v/>
      </c>
      <c r="P2810" s="25">
        <f>IF(H2810&gt;0,J2810,"")</f>
        <v/>
      </c>
      <c r="Q2810" s="25">
        <f>TEXT(A2810,"YYYY-MM-DD HH")</f>
        <v/>
      </c>
      <c r="R2810" s="25">
        <f>COUNTIF($Q$2:$Q$5295,Q2810)</f>
        <v/>
      </c>
      <c r="S2810" s="25">
        <f>IF(R2810&lt;=2,"1-2",IF(R2810&lt;=5,"3-5",IF(R2810&lt;=10,"6-10","11+")))</f>
        <v/>
      </c>
    </row>
    <row r="2811">
      <c r="A2811" s="39" t="n">
        <v>46191.16958333334</v>
      </c>
      <c r="B2811" s="25">
        <f>TEXT(A2811,"YYYY-MM")</f>
        <v/>
      </c>
      <c r="C2811" s="25">
        <f>TEXT(A2811,"MMM-YYYY")</f>
        <v/>
      </c>
      <c r="D2811" s="40">
        <f>INT(A2811)-WEEKDAY(A2811,2)+1</f>
        <v/>
      </c>
      <c r="E2811" s="25" t="inlineStr">
        <is>
          <t>bverma</t>
        </is>
      </c>
      <c r="F2811" s="25" t="n">
        <v>117167</v>
      </c>
      <c r="G2811" s="25" t="n">
        <v>2</v>
      </c>
      <c r="H2811" s="25" t="n">
        <v>12</v>
      </c>
      <c r="I2811" s="25" t="inlineStr">
        <is>
          <t>7 minute(s) and 0 second(s)</t>
        </is>
      </c>
      <c r="J2811" s="25">
        <f>IFERROR(VALUE(TRIM(LEFT(I2811,FIND("minute",I2811)-1)))*60,0)+IFERROR(VALUE(SUBSTITUTE(MID(I2811,IFERROR(FIND("and",I2811)+3,1),20),"second(s)","")),0)</f>
        <v/>
      </c>
      <c r="K2811" s="41">
        <f>J2811/60</f>
        <v/>
      </c>
      <c r="L2811" s="41">
        <f>IFERROR(J2811/H2811,"")</f>
        <v/>
      </c>
      <c r="M2811" s="25" t="inlineStr">
        <is>
          <t>2.5.12</t>
        </is>
      </c>
      <c r="N2811" s="25">
        <f>IF(J2811&gt;300,1,0)</f>
        <v/>
      </c>
      <c r="O2811" s="25">
        <f>IF(J2811&gt;600,1,0)</f>
        <v/>
      </c>
      <c r="P2811" s="25">
        <f>IF(H2811&gt;0,J2811,"")</f>
        <v/>
      </c>
      <c r="Q2811" s="25">
        <f>TEXT(A2811,"YYYY-MM-DD HH")</f>
        <v/>
      </c>
      <c r="R2811" s="25">
        <f>COUNTIF($Q$2:$Q$5295,Q2811)</f>
        <v/>
      </c>
      <c r="S2811" s="25">
        <f>IF(R2811&lt;=2,"1-2",IF(R2811&lt;=5,"3-5",IF(R2811&lt;=10,"6-10","11+")))</f>
        <v/>
      </c>
    </row>
    <row r="2812">
      <c r="A2812" s="39" t="n">
        <v>46191.17234953704</v>
      </c>
      <c r="B2812" s="25">
        <f>TEXT(A2812,"YYYY-MM")</f>
        <v/>
      </c>
      <c r="C2812" s="25">
        <f>TEXT(A2812,"MMM-YYYY")</f>
        <v/>
      </c>
      <c r="D2812" s="40">
        <f>INT(A2812)-WEEKDAY(A2812,2)+1</f>
        <v/>
      </c>
      <c r="E2812" s="25" t="inlineStr">
        <is>
          <t>ns</t>
        </is>
      </c>
      <c r="F2812" s="25" t="n">
        <v>114647</v>
      </c>
      <c r="G2812" s="25" t="n">
        <v>4</v>
      </c>
      <c r="H2812" s="25" t="n">
        <v>22</v>
      </c>
      <c r="I2812" s="25" t="inlineStr">
        <is>
          <t>5 minute(s) and 35 second(s)</t>
        </is>
      </c>
      <c r="J2812" s="25">
        <f>IFERROR(VALUE(TRIM(LEFT(I2812,FIND("minute",I2812)-1)))*60,0)+IFERROR(VALUE(SUBSTITUTE(MID(I2812,IFERROR(FIND("and",I2812)+3,1),20),"second(s)","")),0)</f>
        <v/>
      </c>
      <c r="K2812" s="41">
        <f>J2812/60</f>
        <v/>
      </c>
      <c r="L2812" s="41">
        <f>IFERROR(J2812/H2812,"")</f>
        <v/>
      </c>
      <c r="M2812" s="25" t="inlineStr">
        <is>
          <t>2.5.12</t>
        </is>
      </c>
      <c r="N2812" s="25">
        <f>IF(J2812&gt;300,1,0)</f>
        <v/>
      </c>
      <c r="O2812" s="25">
        <f>IF(J2812&gt;600,1,0)</f>
        <v/>
      </c>
      <c r="P2812" s="25">
        <f>IF(H2812&gt;0,J2812,"")</f>
        <v/>
      </c>
      <c r="Q2812" s="25">
        <f>TEXT(A2812,"YYYY-MM-DD HH")</f>
        <v/>
      </c>
      <c r="R2812" s="25">
        <f>COUNTIF($Q$2:$Q$5295,Q2812)</f>
        <v/>
      </c>
      <c r="S2812" s="25">
        <f>IF(R2812&lt;=2,"1-2",IF(R2812&lt;=5,"3-5",IF(R2812&lt;=10,"6-10","11+")))</f>
        <v/>
      </c>
    </row>
    <row r="2813">
      <c r="A2813" s="39" t="n">
        <v>46191.17340277778</v>
      </c>
      <c r="B2813" s="25">
        <f>TEXT(A2813,"YYYY-MM")</f>
        <v/>
      </c>
      <c r="C2813" s="25">
        <f>TEXT(A2813,"MMM-YYYY")</f>
        <v/>
      </c>
      <c r="D2813" s="40">
        <f>INT(A2813)-WEEKDAY(A2813,2)+1</f>
        <v/>
      </c>
      <c r="E2813" s="25" t="inlineStr">
        <is>
          <t>mbohra</t>
        </is>
      </c>
      <c r="F2813" s="25" t="n">
        <v>94184</v>
      </c>
      <c r="G2813" s="25" t="n">
        <v>2</v>
      </c>
      <c r="H2813" s="25" t="n">
        <v>10</v>
      </c>
      <c r="I2813" s="25" t="inlineStr">
        <is>
          <t>5 minute(s) and 35 second(s)</t>
        </is>
      </c>
      <c r="J2813" s="25">
        <f>IFERROR(VALUE(TRIM(LEFT(I2813,FIND("minute",I2813)-1)))*60,0)+IFERROR(VALUE(SUBSTITUTE(MID(I2813,IFERROR(FIND("and",I2813)+3,1),20),"second(s)","")),0)</f>
        <v/>
      </c>
      <c r="K2813" s="41">
        <f>J2813/60</f>
        <v/>
      </c>
      <c r="L2813" s="41">
        <f>IFERROR(J2813/H2813,"")</f>
        <v/>
      </c>
      <c r="M2813" s="25" t="inlineStr">
        <is>
          <t>2.5.12</t>
        </is>
      </c>
      <c r="N2813" s="25">
        <f>IF(J2813&gt;300,1,0)</f>
        <v/>
      </c>
      <c r="O2813" s="25">
        <f>IF(J2813&gt;600,1,0)</f>
        <v/>
      </c>
      <c r="P2813" s="25">
        <f>IF(H2813&gt;0,J2813,"")</f>
        <v/>
      </c>
      <c r="Q2813" s="25">
        <f>TEXT(A2813,"YYYY-MM-DD HH")</f>
        <v/>
      </c>
      <c r="R2813" s="25">
        <f>COUNTIF($Q$2:$Q$5295,Q2813)</f>
        <v/>
      </c>
      <c r="S2813" s="25">
        <f>IF(R2813&lt;=2,"1-2",IF(R2813&lt;=5,"3-5",IF(R2813&lt;=10,"6-10","11+")))</f>
        <v/>
      </c>
    </row>
    <row r="2814">
      <c r="A2814" s="39" t="n">
        <v>46191.17770833334</v>
      </c>
      <c r="B2814" s="25">
        <f>TEXT(A2814,"YYYY-MM")</f>
        <v/>
      </c>
      <c r="C2814" s="25">
        <f>TEXT(A2814,"MMM-YYYY")</f>
        <v/>
      </c>
      <c r="D2814" s="40">
        <f>INT(A2814)-WEEKDAY(A2814,2)+1</f>
        <v/>
      </c>
      <c r="E2814" s="25" t="inlineStr">
        <is>
          <t>mgupta</t>
        </is>
      </c>
      <c r="F2814" s="25" t="n">
        <v>82685</v>
      </c>
      <c r="G2814" s="25" t="n">
        <v>4</v>
      </c>
      <c r="H2814" s="25" t="n">
        <v>22</v>
      </c>
      <c r="I2814" s="25" t="inlineStr">
        <is>
          <t>6 minute(s) and 11 second(s)</t>
        </is>
      </c>
      <c r="J2814" s="25">
        <f>IFERROR(VALUE(TRIM(LEFT(I2814,FIND("minute",I2814)-1)))*60,0)+IFERROR(VALUE(SUBSTITUTE(MID(I2814,IFERROR(FIND("and",I2814)+3,1),20),"second(s)","")),0)</f>
        <v/>
      </c>
      <c r="K2814" s="41">
        <f>J2814/60</f>
        <v/>
      </c>
      <c r="L2814" s="41">
        <f>IFERROR(J2814/H2814,"")</f>
        <v/>
      </c>
      <c r="M2814" s="25" t="inlineStr">
        <is>
          <t>2.5.12</t>
        </is>
      </c>
      <c r="N2814" s="25">
        <f>IF(J2814&gt;300,1,0)</f>
        <v/>
      </c>
      <c r="O2814" s="25">
        <f>IF(J2814&gt;600,1,0)</f>
        <v/>
      </c>
      <c r="P2814" s="25">
        <f>IF(H2814&gt;0,J2814,"")</f>
        <v/>
      </c>
      <c r="Q2814" s="25">
        <f>TEXT(A2814,"YYYY-MM-DD HH")</f>
        <v/>
      </c>
      <c r="R2814" s="25">
        <f>COUNTIF($Q$2:$Q$5295,Q2814)</f>
        <v/>
      </c>
      <c r="S2814" s="25">
        <f>IF(R2814&lt;=2,"1-2",IF(R2814&lt;=5,"3-5",IF(R2814&lt;=10,"6-10","11+")))</f>
        <v/>
      </c>
    </row>
    <row r="2815">
      <c r="A2815" s="39" t="n">
        <v>46191.18141203704</v>
      </c>
      <c r="B2815" s="25">
        <f>TEXT(A2815,"YYYY-MM")</f>
        <v/>
      </c>
      <c r="C2815" s="25">
        <f>TEXT(A2815,"MMM-YYYY")</f>
        <v/>
      </c>
      <c r="D2815" s="40">
        <f>INT(A2815)-WEEKDAY(A2815,2)+1</f>
        <v/>
      </c>
      <c r="E2815" s="25" t="inlineStr">
        <is>
          <t>hsindwani</t>
        </is>
      </c>
      <c r="F2815" s="25" t="n">
        <v>115573</v>
      </c>
      <c r="G2815" s="25" t="n">
        <v>2</v>
      </c>
      <c r="H2815" s="25" t="n">
        <v>14</v>
      </c>
      <c r="I2815" s="25" t="inlineStr">
        <is>
          <t>10 minute(s) and 38 second(s)</t>
        </is>
      </c>
      <c r="J2815" s="25">
        <f>IFERROR(VALUE(TRIM(LEFT(I2815,FIND("minute",I2815)-1)))*60,0)+IFERROR(VALUE(SUBSTITUTE(MID(I2815,IFERROR(FIND("and",I2815)+3,1),20),"second(s)","")),0)</f>
        <v/>
      </c>
      <c r="K2815" s="41">
        <f>J2815/60</f>
        <v/>
      </c>
      <c r="L2815" s="41">
        <f>IFERROR(J2815/H2815,"")</f>
        <v/>
      </c>
      <c r="M2815" s="25" t="inlineStr">
        <is>
          <t>2.5.12</t>
        </is>
      </c>
      <c r="N2815" s="25">
        <f>IF(J2815&gt;300,1,0)</f>
        <v/>
      </c>
      <c r="O2815" s="25">
        <f>IF(J2815&gt;600,1,0)</f>
        <v/>
      </c>
      <c r="P2815" s="25">
        <f>IF(H2815&gt;0,J2815,"")</f>
        <v/>
      </c>
      <c r="Q2815" s="25">
        <f>TEXT(A2815,"YYYY-MM-DD HH")</f>
        <v/>
      </c>
      <c r="R2815" s="25">
        <f>COUNTIF($Q$2:$Q$5295,Q2815)</f>
        <v/>
      </c>
      <c r="S2815" s="25">
        <f>IF(R2815&lt;=2,"1-2",IF(R2815&lt;=5,"3-5",IF(R2815&lt;=10,"6-10","11+")))</f>
        <v/>
      </c>
    </row>
    <row r="2816">
      <c r="A2816" s="39" t="n">
        <v>46191.18787037037</v>
      </c>
      <c r="B2816" s="25">
        <f>TEXT(A2816,"YYYY-MM")</f>
        <v/>
      </c>
      <c r="C2816" s="25">
        <f>TEXT(A2816,"MMM-YYYY")</f>
        <v/>
      </c>
      <c r="D2816" s="40">
        <f>INT(A2816)-WEEKDAY(A2816,2)+1</f>
        <v/>
      </c>
      <c r="E2816" s="25" t="inlineStr">
        <is>
          <t>sthomas</t>
        </is>
      </c>
      <c r="F2816" s="25" t="n">
        <v>122023</v>
      </c>
      <c r="G2816" s="25" t="n">
        <v>4</v>
      </c>
      <c r="H2816" s="25" t="n">
        <v>29</v>
      </c>
      <c r="I2816" s="25" t="inlineStr">
        <is>
          <t>10 minute(s) and 22 second(s)</t>
        </is>
      </c>
      <c r="J2816" s="25">
        <f>IFERROR(VALUE(TRIM(LEFT(I2816,FIND("minute",I2816)-1)))*60,0)+IFERROR(VALUE(SUBSTITUTE(MID(I2816,IFERROR(FIND("and",I2816)+3,1),20),"second(s)","")),0)</f>
        <v/>
      </c>
      <c r="K2816" s="41">
        <f>J2816/60</f>
        <v/>
      </c>
      <c r="L2816" s="41">
        <f>IFERROR(J2816/H2816,"")</f>
        <v/>
      </c>
      <c r="M2816" s="25" t="inlineStr">
        <is>
          <t>2.5.12</t>
        </is>
      </c>
      <c r="N2816" s="25">
        <f>IF(J2816&gt;300,1,0)</f>
        <v/>
      </c>
      <c r="O2816" s="25">
        <f>IF(J2816&gt;600,1,0)</f>
        <v/>
      </c>
      <c r="P2816" s="25">
        <f>IF(H2816&gt;0,J2816,"")</f>
        <v/>
      </c>
      <c r="Q2816" s="25">
        <f>TEXT(A2816,"YYYY-MM-DD HH")</f>
        <v/>
      </c>
      <c r="R2816" s="25">
        <f>COUNTIF($Q$2:$Q$5295,Q2816)</f>
        <v/>
      </c>
      <c r="S2816" s="25">
        <f>IF(R2816&lt;=2,"1-2",IF(R2816&lt;=5,"3-5",IF(R2816&lt;=10,"6-10","11+")))</f>
        <v/>
      </c>
    </row>
    <row r="2817">
      <c r="A2817" s="39" t="n">
        <v>46191.19041666666</v>
      </c>
      <c r="B2817" s="25">
        <f>TEXT(A2817,"YYYY-MM")</f>
        <v/>
      </c>
      <c r="C2817" s="25">
        <f>TEXT(A2817,"MMM-YYYY")</f>
        <v/>
      </c>
      <c r="D2817" s="40">
        <f>INT(A2817)-WEEKDAY(A2817,2)+1</f>
        <v/>
      </c>
      <c r="E2817" s="25" t="inlineStr">
        <is>
          <t>stiwari</t>
        </is>
      </c>
      <c r="F2817" s="25" t="n">
        <v>125824</v>
      </c>
      <c r="G2817" s="25" t="n">
        <v>4</v>
      </c>
      <c r="H2817" s="25" t="n">
        <v>22</v>
      </c>
      <c r="I2817" s="25" t="inlineStr">
        <is>
          <t>5 minute(s) and 21 second(s)</t>
        </is>
      </c>
      <c r="J2817" s="25">
        <f>IFERROR(VALUE(TRIM(LEFT(I2817,FIND("minute",I2817)-1)))*60,0)+IFERROR(VALUE(SUBSTITUTE(MID(I2817,IFERROR(FIND("and",I2817)+3,1),20),"second(s)","")),0)</f>
        <v/>
      </c>
      <c r="K2817" s="41">
        <f>J2817/60</f>
        <v/>
      </c>
      <c r="L2817" s="41">
        <f>IFERROR(J2817/H2817,"")</f>
        <v/>
      </c>
      <c r="M2817" s="25" t="inlineStr">
        <is>
          <t>2.5.12</t>
        </is>
      </c>
      <c r="N2817" s="25">
        <f>IF(J2817&gt;300,1,0)</f>
        <v/>
      </c>
      <c r="O2817" s="25">
        <f>IF(J2817&gt;600,1,0)</f>
        <v/>
      </c>
      <c r="P2817" s="25">
        <f>IF(H2817&gt;0,J2817,"")</f>
        <v/>
      </c>
      <c r="Q2817" s="25">
        <f>TEXT(A2817,"YYYY-MM-DD HH")</f>
        <v/>
      </c>
      <c r="R2817" s="25">
        <f>COUNTIF($Q$2:$Q$5295,Q2817)</f>
        <v/>
      </c>
      <c r="S2817" s="25">
        <f>IF(R2817&lt;=2,"1-2",IF(R2817&lt;=5,"3-5",IF(R2817&lt;=10,"6-10","11+")))</f>
        <v/>
      </c>
    </row>
    <row r="2818">
      <c r="A2818" s="39" t="n">
        <v>46191.1906712963</v>
      </c>
      <c r="B2818" s="25">
        <f>TEXT(A2818,"YYYY-MM")</f>
        <v/>
      </c>
      <c r="C2818" s="25">
        <f>TEXT(A2818,"MMM-YYYY")</f>
        <v/>
      </c>
      <c r="D2818" s="40">
        <f>INT(A2818)-WEEKDAY(A2818,2)+1</f>
        <v/>
      </c>
      <c r="E2818" s="25" t="inlineStr">
        <is>
          <t>rts</t>
        </is>
      </c>
      <c r="F2818" s="25" t="n">
        <v>94116</v>
      </c>
      <c r="G2818" s="25" t="n">
        <v>2</v>
      </c>
      <c r="H2818" s="25" t="n">
        <v>8</v>
      </c>
      <c r="I2818" s="25" t="inlineStr">
        <is>
          <t>2 minute(s) and 23 second(s)</t>
        </is>
      </c>
      <c r="J2818" s="25">
        <f>IFERROR(VALUE(TRIM(LEFT(I2818,FIND("minute",I2818)-1)))*60,0)+IFERROR(VALUE(SUBSTITUTE(MID(I2818,IFERROR(FIND("and",I2818)+3,1),20),"second(s)","")),0)</f>
        <v/>
      </c>
      <c r="K2818" s="41">
        <f>J2818/60</f>
        <v/>
      </c>
      <c r="L2818" s="41">
        <f>IFERROR(J2818/H2818,"")</f>
        <v/>
      </c>
      <c r="M2818" s="25" t="inlineStr">
        <is>
          <t>2.5.12</t>
        </is>
      </c>
      <c r="N2818" s="25">
        <f>IF(J2818&gt;300,1,0)</f>
        <v/>
      </c>
      <c r="O2818" s="25">
        <f>IF(J2818&gt;600,1,0)</f>
        <v/>
      </c>
      <c r="P2818" s="25">
        <f>IF(H2818&gt;0,J2818,"")</f>
        <v/>
      </c>
      <c r="Q2818" s="25">
        <f>TEXT(A2818,"YYYY-MM-DD HH")</f>
        <v/>
      </c>
      <c r="R2818" s="25">
        <f>COUNTIF($Q$2:$Q$5295,Q2818)</f>
        <v/>
      </c>
      <c r="S2818" s="25">
        <f>IF(R2818&lt;=2,"1-2",IF(R2818&lt;=5,"3-5",IF(R2818&lt;=10,"6-10","11+")))</f>
        <v/>
      </c>
    </row>
    <row r="2819">
      <c r="A2819" s="39" t="n">
        <v>46191.19621527778</v>
      </c>
      <c r="B2819" s="25">
        <f>TEXT(A2819,"YYYY-MM")</f>
        <v/>
      </c>
      <c r="C2819" s="25">
        <f>TEXT(A2819,"MMM-YYYY")</f>
        <v/>
      </c>
      <c r="D2819" s="40">
        <f>INT(A2819)-WEEKDAY(A2819,2)+1</f>
        <v/>
      </c>
      <c r="E2819" s="25" t="inlineStr">
        <is>
          <t>ssrinivasan</t>
        </is>
      </c>
      <c r="F2819" s="25" t="n">
        <v>96015</v>
      </c>
      <c r="G2819" s="25" t="n">
        <v>2</v>
      </c>
      <c r="H2819" s="25" t="n">
        <v>8</v>
      </c>
      <c r="I2819" s="25" t="inlineStr">
        <is>
          <t>4 minute(s) and 21 second(s)</t>
        </is>
      </c>
      <c r="J2819" s="25">
        <f>IFERROR(VALUE(TRIM(LEFT(I2819,FIND("minute",I2819)-1)))*60,0)+IFERROR(VALUE(SUBSTITUTE(MID(I2819,IFERROR(FIND("and",I2819)+3,1),20),"second(s)","")),0)</f>
        <v/>
      </c>
      <c r="K2819" s="41">
        <f>J2819/60</f>
        <v/>
      </c>
      <c r="L2819" s="41">
        <f>IFERROR(J2819/H2819,"")</f>
        <v/>
      </c>
      <c r="M2819" s="25" t="inlineStr">
        <is>
          <t>2.5.12</t>
        </is>
      </c>
      <c r="N2819" s="25">
        <f>IF(J2819&gt;300,1,0)</f>
        <v/>
      </c>
      <c r="O2819" s="25">
        <f>IF(J2819&gt;600,1,0)</f>
        <v/>
      </c>
      <c r="P2819" s="25">
        <f>IF(H2819&gt;0,J2819,"")</f>
        <v/>
      </c>
      <c r="Q2819" s="25">
        <f>TEXT(A2819,"YYYY-MM-DD HH")</f>
        <v/>
      </c>
      <c r="R2819" s="25">
        <f>COUNTIF($Q$2:$Q$5295,Q2819)</f>
        <v/>
      </c>
      <c r="S2819" s="25">
        <f>IF(R2819&lt;=2,"1-2",IF(R2819&lt;=5,"3-5",IF(R2819&lt;=10,"6-10","11+")))</f>
        <v/>
      </c>
    </row>
    <row r="2820">
      <c r="A2820" s="39" t="n">
        <v>46191.20300925926</v>
      </c>
      <c r="B2820" s="25">
        <f>TEXT(A2820,"YYYY-MM")</f>
        <v/>
      </c>
      <c r="C2820" s="25">
        <f>TEXT(A2820,"MMM-YYYY")</f>
        <v/>
      </c>
      <c r="D2820" s="40">
        <f>INT(A2820)-WEEKDAY(A2820,2)+1</f>
        <v/>
      </c>
      <c r="E2820" s="25" t="inlineStr">
        <is>
          <t>aghosh</t>
        </is>
      </c>
      <c r="F2820" s="25" t="n">
        <v>113318</v>
      </c>
      <c r="G2820" s="25" t="n">
        <v>3</v>
      </c>
      <c r="H2820" s="25" t="n">
        <v>15</v>
      </c>
      <c r="I2820" s="25" t="inlineStr">
        <is>
          <t>5 minute(s) and 27 second(s)</t>
        </is>
      </c>
      <c r="J2820" s="25">
        <f>IFERROR(VALUE(TRIM(LEFT(I2820,FIND("minute",I2820)-1)))*60,0)+IFERROR(VALUE(SUBSTITUTE(MID(I2820,IFERROR(FIND("and",I2820)+3,1),20),"second(s)","")),0)</f>
        <v/>
      </c>
      <c r="K2820" s="41">
        <f>J2820/60</f>
        <v/>
      </c>
      <c r="L2820" s="41">
        <f>IFERROR(J2820/H2820,"")</f>
        <v/>
      </c>
      <c r="M2820" s="25" t="inlineStr">
        <is>
          <t>2.5.12</t>
        </is>
      </c>
      <c r="N2820" s="25">
        <f>IF(J2820&gt;300,1,0)</f>
        <v/>
      </c>
      <c r="O2820" s="25">
        <f>IF(J2820&gt;600,1,0)</f>
        <v/>
      </c>
      <c r="P2820" s="25">
        <f>IF(H2820&gt;0,J2820,"")</f>
        <v/>
      </c>
      <c r="Q2820" s="25">
        <f>TEXT(A2820,"YYYY-MM-DD HH")</f>
        <v/>
      </c>
      <c r="R2820" s="25">
        <f>COUNTIF($Q$2:$Q$5295,Q2820)</f>
        <v/>
      </c>
      <c r="S2820" s="25">
        <f>IF(R2820&lt;=2,"1-2",IF(R2820&lt;=5,"3-5",IF(R2820&lt;=10,"6-10","11+")))</f>
        <v/>
      </c>
    </row>
    <row r="2821">
      <c r="A2821" s="39" t="n">
        <v>46191.20704861111</v>
      </c>
      <c r="B2821" s="25">
        <f>TEXT(A2821,"YYYY-MM")</f>
        <v/>
      </c>
      <c r="C2821" s="25">
        <f>TEXT(A2821,"MMM-YYYY")</f>
        <v/>
      </c>
      <c r="D2821" s="40">
        <f>INT(A2821)-WEEKDAY(A2821,2)+1</f>
        <v/>
      </c>
      <c r="E2821" s="25" t="inlineStr">
        <is>
          <t>ssarkar</t>
        </is>
      </c>
      <c r="F2821" s="25" t="n">
        <v>97215</v>
      </c>
      <c r="G2821" s="25" t="n">
        <v>1</v>
      </c>
      <c r="H2821" s="25" t="n">
        <v>5</v>
      </c>
      <c r="I2821" s="25" t="inlineStr">
        <is>
          <t>1 minute(s) and 26 second(s)</t>
        </is>
      </c>
      <c r="J2821" s="25">
        <f>IFERROR(VALUE(TRIM(LEFT(I2821,FIND("minute",I2821)-1)))*60,0)+IFERROR(VALUE(SUBSTITUTE(MID(I2821,IFERROR(FIND("and",I2821)+3,1),20),"second(s)","")),0)</f>
        <v/>
      </c>
      <c r="K2821" s="41">
        <f>J2821/60</f>
        <v/>
      </c>
      <c r="L2821" s="41">
        <f>IFERROR(J2821/H2821,"")</f>
        <v/>
      </c>
      <c r="M2821" s="25" t="inlineStr">
        <is>
          <t>2.5.12</t>
        </is>
      </c>
      <c r="N2821" s="25">
        <f>IF(J2821&gt;300,1,0)</f>
        <v/>
      </c>
      <c r="O2821" s="25">
        <f>IF(J2821&gt;600,1,0)</f>
        <v/>
      </c>
      <c r="P2821" s="25">
        <f>IF(H2821&gt;0,J2821,"")</f>
        <v/>
      </c>
      <c r="Q2821" s="25">
        <f>TEXT(A2821,"YYYY-MM-DD HH")</f>
        <v/>
      </c>
      <c r="R2821" s="25">
        <f>COUNTIF($Q$2:$Q$5295,Q2821)</f>
        <v/>
      </c>
      <c r="S2821" s="25">
        <f>IF(R2821&lt;=2,"1-2",IF(R2821&lt;=5,"3-5",IF(R2821&lt;=10,"6-10","11+")))</f>
        <v/>
      </c>
    </row>
    <row r="2822">
      <c r="A2822" s="39" t="n">
        <v>46191.21174768519</v>
      </c>
      <c r="B2822" s="25">
        <f>TEXT(A2822,"YYYY-MM")</f>
        <v/>
      </c>
      <c r="C2822" s="25">
        <f>TEXT(A2822,"MMM-YYYY")</f>
        <v/>
      </c>
      <c r="D2822" s="40">
        <f>INT(A2822)-WEEKDAY(A2822,2)+1</f>
        <v/>
      </c>
      <c r="E2822" s="25" t="inlineStr">
        <is>
          <t>shassan</t>
        </is>
      </c>
      <c r="F2822" s="25" t="n">
        <v>115524</v>
      </c>
      <c r="G2822" s="25" t="n">
        <v>5</v>
      </c>
      <c r="H2822" s="25" t="n">
        <v>15</v>
      </c>
      <c r="I2822" s="25" t="inlineStr">
        <is>
          <t>4 minute(s) and 18 second(s)</t>
        </is>
      </c>
      <c r="J2822" s="25">
        <f>IFERROR(VALUE(TRIM(LEFT(I2822,FIND("minute",I2822)-1)))*60,0)+IFERROR(VALUE(SUBSTITUTE(MID(I2822,IFERROR(FIND("and",I2822)+3,1),20),"second(s)","")),0)</f>
        <v/>
      </c>
      <c r="K2822" s="41">
        <f>J2822/60</f>
        <v/>
      </c>
      <c r="L2822" s="41">
        <f>IFERROR(J2822/H2822,"")</f>
        <v/>
      </c>
      <c r="M2822" s="25" t="inlineStr">
        <is>
          <t>2.5.12</t>
        </is>
      </c>
      <c r="N2822" s="25">
        <f>IF(J2822&gt;300,1,0)</f>
        <v/>
      </c>
      <c r="O2822" s="25">
        <f>IF(J2822&gt;600,1,0)</f>
        <v/>
      </c>
      <c r="P2822" s="25">
        <f>IF(H2822&gt;0,J2822,"")</f>
        <v/>
      </c>
      <c r="Q2822" s="25">
        <f>TEXT(A2822,"YYYY-MM-DD HH")</f>
        <v/>
      </c>
      <c r="R2822" s="25">
        <f>COUNTIF($Q$2:$Q$5295,Q2822)</f>
        <v/>
      </c>
      <c r="S2822" s="25">
        <f>IF(R2822&lt;=2,"1-2",IF(R2822&lt;=5,"3-5",IF(R2822&lt;=10,"6-10","11+")))</f>
        <v/>
      </c>
    </row>
    <row r="2823">
      <c r="A2823" s="39" t="n">
        <v>46191.21325231482</v>
      </c>
      <c r="B2823" s="25">
        <f>TEXT(A2823,"YYYY-MM")</f>
        <v/>
      </c>
      <c r="C2823" s="25">
        <f>TEXT(A2823,"MMM-YYYY")</f>
        <v/>
      </c>
      <c r="D2823" s="40">
        <f>INT(A2823)-WEEKDAY(A2823,2)+1</f>
        <v/>
      </c>
      <c r="E2823" s="25" t="inlineStr">
        <is>
          <t>pgautam</t>
        </is>
      </c>
      <c r="F2823" s="25" t="n">
        <v>104338</v>
      </c>
      <c r="G2823" s="25" t="n">
        <v>5</v>
      </c>
      <c r="H2823" s="25" t="n">
        <v>19</v>
      </c>
      <c r="I2823" s="25" t="inlineStr">
        <is>
          <t>5 minute(s) and 43 second(s)</t>
        </is>
      </c>
      <c r="J2823" s="25">
        <f>IFERROR(VALUE(TRIM(LEFT(I2823,FIND("minute",I2823)-1)))*60,0)+IFERROR(VALUE(SUBSTITUTE(MID(I2823,IFERROR(FIND("and",I2823)+3,1),20),"second(s)","")),0)</f>
        <v/>
      </c>
      <c r="K2823" s="41">
        <f>J2823/60</f>
        <v/>
      </c>
      <c r="L2823" s="41">
        <f>IFERROR(J2823/H2823,"")</f>
        <v/>
      </c>
      <c r="M2823" s="25" t="inlineStr">
        <is>
          <t>2.5.12</t>
        </is>
      </c>
      <c r="N2823" s="25">
        <f>IF(J2823&gt;300,1,0)</f>
        <v/>
      </c>
      <c r="O2823" s="25">
        <f>IF(J2823&gt;600,1,0)</f>
        <v/>
      </c>
      <c r="P2823" s="25">
        <f>IF(H2823&gt;0,J2823,"")</f>
        <v/>
      </c>
      <c r="Q2823" s="25">
        <f>TEXT(A2823,"YYYY-MM-DD HH")</f>
        <v/>
      </c>
      <c r="R2823" s="25">
        <f>COUNTIF($Q$2:$Q$5295,Q2823)</f>
        <v/>
      </c>
      <c r="S2823" s="25">
        <f>IF(R2823&lt;=2,"1-2",IF(R2823&lt;=5,"3-5",IF(R2823&lt;=10,"6-10","11+")))</f>
        <v/>
      </c>
    </row>
    <row r="2824">
      <c r="A2824" s="39" t="n">
        <v>46191.21560185185</v>
      </c>
      <c r="B2824" s="25">
        <f>TEXT(A2824,"YYYY-MM")</f>
        <v/>
      </c>
      <c r="C2824" s="25">
        <f>TEXT(A2824,"MMM-YYYY")</f>
        <v/>
      </c>
      <c r="D2824" s="40">
        <f>INT(A2824)-WEEKDAY(A2824,2)+1</f>
        <v/>
      </c>
      <c r="E2824" s="25" t="inlineStr">
        <is>
          <t>tkarmakar</t>
        </is>
      </c>
      <c r="F2824" s="25" t="n">
        <v>80862</v>
      </c>
      <c r="G2824" s="25" t="n">
        <v>2</v>
      </c>
      <c r="H2824" s="25" t="n">
        <v>12</v>
      </c>
      <c r="I2824" s="25" t="inlineStr">
        <is>
          <t>2 minute(s) and 39 second(s)</t>
        </is>
      </c>
      <c r="J2824" s="25">
        <f>IFERROR(VALUE(TRIM(LEFT(I2824,FIND("minute",I2824)-1)))*60,0)+IFERROR(VALUE(SUBSTITUTE(MID(I2824,IFERROR(FIND("and",I2824)+3,1),20),"second(s)","")),0)</f>
        <v/>
      </c>
      <c r="K2824" s="41">
        <f>J2824/60</f>
        <v/>
      </c>
      <c r="L2824" s="41">
        <f>IFERROR(J2824/H2824,"")</f>
        <v/>
      </c>
      <c r="M2824" s="25" t="inlineStr">
        <is>
          <t>2.5.12</t>
        </is>
      </c>
      <c r="N2824" s="25">
        <f>IF(J2824&gt;300,1,0)</f>
        <v/>
      </c>
      <c r="O2824" s="25">
        <f>IF(J2824&gt;600,1,0)</f>
        <v/>
      </c>
      <c r="P2824" s="25">
        <f>IF(H2824&gt;0,J2824,"")</f>
        <v/>
      </c>
      <c r="Q2824" s="25">
        <f>TEXT(A2824,"YYYY-MM-DD HH")</f>
        <v/>
      </c>
      <c r="R2824" s="25">
        <f>COUNTIF($Q$2:$Q$5295,Q2824)</f>
        <v/>
      </c>
      <c r="S2824" s="25">
        <f>IF(R2824&lt;=2,"1-2",IF(R2824&lt;=5,"3-5",IF(R2824&lt;=10,"6-10","11+")))</f>
        <v/>
      </c>
    </row>
    <row r="2825">
      <c r="A2825" s="39" t="n">
        <v>46191.2275</v>
      </c>
      <c r="B2825" s="25">
        <f>TEXT(A2825,"YYYY-MM")</f>
        <v/>
      </c>
      <c r="C2825" s="25">
        <f>TEXT(A2825,"MMM-YYYY")</f>
        <v/>
      </c>
      <c r="D2825" s="40">
        <f>INT(A2825)-WEEKDAY(A2825,2)+1</f>
        <v/>
      </c>
      <c r="E2825" s="25" t="inlineStr">
        <is>
          <t>bverma</t>
        </is>
      </c>
      <c r="F2825" s="25" t="n">
        <v>117167</v>
      </c>
      <c r="G2825" s="25" t="n">
        <v>2</v>
      </c>
      <c r="H2825" s="25" t="n">
        <v>12</v>
      </c>
      <c r="I2825" s="25" t="inlineStr">
        <is>
          <t>4 minute(s) and 44 second(s)</t>
        </is>
      </c>
      <c r="J2825" s="25">
        <f>IFERROR(VALUE(TRIM(LEFT(I2825,FIND("minute",I2825)-1)))*60,0)+IFERROR(VALUE(SUBSTITUTE(MID(I2825,IFERROR(FIND("and",I2825)+3,1),20),"second(s)","")),0)</f>
        <v/>
      </c>
      <c r="K2825" s="41">
        <f>J2825/60</f>
        <v/>
      </c>
      <c r="L2825" s="41">
        <f>IFERROR(J2825/H2825,"")</f>
        <v/>
      </c>
      <c r="M2825" s="25" t="inlineStr">
        <is>
          <t>2.5.12</t>
        </is>
      </c>
      <c r="N2825" s="25">
        <f>IF(J2825&gt;300,1,0)</f>
        <v/>
      </c>
      <c r="O2825" s="25">
        <f>IF(J2825&gt;600,1,0)</f>
        <v/>
      </c>
      <c r="P2825" s="25">
        <f>IF(H2825&gt;0,J2825,"")</f>
        <v/>
      </c>
      <c r="Q2825" s="25">
        <f>TEXT(A2825,"YYYY-MM-DD HH")</f>
        <v/>
      </c>
      <c r="R2825" s="25">
        <f>COUNTIF($Q$2:$Q$5295,Q2825)</f>
        <v/>
      </c>
      <c r="S2825" s="25">
        <f>IF(R2825&lt;=2,"1-2",IF(R2825&lt;=5,"3-5",IF(R2825&lt;=10,"6-10","11+")))</f>
        <v/>
      </c>
    </row>
    <row r="2826">
      <c r="A2826" s="39" t="n">
        <v>46191.23377314815</v>
      </c>
      <c r="B2826" s="25">
        <f>TEXT(A2826,"YYYY-MM")</f>
        <v/>
      </c>
      <c r="C2826" s="25">
        <f>TEXT(A2826,"MMM-YYYY")</f>
        <v/>
      </c>
      <c r="D2826" s="40">
        <f>INT(A2826)-WEEKDAY(A2826,2)+1</f>
        <v/>
      </c>
      <c r="E2826" s="25" t="inlineStr">
        <is>
          <t>mgupta</t>
        </is>
      </c>
      <c r="F2826" s="25" t="n">
        <v>84924</v>
      </c>
      <c r="G2826" s="25" t="n">
        <v>4</v>
      </c>
      <c r="H2826" s="25" t="n">
        <v>20</v>
      </c>
      <c r="I2826" s="25" t="inlineStr">
        <is>
          <t>5 minute(s) and 14 second(s)</t>
        </is>
      </c>
      <c r="J2826" s="25">
        <f>IFERROR(VALUE(TRIM(LEFT(I2826,FIND("minute",I2826)-1)))*60,0)+IFERROR(VALUE(SUBSTITUTE(MID(I2826,IFERROR(FIND("and",I2826)+3,1),20),"second(s)","")),0)</f>
        <v/>
      </c>
      <c r="K2826" s="41">
        <f>J2826/60</f>
        <v/>
      </c>
      <c r="L2826" s="41">
        <f>IFERROR(J2826/H2826,"")</f>
        <v/>
      </c>
      <c r="M2826" s="25" t="inlineStr">
        <is>
          <t>2.5.12</t>
        </is>
      </c>
      <c r="N2826" s="25">
        <f>IF(J2826&gt;300,1,0)</f>
        <v/>
      </c>
      <c r="O2826" s="25">
        <f>IF(J2826&gt;600,1,0)</f>
        <v/>
      </c>
      <c r="P2826" s="25">
        <f>IF(H2826&gt;0,J2826,"")</f>
        <v/>
      </c>
      <c r="Q2826" s="25">
        <f>TEXT(A2826,"YYYY-MM-DD HH")</f>
        <v/>
      </c>
      <c r="R2826" s="25">
        <f>COUNTIF($Q$2:$Q$5295,Q2826)</f>
        <v/>
      </c>
      <c r="S2826" s="25">
        <f>IF(R2826&lt;=2,"1-2",IF(R2826&lt;=5,"3-5",IF(R2826&lt;=10,"6-10","11+")))</f>
        <v/>
      </c>
    </row>
    <row r="2827">
      <c r="A2827" s="39" t="n">
        <v>46191.24180555555</v>
      </c>
      <c r="B2827" s="25">
        <f>TEXT(A2827,"YYYY-MM")</f>
        <v/>
      </c>
      <c r="C2827" s="25">
        <f>TEXT(A2827,"MMM-YYYY")</f>
        <v/>
      </c>
      <c r="D2827" s="40">
        <f>INT(A2827)-WEEKDAY(A2827,2)+1</f>
        <v/>
      </c>
      <c r="E2827" s="25" t="inlineStr">
        <is>
          <t>bverma</t>
        </is>
      </c>
      <c r="F2827" s="25" t="n">
        <v>117259</v>
      </c>
      <c r="G2827" s="25" t="n">
        <v>1</v>
      </c>
      <c r="H2827" s="25" t="n">
        <v>7</v>
      </c>
      <c r="I2827" s="25" t="inlineStr">
        <is>
          <t>1 minute(s) and 51 second(s)</t>
        </is>
      </c>
      <c r="J2827" s="25">
        <f>IFERROR(VALUE(TRIM(LEFT(I2827,FIND("minute",I2827)-1)))*60,0)+IFERROR(VALUE(SUBSTITUTE(MID(I2827,IFERROR(FIND("and",I2827)+3,1),20),"second(s)","")),0)</f>
        <v/>
      </c>
      <c r="K2827" s="41">
        <f>J2827/60</f>
        <v/>
      </c>
      <c r="L2827" s="41">
        <f>IFERROR(J2827/H2827,"")</f>
        <v/>
      </c>
      <c r="M2827" s="25" t="inlineStr">
        <is>
          <t>2.5.12</t>
        </is>
      </c>
      <c r="N2827" s="25">
        <f>IF(J2827&gt;300,1,0)</f>
        <v/>
      </c>
      <c r="O2827" s="25">
        <f>IF(J2827&gt;600,1,0)</f>
        <v/>
      </c>
      <c r="P2827" s="25">
        <f>IF(H2827&gt;0,J2827,"")</f>
        <v/>
      </c>
      <c r="Q2827" s="25">
        <f>TEXT(A2827,"YYYY-MM-DD HH")</f>
        <v/>
      </c>
      <c r="R2827" s="25">
        <f>COUNTIF($Q$2:$Q$5295,Q2827)</f>
        <v/>
      </c>
      <c r="S2827" s="25">
        <f>IF(R2827&lt;=2,"1-2",IF(R2827&lt;=5,"3-5",IF(R2827&lt;=10,"6-10","11+")))</f>
        <v/>
      </c>
    </row>
    <row r="2828">
      <c r="A2828" s="39" t="n">
        <v>46191.24952546296</v>
      </c>
      <c r="B2828" s="25">
        <f>TEXT(A2828,"YYYY-MM")</f>
        <v/>
      </c>
      <c r="C2828" s="25">
        <f>TEXT(A2828,"MMM-YYYY")</f>
        <v/>
      </c>
      <c r="D2828" s="40">
        <f>INT(A2828)-WEEKDAY(A2828,2)+1</f>
        <v/>
      </c>
      <c r="E2828" s="25" t="inlineStr">
        <is>
          <t>sthomas</t>
        </is>
      </c>
      <c r="F2828" s="25" t="n">
        <v>94388</v>
      </c>
      <c r="G2828" s="25" t="n">
        <v>1</v>
      </c>
      <c r="H2828" s="25" t="n">
        <v>5</v>
      </c>
      <c r="I2828" s="25" t="inlineStr">
        <is>
          <t>1 minute(s) and 5 second(s)</t>
        </is>
      </c>
      <c r="J2828" s="25">
        <f>IFERROR(VALUE(TRIM(LEFT(I2828,FIND("minute",I2828)-1)))*60,0)+IFERROR(VALUE(SUBSTITUTE(MID(I2828,IFERROR(FIND("and",I2828)+3,1),20),"second(s)","")),0)</f>
        <v/>
      </c>
      <c r="K2828" s="41">
        <f>J2828/60</f>
        <v/>
      </c>
      <c r="L2828" s="41">
        <f>IFERROR(J2828/H2828,"")</f>
        <v/>
      </c>
      <c r="M2828" s="25" t="inlineStr">
        <is>
          <t>2.5.12</t>
        </is>
      </c>
      <c r="N2828" s="25">
        <f>IF(J2828&gt;300,1,0)</f>
        <v/>
      </c>
      <c r="O2828" s="25">
        <f>IF(J2828&gt;600,1,0)</f>
        <v/>
      </c>
      <c r="P2828" s="25">
        <f>IF(H2828&gt;0,J2828,"")</f>
        <v/>
      </c>
      <c r="Q2828" s="25">
        <f>TEXT(A2828,"YYYY-MM-DD HH")</f>
        <v/>
      </c>
      <c r="R2828" s="25">
        <f>COUNTIF($Q$2:$Q$5295,Q2828)</f>
        <v/>
      </c>
      <c r="S2828" s="25">
        <f>IF(R2828&lt;=2,"1-2",IF(R2828&lt;=5,"3-5",IF(R2828&lt;=10,"6-10","11+")))</f>
        <v/>
      </c>
    </row>
    <row r="2829">
      <c r="A2829" s="39" t="n">
        <v>46191.25354166667</v>
      </c>
      <c r="B2829" s="25">
        <f>TEXT(A2829,"YYYY-MM")</f>
        <v/>
      </c>
      <c r="C2829" s="25">
        <f>TEXT(A2829,"MMM-YYYY")</f>
        <v/>
      </c>
      <c r="D2829" s="40">
        <f>INT(A2829)-WEEKDAY(A2829,2)+1</f>
        <v/>
      </c>
      <c r="E2829" s="25" t="inlineStr">
        <is>
          <t>tkarmakar</t>
        </is>
      </c>
      <c r="F2829" s="25" t="n">
        <v>115938</v>
      </c>
      <c r="G2829" s="25" t="n">
        <v>2</v>
      </c>
      <c r="H2829" s="25" t="n">
        <v>8</v>
      </c>
      <c r="I2829" s="25" t="inlineStr">
        <is>
          <t>1 minute(s) and 50 second(s)</t>
        </is>
      </c>
      <c r="J2829" s="25">
        <f>IFERROR(VALUE(TRIM(LEFT(I2829,FIND("minute",I2829)-1)))*60,0)+IFERROR(VALUE(SUBSTITUTE(MID(I2829,IFERROR(FIND("and",I2829)+3,1),20),"second(s)","")),0)</f>
        <v/>
      </c>
      <c r="K2829" s="41">
        <f>J2829/60</f>
        <v/>
      </c>
      <c r="L2829" s="41">
        <f>IFERROR(J2829/H2829,"")</f>
        <v/>
      </c>
      <c r="M2829" s="25" t="inlineStr">
        <is>
          <t>2.5.12</t>
        </is>
      </c>
      <c r="N2829" s="25">
        <f>IF(J2829&gt;300,1,0)</f>
        <v/>
      </c>
      <c r="O2829" s="25">
        <f>IF(J2829&gt;600,1,0)</f>
        <v/>
      </c>
      <c r="P2829" s="25">
        <f>IF(H2829&gt;0,J2829,"")</f>
        <v/>
      </c>
      <c r="Q2829" s="25">
        <f>TEXT(A2829,"YYYY-MM-DD HH")</f>
        <v/>
      </c>
      <c r="R2829" s="25">
        <f>COUNTIF($Q$2:$Q$5295,Q2829)</f>
        <v/>
      </c>
      <c r="S2829" s="25">
        <f>IF(R2829&lt;=2,"1-2",IF(R2829&lt;=5,"3-5",IF(R2829&lt;=10,"6-10","11+")))</f>
        <v/>
      </c>
    </row>
    <row r="2830">
      <c r="A2830" s="39" t="n">
        <v>46191.27293981481</v>
      </c>
      <c r="B2830" s="25">
        <f>TEXT(A2830,"YYYY-MM")</f>
        <v/>
      </c>
      <c r="C2830" s="25">
        <f>TEXT(A2830,"MMM-YYYY")</f>
        <v/>
      </c>
      <c r="D2830" s="40">
        <f>INT(A2830)-WEEKDAY(A2830,2)+1</f>
        <v/>
      </c>
      <c r="E2830" s="25" t="inlineStr">
        <is>
          <t>pgautam</t>
        </is>
      </c>
      <c r="F2830" s="25" t="n">
        <v>115076</v>
      </c>
      <c r="G2830" s="25" t="n">
        <v>4</v>
      </c>
      <c r="H2830" s="25" t="n">
        <v>22</v>
      </c>
      <c r="I2830" s="25" t="inlineStr">
        <is>
          <t>5 minute(s) and 10 second(s)</t>
        </is>
      </c>
      <c r="J2830" s="25">
        <f>IFERROR(VALUE(TRIM(LEFT(I2830,FIND("minute",I2830)-1)))*60,0)+IFERROR(VALUE(SUBSTITUTE(MID(I2830,IFERROR(FIND("and",I2830)+3,1),20),"second(s)","")),0)</f>
        <v/>
      </c>
      <c r="K2830" s="41">
        <f>J2830/60</f>
        <v/>
      </c>
      <c r="L2830" s="41">
        <f>IFERROR(J2830/H2830,"")</f>
        <v/>
      </c>
      <c r="M2830" s="25" t="inlineStr">
        <is>
          <t>2.5.12</t>
        </is>
      </c>
      <c r="N2830" s="25">
        <f>IF(J2830&gt;300,1,0)</f>
        <v/>
      </c>
      <c r="O2830" s="25">
        <f>IF(J2830&gt;600,1,0)</f>
        <v/>
      </c>
      <c r="P2830" s="25">
        <f>IF(H2830&gt;0,J2830,"")</f>
        <v/>
      </c>
      <c r="Q2830" s="25">
        <f>TEXT(A2830,"YYYY-MM-DD HH")</f>
        <v/>
      </c>
      <c r="R2830" s="25">
        <f>COUNTIF($Q$2:$Q$5295,Q2830)</f>
        <v/>
      </c>
      <c r="S2830" s="25">
        <f>IF(R2830&lt;=2,"1-2",IF(R2830&lt;=5,"3-5",IF(R2830&lt;=10,"6-10","11+")))</f>
        <v/>
      </c>
    </row>
    <row r="2831">
      <c r="A2831" s="39" t="n">
        <v>46191.27637731482</v>
      </c>
      <c r="B2831" s="25">
        <f>TEXT(A2831,"YYYY-MM")</f>
        <v/>
      </c>
      <c r="C2831" s="25">
        <f>TEXT(A2831,"MMM-YYYY")</f>
        <v/>
      </c>
      <c r="D2831" s="40">
        <f>INT(A2831)-WEEKDAY(A2831,2)+1</f>
        <v/>
      </c>
      <c r="E2831" s="25" t="inlineStr">
        <is>
          <t>sdey</t>
        </is>
      </c>
      <c r="F2831" s="25" t="n">
        <v>114796</v>
      </c>
      <c r="G2831" s="25" t="n">
        <v>4</v>
      </c>
      <c r="H2831" s="25" t="n">
        <v>21</v>
      </c>
      <c r="I2831" s="25" t="inlineStr">
        <is>
          <t>5 minute(s) and 24 second(s)</t>
        </is>
      </c>
      <c r="J2831" s="25">
        <f>IFERROR(VALUE(TRIM(LEFT(I2831,FIND("minute",I2831)-1)))*60,0)+IFERROR(VALUE(SUBSTITUTE(MID(I2831,IFERROR(FIND("and",I2831)+3,1),20),"second(s)","")),0)</f>
        <v/>
      </c>
      <c r="K2831" s="41">
        <f>J2831/60</f>
        <v/>
      </c>
      <c r="L2831" s="41">
        <f>IFERROR(J2831/H2831,"")</f>
        <v/>
      </c>
      <c r="M2831" s="25" t="inlineStr">
        <is>
          <t>2.5.12</t>
        </is>
      </c>
      <c r="N2831" s="25">
        <f>IF(J2831&gt;300,1,0)</f>
        <v/>
      </c>
      <c r="O2831" s="25">
        <f>IF(J2831&gt;600,1,0)</f>
        <v/>
      </c>
      <c r="P2831" s="25">
        <f>IF(H2831&gt;0,J2831,"")</f>
        <v/>
      </c>
      <c r="Q2831" s="25">
        <f>TEXT(A2831,"YYYY-MM-DD HH")</f>
        <v/>
      </c>
      <c r="R2831" s="25">
        <f>COUNTIF($Q$2:$Q$5295,Q2831)</f>
        <v/>
      </c>
      <c r="S2831" s="25">
        <f>IF(R2831&lt;=2,"1-2",IF(R2831&lt;=5,"3-5",IF(R2831&lt;=10,"6-10","11+")))</f>
        <v/>
      </c>
    </row>
    <row r="2832">
      <c r="A2832" s="39" t="n">
        <v>46191.27920138889</v>
      </c>
      <c r="B2832" s="25">
        <f>TEXT(A2832,"YYYY-MM")</f>
        <v/>
      </c>
      <c r="C2832" s="25">
        <f>TEXT(A2832,"MMM-YYYY")</f>
        <v/>
      </c>
      <c r="D2832" s="40">
        <f>INT(A2832)-WEEKDAY(A2832,2)+1</f>
        <v/>
      </c>
      <c r="E2832" s="25" t="inlineStr">
        <is>
          <t>asahoo</t>
        </is>
      </c>
      <c r="F2832" s="25" t="n">
        <v>115906</v>
      </c>
      <c r="G2832" s="25" t="n">
        <v>2</v>
      </c>
      <c r="H2832" s="25" t="n">
        <v>10</v>
      </c>
      <c r="I2832" s="25" t="inlineStr">
        <is>
          <t>4 minute(s) and 19 second(s)</t>
        </is>
      </c>
      <c r="J2832" s="25">
        <f>IFERROR(VALUE(TRIM(LEFT(I2832,FIND("minute",I2832)-1)))*60,0)+IFERROR(VALUE(SUBSTITUTE(MID(I2832,IFERROR(FIND("and",I2832)+3,1),20),"second(s)","")),0)</f>
        <v/>
      </c>
      <c r="K2832" s="41">
        <f>J2832/60</f>
        <v/>
      </c>
      <c r="L2832" s="41">
        <f>IFERROR(J2832/H2832,"")</f>
        <v/>
      </c>
      <c r="M2832" s="25" t="inlineStr">
        <is>
          <t>2.5.12</t>
        </is>
      </c>
      <c r="N2832" s="25">
        <f>IF(J2832&gt;300,1,0)</f>
        <v/>
      </c>
      <c r="O2832" s="25">
        <f>IF(J2832&gt;600,1,0)</f>
        <v/>
      </c>
      <c r="P2832" s="25">
        <f>IF(H2832&gt;0,J2832,"")</f>
        <v/>
      </c>
      <c r="Q2832" s="25">
        <f>TEXT(A2832,"YYYY-MM-DD HH")</f>
        <v/>
      </c>
      <c r="R2832" s="25">
        <f>COUNTIF($Q$2:$Q$5295,Q2832)</f>
        <v/>
      </c>
      <c r="S2832" s="25">
        <f>IF(R2832&lt;=2,"1-2",IF(R2832&lt;=5,"3-5",IF(R2832&lt;=10,"6-10","11+")))</f>
        <v/>
      </c>
    </row>
    <row r="2833">
      <c r="A2833" s="39" t="n">
        <v>46191.27940972222</v>
      </c>
      <c r="B2833" s="25">
        <f>TEXT(A2833,"YYYY-MM")</f>
        <v/>
      </c>
      <c r="C2833" s="25">
        <f>TEXT(A2833,"MMM-YYYY")</f>
        <v/>
      </c>
      <c r="D2833" s="40">
        <f>INT(A2833)-WEEKDAY(A2833,2)+1</f>
        <v/>
      </c>
      <c r="E2833" s="25" t="inlineStr">
        <is>
          <t>ethomas</t>
        </is>
      </c>
      <c r="F2833" s="25" t="n">
        <v>114846</v>
      </c>
      <c r="G2833" s="25" t="n">
        <v>1</v>
      </c>
      <c r="H2833" s="25" t="n">
        <v>6</v>
      </c>
      <c r="I2833" s="25" t="inlineStr">
        <is>
          <t>3 minute(s) and 22 second(s)</t>
        </is>
      </c>
      <c r="J2833" s="25">
        <f>IFERROR(VALUE(TRIM(LEFT(I2833,FIND("minute",I2833)-1)))*60,0)+IFERROR(VALUE(SUBSTITUTE(MID(I2833,IFERROR(FIND("and",I2833)+3,1),20),"second(s)","")),0)</f>
        <v/>
      </c>
      <c r="K2833" s="41">
        <f>J2833/60</f>
        <v/>
      </c>
      <c r="L2833" s="41">
        <f>IFERROR(J2833/H2833,"")</f>
        <v/>
      </c>
      <c r="M2833" s="25" t="inlineStr">
        <is>
          <t>2.5.12</t>
        </is>
      </c>
      <c r="N2833" s="25">
        <f>IF(J2833&gt;300,1,0)</f>
        <v/>
      </c>
      <c r="O2833" s="25">
        <f>IF(J2833&gt;600,1,0)</f>
        <v/>
      </c>
      <c r="P2833" s="25">
        <f>IF(H2833&gt;0,J2833,"")</f>
        <v/>
      </c>
      <c r="Q2833" s="25">
        <f>TEXT(A2833,"YYYY-MM-DD HH")</f>
        <v/>
      </c>
      <c r="R2833" s="25">
        <f>COUNTIF($Q$2:$Q$5295,Q2833)</f>
        <v/>
      </c>
      <c r="S2833" s="25">
        <f>IF(R2833&lt;=2,"1-2",IF(R2833&lt;=5,"3-5",IF(R2833&lt;=10,"6-10","11+")))</f>
        <v/>
      </c>
    </row>
    <row r="2834">
      <c r="A2834" s="39" t="n">
        <v>46191.28046296296</v>
      </c>
      <c r="B2834" s="25">
        <f>TEXT(A2834,"YYYY-MM")</f>
        <v/>
      </c>
      <c r="C2834" s="25">
        <f>TEXT(A2834,"MMM-YYYY")</f>
        <v/>
      </c>
      <c r="D2834" s="40">
        <f>INT(A2834)-WEEKDAY(A2834,2)+1</f>
        <v/>
      </c>
      <c r="E2834" s="25" t="inlineStr">
        <is>
          <t>anusharma</t>
        </is>
      </c>
      <c r="F2834" s="25" t="n">
        <v>107509</v>
      </c>
      <c r="G2834" s="25" t="n">
        <v>1</v>
      </c>
      <c r="H2834" s="25" t="n">
        <v>5</v>
      </c>
      <c r="I2834" s="25" t="inlineStr">
        <is>
          <t>2 minute(s) and 33 second(s)</t>
        </is>
      </c>
      <c r="J2834" s="25">
        <f>IFERROR(VALUE(TRIM(LEFT(I2834,FIND("minute",I2834)-1)))*60,0)+IFERROR(VALUE(SUBSTITUTE(MID(I2834,IFERROR(FIND("and",I2834)+3,1),20),"second(s)","")),0)</f>
        <v/>
      </c>
      <c r="K2834" s="41">
        <f>J2834/60</f>
        <v/>
      </c>
      <c r="L2834" s="41">
        <f>IFERROR(J2834/H2834,"")</f>
        <v/>
      </c>
      <c r="M2834" s="25" t="inlineStr">
        <is>
          <t>2.5.12</t>
        </is>
      </c>
      <c r="N2834" s="25">
        <f>IF(J2834&gt;300,1,0)</f>
        <v/>
      </c>
      <c r="O2834" s="25">
        <f>IF(J2834&gt;600,1,0)</f>
        <v/>
      </c>
      <c r="P2834" s="25">
        <f>IF(H2834&gt;0,J2834,"")</f>
        <v/>
      </c>
      <c r="Q2834" s="25">
        <f>TEXT(A2834,"YYYY-MM-DD HH")</f>
        <v/>
      </c>
      <c r="R2834" s="25">
        <f>COUNTIF($Q$2:$Q$5295,Q2834)</f>
        <v/>
      </c>
      <c r="S2834" s="25">
        <f>IF(R2834&lt;=2,"1-2",IF(R2834&lt;=5,"3-5",IF(R2834&lt;=10,"6-10","11+")))</f>
        <v/>
      </c>
    </row>
    <row r="2835">
      <c r="A2835" s="39" t="n">
        <v>46191.28431712963</v>
      </c>
      <c r="B2835" s="25">
        <f>TEXT(A2835,"YYYY-MM")</f>
        <v/>
      </c>
      <c r="C2835" s="25">
        <f>TEXT(A2835,"MMM-YYYY")</f>
        <v/>
      </c>
      <c r="D2835" s="40">
        <f>INT(A2835)-WEEKDAY(A2835,2)+1</f>
        <v/>
      </c>
      <c r="E2835" s="25" t="inlineStr">
        <is>
          <t>pmehndiratta</t>
        </is>
      </c>
      <c r="F2835" s="25" t="n">
        <v>113796</v>
      </c>
      <c r="G2835" s="25" t="n">
        <v>4</v>
      </c>
      <c r="H2835" s="25" t="n">
        <v>26</v>
      </c>
      <c r="I2835" s="25" t="inlineStr">
        <is>
          <t>5 minute(s) and 16 second(s)</t>
        </is>
      </c>
      <c r="J2835" s="25">
        <f>IFERROR(VALUE(TRIM(LEFT(I2835,FIND("minute",I2835)-1)))*60,0)+IFERROR(VALUE(SUBSTITUTE(MID(I2835,IFERROR(FIND("and",I2835)+3,1),20),"second(s)","")),0)</f>
        <v/>
      </c>
      <c r="K2835" s="41">
        <f>J2835/60</f>
        <v/>
      </c>
      <c r="L2835" s="41">
        <f>IFERROR(J2835/H2835,"")</f>
        <v/>
      </c>
      <c r="M2835" s="25" t="inlineStr">
        <is>
          <t>2.5.12</t>
        </is>
      </c>
      <c r="N2835" s="25">
        <f>IF(J2835&gt;300,1,0)</f>
        <v/>
      </c>
      <c r="O2835" s="25">
        <f>IF(J2835&gt;600,1,0)</f>
        <v/>
      </c>
      <c r="P2835" s="25">
        <f>IF(H2835&gt;0,J2835,"")</f>
        <v/>
      </c>
      <c r="Q2835" s="25">
        <f>TEXT(A2835,"YYYY-MM-DD HH")</f>
        <v/>
      </c>
      <c r="R2835" s="25">
        <f>COUNTIF($Q$2:$Q$5295,Q2835)</f>
        <v/>
      </c>
      <c r="S2835" s="25">
        <f>IF(R2835&lt;=2,"1-2",IF(R2835&lt;=5,"3-5",IF(R2835&lt;=10,"6-10","11+")))</f>
        <v/>
      </c>
    </row>
    <row r="2836">
      <c r="A2836" s="39" t="n">
        <v>46191.29244212963</v>
      </c>
      <c r="B2836" s="25">
        <f>TEXT(A2836,"YYYY-MM")</f>
        <v/>
      </c>
      <c r="C2836" s="25">
        <f>TEXT(A2836,"MMM-YYYY")</f>
        <v/>
      </c>
      <c r="D2836" s="40">
        <f>INT(A2836)-WEEKDAY(A2836,2)+1</f>
        <v/>
      </c>
      <c r="E2836" s="25" t="inlineStr">
        <is>
          <t>aghosh</t>
        </is>
      </c>
      <c r="F2836" s="25" t="n">
        <v>81110</v>
      </c>
      <c r="G2836" s="25" t="n">
        <v>2</v>
      </c>
      <c r="H2836" s="25" t="n">
        <v>11</v>
      </c>
      <c r="I2836" s="25" t="inlineStr">
        <is>
          <t>4 minute(s) and 5 second(s)</t>
        </is>
      </c>
      <c r="J2836" s="25">
        <f>IFERROR(VALUE(TRIM(LEFT(I2836,FIND("minute",I2836)-1)))*60,0)+IFERROR(VALUE(SUBSTITUTE(MID(I2836,IFERROR(FIND("and",I2836)+3,1),20),"second(s)","")),0)</f>
        <v/>
      </c>
      <c r="K2836" s="41">
        <f>J2836/60</f>
        <v/>
      </c>
      <c r="L2836" s="41">
        <f>IFERROR(J2836/H2836,"")</f>
        <v/>
      </c>
      <c r="M2836" s="25" t="inlineStr">
        <is>
          <t>2.5.12</t>
        </is>
      </c>
      <c r="N2836" s="25">
        <f>IF(J2836&gt;300,1,0)</f>
        <v/>
      </c>
      <c r="O2836" s="25">
        <f>IF(J2836&gt;600,1,0)</f>
        <v/>
      </c>
      <c r="P2836" s="25">
        <f>IF(H2836&gt;0,J2836,"")</f>
        <v/>
      </c>
      <c r="Q2836" s="25">
        <f>TEXT(A2836,"YYYY-MM-DD HH")</f>
        <v/>
      </c>
      <c r="R2836" s="25">
        <f>COUNTIF($Q$2:$Q$5295,Q2836)</f>
        <v/>
      </c>
      <c r="S2836" s="25">
        <f>IF(R2836&lt;=2,"1-2",IF(R2836&lt;=5,"3-5",IF(R2836&lt;=10,"6-10","11+")))</f>
        <v/>
      </c>
    </row>
    <row r="2837">
      <c r="A2837" s="39" t="n">
        <v>46191.29361111111</v>
      </c>
      <c r="B2837" s="25">
        <f>TEXT(A2837,"YYYY-MM")</f>
        <v/>
      </c>
      <c r="C2837" s="25">
        <f>TEXT(A2837,"MMM-YYYY")</f>
        <v/>
      </c>
      <c r="D2837" s="40">
        <f>INT(A2837)-WEEKDAY(A2837,2)+1</f>
        <v/>
      </c>
      <c r="E2837" s="25" t="inlineStr">
        <is>
          <t>ssarkar</t>
        </is>
      </c>
      <c r="F2837" s="25" t="n">
        <v>97121</v>
      </c>
      <c r="G2837" s="25" t="n">
        <v>4</v>
      </c>
      <c r="H2837" s="25" t="n">
        <v>26</v>
      </c>
      <c r="I2837" s="25" t="inlineStr">
        <is>
          <t>6 minute(s) and 1 second(s)</t>
        </is>
      </c>
      <c r="J2837" s="25">
        <f>IFERROR(VALUE(TRIM(LEFT(I2837,FIND("minute",I2837)-1)))*60,0)+IFERROR(VALUE(SUBSTITUTE(MID(I2837,IFERROR(FIND("and",I2837)+3,1),20),"second(s)","")),0)</f>
        <v/>
      </c>
      <c r="K2837" s="41">
        <f>J2837/60</f>
        <v/>
      </c>
      <c r="L2837" s="41">
        <f>IFERROR(J2837/H2837,"")</f>
        <v/>
      </c>
      <c r="M2837" s="25" t="inlineStr">
        <is>
          <t>2.5.12</t>
        </is>
      </c>
      <c r="N2837" s="25">
        <f>IF(J2837&gt;300,1,0)</f>
        <v/>
      </c>
      <c r="O2837" s="25">
        <f>IF(J2837&gt;600,1,0)</f>
        <v/>
      </c>
      <c r="P2837" s="25">
        <f>IF(H2837&gt;0,J2837,"")</f>
        <v/>
      </c>
      <c r="Q2837" s="25">
        <f>TEXT(A2837,"YYYY-MM-DD HH")</f>
        <v/>
      </c>
      <c r="R2837" s="25">
        <f>COUNTIF($Q$2:$Q$5295,Q2837)</f>
        <v/>
      </c>
      <c r="S2837" s="25">
        <f>IF(R2837&lt;=2,"1-2",IF(R2837&lt;=5,"3-5",IF(R2837&lt;=10,"6-10","11+")))</f>
        <v/>
      </c>
    </row>
    <row r="2838">
      <c r="A2838" s="39" t="n">
        <v>46191.29393518518</v>
      </c>
      <c r="B2838" s="25">
        <f>TEXT(A2838,"YYYY-MM")</f>
        <v/>
      </c>
      <c r="C2838" s="25">
        <f>TEXT(A2838,"MMM-YYYY")</f>
        <v/>
      </c>
      <c r="D2838" s="40">
        <f>INT(A2838)-WEEKDAY(A2838,2)+1</f>
        <v/>
      </c>
      <c r="E2838" s="25" t="inlineStr">
        <is>
          <t>ssrinivasan</t>
        </is>
      </c>
      <c r="F2838" s="25" t="n">
        <v>105269</v>
      </c>
      <c r="G2838" s="25" t="n">
        <v>2</v>
      </c>
      <c r="H2838" s="25" t="n">
        <v>8</v>
      </c>
      <c r="I2838" s="25" t="inlineStr">
        <is>
          <t>5 minute(s) and 31 second(s)</t>
        </is>
      </c>
      <c r="J2838" s="25">
        <f>IFERROR(VALUE(TRIM(LEFT(I2838,FIND("minute",I2838)-1)))*60,0)+IFERROR(VALUE(SUBSTITUTE(MID(I2838,IFERROR(FIND("and",I2838)+3,1),20),"second(s)","")),0)</f>
        <v/>
      </c>
      <c r="K2838" s="41">
        <f>J2838/60</f>
        <v/>
      </c>
      <c r="L2838" s="41">
        <f>IFERROR(J2838/H2838,"")</f>
        <v/>
      </c>
      <c r="M2838" s="25" t="inlineStr">
        <is>
          <t>2.5.12</t>
        </is>
      </c>
      <c r="N2838" s="25">
        <f>IF(J2838&gt;300,1,0)</f>
        <v/>
      </c>
      <c r="O2838" s="25">
        <f>IF(J2838&gt;600,1,0)</f>
        <v/>
      </c>
      <c r="P2838" s="25">
        <f>IF(H2838&gt;0,J2838,"")</f>
        <v/>
      </c>
      <c r="Q2838" s="25">
        <f>TEXT(A2838,"YYYY-MM-DD HH")</f>
        <v/>
      </c>
      <c r="R2838" s="25">
        <f>COUNTIF($Q$2:$Q$5295,Q2838)</f>
        <v/>
      </c>
      <c r="S2838" s="25">
        <f>IF(R2838&lt;=2,"1-2",IF(R2838&lt;=5,"3-5",IF(R2838&lt;=10,"6-10","11+")))</f>
        <v/>
      </c>
    </row>
    <row r="2839">
      <c r="A2839" s="39" t="n">
        <v>46191.29515046296</v>
      </c>
      <c r="B2839" s="25">
        <f>TEXT(A2839,"YYYY-MM")</f>
        <v/>
      </c>
      <c r="C2839" s="25">
        <f>TEXT(A2839,"MMM-YYYY")</f>
        <v/>
      </c>
      <c r="D2839" s="40">
        <f>INT(A2839)-WEEKDAY(A2839,2)+1</f>
        <v/>
      </c>
      <c r="E2839" s="25" t="inlineStr">
        <is>
          <t>ns</t>
        </is>
      </c>
      <c r="F2839" s="25" t="n">
        <v>105835</v>
      </c>
      <c r="G2839" s="25" t="n">
        <v>1</v>
      </c>
      <c r="H2839" s="25" t="n">
        <v>5</v>
      </c>
      <c r="I2839" s="25" t="inlineStr">
        <is>
          <t>1 minute(s) and 4 second(s)</t>
        </is>
      </c>
      <c r="J2839" s="25">
        <f>IFERROR(VALUE(TRIM(LEFT(I2839,FIND("minute",I2839)-1)))*60,0)+IFERROR(VALUE(SUBSTITUTE(MID(I2839,IFERROR(FIND("and",I2839)+3,1),20),"second(s)","")),0)</f>
        <v/>
      </c>
      <c r="K2839" s="41">
        <f>J2839/60</f>
        <v/>
      </c>
      <c r="L2839" s="41">
        <f>IFERROR(J2839/H2839,"")</f>
        <v/>
      </c>
      <c r="M2839" s="25" t="inlineStr">
        <is>
          <t>2.5.12</t>
        </is>
      </c>
      <c r="N2839" s="25">
        <f>IF(J2839&gt;300,1,0)</f>
        <v/>
      </c>
      <c r="O2839" s="25">
        <f>IF(J2839&gt;600,1,0)</f>
        <v/>
      </c>
      <c r="P2839" s="25">
        <f>IF(H2839&gt;0,J2839,"")</f>
        <v/>
      </c>
      <c r="Q2839" s="25">
        <f>TEXT(A2839,"YYYY-MM-DD HH")</f>
        <v/>
      </c>
      <c r="R2839" s="25">
        <f>COUNTIF($Q$2:$Q$5295,Q2839)</f>
        <v/>
      </c>
      <c r="S2839" s="25">
        <f>IF(R2839&lt;=2,"1-2",IF(R2839&lt;=5,"3-5",IF(R2839&lt;=10,"6-10","11+")))</f>
        <v/>
      </c>
    </row>
    <row r="2840">
      <c r="A2840" s="39" t="n">
        <v>46191.29834490741</v>
      </c>
      <c r="B2840" s="25">
        <f>TEXT(A2840,"YYYY-MM")</f>
        <v/>
      </c>
      <c r="C2840" s="25">
        <f>TEXT(A2840,"MMM-YYYY")</f>
        <v/>
      </c>
      <c r="D2840" s="40">
        <f>INT(A2840)-WEEKDAY(A2840,2)+1</f>
        <v/>
      </c>
      <c r="E2840" s="25" t="inlineStr">
        <is>
          <t>sthomas</t>
        </is>
      </c>
      <c r="F2840" s="25" t="n">
        <v>97875</v>
      </c>
      <c r="G2840" s="25" t="n">
        <v>1</v>
      </c>
      <c r="H2840" s="25" t="n">
        <v>5</v>
      </c>
      <c r="I2840" s="25" t="inlineStr">
        <is>
          <t>1 minute(s) and 53 second(s)</t>
        </is>
      </c>
      <c r="J2840" s="25">
        <f>IFERROR(VALUE(TRIM(LEFT(I2840,FIND("minute",I2840)-1)))*60,0)+IFERROR(VALUE(SUBSTITUTE(MID(I2840,IFERROR(FIND("and",I2840)+3,1),20),"second(s)","")),0)</f>
        <v/>
      </c>
      <c r="K2840" s="41">
        <f>J2840/60</f>
        <v/>
      </c>
      <c r="L2840" s="41">
        <f>IFERROR(J2840/H2840,"")</f>
        <v/>
      </c>
      <c r="M2840" s="25" t="inlineStr">
        <is>
          <t>2.5.12</t>
        </is>
      </c>
      <c r="N2840" s="25">
        <f>IF(J2840&gt;300,1,0)</f>
        <v/>
      </c>
      <c r="O2840" s="25">
        <f>IF(J2840&gt;600,1,0)</f>
        <v/>
      </c>
      <c r="P2840" s="25">
        <f>IF(H2840&gt;0,J2840,"")</f>
        <v/>
      </c>
      <c r="Q2840" s="25">
        <f>TEXT(A2840,"YYYY-MM-DD HH")</f>
        <v/>
      </c>
      <c r="R2840" s="25">
        <f>COUNTIF($Q$2:$Q$5295,Q2840)</f>
        <v/>
      </c>
      <c r="S2840" s="25">
        <f>IF(R2840&lt;=2,"1-2",IF(R2840&lt;=5,"3-5",IF(R2840&lt;=10,"6-10","11+")))</f>
        <v/>
      </c>
    </row>
    <row r="2841">
      <c r="A2841" s="39" t="n">
        <v>46191.30725694444</v>
      </c>
      <c r="B2841" s="25">
        <f>TEXT(A2841,"YYYY-MM")</f>
        <v/>
      </c>
      <c r="C2841" s="25">
        <f>TEXT(A2841,"MMM-YYYY")</f>
        <v/>
      </c>
      <c r="D2841" s="40">
        <f>INT(A2841)-WEEKDAY(A2841,2)+1</f>
        <v/>
      </c>
      <c r="E2841" s="25" t="inlineStr">
        <is>
          <t>stiwari</t>
        </is>
      </c>
      <c r="F2841" s="25" t="n">
        <v>125768</v>
      </c>
      <c r="G2841" s="25" t="n">
        <v>4</v>
      </c>
      <c r="H2841" s="25" t="n">
        <v>24</v>
      </c>
      <c r="I2841" s="25" t="inlineStr">
        <is>
          <t>7 minute(s) and 24 second(s)</t>
        </is>
      </c>
      <c r="J2841" s="25">
        <f>IFERROR(VALUE(TRIM(LEFT(I2841,FIND("minute",I2841)-1)))*60,0)+IFERROR(VALUE(SUBSTITUTE(MID(I2841,IFERROR(FIND("and",I2841)+3,1),20),"second(s)","")),0)</f>
        <v/>
      </c>
      <c r="K2841" s="41">
        <f>J2841/60</f>
        <v/>
      </c>
      <c r="L2841" s="41">
        <f>IFERROR(J2841/H2841,"")</f>
        <v/>
      </c>
      <c r="M2841" s="25" t="inlineStr">
        <is>
          <t>2.5.12</t>
        </is>
      </c>
      <c r="N2841" s="25">
        <f>IF(J2841&gt;300,1,0)</f>
        <v/>
      </c>
      <c r="O2841" s="25">
        <f>IF(J2841&gt;600,1,0)</f>
        <v/>
      </c>
      <c r="P2841" s="25">
        <f>IF(H2841&gt;0,J2841,"")</f>
        <v/>
      </c>
      <c r="Q2841" s="25">
        <f>TEXT(A2841,"YYYY-MM-DD HH")</f>
        <v/>
      </c>
      <c r="R2841" s="25">
        <f>COUNTIF($Q$2:$Q$5295,Q2841)</f>
        <v/>
      </c>
      <c r="S2841" s="25">
        <f>IF(R2841&lt;=2,"1-2",IF(R2841&lt;=5,"3-5",IF(R2841&lt;=10,"6-10","11+")))</f>
        <v/>
      </c>
    </row>
    <row r="2842">
      <c r="A2842" s="39" t="n">
        <v>46191.31253472222</v>
      </c>
      <c r="B2842" s="25">
        <f>TEXT(A2842,"YYYY-MM")</f>
        <v/>
      </c>
      <c r="C2842" s="25">
        <f>TEXT(A2842,"MMM-YYYY")</f>
        <v/>
      </c>
      <c r="D2842" s="40">
        <f>INT(A2842)-WEEKDAY(A2842,2)+1</f>
        <v/>
      </c>
      <c r="E2842" s="25" t="inlineStr">
        <is>
          <t>mgupta</t>
        </is>
      </c>
      <c r="F2842" s="25" t="n">
        <v>94119</v>
      </c>
      <c r="G2842" s="25" t="n">
        <v>2</v>
      </c>
      <c r="H2842" s="25" t="n">
        <v>10</v>
      </c>
      <c r="I2842" s="25" t="inlineStr">
        <is>
          <t>3 minute(s) and 13 second(s)</t>
        </is>
      </c>
      <c r="J2842" s="25">
        <f>IFERROR(VALUE(TRIM(LEFT(I2842,FIND("minute",I2842)-1)))*60,0)+IFERROR(VALUE(SUBSTITUTE(MID(I2842,IFERROR(FIND("and",I2842)+3,1),20),"second(s)","")),0)</f>
        <v/>
      </c>
      <c r="K2842" s="41">
        <f>J2842/60</f>
        <v/>
      </c>
      <c r="L2842" s="41">
        <f>IFERROR(J2842/H2842,"")</f>
        <v/>
      </c>
      <c r="M2842" s="25" t="inlineStr">
        <is>
          <t>2.5.12</t>
        </is>
      </c>
      <c r="N2842" s="25">
        <f>IF(J2842&gt;300,1,0)</f>
        <v/>
      </c>
      <c r="O2842" s="25">
        <f>IF(J2842&gt;600,1,0)</f>
        <v/>
      </c>
      <c r="P2842" s="25">
        <f>IF(H2842&gt;0,J2842,"")</f>
        <v/>
      </c>
      <c r="Q2842" s="25">
        <f>TEXT(A2842,"YYYY-MM-DD HH")</f>
        <v/>
      </c>
      <c r="R2842" s="25">
        <f>COUNTIF($Q$2:$Q$5295,Q2842)</f>
        <v/>
      </c>
      <c r="S2842" s="25">
        <f>IF(R2842&lt;=2,"1-2",IF(R2842&lt;=5,"3-5",IF(R2842&lt;=10,"6-10","11+")))</f>
        <v/>
      </c>
    </row>
    <row r="2843">
      <c r="A2843" s="39" t="n">
        <v>46191.31549768519</v>
      </c>
      <c r="B2843" s="25">
        <f>TEXT(A2843,"YYYY-MM")</f>
        <v/>
      </c>
      <c r="C2843" s="25">
        <f>TEXT(A2843,"MMM-YYYY")</f>
        <v/>
      </c>
      <c r="D2843" s="40">
        <f>INT(A2843)-WEEKDAY(A2843,2)+1</f>
        <v/>
      </c>
      <c r="E2843" s="25" t="inlineStr">
        <is>
          <t>bverma</t>
        </is>
      </c>
      <c r="F2843" s="25" t="n">
        <v>117160</v>
      </c>
      <c r="G2843" s="25" t="n">
        <v>1</v>
      </c>
      <c r="H2843" s="25" t="n">
        <v>5</v>
      </c>
      <c r="I2843" s="25" t="inlineStr">
        <is>
          <t>1 minute(s) and 24 second(s)</t>
        </is>
      </c>
      <c r="J2843" s="25">
        <f>IFERROR(VALUE(TRIM(LEFT(I2843,FIND("minute",I2843)-1)))*60,0)+IFERROR(VALUE(SUBSTITUTE(MID(I2843,IFERROR(FIND("and",I2843)+3,1),20),"second(s)","")),0)</f>
        <v/>
      </c>
      <c r="K2843" s="41">
        <f>J2843/60</f>
        <v/>
      </c>
      <c r="L2843" s="41">
        <f>IFERROR(J2843/H2843,"")</f>
        <v/>
      </c>
      <c r="M2843" s="25" t="inlineStr">
        <is>
          <t>2.5.12</t>
        </is>
      </c>
      <c r="N2843" s="25">
        <f>IF(J2843&gt;300,1,0)</f>
        <v/>
      </c>
      <c r="O2843" s="25">
        <f>IF(J2843&gt;600,1,0)</f>
        <v/>
      </c>
      <c r="P2843" s="25">
        <f>IF(H2843&gt;0,J2843,"")</f>
        <v/>
      </c>
      <c r="Q2843" s="25">
        <f>TEXT(A2843,"YYYY-MM-DD HH")</f>
        <v/>
      </c>
      <c r="R2843" s="25">
        <f>COUNTIF($Q$2:$Q$5295,Q2843)</f>
        <v/>
      </c>
      <c r="S2843" s="25">
        <f>IF(R2843&lt;=2,"1-2",IF(R2843&lt;=5,"3-5",IF(R2843&lt;=10,"6-10","11+")))</f>
        <v/>
      </c>
    </row>
    <row r="2844">
      <c r="A2844" s="39" t="n">
        <v>46191.31915509259</v>
      </c>
      <c r="B2844" s="25">
        <f>TEXT(A2844,"YYYY-MM")</f>
        <v/>
      </c>
      <c r="C2844" s="25">
        <f>TEXT(A2844,"MMM-YYYY")</f>
        <v/>
      </c>
      <c r="D2844" s="40">
        <f>INT(A2844)-WEEKDAY(A2844,2)+1</f>
        <v/>
      </c>
      <c r="E2844" s="25" t="inlineStr">
        <is>
          <t>ethomas</t>
        </is>
      </c>
      <c r="F2844" s="25" t="n">
        <v>114999</v>
      </c>
      <c r="G2844" s="25" t="n">
        <v>2</v>
      </c>
      <c r="H2844" s="25" t="n">
        <v>12</v>
      </c>
      <c r="I2844" s="25" t="inlineStr">
        <is>
          <t>7 minute(s) and 51 second(s)</t>
        </is>
      </c>
      <c r="J2844" s="25">
        <f>IFERROR(VALUE(TRIM(LEFT(I2844,FIND("minute",I2844)-1)))*60,0)+IFERROR(VALUE(SUBSTITUTE(MID(I2844,IFERROR(FIND("and",I2844)+3,1),20),"second(s)","")),0)</f>
        <v/>
      </c>
      <c r="K2844" s="41">
        <f>J2844/60</f>
        <v/>
      </c>
      <c r="L2844" s="41">
        <f>IFERROR(J2844/H2844,"")</f>
        <v/>
      </c>
      <c r="M2844" s="25" t="inlineStr">
        <is>
          <t>2.5.12</t>
        </is>
      </c>
      <c r="N2844" s="25">
        <f>IF(J2844&gt;300,1,0)</f>
        <v/>
      </c>
      <c r="O2844" s="25">
        <f>IF(J2844&gt;600,1,0)</f>
        <v/>
      </c>
      <c r="P2844" s="25">
        <f>IF(H2844&gt;0,J2844,"")</f>
        <v/>
      </c>
      <c r="Q2844" s="25">
        <f>TEXT(A2844,"YYYY-MM-DD HH")</f>
        <v/>
      </c>
      <c r="R2844" s="25">
        <f>COUNTIF($Q$2:$Q$5295,Q2844)</f>
        <v/>
      </c>
      <c r="S2844" s="25">
        <f>IF(R2844&lt;=2,"1-2",IF(R2844&lt;=5,"3-5",IF(R2844&lt;=10,"6-10","11+")))</f>
        <v/>
      </c>
    </row>
    <row r="2845">
      <c r="A2845" s="39" t="n">
        <v>46191.32217592592</v>
      </c>
      <c r="B2845" s="25">
        <f>TEXT(A2845,"YYYY-MM")</f>
        <v/>
      </c>
      <c r="C2845" s="25">
        <f>TEXT(A2845,"MMM-YYYY")</f>
        <v/>
      </c>
      <c r="D2845" s="40">
        <f>INT(A2845)-WEEKDAY(A2845,2)+1</f>
        <v/>
      </c>
      <c r="E2845" s="25" t="inlineStr">
        <is>
          <t>adey</t>
        </is>
      </c>
      <c r="F2845" s="25" t="n">
        <v>96487</v>
      </c>
      <c r="G2845" s="25" t="n">
        <v>2</v>
      </c>
      <c r="H2845" s="25" t="n">
        <v>8</v>
      </c>
      <c r="I2845" s="25" t="inlineStr">
        <is>
          <t>1 minute(s) and 48 second(s)</t>
        </is>
      </c>
      <c r="J2845" s="25">
        <f>IFERROR(VALUE(TRIM(LEFT(I2845,FIND("minute",I2845)-1)))*60,0)+IFERROR(VALUE(SUBSTITUTE(MID(I2845,IFERROR(FIND("and",I2845)+3,1),20),"second(s)","")),0)</f>
        <v/>
      </c>
      <c r="K2845" s="41">
        <f>J2845/60</f>
        <v/>
      </c>
      <c r="L2845" s="41">
        <f>IFERROR(J2845/H2845,"")</f>
        <v/>
      </c>
      <c r="M2845" s="25" t="inlineStr">
        <is>
          <t>2.5.12</t>
        </is>
      </c>
      <c r="N2845" s="25">
        <f>IF(J2845&gt;300,1,0)</f>
        <v/>
      </c>
      <c r="O2845" s="25">
        <f>IF(J2845&gt;600,1,0)</f>
        <v/>
      </c>
      <c r="P2845" s="25">
        <f>IF(H2845&gt;0,J2845,"")</f>
        <v/>
      </c>
      <c r="Q2845" s="25">
        <f>TEXT(A2845,"YYYY-MM-DD HH")</f>
        <v/>
      </c>
      <c r="R2845" s="25">
        <f>COUNTIF($Q$2:$Q$5295,Q2845)</f>
        <v/>
      </c>
      <c r="S2845" s="25">
        <f>IF(R2845&lt;=2,"1-2",IF(R2845&lt;=5,"3-5",IF(R2845&lt;=10,"6-10","11+")))</f>
        <v/>
      </c>
    </row>
    <row r="2846">
      <c r="A2846" s="39" t="n">
        <v>46191.32755787037</v>
      </c>
      <c r="B2846" s="25">
        <f>TEXT(A2846,"YYYY-MM")</f>
        <v/>
      </c>
      <c r="C2846" s="25">
        <f>TEXT(A2846,"MMM-YYYY")</f>
        <v/>
      </c>
      <c r="D2846" s="40">
        <f>INT(A2846)-WEEKDAY(A2846,2)+1</f>
        <v/>
      </c>
      <c r="E2846" s="25" t="inlineStr">
        <is>
          <t>sthomas</t>
        </is>
      </c>
      <c r="F2846" s="25" t="n">
        <v>116806</v>
      </c>
      <c r="G2846" s="25" t="n">
        <v>4</v>
      </c>
      <c r="H2846" s="25" t="n">
        <v>22</v>
      </c>
      <c r="I2846" s="25" t="inlineStr">
        <is>
          <t>5 minute(s) and 44 second(s)</t>
        </is>
      </c>
      <c r="J2846" s="25">
        <f>IFERROR(VALUE(TRIM(LEFT(I2846,FIND("minute",I2846)-1)))*60,0)+IFERROR(VALUE(SUBSTITUTE(MID(I2846,IFERROR(FIND("and",I2846)+3,1),20),"second(s)","")),0)</f>
        <v/>
      </c>
      <c r="K2846" s="41">
        <f>J2846/60</f>
        <v/>
      </c>
      <c r="L2846" s="41">
        <f>IFERROR(J2846/H2846,"")</f>
        <v/>
      </c>
      <c r="M2846" s="25" t="inlineStr">
        <is>
          <t>2.5.12</t>
        </is>
      </c>
      <c r="N2846" s="25">
        <f>IF(J2846&gt;300,1,0)</f>
        <v/>
      </c>
      <c r="O2846" s="25">
        <f>IF(J2846&gt;600,1,0)</f>
        <v/>
      </c>
      <c r="P2846" s="25">
        <f>IF(H2846&gt;0,J2846,"")</f>
        <v/>
      </c>
      <c r="Q2846" s="25">
        <f>TEXT(A2846,"YYYY-MM-DD HH")</f>
        <v/>
      </c>
      <c r="R2846" s="25">
        <f>COUNTIF($Q$2:$Q$5295,Q2846)</f>
        <v/>
      </c>
      <c r="S2846" s="25">
        <f>IF(R2846&lt;=2,"1-2",IF(R2846&lt;=5,"3-5",IF(R2846&lt;=10,"6-10","11+")))</f>
        <v/>
      </c>
    </row>
    <row r="2847">
      <c r="A2847" s="39" t="n">
        <v>46191.32855324074</v>
      </c>
      <c r="B2847" s="25">
        <f>TEXT(A2847,"YYYY-MM")</f>
        <v/>
      </c>
      <c r="C2847" s="25">
        <f>TEXT(A2847,"MMM-YYYY")</f>
        <v/>
      </c>
      <c r="D2847" s="40">
        <f>INT(A2847)-WEEKDAY(A2847,2)+1</f>
        <v/>
      </c>
      <c r="E2847" s="25" t="inlineStr">
        <is>
          <t>ns</t>
        </is>
      </c>
      <c r="F2847" s="25" t="n">
        <v>95206</v>
      </c>
      <c r="G2847" s="25" t="n">
        <v>2</v>
      </c>
      <c r="H2847" s="25" t="n">
        <v>10</v>
      </c>
      <c r="I2847" s="25" t="inlineStr">
        <is>
          <t>4 minute(s) and 6 second(s)</t>
        </is>
      </c>
      <c r="J2847" s="25">
        <f>IFERROR(VALUE(TRIM(LEFT(I2847,FIND("minute",I2847)-1)))*60,0)+IFERROR(VALUE(SUBSTITUTE(MID(I2847,IFERROR(FIND("and",I2847)+3,1),20),"second(s)","")),0)</f>
        <v/>
      </c>
      <c r="K2847" s="41">
        <f>J2847/60</f>
        <v/>
      </c>
      <c r="L2847" s="41">
        <f>IFERROR(J2847/H2847,"")</f>
        <v/>
      </c>
      <c r="M2847" s="25" t="inlineStr">
        <is>
          <t>2.5.12</t>
        </is>
      </c>
      <c r="N2847" s="25">
        <f>IF(J2847&gt;300,1,0)</f>
        <v/>
      </c>
      <c r="O2847" s="25">
        <f>IF(J2847&gt;600,1,0)</f>
        <v/>
      </c>
      <c r="P2847" s="25">
        <f>IF(H2847&gt;0,J2847,"")</f>
        <v/>
      </c>
      <c r="Q2847" s="25">
        <f>TEXT(A2847,"YYYY-MM-DD HH")</f>
        <v/>
      </c>
      <c r="R2847" s="25">
        <f>COUNTIF($Q$2:$Q$5295,Q2847)</f>
        <v/>
      </c>
      <c r="S2847" s="25">
        <f>IF(R2847&lt;=2,"1-2",IF(R2847&lt;=5,"3-5",IF(R2847&lt;=10,"6-10","11+")))</f>
        <v/>
      </c>
    </row>
    <row r="2848">
      <c r="A2848" s="39" t="n">
        <v>46191.34136574074</v>
      </c>
      <c r="B2848" s="25">
        <f>TEXT(A2848,"YYYY-MM")</f>
        <v/>
      </c>
      <c r="C2848" s="25">
        <f>TEXT(A2848,"MMM-YYYY")</f>
        <v/>
      </c>
      <c r="D2848" s="40">
        <f>INT(A2848)-WEEKDAY(A2848,2)+1</f>
        <v/>
      </c>
      <c r="E2848" s="25" t="inlineStr">
        <is>
          <t>ssrinivasan</t>
        </is>
      </c>
      <c r="F2848" s="25" t="n">
        <v>104146</v>
      </c>
      <c r="G2848" s="25" t="n">
        <v>2</v>
      </c>
      <c r="H2848" s="25" t="n">
        <v>8</v>
      </c>
      <c r="I2848" s="25" t="inlineStr">
        <is>
          <t>2 minute(s) and 57 second(s)</t>
        </is>
      </c>
      <c r="J2848" s="25">
        <f>IFERROR(VALUE(TRIM(LEFT(I2848,FIND("minute",I2848)-1)))*60,0)+IFERROR(VALUE(SUBSTITUTE(MID(I2848,IFERROR(FIND("and",I2848)+3,1),20),"second(s)","")),0)</f>
        <v/>
      </c>
      <c r="K2848" s="41">
        <f>J2848/60</f>
        <v/>
      </c>
      <c r="L2848" s="41">
        <f>IFERROR(J2848/H2848,"")</f>
        <v/>
      </c>
      <c r="M2848" s="25" t="inlineStr">
        <is>
          <t>2.5.12</t>
        </is>
      </c>
      <c r="N2848" s="25">
        <f>IF(J2848&gt;300,1,0)</f>
        <v/>
      </c>
      <c r="O2848" s="25">
        <f>IF(J2848&gt;600,1,0)</f>
        <v/>
      </c>
      <c r="P2848" s="25">
        <f>IF(H2848&gt;0,J2848,"")</f>
        <v/>
      </c>
      <c r="Q2848" s="25">
        <f>TEXT(A2848,"YYYY-MM-DD HH")</f>
        <v/>
      </c>
      <c r="R2848" s="25">
        <f>COUNTIF($Q$2:$Q$5295,Q2848)</f>
        <v/>
      </c>
      <c r="S2848" s="25">
        <f>IF(R2848&lt;=2,"1-2",IF(R2848&lt;=5,"3-5",IF(R2848&lt;=10,"6-10","11+")))</f>
        <v/>
      </c>
    </row>
    <row r="2849">
      <c r="A2849" s="39" t="n">
        <v>46191.34245370371</v>
      </c>
      <c r="B2849" s="25">
        <f>TEXT(A2849,"YYYY-MM")</f>
        <v/>
      </c>
      <c r="C2849" s="25">
        <f>TEXT(A2849,"MMM-YYYY")</f>
        <v/>
      </c>
      <c r="D2849" s="40">
        <f>INT(A2849)-WEEKDAY(A2849,2)+1</f>
        <v/>
      </c>
      <c r="E2849" s="25" t="inlineStr">
        <is>
          <t>adey</t>
        </is>
      </c>
      <c r="F2849" s="25" t="n">
        <v>104046</v>
      </c>
      <c r="G2849" s="25" t="n">
        <v>1</v>
      </c>
      <c r="H2849" s="25" t="n">
        <v>5</v>
      </c>
      <c r="I2849" s="25" t="inlineStr">
        <is>
          <t>1 minute(s) and 4 second(s)</t>
        </is>
      </c>
      <c r="J2849" s="25">
        <f>IFERROR(VALUE(TRIM(LEFT(I2849,FIND("minute",I2849)-1)))*60,0)+IFERROR(VALUE(SUBSTITUTE(MID(I2849,IFERROR(FIND("and",I2849)+3,1),20),"second(s)","")),0)</f>
        <v/>
      </c>
      <c r="K2849" s="41">
        <f>J2849/60</f>
        <v/>
      </c>
      <c r="L2849" s="41">
        <f>IFERROR(J2849/H2849,"")</f>
        <v/>
      </c>
      <c r="M2849" s="25" t="inlineStr">
        <is>
          <t>2.5.12</t>
        </is>
      </c>
      <c r="N2849" s="25">
        <f>IF(J2849&gt;300,1,0)</f>
        <v/>
      </c>
      <c r="O2849" s="25">
        <f>IF(J2849&gt;600,1,0)</f>
        <v/>
      </c>
      <c r="P2849" s="25">
        <f>IF(H2849&gt;0,J2849,"")</f>
        <v/>
      </c>
      <c r="Q2849" s="25">
        <f>TEXT(A2849,"YYYY-MM-DD HH")</f>
        <v/>
      </c>
      <c r="R2849" s="25">
        <f>COUNTIF($Q$2:$Q$5295,Q2849)</f>
        <v/>
      </c>
      <c r="S2849" s="25">
        <f>IF(R2849&lt;=2,"1-2",IF(R2849&lt;=5,"3-5",IF(R2849&lt;=10,"6-10","11+")))</f>
        <v/>
      </c>
    </row>
    <row r="2850">
      <c r="A2850" s="39" t="n">
        <v>46191.3475925926</v>
      </c>
      <c r="B2850" s="25">
        <f>TEXT(A2850,"YYYY-MM")</f>
        <v/>
      </c>
      <c r="C2850" s="25">
        <f>TEXT(A2850,"MMM-YYYY")</f>
        <v/>
      </c>
      <c r="D2850" s="40">
        <f>INT(A2850)-WEEKDAY(A2850,2)+1</f>
        <v/>
      </c>
      <c r="E2850" s="25" t="inlineStr">
        <is>
          <t>anusharma</t>
        </is>
      </c>
      <c r="F2850" s="25" t="n">
        <v>108804</v>
      </c>
      <c r="G2850" s="25" t="n">
        <v>4</v>
      </c>
      <c r="H2850" s="25" t="n">
        <v>20</v>
      </c>
      <c r="I2850" s="25" t="inlineStr">
        <is>
          <t>4 minute(s) and 33 second(s)</t>
        </is>
      </c>
      <c r="J2850" s="25">
        <f>IFERROR(VALUE(TRIM(LEFT(I2850,FIND("minute",I2850)-1)))*60,0)+IFERROR(VALUE(SUBSTITUTE(MID(I2850,IFERROR(FIND("and",I2850)+3,1),20),"second(s)","")),0)</f>
        <v/>
      </c>
      <c r="K2850" s="41">
        <f>J2850/60</f>
        <v/>
      </c>
      <c r="L2850" s="41">
        <f>IFERROR(J2850/H2850,"")</f>
        <v/>
      </c>
      <c r="M2850" s="25" t="inlineStr">
        <is>
          <t>2.5.12</t>
        </is>
      </c>
      <c r="N2850" s="25">
        <f>IF(J2850&gt;300,1,0)</f>
        <v/>
      </c>
      <c r="O2850" s="25">
        <f>IF(J2850&gt;600,1,0)</f>
        <v/>
      </c>
      <c r="P2850" s="25">
        <f>IF(H2850&gt;0,J2850,"")</f>
        <v/>
      </c>
      <c r="Q2850" s="25">
        <f>TEXT(A2850,"YYYY-MM-DD HH")</f>
        <v/>
      </c>
      <c r="R2850" s="25">
        <f>COUNTIF($Q$2:$Q$5295,Q2850)</f>
        <v/>
      </c>
      <c r="S2850" s="25">
        <f>IF(R2850&lt;=2,"1-2",IF(R2850&lt;=5,"3-5",IF(R2850&lt;=10,"6-10","11+")))</f>
        <v/>
      </c>
    </row>
    <row r="2851">
      <c r="A2851" s="39" t="n">
        <v>46191.35200231482</v>
      </c>
      <c r="B2851" s="25">
        <f>TEXT(A2851,"YYYY-MM")</f>
        <v/>
      </c>
      <c r="C2851" s="25">
        <f>TEXT(A2851,"MMM-YYYY")</f>
        <v/>
      </c>
      <c r="D2851" s="40">
        <f>INT(A2851)-WEEKDAY(A2851,2)+1</f>
        <v/>
      </c>
      <c r="E2851" s="25" t="inlineStr">
        <is>
          <t>asahoo</t>
        </is>
      </c>
      <c r="F2851" s="25" t="n">
        <v>115652</v>
      </c>
      <c r="G2851" s="25" t="n">
        <v>4</v>
      </c>
      <c r="H2851" s="25" t="n">
        <v>20</v>
      </c>
      <c r="I2851" s="25" t="inlineStr">
        <is>
          <t>8 minute(s) and 12 second(s)</t>
        </is>
      </c>
      <c r="J2851" s="25">
        <f>IFERROR(VALUE(TRIM(LEFT(I2851,FIND("minute",I2851)-1)))*60,0)+IFERROR(VALUE(SUBSTITUTE(MID(I2851,IFERROR(FIND("and",I2851)+3,1),20),"second(s)","")),0)</f>
        <v/>
      </c>
      <c r="K2851" s="41">
        <f>J2851/60</f>
        <v/>
      </c>
      <c r="L2851" s="41">
        <f>IFERROR(J2851/H2851,"")</f>
        <v/>
      </c>
      <c r="M2851" s="25" t="inlineStr">
        <is>
          <t>2.5.12</t>
        </is>
      </c>
      <c r="N2851" s="25">
        <f>IF(J2851&gt;300,1,0)</f>
        <v/>
      </c>
      <c r="O2851" s="25">
        <f>IF(J2851&gt;600,1,0)</f>
        <v/>
      </c>
      <c r="P2851" s="25">
        <f>IF(H2851&gt;0,J2851,"")</f>
        <v/>
      </c>
      <c r="Q2851" s="25">
        <f>TEXT(A2851,"YYYY-MM-DD HH")</f>
        <v/>
      </c>
      <c r="R2851" s="25">
        <f>COUNTIF($Q$2:$Q$5295,Q2851)</f>
        <v/>
      </c>
      <c r="S2851" s="25">
        <f>IF(R2851&lt;=2,"1-2",IF(R2851&lt;=5,"3-5",IF(R2851&lt;=10,"6-10","11+")))</f>
        <v/>
      </c>
    </row>
    <row r="2852">
      <c r="A2852" s="39" t="n">
        <v>46191.35517361111</v>
      </c>
      <c r="B2852" s="25">
        <f>TEXT(A2852,"YYYY-MM")</f>
        <v/>
      </c>
      <c r="C2852" s="25">
        <f>TEXT(A2852,"MMM-YYYY")</f>
        <v/>
      </c>
      <c r="D2852" s="40">
        <f>INT(A2852)-WEEKDAY(A2852,2)+1</f>
        <v/>
      </c>
      <c r="E2852" s="25" t="inlineStr">
        <is>
          <t>stiwari</t>
        </is>
      </c>
      <c r="F2852" s="25" t="n">
        <v>125758</v>
      </c>
      <c r="G2852" s="25" t="n">
        <v>4</v>
      </c>
      <c r="H2852" s="25" t="n">
        <v>24</v>
      </c>
      <c r="I2852" s="25" t="inlineStr">
        <is>
          <t>8 minute(s) and 32 second(s)</t>
        </is>
      </c>
      <c r="J2852" s="25">
        <f>IFERROR(VALUE(TRIM(LEFT(I2852,FIND("minute",I2852)-1)))*60,0)+IFERROR(VALUE(SUBSTITUTE(MID(I2852,IFERROR(FIND("and",I2852)+3,1),20),"second(s)","")),0)</f>
        <v/>
      </c>
      <c r="K2852" s="41">
        <f>J2852/60</f>
        <v/>
      </c>
      <c r="L2852" s="41">
        <f>IFERROR(J2852/H2852,"")</f>
        <v/>
      </c>
      <c r="M2852" s="25" t="inlineStr">
        <is>
          <t>2.5.12</t>
        </is>
      </c>
      <c r="N2852" s="25">
        <f>IF(J2852&gt;300,1,0)</f>
        <v/>
      </c>
      <c r="O2852" s="25">
        <f>IF(J2852&gt;600,1,0)</f>
        <v/>
      </c>
      <c r="P2852" s="25">
        <f>IF(H2852&gt;0,J2852,"")</f>
        <v/>
      </c>
      <c r="Q2852" s="25">
        <f>TEXT(A2852,"YYYY-MM-DD HH")</f>
        <v/>
      </c>
      <c r="R2852" s="25">
        <f>COUNTIF($Q$2:$Q$5295,Q2852)</f>
        <v/>
      </c>
      <c r="S2852" s="25">
        <f>IF(R2852&lt;=2,"1-2",IF(R2852&lt;=5,"3-5",IF(R2852&lt;=10,"6-10","11+")))</f>
        <v/>
      </c>
    </row>
    <row r="2853">
      <c r="A2853" s="39" t="n">
        <v>46191.35537037037</v>
      </c>
      <c r="B2853" s="25">
        <f>TEXT(A2853,"YYYY-MM")</f>
        <v/>
      </c>
      <c r="C2853" s="25">
        <f>TEXT(A2853,"MMM-YYYY")</f>
        <v/>
      </c>
      <c r="D2853" s="40">
        <f>INT(A2853)-WEEKDAY(A2853,2)+1</f>
        <v/>
      </c>
      <c r="E2853" s="25" t="inlineStr">
        <is>
          <t>aghosh</t>
        </is>
      </c>
      <c r="F2853" s="25" t="n">
        <v>97409</v>
      </c>
      <c r="G2853" s="25" t="n">
        <v>1</v>
      </c>
      <c r="H2853" s="25" t="n">
        <v>5</v>
      </c>
      <c r="I2853" s="25" t="inlineStr">
        <is>
          <t>2 minute(s) and 21 second(s)</t>
        </is>
      </c>
      <c r="J2853" s="25">
        <f>IFERROR(VALUE(TRIM(LEFT(I2853,FIND("minute",I2853)-1)))*60,0)+IFERROR(VALUE(SUBSTITUTE(MID(I2853,IFERROR(FIND("and",I2853)+3,1),20),"second(s)","")),0)</f>
        <v/>
      </c>
      <c r="K2853" s="41">
        <f>J2853/60</f>
        <v/>
      </c>
      <c r="L2853" s="41">
        <f>IFERROR(J2853/H2853,"")</f>
        <v/>
      </c>
      <c r="M2853" s="25" t="inlineStr">
        <is>
          <t>2.5.12</t>
        </is>
      </c>
      <c r="N2853" s="25">
        <f>IF(J2853&gt;300,1,0)</f>
        <v/>
      </c>
      <c r="O2853" s="25">
        <f>IF(J2853&gt;600,1,0)</f>
        <v/>
      </c>
      <c r="P2853" s="25">
        <f>IF(H2853&gt;0,J2853,"")</f>
        <v/>
      </c>
      <c r="Q2853" s="25">
        <f>TEXT(A2853,"YYYY-MM-DD HH")</f>
        <v/>
      </c>
      <c r="R2853" s="25">
        <f>COUNTIF($Q$2:$Q$5295,Q2853)</f>
        <v/>
      </c>
      <c r="S2853" s="25">
        <f>IF(R2853&lt;=2,"1-2",IF(R2853&lt;=5,"3-5",IF(R2853&lt;=10,"6-10","11+")))</f>
        <v/>
      </c>
    </row>
    <row r="2854">
      <c r="A2854" s="39" t="n">
        <v>46191.36732638889</v>
      </c>
      <c r="B2854" s="25">
        <f>TEXT(A2854,"YYYY-MM")</f>
        <v/>
      </c>
      <c r="C2854" s="25">
        <f>TEXT(A2854,"MMM-YYYY")</f>
        <v/>
      </c>
      <c r="D2854" s="40">
        <f>INT(A2854)-WEEKDAY(A2854,2)+1</f>
        <v/>
      </c>
      <c r="E2854" s="25" t="inlineStr">
        <is>
          <t>ethomas</t>
        </is>
      </c>
      <c r="F2854" s="25" t="n">
        <v>122427</v>
      </c>
      <c r="G2854" s="25" t="n">
        <v>4</v>
      </c>
      <c r="H2854" s="25" t="n">
        <v>22</v>
      </c>
      <c r="I2854" s="25" t="inlineStr">
        <is>
          <t>6 minute(s) and 55 second(s)</t>
        </is>
      </c>
      <c r="J2854" s="25">
        <f>IFERROR(VALUE(TRIM(LEFT(I2854,FIND("minute",I2854)-1)))*60,0)+IFERROR(VALUE(SUBSTITUTE(MID(I2854,IFERROR(FIND("and",I2854)+3,1),20),"second(s)","")),0)</f>
        <v/>
      </c>
      <c r="K2854" s="41">
        <f>J2854/60</f>
        <v/>
      </c>
      <c r="L2854" s="41">
        <f>IFERROR(J2854/H2854,"")</f>
        <v/>
      </c>
      <c r="M2854" s="25" t="inlineStr">
        <is>
          <t>2.5.12</t>
        </is>
      </c>
      <c r="N2854" s="25">
        <f>IF(J2854&gt;300,1,0)</f>
        <v/>
      </c>
      <c r="O2854" s="25">
        <f>IF(J2854&gt;600,1,0)</f>
        <v/>
      </c>
      <c r="P2854" s="25">
        <f>IF(H2854&gt;0,J2854,"")</f>
        <v/>
      </c>
      <c r="Q2854" s="25">
        <f>TEXT(A2854,"YYYY-MM-DD HH")</f>
        <v/>
      </c>
      <c r="R2854" s="25">
        <f>COUNTIF($Q$2:$Q$5295,Q2854)</f>
        <v/>
      </c>
      <c r="S2854" s="25">
        <f>IF(R2854&lt;=2,"1-2",IF(R2854&lt;=5,"3-5",IF(R2854&lt;=10,"6-10","11+")))</f>
        <v/>
      </c>
    </row>
    <row r="2855">
      <c r="A2855" s="39" t="n">
        <v>46191.37028935185</v>
      </c>
      <c r="B2855" s="25">
        <f>TEXT(A2855,"YYYY-MM")</f>
        <v/>
      </c>
      <c r="C2855" s="25">
        <f>TEXT(A2855,"MMM-YYYY")</f>
        <v/>
      </c>
      <c r="D2855" s="40">
        <f>INT(A2855)-WEEKDAY(A2855,2)+1</f>
        <v/>
      </c>
      <c r="E2855" s="25" t="inlineStr">
        <is>
          <t>pgautam</t>
        </is>
      </c>
      <c r="F2855" s="25" t="n">
        <v>108906</v>
      </c>
      <c r="G2855" s="25" t="n">
        <v>2</v>
      </c>
      <c r="H2855" s="25" t="n">
        <v>6</v>
      </c>
      <c r="I2855" s="25" t="inlineStr">
        <is>
          <t>3 minute(s) and 23 second(s)</t>
        </is>
      </c>
      <c r="J2855" s="25">
        <f>IFERROR(VALUE(TRIM(LEFT(I2855,FIND("minute",I2855)-1)))*60,0)+IFERROR(VALUE(SUBSTITUTE(MID(I2855,IFERROR(FIND("and",I2855)+3,1),20),"second(s)","")),0)</f>
        <v/>
      </c>
      <c r="K2855" s="41">
        <f>J2855/60</f>
        <v/>
      </c>
      <c r="L2855" s="41">
        <f>IFERROR(J2855/H2855,"")</f>
        <v/>
      </c>
      <c r="M2855" s="25" t="inlineStr">
        <is>
          <t>2.5.12</t>
        </is>
      </c>
      <c r="N2855" s="25">
        <f>IF(J2855&gt;300,1,0)</f>
        <v/>
      </c>
      <c r="O2855" s="25">
        <f>IF(J2855&gt;600,1,0)</f>
        <v/>
      </c>
      <c r="P2855" s="25">
        <f>IF(H2855&gt;0,J2855,"")</f>
        <v/>
      </c>
      <c r="Q2855" s="25">
        <f>TEXT(A2855,"YYYY-MM-DD HH")</f>
        <v/>
      </c>
      <c r="R2855" s="25">
        <f>COUNTIF($Q$2:$Q$5295,Q2855)</f>
        <v/>
      </c>
      <c r="S2855" s="25">
        <f>IF(R2855&lt;=2,"1-2",IF(R2855&lt;=5,"3-5",IF(R2855&lt;=10,"6-10","11+")))</f>
        <v/>
      </c>
    </row>
    <row r="2856">
      <c r="A2856" s="39" t="n">
        <v>46191.37903935185</v>
      </c>
      <c r="B2856" s="25">
        <f>TEXT(A2856,"YYYY-MM")</f>
        <v/>
      </c>
      <c r="C2856" s="25">
        <f>TEXT(A2856,"MMM-YYYY")</f>
        <v/>
      </c>
      <c r="D2856" s="40">
        <f>INT(A2856)-WEEKDAY(A2856,2)+1</f>
        <v/>
      </c>
      <c r="E2856" s="25" t="inlineStr">
        <is>
          <t>sthomas</t>
        </is>
      </c>
      <c r="F2856" s="25" t="n">
        <v>124720</v>
      </c>
      <c r="G2856" s="25" t="n">
        <v>1</v>
      </c>
      <c r="H2856" s="25" t="n">
        <v>5</v>
      </c>
      <c r="I2856" s="25" t="inlineStr">
        <is>
          <t>1 minute(s) and 24 second(s)</t>
        </is>
      </c>
      <c r="J2856" s="25">
        <f>IFERROR(VALUE(TRIM(LEFT(I2856,FIND("minute",I2856)-1)))*60,0)+IFERROR(VALUE(SUBSTITUTE(MID(I2856,IFERROR(FIND("and",I2856)+3,1),20),"second(s)","")),0)</f>
        <v/>
      </c>
      <c r="K2856" s="41">
        <f>J2856/60</f>
        <v/>
      </c>
      <c r="L2856" s="41">
        <f>IFERROR(J2856/H2856,"")</f>
        <v/>
      </c>
      <c r="M2856" s="25" t="inlineStr">
        <is>
          <t>2.5.12</t>
        </is>
      </c>
      <c r="N2856" s="25">
        <f>IF(J2856&gt;300,1,0)</f>
        <v/>
      </c>
      <c r="O2856" s="25">
        <f>IF(J2856&gt;600,1,0)</f>
        <v/>
      </c>
      <c r="P2856" s="25">
        <f>IF(H2856&gt;0,J2856,"")</f>
        <v/>
      </c>
      <c r="Q2856" s="25">
        <f>TEXT(A2856,"YYYY-MM-DD HH")</f>
        <v/>
      </c>
      <c r="R2856" s="25">
        <f>COUNTIF($Q$2:$Q$5295,Q2856)</f>
        <v/>
      </c>
      <c r="S2856" s="25">
        <f>IF(R2856&lt;=2,"1-2",IF(R2856&lt;=5,"3-5",IF(R2856&lt;=10,"6-10","11+")))</f>
        <v/>
      </c>
    </row>
    <row r="2857">
      <c r="A2857" s="39" t="n">
        <v>46191.38056712963</v>
      </c>
      <c r="B2857" s="25">
        <f>TEXT(A2857,"YYYY-MM")</f>
        <v/>
      </c>
      <c r="C2857" s="25">
        <f>TEXT(A2857,"MMM-YYYY")</f>
        <v/>
      </c>
      <c r="D2857" s="40">
        <f>INT(A2857)-WEEKDAY(A2857,2)+1</f>
        <v/>
      </c>
      <c r="E2857" s="25" t="inlineStr">
        <is>
          <t>bverma</t>
        </is>
      </c>
      <c r="F2857" s="25" t="n">
        <v>83820</v>
      </c>
      <c r="G2857" s="25" t="n">
        <v>4</v>
      </c>
      <c r="H2857" s="25" t="n">
        <v>22</v>
      </c>
      <c r="I2857" s="25" t="inlineStr">
        <is>
          <t>14 minute(s) and 5 second(s)</t>
        </is>
      </c>
      <c r="J2857" s="25">
        <f>IFERROR(VALUE(TRIM(LEFT(I2857,FIND("minute",I2857)-1)))*60,0)+IFERROR(VALUE(SUBSTITUTE(MID(I2857,IFERROR(FIND("and",I2857)+3,1),20),"second(s)","")),0)</f>
        <v/>
      </c>
      <c r="K2857" s="41">
        <f>J2857/60</f>
        <v/>
      </c>
      <c r="L2857" s="41">
        <f>IFERROR(J2857/H2857,"")</f>
        <v/>
      </c>
      <c r="M2857" s="25" t="inlineStr">
        <is>
          <t>2.5.12</t>
        </is>
      </c>
      <c r="N2857" s="25">
        <f>IF(J2857&gt;300,1,0)</f>
        <v/>
      </c>
      <c r="O2857" s="25">
        <f>IF(J2857&gt;600,1,0)</f>
        <v/>
      </c>
      <c r="P2857" s="25">
        <f>IF(H2857&gt;0,J2857,"")</f>
        <v/>
      </c>
      <c r="Q2857" s="25">
        <f>TEXT(A2857,"YYYY-MM-DD HH")</f>
        <v/>
      </c>
      <c r="R2857" s="25">
        <f>COUNTIF($Q$2:$Q$5295,Q2857)</f>
        <v/>
      </c>
      <c r="S2857" s="25">
        <f>IF(R2857&lt;=2,"1-2",IF(R2857&lt;=5,"3-5",IF(R2857&lt;=10,"6-10","11+")))</f>
        <v/>
      </c>
    </row>
    <row r="2858">
      <c r="A2858" s="39" t="n">
        <v>46191.38498842593</v>
      </c>
      <c r="B2858" s="25">
        <f>TEXT(A2858,"YYYY-MM")</f>
        <v/>
      </c>
      <c r="C2858" s="25">
        <f>TEXT(A2858,"MMM-YYYY")</f>
        <v/>
      </c>
      <c r="D2858" s="40">
        <f>INT(A2858)-WEEKDAY(A2858,2)+1</f>
        <v/>
      </c>
      <c r="E2858" s="25" t="inlineStr">
        <is>
          <t>tkarmakar</t>
        </is>
      </c>
      <c r="F2858" s="25" t="n">
        <v>117071</v>
      </c>
      <c r="G2858" s="25" t="n">
        <v>1</v>
      </c>
      <c r="H2858" s="25" t="n">
        <v>7</v>
      </c>
      <c r="I2858" s="25" t="inlineStr">
        <is>
          <t>3 minute(s) and 12 second(s)</t>
        </is>
      </c>
      <c r="J2858" s="25">
        <f>IFERROR(VALUE(TRIM(LEFT(I2858,FIND("minute",I2858)-1)))*60,0)+IFERROR(VALUE(SUBSTITUTE(MID(I2858,IFERROR(FIND("and",I2858)+3,1),20),"second(s)","")),0)</f>
        <v/>
      </c>
      <c r="K2858" s="41">
        <f>J2858/60</f>
        <v/>
      </c>
      <c r="L2858" s="41">
        <f>IFERROR(J2858/H2858,"")</f>
        <v/>
      </c>
      <c r="M2858" s="25" t="inlineStr">
        <is>
          <t>2.5.12</t>
        </is>
      </c>
      <c r="N2858" s="25">
        <f>IF(J2858&gt;300,1,0)</f>
        <v/>
      </c>
      <c r="O2858" s="25">
        <f>IF(J2858&gt;600,1,0)</f>
        <v/>
      </c>
      <c r="P2858" s="25">
        <f>IF(H2858&gt;0,J2858,"")</f>
        <v/>
      </c>
      <c r="Q2858" s="25">
        <f>TEXT(A2858,"YYYY-MM-DD HH")</f>
        <v/>
      </c>
      <c r="R2858" s="25">
        <f>COUNTIF($Q$2:$Q$5295,Q2858)</f>
        <v/>
      </c>
      <c r="S2858" s="25">
        <f>IF(R2858&lt;=2,"1-2",IF(R2858&lt;=5,"3-5",IF(R2858&lt;=10,"6-10","11+")))</f>
        <v/>
      </c>
    </row>
    <row r="2859">
      <c r="A2859" s="39" t="n">
        <v>46191.38636574074</v>
      </c>
      <c r="B2859" s="25">
        <f>TEXT(A2859,"YYYY-MM")</f>
        <v/>
      </c>
      <c r="C2859" s="25">
        <f>TEXT(A2859,"MMM-YYYY")</f>
        <v/>
      </c>
      <c r="D2859" s="40">
        <f>INT(A2859)-WEEKDAY(A2859,2)+1</f>
        <v/>
      </c>
      <c r="E2859" s="25" t="inlineStr">
        <is>
          <t>hsindwani</t>
        </is>
      </c>
      <c r="F2859" s="25" t="n">
        <v>115166</v>
      </c>
      <c r="G2859" s="25" t="n">
        <v>1</v>
      </c>
      <c r="H2859" s="25" t="n">
        <v>7</v>
      </c>
      <c r="I2859" s="25" t="inlineStr">
        <is>
          <t>9 minute(s) and 29 second(s)</t>
        </is>
      </c>
      <c r="J2859" s="25">
        <f>IFERROR(VALUE(TRIM(LEFT(I2859,FIND("minute",I2859)-1)))*60,0)+IFERROR(VALUE(SUBSTITUTE(MID(I2859,IFERROR(FIND("and",I2859)+3,1),20),"second(s)","")),0)</f>
        <v/>
      </c>
      <c r="K2859" s="41">
        <f>J2859/60</f>
        <v/>
      </c>
      <c r="L2859" s="41">
        <f>IFERROR(J2859/H2859,"")</f>
        <v/>
      </c>
      <c r="M2859" s="25" t="inlineStr">
        <is>
          <t>2.5.12</t>
        </is>
      </c>
      <c r="N2859" s="25">
        <f>IF(J2859&gt;300,1,0)</f>
        <v/>
      </c>
      <c r="O2859" s="25">
        <f>IF(J2859&gt;600,1,0)</f>
        <v/>
      </c>
      <c r="P2859" s="25">
        <f>IF(H2859&gt;0,J2859,"")</f>
        <v/>
      </c>
      <c r="Q2859" s="25">
        <f>TEXT(A2859,"YYYY-MM-DD HH")</f>
        <v/>
      </c>
      <c r="R2859" s="25">
        <f>COUNTIF($Q$2:$Q$5295,Q2859)</f>
        <v/>
      </c>
      <c r="S2859" s="25">
        <f>IF(R2859&lt;=2,"1-2",IF(R2859&lt;=5,"3-5",IF(R2859&lt;=10,"6-10","11+")))</f>
        <v/>
      </c>
    </row>
    <row r="2860">
      <c r="A2860" s="39" t="n">
        <v>46191.38988425926</v>
      </c>
      <c r="B2860" s="25">
        <f>TEXT(A2860,"YYYY-MM")</f>
        <v/>
      </c>
      <c r="C2860" s="25">
        <f>TEXT(A2860,"MMM-YYYY")</f>
        <v/>
      </c>
      <c r="D2860" s="40">
        <f>INT(A2860)-WEEKDAY(A2860,2)+1</f>
        <v/>
      </c>
      <c r="E2860" s="25" t="inlineStr">
        <is>
          <t>ssrinivasan</t>
        </is>
      </c>
      <c r="F2860" s="25" t="n">
        <v>115894</v>
      </c>
      <c r="G2860" s="25" t="n">
        <v>2</v>
      </c>
      <c r="H2860" s="25" t="n">
        <v>14</v>
      </c>
      <c r="I2860" s="25" t="inlineStr">
        <is>
          <t>5 minute(s) and 11 second(s)</t>
        </is>
      </c>
      <c r="J2860" s="25">
        <f>IFERROR(VALUE(TRIM(LEFT(I2860,FIND("minute",I2860)-1)))*60,0)+IFERROR(VALUE(SUBSTITUTE(MID(I2860,IFERROR(FIND("and",I2860)+3,1),20),"second(s)","")),0)</f>
        <v/>
      </c>
      <c r="K2860" s="41">
        <f>J2860/60</f>
        <v/>
      </c>
      <c r="L2860" s="41">
        <f>IFERROR(J2860/H2860,"")</f>
        <v/>
      </c>
      <c r="M2860" s="25" t="inlineStr">
        <is>
          <t>2.5.12</t>
        </is>
      </c>
      <c r="N2860" s="25">
        <f>IF(J2860&gt;300,1,0)</f>
        <v/>
      </c>
      <c r="O2860" s="25">
        <f>IF(J2860&gt;600,1,0)</f>
        <v/>
      </c>
      <c r="P2860" s="25">
        <f>IF(H2860&gt;0,J2860,"")</f>
        <v/>
      </c>
      <c r="Q2860" s="25">
        <f>TEXT(A2860,"YYYY-MM-DD HH")</f>
        <v/>
      </c>
      <c r="R2860" s="25">
        <f>COUNTIF($Q$2:$Q$5295,Q2860)</f>
        <v/>
      </c>
      <c r="S2860" s="25">
        <f>IF(R2860&lt;=2,"1-2",IF(R2860&lt;=5,"3-5",IF(R2860&lt;=10,"6-10","11+")))</f>
        <v/>
      </c>
    </row>
    <row r="2861">
      <c r="A2861" s="39" t="n">
        <v>46191.39163194445</v>
      </c>
      <c r="B2861" s="25">
        <f>TEXT(A2861,"YYYY-MM")</f>
        <v/>
      </c>
      <c r="C2861" s="25">
        <f>TEXT(A2861,"MMM-YYYY")</f>
        <v/>
      </c>
      <c r="D2861" s="40">
        <f>INT(A2861)-WEEKDAY(A2861,2)+1</f>
        <v/>
      </c>
      <c r="E2861" s="25" t="inlineStr">
        <is>
          <t>stiwari</t>
        </is>
      </c>
      <c r="F2861" s="25" t="n">
        <v>125757</v>
      </c>
      <c r="G2861" s="25" t="n">
        <v>4</v>
      </c>
      <c r="H2861" s="25" t="n">
        <v>22</v>
      </c>
      <c r="I2861" s="25" t="inlineStr">
        <is>
          <t>4 minute(s) and 39 second(s)</t>
        </is>
      </c>
      <c r="J2861" s="25">
        <f>IFERROR(VALUE(TRIM(LEFT(I2861,FIND("minute",I2861)-1)))*60,0)+IFERROR(VALUE(SUBSTITUTE(MID(I2861,IFERROR(FIND("and",I2861)+3,1),20),"second(s)","")),0)</f>
        <v/>
      </c>
      <c r="K2861" s="41">
        <f>J2861/60</f>
        <v/>
      </c>
      <c r="L2861" s="41">
        <f>IFERROR(J2861/H2861,"")</f>
        <v/>
      </c>
      <c r="M2861" s="25" t="inlineStr">
        <is>
          <t>2.5.12</t>
        </is>
      </c>
      <c r="N2861" s="25">
        <f>IF(J2861&gt;300,1,0)</f>
        <v/>
      </c>
      <c r="O2861" s="25">
        <f>IF(J2861&gt;600,1,0)</f>
        <v/>
      </c>
      <c r="P2861" s="25">
        <f>IF(H2861&gt;0,J2861,"")</f>
        <v/>
      </c>
      <c r="Q2861" s="25">
        <f>TEXT(A2861,"YYYY-MM-DD HH")</f>
        <v/>
      </c>
      <c r="R2861" s="25">
        <f>COUNTIF($Q$2:$Q$5295,Q2861)</f>
        <v/>
      </c>
      <c r="S2861" s="25">
        <f>IF(R2861&lt;=2,"1-2",IF(R2861&lt;=5,"3-5",IF(R2861&lt;=10,"6-10","11+")))</f>
        <v/>
      </c>
    </row>
    <row r="2862">
      <c r="A2862" s="39" t="n">
        <v>46191.40526620371</v>
      </c>
      <c r="B2862" s="25">
        <f>TEXT(A2862,"YYYY-MM")</f>
        <v/>
      </c>
      <c r="C2862" s="25">
        <f>TEXT(A2862,"MMM-YYYY")</f>
        <v/>
      </c>
      <c r="D2862" s="40">
        <f>INT(A2862)-WEEKDAY(A2862,2)+1</f>
        <v/>
      </c>
      <c r="E2862" s="25" t="inlineStr">
        <is>
          <t>pgautam</t>
        </is>
      </c>
      <c r="F2862" s="25" t="n">
        <v>109065</v>
      </c>
      <c r="G2862" s="25" t="n">
        <v>4</v>
      </c>
      <c r="H2862" s="25" t="n">
        <v>10</v>
      </c>
      <c r="I2862" s="25" t="inlineStr">
        <is>
          <t>2 minute(s) and 50 second(s)</t>
        </is>
      </c>
      <c r="J2862" s="25">
        <f>IFERROR(VALUE(TRIM(LEFT(I2862,FIND("minute",I2862)-1)))*60,0)+IFERROR(VALUE(SUBSTITUTE(MID(I2862,IFERROR(FIND("and",I2862)+3,1),20),"second(s)","")),0)</f>
        <v/>
      </c>
      <c r="K2862" s="41">
        <f>J2862/60</f>
        <v/>
      </c>
      <c r="L2862" s="41">
        <f>IFERROR(J2862/H2862,"")</f>
        <v/>
      </c>
      <c r="M2862" s="25" t="inlineStr">
        <is>
          <t>2.5.12</t>
        </is>
      </c>
      <c r="N2862" s="25">
        <f>IF(J2862&gt;300,1,0)</f>
        <v/>
      </c>
      <c r="O2862" s="25">
        <f>IF(J2862&gt;600,1,0)</f>
        <v/>
      </c>
      <c r="P2862" s="25">
        <f>IF(H2862&gt;0,J2862,"")</f>
        <v/>
      </c>
      <c r="Q2862" s="25">
        <f>TEXT(A2862,"YYYY-MM-DD HH")</f>
        <v/>
      </c>
      <c r="R2862" s="25">
        <f>COUNTIF($Q$2:$Q$5295,Q2862)</f>
        <v/>
      </c>
      <c r="S2862" s="25">
        <f>IF(R2862&lt;=2,"1-2",IF(R2862&lt;=5,"3-5",IF(R2862&lt;=10,"6-10","11+")))</f>
        <v/>
      </c>
    </row>
    <row r="2863">
      <c r="A2863" s="39" t="n">
        <v>46191.40664351852</v>
      </c>
      <c r="B2863" s="25">
        <f>TEXT(A2863,"YYYY-MM")</f>
        <v/>
      </c>
      <c r="C2863" s="25">
        <f>TEXT(A2863,"MMM-YYYY")</f>
        <v/>
      </c>
      <c r="D2863" s="40">
        <f>INT(A2863)-WEEKDAY(A2863,2)+1</f>
        <v/>
      </c>
      <c r="E2863" s="25" t="inlineStr">
        <is>
          <t>ssarkar</t>
        </is>
      </c>
      <c r="F2863" s="25" t="n">
        <v>93384</v>
      </c>
      <c r="G2863" s="25" t="n">
        <v>2</v>
      </c>
      <c r="H2863" s="25" t="n">
        <v>8</v>
      </c>
      <c r="I2863" s="25" t="inlineStr">
        <is>
          <t>2 minute(s) and 9 second(s)</t>
        </is>
      </c>
      <c r="J2863" s="25">
        <f>IFERROR(VALUE(TRIM(LEFT(I2863,FIND("minute",I2863)-1)))*60,0)+IFERROR(VALUE(SUBSTITUTE(MID(I2863,IFERROR(FIND("and",I2863)+3,1),20),"second(s)","")),0)</f>
        <v/>
      </c>
      <c r="K2863" s="41">
        <f>J2863/60</f>
        <v/>
      </c>
      <c r="L2863" s="41">
        <f>IFERROR(J2863/H2863,"")</f>
        <v/>
      </c>
      <c r="M2863" s="25" t="inlineStr">
        <is>
          <t>2.5.12</t>
        </is>
      </c>
      <c r="N2863" s="25">
        <f>IF(J2863&gt;300,1,0)</f>
        <v/>
      </c>
      <c r="O2863" s="25">
        <f>IF(J2863&gt;600,1,0)</f>
        <v/>
      </c>
      <c r="P2863" s="25">
        <f>IF(H2863&gt;0,J2863,"")</f>
        <v/>
      </c>
      <c r="Q2863" s="25">
        <f>TEXT(A2863,"YYYY-MM-DD HH")</f>
        <v/>
      </c>
      <c r="R2863" s="25">
        <f>COUNTIF($Q$2:$Q$5295,Q2863)</f>
        <v/>
      </c>
      <c r="S2863" s="25">
        <f>IF(R2863&lt;=2,"1-2",IF(R2863&lt;=5,"3-5",IF(R2863&lt;=10,"6-10","11+")))</f>
        <v/>
      </c>
    </row>
    <row r="2864">
      <c r="A2864" s="39" t="n">
        <v>46191.40678240741</v>
      </c>
      <c r="B2864" s="25">
        <f>TEXT(A2864,"YYYY-MM")</f>
        <v/>
      </c>
      <c r="C2864" s="25">
        <f>TEXT(A2864,"MMM-YYYY")</f>
        <v/>
      </c>
      <c r="D2864" s="40">
        <f>INT(A2864)-WEEKDAY(A2864,2)+1</f>
        <v/>
      </c>
      <c r="E2864" s="25" t="inlineStr">
        <is>
          <t>anusharma</t>
        </is>
      </c>
      <c r="F2864" s="25" t="n">
        <v>109221</v>
      </c>
      <c r="G2864" s="25" t="n">
        <v>4</v>
      </c>
      <c r="H2864" s="25" t="n">
        <v>14</v>
      </c>
      <c r="I2864" s="25" t="inlineStr">
        <is>
          <t>3 minute(s) and 49 second(s)</t>
        </is>
      </c>
      <c r="J2864" s="25">
        <f>IFERROR(VALUE(TRIM(LEFT(I2864,FIND("minute",I2864)-1)))*60,0)+IFERROR(VALUE(SUBSTITUTE(MID(I2864,IFERROR(FIND("and",I2864)+3,1),20),"second(s)","")),0)</f>
        <v/>
      </c>
      <c r="K2864" s="41">
        <f>J2864/60</f>
        <v/>
      </c>
      <c r="L2864" s="41">
        <f>IFERROR(J2864/H2864,"")</f>
        <v/>
      </c>
      <c r="M2864" s="25" t="inlineStr">
        <is>
          <t>2.5.12</t>
        </is>
      </c>
      <c r="N2864" s="25">
        <f>IF(J2864&gt;300,1,0)</f>
        <v/>
      </c>
      <c r="O2864" s="25">
        <f>IF(J2864&gt;600,1,0)</f>
        <v/>
      </c>
      <c r="P2864" s="25">
        <f>IF(H2864&gt;0,J2864,"")</f>
        <v/>
      </c>
      <c r="Q2864" s="25">
        <f>TEXT(A2864,"YYYY-MM-DD HH")</f>
        <v/>
      </c>
      <c r="R2864" s="25">
        <f>COUNTIF($Q$2:$Q$5295,Q2864)</f>
        <v/>
      </c>
      <c r="S2864" s="25">
        <f>IF(R2864&lt;=2,"1-2",IF(R2864&lt;=5,"3-5",IF(R2864&lt;=10,"6-10","11+")))</f>
        <v/>
      </c>
    </row>
    <row r="2865">
      <c r="A2865" s="39" t="n">
        <v>46191.40928240741</v>
      </c>
      <c r="B2865" s="25">
        <f>TEXT(A2865,"YYYY-MM")</f>
        <v/>
      </c>
      <c r="C2865" s="25">
        <f>TEXT(A2865,"MMM-YYYY")</f>
        <v/>
      </c>
      <c r="D2865" s="40">
        <f>INT(A2865)-WEEKDAY(A2865,2)+1</f>
        <v/>
      </c>
      <c r="E2865" s="25" t="inlineStr">
        <is>
          <t>ssaha</t>
        </is>
      </c>
      <c r="F2865" s="25" t="n">
        <v>69683</v>
      </c>
      <c r="G2865" s="25" t="n">
        <v>2</v>
      </c>
      <c r="H2865" s="25" t="n">
        <v>6</v>
      </c>
      <c r="I2865" s="25" t="inlineStr">
        <is>
          <t>3 minute(s) and 6 second(s)</t>
        </is>
      </c>
      <c r="J2865" s="25">
        <f>IFERROR(VALUE(TRIM(LEFT(I2865,FIND("minute",I2865)-1)))*60,0)+IFERROR(VALUE(SUBSTITUTE(MID(I2865,IFERROR(FIND("and",I2865)+3,1),20),"second(s)","")),0)</f>
        <v/>
      </c>
      <c r="K2865" s="41">
        <f>J2865/60</f>
        <v/>
      </c>
      <c r="L2865" s="41">
        <f>IFERROR(J2865/H2865,"")</f>
        <v/>
      </c>
      <c r="M2865" s="25" t="inlineStr">
        <is>
          <t>2.5.12</t>
        </is>
      </c>
      <c r="N2865" s="25">
        <f>IF(J2865&gt;300,1,0)</f>
        <v/>
      </c>
      <c r="O2865" s="25">
        <f>IF(J2865&gt;600,1,0)</f>
        <v/>
      </c>
      <c r="P2865" s="25">
        <f>IF(H2865&gt;0,J2865,"")</f>
        <v/>
      </c>
      <c r="Q2865" s="25">
        <f>TEXT(A2865,"YYYY-MM-DD HH")</f>
        <v/>
      </c>
      <c r="R2865" s="25">
        <f>COUNTIF($Q$2:$Q$5295,Q2865)</f>
        <v/>
      </c>
      <c r="S2865" s="25">
        <f>IF(R2865&lt;=2,"1-2",IF(R2865&lt;=5,"3-5",IF(R2865&lt;=10,"6-10","11+")))</f>
        <v/>
      </c>
    </row>
    <row r="2866">
      <c r="A2866" s="39" t="n">
        <v>46191.41513888889</v>
      </c>
      <c r="B2866" s="25">
        <f>TEXT(A2866,"YYYY-MM")</f>
        <v/>
      </c>
      <c r="C2866" s="25">
        <f>TEXT(A2866,"MMM-YYYY")</f>
        <v/>
      </c>
      <c r="D2866" s="40">
        <f>INT(A2866)-WEEKDAY(A2866,2)+1</f>
        <v/>
      </c>
      <c r="E2866" s="25" t="inlineStr">
        <is>
          <t>aghosh</t>
        </is>
      </c>
      <c r="F2866" s="25" t="n">
        <v>108744</v>
      </c>
      <c r="G2866" s="25" t="n">
        <v>2</v>
      </c>
      <c r="H2866" s="25" t="n">
        <v>12</v>
      </c>
      <c r="I2866" s="25" t="inlineStr">
        <is>
          <t>3 minute(s) and 15 second(s)</t>
        </is>
      </c>
      <c r="J2866" s="25">
        <f>IFERROR(VALUE(TRIM(LEFT(I2866,FIND("minute",I2866)-1)))*60,0)+IFERROR(VALUE(SUBSTITUTE(MID(I2866,IFERROR(FIND("and",I2866)+3,1),20),"second(s)","")),0)</f>
        <v/>
      </c>
      <c r="K2866" s="41">
        <f>J2866/60</f>
        <v/>
      </c>
      <c r="L2866" s="41">
        <f>IFERROR(J2866/H2866,"")</f>
        <v/>
      </c>
      <c r="M2866" s="25" t="inlineStr">
        <is>
          <t>2.5.12</t>
        </is>
      </c>
      <c r="N2866" s="25">
        <f>IF(J2866&gt;300,1,0)</f>
        <v/>
      </c>
      <c r="O2866" s="25">
        <f>IF(J2866&gt;600,1,0)</f>
        <v/>
      </c>
      <c r="P2866" s="25">
        <f>IF(H2866&gt;0,J2866,"")</f>
        <v/>
      </c>
      <c r="Q2866" s="25">
        <f>TEXT(A2866,"YYYY-MM-DD HH")</f>
        <v/>
      </c>
      <c r="R2866" s="25">
        <f>COUNTIF($Q$2:$Q$5295,Q2866)</f>
        <v/>
      </c>
      <c r="S2866" s="25">
        <f>IF(R2866&lt;=2,"1-2",IF(R2866&lt;=5,"3-5",IF(R2866&lt;=10,"6-10","11+")))</f>
        <v/>
      </c>
    </row>
    <row r="2867">
      <c r="A2867" s="39" t="n">
        <v>46191.4183449074</v>
      </c>
      <c r="B2867" s="25">
        <f>TEXT(A2867,"YYYY-MM")</f>
        <v/>
      </c>
      <c r="C2867" s="25">
        <f>TEXT(A2867,"MMM-YYYY")</f>
        <v/>
      </c>
      <c r="D2867" s="40">
        <f>INT(A2867)-WEEKDAY(A2867,2)+1</f>
        <v/>
      </c>
      <c r="E2867" s="25" t="inlineStr">
        <is>
          <t>sthomas</t>
        </is>
      </c>
      <c r="F2867" s="25" t="n">
        <v>94819</v>
      </c>
      <c r="G2867" s="25" t="n">
        <v>4</v>
      </c>
      <c r="H2867" s="25" t="n">
        <v>24</v>
      </c>
      <c r="I2867" s="25" t="inlineStr">
        <is>
          <t>7 minute(s) and 9 second(s)</t>
        </is>
      </c>
      <c r="J2867" s="25">
        <f>IFERROR(VALUE(TRIM(LEFT(I2867,FIND("minute",I2867)-1)))*60,0)+IFERROR(VALUE(SUBSTITUTE(MID(I2867,IFERROR(FIND("and",I2867)+3,1),20),"second(s)","")),0)</f>
        <v/>
      </c>
      <c r="K2867" s="41">
        <f>J2867/60</f>
        <v/>
      </c>
      <c r="L2867" s="41">
        <f>IFERROR(J2867/H2867,"")</f>
        <v/>
      </c>
      <c r="M2867" s="25" t="inlineStr">
        <is>
          <t>2.5.12</t>
        </is>
      </c>
      <c r="N2867" s="25">
        <f>IF(J2867&gt;300,1,0)</f>
        <v/>
      </c>
      <c r="O2867" s="25">
        <f>IF(J2867&gt;600,1,0)</f>
        <v/>
      </c>
      <c r="P2867" s="25">
        <f>IF(H2867&gt;0,J2867,"")</f>
        <v/>
      </c>
      <c r="Q2867" s="25">
        <f>TEXT(A2867,"YYYY-MM-DD HH")</f>
        <v/>
      </c>
      <c r="R2867" s="25">
        <f>COUNTIF($Q$2:$Q$5295,Q2867)</f>
        <v/>
      </c>
      <c r="S2867" s="25">
        <f>IF(R2867&lt;=2,"1-2",IF(R2867&lt;=5,"3-5",IF(R2867&lt;=10,"6-10","11+")))</f>
        <v/>
      </c>
    </row>
    <row r="2868">
      <c r="A2868" s="39" t="n">
        <v>46191.42826388889</v>
      </c>
      <c r="B2868" s="25">
        <f>TEXT(A2868,"YYYY-MM")</f>
        <v/>
      </c>
      <c r="C2868" s="25">
        <f>TEXT(A2868,"MMM-YYYY")</f>
        <v/>
      </c>
      <c r="D2868" s="40">
        <f>INT(A2868)-WEEKDAY(A2868,2)+1</f>
        <v/>
      </c>
      <c r="E2868" s="25" t="inlineStr">
        <is>
          <t>ethomas</t>
        </is>
      </c>
      <c r="F2868" s="25" t="n">
        <v>105163</v>
      </c>
      <c r="G2868" s="25" t="n">
        <v>4</v>
      </c>
      <c r="H2868" s="25" t="n">
        <v>22</v>
      </c>
      <c r="I2868" s="25" t="inlineStr">
        <is>
          <t>5 minute(s) and 57 second(s)</t>
        </is>
      </c>
      <c r="J2868" s="25">
        <f>IFERROR(VALUE(TRIM(LEFT(I2868,FIND("minute",I2868)-1)))*60,0)+IFERROR(VALUE(SUBSTITUTE(MID(I2868,IFERROR(FIND("and",I2868)+3,1),20),"second(s)","")),0)</f>
        <v/>
      </c>
      <c r="K2868" s="41">
        <f>J2868/60</f>
        <v/>
      </c>
      <c r="L2868" s="41">
        <f>IFERROR(J2868/H2868,"")</f>
        <v/>
      </c>
      <c r="M2868" s="25" t="inlineStr">
        <is>
          <t>2.5.12</t>
        </is>
      </c>
      <c r="N2868" s="25">
        <f>IF(J2868&gt;300,1,0)</f>
        <v/>
      </c>
      <c r="O2868" s="25">
        <f>IF(J2868&gt;600,1,0)</f>
        <v/>
      </c>
      <c r="P2868" s="25">
        <f>IF(H2868&gt;0,J2868,"")</f>
        <v/>
      </c>
      <c r="Q2868" s="25">
        <f>TEXT(A2868,"YYYY-MM-DD HH")</f>
        <v/>
      </c>
      <c r="R2868" s="25">
        <f>COUNTIF($Q$2:$Q$5295,Q2868)</f>
        <v/>
      </c>
      <c r="S2868" s="25">
        <f>IF(R2868&lt;=2,"1-2",IF(R2868&lt;=5,"3-5",IF(R2868&lt;=10,"6-10","11+")))</f>
        <v/>
      </c>
    </row>
    <row r="2869">
      <c r="A2869" s="39" t="n">
        <v>46191.43628472222</v>
      </c>
      <c r="B2869" s="25">
        <f>TEXT(A2869,"YYYY-MM")</f>
        <v/>
      </c>
      <c r="C2869" s="25">
        <f>TEXT(A2869,"MMM-YYYY")</f>
        <v/>
      </c>
      <c r="D2869" s="40">
        <f>INT(A2869)-WEEKDAY(A2869,2)+1</f>
        <v/>
      </c>
      <c r="E2869" s="25" t="inlineStr">
        <is>
          <t>bverma</t>
        </is>
      </c>
      <c r="F2869" s="25" t="n">
        <v>83820</v>
      </c>
      <c r="G2869" s="25" t="n">
        <v>1</v>
      </c>
      <c r="H2869" s="25" t="n">
        <v>5</v>
      </c>
      <c r="I2869" s="25" t="inlineStr">
        <is>
          <t>3 minute(s) and 10 second(s)</t>
        </is>
      </c>
      <c r="J2869" s="25">
        <f>IFERROR(VALUE(TRIM(LEFT(I2869,FIND("minute",I2869)-1)))*60,0)+IFERROR(VALUE(SUBSTITUTE(MID(I2869,IFERROR(FIND("and",I2869)+3,1),20),"second(s)","")),0)</f>
        <v/>
      </c>
      <c r="K2869" s="41">
        <f>J2869/60</f>
        <v/>
      </c>
      <c r="L2869" s="41">
        <f>IFERROR(J2869/H2869,"")</f>
        <v/>
      </c>
      <c r="M2869" s="25" t="inlineStr">
        <is>
          <t>2.5.12</t>
        </is>
      </c>
      <c r="N2869" s="25">
        <f>IF(J2869&gt;300,1,0)</f>
        <v/>
      </c>
      <c r="O2869" s="25">
        <f>IF(J2869&gt;600,1,0)</f>
        <v/>
      </c>
      <c r="P2869" s="25">
        <f>IF(H2869&gt;0,J2869,"")</f>
        <v/>
      </c>
      <c r="Q2869" s="25">
        <f>TEXT(A2869,"YYYY-MM-DD HH")</f>
        <v/>
      </c>
      <c r="R2869" s="25">
        <f>COUNTIF($Q$2:$Q$5295,Q2869)</f>
        <v/>
      </c>
      <c r="S2869" s="25">
        <f>IF(R2869&lt;=2,"1-2",IF(R2869&lt;=5,"3-5",IF(R2869&lt;=10,"6-10","11+")))</f>
        <v/>
      </c>
    </row>
    <row r="2870">
      <c r="A2870" s="39" t="n">
        <v>46191.4409375</v>
      </c>
      <c r="B2870" s="25">
        <f>TEXT(A2870,"YYYY-MM")</f>
        <v/>
      </c>
      <c r="C2870" s="25">
        <f>TEXT(A2870,"MMM-YYYY")</f>
        <v/>
      </c>
      <c r="D2870" s="40">
        <f>INT(A2870)-WEEKDAY(A2870,2)+1</f>
        <v/>
      </c>
      <c r="E2870" s="25" t="inlineStr">
        <is>
          <t>ssaha</t>
        </is>
      </c>
      <c r="F2870" s="25" t="n">
        <v>70020</v>
      </c>
      <c r="G2870" s="25" t="n">
        <v>1</v>
      </c>
      <c r="H2870" s="25" t="n">
        <v>5</v>
      </c>
      <c r="I2870" s="25" t="inlineStr">
        <is>
          <t>2 minute(s) and 41 second(s)</t>
        </is>
      </c>
      <c r="J2870" s="25">
        <f>IFERROR(VALUE(TRIM(LEFT(I2870,FIND("minute",I2870)-1)))*60,0)+IFERROR(VALUE(SUBSTITUTE(MID(I2870,IFERROR(FIND("and",I2870)+3,1),20),"second(s)","")),0)</f>
        <v/>
      </c>
      <c r="K2870" s="41">
        <f>J2870/60</f>
        <v/>
      </c>
      <c r="L2870" s="41">
        <f>IFERROR(J2870/H2870,"")</f>
        <v/>
      </c>
      <c r="M2870" s="25" t="inlineStr">
        <is>
          <t>2.5.12</t>
        </is>
      </c>
      <c r="N2870" s="25">
        <f>IF(J2870&gt;300,1,0)</f>
        <v/>
      </c>
      <c r="O2870" s="25">
        <f>IF(J2870&gt;600,1,0)</f>
        <v/>
      </c>
      <c r="P2870" s="25">
        <f>IF(H2870&gt;0,J2870,"")</f>
        <v/>
      </c>
      <c r="Q2870" s="25">
        <f>TEXT(A2870,"YYYY-MM-DD HH")</f>
        <v/>
      </c>
      <c r="R2870" s="25">
        <f>COUNTIF($Q$2:$Q$5295,Q2870)</f>
        <v/>
      </c>
      <c r="S2870" s="25">
        <f>IF(R2870&lt;=2,"1-2",IF(R2870&lt;=5,"3-5",IF(R2870&lt;=10,"6-10","11+")))</f>
        <v/>
      </c>
    </row>
    <row r="2871">
      <c r="A2871" s="39" t="n">
        <v>46191.45328703704</v>
      </c>
      <c r="B2871" s="25">
        <f>TEXT(A2871,"YYYY-MM")</f>
        <v/>
      </c>
      <c r="C2871" s="25">
        <f>TEXT(A2871,"MMM-YYYY")</f>
        <v/>
      </c>
      <c r="D2871" s="40">
        <f>INT(A2871)-WEEKDAY(A2871,2)+1</f>
        <v/>
      </c>
      <c r="E2871" s="25" t="inlineStr">
        <is>
          <t>sdey</t>
        </is>
      </c>
      <c r="F2871" s="25" t="n">
        <v>85245</v>
      </c>
      <c r="G2871" s="25" t="n">
        <v>1</v>
      </c>
      <c r="H2871" s="25" t="n">
        <v>5</v>
      </c>
      <c r="I2871" s="25" t="inlineStr">
        <is>
          <t>2 minute(s) and 41 second(s)</t>
        </is>
      </c>
      <c r="J2871" s="25">
        <f>IFERROR(VALUE(TRIM(LEFT(I2871,FIND("minute",I2871)-1)))*60,0)+IFERROR(VALUE(SUBSTITUTE(MID(I2871,IFERROR(FIND("and",I2871)+3,1),20),"second(s)","")),0)</f>
        <v/>
      </c>
      <c r="K2871" s="41">
        <f>J2871/60</f>
        <v/>
      </c>
      <c r="L2871" s="41">
        <f>IFERROR(J2871/H2871,"")</f>
        <v/>
      </c>
      <c r="M2871" s="25" t="inlineStr">
        <is>
          <t>2.5.12</t>
        </is>
      </c>
      <c r="N2871" s="25">
        <f>IF(J2871&gt;300,1,0)</f>
        <v/>
      </c>
      <c r="O2871" s="25">
        <f>IF(J2871&gt;600,1,0)</f>
        <v/>
      </c>
      <c r="P2871" s="25">
        <f>IF(H2871&gt;0,J2871,"")</f>
        <v/>
      </c>
      <c r="Q2871" s="25">
        <f>TEXT(A2871,"YYYY-MM-DD HH")</f>
        <v/>
      </c>
      <c r="R2871" s="25">
        <f>COUNTIF($Q$2:$Q$5295,Q2871)</f>
        <v/>
      </c>
      <c r="S2871" s="25">
        <f>IF(R2871&lt;=2,"1-2",IF(R2871&lt;=5,"3-5",IF(R2871&lt;=10,"6-10","11+")))</f>
        <v/>
      </c>
    </row>
    <row r="2872">
      <c r="A2872" s="39" t="n">
        <v>46191.4727662037</v>
      </c>
      <c r="B2872" s="25">
        <f>TEXT(A2872,"YYYY-MM")</f>
        <v/>
      </c>
      <c r="C2872" s="25">
        <f>TEXT(A2872,"MMM-YYYY")</f>
        <v/>
      </c>
      <c r="D2872" s="40">
        <f>INT(A2872)-WEEKDAY(A2872,2)+1</f>
        <v/>
      </c>
      <c r="E2872" s="25" t="inlineStr">
        <is>
          <t>shassan</t>
        </is>
      </c>
      <c r="F2872" s="25" t="n">
        <v>108688</v>
      </c>
      <c r="G2872" s="25" t="n">
        <v>4</v>
      </c>
      <c r="H2872" s="25" t="n">
        <v>18</v>
      </c>
      <c r="I2872" s="25" t="inlineStr">
        <is>
          <t>4 minute(s) and 43 second(s)</t>
        </is>
      </c>
      <c r="J2872" s="25">
        <f>IFERROR(VALUE(TRIM(LEFT(I2872,FIND("minute",I2872)-1)))*60,0)+IFERROR(VALUE(SUBSTITUTE(MID(I2872,IFERROR(FIND("and",I2872)+3,1),20),"second(s)","")),0)</f>
        <v/>
      </c>
      <c r="K2872" s="41">
        <f>J2872/60</f>
        <v/>
      </c>
      <c r="L2872" s="41">
        <f>IFERROR(J2872/H2872,"")</f>
        <v/>
      </c>
      <c r="M2872" s="25" t="inlineStr">
        <is>
          <t>2.5.12</t>
        </is>
      </c>
      <c r="N2872" s="25">
        <f>IF(J2872&gt;300,1,0)</f>
        <v/>
      </c>
      <c r="O2872" s="25">
        <f>IF(J2872&gt;600,1,0)</f>
        <v/>
      </c>
      <c r="P2872" s="25">
        <f>IF(H2872&gt;0,J2872,"")</f>
        <v/>
      </c>
      <c r="Q2872" s="25">
        <f>TEXT(A2872,"YYYY-MM-DD HH")</f>
        <v/>
      </c>
      <c r="R2872" s="25">
        <f>COUNTIF($Q$2:$Q$5295,Q2872)</f>
        <v/>
      </c>
      <c r="S2872" s="25">
        <f>IF(R2872&lt;=2,"1-2",IF(R2872&lt;=5,"3-5",IF(R2872&lt;=10,"6-10","11+")))</f>
        <v/>
      </c>
    </row>
    <row r="2873">
      <c r="A2873" s="39" t="n">
        <v>46191.47851851852</v>
      </c>
      <c r="B2873" s="25">
        <f>TEXT(A2873,"YYYY-MM")</f>
        <v/>
      </c>
      <c r="C2873" s="25">
        <f>TEXT(A2873,"MMM-YYYY")</f>
        <v/>
      </c>
      <c r="D2873" s="40">
        <f>INT(A2873)-WEEKDAY(A2873,2)+1</f>
        <v/>
      </c>
      <c r="E2873" s="25" t="inlineStr">
        <is>
          <t>mgupta</t>
        </is>
      </c>
      <c r="F2873" s="25" t="n">
        <v>114183</v>
      </c>
      <c r="G2873" s="25" t="n">
        <v>4</v>
      </c>
      <c r="H2873" s="25" t="n">
        <v>20</v>
      </c>
      <c r="I2873" s="25" t="inlineStr">
        <is>
          <t>5 minute(s) and 44 second(s)</t>
        </is>
      </c>
      <c r="J2873" s="25">
        <f>IFERROR(VALUE(TRIM(LEFT(I2873,FIND("minute",I2873)-1)))*60,0)+IFERROR(VALUE(SUBSTITUTE(MID(I2873,IFERROR(FIND("and",I2873)+3,1),20),"second(s)","")),0)</f>
        <v/>
      </c>
      <c r="K2873" s="41">
        <f>J2873/60</f>
        <v/>
      </c>
      <c r="L2873" s="41">
        <f>IFERROR(J2873/H2873,"")</f>
        <v/>
      </c>
      <c r="M2873" s="25" t="inlineStr">
        <is>
          <t>2.5.12</t>
        </is>
      </c>
      <c r="N2873" s="25">
        <f>IF(J2873&gt;300,1,0)</f>
        <v/>
      </c>
      <c r="O2873" s="25">
        <f>IF(J2873&gt;600,1,0)</f>
        <v/>
      </c>
      <c r="P2873" s="25">
        <f>IF(H2873&gt;0,J2873,"")</f>
        <v/>
      </c>
      <c r="Q2873" s="25">
        <f>TEXT(A2873,"YYYY-MM-DD HH")</f>
        <v/>
      </c>
      <c r="R2873" s="25">
        <f>COUNTIF($Q$2:$Q$5295,Q2873)</f>
        <v/>
      </c>
      <c r="S2873" s="25">
        <f>IF(R2873&lt;=2,"1-2",IF(R2873&lt;=5,"3-5",IF(R2873&lt;=10,"6-10","11+")))</f>
        <v/>
      </c>
    </row>
    <row r="2874">
      <c r="A2874" s="39" t="n">
        <v>46191.48699074074</v>
      </c>
      <c r="B2874" s="25">
        <f>TEXT(A2874,"YYYY-MM")</f>
        <v/>
      </c>
      <c r="C2874" s="25">
        <f>TEXT(A2874,"MMM-YYYY")</f>
        <v/>
      </c>
      <c r="D2874" s="40">
        <f>INT(A2874)-WEEKDAY(A2874,2)+1</f>
        <v/>
      </c>
      <c r="E2874" s="25" t="inlineStr">
        <is>
          <t>anusharma</t>
        </is>
      </c>
      <c r="F2874" s="25" t="n">
        <v>109355</v>
      </c>
      <c r="G2874" s="25" t="n">
        <v>1</v>
      </c>
      <c r="H2874" s="25" t="n">
        <v>3</v>
      </c>
      <c r="I2874" s="25" t="inlineStr">
        <is>
          <t>2 minute(s) and 6 second(s)</t>
        </is>
      </c>
      <c r="J2874" s="25">
        <f>IFERROR(VALUE(TRIM(LEFT(I2874,FIND("minute",I2874)-1)))*60,0)+IFERROR(VALUE(SUBSTITUTE(MID(I2874,IFERROR(FIND("and",I2874)+3,1),20),"second(s)","")),0)</f>
        <v/>
      </c>
      <c r="K2874" s="41">
        <f>J2874/60</f>
        <v/>
      </c>
      <c r="L2874" s="41">
        <f>IFERROR(J2874/H2874,"")</f>
        <v/>
      </c>
      <c r="M2874" s="25" t="inlineStr">
        <is>
          <t>2.5.12</t>
        </is>
      </c>
      <c r="N2874" s="25">
        <f>IF(J2874&gt;300,1,0)</f>
        <v/>
      </c>
      <c r="O2874" s="25">
        <f>IF(J2874&gt;600,1,0)</f>
        <v/>
      </c>
      <c r="P2874" s="25">
        <f>IF(H2874&gt;0,J2874,"")</f>
        <v/>
      </c>
      <c r="Q2874" s="25">
        <f>TEXT(A2874,"YYYY-MM-DD HH")</f>
        <v/>
      </c>
      <c r="R2874" s="25">
        <f>COUNTIF($Q$2:$Q$5295,Q2874)</f>
        <v/>
      </c>
      <c r="S2874" s="25">
        <f>IF(R2874&lt;=2,"1-2",IF(R2874&lt;=5,"3-5",IF(R2874&lt;=10,"6-10","11+")))</f>
        <v/>
      </c>
    </row>
    <row r="2875">
      <c r="A2875" s="39" t="n">
        <v>46191.4871412037</v>
      </c>
      <c r="B2875" s="25">
        <f>TEXT(A2875,"YYYY-MM")</f>
        <v/>
      </c>
      <c r="C2875" s="25">
        <f>TEXT(A2875,"MMM-YYYY")</f>
        <v/>
      </c>
      <c r="D2875" s="40">
        <f>INT(A2875)-WEEKDAY(A2875,2)+1</f>
        <v/>
      </c>
      <c r="E2875" s="25" t="inlineStr">
        <is>
          <t>pgautam</t>
        </is>
      </c>
      <c r="F2875" s="25" t="n">
        <v>103981</v>
      </c>
      <c r="G2875" s="25" t="n">
        <v>4</v>
      </c>
      <c r="H2875" s="25" t="n">
        <v>14</v>
      </c>
      <c r="I2875" s="25" t="inlineStr">
        <is>
          <t>3 minute(s) and 55 second(s)</t>
        </is>
      </c>
      <c r="J2875" s="25">
        <f>IFERROR(VALUE(TRIM(LEFT(I2875,FIND("minute",I2875)-1)))*60,0)+IFERROR(VALUE(SUBSTITUTE(MID(I2875,IFERROR(FIND("and",I2875)+3,1),20),"second(s)","")),0)</f>
        <v/>
      </c>
      <c r="K2875" s="41">
        <f>J2875/60</f>
        <v/>
      </c>
      <c r="L2875" s="41">
        <f>IFERROR(J2875/H2875,"")</f>
        <v/>
      </c>
      <c r="M2875" s="25" t="inlineStr">
        <is>
          <t>2.5.12</t>
        </is>
      </c>
      <c r="N2875" s="25">
        <f>IF(J2875&gt;300,1,0)</f>
        <v/>
      </c>
      <c r="O2875" s="25">
        <f>IF(J2875&gt;600,1,0)</f>
        <v/>
      </c>
      <c r="P2875" s="25">
        <f>IF(H2875&gt;0,J2875,"")</f>
        <v/>
      </c>
      <c r="Q2875" s="25">
        <f>TEXT(A2875,"YYYY-MM-DD HH")</f>
        <v/>
      </c>
      <c r="R2875" s="25">
        <f>COUNTIF($Q$2:$Q$5295,Q2875)</f>
        <v/>
      </c>
      <c r="S2875" s="25">
        <f>IF(R2875&lt;=2,"1-2",IF(R2875&lt;=5,"3-5",IF(R2875&lt;=10,"6-10","11+")))</f>
        <v/>
      </c>
    </row>
    <row r="2876">
      <c r="A2876" s="39" t="n">
        <v>46191.50358796296</v>
      </c>
      <c r="B2876" s="25">
        <f>TEXT(A2876,"YYYY-MM")</f>
        <v/>
      </c>
      <c r="C2876" s="25">
        <f>TEXT(A2876,"MMM-YYYY")</f>
        <v/>
      </c>
      <c r="D2876" s="40">
        <f>INT(A2876)-WEEKDAY(A2876,2)+1</f>
        <v/>
      </c>
      <c r="E2876" s="25" t="inlineStr">
        <is>
          <t>sdey</t>
        </is>
      </c>
      <c r="F2876" s="25" t="n">
        <v>93135</v>
      </c>
      <c r="G2876" s="25" t="n">
        <v>1</v>
      </c>
      <c r="H2876" s="25" t="n">
        <v>5</v>
      </c>
      <c r="I2876" s="25" t="inlineStr">
        <is>
          <t>2 minute(s) and 50 second(s)</t>
        </is>
      </c>
      <c r="J2876" s="25">
        <f>IFERROR(VALUE(TRIM(LEFT(I2876,FIND("minute",I2876)-1)))*60,0)+IFERROR(VALUE(SUBSTITUTE(MID(I2876,IFERROR(FIND("and",I2876)+3,1),20),"second(s)","")),0)</f>
        <v/>
      </c>
      <c r="K2876" s="41">
        <f>J2876/60</f>
        <v/>
      </c>
      <c r="L2876" s="41">
        <f>IFERROR(J2876/H2876,"")</f>
        <v/>
      </c>
      <c r="M2876" s="25" t="inlineStr">
        <is>
          <t>2.5.12</t>
        </is>
      </c>
      <c r="N2876" s="25">
        <f>IF(J2876&gt;300,1,0)</f>
        <v/>
      </c>
      <c r="O2876" s="25">
        <f>IF(J2876&gt;600,1,0)</f>
        <v/>
      </c>
      <c r="P2876" s="25">
        <f>IF(H2876&gt;0,J2876,"")</f>
        <v/>
      </c>
      <c r="Q2876" s="25">
        <f>TEXT(A2876,"YYYY-MM-DD HH")</f>
        <v/>
      </c>
      <c r="R2876" s="25">
        <f>COUNTIF($Q$2:$Q$5295,Q2876)</f>
        <v/>
      </c>
      <c r="S2876" s="25">
        <f>IF(R2876&lt;=2,"1-2",IF(R2876&lt;=5,"3-5",IF(R2876&lt;=10,"6-10","11+")))</f>
        <v/>
      </c>
    </row>
    <row r="2877">
      <c r="A2877" s="39" t="n">
        <v>46191.51472222222</v>
      </c>
      <c r="B2877" s="25">
        <f>TEXT(A2877,"YYYY-MM")</f>
        <v/>
      </c>
      <c r="C2877" s="25">
        <f>TEXT(A2877,"MMM-YYYY")</f>
        <v/>
      </c>
      <c r="D2877" s="40">
        <f>INT(A2877)-WEEKDAY(A2877,2)+1</f>
        <v/>
      </c>
      <c r="E2877" s="25" t="inlineStr">
        <is>
          <t>ssrinivasan</t>
        </is>
      </c>
      <c r="F2877" s="25" t="n">
        <v>95917</v>
      </c>
      <c r="G2877" s="25" t="n">
        <v>4</v>
      </c>
      <c r="H2877" s="25" t="n">
        <v>28</v>
      </c>
      <c r="I2877" s="25" t="inlineStr">
        <is>
          <t>11 minute(s) and 31 second(s)</t>
        </is>
      </c>
      <c r="J2877" s="25">
        <f>IFERROR(VALUE(TRIM(LEFT(I2877,FIND("minute",I2877)-1)))*60,0)+IFERROR(VALUE(SUBSTITUTE(MID(I2877,IFERROR(FIND("and",I2877)+3,1),20),"second(s)","")),0)</f>
        <v/>
      </c>
      <c r="K2877" s="41">
        <f>J2877/60</f>
        <v/>
      </c>
      <c r="L2877" s="41">
        <f>IFERROR(J2877/H2877,"")</f>
        <v/>
      </c>
      <c r="M2877" s="25" t="inlineStr">
        <is>
          <t>2.5.12</t>
        </is>
      </c>
      <c r="N2877" s="25">
        <f>IF(J2877&gt;300,1,0)</f>
        <v/>
      </c>
      <c r="O2877" s="25">
        <f>IF(J2877&gt;600,1,0)</f>
        <v/>
      </c>
      <c r="P2877" s="25">
        <f>IF(H2877&gt;0,J2877,"")</f>
        <v/>
      </c>
      <c r="Q2877" s="25">
        <f>TEXT(A2877,"YYYY-MM-DD HH")</f>
        <v/>
      </c>
      <c r="R2877" s="25">
        <f>COUNTIF($Q$2:$Q$5295,Q2877)</f>
        <v/>
      </c>
      <c r="S2877" s="25">
        <f>IF(R2877&lt;=2,"1-2",IF(R2877&lt;=5,"3-5",IF(R2877&lt;=10,"6-10","11+")))</f>
        <v/>
      </c>
    </row>
    <row r="2878">
      <c r="A2878" s="39" t="n">
        <v>46191.51692129629</v>
      </c>
      <c r="B2878" s="25">
        <f>TEXT(A2878,"YYYY-MM")</f>
        <v/>
      </c>
      <c r="C2878" s="25">
        <f>TEXT(A2878,"MMM-YYYY")</f>
        <v/>
      </c>
      <c r="D2878" s="40">
        <f>INT(A2878)-WEEKDAY(A2878,2)+1</f>
        <v/>
      </c>
      <c r="E2878" s="25" t="inlineStr">
        <is>
          <t>hsindwani</t>
        </is>
      </c>
      <c r="F2878" s="25" t="n">
        <v>116654</v>
      </c>
      <c r="G2878" s="25" t="n">
        <v>4</v>
      </c>
      <c r="H2878" s="25" t="n">
        <v>24</v>
      </c>
      <c r="I2878" s="25" t="inlineStr">
        <is>
          <t>10 minute(s) and 58 second(s)</t>
        </is>
      </c>
      <c r="J2878" s="25">
        <f>IFERROR(VALUE(TRIM(LEFT(I2878,FIND("minute",I2878)-1)))*60,0)+IFERROR(VALUE(SUBSTITUTE(MID(I2878,IFERROR(FIND("and",I2878)+3,1),20),"second(s)","")),0)</f>
        <v/>
      </c>
      <c r="K2878" s="41">
        <f>J2878/60</f>
        <v/>
      </c>
      <c r="L2878" s="41">
        <f>IFERROR(J2878/H2878,"")</f>
        <v/>
      </c>
      <c r="M2878" s="25" t="inlineStr">
        <is>
          <t>2.5.12</t>
        </is>
      </c>
      <c r="N2878" s="25">
        <f>IF(J2878&gt;300,1,0)</f>
        <v/>
      </c>
      <c r="O2878" s="25">
        <f>IF(J2878&gt;600,1,0)</f>
        <v/>
      </c>
      <c r="P2878" s="25">
        <f>IF(H2878&gt;0,J2878,"")</f>
        <v/>
      </c>
      <c r="Q2878" s="25">
        <f>TEXT(A2878,"YYYY-MM-DD HH")</f>
        <v/>
      </c>
      <c r="R2878" s="25">
        <f>COUNTIF($Q$2:$Q$5295,Q2878)</f>
        <v/>
      </c>
      <c r="S2878" s="25">
        <f>IF(R2878&lt;=2,"1-2",IF(R2878&lt;=5,"3-5",IF(R2878&lt;=10,"6-10","11+")))</f>
        <v/>
      </c>
    </row>
    <row r="2879">
      <c r="A2879" s="39" t="n">
        <v>46191.52111111111</v>
      </c>
      <c r="B2879" s="25">
        <f>TEXT(A2879,"YYYY-MM")</f>
        <v/>
      </c>
      <c r="C2879" s="25">
        <f>TEXT(A2879,"MMM-YYYY")</f>
        <v/>
      </c>
      <c r="D2879" s="40">
        <f>INT(A2879)-WEEKDAY(A2879,2)+1</f>
        <v/>
      </c>
      <c r="E2879" s="25" t="inlineStr">
        <is>
          <t>aghosh</t>
        </is>
      </c>
      <c r="F2879" s="25" t="n">
        <v>96497</v>
      </c>
      <c r="G2879" s="25" t="n">
        <v>2</v>
      </c>
      <c r="H2879" s="25" t="n">
        <v>10</v>
      </c>
      <c r="I2879" s="25" t="inlineStr">
        <is>
          <t>2 minute(s) and 23 second(s)</t>
        </is>
      </c>
      <c r="J2879" s="25">
        <f>IFERROR(VALUE(TRIM(LEFT(I2879,FIND("minute",I2879)-1)))*60,0)+IFERROR(VALUE(SUBSTITUTE(MID(I2879,IFERROR(FIND("and",I2879)+3,1),20),"second(s)","")),0)</f>
        <v/>
      </c>
      <c r="K2879" s="41">
        <f>J2879/60</f>
        <v/>
      </c>
      <c r="L2879" s="41">
        <f>IFERROR(J2879/H2879,"")</f>
        <v/>
      </c>
      <c r="M2879" s="25" t="inlineStr">
        <is>
          <t>2.5.12</t>
        </is>
      </c>
      <c r="N2879" s="25">
        <f>IF(J2879&gt;300,1,0)</f>
        <v/>
      </c>
      <c r="O2879" s="25">
        <f>IF(J2879&gt;600,1,0)</f>
        <v/>
      </c>
      <c r="P2879" s="25">
        <f>IF(H2879&gt;0,J2879,"")</f>
        <v/>
      </c>
      <c r="Q2879" s="25">
        <f>TEXT(A2879,"YYYY-MM-DD HH")</f>
        <v/>
      </c>
      <c r="R2879" s="25">
        <f>COUNTIF($Q$2:$Q$5295,Q2879)</f>
        <v/>
      </c>
      <c r="S2879" s="25">
        <f>IF(R2879&lt;=2,"1-2",IF(R2879&lt;=5,"3-5",IF(R2879&lt;=10,"6-10","11+")))</f>
        <v/>
      </c>
    </row>
    <row r="2880">
      <c r="A2880" s="39" t="n">
        <v>46191.5366087963</v>
      </c>
      <c r="B2880" s="25">
        <f>TEXT(A2880,"YYYY-MM")</f>
        <v/>
      </c>
      <c r="C2880" s="25">
        <f>TEXT(A2880,"MMM-YYYY")</f>
        <v/>
      </c>
      <c r="D2880" s="40">
        <f>INT(A2880)-WEEKDAY(A2880,2)+1</f>
        <v/>
      </c>
      <c r="E2880" s="25" t="inlineStr">
        <is>
          <t>shassan</t>
        </is>
      </c>
      <c r="F2880" s="25" t="n">
        <v>117009</v>
      </c>
      <c r="G2880" s="25" t="n">
        <v>5</v>
      </c>
      <c r="H2880" s="25" t="n">
        <v>15</v>
      </c>
      <c r="I2880" s="25" t="inlineStr">
        <is>
          <t>4 minute(s) and 9 second(s)</t>
        </is>
      </c>
      <c r="J2880" s="25">
        <f>IFERROR(VALUE(TRIM(LEFT(I2880,FIND("minute",I2880)-1)))*60,0)+IFERROR(VALUE(SUBSTITUTE(MID(I2880,IFERROR(FIND("and",I2880)+3,1),20),"second(s)","")),0)</f>
        <v/>
      </c>
      <c r="K2880" s="41">
        <f>J2880/60</f>
        <v/>
      </c>
      <c r="L2880" s="41">
        <f>IFERROR(J2880/H2880,"")</f>
        <v/>
      </c>
      <c r="M2880" s="25" t="inlineStr">
        <is>
          <t>2.5.12</t>
        </is>
      </c>
      <c r="N2880" s="25">
        <f>IF(J2880&gt;300,1,0)</f>
        <v/>
      </c>
      <c r="O2880" s="25">
        <f>IF(J2880&gt;600,1,0)</f>
        <v/>
      </c>
      <c r="P2880" s="25">
        <f>IF(H2880&gt;0,J2880,"")</f>
        <v/>
      </c>
      <c r="Q2880" s="25">
        <f>TEXT(A2880,"YYYY-MM-DD HH")</f>
        <v/>
      </c>
      <c r="R2880" s="25">
        <f>COUNTIF($Q$2:$Q$5295,Q2880)</f>
        <v/>
      </c>
      <c r="S2880" s="25">
        <f>IF(R2880&lt;=2,"1-2",IF(R2880&lt;=5,"3-5",IF(R2880&lt;=10,"6-10","11+")))</f>
        <v/>
      </c>
    </row>
    <row r="2881">
      <c r="A2881" s="39" t="n">
        <v>46191.53751157408</v>
      </c>
      <c r="B2881" s="25">
        <f>TEXT(A2881,"YYYY-MM")</f>
        <v/>
      </c>
      <c r="C2881" s="25">
        <f>TEXT(A2881,"MMM-YYYY")</f>
        <v/>
      </c>
      <c r="D2881" s="40">
        <f>INT(A2881)-WEEKDAY(A2881,2)+1</f>
        <v/>
      </c>
      <c r="E2881" s="25" t="inlineStr">
        <is>
          <t>rsingh</t>
        </is>
      </c>
      <c r="F2881" s="25" t="n">
        <v>95698</v>
      </c>
      <c r="G2881" s="25" t="n">
        <v>1</v>
      </c>
      <c r="H2881" s="25" t="n">
        <v>5</v>
      </c>
      <c r="I2881" s="25" t="inlineStr">
        <is>
          <t>1 minute(s) and 49 second(s)</t>
        </is>
      </c>
      <c r="J2881" s="25">
        <f>IFERROR(VALUE(TRIM(LEFT(I2881,FIND("minute",I2881)-1)))*60,0)+IFERROR(VALUE(SUBSTITUTE(MID(I2881,IFERROR(FIND("and",I2881)+3,1),20),"second(s)","")),0)</f>
        <v/>
      </c>
      <c r="K2881" s="41">
        <f>J2881/60</f>
        <v/>
      </c>
      <c r="L2881" s="41">
        <f>IFERROR(J2881/H2881,"")</f>
        <v/>
      </c>
      <c r="M2881" s="25" t="inlineStr">
        <is>
          <t>2.5.12</t>
        </is>
      </c>
      <c r="N2881" s="25">
        <f>IF(J2881&gt;300,1,0)</f>
        <v/>
      </c>
      <c r="O2881" s="25">
        <f>IF(J2881&gt;600,1,0)</f>
        <v/>
      </c>
      <c r="P2881" s="25">
        <f>IF(H2881&gt;0,J2881,"")</f>
        <v/>
      </c>
      <c r="Q2881" s="25">
        <f>TEXT(A2881,"YYYY-MM-DD HH")</f>
        <v/>
      </c>
      <c r="R2881" s="25">
        <f>COUNTIF($Q$2:$Q$5295,Q2881)</f>
        <v/>
      </c>
      <c r="S2881" s="25">
        <f>IF(R2881&lt;=2,"1-2",IF(R2881&lt;=5,"3-5",IF(R2881&lt;=10,"6-10","11+")))</f>
        <v/>
      </c>
    </row>
    <row r="2882">
      <c r="A2882" s="39" t="n">
        <v>46191.59773148148</v>
      </c>
      <c r="B2882" s="25">
        <f>TEXT(A2882,"YYYY-MM")</f>
        <v/>
      </c>
      <c r="C2882" s="25">
        <f>TEXT(A2882,"MMM-YYYY")</f>
        <v/>
      </c>
      <c r="D2882" s="40">
        <f>INT(A2882)-WEEKDAY(A2882,2)+1</f>
        <v/>
      </c>
      <c r="E2882" s="25" t="inlineStr">
        <is>
          <t>sdey</t>
        </is>
      </c>
      <c r="F2882" s="25" t="n">
        <v>97594</v>
      </c>
      <c r="G2882" s="25" t="n">
        <v>1</v>
      </c>
      <c r="H2882" s="25" t="n">
        <v>5</v>
      </c>
      <c r="I2882" s="25" t="inlineStr">
        <is>
          <t>1 minute(s) and 24 second(s)</t>
        </is>
      </c>
      <c r="J2882" s="25">
        <f>IFERROR(VALUE(TRIM(LEFT(I2882,FIND("minute",I2882)-1)))*60,0)+IFERROR(VALUE(SUBSTITUTE(MID(I2882,IFERROR(FIND("and",I2882)+3,1),20),"second(s)","")),0)</f>
        <v/>
      </c>
      <c r="K2882" s="41">
        <f>J2882/60</f>
        <v/>
      </c>
      <c r="L2882" s="41">
        <f>IFERROR(J2882/H2882,"")</f>
        <v/>
      </c>
      <c r="M2882" s="25" t="inlineStr">
        <is>
          <t>2.5.12</t>
        </is>
      </c>
      <c r="N2882" s="25">
        <f>IF(J2882&gt;300,1,0)</f>
        <v/>
      </c>
      <c r="O2882" s="25">
        <f>IF(J2882&gt;600,1,0)</f>
        <v/>
      </c>
      <c r="P2882" s="25">
        <f>IF(H2882&gt;0,J2882,"")</f>
        <v/>
      </c>
      <c r="Q2882" s="25">
        <f>TEXT(A2882,"YYYY-MM-DD HH")</f>
        <v/>
      </c>
      <c r="R2882" s="25">
        <f>COUNTIF($Q$2:$Q$5295,Q2882)</f>
        <v/>
      </c>
      <c r="S2882" s="25">
        <f>IF(R2882&lt;=2,"1-2",IF(R2882&lt;=5,"3-5",IF(R2882&lt;=10,"6-10","11+")))</f>
        <v/>
      </c>
    </row>
    <row r="2883">
      <c r="A2883" s="39" t="n">
        <v>46191.61469907407</v>
      </c>
      <c r="B2883" s="25">
        <f>TEXT(A2883,"YYYY-MM")</f>
        <v/>
      </c>
      <c r="C2883" s="25">
        <f>TEXT(A2883,"MMM-YYYY")</f>
        <v/>
      </c>
      <c r="D2883" s="40">
        <f>INT(A2883)-WEEKDAY(A2883,2)+1</f>
        <v/>
      </c>
      <c r="E2883" s="25" t="inlineStr">
        <is>
          <t>rsingh</t>
        </is>
      </c>
      <c r="F2883" s="25" t="n">
        <v>96975</v>
      </c>
      <c r="G2883" s="25" t="n">
        <v>4</v>
      </c>
      <c r="H2883" s="25" t="n">
        <v>22</v>
      </c>
      <c r="I2883" s="25" t="inlineStr">
        <is>
          <t>15 minute(s) and 8 second(s)</t>
        </is>
      </c>
      <c r="J2883" s="25">
        <f>IFERROR(VALUE(TRIM(LEFT(I2883,FIND("minute",I2883)-1)))*60,0)+IFERROR(VALUE(SUBSTITUTE(MID(I2883,IFERROR(FIND("and",I2883)+3,1),20),"second(s)","")),0)</f>
        <v/>
      </c>
      <c r="K2883" s="41">
        <f>J2883/60</f>
        <v/>
      </c>
      <c r="L2883" s="41">
        <f>IFERROR(J2883/H2883,"")</f>
        <v/>
      </c>
      <c r="M2883" s="25" t="inlineStr">
        <is>
          <t>2.5.12</t>
        </is>
      </c>
      <c r="N2883" s="25">
        <f>IF(J2883&gt;300,1,0)</f>
        <v/>
      </c>
      <c r="O2883" s="25">
        <f>IF(J2883&gt;600,1,0)</f>
        <v/>
      </c>
      <c r="P2883" s="25">
        <f>IF(H2883&gt;0,J2883,"")</f>
        <v/>
      </c>
      <c r="Q2883" s="25">
        <f>TEXT(A2883,"YYYY-MM-DD HH")</f>
        <v/>
      </c>
      <c r="R2883" s="25">
        <f>COUNTIF($Q$2:$Q$5295,Q2883)</f>
        <v/>
      </c>
      <c r="S2883" s="25">
        <f>IF(R2883&lt;=2,"1-2",IF(R2883&lt;=5,"3-5",IF(R2883&lt;=10,"6-10","11+")))</f>
        <v/>
      </c>
    </row>
    <row r="2884">
      <c r="A2884" s="39" t="n">
        <v>46191.65664351852</v>
      </c>
      <c r="B2884" s="25">
        <f>TEXT(A2884,"YYYY-MM")</f>
        <v/>
      </c>
      <c r="C2884" s="25">
        <f>TEXT(A2884,"MMM-YYYY")</f>
        <v/>
      </c>
      <c r="D2884" s="40">
        <f>INT(A2884)-WEEKDAY(A2884,2)+1</f>
        <v/>
      </c>
      <c r="E2884" s="25" t="inlineStr">
        <is>
          <t>hsindwani</t>
        </is>
      </c>
      <c r="F2884" s="25" t="n">
        <v>116199</v>
      </c>
      <c r="G2884" s="25" t="n">
        <v>1</v>
      </c>
      <c r="H2884" s="25" t="n">
        <v>8</v>
      </c>
      <c r="I2884" s="25" t="inlineStr">
        <is>
          <t>5 minute(s) and 1 second(s)</t>
        </is>
      </c>
      <c r="J2884" s="25">
        <f>IFERROR(VALUE(TRIM(LEFT(I2884,FIND("minute",I2884)-1)))*60,0)+IFERROR(VALUE(SUBSTITUTE(MID(I2884,IFERROR(FIND("and",I2884)+3,1),20),"second(s)","")),0)</f>
        <v/>
      </c>
      <c r="K2884" s="41">
        <f>J2884/60</f>
        <v/>
      </c>
      <c r="L2884" s="41">
        <f>IFERROR(J2884/H2884,"")</f>
        <v/>
      </c>
      <c r="M2884" s="25" t="inlineStr">
        <is>
          <t>2.5.12</t>
        </is>
      </c>
      <c r="N2884" s="25">
        <f>IF(J2884&gt;300,1,0)</f>
        <v/>
      </c>
      <c r="O2884" s="25">
        <f>IF(J2884&gt;600,1,0)</f>
        <v/>
      </c>
      <c r="P2884" s="25">
        <f>IF(H2884&gt;0,J2884,"")</f>
        <v/>
      </c>
      <c r="Q2884" s="25">
        <f>TEXT(A2884,"YYYY-MM-DD HH")</f>
        <v/>
      </c>
      <c r="R2884" s="25">
        <f>COUNTIF($Q$2:$Q$5295,Q2884)</f>
        <v/>
      </c>
      <c r="S2884" s="25">
        <f>IF(R2884&lt;=2,"1-2",IF(R2884&lt;=5,"3-5",IF(R2884&lt;=10,"6-10","11+")))</f>
        <v/>
      </c>
    </row>
    <row r="2885">
      <c r="A2885" s="39" t="n">
        <v>46191.6603125</v>
      </c>
      <c r="B2885" s="25">
        <f>TEXT(A2885,"YYYY-MM")</f>
        <v/>
      </c>
      <c r="C2885" s="25">
        <f>TEXT(A2885,"MMM-YYYY")</f>
        <v/>
      </c>
      <c r="D2885" s="40">
        <f>INT(A2885)-WEEKDAY(A2885,2)+1</f>
        <v/>
      </c>
      <c r="E2885" s="25" t="inlineStr">
        <is>
          <t>psingh</t>
        </is>
      </c>
      <c r="F2885" s="25" t="n">
        <v>115819</v>
      </c>
      <c r="G2885" s="25" t="n">
        <v>2</v>
      </c>
      <c r="H2885" s="25" t="n">
        <v>10</v>
      </c>
      <c r="I2885" s="25" t="inlineStr">
        <is>
          <t>3 minute(s) and 18 second(s)</t>
        </is>
      </c>
      <c r="J2885" s="25">
        <f>IFERROR(VALUE(TRIM(LEFT(I2885,FIND("minute",I2885)-1)))*60,0)+IFERROR(VALUE(SUBSTITUTE(MID(I2885,IFERROR(FIND("and",I2885)+3,1),20),"second(s)","")),0)</f>
        <v/>
      </c>
      <c r="K2885" s="41">
        <f>J2885/60</f>
        <v/>
      </c>
      <c r="L2885" s="41">
        <f>IFERROR(J2885/H2885,"")</f>
        <v/>
      </c>
      <c r="M2885" s="25" t="inlineStr">
        <is>
          <t>2.5.12</t>
        </is>
      </c>
      <c r="N2885" s="25">
        <f>IF(J2885&gt;300,1,0)</f>
        <v/>
      </c>
      <c r="O2885" s="25">
        <f>IF(J2885&gt;600,1,0)</f>
        <v/>
      </c>
      <c r="P2885" s="25">
        <f>IF(H2885&gt;0,J2885,"")</f>
        <v/>
      </c>
      <c r="Q2885" s="25">
        <f>TEXT(A2885,"YYYY-MM-DD HH")</f>
        <v/>
      </c>
      <c r="R2885" s="25">
        <f>COUNTIF($Q$2:$Q$5295,Q2885)</f>
        <v/>
      </c>
      <c r="S2885" s="25">
        <f>IF(R2885&lt;=2,"1-2",IF(R2885&lt;=5,"3-5",IF(R2885&lt;=10,"6-10","11+")))</f>
        <v/>
      </c>
    </row>
    <row r="2886">
      <c r="A2886" s="39" t="n">
        <v>46191.72046296296</v>
      </c>
      <c r="B2886" s="25">
        <f>TEXT(A2886,"YYYY-MM")</f>
        <v/>
      </c>
      <c r="C2886" s="25">
        <f>TEXT(A2886,"MMM-YYYY")</f>
        <v/>
      </c>
      <c r="D2886" s="40">
        <f>INT(A2886)-WEEKDAY(A2886,2)+1</f>
        <v/>
      </c>
      <c r="E2886" s="25" t="inlineStr">
        <is>
          <t>rsingh</t>
        </is>
      </c>
      <c r="F2886" s="25" t="n">
        <v>105304</v>
      </c>
      <c r="G2886" s="25" t="n">
        <v>2</v>
      </c>
      <c r="H2886" s="25" t="n">
        <v>10</v>
      </c>
      <c r="I2886" s="25" t="inlineStr">
        <is>
          <t>7 minute(s) and 43 second(s)</t>
        </is>
      </c>
      <c r="J2886" s="25">
        <f>IFERROR(VALUE(TRIM(LEFT(I2886,FIND("minute",I2886)-1)))*60,0)+IFERROR(VALUE(SUBSTITUTE(MID(I2886,IFERROR(FIND("and",I2886)+3,1),20),"second(s)","")),0)</f>
        <v/>
      </c>
      <c r="K2886" s="41">
        <f>J2886/60</f>
        <v/>
      </c>
      <c r="L2886" s="41">
        <f>IFERROR(J2886/H2886,"")</f>
        <v/>
      </c>
      <c r="M2886" s="25" t="inlineStr">
        <is>
          <t>2.5.12</t>
        </is>
      </c>
      <c r="N2886" s="25">
        <f>IF(J2886&gt;300,1,0)</f>
        <v/>
      </c>
      <c r="O2886" s="25">
        <f>IF(J2886&gt;600,1,0)</f>
        <v/>
      </c>
      <c r="P2886" s="25">
        <f>IF(H2886&gt;0,J2886,"")</f>
        <v/>
      </c>
      <c r="Q2886" s="25">
        <f>TEXT(A2886,"YYYY-MM-DD HH")</f>
        <v/>
      </c>
      <c r="R2886" s="25">
        <f>COUNTIF($Q$2:$Q$5295,Q2886)</f>
        <v/>
      </c>
      <c r="S2886" s="25">
        <f>IF(R2886&lt;=2,"1-2",IF(R2886&lt;=5,"3-5",IF(R2886&lt;=10,"6-10","11+")))</f>
        <v/>
      </c>
    </row>
    <row r="2887">
      <c r="A2887" s="39" t="n">
        <v>46191.72322916667</v>
      </c>
      <c r="B2887" s="25">
        <f>TEXT(A2887,"YYYY-MM")</f>
        <v/>
      </c>
      <c r="C2887" s="25">
        <f>TEXT(A2887,"MMM-YYYY")</f>
        <v/>
      </c>
      <c r="D2887" s="40">
        <f>INT(A2887)-WEEKDAY(A2887,2)+1</f>
        <v/>
      </c>
      <c r="E2887" s="25" t="inlineStr">
        <is>
          <t>psingh</t>
        </is>
      </c>
      <c r="F2887" s="25" t="n">
        <v>116157</v>
      </c>
      <c r="G2887" s="25" t="n">
        <v>4</v>
      </c>
      <c r="H2887" s="25" t="n">
        <v>24</v>
      </c>
      <c r="I2887" s="25" t="inlineStr">
        <is>
          <t>12 minute(s) and 0 second(s)</t>
        </is>
      </c>
      <c r="J2887" s="25">
        <f>IFERROR(VALUE(TRIM(LEFT(I2887,FIND("minute",I2887)-1)))*60,0)+IFERROR(VALUE(SUBSTITUTE(MID(I2887,IFERROR(FIND("and",I2887)+3,1),20),"second(s)","")),0)</f>
        <v/>
      </c>
      <c r="K2887" s="41">
        <f>J2887/60</f>
        <v/>
      </c>
      <c r="L2887" s="41">
        <f>IFERROR(J2887/H2887,"")</f>
        <v/>
      </c>
      <c r="M2887" s="25" t="inlineStr">
        <is>
          <t>2.5.12</t>
        </is>
      </c>
      <c r="N2887" s="25">
        <f>IF(J2887&gt;300,1,0)</f>
        <v/>
      </c>
      <c r="O2887" s="25">
        <f>IF(J2887&gt;600,1,0)</f>
        <v/>
      </c>
      <c r="P2887" s="25">
        <f>IF(H2887&gt;0,J2887,"")</f>
        <v/>
      </c>
      <c r="Q2887" s="25">
        <f>TEXT(A2887,"YYYY-MM-DD HH")</f>
        <v/>
      </c>
      <c r="R2887" s="25">
        <f>COUNTIF($Q$2:$Q$5295,Q2887)</f>
        <v/>
      </c>
      <c r="S2887" s="25">
        <f>IF(R2887&lt;=2,"1-2",IF(R2887&lt;=5,"3-5",IF(R2887&lt;=10,"6-10","11+")))</f>
        <v/>
      </c>
    </row>
    <row r="2888">
      <c r="A2888" s="39" t="n">
        <v>46191.74427083333</v>
      </c>
      <c r="B2888" s="25">
        <f>TEXT(A2888,"YYYY-MM")</f>
        <v/>
      </c>
      <c r="C2888" s="25">
        <f>TEXT(A2888,"MMM-YYYY")</f>
        <v/>
      </c>
      <c r="D2888" s="40">
        <f>INT(A2888)-WEEKDAY(A2888,2)+1</f>
        <v/>
      </c>
      <c r="E2888" s="25" t="inlineStr">
        <is>
          <t>hsindwani</t>
        </is>
      </c>
      <c r="F2888" s="25" t="n">
        <v>106961</v>
      </c>
      <c r="G2888" s="25" t="n">
        <v>2</v>
      </c>
      <c r="H2888" s="25" t="n">
        <v>12</v>
      </c>
      <c r="I2888" s="25" t="inlineStr">
        <is>
          <t>5 minute(s) and 7 second(s)</t>
        </is>
      </c>
      <c r="J2888" s="25">
        <f>IFERROR(VALUE(TRIM(LEFT(I2888,FIND("minute",I2888)-1)))*60,0)+IFERROR(VALUE(SUBSTITUTE(MID(I2888,IFERROR(FIND("and",I2888)+3,1),20),"second(s)","")),0)</f>
        <v/>
      </c>
      <c r="K2888" s="41">
        <f>J2888/60</f>
        <v/>
      </c>
      <c r="L2888" s="41">
        <f>IFERROR(J2888/H2888,"")</f>
        <v/>
      </c>
      <c r="M2888" s="25" t="inlineStr">
        <is>
          <t>2.5.12</t>
        </is>
      </c>
      <c r="N2888" s="25">
        <f>IF(J2888&gt;300,1,0)</f>
        <v/>
      </c>
      <c r="O2888" s="25">
        <f>IF(J2888&gt;600,1,0)</f>
        <v/>
      </c>
      <c r="P2888" s="25">
        <f>IF(H2888&gt;0,J2888,"")</f>
        <v/>
      </c>
      <c r="Q2888" s="25">
        <f>TEXT(A2888,"YYYY-MM-DD HH")</f>
        <v/>
      </c>
      <c r="R2888" s="25">
        <f>COUNTIF($Q$2:$Q$5295,Q2888)</f>
        <v/>
      </c>
      <c r="S2888" s="25">
        <f>IF(R2888&lt;=2,"1-2",IF(R2888&lt;=5,"3-5",IF(R2888&lt;=10,"6-10","11+")))</f>
        <v/>
      </c>
    </row>
    <row r="2889">
      <c r="A2889" s="39" t="n">
        <v>46191.75262731482</v>
      </c>
      <c r="B2889" s="25">
        <f>TEXT(A2889,"YYYY-MM")</f>
        <v/>
      </c>
      <c r="C2889" s="25">
        <f>TEXT(A2889,"MMM-YYYY")</f>
        <v/>
      </c>
      <c r="D2889" s="40">
        <f>INT(A2889)-WEEKDAY(A2889,2)+1</f>
        <v/>
      </c>
      <c r="E2889" s="25" t="inlineStr">
        <is>
          <t>rsingh</t>
        </is>
      </c>
      <c r="F2889" s="25" t="n">
        <v>105972</v>
      </c>
      <c r="G2889" s="25" t="n">
        <v>2</v>
      </c>
      <c r="H2889" s="25" t="n">
        <v>14</v>
      </c>
      <c r="I2889" s="25" t="inlineStr">
        <is>
          <t>7 minute(s) and 13 second(s)</t>
        </is>
      </c>
      <c r="J2889" s="25">
        <f>IFERROR(VALUE(TRIM(LEFT(I2889,FIND("minute",I2889)-1)))*60,0)+IFERROR(VALUE(SUBSTITUTE(MID(I2889,IFERROR(FIND("and",I2889)+3,1),20),"second(s)","")),0)</f>
        <v/>
      </c>
      <c r="K2889" s="41">
        <f>J2889/60</f>
        <v/>
      </c>
      <c r="L2889" s="41">
        <f>IFERROR(J2889/H2889,"")</f>
        <v/>
      </c>
      <c r="M2889" s="25" t="inlineStr">
        <is>
          <t>2.5.12</t>
        </is>
      </c>
      <c r="N2889" s="25">
        <f>IF(J2889&gt;300,1,0)</f>
        <v/>
      </c>
      <c r="O2889" s="25">
        <f>IF(J2889&gt;600,1,0)</f>
        <v/>
      </c>
      <c r="P2889" s="25">
        <f>IF(H2889&gt;0,J2889,"")</f>
        <v/>
      </c>
      <c r="Q2889" s="25">
        <f>TEXT(A2889,"YYYY-MM-DD HH")</f>
        <v/>
      </c>
      <c r="R2889" s="25">
        <f>COUNTIF($Q$2:$Q$5295,Q2889)</f>
        <v/>
      </c>
      <c r="S2889" s="25">
        <f>IF(R2889&lt;=2,"1-2",IF(R2889&lt;=5,"3-5",IF(R2889&lt;=10,"6-10","11+")))</f>
        <v/>
      </c>
    </row>
    <row r="2890">
      <c r="A2890" s="39" t="n">
        <v>46191.78862268518</v>
      </c>
      <c r="B2890" s="25">
        <f>TEXT(A2890,"YYYY-MM")</f>
        <v/>
      </c>
      <c r="C2890" s="25">
        <f>TEXT(A2890,"MMM-YYYY")</f>
        <v/>
      </c>
      <c r="D2890" s="40">
        <f>INT(A2890)-WEEKDAY(A2890,2)+1</f>
        <v/>
      </c>
      <c r="E2890" s="25" t="inlineStr">
        <is>
          <t>rsingh</t>
        </is>
      </c>
      <c r="F2890" s="25" t="n">
        <v>108278</v>
      </c>
      <c r="G2890" s="25" t="n">
        <v>2</v>
      </c>
      <c r="H2890" s="25" t="n">
        <v>8</v>
      </c>
      <c r="I2890" s="25" t="inlineStr">
        <is>
          <t>4 minute(s) and 49 second(s)</t>
        </is>
      </c>
      <c r="J2890" s="25">
        <f>IFERROR(VALUE(TRIM(LEFT(I2890,FIND("minute",I2890)-1)))*60,0)+IFERROR(VALUE(SUBSTITUTE(MID(I2890,IFERROR(FIND("and",I2890)+3,1),20),"second(s)","")),0)</f>
        <v/>
      </c>
      <c r="K2890" s="41">
        <f>J2890/60</f>
        <v/>
      </c>
      <c r="L2890" s="41">
        <f>IFERROR(J2890/H2890,"")</f>
        <v/>
      </c>
      <c r="M2890" s="25" t="inlineStr">
        <is>
          <t>2.5.12</t>
        </is>
      </c>
      <c r="N2890" s="25">
        <f>IF(J2890&gt;300,1,0)</f>
        <v/>
      </c>
      <c r="O2890" s="25">
        <f>IF(J2890&gt;600,1,0)</f>
        <v/>
      </c>
      <c r="P2890" s="25">
        <f>IF(H2890&gt;0,J2890,"")</f>
        <v/>
      </c>
      <c r="Q2890" s="25">
        <f>TEXT(A2890,"YYYY-MM-DD HH")</f>
        <v/>
      </c>
      <c r="R2890" s="25">
        <f>COUNTIF($Q$2:$Q$5295,Q2890)</f>
        <v/>
      </c>
      <c r="S2890" s="25">
        <f>IF(R2890&lt;=2,"1-2",IF(R2890&lt;=5,"3-5",IF(R2890&lt;=10,"6-10","11+")))</f>
        <v/>
      </c>
    </row>
    <row r="2891">
      <c r="A2891" s="39" t="n">
        <v>46191.82774305555</v>
      </c>
      <c r="B2891" s="25">
        <f>TEXT(A2891,"YYYY-MM")</f>
        <v/>
      </c>
      <c r="C2891" s="25">
        <f>TEXT(A2891,"MMM-YYYY")</f>
        <v/>
      </c>
      <c r="D2891" s="40">
        <f>INT(A2891)-WEEKDAY(A2891,2)+1</f>
        <v/>
      </c>
      <c r="E2891" s="25" t="inlineStr">
        <is>
          <t>stiwari</t>
        </is>
      </c>
      <c r="F2891" s="25" t="n">
        <v>95332</v>
      </c>
      <c r="G2891" s="25" t="n">
        <v>1</v>
      </c>
      <c r="H2891" s="25" t="n">
        <v>5</v>
      </c>
      <c r="I2891" s="25" t="inlineStr">
        <is>
          <t>2 minute(s) and 24 second(s)</t>
        </is>
      </c>
      <c r="J2891" s="25">
        <f>IFERROR(VALUE(TRIM(LEFT(I2891,FIND("minute",I2891)-1)))*60,0)+IFERROR(VALUE(SUBSTITUTE(MID(I2891,IFERROR(FIND("and",I2891)+3,1),20),"second(s)","")),0)</f>
        <v/>
      </c>
      <c r="K2891" s="41">
        <f>J2891/60</f>
        <v/>
      </c>
      <c r="L2891" s="41">
        <f>IFERROR(J2891/H2891,"")</f>
        <v/>
      </c>
      <c r="M2891" s="25" t="inlineStr">
        <is>
          <t>2.5.12</t>
        </is>
      </c>
      <c r="N2891" s="25">
        <f>IF(J2891&gt;300,1,0)</f>
        <v/>
      </c>
      <c r="O2891" s="25">
        <f>IF(J2891&gt;600,1,0)</f>
        <v/>
      </c>
      <c r="P2891" s="25">
        <f>IF(H2891&gt;0,J2891,"")</f>
        <v/>
      </c>
      <c r="Q2891" s="25">
        <f>TEXT(A2891,"YYYY-MM-DD HH")</f>
        <v/>
      </c>
      <c r="R2891" s="25">
        <f>COUNTIF($Q$2:$Q$5295,Q2891)</f>
        <v/>
      </c>
      <c r="S2891" s="25">
        <f>IF(R2891&lt;=2,"1-2",IF(R2891&lt;=5,"3-5",IF(R2891&lt;=10,"6-10","11+")))</f>
        <v/>
      </c>
    </row>
    <row r="2892">
      <c r="A2892" s="39" t="n">
        <v>46191.83163194444</v>
      </c>
      <c r="B2892" s="25">
        <f>TEXT(A2892,"YYYY-MM")</f>
        <v/>
      </c>
      <c r="C2892" s="25">
        <f>TEXT(A2892,"MMM-YYYY")</f>
        <v/>
      </c>
      <c r="D2892" s="40">
        <f>INT(A2892)-WEEKDAY(A2892,2)+1</f>
        <v/>
      </c>
      <c r="E2892" s="25" t="inlineStr">
        <is>
          <t>rsingh</t>
        </is>
      </c>
      <c r="F2892" s="25" t="n">
        <v>106445</v>
      </c>
      <c r="G2892" s="25" t="n">
        <v>2</v>
      </c>
      <c r="H2892" s="25" t="n">
        <v>10</v>
      </c>
      <c r="I2892" s="25" t="inlineStr">
        <is>
          <t>13 minute(s) and 5 second(s)</t>
        </is>
      </c>
      <c r="J2892" s="25">
        <f>IFERROR(VALUE(TRIM(LEFT(I2892,FIND("minute",I2892)-1)))*60,0)+IFERROR(VALUE(SUBSTITUTE(MID(I2892,IFERROR(FIND("and",I2892)+3,1),20),"second(s)","")),0)</f>
        <v/>
      </c>
      <c r="K2892" s="41">
        <f>J2892/60</f>
        <v/>
      </c>
      <c r="L2892" s="41">
        <f>IFERROR(J2892/H2892,"")</f>
        <v/>
      </c>
      <c r="M2892" s="25" t="inlineStr">
        <is>
          <t>2.5.12</t>
        </is>
      </c>
      <c r="N2892" s="25">
        <f>IF(J2892&gt;300,1,0)</f>
        <v/>
      </c>
      <c r="O2892" s="25">
        <f>IF(J2892&gt;600,1,0)</f>
        <v/>
      </c>
      <c r="P2892" s="25">
        <f>IF(H2892&gt;0,J2892,"")</f>
        <v/>
      </c>
      <c r="Q2892" s="25">
        <f>TEXT(A2892,"YYYY-MM-DD HH")</f>
        <v/>
      </c>
      <c r="R2892" s="25">
        <f>COUNTIF($Q$2:$Q$5295,Q2892)</f>
        <v/>
      </c>
      <c r="S2892" s="25">
        <f>IF(R2892&lt;=2,"1-2",IF(R2892&lt;=5,"3-5",IF(R2892&lt;=10,"6-10","11+")))</f>
        <v/>
      </c>
    </row>
    <row r="2893">
      <c r="A2893" s="39" t="n">
        <v>46191.83627314815</v>
      </c>
      <c r="B2893" s="25">
        <f>TEXT(A2893,"YYYY-MM")</f>
        <v/>
      </c>
      <c r="C2893" s="25">
        <f>TEXT(A2893,"MMM-YYYY")</f>
        <v/>
      </c>
      <c r="D2893" s="40">
        <f>INT(A2893)-WEEKDAY(A2893,2)+1</f>
        <v/>
      </c>
      <c r="E2893" s="25" t="inlineStr">
        <is>
          <t>dchoudhury</t>
        </is>
      </c>
      <c r="F2893" s="25" t="n">
        <v>117334</v>
      </c>
      <c r="G2893" s="25" t="n">
        <v>6</v>
      </c>
      <c r="H2893" s="25" t="n">
        <v>20</v>
      </c>
      <c r="I2893" s="25" t="inlineStr">
        <is>
          <t>7 minute(s) and 37 second(s)</t>
        </is>
      </c>
      <c r="J2893" s="25">
        <f>IFERROR(VALUE(TRIM(LEFT(I2893,FIND("minute",I2893)-1)))*60,0)+IFERROR(VALUE(SUBSTITUTE(MID(I2893,IFERROR(FIND("and",I2893)+3,1),20),"second(s)","")),0)</f>
        <v/>
      </c>
      <c r="K2893" s="41">
        <f>J2893/60</f>
        <v/>
      </c>
      <c r="L2893" s="41">
        <f>IFERROR(J2893/H2893,"")</f>
        <v/>
      </c>
      <c r="M2893" s="25" t="inlineStr">
        <is>
          <t>2.5.12</t>
        </is>
      </c>
      <c r="N2893" s="25">
        <f>IF(J2893&gt;300,1,0)</f>
        <v/>
      </c>
      <c r="O2893" s="25">
        <f>IF(J2893&gt;600,1,0)</f>
        <v/>
      </c>
      <c r="P2893" s="25">
        <f>IF(H2893&gt;0,J2893,"")</f>
        <v/>
      </c>
      <c r="Q2893" s="25">
        <f>TEXT(A2893,"YYYY-MM-DD HH")</f>
        <v/>
      </c>
      <c r="R2893" s="25">
        <f>COUNTIF($Q$2:$Q$5295,Q2893)</f>
        <v/>
      </c>
      <c r="S2893" s="25">
        <f>IF(R2893&lt;=2,"1-2",IF(R2893&lt;=5,"3-5",IF(R2893&lt;=10,"6-10","11+")))</f>
        <v/>
      </c>
    </row>
    <row r="2894">
      <c r="A2894" s="39" t="n">
        <v>46191.89082175926</v>
      </c>
      <c r="B2894" s="25">
        <f>TEXT(A2894,"YYYY-MM")</f>
        <v/>
      </c>
      <c r="C2894" s="25">
        <f>TEXT(A2894,"MMM-YYYY")</f>
        <v/>
      </c>
      <c r="D2894" s="40">
        <f>INT(A2894)-WEEKDAY(A2894,2)+1</f>
        <v/>
      </c>
      <c r="E2894" s="25" t="inlineStr">
        <is>
          <t>dchoudhury</t>
        </is>
      </c>
      <c r="F2894" s="25" t="n">
        <v>117353</v>
      </c>
      <c r="G2894" s="25" t="n">
        <v>5</v>
      </c>
      <c r="H2894" s="25" t="n">
        <v>17</v>
      </c>
      <c r="I2894" s="25" t="inlineStr">
        <is>
          <t>6 minute(s) and 45 second(s)</t>
        </is>
      </c>
      <c r="J2894" s="25">
        <f>IFERROR(VALUE(TRIM(LEFT(I2894,FIND("minute",I2894)-1)))*60,0)+IFERROR(VALUE(SUBSTITUTE(MID(I2894,IFERROR(FIND("and",I2894)+3,1),20),"second(s)","")),0)</f>
        <v/>
      </c>
      <c r="K2894" s="41">
        <f>J2894/60</f>
        <v/>
      </c>
      <c r="L2894" s="41">
        <f>IFERROR(J2894/H2894,"")</f>
        <v/>
      </c>
      <c r="M2894" s="25" t="inlineStr">
        <is>
          <t>2.5.12</t>
        </is>
      </c>
      <c r="N2894" s="25">
        <f>IF(J2894&gt;300,1,0)</f>
        <v/>
      </c>
      <c r="O2894" s="25">
        <f>IF(J2894&gt;600,1,0)</f>
        <v/>
      </c>
      <c r="P2894" s="25">
        <f>IF(H2894&gt;0,J2894,"")</f>
        <v/>
      </c>
      <c r="Q2894" s="25">
        <f>TEXT(A2894,"YYYY-MM-DD HH")</f>
        <v/>
      </c>
      <c r="R2894" s="25">
        <f>COUNTIF($Q$2:$Q$5295,Q2894)</f>
        <v/>
      </c>
      <c r="S2894" s="25">
        <f>IF(R2894&lt;=2,"1-2",IF(R2894&lt;=5,"3-5",IF(R2894&lt;=10,"6-10","11+")))</f>
        <v/>
      </c>
    </row>
    <row r="2895">
      <c r="A2895" s="39" t="n">
        <v>46191.89493055556</v>
      </c>
      <c r="B2895" s="25">
        <f>TEXT(A2895,"YYYY-MM")</f>
        <v/>
      </c>
      <c r="C2895" s="25">
        <f>TEXT(A2895,"MMM-YYYY")</f>
        <v/>
      </c>
      <c r="D2895" s="40">
        <f>INT(A2895)-WEEKDAY(A2895,2)+1</f>
        <v/>
      </c>
      <c r="E2895" s="25" t="inlineStr">
        <is>
          <t>psingh</t>
        </is>
      </c>
      <c r="F2895" s="25" t="n">
        <v>124933</v>
      </c>
      <c r="G2895" s="25" t="n">
        <v>3</v>
      </c>
      <c r="H2895" s="25" t="n">
        <v>19</v>
      </c>
      <c r="I2895" s="25" t="inlineStr">
        <is>
          <t>5 minute(s) and 48 second(s)</t>
        </is>
      </c>
      <c r="J2895" s="25">
        <f>IFERROR(VALUE(TRIM(LEFT(I2895,FIND("minute",I2895)-1)))*60,0)+IFERROR(VALUE(SUBSTITUTE(MID(I2895,IFERROR(FIND("and",I2895)+3,1),20),"second(s)","")),0)</f>
        <v/>
      </c>
      <c r="K2895" s="41">
        <f>J2895/60</f>
        <v/>
      </c>
      <c r="L2895" s="41">
        <f>IFERROR(J2895/H2895,"")</f>
        <v/>
      </c>
      <c r="M2895" s="25" t="inlineStr">
        <is>
          <t>2.5.12</t>
        </is>
      </c>
      <c r="N2895" s="25">
        <f>IF(J2895&gt;300,1,0)</f>
        <v/>
      </c>
      <c r="O2895" s="25">
        <f>IF(J2895&gt;600,1,0)</f>
        <v/>
      </c>
      <c r="P2895" s="25">
        <f>IF(H2895&gt;0,J2895,"")</f>
        <v/>
      </c>
      <c r="Q2895" s="25">
        <f>TEXT(A2895,"YYYY-MM-DD HH")</f>
        <v/>
      </c>
      <c r="R2895" s="25">
        <f>COUNTIF($Q$2:$Q$5295,Q2895)</f>
        <v/>
      </c>
      <c r="S2895" s="25">
        <f>IF(R2895&lt;=2,"1-2",IF(R2895&lt;=5,"3-5",IF(R2895&lt;=10,"6-10","11+")))</f>
        <v/>
      </c>
    </row>
    <row r="2896">
      <c r="A2896" s="39" t="n">
        <v>46191.9318287037</v>
      </c>
      <c r="B2896" s="25">
        <f>TEXT(A2896,"YYYY-MM")</f>
        <v/>
      </c>
      <c r="C2896" s="25">
        <f>TEXT(A2896,"MMM-YYYY")</f>
        <v/>
      </c>
      <c r="D2896" s="40">
        <f>INT(A2896)-WEEKDAY(A2896,2)+1</f>
        <v/>
      </c>
      <c r="E2896" s="25" t="inlineStr">
        <is>
          <t>dchoudhury</t>
        </is>
      </c>
      <c r="F2896" s="25" t="n">
        <v>117356</v>
      </c>
      <c r="G2896" s="25" t="n">
        <v>5</v>
      </c>
      <c r="H2896" s="25" t="n">
        <v>17</v>
      </c>
      <c r="I2896" s="25" t="inlineStr">
        <is>
          <t>11 minute(s) and 55 second(s)</t>
        </is>
      </c>
      <c r="J2896" s="25">
        <f>IFERROR(VALUE(TRIM(LEFT(I2896,FIND("minute",I2896)-1)))*60,0)+IFERROR(VALUE(SUBSTITUTE(MID(I2896,IFERROR(FIND("and",I2896)+3,1),20),"second(s)","")),0)</f>
        <v/>
      </c>
      <c r="K2896" s="41">
        <f>J2896/60</f>
        <v/>
      </c>
      <c r="L2896" s="41">
        <f>IFERROR(J2896/H2896,"")</f>
        <v/>
      </c>
      <c r="M2896" s="25" t="inlineStr">
        <is>
          <t>2.5.12</t>
        </is>
      </c>
      <c r="N2896" s="25">
        <f>IF(J2896&gt;300,1,0)</f>
        <v/>
      </c>
      <c r="O2896" s="25">
        <f>IF(J2896&gt;600,1,0)</f>
        <v/>
      </c>
      <c r="P2896" s="25">
        <f>IF(H2896&gt;0,J2896,"")</f>
        <v/>
      </c>
      <c r="Q2896" s="25">
        <f>TEXT(A2896,"YYYY-MM-DD HH")</f>
        <v/>
      </c>
      <c r="R2896" s="25">
        <f>COUNTIF($Q$2:$Q$5295,Q2896)</f>
        <v/>
      </c>
      <c r="S2896" s="25">
        <f>IF(R2896&lt;=2,"1-2",IF(R2896&lt;=5,"3-5",IF(R2896&lt;=10,"6-10","11+")))</f>
        <v/>
      </c>
    </row>
    <row r="2897">
      <c r="A2897" s="39" t="n">
        <v>46191.9387037037</v>
      </c>
      <c r="B2897" s="25">
        <f>TEXT(A2897,"YYYY-MM")</f>
        <v/>
      </c>
      <c r="C2897" s="25">
        <f>TEXT(A2897,"MMM-YYYY")</f>
        <v/>
      </c>
      <c r="D2897" s="40">
        <f>INT(A2897)-WEEKDAY(A2897,2)+1</f>
        <v/>
      </c>
      <c r="E2897" s="25" t="inlineStr">
        <is>
          <t>hsindwani</t>
        </is>
      </c>
      <c r="F2897" s="25" t="n">
        <v>124546</v>
      </c>
      <c r="G2897" s="25" t="n">
        <v>1</v>
      </c>
      <c r="H2897" s="25" t="n">
        <v>5</v>
      </c>
      <c r="I2897" s="25" t="inlineStr">
        <is>
          <t>2 minute(s) and 36 second(s)</t>
        </is>
      </c>
      <c r="J2897" s="25">
        <f>IFERROR(VALUE(TRIM(LEFT(I2897,FIND("minute",I2897)-1)))*60,0)+IFERROR(VALUE(SUBSTITUTE(MID(I2897,IFERROR(FIND("and",I2897)+3,1),20),"second(s)","")),0)</f>
        <v/>
      </c>
      <c r="K2897" s="41">
        <f>J2897/60</f>
        <v/>
      </c>
      <c r="L2897" s="41">
        <f>IFERROR(J2897/H2897,"")</f>
        <v/>
      </c>
      <c r="M2897" s="25" t="inlineStr">
        <is>
          <t>2.5.12</t>
        </is>
      </c>
      <c r="N2897" s="25">
        <f>IF(J2897&gt;300,1,0)</f>
        <v/>
      </c>
      <c r="O2897" s="25">
        <f>IF(J2897&gt;600,1,0)</f>
        <v/>
      </c>
      <c r="P2897" s="25">
        <f>IF(H2897&gt;0,J2897,"")</f>
        <v/>
      </c>
      <c r="Q2897" s="25">
        <f>TEXT(A2897,"YYYY-MM-DD HH")</f>
        <v/>
      </c>
      <c r="R2897" s="25">
        <f>COUNTIF($Q$2:$Q$5295,Q2897)</f>
        <v/>
      </c>
      <c r="S2897" s="25">
        <f>IF(R2897&lt;=2,"1-2",IF(R2897&lt;=5,"3-5",IF(R2897&lt;=10,"6-10","11+")))</f>
        <v/>
      </c>
    </row>
    <row r="2898">
      <c r="A2898" s="39" t="n">
        <v>46191.9727199074</v>
      </c>
      <c r="B2898" s="25">
        <f>TEXT(A2898,"YYYY-MM")</f>
        <v/>
      </c>
      <c r="C2898" s="25">
        <f>TEXT(A2898,"MMM-YYYY")</f>
        <v/>
      </c>
      <c r="D2898" s="40">
        <f>INT(A2898)-WEEKDAY(A2898,2)+1</f>
        <v/>
      </c>
      <c r="E2898" s="25" t="inlineStr">
        <is>
          <t>ssarkar</t>
        </is>
      </c>
      <c r="F2898" s="25" t="n">
        <v>104169</v>
      </c>
      <c r="G2898" s="25" t="n">
        <v>2</v>
      </c>
      <c r="H2898" s="25" t="n">
        <v>10</v>
      </c>
      <c r="I2898" s="25" t="inlineStr">
        <is>
          <t>2 minute(s) and 29 second(s)</t>
        </is>
      </c>
      <c r="J2898" s="25">
        <f>IFERROR(VALUE(TRIM(LEFT(I2898,FIND("minute",I2898)-1)))*60,0)+IFERROR(VALUE(SUBSTITUTE(MID(I2898,IFERROR(FIND("and",I2898)+3,1),20),"second(s)","")),0)</f>
        <v/>
      </c>
      <c r="K2898" s="41">
        <f>J2898/60</f>
        <v/>
      </c>
      <c r="L2898" s="41">
        <f>IFERROR(J2898/H2898,"")</f>
        <v/>
      </c>
      <c r="M2898" s="25" t="inlineStr">
        <is>
          <t>2.5.12</t>
        </is>
      </c>
      <c r="N2898" s="25">
        <f>IF(J2898&gt;300,1,0)</f>
        <v/>
      </c>
      <c r="O2898" s="25">
        <f>IF(J2898&gt;600,1,0)</f>
        <v/>
      </c>
      <c r="P2898" s="25">
        <f>IF(H2898&gt;0,J2898,"")</f>
        <v/>
      </c>
      <c r="Q2898" s="25">
        <f>TEXT(A2898,"YYYY-MM-DD HH")</f>
        <v/>
      </c>
      <c r="R2898" s="25">
        <f>COUNTIF($Q$2:$Q$5295,Q2898)</f>
        <v/>
      </c>
      <c r="S2898" s="25">
        <f>IF(R2898&lt;=2,"1-2",IF(R2898&lt;=5,"3-5",IF(R2898&lt;=10,"6-10","11+")))</f>
        <v/>
      </c>
    </row>
    <row r="2899">
      <c r="A2899" s="39" t="n">
        <v>46191.97372685185</v>
      </c>
      <c r="B2899" s="25">
        <f>TEXT(A2899,"YYYY-MM")</f>
        <v/>
      </c>
      <c r="C2899" s="25">
        <f>TEXT(A2899,"MMM-YYYY")</f>
        <v/>
      </c>
      <c r="D2899" s="40">
        <f>INT(A2899)-WEEKDAY(A2899,2)+1</f>
        <v/>
      </c>
      <c r="E2899" s="25" t="inlineStr">
        <is>
          <t>dchoudhury</t>
        </is>
      </c>
      <c r="F2899" s="25" t="n">
        <v>103941</v>
      </c>
      <c r="G2899" s="25" t="n">
        <v>1</v>
      </c>
      <c r="H2899" s="25" t="n">
        <v>5</v>
      </c>
      <c r="I2899" s="25" t="inlineStr">
        <is>
          <t>1 minute(s) and 35 second(s)</t>
        </is>
      </c>
      <c r="J2899" s="25">
        <f>IFERROR(VALUE(TRIM(LEFT(I2899,FIND("minute",I2899)-1)))*60,0)+IFERROR(VALUE(SUBSTITUTE(MID(I2899,IFERROR(FIND("and",I2899)+3,1),20),"second(s)","")),0)</f>
        <v/>
      </c>
      <c r="K2899" s="41">
        <f>J2899/60</f>
        <v/>
      </c>
      <c r="L2899" s="41">
        <f>IFERROR(J2899/H2899,"")</f>
        <v/>
      </c>
      <c r="M2899" s="25" t="inlineStr">
        <is>
          <t>2.5.12</t>
        </is>
      </c>
      <c r="N2899" s="25">
        <f>IF(J2899&gt;300,1,0)</f>
        <v/>
      </c>
      <c r="O2899" s="25">
        <f>IF(J2899&gt;600,1,0)</f>
        <v/>
      </c>
      <c r="P2899" s="25">
        <f>IF(H2899&gt;0,J2899,"")</f>
        <v/>
      </c>
      <c r="Q2899" s="25">
        <f>TEXT(A2899,"YYYY-MM-DD HH")</f>
        <v/>
      </c>
      <c r="R2899" s="25">
        <f>COUNTIF($Q$2:$Q$5295,Q2899)</f>
        <v/>
      </c>
      <c r="S2899" s="25">
        <f>IF(R2899&lt;=2,"1-2",IF(R2899&lt;=5,"3-5",IF(R2899&lt;=10,"6-10","11+")))</f>
        <v/>
      </c>
    </row>
    <row r="2900">
      <c r="A2900" s="39" t="n">
        <v>46192.00197916666</v>
      </c>
      <c r="B2900" s="25">
        <f>TEXT(A2900,"YYYY-MM")</f>
        <v/>
      </c>
      <c r="C2900" s="25">
        <f>TEXT(A2900,"MMM-YYYY")</f>
        <v/>
      </c>
      <c r="D2900" s="40">
        <f>INT(A2900)-WEEKDAY(A2900,2)+1</f>
        <v/>
      </c>
      <c r="E2900" s="25" t="inlineStr">
        <is>
          <t>shassan</t>
        </is>
      </c>
      <c r="F2900" s="25" t="n">
        <v>80567</v>
      </c>
      <c r="G2900" s="25" t="n">
        <v>2</v>
      </c>
      <c r="H2900" s="25" t="n">
        <v>10</v>
      </c>
      <c r="I2900" s="25" t="inlineStr">
        <is>
          <t>3 minute(s) and 9 second(s)</t>
        </is>
      </c>
      <c r="J2900" s="25">
        <f>IFERROR(VALUE(TRIM(LEFT(I2900,FIND("minute",I2900)-1)))*60,0)+IFERROR(VALUE(SUBSTITUTE(MID(I2900,IFERROR(FIND("and",I2900)+3,1),20),"second(s)","")),0)</f>
        <v/>
      </c>
      <c r="K2900" s="41">
        <f>J2900/60</f>
        <v/>
      </c>
      <c r="L2900" s="41">
        <f>IFERROR(J2900/H2900,"")</f>
        <v/>
      </c>
      <c r="M2900" s="25" t="inlineStr">
        <is>
          <t>2.5.12</t>
        </is>
      </c>
      <c r="N2900" s="25">
        <f>IF(J2900&gt;300,1,0)</f>
        <v/>
      </c>
      <c r="O2900" s="25">
        <f>IF(J2900&gt;600,1,0)</f>
        <v/>
      </c>
      <c r="P2900" s="25">
        <f>IF(H2900&gt;0,J2900,"")</f>
        <v/>
      </c>
      <c r="Q2900" s="25">
        <f>TEXT(A2900,"YYYY-MM-DD HH")</f>
        <v/>
      </c>
      <c r="R2900" s="25">
        <f>COUNTIF($Q$2:$Q$5295,Q2900)</f>
        <v/>
      </c>
      <c r="S2900" s="25">
        <f>IF(R2900&lt;=2,"1-2",IF(R2900&lt;=5,"3-5",IF(R2900&lt;=10,"6-10","11+")))</f>
        <v/>
      </c>
    </row>
    <row r="2901">
      <c r="A2901" s="39" t="n">
        <v>46192.02403935185</v>
      </c>
      <c r="B2901" s="25">
        <f>TEXT(A2901,"YYYY-MM")</f>
        <v/>
      </c>
      <c r="C2901" s="25">
        <f>TEXT(A2901,"MMM-YYYY")</f>
        <v/>
      </c>
      <c r="D2901" s="40">
        <f>INT(A2901)-WEEKDAY(A2901,2)+1</f>
        <v/>
      </c>
      <c r="E2901" s="25" t="inlineStr">
        <is>
          <t>asahoo</t>
        </is>
      </c>
      <c r="F2901" s="25" t="n">
        <v>122386</v>
      </c>
      <c r="G2901" s="25" t="n">
        <v>1</v>
      </c>
      <c r="H2901" s="25" t="n">
        <v>5</v>
      </c>
      <c r="I2901" s="25" t="inlineStr">
        <is>
          <t>1 minute(s) and 4 second(s)</t>
        </is>
      </c>
      <c r="J2901" s="25">
        <f>IFERROR(VALUE(TRIM(LEFT(I2901,FIND("minute",I2901)-1)))*60,0)+IFERROR(VALUE(SUBSTITUTE(MID(I2901,IFERROR(FIND("and",I2901)+3,1),20),"second(s)","")),0)</f>
        <v/>
      </c>
      <c r="K2901" s="41">
        <f>J2901/60</f>
        <v/>
      </c>
      <c r="L2901" s="41">
        <f>IFERROR(J2901/H2901,"")</f>
        <v/>
      </c>
      <c r="M2901" s="25" t="inlineStr">
        <is>
          <t>2.5.12</t>
        </is>
      </c>
      <c r="N2901" s="25">
        <f>IF(J2901&gt;300,1,0)</f>
        <v/>
      </c>
      <c r="O2901" s="25">
        <f>IF(J2901&gt;600,1,0)</f>
        <v/>
      </c>
      <c r="P2901" s="25">
        <f>IF(H2901&gt;0,J2901,"")</f>
        <v/>
      </c>
      <c r="Q2901" s="25">
        <f>TEXT(A2901,"YYYY-MM-DD HH")</f>
        <v/>
      </c>
      <c r="R2901" s="25">
        <f>COUNTIF($Q$2:$Q$5295,Q2901)</f>
        <v/>
      </c>
      <c r="S2901" s="25">
        <f>IF(R2901&lt;=2,"1-2",IF(R2901&lt;=5,"3-5",IF(R2901&lt;=10,"6-10","11+")))</f>
        <v/>
      </c>
    </row>
    <row r="2902">
      <c r="A2902" s="39" t="n">
        <v>46192.03408564815</v>
      </c>
      <c r="B2902" s="25">
        <f>TEXT(A2902,"YYYY-MM")</f>
        <v/>
      </c>
      <c r="C2902" s="25">
        <f>TEXT(A2902,"MMM-YYYY")</f>
        <v/>
      </c>
      <c r="D2902" s="40">
        <f>INT(A2902)-WEEKDAY(A2902,2)+1</f>
        <v/>
      </c>
      <c r="E2902" s="25" t="inlineStr">
        <is>
          <t>shassan</t>
        </is>
      </c>
      <c r="F2902" s="25" t="n">
        <v>122465</v>
      </c>
      <c r="G2902" s="25" t="n">
        <v>5</v>
      </c>
      <c r="H2902" s="25" t="n">
        <v>25</v>
      </c>
      <c r="I2902" s="25" t="inlineStr">
        <is>
          <t>9 minute(s) and 6 second(s)</t>
        </is>
      </c>
      <c r="J2902" s="25">
        <f>IFERROR(VALUE(TRIM(LEFT(I2902,FIND("minute",I2902)-1)))*60,0)+IFERROR(VALUE(SUBSTITUTE(MID(I2902,IFERROR(FIND("and",I2902)+3,1),20),"second(s)","")),0)</f>
        <v/>
      </c>
      <c r="K2902" s="41">
        <f>J2902/60</f>
        <v/>
      </c>
      <c r="L2902" s="41">
        <f>IFERROR(J2902/H2902,"")</f>
        <v/>
      </c>
      <c r="M2902" s="25" t="inlineStr">
        <is>
          <t>2.5.12</t>
        </is>
      </c>
      <c r="N2902" s="25">
        <f>IF(J2902&gt;300,1,0)</f>
        <v/>
      </c>
      <c r="O2902" s="25">
        <f>IF(J2902&gt;600,1,0)</f>
        <v/>
      </c>
      <c r="P2902" s="25">
        <f>IF(H2902&gt;0,J2902,"")</f>
        <v/>
      </c>
      <c r="Q2902" s="25">
        <f>TEXT(A2902,"YYYY-MM-DD HH")</f>
        <v/>
      </c>
      <c r="R2902" s="25">
        <f>COUNTIF($Q$2:$Q$5295,Q2902)</f>
        <v/>
      </c>
      <c r="S2902" s="25">
        <f>IF(R2902&lt;=2,"1-2",IF(R2902&lt;=5,"3-5",IF(R2902&lt;=10,"6-10","11+")))</f>
        <v/>
      </c>
    </row>
    <row r="2903">
      <c r="A2903" s="39" t="n">
        <v>46192.03802083333</v>
      </c>
      <c r="B2903" s="25">
        <f>TEXT(A2903,"YYYY-MM")</f>
        <v/>
      </c>
      <c r="C2903" s="25">
        <f>TEXT(A2903,"MMM-YYYY")</f>
        <v/>
      </c>
      <c r="D2903" s="40">
        <f>INT(A2903)-WEEKDAY(A2903,2)+1</f>
        <v/>
      </c>
      <c r="E2903" s="25" t="inlineStr">
        <is>
          <t>psingh</t>
        </is>
      </c>
      <c r="F2903" s="25" t="n">
        <v>104099</v>
      </c>
      <c r="G2903" s="25" t="n">
        <v>1</v>
      </c>
      <c r="H2903" s="25" t="n">
        <v>7</v>
      </c>
      <c r="I2903" s="25" t="inlineStr">
        <is>
          <t>6 minute(s) and 10 second(s)</t>
        </is>
      </c>
      <c r="J2903" s="25">
        <f>IFERROR(VALUE(TRIM(LEFT(I2903,FIND("minute",I2903)-1)))*60,0)+IFERROR(VALUE(SUBSTITUTE(MID(I2903,IFERROR(FIND("and",I2903)+3,1),20),"second(s)","")),0)</f>
        <v/>
      </c>
      <c r="K2903" s="41">
        <f>J2903/60</f>
        <v/>
      </c>
      <c r="L2903" s="41">
        <f>IFERROR(J2903/H2903,"")</f>
        <v/>
      </c>
      <c r="M2903" s="25" t="inlineStr">
        <is>
          <t>2.5.12</t>
        </is>
      </c>
      <c r="N2903" s="25">
        <f>IF(J2903&gt;300,1,0)</f>
        <v/>
      </c>
      <c r="O2903" s="25">
        <f>IF(J2903&gt;600,1,0)</f>
        <v/>
      </c>
      <c r="P2903" s="25">
        <f>IF(H2903&gt;0,J2903,"")</f>
        <v/>
      </c>
      <c r="Q2903" s="25">
        <f>TEXT(A2903,"YYYY-MM-DD HH")</f>
        <v/>
      </c>
      <c r="R2903" s="25">
        <f>COUNTIF($Q$2:$Q$5295,Q2903)</f>
        <v/>
      </c>
      <c r="S2903" s="25">
        <f>IF(R2903&lt;=2,"1-2",IF(R2903&lt;=5,"3-5",IF(R2903&lt;=10,"6-10","11+")))</f>
        <v/>
      </c>
    </row>
    <row r="2904">
      <c r="A2904" s="39" t="n">
        <v>46192.04767361111</v>
      </c>
      <c r="B2904" s="25">
        <f>TEXT(A2904,"YYYY-MM")</f>
        <v/>
      </c>
      <c r="C2904" s="25">
        <f>TEXT(A2904,"MMM-YYYY")</f>
        <v/>
      </c>
      <c r="D2904" s="40">
        <f>INT(A2904)-WEEKDAY(A2904,2)+1</f>
        <v/>
      </c>
      <c r="E2904" s="25" t="inlineStr">
        <is>
          <t>shassan</t>
        </is>
      </c>
      <c r="F2904" s="25" t="n">
        <v>122465</v>
      </c>
      <c r="G2904" s="25" t="n">
        <v>5</v>
      </c>
      <c r="H2904" s="25" t="n">
        <v>25</v>
      </c>
      <c r="I2904" s="25" t="inlineStr">
        <is>
          <t>29 minute(s) and 29 second(s)</t>
        </is>
      </c>
      <c r="J2904" s="25">
        <f>IFERROR(VALUE(TRIM(LEFT(I2904,FIND("minute",I2904)-1)))*60,0)+IFERROR(VALUE(SUBSTITUTE(MID(I2904,IFERROR(FIND("and",I2904)+3,1),20),"second(s)","")),0)</f>
        <v/>
      </c>
      <c r="K2904" s="41">
        <f>J2904/60</f>
        <v/>
      </c>
      <c r="L2904" s="41">
        <f>IFERROR(J2904/H2904,"")</f>
        <v/>
      </c>
      <c r="M2904" s="25" t="inlineStr">
        <is>
          <t>2.5.12</t>
        </is>
      </c>
      <c r="N2904" s="25">
        <f>IF(J2904&gt;300,1,0)</f>
        <v/>
      </c>
      <c r="O2904" s="25">
        <f>IF(J2904&gt;600,1,0)</f>
        <v/>
      </c>
      <c r="P2904" s="25">
        <f>IF(H2904&gt;0,J2904,"")</f>
        <v/>
      </c>
      <c r="Q2904" s="25">
        <f>TEXT(A2904,"YYYY-MM-DD HH")</f>
        <v/>
      </c>
      <c r="R2904" s="25">
        <f>COUNTIF($Q$2:$Q$5295,Q2904)</f>
        <v/>
      </c>
      <c r="S2904" s="25">
        <f>IF(R2904&lt;=2,"1-2",IF(R2904&lt;=5,"3-5",IF(R2904&lt;=10,"6-10","11+")))</f>
        <v/>
      </c>
    </row>
    <row r="2905">
      <c r="A2905" s="39" t="n">
        <v>46192.04831018519</v>
      </c>
      <c r="B2905" s="25">
        <f>TEXT(A2905,"YYYY-MM")</f>
        <v/>
      </c>
      <c r="C2905" s="25">
        <f>TEXT(A2905,"MMM-YYYY")</f>
        <v/>
      </c>
      <c r="D2905" s="40">
        <f>INT(A2905)-WEEKDAY(A2905,2)+1</f>
        <v/>
      </c>
      <c r="E2905" s="25" t="inlineStr">
        <is>
          <t>psathwika</t>
        </is>
      </c>
      <c r="F2905" s="25" t="n">
        <v>114823</v>
      </c>
      <c r="G2905" s="25" t="n">
        <v>1</v>
      </c>
      <c r="H2905" s="25" t="n">
        <v>7</v>
      </c>
      <c r="I2905" s="25" t="inlineStr">
        <is>
          <t>2 minute(s) and 13 second(s)</t>
        </is>
      </c>
      <c r="J2905" s="25">
        <f>IFERROR(VALUE(TRIM(LEFT(I2905,FIND("minute",I2905)-1)))*60,0)+IFERROR(VALUE(SUBSTITUTE(MID(I2905,IFERROR(FIND("and",I2905)+3,1),20),"second(s)","")),0)</f>
        <v/>
      </c>
      <c r="K2905" s="41">
        <f>J2905/60</f>
        <v/>
      </c>
      <c r="L2905" s="41">
        <f>IFERROR(J2905/H2905,"")</f>
        <v/>
      </c>
      <c r="M2905" s="25" t="inlineStr">
        <is>
          <t>2.5.12</t>
        </is>
      </c>
      <c r="N2905" s="25">
        <f>IF(J2905&gt;300,1,0)</f>
        <v/>
      </c>
      <c r="O2905" s="25">
        <f>IF(J2905&gt;600,1,0)</f>
        <v/>
      </c>
      <c r="P2905" s="25">
        <f>IF(H2905&gt;0,J2905,"")</f>
        <v/>
      </c>
      <c r="Q2905" s="25">
        <f>TEXT(A2905,"YYYY-MM-DD HH")</f>
        <v/>
      </c>
      <c r="R2905" s="25">
        <f>COUNTIF($Q$2:$Q$5295,Q2905)</f>
        <v/>
      </c>
      <c r="S2905" s="25">
        <f>IF(R2905&lt;=2,"1-2",IF(R2905&lt;=5,"3-5",IF(R2905&lt;=10,"6-10","11+")))</f>
        <v/>
      </c>
    </row>
    <row r="2906">
      <c r="A2906" s="39" t="n">
        <v>46192.05429398148</v>
      </c>
      <c r="B2906" s="25">
        <f>TEXT(A2906,"YYYY-MM")</f>
        <v/>
      </c>
      <c r="C2906" s="25">
        <f>TEXT(A2906,"MMM-YYYY")</f>
        <v/>
      </c>
      <c r="D2906" s="40">
        <f>INT(A2906)-WEEKDAY(A2906,2)+1</f>
        <v/>
      </c>
      <c r="E2906" s="25" t="inlineStr">
        <is>
          <t>anusharma</t>
        </is>
      </c>
      <c r="F2906" s="25" t="n">
        <v>115206</v>
      </c>
      <c r="G2906" s="25" t="n">
        <v>1</v>
      </c>
      <c r="H2906" s="25" t="n">
        <v>5</v>
      </c>
      <c r="I2906" s="25" t="inlineStr">
        <is>
          <t>1 minute(s) and 20 second(s)</t>
        </is>
      </c>
      <c r="J2906" s="25">
        <f>IFERROR(VALUE(TRIM(LEFT(I2906,FIND("minute",I2906)-1)))*60,0)+IFERROR(VALUE(SUBSTITUTE(MID(I2906,IFERROR(FIND("and",I2906)+3,1),20),"second(s)","")),0)</f>
        <v/>
      </c>
      <c r="K2906" s="41">
        <f>J2906/60</f>
        <v/>
      </c>
      <c r="L2906" s="41">
        <f>IFERROR(J2906/H2906,"")</f>
        <v/>
      </c>
      <c r="M2906" s="25" t="inlineStr">
        <is>
          <t>2.5.12</t>
        </is>
      </c>
      <c r="N2906" s="25">
        <f>IF(J2906&gt;300,1,0)</f>
        <v/>
      </c>
      <c r="O2906" s="25">
        <f>IF(J2906&gt;600,1,0)</f>
        <v/>
      </c>
      <c r="P2906" s="25">
        <f>IF(H2906&gt;0,J2906,"")</f>
        <v/>
      </c>
      <c r="Q2906" s="25">
        <f>TEXT(A2906,"YYYY-MM-DD HH")</f>
        <v/>
      </c>
      <c r="R2906" s="25">
        <f>COUNTIF($Q$2:$Q$5295,Q2906)</f>
        <v/>
      </c>
      <c r="S2906" s="25">
        <f>IF(R2906&lt;=2,"1-2",IF(R2906&lt;=5,"3-5",IF(R2906&lt;=10,"6-10","11+")))</f>
        <v/>
      </c>
    </row>
    <row r="2907">
      <c r="A2907" s="39" t="n">
        <v>46192.08498842592</v>
      </c>
      <c r="B2907" s="25">
        <f>TEXT(A2907,"YYYY-MM")</f>
        <v/>
      </c>
      <c r="C2907" s="25">
        <f>TEXT(A2907,"MMM-YYYY")</f>
        <v/>
      </c>
      <c r="D2907" s="40">
        <f>INT(A2907)-WEEKDAY(A2907,2)+1</f>
        <v/>
      </c>
      <c r="E2907" s="25" t="inlineStr">
        <is>
          <t>anusharma</t>
        </is>
      </c>
      <c r="F2907" s="25" t="n">
        <v>109048</v>
      </c>
      <c r="G2907" s="25" t="n">
        <v>1</v>
      </c>
      <c r="H2907" s="25" t="n">
        <v>5</v>
      </c>
      <c r="I2907" s="25" t="inlineStr">
        <is>
          <t>2 minute(s) and 29 second(s)</t>
        </is>
      </c>
      <c r="J2907" s="25">
        <f>IFERROR(VALUE(TRIM(LEFT(I2907,FIND("minute",I2907)-1)))*60,0)+IFERROR(VALUE(SUBSTITUTE(MID(I2907,IFERROR(FIND("and",I2907)+3,1),20),"second(s)","")),0)</f>
        <v/>
      </c>
      <c r="K2907" s="41">
        <f>J2907/60</f>
        <v/>
      </c>
      <c r="L2907" s="41">
        <f>IFERROR(J2907/H2907,"")</f>
        <v/>
      </c>
      <c r="M2907" s="25" t="inlineStr">
        <is>
          <t>2.5.12</t>
        </is>
      </c>
      <c r="N2907" s="25">
        <f>IF(J2907&gt;300,1,0)</f>
        <v/>
      </c>
      <c r="O2907" s="25">
        <f>IF(J2907&gt;600,1,0)</f>
        <v/>
      </c>
      <c r="P2907" s="25">
        <f>IF(H2907&gt;0,J2907,"")</f>
        <v/>
      </c>
      <c r="Q2907" s="25">
        <f>TEXT(A2907,"YYYY-MM-DD HH")</f>
        <v/>
      </c>
      <c r="R2907" s="25">
        <f>COUNTIF($Q$2:$Q$5295,Q2907)</f>
        <v/>
      </c>
      <c r="S2907" s="25">
        <f>IF(R2907&lt;=2,"1-2",IF(R2907&lt;=5,"3-5",IF(R2907&lt;=10,"6-10","11+")))</f>
        <v/>
      </c>
    </row>
    <row r="2908">
      <c r="A2908" s="39" t="n">
        <v>46192.08925925926</v>
      </c>
      <c r="B2908" s="25">
        <f>TEXT(A2908,"YYYY-MM")</f>
        <v/>
      </c>
      <c r="C2908" s="25">
        <f>TEXT(A2908,"MMM-YYYY")</f>
        <v/>
      </c>
      <c r="D2908" s="40">
        <f>INT(A2908)-WEEKDAY(A2908,2)+1</f>
        <v/>
      </c>
      <c r="E2908" s="25" t="inlineStr">
        <is>
          <t>adey</t>
        </is>
      </c>
      <c r="F2908" s="25" t="n">
        <v>80391</v>
      </c>
      <c r="G2908" s="25" t="n">
        <v>2</v>
      </c>
      <c r="H2908" s="25" t="n">
        <v>10</v>
      </c>
      <c r="I2908" s="25" t="inlineStr">
        <is>
          <t>4 minute(s) and 8 second(s)</t>
        </is>
      </c>
      <c r="J2908" s="25">
        <f>IFERROR(VALUE(TRIM(LEFT(I2908,FIND("minute",I2908)-1)))*60,0)+IFERROR(VALUE(SUBSTITUTE(MID(I2908,IFERROR(FIND("and",I2908)+3,1),20),"second(s)","")),0)</f>
        <v/>
      </c>
      <c r="K2908" s="41">
        <f>J2908/60</f>
        <v/>
      </c>
      <c r="L2908" s="41">
        <f>IFERROR(J2908/H2908,"")</f>
        <v/>
      </c>
      <c r="M2908" s="25" t="inlineStr">
        <is>
          <t>2.5.12</t>
        </is>
      </c>
      <c r="N2908" s="25">
        <f>IF(J2908&gt;300,1,0)</f>
        <v/>
      </c>
      <c r="O2908" s="25">
        <f>IF(J2908&gt;600,1,0)</f>
        <v/>
      </c>
      <c r="P2908" s="25">
        <f>IF(H2908&gt;0,J2908,"")</f>
        <v/>
      </c>
      <c r="Q2908" s="25">
        <f>TEXT(A2908,"YYYY-MM-DD HH")</f>
        <v/>
      </c>
      <c r="R2908" s="25">
        <f>COUNTIF($Q$2:$Q$5295,Q2908)</f>
        <v/>
      </c>
      <c r="S2908" s="25">
        <f>IF(R2908&lt;=2,"1-2",IF(R2908&lt;=5,"3-5",IF(R2908&lt;=10,"6-10","11+")))</f>
        <v/>
      </c>
    </row>
    <row r="2909">
      <c r="A2909" s="39" t="n">
        <v>46192.09709490741</v>
      </c>
      <c r="B2909" s="25">
        <f>TEXT(A2909,"YYYY-MM")</f>
        <v/>
      </c>
      <c r="C2909" s="25">
        <f>TEXT(A2909,"MMM-YYYY")</f>
        <v/>
      </c>
      <c r="D2909" s="40">
        <f>INT(A2909)-WEEKDAY(A2909,2)+1</f>
        <v/>
      </c>
      <c r="E2909" s="25" t="inlineStr">
        <is>
          <t>psathwika</t>
        </is>
      </c>
      <c r="F2909" s="25" t="n">
        <v>113528</v>
      </c>
      <c r="G2909" s="25" t="n">
        <v>4</v>
      </c>
      <c r="H2909" s="25" t="n">
        <v>12</v>
      </c>
      <c r="I2909" s="25" t="inlineStr">
        <is>
          <t>7 minute(s) and 6 second(s)</t>
        </is>
      </c>
      <c r="J2909" s="25">
        <f>IFERROR(VALUE(TRIM(LEFT(I2909,FIND("minute",I2909)-1)))*60,0)+IFERROR(VALUE(SUBSTITUTE(MID(I2909,IFERROR(FIND("and",I2909)+3,1),20),"second(s)","")),0)</f>
        <v/>
      </c>
      <c r="K2909" s="41">
        <f>J2909/60</f>
        <v/>
      </c>
      <c r="L2909" s="41">
        <f>IFERROR(J2909/H2909,"")</f>
        <v/>
      </c>
      <c r="M2909" s="25" t="inlineStr">
        <is>
          <t>2.5.12</t>
        </is>
      </c>
      <c r="N2909" s="25">
        <f>IF(J2909&gt;300,1,0)</f>
        <v/>
      </c>
      <c r="O2909" s="25">
        <f>IF(J2909&gt;600,1,0)</f>
        <v/>
      </c>
      <c r="P2909" s="25">
        <f>IF(H2909&gt;0,J2909,"")</f>
        <v/>
      </c>
      <c r="Q2909" s="25">
        <f>TEXT(A2909,"YYYY-MM-DD HH")</f>
        <v/>
      </c>
      <c r="R2909" s="25">
        <f>COUNTIF($Q$2:$Q$5295,Q2909)</f>
        <v/>
      </c>
      <c r="S2909" s="25">
        <f>IF(R2909&lt;=2,"1-2",IF(R2909&lt;=5,"3-5",IF(R2909&lt;=10,"6-10","11+")))</f>
        <v/>
      </c>
    </row>
    <row r="2910">
      <c r="A2910" s="39" t="n">
        <v>46192.10443287037</v>
      </c>
      <c r="B2910" s="25">
        <f>TEXT(A2910,"YYYY-MM")</f>
        <v/>
      </c>
      <c r="C2910" s="25">
        <f>TEXT(A2910,"MMM-YYYY")</f>
        <v/>
      </c>
      <c r="D2910" s="40">
        <f>INT(A2910)-WEEKDAY(A2910,2)+1</f>
        <v/>
      </c>
      <c r="E2910" s="25" t="inlineStr">
        <is>
          <t>ethomas</t>
        </is>
      </c>
      <c r="F2910" s="25" t="n">
        <v>98342</v>
      </c>
      <c r="G2910" s="25" t="n">
        <v>1</v>
      </c>
      <c r="H2910" s="25" t="n">
        <v>7</v>
      </c>
      <c r="I2910" s="25" t="inlineStr">
        <is>
          <t>1 minute(s) and 22 second(s)</t>
        </is>
      </c>
      <c r="J2910" s="25">
        <f>IFERROR(VALUE(TRIM(LEFT(I2910,FIND("minute",I2910)-1)))*60,0)+IFERROR(VALUE(SUBSTITUTE(MID(I2910,IFERROR(FIND("and",I2910)+3,1),20),"second(s)","")),0)</f>
        <v/>
      </c>
      <c r="K2910" s="41">
        <f>J2910/60</f>
        <v/>
      </c>
      <c r="L2910" s="41">
        <f>IFERROR(J2910/H2910,"")</f>
        <v/>
      </c>
      <c r="M2910" s="25" t="inlineStr">
        <is>
          <t>2.5.12</t>
        </is>
      </c>
      <c r="N2910" s="25">
        <f>IF(J2910&gt;300,1,0)</f>
        <v/>
      </c>
      <c r="O2910" s="25">
        <f>IF(J2910&gt;600,1,0)</f>
        <v/>
      </c>
      <c r="P2910" s="25">
        <f>IF(H2910&gt;0,J2910,"")</f>
        <v/>
      </c>
      <c r="Q2910" s="25">
        <f>TEXT(A2910,"YYYY-MM-DD HH")</f>
        <v/>
      </c>
      <c r="R2910" s="25">
        <f>COUNTIF($Q$2:$Q$5295,Q2910)</f>
        <v/>
      </c>
      <c r="S2910" s="25">
        <f>IF(R2910&lt;=2,"1-2",IF(R2910&lt;=5,"3-5",IF(R2910&lt;=10,"6-10","11+")))</f>
        <v/>
      </c>
    </row>
    <row r="2911">
      <c r="A2911" s="39" t="n">
        <v>46192.11474537037</v>
      </c>
      <c r="B2911" s="25">
        <f>TEXT(A2911,"YYYY-MM")</f>
        <v/>
      </c>
      <c r="C2911" s="25">
        <f>TEXT(A2911,"MMM-YYYY")</f>
        <v/>
      </c>
      <c r="D2911" s="40">
        <f>INT(A2911)-WEEKDAY(A2911,2)+1</f>
        <v/>
      </c>
      <c r="E2911" s="25" t="inlineStr">
        <is>
          <t>ssrinivasan</t>
        </is>
      </c>
      <c r="F2911" s="25" t="n">
        <v>125468</v>
      </c>
      <c r="G2911" s="25" t="n">
        <v>2</v>
      </c>
      <c r="H2911" s="25" t="n">
        <v>6</v>
      </c>
      <c r="I2911" s="25" t="inlineStr">
        <is>
          <t>1 minute(s) and 52 second(s)</t>
        </is>
      </c>
      <c r="J2911" s="25">
        <f>IFERROR(VALUE(TRIM(LEFT(I2911,FIND("minute",I2911)-1)))*60,0)+IFERROR(VALUE(SUBSTITUTE(MID(I2911,IFERROR(FIND("and",I2911)+3,1),20),"second(s)","")),0)</f>
        <v/>
      </c>
      <c r="K2911" s="41">
        <f>J2911/60</f>
        <v/>
      </c>
      <c r="L2911" s="41">
        <f>IFERROR(J2911/H2911,"")</f>
        <v/>
      </c>
      <c r="M2911" s="25" t="inlineStr">
        <is>
          <t>2.5.12</t>
        </is>
      </c>
      <c r="N2911" s="25">
        <f>IF(J2911&gt;300,1,0)</f>
        <v/>
      </c>
      <c r="O2911" s="25">
        <f>IF(J2911&gt;600,1,0)</f>
        <v/>
      </c>
      <c r="P2911" s="25">
        <f>IF(H2911&gt;0,J2911,"")</f>
        <v/>
      </c>
      <c r="Q2911" s="25">
        <f>TEXT(A2911,"YYYY-MM-DD HH")</f>
        <v/>
      </c>
      <c r="R2911" s="25">
        <f>COUNTIF($Q$2:$Q$5295,Q2911)</f>
        <v/>
      </c>
      <c r="S2911" s="25">
        <f>IF(R2911&lt;=2,"1-2",IF(R2911&lt;=5,"3-5",IF(R2911&lt;=10,"6-10","11+")))</f>
        <v/>
      </c>
    </row>
    <row r="2912">
      <c r="A2912" s="39" t="n">
        <v>46192.12116898148</v>
      </c>
      <c r="B2912" s="25">
        <f>TEXT(A2912,"YYYY-MM")</f>
        <v/>
      </c>
      <c r="C2912" s="25">
        <f>TEXT(A2912,"MMM-YYYY")</f>
        <v/>
      </c>
      <c r="D2912" s="40">
        <f>INT(A2912)-WEEKDAY(A2912,2)+1</f>
        <v/>
      </c>
      <c r="E2912" s="25" t="inlineStr">
        <is>
          <t>anusharma</t>
        </is>
      </c>
      <c r="F2912" s="25" t="n">
        <v>109044</v>
      </c>
      <c r="G2912" s="25" t="n">
        <v>2</v>
      </c>
      <c r="H2912" s="25" t="n">
        <v>8</v>
      </c>
      <c r="I2912" s="25" t="inlineStr">
        <is>
          <t>1 minute(s) and 36 second(s)</t>
        </is>
      </c>
      <c r="J2912" s="25">
        <f>IFERROR(VALUE(TRIM(LEFT(I2912,FIND("minute",I2912)-1)))*60,0)+IFERROR(VALUE(SUBSTITUTE(MID(I2912,IFERROR(FIND("and",I2912)+3,1),20),"second(s)","")),0)</f>
        <v/>
      </c>
      <c r="K2912" s="41">
        <f>J2912/60</f>
        <v/>
      </c>
      <c r="L2912" s="41">
        <f>IFERROR(J2912/H2912,"")</f>
        <v/>
      </c>
      <c r="M2912" s="25" t="inlineStr">
        <is>
          <t>2.5.12</t>
        </is>
      </c>
      <c r="N2912" s="25">
        <f>IF(J2912&gt;300,1,0)</f>
        <v/>
      </c>
      <c r="O2912" s="25">
        <f>IF(J2912&gt;600,1,0)</f>
        <v/>
      </c>
      <c r="P2912" s="25">
        <f>IF(H2912&gt;0,J2912,"")</f>
        <v/>
      </c>
      <c r="Q2912" s="25">
        <f>TEXT(A2912,"YYYY-MM-DD HH")</f>
        <v/>
      </c>
      <c r="R2912" s="25">
        <f>COUNTIF($Q$2:$Q$5295,Q2912)</f>
        <v/>
      </c>
      <c r="S2912" s="25">
        <f>IF(R2912&lt;=2,"1-2",IF(R2912&lt;=5,"3-5",IF(R2912&lt;=10,"6-10","11+")))</f>
        <v/>
      </c>
    </row>
    <row r="2913">
      <c r="A2913" s="39" t="n">
        <v>46192.1237962963</v>
      </c>
      <c r="B2913" s="25">
        <f>TEXT(A2913,"YYYY-MM")</f>
        <v/>
      </c>
      <c r="C2913" s="25">
        <f>TEXT(A2913,"MMM-YYYY")</f>
        <v/>
      </c>
      <c r="D2913" s="40">
        <f>INT(A2913)-WEEKDAY(A2913,2)+1</f>
        <v/>
      </c>
      <c r="E2913" s="25" t="inlineStr">
        <is>
          <t>tkarmakar</t>
        </is>
      </c>
      <c r="F2913" s="25" t="n">
        <v>116734</v>
      </c>
      <c r="G2913" s="25" t="n">
        <v>2</v>
      </c>
      <c r="H2913" s="25" t="n">
        <v>10</v>
      </c>
      <c r="I2913" s="25" t="inlineStr">
        <is>
          <t>1 minute(s) and 47 second(s)</t>
        </is>
      </c>
      <c r="J2913" s="25">
        <f>IFERROR(VALUE(TRIM(LEFT(I2913,FIND("minute",I2913)-1)))*60,0)+IFERROR(VALUE(SUBSTITUTE(MID(I2913,IFERROR(FIND("and",I2913)+3,1),20),"second(s)","")),0)</f>
        <v/>
      </c>
      <c r="K2913" s="41">
        <f>J2913/60</f>
        <v/>
      </c>
      <c r="L2913" s="41">
        <f>IFERROR(J2913/H2913,"")</f>
        <v/>
      </c>
      <c r="M2913" s="25" t="inlineStr">
        <is>
          <t>2.5.12</t>
        </is>
      </c>
      <c r="N2913" s="25">
        <f>IF(J2913&gt;300,1,0)</f>
        <v/>
      </c>
      <c r="O2913" s="25">
        <f>IF(J2913&gt;600,1,0)</f>
        <v/>
      </c>
      <c r="P2913" s="25">
        <f>IF(H2913&gt;0,J2913,"")</f>
        <v/>
      </c>
      <c r="Q2913" s="25">
        <f>TEXT(A2913,"YYYY-MM-DD HH")</f>
        <v/>
      </c>
      <c r="R2913" s="25">
        <f>COUNTIF($Q$2:$Q$5295,Q2913)</f>
        <v/>
      </c>
      <c r="S2913" s="25">
        <f>IF(R2913&lt;=2,"1-2",IF(R2913&lt;=5,"3-5",IF(R2913&lt;=10,"6-10","11+")))</f>
        <v/>
      </c>
    </row>
    <row r="2914">
      <c r="A2914" s="39" t="n">
        <v>46192.12716435185</v>
      </c>
      <c r="B2914" s="25">
        <f>TEXT(A2914,"YYYY-MM")</f>
        <v/>
      </c>
      <c r="C2914" s="25">
        <f>TEXT(A2914,"MMM-YYYY")</f>
        <v/>
      </c>
      <c r="D2914" s="40">
        <f>INT(A2914)-WEEKDAY(A2914,2)+1</f>
        <v/>
      </c>
      <c r="E2914" s="25" t="inlineStr">
        <is>
          <t>mbohra</t>
        </is>
      </c>
      <c r="F2914" s="25" t="n">
        <v>116384</v>
      </c>
      <c r="G2914" s="25" t="n">
        <v>4</v>
      </c>
      <c r="H2914" s="25" t="n">
        <v>16</v>
      </c>
      <c r="I2914" s="25" t="inlineStr">
        <is>
          <t>5 minute(s) and 29 second(s)</t>
        </is>
      </c>
      <c r="J2914" s="25">
        <f>IFERROR(VALUE(TRIM(LEFT(I2914,FIND("minute",I2914)-1)))*60,0)+IFERROR(VALUE(SUBSTITUTE(MID(I2914,IFERROR(FIND("and",I2914)+3,1),20),"second(s)","")),0)</f>
        <v/>
      </c>
      <c r="K2914" s="41">
        <f>J2914/60</f>
        <v/>
      </c>
      <c r="L2914" s="41">
        <f>IFERROR(J2914/H2914,"")</f>
        <v/>
      </c>
      <c r="M2914" s="25" t="inlineStr">
        <is>
          <t>2.5.12</t>
        </is>
      </c>
      <c r="N2914" s="25">
        <f>IF(J2914&gt;300,1,0)</f>
        <v/>
      </c>
      <c r="O2914" s="25">
        <f>IF(J2914&gt;600,1,0)</f>
        <v/>
      </c>
      <c r="P2914" s="25">
        <f>IF(H2914&gt;0,J2914,"")</f>
        <v/>
      </c>
      <c r="Q2914" s="25">
        <f>TEXT(A2914,"YYYY-MM-DD HH")</f>
        <v/>
      </c>
      <c r="R2914" s="25">
        <f>COUNTIF($Q$2:$Q$5295,Q2914)</f>
        <v/>
      </c>
      <c r="S2914" s="25">
        <f>IF(R2914&lt;=2,"1-2",IF(R2914&lt;=5,"3-5",IF(R2914&lt;=10,"6-10","11+")))</f>
        <v/>
      </c>
    </row>
    <row r="2915">
      <c r="A2915" s="39" t="n">
        <v>46192.13046296296</v>
      </c>
      <c r="B2915" s="25">
        <f>TEXT(A2915,"YYYY-MM")</f>
        <v/>
      </c>
      <c r="C2915" s="25">
        <f>TEXT(A2915,"MMM-YYYY")</f>
        <v/>
      </c>
      <c r="D2915" s="40">
        <f>INT(A2915)-WEEKDAY(A2915,2)+1</f>
        <v/>
      </c>
      <c r="E2915" s="25" t="inlineStr">
        <is>
          <t>aghosh</t>
        </is>
      </c>
      <c r="F2915" s="25" t="n">
        <v>124141</v>
      </c>
      <c r="G2915" s="25" t="n">
        <v>4</v>
      </c>
      <c r="H2915" s="25" t="n">
        <v>27</v>
      </c>
      <c r="I2915" s="25" t="inlineStr">
        <is>
          <t>6 minute(s) and 58 second(s)</t>
        </is>
      </c>
      <c r="J2915" s="25">
        <f>IFERROR(VALUE(TRIM(LEFT(I2915,FIND("minute",I2915)-1)))*60,0)+IFERROR(VALUE(SUBSTITUTE(MID(I2915,IFERROR(FIND("and",I2915)+3,1),20),"second(s)","")),0)</f>
        <v/>
      </c>
      <c r="K2915" s="41">
        <f>J2915/60</f>
        <v/>
      </c>
      <c r="L2915" s="41">
        <f>IFERROR(J2915/H2915,"")</f>
        <v/>
      </c>
      <c r="M2915" s="25" t="inlineStr">
        <is>
          <t>2.5.12</t>
        </is>
      </c>
      <c r="N2915" s="25">
        <f>IF(J2915&gt;300,1,0)</f>
        <v/>
      </c>
      <c r="O2915" s="25">
        <f>IF(J2915&gt;600,1,0)</f>
        <v/>
      </c>
      <c r="P2915" s="25">
        <f>IF(H2915&gt;0,J2915,"")</f>
        <v/>
      </c>
      <c r="Q2915" s="25">
        <f>TEXT(A2915,"YYYY-MM-DD HH")</f>
        <v/>
      </c>
      <c r="R2915" s="25">
        <f>COUNTIF($Q$2:$Q$5295,Q2915)</f>
        <v/>
      </c>
      <c r="S2915" s="25">
        <f>IF(R2915&lt;=2,"1-2",IF(R2915&lt;=5,"3-5",IF(R2915&lt;=10,"6-10","11+")))</f>
        <v/>
      </c>
    </row>
    <row r="2916">
      <c r="A2916" s="39" t="n">
        <v>46192.13379629629</v>
      </c>
      <c r="B2916" s="25">
        <f>TEXT(A2916,"YYYY-MM")</f>
        <v/>
      </c>
      <c r="C2916" s="25">
        <f>TEXT(A2916,"MMM-YYYY")</f>
        <v/>
      </c>
      <c r="D2916" s="40">
        <f>INT(A2916)-WEEKDAY(A2916,2)+1</f>
        <v/>
      </c>
      <c r="E2916" s="25" t="inlineStr">
        <is>
          <t>sdey</t>
        </is>
      </c>
      <c r="F2916" s="25" t="n">
        <v>80101</v>
      </c>
      <c r="G2916" s="25" t="n">
        <v>1</v>
      </c>
      <c r="H2916" s="25" t="n">
        <v>5</v>
      </c>
      <c r="I2916" s="25" t="inlineStr">
        <is>
          <t>2 minute(s) and 31 second(s)</t>
        </is>
      </c>
      <c r="J2916" s="25">
        <f>IFERROR(VALUE(TRIM(LEFT(I2916,FIND("minute",I2916)-1)))*60,0)+IFERROR(VALUE(SUBSTITUTE(MID(I2916,IFERROR(FIND("and",I2916)+3,1),20),"second(s)","")),0)</f>
        <v/>
      </c>
      <c r="K2916" s="41">
        <f>J2916/60</f>
        <v/>
      </c>
      <c r="L2916" s="41">
        <f>IFERROR(J2916/H2916,"")</f>
        <v/>
      </c>
      <c r="M2916" s="25" t="inlineStr">
        <is>
          <t>2.5.12</t>
        </is>
      </c>
      <c r="N2916" s="25">
        <f>IF(J2916&gt;300,1,0)</f>
        <v/>
      </c>
      <c r="O2916" s="25">
        <f>IF(J2916&gt;600,1,0)</f>
        <v/>
      </c>
      <c r="P2916" s="25">
        <f>IF(H2916&gt;0,J2916,"")</f>
        <v/>
      </c>
      <c r="Q2916" s="25">
        <f>TEXT(A2916,"YYYY-MM-DD HH")</f>
        <v/>
      </c>
      <c r="R2916" s="25">
        <f>COUNTIF($Q$2:$Q$5295,Q2916)</f>
        <v/>
      </c>
      <c r="S2916" s="25">
        <f>IF(R2916&lt;=2,"1-2",IF(R2916&lt;=5,"3-5",IF(R2916&lt;=10,"6-10","11+")))</f>
        <v/>
      </c>
    </row>
    <row r="2917">
      <c r="A2917" s="39" t="n">
        <v>46192.14216435186</v>
      </c>
      <c r="B2917" s="25">
        <f>TEXT(A2917,"YYYY-MM")</f>
        <v/>
      </c>
      <c r="C2917" s="25">
        <f>TEXT(A2917,"MMM-YYYY")</f>
        <v/>
      </c>
      <c r="D2917" s="40">
        <f>INT(A2917)-WEEKDAY(A2917,2)+1</f>
        <v/>
      </c>
      <c r="E2917" s="25" t="inlineStr">
        <is>
          <t>aghosh</t>
        </is>
      </c>
      <c r="F2917" s="25" t="n">
        <v>124141</v>
      </c>
      <c r="G2917" s="25" t="n">
        <v>4</v>
      </c>
      <c r="H2917" s="25" t="n">
        <v>25</v>
      </c>
      <c r="I2917" s="25" t="inlineStr">
        <is>
          <t>7 minute(s) and 11 second(s)</t>
        </is>
      </c>
      <c r="J2917" s="25">
        <f>IFERROR(VALUE(TRIM(LEFT(I2917,FIND("minute",I2917)-1)))*60,0)+IFERROR(VALUE(SUBSTITUTE(MID(I2917,IFERROR(FIND("and",I2917)+3,1),20),"second(s)","")),0)</f>
        <v/>
      </c>
      <c r="K2917" s="41">
        <f>J2917/60</f>
        <v/>
      </c>
      <c r="L2917" s="41">
        <f>IFERROR(J2917/H2917,"")</f>
        <v/>
      </c>
      <c r="M2917" s="25" t="inlineStr">
        <is>
          <t>2.5.12</t>
        </is>
      </c>
      <c r="N2917" s="25">
        <f>IF(J2917&gt;300,1,0)</f>
        <v/>
      </c>
      <c r="O2917" s="25">
        <f>IF(J2917&gt;600,1,0)</f>
        <v/>
      </c>
      <c r="P2917" s="25">
        <f>IF(H2917&gt;0,J2917,"")</f>
        <v/>
      </c>
      <c r="Q2917" s="25">
        <f>TEXT(A2917,"YYYY-MM-DD HH")</f>
        <v/>
      </c>
      <c r="R2917" s="25">
        <f>COUNTIF($Q$2:$Q$5295,Q2917)</f>
        <v/>
      </c>
      <c r="S2917" s="25">
        <f>IF(R2917&lt;=2,"1-2",IF(R2917&lt;=5,"3-5",IF(R2917&lt;=10,"6-10","11+")))</f>
        <v/>
      </c>
    </row>
    <row r="2918">
      <c r="A2918" s="39" t="n">
        <v>46192.158125</v>
      </c>
      <c r="B2918" s="25">
        <f>TEXT(A2918,"YYYY-MM")</f>
        <v/>
      </c>
      <c r="C2918" s="25">
        <f>TEXT(A2918,"MMM-YYYY")</f>
        <v/>
      </c>
      <c r="D2918" s="40">
        <f>INT(A2918)-WEEKDAY(A2918,2)+1</f>
        <v/>
      </c>
      <c r="E2918" s="25" t="inlineStr">
        <is>
          <t>bverma</t>
        </is>
      </c>
      <c r="F2918" s="25" t="n">
        <v>126114</v>
      </c>
      <c r="G2918" s="25" t="n">
        <v>4</v>
      </c>
      <c r="H2918" s="25" t="n">
        <v>26</v>
      </c>
      <c r="I2918" s="25" t="inlineStr">
        <is>
          <t>6 minute(s) and 18 second(s)</t>
        </is>
      </c>
      <c r="J2918" s="25">
        <f>IFERROR(VALUE(TRIM(LEFT(I2918,FIND("minute",I2918)-1)))*60,0)+IFERROR(VALUE(SUBSTITUTE(MID(I2918,IFERROR(FIND("and",I2918)+3,1),20),"second(s)","")),0)</f>
        <v/>
      </c>
      <c r="K2918" s="41">
        <f>J2918/60</f>
        <v/>
      </c>
      <c r="L2918" s="41">
        <f>IFERROR(J2918/H2918,"")</f>
        <v/>
      </c>
      <c r="M2918" s="25" t="inlineStr">
        <is>
          <t>2.5.12</t>
        </is>
      </c>
      <c r="N2918" s="25">
        <f>IF(J2918&gt;300,1,0)</f>
        <v/>
      </c>
      <c r="O2918" s="25">
        <f>IF(J2918&gt;600,1,0)</f>
        <v/>
      </c>
      <c r="P2918" s="25">
        <f>IF(H2918&gt;0,J2918,"")</f>
        <v/>
      </c>
      <c r="Q2918" s="25">
        <f>TEXT(A2918,"YYYY-MM-DD HH")</f>
        <v/>
      </c>
      <c r="R2918" s="25">
        <f>COUNTIF($Q$2:$Q$5295,Q2918)</f>
        <v/>
      </c>
      <c r="S2918" s="25">
        <f>IF(R2918&lt;=2,"1-2",IF(R2918&lt;=5,"3-5",IF(R2918&lt;=10,"6-10","11+")))</f>
        <v/>
      </c>
    </row>
    <row r="2919">
      <c r="A2919" s="39" t="n">
        <v>46192.15878472223</v>
      </c>
      <c r="B2919" s="25">
        <f>TEXT(A2919,"YYYY-MM")</f>
        <v/>
      </c>
      <c r="C2919" s="25">
        <f>TEXT(A2919,"MMM-YYYY")</f>
        <v/>
      </c>
      <c r="D2919" s="40">
        <f>INT(A2919)-WEEKDAY(A2919,2)+1</f>
        <v/>
      </c>
      <c r="E2919" s="25" t="inlineStr">
        <is>
          <t>asahoo</t>
        </is>
      </c>
      <c r="F2919" s="25" t="n">
        <v>124465</v>
      </c>
      <c r="G2919" s="25" t="n">
        <v>4</v>
      </c>
      <c r="H2919" s="25" t="n">
        <v>14</v>
      </c>
      <c r="I2919" s="25" t="inlineStr">
        <is>
          <t>4 minute(s) and 19 second(s)</t>
        </is>
      </c>
      <c r="J2919" s="25">
        <f>IFERROR(VALUE(TRIM(LEFT(I2919,FIND("minute",I2919)-1)))*60,0)+IFERROR(VALUE(SUBSTITUTE(MID(I2919,IFERROR(FIND("and",I2919)+3,1),20),"second(s)","")),0)</f>
        <v/>
      </c>
      <c r="K2919" s="41">
        <f>J2919/60</f>
        <v/>
      </c>
      <c r="L2919" s="41">
        <f>IFERROR(J2919/H2919,"")</f>
        <v/>
      </c>
      <c r="M2919" s="25" t="inlineStr">
        <is>
          <t>2.5.12</t>
        </is>
      </c>
      <c r="N2919" s="25">
        <f>IF(J2919&gt;300,1,0)</f>
        <v/>
      </c>
      <c r="O2919" s="25">
        <f>IF(J2919&gt;600,1,0)</f>
        <v/>
      </c>
      <c r="P2919" s="25">
        <f>IF(H2919&gt;0,J2919,"")</f>
        <v/>
      </c>
      <c r="Q2919" s="25">
        <f>TEXT(A2919,"YYYY-MM-DD HH")</f>
        <v/>
      </c>
      <c r="R2919" s="25">
        <f>COUNTIF($Q$2:$Q$5295,Q2919)</f>
        <v/>
      </c>
      <c r="S2919" s="25">
        <f>IF(R2919&lt;=2,"1-2",IF(R2919&lt;=5,"3-5",IF(R2919&lt;=10,"6-10","11+")))</f>
        <v/>
      </c>
    </row>
    <row r="2920">
      <c r="A2920" s="39" t="n">
        <v>46192.16756944444</v>
      </c>
      <c r="B2920" s="25">
        <f>TEXT(A2920,"YYYY-MM")</f>
        <v/>
      </c>
      <c r="C2920" s="25">
        <f>TEXT(A2920,"MMM-YYYY")</f>
        <v/>
      </c>
      <c r="D2920" s="40">
        <f>INT(A2920)-WEEKDAY(A2920,2)+1</f>
        <v/>
      </c>
      <c r="E2920" s="25" t="inlineStr">
        <is>
          <t>ethomas</t>
        </is>
      </c>
      <c r="F2920" s="25" t="n">
        <v>123382</v>
      </c>
      <c r="G2920" s="25" t="n">
        <v>1</v>
      </c>
      <c r="H2920" s="25" t="n">
        <v>5</v>
      </c>
      <c r="I2920" s="25" t="inlineStr">
        <is>
          <t>2 minute(s) and 41 second(s)</t>
        </is>
      </c>
      <c r="J2920" s="25">
        <f>IFERROR(VALUE(TRIM(LEFT(I2920,FIND("minute",I2920)-1)))*60,0)+IFERROR(VALUE(SUBSTITUTE(MID(I2920,IFERROR(FIND("and",I2920)+3,1),20),"second(s)","")),0)</f>
        <v/>
      </c>
      <c r="K2920" s="41">
        <f>J2920/60</f>
        <v/>
      </c>
      <c r="L2920" s="41">
        <f>IFERROR(J2920/H2920,"")</f>
        <v/>
      </c>
      <c r="M2920" s="25" t="inlineStr">
        <is>
          <t>2.5.12</t>
        </is>
      </c>
      <c r="N2920" s="25">
        <f>IF(J2920&gt;300,1,0)</f>
        <v/>
      </c>
      <c r="O2920" s="25">
        <f>IF(J2920&gt;600,1,0)</f>
        <v/>
      </c>
      <c r="P2920" s="25">
        <f>IF(H2920&gt;0,J2920,"")</f>
        <v/>
      </c>
      <c r="Q2920" s="25">
        <f>TEXT(A2920,"YYYY-MM-DD HH")</f>
        <v/>
      </c>
      <c r="R2920" s="25">
        <f>COUNTIF($Q$2:$Q$5295,Q2920)</f>
        <v/>
      </c>
      <c r="S2920" s="25">
        <f>IF(R2920&lt;=2,"1-2",IF(R2920&lt;=5,"3-5",IF(R2920&lt;=10,"6-10","11+")))</f>
        <v/>
      </c>
    </row>
    <row r="2921">
      <c r="A2921" s="39" t="n">
        <v>46192.17181712963</v>
      </c>
      <c r="B2921" s="25">
        <f>TEXT(A2921,"YYYY-MM")</f>
        <v/>
      </c>
      <c r="C2921" s="25">
        <f>TEXT(A2921,"MMM-YYYY")</f>
        <v/>
      </c>
      <c r="D2921" s="40">
        <f>INT(A2921)-WEEKDAY(A2921,2)+1</f>
        <v/>
      </c>
      <c r="E2921" s="25" t="inlineStr">
        <is>
          <t>ssarkar</t>
        </is>
      </c>
      <c r="F2921" s="25" t="n">
        <v>109876</v>
      </c>
      <c r="G2921" s="25" t="n">
        <v>4</v>
      </c>
      <c r="H2921" s="25" t="n">
        <v>24</v>
      </c>
      <c r="I2921" s="25" t="inlineStr">
        <is>
          <t>7 minute(s) and 50 second(s)</t>
        </is>
      </c>
      <c r="J2921" s="25">
        <f>IFERROR(VALUE(TRIM(LEFT(I2921,FIND("minute",I2921)-1)))*60,0)+IFERROR(VALUE(SUBSTITUTE(MID(I2921,IFERROR(FIND("and",I2921)+3,1),20),"second(s)","")),0)</f>
        <v/>
      </c>
      <c r="K2921" s="41">
        <f>J2921/60</f>
        <v/>
      </c>
      <c r="L2921" s="41">
        <f>IFERROR(J2921/H2921,"")</f>
        <v/>
      </c>
      <c r="M2921" s="25" t="inlineStr">
        <is>
          <t>2.5.12</t>
        </is>
      </c>
      <c r="N2921" s="25">
        <f>IF(J2921&gt;300,1,0)</f>
        <v/>
      </c>
      <c r="O2921" s="25">
        <f>IF(J2921&gt;600,1,0)</f>
        <v/>
      </c>
      <c r="P2921" s="25">
        <f>IF(H2921&gt;0,J2921,"")</f>
        <v/>
      </c>
      <c r="Q2921" s="25">
        <f>TEXT(A2921,"YYYY-MM-DD HH")</f>
        <v/>
      </c>
      <c r="R2921" s="25">
        <f>COUNTIF($Q$2:$Q$5295,Q2921)</f>
        <v/>
      </c>
      <c r="S2921" s="25">
        <f>IF(R2921&lt;=2,"1-2",IF(R2921&lt;=5,"3-5",IF(R2921&lt;=10,"6-10","11+")))</f>
        <v/>
      </c>
    </row>
    <row r="2922">
      <c r="A2922" s="39" t="n">
        <v>46192.17791666667</v>
      </c>
      <c r="B2922" s="25">
        <f>TEXT(A2922,"YYYY-MM")</f>
        <v/>
      </c>
      <c r="C2922" s="25">
        <f>TEXT(A2922,"MMM-YYYY")</f>
        <v/>
      </c>
      <c r="D2922" s="40">
        <f>INT(A2922)-WEEKDAY(A2922,2)+1</f>
        <v/>
      </c>
      <c r="E2922" s="25" t="inlineStr">
        <is>
          <t>tkarmakar</t>
        </is>
      </c>
      <c r="F2922" s="25" t="n">
        <v>116943</v>
      </c>
      <c r="G2922" s="25" t="n">
        <v>3</v>
      </c>
      <c r="H2922" s="25" t="n">
        <v>11</v>
      </c>
      <c r="I2922" s="25" t="inlineStr">
        <is>
          <t>2 minute(s) and 37 second(s)</t>
        </is>
      </c>
      <c r="J2922" s="25">
        <f>IFERROR(VALUE(TRIM(LEFT(I2922,FIND("minute",I2922)-1)))*60,0)+IFERROR(VALUE(SUBSTITUTE(MID(I2922,IFERROR(FIND("and",I2922)+3,1),20),"second(s)","")),0)</f>
        <v/>
      </c>
      <c r="K2922" s="41">
        <f>J2922/60</f>
        <v/>
      </c>
      <c r="L2922" s="41">
        <f>IFERROR(J2922/H2922,"")</f>
        <v/>
      </c>
      <c r="M2922" s="25" t="inlineStr">
        <is>
          <t>2.5.12</t>
        </is>
      </c>
      <c r="N2922" s="25">
        <f>IF(J2922&gt;300,1,0)</f>
        <v/>
      </c>
      <c r="O2922" s="25">
        <f>IF(J2922&gt;600,1,0)</f>
        <v/>
      </c>
      <c r="P2922" s="25">
        <f>IF(H2922&gt;0,J2922,"")</f>
        <v/>
      </c>
      <c r="Q2922" s="25">
        <f>TEXT(A2922,"YYYY-MM-DD HH")</f>
        <v/>
      </c>
      <c r="R2922" s="25">
        <f>COUNTIF($Q$2:$Q$5295,Q2922)</f>
        <v/>
      </c>
      <c r="S2922" s="25">
        <f>IF(R2922&lt;=2,"1-2",IF(R2922&lt;=5,"3-5",IF(R2922&lt;=10,"6-10","11+")))</f>
        <v/>
      </c>
    </row>
    <row r="2923">
      <c r="A2923" s="39" t="n">
        <v>46192.18021990741</v>
      </c>
      <c r="B2923" s="25">
        <f>TEXT(A2923,"YYYY-MM")</f>
        <v/>
      </c>
      <c r="C2923" s="25">
        <f>TEXT(A2923,"MMM-YYYY")</f>
        <v/>
      </c>
      <c r="D2923" s="40">
        <f>INT(A2923)-WEEKDAY(A2923,2)+1</f>
        <v/>
      </c>
      <c r="E2923" s="25" t="inlineStr">
        <is>
          <t>mbohra</t>
        </is>
      </c>
      <c r="F2923" s="25" t="n">
        <v>117082</v>
      </c>
      <c r="G2923" s="25" t="n">
        <v>5</v>
      </c>
      <c r="H2923" s="25" t="n">
        <v>19</v>
      </c>
      <c r="I2923" s="25" t="inlineStr">
        <is>
          <t>7 minute(s) and 57 second(s)</t>
        </is>
      </c>
      <c r="J2923" s="25">
        <f>IFERROR(VALUE(TRIM(LEFT(I2923,FIND("minute",I2923)-1)))*60,0)+IFERROR(VALUE(SUBSTITUTE(MID(I2923,IFERROR(FIND("and",I2923)+3,1),20),"second(s)","")),0)</f>
        <v/>
      </c>
      <c r="K2923" s="41">
        <f>J2923/60</f>
        <v/>
      </c>
      <c r="L2923" s="41">
        <f>IFERROR(J2923/H2923,"")</f>
        <v/>
      </c>
      <c r="M2923" s="25" t="inlineStr">
        <is>
          <t>2.5.12</t>
        </is>
      </c>
      <c r="N2923" s="25">
        <f>IF(J2923&gt;300,1,0)</f>
        <v/>
      </c>
      <c r="O2923" s="25">
        <f>IF(J2923&gt;600,1,0)</f>
        <v/>
      </c>
      <c r="P2923" s="25">
        <f>IF(H2923&gt;0,J2923,"")</f>
        <v/>
      </c>
      <c r="Q2923" s="25">
        <f>TEXT(A2923,"YYYY-MM-DD HH")</f>
        <v/>
      </c>
      <c r="R2923" s="25">
        <f>COUNTIF($Q$2:$Q$5295,Q2923)</f>
        <v/>
      </c>
      <c r="S2923" s="25">
        <f>IF(R2923&lt;=2,"1-2",IF(R2923&lt;=5,"3-5",IF(R2923&lt;=10,"6-10","11+")))</f>
        <v/>
      </c>
    </row>
    <row r="2924">
      <c r="A2924" s="39" t="n">
        <v>46192.18030092592</v>
      </c>
      <c r="B2924" s="25">
        <f>TEXT(A2924,"YYYY-MM")</f>
        <v/>
      </c>
      <c r="C2924" s="25">
        <f>TEXT(A2924,"MMM-YYYY")</f>
        <v/>
      </c>
      <c r="D2924" s="40">
        <f>INT(A2924)-WEEKDAY(A2924,2)+1</f>
        <v/>
      </c>
      <c r="E2924" s="25" t="inlineStr">
        <is>
          <t>adey</t>
        </is>
      </c>
      <c r="F2924" s="25" t="n">
        <v>116331</v>
      </c>
      <c r="G2924" s="25" t="n">
        <v>2</v>
      </c>
      <c r="H2924" s="25" t="n">
        <v>12</v>
      </c>
      <c r="I2924" s="25" t="inlineStr">
        <is>
          <t>2 minute(s) and 51 second(s)</t>
        </is>
      </c>
      <c r="J2924" s="25">
        <f>IFERROR(VALUE(TRIM(LEFT(I2924,FIND("minute",I2924)-1)))*60,0)+IFERROR(VALUE(SUBSTITUTE(MID(I2924,IFERROR(FIND("and",I2924)+3,1),20),"second(s)","")),0)</f>
        <v/>
      </c>
      <c r="K2924" s="41">
        <f>J2924/60</f>
        <v/>
      </c>
      <c r="L2924" s="41">
        <f>IFERROR(J2924/H2924,"")</f>
        <v/>
      </c>
      <c r="M2924" s="25" t="inlineStr">
        <is>
          <t>2.5.12</t>
        </is>
      </c>
      <c r="N2924" s="25">
        <f>IF(J2924&gt;300,1,0)</f>
        <v/>
      </c>
      <c r="O2924" s="25">
        <f>IF(J2924&gt;600,1,0)</f>
        <v/>
      </c>
      <c r="P2924" s="25">
        <f>IF(H2924&gt;0,J2924,"")</f>
        <v/>
      </c>
      <c r="Q2924" s="25">
        <f>TEXT(A2924,"YYYY-MM-DD HH")</f>
        <v/>
      </c>
      <c r="R2924" s="25">
        <f>COUNTIF($Q$2:$Q$5295,Q2924)</f>
        <v/>
      </c>
      <c r="S2924" s="25">
        <f>IF(R2924&lt;=2,"1-2",IF(R2924&lt;=5,"3-5",IF(R2924&lt;=10,"6-10","11+")))</f>
        <v/>
      </c>
    </row>
    <row r="2925">
      <c r="A2925" s="39" t="n">
        <v>46192.18081018519</v>
      </c>
      <c r="B2925" s="25">
        <f>TEXT(A2925,"YYYY-MM")</f>
        <v/>
      </c>
      <c r="C2925" s="25">
        <f>TEXT(A2925,"MMM-YYYY")</f>
        <v/>
      </c>
      <c r="D2925" s="40">
        <f>INT(A2925)-WEEKDAY(A2925,2)+1</f>
        <v/>
      </c>
      <c r="E2925" s="25" t="inlineStr">
        <is>
          <t>pgautam</t>
        </is>
      </c>
      <c r="F2925" s="25" t="n">
        <v>116956</v>
      </c>
      <c r="G2925" s="25" t="n">
        <v>6</v>
      </c>
      <c r="H2925" s="25" t="n">
        <v>26</v>
      </c>
      <c r="I2925" s="25" t="inlineStr">
        <is>
          <t>5 minute(s) and 13 second(s)</t>
        </is>
      </c>
      <c r="J2925" s="25">
        <f>IFERROR(VALUE(TRIM(LEFT(I2925,FIND("minute",I2925)-1)))*60,0)+IFERROR(VALUE(SUBSTITUTE(MID(I2925,IFERROR(FIND("and",I2925)+3,1),20),"second(s)","")),0)</f>
        <v/>
      </c>
      <c r="K2925" s="41">
        <f>J2925/60</f>
        <v/>
      </c>
      <c r="L2925" s="41">
        <f>IFERROR(J2925/H2925,"")</f>
        <v/>
      </c>
      <c r="M2925" s="25" t="inlineStr">
        <is>
          <t>2.5.12</t>
        </is>
      </c>
      <c r="N2925" s="25">
        <f>IF(J2925&gt;300,1,0)</f>
        <v/>
      </c>
      <c r="O2925" s="25">
        <f>IF(J2925&gt;600,1,0)</f>
        <v/>
      </c>
      <c r="P2925" s="25">
        <f>IF(H2925&gt;0,J2925,"")</f>
        <v/>
      </c>
      <c r="Q2925" s="25">
        <f>TEXT(A2925,"YYYY-MM-DD HH")</f>
        <v/>
      </c>
      <c r="R2925" s="25">
        <f>COUNTIF($Q$2:$Q$5295,Q2925)</f>
        <v/>
      </c>
      <c r="S2925" s="25">
        <f>IF(R2925&lt;=2,"1-2",IF(R2925&lt;=5,"3-5",IF(R2925&lt;=10,"6-10","11+")))</f>
        <v/>
      </c>
    </row>
    <row r="2926">
      <c r="A2926" s="39" t="n">
        <v>46192.19184027778</v>
      </c>
      <c r="B2926" s="25">
        <f>TEXT(A2926,"YYYY-MM")</f>
        <v/>
      </c>
      <c r="C2926" s="25">
        <f>TEXT(A2926,"MMM-YYYY")</f>
        <v/>
      </c>
      <c r="D2926" s="40">
        <f>INT(A2926)-WEEKDAY(A2926,2)+1</f>
        <v/>
      </c>
      <c r="E2926" s="25" t="inlineStr">
        <is>
          <t>ssrinivasan</t>
        </is>
      </c>
      <c r="F2926" s="25" t="n">
        <v>123690</v>
      </c>
      <c r="G2926" s="25" t="n">
        <v>2</v>
      </c>
      <c r="H2926" s="25" t="n">
        <v>14</v>
      </c>
      <c r="I2926" s="25" t="inlineStr">
        <is>
          <t>4 minute(s) and 59 second(s)</t>
        </is>
      </c>
      <c r="J2926" s="25">
        <f>IFERROR(VALUE(TRIM(LEFT(I2926,FIND("minute",I2926)-1)))*60,0)+IFERROR(VALUE(SUBSTITUTE(MID(I2926,IFERROR(FIND("and",I2926)+3,1),20),"second(s)","")),0)</f>
        <v/>
      </c>
      <c r="K2926" s="41">
        <f>J2926/60</f>
        <v/>
      </c>
      <c r="L2926" s="41">
        <f>IFERROR(J2926/H2926,"")</f>
        <v/>
      </c>
      <c r="M2926" s="25" t="inlineStr">
        <is>
          <t>2.5.12</t>
        </is>
      </c>
      <c r="N2926" s="25">
        <f>IF(J2926&gt;300,1,0)</f>
        <v/>
      </c>
      <c r="O2926" s="25">
        <f>IF(J2926&gt;600,1,0)</f>
        <v/>
      </c>
      <c r="P2926" s="25">
        <f>IF(H2926&gt;0,J2926,"")</f>
        <v/>
      </c>
      <c r="Q2926" s="25">
        <f>TEXT(A2926,"YYYY-MM-DD HH")</f>
        <v/>
      </c>
      <c r="R2926" s="25">
        <f>COUNTIF($Q$2:$Q$5295,Q2926)</f>
        <v/>
      </c>
      <c r="S2926" s="25">
        <f>IF(R2926&lt;=2,"1-2",IF(R2926&lt;=5,"3-5",IF(R2926&lt;=10,"6-10","11+")))</f>
        <v/>
      </c>
    </row>
    <row r="2927">
      <c r="A2927" s="39" t="n">
        <v>46192.19474537037</v>
      </c>
      <c r="B2927" s="25">
        <f>TEXT(A2927,"YYYY-MM")</f>
        <v/>
      </c>
      <c r="C2927" s="25">
        <f>TEXT(A2927,"MMM-YYYY")</f>
        <v/>
      </c>
      <c r="D2927" s="40">
        <f>INT(A2927)-WEEKDAY(A2927,2)+1</f>
        <v/>
      </c>
      <c r="E2927" s="25" t="inlineStr">
        <is>
          <t>sswati</t>
        </is>
      </c>
      <c r="F2927" s="25" t="n">
        <v>123880</v>
      </c>
      <c r="G2927" s="25" t="n">
        <v>4</v>
      </c>
      <c r="H2927" s="25" t="n">
        <v>12</v>
      </c>
      <c r="I2927" s="25" t="inlineStr">
        <is>
          <t>4 minute(s) and 38 second(s)</t>
        </is>
      </c>
      <c r="J2927" s="25">
        <f>IFERROR(VALUE(TRIM(LEFT(I2927,FIND("minute",I2927)-1)))*60,0)+IFERROR(VALUE(SUBSTITUTE(MID(I2927,IFERROR(FIND("and",I2927)+3,1),20),"second(s)","")),0)</f>
        <v/>
      </c>
      <c r="K2927" s="41">
        <f>J2927/60</f>
        <v/>
      </c>
      <c r="L2927" s="41">
        <f>IFERROR(J2927/H2927,"")</f>
        <v/>
      </c>
      <c r="M2927" s="25" t="inlineStr">
        <is>
          <t>2.5.12</t>
        </is>
      </c>
      <c r="N2927" s="25">
        <f>IF(J2927&gt;300,1,0)</f>
        <v/>
      </c>
      <c r="O2927" s="25">
        <f>IF(J2927&gt;600,1,0)</f>
        <v/>
      </c>
      <c r="P2927" s="25">
        <f>IF(H2927&gt;0,J2927,"")</f>
        <v/>
      </c>
      <c r="Q2927" s="25">
        <f>TEXT(A2927,"YYYY-MM-DD HH")</f>
        <v/>
      </c>
      <c r="R2927" s="25">
        <f>COUNTIF($Q$2:$Q$5295,Q2927)</f>
        <v/>
      </c>
      <c r="S2927" s="25">
        <f>IF(R2927&lt;=2,"1-2",IF(R2927&lt;=5,"3-5",IF(R2927&lt;=10,"6-10","11+")))</f>
        <v/>
      </c>
    </row>
    <row r="2928">
      <c r="A2928" s="39" t="n">
        <v>46192.20017361111</v>
      </c>
      <c r="B2928" s="25">
        <f>TEXT(A2928,"YYYY-MM")</f>
        <v/>
      </c>
      <c r="C2928" s="25">
        <f>TEXT(A2928,"MMM-YYYY")</f>
        <v/>
      </c>
      <c r="D2928" s="40">
        <f>INT(A2928)-WEEKDAY(A2928,2)+1</f>
        <v/>
      </c>
      <c r="E2928" s="25" t="inlineStr">
        <is>
          <t>sthomas</t>
        </is>
      </c>
      <c r="F2928" s="25" t="n">
        <v>107325</v>
      </c>
      <c r="G2928" s="25" t="n">
        <v>4</v>
      </c>
      <c r="H2928" s="25" t="n">
        <v>24</v>
      </c>
      <c r="I2928" s="25" t="inlineStr">
        <is>
          <t>5 minute(s) and 48 second(s)</t>
        </is>
      </c>
      <c r="J2928" s="25">
        <f>IFERROR(VALUE(TRIM(LEFT(I2928,FIND("minute",I2928)-1)))*60,0)+IFERROR(VALUE(SUBSTITUTE(MID(I2928,IFERROR(FIND("and",I2928)+3,1),20),"second(s)","")),0)</f>
        <v/>
      </c>
      <c r="K2928" s="41">
        <f>J2928/60</f>
        <v/>
      </c>
      <c r="L2928" s="41">
        <f>IFERROR(J2928/H2928,"")</f>
        <v/>
      </c>
      <c r="M2928" s="25" t="inlineStr">
        <is>
          <t>2.5.12</t>
        </is>
      </c>
      <c r="N2928" s="25">
        <f>IF(J2928&gt;300,1,0)</f>
        <v/>
      </c>
      <c r="O2928" s="25">
        <f>IF(J2928&gt;600,1,0)</f>
        <v/>
      </c>
      <c r="P2928" s="25">
        <f>IF(H2928&gt;0,J2928,"")</f>
        <v/>
      </c>
      <c r="Q2928" s="25">
        <f>TEXT(A2928,"YYYY-MM-DD HH")</f>
        <v/>
      </c>
      <c r="R2928" s="25">
        <f>COUNTIF($Q$2:$Q$5295,Q2928)</f>
        <v/>
      </c>
      <c r="S2928" s="25">
        <f>IF(R2928&lt;=2,"1-2",IF(R2928&lt;=5,"3-5",IF(R2928&lt;=10,"6-10","11+")))</f>
        <v/>
      </c>
    </row>
    <row r="2929">
      <c r="A2929" s="39" t="n">
        <v>46192.20207175926</v>
      </c>
      <c r="B2929" s="25">
        <f>TEXT(A2929,"YYYY-MM")</f>
        <v/>
      </c>
      <c r="C2929" s="25">
        <f>TEXT(A2929,"MMM-YYYY")</f>
        <v/>
      </c>
      <c r="D2929" s="40">
        <f>INT(A2929)-WEEKDAY(A2929,2)+1</f>
        <v/>
      </c>
      <c r="E2929" s="25" t="inlineStr">
        <is>
          <t>sdey</t>
        </is>
      </c>
      <c r="F2929" s="25" t="n">
        <v>83906</v>
      </c>
      <c r="G2929" s="25" t="n">
        <v>1</v>
      </c>
      <c r="H2929" s="25" t="n">
        <v>6</v>
      </c>
      <c r="I2929" s="25" t="inlineStr">
        <is>
          <t>2 minute(s) and 15 second(s)</t>
        </is>
      </c>
      <c r="J2929" s="25">
        <f>IFERROR(VALUE(TRIM(LEFT(I2929,FIND("minute",I2929)-1)))*60,0)+IFERROR(VALUE(SUBSTITUTE(MID(I2929,IFERROR(FIND("and",I2929)+3,1),20),"second(s)","")),0)</f>
        <v/>
      </c>
      <c r="K2929" s="41">
        <f>J2929/60</f>
        <v/>
      </c>
      <c r="L2929" s="41">
        <f>IFERROR(J2929/H2929,"")</f>
        <v/>
      </c>
      <c r="M2929" s="25" t="inlineStr">
        <is>
          <t>2.5.12</t>
        </is>
      </c>
      <c r="N2929" s="25">
        <f>IF(J2929&gt;300,1,0)</f>
        <v/>
      </c>
      <c r="O2929" s="25">
        <f>IF(J2929&gt;600,1,0)</f>
        <v/>
      </c>
      <c r="P2929" s="25">
        <f>IF(H2929&gt;0,J2929,"")</f>
        <v/>
      </c>
      <c r="Q2929" s="25">
        <f>TEXT(A2929,"YYYY-MM-DD HH")</f>
        <v/>
      </c>
      <c r="R2929" s="25">
        <f>COUNTIF($Q$2:$Q$5295,Q2929)</f>
        <v/>
      </c>
      <c r="S2929" s="25">
        <f>IF(R2929&lt;=2,"1-2",IF(R2929&lt;=5,"3-5",IF(R2929&lt;=10,"6-10","11+")))</f>
        <v/>
      </c>
    </row>
    <row r="2930">
      <c r="A2930" s="39" t="n">
        <v>46192.21225694445</v>
      </c>
      <c r="B2930" s="25">
        <f>TEXT(A2930,"YYYY-MM")</f>
        <v/>
      </c>
      <c r="C2930" s="25">
        <f>TEXT(A2930,"MMM-YYYY")</f>
        <v/>
      </c>
      <c r="D2930" s="40">
        <f>INT(A2930)-WEEKDAY(A2930,2)+1</f>
        <v/>
      </c>
      <c r="E2930" s="25" t="inlineStr">
        <is>
          <t>psathwika</t>
        </is>
      </c>
      <c r="F2930" s="25" t="n">
        <v>98494</v>
      </c>
      <c r="G2930" s="25" t="n">
        <v>2</v>
      </c>
      <c r="H2930" s="25" t="n">
        <v>12</v>
      </c>
      <c r="I2930" s="25" t="inlineStr">
        <is>
          <t>6 minute(s) and 21 second(s)</t>
        </is>
      </c>
      <c r="J2930" s="25">
        <f>IFERROR(VALUE(TRIM(LEFT(I2930,FIND("minute",I2930)-1)))*60,0)+IFERROR(VALUE(SUBSTITUTE(MID(I2930,IFERROR(FIND("and",I2930)+3,1),20),"second(s)","")),0)</f>
        <v/>
      </c>
      <c r="K2930" s="41">
        <f>J2930/60</f>
        <v/>
      </c>
      <c r="L2930" s="41">
        <f>IFERROR(J2930/H2930,"")</f>
        <v/>
      </c>
      <c r="M2930" s="25" t="inlineStr">
        <is>
          <t>2.5.12</t>
        </is>
      </c>
      <c r="N2930" s="25">
        <f>IF(J2930&gt;300,1,0)</f>
        <v/>
      </c>
      <c r="O2930" s="25">
        <f>IF(J2930&gt;600,1,0)</f>
        <v/>
      </c>
      <c r="P2930" s="25">
        <f>IF(H2930&gt;0,J2930,"")</f>
        <v/>
      </c>
      <c r="Q2930" s="25">
        <f>TEXT(A2930,"YYYY-MM-DD HH")</f>
        <v/>
      </c>
      <c r="R2930" s="25">
        <f>COUNTIF($Q$2:$Q$5295,Q2930)</f>
        <v/>
      </c>
      <c r="S2930" s="25">
        <f>IF(R2930&lt;=2,"1-2",IF(R2930&lt;=5,"3-5",IF(R2930&lt;=10,"6-10","11+")))</f>
        <v/>
      </c>
    </row>
    <row r="2931">
      <c r="A2931" s="39" t="n">
        <v>46192.21372685185</v>
      </c>
      <c r="B2931" s="25">
        <f>TEXT(A2931,"YYYY-MM")</f>
        <v/>
      </c>
      <c r="C2931" s="25">
        <f>TEXT(A2931,"MMM-YYYY")</f>
        <v/>
      </c>
      <c r="D2931" s="40">
        <f>INT(A2931)-WEEKDAY(A2931,2)+1</f>
        <v/>
      </c>
      <c r="E2931" s="25" t="inlineStr">
        <is>
          <t>mgupta</t>
        </is>
      </c>
      <c r="F2931" s="25" t="n">
        <v>115954</v>
      </c>
      <c r="G2931" s="25" t="n">
        <v>2</v>
      </c>
      <c r="H2931" s="25" t="n">
        <v>10</v>
      </c>
      <c r="I2931" s="25" t="inlineStr">
        <is>
          <t>5 minute(s) and 6 second(s)</t>
        </is>
      </c>
      <c r="J2931" s="25">
        <f>IFERROR(VALUE(TRIM(LEFT(I2931,FIND("minute",I2931)-1)))*60,0)+IFERROR(VALUE(SUBSTITUTE(MID(I2931,IFERROR(FIND("and",I2931)+3,1),20),"second(s)","")),0)</f>
        <v/>
      </c>
      <c r="K2931" s="41">
        <f>J2931/60</f>
        <v/>
      </c>
      <c r="L2931" s="41">
        <f>IFERROR(J2931/H2931,"")</f>
        <v/>
      </c>
      <c r="M2931" s="25" t="inlineStr">
        <is>
          <t>2.5.12</t>
        </is>
      </c>
      <c r="N2931" s="25">
        <f>IF(J2931&gt;300,1,0)</f>
        <v/>
      </c>
      <c r="O2931" s="25">
        <f>IF(J2931&gt;600,1,0)</f>
        <v/>
      </c>
      <c r="P2931" s="25">
        <f>IF(H2931&gt;0,J2931,"")</f>
        <v/>
      </c>
      <c r="Q2931" s="25">
        <f>TEXT(A2931,"YYYY-MM-DD HH")</f>
        <v/>
      </c>
      <c r="R2931" s="25">
        <f>COUNTIF($Q$2:$Q$5295,Q2931)</f>
        <v/>
      </c>
      <c r="S2931" s="25">
        <f>IF(R2931&lt;=2,"1-2",IF(R2931&lt;=5,"3-5",IF(R2931&lt;=10,"6-10","11+")))</f>
        <v/>
      </c>
    </row>
    <row r="2932">
      <c r="A2932" s="39" t="n">
        <v>46192.21387731482</v>
      </c>
      <c r="B2932" s="25">
        <f>TEXT(A2932,"YYYY-MM")</f>
        <v/>
      </c>
      <c r="C2932" s="25">
        <f>TEXT(A2932,"MMM-YYYY")</f>
        <v/>
      </c>
      <c r="D2932" s="40">
        <f>INT(A2932)-WEEKDAY(A2932,2)+1</f>
        <v/>
      </c>
      <c r="E2932" s="25" t="inlineStr">
        <is>
          <t>mbohra</t>
        </is>
      </c>
      <c r="F2932" s="25" t="n">
        <v>117139</v>
      </c>
      <c r="G2932" s="25" t="n">
        <v>5</v>
      </c>
      <c r="H2932" s="25" t="n">
        <v>17</v>
      </c>
      <c r="I2932" s="25" t="inlineStr">
        <is>
          <t>7 minute(s) and 28 second(s)</t>
        </is>
      </c>
      <c r="J2932" s="25">
        <f>IFERROR(VALUE(TRIM(LEFT(I2932,FIND("minute",I2932)-1)))*60,0)+IFERROR(VALUE(SUBSTITUTE(MID(I2932,IFERROR(FIND("and",I2932)+3,1),20),"second(s)","")),0)</f>
        <v/>
      </c>
      <c r="K2932" s="41">
        <f>J2932/60</f>
        <v/>
      </c>
      <c r="L2932" s="41">
        <f>IFERROR(J2932/H2932,"")</f>
        <v/>
      </c>
      <c r="M2932" s="25" t="inlineStr">
        <is>
          <t>2.5.12</t>
        </is>
      </c>
      <c r="N2932" s="25">
        <f>IF(J2932&gt;300,1,0)</f>
        <v/>
      </c>
      <c r="O2932" s="25">
        <f>IF(J2932&gt;600,1,0)</f>
        <v/>
      </c>
      <c r="P2932" s="25">
        <f>IF(H2932&gt;0,J2932,"")</f>
        <v/>
      </c>
      <c r="Q2932" s="25">
        <f>TEXT(A2932,"YYYY-MM-DD HH")</f>
        <v/>
      </c>
      <c r="R2932" s="25">
        <f>COUNTIF($Q$2:$Q$5295,Q2932)</f>
        <v/>
      </c>
      <c r="S2932" s="25">
        <f>IF(R2932&lt;=2,"1-2",IF(R2932&lt;=5,"3-5",IF(R2932&lt;=10,"6-10","11+")))</f>
        <v/>
      </c>
    </row>
    <row r="2933">
      <c r="A2933" s="39" t="n">
        <v>46192.23709490741</v>
      </c>
      <c r="B2933" s="25">
        <f>TEXT(A2933,"YYYY-MM")</f>
        <v/>
      </c>
      <c r="C2933" s="25">
        <f>TEXT(A2933,"MMM-YYYY")</f>
        <v/>
      </c>
      <c r="D2933" s="40">
        <f>INT(A2933)-WEEKDAY(A2933,2)+1</f>
        <v/>
      </c>
      <c r="E2933" s="25" t="inlineStr">
        <is>
          <t>aghosh</t>
        </is>
      </c>
      <c r="F2933" s="25" t="n">
        <v>108691</v>
      </c>
      <c r="G2933" s="25" t="n">
        <v>2</v>
      </c>
      <c r="H2933" s="25" t="n">
        <v>14</v>
      </c>
      <c r="I2933" s="25" t="inlineStr">
        <is>
          <t>5 minute(s) and 32 second(s)</t>
        </is>
      </c>
      <c r="J2933" s="25">
        <f>IFERROR(VALUE(TRIM(LEFT(I2933,FIND("minute",I2933)-1)))*60,0)+IFERROR(VALUE(SUBSTITUTE(MID(I2933,IFERROR(FIND("and",I2933)+3,1),20),"second(s)","")),0)</f>
        <v/>
      </c>
      <c r="K2933" s="41">
        <f>J2933/60</f>
        <v/>
      </c>
      <c r="L2933" s="41">
        <f>IFERROR(J2933/H2933,"")</f>
        <v/>
      </c>
      <c r="M2933" s="25" t="inlineStr">
        <is>
          <t>2.5.12</t>
        </is>
      </c>
      <c r="N2933" s="25">
        <f>IF(J2933&gt;300,1,0)</f>
        <v/>
      </c>
      <c r="O2933" s="25">
        <f>IF(J2933&gt;600,1,0)</f>
        <v/>
      </c>
      <c r="P2933" s="25">
        <f>IF(H2933&gt;0,J2933,"")</f>
        <v/>
      </c>
      <c r="Q2933" s="25">
        <f>TEXT(A2933,"YYYY-MM-DD HH")</f>
        <v/>
      </c>
      <c r="R2933" s="25">
        <f>COUNTIF($Q$2:$Q$5295,Q2933)</f>
        <v/>
      </c>
      <c r="S2933" s="25">
        <f>IF(R2933&lt;=2,"1-2",IF(R2933&lt;=5,"3-5",IF(R2933&lt;=10,"6-10","11+")))</f>
        <v/>
      </c>
    </row>
    <row r="2934">
      <c r="A2934" s="39" t="n">
        <v>46192.24282407408</v>
      </c>
      <c r="B2934" s="25">
        <f>TEXT(A2934,"YYYY-MM")</f>
        <v/>
      </c>
      <c r="C2934" s="25">
        <f>TEXT(A2934,"MMM-YYYY")</f>
        <v/>
      </c>
      <c r="D2934" s="40">
        <f>INT(A2934)-WEEKDAY(A2934,2)+1</f>
        <v/>
      </c>
      <c r="E2934" s="25" t="inlineStr">
        <is>
          <t>stiwari</t>
        </is>
      </c>
      <c r="F2934" s="25" t="n">
        <v>108881</v>
      </c>
      <c r="G2934" s="25" t="n">
        <v>2</v>
      </c>
      <c r="H2934" s="25" t="n">
        <v>8</v>
      </c>
      <c r="I2934" s="25" t="inlineStr">
        <is>
          <t>1 minute(s) and 34 second(s)</t>
        </is>
      </c>
      <c r="J2934" s="25">
        <f>IFERROR(VALUE(TRIM(LEFT(I2934,FIND("minute",I2934)-1)))*60,0)+IFERROR(VALUE(SUBSTITUTE(MID(I2934,IFERROR(FIND("and",I2934)+3,1),20),"second(s)","")),0)</f>
        <v/>
      </c>
      <c r="K2934" s="41">
        <f>J2934/60</f>
        <v/>
      </c>
      <c r="L2934" s="41">
        <f>IFERROR(J2934/H2934,"")</f>
        <v/>
      </c>
      <c r="M2934" s="25" t="inlineStr">
        <is>
          <t>2.5.12</t>
        </is>
      </c>
      <c r="N2934" s="25">
        <f>IF(J2934&gt;300,1,0)</f>
        <v/>
      </c>
      <c r="O2934" s="25">
        <f>IF(J2934&gt;600,1,0)</f>
        <v/>
      </c>
      <c r="P2934" s="25">
        <f>IF(H2934&gt;0,J2934,"")</f>
        <v/>
      </c>
      <c r="Q2934" s="25">
        <f>TEXT(A2934,"YYYY-MM-DD HH")</f>
        <v/>
      </c>
      <c r="R2934" s="25">
        <f>COUNTIF($Q$2:$Q$5295,Q2934)</f>
        <v/>
      </c>
      <c r="S2934" s="25">
        <f>IF(R2934&lt;=2,"1-2",IF(R2934&lt;=5,"3-5",IF(R2934&lt;=10,"6-10","11+")))</f>
        <v/>
      </c>
    </row>
    <row r="2935">
      <c r="A2935" s="39" t="n">
        <v>46192.24616898148</v>
      </c>
      <c r="B2935" s="25">
        <f>TEXT(A2935,"YYYY-MM")</f>
        <v/>
      </c>
      <c r="C2935" s="25">
        <f>TEXT(A2935,"MMM-YYYY")</f>
        <v/>
      </c>
      <c r="D2935" s="40">
        <f>INT(A2935)-WEEKDAY(A2935,2)+1</f>
        <v/>
      </c>
      <c r="E2935" s="25" t="inlineStr">
        <is>
          <t>adey</t>
        </is>
      </c>
      <c r="F2935" s="25" t="n">
        <v>114487</v>
      </c>
      <c r="G2935" s="25" t="n">
        <v>4</v>
      </c>
      <c r="H2935" s="25" t="n">
        <v>24</v>
      </c>
      <c r="I2935" s="25" t="inlineStr">
        <is>
          <t>8 minute(s) and 21 second(s)</t>
        </is>
      </c>
      <c r="J2935" s="25">
        <f>IFERROR(VALUE(TRIM(LEFT(I2935,FIND("minute",I2935)-1)))*60,0)+IFERROR(VALUE(SUBSTITUTE(MID(I2935,IFERROR(FIND("and",I2935)+3,1),20),"second(s)","")),0)</f>
        <v/>
      </c>
      <c r="K2935" s="41">
        <f>J2935/60</f>
        <v/>
      </c>
      <c r="L2935" s="41">
        <f>IFERROR(J2935/H2935,"")</f>
        <v/>
      </c>
      <c r="M2935" s="25" t="inlineStr">
        <is>
          <t>2.5.12</t>
        </is>
      </c>
      <c r="N2935" s="25">
        <f>IF(J2935&gt;300,1,0)</f>
        <v/>
      </c>
      <c r="O2935" s="25">
        <f>IF(J2935&gt;600,1,0)</f>
        <v/>
      </c>
      <c r="P2935" s="25">
        <f>IF(H2935&gt;0,J2935,"")</f>
        <v/>
      </c>
      <c r="Q2935" s="25">
        <f>TEXT(A2935,"YYYY-MM-DD HH")</f>
        <v/>
      </c>
      <c r="R2935" s="25">
        <f>COUNTIF($Q$2:$Q$5295,Q2935)</f>
        <v/>
      </c>
      <c r="S2935" s="25">
        <f>IF(R2935&lt;=2,"1-2",IF(R2935&lt;=5,"3-5",IF(R2935&lt;=10,"6-10","11+")))</f>
        <v/>
      </c>
    </row>
    <row r="2936">
      <c r="A2936" s="39" t="n">
        <v>46192.25677083333</v>
      </c>
      <c r="B2936" s="25">
        <f>TEXT(A2936,"YYYY-MM")</f>
        <v/>
      </c>
      <c r="C2936" s="25">
        <f>TEXT(A2936,"MMM-YYYY")</f>
        <v/>
      </c>
      <c r="D2936" s="40">
        <f>INT(A2936)-WEEKDAY(A2936,2)+1</f>
        <v/>
      </c>
      <c r="E2936" s="25" t="inlineStr">
        <is>
          <t>dchoudhury</t>
        </is>
      </c>
      <c r="F2936" s="25" t="n">
        <v>126452</v>
      </c>
      <c r="G2936" s="25" t="n">
        <v>4</v>
      </c>
      <c r="H2936" s="25" t="n">
        <v>14</v>
      </c>
      <c r="I2936" s="25" t="inlineStr">
        <is>
          <t>3 minute(s) and 11 second(s)</t>
        </is>
      </c>
      <c r="J2936" s="25">
        <f>IFERROR(VALUE(TRIM(LEFT(I2936,FIND("minute",I2936)-1)))*60,0)+IFERROR(VALUE(SUBSTITUTE(MID(I2936,IFERROR(FIND("and",I2936)+3,1),20),"second(s)","")),0)</f>
        <v/>
      </c>
      <c r="K2936" s="41">
        <f>J2936/60</f>
        <v/>
      </c>
      <c r="L2936" s="41">
        <f>IFERROR(J2936/H2936,"")</f>
        <v/>
      </c>
      <c r="M2936" s="25" t="inlineStr">
        <is>
          <t>2.5.12</t>
        </is>
      </c>
      <c r="N2936" s="25">
        <f>IF(J2936&gt;300,1,0)</f>
        <v/>
      </c>
      <c r="O2936" s="25">
        <f>IF(J2936&gt;600,1,0)</f>
        <v/>
      </c>
      <c r="P2936" s="25">
        <f>IF(H2936&gt;0,J2936,"")</f>
        <v/>
      </c>
      <c r="Q2936" s="25">
        <f>TEXT(A2936,"YYYY-MM-DD HH")</f>
        <v/>
      </c>
      <c r="R2936" s="25">
        <f>COUNTIF($Q$2:$Q$5295,Q2936)</f>
        <v/>
      </c>
      <c r="S2936" s="25">
        <f>IF(R2936&lt;=2,"1-2",IF(R2936&lt;=5,"3-5",IF(R2936&lt;=10,"6-10","11+")))</f>
        <v/>
      </c>
    </row>
    <row r="2937">
      <c r="A2937" s="39" t="n">
        <v>46192.25836805555</v>
      </c>
      <c r="B2937" s="25">
        <f>TEXT(A2937,"YYYY-MM")</f>
        <v/>
      </c>
      <c r="C2937" s="25">
        <f>TEXT(A2937,"MMM-YYYY")</f>
        <v/>
      </c>
      <c r="D2937" s="40">
        <f>INT(A2937)-WEEKDAY(A2937,2)+1</f>
        <v/>
      </c>
      <c r="E2937" s="25" t="inlineStr">
        <is>
          <t>asahoo</t>
        </is>
      </c>
      <c r="F2937" s="25" t="n">
        <v>124320</v>
      </c>
      <c r="G2937" s="25" t="n">
        <v>2</v>
      </c>
      <c r="H2937" s="25" t="n">
        <v>10</v>
      </c>
      <c r="I2937" s="25" t="inlineStr">
        <is>
          <t>5 minute(s) and 3 second(s)</t>
        </is>
      </c>
      <c r="J2937" s="25">
        <f>IFERROR(VALUE(TRIM(LEFT(I2937,FIND("minute",I2937)-1)))*60,0)+IFERROR(VALUE(SUBSTITUTE(MID(I2937,IFERROR(FIND("and",I2937)+3,1),20),"second(s)","")),0)</f>
        <v/>
      </c>
      <c r="K2937" s="41">
        <f>J2937/60</f>
        <v/>
      </c>
      <c r="L2937" s="41">
        <f>IFERROR(J2937/H2937,"")</f>
        <v/>
      </c>
      <c r="M2937" s="25" t="inlineStr">
        <is>
          <t>2.5.12</t>
        </is>
      </c>
      <c r="N2937" s="25">
        <f>IF(J2937&gt;300,1,0)</f>
        <v/>
      </c>
      <c r="O2937" s="25">
        <f>IF(J2937&gt;600,1,0)</f>
        <v/>
      </c>
      <c r="P2937" s="25">
        <f>IF(H2937&gt;0,J2937,"")</f>
        <v/>
      </c>
      <c r="Q2937" s="25">
        <f>TEXT(A2937,"YYYY-MM-DD HH")</f>
        <v/>
      </c>
      <c r="R2937" s="25">
        <f>COUNTIF($Q$2:$Q$5295,Q2937)</f>
        <v/>
      </c>
      <c r="S2937" s="25">
        <f>IF(R2937&lt;=2,"1-2",IF(R2937&lt;=5,"3-5",IF(R2937&lt;=10,"6-10","11+")))</f>
        <v/>
      </c>
    </row>
    <row r="2938">
      <c r="A2938" s="39" t="n">
        <v>46192.27379629629</v>
      </c>
      <c r="B2938" s="25">
        <f>TEXT(A2938,"YYYY-MM")</f>
        <v/>
      </c>
      <c r="C2938" s="25">
        <f>TEXT(A2938,"MMM-YYYY")</f>
        <v/>
      </c>
      <c r="D2938" s="40">
        <f>INT(A2938)-WEEKDAY(A2938,2)+1</f>
        <v/>
      </c>
      <c r="E2938" s="25" t="inlineStr">
        <is>
          <t>tkarmakar</t>
        </is>
      </c>
      <c r="F2938" s="25" t="n">
        <v>117047</v>
      </c>
      <c r="G2938" s="25" t="n">
        <v>3</v>
      </c>
      <c r="H2938" s="25" t="n">
        <v>11</v>
      </c>
      <c r="I2938" s="25" t="inlineStr">
        <is>
          <t>4 minute(s) and 5 second(s)</t>
        </is>
      </c>
      <c r="J2938" s="25">
        <f>IFERROR(VALUE(TRIM(LEFT(I2938,FIND("minute",I2938)-1)))*60,0)+IFERROR(VALUE(SUBSTITUTE(MID(I2938,IFERROR(FIND("and",I2938)+3,1),20),"second(s)","")),0)</f>
        <v/>
      </c>
      <c r="K2938" s="41">
        <f>J2938/60</f>
        <v/>
      </c>
      <c r="L2938" s="41">
        <f>IFERROR(J2938/H2938,"")</f>
        <v/>
      </c>
      <c r="M2938" s="25" t="inlineStr">
        <is>
          <t>2.5.12</t>
        </is>
      </c>
      <c r="N2938" s="25">
        <f>IF(J2938&gt;300,1,0)</f>
        <v/>
      </c>
      <c r="O2938" s="25">
        <f>IF(J2938&gt;600,1,0)</f>
        <v/>
      </c>
      <c r="P2938" s="25">
        <f>IF(H2938&gt;0,J2938,"")</f>
        <v/>
      </c>
      <c r="Q2938" s="25">
        <f>TEXT(A2938,"YYYY-MM-DD HH")</f>
        <v/>
      </c>
      <c r="R2938" s="25">
        <f>COUNTIF($Q$2:$Q$5295,Q2938)</f>
        <v/>
      </c>
      <c r="S2938" s="25">
        <f>IF(R2938&lt;=2,"1-2",IF(R2938&lt;=5,"3-5",IF(R2938&lt;=10,"6-10","11+")))</f>
        <v/>
      </c>
    </row>
    <row r="2939">
      <c r="A2939" s="39" t="n">
        <v>46192.27483796296</v>
      </c>
      <c r="B2939" s="25">
        <f>TEXT(A2939,"YYYY-MM")</f>
        <v/>
      </c>
      <c r="C2939" s="25">
        <f>TEXT(A2939,"MMM-YYYY")</f>
        <v/>
      </c>
      <c r="D2939" s="40">
        <f>INT(A2939)-WEEKDAY(A2939,2)+1</f>
        <v/>
      </c>
      <c r="E2939" s="25" t="inlineStr">
        <is>
          <t>pgautam</t>
        </is>
      </c>
      <c r="F2939" s="25" t="n">
        <v>98200</v>
      </c>
      <c r="G2939" s="25" t="n">
        <v>5</v>
      </c>
      <c r="H2939" s="25" t="n">
        <v>27</v>
      </c>
      <c r="I2939" s="25" t="inlineStr">
        <is>
          <t>6 minute(s) and 25 second(s)</t>
        </is>
      </c>
      <c r="J2939" s="25">
        <f>IFERROR(VALUE(TRIM(LEFT(I2939,FIND("minute",I2939)-1)))*60,0)+IFERROR(VALUE(SUBSTITUTE(MID(I2939,IFERROR(FIND("and",I2939)+3,1),20),"second(s)","")),0)</f>
        <v/>
      </c>
      <c r="K2939" s="41">
        <f>J2939/60</f>
        <v/>
      </c>
      <c r="L2939" s="41">
        <f>IFERROR(J2939/H2939,"")</f>
        <v/>
      </c>
      <c r="M2939" s="25" t="inlineStr">
        <is>
          <t>2.5.12</t>
        </is>
      </c>
      <c r="N2939" s="25">
        <f>IF(J2939&gt;300,1,0)</f>
        <v/>
      </c>
      <c r="O2939" s="25">
        <f>IF(J2939&gt;600,1,0)</f>
        <v/>
      </c>
      <c r="P2939" s="25">
        <f>IF(H2939&gt;0,J2939,"")</f>
        <v/>
      </c>
      <c r="Q2939" s="25">
        <f>TEXT(A2939,"YYYY-MM-DD HH")</f>
        <v/>
      </c>
      <c r="R2939" s="25">
        <f>COUNTIF($Q$2:$Q$5295,Q2939)</f>
        <v/>
      </c>
      <c r="S2939" s="25">
        <f>IF(R2939&lt;=2,"1-2",IF(R2939&lt;=5,"3-5",IF(R2939&lt;=10,"6-10","11+")))</f>
        <v/>
      </c>
    </row>
    <row r="2940">
      <c r="A2940" s="39" t="n">
        <v>46192.28116898148</v>
      </c>
      <c r="B2940" s="25">
        <f>TEXT(A2940,"YYYY-MM")</f>
        <v/>
      </c>
      <c r="C2940" s="25">
        <f>TEXT(A2940,"MMM-YYYY")</f>
        <v/>
      </c>
      <c r="D2940" s="40">
        <f>INT(A2940)-WEEKDAY(A2940,2)+1</f>
        <v/>
      </c>
      <c r="E2940" s="25" t="inlineStr">
        <is>
          <t>sdey</t>
        </is>
      </c>
      <c r="F2940" s="25" t="n">
        <v>108765</v>
      </c>
      <c r="G2940" s="25" t="n">
        <v>2</v>
      </c>
      <c r="H2940" s="25" t="n">
        <v>10</v>
      </c>
      <c r="I2940" s="25" t="inlineStr">
        <is>
          <t>4 minute(s) and 23 second(s)</t>
        </is>
      </c>
      <c r="J2940" s="25">
        <f>IFERROR(VALUE(TRIM(LEFT(I2940,FIND("minute",I2940)-1)))*60,0)+IFERROR(VALUE(SUBSTITUTE(MID(I2940,IFERROR(FIND("and",I2940)+3,1),20),"second(s)","")),0)</f>
        <v/>
      </c>
      <c r="K2940" s="41">
        <f>J2940/60</f>
        <v/>
      </c>
      <c r="L2940" s="41">
        <f>IFERROR(J2940/H2940,"")</f>
        <v/>
      </c>
      <c r="M2940" s="25" t="inlineStr">
        <is>
          <t>2.5.12</t>
        </is>
      </c>
      <c r="N2940" s="25">
        <f>IF(J2940&gt;300,1,0)</f>
        <v/>
      </c>
      <c r="O2940" s="25">
        <f>IF(J2940&gt;600,1,0)</f>
        <v/>
      </c>
      <c r="P2940" s="25">
        <f>IF(H2940&gt;0,J2940,"")</f>
        <v/>
      </c>
      <c r="Q2940" s="25">
        <f>TEXT(A2940,"YYYY-MM-DD HH")</f>
        <v/>
      </c>
      <c r="R2940" s="25">
        <f>COUNTIF($Q$2:$Q$5295,Q2940)</f>
        <v/>
      </c>
      <c r="S2940" s="25">
        <f>IF(R2940&lt;=2,"1-2",IF(R2940&lt;=5,"3-5",IF(R2940&lt;=10,"6-10","11+")))</f>
        <v/>
      </c>
    </row>
    <row r="2941">
      <c r="A2941" s="39" t="n">
        <v>46192.2815625</v>
      </c>
      <c r="B2941" s="25">
        <f>TEXT(A2941,"YYYY-MM")</f>
        <v/>
      </c>
      <c r="C2941" s="25">
        <f>TEXT(A2941,"MMM-YYYY")</f>
        <v/>
      </c>
      <c r="D2941" s="40">
        <f>INT(A2941)-WEEKDAY(A2941,2)+1</f>
        <v/>
      </c>
      <c r="E2941" s="25" t="inlineStr">
        <is>
          <t>ethomas</t>
        </is>
      </c>
      <c r="F2941" s="25" t="n">
        <v>117525</v>
      </c>
      <c r="G2941" s="25" t="n">
        <v>1</v>
      </c>
      <c r="H2941" s="25" t="n">
        <v>7</v>
      </c>
      <c r="I2941" s="25" t="inlineStr">
        <is>
          <t>2 minute(s) and 47 second(s)</t>
        </is>
      </c>
      <c r="J2941" s="25">
        <f>IFERROR(VALUE(TRIM(LEFT(I2941,FIND("minute",I2941)-1)))*60,0)+IFERROR(VALUE(SUBSTITUTE(MID(I2941,IFERROR(FIND("and",I2941)+3,1),20),"second(s)","")),0)</f>
        <v/>
      </c>
      <c r="K2941" s="41">
        <f>J2941/60</f>
        <v/>
      </c>
      <c r="L2941" s="41">
        <f>IFERROR(J2941/H2941,"")</f>
        <v/>
      </c>
      <c r="M2941" s="25" t="inlineStr">
        <is>
          <t>2.5.12</t>
        </is>
      </c>
      <c r="N2941" s="25">
        <f>IF(J2941&gt;300,1,0)</f>
        <v/>
      </c>
      <c r="O2941" s="25">
        <f>IF(J2941&gt;600,1,0)</f>
        <v/>
      </c>
      <c r="P2941" s="25">
        <f>IF(H2941&gt;0,J2941,"")</f>
        <v/>
      </c>
      <c r="Q2941" s="25">
        <f>TEXT(A2941,"YYYY-MM-DD HH")</f>
        <v/>
      </c>
      <c r="R2941" s="25">
        <f>COUNTIF($Q$2:$Q$5295,Q2941)</f>
        <v/>
      </c>
      <c r="S2941" s="25">
        <f>IF(R2941&lt;=2,"1-2",IF(R2941&lt;=5,"3-5",IF(R2941&lt;=10,"6-10","11+")))</f>
        <v/>
      </c>
    </row>
    <row r="2942">
      <c r="A2942" s="39" t="n">
        <v>46192.29606481481</v>
      </c>
      <c r="B2942" s="25">
        <f>TEXT(A2942,"YYYY-MM")</f>
        <v/>
      </c>
      <c r="C2942" s="25">
        <f>TEXT(A2942,"MMM-YYYY")</f>
        <v/>
      </c>
      <c r="D2942" s="40">
        <f>INT(A2942)-WEEKDAY(A2942,2)+1</f>
        <v/>
      </c>
      <c r="E2942" s="25" t="inlineStr">
        <is>
          <t>mbohra</t>
        </is>
      </c>
      <c r="F2942" s="25" t="n">
        <v>117269</v>
      </c>
      <c r="G2942" s="25" t="n">
        <v>5</v>
      </c>
      <c r="H2942" s="25" t="n">
        <v>17</v>
      </c>
      <c r="I2942" s="25" t="inlineStr">
        <is>
          <t>11 minute(s) and 55 second(s)</t>
        </is>
      </c>
      <c r="J2942" s="25">
        <f>IFERROR(VALUE(TRIM(LEFT(I2942,FIND("minute",I2942)-1)))*60,0)+IFERROR(VALUE(SUBSTITUTE(MID(I2942,IFERROR(FIND("and",I2942)+3,1),20),"second(s)","")),0)</f>
        <v/>
      </c>
      <c r="K2942" s="41">
        <f>J2942/60</f>
        <v/>
      </c>
      <c r="L2942" s="41">
        <f>IFERROR(J2942/H2942,"")</f>
        <v/>
      </c>
      <c r="M2942" s="25" t="inlineStr">
        <is>
          <t>2.5.12</t>
        </is>
      </c>
      <c r="N2942" s="25">
        <f>IF(J2942&gt;300,1,0)</f>
        <v/>
      </c>
      <c r="O2942" s="25">
        <f>IF(J2942&gt;600,1,0)</f>
        <v/>
      </c>
      <c r="P2942" s="25">
        <f>IF(H2942&gt;0,J2942,"")</f>
        <v/>
      </c>
      <c r="Q2942" s="25">
        <f>TEXT(A2942,"YYYY-MM-DD HH")</f>
        <v/>
      </c>
      <c r="R2942" s="25">
        <f>COUNTIF($Q$2:$Q$5295,Q2942)</f>
        <v/>
      </c>
      <c r="S2942" s="25">
        <f>IF(R2942&lt;=2,"1-2",IF(R2942&lt;=5,"3-5",IF(R2942&lt;=10,"6-10","11+")))</f>
        <v/>
      </c>
    </row>
    <row r="2943">
      <c r="A2943" s="39" t="n">
        <v>46192.29640046296</v>
      </c>
      <c r="B2943" s="25">
        <f>TEXT(A2943,"YYYY-MM")</f>
        <v/>
      </c>
      <c r="C2943" s="25">
        <f>TEXT(A2943,"MMM-YYYY")</f>
        <v/>
      </c>
      <c r="D2943" s="40">
        <f>INT(A2943)-WEEKDAY(A2943,2)+1</f>
        <v/>
      </c>
      <c r="E2943" s="25" t="inlineStr">
        <is>
          <t>stiwari</t>
        </is>
      </c>
      <c r="F2943" s="25" t="n">
        <v>103798</v>
      </c>
      <c r="G2943" s="25" t="n">
        <v>2</v>
      </c>
      <c r="H2943" s="25" t="n">
        <v>12</v>
      </c>
      <c r="I2943" s="25" t="inlineStr">
        <is>
          <t>3 minute(s) and 16 second(s)</t>
        </is>
      </c>
      <c r="J2943" s="25">
        <f>IFERROR(VALUE(TRIM(LEFT(I2943,FIND("minute",I2943)-1)))*60,0)+IFERROR(VALUE(SUBSTITUTE(MID(I2943,IFERROR(FIND("and",I2943)+3,1),20),"second(s)","")),0)</f>
        <v/>
      </c>
      <c r="K2943" s="41">
        <f>J2943/60</f>
        <v/>
      </c>
      <c r="L2943" s="41">
        <f>IFERROR(J2943/H2943,"")</f>
        <v/>
      </c>
      <c r="M2943" s="25" t="inlineStr">
        <is>
          <t>2.5.12</t>
        </is>
      </c>
      <c r="N2943" s="25">
        <f>IF(J2943&gt;300,1,0)</f>
        <v/>
      </c>
      <c r="O2943" s="25">
        <f>IF(J2943&gt;600,1,0)</f>
        <v/>
      </c>
      <c r="P2943" s="25">
        <f>IF(H2943&gt;0,J2943,"")</f>
        <v/>
      </c>
      <c r="Q2943" s="25">
        <f>TEXT(A2943,"YYYY-MM-DD HH")</f>
        <v/>
      </c>
      <c r="R2943" s="25">
        <f>COUNTIF($Q$2:$Q$5295,Q2943)</f>
        <v/>
      </c>
      <c r="S2943" s="25">
        <f>IF(R2943&lt;=2,"1-2",IF(R2943&lt;=5,"3-5",IF(R2943&lt;=10,"6-10","11+")))</f>
        <v/>
      </c>
    </row>
    <row r="2944">
      <c r="A2944" s="39" t="n">
        <v>46192.30565972222</v>
      </c>
      <c r="B2944" s="25">
        <f>TEXT(A2944,"YYYY-MM")</f>
        <v/>
      </c>
      <c r="C2944" s="25">
        <f>TEXT(A2944,"MMM-YYYY")</f>
        <v/>
      </c>
      <c r="D2944" s="40">
        <f>INT(A2944)-WEEKDAY(A2944,2)+1</f>
        <v/>
      </c>
      <c r="E2944" s="25" t="inlineStr">
        <is>
          <t>aghosh</t>
        </is>
      </c>
      <c r="F2944" s="25" t="n">
        <v>108668</v>
      </c>
      <c r="G2944" s="25" t="n">
        <v>4</v>
      </c>
      <c r="H2944" s="25" t="n">
        <v>22</v>
      </c>
      <c r="I2944" s="25" t="inlineStr">
        <is>
          <t>5 minute(s) and 42 second(s)</t>
        </is>
      </c>
      <c r="J2944" s="25">
        <f>IFERROR(VALUE(TRIM(LEFT(I2944,FIND("minute",I2944)-1)))*60,0)+IFERROR(VALUE(SUBSTITUTE(MID(I2944,IFERROR(FIND("and",I2944)+3,1),20),"second(s)","")),0)</f>
        <v/>
      </c>
      <c r="K2944" s="41">
        <f>J2944/60</f>
        <v/>
      </c>
      <c r="L2944" s="41">
        <f>IFERROR(J2944/H2944,"")</f>
        <v/>
      </c>
      <c r="M2944" s="25" t="inlineStr">
        <is>
          <t>2.5.12</t>
        </is>
      </c>
      <c r="N2944" s="25">
        <f>IF(J2944&gt;300,1,0)</f>
        <v/>
      </c>
      <c r="O2944" s="25">
        <f>IF(J2944&gt;600,1,0)</f>
        <v/>
      </c>
      <c r="P2944" s="25">
        <f>IF(H2944&gt;0,J2944,"")</f>
        <v/>
      </c>
      <c r="Q2944" s="25">
        <f>TEXT(A2944,"YYYY-MM-DD HH")</f>
        <v/>
      </c>
      <c r="R2944" s="25">
        <f>COUNTIF($Q$2:$Q$5295,Q2944)</f>
        <v/>
      </c>
      <c r="S2944" s="25">
        <f>IF(R2944&lt;=2,"1-2",IF(R2944&lt;=5,"3-5",IF(R2944&lt;=10,"6-10","11+")))</f>
        <v/>
      </c>
    </row>
    <row r="2945">
      <c r="A2945" s="39" t="n">
        <v>46192.31553240741</v>
      </c>
      <c r="B2945" s="25">
        <f>TEXT(A2945,"YYYY-MM")</f>
        <v/>
      </c>
      <c r="C2945" s="25">
        <f>TEXT(A2945,"MMM-YYYY")</f>
        <v/>
      </c>
      <c r="D2945" s="40">
        <f>INT(A2945)-WEEKDAY(A2945,2)+1</f>
        <v/>
      </c>
      <c r="E2945" s="25" t="inlineStr">
        <is>
          <t>ssrinivasan</t>
        </is>
      </c>
      <c r="F2945" s="25" t="n">
        <v>125468</v>
      </c>
      <c r="G2945" s="25" t="n">
        <v>1</v>
      </c>
      <c r="H2945" s="25" t="n">
        <v>7</v>
      </c>
      <c r="I2945" s="25" t="inlineStr">
        <is>
          <t>2 minute(s) and 20 second(s)</t>
        </is>
      </c>
      <c r="J2945" s="25">
        <f>IFERROR(VALUE(TRIM(LEFT(I2945,FIND("minute",I2945)-1)))*60,0)+IFERROR(VALUE(SUBSTITUTE(MID(I2945,IFERROR(FIND("and",I2945)+3,1),20),"second(s)","")),0)</f>
        <v/>
      </c>
      <c r="K2945" s="41">
        <f>J2945/60</f>
        <v/>
      </c>
      <c r="L2945" s="41">
        <f>IFERROR(J2945/H2945,"")</f>
        <v/>
      </c>
      <c r="M2945" s="25" t="inlineStr">
        <is>
          <t>2.5.12</t>
        </is>
      </c>
      <c r="N2945" s="25">
        <f>IF(J2945&gt;300,1,0)</f>
        <v/>
      </c>
      <c r="O2945" s="25">
        <f>IF(J2945&gt;600,1,0)</f>
        <v/>
      </c>
      <c r="P2945" s="25">
        <f>IF(H2945&gt;0,J2945,"")</f>
        <v/>
      </c>
      <c r="Q2945" s="25">
        <f>TEXT(A2945,"YYYY-MM-DD HH")</f>
        <v/>
      </c>
      <c r="R2945" s="25">
        <f>COUNTIF($Q$2:$Q$5295,Q2945)</f>
        <v/>
      </c>
      <c r="S2945" s="25">
        <f>IF(R2945&lt;=2,"1-2",IF(R2945&lt;=5,"3-5",IF(R2945&lt;=10,"6-10","11+")))</f>
        <v/>
      </c>
    </row>
    <row r="2946">
      <c r="A2946" s="39" t="n">
        <v>46192.32020833333</v>
      </c>
      <c r="B2946" s="25">
        <f>TEXT(A2946,"YYYY-MM")</f>
        <v/>
      </c>
      <c r="C2946" s="25">
        <f>TEXT(A2946,"MMM-YYYY")</f>
        <v/>
      </c>
      <c r="D2946" s="40">
        <f>INT(A2946)-WEEKDAY(A2946,2)+1</f>
        <v/>
      </c>
      <c r="E2946" s="25" t="inlineStr">
        <is>
          <t>anusharma</t>
        </is>
      </c>
      <c r="F2946" s="25" t="n">
        <v>121691</v>
      </c>
      <c r="G2946" s="25" t="n">
        <v>2</v>
      </c>
      <c r="H2946" s="25" t="n">
        <v>8</v>
      </c>
      <c r="I2946" s="25" t="inlineStr">
        <is>
          <t>1 minute(s) and 59 second(s)</t>
        </is>
      </c>
      <c r="J2946" s="25">
        <f>IFERROR(VALUE(TRIM(LEFT(I2946,FIND("minute",I2946)-1)))*60,0)+IFERROR(VALUE(SUBSTITUTE(MID(I2946,IFERROR(FIND("and",I2946)+3,1),20),"second(s)","")),0)</f>
        <v/>
      </c>
      <c r="K2946" s="41">
        <f>J2946/60</f>
        <v/>
      </c>
      <c r="L2946" s="41">
        <f>IFERROR(J2946/H2946,"")</f>
        <v/>
      </c>
      <c r="M2946" s="25" t="inlineStr">
        <is>
          <t>2.5.12</t>
        </is>
      </c>
      <c r="N2946" s="25">
        <f>IF(J2946&gt;300,1,0)</f>
        <v/>
      </c>
      <c r="O2946" s="25">
        <f>IF(J2946&gt;600,1,0)</f>
        <v/>
      </c>
      <c r="P2946" s="25">
        <f>IF(H2946&gt;0,J2946,"")</f>
        <v/>
      </c>
      <c r="Q2946" s="25">
        <f>TEXT(A2946,"YYYY-MM-DD HH")</f>
        <v/>
      </c>
      <c r="R2946" s="25">
        <f>COUNTIF($Q$2:$Q$5295,Q2946)</f>
        <v/>
      </c>
      <c r="S2946" s="25">
        <f>IF(R2946&lt;=2,"1-2",IF(R2946&lt;=5,"3-5",IF(R2946&lt;=10,"6-10","11+")))</f>
        <v/>
      </c>
    </row>
    <row r="2947">
      <c r="A2947" s="39" t="n">
        <v>46192.32273148148</v>
      </c>
      <c r="B2947" s="25">
        <f>TEXT(A2947,"YYYY-MM")</f>
        <v/>
      </c>
      <c r="C2947" s="25">
        <f>TEXT(A2947,"MMM-YYYY")</f>
        <v/>
      </c>
      <c r="D2947" s="40">
        <f>INT(A2947)-WEEKDAY(A2947,2)+1</f>
        <v/>
      </c>
      <c r="E2947" s="25" t="inlineStr">
        <is>
          <t>psathwika</t>
        </is>
      </c>
      <c r="F2947" s="25" t="n">
        <v>94400</v>
      </c>
      <c r="G2947" s="25" t="n">
        <v>4</v>
      </c>
      <c r="H2947" s="25" t="n">
        <v>14</v>
      </c>
      <c r="I2947" s="25" t="inlineStr">
        <is>
          <t>5 minute(s) and 28 second(s)</t>
        </is>
      </c>
      <c r="J2947" s="25">
        <f>IFERROR(VALUE(TRIM(LEFT(I2947,FIND("minute",I2947)-1)))*60,0)+IFERROR(VALUE(SUBSTITUTE(MID(I2947,IFERROR(FIND("and",I2947)+3,1),20),"second(s)","")),0)</f>
        <v/>
      </c>
      <c r="K2947" s="41">
        <f>J2947/60</f>
        <v/>
      </c>
      <c r="L2947" s="41">
        <f>IFERROR(J2947/H2947,"")</f>
        <v/>
      </c>
      <c r="M2947" s="25" t="inlineStr">
        <is>
          <t>2.5.12</t>
        </is>
      </c>
      <c r="N2947" s="25">
        <f>IF(J2947&gt;300,1,0)</f>
        <v/>
      </c>
      <c r="O2947" s="25">
        <f>IF(J2947&gt;600,1,0)</f>
        <v/>
      </c>
      <c r="P2947" s="25">
        <f>IF(H2947&gt;0,J2947,"")</f>
        <v/>
      </c>
      <c r="Q2947" s="25">
        <f>TEXT(A2947,"YYYY-MM-DD HH")</f>
        <v/>
      </c>
      <c r="R2947" s="25">
        <f>COUNTIF($Q$2:$Q$5295,Q2947)</f>
        <v/>
      </c>
      <c r="S2947" s="25">
        <f>IF(R2947&lt;=2,"1-2",IF(R2947&lt;=5,"3-5",IF(R2947&lt;=10,"6-10","11+")))</f>
        <v/>
      </c>
    </row>
    <row r="2948">
      <c r="A2948" s="39" t="n">
        <v>46192.33122685185</v>
      </c>
      <c r="B2948" s="25">
        <f>TEXT(A2948,"YYYY-MM")</f>
        <v/>
      </c>
      <c r="C2948" s="25">
        <f>TEXT(A2948,"MMM-YYYY")</f>
        <v/>
      </c>
      <c r="D2948" s="40">
        <f>INT(A2948)-WEEKDAY(A2948,2)+1</f>
        <v/>
      </c>
      <c r="E2948" s="25" t="inlineStr">
        <is>
          <t>mgupta</t>
        </is>
      </c>
      <c r="F2948" s="25" t="n">
        <v>106978</v>
      </c>
      <c r="G2948" s="25" t="n">
        <v>1</v>
      </c>
      <c r="H2948" s="25" t="n">
        <v>3</v>
      </c>
      <c r="I2948" s="25" t="inlineStr">
        <is>
          <t>35 second(s)</t>
        </is>
      </c>
      <c r="J2948" s="25">
        <f>IFERROR(VALUE(TRIM(LEFT(I2948,FIND("minute",I2948)-1)))*60,0)+IFERROR(VALUE(SUBSTITUTE(MID(I2948,IFERROR(FIND("and",I2948)+3,1),20),"second(s)","")),0)</f>
        <v/>
      </c>
      <c r="K2948" s="41">
        <f>J2948/60</f>
        <v/>
      </c>
      <c r="L2948" s="41">
        <f>IFERROR(J2948/H2948,"")</f>
        <v/>
      </c>
      <c r="M2948" s="25" t="inlineStr">
        <is>
          <t>2.5.12</t>
        </is>
      </c>
      <c r="N2948" s="25">
        <f>IF(J2948&gt;300,1,0)</f>
        <v/>
      </c>
      <c r="O2948" s="25">
        <f>IF(J2948&gt;600,1,0)</f>
        <v/>
      </c>
      <c r="P2948" s="25">
        <f>IF(H2948&gt;0,J2948,"")</f>
        <v/>
      </c>
      <c r="Q2948" s="25">
        <f>TEXT(A2948,"YYYY-MM-DD HH")</f>
        <v/>
      </c>
      <c r="R2948" s="25">
        <f>COUNTIF($Q$2:$Q$5295,Q2948)</f>
        <v/>
      </c>
      <c r="S2948" s="25">
        <f>IF(R2948&lt;=2,"1-2",IF(R2948&lt;=5,"3-5",IF(R2948&lt;=10,"6-10","11+")))</f>
        <v/>
      </c>
    </row>
    <row r="2949">
      <c r="A2949" s="39" t="n">
        <v>46192.33542824074</v>
      </c>
      <c r="B2949" s="25">
        <f>TEXT(A2949,"YYYY-MM")</f>
        <v/>
      </c>
      <c r="C2949" s="25">
        <f>TEXT(A2949,"MMM-YYYY")</f>
        <v/>
      </c>
      <c r="D2949" s="40">
        <f>INT(A2949)-WEEKDAY(A2949,2)+1</f>
        <v/>
      </c>
      <c r="E2949" s="25" t="inlineStr">
        <is>
          <t>mgupta</t>
        </is>
      </c>
      <c r="F2949" s="25" t="n">
        <v>106978</v>
      </c>
      <c r="G2949" s="25" t="n">
        <v>1</v>
      </c>
      <c r="H2949" s="25" t="n">
        <v>5</v>
      </c>
      <c r="I2949" s="25" t="inlineStr">
        <is>
          <t>1 minute(s) and 34 second(s)</t>
        </is>
      </c>
      <c r="J2949" s="25">
        <f>IFERROR(VALUE(TRIM(LEFT(I2949,FIND("minute",I2949)-1)))*60,0)+IFERROR(VALUE(SUBSTITUTE(MID(I2949,IFERROR(FIND("and",I2949)+3,1),20),"second(s)","")),0)</f>
        <v/>
      </c>
      <c r="K2949" s="41">
        <f>J2949/60</f>
        <v/>
      </c>
      <c r="L2949" s="41">
        <f>IFERROR(J2949/H2949,"")</f>
        <v/>
      </c>
      <c r="M2949" s="25" t="inlineStr">
        <is>
          <t>2.5.12</t>
        </is>
      </c>
      <c r="N2949" s="25">
        <f>IF(J2949&gt;300,1,0)</f>
        <v/>
      </c>
      <c r="O2949" s="25">
        <f>IF(J2949&gt;600,1,0)</f>
        <v/>
      </c>
      <c r="P2949" s="25">
        <f>IF(H2949&gt;0,J2949,"")</f>
        <v/>
      </c>
      <c r="Q2949" s="25">
        <f>TEXT(A2949,"YYYY-MM-DD HH")</f>
        <v/>
      </c>
      <c r="R2949" s="25">
        <f>COUNTIF($Q$2:$Q$5295,Q2949)</f>
        <v/>
      </c>
      <c r="S2949" s="25">
        <f>IF(R2949&lt;=2,"1-2",IF(R2949&lt;=5,"3-5",IF(R2949&lt;=10,"6-10","11+")))</f>
        <v/>
      </c>
    </row>
    <row r="2950">
      <c r="A2950" s="39" t="n">
        <v>46192.34420138889</v>
      </c>
      <c r="B2950" s="25">
        <f>TEXT(A2950,"YYYY-MM")</f>
        <v/>
      </c>
      <c r="C2950" s="25">
        <f>TEXT(A2950,"MMM-YYYY")</f>
        <v/>
      </c>
      <c r="D2950" s="40">
        <f>INT(A2950)-WEEKDAY(A2950,2)+1</f>
        <v/>
      </c>
      <c r="E2950" s="25" t="inlineStr">
        <is>
          <t>stiwari</t>
        </is>
      </c>
      <c r="F2950" s="25" t="n">
        <v>115794</v>
      </c>
      <c r="G2950" s="25" t="n">
        <v>2</v>
      </c>
      <c r="H2950" s="25" t="n">
        <v>13</v>
      </c>
      <c r="I2950" s="25" t="inlineStr">
        <is>
          <t>2 minute(s) and 21 second(s)</t>
        </is>
      </c>
      <c r="J2950" s="25">
        <f>IFERROR(VALUE(TRIM(LEFT(I2950,FIND("minute",I2950)-1)))*60,0)+IFERROR(VALUE(SUBSTITUTE(MID(I2950,IFERROR(FIND("and",I2950)+3,1),20),"second(s)","")),0)</f>
        <v/>
      </c>
      <c r="K2950" s="41">
        <f>J2950/60</f>
        <v/>
      </c>
      <c r="L2950" s="41">
        <f>IFERROR(J2950/H2950,"")</f>
        <v/>
      </c>
      <c r="M2950" s="25" t="inlineStr">
        <is>
          <t>2.5.12</t>
        </is>
      </c>
      <c r="N2950" s="25">
        <f>IF(J2950&gt;300,1,0)</f>
        <v/>
      </c>
      <c r="O2950" s="25">
        <f>IF(J2950&gt;600,1,0)</f>
        <v/>
      </c>
      <c r="P2950" s="25">
        <f>IF(H2950&gt;0,J2950,"")</f>
        <v/>
      </c>
      <c r="Q2950" s="25">
        <f>TEXT(A2950,"YYYY-MM-DD HH")</f>
        <v/>
      </c>
      <c r="R2950" s="25">
        <f>COUNTIF($Q$2:$Q$5295,Q2950)</f>
        <v/>
      </c>
      <c r="S2950" s="25">
        <f>IF(R2950&lt;=2,"1-2",IF(R2950&lt;=5,"3-5",IF(R2950&lt;=10,"6-10","11+")))</f>
        <v/>
      </c>
    </row>
    <row r="2951">
      <c r="A2951" s="39" t="n">
        <v>46192.35365740741</v>
      </c>
      <c r="B2951" s="25">
        <f>TEXT(A2951,"YYYY-MM")</f>
        <v/>
      </c>
      <c r="C2951" s="25">
        <f>TEXT(A2951,"MMM-YYYY")</f>
        <v/>
      </c>
      <c r="D2951" s="40">
        <f>INT(A2951)-WEEKDAY(A2951,2)+1</f>
        <v/>
      </c>
      <c r="E2951" s="25" t="inlineStr">
        <is>
          <t>ethomas</t>
        </is>
      </c>
      <c r="F2951" s="25" t="n">
        <v>83672</v>
      </c>
      <c r="G2951" s="25" t="n">
        <v>1</v>
      </c>
      <c r="H2951" s="25" t="n">
        <v>7</v>
      </c>
      <c r="I2951" s="25" t="inlineStr">
        <is>
          <t>4 minute(s) and 45 second(s)</t>
        </is>
      </c>
      <c r="J2951" s="25">
        <f>IFERROR(VALUE(TRIM(LEFT(I2951,FIND("minute",I2951)-1)))*60,0)+IFERROR(VALUE(SUBSTITUTE(MID(I2951,IFERROR(FIND("and",I2951)+3,1),20),"second(s)","")),0)</f>
        <v/>
      </c>
      <c r="K2951" s="41">
        <f>J2951/60</f>
        <v/>
      </c>
      <c r="L2951" s="41">
        <f>IFERROR(J2951/H2951,"")</f>
        <v/>
      </c>
      <c r="M2951" s="25" t="inlineStr">
        <is>
          <t>2.5.12</t>
        </is>
      </c>
      <c r="N2951" s="25">
        <f>IF(J2951&gt;300,1,0)</f>
        <v/>
      </c>
      <c r="O2951" s="25">
        <f>IF(J2951&gt;600,1,0)</f>
        <v/>
      </c>
      <c r="P2951" s="25">
        <f>IF(H2951&gt;0,J2951,"")</f>
        <v/>
      </c>
      <c r="Q2951" s="25">
        <f>TEXT(A2951,"YYYY-MM-DD HH")</f>
        <v/>
      </c>
      <c r="R2951" s="25">
        <f>COUNTIF($Q$2:$Q$5295,Q2951)</f>
        <v/>
      </c>
      <c r="S2951" s="25">
        <f>IF(R2951&lt;=2,"1-2",IF(R2951&lt;=5,"3-5",IF(R2951&lt;=10,"6-10","11+")))</f>
        <v/>
      </c>
    </row>
    <row r="2952">
      <c r="A2952" s="39" t="n">
        <v>46192.38478009259</v>
      </c>
      <c r="B2952" s="25">
        <f>TEXT(A2952,"YYYY-MM")</f>
        <v/>
      </c>
      <c r="C2952" s="25">
        <f>TEXT(A2952,"MMM-YYYY")</f>
        <v/>
      </c>
      <c r="D2952" s="40">
        <f>INT(A2952)-WEEKDAY(A2952,2)+1</f>
        <v/>
      </c>
      <c r="E2952" s="25" t="inlineStr">
        <is>
          <t>hsindwani</t>
        </is>
      </c>
      <c r="F2952" s="25" t="n">
        <v>124595</v>
      </c>
      <c r="G2952" s="25" t="n">
        <v>1</v>
      </c>
      <c r="H2952" s="25" t="n">
        <v>5</v>
      </c>
      <c r="I2952" s="25" t="inlineStr">
        <is>
          <t>2 minute(s) and 28 second(s)</t>
        </is>
      </c>
      <c r="J2952" s="25">
        <f>IFERROR(VALUE(TRIM(LEFT(I2952,FIND("minute",I2952)-1)))*60,0)+IFERROR(VALUE(SUBSTITUTE(MID(I2952,IFERROR(FIND("and",I2952)+3,1),20),"second(s)","")),0)</f>
        <v/>
      </c>
      <c r="K2952" s="41">
        <f>J2952/60</f>
        <v/>
      </c>
      <c r="L2952" s="41">
        <f>IFERROR(J2952/H2952,"")</f>
        <v/>
      </c>
      <c r="M2952" s="25" t="inlineStr">
        <is>
          <t>2.5.12</t>
        </is>
      </c>
      <c r="N2952" s="25">
        <f>IF(J2952&gt;300,1,0)</f>
        <v/>
      </c>
      <c r="O2952" s="25">
        <f>IF(J2952&gt;600,1,0)</f>
        <v/>
      </c>
      <c r="P2952" s="25">
        <f>IF(H2952&gt;0,J2952,"")</f>
        <v/>
      </c>
      <c r="Q2952" s="25">
        <f>TEXT(A2952,"YYYY-MM-DD HH")</f>
        <v/>
      </c>
      <c r="R2952" s="25">
        <f>COUNTIF($Q$2:$Q$5295,Q2952)</f>
        <v/>
      </c>
      <c r="S2952" s="25">
        <f>IF(R2952&lt;=2,"1-2",IF(R2952&lt;=5,"3-5",IF(R2952&lt;=10,"6-10","11+")))</f>
        <v/>
      </c>
    </row>
    <row r="2953">
      <c r="A2953" s="39" t="n">
        <v>46192.38644675926</v>
      </c>
      <c r="B2953" s="25">
        <f>TEXT(A2953,"YYYY-MM")</f>
        <v/>
      </c>
      <c r="C2953" s="25">
        <f>TEXT(A2953,"MMM-YYYY")</f>
        <v/>
      </c>
      <c r="D2953" s="40">
        <f>INT(A2953)-WEEKDAY(A2953,2)+1</f>
        <v/>
      </c>
      <c r="E2953" s="25" t="inlineStr">
        <is>
          <t>tkarmakar</t>
        </is>
      </c>
      <c r="F2953" s="25" t="n">
        <v>126124</v>
      </c>
      <c r="G2953" s="25" t="n">
        <v>4</v>
      </c>
      <c r="H2953" s="25" t="n">
        <v>18</v>
      </c>
      <c r="I2953" s="25" t="inlineStr">
        <is>
          <t>4 minute(s) and 1 second(s)</t>
        </is>
      </c>
      <c r="J2953" s="25">
        <f>IFERROR(VALUE(TRIM(LEFT(I2953,FIND("minute",I2953)-1)))*60,0)+IFERROR(VALUE(SUBSTITUTE(MID(I2953,IFERROR(FIND("and",I2953)+3,1),20),"second(s)","")),0)</f>
        <v/>
      </c>
      <c r="K2953" s="41">
        <f>J2953/60</f>
        <v/>
      </c>
      <c r="L2953" s="41">
        <f>IFERROR(J2953/H2953,"")</f>
        <v/>
      </c>
      <c r="M2953" s="25" t="inlineStr">
        <is>
          <t>2.5.12</t>
        </is>
      </c>
      <c r="N2953" s="25">
        <f>IF(J2953&gt;300,1,0)</f>
        <v/>
      </c>
      <c r="O2953" s="25">
        <f>IF(J2953&gt;600,1,0)</f>
        <v/>
      </c>
      <c r="P2953" s="25">
        <f>IF(H2953&gt;0,J2953,"")</f>
        <v/>
      </c>
      <c r="Q2953" s="25">
        <f>TEXT(A2953,"YYYY-MM-DD HH")</f>
        <v/>
      </c>
      <c r="R2953" s="25">
        <f>COUNTIF($Q$2:$Q$5295,Q2953)</f>
        <v/>
      </c>
      <c r="S2953" s="25">
        <f>IF(R2953&lt;=2,"1-2",IF(R2953&lt;=5,"3-5",IF(R2953&lt;=10,"6-10","11+")))</f>
        <v/>
      </c>
    </row>
    <row r="2954">
      <c r="A2954" s="39" t="n">
        <v>46192.38861111111</v>
      </c>
      <c r="B2954" s="25">
        <f>TEXT(A2954,"YYYY-MM")</f>
        <v/>
      </c>
      <c r="C2954" s="25">
        <f>TEXT(A2954,"MMM-YYYY")</f>
        <v/>
      </c>
      <c r="D2954" s="40">
        <f>INT(A2954)-WEEKDAY(A2954,2)+1</f>
        <v/>
      </c>
      <c r="E2954" s="25" t="inlineStr">
        <is>
          <t>sdey</t>
        </is>
      </c>
      <c r="F2954" s="25" t="n">
        <v>69617</v>
      </c>
      <c r="G2954" s="25" t="n">
        <v>4</v>
      </c>
      <c r="H2954" s="25" t="n">
        <v>20</v>
      </c>
      <c r="I2954" s="25" t="inlineStr">
        <is>
          <t>5 minute(s) and 30 second(s)</t>
        </is>
      </c>
      <c r="J2954" s="25">
        <f>IFERROR(VALUE(TRIM(LEFT(I2954,FIND("minute",I2954)-1)))*60,0)+IFERROR(VALUE(SUBSTITUTE(MID(I2954,IFERROR(FIND("and",I2954)+3,1),20),"second(s)","")),0)</f>
        <v/>
      </c>
      <c r="K2954" s="41">
        <f>J2954/60</f>
        <v/>
      </c>
      <c r="L2954" s="41">
        <f>IFERROR(J2954/H2954,"")</f>
        <v/>
      </c>
      <c r="M2954" s="25" t="inlineStr">
        <is>
          <t>2.5.12</t>
        </is>
      </c>
      <c r="N2954" s="25">
        <f>IF(J2954&gt;300,1,0)</f>
        <v/>
      </c>
      <c r="O2954" s="25">
        <f>IF(J2954&gt;600,1,0)</f>
        <v/>
      </c>
      <c r="P2954" s="25">
        <f>IF(H2954&gt;0,J2954,"")</f>
        <v/>
      </c>
      <c r="Q2954" s="25">
        <f>TEXT(A2954,"YYYY-MM-DD HH")</f>
        <v/>
      </c>
      <c r="R2954" s="25">
        <f>COUNTIF($Q$2:$Q$5295,Q2954)</f>
        <v/>
      </c>
      <c r="S2954" s="25">
        <f>IF(R2954&lt;=2,"1-2",IF(R2954&lt;=5,"3-5",IF(R2954&lt;=10,"6-10","11+")))</f>
        <v/>
      </c>
    </row>
    <row r="2955">
      <c r="A2955" s="39" t="n">
        <v>46192.38965277778</v>
      </c>
      <c r="B2955" s="25">
        <f>TEXT(A2955,"YYYY-MM")</f>
        <v/>
      </c>
      <c r="C2955" s="25">
        <f>TEXT(A2955,"MMM-YYYY")</f>
        <v/>
      </c>
      <c r="D2955" s="40">
        <f>INT(A2955)-WEEKDAY(A2955,2)+1</f>
        <v/>
      </c>
      <c r="E2955" s="25" t="inlineStr">
        <is>
          <t>aghosh</t>
        </is>
      </c>
      <c r="F2955" s="25" t="n">
        <v>115099</v>
      </c>
      <c r="G2955" s="25" t="n">
        <v>1</v>
      </c>
      <c r="H2955" s="25" t="n">
        <v>5</v>
      </c>
      <c r="I2955" s="25" t="inlineStr">
        <is>
          <t>2 minute(s) and 24 second(s)</t>
        </is>
      </c>
      <c r="J2955" s="25">
        <f>IFERROR(VALUE(TRIM(LEFT(I2955,FIND("minute",I2955)-1)))*60,0)+IFERROR(VALUE(SUBSTITUTE(MID(I2955,IFERROR(FIND("and",I2955)+3,1),20),"second(s)","")),0)</f>
        <v/>
      </c>
      <c r="K2955" s="41">
        <f>J2955/60</f>
        <v/>
      </c>
      <c r="L2955" s="41">
        <f>IFERROR(J2955/H2955,"")</f>
        <v/>
      </c>
      <c r="M2955" s="25" t="inlineStr">
        <is>
          <t>2.5.12</t>
        </is>
      </c>
      <c r="N2955" s="25">
        <f>IF(J2955&gt;300,1,0)</f>
        <v/>
      </c>
      <c r="O2955" s="25">
        <f>IF(J2955&gt;600,1,0)</f>
        <v/>
      </c>
      <c r="P2955" s="25">
        <f>IF(H2955&gt;0,J2955,"")</f>
        <v/>
      </c>
      <c r="Q2955" s="25">
        <f>TEXT(A2955,"YYYY-MM-DD HH")</f>
        <v/>
      </c>
      <c r="R2955" s="25">
        <f>COUNTIF($Q$2:$Q$5295,Q2955)</f>
        <v/>
      </c>
      <c r="S2955" s="25">
        <f>IF(R2955&lt;=2,"1-2",IF(R2955&lt;=5,"3-5",IF(R2955&lt;=10,"6-10","11+")))</f>
        <v/>
      </c>
    </row>
    <row r="2956">
      <c r="A2956" s="39" t="n">
        <v>46192.39440972222</v>
      </c>
      <c r="B2956" s="25">
        <f>TEXT(A2956,"YYYY-MM")</f>
        <v/>
      </c>
      <c r="C2956" s="25">
        <f>TEXT(A2956,"MMM-YYYY")</f>
        <v/>
      </c>
      <c r="D2956" s="40">
        <f>INT(A2956)-WEEKDAY(A2956,2)+1</f>
        <v/>
      </c>
      <c r="E2956" s="25" t="inlineStr">
        <is>
          <t>psathwika</t>
        </is>
      </c>
      <c r="F2956" s="25" t="n">
        <v>93930</v>
      </c>
      <c r="G2956" s="25" t="n">
        <v>3</v>
      </c>
      <c r="H2956" s="25" t="n">
        <v>11</v>
      </c>
      <c r="I2956" s="25" t="inlineStr">
        <is>
          <t>2 minute(s) and 52 second(s)</t>
        </is>
      </c>
      <c r="J2956" s="25">
        <f>IFERROR(VALUE(TRIM(LEFT(I2956,FIND("minute",I2956)-1)))*60,0)+IFERROR(VALUE(SUBSTITUTE(MID(I2956,IFERROR(FIND("and",I2956)+3,1),20),"second(s)","")),0)</f>
        <v/>
      </c>
      <c r="K2956" s="41">
        <f>J2956/60</f>
        <v/>
      </c>
      <c r="L2956" s="41">
        <f>IFERROR(J2956/H2956,"")</f>
        <v/>
      </c>
      <c r="M2956" s="25" t="inlineStr">
        <is>
          <t>2.5.12</t>
        </is>
      </c>
      <c r="N2956" s="25">
        <f>IF(J2956&gt;300,1,0)</f>
        <v/>
      </c>
      <c r="O2956" s="25">
        <f>IF(J2956&gt;600,1,0)</f>
        <v/>
      </c>
      <c r="P2956" s="25">
        <f>IF(H2956&gt;0,J2956,"")</f>
        <v/>
      </c>
      <c r="Q2956" s="25">
        <f>TEXT(A2956,"YYYY-MM-DD HH")</f>
        <v/>
      </c>
      <c r="R2956" s="25">
        <f>COUNTIF($Q$2:$Q$5295,Q2956)</f>
        <v/>
      </c>
      <c r="S2956" s="25">
        <f>IF(R2956&lt;=2,"1-2",IF(R2956&lt;=5,"3-5",IF(R2956&lt;=10,"6-10","11+")))</f>
        <v/>
      </c>
    </row>
    <row r="2957">
      <c r="A2957" s="39" t="n">
        <v>46192.3962962963</v>
      </c>
      <c r="B2957" s="25">
        <f>TEXT(A2957,"YYYY-MM")</f>
        <v/>
      </c>
      <c r="C2957" s="25">
        <f>TEXT(A2957,"MMM-YYYY")</f>
        <v/>
      </c>
      <c r="D2957" s="40">
        <f>INT(A2957)-WEEKDAY(A2957,2)+1</f>
        <v/>
      </c>
      <c r="E2957" s="25" t="inlineStr">
        <is>
          <t>ssarkar</t>
        </is>
      </c>
      <c r="F2957" s="25" t="n">
        <v>105734</v>
      </c>
      <c r="G2957" s="25" t="n">
        <v>4</v>
      </c>
      <c r="H2957" s="25" t="n">
        <v>26</v>
      </c>
      <c r="I2957" s="25" t="inlineStr">
        <is>
          <t>7 minute(s) and 15 second(s)</t>
        </is>
      </c>
      <c r="J2957" s="25">
        <f>IFERROR(VALUE(TRIM(LEFT(I2957,FIND("minute",I2957)-1)))*60,0)+IFERROR(VALUE(SUBSTITUTE(MID(I2957,IFERROR(FIND("and",I2957)+3,1),20),"second(s)","")),0)</f>
        <v/>
      </c>
      <c r="K2957" s="41">
        <f>J2957/60</f>
        <v/>
      </c>
      <c r="L2957" s="41">
        <f>IFERROR(J2957/H2957,"")</f>
        <v/>
      </c>
      <c r="M2957" s="25" t="inlineStr">
        <is>
          <t>2.5.12</t>
        </is>
      </c>
      <c r="N2957" s="25">
        <f>IF(J2957&gt;300,1,0)</f>
        <v/>
      </c>
      <c r="O2957" s="25">
        <f>IF(J2957&gt;600,1,0)</f>
        <v/>
      </c>
      <c r="P2957" s="25">
        <f>IF(H2957&gt;0,J2957,"")</f>
        <v/>
      </c>
      <c r="Q2957" s="25">
        <f>TEXT(A2957,"YYYY-MM-DD HH")</f>
        <v/>
      </c>
      <c r="R2957" s="25">
        <f>COUNTIF($Q$2:$Q$5295,Q2957)</f>
        <v/>
      </c>
      <c r="S2957" s="25">
        <f>IF(R2957&lt;=2,"1-2",IF(R2957&lt;=5,"3-5",IF(R2957&lt;=10,"6-10","11+")))</f>
        <v/>
      </c>
    </row>
    <row r="2958">
      <c r="A2958" s="39" t="n">
        <v>46192.39644675926</v>
      </c>
      <c r="B2958" s="25">
        <f>TEXT(A2958,"YYYY-MM")</f>
        <v/>
      </c>
      <c r="C2958" s="25">
        <f>TEXT(A2958,"MMM-YYYY")</f>
        <v/>
      </c>
      <c r="D2958" s="40">
        <f>INT(A2958)-WEEKDAY(A2958,2)+1</f>
        <v/>
      </c>
      <c r="E2958" s="25" t="inlineStr">
        <is>
          <t>ssrinivasan</t>
        </is>
      </c>
      <c r="F2958" s="25" t="n">
        <v>97623</v>
      </c>
      <c r="G2958" s="25" t="n">
        <v>2</v>
      </c>
      <c r="H2958" s="25" t="n">
        <v>8</v>
      </c>
      <c r="I2958" s="25" t="inlineStr">
        <is>
          <t>3 minute(s) and 59 second(s)</t>
        </is>
      </c>
      <c r="J2958" s="25">
        <f>IFERROR(VALUE(TRIM(LEFT(I2958,FIND("minute",I2958)-1)))*60,0)+IFERROR(VALUE(SUBSTITUTE(MID(I2958,IFERROR(FIND("and",I2958)+3,1),20),"second(s)","")),0)</f>
        <v/>
      </c>
      <c r="K2958" s="41">
        <f>J2958/60</f>
        <v/>
      </c>
      <c r="L2958" s="41">
        <f>IFERROR(J2958/H2958,"")</f>
        <v/>
      </c>
      <c r="M2958" s="25" t="inlineStr">
        <is>
          <t>2.5.12</t>
        </is>
      </c>
      <c r="N2958" s="25">
        <f>IF(J2958&gt;300,1,0)</f>
        <v/>
      </c>
      <c r="O2958" s="25">
        <f>IF(J2958&gt;600,1,0)</f>
        <v/>
      </c>
      <c r="P2958" s="25">
        <f>IF(H2958&gt;0,J2958,"")</f>
        <v/>
      </c>
      <c r="Q2958" s="25">
        <f>TEXT(A2958,"YYYY-MM-DD HH")</f>
        <v/>
      </c>
      <c r="R2958" s="25">
        <f>COUNTIF($Q$2:$Q$5295,Q2958)</f>
        <v/>
      </c>
      <c r="S2958" s="25">
        <f>IF(R2958&lt;=2,"1-2",IF(R2958&lt;=5,"3-5",IF(R2958&lt;=10,"6-10","11+")))</f>
        <v/>
      </c>
    </row>
    <row r="2959">
      <c r="A2959" s="39" t="n">
        <v>46192.39717592593</v>
      </c>
      <c r="B2959" s="25">
        <f>TEXT(A2959,"YYYY-MM")</f>
        <v/>
      </c>
      <c r="C2959" s="25">
        <f>TEXT(A2959,"MMM-YYYY")</f>
        <v/>
      </c>
      <c r="D2959" s="40">
        <f>INT(A2959)-WEEKDAY(A2959,2)+1</f>
        <v/>
      </c>
      <c r="E2959" s="25" t="inlineStr">
        <is>
          <t>pgautam</t>
        </is>
      </c>
      <c r="F2959" s="25" t="n">
        <v>125843</v>
      </c>
      <c r="G2959" s="25" t="n">
        <v>6</v>
      </c>
      <c r="H2959" s="25" t="n">
        <v>22</v>
      </c>
      <c r="I2959" s="25" t="inlineStr">
        <is>
          <t>4 minute(s) and 59 second(s)</t>
        </is>
      </c>
      <c r="J2959" s="25">
        <f>IFERROR(VALUE(TRIM(LEFT(I2959,FIND("minute",I2959)-1)))*60,0)+IFERROR(VALUE(SUBSTITUTE(MID(I2959,IFERROR(FIND("and",I2959)+3,1),20),"second(s)","")),0)</f>
        <v/>
      </c>
      <c r="K2959" s="41">
        <f>J2959/60</f>
        <v/>
      </c>
      <c r="L2959" s="41">
        <f>IFERROR(J2959/H2959,"")</f>
        <v/>
      </c>
      <c r="M2959" s="25" t="inlineStr">
        <is>
          <t>2.5.12</t>
        </is>
      </c>
      <c r="N2959" s="25">
        <f>IF(J2959&gt;300,1,0)</f>
        <v/>
      </c>
      <c r="O2959" s="25">
        <f>IF(J2959&gt;600,1,0)</f>
        <v/>
      </c>
      <c r="P2959" s="25">
        <f>IF(H2959&gt;0,J2959,"")</f>
        <v/>
      </c>
      <c r="Q2959" s="25">
        <f>TEXT(A2959,"YYYY-MM-DD HH")</f>
        <v/>
      </c>
      <c r="R2959" s="25">
        <f>COUNTIF($Q$2:$Q$5295,Q2959)</f>
        <v/>
      </c>
      <c r="S2959" s="25">
        <f>IF(R2959&lt;=2,"1-2",IF(R2959&lt;=5,"3-5",IF(R2959&lt;=10,"6-10","11+")))</f>
        <v/>
      </c>
    </row>
    <row r="2960">
      <c r="A2960" s="39" t="n">
        <v>46192.40172453703</v>
      </c>
      <c r="B2960" s="25">
        <f>TEXT(A2960,"YYYY-MM")</f>
        <v/>
      </c>
      <c r="C2960" s="25">
        <f>TEXT(A2960,"MMM-YYYY")</f>
        <v/>
      </c>
      <c r="D2960" s="40">
        <f>INT(A2960)-WEEKDAY(A2960,2)+1</f>
        <v/>
      </c>
      <c r="E2960" s="25" t="inlineStr">
        <is>
          <t>sthomas</t>
        </is>
      </c>
      <c r="F2960" s="25" t="n">
        <v>125393</v>
      </c>
      <c r="G2960" s="25" t="n">
        <v>1</v>
      </c>
      <c r="H2960" s="25" t="n">
        <v>5</v>
      </c>
      <c r="I2960" s="25" t="inlineStr">
        <is>
          <t>2 minute(s) and 25 second(s)</t>
        </is>
      </c>
      <c r="J2960" s="25">
        <f>IFERROR(VALUE(TRIM(LEFT(I2960,FIND("minute",I2960)-1)))*60,0)+IFERROR(VALUE(SUBSTITUTE(MID(I2960,IFERROR(FIND("and",I2960)+3,1),20),"second(s)","")),0)</f>
        <v/>
      </c>
      <c r="K2960" s="41">
        <f>J2960/60</f>
        <v/>
      </c>
      <c r="L2960" s="41">
        <f>IFERROR(J2960/H2960,"")</f>
        <v/>
      </c>
      <c r="M2960" s="25" t="inlineStr">
        <is>
          <t>2.5.12</t>
        </is>
      </c>
      <c r="N2960" s="25">
        <f>IF(J2960&gt;300,1,0)</f>
        <v/>
      </c>
      <c r="O2960" s="25">
        <f>IF(J2960&gt;600,1,0)</f>
        <v/>
      </c>
      <c r="P2960" s="25">
        <f>IF(H2960&gt;0,J2960,"")</f>
        <v/>
      </c>
      <c r="Q2960" s="25">
        <f>TEXT(A2960,"YYYY-MM-DD HH")</f>
        <v/>
      </c>
      <c r="R2960" s="25">
        <f>COUNTIF($Q$2:$Q$5295,Q2960)</f>
        <v/>
      </c>
      <c r="S2960" s="25">
        <f>IF(R2960&lt;=2,"1-2",IF(R2960&lt;=5,"3-5",IF(R2960&lt;=10,"6-10","11+")))</f>
        <v/>
      </c>
    </row>
    <row r="2961">
      <c r="A2961" s="39" t="n">
        <v>46192.40702546296</v>
      </c>
      <c r="B2961" s="25">
        <f>TEXT(A2961,"YYYY-MM")</f>
        <v/>
      </c>
      <c r="C2961" s="25">
        <f>TEXT(A2961,"MMM-YYYY")</f>
        <v/>
      </c>
      <c r="D2961" s="40">
        <f>INT(A2961)-WEEKDAY(A2961,2)+1</f>
        <v/>
      </c>
      <c r="E2961" s="25" t="inlineStr">
        <is>
          <t>adey</t>
        </is>
      </c>
      <c r="F2961" s="25" t="n">
        <v>122624</v>
      </c>
      <c r="G2961" s="25" t="n">
        <v>3</v>
      </c>
      <c r="H2961" s="25" t="n">
        <v>17</v>
      </c>
      <c r="I2961" s="25" t="inlineStr">
        <is>
          <t>3 minute(s) and 15 second(s)</t>
        </is>
      </c>
      <c r="J2961" s="25">
        <f>IFERROR(VALUE(TRIM(LEFT(I2961,FIND("minute",I2961)-1)))*60,0)+IFERROR(VALUE(SUBSTITUTE(MID(I2961,IFERROR(FIND("and",I2961)+3,1),20),"second(s)","")),0)</f>
        <v/>
      </c>
      <c r="K2961" s="41">
        <f>J2961/60</f>
        <v/>
      </c>
      <c r="L2961" s="41">
        <f>IFERROR(J2961/H2961,"")</f>
        <v/>
      </c>
      <c r="M2961" s="25" t="inlineStr">
        <is>
          <t>2.5.12</t>
        </is>
      </c>
      <c r="N2961" s="25">
        <f>IF(J2961&gt;300,1,0)</f>
        <v/>
      </c>
      <c r="O2961" s="25">
        <f>IF(J2961&gt;600,1,0)</f>
        <v/>
      </c>
      <c r="P2961" s="25">
        <f>IF(H2961&gt;0,J2961,"")</f>
        <v/>
      </c>
      <c r="Q2961" s="25">
        <f>TEXT(A2961,"YYYY-MM-DD HH")</f>
        <v/>
      </c>
      <c r="R2961" s="25">
        <f>COUNTIF($Q$2:$Q$5295,Q2961)</f>
        <v/>
      </c>
      <c r="S2961" s="25">
        <f>IF(R2961&lt;=2,"1-2",IF(R2961&lt;=5,"3-5",IF(R2961&lt;=10,"6-10","11+")))</f>
        <v/>
      </c>
    </row>
    <row r="2962">
      <c r="A2962" s="39" t="n">
        <v>46192.4169212963</v>
      </c>
      <c r="B2962" s="25">
        <f>TEXT(A2962,"YYYY-MM")</f>
        <v/>
      </c>
      <c r="C2962" s="25">
        <f>TEXT(A2962,"MMM-YYYY")</f>
        <v/>
      </c>
      <c r="D2962" s="40">
        <f>INT(A2962)-WEEKDAY(A2962,2)+1</f>
        <v/>
      </c>
      <c r="E2962" s="25" t="inlineStr">
        <is>
          <t>stiwari</t>
        </is>
      </c>
      <c r="F2962" s="25" t="n">
        <v>106670</v>
      </c>
      <c r="G2962" s="25" t="n">
        <v>2</v>
      </c>
      <c r="H2962" s="25" t="n">
        <v>12</v>
      </c>
      <c r="I2962" s="25" t="inlineStr">
        <is>
          <t>2 minute(s) and 45 second(s)</t>
        </is>
      </c>
      <c r="J2962" s="25">
        <f>IFERROR(VALUE(TRIM(LEFT(I2962,FIND("minute",I2962)-1)))*60,0)+IFERROR(VALUE(SUBSTITUTE(MID(I2962,IFERROR(FIND("and",I2962)+3,1),20),"second(s)","")),0)</f>
        <v/>
      </c>
      <c r="K2962" s="41">
        <f>J2962/60</f>
        <v/>
      </c>
      <c r="L2962" s="41">
        <f>IFERROR(J2962/H2962,"")</f>
        <v/>
      </c>
      <c r="M2962" s="25" t="inlineStr">
        <is>
          <t>2.5.12</t>
        </is>
      </c>
      <c r="N2962" s="25">
        <f>IF(J2962&gt;300,1,0)</f>
        <v/>
      </c>
      <c r="O2962" s="25">
        <f>IF(J2962&gt;600,1,0)</f>
        <v/>
      </c>
      <c r="P2962" s="25">
        <f>IF(H2962&gt;0,J2962,"")</f>
        <v/>
      </c>
      <c r="Q2962" s="25">
        <f>TEXT(A2962,"YYYY-MM-DD HH")</f>
        <v/>
      </c>
      <c r="R2962" s="25">
        <f>COUNTIF($Q$2:$Q$5295,Q2962)</f>
        <v/>
      </c>
      <c r="S2962" s="25">
        <f>IF(R2962&lt;=2,"1-2",IF(R2962&lt;=5,"3-5",IF(R2962&lt;=10,"6-10","11+")))</f>
        <v/>
      </c>
    </row>
    <row r="2963">
      <c r="A2963" s="39" t="n">
        <v>46192.48113425926</v>
      </c>
      <c r="B2963" s="25">
        <f>TEXT(A2963,"YYYY-MM")</f>
        <v/>
      </c>
      <c r="C2963" s="25">
        <f>TEXT(A2963,"MMM-YYYY")</f>
        <v/>
      </c>
      <c r="D2963" s="40">
        <f>INT(A2963)-WEEKDAY(A2963,2)+1</f>
        <v/>
      </c>
      <c r="E2963" s="25" t="inlineStr">
        <is>
          <t>aghosh</t>
        </is>
      </c>
      <c r="F2963" s="25" t="n">
        <v>105249</v>
      </c>
      <c r="G2963" s="25" t="n">
        <v>2</v>
      </c>
      <c r="H2963" s="25" t="n">
        <v>10</v>
      </c>
      <c r="I2963" s="25" t="inlineStr">
        <is>
          <t>4 minute(s) and 57 second(s)</t>
        </is>
      </c>
      <c r="J2963" s="25">
        <f>IFERROR(VALUE(TRIM(LEFT(I2963,FIND("minute",I2963)-1)))*60,0)+IFERROR(VALUE(SUBSTITUTE(MID(I2963,IFERROR(FIND("and",I2963)+3,1),20),"second(s)","")),0)</f>
        <v/>
      </c>
      <c r="K2963" s="41">
        <f>J2963/60</f>
        <v/>
      </c>
      <c r="L2963" s="41">
        <f>IFERROR(J2963/H2963,"")</f>
        <v/>
      </c>
      <c r="M2963" s="25" t="inlineStr">
        <is>
          <t>2.5.12</t>
        </is>
      </c>
      <c r="N2963" s="25">
        <f>IF(J2963&gt;300,1,0)</f>
        <v/>
      </c>
      <c r="O2963" s="25">
        <f>IF(J2963&gt;600,1,0)</f>
        <v/>
      </c>
      <c r="P2963" s="25">
        <f>IF(H2963&gt;0,J2963,"")</f>
        <v/>
      </c>
      <c r="Q2963" s="25">
        <f>TEXT(A2963,"YYYY-MM-DD HH")</f>
        <v/>
      </c>
      <c r="R2963" s="25">
        <f>COUNTIF($Q$2:$Q$5295,Q2963)</f>
        <v/>
      </c>
      <c r="S2963" s="25">
        <f>IF(R2963&lt;=2,"1-2",IF(R2963&lt;=5,"3-5",IF(R2963&lt;=10,"6-10","11+")))</f>
        <v/>
      </c>
    </row>
    <row r="2964">
      <c r="A2964" s="39" t="n">
        <v>46192.4933912037</v>
      </c>
      <c r="B2964" s="25">
        <f>TEXT(A2964,"YYYY-MM")</f>
        <v/>
      </c>
      <c r="C2964" s="25">
        <f>TEXT(A2964,"MMM-YYYY")</f>
        <v/>
      </c>
      <c r="D2964" s="40">
        <f>INT(A2964)-WEEKDAY(A2964,2)+1</f>
        <v/>
      </c>
      <c r="E2964" s="25" t="inlineStr">
        <is>
          <t>tkarmakar</t>
        </is>
      </c>
      <c r="F2964" s="25" t="n">
        <v>126097</v>
      </c>
      <c r="G2964" s="25" t="n">
        <v>5</v>
      </c>
      <c r="H2964" s="25" t="n">
        <v>23</v>
      </c>
      <c r="I2964" s="25" t="inlineStr">
        <is>
          <t>5 minute(s) and 22 second(s)</t>
        </is>
      </c>
      <c r="J2964" s="25">
        <f>IFERROR(VALUE(TRIM(LEFT(I2964,FIND("minute",I2964)-1)))*60,0)+IFERROR(VALUE(SUBSTITUTE(MID(I2964,IFERROR(FIND("and",I2964)+3,1),20),"second(s)","")),0)</f>
        <v/>
      </c>
      <c r="K2964" s="41">
        <f>J2964/60</f>
        <v/>
      </c>
      <c r="L2964" s="41">
        <f>IFERROR(J2964/H2964,"")</f>
        <v/>
      </c>
      <c r="M2964" s="25" t="inlineStr">
        <is>
          <t>2.5.12</t>
        </is>
      </c>
      <c r="N2964" s="25">
        <f>IF(J2964&gt;300,1,0)</f>
        <v/>
      </c>
      <c r="O2964" s="25">
        <f>IF(J2964&gt;600,1,0)</f>
        <v/>
      </c>
      <c r="P2964" s="25">
        <f>IF(H2964&gt;0,J2964,"")</f>
        <v/>
      </c>
      <c r="Q2964" s="25">
        <f>TEXT(A2964,"YYYY-MM-DD HH")</f>
        <v/>
      </c>
      <c r="R2964" s="25">
        <f>COUNTIF($Q$2:$Q$5295,Q2964)</f>
        <v/>
      </c>
      <c r="S2964" s="25">
        <f>IF(R2964&lt;=2,"1-2",IF(R2964&lt;=5,"3-5",IF(R2964&lt;=10,"6-10","11+")))</f>
        <v/>
      </c>
    </row>
    <row r="2965">
      <c r="A2965" s="39" t="n">
        <v>46192.52958333334</v>
      </c>
      <c r="B2965" s="25">
        <f>TEXT(A2965,"YYYY-MM")</f>
        <v/>
      </c>
      <c r="C2965" s="25">
        <f>TEXT(A2965,"MMM-YYYY")</f>
        <v/>
      </c>
      <c r="D2965" s="40">
        <f>INT(A2965)-WEEKDAY(A2965,2)+1</f>
        <v/>
      </c>
      <c r="E2965" s="25" t="inlineStr">
        <is>
          <t>sdey</t>
        </is>
      </c>
      <c r="F2965" s="25" t="n">
        <v>69257</v>
      </c>
      <c r="G2965" s="25" t="n">
        <v>2</v>
      </c>
      <c r="H2965" s="25" t="n">
        <v>9</v>
      </c>
      <c r="I2965" s="25" t="inlineStr">
        <is>
          <t>2 minute(s) and 40 second(s)</t>
        </is>
      </c>
      <c r="J2965" s="25">
        <f>IFERROR(VALUE(TRIM(LEFT(I2965,FIND("minute",I2965)-1)))*60,0)+IFERROR(VALUE(SUBSTITUTE(MID(I2965,IFERROR(FIND("and",I2965)+3,1),20),"second(s)","")),0)</f>
        <v/>
      </c>
      <c r="K2965" s="41">
        <f>J2965/60</f>
        <v/>
      </c>
      <c r="L2965" s="41">
        <f>IFERROR(J2965/H2965,"")</f>
        <v/>
      </c>
      <c r="M2965" s="25" t="inlineStr">
        <is>
          <t>2.5.12</t>
        </is>
      </c>
      <c r="N2965" s="25">
        <f>IF(J2965&gt;300,1,0)</f>
        <v/>
      </c>
      <c r="O2965" s="25">
        <f>IF(J2965&gt;600,1,0)</f>
        <v/>
      </c>
      <c r="P2965" s="25">
        <f>IF(H2965&gt;0,J2965,"")</f>
        <v/>
      </c>
      <c r="Q2965" s="25">
        <f>TEXT(A2965,"YYYY-MM-DD HH")</f>
        <v/>
      </c>
      <c r="R2965" s="25">
        <f>COUNTIF($Q$2:$Q$5295,Q2965)</f>
        <v/>
      </c>
      <c r="S2965" s="25">
        <f>IF(R2965&lt;=2,"1-2",IF(R2965&lt;=5,"3-5",IF(R2965&lt;=10,"6-10","11+")))</f>
        <v/>
      </c>
    </row>
    <row r="2966">
      <c r="A2966" s="39" t="n">
        <v>46192.54140046296</v>
      </c>
      <c r="B2966" s="25">
        <f>TEXT(A2966,"YYYY-MM")</f>
        <v/>
      </c>
      <c r="C2966" s="25">
        <f>TEXT(A2966,"MMM-YYYY")</f>
        <v/>
      </c>
      <c r="D2966" s="40">
        <f>INT(A2966)-WEEKDAY(A2966,2)+1</f>
        <v/>
      </c>
      <c r="E2966" s="25" t="inlineStr">
        <is>
          <t>adey</t>
        </is>
      </c>
      <c r="F2966" s="25" t="n">
        <v>121428</v>
      </c>
      <c r="G2966" s="25" t="n">
        <v>3</v>
      </c>
      <c r="H2966" s="25" t="n">
        <v>17</v>
      </c>
      <c r="I2966" s="25" t="inlineStr">
        <is>
          <t>3 minute(s) and 29 second(s)</t>
        </is>
      </c>
      <c r="J2966" s="25">
        <f>IFERROR(VALUE(TRIM(LEFT(I2966,FIND("minute",I2966)-1)))*60,0)+IFERROR(VALUE(SUBSTITUTE(MID(I2966,IFERROR(FIND("and",I2966)+3,1),20),"second(s)","")),0)</f>
        <v/>
      </c>
      <c r="K2966" s="41">
        <f>J2966/60</f>
        <v/>
      </c>
      <c r="L2966" s="41">
        <f>IFERROR(J2966/H2966,"")</f>
        <v/>
      </c>
      <c r="M2966" s="25" t="inlineStr">
        <is>
          <t>2.5.12</t>
        </is>
      </c>
      <c r="N2966" s="25">
        <f>IF(J2966&gt;300,1,0)</f>
        <v/>
      </c>
      <c r="O2966" s="25">
        <f>IF(J2966&gt;600,1,0)</f>
        <v/>
      </c>
      <c r="P2966" s="25">
        <f>IF(H2966&gt;0,J2966,"")</f>
        <v/>
      </c>
      <c r="Q2966" s="25">
        <f>TEXT(A2966,"YYYY-MM-DD HH")</f>
        <v/>
      </c>
      <c r="R2966" s="25">
        <f>COUNTIF($Q$2:$Q$5295,Q2966)</f>
        <v/>
      </c>
      <c r="S2966" s="25">
        <f>IF(R2966&lt;=2,"1-2",IF(R2966&lt;=5,"3-5",IF(R2966&lt;=10,"6-10","11+")))</f>
        <v/>
      </c>
    </row>
    <row r="2967">
      <c r="A2967" s="39" t="n">
        <v>46192.5507175926</v>
      </c>
      <c r="B2967" s="25">
        <f>TEXT(A2967,"YYYY-MM")</f>
        <v/>
      </c>
      <c r="C2967" s="25">
        <f>TEXT(A2967,"MMM-YYYY")</f>
        <v/>
      </c>
      <c r="D2967" s="40">
        <f>INT(A2967)-WEEKDAY(A2967,2)+1</f>
        <v/>
      </c>
      <c r="E2967" s="25" t="inlineStr">
        <is>
          <t>aghosh</t>
        </is>
      </c>
      <c r="F2967" s="25" t="n">
        <v>94728</v>
      </c>
      <c r="G2967" s="25" t="n">
        <v>2</v>
      </c>
      <c r="H2967" s="25" t="n">
        <v>6</v>
      </c>
      <c r="I2967" s="25" t="inlineStr">
        <is>
          <t>1 minute(s) and 29 second(s)</t>
        </is>
      </c>
      <c r="J2967" s="25">
        <f>IFERROR(VALUE(TRIM(LEFT(I2967,FIND("minute",I2967)-1)))*60,0)+IFERROR(VALUE(SUBSTITUTE(MID(I2967,IFERROR(FIND("and",I2967)+3,1),20),"second(s)","")),0)</f>
        <v/>
      </c>
      <c r="K2967" s="41">
        <f>J2967/60</f>
        <v/>
      </c>
      <c r="L2967" s="41">
        <f>IFERROR(J2967/H2967,"")</f>
        <v/>
      </c>
      <c r="M2967" s="25" t="inlineStr">
        <is>
          <t>2.5.12</t>
        </is>
      </c>
      <c r="N2967" s="25">
        <f>IF(J2967&gt;300,1,0)</f>
        <v/>
      </c>
      <c r="O2967" s="25">
        <f>IF(J2967&gt;600,1,0)</f>
        <v/>
      </c>
      <c r="P2967" s="25">
        <f>IF(H2967&gt;0,J2967,"")</f>
        <v/>
      </c>
      <c r="Q2967" s="25">
        <f>TEXT(A2967,"YYYY-MM-DD HH")</f>
        <v/>
      </c>
      <c r="R2967" s="25">
        <f>COUNTIF($Q$2:$Q$5295,Q2967)</f>
        <v/>
      </c>
      <c r="S2967" s="25">
        <f>IF(R2967&lt;=2,"1-2",IF(R2967&lt;=5,"3-5",IF(R2967&lt;=10,"6-10","11+")))</f>
        <v/>
      </c>
    </row>
    <row r="2968">
      <c r="A2968" s="39" t="n">
        <v>46192.60041666667</v>
      </c>
      <c r="B2968" s="25">
        <f>TEXT(A2968,"YYYY-MM")</f>
        <v/>
      </c>
      <c r="C2968" s="25">
        <f>TEXT(A2968,"MMM-YYYY")</f>
        <v/>
      </c>
      <c r="D2968" s="40">
        <f>INT(A2968)-WEEKDAY(A2968,2)+1</f>
        <v/>
      </c>
      <c r="E2968" s="25" t="inlineStr">
        <is>
          <t>rsingh</t>
        </is>
      </c>
      <c r="F2968" s="25" t="n">
        <v>125087</v>
      </c>
      <c r="G2968" s="25" t="n">
        <v>2</v>
      </c>
      <c r="H2968" s="25" t="n">
        <v>10</v>
      </c>
      <c r="I2968" s="25" t="inlineStr">
        <is>
          <t>9 minute(s) and 9 second(s)</t>
        </is>
      </c>
      <c r="J2968" s="25">
        <f>IFERROR(VALUE(TRIM(LEFT(I2968,FIND("minute",I2968)-1)))*60,0)+IFERROR(VALUE(SUBSTITUTE(MID(I2968,IFERROR(FIND("and",I2968)+3,1),20),"second(s)","")),0)</f>
        <v/>
      </c>
      <c r="K2968" s="41">
        <f>J2968/60</f>
        <v/>
      </c>
      <c r="L2968" s="41">
        <f>IFERROR(J2968/H2968,"")</f>
        <v/>
      </c>
      <c r="M2968" s="25" t="inlineStr">
        <is>
          <t>2.5.12</t>
        </is>
      </c>
      <c r="N2968" s="25">
        <f>IF(J2968&gt;300,1,0)</f>
        <v/>
      </c>
      <c r="O2968" s="25">
        <f>IF(J2968&gt;600,1,0)</f>
        <v/>
      </c>
      <c r="P2968" s="25">
        <f>IF(H2968&gt;0,J2968,"")</f>
        <v/>
      </c>
      <c r="Q2968" s="25">
        <f>TEXT(A2968,"YYYY-MM-DD HH")</f>
        <v/>
      </c>
      <c r="R2968" s="25">
        <f>COUNTIF($Q$2:$Q$5295,Q2968)</f>
        <v/>
      </c>
      <c r="S2968" s="25">
        <f>IF(R2968&lt;=2,"1-2",IF(R2968&lt;=5,"3-5",IF(R2968&lt;=10,"6-10","11+")))</f>
        <v/>
      </c>
    </row>
    <row r="2969">
      <c r="A2969" s="39" t="n">
        <v>46192.64825231482</v>
      </c>
      <c r="B2969" s="25">
        <f>TEXT(A2969,"YYYY-MM")</f>
        <v/>
      </c>
      <c r="C2969" s="25">
        <f>TEXT(A2969,"MMM-YYYY")</f>
        <v/>
      </c>
      <c r="D2969" s="40">
        <f>INT(A2969)-WEEKDAY(A2969,2)+1</f>
        <v/>
      </c>
      <c r="E2969" s="25" t="inlineStr">
        <is>
          <t>psingh</t>
        </is>
      </c>
      <c r="F2969" s="25" t="n">
        <v>115889</v>
      </c>
      <c r="G2969" s="25" t="n">
        <v>4</v>
      </c>
      <c r="H2969" s="25" t="n">
        <v>26</v>
      </c>
      <c r="I2969" s="25" t="inlineStr">
        <is>
          <t>9 minute(s) and 30 second(s)</t>
        </is>
      </c>
      <c r="J2969" s="25">
        <f>IFERROR(VALUE(TRIM(LEFT(I2969,FIND("minute",I2969)-1)))*60,0)+IFERROR(VALUE(SUBSTITUTE(MID(I2969,IFERROR(FIND("and",I2969)+3,1),20),"second(s)","")),0)</f>
        <v/>
      </c>
      <c r="K2969" s="41">
        <f>J2969/60</f>
        <v/>
      </c>
      <c r="L2969" s="41">
        <f>IFERROR(J2969/H2969,"")</f>
        <v/>
      </c>
      <c r="M2969" s="25" t="inlineStr">
        <is>
          <t>2.5.12</t>
        </is>
      </c>
      <c r="N2969" s="25">
        <f>IF(J2969&gt;300,1,0)</f>
        <v/>
      </c>
      <c r="O2969" s="25">
        <f>IF(J2969&gt;600,1,0)</f>
        <v/>
      </c>
      <c r="P2969" s="25">
        <f>IF(H2969&gt;0,J2969,"")</f>
        <v/>
      </c>
      <c r="Q2969" s="25">
        <f>TEXT(A2969,"YYYY-MM-DD HH")</f>
        <v/>
      </c>
      <c r="R2969" s="25">
        <f>COUNTIF($Q$2:$Q$5295,Q2969)</f>
        <v/>
      </c>
      <c r="S2969" s="25">
        <f>IF(R2969&lt;=2,"1-2",IF(R2969&lt;=5,"3-5",IF(R2969&lt;=10,"6-10","11+")))</f>
        <v/>
      </c>
    </row>
    <row r="2970">
      <c r="A2970" s="39" t="n">
        <v>46192.69064814815</v>
      </c>
      <c r="B2970" s="25">
        <f>TEXT(A2970,"YYYY-MM")</f>
        <v/>
      </c>
      <c r="C2970" s="25">
        <f>TEXT(A2970,"MMM-YYYY")</f>
        <v/>
      </c>
      <c r="D2970" s="40">
        <f>INT(A2970)-WEEKDAY(A2970,2)+1</f>
        <v/>
      </c>
      <c r="E2970" s="25" t="inlineStr">
        <is>
          <t>rsingh</t>
        </is>
      </c>
      <c r="F2970" s="25" t="n">
        <v>109766</v>
      </c>
      <c r="G2970" s="25" t="n">
        <v>4</v>
      </c>
      <c r="H2970" s="25" t="n">
        <v>20</v>
      </c>
      <c r="I2970" s="25" t="inlineStr">
        <is>
          <t>11 minute(s) and 32 second(s)</t>
        </is>
      </c>
      <c r="J2970" s="25">
        <f>IFERROR(VALUE(TRIM(LEFT(I2970,FIND("minute",I2970)-1)))*60,0)+IFERROR(VALUE(SUBSTITUTE(MID(I2970,IFERROR(FIND("and",I2970)+3,1),20),"second(s)","")),0)</f>
        <v/>
      </c>
      <c r="K2970" s="41">
        <f>J2970/60</f>
        <v/>
      </c>
      <c r="L2970" s="41">
        <f>IFERROR(J2970/H2970,"")</f>
        <v/>
      </c>
      <c r="M2970" s="25" t="inlineStr">
        <is>
          <t>2.5.12</t>
        </is>
      </c>
      <c r="N2970" s="25">
        <f>IF(J2970&gt;300,1,0)</f>
        <v/>
      </c>
      <c r="O2970" s="25">
        <f>IF(J2970&gt;600,1,0)</f>
        <v/>
      </c>
      <c r="P2970" s="25">
        <f>IF(H2970&gt;0,J2970,"")</f>
        <v/>
      </c>
      <c r="Q2970" s="25">
        <f>TEXT(A2970,"YYYY-MM-DD HH")</f>
        <v/>
      </c>
      <c r="R2970" s="25">
        <f>COUNTIF($Q$2:$Q$5295,Q2970)</f>
        <v/>
      </c>
      <c r="S2970" s="25">
        <f>IF(R2970&lt;=2,"1-2",IF(R2970&lt;=5,"3-5",IF(R2970&lt;=10,"6-10","11+")))</f>
        <v/>
      </c>
    </row>
    <row r="2971">
      <c r="A2971" s="39" t="n">
        <v>46192.77885416667</v>
      </c>
      <c r="B2971" s="25">
        <f>TEXT(A2971,"YYYY-MM")</f>
        <v/>
      </c>
      <c r="C2971" s="25">
        <f>TEXT(A2971,"MMM-YYYY")</f>
        <v/>
      </c>
      <c r="D2971" s="40">
        <f>INT(A2971)-WEEKDAY(A2971,2)+1</f>
        <v/>
      </c>
      <c r="E2971" s="25" t="inlineStr">
        <is>
          <t>psingh</t>
        </is>
      </c>
      <c r="F2971" s="25" t="n">
        <v>93675</v>
      </c>
      <c r="G2971" s="25" t="n">
        <v>1</v>
      </c>
      <c r="H2971" s="25" t="n">
        <v>7</v>
      </c>
      <c r="I2971" s="25" t="inlineStr">
        <is>
          <t>3 minute(s) and 5 second(s)</t>
        </is>
      </c>
      <c r="J2971" s="25">
        <f>IFERROR(VALUE(TRIM(LEFT(I2971,FIND("minute",I2971)-1)))*60,0)+IFERROR(VALUE(SUBSTITUTE(MID(I2971,IFERROR(FIND("and",I2971)+3,1),20),"second(s)","")),0)</f>
        <v/>
      </c>
      <c r="K2971" s="41">
        <f>J2971/60</f>
        <v/>
      </c>
      <c r="L2971" s="41">
        <f>IFERROR(J2971/H2971,"")</f>
        <v/>
      </c>
      <c r="M2971" s="25" t="inlineStr">
        <is>
          <t>2.5.12</t>
        </is>
      </c>
      <c r="N2971" s="25">
        <f>IF(J2971&gt;300,1,0)</f>
        <v/>
      </c>
      <c r="O2971" s="25">
        <f>IF(J2971&gt;600,1,0)</f>
        <v/>
      </c>
      <c r="P2971" s="25">
        <f>IF(H2971&gt;0,J2971,"")</f>
        <v/>
      </c>
      <c r="Q2971" s="25">
        <f>TEXT(A2971,"YYYY-MM-DD HH")</f>
        <v/>
      </c>
      <c r="R2971" s="25">
        <f>COUNTIF($Q$2:$Q$5295,Q2971)</f>
        <v/>
      </c>
      <c r="S2971" s="25">
        <f>IF(R2971&lt;=2,"1-2",IF(R2971&lt;=5,"3-5",IF(R2971&lt;=10,"6-10","11+")))</f>
        <v/>
      </c>
    </row>
    <row r="2972">
      <c r="A2972" s="39" t="n">
        <v>46192.80810185185</v>
      </c>
      <c r="B2972" s="25">
        <f>TEXT(A2972,"YYYY-MM")</f>
        <v/>
      </c>
      <c r="C2972" s="25">
        <f>TEXT(A2972,"MMM-YYYY")</f>
        <v/>
      </c>
      <c r="D2972" s="40">
        <f>INT(A2972)-WEEKDAY(A2972,2)+1</f>
        <v/>
      </c>
      <c r="E2972" s="25" t="inlineStr">
        <is>
          <t>psingh</t>
        </is>
      </c>
      <c r="F2972" s="25" t="n">
        <v>114847</v>
      </c>
      <c r="G2972" s="25" t="n">
        <v>2</v>
      </c>
      <c r="H2972" s="25" t="n">
        <v>14</v>
      </c>
      <c r="I2972" s="25" t="inlineStr">
        <is>
          <t>6 minute(s) and 8 second(s)</t>
        </is>
      </c>
      <c r="J2972" s="25">
        <f>IFERROR(VALUE(TRIM(LEFT(I2972,FIND("minute",I2972)-1)))*60,0)+IFERROR(VALUE(SUBSTITUTE(MID(I2972,IFERROR(FIND("and",I2972)+3,1),20),"second(s)","")),0)</f>
        <v/>
      </c>
      <c r="K2972" s="41">
        <f>J2972/60</f>
        <v/>
      </c>
      <c r="L2972" s="41">
        <f>IFERROR(J2972/H2972,"")</f>
        <v/>
      </c>
      <c r="M2972" s="25" t="inlineStr">
        <is>
          <t>2.5.12</t>
        </is>
      </c>
      <c r="N2972" s="25">
        <f>IF(J2972&gt;300,1,0)</f>
        <v/>
      </c>
      <c r="O2972" s="25">
        <f>IF(J2972&gt;600,1,0)</f>
        <v/>
      </c>
      <c r="P2972" s="25">
        <f>IF(H2972&gt;0,J2972,"")</f>
        <v/>
      </c>
      <c r="Q2972" s="25">
        <f>TEXT(A2972,"YYYY-MM-DD HH")</f>
        <v/>
      </c>
      <c r="R2972" s="25">
        <f>COUNTIF($Q$2:$Q$5295,Q2972)</f>
        <v/>
      </c>
      <c r="S2972" s="25">
        <f>IF(R2972&lt;=2,"1-2",IF(R2972&lt;=5,"3-5",IF(R2972&lt;=10,"6-10","11+")))</f>
        <v/>
      </c>
    </row>
    <row r="2973">
      <c r="A2973" s="39" t="n">
        <v>46192.81003472222</v>
      </c>
      <c r="B2973" s="25">
        <f>TEXT(A2973,"YYYY-MM")</f>
        <v/>
      </c>
      <c r="C2973" s="25">
        <f>TEXT(A2973,"MMM-YYYY")</f>
        <v/>
      </c>
      <c r="D2973" s="40">
        <f>INT(A2973)-WEEKDAY(A2973,2)+1</f>
        <v/>
      </c>
      <c r="E2973" s="25" t="inlineStr">
        <is>
          <t>ssaha</t>
        </is>
      </c>
      <c r="F2973" s="25" t="n">
        <v>125759</v>
      </c>
      <c r="G2973" s="25" t="n">
        <v>4</v>
      </c>
      <c r="H2973" s="25" t="n">
        <v>12</v>
      </c>
      <c r="I2973" s="25" t="inlineStr">
        <is>
          <t>2 minute(s) and 10 second(s)</t>
        </is>
      </c>
      <c r="J2973" s="25">
        <f>IFERROR(VALUE(TRIM(LEFT(I2973,FIND("minute",I2973)-1)))*60,0)+IFERROR(VALUE(SUBSTITUTE(MID(I2973,IFERROR(FIND("and",I2973)+3,1),20),"second(s)","")),0)</f>
        <v/>
      </c>
      <c r="K2973" s="41">
        <f>J2973/60</f>
        <v/>
      </c>
      <c r="L2973" s="41">
        <f>IFERROR(J2973/H2973,"")</f>
        <v/>
      </c>
      <c r="M2973" s="25" t="inlineStr">
        <is>
          <t>2.5.12</t>
        </is>
      </c>
      <c r="N2973" s="25">
        <f>IF(J2973&gt;300,1,0)</f>
        <v/>
      </c>
      <c r="O2973" s="25">
        <f>IF(J2973&gt;600,1,0)</f>
        <v/>
      </c>
      <c r="P2973" s="25">
        <f>IF(H2973&gt;0,J2973,"")</f>
        <v/>
      </c>
      <c r="Q2973" s="25">
        <f>TEXT(A2973,"YYYY-MM-DD HH")</f>
        <v/>
      </c>
      <c r="R2973" s="25">
        <f>COUNTIF($Q$2:$Q$5295,Q2973)</f>
        <v/>
      </c>
      <c r="S2973" s="25">
        <f>IF(R2973&lt;=2,"1-2",IF(R2973&lt;=5,"3-5",IF(R2973&lt;=10,"6-10","11+")))</f>
        <v/>
      </c>
    </row>
    <row r="2974">
      <c r="A2974" s="39" t="n">
        <v>46192.86192129629</v>
      </c>
      <c r="B2974" s="25">
        <f>TEXT(A2974,"YYYY-MM")</f>
        <v/>
      </c>
      <c r="C2974" s="25">
        <f>TEXT(A2974,"MMM-YYYY")</f>
        <v/>
      </c>
      <c r="D2974" s="40">
        <f>INT(A2974)-WEEKDAY(A2974,2)+1</f>
        <v/>
      </c>
      <c r="E2974" s="25" t="inlineStr">
        <is>
          <t>ssaha</t>
        </is>
      </c>
      <c r="F2974" s="25" t="n">
        <v>124414</v>
      </c>
      <c r="G2974" s="25" t="n">
        <v>4</v>
      </c>
      <c r="H2974" s="25" t="n">
        <v>14</v>
      </c>
      <c r="I2974" s="25" t="inlineStr">
        <is>
          <t>3 minute(s) and 33 second(s)</t>
        </is>
      </c>
      <c r="J2974" s="25">
        <f>IFERROR(VALUE(TRIM(LEFT(I2974,FIND("minute",I2974)-1)))*60,0)+IFERROR(VALUE(SUBSTITUTE(MID(I2974,IFERROR(FIND("and",I2974)+3,1),20),"second(s)","")),0)</f>
        <v/>
      </c>
      <c r="K2974" s="41">
        <f>J2974/60</f>
        <v/>
      </c>
      <c r="L2974" s="41">
        <f>IFERROR(J2974/H2974,"")</f>
        <v/>
      </c>
      <c r="M2974" s="25" t="inlineStr">
        <is>
          <t>2.5.12</t>
        </is>
      </c>
      <c r="N2974" s="25">
        <f>IF(J2974&gt;300,1,0)</f>
        <v/>
      </c>
      <c r="O2974" s="25">
        <f>IF(J2974&gt;600,1,0)</f>
        <v/>
      </c>
      <c r="P2974" s="25">
        <f>IF(H2974&gt;0,J2974,"")</f>
        <v/>
      </c>
      <c r="Q2974" s="25">
        <f>TEXT(A2974,"YYYY-MM-DD HH")</f>
        <v/>
      </c>
      <c r="R2974" s="25">
        <f>COUNTIF($Q$2:$Q$5295,Q2974)</f>
        <v/>
      </c>
      <c r="S2974" s="25">
        <f>IF(R2974&lt;=2,"1-2",IF(R2974&lt;=5,"3-5",IF(R2974&lt;=10,"6-10","11+")))</f>
        <v/>
      </c>
    </row>
    <row r="2975">
      <c r="A2975" s="39" t="n">
        <v>46192.92881944445</v>
      </c>
      <c r="B2975" s="25">
        <f>TEXT(A2975,"YYYY-MM")</f>
        <v/>
      </c>
      <c r="C2975" s="25">
        <f>TEXT(A2975,"MMM-YYYY")</f>
        <v/>
      </c>
      <c r="D2975" s="40">
        <f>INT(A2975)-WEEKDAY(A2975,2)+1</f>
        <v/>
      </c>
      <c r="E2975" s="25" t="inlineStr">
        <is>
          <t>ssaha</t>
        </is>
      </c>
      <c r="F2975" s="25" t="n">
        <v>125153</v>
      </c>
      <c r="G2975" s="25" t="n">
        <v>4</v>
      </c>
      <c r="H2975" s="25" t="n">
        <v>14</v>
      </c>
      <c r="I2975" s="25" t="inlineStr">
        <is>
          <t>2 minute(s) and 51 second(s)</t>
        </is>
      </c>
      <c r="J2975" s="25">
        <f>IFERROR(VALUE(TRIM(LEFT(I2975,FIND("minute",I2975)-1)))*60,0)+IFERROR(VALUE(SUBSTITUTE(MID(I2975,IFERROR(FIND("and",I2975)+3,1),20),"second(s)","")),0)</f>
        <v/>
      </c>
      <c r="K2975" s="41">
        <f>J2975/60</f>
        <v/>
      </c>
      <c r="L2975" s="41">
        <f>IFERROR(J2975/H2975,"")</f>
        <v/>
      </c>
      <c r="M2975" s="25" t="inlineStr">
        <is>
          <t>2.5.12</t>
        </is>
      </c>
      <c r="N2975" s="25">
        <f>IF(J2975&gt;300,1,0)</f>
        <v/>
      </c>
      <c r="O2975" s="25">
        <f>IF(J2975&gt;600,1,0)</f>
        <v/>
      </c>
      <c r="P2975" s="25">
        <f>IF(H2975&gt;0,J2975,"")</f>
        <v/>
      </c>
      <c r="Q2975" s="25">
        <f>TEXT(A2975,"YYYY-MM-DD HH")</f>
        <v/>
      </c>
      <c r="R2975" s="25">
        <f>COUNTIF($Q$2:$Q$5295,Q2975)</f>
        <v/>
      </c>
      <c r="S2975" s="25">
        <f>IF(R2975&lt;=2,"1-2",IF(R2975&lt;=5,"3-5",IF(R2975&lt;=10,"6-10","11+")))</f>
        <v/>
      </c>
    </row>
    <row r="2976">
      <c r="A2976" s="39" t="n">
        <v>46192.9359837963</v>
      </c>
      <c r="B2976" s="25">
        <f>TEXT(A2976,"YYYY-MM")</f>
        <v/>
      </c>
      <c r="C2976" s="25">
        <f>TEXT(A2976,"MMM-YYYY")</f>
        <v/>
      </c>
      <c r="D2976" s="40">
        <f>INT(A2976)-WEEKDAY(A2976,2)+1</f>
        <v/>
      </c>
      <c r="E2976" s="25" t="inlineStr">
        <is>
          <t>psingh</t>
        </is>
      </c>
      <c r="F2976" s="25" t="n">
        <v>96606</v>
      </c>
      <c r="G2976" s="25" t="n">
        <v>4</v>
      </c>
      <c r="H2976" s="25" t="n">
        <v>22</v>
      </c>
      <c r="I2976" s="25" t="inlineStr">
        <is>
          <t>5 minute(s) and 36 second(s)</t>
        </is>
      </c>
      <c r="J2976" s="25">
        <f>IFERROR(VALUE(TRIM(LEFT(I2976,FIND("minute",I2976)-1)))*60,0)+IFERROR(VALUE(SUBSTITUTE(MID(I2976,IFERROR(FIND("and",I2976)+3,1),20),"second(s)","")),0)</f>
        <v/>
      </c>
      <c r="K2976" s="41">
        <f>J2976/60</f>
        <v/>
      </c>
      <c r="L2976" s="41">
        <f>IFERROR(J2976/H2976,"")</f>
        <v/>
      </c>
      <c r="M2976" s="25" t="inlineStr">
        <is>
          <t>2.5.12</t>
        </is>
      </c>
      <c r="N2976" s="25">
        <f>IF(J2976&gt;300,1,0)</f>
        <v/>
      </c>
      <c r="O2976" s="25">
        <f>IF(J2976&gt;600,1,0)</f>
        <v/>
      </c>
      <c r="P2976" s="25">
        <f>IF(H2976&gt;0,J2976,"")</f>
        <v/>
      </c>
      <c r="Q2976" s="25">
        <f>TEXT(A2976,"YYYY-MM-DD HH")</f>
        <v/>
      </c>
      <c r="R2976" s="25">
        <f>COUNTIF($Q$2:$Q$5295,Q2976)</f>
        <v/>
      </c>
      <c r="S2976" s="25">
        <f>IF(R2976&lt;=2,"1-2",IF(R2976&lt;=5,"3-5",IF(R2976&lt;=10,"6-10","11+")))</f>
        <v/>
      </c>
    </row>
    <row r="2977">
      <c r="A2977" s="39" t="n">
        <v>46195.0113425926</v>
      </c>
      <c r="B2977" s="25">
        <f>TEXT(A2977,"YYYY-MM")</f>
        <v/>
      </c>
      <c r="C2977" s="25">
        <f>TEXT(A2977,"MMM-YYYY")</f>
        <v/>
      </c>
      <c r="D2977" s="40">
        <f>INT(A2977)-WEEKDAY(A2977,2)+1</f>
        <v/>
      </c>
      <c r="E2977" s="25" t="inlineStr">
        <is>
          <t>asahoo</t>
        </is>
      </c>
      <c r="F2977" s="25" t="n">
        <v>121880</v>
      </c>
      <c r="G2977" s="25" t="n">
        <v>4</v>
      </c>
      <c r="H2977" s="25" t="n">
        <v>20</v>
      </c>
      <c r="I2977" s="25" t="inlineStr">
        <is>
          <t>5 minute(s) and 48 second(s)</t>
        </is>
      </c>
      <c r="J2977" s="25">
        <f>IFERROR(VALUE(TRIM(LEFT(I2977,FIND("minute",I2977)-1)))*60,0)+IFERROR(VALUE(SUBSTITUTE(MID(I2977,IFERROR(FIND("and",I2977)+3,1),20),"second(s)","")),0)</f>
        <v/>
      </c>
      <c r="K2977" s="41">
        <f>J2977/60</f>
        <v/>
      </c>
      <c r="L2977" s="41">
        <f>IFERROR(J2977/H2977,"")</f>
        <v/>
      </c>
      <c r="M2977" s="25" t="inlineStr">
        <is>
          <t>2.5.12</t>
        </is>
      </c>
      <c r="N2977" s="25">
        <f>IF(J2977&gt;300,1,0)</f>
        <v/>
      </c>
      <c r="O2977" s="25">
        <f>IF(J2977&gt;600,1,0)</f>
        <v/>
      </c>
      <c r="P2977" s="25">
        <f>IF(H2977&gt;0,J2977,"")</f>
        <v/>
      </c>
      <c r="Q2977" s="25">
        <f>TEXT(A2977,"YYYY-MM-DD HH")</f>
        <v/>
      </c>
      <c r="R2977" s="25">
        <f>COUNTIF($Q$2:$Q$5295,Q2977)</f>
        <v/>
      </c>
      <c r="S2977" s="25">
        <f>IF(R2977&lt;=2,"1-2",IF(R2977&lt;=5,"3-5",IF(R2977&lt;=10,"6-10","11+")))</f>
        <v/>
      </c>
    </row>
    <row r="2978">
      <c r="A2978" s="39" t="n">
        <v>46195.03314814815</v>
      </c>
      <c r="B2978" s="25">
        <f>TEXT(A2978,"YYYY-MM")</f>
        <v/>
      </c>
      <c r="C2978" s="25">
        <f>TEXT(A2978,"MMM-YYYY")</f>
        <v/>
      </c>
      <c r="D2978" s="40">
        <f>INT(A2978)-WEEKDAY(A2978,2)+1</f>
        <v/>
      </c>
      <c r="E2978" s="25" t="inlineStr">
        <is>
          <t>psathwika</t>
        </is>
      </c>
      <c r="F2978" s="25" t="n">
        <v>124943</v>
      </c>
      <c r="G2978" s="25" t="n">
        <v>1</v>
      </c>
      <c r="H2978" s="25" t="n">
        <v>7</v>
      </c>
      <c r="I2978" s="25" t="inlineStr">
        <is>
          <t>1 minute(s) and 27 second(s)</t>
        </is>
      </c>
      <c r="J2978" s="25">
        <f>IFERROR(VALUE(TRIM(LEFT(I2978,FIND("minute",I2978)-1)))*60,0)+IFERROR(VALUE(SUBSTITUTE(MID(I2978,IFERROR(FIND("and",I2978)+3,1),20),"second(s)","")),0)</f>
        <v/>
      </c>
      <c r="K2978" s="41">
        <f>J2978/60</f>
        <v/>
      </c>
      <c r="L2978" s="41">
        <f>IFERROR(J2978/H2978,"")</f>
        <v/>
      </c>
      <c r="M2978" s="25" t="inlineStr">
        <is>
          <t>2.5.12</t>
        </is>
      </c>
      <c r="N2978" s="25">
        <f>IF(J2978&gt;300,1,0)</f>
        <v/>
      </c>
      <c r="O2978" s="25">
        <f>IF(J2978&gt;600,1,0)</f>
        <v/>
      </c>
      <c r="P2978" s="25">
        <f>IF(H2978&gt;0,J2978,"")</f>
        <v/>
      </c>
      <c r="Q2978" s="25">
        <f>TEXT(A2978,"YYYY-MM-DD HH")</f>
        <v/>
      </c>
      <c r="R2978" s="25">
        <f>COUNTIF($Q$2:$Q$5295,Q2978)</f>
        <v/>
      </c>
      <c r="S2978" s="25">
        <f>IF(R2978&lt;=2,"1-2",IF(R2978&lt;=5,"3-5",IF(R2978&lt;=10,"6-10","11+")))</f>
        <v/>
      </c>
    </row>
    <row r="2979">
      <c r="A2979" s="39" t="n">
        <v>46195.13555555556</v>
      </c>
      <c r="B2979" s="25">
        <f>TEXT(A2979,"YYYY-MM")</f>
        <v/>
      </c>
      <c r="C2979" s="25">
        <f>TEXT(A2979,"MMM-YYYY")</f>
        <v/>
      </c>
      <c r="D2979" s="40">
        <f>INT(A2979)-WEEKDAY(A2979,2)+1</f>
        <v/>
      </c>
      <c r="E2979" s="25" t="inlineStr">
        <is>
          <t>apriyadarshi</t>
        </is>
      </c>
      <c r="F2979" s="25" t="n">
        <v>103891</v>
      </c>
      <c r="G2979" s="25" t="n">
        <v>3</v>
      </c>
      <c r="H2979" s="25" t="n">
        <v>11</v>
      </c>
      <c r="I2979" s="25" t="inlineStr">
        <is>
          <t>2 minute(s) and 20 second(s)</t>
        </is>
      </c>
      <c r="J2979" s="25">
        <f>IFERROR(VALUE(TRIM(LEFT(I2979,FIND("minute",I2979)-1)))*60,0)+IFERROR(VALUE(SUBSTITUTE(MID(I2979,IFERROR(FIND("and",I2979)+3,1),20),"second(s)","")),0)</f>
        <v/>
      </c>
      <c r="K2979" s="41">
        <f>J2979/60</f>
        <v/>
      </c>
      <c r="L2979" s="41">
        <f>IFERROR(J2979/H2979,"")</f>
        <v/>
      </c>
      <c r="M2979" s="25" t="inlineStr">
        <is>
          <t>2.5.12</t>
        </is>
      </c>
      <c r="N2979" s="25">
        <f>IF(J2979&gt;300,1,0)</f>
        <v/>
      </c>
      <c r="O2979" s="25">
        <f>IF(J2979&gt;600,1,0)</f>
        <v/>
      </c>
      <c r="P2979" s="25">
        <f>IF(H2979&gt;0,J2979,"")</f>
        <v/>
      </c>
      <c r="Q2979" s="25">
        <f>TEXT(A2979,"YYYY-MM-DD HH")</f>
        <v/>
      </c>
      <c r="R2979" s="25">
        <f>COUNTIF($Q$2:$Q$5295,Q2979)</f>
        <v/>
      </c>
      <c r="S2979" s="25">
        <f>IF(R2979&lt;=2,"1-2",IF(R2979&lt;=5,"3-5",IF(R2979&lt;=10,"6-10","11+")))</f>
        <v/>
      </c>
    </row>
    <row r="2980">
      <c r="A2980" s="39" t="n">
        <v>46195.13585648148</v>
      </c>
      <c r="B2980" s="25">
        <f>TEXT(A2980,"YYYY-MM")</f>
        <v/>
      </c>
      <c r="C2980" s="25">
        <f>TEXT(A2980,"MMM-YYYY")</f>
        <v/>
      </c>
      <c r="D2980" s="40">
        <f>INT(A2980)-WEEKDAY(A2980,2)+1</f>
        <v/>
      </c>
      <c r="E2980" s="25" t="inlineStr">
        <is>
          <t>ssarkar</t>
        </is>
      </c>
      <c r="F2980" s="25" t="n">
        <v>108293</v>
      </c>
      <c r="G2980" s="25" t="n">
        <v>3</v>
      </c>
      <c r="H2980" s="25" t="n">
        <v>13</v>
      </c>
      <c r="I2980" s="25" t="inlineStr">
        <is>
          <t>3 minute(s) and 12 second(s)</t>
        </is>
      </c>
      <c r="J2980" s="25">
        <f>IFERROR(VALUE(TRIM(LEFT(I2980,FIND("minute",I2980)-1)))*60,0)+IFERROR(VALUE(SUBSTITUTE(MID(I2980,IFERROR(FIND("and",I2980)+3,1),20),"second(s)","")),0)</f>
        <v/>
      </c>
      <c r="K2980" s="41">
        <f>J2980/60</f>
        <v/>
      </c>
      <c r="L2980" s="41">
        <f>IFERROR(J2980/H2980,"")</f>
        <v/>
      </c>
      <c r="M2980" s="25" t="inlineStr">
        <is>
          <t>2.5.12</t>
        </is>
      </c>
      <c r="N2980" s="25">
        <f>IF(J2980&gt;300,1,0)</f>
        <v/>
      </c>
      <c r="O2980" s="25">
        <f>IF(J2980&gt;600,1,0)</f>
        <v/>
      </c>
      <c r="P2980" s="25">
        <f>IF(H2980&gt;0,J2980,"")</f>
        <v/>
      </c>
      <c r="Q2980" s="25">
        <f>TEXT(A2980,"YYYY-MM-DD HH")</f>
        <v/>
      </c>
      <c r="R2980" s="25">
        <f>COUNTIF($Q$2:$Q$5295,Q2980)</f>
        <v/>
      </c>
      <c r="S2980" s="25">
        <f>IF(R2980&lt;=2,"1-2",IF(R2980&lt;=5,"3-5",IF(R2980&lt;=10,"6-10","11+")))</f>
        <v/>
      </c>
    </row>
    <row r="2981">
      <c r="A2981" s="39" t="n">
        <v>46195.13615740741</v>
      </c>
      <c r="B2981" s="25">
        <f>TEXT(A2981,"YYYY-MM")</f>
        <v/>
      </c>
      <c r="C2981" s="25">
        <f>TEXT(A2981,"MMM-YYYY")</f>
        <v/>
      </c>
      <c r="D2981" s="40">
        <f>INT(A2981)-WEEKDAY(A2981,2)+1</f>
        <v/>
      </c>
      <c r="E2981" s="25" t="inlineStr">
        <is>
          <t>stiwari</t>
        </is>
      </c>
      <c r="F2981" s="25" t="n">
        <v>95883</v>
      </c>
      <c r="G2981" s="25" t="n">
        <v>4</v>
      </c>
      <c r="H2981" s="25" t="n">
        <v>16</v>
      </c>
      <c r="I2981" s="25" t="inlineStr">
        <is>
          <t>3 minute(s) and 5 second(s)</t>
        </is>
      </c>
      <c r="J2981" s="25">
        <f>IFERROR(VALUE(TRIM(LEFT(I2981,FIND("minute",I2981)-1)))*60,0)+IFERROR(VALUE(SUBSTITUTE(MID(I2981,IFERROR(FIND("and",I2981)+3,1),20),"second(s)","")),0)</f>
        <v/>
      </c>
      <c r="K2981" s="41">
        <f>J2981/60</f>
        <v/>
      </c>
      <c r="L2981" s="41">
        <f>IFERROR(J2981/H2981,"")</f>
        <v/>
      </c>
      <c r="M2981" s="25" t="inlineStr">
        <is>
          <t>2.5.12</t>
        </is>
      </c>
      <c r="N2981" s="25">
        <f>IF(J2981&gt;300,1,0)</f>
        <v/>
      </c>
      <c r="O2981" s="25">
        <f>IF(J2981&gt;600,1,0)</f>
        <v/>
      </c>
      <c r="P2981" s="25">
        <f>IF(H2981&gt;0,J2981,"")</f>
        <v/>
      </c>
      <c r="Q2981" s="25">
        <f>TEXT(A2981,"YYYY-MM-DD HH")</f>
        <v/>
      </c>
      <c r="R2981" s="25">
        <f>COUNTIF($Q$2:$Q$5295,Q2981)</f>
        <v/>
      </c>
      <c r="S2981" s="25">
        <f>IF(R2981&lt;=2,"1-2",IF(R2981&lt;=5,"3-5",IF(R2981&lt;=10,"6-10","11+")))</f>
        <v/>
      </c>
    </row>
    <row r="2982">
      <c r="A2982" s="39" t="n">
        <v>46195.13892361111</v>
      </c>
      <c r="B2982" s="25">
        <f>TEXT(A2982,"YYYY-MM")</f>
        <v/>
      </c>
      <c r="C2982" s="25">
        <f>TEXT(A2982,"MMM-YYYY")</f>
        <v/>
      </c>
      <c r="D2982" s="40">
        <f>INT(A2982)-WEEKDAY(A2982,2)+1</f>
        <v/>
      </c>
      <c r="E2982" s="25" t="inlineStr">
        <is>
          <t>sswati</t>
        </is>
      </c>
      <c r="F2982" s="25" t="n">
        <v>123406</v>
      </c>
      <c r="G2982" s="25" t="n">
        <v>2</v>
      </c>
      <c r="H2982" s="25" t="n">
        <v>12</v>
      </c>
      <c r="I2982" s="25" t="inlineStr">
        <is>
          <t>4 minute(s) and 22 second(s)</t>
        </is>
      </c>
      <c r="J2982" s="25">
        <f>IFERROR(VALUE(TRIM(LEFT(I2982,FIND("minute",I2982)-1)))*60,0)+IFERROR(VALUE(SUBSTITUTE(MID(I2982,IFERROR(FIND("and",I2982)+3,1),20),"second(s)","")),0)</f>
        <v/>
      </c>
      <c r="K2982" s="41">
        <f>J2982/60</f>
        <v/>
      </c>
      <c r="L2982" s="41">
        <f>IFERROR(J2982/H2982,"")</f>
        <v/>
      </c>
      <c r="M2982" s="25" t="inlineStr">
        <is>
          <t>2.5.12</t>
        </is>
      </c>
      <c r="N2982" s="25">
        <f>IF(J2982&gt;300,1,0)</f>
        <v/>
      </c>
      <c r="O2982" s="25">
        <f>IF(J2982&gt;600,1,0)</f>
        <v/>
      </c>
      <c r="P2982" s="25">
        <f>IF(H2982&gt;0,J2982,"")</f>
        <v/>
      </c>
      <c r="Q2982" s="25">
        <f>TEXT(A2982,"YYYY-MM-DD HH")</f>
        <v/>
      </c>
      <c r="R2982" s="25">
        <f>COUNTIF($Q$2:$Q$5295,Q2982)</f>
        <v/>
      </c>
      <c r="S2982" s="25">
        <f>IF(R2982&lt;=2,"1-2",IF(R2982&lt;=5,"3-5",IF(R2982&lt;=10,"6-10","11+")))</f>
        <v/>
      </c>
    </row>
    <row r="2983">
      <c r="A2983" s="39" t="n">
        <v>46195.14981481482</v>
      </c>
      <c r="B2983" s="25">
        <f>TEXT(A2983,"YYYY-MM")</f>
        <v/>
      </c>
      <c r="C2983" s="25">
        <f>TEXT(A2983,"MMM-YYYY")</f>
        <v/>
      </c>
      <c r="D2983" s="40">
        <f>INT(A2983)-WEEKDAY(A2983,2)+1</f>
        <v/>
      </c>
      <c r="E2983" s="25" t="inlineStr">
        <is>
          <t>pgautam</t>
        </is>
      </c>
      <c r="F2983" s="25" t="n">
        <v>94627</v>
      </c>
      <c r="G2983" s="25" t="n">
        <v>4</v>
      </c>
      <c r="H2983" s="25" t="n">
        <v>28</v>
      </c>
      <c r="I2983" s="25" t="inlineStr">
        <is>
          <t>6 minute(s) and 24 second(s)</t>
        </is>
      </c>
      <c r="J2983" s="25">
        <f>IFERROR(VALUE(TRIM(LEFT(I2983,FIND("minute",I2983)-1)))*60,0)+IFERROR(VALUE(SUBSTITUTE(MID(I2983,IFERROR(FIND("and",I2983)+3,1),20),"second(s)","")),0)</f>
        <v/>
      </c>
      <c r="K2983" s="41">
        <f>J2983/60</f>
        <v/>
      </c>
      <c r="L2983" s="41">
        <f>IFERROR(J2983/H2983,"")</f>
        <v/>
      </c>
      <c r="M2983" s="25" t="inlineStr">
        <is>
          <t>2.5.12</t>
        </is>
      </c>
      <c r="N2983" s="25">
        <f>IF(J2983&gt;300,1,0)</f>
        <v/>
      </c>
      <c r="O2983" s="25">
        <f>IF(J2983&gt;600,1,0)</f>
        <v/>
      </c>
      <c r="P2983" s="25">
        <f>IF(H2983&gt;0,J2983,"")</f>
        <v/>
      </c>
      <c r="Q2983" s="25">
        <f>TEXT(A2983,"YYYY-MM-DD HH")</f>
        <v/>
      </c>
      <c r="R2983" s="25">
        <f>COUNTIF($Q$2:$Q$5295,Q2983)</f>
        <v/>
      </c>
      <c r="S2983" s="25">
        <f>IF(R2983&lt;=2,"1-2",IF(R2983&lt;=5,"3-5",IF(R2983&lt;=10,"6-10","11+")))</f>
        <v/>
      </c>
    </row>
    <row r="2984">
      <c r="A2984" s="39" t="n">
        <v>46195.16466435185</v>
      </c>
      <c r="B2984" s="25">
        <f>TEXT(A2984,"YYYY-MM")</f>
        <v/>
      </c>
      <c r="C2984" s="25">
        <f>TEXT(A2984,"MMM-YYYY")</f>
        <v/>
      </c>
      <c r="D2984" s="40">
        <f>INT(A2984)-WEEKDAY(A2984,2)+1</f>
        <v/>
      </c>
      <c r="E2984" s="25" t="inlineStr">
        <is>
          <t>ajain</t>
        </is>
      </c>
      <c r="F2984" s="25" t="n">
        <v>121541</v>
      </c>
      <c r="G2984" s="25" t="n">
        <v>1</v>
      </c>
      <c r="H2984" s="25" t="n">
        <v>5</v>
      </c>
      <c r="I2984" s="25" t="inlineStr">
        <is>
          <t>2 minute(s) and 39 second(s)</t>
        </is>
      </c>
      <c r="J2984" s="25">
        <f>IFERROR(VALUE(TRIM(LEFT(I2984,FIND("minute",I2984)-1)))*60,0)+IFERROR(VALUE(SUBSTITUTE(MID(I2984,IFERROR(FIND("and",I2984)+3,1),20),"second(s)","")),0)</f>
        <v/>
      </c>
      <c r="K2984" s="41">
        <f>J2984/60</f>
        <v/>
      </c>
      <c r="L2984" s="41">
        <f>IFERROR(J2984/H2984,"")</f>
        <v/>
      </c>
      <c r="M2984" s="25" t="inlineStr">
        <is>
          <t>2.5.12</t>
        </is>
      </c>
      <c r="N2984" s="25">
        <f>IF(J2984&gt;300,1,0)</f>
        <v/>
      </c>
      <c r="O2984" s="25">
        <f>IF(J2984&gt;600,1,0)</f>
        <v/>
      </c>
      <c r="P2984" s="25">
        <f>IF(H2984&gt;0,J2984,"")</f>
        <v/>
      </c>
      <c r="Q2984" s="25">
        <f>TEXT(A2984,"YYYY-MM-DD HH")</f>
        <v/>
      </c>
      <c r="R2984" s="25">
        <f>COUNTIF($Q$2:$Q$5295,Q2984)</f>
        <v/>
      </c>
      <c r="S2984" s="25">
        <f>IF(R2984&lt;=2,"1-2",IF(R2984&lt;=5,"3-5",IF(R2984&lt;=10,"6-10","11+")))</f>
        <v/>
      </c>
    </row>
    <row r="2985">
      <c r="A2985" s="39" t="n">
        <v>46195.16662037037</v>
      </c>
      <c r="B2985" s="25">
        <f>TEXT(A2985,"YYYY-MM")</f>
        <v/>
      </c>
      <c r="C2985" s="25">
        <f>TEXT(A2985,"MMM-YYYY")</f>
        <v/>
      </c>
      <c r="D2985" s="40">
        <f>INT(A2985)-WEEKDAY(A2985,2)+1</f>
        <v/>
      </c>
      <c r="E2985" s="25" t="inlineStr">
        <is>
          <t>hsindwani</t>
        </is>
      </c>
      <c r="F2985" s="25" t="n">
        <v>122773</v>
      </c>
      <c r="G2985" s="25" t="n">
        <v>3</v>
      </c>
      <c r="H2985" s="25" t="n">
        <v>13</v>
      </c>
      <c r="I2985" s="25" t="inlineStr">
        <is>
          <t>10 minute(s) and 27 second(s)</t>
        </is>
      </c>
      <c r="J2985" s="25">
        <f>IFERROR(VALUE(TRIM(LEFT(I2985,FIND("minute",I2985)-1)))*60,0)+IFERROR(VALUE(SUBSTITUTE(MID(I2985,IFERROR(FIND("and",I2985)+3,1),20),"second(s)","")),0)</f>
        <v/>
      </c>
      <c r="K2985" s="41">
        <f>J2985/60</f>
        <v/>
      </c>
      <c r="L2985" s="41">
        <f>IFERROR(J2985/H2985,"")</f>
        <v/>
      </c>
      <c r="M2985" s="25" t="inlineStr">
        <is>
          <t>2.5.12</t>
        </is>
      </c>
      <c r="N2985" s="25">
        <f>IF(J2985&gt;300,1,0)</f>
        <v/>
      </c>
      <c r="O2985" s="25">
        <f>IF(J2985&gt;600,1,0)</f>
        <v/>
      </c>
      <c r="P2985" s="25">
        <f>IF(H2985&gt;0,J2985,"")</f>
        <v/>
      </c>
      <c r="Q2985" s="25">
        <f>TEXT(A2985,"YYYY-MM-DD HH")</f>
        <v/>
      </c>
      <c r="R2985" s="25">
        <f>COUNTIF($Q$2:$Q$5295,Q2985)</f>
        <v/>
      </c>
      <c r="S2985" s="25">
        <f>IF(R2985&lt;=2,"1-2",IF(R2985&lt;=5,"3-5",IF(R2985&lt;=10,"6-10","11+")))</f>
        <v/>
      </c>
    </row>
    <row r="2986">
      <c r="A2986" s="39" t="n">
        <v>46195.16871527778</v>
      </c>
      <c r="B2986" s="25">
        <f>TEXT(A2986,"YYYY-MM")</f>
        <v/>
      </c>
      <c r="C2986" s="25">
        <f>TEXT(A2986,"MMM-YYYY")</f>
        <v/>
      </c>
      <c r="D2986" s="40">
        <f>INT(A2986)-WEEKDAY(A2986,2)+1</f>
        <v/>
      </c>
      <c r="E2986" s="25" t="inlineStr">
        <is>
          <t>psathwika</t>
        </is>
      </c>
      <c r="F2986" s="25" t="n">
        <v>95082</v>
      </c>
      <c r="G2986" s="25" t="n">
        <v>2</v>
      </c>
      <c r="H2986" s="25" t="n">
        <v>8</v>
      </c>
      <c r="I2986" s="25" t="inlineStr">
        <is>
          <t>1 minute(s) and 54 second(s)</t>
        </is>
      </c>
      <c r="J2986" s="25">
        <f>IFERROR(VALUE(TRIM(LEFT(I2986,FIND("minute",I2986)-1)))*60,0)+IFERROR(VALUE(SUBSTITUTE(MID(I2986,IFERROR(FIND("and",I2986)+3,1),20),"second(s)","")),0)</f>
        <v/>
      </c>
      <c r="K2986" s="41">
        <f>J2986/60</f>
        <v/>
      </c>
      <c r="L2986" s="41">
        <f>IFERROR(J2986/H2986,"")</f>
        <v/>
      </c>
      <c r="M2986" s="25" t="inlineStr">
        <is>
          <t>2.5.12</t>
        </is>
      </c>
      <c r="N2986" s="25">
        <f>IF(J2986&gt;300,1,0)</f>
        <v/>
      </c>
      <c r="O2986" s="25">
        <f>IF(J2986&gt;600,1,0)</f>
        <v/>
      </c>
      <c r="P2986" s="25">
        <f>IF(H2986&gt;0,J2986,"")</f>
        <v/>
      </c>
      <c r="Q2986" s="25">
        <f>TEXT(A2986,"YYYY-MM-DD HH")</f>
        <v/>
      </c>
      <c r="R2986" s="25">
        <f>COUNTIF($Q$2:$Q$5295,Q2986)</f>
        <v/>
      </c>
      <c r="S2986" s="25">
        <f>IF(R2986&lt;=2,"1-2",IF(R2986&lt;=5,"3-5",IF(R2986&lt;=10,"6-10","11+")))</f>
        <v/>
      </c>
    </row>
    <row r="2987">
      <c r="A2987" s="39" t="n">
        <v>46195.17309027778</v>
      </c>
      <c r="B2987" s="25">
        <f>TEXT(A2987,"YYYY-MM")</f>
        <v/>
      </c>
      <c r="C2987" s="25">
        <f>TEXT(A2987,"MMM-YYYY")</f>
        <v/>
      </c>
      <c r="D2987" s="40">
        <f>INT(A2987)-WEEKDAY(A2987,2)+1</f>
        <v/>
      </c>
      <c r="E2987" s="25" t="inlineStr">
        <is>
          <t>vprasad</t>
        </is>
      </c>
      <c r="F2987" s="25" t="n">
        <v>89692</v>
      </c>
      <c r="G2987" s="25" t="n">
        <v>4</v>
      </c>
      <c r="H2987" s="25" t="n">
        <v>14</v>
      </c>
      <c r="I2987" s="25" t="inlineStr">
        <is>
          <t>2 minute(s) and 34 second(s)</t>
        </is>
      </c>
      <c r="J2987" s="25">
        <f>IFERROR(VALUE(TRIM(LEFT(I2987,FIND("minute",I2987)-1)))*60,0)+IFERROR(VALUE(SUBSTITUTE(MID(I2987,IFERROR(FIND("and",I2987)+3,1),20),"second(s)","")),0)</f>
        <v/>
      </c>
      <c r="K2987" s="41">
        <f>J2987/60</f>
        <v/>
      </c>
      <c r="L2987" s="41">
        <f>IFERROR(J2987/H2987,"")</f>
        <v/>
      </c>
      <c r="M2987" s="25" t="inlineStr">
        <is>
          <t>2.5.12</t>
        </is>
      </c>
      <c r="N2987" s="25">
        <f>IF(J2987&gt;300,1,0)</f>
        <v/>
      </c>
      <c r="O2987" s="25">
        <f>IF(J2987&gt;600,1,0)</f>
        <v/>
      </c>
      <c r="P2987" s="25">
        <f>IF(H2987&gt;0,J2987,"")</f>
        <v/>
      </c>
      <c r="Q2987" s="25">
        <f>TEXT(A2987,"YYYY-MM-DD HH")</f>
        <v/>
      </c>
      <c r="R2987" s="25">
        <f>COUNTIF($Q$2:$Q$5295,Q2987)</f>
        <v/>
      </c>
      <c r="S2987" s="25">
        <f>IF(R2987&lt;=2,"1-2",IF(R2987&lt;=5,"3-5",IF(R2987&lt;=10,"6-10","11+")))</f>
        <v/>
      </c>
    </row>
    <row r="2988">
      <c r="A2988" s="39" t="n">
        <v>46195.17319444445</v>
      </c>
      <c r="B2988" s="25">
        <f>TEXT(A2988,"YYYY-MM")</f>
        <v/>
      </c>
      <c r="C2988" s="25">
        <f>TEXT(A2988,"MMM-YYYY")</f>
        <v/>
      </c>
      <c r="D2988" s="40">
        <f>INT(A2988)-WEEKDAY(A2988,2)+1</f>
        <v/>
      </c>
      <c r="E2988" s="25" t="inlineStr">
        <is>
          <t>ethomas</t>
        </is>
      </c>
      <c r="F2988" s="25" t="n">
        <v>105302</v>
      </c>
      <c r="G2988" s="25" t="n">
        <v>1</v>
      </c>
      <c r="H2988" s="25" t="n">
        <v>7</v>
      </c>
      <c r="I2988" s="25" t="inlineStr">
        <is>
          <t>3 minute(s) and 25 second(s)</t>
        </is>
      </c>
      <c r="J2988" s="25">
        <f>IFERROR(VALUE(TRIM(LEFT(I2988,FIND("minute",I2988)-1)))*60,0)+IFERROR(VALUE(SUBSTITUTE(MID(I2988,IFERROR(FIND("and",I2988)+3,1),20),"second(s)","")),0)</f>
        <v/>
      </c>
      <c r="K2988" s="41">
        <f>J2988/60</f>
        <v/>
      </c>
      <c r="L2988" s="41">
        <f>IFERROR(J2988/H2988,"")</f>
        <v/>
      </c>
      <c r="M2988" s="25" t="inlineStr">
        <is>
          <t>2.5.12</t>
        </is>
      </c>
      <c r="N2988" s="25">
        <f>IF(J2988&gt;300,1,0)</f>
        <v/>
      </c>
      <c r="O2988" s="25">
        <f>IF(J2988&gt;600,1,0)</f>
        <v/>
      </c>
      <c r="P2988" s="25">
        <f>IF(H2988&gt;0,J2988,"")</f>
        <v/>
      </c>
      <c r="Q2988" s="25">
        <f>TEXT(A2988,"YYYY-MM-DD HH")</f>
        <v/>
      </c>
      <c r="R2988" s="25">
        <f>COUNTIF($Q$2:$Q$5295,Q2988)</f>
        <v/>
      </c>
      <c r="S2988" s="25">
        <f>IF(R2988&lt;=2,"1-2",IF(R2988&lt;=5,"3-5",IF(R2988&lt;=10,"6-10","11+")))</f>
        <v/>
      </c>
    </row>
    <row r="2989">
      <c r="A2989" s="39" t="n">
        <v>46195.17412037037</v>
      </c>
      <c r="B2989" s="25">
        <f>TEXT(A2989,"YYYY-MM")</f>
        <v/>
      </c>
      <c r="C2989" s="25">
        <f>TEXT(A2989,"MMM-YYYY")</f>
        <v/>
      </c>
      <c r="D2989" s="40">
        <f>INT(A2989)-WEEKDAY(A2989,2)+1</f>
        <v/>
      </c>
      <c r="E2989" s="25" t="inlineStr">
        <is>
          <t>ssrinivasan</t>
        </is>
      </c>
      <c r="F2989" s="25" t="n">
        <v>121414</v>
      </c>
      <c r="G2989" s="25" t="n">
        <v>4</v>
      </c>
      <c r="H2989" s="25" t="n">
        <v>14</v>
      </c>
      <c r="I2989" s="25" t="inlineStr">
        <is>
          <t>5 minute(s) and 24 second(s)</t>
        </is>
      </c>
      <c r="J2989" s="25">
        <f>IFERROR(VALUE(TRIM(LEFT(I2989,FIND("minute",I2989)-1)))*60,0)+IFERROR(VALUE(SUBSTITUTE(MID(I2989,IFERROR(FIND("and",I2989)+3,1),20),"second(s)","")),0)</f>
        <v/>
      </c>
      <c r="K2989" s="41">
        <f>J2989/60</f>
        <v/>
      </c>
      <c r="L2989" s="41">
        <f>IFERROR(J2989/H2989,"")</f>
        <v/>
      </c>
      <c r="M2989" s="25" t="inlineStr">
        <is>
          <t>2.5.12</t>
        </is>
      </c>
      <c r="N2989" s="25">
        <f>IF(J2989&gt;300,1,0)</f>
        <v/>
      </c>
      <c r="O2989" s="25">
        <f>IF(J2989&gt;600,1,0)</f>
        <v/>
      </c>
      <c r="P2989" s="25">
        <f>IF(H2989&gt;0,J2989,"")</f>
        <v/>
      </c>
      <c r="Q2989" s="25">
        <f>TEXT(A2989,"YYYY-MM-DD HH")</f>
        <v/>
      </c>
      <c r="R2989" s="25">
        <f>COUNTIF($Q$2:$Q$5295,Q2989)</f>
        <v/>
      </c>
      <c r="S2989" s="25">
        <f>IF(R2989&lt;=2,"1-2",IF(R2989&lt;=5,"3-5",IF(R2989&lt;=10,"6-10","11+")))</f>
        <v/>
      </c>
    </row>
    <row r="2990">
      <c r="A2990" s="39" t="n">
        <v>46195.17738425926</v>
      </c>
      <c r="B2990" s="25">
        <f>TEXT(A2990,"YYYY-MM")</f>
        <v/>
      </c>
      <c r="C2990" s="25">
        <f>TEXT(A2990,"MMM-YYYY")</f>
        <v/>
      </c>
      <c r="D2990" s="40">
        <f>INT(A2990)-WEEKDAY(A2990,2)+1</f>
        <v/>
      </c>
      <c r="E2990" s="25" t="inlineStr">
        <is>
          <t>asahoo</t>
        </is>
      </c>
      <c r="F2990" s="25" t="n">
        <v>122952</v>
      </c>
      <c r="G2990" s="25" t="n">
        <v>1</v>
      </c>
      <c r="H2990" s="25" t="n">
        <v>5</v>
      </c>
      <c r="I2990" s="25" t="inlineStr">
        <is>
          <t>3 minute(s) and 2 second(s)</t>
        </is>
      </c>
      <c r="J2990" s="25">
        <f>IFERROR(VALUE(TRIM(LEFT(I2990,FIND("minute",I2990)-1)))*60,0)+IFERROR(VALUE(SUBSTITUTE(MID(I2990,IFERROR(FIND("and",I2990)+3,1),20),"second(s)","")),0)</f>
        <v/>
      </c>
      <c r="K2990" s="41">
        <f>J2990/60</f>
        <v/>
      </c>
      <c r="L2990" s="41">
        <f>IFERROR(J2990/H2990,"")</f>
        <v/>
      </c>
      <c r="M2990" s="25" t="inlineStr">
        <is>
          <t>2.5.12</t>
        </is>
      </c>
      <c r="N2990" s="25">
        <f>IF(J2990&gt;300,1,0)</f>
        <v/>
      </c>
      <c r="O2990" s="25">
        <f>IF(J2990&gt;600,1,0)</f>
        <v/>
      </c>
      <c r="P2990" s="25">
        <f>IF(H2990&gt;0,J2990,"")</f>
        <v/>
      </c>
      <c r="Q2990" s="25">
        <f>TEXT(A2990,"YYYY-MM-DD HH")</f>
        <v/>
      </c>
      <c r="R2990" s="25">
        <f>COUNTIF($Q$2:$Q$5295,Q2990)</f>
        <v/>
      </c>
      <c r="S2990" s="25">
        <f>IF(R2990&lt;=2,"1-2",IF(R2990&lt;=5,"3-5",IF(R2990&lt;=10,"6-10","11+")))</f>
        <v/>
      </c>
    </row>
    <row r="2991">
      <c r="A2991" s="39" t="n">
        <v>46195.17923611111</v>
      </c>
      <c r="B2991" s="25">
        <f>TEXT(A2991,"YYYY-MM")</f>
        <v/>
      </c>
      <c r="C2991" s="25">
        <f>TEXT(A2991,"MMM-YYYY")</f>
        <v/>
      </c>
      <c r="D2991" s="40">
        <f>INT(A2991)-WEEKDAY(A2991,2)+1</f>
        <v/>
      </c>
      <c r="E2991" s="25" t="inlineStr">
        <is>
          <t>anusharma</t>
        </is>
      </c>
      <c r="F2991" s="25" t="n">
        <v>122219</v>
      </c>
      <c r="G2991" s="25" t="n">
        <v>3</v>
      </c>
      <c r="H2991" s="25" t="n">
        <v>11</v>
      </c>
      <c r="I2991" s="25" t="inlineStr">
        <is>
          <t>3 minute(s) and 7 second(s)</t>
        </is>
      </c>
      <c r="J2991" s="25">
        <f>IFERROR(VALUE(TRIM(LEFT(I2991,FIND("minute",I2991)-1)))*60,0)+IFERROR(VALUE(SUBSTITUTE(MID(I2991,IFERROR(FIND("and",I2991)+3,1),20),"second(s)","")),0)</f>
        <v/>
      </c>
      <c r="K2991" s="41">
        <f>J2991/60</f>
        <v/>
      </c>
      <c r="L2991" s="41">
        <f>IFERROR(J2991/H2991,"")</f>
        <v/>
      </c>
      <c r="M2991" s="25" t="inlineStr">
        <is>
          <t>2.5.12</t>
        </is>
      </c>
      <c r="N2991" s="25">
        <f>IF(J2991&gt;300,1,0)</f>
        <v/>
      </c>
      <c r="O2991" s="25">
        <f>IF(J2991&gt;600,1,0)</f>
        <v/>
      </c>
      <c r="P2991" s="25">
        <f>IF(H2991&gt;0,J2991,"")</f>
        <v/>
      </c>
      <c r="Q2991" s="25">
        <f>TEXT(A2991,"YYYY-MM-DD HH")</f>
        <v/>
      </c>
      <c r="R2991" s="25">
        <f>COUNTIF($Q$2:$Q$5295,Q2991)</f>
        <v/>
      </c>
      <c r="S2991" s="25">
        <f>IF(R2991&lt;=2,"1-2",IF(R2991&lt;=5,"3-5",IF(R2991&lt;=10,"6-10","11+")))</f>
        <v/>
      </c>
    </row>
    <row r="2992">
      <c r="A2992" s="39" t="n">
        <v>46195.18177083333</v>
      </c>
      <c r="B2992" s="25">
        <f>TEXT(A2992,"YYYY-MM")</f>
        <v/>
      </c>
      <c r="C2992" s="25">
        <f>TEXT(A2992,"MMM-YYYY")</f>
        <v/>
      </c>
      <c r="D2992" s="40">
        <f>INT(A2992)-WEEKDAY(A2992,2)+1</f>
        <v/>
      </c>
      <c r="E2992" s="25" t="inlineStr">
        <is>
          <t>dchoudhury</t>
        </is>
      </c>
      <c r="F2992" s="25" t="n">
        <v>97054</v>
      </c>
      <c r="G2992" s="25" t="n">
        <v>3</v>
      </c>
      <c r="H2992" s="25" t="n">
        <v>11</v>
      </c>
      <c r="I2992" s="25" t="inlineStr">
        <is>
          <t>4 minute(s) and 24 second(s)</t>
        </is>
      </c>
      <c r="J2992" s="25">
        <f>IFERROR(VALUE(TRIM(LEFT(I2992,FIND("minute",I2992)-1)))*60,0)+IFERROR(VALUE(SUBSTITUTE(MID(I2992,IFERROR(FIND("and",I2992)+3,1),20),"second(s)","")),0)</f>
        <v/>
      </c>
      <c r="K2992" s="41">
        <f>J2992/60</f>
        <v/>
      </c>
      <c r="L2992" s="41">
        <f>IFERROR(J2992/H2992,"")</f>
        <v/>
      </c>
      <c r="M2992" s="25" t="inlineStr">
        <is>
          <t>2.5.12</t>
        </is>
      </c>
      <c r="N2992" s="25">
        <f>IF(J2992&gt;300,1,0)</f>
        <v/>
      </c>
      <c r="O2992" s="25">
        <f>IF(J2992&gt;600,1,0)</f>
        <v/>
      </c>
      <c r="P2992" s="25">
        <f>IF(H2992&gt;0,J2992,"")</f>
        <v/>
      </c>
      <c r="Q2992" s="25">
        <f>TEXT(A2992,"YYYY-MM-DD HH")</f>
        <v/>
      </c>
      <c r="R2992" s="25">
        <f>COUNTIF($Q$2:$Q$5295,Q2992)</f>
        <v/>
      </c>
      <c r="S2992" s="25">
        <f>IF(R2992&lt;=2,"1-2",IF(R2992&lt;=5,"3-5",IF(R2992&lt;=10,"6-10","11+")))</f>
        <v/>
      </c>
    </row>
    <row r="2993">
      <c r="A2993" s="39" t="n">
        <v>46195.18952546296</v>
      </c>
      <c r="B2993" s="25">
        <f>TEXT(A2993,"YYYY-MM")</f>
        <v/>
      </c>
      <c r="C2993" s="25">
        <f>TEXT(A2993,"MMM-YYYY")</f>
        <v/>
      </c>
      <c r="D2993" s="40">
        <f>INT(A2993)-WEEKDAY(A2993,2)+1</f>
        <v/>
      </c>
      <c r="E2993" s="25" t="inlineStr">
        <is>
          <t>aghosh</t>
        </is>
      </c>
      <c r="F2993" s="25" t="n">
        <v>104972</v>
      </c>
      <c r="G2993" s="25" t="n">
        <v>3</v>
      </c>
      <c r="H2993" s="25" t="n">
        <v>13</v>
      </c>
      <c r="I2993" s="25" t="inlineStr">
        <is>
          <t>2 minute(s) and 59 second(s)</t>
        </is>
      </c>
      <c r="J2993" s="25">
        <f>IFERROR(VALUE(TRIM(LEFT(I2993,FIND("minute",I2993)-1)))*60,0)+IFERROR(VALUE(SUBSTITUTE(MID(I2993,IFERROR(FIND("and",I2993)+3,1),20),"second(s)","")),0)</f>
        <v/>
      </c>
      <c r="K2993" s="41">
        <f>J2993/60</f>
        <v/>
      </c>
      <c r="L2993" s="41">
        <f>IFERROR(J2993/H2993,"")</f>
        <v/>
      </c>
      <c r="M2993" s="25" t="inlineStr">
        <is>
          <t>2.5.12</t>
        </is>
      </c>
      <c r="N2993" s="25">
        <f>IF(J2993&gt;300,1,0)</f>
        <v/>
      </c>
      <c r="O2993" s="25">
        <f>IF(J2993&gt;600,1,0)</f>
        <v/>
      </c>
      <c r="P2993" s="25">
        <f>IF(H2993&gt;0,J2993,"")</f>
        <v/>
      </c>
      <c r="Q2993" s="25">
        <f>TEXT(A2993,"YYYY-MM-DD HH")</f>
        <v/>
      </c>
      <c r="R2993" s="25">
        <f>COUNTIF($Q$2:$Q$5295,Q2993)</f>
        <v/>
      </c>
      <c r="S2993" s="25">
        <f>IF(R2993&lt;=2,"1-2",IF(R2993&lt;=5,"3-5",IF(R2993&lt;=10,"6-10","11+")))</f>
        <v/>
      </c>
    </row>
    <row r="2994">
      <c r="A2994" s="39" t="n">
        <v>46195.1924074074</v>
      </c>
      <c r="B2994" s="25">
        <f>TEXT(A2994,"YYYY-MM")</f>
        <v/>
      </c>
      <c r="C2994" s="25">
        <f>TEXT(A2994,"MMM-YYYY")</f>
        <v/>
      </c>
      <c r="D2994" s="40">
        <f>INT(A2994)-WEEKDAY(A2994,2)+1</f>
        <v/>
      </c>
      <c r="E2994" s="25" t="inlineStr">
        <is>
          <t>stiwari</t>
        </is>
      </c>
      <c r="F2994" s="25" t="n">
        <v>116701</v>
      </c>
      <c r="G2994" s="25" t="n">
        <v>3</v>
      </c>
      <c r="H2994" s="25" t="n">
        <v>21</v>
      </c>
      <c r="I2994" s="25" t="inlineStr">
        <is>
          <t>6 minute(s) and 14 second(s)</t>
        </is>
      </c>
      <c r="J2994" s="25">
        <f>IFERROR(VALUE(TRIM(LEFT(I2994,FIND("minute",I2994)-1)))*60,0)+IFERROR(VALUE(SUBSTITUTE(MID(I2994,IFERROR(FIND("and",I2994)+3,1),20),"second(s)","")),0)</f>
        <v/>
      </c>
      <c r="K2994" s="41">
        <f>J2994/60</f>
        <v/>
      </c>
      <c r="L2994" s="41">
        <f>IFERROR(J2994/H2994,"")</f>
        <v/>
      </c>
      <c r="M2994" s="25" t="inlineStr">
        <is>
          <t>2.5.12</t>
        </is>
      </c>
      <c r="N2994" s="25">
        <f>IF(J2994&gt;300,1,0)</f>
        <v/>
      </c>
      <c r="O2994" s="25">
        <f>IF(J2994&gt;600,1,0)</f>
        <v/>
      </c>
      <c r="P2994" s="25">
        <f>IF(H2994&gt;0,J2994,"")</f>
        <v/>
      </c>
      <c r="Q2994" s="25">
        <f>TEXT(A2994,"YYYY-MM-DD HH")</f>
        <v/>
      </c>
      <c r="R2994" s="25">
        <f>COUNTIF($Q$2:$Q$5295,Q2994)</f>
        <v/>
      </c>
      <c r="S2994" s="25">
        <f>IF(R2994&lt;=2,"1-2",IF(R2994&lt;=5,"3-5",IF(R2994&lt;=10,"6-10","11+")))</f>
        <v/>
      </c>
    </row>
    <row r="2995">
      <c r="A2995" s="39" t="n">
        <v>46195.20703703703</v>
      </c>
      <c r="B2995" s="25">
        <f>TEXT(A2995,"YYYY-MM")</f>
        <v/>
      </c>
      <c r="C2995" s="25">
        <f>TEXT(A2995,"MMM-YYYY")</f>
        <v/>
      </c>
      <c r="D2995" s="40">
        <f>INT(A2995)-WEEKDAY(A2995,2)+1</f>
        <v/>
      </c>
      <c r="E2995" s="25" t="inlineStr">
        <is>
          <t>pgautam</t>
        </is>
      </c>
      <c r="F2995" s="25" t="n">
        <v>108781</v>
      </c>
      <c r="G2995" s="25" t="n">
        <v>5</v>
      </c>
      <c r="H2995" s="25" t="n">
        <v>19</v>
      </c>
      <c r="I2995" s="25" t="inlineStr">
        <is>
          <t>4 minute(s) and 58 second(s)</t>
        </is>
      </c>
      <c r="J2995" s="25">
        <f>IFERROR(VALUE(TRIM(LEFT(I2995,FIND("minute",I2995)-1)))*60,0)+IFERROR(VALUE(SUBSTITUTE(MID(I2995,IFERROR(FIND("and",I2995)+3,1),20),"second(s)","")),0)</f>
        <v/>
      </c>
      <c r="K2995" s="41">
        <f>J2995/60</f>
        <v/>
      </c>
      <c r="L2995" s="41">
        <f>IFERROR(J2995/H2995,"")</f>
        <v/>
      </c>
      <c r="M2995" s="25" t="inlineStr">
        <is>
          <t>2.5.12</t>
        </is>
      </c>
      <c r="N2995" s="25">
        <f>IF(J2995&gt;300,1,0)</f>
        <v/>
      </c>
      <c r="O2995" s="25">
        <f>IF(J2995&gt;600,1,0)</f>
        <v/>
      </c>
      <c r="P2995" s="25">
        <f>IF(H2995&gt;0,J2995,"")</f>
        <v/>
      </c>
      <c r="Q2995" s="25">
        <f>TEXT(A2995,"YYYY-MM-DD HH")</f>
        <v/>
      </c>
      <c r="R2995" s="25">
        <f>COUNTIF($Q$2:$Q$5295,Q2995)</f>
        <v/>
      </c>
      <c r="S2995" s="25">
        <f>IF(R2995&lt;=2,"1-2",IF(R2995&lt;=5,"3-5",IF(R2995&lt;=10,"6-10","11+")))</f>
        <v/>
      </c>
    </row>
    <row r="2996">
      <c r="A2996" s="39" t="n">
        <v>46195.22212962963</v>
      </c>
      <c r="B2996" s="25">
        <f>TEXT(A2996,"YYYY-MM")</f>
        <v/>
      </c>
      <c r="C2996" s="25">
        <f>TEXT(A2996,"MMM-YYYY")</f>
        <v/>
      </c>
      <c r="D2996" s="40">
        <f>INT(A2996)-WEEKDAY(A2996,2)+1</f>
        <v/>
      </c>
      <c r="E2996" s="25" t="inlineStr">
        <is>
          <t>emishra</t>
        </is>
      </c>
      <c r="F2996" s="25" t="n">
        <v>113984</v>
      </c>
      <c r="G2996" s="25" t="n">
        <v>1</v>
      </c>
      <c r="H2996" s="25" t="n">
        <v>7</v>
      </c>
      <c r="I2996" s="25" t="inlineStr">
        <is>
          <t>1 minute(s) and 26 second(s)</t>
        </is>
      </c>
      <c r="J2996" s="25">
        <f>IFERROR(VALUE(TRIM(LEFT(I2996,FIND("minute",I2996)-1)))*60,0)+IFERROR(VALUE(SUBSTITUTE(MID(I2996,IFERROR(FIND("and",I2996)+3,1),20),"second(s)","")),0)</f>
        <v/>
      </c>
      <c r="K2996" s="41">
        <f>J2996/60</f>
        <v/>
      </c>
      <c r="L2996" s="41">
        <f>IFERROR(J2996/H2996,"")</f>
        <v/>
      </c>
      <c r="M2996" s="25" t="inlineStr">
        <is>
          <t>2.5.12</t>
        </is>
      </c>
      <c r="N2996" s="25">
        <f>IF(J2996&gt;300,1,0)</f>
        <v/>
      </c>
      <c r="O2996" s="25">
        <f>IF(J2996&gt;600,1,0)</f>
        <v/>
      </c>
      <c r="P2996" s="25">
        <f>IF(H2996&gt;0,J2996,"")</f>
        <v/>
      </c>
      <c r="Q2996" s="25">
        <f>TEXT(A2996,"YYYY-MM-DD HH")</f>
        <v/>
      </c>
      <c r="R2996" s="25">
        <f>COUNTIF($Q$2:$Q$5295,Q2996)</f>
        <v/>
      </c>
      <c r="S2996" s="25">
        <f>IF(R2996&lt;=2,"1-2",IF(R2996&lt;=5,"3-5",IF(R2996&lt;=10,"6-10","11+")))</f>
        <v/>
      </c>
    </row>
    <row r="2997">
      <c r="A2997" s="39" t="n">
        <v>46195.22671296296</v>
      </c>
      <c r="B2997" s="25">
        <f>TEXT(A2997,"YYYY-MM")</f>
        <v/>
      </c>
      <c r="C2997" s="25">
        <f>TEXT(A2997,"MMM-YYYY")</f>
        <v/>
      </c>
      <c r="D2997" s="40">
        <f>INT(A2997)-WEEKDAY(A2997,2)+1</f>
        <v/>
      </c>
      <c r="E2997" s="25" t="inlineStr">
        <is>
          <t>dchoudhury</t>
        </is>
      </c>
      <c r="F2997" s="25" t="n">
        <v>104393</v>
      </c>
      <c r="G2997" s="25" t="n">
        <v>4</v>
      </c>
      <c r="H2997" s="25" t="n">
        <v>14</v>
      </c>
      <c r="I2997" s="25" t="inlineStr">
        <is>
          <t>3 minute(s) and 4 second(s)</t>
        </is>
      </c>
      <c r="J2997" s="25">
        <f>IFERROR(VALUE(TRIM(LEFT(I2997,FIND("minute",I2997)-1)))*60,0)+IFERROR(VALUE(SUBSTITUTE(MID(I2997,IFERROR(FIND("and",I2997)+3,1),20),"second(s)","")),0)</f>
        <v/>
      </c>
      <c r="K2997" s="41">
        <f>J2997/60</f>
        <v/>
      </c>
      <c r="L2997" s="41">
        <f>IFERROR(J2997/H2997,"")</f>
        <v/>
      </c>
      <c r="M2997" s="25" t="inlineStr">
        <is>
          <t>2.5.12</t>
        </is>
      </c>
      <c r="N2997" s="25">
        <f>IF(J2997&gt;300,1,0)</f>
        <v/>
      </c>
      <c r="O2997" s="25">
        <f>IF(J2997&gt;600,1,0)</f>
        <v/>
      </c>
      <c r="P2997" s="25">
        <f>IF(H2997&gt;0,J2997,"")</f>
        <v/>
      </c>
      <c r="Q2997" s="25">
        <f>TEXT(A2997,"YYYY-MM-DD HH")</f>
        <v/>
      </c>
      <c r="R2997" s="25">
        <f>COUNTIF($Q$2:$Q$5295,Q2997)</f>
        <v/>
      </c>
      <c r="S2997" s="25">
        <f>IF(R2997&lt;=2,"1-2",IF(R2997&lt;=5,"3-5",IF(R2997&lt;=10,"6-10","11+")))</f>
        <v/>
      </c>
    </row>
    <row r="2998">
      <c r="A2998" s="39" t="n">
        <v>46195.23141203704</v>
      </c>
      <c r="B2998" s="25">
        <f>TEXT(A2998,"YYYY-MM")</f>
        <v/>
      </c>
      <c r="C2998" s="25">
        <f>TEXT(A2998,"MMM-YYYY")</f>
        <v/>
      </c>
      <c r="D2998" s="40">
        <f>INT(A2998)-WEEKDAY(A2998,2)+1</f>
        <v/>
      </c>
      <c r="E2998" s="25" t="inlineStr">
        <is>
          <t>stiwari</t>
        </is>
      </c>
      <c r="F2998" s="25" t="n">
        <v>94157</v>
      </c>
      <c r="G2998" s="25" t="n">
        <v>4</v>
      </c>
      <c r="H2998" s="25" t="n">
        <v>24</v>
      </c>
      <c r="I2998" s="25" t="inlineStr">
        <is>
          <t>5 minute(s) and 44 second(s)</t>
        </is>
      </c>
      <c r="J2998" s="25">
        <f>IFERROR(VALUE(TRIM(LEFT(I2998,FIND("minute",I2998)-1)))*60,0)+IFERROR(VALUE(SUBSTITUTE(MID(I2998,IFERROR(FIND("and",I2998)+3,1),20),"second(s)","")),0)</f>
        <v/>
      </c>
      <c r="K2998" s="41">
        <f>J2998/60</f>
        <v/>
      </c>
      <c r="L2998" s="41">
        <f>IFERROR(J2998/H2998,"")</f>
        <v/>
      </c>
      <c r="M2998" s="25" t="inlineStr">
        <is>
          <t>2.5.12</t>
        </is>
      </c>
      <c r="N2998" s="25">
        <f>IF(J2998&gt;300,1,0)</f>
        <v/>
      </c>
      <c r="O2998" s="25">
        <f>IF(J2998&gt;600,1,0)</f>
        <v/>
      </c>
      <c r="P2998" s="25">
        <f>IF(H2998&gt;0,J2998,"")</f>
        <v/>
      </c>
      <c r="Q2998" s="25">
        <f>TEXT(A2998,"YYYY-MM-DD HH")</f>
        <v/>
      </c>
      <c r="R2998" s="25">
        <f>COUNTIF($Q$2:$Q$5295,Q2998)</f>
        <v/>
      </c>
      <c r="S2998" s="25">
        <f>IF(R2998&lt;=2,"1-2",IF(R2998&lt;=5,"3-5",IF(R2998&lt;=10,"6-10","11+")))</f>
        <v/>
      </c>
    </row>
    <row r="2999">
      <c r="A2999" s="39" t="n">
        <v>46195.24266203704</v>
      </c>
      <c r="B2999" s="25">
        <f>TEXT(A2999,"YYYY-MM")</f>
        <v/>
      </c>
      <c r="C2999" s="25">
        <f>TEXT(A2999,"MMM-YYYY")</f>
        <v/>
      </c>
      <c r="D2999" s="40">
        <f>INT(A2999)-WEEKDAY(A2999,2)+1</f>
        <v/>
      </c>
      <c r="E2999" s="25" t="inlineStr">
        <is>
          <t>anusharma</t>
        </is>
      </c>
      <c r="F2999" s="25" t="n">
        <v>113249</v>
      </c>
      <c r="G2999" s="25" t="n">
        <v>3</v>
      </c>
      <c r="H2999" s="25" t="n">
        <v>16</v>
      </c>
      <c r="I2999" s="25" t="inlineStr">
        <is>
          <t>3 minute(s) and 47 second(s)</t>
        </is>
      </c>
      <c r="J2999" s="25">
        <f>IFERROR(VALUE(TRIM(LEFT(I2999,FIND("minute",I2999)-1)))*60,0)+IFERROR(VALUE(SUBSTITUTE(MID(I2999,IFERROR(FIND("and",I2999)+3,1),20),"second(s)","")),0)</f>
        <v/>
      </c>
      <c r="K2999" s="41">
        <f>J2999/60</f>
        <v/>
      </c>
      <c r="L2999" s="41">
        <f>IFERROR(J2999/H2999,"")</f>
        <v/>
      </c>
      <c r="M2999" s="25" t="inlineStr">
        <is>
          <t>2.5.12</t>
        </is>
      </c>
      <c r="N2999" s="25">
        <f>IF(J2999&gt;300,1,0)</f>
        <v/>
      </c>
      <c r="O2999" s="25">
        <f>IF(J2999&gt;600,1,0)</f>
        <v/>
      </c>
      <c r="P2999" s="25">
        <f>IF(H2999&gt;0,J2999,"")</f>
        <v/>
      </c>
      <c r="Q2999" s="25">
        <f>TEXT(A2999,"YYYY-MM-DD HH")</f>
        <v/>
      </c>
      <c r="R2999" s="25">
        <f>COUNTIF($Q$2:$Q$5295,Q2999)</f>
        <v/>
      </c>
      <c r="S2999" s="25">
        <f>IF(R2999&lt;=2,"1-2",IF(R2999&lt;=5,"3-5",IF(R2999&lt;=10,"6-10","11+")))</f>
        <v/>
      </c>
    </row>
    <row r="3000">
      <c r="A3000" s="39" t="n">
        <v>46195.24484953703</v>
      </c>
      <c r="B3000" s="25">
        <f>TEXT(A3000,"YYYY-MM")</f>
        <v/>
      </c>
      <c r="C3000" s="25">
        <f>TEXT(A3000,"MMM-YYYY")</f>
        <v/>
      </c>
      <c r="D3000" s="40">
        <f>INT(A3000)-WEEKDAY(A3000,2)+1</f>
        <v/>
      </c>
      <c r="E3000" s="25" t="inlineStr">
        <is>
          <t>pgautam</t>
        </is>
      </c>
      <c r="F3000" s="25" t="n">
        <v>73757</v>
      </c>
      <c r="G3000" s="25" t="n">
        <v>4</v>
      </c>
      <c r="H3000" s="25" t="n">
        <v>14</v>
      </c>
      <c r="I3000" s="25" t="inlineStr">
        <is>
          <t>3 minute(s) and 43 second(s)</t>
        </is>
      </c>
      <c r="J3000" s="25">
        <f>IFERROR(VALUE(TRIM(LEFT(I3000,FIND("minute",I3000)-1)))*60,0)+IFERROR(VALUE(SUBSTITUTE(MID(I3000,IFERROR(FIND("and",I3000)+3,1),20),"second(s)","")),0)</f>
        <v/>
      </c>
      <c r="K3000" s="41">
        <f>J3000/60</f>
        <v/>
      </c>
      <c r="L3000" s="41">
        <f>IFERROR(J3000/H3000,"")</f>
        <v/>
      </c>
      <c r="M3000" s="25" t="inlineStr">
        <is>
          <t>2.5.12</t>
        </is>
      </c>
      <c r="N3000" s="25">
        <f>IF(J3000&gt;300,1,0)</f>
        <v/>
      </c>
      <c r="O3000" s="25">
        <f>IF(J3000&gt;600,1,0)</f>
        <v/>
      </c>
      <c r="P3000" s="25">
        <f>IF(H3000&gt;0,J3000,"")</f>
        <v/>
      </c>
      <c r="Q3000" s="25">
        <f>TEXT(A3000,"YYYY-MM-DD HH")</f>
        <v/>
      </c>
      <c r="R3000" s="25">
        <f>COUNTIF($Q$2:$Q$5295,Q3000)</f>
        <v/>
      </c>
      <c r="S3000" s="25">
        <f>IF(R3000&lt;=2,"1-2",IF(R3000&lt;=5,"3-5",IF(R3000&lt;=10,"6-10","11+")))</f>
        <v/>
      </c>
    </row>
    <row r="3001">
      <c r="A3001" s="39" t="n">
        <v>46195.24944444445</v>
      </c>
      <c r="B3001" s="25">
        <f>TEXT(A3001,"YYYY-MM")</f>
        <v/>
      </c>
      <c r="C3001" s="25">
        <f>TEXT(A3001,"MMM-YYYY")</f>
        <v/>
      </c>
      <c r="D3001" s="40">
        <f>INT(A3001)-WEEKDAY(A3001,2)+1</f>
        <v/>
      </c>
      <c r="E3001" s="25" t="inlineStr">
        <is>
          <t>sdey</t>
        </is>
      </c>
      <c r="F3001" s="25" t="n">
        <v>107039</v>
      </c>
      <c r="G3001" s="25" t="n">
        <v>2</v>
      </c>
      <c r="H3001" s="25" t="n">
        <v>12</v>
      </c>
      <c r="I3001" s="25" t="inlineStr">
        <is>
          <t>3 minute(s) and 56 second(s)</t>
        </is>
      </c>
      <c r="J3001" s="25">
        <f>IFERROR(VALUE(TRIM(LEFT(I3001,FIND("minute",I3001)-1)))*60,0)+IFERROR(VALUE(SUBSTITUTE(MID(I3001,IFERROR(FIND("and",I3001)+3,1),20),"second(s)","")),0)</f>
        <v/>
      </c>
      <c r="K3001" s="41">
        <f>J3001/60</f>
        <v/>
      </c>
      <c r="L3001" s="41">
        <f>IFERROR(J3001/H3001,"")</f>
        <v/>
      </c>
      <c r="M3001" s="25" t="inlineStr">
        <is>
          <t>2.5.12</t>
        </is>
      </c>
      <c r="N3001" s="25">
        <f>IF(J3001&gt;300,1,0)</f>
        <v/>
      </c>
      <c r="O3001" s="25">
        <f>IF(J3001&gt;600,1,0)</f>
        <v/>
      </c>
      <c r="P3001" s="25">
        <f>IF(H3001&gt;0,J3001,"")</f>
        <v/>
      </c>
      <c r="Q3001" s="25">
        <f>TEXT(A3001,"YYYY-MM-DD HH")</f>
        <v/>
      </c>
      <c r="R3001" s="25">
        <f>COUNTIF($Q$2:$Q$5295,Q3001)</f>
        <v/>
      </c>
      <c r="S3001" s="25">
        <f>IF(R3001&lt;=2,"1-2",IF(R3001&lt;=5,"3-5",IF(R3001&lt;=10,"6-10","11+")))</f>
        <v/>
      </c>
    </row>
    <row r="3002">
      <c r="A3002" s="39" t="n">
        <v>46195.25701388889</v>
      </c>
      <c r="B3002" s="25">
        <f>TEXT(A3002,"YYYY-MM")</f>
        <v/>
      </c>
      <c r="C3002" s="25">
        <f>TEXT(A3002,"MMM-YYYY")</f>
        <v/>
      </c>
      <c r="D3002" s="40">
        <f>INT(A3002)-WEEKDAY(A3002,2)+1</f>
        <v/>
      </c>
      <c r="E3002" s="25" t="inlineStr">
        <is>
          <t>aghosh</t>
        </is>
      </c>
      <c r="F3002" s="25" t="n">
        <v>108767</v>
      </c>
      <c r="G3002" s="25" t="n">
        <v>4</v>
      </c>
      <c r="H3002" s="25" t="n">
        <v>14</v>
      </c>
      <c r="I3002" s="25" t="inlineStr">
        <is>
          <t>4 minute(s) and 27 second(s)</t>
        </is>
      </c>
      <c r="J3002" s="25">
        <f>IFERROR(VALUE(TRIM(LEFT(I3002,FIND("minute",I3002)-1)))*60,0)+IFERROR(VALUE(SUBSTITUTE(MID(I3002,IFERROR(FIND("and",I3002)+3,1),20),"second(s)","")),0)</f>
        <v/>
      </c>
      <c r="K3002" s="41">
        <f>J3002/60</f>
        <v/>
      </c>
      <c r="L3002" s="41">
        <f>IFERROR(J3002/H3002,"")</f>
        <v/>
      </c>
      <c r="M3002" s="25" t="inlineStr">
        <is>
          <t>2.5.12</t>
        </is>
      </c>
      <c r="N3002" s="25">
        <f>IF(J3002&gt;300,1,0)</f>
        <v/>
      </c>
      <c r="O3002" s="25">
        <f>IF(J3002&gt;600,1,0)</f>
        <v/>
      </c>
      <c r="P3002" s="25">
        <f>IF(H3002&gt;0,J3002,"")</f>
        <v/>
      </c>
      <c r="Q3002" s="25">
        <f>TEXT(A3002,"YYYY-MM-DD HH")</f>
        <v/>
      </c>
      <c r="R3002" s="25">
        <f>COUNTIF($Q$2:$Q$5295,Q3002)</f>
        <v/>
      </c>
      <c r="S3002" s="25">
        <f>IF(R3002&lt;=2,"1-2",IF(R3002&lt;=5,"3-5",IF(R3002&lt;=10,"6-10","11+")))</f>
        <v/>
      </c>
    </row>
    <row r="3003">
      <c r="A3003" s="39" t="n">
        <v>46195.26126157407</v>
      </c>
      <c r="B3003" s="25">
        <f>TEXT(A3003,"YYYY-MM")</f>
        <v/>
      </c>
      <c r="C3003" s="25">
        <f>TEXT(A3003,"MMM-YYYY")</f>
        <v/>
      </c>
      <c r="D3003" s="40">
        <f>INT(A3003)-WEEKDAY(A3003,2)+1</f>
        <v/>
      </c>
      <c r="E3003" s="25" t="inlineStr">
        <is>
          <t>ethomas</t>
        </is>
      </c>
      <c r="F3003" s="25" t="n">
        <v>116089</v>
      </c>
      <c r="G3003" s="25" t="n">
        <v>3</v>
      </c>
      <c r="H3003" s="25" t="n">
        <v>17</v>
      </c>
      <c r="I3003" s="25" t="inlineStr">
        <is>
          <t>4 minute(s) and 58 second(s)</t>
        </is>
      </c>
      <c r="J3003" s="25">
        <f>IFERROR(VALUE(TRIM(LEFT(I3003,FIND("minute",I3003)-1)))*60,0)+IFERROR(VALUE(SUBSTITUTE(MID(I3003,IFERROR(FIND("and",I3003)+3,1),20),"second(s)","")),0)</f>
        <v/>
      </c>
      <c r="K3003" s="41">
        <f>J3003/60</f>
        <v/>
      </c>
      <c r="L3003" s="41">
        <f>IFERROR(J3003/H3003,"")</f>
        <v/>
      </c>
      <c r="M3003" s="25" t="inlineStr">
        <is>
          <t>2.5.12</t>
        </is>
      </c>
      <c r="N3003" s="25">
        <f>IF(J3003&gt;300,1,0)</f>
        <v/>
      </c>
      <c r="O3003" s="25">
        <f>IF(J3003&gt;600,1,0)</f>
        <v/>
      </c>
      <c r="P3003" s="25">
        <f>IF(H3003&gt;0,J3003,"")</f>
        <v/>
      </c>
      <c r="Q3003" s="25">
        <f>TEXT(A3003,"YYYY-MM-DD HH")</f>
        <v/>
      </c>
      <c r="R3003" s="25">
        <f>COUNTIF($Q$2:$Q$5295,Q3003)</f>
        <v/>
      </c>
      <c r="S3003" s="25">
        <f>IF(R3003&lt;=2,"1-2",IF(R3003&lt;=5,"3-5",IF(R3003&lt;=10,"6-10","11+")))</f>
        <v/>
      </c>
    </row>
    <row r="3004">
      <c r="A3004" s="39" t="n">
        <v>46195.26453703704</v>
      </c>
      <c r="B3004" s="25">
        <f>TEXT(A3004,"YYYY-MM")</f>
        <v/>
      </c>
      <c r="C3004" s="25">
        <f>TEXT(A3004,"MMM-YYYY")</f>
        <v/>
      </c>
      <c r="D3004" s="40">
        <f>INT(A3004)-WEEKDAY(A3004,2)+1</f>
        <v/>
      </c>
      <c r="E3004" s="25" t="inlineStr">
        <is>
          <t>psathwika</t>
        </is>
      </c>
      <c r="F3004" s="25" t="n">
        <v>97867</v>
      </c>
      <c r="G3004" s="25" t="n">
        <v>4</v>
      </c>
      <c r="H3004" s="25" t="n">
        <v>22</v>
      </c>
      <c r="I3004" s="25" t="inlineStr">
        <is>
          <t>5 minute(s) and 57 second(s)</t>
        </is>
      </c>
      <c r="J3004" s="25">
        <f>IFERROR(VALUE(TRIM(LEFT(I3004,FIND("minute",I3004)-1)))*60,0)+IFERROR(VALUE(SUBSTITUTE(MID(I3004,IFERROR(FIND("and",I3004)+3,1),20),"second(s)","")),0)</f>
        <v/>
      </c>
      <c r="K3004" s="41">
        <f>J3004/60</f>
        <v/>
      </c>
      <c r="L3004" s="41">
        <f>IFERROR(J3004/H3004,"")</f>
        <v/>
      </c>
      <c r="M3004" s="25" t="inlineStr">
        <is>
          <t>2.5.12</t>
        </is>
      </c>
      <c r="N3004" s="25">
        <f>IF(J3004&gt;300,1,0)</f>
        <v/>
      </c>
      <c r="O3004" s="25">
        <f>IF(J3004&gt;600,1,0)</f>
        <v/>
      </c>
      <c r="P3004" s="25">
        <f>IF(H3004&gt;0,J3004,"")</f>
        <v/>
      </c>
      <c r="Q3004" s="25">
        <f>TEXT(A3004,"YYYY-MM-DD HH")</f>
        <v/>
      </c>
      <c r="R3004" s="25">
        <f>COUNTIF($Q$2:$Q$5295,Q3004)</f>
        <v/>
      </c>
      <c r="S3004" s="25">
        <f>IF(R3004&lt;=2,"1-2",IF(R3004&lt;=5,"3-5",IF(R3004&lt;=10,"6-10","11+")))</f>
        <v/>
      </c>
    </row>
    <row r="3005">
      <c r="A3005" s="39" t="n">
        <v>46195.26510416667</v>
      </c>
      <c r="B3005" s="25">
        <f>TEXT(A3005,"YYYY-MM")</f>
        <v/>
      </c>
      <c r="C3005" s="25">
        <f>TEXT(A3005,"MMM-YYYY")</f>
        <v/>
      </c>
      <c r="D3005" s="40">
        <f>INT(A3005)-WEEKDAY(A3005,2)+1</f>
        <v/>
      </c>
      <c r="E3005" s="25" t="inlineStr">
        <is>
          <t>stiwari</t>
        </is>
      </c>
      <c r="F3005" s="25" t="n">
        <v>106656</v>
      </c>
      <c r="G3005" s="25" t="n">
        <v>4</v>
      </c>
      <c r="H3005" s="25" t="n">
        <v>26</v>
      </c>
      <c r="I3005" s="25" t="inlineStr">
        <is>
          <t>10 minute(s) and 18 second(s)</t>
        </is>
      </c>
      <c r="J3005" s="25">
        <f>IFERROR(VALUE(TRIM(LEFT(I3005,FIND("minute",I3005)-1)))*60,0)+IFERROR(VALUE(SUBSTITUTE(MID(I3005,IFERROR(FIND("and",I3005)+3,1),20),"second(s)","")),0)</f>
        <v/>
      </c>
      <c r="K3005" s="41">
        <f>J3005/60</f>
        <v/>
      </c>
      <c r="L3005" s="41">
        <f>IFERROR(J3005/H3005,"")</f>
        <v/>
      </c>
      <c r="M3005" s="25" t="inlineStr">
        <is>
          <t>2.5.12</t>
        </is>
      </c>
      <c r="N3005" s="25">
        <f>IF(J3005&gt;300,1,0)</f>
        <v/>
      </c>
      <c r="O3005" s="25">
        <f>IF(J3005&gt;600,1,0)</f>
        <v/>
      </c>
      <c r="P3005" s="25">
        <f>IF(H3005&gt;0,J3005,"")</f>
        <v/>
      </c>
      <c r="Q3005" s="25">
        <f>TEXT(A3005,"YYYY-MM-DD HH")</f>
        <v/>
      </c>
      <c r="R3005" s="25">
        <f>COUNTIF($Q$2:$Q$5295,Q3005)</f>
        <v/>
      </c>
      <c r="S3005" s="25">
        <f>IF(R3005&lt;=2,"1-2",IF(R3005&lt;=5,"3-5",IF(R3005&lt;=10,"6-10","11+")))</f>
        <v/>
      </c>
    </row>
    <row r="3006">
      <c r="A3006" s="39" t="n">
        <v>46195.26784722223</v>
      </c>
      <c r="B3006" s="25">
        <f>TEXT(A3006,"YYYY-MM")</f>
        <v/>
      </c>
      <c r="C3006" s="25">
        <f>TEXT(A3006,"MMM-YYYY")</f>
        <v/>
      </c>
      <c r="D3006" s="40">
        <f>INT(A3006)-WEEKDAY(A3006,2)+1</f>
        <v/>
      </c>
      <c r="E3006" s="25" t="inlineStr">
        <is>
          <t>asahoo</t>
        </is>
      </c>
      <c r="F3006" s="25" t="n">
        <v>104182</v>
      </c>
      <c r="G3006" s="25" t="n">
        <v>1</v>
      </c>
      <c r="H3006" s="25" t="n">
        <v>5</v>
      </c>
      <c r="I3006" s="25" t="inlineStr">
        <is>
          <t>2 minute(s) and 21 second(s)</t>
        </is>
      </c>
      <c r="J3006" s="25">
        <f>IFERROR(VALUE(TRIM(LEFT(I3006,FIND("minute",I3006)-1)))*60,0)+IFERROR(VALUE(SUBSTITUTE(MID(I3006,IFERROR(FIND("and",I3006)+3,1),20),"second(s)","")),0)</f>
        <v/>
      </c>
      <c r="K3006" s="41">
        <f>J3006/60</f>
        <v/>
      </c>
      <c r="L3006" s="41">
        <f>IFERROR(J3006/H3006,"")</f>
        <v/>
      </c>
      <c r="M3006" s="25" t="inlineStr">
        <is>
          <t>2.5.12</t>
        </is>
      </c>
      <c r="N3006" s="25">
        <f>IF(J3006&gt;300,1,0)</f>
        <v/>
      </c>
      <c r="O3006" s="25">
        <f>IF(J3006&gt;600,1,0)</f>
        <v/>
      </c>
      <c r="P3006" s="25">
        <f>IF(H3006&gt;0,J3006,"")</f>
        <v/>
      </c>
      <c r="Q3006" s="25">
        <f>TEXT(A3006,"YYYY-MM-DD HH")</f>
        <v/>
      </c>
      <c r="R3006" s="25">
        <f>COUNTIF($Q$2:$Q$5295,Q3006)</f>
        <v/>
      </c>
      <c r="S3006" s="25">
        <f>IF(R3006&lt;=2,"1-2",IF(R3006&lt;=5,"3-5",IF(R3006&lt;=10,"6-10","11+")))</f>
        <v/>
      </c>
    </row>
    <row r="3007">
      <c r="A3007" s="39" t="n">
        <v>46195.26861111111</v>
      </c>
      <c r="B3007" s="25">
        <f>TEXT(A3007,"YYYY-MM")</f>
        <v/>
      </c>
      <c r="C3007" s="25">
        <f>TEXT(A3007,"MMM-YYYY")</f>
        <v/>
      </c>
      <c r="D3007" s="40">
        <f>INT(A3007)-WEEKDAY(A3007,2)+1</f>
        <v/>
      </c>
      <c r="E3007" s="25" t="inlineStr">
        <is>
          <t>emishra</t>
        </is>
      </c>
      <c r="F3007" s="25" t="n">
        <v>114256</v>
      </c>
      <c r="G3007" s="25" t="n">
        <v>1</v>
      </c>
      <c r="H3007" s="25" t="n">
        <v>7</v>
      </c>
      <c r="I3007" s="25" t="inlineStr">
        <is>
          <t>4 minute(s) and 29 second(s)</t>
        </is>
      </c>
      <c r="J3007" s="25">
        <f>IFERROR(VALUE(TRIM(LEFT(I3007,FIND("minute",I3007)-1)))*60,0)+IFERROR(VALUE(SUBSTITUTE(MID(I3007,IFERROR(FIND("and",I3007)+3,1),20),"second(s)","")),0)</f>
        <v/>
      </c>
      <c r="K3007" s="41">
        <f>J3007/60</f>
        <v/>
      </c>
      <c r="L3007" s="41">
        <f>IFERROR(J3007/H3007,"")</f>
        <v/>
      </c>
      <c r="M3007" s="25" t="inlineStr">
        <is>
          <t>2.5.12</t>
        </is>
      </c>
      <c r="N3007" s="25">
        <f>IF(J3007&gt;300,1,0)</f>
        <v/>
      </c>
      <c r="O3007" s="25">
        <f>IF(J3007&gt;600,1,0)</f>
        <v/>
      </c>
      <c r="P3007" s="25">
        <f>IF(H3007&gt;0,J3007,"")</f>
        <v/>
      </c>
      <c r="Q3007" s="25">
        <f>TEXT(A3007,"YYYY-MM-DD HH")</f>
        <v/>
      </c>
      <c r="R3007" s="25">
        <f>COUNTIF($Q$2:$Q$5295,Q3007)</f>
        <v/>
      </c>
      <c r="S3007" s="25">
        <f>IF(R3007&lt;=2,"1-2",IF(R3007&lt;=5,"3-5",IF(R3007&lt;=10,"6-10","11+")))</f>
        <v/>
      </c>
    </row>
    <row r="3008">
      <c r="A3008" s="39" t="n">
        <v>46195.27425925926</v>
      </c>
      <c r="B3008" s="25">
        <f>TEXT(A3008,"YYYY-MM")</f>
        <v/>
      </c>
      <c r="C3008" s="25">
        <f>TEXT(A3008,"MMM-YYYY")</f>
        <v/>
      </c>
      <c r="D3008" s="40">
        <f>INT(A3008)-WEEKDAY(A3008,2)+1</f>
        <v/>
      </c>
      <c r="E3008" s="25" t="inlineStr">
        <is>
          <t>sthomas</t>
        </is>
      </c>
      <c r="F3008" s="25" t="n">
        <v>113016</v>
      </c>
      <c r="G3008" s="25" t="n">
        <v>4</v>
      </c>
      <c r="H3008" s="25" t="n">
        <v>25</v>
      </c>
      <c r="I3008" s="25" t="inlineStr">
        <is>
          <t>6 minute(s) and 50 second(s)</t>
        </is>
      </c>
      <c r="J3008" s="25">
        <f>IFERROR(VALUE(TRIM(LEFT(I3008,FIND("minute",I3008)-1)))*60,0)+IFERROR(VALUE(SUBSTITUTE(MID(I3008,IFERROR(FIND("and",I3008)+3,1),20),"second(s)","")),0)</f>
        <v/>
      </c>
      <c r="K3008" s="41">
        <f>J3008/60</f>
        <v/>
      </c>
      <c r="L3008" s="41">
        <f>IFERROR(J3008/H3008,"")</f>
        <v/>
      </c>
      <c r="M3008" s="25" t="inlineStr">
        <is>
          <t>2.5.12</t>
        </is>
      </c>
      <c r="N3008" s="25">
        <f>IF(J3008&gt;300,1,0)</f>
        <v/>
      </c>
      <c r="O3008" s="25">
        <f>IF(J3008&gt;600,1,0)</f>
        <v/>
      </c>
      <c r="P3008" s="25">
        <f>IF(H3008&gt;0,J3008,"")</f>
        <v/>
      </c>
      <c r="Q3008" s="25">
        <f>TEXT(A3008,"YYYY-MM-DD HH")</f>
        <v/>
      </c>
      <c r="R3008" s="25">
        <f>COUNTIF($Q$2:$Q$5295,Q3008)</f>
        <v/>
      </c>
      <c r="S3008" s="25">
        <f>IF(R3008&lt;=2,"1-2",IF(R3008&lt;=5,"3-5",IF(R3008&lt;=10,"6-10","11+")))</f>
        <v/>
      </c>
    </row>
    <row r="3009">
      <c r="A3009" s="39" t="n">
        <v>46195.27570601852</v>
      </c>
      <c r="B3009" s="25">
        <f>TEXT(A3009,"YYYY-MM")</f>
        <v/>
      </c>
      <c r="C3009" s="25">
        <f>TEXT(A3009,"MMM-YYYY")</f>
        <v/>
      </c>
      <c r="D3009" s="40">
        <f>INT(A3009)-WEEKDAY(A3009,2)+1</f>
        <v/>
      </c>
      <c r="E3009" s="25" t="inlineStr">
        <is>
          <t>ssrinivasan</t>
        </is>
      </c>
      <c r="F3009" s="25" t="n">
        <v>116058</v>
      </c>
      <c r="G3009" s="25" t="n">
        <v>2</v>
      </c>
      <c r="H3009" s="25" t="n">
        <v>14</v>
      </c>
      <c r="I3009" s="25" t="inlineStr">
        <is>
          <t>5 minute(s) and 38 second(s)</t>
        </is>
      </c>
      <c r="J3009" s="25">
        <f>IFERROR(VALUE(TRIM(LEFT(I3009,FIND("minute",I3009)-1)))*60,0)+IFERROR(VALUE(SUBSTITUTE(MID(I3009,IFERROR(FIND("and",I3009)+3,1),20),"second(s)","")),0)</f>
        <v/>
      </c>
      <c r="K3009" s="41">
        <f>J3009/60</f>
        <v/>
      </c>
      <c r="L3009" s="41">
        <f>IFERROR(J3009/H3009,"")</f>
        <v/>
      </c>
      <c r="M3009" s="25" t="inlineStr">
        <is>
          <t>2.5.12</t>
        </is>
      </c>
      <c r="N3009" s="25">
        <f>IF(J3009&gt;300,1,0)</f>
        <v/>
      </c>
      <c r="O3009" s="25">
        <f>IF(J3009&gt;600,1,0)</f>
        <v/>
      </c>
      <c r="P3009" s="25">
        <f>IF(H3009&gt;0,J3009,"")</f>
        <v/>
      </c>
      <c r="Q3009" s="25">
        <f>TEXT(A3009,"YYYY-MM-DD HH")</f>
        <v/>
      </c>
      <c r="R3009" s="25">
        <f>COUNTIF($Q$2:$Q$5295,Q3009)</f>
        <v/>
      </c>
      <c r="S3009" s="25">
        <f>IF(R3009&lt;=2,"1-2",IF(R3009&lt;=5,"3-5",IF(R3009&lt;=10,"6-10","11+")))</f>
        <v/>
      </c>
    </row>
    <row r="3010">
      <c r="A3010" s="39" t="n">
        <v>46195.28957175926</v>
      </c>
      <c r="B3010" s="25">
        <f>TEXT(A3010,"YYYY-MM")</f>
        <v/>
      </c>
      <c r="C3010" s="25">
        <f>TEXT(A3010,"MMM-YYYY")</f>
        <v/>
      </c>
      <c r="D3010" s="40">
        <f>INT(A3010)-WEEKDAY(A3010,2)+1</f>
        <v/>
      </c>
      <c r="E3010" s="25" t="inlineStr">
        <is>
          <t>dchoudhury</t>
        </is>
      </c>
      <c r="F3010" s="25" t="n">
        <v>97322</v>
      </c>
      <c r="G3010" s="25" t="n">
        <v>4</v>
      </c>
      <c r="H3010" s="25" t="n">
        <v>14</v>
      </c>
      <c r="I3010" s="25" t="inlineStr">
        <is>
          <t>4 minute(s) and 58 second(s)</t>
        </is>
      </c>
      <c r="J3010" s="25">
        <f>IFERROR(VALUE(TRIM(LEFT(I3010,FIND("minute",I3010)-1)))*60,0)+IFERROR(VALUE(SUBSTITUTE(MID(I3010,IFERROR(FIND("and",I3010)+3,1),20),"second(s)","")),0)</f>
        <v/>
      </c>
      <c r="K3010" s="41">
        <f>J3010/60</f>
        <v/>
      </c>
      <c r="L3010" s="41">
        <f>IFERROR(J3010/H3010,"")</f>
        <v/>
      </c>
      <c r="M3010" s="25" t="inlineStr">
        <is>
          <t>2.5.12</t>
        </is>
      </c>
      <c r="N3010" s="25">
        <f>IF(J3010&gt;300,1,0)</f>
        <v/>
      </c>
      <c r="O3010" s="25">
        <f>IF(J3010&gt;600,1,0)</f>
        <v/>
      </c>
      <c r="P3010" s="25">
        <f>IF(H3010&gt;0,J3010,"")</f>
        <v/>
      </c>
      <c r="Q3010" s="25">
        <f>TEXT(A3010,"YYYY-MM-DD HH")</f>
        <v/>
      </c>
      <c r="R3010" s="25">
        <f>COUNTIF($Q$2:$Q$5295,Q3010)</f>
        <v/>
      </c>
      <c r="S3010" s="25">
        <f>IF(R3010&lt;=2,"1-2",IF(R3010&lt;=5,"3-5",IF(R3010&lt;=10,"6-10","11+")))</f>
        <v/>
      </c>
    </row>
    <row r="3011">
      <c r="A3011" s="39" t="n">
        <v>46195.29053240741</v>
      </c>
      <c r="B3011" s="25">
        <f>TEXT(A3011,"YYYY-MM")</f>
        <v/>
      </c>
      <c r="C3011" s="25">
        <f>TEXT(A3011,"MMM-YYYY")</f>
        <v/>
      </c>
      <c r="D3011" s="40">
        <f>INT(A3011)-WEEKDAY(A3011,2)+1</f>
        <v/>
      </c>
      <c r="E3011" s="25" t="inlineStr">
        <is>
          <t>anusharma</t>
        </is>
      </c>
      <c r="F3011" s="25" t="n">
        <v>106942</v>
      </c>
      <c r="G3011" s="25" t="n">
        <v>4</v>
      </c>
      <c r="H3011" s="25" t="n">
        <v>20</v>
      </c>
      <c r="I3011" s="25" t="inlineStr">
        <is>
          <t>4 minute(s) and 36 second(s)</t>
        </is>
      </c>
      <c r="J3011" s="25">
        <f>IFERROR(VALUE(TRIM(LEFT(I3011,FIND("minute",I3011)-1)))*60,0)+IFERROR(VALUE(SUBSTITUTE(MID(I3011,IFERROR(FIND("and",I3011)+3,1),20),"second(s)","")),0)</f>
        <v/>
      </c>
      <c r="K3011" s="41">
        <f>J3011/60</f>
        <v/>
      </c>
      <c r="L3011" s="41">
        <f>IFERROR(J3011/H3011,"")</f>
        <v/>
      </c>
      <c r="M3011" s="25" t="inlineStr">
        <is>
          <t>2.5.12</t>
        </is>
      </c>
      <c r="N3011" s="25">
        <f>IF(J3011&gt;300,1,0)</f>
        <v/>
      </c>
      <c r="O3011" s="25">
        <f>IF(J3011&gt;600,1,0)</f>
        <v/>
      </c>
      <c r="P3011" s="25">
        <f>IF(H3011&gt;0,J3011,"")</f>
        <v/>
      </c>
      <c r="Q3011" s="25">
        <f>TEXT(A3011,"YYYY-MM-DD HH")</f>
        <v/>
      </c>
      <c r="R3011" s="25">
        <f>COUNTIF($Q$2:$Q$5295,Q3011)</f>
        <v/>
      </c>
      <c r="S3011" s="25">
        <f>IF(R3011&lt;=2,"1-2",IF(R3011&lt;=5,"3-5",IF(R3011&lt;=10,"6-10","11+")))</f>
        <v/>
      </c>
    </row>
    <row r="3012">
      <c r="A3012" s="39" t="n">
        <v>46195.29575231481</v>
      </c>
      <c r="B3012" s="25">
        <f>TEXT(A3012,"YYYY-MM")</f>
        <v/>
      </c>
      <c r="C3012" s="25">
        <f>TEXT(A3012,"MMM-YYYY")</f>
        <v/>
      </c>
      <c r="D3012" s="40">
        <f>INT(A3012)-WEEKDAY(A3012,2)+1</f>
        <v/>
      </c>
      <c r="E3012" s="25" t="inlineStr">
        <is>
          <t>stiwari</t>
        </is>
      </c>
      <c r="F3012" s="25" t="n">
        <v>108113</v>
      </c>
      <c r="G3012" s="25" t="n">
        <v>2</v>
      </c>
      <c r="H3012" s="25" t="n">
        <v>8</v>
      </c>
      <c r="I3012" s="25" t="inlineStr">
        <is>
          <t>1 minute(s) and 54 second(s)</t>
        </is>
      </c>
      <c r="J3012" s="25">
        <f>IFERROR(VALUE(TRIM(LEFT(I3012,FIND("minute",I3012)-1)))*60,0)+IFERROR(VALUE(SUBSTITUTE(MID(I3012,IFERROR(FIND("and",I3012)+3,1),20),"second(s)","")),0)</f>
        <v/>
      </c>
      <c r="K3012" s="41">
        <f>J3012/60</f>
        <v/>
      </c>
      <c r="L3012" s="41">
        <f>IFERROR(J3012/H3012,"")</f>
        <v/>
      </c>
      <c r="M3012" s="25" t="inlineStr">
        <is>
          <t>2.5.12</t>
        </is>
      </c>
      <c r="N3012" s="25">
        <f>IF(J3012&gt;300,1,0)</f>
        <v/>
      </c>
      <c r="O3012" s="25">
        <f>IF(J3012&gt;600,1,0)</f>
        <v/>
      </c>
      <c r="P3012" s="25">
        <f>IF(H3012&gt;0,J3012,"")</f>
        <v/>
      </c>
      <c r="Q3012" s="25">
        <f>TEXT(A3012,"YYYY-MM-DD HH")</f>
        <v/>
      </c>
      <c r="R3012" s="25">
        <f>COUNTIF($Q$2:$Q$5295,Q3012)</f>
        <v/>
      </c>
      <c r="S3012" s="25">
        <f>IF(R3012&lt;=2,"1-2",IF(R3012&lt;=5,"3-5",IF(R3012&lt;=10,"6-10","11+")))</f>
        <v/>
      </c>
    </row>
    <row r="3013">
      <c r="A3013" s="39" t="n">
        <v>46195.30545138889</v>
      </c>
      <c r="B3013" s="25">
        <f>TEXT(A3013,"YYYY-MM")</f>
        <v/>
      </c>
      <c r="C3013" s="25">
        <f>TEXT(A3013,"MMM-YYYY")</f>
        <v/>
      </c>
      <c r="D3013" s="40">
        <f>INT(A3013)-WEEKDAY(A3013,2)+1</f>
        <v/>
      </c>
      <c r="E3013" s="25" t="inlineStr">
        <is>
          <t>apriyadarshi</t>
        </is>
      </c>
      <c r="F3013" s="25" t="n">
        <v>112849</v>
      </c>
      <c r="G3013" s="25" t="n">
        <v>3</v>
      </c>
      <c r="H3013" s="25" t="n">
        <v>7</v>
      </c>
      <c r="I3013" s="25" t="inlineStr">
        <is>
          <t>1 minute(s) and 34 second(s)</t>
        </is>
      </c>
      <c r="J3013" s="25">
        <f>IFERROR(VALUE(TRIM(LEFT(I3013,FIND("minute",I3013)-1)))*60,0)+IFERROR(VALUE(SUBSTITUTE(MID(I3013,IFERROR(FIND("and",I3013)+3,1),20),"second(s)","")),0)</f>
        <v/>
      </c>
      <c r="K3013" s="41">
        <f>J3013/60</f>
        <v/>
      </c>
      <c r="L3013" s="41">
        <f>IFERROR(J3013/H3013,"")</f>
        <v/>
      </c>
      <c r="M3013" s="25" t="inlineStr">
        <is>
          <t>2.5.12</t>
        </is>
      </c>
      <c r="N3013" s="25">
        <f>IF(J3013&gt;300,1,0)</f>
        <v/>
      </c>
      <c r="O3013" s="25">
        <f>IF(J3013&gt;600,1,0)</f>
        <v/>
      </c>
      <c r="P3013" s="25">
        <f>IF(H3013&gt;0,J3013,"")</f>
        <v/>
      </c>
      <c r="Q3013" s="25">
        <f>TEXT(A3013,"YYYY-MM-DD HH")</f>
        <v/>
      </c>
      <c r="R3013" s="25">
        <f>COUNTIF($Q$2:$Q$5295,Q3013)</f>
        <v/>
      </c>
      <c r="S3013" s="25">
        <f>IF(R3013&lt;=2,"1-2",IF(R3013&lt;=5,"3-5",IF(R3013&lt;=10,"6-10","11+")))</f>
        <v/>
      </c>
    </row>
    <row r="3014">
      <c r="A3014" s="39" t="n">
        <v>46195.30797453703</v>
      </c>
      <c r="B3014" s="25">
        <f>TEXT(A3014,"YYYY-MM")</f>
        <v/>
      </c>
      <c r="C3014" s="25">
        <f>TEXT(A3014,"MMM-YYYY")</f>
        <v/>
      </c>
      <c r="D3014" s="40">
        <f>INT(A3014)-WEEKDAY(A3014,2)+1</f>
        <v/>
      </c>
      <c r="E3014" s="25" t="inlineStr">
        <is>
          <t>pgautam</t>
        </is>
      </c>
      <c r="F3014" s="25" t="n">
        <v>106620</v>
      </c>
      <c r="G3014" s="25" t="n">
        <v>5</v>
      </c>
      <c r="H3014" s="25" t="n">
        <v>29</v>
      </c>
      <c r="I3014" s="25" t="inlineStr">
        <is>
          <t>7 minute(s) and 31 second(s)</t>
        </is>
      </c>
      <c r="J3014" s="25">
        <f>IFERROR(VALUE(TRIM(LEFT(I3014,FIND("minute",I3014)-1)))*60,0)+IFERROR(VALUE(SUBSTITUTE(MID(I3014,IFERROR(FIND("and",I3014)+3,1),20),"second(s)","")),0)</f>
        <v/>
      </c>
      <c r="K3014" s="41">
        <f>J3014/60</f>
        <v/>
      </c>
      <c r="L3014" s="41">
        <f>IFERROR(J3014/H3014,"")</f>
        <v/>
      </c>
      <c r="M3014" s="25" t="inlineStr">
        <is>
          <t>2.5.12</t>
        </is>
      </c>
      <c r="N3014" s="25">
        <f>IF(J3014&gt;300,1,0)</f>
        <v/>
      </c>
      <c r="O3014" s="25">
        <f>IF(J3014&gt;600,1,0)</f>
        <v/>
      </c>
      <c r="P3014" s="25">
        <f>IF(H3014&gt;0,J3014,"")</f>
        <v/>
      </c>
      <c r="Q3014" s="25">
        <f>TEXT(A3014,"YYYY-MM-DD HH")</f>
        <v/>
      </c>
      <c r="R3014" s="25">
        <f>COUNTIF($Q$2:$Q$5295,Q3014)</f>
        <v/>
      </c>
      <c r="S3014" s="25">
        <f>IF(R3014&lt;=2,"1-2",IF(R3014&lt;=5,"3-5",IF(R3014&lt;=10,"6-10","11+")))</f>
        <v/>
      </c>
    </row>
    <row r="3015">
      <c r="A3015" s="39" t="n">
        <v>46195.3097337963</v>
      </c>
      <c r="B3015" s="25">
        <f>TEXT(A3015,"YYYY-MM")</f>
        <v/>
      </c>
      <c r="C3015" s="25">
        <f>TEXT(A3015,"MMM-YYYY")</f>
        <v/>
      </c>
      <c r="D3015" s="40">
        <f>INT(A3015)-WEEKDAY(A3015,2)+1</f>
        <v/>
      </c>
      <c r="E3015" s="25" t="inlineStr">
        <is>
          <t>aghosh</t>
        </is>
      </c>
      <c r="F3015" s="25" t="n">
        <v>106566</v>
      </c>
      <c r="G3015" s="25" t="n">
        <v>4</v>
      </c>
      <c r="H3015" s="25" t="n">
        <v>22</v>
      </c>
      <c r="I3015" s="25" t="inlineStr">
        <is>
          <t>5 minute(s) and 4 second(s)</t>
        </is>
      </c>
      <c r="J3015" s="25">
        <f>IFERROR(VALUE(TRIM(LEFT(I3015,FIND("minute",I3015)-1)))*60,0)+IFERROR(VALUE(SUBSTITUTE(MID(I3015,IFERROR(FIND("and",I3015)+3,1),20),"second(s)","")),0)</f>
        <v/>
      </c>
      <c r="K3015" s="41">
        <f>J3015/60</f>
        <v/>
      </c>
      <c r="L3015" s="41">
        <f>IFERROR(J3015/H3015,"")</f>
        <v/>
      </c>
      <c r="M3015" s="25" t="inlineStr">
        <is>
          <t>2.5.12</t>
        </is>
      </c>
      <c r="N3015" s="25">
        <f>IF(J3015&gt;300,1,0)</f>
        <v/>
      </c>
      <c r="O3015" s="25">
        <f>IF(J3015&gt;600,1,0)</f>
        <v/>
      </c>
      <c r="P3015" s="25">
        <f>IF(H3015&gt;0,J3015,"")</f>
        <v/>
      </c>
      <c r="Q3015" s="25">
        <f>TEXT(A3015,"YYYY-MM-DD HH")</f>
        <v/>
      </c>
      <c r="R3015" s="25">
        <f>COUNTIF($Q$2:$Q$5295,Q3015)</f>
        <v/>
      </c>
      <c r="S3015" s="25">
        <f>IF(R3015&lt;=2,"1-2",IF(R3015&lt;=5,"3-5",IF(R3015&lt;=10,"6-10","11+")))</f>
        <v/>
      </c>
    </row>
    <row r="3016">
      <c r="A3016" s="39" t="n">
        <v>46195.31875</v>
      </c>
      <c r="B3016" s="25">
        <f>TEXT(A3016,"YYYY-MM")</f>
        <v/>
      </c>
      <c r="C3016" s="25">
        <f>TEXT(A3016,"MMM-YYYY")</f>
        <v/>
      </c>
      <c r="D3016" s="40">
        <f>INT(A3016)-WEEKDAY(A3016,2)+1</f>
        <v/>
      </c>
      <c r="E3016" s="25" t="inlineStr">
        <is>
          <t>stiwari</t>
        </is>
      </c>
      <c r="F3016" s="25" t="n">
        <v>82064</v>
      </c>
      <c r="G3016" s="25" t="n">
        <v>1</v>
      </c>
      <c r="H3016" s="25" t="n">
        <v>5</v>
      </c>
      <c r="I3016" s="25" t="inlineStr">
        <is>
          <t>43 second(s)</t>
        </is>
      </c>
      <c r="J3016" s="25">
        <f>IFERROR(VALUE(TRIM(LEFT(I3016,FIND("minute",I3016)-1)))*60,0)+IFERROR(VALUE(SUBSTITUTE(MID(I3016,IFERROR(FIND("and",I3016)+3,1),20),"second(s)","")),0)</f>
        <v/>
      </c>
      <c r="K3016" s="41">
        <f>J3016/60</f>
        <v/>
      </c>
      <c r="L3016" s="41">
        <f>IFERROR(J3016/H3016,"")</f>
        <v/>
      </c>
      <c r="M3016" s="25" t="inlineStr">
        <is>
          <t>2.5.12</t>
        </is>
      </c>
      <c r="N3016" s="25">
        <f>IF(J3016&gt;300,1,0)</f>
        <v/>
      </c>
      <c r="O3016" s="25">
        <f>IF(J3016&gt;600,1,0)</f>
        <v/>
      </c>
      <c r="P3016" s="25">
        <f>IF(H3016&gt;0,J3016,"")</f>
        <v/>
      </c>
      <c r="Q3016" s="25">
        <f>TEXT(A3016,"YYYY-MM-DD HH")</f>
        <v/>
      </c>
      <c r="R3016" s="25">
        <f>COUNTIF($Q$2:$Q$5295,Q3016)</f>
        <v/>
      </c>
      <c r="S3016" s="25">
        <f>IF(R3016&lt;=2,"1-2",IF(R3016&lt;=5,"3-5",IF(R3016&lt;=10,"6-10","11+")))</f>
        <v/>
      </c>
    </row>
    <row r="3017">
      <c r="A3017" s="39" t="n">
        <v>46195.3249537037</v>
      </c>
      <c r="B3017" s="25">
        <f>TEXT(A3017,"YYYY-MM")</f>
        <v/>
      </c>
      <c r="C3017" s="25">
        <f>TEXT(A3017,"MMM-YYYY")</f>
        <v/>
      </c>
      <c r="D3017" s="40">
        <f>INT(A3017)-WEEKDAY(A3017,2)+1</f>
        <v/>
      </c>
      <c r="E3017" s="25" t="inlineStr">
        <is>
          <t>emishra</t>
        </is>
      </c>
      <c r="F3017" s="25" t="n">
        <v>114256</v>
      </c>
      <c r="G3017" s="25" t="n">
        <v>5</v>
      </c>
      <c r="H3017" s="25" t="n">
        <v>33</v>
      </c>
      <c r="I3017" s="25" t="inlineStr">
        <is>
          <t>7 minute(s) and 55 second(s)</t>
        </is>
      </c>
      <c r="J3017" s="25">
        <f>IFERROR(VALUE(TRIM(LEFT(I3017,FIND("minute",I3017)-1)))*60,0)+IFERROR(VALUE(SUBSTITUTE(MID(I3017,IFERROR(FIND("and",I3017)+3,1),20),"second(s)","")),0)</f>
        <v/>
      </c>
      <c r="K3017" s="41">
        <f>J3017/60</f>
        <v/>
      </c>
      <c r="L3017" s="41">
        <f>IFERROR(J3017/H3017,"")</f>
        <v/>
      </c>
      <c r="M3017" s="25" t="inlineStr">
        <is>
          <t>2.5.12</t>
        </is>
      </c>
      <c r="N3017" s="25">
        <f>IF(J3017&gt;300,1,0)</f>
        <v/>
      </c>
      <c r="O3017" s="25">
        <f>IF(J3017&gt;600,1,0)</f>
        <v/>
      </c>
      <c r="P3017" s="25">
        <f>IF(H3017&gt;0,J3017,"")</f>
        <v/>
      </c>
      <c r="Q3017" s="25">
        <f>TEXT(A3017,"YYYY-MM-DD HH")</f>
        <v/>
      </c>
      <c r="R3017" s="25">
        <f>COUNTIF($Q$2:$Q$5295,Q3017)</f>
        <v/>
      </c>
      <c r="S3017" s="25">
        <f>IF(R3017&lt;=2,"1-2",IF(R3017&lt;=5,"3-5",IF(R3017&lt;=10,"6-10","11+")))</f>
        <v/>
      </c>
    </row>
    <row r="3018">
      <c r="A3018" s="39" t="n">
        <v>46195.33545138889</v>
      </c>
      <c r="B3018" s="25">
        <f>TEXT(A3018,"YYYY-MM")</f>
        <v/>
      </c>
      <c r="C3018" s="25">
        <f>TEXT(A3018,"MMM-YYYY")</f>
        <v/>
      </c>
      <c r="D3018" s="40">
        <f>INT(A3018)-WEEKDAY(A3018,2)+1</f>
        <v/>
      </c>
      <c r="E3018" s="25" t="inlineStr">
        <is>
          <t>sswati</t>
        </is>
      </c>
      <c r="F3018" s="25" t="n">
        <v>123404</v>
      </c>
      <c r="G3018" s="25" t="n">
        <v>2</v>
      </c>
      <c r="H3018" s="25" t="n">
        <v>10</v>
      </c>
      <c r="I3018" s="25" t="inlineStr">
        <is>
          <t>4 minute(s) and 22 second(s)</t>
        </is>
      </c>
      <c r="J3018" s="25">
        <f>IFERROR(VALUE(TRIM(LEFT(I3018,FIND("minute",I3018)-1)))*60,0)+IFERROR(VALUE(SUBSTITUTE(MID(I3018,IFERROR(FIND("and",I3018)+3,1),20),"second(s)","")),0)</f>
        <v/>
      </c>
      <c r="K3018" s="41">
        <f>J3018/60</f>
        <v/>
      </c>
      <c r="L3018" s="41">
        <f>IFERROR(J3018/H3018,"")</f>
        <v/>
      </c>
      <c r="M3018" s="25" t="inlineStr">
        <is>
          <t>2.5.12</t>
        </is>
      </c>
      <c r="N3018" s="25">
        <f>IF(J3018&gt;300,1,0)</f>
        <v/>
      </c>
      <c r="O3018" s="25">
        <f>IF(J3018&gt;600,1,0)</f>
        <v/>
      </c>
      <c r="P3018" s="25">
        <f>IF(H3018&gt;0,J3018,"")</f>
        <v/>
      </c>
      <c r="Q3018" s="25">
        <f>TEXT(A3018,"YYYY-MM-DD HH")</f>
        <v/>
      </c>
      <c r="R3018" s="25">
        <f>COUNTIF($Q$2:$Q$5295,Q3018)</f>
        <v/>
      </c>
      <c r="S3018" s="25">
        <f>IF(R3018&lt;=2,"1-2",IF(R3018&lt;=5,"3-5",IF(R3018&lt;=10,"6-10","11+")))</f>
        <v/>
      </c>
    </row>
    <row r="3019">
      <c r="A3019" s="39" t="n">
        <v>46195.35201388889</v>
      </c>
      <c r="B3019" s="25">
        <f>TEXT(A3019,"YYYY-MM")</f>
        <v/>
      </c>
      <c r="C3019" s="25">
        <f>TEXT(A3019,"MMM-YYYY")</f>
        <v/>
      </c>
      <c r="D3019" s="40">
        <f>INT(A3019)-WEEKDAY(A3019,2)+1</f>
        <v/>
      </c>
      <c r="E3019" s="25" t="inlineStr">
        <is>
          <t>ethomas</t>
        </is>
      </c>
      <c r="F3019" s="25" t="n">
        <v>109346</v>
      </c>
      <c r="G3019" s="25" t="n">
        <v>4</v>
      </c>
      <c r="H3019" s="25" t="n">
        <v>24</v>
      </c>
      <c r="I3019" s="25" t="inlineStr">
        <is>
          <t>8 minute(s) and 49 second(s)</t>
        </is>
      </c>
      <c r="J3019" s="25">
        <f>IFERROR(VALUE(TRIM(LEFT(I3019,FIND("minute",I3019)-1)))*60,0)+IFERROR(VALUE(SUBSTITUTE(MID(I3019,IFERROR(FIND("and",I3019)+3,1),20),"second(s)","")),0)</f>
        <v/>
      </c>
      <c r="K3019" s="41">
        <f>J3019/60</f>
        <v/>
      </c>
      <c r="L3019" s="41">
        <f>IFERROR(J3019/H3019,"")</f>
        <v/>
      </c>
      <c r="M3019" s="25" t="inlineStr">
        <is>
          <t>2.5.12</t>
        </is>
      </c>
      <c r="N3019" s="25">
        <f>IF(J3019&gt;300,1,0)</f>
        <v/>
      </c>
      <c r="O3019" s="25">
        <f>IF(J3019&gt;600,1,0)</f>
        <v/>
      </c>
      <c r="P3019" s="25">
        <f>IF(H3019&gt;0,J3019,"")</f>
        <v/>
      </c>
      <c r="Q3019" s="25">
        <f>TEXT(A3019,"YYYY-MM-DD HH")</f>
        <v/>
      </c>
      <c r="R3019" s="25">
        <f>COUNTIF($Q$2:$Q$5295,Q3019)</f>
        <v/>
      </c>
      <c r="S3019" s="25">
        <f>IF(R3019&lt;=2,"1-2",IF(R3019&lt;=5,"3-5",IF(R3019&lt;=10,"6-10","11+")))</f>
        <v/>
      </c>
    </row>
    <row r="3020">
      <c r="A3020" s="39" t="n">
        <v>46195.35747685185</v>
      </c>
      <c r="B3020" s="25">
        <f>TEXT(A3020,"YYYY-MM")</f>
        <v/>
      </c>
      <c r="C3020" s="25">
        <f>TEXT(A3020,"MMM-YYYY")</f>
        <v/>
      </c>
      <c r="D3020" s="40">
        <f>INT(A3020)-WEEKDAY(A3020,2)+1</f>
        <v/>
      </c>
      <c r="E3020" s="25" t="inlineStr">
        <is>
          <t>apriyadarshi</t>
        </is>
      </c>
      <c r="F3020" s="25" t="n">
        <v>113138</v>
      </c>
      <c r="G3020" s="25" t="n">
        <v>4</v>
      </c>
      <c r="H3020" s="25" t="n">
        <v>10</v>
      </c>
      <c r="I3020" s="25" t="inlineStr">
        <is>
          <t>2 minute(s) and 4 second(s)</t>
        </is>
      </c>
      <c r="J3020" s="25">
        <f>IFERROR(VALUE(TRIM(LEFT(I3020,FIND("minute",I3020)-1)))*60,0)+IFERROR(VALUE(SUBSTITUTE(MID(I3020,IFERROR(FIND("and",I3020)+3,1),20),"second(s)","")),0)</f>
        <v/>
      </c>
      <c r="K3020" s="41">
        <f>J3020/60</f>
        <v/>
      </c>
      <c r="L3020" s="41">
        <f>IFERROR(J3020/H3020,"")</f>
        <v/>
      </c>
      <c r="M3020" s="25" t="inlineStr">
        <is>
          <t>2.5.12</t>
        </is>
      </c>
      <c r="N3020" s="25">
        <f>IF(J3020&gt;300,1,0)</f>
        <v/>
      </c>
      <c r="O3020" s="25">
        <f>IF(J3020&gt;600,1,0)</f>
        <v/>
      </c>
      <c r="P3020" s="25">
        <f>IF(H3020&gt;0,J3020,"")</f>
        <v/>
      </c>
      <c r="Q3020" s="25">
        <f>TEXT(A3020,"YYYY-MM-DD HH")</f>
        <v/>
      </c>
      <c r="R3020" s="25">
        <f>COUNTIF($Q$2:$Q$5295,Q3020)</f>
        <v/>
      </c>
      <c r="S3020" s="25">
        <f>IF(R3020&lt;=2,"1-2",IF(R3020&lt;=5,"3-5",IF(R3020&lt;=10,"6-10","11+")))</f>
        <v/>
      </c>
    </row>
    <row r="3021">
      <c r="A3021" s="39" t="n">
        <v>46195.35820601852</v>
      </c>
      <c r="B3021" s="25">
        <f>TEXT(A3021,"YYYY-MM")</f>
        <v/>
      </c>
      <c r="C3021" s="25">
        <f>TEXT(A3021,"MMM-YYYY")</f>
        <v/>
      </c>
      <c r="D3021" s="40">
        <f>INT(A3021)-WEEKDAY(A3021,2)+1</f>
        <v/>
      </c>
      <c r="E3021" s="25" t="inlineStr">
        <is>
          <t>stiwari</t>
        </is>
      </c>
      <c r="F3021" s="25" t="n">
        <v>103943</v>
      </c>
      <c r="G3021" s="25" t="n">
        <v>2</v>
      </c>
      <c r="H3021" s="25" t="n">
        <v>10</v>
      </c>
      <c r="I3021" s="25" t="inlineStr">
        <is>
          <t>2 minute(s) and 31 second(s)</t>
        </is>
      </c>
      <c r="J3021" s="25">
        <f>IFERROR(VALUE(TRIM(LEFT(I3021,FIND("minute",I3021)-1)))*60,0)+IFERROR(VALUE(SUBSTITUTE(MID(I3021,IFERROR(FIND("and",I3021)+3,1),20),"second(s)","")),0)</f>
        <v/>
      </c>
      <c r="K3021" s="41">
        <f>J3021/60</f>
        <v/>
      </c>
      <c r="L3021" s="41">
        <f>IFERROR(J3021/H3021,"")</f>
        <v/>
      </c>
      <c r="M3021" s="25" t="inlineStr">
        <is>
          <t>2.5.12</t>
        </is>
      </c>
      <c r="N3021" s="25">
        <f>IF(J3021&gt;300,1,0)</f>
        <v/>
      </c>
      <c r="O3021" s="25">
        <f>IF(J3021&gt;600,1,0)</f>
        <v/>
      </c>
      <c r="P3021" s="25">
        <f>IF(H3021&gt;0,J3021,"")</f>
        <v/>
      </c>
      <c r="Q3021" s="25">
        <f>TEXT(A3021,"YYYY-MM-DD HH")</f>
        <v/>
      </c>
      <c r="R3021" s="25">
        <f>COUNTIF($Q$2:$Q$5295,Q3021)</f>
        <v/>
      </c>
      <c r="S3021" s="25">
        <f>IF(R3021&lt;=2,"1-2",IF(R3021&lt;=5,"3-5",IF(R3021&lt;=10,"6-10","11+")))</f>
        <v/>
      </c>
    </row>
    <row r="3022">
      <c r="A3022" s="39" t="n">
        <v>46195.40660879629</v>
      </c>
      <c r="B3022" s="25">
        <f>TEXT(A3022,"YYYY-MM")</f>
        <v/>
      </c>
      <c r="C3022" s="25">
        <f>TEXT(A3022,"MMM-YYYY")</f>
        <v/>
      </c>
      <c r="D3022" s="40">
        <f>INT(A3022)-WEEKDAY(A3022,2)+1</f>
        <v/>
      </c>
      <c r="E3022" s="25" t="inlineStr">
        <is>
          <t>ssaha</t>
        </is>
      </c>
      <c r="F3022" s="25" t="n">
        <v>123034</v>
      </c>
      <c r="G3022" s="25" t="n">
        <v>1</v>
      </c>
      <c r="H3022" s="25" t="n">
        <v>0</v>
      </c>
      <c r="I3022" s="25" t="inlineStr">
        <is>
          <t>2 minute(s) and 44 second(s)</t>
        </is>
      </c>
      <c r="J3022" s="25">
        <f>IFERROR(VALUE(TRIM(LEFT(I3022,FIND("minute",I3022)-1)))*60,0)+IFERROR(VALUE(SUBSTITUTE(MID(I3022,IFERROR(FIND("and",I3022)+3,1),20),"second(s)","")),0)</f>
        <v/>
      </c>
      <c r="K3022" s="41">
        <f>J3022/60</f>
        <v/>
      </c>
      <c r="L3022" s="41">
        <f>IFERROR(J3022/H3022,"")</f>
        <v/>
      </c>
      <c r="M3022" s="25" t="inlineStr">
        <is>
          <t>2.5.12</t>
        </is>
      </c>
      <c r="N3022" s="25">
        <f>IF(J3022&gt;300,1,0)</f>
        <v/>
      </c>
      <c r="O3022" s="25">
        <f>IF(J3022&gt;600,1,0)</f>
        <v/>
      </c>
      <c r="P3022" s="25">
        <f>IF(H3022&gt;0,J3022,"")</f>
        <v/>
      </c>
      <c r="Q3022" s="25">
        <f>TEXT(A3022,"YYYY-MM-DD HH")</f>
        <v/>
      </c>
      <c r="R3022" s="25">
        <f>COUNTIF($Q$2:$Q$5295,Q3022)</f>
        <v/>
      </c>
      <c r="S3022" s="25">
        <f>IF(R3022&lt;=2,"1-2",IF(R3022&lt;=5,"3-5",IF(R3022&lt;=10,"6-10","11+")))</f>
        <v/>
      </c>
    </row>
    <row r="3023">
      <c r="A3023" s="39" t="n">
        <v>46195.41024305556</v>
      </c>
      <c r="B3023" s="25">
        <f>TEXT(A3023,"YYYY-MM")</f>
        <v/>
      </c>
      <c r="C3023" s="25">
        <f>TEXT(A3023,"MMM-YYYY")</f>
        <v/>
      </c>
      <c r="D3023" s="40">
        <f>INT(A3023)-WEEKDAY(A3023,2)+1</f>
        <v/>
      </c>
      <c r="E3023" s="25" t="inlineStr">
        <is>
          <t>ssaha</t>
        </is>
      </c>
      <c r="F3023" s="25" t="n">
        <v>123034</v>
      </c>
      <c r="G3023" s="25" t="n">
        <v>1</v>
      </c>
      <c r="H3023" s="25" t="n">
        <v>5</v>
      </c>
      <c r="I3023" s="25" t="inlineStr">
        <is>
          <t>4 minute(s) and 41 second(s)</t>
        </is>
      </c>
      <c r="J3023" s="25">
        <f>IFERROR(VALUE(TRIM(LEFT(I3023,FIND("minute",I3023)-1)))*60,0)+IFERROR(VALUE(SUBSTITUTE(MID(I3023,IFERROR(FIND("and",I3023)+3,1),20),"second(s)","")),0)</f>
        <v/>
      </c>
      <c r="K3023" s="41">
        <f>J3023/60</f>
        <v/>
      </c>
      <c r="L3023" s="41">
        <f>IFERROR(J3023/H3023,"")</f>
        <v/>
      </c>
      <c r="M3023" s="25" t="inlineStr">
        <is>
          <t>2.5.12</t>
        </is>
      </c>
      <c r="N3023" s="25">
        <f>IF(J3023&gt;300,1,0)</f>
        <v/>
      </c>
      <c r="O3023" s="25">
        <f>IF(J3023&gt;600,1,0)</f>
        <v/>
      </c>
      <c r="P3023" s="25">
        <f>IF(H3023&gt;0,J3023,"")</f>
        <v/>
      </c>
      <c r="Q3023" s="25">
        <f>TEXT(A3023,"YYYY-MM-DD HH")</f>
        <v/>
      </c>
      <c r="R3023" s="25">
        <f>COUNTIF($Q$2:$Q$5295,Q3023)</f>
        <v/>
      </c>
      <c r="S3023" s="25">
        <f>IF(R3023&lt;=2,"1-2",IF(R3023&lt;=5,"3-5",IF(R3023&lt;=10,"6-10","11+")))</f>
        <v/>
      </c>
    </row>
    <row r="3024">
      <c r="A3024" s="39" t="n">
        <v>46195.43178240741</v>
      </c>
      <c r="B3024" s="25">
        <f>TEXT(A3024,"YYYY-MM")</f>
        <v/>
      </c>
      <c r="C3024" s="25">
        <f>TEXT(A3024,"MMM-YYYY")</f>
        <v/>
      </c>
      <c r="D3024" s="40">
        <f>INT(A3024)-WEEKDAY(A3024,2)+1</f>
        <v/>
      </c>
      <c r="E3024" s="25" t="inlineStr">
        <is>
          <t>ssaha</t>
        </is>
      </c>
      <c r="F3024" s="25" t="n">
        <v>123034</v>
      </c>
      <c r="G3024" s="25" t="n">
        <v>1</v>
      </c>
      <c r="H3024" s="25" t="n">
        <v>7</v>
      </c>
      <c r="I3024" s="25" t="inlineStr">
        <is>
          <t>2 minute(s) and 8 second(s)</t>
        </is>
      </c>
      <c r="J3024" s="25">
        <f>IFERROR(VALUE(TRIM(LEFT(I3024,FIND("minute",I3024)-1)))*60,0)+IFERROR(VALUE(SUBSTITUTE(MID(I3024,IFERROR(FIND("and",I3024)+3,1),20),"second(s)","")),0)</f>
        <v/>
      </c>
      <c r="K3024" s="41">
        <f>J3024/60</f>
        <v/>
      </c>
      <c r="L3024" s="41">
        <f>IFERROR(J3024/H3024,"")</f>
        <v/>
      </c>
      <c r="M3024" s="25" t="inlineStr">
        <is>
          <t>2.5.12</t>
        </is>
      </c>
      <c r="N3024" s="25">
        <f>IF(J3024&gt;300,1,0)</f>
        <v/>
      </c>
      <c r="O3024" s="25">
        <f>IF(J3024&gt;600,1,0)</f>
        <v/>
      </c>
      <c r="P3024" s="25">
        <f>IF(H3024&gt;0,J3024,"")</f>
        <v/>
      </c>
      <c r="Q3024" s="25">
        <f>TEXT(A3024,"YYYY-MM-DD HH")</f>
        <v/>
      </c>
      <c r="R3024" s="25">
        <f>COUNTIF($Q$2:$Q$5295,Q3024)</f>
        <v/>
      </c>
      <c r="S3024" s="25">
        <f>IF(R3024&lt;=2,"1-2",IF(R3024&lt;=5,"3-5",IF(R3024&lt;=10,"6-10","11+")))</f>
        <v/>
      </c>
    </row>
    <row r="3025">
      <c r="A3025" s="39" t="n">
        <v>46195.43790509259</v>
      </c>
      <c r="B3025" s="25">
        <f>TEXT(A3025,"YYYY-MM")</f>
        <v/>
      </c>
      <c r="C3025" s="25">
        <f>TEXT(A3025,"MMM-YYYY")</f>
        <v/>
      </c>
      <c r="D3025" s="40">
        <f>INT(A3025)-WEEKDAY(A3025,2)+1</f>
        <v/>
      </c>
      <c r="E3025" s="25" t="inlineStr">
        <is>
          <t>ssaha</t>
        </is>
      </c>
      <c r="F3025" s="25" t="n">
        <v>123034</v>
      </c>
      <c r="G3025" s="25" t="n">
        <v>1</v>
      </c>
      <c r="H3025" s="25" t="n">
        <v>7</v>
      </c>
      <c r="I3025" s="25" t="inlineStr">
        <is>
          <t>3 minute(s) and 11 second(s)</t>
        </is>
      </c>
      <c r="J3025" s="25">
        <f>IFERROR(VALUE(TRIM(LEFT(I3025,FIND("minute",I3025)-1)))*60,0)+IFERROR(VALUE(SUBSTITUTE(MID(I3025,IFERROR(FIND("and",I3025)+3,1),20),"second(s)","")),0)</f>
        <v/>
      </c>
      <c r="K3025" s="41">
        <f>J3025/60</f>
        <v/>
      </c>
      <c r="L3025" s="41">
        <f>IFERROR(J3025/H3025,"")</f>
        <v/>
      </c>
      <c r="M3025" s="25" t="inlineStr">
        <is>
          <t>2.5.12</t>
        </is>
      </c>
      <c r="N3025" s="25">
        <f>IF(J3025&gt;300,1,0)</f>
        <v/>
      </c>
      <c r="O3025" s="25">
        <f>IF(J3025&gt;600,1,0)</f>
        <v/>
      </c>
      <c r="P3025" s="25">
        <f>IF(H3025&gt;0,J3025,"")</f>
        <v/>
      </c>
      <c r="Q3025" s="25">
        <f>TEXT(A3025,"YYYY-MM-DD HH")</f>
        <v/>
      </c>
      <c r="R3025" s="25">
        <f>COUNTIF($Q$2:$Q$5295,Q3025)</f>
        <v/>
      </c>
      <c r="S3025" s="25">
        <f>IF(R3025&lt;=2,"1-2",IF(R3025&lt;=5,"3-5",IF(R3025&lt;=10,"6-10","11+")))</f>
        <v/>
      </c>
    </row>
    <row r="3026">
      <c r="A3026" s="39" t="n">
        <v>46195.4408912037</v>
      </c>
      <c r="B3026" s="25">
        <f>TEXT(A3026,"YYYY-MM")</f>
        <v/>
      </c>
      <c r="C3026" s="25">
        <f>TEXT(A3026,"MMM-YYYY")</f>
        <v/>
      </c>
      <c r="D3026" s="40">
        <f>INT(A3026)-WEEKDAY(A3026,2)+1</f>
        <v/>
      </c>
      <c r="E3026" s="25" t="inlineStr">
        <is>
          <t>ssaha</t>
        </is>
      </c>
      <c r="F3026" s="25" t="n">
        <v>123034</v>
      </c>
      <c r="G3026" s="25" t="n">
        <v>1</v>
      </c>
      <c r="H3026" s="25" t="n">
        <v>7</v>
      </c>
      <c r="I3026" s="25" t="inlineStr">
        <is>
          <t>2 minute(s) and 6 second(s)</t>
        </is>
      </c>
      <c r="J3026" s="25">
        <f>IFERROR(VALUE(TRIM(LEFT(I3026,FIND("minute",I3026)-1)))*60,0)+IFERROR(VALUE(SUBSTITUTE(MID(I3026,IFERROR(FIND("and",I3026)+3,1),20),"second(s)","")),0)</f>
        <v/>
      </c>
      <c r="K3026" s="41">
        <f>J3026/60</f>
        <v/>
      </c>
      <c r="L3026" s="41">
        <f>IFERROR(J3026/H3026,"")</f>
        <v/>
      </c>
      <c r="M3026" s="25" t="inlineStr">
        <is>
          <t>2.5.12</t>
        </is>
      </c>
      <c r="N3026" s="25">
        <f>IF(J3026&gt;300,1,0)</f>
        <v/>
      </c>
      <c r="O3026" s="25">
        <f>IF(J3026&gt;600,1,0)</f>
        <v/>
      </c>
      <c r="P3026" s="25">
        <f>IF(H3026&gt;0,J3026,"")</f>
        <v/>
      </c>
      <c r="Q3026" s="25">
        <f>TEXT(A3026,"YYYY-MM-DD HH")</f>
        <v/>
      </c>
      <c r="R3026" s="25">
        <f>COUNTIF($Q$2:$Q$5295,Q3026)</f>
        <v/>
      </c>
      <c r="S3026" s="25">
        <f>IF(R3026&lt;=2,"1-2",IF(R3026&lt;=5,"3-5",IF(R3026&lt;=10,"6-10","11+")))</f>
        <v/>
      </c>
    </row>
    <row r="3027">
      <c r="A3027" s="39" t="n">
        <v>46195.44469907408</v>
      </c>
      <c r="B3027" s="25">
        <f>TEXT(A3027,"YYYY-MM")</f>
        <v/>
      </c>
      <c r="C3027" s="25">
        <f>TEXT(A3027,"MMM-YYYY")</f>
        <v/>
      </c>
      <c r="D3027" s="40">
        <f>INT(A3027)-WEEKDAY(A3027,2)+1</f>
        <v/>
      </c>
      <c r="E3027" s="25" t="inlineStr">
        <is>
          <t>ssaha</t>
        </is>
      </c>
      <c r="F3027" s="25" t="n">
        <v>123034</v>
      </c>
      <c r="G3027" s="25" t="n">
        <v>1</v>
      </c>
      <c r="H3027" s="25" t="n">
        <v>3</v>
      </c>
      <c r="I3027" s="25" t="inlineStr">
        <is>
          <t>1 minute(s) and 51 second(s)</t>
        </is>
      </c>
      <c r="J3027" s="25">
        <f>IFERROR(VALUE(TRIM(LEFT(I3027,FIND("minute",I3027)-1)))*60,0)+IFERROR(VALUE(SUBSTITUTE(MID(I3027,IFERROR(FIND("and",I3027)+3,1),20),"second(s)","")),0)</f>
        <v/>
      </c>
      <c r="K3027" s="41">
        <f>J3027/60</f>
        <v/>
      </c>
      <c r="L3027" s="41">
        <f>IFERROR(J3027/H3027,"")</f>
        <v/>
      </c>
      <c r="M3027" s="25" t="inlineStr">
        <is>
          <t>2.5.12</t>
        </is>
      </c>
      <c r="N3027" s="25">
        <f>IF(J3027&gt;300,1,0)</f>
        <v/>
      </c>
      <c r="O3027" s="25">
        <f>IF(J3027&gt;600,1,0)</f>
        <v/>
      </c>
      <c r="P3027" s="25">
        <f>IF(H3027&gt;0,J3027,"")</f>
        <v/>
      </c>
      <c r="Q3027" s="25">
        <f>TEXT(A3027,"YYYY-MM-DD HH")</f>
        <v/>
      </c>
      <c r="R3027" s="25">
        <f>COUNTIF($Q$2:$Q$5295,Q3027)</f>
        <v/>
      </c>
      <c r="S3027" s="25">
        <f>IF(R3027&lt;=2,"1-2",IF(R3027&lt;=5,"3-5",IF(R3027&lt;=10,"6-10","11+")))</f>
        <v/>
      </c>
    </row>
    <row r="3028">
      <c r="A3028" s="39" t="n">
        <v>46195.46146990741</v>
      </c>
      <c r="B3028" s="25">
        <f>TEXT(A3028,"YYYY-MM")</f>
        <v/>
      </c>
      <c r="C3028" s="25">
        <f>TEXT(A3028,"MMM-YYYY")</f>
        <v/>
      </c>
      <c r="D3028" s="40">
        <f>INT(A3028)-WEEKDAY(A3028,2)+1</f>
        <v/>
      </c>
      <c r="E3028" s="25" t="inlineStr">
        <is>
          <t>ssaha</t>
        </is>
      </c>
      <c r="F3028" s="25" t="n">
        <v>123034</v>
      </c>
      <c r="G3028" s="25" t="n">
        <v>1</v>
      </c>
      <c r="H3028" s="25" t="n">
        <v>3</v>
      </c>
      <c r="I3028" s="25" t="inlineStr">
        <is>
          <t>1 minute(s) and 51 second(s)</t>
        </is>
      </c>
      <c r="J3028" s="25">
        <f>IFERROR(VALUE(TRIM(LEFT(I3028,FIND("minute",I3028)-1)))*60,0)+IFERROR(VALUE(SUBSTITUTE(MID(I3028,IFERROR(FIND("and",I3028)+3,1),20),"second(s)","")),0)</f>
        <v/>
      </c>
      <c r="K3028" s="41">
        <f>J3028/60</f>
        <v/>
      </c>
      <c r="L3028" s="41">
        <f>IFERROR(J3028/H3028,"")</f>
        <v/>
      </c>
      <c r="M3028" s="25" t="inlineStr">
        <is>
          <t>2.5.12</t>
        </is>
      </c>
      <c r="N3028" s="25">
        <f>IF(J3028&gt;300,1,0)</f>
        <v/>
      </c>
      <c r="O3028" s="25">
        <f>IF(J3028&gt;600,1,0)</f>
        <v/>
      </c>
      <c r="P3028" s="25">
        <f>IF(H3028&gt;0,J3028,"")</f>
        <v/>
      </c>
      <c r="Q3028" s="25">
        <f>TEXT(A3028,"YYYY-MM-DD HH")</f>
        <v/>
      </c>
      <c r="R3028" s="25">
        <f>COUNTIF($Q$2:$Q$5295,Q3028)</f>
        <v/>
      </c>
      <c r="S3028" s="25">
        <f>IF(R3028&lt;=2,"1-2",IF(R3028&lt;=5,"3-5",IF(R3028&lt;=10,"6-10","11+")))</f>
        <v/>
      </c>
    </row>
    <row r="3029">
      <c r="A3029" s="39" t="n">
        <v>46195.47013888889</v>
      </c>
      <c r="B3029" s="25">
        <f>TEXT(A3029,"YYYY-MM")</f>
        <v/>
      </c>
      <c r="C3029" s="25">
        <f>TEXT(A3029,"MMM-YYYY")</f>
        <v/>
      </c>
      <c r="D3029" s="40">
        <f>INT(A3029)-WEEKDAY(A3029,2)+1</f>
        <v/>
      </c>
      <c r="E3029" s="25" t="inlineStr">
        <is>
          <t>ssaha</t>
        </is>
      </c>
      <c r="F3029" s="25" t="n">
        <v>123034</v>
      </c>
      <c r="G3029" s="25" t="n">
        <v>1</v>
      </c>
      <c r="H3029" s="25" t="n">
        <v>7</v>
      </c>
      <c r="I3029" s="25" t="inlineStr">
        <is>
          <t>2 minute(s) and 50 second(s)</t>
        </is>
      </c>
      <c r="J3029" s="25">
        <f>IFERROR(VALUE(TRIM(LEFT(I3029,FIND("minute",I3029)-1)))*60,0)+IFERROR(VALUE(SUBSTITUTE(MID(I3029,IFERROR(FIND("and",I3029)+3,1),20),"second(s)","")),0)</f>
        <v/>
      </c>
      <c r="K3029" s="41">
        <f>J3029/60</f>
        <v/>
      </c>
      <c r="L3029" s="41">
        <f>IFERROR(J3029/H3029,"")</f>
        <v/>
      </c>
      <c r="M3029" s="25" t="inlineStr">
        <is>
          <t>2.5.12</t>
        </is>
      </c>
      <c r="N3029" s="25">
        <f>IF(J3029&gt;300,1,0)</f>
        <v/>
      </c>
      <c r="O3029" s="25">
        <f>IF(J3029&gt;600,1,0)</f>
        <v/>
      </c>
      <c r="P3029" s="25">
        <f>IF(H3029&gt;0,J3029,"")</f>
        <v/>
      </c>
      <c r="Q3029" s="25">
        <f>TEXT(A3029,"YYYY-MM-DD HH")</f>
        <v/>
      </c>
      <c r="R3029" s="25">
        <f>COUNTIF($Q$2:$Q$5295,Q3029)</f>
        <v/>
      </c>
      <c r="S3029" s="25">
        <f>IF(R3029&lt;=2,"1-2",IF(R3029&lt;=5,"3-5",IF(R3029&lt;=10,"6-10","11+")))</f>
        <v/>
      </c>
    </row>
    <row r="3030">
      <c r="A3030" s="39" t="n">
        <v>46195.48059027778</v>
      </c>
      <c r="B3030" s="25">
        <f>TEXT(A3030,"YYYY-MM")</f>
        <v/>
      </c>
      <c r="C3030" s="25">
        <f>TEXT(A3030,"MMM-YYYY")</f>
        <v/>
      </c>
      <c r="D3030" s="40">
        <f>INT(A3030)-WEEKDAY(A3030,2)+1</f>
        <v/>
      </c>
      <c r="E3030" s="25" t="inlineStr">
        <is>
          <t>ssaha</t>
        </is>
      </c>
      <c r="F3030" s="25" t="n">
        <v>123034</v>
      </c>
      <c r="G3030" s="25" t="n">
        <v>1</v>
      </c>
      <c r="H3030" s="25" t="n">
        <v>3</v>
      </c>
      <c r="I3030" s="25" t="inlineStr">
        <is>
          <t>34 second(s)</t>
        </is>
      </c>
      <c r="J3030" s="25">
        <f>IFERROR(VALUE(TRIM(LEFT(I3030,FIND("minute",I3030)-1)))*60,0)+IFERROR(VALUE(SUBSTITUTE(MID(I3030,IFERROR(FIND("and",I3030)+3,1),20),"second(s)","")),0)</f>
        <v/>
      </c>
      <c r="K3030" s="41">
        <f>J3030/60</f>
        <v/>
      </c>
      <c r="L3030" s="41">
        <f>IFERROR(J3030/H3030,"")</f>
        <v/>
      </c>
      <c r="M3030" s="25" t="inlineStr">
        <is>
          <t>2.5.12</t>
        </is>
      </c>
      <c r="N3030" s="25">
        <f>IF(J3030&gt;300,1,0)</f>
        <v/>
      </c>
      <c r="O3030" s="25">
        <f>IF(J3030&gt;600,1,0)</f>
        <v/>
      </c>
      <c r="P3030" s="25">
        <f>IF(H3030&gt;0,J3030,"")</f>
        <v/>
      </c>
      <c r="Q3030" s="25">
        <f>TEXT(A3030,"YYYY-MM-DD HH")</f>
        <v/>
      </c>
      <c r="R3030" s="25">
        <f>COUNTIF($Q$2:$Q$5295,Q3030)</f>
        <v/>
      </c>
      <c r="S3030" s="25">
        <f>IF(R3030&lt;=2,"1-2",IF(R3030&lt;=5,"3-5",IF(R3030&lt;=10,"6-10","11+")))</f>
        <v/>
      </c>
    </row>
    <row r="3031">
      <c r="A3031" s="39" t="n">
        <v>46195.48903935185</v>
      </c>
      <c r="B3031" s="25">
        <f>TEXT(A3031,"YYYY-MM")</f>
        <v/>
      </c>
      <c r="C3031" s="25">
        <f>TEXT(A3031,"MMM-YYYY")</f>
        <v/>
      </c>
      <c r="D3031" s="40">
        <f>INT(A3031)-WEEKDAY(A3031,2)+1</f>
        <v/>
      </c>
      <c r="E3031" s="25" t="inlineStr">
        <is>
          <t>ssaha</t>
        </is>
      </c>
      <c r="F3031" s="25" t="n">
        <v>123034</v>
      </c>
      <c r="G3031" s="25" t="n">
        <v>1</v>
      </c>
      <c r="H3031" s="25" t="n">
        <v>3</v>
      </c>
      <c r="I3031" s="25" t="inlineStr">
        <is>
          <t>1 minute(s) and 9 second(s)</t>
        </is>
      </c>
      <c r="J3031" s="25">
        <f>IFERROR(VALUE(TRIM(LEFT(I3031,FIND("minute",I3031)-1)))*60,0)+IFERROR(VALUE(SUBSTITUTE(MID(I3031,IFERROR(FIND("and",I3031)+3,1),20),"second(s)","")),0)</f>
        <v/>
      </c>
      <c r="K3031" s="41">
        <f>J3031/60</f>
        <v/>
      </c>
      <c r="L3031" s="41">
        <f>IFERROR(J3031/H3031,"")</f>
        <v/>
      </c>
      <c r="M3031" s="25" t="inlineStr">
        <is>
          <t>2.5.12</t>
        </is>
      </c>
      <c r="N3031" s="25">
        <f>IF(J3031&gt;300,1,0)</f>
        <v/>
      </c>
      <c r="O3031" s="25">
        <f>IF(J3031&gt;600,1,0)</f>
        <v/>
      </c>
      <c r="P3031" s="25">
        <f>IF(H3031&gt;0,J3031,"")</f>
        <v/>
      </c>
      <c r="Q3031" s="25">
        <f>TEXT(A3031,"YYYY-MM-DD HH")</f>
        <v/>
      </c>
      <c r="R3031" s="25">
        <f>COUNTIF($Q$2:$Q$5295,Q3031)</f>
        <v/>
      </c>
      <c r="S3031" s="25">
        <f>IF(R3031&lt;=2,"1-2",IF(R3031&lt;=5,"3-5",IF(R3031&lt;=10,"6-10","11+")))</f>
        <v/>
      </c>
    </row>
    <row r="3032">
      <c r="A3032" s="39" t="n">
        <v>46195.49224537037</v>
      </c>
      <c r="B3032" s="25">
        <f>TEXT(A3032,"YYYY-MM")</f>
        <v/>
      </c>
      <c r="C3032" s="25">
        <f>TEXT(A3032,"MMM-YYYY")</f>
        <v/>
      </c>
      <c r="D3032" s="40">
        <f>INT(A3032)-WEEKDAY(A3032,2)+1</f>
        <v/>
      </c>
      <c r="E3032" s="25" t="inlineStr">
        <is>
          <t>ssaha</t>
        </is>
      </c>
      <c r="F3032" s="25" t="n">
        <v>123034</v>
      </c>
      <c r="G3032" s="25" t="n">
        <v>1</v>
      </c>
      <c r="H3032" s="25" t="n">
        <v>3</v>
      </c>
      <c r="I3032" s="25" t="inlineStr">
        <is>
          <t>2 minute(s) and 5 second(s)</t>
        </is>
      </c>
      <c r="J3032" s="25">
        <f>IFERROR(VALUE(TRIM(LEFT(I3032,FIND("minute",I3032)-1)))*60,0)+IFERROR(VALUE(SUBSTITUTE(MID(I3032,IFERROR(FIND("and",I3032)+3,1),20),"second(s)","")),0)</f>
        <v/>
      </c>
      <c r="K3032" s="41">
        <f>J3032/60</f>
        <v/>
      </c>
      <c r="L3032" s="41">
        <f>IFERROR(J3032/H3032,"")</f>
        <v/>
      </c>
      <c r="M3032" s="25" t="inlineStr">
        <is>
          <t>2.5.12</t>
        </is>
      </c>
      <c r="N3032" s="25">
        <f>IF(J3032&gt;300,1,0)</f>
        <v/>
      </c>
      <c r="O3032" s="25">
        <f>IF(J3032&gt;600,1,0)</f>
        <v/>
      </c>
      <c r="P3032" s="25">
        <f>IF(H3032&gt;0,J3032,"")</f>
        <v/>
      </c>
      <c r="Q3032" s="25">
        <f>TEXT(A3032,"YYYY-MM-DD HH")</f>
        <v/>
      </c>
      <c r="R3032" s="25">
        <f>COUNTIF($Q$2:$Q$5295,Q3032)</f>
        <v/>
      </c>
      <c r="S3032" s="25">
        <f>IF(R3032&lt;=2,"1-2",IF(R3032&lt;=5,"3-5",IF(R3032&lt;=10,"6-10","11+")))</f>
        <v/>
      </c>
    </row>
    <row r="3033">
      <c r="A3033" s="39" t="n">
        <v>46195.49929398148</v>
      </c>
      <c r="B3033" s="25">
        <f>TEXT(A3033,"YYYY-MM")</f>
        <v/>
      </c>
      <c r="C3033" s="25">
        <f>TEXT(A3033,"MMM-YYYY")</f>
        <v/>
      </c>
      <c r="D3033" s="40">
        <f>INT(A3033)-WEEKDAY(A3033,2)+1</f>
        <v/>
      </c>
      <c r="E3033" s="25" t="inlineStr">
        <is>
          <t>ssaha</t>
        </is>
      </c>
      <c r="F3033" s="25" t="n">
        <v>123034</v>
      </c>
      <c r="G3033" s="25" t="n">
        <v>1</v>
      </c>
      <c r="H3033" s="25" t="n">
        <v>3</v>
      </c>
      <c r="I3033" s="25" t="inlineStr">
        <is>
          <t>1 minute(s) and 36 second(s)</t>
        </is>
      </c>
      <c r="J3033" s="25">
        <f>IFERROR(VALUE(TRIM(LEFT(I3033,FIND("minute",I3033)-1)))*60,0)+IFERROR(VALUE(SUBSTITUTE(MID(I3033,IFERROR(FIND("and",I3033)+3,1),20),"second(s)","")),0)</f>
        <v/>
      </c>
      <c r="K3033" s="41">
        <f>J3033/60</f>
        <v/>
      </c>
      <c r="L3033" s="41">
        <f>IFERROR(J3033/H3033,"")</f>
        <v/>
      </c>
      <c r="M3033" s="25" t="inlineStr">
        <is>
          <t>2.5.12</t>
        </is>
      </c>
      <c r="N3033" s="25">
        <f>IF(J3033&gt;300,1,0)</f>
        <v/>
      </c>
      <c r="O3033" s="25">
        <f>IF(J3033&gt;600,1,0)</f>
        <v/>
      </c>
      <c r="P3033" s="25">
        <f>IF(H3033&gt;0,J3033,"")</f>
        <v/>
      </c>
      <c r="Q3033" s="25">
        <f>TEXT(A3033,"YYYY-MM-DD HH")</f>
        <v/>
      </c>
      <c r="R3033" s="25">
        <f>COUNTIF($Q$2:$Q$5295,Q3033)</f>
        <v/>
      </c>
      <c r="S3033" s="25">
        <f>IF(R3033&lt;=2,"1-2",IF(R3033&lt;=5,"3-5",IF(R3033&lt;=10,"6-10","11+")))</f>
        <v/>
      </c>
    </row>
    <row r="3034">
      <c r="A3034" s="39" t="n">
        <v>46195.50109953704</v>
      </c>
      <c r="B3034" s="25">
        <f>TEXT(A3034,"YYYY-MM")</f>
        <v/>
      </c>
      <c r="C3034" s="25">
        <f>TEXT(A3034,"MMM-YYYY")</f>
        <v/>
      </c>
      <c r="D3034" s="40">
        <f>INT(A3034)-WEEKDAY(A3034,2)+1</f>
        <v/>
      </c>
      <c r="E3034" s="25" t="inlineStr">
        <is>
          <t>ssaha</t>
        </is>
      </c>
      <c r="F3034" s="25" t="n">
        <v>123034</v>
      </c>
      <c r="G3034" s="25" t="n">
        <v>1</v>
      </c>
      <c r="H3034" s="25" t="n">
        <v>3</v>
      </c>
      <c r="I3034" s="25" t="inlineStr">
        <is>
          <t>1 minute(s) and 52 second(s)</t>
        </is>
      </c>
      <c r="J3034" s="25">
        <f>IFERROR(VALUE(TRIM(LEFT(I3034,FIND("minute",I3034)-1)))*60,0)+IFERROR(VALUE(SUBSTITUTE(MID(I3034,IFERROR(FIND("and",I3034)+3,1),20),"second(s)","")),0)</f>
        <v/>
      </c>
      <c r="K3034" s="41">
        <f>J3034/60</f>
        <v/>
      </c>
      <c r="L3034" s="41">
        <f>IFERROR(J3034/H3034,"")</f>
        <v/>
      </c>
      <c r="M3034" s="25" t="inlineStr">
        <is>
          <t>2.5.12</t>
        </is>
      </c>
      <c r="N3034" s="25">
        <f>IF(J3034&gt;300,1,0)</f>
        <v/>
      </c>
      <c r="O3034" s="25">
        <f>IF(J3034&gt;600,1,0)</f>
        <v/>
      </c>
      <c r="P3034" s="25">
        <f>IF(H3034&gt;0,J3034,"")</f>
        <v/>
      </c>
      <c r="Q3034" s="25">
        <f>TEXT(A3034,"YYYY-MM-DD HH")</f>
        <v/>
      </c>
      <c r="R3034" s="25">
        <f>COUNTIF($Q$2:$Q$5295,Q3034)</f>
        <v/>
      </c>
      <c r="S3034" s="25">
        <f>IF(R3034&lt;=2,"1-2",IF(R3034&lt;=5,"3-5",IF(R3034&lt;=10,"6-10","11+")))</f>
        <v/>
      </c>
    </row>
    <row r="3035">
      <c r="A3035" s="39" t="n">
        <v>46195.50587962963</v>
      </c>
      <c r="B3035" s="25">
        <f>TEXT(A3035,"YYYY-MM")</f>
        <v/>
      </c>
      <c r="C3035" s="25">
        <f>TEXT(A3035,"MMM-YYYY")</f>
        <v/>
      </c>
      <c r="D3035" s="40">
        <f>INT(A3035)-WEEKDAY(A3035,2)+1</f>
        <v/>
      </c>
      <c r="E3035" s="25" t="inlineStr">
        <is>
          <t>ssaha</t>
        </is>
      </c>
      <c r="F3035" s="25" t="n">
        <v>123034</v>
      </c>
      <c r="G3035" s="25" t="n">
        <v>4</v>
      </c>
      <c r="H3035" s="25" t="n">
        <v>8</v>
      </c>
      <c r="I3035" s="25" t="inlineStr">
        <is>
          <t>3 minute(s) and 39 second(s)</t>
        </is>
      </c>
      <c r="J3035" s="25">
        <f>IFERROR(VALUE(TRIM(LEFT(I3035,FIND("minute",I3035)-1)))*60,0)+IFERROR(VALUE(SUBSTITUTE(MID(I3035,IFERROR(FIND("and",I3035)+3,1),20),"second(s)","")),0)</f>
        <v/>
      </c>
      <c r="K3035" s="41">
        <f>J3035/60</f>
        <v/>
      </c>
      <c r="L3035" s="41">
        <f>IFERROR(J3035/H3035,"")</f>
        <v/>
      </c>
      <c r="M3035" s="25" t="inlineStr">
        <is>
          <t>2.5.12</t>
        </is>
      </c>
      <c r="N3035" s="25">
        <f>IF(J3035&gt;300,1,0)</f>
        <v/>
      </c>
      <c r="O3035" s="25">
        <f>IF(J3035&gt;600,1,0)</f>
        <v/>
      </c>
      <c r="P3035" s="25">
        <f>IF(H3035&gt;0,J3035,"")</f>
        <v/>
      </c>
      <c r="Q3035" s="25">
        <f>TEXT(A3035,"YYYY-MM-DD HH")</f>
        <v/>
      </c>
      <c r="R3035" s="25">
        <f>COUNTIF($Q$2:$Q$5295,Q3035)</f>
        <v/>
      </c>
      <c r="S3035" s="25">
        <f>IF(R3035&lt;=2,"1-2",IF(R3035&lt;=5,"3-5",IF(R3035&lt;=10,"6-10","11+")))</f>
        <v/>
      </c>
    </row>
    <row r="3036">
      <c r="A3036" s="39" t="n">
        <v>46195.54652777778</v>
      </c>
      <c r="B3036" s="25">
        <f>TEXT(A3036,"YYYY-MM")</f>
        <v/>
      </c>
      <c r="C3036" s="25">
        <f>TEXT(A3036,"MMM-YYYY")</f>
        <v/>
      </c>
      <c r="D3036" s="40">
        <f>INT(A3036)-WEEKDAY(A3036,2)+1</f>
        <v/>
      </c>
      <c r="E3036" s="25" t="inlineStr">
        <is>
          <t>adey</t>
        </is>
      </c>
      <c r="F3036" s="25" t="n">
        <v>122839</v>
      </c>
      <c r="G3036" s="25" t="n">
        <v>3</v>
      </c>
      <c r="H3036" s="25" t="n">
        <v>17</v>
      </c>
      <c r="I3036" s="25" t="inlineStr">
        <is>
          <t>3 minute(s) and 7 second(s)</t>
        </is>
      </c>
      <c r="J3036" s="25">
        <f>IFERROR(VALUE(TRIM(LEFT(I3036,FIND("minute",I3036)-1)))*60,0)+IFERROR(VALUE(SUBSTITUTE(MID(I3036,IFERROR(FIND("and",I3036)+3,1),20),"second(s)","")),0)</f>
        <v/>
      </c>
      <c r="K3036" s="41">
        <f>J3036/60</f>
        <v/>
      </c>
      <c r="L3036" s="41">
        <f>IFERROR(J3036/H3036,"")</f>
        <v/>
      </c>
      <c r="M3036" s="25" t="inlineStr">
        <is>
          <t>2.5.12</t>
        </is>
      </c>
      <c r="N3036" s="25">
        <f>IF(J3036&gt;300,1,0)</f>
        <v/>
      </c>
      <c r="O3036" s="25">
        <f>IF(J3036&gt;600,1,0)</f>
        <v/>
      </c>
      <c r="P3036" s="25">
        <f>IF(H3036&gt;0,J3036,"")</f>
        <v/>
      </c>
      <c r="Q3036" s="25">
        <f>TEXT(A3036,"YYYY-MM-DD HH")</f>
        <v/>
      </c>
      <c r="R3036" s="25">
        <f>COUNTIF($Q$2:$Q$5295,Q3036)</f>
        <v/>
      </c>
      <c r="S3036" s="25">
        <f>IF(R3036&lt;=2,"1-2",IF(R3036&lt;=5,"3-5",IF(R3036&lt;=10,"6-10","11+")))</f>
        <v/>
      </c>
    </row>
    <row r="3037">
      <c r="A3037" s="39" t="n">
        <v>46195.57949074074</v>
      </c>
      <c r="B3037" s="25">
        <f>TEXT(A3037,"YYYY-MM")</f>
        <v/>
      </c>
      <c r="C3037" s="25">
        <f>TEXT(A3037,"MMM-YYYY")</f>
        <v/>
      </c>
      <c r="D3037" s="40">
        <f>INT(A3037)-WEEKDAY(A3037,2)+1</f>
        <v/>
      </c>
      <c r="E3037" s="25" t="inlineStr">
        <is>
          <t>ssaha</t>
        </is>
      </c>
      <c r="F3037" s="25" t="n">
        <v>123034</v>
      </c>
      <c r="G3037" s="25" t="n">
        <v>1</v>
      </c>
      <c r="H3037" s="25" t="n">
        <v>8</v>
      </c>
      <c r="I3037" s="25" t="inlineStr">
        <is>
          <t>5 minute(s) and 19 second(s)</t>
        </is>
      </c>
      <c r="J3037" s="25">
        <f>IFERROR(VALUE(TRIM(LEFT(I3037,FIND("minute",I3037)-1)))*60,0)+IFERROR(VALUE(SUBSTITUTE(MID(I3037,IFERROR(FIND("and",I3037)+3,1),20),"second(s)","")),0)</f>
        <v/>
      </c>
      <c r="K3037" s="41">
        <f>J3037/60</f>
        <v/>
      </c>
      <c r="L3037" s="41">
        <f>IFERROR(J3037/H3037,"")</f>
        <v/>
      </c>
      <c r="M3037" s="25" t="inlineStr">
        <is>
          <t>2.5.12</t>
        </is>
      </c>
      <c r="N3037" s="25">
        <f>IF(J3037&gt;300,1,0)</f>
        <v/>
      </c>
      <c r="O3037" s="25">
        <f>IF(J3037&gt;600,1,0)</f>
        <v/>
      </c>
      <c r="P3037" s="25">
        <f>IF(H3037&gt;0,J3037,"")</f>
        <v/>
      </c>
      <c r="Q3037" s="25">
        <f>TEXT(A3037,"YYYY-MM-DD HH")</f>
        <v/>
      </c>
      <c r="R3037" s="25">
        <f>COUNTIF($Q$2:$Q$5295,Q3037)</f>
        <v/>
      </c>
      <c r="S3037" s="25">
        <f>IF(R3037&lt;=2,"1-2",IF(R3037&lt;=5,"3-5",IF(R3037&lt;=10,"6-10","11+")))</f>
        <v/>
      </c>
    </row>
    <row r="3038">
      <c r="A3038" s="39" t="n">
        <v>46195.60175925926</v>
      </c>
      <c r="B3038" s="25">
        <f>TEXT(A3038,"YYYY-MM")</f>
        <v/>
      </c>
      <c r="C3038" s="25">
        <f>TEXT(A3038,"MMM-YYYY")</f>
        <v/>
      </c>
      <c r="D3038" s="40">
        <f>INT(A3038)-WEEKDAY(A3038,2)+1</f>
        <v/>
      </c>
      <c r="E3038" s="25" t="inlineStr">
        <is>
          <t>ssarkar</t>
        </is>
      </c>
      <c r="F3038" s="25" t="n">
        <v>116397</v>
      </c>
      <c r="G3038" s="25" t="n">
        <v>4</v>
      </c>
      <c r="H3038" s="25" t="n">
        <v>24</v>
      </c>
      <c r="I3038" s="25" t="inlineStr">
        <is>
          <t>6 minute(s) and 4 second(s)</t>
        </is>
      </c>
      <c r="J3038" s="25">
        <f>IFERROR(VALUE(TRIM(LEFT(I3038,FIND("minute",I3038)-1)))*60,0)+IFERROR(VALUE(SUBSTITUTE(MID(I3038,IFERROR(FIND("and",I3038)+3,1),20),"second(s)","")),0)</f>
        <v/>
      </c>
      <c r="K3038" s="41">
        <f>J3038/60</f>
        <v/>
      </c>
      <c r="L3038" s="41">
        <f>IFERROR(J3038/H3038,"")</f>
        <v/>
      </c>
      <c r="M3038" s="25" t="inlineStr">
        <is>
          <t>2.5.12</t>
        </is>
      </c>
      <c r="N3038" s="25">
        <f>IF(J3038&gt;300,1,0)</f>
        <v/>
      </c>
      <c r="O3038" s="25">
        <f>IF(J3038&gt;600,1,0)</f>
        <v/>
      </c>
      <c r="P3038" s="25">
        <f>IF(H3038&gt;0,J3038,"")</f>
        <v/>
      </c>
      <c r="Q3038" s="25">
        <f>TEXT(A3038,"YYYY-MM-DD HH")</f>
        <v/>
      </c>
      <c r="R3038" s="25">
        <f>COUNTIF($Q$2:$Q$5295,Q3038)</f>
        <v/>
      </c>
      <c r="S3038" s="25">
        <f>IF(R3038&lt;=2,"1-2",IF(R3038&lt;=5,"3-5",IF(R3038&lt;=10,"6-10","11+")))</f>
        <v/>
      </c>
    </row>
    <row r="3039">
      <c r="A3039" s="39" t="n">
        <v>46195.63578703703</v>
      </c>
      <c r="B3039" s="25">
        <f>TEXT(A3039,"YYYY-MM")</f>
        <v/>
      </c>
      <c r="C3039" s="25">
        <f>TEXT(A3039,"MMM-YYYY")</f>
        <v/>
      </c>
      <c r="D3039" s="40">
        <f>INT(A3039)-WEEKDAY(A3039,2)+1</f>
        <v/>
      </c>
      <c r="E3039" s="25" t="inlineStr">
        <is>
          <t>emishra</t>
        </is>
      </c>
      <c r="F3039" s="25" t="n">
        <v>115565</v>
      </c>
      <c r="G3039" s="25" t="n">
        <v>5</v>
      </c>
      <c r="H3039" s="25" t="n">
        <v>35</v>
      </c>
      <c r="I3039" s="25" t="inlineStr">
        <is>
          <t>8 minute(s) and 7 second(s)</t>
        </is>
      </c>
      <c r="J3039" s="25">
        <f>IFERROR(VALUE(TRIM(LEFT(I3039,FIND("minute",I3039)-1)))*60,0)+IFERROR(VALUE(SUBSTITUTE(MID(I3039,IFERROR(FIND("and",I3039)+3,1),20),"second(s)","")),0)</f>
        <v/>
      </c>
      <c r="K3039" s="41">
        <f>J3039/60</f>
        <v/>
      </c>
      <c r="L3039" s="41">
        <f>IFERROR(J3039/H3039,"")</f>
        <v/>
      </c>
      <c r="M3039" s="25" t="inlineStr">
        <is>
          <t>2.5.12</t>
        </is>
      </c>
      <c r="N3039" s="25">
        <f>IF(J3039&gt;300,1,0)</f>
        <v/>
      </c>
      <c r="O3039" s="25">
        <f>IF(J3039&gt;600,1,0)</f>
        <v/>
      </c>
      <c r="P3039" s="25">
        <f>IF(H3039&gt;0,J3039,"")</f>
        <v/>
      </c>
      <c r="Q3039" s="25">
        <f>TEXT(A3039,"YYYY-MM-DD HH")</f>
        <v/>
      </c>
      <c r="R3039" s="25">
        <f>COUNTIF($Q$2:$Q$5295,Q3039)</f>
        <v/>
      </c>
      <c r="S3039" s="25">
        <f>IF(R3039&lt;=2,"1-2",IF(R3039&lt;=5,"3-5",IF(R3039&lt;=10,"6-10","11+")))</f>
        <v/>
      </c>
    </row>
    <row r="3040">
      <c r="A3040" s="39" t="n">
        <v>46195.69133101852</v>
      </c>
      <c r="B3040" s="25">
        <f>TEXT(A3040,"YYYY-MM")</f>
        <v/>
      </c>
      <c r="C3040" s="25">
        <f>TEXT(A3040,"MMM-YYYY")</f>
        <v/>
      </c>
      <c r="D3040" s="40">
        <f>INT(A3040)-WEEKDAY(A3040,2)+1</f>
        <v/>
      </c>
      <c r="E3040" s="25" t="inlineStr">
        <is>
          <t>hsindwani</t>
        </is>
      </c>
      <c r="F3040" s="25" t="n">
        <v>112868</v>
      </c>
      <c r="G3040" s="25" t="n">
        <v>1</v>
      </c>
      <c r="H3040" s="25" t="n">
        <v>5</v>
      </c>
      <c r="I3040" s="25" t="inlineStr">
        <is>
          <t>4 minute(s) and 56 second(s)</t>
        </is>
      </c>
      <c r="J3040" s="25">
        <f>IFERROR(VALUE(TRIM(LEFT(I3040,FIND("minute",I3040)-1)))*60,0)+IFERROR(VALUE(SUBSTITUTE(MID(I3040,IFERROR(FIND("and",I3040)+3,1),20),"second(s)","")),0)</f>
        <v/>
      </c>
      <c r="K3040" s="41">
        <f>J3040/60</f>
        <v/>
      </c>
      <c r="L3040" s="41">
        <f>IFERROR(J3040/H3040,"")</f>
        <v/>
      </c>
      <c r="M3040" s="25" t="inlineStr">
        <is>
          <t>2.5.12</t>
        </is>
      </c>
      <c r="N3040" s="25">
        <f>IF(J3040&gt;300,1,0)</f>
        <v/>
      </c>
      <c r="O3040" s="25">
        <f>IF(J3040&gt;600,1,0)</f>
        <v/>
      </c>
      <c r="P3040" s="25">
        <f>IF(H3040&gt;0,J3040,"")</f>
        <v/>
      </c>
      <c r="Q3040" s="25">
        <f>TEXT(A3040,"YYYY-MM-DD HH")</f>
        <v/>
      </c>
      <c r="R3040" s="25">
        <f>COUNTIF($Q$2:$Q$5295,Q3040)</f>
        <v/>
      </c>
      <c r="S3040" s="25">
        <f>IF(R3040&lt;=2,"1-2",IF(R3040&lt;=5,"3-5",IF(R3040&lt;=10,"6-10","11+")))</f>
        <v/>
      </c>
    </row>
    <row r="3041">
      <c r="A3041" s="39" t="n">
        <v>46195.69364583334</v>
      </c>
      <c r="B3041" s="25">
        <f>TEXT(A3041,"YYYY-MM")</f>
        <v/>
      </c>
      <c r="C3041" s="25">
        <f>TEXT(A3041,"MMM-YYYY")</f>
        <v/>
      </c>
      <c r="D3041" s="40">
        <f>INT(A3041)-WEEKDAY(A3041,2)+1</f>
        <v/>
      </c>
      <c r="E3041" s="25" t="inlineStr">
        <is>
          <t>psingh</t>
        </is>
      </c>
      <c r="F3041" s="25" t="n">
        <v>117043</v>
      </c>
      <c r="G3041" s="25" t="n">
        <v>1</v>
      </c>
      <c r="H3041" s="25" t="n">
        <v>7</v>
      </c>
      <c r="I3041" s="25" t="inlineStr">
        <is>
          <t>2 minute(s) and 27 second(s)</t>
        </is>
      </c>
      <c r="J3041" s="25">
        <f>IFERROR(VALUE(TRIM(LEFT(I3041,FIND("minute",I3041)-1)))*60,0)+IFERROR(VALUE(SUBSTITUTE(MID(I3041,IFERROR(FIND("and",I3041)+3,1),20),"second(s)","")),0)</f>
        <v/>
      </c>
      <c r="K3041" s="41">
        <f>J3041/60</f>
        <v/>
      </c>
      <c r="L3041" s="41">
        <f>IFERROR(J3041/H3041,"")</f>
        <v/>
      </c>
      <c r="M3041" s="25" t="inlineStr">
        <is>
          <t>2.5.12</t>
        </is>
      </c>
      <c r="N3041" s="25">
        <f>IF(J3041&gt;300,1,0)</f>
        <v/>
      </c>
      <c r="O3041" s="25">
        <f>IF(J3041&gt;600,1,0)</f>
        <v/>
      </c>
      <c r="P3041" s="25">
        <f>IF(H3041&gt;0,J3041,"")</f>
        <v/>
      </c>
      <c r="Q3041" s="25">
        <f>TEXT(A3041,"YYYY-MM-DD HH")</f>
        <v/>
      </c>
      <c r="R3041" s="25">
        <f>COUNTIF($Q$2:$Q$5295,Q3041)</f>
        <v/>
      </c>
      <c r="S3041" s="25">
        <f>IF(R3041&lt;=2,"1-2",IF(R3041&lt;=5,"3-5",IF(R3041&lt;=10,"6-10","11+")))</f>
        <v/>
      </c>
    </row>
    <row r="3042">
      <c r="A3042" s="39" t="n">
        <v>46195.74133101852</v>
      </c>
      <c r="B3042" s="25">
        <f>TEXT(A3042,"YYYY-MM")</f>
        <v/>
      </c>
      <c r="C3042" s="25">
        <f>TEXT(A3042,"MMM-YYYY")</f>
        <v/>
      </c>
      <c r="D3042" s="40">
        <f>INT(A3042)-WEEKDAY(A3042,2)+1</f>
        <v/>
      </c>
      <c r="E3042" s="25" t="inlineStr">
        <is>
          <t>rsingh</t>
        </is>
      </c>
      <c r="F3042" s="25" t="n">
        <v>123355</v>
      </c>
      <c r="G3042" s="25" t="n">
        <v>3</v>
      </c>
      <c r="H3042" s="25" t="n">
        <v>15</v>
      </c>
      <c r="I3042" s="25" t="inlineStr">
        <is>
          <t>4 minute(s) and 4 second(s)</t>
        </is>
      </c>
      <c r="J3042" s="25">
        <f>IFERROR(VALUE(TRIM(LEFT(I3042,FIND("minute",I3042)-1)))*60,0)+IFERROR(VALUE(SUBSTITUTE(MID(I3042,IFERROR(FIND("and",I3042)+3,1),20),"second(s)","")),0)</f>
        <v/>
      </c>
      <c r="K3042" s="41">
        <f>J3042/60</f>
        <v/>
      </c>
      <c r="L3042" s="41">
        <f>IFERROR(J3042/H3042,"")</f>
        <v/>
      </c>
      <c r="M3042" s="25" t="inlineStr">
        <is>
          <t>2.5.12</t>
        </is>
      </c>
      <c r="N3042" s="25">
        <f>IF(J3042&gt;300,1,0)</f>
        <v/>
      </c>
      <c r="O3042" s="25">
        <f>IF(J3042&gt;600,1,0)</f>
        <v/>
      </c>
      <c r="P3042" s="25">
        <f>IF(H3042&gt;0,J3042,"")</f>
        <v/>
      </c>
      <c r="Q3042" s="25">
        <f>TEXT(A3042,"YYYY-MM-DD HH")</f>
        <v/>
      </c>
      <c r="R3042" s="25">
        <f>COUNTIF($Q$2:$Q$5295,Q3042)</f>
        <v/>
      </c>
      <c r="S3042" s="25">
        <f>IF(R3042&lt;=2,"1-2",IF(R3042&lt;=5,"3-5",IF(R3042&lt;=10,"6-10","11+")))</f>
        <v/>
      </c>
    </row>
    <row r="3043">
      <c r="A3043" s="39" t="n">
        <v>46195.77618055556</v>
      </c>
      <c r="B3043" s="25">
        <f>TEXT(A3043,"YYYY-MM")</f>
        <v/>
      </c>
      <c r="C3043" s="25">
        <f>TEXT(A3043,"MMM-YYYY")</f>
        <v/>
      </c>
      <c r="D3043" s="40">
        <f>INT(A3043)-WEEKDAY(A3043,2)+1</f>
        <v/>
      </c>
      <c r="E3043" s="25" t="inlineStr">
        <is>
          <t>hsindwani</t>
        </is>
      </c>
      <c r="F3043" s="25" t="n">
        <v>113145</v>
      </c>
      <c r="G3043" s="25" t="n">
        <v>1</v>
      </c>
      <c r="H3043" s="25" t="n">
        <v>7</v>
      </c>
      <c r="I3043" s="25" t="inlineStr">
        <is>
          <t>4 minute(s) and 40 second(s)</t>
        </is>
      </c>
      <c r="J3043" s="25">
        <f>IFERROR(VALUE(TRIM(LEFT(I3043,FIND("minute",I3043)-1)))*60,0)+IFERROR(VALUE(SUBSTITUTE(MID(I3043,IFERROR(FIND("and",I3043)+3,1),20),"second(s)","")),0)</f>
        <v/>
      </c>
      <c r="K3043" s="41">
        <f>J3043/60</f>
        <v/>
      </c>
      <c r="L3043" s="41">
        <f>IFERROR(J3043/H3043,"")</f>
        <v/>
      </c>
      <c r="M3043" s="25" t="inlineStr">
        <is>
          <t>2.5.12</t>
        </is>
      </c>
      <c r="N3043" s="25">
        <f>IF(J3043&gt;300,1,0)</f>
        <v/>
      </c>
      <c r="O3043" s="25">
        <f>IF(J3043&gt;600,1,0)</f>
        <v/>
      </c>
      <c r="P3043" s="25">
        <f>IF(H3043&gt;0,J3043,"")</f>
        <v/>
      </c>
      <c r="Q3043" s="25">
        <f>TEXT(A3043,"YYYY-MM-DD HH")</f>
        <v/>
      </c>
      <c r="R3043" s="25">
        <f>COUNTIF($Q$2:$Q$5295,Q3043)</f>
        <v/>
      </c>
      <c r="S3043" s="25">
        <f>IF(R3043&lt;=2,"1-2",IF(R3043&lt;=5,"3-5",IF(R3043&lt;=10,"6-10","11+")))</f>
        <v/>
      </c>
    </row>
    <row r="3044">
      <c r="A3044" s="39" t="n">
        <v>46195.82788194445</v>
      </c>
      <c r="B3044" s="25">
        <f>TEXT(A3044,"YYYY-MM")</f>
        <v/>
      </c>
      <c r="C3044" s="25">
        <f>TEXT(A3044,"MMM-YYYY")</f>
        <v/>
      </c>
      <c r="D3044" s="40">
        <f>INT(A3044)-WEEKDAY(A3044,2)+1</f>
        <v/>
      </c>
      <c r="E3044" s="25" t="inlineStr">
        <is>
          <t>ssarkar</t>
        </is>
      </c>
      <c r="F3044" s="25" t="n">
        <v>112606</v>
      </c>
      <c r="G3044" s="25" t="n">
        <v>2</v>
      </c>
      <c r="H3044" s="25" t="n">
        <v>10</v>
      </c>
      <c r="I3044" s="25" t="inlineStr">
        <is>
          <t>2 minute(s) and 37 second(s)</t>
        </is>
      </c>
      <c r="J3044" s="25">
        <f>IFERROR(VALUE(TRIM(LEFT(I3044,FIND("minute",I3044)-1)))*60,0)+IFERROR(VALUE(SUBSTITUTE(MID(I3044,IFERROR(FIND("and",I3044)+3,1),20),"second(s)","")),0)</f>
        <v/>
      </c>
      <c r="K3044" s="41">
        <f>J3044/60</f>
        <v/>
      </c>
      <c r="L3044" s="41">
        <f>IFERROR(J3044/H3044,"")</f>
        <v/>
      </c>
      <c r="M3044" s="25" t="inlineStr">
        <is>
          <t>2.5.12</t>
        </is>
      </c>
      <c r="N3044" s="25">
        <f>IF(J3044&gt;300,1,0)</f>
        <v/>
      </c>
      <c r="O3044" s="25">
        <f>IF(J3044&gt;600,1,0)</f>
        <v/>
      </c>
      <c r="P3044" s="25">
        <f>IF(H3044&gt;0,J3044,"")</f>
        <v/>
      </c>
      <c r="Q3044" s="25">
        <f>TEXT(A3044,"YYYY-MM-DD HH")</f>
        <v/>
      </c>
      <c r="R3044" s="25">
        <f>COUNTIF($Q$2:$Q$5295,Q3044)</f>
        <v/>
      </c>
      <c r="S3044" s="25">
        <f>IF(R3044&lt;=2,"1-2",IF(R3044&lt;=5,"3-5",IF(R3044&lt;=10,"6-10","11+")))</f>
        <v/>
      </c>
    </row>
    <row r="3045">
      <c r="A3045" s="39" t="n">
        <v>46195.82922453704</v>
      </c>
      <c r="B3045" s="25">
        <f>TEXT(A3045,"YYYY-MM")</f>
        <v/>
      </c>
      <c r="C3045" s="25">
        <f>TEXT(A3045,"MMM-YYYY")</f>
        <v/>
      </c>
      <c r="D3045" s="40">
        <f>INT(A3045)-WEEKDAY(A3045,2)+1</f>
        <v/>
      </c>
      <c r="E3045" s="25" t="inlineStr">
        <is>
          <t>ssaha</t>
        </is>
      </c>
      <c r="F3045" s="25" t="inlineStr">
        <is>
          <t>test</t>
        </is>
      </c>
      <c r="G3045" s="25" t="n">
        <v>1</v>
      </c>
      <c r="H3045" s="25" t="n">
        <v>1</v>
      </c>
      <c r="I3045" s="25" t="inlineStr">
        <is>
          <t>40 second(s)</t>
        </is>
      </c>
      <c r="J3045" s="25">
        <f>IFERROR(VALUE(TRIM(LEFT(I3045,FIND("minute",I3045)-1)))*60,0)+IFERROR(VALUE(SUBSTITUTE(MID(I3045,IFERROR(FIND("and",I3045)+3,1),20),"second(s)","")),0)</f>
        <v/>
      </c>
      <c r="K3045" s="41">
        <f>J3045/60</f>
        <v/>
      </c>
      <c r="L3045" s="41">
        <f>IFERROR(J3045/H3045,"")</f>
        <v/>
      </c>
      <c r="M3045" s="25" t="inlineStr">
        <is>
          <t>2.5.12</t>
        </is>
      </c>
      <c r="N3045" s="25">
        <f>IF(J3045&gt;300,1,0)</f>
        <v/>
      </c>
      <c r="O3045" s="25">
        <f>IF(J3045&gt;600,1,0)</f>
        <v/>
      </c>
      <c r="P3045" s="25">
        <f>IF(H3045&gt;0,J3045,"")</f>
        <v/>
      </c>
      <c r="Q3045" s="25">
        <f>TEXT(A3045,"YYYY-MM-DD HH")</f>
        <v/>
      </c>
      <c r="R3045" s="25">
        <f>COUNTIF($Q$2:$Q$5295,Q3045)</f>
        <v/>
      </c>
      <c r="S3045" s="25">
        <f>IF(R3045&lt;=2,"1-2",IF(R3045&lt;=5,"3-5",IF(R3045&lt;=10,"6-10","11+")))</f>
        <v/>
      </c>
    </row>
    <row r="3046">
      <c r="A3046" s="39" t="n">
        <v>46195.88422453704</v>
      </c>
      <c r="B3046" s="25">
        <f>TEXT(A3046,"YYYY-MM")</f>
        <v/>
      </c>
      <c r="C3046" s="25">
        <f>TEXT(A3046,"MMM-YYYY")</f>
        <v/>
      </c>
      <c r="D3046" s="40">
        <f>INT(A3046)-WEEKDAY(A3046,2)+1</f>
        <v/>
      </c>
      <c r="E3046" s="25" t="inlineStr">
        <is>
          <t>ssarkar</t>
        </is>
      </c>
      <c r="F3046" s="25" t="n">
        <v>109913</v>
      </c>
      <c r="G3046" s="25" t="n">
        <v>3</v>
      </c>
      <c r="H3046" s="25" t="n">
        <v>11</v>
      </c>
      <c r="I3046" s="25" t="inlineStr">
        <is>
          <t>3 minute(s) and 40 second(s)</t>
        </is>
      </c>
      <c r="J3046" s="25">
        <f>IFERROR(VALUE(TRIM(LEFT(I3046,FIND("minute",I3046)-1)))*60,0)+IFERROR(VALUE(SUBSTITUTE(MID(I3046,IFERROR(FIND("and",I3046)+3,1),20),"second(s)","")),0)</f>
        <v/>
      </c>
      <c r="K3046" s="41">
        <f>J3046/60</f>
        <v/>
      </c>
      <c r="L3046" s="41">
        <f>IFERROR(J3046/H3046,"")</f>
        <v/>
      </c>
      <c r="M3046" s="25" t="inlineStr">
        <is>
          <t>2.5.12</t>
        </is>
      </c>
      <c r="N3046" s="25">
        <f>IF(J3046&gt;300,1,0)</f>
        <v/>
      </c>
      <c r="O3046" s="25">
        <f>IF(J3046&gt;600,1,0)</f>
        <v/>
      </c>
      <c r="P3046" s="25">
        <f>IF(H3046&gt;0,J3046,"")</f>
        <v/>
      </c>
      <c r="Q3046" s="25">
        <f>TEXT(A3046,"YYYY-MM-DD HH")</f>
        <v/>
      </c>
      <c r="R3046" s="25">
        <f>COUNTIF($Q$2:$Q$5295,Q3046)</f>
        <v/>
      </c>
      <c r="S3046" s="25">
        <f>IF(R3046&lt;=2,"1-2",IF(R3046&lt;=5,"3-5",IF(R3046&lt;=10,"6-10","11+")))</f>
        <v/>
      </c>
    </row>
    <row r="3047">
      <c r="A3047" s="39" t="n">
        <v>46195.88827546296</v>
      </c>
      <c r="B3047" s="25">
        <f>TEXT(A3047,"YYYY-MM")</f>
        <v/>
      </c>
      <c r="C3047" s="25">
        <f>TEXT(A3047,"MMM-YYYY")</f>
        <v/>
      </c>
      <c r="D3047" s="40">
        <f>INT(A3047)-WEEKDAY(A3047,2)+1</f>
        <v/>
      </c>
      <c r="E3047" s="25" t="inlineStr">
        <is>
          <t>dchoudhury</t>
        </is>
      </c>
      <c r="F3047" s="25" t="n">
        <v>98223</v>
      </c>
      <c r="G3047" s="25" t="n">
        <v>4</v>
      </c>
      <c r="H3047" s="25" t="n">
        <v>14</v>
      </c>
      <c r="I3047" s="25" t="inlineStr">
        <is>
          <t>2 minute(s) and 23 second(s)</t>
        </is>
      </c>
      <c r="J3047" s="25">
        <f>IFERROR(VALUE(TRIM(LEFT(I3047,FIND("minute",I3047)-1)))*60,0)+IFERROR(VALUE(SUBSTITUTE(MID(I3047,IFERROR(FIND("and",I3047)+3,1),20),"second(s)","")),0)</f>
        <v/>
      </c>
      <c r="K3047" s="41">
        <f>J3047/60</f>
        <v/>
      </c>
      <c r="L3047" s="41">
        <f>IFERROR(J3047/H3047,"")</f>
        <v/>
      </c>
      <c r="M3047" s="25" t="inlineStr">
        <is>
          <t>2.5.12</t>
        </is>
      </c>
      <c r="N3047" s="25">
        <f>IF(J3047&gt;300,1,0)</f>
        <v/>
      </c>
      <c r="O3047" s="25">
        <f>IF(J3047&gt;600,1,0)</f>
        <v/>
      </c>
      <c r="P3047" s="25">
        <f>IF(H3047&gt;0,J3047,"")</f>
        <v/>
      </c>
      <c r="Q3047" s="25">
        <f>TEXT(A3047,"YYYY-MM-DD HH")</f>
        <v/>
      </c>
      <c r="R3047" s="25">
        <f>COUNTIF($Q$2:$Q$5295,Q3047)</f>
        <v/>
      </c>
      <c r="S3047" s="25">
        <f>IF(R3047&lt;=2,"1-2",IF(R3047&lt;=5,"3-5",IF(R3047&lt;=10,"6-10","11+")))</f>
        <v/>
      </c>
    </row>
    <row r="3048">
      <c r="A3048" s="39" t="n">
        <v>46195.94914351852</v>
      </c>
      <c r="B3048" s="25">
        <f>TEXT(A3048,"YYYY-MM")</f>
        <v/>
      </c>
      <c r="C3048" s="25">
        <f>TEXT(A3048,"MMM-YYYY")</f>
        <v/>
      </c>
      <c r="D3048" s="40">
        <f>INT(A3048)-WEEKDAY(A3048,2)+1</f>
        <v/>
      </c>
      <c r="E3048" s="25" t="inlineStr">
        <is>
          <t>ssarkar</t>
        </is>
      </c>
      <c r="F3048" s="25" t="n">
        <v>117664</v>
      </c>
      <c r="G3048" s="25" t="n">
        <v>3</v>
      </c>
      <c r="H3048" s="25" t="n">
        <v>11</v>
      </c>
      <c r="I3048" s="25" t="inlineStr">
        <is>
          <t>5 minute(s) and 57 second(s)</t>
        </is>
      </c>
      <c r="J3048" s="25">
        <f>IFERROR(VALUE(TRIM(LEFT(I3048,FIND("minute",I3048)-1)))*60,0)+IFERROR(VALUE(SUBSTITUTE(MID(I3048,IFERROR(FIND("and",I3048)+3,1),20),"second(s)","")),0)</f>
        <v/>
      </c>
      <c r="K3048" s="41">
        <f>J3048/60</f>
        <v/>
      </c>
      <c r="L3048" s="41">
        <f>IFERROR(J3048/H3048,"")</f>
        <v/>
      </c>
      <c r="M3048" s="25" t="inlineStr">
        <is>
          <t>2.5.12</t>
        </is>
      </c>
      <c r="N3048" s="25">
        <f>IF(J3048&gt;300,1,0)</f>
        <v/>
      </c>
      <c r="O3048" s="25">
        <f>IF(J3048&gt;600,1,0)</f>
        <v/>
      </c>
      <c r="P3048" s="25">
        <f>IF(H3048&gt;0,J3048,"")</f>
        <v/>
      </c>
      <c r="Q3048" s="25">
        <f>TEXT(A3048,"YYYY-MM-DD HH")</f>
        <v/>
      </c>
      <c r="R3048" s="25">
        <f>COUNTIF($Q$2:$Q$5295,Q3048)</f>
        <v/>
      </c>
      <c r="S3048" s="25">
        <f>IF(R3048&lt;=2,"1-2",IF(R3048&lt;=5,"3-5",IF(R3048&lt;=10,"6-10","11+")))</f>
        <v/>
      </c>
    </row>
    <row r="3049">
      <c r="A3049" s="39" t="n">
        <v>46195.96706018518</v>
      </c>
      <c r="B3049" s="25">
        <f>TEXT(A3049,"YYYY-MM")</f>
        <v/>
      </c>
      <c r="C3049" s="25">
        <f>TEXT(A3049,"MMM-YYYY")</f>
        <v/>
      </c>
      <c r="D3049" s="40">
        <f>INT(A3049)-WEEKDAY(A3049,2)+1</f>
        <v/>
      </c>
      <c r="E3049" s="25" t="inlineStr">
        <is>
          <t>ssaha</t>
        </is>
      </c>
      <c r="F3049" s="25" t="n">
        <v>125435</v>
      </c>
      <c r="G3049" s="25" t="n">
        <v>4</v>
      </c>
      <c r="H3049" s="25" t="n">
        <v>8</v>
      </c>
      <c r="I3049" s="25" t="inlineStr">
        <is>
          <t>1 minute(s) and 34 second(s)</t>
        </is>
      </c>
      <c r="J3049" s="25">
        <f>IFERROR(VALUE(TRIM(LEFT(I3049,FIND("minute",I3049)-1)))*60,0)+IFERROR(VALUE(SUBSTITUTE(MID(I3049,IFERROR(FIND("and",I3049)+3,1),20),"second(s)","")),0)</f>
        <v/>
      </c>
      <c r="K3049" s="41">
        <f>J3049/60</f>
        <v/>
      </c>
      <c r="L3049" s="41">
        <f>IFERROR(J3049/H3049,"")</f>
        <v/>
      </c>
      <c r="M3049" s="25" t="inlineStr">
        <is>
          <t>2.5.12</t>
        </is>
      </c>
      <c r="N3049" s="25">
        <f>IF(J3049&gt;300,1,0)</f>
        <v/>
      </c>
      <c r="O3049" s="25">
        <f>IF(J3049&gt;600,1,0)</f>
        <v/>
      </c>
      <c r="P3049" s="25">
        <f>IF(H3049&gt;0,J3049,"")</f>
        <v/>
      </c>
      <c r="Q3049" s="25">
        <f>TEXT(A3049,"YYYY-MM-DD HH")</f>
        <v/>
      </c>
      <c r="R3049" s="25">
        <f>COUNTIF($Q$2:$Q$5295,Q3049)</f>
        <v/>
      </c>
      <c r="S3049" s="25">
        <f>IF(R3049&lt;=2,"1-2",IF(R3049&lt;=5,"3-5",IF(R3049&lt;=10,"6-10","11+")))</f>
        <v/>
      </c>
    </row>
    <row r="3050">
      <c r="A3050" s="39" t="n">
        <v>46195.98638888889</v>
      </c>
      <c r="B3050" s="25">
        <f>TEXT(A3050,"YYYY-MM")</f>
        <v/>
      </c>
      <c r="C3050" s="25">
        <f>TEXT(A3050,"MMM-YYYY")</f>
        <v/>
      </c>
      <c r="D3050" s="40">
        <f>INT(A3050)-WEEKDAY(A3050,2)+1</f>
        <v/>
      </c>
      <c r="E3050" s="25" t="inlineStr">
        <is>
          <t>mgupta</t>
        </is>
      </c>
      <c r="F3050" s="25" t="n">
        <v>109844</v>
      </c>
      <c r="G3050" s="25" t="n">
        <v>4</v>
      </c>
      <c r="H3050" s="25" t="n">
        <v>20</v>
      </c>
      <c r="I3050" s="25" t="inlineStr">
        <is>
          <t>7 minute(s) and 54 second(s)</t>
        </is>
      </c>
      <c r="J3050" s="25">
        <f>IFERROR(VALUE(TRIM(LEFT(I3050,FIND("minute",I3050)-1)))*60,0)+IFERROR(VALUE(SUBSTITUTE(MID(I3050,IFERROR(FIND("and",I3050)+3,1),20),"second(s)","")),0)</f>
        <v/>
      </c>
      <c r="K3050" s="41">
        <f>J3050/60</f>
        <v/>
      </c>
      <c r="L3050" s="41">
        <f>IFERROR(J3050/H3050,"")</f>
        <v/>
      </c>
      <c r="M3050" s="25" t="inlineStr">
        <is>
          <t>2.5.12</t>
        </is>
      </c>
      <c r="N3050" s="25">
        <f>IF(J3050&gt;300,1,0)</f>
        <v/>
      </c>
      <c r="O3050" s="25">
        <f>IF(J3050&gt;600,1,0)</f>
        <v/>
      </c>
      <c r="P3050" s="25">
        <f>IF(H3050&gt;0,J3050,"")</f>
        <v/>
      </c>
      <c r="Q3050" s="25">
        <f>TEXT(A3050,"YYYY-MM-DD HH")</f>
        <v/>
      </c>
      <c r="R3050" s="25">
        <f>COUNTIF($Q$2:$Q$5295,Q3050)</f>
        <v/>
      </c>
      <c r="S3050" s="25">
        <f>IF(R3050&lt;=2,"1-2",IF(R3050&lt;=5,"3-5",IF(R3050&lt;=10,"6-10","11+")))</f>
        <v/>
      </c>
    </row>
    <row r="3051">
      <c r="A3051" s="39" t="n">
        <v>46196.06606481481</v>
      </c>
      <c r="B3051" s="25">
        <f>TEXT(A3051,"YYYY-MM")</f>
        <v/>
      </c>
      <c r="C3051" s="25">
        <f>TEXT(A3051,"MMM-YYYY")</f>
        <v/>
      </c>
      <c r="D3051" s="40">
        <f>INT(A3051)-WEEKDAY(A3051,2)+1</f>
        <v/>
      </c>
      <c r="E3051" s="25" t="inlineStr">
        <is>
          <t>shassan</t>
        </is>
      </c>
      <c r="F3051" s="25" t="n">
        <v>121937</v>
      </c>
      <c r="G3051" s="25" t="n">
        <v>4</v>
      </c>
      <c r="H3051" s="25" t="n">
        <v>14</v>
      </c>
      <c r="I3051" s="25" t="inlineStr">
        <is>
          <t>3 minute(s) and 35 second(s)</t>
        </is>
      </c>
      <c r="J3051" s="25">
        <f>IFERROR(VALUE(TRIM(LEFT(I3051,FIND("minute",I3051)-1)))*60,0)+IFERROR(VALUE(SUBSTITUTE(MID(I3051,IFERROR(FIND("and",I3051)+3,1),20),"second(s)","")),0)</f>
        <v/>
      </c>
      <c r="K3051" s="41">
        <f>J3051/60</f>
        <v/>
      </c>
      <c r="L3051" s="41">
        <f>IFERROR(J3051/H3051,"")</f>
        <v/>
      </c>
      <c r="M3051" s="25" t="inlineStr">
        <is>
          <t>2.5.12</t>
        </is>
      </c>
      <c r="N3051" s="25">
        <f>IF(J3051&gt;300,1,0)</f>
        <v/>
      </c>
      <c r="O3051" s="25">
        <f>IF(J3051&gt;600,1,0)</f>
        <v/>
      </c>
      <c r="P3051" s="25">
        <f>IF(H3051&gt;0,J3051,"")</f>
        <v/>
      </c>
      <c r="Q3051" s="25">
        <f>TEXT(A3051,"YYYY-MM-DD HH")</f>
        <v/>
      </c>
      <c r="R3051" s="25">
        <f>COUNTIF($Q$2:$Q$5295,Q3051)</f>
        <v/>
      </c>
      <c r="S3051" s="25">
        <f>IF(R3051&lt;=2,"1-2",IF(R3051&lt;=5,"3-5",IF(R3051&lt;=10,"6-10","11+")))</f>
        <v/>
      </c>
    </row>
    <row r="3052">
      <c r="A3052" s="39" t="n">
        <v>46196.08980324074</v>
      </c>
      <c r="B3052" s="25">
        <f>TEXT(A3052,"YYYY-MM")</f>
        <v/>
      </c>
      <c r="C3052" s="25">
        <f>TEXT(A3052,"MMM-YYYY")</f>
        <v/>
      </c>
      <c r="D3052" s="40">
        <f>INT(A3052)-WEEKDAY(A3052,2)+1</f>
        <v/>
      </c>
      <c r="E3052" s="25" t="inlineStr">
        <is>
          <t>mgupta</t>
        </is>
      </c>
      <c r="F3052" s="25" t="n">
        <v>122509</v>
      </c>
      <c r="G3052" s="25" t="n">
        <v>4</v>
      </c>
      <c r="H3052" s="25" t="n">
        <v>14</v>
      </c>
      <c r="I3052" s="25" t="inlineStr">
        <is>
          <t>3 minute(s) and 47 second(s)</t>
        </is>
      </c>
      <c r="J3052" s="25">
        <f>IFERROR(VALUE(TRIM(LEFT(I3052,FIND("minute",I3052)-1)))*60,0)+IFERROR(VALUE(SUBSTITUTE(MID(I3052,IFERROR(FIND("and",I3052)+3,1),20),"second(s)","")),0)</f>
        <v/>
      </c>
      <c r="K3052" s="41">
        <f>J3052/60</f>
        <v/>
      </c>
      <c r="L3052" s="41">
        <f>IFERROR(J3052/H3052,"")</f>
        <v/>
      </c>
      <c r="M3052" s="25" t="inlineStr">
        <is>
          <t>2.5.12</t>
        </is>
      </c>
      <c r="N3052" s="25">
        <f>IF(J3052&gt;300,1,0)</f>
        <v/>
      </c>
      <c r="O3052" s="25">
        <f>IF(J3052&gt;600,1,0)</f>
        <v/>
      </c>
      <c r="P3052" s="25">
        <f>IF(H3052&gt;0,J3052,"")</f>
        <v/>
      </c>
      <c r="Q3052" s="25">
        <f>TEXT(A3052,"YYYY-MM-DD HH")</f>
        <v/>
      </c>
      <c r="R3052" s="25">
        <f>COUNTIF($Q$2:$Q$5295,Q3052)</f>
        <v/>
      </c>
      <c r="S3052" s="25">
        <f>IF(R3052&lt;=2,"1-2",IF(R3052&lt;=5,"3-5",IF(R3052&lt;=10,"6-10","11+")))</f>
        <v/>
      </c>
    </row>
    <row r="3053">
      <c r="A3053" s="39" t="n">
        <v>46196.09091435185</v>
      </c>
      <c r="B3053" s="25">
        <f>TEXT(A3053,"YYYY-MM")</f>
        <v/>
      </c>
      <c r="C3053" s="25">
        <f>TEXT(A3053,"MMM-YYYY")</f>
        <v/>
      </c>
      <c r="D3053" s="40">
        <f>INT(A3053)-WEEKDAY(A3053,2)+1</f>
        <v/>
      </c>
      <c r="E3053" s="25" t="inlineStr">
        <is>
          <t>sthomas</t>
        </is>
      </c>
      <c r="F3053" s="25" t="n">
        <v>113240</v>
      </c>
      <c r="G3053" s="25" t="n">
        <v>3</v>
      </c>
      <c r="H3053" s="25" t="n">
        <v>19</v>
      </c>
      <c r="I3053" s="25" t="inlineStr">
        <is>
          <t>4 minute(s) and 47 second(s)</t>
        </is>
      </c>
      <c r="J3053" s="25">
        <f>IFERROR(VALUE(TRIM(LEFT(I3053,FIND("minute",I3053)-1)))*60,0)+IFERROR(VALUE(SUBSTITUTE(MID(I3053,IFERROR(FIND("and",I3053)+3,1),20),"second(s)","")),0)</f>
        <v/>
      </c>
      <c r="K3053" s="41">
        <f>J3053/60</f>
        <v/>
      </c>
      <c r="L3053" s="41">
        <f>IFERROR(J3053/H3053,"")</f>
        <v/>
      </c>
      <c r="M3053" s="25" t="inlineStr">
        <is>
          <t>2.5.12</t>
        </is>
      </c>
      <c r="N3053" s="25">
        <f>IF(J3053&gt;300,1,0)</f>
        <v/>
      </c>
      <c r="O3053" s="25">
        <f>IF(J3053&gt;600,1,0)</f>
        <v/>
      </c>
      <c r="P3053" s="25">
        <f>IF(H3053&gt;0,J3053,"")</f>
        <v/>
      </c>
      <c r="Q3053" s="25">
        <f>TEXT(A3053,"YYYY-MM-DD HH")</f>
        <v/>
      </c>
      <c r="R3053" s="25">
        <f>COUNTIF($Q$2:$Q$5295,Q3053)</f>
        <v/>
      </c>
      <c r="S3053" s="25">
        <f>IF(R3053&lt;=2,"1-2",IF(R3053&lt;=5,"3-5",IF(R3053&lt;=10,"6-10","11+")))</f>
        <v/>
      </c>
    </row>
    <row r="3054">
      <c r="A3054" s="39" t="n">
        <v>46196.09228009259</v>
      </c>
      <c r="B3054" s="25">
        <f>TEXT(A3054,"YYYY-MM")</f>
        <v/>
      </c>
      <c r="C3054" s="25">
        <f>TEXT(A3054,"MMM-YYYY")</f>
        <v/>
      </c>
      <c r="D3054" s="40">
        <f>INT(A3054)-WEEKDAY(A3054,2)+1</f>
        <v/>
      </c>
      <c r="E3054" s="25" t="inlineStr">
        <is>
          <t>stiwari</t>
        </is>
      </c>
      <c r="F3054" s="25" t="n">
        <v>97882</v>
      </c>
      <c r="G3054" s="25" t="n">
        <v>3</v>
      </c>
      <c r="H3054" s="25" t="n">
        <v>13</v>
      </c>
      <c r="I3054" s="25" t="inlineStr">
        <is>
          <t>2 minute(s) and 34 second(s)</t>
        </is>
      </c>
      <c r="J3054" s="25">
        <f>IFERROR(VALUE(TRIM(LEFT(I3054,FIND("minute",I3054)-1)))*60,0)+IFERROR(VALUE(SUBSTITUTE(MID(I3054,IFERROR(FIND("and",I3054)+3,1),20),"second(s)","")),0)</f>
        <v/>
      </c>
      <c r="K3054" s="41">
        <f>J3054/60</f>
        <v/>
      </c>
      <c r="L3054" s="41">
        <f>IFERROR(J3054/H3054,"")</f>
        <v/>
      </c>
      <c r="M3054" s="25" t="inlineStr">
        <is>
          <t>2.5.12</t>
        </is>
      </c>
      <c r="N3054" s="25">
        <f>IF(J3054&gt;300,1,0)</f>
        <v/>
      </c>
      <c r="O3054" s="25">
        <f>IF(J3054&gt;600,1,0)</f>
        <v/>
      </c>
      <c r="P3054" s="25">
        <f>IF(H3054&gt;0,J3054,"")</f>
        <v/>
      </c>
      <c r="Q3054" s="25">
        <f>TEXT(A3054,"YYYY-MM-DD HH")</f>
        <v/>
      </c>
      <c r="R3054" s="25">
        <f>COUNTIF($Q$2:$Q$5295,Q3054)</f>
        <v/>
      </c>
      <c r="S3054" s="25">
        <f>IF(R3054&lt;=2,"1-2",IF(R3054&lt;=5,"3-5",IF(R3054&lt;=10,"6-10","11+")))</f>
        <v/>
      </c>
    </row>
    <row r="3055">
      <c r="A3055" s="39" t="n">
        <v>46196.09344907408</v>
      </c>
      <c r="B3055" s="25">
        <f>TEXT(A3055,"YYYY-MM")</f>
        <v/>
      </c>
      <c r="C3055" s="25">
        <f>TEXT(A3055,"MMM-YYYY")</f>
        <v/>
      </c>
      <c r="D3055" s="40">
        <f>INT(A3055)-WEEKDAY(A3055,2)+1</f>
        <v/>
      </c>
      <c r="E3055" s="25" t="inlineStr">
        <is>
          <t>anusharma</t>
        </is>
      </c>
      <c r="F3055" s="25" t="n">
        <v>97448</v>
      </c>
      <c r="G3055" s="25" t="n">
        <v>4</v>
      </c>
      <c r="H3055" s="25" t="n">
        <v>21</v>
      </c>
      <c r="I3055" s="25" t="inlineStr">
        <is>
          <t>4 minute(s) and 35 second(s)</t>
        </is>
      </c>
      <c r="J3055" s="25">
        <f>IFERROR(VALUE(TRIM(LEFT(I3055,FIND("minute",I3055)-1)))*60,0)+IFERROR(VALUE(SUBSTITUTE(MID(I3055,IFERROR(FIND("and",I3055)+3,1),20),"second(s)","")),0)</f>
        <v/>
      </c>
      <c r="K3055" s="41">
        <f>J3055/60</f>
        <v/>
      </c>
      <c r="L3055" s="41">
        <f>IFERROR(J3055/H3055,"")</f>
        <v/>
      </c>
      <c r="M3055" s="25" t="inlineStr">
        <is>
          <t>2.5.12</t>
        </is>
      </c>
      <c r="N3055" s="25">
        <f>IF(J3055&gt;300,1,0)</f>
        <v/>
      </c>
      <c r="O3055" s="25">
        <f>IF(J3055&gt;600,1,0)</f>
        <v/>
      </c>
      <c r="P3055" s="25">
        <f>IF(H3055&gt;0,J3055,"")</f>
        <v/>
      </c>
      <c r="Q3055" s="25">
        <f>TEXT(A3055,"YYYY-MM-DD HH")</f>
        <v/>
      </c>
      <c r="R3055" s="25">
        <f>COUNTIF($Q$2:$Q$5295,Q3055)</f>
        <v/>
      </c>
      <c r="S3055" s="25">
        <f>IF(R3055&lt;=2,"1-2",IF(R3055&lt;=5,"3-5",IF(R3055&lt;=10,"6-10","11+")))</f>
        <v/>
      </c>
    </row>
    <row r="3056">
      <c r="A3056" s="39" t="n">
        <v>46196.09501157407</v>
      </c>
      <c r="B3056" s="25">
        <f>TEXT(A3056,"YYYY-MM")</f>
        <v/>
      </c>
      <c r="C3056" s="25">
        <f>TEXT(A3056,"MMM-YYYY")</f>
        <v/>
      </c>
      <c r="D3056" s="40">
        <f>INT(A3056)-WEEKDAY(A3056,2)+1</f>
        <v/>
      </c>
      <c r="E3056" s="25" t="inlineStr">
        <is>
          <t>aghosh</t>
        </is>
      </c>
      <c r="F3056" s="25" t="n">
        <v>114368</v>
      </c>
      <c r="G3056" s="25" t="n">
        <v>2</v>
      </c>
      <c r="H3056" s="25" t="n">
        <v>8</v>
      </c>
      <c r="I3056" s="25" t="inlineStr">
        <is>
          <t>3 minute(s) and 14 second(s)</t>
        </is>
      </c>
      <c r="J3056" s="25">
        <f>IFERROR(VALUE(TRIM(LEFT(I3056,FIND("minute",I3056)-1)))*60,0)+IFERROR(VALUE(SUBSTITUTE(MID(I3056,IFERROR(FIND("and",I3056)+3,1),20),"second(s)","")),0)</f>
        <v/>
      </c>
      <c r="K3056" s="41">
        <f>J3056/60</f>
        <v/>
      </c>
      <c r="L3056" s="41">
        <f>IFERROR(J3056/H3056,"")</f>
        <v/>
      </c>
      <c r="M3056" s="25" t="inlineStr">
        <is>
          <t>2.5.12</t>
        </is>
      </c>
      <c r="N3056" s="25">
        <f>IF(J3056&gt;300,1,0)</f>
        <v/>
      </c>
      <c r="O3056" s="25">
        <f>IF(J3056&gt;600,1,0)</f>
        <v/>
      </c>
      <c r="P3056" s="25">
        <f>IF(H3056&gt;0,J3056,"")</f>
        <v/>
      </c>
      <c r="Q3056" s="25">
        <f>TEXT(A3056,"YYYY-MM-DD HH")</f>
        <v/>
      </c>
      <c r="R3056" s="25">
        <f>COUNTIF($Q$2:$Q$5295,Q3056)</f>
        <v/>
      </c>
      <c r="S3056" s="25">
        <f>IF(R3056&lt;=2,"1-2",IF(R3056&lt;=5,"3-5",IF(R3056&lt;=10,"6-10","11+")))</f>
        <v/>
      </c>
    </row>
    <row r="3057">
      <c r="A3057" s="39" t="n">
        <v>46196.10700231481</v>
      </c>
      <c r="B3057" s="25">
        <f>TEXT(A3057,"YYYY-MM")</f>
        <v/>
      </c>
      <c r="C3057" s="25">
        <f>TEXT(A3057,"MMM-YYYY")</f>
        <v/>
      </c>
      <c r="D3057" s="40">
        <f>INT(A3057)-WEEKDAY(A3057,2)+1</f>
        <v/>
      </c>
      <c r="E3057" s="25" t="inlineStr">
        <is>
          <t>shassan</t>
        </is>
      </c>
      <c r="F3057" s="25" t="n">
        <v>123432</v>
      </c>
      <c r="G3057" s="25" t="n">
        <v>4</v>
      </c>
      <c r="H3057" s="25" t="n">
        <v>8</v>
      </c>
      <c r="I3057" s="25" t="inlineStr">
        <is>
          <t>2 minute(s) and 9 second(s)</t>
        </is>
      </c>
      <c r="J3057" s="25">
        <f>IFERROR(VALUE(TRIM(LEFT(I3057,FIND("minute",I3057)-1)))*60,0)+IFERROR(VALUE(SUBSTITUTE(MID(I3057,IFERROR(FIND("and",I3057)+3,1),20),"second(s)","")),0)</f>
        <v/>
      </c>
      <c r="K3057" s="41">
        <f>J3057/60</f>
        <v/>
      </c>
      <c r="L3057" s="41">
        <f>IFERROR(J3057/H3057,"")</f>
        <v/>
      </c>
      <c r="M3057" s="25" t="inlineStr">
        <is>
          <t>2.5.12</t>
        </is>
      </c>
      <c r="N3057" s="25">
        <f>IF(J3057&gt;300,1,0)</f>
        <v/>
      </c>
      <c r="O3057" s="25">
        <f>IF(J3057&gt;600,1,0)</f>
        <v/>
      </c>
      <c r="P3057" s="25">
        <f>IF(H3057&gt;0,J3057,"")</f>
        <v/>
      </c>
      <c r="Q3057" s="25">
        <f>TEXT(A3057,"YYYY-MM-DD HH")</f>
        <v/>
      </c>
      <c r="R3057" s="25">
        <f>COUNTIF($Q$2:$Q$5295,Q3057)</f>
        <v/>
      </c>
      <c r="S3057" s="25">
        <f>IF(R3057&lt;=2,"1-2",IF(R3057&lt;=5,"3-5",IF(R3057&lt;=10,"6-10","11+")))</f>
        <v/>
      </c>
    </row>
    <row r="3058">
      <c r="A3058" s="39" t="n">
        <v>46196.12390046296</v>
      </c>
      <c r="B3058" s="25">
        <f>TEXT(A3058,"YYYY-MM")</f>
        <v/>
      </c>
      <c r="C3058" s="25">
        <f>TEXT(A3058,"MMM-YYYY")</f>
        <v/>
      </c>
      <c r="D3058" s="40">
        <f>INT(A3058)-WEEKDAY(A3058,2)+1</f>
        <v/>
      </c>
      <c r="E3058" s="25" t="inlineStr">
        <is>
          <t>tkarmakar</t>
        </is>
      </c>
      <c r="F3058" s="25" t="n">
        <v>94207</v>
      </c>
      <c r="G3058" s="25" t="n">
        <v>2</v>
      </c>
      <c r="H3058" s="25" t="n">
        <v>10</v>
      </c>
      <c r="I3058" s="25" t="inlineStr">
        <is>
          <t>4 minute(s) and 53 second(s)</t>
        </is>
      </c>
      <c r="J3058" s="25">
        <f>IFERROR(VALUE(TRIM(LEFT(I3058,FIND("minute",I3058)-1)))*60,0)+IFERROR(VALUE(SUBSTITUTE(MID(I3058,IFERROR(FIND("and",I3058)+3,1),20),"second(s)","")),0)</f>
        <v/>
      </c>
      <c r="K3058" s="41">
        <f>J3058/60</f>
        <v/>
      </c>
      <c r="L3058" s="41">
        <f>IFERROR(J3058/H3058,"")</f>
        <v/>
      </c>
      <c r="M3058" s="25" t="inlineStr">
        <is>
          <t>2.5.12</t>
        </is>
      </c>
      <c r="N3058" s="25">
        <f>IF(J3058&gt;300,1,0)</f>
        <v/>
      </c>
      <c r="O3058" s="25">
        <f>IF(J3058&gt;600,1,0)</f>
        <v/>
      </c>
      <c r="P3058" s="25">
        <f>IF(H3058&gt;0,J3058,"")</f>
        <v/>
      </c>
      <c r="Q3058" s="25">
        <f>TEXT(A3058,"YYYY-MM-DD HH")</f>
        <v/>
      </c>
      <c r="R3058" s="25">
        <f>COUNTIF($Q$2:$Q$5295,Q3058)</f>
        <v/>
      </c>
      <c r="S3058" s="25">
        <f>IF(R3058&lt;=2,"1-2",IF(R3058&lt;=5,"3-5",IF(R3058&lt;=10,"6-10","11+")))</f>
        <v/>
      </c>
    </row>
    <row r="3059">
      <c r="A3059" s="39" t="n">
        <v>46196.13260416667</v>
      </c>
      <c r="B3059" s="25">
        <f>TEXT(A3059,"YYYY-MM")</f>
        <v/>
      </c>
      <c r="C3059" s="25">
        <f>TEXT(A3059,"MMM-YYYY")</f>
        <v/>
      </c>
      <c r="D3059" s="40">
        <f>INT(A3059)-WEEKDAY(A3059,2)+1</f>
        <v/>
      </c>
      <c r="E3059" s="25" t="inlineStr">
        <is>
          <t>sdey</t>
        </is>
      </c>
      <c r="F3059" s="25" t="n">
        <v>95101</v>
      </c>
      <c r="G3059" s="25" t="n">
        <v>3</v>
      </c>
      <c r="H3059" s="25" t="n">
        <v>15</v>
      </c>
      <c r="I3059" s="25" t="inlineStr">
        <is>
          <t>4 minute(s) and 7 second(s)</t>
        </is>
      </c>
      <c r="J3059" s="25">
        <f>IFERROR(VALUE(TRIM(LEFT(I3059,FIND("minute",I3059)-1)))*60,0)+IFERROR(VALUE(SUBSTITUTE(MID(I3059,IFERROR(FIND("and",I3059)+3,1),20),"second(s)","")),0)</f>
        <v/>
      </c>
      <c r="K3059" s="41">
        <f>J3059/60</f>
        <v/>
      </c>
      <c r="L3059" s="41">
        <f>IFERROR(J3059/H3059,"")</f>
        <v/>
      </c>
      <c r="M3059" s="25" t="inlineStr">
        <is>
          <t>2.5.12</t>
        </is>
      </c>
      <c r="N3059" s="25">
        <f>IF(J3059&gt;300,1,0)</f>
        <v/>
      </c>
      <c r="O3059" s="25">
        <f>IF(J3059&gt;600,1,0)</f>
        <v/>
      </c>
      <c r="P3059" s="25">
        <f>IF(H3059&gt;0,J3059,"")</f>
        <v/>
      </c>
      <c r="Q3059" s="25">
        <f>TEXT(A3059,"YYYY-MM-DD HH")</f>
        <v/>
      </c>
      <c r="R3059" s="25">
        <f>COUNTIF($Q$2:$Q$5295,Q3059)</f>
        <v/>
      </c>
      <c r="S3059" s="25">
        <f>IF(R3059&lt;=2,"1-2",IF(R3059&lt;=5,"3-5",IF(R3059&lt;=10,"6-10","11+")))</f>
        <v/>
      </c>
    </row>
    <row r="3060">
      <c r="A3060" s="39" t="n">
        <v>46196.15769675926</v>
      </c>
      <c r="B3060" s="25">
        <f>TEXT(A3060,"YYYY-MM")</f>
        <v/>
      </c>
      <c r="C3060" s="25">
        <f>TEXT(A3060,"MMM-YYYY")</f>
        <v/>
      </c>
      <c r="D3060" s="40">
        <f>INT(A3060)-WEEKDAY(A3060,2)+1</f>
        <v/>
      </c>
      <c r="E3060" s="25" t="inlineStr">
        <is>
          <t>aghosh</t>
        </is>
      </c>
      <c r="F3060" s="25" t="n">
        <v>114762</v>
      </c>
      <c r="G3060" s="25" t="n">
        <v>2</v>
      </c>
      <c r="H3060" s="25" t="n">
        <v>12</v>
      </c>
      <c r="I3060" s="25" t="inlineStr">
        <is>
          <t>3 minute(s) and 34 second(s)</t>
        </is>
      </c>
      <c r="J3060" s="25">
        <f>IFERROR(VALUE(TRIM(LEFT(I3060,FIND("minute",I3060)-1)))*60,0)+IFERROR(VALUE(SUBSTITUTE(MID(I3060,IFERROR(FIND("and",I3060)+3,1),20),"second(s)","")),0)</f>
        <v/>
      </c>
      <c r="K3060" s="41">
        <f>J3060/60</f>
        <v/>
      </c>
      <c r="L3060" s="41">
        <f>IFERROR(J3060/H3060,"")</f>
        <v/>
      </c>
      <c r="M3060" s="25" t="inlineStr">
        <is>
          <t>2.5.12</t>
        </is>
      </c>
      <c r="N3060" s="25">
        <f>IF(J3060&gt;300,1,0)</f>
        <v/>
      </c>
      <c r="O3060" s="25">
        <f>IF(J3060&gt;600,1,0)</f>
        <v/>
      </c>
      <c r="P3060" s="25">
        <f>IF(H3060&gt;0,J3060,"")</f>
        <v/>
      </c>
      <c r="Q3060" s="25">
        <f>TEXT(A3060,"YYYY-MM-DD HH")</f>
        <v/>
      </c>
      <c r="R3060" s="25">
        <f>COUNTIF($Q$2:$Q$5295,Q3060)</f>
        <v/>
      </c>
      <c r="S3060" s="25">
        <f>IF(R3060&lt;=2,"1-2",IF(R3060&lt;=5,"3-5",IF(R3060&lt;=10,"6-10","11+")))</f>
        <v/>
      </c>
    </row>
    <row r="3061">
      <c r="A3061" s="39" t="n">
        <v>46196.15875</v>
      </c>
      <c r="B3061" s="25">
        <f>TEXT(A3061,"YYYY-MM")</f>
        <v/>
      </c>
      <c r="C3061" s="25">
        <f>TEXT(A3061,"MMM-YYYY")</f>
        <v/>
      </c>
      <c r="D3061" s="40">
        <f>INT(A3061)-WEEKDAY(A3061,2)+1</f>
        <v/>
      </c>
      <c r="E3061" s="25" t="inlineStr">
        <is>
          <t>emishra</t>
        </is>
      </c>
      <c r="F3061" s="25" t="n">
        <v>114810</v>
      </c>
      <c r="G3061" s="25" t="n">
        <v>2</v>
      </c>
      <c r="H3061" s="25" t="n">
        <v>12</v>
      </c>
      <c r="I3061" s="25" t="inlineStr">
        <is>
          <t>2 minute(s) and 18 second(s)</t>
        </is>
      </c>
      <c r="J3061" s="25">
        <f>IFERROR(VALUE(TRIM(LEFT(I3061,FIND("minute",I3061)-1)))*60,0)+IFERROR(VALUE(SUBSTITUTE(MID(I3061,IFERROR(FIND("and",I3061)+3,1),20),"second(s)","")),0)</f>
        <v/>
      </c>
      <c r="K3061" s="41">
        <f>J3061/60</f>
        <v/>
      </c>
      <c r="L3061" s="41">
        <f>IFERROR(J3061/H3061,"")</f>
        <v/>
      </c>
      <c r="M3061" s="25" t="inlineStr">
        <is>
          <t>2.5.12</t>
        </is>
      </c>
      <c r="N3061" s="25">
        <f>IF(J3061&gt;300,1,0)</f>
        <v/>
      </c>
      <c r="O3061" s="25">
        <f>IF(J3061&gt;600,1,0)</f>
        <v/>
      </c>
      <c r="P3061" s="25">
        <f>IF(H3061&gt;0,J3061,"")</f>
        <v/>
      </c>
      <c r="Q3061" s="25">
        <f>TEXT(A3061,"YYYY-MM-DD HH")</f>
        <v/>
      </c>
      <c r="R3061" s="25">
        <f>COUNTIF($Q$2:$Q$5295,Q3061)</f>
        <v/>
      </c>
      <c r="S3061" s="25">
        <f>IF(R3061&lt;=2,"1-2",IF(R3061&lt;=5,"3-5",IF(R3061&lt;=10,"6-10","11+")))</f>
        <v/>
      </c>
    </row>
    <row r="3062">
      <c r="A3062" s="39" t="n">
        <v>46196.16284722222</v>
      </c>
      <c r="B3062" s="25">
        <f>TEXT(A3062,"YYYY-MM")</f>
        <v/>
      </c>
      <c r="C3062" s="25">
        <f>TEXT(A3062,"MMM-YYYY")</f>
        <v/>
      </c>
      <c r="D3062" s="40">
        <f>INT(A3062)-WEEKDAY(A3062,2)+1</f>
        <v/>
      </c>
      <c r="E3062" s="25" t="inlineStr">
        <is>
          <t>adey</t>
        </is>
      </c>
      <c r="F3062" s="25" t="n">
        <v>125122</v>
      </c>
      <c r="G3062" s="25" t="n">
        <v>2</v>
      </c>
      <c r="H3062" s="25" t="n">
        <v>10</v>
      </c>
      <c r="I3062" s="25" t="inlineStr">
        <is>
          <t>3 minute(s) and 4 second(s)</t>
        </is>
      </c>
      <c r="J3062" s="25">
        <f>IFERROR(VALUE(TRIM(LEFT(I3062,FIND("minute",I3062)-1)))*60,0)+IFERROR(VALUE(SUBSTITUTE(MID(I3062,IFERROR(FIND("and",I3062)+3,1),20),"second(s)","")),0)</f>
        <v/>
      </c>
      <c r="K3062" s="41">
        <f>J3062/60</f>
        <v/>
      </c>
      <c r="L3062" s="41">
        <f>IFERROR(J3062/H3062,"")</f>
        <v/>
      </c>
      <c r="M3062" s="25" t="inlineStr">
        <is>
          <t>2.5.12</t>
        </is>
      </c>
      <c r="N3062" s="25">
        <f>IF(J3062&gt;300,1,0)</f>
        <v/>
      </c>
      <c r="O3062" s="25">
        <f>IF(J3062&gt;600,1,0)</f>
        <v/>
      </c>
      <c r="P3062" s="25">
        <f>IF(H3062&gt;0,J3062,"")</f>
        <v/>
      </c>
      <c r="Q3062" s="25">
        <f>TEXT(A3062,"YYYY-MM-DD HH")</f>
        <v/>
      </c>
      <c r="R3062" s="25">
        <f>COUNTIF($Q$2:$Q$5295,Q3062)</f>
        <v/>
      </c>
      <c r="S3062" s="25">
        <f>IF(R3062&lt;=2,"1-2",IF(R3062&lt;=5,"3-5",IF(R3062&lt;=10,"6-10","11+")))</f>
        <v/>
      </c>
    </row>
    <row r="3063">
      <c r="A3063" s="39" t="n">
        <v>46196.16339120371</v>
      </c>
      <c r="B3063" s="25">
        <f>TEXT(A3063,"YYYY-MM")</f>
        <v/>
      </c>
      <c r="C3063" s="25">
        <f>TEXT(A3063,"MMM-YYYY")</f>
        <v/>
      </c>
      <c r="D3063" s="40">
        <f>INT(A3063)-WEEKDAY(A3063,2)+1</f>
        <v/>
      </c>
      <c r="E3063" s="25" t="inlineStr">
        <is>
          <t>ethomas</t>
        </is>
      </c>
      <c r="F3063" s="25" t="n">
        <v>125866</v>
      </c>
      <c r="G3063" s="25" t="n">
        <v>3</v>
      </c>
      <c r="H3063" s="25" t="n">
        <v>17</v>
      </c>
      <c r="I3063" s="25" t="inlineStr">
        <is>
          <t>4 minute(s) and 57 second(s)</t>
        </is>
      </c>
      <c r="J3063" s="25">
        <f>IFERROR(VALUE(TRIM(LEFT(I3063,FIND("minute",I3063)-1)))*60,0)+IFERROR(VALUE(SUBSTITUTE(MID(I3063,IFERROR(FIND("and",I3063)+3,1),20),"second(s)","")),0)</f>
        <v/>
      </c>
      <c r="K3063" s="41">
        <f>J3063/60</f>
        <v/>
      </c>
      <c r="L3063" s="41">
        <f>IFERROR(J3063/H3063,"")</f>
        <v/>
      </c>
      <c r="M3063" s="25" t="inlineStr">
        <is>
          <t>2.5.12</t>
        </is>
      </c>
      <c r="N3063" s="25">
        <f>IF(J3063&gt;300,1,0)</f>
        <v/>
      </c>
      <c r="O3063" s="25">
        <f>IF(J3063&gt;600,1,0)</f>
        <v/>
      </c>
      <c r="P3063" s="25">
        <f>IF(H3063&gt;0,J3063,"")</f>
        <v/>
      </c>
      <c r="Q3063" s="25">
        <f>TEXT(A3063,"YYYY-MM-DD HH")</f>
        <v/>
      </c>
      <c r="R3063" s="25">
        <f>COUNTIF($Q$2:$Q$5295,Q3063)</f>
        <v/>
      </c>
      <c r="S3063" s="25">
        <f>IF(R3063&lt;=2,"1-2",IF(R3063&lt;=5,"3-5",IF(R3063&lt;=10,"6-10","11+")))</f>
        <v/>
      </c>
    </row>
    <row r="3064">
      <c r="A3064" s="39" t="n">
        <v>46196.16435185185</v>
      </c>
      <c r="B3064" s="25">
        <f>TEXT(A3064,"YYYY-MM")</f>
        <v/>
      </c>
      <c r="C3064" s="25">
        <f>TEXT(A3064,"MMM-YYYY")</f>
        <v/>
      </c>
      <c r="D3064" s="40">
        <f>INT(A3064)-WEEKDAY(A3064,2)+1</f>
        <v/>
      </c>
      <c r="E3064" s="25" t="inlineStr">
        <is>
          <t>shassan</t>
        </is>
      </c>
      <c r="F3064" s="25" t="n">
        <v>125498</v>
      </c>
      <c r="G3064" s="25" t="n">
        <v>3</v>
      </c>
      <c r="H3064" s="25" t="n">
        <v>11</v>
      </c>
      <c r="I3064" s="25" t="inlineStr">
        <is>
          <t>3 minute(s) and 16 second(s)</t>
        </is>
      </c>
      <c r="J3064" s="25">
        <f>IFERROR(VALUE(TRIM(LEFT(I3064,FIND("minute",I3064)-1)))*60,0)+IFERROR(VALUE(SUBSTITUTE(MID(I3064,IFERROR(FIND("and",I3064)+3,1),20),"second(s)","")),0)</f>
        <v/>
      </c>
      <c r="K3064" s="41">
        <f>J3064/60</f>
        <v/>
      </c>
      <c r="L3064" s="41">
        <f>IFERROR(J3064/H3064,"")</f>
        <v/>
      </c>
      <c r="M3064" s="25" t="inlineStr">
        <is>
          <t>2.5.12</t>
        </is>
      </c>
      <c r="N3064" s="25">
        <f>IF(J3064&gt;300,1,0)</f>
        <v/>
      </c>
      <c r="O3064" s="25">
        <f>IF(J3064&gt;600,1,0)</f>
        <v/>
      </c>
      <c r="P3064" s="25">
        <f>IF(H3064&gt;0,J3064,"")</f>
        <v/>
      </c>
      <c r="Q3064" s="25">
        <f>TEXT(A3064,"YYYY-MM-DD HH")</f>
        <v/>
      </c>
      <c r="R3064" s="25">
        <f>COUNTIF($Q$2:$Q$5295,Q3064)</f>
        <v/>
      </c>
      <c r="S3064" s="25">
        <f>IF(R3064&lt;=2,"1-2",IF(R3064&lt;=5,"3-5",IF(R3064&lt;=10,"6-10","11+")))</f>
        <v/>
      </c>
    </row>
    <row r="3065">
      <c r="A3065" s="39" t="n">
        <v>46196.17305555556</v>
      </c>
      <c r="B3065" s="25">
        <f>TEXT(A3065,"YYYY-MM")</f>
        <v/>
      </c>
      <c r="C3065" s="25">
        <f>TEXT(A3065,"MMM-YYYY")</f>
        <v/>
      </c>
      <c r="D3065" s="40">
        <f>INT(A3065)-WEEKDAY(A3065,2)+1</f>
        <v/>
      </c>
      <c r="E3065" s="25" t="inlineStr">
        <is>
          <t>anusharma</t>
        </is>
      </c>
      <c r="F3065" s="25" t="n">
        <v>93758</v>
      </c>
      <c r="G3065" s="25" t="n">
        <v>3</v>
      </c>
      <c r="H3065" s="25" t="n">
        <v>11</v>
      </c>
      <c r="I3065" s="25" t="inlineStr">
        <is>
          <t>2 minute(s) and 11 second(s)</t>
        </is>
      </c>
      <c r="J3065" s="25">
        <f>IFERROR(VALUE(TRIM(LEFT(I3065,FIND("minute",I3065)-1)))*60,0)+IFERROR(VALUE(SUBSTITUTE(MID(I3065,IFERROR(FIND("and",I3065)+3,1),20),"second(s)","")),0)</f>
        <v/>
      </c>
      <c r="K3065" s="41">
        <f>J3065/60</f>
        <v/>
      </c>
      <c r="L3065" s="41">
        <f>IFERROR(J3065/H3065,"")</f>
        <v/>
      </c>
      <c r="M3065" s="25" t="inlineStr">
        <is>
          <t>2.5.12</t>
        </is>
      </c>
      <c r="N3065" s="25">
        <f>IF(J3065&gt;300,1,0)</f>
        <v/>
      </c>
      <c r="O3065" s="25">
        <f>IF(J3065&gt;600,1,0)</f>
        <v/>
      </c>
      <c r="P3065" s="25">
        <f>IF(H3065&gt;0,J3065,"")</f>
        <v/>
      </c>
      <c r="Q3065" s="25">
        <f>TEXT(A3065,"YYYY-MM-DD HH")</f>
        <v/>
      </c>
      <c r="R3065" s="25">
        <f>COUNTIF($Q$2:$Q$5295,Q3065)</f>
        <v/>
      </c>
      <c r="S3065" s="25">
        <f>IF(R3065&lt;=2,"1-2",IF(R3065&lt;=5,"3-5",IF(R3065&lt;=10,"6-10","11+")))</f>
        <v/>
      </c>
    </row>
    <row r="3066">
      <c r="A3066" s="39" t="n">
        <v>46196.19267361111</v>
      </c>
      <c r="B3066" s="25">
        <f>TEXT(A3066,"YYYY-MM")</f>
        <v/>
      </c>
      <c r="C3066" s="25">
        <f>TEXT(A3066,"MMM-YYYY")</f>
        <v/>
      </c>
      <c r="D3066" s="40">
        <f>INT(A3066)-WEEKDAY(A3066,2)+1</f>
        <v/>
      </c>
      <c r="E3066" s="25" t="inlineStr">
        <is>
          <t>apriyadarshi</t>
        </is>
      </c>
      <c r="F3066" s="25" t="n">
        <v>113525</v>
      </c>
      <c r="G3066" s="25" t="n">
        <v>2</v>
      </c>
      <c r="H3066" s="25" t="n">
        <v>8</v>
      </c>
      <c r="I3066" s="25" t="inlineStr">
        <is>
          <t>1 minute(s) and 54 second(s)</t>
        </is>
      </c>
      <c r="J3066" s="25">
        <f>IFERROR(VALUE(TRIM(LEFT(I3066,FIND("minute",I3066)-1)))*60,0)+IFERROR(VALUE(SUBSTITUTE(MID(I3066,IFERROR(FIND("and",I3066)+3,1),20),"second(s)","")),0)</f>
        <v/>
      </c>
      <c r="K3066" s="41">
        <f>J3066/60</f>
        <v/>
      </c>
      <c r="L3066" s="41">
        <f>IFERROR(J3066/H3066,"")</f>
        <v/>
      </c>
      <c r="M3066" s="25" t="inlineStr">
        <is>
          <t>2.5.12</t>
        </is>
      </c>
      <c r="N3066" s="25">
        <f>IF(J3066&gt;300,1,0)</f>
        <v/>
      </c>
      <c r="O3066" s="25">
        <f>IF(J3066&gt;600,1,0)</f>
        <v/>
      </c>
      <c r="P3066" s="25">
        <f>IF(H3066&gt;0,J3066,"")</f>
        <v/>
      </c>
      <c r="Q3066" s="25">
        <f>TEXT(A3066,"YYYY-MM-DD HH")</f>
        <v/>
      </c>
      <c r="R3066" s="25">
        <f>COUNTIF($Q$2:$Q$5295,Q3066)</f>
        <v/>
      </c>
      <c r="S3066" s="25">
        <f>IF(R3066&lt;=2,"1-2",IF(R3066&lt;=5,"3-5",IF(R3066&lt;=10,"6-10","11+")))</f>
        <v/>
      </c>
    </row>
    <row r="3067">
      <c r="A3067" s="39" t="n">
        <v>46196.19344907408</v>
      </c>
      <c r="B3067" s="25">
        <f>TEXT(A3067,"YYYY-MM")</f>
        <v/>
      </c>
      <c r="C3067" s="25">
        <f>TEXT(A3067,"MMM-YYYY")</f>
        <v/>
      </c>
      <c r="D3067" s="40">
        <f>INT(A3067)-WEEKDAY(A3067,2)+1</f>
        <v/>
      </c>
      <c r="E3067" s="25" t="inlineStr">
        <is>
          <t>tkarmakar</t>
        </is>
      </c>
      <c r="F3067" s="25" t="n">
        <v>98317</v>
      </c>
      <c r="G3067" s="25" t="n">
        <v>5</v>
      </c>
      <c r="H3067" s="25" t="n">
        <v>19</v>
      </c>
      <c r="I3067" s="25" t="inlineStr">
        <is>
          <t>5 minute(s) and 5 second(s)</t>
        </is>
      </c>
      <c r="J3067" s="25">
        <f>IFERROR(VALUE(TRIM(LEFT(I3067,FIND("minute",I3067)-1)))*60,0)+IFERROR(VALUE(SUBSTITUTE(MID(I3067,IFERROR(FIND("and",I3067)+3,1),20),"second(s)","")),0)</f>
        <v/>
      </c>
      <c r="K3067" s="41">
        <f>J3067/60</f>
        <v/>
      </c>
      <c r="L3067" s="41">
        <f>IFERROR(J3067/H3067,"")</f>
        <v/>
      </c>
      <c r="M3067" s="25" t="inlineStr">
        <is>
          <t>2.5.12</t>
        </is>
      </c>
      <c r="N3067" s="25">
        <f>IF(J3067&gt;300,1,0)</f>
        <v/>
      </c>
      <c r="O3067" s="25">
        <f>IF(J3067&gt;600,1,0)</f>
        <v/>
      </c>
      <c r="P3067" s="25">
        <f>IF(H3067&gt;0,J3067,"")</f>
        <v/>
      </c>
      <c r="Q3067" s="25">
        <f>TEXT(A3067,"YYYY-MM-DD HH")</f>
        <v/>
      </c>
      <c r="R3067" s="25">
        <f>COUNTIF($Q$2:$Q$5295,Q3067)</f>
        <v/>
      </c>
      <c r="S3067" s="25">
        <f>IF(R3067&lt;=2,"1-2",IF(R3067&lt;=5,"3-5",IF(R3067&lt;=10,"6-10","11+")))</f>
        <v/>
      </c>
    </row>
    <row r="3068">
      <c r="A3068" s="39" t="n">
        <v>46196.2066550926</v>
      </c>
      <c r="B3068" s="25">
        <f>TEXT(A3068,"YYYY-MM")</f>
        <v/>
      </c>
      <c r="C3068" s="25">
        <f>TEXT(A3068,"MMM-YYYY")</f>
        <v/>
      </c>
      <c r="D3068" s="40">
        <f>INT(A3068)-WEEKDAY(A3068,2)+1</f>
        <v/>
      </c>
      <c r="E3068" s="25" t="inlineStr">
        <is>
          <t>bverma</t>
        </is>
      </c>
      <c r="F3068" s="25" t="n">
        <v>123319</v>
      </c>
      <c r="G3068" s="25" t="n">
        <v>2</v>
      </c>
      <c r="H3068" s="25" t="n">
        <v>14</v>
      </c>
      <c r="I3068" s="25" t="inlineStr">
        <is>
          <t>2 minute(s) and 42 second(s)</t>
        </is>
      </c>
      <c r="J3068" s="25">
        <f>IFERROR(VALUE(TRIM(LEFT(I3068,FIND("minute",I3068)-1)))*60,0)+IFERROR(VALUE(SUBSTITUTE(MID(I3068,IFERROR(FIND("and",I3068)+3,1),20),"second(s)","")),0)</f>
        <v/>
      </c>
      <c r="K3068" s="41">
        <f>J3068/60</f>
        <v/>
      </c>
      <c r="L3068" s="41">
        <f>IFERROR(J3068/H3068,"")</f>
        <v/>
      </c>
      <c r="M3068" s="25" t="inlineStr">
        <is>
          <t>2.5.12</t>
        </is>
      </c>
      <c r="N3068" s="25">
        <f>IF(J3068&gt;300,1,0)</f>
        <v/>
      </c>
      <c r="O3068" s="25">
        <f>IF(J3068&gt;600,1,0)</f>
        <v/>
      </c>
      <c r="P3068" s="25">
        <f>IF(H3068&gt;0,J3068,"")</f>
        <v/>
      </c>
      <c r="Q3068" s="25">
        <f>TEXT(A3068,"YYYY-MM-DD HH")</f>
        <v/>
      </c>
      <c r="R3068" s="25">
        <f>COUNTIF($Q$2:$Q$5295,Q3068)</f>
        <v/>
      </c>
      <c r="S3068" s="25">
        <f>IF(R3068&lt;=2,"1-2",IF(R3068&lt;=5,"3-5",IF(R3068&lt;=10,"6-10","11+")))</f>
        <v/>
      </c>
    </row>
    <row r="3069">
      <c r="A3069" s="39" t="n">
        <v>46196.22648148148</v>
      </c>
      <c r="B3069" s="25">
        <f>TEXT(A3069,"YYYY-MM")</f>
        <v/>
      </c>
      <c r="C3069" s="25">
        <f>TEXT(A3069,"MMM-YYYY")</f>
        <v/>
      </c>
      <c r="D3069" s="40">
        <f>INT(A3069)-WEEKDAY(A3069,2)+1</f>
        <v/>
      </c>
      <c r="E3069" s="25" t="inlineStr">
        <is>
          <t>emishra</t>
        </is>
      </c>
      <c r="F3069" s="25" t="n">
        <v>104088</v>
      </c>
      <c r="G3069" s="25" t="n">
        <v>1</v>
      </c>
      <c r="H3069" s="25" t="n">
        <v>7</v>
      </c>
      <c r="I3069" s="25" t="inlineStr">
        <is>
          <t>1 minute(s) and 40 second(s)</t>
        </is>
      </c>
      <c r="J3069" s="25">
        <f>IFERROR(VALUE(TRIM(LEFT(I3069,FIND("minute",I3069)-1)))*60,0)+IFERROR(VALUE(SUBSTITUTE(MID(I3069,IFERROR(FIND("and",I3069)+3,1),20),"second(s)","")),0)</f>
        <v/>
      </c>
      <c r="K3069" s="41">
        <f>J3069/60</f>
        <v/>
      </c>
      <c r="L3069" s="41">
        <f>IFERROR(J3069/H3069,"")</f>
        <v/>
      </c>
      <c r="M3069" s="25" t="inlineStr">
        <is>
          <t>2.5.12</t>
        </is>
      </c>
      <c r="N3069" s="25">
        <f>IF(J3069&gt;300,1,0)</f>
        <v/>
      </c>
      <c r="O3069" s="25">
        <f>IF(J3069&gt;600,1,0)</f>
        <v/>
      </c>
      <c r="P3069" s="25">
        <f>IF(H3069&gt;0,J3069,"")</f>
        <v/>
      </c>
      <c r="Q3069" s="25">
        <f>TEXT(A3069,"YYYY-MM-DD HH")</f>
        <v/>
      </c>
      <c r="R3069" s="25">
        <f>COUNTIF($Q$2:$Q$5295,Q3069)</f>
        <v/>
      </c>
      <c r="S3069" s="25">
        <f>IF(R3069&lt;=2,"1-2",IF(R3069&lt;=5,"3-5",IF(R3069&lt;=10,"6-10","11+")))</f>
        <v/>
      </c>
    </row>
    <row r="3070">
      <c r="A3070" s="39" t="n">
        <v>46196.22758101852</v>
      </c>
      <c r="B3070" s="25">
        <f>TEXT(A3070,"YYYY-MM")</f>
        <v/>
      </c>
      <c r="C3070" s="25">
        <f>TEXT(A3070,"MMM-YYYY")</f>
        <v/>
      </c>
      <c r="D3070" s="40">
        <f>INT(A3070)-WEEKDAY(A3070,2)+1</f>
        <v/>
      </c>
      <c r="E3070" s="25" t="inlineStr">
        <is>
          <t>shassan</t>
        </is>
      </c>
      <c r="F3070" s="25" t="n">
        <v>126154</v>
      </c>
      <c r="G3070" s="25" t="n">
        <v>3</v>
      </c>
      <c r="H3070" s="25" t="n">
        <v>11</v>
      </c>
      <c r="I3070" s="25" t="inlineStr">
        <is>
          <t>4 minute(s) and 43 second(s)</t>
        </is>
      </c>
      <c r="J3070" s="25">
        <f>IFERROR(VALUE(TRIM(LEFT(I3070,FIND("minute",I3070)-1)))*60,0)+IFERROR(VALUE(SUBSTITUTE(MID(I3070,IFERROR(FIND("and",I3070)+3,1),20),"second(s)","")),0)</f>
        <v/>
      </c>
      <c r="K3070" s="41">
        <f>J3070/60</f>
        <v/>
      </c>
      <c r="L3070" s="41">
        <f>IFERROR(J3070/H3070,"")</f>
        <v/>
      </c>
      <c r="M3070" s="25" t="inlineStr">
        <is>
          <t>2.5.12</t>
        </is>
      </c>
      <c r="N3070" s="25">
        <f>IF(J3070&gt;300,1,0)</f>
        <v/>
      </c>
      <c r="O3070" s="25">
        <f>IF(J3070&gt;600,1,0)</f>
        <v/>
      </c>
      <c r="P3070" s="25">
        <f>IF(H3070&gt;0,J3070,"")</f>
        <v/>
      </c>
      <c r="Q3070" s="25">
        <f>TEXT(A3070,"YYYY-MM-DD HH")</f>
        <v/>
      </c>
      <c r="R3070" s="25">
        <f>COUNTIF($Q$2:$Q$5295,Q3070)</f>
        <v/>
      </c>
      <c r="S3070" s="25">
        <f>IF(R3070&lt;=2,"1-2",IF(R3070&lt;=5,"3-5",IF(R3070&lt;=10,"6-10","11+")))</f>
        <v/>
      </c>
    </row>
    <row r="3071">
      <c r="A3071" s="39" t="n">
        <v>46196.2365162037</v>
      </c>
      <c r="B3071" s="25">
        <f>TEXT(A3071,"YYYY-MM")</f>
        <v/>
      </c>
      <c r="C3071" s="25">
        <f>TEXT(A3071,"MMM-YYYY")</f>
        <v/>
      </c>
      <c r="D3071" s="40">
        <f>INT(A3071)-WEEKDAY(A3071,2)+1</f>
        <v/>
      </c>
      <c r="E3071" s="25" t="inlineStr">
        <is>
          <t>adey</t>
        </is>
      </c>
      <c r="F3071" s="25" t="n">
        <v>122215</v>
      </c>
      <c r="G3071" s="25" t="n">
        <v>1</v>
      </c>
      <c r="H3071" s="25" t="n">
        <v>5</v>
      </c>
      <c r="I3071" s="25" t="inlineStr">
        <is>
          <t>2 minute(s) and 25 second(s)</t>
        </is>
      </c>
      <c r="J3071" s="25">
        <f>IFERROR(VALUE(TRIM(LEFT(I3071,FIND("minute",I3071)-1)))*60,0)+IFERROR(VALUE(SUBSTITUTE(MID(I3071,IFERROR(FIND("and",I3071)+3,1),20),"second(s)","")),0)</f>
        <v/>
      </c>
      <c r="K3071" s="41">
        <f>J3071/60</f>
        <v/>
      </c>
      <c r="L3071" s="41">
        <f>IFERROR(J3071/H3071,"")</f>
        <v/>
      </c>
      <c r="M3071" s="25" t="inlineStr">
        <is>
          <t>2.5.12</t>
        </is>
      </c>
      <c r="N3071" s="25">
        <f>IF(J3071&gt;300,1,0)</f>
        <v/>
      </c>
      <c r="O3071" s="25">
        <f>IF(J3071&gt;600,1,0)</f>
        <v/>
      </c>
      <c r="P3071" s="25">
        <f>IF(H3071&gt;0,J3071,"")</f>
        <v/>
      </c>
      <c r="Q3071" s="25">
        <f>TEXT(A3071,"YYYY-MM-DD HH")</f>
        <v/>
      </c>
      <c r="R3071" s="25">
        <f>COUNTIF($Q$2:$Q$5295,Q3071)</f>
        <v/>
      </c>
      <c r="S3071" s="25">
        <f>IF(R3071&lt;=2,"1-2",IF(R3071&lt;=5,"3-5",IF(R3071&lt;=10,"6-10","11+")))</f>
        <v/>
      </c>
    </row>
    <row r="3072">
      <c r="A3072" s="39" t="n">
        <v>46196.23820601852</v>
      </c>
      <c r="B3072" s="25">
        <f>TEXT(A3072,"YYYY-MM")</f>
        <v/>
      </c>
      <c r="C3072" s="25">
        <f>TEXT(A3072,"MMM-YYYY")</f>
        <v/>
      </c>
      <c r="D3072" s="40">
        <f>INT(A3072)-WEEKDAY(A3072,2)+1</f>
        <v/>
      </c>
      <c r="E3072" s="25" t="inlineStr">
        <is>
          <t>anusharma</t>
        </is>
      </c>
      <c r="F3072" s="25" t="n">
        <v>95826</v>
      </c>
      <c r="G3072" s="25" t="n">
        <v>3</v>
      </c>
      <c r="H3072" s="25" t="n">
        <v>15</v>
      </c>
      <c r="I3072" s="25" t="inlineStr">
        <is>
          <t>3 minute(s) and 16 second(s)</t>
        </is>
      </c>
      <c r="J3072" s="25">
        <f>IFERROR(VALUE(TRIM(LEFT(I3072,FIND("minute",I3072)-1)))*60,0)+IFERROR(VALUE(SUBSTITUTE(MID(I3072,IFERROR(FIND("and",I3072)+3,1),20),"second(s)","")),0)</f>
        <v/>
      </c>
      <c r="K3072" s="41">
        <f>J3072/60</f>
        <v/>
      </c>
      <c r="L3072" s="41">
        <f>IFERROR(J3072/H3072,"")</f>
        <v/>
      </c>
      <c r="M3072" s="25" t="inlineStr">
        <is>
          <t>2.5.12</t>
        </is>
      </c>
      <c r="N3072" s="25">
        <f>IF(J3072&gt;300,1,0)</f>
        <v/>
      </c>
      <c r="O3072" s="25">
        <f>IF(J3072&gt;600,1,0)</f>
        <v/>
      </c>
      <c r="P3072" s="25">
        <f>IF(H3072&gt;0,J3072,"")</f>
        <v/>
      </c>
      <c r="Q3072" s="25">
        <f>TEXT(A3072,"YYYY-MM-DD HH")</f>
        <v/>
      </c>
      <c r="R3072" s="25">
        <f>COUNTIF($Q$2:$Q$5295,Q3072)</f>
        <v/>
      </c>
      <c r="S3072" s="25">
        <f>IF(R3072&lt;=2,"1-2",IF(R3072&lt;=5,"3-5",IF(R3072&lt;=10,"6-10","11+")))</f>
        <v/>
      </c>
    </row>
    <row r="3073">
      <c r="A3073" s="39" t="n">
        <v>46196.23855324074</v>
      </c>
      <c r="B3073" s="25">
        <f>TEXT(A3073,"YYYY-MM")</f>
        <v/>
      </c>
      <c r="C3073" s="25">
        <f>TEXT(A3073,"MMM-YYYY")</f>
        <v/>
      </c>
      <c r="D3073" s="40">
        <f>INT(A3073)-WEEKDAY(A3073,2)+1</f>
        <v/>
      </c>
      <c r="E3073" s="25" t="inlineStr">
        <is>
          <t>adey</t>
        </is>
      </c>
      <c r="F3073" s="25" t="n">
        <v>122215</v>
      </c>
      <c r="G3073" s="25" t="n">
        <v>1</v>
      </c>
      <c r="H3073" s="25" t="n">
        <v>5</v>
      </c>
      <c r="I3073" s="25" t="inlineStr">
        <is>
          <t>1 minute(s) and 12 second(s)</t>
        </is>
      </c>
      <c r="J3073" s="25">
        <f>IFERROR(VALUE(TRIM(LEFT(I3073,FIND("minute",I3073)-1)))*60,0)+IFERROR(VALUE(SUBSTITUTE(MID(I3073,IFERROR(FIND("and",I3073)+3,1),20),"second(s)","")),0)</f>
        <v/>
      </c>
      <c r="K3073" s="41">
        <f>J3073/60</f>
        <v/>
      </c>
      <c r="L3073" s="41">
        <f>IFERROR(J3073/H3073,"")</f>
        <v/>
      </c>
      <c r="M3073" s="25" t="inlineStr">
        <is>
          <t>2.5.12</t>
        </is>
      </c>
      <c r="N3073" s="25">
        <f>IF(J3073&gt;300,1,0)</f>
        <v/>
      </c>
      <c r="O3073" s="25">
        <f>IF(J3073&gt;600,1,0)</f>
        <v/>
      </c>
      <c r="P3073" s="25">
        <f>IF(H3073&gt;0,J3073,"")</f>
        <v/>
      </c>
      <c r="Q3073" s="25">
        <f>TEXT(A3073,"YYYY-MM-DD HH")</f>
        <v/>
      </c>
      <c r="R3073" s="25">
        <f>COUNTIF($Q$2:$Q$5295,Q3073)</f>
        <v/>
      </c>
      <c r="S3073" s="25">
        <f>IF(R3073&lt;=2,"1-2",IF(R3073&lt;=5,"3-5",IF(R3073&lt;=10,"6-10","11+")))</f>
        <v/>
      </c>
    </row>
    <row r="3074">
      <c r="A3074" s="39" t="n">
        <v>46196.24123842592</v>
      </c>
      <c r="B3074" s="25">
        <f>TEXT(A3074,"YYYY-MM")</f>
        <v/>
      </c>
      <c r="C3074" s="25">
        <f>TEXT(A3074,"MMM-YYYY")</f>
        <v/>
      </c>
      <c r="D3074" s="40">
        <f>INT(A3074)-WEEKDAY(A3074,2)+1</f>
        <v/>
      </c>
      <c r="E3074" s="25" t="inlineStr">
        <is>
          <t>pgautam</t>
        </is>
      </c>
      <c r="F3074" s="25" t="n">
        <v>125726</v>
      </c>
      <c r="G3074" s="25" t="n">
        <v>5</v>
      </c>
      <c r="H3074" s="25" t="n">
        <v>27</v>
      </c>
      <c r="I3074" s="25" t="inlineStr">
        <is>
          <t>5 minute(s) and 46 second(s)</t>
        </is>
      </c>
      <c r="J3074" s="25">
        <f>IFERROR(VALUE(TRIM(LEFT(I3074,FIND("minute",I3074)-1)))*60,0)+IFERROR(VALUE(SUBSTITUTE(MID(I3074,IFERROR(FIND("and",I3074)+3,1),20),"second(s)","")),0)</f>
        <v/>
      </c>
      <c r="K3074" s="41">
        <f>J3074/60</f>
        <v/>
      </c>
      <c r="L3074" s="41">
        <f>IFERROR(J3074/H3074,"")</f>
        <v/>
      </c>
      <c r="M3074" s="25" t="inlineStr">
        <is>
          <t>2.5.12</t>
        </is>
      </c>
      <c r="N3074" s="25">
        <f>IF(J3074&gt;300,1,0)</f>
        <v/>
      </c>
      <c r="O3074" s="25">
        <f>IF(J3074&gt;600,1,0)</f>
        <v/>
      </c>
      <c r="P3074" s="25">
        <f>IF(H3074&gt;0,J3074,"")</f>
        <v/>
      </c>
      <c r="Q3074" s="25">
        <f>TEXT(A3074,"YYYY-MM-DD HH")</f>
        <v/>
      </c>
      <c r="R3074" s="25">
        <f>COUNTIF($Q$2:$Q$5295,Q3074)</f>
        <v/>
      </c>
      <c r="S3074" s="25">
        <f>IF(R3074&lt;=2,"1-2",IF(R3074&lt;=5,"3-5",IF(R3074&lt;=10,"6-10","11+")))</f>
        <v/>
      </c>
    </row>
    <row r="3075">
      <c r="A3075" s="39" t="n">
        <v>46196.2509375</v>
      </c>
      <c r="B3075" s="25">
        <f>TEXT(A3075,"YYYY-MM")</f>
        <v/>
      </c>
      <c r="C3075" s="25">
        <f>TEXT(A3075,"MMM-YYYY")</f>
        <v/>
      </c>
      <c r="D3075" s="40">
        <f>INT(A3075)-WEEKDAY(A3075,2)+1</f>
        <v/>
      </c>
      <c r="E3075" s="25" t="inlineStr">
        <is>
          <t>ethomas</t>
        </is>
      </c>
      <c r="F3075" s="25" t="n">
        <v>117638</v>
      </c>
      <c r="G3075" s="25" t="n">
        <v>4</v>
      </c>
      <c r="H3075" s="25" t="n">
        <v>20</v>
      </c>
      <c r="I3075" s="25" t="inlineStr">
        <is>
          <t>6 minute(s) and 59 second(s)</t>
        </is>
      </c>
      <c r="J3075" s="25">
        <f>IFERROR(VALUE(TRIM(LEFT(I3075,FIND("minute",I3075)-1)))*60,0)+IFERROR(VALUE(SUBSTITUTE(MID(I3075,IFERROR(FIND("and",I3075)+3,1),20),"second(s)","")),0)</f>
        <v/>
      </c>
      <c r="K3075" s="41">
        <f>J3075/60</f>
        <v/>
      </c>
      <c r="L3075" s="41">
        <f>IFERROR(J3075/H3075,"")</f>
        <v/>
      </c>
      <c r="M3075" s="25" t="inlineStr">
        <is>
          <t>2.5.12</t>
        </is>
      </c>
      <c r="N3075" s="25">
        <f>IF(J3075&gt;300,1,0)</f>
        <v/>
      </c>
      <c r="O3075" s="25">
        <f>IF(J3075&gt;600,1,0)</f>
        <v/>
      </c>
      <c r="P3075" s="25">
        <f>IF(H3075&gt;0,J3075,"")</f>
        <v/>
      </c>
      <c r="Q3075" s="25">
        <f>TEXT(A3075,"YYYY-MM-DD HH")</f>
        <v/>
      </c>
      <c r="R3075" s="25">
        <f>COUNTIF($Q$2:$Q$5295,Q3075)</f>
        <v/>
      </c>
      <c r="S3075" s="25">
        <f>IF(R3075&lt;=2,"1-2",IF(R3075&lt;=5,"3-5",IF(R3075&lt;=10,"6-10","11+")))</f>
        <v/>
      </c>
    </row>
    <row r="3076">
      <c r="A3076" s="39" t="n">
        <v>46196.25174768519</v>
      </c>
      <c r="B3076" s="25">
        <f>TEXT(A3076,"YYYY-MM")</f>
        <v/>
      </c>
      <c r="C3076" s="25">
        <f>TEXT(A3076,"MMM-YYYY")</f>
        <v/>
      </c>
      <c r="D3076" s="40">
        <f>INT(A3076)-WEEKDAY(A3076,2)+1</f>
        <v/>
      </c>
      <c r="E3076" s="25" t="inlineStr">
        <is>
          <t>aghosh</t>
        </is>
      </c>
      <c r="F3076" s="25" t="n">
        <v>105771</v>
      </c>
      <c r="G3076" s="25" t="n">
        <v>4</v>
      </c>
      <c r="H3076" s="25" t="n">
        <v>22</v>
      </c>
      <c r="I3076" s="25" t="inlineStr">
        <is>
          <t>6 minute(s) and 26 second(s)</t>
        </is>
      </c>
      <c r="J3076" s="25">
        <f>IFERROR(VALUE(TRIM(LEFT(I3076,FIND("minute",I3076)-1)))*60,0)+IFERROR(VALUE(SUBSTITUTE(MID(I3076,IFERROR(FIND("and",I3076)+3,1),20),"second(s)","")),0)</f>
        <v/>
      </c>
      <c r="K3076" s="41">
        <f>J3076/60</f>
        <v/>
      </c>
      <c r="L3076" s="41">
        <f>IFERROR(J3076/H3076,"")</f>
        <v/>
      </c>
      <c r="M3076" s="25" t="inlineStr">
        <is>
          <t>2.5.12</t>
        </is>
      </c>
      <c r="N3076" s="25">
        <f>IF(J3076&gt;300,1,0)</f>
        <v/>
      </c>
      <c r="O3076" s="25">
        <f>IF(J3076&gt;600,1,0)</f>
        <v/>
      </c>
      <c r="P3076" s="25">
        <f>IF(H3076&gt;0,J3076,"")</f>
        <v/>
      </c>
      <c r="Q3076" s="25">
        <f>TEXT(A3076,"YYYY-MM-DD HH")</f>
        <v/>
      </c>
      <c r="R3076" s="25">
        <f>COUNTIF($Q$2:$Q$5295,Q3076)</f>
        <v/>
      </c>
      <c r="S3076" s="25">
        <f>IF(R3076&lt;=2,"1-2",IF(R3076&lt;=5,"3-5",IF(R3076&lt;=10,"6-10","11+")))</f>
        <v/>
      </c>
    </row>
    <row r="3077">
      <c r="A3077" s="39" t="n">
        <v>46196.25184027778</v>
      </c>
      <c r="B3077" s="25">
        <f>TEXT(A3077,"YYYY-MM")</f>
        <v/>
      </c>
      <c r="C3077" s="25">
        <f>TEXT(A3077,"MMM-YYYY")</f>
        <v/>
      </c>
      <c r="D3077" s="40">
        <f>INT(A3077)-WEEKDAY(A3077,2)+1</f>
        <v/>
      </c>
      <c r="E3077" s="25" t="inlineStr">
        <is>
          <t>ssarkar</t>
        </is>
      </c>
      <c r="F3077" s="25" t="n">
        <v>107138</v>
      </c>
      <c r="G3077" s="25" t="n">
        <v>3</v>
      </c>
      <c r="H3077" s="25" t="n">
        <v>19</v>
      </c>
      <c r="I3077" s="25" t="inlineStr">
        <is>
          <t>5 minute(s) and 19 second(s)</t>
        </is>
      </c>
      <c r="J3077" s="25">
        <f>IFERROR(VALUE(TRIM(LEFT(I3077,FIND("minute",I3077)-1)))*60,0)+IFERROR(VALUE(SUBSTITUTE(MID(I3077,IFERROR(FIND("and",I3077)+3,1),20),"second(s)","")),0)</f>
        <v/>
      </c>
      <c r="K3077" s="41">
        <f>J3077/60</f>
        <v/>
      </c>
      <c r="L3077" s="41">
        <f>IFERROR(J3077/H3077,"")</f>
        <v/>
      </c>
      <c r="M3077" s="25" t="inlineStr">
        <is>
          <t>2.5.12</t>
        </is>
      </c>
      <c r="N3077" s="25">
        <f>IF(J3077&gt;300,1,0)</f>
        <v/>
      </c>
      <c r="O3077" s="25">
        <f>IF(J3077&gt;600,1,0)</f>
        <v/>
      </c>
      <c r="P3077" s="25">
        <f>IF(H3077&gt;0,J3077,"")</f>
        <v/>
      </c>
      <c r="Q3077" s="25">
        <f>TEXT(A3077,"YYYY-MM-DD HH")</f>
        <v/>
      </c>
      <c r="R3077" s="25">
        <f>COUNTIF($Q$2:$Q$5295,Q3077)</f>
        <v/>
      </c>
      <c r="S3077" s="25">
        <f>IF(R3077&lt;=2,"1-2",IF(R3077&lt;=5,"3-5",IF(R3077&lt;=10,"6-10","11+")))</f>
        <v/>
      </c>
    </row>
    <row r="3078">
      <c r="A3078" s="39" t="n">
        <v>46196.2549074074</v>
      </c>
      <c r="B3078" s="25">
        <f>TEXT(A3078,"YYYY-MM")</f>
        <v/>
      </c>
      <c r="C3078" s="25">
        <f>TEXT(A3078,"MMM-YYYY")</f>
        <v/>
      </c>
      <c r="D3078" s="40">
        <f>INT(A3078)-WEEKDAY(A3078,2)+1</f>
        <v/>
      </c>
      <c r="E3078" s="25" t="inlineStr">
        <is>
          <t>stiwari</t>
        </is>
      </c>
      <c r="F3078" s="25" t="n">
        <v>122681</v>
      </c>
      <c r="G3078" s="25" t="n">
        <v>4</v>
      </c>
      <c r="H3078" s="25" t="n">
        <v>18</v>
      </c>
      <c r="I3078" s="25" t="inlineStr">
        <is>
          <t>3 minute(s) and 46 second(s)</t>
        </is>
      </c>
      <c r="J3078" s="25">
        <f>IFERROR(VALUE(TRIM(LEFT(I3078,FIND("minute",I3078)-1)))*60,0)+IFERROR(VALUE(SUBSTITUTE(MID(I3078,IFERROR(FIND("and",I3078)+3,1),20),"second(s)","")),0)</f>
        <v/>
      </c>
      <c r="K3078" s="41">
        <f>J3078/60</f>
        <v/>
      </c>
      <c r="L3078" s="41">
        <f>IFERROR(J3078/H3078,"")</f>
        <v/>
      </c>
      <c r="M3078" s="25" t="inlineStr">
        <is>
          <t>2.5.12</t>
        </is>
      </c>
      <c r="N3078" s="25">
        <f>IF(J3078&gt;300,1,0)</f>
        <v/>
      </c>
      <c r="O3078" s="25">
        <f>IF(J3078&gt;600,1,0)</f>
        <v/>
      </c>
      <c r="P3078" s="25">
        <f>IF(H3078&gt;0,J3078,"")</f>
        <v/>
      </c>
      <c r="Q3078" s="25">
        <f>TEXT(A3078,"YYYY-MM-DD HH")</f>
        <v/>
      </c>
      <c r="R3078" s="25">
        <f>COUNTIF($Q$2:$Q$5295,Q3078)</f>
        <v/>
      </c>
      <c r="S3078" s="25">
        <f>IF(R3078&lt;=2,"1-2",IF(R3078&lt;=5,"3-5",IF(R3078&lt;=10,"6-10","11+")))</f>
        <v/>
      </c>
    </row>
    <row r="3079">
      <c r="A3079" s="39" t="n">
        <v>46196.26076388889</v>
      </c>
      <c r="B3079" s="25">
        <f>TEXT(A3079,"YYYY-MM")</f>
        <v/>
      </c>
      <c r="C3079" s="25">
        <f>TEXT(A3079,"MMM-YYYY")</f>
        <v/>
      </c>
      <c r="D3079" s="40">
        <f>INT(A3079)-WEEKDAY(A3079,2)+1</f>
        <v/>
      </c>
      <c r="E3079" s="25" t="inlineStr">
        <is>
          <t>mgupta</t>
        </is>
      </c>
      <c r="F3079" s="25" t="n">
        <v>125213</v>
      </c>
      <c r="G3079" s="25" t="n">
        <v>4</v>
      </c>
      <c r="H3079" s="25" t="n">
        <v>12</v>
      </c>
      <c r="I3079" s="25" t="inlineStr">
        <is>
          <t>2 minute(s) and 25 second(s)</t>
        </is>
      </c>
      <c r="J3079" s="25">
        <f>IFERROR(VALUE(TRIM(LEFT(I3079,FIND("minute",I3079)-1)))*60,0)+IFERROR(VALUE(SUBSTITUTE(MID(I3079,IFERROR(FIND("and",I3079)+3,1),20),"second(s)","")),0)</f>
        <v/>
      </c>
      <c r="K3079" s="41">
        <f>J3079/60</f>
        <v/>
      </c>
      <c r="L3079" s="41">
        <f>IFERROR(J3079/H3079,"")</f>
        <v/>
      </c>
      <c r="M3079" s="25" t="inlineStr">
        <is>
          <t>2.5.12</t>
        </is>
      </c>
      <c r="N3079" s="25">
        <f>IF(J3079&gt;300,1,0)</f>
        <v/>
      </c>
      <c r="O3079" s="25">
        <f>IF(J3079&gt;600,1,0)</f>
        <v/>
      </c>
      <c r="P3079" s="25">
        <f>IF(H3079&gt;0,J3079,"")</f>
        <v/>
      </c>
      <c r="Q3079" s="25">
        <f>TEXT(A3079,"YYYY-MM-DD HH")</f>
        <v/>
      </c>
      <c r="R3079" s="25">
        <f>COUNTIF($Q$2:$Q$5295,Q3079)</f>
        <v/>
      </c>
      <c r="S3079" s="25">
        <f>IF(R3079&lt;=2,"1-2",IF(R3079&lt;=5,"3-5",IF(R3079&lt;=10,"6-10","11+")))</f>
        <v/>
      </c>
    </row>
    <row r="3080">
      <c r="A3080" s="39" t="n">
        <v>46196.2780787037</v>
      </c>
      <c r="B3080" s="25">
        <f>TEXT(A3080,"YYYY-MM")</f>
        <v/>
      </c>
      <c r="C3080" s="25">
        <f>TEXT(A3080,"MMM-YYYY")</f>
        <v/>
      </c>
      <c r="D3080" s="40">
        <f>INT(A3080)-WEEKDAY(A3080,2)+1</f>
        <v/>
      </c>
      <c r="E3080" s="25" t="inlineStr">
        <is>
          <t>anusharma</t>
        </is>
      </c>
      <c r="F3080" s="25" t="n">
        <v>81976</v>
      </c>
      <c r="G3080" s="25" t="n">
        <v>1</v>
      </c>
      <c r="H3080" s="25" t="n">
        <v>5</v>
      </c>
      <c r="I3080" s="25" t="inlineStr">
        <is>
          <t>1 minute(s) and 2 second(s)</t>
        </is>
      </c>
      <c r="J3080" s="25">
        <f>IFERROR(VALUE(TRIM(LEFT(I3080,FIND("minute",I3080)-1)))*60,0)+IFERROR(VALUE(SUBSTITUTE(MID(I3080,IFERROR(FIND("and",I3080)+3,1),20),"second(s)","")),0)</f>
        <v/>
      </c>
      <c r="K3080" s="41">
        <f>J3080/60</f>
        <v/>
      </c>
      <c r="L3080" s="41">
        <f>IFERROR(J3080/H3080,"")</f>
        <v/>
      </c>
      <c r="M3080" s="25" t="inlineStr">
        <is>
          <t>2.5.12</t>
        </is>
      </c>
      <c r="N3080" s="25">
        <f>IF(J3080&gt;300,1,0)</f>
        <v/>
      </c>
      <c r="O3080" s="25">
        <f>IF(J3080&gt;600,1,0)</f>
        <v/>
      </c>
      <c r="P3080" s="25">
        <f>IF(H3080&gt;0,J3080,"")</f>
        <v/>
      </c>
      <c r="Q3080" s="25">
        <f>TEXT(A3080,"YYYY-MM-DD HH")</f>
        <v/>
      </c>
      <c r="R3080" s="25">
        <f>COUNTIF($Q$2:$Q$5295,Q3080)</f>
        <v/>
      </c>
      <c r="S3080" s="25">
        <f>IF(R3080&lt;=2,"1-2",IF(R3080&lt;=5,"3-5",IF(R3080&lt;=10,"6-10","11+")))</f>
        <v/>
      </c>
    </row>
    <row r="3081">
      <c r="A3081" s="39" t="n">
        <v>46196.28746527778</v>
      </c>
      <c r="B3081" s="25">
        <f>TEXT(A3081,"YYYY-MM")</f>
        <v/>
      </c>
      <c r="C3081" s="25">
        <f>TEXT(A3081,"MMM-YYYY")</f>
        <v/>
      </c>
      <c r="D3081" s="40">
        <f>INT(A3081)-WEEKDAY(A3081,2)+1</f>
        <v/>
      </c>
      <c r="E3081" s="25" t="inlineStr">
        <is>
          <t>tkarmakar</t>
        </is>
      </c>
      <c r="F3081" s="25" t="n">
        <v>105089</v>
      </c>
      <c r="G3081" s="25" t="n">
        <v>5</v>
      </c>
      <c r="H3081" s="25" t="n">
        <v>23</v>
      </c>
      <c r="I3081" s="25" t="inlineStr">
        <is>
          <t>4 minute(s) and 15 second(s)</t>
        </is>
      </c>
      <c r="J3081" s="25">
        <f>IFERROR(VALUE(TRIM(LEFT(I3081,FIND("minute",I3081)-1)))*60,0)+IFERROR(VALUE(SUBSTITUTE(MID(I3081,IFERROR(FIND("and",I3081)+3,1),20),"second(s)","")),0)</f>
        <v/>
      </c>
      <c r="K3081" s="41">
        <f>J3081/60</f>
        <v/>
      </c>
      <c r="L3081" s="41">
        <f>IFERROR(J3081/H3081,"")</f>
        <v/>
      </c>
      <c r="M3081" s="25" t="inlineStr">
        <is>
          <t>2.5.12</t>
        </is>
      </c>
      <c r="N3081" s="25">
        <f>IF(J3081&gt;300,1,0)</f>
        <v/>
      </c>
      <c r="O3081" s="25">
        <f>IF(J3081&gt;600,1,0)</f>
        <v/>
      </c>
      <c r="P3081" s="25">
        <f>IF(H3081&gt;0,J3081,"")</f>
        <v/>
      </c>
      <c r="Q3081" s="25">
        <f>TEXT(A3081,"YYYY-MM-DD HH")</f>
        <v/>
      </c>
      <c r="R3081" s="25">
        <f>COUNTIF($Q$2:$Q$5295,Q3081)</f>
        <v/>
      </c>
      <c r="S3081" s="25">
        <f>IF(R3081&lt;=2,"1-2",IF(R3081&lt;=5,"3-5",IF(R3081&lt;=10,"6-10","11+")))</f>
        <v/>
      </c>
    </row>
    <row r="3082">
      <c r="A3082" s="39" t="n">
        <v>46196.29197916666</v>
      </c>
      <c r="B3082" s="25">
        <f>TEXT(A3082,"YYYY-MM")</f>
        <v/>
      </c>
      <c r="C3082" s="25">
        <f>TEXT(A3082,"MMM-YYYY")</f>
        <v/>
      </c>
      <c r="D3082" s="40">
        <f>INT(A3082)-WEEKDAY(A3082,2)+1</f>
        <v/>
      </c>
      <c r="E3082" s="25" t="inlineStr">
        <is>
          <t>pgautam</t>
        </is>
      </c>
      <c r="F3082" s="25" t="n">
        <v>105398</v>
      </c>
      <c r="G3082" s="25" t="n">
        <v>5</v>
      </c>
      <c r="H3082" s="25" t="n">
        <v>27</v>
      </c>
      <c r="I3082" s="25" t="inlineStr">
        <is>
          <t>7 minute(s) and 34 second(s)</t>
        </is>
      </c>
      <c r="J3082" s="25">
        <f>IFERROR(VALUE(TRIM(LEFT(I3082,FIND("minute",I3082)-1)))*60,0)+IFERROR(VALUE(SUBSTITUTE(MID(I3082,IFERROR(FIND("and",I3082)+3,1),20),"second(s)","")),0)</f>
        <v/>
      </c>
      <c r="K3082" s="41">
        <f>J3082/60</f>
        <v/>
      </c>
      <c r="L3082" s="41">
        <f>IFERROR(J3082/H3082,"")</f>
        <v/>
      </c>
      <c r="M3082" s="25" t="inlineStr">
        <is>
          <t>2.5.12</t>
        </is>
      </c>
      <c r="N3082" s="25">
        <f>IF(J3082&gt;300,1,0)</f>
        <v/>
      </c>
      <c r="O3082" s="25">
        <f>IF(J3082&gt;600,1,0)</f>
        <v/>
      </c>
      <c r="P3082" s="25">
        <f>IF(H3082&gt;0,J3082,"")</f>
        <v/>
      </c>
      <c r="Q3082" s="25">
        <f>TEXT(A3082,"YYYY-MM-DD HH")</f>
        <v/>
      </c>
      <c r="R3082" s="25">
        <f>COUNTIF($Q$2:$Q$5295,Q3082)</f>
        <v/>
      </c>
      <c r="S3082" s="25">
        <f>IF(R3082&lt;=2,"1-2",IF(R3082&lt;=5,"3-5",IF(R3082&lt;=10,"6-10","11+")))</f>
        <v/>
      </c>
    </row>
    <row r="3083">
      <c r="A3083" s="39" t="n">
        <v>46196.31318287037</v>
      </c>
      <c r="B3083" s="25">
        <f>TEXT(A3083,"YYYY-MM")</f>
        <v/>
      </c>
      <c r="C3083" s="25">
        <f>TEXT(A3083,"MMM-YYYY")</f>
        <v/>
      </c>
      <c r="D3083" s="40">
        <f>INT(A3083)-WEEKDAY(A3083,2)+1</f>
        <v/>
      </c>
      <c r="E3083" s="25" t="inlineStr">
        <is>
          <t>shassan</t>
        </is>
      </c>
      <c r="F3083" s="25" t="n">
        <v>121670</v>
      </c>
      <c r="G3083" s="25" t="n">
        <v>4</v>
      </c>
      <c r="H3083" s="25" t="n">
        <v>20</v>
      </c>
      <c r="I3083" s="25" t="inlineStr">
        <is>
          <t>4 minute(s) and 41 second(s)</t>
        </is>
      </c>
      <c r="J3083" s="25">
        <f>IFERROR(VALUE(TRIM(LEFT(I3083,FIND("minute",I3083)-1)))*60,0)+IFERROR(VALUE(SUBSTITUTE(MID(I3083,IFERROR(FIND("and",I3083)+3,1),20),"second(s)","")),0)</f>
        <v/>
      </c>
      <c r="K3083" s="41">
        <f>J3083/60</f>
        <v/>
      </c>
      <c r="L3083" s="41">
        <f>IFERROR(J3083/H3083,"")</f>
        <v/>
      </c>
      <c r="M3083" s="25" t="inlineStr">
        <is>
          <t>2.5.12</t>
        </is>
      </c>
      <c r="N3083" s="25">
        <f>IF(J3083&gt;300,1,0)</f>
        <v/>
      </c>
      <c r="O3083" s="25">
        <f>IF(J3083&gt;600,1,0)</f>
        <v/>
      </c>
      <c r="P3083" s="25">
        <f>IF(H3083&gt;0,J3083,"")</f>
        <v/>
      </c>
      <c r="Q3083" s="25">
        <f>TEXT(A3083,"YYYY-MM-DD HH")</f>
        <v/>
      </c>
      <c r="R3083" s="25">
        <f>COUNTIF($Q$2:$Q$5295,Q3083)</f>
        <v/>
      </c>
      <c r="S3083" s="25">
        <f>IF(R3083&lt;=2,"1-2",IF(R3083&lt;=5,"3-5",IF(R3083&lt;=10,"6-10","11+")))</f>
        <v/>
      </c>
    </row>
    <row r="3084">
      <c r="A3084" s="39" t="n">
        <v>46196.32453703704</v>
      </c>
      <c r="B3084" s="25">
        <f>TEXT(A3084,"YYYY-MM")</f>
        <v/>
      </c>
      <c r="C3084" s="25">
        <f>TEXT(A3084,"MMM-YYYY")</f>
        <v/>
      </c>
      <c r="D3084" s="40">
        <f>INT(A3084)-WEEKDAY(A3084,2)+1</f>
        <v/>
      </c>
      <c r="E3084" s="25" t="inlineStr">
        <is>
          <t>ssrinivasan</t>
        </is>
      </c>
      <c r="F3084" s="25" t="n">
        <v>107246</v>
      </c>
      <c r="G3084" s="25" t="n">
        <v>2</v>
      </c>
      <c r="H3084" s="25" t="n">
        <v>14</v>
      </c>
      <c r="I3084" s="25" t="inlineStr">
        <is>
          <t>5 minute(s) and 15 second(s)</t>
        </is>
      </c>
      <c r="J3084" s="25">
        <f>IFERROR(VALUE(TRIM(LEFT(I3084,FIND("minute",I3084)-1)))*60,0)+IFERROR(VALUE(SUBSTITUTE(MID(I3084,IFERROR(FIND("and",I3084)+3,1),20),"second(s)","")),0)</f>
        <v/>
      </c>
      <c r="K3084" s="41">
        <f>J3084/60</f>
        <v/>
      </c>
      <c r="L3084" s="41">
        <f>IFERROR(J3084/H3084,"")</f>
        <v/>
      </c>
      <c r="M3084" s="25" t="inlineStr">
        <is>
          <t>2.5.12</t>
        </is>
      </c>
      <c r="N3084" s="25">
        <f>IF(J3084&gt;300,1,0)</f>
        <v/>
      </c>
      <c r="O3084" s="25">
        <f>IF(J3084&gt;600,1,0)</f>
        <v/>
      </c>
      <c r="P3084" s="25">
        <f>IF(H3084&gt;0,J3084,"")</f>
        <v/>
      </c>
      <c r="Q3084" s="25">
        <f>TEXT(A3084,"YYYY-MM-DD HH")</f>
        <v/>
      </c>
      <c r="R3084" s="25">
        <f>COUNTIF($Q$2:$Q$5295,Q3084)</f>
        <v/>
      </c>
      <c r="S3084" s="25">
        <f>IF(R3084&lt;=2,"1-2",IF(R3084&lt;=5,"3-5",IF(R3084&lt;=10,"6-10","11+")))</f>
        <v/>
      </c>
    </row>
    <row r="3085">
      <c r="A3085" s="39" t="n">
        <v>46196.35304398148</v>
      </c>
      <c r="B3085" s="25">
        <f>TEXT(A3085,"YYYY-MM")</f>
        <v/>
      </c>
      <c r="C3085" s="25">
        <f>TEXT(A3085,"MMM-YYYY")</f>
        <v/>
      </c>
      <c r="D3085" s="40">
        <f>INT(A3085)-WEEKDAY(A3085,2)+1</f>
        <v/>
      </c>
      <c r="E3085" s="25" t="inlineStr">
        <is>
          <t>bverma</t>
        </is>
      </c>
      <c r="F3085" s="25" t="n">
        <v>122908</v>
      </c>
      <c r="G3085" s="25" t="n">
        <v>2</v>
      </c>
      <c r="H3085" s="25" t="n">
        <v>14</v>
      </c>
      <c r="I3085" s="25" t="inlineStr">
        <is>
          <t>4 minute(s) and 11 second(s)</t>
        </is>
      </c>
      <c r="J3085" s="25">
        <f>IFERROR(VALUE(TRIM(LEFT(I3085,FIND("minute",I3085)-1)))*60,0)+IFERROR(VALUE(SUBSTITUTE(MID(I3085,IFERROR(FIND("and",I3085)+3,1),20),"second(s)","")),0)</f>
        <v/>
      </c>
      <c r="K3085" s="41">
        <f>J3085/60</f>
        <v/>
      </c>
      <c r="L3085" s="41">
        <f>IFERROR(J3085/H3085,"")</f>
        <v/>
      </c>
      <c r="M3085" s="25" t="inlineStr">
        <is>
          <t>2.5.12</t>
        </is>
      </c>
      <c r="N3085" s="25">
        <f>IF(J3085&gt;300,1,0)</f>
        <v/>
      </c>
      <c r="O3085" s="25">
        <f>IF(J3085&gt;600,1,0)</f>
        <v/>
      </c>
      <c r="P3085" s="25">
        <f>IF(H3085&gt;0,J3085,"")</f>
        <v/>
      </c>
      <c r="Q3085" s="25">
        <f>TEXT(A3085,"YYYY-MM-DD HH")</f>
        <v/>
      </c>
      <c r="R3085" s="25">
        <f>COUNTIF($Q$2:$Q$5295,Q3085)</f>
        <v/>
      </c>
      <c r="S3085" s="25">
        <f>IF(R3085&lt;=2,"1-2",IF(R3085&lt;=5,"3-5",IF(R3085&lt;=10,"6-10","11+")))</f>
        <v/>
      </c>
    </row>
    <row r="3086">
      <c r="A3086" s="39" t="n">
        <v>46196.35731481481</v>
      </c>
      <c r="B3086" s="25">
        <f>TEXT(A3086,"YYYY-MM")</f>
        <v/>
      </c>
      <c r="C3086" s="25">
        <f>TEXT(A3086,"MMM-YYYY")</f>
        <v/>
      </c>
      <c r="D3086" s="40">
        <f>INT(A3086)-WEEKDAY(A3086,2)+1</f>
        <v/>
      </c>
      <c r="E3086" s="25" t="inlineStr">
        <is>
          <t>sthomas</t>
        </is>
      </c>
      <c r="F3086" s="25" t="n">
        <v>116532</v>
      </c>
      <c r="G3086" s="25" t="n">
        <v>2</v>
      </c>
      <c r="H3086" s="25" t="n">
        <v>12</v>
      </c>
      <c r="I3086" s="25" t="inlineStr">
        <is>
          <t>3 minute(s) and 38 second(s)</t>
        </is>
      </c>
      <c r="J3086" s="25">
        <f>IFERROR(VALUE(TRIM(LEFT(I3086,FIND("minute",I3086)-1)))*60,0)+IFERROR(VALUE(SUBSTITUTE(MID(I3086,IFERROR(FIND("and",I3086)+3,1),20),"second(s)","")),0)</f>
        <v/>
      </c>
      <c r="K3086" s="41">
        <f>J3086/60</f>
        <v/>
      </c>
      <c r="L3086" s="41">
        <f>IFERROR(J3086/H3086,"")</f>
        <v/>
      </c>
      <c r="M3086" s="25" t="inlineStr">
        <is>
          <t>2.5.12</t>
        </is>
      </c>
      <c r="N3086" s="25">
        <f>IF(J3086&gt;300,1,0)</f>
        <v/>
      </c>
      <c r="O3086" s="25">
        <f>IF(J3086&gt;600,1,0)</f>
        <v/>
      </c>
      <c r="P3086" s="25">
        <f>IF(H3086&gt;0,J3086,"")</f>
        <v/>
      </c>
      <c r="Q3086" s="25">
        <f>TEXT(A3086,"YYYY-MM-DD HH")</f>
        <v/>
      </c>
      <c r="R3086" s="25">
        <f>COUNTIF($Q$2:$Q$5295,Q3086)</f>
        <v/>
      </c>
      <c r="S3086" s="25">
        <f>IF(R3086&lt;=2,"1-2",IF(R3086&lt;=5,"3-5",IF(R3086&lt;=10,"6-10","11+")))</f>
        <v/>
      </c>
    </row>
    <row r="3087">
      <c r="A3087" s="39" t="n">
        <v>46196.35791666667</v>
      </c>
      <c r="B3087" s="25">
        <f>TEXT(A3087,"YYYY-MM")</f>
        <v/>
      </c>
      <c r="C3087" s="25">
        <f>TEXT(A3087,"MMM-YYYY")</f>
        <v/>
      </c>
      <c r="D3087" s="40">
        <f>INT(A3087)-WEEKDAY(A3087,2)+1</f>
        <v/>
      </c>
      <c r="E3087" s="25" t="inlineStr">
        <is>
          <t>apriyadarshi</t>
        </is>
      </c>
      <c r="F3087" s="25" t="n">
        <v>114857</v>
      </c>
      <c r="G3087" s="25" t="n">
        <v>2</v>
      </c>
      <c r="H3087" s="25" t="n">
        <v>12</v>
      </c>
      <c r="I3087" s="25" t="inlineStr">
        <is>
          <t>2 minute(s) and 17 second(s)</t>
        </is>
      </c>
      <c r="J3087" s="25">
        <f>IFERROR(VALUE(TRIM(LEFT(I3087,FIND("minute",I3087)-1)))*60,0)+IFERROR(VALUE(SUBSTITUTE(MID(I3087,IFERROR(FIND("and",I3087)+3,1),20),"second(s)","")),0)</f>
        <v/>
      </c>
      <c r="K3087" s="41">
        <f>J3087/60</f>
        <v/>
      </c>
      <c r="L3087" s="41">
        <f>IFERROR(J3087/H3087,"")</f>
        <v/>
      </c>
      <c r="M3087" s="25" t="inlineStr">
        <is>
          <t>2.5.12</t>
        </is>
      </c>
      <c r="N3087" s="25">
        <f>IF(J3087&gt;300,1,0)</f>
        <v/>
      </c>
      <c r="O3087" s="25">
        <f>IF(J3087&gt;600,1,0)</f>
        <v/>
      </c>
      <c r="P3087" s="25">
        <f>IF(H3087&gt;0,J3087,"")</f>
        <v/>
      </c>
      <c r="Q3087" s="25">
        <f>TEXT(A3087,"YYYY-MM-DD HH")</f>
        <v/>
      </c>
      <c r="R3087" s="25">
        <f>COUNTIF($Q$2:$Q$5295,Q3087)</f>
        <v/>
      </c>
      <c r="S3087" s="25">
        <f>IF(R3087&lt;=2,"1-2",IF(R3087&lt;=5,"3-5",IF(R3087&lt;=10,"6-10","11+")))</f>
        <v/>
      </c>
    </row>
    <row r="3088">
      <c r="A3088" s="39" t="n">
        <v>46196.36641203704</v>
      </c>
      <c r="B3088" s="25">
        <f>TEXT(A3088,"YYYY-MM")</f>
        <v/>
      </c>
      <c r="C3088" s="25">
        <f>TEXT(A3088,"MMM-YYYY")</f>
        <v/>
      </c>
      <c r="D3088" s="40">
        <f>INT(A3088)-WEEKDAY(A3088,2)+1</f>
        <v/>
      </c>
      <c r="E3088" s="25" t="inlineStr">
        <is>
          <t>pgautam</t>
        </is>
      </c>
      <c r="F3088" s="25" t="n">
        <v>115481</v>
      </c>
      <c r="G3088" s="25" t="n">
        <v>5</v>
      </c>
      <c r="H3088" s="25" t="n">
        <v>13</v>
      </c>
      <c r="I3088" s="25" t="inlineStr">
        <is>
          <t>4 minute(s) and 51 second(s)</t>
        </is>
      </c>
      <c r="J3088" s="25">
        <f>IFERROR(VALUE(TRIM(LEFT(I3088,FIND("minute",I3088)-1)))*60,0)+IFERROR(VALUE(SUBSTITUTE(MID(I3088,IFERROR(FIND("and",I3088)+3,1),20),"second(s)","")),0)</f>
        <v/>
      </c>
      <c r="K3088" s="41">
        <f>J3088/60</f>
        <v/>
      </c>
      <c r="L3088" s="41">
        <f>IFERROR(J3088/H3088,"")</f>
        <v/>
      </c>
      <c r="M3088" s="25" t="inlineStr">
        <is>
          <t>2.5.12</t>
        </is>
      </c>
      <c r="N3088" s="25">
        <f>IF(J3088&gt;300,1,0)</f>
        <v/>
      </c>
      <c r="O3088" s="25">
        <f>IF(J3088&gt;600,1,0)</f>
        <v/>
      </c>
      <c r="P3088" s="25">
        <f>IF(H3088&gt;0,J3088,"")</f>
        <v/>
      </c>
      <c r="Q3088" s="25">
        <f>TEXT(A3088,"YYYY-MM-DD HH")</f>
        <v/>
      </c>
      <c r="R3088" s="25">
        <f>COUNTIF($Q$2:$Q$5295,Q3088)</f>
        <v/>
      </c>
      <c r="S3088" s="25">
        <f>IF(R3088&lt;=2,"1-2",IF(R3088&lt;=5,"3-5",IF(R3088&lt;=10,"6-10","11+")))</f>
        <v/>
      </c>
    </row>
    <row r="3089">
      <c r="A3089" s="39" t="n">
        <v>46196.37704861111</v>
      </c>
      <c r="B3089" s="25">
        <f>TEXT(A3089,"YYYY-MM")</f>
        <v/>
      </c>
      <c r="C3089" s="25">
        <f>TEXT(A3089,"MMM-YYYY")</f>
        <v/>
      </c>
      <c r="D3089" s="40">
        <f>INT(A3089)-WEEKDAY(A3089,2)+1</f>
        <v/>
      </c>
      <c r="E3089" s="25" t="inlineStr">
        <is>
          <t>ssrinivasan</t>
        </is>
      </c>
      <c r="F3089" s="25" t="n">
        <v>117484</v>
      </c>
      <c r="G3089" s="25" t="n">
        <v>2</v>
      </c>
      <c r="H3089" s="25" t="n">
        <v>6</v>
      </c>
      <c r="I3089" s="25" t="inlineStr">
        <is>
          <t>1 minute(s) and 56 second(s)</t>
        </is>
      </c>
      <c r="J3089" s="25">
        <f>IFERROR(VALUE(TRIM(LEFT(I3089,FIND("minute",I3089)-1)))*60,0)+IFERROR(VALUE(SUBSTITUTE(MID(I3089,IFERROR(FIND("and",I3089)+3,1),20),"second(s)","")),0)</f>
        <v/>
      </c>
      <c r="K3089" s="41">
        <f>J3089/60</f>
        <v/>
      </c>
      <c r="L3089" s="41">
        <f>IFERROR(J3089/H3089,"")</f>
        <v/>
      </c>
      <c r="M3089" s="25" t="inlineStr">
        <is>
          <t>2.5.12</t>
        </is>
      </c>
      <c r="N3089" s="25">
        <f>IF(J3089&gt;300,1,0)</f>
        <v/>
      </c>
      <c r="O3089" s="25">
        <f>IF(J3089&gt;600,1,0)</f>
        <v/>
      </c>
      <c r="P3089" s="25">
        <f>IF(H3089&gt;0,J3089,"")</f>
        <v/>
      </c>
      <c r="Q3089" s="25">
        <f>TEXT(A3089,"YYYY-MM-DD HH")</f>
        <v/>
      </c>
      <c r="R3089" s="25">
        <f>COUNTIF($Q$2:$Q$5295,Q3089)</f>
        <v/>
      </c>
      <c r="S3089" s="25">
        <f>IF(R3089&lt;=2,"1-2",IF(R3089&lt;=5,"3-5",IF(R3089&lt;=10,"6-10","11+")))</f>
        <v/>
      </c>
    </row>
    <row r="3090">
      <c r="A3090" s="39" t="n">
        <v>46196.38708333333</v>
      </c>
      <c r="B3090" s="25">
        <f>TEXT(A3090,"YYYY-MM")</f>
        <v/>
      </c>
      <c r="C3090" s="25">
        <f>TEXT(A3090,"MMM-YYYY")</f>
        <v/>
      </c>
      <c r="D3090" s="40">
        <f>INT(A3090)-WEEKDAY(A3090,2)+1</f>
        <v/>
      </c>
      <c r="E3090" s="25" t="inlineStr">
        <is>
          <t>stiwari</t>
        </is>
      </c>
      <c r="F3090" s="25" t="n">
        <v>126518</v>
      </c>
      <c r="G3090" s="25" t="n">
        <v>2</v>
      </c>
      <c r="H3090" s="25" t="n">
        <v>8</v>
      </c>
      <c r="I3090" s="25" t="inlineStr">
        <is>
          <t>4 minute(s) and 28 second(s)</t>
        </is>
      </c>
      <c r="J3090" s="25">
        <f>IFERROR(VALUE(TRIM(LEFT(I3090,FIND("minute",I3090)-1)))*60,0)+IFERROR(VALUE(SUBSTITUTE(MID(I3090,IFERROR(FIND("and",I3090)+3,1),20),"second(s)","")),0)</f>
        <v/>
      </c>
      <c r="K3090" s="41">
        <f>J3090/60</f>
        <v/>
      </c>
      <c r="L3090" s="41">
        <f>IFERROR(J3090/H3090,"")</f>
        <v/>
      </c>
      <c r="M3090" s="25" t="inlineStr">
        <is>
          <t>2.5.12</t>
        </is>
      </c>
      <c r="N3090" s="25">
        <f>IF(J3090&gt;300,1,0)</f>
        <v/>
      </c>
      <c r="O3090" s="25">
        <f>IF(J3090&gt;600,1,0)</f>
        <v/>
      </c>
      <c r="P3090" s="25">
        <f>IF(H3090&gt;0,J3090,"")</f>
        <v/>
      </c>
      <c r="Q3090" s="25">
        <f>TEXT(A3090,"YYYY-MM-DD HH")</f>
        <v/>
      </c>
      <c r="R3090" s="25">
        <f>COUNTIF($Q$2:$Q$5295,Q3090)</f>
        <v/>
      </c>
      <c r="S3090" s="25">
        <f>IF(R3090&lt;=2,"1-2",IF(R3090&lt;=5,"3-5",IF(R3090&lt;=10,"6-10","11+")))</f>
        <v/>
      </c>
    </row>
    <row r="3091">
      <c r="A3091" s="39" t="n">
        <v>46196.38818287037</v>
      </c>
      <c r="B3091" s="25">
        <f>TEXT(A3091,"YYYY-MM")</f>
        <v/>
      </c>
      <c r="C3091" s="25">
        <f>TEXT(A3091,"MMM-YYYY")</f>
        <v/>
      </c>
      <c r="D3091" s="40">
        <f>INT(A3091)-WEEKDAY(A3091,2)+1</f>
        <v/>
      </c>
      <c r="E3091" s="25" t="inlineStr">
        <is>
          <t>mgupta</t>
        </is>
      </c>
      <c r="F3091" s="25" t="n">
        <v>122285</v>
      </c>
      <c r="G3091" s="25" t="n">
        <v>1</v>
      </c>
      <c r="H3091" s="25" t="n">
        <v>5</v>
      </c>
      <c r="I3091" s="25" t="inlineStr">
        <is>
          <t>1 minute(s) and 5 second(s)</t>
        </is>
      </c>
      <c r="J3091" s="25">
        <f>IFERROR(VALUE(TRIM(LEFT(I3091,FIND("minute",I3091)-1)))*60,0)+IFERROR(VALUE(SUBSTITUTE(MID(I3091,IFERROR(FIND("and",I3091)+3,1),20),"second(s)","")),0)</f>
        <v/>
      </c>
      <c r="K3091" s="41">
        <f>J3091/60</f>
        <v/>
      </c>
      <c r="L3091" s="41">
        <f>IFERROR(J3091/H3091,"")</f>
        <v/>
      </c>
      <c r="M3091" s="25" t="inlineStr">
        <is>
          <t>2.5.12</t>
        </is>
      </c>
      <c r="N3091" s="25">
        <f>IF(J3091&gt;300,1,0)</f>
        <v/>
      </c>
      <c r="O3091" s="25">
        <f>IF(J3091&gt;600,1,0)</f>
        <v/>
      </c>
      <c r="P3091" s="25">
        <f>IF(H3091&gt;0,J3091,"")</f>
        <v/>
      </c>
      <c r="Q3091" s="25">
        <f>TEXT(A3091,"YYYY-MM-DD HH")</f>
        <v/>
      </c>
      <c r="R3091" s="25">
        <f>COUNTIF($Q$2:$Q$5295,Q3091)</f>
        <v/>
      </c>
      <c r="S3091" s="25">
        <f>IF(R3091&lt;=2,"1-2",IF(R3091&lt;=5,"3-5",IF(R3091&lt;=10,"6-10","11+")))</f>
        <v/>
      </c>
    </row>
    <row r="3092">
      <c r="A3092" s="39" t="n">
        <v>46196.39376157407</v>
      </c>
      <c r="B3092" s="25">
        <f>TEXT(A3092,"YYYY-MM")</f>
        <v/>
      </c>
      <c r="C3092" s="25">
        <f>TEXT(A3092,"MMM-YYYY")</f>
        <v/>
      </c>
      <c r="D3092" s="40">
        <f>INT(A3092)-WEEKDAY(A3092,2)+1</f>
        <v/>
      </c>
      <c r="E3092" s="25" t="inlineStr">
        <is>
          <t>sdey</t>
        </is>
      </c>
      <c r="F3092" s="25" t="n">
        <v>95339</v>
      </c>
      <c r="G3092" s="25" t="n">
        <v>1</v>
      </c>
      <c r="H3092" s="25" t="n">
        <v>5</v>
      </c>
      <c r="I3092" s="25" t="inlineStr">
        <is>
          <t>2 minute(s) and 26 second(s)</t>
        </is>
      </c>
      <c r="J3092" s="25">
        <f>IFERROR(VALUE(TRIM(LEFT(I3092,FIND("minute",I3092)-1)))*60,0)+IFERROR(VALUE(SUBSTITUTE(MID(I3092,IFERROR(FIND("and",I3092)+3,1),20),"second(s)","")),0)</f>
        <v/>
      </c>
      <c r="K3092" s="41">
        <f>J3092/60</f>
        <v/>
      </c>
      <c r="L3092" s="41">
        <f>IFERROR(J3092/H3092,"")</f>
        <v/>
      </c>
      <c r="M3092" s="25" t="inlineStr">
        <is>
          <t>2.5.12</t>
        </is>
      </c>
      <c r="N3092" s="25">
        <f>IF(J3092&gt;300,1,0)</f>
        <v/>
      </c>
      <c r="O3092" s="25">
        <f>IF(J3092&gt;600,1,0)</f>
        <v/>
      </c>
      <c r="P3092" s="25">
        <f>IF(H3092&gt;0,J3092,"")</f>
        <v/>
      </c>
      <c r="Q3092" s="25">
        <f>TEXT(A3092,"YYYY-MM-DD HH")</f>
        <v/>
      </c>
      <c r="R3092" s="25">
        <f>COUNTIF($Q$2:$Q$5295,Q3092)</f>
        <v/>
      </c>
      <c r="S3092" s="25">
        <f>IF(R3092&lt;=2,"1-2",IF(R3092&lt;=5,"3-5",IF(R3092&lt;=10,"6-10","11+")))</f>
        <v/>
      </c>
    </row>
    <row r="3093">
      <c r="A3093" s="39" t="n">
        <v>46196.40019675926</v>
      </c>
      <c r="B3093" s="25">
        <f>TEXT(A3093,"YYYY-MM")</f>
        <v/>
      </c>
      <c r="C3093" s="25">
        <f>TEXT(A3093,"MMM-YYYY")</f>
        <v/>
      </c>
      <c r="D3093" s="40">
        <f>INT(A3093)-WEEKDAY(A3093,2)+1</f>
        <v/>
      </c>
      <c r="E3093" s="25" t="inlineStr">
        <is>
          <t>emishra</t>
        </is>
      </c>
      <c r="F3093" s="25" t="n">
        <v>121913</v>
      </c>
      <c r="G3093" s="25" t="n">
        <v>4</v>
      </c>
      <c r="H3093" s="25" t="n">
        <v>28</v>
      </c>
      <c r="I3093" s="25" t="inlineStr">
        <is>
          <t>6 minute(s) and 19 second(s)</t>
        </is>
      </c>
      <c r="J3093" s="25">
        <f>IFERROR(VALUE(TRIM(LEFT(I3093,FIND("minute",I3093)-1)))*60,0)+IFERROR(VALUE(SUBSTITUTE(MID(I3093,IFERROR(FIND("and",I3093)+3,1),20),"second(s)","")),0)</f>
        <v/>
      </c>
      <c r="K3093" s="41">
        <f>J3093/60</f>
        <v/>
      </c>
      <c r="L3093" s="41">
        <f>IFERROR(J3093/H3093,"")</f>
        <v/>
      </c>
      <c r="M3093" s="25" t="inlineStr">
        <is>
          <t>2.5.12</t>
        </is>
      </c>
      <c r="N3093" s="25">
        <f>IF(J3093&gt;300,1,0)</f>
        <v/>
      </c>
      <c r="O3093" s="25">
        <f>IF(J3093&gt;600,1,0)</f>
        <v/>
      </c>
      <c r="P3093" s="25">
        <f>IF(H3093&gt;0,J3093,"")</f>
        <v/>
      </c>
      <c r="Q3093" s="25">
        <f>TEXT(A3093,"YYYY-MM-DD HH")</f>
        <v/>
      </c>
      <c r="R3093" s="25">
        <f>COUNTIF($Q$2:$Q$5295,Q3093)</f>
        <v/>
      </c>
      <c r="S3093" s="25">
        <f>IF(R3093&lt;=2,"1-2",IF(R3093&lt;=5,"3-5",IF(R3093&lt;=10,"6-10","11+")))</f>
        <v/>
      </c>
    </row>
    <row r="3094">
      <c r="A3094" s="39" t="n">
        <v>46196.4075</v>
      </c>
      <c r="B3094" s="25">
        <f>TEXT(A3094,"YYYY-MM")</f>
        <v/>
      </c>
      <c r="C3094" s="25">
        <f>TEXT(A3094,"MMM-YYYY")</f>
        <v/>
      </c>
      <c r="D3094" s="40">
        <f>INT(A3094)-WEEKDAY(A3094,2)+1</f>
        <v/>
      </c>
      <c r="E3094" s="25" t="inlineStr">
        <is>
          <t>stiwari</t>
        </is>
      </c>
      <c r="F3094" s="25" t="n">
        <v>105542</v>
      </c>
      <c r="G3094" s="25" t="n">
        <v>1</v>
      </c>
      <c r="H3094" s="25" t="n">
        <v>5</v>
      </c>
      <c r="I3094" s="25" t="inlineStr">
        <is>
          <t>1 minute(s) and 58 second(s)</t>
        </is>
      </c>
      <c r="J3094" s="25">
        <f>IFERROR(VALUE(TRIM(LEFT(I3094,FIND("minute",I3094)-1)))*60,0)+IFERROR(VALUE(SUBSTITUTE(MID(I3094,IFERROR(FIND("and",I3094)+3,1),20),"second(s)","")),0)</f>
        <v/>
      </c>
      <c r="K3094" s="41">
        <f>J3094/60</f>
        <v/>
      </c>
      <c r="L3094" s="41">
        <f>IFERROR(J3094/H3094,"")</f>
        <v/>
      </c>
      <c r="M3094" s="25" t="inlineStr">
        <is>
          <t>2.5.12</t>
        </is>
      </c>
      <c r="N3094" s="25">
        <f>IF(J3094&gt;300,1,0)</f>
        <v/>
      </c>
      <c r="O3094" s="25">
        <f>IF(J3094&gt;600,1,0)</f>
        <v/>
      </c>
      <c r="P3094" s="25">
        <f>IF(H3094&gt;0,J3094,"")</f>
        <v/>
      </c>
      <c r="Q3094" s="25">
        <f>TEXT(A3094,"YYYY-MM-DD HH")</f>
        <v/>
      </c>
      <c r="R3094" s="25">
        <f>COUNTIF($Q$2:$Q$5295,Q3094)</f>
        <v/>
      </c>
      <c r="S3094" s="25">
        <f>IF(R3094&lt;=2,"1-2",IF(R3094&lt;=5,"3-5",IF(R3094&lt;=10,"6-10","11+")))</f>
        <v/>
      </c>
    </row>
    <row r="3095">
      <c r="A3095" s="39" t="n">
        <v>46196.41876157407</v>
      </c>
      <c r="B3095" s="25">
        <f>TEXT(A3095,"YYYY-MM")</f>
        <v/>
      </c>
      <c r="C3095" s="25">
        <f>TEXT(A3095,"MMM-YYYY")</f>
        <v/>
      </c>
      <c r="D3095" s="40">
        <f>INT(A3095)-WEEKDAY(A3095,2)+1</f>
        <v/>
      </c>
      <c r="E3095" s="25" t="inlineStr">
        <is>
          <t>tkarmakar</t>
        </is>
      </c>
      <c r="F3095" s="25" t="n">
        <v>113259</v>
      </c>
      <c r="G3095" s="25" t="n">
        <v>5</v>
      </c>
      <c r="H3095" s="25" t="n">
        <v>27</v>
      </c>
      <c r="I3095" s="25" t="inlineStr">
        <is>
          <t>6 minute(s) and 28 second(s)</t>
        </is>
      </c>
      <c r="J3095" s="25">
        <f>IFERROR(VALUE(TRIM(LEFT(I3095,FIND("minute",I3095)-1)))*60,0)+IFERROR(VALUE(SUBSTITUTE(MID(I3095,IFERROR(FIND("and",I3095)+3,1),20),"second(s)","")),0)</f>
        <v/>
      </c>
      <c r="K3095" s="41">
        <f>J3095/60</f>
        <v/>
      </c>
      <c r="L3095" s="41">
        <f>IFERROR(J3095/H3095,"")</f>
        <v/>
      </c>
      <c r="M3095" s="25" t="inlineStr">
        <is>
          <t>2.5.12</t>
        </is>
      </c>
      <c r="N3095" s="25">
        <f>IF(J3095&gt;300,1,0)</f>
        <v/>
      </c>
      <c r="O3095" s="25">
        <f>IF(J3095&gt;600,1,0)</f>
        <v/>
      </c>
      <c r="P3095" s="25">
        <f>IF(H3095&gt;0,J3095,"")</f>
        <v/>
      </c>
      <c r="Q3095" s="25">
        <f>TEXT(A3095,"YYYY-MM-DD HH")</f>
        <v/>
      </c>
      <c r="R3095" s="25">
        <f>COUNTIF($Q$2:$Q$5295,Q3095)</f>
        <v/>
      </c>
      <c r="S3095" s="25">
        <f>IF(R3095&lt;=2,"1-2",IF(R3095&lt;=5,"3-5",IF(R3095&lt;=10,"6-10","11+")))</f>
        <v/>
      </c>
    </row>
    <row r="3096">
      <c r="A3096" s="39" t="n">
        <v>46196.4269212963</v>
      </c>
      <c r="B3096" s="25">
        <f>TEXT(A3096,"YYYY-MM")</f>
        <v/>
      </c>
      <c r="C3096" s="25">
        <f>TEXT(A3096,"MMM-YYYY")</f>
        <v/>
      </c>
      <c r="D3096" s="40">
        <f>INT(A3096)-WEEKDAY(A3096,2)+1</f>
        <v/>
      </c>
      <c r="E3096" s="25" t="inlineStr">
        <is>
          <t>hsindwani</t>
        </is>
      </c>
      <c r="F3096" s="25" t="n">
        <v>115670</v>
      </c>
      <c r="G3096" s="25" t="n">
        <v>4</v>
      </c>
      <c r="H3096" s="25" t="n">
        <v>28</v>
      </c>
      <c r="I3096" s="25" t="inlineStr">
        <is>
          <t>14 minute(s) and 44 second(s)</t>
        </is>
      </c>
      <c r="J3096" s="25">
        <f>IFERROR(VALUE(TRIM(LEFT(I3096,FIND("minute",I3096)-1)))*60,0)+IFERROR(VALUE(SUBSTITUTE(MID(I3096,IFERROR(FIND("and",I3096)+3,1),20),"second(s)","")),0)</f>
        <v/>
      </c>
      <c r="K3096" s="41">
        <f>J3096/60</f>
        <v/>
      </c>
      <c r="L3096" s="41">
        <f>IFERROR(J3096/H3096,"")</f>
        <v/>
      </c>
      <c r="M3096" s="25" t="inlineStr">
        <is>
          <t>2.5.12</t>
        </is>
      </c>
      <c r="N3096" s="25">
        <f>IF(J3096&gt;300,1,0)</f>
        <v/>
      </c>
      <c r="O3096" s="25">
        <f>IF(J3096&gt;600,1,0)</f>
        <v/>
      </c>
      <c r="P3096" s="25">
        <f>IF(H3096&gt;0,J3096,"")</f>
        <v/>
      </c>
      <c r="Q3096" s="25">
        <f>TEXT(A3096,"YYYY-MM-DD HH")</f>
        <v/>
      </c>
      <c r="R3096" s="25">
        <f>COUNTIF($Q$2:$Q$5295,Q3096)</f>
        <v/>
      </c>
      <c r="S3096" s="25">
        <f>IF(R3096&lt;=2,"1-2",IF(R3096&lt;=5,"3-5",IF(R3096&lt;=10,"6-10","11+")))</f>
        <v/>
      </c>
    </row>
    <row r="3097">
      <c r="A3097" s="39" t="n">
        <v>46196.43605324074</v>
      </c>
      <c r="B3097" s="25">
        <f>TEXT(A3097,"YYYY-MM")</f>
        <v/>
      </c>
      <c r="C3097" s="25">
        <f>TEXT(A3097,"MMM-YYYY")</f>
        <v/>
      </c>
      <c r="D3097" s="40">
        <f>INT(A3097)-WEEKDAY(A3097,2)+1</f>
        <v/>
      </c>
      <c r="E3097" s="25" t="inlineStr">
        <is>
          <t>adey</t>
        </is>
      </c>
      <c r="F3097" s="25" t="n">
        <v>108748</v>
      </c>
      <c r="G3097" s="25" t="n">
        <v>1</v>
      </c>
      <c r="H3097" s="25" t="n">
        <v>5</v>
      </c>
      <c r="I3097" s="25" t="inlineStr">
        <is>
          <t>2 minute(s) and 11 second(s)</t>
        </is>
      </c>
      <c r="J3097" s="25">
        <f>IFERROR(VALUE(TRIM(LEFT(I3097,FIND("minute",I3097)-1)))*60,0)+IFERROR(VALUE(SUBSTITUTE(MID(I3097,IFERROR(FIND("and",I3097)+3,1),20),"second(s)","")),0)</f>
        <v/>
      </c>
      <c r="K3097" s="41">
        <f>J3097/60</f>
        <v/>
      </c>
      <c r="L3097" s="41">
        <f>IFERROR(J3097/H3097,"")</f>
        <v/>
      </c>
      <c r="M3097" s="25" t="inlineStr">
        <is>
          <t>2.5.12</t>
        </is>
      </c>
      <c r="N3097" s="25">
        <f>IF(J3097&gt;300,1,0)</f>
        <v/>
      </c>
      <c r="O3097" s="25">
        <f>IF(J3097&gt;600,1,0)</f>
        <v/>
      </c>
      <c r="P3097" s="25">
        <f>IF(H3097&gt;0,J3097,"")</f>
        <v/>
      </c>
      <c r="Q3097" s="25">
        <f>TEXT(A3097,"YYYY-MM-DD HH")</f>
        <v/>
      </c>
      <c r="R3097" s="25">
        <f>COUNTIF($Q$2:$Q$5295,Q3097)</f>
        <v/>
      </c>
      <c r="S3097" s="25">
        <f>IF(R3097&lt;=2,"1-2",IF(R3097&lt;=5,"3-5",IF(R3097&lt;=10,"6-10","11+")))</f>
        <v/>
      </c>
    </row>
    <row r="3098">
      <c r="A3098" s="39" t="n">
        <v>46196.44799768519</v>
      </c>
      <c r="B3098" s="25">
        <f>TEXT(A3098,"YYYY-MM")</f>
        <v/>
      </c>
      <c r="C3098" s="25">
        <f>TEXT(A3098,"MMM-YYYY")</f>
        <v/>
      </c>
      <c r="D3098" s="40">
        <f>INT(A3098)-WEEKDAY(A3098,2)+1</f>
        <v/>
      </c>
      <c r="E3098" s="25" t="inlineStr">
        <is>
          <t>emishra</t>
        </is>
      </c>
      <c r="F3098" s="25" t="n">
        <v>121907</v>
      </c>
      <c r="G3098" s="25" t="n">
        <v>1</v>
      </c>
      <c r="H3098" s="25" t="n">
        <v>5</v>
      </c>
      <c r="I3098" s="25" t="inlineStr">
        <is>
          <t>1 minute(s) and 16 second(s)</t>
        </is>
      </c>
      <c r="J3098" s="25">
        <f>IFERROR(VALUE(TRIM(LEFT(I3098,FIND("minute",I3098)-1)))*60,0)+IFERROR(VALUE(SUBSTITUTE(MID(I3098,IFERROR(FIND("and",I3098)+3,1),20),"second(s)","")),0)</f>
        <v/>
      </c>
      <c r="K3098" s="41">
        <f>J3098/60</f>
        <v/>
      </c>
      <c r="L3098" s="41">
        <f>IFERROR(J3098/H3098,"")</f>
        <v/>
      </c>
      <c r="M3098" s="25" t="inlineStr">
        <is>
          <t>2.5.12</t>
        </is>
      </c>
      <c r="N3098" s="25">
        <f>IF(J3098&gt;300,1,0)</f>
        <v/>
      </c>
      <c r="O3098" s="25">
        <f>IF(J3098&gt;600,1,0)</f>
        <v/>
      </c>
      <c r="P3098" s="25">
        <f>IF(H3098&gt;0,J3098,"")</f>
        <v/>
      </c>
      <c r="Q3098" s="25">
        <f>TEXT(A3098,"YYYY-MM-DD HH")</f>
        <v/>
      </c>
      <c r="R3098" s="25">
        <f>COUNTIF($Q$2:$Q$5295,Q3098)</f>
        <v/>
      </c>
      <c r="S3098" s="25">
        <f>IF(R3098&lt;=2,"1-2",IF(R3098&lt;=5,"3-5",IF(R3098&lt;=10,"6-10","11+")))</f>
        <v/>
      </c>
    </row>
    <row r="3099">
      <c r="A3099" s="39" t="n">
        <v>46196.45592592593</v>
      </c>
      <c r="B3099" s="25">
        <f>TEXT(A3099,"YYYY-MM")</f>
        <v/>
      </c>
      <c r="C3099" s="25">
        <f>TEXT(A3099,"MMM-YYYY")</f>
        <v/>
      </c>
      <c r="D3099" s="40">
        <f>INT(A3099)-WEEKDAY(A3099,2)+1</f>
        <v/>
      </c>
      <c r="E3099" s="25" t="inlineStr">
        <is>
          <t>pgautam</t>
        </is>
      </c>
      <c r="F3099" s="25" t="n">
        <v>122816</v>
      </c>
      <c r="G3099" s="25" t="n">
        <v>4</v>
      </c>
      <c r="H3099" s="25" t="n">
        <v>16</v>
      </c>
      <c r="I3099" s="25" t="inlineStr">
        <is>
          <t>4 minute(s) and 16 second(s)</t>
        </is>
      </c>
      <c r="J3099" s="25">
        <f>IFERROR(VALUE(TRIM(LEFT(I3099,FIND("minute",I3099)-1)))*60,0)+IFERROR(VALUE(SUBSTITUTE(MID(I3099,IFERROR(FIND("and",I3099)+3,1),20),"second(s)","")),0)</f>
        <v/>
      </c>
      <c r="K3099" s="41">
        <f>J3099/60</f>
        <v/>
      </c>
      <c r="L3099" s="41">
        <f>IFERROR(J3099/H3099,"")</f>
        <v/>
      </c>
      <c r="M3099" s="25" t="inlineStr">
        <is>
          <t>2.5.12</t>
        </is>
      </c>
      <c r="N3099" s="25">
        <f>IF(J3099&gt;300,1,0)</f>
        <v/>
      </c>
      <c r="O3099" s="25">
        <f>IF(J3099&gt;600,1,0)</f>
        <v/>
      </c>
      <c r="P3099" s="25">
        <f>IF(H3099&gt;0,J3099,"")</f>
        <v/>
      </c>
      <c r="Q3099" s="25">
        <f>TEXT(A3099,"YYYY-MM-DD HH")</f>
        <v/>
      </c>
      <c r="R3099" s="25">
        <f>COUNTIF($Q$2:$Q$5295,Q3099)</f>
        <v/>
      </c>
      <c r="S3099" s="25">
        <f>IF(R3099&lt;=2,"1-2",IF(R3099&lt;=5,"3-5",IF(R3099&lt;=10,"6-10","11+")))</f>
        <v/>
      </c>
    </row>
    <row r="3100">
      <c r="A3100" s="39" t="n">
        <v>46196.47170138889</v>
      </c>
      <c r="B3100" s="25">
        <f>TEXT(A3100,"YYYY-MM")</f>
        <v/>
      </c>
      <c r="C3100" s="25">
        <f>TEXT(A3100,"MMM-YYYY")</f>
        <v/>
      </c>
      <c r="D3100" s="40">
        <f>INT(A3100)-WEEKDAY(A3100,2)+1</f>
        <v/>
      </c>
      <c r="E3100" s="25" t="inlineStr">
        <is>
          <t>tkarmakar</t>
        </is>
      </c>
      <c r="F3100" s="25" t="n">
        <v>109600</v>
      </c>
      <c r="G3100" s="25" t="n">
        <v>1</v>
      </c>
      <c r="H3100" s="25" t="n">
        <v>5</v>
      </c>
      <c r="I3100" s="25" t="inlineStr">
        <is>
          <t>2 minute(s) and 29 second(s)</t>
        </is>
      </c>
      <c r="J3100" s="25">
        <f>IFERROR(VALUE(TRIM(LEFT(I3100,FIND("minute",I3100)-1)))*60,0)+IFERROR(VALUE(SUBSTITUTE(MID(I3100,IFERROR(FIND("and",I3100)+3,1),20),"second(s)","")),0)</f>
        <v/>
      </c>
      <c r="K3100" s="41">
        <f>J3100/60</f>
        <v/>
      </c>
      <c r="L3100" s="41">
        <f>IFERROR(J3100/H3100,"")</f>
        <v/>
      </c>
      <c r="M3100" s="25" t="inlineStr">
        <is>
          <t>2.5.12</t>
        </is>
      </c>
      <c r="N3100" s="25">
        <f>IF(J3100&gt;300,1,0)</f>
        <v/>
      </c>
      <c r="O3100" s="25">
        <f>IF(J3100&gt;600,1,0)</f>
        <v/>
      </c>
      <c r="P3100" s="25">
        <f>IF(H3100&gt;0,J3100,"")</f>
        <v/>
      </c>
      <c r="Q3100" s="25">
        <f>TEXT(A3100,"YYYY-MM-DD HH")</f>
        <v/>
      </c>
      <c r="R3100" s="25">
        <f>COUNTIF($Q$2:$Q$5295,Q3100)</f>
        <v/>
      </c>
      <c r="S3100" s="25">
        <f>IF(R3100&lt;=2,"1-2",IF(R3100&lt;=5,"3-5",IF(R3100&lt;=10,"6-10","11+")))</f>
        <v/>
      </c>
    </row>
    <row r="3101">
      <c r="A3101" s="39" t="n">
        <v>46196.47584490741</v>
      </c>
      <c r="B3101" s="25">
        <f>TEXT(A3101,"YYYY-MM")</f>
        <v/>
      </c>
      <c r="C3101" s="25">
        <f>TEXT(A3101,"MMM-YYYY")</f>
        <v/>
      </c>
      <c r="D3101" s="40">
        <f>INT(A3101)-WEEKDAY(A3101,2)+1</f>
        <v/>
      </c>
      <c r="E3101" s="25" t="inlineStr">
        <is>
          <t>emishra</t>
        </is>
      </c>
      <c r="F3101" s="25" t="n">
        <v>122783</v>
      </c>
      <c r="G3101" s="25" t="n">
        <v>1</v>
      </c>
      <c r="H3101" s="25" t="n">
        <v>7</v>
      </c>
      <c r="I3101" s="25" t="inlineStr">
        <is>
          <t>1 minute(s) and 31 second(s)</t>
        </is>
      </c>
      <c r="J3101" s="25">
        <f>IFERROR(VALUE(TRIM(LEFT(I3101,FIND("minute",I3101)-1)))*60,0)+IFERROR(VALUE(SUBSTITUTE(MID(I3101,IFERROR(FIND("and",I3101)+3,1),20),"second(s)","")),0)</f>
        <v/>
      </c>
      <c r="K3101" s="41">
        <f>J3101/60</f>
        <v/>
      </c>
      <c r="L3101" s="41">
        <f>IFERROR(J3101/H3101,"")</f>
        <v/>
      </c>
      <c r="M3101" s="25" t="inlineStr">
        <is>
          <t>2.5.12</t>
        </is>
      </c>
      <c r="N3101" s="25">
        <f>IF(J3101&gt;300,1,0)</f>
        <v/>
      </c>
      <c r="O3101" s="25">
        <f>IF(J3101&gt;600,1,0)</f>
        <v/>
      </c>
      <c r="P3101" s="25">
        <f>IF(H3101&gt;0,J3101,"")</f>
        <v/>
      </c>
      <c r="Q3101" s="25">
        <f>TEXT(A3101,"YYYY-MM-DD HH")</f>
        <v/>
      </c>
      <c r="R3101" s="25">
        <f>COUNTIF($Q$2:$Q$5295,Q3101)</f>
        <v/>
      </c>
      <c r="S3101" s="25">
        <f>IF(R3101&lt;=2,"1-2",IF(R3101&lt;=5,"3-5",IF(R3101&lt;=10,"6-10","11+")))</f>
        <v/>
      </c>
    </row>
    <row r="3102">
      <c r="A3102" s="39" t="n">
        <v>46196.50604166667</v>
      </c>
      <c r="B3102" s="25">
        <f>TEXT(A3102,"YYYY-MM")</f>
        <v/>
      </c>
      <c r="C3102" s="25">
        <f>TEXT(A3102,"MMM-YYYY")</f>
        <v/>
      </c>
      <c r="D3102" s="40">
        <f>INT(A3102)-WEEKDAY(A3102,2)+1</f>
        <v/>
      </c>
      <c r="E3102" s="25" t="inlineStr">
        <is>
          <t>ssrinivasan</t>
        </is>
      </c>
      <c r="F3102" s="25" t="n">
        <v>122402</v>
      </c>
      <c r="G3102" s="25" t="n">
        <v>2</v>
      </c>
      <c r="H3102" s="25" t="n">
        <v>8</v>
      </c>
      <c r="I3102" s="25" t="inlineStr">
        <is>
          <t>2 minute(s) and 55 second(s)</t>
        </is>
      </c>
      <c r="J3102" s="25">
        <f>IFERROR(VALUE(TRIM(LEFT(I3102,FIND("minute",I3102)-1)))*60,0)+IFERROR(VALUE(SUBSTITUTE(MID(I3102,IFERROR(FIND("and",I3102)+3,1),20),"second(s)","")),0)</f>
        <v/>
      </c>
      <c r="K3102" s="41">
        <f>J3102/60</f>
        <v/>
      </c>
      <c r="L3102" s="41">
        <f>IFERROR(J3102/H3102,"")</f>
        <v/>
      </c>
      <c r="M3102" s="25" t="inlineStr">
        <is>
          <t>2.5.12</t>
        </is>
      </c>
      <c r="N3102" s="25">
        <f>IF(J3102&gt;300,1,0)</f>
        <v/>
      </c>
      <c r="O3102" s="25">
        <f>IF(J3102&gt;600,1,0)</f>
        <v/>
      </c>
      <c r="P3102" s="25">
        <f>IF(H3102&gt;0,J3102,"")</f>
        <v/>
      </c>
      <c r="Q3102" s="25">
        <f>TEXT(A3102,"YYYY-MM-DD HH")</f>
        <v/>
      </c>
      <c r="R3102" s="25">
        <f>COUNTIF($Q$2:$Q$5295,Q3102)</f>
        <v/>
      </c>
      <c r="S3102" s="25">
        <f>IF(R3102&lt;=2,"1-2",IF(R3102&lt;=5,"3-5",IF(R3102&lt;=10,"6-10","11+")))</f>
        <v/>
      </c>
    </row>
    <row r="3103">
      <c r="A3103" s="39" t="n">
        <v>46196.51171296297</v>
      </c>
      <c r="B3103" s="25">
        <f>TEXT(A3103,"YYYY-MM")</f>
        <v/>
      </c>
      <c r="C3103" s="25">
        <f>TEXT(A3103,"MMM-YYYY")</f>
        <v/>
      </c>
      <c r="D3103" s="40">
        <f>INT(A3103)-WEEKDAY(A3103,2)+1</f>
        <v/>
      </c>
      <c r="E3103" s="25" t="inlineStr">
        <is>
          <t>sdey</t>
        </is>
      </c>
      <c r="F3103" s="25" t="n">
        <v>106627</v>
      </c>
      <c r="G3103" s="25" t="n">
        <v>5</v>
      </c>
      <c r="H3103" s="25" t="n">
        <v>19</v>
      </c>
      <c r="I3103" s="25" t="inlineStr">
        <is>
          <t>6 minute(s) and 43 second(s)</t>
        </is>
      </c>
      <c r="J3103" s="25">
        <f>IFERROR(VALUE(TRIM(LEFT(I3103,FIND("minute",I3103)-1)))*60,0)+IFERROR(VALUE(SUBSTITUTE(MID(I3103,IFERROR(FIND("and",I3103)+3,1),20),"second(s)","")),0)</f>
        <v/>
      </c>
      <c r="K3103" s="41">
        <f>J3103/60</f>
        <v/>
      </c>
      <c r="L3103" s="41">
        <f>IFERROR(J3103/H3103,"")</f>
        <v/>
      </c>
      <c r="M3103" s="25" t="inlineStr">
        <is>
          <t>2.5.12</t>
        </is>
      </c>
      <c r="N3103" s="25">
        <f>IF(J3103&gt;300,1,0)</f>
        <v/>
      </c>
      <c r="O3103" s="25">
        <f>IF(J3103&gt;600,1,0)</f>
        <v/>
      </c>
      <c r="P3103" s="25">
        <f>IF(H3103&gt;0,J3103,"")</f>
        <v/>
      </c>
      <c r="Q3103" s="25">
        <f>TEXT(A3103,"YYYY-MM-DD HH")</f>
        <v/>
      </c>
      <c r="R3103" s="25">
        <f>COUNTIF($Q$2:$Q$5295,Q3103)</f>
        <v/>
      </c>
      <c r="S3103" s="25">
        <f>IF(R3103&lt;=2,"1-2",IF(R3103&lt;=5,"3-5",IF(R3103&lt;=10,"6-10","11+")))</f>
        <v/>
      </c>
    </row>
    <row r="3104">
      <c r="A3104" s="39" t="n">
        <v>46196.51238425926</v>
      </c>
      <c r="B3104" s="25">
        <f>TEXT(A3104,"YYYY-MM")</f>
        <v/>
      </c>
      <c r="C3104" s="25">
        <f>TEXT(A3104,"MMM-YYYY")</f>
        <v/>
      </c>
      <c r="D3104" s="40">
        <f>INT(A3104)-WEEKDAY(A3104,2)+1</f>
        <v/>
      </c>
      <c r="E3104" s="25" t="inlineStr">
        <is>
          <t>mgupta</t>
        </is>
      </c>
      <c r="F3104" s="25" t="n">
        <v>113818</v>
      </c>
      <c r="G3104" s="25" t="n">
        <v>3</v>
      </c>
      <c r="H3104" s="25" t="n">
        <v>15</v>
      </c>
      <c r="I3104" s="25" t="inlineStr">
        <is>
          <t>3 minute(s) and 24 second(s)</t>
        </is>
      </c>
      <c r="J3104" s="25">
        <f>IFERROR(VALUE(TRIM(LEFT(I3104,FIND("minute",I3104)-1)))*60,0)+IFERROR(VALUE(SUBSTITUTE(MID(I3104,IFERROR(FIND("and",I3104)+3,1),20),"second(s)","")),0)</f>
        <v/>
      </c>
      <c r="K3104" s="41">
        <f>J3104/60</f>
        <v/>
      </c>
      <c r="L3104" s="41">
        <f>IFERROR(J3104/H3104,"")</f>
        <v/>
      </c>
      <c r="M3104" s="25" t="inlineStr">
        <is>
          <t>2.5.12</t>
        </is>
      </c>
      <c r="N3104" s="25">
        <f>IF(J3104&gt;300,1,0)</f>
        <v/>
      </c>
      <c r="O3104" s="25">
        <f>IF(J3104&gt;600,1,0)</f>
        <v/>
      </c>
      <c r="P3104" s="25">
        <f>IF(H3104&gt;0,J3104,"")</f>
        <v/>
      </c>
      <c r="Q3104" s="25">
        <f>TEXT(A3104,"YYYY-MM-DD HH")</f>
        <v/>
      </c>
      <c r="R3104" s="25">
        <f>COUNTIF($Q$2:$Q$5295,Q3104)</f>
        <v/>
      </c>
      <c r="S3104" s="25">
        <f>IF(R3104&lt;=2,"1-2",IF(R3104&lt;=5,"3-5",IF(R3104&lt;=10,"6-10","11+")))</f>
        <v/>
      </c>
    </row>
    <row r="3105">
      <c r="A3105" s="39" t="n">
        <v>46196.51559027778</v>
      </c>
      <c r="B3105" s="25">
        <f>TEXT(A3105,"YYYY-MM")</f>
        <v/>
      </c>
      <c r="C3105" s="25">
        <f>TEXT(A3105,"MMM-YYYY")</f>
        <v/>
      </c>
      <c r="D3105" s="40">
        <f>INT(A3105)-WEEKDAY(A3105,2)+1</f>
        <v/>
      </c>
      <c r="E3105" s="25" t="inlineStr">
        <is>
          <t>aghosh</t>
        </is>
      </c>
      <c r="F3105" s="25" t="n">
        <v>95477</v>
      </c>
      <c r="G3105" s="25" t="n">
        <v>3</v>
      </c>
      <c r="H3105" s="25" t="n">
        <v>13</v>
      </c>
      <c r="I3105" s="25" t="inlineStr">
        <is>
          <t>3 minute(s) and 36 second(s)</t>
        </is>
      </c>
      <c r="J3105" s="25">
        <f>IFERROR(VALUE(TRIM(LEFT(I3105,FIND("minute",I3105)-1)))*60,0)+IFERROR(VALUE(SUBSTITUTE(MID(I3105,IFERROR(FIND("and",I3105)+3,1),20),"second(s)","")),0)</f>
        <v/>
      </c>
      <c r="K3105" s="41">
        <f>J3105/60</f>
        <v/>
      </c>
      <c r="L3105" s="41">
        <f>IFERROR(J3105/H3105,"")</f>
        <v/>
      </c>
      <c r="M3105" s="25" t="inlineStr">
        <is>
          <t>2.5.12</t>
        </is>
      </c>
      <c r="N3105" s="25">
        <f>IF(J3105&gt;300,1,0)</f>
        <v/>
      </c>
      <c r="O3105" s="25">
        <f>IF(J3105&gt;600,1,0)</f>
        <v/>
      </c>
      <c r="P3105" s="25">
        <f>IF(H3105&gt;0,J3105,"")</f>
        <v/>
      </c>
      <c r="Q3105" s="25">
        <f>TEXT(A3105,"YYYY-MM-DD HH")</f>
        <v/>
      </c>
      <c r="R3105" s="25">
        <f>COUNTIF($Q$2:$Q$5295,Q3105)</f>
        <v/>
      </c>
      <c r="S3105" s="25">
        <f>IF(R3105&lt;=2,"1-2",IF(R3105&lt;=5,"3-5",IF(R3105&lt;=10,"6-10","11+")))</f>
        <v/>
      </c>
    </row>
    <row r="3106">
      <c r="A3106" s="39" t="n">
        <v>46196.51600694445</v>
      </c>
      <c r="B3106" s="25">
        <f>TEXT(A3106,"YYYY-MM")</f>
        <v/>
      </c>
      <c r="C3106" s="25">
        <f>TEXT(A3106,"MMM-YYYY")</f>
        <v/>
      </c>
      <c r="D3106" s="40">
        <f>INT(A3106)-WEEKDAY(A3106,2)+1</f>
        <v/>
      </c>
      <c r="E3106" s="25" t="inlineStr">
        <is>
          <t>tkarmakar</t>
        </is>
      </c>
      <c r="F3106" s="25" t="n">
        <v>105203</v>
      </c>
      <c r="G3106" s="25" t="n">
        <v>1</v>
      </c>
      <c r="H3106" s="25" t="n">
        <v>7</v>
      </c>
      <c r="I3106" s="25" t="inlineStr">
        <is>
          <t>1 minute(s) and 28 second(s)</t>
        </is>
      </c>
      <c r="J3106" s="25">
        <f>IFERROR(VALUE(TRIM(LEFT(I3106,FIND("minute",I3106)-1)))*60,0)+IFERROR(VALUE(SUBSTITUTE(MID(I3106,IFERROR(FIND("and",I3106)+3,1),20),"second(s)","")),0)</f>
        <v/>
      </c>
      <c r="K3106" s="41">
        <f>J3106/60</f>
        <v/>
      </c>
      <c r="L3106" s="41">
        <f>IFERROR(J3106/H3106,"")</f>
        <v/>
      </c>
      <c r="M3106" s="25" t="inlineStr">
        <is>
          <t>2.5.12</t>
        </is>
      </c>
      <c r="N3106" s="25">
        <f>IF(J3106&gt;300,1,0)</f>
        <v/>
      </c>
      <c r="O3106" s="25">
        <f>IF(J3106&gt;600,1,0)</f>
        <v/>
      </c>
      <c r="P3106" s="25">
        <f>IF(H3106&gt;0,J3106,"")</f>
        <v/>
      </c>
      <c r="Q3106" s="25">
        <f>TEXT(A3106,"YYYY-MM-DD HH")</f>
        <v/>
      </c>
      <c r="R3106" s="25">
        <f>COUNTIF($Q$2:$Q$5295,Q3106)</f>
        <v/>
      </c>
      <c r="S3106" s="25">
        <f>IF(R3106&lt;=2,"1-2",IF(R3106&lt;=5,"3-5",IF(R3106&lt;=10,"6-10","11+")))</f>
        <v/>
      </c>
    </row>
    <row r="3107">
      <c r="A3107" s="39" t="n">
        <v>46196.52609953703</v>
      </c>
      <c r="B3107" s="25">
        <f>TEXT(A3107,"YYYY-MM")</f>
        <v/>
      </c>
      <c r="C3107" s="25">
        <f>TEXT(A3107,"MMM-YYYY")</f>
        <v/>
      </c>
      <c r="D3107" s="40">
        <f>INT(A3107)-WEEKDAY(A3107,2)+1</f>
        <v/>
      </c>
      <c r="E3107" s="25" t="inlineStr">
        <is>
          <t>psingh</t>
        </is>
      </c>
      <c r="F3107" s="25" t="n">
        <v>97402</v>
      </c>
      <c r="G3107" s="25" t="n">
        <v>2</v>
      </c>
      <c r="H3107" s="25" t="n">
        <v>10</v>
      </c>
      <c r="I3107" s="25" t="inlineStr">
        <is>
          <t>5 minute(s) and 13 second(s)</t>
        </is>
      </c>
      <c r="J3107" s="25">
        <f>IFERROR(VALUE(TRIM(LEFT(I3107,FIND("minute",I3107)-1)))*60,0)+IFERROR(VALUE(SUBSTITUTE(MID(I3107,IFERROR(FIND("and",I3107)+3,1),20),"second(s)","")),0)</f>
        <v/>
      </c>
      <c r="K3107" s="41">
        <f>J3107/60</f>
        <v/>
      </c>
      <c r="L3107" s="41">
        <f>IFERROR(J3107/H3107,"")</f>
        <v/>
      </c>
      <c r="M3107" s="25" t="inlineStr">
        <is>
          <t>2.5.12</t>
        </is>
      </c>
      <c r="N3107" s="25">
        <f>IF(J3107&gt;300,1,0)</f>
        <v/>
      </c>
      <c r="O3107" s="25">
        <f>IF(J3107&gt;600,1,0)</f>
        <v/>
      </c>
      <c r="P3107" s="25">
        <f>IF(H3107&gt;0,J3107,"")</f>
        <v/>
      </c>
      <c r="Q3107" s="25">
        <f>TEXT(A3107,"YYYY-MM-DD HH")</f>
        <v/>
      </c>
      <c r="R3107" s="25">
        <f>COUNTIF($Q$2:$Q$5295,Q3107)</f>
        <v/>
      </c>
      <c r="S3107" s="25">
        <f>IF(R3107&lt;=2,"1-2",IF(R3107&lt;=5,"3-5",IF(R3107&lt;=10,"6-10","11+")))</f>
        <v/>
      </c>
    </row>
    <row r="3108">
      <c r="A3108" s="39" t="n">
        <v>46196.53665509259</v>
      </c>
      <c r="B3108" s="25">
        <f>TEXT(A3108,"YYYY-MM")</f>
        <v/>
      </c>
      <c r="C3108" s="25">
        <f>TEXT(A3108,"MMM-YYYY")</f>
        <v/>
      </c>
      <c r="D3108" s="40">
        <f>INT(A3108)-WEEKDAY(A3108,2)+1</f>
        <v/>
      </c>
      <c r="E3108" s="25" t="inlineStr">
        <is>
          <t>ssaha</t>
        </is>
      </c>
      <c r="F3108" s="25" t="n">
        <v>124896</v>
      </c>
      <c r="G3108" s="25" t="n">
        <v>2</v>
      </c>
      <c r="H3108" s="25" t="n">
        <v>6</v>
      </c>
      <c r="I3108" s="25" t="inlineStr">
        <is>
          <t>1 minute(s) and 31 second(s)</t>
        </is>
      </c>
      <c r="J3108" s="25">
        <f>IFERROR(VALUE(TRIM(LEFT(I3108,FIND("minute",I3108)-1)))*60,0)+IFERROR(VALUE(SUBSTITUTE(MID(I3108,IFERROR(FIND("and",I3108)+3,1),20),"second(s)","")),0)</f>
        <v/>
      </c>
      <c r="K3108" s="41">
        <f>J3108/60</f>
        <v/>
      </c>
      <c r="L3108" s="41">
        <f>IFERROR(J3108/H3108,"")</f>
        <v/>
      </c>
      <c r="M3108" s="25" t="inlineStr">
        <is>
          <t>2.5.12</t>
        </is>
      </c>
      <c r="N3108" s="25">
        <f>IF(J3108&gt;300,1,0)</f>
        <v/>
      </c>
      <c r="O3108" s="25">
        <f>IF(J3108&gt;600,1,0)</f>
        <v/>
      </c>
      <c r="P3108" s="25">
        <f>IF(H3108&gt;0,J3108,"")</f>
        <v/>
      </c>
      <c r="Q3108" s="25">
        <f>TEXT(A3108,"YYYY-MM-DD HH")</f>
        <v/>
      </c>
      <c r="R3108" s="25">
        <f>COUNTIF($Q$2:$Q$5295,Q3108)</f>
        <v/>
      </c>
      <c r="S3108" s="25">
        <f>IF(R3108&lt;=2,"1-2",IF(R3108&lt;=5,"3-5",IF(R3108&lt;=10,"6-10","11+")))</f>
        <v/>
      </c>
    </row>
    <row r="3109">
      <c r="A3109" s="39" t="n">
        <v>46196.64634259259</v>
      </c>
      <c r="B3109" s="25">
        <f>TEXT(A3109,"YYYY-MM")</f>
        <v/>
      </c>
      <c r="C3109" s="25">
        <f>TEXT(A3109,"MMM-YYYY")</f>
        <v/>
      </c>
      <c r="D3109" s="40">
        <f>INT(A3109)-WEEKDAY(A3109,2)+1</f>
        <v/>
      </c>
      <c r="E3109" s="25" t="inlineStr">
        <is>
          <t>rsingh</t>
        </is>
      </c>
      <c r="F3109" s="25" t="n">
        <v>112902</v>
      </c>
      <c r="G3109" s="25" t="n">
        <v>2</v>
      </c>
      <c r="H3109" s="25" t="n">
        <v>10</v>
      </c>
      <c r="I3109" s="25" t="inlineStr">
        <is>
          <t>2 minute(s) and 37 second(s)</t>
        </is>
      </c>
      <c r="J3109" s="25">
        <f>IFERROR(VALUE(TRIM(LEFT(I3109,FIND("minute",I3109)-1)))*60,0)+IFERROR(VALUE(SUBSTITUTE(MID(I3109,IFERROR(FIND("and",I3109)+3,1),20),"second(s)","")),0)</f>
        <v/>
      </c>
      <c r="K3109" s="41">
        <f>J3109/60</f>
        <v/>
      </c>
      <c r="L3109" s="41">
        <f>IFERROR(J3109/H3109,"")</f>
        <v/>
      </c>
      <c r="M3109" s="25" t="inlineStr">
        <is>
          <t>2.5.12</t>
        </is>
      </c>
      <c r="N3109" s="25">
        <f>IF(J3109&gt;300,1,0)</f>
        <v/>
      </c>
      <c r="O3109" s="25">
        <f>IF(J3109&gt;600,1,0)</f>
        <v/>
      </c>
      <c r="P3109" s="25">
        <f>IF(H3109&gt;0,J3109,"")</f>
        <v/>
      </c>
      <c r="Q3109" s="25">
        <f>TEXT(A3109,"YYYY-MM-DD HH")</f>
        <v/>
      </c>
      <c r="R3109" s="25">
        <f>COUNTIF($Q$2:$Q$5295,Q3109)</f>
        <v/>
      </c>
      <c r="S3109" s="25">
        <f>IF(R3109&lt;=2,"1-2",IF(R3109&lt;=5,"3-5",IF(R3109&lt;=10,"6-10","11+")))</f>
        <v/>
      </c>
    </row>
    <row r="3110">
      <c r="A3110" s="39" t="n">
        <v>46196.68196759259</v>
      </c>
      <c r="B3110" s="25">
        <f>TEXT(A3110,"YYYY-MM")</f>
        <v/>
      </c>
      <c r="C3110" s="25">
        <f>TEXT(A3110,"MMM-YYYY")</f>
        <v/>
      </c>
      <c r="D3110" s="40">
        <f>INT(A3110)-WEEKDAY(A3110,2)+1</f>
        <v/>
      </c>
      <c r="E3110" s="25" t="inlineStr">
        <is>
          <t>psingh</t>
        </is>
      </c>
      <c r="F3110" s="25" t="n">
        <v>123373</v>
      </c>
      <c r="G3110" s="25" t="n">
        <v>2</v>
      </c>
      <c r="H3110" s="25" t="n">
        <v>11</v>
      </c>
      <c r="I3110" s="25" t="inlineStr">
        <is>
          <t>4 minute(s) and 0 second(s)</t>
        </is>
      </c>
      <c r="J3110" s="25">
        <f>IFERROR(VALUE(TRIM(LEFT(I3110,FIND("minute",I3110)-1)))*60,0)+IFERROR(VALUE(SUBSTITUTE(MID(I3110,IFERROR(FIND("and",I3110)+3,1),20),"second(s)","")),0)</f>
        <v/>
      </c>
      <c r="K3110" s="41">
        <f>J3110/60</f>
        <v/>
      </c>
      <c r="L3110" s="41">
        <f>IFERROR(J3110/H3110,"")</f>
        <v/>
      </c>
      <c r="M3110" s="25" t="inlineStr">
        <is>
          <t>2.5.12</t>
        </is>
      </c>
      <c r="N3110" s="25">
        <f>IF(J3110&gt;300,1,0)</f>
        <v/>
      </c>
      <c r="O3110" s="25">
        <f>IF(J3110&gt;600,1,0)</f>
        <v/>
      </c>
      <c r="P3110" s="25">
        <f>IF(H3110&gt;0,J3110,"")</f>
        <v/>
      </c>
      <c r="Q3110" s="25">
        <f>TEXT(A3110,"YYYY-MM-DD HH")</f>
        <v/>
      </c>
      <c r="R3110" s="25">
        <f>COUNTIF($Q$2:$Q$5295,Q3110)</f>
        <v/>
      </c>
      <c r="S3110" s="25">
        <f>IF(R3110&lt;=2,"1-2",IF(R3110&lt;=5,"3-5",IF(R3110&lt;=10,"6-10","11+")))</f>
        <v/>
      </c>
    </row>
    <row r="3111">
      <c r="A3111" s="39" t="n">
        <v>46196.71883101852</v>
      </c>
      <c r="B3111" s="25">
        <f>TEXT(A3111,"YYYY-MM")</f>
        <v/>
      </c>
      <c r="C3111" s="25">
        <f>TEXT(A3111,"MMM-YYYY")</f>
        <v/>
      </c>
      <c r="D3111" s="40">
        <f>INT(A3111)-WEEKDAY(A3111,2)+1</f>
        <v/>
      </c>
      <c r="E3111" s="25" t="inlineStr">
        <is>
          <t>emishra</t>
        </is>
      </c>
      <c r="F3111" s="25" t="n">
        <v>115880</v>
      </c>
      <c r="G3111" s="25" t="n">
        <v>2</v>
      </c>
      <c r="H3111" s="25" t="n">
        <v>14</v>
      </c>
      <c r="I3111" s="25" t="inlineStr">
        <is>
          <t>2 minute(s) and 25 second(s)</t>
        </is>
      </c>
      <c r="J3111" s="25">
        <f>IFERROR(VALUE(TRIM(LEFT(I3111,FIND("minute",I3111)-1)))*60,0)+IFERROR(VALUE(SUBSTITUTE(MID(I3111,IFERROR(FIND("and",I3111)+3,1),20),"second(s)","")),0)</f>
        <v/>
      </c>
      <c r="K3111" s="41">
        <f>J3111/60</f>
        <v/>
      </c>
      <c r="L3111" s="41">
        <f>IFERROR(J3111/H3111,"")</f>
        <v/>
      </c>
      <c r="M3111" s="25" t="inlineStr">
        <is>
          <t>2.5.12</t>
        </is>
      </c>
      <c r="N3111" s="25">
        <f>IF(J3111&gt;300,1,0)</f>
        <v/>
      </c>
      <c r="O3111" s="25">
        <f>IF(J3111&gt;600,1,0)</f>
        <v/>
      </c>
      <c r="P3111" s="25">
        <f>IF(H3111&gt;0,J3111,"")</f>
        <v/>
      </c>
      <c r="Q3111" s="25">
        <f>TEXT(A3111,"YYYY-MM-DD HH")</f>
        <v/>
      </c>
      <c r="R3111" s="25">
        <f>COUNTIF($Q$2:$Q$5295,Q3111)</f>
        <v/>
      </c>
      <c r="S3111" s="25">
        <f>IF(R3111&lt;=2,"1-2",IF(R3111&lt;=5,"3-5",IF(R3111&lt;=10,"6-10","11+")))</f>
        <v/>
      </c>
    </row>
    <row r="3112">
      <c r="A3112" s="39" t="n">
        <v>46196.72447916667</v>
      </c>
      <c r="B3112" s="25">
        <f>TEXT(A3112,"YYYY-MM")</f>
        <v/>
      </c>
      <c r="C3112" s="25">
        <f>TEXT(A3112,"MMM-YYYY")</f>
        <v/>
      </c>
      <c r="D3112" s="40">
        <f>INT(A3112)-WEEKDAY(A3112,2)+1</f>
        <v/>
      </c>
      <c r="E3112" s="25" t="inlineStr">
        <is>
          <t>rsingh</t>
        </is>
      </c>
      <c r="F3112" s="25" t="n">
        <v>114416</v>
      </c>
      <c r="G3112" s="25" t="n">
        <v>2</v>
      </c>
      <c r="H3112" s="25" t="n">
        <v>8</v>
      </c>
      <c r="I3112" s="25" t="inlineStr">
        <is>
          <t>2 minute(s) and 43 second(s)</t>
        </is>
      </c>
      <c r="J3112" s="25">
        <f>IFERROR(VALUE(TRIM(LEFT(I3112,FIND("minute",I3112)-1)))*60,0)+IFERROR(VALUE(SUBSTITUTE(MID(I3112,IFERROR(FIND("and",I3112)+3,1),20),"second(s)","")),0)</f>
        <v/>
      </c>
      <c r="K3112" s="41">
        <f>J3112/60</f>
        <v/>
      </c>
      <c r="L3112" s="41">
        <f>IFERROR(J3112/H3112,"")</f>
        <v/>
      </c>
      <c r="M3112" s="25" t="inlineStr">
        <is>
          <t>2.5.12</t>
        </is>
      </c>
      <c r="N3112" s="25">
        <f>IF(J3112&gt;300,1,0)</f>
        <v/>
      </c>
      <c r="O3112" s="25">
        <f>IF(J3112&gt;600,1,0)</f>
        <v/>
      </c>
      <c r="P3112" s="25">
        <f>IF(H3112&gt;0,J3112,"")</f>
        <v/>
      </c>
      <c r="Q3112" s="25">
        <f>TEXT(A3112,"YYYY-MM-DD HH")</f>
        <v/>
      </c>
      <c r="R3112" s="25">
        <f>COUNTIF($Q$2:$Q$5295,Q3112)</f>
        <v/>
      </c>
      <c r="S3112" s="25">
        <f>IF(R3112&lt;=2,"1-2",IF(R3112&lt;=5,"3-5",IF(R3112&lt;=10,"6-10","11+")))</f>
        <v/>
      </c>
    </row>
    <row r="3113">
      <c r="A3113" s="39" t="n">
        <v>46196.72818287037</v>
      </c>
      <c r="B3113" s="25">
        <f>TEXT(A3113,"YYYY-MM")</f>
        <v/>
      </c>
      <c r="C3113" s="25">
        <f>TEXT(A3113,"MMM-YYYY")</f>
        <v/>
      </c>
      <c r="D3113" s="40">
        <f>INT(A3113)-WEEKDAY(A3113,2)+1</f>
        <v/>
      </c>
      <c r="E3113" s="25" t="inlineStr">
        <is>
          <t>ssaha</t>
        </is>
      </c>
      <c r="F3113" s="25" t="n">
        <v>115987</v>
      </c>
      <c r="G3113" s="25" t="n">
        <v>2</v>
      </c>
      <c r="H3113" s="25" t="n">
        <v>10</v>
      </c>
      <c r="I3113" s="25" t="inlineStr">
        <is>
          <t>2 minute(s) and 20 second(s)</t>
        </is>
      </c>
      <c r="J3113" s="25">
        <f>IFERROR(VALUE(TRIM(LEFT(I3113,FIND("minute",I3113)-1)))*60,0)+IFERROR(VALUE(SUBSTITUTE(MID(I3113,IFERROR(FIND("and",I3113)+3,1),20),"second(s)","")),0)</f>
        <v/>
      </c>
      <c r="K3113" s="41">
        <f>J3113/60</f>
        <v/>
      </c>
      <c r="L3113" s="41">
        <f>IFERROR(J3113/H3113,"")</f>
        <v/>
      </c>
      <c r="M3113" s="25" t="inlineStr">
        <is>
          <t>2.5.12</t>
        </is>
      </c>
      <c r="N3113" s="25">
        <f>IF(J3113&gt;300,1,0)</f>
        <v/>
      </c>
      <c r="O3113" s="25">
        <f>IF(J3113&gt;600,1,0)</f>
        <v/>
      </c>
      <c r="P3113" s="25">
        <f>IF(H3113&gt;0,J3113,"")</f>
        <v/>
      </c>
      <c r="Q3113" s="25">
        <f>TEXT(A3113,"YYYY-MM-DD HH")</f>
        <v/>
      </c>
      <c r="R3113" s="25">
        <f>COUNTIF($Q$2:$Q$5295,Q3113)</f>
        <v/>
      </c>
      <c r="S3113" s="25">
        <f>IF(R3113&lt;=2,"1-2",IF(R3113&lt;=5,"3-5",IF(R3113&lt;=10,"6-10","11+")))</f>
        <v/>
      </c>
    </row>
    <row r="3114">
      <c r="A3114" s="39" t="n">
        <v>46196.76659722222</v>
      </c>
      <c r="B3114" s="25">
        <f>TEXT(A3114,"YYYY-MM")</f>
        <v/>
      </c>
      <c r="C3114" s="25">
        <f>TEXT(A3114,"MMM-YYYY")</f>
        <v/>
      </c>
      <c r="D3114" s="40">
        <f>INT(A3114)-WEEKDAY(A3114,2)+1</f>
        <v/>
      </c>
      <c r="E3114" s="25" t="inlineStr">
        <is>
          <t>psingh</t>
        </is>
      </c>
      <c r="F3114" s="25" t="n">
        <v>105422</v>
      </c>
      <c r="G3114" s="25" t="n">
        <v>4</v>
      </c>
      <c r="H3114" s="25" t="n">
        <v>27</v>
      </c>
      <c r="I3114" s="25" t="inlineStr">
        <is>
          <t>9 minute(s) and 5 second(s)</t>
        </is>
      </c>
      <c r="J3114" s="25">
        <f>IFERROR(VALUE(TRIM(LEFT(I3114,FIND("minute",I3114)-1)))*60,0)+IFERROR(VALUE(SUBSTITUTE(MID(I3114,IFERROR(FIND("and",I3114)+3,1),20),"second(s)","")),0)</f>
        <v/>
      </c>
      <c r="K3114" s="41">
        <f>J3114/60</f>
        <v/>
      </c>
      <c r="L3114" s="41">
        <f>IFERROR(J3114/H3114,"")</f>
        <v/>
      </c>
      <c r="M3114" s="25" t="inlineStr">
        <is>
          <t>2.5.12</t>
        </is>
      </c>
      <c r="N3114" s="25">
        <f>IF(J3114&gt;300,1,0)</f>
        <v/>
      </c>
      <c r="O3114" s="25">
        <f>IF(J3114&gt;600,1,0)</f>
        <v/>
      </c>
      <c r="P3114" s="25">
        <f>IF(H3114&gt;0,J3114,"")</f>
        <v/>
      </c>
      <c r="Q3114" s="25">
        <f>TEXT(A3114,"YYYY-MM-DD HH")</f>
        <v/>
      </c>
      <c r="R3114" s="25">
        <f>COUNTIF($Q$2:$Q$5295,Q3114)</f>
        <v/>
      </c>
      <c r="S3114" s="25">
        <f>IF(R3114&lt;=2,"1-2",IF(R3114&lt;=5,"3-5",IF(R3114&lt;=10,"6-10","11+")))</f>
        <v/>
      </c>
    </row>
    <row r="3115">
      <c r="A3115" s="39" t="n">
        <v>46196.95810185185</v>
      </c>
      <c r="B3115" s="25">
        <f>TEXT(A3115,"YYYY-MM")</f>
        <v/>
      </c>
      <c r="C3115" s="25">
        <f>TEXT(A3115,"MMM-YYYY")</f>
        <v/>
      </c>
      <c r="D3115" s="40">
        <f>INT(A3115)-WEEKDAY(A3115,2)+1</f>
        <v/>
      </c>
      <c r="E3115" s="25" t="inlineStr">
        <is>
          <t>ssaha</t>
        </is>
      </c>
      <c r="F3115" s="25" t="n">
        <v>124677</v>
      </c>
      <c r="G3115" s="25" t="n">
        <v>4</v>
      </c>
      <c r="H3115" s="25" t="n">
        <v>12</v>
      </c>
      <c r="I3115" s="25" t="inlineStr">
        <is>
          <t>2 minute(s) and 11 second(s)</t>
        </is>
      </c>
      <c r="J3115" s="25">
        <f>IFERROR(VALUE(TRIM(LEFT(I3115,FIND("minute",I3115)-1)))*60,0)+IFERROR(VALUE(SUBSTITUTE(MID(I3115,IFERROR(FIND("and",I3115)+3,1),20),"second(s)","")),0)</f>
        <v/>
      </c>
      <c r="K3115" s="41">
        <f>J3115/60</f>
        <v/>
      </c>
      <c r="L3115" s="41">
        <f>IFERROR(J3115/H3115,"")</f>
        <v/>
      </c>
      <c r="M3115" s="25" t="inlineStr">
        <is>
          <t>2.5.12</t>
        </is>
      </c>
      <c r="N3115" s="25">
        <f>IF(J3115&gt;300,1,0)</f>
        <v/>
      </c>
      <c r="O3115" s="25">
        <f>IF(J3115&gt;600,1,0)</f>
        <v/>
      </c>
      <c r="P3115" s="25">
        <f>IF(H3115&gt;0,J3115,"")</f>
        <v/>
      </c>
      <c r="Q3115" s="25">
        <f>TEXT(A3115,"YYYY-MM-DD HH")</f>
        <v/>
      </c>
      <c r="R3115" s="25">
        <f>COUNTIF($Q$2:$Q$5295,Q3115)</f>
        <v/>
      </c>
      <c r="S3115" s="25">
        <f>IF(R3115&lt;=2,"1-2",IF(R3115&lt;=5,"3-5",IF(R3115&lt;=10,"6-10","11+")))</f>
        <v/>
      </c>
    </row>
    <row r="3116">
      <c r="A3116" s="39" t="n">
        <v>46196.98275462963</v>
      </c>
      <c r="B3116" s="25">
        <f>TEXT(A3116,"YYYY-MM")</f>
        <v/>
      </c>
      <c r="C3116" s="25">
        <f>TEXT(A3116,"MMM-YYYY")</f>
        <v/>
      </c>
      <c r="D3116" s="40">
        <f>INT(A3116)-WEEKDAY(A3116,2)+1</f>
        <v/>
      </c>
      <c r="E3116" s="25" t="inlineStr">
        <is>
          <t>hsindwani</t>
        </is>
      </c>
      <c r="F3116" s="25" t="n">
        <v>124572</v>
      </c>
      <c r="G3116" s="25" t="n">
        <v>2</v>
      </c>
      <c r="H3116" s="25" t="n">
        <v>10</v>
      </c>
      <c r="I3116" s="25" t="inlineStr">
        <is>
          <t>9 minute(s) and 46 second(s)</t>
        </is>
      </c>
      <c r="J3116" s="25">
        <f>IFERROR(VALUE(TRIM(LEFT(I3116,FIND("minute",I3116)-1)))*60,0)+IFERROR(VALUE(SUBSTITUTE(MID(I3116,IFERROR(FIND("and",I3116)+3,1),20),"second(s)","")),0)</f>
        <v/>
      </c>
      <c r="K3116" s="41">
        <f>J3116/60</f>
        <v/>
      </c>
      <c r="L3116" s="41">
        <f>IFERROR(J3116/H3116,"")</f>
        <v/>
      </c>
      <c r="M3116" s="25" t="inlineStr">
        <is>
          <t>2.5.12</t>
        </is>
      </c>
      <c r="N3116" s="25">
        <f>IF(J3116&gt;300,1,0)</f>
        <v/>
      </c>
      <c r="O3116" s="25">
        <f>IF(J3116&gt;600,1,0)</f>
        <v/>
      </c>
      <c r="P3116" s="25">
        <f>IF(H3116&gt;0,J3116,"")</f>
        <v/>
      </c>
      <c r="Q3116" s="25">
        <f>TEXT(A3116,"YYYY-MM-DD HH")</f>
        <v/>
      </c>
      <c r="R3116" s="25">
        <f>COUNTIF($Q$2:$Q$5295,Q3116)</f>
        <v/>
      </c>
      <c r="S3116" s="25">
        <f>IF(R3116&lt;=2,"1-2",IF(R3116&lt;=5,"3-5",IF(R3116&lt;=10,"6-10","11+")))</f>
        <v/>
      </c>
    </row>
    <row r="3117">
      <c r="A3117" s="39" t="n">
        <v>46197.04023148148</v>
      </c>
      <c r="B3117" s="25">
        <f>TEXT(A3117,"YYYY-MM")</f>
        <v/>
      </c>
      <c r="C3117" s="25">
        <f>TEXT(A3117,"MMM-YYYY")</f>
        <v/>
      </c>
      <c r="D3117" s="40">
        <f>INT(A3117)-WEEKDAY(A3117,2)+1</f>
        <v/>
      </c>
      <c r="E3117" s="25" t="inlineStr">
        <is>
          <t>ssaha</t>
        </is>
      </c>
      <c r="F3117" s="25" t="n">
        <v>124379</v>
      </c>
      <c r="G3117" s="25" t="n">
        <v>4</v>
      </c>
      <c r="H3117" s="25" t="n">
        <v>14</v>
      </c>
      <c r="I3117" s="25" t="inlineStr">
        <is>
          <t>2 minute(s) and 46 second(s)</t>
        </is>
      </c>
      <c r="J3117" s="25">
        <f>IFERROR(VALUE(TRIM(LEFT(I3117,FIND("minute",I3117)-1)))*60,0)+IFERROR(VALUE(SUBSTITUTE(MID(I3117,IFERROR(FIND("and",I3117)+3,1),20),"second(s)","")),0)</f>
        <v/>
      </c>
      <c r="K3117" s="41">
        <f>J3117/60</f>
        <v/>
      </c>
      <c r="L3117" s="41">
        <f>IFERROR(J3117/H3117,"")</f>
        <v/>
      </c>
      <c r="M3117" s="25" t="inlineStr">
        <is>
          <t>2.5.12</t>
        </is>
      </c>
      <c r="N3117" s="25">
        <f>IF(J3117&gt;300,1,0)</f>
        <v/>
      </c>
      <c r="O3117" s="25">
        <f>IF(J3117&gt;600,1,0)</f>
        <v/>
      </c>
      <c r="P3117" s="25">
        <f>IF(H3117&gt;0,J3117,"")</f>
        <v/>
      </c>
      <c r="Q3117" s="25">
        <f>TEXT(A3117,"YYYY-MM-DD HH")</f>
        <v/>
      </c>
      <c r="R3117" s="25">
        <f>COUNTIF($Q$2:$Q$5295,Q3117)</f>
        <v/>
      </c>
      <c r="S3117" s="25">
        <f>IF(R3117&lt;=2,"1-2",IF(R3117&lt;=5,"3-5",IF(R3117&lt;=10,"6-10","11+")))</f>
        <v/>
      </c>
    </row>
    <row r="3118">
      <c r="A3118" s="39" t="n">
        <v>46197.07655092593</v>
      </c>
      <c r="B3118" s="25">
        <f>TEXT(A3118,"YYYY-MM")</f>
        <v/>
      </c>
      <c r="C3118" s="25">
        <f>TEXT(A3118,"MMM-YYYY")</f>
        <v/>
      </c>
      <c r="D3118" s="40">
        <f>INT(A3118)-WEEKDAY(A3118,2)+1</f>
        <v/>
      </c>
      <c r="E3118" s="25" t="inlineStr">
        <is>
          <t>mgupta</t>
        </is>
      </c>
      <c r="F3118" s="25" t="n">
        <v>123140</v>
      </c>
      <c r="G3118" s="25" t="n">
        <v>2</v>
      </c>
      <c r="H3118" s="25" t="n">
        <v>10</v>
      </c>
      <c r="I3118" s="25" t="inlineStr">
        <is>
          <t>2 minute(s) and 27 second(s)</t>
        </is>
      </c>
      <c r="J3118" s="25">
        <f>IFERROR(VALUE(TRIM(LEFT(I3118,FIND("minute",I3118)-1)))*60,0)+IFERROR(VALUE(SUBSTITUTE(MID(I3118,IFERROR(FIND("and",I3118)+3,1),20),"second(s)","")),0)</f>
        <v/>
      </c>
      <c r="K3118" s="41">
        <f>J3118/60</f>
        <v/>
      </c>
      <c r="L3118" s="41">
        <f>IFERROR(J3118/H3118,"")</f>
        <v/>
      </c>
      <c r="M3118" s="25" t="inlineStr">
        <is>
          <t>2.5.12</t>
        </is>
      </c>
      <c r="N3118" s="25">
        <f>IF(J3118&gt;300,1,0)</f>
        <v/>
      </c>
      <c r="O3118" s="25">
        <f>IF(J3118&gt;600,1,0)</f>
        <v/>
      </c>
      <c r="P3118" s="25">
        <f>IF(H3118&gt;0,J3118,"")</f>
        <v/>
      </c>
      <c r="Q3118" s="25">
        <f>TEXT(A3118,"YYYY-MM-DD HH")</f>
        <v/>
      </c>
      <c r="R3118" s="25">
        <f>COUNTIF($Q$2:$Q$5295,Q3118)</f>
        <v/>
      </c>
      <c r="S3118" s="25">
        <f>IF(R3118&lt;=2,"1-2",IF(R3118&lt;=5,"3-5",IF(R3118&lt;=10,"6-10","11+")))</f>
        <v/>
      </c>
    </row>
    <row r="3119">
      <c r="A3119" s="39" t="n">
        <v>46197.08122685185</v>
      </c>
      <c r="B3119" s="25">
        <f>TEXT(A3119,"YYYY-MM")</f>
        <v/>
      </c>
      <c r="C3119" s="25">
        <f>TEXT(A3119,"MMM-YYYY")</f>
        <v/>
      </c>
      <c r="D3119" s="40">
        <f>INT(A3119)-WEEKDAY(A3119,2)+1</f>
        <v/>
      </c>
      <c r="E3119" s="25" t="inlineStr">
        <is>
          <t>anusharma</t>
        </is>
      </c>
      <c r="F3119" s="25" t="n">
        <v>113480</v>
      </c>
      <c r="G3119" s="25" t="n">
        <v>2</v>
      </c>
      <c r="H3119" s="25" t="n">
        <v>8</v>
      </c>
      <c r="I3119" s="25" t="inlineStr">
        <is>
          <t>4 minute(s) and 23 second(s)</t>
        </is>
      </c>
      <c r="J3119" s="25">
        <f>IFERROR(VALUE(TRIM(LEFT(I3119,FIND("minute",I3119)-1)))*60,0)+IFERROR(VALUE(SUBSTITUTE(MID(I3119,IFERROR(FIND("and",I3119)+3,1),20),"second(s)","")),0)</f>
        <v/>
      </c>
      <c r="K3119" s="41">
        <f>J3119/60</f>
        <v/>
      </c>
      <c r="L3119" s="41">
        <f>IFERROR(J3119/H3119,"")</f>
        <v/>
      </c>
      <c r="M3119" s="25" t="inlineStr">
        <is>
          <t>2.5.12</t>
        </is>
      </c>
      <c r="N3119" s="25">
        <f>IF(J3119&gt;300,1,0)</f>
        <v/>
      </c>
      <c r="O3119" s="25">
        <f>IF(J3119&gt;600,1,0)</f>
        <v/>
      </c>
      <c r="P3119" s="25">
        <f>IF(H3119&gt;0,J3119,"")</f>
        <v/>
      </c>
      <c r="Q3119" s="25">
        <f>TEXT(A3119,"YYYY-MM-DD HH")</f>
        <v/>
      </c>
      <c r="R3119" s="25">
        <f>COUNTIF($Q$2:$Q$5295,Q3119)</f>
        <v/>
      </c>
      <c r="S3119" s="25">
        <f>IF(R3119&lt;=2,"1-2",IF(R3119&lt;=5,"3-5",IF(R3119&lt;=10,"6-10","11+")))</f>
        <v/>
      </c>
    </row>
    <row r="3120">
      <c r="A3120" s="39" t="n">
        <v>46197.1156712963</v>
      </c>
      <c r="B3120" s="25">
        <f>TEXT(A3120,"YYYY-MM")</f>
        <v/>
      </c>
      <c r="C3120" s="25">
        <f>TEXT(A3120,"MMM-YYYY")</f>
        <v/>
      </c>
      <c r="D3120" s="40">
        <f>INT(A3120)-WEEKDAY(A3120,2)+1</f>
        <v/>
      </c>
      <c r="E3120" s="25" t="inlineStr">
        <is>
          <t>shassan</t>
        </is>
      </c>
      <c r="F3120" s="25" t="n">
        <v>123237</v>
      </c>
      <c r="G3120" s="25" t="n">
        <v>2</v>
      </c>
      <c r="H3120" s="25" t="n">
        <v>6</v>
      </c>
      <c r="I3120" s="25" t="inlineStr">
        <is>
          <t>3 minute(s) and 21 second(s)</t>
        </is>
      </c>
      <c r="J3120" s="25">
        <f>IFERROR(VALUE(TRIM(LEFT(I3120,FIND("minute",I3120)-1)))*60,0)+IFERROR(VALUE(SUBSTITUTE(MID(I3120,IFERROR(FIND("and",I3120)+3,1),20),"second(s)","")),0)</f>
        <v/>
      </c>
      <c r="K3120" s="41">
        <f>J3120/60</f>
        <v/>
      </c>
      <c r="L3120" s="41">
        <f>IFERROR(J3120/H3120,"")</f>
        <v/>
      </c>
      <c r="M3120" s="25" t="inlineStr">
        <is>
          <t>2.5.12</t>
        </is>
      </c>
      <c r="N3120" s="25">
        <f>IF(J3120&gt;300,1,0)</f>
        <v/>
      </c>
      <c r="O3120" s="25">
        <f>IF(J3120&gt;600,1,0)</f>
        <v/>
      </c>
      <c r="P3120" s="25">
        <f>IF(H3120&gt;0,J3120,"")</f>
        <v/>
      </c>
      <c r="Q3120" s="25">
        <f>TEXT(A3120,"YYYY-MM-DD HH")</f>
        <v/>
      </c>
      <c r="R3120" s="25">
        <f>COUNTIF($Q$2:$Q$5295,Q3120)</f>
        <v/>
      </c>
      <c r="S3120" s="25">
        <f>IF(R3120&lt;=2,"1-2",IF(R3120&lt;=5,"3-5",IF(R3120&lt;=10,"6-10","11+")))</f>
        <v/>
      </c>
    </row>
    <row r="3121">
      <c r="A3121" s="39" t="n">
        <v>46197.13280092592</v>
      </c>
      <c r="B3121" s="25">
        <f>TEXT(A3121,"YYYY-MM")</f>
        <v/>
      </c>
      <c r="C3121" s="25">
        <f>TEXT(A3121,"MMM-YYYY")</f>
        <v/>
      </c>
      <c r="D3121" s="40">
        <f>INT(A3121)-WEEKDAY(A3121,2)+1</f>
        <v/>
      </c>
      <c r="E3121" s="25" t="inlineStr">
        <is>
          <t>anusharma</t>
        </is>
      </c>
      <c r="F3121" s="25" t="n">
        <v>113808</v>
      </c>
      <c r="G3121" s="25" t="n">
        <v>4</v>
      </c>
      <c r="H3121" s="25" t="n">
        <v>14</v>
      </c>
      <c r="I3121" s="25" t="inlineStr">
        <is>
          <t>6 minute(s) and 41 second(s)</t>
        </is>
      </c>
      <c r="J3121" s="25">
        <f>IFERROR(VALUE(TRIM(LEFT(I3121,FIND("minute",I3121)-1)))*60,0)+IFERROR(VALUE(SUBSTITUTE(MID(I3121,IFERROR(FIND("and",I3121)+3,1),20),"second(s)","")),0)</f>
        <v/>
      </c>
      <c r="K3121" s="41">
        <f>J3121/60</f>
        <v/>
      </c>
      <c r="L3121" s="41">
        <f>IFERROR(J3121/H3121,"")</f>
        <v/>
      </c>
      <c r="M3121" s="25" t="inlineStr">
        <is>
          <t>2.5.12</t>
        </is>
      </c>
      <c r="N3121" s="25">
        <f>IF(J3121&gt;300,1,0)</f>
        <v/>
      </c>
      <c r="O3121" s="25">
        <f>IF(J3121&gt;600,1,0)</f>
        <v/>
      </c>
      <c r="P3121" s="25">
        <f>IF(H3121&gt;0,J3121,"")</f>
        <v/>
      </c>
      <c r="Q3121" s="25">
        <f>TEXT(A3121,"YYYY-MM-DD HH")</f>
        <v/>
      </c>
      <c r="R3121" s="25">
        <f>COUNTIF($Q$2:$Q$5295,Q3121)</f>
        <v/>
      </c>
      <c r="S3121" s="25">
        <f>IF(R3121&lt;=2,"1-2",IF(R3121&lt;=5,"3-5",IF(R3121&lt;=10,"6-10","11+")))</f>
        <v/>
      </c>
    </row>
    <row r="3122">
      <c r="A3122" s="39" t="n">
        <v>46197.13716435185</v>
      </c>
      <c r="B3122" s="25">
        <f>TEXT(A3122,"YYYY-MM")</f>
        <v/>
      </c>
      <c r="C3122" s="25">
        <f>TEXT(A3122,"MMM-YYYY")</f>
        <v/>
      </c>
      <c r="D3122" s="40">
        <f>INT(A3122)-WEEKDAY(A3122,2)+1</f>
        <v/>
      </c>
      <c r="E3122" s="25" t="inlineStr">
        <is>
          <t>mgupta</t>
        </is>
      </c>
      <c r="F3122" s="25" t="n">
        <v>106680</v>
      </c>
      <c r="G3122" s="25" t="n">
        <v>2</v>
      </c>
      <c r="H3122" s="25" t="n">
        <v>10</v>
      </c>
      <c r="I3122" s="25" t="inlineStr">
        <is>
          <t>2 minute(s) and 49 second(s)</t>
        </is>
      </c>
      <c r="J3122" s="25">
        <f>IFERROR(VALUE(TRIM(LEFT(I3122,FIND("minute",I3122)-1)))*60,0)+IFERROR(VALUE(SUBSTITUTE(MID(I3122,IFERROR(FIND("and",I3122)+3,1),20),"second(s)","")),0)</f>
        <v/>
      </c>
      <c r="K3122" s="41">
        <f>J3122/60</f>
        <v/>
      </c>
      <c r="L3122" s="41">
        <f>IFERROR(J3122/H3122,"")</f>
        <v/>
      </c>
      <c r="M3122" s="25" t="inlineStr">
        <is>
          <t>2.5.12</t>
        </is>
      </c>
      <c r="N3122" s="25">
        <f>IF(J3122&gt;300,1,0)</f>
        <v/>
      </c>
      <c r="O3122" s="25">
        <f>IF(J3122&gt;600,1,0)</f>
        <v/>
      </c>
      <c r="P3122" s="25">
        <f>IF(H3122&gt;0,J3122,"")</f>
        <v/>
      </c>
      <c r="Q3122" s="25">
        <f>TEXT(A3122,"YYYY-MM-DD HH")</f>
        <v/>
      </c>
      <c r="R3122" s="25">
        <f>COUNTIF($Q$2:$Q$5295,Q3122)</f>
        <v/>
      </c>
      <c r="S3122" s="25">
        <f>IF(R3122&lt;=2,"1-2",IF(R3122&lt;=5,"3-5",IF(R3122&lt;=10,"6-10","11+")))</f>
        <v/>
      </c>
    </row>
    <row r="3123">
      <c r="A3123" s="39" t="n">
        <v>46197.14395833333</v>
      </c>
      <c r="B3123" s="25">
        <f>TEXT(A3123,"YYYY-MM")</f>
        <v/>
      </c>
      <c r="C3123" s="25">
        <f>TEXT(A3123,"MMM-YYYY")</f>
        <v/>
      </c>
      <c r="D3123" s="40">
        <f>INT(A3123)-WEEKDAY(A3123,2)+1</f>
        <v/>
      </c>
      <c r="E3123" s="25" t="inlineStr">
        <is>
          <t>shassan</t>
        </is>
      </c>
      <c r="F3123" s="25" t="n">
        <v>125718</v>
      </c>
      <c r="G3123" s="25" t="n">
        <v>4</v>
      </c>
      <c r="H3123" s="25" t="n">
        <v>22</v>
      </c>
      <c r="I3123" s="25" t="inlineStr">
        <is>
          <t>6 minute(s) and 11 second(s)</t>
        </is>
      </c>
      <c r="J3123" s="25">
        <f>IFERROR(VALUE(TRIM(LEFT(I3123,FIND("minute",I3123)-1)))*60,0)+IFERROR(VALUE(SUBSTITUTE(MID(I3123,IFERROR(FIND("and",I3123)+3,1),20),"second(s)","")),0)</f>
        <v/>
      </c>
      <c r="K3123" s="41">
        <f>J3123/60</f>
        <v/>
      </c>
      <c r="L3123" s="41">
        <f>IFERROR(J3123/H3123,"")</f>
        <v/>
      </c>
      <c r="M3123" s="25" t="inlineStr">
        <is>
          <t>2.5.12</t>
        </is>
      </c>
      <c r="N3123" s="25">
        <f>IF(J3123&gt;300,1,0)</f>
        <v/>
      </c>
      <c r="O3123" s="25">
        <f>IF(J3123&gt;600,1,0)</f>
        <v/>
      </c>
      <c r="P3123" s="25">
        <f>IF(H3123&gt;0,J3123,"")</f>
        <v/>
      </c>
      <c r="Q3123" s="25">
        <f>TEXT(A3123,"YYYY-MM-DD HH")</f>
        <v/>
      </c>
      <c r="R3123" s="25">
        <f>COUNTIF($Q$2:$Q$5295,Q3123)</f>
        <v/>
      </c>
      <c r="S3123" s="25">
        <f>IF(R3123&lt;=2,"1-2",IF(R3123&lt;=5,"3-5",IF(R3123&lt;=10,"6-10","11+")))</f>
        <v/>
      </c>
    </row>
    <row r="3124">
      <c r="A3124" s="39" t="n">
        <v>46197.16979166667</v>
      </c>
      <c r="B3124" s="25">
        <f>TEXT(A3124,"YYYY-MM")</f>
        <v/>
      </c>
      <c r="C3124" s="25">
        <f>TEXT(A3124,"MMM-YYYY")</f>
        <v/>
      </c>
      <c r="D3124" s="40">
        <f>INT(A3124)-WEEKDAY(A3124,2)+1</f>
        <v/>
      </c>
      <c r="E3124" s="25" t="inlineStr">
        <is>
          <t>adey</t>
        </is>
      </c>
      <c r="F3124" s="25" t="n">
        <v>94206</v>
      </c>
      <c r="G3124" s="25" t="n">
        <v>1</v>
      </c>
      <c r="H3124" s="25" t="n">
        <v>5</v>
      </c>
      <c r="I3124" s="25" t="inlineStr">
        <is>
          <t>2 minute(s) and 25 second(s)</t>
        </is>
      </c>
      <c r="J3124" s="25">
        <f>IFERROR(VALUE(TRIM(LEFT(I3124,FIND("minute",I3124)-1)))*60,0)+IFERROR(VALUE(SUBSTITUTE(MID(I3124,IFERROR(FIND("and",I3124)+3,1),20),"second(s)","")),0)</f>
        <v/>
      </c>
      <c r="K3124" s="41">
        <f>J3124/60</f>
        <v/>
      </c>
      <c r="L3124" s="41">
        <f>IFERROR(J3124/H3124,"")</f>
        <v/>
      </c>
      <c r="M3124" s="25" t="inlineStr">
        <is>
          <t>2.5.12</t>
        </is>
      </c>
      <c r="N3124" s="25">
        <f>IF(J3124&gt;300,1,0)</f>
        <v/>
      </c>
      <c r="O3124" s="25">
        <f>IF(J3124&gt;600,1,0)</f>
        <v/>
      </c>
      <c r="P3124" s="25">
        <f>IF(H3124&gt;0,J3124,"")</f>
        <v/>
      </c>
      <c r="Q3124" s="25">
        <f>TEXT(A3124,"YYYY-MM-DD HH")</f>
        <v/>
      </c>
      <c r="R3124" s="25">
        <f>COUNTIF($Q$2:$Q$5295,Q3124)</f>
        <v/>
      </c>
      <c r="S3124" s="25">
        <f>IF(R3124&lt;=2,"1-2",IF(R3124&lt;=5,"3-5",IF(R3124&lt;=10,"6-10","11+")))</f>
        <v/>
      </c>
    </row>
    <row r="3125">
      <c r="A3125" s="39" t="n">
        <v>46197.18318287037</v>
      </c>
      <c r="B3125" s="25">
        <f>TEXT(A3125,"YYYY-MM")</f>
        <v/>
      </c>
      <c r="C3125" s="25">
        <f>TEXT(A3125,"MMM-YYYY")</f>
        <v/>
      </c>
      <c r="D3125" s="40">
        <f>INT(A3125)-WEEKDAY(A3125,2)+1</f>
        <v/>
      </c>
      <c r="E3125" s="25" t="inlineStr">
        <is>
          <t>tkarmakar</t>
        </is>
      </c>
      <c r="F3125" s="25" t="n">
        <v>123698</v>
      </c>
      <c r="G3125" s="25" t="n">
        <v>2</v>
      </c>
      <c r="H3125" s="25" t="n">
        <v>12</v>
      </c>
      <c r="I3125" s="25" t="inlineStr">
        <is>
          <t>4 minute(s) and 26 second(s)</t>
        </is>
      </c>
      <c r="J3125" s="25">
        <f>IFERROR(VALUE(TRIM(LEFT(I3125,FIND("minute",I3125)-1)))*60,0)+IFERROR(VALUE(SUBSTITUTE(MID(I3125,IFERROR(FIND("and",I3125)+3,1),20),"second(s)","")),0)</f>
        <v/>
      </c>
      <c r="K3125" s="41">
        <f>J3125/60</f>
        <v/>
      </c>
      <c r="L3125" s="41">
        <f>IFERROR(J3125/H3125,"")</f>
        <v/>
      </c>
      <c r="M3125" s="25" t="inlineStr">
        <is>
          <t>2.5.12</t>
        </is>
      </c>
      <c r="N3125" s="25">
        <f>IF(J3125&gt;300,1,0)</f>
        <v/>
      </c>
      <c r="O3125" s="25">
        <f>IF(J3125&gt;600,1,0)</f>
        <v/>
      </c>
      <c r="P3125" s="25">
        <f>IF(H3125&gt;0,J3125,"")</f>
        <v/>
      </c>
      <c r="Q3125" s="25">
        <f>TEXT(A3125,"YYYY-MM-DD HH")</f>
        <v/>
      </c>
      <c r="R3125" s="25">
        <f>COUNTIF($Q$2:$Q$5295,Q3125)</f>
        <v/>
      </c>
      <c r="S3125" s="25">
        <f>IF(R3125&lt;=2,"1-2",IF(R3125&lt;=5,"3-5",IF(R3125&lt;=10,"6-10","11+")))</f>
        <v/>
      </c>
    </row>
    <row r="3126">
      <c r="A3126" s="39" t="n">
        <v>46197.22484953704</v>
      </c>
      <c r="B3126" s="25">
        <f>TEXT(A3126,"YYYY-MM")</f>
        <v/>
      </c>
      <c r="C3126" s="25">
        <f>TEXT(A3126,"MMM-YYYY")</f>
        <v/>
      </c>
      <c r="D3126" s="40">
        <f>INT(A3126)-WEEKDAY(A3126,2)+1</f>
        <v/>
      </c>
      <c r="E3126" s="25" t="inlineStr">
        <is>
          <t>sthomas</t>
        </is>
      </c>
      <c r="F3126" s="25" t="n">
        <v>123389</v>
      </c>
      <c r="G3126" s="25" t="n">
        <v>4</v>
      </c>
      <c r="H3126" s="25" t="n">
        <v>23</v>
      </c>
      <c r="I3126" s="25" t="inlineStr">
        <is>
          <t>5 minute(s) and 36 second(s)</t>
        </is>
      </c>
      <c r="J3126" s="25">
        <f>IFERROR(VALUE(TRIM(LEFT(I3126,FIND("minute",I3126)-1)))*60,0)+IFERROR(VALUE(SUBSTITUTE(MID(I3126,IFERROR(FIND("and",I3126)+3,1),20),"second(s)","")),0)</f>
        <v/>
      </c>
      <c r="K3126" s="41">
        <f>J3126/60</f>
        <v/>
      </c>
      <c r="L3126" s="41">
        <f>IFERROR(J3126/H3126,"")</f>
        <v/>
      </c>
      <c r="M3126" s="25" t="inlineStr">
        <is>
          <t>2.5.12</t>
        </is>
      </c>
      <c r="N3126" s="25">
        <f>IF(J3126&gt;300,1,0)</f>
        <v/>
      </c>
      <c r="O3126" s="25">
        <f>IF(J3126&gt;600,1,0)</f>
        <v/>
      </c>
      <c r="P3126" s="25">
        <f>IF(H3126&gt;0,J3126,"")</f>
        <v/>
      </c>
      <c r="Q3126" s="25">
        <f>TEXT(A3126,"YYYY-MM-DD HH")</f>
        <v/>
      </c>
      <c r="R3126" s="25">
        <f>COUNTIF($Q$2:$Q$5295,Q3126)</f>
        <v/>
      </c>
      <c r="S3126" s="25">
        <f>IF(R3126&lt;=2,"1-2",IF(R3126&lt;=5,"3-5",IF(R3126&lt;=10,"6-10","11+")))</f>
        <v/>
      </c>
    </row>
    <row r="3127">
      <c r="A3127" s="39" t="n">
        <v>46197.23128472222</v>
      </c>
      <c r="B3127" s="25">
        <f>TEXT(A3127,"YYYY-MM")</f>
        <v/>
      </c>
      <c r="C3127" s="25">
        <f>TEXT(A3127,"MMM-YYYY")</f>
        <v/>
      </c>
      <c r="D3127" s="40">
        <f>INT(A3127)-WEEKDAY(A3127,2)+1</f>
        <v/>
      </c>
      <c r="E3127" s="25" t="inlineStr">
        <is>
          <t>emishra</t>
        </is>
      </c>
      <c r="F3127" s="25" t="n">
        <v>122791</v>
      </c>
      <c r="G3127" s="25" t="n">
        <v>2</v>
      </c>
      <c r="H3127" s="25" t="n">
        <v>15</v>
      </c>
      <c r="I3127" s="25" t="inlineStr">
        <is>
          <t>3 minute(s) and 19 second(s)</t>
        </is>
      </c>
      <c r="J3127" s="25">
        <f>IFERROR(VALUE(TRIM(LEFT(I3127,FIND("minute",I3127)-1)))*60,0)+IFERROR(VALUE(SUBSTITUTE(MID(I3127,IFERROR(FIND("and",I3127)+3,1),20),"second(s)","")),0)</f>
        <v/>
      </c>
      <c r="K3127" s="41">
        <f>J3127/60</f>
        <v/>
      </c>
      <c r="L3127" s="41">
        <f>IFERROR(J3127/H3127,"")</f>
        <v/>
      </c>
      <c r="M3127" s="25" t="inlineStr">
        <is>
          <t>2.5.12</t>
        </is>
      </c>
      <c r="N3127" s="25">
        <f>IF(J3127&gt;300,1,0)</f>
        <v/>
      </c>
      <c r="O3127" s="25">
        <f>IF(J3127&gt;600,1,0)</f>
        <v/>
      </c>
      <c r="P3127" s="25">
        <f>IF(H3127&gt;0,J3127,"")</f>
        <v/>
      </c>
      <c r="Q3127" s="25">
        <f>TEXT(A3127,"YYYY-MM-DD HH")</f>
        <v/>
      </c>
      <c r="R3127" s="25">
        <f>COUNTIF($Q$2:$Q$5295,Q3127)</f>
        <v/>
      </c>
      <c r="S3127" s="25">
        <f>IF(R3127&lt;=2,"1-2",IF(R3127&lt;=5,"3-5",IF(R3127&lt;=10,"6-10","11+")))</f>
        <v/>
      </c>
    </row>
    <row r="3128">
      <c r="A3128" s="39" t="n">
        <v>46197.25292824074</v>
      </c>
      <c r="B3128" s="25">
        <f>TEXT(A3128,"YYYY-MM")</f>
        <v/>
      </c>
      <c r="C3128" s="25">
        <f>TEXT(A3128,"MMM-YYYY")</f>
        <v/>
      </c>
      <c r="D3128" s="40">
        <f>INT(A3128)-WEEKDAY(A3128,2)+1</f>
        <v/>
      </c>
      <c r="E3128" s="25" t="inlineStr">
        <is>
          <t>tkarmakar</t>
        </is>
      </c>
      <c r="F3128" s="25" t="n">
        <v>116087</v>
      </c>
      <c r="G3128" s="25" t="n">
        <v>2</v>
      </c>
      <c r="H3128" s="25" t="n">
        <v>12</v>
      </c>
      <c r="I3128" s="25" t="inlineStr">
        <is>
          <t>2 minute(s) and 32 second(s)</t>
        </is>
      </c>
      <c r="J3128" s="25">
        <f>IFERROR(VALUE(TRIM(LEFT(I3128,FIND("minute",I3128)-1)))*60,0)+IFERROR(VALUE(SUBSTITUTE(MID(I3128,IFERROR(FIND("and",I3128)+3,1),20),"second(s)","")),0)</f>
        <v/>
      </c>
      <c r="K3128" s="41">
        <f>J3128/60</f>
        <v/>
      </c>
      <c r="L3128" s="41">
        <f>IFERROR(J3128/H3128,"")</f>
        <v/>
      </c>
      <c r="M3128" s="25" t="inlineStr">
        <is>
          <t>2.5.12</t>
        </is>
      </c>
      <c r="N3128" s="25">
        <f>IF(J3128&gt;300,1,0)</f>
        <v/>
      </c>
      <c r="O3128" s="25">
        <f>IF(J3128&gt;600,1,0)</f>
        <v/>
      </c>
      <c r="P3128" s="25">
        <f>IF(H3128&gt;0,J3128,"")</f>
        <v/>
      </c>
      <c r="Q3128" s="25">
        <f>TEXT(A3128,"YYYY-MM-DD HH")</f>
        <v/>
      </c>
      <c r="R3128" s="25">
        <f>COUNTIF($Q$2:$Q$5295,Q3128)</f>
        <v/>
      </c>
      <c r="S3128" s="25">
        <f>IF(R3128&lt;=2,"1-2",IF(R3128&lt;=5,"3-5",IF(R3128&lt;=10,"6-10","11+")))</f>
        <v/>
      </c>
    </row>
    <row r="3129">
      <c r="A3129" s="39" t="n">
        <v>46197.26695601852</v>
      </c>
      <c r="B3129" s="25">
        <f>TEXT(A3129,"YYYY-MM")</f>
        <v/>
      </c>
      <c r="C3129" s="25">
        <f>TEXT(A3129,"MMM-YYYY")</f>
        <v/>
      </c>
      <c r="D3129" s="40">
        <f>INT(A3129)-WEEKDAY(A3129,2)+1</f>
        <v/>
      </c>
      <c r="E3129" s="25" t="inlineStr">
        <is>
          <t>emishra</t>
        </is>
      </c>
      <c r="F3129" s="25" t="n">
        <v>124758</v>
      </c>
      <c r="G3129" s="25" t="n">
        <v>1</v>
      </c>
      <c r="H3129" s="25" t="n">
        <v>7</v>
      </c>
      <c r="I3129" s="25" t="inlineStr">
        <is>
          <t>1 minute(s) and 14 second(s)</t>
        </is>
      </c>
      <c r="J3129" s="25">
        <f>IFERROR(VALUE(TRIM(LEFT(I3129,FIND("minute",I3129)-1)))*60,0)+IFERROR(VALUE(SUBSTITUTE(MID(I3129,IFERROR(FIND("and",I3129)+3,1),20),"second(s)","")),0)</f>
        <v/>
      </c>
      <c r="K3129" s="41">
        <f>J3129/60</f>
        <v/>
      </c>
      <c r="L3129" s="41">
        <f>IFERROR(J3129/H3129,"")</f>
        <v/>
      </c>
      <c r="M3129" s="25" t="inlineStr">
        <is>
          <t>2.5.12</t>
        </is>
      </c>
      <c r="N3129" s="25">
        <f>IF(J3129&gt;300,1,0)</f>
        <v/>
      </c>
      <c r="O3129" s="25">
        <f>IF(J3129&gt;600,1,0)</f>
        <v/>
      </c>
      <c r="P3129" s="25">
        <f>IF(H3129&gt;0,J3129,"")</f>
        <v/>
      </c>
      <c r="Q3129" s="25">
        <f>TEXT(A3129,"YYYY-MM-DD HH")</f>
        <v/>
      </c>
      <c r="R3129" s="25">
        <f>COUNTIF($Q$2:$Q$5295,Q3129)</f>
        <v/>
      </c>
      <c r="S3129" s="25">
        <f>IF(R3129&lt;=2,"1-2",IF(R3129&lt;=5,"3-5",IF(R3129&lt;=10,"6-10","11+")))</f>
        <v/>
      </c>
    </row>
    <row r="3130">
      <c r="A3130" s="39" t="n">
        <v>46197.26972222222</v>
      </c>
      <c r="B3130" s="25">
        <f>TEXT(A3130,"YYYY-MM")</f>
        <v/>
      </c>
      <c r="C3130" s="25">
        <f>TEXT(A3130,"MMM-YYYY")</f>
        <v/>
      </c>
      <c r="D3130" s="40">
        <f>INT(A3130)-WEEKDAY(A3130,2)+1</f>
        <v/>
      </c>
      <c r="E3130" s="25" t="inlineStr">
        <is>
          <t>sthomas</t>
        </is>
      </c>
      <c r="F3130" s="25" t="n">
        <v>124903</v>
      </c>
      <c r="G3130" s="25" t="n">
        <v>4</v>
      </c>
      <c r="H3130" s="25" t="n">
        <v>20</v>
      </c>
      <c r="I3130" s="25" t="inlineStr">
        <is>
          <t>5 minute(s) and 24 second(s)</t>
        </is>
      </c>
      <c r="J3130" s="25">
        <f>IFERROR(VALUE(TRIM(LEFT(I3130,FIND("minute",I3130)-1)))*60,0)+IFERROR(VALUE(SUBSTITUTE(MID(I3130,IFERROR(FIND("and",I3130)+3,1),20),"second(s)","")),0)</f>
        <v/>
      </c>
      <c r="K3130" s="41">
        <f>J3130/60</f>
        <v/>
      </c>
      <c r="L3130" s="41">
        <f>IFERROR(J3130/H3130,"")</f>
        <v/>
      </c>
      <c r="M3130" s="25" t="inlineStr">
        <is>
          <t>2.5.12</t>
        </is>
      </c>
      <c r="N3130" s="25">
        <f>IF(J3130&gt;300,1,0)</f>
        <v/>
      </c>
      <c r="O3130" s="25">
        <f>IF(J3130&gt;600,1,0)</f>
        <v/>
      </c>
      <c r="P3130" s="25">
        <f>IF(H3130&gt;0,J3130,"")</f>
        <v/>
      </c>
      <c r="Q3130" s="25">
        <f>TEXT(A3130,"YYYY-MM-DD HH")</f>
        <v/>
      </c>
      <c r="R3130" s="25">
        <f>COUNTIF($Q$2:$Q$5295,Q3130)</f>
        <v/>
      </c>
      <c r="S3130" s="25">
        <f>IF(R3130&lt;=2,"1-2",IF(R3130&lt;=5,"3-5",IF(R3130&lt;=10,"6-10","11+")))</f>
        <v/>
      </c>
    </row>
    <row r="3131">
      <c r="A3131" s="39" t="n">
        <v>46197.37752314815</v>
      </c>
      <c r="B3131" s="25">
        <f>TEXT(A3131,"YYYY-MM")</f>
        <v/>
      </c>
      <c r="C3131" s="25">
        <f>TEXT(A3131,"MMM-YYYY")</f>
        <v/>
      </c>
      <c r="D3131" s="40">
        <f>INT(A3131)-WEEKDAY(A3131,2)+1</f>
        <v/>
      </c>
      <c r="E3131" s="25" t="inlineStr">
        <is>
          <t>emishra</t>
        </is>
      </c>
      <c r="F3131" s="25" t="n">
        <v>121790</v>
      </c>
      <c r="G3131" s="25" t="n">
        <v>5</v>
      </c>
      <c r="H3131" s="25" t="n">
        <v>33</v>
      </c>
      <c r="I3131" s="25" t="inlineStr">
        <is>
          <t>8 minute(s) and 29 second(s)</t>
        </is>
      </c>
      <c r="J3131" s="25">
        <f>IFERROR(VALUE(TRIM(LEFT(I3131,FIND("minute",I3131)-1)))*60,0)+IFERROR(VALUE(SUBSTITUTE(MID(I3131,IFERROR(FIND("and",I3131)+3,1),20),"second(s)","")),0)</f>
        <v/>
      </c>
      <c r="K3131" s="41">
        <f>J3131/60</f>
        <v/>
      </c>
      <c r="L3131" s="41">
        <f>IFERROR(J3131/H3131,"")</f>
        <v/>
      </c>
      <c r="M3131" s="25" t="inlineStr">
        <is>
          <t>2.5.12</t>
        </is>
      </c>
      <c r="N3131" s="25">
        <f>IF(J3131&gt;300,1,0)</f>
        <v/>
      </c>
      <c r="O3131" s="25">
        <f>IF(J3131&gt;600,1,0)</f>
        <v/>
      </c>
      <c r="P3131" s="25">
        <f>IF(H3131&gt;0,J3131,"")</f>
        <v/>
      </c>
      <c r="Q3131" s="25">
        <f>TEXT(A3131,"YYYY-MM-DD HH")</f>
        <v/>
      </c>
      <c r="R3131" s="25">
        <f>COUNTIF($Q$2:$Q$5295,Q3131)</f>
        <v/>
      </c>
      <c r="S3131" s="25">
        <f>IF(R3131&lt;=2,"1-2",IF(R3131&lt;=5,"3-5",IF(R3131&lt;=10,"6-10","11+")))</f>
        <v/>
      </c>
    </row>
    <row r="3132">
      <c r="A3132" s="39" t="n">
        <v>46197.40166666666</v>
      </c>
      <c r="B3132" s="25">
        <f>TEXT(A3132,"YYYY-MM")</f>
        <v/>
      </c>
      <c r="C3132" s="25">
        <f>TEXT(A3132,"MMM-YYYY")</f>
        <v/>
      </c>
      <c r="D3132" s="40">
        <f>INT(A3132)-WEEKDAY(A3132,2)+1</f>
        <v/>
      </c>
      <c r="E3132" s="25" t="inlineStr">
        <is>
          <t>anusharma</t>
        </is>
      </c>
      <c r="F3132" s="25" t="n">
        <v>117068</v>
      </c>
      <c r="G3132" s="25" t="n">
        <v>2</v>
      </c>
      <c r="H3132" s="25" t="n">
        <v>8</v>
      </c>
      <c r="I3132" s="25" t="inlineStr">
        <is>
          <t>2 minute(s) and 56 second(s)</t>
        </is>
      </c>
      <c r="J3132" s="25">
        <f>IFERROR(VALUE(TRIM(LEFT(I3132,FIND("minute",I3132)-1)))*60,0)+IFERROR(VALUE(SUBSTITUTE(MID(I3132,IFERROR(FIND("and",I3132)+3,1),20),"second(s)","")),0)</f>
        <v/>
      </c>
      <c r="K3132" s="41">
        <f>J3132/60</f>
        <v/>
      </c>
      <c r="L3132" s="41">
        <f>IFERROR(J3132/H3132,"")</f>
        <v/>
      </c>
      <c r="M3132" s="25" t="inlineStr">
        <is>
          <t>2.5.12</t>
        </is>
      </c>
      <c r="N3132" s="25">
        <f>IF(J3132&gt;300,1,0)</f>
        <v/>
      </c>
      <c r="O3132" s="25">
        <f>IF(J3132&gt;600,1,0)</f>
        <v/>
      </c>
      <c r="P3132" s="25">
        <f>IF(H3132&gt;0,J3132,"")</f>
        <v/>
      </c>
      <c r="Q3132" s="25">
        <f>TEXT(A3132,"YYYY-MM-DD HH")</f>
        <v/>
      </c>
      <c r="R3132" s="25">
        <f>COUNTIF($Q$2:$Q$5295,Q3132)</f>
        <v/>
      </c>
      <c r="S3132" s="25">
        <f>IF(R3132&lt;=2,"1-2",IF(R3132&lt;=5,"3-5",IF(R3132&lt;=10,"6-10","11+")))</f>
        <v/>
      </c>
    </row>
    <row r="3133">
      <c r="A3133" s="39" t="n">
        <v>46197.4190162037</v>
      </c>
      <c r="B3133" s="25">
        <f>TEXT(A3133,"YYYY-MM")</f>
        <v/>
      </c>
      <c r="C3133" s="25">
        <f>TEXT(A3133,"MMM-YYYY")</f>
        <v/>
      </c>
      <c r="D3133" s="40">
        <f>INT(A3133)-WEEKDAY(A3133,2)+1</f>
        <v/>
      </c>
      <c r="E3133" s="25" t="inlineStr">
        <is>
          <t>bverma</t>
        </is>
      </c>
      <c r="F3133" s="25" t="n">
        <v>125603</v>
      </c>
      <c r="G3133" s="25" t="n">
        <v>2</v>
      </c>
      <c r="H3133" s="25" t="n">
        <v>10</v>
      </c>
      <c r="I3133" s="25" t="inlineStr">
        <is>
          <t>2 minute(s) and 12 second(s)</t>
        </is>
      </c>
      <c r="J3133" s="25">
        <f>IFERROR(VALUE(TRIM(LEFT(I3133,FIND("minute",I3133)-1)))*60,0)+IFERROR(VALUE(SUBSTITUTE(MID(I3133,IFERROR(FIND("and",I3133)+3,1),20),"second(s)","")),0)</f>
        <v/>
      </c>
      <c r="K3133" s="41">
        <f>J3133/60</f>
        <v/>
      </c>
      <c r="L3133" s="41">
        <f>IFERROR(J3133/H3133,"")</f>
        <v/>
      </c>
      <c r="M3133" s="25" t="inlineStr">
        <is>
          <t>2.5.12</t>
        </is>
      </c>
      <c r="N3133" s="25">
        <f>IF(J3133&gt;300,1,0)</f>
        <v/>
      </c>
      <c r="O3133" s="25">
        <f>IF(J3133&gt;600,1,0)</f>
        <v/>
      </c>
      <c r="P3133" s="25">
        <f>IF(H3133&gt;0,J3133,"")</f>
        <v/>
      </c>
      <c r="Q3133" s="25">
        <f>TEXT(A3133,"YYYY-MM-DD HH")</f>
        <v/>
      </c>
      <c r="R3133" s="25">
        <f>COUNTIF($Q$2:$Q$5295,Q3133)</f>
        <v/>
      </c>
      <c r="S3133" s="25">
        <f>IF(R3133&lt;=2,"1-2",IF(R3133&lt;=5,"3-5",IF(R3133&lt;=10,"6-10","11+")))</f>
        <v/>
      </c>
    </row>
    <row r="3134">
      <c r="A3134" s="39" t="n">
        <v>46197.43310185185</v>
      </c>
      <c r="B3134" s="25">
        <f>TEXT(A3134,"YYYY-MM")</f>
        <v/>
      </c>
      <c r="C3134" s="25">
        <f>TEXT(A3134,"MMM-YYYY")</f>
        <v/>
      </c>
      <c r="D3134" s="40">
        <f>INT(A3134)-WEEKDAY(A3134,2)+1</f>
        <v/>
      </c>
      <c r="E3134" s="25" t="inlineStr">
        <is>
          <t>aghosh</t>
        </is>
      </c>
      <c r="F3134" s="25" t="n">
        <v>122466</v>
      </c>
      <c r="G3134" s="25" t="n">
        <v>4</v>
      </c>
      <c r="H3134" s="25" t="n">
        <v>24</v>
      </c>
      <c r="I3134" s="25" t="inlineStr">
        <is>
          <t>6 minute(s) and 31 second(s)</t>
        </is>
      </c>
      <c r="J3134" s="25">
        <f>IFERROR(VALUE(TRIM(LEFT(I3134,FIND("minute",I3134)-1)))*60,0)+IFERROR(VALUE(SUBSTITUTE(MID(I3134,IFERROR(FIND("and",I3134)+3,1),20),"second(s)","")),0)</f>
        <v/>
      </c>
      <c r="K3134" s="41">
        <f>J3134/60</f>
        <v/>
      </c>
      <c r="L3134" s="41">
        <f>IFERROR(J3134/H3134,"")</f>
        <v/>
      </c>
      <c r="M3134" s="25" t="inlineStr">
        <is>
          <t>2.5.12</t>
        </is>
      </c>
      <c r="N3134" s="25">
        <f>IF(J3134&gt;300,1,0)</f>
        <v/>
      </c>
      <c r="O3134" s="25">
        <f>IF(J3134&gt;600,1,0)</f>
        <v/>
      </c>
      <c r="P3134" s="25">
        <f>IF(H3134&gt;0,J3134,"")</f>
        <v/>
      </c>
      <c r="Q3134" s="25">
        <f>TEXT(A3134,"YYYY-MM-DD HH")</f>
        <v/>
      </c>
      <c r="R3134" s="25">
        <f>COUNTIF($Q$2:$Q$5295,Q3134)</f>
        <v/>
      </c>
      <c r="S3134" s="25">
        <f>IF(R3134&lt;=2,"1-2",IF(R3134&lt;=5,"3-5",IF(R3134&lt;=10,"6-10","11+")))</f>
        <v/>
      </c>
    </row>
    <row r="3135">
      <c r="A3135" s="39" t="n">
        <v>46197.45092592593</v>
      </c>
      <c r="B3135" s="25">
        <f>TEXT(A3135,"YYYY-MM")</f>
        <v/>
      </c>
      <c r="C3135" s="25">
        <f>TEXT(A3135,"MMM-YYYY")</f>
        <v/>
      </c>
      <c r="D3135" s="40">
        <f>INT(A3135)-WEEKDAY(A3135,2)+1</f>
        <v/>
      </c>
      <c r="E3135" s="25" t="inlineStr">
        <is>
          <t>anusharma</t>
        </is>
      </c>
      <c r="F3135" s="25" t="n">
        <v>108051</v>
      </c>
      <c r="G3135" s="25" t="n">
        <v>2</v>
      </c>
      <c r="H3135" s="25" t="n">
        <v>8</v>
      </c>
      <c r="I3135" s="25" t="inlineStr">
        <is>
          <t>3 minute(s) and 5 second(s)</t>
        </is>
      </c>
      <c r="J3135" s="25">
        <f>IFERROR(VALUE(TRIM(LEFT(I3135,FIND("minute",I3135)-1)))*60,0)+IFERROR(VALUE(SUBSTITUTE(MID(I3135,IFERROR(FIND("and",I3135)+3,1),20),"second(s)","")),0)</f>
        <v/>
      </c>
      <c r="K3135" s="41">
        <f>J3135/60</f>
        <v/>
      </c>
      <c r="L3135" s="41">
        <f>IFERROR(J3135/H3135,"")</f>
        <v/>
      </c>
      <c r="M3135" s="25" t="inlineStr">
        <is>
          <t>2.5.12</t>
        </is>
      </c>
      <c r="N3135" s="25">
        <f>IF(J3135&gt;300,1,0)</f>
        <v/>
      </c>
      <c r="O3135" s="25">
        <f>IF(J3135&gt;600,1,0)</f>
        <v/>
      </c>
      <c r="P3135" s="25">
        <f>IF(H3135&gt;0,J3135,"")</f>
        <v/>
      </c>
      <c r="Q3135" s="25">
        <f>TEXT(A3135,"YYYY-MM-DD HH")</f>
        <v/>
      </c>
      <c r="R3135" s="25">
        <f>COUNTIF($Q$2:$Q$5295,Q3135)</f>
        <v/>
      </c>
      <c r="S3135" s="25">
        <f>IF(R3135&lt;=2,"1-2",IF(R3135&lt;=5,"3-5",IF(R3135&lt;=10,"6-10","11+")))</f>
        <v/>
      </c>
    </row>
    <row r="3136">
      <c r="A3136" s="39" t="n">
        <v>46197.45378472222</v>
      </c>
      <c r="B3136" s="25">
        <f>TEXT(A3136,"YYYY-MM")</f>
        <v/>
      </c>
      <c r="C3136" s="25">
        <f>TEXT(A3136,"MMM-YYYY")</f>
        <v/>
      </c>
      <c r="D3136" s="40">
        <f>INT(A3136)-WEEKDAY(A3136,2)+1</f>
        <v/>
      </c>
      <c r="E3136" s="25" t="inlineStr">
        <is>
          <t>bverma</t>
        </is>
      </c>
      <c r="F3136" s="25" t="n">
        <v>125603</v>
      </c>
      <c r="G3136" s="25" t="n">
        <v>2</v>
      </c>
      <c r="H3136" s="25" t="n">
        <v>13</v>
      </c>
      <c r="I3136" s="25" t="inlineStr">
        <is>
          <t>4 minute(s) and 53 second(s)</t>
        </is>
      </c>
      <c r="J3136" s="25">
        <f>IFERROR(VALUE(TRIM(LEFT(I3136,FIND("minute",I3136)-1)))*60,0)+IFERROR(VALUE(SUBSTITUTE(MID(I3136,IFERROR(FIND("and",I3136)+3,1),20),"second(s)","")),0)</f>
        <v/>
      </c>
      <c r="K3136" s="41">
        <f>J3136/60</f>
        <v/>
      </c>
      <c r="L3136" s="41">
        <f>IFERROR(J3136/H3136,"")</f>
        <v/>
      </c>
      <c r="M3136" s="25" t="inlineStr">
        <is>
          <t>2.5.12</t>
        </is>
      </c>
      <c r="N3136" s="25">
        <f>IF(J3136&gt;300,1,0)</f>
        <v/>
      </c>
      <c r="O3136" s="25">
        <f>IF(J3136&gt;600,1,0)</f>
        <v/>
      </c>
      <c r="P3136" s="25">
        <f>IF(H3136&gt;0,J3136,"")</f>
        <v/>
      </c>
      <c r="Q3136" s="25">
        <f>TEXT(A3136,"YYYY-MM-DD HH")</f>
        <v/>
      </c>
      <c r="R3136" s="25">
        <f>COUNTIF($Q$2:$Q$5295,Q3136)</f>
        <v/>
      </c>
      <c r="S3136" s="25">
        <f>IF(R3136&lt;=2,"1-2",IF(R3136&lt;=5,"3-5",IF(R3136&lt;=10,"6-10","11+")))</f>
        <v/>
      </c>
    </row>
    <row r="3137">
      <c r="A3137" s="39" t="n">
        <v>46197.46910879629</v>
      </c>
      <c r="B3137" s="25">
        <f>TEXT(A3137,"YYYY-MM")</f>
        <v/>
      </c>
      <c r="C3137" s="25">
        <f>TEXT(A3137,"MMM-YYYY")</f>
        <v/>
      </c>
      <c r="D3137" s="40">
        <f>INT(A3137)-WEEKDAY(A3137,2)+1</f>
        <v/>
      </c>
      <c r="E3137" s="25" t="inlineStr">
        <is>
          <t>anusharma</t>
        </is>
      </c>
      <c r="F3137" s="25" t="n">
        <v>121324</v>
      </c>
      <c r="G3137" s="25" t="n">
        <v>1</v>
      </c>
      <c r="H3137" s="25" t="n">
        <v>5</v>
      </c>
      <c r="I3137" s="25" t="inlineStr">
        <is>
          <t>52 second(s)</t>
        </is>
      </c>
      <c r="J3137" s="25">
        <f>IFERROR(VALUE(TRIM(LEFT(I3137,FIND("minute",I3137)-1)))*60,0)+IFERROR(VALUE(SUBSTITUTE(MID(I3137,IFERROR(FIND("and",I3137)+3,1),20),"second(s)","")),0)</f>
        <v/>
      </c>
      <c r="K3137" s="41">
        <f>J3137/60</f>
        <v/>
      </c>
      <c r="L3137" s="41">
        <f>IFERROR(J3137/H3137,"")</f>
        <v/>
      </c>
      <c r="M3137" s="25" t="inlineStr">
        <is>
          <t>2.5.12</t>
        </is>
      </c>
      <c r="N3137" s="25">
        <f>IF(J3137&gt;300,1,0)</f>
        <v/>
      </c>
      <c r="O3137" s="25">
        <f>IF(J3137&gt;600,1,0)</f>
        <v/>
      </c>
      <c r="P3137" s="25">
        <f>IF(H3137&gt;0,J3137,"")</f>
        <v/>
      </c>
      <c r="Q3137" s="25">
        <f>TEXT(A3137,"YYYY-MM-DD HH")</f>
        <v/>
      </c>
      <c r="R3137" s="25">
        <f>COUNTIF($Q$2:$Q$5295,Q3137)</f>
        <v/>
      </c>
      <c r="S3137" s="25">
        <f>IF(R3137&lt;=2,"1-2",IF(R3137&lt;=5,"3-5",IF(R3137&lt;=10,"6-10","11+")))</f>
        <v/>
      </c>
    </row>
    <row r="3138">
      <c r="A3138" s="39" t="n">
        <v>46197.4696875</v>
      </c>
      <c r="B3138" s="25">
        <f>TEXT(A3138,"YYYY-MM")</f>
        <v/>
      </c>
      <c r="C3138" s="25">
        <f>TEXT(A3138,"MMM-YYYY")</f>
        <v/>
      </c>
      <c r="D3138" s="40">
        <f>INT(A3138)-WEEKDAY(A3138,2)+1</f>
        <v/>
      </c>
      <c r="E3138" s="25" t="inlineStr">
        <is>
          <t>dchoudhury</t>
        </is>
      </c>
      <c r="F3138" s="25" t="n">
        <v>125633</v>
      </c>
      <c r="G3138" s="25" t="n">
        <v>3</v>
      </c>
      <c r="H3138" s="25" t="n">
        <v>11</v>
      </c>
      <c r="I3138" s="25" t="inlineStr">
        <is>
          <t>4 minute(s) and 3 second(s)</t>
        </is>
      </c>
      <c r="J3138" s="25">
        <f>IFERROR(VALUE(TRIM(LEFT(I3138,FIND("minute",I3138)-1)))*60,0)+IFERROR(VALUE(SUBSTITUTE(MID(I3138,IFERROR(FIND("and",I3138)+3,1),20),"second(s)","")),0)</f>
        <v/>
      </c>
      <c r="K3138" s="41">
        <f>J3138/60</f>
        <v/>
      </c>
      <c r="L3138" s="41">
        <f>IFERROR(J3138/H3138,"")</f>
        <v/>
      </c>
      <c r="M3138" s="25" t="inlineStr">
        <is>
          <t>2.5.12</t>
        </is>
      </c>
      <c r="N3138" s="25">
        <f>IF(J3138&gt;300,1,0)</f>
        <v/>
      </c>
      <c r="O3138" s="25">
        <f>IF(J3138&gt;600,1,0)</f>
        <v/>
      </c>
      <c r="P3138" s="25">
        <f>IF(H3138&gt;0,J3138,"")</f>
        <v/>
      </c>
      <c r="Q3138" s="25">
        <f>TEXT(A3138,"YYYY-MM-DD HH")</f>
        <v/>
      </c>
      <c r="R3138" s="25">
        <f>COUNTIF($Q$2:$Q$5295,Q3138)</f>
        <v/>
      </c>
      <c r="S3138" s="25">
        <f>IF(R3138&lt;=2,"1-2",IF(R3138&lt;=5,"3-5",IF(R3138&lt;=10,"6-10","11+")))</f>
        <v/>
      </c>
    </row>
    <row r="3139">
      <c r="A3139" s="39" t="n">
        <v>46197.52081018518</v>
      </c>
      <c r="B3139" s="25">
        <f>TEXT(A3139,"YYYY-MM")</f>
        <v/>
      </c>
      <c r="C3139" s="25">
        <f>TEXT(A3139,"MMM-YYYY")</f>
        <v/>
      </c>
      <c r="D3139" s="40">
        <f>INT(A3139)-WEEKDAY(A3139,2)+1</f>
        <v/>
      </c>
      <c r="E3139" s="25" t="inlineStr">
        <is>
          <t>psingh</t>
        </is>
      </c>
      <c r="F3139" s="25" t="n">
        <v>122603</v>
      </c>
      <c r="G3139" s="25" t="n">
        <v>3</v>
      </c>
      <c r="H3139" s="25" t="n">
        <v>15</v>
      </c>
      <c r="I3139" s="25" t="inlineStr">
        <is>
          <t>3 minute(s) and 58 second(s)</t>
        </is>
      </c>
      <c r="J3139" s="25">
        <f>IFERROR(VALUE(TRIM(LEFT(I3139,FIND("minute",I3139)-1)))*60,0)+IFERROR(VALUE(SUBSTITUTE(MID(I3139,IFERROR(FIND("and",I3139)+3,1),20),"second(s)","")),0)</f>
        <v/>
      </c>
      <c r="K3139" s="41">
        <f>J3139/60</f>
        <v/>
      </c>
      <c r="L3139" s="41">
        <f>IFERROR(J3139/H3139,"")</f>
        <v/>
      </c>
      <c r="M3139" s="25" t="inlineStr">
        <is>
          <t>2.5.12</t>
        </is>
      </c>
      <c r="N3139" s="25">
        <f>IF(J3139&gt;300,1,0)</f>
        <v/>
      </c>
      <c r="O3139" s="25">
        <f>IF(J3139&gt;600,1,0)</f>
        <v/>
      </c>
      <c r="P3139" s="25">
        <f>IF(H3139&gt;0,J3139,"")</f>
        <v/>
      </c>
      <c r="Q3139" s="25">
        <f>TEXT(A3139,"YYYY-MM-DD HH")</f>
        <v/>
      </c>
      <c r="R3139" s="25">
        <f>COUNTIF($Q$2:$Q$5295,Q3139)</f>
        <v/>
      </c>
      <c r="S3139" s="25">
        <f>IF(R3139&lt;=2,"1-2",IF(R3139&lt;=5,"3-5",IF(R3139&lt;=10,"6-10","11+")))</f>
        <v/>
      </c>
    </row>
    <row r="3140">
      <c r="A3140" s="39" t="n">
        <v>46197.54814814815</v>
      </c>
      <c r="B3140" s="25">
        <f>TEXT(A3140,"YYYY-MM")</f>
        <v/>
      </c>
      <c r="C3140" s="25">
        <f>TEXT(A3140,"MMM-YYYY")</f>
        <v/>
      </c>
      <c r="D3140" s="40">
        <f>INT(A3140)-WEEKDAY(A3140,2)+1</f>
        <v/>
      </c>
      <c r="E3140" s="25" t="inlineStr">
        <is>
          <t>apriyadarshi</t>
        </is>
      </c>
      <c r="F3140" s="25" t="n">
        <v>116640</v>
      </c>
      <c r="G3140" s="25" t="n">
        <v>2</v>
      </c>
      <c r="H3140" s="25" t="n">
        <v>11</v>
      </c>
      <c r="I3140" s="25" t="inlineStr">
        <is>
          <t>2 minute(s) and 7 second(s)</t>
        </is>
      </c>
      <c r="J3140" s="25">
        <f>IFERROR(VALUE(TRIM(LEFT(I3140,FIND("minute",I3140)-1)))*60,0)+IFERROR(VALUE(SUBSTITUTE(MID(I3140,IFERROR(FIND("and",I3140)+3,1),20),"second(s)","")),0)</f>
        <v/>
      </c>
      <c r="K3140" s="41">
        <f>J3140/60</f>
        <v/>
      </c>
      <c r="L3140" s="41">
        <f>IFERROR(J3140/H3140,"")</f>
        <v/>
      </c>
      <c r="M3140" s="25" t="inlineStr">
        <is>
          <t>2.5.12</t>
        </is>
      </c>
      <c r="N3140" s="25">
        <f>IF(J3140&gt;300,1,0)</f>
        <v/>
      </c>
      <c r="O3140" s="25">
        <f>IF(J3140&gt;600,1,0)</f>
        <v/>
      </c>
      <c r="P3140" s="25">
        <f>IF(H3140&gt;0,J3140,"")</f>
        <v/>
      </c>
      <c r="Q3140" s="25">
        <f>TEXT(A3140,"YYYY-MM-DD HH")</f>
        <v/>
      </c>
      <c r="R3140" s="25">
        <f>COUNTIF($Q$2:$Q$5295,Q3140)</f>
        <v/>
      </c>
      <c r="S3140" s="25">
        <f>IF(R3140&lt;=2,"1-2",IF(R3140&lt;=5,"3-5",IF(R3140&lt;=10,"6-10","11+")))</f>
        <v/>
      </c>
    </row>
    <row r="3141">
      <c r="A3141" s="39" t="n">
        <v>46197.58800925926</v>
      </c>
      <c r="B3141" s="25">
        <f>TEXT(A3141,"YYYY-MM")</f>
        <v/>
      </c>
      <c r="C3141" s="25">
        <f>TEXT(A3141,"MMM-YYYY")</f>
        <v/>
      </c>
      <c r="D3141" s="40">
        <f>INT(A3141)-WEEKDAY(A3141,2)+1</f>
        <v/>
      </c>
      <c r="E3141" s="25" t="inlineStr">
        <is>
          <t>hsindwani</t>
        </is>
      </c>
      <c r="F3141" s="25" t="n">
        <v>113992</v>
      </c>
      <c r="G3141" s="25" t="n">
        <v>1</v>
      </c>
      <c r="H3141" s="25" t="n">
        <v>7</v>
      </c>
      <c r="I3141" s="25" t="inlineStr">
        <is>
          <t>4 minute(s) and 29 second(s)</t>
        </is>
      </c>
      <c r="J3141" s="25">
        <f>IFERROR(VALUE(TRIM(LEFT(I3141,FIND("minute",I3141)-1)))*60,0)+IFERROR(VALUE(SUBSTITUTE(MID(I3141,IFERROR(FIND("and",I3141)+3,1),20),"second(s)","")),0)</f>
        <v/>
      </c>
      <c r="K3141" s="41">
        <f>J3141/60</f>
        <v/>
      </c>
      <c r="L3141" s="41">
        <f>IFERROR(J3141/H3141,"")</f>
        <v/>
      </c>
      <c r="M3141" s="25" t="inlineStr">
        <is>
          <t>2.5.12</t>
        </is>
      </c>
      <c r="N3141" s="25">
        <f>IF(J3141&gt;300,1,0)</f>
        <v/>
      </c>
      <c r="O3141" s="25">
        <f>IF(J3141&gt;600,1,0)</f>
        <v/>
      </c>
      <c r="P3141" s="25">
        <f>IF(H3141&gt;0,J3141,"")</f>
        <v/>
      </c>
      <c r="Q3141" s="25">
        <f>TEXT(A3141,"YYYY-MM-DD HH")</f>
        <v/>
      </c>
      <c r="R3141" s="25">
        <f>COUNTIF($Q$2:$Q$5295,Q3141)</f>
        <v/>
      </c>
      <c r="S3141" s="25">
        <f>IF(R3141&lt;=2,"1-2",IF(R3141&lt;=5,"3-5",IF(R3141&lt;=10,"6-10","11+")))</f>
        <v/>
      </c>
    </row>
    <row r="3142">
      <c r="A3142" s="39" t="n">
        <v>46197.61574074074</v>
      </c>
      <c r="B3142" s="25">
        <f>TEXT(A3142,"YYYY-MM")</f>
        <v/>
      </c>
      <c r="C3142" s="25">
        <f>TEXT(A3142,"MMM-YYYY")</f>
        <v/>
      </c>
      <c r="D3142" s="40">
        <f>INT(A3142)-WEEKDAY(A3142,2)+1</f>
        <v/>
      </c>
      <c r="E3142" s="25" t="inlineStr">
        <is>
          <t>bverma</t>
        </is>
      </c>
      <c r="F3142" s="25" t="n">
        <v>125603</v>
      </c>
      <c r="G3142" s="25" t="n">
        <v>2</v>
      </c>
      <c r="H3142" s="25" t="n">
        <v>13</v>
      </c>
      <c r="I3142" s="25" t="inlineStr">
        <is>
          <t>3 minute(s) and 17 second(s)</t>
        </is>
      </c>
      <c r="J3142" s="25">
        <f>IFERROR(VALUE(TRIM(LEFT(I3142,FIND("minute",I3142)-1)))*60,0)+IFERROR(VALUE(SUBSTITUTE(MID(I3142,IFERROR(FIND("and",I3142)+3,1),20),"second(s)","")),0)</f>
        <v/>
      </c>
      <c r="K3142" s="41">
        <f>J3142/60</f>
        <v/>
      </c>
      <c r="L3142" s="41">
        <f>IFERROR(J3142/H3142,"")</f>
        <v/>
      </c>
      <c r="M3142" s="25" t="inlineStr">
        <is>
          <t>2.5.12</t>
        </is>
      </c>
      <c r="N3142" s="25">
        <f>IF(J3142&gt;300,1,0)</f>
        <v/>
      </c>
      <c r="O3142" s="25">
        <f>IF(J3142&gt;600,1,0)</f>
        <v/>
      </c>
      <c r="P3142" s="25">
        <f>IF(H3142&gt;0,J3142,"")</f>
        <v/>
      </c>
      <c r="Q3142" s="25">
        <f>TEXT(A3142,"YYYY-MM-DD HH")</f>
        <v/>
      </c>
      <c r="R3142" s="25">
        <f>COUNTIF($Q$2:$Q$5295,Q3142)</f>
        <v/>
      </c>
      <c r="S3142" s="25">
        <f>IF(R3142&lt;=2,"1-2",IF(R3142&lt;=5,"3-5",IF(R3142&lt;=10,"6-10","11+")))</f>
        <v/>
      </c>
    </row>
    <row r="3143">
      <c r="A3143" s="39" t="n">
        <v>46197.6475</v>
      </c>
      <c r="B3143" s="25">
        <f>TEXT(A3143,"YYYY-MM")</f>
        <v/>
      </c>
      <c r="C3143" s="25">
        <f>TEXT(A3143,"MMM-YYYY")</f>
        <v/>
      </c>
      <c r="D3143" s="40">
        <f>INT(A3143)-WEEKDAY(A3143,2)+1</f>
        <v/>
      </c>
      <c r="E3143" s="25" t="inlineStr">
        <is>
          <t>hsindwani</t>
        </is>
      </c>
      <c r="F3143" s="25" t="n">
        <v>107215</v>
      </c>
      <c r="G3143" s="25" t="n">
        <v>2</v>
      </c>
      <c r="H3143" s="25" t="n">
        <v>14</v>
      </c>
      <c r="I3143" s="25" t="inlineStr">
        <is>
          <t>7 minute(s) and 0 second(s)</t>
        </is>
      </c>
      <c r="J3143" s="25">
        <f>IFERROR(VALUE(TRIM(LEFT(I3143,FIND("minute",I3143)-1)))*60,0)+IFERROR(VALUE(SUBSTITUTE(MID(I3143,IFERROR(FIND("and",I3143)+3,1),20),"second(s)","")),0)</f>
        <v/>
      </c>
      <c r="K3143" s="41">
        <f>J3143/60</f>
        <v/>
      </c>
      <c r="L3143" s="41">
        <f>IFERROR(J3143/H3143,"")</f>
        <v/>
      </c>
      <c r="M3143" s="25" t="inlineStr">
        <is>
          <t>2.5.12</t>
        </is>
      </c>
      <c r="N3143" s="25">
        <f>IF(J3143&gt;300,1,0)</f>
        <v/>
      </c>
      <c r="O3143" s="25">
        <f>IF(J3143&gt;600,1,0)</f>
        <v/>
      </c>
      <c r="P3143" s="25">
        <f>IF(H3143&gt;0,J3143,"")</f>
        <v/>
      </c>
      <c r="Q3143" s="25">
        <f>TEXT(A3143,"YYYY-MM-DD HH")</f>
        <v/>
      </c>
      <c r="R3143" s="25">
        <f>COUNTIF($Q$2:$Q$5295,Q3143)</f>
        <v/>
      </c>
      <c r="S3143" s="25">
        <f>IF(R3143&lt;=2,"1-2",IF(R3143&lt;=5,"3-5",IF(R3143&lt;=10,"6-10","11+")))</f>
        <v/>
      </c>
    </row>
    <row r="3144">
      <c r="A3144" s="39" t="n">
        <v>46197.81065972222</v>
      </c>
      <c r="B3144" s="25">
        <f>TEXT(A3144,"YYYY-MM")</f>
        <v/>
      </c>
      <c r="C3144" s="25">
        <f>TEXT(A3144,"MMM-YYYY")</f>
        <v/>
      </c>
      <c r="D3144" s="40">
        <f>INT(A3144)-WEEKDAY(A3144,2)+1</f>
        <v/>
      </c>
      <c r="E3144" s="25" t="inlineStr">
        <is>
          <t>psingh</t>
        </is>
      </c>
      <c r="F3144" s="25" t="n">
        <v>122753</v>
      </c>
      <c r="G3144" s="25" t="n">
        <v>2</v>
      </c>
      <c r="H3144" s="25" t="n">
        <v>14</v>
      </c>
      <c r="I3144" s="25" t="inlineStr">
        <is>
          <t>6 minute(s) and 18 second(s)</t>
        </is>
      </c>
      <c r="J3144" s="25">
        <f>IFERROR(VALUE(TRIM(LEFT(I3144,FIND("minute",I3144)-1)))*60,0)+IFERROR(VALUE(SUBSTITUTE(MID(I3144,IFERROR(FIND("and",I3144)+3,1),20),"second(s)","")),0)</f>
        <v/>
      </c>
      <c r="K3144" s="41">
        <f>J3144/60</f>
        <v/>
      </c>
      <c r="L3144" s="41">
        <f>IFERROR(J3144/H3144,"")</f>
        <v/>
      </c>
      <c r="M3144" s="25" t="inlineStr">
        <is>
          <t>2.5.12</t>
        </is>
      </c>
      <c r="N3144" s="25">
        <f>IF(J3144&gt;300,1,0)</f>
        <v/>
      </c>
      <c r="O3144" s="25">
        <f>IF(J3144&gt;600,1,0)</f>
        <v/>
      </c>
      <c r="P3144" s="25">
        <f>IF(H3144&gt;0,J3144,"")</f>
        <v/>
      </c>
      <c r="Q3144" s="25">
        <f>TEXT(A3144,"YYYY-MM-DD HH")</f>
        <v/>
      </c>
      <c r="R3144" s="25">
        <f>COUNTIF($Q$2:$Q$5295,Q3144)</f>
        <v/>
      </c>
      <c r="S3144" s="25">
        <f>IF(R3144&lt;=2,"1-2",IF(R3144&lt;=5,"3-5",IF(R3144&lt;=10,"6-10","11+")))</f>
        <v/>
      </c>
    </row>
    <row r="3145">
      <c r="A3145" s="39" t="n">
        <v>46197.86163194444</v>
      </c>
      <c r="B3145" s="25">
        <f>TEXT(A3145,"YYYY-MM")</f>
        <v/>
      </c>
      <c r="C3145" s="25">
        <f>TEXT(A3145,"MMM-YYYY")</f>
        <v/>
      </c>
      <c r="D3145" s="40">
        <f>INT(A3145)-WEEKDAY(A3145,2)+1</f>
        <v/>
      </c>
      <c r="E3145" s="25" t="inlineStr">
        <is>
          <t>psingh</t>
        </is>
      </c>
      <c r="F3145" s="25" t="n">
        <v>123789</v>
      </c>
      <c r="G3145" s="25" t="n">
        <v>2</v>
      </c>
      <c r="H3145" s="25" t="n">
        <v>10</v>
      </c>
      <c r="I3145" s="25" t="inlineStr">
        <is>
          <t>2 minute(s) and 55 second(s)</t>
        </is>
      </c>
      <c r="J3145" s="25">
        <f>IFERROR(VALUE(TRIM(LEFT(I3145,FIND("minute",I3145)-1)))*60,0)+IFERROR(VALUE(SUBSTITUTE(MID(I3145,IFERROR(FIND("and",I3145)+3,1),20),"second(s)","")),0)</f>
        <v/>
      </c>
      <c r="K3145" s="41">
        <f>J3145/60</f>
        <v/>
      </c>
      <c r="L3145" s="41">
        <f>IFERROR(J3145/H3145,"")</f>
        <v/>
      </c>
      <c r="M3145" s="25" t="inlineStr">
        <is>
          <t>2.5.12</t>
        </is>
      </c>
      <c r="N3145" s="25">
        <f>IF(J3145&gt;300,1,0)</f>
        <v/>
      </c>
      <c r="O3145" s="25">
        <f>IF(J3145&gt;600,1,0)</f>
        <v/>
      </c>
      <c r="P3145" s="25">
        <f>IF(H3145&gt;0,J3145,"")</f>
        <v/>
      </c>
      <c r="Q3145" s="25">
        <f>TEXT(A3145,"YYYY-MM-DD HH")</f>
        <v/>
      </c>
      <c r="R3145" s="25">
        <f>COUNTIF($Q$2:$Q$5295,Q3145)</f>
        <v/>
      </c>
      <c r="S3145" s="25">
        <f>IF(R3145&lt;=2,"1-2",IF(R3145&lt;=5,"3-5",IF(R3145&lt;=10,"6-10","11+")))</f>
        <v/>
      </c>
    </row>
    <row r="3146">
      <c r="A3146" s="39" t="n">
        <v>46197.90704861111</v>
      </c>
      <c r="B3146" s="25">
        <f>TEXT(A3146,"YYYY-MM")</f>
        <v/>
      </c>
      <c r="C3146" s="25">
        <f>TEXT(A3146,"MMM-YYYY")</f>
        <v/>
      </c>
      <c r="D3146" s="40">
        <f>INT(A3146)-WEEKDAY(A3146,2)+1</f>
        <v/>
      </c>
      <c r="E3146" s="25" t="inlineStr">
        <is>
          <t>sswati</t>
        </is>
      </c>
      <c r="F3146" s="25" t="n">
        <v>108708</v>
      </c>
      <c r="G3146" s="25" t="n">
        <v>2</v>
      </c>
      <c r="H3146" s="25" t="n">
        <v>12</v>
      </c>
      <c r="I3146" s="25" t="inlineStr">
        <is>
          <t>3 minute(s) and 23 second(s)</t>
        </is>
      </c>
      <c r="J3146" s="25">
        <f>IFERROR(VALUE(TRIM(LEFT(I3146,FIND("minute",I3146)-1)))*60,0)+IFERROR(VALUE(SUBSTITUTE(MID(I3146,IFERROR(FIND("and",I3146)+3,1),20),"second(s)","")),0)</f>
        <v/>
      </c>
      <c r="K3146" s="41">
        <f>J3146/60</f>
        <v/>
      </c>
      <c r="L3146" s="41">
        <f>IFERROR(J3146/H3146,"")</f>
        <v/>
      </c>
      <c r="M3146" s="25" t="inlineStr">
        <is>
          <t>2.5.12</t>
        </is>
      </c>
      <c r="N3146" s="25">
        <f>IF(J3146&gt;300,1,0)</f>
        <v/>
      </c>
      <c r="O3146" s="25">
        <f>IF(J3146&gt;600,1,0)</f>
        <v/>
      </c>
      <c r="P3146" s="25">
        <f>IF(H3146&gt;0,J3146,"")</f>
        <v/>
      </c>
      <c r="Q3146" s="25">
        <f>TEXT(A3146,"YYYY-MM-DD HH")</f>
        <v/>
      </c>
      <c r="R3146" s="25">
        <f>COUNTIF($Q$2:$Q$5295,Q3146)</f>
        <v/>
      </c>
      <c r="S3146" s="25">
        <f>IF(R3146&lt;=2,"1-2",IF(R3146&lt;=5,"3-5",IF(R3146&lt;=10,"6-10","11+")))</f>
        <v/>
      </c>
    </row>
    <row r="3147">
      <c r="A3147" s="39" t="n">
        <v>46197.92552083333</v>
      </c>
      <c r="B3147" s="25">
        <f>TEXT(A3147,"YYYY-MM")</f>
        <v/>
      </c>
      <c r="C3147" s="25">
        <f>TEXT(A3147,"MMM-YYYY")</f>
        <v/>
      </c>
      <c r="D3147" s="40">
        <f>INT(A3147)-WEEKDAY(A3147,2)+1</f>
        <v/>
      </c>
      <c r="E3147" s="25" t="inlineStr">
        <is>
          <t>sswati</t>
        </is>
      </c>
      <c r="F3147" s="25" t="n">
        <v>113632</v>
      </c>
      <c r="G3147" s="25" t="n">
        <v>2</v>
      </c>
      <c r="H3147" s="25" t="n">
        <v>8</v>
      </c>
      <c r="I3147" s="25" t="inlineStr">
        <is>
          <t>3 minute(s) and 17 second(s)</t>
        </is>
      </c>
      <c r="J3147" s="25">
        <f>IFERROR(VALUE(TRIM(LEFT(I3147,FIND("minute",I3147)-1)))*60,0)+IFERROR(VALUE(SUBSTITUTE(MID(I3147,IFERROR(FIND("and",I3147)+3,1),20),"second(s)","")),0)</f>
        <v/>
      </c>
      <c r="K3147" s="41">
        <f>J3147/60</f>
        <v/>
      </c>
      <c r="L3147" s="41">
        <f>IFERROR(J3147/H3147,"")</f>
        <v/>
      </c>
      <c r="M3147" s="25" t="inlineStr">
        <is>
          <t>2.5.12</t>
        </is>
      </c>
      <c r="N3147" s="25">
        <f>IF(J3147&gt;300,1,0)</f>
        <v/>
      </c>
      <c r="O3147" s="25">
        <f>IF(J3147&gt;600,1,0)</f>
        <v/>
      </c>
      <c r="P3147" s="25">
        <f>IF(H3147&gt;0,J3147,"")</f>
        <v/>
      </c>
      <c r="Q3147" s="25">
        <f>TEXT(A3147,"YYYY-MM-DD HH")</f>
        <v/>
      </c>
      <c r="R3147" s="25">
        <f>COUNTIF($Q$2:$Q$5295,Q3147)</f>
        <v/>
      </c>
      <c r="S3147" s="25">
        <f>IF(R3147&lt;=2,"1-2",IF(R3147&lt;=5,"3-5",IF(R3147&lt;=10,"6-10","11+")))</f>
        <v/>
      </c>
    </row>
    <row r="3148">
      <c r="A3148" s="39" t="n">
        <v>46197.9522337963</v>
      </c>
      <c r="B3148" s="25">
        <f>TEXT(A3148,"YYYY-MM")</f>
        <v/>
      </c>
      <c r="C3148" s="25">
        <f>TEXT(A3148,"MMM-YYYY")</f>
        <v/>
      </c>
      <c r="D3148" s="40">
        <f>INT(A3148)-WEEKDAY(A3148,2)+1</f>
        <v/>
      </c>
      <c r="E3148" s="25" t="inlineStr">
        <is>
          <t>sswati</t>
        </is>
      </c>
      <c r="F3148" s="25" t="n">
        <v>109193</v>
      </c>
      <c r="G3148" s="25" t="n">
        <v>3</v>
      </c>
      <c r="H3148" s="25" t="n">
        <v>13</v>
      </c>
      <c r="I3148" s="25" t="inlineStr">
        <is>
          <t>5 minute(s) and 17 second(s)</t>
        </is>
      </c>
      <c r="J3148" s="25">
        <f>IFERROR(VALUE(TRIM(LEFT(I3148,FIND("minute",I3148)-1)))*60,0)+IFERROR(VALUE(SUBSTITUTE(MID(I3148,IFERROR(FIND("and",I3148)+3,1),20),"second(s)","")),0)</f>
        <v/>
      </c>
      <c r="K3148" s="41">
        <f>J3148/60</f>
        <v/>
      </c>
      <c r="L3148" s="41">
        <f>IFERROR(J3148/H3148,"")</f>
        <v/>
      </c>
      <c r="M3148" s="25" t="inlineStr">
        <is>
          <t>2.5.12</t>
        </is>
      </c>
      <c r="N3148" s="25">
        <f>IF(J3148&gt;300,1,0)</f>
        <v/>
      </c>
      <c r="O3148" s="25">
        <f>IF(J3148&gt;600,1,0)</f>
        <v/>
      </c>
      <c r="P3148" s="25">
        <f>IF(H3148&gt;0,J3148,"")</f>
        <v/>
      </c>
      <c r="Q3148" s="25">
        <f>TEXT(A3148,"YYYY-MM-DD HH")</f>
        <v/>
      </c>
      <c r="R3148" s="25">
        <f>COUNTIF($Q$2:$Q$5295,Q3148)</f>
        <v/>
      </c>
      <c r="S3148" s="25">
        <f>IF(R3148&lt;=2,"1-2",IF(R3148&lt;=5,"3-5",IF(R3148&lt;=10,"6-10","11+")))</f>
        <v/>
      </c>
    </row>
    <row r="3149">
      <c r="A3149" s="39" t="n">
        <v>46198.07228009259</v>
      </c>
      <c r="B3149" s="25">
        <f>TEXT(A3149,"YYYY-MM")</f>
        <v/>
      </c>
      <c r="C3149" s="25">
        <f>TEXT(A3149,"MMM-YYYY")</f>
        <v/>
      </c>
      <c r="D3149" s="40">
        <f>INT(A3149)-WEEKDAY(A3149,2)+1</f>
        <v/>
      </c>
      <c r="E3149" s="25" t="inlineStr">
        <is>
          <t>shassan</t>
        </is>
      </c>
      <c r="F3149" s="25" t="n">
        <v>108697</v>
      </c>
      <c r="G3149" s="25" t="n">
        <v>2</v>
      </c>
      <c r="H3149" s="25" t="n">
        <v>10</v>
      </c>
      <c r="I3149" s="25" t="inlineStr">
        <is>
          <t>3 minute(s) and 21 second(s)</t>
        </is>
      </c>
      <c r="J3149" s="25">
        <f>IFERROR(VALUE(TRIM(LEFT(I3149,FIND("minute",I3149)-1)))*60,0)+IFERROR(VALUE(SUBSTITUTE(MID(I3149,IFERROR(FIND("and",I3149)+3,1),20),"second(s)","")),0)</f>
        <v/>
      </c>
      <c r="K3149" s="41">
        <f>J3149/60</f>
        <v/>
      </c>
      <c r="L3149" s="41">
        <f>IFERROR(J3149/H3149,"")</f>
        <v/>
      </c>
      <c r="M3149" s="25" t="inlineStr">
        <is>
          <t>2.5.12</t>
        </is>
      </c>
      <c r="N3149" s="25">
        <f>IF(J3149&gt;300,1,0)</f>
        <v/>
      </c>
      <c r="O3149" s="25">
        <f>IF(J3149&gt;600,1,0)</f>
        <v/>
      </c>
      <c r="P3149" s="25">
        <f>IF(H3149&gt;0,J3149,"")</f>
        <v/>
      </c>
      <c r="Q3149" s="25">
        <f>TEXT(A3149,"YYYY-MM-DD HH")</f>
        <v/>
      </c>
      <c r="R3149" s="25">
        <f>COUNTIF($Q$2:$Q$5295,Q3149)</f>
        <v/>
      </c>
      <c r="S3149" s="25">
        <f>IF(R3149&lt;=2,"1-2",IF(R3149&lt;=5,"3-5",IF(R3149&lt;=10,"6-10","11+")))</f>
        <v/>
      </c>
    </row>
    <row r="3150">
      <c r="A3150" s="39" t="n">
        <v>46198.08594907408</v>
      </c>
      <c r="B3150" s="25">
        <f>TEXT(A3150,"YYYY-MM")</f>
        <v/>
      </c>
      <c r="C3150" s="25">
        <f>TEXT(A3150,"MMM-YYYY")</f>
        <v/>
      </c>
      <c r="D3150" s="40">
        <f>INT(A3150)-WEEKDAY(A3150,2)+1</f>
        <v/>
      </c>
      <c r="E3150" s="25" t="inlineStr">
        <is>
          <t>anusharma</t>
        </is>
      </c>
      <c r="F3150" s="25" t="n">
        <v>114085</v>
      </c>
      <c r="G3150" s="25" t="n">
        <v>4</v>
      </c>
      <c r="H3150" s="25" t="n">
        <v>20</v>
      </c>
      <c r="I3150" s="25" t="inlineStr">
        <is>
          <t>5 minute(s) and 18 second(s)</t>
        </is>
      </c>
      <c r="J3150" s="25">
        <f>IFERROR(VALUE(TRIM(LEFT(I3150,FIND("minute",I3150)-1)))*60,0)+IFERROR(VALUE(SUBSTITUTE(MID(I3150,IFERROR(FIND("and",I3150)+3,1),20),"second(s)","")),0)</f>
        <v/>
      </c>
      <c r="K3150" s="41">
        <f>J3150/60</f>
        <v/>
      </c>
      <c r="L3150" s="41">
        <f>IFERROR(J3150/H3150,"")</f>
        <v/>
      </c>
      <c r="M3150" s="25" t="inlineStr">
        <is>
          <t>2.5.12</t>
        </is>
      </c>
      <c r="N3150" s="25">
        <f>IF(J3150&gt;300,1,0)</f>
        <v/>
      </c>
      <c r="O3150" s="25">
        <f>IF(J3150&gt;600,1,0)</f>
        <v/>
      </c>
      <c r="P3150" s="25">
        <f>IF(H3150&gt;0,J3150,"")</f>
        <v/>
      </c>
      <c r="Q3150" s="25">
        <f>TEXT(A3150,"YYYY-MM-DD HH")</f>
        <v/>
      </c>
      <c r="R3150" s="25">
        <f>COUNTIF($Q$2:$Q$5295,Q3150)</f>
        <v/>
      </c>
      <c r="S3150" s="25">
        <f>IF(R3150&lt;=2,"1-2",IF(R3150&lt;=5,"3-5",IF(R3150&lt;=10,"6-10","11+")))</f>
        <v/>
      </c>
    </row>
    <row r="3151">
      <c r="A3151" s="39" t="n">
        <v>46198.10320601852</v>
      </c>
      <c r="B3151" s="25">
        <f>TEXT(A3151,"YYYY-MM")</f>
        <v/>
      </c>
      <c r="C3151" s="25">
        <f>TEXT(A3151,"MMM-YYYY")</f>
        <v/>
      </c>
      <c r="D3151" s="40">
        <f>INT(A3151)-WEEKDAY(A3151,2)+1</f>
        <v/>
      </c>
      <c r="E3151" s="25" t="inlineStr">
        <is>
          <t>bverma</t>
        </is>
      </c>
      <c r="F3151" s="25" t="n">
        <v>115984</v>
      </c>
      <c r="G3151" s="25" t="n">
        <v>1</v>
      </c>
      <c r="H3151" s="25" t="n">
        <v>7</v>
      </c>
      <c r="I3151" s="25" t="inlineStr">
        <is>
          <t>1 minute(s) and 28 second(s)</t>
        </is>
      </c>
      <c r="J3151" s="25">
        <f>IFERROR(VALUE(TRIM(LEFT(I3151,FIND("minute",I3151)-1)))*60,0)+IFERROR(VALUE(SUBSTITUTE(MID(I3151,IFERROR(FIND("and",I3151)+3,1),20),"second(s)","")),0)</f>
        <v/>
      </c>
      <c r="K3151" s="41">
        <f>J3151/60</f>
        <v/>
      </c>
      <c r="L3151" s="41">
        <f>IFERROR(J3151/H3151,"")</f>
        <v/>
      </c>
      <c r="M3151" s="25" t="inlineStr">
        <is>
          <t>2.5.12</t>
        </is>
      </c>
      <c r="N3151" s="25">
        <f>IF(J3151&gt;300,1,0)</f>
        <v/>
      </c>
      <c r="O3151" s="25">
        <f>IF(J3151&gt;600,1,0)</f>
        <v/>
      </c>
      <c r="P3151" s="25">
        <f>IF(H3151&gt;0,J3151,"")</f>
        <v/>
      </c>
      <c r="Q3151" s="25">
        <f>TEXT(A3151,"YYYY-MM-DD HH")</f>
        <v/>
      </c>
      <c r="R3151" s="25">
        <f>COUNTIF($Q$2:$Q$5295,Q3151)</f>
        <v/>
      </c>
      <c r="S3151" s="25">
        <f>IF(R3151&lt;=2,"1-2",IF(R3151&lt;=5,"3-5",IF(R3151&lt;=10,"6-10","11+")))</f>
        <v/>
      </c>
    </row>
    <row r="3152">
      <c r="A3152" s="39" t="n">
        <v>46198.10854166667</v>
      </c>
      <c r="B3152" s="25">
        <f>TEXT(A3152,"YYYY-MM")</f>
        <v/>
      </c>
      <c r="C3152" s="25">
        <f>TEXT(A3152,"MMM-YYYY")</f>
        <v/>
      </c>
      <c r="D3152" s="40">
        <f>INT(A3152)-WEEKDAY(A3152,2)+1</f>
        <v/>
      </c>
      <c r="E3152" s="25" t="inlineStr">
        <is>
          <t>bverma</t>
        </is>
      </c>
      <c r="F3152" s="25" t="n">
        <v>115984</v>
      </c>
      <c r="G3152" s="25" t="n">
        <v>1</v>
      </c>
      <c r="H3152" s="25" t="n">
        <v>8</v>
      </c>
      <c r="I3152" s="25" t="inlineStr">
        <is>
          <t>2 minute(s) and 1 second(s)</t>
        </is>
      </c>
      <c r="J3152" s="25">
        <f>IFERROR(VALUE(TRIM(LEFT(I3152,FIND("minute",I3152)-1)))*60,0)+IFERROR(VALUE(SUBSTITUTE(MID(I3152,IFERROR(FIND("and",I3152)+3,1),20),"second(s)","")),0)</f>
        <v/>
      </c>
      <c r="K3152" s="41">
        <f>J3152/60</f>
        <v/>
      </c>
      <c r="L3152" s="41">
        <f>IFERROR(J3152/H3152,"")</f>
        <v/>
      </c>
      <c r="M3152" s="25" t="inlineStr">
        <is>
          <t>2.5.12</t>
        </is>
      </c>
      <c r="N3152" s="25">
        <f>IF(J3152&gt;300,1,0)</f>
        <v/>
      </c>
      <c r="O3152" s="25">
        <f>IF(J3152&gt;600,1,0)</f>
        <v/>
      </c>
      <c r="P3152" s="25">
        <f>IF(H3152&gt;0,J3152,"")</f>
        <v/>
      </c>
      <c r="Q3152" s="25">
        <f>TEXT(A3152,"YYYY-MM-DD HH")</f>
        <v/>
      </c>
      <c r="R3152" s="25">
        <f>COUNTIF($Q$2:$Q$5295,Q3152)</f>
        <v/>
      </c>
      <c r="S3152" s="25">
        <f>IF(R3152&lt;=2,"1-2",IF(R3152&lt;=5,"3-5",IF(R3152&lt;=10,"6-10","11+")))</f>
        <v/>
      </c>
    </row>
    <row r="3153">
      <c r="A3153" s="39" t="n">
        <v>46198.1129050926</v>
      </c>
      <c r="B3153" s="25">
        <f>TEXT(A3153,"YYYY-MM")</f>
        <v/>
      </c>
      <c r="C3153" s="25">
        <f>TEXT(A3153,"MMM-YYYY")</f>
        <v/>
      </c>
      <c r="D3153" s="40">
        <f>INT(A3153)-WEEKDAY(A3153,2)+1</f>
        <v/>
      </c>
      <c r="E3153" s="25" t="inlineStr">
        <is>
          <t>bverma</t>
        </is>
      </c>
      <c r="F3153" s="25" t="n">
        <v>115984</v>
      </c>
      <c r="G3153" s="25" t="n">
        <v>1</v>
      </c>
      <c r="H3153" s="25" t="n">
        <v>8</v>
      </c>
      <c r="I3153" s="25" t="inlineStr">
        <is>
          <t>4 minute(s) and 6 second(s)</t>
        </is>
      </c>
      <c r="J3153" s="25">
        <f>IFERROR(VALUE(TRIM(LEFT(I3153,FIND("minute",I3153)-1)))*60,0)+IFERROR(VALUE(SUBSTITUTE(MID(I3153,IFERROR(FIND("and",I3153)+3,1),20),"second(s)","")),0)</f>
        <v/>
      </c>
      <c r="K3153" s="41">
        <f>J3153/60</f>
        <v/>
      </c>
      <c r="L3153" s="41">
        <f>IFERROR(J3153/H3153,"")</f>
        <v/>
      </c>
      <c r="M3153" s="25" t="inlineStr">
        <is>
          <t>2.5.12</t>
        </is>
      </c>
      <c r="N3153" s="25">
        <f>IF(J3153&gt;300,1,0)</f>
        <v/>
      </c>
      <c r="O3153" s="25">
        <f>IF(J3153&gt;600,1,0)</f>
        <v/>
      </c>
      <c r="P3153" s="25">
        <f>IF(H3153&gt;0,J3153,"")</f>
        <v/>
      </c>
      <c r="Q3153" s="25">
        <f>TEXT(A3153,"YYYY-MM-DD HH")</f>
        <v/>
      </c>
      <c r="R3153" s="25">
        <f>COUNTIF($Q$2:$Q$5295,Q3153)</f>
        <v/>
      </c>
      <c r="S3153" s="25">
        <f>IF(R3153&lt;=2,"1-2",IF(R3153&lt;=5,"3-5",IF(R3153&lt;=10,"6-10","11+")))</f>
        <v/>
      </c>
    </row>
    <row r="3154">
      <c r="A3154" s="39" t="n">
        <v>46198.16422453704</v>
      </c>
      <c r="B3154" s="25">
        <f>TEXT(A3154,"YYYY-MM")</f>
        <v/>
      </c>
      <c r="C3154" s="25">
        <f>TEXT(A3154,"MMM-YYYY")</f>
        <v/>
      </c>
      <c r="D3154" s="40">
        <f>INT(A3154)-WEEKDAY(A3154,2)+1</f>
        <v/>
      </c>
      <c r="E3154" s="25" t="inlineStr">
        <is>
          <t>tkarmakar</t>
        </is>
      </c>
      <c r="F3154" s="25" t="n">
        <v>17234</v>
      </c>
      <c r="G3154" s="25" t="n">
        <v>1</v>
      </c>
      <c r="H3154" s="25" t="n">
        <v>7</v>
      </c>
      <c r="I3154" s="25" t="inlineStr">
        <is>
          <t>3 minute(s) and 15 second(s)</t>
        </is>
      </c>
      <c r="J3154" s="25">
        <f>IFERROR(VALUE(TRIM(LEFT(I3154,FIND("minute",I3154)-1)))*60,0)+IFERROR(VALUE(SUBSTITUTE(MID(I3154,IFERROR(FIND("and",I3154)+3,1),20),"second(s)","")),0)</f>
        <v/>
      </c>
      <c r="K3154" s="41">
        <f>J3154/60</f>
        <v/>
      </c>
      <c r="L3154" s="41">
        <f>IFERROR(J3154/H3154,"")</f>
        <v/>
      </c>
      <c r="M3154" s="25" t="inlineStr">
        <is>
          <t>2.5.12</t>
        </is>
      </c>
      <c r="N3154" s="25">
        <f>IF(J3154&gt;300,1,0)</f>
        <v/>
      </c>
      <c r="O3154" s="25">
        <f>IF(J3154&gt;600,1,0)</f>
        <v/>
      </c>
      <c r="P3154" s="25">
        <f>IF(H3154&gt;0,J3154,"")</f>
        <v/>
      </c>
      <c r="Q3154" s="25">
        <f>TEXT(A3154,"YYYY-MM-DD HH")</f>
        <v/>
      </c>
      <c r="R3154" s="25">
        <f>COUNTIF($Q$2:$Q$5295,Q3154)</f>
        <v/>
      </c>
      <c r="S3154" s="25">
        <f>IF(R3154&lt;=2,"1-2",IF(R3154&lt;=5,"3-5",IF(R3154&lt;=10,"6-10","11+")))</f>
        <v/>
      </c>
    </row>
    <row r="3155">
      <c r="A3155" s="39" t="n">
        <v>46198.17415509259</v>
      </c>
      <c r="B3155" s="25">
        <f>TEXT(A3155,"YYYY-MM")</f>
        <v/>
      </c>
      <c r="C3155" s="25">
        <f>TEXT(A3155,"MMM-YYYY")</f>
        <v/>
      </c>
      <c r="D3155" s="40">
        <f>INT(A3155)-WEEKDAY(A3155,2)+1</f>
        <v/>
      </c>
      <c r="E3155" s="25" t="inlineStr">
        <is>
          <t>apriyadarshi</t>
        </is>
      </c>
      <c r="F3155" s="25" t="n">
        <v>114896</v>
      </c>
      <c r="G3155" s="25" t="n">
        <v>3</v>
      </c>
      <c r="H3155" s="25" t="n">
        <v>17</v>
      </c>
      <c r="I3155" s="25" t="inlineStr">
        <is>
          <t>4 minute(s) and 37 second(s)</t>
        </is>
      </c>
      <c r="J3155" s="25">
        <f>IFERROR(VALUE(TRIM(LEFT(I3155,FIND("minute",I3155)-1)))*60,0)+IFERROR(VALUE(SUBSTITUTE(MID(I3155,IFERROR(FIND("and",I3155)+3,1),20),"second(s)","")),0)</f>
        <v/>
      </c>
      <c r="K3155" s="41">
        <f>J3155/60</f>
        <v/>
      </c>
      <c r="L3155" s="41">
        <f>IFERROR(J3155/H3155,"")</f>
        <v/>
      </c>
      <c r="M3155" s="25" t="inlineStr">
        <is>
          <t>2.5.12</t>
        </is>
      </c>
      <c r="N3155" s="25">
        <f>IF(J3155&gt;300,1,0)</f>
        <v/>
      </c>
      <c r="O3155" s="25">
        <f>IF(J3155&gt;600,1,0)</f>
        <v/>
      </c>
      <c r="P3155" s="25">
        <f>IF(H3155&gt;0,J3155,"")</f>
        <v/>
      </c>
      <c r="Q3155" s="25">
        <f>TEXT(A3155,"YYYY-MM-DD HH")</f>
        <v/>
      </c>
      <c r="R3155" s="25">
        <f>COUNTIF($Q$2:$Q$5295,Q3155)</f>
        <v/>
      </c>
      <c r="S3155" s="25">
        <f>IF(R3155&lt;=2,"1-2",IF(R3155&lt;=5,"3-5",IF(R3155&lt;=10,"6-10","11+")))</f>
        <v/>
      </c>
    </row>
    <row r="3156">
      <c r="A3156" s="39" t="n">
        <v>46198.1752662037</v>
      </c>
      <c r="B3156" s="25">
        <f>TEXT(A3156,"YYYY-MM")</f>
        <v/>
      </c>
      <c r="C3156" s="25">
        <f>TEXT(A3156,"MMM-YYYY")</f>
        <v/>
      </c>
      <c r="D3156" s="40">
        <f>INT(A3156)-WEEKDAY(A3156,2)+1</f>
        <v/>
      </c>
      <c r="E3156" s="25" t="inlineStr">
        <is>
          <t>shassan</t>
        </is>
      </c>
      <c r="F3156" s="25" t="n">
        <v>17614</v>
      </c>
      <c r="G3156" s="25" t="n">
        <v>1</v>
      </c>
      <c r="H3156" s="25" t="n">
        <v>5</v>
      </c>
      <c r="I3156" s="25" t="inlineStr">
        <is>
          <t>1 minute(s) and 25 second(s)</t>
        </is>
      </c>
      <c r="J3156" s="25">
        <f>IFERROR(VALUE(TRIM(LEFT(I3156,FIND("minute",I3156)-1)))*60,0)+IFERROR(VALUE(SUBSTITUTE(MID(I3156,IFERROR(FIND("and",I3156)+3,1),20),"second(s)","")),0)</f>
        <v/>
      </c>
      <c r="K3156" s="41">
        <f>J3156/60</f>
        <v/>
      </c>
      <c r="L3156" s="41">
        <f>IFERROR(J3156/H3156,"")</f>
        <v/>
      </c>
      <c r="M3156" s="25" t="inlineStr">
        <is>
          <t>2.5.12</t>
        </is>
      </c>
      <c r="N3156" s="25">
        <f>IF(J3156&gt;300,1,0)</f>
        <v/>
      </c>
      <c r="O3156" s="25">
        <f>IF(J3156&gt;600,1,0)</f>
        <v/>
      </c>
      <c r="P3156" s="25">
        <f>IF(H3156&gt;0,J3156,"")</f>
        <v/>
      </c>
      <c r="Q3156" s="25">
        <f>TEXT(A3156,"YYYY-MM-DD HH")</f>
        <v/>
      </c>
      <c r="R3156" s="25">
        <f>COUNTIF($Q$2:$Q$5295,Q3156)</f>
        <v/>
      </c>
      <c r="S3156" s="25">
        <f>IF(R3156&lt;=2,"1-2",IF(R3156&lt;=5,"3-5",IF(R3156&lt;=10,"6-10","11+")))</f>
        <v/>
      </c>
    </row>
    <row r="3157">
      <c r="A3157" s="39" t="n">
        <v>46198.17767361111</v>
      </c>
      <c r="B3157" s="25">
        <f>TEXT(A3157,"YYYY-MM")</f>
        <v/>
      </c>
      <c r="C3157" s="25">
        <f>TEXT(A3157,"MMM-YYYY")</f>
        <v/>
      </c>
      <c r="D3157" s="40">
        <f>INT(A3157)-WEEKDAY(A3157,2)+1</f>
        <v/>
      </c>
      <c r="E3157" s="25" t="inlineStr">
        <is>
          <t>stiwari</t>
        </is>
      </c>
      <c r="F3157" s="25" t="n">
        <v>13141</v>
      </c>
      <c r="G3157" s="25" t="n">
        <v>5</v>
      </c>
      <c r="H3157" s="25" t="n">
        <v>25</v>
      </c>
      <c r="I3157" s="25" t="inlineStr">
        <is>
          <t>5 minute(s) and 32 second(s)</t>
        </is>
      </c>
      <c r="J3157" s="25">
        <f>IFERROR(VALUE(TRIM(LEFT(I3157,FIND("minute",I3157)-1)))*60,0)+IFERROR(VALUE(SUBSTITUTE(MID(I3157,IFERROR(FIND("and",I3157)+3,1),20),"second(s)","")),0)</f>
        <v/>
      </c>
      <c r="K3157" s="41">
        <f>J3157/60</f>
        <v/>
      </c>
      <c r="L3157" s="41">
        <f>IFERROR(J3157/H3157,"")</f>
        <v/>
      </c>
      <c r="M3157" s="25" t="inlineStr">
        <is>
          <t>2.5.12</t>
        </is>
      </c>
      <c r="N3157" s="25">
        <f>IF(J3157&gt;300,1,0)</f>
        <v/>
      </c>
      <c r="O3157" s="25">
        <f>IF(J3157&gt;600,1,0)</f>
        <v/>
      </c>
      <c r="P3157" s="25">
        <f>IF(H3157&gt;0,J3157,"")</f>
        <v/>
      </c>
      <c r="Q3157" s="25">
        <f>TEXT(A3157,"YYYY-MM-DD HH")</f>
        <v/>
      </c>
      <c r="R3157" s="25">
        <f>COUNTIF($Q$2:$Q$5295,Q3157)</f>
        <v/>
      </c>
      <c r="S3157" s="25">
        <f>IF(R3157&lt;=2,"1-2",IF(R3157&lt;=5,"3-5",IF(R3157&lt;=10,"6-10","11+")))</f>
        <v/>
      </c>
    </row>
    <row r="3158">
      <c r="A3158" s="39" t="n">
        <v>46198.21253472222</v>
      </c>
      <c r="B3158" s="25">
        <f>TEXT(A3158,"YYYY-MM")</f>
        <v/>
      </c>
      <c r="C3158" s="25">
        <f>TEXT(A3158,"MMM-YYYY")</f>
        <v/>
      </c>
      <c r="D3158" s="40">
        <f>INT(A3158)-WEEKDAY(A3158,2)+1</f>
        <v/>
      </c>
      <c r="E3158" s="25" t="inlineStr">
        <is>
          <t>shassan</t>
        </is>
      </c>
      <c r="F3158" s="25" t="n">
        <v>17606</v>
      </c>
      <c r="G3158" s="25" t="n">
        <v>4</v>
      </c>
      <c r="H3158" s="25" t="n">
        <v>14</v>
      </c>
      <c r="I3158" s="25" t="inlineStr">
        <is>
          <t>6 minute(s) and 25 second(s)</t>
        </is>
      </c>
      <c r="J3158" s="25">
        <f>IFERROR(VALUE(TRIM(LEFT(I3158,FIND("minute",I3158)-1)))*60,0)+IFERROR(VALUE(SUBSTITUTE(MID(I3158,IFERROR(FIND("and",I3158)+3,1),20),"second(s)","")),0)</f>
        <v/>
      </c>
      <c r="K3158" s="41">
        <f>J3158/60</f>
        <v/>
      </c>
      <c r="L3158" s="41">
        <f>IFERROR(J3158/H3158,"")</f>
        <v/>
      </c>
      <c r="M3158" s="25" t="inlineStr">
        <is>
          <t>2.5.12</t>
        </is>
      </c>
      <c r="N3158" s="25">
        <f>IF(J3158&gt;300,1,0)</f>
        <v/>
      </c>
      <c r="O3158" s="25">
        <f>IF(J3158&gt;600,1,0)</f>
        <v/>
      </c>
      <c r="P3158" s="25">
        <f>IF(H3158&gt;0,J3158,"")</f>
        <v/>
      </c>
      <c r="Q3158" s="25">
        <f>TEXT(A3158,"YYYY-MM-DD HH")</f>
        <v/>
      </c>
      <c r="R3158" s="25">
        <f>COUNTIF($Q$2:$Q$5295,Q3158)</f>
        <v/>
      </c>
      <c r="S3158" s="25">
        <f>IF(R3158&lt;=2,"1-2",IF(R3158&lt;=5,"3-5",IF(R3158&lt;=10,"6-10","11+")))</f>
        <v/>
      </c>
    </row>
    <row r="3159">
      <c r="A3159" s="39" t="n">
        <v>46198.21681712963</v>
      </c>
      <c r="B3159" s="25">
        <f>TEXT(A3159,"YYYY-MM")</f>
        <v/>
      </c>
      <c r="C3159" s="25">
        <f>TEXT(A3159,"MMM-YYYY")</f>
        <v/>
      </c>
      <c r="D3159" s="40">
        <f>INT(A3159)-WEEKDAY(A3159,2)+1</f>
        <v/>
      </c>
      <c r="E3159" s="25" t="inlineStr">
        <is>
          <t>pgautam</t>
        </is>
      </c>
      <c r="F3159" s="25" t="n">
        <v>17553</v>
      </c>
      <c r="G3159" s="25" t="n">
        <v>2</v>
      </c>
      <c r="H3159" s="25" t="n">
        <v>10</v>
      </c>
      <c r="I3159" s="25" t="inlineStr">
        <is>
          <t>2 minute(s) and 11 second(s)</t>
        </is>
      </c>
      <c r="J3159" s="25">
        <f>IFERROR(VALUE(TRIM(LEFT(I3159,FIND("minute",I3159)-1)))*60,0)+IFERROR(VALUE(SUBSTITUTE(MID(I3159,IFERROR(FIND("and",I3159)+3,1),20),"second(s)","")),0)</f>
        <v/>
      </c>
      <c r="K3159" s="41">
        <f>J3159/60</f>
        <v/>
      </c>
      <c r="L3159" s="41">
        <f>IFERROR(J3159/H3159,"")</f>
        <v/>
      </c>
      <c r="M3159" s="25" t="inlineStr">
        <is>
          <t>2.5.12</t>
        </is>
      </c>
      <c r="N3159" s="25">
        <f>IF(J3159&gt;300,1,0)</f>
        <v/>
      </c>
      <c r="O3159" s="25">
        <f>IF(J3159&gt;600,1,0)</f>
        <v/>
      </c>
      <c r="P3159" s="25">
        <f>IF(H3159&gt;0,J3159,"")</f>
        <v/>
      </c>
      <c r="Q3159" s="25">
        <f>TEXT(A3159,"YYYY-MM-DD HH")</f>
        <v/>
      </c>
      <c r="R3159" s="25">
        <f>COUNTIF($Q$2:$Q$5295,Q3159)</f>
        <v/>
      </c>
      <c r="S3159" s="25">
        <f>IF(R3159&lt;=2,"1-2",IF(R3159&lt;=5,"3-5",IF(R3159&lt;=10,"6-10","11+")))</f>
        <v/>
      </c>
    </row>
    <row r="3160">
      <c r="A3160" s="39" t="n">
        <v>46198.21763888889</v>
      </c>
      <c r="B3160" s="25">
        <f>TEXT(A3160,"YYYY-MM")</f>
        <v/>
      </c>
      <c r="C3160" s="25">
        <f>TEXT(A3160,"MMM-YYYY")</f>
        <v/>
      </c>
      <c r="D3160" s="40">
        <f>INT(A3160)-WEEKDAY(A3160,2)+1</f>
        <v/>
      </c>
      <c r="E3160" s="25" t="inlineStr">
        <is>
          <t>bverma</t>
        </is>
      </c>
      <c r="F3160" s="25" t="n">
        <v>115446</v>
      </c>
      <c r="G3160" s="25" t="n">
        <v>1</v>
      </c>
      <c r="H3160" s="25" t="n">
        <v>7</v>
      </c>
      <c r="I3160" s="25" t="inlineStr">
        <is>
          <t>2 minute(s) and 51 second(s)</t>
        </is>
      </c>
      <c r="J3160" s="25">
        <f>IFERROR(VALUE(TRIM(LEFT(I3160,FIND("minute",I3160)-1)))*60,0)+IFERROR(VALUE(SUBSTITUTE(MID(I3160,IFERROR(FIND("and",I3160)+3,1),20),"second(s)","")),0)</f>
        <v/>
      </c>
      <c r="K3160" s="41">
        <f>J3160/60</f>
        <v/>
      </c>
      <c r="L3160" s="41">
        <f>IFERROR(J3160/H3160,"")</f>
        <v/>
      </c>
      <c r="M3160" s="25" t="inlineStr">
        <is>
          <t>2.5.12</t>
        </is>
      </c>
      <c r="N3160" s="25">
        <f>IF(J3160&gt;300,1,0)</f>
        <v/>
      </c>
      <c r="O3160" s="25">
        <f>IF(J3160&gt;600,1,0)</f>
        <v/>
      </c>
      <c r="P3160" s="25">
        <f>IF(H3160&gt;0,J3160,"")</f>
        <v/>
      </c>
      <c r="Q3160" s="25">
        <f>TEXT(A3160,"YYYY-MM-DD HH")</f>
        <v/>
      </c>
      <c r="R3160" s="25">
        <f>COUNTIF($Q$2:$Q$5295,Q3160)</f>
        <v/>
      </c>
      <c r="S3160" s="25">
        <f>IF(R3160&lt;=2,"1-2",IF(R3160&lt;=5,"3-5",IF(R3160&lt;=10,"6-10","11+")))</f>
        <v/>
      </c>
    </row>
    <row r="3161">
      <c r="A3161" s="39" t="n">
        <v>46198.2234837963</v>
      </c>
      <c r="B3161" s="25">
        <f>TEXT(A3161,"YYYY-MM")</f>
        <v/>
      </c>
      <c r="C3161" s="25">
        <f>TEXT(A3161,"MMM-YYYY")</f>
        <v/>
      </c>
      <c r="D3161" s="40">
        <f>INT(A3161)-WEEKDAY(A3161,2)+1</f>
        <v/>
      </c>
      <c r="E3161" s="25" t="inlineStr">
        <is>
          <t>aghosh</t>
        </is>
      </c>
      <c r="F3161" s="25" t="n">
        <v>15557</v>
      </c>
      <c r="G3161" s="25" t="n">
        <v>2</v>
      </c>
      <c r="H3161" s="25" t="n">
        <v>6</v>
      </c>
      <c r="I3161" s="25" t="inlineStr">
        <is>
          <t>1 minute(s) and 14 second(s)</t>
        </is>
      </c>
      <c r="J3161" s="25">
        <f>IFERROR(VALUE(TRIM(LEFT(I3161,FIND("minute",I3161)-1)))*60,0)+IFERROR(VALUE(SUBSTITUTE(MID(I3161,IFERROR(FIND("and",I3161)+3,1),20),"second(s)","")),0)</f>
        <v/>
      </c>
      <c r="K3161" s="41">
        <f>J3161/60</f>
        <v/>
      </c>
      <c r="L3161" s="41">
        <f>IFERROR(J3161/H3161,"")</f>
        <v/>
      </c>
      <c r="M3161" s="25" t="inlineStr">
        <is>
          <t>2.5.12</t>
        </is>
      </c>
      <c r="N3161" s="25">
        <f>IF(J3161&gt;300,1,0)</f>
        <v/>
      </c>
      <c r="O3161" s="25">
        <f>IF(J3161&gt;600,1,0)</f>
        <v/>
      </c>
      <c r="P3161" s="25">
        <f>IF(H3161&gt;0,J3161,"")</f>
        <v/>
      </c>
      <c r="Q3161" s="25">
        <f>TEXT(A3161,"YYYY-MM-DD HH")</f>
        <v/>
      </c>
      <c r="R3161" s="25">
        <f>COUNTIF($Q$2:$Q$5295,Q3161)</f>
        <v/>
      </c>
      <c r="S3161" s="25">
        <f>IF(R3161&lt;=2,"1-2",IF(R3161&lt;=5,"3-5",IF(R3161&lt;=10,"6-10","11+")))</f>
        <v/>
      </c>
    </row>
    <row r="3162">
      <c r="A3162" s="39" t="n">
        <v>46198.2378587963</v>
      </c>
      <c r="B3162" s="25">
        <f>TEXT(A3162,"YYYY-MM")</f>
        <v/>
      </c>
      <c r="C3162" s="25">
        <f>TEXT(A3162,"MMM-YYYY")</f>
        <v/>
      </c>
      <c r="D3162" s="40">
        <f>INT(A3162)-WEEKDAY(A3162,2)+1</f>
        <v/>
      </c>
      <c r="E3162" s="25" t="inlineStr">
        <is>
          <t>emishra</t>
        </is>
      </c>
      <c r="F3162" s="25" t="n">
        <v>107938</v>
      </c>
      <c r="G3162" s="25" t="n">
        <v>3</v>
      </c>
      <c r="H3162" s="25" t="n">
        <v>11</v>
      </c>
      <c r="I3162" s="25" t="inlineStr">
        <is>
          <t>2 minute(s) and 7 second(s)</t>
        </is>
      </c>
      <c r="J3162" s="25">
        <f>IFERROR(VALUE(TRIM(LEFT(I3162,FIND("minute",I3162)-1)))*60,0)+IFERROR(VALUE(SUBSTITUTE(MID(I3162,IFERROR(FIND("and",I3162)+3,1),20),"second(s)","")),0)</f>
        <v/>
      </c>
      <c r="K3162" s="41">
        <f>J3162/60</f>
        <v/>
      </c>
      <c r="L3162" s="41">
        <f>IFERROR(J3162/H3162,"")</f>
        <v/>
      </c>
      <c r="M3162" s="25" t="inlineStr">
        <is>
          <t>2.5.12</t>
        </is>
      </c>
      <c r="N3162" s="25">
        <f>IF(J3162&gt;300,1,0)</f>
        <v/>
      </c>
      <c r="O3162" s="25">
        <f>IF(J3162&gt;600,1,0)</f>
        <v/>
      </c>
      <c r="P3162" s="25">
        <f>IF(H3162&gt;0,J3162,"")</f>
        <v/>
      </c>
      <c r="Q3162" s="25">
        <f>TEXT(A3162,"YYYY-MM-DD HH")</f>
        <v/>
      </c>
      <c r="R3162" s="25">
        <f>COUNTIF($Q$2:$Q$5295,Q3162)</f>
        <v/>
      </c>
      <c r="S3162" s="25">
        <f>IF(R3162&lt;=2,"1-2",IF(R3162&lt;=5,"3-5",IF(R3162&lt;=10,"6-10","11+")))</f>
        <v/>
      </c>
    </row>
    <row r="3163">
      <c r="A3163" s="39" t="n">
        <v>46198.23791666667</v>
      </c>
      <c r="B3163" s="25">
        <f>TEXT(A3163,"YYYY-MM")</f>
        <v/>
      </c>
      <c r="C3163" s="25">
        <f>TEXT(A3163,"MMM-YYYY")</f>
        <v/>
      </c>
      <c r="D3163" s="40">
        <f>INT(A3163)-WEEKDAY(A3163,2)+1</f>
        <v/>
      </c>
      <c r="E3163" s="25" t="inlineStr">
        <is>
          <t>anusharma</t>
        </is>
      </c>
      <c r="F3163" s="25" t="n">
        <v>126199</v>
      </c>
      <c r="G3163" s="25" t="n">
        <v>4</v>
      </c>
      <c r="H3163" s="25" t="n">
        <v>21</v>
      </c>
      <c r="I3163" s="25" t="inlineStr">
        <is>
          <t>9 minute(s) and 35 second(s)</t>
        </is>
      </c>
      <c r="J3163" s="25">
        <f>IFERROR(VALUE(TRIM(LEFT(I3163,FIND("minute",I3163)-1)))*60,0)+IFERROR(VALUE(SUBSTITUTE(MID(I3163,IFERROR(FIND("and",I3163)+3,1),20),"second(s)","")),0)</f>
        <v/>
      </c>
      <c r="K3163" s="41">
        <f>J3163/60</f>
        <v/>
      </c>
      <c r="L3163" s="41">
        <f>IFERROR(J3163/H3163,"")</f>
        <v/>
      </c>
      <c r="M3163" s="25" t="inlineStr">
        <is>
          <t>2.5.12</t>
        </is>
      </c>
      <c r="N3163" s="25">
        <f>IF(J3163&gt;300,1,0)</f>
        <v/>
      </c>
      <c r="O3163" s="25">
        <f>IF(J3163&gt;600,1,0)</f>
        <v/>
      </c>
      <c r="P3163" s="25">
        <f>IF(H3163&gt;0,J3163,"")</f>
        <v/>
      </c>
      <c r="Q3163" s="25">
        <f>TEXT(A3163,"YYYY-MM-DD HH")</f>
        <v/>
      </c>
      <c r="R3163" s="25">
        <f>COUNTIF($Q$2:$Q$5295,Q3163)</f>
        <v/>
      </c>
      <c r="S3163" s="25">
        <f>IF(R3163&lt;=2,"1-2",IF(R3163&lt;=5,"3-5",IF(R3163&lt;=10,"6-10","11+")))</f>
        <v/>
      </c>
    </row>
    <row r="3164">
      <c r="A3164" s="39" t="n">
        <v>46198.24266203704</v>
      </c>
      <c r="B3164" s="25">
        <f>TEXT(A3164,"YYYY-MM")</f>
        <v/>
      </c>
      <c r="C3164" s="25">
        <f>TEXT(A3164,"MMM-YYYY")</f>
        <v/>
      </c>
      <c r="D3164" s="40">
        <f>INT(A3164)-WEEKDAY(A3164,2)+1</f>
        <v/>
      </c>
      <c r="E3164" s="25" t="inlineStr">
        <is>
          <t>sthomas</t>
        </is>
      </c>
      <c r="F3164" s="25" t="n">
        <v>2227</v>
      </c>
      <c r="G3164" s="25" t="n">
        <v>1</v>
      </c>
      <c r="H3164" s="25" t="n">
        <v>5</v>
      </c>
      <c r="I3164" s="25" t="inlineStr">
        <is>
          <t>2 minute(s) and 12 second(s)</t>
        </is>
      </c>
      <c r="J3164" s="25">
        <f>IFERROR(VALUE(TRIM(LEFT(I3164,FIND("minute",I3164)-1)))*60,0)+IFERROR(VALUE(SUBSTITUTE(MID(I3164,IFERROR(FIND("and",I3164)+3,1),20),"second(s)","")),0)</f>
        <v/>
      </c>
      <c r="K3164" s="41">
        <f>J3164/60</f>
        <v/>
      </c>
      <c r="L3164" s="41">
        <f>IFERROR(J3164/H3164,"")</f>
        <v/>
      </c>
      <c r="M3164" s="25" t="inlineStr">
        <is>
          <t>2.5.12</t>
        </is>
      </c>
      <c r="N3164" s="25">
        <f>IF(J3164&gt;300,1,0)</f>
        <v/>
      </c>
      <c r="O3164" s="25">
        <f>IF(J3164&gt;600,1,0)</f>
        <v/>
      </c>
      <c r="P3164" s="25">
        <f>IF(H3164&gt;0,J3164,"")</f>
        <v/>
      </c>
      <c r="Q3164" s="25">
        <f>TEXT(A3164,"YYYY-MM-DD HH")</f>
        <v/>
      </c>
      <c r="R3164" s="25">
        <f>COUNTIF($Q$2:$Q$5295,Q3164)</f>
        <v/>
      </c>
      <c r="S3164" s="25">
        <f>IF(R3164&lt;=2,"1-2",IF(R3164&lt;=5,"3-5",IF(R3164&lt;=10,"6-10","11+")))</f>
        <v/>
      </c>
    </row>
    <row r="3165">
      <c r="A3165" s="39" t="n">
        <v>46198.24917824074</v>
      </c>
      <c r="B3165" s="25">
        <f>TEXT(A3165,"YYYY-MM")</f>
        <v/>
      </c>
      <c r="C3165" s="25">
        <f>TEXT(A3165,"MMM-YYYY")</f>
        <v/>
      </c>
      <c r="D3165" s="40">
        <f>INT(A3165)-WEEKDAY(A3165,2)+1</f>
        <v/>
      </c>
      <c r="E3165" s="25" t="inlineStr">
        <is>
          <t>stiwari</t>
        </is>
      </c>
      <c r="F3165" s="25" t="n">
        <v>17619</v>
      </c>
      <c r="G3165" s="25" t="n">
        <v>2</v>
      </c>
      <c r="H3165" s="25" t="n">
        <v>12</v>
      </c>
      <c r="I3165" s="25" t="inlineStr">
        <is>
          <t>2 minute(s) and 12 second(s)</t>
        </is>
      </c>
      <c r="J3165" s="25">
        <f>IFERROR(VALUE(TRIM(LEFT(I3165,FIND("minute",I3165)-1)))*60,0)+IFERROR(VALUE(SUBSTITUTE(MID(I3165,IFERROR(FIND("and",I3165)+3,1),20),"second(s)","")),0)</f>
        <v/>
      </c>
      <c r="K3165" s="41">
        <f>J3165/60</f>
        <v/>
      </c>
      <c r="L3165" s="41">
        <f>IFERROR(J3165/H3165,"")</f>
        <v/>
      </c>
      <c r="M3165" s="25" t="inlineStr">
        <is>
          <t>2.5.12</t>
        </is>
      </c>
      <c r="N3165" s="25">
        <f>IF(J3165&gt;300,1,0)</f>
        <v/>
      </c>
      <c r="O3165" s="25">
        <f>IF(J3165&gt;600,1,0)</f>
        <v/>
      </c>
      <c r="P3165" s="25">
        <f>IF(H3165&gt;0,J3165,"")</f>
        <v/>
      </c>
      <c r="Q3165" s="25">
        <f>TEXT(A3165,"YYYY-MM-DD HH")</f>
        <v/>
      </c>
      <c r="R3165" s="25">
        <f>COUNTIF($Q$2:$Q$5295,Q3165)</f>
        <v/>
      </c>
      <c r="S3165" s="25">
        <f>IF(R3165&lt;=2,"1-2",IF(R3165&lt;=5,"3-5",IF(R3165&lt;=10,"6-10","11+")))</f>
        <v/>
      </c>
    </row>
    <row r="3166">
      <c r="A3166" s="39" t="n">
        <v>46198.25462962963</v>
      </c>
      <c r="B3166" s="25">
        <f>TEXT(A3166,"YYYY-MM")</f>
        <v/>
      </c>
      <c r="C3166" s="25">
        <f>TEXT(A3166,"MMM-YYYY")</f>
        <v/>
      </c>
      <c r="D3166" s="40">
        <f>INT(A3166)-WEEKDAY(A3166,2)+1</f>
        <v/>
      </c>
      <c r="E3166" s="25" t="inlineStr">
        <is>
          <t>adey</t>
        </is>
      </c>
      <c r="F3166" s="25" t="n">
        <v>15400</v>
      </c>
      <c r="G3166" s="25" t="n">
        <v>1</v>
      </c>
      <c r="H3166" s="25" t="n">
        <v>7</v>
      </c>
      <c r="I3166" s="25" t="inlineStr">
        <is>
          <t>2 minute(s) and 46 second(s)</t>
        </is>
      </c>
      <c r="J3166" s="25">
        <f>IFERROR(VALUE(TRIM(LEFT(I3166,FIND("minute",I3166)-1)))*60,0)+IFERROR(VALUE(SUBSTITUTE(MID(I3166,IFERROR(FIND("and",I3166)+3,1),20),"second(s)","")),0)</f>
        <v/>
      </c>
      <c r="K3166" s="41">
        <f>J3166/60</f>
        <v/>
      </c>
      <c r="L3166" s="41">
        <f>IFERROR(J3166/H3166,"")</f>
        <v/>
      </c>
      <c r="M3166" s="25" t="inlineStr">
        <is>
          <t>2.5.12</t>
        </is>
      </c>
      <c r="N3166" s="25">
        <f>IF(J3166&gt;300,1,0)</f>
        <v/>
      </c>
      <c r="O3166" s="25">
        <f>IF(J3166&gt;600,1,0)</f>
        <v/>
      </c>
      <c r="P3166" s="25">
        <f>IF(H3166&gt;0,J3166,"")</f>
        <v/>
      </c>
      <c r="Q3166" s="25">
        <f>TEXT(A3166,"YYYY-MM-DD HH")</f>
        <v/>
      </c>
      <c r="R3166" s="25">
        <f>COUNTIF($Q$2:$Q$5295,Q3166)</f>
        <v/>
      </c>
      <c r="S3166" s="25">
        <f>IF(R3166&lt;=2,"1-2",IF(R3166&lt;=5,"3-5",IF(R3166&lt;=10,"6-10","11+")))</f>
        <v/>
      </c>
    </row>
    <row r="3167">
      <c r="A3167" s="39" t="n">
        <v>46198.25540509259</v>
      </c>
      <c r="B3167" s="25">
        <f>TEXT(A3167,"YYYY-MM")</f>
        <v/>
      </c>
      <c r="C3167" s="25">
        <f>TEXT(A3167,"MMM-YYYY")</f>
        <v/>
      </c>
      <c r="D3167" s="40">
        <f>INT(A3167)-WEEKDAY(A3167,2)+1</f>
        <v/>
      </c>
      <c r="E3167" s="25" t="inlineStr">
        <is>
          <t>pgautam</t>
        </is>
      </c>
      <c r="F3167" s="25" t="n">
        <v>17617</v>
      </c>
      <c r="G3167" s="25" t="n">
        <v>3</v>
      </c>
      <c r="H3167" s="25" t="n">
        <v>13</v>
      </c>
      <c r="I3167" s="25" t="inlineStr">
        <is>
          <t>2 minute(s) and 39 second(s)</t>
        </is>
      </c>
      <c r="J3167" s="25">
        <f>IFERROR(VALUE(TRIM(LEFT(I3167,FIND("minute",I3167)-1)))*60,0)+IFERROR(VALUE(SUBSTITUTE(MID(I3167,IFERROR(FIND("and",I3167)+3,1),20),"second(s)","")),0)</f>
        <v/>
      </c>
      <c r="K3167" s="41">
        <f>J3167/60</f>
        <v/>
      </c>
      <c r="L3167" s="41">
        <f>IFERROR(J3167/H3167,"")</f>
        <v/>
      </c>
      <c r="M3167" s="25" t="inlineStr">
        <is>
          <t>2.5.12</t>
        </is>
      </c>
      <c r="N3167" s="25">
        <f>IF(J3167&gt;300,1,0)</f>
        <v/>
      </c>
      <c r="O3167" s="25">
        <f>IF(J3167&gt;600,1,0)</f>
        <v/>
      </c>
      <c r="P3167" s="25">
        <f>IF(H3167&gt;0,J3167,"")</f>
        <v/>
      </c>
      <c r="Q3167" s="25">
        <f>TEXT(A3167,"YYYY-MM-DD HH")</f>
        <v/>
      </c>
      <c r="R3167" s="25">
        <f>COUNTIF($Q$2:$Q$5295,Q3167)</f>
        <v/>
      </c>
      <c r="S3167" s="25">
        <f>IF(R3167&lt;=2,"1-2",IF(R3167&lt;=5,"3-5",IF(R3167&lt;=10,"6-10","11+")))</f>
        <v/>
      </c>
    </row>
    <row r="3168">
      <c r="A3168" s="39" t="n">
        <v>46198.27510416666</v>
      </c>
      <c r="B3168" s="25">
        <f>TEXT(A3168,"YYYY-MM")</f>
        <v/>
      </c>
      <c r="C3168" s="25">
        <f>TEXT(A3168,"MMM-YYYY")</f>
        <v/>
      </c>
      <c r="D3168" s="40">
        <f>INT(A3168)-WEEKDAY(A3168,2)+1</f>
        <v/>
      </c>
      <c r="E3168" s="25" t="inlineStr">
        <is>
          <t>tkarmakar</t>
        </is>
      </c>
      <c r="F3168" s="25" t="n">
        <v>17482</v>
      </c>
      <c r="G3168" s="25" t="n">
        <v>1</v>
      </c>
      <c r="H3168" s="25" t="n">
        <v>5</v>
      </c>
      <c r="I3168" s="25" t="inlineStr">
        <is>
          <t>2 minute(s) and 9 second(s)</t>
        </is>
      </c>
      <c r="J3168" s="25">
        <f>IFERROR(VALUE(TRIM(LEFT(I3168,FIND("minute",I3168)-1)))*60,0)+IFERROR(VALUE(SUBSTITUTE(MID(I3168,IFERROR(FIND("and",I3168)+3,1),20),"second(s)","")),0)</f>
        <v/>
      </c>
      <c r="K3168" s="41">
        <f>J3168/60</f>
        <v/>
      </c>
      <c r="L3168" s="41">
        <f>IFERROR(J3168/H3168,"")</f>
        <v/>
      </c>
      <c r="M3168" s="25" t="inlineStr">
        <is>
          <t>2.5.12</t>
        </is>
      </c>
      <c r="N3168" s="25">
        <f>IF(J3168&gt;300,1,0)</f>
        <v/>
      </c>
      <c r="O3168" s="25">
        <f>IF(J3168&gt;600,1,0)</f>
        <v/>
      </c>
      <c r="P3168" s="25">
        <f>IF(H3168&gt;0,J3168,"")</f>
        <v/>
      </c>
      <c r="Q3168" s="25">
        <f>TEXT(A3168,"YYYY-MM-DD HH")</f>
        <v/>
      </c>
      <c r="R3168" s="25">
        <f>COUNTIF($Q$2:$Q$5295,Q3168)</f>
        <v/>
      </c>
      <c r="S3168" s="25">
        <f>IF(R3168&lt;=2,"1-2",IF(R3168&lt;=5,"3-5",IF(R3168&lt;=10,"6-10","11+")))</f>
        <v/>
      </c>
    </row>
    <row r="3169">
      <c r="A3169" s="39" t="n">
        <v>46198.27787037037</v>
      </c>
      <c r="B3169" s="25">
        <f>TEXT(A3169,"YYYY-MM")</f>
        <v/>
      </c>
      <c r="C3169" s="25">
        <f>TEXT(A3169,"MMM-YYYY")</f>
        <v/>
      </c>
      <c r="D3169" s="40">
        <f>INT(A3169)-WEEKDAY(A3169,2)+1</f>
        <v/>
      </c>
      <c r="E3169" s="25" t="inlineStr">
        <is>
          <t>aghosh</t>
        </is>
      </c>
      <c r="F3169" s="25" t="n">
        <v>15525</v>
      </c>
      <c r="G3169" s="25" t="n">
        <v>1</v>
      </c>
      <c r="H3169" s="25" t="n">
        <v>5</v>
      </c>
      <c r="I3169" s="25" t="inlineStr">
        <is>
          <t>2 minute(s) and 21 second(s)</t>
        </is>
      </c>
      <c r="J3169" s="25">
        <f>IFERROR(VALUE(TRIM(LEFT(I3169,FIND("minute",I3169)-1)))*60,0)+IFERROR(VALUE(SUBSTITUTE(MID(I3169,IFERROR(FIND("and",I3169)+3,1),20),"second(s)","")),0)</f>
        <v/>
      </c>
      <c r="K3169" s="41">
        <f>J3169/60</f>
        <v/>
      </c>
      <c r="L3169" s="41">
        <f>IFERROR(J3169/H3169,"")</f>
        <v/>
      </c>
      <c r="M3169" s="25" t="inlineStr">
        <is>
          <t>2.5.12</t>
        </is>
      </c>
      <c r="N3169" s="25">
        <f>IF(J3169&gt;300,1,0)</f>
        <v/>
      </c>
      <c r="O3169" s="25">
        <f>IF(J3169&gt;600,1,0)</f>
        <v/>
      </c>
      <c r="P3169" s="25">
        <f>IF(H3169&gt;0,J3169,"")</f>
        <v/>
      </c>
      <c r="Q3169" s="25">
        <f>TEXT(A3169,"YYYY-MM-DD HH")</f>
        <v/>
      </c>
      <c r="R3169" s="25">
        <f>COUNTIF($Q$2:$Q$5295,Q3169)</f>
        <v/>
      </c>
      <c r="S3169" s="25">
        <f>IF(R3169&lt;=2,"1-2",IF(R3169&lt;=5,"3-5",IF(R3169&lt;=10,"6-10","11+")))</f>
        <v/>
      </c>
    </row>
    <row r="3170">
      <c r="A3170" s="39" t="n">
        <v>46198.28134259259</v>
      </c>
      <c r="B3170" s="25">
        <f>TEXT(A3170,"YYYY-MM")</f>
        <v/>
      </c>
      <c r="C3170" s="25">
        <f>TEXT(A3170,"MMM-YYYY")</f>
        <v/>
      </c>
      <c r="D3170" s="40">
        <f>INT(A3170)-WEEKDAY(A3170,2)+1</f>
        <v/>
      </c>
      <c r="E3170" s="25" t="inlineStr">
        <is>
          <t>aghosh</t>
        </is>
      </c>
      <c r="F3170" s="25" t="n">
        <v>15525</v>
      </c>
      <c r="G3170" s="25" t="n">
        <v>1</v>
      </c>
      <c r="H3170" s="25" t="n">
        <v>5</v>
      </c>
      <c r="I3170" s="25" t="inlineStr">
        <is>
          <t>1 minute(s) and 44 second(s)</t>
        </is>
      </c>
      <c r="J3170" s="25">
        <f>IFERROR(VALUE(TRIM(LEFT(I3170,FIND("minute",I3170)-1)))*60,0)+IFERROR(VALUE(SUBSTITUTE(MID(I3170,IFERROR(FIND("and",I3170)+3,1),20),"second(s)","")),0)</f>
        <v/>
      </c>
      <c r="K3170" s="41">
        <f>J3170/60</f>
        <v/>
      </c>
      <c r="L3170" s="41">
        <f>IFERROR(J3170/H3170,"")</f>
        <v/>
      </c>
      <c r="M3170" s="25" t="inlineStr">
        <is>
          <t>2.5.12</t>
        </is>
      </c>
      <c r="N3170" s="25">
        <f>IF(J3170&gt;300,1,0)</f>
        <v/>
      </c>
      <c r="O3170" s="25">
        <f>IF(J3170&gt;600,1,0)</f>
        <v/>
      </c>
      <c r="P3170" s="25">
        <f>IF(H3170&gt;0,J3170,"")</f>
        <v/>
      </c>
      <c r="Q3170" s="25">
        <f>TEXT(A3170,"YYYY-MM-DD HH")</f>
        <v/>
      </c>
      <c r="R3170" s="25">
        <f>COUNTIF($Q$2:$Q$5295,Q3170)</f>
        <v/>
      </c>
      <c r="S3170" s="25">
        <f>IF(R3170&lt;=2,"1-2",IF(R3170&lt;=5,"3-5",IF(R3170&lt;=10,"6-10","11+")))</f>
        <v/>
      </c>
    </row>
    <row r="3171">
      <c r="A3171" s="39" t="n">
        <v>46198.28523148148</v>
      </c>
      <c r="B3171" s="25">
        <f>TEXT(A3171,"YYYY-MM")</f>
        <v/>
      </c>
      <c r="C3171" s="25">
        <f>TEXT(A3171,"MMM-YYYY")</f>
        <v/>
      </c>
      <c r="D3171" s="40">
        <f>INT(A3171)-WEEKDAY(A3171,2)+1</f>
        <v/>
      </c>
      <c r="E3171" s="25" t="inlineStr">
        <is>
          <t>aghosh</t>
        </is>
      </c>
      <c r="F3171" s="25" t="n">
        <v>15525</v>
      </c>
      <c r="G3171" s="25" t="n">
        <v>1</v>
      </c>
      <c r="H3171" s="25" t="n">
        <v>5</v>
      </c>
      <c r="I3171" s="25" t="inlineStr">
        <is>
          <t>2 minute(s) and 58 second(s)</t>
        </is>
      </c>
      <c r="J3171" s="25">
        <f>IFERROR(VALUE(TRIM(LEFT(I3171,FIND("minute",I3171)-1)))*60,0)+IFERROR(VALUE(SUBSTITUTE(MID(I3171,IFERROR(FIND("and",I3171)+3,1),20),"second(s)","")),0)</f>
        <v/>
      </c>
      <c r="K3171" s="41">
        <f>J3171/60</f>
        <v/>
      </c>
      <c r="L3171" s="41">
        <f>IFERROR(J3171/H3171,"")</f>
        <v/>
      </c>
      <c r="M3171" s="25" t="inlineStr">
        <is>
          <t>2.5.12</t>
        </is>
      </c>
      <c r="N3171" s="25">
        <f>IF(J3171&gt;300,1,0)</f>
        <v/>
      </c>
      <c r="O3171" s="25">
        <f>IF(J3171&gt;600,1,0)</f>
        <v/>
      </c>
      <c r="P3171" s="25">
        <f>IF(H3171&gt;0,J3171,"")</f>
        <v/>
      </c>
      <c r="Q3171" s="25">
        <f>TEXT(A3171,"YYYY-MM-DD HH")</f>
        <v/>
      </c>
      <c r="R3171" s="25">
        <f>COUNTIF($Q$2:$Q$5295,Q3171)</f>
        <v/>
      </c>
      <c r="S3171" s="25">
        <f>IF(R3171&lt;=2,"1-2",IF(R3171&lt;=5,"3-5",IF(R3171&lt;=10,"6-10","11+")))</f>
        <v/>
      </c>
    </row>
    <row r="3172">
      <c r="A3172" s="39" t="n">
        <v>46198.29356481481</v>
      </c>
      <c r="B3172" s="25">
        <f>TEXT(A3172,"YYYY-MM")</f>
        <v/>
      </c>
      <c r="C3172" s="25">
        <f>TEXT(A3172,"MMM-YYYY")</f>
        <v/>
      </c>
      <c r="D3172" s="40">
        <f>INT(A3172)-WEEKDAY(A3172,2)+1</f>
        <v/>
      </c>
      <c r="E3172" s="25" t="inlineStr">
        <is>
          <t>anusharma</t>
        </is>
      </c>
      <c r="F3172" s="25" t="n">
        <v>126467</v>
      </c>
      <c r="G3172" s="25" t="n">
        <v>1</v>
      </c>
      <c r="H3172" s="25" t="n">
        <v>5</v>
      </c>
      <c r="I3172" s="25" t="inlineStr">
        <is>
          <t>1 minute(s) and 45 second(s)</t>
        </is>
      </c>
      <c r="J3172" s="25">
        <f>IFERROR(VALUE(TRIM(LEFT(I3172,FIND("minute",I3172)-1)))*60,0)+IFERROR(VALUE(SUBSTITUTE(MID(I3172,IFERROR(FIND("and",I3172)+3,1),20),"second(s)","")),0)</f>
        <v/>
      </c>
      <c r="K3172" s="41">
        <f>J3172/60</f>
        <v/>
      </c>
      <c r="L3172" s="41">
        <f>IFERROR(J3172/H3172,"")</f>
        <v/>
      </c>
      <c r="M3172" s="25" t="inlineStr">
        <is>
          <t>2.5.12</t>
        </is>
      </c>
      <c r="N3172" s="25">
        <f>IF(J3172&gt;300,1,0)</f>
        <v/>
      </c>
      <c r="O3172" s="25">
        <f>IF(J3172&gt;600,1,0)</f>
        <v/>
      </c>
      <c r="P3172" s="25">
        <f>IF(H3172&gt;0,J3172,"")</f>
        <v/>
      </c>
      <c r="Q3172" s="25">
        <f>TEXT(A3172,"YYYY-MM-DD HH")</f>
        <v/>
      </c>
      <c r="R3172" s="25">
        <f>COUNTIF($Q$2:$Q$5295,Q3172)</f>
        <v/>
      </c>
      <c r="S3172" s="25">
        <f>IF(R3172&lt;=2,"1-2",IF(R3172&lt;=5,"3-5",IF(R3172&lt;=10,"6-10","11+")))</f>
        <v/>
      </c>
    </row>
    <row r="3173">
      <c r="A3173" s="39" t="n">
        <v>46198.29549768518</v>
      </c>
      <c r="B3173" s="25">
        <f>TEXT(A3173,"YYYY-MM")</f>
        <v/>
      </c>
      <c r="C3173" s="25">
        <f>TEXT(A3173,"MMM-YYYY")</f>
        <v/>
      </c>
      <c r="D3173" s="40">
        <f>INT(A3173)-WEEKDAY(A3173,2)+1</f>
        <v/>
      </c>
      <c r="E3173" s="25" t="inlineStr">
        <is>
          <t>sdey</t>
        </is>
      </c>
      <c r="F3173" s="25" t="n">
        <v>17259</v>
      </c>
      <c r="G3173" s="25" t="n">
        <v>1</v>
      </c>
      <c r="H3173" s="25" t="n">
        <v>7</v>
      </c>
      <c r="I3173" s="25" t="inlineStr">
        <is>
          <t>3 minute(s) and 22 second(s)</t>
        </is>
      </c>
      <c r="J3173" s="25">
        <f>IFERROR(VALUE(TRIM(LEFT(I3173,FIND("minute",I3173)-1)))*60,0)+IFERROR(VALUE(SUBSTITUTE(MID(I3173,IFERROR(FIND("and",I3173)+3,1),20),"second(s)","")),0)</f>
        <v/>
      </c>
      <c r="K3173" s="41">
        <f>J3173/60</f>
        <v/>
      </c>
      <c r="L3173" s="41">
        <f>IFERROR(J3173/H3173,"")</f>
        <v/>
      </c>
      <c r="M3173" s="25" t="inlineStr">
        <is>
          <t>2.5.12</t>
        </is>
      </c>
      <c r="N3173" s="25">
        <f>IF(J3173&gt;300,1,0)</f>
        <v/>
      </c>
      <c r="O3173" s="25">
        <f>IF(J3173&gt;600,1,0)</f>
        <v/>
      </c>
      <c r="P3173" s="25">
        <f>IF(H3173&gt;0,J3173,"")</f>
        <v/>
      </c>
      <c r="Q3173" s="25">
        <f>TEXT(A3173,"YYYY-MM-DD HH")</f>
        <v/>
      </c>
      <c r="R3173" s="25">
        <f>COUNTIF($Q$2:$Q$5295,Q3173)</f>
        <v/>
      </c>
      <c r="S3173" s="25">
        <f>IF(R3173&lt;=2,"1-2",IF(R3173&lt;=5,"3-5",IF(R3173&lt;=10,"6-10","11+")))</f>
        <v/>
      </c>
    </row>
    <row r="3174">
      <c r="A3174" s="39" t="n">
        <v>46198.29646990741</v>
      </c>
      <c r="B3174" s="25">
        <f>TEXT(A3174,"YYYY-MM")</f>
        <v/>
      </c>
      <c r="C3174" s="25">
        <f>TEXT(A3174,"MMM-YYYY")</f>
        <v/>
      </c>
      <c r="D3174" s="40">
        <f>INT(A3174)-WEEKDAY(A3174,2)+1</f>
        <v/>
      </c>
      <c r="E3174" s="25" t="inlineStr">
        <is>
          <t>apriyadarshi</t>
        </is>
      </c>
      <c r="F3174" s="25" t="n">
        <v>122530</v>
      </c>
      <c r="G3174" s="25" t="n">
        <v>5</v>
      </c>
      <c r="H3174" s="25" t="n">
        <v>27</v>
      </c>
      <c r="I3174" s="25" t="inlineStr">
        <is>
          <t>5 minute(s) and 42 second(s)</t>
        </is>
      </c>
      <c r="J3174" s="25">
        <f>IFERROR(VALUE(TRIM(LEFT(I3174,FIND("minute",I3174)-1)))*60,0)+IFERROR(VALUE(SUBSTITUTE(MID(I3174,IFERROR(FIND("and",I3174)+3,1),20),"second(s)","")),0)</f>
        <v/>
      </c>
      <c r="K3174" s="41">
        <f>J3174/60</f>
        <v/>
      </c>
      <c r="L3174" s="41">
        <f>IFERROR(J3174/H3174,"")</f>
        <v/>
      </c>
      <c r="M3174" s="25" t="inlineStr">
        <is>
          <t>2.5.12</t>
        </is>
      </c>
      <c r="N3174" s="25">
        <f>IF(J3174&gt;300,1,0)</f>
        <v/>
      </c>
      <c r="O3174" s="25">
        <f>IF(J3174&gt;600,1,0)</f>
        <v/>
      </c>
      <c r="P3174" s="25">
        <f>IF(H3174&gt;0,J3174,"")</f>
        <v/>
      </c>
      <c r="Q3174" s="25">
        <f>TEXT(A3174,"YYYY-MM-DD HH")</f>
        <v/>
      </c>
      <c r="R3174" s="25">
        <f>COUNTIF($Q$2:$Q$5295,Q3174)</f>
        <v/>
      </c>
      <c r="S3174" s="25">
        <f>IF(R3174&lt;=2,"1-2",IF(R3174&lt;=5,"3-5",IF(R3174&lt;=10,"6-10","11+")))</f>
        <v/>
      </c>
    </row>
    <row r="3175">
      <c r="A3175" s="39" t="n">
        <v>46198.29805555556</v>
      </c>
      <c r="B3175" s="25">
        <f>TEXT(A3175,"YYYY-MM")</f>
        <v/>
      </c>
      <c r="C3175" s="25">
        <f>TEXT(A3175,"MMM-YYYY")</f>
        <v/>
      </c>
      <c r="D3175" s="40">
        <f>INT(A3175)-WEEKDAY(A3175,2)+1</f>
        <v/>
      </c>
      <c r="E3175" s="25" t="inlineStr">
        <is>
          <t>stiwari</t>
        </is>
      </c>
      <c r="F3175" s="25" t="n">
        <v>17611</v>
      </c>
      <c r="G3175" s="25" t="n">
        <v>2</v>
      </c>
      <c r="H3175" s="25" t="n">
        <v>10</v>
      </c>
      <c r="I3175" s="25" t="inlineStr">
        <is>
          <t>2 minute(s) and 13 second(s)</t>
        </is>
      </c>
      <c r="J3175" s="25">
        <f>IFERROR(VALUE(TRIM(LEFT(I3175,FIND("minute",I3175)-1)))*60,0)+IFERROR(VALUE(SUBSTITUTE(MID(I3175,IFERROR(FIND("and",I3175)+3,1),20),"second(s)","")),0)</f>
        <v/>
      </c>
      <c r="K3175" s="41">
        <f>J3175/60</f>
        <v/>
      </c>
      <c r="L3175" s="41">
        <f>IFERROR(J3175/H3175,"")</f>
        <v/>
      </c>
      <c r="M3175" s="25" t="inlineStr">
        <is>
          <t>2.5.12</t>
        </is>
      </c>
      <c r="N3175" s="25">
        <f>IF(J3175&gt;300,1,0)</f>
        <v/>
      </c>
      <c r="O3175" s="25">
        <f>IF(J3175&gt;600,1,0)</f>
        <v/>
      </c>
      <c r="P3175" s="25">
        <f>IF(H3175&gt;0,J3175,"")</f>
        <v/>
      </c>
      <c r="Q3175" s="25">
        <f>TEXT(A3175,"YYYY-MM-DD HH")</f>
        <v/>
      </c>
      <c r="R3175" s="25">
        <f>COUNTIF($Q$2:$Q$5295,Q3175)</f>
        <v/>
      </c>
      <c r="S3175" s="25">
        <f>IF(R3175&lt;=2,"1-2",IF(R3175&lt;=5,"3-5",IF(R3175&lt;=10,"6-10","11+")))</f>
        <v/>
      </c>
    </row>
    <row r="3176">
      <c r="A3176" s="39" t="n">
        <v>46198.30332175926</v>
      </c>
      <c r="B3176" s="25">
        <f>TEXT(A3176,"YYYY-MM")</f>
        <v/>
      </c>
      <c r="C3176" s="25">
        <f>TEXT(A3176,"MMM-YYYY")</f>
        <v/>
      </c>
      <c r="D3176" s="40">
        <f>INT(A3176)-WEEKDAY(A3176,2)+1</f>
        <v/>
      </c>
      <c r="E3176" s="25" t="inlineStr">
        <is>
          <t>shassan</t>
        </is>
      </c>
      <c r="F3176" s="25" t="n">
        <v>17615</v>
      </c>
      <c r="G3176" s="25" t="n">
        <v>1</v>
      </c>
      <c r="H3176" s="25" t="n">
        <v>5</v>
      </c>
      <c r="I3176" s="25" t="inlineStr">
        <is>
          <t>1 minute(s) and 22 second(s)</t>
        </is>
      </c>
      <c r="J3176" s="25">
        <f>IFERROR(VALUE(TRIM(LEFT(I3176,FIND("minute",I3176)-1)))*60,0)+IFERROR(VALUE(SUBSTITUTE(MID(I3176,IFERROR(FIND("and",I3176)+3,1),20),"second(s)","")),0)</f>
        <v/>
      </c>
      <c r="K3176" s="41">
        <f>J3176/60</f>
        <v/>
      </c>
      <c r="L3176" s="41">
        <f>IFERROR(J3176/H3176,"")</f>
        <v/>
      </c>
      <c r="M3176" s="25" t="inlineStr">
        <is>
          <t>2.5.12</t>
        </is>
      </c>
      <c r="N3176" s="25">
        <f>IF(J3176&gt;300,1,0)</f>
        <v/>
      </c>
      <c r="O3176" s="25">
        <f>IF(J3176&gt;600,1,0)</f>
        <v/>
      </c>
      <c r="P3176" s="25">
        <f>IF(H3176&gt;0,J3176,"")</f>
        <v/>
      </c>
      <c r="Q3176" s="25">
        <f>TEXT(A3176,"YYYY-MM-DD HH")</f>
        <v/>
      </c>
      <c r="R3176" s="25">
        <f>COUNTIF($Q$2:$Q$5295,Q3176)</f>
        <v/>
      </c>
      <c r="S3176" s="25">
        <f>IF(R3176&lt;=2,"1-2",IF(R3176&lt;=5,"3-5",IF(R3176&lt;=10,"6-10","11+")))</f>
        <v/>
      </c>
    </row>
    <row r="3177">
      <c r="A3177" s="39" t="n">
        <v>46198.30954861111</v>
      </c>
      <c r="B3177" s="25">
        <f>TEXT(A3177,"YYYY-MM")</f>
        <v/>
      </c>
      <c r="C3177" s="25">
        <f>TEXT(A3177,"MMM-YYYY")</f>
        <v/>
      </c>
      <c r="D3177" s="40">
        <f>INT(A3177)-WEEKDAY(A3177,2)+1</f>
        <v/>
      </c>
      <c r="E3177" s="25" t="inlineStr">
        <is>
          <t>sthomas</t>
        </is>
      </c>
      <c r="F3177" s="25" t="n">
        <v>13236</v>
      </c>
      <c r="G3177" s="25" t="n">
        <v>3</v>
      </c>
      <c r="H3177" s="25" t="n">
        <v>15</v>
      </c>
      <c r="I3177" s="25" t="inlineStr">
        <is>
          <t>3 minute(s) and 14 second(s)</t>
        </is>
      </c>
      <c r="J3177" s="25">
        <f>IFERROR(VALUE(TRIM(LEFT(I3177,FIND("minute",I3177)-1)))*60,0)+IFERROR(VALUE(SUBSTITUTE(MID(I3177,IFERROR(FIND("and",I3177)+3,1),20),"second(s)","")),0)</f>
        <v/>
      </c>
      <c r="K3177" s="41">
        <f>J3177/60</f>
        <v/>
      </c>
      <c r="L3177" s="41">
        <f>IFERROR(J3177/H3177,"")</f>
        <v/>
      </c>
      <c r="M3177" s="25" t="inlineStr">
        <is>
          <t>2.5.12</t>
        </is>
      </c>
      <c r="N3177" s="25">
        <f>IF(J3177&gt;300,1,0)</f>
        <v/>
      </c>
      <c r="O3177" s="25">
        <f>IF(J3177&gt;600,1,0)</f>
        <v/>
      </c>
      <c r="P3177" s="25">
        <f>IF(H3177&gt;0,J3177,"")</f>
        <v/>
      </c>
      <c r="Q3177" s="25">
        <f>TEXT(A3177,"YYYY-MM-DD HH")</f>
        <v/>
      </c>
      <c r="R3177" s="25">
        <f>COUNTIF($Q$2:$Q$5295,Q3177)</f>
        <v/>
      </c>
      <c r="S3177" s="25">
        <f>IF(R3177&lt;=2,"1-2",IF(R3177&lt;=5,"3-5",IF(R3177&lt;=10,"6-10","11+")))</f>
        <v/>
      </c>
    </row>
    <row r="3178">
      <c r="A3178" s="39" t="n">
        <v>46198.31302083333</v>
      </c>
      <c r="B3178" s="25">
        <f>TEXT(A3178,"YYYY-MM")</f>
        <v/>
      </c>
      <c r="C3178" s="25">
        <f>TEXT(A3178,"MMM-YYYY")</f>
        <v/>
      </c>
      <c r="D3178" s="40">
        <f>INT(A3178)-WEEKDAY(A3178,2)+1</f>
        <v/>
      </c>
      <c r="E3178" s="25" t="inlineStr">
        <is>
          <t>mgupta</t>
        </is>
      </c>
      <c r="F3178" s="25" t="n">
        <v>12963</v>
      </c>
      <c r="G3178" s="25" t="n">
        <v>2</v>
      </c>
      <c r="H3178" s="25" t="n">
        <v>10</v>
      </c>
      <c r="I3178" s="25" t="inlineStr">
        <is>
          <t>2 minute(s) and 40 second(s)</t>
        </is>
      </c>
      <c r="J3178" s="25">
        <f>IFERROR(VALUE(TRIM(LEFT(I3178,FIND("minute",I3178)-1)))*60,0)+IFERROR(VALUE(SUBSTITUTE(MID(I3178,IFERROR(FIND("and",I3178)+3,1),20),"second(s)","")),0)</f>
        <v/>
      </c>
      <c r="K3178" s="41">
        <f>J3178/60</f>
        <v/>
      </c>
      <c r="L3178" s="41">
        <f>IFERROR(J3178/H3178,"")</f>
        <v/>
      </c>
      <c r="M3178" s="25" t="inlineStr">
        <is>
          <t>2.5.12</t>
        </is>
      </c>
      <c r="N3178" s="25">
        <f>IF(J3178&gt;300,1,0)</f>
        <v/>
      </c>
      <c r="O3178" s="25">
        <f>IF(J3178&gt;600,1,0)</f>
        <v/>
      </c>
      <c r="P3178" s="25">
        <f>IF(H3178&gt;0,J3178,"")</f>
        <v/>
      </c>
      <c r="Q3178" s="25">
        <f>TEXT(A3178,"YYYY-MM-DD HH")</f>
        <v/>
      </c>
      <c r="R3178" s="25">
        <f>COUNTIF($Q$2:$Q$5295,Q3178)</f>
        <v/>
      </c>
      <c r="S3178" s="25">
        <f>IF(R3178&lt;=2,"1-2",IF(R3178&lt;=5,"3-5",IF(R3178&lt;=10,"6-10","11+")))</f>
        <v/>
      </c>
    </row>
    <row r="3179">
      <c r="A3179" s="39" t="n">
        <v>46198.31686342593</v>
      </c>
      <c r="B3179" s="25">
        <f>TEXT(A3179,"YYYY-MM")</f>
        <v/>
      </c>
      <c r="C3179" s="25">
        <f>TEXT(A3179,"MMM-YYYY")</f>
        <v/>
      </c>
      <c r="D3179" s="40">
        <f>INT(A3179)-WEEKDAY(A3179,2)+1</f>
        <v/>
      </c>
      <c r="E3179" s="25" t="inlineStr">
        <is>
          <t>aghosh</t>
        </is>
      </c>
      <c r="F3179" s="25" t="n">
        <v>15477</v>
      </c>
      <c r="G3179" s="25" t="n">
        <v>1</v>
      </c>
      <c r="H3179" s="25" t="n">
        <v>7</v>
      </c>
      <c r="I3179" s="25" t="inlineStr">
        <is>
          <t>1 minute(s) and 39 second(s)</t>
        </is>
      </c>
      <c r="J3179" s="25">
        <f>IFERROR(VALUE(TRIM(LEFT(I3179,FIND("minute",I3179)-1)))*60,0)+IFERROR(VALUE(SUBSTITUTE(MID(I3179,IFERROR(FIND("and",I3179)+3,1),20),"second(s)","")),0)</f>
        <v/>
      </c>
      <c r="K3179" s="41">
        <f>J3179/60</f>
        <v/>
      </c>
      <c r="L3179" s="41">
        <f>IFERROR(J3179/H3179,"")</f>
        <v/>
      </c>
      <c r="M3179" s="25" t="inlineStr">
        <is>
          <t>2.5.12</t>
        </is>
      </c>
      <c r="N3179" s="25">
        <f>IF(J3179&gt;300,1,0)</f>
        <v/>
      </c>
      <c r="O3179" s="25">
        <f>IF(J3179&gt;600,1,0)</f>
        <v/>
      </c>
      <c r="P3179" s="25">
        <f>IF(H3179&gt;0,J3179,"")</f>
        <v/>
      </c>
      <c r="Q3179" s="25">
        <f>TEXT(A3179,"YYYY-MM-DD HH")</f>
        <v/>
      </c>
      <c r="R3179" s="25">
        <f>COUNTIF($Q$2:$Q$5295,Q3179)</f>
        <v/>
      </c>
      <c r="S3179" s="25">
        <f>IF(R3179&lt;=2,"1-2",IF(R3179&lt;=5,"3-5",IF(R3179&lt;=10,"6-10","11+")))</f>
        <v/>
      </c>
    </row>
    <row r="3180">
      <c r="A3180" s="39" t="n">
        <v>46198.32557870371</v>
      </c>
      <c r="B3180" s="25">
        <f>TEXT(A3180,"YYYY-MM")</f>
        <v/>
      </c>
      <c r="C3180" s="25">
        <f>TEXT(A3180,"MMM-YYYY")</f>
        <v/>
      </c>
      <c r="D3180" s="40">
        <f>INT(A3180)-WEEKDAY(A3180,2)+1</f>
        <v/>
      </c>
      <c r="E3180" s="25" t="inlineStr">
        <is>
          <t>dchoudhury</t>
        </is>
      </c>
      <c r="F3180" s="25" t="n">
        <v>15410</v>
      </c>
      <c r="G3180" s="25" t="n">
        <v>1</v>
      </c>
      <c r="H3180" s="25" t="n">
        <v>5</v>
      </c>
      <c r="I3180" s="25" t="inlineStr">
        <is>
          <t>2 minute(s) and 10 second(s)</t>
        </is>
      </c>
      <c r="J3180" s="25">
        <f>IFERROR(VALUE(TRIM(LEFT(I3180,FIND("minute",I3180)-1)))*60,0)+IFERROR(VALUE(SUBSTITUTE(MID(I3180,IFERROR(FIND("and",I3180)+3,1),20),"second(s)","")),0)</f>
        <v/>
      </c>
      <c r="K3180" s="41">
        <f>J3180/60</f>
        <v/>
      </c>
      <c r="L3180" s="41">
        <f>IFERROR(J3180/H3180,"")</f>
        <v/>
      </c>
      <c r="M3180" s="25" t="inlineStr">
        <is>
          <t>2.5.12</t>
        </is>
      </c>
      <c r="N3180" s="25">
        <f>IF(J3180&gt;300,1,0)</f>
        <v/>
      </c>
      <c r="O3180" s="25">
        <f>IF(J3180&gt;600,1,0)</f>
        <v/>
      </c>
      <c r="P3180" s="25">
        <f>IF(H3180&gt;0,J3180,"")</f>
        <v/>
      </c>
      <c r="Q3180" s="25">
        <f>TEXT(A3180,"YYYY-MM-DD HH")</f>
        <v/>
      </c>
      <c r="R3180" s="25">
        <f>COUNTIF($Q$2:$Q$5295,Q3180)</f>
        <v/>
      </c>
      <c r="S3180" s="25">
        <f>IF(R3180&lt;=2,"1-2",IF(R3180&lt;=5,"3-5",IF(R3180&lt;=10,"6-10","11+")))</f>
        <v/>
      </c>
    </row>
    <row r="3181">
      <c r="A3181" s="39" t="n">
        <v>46198.32620370371</v>
      </c>
      <c r="B3181" s="25">
        <f>TEXT(A3181,"YYYY-MM")</f>
        <v/>
      </c>
      <c r="C3181" s="25">
        <f>TEXT(A3181,"MMM-YYYY")</f>
        <v/>
      </c>
      <c r="D3181" s="40">
        <f>INT(A3181)-WEEKDAY(A3181,2)+1</f>
        <v/>
      </c>
      <c r="E3181" s="25" t="inlineStr">
        <is>
          <t>pgautam</t>
        </is>
      </c>
      <c r="F3181" s="25" t="n">
        <v>17609</v>
      </c>
      <c r="G3181" s="25" t="n">
        <v>6</v>
      </c>
      <c r="H3181" s="25" t="n">
        <v>26</v>
      </c>
      <c r="I3181" s="25" t="inlineStr">
        <is>
          <t>7 minute(s) and 20 second(s)</t>
        </is>
      </c>
      <c r="J3181" s="25">
        <f>IFERROR(VALUE(TRIM(LEFT(I3181,FIND("minute",I3181)-1)))*60,0)+IFERROR(VALUE(SUBSTITUTE(MID(I3181,IFERROR(FIND("and",I3181)+3,1),20),"second(s)","")),0)</f>
        <v/>
      </c>
      <c r="K3181" s="41">
        <f>J3181/60</f>
        <v/>
      </c>
      <c r="L3181" s="41">
        <f>IFERROR(J3181/H3181,"")</f>
        <v/>
      </c>
      <c r="M3181" s="25" t="inlineStr">
        <is>
          <t>2.5.12</t>
        </is>
      </c>
      <c r="N3181" s="25">
        <f>IF(J3181&gt;300,1,0)</f>
        <v/>
      </c>
      <c r="O3181" s="25">
        <f>IF(J3181&gt;600,1,0)</f>
        <v/>
      </c>
      <c r="P3181" s="25">
        <f>IF(H3181&gt;0,J3181,"")</f>
        <v/>
      </c>
      <c r="Q3181" s="25">
        <f>TEXT(A3181,"YYYY-MM-DD HH")</f>
        <v/>
      </c>
      <c r="R3181" s="25">
        <f>COUNTIF($Q$2:$Q$5295,Q3181)</f>
        <v/>
      </c>
      <c r="S3181" s="25">
        <f>IF(R3181&lt;=2,"1-2",IF(R3181&lt;=5,"3-5",IF(R3181&lt;=10,"6-10","11+")))</f>
        <v/>
      </c>
    </row>
    <row r="3182">
      <c r="A3182" s="39" t="n">
        <v>46198.32748842592</v>
      </c>
      <c r="B3182" s="25">
        <f>TEXT(A3182,"YYYY-MM")</f>
        <v/>
      </c>
      <c r="C3182" s="25">
        <f>TEXT(A3182,"MMM-YYYY")</f>
        <v/>
      </c>
      <c r="D3182" s="40">
        <f>INT(A3182)-WEEKDAY(A3182,2)+1</f>
        <v/>
      </c>
      <c r="E3182" s="25" t="inlineStr">
        <is>
          <t>anusharma</t>
        </is>
      </c>
      <c r="F3182" s="25" t="n">
        <v>126020</v>
      </c>
      <c r="G3182" s="25" t="n">
        <v>3</v>
      </c>
      <c r="H3182" s="25" t="n">
        <v>15</v>
      </c>
      <c r="I3182" s="25" t="inlineStr">
        <is>
          <t>5 minute(s) and 0 second(s)</t>
        </is>
      </c>
      <c r="J3182" s="25">
        <f>IFERROR(VALUE(TRIM(LEFT(I3182,FIND("minute",I3182)-1)))*60,0)+IFERROR(VALUE(SUBSTITUTE(MID(I3182,IFERROR(FIND("and",I3182)+3,1),20),"second(s)","")),0)</f>
        <v/>
      </c>
      <c r="K3182" s="41">
        <f>J3182/60</f>
        <v/>
      </c>
      <c r="L3182" s="41">
        <f>IFERROR(J3182/H3182,"")</f>
        <v/>
      </c>
      <c r="M3182" s="25" t="inlineStr">
        <is>
          <t>2.5.12</t>
        </is>
      </c>
      <c r="N3182" s="25">
        <f>IF(J3182&gt;300,1,0)</f>
        <v/>
      </c>
      <c r="O3182" s="25">
        <f>IF(J3182&gt;600,1,0)</f>
        <v/>
      </c>
      <c r="P3182" s="25">
        <f>IF(H3182&gt;0,J3182,"")</f>
        <v/>
      </c>
      <c r="Q3182" s="25">
        <f>TEXT(A3182,"YYYY-MM-DD HH")</f>
        <v/>
      </c>
      <c r="R3182" s="25">
        <f>COUNTIF($Q$2:$Q$5295,Q3182)</f>
        <v/>
      </c>
      <c r="S3182" s="25">
        <f>IF(R3182&lt;=2,"1-2",IF(R3182&lt;=5,"3-5",IF(R3182&lt;=10,"6-10","11+")))</f>
        <v/>
      </c>
    </row>
    <row r="3183">
      <c r="A3183" s="39" t="n">
        <v>46198.32899305555</v>
      </c>
      <c r="B3183" s="25">
        <f>TEXT(A3183,"YYYY-MM")</f>
        <v/>
      </c>
      <c r="C3183" s="25">
        <f>TEXT(A3183,"MMM-YYYY")</f>
        <v/>
      </c>
      <c r="D3183" s="40">
        <f>INT(A3183)-WEEKDAY(A3183,2)+1</f>
        <v/>
      </c>
      <c r="E3183" s="25" t="inlineStr">
        <is>
          <t>aghosh</t>
        </is>
      </c>
      <c r="F3183" s="25" t="n">
        <v>15477</v>
      </c>
      <c r="G3183" s="25" t="n">
        <v>1</v>
      </c>
      <c r="H3183" s="25" t="n">
        <v>7</v>
      </c>
      <c r="I3183" s="25" t="inlineStr">
        <is>
          <t>2 minute(s) and 58 second(s)</t>
        </is>
      </c>
      <c r="J3183" s="25">
        <f>IFERROR(VALUE(TRIM(LEFT(I3183,FIND("minute",I3183)-1)))*60,0)+IFERROR(VALUE(SUBSTITUTE(MID(I3183,IFERROR(FIND("and",I3183)+3,1),20),"second(s)","")),0)</f>
        <v/>
      </c>
      <c r="K3183" s="41">
        <f>J3183/60</f>
        <v/>
      </c>
      <c r="L3183" s="41">
        <f>IFERROR(J3183/H3183,"")</f>
        <v/>
      </c>
      <c r="M3183" s="25" t="inlineStr">
        <is>
          <t>2.5.12</t>
        </is>
      </c>
      <c r="N3183" s="25">
        <f>IF(J3183&gt;300,1,0)</f>
        <v/>
      </c>
      <c r="O3183" s="25">
        <f>IF(J3183&gt;600,1,0)</f>
        <v/>
      </c>
      <c r="P3183" s="25">
        <f>IF(H3183&gt;0,J3183,"")</f>
        <v/>
      </c>
      <c r="Q3183" s="25">
        <f>TEXT(A3183,"YYYY-MM-DD HH")</f>
        <v/>
      </c>
      <c r="R3183" s="25">
        <f>COUNTIF($Q$2:$Q$5295,Q3183)</f>
        <v/>
      </c>
      <c r="S3183" s="25">
        <f>IF(R3183&lt;=2,"1-2",IF(R3183&lt;=5,"3-5",IF(R3183&lt;=10,"6-10","11+")))</f>
        <v/>
      </c>
    </row>
    <row r="3184">
      <c r="A3184" s="39" t="n">
        <v>46198.33613425926</v>
      </c>
      <c r="B3184" s="25">
        <f>TEXT(A3184,"YYYY-MM")</f>
        <v/>
      </c>
      <c r="C3184" s="25">
        <f>TEXT(A3184,"MMM-YYYY")</f>
        <v/>
      </c>
      <c r="D3184" s="40">
        <f>INT(A3184)-WEEKDAY(A3184,2)+1</f>
        <v/>
      </c>
      <c r="E3184" s="25" t="inlineStr">
        <is>
          <t>stiwari</t>
        </is>
      </c>
      <c r="F3184" s="25" t="n">
        <v>18021</v>
      </c>
      <c r="G3184" s="25" t="n">
        <v>4</v>
      </c>
      <c r="H3184" s="25" t="n">
        <v>20</v>
      </c>
      <c r="I3184" s="25" t="inlineStr">
        <is>
          <t>3 minute(s) and 22 second(s)</t>
        </is>
      </c>
      <c r="J3184" s="25">
        <f>IFERROR(VALUE(TRIM(LEFT(I3184,FIND("minute",I3184)-1)))*60,0)+IFERROR(VALUE(SUBSTITUTE(MID(I3184,IFERROR(FIND("and",I3184)+3,1),20),"second(s)","")),0)</f>
        <v/>
      </c>
      <c r="K3184" s="41">
        <f>J3184/60</f>
        <v/>
      </c>
      <c r="L3184" s="41">
        <f>IFERROR(J3184/H3184,"")</f>
        <v/>
      </c>
      <c r="M3184" s="25" t="inlineStr">
        <is>
          <t>2.5.12</t>
        </is>
      </c>
      <c r="N3184" s="25">
        <f>IF(J3184&gt;300,1,0)</f>
        <v/>
      </c>
      <c r="O3184" s="25">
        <f>IF(J3184&gt;600,1,0)</f>
        <v/>
      </c>
      <c r="P3184" s="25">
        <f>IF(H3184&gt;0,J3184,"")</f>
        <v/>
      </c>
      <c r="Q3184" s="25">
        <f>TEXT(A3184,"YYYY-MM-DD HH")</f>
        <v/>
      </c>
      <c r="R3184" s="25">
        <f>COUNTIF($Q$2:$Q$5295,Q3184)</f>
        <v/>
      </c>
      <c r="S3184" s="25">
        <f>IF(R3184&lt;=2,"1-2",IF(R3184&lt;=5,"3-5",IF(R3184&lt;=10,"6-10","11+")))</f>
        <v/>
      </c>
    </row>
    <row r="3185">
      <c r="A3185" s="39" t="n">
        <v>46198.34361111111</v>
      </c>
      <c r="B3185" s="25">
        <f>TEXT(A3185,"YYYY-MM")</f>
        <v/>
      </c>
      <c r="C3185" s="25">
        <f>TEXT(A3185,"MMM-YYYY")</f>
        <v/>
      </c>
      <c r="D3185" s="40">
        <f>INT(A3185)-WEEKDAY(A3185,2)+1</f>
        <v/>
      </c>
      <c r="E3185" s="25" t="inlineStr">
        <is>
          <t>adey</t>
        </is>
      </c>
      <c r="F3185" s="25" t="n">
        <v>17993</v>
      </c>
      <c r="G3185" s="25" t="n">
        <v>4</v>
      </c>
      <c r="H3185" s="25" t="n">
        <v>20</v>
      </c>
      <c r="I3185" s="25" t="inlineStr">
        <is>
          <t>8 minute(s) and 46 second(s)</t>
        </is>
      </c>
      <c r="J3185" s="25">
        <f>IFERROR(VALUE(TRIM(LEFT(I3185,FIND("minute",I3185)-1)))*60,0)+IFERROR(VALUE(SUBSTITUTE(MID(I3185,IFERROR(FIND("and",I3185)+3,1),20),"second(s)","")),0)</f>
        <v/>
      </c>
      <c r="K3185" s="41">
        <f>J3185/60</f>
        <v/>
      </c>
      <c r="L3185" s="41">
        <f>IFERROR(J3185/H3185,"")</f>
        <v/>
      </c>
      <c r="M3185" s="25" t="inlineStr">
        <is>
          <t>2.5.12</t>
        </is>
      </c>
      <c r="N3185" s="25">
        <f>IF(J3185&gt;300,1,0)</f>
        <v/>
      </c>
      <c r="O3185" s="25">
        <f>IF(J3185&gt;600,1,0)</f>
        <v/>
      </c>
      <c r="P3185" s="25">
        <f>IF(H3185&gt;0,J3185,"")</f>
        <v/>
      </c>
      <c r="Q3185" s="25">
        <f>TEXT(A3185,"YYYY-MM-DD HH")</f>
        <v/>
      </c>
      <c r="R3185" s="25">
        <f>COUNTIF($Q$2:$Q$5295,Q3185)</f>
        <v/>
      </c>
      <c r="S3185" s="25">
        <f>IF(R3185&lt;=2,"1-2",IF(R3185&lt;=5,"3-5",IF(R3185&lt;=10,"6-10","11+")))</f>
        <v/>
      </c>
    </row>
    <row r="3186">
      <c r="A3186" s="39" t="n">
        <v>46198.34675925926</v>
      </c>
      <c r="B3186" s="25">
        <f>TEXT(A3186,"YYYY-MM")</f>
        <v/>
      </c>
      <c r="C3186" s="25">
        <f>TEXT(A3186,"MMM-YYYY")</f>
        <v/>
      </c>
      <c r="D3186" s="40">
        <f>INT(A3186)-WEEKDAY(A3186,2)+1</f>
        <v/>
      </c>
      <c r="E3186" s="25" t="inlineStr">
        <is>
          <t>sdey</t>
        </is>
      </c>
      <c r="F3186" s="25" t="n">
        <v>17227</v>
      </c>
      <c r="G3186" s="25" t="n">
        <v>2</v>
      </c>
      <c r="H3186" s="25" t="n">
        <v>10</v>
      </c>
      <c r="I3186" s="25" t="inlineStr">
        <is>
          <t>2 minute(s) and 35 second(s)</t>
        </is>
      </c>
      <c r="J3186" s="25">
        <f>IFERROR(VALUE(TRIM(LEFT(I3186,FIND("minute",I3186)-1)))*60,0)+IFERROR(VALUE(SUBSTITUTE(MID(I3186,IFERROR(FIND("and",I3186)+3,1),20),"second(s)","")),0)</f>
        <v/>
      </c>
      <c r="K3186" s="41">
        <f>J3186/60</f>
        <v/>
      </c>
      <c r="L3186" s="41">
        <f>IFERROR(J3186/H3186,"")</f>
        <v/>
      </c>
      <c r="M3186" s="25" t="inlineStr">
        <is>
          <t>2.5.12</t>
        </is>
      </c>
      <c r="N3186" s="25">
        <f>IF(J3186&gt;300,1,0)</f>
        <v/>
      </c>
      <c r="O3186" s="25">
        <f>IF(J3186&gt;600,1,0)</f>
        <v/>
      </c>
      <c r="P3186" s="25">
        <f>IF(H3186&gt;0,J3186,"")</f>
        <v/>
      </c>
      <c r="Q3186" s="25">
        <f>TEXT(A3186,"YYYY-MM-DD HH")</f>
        <v/>
      </c>
      <c r="R3186" s="25">
        <f>COUNTIF($Q$2:$Q$5295,Q3186)</f>
        <v/>
      </c>
      <c r="S3186" s="25">
        <f>IF(R3186&lt;=2,"1-2",IF(R3186&lt;=5,"3-5",IF(R3186&lt;=10,"6-10","11+")))</f>
        <v/>
      </c>
    </row>
    <row r="3187">
      <c r="A3187" s="39" t="n">
        <v>46198.35143518518</v>
      </c>
      <c r="B3187" s="25">
        <f>TEXT(A3187,"YYYY-MM")</f>
        <v/>
      </c>
      <c r="C3187" s="25">
        <f>TEXT(A3187,"MMM-YYYY")</f>
        <v/>
      </c>
      <c r="D3187" s="40">
        <f>INT(A3187)-WEEKDAY(A3187,2)+1</f>
        <v/>
      </c>
      <c r="E3187" s="25" t="inlineStr">
        <is>
          <t>shassan</t>
        </is>
      </c>
      <c r="F3187" s="25" t="n">
        <v>17607</v>
      </c>
      <c r="G3187" s="25" t="n">
        <v>1</v>
      </c>
      <c r="H3187" s="25" t="n">
        <v>5</v>
      </c>
      <c r="I3187" s="25" t="inlineStr">
        <is>
          <t>1 minute(s) and 25 second(s)</t>
        </is>
      </c>
      <c r="J3187" s="25">
        <f>IFERROR(VALUE(TRIM(LEFT(I3187,FIND("minute",I3187)-1)))*60,0)+IFERROR(VALUE(SUBSTITUTE(MID(I3187,IFERROR(FIND("and",I3187)+3,1),20),"second(s)","")),0)</f>
        <v/>
      </c>
      <c r="K3187" s="41">
        <f>J3187/60</f>
        <v/>
      </c>
      <c r="L3187" s="41">
        <f>IFERROR(J3187/H3187,"")</f>
        <v/>
      </c>
      <c r="M3187" s="25" t="inlineStr">
        <is>
          <t>2.5.12</t>
        </is>
      </c>
      <c r="N3187" s="25">
        <f>IF(J3187&gt;300,1,0)</f>
        <v/>
      </c>
      <c r="O3187" s="25">
        <f>IF(J3187&gt;600,1,0)</f>
        <v/>
      </c>
      <c r="P3187" s="25">
        <f>IF(H3187&gt;0,J3187,"")</f>
        <v/>
      </c>
      <c r="Q3187" s="25">
        <f>TEXT(A3187,"YYYY-MM-DD HH")</f>
        <v/>
      </c>
      <c r="R3187" s="25">
        <f>COUNTIF($Q$2:$Q$5295,Q3187)</f>
        <v/>
      </c>
      <c r="S3187" s="25">
        <f>IF(R3187&lt;=2,"1-2",IF(R3187&lt;=5,"3-5",IF(R3187&lt;=10,"6-10","11+")))</f>
        <v/>
      </c>
    </row>
    <row r="3188">
      <c r="A3188" s="39" t="n">
        <v>46198.35291666666</v>
      </c>
      <c r="B3188" s="25">
        <f>TEXT(A3188,"YYYY-MM")</f>
        <v/>
      </c>
      <c r="C3188" s="25">
        <f>TEXT(A3188,"MMM-YYYY")</f>
        <v/>
      </c>
      <c r="D3188" s="40">
        <f>INT(A3188)-WEEKDAY(A3188,2)+1</f>
        <v/>
      </c>
      <c r="E3188" s="25" t="inlineStr">
        <is>
          <t>aghosh</t>
        </is>
      </c>
      <c r="F3188" s="25" t="n">
        <v>15477</v>
      </c>
      <c r="G3188" s="25" t="n">
        <v>2</v>
      </c>
      <c r="H3188" s="25" t="n">
        <v>10</v>
      </c>
      <c r="I3188" s="25" t="inlineStr">
        <is>
          <t>21 minute(s) and 30 second(s)</t>
        </is>
      </c>
      <c r="J3188" s="25">
        <f>IFERROR(VALUE(TRIM(LEFT(I3188,FIND("minute",I3188)-1)))*60,0)+IFERROR(VALUE(SUBSTITUTE(MID(I3188,IFERROR(FIND("and",I3188)+3,1),20),"second(s)","")),0)</f>
        <v/>
      </c>
      <c r="K3188" s="41">
        <f>J3188/60</f>
        <v/>
      </c>
      <c r="L3188" s="41">
        <f>IFERROR(J3188/H3188,"")</f>
        <v/>
      </c>
      <c r="M3188" s="25" t="inlineStr">
        <is>
          <t>2.5.12</t>
        </is>
      </c>
      <c r="N3188" s="25">
        <f>IF(J3188&gt;300,1,0)</f>
        <v/>
      </c>
      <c r="O3188" s="25">
        <f>IF(J3188&gt;600,1,0)</f>
        <v/>
      </c>
      <c r="P3188" s="25">
        <f>IF(H3188&gt;0,J3188,"")</f>
        <v/>
      </c>
      <c r="Q3188" s="25">
        <f>TEXT(A3188,"YYYY-MM-DD HH")</f>
        <v/>
      </c>
      <c r="R3188" s="25">
        <f>COUNTIF($Q$2:$Q$5295,Q3188)</f>
        <v/>
      </c>
      <c r="S3188" s="25">
        <f>IF(R3188&lt;=2,"1-2",IF(R3188&lt;=5,"3-5",IF(R3188&lt;=10,"6-10","11+")))</f>
        <v/>
      </c>
    </row>
    <row r="3189">
      <c r="A3189" s="39" t="n">
        <v>46198.35851851852</v>
      </c>
      <c r="B3189" s="25">
        <f>TEXT(A3189,"YYYY-MM")</f>
        <v/>
      </c>
      <c r="C3189" s="25">
        <f>TEXT(A3189,"MMM-YYYY")</f>
        <v/>
      </c>
      <c r="D3189" s="40">
        <f>INT(A3189)-WEEKDAY(A3189,2)+1</f>
        <v/>
      </c>
      <c r="E3189" s="25" t="inlineStr">
        <is>
          <t>hsindwani</t>
        </is>
      </c>
      <c r="F3189" s="25" t="n">
        <v>113711</v>
      </c>
      <c r="G3189" s="25" t="n">
        <v>3</v>
      </c>
      <c r="H3189" s="25" t="n">
        <v>21</v>
      </c>
      <c r="I3189" s="25" t="inlineStr">
        <is>
          <t>8 minute(s) and 24 second(s)</t>
        </is>
      </c>
      <c r="J3189" s="25">
        <f>IFERROR(VALUE(TRIM(LEFT(I3189,FIND("minute",I3189)-1)))*60,0)+IFERROR(VALUE(SUBSTITUTE(MID(I3189,IFERROR(FIND("and",I3189)+3,1),20),"second(s)","")),0)</f>
        <v/>
      </c>
      <c r="K3189" s="41">
        <f>J3189/60</f>
        <v/>
      </c>
      <c r="L3189" s="41">
        <f>IFERROR(J3189/H3189,"")</f>
        <v/>
      </c>
      <c r="M3189" s="25" t="inlineStr">
        <is>
          <t>2.5.12</t>
        </is>
      </c>
      <c r="N3189" s="25">
        <f>IF(J3189&gt;300,1,0)</f>
        <v/>
      </c>
      <c r="O3189" s="25">
        <f>IF(J3189&gt;600,1,0)</f>
        <v/>
      </c>
      <c r="P3189" s="25">
        <f>IF(H3189&gt;0,J3189,"")</f>
        <v/>
      </c>
      <c r="Q3189" s="25">
        <f>TEXT(A3189,"YYYY-MM-DD HH")</f>
        <v/>
      </c>
      <c r="R3189" s="25">
        <f>COUNTIF($Q$2:$Q$5295,Q3189)</f>
        <v/>
      </c>
      <c r="S3189" s="25">
        <f>IF(R3189&lt;=2,"1-2",IF(R3189&lt;=5,"3-5",IF(R3189&lt;=10,"6-10","11+")))</f>
        <v/>
      </c>
    </row>
    <row r="3190">
      <c r="A3190" s="39" t="n">
        <v>46198.37075231481</v>
      </c>
      <c r="B3190" s="25">
        <f>TEXT(A3190,"YYYY-MM")</f>
        <v/>
      </c>
      <c r="C3190" s="25">
        <f>TEXT(A3190,"MMM-YYYY")</f>
        <v/>
      </c>
      <c r="D3190" s="40">
        <f>INT(A3190)-WEEKDAY(A3190,2)+1</f>
        <v/>
      </c>
      <c r="E3190" s="25" t="inlineStr">
        <is>
          <t>stiwari</t>
        </is>
      </c>
      <c r="F3190" s="25" t="n">
        <v>17869</v>
      </c>
      <c r="G3190" s="25" t="n">
        <v>4</v>
      </c>
      <c r="H3190" s="25" t="n">
        <v>16</v>
      </c>
      <c r="I3190" s="25" t="inlineStr">
        <is>
          <t>2 minute(s) and 59 second(s)</t>
        </is>
      </c>
      <c r="J3190" s="25">
        <f>IFERROR(VALUE(TRIM(LEFT(I3190,FIND("minute",I3190)-1)))*60,0)+IFERROR(VALUE(SUBSTITUTE(MID(I3190,IFERROR(FIND("and",I3190)+3,1),20),"second(s)","")),0)</f>
        <v/>
      </c>
      <c r="K3190" s="41">
        <f>J3190/60</f>
        <v/>
      </c>
      <c r="L3190" s="41">
        <f>IFERROR(J3190/H3190,"")</f>
        <v/>
      </c>
      <c r="M3190" s="25" t="inlineStr">
        <is>
          <t>2.5.12</t>
        </is>
      </c>
      <c r="N3190" s="25">
        <f>IF(J3190&gt;300,1,0)</f>
        <v/>
      </c>
      <c r="O3190" s="25">
        <f>IF(J3190&gt;600,1,0)</f>
        <v/>
      </c>
      <c r="P3190" s="25">
        <f>IF(H3190&gt;0,J3190,"")</f>
        <v/>
      </c>
      <c r="Q3190" s="25">
        <f>TEXT(A3190,"YYYY-MM-DD HH")</f>
        <v/>
      </c>
      <c r="R3190" s="25">
        <f>COUNTIF($Q$2:$Q$5295,Q3190)</f>
        <v/>
      </c>
      <c r="S3190" s="25">
        <f>IF(R3190&lt;=2,"1-2",IF(R3190&lt;=5,"3-5",IF(R3190&lt;=10,"6-10","11+")))</f>
        <v/>
      </c>
    </row>
    <row r="3191">
      <c r="A3191" s="39" t="n">
        <v>46198.37148148148</v>
      </c>
      <c r="B3191" s="25">
        <f>TEXT(A3191,"YYYY-MM")</f>
        <v/>
      </c>
      <c r="C3191" s="25">
        <f>TEXT(A3191,"MMM-YYYY")</f>
        <v/>
      </c>
      <c r="D3191" s="40">
        <f>INT(A3191)-WEEKDAY(A3191,2)+1</f>
        <v/>
      </c>
      <c r="E3191" s="25" t="inlineStr">
        <is>
          <t>mgupta</t>
        </is>
      </c>
      <c r="F3191" s="25" t="n">
        <v>12931</v>
      </c>
      <c r="G3191" s="25" t="n">
        <v>3</v>
      </c>
      <c r="H3191" s="25" t="n">
        <v>15</v>
      </c>
      <c r="I3191" s="25" t="inlineStr">
        <is>
          <t>4 minute(s) and 27 second(s)</t>
        </is>
      </c>
      <c r="J3191" s="25">
        <f>IFERROR(VALUE(TRIM(LEFT(I3191,FIND("minute",I3191)-1)))*60,0)+IFERROR(VALUE(SUBSTITUTE(MID(I3191,IFERROR(FIND("and",I3191)+3,1),20),"second(s)","")),0)</f>
        <v/>
      </c>
      <c r="K3191" s="41">
        <f>J3191/60</f>
        <v/>
      </c>
      <c r="L3191" s="41">
        <f>IFERROR(J3191/H3191,"")</f>
        <v/>
      </c>
      <c r="M3191" s="25" t="inlineStr">
        <is>
          <t>2.5.12</t>
        </is>
      </c>
      <c r="N3191" s="25">
        <f>IF(J3191&gt;300,1,0)</f>
        <v/>
      </c>
      <c r="O3191" s="25">
        <f>IF(J3191&gt;600,1,0)</f>
        <v/>
      </c>
      <c r="P3191" s="25">
        <f>IF(H3191&gt;0,J3191,"")</f>
        <v/>
      </c>
      <c r="Q3191" s="25">
        <f>TEXT(A3191,"YYYY-MM-DD HH")</f>
        <v/>
      </c>
      <c r="R3191" s="25">
        <f>COUNTIF($Q$2:$Q$5295,Q3191)</f>
        <v/>
      </c>
      <c r="S3191" s="25">
        <f>IF(R3191&lt;=2,"1-2",IF(R3191&lt;=5,"3-5",IF(R3191&lt;=10,"6-10","11+")))</f>
        <v/>
      </c>
    </row>
    <row r="3192">
      <c r="A3192" s="39" t="n">
        <v>46198.38872685185</v>
      </c>
      <c r="B3192" s="25">
        <f>TEXT(A3192,"YYYY-MM")</f>
        <v/>
      </c>
      <c r="C3192" s="25">
        <f>TEXT(A3192,"MMM-YYYY")</f>
        <v/>
      </c>
      <c r="D3192" s="40">
        <f>INT(A3192)-WEEKDAY(A3192,2)+1</f>
        <v/>
      </c>
      <c r="E3192" s="25" t="inlineStr">
        <is>
          <t>shassan</t>
        </is>
      </c>
      <c r="F3192" s="25" t="n">
        <v>17884</v>
      </c>
      <c r="G3192" s="25" t="n">
        <v>2</v>
      </c>
      <c r="H3192" s="25" t="n">
        <v>6</v>
      </c>
      <c r="I3192" s="25" t="inlineStr">
        <is>
          <t>3 minute(s) and 12 second(s)</t>
        </is>
      </c>
      <c r="J3192" s="25">
        <f>IFERROR(VALUE(TRIM(LEFT(I3192,FIND("minute",I3192)-1)))*60,0)+IFERROR(VALUE(SUBSTITUTE(MID(I3192,IFERROR(FIND("and",I3192)+3,1),20),"second(s)","")),0)</f>
        <v/>
      </c>
      <c r="K3192" s="41">
        <f>J3192/60</f>
        <v/>
      </c>
      <c r="L3192" s="41">
        <f>IFERROR(J3192/H3192,"")</f>
        <v/>
      </c>
      <c r="M3192" s="25" t="inlineStr">
        <is>
          <t>2.5.12</t>
        </is>
      </c>
      <c r="N3192" s="25">
        <f>IF(J3192&gt;300,1,0)</f>
        <v/>
      </c>
      <c r="O3192" s="25">
        <f>IF(J3192&gt;600,1,0)</f>
        <v/>
      </c>
      <c r="P3192" s="25">
        <f>IF(H3192&gt;0,J3192,"")</f>
        <v/>
      </c>
      <c r="Q3192" s="25">
        <f>TEXT(A3192,"YYYY-MM-DD HH")</f>
        <v/>
      </c>
      <c r="R3192" s="25">
        <f>COUNTIF($Q$2:$Q$5295,Q3192)</f>
        <v/>
      </c>
      <c r="S3192" s="25">
        <f>IF(R3192&lt;=2,"1-2",IF(R3192&lt;=5,"3-5",IF(R3192&lt;=10,"6-10","11+")))</f>
        <v/>
      </c>
    </row>
    <row r="3193">
      <c r="A3193" s="39" t="n">
        <v>46198.39362268519</v>
      </c>
      <c r="B3193" s="25">
        <f>TEXT(A3193,"YYYY-MM")</f>
        <v/>
      </c>
      <c r="C3193" s="25">
        <f>TEXT(A3193,"MMM-YYYY")</f>
        <v/>
      </c>
      <c r="D3193" s="40">
        <f>INT(A3193)-WEEKDAY(A3193,2)+1</f>
        <v/>
      </c>
      <c r="E3193" s="25" t="inlineStr">
        <is>
          <t>sdey</t>
        </is>
      </c>
      <c r="F3193" s="25" t="n">
        <v>17219</v>
      </c>
      <c r="G3193" s="25" t="n">
        <v>1</v>
      </c>
      <c r="H3193" s="25" t="n">
        <v>7</v>
      </c>
      <c r="I3193" s="25" t="inlineStr">
        <is>
          <t>3 minute(s) and 4 second(s)</t>
        </is>
      </c>
      <c r="J3193" s="25">
        <f>IFERROR(VALUE(TRIM(LEFT(I3193,FIND("minute",I3193)-1)))*60,0)+IFERROR(VALUE(SUBSTITUTE(MID(I3193,IFERROR(FIND("and",I3193)+3,1),20),"second(s)","")),0)</f>
        <v/>
      </c>
      <c r="K3193" s="41">
        <f>J3193/60</f>
        <v/>
      </c>
      <c r="L3193" s="41">
        <f>IFERROR(J3193/H3193,"")</f>
        <v/>
      </c>
      <c r="M3193" s="25" t="inlineStr">
        <is>
          <t>2.5.12</t>
        </is>
      </c>
      <c r="N3193" s="25">
        <f>IF(J3193&gt;300,1,0)</f>
        <v/>
      </c>
      <c r="O3193" s="25">
        <f>IF(J3193&gt;600,1,0)</f>
        <v/>
      </c>
      <c r="P3193" s="25">
        <f>IF(H3193&gt;0,J3193,"")</f>
        <v/>
      </c>
      <c r="Q3193" s="25">
        <f>TEXT(A3193,"YYYY-MM-DD HH")</f>
        <v/>
      </c>
      <c r="R3193" s="25">
        <f>COUNTIF($Q$2:$Q$5295,Q3193)</f>
        <v/>
      </c>
      <c r="S3193" s="25">
        <f>IF(R3193&lt;=2,"1-2",IF(R3193&lt;=5,"3-5",IF(R3193&lt;=10,"6-10","11+")))</f>
        <v/>
      </c>
    </row>
    <row r="3194">
      <c r="A3194" s="39" t="n">
        <v>46198.39417824074</v>
      </c>
      <c r="B3194" s="25">
        <f>TEXT(A3194,"YYYY-MM")</f>
        <v/>
      </c>
      <c r="C3194" s="25">
        <f>TEXT(A3194,"MMM-YYYY")</f>
        <v/>
      </c>
      <c r="D3194" s="40">
        <f>INT(A3194)-WEEKDAY(A3194,2)+1</f>
        <v/>
      </c>
      <c r="E3194" s="25" t="inlineStr">
        <is>
          <t>aghosh</t>
        </is>
      </c>
      <c r="F3194" s="25" t="n">
        <v>17874</v>
      </c>
      <c r="G3194" s="25" t="n">
        <v>2</v>
      </c>
      <c r="H3194" s="25" t="n">
        <v>6</v>
      </c>
      <c r="I3194" s="25" t="inlineStr">
        <is>
          <t>4 minute(s) and 30 second(s)</t>
        </is>
      </c>
      <c r="J3194" s="25">
        <f>IFERROR(VALUE(TRIM(LEFT(I3194,FIND("minute",I3194)-1)))*60,0)+IFERROR(VALUE(SUBSTITUTE(MID(I3194,IFERROR(FIND("and",I3194)+3,1),20),"second(s)","")),0)</f>
        <v/>
      </c>
      <c r="K3194" s="41">
        <f>J3194/60</f>
        <v/>
      </c>
      <c r="L3194" s="41">
        <f>IFERROR(J3194/H3194,"")</f>
        <v/>
      </c>
      <c r="M3194" s="25" t="inlineStr">
        <is>
          <t>2.5.12</t>
        </is>
      </c>
      <c r="N3194" s="25">
        <f>IF(J3194&gt;300,1,0)</f>
        <v/>
      </c>
      <c r="O3194" s="25">
        <f>IF(J3194&gt;600,1,0)</f>
        <v/>
      </c>
      <c r="P3194" s="25">
        <f>IF(H3194&gt;0,J3194,"")</f>
        <v/>
      </c>
      <c r="Q3194" s="25">
        <f>TEXT(A3194,"YYYY-MM-DD HH")</f>
        <v/>
      </c>
      <c r="R3194" s="25">
        <f>COUNTIF($Q$2:$Q$5295,Q3194)</f>
        <v/>
      </c>
      <c r="S3194" s="25">
        <f>IF(R3194&lt;=2,"1-2",IF(R3194&lt;=5,"3-5",IF(R3194&lt;=10,"6-10","11+")))</f>
        <v/>
      </c>
    </row>
    <row r="3195">
      <c r="A3195" s="39" t="n">
        <v>46198.40028935186</v>
      </c>
      <c r="B3195" s="25">
        <f>TEXT(A3195,"YYYY-MM")</f>
        <v/>
      </c>
      <c r="C3195" s="25">
        <f>TEXT(A3195,"MMM-YYYY")</f>
        <v/>
      </c>
      <c r="D3195" s="40">
        <f>INT(A3195)-WEEKDAY(A3195,2)+1</f>
        <v/>
      </c>
      <c r="E3195" s="25" t="inlineStr">
        <is>
          <t>tkarmakar</t>
        </is>
      </c>
      <c r="F3195" s="25" t="n">
        <v>17490</v>
      </c>
      <c r="G3195" s="25" t="n">
        <v>1</v>
      </c>
      <c r="H3195" s="25" t="n">
        <v>7</v>
      </c>
      <c r="I3195" s="25" t="inlineStr">
        <is>
          <t>4 minute(s) and 22 second(s)</t>
        </is>
      </c>
      <c r="J3195" s="25">
        <f>IFERROR(VALUE(TRIM(LEFT(I3195,FIND("minute",I3195)-1)))*60,0)+IFERROR(VALUE(SUBSTITUTE(MID(I3195,IFERROR(FIND("and",I3195)+3,1),20),"second(s)","")),0)</f>
        <v/>
      </c>
      <c r="K3195" s="41">
        <f>J3195/60</f>
        <v/>
      </c>
      <c r="L3195" s="41">
        <f>IFERROR(J3195/H3195,"")</f>
        <v/>
      </c>
      <c r="M3195" s="25" t="inlineStr">
        <is>
          <t>2.5.12</t>
        </is>
      </c>
      <c r="N3195" s="25">
        <f>IF(J3195&gt;300,1,0)</f>
        <v/>
      </c>
      <c r="O3195" s="25">
        <f>IF(J3195&gt;600,1,0)</f>
        <v/>
      </c>
      <c r="P3195" s="25">
        <f>IF(H3195&gt;0,J3195,"")</f>
        <v/>
      </c>
      <c r="Q3195" s="25">
        <f>TEXT(A3195,"YYYY-MM-DD HH")</f>
        <v/>
      </c>
      <c r="R3195" s="25">
        <f>COUNTIF($Q$2:$Q$5295,Q3195)</f>
        <v/>
      </c>
      <c r="S3195" s="25">
        <f>IF(R3195&lt;=2,"1-2",IF(R3195&lt;=5,"3-5",IF(R3195&lt;=10,"6-10","11+")))</f>
        <v/>
      </c>
    </row>
    <row r="3196">
      <c r="A3196" s="39" t="n">
        <v>46198.41627314815</v>
      </c>
      <c r="B3196" s="25">
        <f>TEXT(A3196,"YYYY-MM")</f>
        <v/>
      </c>
      <c r="C3196" s="25">
        <f>TEXT(A3196,"MMM-YYYY")</f>
        <v/>
      </c>
      <c r="D3196" s="40">
        <f>INT(A3196)-WEEKDAY(A3196,2)+1</f>
        <v/>
      </c>
      <c r="E3196" s="25" t="inlineStr">
        <is>
          <t>tkarmakar</t>
        </is>
      </c>
      <c r="F3196" s="25" t="n">
        <v>17538</v>
      </c>
      <c r="G3196" s="25" t="n">
        <v>1</v>
      </c>
      <c r="H3196" s="25" t="n">
        <v>7</v>
      </c>
      <c r="I3196" s="25" t="inlineStr">
        <is>
          <t>2 minute(s) and 1 second(s)</t>
        </is>
      </c>
      <c r="J3196" s="25">
        <f>IFERROR(VALUE(TRIM(LEFT(I3196,FIND("minute",I3196)-1)))*60,0)+IFERROR(VALUE(SUBSTITUTE(MID(I3196,IFERROR(FIND("and",I3196)+3,1),20),"second(s)","")),0)</f>
        <v/>
      </c>
      <c r="K3196" s="41">
        <f>J3196/60</f>
        <v/>
      </c>
      <c r="L3196" s="41">
        <f>IFERROR(J3196/H3196,"")</f>
        <v/>
      </c>
      <c r="M3196" s="25" t="inlineStr">
        <is>
          <t>2.5.12</t>
        </is>
      </c>
      <c r="N3196" s="25">
        <f>IF(J3196&gt;300,1,0)</f>
        <v/>
      </c>
      <c r="O3196" s="25">
        <f>IF(J3196&gt;600,1,0)</f>
        <v/>
      </c>
      <c r="P3196" s="25">
        <f>IF(H3196&gt;0,J3196,"")</f>
        <v/>
      </c>
      <c r="Q3196" s="25">
        <f>TEXT(A3196,"YYYY-MM-DD HH")</f>
        <v/>
      </c>
      <c r="R3196" s="25">
        <f>COUNTIF($Q$2:$Q$5295,Q3196)</f>
        <v/>
      </c>
      <c r="S3196" s="25">
        <f>IF(R3196&lt;=2,"1-2",IF(R3196&lt;=5,"3-5",IF(R3196&lt;=10,"6-10","11+")))</f>
        <v/>
      </c>
    </row>
    <row r="3197">
      <c r="A3197" s="39" t="n">
        <v>46198.41755787037</v>
      </c>
      <c r="B3197" s="25">
        <f>TEXT(A3197,"YYYY-MM")</f>
        <v/>
      </c>
      <c r="C3197" s="25">
        <f>TEXT(A3197,"MMM-YYYY")</f>
        <v/>
      </c>
      <c r="D3197" s="40">
        <f>INT(A3197)-WEEKDAY(A3197,2)+1</f>
        <v/>
      </c>
      <c r="E3197" s="25" t="inlineStr">
        <is>
          <t>sthomas</t>
        </is>
      </c>
      <c r="F3197" s="25" t="n">
        <v>2234</v>
      </c>
      <c r="G3197" s="25" t="n">
        <v>2</v>
      </c>
      <c r="H3197" s="25" t="n">
        <v>15</v>
      </c>
      <c r="I3197" s="25" t="inlineStr">
        <is>
          <t>3 minute(s) and 28 second(s)</t>
        </is>
      </c>
      <c r="J3197" s="25">
        <f>IFERROR(VALUE(TRIM(LEFT(I3197,FIND("minute",I3197)-1)))*60,0)+IFERROR(VALUE(SUBSTITUTE(MID(I3197,IFERROR(FIND("and",I3197)+3,1),20),"second(s)","")),0)</f>
        <v/>
      </c>
      <c r="K3197" s="41">
        <f>J3197/60</f>
        <v/>
      </c>
      <c r="L3197" s="41">
        <f>IFERROR(J3197/H3197,"")</f>
        <v/>
      </c>
      <c r="M3197" s="25" t="inlineStr">
        <is>
          <t>2.5.12</t>
        </is>
      </c>
      <c r="N3197" s="25">
        <f>IF(J3197&gt;300,1,0)</f>
        <v/>
      </c>
      <c r="O3197" s="25">
        <f>IF(J3197&gt;600,1,0)</f>
        <v/>
      </c>
      <c r="P3197" s="25">
        <f>IF(H3197&gt;0,J3197,"")</f>
        <v/>
      </c>
      <c r="Q3197" s="25">
        <f>TEXT(A3197,"YYYY-MM-DD HH")</f>
        <v/>
      </c>
      <c r="R3197" s="25">
        <f>COUNTIF($Q$2:$Q$5295,Q3197)</f>
        <v/>
      </c>
      <c r="S3197" s="25">
        <f>IF(R3197&lt;=2,"1-2",IF(R3197&lt;=5,"3-5",IF(R3197&lt;=10,"6-10","11+")))</f>
        <v/>
      </c>
    </row>
    <row r="3198">
      <c r="A3198" s="39" t="n">
        <v>46198.43490740741</v>
      </c>
      <c r="B3198" s="25">
        <f>TEXT(A3198,"YYYY-MM")</f>
        <v/>
      </c>
      <c r="C3198" s="25">
        <f>TEXT(A3198,"MMM-YYYY")</f>
        <v/>
      </c>
      <c r="D3198" s="40">
        <f>INT(A3198)-WEEKDAY(A3198,2)+1</f>
        <v/>
      </c>
      <c r="E3198" s="25" t="inlineStr">
        <is>
          <t>dchoudhury</t>
        </is>
      </c>
      <c r="F3198" s="25" t="n">
        <v>15514</v>
      </c>
      <c r="G3198" s="25" t="n">
        <v>1</v>
      </c>
      <c r="H3198" s="25" t="n">
        <v>7</v>
      </c>
      <c r="I3198" s="25" t="inlineStr">
        <is>
          <t>1 minute(s) and 25 second(s)</t>
        </is>
      </c>
      <c r="J3198" s="25">
        <f>IFERROR(VALUE(TRIM(LEFT(I3198,FIND("minute",I3198)-1)))*60,0)+IFERROR(VALUE(SUBSTITUTE(MID(I3198,IFERROR(FIND("and",I3198)+3,1),20),"second(s)","")),0)</f>
        <v/>
      </c>
      <c r="K3198" s="41">
        <f>J3198/60</f>
        <v/>
      </c>
      <c r="L3198" s="41">
        <f>IFERROR(J3198/H3198,"")</f>
        <v/>
      </c>
      <c r="M3198" s="25" t="inlineStr">
        <is>
          <t>2.5.12</t>
        </is>
      </c>
      <c r="N3198" s="25">
        <f>IF(J3198&gt;300,1,0)</f>
        <v/>
      </c>
      <c r="O3198" s="25">
        <f>IF(J3198&gt;600,1,0)</f>
        <v/>
      </c>
      <c r="P3198" s="25">
        <f>IF(H3198&gt;0,J3198,"")</f>
        <v/>
      </c>
      <c r="Q3198" s="25">
        <f>TEXT(A3198,"YYYY-MM-DD HH")</f>
        <v/>
      </c>
      <c r="R3198" s="25">
        <f>COUNTIF($Q$2:$Q$5295,Q3198)</f>
        <v/>
      </c>
      <c r="S3198" s="25">
        <f>IF(R3198&lt;=2,"1-2",IF(R3198&lt;=5,"3-5",IF(R3198&lt;=10,"6-10","11+")))</f>
        <v/>
      </c>
    </row>
    <row r="3199">
      <c r="A3199" s="39" t="n">
        <v>46198.48204861111</v>
      </c>
      <c r="B3199" s="25">
        <f>TEXT(A3199,"YYYY-MM")</f>
        <v/>
      </c>
      <c r="C3199" s="25">
        <f>TEXT(A3199,"MMM-YYYY")</f>
        <v/>
      </c>
      <c r="D3199" s="40">
        <f>INT(A3199)-WEEKDAY(A3199,2)+1</f>
        <v/>
      </c>
      <c r="E3199" s="25" t="inlineStr">
        <is>
          <t>adey</t>
        </is>
      </c>
      <c r="F3199" s="25" t="n">
        <v>17953</v>
      </c>
      <c r="G3199" s="25" t="n">
        <v>1</v>
      </c>
      <c r="H3199" s="25" t="n">
        <v>7</v>
      </c>
      <c r="I3199" s="25" t="inlineStr">
        <is>
          <t>1 minute(s) and 37 second(s)</t>
        </is>
      </c>
      <c r="J3199" s="25">
        <f>IFERROR(VALUE(TRIM(LEFT(I3199,FIND("minute",I3199)-1)))*60,0)+IFERROR(VALUE(SUBSTITUTE(MID(I3199,IFERROR(FIND("and",I3199)+3,1),20),"second(s)","")),0)</f>
        <v/>
      </c>
      <c r="K3199" s="41">
        <f>J3199/60</f>
        <v/>
      </c>
      <c r="L3199" s="41">
        <f>IFERROR(J3199/H3199,"")</f>
        <v/>
      </c>
      <c r="M3199" s="25" t="inlineStr">
        <is>
          <t>2.5.12</t>
        </is>
      </c>
      <c r="N3199" s="25">
        <f>IF(J3199&gt;300,1,0)</f>
        <v/>
      </c>
      <c r="O3199" s="25">
        <f>IF(J3199&gt;600,1,0)</f>
        <v/>
      </c>
      <c r="P3199" s="25">
        <f>IF(H3199&gt;0,J3199,"")</f>
        <v/>
      </c>
      <c r="Q3199" s="25">
        <f>TEXT(A3199,"YYYY-MM-DD HH")</f>
        <v/>
      </c>
      <c r="R3199" s="25">
        <f>COUNTIF($Q$2:$Q$5295,Q3199)</f>
        <v/>
      </c>
      <c r="S3199" s="25">
        <f>IF(R3199&lt;=2,"1-2",IF(R3199&lt;=5,"3-5",IF(R3199&lt;=10,"6-10","11+")))</f>
        <v/>
      </c>
    </row>
    <row r="3200">
      <c r="A3200" s="39" t="n">
        <v>46198.48809027778</v>
      </c>
      <c r="B3200" s="25">
        <f>TEXT(A3200,"YYYY-MM")</f>
        <v/>
      </c>
      <c r="C3200" s="25">
        <f>TEXT(A3200,"MMM-YYYY")</f>
        <v/>
      </c>
      <c r="D3200" s="40">
        <f>INT(A3200)-WEEKDAY(A3200,2)+1</f>
        <v/>
      </c>
      <c r="E3200" s="25" t="inlineStr">
        <is>
          <t>sdey</t>
        </is>
      </c>
      <c r="F3200" s="25" t="n">
        <v>17011</v>
      </c>
      <c r="G3200" s="25" t="n">
        <v>1</v>
      </c>
      <c r="H3200" s="25" t="n">
        <v>5</v>
      </c>
      <c r="I3200" s="25" t="inlineStr">
        <is>
          <t>2 minute(s) and 48 second(s)</t>
        </is>
      </c>
      <c r="J3200" s="25">
        <f>IFERROR(VALUE(TRIM(LEFT(I3200,FIND("minute",I3200)-1)))*60,0)+IFERROR(VALUE(SUBSTITUTE(MID(I3200,IFERROR(FIND("and",I3200)+3,1),20),"second(s)","")),0)</f>
        <v/>
      </c>
      <c r="K3200" s="41">
        <f>J3200/60</f>
        <v/>
      </c>
      <c r="L3200" s="41">
        <f>IFERROR(J3200/H3200,"")</f>
        <v/>
      </c>
      <c r="M3200" s="25" t="inlineStr">
        <is>
          <t>2.5.12</t>
        </is>
      </c>
      <c r="N3200" s="25">
        <f>IF(J3200&gt;300,1,0)</f>
        <v/>
      </c>
      <c r="O3200" s="25">
        <f>IF(J3200&gt;600,1,0)</f>
        <v/>
      </c>
      <c r="P3200" s="25">
        <f>IF(H3200&gt;0,J3200,"")</f>
        <v/>
      </c>
      <c r="Q3200" s="25">
        <f>TEXT(A3200,"YYYY-MM-DD HH")</f>
        <v/>
      </c>
      <c r="R3200" s="25">
        <f>COUNTIF($Q$2:$Q$5295,Q3200)</f>
        <v/>
      </c>
      <c r="S3200" s="25">
        <f>IF(R3200&lt;=2,"1-2",IF(R3200&lt;=5,"3-5",IF(R3200&lt;=10,"6-10","11+")))</f>
        <v/>
      </c>
    </row>
    <row r="3201">
      <c r="A3201" s="39" t="n">
        <v>46198.49071759259</v>
      </c>
      <c r="B3201" s="25">
        <f>TEXT(A3201,"YYYY-MM")</f>
        <v/>
      </c>
      <c r="C3201" s="25">
        <f>TEXT(A3201,"MMM-YYYY")</f>
        <v/>
      </c>
      <c r="D3201" s="40">
        <f>INT(A3201)-WEEKDAY(A3201,2)+1</f>
        <v/>
      </c>
      <c r="E3201" s="25" t="inlineStr">
        <is>
          <t>emishra</t>
        </is>
      </c>
      <c r="F3201" s="25" t="n">
        <v>12942</v>
      </c>
      <c r="G3201" s="25" t="n">
        <v>1</v>
      </c>
      <c r="H3201" s="25" t="n">
        <v>7</v>
      </c>
      <c r="I3201" s="25" t="inlineStr">
        <is>
          <t>1 minute(s) and 6 second(s)</t>
        </is>
      </c>
      <c r="J3201" s="25">
        <f>IFERROR(VALUE(TRIM(LEFT(I3201,FIND("minute",I3201)-1)))*60,0)+IFERROR(VALUE(SUBSTITUTE(MID(I3201,IFERROR(FIND("and",I3201)+3,1),20),"second(s)","")),0)</f>
        <v/>
      </c>
      <c r="K3201" s="41">
        <f>J3201/60</f>
        <v/>
      </c>
      <c r="L3201" s="41">
        <f>IFERROR(J3201/H3201,"")</f>
        <v/>
      </c>
      <c r="M3201" s="25" t="inlineStr">
        <is>
          <t>2.5.12</t>
        </is>
      </c>
      <c r="N3201" s="25">
        <f>IF(J3201&gt;300,1,0)</f>
        <v/>
      </c>
      <c r="O3201" s="25">
        <f>IF(J3201&gt;600,1,0)</f>
        <v/>
      </c>
      <c r="P3201" s="25">
        <f>IF(H3201&gt;0,J3201,"")</f>
        <v/>
      </c>
      <c r="Q3201" s="25">
        <f>TEXT(A3201,"YYYY-MM-DD HH")</f>
        <v/>
      </c>
      <c r="R3201" s="25">
        <f>COUNTIF($Q$2:$Q$5295,Q3201)</f>
        <v/>
      </c>
      <c r="S3201" s="25">
        <f>IF(R3201&lt;=2,"1-2",IF(R3201&lt;=5,"3-5",IF(R3201&lt;=10,"6-10","11+")))</f>
        <v/>
      </c>
    </row>
    <row r="3202">
      <c r="A3202" s="39" t="n">
        <v>46198.50869212963</v>
      </c>
      <c r="B3202" s="25">
        <f>TEXT(A3202,"YYYY-MM")</f>
        <v/>
      </c>
      <c r="C3202" s="25">
        <f>TEXT(A3202,"MMM-YYYY")</f>
        <v/>
      </c>
      <c r="D3202" s="40">
        <f>INT(A3202)-WEEKDAY(A3202,2)+1</f>
        <v/>
      </c>
      <c r="E3202" s="25" t="inlineStr">
        <is>
          <t>pgautam</t>
        </is>
      </c>
      <c r="F3202" s="25" t="n">
        <v>12978</v>
      </c>
      <c r="G3202" s="25" t="n">
        <v>4</v>
      </c>
      <c r="H3202" s="25" t="n">
        <v>19</v>
      </c>
      <c r="I3202" s="25" t="inlineStr">
        <is>
          <t>5 minute(s) and 47 second(s)</t>
        </is>
      </c>
      <c r="J3202" s="25">
        <f>IFERROR(VALUE(TRIM(LEFT(I3202,FIND("minute",I3202)-1)))*60,0)+IFERROR(VALUE(SUBSTITUTE(MID(I3202,IFERROR(FIND("and",I3202)+3,1),20),"second(s)","")),0)</f>
        <v/>
      </c>
      <c r="K3202" s="41">
        <f>J3202/60</f>
        <v/>
      </c>
      <c r="L3202" s="41">
        <f>IFERROR(J3202/H3202,"")</f>
        <v/>
      </c>
      <c r="M3202" s="25" t="inlineStr">
        <is>
          <t>2.5.12</t>
        </is>
      </c>
      <c r="N3202" s="25">
        <f>IF(J3202&gt;300,1,0)</f>
        <v/>
      </c>
      <c r="O3202" s="25">
        <f>IF(J3202&gt;600,1,0)</f>
        <v/>
      </c>
      <c r="P3202" s="25">
        <f>IF(H3202&gt;0,J3202,"")</f>
        <v/>
      </c>
      <c r="Q3202" s="25">
        <f>TEXT(A3202,"YYYY-MM-DD HH")</f>
        <v/>
      </c>
      <c r="R3202" s="25">
        <f>COUNTIF($Q$2:$Q$5295,Q3202)</f>
        <v/>
      </c>
      <c r="S3202" s="25">
        <f>IF(R3202&lt;=2,"1-2",IF(R3202&lt;=5,"3-5",IF(R3202&lt;=10,"6-10","11+")))</f>
        <v/>
      </c>
    </row>
    <row r="3203">
      <c r="A3203" s="39" t="n">
        <v>46198.52340277778</v>
      </c>
      <c r="B3203" s="25">
        <f>TEXT(A3203,"YYYY-MM")</f>
        <v/>
      </c>
      <c r="C3203" s="25">
        <f>TEXT(A3203,"MMM-YYYY")</f>
        <v/>
      </c>
      <c r="D3203" s="40">
        <f>INT(A3203)-WEEKDAY(A3203,2)+1</f>
        <v/>
      </c>
      <c r="E3203" s="25" t="inlineStr">
        <is>
          <t>aghosh</t>
        </is>
      </c>
      <c r="F3203" s="25" t="n">
        <v>17610</v>
      </c>
      <c r="G3203" s="25" t="n">
        <v>1</v>
      </c>
      <c r="H3203" s="25" t="n">
        <v>7</v>
      </c>
      <c r="I3203" s="25" t="inlineStr">
        <is>
          <t>2 minute(s) and 42 second(s)</t>
        </is>
      </c>
      <c r="J3203" s="25">
        <f>IFERROR(VALUE(TRIM(LEFT(I3203,FIND("minute",I3203)-1)))*60,0)+IFERROR(VALUE(SUBSTITUTE(MID(I3203,IFERROR(FIND("and",I3203)+3,1),20),"second(s)","")),0)</f>
        <v/>
      </c>
      <c r="K3203" s="41">
        <f>J3203/60</f>
        <v/>
      </c>
      <c r="L3203" s="41">
        <f>IFERROR(J3203/H3203,"")</f>
        <v/>
      </c>
      <c r="M3203" s="25" t="inlineStr">
        <is>
          <t>2.5.12</t>
        </is>
      </c>
      <c r="N3203" s="25">
        <f>IF(J3203&gt;300,1,0)</f>
        <v/>
      </c>
      <c r="O3203" s="25">
        <f>IF(J3203&gt;600,1,0)</f>
        <v/>
      </c>
      <c r="P3203" s="25">
        <f>IF(H3203&gt;0,J3203,"")</f>
        <v/>
      </c>
      <c r="Q3203" s="25">
        <f>TEXT(A3203,"YYYY-MM-DD HH")</f>
        <v/>
      </c>
      <c r="R3203" s="25">
        <f>COUNTIF($Q$2:$Q$5295,Q3203)</f>
        <v/>
      </c>
      <c r="S3203" s="25">
        <f>IF(R3203&lt;=2,"1-2",IF(R3203&lt;=5,"3-5",IF(R3203&lt;=10,"6-10","11+")))</f>
        <v/>
      </c>
    </row>
    <row r="3204">
      <c r="A3204" s="39" t="n">
        <v>46198.5271875</v>
      </c>
      <c r="B3204" s="25">
        <f>TEXT(A3204,"YYYY-MM")</f>
        <v/>
      </c>
      <c r="C3204" s="25">
        <f>TEXT(A3204,"MMM-YYYY")</f>
        <v/>
      </c>
      <c r="D3204" s="40">
        <f>INT(A3204)-WEEKDAY(A3204,2)+1</f>
        <v/>
      </c>
      <c r="E3204" s="25" t="inlineStr">
        <is>
          <t>emishra</t>
        </is>
      </c>
      <c r="F3204" s="25" t="n">
        <v>12870</v>
      </c>
      <c r="G3204" s="25" t="n">
        <v>1</v>
      </c>
      <c r="H3204" s="25" t="n">
        <v>7</v>
      </c>
      <c r="I3204" s="25" t="inlineStr">
        <is>
          <t>1 minute(s) and 16 second(s)</t>
        </is>
      </c>
      <c r="J3204" s="25">
        <f>IFERROR(VALUE(TRIM(LEFT(I3204,FIND("minute",I3204)-1)))*60,0)+IFERROR(VALUE(SUBSTITUTE(MID(I3204,IFERROR(FIND("and",I3204)+3,1),20),"second(s)","")),0)</f>
        <v/>
      </c>
      <c r="K3204" s="41">
        <f>J3204/60</f>
        <v/>
      </c>
      <c r="L3204" s="41">
        <f>IFERROR(J3204/H3204,"")</f>
        <v/>
      </c>
      <c r="M3204" s="25" t="inlineStr">
        <is>
          <t>2.5.12</t>
        </is>
      </c>
      <c r="N3204" s="25">
        <f>IF(J3204&gt;300,1,0)</f>
        <v/>
      </c>
      <c r="O3204" s="25">
        <f>IF(J3204&gt;600,1,0)</f>
        <v/>
      </c>
      <c r="P3204" s="25">
        <f>IF(H3204&gt;0,J3204,"")</f>
        <v/>
      </c>
      <c r="Q3204" s="25">
        <f>TEXT(A3204,"YYYY-MM-DD HH")</f>
        <v/>
      </c>
      <c r="R3204" s="25">
        <f>COUNTIF($Q$2:$Q$5295,Q3204)</f>
        <v/>
      </c>
      <c r="S3204" s="25">
        <f>IF(R3204&lt;=2,"1-2",IF(R3204&lt;=5,"3-5",IF(R3204&lt;=10,"6-10","11+")))</f>
        <v/>
      </c>
    </row>
    <row r="3205">
      <c r="A3205" s="39" t="n">
        <v>46198.53969907408</v>
      </c>
      <c r="B3205" s="25">
        <f>TEXT(A3205,"YYYY-MM")</f>
        <v/>
      </c>
      <c r="C3205" s="25">
        <f>TEXT(A3205,"MMM-YYYY")</f>
        <v/>
      </c>
      <c r="D3205" s="40">
        <f>INT(A3205)-WEEKDAY(A3205,2)+1</f>
        <v/>
      </c>
      <c r="E3205" s="25" t="inlineStr">
        <is>
          <t>ssaha</t>
        </is>
      </c>
      <c r="F3205" s="25" t="n">
        <v>114067</v>
      </c>
      <c r="G3205" s="25" t="n">
        <v>4</v>
      </c>
      <c r="H3205" s="25" t="n">
        <v>20</v>
      </c>
      <c r="I3205" s="25" t="inlineStr">
        <is>
          <t>4 minute(s) and 25 second(s)</t>
        </is>
      </c>
      <c r="J3205" s="25">
        <f>IFERROR(VALUE(TRIM(LEFT(I3205,FIND("minute",I3205)-1)))*60,0)+IFERROR(VALUE(SUBSTITUTE(MID(I3205,IFERROR(FIND("and",I3205)+3,1),20),"second(s)","")),0)</f>
        <v/>
      </c>
      <c r="K3205" s="41">
        <f>J3205/60</f>
        <v/>
      </c>
      <c r="L3205" s="41">
        <f>IFERROR(J3205/H3205,"")</f>
        <v/>
      </c>
      <c r="M3205" s="25" t="inlineStr">
        <is>
          <t>2.5.12</t>
        </is>
      </c>
      <c r="N3205" s="25">
        <f>IF(J3205&gt;300,1,0)</f>
        <v/>
      </c>
      <c r="O3205" s="25">
        <f>IF(J3205&gt;600,1,0)</f>
        <v/>
      </c>
      <c r="P3205" s="25">
        <f>IF(H3205&gt;0,J3205,"")</f>
        <v/>
      </c>
      <c r="Q3205" s="25">
        <f>TEXT(A3205,"YYYY-MM-DD HH")</f>
        <v/>
      </c>
      <c r="R3205" s="25">
        <f>COUNTIF($Q$2:$Q$5295,Q3205)</f>
        <v/>
      </c>
      <c r="S3205" s="25">
        <f>IF(R3205&lt;=2,"1-2",IF(R3205&lt;=5,"3-5",IF(R3205&lt;=10,"6-10","11+")))</f>
        <v/>
      </c>
    </row>
    <row r="3206">
      <c r="A3206" s="39" t="n">
        <v>46198.55534722222</v>
      </c>
      <c r="B3206" s="25">
        <f>TEXT(A3206,"YYYY-MM")</f>
        <v/>
      </c>
      <c r="C3206" s="25">
        <f>TEXT(A3206,"MMM-YYYY")</f>
        <v/>
      </c>
      <c r="D3206" s="40">
        <f>INT(A3206)-WEEKDAY(A3206,2)+1</f>
        <v/>
      </c>
      <c r="E3206" s="25" t="inlineStr">
        <is>
          <t>emishra</t>
        </is>
      </c>
      <c r="F3206" s="25" t="n">
        <v>12953</v>
      </c>
      <c r="G3206" s="25" t="n">
        <v>2</v>
      </c>
      <c r="H3206" s="25" t="n">
        <v>10</v>
      </c>
      <c r="I3206" s="25" t="inlineStr">
        <is>
          <t>3 minute(s) and 8 second(s)</t>
        </is>
      </c>
      <c r="J3206" s="25">
        <f>IFERROR(VALUE(TRIM(LEFT(I3206,FIND("minute",I3206)-1)))*60,0)+IFERROR(VALUE(SUBSTITUTE(MID(I3206,IFERROR(FIND("and",I3206)+3,1),20),"second(s)","")),0)</f>
        <v/>
      </c>
      <c r="K3206" s="41">
        <f>J3206/60</f>
        <v/>
      </c>
      <c r="L3206" s="41">
        <f>IFERROR(J3206/H3206,"")</f>
        <v/>
      </c>
      <c r="M3206" s="25" t="inlineStr">
        <is>
          <t>2.5.12</t>
        </is>
      </c>
      <c r="N3206" s="25">
        <f>IF(J3206&gt;300,1,0)</f>
        <v/>
      </c>
      <c r="O3206" s="25">
        <f>IF(J3206&gt;600,1,0)</f>
        <v/>
      </c>
      <c r="P3206" s="25">
        <f>IF(H3206&gt;0,J3206,"")</f>
        <v/>
      </c>
      <c r="Q3206" s="25">
        <f>TEXT(A3206,"YYYY-MM-DD HH")</f>
        <v/>
      </c>
      <c r="R3206" s="25">
        <f>COUNTIF($Q$2:$Q$5295,Q3206)</f>
        <v/>
      </c>
      <c r="S3206" s="25">
        <f>IF(R3206&lt;=2,"1-2",IF(R3206&lt;=5,"3-5",IF(R3206&lt;=10,"6-10","11+")))</f>
        <v/>
      </c>
    </row>
    <row r="3207">
      <c r="A3207" s="39" t="n">
        <v>46198.55663194445</v>
      </c>
      <c r="B3207" s="25">
        <f>TEXT(A3207,"YYYY-MM")</f>
        <v/>
      </c>
      <c r="C3207" s="25">
        <f>TEXT(A3207,"MMM-YYYY")</f>
        <v/>
      </c>
      <c r="D3207" s="40">
        <f>INT(A3207)-WEEKDAY(A3207,2)+1</f>
        <v/>
      </c>
      <c r="E3207" s="25" t="inlineStr">
        <is>
          <t>pgautam</t>
        </is>
      </c>
      <c r="F3207" s="25" t="n">
        <v>13026</v>
      </c>
      <c r="G3207" s="25" t="n">
        <v>4</v>
      </c>
      <c r="H3207" s="25" t="n">
        <v>21</v>
      </c>
      <c r="I3207" s="25" t="inlineStr">
        <is>
          <t>4 minute(s) and 46 second(s)</t>
        </is>
      </c>
      <c r="J3207" s="25">
        <f>IFERROR(VALUE(TRIM(LEFT(I3207,FIND("minute",I3207)-1)))*60,0)+IFERROR(VALUE(SUBSTITUTE(MID(I3207,IFERROR(FIND("and",I3207)+3,1),20),"second(s)","")),0)</f>
        <v/>
      </c>
      <c r="K3207" s="41">
        <f>J3207/60</f>
        <v/>
      </c>
      <c r="L3207" s="41">
        <f>IFERROR(J3207/H3207,"")</f>
        <v/>
      </c>
      <c r="M3207" s="25" t="inlineStr">
        <is>
          <t>2.5.12</t>
        </is>
      </c>
      <c r="N3207" s="25">
        <f>IF(J3207&gt;300,1,0)</f>
        <v/>
      </c>
      <c r="O3207" s="25">
        <f>IF(J3207&gt;600,1,0)</f>
        <v/>
      </c>
      <c r="P3207" s="25">
        <f>IF(H3207&gt;0,J3207,"")</f>
        <v/>
      </c>
      <c r="Q3207" s="25">
        <f>TEXT(A3207,"YYYY-MM-DD HH")</f>
        <v/>
      </c>
      <c r="R3207" s="25">
        <f>COUNTIF($Q$2:$Q$5295,Q3207)</f>
        <v/>
      </c>
      <c r="S3207" s="25">
        <f>IF(R3207&lt;=2,"1-2",IF(R3207&lt;=5,"3-5",IF(R3207&lt;=10,"6-10","11+")))</f>
        <v/>
      </c>
    </row>
    <row r="3208">
      <c r="A3208" s="39" t="n">
        <v>46198.58414351852</v>
      </c>
      <c r="B3208" s="25">
        <f>TEXT(A3208,"YYYY-MM")</f>
        <v/>
      </c>
      <c r="C3208" s="25">
        <f>TEXT(A3208,"MMM-YYYY")</f>
        <v/>
      </c>
      <c r="D3208" s="40">
        <f>INT(A3208)-WEEKDAY(A3208,2)+1</f>
        <v/>
      </c>
      <c r="E3208" s="25" t="inlineStr">
        <is>
          <t>hsindwani</t>
        </is>
      </c>
      <c r="F3208" s="25" t="n">
        <v>104015</v>
      </c>
      <c r="G3208" s="25" t="n">
        <v>1</v>
      </c>
      <c r="H3208" s="25" t="n">
        <v>7</v>
      </c>
      <c r="I3208" s="25" t="inlineStr">
        <is>
          <t>4 minute(s) and 50 second(s)</t>
        </is>
      </c>
      <c r="J3208" s="25">
        <f>IFERROR(VALUE(TRIM(LEFT(I3208,FIND("minute",I3208)-1)))*60,0)+IFERROR(VALUE(SUBSTITUTE(MID(I3208,IFERROR(FIND("and",I3208)+3,1),20),"second(s)","")),0)</f>
        <v/>
      </c>
      <c r="K3208" s="41">
        <f>J3208/60</f>
        <v/>
      </c>
      <c r="L3208" s="41">
        <f>IFERROR(J3208/H3208,"")</f>
        <v/>
      </c>
      <c r="M3208" s="25" t="inlineStr">
        <is>
          <t>2.5.12</t>
        </is>
      </c>
      <c r="N3208" s="25">
        <f>IF(J3208&gt;300,1,0)</f>
        <v/>
      </c>
      <c r="O3208" s="25">
        <f>IF(J3208&gt;600,1,0)</f>
        <v/>
      </c>
      <c r="P3208" s="25">
        <f>IF(H3208&gt;0,J3208,"")</f>
        <v/>
      </c>
      <c r="Q3208" s="25">
        <f>TEXT(A3208,"YYYY-MM-DD HH")</f>
        <v/>
      </c>
      <c r="R3208" s="25">
        <f>COUNTIF($Q$2:$Q$5295,Q3208)</f>
        <v/>
      </c>
      <c r="S3208" s="25">
        <f>IF(R3208&lt;=2,"1-2",IF(R3208&lt;=5,"3-5",IF(R3208&lt;=10,"6-10","11+")))</f>
        <v/>
      </c>
    </row>
    <row r="3209">
      <c r="A3209" s="39" t="n">
        <v>46198.59070601852</v>
      </c>
      <c r="B3209" s="25">
        <f>TEXT(A3209,"YYYY-MM")</f>
        <v/>
      </c>
      <c r="C3209" s="25">
        <f>TEXT(A3209,"MMM-YYYY")</f>
        <v/>
      </c>
      <c r="D3209" s="40">
        <f>INT(A3209)-WEEKDAY(A3209,2)+1</f>
        <v/>
      </c>
      <c r="E3209" s="25" t="inlineStr">
        <is>
          <t>apriyadarshi</t>
        </is>
      </c>
      <c r="F3209" s="25" t="n">
        <v>122531</v>
      </c>
      <c r="G3209" s="25" t="n">
        <v>1</v>
      </c>
      <c r="H3209" s="25" t="n">
        <v>5</v>
      </c>
      <c r="I3209" s="25" t="inlineStr">
        <is>
          <t>59 second(s)</t>
        </is>
      </c>
      <c r="J3209" s="25">
        <f>IFERROR(VALUE(TRIM(LEFT(I3209,FIND("minute",I3209)-1)))*60,0)+IFERROR(VALUE(SUBSTITUTE(MID(I3209,IFERROR(FIND("and",I3209)+3,1),20),"second(s)","")),0)</f>
        <v/>
      </c>
      <c r="K3209" s="41">
        <f>J3209/60</f>
        <v/>
      </c>
      <c r="L3209" s="41">
        <f>IFERROR(J3209/H3209,"")</f>
        <v/>
      </c>
      <c r="M3209" s="25" t="inlineStr">
        <is>
          <t>2.5.12</t>
        </is>
      </c>
      <c r="N3209" s="25">
        <f>IF(J3209&gt;300,1,0)</f>
        <v/>
      </c>
      <c r="O3209" s="25">
        <f>IF(J3209&gt;600,1,0)</f>
        <v/>
      </c>
      <c r="P3209" s="25">
        <f>IF(H3209&gt;0,J3209,"")</f>
        <v/>
      </c>
      <c r="Q3209" s="25">
        <f>TEXT(A3209,"YYYY-MM-DD HH")</f>
        <v/>
      </c>
      <c r="R3209" s="25">
        <f>COUNTIF($Q$2:$Q$5295,Q3209)</f>
        <v/>
      </c>
      <c r="S3209" s="25">
        <f>IF(R3209&lt;=2,"1-2",IF(R3209&lt;=5,"3-5",IF(R3209&lt;=10,"6-10","11+")))</f>
        <v/>
      </c>
    </row>
    <row r="3210">
      <c r="A3210" s="39" t="n">
        <v>46198.61061342592</v>
      </c>
      <c r="B3210" s="25">
        <f>TEXT(A3210,"YYYY-MM")</f>
        <v/>
      </c>
      <c r="C3210" s="25">
        <f>TEXT(A3210,"MMM-YYYY")</f>
        <v/>
      </c>
      <c r="D3210" s="40">
        <f>INT(A3210)-WEEKDAY(A3210,2)+1</f>
        <v/>
      </c>
      <c r="E3210" s="25" t="inlineStr">
        <is>
          <t>rsingh</t>
        </is>
      </c>
      <c r="F3210" s="25" t="n">
        <v>16974</v>
      </c>
      <c r="G3210" s="25" t="n">
        <v>1</v>
      </c>
      <c r="H3210" s="25" t="n">
        <v>7</v>
      </c>
      <c r="I3210" s="25" t="inlineStr">
        <is>
          <t>2 minute(s) and 32 second(s)</t>
        </is>
      </c>
      <c r="J3210" s="25">
        <f>IFERROR(VALUE(TRIM(LEFT(I3210,FIND("minute",I3210)-1)))*60,0)+IFERROR(VALUE(SUBSTITUTE(MID(I3210,IFERROR(FIND("and",I3210)+3,1),20),"second(s)","")),0)</f>
        <v/>
      </c>
      <c r="K3210" s="41">
        <f>J3210/60</f>
        <v/>
      </c>
      <c r="L3210" s="41">
        <f>IFERROR(J3210/H3210,"")</f>
        <v/>
      </c>
      <c r="M3210" s="25" t="inlineStr">
        <is>
          <t>2.5.12</t>
        </is>
      </c>
      <c r="N3210" s="25">
        <f>IF(J3210&gt;300,1,0)</f>
        <v/>
      </c>
      <c r="O3210" s="25">
        <f>IF(J3210&gt;600,1,0)</f>
        <v/>
      </c>
      <c r="P3210" s="25">
        <f>IF(H3210&gt;0,J3210,"")</f>
        <v/>
      </c>
      <c r="Q3210" s="25">
        <f>TEXT(A3210,"YYYY-MM-DD HH")</f>
        <v/>
      </c>
      <c r="R3210" s="25">
        <f>COUNTIF($Q$2:$Q$5295,Q3210)</f>
        <v/>
      </c>
      <c r="S3210" s="25">
        <f>IF(R3210&lt;=2,"1-2",IF(R3210&lt;=5,"3-5",IF(R3210&lt;=10,"6-10","11+")))</f>
        <v/>
      </c>
    </row>
    <row r="3211">
      <c r="A3211" s="39" t="n">
        <v>46198.67677083334</v>
      </c>
      <c r="B3211" s="25">
        <f>TEXT(A3211,"YYYY-MM")</f>
        <v/>
      </c>
      <c r="C3211" s="25">
        <f>TEXT(A3211,"MMM-YYYY")</f>
        <v/>
      </c>
      <c r="D3211" s="40">
        <f>INT(A3211)-WEEKDAY(A3211,2)+1</f>
        <v/>
      </c>
      <c r="E3211" s="25" t="inlineStr">
        <is>
          <t>hsindwani</t>
        </is>
      </c>
      <c r="F3211" s="25" t="n">
        <v>13001</v>
      </c>
      <c r="G3211" s="25" t="n">
        <v>2</v>
      </c>
      <c r="H3211" s="25" t="n">
        <v>13</v>
      </c>
      <c r="I3211" s="25" t="inlineStr">
        <is>
          <t>5 minute(s) and 4 second(s)</t>
        </is>
      </c>
      <c r="J3211" s="25">
        <f>IFERROR(VALUE(TRIM(LEFT(I3211,FIND("minute",I3211)-1)))*60,0)+IFERROR(VALUE(SUBSTITUTE(MID(I3211,IFERROR(FIND("and",I3211)+3,1),20),"second(s)","")),0)</f>
        <v/>
      </c>
      <c r="K3211" s="41">
        <f>J3211/60</f>
        <v/>
      </c>
      <c r="L3211" s="41">
        <f>IFERROR(J3211/H3211,"")</f>
        <v/>
      </c>
      <c r="M3211" s="25" t="inlineStr">
        <is>
          <t>2.5.12</t>
        </is>
      </c>
      <c r="N3211" s="25">
        <f>IF(J3211&gt;300,1,0)</f>
        <v/>
      </c>
      <c r="O3211" s="25">
        <f>IF(J3211&gt;600,1,0)</f>
        <v/>
      </c>
      <c r="P3211" s="25">
        <f>IF(H3211&gt;0,J3211,"")</f>
        <v/>
      </c>
      <c r="Q3211" s="25">
        <f>TEXT(A3211,"YYYY-MM-DD HH")</f>
        <v/>
      </c>
      <c r="R3211" s="25">
        <f>COUNTIF($Q$2:$Q$5295,Q3211)</f>
        <v/>
      </c>
      <c r="S3211" s="25">
        <f>IF(R3211&lt;=2,"1-2",IF(R3211&lt;=5,"3-5",IF(R3211&lt;=10,"6-10","11+")))</f>
        <v/>
      </c>
    </row>
    <row r="3212">
      <c r="A3212" s="39" t="n">
        <v>46198.69079861111</v>
      </c>
      <c r="B3212" s="25">
        <f>TEXT(A3212,"YYYY-MM")</f>
        <v/>
      </c>
      <c r="C3212" s="25">
        <f>TEXT(A3212,"MMM-YYYY")</f>
        <v/>
      </c>
      <c r="D3212" s="40">
        <f>INT(A3212)-WEEKDAY(A3212,2)+1</f>
        <v/>
      </c>
      <c r="E3212" s="25" t="inlineStr">
        <is>
          <t>rsingh</t>
        </is>
      </c>
      <c r="F3212" s="25" t="n">
        <v>17014</v>
      </c>
      <c r="G3212" s="25" t="n">
        <v>1</v>
      </c>
      <c r="H3212" s="25" t="n">
        <v>7</v>
      </c>
      <c r="I3212" s="25" t="inlineStr">
        <is>
          <t>2 minute(s) and 41 second(s)</t>
        </is>
      </c>
      <c r="J3212" s="25">
        <f>IFERROR(VALUE(TRIM(LEFT(I3212,FIND("minute",I3212)-1)))*60,0)+IFERROR(VALUE(SUBSTITUTE(MID(I3212,IFERROR(FIND("and",I3212)+3,1),20),"second(s)","")),0)</f>
        <v/>
      </c>
      <c r="K3212" s="41">
        <f>J3212/60</f>
        <v/>
      </c>
      <c r="L3212" s="41">
        <f>IFERROR(J3212/H3212,"")</f>
        <v/>
      </c>
      <c r="M3212" s="25" t="inlineStr">
        <is>
          <t>2.5.12</t>
        </is>
      </c>
      <c r="N3212" s="25">
        <f>IF(J3212&gt;300,1,0)</f>
        <v/>
      </c>
      <c r="O3212" s="25">
        <f>IF(J3212&gt;600,1,0)</f>
        <v/>
      </c>
      <c r="P3212" s="25">
        <f>IF(H3212&gt;0,J3212,"")</f>
        <v/>
      </c>
      <c r="Q3212" s="25">
        <f>TEXT(A3212,"YYYY-MM-DD HH")</f>
        <v/>
      </c>
      <c r="R3212" s="25">
        <f>COUNTIF($Q$2:$Q$5295,Q3212)</f>
        <v/>
      </c>
      <c r="S3212" s="25">
        <f>IF(R3212&lt;=2,"1-2",IF(R3212&lt;=5,"3-5",IF(R3212&lt;=10,"6-10","11+")))</f>
        <v/>
      </c>
    </row>
    <row r="3213">
      <c r="A3213" s="39" t="n">
        <v>46198.70100694444</v>
      </c>
      <c r="B3213" s="25">
        <f>TEXT(A3213,"YYYY-MM")</f>
        <v/>
      </c>
      <c r="C3213" s="25">
        <f>TEXT(A3213,"MMM-YYYY")</f>
        <v/>
      </c>
      <c r="D3213" s="40">
        <f>INT(A3213)-WEEKDAY(A3213,2)+1</f>
        <v/>
      </c>
      <c r="E3213" s="25" t="inlineStr">
        <is>
          <t>asaxena</t>
        </is>
      </c>
      <c r="F3213" s="25" t="n">
        <v>126286</v>
      </c>
      <c r="G3213" s="25" t="n">
        <v>6</v>
      </c>
      <c r="H3213" s="25" t="n">
        <v>30</v>
      </c>
      <c r="I3213" s="25" t="inlineStr">
        <is>
          <t>8 minute(s) and 32 second(s)</t>
        </is>
      </c>
      <c r="J3213" s="25">
        <f>IFERROR(VALUE(TRIM(LEFT(I3213,FIND("minute",I3213)-1)))*60,0)+IFERROR(VALUE(SUBSTITUTE(MID(I3213,IFERROR(FIND("and",I3213)+3,1),20),"second(s)","")),0)</f>
        <v/>
      </c>
      <c r="K3213" s="41">
        <f>J3213/60</f>
        <v/>
      </c>
      <c r="L3213" s="41">
        <f>IFERROR(J3213/H3213,"")</f>
        <v/>
      </c>
      <c r="M3213" s="25" t="inlineStr">
        <is>
          <t>2.5.12</t>
        </is>
      </c>
      <c r="N3213" s="25">
        <f>IF(J3213&gt;300,1,0)</f>
        <v/>
      </c>
      <c r="O3213" s="25">
        <f>IF(J3213&gt;600,1,0)</f>
        <v/>
      </c>
      <c r="P3213" s="25">
        <f>IF(H3213&gt;0,J3213,"")</f>
        <v/>
      </c>
      <c r="Q3213" s="25">
        <f>TEXT(A3213,"YYYY-MM-DD HH")</f>
        <v/>
      </c>
      <c r="R3213" s="25">
        <f>COUNTIF($Q$2:$Q$5295,Q3213)</f>
        <v/>
      </c>
      <c r="S3213" s="25">
        <f>IF(R3213&lt;=2,"1-2",IF(R3213&lt;=5,"3-5",IF(R3213&lt;=10,"6-10","11+")))</f>
        <v/>
      </c>
    </row>
    <row r="3214">
      <c r="A3214" s="39" t="n">
        <v>46198.70755787037</v>
      </c>
      <c r="B3214" s="25">
        <f>TEXT(A3214,"YYYY-MM")</f>
        <v/>
      </c>
      <c r="C3214" s="25">
        <f>TEXT(A3214,"MMM-YYYY")</f>
        <v/>
      </c>
      <c r="D3214" s="40">
        <f>INT(A3214)-WEEKDAY(A3214,2)+1</f>
        <v/>
      </c>
      <c r="E3214" s="25" t="inlineStr">
        <is>
          <t>rsingh</t>
        </is>
      </c>
      <c r="F3214" s="25" t="n">
        <v>17214</v>
      </c>
      <c r="G3214" s="25" t="n">
        <v>1</v>
      </c>
      <c r="H3214" s="25" t="n">
        <v>7</v>
      </c>
      <c r="I3214" s="25" t="inlineStr">
        <is>
          <t>1 minute(s) and 35 second(s)</t>
        </is>
      </c>
      <c r="J3214" s="25">
        <f>IFERROR(VALUE(TRIM(LEFT(I3214,FIND("minute",I3214)-1)))*60,0)+IFERROR(VALUE(SUBSTITUTE(MID(I3214,IFERROR(FIND("and",I3214)+3,1),20),"second(s)","")),0)</f>
        <v/>
      </c>
      <c r="K3214" s="41">
        <f>J3214/60</f>
        <v/>
      </c>
      <c r="L3214" s="41">
        <f>IFERROR(J3214/H3214,"")</f>
        <v/>
      </c>
      <c r="M3214" s="25" t="inlineStr">
        <is>
          <t>2.5.12</t>
        </is>
      </c>
      <c r="N3214" s="25">
        <f>IF(J3214&gt;300,1,0)</f>
        <v/>
      </c>
      <c r="O3214" s="25">
        <f>IF(J3214&gt;600,1,0)</f>
        <v/>
      </c>
      <c r="P3214" s="25">
        <f>IF(H3214&gt;0,J3214,"")</f>
        <v/>
      </c>
      <c r="Q3214" s="25">
        <f>TEXT(A3214,"YYYY-MM-DD HH")</f>
        <v/>
      </c>
      <c r="R3214" s="25">
        <f>COUNTIF($Q$2:$Q$5295,Q3214)</f>
        <v/>
      </c>
      <c r="S3214" s="25">
        <f>IF(R3214&lt;=2,"1-2",IF(R3214&lt;=5,"3-5",IF(R3214&lt;=10,"6-10","11+")))</f>
        <v/>
      </c>
    </row>
    <row r="3215">
      <c r="A3215" s="39" t="n">
        <v>46198.71040509259</v>
      </c>
      <c r="B3215" s="25">
        <f>TEXT(A3215,"YYYY-MM")</f>
        <v/>
      </c>
      <c r="C3215" s="25">
        <f>TEXT(A3215,"MMM-YYYY")</f>
        <v/>
      </c>
      <c r="D3215" s="40">
        <f>INT(A3215)-WEEKDAY(A3215,2)+1</f>
        <v/>
      </c>
      <c r="E3215" s="25" t="inlineStr">
        <is>
          <t>hsindwani</t>
        </is>
      </c>
      <c r="F3215" s="25" t="n">
        <v>13001</v>
      </c>
      <c r="G3215" s="25" t="n">
        <v>1</v>
      </c>
      <c r="H3215" s="25" t="n">
        <v>7</v>
      </c>
      <c r="I3215" s="25" t="inlineStr">
        <is>
          <t>3 minute(s) and 49 second(s)</t>
        </is>
      </c>
      <c r="J3215" s="25">
        <f>IFERROR(VALUE(TRIM(LEFT(I3215,FIND("minute",I3215)-1)))*60,0)+IFERROR(VALUE(SUBSTITUTE(MID(I3215,IFERROR(FIND("and",I3215)+3,1),20),"second(s)","")),0)</f>
        <v/>
      </c>
      <c r="K3215" s="41">
        <f>J3215/60</f>
        <v/>
      </c>
      <c r="L3215" s="41">
        <f>IFERROR(J3215/H3215,"")</f>
        <v/>
      </c>
      <c r="M3215" s="25" t="inlineStr">
        <is>
          <t>2.5.12</t>
        </is>
      </c>
      <c r="N3215" s="25">
        <f>IF(J3215&gt;300,1,0)</f>
        <v/>
      </c>
      <c r="O3215" s="25">
        <f>IF(J3215&gt;600,1,0)</f>
        <v/>
      </c>
      <c r="P3215" s="25">
        <f>IF(H3215&gt;0,J3215,"")</f>
        <v/>
      </c>
      <c r="Q3215" s="25">
        <f>TEXT(A3215,"YYYY-MM-DD HH")</f>
        <v/>
      </c>
      <c r="R3215" s="25">
        <f>COUNTIF($Q$2:$Q$5295,Q3215)</f>
        <v/>
      </c>
      <c r="S3215" s="25">
        <f>IF(R3215&lt;=2,"1-2",IF(R3215&lt;=5,"3-5",IF(R3215&lt;=10,"6-10","11+")))</f>
        <v/>
      </c>
    </row>
    <row r="3216">
      <c r="A3216" s="39" t="n">
        <v>46198.75988425926</v>
      </c>
      <c r="B3216" s="25">
        <f>TEXT(A3216,"YYYY-MM")</f>
        <v/>
      </c>
      <c r="C3216" s="25">
        <f>TEXT(A3216,"MMM-YYYY")</f>
        <v/>
      </c>
      <c r="D3216" s="40">
        <f>INT(A3216)-WEEKDAY(A3216,2)+1</f>
        <v/>
      </c>
      <c r="E3216" s="25" t="inlineStr">
        <is>
          <t>hsindwani</t>
        </is>
      </c>
      <c r="F3216" s="25" t="n">
        <v>13313</v>
      </c>
      <c r="G3216" s="25" t="n">
        <v>3</v>
      </c>
      <c r="H3216" s="25" t="n">
        <v>13</v>
      </c>
      <c r="I3216" s="25" t="inlineStr">
        <is>
          <t>6 minute(s) and 7 second(s)</t>
        </is>
      </c>
      <c r="J3216" s="25">
        <f>IFERROR(VALUE(TRIM(LEFT(I3216,FIND("minute",I3216)-1)))*60,0)+IFERROR(VALUE(SUBSTITUTE(MID(I3216,IFERROR(FIND("and",I3216)+3,1),20),"second(s)","")),0)</f>
        <v/>
      </c>
      <c r="K3216" s="41">
        <f>J3216/60</f>
        <v/>
      </c>
      <c r="L3216" s="41">
        <f>IFERROR(J3216/H3216,"")</f>
        <v/>
      </c>
      <c r="M3216" s="25" t="inlineStr">
        <is>
          <t>2.5.12</t>
        </is>
      </c>
      <c r="N3216" s="25">
        <f>IF(J3216&gt;300,1,0)</f>
        <v/>
      </c>
      <c r="O3216" s="25">
        <f>IF(J3216&gt;600,1,0)</f>
        <v/>
      </c>
      <c r="P3216" s="25">
        <f>IF(H3216&gt;0,J3216,"")</f>
        <v/>
      </c>
      <c r="Q3216" s="25">
        <f>TEXT(A3216,"YYYY-MM-DD HH")</f>
        <v/>
      </c>
      <c r="R3216" s="25">
        <f>COUNTIF($Q$2:$Q$5295,Q3216)</f>
        <v/>
      </c>
      <c r="S3216" s="25">
        <f>IF(R3216&lt;=2,"1-2",IF(R3216&lt;=5,"3-5",IF(R3216&lt;=10,"6-10","11+")))</f>
        <v/>
      </c>
    </row>
    <row r="3217">
      <c r="A3217" s="39" t="n">
        <v>46198.76337962963</v>
      </c>
      <c r="B3217" s="25">
        <f>TEXT(A3217,"YYYY-MM")</f>
        <v/>
      </c>
      <c r="C3217" s="25">
        <f>TEXT(A3217,"MMM-YYYY")</f>
        <v/>
      </c>
      <c r="D3217" s="40">
        <f>INT(A3217)-WEEKDAY(A3217,2)+1</f>
        <v/>
      </c>
      <c r="E3217" s="25" t="inlineStr">
        <is>
          <t>rsingh</t>
        </is>
      </c>
      <c r="F3217" s="25" t="n">
        <v>16982</v>
      </c>
      <c r="G3217" s="25" t="n">
        <v>4</v>
      </c>
      <c r="H3217" s="25" t="n">
        <v>14</v>
      </c>
      <c r="I3217" s="25" t="inlineStr">
        <is>
          <t>4 minute(s) and 39 second(s)</t>
        </is>
      </c>
      <c r="J3217" s="25">
        <f>IFERROR(VALUE(TRIM(LEFT(I3217,FIND("minute",I3217)-1)))*60,0)+IFERROR(VALUE(SUBSTITUTE(MID(I3217,IFERROR(FIND("and",I3217)+3,1),20),"second(s)","")),0)</f>
        <v/>
      </c>
      <c r="K3217" s="41">
        <f>J3217/60</f>
        <v/>
      </c>
      <c r="L3217" s="41">
        <f>IFERROR(J3217/H3217,"")</f>
        <v/>
      </c>
      <c r="M3217" s="25" t="inlineStr">
        <is>
          <t>2.5.12</t>
        </is>
      </c>
      <c r="N3217" s="25">
        <f>IF(J3217&gt;300,1,0)</f>
        <v/>
      </c>
      <c r="O3217" s="25">
        <f>IF(J3217&gt;600,1,0)</f>
        <v/>
      </c>
      <c r="P3217" s="25">
        <f>IF(H3217&gt;0,J3217,"")</f>
        <v/>
      </c>
      <c r="Q3217" s="25">
        <f>TEXT(A3217,"YYYY-MM-DD HH")</f>
        <v/>
      </c>
      <c r="R3217" s="25">
        <f>COUNTIF($Q$2:$Q$5295,Q3217)</f>
        <v/>
      </c>
      <c r="S3217" s="25">
        <f>IF(R3217&lt;=2,"1-2",IF(R3217&lt;=5,"3-5",IF(R3217&lt;=10,"6-10","11+")))</f>
        <v/>
      </c>
    </row>
    <row r="3218">
      <c r="A3218" s="39" t="n">
        <v>46198.78719907408</v>
      </c>
      <c r="B3218" s="25">
        <f>TEXT(A3218,"YYYY-MM")</f>
        <v/>
      </c>
      <c r="C3218" s="25">
        <f>TEXT(A3218,"MMM-YYYY")</f>
        <v/>
      </c>
      <c r="D3218" s="40">
        <f>INT(A3218)-WEEKDAY(A3218,2)+1</f>
        <v/>
      </c>
      <c r="E3218" s="25" t="inlineStr">
        <is>
          <t>dchoudhury</t>
        </is>
      </c>
      <c r="F3218" s="25" t="n">
        <v>15418</v>
      </c>
      <c r="G3218" s="25" t="n">
        <v>1</v>
      </c>
      <c r="H3218" s="25" t="n">
        <v>6</v>
      </c>
      <c r="I3218" s="25" t="inlineStr">
        <is>
          <t>1 minute(s) and 10 second(s)</t>
        </is>
      </c>
      <c r="J3218" s="25">
        <f>IFERROR(VALUE(TRIM(LEFT(I3218,FIND("minute",I3218)-1)))*60,0)+IFERROR(VALUE(SUBSTITUTE(MID(I3218,IFERROR(FIND("and",I3218)+3,1),20),"second(s)","")),0)</f>
        <v/>
      </c>
      <c r="K3218" s="41">
        <f>J3218/60</f>
        <v/>
      </c>
      <c r="L3218" s="41">
        <f>IFERROR(J3218/H3218,"")</f>
        <v/>
      </c>
      <c r="M3218" s="25" t="inlineStr">
        <is>
          <t>2.5.12</t>
        </is>
      </c>
      <c r="N3218" s="25">
        <f>IF(J3218&gt;300,1,0)</f>
        <v/>
      </c>
      <c r="O3218" s="25">
        <f>IF(J3218&gt;600,1,0)</f>
        <v/>
      </c>
      <c r="P3218" s="25">
        <f>IF(H3218&gt;0,J3218,"")</f>
        <v/>
      </c>
      <c r="Q3218" s="25">
        <f>TEXT(A3218,"YYYY-MM-DD HH")</f>
        <v/>
      </c>
      <c r="R3218" s="25">
        <f>COUNTIF($Q$2:$Q$5295,Q3218)</f>
        <v/>
      </c>
      <c r="S3218" s="25">
        <f>IF(R3218&lt;=2,"1-2",IF(R3218&lt;=5,"3-5",IF(R3218&lt;=10,"6-10","11+")))</f>
        <v/>
      </c>
    </row>
    <row r="3219">
      <c r="A3219" s="39" t="n">
        <v>46198.79335648148</v>
      </c>
      <c r="B3219" s="25">
        <f>TEXT(A3219,"YYYY-MM")</f>
        <v/>
      </c>
      <c r="C3219" s="25">
        <f>TEXT(A3219,"MMM-YYYY")</f>
        <v/>
      </c>
      <c r="D3219" s="40">
        <f>INT(A3219)-WEEKDAY(A3219,2)+1</f>
        <v/>
      </c>
      <c r="E3219" s="25" t="inlineStr">
        <is>
          <t>hsindwani</t>
        </is>
      </c>
      <c r="F3219" s="25" t="n">
        <v>13313</v>
      </c>
      <c r="G3219" s="25" t="n">
        <v>2</v>
      </c>
      <c r="H3219" s="25" t="n">
        <v>6</v>
      </c>
      <c r="I3219" s="25" t="inlineStr">
        <is>
          <t>3 minute(s) and 18 second(s)</t>
        </is>
      </c>
      <c r="J3219" s="25">
        <f>IFERROR(VALUE(TRIM(LEFT(I3219,FIND("minute",I3219)-1)))*60,0)+IFERROR(VALUE(SUBSTITUTE(MID(I3219,IFERROR(FIND("and",I3219)+3,1),20),"second(s)","")),0)</f>
        <v/>
      </c>
      <c r="K3219" s="41">
        <f>J3219/60</f>
        <v/>
      </c>
      <c r="L3219" s="41">
        <f>IFERROR(J3219/H3219,"")</f>
        <v/>
      </c>
      <c r="M3219" s="25" t="inlineStr">
        <is>
          <t>2.5.12</t>
        </is>
      </c>
      <c r="N3219" s="25">
        <f>IF(J3219&gt;300,1,0)</f>
        <v/>
      </c>
      <c r="O3219" s="25">
        <f>IF(J3219&gt;600,1,0)</f>
        <v/>
      </c>
      <c r="P3219" s="25">
        <f>IF(H3219&gt;0,J3219,"")</f>
        <v/>
      </c>
      <c r="Q3219" s="25">
        <f>TEXT(A3219,"YYYY-MM-DD HH")</f>
        <v/>
      </c>
      <c r="R3219" s="25">
        <f>COUNTIF($Q$2:$Q$5295,Q3219)</f>
        <v/>
      </c>
      <c r="S3219" s="25">
        <f>IF(R3219&lt;=2,"1-2",IF(R3219&lt;=5,"3-5",IF(R3219&lt;=10,"6-10","11+")))</f>
        <v/>
      </c>
    </row>
    <row r="3220">
      <c r="A3220" s="39" t="n">
        <v>46198.82548611111</v>
      </c>
      <c r="B3220" s="25">
        <f>TEXT(A3220,"YYYY-MM")</f>
        <v/>
      </c>
      <c r="C3220" s="25">
        <f>TEXT(A3220,"MMM-YYYY")</f>
        <v/>
      </c>
      <c r="D3220" s="40">
        <f>INT(A3220)-WEEKDAY(A3220,2)+1</f>
        <v/>
      </c>
      <c r="E3220" s="25" t="inlineStr">
        <is>
          <t>emishra</t>
        </is>
      </c>
      <c r="F3220" s="25" t="n">
        <v>12937</v>
      </c>
      <c r="G3220" s="25" t="n">
        <v>2</v>
      </c>
      <c r="H3220" s="25" t="n">
        <v>12</v>
      </c>
      <c r="I3220" s="25" t="inlineStr">
        <is>
          <t>2 minute(s) and 14 second(s)</t>
        </is>
      </c>
      <c r="J3220" s="25">
        <f>IFERROR(VALUE(TRIM(LEFT(I3220,FIND("minute",I3220)-1)))*60,0)+IFERROR(VALUE(SUBSTITUTE(MID(I3220,IFERROR(FIND("and",I3220)+3,1),20),"second(s)","")),0)</f>
        <v/>
      </c>
      <c r="K3220" s="41">
        <f>J3220/60</f>
        <v/>
      </c>
      <c r="L3220" s="41">
        <f>IFERROR(J3220/H3220,"")</f>
        <v/>
      </c>
      <c r="M3220" s="25" t="inlineStr">
        <is>
          <t>2.5.12</t>
        </is>
      </c>
      <c r="N3220" s="25">
        <f>IF(J3220&gt;300,1,0)</f>
        <v/>
      </c>
      <c r="O3220" s="25">
        <f>IF(J3220&gt;600,1,0)</f>
        <v/>
      </c>
      <c r="P3220" s="25">
        <f>IF(H3220&gt;0,J3220,"")</f>
        <v/>
      </c>
      <c r="Q3220" s="25">
        <f>TEXT(A3220,"YYYY-MM-DD HH")</f>
        <v/>
      </c>
      <c r="R3220" s="25">
        <f>COUNTIF($Q$2:$Q$5295,Q3220)</f>
        <v/>
      </c>
      <c r="S3220" s="25">
        <f>IF(R3220&lt;=2,"1-2",IF(R3220&lt;=5,"3-5",IF(R3220&lt;=10,"6-10","11+")))</f>
        <v/>
      </c>
    </row>
    <row r="3221">
      <c r="A3221" s="39" t="n">
        <v>46198.92138888889</v>
      </c>
      <c r="B3221" s="25">
        <f>TEXT(A3221,"YYYY-MM")</f>
        <v/>
      </c>
      <c r="C3221" s="25">
        <f>TEXT(A3221,"MMM-YYYY")</f>
        <v/>
      </c>
      <c r="D3221" s="40">
        <f>INT(A3221)-WEEKDAY(A3221,2)+1</f>
        <v/>
      </c>
      <c r="E3221" s="25" t="inlineStr">
        <is>
          <t>sswati</t>
        </is>
      </c>
      <c r="F3221" s="25" t="n">
        <v>108345</v>
      </c>
      <c r="G3221" s="25" t="n">
        <v>2</v>
      </c>
      <c r="H3221" s="25" t="n">
        <v>8</v>
      </c>
      <c r="I3221" s="25" t="inlineStr">
        <is>
          <t>2 minute(s) and 57 second(s)</t>
        </is>
      </c>
      <c r="J3221" s="25">
        <f>IFERROR(VALUE(TRIM(LEFT(I3221,FIND("minute",I3221)-1)))*60,0)+IFERROR(VALUE(SUBSTITUTE(MID(I3221,IFERROR(FIND("and",I3221)+3,1),20),"second(s)","")),0)</f>
        <v/>
      </c>
      <c r="K3221" s="41">
        <f>J3221/60</f>
        <v/>
      </c>
      <c r="L3221" s="41">
        <f>IFERROR(J3221/H3221,"")</f>
        <v/>
      </c>
      <c r="M3221" s="25" t="inlineStr">
        <is>
          <t>2.5.12</t>
        </is>
      </c>
      <c r="N3221" s="25">
        <f>IF(J3221&gt;300,1,0)</f>
        <v/>
      </c>
      <c r="O3221" s="25">
        <f>IF(J3221&gt;600,1,0)</f>
        <v/>
      </c>
      <c r="P3221" s="25">
        <f>IF(H3221&gt;0,J3221,"")</f>
        <v/>
      </c>
      <c r="Q3221" s="25">
        <f>TEXT(A3221,"YYYY-MM-DD HH")</f>
        <v/>
      </c>
      <c r="R3221" s="25">
        <f>COUNTIF($Q$2:$Q$5295,Q3221)</f>
        <v/>
      </c>
      <c r="S3221" s="25">
        <f>IF(R3221&lt;=2,"1-2",IF(R3221&lt;=5,"3-5",IF(R3221&lt;=10,"6-10","11+")))</f>
        <v/>
      </c>
    </row>
    <row r="3222">
      <c r="A3222" s="39" t="n">
        <v>46198.92180555555</v>
      </c>
      <c r="B3222" s="25">
        <f>TEXT(A3222,"YYYY-MM")</f>
        <v/>
      </c>
      <c r="C3222" s="25">
        <f>TEXT(A3222,"MMM-YYYY")</f>
        <v/>
      </c>
      <c r="D3222" s="40">
        <f>INT(A3222)-WEEKDAY(A3222,2)+1</f>
        <v/>
      </c>
      <c r="E3222" s="25" t="inlineStr">
        <is>
          <t>dchoudhury</t>
        </is>
      </c>
      <c r="F3222" s="25" t="n">
        <v>15538</v>
      </c>
      <c r="G3222" s="25" t="n">
        <v>1</v>
      </c>
      <c r="H3222" s="25" t="n">
        <v>7</v>
      </c>
      <c r="I3222" s="25" t="inlineStr">
        <is>
          <t>2 minute(s) and 48 second(s)</t>
        </is>
      </c>
      <c r="J3222" s="25">
        <f>IFERROR(VALUE(TRIM(LEFT(I3222,FIND("minute",I3222)-1)))*60,0)+IFERROR(VALUE(SUBSTITUTE(MID(I3222,IFERROR(FIND("and",I3222)+3,1),20),"second(s)","")),0)</f>
        <v/>
      </c>
      <c r="K3222" s="41">
        <f>J3222/60</f>
        <v/>
      </c>
      <c r="L3222" s="41">
        <f>IFERROR(J3222/H3222,"")</f>
        <v/>
      </c>
      <c r="M3222" s="25" t="inlineStr">
        <is>
          <t>2.5.12</t>
        </is>
      </c>
      <c r="N3222" s="25">
        <f>IF(J3222&gt;300,1,0)</f>
        <v/>
      </c>
      <c r="O3222" s="25">
        <f>IF(J3222&gt;600,1,0)</f>
        <v/>
      </c>
      <c r="P3222" s="25">
        <f>IF(H3222&gt;0,J3222,"")</f>
        <v/>
      </c>
      <c r="Q3222" s="25">
        <f>TEXT(A3222,"YYYY-MM-DD HH")</f>
        <v/>
      </c>
      <c r="R3222" s="25">
        <f>COUNTIF($Q$2:$Q$5295,Q3222)</f>
        <v/>
      </c>
      <c r="S3222" s="25">
        <f>IF(R3222&lt;=2,"1-2",IF(R3222&lt;=5,"3-5",IF(R3222&lt;=10,"6-10","11+")))</f>
        <v/>
      </c>
    </row>
    <row r="3223">
      <c r="A3223" s="39" t="n">
        <v>46198.9488425926</v>
      </c>
      <c r="B3223" s="25">
        <f>TEXT(A3223,"YYYY-MM")</f>
        <v/>
      </c>
      <c r="C3223" s="25">
        <f>TEXT(A3223,"MMM-YYYY")</f>
        <v/>
      </c>
      <c r="D3223" s="40">
        <f>INT(A3223)-WEEKDAY(A3223,2)+1</f>
        <v/>
      </c>
      <c r="E3223" s="25" t="inlineStr">
        <is>
          <t>hsindwani</t>
        </is>
      </c>
      <c r="F3223" s="25" t="n">
        <v>105180</v>
      </c>
      <c r="G3223" s="25" t="n">
        <v>1</v>
      </c>
      <c r="H3223" s="25" t="n">
        <v>5</v>
      </c>
      <c r="I3223" s="25" t="inlineStr">
        <is>
          <t>1 minute(s) and 36 second(s)</t>
        </is>
      </c>
      <c r="J3223" s="25">
        <f>IFERROR(VALUE(TRIM(LEFT(I3223,FIND("minute",I3223)-1)))*60,0)+IFERROR(VALUE(SUBSTITUTE(MID(I3223,IFERROR(FIND("and",I3223)+3,1),20),"second(s)","")),0)</f>
        <v/>
      </c>
      <c r="K3223" s="41">
        <f>J3223/60</f>
        <v/>
      </c>
      <c r="L3223" s="41">
        <f>IFERROR(J3223/H3223,"")</f>
        <v/>
      </c>
      <c r="M3223" s="25" t="inlineStr">
        <is>
          <t>2.5.12</t>
        </is>
      </c>
      <c r="N3223" s="25">
        <f>IF(J3223&gt;300,1,0)</f>
        <v/>
      </c>
      <c r="O3223" s="25">
        <f>IF(J3223&gt;600,1,0)</f>
        <v/>
      </c>
      <c r="P3223" s="25">
        <f>IF(H3223&gt;0,J3223,"")</f>
        <v/>
      </c>
      <c r="Q3223" s="25">
        <f>TEXT(A3223,"YYYY-MM-DD HH")</f>
        <v/>
      </c>
      <c r="R3223" s="25">
        <f>COUNTIF($Q$2:$Q$5295,Q3223)</f>
        <v/>
      </c>
      <c r="S3223" s="25">
        <f>IF(R3223&lt;=2,"1-2",IF(R3223&lt;=5,"3-5",IF(R3223&lt;=10,"6-10","11+")))</f>
        <v/>
      </c>
    </row>
    <row r="3224">
      <c r="A3224" s="39" t="n">
        <v>46198.98023148148</v>
      </c>
      <c r="B3224" s="25">
        <f>TEXT(A3224,"YYYY-MM")</f>
        <v/>
      </c>
      <c r="C3224" s="25">
        <f>TEXT(A3224,"MMM-YYYY")</f>
        <v/>
      </c>
      <c r="D3224" s="40">
        <f>INT(A3224)-WEEKDAY(A3224,2)+1</f>
        <v/>
      </c>
      <c r="E3224" s="25" t="inlineStr">
        <is>
          <t>sswati</t>
        </is>
      </c>
      <c r="F3224" s="25" t="n">
        <v>115149</v>
      </c>
      <c r="G3224" s="25" t="n">
        <v>4</v>
      </c>
      <c r="H3224" s="25" t="n">
        <v>24</v>
      </c>
      <c r="I3224" s="25" t="inlineStr">
        <is>
          <t>39 minute(s) and 18 second(s)</t>
        </is>
      </c>
      <c r="J3224" s="25">
        <f>IFERROR(VALUE(TRIM(LEFT(I3224,FIND("minute",I3224)-1)))*60,0)+IFERROR(VALUE(SUBSTITUTE(MID(I3224,IFERROR(FIND("and",I3224)+3,1),20),"second(s)","")),0)</f>
        <v/>
      </c>
      <c r="K3224" s="41">
        <f>J3224/60</f>
        <v/>
      </c>
      <c r="L3224" s="41">
        <f>IFERROR(J3224/H3224,"")</f>
        <v/>
      </c>
      <c r="M3224" s="25" t="inlineStr">
        <is>
          <t>2.5.12</t>
        </is>
      </c>
      <c r="N3224" s="25">
        <f>IF(J3224&gt;300,1,0)</f>
        <v/>
      </c>
      <c r="O3224" s="25">
        <f>IF(J3224&gt;600,1,0)</f>
        <v/>
      </c>
      <c r="P3224" s="25">
        <f>IF(H3224&gt;0,J3224,"")</f>
        <v/>
      </c>
      <c r="Q3224" s="25">
        <f>TEXT(A3224,"YYYY-MM-DD HH")</f>
        <v/>
      </c>
      <c r="R3224" s="25">
        <f>COUNTIF($Q$2:$Q$5295,Q3224)</f>
        <v/>
      </c>
      <c r="S3224" s="25">
        <f>IF(R3224&lt;=2,"1-2",IF(R3224&lt;=5,"3-5",IF(R3224&lt;=10,"6-10","11+")))</f>
        <v/>
      </c>
    </row>
    <row r="3225">
      <c r="A3225" s="39" t="n">
        <v>46199.03777777778</v>
      </c>
      <c r="B3225" s="25">
        <f>TEXT(A3225,"YYYY-MM")</f>
        <v/>
      </c>
      <c r="C3225" s="25">
        <f>TEXT(A3225,"MMM-YYYY")</f>
        <v/>
      </c>
      <c r="D3225" s="40">
        <f>INT(A3225)-WEEKDAY(A3225,2)+1</f>
        <v/>
      </c>
      <c r="E3225" s="25" t="inlineStr">
        <is>
          <t>mgupta</t>
        </is>
      </c>
      <c r="F3225" s="25" t="n">
        <v>7407</v>
      </c>
      <c r="G3225" s="25" t="n">
        <v>1</v>
      </c>
      <c r="H3225" s="25" t="n">
        <v>5</v>
      </c>
      <c r="I3225" s="25" t="inlineStr">
        <is>
          <t>2 minute(s) and 25 second(s)</t>
        </is>
      </c>
      <c r="J3225" s="25">
        <f>IFERROR(VALUE(TRIM(LEFT(I3225,FIND("minute",I3225)-1)))*60,0)+IFERROR(VALUE(SUBSTITUTE(MID(I3225,IFERROR(FIND("and",I3225)+3,1),20),"second(s)","")),0)</f>
        <v/>
      </c>
      <c r="K3225" s="41">
        <f>J3225/60</f>
        <v/>
      </c>
      <c r="L3225" s="41">
        <f>IFERROR(J3225/H3225,"")</f>
        <v/>
      </c>
      <c r="M3225" s="25" t="inlineStr">
        <is>
          <t>2.5.12</t>
        </is>
      </c>
      <c r="N3225" s="25">
        <f>IF(J3225&gt;300,1,0)</f>
        <v/>
      </c>
      <c r="O3225" s="25">
        <f>IF(J3225&gt;600,1,0)</f>
        <v/>
      </c>
      <c r="P3225" s="25">
        <f>IF(H3225&gt;0,J3225,"")</f>
        <v/>
      </c>
      <c r="Q3225" s="25">
        <f>TEXT(A3225,"YYYY-MM-DD HH")</f>
        <v/>
      </c>
      <c r="R3225" s="25">
        <f>COUNTIF($Q$2:$Q$5295,Q3225)</f>
        <v/>
      </c>
      <c r="S3225" s="25">
        <f>IF(R3225&lt;=2,"1-2",IF(R3225&lt;=5,"3-5",IF(R3225&lt;=10,"6-10","11+")))</f>
        <v/>
      </c>
    </row>
    <row r="3226">
      <c r="A3226" s="39" t="n">
        <v>46199.073125</v>
      </c>
      <c r="B3226" s="25">
        <f>TEXT(A3226,"YYYY-MM")</f>
        <v/>
      </c>
      <c r="C3226" s="25">
        <f>TEXT(A3226,"MMM-YYYY")</f>
        <v/>
      </c>
      <c r="D3226" s="40">
        <f>INT(A3226)-WEEKDAY(A3226,2)+1</f>
        <v/>
      </c>
      <c r="E3226" s="25" t="inlineStr">
        <is>
          <t>sakumar</t>
        </is>
      </c>
      <c r="F3226" s="25" t="n">
        <v>110437</v>
      </c>
      <c r="G3226" s="25" t="n">
        <v>4</v>
      </c>
      <c r="H3226" s="25" t="n">
        <v>22</v>
      </c>
      <c r="I3226" s="25" t="inlineStr">
        <is>
          <t>5 minute(s) and 39 second(s)</t>
        </is>
      </c>
      <c r="J3226" s="25">
        <f>IFERROR(VALUE(TRIM(LEFT(I3226,FIND("minute",I3226)-1)))*60,0)+IFERROR(VALUE(SUBSTITUTE(MID(I3226,IFERROR(FIND("and",I3226)+3,1),20),"second(s)","")),0)</f>
        <v/>
      </c>
      <c r="K3226" s="41">
        <f>J3226/60</f>
        <v/>
      </c>
      <c r="L3226" s="41">
        <f>IFERROR(J3226/H3226,"")</f>
        <v/>
      </c>
      <c r="M3226" s="25" t="inlineStr">
        <is>
          <t>2.5.12</t>
        </is>
      </c>
      <c r="N3226" s="25">
        <f>IF(J3226&gt;300,1,0)</f>
        <v/>
      </c>
      <c r="O3226" s="25">
        <f>IF(J3226&gt;600,1,0)</f>
        <v/>
      </c>
      <c r="P3226" s="25">
        <f>IF(H3226&gt;0,J3226,"")</f>
        <v/>
      </c>
      <c r="Q3226" s="25">
        <f>TEXT(A3226,"YYYY-MM-DD HH")</f>
        <v/>
      </c>
      <c r="R3226" s="25">
        <f>COUNTIF($Q$2:$Q$5295,Q3226)</f>
        <v/>
      </c>
      <c r="S3226" s="25">
        <f>IF(R3226&lt;=2,"1-2",IF(R3226&lt;=5,"3-5",IF(R3226&lt;=10,"6-10","11+")))</f>
        <v/>
      </c>
    </row>
    <row r="3227">
      <c r="A3227" s="39" t="n">
        <v>46199.07609953704</v>
      </c>
      <c r="B3227" s="25">
        <f>TEXT(A3227,"YYYY-MM")</f>
        <v/>
      </c>
      <c r="C3227" s="25">
        <f>TEXT(A3227,"MMM-YYYY")</f>
        <v/>
      </c>
      <c r="D3227" s="40">
        <f>INT(A3227)-WEEKDAY(A3227,2)+1</f>
        <v/>
      </c>
      <c r="E3227" s="25" t="inlineStr">
        <is>
          <t>anusharma</t>
        </is>
      </c>
      <c r="F3227" s="25" t="n">
        <v>7393</v>
      </c>
      <c r="G3227" s="25" t="n">
        <v>1</v>
      </c>
      <c r="H3227" s="25" t="n">
        <v>7</v>
      </c>
      <c r="I3227" s="25" t="inlineStr">
        <is>
          <t>2 minute(s) and 15 second(s)</t>
        </is>
      </c>
      <c r="J3227" s="25">
        <f>IFERROR(VALUE(TRIM(LEFT(I3227,FIND("minute",I3227)-1)))*60,0)+IFERROR(VALUE(SUBSTITUTE(MID(I3227,IFERROR(FIND("and",I3227)+3,1),20),"second(s)","")),0)</f>
        <v/>
      </c>
      <c r="K3227" s="41">
        <f>J3227/60</f>
        <v/>
      </c>
      <c r="L3227" s="41">
        <f>IFERROR(J3227/H3227,"")</f>
        <v/>
      </c>
      <c r="M3227" s="25" t="inlineStr">
        <is>
          <t>2.5.12</t>
        </is>
      </c>
      <c r="N3227" s="25">
        <f>IF(J3227&gt;300,1,0)</f>
        <v/>
      </c>
      <c r="O3227" s="25">
        <f>IF(J3227&gt;600,1,0)</f>
        <v/>
      </c>
      <c r="P3227" s="25">
        <f>IF(H3227&gt;0,J3227,"")</f>
        <v/>
      </c>
      <c r="Q3227" s="25">
        <f>TEXT(A3227,"YYYY-MM-DD HH")</f>
        <v/>
      </c>
      <c r="R3227" s="25">
        <f>COUNTIF($Q$2:$Q$5295,Q3227)</f>
        <v/>
      </c>
      <c r="S3227" s="25">
        <f>IF(R3227&lt;=2,"1-2",IF(R3227&lt;=5,"3-5",IF(R3227&lt;=10,"6-10","11+")))</f>
        <v/>
      </c>
    </row>
    <row r="3228">
      <c r="A3228" s="39" t="n">
        <v>46199.09974537037</v>
      </c>
      <c r="B3228" s="25">
        <f>TEXT(A3228,"YYYY-MM")</f>
        <v/>
      </c>
      <c r="C3228" s="25">
        <f>TEXT(A3228,"MMM-YYYY")</f>
        <v/>
      </c>
      <c r="D3228" s="40">
        <f>INT(A3228)-WEEKDAY(A3228,2)+1</f>
        <v/>
      </c>
      <c r="E3228" s="25" t="inlineStr">
        <is>
          <t>aghosh</t>
        </is>
      </c>
      <c r="F3228" s="25" t="n">
        <v>6781</v>
      </c>
      <c r="G3228" s="25" t="n">
        <v>1</v>
      </c>
      <c r="H3228" s="25" t="n">
        <v>5</v>
      </c>
      <c r="I3228" s="25" t="inlineStr">
        <is>
          <t>2 minute(s) and 13 second(s)</t>
        </is>
      </c>
      <c r="J3228" s="25">
        <f>IFERROR(VALUE(TRIM(LEFT(I3228,FIND("minute",I3228)-1)))*60,0)+IFERROR(VALUE(SUBSTITUTE(MID(I3228,IFERROR(FIND("and",I3228)+3,1),20),"second(s)","")),0)</f>
        <v/>
      </c>
      <c r="K3228" s="41">
        <f>J3228/60</f>
        <v/>
      </c>
      <c r="L3228" s="41">
        <f>IFERROR(J3228/H3228,"")</f>
        <v/>
      </c>
      <c r="M3228" s="25" t="inlineStr">
        <is>
          <t>2.5.12</t>
        </is>
      </c>
      <c r="N3228" s="25">
        <f>IF(J3228&gt;300,1,0)</f>
        <v/>
      </c>
      <c r="O3228" s="25">
        <f>IF(J3228&gt;600,1,0)</f>
        <v/>
      </c>
      <c r="P3228" s="25">
        <f>IF(H3228&gt;0,J3228,"")</f>
        <v/>
      </c>
      <c r="Q3228" s="25">
        <f>TEXT(A3228,"YYYY-MM-DD HH")</f>
        <v/>
      </c>
      <c r="R3228" s="25">
        <f>COUNTIF($Q$2:$Q$5295,Q3228)</f>
        <v/>
      </c>
      <c r="S3228" s="25">
        <f>IF(R3228&lt;=2,"1-2",IF(R3228&lt;=5,"3-5",IF(R3228&lt;=10,"6-10","11+")))</f>
        <v/>
      </c>
    </row>
    <row r="3229">
      <c r="A3229" s="39" t="n">
        <v>46199.10831018518</v>
      </c>
      <c r="B3229" s="25">
        <f>TEXT(A3229,"YYYY-MM")</f>
        <v/>
      </c>
      <c r="C3229" s="25">
        <f>TEXT(A3229,"MMM-YYYY")</f>
        <v/>
      </c>
      <c r="D3229" s="40">
        <f>INT(A3229)-WEEKDAY(A3229,2)+1</f>
        <v/>
      </c>
      <c r="E3229" s="25" t="inlineStr">
        <is>
          <t>anusharma</t>
        </is>
      </c>
      <c r="F3229" s="25" t="n">
        <v>6790</v>
      </c>
      <c r="G3229" s="25" t="n">
        <v>1</v>
      </c>
      <c r="H3229" s="25" t="n">
        <v>5</v>
      </c>
      <c r="I3229" s="25" t="inlineStr">
        <is>
          <t>2 minute(s) and 12 second(s)</t>
        </is>
      </c>
      <c r="J3229" s="25">
        <f>IFERROR(VALUE(TRIM(LEFT(I3229,FIND("minute",I3229)-1)))*60,0)+IFERROR(VALUE(SUBSTITUTE(MID(I3229,IFERROR(FIND("and",I3229)+3,1),20),"second(s)","")),0)</f>
        <v/>
      </c>
      <c r="K3229" s="41">
        <f>J3229/60</f>
        <v/>
      </c>
      <c r="L3229" s="41">
        <f>IFERROR(J3229/H3229,"")</f>
        <v/>
      </c>
      <c r="M3229" s="25" t="inlineStr">
        <is>
          <t>2.5.12</t>
        </is>
      </c>
      <c r="N3229" s="25">
        <f>IF(J3229&gt;300,1,0)</f>
        <v/>
      </c>
      <c r="O3229" s="25">
        <f>IF(J3229&gt;600,1,0)</f>
        <v/>
      </c>
      <c r="P3229" s="25">
        <f>IF(H3229&gt;0,J3229,"")</f>
        <v/>
      </c>
      <c r="Q3229" s="25">
        <f>TEXT(A3229,"YYYY-MM-DD HH")</f>
        <v/>
      </c>
      <c r="R3229" s="25">
        <f>COUNTIF($Q$2:$Q$5295,Q3229)</f>
        <v/>
      </c>
      <c r="S3229" s="25">
        <f>IF(R3229&lt;=2,"1-2",IF(R3229&lt;=5,"3-5",IF(R3229&lt;=10,"6-10","11+")))</f>
        <v/>
      </c>
    </row>
    <row r="3230">
      <c r="A3230" s="39" t="n">
        <v>46199.11855324074</v>
      </c>
      <c r="B3230" s="25">
        <f>TEXT(A3230,"YYYY-MM")</f>
        <v/>
      </c>
      <c r="C3230" s="25">
        <f>TEXT(A3230,"MMM-YYYY")</f>
        <v/>
      </c>
      <c r="D3230" s="40">
        <f>INT(A3230)-WEEKDAY(A3230,2)+1</f>
        <v/>
      </c>
      <c r="E3230" s="25" t="inlineStr">
        <is>
          <t>bverma</t>
        </is>
      </c>
      <c r="F3230" s="25" t="n">
        <v>7591</v>
      </c>
      <c r="G3230" s="25" t="n">
        <v>1</v>
      </c>
      <c r="H3230" s="25" t="n">
        <v>7</v>
      </c>
      <c r="I3230" s="25" t="inlineStr">
        <is>
          <t>2 minute(s) and 56 second(s)</t>
        </is>
      </c>
      <c r="J3230" s="25">
        <f>IFERROR(VALUE(TRIM(LEFT(I3230,FIND("minute",I3230)-1)))*60,0)+IFERROR(VALUE(SUBSTITUTE(MID(I3230,IFERROR(FIND("and",I3230)+3,1),20),"second(s)","")),0)</f>
        <v/>
      </c>
      <c r="K3230" s="41">
        <f>J3230/60</f>
        <v/>
      </c>
      <c r="L3230" s="41">
        <f>IFERROR(J3230/H3230,"")</f>
        <v/>
      </c>
      <c r="M3230" s="25" t="inlineStr">
        <is>
          <t>2.5.12</t>
        </is>
      </c>
      <c r="N3230" s="25">
        <f>IF(J3230&gt;300,1,0)</f>
        <v/>
      </c>
      <c r="O3230" s="25">
        <f>IF(J3230&gt;600,1,0)</f>
        <v/>
      </c>
      <c r="P3230" s="25">
        <f>IF(H3230&gt;0,J3230,"")</f>
        <v/>
      </c>
      <c r="Q3230" s="25">
        <f>TEXT(A3230,"YYYY-MM-DD HH")</f>
        <v/>
      </c>
      <c r="R3230" s="25">
        <f>COUNTIF($Q$2:$Q$5295,Q3230)</f>
        <v/>
      </c>
      <c r="S3230" s="25">
        <f>IF(R3230&lt;=2,"1-2",IF(R3230&lt;=5,"3-5",IF(R3230&lt;=10,"6-10","11+")))</f>
        <v/>
      </c>
    </row>
    <row r="3231">
      <c r="A3231" s="39" t="n">
        <v>46199.11894675926</v>
      </c>
      <c r="B3231" s="25">
        <f>TEXT(A3231,"YYYY-MM")</f>
        <v/>
      </c>
      <c r="C3231" s="25">
        <f>TEXT(A3231,"MMM-YYYY")</f>
        <v/>
      </c>
      <c r="D3231" s="40">
        <f>INT(A3231)-WEEKDAY(A3231,2)+1</f>
        <v/>
      </c>
      <c r="E3231" s="25" t="inlineStr">
        <is>
          <t>shassan</t>
        </is>
      </c>
      <c r="F3231" s="25" t="n">
        <v>17543</v>
      </c>
      <c r="G3231" s="25" t="n">
        <v>1</v>
      </c>
      <c r="H3231" s="25" t="n">
        <v>5</v>
      </c>
      <c r="I3231" s="25" t="inlineStr">
        <is>
          <t>2 minute(s) and 40 second(s)</t>
        </is>
      </c>
      <c r="J3231" s="25">
        <f>IFERROR(VALUE(TRIM(LEFT(I3231,FIND("minute",I3231)-1)))*60,0)+IFERROR(VALUE(SUBSTITUTE(MID(I3231,IFERROR(FIND("and",I3231)+3,1),20),"second(s)","")),0)</f>
        <v/>
      </c>
      <c r="K3231" s="41">
        <f>J3231/60</f>
        <v/>
      </c>
      <c r="L3231" s="41">
        <f>IFERROR(J3231/H3231,"")</f>
        <v/>
      </c>
      <c r="M3231" s="25" t="inlineStr">
        <is>
          <t>2.5.12</t>
        </is>
      </c>
      <c r="N3231" s="25">
        <f>IF(J3231&gt;300,1,0)</f>
        <v/>
      </c>
      <c r="O3231" s="25">
        <f>IF(J3231&gt;600,1,0)</f>
        <v/>
      </c>
      <c r="P3231" s="25">
        <f>IF(H3231&gt;0,J3231,"")</f>
        <v/>
      </c>
      <c r="Q3231" s="25">
        <f>TEXT(A3231,"YYYY-MM-DD HH")</f>
        <v/>
      </c>
      <c r="R3231" s="25">
        <f>COUNTIF($Q$2:$Q$5295,Q3231)</f>
        <v/>
      </c>
      <c r="S3231" s="25">
        <f>IF(R3231&lt;=2,"1-2",IF(R3231&lt;=5,"3-5",IF(R3231&lt;=10,"6-10","11+")))</f>
        <v/>
      </c>
    </row>
    <row r="3232">
      <c r="A3232" s="39" t="n">
        <v>46199.1433912037</v>
      </c>
      <c r="B3232" s="25">
        <f>TEXT(A3232,"YYYY-MM")</f>
        <v/>
      </c>
      <c r="C3232" s="25">
        <f>TEXT(A3232,"MMM-YYYY")</f>
        <v/>
      </c>
      <c r="D3232" s="40">
        <f>INT(A3232)-WEEKDAY(A3232,2)+1</f>
        <v/>
      </c>
      <c r="E3232" s="25" t="inlineStr">
        <is>
          <t>mgupta</t>
        </is>
      </c>
      <c r="F3232" s="25" t="n">
        <v>12971</v>
      </c>
      <c r="G3232" s="25" t="n">
        <v>1</v>
      </c>
      <c r="H3232" s="25" t="n">
        <v>7</v>
      </c>
      <c r="I3232" s="25" t="inlineStr">
        <is>
          <t>1 minute(s) and 40 second(s)</t>
        </is>
      </c>
      <c r="J3232" s="25">
        <f>IFERROR(VALUE(TRIM(LEFT(I3232,FIND("minute",I3232)-1)))*60,0)+IFERROR(VALUE(SUBSTITUTE(MID(I3232,IFERROR(FIND("and",I3232)+3,1),20),"second(s)","")),0)</f>
        <v/>
      </c>
      <c r="K3232" s="41">
        <f>J3232/60</f>
        <v/>
      </c>
      <c r="L3232" s="41">
        <f>IFERROR(J3232/H3232,"")</f>
        <v/>
      </c>
      <c r="M3232" s="25" t="inlineStr">
        <is>
          <t>2.5.12</t>
        </is>
      </c>
      <c r="N3232" s="25">
        <f>IF(J3232&gt;300,1,0)</f>
        <v/>
      </c>
      <c r="O3232" s="25">
        <f>IF(J3232&gt;600,1,0)</f>
        <v/>
      </c>
      <c r="P3232" s="25">
        <f>IF(H3232&gt;0,J3232,"")</f>
        <v/>
      </c>
      <c r="Q3232" s="25">
        <f>TEXT(A3232,"YYYY-MM-DD HH")</f>
        <v/>
      </c>
      <c r="R3232" s="25">
        <f>COUNTIF($Q$2:$Q$5295,Q3232)</f>
        <v/>
      </c>
      <c r="S3232" s="25">
        <f>IF(R3232&lt;=2,"1-2",IF(R3232&lt;=5,"3-5",IF(R3232&lt;=10,"6-10","11+")))</f>
        <v/>
      </c>
    </row>
    <row r="3233">
      <c r="A3233" s="39" t="n">
        <v>46199.14861111111</v>
      </c>
      <c r="B3233" s="25">
        <f>TEXT(A3233,"YYYY-MM")</f>
        <v/>
      </c>
      <c r="C3233" s="25">
        <f>TEXT(A3233,"MMM-YYYY")</f>
        <v/>
      </c>
      <c r="D3233" s="40">
        <f>INT(A3233)-WEEKDAY(A3233,2)+1</f>
        <v/>
      </c>
      <c r="E3233" s="25" t="inlineStr">
        <is>
          <t>sdey</t>
        </is>
      </c>
      <c r="F3233" s="25" t="n">
        <v>1155</v>
      </c>
      <c r="G3233" s="25" t="n">
        <v>4</v>
      </c>
      <c r="H3233" s="25" t="n">
        <v>20</v>
      </c>
      <c r="I3233" s="25" t="inlineStr">
        <is>
          <t>5 minute(s) and 19 second(s)</t>
        </is>
      </c>
      <c r="J3233" s="25">
        <f>IFERROR(VALUE(TRIM(LEFT(I3233,FIND("minute",I3233)-1)))*60,0)+IFERROR(VALUE(SUBSTITUTE(MID(I3233,IFERROR(FIND("and",I3233)+3,1),20),"second(s)","")),0)</f>
        <v/>
      </c>
      <c r="K3233" s="41">
        <f>J3233/60</f>
        <v/>
      </c>
      <c r="L3233" s="41">
        <f>IFERROR(J3233/H3233,"")</f>
        <v/>
      </c>
      <c r="M3233" s="25" t="inlineStr">
        <is>
          <t>2.5.12</t>
        </is>
      </c>
      <c r="N3233" s="25">
        <f>IF(J3233&gt;300,1,0)</f>
        <v/>
      </c>
      <c r="O3233" s="25">
        <f>IF(J3233&gt;600,1,0)</f>
        <v/>
      </c>
      <c r="P3233" s="25">
        <f>IF(H3233&gt;0,J3233,"")</f>
        <v/>
      </c>
      <c r="Q3233" s="25">
        <f>TEXT(A3233,"YYYY-MM-DD HH")</f>
        <v/>
      </c>
      <c r="R3233" s="25">
        <f>COUNTIF($Q$2:$Q$5295,Q3233)</f>
        <v/>
      </c>
      <c r="S3233" s="25">
        <f>IF(R3233&lt;=2,"1-2",IF(R3233&lt;=5,"3-5",IF(R3233&lt;=10,"6-10","11+")))</f>
        <v/>
      </c>
    </row>
    <row r="3234">
      <c r="A3234" s="39" t="n">
        <v>46199.14885416667</v>
      </c>
      <c r="B3234" s="25">
        <f>TEXT(A3234,"YYYY-MM")</f>
        <v/>
      </c>
      <c r="C3234" s="25">
        <f>TEXT(A3234,"MMM-YYYY")</f>
        <v/>
      </c>
      <c r="D3234" s="40">
        <f>INT(A3234)-WEEKDAY(A3234,2)+1</f>
        <v/>
      </c>
      <c r="E3234" s="25" t="inlineStr">
        <is>
          <t>bverma</t>
        </is>
      </c>
      <c r="F3234" s="25" t="n">
        <v>7623</v>
      </c>
      <c r="G3234" s="25" t="n">
        <v>1</v>
      </c>
      <c r="H3234" s="25" t="n">
        <v>7</v>
      </c>
      <c r="I3234" s="25" t="inlineStr">
        <is>
          <t>2 minute(s) and 9 second(s)</t>
        </is>
      </c>
      <c r="J3234" s="25">
        <f>IFERROR(VALUE(TRIM(LEFT(I3234,FIND("minute",I3234)-1)))*60,0)+IFERROR(VALUE(SUBSTITUTE(MID(I3234,IFERROR(FIND("and",I3234)+3,1),20),"second(s)","")),0)</f>
        <v/>
      </c>
      <c r="K3234" s="41">
        <f>J3234/60</f>
        <v/>
      </c>
      <c r="L3234" s="41">
        <f>IFERROR(J3234/H3234,"")</f>
        <v/>
      </c>
      <c r="M3234" s="25" t="inlineStr">
        <is>
          <t>2.5.12</t>
        </is>
      </c>
      <c r="N3234" s="25">
        <f>IF(J3234&gt;300,1,0)</f>
        <v/>
      </c>
      <c r="O3234" s="25">
        <f>IF(J3234&gt;600,1,0)</f>
        <v/>
      </c>
      <c r="P3234" s="25">
        <f>IF(H3234&gt;0,J3234,"")</f>
        <v/>
      </c>
      <c r="Q3234" s="25">
        <f>TEXT(A3234,"YYYY-MM-DD HH")</f>
        <v/>
      </c>
      <c r="R3234" s="25">
        <f>COUNTIF($Q$2:$Q$5295,Q3234)</f>
        <v/>
      </c>
      <c r="S3234" s="25">
        <f>IF(R3234&lt;=2,"1-2",IF(R3234&lt;=5,"3-5",IF(R3234&lt;=10,"6-10","11+")))</f>
        <v/>
      </c>
    </row>
    <row r="3235">
      <c r="A3235" s="39" t="n">
        <v>46199.15289351852</v>
      </c>
      <c r="B3235" s="25">
        <f>TEXT(A3235,"YYYY-MM")</f>
        <v/>
      </c>
      <c r="C3235" s="25">
        <f>TEXT(A3235,"MMM-YYYY")</f>
        <v/>
      </c>
      <c r="D3235" s="40">
        <f>INT(A3235)-WEEKDAY(A3235,2)+1</f>
        <v/>
      </c>
      <c r="E3235" s="25" t="inlineStr">
        <is>
          <t>anusharma</t>
        </is>
      </c>
      <c r="F3235" s="25" t="n">
        <v>7606</v>
      </c>
      <c r="G3235" s="25" t="n">
        <v>1</v>
      </c>
      <c r="H3235" s="25" t="n">
        <v>7</v>
      </c>
      <c r="I3235" s="25" t="inlineStr">
        <is>
          <t>3 minute(s) and 2 second(s)</t>
        </is>
      </c>
      <c r="J3235" s="25">
        <f>IFERROR(VALUE(TRIM(LEFT(I3235,FIND("minute",I3235)-1)))*60,0)+IFERROR(VALUE(SUBSTITUTE(MID(I3235,IFERROR(FIND("and",I3235)+3,1),20),"second(s)","")),0)</f>
        <v/>
      </c>
      <c r="K3235" s="41">
        <f>J3235/60</f>
        <v/>
      </c>
      <c r="L3235" s="41">
        <f>IFERROR(J3235/H3235,"")</f>
        <v/>
      </c>
      <c r="M3235" s="25" t="inlineStr">
        <is>
          <t>2.5.12</t>
        </is>
      </c>
      <c r="N3235" s="25">
        <f>IF(J3235&gt;300,1,0)</f>
        <v/>
      </c>
      <c r="O3235" s="25">
        <f>IF(J3235&gt;600,1,0)</f>
        <v/>
      </c>
      <c r="P3235" s="25">
        <f>IF(H3235&gt;0,J3235,"")</f>
        <v/>
      </c>
      <c r="Q3235" s="25">
        <f>TEXT(A3235,"YYYY-MM-DD HH")</f>
        <v/>
      </c>
      <c r="R3235" s="25">
        <f>COUNTIF($Q$2:$Q$5295,Q3235)</f>
        <v/>
      </c>
      <c r="S3235" s="25">
        <f>IF(R3235&lt;=2,"1-2",IF(R3235&lt;=5,"3-5",IF(R3235&lt;=10,"6-10","11+")))</f>
        <v/>
      </c>
    </row>
    <row r="3236">
      <c r="A3236" s="39" t="n">
        <v>46199.15481481481</v>
      </c>
      <c r="B3236" s="25">
        <f>TEXT(A3236,"YYYY-MM")</f>
        <v/>
      </c>
      <c r="C3236" s="25">
        <f>TEXT(A3236,"MMM-YYYY")</f>
        <v/>
      </c>
      <c r="D3236" s="40">
        <f>INT(A3236)-WEEKDAY(A3236,2)+1</f>
        <v/>
      </c>
      <c r="E3236" s="25" t="inlineStr">
        <is>
          <t>pgautam</t>
        </is>
      </c>
      <c r="F3236" s="25" t="n">
        <v>6820</v>
      </c>
      <c r="G3236" s="25" t="n">
        <v>2</v>
      </c>
      <c r="H3236" s="25" t="n">
        <v>10</v>
      </c>
      <c r="I3236" s="25" t="inlineStr">
        <is>
          <t>2 minute(s) and 35 second(s)</t>
        </is>
      </c>
      <c r="J3236" s="25">
        <f>IFERROR(VALUE(TRIM(LEFT(I3236,FIND("minute",I3236)-1)))*60,0)+IFERROR(VALUE(SUBSTITUTE(MID(I3236,IFERROR(FIND("and",I3236)+3,1),20),"second(s)","")),0)</f>
        <v/>
      </c>
      <c r="K3236" s="41">
        <f>J3236/60</f>
        <v/>
      </c>
      <c r="L3236" s="41">
        <f>IFERROR(J3236/H3236,"")</f>
        <v/>
      </c>
      <c r="M3236" s="25" t="inlineStr">
        <is>
          <t>2.5.12</t>
        </is>
      </c>
      <c r="N3236" s="25">
        <f>IF(J3236&gt;300,1,0)</f>
        <v/>
      </c>
      <c r="O3236" s="25">
        <f>IF(J3236&gt;600,1,0)</f>
        <v/>
      </c>
      <c r="P3236" s="25">
        <f>IF(H3236&gt;0,J3236,"")</f>
        <v/>
      </c>
      <c r="Q3236" s="25">
        <f>TEXT(A3236,"YYYY-MM-DD HH")</f>
        <v/>
      </c>
      <c r="R3236" s="25">
        <f>COUNTIF($Q$2:$Q$5295,Q3236)</f>
        <v/>
      </c>
      <c r="S3236" s="25">
        <f>IF(R3236&lt;=2,"1-2",IF(R3236&lt;=5,"3-5",IF(R3236&lt;=10,"6-10","11+")))</f>
        <v/>
      </c>
    </row>
    <row r="3237">
      <c r="A3237" s="39" t="n">
        <v>46199.16528935185</v>
      </c>
      <c r="B3237" s="25">
        <f>TEXT(A3237,"YYYY-MM")</f>
        <v/>
      </c>
      <c r="C3237" s="25">
        <f>TEXT(A3237,"MMM-YYYY")</f>
        <v/>
      </c>
      <c r="D3237" s="40">
        <f>INT(A3237)-WEEKDAY(A3237,2)+1</f>
        <v/>
      </c>
      <c r="E3237" s="25" t="inlineStr">
        <is>
          <t>aghosh</t>
        </is>
      </c>
      <c r="F3237" s="25" t="n">
        <v>6789</v>
      </c>
      <c r="G3237" s="25" t="n">
        <v>1</v>
      </c>
      <c r="H3237" s="25" t="n">
        <v>7</v>
      </c>
      <c r="I3237" s="25" t="inlineStr">
        <is>
          <t>1 minute(s) and 45 second(s)</t>
        </is>
      </c>
      <c r="J3237" s="25">
        <f>IFERROR(VALUE(TRIM(LEFT(I3237,FIND("minute",I3237)-1)))*60,0)+IFERROR(VALUE(SUBSTITUTE(MID(I3237,IFERROR(FIND("and",I3237)+3,1),20),"second(s)","")),0)</f>
        <v/>
      </c>
      <c r="K3237" s="41">
        <f>J3237/60</f>
        <v/>
      </c>
      <c r="L3237" s="41">
        <f>IFERROR(J3237/H3237,"")</f>
        <v/>
      </c>
      <c r="M3237" s="25" t="inlineStr">
        <is>
          <t>2.5.12</t>
        </is>
      </c>
      <c r="N3237" s="25">
        <f>IF(J3237&gt;300,1,0)</f>
        <v/>
      </c>
      <c r="O3237" s="25">
        <f>IF(J3237&gt;600,1,0)</f>
        <v/>
      </c>
      <c r="P3237" s="25">
        <f>IF(H3237&gt;0,J3237,"")</f>
        <v/>
      </c>
      <c r="Q3237" s="25">
        <f>TEXT(A3237,"YYYY-MM-DD HH")</f>
        <v/>
      </c>
      <c r="R3237" s="25">
        <f>COUNTIF($Q$2:$Q$5295,Q3237)</f>
        <v/>
      </c>
      <c r="S3237" s="25">
        <f>IF(R3237&lt;=2,"1-2",IF(R3237&lt;=5,"3-5",IF(R3237&lt;=10,"6-10","11+")))</f>
        <v/>
      </c>
    </row>
    <row r="3238">
      <c r="A3238" s="39" t="n">
        <v>46199.16789351852</v>
      </c>
      <c r="B3238" s="25">
        <f>TEXT(A3238,"YYYY-MM")</f>
        <v/>
      </c>
      <c r="C3238" s="25">
        <f>TEXT(A3238,"MMM-YYYY")</f>
        <v/>
      </c>
      <c r="D3238" s="40">
        <f>INT(A3238)-WEEKDAY(A3238,2)+1</f>
        <v/>
      </c>
      <c r="E3238" s="25" t="inlineStr">
        <is>
          <t>ajain</t>
        </is>
      </c>
      <c r="F3238" s="25" t="n">
        <v>121117</v>
      </c>
      <c r="G3238" s="25" t="n">
        <v>1</v>
      </c>
      <c r="H3238" s="25" t="n">
        <v>7</v>
      </c>
      <c r="I3238" s="25" t="inlineStr">
        <is>
          <t>2 minute(s) and 30 second(s)</t>
        </is>
      </c>
      <c r="J3238" s="25">
        <f>IFERROR(VALUE(TRIM(LEFT(I3238,FIND("minute",I3238)-1)))*60,0)+IFERROR(VALUE(SUBSTITUTE(MID(I3238,IFERROR(FIND("and",I3238)+3,1),20),"second(s)","")),0)</f>
        <v/>
      </c>
      <c r="K3238" s="41">
        <f>J3238/60</f>
        <v/>
      </c>
      <c r="L3238" s="41">
        <f>IFERROR(J3238/H3238,"")</f>
        <v/>
      </c>
      <c r="M3238" s="25" t="inlineStr">
        <is>
          <t>2.5.12</t>
        </is>
      </c>
      <c r="N3238" s="25">
        <f>IF(J3238&gt;300,1,0)</f>
        <v/>
      </c>
      <c r="O3238" s="25">
        <f>IF(J3238&gt;600,1,0)</f>
        <v/>
      </c>
      <c r="P3238" s="25">
        <f>IF(H3238&gt;0,J3238,"")</f>
        <v/>
      </c>
      <c r="Q3238" s="25">
        <f>TEXT(A3238,"YYYY-MM-DD HH")</f>
        <v/>
      </c>
      <c r="R3238" s="25">
        <f>COUNTIF($Q$2:$Q$5295,Q3238)</f>
        <v/>
      </c>
      <c r="S3238" s="25">
        <f>IF(R3238&lt;=2,"1-2",IF(R3238&lt;=5,"3-5",IF(R3238&lt;=10,"6-10","11+")))</f>
        <v/>
      </c>
    </row>
    <row r="3239">
      <c r="A3239" s="39" t="n">
        <v>46199.17025462963</v>
      </c>
      <c r="B3239" s="25">
        <f>TEXT(A3239,"YYYY-MM")</f>
        <v/>
      </c>
      <c r="C3239" s="25">
        <f>TEXT(A3239,"MMM-YYYY")</f>
        <v/>
      </c>
      <c r="D3239" s="40">
        <f>INT(A3239)-WEEKDAY(A3239,2)+1</f>
        <v/>
      </c>
      <c r="E3239" s="25" t="inlineStr">
        <is>
          <t>bverma</t>
        </is>
      </c>
      <c r="F3239" s="25" t="n">
        <v>8271</v>
      </c>
      <c r="G3239" s="25" t="n">
        <v>1</v>
      </c>
      <c r="H3239" s="25" t="n">
        <v>5</v>
      </c>
      <c r="I3239" s="25" t="inlineStr">
        <is>
          <t>1 minute(s) and 22 second(s)</t>
        </is>
      </c>
      <c r="J3239" s="25">
        <f>IFERROR(VALUE(TRIM(LEFT(I3239,FIND("minute",I3239)-1)))*60,0)+IFERROR(VALUE(SUBSTITUTE(MID(I3239,IFERROR(FIND("and",I3239)+3,1),20),"second(s)","")),0)</f>
        <v/>
      </c>
      <c r="K3239" s="41">
        <f>J3239/60</f>
        <v/>
      </c>
      <c r="L3239" s="41">
        <f>IFERROR(J3239/H3239,"")</f>
        <v/>
      </c>
      <c r="M3239" s="25" t="inlineStr">
        <is>
          <t>2.5.12</t>
        </is>
      </c>
      <c r="N3239" s="25">
        <f>IF(J3239&gt;300,1,0)</f>
        <v/>
      </c>
      <c r="O3239" s="25">
        <f>IF(J3239&gt;600,1,0)</f>
        <v/>
      </c>
      <c r="P3239" s="25">
        <f>IF(H3239&gt;0,J3239,"")</f>
        <v/>
      </c>
      <c r="Q3239" s="25">
        <f>TEXT(A3239,"YYYY-MM-DD HH")</f>
        <v/>
      </c>
      <c r="R3239" s="25">
        <f>COUNTIF($Q$2:$Q$5295,Q3239)</f>
        <v/>
      </c>
      <c r="S3239" s="25">
        <f>IF(R3239&lt;=2,"1-2",IF(R3239&lt;=5,"3-5",IF(R3239&lt;=10,"6-10","11+")))</f>
        <v/>
      </c>
    </row>
    <row r="3240">
      <c r="A3240" s="39" t="n">
        <v>46199.19009259259</v>
      </c>
      <c r="B3240" s="25">
        <f>TEXT(A3240,"YYYY-MM")</f>
        <v/>
      </c>
      <c r="C3240" s="25">
        <f>TEXT(A3240,"MMM-YYYY")</f>
        <v/>
      </c>
      <c r="D3240" s="40">
        <f>INT(A3240)-WEEKDAY(A3240,2)+1</f>
        <v/>
      </c>
      <c r="E3240" s="25" t="inlineStr">
        <is>
          <t>pgautam</t>
        </is>
      </c>
      <c r="F3240" s="25" t="n">
        <v>6822</v>
      </c>
      <c r="G3240" s="25" t="n">
        <v>2</v>
      </c>
      <c r="H3240" s="25" t="n">
        <v>10</v>
      </c>
      <c r="I3240" s="25" t="inlineStr">
        <is>
          <t>5 minute(s) and 2 second(s)</t>
        </is>
      </c>
      <c r="J3240" s="25">
        <f>IFERROR(VALUE(TRIM(LEFT(I3240,FIND("minute",I3240)-1)))*60,0)+IFERROR(VALUE(SUBSTITUTE(MID(I3240,IFERROR(FIND("and",I3240)+3,1),20),"second(s)","")),0)</f>
        <v/>
      </c>
      <c r="K3240" s="41">
        <f>J3240/60</f>
        <v/>
      </c>
      <c r="L3240" s="41">
        <f>IFERROR(J3240/H3240,"")</f>
        <v/>
      </c>
      <c r="M3240" s="25" t="inlineStr">
        <is>
          <t>2.5.12</t>
        </is>
      </c>
      <c r="N3240" s="25">
        <f>IF(J3240&gt;300,1,0)</f>
        <v/>
      </c>
      <c r="O3240" s="25">
        <f>IF(J3240&gt;600,1,0)</f>
        <v/>
      </c>
      <c r="P3240" s="25">
        <f>IF(H3240&gt;0,J3240,"")</f>
        <v/>
      </c>
      <c r="Q3240" s="25">
        <f>TEXT(A3240,"YYYY-MM-DD HH")</f>
        <v/>
      </c>
      <c r="R3240" s="25">
        <f>COUNTIF($Q$2:$Q$5295,Q3240)</f>
        <v/>
      </c>
      <c r="S3240" s="25">
        <f>IF(R3240&lt;=2,"1-2",IF(R3240&lt;=5,"3-5",IF(R3240&lt;=10,"6-10","11+")))</f>
        <v/>
      </c>
    </row>
    <row r="3241">
      <c r="A3241" s="39" t="n">
        <v>46199.19761574074</v>
      </c>
      <c r="B3241" s="25">
        <f>TEXT(A3241,"YYYY-MM")</f>
        <v/>
      </c>
      <c r="C3241" s="25">
        <f>TEXT(A3241,"MMM-YYYY")</f>
        <v/>
      </c>
      <c r="D3241" s="40">
        <f>INT(A3241)-WEEKDAY(A3241,2)+1</f>
        <v/>
      </c>
      <c r="E3241" s="25" t="inlineStr">
        <is>
          <t>anusharma</t>
        </is>
      </c>
      <c r="F3241" s="25" t="n">
        <v>8294</v>
      </c>
      <c r="G3241" s="25" t="n">
        <v>1</v>
      </c>
      <c r="H3241" s="25" t="n">
        <v>7</v>
      </c>
      <c r="I3241" s="25" t="inlineStr">
        <is>
          <t>2 minute(s) and 38 second(s)</t>
        </is>
      </c>
      <c r="J3241" s="25">
        <f>IFERROR(VALUE(TRIM(LEFT(I3241,FIND("minute",I3241)-1)))*60,0)+IFERROR(VALUE(SUBSTITUTE(MID(I3241,IFERROR(FIND("and",I3241)+3,1),20),"second(s)","")),0)</f>
        <v/>
      </c>
      <c r="K3241" s="41">
        <f>J3241/60</f>
        <v/>
      </c>
      <c r="L3241" s="41">
        <f>IFERROR(J3241/H3241,"")</f>
        <v/>
      </c>
      <c r="M3241" s="25" t="inlineStr">
        <is>
          <t>2.5.12</t>
        </is>
      </c>
      <c r="N3241" s="25">
        <f>IF(J3241&gt;300,1,0)</f>
        <v/>
      </c>
      <c r="O3241" s="25">
        <f>IF(J3241&gt;600,1,0)</f>
        <v/>
      </c>
      <c r="P3241" s="25">
        <f>IF(H3241&gt;0,J3241,"")</f>
        <v/>
      </c>
      <c r="Q3241" s="25">
        <f>TEXT(A3241,"YYYY-MM-DD HH")</f>
        <v/>
      </c>
      <c r="R3241" s="25">
        <f>COUNTIF($Q$2:$Q$5295,Q3241)</f>
        <v/>
      </c>
      <c r="S3241" s="25">
        <f>IF(R3241&lt;=2,"1-2",IF(R3241&lt;=5,"3-5",IF(R3241&lt;=10,"6-10","11+")))</f>
        <v/>
      </c>
    </row>
    <row r="3242">
      <c r="A3242" s="39" t="n">
        <v>46199.20134259259</v>
      </c>
      <c r="B3242" s="25">
        <f>TEXT(A3242,"YYYY-MM")</f>
        <v/>
      </c>
      <c r="C3242" s="25">
        <f>TEXT(A3242,"MMM-YYYY")</f>
        <v/>
      </c>
      <c r="D3242" s="40">
        <f>INT(A3242)-WEEKDAY(A3242,2)+1</f>
        <v/>
      </c>
      <c r="E3242" s="25" t="inlineStr">
        <is>
          <t>tkarmakar</t>
        </is>
      </c>
      <c r="F3242" s="25" t="n">
        <v>1177</v>
      </c>
      <c r="G3242" s="25" t="n">
        <v>4</v>
      </c>
      <c r="H3242" s="25" t="n">
        <v>21</v>
      </c>
      <c r="I3242" s="25" t="inlineStr">
        <is>
          <t>6 minute(s) and 51 second(s)</t>
        </is>
      </c>
      <c r="J3242" s="25">
        <f>IFERROR(VALUE(TRIM(LEFT(I3242,FIND("minute",I3242)-1)))*60,0)+IFERROR(VALUE(SUBSTITUTE(MID(I3242,IFERROR(FIND("and",I3242)+3,1),20),"second(s)","")),0)</f>
        <v/>
      </c>
      <c r="K3242" s="41">
        <f>J3242/60</f>
        <v/>
      </c>
      <c r="L3242" s="41">
        <f>IFERROR(J3242/H3242,"")</f>
        <v/>
      </c>
      <c r="M3242" s="25" t="inlineStr">
        <is>
          <t>2.5.12</t>
        </is>
      </c>
      <c r="N3242" s="25">
        <f>IF(J3242&gt;300,1,0)</f>
        <v/>
      </c>
      <c r="O3242" s="25">
        <f>IF(J3242&gt;600,1,0)</f>
        <v/>
      </c>
      <c r="P3242" s="25">
        <f>IF(H3242&gt;0,J3242,"")</f>
        <v/>
      </c>
      <c r="Q3242" s="25">
        <f>TEXT(A3242,"YYYY-MM-DD HH")</f>
        <v/>
      </c>
      <c r="R3242" s="25">
        <f>COUNTIF($Q$2:$Q$5295,Q3242)</f>
        <v/>
      </c>
      <c r="S3242" s="25">
        <f>IF(R3242&lt;=2,"1-2",IF(R3242&lt;=5,"3-5",IF(R3242&lt;=10,"6-10","11+")))</f>
        <v/>
      </c>
    </row>
    <row r="3243">
      <c r="A3243" s="39" t="n">
        <v>46199.22319444444</v>
      </c>
      <c r="B3243" s="25">
        <f>TEXT(A3243,"YYYY-MM")</f>
        <v/>
      </c>
      <c r="C3243" s="25">
        <f>TEXT(A3243,"MMM-YYYY")</f>
        <v/>
      </c>
      <c r="D3243" s="40">
        <f>INT(A3243)-WEEKDAY(A3243,2)+1</f>
        <v/>
      </c>
      <c r="E3243" s="25" t="inlineStr">
        <is>
          <t>sthomas</t>
        </is>
      </c>
      <c r="F3243" s="25" t="n">
        <v>1883</v>
      </c>
      <c r="G3243" s="25" t="n">
        <v>2</v>
      </c>
      <c r="H3243" s="25" t="n">
        <v>12</v>
      </c>
      <c r="I3243" s="25" t="inlineStr">
        <is>
          <t>4 minute(s) and 8 second(s)</t>
        </is>
      </c>
      <c r="J3243" s="25">
        <f>IFERROR(VALUE(TRIM(LEFT(I3243,FIND("minute",I3243)-1)))*60,0)+IFERROR(VALUE(SUBSTITUTE(MID(I3243,IFERROR(FIND("and",I3243)+3,1),20),"second(s)","")),0)</f>
        <v/>
      </c>
      <c r="K3243" s="41">
        <f>J3243/60</f>
        <v/>
      </c>
      <c r="L3243" s="41">
        <f>IFERROR(J3243/H3243,"")</f>
        <v/>
      </c>
      <c r="M3243" s="25" t="inlineStr">
        <is>
          <t>2.5.12</t>
        </is>
      </c>
      <c r="N3243" s="25">
        <f>IF(J3243&gt;300,1,0)</f>
        <v/>
      </c>
      <c r="O3243" s="25">
        <f>IF(J3243&gt;600,1,0)</f>
        <v/>
      </c>
      <c r="P3243" s="25">
        <f>IF(H3243&gt;0,J3243,"")</f>
        <v/>
      </c>
      <c r="Q3243" s="25">
        <f>TEXT(A3243,"YYYY-MM-DD HH")</f>
        <v/>
      </c>
      <c r="R3243" s="25">
        <f>COUNTIF($Q$2:$Q$5295,Q3243)</f>
        <v/>
      </c>
      <c r="S3243" s="25">
        <f>IF(R3243&lt;=2,"1-2",IF(R3243&lt;=5,"3-5",IF(R3243&lt;=10,"6-10","11+")))</f>
        <v/>
      </c>
    </row>
    <row r="3244">
      <c r="A3244" s="39" t="n">
        <v>46199.23642361111</v>
      </c>
      <c r="B3244" s="25">
        <f>TEXT(A3244,"YYYY-MM")</f>
        <v/>
      </c>
      <c r="C3244" s="25">
        <f>TEXT(A3244,"MMM-YYYY")</f>
        <v/>
      </c>
      <c r="D3244" s="40">
        <f>INT(A3244)-WEEKDAY(A3244,2)+1</f>
        <v/>
      </c>
      <c r="E3244" s="25" t="inlineStr">
        <is>
          <t>tkarmakar</t>
        </is>
      </c>
      <c r="F3244" s="25" t="n">
        <v>1433</v>
      </c>
      <c r="G3244" s="25" t="n">
        <v>4</v>
      </c>
      <c r="H3244" s="25" t="n">
        <v>16</v>
      </c>
      <c r="I3244" s="25" t="inlineStr">
        <is>
          <t>4 minute(s) and 35 second(s)</t>
        </is>
      </c>
      <c r="J3244" s="25">
        <f>IFERROR(VALUE(TRIM(LEFT(I3244,FIND("minute",I3244)-1)))*60,0)+IFERROR(VALUE(SUBSTITUTE(MID(I3244,IFERROR(FIND("and",I3244)+3,1),20),"second(s)","")),0)</f>
        <v/>
      </c>
      <c r="K3244" s="41">
        <f>J3244/60</f>
        <v/>
      </c>
      <c r="L3244" s="41">
        <f>IFERROR(J3244/H3244,"")</f>
        <v/>
      </c>
      <c r="M3244" s="25" t="inlineStr">
        <is>
          <t>2.5.12</t>
        </is>
      </c>
      <c r="N3244" s="25">
        <f>IF(J3244&gt;300,1,0)</f>
        <v/>
      </c>
      <c r="O3244" s="25">
        <f>IF(J3244&gt;600,1,0)</f>
        <v/>
      </c>
      <c r="P3244" s="25">
        <f>IF(H3244&gt;0,J3244,"")</f>
        <v/>
      </c>
      <c r="Q3244" s="25">
        <f>TEXT(A3244,"YYYY-MM-DD HH")</f>
        <v/>
      </c>
      <c r="R3244" s="25">
        <f>COUNTIF($Q$2:$Q$5295,Q3244)</f>
        <v/>
      </c>
      <c r="S3244" s="25">
        <f>IF(R3244&lt;=2,"1-2",IF(R3244&lt;=5,"3-5",IF(R3244&lt;=10,"6-10","11+")))</f>
        <v/>
      </c>
    </row>
    <row r="3245">
      <c r="A3245" s="39" t="n">
        <v>46199.24344907407</v>
      </c>
      <c r="B3245" s="25">
        <f>TEXT(A3245,"YYYY-MM")</f>
        <v/>
      </c>
      <c r="C3245" s="25">
        <f>TEXT(A3245,"MMM-YYYY")</f>
        <v/>
      </c>
      <c r="D3245" s="40">
        <f>INT(A3245)-WEEKDAY(A3245,2)+1</f>
        <v/>
      </c>
      <c r="E3245" s="25" t="inlineStr">
        <is>
          <t>ajain</t>
        </is>
      </c>
      <c r="F3245" s="25" t="n">
        <v>121141</v>
      </c>
      <c r="G3245" s="25" t="n">
        <v>2</v>
      </c>
      <c r="H3245" s="25" t="n">
        <v>12</v>
      </c>
      <c r="I3245" s="25" t="inlineStr">
        <is>
          <t>2 minute(s) and 22 second(s)</t>
        </is>
      </c>
      <c r="J3245" s="25">
        <f>IFERROR(VALUE(TRIM(LEFT(I3245,FIND("minute",I3245)-1)))*60,0)+IFERROR(VALUE(SUBSTITUTE(MID(I3245,IFERROR(FIND("and",I3245)+3,1),20),"second(s)","")),0)</f>
        <v/>
      </c>
      <c r="K3245" s="41">
        <f>J3245/60</f>
        <v/>
      </c>
      <c r="L3245" s="41">
        <f>IFERROR(J3245/H3245,"")</f>
        <v/>
      </c>
      <c r="M3245" s="25" t="inlineStr">
        <is>
          <t>2.5.12</t>
        </is>
      </c>
      <c r="N3245" s="25">
        <f>IF(J3245&gt;300,1,0)</f>
        <v/>
      </c>
      <c r="O3245" s="25">
        <f>IF(J3245&gt;600,1,0)</f>
        <v/>
      </c>
      <c r="P3245" s="25">
        <f>IF(H3245&gt;0,J3245,"")</f>
        <v/>
      </c>
      <c r="Q3245" s="25">
        <f>TEXT(A3245,"YYYY-MM-DD HH")</f>
        <v/>
      </c>
      <c r="R3245" s="25">
        <f>COUNTIF($Q$2:$Q$5295,Q3245)</f>
        <v/>
      </c>
      <c r="S3245" s="25">
        <f>IF(R3245&lt;=2,"1-2",IF(R3245&lt;=5,"3-5",IF(R3245&lt;=10,"6-10","11+")))</f>
        <v/>
      </c>
    </row>
    <row r="3246">
      <c r="A3246" s="39" t="n">
        <v>46199.25622685185</v>
      </c>
      <c r="B3246" s="25">
        <f>TEXT(A3246,"YYYY-MM")</f>
        <v/>
      </c>
      <c r="C3246" s="25">
        <f>TEXT(A3246,"MMM-YYYY")</f>
        <v/>
      </c>
      <c r="D3246" s="40">
        <f>INT(A3246)-WEEKDAY(A3246,2)+1</f>
        <v/>
      </c>
      <c r="E3246" s="25" t="inlineStr">
        <is>
          <t>aghosh</t>
        </is>
      </c>
      <c r="F3246" s="25" t="n">
        <v>122330</v>
      </c>
      <c r="G3246" s="25" t="n">
        <v>2</v>
      </c>
      <c r="H3246" s="25" t="n">
        <v>14</v>
      </c>
      <c r="I3246" s="25" t="inlineStr">
        <is>
          <t>4 minute(s) and 24 second(s)</t>
        </is>
      </c>
      <c r="J3246" s="25">
        <f>IFERROR(VALUE(TRIM(LEFT(I3246,FIND("minute",I3246)-1)))*60,0)+IFERROR(VALUE(SUBSTITUTE(MID(I3246,IFERROR(FIND("and",I3246)+3,1),20),"second(s)","")),0)</f>
        <v/>
      </c>
      <c r="K3246" s="41">
        <f>J3246/60</f>
        <v/>
      </c>
      <c r="L3246" s="41">
        <f>IFERROR(J3246/H3246,"")</f>
        <v/>
      </c>
      <c r="M3246" s="25" t="inlineStr">
        <is>
          <t>2.5.12</t>
        </is>
      </c>
      <c r="N3246" s="25">
        <f>IF(J3246&gt;300,1,0)</f>
        <v/>
      </c>
      <c r="O3246" s="25">
        <f>IF(J3246&gt;600,1,0)</f>
        <v/>
      </c>
      <c r="P3246" s="25">
        <f>IF(H3246&gt;0,J3246,"")</f>
        <v/>
      </c>
      <c r="Q3246" s="25">
        <f>TEXT(A3246,"YYYY-MM-DD HH")</f>
        <v/>
      </c>
      <c r="R3246" s="25">
        <f>COUNTIF($Q$2:$Q$5295,Q3246)</f>
        <v/>
      </c>
      <c r="S3246" s="25">
        <f>IF(R3246&lt;=2,"1-2",IF(R3246&lt;=5,"3-5",IF(R3246&lt;=10,"6-10","11+")))</f>
        <v/>
      </c>
    </row>
    <row r="3247">
      <c r="A3247" s="39" t="n">
        <v>46199.27259259259</v>
      </c>
      <c r="B3247" s="25">
        <f>TEXT(A3247,"YYYY-MM")</f>
        <v/>
      </c>
      <c r="C3247" s="25">
        <f>TEXT(A3247,"MMM-YYYY")</f>
        <v/>
      </c>
      <c r="D3247" s="40">
        <f>INT(A3247)-WEEKDAY(A3247,2)+1</f>
        <v/>
      </c>
      <c r="E3247" s="25" t="inlineStr">
        <is>
          <t>apriyadarshi</t>
        </is>
      </c>
      <c r="F3247" s="25" t="n">
        <v>116187</v>
      </c>
      <c r="G3247" s="25" t="n">
        <v>2</v>
      </c>
      <c r="H3247" s="25" t="n">
        <v>12</v>
      </c>
      <c r="I3247" s="25" t="inlineStr">
        <is>
          <t>2 minute(s) and 54 second(s)</t>
        </is>
      </c>
      <c r="J3247" s="25">
        <f>IFERROR(VALUE(TRIM(LEFT(I3247,FIND("minute",I3247)-1)))*60,0)+IFERROR(VALUE(SUBSTITUTE(MID(I3247,IFERROR(FIND("and",I3247)+3,1),20),"second(s)","")),0)</f>
        <v/>
      </c>
      <c r="K3247" s="41">
        <f>J3247/60</f>
        <v/>
      </c>
      <c r="L3247" s="41">
        <f>IFERROR(J3247/H3247,"")</f>
        <v/>
      </c>
      <c r="M3247" s="25" t="inlineStr">
        <is>
          <t>2.5.12</t>
        </is>
      </c>
      <c r="N3247" s="25">
        <f>IF(J3247&gt;300,1,0)</f>
        <v/>
      </c>
      <c r="O3247" s="25">
        <f>IF(J3247&gt;600,1,0)</f>
        <v/>
      </c>
      <c r="P3247" s="25">
        <f>IF(H3247&gt;0,J3247,"")</f>
        <v/>
      </c>
      <c r="Q3247" s="25">
        <f>TEXT(A3247,"YYYY-MM-DD HH")</f>
        <v/>
      </c>
      <c r="R3247" s="25">
        <f>COUNTIF($Q$2:$Q$5295,Q3247)</f>
        <v/>
      </c>
      <c r="S3247" s="25">
        <f>IF(R3247&lt;=2,"1-2",IF(R3247&lt;=5,"3-5",IF(R3247&lt;=10,"6-10","11+")))</f>
        <v/>
      </c>
    </row>
    <row r="3248">
      <c r="A3248" s="39" t="n">
        <v>46199.27298611111</v>
      </c>
      <c r="B3248" s="25">
        <f>TEXT(A3248,"YYYY-MM")</f>
        <v/>
      </c>
      <c r="C3248" s="25">
        <f>TEXT(A3248,"MMM-YYYY")</f>
        <v/>
      </c>
      <c r="D3248" s="40">
        <f>INT(A3248)-WEEKDAY(A3248,2)+1</f>
        <v/>
      </c>
      <c r="E3248" s="25" t="inlineStr">
        <is>
          <t>hsindwani</t>
        </is>
      </c>
      <c r="F3248" s="25" t="n">
        <v>13033</v>
      </c>
      <c r="G3248" s="25" t="n">
        <v>2</v>
      </c>
      <c r="H3248" s="25" t="n">
        <v>14</v>
      </c>
      <c r="I3248" s="25" t="inlineStr">
        <is>
          <t>5 minute(s) and 16 second(s)</t>
        </is>
      </c>
      <c r="J3248" s="25">
        <f>IFERROR(VALUE(TRIM(LEFT(I3248,FIND("minute",I3248)-1)))*60,0)+IFERROR(VALUE(SUBSTITUTE(MID(I3248,IFERROR(FIND("and",I3248)+3,1),20),"second(s)","")),0)</f>
        <v/>
      </c>
      <c r="K3248" s="41">
        <f>J3248/60</f>
        <v/>
      </c>
      <c r="L3248" s="41">
        <f>IFERROR(J3248/H3248,"")</f>
        <v/>
      </c>
      <c r="M3248" s="25" t="inlineStr">
        <is>
          <t>2.5.12</t>
        </is>
      </c>
      <c r="N3248" s="25">
        <f>IF(J3248&gt;300,1,0)</f>
        <v/>
      </c>
      <c r="O3248" s="25">
        <f>IF(J3248&gt;600,1,0)</f>
        <v/>
      </c>
      <c r="P3248" s="25">
        <f>IF(H3248&gt;0,J3248,"")</f>
        <v/>
      </c>
      <c r="Q3248" s="25">
        <f>TEXT(A3248,"YYYY-MM-DD HH")</f>
        <v/>
      </c>
      <c r="R3248" s="25">
        <f>COUNTIF($Q$2:$Q$5295,Q3248)</f>
        <v/>
      </c>
      <c r="S3248" s="25">
        <f>IF(R3248&lt;=2,"1-2",IF(R3248&lt;=5,"3-5",IF(R3248&lt;=10,"6-10","11+")))</f>
        <v/>
      </c>
    </row>
    <row r="3249">
      <c r="A3249" s="39" t="n">
        <v>46199.28603009259</v>
      </c>
      <c r="B3249" s="25">
        <f>TEXT(A3249,"YYYY-MM")</f>
        <v/>
      </c>
      <c r="C3249" s="25">
        <f>TEXT(A3249,"MMM-YYYY")</f>
        <v/>
      </c>
      <c r="D3249" s="40">
        <f>INT(A3249)-WEEKDAY(A3249,2)+1</f>
        <v/>
      </c>
      <c r="E3249" s="25" t="inlineStr">
        <is>
          <t>aghosh</t>
        </is>
      </c>
      <c r="F3249" s="25" t="n">
        <v>7349</v>
      </c>
      <c r="G3249" s="25" t="n">
        <v>2</v>
      </c>
      <c r="H3249" s="25" t="n">
        <v>10</v>
      </c>
      <c r="I3249" s="25" t="inlineStr">
        <is>
          <t>2 minute(s) and 33 second(s)</t>
        </is>
      </c>
      <c r="J3249" s="25">
        <f>IFERROR(VALUE(TRIM(LEFT(I3249,FIND("minute",I3249)-1)))*60,0)+IFERROR(VALUE(SUBSTITUTE(MID(I3249,IFERROR(FIND("and",I3249)+3,1),20),"second(s)","")),0)</f>
        <v/>
      </c>
      <c r="K3249" s="41">
        <f>J3249/60</f>
        <v/>
      </c>
      <c r="L3249" s="41">
        <f>IFERROR(J3249/H3249,"")</f>
        <v/>
      </c>
      <c r="M3249" s="25" t="inlineStr">
        <is>
          <t>2.5.12</t>
        </is>
      </c>
      <c r="N3249" s="25">
        <f>IF(J3249&gt;300,1,0)</f>
        <v/>
      </c>
      <c r="O3249" s="25">
        <f>IF(J3249&gt;600,1,0)</f>
        <v/>
      </c>
      <c r="P3249" s="25">
        <f>IF(H3249&gt;0,J3249,"")</f>
        <v/>
      </c>
      <c r="Q3249" s="25">
        <f>TEXT(A3249,"YYYY-MM-DD HH")</f>
        <v/>
      </c>
      <c r="R3249" s="25">
        <f>COUNTIF($Q$2:$Q$5295,Q3249)</f>
        <v/>
      </c>
      <c r="S3249" s="25">
        <f>IF(R3249&lt;=2,"1-2",IF(R3249&lt;=5,"3-5",IF(R3249&lt;=10,"6-10","11+")))</f>
        <v/>
      </c>
    </row>
    <row r="3250">
      <c r="A3250" s="39" t="n">
        <v>46199.30275462963</v>
      </c>
      <c r="B3250" s="25">
        <f>TEXT(A3250,"YYYY-MM")</f>
        <v/>
      </c>
      <c r="C3250" s="25">
        <f>TEXT(A3250,"MMM-YYYY")</f>
        <v/>
      </c>
      <c r="D3250" s="40">
        <f>INT(A3250)-WEEKDAY(A3250,2)+1</f>
        <v/>
      </c>
      <c r="E3250" s="25" t="inlineStr">
        <is>
          <t>pgautam</t>
        </is>
      </c>
      <c r="F3250" s="25" t="n">
        <v>7348</v>
      </c>
      <c r="G3250" s="25" t="n">
        <v>4</v>
      </c>
      <c r="H3250" s="25" t="n">
        <v>16</v>
      </c>
      <c r="I3250" s="25" t="inlineStr">
        <is>
          <t>3 minute(s) and 32 second(s)</t>
        </is>
      </c>
      <c r="J3250" s="25">
        <f>IFERROR(VALUE(TRIM(LEFT(I3250,FIND("minute",I3250)-1)))*60,0)+IFERROR(VALUE(SUBSTITUTE(MID(I3250,IFERROR(FIND("and",I3250)+3,1),20),"second(s)","")),0)</f>
        <v/>
      </c>
      <c r="K3250" s="41">
        <f>J3250/60</f>
        <v/>
      </c>
      <c r="L3250" s="41">
        <f>IFERROR(J3250/H3250,"")</f>
        <v/>
      </c>
      <c r="M3250" s="25" t="inlineStr">
        <is>
          <t>2.5.12</t>
        </is>
      </c>
      <c r="N3250" s="25">
        <f>IF(J3250&gt;300,1,0)</f>
        <v/>
      </c>
      <c r="O3250" s="25">
        <f>IF(J3250&gt;600,1,0)</f>
        <v/>
      </c>
      <c r="P3250" s="25">
        <f>IF(H3250&gt;0,J3250,"")</f>
        <v/>
      </c>
      <c r="Q3250" s="25">
        <f>TEXT(A3250,"YYYY-MM-DD HH")</f>
        <v/>
      </c>
      <c r="R3250" s="25">
        <f>COUNTIF($Q$2:$Q$5295,Q3250)</f>
        <v/>
      </c>
      <c r="S3250" s="25">
        <f>IF(R3250&lt;=2,"1-2",IF(R3250&lt;=5,"3-5",IF(R3250&lt;=10,"6-10","11+")))</f>
        <v/>
      </c>
    </row>
    <row r="3251">
      <c r="A3251" s="39" t="n">
        <v>46199.32263888889</v>
      </c>
      <c r="B3251" s="25">
        <f>TEXT(A3251,"YYYY-MM")</f>
        <v/>
      </c>
      <c r="C3251" s="25">
        <f>TEXT(A3251,"MMM-YYYY")</f>
        <v/>
      </c>
      <c r="D3251" s="40">
        <f>INT(A3251)-WEEKDAY(A3251,2)+1</f>
        <v/>
      </c>
      <c r="E3251" s="25" t="inlineStr">
        <is>
          <t>mgupta</t>
        </is>
      </c>
      <c r="F3251" s="25" t="n">
        <v>17004</v>
      </c>
      <c r="G3251" s="25" t="n">
        <v>3</v>
      </c>
      <c r="H3251" s="25" t="n">
        <v>11</v>
      </c>
      <c r="I3251" s="25" t="inlineStr">
        <is>
          <t>3 minute(s) and 44 second(s)</t>
        </is>
      </c>
      <c r="J3251" s="25">
        <f>IFERROR(VALUE(TRIM(LEFT(I3251,FIND("minute",I3251)-1)))*60,0)+IFERROR(VALUE(SUBSTITUTE(MID(I3251,IFERROR(FIND("and",I3251)+3,1),20),"second(s)","")),0)</f>
        <v/>
      </c>
      <c r="K3251" s="41">
        <f>J3251/60</f>
        <v/>
      </c>
      <c r="L3251" s="41">
        <f>IFERROR(J3251/H3251,"")</f>
        <v/>
      </c>
      <c r="M3251" s="25" t="inlineStr">
        <is>
          <t>2.5.12</t>
        </is>
      </c>
      <c r="N3251" s="25">
        <f>IF(J3251&gt;300,1,0)</f>
        <v/>
      </c>
      <c r="O3251" s="25">
        <f>IF(J3251&gt;600,1,0)</f>
        <v/>
      </c>
      <c r="P3251" s="25">
        <f>IF(H3251&gt;0,J3251,"")</f>
        <v/>
      </c>
      <c r="Q3251" s="25">
        <f>TEXT(A3251,"YYYY-MM-DD HH")</f>
        <v/>
      </c>
      <c r="R3251" s="25">
        <f>COUNTIF($Q$2:$Q$5295,Q3251)</f>
        <v/>
      </c>
      <c r="S3251" s="25">
        <f>IF(R3251&lt;=2,"1-2",IF(R3251&lt;=5,"3-5",IF(R3251&lt;=10,"6-10","11+")))</f>
        <v/>
      </c>
    </row>
    <row r="3252">
      <c r="A3252" s="39" t="n">
        <v>46199.33478009259</v>
      </c>
      <c r="B3252" s="25">
        <f>TEXT(A3252,"YYYY-MM")</f>
        <v/>
      </c>
      <c r="C3252" s="25">
        <f>TEXT(A3252,"MMM-YYYY")</f>
        <v/>
      </c>
      <c r="D3252" s="40">
        <f>INT(A3252)-WEEKDAY(A3252,2)+1</f>
        <v/>
      </c>
      <c r="E3252" s="25" t="inlineStr">
        <is>
          <t>ajain</t>
        </is>
      </c>
      <c r="F3252" s="25" t="n">
        <v>121155</v>
      </c>
      <c r="G3252" s="25" t="n">
        <v>1</v>
      </c>
      <c r="H3252" s="25" t="n">
        <v>5</v>
      </c>
      <c r="I3252" s="25" t="inlineStr">
        <is>
          <t>1 minute(s) and 11 second(s)</t>
        </is>
      </c>
      <c r="J3252" s="25">
        <f>IFERROR(VALUE(TRIM(LEFT(I3252,FIND("minute",I3252)-1)))*60,0)+IFERROR(VALUE(SUBSTITUTE(MID(I3252,IFERROR(FIND("and",I3252)+3,1),20),"second(s)","")),0)</f>
        <v/>
      </c>
      <c r="K3252" s="41">
        <f>J3252/60</f>
        <v/>
      </c>
      <c r="L3252" s="41">
        <f>IFERROR(J3252/H3252,"")</f>
        <v/>
      </c>
      <c r="M3252" s="25" t="inlineStr">
        <is>
          <t>2.5.12</t>
        </is>
      </c>
      <c r="N3252" s="25">
        <f>IF(J3252&gt;300,1,0)</f>
        <v/>
      </c>
      <c r="O3252" s="25">
        <f>IF(J3252&gt;600,1,0)</f>
        <v/>
      </c>
      <c r="P3252" s="25">
        <f>IF(H3252&gt;0,J3252,"")</f>
        <v/>
      </c>
      <c r="Q3252" s="25">
        <f>TEXT(A3252,"YYYY-MM-DD HH")</f>
        <v/>
      </c>
      <c r="R3252" s="25">
        <f>COUNTIF($Q$2:$Q$5295,Q3252)</f>
        <v/>
      </c>
      <c r="S3252" s="25">
        <f>IF(R3252&lt;=2,"1-2",IF(R3252&lt;=5,"3-5",IF(R3252&lt;=10,"6-10","11+")))</f>
        <v/>
      </c>
    </row>
    <row r="3253">
      <c r="A3253" s="39" t="n">
        <v>46199.35305555556</v>
      </c>
      <c r="B3253" s="25">
        <f>TEXT(A3253,"YYYY-MM")</f>
        <v/>
      </c>
      <c r="C3253" s="25">
        <f>TEXT(A3253,"MMM-YYYY")</f>
        <v/>
      </c>
      <c r="D3253" s="40">
        <f>INT(A3253)-WEEKDAY(A3253,2)+1</f>
        <v/>
      </c>
      <c r="E3253" s="25" t="inlineStr">
        <is>
          <t>stiwari</t>
        </is>
      </c>
      <c r="F3253" s="25" t="n">
        <v>17621</v>
      </c>
      <c r="G3253" s="25" t="n">
        <v>4</v>
      </c>
      <c r="H3253" s="25" t="n">
        <v>20</v>
      </c>
      <c r="I3253" s="25" t="inlineStr">
        <is>
          <t>4 minute(s) and 3 second(s)</t>
        </is>
      </c>
      <c r="J3253" s="25">
        <f>IFERROR(VALUE(TRIM(LEFT(I3253,FIND("minute",I3253)-1)))*60,0)+IFERROR(VALUE(SUBSTITUTE(MID(I3253,IFERROR(FIND("and",I3253)+3,1),20),"second(s)","")),0)</f>
        <v/>
      </c>
      <c r="K3253" s="41">
        <f>J3253/60</f>
        <v/>
      </c>
      <c r="L3253" s="41">
        <f>IFERROR(J3253/H3253,"")</f>
        <v/>
      </c>
      <c r="M3253" s="25" t="inlineStr">
        <is>
          <t>2.5.12</t>
        </is>
      </c>
      <c r="N3253" s="25">
        <f>IF(J3253&gt;300,1,0)</f>
        <v/>
      </c>
      <c r="O3253" s="25">
        <f>IF(J3253&gt;600,1,0)</f>
        <v/>
      </c>
      <c r="P3253" s="25">
        <f>IF(H3253&gt;0,J3253,"")</f>
        <v/>
      </c>
      <c r="Q3253" s="25">
        <f>TEXT(A3253,"YYYY-MM-DD HH")</f>
        <v/>
      </c>
      <c r="R3253" s="25">
        <f>COUNTIF($Q$2:$Q$5295,Q3253)</f>
        <v/>
      </c>
      <c r="S3253" s="25">
        <f>IF(R3253&lt;=2,"1-2",IF(R3253&lt;=5,"3-5",IF(R3253&lt;=10,"6-10","11+")))</f>
        <v/>
      </c>
    </row>
    <row r="3254">
      <c r="A3254" s="39" t="n">
        <v>46199.3594212963</v>
      </c>
      <c r="B3254" s="25">
        <f>TEXT(A3254,"YYYY-MM")</f>
        <v/>
      </c>
      <c r="C3254" s="25">
        <f>TEXT(A3254,"MMM-YYYY")</f>
        <v/>
      </c>
      <c r="D3254" s="40">
        <f>INT(A3254)-WEEKDAY(A3254,2)+1</f>
        <v/>
      </c>
      <c r="E3254" s="25" t="inlineStr">
        <is>
          <t>dchoudhury</t>
        </is>
      </c>
      <c r="F3254" s="25" t="n">
        <v>15480</v>
      </c>
      <c r="G3254" s="25" t="n">
        <v>1</v>
      </c>
      <c r="H3254" s="25" t="n">
        <v>7</v>
      </c>
      <c r="I3254" s="25" t="inlineStr">
        <is>
          <t>3 minute(s) and 2 second(s)</t>
        </is>
      </c>
      <c r="J3254" s="25">
        <f>IFERROR(VALUE(TRIM(LEFT(I3254,FIND("minute",I3254)-1)))*60,0)+IFERROR(VALUE(SUBSTITUTE(MID(I3254,IFERROR(FIND("and",I3254)+3,1),20),"second(s)","")),0)</f>
        <v/>
      </c>
      <c r="K3254" s="41">
        <f>J3254/60</f>
        <v/>
      </c>
      <c r="L3254" s="41">
        <f>IFERROR(J3254/H3254,"")</f>
        <v/>
      </c>
      <c r="M3254" s="25" t="inlineStr">
        <is>
          <t>2.5.12</t>
        </is>
      </c>
      <c r="N3254" s="25">
        <f>IF(J3254&gt;300,1,0)</f>
        <v/>
      </c>
      <c r="O3254" s="25">
        <f>IF(J3254&gt;600,1,0)</f>
        <v/>
      </c>
      <c r="P3254" s="25">
        <f>IF(H3254&gt;0,J3254,"")</f>
        <v/>
      </c>
      <c r="Q3254" s="25">
        <f>TEXT(A3254,"YYYY-MM-DD HH")</f>
        <v/>
      </c>
      <c r="R3254" s="25">
        <f>COUNTIF($Q$2:$Q$5295,Q3254)</f>
        <v/>
      </c>
      <c r="S3254" s="25">
        <f>IF(R3254&lt;=2,"1-2",IF(R3254&lt;=5,"3-5",IF(R3254&lt;=10,"6-10","11+")))</f>
        <v/>
      </c>
    </row>
    <row r="3255">
      <c r="A3255" s="39" t="n">
        <v>46199.4780787037</v>
      </c>
      <c r="B3255" s="25">
        <f>TEXT(A3255,"YYYY-MM")</f>
        <v/>
      </c>
      <c r="C3255" s="25">
        <f>TEXT(A3255,"MMM-YYYY")</f>
        <v/>
      </c>
      <c r="D3255" s="40">
        <f>INT(A3255)-WEEKDAY(A3255,2)+1</f>
        <v/>
      </c>
      <c r="E3255" s="25" t="inlineStr">
        <is>
          <t>dchoudhury</t>
        </is>
      </c>
      <c r="F3255" s="25" t="n">
        <v>81678</v>
      </c>
      <c r="G3255" s="25" t="n">
        <v>4</v>
      </c>
      <c r="H3255" s="25" t="n">
        <v>24</v>
      </c>
      <c r="I3255" s="25" t="inlineStr">
        <is>
          <t>4 minute(s) and 14 second(s)</t>
        </is>
      </c>
      <c r="J3255" s="25">
        <f>IFERROR(VALUE(TRIM(LEFT(I3255,FIND("minute",I3255)-1)))*60,0)+IFERROR(VALUE(SUBSTITUTE(MID(I3255,IFERROR(FIND("and",I3255)+3,1),20),"second(s)","")),0)</f>
        <v/>
      </c>
      <c r="K3255" s="41">
        <f>J3255/60</f>
        <v/>
      </c>
      <c r="L3255" s="41">
        <f>IFERROR(J3255/H3255,"")</f>
        <v/>
      </c>
      <c r="M3255" s="25" t="inlineStr">
        <is>
          <t>2.5.12</t>
        </is>
      </c>
      <c r="N3255" s="25">
        <f>IF(J3255&gt;300,1,0)</f>
        <v/>
      </c>
      <c r="O3255" s="25">
        <f>IF(J3255&gt;600,1,0)</f>
        <v/>
      </c>
      <c r="P3255" s="25">
        <f>IF(H3255&gt;0,J3255,"")</f>
        <v/>
      </c>
      <c r="Q3255" s="25">
        <f>TEXT(A3255,"YYYY-MM-DD HH")</f>
        <v/>
      </c>
      <c r="R3255" s="25">
        <f>COUNTIF($Q$2:$Q$5295,Q3255)</f>
        <v/>
      </c>
      <c r="S3255" s="25">
        <f>IF(R3255&lt;=2,"1-2",IF(R3255&lt;=5,"3-5",IF(R3255&lt;=10,"6-10","11+")))</f>
        <v/>
      </c>
    </row>
    <row r="3256">
      <c r="A3256" s="39" t="n">
        <v>46199.49865740741</v>
      </c>
      <c r="B3256" s="25">
        <f>TEXT(A3256,"YYYY-MM")</f>
        <v/>
      </c>
      <c r="C3256" s="25">
        <f>TEXT(A3256,"MMM-YYYY")</f>
        <v/>
      </c>
      <c r="D3256" s="40">
        <f>INT(A3256)-WEEKDAY(A3256,2)+1</f>
        <v/>
      </c>
      <c r="E3256" s="25" t="inlineStr">
        <is>
          <t>sthomas</t>
        </is>
      </c>
      <c r="F3256" s="25" t="n">
        <v>124506</v>
      </c>
      <c r="G3256" s="25" t="n">
        <v>1</v>
      </c>
      <c r="H3256" s="25" t="n">
        <v>5</v>
      </c>
      <c r="I3256" s="25" t="inlineStr">
        <is>
          <t>2 minute(s) and 15 second(s)</t>
        </is>
      </c>
      <c r="J3256" s="25">
        <f>IFERROR(VALUE(TRIM(LEFT(I3256,FIND("minute",I3256)-1)))*60,0)+IFERROR(VALUE(SUBSTITUTE(MID(I3256,IFERROR(FIND("and",I3256)+3,1),20),"second(s)","")),0)</f>
        <v/>
      </c>
      <c r="K3256" s="41">
        <f>J3256/60</f>
        <v/>
      </c>
      <c r="L3256" s="41">
        <f>IFERROR(J3256/H3256,"")</f>
        <v/>
      </c>
      <c r="M3256" s="25" t="inlineStr">
        <is>
          <t>2.5.12</t>
        </is>
      </c>
      <c r="N3256" s="25">
        <f>IF(J3256&gt;300,1,0)</f>
        <v/>
      </c>
      <c r="O3256" s="25">
        <f>IF(J3256&gt;600,1,0)</f>
        <v/>
      </c>
      <c r="P3256" s="25">
        <f>IF(H3256&gt;0,J3256,"")</f>
        <v/>
      </c>
      <c r="Q3256" s="25">
        <f>TEXT(A3256,"YYYY-MM-DD HH")</f>
        <v/>
      </c>
      <c r="R3256" s="25">
        <f>COUNTIF($Q$2:$Q$5295,Q3256)</f>
        <v/>
      </c>
      <c r="S3256" s="25">
        <f>IF(R3256&lt;=2,"1-2",IF(R3256&lt;=5,"3-5",IF(R3256&lt;=10,"6-10","11+")))</f>
        <v/>
      </c>
    </row>
    <row r="3257">
      <c r="A3257" s="39" t="n">
        <v>46199.54049768519</v>
      </c>
      <c r="B3257" s="25">
        <f>TEXT(A3257,"YYYY-MM")</f>
        <v/>
      </c>
      <c r="C3257" s="25">
        <f>TEXT(A3257,"MMM-YYYY")</f>
        <v/>
      </c>
      <c r="D3257" s="40">
        <f>INT(A3257)-WEEKDAY(A3257,2)+1</f>
        <v/>
      </c>
      <c r="E3257" s="25" t="inlineStr">
        <is>
          <t>psingh</t>
        </is>
      </c>
      <c r="F3257" s="25" t="n">
        <v>95627</v>
      </c>
      <c r="G3257" s="25" t="n">
        <v>1</v>
      </c>
      <c r="H3257" s="25" t="n">
        <v>7</v>
      </c>
      <c r="I3257" s="25" t="inlineStr">
        <is>
          <t>1 minute(s) and 27 second(s)</t>
        </is>
      </c>
      <c r="J3257" s="25">
        <f>IFERROR(VALUE(TRIM(LEFT(I3257,FIND("minute",I3257)-1)))*60,0)+IFERROR(VALUE(SUBSTITUTE(MID(I3257,IFERROR(FIND("and",I3257)+3,1),20),"second(s)","")),0)</f>
        <v/>
      </c>
      <c r="K3257" s="41">
        <f>J3257/60</f>
        <v/>
      </c>
      <c r="L3257" s="41">
        <f>IFERROR(J3257/H3257,"")</f>
        <v/>
      </c>
      <c r="M3257" s="25" t="inlineStr">
        <is>
          <t>2.5.12</t>
        </is>
      </c>
      <c r="N3257" s="25">
        <f>IF(J3257&gt;300,1,0)</f>
        <v/>
      </c>
      <c r="O3257" s="25">
        <f>IF(J3257&gt;600,1,0)</f>
        <v/>
      </c>
      <c r="P3257" s="25">
        <f>IF(H3257&gt;0,J3257,"")</f>
        <v/>
      </c>
      <c r="Q3257" s="25">
        <f>TEXT(A3257,"YYYY-MM-DD HH")</f>
        <v/>
      </c>
      <c r="R3257" s="25">
        <f>COUNTIF($Q$2:$Q$5295,Q3257)</f>
        <v/>
      </c>
      <c r="S3257" s="25">
        <f>IF(R3257&lt;=2,"1-2",IF(R3257&lt;=5,"3-5",IF(R3257&lt;=10,"6-10","11+")))</f>
        <v/>
      </c>
    </row>
    <row r="3258">
      <c r="A3258" s="39" t="n">
        <v>46199.56653935185</v>
      </c>
      <c r="B3258" s="25">
        <f>TEXT(A3258,"YYYY-MM")</f>
        <v/>
      </c>
      <c r="C3258" s="25">
        <f>TEXT(A3258,"MMM-YYYY")</f>
        <v/>
      </c>
      <c r="D3258" s="40">
        <f>INT(A3258)-WEEKDAY(A3258,2)+1</f>
        <v/>
      </c>
      <c r="E3258" s="25" t="inlineStr">
        <is>
          <t>rsingh</t>
        </is>
      </c>
      <c r="F3258" s="25" t="n">
        <v>13326</v>
      </c>
      <c r="G3258" s="25" t="n">
        <v>2</v>
      </c>
      <c r="H3258" s="25" t="n">
        <v>10</v>
      </c>
      <c r="I3258" s="25" t="inlineStr">
        <is>
          <t>3 minute(s) and 28 second(s)</t>
        </is>
      </c>
      <c r="J3258" s="25">
        <f>IFERROR(VALUE(TRIM(LEFT(I3258,FIND("minute",I3258)-1)))*60,0)+IFERROR(VALUE(SUBSTITUTE(MID(I3258,IFERROR(FIND("and",I3258)+3,1),20),"second(s)","")),0)</f>
        <v/>
      </c>
      <c r="K3258" s="41">
        <f>J3258/60</f>
        <v/>
      </c>
      <c r="L3258" s="41">
        <f>IFERROR(J3258/H3258,"")</f>
        <v/>
      </c>
      <c r="M3258" s="25" t="inlineStr">
        <is>
          <t>2.5.12</t>
        </is>
      </c>
      <c r="N3258" s="25">
        <f>IF(J3258&gt;300,1,0)</f>
        <v/>
      </c>
      <c r="O3258" s="25">
        <f>IF(J3258&gt;600,1,0)</f>
        <v/>
      </c>
      <c r="P3258" s="25">
        <f>IF(H3258&gt;0,J3258,"")</f>
        <v/>
      </c>
      <c r="Q3258" s="25">
        <f>TEXT(A3258,"YYYY-MM-DD HH")</f>
        <v/>
      </c>
      <c r="R3258" s="25">
        <f>COUNTIF($Q$2:$Q$5295,Q3258)</f>
        <v/>
      </c>
      <c r="S3258" s="25">
        <f>IF(R3258&lt;=2,"1-2",IF(R3258&lt;=5,"3-5",IF(R3258&lt;=10,"6-10","11+")))</f>
        <v/>
      </c>
    </row>
    <row r="3259">
      <c r="A3259" s="39" t="n">
        <v>46199.56883101852</v>
      </c>
      <c r="B3259" s="25">
        <f>TEXT(A3259,"YYYY-MM")</f>
        <v/>
      </c>
      <c r="C3259" s="25">
        <f>TEXT(A3259,"MMM-YYYY")</f>
        <v/>
      </c>
      <c r="D3259" s="40">
        <f>INT(A3259)-WEEKDAY(A3259,2)+1</f>
        <v/>
      </c>
      <c r="E3259" s="25" t="inlineStr">
        <is>
          <t>hsindwani</t>
        </is>
      </c>
      <c r="F3259" s="25" t="n">
        <v>7451</v>
      </c>
      <c r="G3259" s="25" t="n">
        <v>1</v>
      </c>
      <c r="H3259" s="25" t="n">
        <v>7</v>
      </c>
      <c r="I3259" s="25" t="inlineStr">
        <is>
          <t>3 minute(s) and 33 second(s)</t>
        </is>
      </c>
      <c r="J3259" s="25">
        <f>IFERROR(VALUE(TRIM(LEFT(I3259,FIND("minute",I3259)-1)))*60,0)+IFERROR(VALUE(SUBSTITUTE(MID(I3259,IFERROR(FIND("and",I3259)+3,1),20),"second(s)","")),0)</f>
        <v/>
      </c>
      <c r="K3259" s="41">
        <f>J3259/60</f>
        <v/>
      </c>
      <c r="L3259" s="41">
        <f>IFERROR(J3259/H3259,"")</f>
        <v/>
      </c>
      <c r="M3259" s="25" t="inlineStr">
        <is>
          <t>2.5.12</t>
        </is>
      </c>
      <c r="N3259" s="25">
        <f>IF(J3259&gt;300,1,0)</f>
        <v/>
      </c>
      <c r="O3259" s="25">
        <f>IF(J3259&gt;600,1,0)</f>
        <v/>
      </c>
      <c r="P3259" s="25">
        <f>IF(H3259&gt;0,J3259,"")</f>
        <v/>
      </c>
      <c r="Q3259" s="25">
        <f>TEXT(A3259,"YYYY-MM-DD HH")</f>
        <v/>
      </c>
      <c r="R3259" s="25">
        <f>COUNTIF($Q$2:$Q$5295,Q3259)</f>
        <v/>
      </c>
      <c r="S3259" s="25">
        <f>IF(R3259&lt;=2,"1-2",IF(R3259&lt;=5,"3-5",IF(R3259&lt;=10,"6-10","11+")))</f>
        <v/>
      </c>
    </row>
    <row r="3260">
      <c r="A3260" s="39" t="n">
        <v>46199.65152777778</v>
      </c>
      <c r="B3260" s="25">
        <f>TEXT(A3260,"YYYY-MM")</f>
        <v/>
      </c>
      <c r="C3260" s="25">
        <f>TEXT(A3260,"MMM-YYYY")</f>
        <v/>
      </c>
      <c r="D3260" s="40">
        <f>INT(A3260)-WEEKDAY(A3260,2)+1</f>
        <v/>
      </c>
      <c r="E3260" s="25" t="inlineStr">
        <is>
          <t>hsindwani</t>
        </is>
      </c>
      <c r="F3260" s="25" t="n">
        <v>6779</v>
      </c>
      <c r="G3260" s="25" t="n">
        <v>1</v>
      </c>
      <c r="H3260" s="25" t="n">
        <v>7</v>
      </c>
      <c r="I3260" s="25" t="inlineStr">
        <is>
          <t>6 minute(s) and 20 second(s)</t>
        </is>
      </c>
      <c r="J3260" s="25">
        <f>IFERROR(VALUE(TRIM(LEFT(I3260,FIND("minute",I3260)-1)))*60,0)+IFERROR(VALUE(SUBSTITUTE(MID(I3260,IFERROR(FIND("and",I3260)+3,1),20),"second(s)","")),0)</f>
        <v/>
      </c>
      <c r="K3260" s="41">
        <f>J3260/60</f>
        <v/>
      </c>
      <c r="L3260" s="41">
        <f>IFERROR(J3260/H3260,"")</f>
        <v/>
      </c>
      <c r="M3260" s="25" t="inlineStr">
        <is>
          <t>2.5.12</t>
        </is>
      </c>
      <c r="N3260" s="25">
        <f>IF(J3260&gt;300,1,0)</f>
        <v/>
      </c>
      <c r="O3260" s="25">
        <f>IF(J3260&gt;600,1,0)</f>
        <v/>
      </c>
      <c r="P3260" s="25">
        <f>IF(H3260&gt;0,J3260,"")</f>
        <v/>
      </c>
      <c r="Q3260" s="25">
        <f>TEXT(A3260,"YYYY-MM-DD HH")</f>
        <v/>
      </c>
      <c r="R3260" s="25">
        <f>COUNTIF($Q$2:$Q$5295,Q3260)</f>
        <v/>
      </c>
      <c r="S3260" s="25">
        <f>IF(R3260&lt;=2,"1-2",IF(R3260&lt;=5,"3-5",IF(R3260&lt;=10,"6-10","11+")))</f>
        <v/>
      </c>
    </row>
    <row r="3261">
      <c r="A3261" s="39" t="n">
        <v>46200.1047800926</v>
      </c>
      <c r="B3261" s="25">
        <f>TEXT(A3261,"YYYY-MM")</f>
        <v/>
      </c>
      <c r="C3261" s="25">
        <f>TEXT(A3261,"MMM-YYYY")</f>
        <v/>
      </c>
      <c r="D3261" s="40">
        <f>INT(A3261)-WEEKDAY(A3261,2)+1</f>
        <v/>
      </c>
      <c r="E3261" s="25" t="inlineStr">
        <is>
          <t>hsindwani</t>
        </is>
      </c>
      <c r="F3261" s="25" t="n">
        <v>6911</v>
      </c>
      <c r="G3261" s="25" t="n">
        <v>1</v>
      </c>
      <c r="H3261" s="25" t="n">
        <v>5</v>
      </c>
      <c r="I3261" s="25" t="inlineStr">
        <is>
          <t>4 minute(s) and 42 second(s)</t>
        </is>
      </c>
      <c r="J3261" s="25">
        <f>IFERROR(VALUE(TRIM(LEFT(I3261,FIND("minute",I3261)-1)))*60,0)+IFERROR(VALUE(SUBSTITUTE(MID(I3261,IFERROR(FIND("and",I3261)+3,1),20),"second(s)","")),0)</f>
        <v/>
      </c>
      <c r="K3261" s="41">
        <f>J3261/60</f>
        <v/>
      </c>
      <c r="L3261" s="41">
        <f>IFERROR(J3261/H3261,"")</f>
        <v/>
      </c>
      <c r="M3261" s="25" t="inlineStr">
        <is>
          <t>2.5.12</t>
        </is>
      </c>
      <c r="N3261" s="25">
        <f>IF(J3261&gt;300,1,0)</f>
        <v/>
      </c>
      <c r="O3261" s="25">
        <f>IF(J3261&gt;600,1,0)</f>
        <v/>
      </c>
      <c r="P3261" s="25">
        <f>IF(H3261&gt;0,J3261,"")</f>
        <v/>
      </c>
      <c r="Q3261" s="25">
        <f>TEXT(A3261,"YYYY-MM-DD HH")</f>
        <v/>
      </c>
      <c r="R3261" s="25">
        <f>COUNTIF($Q$2:$Q$5295,Q3261)</f>
        <v/>
      </c>
      <c r="S3261" s="25">
        <f>IF(R3261&lt;=2,"1-2",IF(R3261&lt;=5,"3-5",IF(R3261&lt;=10,"6-10","11+")))</f>
        <v/>
      </c>
    </row>
    <row r="3262">
      <c r="A3262" s="39" t="n">
        <v>46200.17011574074</v>
      </c>
      <c r="B3262" s="25">
        <f>TEXT(A3262,"YYYY-MM")</f>
        <v/>
      </c>
      <c r="C3262" s="25">
        <f>TEXT(A3262,"MMM-YYYY")</f>
        <v/>
      </c>
      <c r="D3262" s="40">
        <f>INT(A3262)-WEEKDAY(A3262,2)+1</f>
        <v/>
      </c>
      <c r="E3262" s="25" t="inlineStr">
        <is>
          <t>hsindwani</t>
        </is>
      </c>
      <c r="F3262" s="25" t="n">
        <v>6911</v>
      </c>
      <c r="G3262" s="25" t="n">
        <v>1</v>
      </c>
      <c r="H3262" s="25" t="n">
        <v>5</v>
      </c>
      <c r="I3262" s="25" t="inlineStr">
        <is>
          <t>2 minute(s) and 45 second(s)</t>
        </is>
      </c>
      <c r="J3262" s="25">
        <f>IFERROR(VALUE(TRIM(LEFT(I3262,FIND("minute",I3262)-1)))*60,0)+IFERROR(VALUE(SUBSTITUTE(MID(I3262,IFERROR(FIND("and",I3262)+3,1),20),"second(s)","")),0)</f>
        <v/>
      </c>
      <c r="K3262" s="41">
        <f>J3262/60</f>
        <v/>
      </c>
      <c r="L3262" s="41">
        <f>IFERROR(J3262/H3262,"")</f>
        <v/>
      </c>
      <c r="M3262" s="25" t="inlineStr">
        <is>
          <t>2.5.12</t>
        </is>
      </c>
      <c r="N3262" s="25">
        <f>IF(J3262&gt;300,1,0)</f>
        <v/>
      </c>
      <c r="O3262" s="25">
        <f>IF(J3262&gt;600,1,0)</f>
        <v/>
      </c>
      <c r="P3262" s="25">
        <f>IF(H3262&gt;0,J3262,"")</f>
        <v/>
      </c>
      <c r="Q3262" s="25">
        <f>TEXT(A3262,"YYYY-MM-DD HH")</f>
        <v/>
      </c>
      <c r="R3262" s="25">
        <f>COUNTIF($Q$2:$Q$5295,Q3262)</f>
        <v/>
      </c>
      <c r="S3262" s="25">
        <f>IF(R3262&lt;=2,"1-2",IF(R3262&lt;=5,"3-5",IF(R3262&lt;=10,"6-10","11+")))</f>
        <v/>
      </c>
    </row>
    <row r="3263">
      <c r="A3263" s="39" t="n">
        <v>46200.22803240741</v>
      </c>
      <c r="B3263" s="25">
        <f>TEXT(A3263,"YYYY-MM")</f>
        <v/>
      </c>
      <c r="C3263" s="25">
        <f>TEXT(A3263,"MMM-YYYY")</f>
        <v/>
      </c>
      <c r="D3263" s="40">
        <f>INT(A3263)-WEEKDAY(A3263,2)+1</f>
        <v/>
      </c>
      <c r="E3263" s="25" t="inlineStr">
        <is>
          <t>hsindwani</t>
        </is>
      </c>
      <c r="F3263" s="25" t="n">
        <v>6907</v>
      </c>
      <c r="G3263" s="25" t="n">
        <v>1</v>
      </c>
      <c r="H3263" s="25" t="n">
        <v>7</v>
      </c>
      <c r="I3263" s="25" t="inlineStr">
        <is>
          <t>5 minute(s) and 55 second(s)</t>
        </is>
      </c>
      <c r="J3263" s="25">
        <f>IFERROR(VALUE(TRIM(LEFT(I3263,FIND("minute",I3263)-1)))*60,0)+IFERROR(VALUE(SUBSTITUTE(MID(I3263,IFERROR(FIND("and",I3263)+3,1),20),"second(s)","")),0)</f>
        <v/>
      </c>
      <c r="K3263" s="41">
        <f>J3263/60</f>
        <v/>
      </c>
      <c r="L3263" s="41">
        <f>IFERROR(J3263/H3263,"")</f>
        <v/>
      </c>
      <c r="M3263" s="25" t="inlineStr">
        <is>
          <t>2.5.12</t>
        </is>
      </c>
      <c r="N3263" s="25">
        <f>IF(J3263&gt;300,1,0)</f>
        <v/>
      </c>
      <c r="O3263" s="25">
        <f>IF(J3263&gt;600,1,0)</f>
        <v/>
      </c>
      <c r="P3263" s="25">
        <f>IF(H3263&gt;0,J3263,"")</f>
        <v/>
      </c>
      <c r="Q3263" s="25">
        <f>TEXT(A3263,"YYYY-MM-DD HH")</f>
        <v/>
      </c>
      <c r="R3263" s="25">
        <f>COUNTIF($Q$2:$Q$5295,Q3263)</f>
        <v/>
      </c>
      <c r="S3263" s="25">
        <f>IF(R3263&lt;=2,"1-2",IF(R3263&lt;=5,"3-5",IF(R3263&lt;=10,"6-10","11+")))</f>
        <v/>
      </c>
    </row>
    <row r="3264">
      <c r="A3264" s="39" t="n">
        <v>46200.74827546296</v>
      </c>
      <c r="B3264" s="25">
        <f>TEXT(A3264,"YYYY-MM")</f>
        <v/>
      </c>
      <c r="C3264" s="25">
        <f>TEXT(A3264,"MMM-YYYY")</f>
        <v/>
      </c>
      <c r="D3264" s="40">
        <f>INT(A3264)-WEEKDAY(A3264,2)+1</f>
        <v/>
      </c>
      <c r="E3264" s="25" t="inlineStr">
        <is>
          <t>hsindwani</t>
        </is>
      </c>
      <c r="F3264" s="25" t="n">
        <v>112687</v>
      </c>
      <c r="G3264" s="25" t="n">
        <v>1</v>
      </c>
      <c r="H3264" s="25" t="n">
        <v>7</v>
      </c>
      <c r="I3264" s="25" t="inlineStr">
        <is>
          <t>3 minute(s) and 49 second(s)</t>
        </is>
      </c>
      <c r="J3264" s="25">
        <f>IFERROR(VALUE(TRIM(LEFT(I3264,FIND("minute",I3264)-1)))*60,0)+IFERROR(VALUE(SUBSTITUTE(MID(I3264,IFERROR(FIND("and",I3264)+3,1),20),"second(s)","")),0)</f>
        <v/>
      </c>
      <c r="K3264" s="41">
        <f>J3264/60</f>
        <v/>
      </c>
      <c r="L3264" s="41">
        <f>IFERROR(J3264/H3264,"")</f>
        <v/>
      </c>
      <c r="M3264" s="25" t="inlineStr">
        <is>
          <t>2.5.12</t>
        </is>
      </c>
      <c r="N3264" s="25">
        <f>IF(J3264&gt;300,1,0)</f>
        <v/>
      </c>
      <c r="O3264" s="25">
        <f>IF(J3264&gt;600,1,0)</f>
        <v/>
      </c>
      <c r="P3264" s="25">
        <f>IF(H3264&gt;0,J3264,"")</f>
        <v/>
      </c>
      <c r="Q3264" s="25">
        <f>TEXT(A3264,"YYYY-MM-DD HH")</f>
        <v/>
      </c>
      <c r="R3264" s="25">
        <f>COUNTIF($Q$2:$Q$5295,Q3264)</f>
        <v/>
      </c>
      <c r="S3264" s="25">
        <f>IF(R3264&lt;=2,"1-2",IF(R3264&lt;=5,"3-5",IF(R3264&lt;=10,"6-10","11+")))</f>
        <v/>
      </c>
    </row>
    <row r="3265">
      <c r="A3265" s="39" t="n">
        <v>46200.92490740741</v>
      </c>
      <c r="B3265" s="25">
        <f>TEXT(A3265,"YYYY-MM")</f>
        <v/>
      </c>
      <c r="C3265" s="25">
        <f>TEXT(A3265,"MMM-YYYY")</f>
        <v/>
      </c>
      <c r="D3265" s="40">
        <f>INT(A3265)-WEEKDAY(A3265,2)+1</f>
        <v/>
      </c>
      <c r="E3265" s="25" t="inlineStr">
        <is>
          <t>dchoudhury</t>
        </is>
      </c>
      <c r="F3265" s="25" t="n">
        <v>2233</v>
      </c>
      <c r="G3265" s="25" t="n">
        <v>2</v>
      </c>
      <c r="H3265" s="25" t="n">
        <v>8</v>
      </c>
      <c r="I3265" s="25" t="inlineStr">
        <is>
          <t>2 minute(s) and 8 second(s)</t>
        </is>
      </c>
      <c r="J3265" s="25">
        <f>IFERROR(VALUE(TRIM(LEFT(I3265,FIND("minute",I3265)-1)))*60,0)+IFERROR(VALUE(SUBSTITUTE(MID(I3265,IFERROR(FIND("and",I3265)+3,1),20),"second(s)","")),0)</f>
        <v/>
      </c>
      <c r="K3265" s="41">
        <f>J3265/60</f>
        <v/>
      </c>
      <c r="L3265" s="41">
        <f>IFERROR(J3265/H3265,"")</f>
        <v/>
      </c>
      <c r="M3265" s="25" t="inlineStr">
        <is>
          <t>2.5.12</t>
        </is>
      </c>
      <c r="N3265" s="25">
        <f>IF(J3265&gt;300,1,0)</f>
        <v/>
      </c>
      <c r="O3265" s="25">
        <f>IF(J3265&gt;600,1,0)</f>
        <v/>
      </c>
      <c r="P3265" s="25">
        <f>IF(H3265&gt;0,J3265,"")</f>
        <v/>
      </c>
      <c r="Q3265" s="25">
        <f>TEXT(A3265,"YYYY-MM-DD HH")</f>
        <v/>
      </c>
      <c r="R3265" s="25">
        <f>COUNTIF($Q$2:$Q$5295,Q3265)</f>
        <v/>
      </c>
      <c r="S3265" s="25">
        <f>IF(R3265&lt;=2,"1-2",IF(R3265&lt;=5,"3-5",IF(R3265&lt;=10,"6-10","11+")))</f>
        <v/>
      </c>
    </row>
    <row r="3266">
      <c r="A3266" s="39" t="n">
        <v>46200.94293981481</v>
      </c>
      <c r="B3266" s="25">
        <f>TEXT(A3266,"YYYY-MM")</f>
        <v/>
      </c>
      <c r="C3266" s="25">
        <f>TEXT(A3266,"MMM-YYYY")</f>
        <v/>
      </c>
      <c r="D3266" s="40">
        <f>INT(A3266)-WEEKDAY(A3266,2)+1</f>
        <v/>
      </c>
      <c r="E3266" s="25" t="inlineStr">
        <is>
          <t>dchoudhury</t>
        </is>
      </c>
      <c r="F3266" s="25" t="n">
        <v>2233</v>
      </c>
      <c r="G3266" s="25" t="n">
        <v>2</v>
      </c>
      <c r="H3266" s="25" t="n">
        <v>10</v>
      </c>
      <c r="I3266" s="25" t="inlineStr">
        <is>
          <t>2 minute(s) and 13 second(s)</t>
        </is>
      </c>
      <c r="J3266" s="25">
        <f>IFERROR(VALUE(TRIM(LEFT(I3266,FIND("minute",I3266)-1)))*60,0)+IFERROR(VALUE(SUBSTITUTE(MID(I3266,IFERROR(FIND("and",I3266)+3,1),20),"second(s)","")),0)</f>
        <v/>
      </c>
      <c r="K3266" s="41">
        <f>J3266/60</f>
        <v/>
      </c>
      <c r="L3266" s="41">
        <f>IFERROR(J3266/H3266,"")</f>
        <v/>
      </c>
      <c r="M3266" s="25" t="inlineStr">
        <is>
          <t>2.5.12</t>
        </is>
      </c>
      <c r="N3266" s="25">
        <f>IF(J3266&gt;300,1,0)</f>
        <v/>
      </c>
      <c r="O3266" s="25">
        <f>IF(J3266&gt;600,1,0)</f>
        <v/>
      </c>
      <c r="P3266" s="25">
        <f>IF(H3266&gt;0,J3266,"")</f>
        <v/>
      </c>
      <c r="Q3266" s="25">
        <f>TEXT(A3266,"YYYY-MM-DD HH")</f>
        <v/>
      </c>
      <c r="R3266" s="25">
        <f>COUNTIF($Q$2:$Q$5295,Q3266)</f>
        <v/>
      </c>
      <c r="S3266" s="25">
        <f>IF(R3266&lt;=2,"1-2",IF(R3266&lt;=5,"3-5",IF(R3266&lt;=10,"6-10","11+")))</f>
        <v/>
      </c>
    </row>
    <row r="3267">
      <c r="A3267" s="39" t="n">
        <v>46202.08490740741</v>
      </c>
      <c r="B3267" s="25">
        <f>TEXT(A3267,"YYYY-MM")</f>
        <v/>
      </c>
      <c r="C3267" s="25">
        <f>TEXT(A3267,"MMM-YYYY")</f>
        <v/>
      </c>
      <c r="D3267" s="40">
        <f>INT(A3267)-WEEKDAY(A3267,2)+1</f>
        <v/>
      </c>
      <c r="E3267" s="25" t="inlineStr">
        <is>
          <t>anusharma</t>
        </is>
      </c>
      <c r="F3267" s="25" t="n">
        <v>124261</v>
      </c>
      <c r="G3267" s="25" t="n">
        <v>1</v>
      </c>
      <c r="H3267" s="25" t="n">
        <v>5</v>
      </c>
      <c r="I3267" s="25" t="inlineStr">
        <is>
          <t>2 minute(s) and 6 second(s)</t>
        </is>
      </c>
      <c r="J3267" s="25">
        <f>IFERROR(VALUE(TRIM(LEFT(I3267,FIND("minute",I3267)-1)))*60,0)+IFERROR(VALUE(SUBSTITUTE(MID(I3267,IFERROR(FIND("and",I3267)+3,1),20),"second(s)","")),0)</f>
        <v/>
      </c>
      <c r="K3267" s="41">
        <f>J3267/60</f>
        <v/>
      </c>
      <c r="L3267" s="41">
        <f>IFERROR(J3267/H3267,"")</f>
        <v/>
      </c>
      <c r="M3267" s="25" t="inlineStr">
        <is>
          <t>2.5.12</t>
        </is>
      </c>
      <c r="N3267" s="25">
        <f>IF(J3267&gt;300,1,0)</f>
        <v/>
      </c>
      <c r="O3267" s="25">
        <f>IF(J3267&gt;600,1,0)</f>
        <v/>
      </c>
      <c r="P3267" s="25">
        <f>IF(H3267&gt;0,J3267,"")</f>
        <v/>
      </c>
      <c r="Q3267" s="25">
        <f>TEXT(A3267,"YYYY-MM-DD HH")</f>
        <v/>
      </c>
      <c r="R3267" s="25">
        <f>COUNTIF($Q$2:$Q$5295,Q3267)</f>
        <v/>
      </c>
      <c r="S3267" s="25">
        <f>IF(R3267&lt;=2,"1-2",IF(R3267&lt;=5,"3-5",IF(R3267&lt;=10,"6-10","11+")))</f>
        <v/>
      </c>
    </row>
    <row r="3268">
      <c r="A3268" s="39" t="n">
        <v>46202.09752314815</v>
      </c>
      <c r="B3268" s="25">
        <f>TEXT(A3268,"YYYY-MM")</f>
        <v/>
      </c>
      <c r="C3268" s="25">
        <f>TEXT(A3268,"MMM-YYYY")</f>
        <v/>
      </c>
      <c r="D3268" s="40">
        <f>INT(A3268)-WEEKDAY(A3268,2)+1</f>
        <v/>
      </c>
      <c r="E3268" s="25" t="inlineStr">
        <is>
          <t>sdey</t>
        </is>
      </c>
      <c r="F3268" s="25" t="n">
        <v>125514</v>
      </c>
      <c r="G3268" s="25" t="n">
        <v>1</v>
      </c>
      <c r="H3268" s="25" t="n">
        <v>5</v>
      </c>
      <c r="I3268" s="25" t="inlineStr">
        <is>
          <t>2 minute(s) and 33 second(s)</t>
        </is>
      </c>
      <c r="J3268" s="25">
        <f>IFERROR(VALUE(TRIM(LEFT(I3268,FIND("minute",I3268)-1)))*60,0)+IFERROR(VALUE(SUBSTITUTE(MID(I3268,IFERROR(FIND("and",I3268)+3,1),20),"second(s)","")),0)</f>
        <v/>
      </c>
      <c r="K3268" s="41">
        <f>J3268/60</f>
        <v/>
      </c>
      <c r="L3268" s="41">
        <f>IFERROR(J3268/H3268,"")</f>
        <v/>
      </c>
      <c r="M3268" s="25" t="inlineStr">
        <is>
          <t>2.5.12</t>
        </is>
      </c>
      <c r="N3268" s="25">
        <f>IF(J3268&gt;300,1,0)</f>
        <v/>
      </c>
      <c r="O3268" s="25">
        <f>IF(J3268&gt;600,1,0)</f>
        <v/>
      </c>
      <c r="P3268" s="25">
        <f>IF(H3268&gt;0,J3268,"")</f>
        <v/>
      </c>
      <c r="Q3268" s="25">
        <f>TEXT(A3268,"YYYY-MM-DD HH")</f>
        <v/>
      </c>
      <c r="R3268" s="25">
        <f>COUNTIF($Q$2:$Q$5295,Q3268)</f>
        <v/>
      </c>
      <c r="S3268" s="25">
        <f>IF(R3268&lt;=2,"1-2",IF(R3268&lt;=5,"3-5",IF(R3268&lt;=10,"6-10","11+")))</f>
        <v/>
      </c>
    </row>
    <row r="3269">
      <c r="A3269" s="39" t="n">
        <v>46202.1027662037</v>
      </c>
      <c r="B3269" s="25">
        <f>TEXT(A3269,"YYYY-MM")</f>
        <v/>
      </c>
      <c r="C3269" s="25">
        <f>TEXT(A3269,"MMM-YYYY")</f>
        <v/>
      </c>
      <c r="D3269" s="40">
        <f>INT(A3269)-WEEKDAY(A3269,2)+1</f>
        <v/>
      </c>
      <c r="E3269" s="25" t="inlineStr">
        <is>
          <t>bverma</t>
        </is>
      </c>
      <c r="F3269" s="25" t="n">
        <v>125139</v>
      </c>
      <c r="G3269" s="25" t="n">
        <v>2</v>
      </c>
      <c r="H3269" s="25" t="n">
        <v>10</v>
      </c>
      <c r="I3269" s="25" t="inlineStr">
        <is>
          <t>2 minute(s) and 38 second(s)</t>
        </is>
      </c>
      <c r="J3269" s="25">
        <f>IFERROR(VALUE(TRIM(LEFT(I3269,FIND("minute",I3269)-1)))*60,0)+IFERROR(VALUE(SUBSTITUTE(MID(I3269,IFERROR(FIND("and",I3269)+3,1),20),"second(s)","")),0)</f>
        <v/>
      </c>
      <c r="K3269" s="41">
        <f>J3269/60</f>
        <v/>
      </c>
      <c r="L3269" s="41">
        <f>IFERROR(J3269/H3269,"")</f>
        <v/>
      </c>
      <c r="M3269" s="25" t="inlineStr">
        <is>
          <t>2.5.12</t>
        </is>
      </c>
      <c r="N3269" s="25">
        <f>IF(J3269&gt;300,1,0)</f>
        <v/>
      </c>
      <c r="O3269" s="25">
        <f>IF(J3269&gt;600,1,0)</f>
        <v/>
      </c>
      <c r="P3269" s="25">
        <f>IF(H3269&gt;0,J3269,"")</f>
        <v/>
      </c>
      <c r="Q3269" s="25">
        <f>TEXT(A3269,"YYYY-MM-DD HH")</f>
        <v/>
      </c>
      <c r="R3269" s="25">
        <f>COUNTIF($Q$2:$Q$5295,Q3269)</f>
        <v/>
      </c>
      <c r="S3269" s="25">
        <f>IF(R3269&lt;=2,"1-2",IF(R3269&lt;=5,"3-5",IF(R3269&lt;=10,"6-10","11+")))</f>
        <v/>
      </c>
    </row>
    <row r="3270">
      <c r="A3270" s="39" t="n">
        <v>46202.11756944445</v>
      </c>
      <c r="B3270" s="25">
        <f>TEXT(A3270,"YYYY-MM")</f>
        <v/>
      </c>
      <c r="C3270" s="25">
        <f>TEXT(A3270,"MMM-YYYY")</f>
        <v/>
      </c>
      <c r="D3270" s="40">
        <f>INT(A3270)-WEEKDAY(A3270,2)+1</f>
        <v/>
      </c>
      <c r="E3270" s="25" t="inlineStr">
        <is>
          <t>anusharma</t>
        </is>
      </c>
      <c r="F3270" s="25" t="n">
        <v>122564</v>
      </c>
      <c r="G3270" s="25" t="n">
        <v>1</v>
      </c>
      <c r="H3270" s="25" t="n">
        <v>5</v>
      </c>
      <c r="I3270" s="25" t="inlineStr">
        <is>
          <t>2 minute(s) and 18 second(s)</t>
        </is>
      </c>
      <c r="J3270" s="25">
        <f>IFERROR(VALUE(TRIM(LEFT(I3270,FIND("minute",I3270)-1)))*60,0)+IFERROR(VALUE(SUBSTITUTE(MID(I3270,IFERROR(FIND("and",I3270)+3,1),20),"second(s)","")),0)</f>
        <v/>
      </c>
      <c r="K3270" s="41">
        <f>J3270/60</f>
        <v/>
      </c>
      <c r="L3270" s="41">
        <f>IFERROR(J3270/H3270,"")</f>
        <v/>
      </c>
      <c r="M3270" s="25" t="inlineStr">
        <is>
          <t>2.5.12</t>
        </is>
      </c>
      <c r="N3270" s="25">
        <f>IF(J3270&gt;300,1,0)</f>
        <v/>
      </c>
      <c r="O3270" s="25">
        <f>IF(J3270&gt;600,1,0)</f>
        <v/>
      </c>
      <c r="P3270" s="25">
        <f>IF(H3270&gt;0,J3270,"")</f>
        <v/>
      </c>
      <c r="Q3270" s="25">
        <f>TEXT(A3270,"YYYY-MM-DD HH")</f>
        <v/>
      </c>
      <c r="R3270" s="25">
        <f>COUNTIF($Q$2:$Q$5295,Q3270)</f>
        <v/>
      </c>
      <c r="S3270" s="25">
        <f>IF(R3270&lt;=2,"1-2",IF(R3270&lt;=5,"3-5",IF(R3270&lt;=10,"6-10","11+")))</f>
        <v/>
      </c>
    </row>
    <row r="3271">
      <c r="A3271" s="39" t="n">
        <v>46202.13706018519</v>
      </c>
      <c r="B3271" s="25">
        <f>TEXT(A3271,"YYYY-MM")</f>
        <v/>
      </c>
      <c r="C3271" s="25">
        <f>TEXT(A3271,"MMM-YYYY")</f>
        <v/>
      </c>
      <c r="D3271" s="40">
        <f>INT(A3271)-WEEKDAY(A3271,2)+1</f>
        <v/>
      </c>
      <c r="E3271" s="25" t="inlineStr">
        <is>
          <t>pgautam</t>
        </is>
      </c>
      <c r="F3271" s="25" t="n">
        <v>123429</v>
      </c>
      <c r="G3271" s="25" t="n">
        <v>2</v>
      </c>
      <c r="H3271" s="25" t="n">
        <v>10</v>
      </c>
      <c r="I3271" s="25" t="inlineStr">
        <is>
          <t>2 minute(s) and 24 second(s)</t>
        </is>
      </c>
      <c r="J3271" s="25">
        <f>IFERROR(VALUE(TRIM(LEFT(I3271,FIND("minute",I3271)-1)))*60,0)+IFERROR(VALUE(SUBSTITUTE(MID(I3271,IFERROR(FIND("and",I3271)+3,1),20),"second(s)","")),0)</f>
        <v/>
      </c>
      <c r="K3271" s="41">
        <f>J3271/60</f>
        <v/>
      </c>
      <c r="L3271" s="41">
        <f>IFERROR(J3271/H3271,"")</f>
        <v/>
      </c>
      <c r="M3271" s="25" t="inlineStr">
        <is>
          <t>2.5.12</t>
        </is>
      </c>
      <c r="N3271" s="25">
        <f>IF(J3271&gt;300,1,0)</f>
        <v/>
      </c>
      <c r="O3271" s="25">
        <f>IF(J3271&gt;600,1,0)</f>
        <v/>
      </c>
      <c r="P3271" s="25">
        <f>IF(H3271&gt;0,J3271,"")</f>
        <v/>
      </c>
      <c r="Q3271" s="25">
        <f>TEXT(A3271,"YYYY-MM-DD HH")</f>
        <v/>
      </c>
      <c r="R3271" s="25">
        <f>COUNTIF($Q$2:$Q$5295,Q3271)</f>
        <v/>
      </c>
      <c r="S3271" s="25">
        <f>IF(R3271&lt;=2,"1-2",IF(R3271&lt;=5,"3-5",IF(R3271&lt;=10,"6-10","11+")))</f>
        <v/>
      </c>
    </row>
    <row r="3272">
      <c r="A3272" s="39" t="n">
        <v>46202.13841435185</v>
      </c>
      <c r="B3272" s="25">
        <f>TEXT(A3272,"YYYY-MM")</f>
        <v/>
      </c>
      <c r="C3272" s="25">
        <f>TEXT(A3272,"MMM-YYYY")</f>
        <v/>
      </c>
      <c r="D3272" s="40">
        <f>INT(A3272)-WEEKDAY(A3272,2)+1</f>
        <v/>
      </c>
      <c r="E3272" s="25" t="inlineStr">
        <is>
          <t>ethomas</t>
        </is>
      </c>
      <c r="F3272" s="25" t="n">
        <v>8036</v>
      </c>
      <c r="G3272" s="25" t="n">
        <v>4</v>
      </c>
      <c r="H3272" s="25" t="n">
        <v>28</v>
      </c>
      <c r="I3272" s="25" t="inlineStr">
        <is>
          <t>9 minute(s) and 12 second(s)</t>
        </is>
      </c>
      <c r="J3272" s="25">
        <f>IFERROR(VALUE(TRIM(LEFT(I3272,FIND("minute",I3272)-1)))*60,0)+IFERROR(VALUE(SUBSTITUTE(MID(I3272,IFERROR(FIND("and",I3272)+3,1),20),"second(s)","")),0)</f>
        <v/>
      </c>
      <c r="K3272" s="41">
        <f>J3272/60</f>
        <v/>
      </c>
      <c r="L3272" s="41">
        <f>IFERROR(J3272/H3272,"")</f>
        <v/>
      </c>
      <c r="M3272" s="25" t="inlineStr">
        <is>
          <t>2.5.12</t>
        </is>
      </c>
      <c r="N3272" s="25">
        <f>IF(J3272&gt;300,1,0)</f>
        <v/>
      </c>
      <c r="O3272" s="25">
        <f>IF(J3272&gt;600,1,0)</f>
        <v/>
      </c>
      <c r="P3272" s="25">
        <f>IF(H3272&gt;0,J3272,"")</f>
        <v/>
      </c>
      <c r="Q3272" s="25">
        <f>TEXT(A3272,"YYYY-MM-DD HH")</f>
        <v/>
      </c>
      <c r="R3272" s="25">
        <f>COUNTIF($Q$2:$Q$5295,Q3272)</f>
        <v/>
      </c>
      <c r="S3272" s="25">
        <f>IF(R3272&lt;=2,"1-2",IF(R3272&lt;=5,"3-5",IF(R3272&lt;=10,"6-10","11+")))</f>
        <v/>
      </c>
    </row>
    <row r="3273">
      <c r="A3273" s="39" t="n">
        <v>46202.14071759259</v>
      </c>
      <c r="B3273" s="25">
        <f>TEXT(A3273,"YYYY-MM")</f>
        <v/>
      </c>
      <c r="C3273" s="25">
        <f>TEXT(A3273,"MMM-YYYY")</f>
        <v/>
      </c>
      <c r="D3273" s="40">
        <f>INT(A3273)-WEEKDAY(A3273,2)+1</f>
        <v/>
      </c>
      <c r="E3273" s="25" t="inlineStr">
        <is>
          <t>mgupta</t>
        </is>
      </c>
      <c r="F3273" s="25" t="n">
        <v>124251</v>
      </c>
      <c r="G3273" s="25" t="n">
        <v>1</v>
      </c>
      <c r="H3273" s="25" t="n">
        <v>5</v>
      </c>
      <c r="I3273" s="25" t="inlineStr">
        <is>
          <t>2 minute(s) and 17 second(s)</t>
        </is>
      </c>
      <c r="J3273" s="25">
        <f>IFERROR(VALUE(TRIM(LEFT(I3273,FIND("minute",I3273)-1)))*60,0)+IFERROR(VALUE(SUBSTITUTE(MID(I3273,IFERROR(FIND("and",I3273)+3,1),20),"second(s)","")),0)</f>
        <v/>
      </c>
      <c r="K3273" s="41">
        <f>J3273/60</f>
        <v/>
      </c>
      <c r="L3273" s="41">
        <f>IFERROR(J3273/H3273,"")</f>
        <v/>
      </c>
      <c r="M3273" s="25" t="inlineStr">
        <is>
          <t>2.5.12</t>
        </is>
      </c>
      <c r="N3273" s="25">
        <f>IF(J3273&gt;300,1,0)</f>
        <v/>
      </c>
      <c r="O3273" s="25">
        <f>IF(J3273&gt;600,1,0)</f>
        <v/>
      </c>
      <c r="P3273" s="25">
        <f>IF(H3273&gt;0,J3273,"")</f>
        <v/>
      </c>
      <c r="Q3273" s="25">
        <f>TEXT(A3273,"YYYY-MM-DD HH")</f>
        <v/>
      </c>
      <c r="R3273" s="25">
        <f>COUNTIF($Q$2:$Q$5295,Q3273)</f>
        <v/>
      </c>
      <c r="S3273" s="25">
        <f>IF(R3273&lt;=2,"1-2",IF(R3273&lt;=5,"3-5",IF(R3273&lt;=10,"6-10","11+")))</f>
        <v/>
      </c>
    </row>
    <row r="3274">
      <c r="A3274" s="39" t="n">
        <v>46202.14366898148</v>
      </c>
      <c r="B3274" s="25">
        <f>TEXT(A3274,"YYYY-MM")</f>
        <v/>
      </c>
      <c r="C3274" s="25">
        <f>TEXT(A3274,"MMM-YYYY")</f>
        <v/>
      </c>
      <c r="D3274" s="40">
        <f>INT(A3274)-WEEKDAY(A3274,2)+1</f>
        <v/>
      </c>
      <c r="E3274" s="25" t="inlineStr">
        <is>
          <t>stiwari</t>
        </is>
      </c>
      <c r="F3274" s="25" t="n">
        <v>125111</v>
      </c>
      <c r="G3274" s="25" t="n">
        <v>1</v>
      </c>
      <c r="H3274" s="25" t="n">
        <v>6</v>
      </c>
      <c r="I3274" s="25" t="inlineStr">
        <is>
          <t>53 second(s)</t>
        </is>
      </c>
      <c r="J3274" s="25">
        <f>IFERROR(VALUE(TRIM(LEFT(I3274,FIND("minute",I3274)-1)))*60,0)+IFERROR(VALUE(SUBSTITUTE(MID(I3274,IFERROR(FIND("and",I3274)+3,1),20),"second(s)","")),0)</f>
        <v/>
      </c>
      <c r="K3274" s="41">
        <f>J3274/60</f>
        <v/>
      </c>
      <c r="L3274" s="41">
        <f>IFERROR(J3274/H3274,"")</f>
        <v/>
      </c>
      <c r="M3274" s="25" t="inlineStr">
        <is>
          <t>2.5.12</t>
        </is>
      </c>
      <c r="N3274" s="25">
        <f>IF(J3274&gt;300,1,0)</f>
        <v/>
      </c>
      <c r="O3274" s="25">
        <f>IF(J3274&gt;600,1,0)</f>
        <v/>
      </c>
      <c r="P3274" s="25">
        <f>IF(H3274&gt;0,J3274,"")</f>
        <v/>
      </c>
      <c r="Q3274" s="25">
        <f>TEXT(A3274,"YYYY-MM-DD HH")</f>
        <v/>
      </c>
      <c r="R3274" s="25">
        <f>COUNTIF($Q$2:$Q$5295,Q3274)</f>
        <v/>
      </c>
      <c r="S3274" s="25">
        <f>IF(R3274&lt;=2,"1-2",IF(R3274&lt;=5,"3-5",IF(R3274&lt;=10,"6-10","11+")))</f>
        <v/>
      </c>
    </row>
    <row r="3275">
      <c r="A3275" s="39" t="n">
        <v>46202.14643518518</v>
      </c>
      <c r="B3275" s="25">
        <f>TEXT(A3275,"YYYY-MM")</f>
        <v/>
      </c>
      <c r="C3275" s="25">
        <f>TEXT(A3275,"MMM-YYYY")</f>
        <v/>
      </c>
      <c r="D3275" s="40">
        <f>INT(A3275)-WEEKDAY(A3275,2)+1</f>
        <v/>
      </c>
      <c r="E3275" s="25" t="inlineStr">
        <is>
          <t>aghosh</t>
        </is>
      </c>
      <c r="F3275" s="25" t="n">
        <v>125427</v>
      </c>
      <c r="G3275" s="25" t="n">
        <v>1</v>
      </c>
      <c r="H3275" s="25" t="n">
        <v>5</v>
      </c>
      <c r="I3275" s="25" t="inlineStr">
        <is>
          <t>2 minute(s) and 32 second(s)</t>
        </is>
      </c>
      <c r="J3275" s="25">
        <f>IFERROR(VALUE(TRIM(LEFT(I3275,FIND("minute",I3275)-1)))*60,0)+IFERROR(VALUE(SUBSTITUTE(MID(I3275,IFERROR(FIND("and",I3275)+3,1),20),"second(s)","")),0)</f>
        <v/>
      </c>
      <c r="K3275" s="41">
        <f>J3275/60</f>
        <v/>
      </c>
      <c r="L3275" s="41">
        <f>IFERROR(J3275/H3275,"")</f>
        <v/>
      </c>
      <c r="M3275" s="25" t="inlineStr">
        <is>
          <t>2.5.12</t>
        </is>
      </c>
      <c r="N3275" s="25">
        <f>IF(J3275&gt;300,1,0)</f>
        <v/>
      </c>
      <c r="O3275" s="25">
        <f>IF(J3275&gt;600,1,0)</f>
        <v/>
      </c>
      <c r="P3275" s="25">
        <f>IF(H3275&gt;0,J3275,"")</f>
        <v/>
      </c>
      <c r="Q3275" s="25">
        <f>TEXT(A3275,"YYYY-MM-DD HH")</f>
        <v/>
      </c>
      <c r="R3275" s="25">
        <f>COUNTIF($Q$2:$Q$5295,Q3275)</f>
        <v/>
      </c>
      <c r="S3275" s="25">
        <f>IF(R3275&lt;=2,"1-2",IF(R3275&lt;=5,"3-5",IF(R3275&lt;=10,"6-10","11+")))</f>
        <v/>
      </c>
    </row>
    <row r="3276">
      <c r="A3276" s="39" t="n">
        <v>46202.15484953704</v>
      </c>
      <c r="B3276" s="25">
        <f>TEXT(A3276,"YYYY-MM")</f>
        <v/>
      </c>
      <c r="C3276" s="25">
        <f>TEXT(A3276,"MMM-YYYY")</f>
        <v/>
      </c>
      <c r="D3276" s="40">
        <f>INT(A3276)-WEEKDAY(A3276,2)+1</f>
        <v/>
      </c>
      <c r="E3276" s="25" t="inlineStr">
        <is>
          <t>sdey</t>
        </is>
      </c>
      <c r="F3276" s="25" t="n">
        <v>125698</v>
      </c>
      <c r="G3276" s="25" t="n">
        <v>3</v>
      </c>
      <c r="H3276" s="25" t="n">
        <v>11</v>
      </c>
      <c r="I3276" s="25" t="inlineStr">
        <is>
          <t>4 minute(s) and 33 second(s)</t>
        </is>
      </c>
      <c r="J3276" s="25">
        <f>IFERROR(VALUE(TRIM(LEFT(I3276,FIND("minute",I3276)-1)))*60,0)+IFERROR(VALUE(SUBSTITUTE(MID(I3276,IFERROR(FIND("and",I3276)+3,1),20),"second(s)","")),0)</f>
        <v/>
      </c>
      <c r="K3276" s="41">
        <f>J3276/60</f>
        <v/>
      </c>
      <c r="L3276" s="41">
        <f>IFERROR(J3276/H3276,"")</f>
        <v/>
      </c>
      <c r="M3276" s="25" t="inlineStr">
        <is>
          <t>2.5.12</t>
        </is>
      </c>
      <c r="N3276" s="25">
        <f>IF(J3276&gt;300,1,0)</f>
        <v/>
      </c>
      <c r="O3276" s="25">
        <f>IF(J3276&gt;600,1,0)</f>
        <v/>
      </c>
      <c r="P3276" s="25">
        <f>IF(H3276&gt;0,J3276,"")</f>
        <v/>
      </c>
      <c r="Q3276" s="25">
        <f>TEXT(A3276,"YYYY-MM-DD HH")</f>
        <v/>
      </c>
      <c r="R3276" s="25">
        <f>COUNTIF($Q$2:$Q$5295,Q3276)</f>
        <v/>
      </c>
      <c r="S3276" s="25">
        <f>IF(R3276&lt;=2,"1-2",IF(R3276&lt;=5,"3-5",IF(R3276&lt;=10,"6-10","11+")))</f>
        <v/>
      </c>
    </row>
    <row r="3277">
      <c r="A3277" s="39" t="n">
        <v>46202.15938657407</v>
      </c>
      <c r="B3277" s="25">
        <f>TEXT(A3277,"YYYY-MM")</f>
        <v/>
      </c>
      <c r="C3277" s="25">
        <f>TEXT(A3277,"MMM-YYYY")</f>
        <v/>
      </c>
      <c r="D3277" s="40">
        <f>INT(A3277)-WEEKDAY(A3277,2)+1</f>
        <v/>
      </c>
      <c r="E3277" s="25" t="inlineStr">
        <is>
          <t>sswati</t>
        </is>
      </c>
      <c r="F3277" s="25" t="n">
        <v>123268</v>
      </c>
      <c r="G3277" s="25" t="n">
        <v>2</v>
      </c>
      <c r="H3277" s="25" t="n">
        <v>8</v>
      </c>
      <c r="I3277" s="25" t="inlineStr">
        <is>
          <t>2 minute(s) and 12 second(s)</t>
        </is>
      </c>
      <c r="J3277" s="25">
        <f>IFERROR(VALUE(TRIM(LEFT(I3277,FIND("minute",I3277)-1)))*60,0)+IFERROR(VALUE(SUBSTITUTE(MID(I3277,IFERROR(FIND("and",I3277)+3,1),20),"second(s)","")),0)</f>
        <v/>
      </c>
      <c r="K3277" s="41">
        <f>J3277/60</f>
        <v/>
      </c>
      <c r="L3277" s="41">
        <f>IFERROR(J3277/H3277,"")</f>
        <v/>
      </c>
      <c r="M3277" s="25" t="inlineStr">
        <is>
          <t>2.5.12</t>
        </is>
      </c>
      <c r="N3277" s="25">
        <f>IF(J3277&gt;300,1,0)</f>
        <v/>
      </c>
      <c r="O3277" s="25">
        <f>IF(J3277&gt;600,1,0)</f>
        <v/>
      </c>
      <c r="P3277" s="25">
        <f>IF(H3277&gt;0,J3277,"")</f>
        <v/>
      </c>
      <c r="Q3277" s="25">
        <f>TEXT(A3277,"YYYY-MM-DD HH")</f>
        <v/>
      </c>
      <c r="R3277" s="25">
        <f>COUNTIF($Q$2:$Q$5295,Q3277)</f>
        <v/>
      </c>
      <c r="S3277" s="25">
        <f>IF(R3277&lt;=2,"1-2",IF(R3277&lt;=5,"3-5",IF(R3277&lt;=10,"6-10","11+")))</f>
        <v/>
      </c>
    </row>
    <row r="3278">
      <c r="A3278" s="39" t="n">
        <v>46202.16186342593</v>
      </c>
      <c r="B3278" s="25">
        <f>TEXT(A3278,"YYYY-MM")</f>
        <v/>
      </c>
      <c r="C3278" s="25">
        <f>TEXT(A3278,"MMM-YYYY")</f>
        <v/>
      </c>
      <c r="D3278" s="40">
        <f>INT(A3278)-WEEKDAY(A3278,2)+1</f>
        <v/>
      </c>
      <c r="E3278" s="25" t="inlineStr">
        <is>
          <t>tkarmakar</t>
        </is>
      </c>
      <c r="F3278" s="25" t="n">
        <v>123855</v>
      </c>
      <c r="G3278" s="25" t="n">
        <v>1</v>
      </c>
      <c r="H3278" s="25" t="n">
        <v>5</v>
      </c>
      <c r="I3278" s="25" t="inlineStr">
        <is>
          <t>2 minute(s) and 24 second(s)</t>
        </is>
      </c>
      <c r="J3278" s="25">
        <f>IFERROR(VALUE(TRIM(LEFT(I3278,FIND("minute",I3278)-1)))*60,0)+IFERROR(VALUE(SUBSTITUTE(MID(I3278,IFERROR(FIND("and",I3278)+3,1),20),"second(s)","")),0)</f>
        <v/>
      </c>
      <c r="K3278" s="41">
        <f>J3278/60</f>
        <v/>
      </c>
      <c r="L3278" s="41">
        <f>IFERROR(J3278/H3278,"")</f>
        <v/>
      </c>
      <c r="M3278" s="25" t="inlineStr">
        <is>
          <t>2.5.12</t>
        </is>
      </c>
      <c r="N3278" s="25">
        <f>IF(J3278&gt;300,1,0)</f>
        <v/>
      </c>
      <c r="O3278" s="25">
        <f>IF(J3278&gt;600,1,0)</f>
        <v/>
      </c>
      <c r="P3278" s="25">
        <f>IF(H3278&gt;0,J3278,"")</f>
        <v/>
      </c>
      <c r="Q3278" s="25">
        <f>TEXT(A3278,"YYYY-MM-DD HH")</f>
        <v/>
      </c>
      <c r="R3278" s="25">
        <f>COUNTIF($Q$2:$Q$5295,Q3278)</f>
        <v/>
      </c>
      <c r="S3278" s="25">
        <f>IF(R3278&lt;=2,"1-2",IF(R3278&lt;=5,"3-5",IF(R3278&lt;=10,"6-10","11+")))</f>
        <v/>
      </c>
    </row>
    <row r="3279">
      <c r="A3279" s="39" t="n">
        <v>46202.16548611111</v>
      </c>
      <c r="B3279" s="25">
        <f>TEXT(A3279,"YYYY-MM")</f>
        <v/>
      </c>
      <c r="C3279" s="25">
        <f>TEXT(A3279,"MMM-YYYY")</f>
        <v/>
      </c>
      <c r="D3279" s="40">
        <f>INT(A3279)-WEEKDAY(A3279,2)+1</f>
        <v/>
      </c>
      <c r="E3279" s="25" t="inlineStr">
        <is>
          <t>sthomas</t>
        </is>
      </c>
      <c r="F3279" s="25" t="n">
        <v>126009</v>
      </c>
      <c r="G3279" s="25" t="n">
        <v>2</v>
      </c>
      <c r="H3279" s="25" t="n">
        <v>10</v>
      </c>
      <c r="I3279" s="25" t="inlineStr">
        <is>
          <t>4 minute(s) and 18 second(s)</t>
        </is>
      </c>
      <c r="J3279" s="25">
        <f>IFERROR(VALUE(TRIM(LEFT(I3279,FIND("minute",I3279)-1)))*60,0)+IFERROR(VALUE(SUBSTITUTE(MID(I3279,IFERROR(FIND("and",I3279)+3,1),20),"second(s)","")),0)</f>
        <v/>
      </c>
      <c r="K3279" s="41">
        <f>J3279/60</f>
        <v/>
      </c>
      <c r="L3279" s="41">
        <f>IFERROR(J3279/H3279,"")</f>
        <v/>
      </c>
      <c r="M3279" s="25" t="inlineStr">
        <is>
          <t>2.5.12</t>
        </is>
      </c>
      <c r="N3279" s="25">
        <f>IF(J3279&gt;300,1,0)</f>
        <v/>
      </c>
      <c r="O3279" s="25">
        <f>IF(J3279&gt;600,1,0)</f>
        <v/>
      </c>
      <c r="P3279" s="25">
        <f>IF(H3279&gt;0,J3279,"")</f>
        <v/>
      </c>
      <c r="Q3279" s="25">
        <f>TEXT(A3279,"YYYY-MM-DD HH")</f>
        <v/>
      </c>
      <c r="R3279" s="25">
        <f>COUNTIF($Q$2:$Q$5295,Q3279)</f>
        <v/>
      </c>
      <c r="S3279" s="25">
        <f>IF(R3279&lt;=2,"1-2",IF(R3279&lt;=5,"3-5",IF(R3279&lt;=10,"6-10","11+")))</f>
        <v/>
      </c>
    </row>
    <row r="3280">
      <c r="A3280" s="39" t="n">
        <v>46202.16701388889</v>
      </c>
      <c r="B3280" s="25">
        <f>TEXT(A3280,"YYYY-MM")</f>
        <v/>
      </c>
      <c r="C3280" s="25">
        <f>TEXT(A3280,"MMM-YYYY")</f>
        <v/>
      </c>
      <c r="D3280" s="40">
        <f>INT(A3280)-WEEKDAY(A3280,2)+1</f>
        <v/>
      </c>
      <c r="E3280" s="25" t="inlineStr">
        <is>
          <t>bverma</t>
        </is>
      </c>
      <c r="F3280" s="25" t="n">
        <v>126499</v>
      </c>
      <c r="G3280" s="25" t="n">
        <v>1</v>
      </c>
      <c r="H3280" s="25" t="n">
        <v>5</v>
      </c>
      <c r="I3280" s="25" t="inlineStr">
        <is>
          <t>51 second(s)</t>
        </is>
      </c>
      <c r="J3280" s="25">
        <f>IFERROR(VALUE(TRIM(LEFT(I3280,FIND("minute",I3280)-1)))*60,0)+IFERROR(VALUE(SUBSTITUTE(MID(I3280,IFERROR(FIND("and",I3280)+3,1),20),"second(s)","")),0)</f>
        <v/>
      </c>
      <c r="K3280" s="41">
        <f>J3280/60</f>
        <v/>
      </c>
      <c r="L3280" s="41">
        <f>IFERROR(J3280/H3280,"")</f>
        <v/>
      </c>
      <c r="M3280" s="25" t="inlineStr">
        <is>
          <t>2.5.12</t>
        </is>
      </c>
      <c r="N3280" s="25">
        <f>IF(J3280&gt;300,1,0)</f>
        <v/>
      </c>
      <c r="O3280" s="25">
        <f>IF(J3280&gt;600,1,0)</f>
        <v/>
      </c>
      <c r="P3280" s="25">
        <f>IF(H3280&gt;0,J3280,"")</f>
        <v/>
      </c>
      <c r="Q3280" s="25">
        <f>TEXT(A3280,"YYYY-MM-DD HH")</f>
        <v/>
      </c>
      <c r="R3280" s="25">
        <f>COUNTIF($Q$2:$Q$5295,Q3280)</f>
        <v/>
      </c>
      <c r="S3280" s="25">
        <f>IF(R3280&lt;=2,"1-2",IF(R3280&lt;=5,"3-5",IF(R3280&lt;=10,"6-10","11+")))</f>
        <v/>
      </c>
    </row>
    <row r="3281">
      <c r="A3281" s="39" t="n">
        <v>46202.16988425926</v>
      </c>
      <c r="B3281" s="25">
        <f>TEXT(A3281,"YYYY-MM")</f>
        <v/>
      </c>
      <c r="C3281" s="25">
        <f>TEXT(A3281,"MMM-YYYY")</f>
        <v/>
      </c>
      <c r="D3281" s="40">
        <f>INT(A3281)-WEEKDAY(A3281,2)+1</f>
        <v/>
      </c>
      <c r="E3281" s="25" t="inlineStr">
        <is>
          <t>mgupta</t>
        </is>
      </c>
      <c r="F3281" s="25" t="n">
        <v>124251</v>
      </c>
      <c r="G3281" s="25" t="n">
        <v>2</v>
      </c>
      <c r="H3281" s="25" t="n">
        <v>6</v>
      </c>
      <c r="I3281" s="25" t="inlineStr">
        <is>
          <t>1 minute(s) and 52 second(s)</t>
        </is>
      </c>
      <c r="J3281" s="25">
        <f>IFERROR(VALUE(TRIM(LEFT(I3281,FIND("minute",I3281)-1)))*60,0)+IFERROR(VALUE(SUBSTITUTE(MID(I3281,IFERROR(FIND("and",I3281)+3,1),20),"second(s)","")),0)</f>
        <v/>
      </c>
      <c r="K3281" s="41">
        <f>J3281/60</f>
        <v/>
      </c>
      <c r="L3281" s="41">
        <f>IFERROR(J3281/H3281,"")</f>
        <v/>
      </c>
      <c r="M3281" s="25" t="inlineStr">
        <is>
          <t>2.5.12</t>
        </is>
      </c>
      <c r="N3281" s="25">
        <f>IF(J3281&gt;300,1,0)</f>
        <v/>
      </c>
      <c r="O3281" s="25">
        <f>IF(J3281&gt;600,1,0)</f>
        <v/>
      </c>
      <c r="P3281" s="25">
        <f>IF(H3281&gt;0,J3281,"")</f>
        <v/>
      </c>
      <c r="Q3281" s="25">
        <f>TEXT(A3281,"YYYY-MM-DD HH")</f>
        <v/>
      </c>
      <c r="R3281" s="25">
        <f>COUNTIF($Q$2:$Q$5295,Q3281)</f>
        <v/>
      </c>
      <c r="S3281" s="25">
        <f>IF(R3281&lt;=2,"1-2",IF(R3281&lt;=5,"3-5",IF(R3281&lt;=10,"6-10","11+")))</f>
        <v/>
      </c>
    </row>
    <row r="3282">
      <c r="A3282" s="39" t="n">
        <v>46202.17166666667</v>
      </c>
      <c r="B3282" s="25">
        <f>TEXT(A3282,"YYYY-MM")</f>
        <v/>
      </c>
      <c r="C3282" s="25">
        <f>TEXT(A3282,"MMM-YYYY")</f>
        <v/>
      </c>
      <c r="D3282" s="40">
        <f>INT(A3282)-WEEKDAY(A3282,2)+1</f>
        <v/>
      </c>
      <c r="E3282" s="25" t="inlineStr">
        <is>
          <t>pgautam</t>
        </is>
      </c>
      <c r="F3282" s="25" t="n">
        <v>125257</v>
      </c>
      <c r="G3282" s="25" t="n">
        <v>3</v>
      </c>
      <c r="H3282" s="25" t="n">
        <v>9</v>
      </c>
      <c r="I3282" s="25" t="inlineStr">
        <is>
          <t>2 minute(s) and 2 second(s)</t>
        </is>
      </c>
      <c r="J3282" s="25">
        <f>IFERROR(VALUE(TRIM(LEFT(I3282,FIND("minute",I3282)-1)))*60,0)+IFERROR(VALUE(SUBSTITUTE(MID(I3282,IFERROR(FIND("and",I3282)+3,1),20),"second(s)","")),0)</f>
        <v/>
      </c>
      <c r="K3282" s="41">
        <f>J3282/60</f>
        <v/>
      </c>
      <c r="L3282" s="41">
        <f>IFERROR(J3282/H3282,"")</f>
        <v/>
      </c>
      <c r="M3282" s="25" t="inlineStr">
        <is>
          <t>2.5.12</t>
        </is>
      </c>
      <c r="N3282" s="25">
        <f>IF(J3282&gt;300,1,0)</f>
        <v/>
      </c>
      <c r="O3282" s="25">
        <f>IF(J3282&gt;600,1,0)</f>
        <v/>
      </c>
      <c r="P3282" s="25">
        <f>IF(H3282&gt;0,J3282,"")</f>
        <v/>
      </c>
      <c r="Q3282" s="25">
        <f>TEXT(A3282,"YYYY-MM-DD HH")</f>
        <v/>
      </c>
      <c r="R3282" s="25">
        <f>COUNTIF($Q$2:$Q$5295,Q3282)</f>
        <v/>
      </c>
      <c r="S3282" s="25">
        <f>IF(R3282&lt;=2,"1-2",IF(R3282&lt;=5,"3-5",IF(R3282&lt;=10,"6-10","11+")))</f>
        <v/>
      </c>
    </row>
    <row r="3283">
      <c r="A3283" s="39" t="n">
        <v>46202.17416666666</v>
      </c>
      <c r="B3283" s="25">
        <f>TEXT(A3283,"YYYY-MM")</f>
        <v/>
      </c>
      <c r="C3283" s="25">
        <f>TEXT(A3283,"MMM-YYYY")</f>
        <v/>
      </c>
      <c r="D3283" s="40">
        <f>INT(A3283)-WEEKDAY(A3283,2)+1</f>
        <v/>
      </c>
      <c r="E3283" s="25" t="inlineStr">
        <is>
          <t>hsindwani</t>
        </is>
      </c>
      <c r="F3283" s="25" t="n">
        <v>125713</v>
      </c>
      <c r="G3283" s="25" t="n">
        <v>1</v>
      </c>
      <c r="H3283" s="25" t="n">
        <v>5</v>
      </c>
      <c r="I3283" s="25" t="inlineStr">
        <is>
          <t>3 minute(s) and 4 second(s)</t>
        </is>
      </c>
      <c r="J3283" s="25">
        <f>IFERROR(VALUE(TRIM(LEFT(I3283,FIND("minute",I3283)-1)))*60,0)+IFERROR(VALUE(SUBSTITUTE(MID(I3283,IFERROR(FIND("and",I3283)+3,1),20),"second(s)","")),0)</f>
        <v/>
      </c>
      <c r="K3283" s="41">
        <f>J3283/60</f>
        <v/>
      </c>
      <c r="L3283" s="41">
        <f>IFERROR(J3283/H3283,"")</f>
        <v/>
      </c>
      <c r="M3283" s="25" t="inlineStr">
        <is>
          <t>2.5.12</t>
        </is>
      </c>
      <c r="N3283" s="25">
        <f>IF(J3283&gt;300,1,0)</f>
        <v/>
      </c>
      <c r="O3283" s="25">
        <f>IF(J3283&gt;600,1,0)</f>
        <v/>
      </c>
      <c r="P3283" s="25">
        <f>IF(H3283&gt;0,J3283,"")</f>
        <v/>
      </c>
      <c r="Q3283" s="25">
        <f>TEXT(A3283,"YYYY-MM-DD HH")</f>
        <v/>
      </c>
      <c r="R3283" s="25">
        <f>COUNTIF($Q$2:$Q$5295,Q3283)</f>
        <v/>
      </c>
      <c r="S3283" s="25">
        <f>IF(R3283&lt;=2,"1-2",IF(R3283&lt;=5,"3-5",IF(R3283&lt;=10,"6-10","11+")))</f>
        <v/>
      </c>
    </row>
    <row r="3284">
      <c r="A3284" s="39" t="n">
        <v>46202.17675925926</v>
      </c>
      <c r="B3284" s="25">
        <f>TEXT(A3284,"YYYY-MM")</f>
        <v/>
      </c>
      <c r="C3284" s="25">
        <f>TEXT(A3284,"MMM-YYYY")</f>
        <v/>
      </c>
      <c r="D3284" s="40">
        <f>INT(A3284)-WEEKDAY(A3284,2)+1</f>
        <v/>
      </c>
      <c r="E3284" s="25" t="inlineStr">
        <is>
          <t>psathwika</t>
        </is>
      </c>
      <c r="F3284" s="25" t="n">
        <v>123366</v>
      </c>
      <c r="G3284" s="25" t="n">
        <v>1</v>
      </c>
      <c r="H3284" s="25" t="n">
        <v>5</v>
      </c>
      <c r="I3284" s="25" t="inlineStr">
        <is>
          <t>2 minute(s) and 31 second(s)</t>
        </is>
      </c>
      <c r="J3284" s="25">
        <f>IFERROR(VALUE(TRIM(LEFT(I3284,FIND("minute",I3284)-1)))*60,0)+IFERROR(VALUE(SUBSTITUTE(MID(I3284,IFERROR(FIND("and",I3284)+3,1),20),"second(s)","")),0)</f>
        <v/>
      </c>
      <c r="K3284" s="41">
        <f>J3284/60</f>
        <v/>
      </c>
      <c r="L3284" s="41">
        <f>IFERROR(J3284/H3284,"")</f>
        <v/>
      </c>
      <c r="M3284" s="25" t="inlineStr">
        <is>
          <t>2.5.12</t>
        </is>
      </c>
      <c r="N3284" s="25">
        <f>IF(J3284&gt;300,1,0)</f>
        <v/>
      </c>
      <c r="O3284" s="25">
        <f>IF(J3284&gt;600,1,0)</f>
        <v/>
      </c>
      <c r="P3284" s="25">
        <f>IF(H3284&gt;0,J3284,"")</f>
        <v/>
      </c>
      <c r="Q3284" s="25">
        <f>TEXT(A3284,"YYYY-MM-DD HH")</f>
        <v/>
      </c>
      <c r="R3284" s="25">
        <f>COUNTIF($Q$2:$Q$5295,Q3284)</f>
        <v/>
      </c>
      <c r="S3284" s="25">
        <f>IF(R3284&lt;=2,"1-2",IF(R3284&lt;=5,"3-5",IF(R3284&lt;=10,"6-10","11+")))</f>
        <v/>
      </c>
    </row>
    <row r="3285">
      <c r="A3285" s="39" t="n">
        <v>46202.18046296296</v>
      </c>
      <c r="B3285" s="25">
        <f>TEXT(A3285,"YYYY-MM")</f>
        <v/>
      </c>
      <c r="C3285" s="25">
        <f>TEXT(A3285,"MMM-YYYY")</f>
        <v/>
      </c>
      <c r="D3285" s="40">
        <f>INT(A3285)-WEEKDAY(A3285,2)+1</f>
        <v/>
      </c>
      <c r="E3285" s="25" t="inlineStr">
        <is>
          <t>ethomas</t>
        </is>
      </c>
      <c r="F3285" s="25" t="n">
        <v>17895</v>
      </c>
      <c r="G3285" s="25" t="n">
        <v>1</v>
      </c>
      <c r="H3285" s="25" t="n">
        <v>5</v>
      </c>
      <c r="I3285" s="25" t="inlineStr">
        <is>
          <t>3 minute(s) and 2 second(s)</t>
        </is>
      </c>
      <c r="J3285" s="25">
        <f>IFERROR(VALUE(TRIM(LEFT(I3285,FIND("minute",I3285)-1)))*60,0)+IFERROR(VALUE(SUBSTITUTE(MID(I3285,IFERROR(FIND("and",I3285)+3,1),20),"second(s)","")),0)</f>
        <v/>
      </c>
      <c r="K3285" s="41">
        <f>J3285/60</f>
        <v/>
      </c>
      <c r="L3285" s="41">
        <f>IFERROR(J3285/H3285,"")</f>
        <v/>
      </c>
      <c r="M3285" s="25" t="inlineStr">
        <is>
          <t>2.5.12</t>
        </is>
      </c>
      <c r="N3285" s="25">
        <f>IF(J3285&gt;300,1,0)</f>
        <v/>
      </c>
      <c r="O3285" s="25">
        <f>IF(J3285&gt;600,1,0)</f>
        <v/>
      </c>
      <c r="P3285" s="25">
        <f>IF(H3285&gt;0,J3285,"")</f>
        <v/>
      </c>
      <c r="Q3285" s="25">
        <f>TEXT(A3285,"YYYY-MM-DD HH")</f>
        <v/>
      </c>
      <c r="R3285" s="25">
        <f>COUNTIF($Q$2:$Q$5295,Q3285)</f>
        <v/>
      </c>
      <c r="S3285" s="25">
        <f>IF(R3285&lt;=2,"1-2",IF(R3285&lt;=5,"3-5",IF(R3285&lt;=10,"6-10","11+")))</f>
        <v/>
      </c>
    </row>
    <row r="3286">
      <c r="A3286" s="39" t="n">
        <v>46202.19296296296</v>
      </c>
      <c r="B3286" s="25">
        <f>TEXT(A3286,"YYYY-MM")</f>
        <v/>
      </c>
      <c r="C3286" s="25">
        <f>TEXT(A3286,"MMM-YYYY")</f>
        <v/>
      </c>
      <c r="D3286" s="40">
        <f>INT(A3286)-WEEKDAY(A3286,2)+1</f>
        <v/>
      </c>
      <c r="E3286" s="25" t="inlineStr">
        <is>
          <t>apriyadarshi</t>
        </is>
      </c>
      <c r="F3286" s="25" t="n">
        <v>125135</v>
      </c>
      <c r="G3286" s="25" t="n">
        <v>1</v>
      </c>
      <c r="H3286" s="25" t="n">
        <v>5</v>
      </c>
      <c r="I3286" s="25" t="inlineStr">
        <is>
          <t>1 minute(s) and 0 second(s)</t>
        </is>
      </c>
      <c r="J3286" s="25">
        <f>IFERROR(VALUE(TRIM(LEFT(I3286,FIND("minute",I3286)-1)))*60,0)+IFERROR(VALUE(SUBSTITUTE(MID(I3286,IFERROR(FIND("and",I3286)+3,1),20),"second(s)","")),0)</f>
        <v/>
      </c>
      <c r="K3286" s="41">
        <f>J3286/60</f>
        <v/>
      </c>
      <c r="L3286" s="41">
        <f>IFERROR(J3286/H3286,"")</f>
        <v/>
      </c>
      <c r="M3286" s="25" t="inlineStr">
        <is>
          <t>2.5.12</t>
        </is>
      </c>
      <c r="N3286" s="25">
        <f>IF(J3286&gt;300,1,0)</f>
        <v/>
      </c>
      <c r="O3286" s="25">
        <f>IF(J3286&gt;600,1,0)</f>
        <v/>
      </c>
      <c r="P3286" s="25">
        <f>IF(H3286&gt;0,J3286,"")</f>
        <v/>
      </c>
      <c r="Q3286" s="25">
        <f>TEXT(A3286,"YYYY-MM-DD HH")</f>
        <v/>
      </c>
      <c r="R3286" s="25">
        <f>COUNTIF($Q$2:$Q$5295,Q3286)</f>
        <v/>
      </c>
      <c r="S3286" s="25">
        <f>IF(R3286&lt;=2,"1-2",IF(R3286&lt;=5,"3-5",IF(R3286&lt;=10,"6-10","11+")))</f>
        <v/>
      </c>
    </row>
    <row r="3287">
      <c r="A3287" s="39" t="n">
        <v>46202.2065162037</v>
      </c>
      <c r="B3287" s="25">
        <f>TEXT(A3287,"YYYY-MM")</f>
        <v/>
      </c>
      <c r="C3287" s="25">
        <f>TEXT(A3287,"MMM-YYYY")</f>
        <v/>
      </c>
      <c r="D3287" s="40">
        <f>INT(A3287)-WEEKDAY(A3287,2)+1</f>
        <v/>
      </c>
      <c r="E3287" s="25" t="inlineStr">
        <is>
          <t>anusharma</t>
        </is>
      </c>
      <c r="F3287" s="25" t="n">
        <v>112749</v>
      </c>
      <c r="G3287" s="25" t="n">
        <v>1</v>
      </c>
      <c r="H3287" s="25" t="n">
        <v>5</v>
      </c>
      <c r="I3287" s="25" t="inlineStr">
        <is>
          <t>58 second(s)</t>
        </is>
      </c>
      <c r="J3287" s="25">
        <f>IFERROR(VALUE(TRIM(LEFT(I3287,FIND("minute",I3287)-1)))*60,0)+IFERROR(VALUE(SUBSTITUTE(MID(I3287,IFERROR(FIND("and",I3287)+3,1),20),"second(s)","")),0)</f>
        <v/>
      </c>
      <c r="K3287" s="41">
        <f>J3287/60</f>
        <v/>
      </c>
      <c r="L3287" s="41">
        <f>IFERROR(J3287/H3287,"")</f>
        <v/>
      </c>
      <c r="M3287" s="25" t="inlineStr">
        <is>
          <t>2.5.12</t>
        </is>
      </c>
      <c r="N3287" s="25">
        <f>IF(J3287&gt;300,1,0)</f>
        <v/>
      </c>
      <c r="O3287" s="25">
        <f>IF(J3287&gt;600,1,0)</f>
        <v/>
      </c>
      <c r="P3287" s="25">
        <f>IF(H3287&gt;0,J3287,"")</f>
        <v/>
      </c>
      <c r="Q3287" s="25">
        <f>TEXT(A3287,"YYYY-MM-DD HH")</f>
        <v/>
      </c>
      <c r="R3287" s="25">
        <f>COUNTIF($Q$2:$Q$5295,Q3287)</f>
        <v/>
      </c>
      <c r="S3287" s="25">
        <f>IF(R3287&lt;=2,"1-2",IF(R3287&lt;=5,"3-5",IF(R3287&lt;=10,"6-10","11+")))</f>
        <v/>
      </c>
    </row>
    <row r="3288">
      <c r="A3288" s="39" t="n">
        <v>46202.20767361111</v>
      </c>
      <c r="B3288" s="25">
        <f>TEXT(A3288,"YYYY-MM")</f>
        <v/>
      </c>
      <c r="C3288" s="25">
        <f>TEXT(A3288,"MMM-YYYY")</f>
        <v/>
      </c>
      <c r="D3288" s="40">
        <f>INT(A3288)-WEEKDAY(A3288,2)+1</f>
        <v/>
      </c>
      <c r="E3288" s="25" t="inlineStr">
        <is>
          <t>shassan</t>
        </is>
      </c>
      <c r="F3288" s="25" t="n">
        <v>122129</v>
      </c>
      <c r="G3288" s="25" t="n">
        <v>4</v>
      </c>
      <c r="H3288" s="25" t="n">
        <v>22</v>
      </c>
      <c r="I3288" s="25" t="inlineStr">
        <is>
          <t>7 minute(s) and 28 second(s)</t>
        </is>
      </c>
      <c r="J3288" s="25">
        <f>IFERROR(VALUE(TRIM(LEFT(I3288,FIND("minute",I3288)-1)))*60,0)+IFERROR(VALUE(SUBSTITUTE(MID(I3288,IFERROR(FIND("and",I3288)+3,1),20),"second(s)","")),0)</f>
        <v/>
      </c>
      <c r="K3288" s="41">
        <f>J3288/60</f>
        <v/>
      </c>
      <c r="L3288" s="41">
        <f>IFERROR(J3288/H3288,"")</f>
        <v/>
      </c>
      <c r="M3288" s="25" t="inlineStr">
        <is>
          <t>2.5.12</t>
        </is>
      </c>
      <c r="N3288" s="25">
        <f>IF(J3288&gt;300,1,0)</f>
        <v/>
      </c>
      <c r="O3288" s="25">
        <f>IF(J3288&gt;600,1,0)</f>
        <v/>
      </c>
      <c r="P3288" s="25">
        <f>IF(H3288&gt;0,J3288,"")</f>
        <v/>
      </c>
      <c r="Q3288" s="25">
        <f>TEXT(A3288,"YYYY-MM-DD HH")</f>
        <v/>
      </c>
      <c r="R3288" s="25">
        <f>COUNTIF($Q$2:$Q$5295,Q3288)</f>
        <v/>
      </c>
      <c r="S3288" s="25">
        <f>IF(R3288&lt;=2,"1-2",IF(R3288&lt;=5,"3-5",IF(R3288&lt;=10,"6-10","11+")))</f>
        <v/>
      </c>
    </row>
    <row r="3289">
      <c r="A3289" s="39" t="n">
        <v>46202.23915509259</v>
      </c>
      <c r="B3289" s="25">
        <f>TEXT(A3289,"YYYY-MM")</f>
        <v/>
      </c>
      <c r="C3289" s="25">
        <f>TEXT(A3289,"MMM-YYYY")</f>
        <v/>
      </c>
      <c r="D3289" s="40">
        <f>INT(A3289)-WEEKDAY(A3289,2)+1</f>
        <v/>
      </c>
      <c r="E3289" s="25" t="inlineStr">
        <is>
          <t>psathwika</t>
        </is>
      </c>
      <c r="F3289" s="25" t="n">
        <v>125623</v>
      </c>
      <c r="G3289" s="25" t="n">
        <v>1</v>
      </c>
      <c r="H3289" s="25" t="n">
        <v>5</v>
      </c>
      <c r="I3289" s="25" t="inlineStr">
        <is>
          <t>2 minute(s) and 24 second(s)</t>
        </is>
      </c>
      <c r="J3289" s="25">
        <f>IFERROR(VALUE(TRIM(LEFT(I3289,FIND("minute",I3289)-1)))*60,0)+IFERROR(VALUE(SUBSTITUTE(MID(I3289,IFERROR(FIND("and",I3289)+3,1),20),"second(s)","")),0)</f>
        <v/>
      </c>
      <c r="K3289" s="41">
        <f>J3289/60</f>
        <v/>
      </c>
      <c r="L3289" s="41">
        <f>IFERROR(J3289/H3289,"")</f>
        <v/>
      </c>
      <c r="M3289" s="25" t="inlineStr">
        <is>
          <t>2.5.12</t>
        </is>
      </c>
      <c r="N3289" s="25">
        <f>IF(J3289&gt;300,1,0)</f>
        <v/>
      </c>
      <c r="O3289" s="25">
        <f>IF(J3289&gt;600,1,0)</f>
        <v/>
      </c>
      <c r="P3289" s="25">
        <f>IF(H3289&gt;0,J3289,"")</f>
        <v/>
      </c>
      <c r="Q3289" s="25">
        <f>TEXT(A3289,"YYYY-MM-DD HH")</f>
        <v/>
      </c>
      <c r="R3289" s="25">
        <f>COUNTIF($Q$2:$Q$5295,Q3289)</f>
        <v/>
      </c>
      <c r="S3289" s="25">
        <f>IF(R3289&lt;=2,"1-2",IF(R3289&lt;=5,"3-5",IF(R3289&lt;=10,"6-10","11+")))</f>
        <v/>
      </c>
    </row>
    <row r="3290">
      <c r="A3290" s="39" t="n">
        <v>46202.24266203704</v>
      </c>
      <c r="B3290" s="25">
        <f>TEXT(A3290,"YYYY-MM")</f>
        <v/>
      </c>
      <c r="C3290" s="25">
        <f>TEXT(A3290,"MMM-YYYY")</f>
        <v/>
      </c>
      <c r="D3290" s="40">
        <f>INT(A3290)-WEEKDAY(A3290,2)+1</f>
        <v/>
      </c>
      <c r="E3290" s="25" t="inlineStr">
        <is>
          <t>anusharma</t>
        </is>
      </c>
      <c r="F3290" s="25" t="n">
        <v>109115</v>
      </c>
      <c r="G3290" s="25" t="n">
        <v>1</v>
      </c>
      <c r="H3290" s="25" t="n">
        <v>5</v>
      </c>
      <c r="I3290" s="25" t="inlineStr">
        <is>
          <t>2 minute(s) and 12 second(s)</t>
        </is>
      </c>
      <c r="J3290" s="25">
        <f>IFERROR(VALUE(TRIM(LEFT(I3290,FIND("minute",I3290)-1)))*60,0)+IFERROR(VALUE(SUBSTITUTE(MID(I3290,IFERROR(FIND("and",I3290)+3,1),20),"second(s)","")),0)</f>
        <v/>
      </c>
      <c r="K3290" s="41">
        <f>J3290/60</f>
        <v/>
      </c>
      <c r="L3290" s="41">
        <f>IFERROR(J3290/H3290,"")</f>
        <v/>
      </c>
      <c r="M3290" s="25" t="inlineStr">
        <is>
          <t>2.5.12</t>
        </is>
      </c>
      <c r="N3290" s="25">
        <f>IF(J3290&gt;300,1,0)</f>
        <v/>
      </c>
      <c r="O3290" s="25">
        <f>IF(J3290&gt;600,1,0)</f>
        <v/>
      </c>
      <c r="P3290" s="25">
        <f>IF(H3290&gt;0,J3290,"")</f>
        <v/>
      </c>
      <c r="Q3290" s="25">
        <f>TEXT(A3290,"YYYY-MM-DD HH")</f>
        <v/>
      </c>
      <c r="R3290" s="25">
        <f>COUNTIF($Q$2:$Q$5295,Q3290)</f>
        <v/>
      </c>
      <c r="S3290" s="25">
        <f>IF(R3290&lt;=2,"1-2",IF(R3290&lt;=5,"3-5",IF(R3290&lt;=10,"6-10","11+")))</f>
        <v/>
      </c>
    </row>
    <row r="3291">
      <c r="A3291" s="39" t="n">
        <v>46202.24342592592</v>
      </c>
      <c r="B3291" s="25">
        <f>TEXT(A3291,"YYYY-MM")</f>
        <v/>
      </c>
      <c r="C3291" s="25">
        <f>TEXT(A3291,"MMM-YYYY")</f>
        <v/>
      </c>
      <c r="D3291" s="40">
        <f>INT(A3291)-WEEKDAY(A3291,2)+1</f>
        <v/>
      </c>
      <c r="E3291" s="25" t="inlineStr">
        <is>
          <t>tkarmakar</t>
        </is>
      </c>
      <c r="F3291" s="25" t="n">
        <v>124014</v>
      </c>
      <c r="G3291" s="25" t="n">
        <v>1</v>
      </c>
      <c r="H3291" s="25" t="n">
        <v>5</v>
      </c>
      <c r="I3291" s="25" t="inlineStr">
        <is>
          <t>2 minute(s) and 33 second(s)</t>
        </is>
      </c>
      <c r="J3291" s="25">
        <f>IFERROR(VALUE(TRIM(LEFT(I3291,FIND("minute",I3291)-1)))*60,0)+IFERROR(VALUE(SUBSTITUTE(MID(I3291,IFERROR(FIND("and",I3291)+3,1),20),"second(s)","")),0)</f>
        <v/>
      </c>
      <c r="K3291" s="41">
        <f>J3291/60</f>
        <v/>
      </c>
      <c r="L3291" s="41">
        <f>IFERROR(J3291/H3291,"")</f>
        <v/>
      </c>
      <c r="M3291" s="25" t="inlineStr">
        <is>
          <t>2.5.12</t>
        </is>
      </c>
      <c r="N3291" s="25">
        <f>IF(J3291&gt;300,1,0)</f>
        <v/>
      </c>
      <c r="O3291" s="25">
        <f>IF(J3291&gt;600,1,0)</f>
        <v/>
      </c>
      <c r="P3291" s="25">
        <f>IF(H3291&gt;0,J3291,"")</f>
        <v/>
      </c>
      <c r="Q3291" s="25">
        <f>TEXT(A3291,"YYYY-MM-DD HH")</f>
        <v/>
      </c>
      <c r="R3291" s="25">
        <f>COUNTIF($Q$2:$Q$5295,Q3291)</f>
        <v/>
      </c>
      <c r="S3291" s="25">
        <f>IF(R3291&lt;=2,"1-2",IF(R3291&lt;=5,"3-5",IF(R3291&lt;=10,"6-10","11+")))</f>
        <v/>
      </c>
    </row>
    <row r="3292">
      <c r="A3292" s="39" t="n">
        <v>46202.25520833334</v>
      </c>
      <c r="B3292" s="25">
        <f>TEXT(A3292,"YYYY-MM")</f>
        <v/>
      </c>
      <c r="C3292" s="25">
        <f>TEXT(A3292,"MMM-YYYY")</f>
        <v/>
      </c>
      <c r="D3292" s="40">
        <f>INT(A3292)-WEEKDAY(A3292,2)+1</f>
        <v/>
      </c>
      <c r="E3292" s="25" t="inlineStr">
        <is>
          <t>apriyadarshi</t>
        </is>
      </c>
      <c r="F3292" s="25" t="n">
        <v>125186</v>
      </c>
      <c r="G3292" s="25" t="n">
        <v>1</v>
      </c>
      <c r="H3292" s="25" t="n">
        <v>5</v>
      </c>
      <c r="I3292" s="25" t="inlineStr">
        <is>
          <t>1 minute(s) and 23 second(s)</t>
        </is>
      </c>
      <c r="J3292" s="25">
        <f>IFERROR(VALUE(TRIM(LEFT(I3292,FIND("minute",I3292)-1)))*60,0)+IFERROR(VALUE(SUBSTITUTE(MID(I3292,IFERROR(FIND("and",I3292)+3,1),20),"second(s)","")),0)</f>
        <v/>
      </c>
      <c r="K3292" s="41">
        <f>J3292/60</f>
        <v/>
      </c>
      <c r="L3292" s="41">
        <f>IFERROR(J3292/H3292,"")</f>
        <v/>
      </c>
      <c r="M3292" s="25" t="inlineStr">
        <is>
          <t>2.5.12</t>
        </is>
      </c>
      <c r="N3292" s="25">
        <f>IF(J3292&gt;300,1,0)</f>
        <v/>
      </c>
      <c r="O3292" s="25">
        <f>IF(J3292&gt;600,1,0)</f>
        <v/>
      </c>
      <c r="P3292" s="25">
        <f>IF(H3292&gt;0,J3292,"")</f>
        <v/>
      </c>
      <c r="Q3292" s="25">
        <f>TEXT(A3292,"YYYY-MM-DD HH")</f>
        <v/>
      </c>
      <c r="R3292" s="25">
        <f>COUNTIF($Q$2:$Q$5295,Q3292)</f>
        <v/>
      </c>
      <c r="S3292" s="25">
        <f>IF(R3292&lt;=2,"1-2",IF(R3292&lt;=5,"3-5",IF(R3292&lt;=10,"6-10","11+")))</f>
        <v/>
      </c>
    </row>
    <row r="3293">
      <c r="A3293" s="39" t="n">
        <v>46202.2566087963</v>
      </c>
      <c r="B3293" s="25">
        <f>TEXT(A3293,"YYYY-MM")</f>
        <v/>
      </c>
      <c r="C3293" s="25">
        <f>TEXT(A3293,"MMM-YYYY")</f>
        <v/>
      </c>
      <c r="D3293" s="40">
        <f>INT(A3293)-WEEKDAY(A3293,2)+1</f>
        <v/>
      </c>
      <c r="E3293" s="25" t="inlineStr">
        <is>
          <t>stiwari</t>
        </is>
      </c>
      <c r="F3293" s="25" t="n">
        <v>122855</v>
      </c>
      <c r="G3293" s="25" t="n">
        <v>3</v>
      </c>
      <c r="H3293" s="25" t="n">
        <v>21</v>
      </c>
      <c r="I3293" s="25" t="inlineStr">
        <is>
          <t>3 minute(s) and 26 second(s)</t>
        </is>
      </c>
      <c r="J3293" s="25">
        <f>IFERROR(VALUE(TRIM(LEFT(I3293,FIND("minute",I3293)-1)))*60,0)+IFERROR(VALUE(SUBSTITUTE(MID(I3293,IFERROR(FIND("and",I3293)+3,1),20),"second(s)","")),0)</f>
        <v/>
      </c>
      <c r="K3293" s="41">
        <f>J3293/60</f>
        <v/>
      </c>
      <c r="L3293" s="41">
        <f>IFERROR(J3293/H3293,"")</f>
        <v/>
      </c>
      <c r="M3293" s="25" t="inlineStr">
        <is>
          <t>2.5.12</t>
        </is>
      </c>
      <c r="N3293" s="25">
        <f>IF(J3293&gt;300,1,0)</f>
        <v/>
      </c>
      <c r="O3293" s="25">
        <f>IF(J3293&gt;600,1,0)</f>
        <v/>
      </c>
      <c r="P3293" s="25">
        <f>IF(H3293&gt;0,J3293,"")</f>
        <v/>
      </c>
      <c r="Q3293" s="25">
        <f>TEXT(A3293,"YYYY-MM-DD HH")</f>
        <v/>
      </c>
      <c r="R3293" s="25">
        <f>COUNTIF($Q$2:$Q$5295,Q3293)</f>
        <v/>
      </c>
      <c r="S3293" s="25">
        <f>IF(R3293&lt;=2,"1-2",IF(R3293&lt;=5,"3-5",IF(R3293&lt;=10,"6-10","11+")))</f>
        <v/>
      </c>
    </row>
    <row r="3294">
      <c r="A3294" s="39" t="n">
        <v>46202.25929398148</v>
      </c>
      <c r="B3294" s="25">
        <f>TEXT(A3294,"YYYY-MM")</f>
        <v/>
      </c>
      <c r="C3294" s="25">
        <f>TEXT(A3294,"MMM-YYYY")</f>
        <v/>
      </c>
      <c r="D3294" s="40">
        <f>INT(A3294)-WEEKDAY(A3294,2)+1</f>
        <v/>
      </c>
      <c r="E3294" s="25" t="inlineStr">
        <is>
          <t>apriyadarshi</t>
        </is>
      </c>
      <c r="F3294" s="25" t="n">
        <v>125186</v>
      </c>
      <c r="G3294" s="25" t="n">
        <v>1</v>
      </c>
      <c r="H3294" s="25" t="n">
        <v>1</v>
      </c>
      <c r="I3294" s="25" t="inlineStr">
        <is>
          <t>16 second(s)</t>
        </is>
      </c>
      <c r="J3294" s="25">
        <f>IFERROR(VALUE(TRIM(LEFT(I3294,FIND("minute",I3294)-1)))*60,0)+IFERROR(VALUE(SUBSTITUTE(MID(I3294,IFERROR(FIND("and",I3294)+3,1),20),"second(s)","")),0)</f>
        <v/>
      </c>
      <c r="K3294" s="41">
        <f>J3294/60</f>
        <v/>
      </c>
      <c r="L3294" s="41">
        <f>IFERROR(J3294/H3294,"")</f>
        <v/>
      </c>
      <c r="M3294" s="25" t="inlineStr">
        <is>
          <t>2.5.12</t>
        </is>
      </c>
      <c r="N3294" s="25">
        <f>IF(J3294&gt;300,1,0)</f>
        <v/>
      </c>
      <c r="O3294" s="25">
        <f>IF(J3294&gt;600,1,0)</f>
        <v/>
      </c>
      <c r="P3294" s="25">
        <f>IF(H3294&gt;0,J3294,"")</f>
        <v/>
      </c>
      <c r="Q3294" s="25">
        <f>TEXT(A3294,"YYYY-MM-DD HH")</f>
        <v/>
      </c>
      <c r="R3294" s="25">
        <f>COUNTIF($Q$2:$Q$5295,Q3294)</f>
        <v/>
      </c>
      <c r="S3294" s="25">
        <f>IF(R3294&lt;=2,"1-2",IF(R3294&lt;=5,"3-5",IF(R3294&lt;=10,"6-10","11+")))</f>
        <v/>
      </c>
    </row>
    <row r="3295">
      <c r="A3295" s="39" t="n">
        <v>46202.2653125</v>
      </c>
      <c r="B3295" s="25">
        <f>TEXT(A3295,"YYYY-MM")</f>
        <v/>
      </c>
      <c r="C3295" s="25">
        <f>TEXT(A3295,"MMM-YYYY")</f>
        <v/>
      </c>
      <c r="D3295" s="40">
        <f>INT(A3295)-WEEKDAY(A3295,2)+1</f>
        <v/>
      </c>
      <c r="E3295" s="25" t="inlineStr">
        <is>
          <t>shassan</t>
        </is>
      </c>
      <c r="F3295" s="25" t="n">
        <v>125270</v>
      </c>
      <c r="G3295" s="25" t="n">
        <v>2</v>
      </c>
      <c r="H3295" s="25" t="n">
        <v>6</v>
      </c>
      <c r="I3295" s="25" t="inlineStr">
        <is>
          <t>3 minute(s) and 10 second(s)</t>
        </is>
      </c>
      <c r="J3295" s="25">
        <f>IFERROR(VALUE(TRIM(LEFT(I3295,FIND("minute",I3295)-1)))*60,0)+IFERROR(VALUE(SUBSTITUTE(MID(I3295,IFERROR(FIND("and",I3295)+3,1),20),"second(s)","")),0)</f>
        <v/>
      </c>
      <c r="K3295" s="41">
        <f>J3295/60</f>
        <v/>
      </c>
      <c r="L3295" s="41">
        <f>IFERROR(J3295/H3295,"")</f>
        <v/>
      </c>
      <c r="M3295" s="25" t="inlineStr">
        <is>
          <t>2.5.12</t>
        </is>
      </c>
      <c r="N3295" s="25">
        <f>IF(J3295&gt;300,1,0)</f>
        <v/>
      </c>
      <c r="O3295" s="25">
        <f>IF(J3295&gt;600,1,0)</f>
        <v/>
      </c>
      <c r="P3295" s="25">
        <f>IF(H3295&gt;0,J3295,"")</f>
        <v/>
      </c>
      <c r="Q3295" s="25">
        <f>TEXT(A3295,"YYYY-MM-DD HH")</f>
        <v/>
      </c>
      <c r="R3295" s="25">
        <f>COUNTIF($Q$2:$Q$5295,Q3295)</f>
        <v/>
      </c>
      <c r="S3295" s="25">
        <f>IF(R3295&lt;=2,"1-2",IF(R3295&lt;=5,"3-5",IF(R3295&lt;=10,"6-10","11+")))</f>
        <v/>
      </c>
    </row>
    <row r="3296">
      <c r="A3296" s="39" t="n">
        <v>46202.26577546296</v>
      </c>
      <c r="B3296" s="25">
        <f>TEXT(A3296,"YYYY-MM")</f>
        <v/>
      </c>
      <c r="C3296" s="25">
        <f>TEXT(A3296,"MMM-YYYY")</f>
        <v/>
      </c>
      <c r="D3296" s="40">
        <f>INT(A3296)-WEEKDAY(A3296,2)+1</f>
        <v/>
      </c>
      <c r="E3296" s="25" t="inlineStr">
        <is>
          <t>sthomas</t>
        </is>
      </c>
      <c r="F3296" s="25" t="n">
        <v>122380</v>
      </c>
      <c r="G3296" s="25" t="n">
        <v>1</v>
      </c>
      <c r="H3296" s="25" t="n">
        <v>5</v>
      </c>
      <c r="I3296" s="25" t="inlineStr">
        <is>
          <t>2 minute(s) and 30 second(s)</t>
        </is>
      </c>
      <c r="J3296" s="25">
        <f>IFERROR(VALUE(TRIM(LEFT(I3296,FIND("minute",I3296)-1)))*60,0)+IFERROR(VALUE(SUBSTITUTE(MID(I3296,IFERROR(FIND("and",I3296)+3,1),20),"second(s)","")),0)</f>
        <v/>
      </c>
      <c r="K3296" s="41">
        <f>J3296/60</f>
        <v/>
      </c>
      <c r="L3296" s="41">
        <f>IFERROR(J3296/H3296,"")</f>
        <v/>
      </c>
      <c r="M3296" s="25" t="inlineStr">
        <is>
          <t>2.5.12</t>
        </is>
      </c>
      <c r="N3296" s="25">
        <f>IF(J3296&gt;300,1,0)</f>
        <v/>
      </c>
      <c r="O3296" s="25">
        <f>IF(J3296&gt;600,1,0)</f>
        <v/>
      </c>
      <c r="P3296" s="25">
        <f>IF(H3296&gt;0,J3296,"")</f>
        <v/>
      </c>
      <c r="Q3296" s="25">
        <f>TEXT(A3296,"YYYY-MM-DD HH")</f>
        <v/>
      </c>
      <c r="R3296" s="25">
        <f>COUNTIF($Q$2:$Q$5295,Q3296)</f>
        <v/>
      </c>
      <c r="S3296" s="25">
        <f>IF(R3296&lt;=2,"1-2",IF(R3296&lt;=5,"3-5",IF(R3296&lt;=10,"6-10","11+")))</f>
        <v/>
      </c>
    </row>
    <row r="3297">
      <c r="A3297" s="39" t="n">
        <v>46202.27611111111</v>
      </c>
      <c r="B3297" s="25">
        <f>TEXT(A3297,"YYYY-MM")</f>
        <v/>
      </c>
      <c r="C3297" s="25">
        <f>TEXT(A3297,"MMM-YYYY")</f>
        <v/>
      </c>
      <c r="D3297" s="40">
        <f>INT(A3297)-WEEKDAY(A3297,2)+1</f>
        <v/>
      </c>
      <c r="E3297" s="25" t="inlineStr">
        <is>
          <t>ethomas</t>
        </is>
      </c>
      <c r="F3297" s="25" t="n">
        <v>123192</v>
      </c>
      <c r="G3297" s="25" t="n">
        <v>2</v>
      </c>
      <c r="H3297" s="25" t="n">
        <v>8</v>
      </c>
      <c r="I3297" s="25" t="inlineStr">
        <is>
          <t>5 minute(s) and 41 second(s)</t>
        </is>
      </c>
      <c r="J3297" s="25">
        <f>IFERROR(VALUE(TRIM(LEFT(I3297,FIND("minute",I3297)-1)))*60,0)+IFERROR(VALUE(SUBSTITUTE(MID(I3297,IFERROR(FIND("and",I3297)+3,1),20),"second(s)","")),0)</f>
        <v/>
      </c>
      <c r="K3297" s="41">
        <f>J3297/60</f>
        <v/>
      </c>
      <c r="L3297" s="41">
        <f>IFERROR(J3297/H3297,"")</f>
        <v/>
      </c>
      <c r="M3297" s="25" t="inlineStr">
        <is>
          <t>2.5.12</t>
        </is>
      </c>
      <c r="N3297" s="25">
        <f>IF(J3297&gt;300,1,0)</f>
        <v/>
      </c>
      <c r="O3297" s="25">
        <f>IF(J3297&gt;600,1,0)</f>
        <v/>
      </c>
      <c r="P3297" s="25">
        <f>IF(H3297&gt;0,J3297,"")</f>
        <v/>
      </c>
      <c r="Q3297" s="25">
        <f>TEXT(A3297,"YYYY-MM-DD HH")</f>
        <v/>
      </c>
      <c r="R3297" s="25">
        <f>COUNTIF($Q$2:$Q$5295,Q3297)</f>
        <v/>
      </c>
      <c r="S3297" s="25">
        <f>IF(R3297&lt;=2,"1-2",IF(R3297&lt;=5,"3-5",IF(R3297&lt;=10,"6-10","11+")))</f>
        <v/>
      </c>
    </row>
    <row r="3298">
      <c r="A3298" s="39" t="n">
        <v>46202.27630787037</v>
      </c>
      <c r="B3298" s="25">
        <f>TEXT(A3298,"YYYY-MM")</f>
        <v/>
      </c>
      <c r="C3298" s="25">
        <f>TEXT(A3298,"MMM-YYYY")</f>
        <v/>
      </c>
      <c r="D3298" s="40">
        <f>INT(A3298)-WEEKDAY(A3298,2)+1</f>
        <v/>
      </c>
      <c r="E3298" s="25" t="inlineStr">
        <is>
          <t>psathwika</t>
        </is>
      </c>
      <c r="F3298" s="25" t="n">
        <v>123621</v>
      </c>
      <c r="G3298" s="25" t="n">
        <v>1</v>
      </c>
      <c r="H3298" s="25" t="n">
        <v>5</v>
      </c>
      <c r="I3298" s="25" t="inlineStr">
        <is>
          <t>55 second(s)</t>
        </is>
      </c>
      <c r="J3298" s="25">
        <f>IFERROR(VALUE(TRIM(LEFT(I3298,FIND("minute",I3298)-1)))*60,0)+IFERROR(VALUE(SUBSTITUTE(MID(I3298,IFERROR(FIND("and",I3298)+3,1),20),"second(s)","")),0)</f>
        <v/>
      </c>
      <c r="K3298" s="41">
        <f>J3298/60</f>
        <v/>
      </c>
      <c r="L3298" s="41">
        <f>IFERROR(J3298/H3298,"")</f>
        <v/>
      </c>
      <c r="M3298" s="25" t="inlineStr">
        <is>
          <t>2.5.12</t>
        </is>
      </c>
      <c r="N3298" s="25">
        <f>IF(J3298&gt;300,1,0)</f>
        <v/>
      </c>
      <c r="O3298" s="25">
        <f>IF(J3298&gt;600,1,0)</f>
        <v/>
      </c>
      <c r="P3298" s="25">
        <f>IF(H3298&gt;0,J3298,"")</f>
        <v/>
      </c>
      <c r="Q3298" s="25">
        <f>TEXT(A3298,"YYYY-MM-DD HH")</f>
        <v/>
      </c>
      <c r="R3298" s="25">
        <f>COUNTIF($Q$2:$Q$5295,Q3298)</f>
        <v/>
      </c>
      <c r="S3298" s="25">
        <f>IF(R3298&lt;=2,"1-2",IF(R3298&lt;=5,"3-5",IF(R3298&lt;=10,"6-10","11+")))</f>
        <v/>
      </c>
    </row>
    <row r="3299">
      <c r="A3299" s="39" t="n">
        <v>46202.30399305555</v>
      </c>
      <c r="B3299" s="25">
        <f>TEXT(A3299,"YYYY-MM")</f>
        <v/>
      </c>
      <c r="C3299" s="25">
        <f>TEXT(A3299,"MMM-YYYY")</f>
        <v/>
      </c>
      <c r="D3299" s="40">
        <f>INT(A3299)-WEEKDAY(A3299,2)+1</f>
        <v/>
      </c>
      <c r="E3299" s="25" t="inlineStr">
        <is>
          <t>ssarkar</t>
        </is>
      </c>
      <c r="F3299" s="25" t="n">
        <v>125649</v>
      </c>
      <c r="G3299" s="25" t="n">
        <v>1</v>
      </c>
      <c r="H3299" s="25" t="n">
        <v>5</v>
      </c>
      <c r="I3299" s="25" t="inlineStr">
        <is>
          <t>3 minute(s) and 5 second(s)</t>
        </is>
      </c>
      <c r="J3299" s="25">
        <f>IFERROR(VALUE(TRIM(LEFT(I3299,FIND("minute",I3299)-1)))*60,0)+IFERROR(VALUE(SUBSTITUTE(MID(I3299,IFERROR(FIND("and",I3299)+3,1),20),"second(s)","")),0)</f>
        <v/>
      </c>
      <c r="K3299" s="41">
        <f>J3299/60</f>
        <v/>
      </c>
      <c r="L3299" s="41">
        <f>IFERROR(J3299/H3299,"")</f>
        <v/>
      </c>
      <c r="M3299" s="25" t="inlineStr">
        <is>
          <t>2.5.12</t>
        </is>
      </c>
      <c r="N3299" s="25">
        <f>IF(J3299&gt;300,1,0)</f>
        <v/>
      </c>
      <c r="O3299" s="25">
        <f>IF(J3299&gt;600,1,0)</f>
        <v/>
      </c>
      <c r="P3299" s="25">
        <f>IF(H3299&gt;0,J3299,"")</f>
        <v/>
      </c>
      <c r="Q3299" s="25">
        <f>TEXT(A3299,"YYYY-MM-DD HH")</f>
        <v/>
      </c>
      <c r="R3299" s="25">
        <f>COUNTIF($Q$2:$Q$5295,Q3299)</f>
        <v/>
      </c>
      <c r="S3299" s="25">
        <f>IF(R3299&lt;=2,"1-2",IF(R3299&lt;=5,"3-5",IF(R3299&lt;=10,"6-10","11+")))</f>
        <v/>
      </c>
    </row>
    <row r="3300">
      <c r="A3300" s="39" t="n">
        <v>46202.30869212963</v>
      </c>
      <c r="B3300" s="25">
        <f>TEXT(A3300,"YYYY-MM")</f>
        <v/>
      </c>
      <c r="C3300" s="25">
        <f>TEXT(A3300,"MMM-YYYY")</f>
        <v/>
      </c>
      <c r="D3300" s="40">
        <f>INT(A3300)-WEEKDAY(A3300,2)+1</f>
        <v/>
      </c>
      <c r="E3300" s="25" t="inlineStr">
        <is>
          <t>sthomas</t>
        </is>
      </c>
      <c r="F3300" s="25" t="n">
        <v>125247</v>
      </c>
      <c r="G3300" s="25" t="n">
        <v>1</v>
      </c>
      <c r="H3300" s="25" t="n">
        <v>5</v>
      </c>
      <c r="I3300" s="25" t="inlineStr">
        <is>
          <t>2 minute(s) and 35 second(s)</t>
        </is>
      </c>
      <c r="J3300" s="25">
        <f>IFERROR(VALUE(TRIM(LEFT(I3300,FIND("minute",I3300)-1)))*60,0)+IFERROR(VALUE(SUBSTITUTE(MID(I3300,IFERROR(FIND("and",I3300)+3,1),20),"second(s)","")),0)</f>
        <v/>
      </c>
      <c r="K3300" s="41">
        <f>J3300/60</f>
        <v/>
      </c>
      <c r="L3300" s="41">
        <f>IFERROR(J3300/H3300,"")</f>
        <v/>
      </c>
      <c r="M3300" s="25" t="inlineStr">
        <is>
          <t>2.5.12</t>
        </is>
      </c>
      <c r="N3300" s="25">
        <f>IF(J3300&gt;300,1,0)</f>
        <v/>
      </c>
      <c r="O3300" s="25">
        <f>IF(J3300&gt;600,1,0)</f>
        <v/>
      </c>
      <c r="P3300" s="25">
        <f>IF(H3300&gt;0,J3300,"")</f>
        <v/>
      </c>
      <c r="Q3300" s="25">
        <f>TEXT(A3300,"YYYY-MM-DD HH")</f>
        <v/>
      </c>
      <c r="R3300" s="25">
        <f>COUNTIF($Q$2:$Q$5295,Q3300)</f>
        <v/>
      </c>
      <c r="S3300" s="25">
        <f>IF(R3300&lt;=2,"1-2",IF(R3300&lt;=5,"3-5",IF(R3300&lt;=10,"6-10","11+")))</f>
        <v/>
      </c>
    </row>
    <row r="3301">
      <c r="A3301" s="39" t="n">
        <v>46202.31061342593</v>
      </c>
      <c r="B3301" s="25">
        <f>TEXT(A3301,"YYYY-MM")</f>
        <v/>
      </c>
      <c r="C3301" s="25">
        <f>TEXT(A3301,"MMM-YYYY")</f>
        <v/>
      </c>
      <c r="D3301" s="40">
        <f>INT(A3301)-WEEKDAY(A3301,2)+1</f>
        <v/>
      </c>
      <c r="E3301" s="25" t="inlineStr">
        <is>
          <t>shassan</t>
        </is>
      </c>
      <c r="F3301" s="25" t="n">
        <v>125581</v>
      </c>
      <c r="G3301" s="25" t="n">
        <v>2</v>
      </c>
      <c r="H3301" s="25" t="n">
        <v>6</v>
      </c>
      <c r="I3301" s="25" t="inlineStr">
        <is>
          <t>2 minute(s) and 40 second(s)</t>
        </is>
      </c>
      <c r="J3301" s="25">
        <f>IFERROR(VALUE(TRIM(LEFT(I3301,FIND("minute",I3301)-1)))*60,0)+IFERROR(VALUE(SUBSTITUTE(MID(I3301,IFERROR(FIND("and",I3301)+3,1),20),"second(s)","")),0)</f>
        <v/>
      </c>
      <c r="K3301" s="41">
        <f>J3301/60</f>
        <v/>
      </c>
      <c r="L3301" s="41">
        <f>IFERROR(J3301/H3301,"")</f>
        <v/>
      </c>
      <c r="M3301" s="25" t="inlineStr">
        <is>
          <t>2.5.12</t>
        </is>
      </c>
      <c r="N3301" s="25">
        <f>IF(J3301&gt;300,1,0)</f>
        <v/>
      </c>
      <c r="O3301" s="25">
        <f>IF(J3301&gt;600,1,0)</f>
        <v/>
      </c>
      <c r="P3301" s="25">
        <f>IF(H3301&gt;0,J3301,"")</f>
        <v/>
      </c>
      <c r="Q3301" s="25">
        <f>TEXT(A3301,"YYYY-MM-DD HH")</f>
        <v/>
      </c>
      <c r="R3301" s="25">
        <f>COUNTIF($Q$2:$Q$5295,Q3301)</f>
        <v/>
      </c>
      <c r="S3301" s="25">
        <f>IF(R3301&lt;=2,"1-2",IF(R3301&lt;=5,"3-5",IF(R3301&lt;=10,"6-10","11+")))</f>
        <v/>
      </c>
    </row>
    <row r="3302">
      <c r="A3302" s="39" t="n">
        <v>46202.32534722222</v>
      </c>
      <c r="B3302" s="25">
        <f>TEXT(A3302,"YYYY-MM")</f>
        <v/>
      </c>
      <c r="C3302" s="25">
        <f>TEXT(A3302,"MMM-YYYY")</f>
        <v/>
      </c>
      <c r="D3302" s="40">
        <f>INT(A3302)-WEEKDAY(A3302,2)+1</f>
        <v/>
      </c>
      <c r="E3302" s="25" t="inlineStr">
        <is>
          <t>apriyadarshi</t>
        </is>
      </c>
      <c r="F3302" s="25" t="n">
        <v>125520</v>
      </c>
      <c r="G3302" s="25" t="n">
        <v>2</v>
      </c>
      <c r="H3302" s="25" t="n">
        <v>8</v>
      </c>
      <c r="I3302" s="25" t="inlineStr">
        <is>
          <t>1 minute(s) and 48 second(s)</t>
        </is>
      </c>
      <c r="J3302" s="25">
        <f>IFERROR(VALUE(TRIM(LEFT(I3302,FIND("minute",I3302)-1)))*60,0)+IFERROR(VALUE(SUBSTITUTE(MID(I3302,IFERROR(FIND("and",I3302)+3,1),20),"second(s)","")),0)</f>
        <v/>
      </c>
      <c r="K3302" s="41">
        <f>J3302/60</f>
        <v/>
      </c>
      <c r="L3302" s="41">
        <f>IFERROR(J3302/H3302,"")</f>
        <v/>
      </c>
      <c r="M3302" s="25" t="inlineStr">
        <is>
          <t>2.5.12</t>
        </is>
      </c>
      <c r="N3302" s="25">
        <f>IF(J3302&gt;300,1,0)</f>
        <v/>
      </c>
      <c r="O3302" s="25">
        <f>IF(J3302&gt;600,1,0)</f>
        <v/>
      </c>
      <c r="P3302" s="25">
        <f>IF(H3302&gt;0,J3302,"")</f>
        <v/>
      </c>
      <c r="Q3302" s="25">
        <f>TEXT(A3302,"YYYY-MM-DD HH")</f>
        <v/>
      </c>
      <c r="R3302" s="25">
        <f>COUNTIF($Q$2:$Q$5295,Q3302)</f>
        <v/>
      </c>
      <c r="S3302" s="25">
        <f>IF(R3302&lt;=2,"1-2",IF(R3302&lt;=5,"3-5",IF(R3302&lt;=10,"6-10","11+")))</f>
        <v/>
      </c>
    </row>
    <row r="3303">
      <c r="A3303" s="39" t="n">
        <v>46202.33350694444</v>
      </c>
      <c r="B3303" s="25">
        <f>TEXT(A3303,"YYYY-MM")</f>
        <v/>
      </c>
      <c r="C3303" s="25">
        <f>TEXT(A3303,"MMM-YYYY")</f>
        <v/>
      </c>
      <c r="D3303" s="40">
        <f>INT(A3303)-WEEKDAY(A3303,2)+1</f>
        <v/>
      </c>
      <c r="E3303" s="25" t="inlineStr">
        <is>
          <t>stiwari</t>
        </is>
      </c>
      <c r="F3303" s="25" t="n">
        <v>125168</v>
      </c>
      <c r="G3303" s="25" t="n">
        <v>2</v>
      </c>
      <c r="H3303" s="25" t="n">
        <v>8</v>
      </c>
      <c r="I3303" s="25" t="inlineStr">
        <is>
          <t>2 minute(s) and 34 second(s)</t>
        </is>
      </c>
      <c r="J3303" s="25">
        <f>IFERROR(VALUE(TRIM(LEFT(I3303,FIND("minute",I3303)-1)))*60,0)+IFERROR(VALUE(SUBSTITUTE(MID(I3303,IFERROR(FIND("and",I3303)+3,1),20),"second(s)","")),0)</f>
        <v/>
      </c>
      <c r="K3303" s="41">
        <f>J3303/60</f>
        <v/>
      </c>
      <c r="L3303" s="41">
        <f>IFERROR(J3303/H3303,"")</f>
        <v/>
      </c>
      <c r="M3303" s="25" t="inlineStr">
        <is>
          <t>2.5.12</t>
        </is>
      </c>
      <c r="N3303" s="25">
        <f>IF(J3303&gt;300,1,0)</f>
        <v/>
      </c>
      <c r="O3303" s="25">
        <f>IF(J3303&gt;600,1,0)</f>
        <v/>
      </c>
      <c r="P3303" s="25">
        <f>IF(H3303&gt;0,J3303,"")</f>
        <v/>
      </c>
      <c r="Q3303" s="25">
        <f>TEXT(A3303,"YYYY-MM-DD HH")</f>
        <v/>
      </c>
      <c r="R3303" s="25">
        <f>COUNTIF($Q$2:$Q$5295,Q3303)</f>
        <v/>
      </c>
      <c r="S3303" s="25">
        <f>IF(R3303&lt;=2,"1-2",IF(R3303&lt;=5,"3-5",IF(R3303&lt;=10,"6-10","11+")))</f>
        <v/>
      </c>
    </row>
    <row r="3304">
      <c r="A3304" s="39" t="n">
        <v>46202.33378472222</v>
      </c>
      <c r="B3304" s="25">
        <f>TEXT(A3304,"YYYY-MM")</f>
        <v/>
      </c>
      <c r="C3304" s="25">
        <f>TEXT(A3304,"MMM-YYYY")</f>
        <v/>
      </c>
      <c r="D3304" s="40">
        <f>INT(A3304)-WEEKDAY(A3304,2)+1</f>
        <v/>
      </c>
      <c r="E3304" s="25" t="inlineStr">
        <is>
          <t>apriyadarshi</t>
        </is>
      </c>
      <c r="F3304" s="25" t="n">
        <v>125520</v>
      </c>
      <c r="G3304" s="25" t="n">
        <v>1</v>
      </c>
      <c r="H3304" s="25" t="n">
        <v>5</v>
      </c>
      <c r="I3304" s="25" t="inlineStr">
        <is>
          <t>51 second(s)</t>
        </is>
      </c>
      <c r="J3304" s="25">
        <f>IFERROR(VALUE(TRIM(LEFT(I3304,FIND("minute",I3304)-1)))*60,0)+IFERROR(VALUE(SUBSTITUTE(MID(I3304,IFERROR(FIND("and",I3304)+3,1),20),"second(s)","")),0)</f>
        <v/>
      </c>
      <c r="K3304" s="41">
        <f>J3304/60</f>
        <v/>
      </c>
      <c r="L3304" s="41">
        <f>IFERROR(J3304/H3304,"")</f>
        <v/>
      </c>
      <c r="M3304" s="25" t="inlineStr">
        <is>
          <t>2.5.12</t>
        </is>
      </c>
      <c r="N3304" s="25">
        <f>IF(J3304&gt;300,1,0)</f>
        <v/>
      </c>
      <c r="O3304" s="25">
        <f>IF(J3304&gt;600,1,0)</f>
        <v/>
      </c>
      <c r="P3304" s="25">
        <f>IF(H3304&gt;0,J3304,"")</f>
        <v/>
      </c>
      <c r="Q3304" s="25">
        <f>TEXT(A3304,"YYYY-MM-DD HH")</f>
        <v/>
      </c>
      <c r="R3304" s="25">
        <f>COUNTIF($Q$2:$Q$5295,Q3304)</f>
        <v/>
      </c>
      <c r="S3304" s="25">
        <f>IF(R3304&lt;=2,"1-2",IF(R3304&lt;=5,"3-5",IF(R3304&lt;=10,"6-10","11+")))</f>
        <v/>
      </c>
    </row>
    <row r="3305">
      <c r="A3305" s="39" t="n">
        <v>46202.33396990741</v>
      </c>
      <c r="B3305" s="25">
        <f>TEXT(A3305,"YYYY-MM")</f>
        <v/>
      </c>
      <c r="C3305" s="25">
        <f>TEXT(A3305,"MMM-YYYY")</f>
        <v/>
      </c>
      <c r="D3305" s="40">
        <f>INT(A3305)-WEEKDAY(A3305,2)+1</f>
        <v/>
      </c>
      <c r="E3305" s="25" t="inlineStr">
        <is>
          <t>ethomas</t>
        </is>
      </c>
      <c r="F3305" s="25" t="n">
        <v>124913</v>
      </c>
      <c r="G3305" s="25" t="n">
        <v>2</v>
      </c>
      <c r="H3305" s="25" t="n">
        <v>8</v>
      </c>
      <c r="I3305" s="25" t="inlineStr">
        <is>
          <t>2 minute(s) and 55 second(s)</t>
        </is>
      </c>
      <c r="J3305" s="25">
        <f>IFERROR(VALUE(TRIM(LEFT(I3305,FIND("minute",I3305)-1)))*60,0)+IFERROR(VALUE(SUBSTITUTE(MID(I3305,IFERROR(FIND("and",I3305)+3,1),20),"second(s)","")),0)</f>
        <v/>
      </c>
      <c r="K3305" s="41">
        <f>J3305/60</f>
        <v/>
      </c>
      <c r="L3305" s="41">
        <f>IFERROR(J3305/H3305,"")</f>
        <v/>
      </c>
      <c r="M3305" s="25" t="inlineStr">
        <is>
          <t>2.5.12</t>
        </is>
      </c>
      <c r="N3305" s="25">
        <f>IF(J3305&gt;300,1,0)</f>
        <v/>
      </c>
      <c r="O3305" s="25">
        <f>IF(J3305&gt;600,1,0)</f>
        <v/>
      </c>
      <c r="P3305" s="25">
        <f>IF(H3305&gt;0,J3305,"")</f>
        <v/>
      </c>
      <c r="Q3305" s="25">
        <f>TEXT(A3305,"YYYY-MM-DD HH")</f>
        <v/>
      </c>
      <c r="R3305" s="25">
        <f>COUNTIF($Q$2:$Q$5295,Q3305)</f>
        <v/>
      </c>
      <c r="S3305" s="25">
        <f>IF(R3305&lt;=2,"1-2",IF(R3305&lt;=5,"3-5",IF(R3305&lt;=10,"6-10","11+")))</f>
        <v/>
      </c>
    </row>
    <row r="3306">
      <c r="A3306" s="39" t="n">
        <v>46202.51868055556</v>
      </c>
      <c r="B3306" s="25">
        <f>TEXT(A3306,"YYYY-MM")</f>
        <v/>
      </c>
      <c r="C3306" s="25">
        <f>TEXT(A3306,"MMM-YYYY")</f>
        <v/>
      </c>
      <c r="D3306" s="40">
        <f>INT(A3306)-WEEKDAY(A3306,2)+1</f>
        <v/>
      </c>
      <c r="E3306" s="25" t="inlineStr">
        <is>
          <t>psingh</t>
        </is>
      </c>
      <c r="F3306" s="25" t="n">
        <v>122421</v>
      </c>
      <c r="G3306" s="25" t="n">
        <v>5</v>
      </c>
      <c r="H3306" s="25" t="n">
        <v>29</v>
      </c>
      <c r="I3306" s="25" t="inlineStr">
        <is>
          <t>8 minute(s) and 9 second(s)</t>
        </is>
      </c>
      <c r="J3306" s="25">
        <f>IFERROR(VALUE(TRIM(LEFT(I3306,FIND("minute",I3306)-1)))*60,0)+IFERROR(VALUE(SUBSTITUTE(MID(I3306,IFERROR(FIND("and",I3306)+3,1),20),"second(s)","")),0)</f>
        <v/>
      </c>
      <c r="K3306" s="41">
        <f>J3306/60</f>
        <v/>
      </c>
      <c r="L3306" s="41">
        <f>IFERROR(J3306/H3306,"")</f>
        <v/>
      </c>
      <c r="M3306" s="25" t="inlineStr">
        <is>
          <t>2.5.12</t>
        </is>
      </c>
      <c r="N3306" s="25">
        <f>IF(J3306&gt;300,1,0)</f>
        <v/>
      </c>
      <c r="O3306" s="25">
        <f>IF(J3306&gt;600,1,0)</f>
        <v/>
      </c>
      <c r="P3306" s="25">
        <f>IF(H3306&gt;0,J3306,"")</f>
        <v/>
      </c>
      <c r="Q3306" s="25">
        <f>TEXT(A3306,"YYYY-MM-DD HH")</f>
        <v/>
      </c>
      <c r="R3306" s="25">
        <f>COUNTIF($Q$2:$Q$5295,Q3306)</f>
        <v/>
      </c>
      <c r="S3306" s="25">
        <f>IF(R3306&lt;=2,"1-2",IF(R3306&lt;=5,"3-5",IF(R3306&lt;=10,"6-10","11+")))</f>
        <v/>
      </c>
    </row>
    <row r="3307">
      <c r="A3307" s="39" t="n">
        <v>46202.54680555555</v>
      </c>
      <c r="B3307" s="25">
        <f>TEXT(A3307,"YYYY-MM")</f>
        <v/>
      </c>
      <c r="C3307" s="25">
        <f>TEXT(A3307,"MMM-YYYY")</f>
        <v/>
      </c>
      <c r="D3307" s="40">
        <f>INT(A3307)-WEEKDAY(A3307,2)+1</f>
        <v/>
      </c>
      <c r="E3307" s="25" t="inlineStr">
        <is>
          <t>pgautam</t>
        </is>
      </c>
      <c r="F3307" s="25" t="n">
        <v>122080</v>
      </c>
      <c r="G3307" s="25" t="n">
        <v>4</v>
      </c>
      <c r="H3307" s="25" t="n">
        <v>12</v>
      </c>
      <c r="I3307" s="25" t="inlineStr">
        <is>
          <t>2 minute(s) and 49 second(s)</t>
        </is>
      </c>
      <c r="J3307" s="25">
        <f>IFERROR(VALUE(TRIM(LEFT(I3307,FIND("minute",I3307)-1)))*60,0)+IFERROR(VALUE(SUBSTITUTE(MID(I3307,IFERROR(FIND("and",I3307)+3,1),20),"second(s)","")),0)</f>
        <v/>
      </c>
      <c r="K3307" s="41">
        <f>J3307/60</f>
        <v/>
      </c>
      <c r="L3307" s="41">
        <f>IFERROR(J3307/H3307,"")</f>
        <v/>
      </c>
      <c r="M3307" s="25" t="inlineStr">
        <is>
          <t>2.5.12</t>
        </is>
      </c>
      <c r="N3307" s="25">
        <f>IF(J3307&gt;300,1,0)</f>
        <v/>
      </c>
      <c r="O3307" s="25">
        <f>IF(J3307&gt;600,1,0)</f>
        <v/>
      </c>
      <c r="P3307" s="25">
        <f>IF(H3307&gt;0,J3307,"")</f>
        <v/>
      </c>
      <c r="Q3307" s="25">
        <f>TEXT(A3307,"YYYY-MM-DD HH")</f>
        <v/>
      </c>
      <c r="R3307" s="25">
        <f>COUNTIF($Q$2:$Q$5295,Q3307)</f>
        <v/>
      </c>
      <c r="S3307" s="25">
        <f>IF(R3307&lt;=2,"1-2",IF(R3307&lt;=5,"3-5",IF(R3307&lt;=10,"6-10","11+")))</f>
        <v/>
      </c>
    </row>
    <row r="3308">
      <c r="A3308" s="39" t="n">
        <v>46202.56349537037</v>
      </c>
      <c r="B3308" s="25">
        <f>TEXT(A3308,"YYYY-MM")</f>
        <v/>
      </c>
      <c r="C3308" s="25">
        <f>TEXT(A3308,"MMM-YYYY")</f>
        <v/>
      </c>
      <c r="D3308" s="40">
        <f>INT(A3308)-WEEKDAY(A3308,2)+1</f>
        <v/>
      </c>
      <c r="E3308" s="25" t="inlineStr">
        <is>
          <t>sswati</t>
        </is>
      </c>
      <c r="F3308" s="25" t="n">
        <v>123290</v>
      </c>
      <c r="G3308" s="25" t="n">
        <v>2</v>
      </c>
      <c r="H3308" s="25" t="n">
        <v>8</v>
      </c>
      <c r="I3308" s="25" t="inlineStr">
        <is>
          <t>4 minute(s) and 4 second(s)</t>
        </is>
      </c>
      <c r="J3308" s="25">
        <f>IFERROR(VALUE(TRIM(LEFT(I3308,FIND("minute",I3308)-1)))*60,0)+IFERROR(VALUE(SUBSTITUTE(MID(I3308,IFERROR(FIND("and",I3308)+3,1),20),"second(s)","")),0)</f>
        <v/>
      </c>
      <c r="K3308" s="41">
        <f>J3308/60</f>
        <v/>
      </c>
      <c r="L3308" s="41">
        <f>IFERROR(J3308/H3308,"")</f>
        <v/>
      </c>
      <c r="M3308" s="25" t="inlineStr">
        <is>
          <t>2.5.12</t>
        </is>
      </c>
      <c r="N3308" s="25">
        <f>IF(J3308&gt;300,1,0)</f>
        <v/>
      </c>
      <c r="O3308" s="25">
        <f>IF(J3308&gt;600,1,0)</f>
        <v/>
      </c>
      <c r="P3308" s="25">
        <f>IF(H3308&gt;0,J3308,"")</f>
        <v/>
      </c>
      <c r="Q3308" s="25">
        <f>TEXT(A3308,"YYYY-MM-DD HH")</f>
        <v/>
      </c>
      <c r="R3308" s="25">
        <f>COUNTIF($Q$2:$Q$5295,Q3308)</f>
        <v/>
      </c>
      <c r="S3308" s="25">
        <f>IF(R3308&lt;=2,"1-2",IF(R3308&lt;=5,"3-5",IF(R3308&lt;=10,"6-10","11+")))</f>
        <v/>
      </c>
    </row>
    <row r="3309">
      <c r="A3309" s="39" t="n">
        <v>46202.56747685185</v>
      </c>
      <c r="B3309" s="25">
        <f>TEXT(A3309,"YYYY-MM")</f>
        <v/>
      </c>
      <c r="C3309" s="25">
        <f>TEXT(A3309,"MMM-YYYY")</f>
        <v/>
      </c>
      <c r="D3309" s="40">
        <f>INT(A3309)-WEEKDAY(A3309,2)+1</f>
        <v/>
      </c>
      <c r="E3309" s="25" t="inlineStr">
        <is>
          <t>sswati</t>
        </is>
      </c>
      <c r="F3309" s="25" t="n">
        <v>123290</v>
      </c>
      <c r="G3309" s="25" t="n">
        <v>2</v>
      </c>
      <c r="H3309" s="25" t="n">
        <v>10</v>
      </c>
      <c r="I3309" s="25" t="inlineStr">
        <is>
          <t>11 minute(s) and 28 second(s)</t>
        </is>
      </c>
      <c r="J3309" s="25">
        <f>IFERROR(VALUE(TRIM(LEFT(I3309,FIND("minute",I3309)-1)))*60,0)+IFERROR(VALUE(SUBSTITUTE(MID(I3309,IFERROR(FIND("and",I3309)+3,1),20),"second(s)","")),0)</f>
        <v/>
      </c>
      <c r="K3309" s="41">
        <f>J3309/60</f>
        <v/>
      </c>
      <c r="L3309" s="41">
        <f>IFERROR(J3309/H3309,"")</f>
        <v/>
      </c>
      <c r="M3309" s="25" t="inlineStr">
        <is>
          <t>2.5.12</t>
        </is>
      </c>
      <c r="N3309" s="25">
        <f>IF(J3309&gt;300,1,0)</f>
        <v/>
      </c>
      <c r="O3309" s="25">
        <f>IF(J3309&gt;600,1,0)</f>
        <v/>
      </c>
      <c r="P3309" s="25">
        <f>IF(H3309&gt;0,J3309,"")</f>
        <v/>
      </c>
      <c r="Q3309" s="25">
        <f>TEXT(A3309,"YYYY-MM-DD HH")</f>
        <v/>
      </c>
      <c r="R3309" s="25">
        <f>COUNTIF($Q$2:$Q$5295,Q3309)</f>
        <v/>
      </c>
      <c r="S3309" s="25">
        <f>IF(R3309&lt;=2,"1-2",IF(R3309&lt;=5,"3-5",IF(R3309&lt;=10,"6-10","11+")))</f>
        <v/>
      </c>
    </row>
    <row r="3310">
      <c r="A3310" s="39" t="n">
        <v>46202.58004629629</v>
      </c>
      <c r="B3310" s="25">
        <f>TEXT(A3310,"YYYY-MM")</f>
        <v/>
      </c>
      <c r="C3310" s="25">
        <f>TEXT(A3310,"MMM-YYYY")</f>
        <v/>
      </c>
      <c r="D3310" s="40">
        <f>INT(A3310)-WEEKDAY(A3310,2)+1</f>
        <v/>
      </c>
      <c r="E3310" s="25" t="inlineStr">
        <is>
          <t>pgautam</t>
        </is>
      </c>
      <c r="F3310" s="25" t="n">
        <v>125154</v>
      </c>
      <c r="G3310" s="25" t="n">
        <v>4</v>
      </c>
      <c r="H3310" s="25" t="n">
        <v>14</v>
      </c>
      <c r="I3310" s="25" t="inlineStr">
        <is>
          <t>3 minute(s) and 11 second(s)</t>
        </is>
      </c>
      <c r="J3310" s="25">
        <f>IFERROR(VALUE(TRIM(LEFT(I3310,FIND("minute",I3310)-1)))*60,0)+IFERROR(VALUE(SUBSTITUTE(MID(I3310,IFERROR(FIND("and",I3310)+3,1),20),"second(s)","")),0)</f>
        <v/>
      </c>
      <c r="K3310" s="41">
        <f>J3310/60</f>
        <v/>
      </c>
      <c r="L3310" s="41">
        <f>IFERROR(J3310/H3310,"")</f>
        <v/>
      </c>
      <c r="M3310" s="25" t="inlineStr">
        <is>
          <t>2.5.12</t>
        </is>
      </c>
      <c r="N3310" s="25">
        <f>IF(J3310&gt;300,1,0)</f>
        <v/>
      </c>
      <c r="O3310" s="25">
        <f>IF(J3310&gt;600,1,0)</f>
        <v/>
      </c>
      <c r="P3310" s="25">
        <f>IF(H3310&gt;0,J3310,"")</f>
        <v/>
      </c>
      <c r="Q3310" s="25">
        <f>TEXT(A3310,"YYYY-MM-DD HH")</f>
        <v/>
      </c>
      <c r="R3310" s="25">
        <f>COUNTIF($Q$2:$Q$5295,Q3310)</f>
        <v/>
      </c>
      <c r="S3310" s="25">
        <f>IF(R3310&lt;=2,"1-2",IF(R3310&lt;=5,"3-5",IF(R3310&lt;=10,"6-10","11+")))</f>
        <v/>
      </c>
    </row>
    <row r="3311">
      <c r="A3311" s="39" t="n">
        <v>46202.58072916666</v>
      </c>
      <c r="B3311" s="25">
        <f>TEXT(A3311,"YYYY-MM")</f>
        <v/>
      </c>
      <c r="C3311" s="25">
        <f>TEXT(A3311,"MMM-YYYY")</f>
        <v/>
      </c>
      <c r="D3311" s="40">
        <f>INT(A3311)-WEEKDAY(A3311,2)+1</f>
        <v/>
      </c>
      <c r="E3311" s="25" t="inlineStr">
        <is>
          <t>ssaha</t>
        </is>
      </c>
      <c r="F3311" s="25" t="n">
        <v>123208</v>
      </c>
      <c r="G3311" s="25" t="n">
        <v>2</v>
      </c>
      <c r="H3311" s="25" t="n">
        <v>6</v>
      </c>
      <c r="I3311" s="25" t="inlineStr">
        <is>
          <t>2 minute(s) and 28 second(s)</t>
        </is>
      </c>
      <c r="J3311" s="25">
        <f>IFERROR(VALUE(TRIM(LEFT(I3311,FIND("minute",I3311)-1)))*60,0)+IFERROR(VALUE(SUBSTITUTE(MID(I3311,IFERROR(FIND("and",I3311)+3,1),20),"second(s)","")),0)</f>
        <v/>
      </c>
      <c r="K3311" s="41">
        <f>J3311/60</f>
        <v/>
      </c>
      <c r="L3311" s="41">
        <f>IFERROR(J3311/H3311,"")</f>
        <v/>
      </c>
      <c r="M3311" s="25" t="inlineStr">
        <is>
          <t>2.5.12</t>
        </is>
      </c>
      <c r="N3311" s="25">
        <f>IF(J3311&gt;300,1,0)</f>
        <v/>
      </c>
      <c r="O3311" s="25">
        <f>IF(J3311&gt;600,1,0)</f>
        <v/>
      </c>
      <c r="P3311" s="25">
        <f>IF(H3311&gt;0,J3311,"")</f>
        <v/>
      </c>
      <c r="Q3311" s="25">
        <f>TEXT(A3311,"YYYY-MM-DD HH")</f>
        <v/>
      </c>
      <c r="R3311" s="25">
        <f>COUNTIF($Q$2:$Q$5295,Q3311)</f>
        <v/>
      </c>
      <c r="S3311" s="25">
        <f>IF(R3311&lt;=2,"1-2",IF(R3311&lt;=5,"3-5",IF(R3311&lt;=10,"6-10","11+")))</f>
        <v/>
      </c>
    </row>
    <row r="3312">
      <c r="A3312" s="39" t="n">
        <v>46202.61034722222</v>
      </c>
      <c r="B3312" s="25">
        <f>TEXT(A3312,"YYYY-MM")</f>
        <v/>
      </c>
      <c r="C3312" s="25">
        <f>TEXT(A3312,"MMM-YYYY")</f>
        <v/>
      </c>
      <c r="D3312" s="40">
        <f>INT(A3312)-WEEKDAY(A3312,2)+1</f>
        <v/>
      </c>
      <c r="E3312" s="25" t="inlineStr">
        <is>
          <t>rsingh</t>
        </is>
      </c>
      <c r="F3312" s="25" t="n">
        <v>71546</v>
      </c>
      <c r="G3312" s="25" t="n">
        <v>2</v>
      </c>
      <c r="H3312" s="25" t="n">
        <v>8</v>
      </c>
      <c r="I3312" s="25" t="inlineStr">
        <is>
          <t>3 minute(s) and 15 second(s)</t>
        </is>
      </c>
      <c r="J3312" s="25">
        <f>IFERROR(VALUE(TRIM(LEFT(I3312,FIND("minute",I3312)-1)))*60,0)+IFERROR(VALUE(SUBSTITUTE(MID(I3312,IFERROR(FIND("and",I3312)+3,1),20),"second(s)","")),0)</f>
        <v/>
      </c>
      <c r="K3312" s="41">
        <f>J3312/60</f>
        <v/>
      </c>
      <c r="L3312" s="41">
        <f>IFERROR(J3312/H3312,"")</f>
        <v/>
      </c>
      <c r="M3312" s="25" t="inlineStr">
        <is>
          <t>2.5.12</t>
        </is>
      </c>
      <c r="N3312" s="25">
        <f>IF(J3312&gt;300,1,0)</f>
        <v/>
      </c>
      <c r="O3312" s="25">
        <f>IF(J3312&gt;600,1,0)</f>
        <v/>
      </c>
      <c r="P3312" s="25">
        <f>IF(H3312&gt;0,J3312,"")</f>
        <v/>
      </c>
      <c r="Q3312" s="25">
        <f>TEXT(A3312,"YYYY-MM-DD HH")</f>
        <v/>
      </c>
      <c r="R3312" s="25">
        <f>COUNTIF($Q$2:$Q$5295,Q3312)</f>
        <v/>
      </c>
      <c r="S3312" s="25">
        <f>IF(R3312&lt;=2,"1-2",IF(R3312&lt;=5,"3-5",IF(R3312&lt;=10,"6-10","11+")))</f>
        <v/>
      </c>
    </row>
    <row r="3313">
      <c r="A3313" s="39" t="n">
        <v>46202.6125925926</v>
      </c>
      <c r="B3313" s="25">
        <f>TEXT(A3313,"YYYY-MM")</f>
        <v/>
      </c>
      <c r="C3313" s="25">
        <f>TEXT(A3313,"MMM-YYYY")</f>
        <v/>
      </c>
      <c r="D3313" s="40">
        <f>INT(A3313)-WEEKDAY(A3313,2)+1</f>
        <v/>
      </c>
      <c r="E3313" s="25" t="inlineStr">
        <is>
          <t>pgautam</t>
        </is>
      </c>
      <c r="F3313" s="25" t="n">
        <v>125103</v>
      </c>
      <c r="G3313" s="25" t="n">
        <v>3</v>
      </c>
      <c r="H3313" s="25" t="n">
        <v>19</v>
      </c>
      <c r="I3313" s="25" t="inlineStr">
        <is>
          <t>3 minute(s) and 27 second(s)</t>
        </is>
      </c>
      <c r="J3313" s="25">
        <f>IFERROR(VALUE(TRIM(LEFT(I3313,FIND("minute",I3313)-1)))*60,0)+IFERROR(VALUE(SUBSTITUTE(MID(I3313,IFERROR(FIND("and",I3313)+3,1),20),"second(s)","")),0)</f>
        <v/>
      </c>
      <c r="K3313" s="41">
        <f>J3313/60</f>
        <v/>
      </c>
      <c r="L3313" s="41">
        <f>IFERROR(J3313/H3313,"")</f>
        <v/>
      </c>
      <c r="M3313" s="25" t="inlineStr">
        <is>
          <t>2.5.12</t>
        </is>
      </c>
      <c r="N3313" s="25">
        <f>IF(J3313&gt;300,1,0)</f>
        <v/>
      </c>
      <c r="O3313" s="25">
        <f>IF(J3313&gt;600,1,0)</f>
        <v/>
      </c>
      <c r="P3313" s="25">
        <f>IF(H3313&gt;0,J3313,"")</f>
        <v/>
      </c>
      <c r="Q3313" s="25">
        <f>TEXT(A3313,"YYYY-MM-DD HH")</f>
        <v/>
      </c>
      <c r="R3313" s="25">
        <f>COUNTIF($Q$2:$Q$5295,Q3313)</f>
        <v/>
      </c>
      <c r="S3313" s="25">
        <f>IF(R3313&lt;=2,"1-2",IF(R3313&lt;=5,"3-5",IF(R3313&lt;=10,"6-10","11+")))</f>
        <v/>
      </c>
    </row>
    <row r="3314">
      <c r="A3314" s="39" t="n">
        <v>46202.6299537037</v>
      </c>
      <c r="B3314" s="25">
        <f>TEXT(A3314,"YYYY-MM")</f>
        <v/>
      </c>
      <c r="C3314" s="25">
        <f>TEXT(A3314,"MMM-YYYY")</f>
        <v/>
      </c>
      <c r="D3314" s="40">
        <f>INT(A3314)-WEEKDAY(A3314,2)+1</f>
        <v/>
      </c>
      <c r="E3314" s="25" t="inlineStr">
        <is>
          <t>ssaha</t>
        </is>
      </c>
      <c r="F3314" s="25" t="n">
        <v>125721</v>
      </c>
      <c r="G3314" s="25" t="n">
        <v>2</v>
      </c>
      <c r="H3314" s="25" t="n">
        <v>8</v>
      </c>
      <c r="I3314" s="25" t="inlineStr">
        <is>
          <t>2 minute(s) and 56 second(s)</t>
        </is>
      </c>
      <c r="J3314" s="25">
        <f>IFERROR(VALUE(TRIM(LEFT(I3314,FIND("minute",I3314)-1)))*60,0)+IFERROR(VALUE(SUBSTITUTE(MID(I3314,IFERROR(FIND("and",I3314)+3,1),20),"second(s)","")),0)</f>
        <v/>
      </c>
      <c r="K3314" s="41">
        <f>J3314/60</f>
        <v/>
      </c>
      <c r="L3314" s="41">
        <f>IFERROR(J3314/H3314,"")</f>
        <v/>
      </c>
      <c r="M3314" s="25" t="inlineStr">
        <is>
          <t>2.5.12</t>
        </is>
      </c>
      <c r="N3314" s="25">
        <f>IF(J3314&gt;300,1,0)</f>
        <v/>
      </c>
      <c r="O3314" s="25">
        <f>IF(J3314&gt;600,1,0)</f>
        <v/>
      </c>
      <c r="P3314" s="25">
        <f>IF(H3314&gt;0,J3314,"")</f>
        <v/>
      </c>
      <c r="Q3314" s="25">
        <f>TEXT(A3314,"YYYY-MM-DD HH")</f>
        <v/>
      </c>
      <c r="R3314" s="25">
        <f>COUNTIF($Q$2:$Q$5295,Q3314)</f>
        <v/>
      </c>
      <c r="S3314" s="25">
        <f>IF(R3314&lt;=2,"1-2",IF(R3314&lt;=5,"3-5",IF(R3314&lt;=10,"6-10","11+")))</f>
        <v/>
      </c>
    </row>
    <row r="3315">
      <c r="A3315" s="39" t="n">
        <v>46202.65542824074</v>
      </c>
      <c r="B3315" s="25">
        <f>TEXT(A3315,"YYYY-MM")</f>
        <v/>
      </c>
      <c r="C3315" s="25">
        <f>TEXT(A3315,"MMM-YYYY")</f>
        <v/>
      </c>
      <c r="D3315" s="40">
        <f>INT(A3315)-WEEKDAY(A3315,2)+1</f>
        <v/>
      </c>
      <c r="E3315" s="25" t="inlineStr">
        <is>
          <t>psingh</t>
        </is>
      </c>
      <c r="F3315" s="25" t="n">
        <v>122448</v>
      </c>
      <c r="G3315" s="25" t="n">
        <v>4</v>
      </c>
      <c r="H3315" s="25" t="n">
        <v>26</v>
      </c>
      <c r="I3315" s="25" t="inlineStr">
        <is>
          <t>9 minute(s) and 43 second(s)</t>
        </is>
      </c>
      <c r="J3315" s="25">
        <f>IFERROR(VALUE(TRIM(LEFT(I3315,FIND("minute",I3315)-1)))*60,0)+IFERROR(VALUE(SUBSTITUTE(MID(I3315,IFERROR(FIND("and",I3315)+3,1),20),"second(s)","")),0)</f>
        <v/>
      </c>
      <c r="K3315" s="41">
        <f>J3315/60</f>
        <v/>
      </c>
      <c r="L3315" s="41">
        <f>IFERROR(J3315/H3315,"")</f>
        <v/>
      </c>
      <c r="M3315" s="25" t="inlineStr">
        <is>
          <t>2.5.12</t>
        </is>
      </c>
      <c r="N3315" s="25">
        <f>IF(J3315&gt;300,1,0)</f>
        <v/>
      </c>
      <c r="O3315" s="25">
        <f>IF(J3315&gt;600,1,0)</f>
        <v/>
      </c>
      <c r="P3315" s="25">
        <f>IF(H3315&gt;0,J3315,"")</f>
        <v/>
      </c>
      <c r="Q3315" s="25">
        <f>TEXT(A3315,"YYYY-MM-DD HH")</f>
        <v/>
      </c>
      <c r="R3315" s="25">
        <f>COUNTIF($Q$2:$Q$5295,Q3315)</f>
        <v/>
      </c>
      <c r="S3315" s="25">
        <f>IF(R3315&lt;=2,"1-2",IF(R3315&lt;=5,"3-5",IF(R3315&lt;=10,"6-10","11+")))</f>
        <v/>
      </c>
    </row>
    <row r="3316">
      <c r="A3316" s="39" t="n">
        <v>46202.90770833333</v>
      </c>
      <c r="B3316" s="25">
        <f>TEXT(A3316,"YYYY-MM")</f>
        <v/>
      </c>
      <c r="C3316" s="25">
        <f>TEXT(A3316,"MMM-YYYY")</f>
        <v/>
      </c>
      <c r="D3316" s="40">
        <f>INT(A3316)-WEEKDAY(A3316,2)+1</f>
        <v/>
      </c>
      <c r="E3316" s="25" t="inlineStr">
        <is>
          <t>dchoudhury</t>
        </is>
      </c>
      <c r="F3316" s="25" t="n">
        <v>125549</v>
      </c>
      <c r="G3316" s="25" t="n">
        <v>2</v>
      </c>
      <c r="H3316" s="25" t="n">
        <v>8</v>
      </c>
      <c r="I3316" s="25" t="inlineStr">
        <is>
          <t>3 minute(s) and 0 second(s)</t>
        </is>
      </c>
      <c r="J3316" s="25">
        <f>IFERROR(VALUE(TRIM(LEFT(I3316,FIND("minute",I3316)-1)))*60,0)+IFERROR(VALUE(SUBSTITUTE(MID(I3316,IFERROR(FIND("and",I3316)+3,1),20),"second(s)","")),0)</f>
        <v/>
      </c>
      <c r="K3316" s="41">
        <f>J3316/60</f>
        <v/>
      </c>
      <c r="L3316" s="41">
        <f>IFERROR(J3316/H3316,"")</f>
        <v/>
      </c>
      <c r="M3316" s="25" t="inlineStr">
        <is>
          <t>2.5.12</t>
        </is>
      </c>
      <c r="N3316" s="25">
        <f>IF(J3316&gt;300,1,0)</f>
        <v/>
      </c>
      <c r="O3316" s="25">
        <f>IF(J3316&gt;600,1,0)</f>
        <v/>
      </c>
      <c r="P3316" s="25">
        <f>IF(H3316&gt;0,J3316,"")</f>
        <v/>
      </c>
      <c r="Q3316" s="25">
        <f>TEXT(A3316,"YYYY-MM-DD HH")</f>
        <v/>
      </c>
      <c r="R3316" s="25">
        <f>COUNTIF($Q$2:$Q$5295,Q3316)</f>
        <v/>
      </c>
      <c r="S3316" s="25">
        <f>IF(R3316&lt;=2,"1-2",IF(R3316&lt;=5,"3-5",IF(R3316&lt;=10,"6-10","11+")))</f>
        <v/>
      </c>
    </row>
    <row r="3317">
      <c r="A3317" s="39" t="n">
        <v>46202.92512731482</v>
      </c>
      <c r="B3317" s="25">
        <f>TEXT(A3317,"YYYY-MM")</f>
        <v/>
      </c>
      <c r="C3317" s="25">
        <f>TEXT(A3317,"MMM-YYYY")</f>
        <v/>
      </c>
      <c r="D3317" s="40">
        <f>INT(A3317)-WEEKDAY(A3317,2)+1</f>
        <v/>
      </c>
      <c r="E3317" s="25" t="inlineStr">
        <is>
          <t>ssaha</t>
        </is>
      </c>
      <c r="F3317" s="25" t="n">
        <v>124644</v>
      </c>
      <c r="G3317" s="25" t="n">
        <v>2</v>
      </c>
      <c r="H3317" s="25" t="n">
        <v>7</v>
      </c>
      <c r="I3317" s="25" t="inlineStr">
        <is>
          <t>1 minute(s) and 28 second(s)</t>
        </is>
      </c>
      <c r="J3317" s="25">
        <f>IFERROR(VALUE(TRIM(LEFT(I3317,FIND("minute",I3317)-1)))*60,0)+IFERROR(VALUE(SUBSTITUTE(MID(I3317,IFERROR(FIND("and",I3317)+3,1),20),"second(s)","")),0)</f>
        <v/>
      </c>
      <c r="K3317" s="41">
        <f>J3317/60</f>
        <v/>
      </c>
      <c r="L3317" s="41">
        <f>IFERROR(J3317/H3317,"")</f>
        <v/>
      </c>
      <c r="M3317" s="25" t="inlineStr">
        <is>
          <t>2.5.12</t>
        </is>
      </c>
      <c r="N3317" s="25">
        <f>IF(J3317&gt;300,1,0)</f>
        <v/>
      </c>
      <c r="O3317" s="25">
        <f>IF(J3317&gt;600,1,0)</f>
        <v/>
      </c>
      <c r="P3317" s="25">
        <f>IF(H3317&gt;0,J3317,"")</f>
        <v/>
      </c>
      <c r="Q3317" s="25">
        <f>TEXT(A3317,"YYYY-MM-DD HH")</f>
        <v/>
      </c>
      <c r="R3317" s="25">
        <f>COUNTIF($Q$2:$Q$5295,Q3317)</f>
        <v/>
      </c>
      <c r="S3317" s="25">
        <f>IF(R3317&lt;=2,"1-2",IF(R3317&lt;=5,"3-5",IF(R3317&lt;=10,"6-10","11+")))</f>
        <v/>
      </c>
    </row>
    <row r="3318">
      <c r="A3318" s="39" t="n">
        <v>46202.9315162037</v>
      </c>
      <c r="B3318" s="25">
        <f>TEXT(A3318,"YYYY-MM")</f>
        <v/>
      </c>
      <c r="C3318" s="25">
        <f>TEXT(A3318,"MMM-YYYY")</f>
        <v/>
      </c>
      <c r="D3318" s="40">
        <f>INT(A3318)-WEEKDAY(A3318,2)+1</f>
        <v/>
      </c>
      <c r="E3318" s="25" t="inlineStr">
        <is>
          <t>dchoudhury</t>
        </is>
      </c>
      <c r="F3318" s="25" t="n">
        <v>125549</v>
      </c>
      <c r="G3318" s="25" t="n">
        <v>2</v>
      </c>
      <c r="H3318" s="25" t="n">
        <v>8</v>
      </c>
      <c r="I3318" s="25" t="inlineStr">
        <is>
          <t>1 minute(s) and 15 second(s)</t>
        </is>
      </c>
      <c r="J3318" s="25">
        <f>IFERROR(VALUE(TRIM(LEFT(I3318,FIND("minute",I3318)-1)))*60,0)+IFERROR(VALUE(SUBSTITUTE(MID(I3318,IFERROR(FIND("and",I3318)+3,1),20),"second(s)","")),0)</f>
        <v/>
      </c>
      <c r="K3318" s="41">
        <f>J3318/60</f>
        <v/>
      </c>
      <c r="L3318" s="41">
        <f>IFERROR(J3318/H3318,"")</f>
        <v/>
      </c>
      <c r="M3318" s="25" t="inlineStr">
        <is>
          <t>2.5.12</t>
        </is>
      </c>
      <c r="N3318" s="25">
        <f>IF(J3318&gt;300,1,0)</f>
        <v/>
      </c>
      <c r="O3318" s="25">
        <f>IF(J3318&gt;600,1,0)</f>
        <v/>
      </c>
      <c r="P3318" s="25">
        <f>IF(H3318&gt;0,J3318,"")</f>
        <v/>
      </c>
      <c r="Q3318" s="25">
        <f>TEXT(A3318,"YYYY-MM-DD HH")</f>
        <v/>
      </c>
      <c r="R3318" s="25">
        <f>COUNTIF($Q$2:$Q$5295,Q3318)</f>
        <v/>
      </c>
      <c r="S3318" s="25">
        <f>IF(R3318&lt;=2,"1-2",IF(R3318&lt;=5,"3-5",IF(R3318&lt;=10,"6-10","11+")))</f>
        <v/>
      </c>
    </row>
    <row r="3319">
      <c r="A3319" s="39" t="n">
        <v>46203.39324074074</v>
      </c>
      <c r="B3319" s="25">
        <f>TEXT(A3319,"YYYY-MM")</f>
        <v/>
      </c>
      <c r="C3319" s="25">
        <f>TEXT(A3319,"MMM-YYYY")</f>
        <v/>
      </c>
      <c r="D3319" s="40">
        <f>INT(A3319)-WEEKDAY(A3319,2)+1</f>
        <v/>
      </c>
      <c r="E3319" s="25" t="inlineStr">
        <is>
          <t>stiwari</t>
        </is>
      </c>
      <c r="F3319" s="25" t="n">
        <v>119530</v>
      </c>
      <c r="G3319" s="25" t="n">
        <v>1</v>
      </c>
      <c r="H3319" s="25" t="n">
        <v>7</v>
      </c>
      <c r="I3319" s="25" t="inlineStr">
        <is>
          <t>1 minute(s) and 0 second(s)</t>
        </is>
      </c>
      <c r="J3319" s="25">
        <f>IFERROR(VALUE(TRIM(LEFT(I3319,FIND("minute",I3319)-1)))*60,0)+IFERROR(VALUE(SUBSTITUTE(MID(I3319,IFERROR(FIND("and",I3319)+3,1),20),"second(s)","")),0)</f>
        <v/>
      </c>
      <c r="K3319" s="41">
        <f>J3319/60</f>
        <v/>
      </c>
      <c r="L3319" s="41">
        <f>IFERROR(J3319/H3319,"")</f>
        <v/>
      </c>
      <c r="M3319" s="25" t="inlineStr">
        <is>
          <t>2.5.12</t>
        </is>
      </c>
      <c r="N3319" s="25">
        <f>IF(J3319&gt;300,1,0)</f>
        <v/>
      </c>
      <c r="O3319" s="25">
        <f>IF(J3319&gt;600,1,0)</f>
        <v/>
      </c>
      <c r="P3319" s="25">
        <f>IF(H3319&gt;0,J3319,"")</f>
        <v/>
      </c>
      <c r="Q3319" s="25">
        <f>TEXT(A3319,"YYYY-MM-DD HH")</f>
        <v/>
      </c>
      <c r="R3319" s="25">
        <f>COUNTIF($Q$2:$Q$5295,Q3319)</f>
        <v/>
      </c>
      <c r="S3319" s="25">
        <f>IF(R3319&lt;=2,"1-2",IF(R3319&lt;=5,"3-5",IF(R3319&lt;=10,"6-10","11+")))</f>
        <v/>
      </c>
    </row>
    <row r="3320">
      <c r="A3320" s="39" t="n">
        <v>46203.41810185185</v>
      </c>
      <c r="B3320" s="25">
        <f>TEXT(A3320,"YYYY-MM")</f>
        <v/>
      </c>
      <c r="C3320" s="25">
        <f>TEXT(A3320,"MMM-YYYY")</f>
        <v/>
      </c>
      <c r="D3320" s="40">
        <f>INT(A3320)-WEEKDAY(A3320,2)+1</f>
        <v/>
      </c>
      <c r="E3320" s="25" t="inlineStr">
        <is>
          <t>ethomas</t>
        </is>
      </c>
      <c r="F3320" s="25" t="n">
        <v>127783</v>
      </c>
      <c r="G3320" s="25" t="n">
        <v>1</v>
      </c>
      <c r="H3320" s="25" t="n">
        <v>5</v>
      </c>
      <c r="I3320" s="25" t="inlineStr">
        <is>
          <t>50 second(s)</t>
        </is>
      </c>
      <c r="J3320" s="25">
        <f>IFERROR(VALUE(TRIM(LEFT(I3320,FIND("minute",I3320)-1)))*60,0)+IFERROR(VALUE(SUBSTITUTE(MID(I3320,IFERROR(FIND("and",I3320)+3,1),20),"second(s)","")),0)</f>
        <v/>
      </c>
      <c r="K3320" s="41">
        <f>J3320/60</f>
        <v/>
      </c>
      <c r="L3320" s="41">
        <f>IFERROR(J3320/H3320,"")</f>
        <v/>
      </c>
      <c r="M3320" s="25" t="inlineStr">
        <is>
          <t>2.5.12</t>
        </is>
      </c>
      <c r="N3320" s="25">
        <f>IF(J3320&gt;300,1,0)</f>
        <v/>
      </c>
      <c r="O3320" s="25">
        <f>IF(J3320&gt;600,1,0)</f>
        <v/>
      </c>
      <c r="P3320" s="25">
        <f>IF(H3320&gt;0,J3320,"")</f>
        <v/>
      </c>
      <c r="Q3320" s="25">
        <f>TEXT(A3320,"YYYY-MM-DD HH")</f>
        <v/>
      </c>
      <c r="R3320" s="25">
        <f>COUNTIF($Q$2:$Q$5295,Q3320)</f>
        <v/>
      </c>
      <c r="S3320" s="25">
        <f>IF(R3320&lt;=2,"1-2",IF(R3320&lt;=5,"3-5",IF(R3320&lt;=10,"6-10","11+")))</f>
        <v/>
      </c>
    </row>
    <row r="3321">
      <c r="A3321" s="39" t="n">
        <v>46203.46810185185</v>
      </c>
      <c r="B3321" s="25">
        <f>TEXT(A3321,"YYYY-MM")</f>
        <v/>
      </c>
      <c r="C3321" s="25">
        <f>TEXT(A3321,"MMM-YYYY")</f>
        <v/>
      </c>
      <c r="D3321" s="40">
        <f>INT(A3321)-WEEKDAY(A3321,2)+1</f>
        <v/>
      </c>
      <c r="E3321" s="25" t="inlineStr">
        <is>
          <t>apriyadarshi</t>
        </is>
      </c>
      <c r="F3321" s="25" t="n">
        <v>121206</v>
      </c>
      <c r="G3321" s="25" t="n">
        <v>5</v>
      </c>
      <c r="H3321" s="25" t="n">
        <v>28</v>
      </c>
      <c r="I3321" s="25" t="inlineStr">
        <is>
          <t>7 minute(s) and 8 second(s)</t>
        </is>
      </c>
      <c r="J3321" s="25">
        <f>IFERROR(VALUE(TRIM(LEFT(I3321,FIND("minute",I3321)-1)))*60,0)+IFERROR(VALUE(SUBSTITUTE(MID(I3321,IFERROR(FIND("and",I3321)+3,1),20),"second(s)","")),0)</f>
        <v/>
      </c>
      <c r="K3321" s="41">
        <f>J3321/60</f>
        <v/>
      </c>
      <c r="L3321" s="41">
        <f>IFERROR(J3321/H3321,"")</f>
        <v/>
      </c>
      <c r="M3321" s="25" t="inlineStr">
        <is>
          <t>2.5.12</t>
        </is>
      </c>
      <c r="N3321" s="25">
        <f>IF(J3321&gt;300,1,0)</f>
        <v/>
      </c>
      <c r="O3321" s="25">
        <f>IF(J3321&gt;600,1,0)</f>
        <v/>
      </c>
      <c r="P3321" s="25">
        <f>IF(H3321&gt;0,J3321,"")</f>
        <v/>
      </c>
      <c r="Q3321" s="25">
        <f>TEXT(A3321,"YYYY-MM-DD HH")</f>
        <v/>
      </c>
      <c r="R3321" s="25">
        <f>COUNTIF($Q$2:$Q$5295,Q3321)</f>
        <v/>
      </c>
      <c r="S3321" s="25">
        <f>IF(R3321&lt;=2,"1-2",IF(R3321&lt;=5,"3-5",IF(R3321&lt;=10,"6-10","11+")))</f>
        <v/>
      </c>
    </row>
    <row r="3322">
      <c r="A3322" s="39" t="n">
        <v>46203.48962962963</v>
      </c>
      <c r="B3322" s="25">
        <f>TEXT(A3322,"YYYY-MM")</f>
        <v/>
      </c>
      <c r="C3322" s="25">
        <f>TEXT(A3322,"MMM-YYYY")</f>
        <v/>
      </c>
      <c r="D3322" s="40">
        <f>INT(A3322)-WEEKDAY(A3322,2)+1</f>
        <v/>
      </c>
      <c r="E3322" s="25" t="inlineStr">
        <is>
          <t>apriyadarshi</t>
        </is>
      </c>
      <c r="F3322" s="25" t="n">
        <v>121206</v>
      </c>
      <c r="G3322" s="25" t="n">
        <v>1</v>
      </c>
      <c r="H3322" s="25" t="n">
        <v>8</v>
      </c>
      <c r="I3322" s="25" t="inlineStr">
        <is>
          <t>1 minute(s) and 50 second(s)</t>
        </is>
      </c>
      <c r="J3322" s="25">
        <f>IFERROR(VALUE(TRIM(LEFT(I3322,FIND("minute",I3322)-1)))*60,0)+IFERROR(VALUE(SUBSTITUTE(MID(I3322,IFERROR(FIND("and",I3322)+3,1),20),"second(s)","")),0)</f>
        <v/>
      </c>
      <c r="K3322" s="41">
        <f>J3322/60</f>
        <v/>
      </c>
      <c r="L3322" s="41">
        <f>IFERROR(J3322/H3322,"")</f>
        <v/>
      </c>
      <c r="M3322" s="25" t="inlineStr">
        <is>
          <t>2.5.12</t>
        </is>
      </c>
      <c r="N3322" s="25">
        <f>IF(J3322&gt;300,1,0)</f>
        <v/>
      </c>
      <c r="O3322" s="25">
        <f>IF(J3322&gt;600,1,0)</f>
        <v/>
      </c>
      <c r="P3322" s="25">
        <f>IF(H3322&gt;0,J3322,"")</f>
        <v/>
      </c>
      <c r="Q3322" s="25">
        <f>TEXT(A3322,"YYYY-MM-DD HH")</f>
        <v/>
      </c>
      <c r="R3322" s="25">
        <f>COUNTIF($Q$2:$Q$5295,Q3322)</f>
        <v/>
      </c>
      <c r="S3322" s="25">
        <f>IF(R3322&lt;=2,"1-2",IF(R3322&lt;=5,"3-5",IF(R3322&lt;=10,"6-10","11+")))</f>
        <v/>
      </c>
    </row>
    <row r="3323">
      <c r="A3323" s="39" t="n">
        <v>46203.60047453704</v>
      </c>
      <c r="B3323" s="25">
        <f>TEXT(A3323,"YYYY-MM")</f>
        <v/>
      </c>
      <c r="C3323" s="25">
        <f>TEXT(A3323,"MMM-YYYY")</f>
        <v/>
      </c>
      <c r="D3323" s="40">
        <f>INT(A3323)-WEEKDAY(A3323,2)+1</f>
        <v/>
      </c>
      <c r="E3323" s="25" t="inlineStr">
        <is>
          <t>sthomas</t>
        </is>
      </c>
      <c r="F3323" s="25" t="n">
        <v>120305</v>
      </c>
      <c r="G3323" s="25" t="n">
        <v>1</v>
      </c>
      <c r="H3323" s="25" t="n">
        <v>8</v>
      </c>
      <c r="I3323" s="25" t="inlineStr">
        <is>
          <t>2 minute(s) and 24 second(s)</t>
        </is>
      </c>
      <c r="J3323" s="25">
        <f>IFERROR(VALUE(TRIM(LEFT(I3323,FIND("minute",I3323)-1)))*60,0)+IFERROR(VALUE(SUBSTITUTE(MID(I3323,IFERROR(FIND("and",I3323)+3,1),20),"second(s)","")),0)</f>
        <v/>
      </c>
      <c r="K3323" s="41">
        <f>J3323/60</f>
        <v/>
      </c>
      <c r="L3323" s="41">
        <f>IFERROR(J3323/H3323,"")</f>
        <v/>
      </c>
      <c r="M3323" s="25" t="inlineStr">
        <is>
          <t>2.5.12</t>
        </is>
      </c>
      <c r="N3323" s="25">
        <f>IF(J3323&gt;300,1,0)</f>
        <v/>
      </c>
      <c r="O3323" s="25">
        <f>IF(J3323&gt;600,1,0)</f>
        <v/>
      </c>
      <c r="P3323" s="25">
        <f>IF(H3323&gt;0,J3323,"")</f>
        <v/>
      </c>
      <c r="Q3323" s="25">
        <f>TEXT(A3323,"YYYY-MM-DD HH")</f>
        <v/>
      </c>
      <c r="R3323" s="25">
        <f>COUNTIF($Q$2:$Q$5295,Q3323)</f>
        <v/>
      </c>
      <c r="S3323" s="25">
        <f>IF(R3323&lt;=2,"1-2",IF(R3323&lt;=5,"3-5",IF(R3323&lt;=10,"6-10","11+")))</f>
        <v/>
      </c>
    </row>
    <row r="3324">
      <c r="A3324" s="39" t="n">
        <v>46203.62616898148</v>
      </c>
      <c r="B3324" s="25">
        <f>TEXT(A3324,"YYYY-MM")</f>
        <v/>
      </c>
      <c r="C3324" s="25">
        <f>TEXT(A3324,"MMM-YYYY")</f>
        <v/>
      </c>
      <c r="D3324" s="40">
        <f>INT(A3324)-WEEKDAY(A3324,2)+1</f>
        <v/>
      </c>
      <c r="E3324" s="25" t="inlineStr">
        <is>
          <t>ssaha</t>
        </is>
      </c>
      <c r="F3324" s="25" t="n">
        <v>122584</v>
      </c>
      <c r="G3324" s="25" t="n">
        <v>1</v>
      </c>
      <c r="H3324" s="25" t="n">
        <v>3</v>
      </c>
      <c r="I3324" s="25" t="inlineStr">
        <is>
          <t>27 second(s)</t>
        </is>
      </c>
      <c r="J3324" s="25">
        <f>IFERROR(VALUE(TRIM(LEFT(I3324,FIND("minute",I3324)-1)))*60,0)+IFERROR(VALUE(SUBSTITUTE(MID(I3324,IFERROR(FIND("and",I3324)+3,1),20),"second(s)","")),0)</f>
        <v/>
      </c>
      <c r="K3324" s="41">
        <f>J3324/60</f>
        <v/>
      </c>
      <c r="L3324" s="41">
        <f>IFERROR(J3324/H3324,"")</f>
        <v/>
      </c>
      <c r="M3324" s="25" t="inlineStr">
        <is>
          <t>2.5.12</t>
        </is>
      </c>
      <c r="N3324" s="25">
        <f>IF(J3324&gt;300,1,0)</f>
        <v/>
      </c>
      <c r="O3324" s="25">
        <f>IF(J3324&gt;600,1,0)</f>
        <v/>
      </c>
      <c r="P3324" s="25">
        <f>IF(H3324&gt;0,J3324,"")</f>
        <v/>
      </c>
      <c r="Q3324" s="25">
        <f>TEXT(A3324,"YYYY-MM-DD HH")</f>
        <v/>
      </c>
      <c r="R3324" s="25">
        <f>COUNTIF($Q$2:$Q$5295,Q3324)</f>
        <v/>
      </c>
      <c r="S3324" s="25">
        <f>IF(R3324&lt;=2,"1-2",IF(R3324&lt;=5,"3-5",IF(R3324&lt;=10,"6-10","11+")))</f>
        <v/>
      </c>
    </row>
    <row r="3325">
      <c r="A3325" s="39" t="n">
        <v>46203.63953703704</v>
      </c>
      <c r="B3325" s="25">
        <f>TEXT(A3325,"YYYY-MM")</f>
        <v/>
      </c>
      <c r="C3325" s="25">
        <f>TEXT(A3325,"MMM-YYYY")</f>
        <v/>
      </c>
      <c r="D3325" s="40">
        <f>INT(A3325)-WEEKDAY(A3325,2)+1</f>
        <v/>
      </c>
      <c r="E3325" s="25" t="inlineStr">
        <is>
          <t>ssaha</t>
        </is>
      </c>
      <c r="F3325" s="25" t="n">
        <v>123852</v>
      </c>
      <c r="G3325" s="25" t="n">
        <v>1</v>
      </c>
      <c r="H3325" s="25" t="n">
        <v>3</v>
      </c>
      <c r="I3325" s="25" t="inlineStr">
        <is>
          <t>35 second(s)</t>
        </is>
      </c>
      <c r="J3325" s="25">
        <f>IFERROR(VALUE(TRIM(LEFT(I3325,FIND("minute",I3325)-1)))*60,0)+IFERROR(VALUE(SUBSTITUTE(MID(I3325,IFERROR(FIND("and",I3325)+3,1),20),"second(s)","")),0)</f>
        <v/>
      </c>
      <c r="K3325" s="41">
        <f>J3325/60</f>
        <v/>
      </c>
      <c r="L3325" s="41">
        <f>IFERROR(J3325/H3325,"")</f>
        <v/>
      </c>
      <c r="M3325" s="25" t="inlineStr">
        <is>
          <t>2.5.12</t>
        </is>
      </c>
      <c r="N3325" s="25">
        <f>IF(J3325&gt;300,1,0)</f>
        <v/>
      </c>
      <c r="O3325" s="25">
        <f>IF(J3325&gt;600,1,0)</f>
        <v/>
      </c>
      <c r="P3325" s="25">
        <f>IF(H3325&gt;0,J3325,"")</f>
        <v/>
      </c>
      <c r="Q3325" s="25">
        <f>TEXT(A3325,"YYYY-MM-DD HH")</f>
        <v/>
      </c>
      <c r="R3325" s="25">
        <f>COUNTIF($Q$2:$Q$5295,Q3325)</f>
        <v/>
      </c>
      <c r="S3325" s="25">
        <f>IF(R3325&lt;=2,"1-2",IF(R3325&lt;=5,"3-5",IF(R3325&lt;=10,"6-10","11+")))</f>
        <v/>
      </c>
    </row>
    <row r="3326">
      <c r="A3326" s="39" t="n">
        <v>46203.90905092593</v>
      </c>
      <c r="B3326" s="25">
        <f>TEXT(A3326,"YYYY-MM")</f>
        <v/>
      </c>
      <c r="C3326" s="25">
        <f>TEXT(A3326,"MMM-YYYY")</f>
        <v/>
      </c>
      <c r="D3326" s="40">
        <f>INT(A3326)-WEEKDAY(A3326,2)+1</f>
        <v/>
      </c>
      <c r="E3326" s="25" t="inlineStr">
        <is>
          <t>sthomas</t>
        </is>
      </c>
      <c r="F3326" s="25" t="n">
        <v>120305</v>
      </c>
      <c r="G3326" s="25" t="n">
        <v>3</v>
      </c>
      <c r="H3326" s="25" t="n">
        <v>21</v>
      </c>
      <c r="I3326" s="25" t="inlineStr">
        <is>
          <t>8 minute(s) and 10 second(s)</t>
        </is>
      </c>
      <c r="J3326" s="25">
        <f>IFERROR(VALUE(TRIM(LEFT(I3326,FIND("minute",I3326)-1)))*60,0)+IFERROR(VALUE(SUBSTITUTE(MID(I3326,IFERROR(FIND("and",I3326)+3,1),20),"second(s)","")),0)</f>
        <v/>
      </c>
      <c r="K3326" s="41">
        <f>J3326/60</f>
        <v/>
      </c>
      <c r="L3326" s="41">
        <f>IFERROR(J3326/H3326,"")</f>
        <v/>
      </c>
      <c r="M3326" s="25" t="inlineStr">
        <is>
          <t>2.5.12</t>
        </is>
      </c>
      <c r="N3326" s="25">
        <f>IF(J3326&gt;300,1,0)</f>
        <v/>
      </c>
      <c r="O3326" s="25">
        <f>IF(J3326&gt;600,1,0)</f>
        <v/>
      </c>
      <c r="P3326" s="25">
        <f>IF(H3326&gt;0,J3326,"")</f>
        <v/>
      </c>
      <c r="Q3326" s="25">
        <f>TEXT(A3326,"YYYY-MM-DD HH")</f>
        <v/>
      </c>
      <c r="R3326" s="25">
        <f>COUNTIF($Q$2:$Q$5295,Q3326)</f>
        <v/>
      </c>
      <c r="S3326" s="25">
        <f>IF(R3326&lt;=2,"1-2",IF(R3326&lt;=5,"3-5",IF(R3326&lt;=10,"6-10","11+")))</f>
        <v/>
      </c>
    </row>
    <row r="3327">
      <c r="A3327" s="39" t="n">
        <v>46204.07530092593</v>
      </c>
      <c r="B3327" s="25">
        <f>TEXT(A3327,"YYYY-MM")</f>
        <v/>
      </c>
      <c r="C3327" s="25">
        <f>TEXT(A3327,"MMM-YYYY")</f>
        <v/>
      </c>
      <c r="D3327" s="40">
        <f>INT(A3327)-WEEKDAY(A3327,2)+1</f>
        <v/>
      </c>
      <c r="E3327" s="25" t="inlineStr">
        <is>
          <t>stiwari</t>
        </is>
      </c>
      <c r="F3327" s="25" t="n">
        <v>13203</v>
      </c>
      <c r="G3327" s="25" t="n">
        <v>1</v>
      </c>
      <c r="H3327" s="25" t="n">
        <v>5</v>
      </c>
      <c r="I3327" s="25" t="inlineStr">
        <is>
          <t>2 minute(s) and 6 second(s)</t>
        </is>
      </c>
      <c r="J3327" s="25">
        <f>IFERROR(VALUE(TRIM(LEFT(I3327,FIND("minute",I3327)-1)))*60,0)+IFERROR(VALUE(SUBSTITUTE(MID(I3327,IFERROR(FIND("and",I3327)+3,1),20),"second(s)","")),0)</f>
        <v/>
      </c>
      <c r="K3327" s="41">
        <f>J3327/60</f>
        <v/>
      </c>
      <c r="L3327" s="41">
        <f>IFERROR(J3327/H3327,"")</f>
        <v/>
      </c>
      <c r="M3327" s="25" t="inlineStr">
        <is>
          <t>2.5.12</t>
        </is>
      </c>
      <c r="N3327" s="25">
        <f>IF(J3327&gt;300,1,0)</f>
        <v/>
      </c>
      <c r="O3327" s="25">
        <f>IF(J3327&gt;600,1,0)</f>
        <v/>
      </c>
      <c r="P3327" s="25">
        <f>IF(H3327&gt;0,J3327,"")</f>
        <v/>
      </c>
      <c r="Q3327" s="25">
        <f>TEXT(A3327,"YYYY-MM-DD HH")</f>
        <v/>
      </c>
      <c r="R3327" s="25">
        <f>COUNTIF($Q$2:$Q$5295,Q3327)</f>
        <v/>
      </c>
      <c r="S3327" s="25">
        <f>IF(R3327&lt;=2,"1-2",IF(R3327&lt;=5,"3-5",IF(R3327&lt;=10,"6-10","11+")))</f>
        <v/>
      </c>
    </row>
    <row r="3328">
      <c r="A3328" s="39" t="n">
        <v>46204.10518518519</v>
      </c>
      <c r="B3328" s="25">
        <f>TEXT(A3328,"YYYY-MM")</f>
        <v/>
      </c>
      <c r="C3328" s="25">
        <f>TEXT(A3328,"MMM-YYYY")</f>
        <v/>
      </c>
      <c r="D3328" s="40">
        <f>INT(A3328)-WEEKDAY(A3328,2)+1</f>
        <v/>
      </c>
      <c r="E3328" s="25" t="inlineStr">
        <is>
          <t>ethomas</t>
        </is>
      </c>
      <c r="F3328" s="25" t="n">
        <v>81026</v>
      </c>
      <c r="G3328" s="25" t="n">
        <v>1</v>
      </c>
      <c r="H3328" s="25" t="n">
        <v>7</v>
      </c>
      <c r="I3328" s="25" t="inlineStr">
        <is>
          <t>4 minute(s) and 3 second(s)</t>
        </is>
      </c>
      <c r="J3328" s="25">
        <f>IFERROR(VALUE(TRIM(LEFT(I3328,FIND("minute",I3328)-1)))*60,0)+IFERROR(VALUE(SUBSTITUTE(MID(I3328,IFERROR(FIND("and",I3328)+3,1),20),"second(s)","")),0)</f>
        <v/>
      </c>
      <c r="K3328" s="41">
        <f>J3328/60</f>
        <v/>
      </c>
      <c r="L3328" s="41">
        <f>IFERROR(J3328/H3328,"")</f>
        <v/>
      </c>
      <c r="M3328" s="25" t="inlineStr">
        <is>
          <t>2.5.12</t>
        </is>
      </c>
      <c r="N3328" s="25">
        <f>IF(J3328&gt;300,1,0)</f>
        <v/>
      </c>
      <c r="O3328" s="25">
        <f>IF(J3328&gt;600,1,0)</f>
        <v/>
      </c>
      <c r="P3328" s="25">
        <f>IF(H3328&gt;0,J3328,"")</f>
        <v/>
      </c>
      <c r="Q3328" s="25">
        <f>TEXT(A3328,"YYYY-MM-DD HH")</f>
        <v/>
      </c>
      <c r="R3328" s="25">
        <f>COUNTIF($Q$2:$Q$5295,Q3328)</f>
        <v/>
      </c>
      <c r="S3328" s="25">
        <f>IF(R3328&lt;=2,"1-2",IF(R3328&lt;=5,"3-5",IF(R3328&lt;=10,"6-10","11+")))</f>
        <v/>
      </c>
    </row>
    <row r="3329">
      <c r="A3329" s="39" t="n">
        <v>46204.23111111111</v>
      </c>
      <c r="B3329" s="25">
        <f>TEXT(A3329,"YYYY-MM")</f>
        <v/>
      </c>
      <c r="C3329" s="25">
        <f>TEXT(A3329,"MMM-YYYY")</f>
        <v/>
      </c>
      <c r="D3329" s="40">
        <f>INT(A3329)-WEEKDAY(A3329,2)+1</f>
        <v/>
      </c>
      <c r="E3329" s="25" t="inlineStr">
        <is>
          <t>apriyadarshi</t>
        </is>
      </c>
      <c r="F3329" s="25" t="n">
        <v>128553</v>
      </c>
      <c r="G3329" s="25" t="n">
        <v>2</v>
      </c>
      <c r="H3329" s="25" t="n">
        <v>6</v>
      </c>
      <c r="I3329" s="25" t="inlineStr">
        <is>
          <t>1 minute(s) and 21 second(s)</t>
        </is>
      </c>
      <c r="J3329" s="25">
        <f>IFERROR(VALUE(TRIM(LEFT(I3329,FIND("minute",I3329)-1)))*60,0)+IFERROR(VALUE(SUBSTITUTE(MID(I3329,IFERROR(FIND("and",I3329)+3,1),20),"second(s)","")),0)</f>
        <v/>
      </c>
      <c r="K3329" s="41">
        <f>J3329/60</f>
        <v/>
      </c>
      <c r="L3329" s="41">
        <f>IFERROR(J3329/H3329,"")</f>
        <v/>
      </c>
      <c r="M3329" s="25" t="inlineStr">
        <is>
          <t>2.5.12</t>
        </is>
      </c>
      <c r="N3329" s="25">
        <f>IF(J3329&gt;300,1,0)</f>
        <v/>
      </c>
      <c r="O3329" s="25">
        <f>IF(J3329&gt;600,1,0)</f>
        <v/>
      </c>
      <c r="P3329" s="25">
        <f>IF(H3329&gt;0,J3329,"")</f>
        <v/>
      </c>
      <c r="Q3329" s="25">
        <f>TEXT(A3329,"YYYY-MM-DD HH")</f>
        <v/>
      </c>
      <c r="R3329" s="25">
        <f>COUNTIF($Q$2:$Q$5295,Q3329)</f>
        <v/>
      </c>
      <c r="S3329" s="25">
        <f>IF(R3329&lt;=2,"1-2",IF(R3329&lt;=5,"3-5",IF(R3329&lt;=10,"6-10","11+")))</f>
        <v/>
      </c>
    </row>
    <row r="3330">
      <c r="A3330" s="39" t="n">
        <v>46204.24269675926</v>
      </c>
      <c r="B3330" s="25">
        <f>TEXT(A3330,"YYYY-MM")</f>
        <v/>
      </c>
      <c r="C3330" s="25">
        <f>TEXT(A3330,"MMM-YYYY")</f>
        <v/>
      </c>
      <c r="D3330" s="40">
        <f>INT(A3330)-WEEKDAY(A3330,2)+1</f>
        <v/>
      </c>
      <c r="E3330" s="25" t="inlineStr">
        <is>
          <t>dbhattacharyya</t>
        </is>
      </c>
      <c r="F3330" s="25" t="n">
        <v>128601</v>
      </c>
      <c r="G3330" s="25" t="n">
        <v>5</v>
      </c>
      <c r="H3330" s="25" t="n">
        <v>23</v>
      </c>
      <c r="I3330" s="25" t="inlineStr">
        <is>
          <t>4 minute(s) and 42 second(s)</t>
        </is>
      </c>
      <c r="J3330" s="25">
        <f>IFERROR(VALUE(TRIM(LEFT(I3330,FIND("minute",I3330)-1)))*60,0)+IFERROR(VALUE(SUBSTITUTE(MID(I3330,IFERROR(FIND("and",I3330)+3,1),20),"second(s)","")),0)</f>
        <v/>
      </c>
      <c r="K3330" s="41">
        <f>J3330/60</f>
        <v/>
      </c>
      <c r="L3330" s="41">
        <f>IFERROR(J3330/H3330,"")</f>
        <v/>
      </c>
      <c r="M3330" s="25" t="inlineStr">
        <is>
          <t>2.5.12</t>
        </is>
      </c>
      <c r="N3330" s="25">
        <f>IF(J3330&gt;300,1,0)</f>
        <v/>
      </c>
      <c r="O3330" s="25">
        <f>IF(J3330&gt;600,1,0)</f>
        <v/>
      </c>
      <c r="P3330" s="25">
        <f>IF(H3330&gt;0,J3330,"")</f>
        <v/>
      </c>
      <c r="Q3330" s="25">
        <f>TEXT(A3330,"YYYY-MM-DD HH")</f>
        <v/>
      </c>
      <c r="R3330" s="25">
        <f>COUNTIF($Q$2:$Q$5295,Q3330)</f>
        <v/>
      </c>
      <c r="S3330" s="25">
        <f>IF(R3330&lt;=2,"1-2",IF(R3330&lt;=5,"3-5",IF(R3330&lt;=10,"6-10","11+")))</f>
        <v/>
      </c>
    </row>
    <row r="3331">
      <c r="A3331" s="39" t="n">
        <v>46204.25341435185</v>
      </c>
      <c r="B3331" s="25">
        <f>TEXT(A3331,"YYYY-MM")</f>
        <v/>
      </c>
      <c r="C3331" s="25">
        <f>TEXT(A3331,"MMM-YYYY")</f>
        <v/>
      </c>
      <c r="D3331" s="40">
        <f>INT(A3331)-WEEKDAY(A3331,2)+1</f>
        <v/>
      </c>
      <c r="E3331" s="25" t="inlineStr">
        <is>
          <t>shassan</t>
        </is>
      </c>
      <c r="F3331" s="25" t="n">
        <v>130861</v>
      </c>
      <c r="G3331" s="25" t="n">
        <v>2</v>
      </c>
      <c r="H3331" s="25" t="n">
        <v>6</v>
      </c>
      <c r="I3331" s="25" t="inlineStr">
        <is>
          <t>3 minute(s) and 9 second(s)</t>
        </is>
      </c>
      <c r="J3331" s="25">
        <f>IFERROR(VALUE(TRIM(LEFT(I3331,FIND("minute",I3331)-1)))*60,0)+IFERROR(VALUE(SUBSTITUTE(MID(I3331,IFERROR(FIND("and",I3331)+3,1),20),"second(s)","")),0)</f>
        <v/>
      </c>
      <c r="K3331" s="41">
        <f>J3331/60</f>
        <v/>
      </c>
      <c r="L3331" s="41">
        <f>IFERROR(J3331/H3331,"")</f>
        <v/>
      </c>
      <c r="M3331" s="25" t="inlineStr">
        <is>
          <t>2.5.12</t>
        </is>
      </c>
      <c r="N3331" s="25">
        <f>IF(J3331&gt;300,1,0)</f>
        <v/>
      </c>
      <c r="O3331" s="25">
        <f>IF(J3331&gt;600,1,0)</f>
        <v/>
      </c>
      <c r="P3331" s="25">
        <f>IF(H3331&gt;0,J3331,"")</f>
        <v/>
      </c>
      <c r="Q3331" s="25">
        <f>TEXT(A3331,"YYYY-MM-DD HH")</f>
        <v/>
      </c>
      <c r="R3331" s="25">
        <f>COUNTIF($Q$2:$Q$5295,Q3331)</f>
        <v/>
      </c>
      <c r="S3331" s="25">
        <f>IF(R3331&lt;=2,"1-2",IF(R3331&lt;=5,"3-5",IF(R3331&lt;=10,"6-10","11+")))</f>
        <v/>
      </c>
    </row>
    <row r="3332">
      <c r="A3332" s="39" t="n">
        <v>46204.25989583333</v>
      </c>
      <c r="B3332" s="25">
        <f>TEXT(A3332,"YYYY-MM")</f>
        <v/>
      </c>
      <c r="C3332" s="25">
        <f>TEXT(A3332,"MMM-YYYY")</f>
        <v/>
      </c>
      <c r="D3332" s="40">
        <f>INT(A3332)-WEEKDAY(A3332,2)+1</f>
        <v/>
      </c>
      <c r="E3332" s="25" t="inlineStr">
        <is>
          <t>dchoudhury</t>
        </is>
      </c>
      <c r="F3332" s="25" t="n">
        <v>130521</v>
      </c>
      <c r="G3332" s="25" t="n">
        <v>2</v>
      </c>
      <c r="H3332" s="25" t="n">
        <v>10</v>
      </c>
      <c r="I3332" s="25" t="inlineStr">
        <is>
          <t>2 minute(s) and 20 second(s)</t>
        </is>
      </c>
      <c r="J3332" s="25">
        <f>IFERROR(VALUE(TRIM(LEFT(I3332,FIND("minute",I3332)-1)))*60,0)+IFERROR(VALUE(SUBSTITUTE(MID(I3332,IFERROR(FIND("and",I3332)+3,1),20),"second(s)","")),0)</f>
        <v/>
      </c>
      <c r="K3332" s="41">
        <f>J3332/60</f>
        <v/>
      </c>
      <c r="L3332" s="41">
        <f>IFERROR(J3332/H3332,"")</f>
        <v/>
      </c>
      <c r="M3332" s="25" t="inlineStr">
        <is>
          <t>2.5.12</t>
        </is>
      </c>
      <c r="N3332" s="25">
        <f>IF(J3332&gt;300,1,0)</f>
        <v/>
      </c>
      <c r="O3332" s="25">
        <f>IF(J3332&gt;600,1,0)</f>
        <v/>
      </c>
      <c r="P3332" s="25">
        <f>IF(H3332&gt;0,J3332,"")</f>
        <v/>
      </c>
      <c r="Q3332" s="25">
        <f>TEXT(A3332,"YYYY-MM-DD HH")</f>
        <v/>
      </c>
      <c r="R3332" s="25">
        <f>COUNTIF($Q$2:$Q$5295,Q3332)</f>
        <v/>
      </c>
      <c r="S3332" s="25">
        <f>IF(R3332&lt;=2,"1-2",IF(R3332&lt;=5,"3-5",IF(R3332&lt;=10,"6-10","11+")))</f>
        <v/>
      </c>
    </row>
    <row r="3333">
      <c r="A3333" s="39" t="n">
        <v>46204.26189814815</v>
      </c>
      <c r="B3333" s="25">
        <f>TEXT(A3333,"YYYY-MM")</f>
        <v/>
      </c>
      <c r="C3333" s="25">
        <f>TEXT(A3333,"MMM-YYYY")</f>
        <v/>
      </c>
      <c r="D3333" s="40">
        <f>INT(A3333)-WEEKDAY(A3333,2)+1</f>
        <v/>
      </c>
      <c r="E3333" s="25" t="inlineStr">
        <is>
          <t>sdey</t>
        </is>
      </c>
      <c r="F3333" s="25" t="n">
        <v>130901</v>
      </c>
      <c r="G3333" s="25" t="n">
        <v>4</v>
      </c>
      <c r="H3333" s="25" t="n">
        <v>16</v>
      </c>
      <c r="I3333" s="25" t="inlineStr">
        <is>
          <t>5 minute(s) and 1 second(s)</t>
        </is>
      </c>
      <c r="J3333" s="25">
        <f>IFERROR(VALUE(TRIM(LEFT(I3333,FIND("minute",I3333)-1)))*60,0)+IFERROR(VALUE(SUBSTITUTE(MID(I3333,IFERROR(FIND("and",I3333)+3,1),20),"second(s)","")),0)</f>
        <v/>
      </c>
      <c r="K3333" s="41">
        <f>J3333/60</f>
        <v/>
      </c>
      <c r="L3333" s="41">
        <f>IFERROR(J3333/H3333,"")</f>
        <v/>
      </c>
      <c r="M3333" s="25" t="inlineStr">
        <is>
          <t>2.5.12</t>
        </is>
      </c>
      <c r="N3333" s="25">
        <f>IF(J3333&gt;300,1,0)</f>
        <v/>
      </c>
      <c r="O3333" s="25">
        <f>IF(J3333&gt;600,1,0)</f>
        <v/>
      </c>
      <c r="P3333" s="25">
        <f>IF(H3333&gt;0,J3333,"")</f>
        <v/>
      </c>
      <c r="Q3333" s="25">
        <f>TEXT(A3333,"YYYY-MM-DD HH")</f>
        <v/>
      </c>
      <c r="R3333" s="25">
        <f>COUNTIF($Q$2:$Q$5295,Q3333)</f>
        <v/>
      </c>
      <c r="S3333" s="25">
        <f>IF(R3333&lt;=2,"1-2",IF(R3333&lt;=5,"3-5",IF(R3333&lt;=10,"6-10","11+")))</f>
        <v/>
      </c>
    </row>
    <row r="3334">
      <c r="A3334" s="39" t="n">
        <v>46204.26252314815</v>
      </c>
      <c r="B3334" s="25">
        <f>TEXT(A3334,"YYYY-MM")</f>
        <v/>
      </c>
      <c r="C3334" s="25">
        <f>TEXT(A3334,"MMM-YYYY")</f>
        <v/>
      </c>
      <c r="D3334" s="40">
        <f>INT(A3334)-WEEKDAY(A3334,2)+1</f>
        <v/>
      </c>
      <c r="E3334" s="25" t="inlineStr">
        <is>
          <t>stiwari</t>
        </is>
      </c>
      <c r="F3334" s="25" t="n">
        <v>84287</v>
      </c>
      <c r="G3334" s="25" t="n">
        <v>1</v>
      </c>
      <c r="H3334" s="25" t="n">
        <v>7</v>
      </c>
      <c r="I3334" s="25" t="inlineStr">
        <is>
          <t>1 minute(s) and 10 second(s)</t>
        </is>
      </c>
      <c r="J3334" s="25">
        <f>IFERROR(VALUE(TRIM(LEFT(I3334,FIND("minute",I3334)-1)))*60,0)+IFERROR(VALUE(SUBSTITUTE(MID(I3334,IFERROR(FIND("and",I3334)+3,1),20),"second(s)","")),0)</f>
        <v/>
      </c>
      <c r="K3334" s="41">
        <f>J3334/60</f>
        <v/>
      </c>
      <c r="L3334" s="41">
        <f>IFERROR(J3334/H3334,"")</f>
        <v/>
      </c>
      <c r="M3334" s="25" t="inlineStr">
        <is>
          <t>2.5.12</t>
        </is>
      </c>
      <c r="N3334" s="25">
        <f>IF(J3334&gt;300,1,0)</f>
        <v/>
      </c>
      <c r="O3334" s="25">
        <f>IF(J3334&gt;600,1,0)</f>
        <v/>
      </c>
      <c r="P3334" s="25">
        <f>IF(H3334&gt;0,J3334,"")</f>
        <v/>
      </c>
      <c r="Q3334" s="25">
        <f>TEXT(A3334,"YYYY-MM-DD HH")</f>
        <v/>
      </c>
      <c r="R3334" s="25">
        <f>COUNTIF($Q$2:$Q$5295,Q3334)</f>
        <v/>
      </c>
      <c r="S3334" s="25">
        <f>IF(R3334&lt;=2,"1-2",IF(R3334&lt;=5,"3-5",IF(R3334&lt;=10,"6-10","11+")))</f>
        <v/>
      </c>
    </row>
    <row r="3335">
      <c r="A3335" s="39" t="n">
        <v>46204.27255787037</v>
      </c>
      <c r="B3335" s="25">
        <f>TEXT(A3335,"YYYY-MM")</f>
        <v/>
      </c>
      <c r="C3335" s="25">
        <f>TEXT(A3335,"MMM-YYYY")</f>
        <v/>
      </c>
      <c r="D3335" s="40">
        <f>INT(A3335)-WEEKDAY(A3335,2)+1</f>
        <v/>
      </c>
      <c r="E3335" s="25" t="inlineStr">
        <is>
          <t>ssarkar</t>
        </is>
      </c>
      <c r="F3335" s="25" t="n">
        <v>130713</v>
      </c>
      <c r="G3335" s="25" t="n">
        <v>2</v>
      </c>
      <c r="H3335" s="25" t="n">
        <v>12</v>
      </c>
      <c r="I3335" s="25" t="inlineStr">
        <is>
          <t>9 minute(s) and 4 second(s)</t>
        </is>
      </c>
      <c r="J3335" s="25">
        <f>IFERROR(VALUE(TRIM(LEFT(I3335,FIND("minute",I3335)-1)))*60,0)+IFERROR(VALUE(SUBSTITUTE(MID(I3335,IFERROR(FIND("and",I3335)+3,1),20),"second(s)","")),0)</f>
        <v/>
      </c>
      <c r="K3335" s="41">
        <f>J3335/60</f>
        <v/>
      </c>
      <c r="L3335" s="41">
        <f>IFERROR(J3335/H3335,"")</f>
        <v/>
      </c>
      <c r="M3335" s="25" t="inlineStr">
        <is>
          <t>2.5.12</t>
        </is>
      </c>
      <c r="N3335" s="25">
        <f>IF(J3335&gt;300,1,0)</f>
        <v/>
      </c>
      <c r="O3335" s="25">
        <f>IF(J3335&gt;600,1,0)</f>
        <v/>
      </c>
      <c r="P3335" s="25">
        <f>IF(H3335&gt;0,J3335,"")</f>
        <v/>
      </c>
      <c r="Q3335" s="25">
        <f>TEXT(A3335,"YYYY-MM-DD HH")</f>
        <v/>
      </c>
      <c r="R3335" s="25">
        <f>COUNTIF($Q$2:$Q$5295,Q3335)</f>
        <v/>
      </c>
      <c r="S3335" s="25">
        <f>IF(R3335&lt;=2,"1-2",IF(R3335&lt;=5,"3-5",IF(R3335&lt;=10,"6-10","11+")))</f>
        <v/>
      </c>
    </row>
    <row r="3336">
      <c r="A3336" s="39" t="n">
        <v>46204.27652777778</v>
      </c>
      <c r="B3336" s="25">
        <f>TEXT(A3336,"YYYY-MM")</f>
        <v/>
      </c>
      <c r="C3336" s="25">
        <f>TEXT(A3336,"MMM-YYYY")</f>
        <v/>
      </c>
      <c r="D3336" s="40">
        <f>INT(A3336)-WEEKDAY(A3336,2)+1</f>
        <v/>
      </c>
      <c r="E3336" s="25" t="inlineStr">
        <is>
          <t>bverma</t>
        </is>
      </c>
      <c r="F3336" s="25" t="n">
        <v>131341</v>
      </c>
      <c r="G3336" s="25" t="n">
        <v>1</v>
      </c>
      <c r="H3336" s="25" t="n">
        <v>7</v>
      </c>
      <c r="I3336" s="25" t="inlineStr">
        <is>
          <t>1 minute(s) and 49 second(s)</t>
        </is>
      </c>
      <c r="J3336" s="25">
        <f>IFERROR(VALUE(TRIM(LEFT(I3336,FIND("minute",I3336)-1)))*60,0)+IFERROR(VALUE(SUBSTITUTE(MID(I3336,IFERROR(FIND("and",I3336)+3,1),20),"second(s)","")),0)</f>
        <v/>
      </c>
      <c r="K3336" s="41">
        <f>J3336/60</f>
        <v/>
      </c>
      <c r="L3336" s="41">
        <f>IFERROR(J3336/H3336,"")</f>
        <v/>
      </c>
      <c r="M3336" s="25" t="inlineStr">
        <is>
          <t>2.5.12</t>
        </is>
      </c>
      <c r="N3336" s="25">
        <f>IF(J3336&gt;300,1,0)</f>
        <v/>
      </c>
      <c r="O3336" s="25">
        <f>IF(J3336&gt;600,1,0)</f>
        <v/>
      </c>
      <c r="P3336" s="25">
        <f>IF(H3336&gt;0,J3336,"")</f>
        <v/>
      </c>
      <c r="Q3336" s="25">
        <f>TEXT(A3336,"YYYY-MM-DD HH")</f>
        <v/>
      </c>
      <c r="R3336" s="25">
        <f>COUNTIF($Q$2:$Q$5295,Q3336)</f>
        <v/>
      </c>
      <c r="S3336" s="25">
        <f>IF(R3336&lt;=2,"1-2",IF(R3336&lt;=5,"3-5",IF(R3336&lt;=10,"6-10","11+")))</f>
        <v/>
      </c>
    </row>
    <row r="3337">
      <c r="A3337" s="39" t="n">
        <v>46204.27831018518</v>
      </c>
      <c r="B3337" s="25">
        <f>TEXT(A3337,"YYYY-MM")</f>
        <v/>
      </c>
      <c r="C3337" s="25">
        <f>TEXT(A3337,"MMM-YYYY")</f>
        <v/>
      </c>
      <c r="D3337" s="40">
        <f>INT(A3337)-WEEKDAY(A3337,2)+1</f>
        <v/>
      </c>
      <c r="E3337" s="25" t="inlineStr">
        <is>
          <t>adey</t>
        </is>
      </c>
      <c r="F3337" s="25" t="n">
        <v>130425</v>
      </c>
      <c r="G3337" s="25" t="n">
        <v>2</v>
      </c>
      <c r="H3337" s="25" t="n">
        <v>10</v>
      </c>
      <c r="I3337" s="25" t="inlineStr">
        <is>
          <t>2 minute(s) and 11 second(s)</t>
        </is>
      </c>
      <c r="J3337" s="25">
        <f>IFERROR(VALUE(TRIM(LEFT(I3337,FIND("minute",I3337)-1)))*60,0)+IFERROR(VALUE(SUBSTITUTE(MID(I3337,IFERROR(FIND("and",I3337)+3,1),20),"second(s)","")),0)</f>
        <v/>
      </c>
      <c r="K3337" s="41">
        <f>J3337/60</f>
        <v/>
      </c>
      <c r="L3337" s="41">
        <f>IFERROR(J3337/H3337,"")</f>
        <v/>
      </c>
      <c r="M3337" s="25" t="inlineStr">
        <is>
          <t>2.5.12</t>
        </is>
      </c>
      <c r="N3337" s="25">
        <f>IF(J3337&gt;300,1,0)</f>
        <v/>
      </c>
      <c r="O3337" s="25">
        <f>IF(J3337&gt;600,1,0)</f>
        <v/>
      </c>
      <c r="P3337" s="25">
        <f>IF(H3337&gt;0,J3337,"")</f>
        <v/>
      </c>
      <c r="Q3337" s="25">
        <f>TEXT(A3337,"YYYY-MM-DD HH")</f>
        <v/>
      </c>
      <c r="R3337" s="25">
        <f>COUNTIF($Q$2:$Q$5295,Q3337)</f>
        <v/>
      </c>
      <c r="S3337" s="25">
        <f>IF(R3337&lt;=2,"1-2",IF(R3337&lt;=5,"3-5",IF(R3337&lt;=10,"6-10","11+")))</f>
        <v/>
      </c>
    </row>
    <row r="3338">
      <c r="A3338" s="39" t="n">
        <v>46204.28166666667</v>
      </c>
      <c r="B3338" s="25">
        <f>TEXT(A3338,"YYYY-MM")</f>
        <v/>
      </c>
      <c r="C3338" s="25">
        <f>TEXT(A3338,"MMM-YYYY")</f>
        <v/>
      </c>
      <c r="D3338" s="40">
        <f>INT(A3338)-WEEKDAY(A3338,2)+1</f>
        <v/>
      </c>
      <c r="E3338" s="25" t="inlineStr">
        <is>
          <t>hsindwani</t>
        </is>
      </c>
      <c r="F3338" s="25" t="n">
        <v>128605</v>
      </c>
      <c r="G3338" s="25" t="n">
        <v>4</v>
      </c>
      <c r="H3338" s="25" t="n">
        <v>14</v>
      </c>
      <c r="I3338" s="25" t="inlineStr">
        <is>
          <t>4 minute(s) and 43 second(s)</t>
        </is>
      </c>
      <c r="J3338" s="25">
        <f>IFERROR(VALUE(TRIM(LEFT(I3338,FIND("minute",I3338)-1)))*60,0)+IFERROR(VALUE(SUBSTITUTE(MID(I3338,IFERROR(FIND("and",I3338)+3,1),20),"second(s)","")),0)</f>
        <v/>
      </c>
      <c r="K3338" s="41">
        <f>J3338/60</f>
        <v/>
      </c>
      <c r="L3338" s="41">
        <f>IFERROR(J3338/H3338,"")</f>
        <v/>
      </c>
      <c r="M3338" s="25" t="inlineStr">
        <is>
          <t>2.5.12</t>
        </is>
      </c>
      <c r="N3338" s="25">
        <f>IF(J3338&gt;300,1,0)</f>
        <v/>
      </c>
      <c r="O3338" s="25">
        <f>IF(J3338&gt;600,1,0)</f>
        <v/>
      </c>
      <c r="P3338" s="25">
        <f>IF(H3338&gt;0,J3338,"")</f>
        <v/>
      </c>
      <c r="Q3338" s="25">
        <f>TEXT(A3338,"YYYY-MM-DD HH")</f>
        <v/>
      </c>
      <c r="R3338" s="25">
        <f>COUNTIF($Q$2:$Q$5295,Q3338)</f>
        <v/>
      </c>
      <c r="S3338" s="25">
        <f>IF(R3338&lt;=2,"1-2",IF(R3338&lt;=5,"3-5",IF(R3338&lt;=10,"6-10","11+")))</f>
        <v/>
      </c>
    </row>
    <row r="3339">
      <c r="A3339" s="39" t="n">
        <v>46204.314375</v>
      </c>
      <c r="B3339" s="25">
        <f>TEXT(A3339,"YYYY-MM")</f>
        <v/>
      </c>
      <c r="C3339" s="25">
        <f>TEXT(A3339,"MMM-YYYY")</f>
        <v/>
      </c>
      <c r="D3339" s="40">
        <f>INT(A3339)-WEEKDAY(A3339,2)+1</f>
        <v/>
      </c>
      <c r="E3339" s="25" t="inlineStr">
        <is>
          <t>stiwari</t>
        </is>
      </c>
      <c r="F3339" s="25" t="n">
        <v>131137</v>
      </c>
      <c r="G3339" s="25" t="n">
        <v>2</v>
      </c>
      <c r="H3339" s="25" t="n">
        <v>12</v>
      </c>
      <c r="I3339" s="25" t="inlineStr">
        <is>
          <t>2 minute(s) and 10 second(s)</t>
        </is>
      </c>
      <c r="J3339" s="25">
        <f>IFERROR(VALUE(TRIM(LEFT(I3339,FIND("minute",I3339)-1)))*60,0)+IFERROR(VALUE(SUBSTITUTE(MID(I3339,IFERROR(FIND("and",I3339)+3,1),20),"second(s)","")),0)</f>
        <v/>
      </c>
      <c r="K3339" s="41">
        <f>J3339/60</f>
        <v/>
      </c>
      <c r="L3339" s="41">
        <f>IFERROR(J3339/H3339,"")</f>
        <v/>
      </c>
      <c r="M3339" s="25" t="inlineStr">
        <is>
          <t>2.5.12</t>
        </is>
      </c>
      <c r="N3339" s="25">
        <f>IF(J3339&gt;300,1,0)</f>
        <v/>
      </c>
      <c r="O3339" s="25">
        <f>IF(J3339&gt;600,1,0)</f>
        <v/>
      </c>
      <c r="P3339" s="25">
        <f>IF(H3339&gt;0,J3339,"")</f>
        <v/>
      </c>
      <c r="Q3339" s="25">
        <f>TEXT(A3339,"YYYY-MM-DD HH")</f>
        <v/>
      </c>
      <c r="R3339" s="25">
        <f>COUNTIF($Q$2:$Q$5295,Q3339)</f>
        <v/>
      </c>
      <c r="S3339" s="25">
        <f>IF(R3339&lt;=2,"1-2",IF(R3339&lt;=5,"3-5",IF(R3339&lt;=10,"6-10","11+")))</f>
        <v/>
      </c>
    </row>
    <row r="3340">
      <c r="A3340" s="39" t="n">
        <v>46204.34177083334</v>
      </c>
      <c r="B3340" s="25">
        <f>TEXT(A3340,"YYYY-MM")</f>
        <v/>
      </c>
      <c r="C3340" s="25">
        <f>TEXT(A3340,"MMM-YYYY")</f>
        <v/>
      </c>
      <c r="D3340" s="40">
        <f>INT(A3340)-WEEKDAY(A3340,2)+1</f>
        <v/>
      </c>
      <c r="E3340" s="25" t="inlineStr">
        <is>
          <t>sthomas</t>
        </is>
      </c>
      <c r="F3340" s="25" t="n">
        <v>131845</v>
      </c>
      <c r="G3340" s="25" t="n">
        <v>2</v>
      </c>
      <c r="H3340" s="25" t="n">
        <v>10</v>
      </c>
      <c r="I3340" s="25" t="inlineStr">
        <is>
          <t>2 minute(s) and 58 second(s)</t>
        </is>
      </c>
      <c r="J3340" s="25">
        <f>IFERROR(VALUE(TRIM(LEFT(I3340,FIND("minute",I3340)-1)))*60,0)+IFERROR(VALUE(SUBSTITUTE(MID(I3340,IFERROR(FIND("and",I3340)+3,1),20),"second(s)","")),0)</f>
        <v/>
      </c>
      <c r="K3340" s="41">
        <f>J3340/60</f>
        <v/>
      </c>
      <c r="L3340" s="41">
        <f>IFERROR(J3340/H3340,"")</f>
        <v/>
      </c>
      <c r="M3340" s="25" t="inlineStr">
        <is>
          <t>2.5.12</t>
        </is>
      </c>
      <c r="N3340" s="25">
        <f>IF(J3340&gt;300,1,0)</f>
        <v/>
      </c>
      <c r="O3340" s="25">
        <f>IF(J3340&gt;600,1,0)</f>
        <v/>
      </c>
      <c r="P3340" s="25">
        <f>IF(H3340&gt;0,J3340,"")</f>
        <v/>
      </c>
      <c r="Q3340" s="25">
        <f>TEXT(A3340,"YYYY-MM-DD HH")</f>
        <v/>
      </c>
      <c r="R3340" s="25">
        <f>COUNTIF($Q$2:$Q$5295,Q3340)</f>
        <v/>
      </c>
      <c r="S3340" s="25">
        <f>IF(R3340&lt;=2,"1-2",IF(R3340&lt;=5,"3-5",IF(R3340&lt;=10,"6-10","11+")))</f>
        <v/>
      </c>
    </row>
    <row r="3341">
      <c r="A3341" s="39" t="n">
        <v>46204.34592592593</v>
      </c>
      <c r="B3341" s="25">
        <f>TEXT(A3341,"YYYY-MM")</f>
        <v/>
      </c>
      <c r="C3341" s="25">
        <f>TEXT(A3341,"MMM-YYYY")</f>
        <v/>
      </c>
      <c r="D3341" s="40">
        <f>INT(A3341)-WEEKDAY(A3341,2)+1</f>
        <v/>
      </c>
      <c r="E3341" s="25" t="inlineStr">
        <is>
          <t>hsindwani</t>
        </is>
      </c>
      <c r="F3341" s="25" t="n">
        <v>129333</v>
      </c>
      <c r="G3341" s="25" t="n">
        <v>3</v>
      </c>
      <c r="H3341" s="25" t="n">
        <v>19</v>
      </c>
      <c r="I3341" s="25" t="inlineStr">
        <is>
          <t>9 minute(s) and 0 second(s)</t>
        </is>
      </c>
      <c r="J3341" s="25">
        <f>IFERROR(VALUE(TRIM(LEFT(I3341,FIND("minute",I3341)-1)))*60,0)+IFERROR(VALUE(SUBSTITUTE(MID(I3341,IFERROR(FIND("and",I3341)+3,1),20),"second(s)","")),0)</f>
        <v/>
      </c>
      <c r="K3341" s="41">
        <f>J3341/60</f>
        <v/>
      </c>
      <c r="L3341" s="41">
        <f>IFERROR(J3341/H3341,"")</f>
        <v/>
      </c>
      <c r="M3341" s="25" t="inlineStr">
        <is>
          <t>2.5.12</t>
        </is>
      </c>
      <c r="N3341" s="25">
        <f>IF(J3341&gt;300,1,0)</f>
        <v/>
      </c>
      <c r="O3341" s="25">
        <f>IF(J3341&gt;600,1,0)</f>
        <v/>
      </c>
      <c r="P3341" s="25">
        <f>IF(H3341&gt;0,J3341,"")</f>
        <v/>
      </c>
      <c r="Q3341" s="25">
        <f>TEXT(A3341,"YYYY-MM-DD HH")</f>
        <v/>
      </c>
      <c r="R3341" s="25">
        <f>COUNTIF($Q$2:$Q$5295,Q3341)</f>
        <v/>
      </c>
      <c r="S3341" s="25">
        <f>IF(R3341&lt;=2,"1-2",IF(R3341&lt;=5,"3-5",IF(R3341&lt;=10,"6-10","11+")))</f>
        <v/>
      </c>
    </row>
    <row r="3342">
      <c r="A3342" s="39" t="n">
        <v>46204.34783564815</v>
      </c>
      <c r="B3342" s="25">
        <f>TEXT(A3342,"YYYY-MM")</f>
        <v/>
      </c>
      <c r="C3342" s="25">
        <f>TEXT(A3342,"MMM-YYYY")</f>
        <v/>
      </c>
      <c r="D3342" s="40">
        <f>INT(A3342)-WEEKDAY(A3342,2)+1</f>
        <v/>
      </c>
      <c r="E3342" s="25" t="inlineStr">
        <is>
          <t>anusharma</t>
        </is>
      </c>
      <c r="F3342" s="25" t="n">
        <v>130841</v>
      </c>
      <c r="G3342" s="25" t="n">
        <v>1</v>
      </c>
      <c r="H3342" s="25" t="n">
        <v>7</v>
      </c>
      <c r="I3342" s="25" t="inlineStr">
        <is>
          <t>1 minute(s) and 32 second(s)</t>
        </is>
      </c>
      <c r="J3342" s="25">
        <f>IFERROR(VALUE(TRIM(LEFT(I3342,FIND("minute",I3342)-1)))*60,0)+IFERROR(VALUE(SUBSTITUTE(MID(I3342,IFERROR(FIND("and",I3342)+3,1),20),"second(s)","")),0)</f>
        <v/>
      </c>
      <c r="K3342" s="41">
        <f>J3342/60</f>
        <v/>
      </c>
      <c r="L3342" s="41">
        <f>IFERROR(J3342/H3342,"")</f>
        <v/>
      </c>
      <c r="M3342" s="25" t="inlineStr">
        <is>
          <t>2.5.12</t>
        </is>
      </c>
      <c r="N3342" s="25">
        <f>IF(J3342&gt;300,1,0)</f>
        <v/>
      </c>
      <c r="O3342" s="25">
        <f>IF(J3342&gt;600,1,0)</f>
        <v/>
      </c>
      <c r="P3342" s="25">
        <f>IF(H3342&gt;0,J3342,"")</f>
        <v/>
      </c>
      <c r="Q3342" s="25">
        <f>TEXT(A3342,"YYYY-MM-DD HH")</f>
        <v/>
      </c>
      <c r="R3342" s="25">
        <f>COUNTIF($Q$2:$Q$5295,Q3342)</f>
        <v/>
      </c>
      <c r="S3342" s="25">
        <f>IF(R3342&lt;=2,"1-2",IF(R3342&lt;=5,"3-5",IF(R3342&lt;=10,"6-10","11+")))</f>
        <v/>
      </c>
    </row>
    <row r="3343">
      <c r="A3343" s="39" t="n">
        <v>46204.34989583334</v>
      </c>
      <c r="B3343" s="25">
        <f>TEXT(A3343,"YYYY-MM")</f>
        <v/>
      </c>
      <c r="C3343" s="25">
        <f>TEXT(A3343,"MMM-YYYY")</f>
        <v/>
      </c>
      <c r="D3343" s="40">
        <f>INT(A3343)-WEEKDAY(A3343,2)+1</f>
        <v/>
      </c>
      <c r="E3343" s="25" t="inlineStr">
        <is>
          <t>psathwika</t>
        </is>
      </c>
      <c r="F3343" s="25" t="n">
        <v>132861</v>
      </c>
      <c r="G3343" s="25" t="n">
        <v>4</v>
      </c>
      <c r="H3343" s="25" t="n">
        <v>22</v>
      </c>
      <c r="I3343" s="25" t="inlineStr">
        <is>
          <t>6 minute(s) and 41 second(s)</t>
        </is>
      </c>
      <c r="J3343" s="25">
        <f>IFERROR(VALUE(TRIM(LEFT(I3343,FIND("minute",I3343)-1)))*60,0)+IFERROR(VALUE(SUBSTITUTE(MID(I3343,IFERROR(FIND("and",I3343)+3,1),20),"second(s)","")),0)</f>
        <v/>
      </c>
      <c r="K3343" s="41">
        <f>J3343/60</f>
        <v/>
      </c>
      <c r="L3343" s="41">
        <f>IFERROR(J3343/H3343,"")</f>
        <v/>
      </c>
      <c r="M3343" s="25" t="inlineStr">
        <is>
          <t>2.5.12</t>
        </is>
      </c>
      <c r="N3343" s="25">
        <f>IF(J3343&gt;300,1,0)</f>
        <v/>
      </c>
      <c r="O3343" s="25">
        <f>IF(J3343&gt;600,1,0)</f>
        <v/>
      </c>
      <c r="P3343" s="25">
        <f>IF(H3343&gt;0,J3343,"")</f>
        <v/>
      </c>
      <c r="Q3343" s="25">
        <f>TEXT(A3343,"YYYY-MM-DD HH")</f>
        <v/>
      </c>
      <c r="R3343" s="25">
        <f>COUNTIF($Q$2:$Q$5295,Q3343)</f>
        <v/>
      </c>
      <c r="S3343" s="25">
        <f>IF(R3343&lt;=2,"1-2",IF(R3343&lt;=5,"3-5",IF(R3343&lt;=10,"6-10","11+")))</f>
        <v/>
      </c>
    </row>
    <row r="3344">
      <c r="A3344" s="39" t="n">
        <v>46204.35703703704</v>
      </c>
      <c r="B3344" s="25">
        <f>TEXT(A3344,"YYYY-MM")</f>
        <v/>
      </c>
      <c r="C3344" s="25">
        <f>TEXT(A3344,"MMM-YYYY")</f>
        <v/>
      </c>
      <c r="D3344" s="40">
        <f>INT(A3344)-WEEKDAY(A3344,2)+1</f>
        <v/>
      </c>
      <c r="E3344" s="25" t="inlineStr">
        <is>
          <t>stiwari</t>
        </is>
      </c>
      <c r="F3344" s="25" t="n">
        <v>129601</v>
      </c>
      <c r="G3344" s="25" t="n">
        <v>1</v>
      </c>
      <c r="H3344" s="25" t="n">
        <v>6</v>
      </c>
      <c r="I3344" s="25" t="inlineStr">
        <is>
          <t>1 minute(s) and 42 second(s)</t>
        </is>
      </c>
      <c r="J3344" s="25">
        <f>IFERROR(VALUE(TRIM(LEFT(I3344,FIND("minute",I3344)-1)))*60,0)+IFERROR(VALUE(SUBSTITUTE(MID(I3344,IFERROR(FIND("and",I3344)+3,1),20),"second(s)","")),0)</f>
        <v/>
      </c>
      <c r="K3344" s="41">
        <f>J3344/60</f>
        <v/>
      </c>
      <c r="L3344" s="41">
        <f>IFERROR(J3344/H3344,"")</f>
        <v/>
      </c>
      <c r="M3344" s="25" t="inlineStr">
        <is>
          <t>2.5.12</t>
        </is>
      </c>
      <c r="N3344" s="25">
        <f>IF(J3344&gt;300,1,0)</f>
        <v/>
      </c>
      <c r="O3344" s="25">
        <f>IF(J3344&gt;600,1,0)</f>
        <v/>
      </c>
      <c r="P3344" s="25">
        <f>IF(H3344&gt;0,J3344,"")</f>
        <v/>
      </c>
      <c r="Q3344" s="25">
        <f>TEXT(A3344,"YYYY-MM-DD HH")</f>
        <v/>
      </c>
      <c r="R3344" s="25">
        <f>COUNTIF($Q$2:$Q$5295,Q3344)</f>
        <v/>
      </c>
      <c r="S3344" s="25">
        <f>IF(R3344&lt;=2,"1-2",IF(R3344&lt;=5,"3-5",IF(R3344&lt;=10,"6-10","11+")))</f>
        <v/>
      </c>
    </row>
    <row r="3345">
      <c r="A3345" s="39" t="n">
        <v>46204.35737268518</v>
      </c>
      <c r="B3345" s="25">
        <f>TEXT(A3345,"YYYY-MM")</f>
        <v/>
      </c>
      <c r="C3345" s="25">
        <f>TEXT(A3345,"MMM-YYYY")</f>
        <v/>
      </c>
      <c r="D3345" s="40">
        <f>INT(A3345)-WEEKDAY(A3345,2)+1</f>
        <v/>
      </c>
      <c r="E3345" s="25" t="inlineStr">
        <is>
          <t>apriyadarshi</t>
        </is>
      </c>
      <c r="F3345" s="25" t="n">
        <v>129597</v>
      </c>
      <c r="G3345" s="25" t="n">
        <v>2</v>
      </c>
      <c r="H3345" s="25" t="n">
        <v>8</v>
      </c>
      <c r="I3345" s="25" t="inlineStr">
        <is>
          <t>1 minute(s) and 40 second(s)</t>
        </is>
      </c>
      <c r="J3345" s="25">
        <f>IFERROR(VALUE(TRIM(LEFT(I3345,FIND("minute",I3345)-1)))*60,0)+IFERROR(VALUE(SUBSTITUTE(MID(I3345,IFERROR(FIND("and",I3345)+3,1),20),"second(s)","")),0)</f>
        <v/>
      </c>
      <c r="K3345" s="41">
        <f>J3345/60</f>
        <v/>
      </c>
      <c r="L3345" s="41">
        <f>IFERROR(J3345/H3345,"")</f>
        <v/>
      </c>
      <c r="M3345" s="25" t="inlineStr">
        <is>
          <t>2.5.12</t>
        </is>
      </c>
      <c r="N3345" s="25">
        <f>IF(J3345&gt;300,1,0)</f>
        <v/>
      </c>
      <c r="O3345" s="25">
        <f>IF(J3345&gt;600,1,0)</f>
        <v/>
      </c>
      <c r="P3345" s="25">
        <f>IF(H3345&gt;0,J3345,"")</f>
        <v/>
      </c>
      <c r="Q3345" s="25">
        <f>TEXT(A3345,"YYYY-MM-DD HH")</f>
        <v/>
      </c>
      <c r="R3345" s="25">
        <f>COUNTIF($Q$2:$Q$5295,Q3345)</f>
        <v/>
      </c>
      <c r="S3345" s="25">
        <f>IF(R3345&lt;=2,"1-2",IF(R3345&lt;=5,"3-5",IF(R3345&lt;=10,"6-10","11+")))</f>
        <v/>
      </c>
    </row>
    <row r="3346">
      <c r="A3346" s="39" t="n">
        <v>46204.37400462963</v>
      </c>
      <c r="B3346" s="25">
        <f>TEXT(A3346,"YYYY-MM")</f>
        <v/>
      </c>
      <c r="C3346" s="25">
        <f>TEXT(A3346,"MMM-YYYY")</f>
        <v/>
      </c>
      <c r="D3346" s="40">
        <f>INT(A3346)-WEEKDAY(A3346,2)+1</f>
        <v/>
      </c>
      <c r="E3346" s="25" t="inlineStr">
        <is>
          <t>ethomas</t>
        </is>
      </c>
      <c r="F3346" s="25" t="n">
        <v>130537</v>
      </c>
      <c r="G3346" s="25" t="n">
        <v>2</v>
      </c>
      <c r="H3346" s="25" t="n">
        <v>10</v>
      </c>
      <c r="I3346" s="25" t="inlineStr">
        <is>
          <t>3 minute(s) and 15 second(s)</t>
        </is>
      </c>
      <c r="J3346" s="25">
        <f>IFERROR(VALUE(TRIM(LEFT(I3346,FIND("minute",I3346)-1)))*60,0)+IFERROR(VALUE(SUBSTITUTE(MID(I3346,IFERROR(FIND("and",I3346)+3,1),20),"second(s)","")),0)</f>
        <v/>
      </c>
      <c r="K3346" s="41">
        <f>J3346/60</f>
        <v/>
      </c>
      <c r="L3346" s="41">
        <f>IFERROR(J3346/H3346,"")</f>
        <v/>
      </c>
      <c r="M3346" s="25" t="inlineStr">
        <is>
          <t>2.5.12</t>
        </is>
      </c>
      <c r="N3346" s="25">
        <f>IF(J3346&gt;300,1,0)</f>
        <v/>
      </c>
      <c r="O3346" s="25">
        <f>IF(J3346&gt;600,1,0)</f>
        <v/>
      </c>
      <c r="P3346" s="25">
        <f>IF(H3346&gt;0,J3346,"")</f>
        <v/>
      </c>
      <c r="Q3346" s="25">
        <f>TEXT(A3346,"YYYY-MM-DD HH")</f>
        <v/>
      </c>
      <c r="R3346" s="25">
        <f>COUNTIF($Q$2:$Q$5295,Q3346)</f>
        <v/>
      </c>
      <c r="S3346" s="25">
        <f>IF(R3346&lt;=2,"1-2",IF(R3346&lt;=5,"3-5",IF(R3346&lt;=10,"6-10","11+")))</f>
        <v/>
      </c>
    </row>
    <row r="3347">
      <c r="A3347" s="39" t="n">
        <v>46204.38726851852</v>
      </c>
      <c r="B3347" s="25">
        <f>TEXT(A3347,"YYYY-MM")</f>
        <v/>
      </c>
      <c r="C3347" s="25">
        <f>TEXT(A3347,"MMM-YYYY")</f>
        <v/>
      </c>
      <c r="D3347" s="40">
        <f>INT(A3347)-WEEKDAY(A3347,2)+1</f>
        <v/>
      </c>
      <c r="E3347" s="25" t="inlineStr">
        <is>
          <t>stiwari</t>
        </is>
      </c>
      <c r="F3347" s="25" t="n">
        <v>132701</v>
      </c>
      <c r="G3347" s="25" t="n">
        <v>2</v>
      </c>
      <c r="H3347" s="25" t="n">
        <v>11</v>
      </c>
      <c r="I3347" s="25" t="inlineStr">
        <is>
          <t>1 minute(s) and 39 second(s)</t>
        </is>
      </c>
      <c r="J3347" s="25">
        <f>IFERROR(VALUE(TRIM(LEFT(I3347,FIND("minute",I3347)-1)))*60,0)+IFERROR(VALUE(SUBSTITUTE(MID(I3347,IFERROR(FIND("and",I3347)+3,1),20),"second(s)","")),0)</f>
        <v/>
      </c>
      <c r="K3347" s="41">
        <f>J3347/60</f>
        <v/>
      </c>
      <c r="L3347" s="41">
        <f>IFERROR(J3347/H3347,"")</f>
        <v/>
      </c>
      <c r="M3347" s="25" t="inlineStr">
        <is>
          <t>2.5.12</t>
        </is>
      </c>
      <c r="N3347" s="25">
        <f>IF(J3347&gt;300,1,0)</f>
        <v/>
      </c>
      <c r="O3347" s="25">
        <f>IF(J3347&gt;600,1,0)</f>
        <v/>
      </c>
      <c r="P3347" s="25">
        <f>IF(H3347&gt;0,J3347,"")</f>
        <v/>
      </c>
      <c r="Q3347" s="25">
        <f>TEXT(A3347,"YYYY-MM-DD HH")</f>
        <v/>
      </c>
      <c r="R3347" s="25">
        <f>COUNTIF($Q$2:$Q$5295,Q3347)</f>
        <v/>
      </c>
      <c r="S3347" s="25">
        <f>IF(R3347&lt;=2,"1-2",IF(R3347&lt;=5,"3-5",IF(R3347&lt;=10,"6-10","11+")))</f>
        <v/>
      </c>
    </row>
    <row r="3348">
      <c r="A3348" s="39" t="n">
        <v>46204.39694444444</v>
      </c>
      <c r="B3348" s="25">
        <f>TEXT(A3348,"YYYY-MM")</f>
        <v/>
      </c>
      <c r="C3348" s="25">
        <f>TEXT(A3348,"MMM-YYYY")</f>
        <v/>
      </c>
      <c r="D3348" s="40">
        <f>INT(A3348)-WEEKDAY(A3348,2)+1</f>
        <v/>
      </c>
      <c r="E3348" s="25" t="inlineStr">
        <is>
          <t>emishra</t>
        </is>
      </c>
      <c r="F3348" s="25" t="n">
        <v>131297</v>
      </c>
      <c r="G3348" s="25" t="n">
        <v>4</v>
      </c>
      <c r="H3348" s="25" t="n">
        <v>24</v>
      </c>
      <c r="I3348" s="25" t="inlineStr">
        <is>
          <t>5 minute(s) and 46 second(s)</t>
        </is>
      </c>
      <c r="J3348" s="25">
        <f>IFERROR(VALUE(TRIM(LEFT(I3348,FIND("minute",I3348)-1)))*60,0)+IFERROR(VALUE(SUBSTITUTE(MID(I3348,IFERROR(FIND("and",I3348)+3,1),20),"second(s)","")),0)</f>
        <v/>
      </c>
      <c r="K3348" s="41">
        <f>J3348/60</f>
        <v/>
      </c>
      <c r="L3348" s="41">
        <f>IFERROR(J3348/H3348,"")</f>
        <v/>
      </c>
      <c r="M3348" s="25" t="inlineStr">
        <is>
          <t>2.5.12</t>
        </is>
      </c>
      <c r="N3348" s="25">
        <f>IF(J3348&gt;300,1,0)</f>
        <v/>
      </c>
      <c r="O3348" s="25">
        <f>IF(J3348&gt;600,1,0)</f>
        <v/>
      </c>
      <c r="P3348" s="25">
        <f>IF(H3348&gt;0,J3348,"")</f>
        <v/>
      </c>
      <c r="Q3348" s="25">
        <f>TEXT(A3348,"YYYY-MM-DD HH")</f>
        <v/>
      </c>
      <c r="R3348" s="25">
        <f>COUNTIF($Q$2:$Q$5295,Q3348)</f>
        <v/>
      </c>
      <c r="S3348" s="25">
        <f>IF(R3348&lt;=2,"1-2",IF(R3348&lt;=5,"3-5",IF(R3348&lt;=10,"6-10","11+")))</f>
        <v/>
      </c>
    </row>
    <row r="3349">
      <c r="A3349" s="39" t="n">
        <v>46204.39776620371</v>
      </c>
      <c r="B3349" s="25">
        <f>TEXT(A3349,"YYYY-MM")</f>
        <v/>
      </c>
      <c r="C3349" s="25">
        <f>TEXT(A3349,"MMM-YYYY")</f>
        <v/>
      </c>
      <c r="D3349" s="40">
        <f>INT(A3349)-WEEKDAY(A3349,2)+1</f>
        <v/>
      </c>
      <c r="E3349" s="25" t="inlineStr">
        <is>
          <t>sthomas</t>
        </is>
      </c>
      <c r="F3349" s="25" t="n">
        <v>129593</v>
      </c>
      <c r="G3349" s="25" t="n">
        <v>3</v>
      </c>
      <c r="H3349" s="25" t="n">
        <v>19</v>
      </c>
      <c r="I3349" s="25" t="inlineStr">
        <is>
          <t>5 minute(s) and 14 second(s)</t>
        </is>
      </c>
      <c r="J3349" s="25">
        <f>IFERROR(VALUE(TRIM(LEFT(I3349,FIND("minute",I3349)-1)))*60,0)+IFERROR(VALUE(SUBSTITUTE(MID(I3349,IFERROR(FIND("and",I3349)+3,1),20),"second(s)","")),0)</f>
        <v/>
      </c>
      <c r="K3349" s="41">
        <f>J3349/60</f>
        <v/>
      </c>
      <c r="L3349" s="41">
        <f>IFERROR(J3349/H3349,"")</f>
        <v/>
      </c>
      <c r="M3349" s="25" t="inlineStr">
        <is>
          <t>2.5.12</t>
        </is>
      </c>
      <c r="N3349" s="25">
        <f>IF(J3349&gt;300,1,0)</f>
        <v/>
      </c>
      <c r="O3349" s="25">
        <f>IF(J3349&gt;600,1,0)</f>
        <v/>
      </c>
      <c r="P3349" s="25">
        <f>IF(H3349&gt;0,J3349,"")</f>
        <v/>
      </c>
      <c r="Q3349" s="25">
        <f>TEXT(A3349,"YYYY-MM-DD HH")</f>
        <v/>
      </c>
      <c r="R3349" s="25">
        <f>COUNTIF($Q$2:$Q$5295,Q3349)</f>
        <v/>
      </c>
      <c r="S3349" s="25">
        <f>IF(R3349&lt;=2,"1-2",IF(R3349&lt;=5,"3-5",IF(R3349&lt;=10,"6-10","11+")))</f>
        <v/>
      </c>
    </row>
    <row r="3350">
      <c r="A3350" s="39" t="n">
        <v>46204.41002314815</v>
      </c>
      <c r="B3350" s="25">
        <f>TEXT(A3350,"YYYY-MM")</f>
        <v/>
      </c>
      <c r="C3350" s="25">
        <f>TEXT(A3350,"MMM-YYYY")</f>
        <v/>
      </c>
      <c r="D3350" s="40">
        <f>INT(A3350)-WEEKDAY(A3350,2)+1</f>
        <v/>
      </c>
      <c r="E3350" s="25" t="inlineStr">
        <is>
          <t>anusharma</t>
        </is>
      </c>
      <c r="F3350" s="25" t="n">
        <v>131701</v>
      </c>
      <c r="G3350" s="25" t="n">
        <v>4</v>
      </c>
      <c r="H3350" s="25" t="n">
        <v>20</v>
      </c>
      <c r="I3350" s="25" t="inlineStr">
        <is>
          <t>4 minute(s) and 46 second(s)</t>
        </is>
      </c>
      <c r="J3350" s="25">
        <f>IFERROR(VALUE(TRIM(LEFT(I3350,FIND("minute",I3350)-1)))*60,0)+IFERROR(VALUE(SUBSTITUTE(MID(I3350,IFERROR(FIND("and",I3350)+3,1),20),"second(s)","")),0)</f>
        <v/>
      </c>
      <c r="K3350" s="41">
        <f>J3350/60</f>
        <v/>
      </c>
      <c r="L3350" s="41">
        <f>IFERROR(J3350/H3350,"")</f>
        <v/>
      </c>
      <c r="M3350" s="25" t="inlineStr">
        <is>
          <t>2.5.12</t>
        </is>
      </c>
      <c r="N3350" s="25">
        <f>IF(J3350&gt;300,1,0)</f>
        <v/>
      </c>
      <c r="O3350" s="25">
        <f>IF(J3350&gt;600,1,0)</f>
        <v/>
      </c>
      <c r="P3350" s="25">
        <f>IF(H3350&gt;0,J3350,"")</f>
        <v/>
      </c>
      <c r="Q3350" s="25">
        <f>TEXT(A3350,"YYYY-MM-DD HH")</f>
        <v/>
      </c>
      <c r="R3350" s="25">
        <f>COUNTIF($Q$2:$Q$5295,Q3350)</f>
        <v/>
      </c>
      <c r="S3350" s="25">
        <f>IF(R3350&lt;=2,"1-2",IF(R3350&lt;=5,"3-5",IF(R3350&lt;=10,"6-10","11+")))</f>
        <v/>
      </c>
    </row>
    <row r="3351">
      <c r="A3351" s="39" t="n">
        <v>46204.41699074074</v>
      </c>
      <c r="B3351" s="25">
        <f>TEXT(A3351,"YYYY-MM")</f>
        <v/>
      </c>
      <c r="C3351" s="25">
        <f>TEXT(A3351,"MMM-YYYY")</f>
        <v/>
      </c>
      <c r="D3351" s="40">
        <f>INT(A3351)-WEEKDAY(A3351,2)+1</f>
        <v/>
      </c>
      <c r="E3351" s="25" t="inlineStr">
        <is>
          <t>tkarmakar</t>
        </is>
      </c>
      <c r="F3351" s="25" t="n">
        <v>130805</v>
      </c>
      <c r="G3351" s="25" t="n">
        <v>1</v>
      </c>
      <c r="H3351" s="25" t="n">
        <v>5</v>
      </c>
      <c r="I3351" s="25" t="inlineStr">
        <is>
          <t>2 minute(s) and 40 second(s)</t>
        </is>
      </c>
      <c r="J3351" s="25">
        <f>IFERROR(VALUE(TRIM(LEFT(I3351,FIND("minute",I3351)-1)))*60,0)+IFERROR(VALUE(SUBSTITUTE(MID(I3351,IFERROR(FIND("and",I3351)+3,1),20),"second(s)","")),0)</f>
        <v/>
      </c>
      <c r="K3351" s="41">
        <f>J3351/60</f>
        <v/>
      </c>
      <c r="L3351" s="41">
        <f>IFERROR(J3351/H3351,"")</f>
        <v/>
      </c>
      <c r="M3351" s="25" t="inlineStr">
        <is>
          <t>2.5.12</t>
        </is>
      </c>
      <c r="N3351" s="25">
        <f>IF(J3351&gt;300,1,0)</f>
        <v/>
      </c>
      <c r="O3351" s="25">
        <f>IF(J3351&gt;600,1,0)</f>
        <v/>
      </c>
      <c r="P3351" s="25">
        <f>IF(H3351&gt;0,J3351,"")</f>
        <v/>
      </c>
      <c r="Q3351" s="25">
        <f>TEXT(A3351,"YYYY-MM-DD HH")</f>
        <v/>
      </c>
      <c r="R3351" s="25">
        <f>COUNTIF($Q$2:$Q$5295,Q3351)</f>
        <v/>
      </c>
      <c r="S3351" s="25">
        <f>IF(R3351&lt;=2,"1-2",IF(R3351&lt;=5,"3-5",IF(R3351&lt;=10,"6-10","11+")))</f>
        <v/>
      </c>
    </row>
    <row r="3352">
      <c r="A3352" s="39" t="n">
        <v>46204.41782407407</v>
      </c>
      <c r="B3352" s="25">
        <f>TEXT(A3352,"YYYY-MM")</f>
        <v/>
      </c>
      <c r="C3352" s="25">
        <f>TEXT(A3352,"MMM-YYYY")</f>
        <v/>
      </c>
      <c r="D3352" s="40">
        <f>INT(A3352)-WEEKDAY(A3352,2)+1</f>
        <v/>
      </c>
      <c r="E3352" s="25" t="inlineStr">
        <is>
          <t>aghosh</t>
        </is>
      </c>
      <c r="F3352" s="25" t="n">
        <v>81996</v>
      </c>
      <c r="G3352" s="25" t="n">
        <v>1</v>
      </c>
      <c r="H3352" s="25" t="n">
        <v>5</v>
      </c>
      <c r="I3352" s="25" t="inlineStr">
        <is>
          <t>1 minute(s) and 22 second(s)</t>
        </is>
      </c>
      <c r="J3352" s="25">
        <f>IFERROR(VALUE(TRIM(LEFT(I3352,FIND("minute",I3352)-1)))*60,0)+IFERROR(VALUE(SUBSTITUTE(MID(I3352,IFERROR(FIND("and",I3352)+3,1),20),"second(s)","")),0)</f>
        <v/>
      </c>
      <c r="K3352" s="41">
        <f>J3352/60</f>
        <v/>
      </c>
      <c r="L3352" s="41">
        <f>IFERROR(J3352/H3352,"")</f>
        <v/>
      </c>
      <c r="M3352" s="25" t="inlineStr">
        <is>
          <t>2.5.12</t>
        </is>
      </c>
      <c r="N3352" s="25">
        <f>IF(J3352&gt;300,1,0)</f>
        <v/>
      </c>
      <c r="O3352" s="25">
        <f>IF(J3352&gt;600,1,0)</f>
        <v/>
      </c>
      <c r="P3352" s="25">
        <f>IF(H3352&gt;0,J3352,"")</f>
        <v/>
      </c>
      <c r="Q3352" s="25">
        <f>TEXT(A3352,"YYYY-MM-DD HH")</f>
        <v/>
      </c>
      <c r="R3352" s="25">
        <f>COUNTIF($Q$2:$Q$5295,Q3352)</f>
        <v/>
      </c>
      <c r="S3352" s="25">
        <f>IF(R3352&lt;=2,"1-2",IF(R3352&lt;=5,"3-5",IF(R3352&lt;=10,"6-10","11+")))</f>
        <v/>
      </c>
    </row>
    <row r="3353">
      <c r="A3353" s="39" t="n">
        <v>46204.42591435185</v>
      </c>
      <c r="B3353" s="25">
        <f>TEXT(A3353,"YYYY-MM")</f>
        <v/>
      </c>
      <c r="C3353" s="25">
        <f>TEXT(A3353,"MMM-YYYY")</f>
        <v/>
      </c>
      <c r="D3353" s="40">
        <f>INT(A3353)-WEEKDAY(A3353,2)+1</f>
        <v/>
      </c>
      <c r="E3353" s="25" t="inlineStr">
        <is>
          <t>dchoudhury</t>
        </is>
      </c>
      <c r="F3353" s="25" t="n">
        <v>130905</v>
      </c>
      <c r="G3353" s="25" t="n">
        <v>1</v>
      </c>
      <c r="H3353" s="25" t="n">
        <v>5</v>
      </c>
      <c r="I3353" s="25" t="inlineStr">
        <is>
          <t>1 minute(s) and 12 second(s)</t>
        </is>
      </c>
      <c r="J3353" s="25">
        <f>IFERROR(VALUE(TRIM(LEFT(I3353,FIND("minute",I3353)-1)))*60,0)+IFERROR(VALUE(SUBSTITUTE(MID(I3353,IFERROR(FIND("and",I3353)+3,1),20),"second(s)","")),0)</f>
        <v/>
      </c>
      <c r="K3353" s="41">
        <f>J3353/60</f>
        <v/>
      </c>
      <c r="L3353" s="41">
        <f>IFERROR(J3353/H3353,"")</f>
        <v/>
      </c>
      <c r="M3353" s="25" t="inlineStr">
        <is>
          <t>2.5.12</t>
        </is>
      </c>
      <c r="N3353" s="25">
        <f>IF(J3353&gt;300,1,0)</f>
        <v/>
      </c>
      <c r="O3353" s="25">
        <f>IF(J3353&gt;600,1,0)</f>
        <v/>
      </c>
      <c r="P3353" s="25">
        <f>IF(H3353&gt;0,J3353,"")</f>
        <v/>
      </c>
      <c r="Q3353" s="25">
        <f>TEXT(A3353,"YYYY-MM-DD HH")</f>
        <v/>
      </c>
      <c r="R3353" s="25">
        <f>COUNTIF($Q$2:$Q$5295,Q3353)</f>
        <v/>
      </c>
      <c r="S3353" s="25">
        <f>IF(R3353&lt;=2,"1-2",IF(R3353&lt;=5,"3-5",IF(R3353&lt;=10,"6-10","11+")))</f>
        <v/>
      </c>
    </row>
    <row r="3354">
      <c r="A3354" s="39" t="n">
        <v>46204.43104166666</v>
      </c>
      <c r="B3354" s="25">
        <f>TEXT(A3354,"YYYY-MM")</f>
        <v/>
      </c>
      <c r="C3354" s="25">
        <f>TEXT(A3354,"MMM-YYYY")</f>
        <v/>
      </c>
      <c r="D3354" s="40">
        <f>INT(A3354)-WEEKDAY(A3354,2)+1</f>
        <v/>
      </c>
      <c r="E3354" s="25" t="inlineStr">
        <is>
          <t>stiwari</t>
        </is>
      </c>
      <c r="F3354" s="25" t="n">
        <v>128685</v>
      </c>
      <c r="G3354" s="25" t="n">
        <v>3</v>
      </c>
      <c r="H3354" s="25" t="n">
        <v>13</v>
      </c>
      <c r="I3354" s="25" t="inlineStr">
        <is>
          <t>2 minute(s) and 23 second(s)</t>
        </is>
      </c>
      <c r="J3354" s="25">
        <f>IFERROR(VALUE(TRIM(LEFT(I3354,FIND("minute",I3354)-1)))*60,0)+IFERROR(VALUE(SUBSTITUTE(MID(I3354,IFERROR(FIND("and",I3354)+3,1),20),"second(s)","")),0)</f>
        <v/>
      </c>
      <c r="K3354" s="41">
        <f>J3354/60</f>
        <v/>
      </c>
      <c r="L3354" s="41">
        <f>IFERROR(J3354/H3354,"")</f>
        <v/>
      </c>
      <c r="M3354" s="25" t="inlineStr">
        <is>
          <t>2.5.12</t>
        </is>
      </c>
      <c r="N3354" s="25">
        <f>IF(J3354&gt;300,1,0)</f>
        <v/>
      </c>
      <c r="O3354" s="25">
        <f>IF(J3354&gt;600,1,0)</f>
        <v/>
      </c>
      <c r="P3354" s="25">
        <f>IF(H3354&gt;0,J3354,"")</f>
        <v/>
      </c>
      <c r="Q3354" s="25">
        <f>TEXT(A3354,"YYYY-MM-DD HH")</f>
        <v/>
      </c>
      <c r="R3354" s="25">
        <f>COUNTIF($Q$2:$Q$5295,Q3354)</f>
        <v/>
      </c>
      <c r="S3354" s="25">
        <f>IF(R3354&lt;=2,"1-2",IF(R3354&lt;=5,"3-5",IF(R3354&lt;=10,"6-10","11+")))</f>
        <v/>
      </c>
    </row>
    <row r="3355">
      <c r="A3355" s="39" t="n">
        <v>46204.4315625</v>
      </c>
      <c r="B3355" s="25">
        <f>TEXT(A3355,"YYYY-MM")</f>
        <v/>
      </c>
      <c r="C3355" s="25">
        <f>TEXT(A3355,"MMM-YYYY")</f>
        <v/>
      </c>
      <c r="D3355" s="40">
        <f>INT(A3355)-WEEKDAY(A3355,2)+1</f>
        <v/>
      </c>
      <c r="E3355" s="25" t="inlineStr">
        <is>
          <t>dbhattacharyya</t>
        </is>
      </c>
      <c r="F3355" s="25" t="n">
        <v>129373</v>
      </c>
      <c r="G3355" s="25" t="n">
        <v>3</v>
      </c>
      <c r="H3355" s="25" t="n">
        <v>11</v>
      </c>
      <c r="I3355" s="25" t="inlineStr">
        <is>
          <t>2 minute(s) and 6 second(s)</t>
        </is>
      </c>
      <c r="J3355" s="25">
        <f>IFERROR(VALUE(TRIM(LEFT(I3355,FIND("minute",I3355)-1)))*60,0)+IFERROR(VALUE(SUBSTITUTE(MID(I3355,IFERROR(FIND("and",I3355)+3,1),20),"second(s)","")),0)</f>
        <v/>
      </c>
      <c r="K3355" s="41">
        <f>J3355/60</f>
        <v/>
      </c>
      <c r="L3355" s="41">
        <f>IFERROR(J3355/H3355,"")</f>
        <v/>
      </c>
      <c r="M3355" s="25" t="inlineStr">
        <is>
          <t>2.5.12</t>
        </is>
      </c>
      <c r="N3355" s="25">
        <f>IF(J3355&gt;300,1,0)</f>
        <v/>
      </c>
      <c r="O3355" s="25">
        <f>IF(J3355&gt;600,1,0)</f>
        <v/>
      </c>
      <c r="P3355" s="25">
        <f>IF(H3355&gt;0,J3355,"")</f>
        <v/>
      </c>
      <c r="Q3355" s="25">
        <f>TEXT(A3355,"YYYY-MM-DD HH")</f>
        <v/>
      </c>
      <c r="R3355" s="25">
        <f>COUNTIF($Q$2:$Q$5295,Q3355)</f>
        <v/>
      </c>
      <c r="S3355" s="25">
        <f>IF(R3355&lt;=2,"1-2",IF(R3355&lt;=5,"3-5",IF(R3355&lt;=10,"6-10","11+")))</f>
        <v/>
      </c>
    </row>
    <row r="3356">
      <c r="A3356" s="39" t="n">
        <v>46204.44290509259</v>
      </c>
      <c r="B3356" s="25">
        <f>TEXT(A3356,"YYYY-MM")</f>
        <v/>
      </c>
      <c r="C3356" s="25">
        <f>TEXT(A3356,"MMM-YYYY")</f>
        <v/>
      </c>
      <c r="D3356" s="40">
        <f>INT(A3356)-WEEKDAY(A3356,2)+1</f>
        <v/>
      </c>
      <c r="E3356" s="25" t="inlineStr">
        <is>
          <t>sswati</t>
        </is>
      </c>
      <c r="F3356" s="25" t="n">
        <v>128765</v>
      </c>
      <c r="G3356" s="25" t="n">
        <v>4</v>
      </c>
      <c r="H3356" s="25" t="n">
        <v>22</v>
      </c>
      <c r="I3356" s="25" t="inlineStr">
        <is>
          <t>5 minute(s) and 14 second(s)</t>
        </is>
      </c>
      <c r="J3356" s="25">
        <f>IFERROR(VALUE(TRIM(LEFT(I3356,FIND("minute",I3356)-1)))*60,0)+IFERROR(VALUE(SUBSTITUTE(MID(I3356,IFERROR(FIND("and",I3356)+3,1),20),"second(s)","")),0)</f>
        <v/>
      </c>
      <c r="K3356" s="41">
        <f>J3356/60</f>
        <v/>
      </c>
      <c r="L3356" s="41">
        <f>IFERROR(J3356/H3356,"")</f>
        <v/>
      </c>
      <c r="M3356" s="25" t="inlineStr">
        <is>
          <t>2.5.12</t>
        </is>
      </c>
      <c r="N3356" s="25">
        <f>IF(J3356&gt;300,1,0)</f>
        <v/>
      </c>
      <c r="O3356" s="25">
        <f>IF(J3356&gt;600,1,0)</f>
        <v/>
      </c>
      <c r="P3356" s="25">
        <f>IF(H3356&gt;0,J3356,"")</f>
        <v/>
      </c>
      <c r="Q3356" s="25">
        <f>TEXT(A3356,"YYYY-MM-DD HH")</f>
        <v/>
      </c>
      <c r="R3356" s="25">
        <f>COUNTIF($Q$2:$Q$5295,Q3356)</f>
        <v/>
      </c>
      <c r="S3356" s="25">
        <f>IF(R3356&lt;=2,"1-2",IF(R3356&lt;=5,"3-5",IF(R3356&lt;=10,"6-10","11+")))</f>
        <v/>
      </c>
    </row>
    <row r="3357">
      <c r="A3357" s="39" t="n">
        <v>46204.45770833334</v>
      </c>
      <c r="B3357" s="25">
        <f>TEXT(A3357,"YYYY-MM")</f>
        <v/>
      </c>
      <c r="C3357" s="25">
        <f>TEXT(A3357,"MMM-YYYY")</f>
        <v/>
      </c>
      <c r="D3357" s="40">
        <f>INT(A3357)-WEEKDAY(A3357,2)+1</f>
        <v/>
      </c>
      <c r="E3357" s="25" t="inlineStr">
        <is>
          <t>adey</t>
        </is>
      </c>
      <c r="F3357" s="25" t="n">
        <v>130733</v>
      </c>
      <c r="G3357" s="25" t="n">
        <v>2</v>
      </c>
      <c r="H3357" s="25" t="n">
        <v>10</v>
      </c>
      <c r="I3357" s="25" t="inlineStr">
        <is>
          <t>3 minute(s) and 6 second(s)</t>
        </is>
      </c>
      <c r="J3357" s="25">
        <f>IFERROR(VALUE(TRIM(LEFT(I3357,FIND("minute",I3357)-1)))*60,0)+IFERROR(VALUE(SUBSTITUTE(MID(I3357,IFERROR(FIND("and",I3357)+3,1),20),"second(s)","")),0)</f>
        <v/>
      </c>
      <c r="K3357" s="41">
        <f>J3357/60</f>
        <v/>
      </c>
      <c r="L3357" s="41">
        <f>IFERROR(J3357/H3357,"")</f>
        <v/>
      </c>
      <c r="M3357" s="25" t="inlineStr">
        <is>
          <t>2.5.12</t>
        </is>
      </c>
      <c r="N3357" s="25">
        <f>IF(J3357&gt;300,1,0)</f>
        <v/>
      </c>
      <c r="O3357" s="25">
        <f>IF(J3357&gt;600,1,0)</f>
        <v/>
      </c>
      <c r="P3357" s="25">
        <f>IF(H3357&gt;0,J3357,"")</f>
        <v/>
      </c>
      <c r="Q3357" s="25">
        <f>TEXT(A3357,"YYYY-MM-DD HH")</f>
        <v/>
      </c>
      <c r="R3357" s="25">
        <f>COUNTIF($Q$2:$Q$5295,Q3357)</f>
        <v/>
      </c>
      <c r="S3357" s="25">
        <f>IF(R3357&lt;=2,"1-2",IF(R3357&lt;=5,"3-5",IF(R3357&lt;=10,"6-10","11+")))</f>
        <v/>
      </c>
    </row>
    <row r="3358">
      <c r="A3358" s="39" t="n">
        <v>46204.47797453704</v>
      </c>
      <c r="B3358" s="25">
        <f>TEXT(A3358,"YYYY-MM")</f>
        <v/>
      </c>
      <c r="C3358" s="25">
        <f>TEXT(A3358,"MMM-YYYY")</f>
        <v/>
      </c>
      <c r="D3358" s="40">
        <f>INT(A3358)-WEEKDAY(A3358,2)+1</f>
        <v/>
      </c>
      <c r="E3358" s="25" t="inlineStr">
        <is>
          <t>bverma</t>
        </is>
      </c>
      <c r="F3358" s="25" t="n">
        <v>127933</v>
      </c>
      <c r="G3358" s="25" t="n">
        <v>2</v>
      </c>
      <c r="H3358" s="25" t="n">
        <v>14</v>
      </c>
      <c r="I3358" s="25" t="inlineStr">
        <is>
          <t>3 minute(s) and 34 second(s)</t>
        </is>
      </c>
      <c r="J3358" s="25">
        <f>IFERROR(VALUE(TRIM(LEFT(I3358,FIND("minute",I3358)-1)))*60,0)+IFERROR(VALUE(SUBSTITUTE(MID(I3358,IFERROR(FIND("and",I3358)+3,1),20),"second(s)","")),0)</f>
        <v/>
      </c>
      <c r="K3358" s="41">
        <f>J3358/60</f>
        <v/>
      </c>
      <c r="L3358" s="41">
        <f>IFERROR(J3358/H3358,"")</f>
        <v/>
      </c>
      <c r="M3358" s="25" t="inlineStr">
        <is>
          <t>2.5.12</t>
        </is>
      </c>
      <c r="N3358" s="25">
        <f>IF(J3358&gt;300,1,0)</f>
        <v/>
      </c>
      <c r="O3358" s="25">
        <f>IF(J3358&gt;600,1,0)</f>
        <v/>
      </c>
      <c r="P3358" s="25">
        <f>IF(H3358&gt;0,J3358,"")</f>
        <v/>
      </c>
      <c r="Q3358" s="25">
        <f>TEXT(A3358,"YYYY-MM-DD HH")</f>
        <v/>
      </c>
      <c r="R3358" s="25">
        <f>COUNTIF($Q$2:$Q$5295,Q3358)</f>
        <v/>
      </c>
      <c r="S3358" s="25">
        <f>IF(R3358&lt;=2,"1-2",IF(R3358&lt;=5,"3-5",IF(R3358&lt;=10,"6-10","11+")))</f>
        <v/>
      </c>
    </row>
    <row r="3359">
      <c r="A3359" s="39" t="n">
        <v>46204.48371527778</v>
      </c>
      <c r="B3359" s="25">
        <f>TEXT(A3359,"YYYY-MM")</f>
        <v/>
      </c>
      <c r="C3359" s="25">
        <f>TEXT(A3359,"MMM-YYYY")</f>
        <v/>
      </c>
      <c r="D3359" s="40">
        <f>INT(A3359)-WEEKDAY(A3359,2)+1</f>
        <v/>
      </c>
      <c r="E3359" s="25" t="inlineStr">
        <is>
          <t>aghosh</t>
        </is>
      </c>
      <c r="F3359" s="25" t="n">
        <v>128141</v>
      </c>
      <c r="G3359" s="25" t="n">
        <v>1</v>
      </c>
      <c r="H3359" s="25" t="n">
        <v>7</v>
      </c>
      <c r="I3359" s="25" t="inlineStr">
        <is>
          <t>3 minute(s) and 4 second(s)</t>
        </is>
      </c>
      <c r="J3359" s="25">
        <f>IFERROR(VALUE(TRIM(LEFT(I3359,FIND("minute",I3359)-1)))*60,0)+IFERROR(VALUE(SUBSTITUTE(MID(I3359,IFERROR(FIND("and",I3359)+3,1),20),"second(s)","")),0)</f>
        <v/>
      </c>
      <c r="K3359" s="41">
        <f>J3359/60</f>
        <v/>
      </c>
      <c r="L3359" s="41">
        <f>IFERROR(J3359/H3359,"")</f>
        <v/>
      </c>
      <c r="M3359" s="25" t="inlineStr">
        <is>
          <t>2.5.12</t>
        </is>
      </c>
      <c r="N3359" s="25">
        <f>IF(J3359&gt;300,1,0)</f>
        <v/>
      </c>
      <c r="O3359" s="25">
        <f>IF(J3359&gt;600,1,0)</f>
        <v/>
      </c>
      <c r="P3359" s="25">
        <f>IF(H3359&gt;0,J3359,"")</f>
        <v/>
      </c>
      <c r="Q3359" s="25">
        <f>TEXT(A3359,"YYYY-MM-DD HH")</f>
        <v/>
      </c>
      <c r="R3359" s="25">
        <f>COUNTIF($Q$2:$Q$5295,Q3359)</f>
        <v/>
      </c>
      <c r="S3359" s="25">
        <f>IF(R3359&lt;=2,"1-2",IF(R3359&lt;=5,"3-5",IF(R3359&lt;=10,"6-10","11+")))</f>
        <v/>
      </c>
    </row>
    <row r="3360">
      <c r="A3360" s="39" t="n">
        <v>46204.48930555556</v>
      </c>
      <c r="B3360" s="25">
        <f>TEXT(A3360,"YYYY-MM")</f>
        <v/>
      </c>
      <c r="C3360" s="25">
        <f>TEXT(A3360,"MMM-YYYY")</f>
        <v/>
      </c>
      <c r="D3360" s="40">
        <f>INT(A3360)-WEEKDAY(A3360,2)+1</f>
        <v/>
      </c>
      <c r="E3360" s="25" t="inlineStr">
        <is>
          <t>anusharma</t>
        </is>
      </c>
      <c r="F3360" s="25" t="n">
        <v>128101</v>
      </c>
      <c r="G3360" s="25" t="n">
        <v>1</v>
      </c>
      <c r="H3360" s="25" t="n">
        <v>5</v>
      </c>
      <c r="I3360" s="25" t="inlineStr">
        <is>
          <t>2 minute(s) and 15 second(s)</t>
        </is>
      </c>
      <c r="J3360" s="25">
        <f>IFERROR(VALUE(TRIM(LEFT(I3360,FIND("minute",I3360)-1)))*60,0)+IFERROR(VALUE(SUBSTITUTE(MID(I3360,IFERROR(FIND("and",I3360)+3,1),20),"second(s)","")),0)</f>
        <v/>
      </c>
      <c r="K3360" s="41">
        <f>J3360/60</f>
        <v/>
      </c>
      <c r="L3360" s="41">
        <f>IFERROR(J3360/H3360,"")</f>
        <v/>
      </c>
      <c r="M3360" s="25" t="inlineStr">
        <is>
          <t>2.5.12</t>
        </is>
      </c>
      <c r="N3360" s="25">
        <f>IF(J3360&gt;300,1,0)</f>
        <v/>
      </c>
      <c r="O3360" s="25">
        <f>IF(J3360&gt;600,1,0)</f>
        <v/>
      </c>
      <c r="P3360" s="25">
        <f>IF(H3360&gt;0,J3360,"")</f>
        <v/>
      </c>
      <c r="Q3360" s="25">
        <f>TEXT(A3360,"YYYY-MM-DD HH")</f>
        <v/>
      </c>
      <c r="R3360" s="25">
        <f>COUNTIF($Q$2:$Q$5295,Q3360)</f>
        <v/>
      </c>
      <c r="S3360" s="25">
        <f>IF(R3360&lt;=2,"1-2",IF(R3360&lt;=5,"3-5",IF(R3360&lt;=10,"6-10","11+")))</f>
        <v/>
      </c>
    </row>
    <row r="3361">
      <c r="A3361" s="39" t="n">
        <v>46204.49287037037</v>
      </c>
      <c r="B3361" s="25">
        <f>TEXT(A3361,"YYYY-MM")</f>
        <v/>
      </c>
      <c r="C3361" s="25">
        <f>TEXT(A3361,"MMM-YYYY")</f>
        <v/>
      </c>
      <c r="D3361" s="40">
        <f>INT(A3361)-WEEKDAY(A3361,2)+1</f>
        <v/>
      </c>
      <c r="E3361" s="25" t="inlineStr">
        <is>
          <t>tkarmakar</t>
        </is>
      </c>
      <c r="F3361" s="25" t="n">
        <v>130001</v>
      </c>
      <c r="G3361" s="25" t="n">
        <v>1</v>
      </c>
      <c r="H3361" s="25" t="n">
        <v>7</v>
      </c>
      <c r="I3361" s="25" t="inlineStr">
        <is>
          <t>1 minute(s) and 49 second(s)</t>
        </is>
      </c>
      <c r="J3361" s="25">
        <f>IFERROR(VALUE(TRIM(LEFT(I3361,FIND("minute",I3361)-1)))*60,0)+IFERROR(VALUE(SUBSTITUTE(MID(I3361,IFERROR(FIND("and",I3361)+3,1),20),"second(s)","")),0)</f>
        <v/>
      </c>
      <c r="K3361" s="41">
        <f>J3361/60</f>
        <v/>
      </c>
      <c r="L3361" s="41">
        <f>IFERROR(J3361/H3361,"")</f>
        <v/>
      </c>
      <c r="M3361" s="25" t="inlineStr">
        <is>
          <t>2.5.12</t>
        </is>
      </c>
      <c r="N3361" s="25">
        <f>IF(J3361&gt;300,1,0)</f>
        <v/>
      </c>
      <c r="O3361" s="25">
        <f>IF(J3361&gt;600,1,0)</f>
        <v/>
      </c>
      <c r="P3361" s="25">
        <f>IF(H3361&gt;0,J3361,"")</f>
        <v/>
      </c>
      <c r="Q3361" s="25">
        <f>TEXT(A3361,"YYYY-MM-DD HH")</f>
        <v/>
      </c>
      <c r="R3361" s="25">
        <f>COUNTIF($Q$2:$Q$5295,Q3361)</f>
        <v/>
      </c>
      <c r="S3361" s="25">
        <f>IF(R3361&lt;=2,"1-2",IF(R3361&lt;=5,"3-5",IF(R3361&lt;=10,"6-10","11+")))</f>
        <v/>
      </c>
    </row>
    <row r="3362">
      <c r="A3362" s="39" t="n">
        <v>46204.50241898148</v>
      </c>
      <c r="B3362" s="25">
        <f>TEXT(A3362,"YYYY-MM")</f>
        <v/>
      </c>
      <c r="C3362" s="25">
        <f>TEXT(A3362,"MMM-YYYY")</f>
        <v/>
      </c>
      <c r="D3362" s="40">
        <f>INT(A3362)-WEEKDAY(A3362,2)+1</f>
        <v/>
      </c>
      <c r="E3362" s="25" t="inlineStr">
        <is>
          <t>apriyadarshi</t>
        </is>
      </c>
      <c r="F3362" s="25" t="n">
        <v>128077</v>
      </c>
      <c r="G3362" s="25" t="n">
        <v>2</v>
      </c>
      <c r="H3362" s="25" t="n">
        <v>8</v>
      </c>
      <c r="I3362" s="25" t="inlineStr">
        <is>
          <t>3 minute(s) and 6 second(s)</t>
        </is>
      </c>
      <c r="J3362" s="25">
        <f>IFERROR(VALUE(TRIM(LEFT(I3362,FIND("minute",I3362)-1)))*60,0)+IFERROR(VALUE(SUBSTITUTE(MID(I3362,IFERROR(FIND("and",I3362)+3,1),20),"second(s)","")),0)</f>
        <v/>
      </c>
      <c r="K3362" s="41">
        <f>J3362/60</f>
        <v/>
      </c>
      <c r="L3362" s="41">
        <f>IFERROR(J3362/H3362,"")</f>
        <v/>
      </c>
      <c r="M3362" s="25" t="inlineStr">
        <is>
          <t>2.5.12</t>
        </is>
      </c>
      <c r="N3362" s="25">
        <f>IF(J3362&gt;300,1,0)</f>
        <v/>
      </c>
      <c r="O3362" s="25">
        <f>IF(J3362&gt;600,1,0)</f>
        <v/>
      </c>
      <c r="P3362" s="25">
        <f>IF(H3362&gt;0,J3362,"")</f>
        <v/>
      </c>
      <c r="Q3362" s="25">
        <f>TEXT(A3362,"YYYY-MM-DD HH")</f>
        <v/>
      </c>
      <c r="R3362" s="25">
        <f>COUNTIF($Q$2:$Q$5295,Q3362)</f>
        <v/>
      </c>
      <c r="S3362" s="25">
        <f>IF(R3362&lt;=2,"1-2",IF(R3362&lt;=5,"3-5",IF(R3362&lt;=10,"6-10","11+")))</f>
        <v/>
      </c>
    </row>
    <row r="3363">
      <c r="A3363" s="39" t="n">
        <v>46204.50650462963</v>
      </c>
      <c r="B3363" s="25">
        <f>TEXT(A3363,"YYYY-MM")</f>
        <v/>
      </c>
      <c r="C3363" s="25">
        <f>TEXT(A3363,"MMM-YYYY")</f>
        <v/>
      </c>
      <c r="D3363" s="40">
        <f>INT(A3363)-WEEKDAY(A3363,2)+1</f>
        <v/>
      </c>
      <c r="E3363" s="25" t="inlineStr">
        <is>
          <t>sdey</t>
        </is>
      </c>
      <c r="F3363" s="25" t="n">
        <v>131957</v>
      </c>
      <c r="G3363" s="25" t="n">
        <v>4</v>
      </c>
      <c r="H3363" s="25" t="n">
        <v>14</v>
      </c>
      <c r="I3363" s="25" t="inlineStr">
        <is>
          <t>4 minute(s) and 55 second(s)</t>
        </is>
      </c>
      <c r="J3363" s="25">
        <f>IFERROR(VALUE(TRIM(LEFT(I3363,FIND("minute",I3363)-1)))*60,0)+IFERROR(VALUE(SUBSTITUTE(MID(I3363,IFERROR(FIND("and",I3363)+3,1),20),"second(s)","")),0)</f>
        <v/>
      </c>
      <c r="K3363" s="41">
        <f>J3363/60</f>
        <v/>
      </c>
      <c r="L3363" s="41">
        <f>IFERROR(J3363/H3363,"")</f>
        <v/>
      </c>
      <c r="M3363" s="25" t="inlineStr">
        <is>
          <t>2.5.12</t>
        </is>
      </c>
      <c r="N3363" s="25">
        <f>IF(J3363&gt;300,1,0)</f>
        <v/>
      </c>
      <c r="O3363" s="25">
        <f>IF(J3363&gt;600,1,0)</f>
        <v/>
      </c>
      <c r="P3363" s="25">
        <f>IF(H3363&gt;0,J3363,"")</f>
        <v/>
      </c>
      <c r="Q3363" s="25">
        <f>TEXT(A3363,"YYYY-MM-DD HH")</f>
        <v/>
      </c>
      <c r="R3363" s="25">
        <f>COUNTIF($Q$2:$Q$5295,Q3363)</f>
        <v/>
      </c>
      <c r="S3363" s="25">
        <f>IF(R3363&lt;=2,"1-2",IF(R3363&lt;=5,"3-5",IF(R3363&lt;=10,"6-10","11+")))</f>
        <v/>
      </c>
    </row>
    <row r="3364">
      <c r="A3364" s="39" t="n">
        <v>46204.51033564815</v>
      </c>
      <c r="B3364" s="25">
        <f>TEXT(A3364,"YYYY-MM")</f>
        <v/>
      </c>
      <c r="C3364" s="25">
        <f>TEXT(A3364,"MMM-YYYY")</f>
        <v/>
      </c>
      <c r="D3364" s="40">
        <f>INT(A3364)-WEEKDAY(A3364,2)+1</f>
        <v/>
      </c>
      <c r="E3364" s="25" t="inlineStr">
        <is>
          <t>adey</t>
        </is>
      </c>
      <c r="F3364" s="25" t="n">
        <v>131193</v>
      </c>
      <c r="G3364" s="25" t="n">
        <v>2</v>
      </c>
      <c r="H3364" s="25" t="n">
        <v>10</v>
      </c>
      <c r="I3364" s="25" t="inlineStr">
        <is>
          <t>4 minute(s) and 38 second(s)</t>
        </is>
      </c>
      <c r="J3364" s="25">
        <f>IFERROR(VALUE(TRIM(LEFT(I3364,FIND("minute",I3364)-1)))*60,0)+IFERROR(VALUE(SUBSTITUTE(MID(I3364,IFERROR(FIND("and",I3364)+3,1),20),"second(s)","")),0)</f>
        <v/>
      </c>
      <c r="K3364" s="41">
        <f>J3364/60</f>
        <v/>
      </c>
      <c r="L3364" s="41">
        <f>IFERROR(J3364/H3364,"")</f>
        <v/>
      </c>
      <c r="M3364" s="25" t="inlineStr">
        <is>
          <t>2.5.12</t>
        </is>
      </c>
      <c r="N3364" s="25">
        <f>IF(J3364&gt;300,1,0)</f>
        <v/>
      </c>
      <c r="O3364" s="25">
        <f>IF(J3364&gt;600,1,0)</f>
        <v/>
      </c>
      <c r="P3364" s="25">
        <f>IF(H3364&gt;0,J3364,"")</f>
        <v/>
      </c>
      <c r="Q3364" s="25">
        <f>TEXT(A3364,"YYYY-MM-DD HH")</f>
        <v/>
      </c>
      <c r="R3364" s="25">
        <f>COUNTIF($Q$2:$Q$5295,Q3364)</f>
        <v/>
      </c>
      <c r="S3364" s="25">
        <f>IF(R3364&lt;=2,"1-2",IF(R3364&lt;=5,"3-5",IF(R3364&lt;=10,"6-10","11+")))</f>
        <v/>
      </c>
    </row>
    <row r="3365">
      <c r="A3365" s="39" t="n">
        <v>46204.53836805555</v>
      </c>
      <c r="B3365" s="25">
        <f>TEXT(A3365,"YYYY-MM")</f>
        <v/>
      </c>
      <c r="C3365" s="25">
        <f>TEXT(A3365,"MMM-YYYY")</f>
        <v/>
      </c>
      <c r="D3365" s="40">
        <f>INT(A3365)-WEEKDAY(A3365,2)+1</f>
        <v/>
      </c>
      <c r="E3365" s="25" t="inlineStr">
        <is>
          <t>aghosh</t>
        </is>
      </c>
      <c r="F3365" s="25" t="n">
        <v>128521</v>
      </c>
      <c r="G3365" s="25" t="n">
        <v>2</v>
      </c>
      <c r="H3365" s="25" t="n">
        <v>6</v>
      </c>
      <c r="I3365" s="25" t="inlineStr">
        <is>
          <t>1 minute(s) and 28 second(s)</t>
        </is>
      </c>
      <c r="J3365" s="25">
        <f>IFERROR(VALUE(TRIM(LEFT(I3365,FIND("minute",I3365)-1)))*60,0)+IFERROR(VALUE(SUBSTITUTE(MID(I3365,IFERROR(FIND("and",I3365)+3,1),20),"second(s)","")),0)</f>
        <v/>
      </c>
      <c r="K3365" s="41">
        <f>J3365/60</f>
        <v/>
      </c>
      <c r="L3365" s="41">
        <f>IFERROR(J3365/H3365,"")</f>
        <v/>
      </c>
      <c r="M3365" s="25" t="inlineStr">
        <is>
          <t>2.5.12</t>
        </is>
      </c>
      <c r="N3365" s="25">
        <f>IF(J3365&gt;300,1,0)</f>
        <v/>
      </c>
      <c r="O3365" s="25">
        <f>IF(J3365&gt;600,1,0)</f>
        <v/>
      </c>
      <c r="P3365" s="25">
        <f>IF(H3365&gt;0,J3365,"")</f>
        <v/>
      </c>
      <c r="Q3365" s="25">
        <f>TEXT(A3365,"YYYY-MM-DD HH")</f>
        <v/>
      </c>
      <c r="R3365" s="25">
        <f>COUNTIF($Q$2:$Q$5295,Q3365)</f>
        <v/>
      </c>
      <c r="S3365" s="25">
        <f>IF(R3365&lt;=2,"1-2",IF(R3365&lt;=5,"3-5",IF(R3365&lt;=10,"6-10","11+")))</f>
        <v/>
      </c>
    </row>
    <row r="3366">
      <c r="A3366" s="39" t="n">
        <v>46204.54674768518</v>
      </c>
      <c r="B3366" s="25">
        <f>TEXT(A3366,"YYYY-MM")</f>
        <v/>
      </c>
      <c r="C3366" s="25">
        <f>TEXT(A3366,"MMM-YYYY")</f>
        <v/>
      </c>
      <c r="D3366" s="40">
        <f>INT(A3366)-WEEKDAY(A3366,2)+1</f>
        <v/>
      </c>
      <c r="E3366" s="25" t="inlineStr">
        <is>
          <t>panullekha</t>
        </is>
      </c>
      <c r="F3366" s="25" t="n">
        <v>110498</v>
      </c>
      <c r="G3366" s="25" t="n">
        <v>3</v>
      </c>
      <c r="H3366" s="25" t="n">
        <v>17</v>
      </c>
      <c r="I3366" s="25" t="inlineStr">
        <is>
          <t>7 minute(s) and 42 second(s)</t>
        </is>
      </c>
      <c r="J3366" s="25">
        <f>IFERROR(VALUE(TRIM(LEFT(I3366,FIND("minute",I3366)-1)))*60,0)+IFERROR(VALUE(SUBSTITUTE(MID(I3366,IFERROR(FIND("and",I3366)+3,1),20),"second(s)","")),0)</f>
        <v/>
      </c>
      <c r="K3366" s="41">
        <f>J3366/60</f>
        <v/>
      </c>
      <c r="L3366" s="41">
        <f>IFERROR(J3366/H3366,"")</f>
        <v/>
      </c>
      <c r="M3366" s="25" t="inlineStr">
        <is>
          <t>2.5.12</t>
        </is>
      </c>
      <c r="N3366" s="25">
        <f>IF(J3366&gt;300,1,0)</f>
        <v/>
      </c>
      <c r="O3366" s="25">
        <f>IF(J3366&gt;600,1,0)</f>
        <v/>
      </c>
      <c r="P3366" s="25">
        <f>IF(H3366&gt;0,J3366,"")</f>
        <v/>
      </c>
      <c r="Q3366" s="25">
        <f>TEXT(A3366,"YYYY-MM-DD HH")</f>
        <v/>
      </c>
      <c r="R3366" s="25">
        <f>COUNTIF($Q$2:$Q$5295,Q3366)</f>
        <v/>
      </c>
      <c r="S3366" s="25">
        <f>IF(R3366&lt;=2,"1-2",IF(R3366&lt;=5,"3-5",IF(R3366&lt;=10,"6-10","11+")))</f>
        <v/>
      </c>
    </row>
    <row r="3367">
      <c r="A3367" s="39" t="n">
        <v>46204.55539351852</v>
      </c>
      <c r="B3367" s="25">
        <f>TEXT(A3367,"YYYY-MM")</f>
        <v/>
      </c>
      <c r="C3367" s="25">
        <f>TEXT(A3367,"MMM-YYYY")</f>
        <v/>
      </c>
      <c r="D3367" s="40">
        <f>INT(A3367)-WEEKDAY(A3367,2)+1</f>
        <v/>
      </c>
      <c r="E3367" s="25" t="inlineStr">
        <is>
          <t>aghosh</t>
        </is>
      </c>
      <c r="F3367" s="25" t="n">
        <v>128521</v>
      </c>
      <c r="G3367" s="25" t="n">
        <v>2</v>
      </c>
      <c r="H3367" s="25" t="n">
        <v>8</v>
      </c>
      <c r="I3367" s="25" t="inlineStr">
        <is>
          <t>2 minute(s) and 48 second(s)</t>
        </is>
      </c>
      <c r="J3367" s="25">
        <f>IFERROR(VALUE(TRIM(LEFT(I3367,FIND("minute",I3367)-1)))*60,0)+IFERROR(VALUE(SUBSTITUTE(MID(I3367,IFERROR(FIND("and",I3367)+3,1),20),"second(s)","")),0)</f>
        <v/>
      </c>
      <c r="K3367" s="41">
        <f>J3367/60</f>
        <v/>
      </c>
      <c r="L3367" s="41">
        <f>IFERROR(J3367/H3367,"")</f>
        <v/>
      </c>
      <c r="M3367" s="25" t="inlineStr">
        <is>
          <t>2.5.12</t>
        </is>
      </c>
      <c r="N3367" s="25">
        <f>IF(J3367&gt;300,1,0)</f>
        <v/>
      </c>
      <c r="O3367" s="25">
        <f>IF(J3367&gt;600,1,0)</f>
        <v/>
      </c>
      <c r="P3367" s="25">
        <f>IF(H3367&gt;0,J3367,"")</f>
        <v/>
      </c>
      <c r="Q3367" s="25">
        <f>TEXT(A3367,"YYYY-MM-DD HH")</f>
        <v/>
      </c>
      <c r="R3367" s="25">
        <f>COUNTIF($Q$2:$Q$5295,Q3367)</f>
        <v/>
      </c>
      <c r="S3367" s="25">
        <f>IF(R3367&lt;=2,"1-2",IF(R3367&lt;=5,"3-5",IF(R3367&lt;=10,"6-10","11+")))</f>
        <v/>
      </c>
    </row>
    <row r="3368">
      <c r="A3368" s="39" t="n">
        <v>46204.559375</v>
      </c>
      <c r="B3368" s="25">
        <f>TEXT(A3368,"YYYY-MM")</f>
        <v/>
      </c>
      <c r="C3368" s="25">
        <f>TEXT(A3368,"MMM-YYYY")</f>
        <v/>
      </c>
      <c r="D3368" s="40">
        <f>INT(A3368)-WEEKDAY(A3368,2)+1</f>
        <v/>
      </c>
      <c r="E3368" s="25" t="inlineStr">
        <is>
          <t>aghosh</t>
        </is>
      </c>
      <c r="F3368" s="25" t="n">
        <v>128521</v>
      </c>
      <c r="G3368" s="25" t="n">
        <v>2</v>
      </c>
      <c r="H3368" s="25" t="n">
        <v>7</v>
      </c>
      <c r="I3368" s="25" t="inlineStr">
        <is>
          <t>10 minute(s) and 41 second(s)</t>
        </is>
      </c>
      <c r="J3368" s="25">
        <f>IFERROR(VALUE(TRIM(LEFT(I3368,FIND("minute",I3368)-1)))*60,0)+IFERROR(VALUE(SUBSTITUTE(MID(I3368,IFERROR(FIND("and",I3368)+3,1),20),"second(s)","")),0)</f>
        <v/>
      </c>
      <c r="K3368" s="41">
        <f>J3368/60</f>
        <v/>
      </c>
      <c r="L3368" s="41">
        <f>IFERROR(J3368/H3368,"")</f>
        <v/>
      </c>
      <c r="M3368" s="25" t="inlineStr">
        <is>
          <t>2.5.12</t>
        </is>
      </c>
      <c r="N3368" s="25">
        <f>IF(J3368&gt;300,1,0)</f>
        <v/>
      </c>
      <c r="O3368" s="25">
        <f>IF(J3368&gt;600,1,0)</f>
        <v/>
      </c>
      <c r="P3368" s="25">
        <f>IF(H3368&gt;0,J3368,"")</f>
        <v/>
      </c>
      <c r="Q3368" s="25">
        <f>TEXT(A3368,"YYYY-MM-DD HH")</f>
        <v/>
      </c>
      <c r="R3368" s="25">
        <f>COUNTIF($Q$2:$Q$5295,Q3368)</f>
        <v/>
      </c>
      <c r="S3368" s="25">
        <f>IF(R3368&lt;=2,"1-2",IF(R3368&lt;=5,"3-5",IF(R3368&lt;=10,"6-10","11+")))</f>
        <v/>
      </c>
    </row>
    <row r="3369">
      <c r="A3369" s="39" t="n">
        <v>46204.56473379629</v>
      </c>
      <c r="B3369" s="25">
        <f>TEXT(A3369,"YYYY-MM")</f>
        <v/>
      </c>
      <c r="C3369" s="25">
        <f>TEXT(A3369,"MMM-YYYY")</f>
        <v/>
      </c>
      <c r="D3369" s="40">
        <f>INT(A3369)-WEEKDAY(A3369,2)+1</f>
        <v/>
      </c>
      <c r="E3369" s="25" t="inlineStr">
        <is>
          <t>apriyadarshi</t>
        </is>
      </c>
      <c r="F3369" s="25" t="n">
        <v>131445</v>
      </c>
      <c r="G3369" s="25" t="n">
        <v>1</v>
      </c>
      <c r="H3369" s="25" t="n">
        <v>7</v>
      </c>
      <c r="I3369" s="25" t="inlineStr">
        <is>
          <t>1 minute(s) and 36 second(s)</t>
        </is>
      </c>
      <c r="J3369" s="25">
        <f>IFERROR(VALUE(TRIM(LEFT(I3369,FIND("minute",I3369)-1)))*60,0)+IFERROR(VALUE(SUBSTITUTE(MID(I3369,IFERROR(FIND("and",I3369)+3,1),20),"second(s)","")),0)</f>
        <v/>
      </c>
      <c r="K3369" s="41">
        <f>J3369/60</f>
        <v/>
      </c>
      <c r="L3369" s="41">
        <f>IFERROR(J3369/H3369,"")</f>
        <v/>
      </c>
      <c r="M3369" s="25" t="inlineStr">
        <is>
          <t>2.5.12</t>
        </is>
      </c>
      <c r="N3369" s="25">
        <f>IF(J3369&gt;300,1,0)</f>
        <v/>
      </c>
      <c r="O3369" s="25">
        <f>IF(J3369&gt;600,1,0)</f>
        <v/>
      </c>
      <c r="P3369" s="25">
        <f>IF(H3369&gt;0,J3369,"")</f>
        <v/>
      </c>
      <c r="Q3369" s="25">
        <f>TEXT(A3369,"YYYY-MM-DD HH")</f>
        <v/>
      </c>
      <c r="R3369" s="25">
        <f>COUNTIF($Q$2:$Q$5295,Q3369)</f>
        <v/>
      </c>
      <c r="S3369" s="25">
        <f>IF(R3369&lt;=2,"1-2",IF(R3369&lt;=5,"3-5",IF(R3369&lt;=10,"6-10","11+")))</f>
        <v/>
      </c>
    </row>
    <row r="3370">
      <c r="A3370" s="39" t="n">
        <v>46204.57377314815</v>
      </c>
      <c r="B3370" s="25">
        <f>TEXT(A3370,"YYYY-MM")</f>
        <v/>
      </c>
      <c r="C3370" s="25">
        <f>TEXT(A3370,"MMM-YYYY")</f>
        <v/>
      </c>
      <c r="D3370" s="40">
        <f>INT(A3370)-WEEKDAY(A3370,2)+1</f>
        <v/>
      </c>
      <c r="E3370" s="25" t="inlineStr">
        <is>
          <t>ssarkar</t>
        </is>
      </c>
      <c r="F3370" s="25" t="n">
        <v>128309</v>
      </c>
      <c r="G3370" s="25" t="n">
        <v>1</v>
      </c>
      <c r="H3370" s="25" t="n">
        <v>7</v>
      </c>
      <c r="I3370" s="25" t="inlineStr">
        <is>
          <t>3 minute(s) and 1 second(s)</t>
        </is>
      </c>
      <c r="J3370" s="25">
        <f>IFERROR(VALUE(TRIM(LEFT(I3370,FIND("minute",I3370)-1)))*60,0)+IFERROR(VALUE(SUBSTITUTE(MID(I3370,IFERROR(FIND("and",I3370)+3,1),20),"second(s)","")),0)</f>
        <v/>
      </c>
      <c r="K3370" s="41">
        <f>J3370/60</f>
        <v/>
      </c>
      <c r="L3370" s="41">
        <f>IFERROR(J3370/H3370,"")</f>
        <v/>
      </c>
      <c r="M3370" s="25" t="inlineStr">
        <is>
          <t>2.5.12</t>
        </is>
      </c>
      <c r="N3370" s="25">
        <f>IF(J3370&gt;300,1,0)</f>
        <v/>
      </c>
      <c r="O3370" s="25">
        <f>IF(J3370&gt;600,1,0)</f>
        <v/>
      </c>
      <c r="P3370" s="25">
        <f>IF(H3370&gt;0,J3370,"")</f>
        <v/>
      </c>
      <c r="Q3370" s="25">
        <f>TEXT(A3370,"YYYY-MM-DD HH")</f>
        <v/>
      </c>
      <c r="R3370" s="25">
        <f>COUNTIF($Q$2:$Q$5295,Q3370)</f>
        <v/>
      </c>
      <c r="S3370" s="25">
        <f>IF(R3370&lt;=2,"1-2",IF(R3370&lt;=5,"3-5",IF(R3370&lt;=10,"6-10","11+")))</f>
        <v/>
      </c>
    </row>
    <row r="3371">
      <c r="A3371" s="39" t="n">
        <v>46204.58243055556</v>
      </c>
      <c r="B3371" s="25">
        <f>TEXT(A3371,"YYYY-MM")</f>
        <v/>
      </c>
      <c r="C3371" s="25">
        <f>TEXT(A3371,"MMM-YYYY")</f>
        <v/>
      </c>
      <c r="D3371" s="40">
        <f>INT(A3371)-WEEKDAY(A3371,2)+1</f>
        <v/>
      </c>
      <c r="E3371" s="25" t="inlineStr">
        <is>
          <t>ssaha</t>
        </is>
      </c>
      <c r="F3371" s="25" t="n">
        <v>131901</v>
      </c>
      <c r="G3371" s="25" t="n">
        <v>2</v>
      </c>
      <c r="H3371" s="25" t="n">
        <v>6</v>
      </c>
      <c r="I3371" s="25" t="inlineStr">
        <is>
          <t>1 minute(s) and 26 second(s)</t>
        </is>
      </c>
      <c r="J3371" s="25">
        <f>IFERROR(VALUE(TRIM(LEFT(I3371,FIND("minute",I3371)-1)))*60,0)+IFERROR(VALUE(SUBSTITUTE(MID(I3371,IFERROR(FIND("and",I3371)+3,1),20),"second(s)","")),0)</f>
        <v/>
      </c>
      <c r="K3371" s="41">
        <f>J3371/60</f>
        <v/>
      </c>
      <c r="L3371" s="41">
        <f>IFERROR(J3371/H3371,"")</f>
        <v/>
      </c>
      <c r="M3371" s="25" t="inlineStr">
        <is>
          <t>2.5.12</t>
        </is>
      </c>
      <c r="N3371" s="25">
        <f>IF(J3371&gt;300,1,0)</f>
        <v/>
      </c>
      <c r="O3371" s="25">
        <f>IF(J3371&gt;600,1,0)</f>
        <v/>
      </c>
      <c r="P3371" s="25">
        <f>IF(H3371&gt;0,J3371,"")</f>
        <v/>
      </c>
      <c r="Q3371" s="25">
        <f>TEXT(A3371,"YYYY-MM-DD HH")</f>
        <v/>
      </c>
      <c r="R3371" s="25">
        <f>COUNTIF($Q$2:$Q$5295,Q3371)</f>
        <v/>
      </c>
      <c r="S3371" s="25">
        <f>IF(R3371&lt;=2,"1-2",IF(R3371&lt;=5,"3-5",IF(R3371&lt;=10,"6-10","11+")))</f>
        <v/>
      </c>
    </row>
    <row r="3372">
      <c r="A3372" s="39" t="n">
        <v>46204.58686342592</v>
      </c>
      <c r="B3372" s="25">
        <f>TEXT(A3372,"YYYY-MM")</f>
        <v/>
      </c>
      <c r="C3372" s="25">
        <f>TEXT(A3372,"MMM-YYYY")</f>
        <v/>
      </c>
      <c r="D3372" s="40">
        <f>INT(A3372)-WEEKDAY(A3372,2)+1</f>
        <v/>
      </c>
      <c r="E3372" s="25" t="inlineStr">
        <is>
          <t>sdey</t>
        </is>
      </c>
      <c r="F3372" s="25" t="n">
        <v>128429</v>
      </c>
      <c r="G3372" s="25" t="n">
        <v>2</v>
      </c>
      <c r="H3372" s="25" t="n">
        <v>10</v>
      </c>
      <c r="I3372" s="25" t="inlineStr">
        <is>
          <t>3 minute(s) and 0 second(s)</t>
        </is>
      </c>
      <c r="J3372" s="25">
        <f>IFERROR(VALUE(TRIM(LEFT(I3372,FIND("minute",I3372)-1)))*60,0)+IFERROR(VALUE(SUBSTITUTE(MID(I3372,IFERROR(FIND("and",I3372)+3,1),20),"second(s)","")),0)</f>
        <v/>
      </c>
      <c r="K3372" s="41">
        <f>J3372/60</f>
        <v/>
      </c>
      <c r="L3372" s="41">
        <f>IFERROR(J3372/H3372,"")</f>
        <v/>
      </c>
      <c r="M3372" s="25" t="inlineStr">
        <is>
          <t>2.5.12</t>
        </is>
      </c>
      <c r="N3372" s="25">
        <f>IF(J3372&gt;300,1,0)</f>
        <v/>
      </c>
      <c r="O3372" s="25">
        <f>IF(J3372&gt;600,1,0)</f>
        <v/>
      </c>
      <c r="P3372" s="25">
        <f>IF(H3372&gt;0,J3372,"")</f>
        <v/>
      </c>
      <c r="Q3372" s="25">
        <f>TEXT(A3372,"YYYY-MM-DD HH")</f>
        <v/>
      </c>
      <c r="R3372" s="25">
        <f>COUNTIF($Q$2:$Q$5295,Q3372)</f>
        <v/>
      </c>
      <c r="S3372" s="25">
        <f>IF(R3372&lt;=2,"1-2",IF(R3372&lt;=5,"3-5",IF(R3372&lt;=10,"6-10","11+")))</f>
        <v/>
      </c>
    </row>
    <row r="3373">
      <c r="A3373" s="39" t="n">
        <v>46204.63043981481</v>
      </c>
      <c r="B3373" s="25">
        <f>TEXT(A3373,"YYYY-MM")</f>
        <v/>
      </c>
      <c r="C3373" s="25">
        <f>TEXT(A3373,"MMM-YYYY")</f>
        <v/>
      </c>
      <c r="D3373" s="40">
        <f>INT(A3373)-WEEKDAY(A3373,2)+1</f>
        <v/>
      </c>
      <c r="E3373" s="25" t="inlineStr">
        <is>
          <t>sdey</t>
        </is>
      </c>
      <c r="F3373" s="25" t="n">
        <v>132837</v>
      </c>
      <c r="G3373" s="25" t="n">
        <v>2</v>
      </c>
      <c r="H3373" s="25" t="n">
        <v>10</v>
      </c>
      <c r="I3373" s="25" t="inlineStr">
        <is>
          <t>3 minute(s) and 50 second(s)</t>
        </is>
      </c>
      <c r="J3373" s="25">
        <f>IFERROR(VALUE(TRIM(LEFT(I3373,FIND("minute",I3373)-1)))*60,0)+IFERROR(VALUE(SUBSTITUTE(MID(I3373,IFERROR(FIND("and",I3373)+3,1),20),"second(s)","")),0)</f>
        <v/>
      </c>
      <c r="K3373" s="41">
        <f>J3373/60</f>
        <v/>
      </c>
      <c r="L3373" s="41">
        <f>IFERROR(J3373/H3373,"")</f>
        <v/>
      </c>
      <c r="M3373" s="25" t="inlineStr">
        <is>
          <t>2.5.12</t>
        </is>
      </c>
      <c r="N3373" s="25">
        <f>IF(J3373&gt;300,1,0)</f>
        <v/>
      </c>
      <c r="O3373" s="25">
        <f>IF(J3373&gt;600,1,0)</f>
        <v/>
      </c>
      <c r="P3373" s="25">
        <f>IF(H3373&gt;0,J3373,"")</f>
        <v/>
      </c>
      <c r="Q3373" s="25">
        <f>TEXT(A3373,"YYYY-MM-DD HH")</f>
        <v/>
      </c>
      <c r="R3373" s="25">
        <f>COUNTIF($Q$2:$Q$5295,Q3373)</f>
        <v/>
      </c>
      <c r="S3373" s="25">
        <f>IF(R3373&lt;=2,"1-2",IF(R3373&lt;=5,"3-5",IF(R3373&lt;=10,"6-10","11+")))</f>
        <v/>
      </c>
    </row>
    <row r="3374">
      <c r="A3374" s="39" t="n">
        <v>46204.67244212963</v>
      </c>
      <c r="B3374" s="25">
        <f>TEXT(A3374,"YYYY-MM")</f>
        <v/>
      </c>
      <c r="C3374" s="25">
        <f>TEXT(A3374,"MMM-YYYY")</f>
        <v/>
      </c>
      <c r="D3374" s="40">
        <f>INT(A3374)-WEEKDAY(A3374,2)+1</f>
        <v/>
      </c>
      <c r="E3374" s="25" t="inlineStr">
        <is>
          <t>psingh</t>
        </is>
      </c>
      <c r="F3374" s="25" t="n">
        <v>130989</v>
      </c>
      <c r="G3374" s="25" t="n">
        <v>4</v>
      </c>
      <c r="H3374" s="25" t="n">
        <v>28</v>
      </c>
      <c r="I3374" s="25" t="inlineStr">
        <is>
          <t>8 minute(s) and 58 second(s)</t>
        </is>
      </c>
      <c r="J3374" s="25">
        <f>IFERROR(VALUE(TRIM(LEFT(I3374,FIND("minute",I3374)-1)))*60,0)+IFERROR(VALUE(SUBSTITUTE(MID(I3374,IFERROR(FIND("and",I3374)+3,1),20),"second(s)","")),0)</f>
        <v/>
      </c>
      <c r="K3374" s="41">
        <f>J3374/60</f>
        <v/>
      </c>
      <c r="L3374" s="41">
        <f>IFERROR(J3374/H3374,"")</f>
        <v/>
      </c>
      <c r="M3374" s="25" t="inlineStr">
        <is>
          <t>2.5.12</t>
        </is>
      </c>
      <c r="N3374" s="25">
        <f>IF(J3374&gt;300,1,0)</f>
        <v/>
      </c>
      <c r="O3374" s="25">
        <f>IF(J3374&gt;600,1,0)</f>
        <v/>
      </c>
      <c r="P3374" s="25">
        <f>IF(H3374&gt;0,J3374,"")</f>
        <v/>
      </c>
      <c r="Q3374" s="25">
        <f>TEXT(A3374,"YYYY-MM-DD HH")</f>
        <v/>
      </c>
      <c r="R3374" s="25">
        <f>COUNTIF($Q$2:$Q$5295,Q3374)</f>
        <v/>
      </c>
      <c r="S3374" s="25">
        <f>IF(R3374&lt;=2,"1-2",IF(R3374&lt;=5,"3-5",IF(R3374&lt;=10,"6-10","11+")))</f>
        <v/>
      </c>
    </row>
    <row r="3375">
      <c r="A3375" s="39" t="n">
        <v>46204.69609953704</v>
      </c>
      <c r="B3375" s="25">
        <f>TEXT(A3375,"YYYY-MM")</f>
        <v/>
      </c>
      <c r="C3375" s="25">
        <f>TEXT(A3375,"MMM-YYYY")</f>
        <v/>
      </c>
      <c r="D3375" s="40">
        <f>INT(A3375)-WEEKDAY(A3375,2)+1</f>
        <v/>
      </c>
      <c r="E3375" s="25" t="inlineStr">
        <is>
          <t>emishra</t>
        </is>
      </c>
      <c r="F3375" s="25" t="n">
        <v>130145</v>
      </c>
      <c r="G3375" s="25" t="n">
        <v>2</v>
      </c>
      <c r="H3375" s="25" t="n">
        <v>12</v>
      </c>
      <c r="I3375" s="25" t="inlineStr">
        <is>
          <t>4 minute(s) and 7 second(s)</t>
        </is>
      </c>
      <c r="J3375" s="25">
        <f>IFERROR(VALUE(TRIM(LEFT(I3375,FIND("minute",I3375)-1)))*60,0)+IFERROR(VALUE(SUBSTITUTE(MID(I3375,IFERROR(FIND("and",I3375)+3,1),20),"second(s)","")),0)</f>
        <v/>
      </c>
      <c r="K3375" s="41">
        <f>J3375/60</f>
        <v/>
      </c>
      <c r="L3375" s="41">
        <f>IFERROR(J3375/H3375,"")</f>
        <v/>
      </c>
      <c r="M3375" s="25" t="inlineStr">
        <is>
          <t>2.5.12</t>
        </is>
      </c>
      <c r="N3375" s="25">
        <f>IF(J3375&gt;300,1,0)</f>
        <v/>
      </c>
      <c r="O3375" s="25">
        <f>IF(J3375&gt;600,1,0)</f>
        <v/>
      </c>
      <c r="P3375" s="25">
        <f>IF(H3375&gt;0,J3375,"")</f>
        <v/>
      </c>
      <c r="Q3375" s="25">
        <f>TEXT(A3375,"YYYY-MM-DD HH")</f>
        <v/>
      </c>
      <c r="R3375" s="25">
        <f>COUNTIF($Q$2:$Q$5295,Q3375)</f>
        <v/>
      </c>
      <c r="S3375" s="25">
        <f>IF(R3375&lt;=2,"1-2",IF(R3375&lt;=5,"3-5",IF(R3375&lt;=10,"6-10","11+")))</f>
        <v/>
      </c>
    </row>
    <row r="3376">
      <c r="A3376" s="39" t="n">
        <v>46204.70405092592</v>
      </c>
      <c r="B3376" s="25">
        <f>TEXT(A3376,"YYYY-MM")</f>
        <v/>
      </c>
      <c r="C3376" s="25">
        <f>TEXT(A3376,"MMM-YYYY")</f>
        <v/>
      </c>
      <c r="D3376" s="40">
        <f>INT(A3376)-WEEKDAY(A3376,2)+1</f>
        <v/>
      </c>
      <c r="E3376" s="25" t="inlineStr">
        <is>
          <t>panullekha</t>
        </is>
      </c>
      <c r="F3376" s="25" t="n">
        <v>110497</v>
      </c>
      <c r="G3376" s="25" t="n">
        <v>4</v>
      </c>
      <c r="H3376" s="25" t="n">
        <v>24</v>
      </c>
      <c r="I3376" s="25" t="inlineStr">
        <is>
          <t>8 minute(s) and 37 second(s)</t>
        </is>
      </c>
      <c r="J3376" s="25">
        <f>IFERROR(VALUE(TRIM(LEFT(I3376,FIND("minute",I3376)-1)))*60,0)+IFERROR(VALUE(SUBSTITUTE(MID(I3376,IFERROR(FIND("and",I3376)+3,1),20),"second(s)","")),0)</f>
        <v/>
      </c>
      <c r="K3376" s="41">
        <f>J3376/60</f>
        <v/>
      </c>
      <c r="L3376" s="41">
        <f>IFERROR(J3376/H3376,"")</f>
        <v/>
      </c>
      <c r="M3376" s="25" t="inlineStr">
        <is>
          <t>2.5.12</t>
        </is>
      </c>
      <c r="N3376" s="25">
        <f>IF(J3376&gt;300,1,0)</f>
        <v/>
      </c>
      <c r="O3376" s="25">
        <f>IF(J3376&gt;600,1,0)</f>
        <v/>
      </c>
      <c r="P3376" s="25">
        <f>IF(H3376&gt;0,J3376,"")</f>
        <v/>
      </c>
      <c r="Q3376" s="25">
        <f>TEXT(A3376,"YYYY-MM-DD HH")</f>
        <v/>
      </c>
      <c r="R3376" s="25">
        <f>COUNTIF($Q$2:$Q$5295,Q3376)</f>
        <v/>
      </c>
      <c r="S3376" s="25">
        <f>IF(R3376&lt;=2,"1-2",IF(R3376&lt;=5,"3-5",IF(R3376&lt;=10,"6-10","11+")))</f>
        <v/>
      </c>
    </row>
    <row r="3377">
      <c r="A3377" s="39" t="n">
        <v>46204.74488425926</v>
      </c>
      <c r="B3377" s="25">
        <f>TEXT(A3377,"YYYY-MM")</f>
        <v/>
      </c>
      <c r="C3377" s="25">
        <f>TEXT(A3377,"MMM-YYYY")</f>
        <v/>
      </c>
      <c r="D3377" s="40">
        <f>INT(A3377)-WEEKDAY(A3377,2)+1</f>
        <v/>
      </c>
      <c r="E3377" s="25" t="inlineStr">
        <is>
          <t>psingh</t>
        </is>
      </c>
      <c r="F3377" s="25" t="n">
        <v>132093</v>
      </c>
      <c r="G3377" s="25" t="n">
        <v>2</v>
      </c>
      <c r="H3377" s="25" t="n">
        <v>14</v>
      </c>
      <c r="I3377" s="25" t="inlineStr">
        <is>
          <t>4 minute(s) and 45 second(s)</t>
        </is>
      </c>
      <c r="J3377" s="25">
        <f>IFERROR(VALUE(TRIM(LEFT(I3377,FIND("minute",I3377)-1)))*60,0)+IFERROR(VALUE(SUBSTITUTE(MID(I3377,IFERROR(FIND("and",I3377)+3,1),20),"second(s)","")),0)</f>
        <v/>
      </c>
      <c r="K3377" s="41">
        <f>J3377/60</f>
        <v/>
      </c>
      <c r="L3377" s="41">
        <f>IFERROR(J3377/H3377,"")</f>
        <v/>
      </c>
      <c r="M3377" s="25" t="inlineStr">
        <is>
          <t>2.5.12</t>
        </is>
      </c>
      <c r="N3377" s="25">
        <f>IF(J3377&gt;300,1,0)</f>
        <v/>
      </c>
      <c r="O3377" s="25">
        <f>IF(J3377&gt;600,1,0)</f>
        <v/>
      </c>
      <c r="P3377" s="25">
        <f>IF(H3377&gt;0,J3377,"")</f>
        <v/>
      </c>
      <c r="Q3377" s="25">
        <f>TEXT(A3377,"YYYY-MM-DD HH")</f>
        <v/>
      </c>
      <c r="R3377" s="25">
        <f>COUNTIF($Q$2:$Q$5295,Q3377)</f>
        <v/>
      </c>
      <c r="S3377" s="25">
        <f>IF(R3377&lt;=2,"1-2",IF(R3377&lt;=5,"3-5",IF(R3377&lt;=10,"6-10","11+")))</f>
        <v/>
      </c>
    </row>
    <row r="3378">
      <c r="A3378" s="39" t="n">
        <v>46204.74878472222</v>
      </c>
      <c r="B3378" s="25">
        <f>TEXT(A3378,"YYYY-MM")</f>
        <v/>
      </c>
      <c r="C3378" s="25">
        <f>TEXT(A3378,"MMM-YYYY")</f>
        <v/>
      </c>
      <c r="D3378" s="40">
        <f>INT(A3378)-WEEKDAY(A3378,2)+1</f>
        <v/>
      </c>
      <c r="E3378" s="25" t="inlineStr">
        <is>
          <t>emishra</t>
        </is>
      </c>
      <c r="F3378" s="25" t="n">
        <v>128617</v>
      </c>
      <c r="G3378" s="25" t="n">
        <v>5</v>
      </c>
      <c r="H3378" s="25" t="n">
        <v>33</v>
      </c>
      <c r="I3378" s="25" t="inlineStr">
        <is>
          <t>7 minute(s) and 46 second(s)</t>
        </is>
      </c>
      <c r="J3378" s="25">
        <f>IFERROR(VALUE(TRIM(LEFT(I3378,FIND("minute",I3378)-1)))*60,0)+IFERROR(VALUE(SUBSTITUTE(MID(I3378,IFERROR(FIND("and",I3378)+3,1),20),"second(s)","")),0)</f>
        <v/>
      </c>
      <c r="K3378" s="41">
        <f>J3378/60</f>
        <v/>
      </c>
      <c r="L3378" s="41">
        <f>IFERROR(J3378/H3378,"")</f>
        <v/>
      </c>
      <c r="M3378" s="25" t="inlineStr">
        <is>
          <t>2.5.12</t>
        </is>
      </c>
      <c r="N3378" s="25">
        <f>IF(J3378&gt;300,1,0)</f>
        <v/>
      </c>
      <c r="O3378" s="25">
        <f>IF(J3378&gt;600,1,0)</f>
        <v/>
      </c>
      <c r="P3378" s="25">
        <f>IF(H3378&gt;0,J3378,"")</f>
        <v/>
      </c>
      <c r="Q3378" s="25">
        <f>TEXT(A3378,"YYYY-MM-DD HH")</f>
        <v/>
      </c>
      <c r="R3378" s="25">
        <f>COUNTIF($Q$2:$Q$5295,Q3378)</f>
        <v/>
      </c>
      <c r="S3378" s="25">
        <f>IF(R3378&lt;=2,"1-2",IF(R3378&lt;=5,"3-5",IF(R3378&lt;=10,"6-10","11+")))</f>
        <v/>
      </c>
    </row>
    <row r="3379">
      <c r="A3379" s="39" t="n">
        <v>46204.83203703703</v>
      </c>
      <c r="B3379" s="25">
        <f>TEXT(A3379,"YYYY-MM")</f>
        <v/>
      </c>
      <c r="C3379" s="25">
        <f>TEXT(A3379,"MMM-YYYY")</f>
        <v/>
      </c>
      <c r="D3379" s="40">
        <f>INT(A3379)-WEEKDAY(A3379,2)+1</f>
        <v/>
      </c>
      <c r="E3379" s="25" t="inlineStr">
        <is>
          <t>rsingh</t>
        </is>
      </c>
      <c r="F3379" s="25" t="n">
        <v>132077</v>
      </c>
      <c r="G3379" s="25" t="n">
        <v>2</v>
      </c>
      <c r="H3379" s="25" t="n">
        <v>13</v>
      </c>
      <c r="I3379" s="25" t="inlineStr">
        <is>
          <t>2 minute(s) and 16 second(s)</t>
        </is>
      </c>
      <c r="J3379" s="25">
        <f>IFERROR(VALUE(TRIM(LEFT(I3379,FIND("minute",I3379)-1)))*60,0)+IFERROR(VALUE(SUBSTITUTE(MID(I3379,IFERROR(FIND("and",I3379)+3,1),20),"second(s)","")),0)</f>
        <v/>
      </c>
      <c r="K3379" s="41">
        <f>J3379/60</f>
        <v/>
      </c>
      <c r="L3379" s="41">
        <f>IFERROR(J3379/H3379,"")</f>
        <v/>
      </c>
      <c r="M3379" s="25" t="inlineStr">
        <is>
          <t>2.5.12</t>
        </is>
      </c>
      <c r="N3379" s="25">
        <f>IF(J3379&gt;300,1,0)</f>
        <v/>
      </c>
      <c r="O3379" s="25">
        <f>IF(J3379&gt;600,1,0)</f>
        <v/>
      </c>
      <c r="P3379" s="25">
        <f>IF(H3379&gt;0,J3379,"")</f>
        <v/>
      </c>
      <c r="Q3379" s="25">
        <f>TEXT(A3379,"YYYY-MM-DD HH")</f>
        <v/>
      </c>
      <c r="R3379" s="25">
        <f>COUNTIF($Q$2:$Q$5295,Q3379)</f>
        <v/>
      </c>
      <c r="S3379" s="25">
        <f>IF(R3379&lt;=2,"1-2",IF(R3379&lt;=5,"3-5",IF(R3379&lt;=10,"6-10","11+")))</f>
        <v/>
      </c>
    </row>
    <row r="3380">
      <c r="A3380" s="39" t="n">
        <v>46204.84774305556</v>
      </c>
      <c r="B3380" s="25">
        <f>TEXT(A3380,"YYYY-MM")</f>
        <v/>
      </c>
      <c r="C3380" s="25">
        <f>TEXT(A3380,"MMM-YYYY")</f>
        <v/>
      </c>
      <c r="D3380" s="40">
        <f>INT(A3380)-WEEKDAY(A3380,2)+1</f>
        <v/>
      </c>
      <c r="E3380" s="25" t="inlineStr">
        <is>
          <t>rsingh</t>
        </is>
      </c>
      <c r="F3380" s="25" t="n">
        <v>132077</v>
      </c>
      <c r="G3380" s="25" t="n">
        <v>1</v>
      </c>
      <c r="H3380" s="25" t="n">
        <v>5</v>
      </c>
      <c r="I3380" s="25" t="inlineStr">
        <is>
          <t>1 minute(s) and 16 second(s)</t>
        </is>
      </c>
      <c r="J3380" s="25">
        <f>IFERROR(VALUE(TRIM(LEFT(I3380,FIND("minute",I3380)-1)))*60,0)+IFERROR(VALUE(SUBSTITUTE(MID(I3380,IFERROR(FIND("and",I3380)+3,1),20),"second(s)","")),0)</f>
        <v/>
      </c>
      <c r="K3380" s="41">
        <f>J3380/60</f>
        <v/>
      </c>
      <c r="L3380" s="41">
        <f>IFERROR(J3380/H3380,"")</f>
        <v/>
      </c>
      <c r="M3380" s="25" t="inlineStr">
        <is>
          <t>2.5.12</t>
        </is>
      </c>
      <c r="N3380" s="25">
        <f>IF(J3380&gt;300,1,0)</f>
        <v/>
      </c>
      <c r="O3380" s="25">
        <f>IF(J3380&gt;600,1,0)</f>
        <v/>
      </c>
      <c r="P3380" s="25">
        <f>IF(H3380&gt;0,J3380,"")</f>
        <v/>
      </c>
      <c r="Q3380" s="25">
        <f>TEXT(A3380,"YYYY-MM-DD HH")</f>
        <v/>
      </c>
      <c r="R3380" s="25">
        <f>COUNTIF($Q$2:$Q$5295,Q3380)</f>
        <v/>
      </c>
      <c r="S3380" s="25">
        <f>IF(R3380&lt;=2,"1-2",IF(R3380&lt;=5,"3-5",IF(R3380&lt;=10,"6-10","11+")))</f>
        <v/>
      </c>
    </row>
    <row r="3381">
      <c r="A3381" s="39" t="n">
        <v>46204.85702546296</v>
      </c>
      <c r="B3381" s="25">
        <f>TEXT(A3381,"YYYY-MM")</f>
        <v/>
      </c>
      <c r="C3381" s="25">
        <f>TEXT(A3381,"MMM-YYYY")</f>
        <v/>
      </c>
      <c r="D3381" s="40">
        <f>INT(A3381)-WEEKDAY(A3381,2)+1</f>
        <v/>
      </c>
      <c r="E3381" s="25" t="inlineStr">
        <is>
          <t>panullekha</t>
        </is>
      </c>
      <c r="F3381" s="25" t="n">
        <v>110498</v>
      </c>
      <c r="G3381" s="25" t="n">
        <v>2</v>
      </c>
      <c r="H3381" s="25" t="n">
        <v>10</v>
      </c>
      <c r="I3381" s="25" t="inlineStr">
        <is>
          <t>2 minute(s) and 53 second(s)</t>
        </is>
      </c>
      <c r="J3381" s="25">
        <f>IFERROR(VALUE(TRIM(LEFT(I3381,FIND("minute",I3381)-1)))*60,0)+IFERROR(VALUE(SUBSTITUTE(MID(I3381,IFERROR(FIND("and",I3381)+3,1),20),"second(s)","")),0)</f>
        <v/>
      </c>
      <c r="K3381" s="41">
        <f>J3381/60</f>
        <v/>
      </c>
      <c r="L3381" s="41">
        <f>IFERROR(J3381/H3381,"")</f>
        <v/>
      </c>
      <c r="M3381" s="25" t="inlineStr">
        <is>
          <t>2.5.12</t>
        </is>
      </c>
      <c r="N3381" s="25">
        <f>IF(J3381&gt;300,1,0)</f>
        <v/>
      </c>
      <c r="O3381" s="25">
        <f>IF(J3381&gt;600,1,0)</f>
        <v/>
      </c>
      <c r="P3381" s="25">
        <f>IF(H3381&gt;0,J3381,"")</f>
        <v/>
      </c>
      <c r="Q3381" s="25">
        <f>TEXT(A3381,"YYYY-MM-DD HH")</f>
        <v/>
      </c>
      <c r="R3381" s="25">
        <f>COUNTIF($Q$2:$Q$5295,Q3381)</f>
        <v/>
      </c>
      <c r="S3381" s="25">
        <f>IF(R3381&lt;=2,"1-2",IF(R3381&lt;=5,"3-5",IF(R3381&lt;=10,"6-10","11+")))</f>
        <v/>
      </c>
    </row>
    <row r="3382">
      <c r="A3382" s="39" t="n">
        <v>46204.95746527778</v>
      </c>
      <c r="B3382" s="25">
        <f>TEXT(A3382,"YYYY-MM")</f>
        <v/>
      </c>
      <c r="C3382" s="25">
        <f>TEXT(A3382,"MMM-YYYY")</f>
        <v/>
      </c>
      <c r="D3382" s="40">
        <f>INT(A3382)-WEEKDAY(A3382,2)+1</f>
        <v/>
      </c>
      <c r="E3382" s="25" t="inlineStr">
        <is>
          <t>panullekha</t>
        </is>
      </c>
      <c r="F3382" s="25" t="n">
        <v>126627</v>
      </c>
      <c r="G3382" s="25" t="n">
        <v>1</v>
      </c>
      <c r="H3382" s="25" t="n">
        <v>5</v>
      </c>
      <c r="I3382" s="25" t="inlineStr">
        <is>
          <t>1 minute(s) and 25 second(s)</t>
        </is>
      </c>
      <c r="J3382" s="25">
        <f>IFERROR(VALUE(TRIM(LEFT(I3382,FIND("minute",I3382)-1)))*60,0)+IFERROR(VALUE(SUBSTITUTE(MID(I3382,IFERROR(FIND("and",I3382)+3,1),20),"second(s)","")),0)</f>
        <v/>
      </c>
      <c r="K3382" s="41">
        <f>J3382/60</f>
        <v/>
      </c>
      <c r="L3382" s="41">
        <f>IFERROR(J3382/H3382,"")</f>
        <v/>
      </c>
      <c r="M3382" s="25" t="inlineStr">
        <is>
          <t>2.5.12</t>
        </is>
      </c>
      <c r="N3382" s="25">
        <f>IF(J3382&gt;300,1,0)</f>
        <v/>
      </c>
      <c r="O3382" s="25">
        <f>IF(J3382&gt;600,1,0)</f>
        <v/>
      </c>
      <c r="P3382" s="25">
        <f>IF(H3382&gt;0,J3382,"")</f>
        <v/>
      </c>
      <c r="Q3382" s="25">
        <f>TEXT(A3382,"YYYY-MM-DD HH")</f>
        <v/>
      </c>
      <c r="R3382" s="25">
        <f>COUNTIF($Q$2:$Q$5295,Q3382)</f>
        <v/>
      </c>
      <c r="S3382" s="25">
        <f>IF(R3382&lt;=2,"1-2",IF(R3382&lt;=5,"3-5",IF(R3382&lt;=10,"6-10","11+")))</f>
        <v/>
      </c>
    </row>
    <row r="3383">
      <c r="A3383" s="39" t="n">
        <v>46204.97733796296</v>
      </c>
      <c r="B3383" s="25">
        <f>TEXT(A3383,"YYYY-MM")</f>
        <v/>
      </c>
      <c r="C3383" s="25">
        <f>TEXT(A3383,"MMM-YYYY")</f>
        <v/>
      </c>
      <c r="D3383" s="40">
        <f>INT(A3383)-WEEKDAY(A3383,2)+1</f>
        <v/>
      </c>
      <c r="E3383" s="25" t="inlineStr">
        <is>
          <t>asaxena</t>
        </is>
      </c>
      <c r="F3383" s="25" t="n">
        <v>121262</v>
      </c>
      <c r="G3383" s="25" t="n">
        <v>5</v>
      </c>
      <c r="H3383" s="25" t="n">
        <v>25</v>
      </c>
      <c r="I3383" s="25" t="inlineStr">
        <is>
          <t>8 minute(s) and 52 second(s)</t>
        </is>
      </c>
      <c r="J3383" s="25">
        <f>IFERROR(VALUE(TRIM(LEFT(I3383,FIND("minute",I3383)-1)))*60,0)+IFERROR(VALUE(SUBSTITUTE(MID(I3383,IFERROR(FIND("and",I3383)+3,1),20),"second(s)","")),0)</f>
        <v/>
      </c>
      <c r="K3383" s="41">
        <f>J3383/60</f>
        <v/>
      </c>
      <c r="L3383" s="41">
        <f>IFERROR(J3383/H3383,"")</f>
        <v/>
      </c>
      <c r="M3383" s="25" t="inlineStr">
        <is>
          <t>2.5.12</t>
        </is>
      </c>
      <c r="N3383" s="25">
        <f>IF(J3383&gt;300,1,0)</f>
        <v/>
      </c>
      <c r="O3383" s="25">
        <f>IF(J3383&gt;600,1,0)</f>
        <v/>
      </c>
      <c r="P3383" s="25">
        <f>IF(H3383&gt;0,J3383,"")</f>
        <v/>
      </c>
      <c r="Q3383" s="25">
        <f>TEXT(A3383,"YYYY-MM-DD HH")</f>
        <v/>
      </c>
      <c r="R3383" s="25">
        <f>COUNTIF($Q$2:$Q$5295,Q3383)</f>
        <v/>
      </c>
      <c r="S3383" s="25">
        <f>IF(R3383&lt;=2,"1-2",IF(R3383&lt;=5,"3-5",IF(R3383&lt;=10,"6-10","11+")))</f>
        <v/>
      </c>
    </row>
    <row r="3384">
      <c r="A3384" s="39" t="n">
        <v>46205.0390162037</v>
      </c>
      <c r="B3384" s="25">
        <f>TEXT(A3384,"YYYY-MM")</f>
        <v/>
      </c>
      <c r="C3384" s="25">
        <f>TEXT(A3384,"MMM-YYYY")</f>
        <v/>
      </c>
      <c r="D3384" s="40">
        <f>INT(A3384)-WEEKDAY(A3384,2)+1</f>
        <v/>
      </c>
      <c r="E3384" s="25" t="inlineStr">
        <is>
          <t>anusharma</t>
        </is>
      </c>
      <c r="F3384" s="25" t="n">
        <v>132517</v>
      </c>
      <c r="G3384" s="25" t="n">
        <v>1</v>
      </c>
      <c r="H3384" s="25" t="n">
        <v>5</v>
      </c>
      <c r="I3384" s="25" t="inlineStr">
        <is>
          <t>2 minute(s) and 35 second(s)</t>
        </is>
      </c>
      <c r="J3384" s="25">
        <f>IFERROR(VALUE(TRIM(LEFT(I3384,FIND("minute",I3384)-1)))*60,0)+IFERROR(VALUE(SUBSTITUTE(MID(I3384,IFERROR(FIND("and",I3384)+3,1),20),"second(s)","")),0)</f>
        <v/>
      </c>
      <c r="K3384" s="41">
        <f>J3384/60</f>
        <v/>
      </c>
      <c r="L3384" s="41">
        <f>IFERROR(J3384/H3384,"")</f>
        <v/>
      </c>
      <c r="M3384" s="25" t="inlineStr">
        <is>
          <t>2.5.12</t>
        </is>
      </c>
      <c r="N3384" s="25">
        <f>IF(J3384&gt;300,1,0)</f>
        <v/>
      </c>
      <c r="O3384" s="25">
        <f>IF(J3384&gt;600,1,0)</f>
        <v/>
      </c>
      <c r="P3384" s="25">
        <f>IF(H3384&gt;0,J3384,"")</f>
        <v/>
      </c>
      <c r="Q3384" s="25">
        <f>TEXT(A3384,"YYYY-MM-DD HH")</f>
        <v/>
      </c>
      <c r="R3384" s="25">
        <f>COUNTIF($Q$2:$Q$5295,Q3384)</f>
        <v/>
      </c>
      <c r="S3384" s="25">
        <f>IF(R3384&lt;=2,"1-2",IF(R3384&lt;=5,"3-5",IF(R3384&lt;=10,"6-10","11+")))</f>
        <v/>
      </c>
    </row>
    <row r="3385">
      <c r="A3385" s="39" t="n">
        <v>46205.05075231481</v>
      </c>
      <c r="B3385" s="25">
        <f>TEXT(A3385,"YYYY-MM")</f>
        <v/>
      </c>
      <c r="C3385" s="25">
        <f>TEXT(A3385,"MMM-YYYY")</f>
        <v/>
      </c>
      <c r="D3385" s="40">
        <f>INT(A3385)-WEEKDAY(A3385,2)+1</f>
        <v/>
      </c>
      <c r="E3385" s="25" t="inlineStr">
        <is>
          <t>panullekha</t>
        </is>
      </c>
      <c r="F3385" s="25" t="n">
        <v>110583</v>
      </c>
      <c r="G3385" s="25" t="n">
        <v>2</v>
      </c>
      <c r="H3385" s="25" t="n">
        <v>12</v>
      </c>
      <c r="I3385" s="25" t="inlineStr">
        <is>
          <t>5 minute(s) and 21 second(s)</t>
        </is>
      </c>
      <c r="J3385" s="25">
        <f>IFERROR(VALUE(TRIM(LEFT(I3385,FIND("minute",I3385)-1)))*60,0)+IFERROR(VALUE(SUBSTITUTE(MID(I3385,IFERROR(FIND("and",I3385)+3,1),20),"second(s)","")),0)</f>
        <v/>
      </c>
      <c r="K3385" s="41">
        <f>J3385/60</f>
        <v/>
      </c>
      <c r="L3385" s="41">
        <f>IFERROR(J3385/H3385,"")</f>
        <v/>
      </c>
      <c r="M3385" s="25" t="inlineStr">
        <is>
          <t>2.5.12</t>
        </is>
      </c>
      <c r="N3385" s="25">
        <f>IF(J3385&gt;300,1,0)</f>
        <v/>
      </c>
      <c r="O3385" s="25">
        <f>IF(J3385&gt;600,1,0)</f>
        <v/>
      </c>
      <c r="P3385" s="25">
        <f>IF(H3385&gt;0,J3385,"")</f>
        <v/>
      </c>
      <c r="Q3385" s="25">
        <f>TEXT(A3385,"YYYY-MM-DD HH")</f>
        <v/>
      </c>
      <c r="R3385" s="25">
        <f>COUNTIF($Q$2:$Q$5295,Q3385)</f>
        <v/>
      </c>
      <c r="S3385" s="25">
        <f>IF(R3385&lt;=2,"1-2",IF(R3385&lt;=5,"3-5",IF(R3385&lt;=10,"6-10","11+")))</f>
        <v/>
      </c>
    </row>
    <row r="3386">
      <c r="A3386" s="39" t="n">
        <v>46205.09546296296</v>
      </c>
      <c r="B3386" s="25">
        <f>TEXT(A3386,"YYYY-MM")</f>
        <v/>
      </c>
      <c r="C3386" s="25">
        <f>TEXT(A3386,"MMM-YYYY")</f>
        <v/>
      </c>
      <c r="D3386" s="40">
        <f>INT(A3386)-WEEKDAY(A3386,2)+1</f>
        <v/>
      </c>
      <c r="E3386" s="25" t="inlineStr">
        <is>
          <t>stiwari</t>
        </is>
      </c>
      <c r="F3386" s="25" t="n">
        <v>130753</v>
      </c>
      <c r="G3386" s="25" t="n">
        <v>2</v>
      </c>
      <c r="H3386" s="25" t="n">
        <v>11</v>
      </c>
      <c r="I3386" s="25" t="inlineStr">
        <is>
          <t>1 minute(s) and 44 second(s)</t>
        </is>
      </c>
      <c r="J3386" s="25">
        <f>IFERROR(VALUE(TRIM(LEFT(I3386,FIND("minute",I3386)-1)))*60,0)+IFERROR(VALUE(SUBSTITUTE(MID(I3386,IFERROR(FIND("and",I3386)+3,1),20),"second(s)","")),0)</f>
        <v/>
      </c>
      <c r="K3386" s="41">
        <f>J3386/60</f>
        <v/>
      </c>
      <c r="L3386" s="41">
        <f>IFERROR(J3386/H3386,"")</f>
        <v/>
      </c>
      <c r="M3386" s="25" t="inlineStr">
        <is>
          <t>2.5.12</t>
        </is>
      </c>
      <c r="N3386" s="25">
        <f>IF(J3386&gt;300,1,0)</f>
        <v/>
      </c>
      <c r="O3386" s="25">
        <f>IF(J3386&gt;600,1,0)</f>
        <v/>
      </c>
      <c r="P3386" s="25">
        <f>IF(H3386&gt;0,J3386,"")</f>
        <v/>
      </c>
      <c r="Q3386" s="25">
        <f>TEXT(A3386,"YYYY-MM-DD HH")</f>
        <v/>
      </c>
      <c r="R3386" s="25">
        <f>COUNTIF($Q$2:$Q$5295,Q3386)</f>
        <v/>
      </c>
      <c r="S3386" s="25">
        <f>IF(R3386&lt;=2,"1-2",IF(R3386&lt;=5,"3-5",IF(R3386&lt;=10,"6-10","11+")))</f>
        <v/>
      </c>
    </row>
    <row r="3387">
      <c r="A3387" s="39" t="n">
        <v>46205.09994212963</v>
      </c>
      <c r="B3387" s="25">
        <f>TEXT(A3387,"YYYY-MM")</f>
        <v/>
      </c>
      <c r="C3387" s="25">
        <f>TEXT(A3387,"MMM-YYYY")</f>
        <v/>
      </c>
      <c r="D3387" s="40">
        <f>INT(A3387)-WEEKDAY(A3387,2)+1</f>
        <v/>
      </c>
      <c r="E3387" s="25" t="inlineStr">
        <is>
          <t>aghosh</t>
        </is>
      </c>
      <c r="F3387" s="25" t="n">
        <v>128961</v>
      </c>
      <c r="G3387" s="25" t="n">
        <v>2</v>
      </c>
      <c r="H3387" s="25" t="n">
        <v>10</v>
      </c>
      <c r="I3387" s="25" t="inlineStr">
        <is>
          <t>3 minute(s) and 57 second(s)</t>
        </is>
      </c>
      <c r="J3387" s="25">
        <f>IFERROR(VALUE(TRIM(LEFT(I3387,FIND("minute",I3387)-1)))*60,0)+IFERROR(VALUE(SUBSTITUTE(MID(I3387,IFERROR(FIND("and",I3387)+3,1),20),"second(s)","")),0)</f>
        <v/>
      </c>
      <c r="K3387" s="41">
        <f>J3387/60</f>
        <v/>
      </c>
      <c r="L3387" s="41">
        <f>IFERROR(J3387/H3387,"")</f>
        <v/>
      </c>
      <c r="M3387" s="25" t="inlineStr">
        <is>
          <t>2.5.12</t>
        </is>
      </c>
      <c r="N3387" s="25">
        <f>IF(J3387&gt;300,1,0)</f>
        <v/>
      </c>
      <c r="O3387" s="25">
        <f>IF(J3387&gt;600,1,0)</f>
        <v/>
      </c>
      <c r="P3387" s="25">
        <f>IF(H3387&gt;0,J3387,"")</f>
        <v/>
      </c>
      <c r="Q3387" s="25">
        <f>TEXT(A3387,"YYYY-MM-DD HH")</f>
        <v/>
      </c>
      <c r="R3387" s="25">
        <f>COUNTIF($Q$2:$Q$5295,Q3387)</f>
        <v/>
      </c>
      <c r="S3387" s="25">
        <f>IF(R3387&lt;=2,"1-2",IF(R3387&lt;=5,"3-5",IF(R3387&lt;=10,"6-10","11+")))</f>
        <v/>
      </c>
    </row>
    <row r="3388">
      <c r="A3388" s="39" t="n">
        <v>46205.1058912037</v>
      </c>
      <c r="B3388" s="25">
        <f>TEXT(A3388,"YYYY-MM")</f>
        <v/>
      </c>
      <c r="C3388" s="25">
        <f>TEXT(A3388,"MMM-YYYY")</f>
        <v/>
      </c>
      <c r="D3388" s="40">
        <f>INT(A3388)-WEEKDAY(A3388,2)+1</f>
        <v/>
      </c>
      <c r="E3388" s="25" t="inlineStr">
        <is>
          <t>ethomas</t>
        </is>
      </c>
      <c r="F3388" s="25" t="n">
        <v>129769</v>
      </c>
      <c r="G3388" s="25" t="n">
        <v>1</v>
      </c>
      <c r="H3388" s="25" t="n">
        <v>7</v>
      </c>
      <c r="I3388" s="25" t="inlineStr">
        <is>
          <t>3 minute(s) and 27 second(s)</t>
        </is>
      </c>
      <c r="J3388" s="25">
        <f>IFERROR(VALUE(TRIM(LEFT(I3388,FIND("minute",I3388)-1)))*60,0)+IFERROR(VALUE(SUBSTITUTE(MID(I3388,IFERROR(FIND("and",I3388)+3,1),20),"second(s)","")),0)</f>
        <v/>
      </c>
      <c r="K3388" s="41">
        <f>J3388/60</f>
        <v/>
      </c>
      <c r="L3388" s="41">
        <f>IFERROR(J3388/H3388,"")</f>
        <v/>
      </c>
      <c r="M3388" s="25" t="inlineStr">
        <is>
          <t>2.5.12</t>
        </is>
      </c>
      <c r="N3388" s="25">
        <f>IF(J3388&gt;300,1,0)</f>
        <v/>
      </c>
      <c r="O3388" s="25">
        <f>IF(J3388&gt;600,1,0)</f>
        <v/>
      </c>
      <c r="P3388" s="25">
        <f>IF(H3388&gt;0,J3388,"")</f>
        <v/>
      </c>
      <c r="Q3388" s="25">
        <f>TEXT(A3388,"YYYY-MM-DD HH")</f>
        <v/>
      </c>
      <c r="R3388" s="25">
        <f>COUNTIF($Q$2:$Q$5295,Q3388)</f>
        <v/>
      </c>
      <c r="S3388" s="25">
        <f>IF(R3388&lt;=2,"1-2",IF(R3388&lt;=5,"3-5",IF(R3388&lt;=10,"6-10","11+")))</f>
        <v/>
      </c>
    </row>
    <row r="3389">
      <c r="A3389" s="39" t="n">
        <v>46205.11313657407</v>
      </c>
      <c r="B3389" s="25">
        <f>TEXT(A3389,"YYYY-MM")</f>
        <v/>
      </c>
      <c r="C3389" s="25">
        <f>TEXT(A3389,"MMM-YYYY")</f>
        <v/>
      </c>
      <c r="D3389" s="40">
        <f>INT(A3389)-WEEKDAY(A3389,2)+1</f>
        <v/>
      </c>
      <c r="E3389" s="25" t="inlineStr">
        <is>
          <t>anusharma</t>
        </is>
      </c>
      <c r="F3389" s="25" t="n">
        <v>131170</v>
      </c>
      <c r="G3389" s="25" t="n">
        <v>2</v>
      </c>
      <c r="H3389" s="25" t="n">
        <v>12</v>
      </c>
      <c r="I3389" s="25" t="inlineStr">
        <is>
          <t>2 minute(s) and 57 second(s)</t>
        </is>
      </c>
      <c r="J3389" s="25">
        <f>IFERROR(VALUE(TRIM(LEFT(I3389,FIND("minute",I3389)-1)))*60,0)+IFERROR(VALUE(SUBSTITUTE(MID(I3389,IFERROR(FIND("and",I3389)+3,1),20),"second(s)","")),0)</f>
        <v/>
      </c>
      <c r="K3389" s="41">
        <f>J3389/60</f>
        <v/>
      </c>
      <c r="L3389" s="41">
        <f>IFERROR(J3389/H3389,"")</f>
        <v/>
      </c>
      <c r="M3389" s="25" t="inlineStr">
        <is>
          <t>2.5.12</t>
        </is>
      </c>
      <c r="N3389" s="25">
        <f>IF(J3389&gt;300,1,0)</f>
        <v/>
      </c>
      <c r="O3389" s="25">
        <f>IF(J3389&gt;600,1,0)</f>
        <v/>
      </c>
      <c r="P3389" s="25">
        <f>IF(H3389&gt;0,J3389,"")</f>
        <v/>
      </c>
      <c r="Q3389" s="25">
        <f>TEXT(A3389,"YYYY-MM-DD HH")</f>
        <v/>
      </c>
      <c r="R3389" s="25">
        <f>COUNTIF($Q$2:$Q$5295,Q3389)</f>
        <v/>
      </c>
      <c r="S3389" s="25">
        <f>IF(R3389&lt;=2,"1-2",IF(R3389&lt;=5,"3-5",IF(R3389&lt;=10,"6-10","11+")))</f>
        <v/>
      </c>
    </row>
    <row r="3390">
      <c r="A3390" s="39" t="n">
        <v>46205.14037037037</v>
      </c>
      <c r="B3390" s="25">
        <f>TEXT(A3390,"YYYY-MM")</f>
        <v/>
      </c>
      <c r="C3390" s="25">
        <f>TEXT(A3390,"MMM-YYYY")</f>
        <v/>
      </c>
      <c r="D3390" s="40">
        <f>INT(A3390)-WEEKDAY(A3390,2)+1</f>
        <v/>
      </c>
      <c r="E3390" s="25" t="inlineStr">
        <is>
          <t>mgupta</t>
        </is>
      </c>
      <c r="F3390" s="25" t="n">
        <v>131149</v>
      </c>
      <c r="G3390" s="25" t="n">
        <v>2</v>
      </c>
      <c r="H3390" s="25" t="n">
        <v>8</v>
      </c>
      <c r="I3390" s="25" t="inlineStr">
        <is>
          <t>1 minute(s) and 32 second(s)</t>
        </is>
      </c>
      <c r="J3390" s="25">
        <f>IFERROR(VALUE(TRIM(LEFT(I3390,FIND("minute",I3390)-1)))*60,0)+IFERROR(VALUE(SUBSTITUTE(MID(I3390,IFERROR(FIND("and",I3390)+3,1),20),"second(s)","")),0)</f>
        <v/>
      </c>
      <c r="K3390" s="41">
        <f>J3390/60</f>
        <v/>
      </c>
      <c r="L3390" s="41">
        <f>IFERROR(J3390/H3390,"")</f>
        <v/>
      </c>
      <c r="M3390" s="25" t="inlineStr">
        <is>
          <t>2.5.12</t>
        </is>
      </c>
      <c r="N3390" s="25">
        <f>IF(J3390&gt;300,1,0)</f>
        <v/>
      </c>
      <c r="O3390" s="25">
        <f>IF(J3390&gt;600,1,0)</f>
        <v/>
      </c>
      <c r="P3390" s="25">
        <f>IF(H3390&gt;0,J3390,"")</f>
        <v/>
      </c>
      <c r="Q3390" s="25">
        <f>TEXT(A3390,"YYYY-MM-DD HH")</f>
        <v/>
      </c>
      <c r="R3390" s="25">
        <f>COUNTIF($Q$2:$Q$5295,Q3390)</f>
        <v/>
      </c>
      <c r="S3390" s="25">
        <f>IF(R3390&lt;=2,"1-2",IF(R3390&lt;=5,"3-5",IF(R3390&lt;=10,"6-10","11+")))</f>
        <v/>
      </c>
    </row>
    <row r="3391">
      <c r="A3391" s="39" t="n">
        <v>46205.14090277778</v>
      </c>
      <c r="B3391" s="25">
        <f>TEXT(A3391,"YYYY-MM")</f>
        <v/>
      </c>
      <c r="C3391" s="25">
        <f>TEXT(A3391,"MMM-YYYY")</f>
        <v/>
      </c>
      <c r="D3391" s="40">
        <f>INT(A3391)-WEEKDAY(A3391,2)+1</f>
        <v/>
      </c>
      <c r="E3391" s="25" t="inlineStr">
        <is>
          <t>tkarmakar</t>
        </is>
      </c>
      <c r="F3391" s="25" t="n">
        <v>129617</v>
      </c>
      <c r="G3391" s="25" t="n">
        <v>2</v>
      </c>
      <c r="H3391" s="25" t="n">
        <v>10</v>
      </c>
      <c r="I3391" s="25" t="inlineStr">
        <is>
          <t>3 minute(s) and 11 second(s)</t>
        </is>
      </c>
      <c r="J3391" s="25">
        <f>IFERROR(VALUE(TRIM(LEFT(I3391,FIND("minute",I3391)-1)))*60,0)+IFERROR(VALUE(SUBSTITUTE(MID(I3391,IFERROR(FIND("and",I3391)+3,1),20),"second(s)","")),0)</f>
        <v/>
      </c>
      <c r="K3391" s="41">
        <f>J3391/60</f>
        <v/>
      </c>
      <c r="L3391" s="41">
        <f>IFERROR(J3391/H3391,"")</f>
        <v/>
      </c>
      <c r="M3391" s="25" t="inlineStr">
        <is>
          <t>2.5.12</t>
        </is>
      </c>
      <c r="N3391" s="25">
        <f>IF(J3391&gt;300,1,0)</f>
        <v/>
      </c>
      <c r="O3391" s="25">
        <f>IF(J3391&gt;600,1,0)</f>
        <v/>
      </c>
      <c r="P3391" s="25">
        <f>IF(H3391&gt;0,J3391,"")</f>
        <v/>
      </c>
      <c r="Q3391" s="25">
        <f>TEXT(A3391,"YYYY-MM-DD HH")</f>
        <v/>
      </c>
      <c r="R3391" s="25">
        <f>COUNTIF($Q$2:$Q$5295,Q3391)</f>
        <v/>
      </c>
      <c r="S3391" s="25">
        <f>IF(R3391&lt;=2,"1-2",IF(R3391&lt;=5,"3-5",IF(R3391&lt;=10,"6-10","11+")))</f>
        <v/>
      </c>
    </row>
    <row r="3392">
      <c r="A3392" s="39" t="n">
        <v>46205.14094907408</v>
      </c>
      <c r="B3392" s="25">
        <f>TEXT(A3392,"YYYY-MM")</f>
        <v/>
      </c>
      <c r="C3392" s="25">
        <f>TEXT(A3392,"MMM-YYYY")</f>
        <v/>
      </c>
      <c r="D3392" s="40">
        <f>INT(A3392)-WEEKDAY(A3392,2)+1</f>
        <v/>
      </c>
      <c r="E3392" s="25" t="inlineStr">
        <is>
          <t>shassan</t>
        </is>
      </c>
      <c r="F3392" s="25" t="n">
        <v>128893</v>
      </c>
      <c r="G3392" s="25" t="n">
        <v>2</v>
      </c>
      <c r="H3392" s="25" t="n">
        <v>6</v>
      </c>
      <c r="I3392" s="25" t="inlineStr">
        <is>
          <t>3 minute(s) and 12 second(s)</t>
        </is>
      </c>
      <c r="J3392" s="25">
        <f>IFERROR(VALUE(TRIM(LEFT(I3392,FIND("minute",I3392)-1)))*60,0)+IFERROR(VALUE(SUBSTITUTE(MID(I3392,IFERROR(FIND("and",I3392)+3,1),20),"second(s)","")),0)</f>
        <v/>
      </c>
      <c r="K3392" s="41">
        <f>J3392/60</f>
        <v/>
      </c>
      <c r="L3392" s="41">
        <f>IFERROR(J3392/H3392,"")</f>
        <v/>
      </c>
      <c r="M3392" s="25" t="inlineStr">
        <is>
          <t>2.5.12</t>
        </is>
      </c>
      <c r="N3392" s="25">
        <f>IF(J3392&gt;300,1,0)</f>
        <v/>
      </c>
      <c r="O3392" s="25">
        <f>IF(J3392&gt;600,1,0)</f>
        <v/>
      </c>
      <c r="P3392" s="25">
        <f>IF(H3392&gt;0,J3392,"")</f>
        <v/>
      </c>
      <c r="Q3392" s="25">
        <f>TEXT(A3392,"YYYY-MM-DD HH")</f>
        <v/>
      </c>
      <c r="R3392" s="25">
        <f>COUNTIF($Q$2:$Q$5295,Q3392)</f>
        <v/>
      </c>
      <c r="S3392" s="25">
        <f>IF(R3392&lt;=2,"1-2",IF(R3392&lt;=5,"3-5",IF(R3392&lt;=10,"6-10","11+")))</f>
        <v/>
      </c>
    </row>
    <row r="3393">
      <c r="A3393" s="39" t="n">
        <v>46205.14247685186</v>
      </c>
      <c r="B3393" s="25">
        <f>TEXT(A3393,"YYYY-MM")</f>
        <v/>
      </c>
      <c r="C3393" s="25">
        <f>TEXT(A3393,"MMM-YYYY")</f>
        <v/>
      </c>
      <c r="D3393" s="40">
        <f>INT(A3393)-WEEKDAY(A3393,2)+1</f>
        <v/>
      </c>
      <c r="E3393" s="25" t="inlineStr">
        <is>
          <t>psathwika</t>
        </is>
      </c>
      <c r="F3393" s="25" t="n">
        <v>129109</v>
      </c>
      <c r="G3393" s="25" t="n">
        <v>2</v>
      </c>
      <c r="H3393" s="25" t="n">
        <v>13</v>
      </c>
      <c r="I3393" s="25" t="inlineStr">
        <is>
          <t>2 minute(s) and 56 second(s)</t>
        </is>
      </c>
      <c r="J3393" s="25">
        <f>IFERROR(VALUE(TRIM(LEFT(I3393,FIND("minute",I3393)-1)))*60,0)+IFERROR(VALUE(SUBSTITUTE(MID(I3393,IFERROR(FIND("and",I3393)+3,1),20),"second(s)","")),0)</f>
        <v/>
      </c>
      <c r="K3393" s="41">
        <f>J3393/60</f>
        <v/>
      </c>
      <c r="L3393" s="41">
        <f>IFERROR(J3393/H3393,"")</f>
        <v/>
      </c>
      <c r="M3393" s="25" t="inlineStr">
        <is>
          <t>2.5.12</t>
        </is>
      </c>
      <c r="N3393" s="25">
        <f>IF(J3393&gt;300,1,0)</f>
        <v/>
      </c>
      <c r="O3393" s="25">
        <f>IF(J3393&gt;600,1,0)</f>
        <v/>
      </c>
      <c r="P3393" s="25">
        <f>IF(H3393&gt;0,J3393,"")</f>
        <v/>
      </c>
      <c r="Q3393" s="25">
        <f>TEXT(A3393,"YYYY-MM-DD HH")</f>
        <v/>
      </c>
      <c r="R3393" s="25">
        <f>COUNTIF($Q$2:$Q$5295,Q3393)</f>
        <v/>
      </c>
      <c r="S3393" s="25">
        <f>IF(R3393&lt;=2,"1-2",IF(R3393&lt;=5,"3-5",IF(R3393&lt;=10,"6-10","11+")))</f>
        <v/>
      </c>
    </row>
    <row r="3394">
      <c r="A3394" s="39" t="n">
        <v>46205.15394675926</v>
      </c>
      <c r="B3394" s="25">
        <f>TEXT(A3394,"YYYY-MM")</f>
        <v/>
      </c>
      <c r="C3394" s="25">
        <f>TEXT(A3394,"MMM-YYYY")</f>
        <v/>
      </c>
      <c r="D3394" s="40">
        <f>INT(A3394)-WEEKDAY(A3394,2)+1</f>
        <v/>
      </c>
      <c r="E3394" s="25" t="inlineStr">
        <is>
          <t>bverma</t>
        </is>
      </c>
      <c r="F3394" s="25" t="n">
        <v>129629</v>
      </c>
      <c r="G3394" s="25" t="n">
        <v>2</v>
      </c>
      <c r="H3394" s="25" t="n">
        <v>12</v>
      </c>
      <c r="I3394" s="25" t="inlineStr">
        <is>
          <t>5 minute(s) and 15 second(s)</t>
        </is>
      </c>
      <c r="J3394" s="25">
        <f>IFERROR(VALUE(TRIM(LEFT(I3394,FIND("minute",I3394)-1)))*60,0)+IFERROR(VALUE(SUBSTITUTE(MID(I3394,IFERROR(FIND("and",I3394)+3,1),20),"second(s)","")),0)</f>
        <v/>
      </c>
      <c r="K3394" s="41">
        <f>J3394/60</f>
        <v/>
      </c>
      <c r="L3394" s="41">
        <f>IFERROR(J3394/H3394,"")</f>
        <v/>
      </c>
      <c r="M3394" s="25" t="inlineStr">
        <is>
          <t>2.5.12</t>
        </is>
      </c>
      <c r="N3394" s="25">
        <f>IF(J3394&gt;300,1,0)</f>
        <v/>
      </c>
      <c r="O3394" s="25">
        <f>IF(J3394&gt;600,1,0)</f>
        <v/>
      </c>
      <c r="P3394" s="25">
        <f>IF(H3394&gt;0,J3394,"")</f>
        <v/>
      </c>
      <c r="Q3394" s="25">
        <f>TEXT(A3394,"YYYY-MM-DD HH")</f>
        <v/>
      </c>
      <c r="R3394" s="25">
        <f>COUNTIF($Q$2:$Q$5295,Q3394)</f>
        <v/>
      </c>
      <c r="S3394" s="25">
        <f>IF(R3394&lt;=2,"1-2",IF(R3394&lt;=5,"3-5",IF(R3394&lt;=10,"6-10","11+")))</f>
        <v/>
      </c>
    </row>
    <row r="3395">
      <c r="A3395" s="39" t="n">
        <v>46205.16</v>
      </c>
      <c r="B3395" s="25">
        <f>TEXT(A3395,"YYYY-MM")</f>
        <v/>
      </c>
      <c r="C3395" s="25">
        <f>TEXT(A3395,"MMM-YYYY")</f>
        <v/>
      </c>
      <c r="D3395" s="40">
        <f>INT(A3395)-WEEKDAY(A3395,2)+1</f>
        <v/>
      </c>
      <c r="E3395" s="25" t="inlineStr">
        <is>
          <t>apriyadarshi</t>
        </is>
      </c>
      <c r="F3395" s="25" t="n">
        <v>131661</v>
      </c>
      <c r="G3395" s="25" t="n">
        <v>2</v>
      </c>
      <c r="H3395" s="25" t="n">
        <v>12</v>
      </c>
      <c r="I3395" s="25" t="inlineStr">
        <is>
          <t>2 minute(s) and 43 second(s)</t>
        </is>
      </c>
      <c r="J3395" s="25">
        <f>IFERROR(VALUE(TRIM(LEFT(I3395,FIND("minute",I3395)-1)))*60,0)+IFERROR(VALUE(SUBSTITUTE(MID(I3395,IFERROR(FIND("and",I3395)+3,1),20),"second(s)","")),0)</f>
        <v/>
      </c>
      <c r="K3395" s="41">
        <f>J3395/60</f>
        <v/>
      </c>
      <c r="L3395" s="41">
        <f>IFERROR(J3395/H3395,"")</f>
        <v/>
      </c>
      <c r="M3395" s="25" t="inlineStr">
        <is>
          <t>2.5.12</t>
        </is>
      </c>
      <c r="N3395" s="25">
        <f>IF(J3395&gt;300,1,0)</f>
        <v/>
      </c>
      <c r="O3395" s="25">
        <f>IF(J3395&gt;600,1,0)</f>
        <v/>
      </c>
      <c r="P3395" s="25">
        <f>IF(H3395&gt;0,J3395,"")</f>
        <v/>
      </c>
      <c r="Q3395" s="25">
        <f>TEXT(A3395,"YYYY-MM-DD HH")</f>
        <v/>
      </c>
      <c r="R3395" s="25">
        <f>COUNTIF($Q$2:$Q$5295,Q3395)</f>
        <v/>
      </c>
      <c r="S3395" s="25">
        <f>IF(R3395&lt;=2,"1-2",IF(R3395&lt;=5,"3-5",IF(R3395&lt;=10,"6-10","11+")))</f>
        <v/>
      </c>
    </row>
    <row r="3396">
      <c r="A3396" s="39" t="n">
        <v>46205.16568287037</v>
      </c>
      <c r="B3396" s="25">
        <f>TEXT(A3396,"YYYY-MM")</f>
        <v/>
      </c>
      <c r="C3396" s="25">
        <f>TEXT(A3396,"MMM-YYYY")</f>
        <v/>
      </c>
      <c r="D3396" s="40">
        <f>INT(A3396)-WEEKDAY(A3396,2)+1</f>
        <v/>
      </c>
      <c r="E3396" s="25" t="inlineStr">
        <is>
          <t>ethomas</t>
        </is>
      </c>
      <c r="F3396" s="25" t="n">
        <v>129357</v>
      </c>
      <c r="G3396" s="25" t="n">
        <v>4</v>
      </c>
      <c r="H3396" s="25" t="n">
        <v>26</v>
      </c>
      <c r="I3396" s="25" t="inlineStr">
        <is>
          <t>14 minute(s) and 3 second(s)</t>
        </is>
      </c>
      <c r="J3396" s="25">
        <f>IFERROR(VALUE(TRIM(LEFT(I3396,FIND("minute",I3396)-1)))*60,0)+IFERROR(VALUE(SUBSTITUTE(MID(I3396,IFERROR(FIND("and",I3396)+3,1),20),"second(s)","")),0)</f>
        <v/>
      </c>
      <c r="K3396" s="41">
        <f>J3396/60</f>
        <v/>
      </c>
      <c r="L3396" s="41">
        <f>IFERROR(J3396/H3396,"")</f>
        <v/>
      </c>
      <c r="M3396" s="25" t="inlineStr">
        <is>
          <t>2.5.12</t>
        </is>
      </c>
      <c r="N3396" s="25">
        <f>IF(J3396&gt;300,1,0)</f>
        <v/>
      </c>
      <c r="O3396" s="25">
        <f>IF(J3396&gt;600,1,0)</f>
        <v/>
      </c>
      <c r="P3396" s="25">
        <f>IF(H3396&gt;0,J3396,"")</f>
        <v/>
      </c>
      <c r="Q3396" s="25">
        <f>TEXT(A3396,"YYYY-MM-DD HH")</f>
        <v/>
      </c>
      <c r="R3396" s="25">
        <f>COUNTIF($Q$2:$Q$5295,Q3396)</f>
        <v/>
      </c>
      <c r="S3396" s="25">
        <f>IF(R3396&lt;=2,"1-2",IF(R3396&lt;=5,"3-5",IF(R3396&lt;=10,"6-10","11+")))</f>
        <v/>
      </c>
    </row>
    <row r="3397">
      <c r="A3397" s="39" t="n">
        <v>46205.1672800926</v>
      </c>
      <c r="B3397" s="25">
        <f>TEXT(A3397,"YYYY-MM")</f>
        <v/>
      </c>
      <c r="C3397" s="25">
        <f>TEXT(A3397,"MMM-YYYY")</f>
        <v/>
      </c>
      <c r="D3397" s="40">
        <f>INT(A3397)-WEEKDAY(A3397,2)+1</f>
        <v/>
      </c>
      <c r="E3397" s="25" t="inlineStr">
        <is>
          <t>sdey</t>
        </is>
      </c>
      <c r="F3397" s="25" t="n">
        <v>128957</v>
      </c>
      <c r="G3397" s="25" t="n">
        <v>1</v>
      </c>
      <c r="H3397" s="25" t="n">
        <v>6</v>
      </c>
      <c r="I3397" s="25" t="inlineStr">
        <is>
          <t>3 minute(s) and 10 second(s)</t>
        </is>
      </c>
      <c r="J3397" s="25">
        <f>IFERROR(VALUE(TRIM(LEFT(I3397,FIND("minute",I3397)-1)))*60,0)+IFERROR(VALUE(SUBSTITUTE(MID(I3397,IFERROR(FIND("and",I3397)+3,1),20),"second(s)","")),0)</f>
        <v/>
      </c>
      <c r="K3397" s="41">
        <f>J3397/60</f>
        <v/>
      </c>
      <c r="L3397" s="41">
        <f>IFERROR(J3397/H3397,"")</f>
        <v/>
      </c>
      <c r="M3397" s="25" t="inlineStr">
        <is>
          <t>2.5.12</t>
        </is>
      </c>
      <c r="N3397" s="25">
        <f>IF(J3397&gt;300,1,0)</f>
        <v/>
      </c>
      <c r="O3397" s="25">
        <f>IF(J3397&gt;600,1,0)</f>
        <v/>
      </c>
      <c r="P3397" s="25">
        <f>IF(H3397&gt;0,J3397,"")</f>
        <v/>
      </c>
      <c r="Q3397" s="25">
        <f>TEXT(A3397,"YYYY-MM-DD HH")</f>
        <v/>
      </c>
      <c r="R3397" s="25">
        <f>COUNTIF($Q$2:$Q$5295,Q3397)</f>
        <v/>
      </c>
      <c r="S3397" s="25">
        <f>IF(R3397&lt;=2,"1-2",IF(R3397&lt;=5,"3-5",IF(R3397&lt;=10,"6-10","11+")))</f>
        <v/>
      </c>
    </row>
    <row r="3398">
      <c r="A3398" s="39" t="n">
        <v>46205.16931712963</v>
      </c>
      <c r="B3398" s="25">
        <f>TEXT(A3398,"YYYY-MM")</f>
        <v/>
      </c>
      <c r="C3398" s="25">
        <f>TEXT(A3398,"MMM-YYYY")</f>
        <v/>
      </c>
      <c r="D3398" s="40">
        <f>INT(A3398)-WEEKDAY(A3398,2)+1</f>
        <v/>
      </c>
      <c r="E3398" s="25" t="inlineStr">
        <is>
          <t>stiwari</t>
        </is>
      </c>
      <c r="F3398" s="25" t="n">
        <v>128841</v>
      </c>
      <c r="G3398" s="25" t="n">
        <v>3</v>
      </c>
      <c r="H3398" s="25" t="n">
        <v>15</v>
      </c>
      <c r="I3398" s="25" t="inlineStr">
        <is>
          <t>2 minute(s) and 27 second(s)</t>
        </is>
      </c>
      <c r="J3398" s="25">
        <f>IFERROR(VALUE(TRIM(LEFT(I3398,FIND("minute",I3398)-1)))*60,0)+IFERROR(VALUE(SUBSTITUTE(MID(I3398,IFERROR(FIND("and",I3398)+3,1),20),"second(s)","")),0)</f>
        <v/>
      </c>
      <c r="K3398" s="41">
        <f>J3398/60</f>
        <v/>
      </c>
      <c r="L3398" s="41">
        <f>IFERROR(J3398/H3398,"")</f>
        <v/>
      </c>
      <c r="M3398" s="25" t="inlineStr">
        <is>
          <t>2.5.12</t>
        </is>
      </c>
      <c r="N3398" s="25">
        <f>IF(J3398&gt;300,1,0)</f>
        <v/>
      </c>
      <c r="O3398" s="25">
        <f>IF(J3398&gt;600,1,0)</f>
        <v/>
      </c>
      <c r="P3398" s="25">
        <f>IF(H3398&gt;0,J3398,"")</f>
        <v/>
      </c>
      <c r="Q3398" s="25">
        <f>TEXT(A3398,"YYYY-MM-DD HH")</f>
        <v/>
      </c>
      <c r="R3398" s="25">
        <f>COUNTIF($Q$2:$Q$5295,Q3398)</f>
        <v/>
      </c>
      <c r="S3398" s="25">
        <f>IF(R3398&lt;=2,"1-2",IF(R3398&lt;=5,"3-5",IF(R3398&lt;=10,"6-10","11+")))</f>
        <v/>
      </c>
    </row>
    <row r="3399">
      <c r="A3399" s="39" t="n">
        <v>46205.17803240741</v>
      </c>
      <c r="B3399" s="25">
        <f>TEXT(A3399,"YYYY-MM")</f>
        <v/>
      </c>
      <c r="C3399" s="25">
        <f>TEXT(A3399,"MMM-YYYY")</f>
        <v/>
      </c>
      <c r="D3399" s="40">
        <f>INT(A3399)-WEEKDAY(A3399,2)+1</f>
        <v/>
      </c>
      <c r="E3399" s="25" t="inlineStr">
        <is>
          <t>emishra</t>
        </is>
      </c>
      <c r="F3399" s="25" t="n">
        <v>132365</v>
      </c>
      <c r="G3399" s="25" t="n">
        <v>2</v>
      </c>
      <c r="H3399" s="25" t="n">
        <v>12</v>
      </c>
      <c r="I3399" s="25" t="inlineStr">
        <is>
          <t>2 minute(s) and 10 second(s)</t>
        </is>
      </c>
      <c r="J3399" s="25">
        <f>IFERROR(VALUE(TRIM(LEFT(I3399,FIND("minute",I3399)-1)))*60,0)+IFERROR(VALUE(SUBSTITUTE(MID(I3399,IFERROR(FIND("and",I3399)+3,1),20),"second(s)","")),0)</f>
        <v/>
      </c>
      <c r="K3399" s="41">
        <f>J3399/60</f>
        <v/>
      </c>
      <c r="L3399" s="41">
        <f>IFERROR(J3399/H3399,"")</f>
        <v/>
      </c>
      <c r="M3399" s="25" t="inlineStr">
        <is>
          <t>2.5.12</t>
        </is>
      </c>
      <c r="N3399" s="25">
        <f>IF(J3399&gt;300,1,0)</f>
        <v/>
      </c>
      <c r="O3399" s="25">
        <f>IF(J3399&gt;600,1,0)</f>
        <v/>
      </c>
      <c r="P3399" s="25">
        <f>IF(H3399&gt;0,J3399,"")</f>
        <v/>
      </c>
      <c r="Q3399" s="25">
        <f>TEXT(A3399,"YYYY-MM-DD HH")</f>
        <v/>
      </c>
      <c r="R3399" s="25">
        <f>COUNTIF($Q$2:$Q$5295,Q3399)</f>
        <v/>
      </c>
      <c r="S3399" s="25">
        <f>IF(R3399&lt;=2,"1-2",IF(R3399&lt;=5,"3-5",IF(R3399&lt;=10,"6-10","11+")))</f>
        <v/>
      </c>
    </row>
    <row r="3400">
      <c r="A3400" s="39" t="n">
        <v>46205.18133101852</v>
      </c>
      <c r="B3400" s="25">
        <f>TEXT(A3400,"YYYY-MM")</f>
        <v/>
      </c>
      <c r="C3400" s="25">
        <f>TEXT(A3400,"MMM-YYYY")</f>
        <v/>
      </c>
      <c r="D3400" s="40">
        <f>INT(A3400)-WEEKDAY(A3400,2)+1</f>
        <v/>
      </c>
      <c r="E3400" s="25" t="inlineStr">
        <is>
          <t>sthomas</t>
        </is>
      </c>
      <c r="F3400" s="25" t="n">
        <v>131058</v>
      </c>
      <c r="G3400" s="25" t="n">
        <v>3</v>
      </c>
      <c r="H3400" s="25" t="n">
        <v>15</v>
      </c>
      <c r="I3400" s="25" t="inlineStr">
        <is>
          <t>3 minute(s) and 44 second(s)</t>
        </is>
      </c>
      <c r="J3400" s="25">
        <f>IFERROR(VALUE(TRIM(LEFT(I3400,FIND("minute",I3400)-1)))*60,0)+IFERROR(VALUE(SUBSTITUTE(MID(I3400,IFERROR(FIND("and",I3400)+3,1),20),"second(s)","")),0)</f>
        <v/>
      </c>
      <c r="K3400" s="41">
        <f>J3400/60</f>
        <v/>
      </c>
      <c r="L3400" s="41">
        <f>IFERROR(J3400/H3400,"")</f>
        <v/>
      </c>
      <c r="M3400" s="25" t="inlineStr">
        <is>
          <t>2.5.12</t>
        </is>
      </c>
      <c r="N3400" s="25">
        <f>IF(J3400&gt;300,1,0)</f>
        <v/>
      </c>
      <c r="O3400" s="25">
        <f>IF(J3400&gt;600,1,0)</f>
        <v/>
      </c>
      <c r="P3400" s="25">
        <f>IF(H3400&gt;0,J3400,"")</f>
        <v/>
      </c>
      <c r="Q3400" s="25">
        <f>TEXT(A3400,"YYYY-MM-DD HH")</f>
        <v/>
      </c>
      <c r="R3400" s="25">
        <f>COUNTIF($Q$2:$Q$5295,Q3400)</f>
        <v/>
      </c>
      <c r="S3400" s="25">
        <f>IF(R3400&lt;=2,"1-2",IF(R3400&lt;=5,"3-5",IF(R3400&lt;=10,"6-10","11+")))</f>
        <v/>
      </c>
    </row>
    <row r="3401">
      <c r="A3401" s="39" t="n">
        <v>46205.18326388889</v>
      </c>
      <c r="B3401" s="25">
        <f>TEXT(A3401,"YYYY-MM")</f>
        <v/>
      </c>
      <c r="C3401" s="25">
        <f>TEXT(A3401,"MMM-YYYY")</f>
        <v/>
      </c>
      <c r="D3401" s="40">
        <f>INT(A3401)-WEEKDAY(A3401,2)+1</f>
        <v/>
      </c>
      <c r="E3401" s="25" t="inlineStr">
        <is>
          <t>shassan</t>
        </is>
      </c>
      <c r="F3401" s="25" t="n">
        <v>130085</v>
      </c>
      <c r="G3401" s="25" t="n">
        <v>4</v>
      </c>
      <c r="H3401" s="25" t="n">
        <v>16</v>
      </c>
      <c r="I3401" s="25" t="inlineStr">
        <is>
          <t>7 minute(s) and 10 second(s)</t>
        </is>
      </c>
      <c r="J3401" s="25">
        <f>IFERROR(VALUE(TRIM(LEFT(I3401,FIND("minute",I3401)-1)))*60,0)+IFERROR(VALUE(SUBSTITUTE(MID(I3401,IFERROR(FIND("and",I3401)+3,1),20),"second(s)","")),0)</f>
        <v/>
      </c>
      <c r="K3401" s="41">
        <f>J3401/60</f>
        <v/>
      </c>
      <c r="L3401" s="41">
        <f>IFERROR(J3401/H3401,"")</f>
        <v/>
      </c>
      <c r="M3401" s="25" t="inlineStr">
        <is>
          <t>2.5.12</t>
        </is>
      </c>
      <c r="N3401" s="25">
        <f>IF(J3401&gt;300,1,0)</f>
        <v/>
      </c>
      <c r="O3401" s="25">
        <f>IF(J3401&gt;600,1,0)</f>
        <v/>
      </c>
      <c r="P3401" s="25">
        <f>IF(H3401&gt;0,J3401,"")</f>
        <v/>
      </c>
      <c r="Q3401" s="25">
        <f>TEXT(A3401,"YYYY-MM-DD HH")</f>
        <v/>
      </c>
      <c r="R3401" s="25">
        <f>COUNTIF($Q$2:$Q$5295,Q3401)</f>
        <v/>
      </c>
      <c r="S3401" s="25">
        <f>IF(R3401&lt;=2,"1-2",IF(R3401&lt;=5,"3-5",IF(R3401&lt;=10,"6-10","11+")))</f>
        <v/>
      </c>
    </row>
    <row r="3402">
      <c r="A3402" s="39" t="n">
        <v>46205.18351851852</v>
      </c>
      <c r="B3402" s="25">
        <f>TEXT(A3402,"YYYY-MM")</f>
        <v/>
      </c>
      <c r="C3402" s="25">
        <f>TEXT(A3402,"MMM-YYYY")</f>
        <v/>
      </c>
      <c r="D3402" s="40">
        <f>INT(A3402)-WEEKDAY(A3402,2)+1</f>
        <v/>
      </c>
      <c r="E3402" s="25" t="inlineStr">
        <is>
          <t>anusharma</t>
        </is>
      </c>
      <c r="F3402" s="25" t="n">
        <v>132345</v>
      </c>
      <c r="G3402" s="25" t="n">
        <v>4</v>
      </c>
      <c r="H3402" s="25" t="n">
        <v>20</v>
      </c>
      <c r="I3402" s="25" t="inlineStr">
        <is>
          <t>4 minute(s) and 44 second(s)</t>
        </is>
      </c>
      <c r="J3402" s="25">
        <f>IFERROR(VALUE(TRIM(LEFT(I3402,FIND("minute",I3402)-1)))*60,0)+IFERROR(VALUE(SUBSTITUTE(MID(I3402,IFERROR(FIND("and",I3402)+3,1),20),"second(s)","")),0)</f>
        <v/>
      </c>
      <c r="K3402" s="41">
        <f>J3402/60</f>
        <v/>
      </c>
      <c r="L3402" s="41">
        <f>IFERROR(J3402/H3402,"")</f>
        <v/>
      </c>
      <c r="M3402" s="25" t="inlineStr">
        <is>
          <t>2.5.12</t>
        </is>
      </c>
      <c r="N3402" s="25">
        <f>IF(J3402&gt;300,1,0)</f>
        <v/>
      </c>
      <c r="O3402" s="25">
        <f>IF(J3402&gt;600,1,0)</f>
        <v/>
      </c>
      <c r="P3402" s="25">
        <f>IF(H3402&gt;0,J3402,"")</f>
        <v/>
      </c>
      <c r="Q3402" s="25">
        <f>TEXT(A3402,"YYYY-MM-DD HH")</f>
        <v/>
      </c>
      <c r="R3402" s="25">
        <f>COUNTIF($Q$2:$Q$5295,Q3402)</f>
        <v/>
      </c>
      <c r="S3402" s="25">
        <f>IF(R3402&lt;=2,"1-2",IF(R3402&lt;=5,"3-5",IF(R3402&lt;=10,"6-10","11+")))</f>
        <v/>
      </c>
    </row>
    <row r="3403">
      <c r="A3403" s="39" t="n">
        <v>46205.19241898148</v>
      </c>
      <c r="B3403" s="25">
        <f>TEXT(A3403,"YYYY-MM")</f>
        <v/>
      </c>
      <c r="C3403" s="25">
        <f>TEXT(A3403,"MMM-YYYY")</f>
        <v/>
      </c>
      <c r="D3403" s="40">
        <f>INT(A3403)-WEEKDAY(A3403,2)+1</f>
        <v/>
      </c>
      <c r="E3403" s="25" t="inlineStr">
        <is>
          <t>aghosh</t>
        </is>
      </c>
      <c r="F3403" s="25" t="n">
        <v>129305</v>
      </c>
      <c r="G3403" s="25" t="n">
        <v>4</v>
      </c>
      <c r="H3403" s="25" t="n">
        <v>6</v>
      </c>
      <c r="I3403" s="25" t="inlineStr">
        <is>
          <t>1 minute(s) and 59 second(s)</t>
        </is>
      </c>
      <c r="J3403" s="25">
        <f>IFERROR(VALUE(TRIM(LEFT(I3403,FIND("minute",I3403)-1)))*60,0)+IFERROR(VALUE(SUBSTITUTE(MID(I3403,IFERROR(FIND("and",I3403)+3,1),20),"second(s)","")),0)</f>
        <v/>
      </c>
      <c r="K3403" s="41">
        <f>J3403/60</f>
        <v/>
      </c>
      <c r="L3403" s="41">
        <f>IFERROR(J3403/H3403,"")</f>
        <v/>
      </c>
      <c r="M3403" s="25" t="inlineStr">
        <is>
          <t>2.5.12</t>
        </is>
      </c>
      <c r="N3403" s="25">
        <f>IF(J3403&gt;300,1,0)</f>
        <v/>
      </c>
      <c r="O3403" s="25">
        <f>IF(J3403&gt;600,1,0)</f>
        <v/>
      </c>
      <c r="P3403" s="25">
        <f>IF(H3403&gt;0,J3403,"")</f>
        <v/>
      </c>
      <c r="Q3403" s="25">
        <f>TEXT(A3403,"YYYY-MM-DD HH")</f>
        <v/>
      </c>
      <c r="R3403" s="25">
        <f>COUNTIF($Q$2:$Q$5295,Q3403)</f>
        <v/>
      </c>
      <c r="S3403" s="25">
        <f>IF(R3403&lt;=2,"1-2",IF(R3403&lt;=5,"3-5",IF(R3403&lt;=10,"6-10","11+")))</f>
        <v/>
      </c>
    </row>
    <row r="3404">
      <c r="A3404" s="39" t="n">
        <v>46205.19609953704</v>
      </c>
      <c r="B3404" s="25">
        <f>TEXT(A3404,"YYYY-MM")</f>
        <v/>
      </c>
      <c r="C3404" s="25">
        <f>TEXT(A3404,"MMM-YYYY")</f>
        <v/>
      </c>
      <c r="D3404" s="40">
        <f>INT(A3404)-WEEKDAY(A3404,2)+1</f>
        <v/>
      </c>
      <c r="E3404" s="25" t="inlineStr">
        <is>
          <t>tkarmakar</t>
        </is>
      </c>
      <c r="F3404" s="25" t="n">
        <v>130557</v>
      </c>
      <c r="G3404" s="25" t="n">
        <v>2</v>
      </c>
      <c r="H3404" s="25" t="n">
        <v>8</v>
      </c>
      <c r="I3404" s="25" t="inlineStr">
        <is>
          <t>1 minute(s) and 46 second(s)</t>
        </is>
      </c>
      <c r="J3404" s="25">
        <f>IFERROR(VALUE(TRIM(LEFT(I3404,FIND("minute",I3404)-1)))*60,0)+IFERROR(VALUE(SUBSTITUTE(MID(I3404,IFERROR(FIND("and",I3404)+3,1),20),"second(s)","")),0)</f>
        <v/>
      </c>
      <c r="K3404" s="41">
        <f>J3404/60</f>
        <v/>
      </c>
      <c r="L3404" s="41">
        <f>IFERROR(J3404/H3404,"")</f>
        <v/>
      </c>
      <c r="M3404" s="25" t="inlineStr">
        <is>
          <t>2.5.12</t>
        </is>
      </c>
      <c r="N3404" s="25">
        <f>IF(J3404&gt;300,1,0)</f>
        <v/>
      </c>
      <c r="O3404" s="25">
        <f>IF(J3404&gt;600,1,0)</f>
        <v/>
      </c>
      <c r="P3404" s="25">
        <f>IF(H3404&gt;0,J3404,"")</f>
        <v/>
      </c>
      <c r="Q3404" s="25">
        <f>TEXT(A3404,"YYYY-MM-DD HH")</f>
        <v/>
      </c>
      <c r="R3404" s="25">
        <f>COUNTIF($Q$2:$Q$5295,Q3404)</f>
        <v/>
      </c>
      <c r="S3404" s="25">
        <f>IF(R3404&lt;=2,"1-2",IF(R3404&lt;=5,"3-5",IF(R3404&lt;=10,"6-10","11+")))</f>
        <v/>
      </c>
    </row>
    <row r="3405">
      <c r="A3405" s="39" t="n">
        <v>46205.20193287037</v>
      </c>
      <c r="B3405" s="25">
        <f>TEXT(A3405,"YYYY-MM")</f>
        <v/>
      </c>
      <c r="C3405" s="25">
        <f>TEXT(A3405,"MMM-YYYY")</f>
        <v/>
      </c>
      <c r="D3405" s="40">
        <f>INT(A3405)-WEEKDAY(A3405,2)+1</f>
        <v/>
      </c>
      <c r="E3405" s="25" t="inlineStr">
        <is>
          <t>pgautam</t>
        </is>
      </c>
      <c r="F3405" s="25" t="n">
        <v>131021</v>
      </c>
      <c r="G3405" s="25" t="n">
        <v>3</v>
      </c>
      <c r="H3405" s="25" t="n">
        <v>19</v>
      </c>
      <c r="I3405" s="25" t="inlineStr">
        <is>
          <t>4 minute(s) and 29 second(s)</t>
        </is>
      </c>
      <c r="J3405" s="25">
        <f>IFERROR(VALUE(TRIM(LEFT(I3405,FIND("minute",I3405)-1)))*60,0)+IFERROR(VALUE(SUBSTITUTE(MID(I3405,IFERROR(FIND("and",I3405)+3,1),20),"second(s)","")),0)</f>
        <v/>
      </c>
      <c r="K3405" s="41">
        <f>J3405/60</f>
        <v/>
      </c>
      <c r="L3405" s="41">
        <f>IFERROR(J3405/H3405,"")</f>
        <v/>
      </c>
      <c r="M3405" s="25" t="inlineStr">
        <is>
          <t>2.5.12</t>
        </is>
      </c>
      <c r="N3405" s="25">
        <f>IF(J3405&gt;300,1,0)</f>
        <v/>
      </c>
      <c r="O3405" s="25">
        <f>IF(J3405&gt;600,1,0)</f>
        <v/>
      </c>
      <c r="P3405" s="25">
        <f>IF(H3405&gt;0,J3405,"")</f>
        <v/>
      </c>
      <c r="Q3405" s="25">
        <f>TEXT(A3405,"YYYY-MM-DD HH")</f>
        <v/>
      </c>
      <c r="R3405" s="25">
        <f>COUNTIF($Q$2:$Q$5295,Q3405)</f>
        <v/>
      </c>
      <c r="S3405" s="25">
        <f>IF(R3405&lt;=2,"1-2",IF(R3405&lt;=5,"3-5",IF(R3405&lt;=10,"6-10","11+")))</f>
        <v/>
      </c>
    </row>
    <row r="3406">
      <c r="A3406" s="39" t="n">
        <v>46205.20857638889</v>
      </c>
      <c r="B3406" s="25">
        <f>TEXT(A3406,"YYYY-MM")</f>
        <v/>
      </c>
      <c r="C3406" s="25">
        <f>TEXT(A3406,"MMM-YYYY")</f>
        <v/>
      </c>
      <c r="D3406" s="40">
        <f>INT(A3406)-WEEKDAY(A3406,2)+1</f>
        <v/>
      </c>
      <c r="E3406" s="25" t="inlineStr">
        <is>
          <t>vprasad</t>
        </is>
      </c>
      <c r="F3406" s="25" t="n">
        <v>121252</v>
      </c>
      <c r="G3406" s="25" t="n">
        <v>2</v>
      </c>
      <c r="H3406" s="25" t="n">
        <v>8</v>
      </c>
      <c r="I3406" s="25" t="inlineStr">
        <is>
          <t>3 minute(s) and 6 second(s)</t>
        </is>
      </c>
      <c r="J3406" s="25">
        <f>IFERROR(VALUE(TRIM(LEFT(I3406,FIND("minute",I3406)-1)))*60,0)+IFERROR(VALUE(SUBSTITUTE(MID(I3406,IFERROR(FIND("and",I3406)+3,1),20),"second(s)","")),0)</f>
        <v/>
      </c>
      <c r="K3406" s="41">
        <f>J3406/60</f>
        <v/>
      </c>
      <c r="L3406" s="41">
        <f>IFERROR(J3406/H3406,"")</f>
        <v/>
      </c>
      <c r="M3406" s="25" t="inlineStr">
        <is>
          <t>2.5.12</t>
        </is>
      </c>
      <c r="N3406" s="25">
        <f>IF(J3406&gt;300,1,0)</f>
        <v/>
      </c>
      <c r="O3406" s="25">
        <f>IF(J3406&gt;600,1,0)</f>
        <v/>
      </c>
      <c r="P3406" s="25">
        <f>IF(H3406&gt;0,J3406,"")</f>
        <v/>
      </c>
      <c r="Q3406" s="25">
        <f>TEXT(A3406,"YYYY-MM-DD HH")</f>
        <v/>
      </c>
      <c r="R3406" s="25">
        <f>COUNTIF($Q$2:$Q$5295,Q3406)</f>
        <v/>
      </c>
      <c r="S3406" s="25">
        <f>IF(R3406&lt;=2,"1-2",IF(R3406&lt;=5,"3-5",IF(R3406&lt;=10,"6-10","11+")))</f>
        <v/>
      </c>
    </row>
    <row r="3407">
      <c r="A3407" s="39" t="n">
        <v>46205.21241898148</v>
      </c>
      <c r="B3407" s="25">
        <f>TEXT(A3407,"YYYY-MM")</f>
        <v/>
      </c>
      <c r="C3407" s="25">
        <f>TEXT(A3407,"MMM-YYYY")</f>
        <v/>
      </c>
      <c r="D3407" s="40">
        <f>INT(A3407)-WEEKDAY(A3407,2)+1</f>
        <v/>
      </c>
      <c r="E3407" s="25" t="inlineStr">
        <is>
          <t>mgupta</t>
        </is>
      </c>
      <c r="F3407" s="25" t="n">
        <v>132173</v>
      </c>
      <c r="G3407" s="25" t="n">
        <v>4</v>
      </c>
      <c r="H3407" s="25" t="n">
        <v>20</v>
      </c>
      <c r="I3407" s="25" t="inlineStr">
        <is>
          <t>5 minute(s) and 38 second(s)</t>
        </is>
      </c>
      <c r="J3407" s="25">
        <f>IFERROR(VALUE(TRIM(LEFT(I3407,FIND("minute",I3407)-1)))*60,0)+IFERROR(VALUE(SUBSTITUTE(MID(I3407,IFERROR(FIND("and",I3407)+3,1),20),"second(s)","")),0)</f>
        <v/>
      </c>
      <c r="K3407" s="41">
        <f>J3407/60</f>
        <v/>
      </c>
      <c r="L3407" s="41">
        <f>IFERROR(J3407/H3407,"")</f>
        <v/>
      </c>
      <c r="M3407" s="25" t="inlineStr">
        <is>
          <t>2.5.12</t>
        </is>
      </c>
      <c r="N3407" s="25">
        <f>IF(J3407&gt;300,1,0)</f>
        <v/>
      </c>
      <c r="O3407" s="25">
        <f>IF(J3407&gt;600,1,0)</f>
        <v/>
      </c>
      <c r="P3407" s="25">
        <f>IF(H3407&gt;0,J3407,"")</f>
        <v/>
      </c>
      <c r="Q3407" s="25">
        <f>TEXT(A3407,"YYYY-MM-DD HH")</f>
        <v/>
      </c>
      <c r="R3407" s="25">
        <f>COUNTIF($Q$2:$Q$5295,Q3407)</f>
        <v/>
      </c>
      <c r="S3407" s="25">
        <f>IF(R3407&lt;=2,"1-2",IF(R3407&lt;=5,"3-5",IF(R3407&lt;=10,"6-10","11+")))</f>
        <v/>
      </c>
    </row>
    <row r="3408">
      <c r="A3408" s="39" t="n">
        <v>46205.21317129629</v>
      </c>
      <c r="B3408" s="25">
        <f>TEXT(A3408,"YYYY-MM")</f>
        <v/>
      </c>
      <c r="C3408" s="25">
        <f>TEXT(A3408,"MMM-YYYY")</f>
        <v/>
      </c>
      <c r="D3408" s="40">
        <f>INT(A3408)-WEEKDAY(A3408,2)+1</f>
        <v/>
      </c>
      <c r="E3408" s="25" t="inlineStr">
        <is>
          <t>dchoudhury</t>
        </is>
      </c>
      <c r="F3408" s="25" t="n">
        <v>127885</v>
      </c>
      <c r="G3408" s="25" t="n">
        <v>2</v>
      </c>
      <c r="H3408" s="25" t="n">
        <v>14</v>
      </c>
      <c r="I3408" s="25" t="inlineStr">
        <is>
          <t>4 minute(s) and 17 second(s)</t>
        </is>
      </c>
      <c r="J3408" s="25">
        <f>IFERROR(VALUE(TRIM(LEFT(I3408,FIND("minute",I3408)-1)))*60,0)+IFERROR(VALUE(SUBSTITUTE(MID(I3408,IFERROR(FIND("and",I3408)+3,1),20),"second(s)","")),0)</f>
        <v/>
      </c>
      <c r="K3408" s="41">
        <f>J3408/60</f>
        <v/>
      </c>
      <c r="L3408" s="41">
        <f>IFERROR(J3408/H3408,"")</f>
        <v/>
      </c>
      <c r="M3408" s="25" t="inlineStr">
        <is>
          <t>2.5.12</t>
        </is>
      </c>
      <c r="N3408" s="25">
        <f>IF(J3408&gt;300,1,0)</f>
        <v/>
      </c>
      <c r="O3408" s="25">
        <f>IF(J3408&gt;600,1,0)</f>
        <v/>
      </c>
      <c r="P3408" s="25">
        <f>IF(H3408&gt;0,J3408,"")</f>
        <v/>
      </c>
      <c r="Q3408" s="25">
        <f>TEXT(A3408,"YYYY-MM-DD HH")</f>
        <v/>
      </c>
      <c r="R3408" s="25">
        <f>COUNTIF($Q$2:$Q$5295,Q3408)</f>
        <v/>
      </c>
      <c r="S3408" s="25">
        <f>IF(R3408&lt;=2,"1-2",IF(R3408&lt;=5,"3-5",IF(R3408&lt;=10,"6-10","11+")))</f>
        <v/>
      </c>
    </row>
    <row r="3409">
      <c r="A3409" s="39" t="n">
        <v>46205.21681712963</v>
      </c>
      <c r="B3409" s="25">
        <f>TEXT(A3409,"YYYY-MM")</f>
        <v/>
      </c>
      <c r="C3409" s="25">
        <f>TEXT(A3409,"MMM-YYYY")</f>
        <v/>
      </c>
      <c r="D3409" s="40">
        <f>INT(A3409)-WEEKDAY(A3409,2)+1</f>
        <v/>
      </c>
      <c r="E3409" s="25" t="inlineStr">
        <is>
          <t>sdey</t>
        </is>
      </c>
      <c r="F3409" s="25" t="n">
        <v>128753</v>
      </c>
      <c r="G3409" s="25" t="n">
        <v>4</v>
      </c>
      <c r="H3409" s="25" t="n">
        <v>20</v>
      </c>
      <c r="I3409" s="25" t="inlineStr">
        <is>
          <t>7 minute(s) and 51 second(s)</t>
        </is>
      </c>
      <c r="J3409" s="25">
        <f>IFERROR(VALUE(TRIM(LEFT(I3409,FIND("minute",I3409)-1)))*60,0)+IFERROR(VALUE(SUBSTITUTE(MID(I3409,IFERROR(FIND("and",I3409)+3,1),20),"second(s)","")),0)</f>
        <v/>
      </c>
      <c r="K3409" s="41">
        <f>J3409/60</f>
        <v/>
      </c>
      <c r="L3409" s="41">
        <f>IFERROR(J3409/H3409,"")</f>
        <v/>
      </c>
      <c r="M3409" s="25" t="inlineStr">
        <is>
          <t>2.5.12</t>
        </is>
      </c>
      <c r="N3409" s="25">
        <f>IF(J3409&gt;300,1,0)</f>
        <v/>
      </c>
      <c r="O3409" s="25">
        <f>IF(J3409&gt;600,1,0)</f>
        <v/>
      </c>
      <c r="P3409" s="25">
        <f>IF(H3409&gt;0,J3409,"")</f>
        <v/>
      </c>
      <c r="Q3409" s="25">
        <f>TEXT(A3409,"YYYY-MM-DD HH")</f>
        <v/>
      </c>
      <c r="R3409" s="25">
        <f>COUNTIF($Q$2:$Q$5295,Q3409)</f>
        <v/>
      </c>
      <c r="S3409" s="25">
        <f>IF(R3409&lt;=2,"1-2",IF(R3409&lt;=5,"3-5",IF(R3409&lt;=10,"6-10","11+")))</f>
        <v/>
      </c>
    </row>
    <row r="3410">
      <c r="A3410" s="39" t="n">
        <v>46205.2234375</v>
      </c>
      <c r="B3410" s="25">
        <f>TEXT(A3410,"YYYY-MM")</f>
        <v/>
      </c>
      <c r="C3410" s="25">
        <f>TEXT(A3410,"MMM-YYYY")</f>
        <v/>
      </c>
      <c r="D3410" s="40">
        <f>INT(A3410)-WEEKDAY(A3410,2)+1</f>
        <v/>
      </c>
      <c r="E3410" s="25" t="inlineStr">
        <is>
          <t>emishra</t>
        </is>
      </c>
      <c r="F3410" s="25" t="n">
        <v>131514</v>
      </c>
      <c r="G3410" s="25" t="n">
        <v>3</v>
      </c>
      <c r="H3410" s="25" t="n">
        <v>15</v>
      </c>
      <c r="I3410" s="25" t="inlineStr">
        <is>
          <t>5 minute(s) and 30 second(s)</t>
        </is>
      </c>
      <c r="J3410" s="25">
        <f>IFERROR(VALUE(TRIM(LEFT(I3410,FIND("minute",I3410)-1)))*60,0)+IFERROR(VALUE(SUBSTITUTE(MID(I3410,IFERROR(FIND("and",I3410)+3,1),20),"second(s)","")),0)</f>
        <v/>
      </c>
      <c r="K3410" s="41">
        <f>J3410/60</f>
        <v/>
      </c>
      <c r="L3410" s="41">
        <f>IFERROR(J3410/H3410,"")</f>
        <v/>
      </c>
      <c r="M3410" s="25" t="inlineStr">
        <is>
          <t>2.5.12</t>
        </is>
      </c>
      <c r="N3410" s="25">
        <f>IF(J3410&gt;300,1,0)</f>
        <v/>
      </c>
      <c r="O3410" s="25">
        <f>IF(J3410&gt;600,1,0)</f>
        <v/>
      </c>
      <c r="P3410" s="25">
        <f>IF(H3410&gt;0,J3410,"")</f>
        <v/>
      </c>
      <c r="Q3410" s="25">
        <f>TEXT(A3410,"YYYY-MM-DD HH")</f>
        <v/>
      </c>
      <c r="R3410" s="25">
        <f>COUNTIF($Q$2:$Q$5295,Q3410)</f>
        <v/>
      </c>
      <c r="S3410" s="25">
        <f>IF(R3410&lt;=2,"1-2",IF(R3410&lt;=5,"3-5",IF(R3410&lt;=10,"6-10","11+")))</f>
        <v/>
      </c>
    </row>
    <row r="3411">
      <c r="A3411" s="39" t="n">
        <v>46205.22851851852</v>
      </c>
      <c r="B3411" s="25">
        <f>TEXT(A3411,"YYYY-MM")</f>
        <v/>
      </c>
      <c r="C3411" s="25">
        <f>TEXT(A3411,"MMM-YYYY")</f>
        <v/>
      </c>
      <c r="D3411" s="40">
        <f>INT(A3411)-WEEKDAY(A3411,2)+1</f>
        <v/>
      </c>
      <c r="E3411" s="25" t="inlineStr">
        <is>
          <t>psathwika</t>
        </is>
      </c>
      <c r="F3411" s="25" t="n">
        <v>128453</v>
      </c>
      <c r="G3411" s="25" t="n">
        <v>2</v>
      </c>
      <c r="H3411" s="25" t="n">
        <v>10</v>
      </c>
      <c r="I3411" s="25" t="inlineStr">
        <is>
          <t>3 minute(s) and 24 second(s)</t>
        </is>
      </c>
      <c r="J3411" s="25">
        <f>IFERROR(VALUE(TRIM(LEFT(I3411,FIND("minute",I3411)-1)))*60,0)+IFERROR(VALUE(SUBSTITUTE(MID(I3411,IFERROR(FIND("and",I3411)+3,1),20),"second(s)","")),0)</f>
        <v/>
      </c>
      <c r="K3411" s="41">
        <f>J3411/60</f>
        <v/>
      </c>
      <c r="L3411" s="41">
        <f>IFERROR(J3411/H3411,"")</f>
        <v/>
      </c>
      <c r="M3411" s="25" t="inlineStr">
        <is>
          <t>2.5.12</t>
        </is>
      </c>
      <c r="N3411" s="25">
        <f>IF(J3411&gt;300,1,0)</f>
        <v/>
      </c>
      <c r="O3411" s="25">
        <f>IF(J3411&gt;600,1,0)</f>
        <v/>
      </c>
      <c r="P3411" s="25">
        <f>IF(H3411&gt;0,J3411,"")</f>
        <v/>
      </c>
      <c r="Q3411" s="25">
        <f>TEXT(A3411,"YYYY-MM-DD HH")</f>
        <v/>
      </c>
      <c r="R3411" s="25">
        <f>COUNTIF($Q$2:$Q$5295,Q3411)</f>
        <v/>
      </c>
      <c r="S3411" s="25">
        <f>IF(R3411&lt;=2,"1-2",IF(R3411&lt;=5,"3-5",IF(R3411&lt;=10,"6-10","11+")))</f>
        <v/>
      </c>
    </row>
    <row r="3412">
      <c r="A3412" s="39" t="n">
        <v>46205.23215277777</v>
      </c>
      <c r="B3412" s="25">
        <f>TEXT(A3412,"YYYY-MM")</f>
        <v/>
      </c>
      <c r="C3412" s="25">
        <f>TEXT(A3412,"MMM-YYYY")</f>
        <v/>
      </c>
      <c r="D3412" s="40">
        <f>INT(A3412)-WEEKDAY(A3412,2)+1</f>
        <v/>
      </c>
      <c r="E3412" s="25" t="inlineStr">
        <is>
          <t>stiwari</t>
        </is>
      </c>
      <c r="F3412" s="25" t="n">
        <v>131050</v>
      </c>
      <c r="G3412" s="25" t="n">
        <v>2</v>
      </c>
      <c r="H3412" s="25" t="n">
        <v>10</v>
      </c>
      <c r="I3412" s="25" t="inlineStr">
        <is>
          <t>1 minute(s) and 47 second(s)</t>
        </is>
      </c>
      <c r="J3412" s="25">
        <f>IFERROR(VALUE(TRIM(LEFT(I3412,FIND("minute",I3412)-1)))*60,0)+IFERROR(VALUE(SUBSTITUTE(MID(I3412,IFERROR(FIND("and",I3412)+3,1),20),"second(s)","")),0)</f>
        <v/>
      </c>
      <c r="K3412" s="41">
        <f>J3412/60</f>
        <v/>
      </c>
      <c r="L3412" s="41">
        <f>IFERROR(J3412/H3412,"")</f>
        <v/>
      </c>
      <c r="M3412" s="25" t="inlineStr">
        <is>
          <t>2.5.12</t>
        </is>
      </c>
      <c r="N3412" s="25">
        <f>IF(J3412&gt;300,1,0)</f>
        <v/>
      </c>
      <c r="O3412" s="25">
        <f>IF(J3412&gt;600,1,0)</f>
        <v/>
      </c>
      <c r="P3412" s="25">
        <f>IF(H3412&gt;0,J3412,"")</f>
        <v/>
      </c>
      <c r="Q3412" s="25">
        <f>TEXT(A3412,"YYYY-MM-DD HH")</f>
        <v/>
      </c>
      <c r="R3412" s="25">
        <f>COUNTIF($Q$2:$Q$5295,Q3412)</f>
        <v/>
      </c>
      <c r="S3412" s="25">
        <f>IF(R3412&lt;=2,"1-2",IF(R3412&lt;=5,"3-5",IF(R3412&lt;=10,"6-10","11+")))</f>
        <v/>
      </c>
    </row>
    <row r="3413">
      <c r="A3413" s="39" t="n">
        <v>46205.23618055556</v>
      </c>
      <c r="B3413" s="25">
        <f>TEXT(A3413,"YYYY-MM")</f>
        <v/>
      </c>
      <c r="C3413" s="25">
        <f>TEXT(A3413,"MMM-YYYY")</f>
        <v/>
      </c>
      <c r="D3413" s="40">
        <f>INT(A3413)-WEEKDAY(A3413,2)+1</f>
        <v/>
      </c>
      <c r="E3413" s="25" t="inlineStr">
        <is>
          <t>shassan</t>
        </is>
      </c>
      <c r="F3413" s="25" t="n">
        <v>131530</v>
      </c>
      <c r="G3413" s="25" t="n">
        <v>4</v>
      </c>
      <c r="H3413" s="25" t="n">
        <v>16</v>
      </c>
      <c r="I3413" s="25" t="inlineStr">
        <is>
          <t>4 minute(s) and 36 second(s)</t>
        </is>
      </c>
      <c r="J3413" s="25">
        <f>IFERROR(VALUE(TRIM(LEFT(I3413,FIND("minute",I3413)-1)))*60,0)+IFERROR(VALUE(SUBSTITUTE(MID(I3413,IFERROR(FIND("and",I3413)+3,1),20),"second(s)","")),0)</f>
        <v/>
      </c>
      <c r="K3413" s="41">
        <f>J3413/60</f>
        <v/>
      </c>
      <c r="L3413" s="41">
        <f>IFERROR(J3413/H3413,"")</f>
        <v/>
      </c>
      <c r="M3413" s="25" t="inlineStr">
        <is>
          <t>2.5.12</t>
        </is>
      </c>
      <c r="N3413" s="25">
        <f>IF(J3413&gt;300,1,0)</f>
        <v/>
      </c>
      <c r="O3413" s="25">
        <f>IF(J3413&gt;600,1,0)</f>
        <v/>
      </c>
      <c r="P3413" s="25">
        <f>IF(H3413&gt;0,J3413,"")</f>
        <v/>
      </c>
      <c r="Q3413" s="25">
        <f>TEXT(A3413,"YYYY-MM-DD HH")</f>
        <v/>
      </c>
      <c r="R3413" s="25">
        <f>COUNTIF($Q$2:$Q$5295,Q3413)</f>
        <v/>
      </c>
      <c r="S3413" s="25">
        <f>IF(R3413&lt;=2,"1-2",IF(R3413&lt;=5,"3-5",IF(R3413&lt;=10,"6-10","11+")))</f>
        <v/>
      </c>
    </row>
    <row r="3414">
      <c r="A3414" s="39" t="n">
        <v>46205.24519675926</v>
      </c>
      <c r="B3414" s="25">
        <f>TEXT(A3414,"YYYY-MM")</f>
        <v/>
      </c>
      <c r="C3414" s="25">
        <f>TEXT(A3414,"MMM-YYYY")</f>
        <v/>
      </c>
      <c r="D3414" s="40">
        <f>INT(A3414)-WEEKDAY(A3414,2)+1</f>
        <v/>
      </c>
      <c r="E3414" s="25" t="inlineStr">
        <is>
          <t>anusharma</t>
        </is>
      </c>
      <c r="F3414" s="25" t="n">
        <v>131946</v>
      </c>
      <c r="G3414" s="25" t="n">
        <v>2</v>
      </c>
      <c r="H3414" s="25" t="n">
        <v>11</v>
      </c>
      <c r="I3414" s="25" t="inlineStr">
        <is>
          <t>2 minute(s) and 39 second(s)</t>
        </is>
      </c>
      <c r="J3414" s="25">
        <f>IFERROR(VALUE(TRIM(LEFT(I3414,FIND("minute",I3414)-1)))*60,0)+IFERROR(VALUE(SUBSTITUTE(MID(I3414,IFERROR(FIND("and",I3414)+3,1),20),"second(s)","")),0)</f>
        <v/>
      </c>
      <c r="K3414" s="41">
        <f>J3414/60</f>
        <v/>
      </c>
      <c r="L3414" s="41">
        <f>IFERROR(J3414/H3414,"")</f>
        <v/>
      </c>
      <c r="M3414" s="25" t="inlineStr">
        <is>
          <t>2.5.12</t>
        </is>
      </c>
      <c r="N3414" s="25">
        <f>IF(J3414&gt;300,1,0)</f>
        <v/>
      </c>
      <c r="O3414" s="25">
        <f>IF(J3414&gt;600,1,0)</f>
        <v/>
      </c>
      <c r="P3414" s="25">
        <f>IF(H3414&gt;0,J3414,"")</f>
        <v/>
      </c>
      <c r="Q3414" s="25">
        <f>TEXT(A3414,"YYYY-MM-DD HH")</f>
        <v/>
      </c>
      <c r="R3414" s="25">
        <f>COUNTIF($Q$2:$Q$5295,Q3414)</f>
        <v/>
      </c>
      <c r="S3414" s="25">
        <f>IF(R3414&lt;=2,"1-2",IF(R3414&lt;=5,"3-5",IF(R3414&lt;=10,"6-10","11+")))</f>
        <v/>
      </c>
    </row>
    <row r="3415">
      <c r="A3415" s="39" t="n">
        <v>46205.25773148148</v>
      </c>
      <c r="B3415" s="25">
        <f>TEXT(A3415,"YYYY-MM")</f>
        <v/>
      </c>
      <c r="C3415" s="25">
        <f>TEXT(A3415,"MMM-YYYY")</f>
        <v/>
      </c>
      <c r="D3415" s="40">
        <f>INT(A3415)-WEEKDAY(A3415,2)+1</f>
        <v/>
      </c>
      <c r="E3415" s="25" t="inlineStr">
        <is>
          <t>aghosh</t>
        </is>
      </c>
      <c r="F3415" s="25" t="n">
        <v>132322</v>
      </c>
      <c r="G3415" s="25" t="n">
        <v>2</v>
      </c>
      <c r="H3415" s="25" t="n">
        <v>8</v>
      </c>
      <c r="I3415" s="25" t="inlineStr">
        <is>
          <t>4 minute(s) and 53 second(s)</t>
        </is>
      </c>
      <c r="J3415" s="25">
        <f>IFERROR(VALUE(TRIM(LEFT(I3415,FIND("minute",I3415)-1)))*60,0)+IFERROR(VALUE(SUBSTITUTE(MID(I3415,IFERROR(FIND("and",I3415)+3,1),20),"second(s)","")),0)</f>
        <v/>
      </c>
      <c r="K3415" s="41">
        <f>J3415/60</f>
        <v/>
      </c>
      <c r="L3415" s="41">
        <f>IFERROR(J3415/H3415,"")</f>
        <v/>
      </c>
      <c r="M3415" s="25" t="inlineStr">
        <is>
          <t>2.5.12</t>
        </is>
      </c>
      <c r="N3415" s="25">
        <f>IF(J3415&gt;300,1,0)</f>
        <v/>
      </c>
      <c r="O3415" s="25">
        <f>IF(J3415&gt;600,1,0)</f>
        <v/>
      </c>
      <c r="P3415" s="25">
        <f>IF(H3415&gt;0,J3415,"")</f>
        <v/>
      </c>
      <c r="Q3415" s="25">
        <f>TEXT(A3415,"YYYY-MM-DD HH")</f>
        <v/>
      </c>
      <c r="R3415" s="25">
        <f>COUNTIF($Q$2:$Q$5295,Q3415)</f>
        <v/>
      </c>
      <c r="S3415" s="25">
        <f>IF(R3415&lt;=2,"1-2",IF(R3415&lt;=5,"3-5",IF(R3415&lt;=10,"6-10","11+")))</f>
        <v/>
      </c>
    </row>
    <row r="3416">
      <c r="A3416" s="39" t="n">
        <v>46205.25895833333</v>
      </c>
      <c r="B3416" s="25">
        <f>TEXT(A3416,"YYYY-MM")</f>
        <v/>
      </c>
      <c r="C3416" s="25">
        <f>TEXT(A3416,"MMM-YYYY")</f>
        <v/>
      </c>
      <c r="D3416" s="40">
        <f>INT(A3416)-WEEKDAY(A3416,2)+1</f>
        <v/>
      </c>
      <c r="E3416" s="25" t="inlineStr">
        <is>
          <t>vprasad</t>
        </is>
      </c>
      <c r="F3416" s="25" t="n">
        <v>121260</v>
      </c>
      <c r="G3416" s="25" t="n">
        <v>5</v>
      </c>
      <c r="H3416" s="25" t="n">
        <v>19</v>
      </c>
      <c r="I3416" s="25" t="inlineStr">
        <is>
          <t>4 minute(s) and 3 second(s)</t>
        </is>
      </c>
      <c r="J3416" s="25">
        <f>IFERROR(VALUE(TRIM(LEFT(I3416,FIND("minute",I3416)-1)))*60,0)+IFERROR(VALUE(SUBSTITUTE(MID(I3416,IFERROR(FIND("and",I3416)+3,1),20),"second(s)","")),0)</f>
        <v/>
      </c>
      <c r="K3416" s="41">
        <f>J3416/60</f>
        <v/>
      </c>
      <c r="L3416" s="41">
        <f>IFERROR(J3416/H3416,"")</f>
        <v/>
      </c>
      <c r="M3416" s="25" t="inlineStr">
        <is>
          <t>2.5.12</t>
        </is>
      </c>
      <c r="N3416" s="25">
        <f>IF(J3416&gt;300,1,0)</f>
        <v/>
      </c>
      <c r="O3416" s="25">
        <f>IF(J3416&gt;600,1,0)</f>
        <v/>
      </c>
      <c r="P3416" s="25">
        <f>IF(H3416&gt;0,J3416,"")</f>
        <v/>
      </c>
      <c r="Q3416" s="25">
        <f>TEXT(A3416,"YYYY-MM-DD HH")</f>
        <v/>
      </c>
      <c r="R3416" s="25">
        <f>COUNTIF($Q$2:$Q$5295,Q3416)</f>
        <v/>
      </c>
      <c r="S3416" s="25">
        <f>IF(R3416&lt;=2,"1-2",IF(R3416&lt;=5,"3-5",IF(R3416&lt;=10,"6-10","11+")))</f>
        <v/>
      </c>
    </row>
    <row r="3417">
      <c r="A3417" s="39" t="n">
        <v>46205.27287037037</v>
      </c>
      <c r="B3417" s="25">
        <f>TEXT(A3417,"YYYY-MM")</f>
        <v/>
      </c>
      <c r="C3417" s="25">
        <f>TEXT(A3417,"MMM-YYYY")</f>
        <v/>
      </c>
      <c r="D3417" s="40">
        <f>INT(A3417)-WEEKDAY(A3417,2)+1</f>
        <v/>
      </c>
      <c r="E3417" s="25" t="inlineStr">
        <is>
          <t>sthomas</t>
        </is>
      </c>
      <c r="F3417" s="25" t="n">
        <v>132466</v>
      </c>
      <c r="G3417" s="25" t="n">
        <v>2</v>
      </c>
      <c r="H3417" s="25" t="n">
        <v>11</v>
      </c>
      <c r="I3417" s="25" t="inlineStr">
        <is>
          <t>4 minute(s) and 29 second(s)</t>
        </is>
      </c>
      <c r="J3417" s="25">
        <f>IFERROR(VALUE(TRIM(LEFT(I3417,FIND("minute",I3417)-1)))*60,0)+IFERROR(VALUE(SUBSTITUTE(MID(I3417,IFERROR(FIND("and",I3417)+3,1),20),"second(s)","")),0)</f>
        <v/>
      </c>
      <c r="K3417" s="41">
        <f>J3417/60</f>
        <v/>
      </c>
      <c r="L3417" s="41">
        <f>IFERROR(J3417/H3417,"")</f>
        <v/>
      </c>
      <c r="M3417" s="25" t="inlineStr">
        <is>
          <t>2.5.12</t>
        </is>
      </c>
      <c r="N3417" s="25">
        <f>IF(J3417&gt;300,1,0)</f>
        <v/>
      </c>
      <c r="O3417" s="25">
        <f>IF(J3417&gt;600,1,0)</f>
        <v/>
      </c>
      <c r="P3417" s="25">
        <f>IF(H3417&gt;0,J3417,"")</f>
        <v/>
      </c>
      <c r="Q3417" s="25">
        <f>TEXT(A3417,"YYYY-MM-DD HH")</f>
        <v/>
      </c>
      <c r="R3417" s="25">
        <f>COUNTIF($Q$2:$Q$5295,Q3417)</f>
        <v/>
      </c>
      <c r="S3417" s="25">
        <f>IF(R3417&lt;=2,"1-2",IF(R3417&lt;=5,"3-5",IF(R3417&lt;=10,"6-10","11+")))</f>
        <v/>
      </c>
    </row>
    <row r="3418">
      <c r="A3418" s="39" t="n">
        <v>46205.27741898148</v>
      </c>
      <c r="B3418" s="25">
        <f>TEXT(A3418,"YYYY-MM")</f>
        <v/>
      </c>
      <c r="C3418" s="25">
        <f>TEXT(A3418,"MMM-YYYY")</f>
        <v/>
      </c>
      <c r="D3418" s="40">
        <f>INT(A3418)-WEEKDAY(A3418,2)+1</f>
        <v/>
      </c>
      <c r="E3418" s="25" t="inlineStr">
        <is>
          <t>sswati</t>
        </is>
      </c>
      <c r="F3418" s="25" t="n">
        <v>130829</v>
      </c>
      <c r="G3418" s="25" t="n">
        <v>2</v>
      </c>
      <c r="H3418" s="25" t="n">
        <v>10</v>
      </c>
      <c r="I3418" s="25" t="inlineStr">
        <is>
          <t>3 minute(s) and 52 second(s)</t>
        </is>
      </c>
      <c r="J3418" s="25">
        <f>IFERROR(VALUE(TRIM(LEFT(I3418,FIND("minute",I3418)-1)))*60,0)+IFERROR(VALUE(SUBSTITUTE(MID(I3418,IFERROR(FIND("and",I3418)+3,1),20),"second(s)","")),0)</f>
        <v/>
      </c>
      <c r="K3418" s="41">
        <f>J3418/60</f>
        <v/>
      </c>
      <c r="L3418" s="41">
        <f>IFERROR(J3418/H3418,"")</f>
        <v/>
      </c>
      <c r="M3418" s="25" t="inlineStr">
        <is>
          <t>2.5.12</t>
        </is>
      </c>
      <c r="N3418" s="25">
        <f>IF(J3418&gt;300,1,0)</f>
        <v/>
      </c>
      <c r="O3418" s="25">
        <f>IF(J3418&gt;600,1,0)</f>
        <v/>
      </c>
      <c r="P3418" s="25">
        <f>IF(H3418&gt;0,J3418,"")</f>
        <v/>
      </c>
      <c r="Q3418" s="25">
        <f>TEXT(A3418,"YYYY-MM-DD HH")</f>
        <v/>
      </c>
      <c r="R3418" s="25">
        <f>COUNTIF($Q$2:$Q$5295,Q3418)</f>
        <v/>
      </c>
      <c r="S3418" s="25">
        <f>IF(R3418&lt;=2,"1-2",IF(R3418&lt;=5,"3-5",IF(R3418&lt;=10,"6-10","11+")))</f>
        <v/>
      </c>
    </row>
    <row r="3419">
      <c r="A3419" s="39" t="n">
        <v>46205.27869212963</v>
      </c>
      <c r="B3419" s="25">
        <f>TEXT(A3419,"YYYY-MM")</f>
        <v/>
      </c>
      <c r="C3419" s="25">
        <f>TEXT(A3419,"MMM-YYYY")</f>
        <v/>
      </c>
      <c r="D3419" s="40">
        <f>INT(A3419)-WEEKDAY(A3419,2)+1</f>
        <v/>
      </c>
      <c r="E3419" s="25" t="inlineStr">
        <is>
          <t>mgupta</t>
        </is>
      </c>
      <c r="F3419" s="25" t="n">
        <v>128509</v>
      </c>
      <c r="G3419" s="25" t="n">
        <v>1</v>
      </c>
      <c r="H3419" s="25" t="n">
        <v>7</v>
      </c>
      <c r="I3419" s="25" t="inlineStr">
        <is>
          <t>3 minute(s) and 10 second(s)</t>
        </is>
      </c>
      <c r="J3419" s="25">
        <f>IFERROR(VALUE(TRIM(LEFT(I3419,FIND("minute",I3419)-1)))*60,0)+IFERROR(VALUE(SUBSTITUTE(MID(I3419,IFERROR(FIND("and",I3419)+3,1),20),"second(s)","")),0)</f>
        <v/>
      </c>
      <c r="K3419" s="41">
        <f>J3419/60</f>
        <v/>
      </c>
      <c r="L3419" s="41">
        <f>IFERROR(J3419/H3419,"")</f>
        <v/>
      </c>
      <c r="M3419" s="25" t="inlineStr">
        <is>
          <t>2.5.12</t>
        </is>
      </c>
      <c r="N3419" s="25">
        <f>IF(J3419&gt;300,1,0)</f>
        <v/>
      </c>
      <c r="O3419" s="25">
        <f>IF(J3419&gt;600,1,0)</f>
        <v/>
      </c>
      <c r="P3419" s="25">
        <f>IF(H3419&gt;0,J3419,"")</f>
        <v/>
      </c>
      <c r="Q3419" s="25">
        <f>TEXT(A3419,"YYYY-MM-DD HH")</f>
        <v/>
      </c>
      <c r="R3419" s="25">
        <f>COUNTIF($Q$2:$Q$5295,Q3419)</f>
        <v/>
      </c>
      <c r="S3419" s="25">
        <f>IF(R3419&lt;=2,"1-2",IF(R3419&lt;=5,"3-5",IF(R3419&lt;=10,"6-10","11+")))</f>
        <v/>
      </c>
    </row>
    <row r="3420">
      <c r="A3420" s="39" t="n">
        <v>46205.28945601852</v>
      </c>
      <c r="B3420" s="25">
        <f>TEXT(A3420,"YYYY-MM")</f>
        <v/>
      </c>
      <c r="C3420" s="25">
        <f>TEXT(A3420,"MMM-YYYY")</f>
        <v/>
      </c>
      <c r="D3420" s="40">
        <f>INT(A3420)-WEEKDAY(A3420,2)+1</f>
        <v/>
      </c>
      <c r="E3420" s="25" t="inlineStr">
        <is>
          <t>psathwika</t>
        </is>
      </c>
      <c r="F3420" s="25" t="n">
        <v>130181</v>
      </c>
      <c r="G3420" s="25" t="n">
        <v>1</v>
      </c>
      <c r="H3420" s="25" t="n">
        <v>5</v>
      </c>
      <c r="I3420" s="25" t="inlineStr">
        <is>
          <t>2 minute(s) and 20 second(s)</t>
        </is>
      </c>
      <c r="J3420" s="25">
        <f>IFERROR(VALUE(TRIM(LEFT(I3420,FIND("minute",I3420)-1)))*60,0)+IFERROR(VALUE(SUBSTITUTE(MID(I3420,IFERROR(FIND("and",I3420)+3,1),20),"second(s)","")),0)</f>
        <v/>
      </c>
      <c r="K3420" s="41">
        <f>J3420/60</f>
        <v/>
      </c>
      <c r="L3420" s="41">
        <f>IFERROR(J3420/H3420,"")</f>
        <v/>
      </c>
      <c r="M3420" s="25" t="inlineStr">
        <is>
          <t>2.5.12</t>
        </is>
      </c>
      <c r="N3420" s="25">
        <f>IF(J3420&gt;300,1,0)</f>
        <v/>
      </c>
      <c r="O3420" s="25">
        <f>IF(J3420&gt;600,1,0)</f>
        <v/>
      </c>
      <c r="P3420" s="25">
        <f>IF(H3420&gt;0,J3420,"")</f>
        <v/>
      </c>
      <c r="Q3420" s="25">
        <f>TEXT(A3420,"YYYY-MM-DD HH")</f>
        <v/>
      </c>
      <c r="R3420" s="25">
        <f>COUNTIF($Q$2:$Q$5295,Q3420)</f>
        <v/>
      </c>
      <c r="S3420" s="25">
        <f>IF(R3420&lt;=2,"1-2",IF(R3420&lt;=5,"3-5",IF(R3420&lt;=10,"6-10","11+")))</f>
        <v/>
      </c>
    </row>
    <row r="3421">
      <c r="A3421" s="39" t="n">
        <v>46205.29138888889</v>
      </c>
      <c r="B3421" s="25">
        <f>TEXT(A3421,"YYYY-MM")</f>
        <v/>
      </c>
      <c r="C3421" s="25">
        <f>TEXT(A3421,"MMM-YYYY")</f>
        <v/>
      </c>
      <c r="D3421" s="40">
        <f>INT(A3421)-WEEKDAY(A3421,2)+1</f>
        <v/>
      </c>
      <c r="E3421" s="25" t="inlineStr">
        <is>
          <t>stiwari</t>
        </is>
      </c>
      <c r="F3421" s="25" t="n">
        <v>132458</v>
      </c>
      <c r="G3421" s="25" t="n">
        <v>2</v>
      </c>
      <c r="H3421" s="25" t="n">
        <v>12</v>
      </c>
      <c r="I3421" s="25" t="inlineStr">
        <is>
          <t>4 minute(s) and 27 second(s)</t>
        </is>
      </c>
      <c r="J3421" s="25">
        <f>IFERROR(VALUE(TRIM(LEFT(I3421,FIND("minute",I3421)-1)))*60,0)+IFERROR(VALUE(SUBSTITUTE(MID(I3421,IFERROR(FIND("and",I3421)+3,1),20),"second(s)","")),0)</f>
        <v/>
      </c>
      <c r="K3421" s="41">
        <f>J3421/60</f>
        <v/>
      </c>
      <c r="L3421" s="41">
        <f>IFERROR(J3421/H3421,"")</f>
        <v/>
      </c>
      <c r="M3421" s="25" t="inlineStr">
        <is>
          <t>2.5.12</t>
        </is>
      </c>
      <c r="N3421" s="25">
        <f>IF(J3421&gt;300,1,0)</f>
        <v/>
      </c>
      <c r="O3421" s="25">
        <f>IF(J3421&gt;600,1,0)</f>
        <v/>
      </c>
      <c r="P3421" s="25">
        <f>IF(H3421&gt;0,J3421,"")</f>
        <v/>
      </c>
      <c r="Q3421" s="25">
        <f>TEXT(A3421,"YYYY-MM-DD HH")</f>
        <v/>
      </c>
      <c r="R3421" s="25">
        <f>COUNTIF($Q$2:$Q$5295,Q3421)</f>
        <v/>
      </c>
      <c r="S3421" s="25">
        <f>IF(R3421&lt;=2,"1-2",IF(R3421&lt;=5,"3-5",IF(R3421&lt;=10,"6-10","11+")))</f>
        <v/>
      </c>
    </row>
    <row r="3422">
      <c r="A3422" s="39" t="n">
        <v>46205.29291666667</v>
      </c>
      <c r="B3422" s="25">
        <f>TEXT(A3422,"YYYY-MM")</f>
        <v/>
      </c>
      <c r="C3422" s="25">
        <f>TEXT(A3422,"MMM-YYYY")</f>
        <v/>
      </c>
      <c r="D3422" s="40">
        <f>INT(A3422)-WEEKDAY(A3422,2)+1</f>
        <v/>
      </c>
      <c r="E3422" s="25" t="inlineStr">
        <is>
          <t>ssarkar</t>
        </is>
      </c>
      <c r="F3422" s="25" t="n">
        <v>129909</v>
      </c>
      <c r="G3422" s="25" t="n">
        <v>1</v>
      </c>
      <c r="H3422" s="25" t="n">
        <v>7</v>
      </c>
      <c r="I3422" s="25" t="inlineStr">
        <is>
          <t>7 minute(s) and 6 second(s)</t>
        </is>
      </c>
      <c r="J3422" s="25">
        <f>IFERROR(VALUE(TRIM(LEFT(I3422,FIND("minute",I3422)-1)))*60,0)+IFERROR(VALUE(SUBSTITUTE(MID(I3422,IFERROR(FIND("and",I3422)+3,1),20),"second(s)","")),0)</f>
        <v/>
      </c>
      <c r="K3422" s="41">
        <f>J3422/60</f>
        <v/>
      </c>
      <c r="L3422" s="41">
        <f>IFERROR(J3422/H3422,"")</f>
        <v/>
      </c>
      <c r="M3422" s="25" t="inlineStr">
        <is>
          <t>2.5.12</t>
        </is>
      </c>
      <c r="N3422" s="25">
        <f>IF(J3422&gt;300,1,0)</f>
        <v/>
      </c>
      <c r="O3422" s="25">
        <f>IF(J3422&gt;600,1,0)</f>
        <v/>
      </c>
      <c r="P3422" s="25">
        <f>IF(H3422&gt;0,J3422,"")</f>
        <v/>
      </c>
      <c r="Q3422" s="25">
        <f>TEXT(A3422,"YYYY-MM-DD HH")</f>
        <v/>
      </c>
      <c r="R3422" s="25">
        <f>COUNTIF($Q$2:$Q$5295,Q3422)</f>
        <v/>
      </c>
      <c r="S3422" s="25">
        <f>IF(R3422&lt;=2,"1-2",IF(R3422&lt;=5,"3-5",IF(R3422&lt;=10,"6-10","11+")))</f>
        <v/>
      </c>
    </row>
    <row r="3423">
      <c r="A3423" s="39" t="n">
        <v>46205.30297453704</v>
      </c>
      <c r="B3423" s="25">
        <f>TEXT(A3423,"YYYY-MM")</f>
        <v/>
      </c>
      <c r="C3423" s="25">
        <f>TEXT(A3423,"MMM-YYYY")</f>
        <v/>
      </c>
      <c r="D3423" s="40">
        <f>INT(A3423)-WEEKDAY(A3423,2)+1</f>
        <v/>
      </c>
      <c r="E3423" s="25" t="inlineStr">
        <is>
          <t>anusharma</t>
        </is>
      </c>
      <c r="F3423" s="25" t="n">
        <v>128426</v>
      </c>
      <c r="G3423" s="25" t="n">
        <v>2</v>
      </c>
      <c r="H3423" s="25" t="n">
        <v>8</v>
      </c>
      <c r="I3423" s="25" t="inlineStr">
        <is>
          <t>1 minute(s) and 40 second(s)</t>
        </is>
      </c>
      <c r="J3423" s="25">
        <f>IFERROR(VALUE(TRIM(LEFT(I3423,FIND("minute",I3423)-1)))*60,0)+IFERROR(VALUE(SUBSTITUTE(MID(I3423,IFERROR(FIND("and",I3423)+3,1),20),"second(s)","")),0)</f>
        <v/>
      </c>
      <c r="K3423" s="41">
        <f>J3423/60</f>
        <v/>
      </c>
      <c r="L3423" s="41">
        <f>IFERROR(J3423/H3423,"")</f>
        <v/>
      </c>
      <c r="M3423" s="25" t="inlineStr">
        <is>
          <t>2.5.12</t>
        </is>
      </c>
      <c r="N3423" s="25">
        <f>IF(J3423&gt;300,1,0)</f>
        <v/>
      </c>
      <c r="O3423" s="25">
        <f>IF(J3423&gt;600,1,0)</f>
        <v/>
      </c>
      <c r="P3423" s="25">
        <f>IF(H3423&gt;0,J3423,"")</f>
        <v/>
      </c>
      <c r="Q3423" s="25">
        <f>TEXT(A3423,"YYYY-MM-DD HH")</f>
        <v/>
      </c>
      <c r="R3423" s="25">
        <f>COUNTIF($Q$2:$Q$5295,Q3423)</f>
        <v/>
      </c>
      <c r="S3423" s="25">
        <f>IF(R3423&lt;=2,"1-2",IF(R3423&lt;=5,"3-5",IF(R3423&lt;=10,"6-10","11+")))</f>
        <v/>
      </c>
    </row>
    <row r="3424">
      <c r="A3424" s="39" t="n">
        <v>46205.30425925926</v>
      </c>
      <c r="B3424" s="25">
        <f>TEXT(A3424,"YYYY-MM")</f>
        <v/>
      </c>
      <c r="C3424" s="25">
        <f>TEXT(A3424,"MMM-YYYY")</f>
        <v/>
      </c>
      <c r="D3424" s="40">
        <f>INT(A3424)-WEEKDAY(A3424,2)+1</f>
        <v/>
      </c>
      <c r="E3424" s="25" t="inlineStr">
        <is>
          <t>apriyadarshi</t>
        </is>
      </c>
      <c r="F3424" s="25" t="n">
        <v>132485</v>
      </c>
      <c r="G3424" s="25" t="n">
        <v>3</v>
      </c>
      <c r="H3424" s="25" t="n">
        <v>9</v>
      </c>
      <c r="I3424" s="25" t="inlineStr">
        <is>
          <t>1 minute(s) and 55 second(s)</t>
        </is>
      </c>
      <c r="J3424" s="25">
        <f>IFERROR(VALUE(TRIM(LEFT(I3424,FIND("minute",I3424)-1)))*60,0)+IFERROR(VALUE(SUBSTITUTE(MID(I3424,IFERROR(FIND("and",I3424)+3,1),20),"second(s)","")),0)</f>
        <v/>
      </c>
      <c r="K3424" s="41">
        <f>J3424/60</f>
        <v/>
      </c>
      <c r="L3424" s="41">
        <f>IFERROR(J3424/H3424,"")</f>
        <v/>
      </c>
      <c r="M3424" s="25" t="inlineStr">
        <is>
          <t>2.5.12</t>
        </is>
      </c>
      <c r="N3424" s="25">
        <f>IF(J3424&gt;300,1,0)</f>
        <v/>
      </c>
      <c r="O3424" s="25">
        <f>IF(J3424&gt;600,1,0)</f>
        <v/>
      </c>
      <c r="P3424" s="25">
        <f>IF(H3424&gt;0,J3424,"")</f>
        <v/>
      </c>
      <c r="Q3424" s="25">
        <f>TEXT(A3424,"YYYY-MM-DD HH")</f>
        <v/>
      </c>
      <c r="R3424" s="25">
        <f>COUNTIF($Q$2:$Q$5295,Q3424)</f>
        <v/>
      </c>
      <c r="S3424" s="25">
        <f>IF(R3424&lt;=2,"1-2",IF(R3424&lt;=5,"3-5",IF(R3424&lt;=10,"6-10","11+")))</f>
        <v/>
      </c>
    </row>
    <row r="3425">
      <c r="A3425" s="39" t="n">
        <v>46205.32173611111</v>
      </c>
      <c r="B3425" s="25">
        <f>TEXT(A3425,"YYYY-MM")</f>
        <v/>
      </c>
      <c r="C3425" s="25">
        <f>TEXT(A3425,"MMM-YYYY")</f>
        <v/>
      </c>
      <c r="D3425" s="40">
        <f>INT(A3425)-WEEKDAY(A3425,2)+1</f>
        <v/>
      </c>
      <c r="E3425" s="25" t="inlineStr">
        <is>
          <t>sdey</t>
        </is>
      </c>
      <c r="F3425" s="25" t="n">
        <v>131626</v>
      </c>
      <c r="G3425" s="25" t="n">
        <v>2</v>
      </c>
      <c r="H3425" s="25" t="n">
        <v>10</v>
      </c>
      <c r="I3425" s="25" t="inlineStr">
        <is>
          <t>3 minute(s) and 14 second(s)</t>
        </is>
      </c>
      <c r="J3425" s="25">
        <f>IFERROR(VALUE(TRIM(LEFT(I3425,FIND("minute",I3425)-1)))*60,0)+IFERROR(VALUE(SUBSTITUTE(MID(I3425,IFERROR(FIND("and",I3425)+3,1),20),"second(s)","")),0)</f>
        <v/>
      </c>
      <c r="K3425" s="41">
        <f>J3425/60</f>
        <v/>
      </c>
      <c r="L3425" s="41">
        <f>IFERROR(J3425/H3425,"")</f>
        <v/>
      </c>
      <c r="M3425" s="25" t="inlineStr">
        <is>
          <t>2.5.12</t>
        </is>
      </c>
      <c r="N3425" s="25">
        <f>IF(J3425&gt;300,1,0)</f>
        <v/>
      </c>
      <c r="O3425" s="25">
        <f>IF(J3425&gt;600,1,0)</f>
        <v/>
      </c>
      <c r="P3425" s="25">
        <f>IF(H3425&gt;0,J3425,"")</f>
        <v/>
      </c>
      <c r="Q3425" s="25">
        <f>TEXT(A3425,"YYYY-MM-DD HH")</f>
        <v/>
      </c>
      <c r="R3425" s="25">
        <f>COUNTIF($Q$2:$Q$5295,Q3425)</f>
        <v/>
      </c>
      <c r="S3425" s="25">
        <f>IF(R3425&lt;=2,"1-2",IF(R3425&lt;=5,"3-5",IF(R3425&lt;=10,"6-10","11+")))</f>
        <v/>
      </c>
    </row>
    <row r="3426">
      <c r="A3426" s="39" t="n">
        <v>46205.33125</v>
      </c>
      <c r="B3426" s="25">
        <f>TEXT(A3426,"YYYY-MM")</f>
        <v/>
      </c>
      <c r="C3426" s="25">
        <f>TEXT(A3426,"MMM-YYYY")</f>
        <v/>
      </c>
      <c r="D3426" s="40">
        <f>INT(A3426)-WEEKDAY(A3426,2)+1</f>
        <v/>
      </c>
      <c r="E3426" s="25" t="inlineStr">
        <is>
          <t>mgupta</t>
        </is>
      </c>
      <c r="F3426" s="25" t="n">
        <v>132973</v>
      </c>
      <c r="G3426" s="25" t="n">
        <v>4</v>
      </c>
      <c r="H3426" s="25" t="n">
        <v>16</v>
      </c>
      <c r="I3426" s="25" t="inlineStr">
        <is>
          <t>4 minute(s) and 35 second(s)</t>
        </is>
      </c>
      <c r="J3426" s="25">
        <f>IFERROR(VALUE(TRIM(LEFT(I3426,FIND("minute",I3426)-1)))*60,0)+IFERROR(VALUE(SUBSTITUTE(MID(I3426,IFERROR(FIND("and",I3426)+3,1),20),"second(s)","")),0)</f>
        <v/>
      </c>
      <c r="K3426" s="41">
        <f>J3426/60</f>
        <v/>
      </c>
      <c r="L3426" s="41">
        <f>IFERROR(J3426/H3426,"")</f>
        <v/>
      </c>
      <c r="M3426" s="25" t="inlineStr">
        <is>
          <t>2.5.12</t>
        </is>
      </c>
      <c r="N3426" s="25">
        <f>IF(J3426&gt;300,1,0)</f>
        <v/>
      </c>
      <c r="O3426" s="25">
        <f>IF(J3426&gt;600,1,0)</f>
        <v/>
      </c>
      <c r="P3426" s="25">
        <f>IF(H3426&gt;0,J3426,"")</f>
        <v/>
      </c>
      <c r="Q3426" s="25">
        <f>TEXT(A3426,"YYYY-MM-DD HH")</f>
        <v/>
      </c>
      <c r="R3426" s="25">
        <f>COUNTIF($Q$2:$Q$5295,Q3426)</f>
        <v/>
      </c>
      <c r="S3426" s="25">
        <f>IF(R3426&lt;=2,"1-2",IF(R3426&lt;=5,"3-5",IF(R3426&lt;=10,"6-10","11+")))</f>
        <v/>
      </c>
    </row>
    <row r="3427">
      <c r="A3427" s="39" t="n">
        <v>46205.3324074074</v>
      </c>
      <c r="B3427" s="25">
        <f>TEXT(A3427,"YYYY-MM")</f>
        <v/>
      </c>
      <c r="C3427" s="25">
        <f>TEXT(A3427,"MMM-YYYY")</f>
        <v/>
      </c>
      <c r="D3427" s="40">
        <f>INT(A3427)-WEEKDAY(A3427,2)+1</f>
        <v/>
      </c>
      <c r="E3427" s="25" t="inlineStr">
        <is>
          <t>bverma</t>
        </is>
      </c>
      <c r="F3427" s="25" t="n">
        <v>132354</v>
      </c>
      <c r="G3427" s="25" t="n">
        <v>2</v>
      </c>
      <c r="H3427" s="25" t="n">
        <v>12</v>
      </c>
      <c r="I3427" s="25" t="inlineStr">
        <is>
          <t>2 minute(s) and 2 second(s)</t>
        </is>
      </c>
      <c r="J3427" s="25">
        <f>IFERROR(VALUE(TRIM(LEFT(I3427,FIND("minute",I3427)-1)))*60,0)+IFERROR(VALUE(SUBSTITUTE(MID(I3427,IFERROR(FIND("and",I3427)+3,1),20),"second(s)","")),0)</f>
        <v/>
      </c>
      <c r="K3427" s="41">
        <f>J3427/60</f>
        <v/>
      </c>
      <c r="L3427" s="41">
        <f>IFERROR(J3427/H3427,"")</f>
        <v/>
      </c>
      <c r="M3427" s="25" t="inlineStr">
        <is>
          <t>2.5.12</t>
        </is>
      </c>
      <c r="N3427" s="25">
        <f>IF(J3427&gt;300,1,0)</f>
        <v/>
      </c>
      <c r="O3427" s="25">
        <f>IF(J3427&gt;600,1,0)</f>
        <v/>
      </c>
      <c r="P3427" s="25">
        <f>IF(H3427&gt;0,J3427,"")</f>
        <v/>
      </c>
      <c r="Q3427" s="25">
        <f>TEXT(A3427,"YYYY-MM-DD HH")</f>
        <v/>
      </c>
      <c r="R3427" s="25">
        <f>COUNTIF($Q$2:$Q$5295,Q3427)</f>
        <v/>
      </c>
      <c r="S3427" s="25">
        <f>IF(R3427&lt;=2,"1-2",IF(R3427&lt;=5,"3-5",IF(R3427&lt;=10,"6-10","11+")))</f>
        <v/>
      </c>
    </row>
    <row r="3428">
      <c r="A3428" s="39" t="n">
        <v>46205.33769675926</v>
      </c>
      <c r="B3428" s="25">
        <f>TEXT(A3428,"YYYY-MM")</f>
        <v/>
      </c>
      <c r="C3428" s="25">
        <f>TEXT(A3428,"MMM-YYYY")</f>
        <v/>
      </c>
      <c r="D3428" s="40">
        <f>INT(A3428)-WEEKDAY(A3428,2)+1</f>
        <v/>
      </c>
      <c r="E3428" s="25" t="inlineStr">
        <is>
          <t>psathwika</t>
        </is>
      </c>
      <c r="F3428" s="25" t="n">
        <v>132681</v>
      </c>
      <c r="G3428" s="25" t="n">
        <v>2</v>
      </c>
      <c r="H3428" s="25" t="n">
        <v>6</v>
      </c>
      <c r="I3428" s="25" t="inlineStr">
        <is>
          <t>3 minute(s) and 11 second(s)</t>
        </is>
      </c>
      <c r="J3428" s="25">
        <f>IFERROR(VALUE(TRIM(LEFT(I3428,FIND("minute",I3428)-1)))*60,0)+IFERROR(VALUE(SUBSTITUTE(MID(I3428,IFERROR(FIND("and",I3428)+3,1),20),"second(s)","")),0)</f>
        <v/>
      </c>
      <c r="K3428" s="41">
        <f>J3428/60</f>
        <v/>
      </c>
      <c r="L3428" s="41">
        <f>IFERROR(J3428/H3428,"")</f>
        <v/>
      </c>
      <c r="M3428" s="25" t="inlineStr">
        <is>
          <t>2.5.12</t>
        </is>
      </c>
      <c r="N3428" s="25">
        <f>IF(J3428&gt;300,1,0)</f>
        <v/>
      </c>
      <c r="O3428" s="25">
        <f>IF(J3428&gt;600,1,0)</f>
        <v/>
      </c>
      <c r="P3428" s="25">
        <f>IF(H3428&gt;0,J3428,"")</f>
        <v/>
      </c>
      <c r="Q3428" s="25">
        <f>TEXT(A3428,"YYYY-MM-DD HH")</f>
        <v/>
      </c>
      <c r="R3428" s="25">
        <f>COUNTIF($Q$2:$Q$5295,Q3428)</f>
        <v/>
      </c>
      <c r="S3428" s="25">
        <f>IF(R3428&lt;=2,"1-2",IF(R3428&lt;=5,"3-5",IF(R3428&lt;=10,"6-10","11+")))</f>
        <v/>
      </c>
    </row>
    <row r="3429">
      <c r="A3429" s="39" t="n">
        <v>46205.34039351852</v>
      </c>
      <c r="B3429" s="25">
        <f>TEXT(A3429,"YYYY-MM")</f>
        <v/>
      </c>
      <c r="C3429" s="25">
        <f>TEXT(A3429,"MMM-YYYY")</f>
        <v/>
      </c>
      <c r="D3429" s="40">
        <f>INT(A3429)-WEEKDAY(A3429,2)+1</f>
        <v/>
      </c>
      <c r="E3429" s="25" t="inlineStr">
        <is>
          <t>sswati</t>
        </is>
      </c>
      <c r="F3429" s="25" t="n">
        <v>131869</v>
      </c>
      <c r="G3429" s="25" t="n">
        <v>2</v>
      </c>
      <c r="H3429" s="25" t="n">
        <v>10</v>
      </c>
      <c r="I3429" s="25" t="inlineStr">
        <is>
          <t>3 minute(s) and 1 second(s)</t>
        </is>
      </c>
      <c r="J3429" s="25">
        <f>IFERROR(VALUE(TRIM(LEFT(I3429,FIND("minute",I3429)-1)))*60,0)+IFERROR(VALUE(SUBSTITUTE(MID(I3429,IFERROR(FIND("and",I3429)+3,1),20),"second(s)","")),0)</f>
        <v/>
      </c>
      <c r="K3429" s="41">
        <f>J3429/60</f>
        <v/>
      </c>
      <c r="L3429" s="41">
        <f>IFERROR(J3429/H3429,"")</f>
        <v/>
      </c>
      <c r="M3429" s="25" t="inlineStr">
        <is>
          <t>2.5.12</t>
        </is>
      </c>
      <c r="N3429" s="25">
        <f>IF(J3429&gt;300,1,0)</f>
        <v/>
      </c>
      <c r="O3429" s="25">
        <f>IF(J3429&gt;600,1,0)</f>
        <v/>
      </c>
      <c r="P3429" s="25">
        <f>IF(H3429&gt;0,J3429,"")</f>
        <v/>
      </c>
      <c r="Q3429" s="25">
        <f>TEXT(A3429,"YYYY-MM-DD HH")</f>
        <v/>
      </c>
      <c r="R3429" s="25">
        <f>COUNTIF($Q$2:$Q$5295,Q3429)</f>
        <v/>
      </c>
      <c r="S3429" s="25">
        <f>IF(R3429&lt;=2,"1-2",IF(R3429&lt;=5,"3-5",IF(R3429&lt;=10,"6-10","11+")))</f>
        <v/>
      </c>
    </row>
    <row r="3430">
      <c r="A3430" s="39" t="n">
        <v>46205.34097222222</v>
      </c>
      <c r="B3430" s="25">
        <f>TEXT(A3430,"YYYY-MM")</f>
        <v/>
      </c>
      <c r="C3430" s="25">
        <f>TEXT(A3430,"MMM-YYYY")</f>
        <v/>
      </c>
      <c r="D3430" s="40">
        <f>INT(A3430)-WEEKDAY(A3430,2)+1</f>
        <v/>
      </c>
      <c r="E3430" s="25" t="inlineStr">
        <is>
          <t>aghosh</t>
        </is>
      </c>
      <c r="F3430" s="25" t="n">
        <v>128778</v>
      </c>
      <c r="G3430" s="25" t="n">
        <v>4</v>
      </c>
      <c r="H3430" s="25" t="n">
        <v>28</v>
      </c>
      <c r="I3430" s="25" t="inlineStr">
        <is>
          <t>6 minute(s) and 16 second(s)</t>
        </is>
      </c>
      <c r="J3430" s="25">
        <f>IFERROR(VALUE(TRIM(LEFT(I3430,FIND("minute",I3430)-1)))*60,0)+IFERROR(VALUE(SUBSTITUTE(MID(I3430,IFERROR(FIND("and",I3430)+3,1),20),"second(s)","")),0)</f>
        <v/>
      </c>
      <c r="K3430" s="41">
        <f>J3430/60</f>
        <v/>
      </c>
      <c r="L3430" s="41">
        <f>IFERROR(J3430/H3430,"")</f>
        <v/>
      </c>
      <c r="M3430" s="25" t="inlineStr">
        <is>
          <t>2.5.12</t>
        </is>
      </c>
      <c r="N3430" s="25">
        <f>IF(J3430&gt;300,1,0)</f>
        <v/>
      </c>
      <c r="O3430" s="25">
        <f>IF(J3430&gt;600,1,0)</f>
        <v/>
      </c>
      <c r="P3430" s="25">
        <f>IF(H3430&gt;0,J3430,"")</f>
        <v/>
      </c>
      <c r="Q3430" s="25">
        <f>TEXT(A3430,"YYYY-MM-DD HH")</f>
        <v/>
      </c>
      <c r="R3430" s="25">
        <f>COUNTIF($Q$2:$Q$5295,Q3430)</f>
        <v/>
      </c>
      <c r="S3430" s="25">
        <f>IF(R3430&lt;=2,"1-2",IF(R3430&lt;=5,"3-5",IF(R3430&lt;=10,"6-10","11+")))</f>
        <v/>
      </c>
    </row>
    <row r="3431">
      <c r="A3431" s="39" t="n">
        <v>46205.36434027777</v>
      </c>
      <c r="B3431" s="25">
        <f>TEXT(A3431,"YYYY-MM")</f>
        <v/>
      </c>
      <c r="C3431" s="25">
        <f>TEXT(A3431,"MMM-YYYY")</f>
        <v/>
      </c>
      <c r="D3431" s="40">
        <f>INT(A3431)-WEEKDAY(A3431,2)+1</f>
        <v/>
      </c>
      <c r="E3431" s="25" t="inlineStr">
        <is>
          <t>dchoudhury</t>
        </is>
      </c>
      <c r="F3431" s="25" t="n">
        <v>129365</v>
      </c>
      <c r="G3431" s="25" t="n">
        <v>2</v>
      </c>
      <c r="H3431" s="25" t="n">
        <v>10</v>
      </c>
      <c r="I3431" s="25" t="inlineStr">
        <is>
          <t>3 minute(s) and 3 second(s)</t>
        </is>
      </c>
      <c r="J3431" s="25">
        <f>IFERROR(VALUE(TRIM(LEFT(I3431,FIND("minute",I3431)-1)))*60,0)+IFERROR(VALUE(SUBSTITUTE(MID(I3431,IFERROR(FIND("and",I3431)+3,1),20),"second(s)","")),0)</f>
        <v/>
      </c>
      <c r="K3431" s="41">
        <f>J3431/60</f>
        <v/>
      </c>
      <c r="L3431" s="41">
        <f>IFERROR(J3431/H3431,"")</f>
        <v/>
      </c>
      <c r="M3431" s="25" t="inlineStr">
        <is>
          <t>2.5.12</t>
        </is>
      </c>
      <c r="N3431" s="25">
        <f>IF(J3431&gt;300,1,0)</f>
        <v/>
      </c>
      <c r="O3431" s="25">
        <f>IF(J3431&gt;600,1,0)</f>
        <v/>
      </c>
      <c r="P3431" s="25">
        <f>IF(H3431&gt;0,J3431,"")</f>
        <v/>
      </c>
      <c r="Q3431" s="25">
        <f>TEXT(A3431,"YYYY-MM-DD HH")</f>
        <v/>
      </c>
      <c r="R3431" s="25">
        <f>COUNTIF($Q$2:$Q$5295,Q3431)</f>
        <v/>
      </c>
      <c r="S3431" s="25">
        <f>IF(R3431&lt;=2,"1-2",IF(R3431&lt;=5,"3-5",IF(R3431&lt;=10,"6-10","11+")))</f>
        <v/>
      </c>
    </row>
    <row r="3432">
      <c r="A3432" s="39" t="n">
        <v>46205.36490740741</v>
      </c>
      <c r="B3432" s="25">
        <f>TEXT(A3432,"YYYY-MM")</f>
        <v/>
      </c>
      <c r="C3432" s="25">
        <f>TEXT(A3432,"MMM-YYYY")</f>
        <v/>
      </c>
      <c r="D3432" s="40">
        <f>INT(A3432)-WEEKDAY(A3432,2)+1</f>
        <v/>
      </c>
      <c r="E3432" s="25" t="inlineStr">
        <is>
          <t>emishra</t>
        </is>
      </c>
      <c r="F3432" s="25" t="n">
        <v>132210</v>
      </c>
      <c r="G3432" s="25" t="n">
        <v>2</v>
      </c>
      <c r="H3432" s="25" t="n">
        <v>12</v>
      </c>
      <c r="I3432" s="25" t="inlineStr">
        <is>
          <t>2 minute(s) and 29 second(s)</t>
        </is>
      </c>
      <c r="J3432" s="25">
        <f>IFERROR(VALUE(TRIM(LEFT(I3432,FIND("minute",I3432)-1)))*60,0)+IFERROR(VALUE(SUBSTITUTE(MID(I3432,IFERROR(FIND("and",I3432)+3,1),20),"second(s)","")),0)</f>
        <v/>
      </c>
      <c r="K3432" s="41">
        <f>J3432/60</f>
        <v/>
      </c>
      <c r="L3432" s="41">
        <f>IFERROR(J3432/H3432,"")</f>
        <v/>
      </c>
      <c r="M3432" s="25" t="inlineStr">
        <is>
          <t>2.5.12</t>
        </is>
      </c>
      <c r="N3432" s="25">
        <f>IF(J3432&gt;300,1,0)</f>
        <v/>
      </c>
      <c r="O3432" s="25">
        <f>IF(J3432&gt;600,1,0)</f>
        <v/>
      </c>
      <c r="P3432" s="25">
        <f>IF(H3432&gt;0,J3432,"")</f>
        <v/>
      </c>
      <c r="Q3432" s="25">
        <f>TEXT(A3432,"YYYY-MM-DD HH")</f>
        <v/>
      </c>
      <c r="R3432" s="25">
        <f>COUNTIF($Q$2:$Q$5295,Q3432)</f>
        <v/>
      </c>
      <c r="S3432" s="25">
        <f>IF(R3432&lt;=2,"1-2",IF(R3432&lt;=5,"3-5",IF(R3432&lt;=10,"6-10","11+")))</f>
        <v/>
      </c>
    </row>
    <row r="3433">
      <c r="A3433" s="39" t="n">
        <v>46205.36814814815</v>
      </c>
      <c r="B3433" s="25">
        <f>TEXT(A3433,"YYYY-MM")</f>
        <v/>
      </c>
      <c r="C3433" s="25">
        <f>TEXT(A3433,"MMM-YYYY")</f>
        <v/>
      </c>
      <c r="D3433" s="40">
        <f>INT(A3433)-WEEKDAY(A3433,2)+1</f>
        <v/>
      </c>
      <c r="E3433" s="25" t="inlineStr">
        <is>
          <t>shassan</t>
        </is>
      </c>
      <c r="F3433" s="25" t="n">
        <v>130794</v>
      </c>
      <c r="G3433" s="25" t="n">
        <v>2</v>
      </c>
      <c r="H3433" s="25" t="n">
        <v>10</v>
      </c>
      <c r="I3433" s="25" t="inlineStr">
        <is>
          <t>5 minute(s) and 1 second(s)</t>
        </is>
      </c>
      <c r="J3433" s="25">
        <f>IFERROR(VALUE(TRIM(LEFT(I3433,FIND("minute",I3433)-1)))*60,0)+IFERROR(VALUE(SUBSTITUTE(MID(I3433,IFERROR(FIND("and",I3433)+3,1),20),"second(s)","")),0)</f>
        <v/>
      </c>
      <c r="K3433" s="41">
        <f>J3433/60</f>
        <v/>
      </c>
      <c r="L3433" s="41">
        <f>IFERROR(J3433/H3433,"")</f>
        <v/>
      </c>
      <c r="M3433" s="25" t="inlineStr">
        <is>
          <t>2.5.12</t>
        </is>
      </c>
      <c r="N3433" s="25">
        <f>IF(J3433&gt;300,1,0)</f>
        <v/>
      </c>
      <c r="O3433" s="25">
        <f>IF(J3433&gt;600,1,0)</f>
        <v/>
      </c>
      <c r="P3433" s="25">
        <f>IF(H3433&gt;0,J3433,"")</f>
        <v/>
      </c>
      <c r="Q3433" s="25">
        <f>TEXT(A3433,"YYYY-MM-DD HH")</f>
        <v/>
      </c>
      <c r="R3433" s="25">
        <f>COUNTIF($Q$2:$Q$5295,Q3433)</f>
        <v/>
      </c>
      <c r="S3433" s="25">
        <f>IF(R3433&lt;=2,"1-2",IF(R3433&lt;=5,"3-5",IF(R3433&lt;=10,"6-10","11+")))</f>
        <v/>
      </c>
    </row>
    <row r="3434">
      <c r="A3434" s="39" t="n">
        <v>46205.37520833333</v>
      </c>
      <c r="B3434" s="25">
        <f>TEXT(A3434,"YYYY-MM")</f>
        <v/>
      </c>
      <c r="C3434" s="25">
        <f>TEXT(A3434,"MMM-YYYY")</f>
        <v/>
      </c>
      <c r="D3434" s="40">
        <f>INT(A3434)-WEEKDAY(A3434,2)+1</f>
        <v/>
      </c>
      <c r="E3434" s="25" t="inlineStr">
        <is>
          <t>stiwari</t>
        </is>
      </c>
      <c r="F3434" s="25" t="n">
        <v>132761</v>
      </c>
      <c r="G3434" s="25" t="n">
        <v>1</v>
      </c>
      <c r="H3434" s="25" t="n">
        <v>5</v>
      </c>
      <c r="I3434" s="25" t="inlineStr">
        <is>
          <t>2 minute(s) and 15 second(s)</t>
        </is>
      </c>
      <c r="J3434" s="25">
        <f>IFERROR(VALUE(TRIM(LEFT(I3434,FIND("minute",I3434)-1)))*60,0)+IFERROR(VALUE(SUBSTITUTE(MID(I3434,IFERROR(FIND("and",I3434)+3,1),20),"second(s)","")),0)</f>
        <v/>
      </c>
      <c r="K3434" s="41">
        <f>J3434/60</f>
        <v/>
      </c>
      <c r="L3434" s="41">
        <f>IFERROR(J3434/H3434,"")</f>
        <v/>
      </c>
      <c r="M3434" s="25" t="inlineStr">
        <is>
          <t>2.5.12</t>
        </is>
      </c>
      <c r="N3434" s="25">
        <f>IF(J3434&gt;300,1,0)</f>
        <v/>
      </c>
      <c r="O3434" s="25">
        <f>IF(J3434&gt;600,1,0)</f>
        <v/>
      </c>
      <c r="P3434" s="25">
        <f>IF(H3434&gt;0,J3434,"")</f>
        <v/>
      </c>
      <c r="Q3434" s="25">
        <f>TEXT(A3434,"YYYY-MM-DD HH")</f>
        <v/>
      </c>
      <c r="R3434" s="25">
        <f>COUNTIF($Q$2:$Q$5295,Q3434)</f>
        <v/>
      </c>
      <c r="S3434" s="25">
        <f>IF(R3434&lt;=2,"1-2",IF(R3434&lt;=5,"3-5",IF(R3434&lt;=10,"6-10","11+")))</f>
        <v/>
      </c>
    </row>
    <row r="3435">
      <c r="A3435" s="39" t="n">
        <v>46205.37625</v>
      </c>
      <c r="B3435" s="25">
        <f>TEXT(A3435,"YYYY-MM")</f>
        <v/>
      </c>
      <c r="C3435" s="25">
        <f>TEXT(A3435,"MMM-YYYY")</f>
        <v/>
      </c>
      <c r="D3435" s="40">
        <f>INT(A3435)-WEEKDAY(A3435,2)+1</f>
        <v/>
      </c>
      <c r="E3435" s="25" t="inlineStr">
        <is>
          <t>ethomas</t>
        </is>
      </c>
      <c r="F3435" s="25" t="n">
        <v>131074</v>
      </c>
      <c r="G3435" s="25" t="n">
        <v>1</v>
      </c>
      <c r="H3435" s="25" t="n">
        <v>5</v>
      </c>
      <c r="I3435" s="25" t="inlineStr">
        <is>
          <t>1 minute(s) and 21 second(s)</t>
        </is>
      </c>
      <c r="J3435" s="25">
        <f>IFERROR(VALUE(TRIM(LEFT(I3435,FIND("minute",I3435)-1)))*60,0)+IFERROR(VALUE(SUBSTITUTE(MID(I3435,IFERROR(FIND("and",I3435)+3,1),20),"second(s)","")),0)</f>
        <v/>
      </c>
      <c r="K3435" s="41">
        <f>J3435/60</f>
        <v/>
      </c>
      <c r="L3435" s="41">
        <f>IFERROR(J3435/H3435,"")</f>
        <v/>
      </c>
      <c r="M3435" s="25" t="inlineStr">
        <is>
          <t>2.5.12</t>
        </is>
      </c>
      <c r="N3435" s="25">
        <f>IF(J3435&gt;300,1,0)</f>
        <v/>
      </c>
      <c r="O3435" s="25">
        <f>IF(J3435&gt;600,1,0)</f>
        <v/>
      </c>
      <c r="P3435" s="25">
        <f>IF(H3435&gt;0,J3435,"")</f>
        <v/>
      </c>
      <c r="Q3435" s="25">
        <f>TEXT(A3435,"YYYY-MM-DD HH")</f>
        <v/>
      </c>
      <c r="R3435" s="25">
        <f>COUNTIF($Q$2:$Q$5295,Q3435)</f>
        <v/>
      </c>
      <c r="S3435" s="25">
        <f>IF(R3435&lt;=2,"1-2",IF(R3435&lt;=5,"3-5",IF(R3435&lt;=10,"6-10","11+")))</f>
        <v/>
      </c>
    </row>
    <row r="3436">
      <c r="A3436" s="39" t="n">
        <v>46205.37803240741</v>
      </c>
      <c r="B3436" s="25">
        <f>TEXT(A3436,"YYYY-MM")</f>
        <v/>
      </c>
      <c r="C3436" s="25">
        <f>TEXT(A3436,"MMM-YYYY")</f>
        <v/>
      </c>
      <c r="D3436" s="40">
        <f>INT(A3436)-WEEKDAY(A3436,2)+1</f>
        <v/>
      </c>
      <c r="E3436" s="25" t="inlineStr">
        <is>
          <t>sdey</t>
        </is>
      </c>
      <c r="F3436" s="25" t="n">
        <v>131722</v>
      </c>
      <c r="G3436" s="25" t="n">
        <v>4</v>
      </c>
      <c r="H3436" s="25" t="n">
        <v>14</v>
      </c>
      <c r="I3436" s="25" t="inlineStr">
        <is>
          <t>5 minute(s) and 18 second(s)</t>
        </is>
      </c>
      <c r="J3436" s="25">
        <f>IFERROR(VALUE(TRIM(LEFT(I3436,FIND("minute",I3436)-1)))*60,0)+IFERROR(VALUE(SUBSTITUTE(MID(I3436,IFERROR(FIND("and",I3436)+3,1),20),"second(s)","")),0)</f>
        <v/>
      </c>
      <c r="K3436" s="41">
        <f>J3436/60</f>
        <v/>
      </c>
      <c r="L3436" s="41">
        <f>IFERROR(J3436/H3436,"")</f>
        <v/>
      </c>
      <c r="M3436" s="25" t="inlineStr">
        <is>
          <t>2.5.12</t>
        </is>
      </c>
      <c r="N3436" s="25">
        <f>IF(J3436&gt;300,1,0)</f>
        <v/>
      </c>
      <c r="O3436" s="25">
        <f>IF(J3436&gt;600,1,0)</f>
        <v/>
      </c>
      <c r="P3436" s="25">
        <f>IF(H3436&gt;0,J3436,"")</f>
        <v/>
      </c>
      <c r="Q3436" s="25">
        <f>TEXT(A3436,"YYYY-MM-DD HH")</f>
        <v/>
      </c>
      <c r="R3436" s="25">
        <f>COUNTIF($Q$2:$Q$5295,Q3436)</f>
        <v/>
      </c>
      <c r="S3436" s="25">
        <f>IF(R3436&lt;=2,"1-2",IF(R3436&lt;=5,"3-5",IF(R3436&lt;=10,"6-10","11+")))</f>
        <v/>
      </c>
    </row>
    <row r="3437">
      <c r="A3437" s="39" t="n">
        <v>46205.38159722222</v>
      </c>
      <c r="B3437" s="25">
        <f>TEXT(A3437,"YYYY-MM")</f>
        <v/>
      </c>
      <c r="C3437" s="25">
        <f>TEXT(A3437,"MMM-YYYY")</f>
        <v/>
      </c>
      <c r="D3437" s="40">
        <f>INT(A3437)-WEEKDAY(A3437,2)+1</f>
        <v/>
      </c>
      <c r="E3437" s="25" t="inlineStr">
        <is>
          <t>apriyadarshi</t>
        </is>
      </c>
      <c r="F3437" s="25" t="n">
        <v>132434</v>
      </c>
      <c r="G3437" s="25" t="n">
        <v>2</v>
      </c>
      <c r="H3437" s="25" t="n">
        <v>8</v>
      </c>
      <c r="I3437" s="25" t="inlineStr">
        <is>
          <t>1 minute(s) and 39 second(s)</t>
        </is>
      </c>
      <c r="J3437" s="25">
        <f>IFERROR(VALUE(TRIM(LEFT(I3437,FIND("minute",I3437)-1)))*60,0)+IFERROR(VALUE(SUBSTITUTE(MID(I3437,IFERROR(FIND("and",I3437)+3,1),20),"second(s)","")),0)</f>
        <v/>
      </c>
      <c r="K3437" s="41">
        <f>J3437/60</f>
        <v/>
      </c>
      <c r="L3437" s="41">
        <f>IFERROR(J3437/H3437,"")</f>
        <v/>
      </c>
      <c r="M3437" s="25" t="inlineStr">
        <is>
          <t>2.5.12</t>
        </is>
      </c>
      <c r="N3437" s="25">
        <f>IF(J3437&gt;300,1,0)</f>
        <v/>
      </c>
      <c r="O3437" s="25">
        <f>IF(J3437&gt;600,1,0)</f>
        <v/>
      </c>
      <c r="P3437" s="25">
        <f>IF(H3437&gt;0,J3437,"")</f>
        <v/>
      </c>
      <c r="Q3437" s="25">
        <f>TEXT(A3437,"YYYY-MM-DD HH")</f>
        <v/>
      </c>
      <c r="R3437" s="25">
        <f>COUNTIF($Q$2:$Q$5295,Q3437)</f>
        <v/>
      </c>
      <c r="S3437" s="25">
        <f>IF(R3437&lt;=2,"1-2",IF(R3437&lt;=5,"3-5",IF(R3437&lt;=10,"6-10","11+")))</f>
        <v/>
      </c>
    </row>
    <row r="3438">
      <c r="A3438" s="39" t="n">
        <v>46205.38483796296</v>
      </c>
      <c r="B3438" s="25">
        <f>TEXT(A3438,"YYYY-MM")</f>
        <v/>
      </c>
      <c r="C3438" s="25">
        <f>TEXT(A3438,"MMM-YYYY")</f>
        <v/>
      </c>
      <c r="D3438" s="40">
        <f>INT(A3438)-WEEKDAY(A3438,2)+1</f>
        <v/>
      </c>
      <c r="E3438" s="25" t="inlineStr">
        <is>
          <t>ssaha</t>
        </is>
      </c>
      <c r="F3438" s="25" t="n">
        <v>129949</v>
      </c>
      <c r="G3438" s="25" t="n">
        <v>2</v>
      </c>
      <c r="H3438" s="25" t="n">
        <v>8</v>
      </c>
      <c r="I3438" s="25" t="inlineStr">
        <is>
          <t>4 minute(s) and 50 second(s)</t>
        </is>
      </c>
      <c r="J3438" s="25">
        <f>IFERROR(VALUE(TRIM(LEFT(I3438,FIND("minute",I3438)-1)))*60,0)+IFERROR(VALUE(SUBSTITUTE(MID(I3438,IFERROR(FIND("and",I3438)+3,1),20),"second(s)","")),0)</f>
        <v/>
      </c>
      <c r="K3438" s="41">
        <f>J3438/60</f>
        <v/>
      </c>
      <c r="L3438" s="41">
        <f>IFERROR(J3438/H3438,"")</f>
        <v/>
      </c>
      <c r="M3438" s="25" t="inlineStr">
        <is>
          <t>2.5.12</t>
        </is>
      </c>
      <c r="N3438" s="25">
        <f>IF(J3438&gt;300,1,0)</f>
        <v/>
      </c>
      <c r="O3438" s="25">
        <f>IF(J3438&gt;600,1,0)</f>
        <v/>
      </c>
      <c r="P3438" s="25">
        <f>IF(H3438&gt;0,J3438,"")</f>
        <v/>
      </c>
      <c r="Q3438" s="25">
        <f>TEXT(A3438,"YYYY-MM-DD HH")</f>
        <v/>
      </c>
      <c r="R3438" s="25">
        <f>COUNTIF($Q$2:$Q$5295,Q3438)</f>
        <v/>
      </c>
      <c r="S3438" s="25">
        <f>IF(R3438&lt;=2,"1-2",IF(R3438&lt;=5,"3-5",IF(R3438&lt;=10,"6-10","11+")))</f>
        <v/>
      </c>
    </row>
    <row r="3439">
      <c r="A3439" s="39" t="n">
        <v>46205.38907407408</v>
      </c>
      <c r="B3439" s="25">
        <f>TEXT(A3439,"YYYY-MM")</f>
        <v/>
      </c>
      <c r="C3439" s="25">
        <f>TEXT(A3439,"MMM-YYYY")</f>
        <v/>
      </c>
      <c r="D3439" s="40">
        <f>INT(A3439)-WEEKDAY(A3439,2)+1</f>
        <v/>
      </c>
      <c r="E3439" s="25" t="inlineStr">
        <is>
          <t>vprasad</t>
        </is>
      </c>
      <c r="F3439" s="25" t="n">
        <v>121270</v>
      </c>
      <c r="G3439" s="25" t="n">
        <v>3</v>
      </c>
      <c r="H3439" s="25" t="n">
        <v>11</v>
      </c>
      <c r="I3439" s="25" t="inlineStr">
        <is>
          <t>5 minute(s) and 42 second(s)</t>
        </is>
      </c>
      <c r="J3439" s="25">
        <f>IFERROR(VALUE(TRIM(LEFT(I3439,FIND("minute",I3439)-1)))*60,0)+IFERROR(VALUE(SUBSTITUTE(MID(I3439,IFERROR(FIND("and",I3439)+3,1),20),"second(s)","")),0)</f>
        <v/>
      </c>
      <c r="K3439" s="41">
        <f>J3439/60</f>
        <v/>
      </c>
      <c r="L3439" s="41">
        <f>IFERROR(J3439/H3439,"")</f>
        <v/>
      </c>
      <c r="M3439" s="25" t="inlineStr">
        <is>
          <t>2.5.12</t>
        </is>
      </c>
      <c r="N3439" s="25">
        <f>IF(J3439&gt;300,1,0)</f>
        <v/>
      </c>
      <c r="O3439" s="25">
        <f>IF(J3439&gt;600,1,0)</f>
        <v/>
      </c>
      <c r="P3439" s="25">
        <f>IF(H3439&gt;0,J3439,"")</f>
        <v/>
      </c>
      <c r="Q3439" s="25">
        <f>TEXT(A3439,"YYYY-MM-DD HH")</f>
        <v/>
      </c>
      <c r="R3439" s="25">
        <f>COUNTIF($Q$2:$Q$5295,Q3439)</f>
        <v/>
      </c>
      <c r="S3439" s="25">
        <f>IF(R3439&lt;=2,"1-2",IF(R3439&lt;=5,"3-5",IF(R3439&lt;=10,"6-10","11+")))</f>
        <v/>
      </c>
    </row>
    <row r="3440">
      <c r="A3440" s="39" t="n">
        <v>46205.39060185185</v>
      </c>
      <c r="B3440" s="25">
        <f>TEXT(A3440,"YYYY-MM")</f>
        <v/>
      </c>
      <c r="C3440" s="25">
        <f>TEXT(A3440,"MMM-YYYY")</f>
        <v/>
      </c>
      <c r="D3440" s="40">
        <f>INT(A3440)-WEEKDAY(A3440,2)+1</f>
        <v/>
      </c>
      <c r="E3440" s="25" t="inlineStr">
        <is>
          <t>aghosh</t>
        </is>
      </c>
      <c r="F3440" s="25" t="n">
        <v>131517</v>
      </c>
      <c r="G3440" s="25" t="n">
        <v>4</v>
      </c>
      <c r="H3440" s="25" t="n">
        <v>14</v>
      </c>
      <c r="I3440" s="25" t="inlineStr">
        <is>
          <t>3 minute(s) and 46 second(s)</t>
        </is>
      </c>
      <c r="J3440" s="25">
        <f>IFERROR(VALUE(TRIM(LEFT(I3440,FIND("minute",I3440)-1)))*60,0)+IFERROR(VALUE(SUBSTITUTE(MID(I3440,IFERROR(FIND("and",I3440)+3,1),20),"second(s)","")),0)</f>
        <v/>
      </c>
      <c r="K3440" s="41">
        <f>J3440/60</f>
        <v/>
      </c>
      <c r="L3440" s="41">
        <f>IFERROR(J3440/H3440,"")</f>
        <v/>
      </c>
      <c r="M3440" s="25" t="inlineStr">
        <is>
          <t>2.5.12</t>
        </is>
      </c>
      <c r="N3440" s="25">
        <f>IF(J3440&gt;300,1,0)</f>
        <v/>
      </c>
      <c r="O3440" s="25">
        <f>IF(J3440&gt;600,1,0)</f>
        <v/>
      </c>
      <c r="P3440" s="25">
        <f>IF(H3440&gt;0,J3440,"")</f>
        <v/>
      </c>
      <c r="Q3440" s="25">
        <f>TEXT(A3440,"YYYY-MM-DD HH")</f>
        <v/>
      </c>
      <c r="R3440" s="25">
        <f>COUNTIF($Q$2:$Q$5295,Q3440)</f>
        <v/>
      </c>
      <c r="S3440" s="25">
        <f>IF(R3440&lt;=2,"1-2",IF(R3440&lt;=5,"3-5",IF(R3440&lt;=10,"6-10","11+")))</f>
        <v/>
      </c>
    </row>
    <row r="3441">
      <c r="A3441" s="39" t="n">
        <v>46205.39109953704</v>
      </c>
      <c r="B3441" s="25">
        <f>TEXT(A3441,"YYYY-MM")</f>
        <v/>
      </c>
      <c r="C3441" s="25">
        <f>TEXT(A3441,"MMM-YYYY")</f>
        <v/>
      </c>
      <c r="D3441" s="40">
        <f>INT(A3441)-WEEKDAY(A3441,2)+1</f>
        <v/>
      </c>
      <c r="E3441" s="25" t="inlineStr">
        <is>
          <t>tkarmakar</t>
        </is>
      </c>
      <c r="F3441" s="25" t="n">
        <v>130834</v>
      </c>
      <c r="G3441" s="25" t="n">
        <v>4</v>
      </c>
      <c r="H3441" s="25" t="n">
        <v>16</v>
      </c>
      <c r="I3441" s="25" t="inlineStr">
        <is>
          <t>4 minute(s) and 4 second(s)</t>
        </is>
      </c>
      <c r="J3441" s="25">
        <f>IFERROR(VALUE(TRIM(LEFT(I3441,FIND("minute",I3441)-1)))*60,0)+IFERROR(VALUE(SUBSTITUTE(MID(I3441,IFERROR(FIND("and",I3441)+3,1),20),"second(s)","")),0)</f>
        <v/>
      </c>
      <c r="K3441" s="41">
        <f>J3441/60</f>
        <v/>
      </c>
      <c r="L3441" s="41">
        <f>IFERROR(J3441/H3441,"")</f>
        <v/>
      </c>
      <c r="M3441" s="25" t="inlineStr">
        <is>
          <t>2.5.12</t>
        </is>
      </c>
      <c r="N3441" s="25">
        <f>IF(J3441&gt;300,1,0)</f>
        <v/>
      </c>
      <c r="O3441" s="25">
        <f>IF(J3441&gt;600,1,0)</f>
        <v/>
      </c>
      <c r="P3441" s="25">
        <f>IF(H3441&gt;0,J3441,"")</f>
        <v/>
      </c>
      <c r="Q3441" s="25">
        <f>TEXT(A3441,"YYYY-MM-DD HH")</f>
        <v/>
      </c>
      <c r="R3441" s="25">
        <f>COUNTIF($Q$2:$Q$5295,Q3441)</f>
        <v/>
      </c>
      <c r="S3441" s="25">
        <f>IF(R3441&lt;=2,"1-2",IF(R3441&lt;=5,"3-5",IF(R3441&lt;=10,"6-10","11+")))</f>
        <v/>
      </c>
    </row>
    <row r="3442">
      <c r="A3442" s="39" t="n">
        <v>46205.39296296296</v>
      </c>
      <c r="B3442" s="25">
        <f>TEXT(A3442,"YYYY-MM")</f>
        <v/>
      </c>
      <c r="C3442" s="25">
        <f>TEXT(A3442,"MMM-YYYY")</f>
        <v/>
      </c>
      <c r="D3442" s="40">
        <f>INT(A3442)-WEEKDAY(A3442,2)+1</f>
        <v/>
      </c>
      <c r="E3442" s="25" t="inlineStr">
        <is>
          <t>mgupta</t>
        </is>
      </c>
      <c r="F3442" s="25" t="n">
        <v>129245</v>
      </c>
      <c r="G3442" s="25" t="n">
        <v>4</v>
      </c>
      <c r="H3442" s="25" t="n">
        <v>20</v>
      </c>
      <c r="I3442" s="25" t="inlineStr">
        <is>
          <t>7 minute(s) and 55 second(s)</t>
        </is>
      </c>
      <c r="J3442" s="25">
        <f>IFERROR(VALUE(TRIM(LEFT(I3442,FIND("minute",I3442)-1)))*60,0)+IFERROR(VALUE(SUBSTITUTE(MID(I3442,IFERROR(FIND("and",I3442)+3,1),20),"second(s)","")),0)</f>
        <v/>
      </c>
      <c r="K3442" s="41">
        <f>J3442/60</f>
        <v/>
      </c>
      <c r="L3442" s="41">
        <f>IFERROR(J3442/H3442,"")</f>
        <v/>
      </c>
      <c r="M3442" s="25" t="inlineStr">
        <is>
          <t>2.5.12</t>
        </is>
      </c>
      <c r="N3442" s="25">
        <f>IF(J3442&gt;300,1,0)</f>
        <v/>
      </c>
      <c r="O3442" s="25">
        <f>IF(J3442&gt;600,1,0)</f>
        <v/>
      </c>
      <c r="P3442" s="25">
        <f>IF(H3442&gt;0,J3442,"")</f>
        <v/>
      </c>
      <c r="Q3442" s="25">
        <f>TEXT(A3442,"YYYY-MM-DD HH")</f>
        <v/>
      </c>
      <c r="R3442" s="25">
        <f>COUNTIF($Q$2:$Q$5295,Q3442)</f>
        <v/>
      </c>
      <c r="S3442" s="25">
        <f>IF(R3442&lt;=2,"1-2",IF(R3442&lt;=5,"3-5",IF(R3442&lt;=10,"6-10","11+")))</f>
        <v/>
      </c>
    </row>
    <row r="3443">
      <c r="A3443" s="39" t="n">
        <v>46205.40868055556</v>
      </c>
      <c r="B3443" s="25">
        <f>TEXT(A3443,"YYYY-MM")</f>
        <v/>
      </c>
      <c r="C3443" s="25">
        <f>TEXT(A3443,"MMM-YYYY")</f>
        <v/>
      </c>
      <c r="D3443" s="40">
        <f>INT(A3443)-WEEKDAY(A3443,2)+1</f>
        <v/>
      </c>
      <c r="E3443" s="25" t="inlineStr">
        <is>
          <t>ssarkar</t>
        </is>
      </c>
      <c r="F3443" s="25" t="n">
        <v>132610</v>
      </c>
      <c r="G3443" s="25" t="n">
        <v>4</v>
      </c>
      <c r="H3443" s="25" t="n">
        <v>24</v>
      </c>
      <c r="I3443" s="25" t="inlineStr">
        <is>
          <t>8 minute(s) and 30 second(s)</t>
        </is>
      </c>
      <c r="J3443" s="25">
        <f>IFERROR(VALUE(TRIM(LEFT(I3443,FIND("minute",I3443)-1)))*60,0)+IFERROR(VALUE(SUBSTITUTE(MID(I3443,IFERROR(FIND("and",I3443)+3,1),20),"second(s)","")),0)</f>
        <v/>
      </c>
      <c r="K3443" s="41">
        <f>J3443/60</f>
        <v/>
      </c>
      <c r="L3443" s="41">
        <f>IFERROR(J3443/H3443,"")</f>
        <v/>
      </c>
      <c r="M3443" s="25" t="inlineStr">
        <is>
          <t>2.5.12</t>
        </is>
      </c>
      <c r="N3443" s="25">
        <f>IF(J3443&gt;300,1,0)</f>
        <v/>
      </c>
      <c r="O3443" s="25">
        <f>IF(J3443&gt;600,1,0)</f>
        <v/>
      </c>
      <c r="P3443" s="25">
        <f>IF(H3443&gt;0,J3443,"")</f>
        <v/>
      </c>
      <c r="Q3443" s="25">
        <f>TEXT(A3443,"YYYY-MM-DD HH")</f>
        <v/>
      </c>
      <c r="R3443" s="25">
        <f>COUNTIF($Q$2:$Q$5295,Q3443)</f>
        <v/>
      </c>
      <c r="S3443" s="25">
        <f>IF(R3443&lt;=2,"1-2",IF(R3443&lt;=5,"3-5",IF(R3443&lt;=10,"6-10","11+")))</f>
        <v/>
      </c>
    </row>
    <row r="3444">
      <c r="A3444" s="39" t="n">
        <v>46205.42341435186</v>
      </c>
      <c r="B3444" s="25">
        <f>TEXT(A3444,"YYYY-MM")</f>
        <v/>
      </c>
      <c r="C3444" s="25">
        <f>TEXT(A3444,"MMM-YYYY")</f>
        <v/>
      </c>
      <c r="D3444" s="40">
        <f>INT(A3444)-WEEKDAY(A3444,2)+1</f>
        <v/>
      </c>
      <c r="E3444" s="25" t="inlineStr">
        <is>
          <t>pgautam</t>
        </is>
      </c>
      <c r="F3444" s="25" t="n">
        <v>129841</v>
      </c>
      <c r="G3444" s="25" t="n">
        <v>5</v>
      </c>
      <c r="H3444" s="25" t="n">
        <v>15</v>
      </c>
      <c r="I3444" s="25" t="inlineStr">
        <is>
          <t>6 minute(s) and 4 second(s)</t>
        </is>
      </c>
      <c r="J3444" s="25">
        <f>IFERROR(VALUE(TRIM(LEFT(I3444,FIND("minute",I3444)-1)))*60,0)+IFERROR(VALUE(SUBSTITUTE(MID(I3444,IFERROR(FIND("and",I3444)+3,1),20),"second(s)","")),0)</f>
        <v/>
      </c>
      <c r="K3444" s="41">
        <f>J3444/60</f>
        <v/>
      </c>
      <c r="L3444" s="41">
        <f>IFERROR(J3444/H3444,"")</f>
        <v/>
      </c>
      <c r="M3444" s="25" t="inlineStr">
        <is>
          <t>2.5.12</t>
        </is>
      </c>
      <c r="N3444" s="25">
        <f>IF(J3444&gt;300,1,0)</f>
        <v/>
      </c>
      <c r="O3444" s="25">
        <f>IF(J3444&gt;600,1,0)</f>
        <v/>
      </c>
      <c r="P3444" s="25">
        <f>IF(H3444&gt;0,J3444,"")</f>
        <v/>
      </c>
      <c r="Q3444" s="25">
        <f>TEXT(A3444,"YYYY-MM-DD HH")</f>
        <v/>
      </c>
      <c r="R3444" s="25">
        <f>COUNTIF($Q$2:$Q$5295,Q3444)</f>
        <v/>
      </c>
      <c r="S3444" s="25">
        <f>IF(R3444&lt;=2,"1-2",IF(R3444&lt;=5,"3-5",IF(R3444&lt;=10,"6-10","11+")))</f>
        <v/>
      </c>
    </row>
    <row r="3445">
      <c r="A3445" s="39" t="n">
        <v>46205.43439814815</v>
      </c>
      <c r="B3445" s="25">
        <f>TEXT(A3445,"YYYY-MM")</f>
        <v/>
      </c>
      <c r="C3445" s="25">
        <f>TEXT(A3445,"MMM-YYYY")</f>
        <v/>
      </c>
      <c r="D3445" s="40">
        <f>INT(A3445)-WEEKDAY(A3445,2)+1</f>
        <v/>
      </c>
      <c r="E3445" s="25" t="inlineStr">
        <is>
          <t>ssaha</t>
        </is>
      </c>
      <c r="F3445" s="25" t="n">
        <v>130837</v>
      </c>
      <c r="G3445" s="25" t="n">
        <v>2</v>
      </c>
      <c r="H3445" s="25" t="n">
        <v>8</v>
      </c>
      <c r="I3445" s="25" t="inlineStr">
        <is>
          <t>1 minute(s) and 53 second(s)</t>
        </is>
      </c>
      <c r="J3445" s="25">
        <f>IFERROR(VALUE(TRIM(LEFT(I3445,FIND("minute",I3445)-1)))*60,0)+IFERROR(VALUE(SUBSTITUTE(MID(I3445,IFERROR(FIND("and",I3445)+3,1),20),"second(s)","")),0)</f>
        <v/>
      </c>
      <c r="K3445" s="41">
        <f>J3445/60</f>
        <v/>
      </c>
      <c r="L3445" s="41">
        <f>IFERROR(J3445/H3445,"")</f>
        <v/>
      </c>
      <c r="M3445" s="25" t="inlineStr">
        <is>
          <t>2.5.12</t>
        </is>
      </c>
      <c r="N3445" s="25">
        <f>IF(J3445&gt;300,1,0)</f>
        <v/>
      </c>
      <c r="O3445" s="25">
        <f>IF(J3445&gt;600,1,0)</f>
        <v/>
      </c>
      <c r="P3445" s="25">
        <f>IF(H3445&gt;0,J3445,"")</f>
        <v/>
      </c>
      <c r="Q3445" s="25">
        <f>TEXT(A3445,"YYYY-MM-DD HH")</f>
        <v/>
      </c>
      <c r="R3445" s="25">
        <f>COUNTIF($Q$2:$Q$5295,Q3445)</f>
        <v/>
      </c>
      <c r="S3445" s="25">
        <f>IF(R3445&lt;=2,"1-2",IF(R3445&lt;=5,"3-5",IF(R3445&lt;=10,"6-10","11+")))</f>
        <v/>
      </c>
    </row>
    <row r="3446">
      <c r="A3446" s="39" t="n">
        <v>46205.44825231482</v>
      </c>
      <c r="B3446" s="25">
        <f>TEXT(A3446,"YYYY-MM")</f>
        <v/>
      </c>
      <c r="C3446" s="25">
        <f>TEXT(A3446,"MMM-YYYY")</f>
        <v/>
      </c>
      <c r="D3446" s="40">
        <f>INT(A3446)-WEEKDAY(A3446,2)+1</f>
        <v/>
      </c>
      <c r="E3446" s="25" t="inlineStr">
        <is>
          <t>tkarmakar</t>
        </is>
      </c>
      <c r="F3446" s="25" t="n">
        <v>132545</v>
      </c>
      <c r="G3446" s="25" t="n">
        <v>4</v>
      </c>
      <c r="H3446" s="25" t="n">
        <v>18</v>
      </c>
      <c r="I3446" s="25" t="inlineStr">
        <is>
          <t>4 minute(s) and 56 second(s)</t>
        </is>
      </c>
      <c r="J3446" s="25">
        <f>IFERROR(VALUE(TRIM(LEFT(I3446,FIND("minute",I3446)-1)))*60,0)+IFERROR(VALUE(SUBSTITUTE(MID(I3446,IFERROR(FIND("and",I3446)+3,1),20),"second(s)","")),0)</f>
        <v/>
      </c>
      <c r="K3446" s="41">
        <f>J3446/60</f>
        <v/>
      </c>
      <c r="L3446" s="41">
        <f>IFERROR(J3446/H3446,"")</f>
        <v/>
      </c>
      <c r="M3446" s="25" t="inlineStr">
        <is>
          <t>2.5.12</t>
        </is>
      </c>
      <c r="N3446" s="25">
        <f>IF(J3446&gt;300,1,0)</f>
        <v/>
      </c>
      <c r="O3446" s="25">
        <f>IF(J3446&gt;600,1,0)</f>
        <v/>
      </c>
      <c r="P3446" s="25">
        <f>IF(H3446&gt;0,J3446,"")</f>
        <v/>
      </c>
      <c r="Q3446" s="25">
        <f>TEXT(A3446,"YYYY-MM-DD HH")</f>
        <v/>
      </c>
      <c r="R3446" s="25">
        <f>COUNTIF($Q$2:$Q$5295,Q3446)</f>
        <v/>
      </c>
      <c r="S3446" s="25">
        <f>IF(R3446&lt;=2,"1-2",IF(R3446&lt;=5,"3-5",IF(R3446&lt;=10,"6-10","11+")))</f>
        <v/>
      </c>
    </row>
    <row r="3447">
      <c r="A3447" s="39" t="n">
        <v>46205.45434027778</v>
      </c>
      <c r="B3447" s="25">
        <f>TEXT(A3447,"YYYY-MM")</f>
        <v/>
      </c>
      <c r="C3447" s="25">
        <f>TEXT(A3447,"MMM-YYYY")</f>
        <v/>
      </c>
      <c r="D3447" s="40">
        <f>INT(A3447)-WEEKDAY(A3447,2)+1</f>
        <v/>
      </c>
      <c r="E3447" s="25" t="inlineStr">
        <is>
          <t>sthomas</t>
        </is>
      </c>
      <c r="F3447" s="25" t="n">
        <v>128557</v>
      </c>
      <c r="G3447" s="25" t="n">
        <v>3</v>
      </c>
      <c r="H3447" s="25" t="n">
        <v>17</v>
      </c>
      <c r="I3447" s="25" t="inlineStr">
        <is>
          <t>5 minute(s) and 16 second(s)</t>
        </is>
      </c>
      <c r="J3447" s="25">
        <f>IFERROR(VALUE(TRIM(LEFT(I3447,FIND("minute",I3447)-1)))*60,0)+IFERROR(VALUE(SUBSTITUTE(MID(I3447,IFERROR(FIND("and",I3447)+3,1),20),"second(s)","")),0)</f>
        <v/>
      </c>
      <c r="K3447" s="41">
        <f>J3447/60</f>
        <v/>
      </c>
      <c r="L3447" s="41">
        <f>IFERROR(J3447/H3447,"")</f>
        <v/>
      </c>
      <c r="M3447" s="25" t="inlineStr">
        <is>
          <t>2.5.12</t>
        </is>
      </c>
      <c r="N3447" s="25">
        <f>IF(J3447&gt;300,1,0)</f>
        <v/>
      </c>
      <c r="O3447" s="25">
        <f>IF(J3447&gt;600,1,0)</f>
        <v/>
      </c>
      <c r="P3447" s="25">
        <f>IF(H3447&gt;0,J3447,"")</f>
        <v/>
      </c>
      <c r="Q3447" s="25">
        <f>TEXT(A3447,"YYYY-MM-DD HH")</f>
        <v/>
      </c>
      <c r="R3447" s="25">
        <f>COUNTIF($Q$2:$Q$5295,Q3447)</f>
        <v/>
      </c>
      <c r="S3447" s="25">
        <f>IF(R3447&lt;=2,"1-2",IF(R3447&lt;=5,"3-5",IF(R3447&lt;=10,"6-10","11+")))</f>
        <v/>
      </c>
    </row>
    <row r="3448">
      <c r="A3448" s="39" t="n">
        <v>46205.4730324074</v>
      </c>
      <c r="B3448" s="25">
        <f>TEXT(A3448,"YYYY-MM")</f>
        <v/>
      </c>
      <c r="C3448" s="25">
        <f>TEXT(A3448,"MMM-YYYY")</f>
        <v/>
      </c>
      <c r="D3448" s="40">
        <f>INT(A3448)-WEEKDAY(A3448,2)+1</f>
        <v/>
      </c>
      <c r="E3448" s="25" t="inlineStr">
        <is>
          <t>vprasad</t>
        </is>
      </c>
      <c r="F3448" s="25" t="n">
        <v>121271</v>
      </c>
      <c r="G3448" s="25" t="n">
        <v>2</v>
      </c>
      <c r="H3448" s="25" t="n">
        <v>8</v>
      </c>
      <c r="I3448" s="25" t="inlineStr">
        <is>
          <t>3 minute(s) and 48 second(s)</t>
        </is>
      </c>
      <c r="J3448" s="25">
        <f>IFERROR(VALUE(TRIM(LEFT(I3448,FIND("minute",I3448)-1)))*60,0)+IFERROR(VALUE(SUBSTITUTE(MID(I3448,IFERROR(FIND("and",I3448)+3,1),20),"second(s)","")),0)</f>
        <v/>
      </c>
      <c r="K3448" s="41">
        <f>J3448/60</f>
        <v/>
      </c>
      <c r="L3448" s="41">
        <f>IFERROR(J3448/H3448,"")</f>
        <v/>
      </c>
      <c r="M3448" s="25" t="inlineStr">
        <is>
          <t>2.5.12</t>
        </is>
      </c>
      <c r="N3448" s="25">
        <f>IF(J3448&gt;300,1,0)</f>
        <v/>
      </c>
      <c r="O3448" s="25">
        <f>IF(J3448&gt;600,1,0)</f>
        <v/>
      </c>
      <c r="P3448" s="25">
        <f>IF(H3448&gt;0,J3448,"")</f>
        <v/>
      </c>
      <c r="Q3448" s="25">
        <f>TEXT(A3448,"YYYY-MM-DD HH")</f>
        <v/>
      </c>
      <c r="R3448" s="25">
        <f>COUNTIF($Q$2:$Q$5295,Q3448)</f>
        <v/>
      </c>
      <c r="S3448" s="25">
        <f>IF(R3448&lt;=2,"1-2",IF(R3448&lt;=5,"3-5",IF(R3448&lt;=10,"6-10","11+")))</f>
        <v/>
      </c>
    </row>
    <row r="3449">
      <c r="A3449" s="39" t="n">
        <v>46205.47686342592</v>
      </c>
      <c r="B3449" s="25">
        <f>TEXT(A3449,"YYYY-MM")</f>
        <v/>
      </c>
      <c r="C3449" s="25">
        <f>TEXT(A3449,"MMM-YYYY")</f>
        <v/>
      </c>
      <c r="D3449" s="40">
        <f>INT(A3449)-WEEKDAY(A3449,2)+1</f>
        <v/>
      </c>
      <c r="E3449" s="25" t="inlineStr">
        <is>
          <t>aghosh</t>
        </is>
      </c>
      <c r="F3449" s="25" t="n">
        <v>130725</v>
      </c>
      <c r="G3449" s="25" t="n">
        <v>2</v>
      </c>
      <c r="H3449" s="25" t="n">
        <v>6</v>
      </c>
      <c r="I3449" s="25" t="inlineStr">
        <is>
          <t>3 minute(s) and 5 second(s)</t>
        </is>
      </c>
      <c r="J3449" s="25">
        <f>IFERROR(VALUE(TRIM(LEFT(I3449,FIND("minute",I3449)-1)))*60,0)+IFERROR(VALUE(SUBSTITUTE(MID(I3449,IFERROR(FIND("and",I3449)+3,1),20),"second(s)","")),0)</f>
        <v/>
      </c>
      <c r="K3449" s="41">
        <f>J3449/60</f>
        <v/>
      </c>
      <c r="L3449" s="41">
        <f>IFERROR(J3449/H3449,"")</f>
        <v/>
      </c>
      <c r="M3449" s="25" t="inlineStr">
        <is>
          <t>2.5.12</t>
        </is>
      </c>
      <c r="N3449" s="25">
        <f>IF(J3449&gt;300,1,0)</f>
        <v/>
      </c>
      <c r="O3449" s="25">
        <f>IF(J3449&gt;600,1,0)</f>
        <v/>
      </c>
      <c r="P3449" s="25">
        <f>IF(H3449&gt;0,J3449,"")</f>
        <v/>
      </c>
      <c r="Q3449" s="25">
        <f>TEXT(A3449,"YYYY-MM-DD HH")</f>
        <v/>
      </c>
      <c r="R3449" s="25">
        <f>COUNTIF($Q$2:$Q$5295,Q3449)</f>
        <v/>
      </c>
      <c r="S3449" s="25">
        <f>IF(R3449&lt;=2,"1-2",IF(R3449&lt;=5,"3-5",IF(R3449&lt;=10,"6-10","11+")))</f>
        <v/>
      </c>
    </row>
    <row r="3450">
      <c r="A3450" s="39" t="n">
        <v>46205.48429398148</v>
      </c>
      <c r="B3450" s="25">
        <f>TEXT(A3450,"YYYY-MM")</f>
        <v/>
      </c>
      <c r="C3450" s="25">
        <f>TEXT(A3450,"MMM-YYYY")</f>
        <v/>
      </c>
      <c r="D3450" s="40">
        <f>INT(A3450)-WEEKDAY(A3450,2)+1</f>
        <v/>
      </c>
      <c r="E3450" s="25" t="inlineStr">
        <is>
          <t>psathwika</t>
        </is>
      </c>
      <c r="F3450" s="25" t="n">
        <v>127865</v>
      </c>
      <c r="G3450" s="25" t="n">
        <v>2</v>
      </c>
      <c r="H3450" s="25" t="n">
        <v>10</v>
      </c>
      <c r="I3450" s="25" t="inlineStr">
        <is>
          <t>5 minute(s) and 24 second(s)</t>
        </is>
      </c>
      <c r="J3450" s="25">
        <f>IFERROR(VALUE(TRIM(LEFT(I3450,FIND("minute",I3450)-1)))*60,0)+IFERROR(VALUE(SUBSTITUTE(MID(I3450,IFERROR(FIND("and",I3450)+3,1),20),"second(s)","")),0)</f>
        <v/>
      </c>
      <c r="K3450" s="41">
        <f>J3450/60</f>
        <v/>
      </c>
      <c r="L3450" s="41">
        <f>IFERROR(J3450/H3450,"")</f>
        <v/>
      </c>
      <c r="M3450" s="25" t="inlineStr">
        <is>
          <t>2.5.12</t>
        </is>
      </c>
      <c r="N3450" s="25">
        <f>IF(J3450&gt;300,1,0)</f>
        <v/>
      </c>
      <c r="O3450" s="25">
        <f>IF(J3450&gt;600,1,0)</f>
        <v/>
      </c>
      <c r="P3450" s="25">
        <f>IF(H3450&gt;0,J3450,"")</f>
        <v/>
      </c>
      <c r="Q3450" s="25">
        <f>TEXT(A3450,"YYYY-MM-DD HH")</f>
        <v/>
      </c>
      <c r="R3450" s="25">
        <f>COUNTIF($Q$2:$Q$5295,Q3450)</f>
        <v/>
      </c>
      <c r="S3450" s="25">
        <f>IF(R3450&lt;=2,"1-2",IF(R3450&lt;=5,"3-5",IF(R3450&lt;=10,"6-10","11+")))</f>
        <v/>
      </c>
    </row>
    <row r="3451">
      <c r="A3451" s="39" t="n">
        <v>46205.48690972223</v>
      </c>
      <c r="B3451" s="25">
        <f>TEXT(A3451,"YYYY-MM")</f>
        <v/>
      </c>
      <c r="C3451" s="25">
        <f>TEXT(A3451,"MMM-YYYY")</f>
        <v/>
      </c>
      <c r="D3451" s="40">
        <f>INT(A3451)-WEEKDAY(A3451,2)+1</f>
        <v/>
      </c>
      <c r="E3451" s="25" t="inlineStr">
        <is>
          <t>ssarkar</t>
        </is>
      </c>
      <c r="F3451" s="25" t="n">
        <v>131954</v>
      </c>
      <c r="G3451" s="25" t="n">
        <v>1</v>
      </c>
      <c r="H3451" s="25" t="n">
        <v>5</v>
      </c>
      <c r="I3451" s="25" t="inlineStr">
        <is>
          <t>2 minute(s) and 47 second(s)</t>
        </is>
      </c>
      <c r="J3451" s="25">
        <f>IFERROR(VALUE(TRIM(LEFT(I3451,FIND("minute",I3451)-1)))*60,0)+IFERROR(VALUE(SUBSTITUTE(MID(I3451,IFERROR(FIND("and",I3451)+3,1),20),"second(s)","")),0)</f>
        <v/>
      </c>
      <c r="K3451" s="41">
        <f>J3451/60</f>
        <v/>
      </c>
      <c r="L3451" s="41">
        <f>IFERROR(J3451/H3451,"")</f>
        <v/>
      </c>
      <c r="M3451" s="25" t="inlineStr">
        <is>
          <t>2.5.12</t>
        </is>
      </c>
      <c r="N3451" s="25">
        <f>IF(J3451&gt;300,1,0)</f>
        <v/>
      </c>
      <c r="O3451" s="25">
        <f>IF(J3451&gt;600,1,0)</f>
        <v/>
      </c>
      <c r="P3451" s="25">
        <f>IF(H3451&gt;0,J3451,"")</f>
        <v/>
      </c>
      <c r="Q3451" s="25">
        <f>TEXT(A3451,"YYYY-MM-DD HH")</f>
        <v/>
      </c>
      <c r="R3451" s="25">
        <f>COUNTIF($Q$2:$Q$5295,Q3451)</f>
        <v/>
      </c>
      <c r="S3451" s="25">
        <f>IF(R3451&lt;=2,"1-2",IF(R3451&lt;=5,"3-5",IF(R3451&lt;=10,"6-10","11+")))</f>
        <v/>
      </c>
    </row>
    <row r="3452">
      <c r="A3452" s="39" t="n">
        <v>46205.49431712963</v>
      </c>
      <c r="B3452" s="25">
        <f>TEXT(A3452,"YYYY-MM")</f>
        <v/>
      </c>
      <c r="C3452" s="25">
        <f>TEXT(A3452,"MMM-YYYY")</f>
        <v/>
      </c>
      <c r="D3452" s="40">
        <f>INT(A3452)-WEEKDAY(A3452,2)+1</f>
        <v/>
      </c>
      <c r="E3452" s="25" t="inlineStr">
        <is>
          <t>pgautam</t>
        </is>
      </c>
      <c r="F3452" s="25" t="n">
        <v>130993</v>
      </c>
      <c r="G3452" s="25" t="n">
        <v>4</v>
      </c>
      <c r="H3452" s="25" t="n">
        <v>17</v>
      </c>
      <c r="I3452" s="25" t="inlineStr">
        <is>
          <t>4 minute(s) and 55 second(s)</t>
        </is>
      </c>
      <c r="J3452" s="25">
        <f>IFERROR(VALUE(TRIM(LEFT(I3452,FIND("minute",I3452)-1)))*60,0)+IFERROR(VALUE(SUBSTITUTE(MID(I3452,IFERROR(FIND("and",I3452)+3,1),20),"second(s)","")),0)</f>
        <v/>
      </c>
      <c r="K3452" s="41">
        <f>J3452/60</f>
        <v/>
      </c>
      <c r="L3452" s="41">
        <f>IFERROR(J3452/H3452,"")</f>
        <v/>
      </c>
      <c r="M3452" s="25" t="inlineStr">
        <is>
          <t>2.5.12</t>
        </is>
      </c>
      <c r="N3452" s="25">
        <f>IF(J3452&gt;300,1,0)</f>
        <v/>
      </c>
      <c r="O3452" s="25">
        <f>IF(J3452&gt;600,1,0)</f>
        <v/>
      </c>
      <c r="P3452" s="25">
        <f>IF(H3452&gt;0,J3452,"")</f>
        <v/>
      </c>
      <c r="Q3452" s="25">
        <f>TEXT(A3452,"YYYY-MM-DD HH")</f>
        <v/>
      </c>
      <c r="R3452" s="25">
        <f>COUNTIF($Q$2:$Q$5295,Q3452)</f>
        <v/>
      </c>
      <c r="S3452" s="25">
        <f>IF(R3452&lt;=2,"1-2",IF(R3452&lt;=5,"3-5",IF(R3452&lt;=10,"6-10","11+")))</f>
        <v/>
      </c>
    </row>
    <row r="3453">
      <c r="A3453" s="39" t="n">
        <v>46205.51241898148</v>
      </c>
      <c r="B3453" s="25">
        <f>TEXT(A3453,"YYYY-MM")</f>
        <v/>
      </c>
      <c r="C3453" s="25">
        <f>TEXT(A3453,"MMM-YYYY")</f>
        <v/>
      </c>
      <c r="D3453" s="40">
        <f>INT(A3453)-WEEKDAY(A3453,2)+1</f>
        <v/>
      </c>
      <c r="E3453" s="25" t="inlineStr">
        <is>
          <t>tkarmakar</t>
        </is>
      </c>
      <c r="F3453" s="25" t="n">
        <v>128674</v>
      </c>
      <c r="G3453" s="25" t="n">
        <v>5</v>
      </c>
      <c r="H3453" s="25" t="n">
        <v>17</v>
      </c>
      <c r="I3453" s="25" t="inlineStr">
        <is>
          <t>8 minute(s) and 12 second(s)</t>
        </is>
      </c>
      <c r="J3453" s="25">
        <f>IFERROR(VALUE(TRIM(LEFT(I3453,FIND("minute",I3453)-1)))*60,0)+IFERROR(VALUE(SUBSTITUTE(MID(I3453,IFERROR(FIND("and",I3453)+3,1),20),"second(s)","")),0)</f>
        <v/>
      </c>
      <c r="K3453" s="41">
        <f>J3453/60</f>
        <v/>
      </c>
      <c r="L3453" s="41">
        <f>IFERROR(J3453/H3453,"")</f>
        <v/>
      </c>
      <c r="M3453" s="25" t="inlineStr">
        <is>
          <t>2.5.12</t>
        </is>
      </c>
      <c r="N3453" s="25">
        <f>IF(J3453&gt;300,1,0)</f>
        <v/>
      </c>
      <c r="O3453" s="25">
        <f>IF(J3453&gt;600,1,0)</f>
        <v/>
      </c>
      <c r="P3453" s="25">
        <f>IF(H3453&gt;0,J3453,"")</f>
        <v/>
      </c>
      <c r="Q3453" s="25">
        <f>TEXT(A3453,"YYYY-MM-DD HH")</f>
        <v/>
      </c>
      <c r="R3453" s="25">
        <f>COUNTIF($Q$2:$Q$5295,Q3453)</f>
        <v/>
      </c>
      <c r="S3453" s="25">
        <f>IF(R3453&lt;=2,"1-2",IF(R3453&lt;=5,"3-5",IF(R3453&lt;=10,"6-10","11+")))</f>
        <v/>
      </c>
    </row>
    <row r="3454">
      <c r="A3454" s="39" t="n">
        <v>46205.51962962963</v>
      </c>
      <c r="B3454" s="25">
        <f>TEXT(A3454,"YYYY-MM")</f>
        <v/>
      </c>
      <c r="C3454" s="25">
        <f>TEXT(A3454,"MMM-YYYY")</f>
        <v/>
      </c>
      <c r="D3454" s="40">
        <f>INT(A3454)-WEEKDAY(A3454,2)+1</f>
        <v/>
      </c>
      <c r="E3454" s="25" t="inlineStr">
        <is>
          <t>apriyadarshi</t>
        </is>
      </c>
      <c r="F3454" s="25" t="n">
        <v>132793</v>
      </c>
      <c r="G3454" s="25" t="n">
        <v>1</v>
      </c>
      <c r="H3454" s="25" t="n">
        <v>7</v>
      </c>
      <c r="I3454" s="25" t="inlineStr">
        <is>
          <t>1 minute(s) and 17 second(s)</t>
        </is>
      </c>
      <c r="J3454" s="25">
        <f>IFERROR(VALUE(TRIM(LEFT(I3454,FIND("minute",I3454)-1)))*60,0)+IFERROR(VALUE(SUBSTITUTE(MID(I3454,IFERROR(FIND("and",I3454)+3,1),20),"second(s)","")),0)</f>
        <v/>
      </c>
      <c r="K3454" s="41">
        <f>J3454/60</f>
        <v/>
      </c>
      <c r="L3454" s="41">
        <f>IFERROR(J3454/H3454,"")</f>
        <v/>
      </c>
      <c r="M3454" s="25" t="inlineStr">
        <is>
          <t>2.5.12</t>
        </is>
      </c>
      <c r="N3454" s="25">
        <f>IF(J3454&gt;300,1,0)</f>
        <v/>
      </c>
      <c r="O3454" s="25">
        <f>IF(J3454&gt;600,1,0)</f>
        <v/>
      </c>
      <c r="P3454" s="25">
        <f>IF(H3454&gt;0,J3454,"")</f>
        <v/>
      </c>
      <c r="Q3454" s="25">
        <f>TEXT(A3454,"YYYY-MM-DD HH")</f>
        <v/>
      </c>
      <c r="R3454" s="25">
        <f>COUNTIF($Q$2:$Q$5295,Q3454)</f>
        <v/>
      </c>
      <c r="S3454" s="25">
        <f>IF(R3454&lt;=2,"1-2",IF(R3454&lt;=5,"3-5",IF(R3454&lt;=10,"6-10","11+")))</f>
        <v/>
      </c>
    </row>
    <row r="3455">
      <c r="A3455" s="39" t="n">
        <v>46205.52547453704</v>
      </c>
      <c r="B3455" s="25">
        <f>TEXT(A3455,"YYYY-MM")</f>
        <v/>
      </c>
      <c r="C3455" s="25">
        <f>TEXT(A3455,"MMM-YYYY")</f>
        <v/>
      </c>
      <c r="D3455" s="40">
        <f>INT(A3455)-WEEKDAY(A3455,2)+1</f>
        <v/>
      </c>
      <c r="E3455" s="25" t="inlineStr">
        <is>
          <t>sthomas</t>
        </is>
      </c>
      <c r="F3455" s="25" t="n">
        <v>132981</v>
      </c>
      <c r="G3455" s="25" t="n">
        <v>3</v>
      </c>
      <c r="H3455" s="25" t="n">
        <v>15</v>
      </c>
      <c r="I3455" s="25" t="inlineStr">
        <is>
          <t>5 minute(s) and 40 second(s)</t>
        </is>
      </c>
      <c r="J3455" s="25">
        <f>IFERROR(VALUE(TRIM(LEFT(I3455,FIND("minute",I3455)-1)))*60,0)+IFERROR(VALUE(SUBSTITUTE(MID(I3455,IFERROR(FIND("and",I3455)+3,1),20),"second(s)","")),0)</f>
        <v/>
      </c>
      <c r="K3455" s="41">
        <f>J3455/60</f>
        <v/>
      </c>
      <c r="L3455" s="41">
        <f>IFERROR(J3455/H3455,"")</f>
        <v/>
      </c>
      <c r="M3455" s="25" t="inlineStr">
        <is>
          <t>2.5.12</t>
        </is>
      </c>
      <c r="N3455" s="25">
        <f>IF(J3455&gt;300,1,0)</f>
        <v/>
      </c>
      <c r="O3455" s="25">
        <f>IF(J3455&gt;600,1,0)</f>
        <v/>
      </c>
      <c r="P3455" s="25">
        <f>IF(H3455&gt;0,J3455,"")</f>
        <v/>
      </c>
      <c r="Q3455" s="25">
        <f>TEXT(A3455,"YYYY-MM-DD HH")</f>
        <v/>
      </c>
      <c r="R3455" s="25">
        <f>COUNTIF($Q$2:$Q$5295,Q3455)</f>
        <v/>
      </c>
      <c r="S3455" s="25">
        <f>IF(R3455&lt;=2,"1-2",IF(R3455&lt;=5,"3-5",IF(R3455&lt;=10,"6-10","11+")))</f>
        <v/>
      </c>
    </row>
    <row r="3456">
      <c r="A3456" s="39" t="n">
        <v>46205.53630787037</v>
      </c>
      <c r="B3456" s="25">
        <f>TEXT(A3456,"YYYY-MM")</f>
        <v/>
      </c>
      <c r="C3456" s="25">
        <f>TEXT(A3456,"MMM-YYYY")</f>
        <v/>
      </c>
      <c r="D3456" s="40">
        <f>INT(A3456)-WEEKDAY(A3456,2)+1</f>
        <v/>
      </c>
      <c r="E3456" s="25" t="inlineStr">
        <is>
          <t>ssaha</t>
        </is>
      </c>
      <c r="F3456" s="25" t="n">
        <v>130321</v>
      </c>
      <c r="G3456" s="25" t="n">
        <v>4</v>
      </c>
      <c r="H3456" s="25" t="n">
        <v>16</v>
      </c>
      <c r="I3456" s="25" t="inlineStr">
        <is>
          <t>4 minute(s) and 27 second(s)</t>
        </is>
      </c>
      <c r="J3456" s="25">
        <f>IFERROR(VALUE(TRIM(LEFT(I3456,FIND("minute",I3456)-1)))*60,0)+IFERROR(VALUE(SUBSTITUTE(MID(I3456,IFERROR(FIND("and",I3456)+3,1),20),"second(s)","")),0)</f>
        <v/>
      </c>
      <c r="K3456" s="41">
        <f>J3456/60</f>
        <v/>
      </c>
      <c r="L3456" s="41">
        <f>IFERROR(J3456/H3456,"")</f>
        <v/>
      </c>
      <c r="M3456" s="25" t="inlineStr">
        <is>
          <t>2.5.12</t>
        </is>
      </c>
      <c r="N3456" s="25">
        <f>IF(J3456&gt;300,1,0)</f>
        <v/>
      </c>
      <c r="O3456" s="25">
        <f>IF(J3456&gt;600,1,0)</f>
        <v/>
      </c>
      <c r="P3456" s="25">
        <f>IF(H3456&gt;0,J3456,"")</f>
        <v/>
      </c>
      <c r="Q3456" s="25">
        <f>TEXT(A3456,"YYYY-MM-DD HH")</f>
        <v/>
      </c>
      <c r="R3456" s="25">
        <f>COUNTIF($Q$2:$Q$5295,Q3456)</f>
        <v/>
      </c>
      <c r="S3456" s="25">
        <f>IF(R3456&lt;=2,"1-2",IF(R3456&lt;=5,"3-5",IF(R3456&lt;=10,"6-10","11+")))</f>
        <v/>
      </c>
    </row>
    <row r="3457">
      <c r="A3457" s="39" t="n">
        <v>46205.55488425926</v>
      </c>
      <c r="B3457" s="25">
        <f>TEXT(A3457,"YYYY-MM")</f>
        <v/>
      </c>
      <c r="C3457" s="25">
        <f>TEXT(A3457,"MMM-YYYY")</f>
        <v/>
      </c>
      <c r="D3457" s="40">
        <f>INT(A3457)-WEEKDAY(A3457,2)+1</f>
        <v/>
      </c>
      <c r="E3457" s="25" t="inlineStr">
        <is>
          <t>pgautam</t>
        </is>
      </c>
      <c r="F3457" s="25" t="n">
        <v>129173</v>
      </c>
      <c r="G3457" s="25" t="n">
        <v>4</v>
      </c>
      <c r="H3457" s="25" t="n">
        <v>24</v>
      </c>
      <c r="I3457" s="25" t="inlineStr">
        <is>
          <t>5 minute(s) and 37 second(s)</t>
        </is>
      </c>
      <c r="J3457" s="25">
        <f>IFERROR(VALUE(TRIM(LEFT(I3457,FIND("minute",I3457)-1)))*60,0)+IFERROR(VALUE(SUBSTITUTE(MID(I3457,IFERROR(FIND("and",I3457)+3,1),20),"second(s)","")),0)</f>
        <v/>
      </c>
      <c r="K3457" s="41">
        <f>J3457/60</f>
        <v/>
      </c>
      <c r="L3457" s="41">
        <f>IFERROR(J3457/H3457,"")</f>
        <v/>
      </c>
      <c r="M3457" s="25" t="inlineStr">
        <is>
          <t>2.5.12</t>
        </is>
      </c>
      <c r="N3457" s="25">
        <f>IF(J3457&gt;300,1,0)</f>
        <v/>
      </c>
      <c r="O3457" s="25">
        <f>IF(J3457&gt;600,1,0)</f>
        <v/>
      </c>
      <c r="P3457" s="25">
        <f>IF(H3457&gt;0,J3457,"")</f>
        <v/>
      </c>
      <c r="Q3457" s="25">
        <f>TEXT(A3457,"YYYY-MM-DD HH")</f>
        <v/>
      </c>
      <c r="R3457" s="25">
        <f>COUNTIF($Q$2:$Q$5295,Q3457)</f>
        <v/>
      </c>
      <c r="S3457" s="25">
        <f>IF(R3457&lt;=2,"1-2",IF(R3457&lt;=5,"3-5",IF(R3457&lt;=10,"6-10","11+")))</f>
        <v/>
      </c>
    </row>
    <row r="3458">
      <c r="A3458" s="39" t="n">
        <v>46205.55809027778</v>
      </c>
      <c r="B3458" s="25">
        <f>TEXT(A3458,"YYYY-MM")</f>
        <v/>
      </c>
      <c r="C3458" s="25">
        <f>TEXT(A3458,"MMM-YYYY")</f>
        <v/>
      </c>
      <c r="D3458" s="40">
        <f>INT(A3458)-WEEKDAY(A3458,2)+1</f>
        <v/>
      </c>
      <c r="E3458" s="25" t="inlineStr">
        <is>
          <t>rsingh</t>
        </is>
      </c>
      <c r="F3458" s="25" t="n">
        <v>128445</v>
      </c>
      <c r="G3458" s="25" t="n">
        <v>1</v>
      </c>
      <c r="H3458" s="25" t="n">
        <v>7</v>
      </c>
      <c r="I3458" s="25" t="inlineStr">
        <is>
          <t>2 minute(s) and 52 second(s)</t>
        </is>
      </c>
      <c r="J3458" s="25">
        <f>IFERROR(VALUE(TRIM(LEFT(I3458,FIND("minute",I3458)-1)))*60,0)+IFERROR(VALUE(SUBSTITUTE(MID(I3458,IFERROR(FIND("and",I3458)+3,1),20),"second(s)","")),0)</f>
        <v/>
      </c>
      <c r="K3458" s="41">
        <f>J3458/60</f>
        <v/>
      </c>
      <c r="L3458" s="41">
        <f>IFERROR(J3458/H3458,"")</f>
        <v/>
      </c>
      <c r="M3458" s="25" t="inlineStr">
        <is>
          <t>2.5.12</t>
        </is>
      </c>
      <c r="N3458" s="25">
        <f>IF(J3458&gt;300,1,0)</f>
        <v/>
      </c>
      <c r="O3458" s="25">
        <f>IF(J3458&gt;600,1,0)</f>
        <v/>
      </c>
      <c r="P3458" s="25">
        <f>IF(H3458&gt;0,J3458,"")</f>
        <v/>
      </c>
      <c r="Q3458" s="25">
        <f>TEXT(A3458,"YYYY-MM-DD HH")</f>
        <v/>
      </c>
      <c r="R3458" s="25">
        <f>COUNTIF($Q$2:$Q$5295,Q3458)</f>
        <v/>
      </c>
      <c r="S3458" s="25">
        <f>IF(R3458&lt;=2,"1-2",IF(R3458&lt;=5,"3-5",IF(R3458&lt;=10,"6-10","11+")))</f>
        <v/>
      </c>
    </row>
    <row r="3459">
      <c r="A3459" s="39" t="n">
        <v>46205.56009259259</v>
      </c>
      <c r="B3459" s="25">
        <f>TEXT(A3459,"YYYY-MM")</f>
        <v/>
      </c>
      <c r="C3459" s="25">
        <f>TEXT(A3459,"MMM-YYYY")</f>
        <v/>
      </c>
      <c r="D3459" s="40">
        <f>INT(A3459)-WEEKDAY(A3459,2)+1</f>
        <v/>
      </c>
      <c r="E3459" s="25" t="inlineStr">
        <is>
          <t>ssarkar</t>
        </is>
      </c>
      <c r="F3459" s="25" t="n">
        <v>128434</v>
      </c>
      <c r="G3459" s="25" t="n">
        <v>2</v>
      </c>
      <c r="H3459" s="25" t="n">
        <v>12</v>
      </c>
      <c r="I3459" s="25" t="inlineStr">
        <is>
          <t>3 minute(s) and 20 second(s)</t>
        </is>
      </c>
      <c r="J3459" s="25">
        <f>IFERROR(VALUE(TRIM(LEFT(I3459,FIND("minute",I3459)-1)))*60,0)+IFERROR(VALUE(SUBSTITUTE(MID(I3459,IFERROR(FIND("and",I3459)+3,1),20),"second(s)","")),0)</f>
        <v/>
      </c>
      <c r="K3459" s="41">
        <f>J3459/60</f>
        <v/>
      </c>
      <c r="L3459" s="41">
        <f>IFERROR(J3459/H3459,"")</f>
        <v/>
      </c>
      <c r="M3459" s="25" t="inlineStr">
        <is>
          <t>2.5.12</t>
        </is>
      </c>
      <c r="N3459" s="25">
        <f>IF(J3459&gt;300,1,0)</f>
        <v/>
      </c>
      <c r="O3459" s="25">
        <f>IF(J3459&gt;600,1,0)</f>
        <v/>
      </c>
      <c r="P3459" s="25">
        <f>IF(H3459&gt;0,J3459,"")</f>
        <v/>
      </c>
      <c r="Q3459" s="25">
        <f>TEXT(A3459,"YYYY-MM-DD HH")</f>
        <v/>
      </c>
      <c r="R3459" s="25">
        <f>COUNTIF($Q$2:$Q$5295,Q3459)</f>
        <v/>
      </c>
      <c r="S3459" s="25">
        <f>IF(R3459&lt;=2,"1-2",IF(R3459&lt;=5,"3-5",IF(R3459&lt;=10,"6-10","11+")))</f>
        <v/>
      </c>
    </row>
    <row r="3460">
      <c r="A3460" s="39" t="n">
        <v>46205.56854166667</v>
      </c>
      <c r="B3460" s="25">
        <f>TEXT(A3460,"YYYY-MM")</f>
        <v/>
      </c>
      <c r="C3460" s="25">
        <f>TEXT(A3460,"MMM-YYYY")</f>
        <v/>
      </c>
      <c r="D3460" s="40">
        <f>INT(A3460)-WEEKDAY(A3460,2)+1</f>
        <v/>
      </c>
      <c r="E3460" s="25" t="inlineStr">
        <is>
          <t>vprasad</t>
        </is>
      </c>
      <c r="F3460" s="25" t="n">
        <v>121290</v>
      </c>
      <c r="G3460" s="25" t="n">
        <v>1</v>
      </c>
      <c r="H3460" s="25" t="n">
        <v>3</v>
      </c>
      <c r="I3460" s="25" t="inlineStr">
        <is>
          <t>37 second(s)</t>
        </is>
      </c>
      <c r="J3460" s="25">
        <f>IFERROR(VALUE(TRIM(LEFT(I3460,FIND("minute",I3460)-1)))*60,0)+IFERROR(VALUE(SUBSTITUTE(MID(I3460,IFERROR(FIND("and",I3460)+3,1),20),"second(s)","")),0)</f>
        <v/>
      </c>
      <c r="K3460" s="41">
        <f>J3460/60</f>
        <v/>
      </c>
      <c r="L3460" s="41">
        <f>IFERROR(J3460/H3460,"")</f>
        <v/>
      </c>
      <c r="M3460" s="25" t="inlineStr">
        <is>
          <t>2.5.12</t>
        </is>
      </c>
      <c r="N3460" s="25">
        <f>IF(J3460&gt;300,1,0)</f>
        <v/>
      </c>
      <c r="O3460" s="25">
        <f>IF(J3460&gt;600,1,0)</f>
        <v/>
      </c>
      <c r="P3460" s="25">
        <f>IF(H3460&gt;0,J3460,"")</f>
        <v/>
      </c>
      <c r="Q3460" s="25">
        <f>TEXT(A3460,"YYYY-MM-DD HH")</f>
        <v/>
      </c>
      <c r="R3460" s="25">
        <f>COUNTIF($Q$2:$Q$5295,Q3460)</f>
        <v/>
      </c>
      <c r="S3460" s="25">
        <f>IF(R3460&lt;=2,"1-2",IF(R3460&lt;=5,"3-5",IF(R3460&lt;=10,"6-10","11+")))</f>
        <v/>
      </c>
    </row>
    <row r="3461">
      <c r="A3461" s="39" t="n">
        <v>46205.58166666667</v>
      </c>
      <c r="B3461" s="25">
        <f>TEXT(A3461,"YYYY-MM")</f>
        <v/>
      </c>
      <c r="C3461" s="25">
        <f>TEXT(A3461,"MMM-YYYY")</f>
        <v/>
      </c>
      <c r="D3461" s="40">
        <f>INT(A3461)-WEEKDAY(A3461,2)+1</f>
        <v/>
      </c>
      <c r="E3461" s="25" t="inlineStr">
        <is>
          <t>sthomas</t>
        </is>
      </c>
      <c r="F3461" s="25" t="n">
        <v>130177</v>
      </c>
      <c r="G3461" s="25" t="n">
        <v>1</v>
      </c>
      <c r="H3461" s="25" t="n">
        <v>5</v>
      </c>
      <c r="I3461" s="25" t="inlineStr">
        <is>
          <t>1 minute(s) and 29 second(s)</t>
        </is>
      </c>
      <c r="J3461" s="25">
        <f>IFERROR(VALUE(TRIM(LEFT(I3461,FIND("minute",I3461)-1)))*60,0)+IFERROR(VALUE(SUBSTITUTE(MID(I3461,IFERROR(FIND("and",I3461)+3,1),20),"second(s)","")),0)</f>
        <v/>
      </c>
      <c r="K3461" s="41">
        <f>J3461/60</f>
        <v/>
      </c>
      <c r="L3461" s="41">
        <f>IFERROR(J3461/H3461,"")</f>
        <v/>
      </c>
      <c r="M3461" s="25" t="inlineStr">
        <is>
          <t>2.5.12</t>
        </is>
      </c>
      <c r="N3461" s="25">
        <f>IF(J3461&gt;300,1,0)</f>
        <v/>
      </c>
      <c r="O3461" s="25">
        <f>IF(J3461&gt;600,1,0)</f>
        <v/>
      </c>
      <c r="P3461" s="25">
        <f>IF(H3461&gt;0,J3461,"")</f>
        <v/>
      </c>
      <c r="Q3461" s="25">
        <f>TEXT(A3461,"YYYY-MM-DD HH")</f>
        <v/>
      </c>
      <c r="R3461" s="25">
        <f>COUNTIF($Q$2:$Q$5295,Q3461)</f>
        <v/>
      </c>
      <c r="S3461" s="25">
        <f>IF(R3461&lt;=2,"1-2",IF(R3461&lt;=5,"3-5",IF(R3461&lt;=10,"6-10","11+")))</f>
        <v/>
      </c>
    </row>
    <row r="3462">
      <c r="A3462" s="39" t="n">
        <v>46205.60197916667</v>
      </c>
      <c r="B3462" s="25">
        <f>TEXT(A3462,"YYYY-MM")</f>
        <v/>
      </c>
      <c r="C3462" s="25">
        <f>TEXT(A3462,"MMM-YYYY")</f>
        <v/>
      </c>
      <c r="D3462" s="40">
        <f>INT(A3462)-WEEKDAY(A3462,2)+1</f>
        <v/>
      </c>
      <c r="E3462" s="25" t="inlineStr">
        <is>
          <t>apriyadarshi</t>
        </is>
      </c>
      <c r="F3462" s="25" t="n">
        <v>131010</v>
      </c>
      <c r="G3462" s="25" t="n">
        <v>2</v>
      </c>
      <c r="H3462" s="25" t="n">
        <v>10</v>
      </c>
      <c r="I3462" s="25" t="inlineStr">
        <is>
          <t>4 minute(s) and 47 second(s)</t>
        </is>
      </c>
      <c r="J3462" s="25">
        <f>IFERROR(VALUE(TRIM(LEFT(I3462,FIND("minute",I3462)-1)))*60,0)+IFERROR(VALUE(SUBSTITUTE(MID(I3462,IFERROR(FIND("and",I3462)+3,1),20),"second(s)","")),0)</f>
        <v/>
      </c>
      <c r="K3462" s="41">
        <f>J3462/60</f>
        <v/>
      </c>
      <c r="L3462" s="41">
        <f>IFERROR(J3462/H3462,"")</f>
        <v/>
      </c>
      <c r="M3462" s="25" t="inlineStr">
        <is>
          <t>2.5.12</t>
        </is>
      </c>
      <c r="N3462" s="25">
        <f>IF(J3462&gt;300,1,0)</f>
        <v/>
      </c>
      <c r="O3462" s="25">
        <f>IF(J3462&gt;600,1,0)</f>
        <v/>
      </c>
      <c r="P3462" s="25">
        <f>IF(H3462&gt;0,J3462,"")</f>
        <v/>
      </c>
      <c r="Q3462" s="25">
        <f>TEXT(A3462,"YYYY-MM-DD HH")</f>
        <v/>
      </c>
      <c r="R3462" s="25">
        <f>COUNTIF($Q$2:$Q$5295,Q3462)</f>
        <v/>
      </c>
      <c r="S3462" s="25">
        <f>IF(R3462&lt;=2,"1-2",IF(R3462&lt;=5,"3-5",IF(R3462&lt;=10,"6-10","11+")))</f>
        <v/>
      </c>
    </row>
    <row r="3463">
      <c r="A3463" s="39" t="n">
        <v>46205.61018518519</v>
      </c>
      <c r="B3463" s="25">
        <f>TEXT(A3463,"YYYY-MM")</f>
        <v/>
      </c>
      <c r="C3463" s="25">
        <f>TEXT(A3463,"MMM-YYYY")</f>
        <v/>
      </c>
      <c r="D3463" s="40">
        <f>INT(A3463)-WEEKDAY(A3463,2)+1</f>
        <v/>
      </c>
      <c r="E3463" s="25" t="inlineStr">
        <is>
          <t>psingh</t>
        </is>
      </c>
      <c r="F3463" s="25" t="n">
        <v>129101</v>
      </c>
      <c r="G3463" s="25" t="n">
        <v>3</v>
      </c>
      <c r="H3463" s="25" t="n">
        <v>21</v>
      </c>
      <c r="I3463" s="25" t="inlineStr">
        <is>
          <t>6 minute(s) and 12 second(s)</t>
        </is>
      </c>
      <c r="J3463" s="25">
        <f>IFERROR(VALUE(TRIM(LEFT(I3463,FIND("minute",I3463)-1)))*60,0)+IFERROR(VALUE(SUBSTITUTE(MID(I3463,IFERROR(FIND("and",I3463)+3,1),20),"second(s)","")),0)</f>
        <v/>
      </c>
      <c r="K3463" s="41">
        <f>J3463/60</f>
        <v/>
      </c>
      <c r="L3463" s="41">
        <f>IFERROR(J3463/H3463,"")</f>
        <v/>
      </c>
      <c r="M3463" s="25" t="inlineStr">
        <is>
          <t>2.5.12</t>
        </is>
      </c>
      <c r="N3463" s="25">
        <f>IF(J3463&gt;300,1,0)</f>
        <v/>
      </c>
      <c r="O3463" s="25">
        <f>IF(J3463&gt;600,1,0)</f>
        <v/>
      </c>
      <c r="P3463" s="25">
        <f>IF(H3463&gt;0,J3463,"")</f>
        <v/>
      </c>
      <c r="Q3463" s="25">
        <f>TEXT(A3463,"YYYY-MM-DD HH")</f>
        <v/>
      </c>
      <c r="R3463" s="25">
        <f>COUNTIF($Q$2:$Q$5295,Q3463)</f>
        <v/>
      </c>
      <c r="S3463" s="25">
        <f>IF(R3463&lt;=2,"1-2",IF(R3463&lt;=5,"3-5",IF(R3463&lt;=10,"6-10","11+")))</f>
        <v/>
      </c>
    </row>
    <row r="3464">
      <c r="A3464" s="39" t="n">
        <v>46205.61686342592</v>
      </c>
      <c r="B3464" s="25">
        <f>TEXT(A3464,"YYYY-MM")</f>
        <v/>
      </c>
      <c r="C3464" s="25">
        <f>TEXT(A3464,"MMM-YYYY")</f>
        <v/>
      </c>
      <c r="D3464" s="40">
        <f>INT(A3464)-WEEKDAY(A3464,2)+1</f>
        <v/>
      </c>
      <c r="E3464" s="25" t="inlineStr">
        <is>
          <t>mgupta</t>
        </is>
      </c>
      <c r="F3464" s="25" t="n">
        <v>130237</v>
      </c>
      <c r="G3464" s="25" t="n">
        <v>1</v>
      </c>
      <c r="H3464" s="25" t="n">
        <v>5</v>
      </c>
      <c r="I3464" s="25" t="inlineStr">
        <is>
          <t>1 minute(s) and 14 second(s)</t>
        </is>
      </c>
      <c r="J3464" s="25">
        <f>IFERROR(VALUE(TRIM(LEFT(I3464,FIND("minute",I3464)-1)))*60,0)+IFERROR(VALUE(SUBSTITUTE(MID(I3464,IFERROR(FIND("and",I3464)+3,1),20),"second(s)","")),0)</f>
        <v/>
      </c>
      <c r="K3464" s="41">
        <f>J3464/60</f>
        <v/>
      </c>
      <c r="L3464" s="41">
        <f>IFERROR(J3464/H3464,"")</f>
        <v/>
      </c>
      <c r="M3464" s="25" t="inlineStr">
        <is>
          <t>2.5.12</t>
        </is>
      </c>
      <c r="N3464" s="25">
        <f>IF(J3464&gt;300,1,0)</f>
        <v/>
      </c>
      <c r="O3464" s="25">
        <f>IF(J3464&gt;600,1,0)</f>
        <v/>
      </c>
      <c r="P3464" s="25">
        <f>IF(H3464&gt;0,J3464,"")</f>
        <v/>
      </c>
      <c r="Q3464" s="25">
        <f>TEXT(A3464,"YYYY-MM-DD HH")</f>
        <v/>
      </c>
      <c r="R3464" s="25">
        <f>COUNTIF($Q$2:$Q$5295,Q3464)</f>
        <v/>
      </c>
      <c r="S3464" s="25">
        <f>IF(R3464&lt;=2,"1-2",IF(R3464&lt;=5,"3-5",IF(R3464&lt;=10,"6-10","11+")))</f>
        <v/>
      </c>
    </row>
    <row r="3465">
      <c r="A3465" s="39" t="n">
        <v>46205.62945601852</v>
      </c>
      <c r="B3465" s="25">
        <f>TEXT(A3465,"YYYY-MM")</f>
        <v/>
      </c>
      <c r="C3465" s="25">
        <f>TEXT(A3465,"MMM-YYYY")</f>
        <v/>
      </c>
      <c r="D3465" s="40">
        <f>INT(A3465)-WEEKDAY(A3465,2)+1</f>
        <v/>
      </c>
      <c r="E3465" s="25" t="inlineStr">
        <is>
          <t>apriyadarshi</t>
        </is>
      </c>
      <c r="F3465" s="25" t="n">
        <v>131010</v>
      </c>
      <c r="G3465" s="25" t="n">
        <v>1</v>
      </c>
      <c r="H3465" s="25" t="n">
        <v>7</v>
      </c>
      <c r="I3465" s="25" t="inlineStr">
        <is>
          <t>1 minute(s) and 46 second(s)</t>
        </is>
      </c>
      <c r="J3465" s="25">
        <f>IFERROR(VALUE(TRIM(LEFT(I3465,FIND("minute",I3465)-1)))*60,0)+IFERROR(VALUE(SUBSTITUTE(MID(I3465,IFERROR(FIND("and",I3465)+3,1),20),"second(s)","")),0)</f>
        <v/>
      </c>
      <c r="K3465" s="41">
        <f>J3465/60</f>
        <v/>
      </c>
      <c r="L3465" s="41">
        <f>IFERROR(J3465/H3465,"")</f>
        <v/>
      </c>
      <c r="M3465" s="25" t="inlineStr">
        <is>
          <t>2.5.12</t>
        </is>
      </c>
      <c r="N3465" s="25">
        <f>IF(J3465&gt;300,1,0)</f>
        <v/>
      </c>
      <c r="O3465" s="25">
        <f>IF(J3465&gt;600,1,0)</f>
        <v/>
      </c>
      <c r="P3465" s="25">
        <f>IF(H3465&gt;0,J3465,"")</f>
        <v/>
      </c>
      <c r="Q3465" s="25">
        <f>TEXT(A3465,"YYYY-MM-DD HH")</f>
        <v/>
      </c>
      <c r="R3465" s="25">
        <f>COUNTIF($Q$2:$Q$5295,Q3465)</f>
        <v/>
      </c>
      <c r="S3465" s="25">
        <f>IF(R3465&lt;=2,"1-2",IF(R3465&lt;=5,"3-5",IF(R3465&lt;=10,"6-10","11+")))</f>
        <v/>
      </c>
    </row>
    <row r="3466">
      <c r="A3466" s="39" t="n">
        <v>46205.64864583333</v>
      </c>
      <c r="B3466" s="25">
        <f>TEXT(A3466,"YYYY-MM")</f>
        <v/>
      </c>
      <c r="C3466" s="25">
        <f>TEXT(A3466,"MMM-YYYY")</f>
        <v/>
      </c>
      <c r="D3466" s="40">
        <f>INT(A3466)-WEEKDAY(A3466,2)+1</f>
        <v/>
      </c>
      <c r="E3466" s="25" t="inlineStr">
        <is>
          <t>rsingh</t>
        </is>
      </c>
      <c r="F3466" s="25" t="n">
        <v>129873</v>
      </c>
      <c r="G3466" s="25" t="n">
        <v>4</v>
      </c>
      <c r="H3466" s="25" t="n">
        <v>21</v>
      </c>
      <c r="I3466" s="25" t="inlineStr">
        <is>
          <t>5 minute(s) and 53 second(s)</t>
        </is>
      </c>
      <c r="J3466" s="25">
        <f>IFERROR(VALUE(TRIM(LEFT(I3466,FIND("minute",I3466)-1)))*60,0)+IFERROR(VALUE(SUBSTITUTE(MID(I3466,IFERROR(FIND("and",I3466)+3,1),20),"second(s)","")),0)</f>
        <v/>
      </c>
      <c r="K3466" s="41">
        <f>J3466/60</f>
        <v/>
      </c>
      <c r="L3466" s="41">
        <f>IFERROR(J3466/H3466,"")</f>
        <v/>
      </c>
      <c r="M3466" s="25" t="inlineStr">
        <is>
          <t>2.5.12</t>
        </is>
      </c>
      <c r="N3466" s="25">
        <f>IF(J3466&gt;300,1,0)</f>
        <v/>
      </c>
      <c r="O3466" s="25">
        <f>IF(J3466&gt;600,1,0)</f>
        <v/>
      </c>
      <c r="P3466" s="25">
        <f>IF(H3466&gt;0,J3466,"")</f>
        <v/>
      </c>
      <c r="Q3466" s="25">
        <f>TEXT(A3466,"YYYY-MM-DD HH")</f>
        <v/>
      </c>
      <c r="R3466" s="25">
        <f>COUNTIF($Q$2:$Q$5295,Q3466)</f>
        <v/>
      </c>
      <c r="S3466" s="25">
        <f>IF(R3466&lt;=2,"1-2",IF(R3466&lt;=5,"3-5",IF(R3466&lt;=10,"6-10","11+")))</f>
        <v/>
      </c>
    </row>
    <row r="3467">
      <c r="A3467" s="39" t="n">
        <v>46205.66739583333</v>
      </c>
      <c r="B3467" s="25">
        <f>TEXT(A3467,"YYYY-MM")</f>
        <v/>
      </c>
      <c r="C3467" s="25">
        <f>TEXT(A3467,"MMM-YYYY")</f>
        <v/>
      </c>
      <c r="D3467" s="40">
        <f>INT(A3467)-WEEKDAY(A3467,2)+1</f>
        <v/>
      </c>
      <c r="E3467" s="25" t="inlineStr">
        <is>
          <t>ssaha</t>
        </is>
      </c>
      <c r="F3467" s="25" t="n">
        <v>132813</v>
      </c>
      <c r="G3467" s="25" t="n">
        <v>4</v>
      </c>
      <c r="H3467" s="25" t="n">
        <v>14</v>
      </c>
      <c r="I3467" s="25" t="inlineStr">
        <is>
          <t>4 minute(s) and 25 second(s)</t>
        </is>
      </c>
      <c r="J3467" s="25">
        <f>IFERROR(VALUE(TRIM(LEFT(I3467,FIND("minute",I3467)-1)))*60,0)+IFERROR(VALUE(SUBSTITUTE(MID(I3467,IFERROR(FIND("and",I3467)+3,1),20),"second(s)","")),0)</f>
        <v/>
      </c>
      <c r="K3467" s="41">
        <f>J3467/60</f>
        <v/>
      </c>
      <c r="L3467" s="41">
        <f>IFERROR(J3467/H3467,"")</f>
        <v/>
      </c>
      <c r="M3467" s="25" t="inlineStr">
        <is>
          <t>2.5.12</t>
        </is>
      </c>
      <c r="N3467" s="25">
        <f>IF(J3467&gt;300,1,0)</f>
        <v/>
      </c>
      <c r="O3467" s="25">
        <f>IF(J3467&gt;600,1,0)</f>
        <v/>
      </c>
      <c r="P3467" s="25">
        <f>IF(H3467&gt;0,J3467,"")</f>
        <v/>
      </c>
      <c r="Q3467" s="25">
        <f>TEXT(A3467,"YYYY-MM-DD HH")</f>
        <v/>
      </c>
      <c r="R3467" s="25">
        <f>COUNTIF($Q$2:$Q$5295,Q3467)</f>
        <v/>
      </c>
      <c r="S3467" s="25">
        <f>IF(R3467&lt;=2,"1-2",IF(R3467&lt;=5,"3-5",IF(R3467&lt;=10,"6-10","11+")))</f>
        <v/>
      </c>
    </row>
    <row r="3468">
      <c r="A3468" s="39" t="n">
        <v>46205.70856481481</v>
      </c>
      <c r="B3468" s="25">
        <f>TEXT(A3468,"YYYY-MM")</f>
        <v/>
      </c>
      <c r="C3468" s="25">
        <f>TEXT(A3468,"MMM-YYYY")</f>
        <v/>
      </c>
      <c r="D3468" s="40">
        <f>INT(A3468)-WEEKDAY(A3468,2)+1</f>
        <v/>
      </c>
      <c r="E3468" s="25" t="inlineStr">
        <is>
          <t>emishra</t>
        </is>
      </c>
      <c r="F3468" s="25" t="n">
        <v>128650</v>
      </c>
      <c r="G3468" s="25" t="n">
        <v>2</v>
      </c>
      <c r="H3468" s="25" t="n">
        <v>10</v>
      </c>
      <c r="I3468" s="25" t="inlineStr">
        <is>
          <t>4 minute(s) and 46 second(s)</t>
        </is>
      </c>
      <c r="J3468" s="25">
        <f>IFERROR(VALUE(TRIM(LEFT(I3468,FIND("minute",I3468)-1)))*60,0)+IFERROR(VALUE(SUBSTITUTE(MID(I3468,IFERROR(FIND("and",I3468)+3,1),20),"second(s)","")),0)</f>
        <v/>
      </c>
      <c r="K3468" s="41">
        <f>J3468/60</f>
        <v/>
      </c>
      <c r="L3468" s="41">
        <f>IFERROR(J3468/H3468,"")</f>
        <v/>
      </c>
      <c r="M3468" s="25" t="inlineStr">
        <is>
          <t>2.5.12</t>
        </is>
      </c>
      <c r="N3468" s="25">
        <f>IF(J3468&gt;300,1,0)</f>
        <v/>
      </c>
      <c r="O3468" s="25">
        <f>IF(J3468&gt;600,1,0)</f>
        <v/>
      </c>
      <c r="P3468" s="25">
        <f>IF(H3468&gt;0,J3468,"")</f>
        <v/>
      </c>
      <c r="Q3468" s="25">
        <f>TEXT(A3468,"YYYY-MM-DD HH")</f>
        <v/>
      </c>
      <c r="R3468" s="25">
        <f>COUNTIF($Q$2:$Q$5295,Q3468)</f>
        <v/>
      </c>
      <c r="S3468" s="25">
        <f>IF(R3468&lt;=2,"1-2",IF(R3468&lt;=5,"3-5",IF(R3468&lt;=10,"6-10","11+")))</f>
        <v/>
      </c>
    </row>
    <row r="3469">
      <c r="A3469" s="39" t="n">
        <v>46205.73805555556</v>
      </c>
      <c r="B3469" s="25">
        <f>TEXT(A3469,"YYYY-MM")</f>
        <v/>
      </c>
      <c r="C3469" s="25">
        <f>TEXT(A3469,"MMM-YYYY")</f>
        <v/>
      </c>
      <c r="D3469" s="40">
        <f>INT(A3469)-WEEKDAY(A3469,2)+1</f>
        <v/>
      </c>
      <c r="E3469" s="25" t="inlineStr">
        <is>
          <t>ssaha</t>
        </is>
      </c>
      <c r="F3469" s="25" t="n">
        <v>131194</v>
      </c>
      <c r="G3469" s="25" t="n">
        <v>1</v>
      </c>
      <c r="H3469" s="25" t="n">
        <v>7</v>
      </c>
      <c r="I3469" s="25" t="inlineStr">
        <is>
          <t>1 minute(s) and 47 second(s)</t>
        </is>
      </c>
      <c r="J3469" s="25">
        <f>IFERROR(VALUE(TRIM(LEFT(I3469,FIND("minute",I3469)-1)))*60,0)+IFERROR(VALUE(SUBSTITUTE(MID(I3469,IFERROR(FIND("and",I3469)+3,1),20),"second(s)","")),0)</f>
        <v/>
      </c>
      <c r="K3469" s="41">
        <f>J3469/60</f>
        <v/>
      </c>
      <c r="L3469" s="41">
        <f>IFERROR(J3469/H3469,"")</f>
        <v/>
      </c>
      <c r="M3469" s="25" t="inlineStr">
        <is>
          <t>2.5.12</t>
        </is>
      </c>
      <c r="N3469" s="25">
        <f>IF(J3469&gt;300,1,0)</f>
        <v/>
      </c>
      <c r="O3469" s="25">
        <f>IF(J3469&gt;600,1,0)</f>
        <v/>
      </c>
      <c r="P3469" s="25">
        <f>IF(H3469&gt;0,J3469,"")</f>
        <v/>
      </c>
      <c r="Q3469" s="25">
        <f>TEXT(A3469,"YYYY-MM-DD HH")</f>
        <v/>
      </c>
      <c r="R3469" s="25">
        <f>COUNTIF($Q$2:$Q$5295,Q3469)</f>
        <v/>
      </c>
      <c r="S3469" s="25">
        <f>IF(R3469&lt;=2,"1-2",IF(R3469&lt;=5,"3-5",IF(R3469&lt;=10,"6-10","11+")))</f>
        <v/>
      </c>
    </row>
    <row r="3470">
      <c r="A3470" s="39" t="n">
        <v>46205.76072916666</v>
      </c>
      <c r="B3470" s="25">
        <f>TEXT(A3470,"YYYY-MM")</f>
        <v/>
      </c>
      <c r="C3470" s="25">
        <f>TEXT(A3470,"MMM-YYYY")</f>
        <v/>
      </c>
      <c r="D3470" s="40">
        <f>INT(A3470)-WEEKDAY(A3470,2)+1</f>
        <v/>
      </c>
      <c r="E3470" s="25" t="inlineStr">
        <is>
          <t>emishra</t>
        </is>
      </c>
      <c r="F3470" s="25" t="n">
        <v>131709</v>
      </c>
      <c r="G3470" s="25" t="n">
        <v>1</v>
      </c>
      <c r="H3470" s="25" t="n">
        <v>5</v>
      </c>
      <c r="I3470" s="25" t="inlineStr">
        <is>
          <t>2 minute(s) and 17 second(s)</t>
        </is>
      </c>
      <c r="J3470" s="25">
        <f>IFERROR(VALUE(TRIM(LEFT(I3470,FIND("minute",I3470)-1)))*60,0)+IFERROR(VALUE(SUBSTITUTE(MID(I3470,IFERROR(FIND("and",I3470)+3,1),20),"second(s)","")),0)</f>
        <v/>
      </c>
      <c r="K3470" s="41">
        <f>J3470/60</f>
        <v/>
      </c>
      <c r="L3470" s="41">
        <f>IFERROR(J3470/H3470,"")</f>
        <v/>
      </c>
      <c r="M3470" s="25" t="inlineStr">
        <is>
          <t>2.5.12</t>
        </is>
      </c>
      <c r="N3470" s="25">
        <f>IF(J3470&gt;300,1,0)</f>
        <v/>
      </c>
      <c r="O3470" s="25">
        <f>IF(J3470&gt;600,1,0)</f>
        <v/>
      </c>
      <c r="P3470" s="25">
        <f>IF(H3470&gt;0,J3470,"")</f>
        <v/>
      </c>
      <c r="Q3470" s="25">
        <f>TEXT(A3470,"YYYY-MM-DD HH")</f>
        <v/>
      </c>
      <c r="R3470" s="25">
        <f>COUNTIF($Q$2:$Q$5295,Q3470)</f>
        <v/>
      </c>
      <c r="S3470" s="25">
        <f>IF(R3470&lt;=2,"1-2",IF(R3470&lt;=5,"3-5",IF(R3470&lt;=10,"6-10","11+")))</f>
        <v/>
      </c>
    </row>
    <row r="3471">
      <c r="A3471" s="39" t="n">
        <v>46205.80052083333</v>
      </c>
      <c r="B3471" s="25">
        <f>TEXT(A3471,"YYYY-MM")</f>
        <v/>
      </c>
      <c r="C3471" s="25">
        <f>TEXT(A3471,"MMM-YYYY")</f>
        <v/>
      </c>
      <c r="D3471" s="40">
        <f>INT(A3471)-WEEKDAY(A3471,2)+1</f>
        <v/>
      </c>
      <c r="E3471" s="25" t="inlineStr">
        <is>
          <t>ssaha</t>
        </is>
      </c>
      <c r="F3471" s="25" t="n">
        <v>132618</v>
      </c>
      <c r="G3471" s="25" t="n">
        <v>4</v>
      </c>
      <c r="H3471" s="25" t="n">
        <v>20</v>
      </c>
      <c r="I3471" s="25" t="inlineStr">
        <is>
          <t>5 minute(s) and 48 second(s)</t>
        </is>
      </c>
      <c r="J3471" s="25">
        <f>IFERROR(VALUE(TRIM(LEFT(I3471,FIND("minute",I3471)-1)))*60,0)+IFERROR(VALUE(SUBSTITUTE(MID(I3471,IFERROR(FIND("and",I3471)+3,1),20),"second(s)","")),0)</f>
        <v/>
      </c>
      <c r="K3471" s="41">
        <f>J3471/60</f>
        <v/>
      </c>
      <c r="L3471" s="41">
        <f>IFERROR(J3471/H3471,"")</f>
        <v/>
      </c>
      <c r="M3471" s="25" t="inlineStr">
        <is>
          <t>2.5.12</t>
        </is>
      </c>
      <c r="N3471" s="25">
        <f>IF(J3471&gt;300,1,0)</f>
        <v/>
      </c>
      <c r="O3471" s="25">
        <f>IF(J3471&gt;600,1,0)</f>
        <v/>
      </c>
      <c r="P3471" s="25">
        <f>IF(H3471&gt;0,J3471,"")</f>
        <v/>
      </c>
      <c r="Q3471" s="25">
        <f>TEXT(A3471,"YYYY-MM-DD HH")</f>
        <v/>
      </c>
      <c r="R3471" s="25">
        <f>COUNTIF($Q$2:$Q$5295,Q3471)</f>
        <v/>
      </c>
      <c r="S3471" s="25">
        <f>IF(R3471&lt;=2,"1-2",IF(R3471&lt;=5,"3-5",IF(R3471&lt;=10,"6-10","11+")))</f>
        <v/>
      </c>
    </row>
    <row r="3472">
      <c r="A3472" s="39" t="n">
        <v>46205.85157407408</v>
      </c>
      <c r="B3472" s="25">
        <f>TEXT(A3472,"YYYY-MM")</f>
        <v/>
      </c>
      <c r="C3472" s="25">
        <f>TEXT(A3472,"MMM-YYYY")</f>
        <v/>
      </c>
      <c r="D3472" s="40">
        <f>INT(A3472)-WEEKDAY(A3472,2)+1</f>
        <v/>
      </c>
      <c r="E3472" s="25" t="inlineStr">
        <is>
          <t>psingh</t>
        </is>
      </c>
      <c r="F3472" s="25" t="n">
        <v>132098</v>
      </c>
      <c r="G3472" s="25" t="n">
        <v>4</v>
      </c>
      <c r="H3472" s="25" t="n">
        <v>26</v>
      </c>
      <c r="I3472" s="25" t="inlineStr">
        <is>
          <t>9 minute(s) and 17 second(s)</t>
        </is>
      </c>
      <c r="J3472" s="25">
        <f>IFERROR(VALUE(TRIM(LEFT(I3472,FIND("minute",I3472)-1)))*60,0)+IFERROR(VALUE(SUBSTITUTE(MID(I3472,IFERROR(FIND("and",I3472)+3,1),20),"second(s)","")),0)</f>
        <v/>
      </c>
      <c r="K3472" s="41">
        <f>J3472/60</f>
        <v/>
      </c>
      <c r="L3472" s="41">
        <f>IFERROR(J3472/H3472,"")</f>
        <v/>
      </c>
      <c r="M3472" s="25" t="inlineStr">
        <is>
          <t>2.5.12</t>
        </is>
      </c>
      <c r="N3472" s="25">
        <f>IF(J3472&gt;300,1,0)</f>
        <v/>
      </c>
      <c r="O3472" s="25">
        <f>IF(J3472&gt;600,1,0)</f>
        <v/>
      </c>
      <c r="P3472" s="25">
        <f>IF(H3472&gt;0,J3472,"")</f>
        <v/>
      </c>
      <c r="Q3472" s="25">
        <f>TEXT(A3472,"YYYY-MM-DD HH")</f>
        <v/>
      </c>
      <c r="R3472" s="25">
        <f>COUNTIF($Q$2:$Q$5295,Q3472)</f>
        <v/>
      </c>
      <c r="S3472" s="25">
        <f>IF(R3472&lt;=2,"1-2",IF(R3472&lt;=5,"3-5",IF(R3472&lt;=10,"6-10","11+")))</f>
        <v/>
      </c>
    </row>
    <row r="3473">
      <c r="A3473" s="39" t="n">
        <v>46205.87759259259</v>
      </c>
      <c r="B3473" s="25">
        <f>TEXT(A3473,"YYYY-MM")</f>
        <v/>
      </c>
      <c r="C3473" s="25">
        <f>TEXT(A3473,"MMM-YYYY")</f>
        <v/>
      </c>
      <c r="D3473" s="40">
        <f>INT(A3473)-WEEKDAY(A3473,2)+1</f>
        <v/>
      </c>
      <c r="E3473" s="25" t="inlineStr">
        <is>
          <t>dchoudhury</t>
        </is>
      </c>
      <c r="F3473" s="25" t="n">
        <v>128609</v>
      </c>
      <c r="G3473" s="25" t="n">
        <v>3</v>
      </c>
      <c r="H3473" s="25" t="n">
        <v>13</v>
      </c>
      <c r="I3473" s="25" t="inlineStr">
        <is>
          <t>3 minute(s) and 36 second(s)</t>
        </is>
      </c>
      <c r="J3473" s="25">
        <f>IFERROR(VALUE(TRIM(LEFT(I3473,FIND("minute",I3473)-1)))*60,0)+IFERROR(VALUE(SUBSTITUTE(MID(I3473,IFERROR(FIND("and",I3473)+3,1),20),"second(s)","")),0)</f>
        <v/>
      </c>
      <c r="K3473" s="41">
        <f>J3473/60</f>
        <v/>
      </c>
      <c r="L3473" s="41">
        <f>IFERROR(J3473/H3473,"")</f>
        <v/>
      </c>
      <c r="M3473" s="25" t="inlineStr">
        <is>
          <t>2.5.12</t>
        </is>
      </c>
      <c r="N3473" s="25">
        <f>IF(J3473&gt;300,1,0)</f>
        <v/>
      </c>
      <c r="O3473" s="25">
        <f>IF(J3473&gt;600,1,0)</f>
        <v/>
      </c>
      <c r="P3473" s="25">
        <f>IF(H3473&gt;0,J3473,"")</f>
        <v/>
      </c>
      <c r="Q3473" s="25">
        <f>TEXT(A3473,"YYYY-MM-DD HH")</f>
        <v/>
      </c>
      <c r="R3473" s="25">
        <f>COUNTIF($Q$2:$Q$5295,Q3473)</f>
        <v/>
      </c>
      <c r="S3473" s="25">
        <f>IF(R3473&lt;=2,"1-2",IF(R3473&lt;=5,"3-5",IF(R3473&lt;=10,"6-10","11+")))</f>
        <v/>
      </c>
    </row>
    <row r="3474">
      <c r="A3474" s="39" t="n">
        <v>46205.90873842593</v>
      </c>
      <c r="B3474" s="25">
        <f>TEXT(A3474,"YYYY-MM")</f>
        <v/>
      </c>
      <c r="C3474" s="25">
        <f>TEXT(A3474,"MMM-YYYY")</f>
        <v/>
      </c>
      <c r="D3474" s="40">
        <f>INT(A3474)-WEEKDAY(A3474,2)+1</f>
        <v/>
      </c>
      <c r="E3474" s="25" t="inlineStr">
        <is>
          <t>psingh</t>
        </is>
      </c>
      <c r="F3474" s="25" t="n">
        <v>128562</v>
      </c>
      <c r="G3474" s="25" t="n">
        <v>1</v>
      </c>
      <c r="H3474" s="25" t="n">
        <v>7</v>
      </c>
      <c r="I3474" s="25" t="inlineStr">
        <is>
          <t>5 minute(s) and 5 second(s)</t>
        </is>
      </c>
      <c r="J3474" s="25">
        <f>IFERROR(VALUE(TRIM(LEFT(I3474,FIND("minute",I3474)-1)))*60,0)+IFERROR(VALUE(SUBSTITUTE(MID(I3474,IFERROR(FIND("and",I3474)+3,1),20),"second(s)","")),0)</f>
        <v/>
      </c>
      <c r="K3474" s="41">
        <f>J3474/60</f>
        <v/>
      </c>
      <c r="L3474" s="41">
        <f>IFERROR(J3474/H3474,"")</f>
        <v/>
      </c>
      <c r="M3474" s="25" t="inlineStr">
        <is>
          <t>2.5.12</t>
        </is>
      </c>
      <c r="N3474" s="25">
        <f>IF(J3474&gt;300,1,0)</f>
        <v/>
      </c>
      <c r="O3474" s="25">
        <f>IF(J3474&gt;600,1,0)</f>
        <v/>
      </c>
      <c r="P3474" s="25">
        <f>IF(H3474&gt;0,J3474,"")</f>
        <v/>
      </c>
      <c r="Q3474" s="25">
        <f>TEXT(A3474,"YYYY-MM-DD HH")</f>
        <v/>
      </c>
      <c r="R3474" s="25">
        <f>COUNTIF($Q$2:$Q$5295,Q3474)</f>
        <v/>
      </c>
      <c r="S3474" s="25">
        <f>IF(R3474&lt;=2,"1-2",IF(R3474&lt;=5,"3-5",IF(R3474&lt;=10,"6-10","11+")))</f>
        <v/>
      </c>
    </row>
    <row r="3475">
      <c r="A3475" s="39" t="n">
        <v>46206.01111111111</v>
      </c>
      <c r="B3475" s="25">
        <f>TEXT(A3475,"YYYY-MM")</f>
        <v/>
      </c>
      <c r="C3475" s="25">
        <f>TEXT(A3475,"MMM-YYYY")</f>
        <v/>
      </c>
      <c r="D3475" s="40">
        <f>INT(A3475)-WEEKDAY(A3475,2)+1</f>
        <v/>
      </c>
      <c r="E3475" s="25" t="inlineStr">
        <is>
          <t>sswati</t>
        </is>
      </c>
      <c r="F3475" s="25" t="n">
        <v>131018</v>
      </c>
      <c r="G3475" s="25" t="n">
        <v>4</v>
      </c>
      <c r="H3475" s="25" t="n">
        <v>12</v>
      </c>
      <c r="I3475" s="25" t="inlineStr">
        <is>
          <t>4 minute(s) and 43 second(s)</t>
        </is>
      </c>
      <c r="J3475" s="25">
        <f>IFERROR(VALUE(TRIM(LEFT(I3475,FIND("minute",I3475)-1)))*60,0)+IFERROR(VALUE(SUBSTITUTE(MID(I3475,IFERROR(FIND("and",I3475)+3,1),20),"second(s)","")),0)</f>
        <v/>
      </c>
      <c r="K3475" s="41">
        <f>J3475/60</f>
        <v/>
      </c>
      <c r="L3475" s="41">
        <f>IFERROR(J3475/H3475,"")</f>
        <v/>
      </c>
      <c r="M3475" s="25" t="inlineStr">
        <is>
          <t>2.5.12</t>
        </is>
      </c>
      <c r="N3475" s="25">
        <f>IF(J3475&gt;300,1,0)</f>
        <v/>
      </c>
      <c r="O3475" s="25">
        <f>IF(J3475&gt;600,1,0)</f>
        <v/>
      </c>
      <c r="P3475" s="25">
        <f>IF(H3475&gt;0,J3475,"")</f>
        <v/>
      </c>
      <c r="Q3475" s="25">
        <f>TEXT(A3475,"YYYY-MM-DD HH")</f>
        <v/>
      </c>
      <c r="R3475" s="25">
        <f>COUNTIF($Q$2:$Q$5295,Q3475)</f>
        <v/>
      </c>
      <c r="S3475" s="25">
        <f>IF(R3475&lt;=2,"1-2",IF(R3475&lt;=5,"3-5",IF(R3475&lt;=10,"6-10","11+")))</f>
        <v/>
      </c>
    </row>
    <row r="3476">
      <c r="A3476" s="39" t="n">
        <v>46206.05297453704</v>
      </c>
      <c r="B3476" s="25">
        <f>TEXT(A3476,"YYYY-MM")</f>
        <v/>
      </c>
      <c r="C3476" s="25">
        <f>TEXT(A3476,"MMM-YYYY")</f>
        <v/>
      </c>
      <c r="D3476" s="40">
        <f>INT(A3476)-WEEKDAY(A3476,2)+1</f>
        <v/>
      </c>
      <c r="E3476" s="25" t="inlineStr">
        <is>
          <t>shassan</t>
        </is>
      </c>
      <c r="F3476" s="25" t="n">
        <v>128666</v>
      </c>
      <c r="G3476" s="25" t="n">
        <v>4</v>
      </c>
      <c r="H3476" s="25" t="n">
        <v>20</v>
      </c>
      <c r="I3476" s="25" t="inlineStr">
        <is>
          <t>9 minute(s) and 9 second(s)</t>
        </is>
      </c>
      <c r="J3476" s="25">
        <f>IFERROR(VALUE(TRIM(LEFT(I3476,FIND("minute",I3476)-1)))*60,0)+IFERROR(VALUE(SUBSTITUTE(MID(I3476,IFERROR(FIND("and",I3476)+3,1),20),"second(s)","")),0)</f>
        <v/>
      </c>
      <c r="K3476" s="41">
        <f>J3476/60</f>
        <v/>
      </c>
      <c r="L3476" s="41">
        <f>IFERROR(J3476/H3476,"")</f>
        <v/>
      </c>
      <c r="M3476" s="25" t="inlineStr">
        <is>
          <t>2.5.12</t>
        </is>
      </c>
      <c r="N3476" s="25">
        <f>IF(J3476&gt;300,1,0)</f>
        <v/>
      </c>
      <c r="O3476" s="25">
        <f>IF(J3476&gt;600,1,0)</f>
        <v/>
      </c>
      <c r="P3476" s="25">
        <f>IF(H3476&gt;0,J3476,"")</f>
        <v/>
      </c>
      <c r="Q3476" s="25">
        <f>TEXT(A3476,"YYYY-MM-DD HH")</f>
        <v/>
      </c>
      <c r="R3476" s="25">
        <f>COUNTIF($Q$2:$Q$5295,Q3476)</f>
        <v/>
      </c>
      <c r="S3476" s="25">
        <f>IF(R3476&lt;=2,"1-2",IF(R3476&lt;=5,"3-5",IF(R3476&lt;=10,"6-10","11+")))</f>
        <v/>
      </c>
    </row>
    <row r="3477">
      <c r="A3477" s="39" t="n">
        <v>46206.06773148148</v>
      </c>
      <c r="B3477" s="25">
        <f>TEXT(A3477,"YYYY-MM")</f>
        <v/>
      </c>
      <c r="C3477" s="25">
        <f>TEXT(A3477,"MMM-YYYY")</f>
        <v/>
      </c>
      <c r="D3477" s="40">
        <f>INT(A3477)-WEEKDAY(A3477,2)+1</f>
        <v/>
      </c>
      <c r="E3477" s="25" t="inlineStr">
        <is>
          <t>sswati</t>
        </is>
      </c>
      <c r="F3477" s="25" t="n">
        <v>132441</v>
      </c>
      <c r="G3477" s="25" t="n">
        <v>4</v>
      </c>
      <c r="H3477" s="25" t="n">
        <v>10</v>
      </c>
      <c r="I3477" s="25" t="inlineStr">
        <is>
          <t>4 minute(s) and 21 second(s)</t>
        </is>
      </c>
      <c r="J3477" s="25">
        <f>IFERROR(VALUE(TRIM(LEFT(I3477,FIND("minute",I3477)-1)))*60,0)+IFERROR(VALUE(SUBSTITUTE(MID(I3477,IFERROR(FIND("and",I3477)+3,1),20),"second(s)","")),0)</f>
        <v/>
      </c>
      <c r="K3477" s="41">
        <f>J3477/60</f>
        <v/>
      </c>
      <c r="L3477" s="41">
        <f>IFERROR(J3477/H3477,"")</f>
        <v/>
      </c>
      <c r="M3477" s="25" t="inlineStr">
        <is>
          <t>2.5.12</t>
        </is>
      </c>
      <c r="N3477" s="25">
        <f>IF(J3477&gt;300,1,0)</f>
        <v/>
      </c>
      <c r="O3477" s="25">
        <f>IF(J3477&gt;600,1,0)</f>
        <v/>
      </c>
      <c r="P3477" s="25">
        <f>IF(H3477&gt;0,J3477,"")</f>
        <v/>
      </c>
      <c r="Q3477" s="25">
        <f>TEXT(A3477,"YYYY-MM-DD HH")</f>
        <v/>
      </c>
      <c r="R3477" s="25">
        <f>COUNTIF($Q$2:$Q$5295,Q3477)</f>
        <v/>
      </c>
      <c r="S3477" s="25">
        <f>IF(R3477&lt;=2,"1-2",IF(R3477&lt;=5,"3-5",IF(R3477&lt;=10,"6-10","11+")))</f>
        <v/>
      </c>
    </row>
    <row r="3478">
      <c r="A3478" s="39" t="n">
        <v>46206.09597222223</v>
      </c>
      <c r="B3478" s="25">
        <f>TEXT(A3478,"YYYY-MM")</f>
        <v/>
      </c>
      <c r="C3478" s="25">
        <f>TEXT(A3478,"MMM-YYYY")</f>
        <v/>
      </c>
      <c r="D3478" s="40">
        <f>INT(A3478)-WEEKDAY(A3478,2)+1</f>
        <v/>
      </c>
      <c r="E3478" s="25" t="inlineStr">
        <is>
          <t>shassan</t>
        </is>
      </c>
      <c r="F3478" s="25" t="n">
        <v>127994</v>
      </c>
      <c r="G3478" s="25" t="n">
        <v>4</v>
      </c>
      <c r="H3478" s="25" t="n">
        <v>22</v>
      </c>
      <c r="I3478" s="25" t="inlineStr">
        <is>
          <t>7 minute(s) and 51 second(s)</t>
        </is>
      </c>
      <c r="J3478" s="25">
        <f>IFERROR(VALUE(TRIM(LEFT(I3478,FIND("minute",I3478)-1)))*60,0)+IFERROR(VALUE(SUBSTITUTE(MID(I3478,IFERROR(FIND("and",I3478)+3,1),20),"second(s)","")),0)</f>
        <v/>
      </c>
      <c r="K3478" s="41">
        <f>J3478/60</f>
        <v/>
      </c>
      <c r="L3478" s="41">
        <f>IFERROR(J3478/H3478,"")</f>
        <v/>
      </c>
      <c r="M3478" s="25" t="inlineStr">
        <is>
          <t>2.5.12</t>
        </is>
      </c>
      <c r="N3478" s="25">
        <f>IF(J3478&gt;300,1,0)</f>
        <v/>
      </c>
      <c r="O3478" s="25">
        <f>IF(J3478&gt;600,1,0)</f>
        <v/>
      </c>
      <c r="P3478" s="25">
        <f>IF(H3478&gt;0,J3478,"")</f>
        <v/>
      </c>
      <c r="Q3478" s="25">
        <f>TEXT(A3478,"YYYY-MM-DD HH")</f>
        <v/>
      </c>
      <c r="R3478" s="25">
        <f>COUNTIF($Q$2:$Q$5295,Q3478)</f>
        <v/>
      </c>
      <c r="S3478" s="25">
        <f>IF(R3478&lt;=2,"1-2",IF(R3478&lt;=5,"3-5",IF(R3478&lt;=10,"6-10","11+")))</f>
        <v/>
      </c>
    </row>
    <row r="3479">
      <c r="A3479" s="39" t="n">
        <v>46206.0975</v>
      </c>
      <c r="B3479" s="25">
        <f>TEXT(A3479,"YYYY-MM")</f>
        <v/>
      </c>
      <c r="C3479" s="25">
        <f>TEXT(A3479,"MMM-YYYY")</f>
        <v/>
      </c>
      <c r="D3479" s="40">
        <f>INT(A3479)-WEEKDAY(A3479,2)+1</f>
        <v/>
      </c>
      <c r="E3479" s="25" t="inlineStr">
        <is>
          <t>sthomas</t>
        </is>
      </c>
      <c r="F3479" s="25" t="n">
        <v>129746</v>
      </c>
      <c r="G3479" s="25" t="n">
        <v>1</v>
      </c>
      <c r="H3479" s="25" t="n">
        <v>5</v>
      </c>
      <c r="I3479" s="25" t="inlineStr">
        <is>
          <t>1 minute(s) and 49 second(s)</t>
        </is>
      </c>
      <c r="J3479" s="25">
        <f>IFERROR(VALUE(TRIM(LEFT(I3479,FIND("minute",I3479)-1)))*60,0)+IFERROR(VALUE(SUBSTITUTE(MID(I3479,IFERROR(FIND("and",I3479)+3,1),20),"second(s)","")),0)</f>
        <v/>
      </c>
      <c r="K3479" s="41">
        <f>J3479/60</f>
        <v/>
      </c>
      <c r="L3479" s="41">
        <f>IFERROR(J3479/H3479,"")</f>
        <v/>
      </c>
      <c r="M3479" s="25" t="inlineStr">
        <is>
          <t>2.5.12</t>
        </is>
      </c>
      <c r="N3479" s="25">
        <f>IF(J3479&gt;300,1,0)</f>
        <v/>
      </c>
      <c r="O3479" s="25">
        <f>IF(J3479&gt;600,1,0)</f>
        <v/>
      </c>
      <c r="P3479" s="25">
        <f>IF(H3479&gt;0,J3479,"")</f>
        <v/>
      </c>
      <c r="Q3479" s="25">
        <f>TEXT(A3479,"YYYY-MM-DD HH")</f>
        <v/>
      </c>
      <c r="R3479" s="25">
        <f>COUNTIF($Q$2:$Q$5295,Q3479)</f>
        <v/>
      </c>
      <c r="S3479" s="25">
        <f>IF(R3479&lt;=2,"1-2",IF(R3479&lt;=5,"3-5",IF(R3479&lt;=10,"6-10","11+")))</f>
        <v/>
      </c>
    </row>
    <row r="3480">
      <c r="A3480" s="39" t="n">
        <v>46206.11651620371</v>
      </c>
      <c r="B3480" s="25">
        <f>TEXT(A3480,"YYYY-MM")</f>
        <v/>
      </c>
      <c r="C3480" s="25">
        <f>TEXT(A3480,"MMM-YYYY")</f>
        <v/>
      </c>
      <c r="D3480" s="40">
        <f>INT(A3480)-WEEKDAY(A3480,2)+1</f>
        <v/>
      </c>
      <c r="E3480" s="25" t="inlineStr">
        <is>
          <t>apriyadarshi</t>
        </is>
      </c>
      <c r="F3480" s="25" t="n">
        <v>128218</v>
      </c>
      <c r="G3480" s="25" t="n">
        <v>2</v>
      </c>
      <c r="H3480" s="25" t="n">
        <v>8</v>
      </c>
      <c r="I3480" s="25" t="inlineStr">
        <is>
          <t>1 minute(s) and 54 second(s)</t>
        </is>
      </c>
      <c r="J3480" s="25">
        <f>IFERROR(VALUE(TRIM(LEFT(I3480,FIND("minute",I3480)-1)))*60,0)+IFERROR(VALUE(SUBSTITUTE(MID(I3480,IFERROR(FIND("and",I3480)+3,1),20),"second(s)","")),0)</f>
        <v/>
      </c>
      <c r="K3480" s="41">
        <f>J3480/60</f>
        <v/>
      </c>
      <c r="L3480" s="41">
        <f>IFERROR(J3480/H3480,"")</f>
        <v/>
      </c>
      <c r="M3480" s="25" t="inlineStr">
        <is>
          <t>2.5.12</t>
        </is>
      </c>
      <c r="N3480" s="25">
        <f>IF(J3480&gt;300,1,0)</f>
        <v/>
      </c>
      <c r="O3480" s="25">
        <f>IF(J3480&gt;600,1,0)</f>
        <v/>
      </c>
      <c r="P3480" s="25">
        <f>IF(H3480&gt;0,J3480,"")</f>
        <v/>
      </c>
      <c r="Q3480" s="25">
        <f>TEXT(A3480,"YYYY-MM-DD HH")</f>
        <v/>
      </c>
      <c r="R3480" s="25">
        <f>COUNTIF($Q$2:$Q$5295,Q3480)</f>
        <v/>
      </c>
      <c r="S3480" s="25">
        <f>IF(R3480&lt;=2,"1-2",IF(R3480&lt;=5,"3-5",IF(R3480&lt;=10,"6-10","11+")))</f>
        <v/>
      </c>
    </row>
    <row r="3481">
      <c r="A3481" s="39" t="n">
        <v>46206.12017361111</v>
      </c>
      <c r="B3481" s="25">
        <f>TEXT(A3481,"YYYY-MM")</f>
        <v/>
      </c>
      <c r="C3481" s="25">
        <f>TEXT(A3481,"MMM-YYYY")</f>
        <v/>
      </c>
      <c r="D3481" s="40">
        <f>INT(A3481)-WEEKDAY(A3481,2)+1</f>
        <v/>
      </c>
      <c r="E3481" s="25" t="inlineStr">
        <is>
          <t>ethomas</t>
        </is>
      </c>
      <c r="F3481" s="25" t="n">
        <v>128510</v>
      </c>
      <c r="G3481" s="25" t="n">
        <v>2</v>
      </c>
      <c r="H3481" s="25" t="n">
        <v>12</v>
      </c>
      <c r="I3481" s="25" t="inlineStr">
        <is>
          <t>6 minute(s) and 38 second(s)</t>
        </is>
      </c>
      <c r="J3481" s="25">
        <f>IFERROR(VALUE(TRIM(LEFT(I3481,FIND("minute",I3481)-1)))*60,0)+IFERROR(VALUE(SUBSTITUTE(MID(I3481,IFERROR(FIND("and",I3481)+3,1),20),"second(s)","")),0)</f>
        <v/>
      </c>
      <c r="K3481" s="41">
        <f>J3481/60</f>
        <v/>
      </c>
      <c r="L3481" s="41">
        <f>IFERROR(J3481/H3481,"")</f>
        <v/>
      </c>
      <c r="M3481" s="25" t="inlineStr">
        <is>
          <t>2.5.12</t>
        </is>
      </c>
      <c r="N3481" s="25">
        <f>IF(J3481&gt;300,1,0)</f>
        <v/>
      </c>
      <c r="O3481" s="25">
        <f>IF(J3481&gt;600,1,0)</f>
        <v/>
      </c>
      <c r="P3481" s="25">
        <f>IF(H3481&gt;0,J3481,"")</f>
        <v/>
      </c>
      <c r="Q3481" s="25">
        <f>TEXT(A3481,"YYYY-MM-DD HH")</f>
        <v/>
      </c>
      <c r="R3481" s="25">
        <f>COUNTIF($Q$2:$Q$5295,Q3481)</f>
        <v/>
      </c>
      <c r="S3481" s="25">
        <f>IF(R3481&lt;=2,"1-2",IF(R3481&lt;=5,"3-5",IF(R3481&lt;=10,"6-10","11+")))</f>
        <v/>
      </c>
    </row>
    <row r="3482">
      <c r="A3482" s="39" t="n">
        <v>46206.1312962963</v>
      </c>
      <c r="B3482" s="25">
        <f>TEXT(A3482,"YYYY-MM")</f>
        <v/>
      </c>
      <c r="C3482" s="25">
        <f>TEXT(A3482,"MMM-YYYY")</f>
        <v/>
      </c>
      <c r="D3482" s="40">
        <f>INT(A3482)-WEEKDAY(A3482,2)+1</f>
        <v/>
      </c>
      <c r="E3482" s="25" t="inlineStr">
        <is>
          <t>pgautam</t>
        </is>
      </c>
      <c r="F3482" s="25" t="n">
        <v>128066</v>
      </c>
      <c r="G3482" s="25" t="n">
        <v>3</v>
      </c>
      <c r="H3482" s="25" t="n">
        <v>9</v>
      </c>
      <c r="I3482" s="25" t="inlineStr">
        <is>
          <t>3 minute(s) and 9 second(s)</t>
        </is>
      </c>
      <c r="J3482" s="25">
        <f>IFERROR(VALUE(TRIM(LEFT(I3482,FIND("minute",I3482)-1)))*60,0)+IFERROR(VALUE(SUBSTITUTE(MID(I3482,IFERROR(FIND("and",I3482)+3,1),20),"second(s)","")),0)</f>
        <v/>
      </c>
      <c r="K3482" s="41">
        <f>J3482/60</f>
        <v/>
      </c>
      <c r="L3482" s="41">
        <f>IFERROR(J3482/H3482,"")</f>
        <v/>
      </c>
      <c r="M3482" s="25" t="inlineStr">
        <is>
          <t>2.5.12</t>
        </is>
      </c>
      <c r="N3482" s="25">
        <f>IF(J3482&gt;300,1,0)</f>
        <v/>
      </c>
      <c r="O3482" s="25">
        <f>IF(J3482&gt;600,1,0)</f>
        <v/>
      </c>
      <c r="P3482" s="25">
        <f>IF(H3482&gt;0,J3482,"")</f>
        <v/>
      </c>
      <c r="Q3482" s="25">
        <f>TEXT(A3482,"YYYY-MM-DD HH")</f>
        <v/>
      </c>
      <c r="R3482" s="25">
        <f>COUNTIF($Q$2:$Q$5295,Q3482)</f>
        <v/>
      </c>
      <c r="S3482" s="25">
        <f>IF(R3482&lt;=2,"1-2",IF(R3482&lt;=5,"3-5",IF(R3482&lt;=10,"6-10","11+")))</f>
        <v/>
      </c>
    </row>
    <row r="3483">
      <c r="A3483" s="39" t="n">
        <v>46206.16567129629</v>
      </c>
      <c r="B3483" s="25">
        <f>TEXT(A3483,"YYYY-MM")</f>
        <v/>
      </c>
      <c r="C3483" s="25">
        <f>TEXT(A3483,"MMM-YYYY")</f>
        <v/>
      </c>
      <c r="D3483" s="40">
        <f>INT(A3483)-WEEKDAY(A3483,2)+1</f>
        <v/>
      </c>
      <c r="E3483" s="25" t="inlineStr">
        <is>
          <t>stiwari</t>
        </is>
      </c>
      <c r="F3483" s="25" t="n">
        <v>130330</v>
      </c>
      <c r="G3483" s="25" t="n">
        <v>1</v>
      </c>
      <c r="H3483" s="25" t="n">
        <v>8</v>
      </c>
      <c r="I3483" s="25" t="inlineStr">
        <is>
          <t>1 minute(s) and 38 second(s)</t>
        </is>
      </c>
      <c r="J3483" s="25">
        <f>IFERROR(VALUE(TRIM(LEFT(I3483,FIND("minute",I3483)-1)))*60,0)+IFERROR(VALUE(SUBSTITUTE(MID(I3483,IFERROR(FIND("and",I3483)+3,1),20),"second(s)","")),0)</f>
        <v/>
      </c>
      <c r="K3483" s="41">
        <f>J3483/60</f>
        <v/>
      </c>
      <c r="L3483" s="41">
        <f>IFERROR(J3483/H3483,"")</f>
        <v/>
      </c>
      <c r="M3483" s="25" t="inlineStr">
        <is>
          <t>2.5.12</t>
        </is>
      </c>
      <c r="N3483" s="25">
        <f>IF(J3483&gt;300,1,0)</f>
        <v/>
      </c>
      <c r="O3483" s="25">
        <f>IF(J3483&gt;600,1,0)</f>
        <v/>
      </c>
      <c r="P3483" s="25">
        <f>IF(H3483&gt;0,J3483,"")</f>
        <v/>
      </c>
      <c r="Q3483" s="25">
        <f>TEXT(A3483,"YYYY-MM-DD HH")</f>
        <v/>
      </c>
      <c r="R3483" s="25">
        <f>COUNTIF($Q$2:$Q$5295,Q3483)</f>
        <v/>
      </c>
      <c r="S3483" s="25">
        <f>IF(R3483&lt;=2,"1-2",IF(R3483&lt;=5,"3-5",IF(R3483&lt;=10,"6-10","11+")))</f>
        <v/>
      </c>
    </row>
    <row r="3484">
      <c r="A3484" s="39" t="n">
        <v>46206.18054398148</v>
      </c>
      <c r="B3484" s="25">
        <f>TEXT(A3484,"YYYY-MM")</f>
        <v/>
      </c>
      <c r="C3484" s="25">
        <f>TEXT(A3484,"MMM-YYYY")</f>
        <v/>
      </c>
      <c r="D3484" s="40">
        <f>INT(A3484)-WEEKDAY(A3484,2)+1</f>
        <v/>
      </c>
      <c r="E3484" s="25" t="inlineStr">
        <is>
          <t>shassan</t>
        </is>
      </c>
      <c r="F3484" s="25" t="n">
        <v>129346</v>
      </c>
      <c r="G3484" s="25" t="n">
        <v>2</v>
      </c>
      <c r="H3484" s="25" t="n">
        <v>6</v>
      </c>
      <c r="I3484" s="25" t="inlineStr">
        <is>
          <t>3 minute(s) and 9 second(s)</t>
        </is>
      </c>
      <c r="J3484" s="25">
        <f>IFERROR(VALUE(TRIM(LEFT(I3484,FIND("minute",I3484)-1)))*60,0)+IFERROR(VALUE(SUBSTITUTE(MID(I3484,IFERROR(FIND("and",I3484)+3,1),20),"second(s)","")),0)</f>
        <v/>
      </c>
      <c r="K3484" s="41">
        <f>J3484/60</f>
        <v/>
      </c>
      <c r="L3484" s="41">
        <f>IFERROR(J3484/H3484,"")</f>
        <v/>
      </c>
      <c r="M3484" s="25" t="inlineStr">
        <is>
          <t>2.5.12</t>
        </is>
      </c>
      <c r="N3484" s="25">
        <f>IF(J3484&gt;300,1,0)</f>
        <v/>
      </c>
      <c r="O3484" s="25">
        <f>IF(J3484&gt;600,1,0)</f>
        <v/>
      </c>
      <c r="P3484" s="25">
        <f>IF(H3484&gt;0,J3484,"")</f>
        <v/>
      </c>
      <c r="Q3484" s="25">
        <f>TEXT(A3484,"YYYY-MM-DD HH")</f>
        <v/>
      </c>
      <c r="R3484" s="25">
        <f>COUNTIF($Q$2:$Q$5295,Q3484)</f>
        <v/>
      </c>
      <c r="S3484" s="25">
        <f>IF(R3484&lt;=2,"1-2",IF(R3484&lt;=5,"3-5",IF(R3484&lt;=10,"6-10","11+")))</f>
        <v/>
      </c>
    </row>
    <row r="3485">
      <c r="A3485" s="39" t="n">
        <v>46206.18423611111</v>
      </c>
      <c r="B3485" s="25">
        <f>TEXT(A3485,"YYYY-MM")</f>
        <v/>
      </c>
      <c r="C3485" s="25">
        <f>TEXT(A3485,"MMM-YYYY")</f>
        <v/>
      </c>
      <c r="D3485" s="40">
        <f>INT(A3485)-WEEKDAY(A3485,2)+1</f>
        <v/>
      </c>
      <c r="E3485" s="25" t="inlineStr">
        <is>
          <t>psathwika</t>
        </is>
      </c>
      <c r="F3485" s="25" t="n">
        <v>129162</v>
      </c>
      <c r="G3485" s="25" t="n">
        <v>2</v>
      </c>
      <c r="H3485" s="25" t="n">
        <v>8</v>
      </c>
      <c r="I3485" s="25" t="inlineStr">
        <is>
          <t>2 minute(s) and 59 second(s)</t>
        </is>
      </c>
      <c r="J3485" s="25">
        <f>IFERROR(VALUE(TRIM(LEFT(I3485,FIND("minute",I3485)-1)))*60,0)+IFERROR(VALUE(SUBSTITUTE(MID(I3485,IFERROR(FIND("and",I3485)+3,1),20),"second(s)","")),0)</f>
        <v/>
      </c>
      <c r="K3485" s="41">
        <f>J3485/60</f>
        <v/>
      </c>
      <c r="L3485" s="41">
        <f>IFERROR(J3485/H3485,"")</f>
        <v/>
      </c>
      <c r="M3485" s="25" t="inlineStr">
        <is>
          <t>2.5.12</t>
        </is>
      </c>
      <c r="N3485" s="25">
        <f>IF(J3485&gt;300,1,0)</f>
        <v/>
      </c>
      <c r="O3485" s="25">
        <f>IF(J3485&gt;600,1,0)</f>
        <v/>
      </c>
      <c r="P3485" s="25">
        <f>IF(H3485&gt;0,J3485,"")</f>
        <v/>
      </c>
      <c r="Q3485" s="25">
        <f>TEXT(A3485,"YYYY-MM-DD HH")</f>
        <v/>
      </c>
      <c r="R3485" s="25">
        <f>COUNTIF($Q$2:$Q$5295,Q3485)</f>
        <v/>
      </c>
      <c r="S3485" s="25">
        <f>IF(R3485&lt;=2,"1-2",IF(R3485&lt;=5,"3-5",IF(R3485&lt;=10,"6-10","11+")))</f>
        <v/>
      </c>
    </row>
    <row r="3486">
      <c r="A3486" s="39" t="n">
        <v>46206.18775462963</v>
      </c>
      <c r="B3486" s="25">
        <f>TEXT(A3486,"YYYY-MM")</f>
        <v/>
      </c>
      <c r="C3486" s="25">
        <f>TEXT(A3486,"MMM-YYYY")</f>
        <v/>
      </c>
      <c r="D3486" s="40">
        <f>INT(A3486)-WEEKDAY(A3486,2)+1</f>
        <v/>
      </c>
      <c r="E3486" s="25" t="inlineStr">
        <is>
          <t>mgupta</t>
        </is>
      </c>
      <c r="F3486" s="25" t="n">
        <v>130610</v>
      </c>
      <c r="G3486" s="25" t="n">
        <v>2</v>
      </c>
      <c r="H3486" s="25" t="n">
        <v>8</v>
      </c>
      <c r="I3486" s="25" t="inlineStr">
        <is>
          <t>1 minute(s) and 50 second(s)</t>
        </is>
      </c>
      <c r="J3486" s="25">
        <f>IFERROR(VALUE(TRIM(LEFT(I3486,FIND("minute",I3486)-1)))*60,0)+IFERROR(VALUE(SUBSTITUTE(MID(I3486,IFERROR(FIND("and",I3486)+3,1),20),"second(s)","")),0)</f>
        <v/>
      </c>
      <c r="K3486" s="41">
        <f>J3486/60</f>
        <v/>
      </c>
      <c r="L3486" s="41">
        <f>IFERROR(J3486/H3486,"")</f>
        <v/>
      </c>
      <c r="M3486" s="25" t="inlineStr">
        <is>
          <t>2.5.12</t>
        </is>
      </c>
      <c r="N3486" s="25">
        <f>IF(J3486&gt;300,1,0)</f>
        <v/>
      </c>
      <c r="O3486" s="25">
        <f>IF(J3486&gt;600,1,0)</f>
        <v/>
      </c>
      <c r="P3486" s="25">
        <f>IF(H3486&gt;0,J3486,"")</f>
        <v/>
      </c>
      <c r="Q3486" s="25">
        <f>TEXT(A3486,"YYYY-MM-DD HH")</f>
        <v/>
      </c>
      <c r="R3486" s="25">
        <f>COUNTIF($Q$2:$Q$5295,Q3486)</f>
        <v/>
      </c>
      <c r="S3486" s="25">
        <f>IF(R3486&lt;=2,"1-2",IF(R3486&lt;=5,"3-5",IF(R3486&lt;=10,"6-10","11+")))</f>
        <v/>
      </c>
    </row>
    <row r="3487">
      <c r="A3487" s="39" t="n">
        <v>46206.19158564815</v>
      </c>
      <c r="B3487" s="25">
        <f>TEXT(A3487,"YYYY-MM")</f>
        <v/>
      </c>
      <c r="C3487" s="25">
        <f>TEXT(A3487,"MMM-YYYY")</f>
        <v/>
      </c>
      <c r="D3487" s="40">
        <f>INT(A3487)-WEEKDAY(A3487,2)+1</f>
        <v/>
      </c>
      <c r="E3487" s="25" t="inlineStr">
        <is>
          <t>tkarmakar</t>
        </is>
      </c>
      <c r="F3487" s="25" t="n">
        <v>128018</v>
      </c>
      <c r="G3487" s="25" t="n">
        <v>1</v>
      </c>
      <c r="H3487" s="25" t="n">
        <v>5</v>
      </c>
      <c r="I3487" s="25" t="inlineStr">
        <is>
          <t>2 minute(s) and 11 second(s)</t>
        </is>
      </c>
      <c r="J3487" s="25">
        <f>IFERROR(VALUE(TRIM(LEFT(I3487,FIND("minute",I3487)-1)))*60,0)+IFERROR(VALUE(SUBSTITUTE(MID(I3487,IFERROR(FIND("and",I3487)+3,1),20),"second(s)","")),0)</f>
        <v/>
      </c>
      <c r="K3487" s="41">
        <f>J3487/60</f>
        <v/>
      </c>
      <c r="L3487" s="41">
        <f>IFERROR(J3487/H3487,"")</f>
        <v/>
      </c>
      <c r="M3487" s="25" t="inlineStr">
        <is>
          <t>2.5.12</t>
        </is>
      </c>
      <c r="N3487" s="25">
        <f>IF(J3487&gt;300,1,0)</f>
        <v/>
      </c>
      <c r="O3487" s="25">
        <f>IF(J3487&gt;600,1,0)</f>
        <v/>
      </c>
      <c r="P3487" s="25">
        <f>IF(H3487&gt;0,J3487,"")</f>
        <v/>
      </c>
      <c r="Q3487" s="25">
        <f>TEXT(A3487,"YYYY-MM-DD HH")</f>
        <v/>
      </c>
      <c r="R3487" s="25">
        <f>COUNTIF($Q$2:$Q$5295,Q3487)</f>
        <v/>
      </c>
      <c r="S3487" s="25">
        <f>IF(R3487&lt;=2,"1-2",IF(R3487&lt;=5,"3-5",IF(R3487&lt;=10,"6-10","11+")))</f>
        <v/>
      </c>
    </row>
    <row r="3488">
      <c r="A3488" s="39" t="n">
        <v>46206.19857638889</v>
      </c>
      <c r="B3488" s="25">
        <f>TEXT(A3488,"YYYY-MM")</f>
        <v/>
      </c>
      <c r="C3488" s="25">
        <f>TEXT(A3488,"MMM-YYYY")</f>
        <v/>
      </c>
      <c r="D3488" s="40">
        <f>INT(A3488)-WEEKDAY(A3488,2)+1</f>
        <v/>
      </c>
      <c r="E3488" s="25" t="inlineStr">
        <is>
          <t>asahoo</t>
        </is>
      </c>
      <c r="F3488" s="25" t="n">
        <v>128561</v>
      </c>
      <c r="G3488" s="25" t="n">
        <v>1</v>
      </c>
      <c r="H3488" s="25" t="n">
        <v>5</v>
      </c>
      <c r="I3488" s="25" t="inlineStr">
        <is>
          <t>2 minute(s) and 22 second(s)</t>
        </is>
      </c>
      <c r="J3488" s="25">
        <f>IFERROR(VALUE(TRIM(LEFT(I3488,FIND("minute",I3488)-1)))*60,0)+IFERROR(VALUE(SUBSTITUTE(MID(I3488,IFERROR(FIND("and",I3488)+3,1),20),"second(s)","")),0)</f>
        <v/>
      </c>
      <c r="K3488" s="41">
        <f>J3488/60</f>
        <v/>
      </c>
      <c r="L3488" s="41">
        <f>IFERROR(J3488/H3488,"")</f>
        <v/>
      </c>
      <c r="M3488" s="25" t="inlineStr">
        <is>
          <t>2.5.12</t>
        </is>
      </c>
      <c r="N3488" s="25">
        <f>IF(J3488&gt;300,1,0)</f>
        <v/>
      </c>
      <c r="O3488" s="25">
        <f>IF(J3488&gt;600,1,0)</f>
        <v/>
      </c>
      <c r="P3488" s="25">
        <f>IF(H3488&gt;0,J3488,"")</f>
        <v/>
      </c>
      <c r="Q3488" s="25">
        <f>TEXT(A3488,"YYYY-MM-DD HH")</f>
        <v/>
      </c>
      <c r="R3488" s="25">
        <f>COUNTIF($Q$2:$Q$5295,Q3488)</f>
        <v/>
      </c>
      <c r="S3488" s="25">
        <f>IF(R3488&lt;=2,"1-2",IF(R3488&lt;=5,"3-5",IF(R3488&lt;=10,"6-10","11+")))</f>
        <v/>
      </c>
    </row>
    <row r="3489">
      <c r="A3489" s="39" t="n">
        <v>46206.20256944445</v>
      </c>
      <c r="B3489" s="25">
        <f>TEXT(A3489,"YYYY-MM")</f>
        <v/>
      </c>
      <c r="C3489" s="25">
        <f>TEXT(A3489,"MMM-YYYY")</f>
        <v/>
      </c>
      <c r="D3489" s="40">
        <f>INT(A3489)-WEEKDAY(A3489,2)+1</f>
        <v/>
      </c>
      <c r="E3489" s="25" t="inlineStr">
        <is>
          <t>stiwari</t>
        </is>
      </c>
      <c r="F3489" s="25" t="n">
        <v>132134</v>
      </c>
      <c r="G3489" s="25" t="n">
        <v>1</v>
      </c>
      <c r="H3489" s="25" t="n">
        <v>8</v>
      </c>
      <c r="I3489" s="25" t="inlineStr">
        <is>
          <t>1 minute(s) and 47 second(s)</t>
        </is>
      </c>
      <c r="J3489" s="25">
        <f>IFERROR(VALUE(TRIM(LEFT(I3489,FIND("minute",I3489)-1)))*60,0)+IFERROR(VALUE(SUBSTITUTE(MID(I3489,IFERROR(FIND("and",I3489)+3,1),20),"second(s)","")),0)</f>
        <v/>
      </c>
      <c r="K3489" s="41">
        <f>J3489/60</f>
        <v/>
      </c>
      <c r="L3489" s="41">
        <f>IFERROR(J3489/H3489,"")</f>
        <v/>
      </c>
      <c r="M3489" s="25" t="inlineStr">
        <is>
          <t>2.5.12</t>
        </is>
      </c>
      <c r="N3489" s="25">
        <f>IF(J3489&gt;300,1,0)</f>
        <v/>
      </c>
      <c r="O3489" s="25">
        <f>IF(J3489&gt;600,1,0)</f>
        <v/>
      </c>
      <c r="P3489" s="25">
        <f>IF(H3489&gt;0,J3489,"")</f>
        <v/>
      </c>
      <c r="Q3489" s="25">
        <f>TEXT(A3489,"YYYY-MM-DD HH")</f>
        <v/>
      </c>
      <c r="R3489" s="25">
        <f>COUNTIF($Q$2:$Q$5295,Q3489)</f>
        <v/>
      </c>
      <c r="S3489" s="25">
        <f>IF(R3489&lt;=2,"1-2",IF(R3489&lt;=5,"3-5",IF(R3489&lt;=10,"6-10","11+")))</f>
        <v/>
      </c>
    </row>
    <row r="3490">
      <c r="A3490" s="39" t="n">
        <v>46206.20288194445</v>
      </c>
      <c r="B3490" s="25">
        <f>TEXT(A3490,"YYYY-MM")</f>
        <v/>
      </c>
      <c r="C3490" s="25">
        <f>TEXT(A3490,"MMM-YYYY")</f>
        <v/>
      </c>
      <c r="D3490" s="40">
        <f>INT(A3490)-WEEKDAY(A3490,2)+1</f>
        <v/>
      </c>
      <c r="E3490" s="25" t="inlineStr">
        <is>
          <t>sdey</t>
        </is>
      </c>
      <c r="F3490" s="25" t="n">
        <v>128090</v>
      </c>
      <c r="G3490" s="25" t="n">
        <v>4</v>
      </c>
      <c r="H3490" s="25" t="n">
        <v>14</v>
      </c>
      <c r="I3490" s="25" t="inlineStr">
        <is>
          <t>3 minute(s) and 37 second(s)</t>
        </is>
      </c>
      <c r="J3490" s="25">
        <f>IFERROR(VALUE(TRIM(LEFT(I3490,FIND("minute",I3490)-1)))*60,0)+IFERROR(VALUE(SUBSTITUTE(MID(I3490,IFERROR(FIND("and",I3490)+3,1),20),"second(s)","")),0)</f>
        <v/>
      </c>
      <c r="K3490" s="41">
        <f>J3490/60</f>
        <v/>
      </c>
      <c r="L3490" s="41">
        <f>IFERROR(J3490/H3490,"")</f>
        <v/>
      </c>
      <c r="M3490" s="25" t="inlineStr">
        <is>
          <t>2.5.12</t>
        </is>
      </c>
      <c r="N3490" s="25">
        <f>IF(J3490&gt;300,1,0)</f>
        <v/>
      </c>
      <c r="O3490" s="25">
        <f>IF(J3490&gt;600,1,0)</f>
        <v/>
      </c>
      <c r="P3490" s="25">
        <f>IF(H3490&gt;0,J3490,"")</f>
        <v/>
      </c>
      <c r="Q3490" s="25">
        <f>TEXT(A3490,"YYYY-MM-DD HH")</f>
        <v/>
      </c>
      <c r="R3490" s="25">
        <f>COUNTIF($Q$2:$Q$5295,Q3490)</f>
        <v/>
      </c>
      <c r="S3490" s="25">
        <f>IF(R3490&lt;=2,"1-2",IF(R3490&lt;=5,"3-5",IF(R3490&lt;=10,"6-10","11+")))</f>
        <v/>
      </c>
    </row>
    <row r="3491">
      <c r="A3491" s="39" t="n">
        <v>46206.25565972222</v>
      </c>
      <c r="B3491" s="25">
        <f>TEXT(A3491,"YYYY-MM")</f>
        <v/>
      </c>
      <c r="C3491" s="25">
        <f>TEXT(A3491,"MMM-YYYY")</f>
        <v/>
      </c>
      <c r="D3491" s="40">
        <f>INT(A3491)-WEEKDAY(A3491,2)+1</f>
        <v/>
      </c>
      <c r="E3491" s="25" t="inlineStr">
        <is>
          <t>dchoudhury</t>
        </is>
      </c>
      <c r="F3491" s="25" t="n">
        <v>132438</v>
      </c>
      <c r="G3491" s="25" t="n">
        <v>2</v>
      </c>
      <c r="H3491" s="25" t="n">
        <v>8</v>
      </c>
      <c r="I3491" s="25" t="inlineStr">
        <is>
          <t>1 minute(s) and 8 second(s)</t>
        </is>
      </c>
      <c r="J3491" s="25">
        <f>IFERROR(VALUE(TRIM(LEFT(I3491,FIND("minute",I3491)-1)))*60,0)+IFERROR(VALUE(SUBSTITUTE(MID(I3491,IFERROR(FIND("and",I3491)+3,1),20),"second(s)","")),0)</f>
        <v/>
      </c>
      <c r="K3491" s="41">
        <f>J3491/60</f>
        <v/>
      </c>
      <c r="L3491" s="41">
        <f>IFERROR(J3491/H3491,"")</f>
        <v/>
      </c>
      <c r="M3491" s="25" t="inlineStr">
        <is>
          <t>2.5.12</t>
        </is>
      </c>
      <c r="N3491" s="25">
        <f>IF(J3491&gt;300,1,0)</f>
        <v/>
      </c>
      <c r="O3491" s="25">
        <f>IF(J3491&gt;600,1,0)</f>
        <v/>
      </c>
      <c r="P3491" s="25">
        <f>IF(H3491&gt;0,J3491,"")</f>
        <v/>
      </c>
      <c r="Q3491" s="25">
        <f>TEXT(A3491,"YYYY-MM-DD HH")</f>
        <v/>
      </c>
      <c r="R3491" s="25">
        <f>COUNTIF($Q$2:$Q$5295,Q3491)</f>
        <v/>
      </c>
      <c r="S3491" s="25">
        <f>IF(R3491&lt;=2,"1-2",IF(R3491&lt;=5,"3-5",IF(R3491&lt;=10,"6-10","11+")))</f>
        <v/>
      </c>
    </row>
    <row r="3492">
      <c r="A3492" s="39" t="n">
        <v>46206.26320601852</v>
      </c>
      <c r="B3492" s="25">
        <f>TEXT(A3492,"YYYY-MM")</f>
        <v/>
      </c>
      <c r="C3492" s="25">
        <f>TEXT(A3492,"MMM-YYYY")</f>
        <v/>
      </c>
      <c r="D3492" s="40">
        <f>INT(A3492)-WEEKDAY(A3492,2)+1</f>
        <v/>
      </c>
      <c r="E3492" s="25" t="inlineStr">
        <is>
          <t>psathwika</t>
        </is>
      </c>
      <c r="F3492" s="25" t="n">
        <v>132358</v>
      </c>
      <c r="G3492" s="25" t="n">
        <v>3</v>
      </c>
      <c r="H3492" s="25" t="n">
        <v>7</v>
      </c>
      <c r="I3492" s="25" t="inlineStr">
        <is>
          <t>4 minute(s) and 13 second(s)</t>
        </is>
      </c>
      <c r="J3492" s="25">
        <f>IFERROR(VALUE(TRIM(LEFT(I3492,FIND("minute",I3492)-1)))*60,0)+IFERROR(VALUE(SUBSTITUTE(MID(I3492,IFERROR(FIND("and",I3492)+3,1),20),"second(s)","")),0)</f>
        <v/>
      </c>
      <c r="K3492" s="41">
        <f>J3492/60</f>
        <v/>
      </c>
      <c r="L3492" s="41">
        <f>IFERROR(J3492/H3492,"")</f>
        <v/>
      </c>
      <c r="M3492" s="25" t="inlineStr">
        <is>
          <t>2.5.12</t>
        </is>
      </c>
      <c r="N3492" s="25">
        <f>IF(J3492&gt;300,1,0)</f>
        <v/>
      </c>
      <c r="O3492" s="25">
        <f>IF(J3492&gt;600,1,0)</f>
        <v/>
      </c>
      <c r="P3492" s="25">
        <f>IF(H3492&gt;0,J3492,"")</f>
        <v/>
      </c>
      <c r="Q3492" s="25">
        <f>TEXT(A3492,"YYYY-MM-DD HH")</f>
        <v/>
      </c>
      <c r="R3492" s="25">
        <f>COUNTIF($Q$2:$Q$5295,Q3492)</f>
        <v/>
      </c>
      <c r="S3492" s="25">
        <f>IF(R3492&lt;=2,"1-2",IF(R3492&lt;=5,"3-5",IF(R3492&lt;=10,"6-10","11+")))</f>
        <v/>
      </c>
    </row>
    <row r="3493">
      <c r="A3493" s="39" t="n">
        <v>46206.26445601852</v>
      </c>
      <c r="B3493" s="25">
        <f>TEXT(A3493,"YYYY-MM")</f>
        <v/>
      </c>
      <c r="C3493" s="25">
        <f>TEXT(A3493,"MMM-YYYY")</f>
        <v/>
      </c>
      <c r="D3493" s="40">
        <f>INT(A3493)-WEEKDAY(A3493,2)+1</f>
        <v/>
      </c>
      <c r="E3493" s="25" t="inlineStr">
        <is>
          <t>mgupta</t>
        </is>
      </c>
      <c r="F3493" s="25" t="n">
        <v>127930</v>
      </c>
      <c r="G3493" s="25" t="n">
        <v>2</v>
      </c>
      <c r="H3493" s="25" t="n">
        <v>8</v>
      </c>
      <c r="I3493" s="25" t="inlineStr">
        <is>
          <t>4 minute(s) and 26 second(s)</t>
        </is>
      </c>
      <c r="J3493" s="25">
        <f>IFERROR(VALUE(TRIM(LEFT(I3493,FIND("minute",I3493)-1)))*60,0)+IFERROR(VALUE(SUBSTITUTE(MID(I3493,IFERROR(FIND("and",I3493)+3,1),20),"second(s)","")),0)</f>
        <v/>
      </c>
      <c r="K3493" s="41">
        <f>J3493/60</f>
        <v/>
      </c>
      <c r="L3493" s="41">
        <f>IFERROR(J3493/H3493,"")</f>
        <v/>
      </c>
      <c r="M3493" s="25" t="inlineStr">
        <is>
          <t>2.5.12</t>
        </is>
      </c>
      <c r="N3493" s="25">
        <f>IF(J3493&gt;300,1,0)</f>
        <v/>
      </c>
      <c r="O3493" s="25">
        <f>IF(J3493&gt;600,1,0)</f>
        <v/>
      </c>
      <c r="P3493" s="25">
        <f>IF(H3493&gt;0,J3493,"")</f>
        <v/>
      </c>
      <c r="Q3493" s="25">
        <f>TEXT(A3493,"YYYY-MM-DD HH")</f>
        <v/>
      </c>
      <c r="R3493" s="25">
        <f>COUNTIF($Q$2:$Q$5295,Q3493)</f>
        <v/>
      </c>
      <c r="S3493" s="25">
        <f>IF(R3493&lt;=2,"1-2",IF(R3493&lt;=5,"3-5",IF(R3493&lt;=10,"6-10","11+")))</f>
        <v/>
      </c>
    </row>
    <row r="3494">
      <c r="A3494" s="39" t="n">
        <v>46206.27966435185</v>
      </c>
      <c r="B3494" s="25">
        <f>TEXT(A3494,"YYYY-MM")</f>
        <v/>
      </c>
      <c r="C3494" s="25">
        <f>TEXT(A3494,"MMM-YYYY")</f>
        <v/>
      </c>
      <c r="D3494" s="40">
        <f>INT(A3494)-WEEKDAY(A3494,2)+1</f>
        <v/>
      </c>
      <c r="E3494" s="25" t="inlineStr">
        <is>
          <t>bverma</t>
        </is>
      </c>
      <c r="F3494" s="25" t="n">
        <v>129602</v>
      </c>
      <c r="G3494" s="25" t="n">
        <v>1</v>
      </c>
      <c r="H3494" s="25" t="n">
        <v>7</v>
      </c>
      <c r="I3494" s="25" t="inlineStr">
        <is>
          <t>1 minute(s) and 4 second(s)</t>
        </is>
      </c>
      <c r="J3494" s="25">
        <f>IFERROR(VALUE(TRIM(LEFT(I3494,FIND("minute",I3494)-1)))*60,0)+IFERROR(VALUE(SUBSTITUTE(MID(I3494,IFERROR(FIND("and",I3494)+3,1),20),"second(s)","")),0)</f>
        <v/>
      </c>
      <c r="K3494" s="41">
        <f>J3494/60</f>
        <v/>
      </c>
      <c r="L3494" s="41">
        <f>IFERROR(J3494/H3494,"")</f>
        <v/>
      </c>
      <c r="M3494" s="25" t="inlineStr">
        <is>
          <t>2.5.12</t>
        </is>
      </c>
      <c r="N3494" s="25">
        <f>IF(J3494&gt;300,1,0)</f>
        <v/>
      </c>
      <c r="O3494" s="25">
        <f>IF(J3494&gt;600,1,0)</f>
        <v/>
      </c>
      <c r="P3494" s="25">
        <f>IF(H3494&gt;0,J3494,"")</f>
        <v/>
      </c>
      <c r="Q3494" s="25">
        <f>TEXT(A3494,"YYYY-MM-DD HH")</f>
        <v/>
      </c>
      <c r="R3494" s="25">
        <f>COUNTIF($Q$2:$Q$5295,Q3494)</f>
        <v/>
      </c>
      <c r="S3494" s="25">
        <f>IF(R3494&lt;=2,"1-2",IF(R3494&lt;=5,"3-5",IF(R3494&lt;=10,"6-10","11+")))</f>
        <v/>
      </c>
    </row>
    <row r="3495">
      <c r="A3495" s="39" t="n">
        <v>46206.28871527778</v>
      </c>
      <c r="B3495" s="25">
        <f>TEXT(A3495,"YYYY-MM")</f>
        <v/>
      </c>
      <c r="C3495" s="25">
        <f>TEXT(A3495,"MMM-YYYY")</f>
        <v/>
      </c>
      <c r="D3495" s="40">
        <f>INT(A3495)-WEEKDAY(A3495,2)+1</f>
        <v/>
      </c>
      <c r="E3495" s="25" t="inlineStr">
        <is>
          <t>pgautam</t>
        </is>
      </c>
      <c r="F3495" s="25" t="n">
        <v>129522</v>
      </c>
      <c r="G3495" s="25" t="n">
        <v>5</v>
      </c>
      <c r="H3495" s="25" t="n">
        <v>19</v>
      </c>
      <c r="I3495" s="25" t="inlineStr">
        <is>
          <t>4 minute(s) and 41 second(s)</t>
        </is>
      </c>
      <c r="J3495" s="25">
        <f>IFERROR(VALUE(TRIM(LEFT(I3495,FIND("minute",I3495)-1)))*60,0)+IFERROR(VALUE(SUBSTITUTE(MID(I3495,IFERROR(FIND("and",I3495)+3,1),20),"second(s)","")),0)</f>
        <v/>
      </c>
      <c r="K3495" s="41">
        <f>J3495/60</f>
        <v/>
      </c>
      <c r="L3495" s="41">
        <f>IFERROR(J3495/H3495,"")</f>
        <v/>
      </c>
      <c r="M3495" s="25" t="inlineStr">
        <is>
          <t>2.5.12</t>
        </is>
      </c>
      <c r="N3495" s="25">
        <f>IF(J3495&gt;300,1,0)</f>
        <v/>
      </c>
      <c r="O3495" s="25">
        <f>IF(J3495&gt;600,1,0)</f>
        <v/>
      </c>
      <c r="P3495" s="25">
        <f>IF(H3495&gt;0,J3495,"")</f>
        <v/>
      </c>
      <c r="Q3495" s="25">
        <f>TEXT(A3495,"YYYY-MM-DD HH")</f>
        <v/>
      </c>
      <c r="R3495" s="25">
        <f>COUNTIF($Q$2:$Q$5295,Q3495)</f>
        <v/>
      </c>
      <c r="S3495" s="25">
        <f>IF(R3495&lt;=2,"1-2",IF(R3495&lt;=5,"3-5",IF(R3495&lt;=10,"6-10","11+")))</f>
        <v/>
      </c>
    </row>
    <row r="3496">
      <c r="A3496" s="39" t="n">
        <v>46206.3091087963</v>
      </c>
      <c r="B3496" s="25">
        <f>TEXT(A3496,"YYYY-MM")</f>
        <v/>
      </c>
      <c r="C3496" s="25">
        <f>TEXT(A3496,"MMM-YYYY")</f>
        <v/>
      </c>
      <c r="D3496" s="40">
        <f>INT(A3496)-WEEKDAY(A3496,2)+1</f>
        <v/>
      </c>
      <c r="E3496" s="25" t="inlineStr">
        <is>
          <t>ethomas</t>
        </is>
      </c>
      <c r="F3496" s="25" t="n">
        <v>130338</v>
      </c>
      <c r="G3496" s="25" t="n">
        <v>1</v>
      </c>
      <c r="H3496" s="25" t="n">
        <v>8</v>
      </c>
      <c r="I3496" s="25" t="inlineStr">
        <is>
          <t>6 minute(s) and 30 second(s)</t>
        </is>
      </c>
      <c r="J3496" s="25">
        <f>IFERROR(VALUE(TRIM(LEFT(I3496,FIND("minute",I3496)-1)))*60,0)+IFERROR(VALUE(SUBSTITUTE(MID(I3496,IFERROR(FIND("and",I3496)+3,1),20),"second(s)","")),0)</f>
        <v/>
      </c>
      <c r="K3496" s="41">
        <f>J3496/60</f>
        <v/>
      </c>
      <c r="L3496" s="41">
        <f>IFERROR(J3496/H3496,"")</f>
        <v/>
      </c>
      <c r="M3496" s="25" t="inlineStr">
        <is>
          <t>2.5.12</t>
        </is>
      </c>
      <c r="N3496" s="25">
        <f>IF(J3496&gt;300,1,0)</f>
        <v/>
      </c>
      <c r="O3496" s="25">
        <f>IF(J3496&gt;600,1,0)</f>
        <v/>
      </c>
      <c r="P3496" s="25">
        <f>IF(H3496&gt;0,J3496,"")</f>
        <v/>
      </c>
      <c r="Q3496" s="25">
        <f>TEXT(A3496,"YYYY-MM-DD HH")</f>
        <v/>
      </c>
      <c r="R3496" s="25">
        <f>COUNTIF($Q$2:$Q$5295,Q3496)</f>
        <v/>
      </c>
      <c r="S3496" s="25">
        <f>IF(R3496&lt;=2,"1-2",IF(R3496&lt;=5,"3-5",IF(R3496&lt;=10,"6-10","11+")))</f>
        <v/>
      </c>
    </row>
    <row r="3497">
      <c r="A3497" s="39" t="n">
        <v>46206.33266203704</v>
      </c>
      <c r="B3497" s="25">
        <f>TEXT(A3497,"YYYY-MM")</f>
        <v/>
      </c>
      <c r="C3497" s="25">
        <f>TEXT(A3497,"MMM-YYYY")</f>
        <v/>
      </c>
      <c r="D3497" s="40">
        <f>INT(A3497)-WEEKDAY(A3497,2)+1</f>
        <v/>
      </c>
      <c r="E3497" s="25" t="inlineStr">
        <is>
          <t>apriyadarshi</t>
        </is>
      </c>
      <c r="F3497" s="25" t="n">
        <v>128329</v>
      </c>
      <c r="G3497" s="25" t="n">
        <v>2</v>
      </c>
      <c r="H3497" s="25" t="n">
        <v>12</v>
      </c>
      <c r="I3497" s="25" t="inlineStr">
        <is>
          <t>3 minute(s) and 55 second(s)</t>
        </is>
      </c>
      <c r="J3497" s="25">
        <f>IFERROR(VALUE(TRIM(LEFT(I3497,FIND("minute",I3497)-1)))*60,0)+IFERROR(VALUE(SUBSTITUTE(MID(I3497,IFERROR(FIND("and",I3497)+3,1),20),"second(s)","")),0)</f>
        <v/>
      </c>
      <c r="K3497" s="41">
        <f>J3497/60</f>
        <v/>
      </c>
      <c r="L3497" s="41">
        <f>IFERROR(J3497/H3497,"")</f>
        <v/>
      </c>
      <c r="M3497" s="25" t="inlineStr">
        <is>
          <t>2.5.12</t>
        </is>
      </c>
      <c r="N3497" s="25">
        <f>IF(J3497&gt;300,1,0)</f>
        <v/>
      </c>
      <c r="O3497" s="25">
        <f>IF(J3497&gt;600,1,0)</f>
        <v/>
      </c>
      <c r="P3497" s="25">
        <f>IF(H3497&gt;0,J3497,"")</f>
        <v/>
      </c>
      <c r="Q3497" s="25">
        <f>TEXT(A3497,"YYYY-MM-DD HH")</f>
        <v/>
      </c>
      <c r="R3497" s="25">
        <f>COUNTIF($Q$2:$Q$5295,Q3497)</f>
        <v/>
      </c>
      <c r="S3497" s="25">
        <f>IF(R3497&lt;=2,"1-2",IF(R3497&lt;=5,"3-5",IF(R3497&lt;=10,"6-10","11+")))</f>
        <v/>
      </c>
    </row>
    <row r="3498">
      <c r="A3498" s="39" t="n">
        <v>46206.33563657408</v>
      </c>
      <c r="B3498" s="25">
        <f>TEXT(A3498,"YYYY-MM")</f>
        <v/>
      </c>
      <c r="C3498" s="25">
        <f>TEXT(A3498,"MMM-YYYY")</f>
        <v/>
      </c>
      <c r="D3498" s="40">
        <f>INT(A3498)-WEEKDAY(A3498,2)+1</f>
        <v/>
      </c>
      <c r="E3498" s="25" t="inlineStr">
        <is>
          <t>pgautam</t>
        </is>
      </c>
      <c r="F3498" s="25" t="n">
        <v>130122</v>
      </c>
      <c r="G3498" s="25" t="n">
        <v>4</v>
      </c>
      <c r="H3498" s="25" t="n">
        <v>20</v>
      </c>
      <c r="I3498" s="25" t="inlineStr">
        <is>
          <t>5 minute(s) and 58 second(s)</t>
        </is>
      </c>
      <c r="J3498" s="25">
        <f>IFERROR(VALUE(TRIM(LEFT(I3498,FIND("minute",I3498)-1)))*60,0)+IFERROR(VALUE(SUBSTITUTE(MID(I3498,IFERROR(FIND("and",I3498)+3,1),20),"second(s)","")),0)</f>
        <v/>
      </c>
      <c r="K3498" s="41">
        <f>J3498/60</f>
        <v/>
      </c>
      <c r="L3498" s="41">
        <f>IFERROR(J3498/H3498,"")</f>
        <v/>
      </c>
      <c r="M3498" s="25" t="inlineStr">
        <is>
          <t>2.5.12</t>
        </is>
      </c>
      <c r="N3498" s="25">
        <f>IF(J3498&gt;300,1,0)</f>
        <v/>
      </c>
      <c r="O3498" s="25">
        <f>IF(J3498&gt;600,1,0)</f>
        <v/>
      </c>
      <c r="P3498" s="25">
        <f>IF(H3498&gt;0,J3498,"")</f>
        <v/>
      </c>
      <c r="Q3498" s="25">
        <f>TEXT(A3498,"YYYY-MM-DD HH")</f>
        <v/>
      </c>
      <c r="R3498" s="25">
        <f>COUNTIF($Q$2:$Q$5295,Q3498)</f>
        <v/>
      </c>
      <c r="S3498" s="25">
        <f>IF(R3498&lt;=2,"1-2",IF(R3498&lt;=5,"3-5",IF(R3498&lt;=10,"6-10","11+")))</f>
        <v/>
      </c>
    </row>
    <row r="3499">
      <c r="A3499" s="39" t="n">
        <v>46206.34866898148</v>
      </c>
      <c r="B3499" s="25">
        <f>TEXT(A3499,"YYYY-MM")</f>
        <v/>
      </c>
      <c r="C3499" s="25">
        <f>TEXT(A3499,"MMM-YYYY")</f>
        <v/>
      </c>
      <c r="D3499" s="40">
        <f>INT(A3499)-WEEKDAY(A3499,2)+1</f>
        <v/>
      </c>
      <c r="E3499" s="25" t="inlineStr">
        <is>
          <t>ssaha</t>
        </is>
      </c>
      <c r="F3499" s="25" t="n">
        <v>132002</v>
      </c>
      <c r="G3499" s="25" t="n">
        <v>4</v>
      </c>
      <c r="H3499" s="25" t="n">
        <v>24</v>
      </c>
      <c r="I3499" s="25" t="inlineStr">
        <is>
          <t>5 minute(s) and 26 second(s)</t>
        </is>
      </c>
      <c r="J3499" s="25">
        <f>IFERROR(VALUE(TRIM(LEFT(I3499,FIND("minute",I3499)-1)))*60,0)+IFERROR(VALUE(SUBSTITUTE(MID(I3499,IFERROR(FIND("and",I3499)+3,1),20),"second(s)","")),0)</f>
        <v/>
      </c>
      <c r="K3499" s="41">
        <f>J3499/60</f>
        <v/>
      </c>
      <c r="L3499" s="41">
        <f>IFERROR(J3499/H3499,"")</f>
        <v/>
      </c>
      <c r="M3499" s="25" t="inlineStr">
        <is>
          <t>2.5.12</t>
        </is>
      </c>
      <c r="N3499" s="25">
        <f>IF(J3499&gt;300,1,0)</f>
        <v/>
      </c>
      <c r="O3499" s="25">
        <f>IF(J3499&gt;600,1,0)</f>
        <v/>
      </c>
      <c r="P3499" s="25">
        <f>IF(H3499&gt;0,J3499,"")</f>
        <v/>
      </c>
      <c r="Q3499" s="25">
        <f>TEXT(A3499,"YYYY-MM-DD HH")</f>
        <v/>
      </c>
      <c r="R3499" s="25">
        <f>COUNTIF($Q$2:$Q$5295,Q3499)</f>
        <v/>
      </c>
      <c r="S3499" s="25">
        <f>IF(R3499&lt;=2,"1-2",IF(R3499&lt;=5,"3-5",IF(R3499&lt;=10,"6-10","11+")))</f>
        <v/>
      </c>
    </row>
    <row r="3500">
      <c r="A3500" s="39" t="n">
        <v>46206.35079861111</v>
      </c>
      <c r="B3500" s="25">
        <f>TEXT(A3500,"YYYY-MM")</f>
        <v/>
      </c>
      <c r="C3500" s="25">
        <f>TEXT(A3500,"MMM-YYYY")</f>
        <v/>
      </c>
      <c r="D3500" s="40">
        <f>INT(A3500)-WEEKDAY(A3500,2)+1</f>
        <v/>
      </c>
      <c r="E3500" s="25" t="inlineStr">
        <is>
          <t>asahoo</t>
        </is>
      </c>
      <c r="F3500" s="25" t="n">
        <v>131970</v>
      </c>
      <c r="G3500" s="25" t="n">
        <v>2</v>
      </c>
      <c r="H3500" s="25" t="n">
        <v>10</v>
      </c>
      <c r="I3500" s="25" t="inlineStr">
        <is>
          <t>3 minute(s) and 3 second(s)</t>
        </is>
      </c>
      <c r="J3500" s="25">
        <f>IFERROR(VALUE(TRIM(LEFT(I3500,FIND("minute",I3500)-1)))*60,0)+IFERROR(VALUE(SUBSTITUTE(MID(I3500,IFERROR(FIND("and",I3500)+3,1),20),"second(s)","")),0)</f>
        <v/>
      </c>
      <c r="K3500" s="41">
        <f>J3500/60</f>
        <v/>
      </c>
      <c r="L3500" s="41">
        <f>IFERROR(J3500/H3500,"")</f>
        <v/>
      </c>
      <c r="M3500" s="25" t="inlineStr">
        <is>
          <t>2.5.12</t>
        </is>
      </c>
      <c r="N3500" s="25">
        <f>IF(J3500&gt;300,1,0)</f>
        <v/>
      </c>
      <c r="O3500" s="25">
        <f>IF(J3500&gt;600,1,0)</f>
        <v/>
      </c>
      <c r="P3500" s="25">
        <f>IF(H3500&gt;0,J3500,"")</f>
        <v/>
      </c>
      <c r="Q3500" s="25">
        <f>TEXT(A3500,"YYYY-MM-DD HH")</f>
        <v/>
      </c>
      <c r="R3500" s="25">
        <f>COUNTIF($Q$2:$Q$5295,Q3500)</f>
        <v/>
      </c>
      <c r="S3500" s="25">
        <f>IF(R3500&lt;=2,"1-2",IF(R3500&lt;=5,"3-5",IF(R3500&lt;=10,"6-10","11+")))</f>
        <v/>
      </c>
    </row>
    <row r="3501">
      <c r="A3501" s="39" t="n">
        <v>46206.37496527778</v>
      </c>
      <c r="B3501" s="25">
        <f>TEXT(A3501,"YYYY-MM")</f>
        <v/>
      </c>
      <c r="C3501" s="25">
        <f>TEXT(A3501,"MMM-YYYY")</f>
        <v/>
      </c>
      <c r="D3501" s="40">
        <f>INT(A3501)-WEEKDAY(A3501,2)+1</f>
        <v/>
      </c>
      <c r="E3501" s="25" t="inlineStr">
        <is>
          <t>bverma</t>
        </is>
      </c>
      <c r="F3501" s="25" t="n">
        <v>131593</v>
      </c>
      <c r="G3501" s="25" t="n">
        <v>1</v>
      </c>
      <c r="H3501" s="25" t="n">
        <v>5</v>
      </c>
      <c r="I3501" s="25" t="inlineStr">
        <is>
          <t>1 minute(s) and 14 second(s)</t>
        </is>
      </c>
      <c r="J3501" s="25">
        <f>IFERROR(VALUE(TRIM(LEFT(I3501,FIND("minute",I3501)-1)))*60,0)+IFERROR(VALUE(SUBSTITUTE(MID(I3501,IFERROR(FIND("and",I3501)+3,1),20),"second(s)","")),0)</f>
        <v/>
      </c>
      <c r="K3501" s="41">
        <f>J3501/60</f>
        <v/>
      </c>
      <c r="L3501" s="41">
        <f>IFERROR(J3501/H3501,"")</f>
        <v/>
      </c>
      <c r="M3501" s="25" t="inlineStr">
        <is>
          <t>2.5.12</t>
        </is>
      </c>
      <c r="N3501" s="25">
        <f>IF(J3501&gt;300,1,0)</f>
        <v/>
      </c>
      <c r="O3501" s="25">
        <f>IF(J3501&gt;600,1,0)</f>
        <v/>
      </c>
      <c r="P3501" s="25">
        <f>IF(H3501&gt;0,J3501,"")</f>
        <v/>
      </c>
      <c r="Q3501" s="25">
        <f>TEXT(A3501,"YYYY-MM-DD HH")</f>
        <v/>
      </c>
      <c r="R3501" s="25">
        <f>COUNTIF($Q$2:$Q$5295,Q3501)</f>
        <v/>
      </c>
      <c r="S3501" s="25">
        <f>IF(R3501&lt;=2,"1-2",IF(R3501&lt;=5,"3-5",IF(R3501&lt;=10,"6-10","11+")))</f>
        <v/>
      </c>
    </row>
    <row r="3502">
      <c r="A3502" s="39" t="n">
        <v>46206.38282407408</v>
      </c>
      <c r="B3502" s="25">
        <f>TEXT(A3502,"YYYY-MM")</f>
        <v/>
      </c>
      <c r="C3502" s="25">
        <f>TEXT(A3502,"MMM-YYYY")</f>
        <v/>
      </c>
      <c r="D3502" s="40">
        <f>INT(A3502)-WEEKDAY(A3502,2)+1</f>
        <v/>
      </c>
      <c r="E3502" s="25" t="inlineStr">
        <is>
          <t>ethomas</t>
        </is>
      </c>
      <c r="F3502" s="25" t="n">
        <v>132198</v>
      </c>
      <c r="G3502" s="25" t="n">
        <v>4</v>
      </c>
      <c r="H3502" s="25" t="n">
        <v>28</v>
      </c>
      <c r="I3502" s="25" t="inlineStr">
        <is>
          <t>11 minute(s) and 12 second(s)</t>
        </is>
      </c>
      <c r="J3502" s="25">
        <f>IFERROR(VALUE(TRIM(LEFT(I3502,FIND("minute",I3502)-1)))*60,0)+IFERROR(VALUE(SUBSTITUTE(MID(I3502,IFERROR(FIND("and",I3502)+3,1),20),"second(s)","")),0)</f>
        <v/>
      </c>
      <c r="K3502" s="41">
        <f>J3502/60</f>
        <v/>
      </c>
      <c r="L3502" s="41">
        <f>IFERROR(J3502/H3502,"")</f>
        <v/>
      </c>
      <c r="M3502" s="25" t="inlineStr">
        <is>
          <t>2.5.12</t>
        </is>
      </c>
      <c r="N3502" s="25">
        <f>IF(J3502&gt;300,1,0)</f>
        <v/>
      </c>
      <c r="O3502" s="25">
        <f>IF(J3502&gt;600,1,0)</f>
        <v/>
      </c>
      <c r="P3502" s="25">
        <f>IF(H3502&gt;0,J3502,"")</f>
        <v/>
      </c>
      <c r="Q3502" s="25">
        <f>TEXT(A3502,"YYYY-MM-DD HH")</f>
        <v/>
      </c>
      <c r="R3502" s="25">
        <f>COUNTIF($Q$2:$Q$5295,Q3502)</f>
        <v/>
      </c>
      <c r="S3502" s="25">
        <f>IF(R3502&lt;=2,"1-2",IF(R3502&lt;=5,"3-5",IF(R3502&lt;=10,"6-10","11+")))</f>
        <v/>
      </c>
    </row>
    <row r="3503">
      <c r="A3503" s="39" t="n">
        <v>46206.39916666667</v>
      </c>
      <c r="B3503" s="25">
        <f>TEXT(A3503,"YYYY-MM")</f>
        <v/>
      </c>
      <c r="C3503" s="25">
        <f>TEXT(A3503,"MMM-YYYY")</f>
        <v/>
      </c>
      <c r="D3503" s="40">
        <f>INT(A3503)-WEEKDAY(A3503,2)+1</f>
        <v/>
      </c>
      <c r="E3503" s="25" t="inlineStr">
        <is>
          <t>ssaha</t>
        </is>
      </c>
      <c r="F3503" s="25" t="n">
        <v>128498</v>
      </c>
      <c r="G3503" s="25" t="n">
        <v>3</v>
      </c>
      <c r="H3503" s="25" t="n">
        <v>11</v>
      </c>
      <c r="I3503" s="25" t="inlineStr">
        <is>
          <t>4 minute(s) and 12 second(s)</t>
        </is>
      </c>
      <c r="J3503" s="25">
        <f>IFERROR(VALUE(TRIM(LEFT(I3503,FIND("minute",I3503)-1)))*60,0)+IFERROR(VALUE(SUBSTITUTE(MID(I3503,IFERROR(FIND("and",I3503)+3,1),20),"second(s)","")),0)</f>
        <v/>
      </c>
      <c r="K3503" s="41">
        <f>J3503/60</f>
        <v/>
      </c>
      <c r="L3503" s="41">
        <f>IFERROR(J3503/H3503,"")</f>
        <v/>
      </c>
      <c r="M3503" s="25" t="inlineStr">
        <is>
          <t>2.5.12</t>
        </is>
      </c>
      <c r="N3503" s="25">
        <f>IF(J3503&gt;300,1,0)</f>
        <v/>
      </c>
      <c r="O3503" s="25">
        <f>IF(J3503&gt;600,1,0)</f>
        <v/>
      </c>
      <c r="P3503" s="25">
        <f>IF(H3503&gt;0,J3503,"")</f>
        <v/>
      </c>
      <c r="Q3503" s="25">
        <f>TEXT(A3503,"YYYY-MM-DD HH")</f>
        <v/>
      </c>
      <c r="R3503" s="25">
        <f>COUNTIF($Q$2:$Q$5295,Q3503)</f>
        <v/>
      </c>
      <c r="S3503" s="25">
        <f>IF(R3503&lt;=2,"1-2",IF(R3503&lt;=5,"3-5",IF(R3503&lt;=10,"6-10","11+")))</f>
        <v/>
      </c>
    </row>
    <row r="3504">
      <c r="A3504" s="39" t="n">
        <v>46206.416875</v>
      </c>
      <c r="B3504" s="25">
        <f>TEXT(A3504,"YYYY-MM")</f>
        <v/>
      </c>
      <c r="C3504" s="25">
        <f>TEXT(A3504,"MMM-YYYY")</f>
        <v/>
      </c>
      <c r="D3504" s="40">
        <f>INT(A3504)-WEEKDAY(A3504,2)+1</f>
        <v/>
      </c>
      <c r="E3504" s="25" t="inlineStr">
        <is>
          <t>asahoo</t>
        </is>
      </c>
      <c r="F3504" s="25" t="n">
        <v>129113</v>
      </c>
      <c r="G3504" s="25" t="n">
        <v>4</v>
      </c>
      <c r="H3504" s="25" t="n">
        <v>20</v>
      </c>
      <c r="I3504" s="25" t="inlineStr">
        <is>
          <t>4 minute(s) and 47 second(s)</t>
        </is>
      </c>
      <c r="J3504" s="25">
        <f>IFERROR(VALUE(TRIM(LEFT(I3504,FIND("minute",I3504)-1)))*60,0)+IFERROR(VALUE(SUBSTITUTE(MID(I3504,IFERROR(FIND("and",I3504)+3,1),20),"second(s)","")),0)</f>
        <v/>
      </c>
      <c r="K3504" s="41">
        <f>J3504/60</f>
        <v/>
      </c>
      <c r="L3504" s="41">
        <f>IFERROR(J3504/H3504,"")</f>
        <v/>
      </c>
      <c r="M3504" s="25" t="inlineStr">
        <is>
          <t>2.5.12</t>
        </is>
      </c>
      <c r="N3504" s="25">
        <f>IF(J3504&gt;300,1,0)</f>
        <v/>
      </c>
      <c r="O3504" s="25">
        <f>IF(J3504&gt;600,1,0)</f>
        <v/>
      </c>
      <c r="P3504" s="25">
        <f>IF(H3504&gt;0,J3504,"")</f>
        <v/>
      </c>
      <c r="Q3504" s="25">
        <f>TEXT(A3504,"YYYY-MM-DD HH")</f>
        <v/>
      </c>
      <c r="R3504" s="25">
        <f>COUNTIF($Q$2:$Q$5295,Q3504)</f>
        <v/>
      </c>
      <c r="S3504" s="25">
        <f>IF(R3504&lt;=2,"1-2",IF(R3504&lt;=5,"3-5",IF(R3504&lt;=10,"6-10","11+")))</f>
        <v/>
      </c>
    </row>
    <row r="3505">
      <c r="A3505" s="39" t="n">
        <v>46206.42416666666</v>
      </c>
      <c r="B3505" s="25">
        <f>TEXT(A3505,"YYYY-MM")</f>
        <v/>
      </c>
      <c r="C3505" s="25">
        <f>TEXT(A3505,"MMM-YYYY")</f>
        <v/>
      </c>
      <c r="D3505" s="40">
        <f>INT(A3505)-WEEKDAY(A3505,2)+1</f>
        <v/>
      </c>
      <c r="E3505" s="25" t="inlineStr">
        <is>
          <t>bverma</t>
        </is>
      </c>
      <c r="F3505" s="25" t="n">
        <v>130154</v>
      </c>
      <c r="G3505" s="25" t="n">
        <v>2</v>
      </c>
      <c r="H3505" s="25" t="n">
        <v>10</v>
      </c>
      <c r="I3505" s="25" t="inlineStr">
        <is>
          <t>3 minute(s) and 26 second(s)</t>
        </is>
      </c>
      <c r="J3505" s="25">
        <f>IFERROR(VALUE(TRIM(LEFT(I3505,FIND("minute",I3505)-1)))*60,0)+IFERROR(VALUE(SUBSTITUTE(MID(I3505,IFERROR(FIND("and",I3505)+3,1),20),"second(s)","")),0)</f>
        <v/>
      </c>
      <c r="K3505" s="41">
        <f>J3505/60</f>
        <v/>
      </c>
      <c r="L3505" s="41">
        <f>IFERROR(J3505/H3505,"")</f>
        <v/>
      </c>
      <c r="M3505" s="25" t="inlineStr">
        <is>
          <t>2.5.12</t>
        </is>
      </c>
      <c r="N3505" s="25">
        <f>IF(J3505&gt;300,1,0)</f>
        <v/>
      </c>
      <c r="O3505" s="25">
        <f>IF(J3505&gt;600,1,0)</f>
        <v/>
      </c>
      <c r="P3505" s="25">
        <f>IF(H3505&gt;0,J3505,"")</f>
        <v/>
      </c>
      <c r="Q3505" s="25">
        <f>TEXT(A3505,"YYYY-MM-DD HH")</f>
        <v/>
      </c>
      <c r="R3505" s="25">
        <f>COUNTIF($Q$2:$Q$5295,Q3505)</f>
        <v/>
      </c>
      <c r="S3505" s="25">
        <f>IF(R3505&lt;=2,"1-2",IF(R3505&lt;=5,"3-5",IF(R3505&lt;=10,"6-10","11+")))</f>
        <v/>
      </c>
    </row>
    <row r="3506">
      <c r="A3506" s="39" t="n">
        <v>46206.42954861111</v>
      </c>
      <c r="B3506" s="25">
        <f>TEXT(A3506,"YYYY-MM")</f>
        <v/>
      </c>
      <c r="C3506" s="25">
        <f>TEXT(A3506,"MMM-YYYY")</f>
        <v/>
      </c>
      <c r="D3506" s="40">
        <f>INT(A3506)-WEEKDAY(A3506,2)+1</f>
        <v/>
      </c>
      <c r="E3506" s="25" t="inlineStr">
        <is>
          <t>pgautam</t>
        </is>
      </c>
      <c r="F3506" s="25" t="n">
        <v>131625</v>
      </c>
      <c r="G3506" s="25" t="n">
        <v>2</v>
      </c>
      <c r="H3506" s="25" t="n">
        <v>12</v>
      </c>
      <c r="I3506" s="25" t="inlineStr">
        <is>
          <t>3 minute(s) and 31 second(s)</t>
        </is>
      </c>
      <c r="J3506" s="25">
        <f>IFERROR(VALUE(TRIM(LEFT(I3506,FIND("minute",I3506)-1)))*60,0)+IFERROR(VALUE(SUBSTITUTE(MID(I3506,IFERROR(FIND("and",I3506)+3,1),20),"second(s)","")),0)</f>
        <v/>
      </c>
      <c r="K3506" s="41">
        <f>J3506/60</f>
        <v/>
      </c>
      <c r="L3506" s="41">
        <f>IFERROR(J3506/H3506,"")</f>
        <v/>
      </c>
      <c r="M3506" s="25" t="inlineStr">
        <is>
          <t>2.5.12</t>
        </is>
      </c>
      <c r="N3506" s="25">
        <f>IF(J3506&gt;300,1,0)</f>
        <v/>
      </c>
      <c r="O3506" s="25">
        <f>IF(J3506&gt;600,1,0)</f>
        <v/>
      </c>
      <c r="P3506" s="25">
        <f>IF(H3506&gt;0,J3506,"")</f>
        <v/>
      </c>
      <c r="Q3506" s="25">
        <f>TEXT(A3506,"YYYY-MM-DD HH")</f>
        <v/>
      </c>
      <c r="R3506" s="25">
        <f>COUNTIF($Q$2:$Q$5295,Q3506)</f>
        <v/>
      </c>
      <c r="S3506" s="25">
        <f>IF(R3506&lt;=2,"1-2",IF(R3506&lt;=5,"3-5",IF(R3506&lt;=10,"6-10","11+")))</f>
        <v/>
      </c>
    </row>
    <row r="3507">
      <c r="A3507" s="39" t="n">
        <v>46206.43563657408</v>
      </c>
      <c r="B3507" s="25">
        <f>TEXT(A3507,"YYYY-MM")</f>
        <v/>
      </c>
      <c r="C3507" s="25">
        <f>TEXT(A3507,"MMM-YYYY")</f>
        <v/>
      </c>
      <c r="D3507" s="40">
        <f>INT(A3507)-WEEKDAY(A3507,2)+1</f>
        <v/>
      </c>
      <c r="E3507" s="25" t="inlineStr">
        <is>
          <t>asahoo</t>
        </is>
      </c>
      <c r="F3507" s="25" t="n">
        <v>129457</v>
      </c>
      <c r="G3507" s="25" t="n">
        <v>2</v>
      </c>
      <c r="H3507" s="25" t="n">
        <v>8</v>
      </c>
      <c r="I3507" s="25" t="inlineStr">
        <is>
          <t>3 minute(s) and 7 second(s)</t>
        </is>
      </c>
      <c r="J3507" s="25">
        <f>IFERROR(VALUE(TRIM(LEFT(I3507,FIND("minute",I3507)-1)))*60,0)+IFERROR(VALUE(SUBSTITUTE(MID(I3507,IFERROR(FIND("and",I3507)+3,1),20),"second(s)","")),0)</f>
        <v/>
      </c>
      <c r="K3507" s="41">
        <f>J3507/60</f>
        <v/>
      </c>
      <c r="L3507" s="41">
        <f>IFERROR(J3507/H3507,"")</f>
        <v/>
      </c>
      <c r="M3507" s="25" t="n">
        <v/>
      </c>
      <c r="N3507" s="25">
        <f>IF(J3507&gt;300,1,0)</f>
        <v/>
      </c>
      <c r="O3507" s="25">
        <f>IF(J3507&gt;600,1,0)</f>
        <v/>
      </c>
      <c r="P3507" s="25">
        <f>IF(H3507&gt;0,J3507,"")</f>
        <v/>
      </c>
      <c r="Q3507" s="25">
        <f>TEXT(A3507,"YYYY-MM-DD HH")</f>
        <v/>
      </c>
      <c r="R3507" s="25">
        <f>COUNTIF($Q$2:$Q$5295,Q3507)</f>
        <v/>
      </c>
      <c r="S3507" s="25">
        <f>IF(R3507&lt;=2,"1-2",IF(R3507&lt;=5,"3-5",IF(R3507&lt;=10,"6-10","11+")))</f>
        <v/>
      </c>
    </row>
    <row r="3508">
      <c r="A3508" s="39" t="n">
        <v>46206.43809027778</v>
      </c>
      <c r="B3508" s="25">
        <f>TEXT(A3508,"YYYY-MM")</f>
        <v/>
      </c>
      <c r="C3508" s="25">
        <f>TEXT(A3508,"MMM-YYYY")</f>
        <v/>
      </c>
      <c r="D3508" s="40">
        <f>INT(A3508)-WEEKDAY(A3508,2)+1</f>
        <v/>
      </c>
      <c r="E3508" s="25" t="inlineStr">
        <is>
          <t>hsindwani</t>
        </is>
      </c>
      <c r="F3508" s="25" t="n">
        <v>128370</v>
      </c>
      <c r="G3508" s="25" t="n">
        <v>2</v>
      </c>
      <c r="H3508" s="25" t="n">
        <v>14</v>
      </c>
      <c r="I3508" s="25" t="inlineStr">
        <is>
          <t>3 minute(s) and 58 second(s)</t>
        </is>
      </c>
      <c r="J3508" s="25">
        <f>IFERROR(VALUE(TRIM(LEFT(I3508,FIND("minute",I3508)-1)))*60,0)+IFERROR(VALUE(SUBSTITUTE(MID(I3508,IFERROR(FIND("and",I3508)+3,1),20),"second(s)","")),0)</f>
        <v/>
      </c>
      <c r="K3508" s="41">
        <f>J3508/60</f>
        <v/>
      </c>
      <c r="L3508" s="41">
        <f>IFERROR(J3508/H3508,"")</f>
        <v/>
      </c>
      <c r="M3508" s="25" t="inlineStr">
        <is>
          <t>2.5.12</t>
        </is>
      </c>
      <c r="N3508" s="25">
        <f>IF(J3508&gt;300,1,0)</f>
        <v/>
      </c>
      <c r="O3508" s="25">
        <f>IF(J3508&gt;600,1,0)</f>
        <v/>
      </c>
      <c r="P3508" s="25">
        <f>IF(H3508&gt;0,J3508,"")</f>
        <v/>
      </c>
      <c r="Q3508" s="25">
        <f>TEXT(A3508,"YYYY-MM-DD HH")</f>
        <v/>
      </c>
      <c r="R3508" s="25">
        <f>COUNTIF($Q$2:$Q$5295,Q3508)</f>
        <v/>
      </c>
      <c r="S3508" s="25">
        <f>IF(R3508&lt;=2,"1-2",IF(R3508&lt;=5,"3-5",IF(R3508&lt;=10,"6-10","11+")))</f>
        <v/>
      </c>
    </row>
    <row r="3509">
      <c r="A3509" s="39" t="n">
        <v>46206.43988425926</v>
      </c>
      <c r="B3509" s="25">
        <f>TEXT(A3509,"YYYY-MM")</f>
        <v/>
      </c>
      <c r="C3509" s="25">
        <f>TEXT(A3509,"MMM-YYYY")</f>
        <v/>
      </c>
      <c r="D3509" s="40">
        <f>INT(A3509)-WEEKDAY(A3509,2)+1</f>
        <v/>
      </c>
      <c r="E3509" s="25" t="inlineStr">
        <is>
          <t>psathwika</t>
        </is>
      </c>
      <c r="F3509" s="25" t="n">
        <v>131801</v>
      </c>
      <c r="G3509" s="25" t="n">
        <v>1</v>
      </c>
      <c r="H3509" s="25" t="n">
        <v>7</v>
      </c>
      <c r="I3509" s="25" t="inlineStr">
        <is>
          <t>2 minute(s) and 47 second(s)</t>
        </is>
      </c>
      <c r="J3509" s="25">
        <f>IFERROR(VALUE(TRIM(LEFT(I3509,FIND("minute",I3509)-1)))*60,0)+IFERROR(VALUE(SUBSTITUTE(MID(I3509,IFERROR(FIND("and",I3509)+3,1),20),"second(s)","")),0)</f>
        <v/>
      </c>
      <c r="K3509" s="41">
        <f>J3509/60</f>
        <v/>
      </c>
      <c r="L3509" s="41">
        <f>IFERROR(J3509/H3509,"")</f>
        <v/>
      </c>
      <c r="M3509" s="25" t="inlineStr">
        <is>
          <t>2.5.12</t>
        </is>
      </c>
      <c r="N3509" s="25">
        <f>IF(J3509&gt;300,1,0)</f>
        <v/>
      </c>
      <c r="O3509" s="25">
        <f>IF(J3509&gt;600,1,0)</f>
        <v/>
      </c>
      <c r="P3509" s="25">
        <f>IF(H3509&gt;0,J3509,"")</f>
        <v/>
      </c>
      <c r="Q3509" s="25">
        <f>TEXT(A3509,"YYYY-MM-DD HH")</f>
        <v/>
      </c>
      <c r="R3509" s="25">
        <f>COUNTIF($Q$2:$Q$5295,Q3509)</f>
        <v/>
      </c>
      <c r="S3509" s="25">
        <f>IF(R3509&lt;=2,"1-2",IF(R3509&lt;=5,"3-5",IF(R3509&lt;=10,"6-10","11+")))</f>
        <v/>
      </c>
    </row>
    <row r="3510">
      <c r="A3510" s="39" t="n">
        <v>46206.44017361111</v>
      </c>
      <c r="B3510" s="25">
        <f>TEXT(A3510,"YYYY-MM")</f>
        <v/>
      </c>
      <c r="C3510" s="25">
        <f>TEXT(A3510,"MMM-YYYY")</f>
        <v/>
      </c>
      <c r="D3510" s="40">
        <f>INT(A3510)-WEEKDAY(A3510,2)+1</f>
        <v/>
      </c>
      <c r="E3510" s="25" t="inlineStr">
        <is>
          <t>adey</t>
        </is>
      </c>
      <c r="F3510" s="25" t="n">
        <v>132313</v>
      </c>
      <c r="G3510" s="25" t="n">
        <v>2</v>
      </c>
      <c r="H3510" s="25" t="n">
        <v>10</v>
      </c>
      <c r="I3510" s="25" t="inlineStr">
        <is>
          <t>3 minute(s) and 12 second(s)</t>
        </is>
      </c>
      <c r="J3510" s="25">
        <f>IFERROR(VALUE(TRIM(LEFT(I3510,FIND("minute",I3510)-1)))*60,0)+IFERROR(VALUE(SUBSTITUTE(MID(I3510,IFERROR(FIND("and",I3510)+3,1),20),"second(s)","")),0)</f>
        <v/>
      </c>
      <c r="K3510" s="41">
        <f>J3510/60</f>
        <v/>
      </c>
      <c r="L3510" s="41">
        <f>IFERROR(J3510/H3510,"")</f>
        <v/>
      </c>
      <c r="M3510" s="25" t="inlineStr">
        <is>
          <t>2.5.12</t>
        </is>
      </c>
      <c r="N3510" s="25">
        <f>IF(J3510&gt;300,1,0)</f>
        <v/>
      </c>
      <c r="O3510" s="25">
        <f>IF(J3510&gt;600,1,0)</f>
        <v/>
      </c>
      <c r="P3510" s="25">
        <f>IF(H3510&gt;0,J3510,"")</f>
        <v/>
      </c>
      <c r="Q3510" s="25">
        <f>TEXT(A3510,"YYYY-MM-DD HH")</f>
        <v/>
      </c>
      <c r="R3510" s="25">
        <f>COUNTIF($Q$2:$Q$5295,Q3510)</f>
        <v/>
      </c>
      <c r="S3510" s="25">
        <f>IF(R3510&lt;=2,"1-2",IF(R3510&lt;=5,"3-5",IF(R3510&lt;=10,"6-10","11+")))</f>
        <v/>
      </c>
    </row>
    <row r="3511">
      <c r="A3511" s="39" t="n">
        <v>46206.44074074074</v>
      </c>
      <c r="B3511" s="25">
        <f>TEXT(A3511,"YYYY-MM")</f>
        <v/>
      </c>
      <c r="C3511" s="25">
        <f>TEXT(A3511,"MMM-YYYY")</f>
        <v/>
      </c>
      <c r="D3511" s="40">
        <f>INT(A3511)-WEEKDAY(A3511,2)+1</f>
        <v/>
      </c>
      <c r="E3511" s="25" t="inlineStr">
        <is>
          <t>mgupta</t>
        </is>
      </c>
      <c r="F3511" s="25" t="n">
        <v>132049</v>
      </c>
      <c r="G3511" s="25" t="n">
        <v>2</v>
      </c>
      <c r="H3511" s="25" t="n">
        <v>10</v>
      </c>
      <c r="I3511" s="25" t="inlineStr">
        <is>
          <t>2 minute(s) and 37 second(s)</t>
        </is>
      </c>
      <c r="J3511" s="25">
        <f>IFERROR(VALUE(TRIM(LEFT(I3511,FIND("minute",I3511)-1)))*60,0)+IFERROR(VALUE(SUBSTITUTE(MID(I3511,IFERROR(FIND("and",I3511)+3,1),20),"second(s)","")),0)</f>
        <v/>
      </c>
      <c r="K3511" s="41">
        <f>J3511/60</f>
        <v/>
      </c>
      <c r="L3511" s="41">
        <f>IFERROR(J3511/H3511,"")</f>
        <v/>
      </c>
      <c r="M3511" s="25" t="inlineStr">
        <is>
          <t>2.5.12</t>
        </is>
      </c>
      <c r="N3511" s="25">
        <f>IF(J3511&gt;300,1,0)</f>
        <v/>
      </c>
      <c r="O3511" s="25">
        <f>IF(J3511&gt;600,1,0)</f>
        <v/>
      </c>
      <c r="P3511" s="25">
        <f>IF(H3511&gt;0,J3511,"")</f>
        <v/>
      </c>
      <c r="Q3511" s="25">
        <f>TEXT(A3511,"YYYY-MM-DD HH")</f>
        <v/>
      </c>
      <c r="R3511" s="25">
        <f>COUNTIF($Q$2:$Q$5295,Q3511)</f>
        <v/>
      </c>
      <c r="S3511" s="25">
        <f>IF(R3511&lt;=2,"1-2",IF(R3511&lt;=5,"3-5",IF(R3511&lt;=10,"6-10","11+")))</f>
        <v/>
      </c>
    </row>
    <row r="3512">
      <c r="A3512" s="39" t="n">
        <v>46206.49453703704</v>
      </c>
      <c r="B3512" s="25">
        <f>TEXT(A3512,"YYYY-MM")</f>
        <v/>
      </c>
      <c r="C3512" s="25">
        <f>TEXT(A3512,"MMM-YYYY")</f>
        <v/>
      </c>
      <c r="D3512" s="40">
        <f>INT(A3512)-WEEKDAY(A3512,2)+1</f>
        <v/>
      </c>
      <c r="E3512" s="25" t="inlineStr">
        <is>
          <t>ssaha</t>
        </is>
      </c>
      <c r="F3512" s="25" t="n">
        <v>128201</v>
      </c>
      <c r="G3512" s="25" t="n">
        <v>4</v>
      </c>
      <c r="H3512" s="25" t="n">
        <v>24</v>
      </c>
      <c r="I3512" s="25" t="inlineStr">
        <is>
          <t>7 minute(s) and 18 second(s)</t>
        </is>
      </c>
      <c r="J3512" s="25">
        <f>IFERROR(VALUE(TRIM(LEFT(I3512,FIND("minute",I3512)-1)))*60,0)+IFERROR(VALUE(SUBSTITUTE(MID(I3512,IFERROR(FIND("and",I3512)+3,1),20),"second(s)","")),0)</f>
        <v/>
      </c>
      <c r="K3512" s="41">
        <f>J3512/60</f>
        <v/>
      </c>
      <c r="L3512" s="41">
        <f>IFERROR(J3512/H3512,"")</f>
        <v/>
      </c>
      <c r="M3512" s="25" t="inlineStr">
        <is>
          <t>2.5.12</t>
        </is>
      </c>
      <c r="N3512" s="25">
        <f>IF(J3512&gt;300,1,0)</f>
        <v/>
      </c>
      <c r="O3512" s="25">
        <f>IF(J3512&gt;600,1,0)</f>
        <v/>
      </c>
      <c r="P3512" s="25">
        <f>IF(H3512&gt;0,J3512,"")</f>
        <v/>
      </c>
      <c r="Q3512" s="25">
        <f>TEXT(A3512,"YYYY-MM-DD HH")</f>
        <v/>
      </c>
      <c r="R3512" s="25">
        <f>COUNTIF($Q$2:$Q$5295,Q3512)</f>
        <v/>
      </c>
      <c r="S3512" s="25">
        <f>IF(R3512&lt;=2,"1-2",IF(R3512&lt;=5,"3-5",IF(R3512&lt;=10,"6-10","11+")))</f>
        <v/>
      </c>
    </row>
    <row r="3513">
      <c r="A3513" s="39" t="n">
        <v>46206.56025462963</v>
      </c>
      <c r="B3513" s="25">
        <f>TEXT(A3513,"YYYY-MM")</f>
        <v/>
      </c>
      <c r="C3513" s="25">
        <f>TEXT(A3513,"MMM-YYYY")</f>
        <v/>
      </c>
      <c r="D3513" s="40">
        <f>INT(A3513)-WEEKDAY(A3513,2)+1</f>
        <v/>
      </c>
      <c r="E3513" s="25" t="inlineStr">
        <is>
          <t>ssaha</t>
        </is>
      </c>
      <c r="F3513" s="25" t="n">
        <v>129218</v>
      </c>
      <c r="G3513" s="25" t="n">
        <v>4</v>
      </c>
      <c r="H3513" s="25" t="n">
        <v>14</v>
      </c>
      <c r="I3513" s="25" t="inlineStr">
        <is>
          <t>8 minute(s) and 31 second(s)</t>
        </is>
      </c>
      <c r="J3513" s="25">
        <f>IFERROR(VALUE(TRIM(LEFT(I3513,FIND("minute",I3513)-1)))*60,0)+IFERROR(VALUE(SUBSTITUTE(MID(I3513,IFERROR(FIND("and",I3513)+3,1),20),"second(s)","")),0)</f>
        <v/>
      </c>
      <c r="K3513" s="41">
        <f>J3513/60</f>
        <v/>
      </c>
      <c r="L3513" s="41">
        <f>IFERROR(J3513/H3513,"")</f>
        <v/>
      </c>
      <c r="M3513" s="25" t="inlineStr">
        <is>
          <t>2.5.12</t>
        </is>
      </c>
      <c r="N3513" s="25">
        <f>IF(J3513&gt;300,1,0)</f>
        <v/>
      </c>
      <c r="O3513" s="25">
        <f>IF(J3513&gt;600,1,0)</f>
        <v/>
      </c>
      <c r="P3513" s="25">
        <f>IF(H3513&gt;0,J3513,"")</f>
        <v/>
      </c>
      <c r="Q3513" s="25">
        <f>TEXT(A3513,"YYYY-MM-DD HH")</f>
        <v/>
      </c>
      <c r="R3513" s="25">
        <f>COUNTIF($Q$2:$Q$5295,Q3513)</f>
        <v/>
      </c>
      <c r="S3513" s="25">
        <f>IF(R3513&lt;=2,"1-2",IF(R3513&lt;=5,"3-5",IF(R3513&lt;=10,"6-10","11+")))</f>
        <v/>
      </c>
    </row>
    <row r="3514">
      <c r="A3514" s="39" t="n">
        <v>46206.61506944444</v>
      </c>
      <c r="B3514" s="25">
        <f>TEXT(A3514,"YYYY-MM")</f>
        <v/>
      </c>
      <c r="C3514" s="25">
        <f>TEXT(A3514,"MMM-YYYY")</f>
        <v/>
      </c>
      <c r="D3514" s="40">
        <f>INT(A3514)-WEEKDAY(A3514,2)+1</f>
        <v/>
      </c>
      <c r="E3514" s="25" t="inlineStr">
        <is>
          <t>ssaha</t>
        </is>
      </c>
      <c r="F3514" s="25" t="n">
        <v>130394</v>
      </c>
      <c r="G3514" s="25" t="n">
        <v>2</v>
      </c>
      <c r="H3514" s="25" t="n">
        <v>6</v>
      </c>
      <c r="I3514" s="25" t="inlineStr">
        <is>
          <t>3 minute(s) and 40 second(s)</t>
        </is>
      </c>
      <c r="J3514" s="25">
        <f>IFERROR(VALUE(TRIM(LEFT(I3514,FIND("minute",I3514)-1)))*60,0)+IFERROR(VALUE(SUBSTITUTE(MID(I3514,IFERROR(FIND("and",I3514)+3,1),20),"second(s)","")),0)</f>
        <v/>
      </c>
      <c r="K3514" s="41">
        <f>J3514/60</f>
        <v/>
      </c>
      <c r="L3514" s="41">
        <f>IFERROR(J3514/H3514,"")</f>
        <v/>
      </c>
      <c r="M3514" s="25" t="inlineStr">
        <is>
          <t>2.5.12</t>
        </is>
      </c>
      <c r="N3514" s="25">
        <f>IF(J3514&gt;300,1,0)</f>
        <v/>
      </c>
      <c r="O3514" s="25">
        <f>IF(J3514&gt;600,1,0)</f>
        <v/>
      </c>
      <c r="P3514" s="25">
        <f>IF(H3514&gt;0,J3514,"")</f>
        <v/>
      </c>
      <c r="Q3514" s="25">
        <f>TEXT(A3514,"YYYY-MM-DD HH")</f>
        <v/>
      </c>
      <c r="R3514" s="25">
        <f>COUNTIF($Q$2:$Q$5295,Q3514)</f>
        <v/>
      </c>
      <c r="S3514" s="25">
        <f>IF(R3514&lt;=2,"1-2",IF(R3514&lt;=5,"3-5",IF(R3514&lt;=10,"6-10","11+")))</f>
        <v/>
      </c>
    </row>
    <row r="3515">
      <c r="A3515" s="39" t="n">
        <v>46206.63486111111</v>
      </c>
      <c r="B3515" s="25">
        <f>TEXT(A3515,"YYYY-MM")</f>
        <v/>
      </c>
      <c r="C3515" s="25">
        <f>TEXT(A3515,"MMM-YYYY")</f>
        <v/>
      </c>
      <c r="D3515" s="40">
        <f>INT(A3515)-WEEKDAY(A3515,2)+1</f>
        <v/>
      </c>
      <c r="E3515" s="25" t="inlineStr">
        <is>
          <t>rsingh</t>
        </is>
      </c>
      <c r="F3515" s="25" t="n">
        <v>127897</v>
      </c>
      <c r="G3515" s="25" t="n">
        <v>4</v>
      </c>
      <c r="H3515" s="25" t="n">
        <v>14</v>
      </c>
      <c r="I3515" s="25" t="inlineStr">
        <is>
          <t>6 minute(s) and 10 second(s)</t>
        </is>
      </c>
      <c r="J3515" s="25">
        <f>IFERROR(VALUE(TRIM(LEFT(I3515,FIND("minute",I3515)-1)))*60,0)+IFERROR(VALUE(SUBSTITUTE(MID(I3515,IFERROR(FIND("and",I3515)+3,1),20),"second(s)","")),0)</f>
        <v/>
      </c>
      <c r="K3515" s="41">
        <f>J3515/60</f>
        <v/>
      </c>
      <c r="L3515" s="41">
        <f>IFERROR(J3515/H3515,"")</f>
        <v/>
      </c>
      <c r="M3515" s="25" t="inlineStr">
        <is>
          <t>2.5.12</t>
        </is>
      </c>
      <c r="N3515" s="25">
        <f>IF(J3515&gt;300,1,0)</f>
        <v/>
      </c>
      <c r="O3515" s="25">
        <f>IF(J3515&gt;600,1,0)</f>
        <v/>
      </c>
      <c r="P3515" s="25">
        <f>IF(H3515&gt;0,J3515,"")</f>
        <v/>
      </c>
      <c r="Q3515" s="25">
        <f>TEXT(A3515,"YYYY-MM-DD HH")</f>
        <v/>
      </c>
      <c r="R3515" s="25">
        <f>COUNTIF($Q$2:$Q$5295,Q3515)</f>
        <v/>
      </c>
      <c r="S3515" s="25">
        <f>IF(R3515&lt;=2,"1-2",IF(R3515&lt;=5,"3-5",IF(R3515&lt;=10,"6-10","11+")))</f>
        <v/>
      </c>
    </row>
    <row r="3516">
      <c r="A3516" s="39" t="n">
        <v>46206.66672453703</v>
      </c>
      <c r="B3516" s="25">
        <f>TEXT(A3516,"YYYY-MM")</f>
        <v/>
      </c>
      <c r="C3516" s="25">
        <f>TEXT(A3516,"MMM-YYYY")</f>
        <v/>
      </c>
      <c r="D3516" s="40">
        <f>INT(A3516)-WEEKDAY(A3516,2)+1</f>
        <v/>
      </c>
      <c r="E3516" s="25" t="inlineStr">
        <is>
          <t>psingh</t>
        </is>
      </c>
      <c r="F3516" s="25" t="n">
        <v>131385</v>
      </c>
      <c r="G3516" s="25" t="n">
        <v>1</v>
      </c>
      <c r="H3516" s="25" t="n">
        <v>5</v>
      </c>
      <c r="I3516" s="25" t="inlineStr">
        <is>
          <t>2 minute(s) and 46 second(s)</t>
        </is>
      </c>
      <c r="J3516" s="25">
        <f>IFERROR(VALUE(TRIM(LEFT(I3516,FIND("minute",I3516)-1)))*60,0)+IFERROR(VALUE(SUBSTITUTE(MID(I3516,IFERROR(FIND("and",I3516)+3,1),20),"second(s)","")),0)</f>
        <v/>
      </c>
      <c r="K3516" s="41">
        <f>J3516/60</f>
        <v/>
      </c>
      <c r="L3516" s="41">
        <f>IFERROR(J3516/H3516,"")</f>
        <v/>
      </c>
      <c r="M3516" s="25" t="inlineStr">
        <is>
          <t>2.5.12</t>
        </is>
      </c>
      <c r="N3516" s="25">
        <f>IF(J3516&gt;300,1,0)</f>
        <v/>
      </c>
      <c r="O3516" s="25">
        <f>IF(J3516&gt;600,1,0)</f>
        <v/>
      </c>
      <c r="P3516" s="25">
        <f>IF(H3516&gt;0,J3516,"")</f>
        <v/>
      </c>
      <c r="Q3516" s="25">
        <f>TEXT(A3516,"YYYY-MM-DD HH")</f>
        <v/>
      </c>
      <c r="R3516" s="25">
        <f>COUNTIF($Q$2:$Q$5295,Q3516)</f>
        <v/>
      </c>
      <c r="S3516" s="25">
        <f>IF(R3516&lt;=2,"1-2",IF(R3516&lt;=5,"3-5",IF(R3516&lt;=10,"6-10","11+")))</f>
        <v/>
      </c>
    </row>
    <row r="3517">
      <c r="A3517" s="39" t="n">
        <v>46206.68173611111</v>
      </c>
      <c r="B3517" s="25">
        <f>TEXT(A3517,"YYYY-MM")</f>
        <v/>
      </c>
      <c r="C3517" s="25">
        <f>TEXT(A3517,"MMM-YYYY")</f>
        <v/>
      </c>
      <c r="D3517" s="40">
        <f>INT(A3517)-WEEKDAY(A3517,2)+1</f>
        <v/>
      </c>
      <c r="E3517" s="25" t="inlineStr">
        <is>
          <t>rsingh</t>
        </is>
      </c>
      <c r="F3517" s="25" t="n">
        <v>129161</v>
      </c>
      <c r="G3517" s="25" t="n">
        <v>3</v>
      </c>
      <c r="H3517" s="25" t="n">
        <v>11</v>
      </c>
      <c r="I3517" s="25" t="inlineStr">
        <is>
          <t>2 minute(s) and 51 second(s)</t>
        </is>
      </c>
      <c r="J3517" s="25">
        <f>IFERROR(VALUE(TRIM(LEFT(I3517,FIND("minute",I3517)-1)))*60,0)+IFERROR(VALUE(SUBSTITUTE(MID(I3517,IFERROR(FIND("and",I3517)+3,1),20),"second(s)","")),0)</f>
        <v/>
      </c>
      <c r="K3517" s="41">
        <f>J3517/60</f>
        <v/>
      </c>
      <c r="L3517" s="41">
        <f>IFERROR(J3517/H3517,"")</f>
        <v/>
      </c>
      <c r="M3517" s="25" t="inlineStr">
        <is>
          <t>2.5.12</t>
        </is>
      </c>
      <c r="N3517" s="25">
        <f>IF(J3517&gt;300,1,0)</f>
        <v/>
      </c>
      <c r="O3517" s="25">
        <f>IF(J3517&gt;600,1,0)</f>
        <v/>
      </c>
      <c r="P3517" s="25">
        <f>IF(H3517&gt;0,J3517,"")</f>
        <v/>
      </c>
      <c r="Q3517" s="25">
        <f>TEXT(A3517,"YYYY-MM-DD HH")</f>
        <v/>
      </c>
      <c r="R3517" s="25">
        <f>COUNTIF($Q$2:$Q$5295,Q3517)</f>
        <v/>
      </c>
      <c r="S3517" s="25">
        <f>IF(R3517&lt;=2,"1-2",IF(R3517&lt;=5,"3-5",IF(R3517&lt;=10,"6-10","11+")))</f>
        <v/>
      </c>
    </row>
    <row r="3518">
      <c r="A3518" s="39" t="n">
        <v>46206.78653935185</v>
      </c>
      <c r="B3518" s="25">
        <f>TEXT(A3518,"YYYY-MM")</f>
        <v/>
      </c>
      <c r="C3518" s="25">
        <f>TEXT(A3518,"MMM-YYYY")</f>
        <v/>
      </c>
      <c r="D3518" s="40">
        <f>INT(A3518)-WEEKDAY(A3518,2)+1</f>
        <v/>
      </c>
      <c r="E3518" s="25" t="inlineStr">
        <is>
          <t>ssaha</t>
        </is>
      </c>
      <c r="F3518" s="25" t="n">
        <v>131670</v>
      </c>
      <c r="G3518" s="25" t="n">
        <v>4</v>
      </c>
      <c r="H3518" s="25" t="n">
        <v>20</v>
      </c>
      <c r="I3518" s="25" t="inlineStr">
        <is>
          <t>6 minute(s) and 5 second(s)</t>
        </is>
      </c>
      <c r="J3518" s="25">
        <f>IFERROR(VALUE(TRIM(LEFT(I3518,FIND("minute",I3518)-1)))*60,0)+IFERROR(VALUE(SUBSTITUTE(MID(I3518,IFERROR(FIND("and",I3518)+3,1),20),"second(s)","")),0)</f>
        <v/>
      </c>
      <c r="K3518" s="41">
        <f>J3518/60</f>
        <v/>
      </c>
      <c r="L3518" s="41">
        <f>IFERROR(J3518/H3518,"")</f>
        <v/>
      </c>
      <c r="M3518" s="25" t="inlineStr">
        <is>
          <t>2.5.12</t>
        </is>
      </c>
      <c r="N3518" s="25">
        <f>IF(J3518&gt;300,1,0)</f>
        <v/>
      </c>
      <c r="O3518" s="25">
        <f>IF(J3518&gt;600,1,0)</f>
        <v/>
      </c>
      <c r="P3518" s="25">
        <f>IF(H3518&gt;0,J3518,"")</f>
        <v/>
      </c>
      <c r="Q3518" s="25">
        <f>TEXT(A3518,"YYYY-MM-DD HH")</f>
        <v/>
      </c>
      <c r="R3518" s="25">
        <f>COUNTIF($Q$2:$Q$5295,Q3518)</f>
        <v/>
      </c>
      <c r="S3518" s="25">
        <f>IF(R3518&lt;=2,"1-2",IF(R3518&lt;=5,"3-5",IF(R3518&lt;=10,"6-10","11+")))</f>
        <v/>
      </c>
    </row>
    <row r="3519">
      <c r="A3519" s="39" t="n">
        <v>46206.79261574074</v>
      </c>
      <c r="B3519" s="25">
        <f>TEXT(A3519,"YYYY-MM")</f>
        <v/>
      </c>
      <c r="C3519" s="25">
        <f>TEXT(A3519,"MMM-YYYY")</f>
        <v/>
      </c>
      <c r="D3519" s="40">
        <f>INT(A3519)-WEEKDAY(A3519,2)+1</f>
        <v/>
      </c>
      <c r="E3519" s="25" t="inlineStr">
        <is>
          <t>ssaha</t>
        </is>
      </c>
      <c r="F3519" s="25" t="n">
        <v>131670</v>
      </c>
      <c r="G3519" s="25" t="n">
        <v>4</v>
      </c>
      <c r="H3519" s="25" t="n">
        <v>20</v>
      </c>
      <c r="I3519" s="25" t="inlineStr">
        <is>
          <t>5 minute(s) and 17 second(s)</t>
        </is>
      </c>
      <c r="J3519" s="25">
        <f>IFERROR(VALUE(TRIM(LEFT(I3519,FIND("minute",I3519)-1)))*60,0)+IFERROR(VALUE(SUBSTITUTE(MID(I3519,IFERROR(FIND("and",I3519)+3,1),20),"second(s)","")),0)</f>
        <v/>
      </c>
      <c r="K3519" s="41">
        <f>J3519/60</f>
        <v/>
      </c>
      <c r="L3519" s="41">
        <f>IFERROR(J3519/H3519,"")</f>
        <v/>
      </c>
      <c r="M3519" s="25" t="inlineStr">
        <is>
          <t>2.5.12</t>
        </is>
      </c>
      <c r="N3519" s="25">
        <f>IF(J3519&gt;300,1,0)</f>
        <v/>
      </c>
      <c r="O3519" s="25">
        <f>IF(J3519&gt;600,1,0)</f>
        <v/>
      </c>
      <c r="P3519" s="25">
        <f>IF(H3519&gt;0,J3519,"")</f>
        <v/>
      </c>
      <c r="Q3519" s="25">
        <f>TEXT(A3519,"YYYY-MM-DD HH")</f>
        <v/>
      </c>
      <c r="R3519" s="25">
        <f>COUNTIF($Q$2:$Q$5295,Q3519)</f>
        <v/>
      </c>
      <c r="S3519" s="25">
        <f>IF(R3519&lt;=2,"1-2",IF(R3519&lt;=5,"3-5",IF(R3519&lt;=10,"6-10","11+")))</f>
        <v/>
      </c>
    </row>
    <row r="3520">
      <c r="A3520" s="39" t="n">
        <v>46206.84827546297</v>
      </c>
      <c r="B3520" s="25">
        <f>TEXT(A3520,"YYYY-MM")</f>
        <v/>
      </c>
      <c r="C3520" s="25">
        <f>TEXT(A3520,"MMM-YYYY")</f>
        <v/>
      </c>
      <c r="D3520" s="40">
        <f>INT(A3520)-WEEKDAY(A3520,2)+1</f>
        <v/>
      </c>
      <c r="E3520" s="25" t="inlineStr">
        <is>
          <t>ssaha</t>
        </is>
      </c>
      <c r="F3520" s="25" t="inlineStr">
        <is>
          <t>test</t>
        </is>
      </c>
      <c r="G3520" s="25" t="n">
        <v>1</v>
      </c>
      <c r="H3520" s="25" t="n">
        <v>3</v>
      </c>
      <c r="I3520" s="25" t="inlineStr">
        <is>
          <t>1 minute(s) and 26 second(s)</t>
        </is>
      </c>
      <c r="J3520" s="25">
        <f>IFERROR(VALUE(TRIM(LEFT(I3520,FIND("minute",I3520)-1)))*60,0)+IFERROR(VALUE(SUBSTITUTE(MID(I3520,IFERROR(FIND("and",I3520)+3,1),20),"second(s)","")),0)</f>
        <v/>
      </c>
      <c r="K3520" s="41">
        <f>J3520/60</f>
        <v/>
      </c>
      <c r="L3520" s="41">
        <f>IFERROR(J3520/H3520,"")</f>
        <v/>
      </c>
      <c r="M3520" s="25" t="inlineStr">
        <is>
          <t>2.5.12</t>
        </is>
      </c>
      <c r="N3520" s="25">
        <f>IF(J3520&gt;300,1,0)</f>
        <v/>
      </c>
      <c r="O3520" s="25">
        <f>IF(J3520&gt;600,1,0)</f>
        <v/>
      </c>
      <c r="P3520" s="25">
        <f>IF(H3520&gt;0,J3520,"")</f>
        <v/>
      </c>
      <c r="Q3520" s="25">
        <f>TEXT(A3520,"YYYY-MM-DD HH")</f>
        <v/>
      </c>
      <c r="R3520" s="25">
        <f>COUNTIF($Q$2:$Q$5295,Q3520)</f>
        <v/>
      </c>
      <c r="S3520" s="25">
        <f>IF(R3520&lt;=2,"1-2",IF(R3520&lt;=5,"3-5",IF(R3520&lt;=10,"6-10","11+")))</f>
        <v/>
      </c>
    </row>
    <row r="3521">
      <c r="A3521" s="39" t="n">
        <v>46209.0675462963</v>
      </c>
      <c r="B3521" s="25">
        <f>TEXT(A3521,"YYYY-MM")</f>
        <v/>
      </c>
      <c r="C3521" s="25">
        <f>TEXT(A3521,"MMM-YYYY")</f>
        <v/>
      </c>
      <c r="D3521" s="40">
        <f>INT(A3521)-WEEKDAY(A3521,2)+1</f>
        <v/>
      </c>
      <c r="E3521" s="25" t="inlineStr">
        <is>
          <t>shassan</t>
        </is>
      </c>
      <c r="F3521" s="25" t="n">
        <v>127908</v>
      </c>
      <c r="G3521" s="25" t="n">
        <v>2</v>
      </c>
      <c r="H3521" s="25" t="n">
        <v>8</v>
      </c>
      <c r="I3521" s="25" t="inlineStr">
        <is>
          <t>1 minute(s) and 50 second(s)</t>
        </is>
      </c>
      <c r="J3521" s="25">
        <f>IFERROR(VALUE(TRIM(LEFT(I3521,FIND("minute",I3521)-1)))*60,0)+IFERROR(VALUE(SUBSTITUTE(MID(I3521,IFERROR(FIND("and",I3521)+3,1),20),"second(s)","")),0)</f>
        <v/>
      </c>
      <c r="K3521" s="41">
        <f>J3521/60</f>
        <v/>
      </c>
      <c r="L3521" s="41">
        <f>IFERROR(J3521/H3521,"")</f>
        <v/>
      </c>
      <c r="M3521" s="25" t="inlineStr">
        <is>
          <t>2.5.12</t>
        </is>
      </c>
      <c r="N3521" s="25">
        <f>IF(J3521&gt;300,1,0)</f>
        <v/>
      </c>
      <c r="O3521" s="25">
        <f>IF(J3521&gt;600,1,0)</f>
        <v/>
      </c>
      <c r="P3521" s="25">
        <f>IF(H3521&gt;0,J3521,"")</f>
        <v/>
      </c>
      <c r="Q3521" s="25">
        <f>TEXT(A3521,"YYYY-MM-DD HH")</f>
        <v/>
      </c>
      <c r="R3521" s="25">
        <f>COUNTIF($Q$2:$Q$5295,Q3521)</f>
        <v/>
      </c>
      <c r="S3521" s="25">
        <f>IF(R3521&lt;=2,"1-2",IF(R3521&lt;=5,"3-5",IF(R3521&lt;=10,"6-10","11+")))</f>
        <v/>
      </c>
    </row>
    <row r="3522">
      <c r="A3522" s="39" t="n">
        <v>46209.07824074074</v>
      </c>
      <c r="B3522" s="25">
        <f>TEXT(A3522,"YYYY-MM")</f>
        <v/>
      </c>
      <c r="C3522" s="25">
        <f>TEXT(A3522,"MMM-YYYY")</f>
        <v/>
      </c>
      <c r="D3522" s="40">
        <f>INT(A3522)-WEEKDAY(A3522,2)+1</f>
        <v/>
      </c>
      <c r="E3522" s="25" t="inlineStr">
        <is>
          <t>psathwika</t>
        </is>
      </c>
      <c r="F3522" s="25" t="n">
        <v>131672</v>
      </c>
      <c r="G3522" s="25" t="n">
        <v>1</v>
      </c>
      <c r="H3522" s="25" t="n">
        <v>7</v>
      </c>
      <c r="I3522" s="25" t="inlineStr">
        <is>
          <t>1 minute(s) and 28 second(s)</t>
        </is>
      </c>
      <c r="J3522" s="25">
        <f>IFERROR(VALUE(TRIM(LEFT(I3522,FIND("minute",I3522)-1)))*60,0)+IFERROR(VALUE(SUBSTITUTE(MID(I3522,IFERROR(FIND("and",I3522)+3,1),20),"second(s)","")),0)</f>
        <v/>
      </c>
      <c r="K3522" s="41">
        <f>J3522/60</f>
        <v/>
      </c>
      <c r="L3522" s="41">
        <f>IFERROR(J3522/H3522,"")</f>
        <v/>
      </c>
      <c r="M3522" s="25" t="inlineStr">
        <is>
          <t>2.5.12</t>
        </is>
      </c>
      <c r="N3522" s="25">
        <f>IF(J3522&gt;300,1,0)</f>
        <v/>
      </c>
      <c r="O3522" s="25">
        <f>IF(J3522&gt;600,1,0)</f>
        <v/>
      </c>
      <c r="P3522" s="25">
        <f>IF(H3522&gt;0,J3522,"")</f>
        <v/>
      </c>
      <c r="Q3522" s="25">
        <f>TEXT(A3522,"YYYY-MM-DD HH")</f>
        <v/>
      </c>
      <c r="R3522" s="25">
        <f>COUNTIF($Q$2:$Q$5295,Q3522)</f>
        <v/>
      </c>
      <c r="S3522" s="25">
        <f>IF(R3522&lt;=2,"1-2",IF(R3522&lt;=5,"3-5",IF(R3522&lt;=10,"6-10","11+")))</f>
        <v/>
      </c>
    </row>
    <row r="3523">
      <c r="A3523" s="39" t="n">
        <v>46209.08487268518</v>
      </c>
      <c r="B3523" s="25">
        <f>TEXT(A3523,"YYYY-MM")</f>
        <v/>
      </c>
      <c r="C3523" s="25">
        <f>TEXT(A3523,"MMM-YYYY")</f>
        <v/>
      </c>
      <c r="D3523" s="40">
        <f>INT(A3523)-WEEKDAY(A3523,2)+1</f>
        <v/>
      </c>
      <c r="E3523" s="25" t="inlineStr">
        <is>
          <t>dchoudhury</t>
        </is>
      </c>
      <c r="F3523" s="25" t="n">
        <v>128027</v>
      </c>
      <c r="G3523" s="25" t="n">
        <v>4</v>
      </c>
      <c r="H3523" s="25" t="n">
        <v>14</v>
      </c>
      <c r="I3523" s="25" t="inlineStr">
        <is>
          <t>4 minute(s) and 13 second(s)</t>
        </is>
      </c>
      <c r="J3523" s="25">
        <f>IFERROR(VALUE(TRIM(LEFT(I3523,FIND("minute",I3523)-1)))*60,0)+IFERROR(VALUE(SUBSTITUTE(MID(I3523,IFERROR(FIND("and",I3523)+3,1),20),"second(s)","")),0)</f>
        <v/>
      </c>
      <c r="K3523" s="41">
        <f>J3523/60</f>
        <v/>
      </c>
      <c r="L3523" s="41">
        <f>IFERROR(J3523/H3523,"")</f>
        <v/>
      </c>
      <c r="M3523" s="25" t="inlineStr">
        <is>
          <t>2.5.12</t>
        </is>
      </c>
      <c r="N3523" s="25">
        <f>IF(J3523&gt;300,1,0)</f>
        <v/>
      </c>
      <c r="O3523" s="25">
        <f>IF(J3523&gt;600,1,0)</f>
        <v/>
      </c>
      <c r="P3523" s="25">
        <f>IF(H3523&gt;0,J3523,"")</f>
        <v/>
      </c>
      <c r="Q3523" s="25">
        <f>TEXT(A3523,"YYYY-MM-DD HH")</f>
        <v/>
      </c>
      <c r="R3523" s="25">
        <f>COUNTIF($Q$2:$Q$5295,Q3523)</f>
        <v/>
      </c>
      <c r="S3523" s="25">
        <f>IF(R3523&lt;=2,"1-2",IF(R3523&lt;=5,"3-5",IF(R3523&lt;=10,"6-10","11+")))</f>
        <v/>
      </c>
    </row>
    <row r="3524">
      <c r="A3524" s="39" t="n">
        <v>46209.09125</v>
      </c>
      <c r="B3524" s="25">
        <f>TEXT(A3524,"YYYY-MM")</f>
        <v/>
      </c>
      <c r="C3524" s="25">
        <f>TEXT(A3524,"MMM-YYYY")</f>
        <v/>
      </c>
      <c r="D3524" s="40">
        <f>INT(A3524)-WEEKDAY(A3524,2)+1</f>
        <v/>
      </c>
      <c r="E3524" s="25" t="inlineStr">
        <is>
          <t>mgupta</t>
        </is>
      </c>
      <c r="F3524" s="25" t="n">
        <v>127924</v>
      </c>
      <c r="G3524" s="25" t="n">
        <v>2</v>
      </c>
      <c r="H3524" s="25" t="n">
        <v>6</v>
      </c>
      <c r="I3524" s="25" t="inlineStr">
        <is>
          <t>1 minute(s) and 29 second(s)</t>
        </is>
      </c>
      <c r="J3524" s="25">
        <f>IFERROR(VALUE(TRIM(LEFT(I3524,FIND("minute",I3524)-1)))*60,0)+IFERROR(VALUE(SUBSTITUTE(MID(I3524,IFERROR(FIND("and",I3524)+3,1),20),"second(s)","")),0)</f>
        <v/>
      </c>
      <c r="K3524" s="41">
        <f>J3524/60</f>
        <v/>
      </c>
      <c r="L3524" s="41">
        <f>IFERROR(J3524/H3524,"")</f>
        <v/>
      </c>
      <c r="M3524" s="25" t="inlineStr">
        <is>
          <t>2.5.12</t>
        </is>
      </c>
      <c r="N3524" s="25">
        <f>IF(J3524&gt;300,1,0)</f>
        <v/>
      </c>
      <c r="O3524" s="25">
        <f>IF(J3524&gt;600,1,0)</f>
        <v/>
      </c>
      <c r="P3524" s="25">
        <f>IF(H3524&gt;0,J3524,"")</f>
        <v/>
      </c>
      <c r="Q3524" s="25">
        <f>TEXT(A3524,"YYYY-MM-DD HH")</f>
        <v/>
      </c>
      <c r="R3524" s="25">
        <f>COUNTIF($Q$2:$Q$5295,Q3524)</f>
        <v/>
      </c>
      <c r="S3524" s="25">
        <f>IF(R3524&lt;=2,"1-2",IF(R3524&lt;=5,"3-5",IF(R3524&lt;=10,"6-10","11+")))</f>
        <v/>
      </c>
    </row>
    <row r="3525">
      <c r="A3525" s="39" t="n">
        <v>46209.099375</v>
      </c>
      <c r="B3525" s="25">
        <f>TEXT(A3525,"YYYY-MM")</f>
        <v/>
      </c>
      <c r="C3525" s="25">
        <f>TEXT(A3525,"MMM-YYYY")</f>
        <v/>
      </c>
      <c r="D3525" s="40">
        <f>INT(A3525)-WEEKDAY(A3525,2)+1</f>
        <v/>
      </c>
      <c r="E3525" s="25" t="inlineStr">
        <is>
          <t>bverma</t>
        </is>
      </c>
      <c r="F3525" s="25" t="n">
        <v>128079</v>
      </c>
      <c r="G3525" s="25" t="n">
        <v>4</v>
      </c>
      <c r="H3525" s="25" t="n">
        <v>24</v>
      </c>
      <c r="I3525" s="25" t="inlineStr">
        <is>
          <t>6 minute(s) and 55 second(s)</t>
        </is>
      </c>
      <c r="J3525" s="25">
        <f>IFERROR(VALUE(TRIM(LEFT(I3525,FIND("minute",I3525)-1)))*60,0)+IFERROR(VALUE(SUBSTITUTE(MID(I3525,IFERROR(FIND("and",I3525)+3,1),20),"second(s)","")),0)</f>
        <v/>
      </c>
      <c r="K3525" s="41">
        <f>J3525/60</f>
        <v/>
      </c>
      <c r="L3525" s="41">
        <f>IFERROR(J3525/H3525,"")</f>
        <v/>
      </c>
      <c r="M3525" s="25" t="inlineStr">
        <is>
          <t>2.5.12</t>
        </is>
      </c>
      <c r="N3525" s="25">
        <f>IF(J3525&gt;300,1,0)</f>
        <v/>
      </c>
      <c r="O3525" s="25">
        <f>IF(J3525&gt;600,1,0)</f>
        <v/>
      </c>
      <c r="P3525" s="25">
        <f>IF(H3525&gt;0,J3525,"")</f>
        <v/>
      </c>
      <c r="Q3525" s="25">
        <f>TEXT(A3525,"YYYY-MM-DD HH")</f>
        <v/>
      </c>
      <c r="R3525" s="25">
        <f>COUNTIF($Q$2:$Q$5295,Q3525)</f>
        <v/>
      </c>
      <c r="S3525" s="25">
        <f>IF(R3525&lt;=2,"1-2",IF(R3525&lt;=5,"3-5",IF(R3525&lt;=10,"6-10","11+")))</f>
        <v/>
      </c>
    </row>
    <row r="3526">
      <c r="A3526" s="39" t="n">
        <v>46209.1040162037</v>
      </c>
      <c r="B3526" s="25">
        <f>TEXT(A3526,"YYYY-MM")</f>
        <v/>
      </c>
      <c r="C3526" s="25">
        <f>TEXT(A3526,"MMM-YYYY")</f>
        <v/>
      </c>
      <c r="D3526" s="40">
        <f>INT(A3526)-WEEKDAY(A3526,2)+1</f>
        <v/>
      </c>
      <c r="E3526" s="25" t="inlineStr">
        <is>
          <t>shassan</t>
        </is>
      </c>
      <c r="F3526" s="25" t="n">
        <v>127947</v>
      </c>
      <c r="G3526" s="25" t="n">
        <v>4</v>
      </c>
      <c r="H3526" s="25" t="n">
        <v>14</v>
      </c>
      <c r="I3526" s="25" t="inlineStr">
        <is>
          <t>4 minute(s) and 33 second(s)</t>
        </is>
      </c>
      <c r="J3526" s="25">
        <f>IFERROR(VALUE(TRIM(LEFT(I3526,FIND("minute",I3526)-1)))*60,0)+IFERROR(VALUE(SUBSTITUTE(MID(I3526,IFERROR(FIND("and",I3526)+3,1),20),"second(s)","")),0)</f>
        <v/>
      </c>
      <c r="K3526" s="41">
        <f>J3526/60</f>
        <v/>
      </c>
      <c r="L3526" s="41">
        <f>IFERROR(J3526/H3526,"")</f>
        <v/>
      </c>
      <c r="M3526" s="25" t="inlineStr">
        <is>
          <t>2.5.12</t>
        </is>
      </c>
      <c r="N3526" s="25">
        <f>IF(J3526&gt;300,1,0)</f>
        <v/>
      </c>
      <c r="O3526" s="25">
        <f>IF(J3526&gt;600,1,0)</f>
        <v/>
      </c>
      <c r="P3526" s="25">
        <f>IF(H3526&gt;0,J3526,"")</f>
        <v/>
      </c>
      <c r="Q3526" s="25">
        <f>TEXT(A3526,"YYYY-MM-DD HH")</f>
        <v/>
      </c>
      <c r="R3526" s="25">
        <f>COUNTIF($Q$2:$Q$5295,Q3526)</f>
        <v/>
      </c>
      <c r="S3526" s="25">
        <f>IF(R3526&lt;=2,"1-2",IF(R3526&lt;=5,"3-5",IF(R3526&lt;=10,"6-10","11+")))</f>
        <v/>
      </c>
    </row>
    <row r="3527">
      <c r="A3527" s="39" t="n">
        <v>46209.11959490741</v>
      </c>
      <c r="B3527" s="25">
        <f>TEXT(A3527,"YYYY-MM")</f>
        <v/>
      </c>
      <c r="C3527" s="25">
        <f>TEXT(A3527,"MMM-YYYY")</f>
        <v/>
      </c>
      <c r="D3527" s="40">
        <f>INT(A3527)-WEEKDAY(A3527,2)+1</f>
        <v/>
      </c>
      <c r="E3527" s="25" t="inlineStr">
        <is>
          <t>apriyadarshi</t>
        </is>
      </c>
      <c r="F3527" s="25" t="n">
        <v>128166</v>
      </c>
      <c r="G3527" s="25" t="n">
        <v>4</v>
      </c>
      <c r="H3527" s="25" t="n">
        <v>15</v>
      </c>
      <c r="I3527" s="25" t="inlineStr">
        <is>
          <t>3 minute(s) and 33 second(s)</t>
        </is>
      </c>
      <c r="J3527" s="25">
        <f>IFERROR(VALUE(TRIM(LEFT(I3527,FIND("minute",I3527)-1)))*60,0)+IFERROR(VALUE(SUBSTITUTE(MID(I3527,IFERROR(FIND("and",I3527)+3,1),20),"second(s)","")),0)</f>
        <v/>
      </c>
      <c r="K3527" s="41">
        <f>J3527/60</f>
        <v/>
      </c>
      <c r="L3527" s="41">
        <f>IFERROR(J3527/H3527,"")</f>
        <v/>
      </c>
      <c r="M3527" s="25" t="inlineStr">
        <is>
          <t>2.5.12</t>
        </is>
      </c>
      <c r="N3527" s="25">
        <f>IF(J3527&gt;300,1,0)</f>
        <v/>
      </c>
      <c r="O3527" s="25">
        <f>IF(J3527&gt;600,1,0)</f>
        <v/>
      </c>
      <c r="P3527" s="25">
        <f>IF(H3527&gt;0,J3527,"")</f>
        <v/>
      </c>
      <c r="Q3527" s="25">
        <f>TEXT(A3527,"YYYY-MM-DD HH")</f>
        <v/>
      </c>
      <c r="R3527" s="25">
        <f>COUNTIF($Q$2:$Q$5295,Q3527)</f>
        <v/>
      </c>
      <c r="S3527" s="25">
        <f>IF(R3527&lt;=2,"1-2",IF(R3527&lt;=5,"3-5",IF(R3527&lt;=10,"6-10","11+")))</f>
        <v/>
      </c>
    </row>
    <row r="3528">
      <c r="A3528" s="39" t="n">
        <v>46209.11971064815</v>
      </c>
      <c r="B3528" s="25">
        <f>TEXT(A3528,"YYYY-MM")</f>
        <v/>
      </c>
      <c r="C3528" s="25">
        <f>TEXT(A3528,"MMM-YYYY")</f>
        <v/>
      </c>
      <c r="D3528" s="40">
        <f>INT(A3528)-WEEKDAY(A3528,2)+1</f>
        <v/>
      </c>
      <c r="E3528" s="25" t="inlineStr">
        <is>
          <t>hsindwani</t>
        </is>
      </c>
      <c r="F3528" s="25" t="n">
        <v>132213</v>
      </c>
      <c r="G3528" s="25" t="n">
        <v>1</v>
      </c>
      <c r="H3528" s="25" t="n">
        <v>8</v>
      </c>
      <c r="I3528" s="25" t="inlineStr">
        <is>
          <t>1 minute(s) and 55 second(s)</t>
        </is>
      </c>
      <c r="J3528" s="25">
        <f>IFERROR(VALUE(TRIM(LEFT(I3528,FIND("minute",I3528)-1)))*60,0)+IFERROR(VALUE(SUBSTITUTE(MID(I3528,IFERROR(FIND("and",I3528)+3,1),20),"second(s)","")),0)</f>
        <v/>
      </c>
      <c r="K3528" s="41">
        <f>J3528/60</f>
        <v/>
      </c>
      <c r="L3528" s="41">
        <f>IFERROR(J3528/H3528,"")</f>
        <v/>
      </c>
      <c r="M3528" s="25" t="inlineStr">
        <is>
          <t>2.5.12</t>
        </is>
      </c>
      <c r="N3528" s="25">
        <f>IF(J3528&gt;300,1,0)</f>
        <v/>
      </c>
      <c r="O3528" s="25">
        <f>IF(J3528&gt;600,1,0)</f>
        <v/>
      </c>
      <c r="P3528" s="25">
        <f>IF(H3528&gt;0,J3528,"")</f>
        <v/>
      </c>
      <c r="Q3528" s="25">
        <f>TEXT(A3528,"YYYY-MM-DD HH")</f>
        <v/>
      </c>
      <c r="R3528" s="25">
        <f>COUNTIF($Q$2:$Q$5295,Q3528)</f>
        <v/>
      </c>
      <c r="S3528" s="25">
        <f>IF(R3528&lt;=2,"1-2",IF(R3528&lt;=5,"3-5",IF(R3528&lt;=10,"6-10","11+")))</f>
        <v/>
      </c>
    </row>
    <row r="3529">
      <c r="A3529" s="39" t="n">
        <v>46209.12196759259</v>
      </c>
      <c r="B3529" s="25">
        <f>TEXT(A3529,"YYYY-MM")</f>
        <v/>
      </c>
      <c r="C3529" s="25">
        <f>TEXT(A3529,"MMM-YYYY")</f>
        <v/>
      </c>
      <c r="D3529" s="40">
        <f>INT(A3529)-WEEKDAY(A3529,2)+1</f>
        <v/>
      </c>
      <c r="E3529" s="25" t="inlineStr">
        <is>
          <t>dchoudhury</t>
        </is>
      </c>
      <c r="F3529" s="25" t="n">
        <v>128027</v>
      </c>
      <c r="G3529" s="25" t="n">
        <v>5</v>
      </c>
      <c r="H3529" s="25" t="n">
        <v>23</v>
      </c>
      <c r="I3529" s="25" t="inlineStr">
        <is>
          <t>4 minute(s) and 37 second(s)</t>
        </is>
      </c>
      <c r="J3529" s="25">
        <f>IFERROR(VALUE(TRIM(LEFT(I3529,FIND("minute",I3529)-1)))*60,0)+IFERROR(VALUE(SUBSTITUTE(MID(I3529,IFERROR(FIND("and",I3529)+3,1),20),"second(s)","")),0)</f>
        <v/>
      </c>
      <c r="K3529" s="41">
        <f>J3529/60</f>
        <v/>
      </c>
      <c r="L3529" s="41">
        <f>IFERROR(J3529/H3529,"")</f>
        <v/>
      </c>
      <c r="M3529" s="25" t="inlineStr">
        <is>
          <t>2.5.12</t>
        </is>
      </c>
      <c r="N3529" s="25">
        <f>IF(J3529&gt;300,1,0)</f>
        <v/>
      </c>
      <c r="O3529" s="25">
        <f>IF(J3529&gt;600,1,0)</f>
        <v/>
      </c>
      <c r="P3529" s="25">
        <f>IF(H3529&gt;0,J3529,"")</f>
        <v/>
      </c>
      <c r="Q3529" s="25">
        <f>TEXT(A3529,"YYYY-MM-DD HH")</f>
        <v/>
      </c>
      <c r="R3529" s="25">
        <f>COUNTIF($Q$2:$Q$5295,Q3529)</f>
        <v/>
      </c>
      <c r="S3529" s="25">
        <f>IF(R3529&lt;=2,"1-2",IF(R3529&lt;=5,"3-5",IF(R3529&lt;=10,"6-10","11+")))</f>
        <v/>
      </c>
    </row>
    <row r="3530">
      <c r="A3530" s="39" t="n">
        <v>46209.12662037037</v>
      </c>
      <c r="B3530" s="25">
        <f>TEXT(A3530,"YYYY-MM")</f>
        <v/>
      </c>
      <c r="C3530" s="25">
        <f>TEXT(A3530,"MMM-YYYY")</f>
        <v/>
      </c>
      <c r="D3530" s="40">
        <f>INT(A3530)-WEEKDAY(A3530,2)+1</f>
        <v/>
      </c>
      <c r="E3530" s="25" t="inlineStr">
        <is>
          <t>psathwika</t>
        </is>
      </c>
      <c r="F3530" s="25" t="n">
        <v>131240</v>
      </c>
      <c r="G3530" s="25" t="n">
        <v>3</v>
      </c>
      <c r="H3530" s="25" t="n">
        <v>13</v>
      </c>
      <c r="I3530" s="25" t="inlineStr">
        <is>
          <t>4 minute(s) and 10 second(s)</t>
        </is>
      </c>
      <c r="J3530" s="25">
        <f>IFERROR(VALUE(TRIM(LEFT(I3530,FIND("minute",I3530)-1)))*60,0)+IFERROR(VALUE(SUBSTITUTE(MID(I3530,IFERROR(FIND("and",I3530)+3,1),20),"second(s)","")),0)</f>
        <v/>
      </c>
      <c r="K3530" s="41">
        <f>J3530/60</f>
        <v/>
      </c>
      <c r="L3530" s="41">
        <f>IFERROR(J3530/H3530,"")</f>
        <v/>
      </c>
      <c r="M3530" s="25" t="inlineStr">
        <is>
          <t>2.5.12</t>
        </is>
      </c>
      <c r="N3530" s="25">
        <f>IF(J3530&gt;300,1,0)</f>
        <v/>
      </c>
      <c r="O3530" s="25">
        <f>IF(J3530&gt;600,1,0)</f>
        <v/>
      </c>
      <c r="P3530" s="25">
        <f>IF(H3530&gt;0,J3530,"")</f>
        <v/>
      </c>
      <c r="Q3530" s="25">
        <f>TEXT(A3530,"YYYY-MM-DD HH")</f>
        <v/>
      </c>
      <c r="R3530" s="25">
        <f>COUNTIF($Q$2:$Q$5295,Q3530)</f>
        <v/>
      </c>
      <c r="S3530" s="25">
        <f>IF(R3530&lt;=2,"1-2",IF(R3530&lt;=5,"3-5",IF(R3530&lt;=10,"6-10","11+")))</f>
        <v/>
      </c>
    </row>
    <row r="3531">
      <c r="A3531" s="39" t="n">
        <v>46209.13876157408</v>
      </c>
      <c r="B3531" s="25">
        <f>TEXT(A3531,"YYYY-MM")</f>
        <v/>
      </c>
      <c r="C3531" s="25">
        <f>TEXT(A3531,"MMM-YYYY")</f>
        <v/>
      </c>
      <c r="D3531" s="40">
        <f>INT(A3531)-WEEKDAY(A3531,2)+1</f>
        <v/>
      </c>
      <c r="E3531" s="25" t="inlineStr">
        <is>
          <t>csaha</t>
        </is>
      </c>
      <c r="F3531" s="25" t="n">
        <v>128512</v>
      </c>
      <c r="G3531" s="25" t="n">
        <v>1</v>
      </c>
      <c r="H3531" s="25" t="n">
        <v>7</v>
      </c>
      <c r="I3531" s="25" t="inlineStr">
        <is>
          <t>1 minute(s) and 5 second(s)</t>
        </is>
      </c>
      <c r="J3531" s="25">
        <f>IFERROR(VALUE(TRIM(LEFT(I3531,FIND("minute",I3531)-1)))*60,0)+IFERROR(VALUE(SUBSTITUTE(MID(I3531,IFERROR(FIND("and",I3531)+3,1),20),"second(s)","")),0)</f>
        <v/>
      </c>
      <c r="K3531" s="41">
        <f>J3531/60</f>
        <v/>
      </c>
      <c r="L3531" s="41">
        <f>IFERROR(J3531/H3531,"")</f>
        <v/>
      </c>
      <c r="M3531" s="25" t="inlineStr">
        <is>
          <t>2.5.12</t>
        </is>
      </c>
      <c r="N3531" s="25">
        <f>IF(J3531&gt;300,1,0)</f>
        <v/>
      </c>
      <c r="O3531" s="25">
        <f>IF(J3531&gt;600,1,0)</f>
        <v/>
      </c>
      <c r="P3531" s="25">
        <f>IF(H3531&gt;0,J3531,"")</f>
        <v/>
      </c>
      <c r="Q3531" s="25">
        <f>TEXT(A3531,"YYYY-MM-DD HH")</f>
        <v/>
      </c>
      <c r="R3531" s="25">
        <f>COUNTIF($Q$2:$Q$5295,Q3531)</f>
        <v/>
      </c>
      <c r="S3531" s="25">
        <f>IF(R3531&lt;=2,"1-2",IF(R3531&lt;=5,"3-5",IF(R3531&lt;=10,"6-10","11+")))</f>
        <v/>
      </c>
    </row>
    <row r="3532">
      <c r="A3532" s="39" t="n">
        <v>46209.13960648148</v>
      </c>
      <c r="B3532" s="25">
        <f>TEXT(A3532,"YYYY-MM")</f>
        <v/>
      </c>
      <c r="C3532" s="25">
        <f>TEXT(A3532,"MMM-YYYY")</f>
        <v/>
      </c>
      <c r="D3532" s="40">
        <f>INT(A3532)-WEEKDAY(A3532,2)+1</f>
        <v/>
      </c>
      <c r="E3532" s="25" t="inlineStr">
        <is>
          <t>asahoo</t>
        </is>
      </c>
      <c r="F3532" s="25" t="n">
        <v>129196</v>
      </c>
      <c r="G3532" s="25" t="n">
        <v>1</v>
      </c>
      <c r="H3532" s="25" t="n">
        <v>5</v>
      </c>
      <c r="I3532" s="25" t="inlineStr">
        <is>
          <t>1 minute(s) and 16 second(s)</t>
        </is>
      </c>
      <c r="J3532" s="25">
        <f>IFERROR(VALUE(TRIM(LEFT(I3532,FIND("minute",I3532)-1)))*60,0)+IFERROR(VALUE(SUBSTITUTE(MID(I3532,IFERROR(FIND("and",I3532)+3,1),20),"second(s)","")),0)</f>
        <v/>
      </c>
      <c r="K3532" s="41">
        <f>J3532/60</f>
        <v/>
      </c>
      <c r="L3532" s="41">
        <f>IFERROR(J3532/H3532,"")</f>
        <v/>
      </c>
      <c r="M3532" s="25" t="inlineStr">
        <is>
          <t>2.5.12</t>
        </is>
      </c>
      <c r="N3532" s="25">
        <f>IF(J3532&gt;300,1,0)</f>
        <v/>
      </c>
      <c r="O3532" s="25">
        <f>IF(J3532&gt;600,1,0)</f>
        <v/>
      </c>
      <c r="P3532" s="25">
        <f>IF(H3532&gt;0,J3532,"")</f>
        <v/>
      </c>
      <c r="Q3532" s="25">
        <f>TEXT(A3532,"YYYY-MM-DD HH")</f>
        <v/>
      </c>
      <c r="R3532" s="25">
        <f>COUNTIF($Q$2:$Q$5295,Q3532)</f>
        <v/>
      </c>
      <c r="S3532" s="25">
        <f>IF(R3532&lt;=2,"1-2",IF(R3532&lt;=5,"3-5",IF(R3532&lt;=10,"6-10","11+")))</f>
        <v/>
      </c>
    </row>
    <row r="3533">
      <c r="A3533" s="39" t="n">
        <v>46209.14649305555</v>
      </c>
      <c r="B3533" s="25">
        <f>TEXT(A3533,"YYYY-MM")</f>
        <v/>
      </c>
      <c r="C3533" s="25">
        <f>TEXT(A3533,"MMM-YYYY")</f>
        <v/>
      </c>
      <c r="D3533" s="40">
        <f>INT(A3533)-WEEKDAY(A3533,2)+1</f>
        <v/>
      </c>
      <c r="E3533" s="25" t="inlineStr">
        <is>
          <t>mgupta</t>
        </is>
      </c>
      <c r="F3533" s="25" t="n">
        <v>128644</v>
      </c>
      <c r="G3533" s="25" t="n">
        <v>2</v>
      </c>
      <c r="H3533" s="25" t="n">
        <v>10</v>
      </c>
      <c r="I3533" s="25" t="inlineStr">
        <is>
          <t>2 minute(s) and 16 second(s)</t>
        </is>
      </c>
      <c r="J3533" s="25">
        <f>IFERROR(VALUE(TRIM(LEFT(I3533,FIND("minute",I3533)-1)))*60,0)+IFERROR(VALUE(SUBSTITUTE(MID(I3533,IFERROR(FIND("and",I3533)+3,1),20),"second(s)","")),0)</f>
        <v/>
      </c>
      <c r="K3533" s="41">
        <f>J3533/60</f>
        <v/>
      </c>
      <c r="L3533" s="41">
        <f>IFERROR(J3533/H3533,"")</f>
        <v/>
      </c>
      <c r="M3533" s="25" t="inlineStr">
        <is>
          <t>2.5.12</t>
        </is>
      </c>
      <c r="N3533" s="25">
        <f>IF(J3533&gt;300,1,0)</f>
        <v/>
      </c>
      <c r="O3533" s="25">
        <f>IF(J3533&gt;600,1,0)</f>
        <v/>
      </c>
      <c r="P3533" s="25">
        <f>IF(H3533&gt;0,J3533,"")</f>
        <v/>
      </c>
      <c r="Q3533" s="25">
        <f>TEXT(A3533,"YYYY-MM-DD HH")</f>
        <v/>
      </c>
      <c r="R3533" s="25">
        <f>COUNTIF($Q$2:$Q$5295,Q3533)</f>
        <v/>
      </c>
      <c r="S3533" s="25">
        <f>IF(R3533&lt;=2,"1-2",IF(R3533&lt;=5,"3-5",IF(R3533&lt;=10,"6-10","11+")))</f>
        <v/>
      </c>
    </row>
    <row r="3534">
      <c r="A3534" s="39" t="n">
        <v>46209.14819444445</v>
      </c>
      <c r="B3534" s="25">
        <f>TEXT(A3534,"YYYY-MM")</f>
        <v/>
      </c>
      <c r="C3534" s="25">
        <f>TEXT(A3534,"MMM-YYYY")</f>
        <v/>
      </c>
      <c r="D3534" s="40">
        <f>INT(A3534)-WEEKDAY(A3534,2)+1</f>
        <v/>
      </c>
      <c r="E3534" s="25" t="inlineStr">
        <is>
          <t>bverma</t>
        </is>
      </c>
      <c r="F3534" s="25" t="n">
        <v>128180</v>
      </c>
      <c r="G3534" s="25" t="n">
        <v>2</v>
      </c>
      <c r="H3534" s="25" t="n">
        <v>12</v>
      </c>
      <c r="I3534" s="25" t="inlineStr">
        <is>
          <t>4 minute(s) and 22 second(s)</t>
        </is>
      </c>
      <c r="J3534" s="25">
        <f>IFERROR(VALUE(TRIM(LEFT(I3534,FIND("minute",I3534)-1)))*60,0)+IFERROR(VALUE(SUBSTITUTE(MID(I3534,IFERROR(FIND("and",I3534)+3,1),20),"second(s)","")),0)</f>
        <v/>
      </c>
      <c r="K3534" s="41">
        <f>J3534/60</f>
        <v/>
      </c>
      <c r="L3534" s="41">
        <f>IFERROR(J3534/H3534,"")</f>
        <v/>
      </c>
      <c r="M3534" s="25" t="inlineStr">
        <is>
          <t>2.5.12</t>
        </is>
      </c>
      <c r="N3534" s="25">
        <f>IF(J3534&gt;300,1,0)</f>
        <v/>
      </c>
      <c r="O3534" s="25">
        <f>IF(J3534&gt;600,1,0)</f>
        <v/>
      </c>
      <c r="P3534" s="25">
        <f>IF(H3534&gt;0,J3534,"")</f>
        <v/>
      </c>
      <c r="Q3534" s="25">
        <f>TEXT(A3534,"YYYY-MM-DD HH")</f>
        <v/>
      </c>
      <c r="R3534" s="25">
        <f>COUNTIF($Q$2:$Q$5295,Q3534)</f>
        <v/>
      </c>
      <c r="S3534" s="25">
        <f>IF(R3534&lt;=2,"1-2",IF(R3534&lt;=5,"3-5",IF(R3534&lt;=10,"6-10","11+")))</f>
        <v/>
      </c>
    </row>
    <row r="3535">
      <c r="A3535" s="39" t="n">
        <v>46209.15872685185</v>
      </c>
      <c r="B3535" s="25">
        <f>TEXT(A3535,"YYYY-MM")</f>
        <v/>
      </c>
      <c r="C3535" s="25">
        <f>TEXT(A3535,"MMM-YYYY")</f>
        <v/>
      </c>
      <c r="D3535" s="40">
        <f>INT(A3535)-WEEKDAY(A3535,2)+1</f>
        <v/>
      </c>
      <c r="E3535" s="25" t="inlineStr">
        <is>
          <t>ssarkar</t>
        </is>
      </c>
      <c r="F3535" s="25" t="n">
        <v>128427</v>
      </c>
      <c r="G3535" s="25" t="n">
        <v>2</v>
      </c>
      <c r="H3535" s="25" t="n">
        <v>8</v>
      </c>
      <c r="I3535" s="25" t="inlineStr">
        <is>
          <t>2 minute(s) and 30 second(s)</t>
        </is>
      </c>
      <c r="J3535" s="25">
        <f>IFERROR(VALUE(TRIM(LEFT(I3535,FIND("minute",I3535)-1)))*60,0)+IFERROR(VALUE(SUBSTITUTE(MID(I3535,IFERROR(FIND("and",I3535)+3,1),20),"second(s)","")),0)</f>
        <v/>
      </c>
      <c r="K3535" s="41">
        <f>J3535/60</f>
        <v/>
      </c>
      <c r="L3535" s="41">
        <f>IFERROR(J3535/H3535,"")</f>
        <v/>
      </c>
      <c r="M3535" s="25" t="inlineStr">
        <is>
          <t>2.5.12</t>
        </is>
      </c>
      <c r="N3535" s="25">
        <f>IF(J3535&gt;300,1,0)</f>
        <v/>
      </c>
      <c r="O3535" s="25">
        <f>IF(J3535&gt;600,1,0)</f>
        <v/>
      </c>
      <c r="P3535" s="25">
        <f>IF(H3535&gt;0,J3535,"")</f>
        <v/>
      </c>
      <c r="Q3535" s="25">
        <f>TEXT(A3535,"YYYY-MM-DD HH")</f>
        <v/>
      </c>
      <c r="R3535" s="25">
        <f>COUNTIF($Q$2:$Q$5295,Q3535)</f>
        <v/>
      </c>
      <c r="S3535" s="25">
        <f>IF(R3535&lt;=2,"1-2",IF(R3535&lt;=5,"3-5",IF(R3535&lt;=10,"6-10","11+")))</f>
        <v/>
      </c>
    </row>
    <row r="3536">
      <c r="A3536" s="39" t="n">
        <v>46209.16993055555</v>
      </c>
      <c r="B3536" s="25">
        <f>TEXT(A3536,"YYYY-MM")</f>
        <v/>
      </c>
      <c r="C3536" s="25">
        <f>TEXT(A3536,"MMM-YYYY")</f>
        <v/>
      </c>
      <c r="D3536" s="40">
        <f>INT(A3536)-WEEKDAY(A3536,2)+1</f>
        <v/>
      </c>
      <c r="E3536" s="25" t="inlineStr">
        <is>
          <t>sdey</t>
        </is>
      </c>
      <c r="F3536" s="25" t="n">
        <v>128078</v>
      </c>
      <c r="G3536" s="25" t="n">
        <v>4</v>
      </c>
      <c r="H3536" s="25" t="n">
        <v>25</v>
      </c>
      <c r="I3536" s="25" t="inlineStr">
        <is>
          <t>8 minute(s) and 12 second(s)</t>
        </is>
      </c>
      <c r="J3536" s="25">
        <f>IFERROR(VALUE(TRIM(LEFT(I3536,FIND("minute",I3536)-1)))*60,0)+IFERROR(VALUE(SUBSTITUTE(MID(I3536,IFERROR(FIND("and",I3536)+3,1),20),"second(s)","")),0)</f>
        <v/>
      </c>
      <c r="K3536" s="41">
        <f>J3536/60</f>
        <v/>
      </c>
      <c r="L3536" s="41">
        <f>IFERROR(J3536/H3536,"")</f>
        <v/>
      </c>
      <c r="M3536" s="25" t="inlineStr">
        <is>
          <t>2.5.12</t>
        </is>
      </c>
      <c r="N3536" s="25">
        <f>IF(J3536&gt;300,1,0)</f>
        <v/>
      </c>
      <c r="O3536" s="25">
        <f>IF(J3536&gt;600,1,0)</f>
        <v/>
      </c>
      <c r="P3536" s="25">
        <f>IF(H3536&gt;0,J3536,"")</f>
        <v/>
      </c>
      <c r="Q3536" s="25">
        <f>TEXT(A3536,"YYYY-MM-DD HH")</f>
        <v/>
      </c>
      <c r="R3536" s="25">
        <f>COUNTIF($Q$2:$Q$5295,Q3536)</f>
        <v/>
      </c>
      <c r="S3536" s="25">
        <f>IF(R3536&lt;=2,"1-2",IF(R3536&lt;=5,"3-5",IF(R3536&lt;=10,"6-10","11+")))</f>
        <v/>
      </c>
    </row>
    <row r="3537">
      <c r="A3537" s="39" t="n">
        <v>46209.1790625</v>
      </c>
      <c r="B3537" s="25">
        <f>TEXT(A3537,"YYYY-MM")</f>
        <v/>
      </c>
      <c r="C3537" s="25">
        <f>TEXT(A3537,"MMM-YYYY")</f>
        <v/>
      </c>
      <c r="D3537" s="40">
        <f>INT(A3537)-WEEKDAY(A3537,2)+1</f>
        <v/>
      </c>
      <c r="E3537" s="25" t="inlineStr">
        <is>
          <t>pgautam</t>
        </is>
      </c>
      <c r="F3537" s="25" t="n">
        <v>129028</v>
      </c>
      <c r="G3537" s="25" t="n">
        <v>4</v>
      </c>
      <c r="H3537" s="25" t="n">
        <v>20</v>
      </c>
      <c r="I3537" s="25" t="inlineStr">
        <is>
          <t>3 minute(s) and 47 second(s)</t>
        </is>
      </c>
      <c r="J3537" s="25">
        <f>IFERROR(VALUE(TRIM(LEFT(I3537,FIND("minute",I3537)-1)))*60,0)+IFERROR(VALUE(SUBSTITUTE(MID(I3537,IFERROR(FIND("and",I3537)+3,1),20),"second(s)","")),0)</f>
        <v/>
      </c>
      <c r="K3537" s="41">
        <f>J3537/60</f>
        <v/>
      </c>
      <c r="L3537" s="41">
        <f>IFERROR(J3537/H3537,"")</f>
        <v/>
      </c>
      <c r="M3537" s="25" t="inlineStr">
        <is>
          <t>2.5.12</t>
        </is>
      </c>
      <c r="N3537" s="25">
        <f>IF(J3537&gt;300,1,0)</f>
        <v/>
      </c>
      <c r="O3537" s="25">
        <f>IF(J3537&gt;600,1,0)</f>
        <v/>
      </c>
      <c r="P3537" s="25">
        <f>IF(H3537&gt;0,J3537,"")</f>
        <v/>
      </c>
      <c r="Q3537" s="25">
        <f>TEXT(A3537,"YYYY-MM-DD HH")</f>
        <v/>
      </c>
      <c r="R3537" s="25">
        <f>COUNTIF($Q$2:$Q$5295,Q3537)</f>
        <v/>
      </c>
      <c r="S3537" s="25">
        <f>IF(R3537&lt;=2,"1-2",IF(R3537&lt;=5,"3-5",IF(R3537&lt;=10,"6-10","11+")))</f>
        <v/>
      </c>
    </row>
    <row r="3538">
      <c r="A3538" s="39" t="n">
        <v>46209.18163194445</v>
      </c>
      <c r="B3538" s="25">
        <f>TEXT(A3538,"YYYY-MM")</f>
        <v/>
      </c>
      <c r="C3538" s="25">
        <f>TEXT(A3538,"MMM-YYYY")</f>
        <v/>
      </c>
      <c r="D3538" s="40">
        <f>INT(A3538)-WEEKDAY(A3538,2)+1</f>
        <v/>
      </c>
      <c r="E3538" s="25" t="inlineStr">
        <is>
          <t>bverma</t>
        </is>
      </c>
      <c r="F3538" s="25" t="n">
        <v>128540</v>
      </c>
      <c r="G3538" s="25" t="n">
        <v>2</v>
      </c>
      <c r="H3538" s="25" t="n">
        <v>14</v>
      </c>
      <c r="I3538" s="25" t="inlineStr">
        <is>
          <t>4 minute(s) and 20 second(s)</t>
        </is>
      </c>
      <c r="J3538" s="25">
        <f>IFERROR(VALUE(TRIM(LEFT(I3538,FIND("minute",I3538)-1)))*60,0)+IFERROR(VALUE(SUBSTITUTE(MID(I3538,IFERROR(FIND("and",I3538)+3,1),20),"second(s)","")),0)</f>
        <v/>
      </c>
      <c r="K3538" s="41">
        <f>J3538/60</f>
        <v/>
      </c>
      <c r="L3538" s="41">
        <f>IFERROR(J3538/H3538,"")</f>
        <v/>
      </c>
      <c r="M3538" s="25" t="inlineStr">
        <is>
          <t>2.5.12</t>
        </is>
      </c>
      <c r="N3538" s="25">
        <f>IF(J3538&gt;300,1,0)</f>
        <v/>
      </c>
      <c r="O3538" s="25">
        <f>IF(J3538&gt;600,1,0)</f>
        <v/>
      </c>
      <c r="P3538" s="25">
        <f>IF(H3538&gt;0,J3538,"")</f>
        <v/>
      </c>
      <c r="Q3538" s="25">
        <f>TEXT(A3538,"YYYY-MM-DD HH")</f>
        <v/>
      </c>
      <c r="R3538" s="25">
        <f>COUNTIF($Q$2:$Q$5295,Q3538)</f>
        <v/>
      </c>
      <c r="S3538" s="25">
        <f>IF(R3538&lt;=2,"1-2",IF(R3538&lt;=5,"3-5",IF(R3538&lt;=10,"6-10","11+")))</f>
        <v/>
      </c>
    </row>
    <row r="3539">
      <c r="A3539" s="39" t="n">
        <v>46209.18715277778</v>
      </c>
      <c r="B3539" s="25">
        <f>TEXT(A3539,"YYYY-MM")</f>
        <v/>
      </c>
      <c r="C3539" s="25">
        <f>TEXT(A3539,"MMM-YYYY")</f>
        <v/>
      </c>
      <c r="D3539" s="40">
        <f>INT(A3539)-WEEKDAY(A3539,2)+1</f>
        <v/>
      </c>
      <c r="E3539" s="25" t="inlineStr">
        <is>
          <t>asahoo</t>
        </is>
      </c>
      <c r="F3539" s="25" t="n">
        <v>131180</v>
      </c>
      <c r="G3539" s="25" t="n">
        <v>1</v>
      </c>
      <c r="H3539" s="25" t="n">
        <v>5</v>
      </c>
      <c r="I3539" s="25" t="inlineStr">
        <is>
          <t>2 minute(s) and 0 second(s)</t>
        </is>
      </c>
      <c r="J3539" s="25">
        <f>IFERROR(VALUE(TRIM(LEFT(I3539,FIND("minute",I3539)-1)))*60,0)+IFERROR(VALUE(SUBSTITUTE(MID(I3539,IFERROR(FIND("and",I3539)+3,1),20),"second(s)","")),0)</f>
        <v/>
      </c>
      <c r="K3539" s="41">
        <f>J3539/60</f>
        <v/>
      </c>
      <c r="L3539" s="41">
        <f>IFERROR(J3539/H3539,"")</f>
        <v/>
      </c>
      <c r="M3539" s="25" t="inlineStr">
        <is>
          <t>2.5.12</t>
        </is>
      </c>
      <c r="N3539" s="25">
        <f>IF(J3539&gt;300,1,0)</f>
        <v/>
      </c>
      <c r="O3539" s="25">
        <f>IF(J3539&gt;600,1,0)</f>
        <v/>
      </c>
      <c r="P3539" s="25">
        <f>IF(H3539&gt;0,J3539,"")</f>
        <v/>
      </c>
      <c r="Q3539" s="25">
        <f>TEXT(A3539,"YYYY-MM-DD HH")</f>
        <v/>
      </c>
      <c r="R3539" s="25">
        <f>COUNTIF($Q$2:$Q$5295,Q3539)</f>
        <v/>
      </c>
      <c r="S3539" s="25">
        <f>IF(R3539&lt;=2,"1-2",IF(R3539&lt;=5,"3-5",IF(R3539&lt;=10,"6-10","11+")))</f>
        <v/>
      </c>
    </row>
    <row r="3540">
      <c r="A3540" s="39" t="n">
        <v>46209.19668981482</v>
      </c>
      <c r="B3540" s="25">
        <f>TEXT(A3540,"YYYY-MM")</f>
        <v/>
      </c>
      <c r="C3540" s="25">
        <f>TEXT(A3540,"MMM-YYYY")</f>
        <v/>
      </c>
      <c r="D3540" s="40">
        <f>INT(A3540)-WEEKDAY(A3540,2)+1</f>
        <v/>
      </c>
      <c r="E3540" s="25" t="inlineStr">
        <is>
          <t>hsindwani</t>
        </is>
      </c>
      <c r="F3540" s="25" t="n">
        <v>128752</v>
      </c>
      <c r="G3540" s="25" t="n">
        <v>2</v>
      </c>
      <c r="H3540" s="25" t="n">
        <v>8</v>
      </c>
      <c r="I3540" s="25" t="inlineStr">
        <is>
          <t>5 minute(s) and 5 second(s)</t>
        </is>
      </c>
      <c r="J3540" s="25">
        <f>IFERROR(VALUE(TRIM(LEFT(I3540,FIND("minute",I3540)-1)))*60,0)+IFERROR(VALUE(SUBSTITUTE(MID(I3540,IFERROR(FIND("and",I3540)+3,1),20),"second(s)","")),0)</f>
        <v/>
      </c>
      <c r="K3540" s="41">
        <f>J3540/60</f>
        <v/>
      </c>
      <c r="L3540" s="41">
        <f>IFERROR(J3540/H3540,"")</f>
        <v/>
      </c>
      <c r="M3540" s="25" t="inlineStr">
        <is>
          <t>2.5.12</t>
        </is>
      </c>
      <c r="N3540" s="25">
        <f>IF(J3540&gt;300,1,0)</f>
        <v/>
      </c>
      <c r="O3540" s="25">
        <f>IF(J3540&gt;600,1,0)</f>
        <v/>
      </c>
      <c r="P3540" s="25">
        <f>IF(H3540&gt;0,J3540,"")</f>
        <v/>
      </c>
      <c r="Q3540" s="25">
        <f>TEXT(A3540,"YYYY-MM-DD HH")</f>
        <v/>
      </c>
      <c r="R3540" s="25">
        <f>COUNTIF($Q$2:$Q$5295,Q3540)</f>
        <v/>
      </c>
      <c r="S3540" s="25">
        <f>IF(R3540&lt;=2,"1-2",IF(R3540&lt;=5,"3-5",IF(R3540&lt;=10,"6-10","11+")))</f>
        <v/>
      </c>
    </row>
    <row r="3541">
      <c r="A3541" s="39" t="n">
        <v>46209.20232638889</v>
      </c>
      <c r="B3541" s="25">
        <f>TEXT(A3541,"YYYY-MM")</f>
        <v/>
      </c>
      <c r="C3541" s="25">
        <f>TEXT(A3541,"MMM-YYYY")</f>
        <v/>
      </c>
      <c r="D3541" s="40">
        <f>INT(A3541)-WEEKDAY(A3541,2)+1</f>
        <v/>
      </c>
      <c r="E3541" s="25" t="inlineStr">
        <is>
          <t>adey</t>
        </is>
      </c>
      <c r="F3541" s="25" t="n">
        <v>132048</v>
      </c>
      <c r="G3541" s="25" t="n">
        <v>2</v>
      </c>
      <c r="H3541" s="25" t="n">
        <v>10</v>
      </c>
      <c r="I3541" s="25" t="inlineStr">
        <is>
          <t>3 minute(s) and 33 second(s)</t>
        </is>
      </c>
      <c r="J3541" s="25">
        <f>IFERROR(VALUE(TRIM(LEFT(I3541,FIND("minute",I3541)-1)))*60,0)+IFERROR(VALUE(SUBSTITUTE(MID(I3541,IFERROR(FIND("and",I3541)+3,1),20),"second(s)","")),0)</f>
        <v/>
      </c>
      <c r="K3541" s="41">
        <f>J3541/60</f>
        <v/>
      </c>
      <c r="L3541" s="41">
        <f>IFERROR(J3541/H3541,"")</f>
        <v/>
      </c>
      <c r="M3541" s="25" t="inlineStr">
        <is>
          <t>2.5.12</t>
        </is>
      </c>
      <c r="N3541" s="25">
        <f>IF(J3541&gt;300,1,0)</f>
        <v/>
      </c>
      <c r="O3541" s="25">
        <f>IF(J3541&gt;600,1,0)</f>
        <v/>
      </c>
      <c r="P3541" s="25">
        <f>IF(H3541&gt;0,J3541,"")</f>
        <v/>
      </c>
      <c r="Q3541" s="25">
        <f>TEXT(A3541,"YYYY-MM-DD HH")</f>
        <v/>
      </c>
      <c r="R3541" s="25">
        <f>COUNTIF($Q$2:$Q$5295,Q3541)</f>
        <v/>
      </c>
      <c r="S3541" s="25">
        <f>IF(R3541&lt;=2,"1-2",IF(R3541&lt;=5,"3-5",IF(R3541&lt;=10,"6-10","11+")))</f>
        <v/>
      </c>
    </row>
    <row r="3542">
      <c r="A3542" s="39" t="n">
        <v>46209.20568287037</v>
      </c>
      <c r="B3542" s="25">
        <f>TEXT(A3542,"YYYY-MM")</f>
        <v/>
      </c>
      <c r="C3542" s="25">
        <f>TEXT(A3542,"MMM-YYYY")</f>
        <v/>
      </c>
      <c r="D3542" s="40">
        <f>INT(A3542)-WEEKDAY(A3542,2)+1</f>
        <v/>
      </c>
      <c r="E3542" s="25" t="inlineStr">
        <is>
          <t>aghosh</t>
        </is>
      </c>
      <c r="F3542" s="25" t="n">
        <v>128607</v>
      </c>
      <c r="G3542" s="25" t="n">
        <v>2</v>
      </c>
      <c r="H3542" s="25" t="n">
        <v>6</v>
      </c>
      <c r="I3542" s="25" t="inlineStr">
        <is>
          <t>4 minute(s) and 1 second(s)</t>
        </is>
      </c>
      <c r="J3542" s="25">
        <f>IFERROR(VALUE(TRIM(LEFT(I3542,FIND("minute",I3542)-1)))*60,0)+IFERROR(VALUE(SUBSTITUTE(MID(I3542,IFERROR(FIND("and",I3542)+3,1),20),"second(s)","")),0)</f>
        <v/>
      </c>
      <c r="K3542" s="41">
        <f>J3542/60</f>
        <v/>
      </c>
      <c r="L3542" s="41">
        <f>IFERROR(J3542/H3542,"")</f>
        <v/>
      </c>
      <c r="M3542" s="25" t="inlineStr">
        <is>
          <t>2.5.12</t>
        </is>
      </c>
      <c r="N3542" s="25">
        <f>IF(J3542&gt;300,1,0)</f>
        <v/>
      </c>
      <c r="O3542" s="25">
        <f>IF(J3542&gt;600,1,0)</f>
        <v/>
      </c>
      <c r="P3542" s="25">
        <f>IF(H3542&gt;0,J3542,"")</f>
        <v/>
      </c>
      <c r="Q3542" s="25">
        <f>TEXT(A3542,"YYYY-MM-DD HH")</f>
        <v/>
      </c>
      <c r="R3542" s="25">
        <f>COUNTIF($Q$2:$Q$5295,Q3542)</f>
        <v/>
      </c>
      <c r="S3542" s="25">
        <f>IF(R3542&lt;=2,"1-2",IF(R3542&lt;=5,"3-5",IF(R3542&lt;=10,"6-10","11+")))</f>
        <v/>
      </c>
    </row>
    <row r="3543">
      <c r="A3543" s="39" t="n">
        <v>46209.2077199074</v>
      </c>
      <c r="B3543" s="25">
        <f>TEXT(A3543,"YYYY-MM")</f>
        <v/>
      </c>
      <c r="C3543" s="25">
        <f>TEXT(A3543,"MMM-YYYY")</f>
        <v/>
      </c>
      <c r="D3543" s="40">
        <f>INT(A3543)-WEEKDAY(A3543,2)+1</f>
        <v/>
      </c>
      <c r="E3543" s="25" t="inlineStr">
        <is>
          <t>dchoudhury</t>
        </is>
      </c>
      <c r="F3543" s="25" t="n">
        <v>128387</v>
      </c>
      <c r="G3543" s="25" t="n">
        <v>2</v>
      </c>
      <c r="H3543" s="25" t="n">
        <v>12</v>
      </c>
      <c r="I3543" s="25" t="inlineStr">
        <is>
          <t>3 minute(s) and 11 second(s)</t>
        </is>
      </c>
      <c r="J3543" s="25">
        <f>IFERROR(VALUE(TRIM(LEFT(I3543,FIND("minute",I3543)-1)))*60,0)+IFERROR(VALUE(SUBSTITUTE(MID(I3543,IFERROR(FIND("and",I3543)+3,1),20),"second(s)","")),0)</f>
        <v/>
      </c>
      <c r="K3543" s="41">
        <f>J3543/60</f>
        <v/>
      </c>
      <c r="L3543" s="41">
        <f>IFERROR(J3543/H3543,"")</f>
        <v/>
      </c>
      <c r="M3543" s="25" t="inlineStr">
        <is>
          <t>2.5.12</t>
        </is>
      </c>
      <c r="N3543" s="25">
        <f>IF(J3543&gt;300,1,0)</f>
        <v/>
      </c>
      <c r="O3543" s="25">
        <f>IF(J3543&gt;600,1,0)</f>
        <v/>
      </c>
      <c r="P3543" s="25">
        <f>IF(H3543&gt;0,J3543,"")</f>
        <v/>
      </c>
      <c r="Q3543" s="25">
        <f>TEXT(A3543,"YYYY-MM-DD HH")</f>
        <v/>
      </c>
      <c r="R3543" s="25">
        <f>COUNTIF($Q$2:$Q$5295,Q3543)</f>
        <v/>
      </c>
      <c r="S3543" s="25">
        <f>IF(R3543&lt;=2,"1-2",IF(R3543&lt;=5,"3-5",IF(R3543&lt;=10,"6-10","11+")))</f>
        <v/>
      </c>
    </row>
    <row r="3544">
      <c r="A3544" s="39" t="n">
        <v>46209.21795138889</v>
      </c>
      <c r="B3544" s="25">
        <f>TEXT(A3544,"YYYY-MM")</f>
        <v/>
      </c>
      <c r="C3544" s="25">
        <f>TEXT(A3544,"MMM-YYYY")</f>
        <v/>
      </c>
      <c r="D3544" s="40">
        <f>INT(A3544)-WEEKDAY(A3544,2)+1</f>
        <v/>
      </c>
      <c r="E3544" s="25" t="inlineStr">
        <is>
          <t>psathwika</t>
        </is>
      </c>
      <c r="F3544" s="25" t="n">
        <v>130176</v>
      </c>
      <c r="G3544" s="25" t="n">
        <v>1</v>
      </c>
      <c r="H3544" s="25" t="n">
        <v>7</v>
      </c>
      <c r="I3544" s="25" t="inlineStr">
        <is>
          <t>1 minute(s) and 20 second(s)</t>
        </is>
      </c>
      <c r="J3544" s="25">
        <f>IFERROR(VALUE(TRIM(LEFT(I3544,FIND("minute",I3544)-1)))*60,0)+IFERROR(VALUE(SUBSTITUTE(MID(I3544,IFERROR(FIND("and",I3544)+3,1),20),"second(s)","")),0)</f>
        <v/>
      </c>
      <c r="K3544" s="41">
        <f>J3544/60</f>
        <v/>
      </c>
      <c r="L3544" s="41">
        <f>IFERROR(J3544/H3544,"")</f>
        <v/>
      </c>
      <c r="M3544" s="25" t="inlineStr">
        <is>
          <t>2.5.12</t>
        </is>
      </c>
      <c r="N3544" s="25">
        <f>IF(J3544&gt;300,1,0)</f>
        <v/>
      </c>
      <c r="O3544" s="25">
        <f>IF(J3544&gt;600,1,0)</f>
        <v/>
      </c>
      <c r="P3544" s="25">
        <f>IF(H3544&gt;0,J3544,"")</f>
        <v/>
      </c>
      <c r="Q3544" s="25">
        <f>TEXT(A3544,"YYYY-MM-DD HH")</f>
        <v/>
      </c>
      <c r="R3544" s="25">
        <f>COUNTIF($Q$2:$Q$5295,Q3544)</f>
        <v/>
      </c>
      <c r="S3544" s="25">
        <f>IF(R3544&lt;=2,"1-2",IF(R3544&lt;=5,"3-5",IF(R3544&lt;=10,"6-10","11+")))</f>
        <v/>
      </c>
    </row>
    <row r="3545">
      <c r="A3545" s="39" t="n">
        <v>46209.22170138889</v>
      </c>
      <c r="B3545" s="25">
        <f>TEXT(A3545,"YYYY-MM")</f>
        <v/>
      </c>
      <c r="C3545" s="25">
        <f>TEXT(A3545,"MMM-YYYY")</f>
        <v/>
      </c>
      <c r="D3545" s="40">
        <f>INT(A3545)-WEEKDAY(A3545,2)+1</f>
        <v/>
      </c>
      <c r="E3545" s="25" t="inlineStr">
        <is>
          <t>bverma</t>
        </is>
      </c>
      <c r="F3545" s="25" t="n">
        <v>128951</v>
      </c>
      <c r="G3545" s="25" t="n">
        <v>4</v>
      </c>
      <c r="H3545" s="25" t="n">
        <v>20</v>
      </c>
      <c r="I3545" s="25" t="inlineStr">
        <is>
          <t>4 minute(s) and 27 second(s)</t>
        </is>
      </c>
      <c r="J3545" s="25">
        <f>IFERROR(VALUE(TRIM(LEFT(I3545,FIND("minute",I3545)-1)))*60,0)+IFERROR(VALUE(SUBSTITUTE(MID(I3545,IFERROR(FIND("and",I3545)+3,1),20),"second(s)","")),0)</f>
        <v/>
      </c>
      <c r="K3545" s="41">
        <f>J3545/60</f>
        <v/>
      </c>
      <c r="L3545" s="41">
        <f>IFERROR(J3545/H3545,"")</f>
        <v/>
      </c>
      <c r="M3545" s="25" t="inlineStr">
        <is>
          <t>2.5.12</t>
        </is>
      </c>
      <c r="N3545" s="25">
        <f>IF(J3545&gt;300,1,0)</f>
        <v/>
      </c>
      <c r="O3545" s="25">
        <f>IF(J3545&gt;600,1,0)</f>
        <v/>
      </c>
      <c r="P3545" s="25">
        <f>IF(H3545&gt;0,J3545,"")</f>
        <v/>
      </c>
      <c r="Q3545" s="25">
        <f>TEXT(A3545,"YYYY-MM-DD HH")</f>
        <v/>
      </c>
      <c r="R3545" s="25">
        <f>COUNTIF($Q$2:$Q$5295,Q3545)</f>
        <v/>
      </c>
      <c r="S3545" s="25">
        <f>IF(R3545&lt;=2,"1-2",IF(R3545&lt;=5,"3-5",IF(R3545&lt;=10,"6-10","11+")))</f>
        <v/>
      </c>
    </row>
    <row r="3546">
      <c r="A3546" s="39" t="n">
        <v>46209.22642361111</v>
      </c>
      <c r="B3546" s="25">
        <f>TEXT(A3546,"YYYY-MM")</f>
        <v/>
      </c>
      <c r="C3546" s="25">
        <f>TEXT(A3546,"MMM-YYYY")</f>
        <v/>
      </c>
      <c r="D3546" s="40">
        <f>INT(A3546)-WEEKDAY(A3546,2)+1</f>
        <v/>
      </c>
      <c r="E3546" s="25" t="inlineStr">
        <is>
          <t>mgupta</t>
        </is>
      </c>
      <c r="F3546" s="25" t="n">
        <v>129460</v>
      </c>
      <c r="G3546" s="25" t="n">
        <v>2</v>
      </c>
      <c r="H3546" s="25" t="n">
        <v>8</v>
      </c>
      <c r="I3546" s="25" t="inlineStr">
        <is>
          <t>5 minute(s) and 24 second(s)</t>
        </is>
      </c>
      <c r="J3546" s="25">
        <f>IFERROR(VALUE(TRIM(LEFT(I3546,FIND("minute",I3546)-1)))*60,0)+IFERROR(VALUE(SUBSTITUTE(MID(I3546,IFERROR(FIND("and",I3546)+3,1),20),"second(s)","")),0)</f>
        <v/>
      </c>
      <c r="K3546" s="41">
        <f>J3546/60</f>
        <v/>
      </c>
      <c r="L3546" s="41">
        <f>IFERROR(J3546/H3546,"")</f>
        <v/>
      </c>
      <c r="M3546" s="25" t="inlineStr">
        <is>
          <t>2.5.12</t>
        </is>
      </c>
      <c r="N3546" s="25">
        <f>IF(J3546&gt;300,1,0)</f>
        <v/>
      </c>
      <c r="O3546" s="25">
        <f>IF(J3546&gt;600,1,0)</f>
        <v/>
      </c>
      <c r="P3546" s="25">
        <f>IF(H3546&gt;0,J3546,"")</f>
        <v/>
      </c>
      <c r="Q3546" s="25">
        <f>TEXT(A3546,"YYYY-MM-DD HH")</f>
        <v/>
      </c>
      <c r="R3546" s="25">
        <f>COUNTIF($Q$2:$Q$5295,Q3546)</f>
        <v/>
      </c>
      <c r="S3546" s="25">
        <f>IF(R3546&lt;=2,"1-2",IF(R3546&lt;=5,"3-5",IF(R3546&lt;=10,"6-10","11+")))</f>
        <v/>
      </c>
    </row>
    <row r="3547">
      <c r="A3547" s="39" t="n">
        <v>46209.2346412037</v>
      </c>
      <c r="B3547" s="25">
        <f>TEXT(A3547,"YYYY-MM")</f>
        <v/>
      </c>
      <c r="C3547" s="25">
        <f>TEXT(A3547,"MMM-YYYY")</f>
        <v/>
      </c>
      <c r="D3547" s="40">
        <f>INT(A3547)-WEEKDAY(A3547,2)+1</f>
        <v/>
      </c>
      <c r="E3547" s="25" t="inlineStr">
        <is>
          <t>pgautam</t>
        </is>
      </c>
      <c r="F3547" s="25" t="n">
        <v>129487</v>
      </c>
      <c r="G3547" s="25" t="n">
        <v>3</v>
      </c>
      <c r="H3547" s="25" t="n">
        <v>11</v>
      </c>
      <c r="I3547" s="25" t="inlineStr">
        <is>
          <t>2 minute(s) and 9 second(s)</t>
        </is>
      </c>
      <c r="J3547" s="25">
        <f>IFERROR(VALUE(TRIM(LEFT(I3547,FIND("minute",I3547)-1)))*60,0)+IFERROR(VALUE(SUBSTITUTE(MID(I3547,IFERROR(FIND("and",I3547)+3,1),20),"second(s)","")),0)</f>
        <v/>
      </c>
      <c r="K3547" s="41">
        <f>J3547/60</f>
        <v/>
      </c>
      <c r="L3547" s="41">
        <f>IFERROR(J3547/H3547,"")</f>
        <v/>
      </c>
      <c r="M3547" s="25" t="inlineStr">
        <is>
          <t>2.5.12</t>
        </is>
      </c>
      <c r="N3547" s="25">
        <f>IF(J3547&gt;300,1,0)</f>
        <v/>
      </c>
      <c r="O3547" s="25">
        <f>IF(J3547&gt;600,1,0)</f>
        <v/>
      </c>
      <c r="P3547" s="25">
        <f>IF(H3547&gt;0,J3547,"")</f>
        <v/>
      </c>
      <c r="Q3547" s="25">
        <f>TEXT(A3547,"YYYY-MM-DD HH")</f>
        <v/>
      </c>
      <c r="R3547" s="25">
        <f>COUNTIF($Q$2:$Q$5295,Q3547)</f>
        <v/>
      </c>
      <c r="S3547" s="25">
        <f>IF(R3547&lt;=2,"1-2",IF(R3547&lt;=5,"3-5",IF(R3547&lt;=10,"6-10","11+")))</f>
        <v/>
      </c>
    </row>
    <row r="3548">
      <c r="A3548" s="39" t="n">
        <v>46209.23709490741</v>
      </c>
      <c r="B3548" s="25">
        <f>TEXT(A3548,"YYYY-MM")</f>
        <v/>
      </c>
      <c r="C3548" s="25">
        <f>TEXT(A3548,"MMM-YYYY")</f>
        <v/>
      </c>
      <c r="D3548" s="40">
        <f>INT(A3548)-WEEKDAY(A3548,2)+1</f>
        <v/>
      </c>
      <c r="E3548" s="25" t="inlineStr">
        <is>
          <t>asahoo</t>
        </is>
      </c>
      <c r="F3548" s="25" t="n">
        <v>130398</v>
      </c>
      <c r="G3548" s="25" t="n">
        <v>2</v>
      </c>
      <c r="H3548" s="25" t="n">
        <v>8</v>
      </c>
      <c r="I3548" s="25" t="inlineStr">
        <is>
          <t>3 minute(s) and 53 second(s)</t>
        </is>
      </c>
      <c r="J3548" s="25">
        <f>IFERROR(VALUE(TRIM(LEFT(I3548,FIND("minute",I3548)-1)))*60,0)+IFERROR(VALUE(SUBSTITUTE(MID(I3548,IFERROR(FIND("and",I3548)+3,1),20),"second(s)","")),0)</f>
        <v/>
      </c>
      <c r="K3548" s="41">
        <f>J3548/60</f>
        <v/>
      </c>
      <c r="L3548" s="41">
        <f>IFERROR(J3548/H3548,"")</f>
        <v/>
      </c>
      <c r="M3548" s="25" t="inlineStr">
        <is>
          <t>2.5.12</t>
        </is>
      </c>
      <c r="N3548" s="25">
        <f>IF(J3548&gt;300,1,0)</f>
        <v/>
      </c>
      <c r="O3548" s="25">
        <f>IF(J3548&gt;600,1,0)</f>
        <v/>
      </c>
      <c r="P3548" s="25">
        <f>IF(H3548&gt;0,J3548,"")</f>
        <v/>
      </c>
      <c r="Q3548" s="25">
        <f>TEXT(A3548,"YYYY-MM-DD HH")</f>
        <v/>
      </c>
      <c r="R3548" s="25">
        <f>COUNTIF($Q$2:$Q$5295,Q3548)</f>
        <v/>
      </c>
      <c r="S3548" s="25">
        <f>IF(R3548&lt;=2,"1-2",IF(R3548&lt;=5,"3-5",IF(R3548&lt;=10,"6-10","11+")))</f>
        <v/>
      </c>
    </row>
    <row r="3549">
      <c r="A3549" s="39" t="n">
        <v>46209.2372800926</v>
      </c>
      <c r="B3549" s="25">
        <f>TEXT(A3549,"YYYY-MM")</f>
        <v/>
      </c>
      <c r="C3549" s="25">
        <f>TEXT(A3549,"MMM-YYYY")</f>
        <v/>
      </c>
      <c r="D3549" s="40">
        <f>INT(A3549)-WEEKDAY(A3549,2)+1</f>
        <v/>
      </c>
      <c r="E3549" s="25" t="inlineStr">
        <is>
          <t>ssarkar</t>
        </is>
      </c>
      <c r="F3549" s="25" t="n">
        <v>130982</v>
      </c>
      <c r="G3549" s="25" t="n">
        <v>1</v>
      </c>
      <c r="H3549" s="25" t="n">
        <v>5</v>
      </c>
      <c r="I3549" s="25" t="inlineStr">
        <is>
          <t>58 second(s)</t>
        </is>
      </c>
      <c r="J3549" s="25">
        <f>IFERROR(VALUE(TRIM(LEFT(I3549,FIND("minute",I3549)-1)))*60,0)+IFERROR(VALUE(SUBSTITUTE(MID(I3549,IFERROR(FIND("and",I3549)+3,1),20),"second(s)","")),0)</f>
        <v/>
      </c>
      <c r="K3549" s="41">
        <f>J3549/60</f>
        <v/>
      </c>
      <c r="L3549" s="41">
        <f>IFERROR(J3549/H3549,"")</f>
        <v/>
      </c>
      <c r="M3549" s="25" t="inlineStr">
        <is>
          <t>2.5.12</t>
        </is>
      </c>
      <c r="N3549" s="25">
        <f>IF(J3549&gt;300,1,0)</f>
        <v/>
      </c>
      <c r="O3549" s="25">
        <f>IF(J3549&gt;600,1,0)</f>
        <v/>
      </c>
      <c r="P3549" s="25">
        <f>IF(H3549&gt;0,J3549,"")</f>
        <v/>
      </c>
      <c r="Q3549" s="25">
        <f>TEXT(A3549,"YYYY-MM-DD HH")</f>
        <v/>
      </c>
      <c r="R3549" s="25">
        <f>COUNTIF($Q$2:$Q$5295,Q3549)</f>
        <v/>
      </c>
      <c r="S3549" s="25">
        <f>IF(R3549&lt;=2,"1-2",IF(R3549&lt;=5,"3-5",IF(R3549&lt;=10,"6-10","11+")))</f>
        <v/>
      </c>
    </row>
    <row r="3550">
      <c r="A3550" s="39" t="n">
        <v>46209.24827546296</v>
      </c>
      <c r="B3550" s="25">
        <f>TEXT(A3550,"YYYY-MM")</f>
        <v/>
      </c>
      <c r="C3550" s="25">
        <f>TEXT(A3550,"MMM-YYYY")</f>
        <v/>
      </c>
      <c r="D3550" s="40">
        <f>INT(A3550)-WEEKDAY(A3550,2)+1</f>
        <v/>
      </c>
      <c r="E3550" s="25" t="inlineStr">
        <is>
          <t>asahoo</t>
        </is>
      </c>
      <c r="F3550" s="25" t="n">
        <v>130398</v>
      </c>
      <c r="G3550" s="25" t="n">
        <v>1</v>
      </c>
      <c r="H3550" s="25" t="n">
        <v>3</v>
      </c>
      <c r="I3550" s="25" t="inlineStr">
        <is>
          <t>2 minute(s) and 34 second(s)</t>
        </is>
      </c>
      <c r="J3550" s="25">
        <f>IFERROR(VALUE(TRIM(LEFT(I3550,FIND("minute",I3550)-1)))*60,0)+IFERROR(VALUE(SUBSTITUTE(MID(I3550,IFERROR(FIND("and",I3550)+3,1),20),"second(s)","")),0)</f>
        <v/>
      </c>
      <c r="K3550" s="41">
        <f>J3550/60</f>
        <v/>
      </c>
      <c r="L3550" s="41">
        <f>IFERROR(J3550/H3550,"")</f>
        <v/>
      </c>
      <c r="M3550" s="25" t="inlineStr">
        <is>
          <t>2.5.12</t>
        </is>
      </c>
      <c r="N3550" s="25">
        <f>IF(J3550&gt;300,1,0)</f>
        <v/>
      </c>
      <c r="O3550" s="25">
        <f>IF(J3550&gt;600,1,0)</f>
        <v/>
      </c>
      <c r="P3550" s="25">
        <f>IF(H3550&gt;0,J3550,"")</f>
        <v/>
      </c>
      <c r="Q3550" s="25">
        <f>TEXT(A3550,"YYYY-MM-DD HH")</f>
        <v/>
      </c>
      <c r="R3550" s="25">
        <f>COUNTIF($Q$2:$Q$5295,Q3550)</f>
        <v/>
      </c>
      <c r="S3550" s="25">
        <f>IF(R3550&lt;=2,"1-2",IF(R3550&lt;=5,"3-5",IF(R3550&lt;=10,"6-10","11+")))</f>
        <v/>
      </c>
    </row>
    <row r="3551">
      <c r="A3551" s="39" t="n">
        <v>46209.25622685185</v>
      </c>
      <c r="B3551" s="25">
        <f>TEXT(A3551,"YYYY-MM")</f>
        <v/>
      </c>
      <c r="C3551" s="25">
        <f>TEXT(A3551,"MMM-YYYY")</f>
        <v/>
      </c>
      <c r="D3551" s="40">
        <f>INT(A3551)-WEEKDAY(A3551,2)+1</f>
        <v/>
      </c>
      <c r="E3551" s="25" t="inlineStr">
        <is>
          <t>sdey</t>
        </is>
      </c>
      <c r="F3551" s="25" t="n">
        <v>128204</v>
      </c>
      <c r="G3551" s="25" t="n">
        <v>3</v>
      </c>
      <c r="H3551" s="25" t="n">
        <v>16</v>
      </c>
      <c r="I3551" s="25" t="inlineStr">
        <is>
          <t>4 minute(s) and 32 second(s)</t>
        </is>
      </c>
      <c r="J3551" s="25">
        <f>IFERROR(VALUE(TRIM(LEFT(I3551,FIND("minute",I3551)-1)))*60,0)+IFERROR(VALUE(SUBSTITUTE(MID(I3551,IFERROR(FIND("and",I3551)+3,1),20),"second(s)","")),0)</f>
        <v/>
      </c>
      <c r="K3551" s="41">
        <f>J3551/60</f>
        <v/>
      </c>
      <c r="L3551" s="41">
        <f>IFERROR(J3551/H3551,"")</f>
        <v/>
      </c>
      <c r="M3551" s="25" t="inlineStr">
        <is>
          <t>2.5.12</t>
        </is>
      </c>
      <c r="N3551" s="25">
        <f>IF(J3551&gt;300,1,0)</f>
        <v/>
      </c>
      <c r="O3551" s="25">
        <f>IF(J3551&gt;600,1,0)</f>
        <v/>
      </c>
      <c r="P3551" s="25">
        <f>IF(H3551&gt;0,J3551,"")</f>
        <v/>
      </c>
      <c r="Q3551" s="25">
        <f>TEXT(A3551,"YYYY-MM-DD HH")</f>
        <v/>
      </c>
      <c r="R3551" s="25">
        <f>COUNTIF($Q$2:$Q$5295,Q3551)</f>
        <v/>
      </c>
      <c r="S3551" s="25">
        <f>IF(R3551&lt;=2,"1-2",IF(R3551&lt;=5,"3-5",IF(R3551&lt;=10,"6-10","11+")))</f>
        <v/>
      </c>
    </row>
    <row r="3552">
      <c r="A3552" s="39" t="n">
        <v>46209.25831018519</v>
      </c>
      <c r="B3552" s="25">
        <f>TEXT(A3552,"YYYY-MM")</f>
        <v/>
      </c>
      <c r="C3552" s="25">
        <f>TEXT(A3552,"MMM-YYYY")</f>
        <v/>
      </c>
      <c r="D3552" s="40">
        <f>INT(A3552)-WEEKDAY(A3552,2)+1</f>
        <v/>
      </c>
      <c r="E3552" s="25" t="inlineStr">
        <is>
          <t>apriyadarshi</t>
        </is>
      </c>
      <c r="F3552" s="25" t="n">
        <v>129622</v>
      </c>
      <c r="G3552" s="25" t="n">
        <v>3</v>
      </c>
      <c r="H3552" s="25" t="n">
        <v>17</v>
      </c>
      <c r="I3552" s="25" t="inlineStr">
        <is>
          <t>6 minute(s) and 22 second(s)</t>
        </is>
      </c>
      <c r="J3552" s="25">
        <f>IFERROR(VALUE(TRIM(LEFT(I3552,FIND("minute",I3552)-1)))*60,0)+IFERROR(VALUE(SUBSTITUTE(MID(I3552,IFERROR(FIND("and",I3552)+3,1),20),"second(s)","")),0)</f>
        <v/>
      </c>
      <c r="K3552" s="41">
        <f>J3552/60</f>
        <v/>
      </c>
      <c r="L3552" s="41">
        <f>IFERROR(J3552/H3552,"")</f>
        <v/>
      </c>
      <c r="M3552" s="25" t="inlineStr">
        <is>
          <t>2.5.12</t>
        </is>
      </c>
      <c r="N3552" s="25">
        <f>IF(J3552&gt;300,1,0)</f>
        <v/>
      </c>
      <c r="O3552" s="25">
        <f>IF(J3552&gt;600,1,0)</f>
        <v/>
      </c>
      <c r="P3552" s="25">
        <f>IF(H3552&gt;0,J3552,"")</f>
        <v/>
      </c>
      <c r="Q3552" s="25">
        <f>TEXT(A3552,"YYYY-MM-DD HH")</f>
        <v/>
      </c>
      <c r="R3552" s="25">
        <f>COUNTIF($Q$2:$Q$5295,Q3552)</f>
        <v/>
      </c>
      <c r="S3552" s="25">
        <f>IF(R3552&lt;=2,"1-2",IF(R3552&lt;=5,"3-5",IF(R3552&lt;=10,"6-10","11+")))</f>
        <v/>
      </c>
    </row>
    <row r="3553">
      <c r="A3553" s="39" t="n">
        <v>46209.2653125</v>
      </c>
      <c r="B3553" s="25">
        <f>TEXT(A3553,"YYYY-MM")</f>
        <v/>
      </c>
      <c r="C3553" s="25">
        <f>TEXT(A3553,"MMM-YYYY")</f>
        <v/>
      </c>
      <c r="D3553" s="40">
        <f>INT(A3553)-WEEKDAY(A3553,2)+1</f>
        <v/>
      </c>
      <c r="E3553" s="25" t="inlineStr">
        <is>
          <t>psathwika</t>
        </is>
      </c>
      <c r="F3553" s="25" t="n">
        <v>128399</v>
      </c>
      <c r="G3553" s="25" t="n">
        <v>2</v>
      </c>
      <c r="H3553" s="25" t="n">
        <v>13</v>
      </c>
      <c r="I3553" s="25" t="inlineStr">
        <is>
          <t>5 minute(s) and 38 second(s)</t>
        </is>
      </c>
      <c r="J3553" s="25">
        <f>IFERROR(VALUE(TRIM(LEFT(I3553,FIND("minute",I3553)-1)))*60,0)+IFERROR(VALUE(SUBSTITUTE(MID(I3553,IFERROR(FIND("and",I3553)+3,1),20),"second(s)","")),0)</f>
        <v/>
      </c>
      <c r="K3553" s="41">
        <f>J3553/60</f>
        <v/>
      </c>
      <c r="L3553" s="41">
        <f>IFERROR(J3553/H3553,"")</f>
        <v/>
      </c>
      <c r="M3553" s="25" t="inlineStr">
        <is>
          <t>2.5.12</t>
        </is>
      </c>
      <c r="N3553" s="25">
        <f>IF(J3553&gt;300,1,0)</f>
        <v/>
      </c>
      <c r="O3553" s="25">
        <f>IF(J3553&gt;600,1,0)</f>
        <v/>
      </c>
      <c r="P3553" s="25">
        <f>IF(H3553&gt;0,J3553,"")</f>
        <v/>
      </c>
      <c r="Q3553" s="25">
        <f>TEXT(A3553,"YYYY-MM-DD HH")</f>
        <v/>
      </c>
      <c r="R3553" s="25">
        <f>COUNTIF($Q$2:$Q$5295,Q3553)</f>
        <v/>
      </c>
      <c r="S3553" s="25">
        <f>IF(R3553&lt;=2,"1-2",IF(R3553&lt;=5,"3-5",IF(R3553&lt;=10,"6-10","11+")))</f>
        <v/>
      </c>
    </row>
    <row r="3554">
      <c r="A3554" s="39" t="n">
        <v>46209.26851851852</v>
      </c>
      <c r="B3554" s="25">
        <f>TEXT(A3554,"YYYY-MM")</f>
        <v/>
      </c>
      <c r="C3554" s="25">
        <f>TEXT(A3554,"MMM-YYYY")</f>
        <v/>
      </c>
      <c r="D3554" s="40">
        <f>INT(A3554)-WEEKDAY(A3554,2)+1</f>
        <v/>
      </c>
      <c r="E3554" s="25" t="inlineStr">
        <is>
          <t>adey</t>
        </is>
      </c>
      <c r="F3554" s="25" t="n">
        <v>130896</v>
      </c>
      <c r="G3554" s="25" t="n">
        <v>4</v>
      </c>
      <c r="H3554" s="25" t="n">
        <v>20</v>
      </c>
      <c r="I3554" s="25" t="inlineStr">
        <is>
          <t>5 minute(s) and 57 second(s)</t>
        </is>
      </c>
      <c r="J3554" s="25">
        <f>IFERROR(VALUE(TRIM(LEFT(I3554,FIND("minute",I3554)-1)))*60,0)+IFERROR(VALUE(SUBSTITUTE(MID(I3554,IFERROR(FIND("and",I3554)+3,1),20),"second(s)","")),0)</f>
        <v/>
      </c>
      <c r="K3554" s="41">
        <f>J3554/60</f>
        <v/>
      </c>
      <c r="L3554" s="41">
        <f>IFERROR(J3554/H3554,"")</f>
        <v/>
      </c>
      <c r="M3554" s="25" t="inlineStr">
        <is>
          <t>2.5.12</t>
        </is>
      </c>
      <c r="N3554" s="25">
        <f>IF(J3554&gt;300,1,0)</f>
        <v/>
      </c>
      <c r="O3554" s="25">
        <f>IF(J3554&gt;600,1,0)</f>
        <v/>
      </c>
      <c r="P3554" s="25">
        <f>IF(H3554&gt;0,J3554,"")</f>
        <v/>
      </c>
      <c r="Q3554" s="25">
        <f>TEXT(A3554,"YYYY-MM-DD HH")</f>
        <v/>
      </c>
      <c r="R3554" s="25">
        <f>COUNTIF($Q$2:$Q$5295,Q3554)</f>
        <v/>
      </c>
      <c r="S3554" s="25">
        <f>IF(R3554&lt;=2,"1-2",IF(R3554&lt;=5,"3-5",IF(R3554&lt;=10,"6-10","11+")))</f>
        <v/>
      </c>
    </row>
    <row r="3555">
      <c r="A3555" s="39" t="n">
        <v>46209.27487268519</v>
      </c>
      <c r="B3555" s="25">
        <f>TEXT(A3555,"YYYY-MM")</f>
        <v/>
      </c>
      <c r="C3555" s="25">
        <f>TEXT(A3555,"MMM-YYYY")</f>
        <v/>
      </c>
      <c r="D3555" s="40">
        <f>INT(A3555)-WEEKDAY(A3555,2)+1</f>
        <v/>
      </c>
      <c r="E3555" s="25" t="inlineStr">
        <is>
          <t>shassan</t>
        </is>
      </c>
      <c r="F3555" s="25" t="n">
        <v>128268</v>
      </c>
      <c r="G3555" s="25" t="n">
        <v>4</v>
      </c>
      <c r="H3555" s="25" t="n">
        <v>16</v>
      </c>
      <c r="I3555" s="25" t="inlineStr">
        <is>
          <t>6 minute(s) and 5 second(s)</t>
        </is>
      </c>
      <c r="J3555" s="25">
        <f>IFERROR(VALUE(TRIM(LEFT(I3555,FIND("minute",I3555)-1)))*60,0)+IFERROR(VALUE(SUBSTITUTE(MID(I3555,IFERROR(FIND("and",I3555)+3,1),20),"second(s)","")),0)</f>
        <v/>
      </c>
      <c r="K3555" s="41">
        <f>J3555/60</f>
        <v/>
      </c>
      <c r="L3555" s="41">
        <f>IFERROR(J3555/H3555,"")</f>
        <v/>
      </c>
      <c r="M3555" s="25" t="inlineStr">
        <is>
          <t>2.5.12</t>
        </is>
      </c>
      <c r="N3555" s="25">
        <f>IF(J3555&gt;300,1,0)</f>
        <v/>
      </c>
      <c r="O3555" s="25">
        <f>IF(J3555&gt;600,1,0)</f>
        <v/>
      </c>
      <c r="P3555" s="25">
        <f>IF(H3555&gt;0,J3555,"")</f>
        <v/>
      </c>
      <c r="Q3555" s="25">
        <f>TEXT(A3555,"YYYY-MM-DD HH")</f>
        <v/>
      </c>
      <c r="R3555" s="25">
        <f>COUNTIF($Q$2:$Q$5295,Q3555)</f>
        <v/>
      </c>
      <c r="S3555" s="25">
        <f>IF(R3555&lt;=2,"1-2",IF(R3555&lt;=5,"3-5",IF(R3555&lt;=10,"6-10","11+")))</f>
        <v/>
      </c>
    </row>
    <row r="3556">
      <c r="A3556" s="39" t="n">
        <v>46209.28394675926</v>
      </c>
      <c r="B3556" s="25">
        <f>TEXT(A3556,"YYYY-MM")</f>
        <v/>
      </c>
      <c r="C3556" s="25">
        <f>TEXT(A3556,"MMM-YYYY")</f>
        <v/>
      </c>
      <c r="D3556" s="40">
        <f>INT(A3556)-WEEKDAY(A3556,2)+1</f>
        <v/>
      </c>
      <c r="E3556" s="25" t="inlineStr">
        <is>
          <t>adey</t>
        </is>
      </c>
      <c r="F3556" s="25" t="n">
        <v>129864</v>
      </c>
      <c r="G3556" s="25" t="n">
        <v>2</v>
      </c>
      <c r="H3556" s="25" t="n">
        <v>10</v>
      </c>
      <c r="I3556" s="25" t="inlineStr">
        <is>
          <t>2 minute(s) and 19 second(s)</t>
        </is>
      </c>
      <c r="J3556" s="25">
        <f>IFERROR(VALUE(TRIM(LEFT(I3556,FIND("minute",I3556)-1)))*60,0)+IFERROR(VALUE(SUBSTITUTE(MID(I3556,IFERROR(FIND("and",I3556)+3,1),20),"second(s)","")),0)</f>
        <v/>
      </c>
      <c r="K3556" s="41">
        <f>J3556/60</f>
        <v/>
      </c>
      <c r="L3556" s="41">
        <f>IFERROR(J3556/H3556,"")</f>
        <v/>
      </c>
      <c r="M3556" s="25" t="inlineStr">
        <is>
          <t>2.5.12</t>
        </is>
      </c>
      <c r="N3556" s="25">
        <f>IF(J3556&gt;300,1,0)</f>
        <v/>
      </c>
      <c r="O3556" s="25">
        <f>IF(J3556&gt;600,1,0)</f>
        <v/>
      </c>
      <c r="P3556" s="25">
        <f>IF(H3556&gt;0,J3556,"")</f>
        <v/>
      </c>
      <c r="Q3556" s="25">
        <f>TEXT(A3556,"YYYY-MM-DD HH")</f>
        <v/>
      </c>
      <c r="R3556" s="25">
        <f>COUNTIF($Q$2:$Q$5295,Q3556)</f>
        <v/>
      </c>
      <c r="S3556" s="25">
        <f>IF(R3556&lt;=2,"1-2",IF(R3556&lt;=5,"3-5",IF(R3556&lt;=10,"6-10","11+")))</f>
        <v/>
      </c>
    </row>
    <row r="3557">
      <c r="A3557" s="39" t="n">
        <v>46209.28967592592</v>
      </c>
      <c r="B3557" s="25">
        <f>TEXT(A3557,"YYYY-MM")</f>
        <v/>
      </c>
      <c r="C3557" s="25">
        <f>TEXT(A3557,"MMM-YYYY")</f>
        <v/>
      </c>
      <c r="D3557" s="40">
        <f>INT(A3557)-WEEKDAY(A3557,2)+1</f>
        <v/>
      </c>
      <c r="E3557" s="25" t="inlineStr">
        <is>
          <t>bverma</t>
        </is>
      </c>
      <c r="F3557" s="25" t="n">
        <v>129356</v>
      </c>
      <c r="G3557" s="25" t="n">
        <v>4</v>
      </c>
      <c r="H3557" s="25" t="n">
        <v>28</v>
      </c>
      <c r="I3557" s="25" t="inlineStr">
        <is>
          <t>11 minute(s) and 54 second(s)</t>
        </is>
      </c>
      <c r="J3557" s="25">
        <f>IFERROR(VALUE(TRIM(LEFT(I3557,FIND("minute",I3557)-1)))*60,0)+IFERROR(VALUE(SUBSTITUTE(MID(I3557,IFERROR(FIND("and",I3557)+3,1),20),"second(s)","")),0)</f>
        <v/>
      </c>
      <c r="K3557" s="41">
        <f>J3557/60</f>
        <v/>
      </c>
      <c r="L3557" s="41">
        <f>IFERROR(J3557/H3557,"")</f>
        <v/>
      </c>
      <c r="M3557" s="25" t="inlineStr">
        <is>
          <t>2.5.12</t>
        </is>
      </c>
      <c r="N3557" s="25">
        <f>IF(J3557&gt;300,1,0)</f>
        <v/>
      </c>
      <c r="O3557" s="25">
        <f>IF(J3557&gt;600,1,0)</f>
        <v/>
      </c>
      <c r="P3557" s="25">
        <f>IF(H3557&gt;0,J3557,"")</f>
        <v/>
      </c>
      <c r="Q3557" s="25">
        <f>TEXT(A3557,"YYYY-MM-DD HH")</f>
        <v/>
      </c>
      <c r="R3557" s="25">
        <f>COUNTIF($Q$2:$Q$5295,Q3557)</f>
        <v/>
      </c>
      <c r="S3557" s="25">
        <f>IF(R3557&lt;=2,"1-2",IF(R3557&lt;=5,"3-5",IF(R3557&lt;=10,"6-10","11+")))</f>
        <v/>
      </c>
    </row>
    <row r="3558">
      <c r="A3558" s="39" t="n">
        <v>46209.29511574074</v>
      </c>
      <c r="B3558" s="25">
        <f>TEXT(A3558,"YYYY-MM")</f>
        <v/>
      </c>
      <c r="C3558" s="25">
        <f>TEXT(A3558,"MMM-YYYY")</f>
        <v/>
      </c>
      <c r="D3558" s="40">
        <f>INT(A3558)-WEEKDAY(A3558,2)+1</f>
        <v/>
      </c>
      <c r="E3558" s="25" t="inlineStr">
        <is>
          <t>dchoudhury</t>
        </is>
      </c>
      <c r="F3558" s="25" t="n">
        <v>128463</v>
      </c>
      <c r="G3558" s="25" t="n">
        <v>2</v>
      </c>
      <c r="H3558" s="25" t="n">
        <v>11</v>
      </c>
      <c r="I3558" s="25" t="inlineStr">
        <is>
          <t>3 minute(s) and 9 second(s)</t>
        </is>
      </c>
      <c r="J3558" s="25">
        <f>IFERROR(VALUE(TRIM(LEFT(I3558,FIND("minute",I3558)-1)))*60,0)+IFERROR(VALUE(SUBSTITUTE(MID(I3558,IFERROR(FIND("and",I3558)+3,1),20),"second(s)","")),0)</f>
        <v/>
      </c>
      <c r="K3558" s="41">
        <f>J3558/60</f>
        <v/>
      </c>
      <c r="L3558" s="41">
        <f>IFERROR(J3558/H3558,"")</f>
        <v/>
      </c>
      <c r="M3558" s="25" t="inlineStr">
        <is>
          <t>2.5.12</t>
        </is>
      </c>
      <c r="N3558" s="25">
        <f>IF(J3558&gt;300,1,0)</f>
        <v/>
      </c>
      <c r="O3558" s="25">
        <f>IF(J3558&gt;600,1,0)</f>
        <v/>
      </c>
      <c r="P3558" s="25">
        <f>IF(H3558&gt;0,J3558,"")</f>
        <v/>
      </c>
      <c r="Q3558" s="25">
        <f>TEXT(A3558,"YYYY-MM-DD HH")</f>
        <v/>
      </c>
      <c r="R3558" s="25">
        <f>COUNTIF($Q$2:$Q$5295,Q3558)</f>
        <v/>
      </c>
      <c r="S3558" s="25">
        <f>IF(R3558&lt;=2,"1-2",IF(R3558&lt;=5,"3-5",IF(R3558&lt;=10,"6-10","11+")))</f>
        <v/>
      </c>
    </row>
    <row r="3559">
      <c r="A3559" s="39" t="n">
        <v>46209.29972222223</v>
      </c>
      <c r="B3559" s="25">
        <f>TEXT(A3559,"YYYY-MM")</f>
        <v/>
      </c>
      <c r="C3559" s="25">
        <f>TEXT(A3559,"MMM-YYYY")</f>
        <v/>
      </c>
      <c r="D3559" s="40">
        <f>INT(A3559)-WEEKDAY(A3559,2)+1</f>
        <v/>
      </c>
      <c r="E3559" s="25" t="inlineStr">
        <is>
          <t>dchoudhury</t>
        </is>
      </c>
      <c r="F3559" s="25" t="n">
        <v>128463</v>
      </c>
      <c r="G3559" s="25" t="n">
        <v>2</v>
      </c>
      <c r="H3559" s="25" t="n">
        <v>13</v>
      </c>
      <c r="I3559" s="25" t="inlineStr">
        <is>
          <t>4 minute(s) and 34 second(s)</t>
        </is>
      </c>
      <c r="J3559" s="25">
        <f>IFERROR(VALUE(TRIM(LEFT(I3559,FIND("minute",I3559)-1)))*60,0)+IFERROR(VALUE(SUBSTITUTE(MID(I3559,IFERROR(FIND("and",I3559)+3,1),20),"second(s)","")),0)</f>
        <v/>
      </c>
      <c r="K3559" s="41">
        <f>J3559/60</f>
        <v/>
      </c>
      <c r="L3559" s="41">
        <f>IFERROR(J3559/H3559,"")</f>
        <v/>
      </c>
      <c r="M3559" s="25" t="inlineStr">
        <is>
          <t>2.5.12</t>
        </is>
      </c>
      <c r="N3559" s="25">
        <f>IF(J3559&gt;300,1,0)</f>
        <v/>
      </c>
      <c r="O3559" s="25">
        <f>IF(J3559&gt;600,1,0)</f>
        <v/>
      </c>
      <c r="P3559" s="25">
        <f>IF(H3559&gt;0,J3559,"")</f>
        <v/>
      </c>
      <c r="Q3559" s="25">
        <f>TEXT(A3559,"YYYY-MM-DD HH")</f>
        <v/>
      </c>
      <c r="R3559" s="25">
        <f>COUNTIF($Q$2:$Q$5295,Q3559)</f>
        <v/>
      </c>
      <c r="S3559" s="25">
        <f>IF(R3559&lt;=2,"1-2",IF(R3559&lt;=5,"3-5",IF(R3559&lt;=10,"6-10","11+")))</f>
        <v/>
      </c>
    </row>
    <row r="3560">
      <c r="A3560" s="39" t="n">
        <v>46209.30732638889</v>
      </c>
      <c r="B3560" s="25">
        <f>TEXT(A3560,"YYYY-MM")</f>
        <v/>
      </c>
      <c r="C3560" s="25">
        <f>TEXT(A3560,"MMM-YYYY")</f>
        <v/>
      </c>
      <c r="D3560" s="40">
        <f>INT(A3560)-WEEKDAY(A3560,2)+1</f>
        <v/>
      </c>
      <c r="E3560" s="25" t="inlineStr">
        <is>
          <t>stiwari</t>
        </is>
      </c>
      <c r="F3560" s="25" t="n">
        <v>129690</v>
      </c>
      <c r="G3560" s="25" t="n">
        <v>3</v>
      </c>
      <c r="H3560" s="25" t="n">
        <v>21</v>
      </c>
      <c r="I3560" s="25" t="inlineStr">
        <is>
          <t>4 minute(s) and 7 second(s)</t>
        </is>
      </c>
      <c r="J3560" s="25">
        <f>IFERROR(VALUE(TRIM(LEFT(I3560,FIND("minute",I3560)-1)))*60,0)+IFERROR(VALUE(SUBSTITUTE(MID(I3560,IFERROR(FIND("and",I3560)+3,1),20),"second(s)","")),0)</f>
        <v/>
      </c>
      <c r="K3560" s="41">
        <f>J3560/60</f>
        <v/>
      </c>
      <c r="L3560" s="41">
        <f>IFERROR(J3560/H3560,"")</f>
        <v/>
      </c>
      <c r="M3560" s="25" t="inlineStr">
        <is>
          <t>2.5.12</t>
        </is>
      </c>
      <c r="N3560" s="25">
        <f>IF(J3560&gt;300,1,0)</f>
        <v/>
      </c>
      <c r="O3560" s="25">
        <f>IF(J3560&gt;600,1,0)</f>
        <v/>
      </c>
      <c r="P3560" s="25">
        <f>IF(H3560&gt;0,J3560,"")</f>
        <v/>
      </c>
      <c r="Q3560" s="25">
        <f>TEXT(A3560,"YYYY-MM-DD HH")</f>
        <v/>
      </c>
      <c r="R3560" s="25">
        <f>COUNTIF($Q$2:$Q$5295,Q3560)</f>
        <v/>
      </c>
      <c r="S3560" s="25">
        <f>IF(R3560&lt;=2,"1-2",IF(R3560&lt;=5,"3-5",IF(R3560&lt;=10,"6-10","11+")))</f>
        <v/>
      </c>
    </row>
    <row r="3561">
      <c r="A3561" s="39" t="n">
        <v>46209.32186342592</v>
      </c>
      <c r="B3561" s="25">
        <f>TEXT(A3561,"YYYY-MM")</f>
        <v/>
      </c>
      <c r="C3561" s="25">
        <f>TEXT(A3561,"MMM-YYYY")</f>
        <v/>
      </c>
      <c r="D3561" s="40">
        <f>INT(A3561)-WEEKDAY(A3561,2)+1</f>
        <v/>
      </c>
      <c r="E3561" s="25" t="inlineStr">
        <is>
          <t>adey</t>
        </is>
      </c>
      <c r="F3561" s="25" t="n">
        <v>128047</v>
      </c>
      <c r="G3561" s="25" t="n">
        <v>2</v>
      </c>
      <c r="H3561" s="25" t="n">
        <v>10</v>
      </c>
      <c r="I3561" s="25" t="inlineStr">
        <is>
          <t>3 minute(s) and 42 second(s)</t>
        </is>
      </c>
      <c r="J3561" s="25">
        <f>IFERROR(VALUE(TRIM(LEFT(I3561,FIND("minute",I3561)-1)))*60,0)+IFERROR(VALUE(SUBSTITUTE(MID(I3561,IFERROR(FIND("and",I3561)+3,1),20),"second(s)","")),0)</f>
        <v/>
      </c>
      <c r="K3561" s="41">
        <f>J3561/60</f>
        <v/>
      </c>
      <c r="L3561" s="41">
        <f>IFERROR(J3561/H3561,"")</f>
        <v/>
      </c>
      <c r="M3561" s="25" t="inlineStr">
        <is>
          <t>2.5.12</t>
        </is>
      </c>
      <c r="N3561" s="25">
        <f>IF(J3561&gt;300,1,0)</f>
        <v/>
      </c>
      <c r="O3561" s="25">
        <f>IF(J3561&gt;600,1,0)</f>
        <v/>
      </c>
      <c r="P3561" s="25">
        <f>IF(H3561&gt;0,J3561,"")</f>
        <v/>
      </c>
      <c r="Q3561" s="25">
        <f>TEXT(A3561,"YYYY-MM-DD HH")</f>
        <v/>
      </c>
      <c r="R3561" s="25">
        <f>COUNTIF($Q$2:$Q$5295,Q3561)</f>
        <v/>
      </c>
      <c r="S3561" s="25">
        <f>IF(R3561&lt;=2,"1-2",IF(R3561&lt;=5,"3-5",IF(R3561&lt;=10,"6-10","11+")))</f>
        <v/>
      </c>
    </row>
    <row r="3562">
      <c r="A3562" s="39" t="n">
        <v>46209.3221875</v>
      </c>
      <c r="B3562" s="25">
        <f>TEXT(A3562,"YYYY-MM")</f>
        <v/>
      </c>
      <c r="C3562" s="25">
        <f>TEXT(A3562,"MMM-YYYY")</f>
        <v/>
      </c>
      <c r="D3562" s="40">
        <f>INT(A3562)-WEEKDAY(A3562,2)+1</f>
        <v/>
      </c>
      <c r="E3562" s="25" t="inlineStr">
        <is>
          <t>dbhattacharyya</t>
        </is>
      </c>
      <c r="F3562" s="25" t="n">
        <v>128353</v>
      </c>
      <c r="G3562" s="25" t="n">
        <v>1</v>
      </c>
      <c r="H3562" s="25" t="n">
        <v>8</v>
      </c>
      <c r="I3562" s="25" t="inlineStr">
        <is>
          <t>1 minute(s) and 41 second(s)</t>
        </is>
      </c>
      <c r="J3562" s="25">
        <f>IFERROR(VALUE(TRIM(LEFT(I3562,FIND("minute",I3562)-1)))*60,0)+IFERROR(VALUE(SUBSTITUTE(MID(I3562,IFERROR(FIND("and",I3562)+3,1),20),"second(s)","")),0)</f>
        <v/>
      </c>
      <c r="K3562" s="41">
        <f>J3562/60</f>
        <v/>
      </c>
      <c r="L3562" s="41">
        <f>IFERROR(J3562/H3562,"")</f>
        <v/>
      </c>
      <c r="M3562" s="25" t="inlineStr">
        <is>
          <t>2.5.12</t>
        </is>
      </c>
      <c r="N3562" s="25">
        <f>IF(J3562&gt;300,1,0)</f>
        <v/>
      </c>
      <c r="O3562" s="25">
        <f>IF(J3562&gt;600,1,0)</f>
        <v/>
      </c>
      <c r="P3562" s="25">
        <f>IF(H3562&gt;0,J3562,"")</f>
        <v/>
      </c>
      <c r="Q3562" s="25">
        <f>TEXT(A3562,"YYYY-MM-DD HH")</f>
        <v/>
      </c>
      <c r="R3562" s="25">
        <f>COUNTIF($Q$2:$Q$5295,Q3562)</f>
        <v/>
      </c>
      <c r="S3562" s="25">
        <f>IF(R3562&lt;=2,"1-2",IF(R3562&lt;=5,"3-5",IF(R3562&lt;=10,"6-10","11+")))</f>
        <v/>
      </c>
    </row>
    <row r="3563">
      <c r="A3563" s="39" t="n">
        <v>46209.325625</v>
      </c>
      <c r="B3563" s="25">
        <f>TEXT(A3563,"YYYY-MM")</f>
        <v/>
      </c>
      <c r="C3563" s="25">
        <f>TEXT(A3563,"MMM-YYYY")</f>
        <v/>
      </c>
      <c r="D3563" s="40">
        <f>INT(A3563)-WEEKDAY(A3563,2)+1</f>
        <v/>
      </c>
      <c r="E3563" s="25" t="inlineStr">
        <is>
          <t>csaha</t>
        </is>
      </c>
      <c r="F3563" s="25" t="n">
        <v>128496</v>
      </c>
      <c r="G3563" s="25" t="n">
        <v>4</v>
      </c>
      <c r="H3563" s="25" t="n">
        <v>8</v>
      </c>
      <c r="I3563" s="25" t="inlineStr">
        <is>
          <t>2 minute(s) and 42 second(s)</t>
        </is>
      </c>
      <c r="J3563" s="25">
        <f>IFERROR(VALUE(TRIM(LEFT(I3563,FIND("minute",I3563)-1)))*60,0)+IFERROR(VALUE(SUBSTITUTE(MID(I3563,IFERROR(FIND("and",I3563)+3,1),20),"second(s)","")),0)</f>
        <v/>
      </c>
      <c r="K3563" s="41">
        <f>J3563/60</f>
        <v/>
      </c>
      <c r="L3563" s="41">
        <f>IFERROR(J3563/H3563,"")</f>
        <v/>
      </c>
      <c r="M3563" s="25" t="inlineStr">
        <is>
          <t>2.5.12</t>
        </is>
      </c>
      <c r="N3563" s="25">
        <f>IF(J3563&gt;300,1,0)</f>
        <v/>
      </c>
      <c r="O3563" s="25">
        <f>IF(J3563&gt;600,1,0)</f>
        <v/>
      </c>
      <c r="P3563" s="25">
        <f>IF(H3563&gt;0,J3563,"")</f>
        <v/>
      </c>
      <c r="Q3563" s="25">
        <f>TEXT(A3563,"YYYY-MM-DD HH")</f>
        <v/>
      </c>
      <c r="R3563" s="25">
        <f>COUNTIF($Q$2:$Q$5295,Q3563)</f>
        <v/>
      </c>
      <c r="S3563" s="25">
        <f>IF(R3563&lt;=2,"1-2",IF(R3563&lt;=5,"3-5",IF(R3563&lt;=10,"6-10","11+")))</f>
        <v/>
      </c>
    </row>
    <row r="3564">
      <c r="A3564" s="39" t="n">
        <v>46209.33806712963</v>
      </c>
      <c r="B3564" s="25">
        <f>TEXT(A3564,"YYYY-MM")</f>
        <v/>
      </c>
      <c r="C3564" s="25">
        <f>TEXT(A3564,"MMM-YYYY")</f>
        <v/>
      </c>
      <c r="D3564" s="40">
        <f>INT(A3564)-WEEKDAY(A3564,2)+1</f>
        <v/>
      </c>
      <c r="E3564" s="25" t="inlineStr">
        <is>
          <t>psathwika</t>
        </is>
      </c>
      <c r="F3564" s="25" t="n">
        <v>131847</v>
      </c>
      <c r="G3564" s="25" t="n">
        <v>4</v>
      </c>
      <c r="H3564" s="25" t="n">
        <v>12</v>
      </c>
      <c r="I3564" s="25" t="inlineStr">
        <is>
          <t>4 minute(s) and 56 second(s)</t>
        </is>
      </c>
      <c r="J3564" s="25">
        <f>IFERROR(VALUE(TRIM(LEFT(I3564,FIND("minute",I3564)-1)))*60,0)+IFERROR(VALUE(SUBSTITUTE(MID(I3564,IFERROR(FIND("and",I3564)+3,1),20),"second(s)","")),0)</f>
        <v/>
      </c>
      <c r="K3564" s="41">
        <f>J3564/60</f>
        <v/>
      </c>
      <c r="L3564" s="41">
        <f>IFERROR(J3564/H3564,"")</f>
        <v/>
      </c>
      <c r="M3564" s="25" t="inlineStr">
        <is>
          <t>2.5.12</t>
        </is>
      </c>
      <c r="N3564" s="25">
        <f>IF(J3564&gt;300,1,0)</f>
        <v/>
      </c>
      <c r="O3564" s="25">
        <f>IF(J3564&gt;600,1,0)</f>
        <v/>
      </c>
      <c r="P3564" s="25">
        <f>IF(H3564&gt;0,J3564,"")</f>
        <v/>
      </c>
      <c r="Q3564" s="25">
        <f>TEXT(A3564,"YYYY-MM-DD HH")</f>
        <v/>
      </c>
      <c r="R3564" s="25">
        <f>COUNTIF($Q$2:$Q$5295,Q3564)</f>
        <v/>
      </c>
      <c r="S3564" s="25">
        <f>IF(R3564&lt;=2,"1-2",IF(R3564&lt;=5,"3-5",IF(R3564&lt;=10,"6-10","11+")))</f>
        <v/>
      </c>
    </row>
    <row r="3565">
      <c r="A3565" s="39" t="n">
        <v>46209.34459490741</v>
      </c>
      <c r="B3565" s="25">
        <f>TEXT(A3565,"YYYY-MM")</f>
        <v/>
      </c>
      <c r="C3565" s="25">
        <f>TEXT(A3565,"MMM-YYYY")</f>
        <v/>
      </c>
      <c r="D3565" s="40">
        <f>INT(A3565)-WEEKDAY(A3565,2)+1</f>
        <v/>
      </c>
      <c r="E3565" s="25" t="inlineStr">
        <is>
          <t>bverma</t>
        </is>
      </c>
      <c r="F3565" s="25" t="n">
        <v>129815</v>
      </c>
      <c r="G3565" s="25" t="n">
        <v>2</v>
      </c>
      <c r="H3565" s="25" t="n">
        <v>14</v>
      </c>
      <c r="I3565" s="25" t="inlineStr">
        <is>
          <t>4 minute(s) and 8 second(s)</t>
        </is>
      </c>
      <c r="J3565" s="25">
        <f>IFERROR(VALUE(TRIM(LEFT(I3565,FIND("minute",I3565)-1)))*60,0)+IFERROR(VALUE(SUBSTITUTE(MID(I3565,IFERROR(FIND("and",I3565)+3,1),20),"second(s)","")),0)</f>
        <v/>
      </c>
      <c r="K3565" s="41">
        <f>J3565/60</f>
        <v/>
      </c>
      <c r="L3565" s="41">
        <f>IFERROR(J3565/H3565,"")</f>
        <v/>
      </c>
      <c r="M3565" s="25" t="inlineStr">
        <is>
          <t>2.5.12</t>
        </is>
      </c>
      <c r="N3565" s="25">
        <f>IF(J3565&gt;300,1,0)</f>
        <v/>
      </c>
      <c r="O3565" s="25">
        <f>IF(J3565&gt;600,1,0)</f>
        <v/>
      </c>
      <c r="P3565" s="25">
        <f>IF(H3565&gt;0,J3565,"")</f>
        <v/>
      </c>
      <c r="Q3565" s="25">
        <f>TEXT(A3565,"YYYY-MM-DD HH")</f>
        <v/>
      </c>
      <c r="R3565" s="25">
        <f>COUNTIF($Q$2:$Q$5295,Q3565)</f>
        <v/>
      </c>
      <c r="S3565" s="25">
        <f>IF(R3565&lt;=2,"1-2",IF(R3565&lt;=5,"3-5",IF(R3565&lt;=10,"6-10","11+")))</f>
        <v/>
      </c>
    </row>
    <row r="3566">
      <c r="A3566" s="39" t="n">
        <v>46209.34614583333</v>
      </c>
      <c r="B3566" s="25">
        <f>TEXT(A3566,"YYYY-MM")</f>
        <v/>
      </c>
      <c r="C3566" s="25">
        <f>TEXT(A3566,"MMM-YYYY")</f>
        <v/>
      </c>
      <c r="D3566" s="40">
        <f>INT(A3566)-WEEKDAY(A3566,2)+1</f>
        <v/>
      </c>
      <c r="E3566" s="25" t="inlineStr">
        <is>
          <t>ssarkar</t>
        </is>
      </c>
      <c r="F3566" s="25" t="n">
        <v>131415</v>
      </c>
      <c r="G3566" s="25" t="n">
        <v>2</v>
      </c>
      <c r="H3566" s="25" t="n">
        <v>10</v>
      </c>
      <c r="I3566" s="25" t="inlineStr">
        <is>
          <t>2 minute(s) and 29 second(s)</t>
        </is>
      </c>
      <c r="J3566" s="25">
        <f>IFERROR(VALUE(TRIM(LEFT(I3566,FIND("minute",I3566)-1)))*60,0)+IFERROR(VALUE(SUBSTITUTE(MID(I3566,IFERROR(FIND("and",I3566)+3,1),20),"second(s)","")),0)</f>
        <v/>
      </c>
      <c r="K3566" s="41">
        <f>J3566/60</f>
        <v/>
      </c>
      <c r="L3566" s="41">
        <f>IFERROR(J3566/H3566,"")</f>
        <v/>
      </c>
      <c r="M3566" s="25" t="inlineStr">
        <is>
          <t>2.5.12</t>
        </is>
      </c>
      <c r="N3566" s="25">
        <f>IF(J3566&gt;300,1,0)</f>
        <v/>
      </c>
      <c r="O3566" s="25">
        <f>IF(J3566&gt;600,1,0)</f>
        <v/>
      </c>
      <c r="P3566" s="25">
        <f>IF(H3566&gt;0,J3566,"")</f>
        <v/>
      </c>
      <c r="Q3566" s="25">
        <f>TEXT(A3566,"YYYY-MM-DD HH")</f>
        <v/>
      </c>
      <c r="R3566" s="25">
        <f>COUNTIF($Q$2:$Q$5295,Q3566)</f>
        <v/>
      </c>
      <c r="S3566" s="25">
        <f>IF(R3566&lt;=2,"1-2",IF(R3566&lt;=5,"3-5",IF(R3566&lt;=10,"6-10","11+")))</f>
        <v/>
      </c>
    </row>
    <row r="3567">
      <c r="A3567" s="39" t="n">
        <v>46209.34725694444</v>
      </c>
      <c r="B3567" s="25">
        <f>TEXT(A3567,"YYYY-MM")</f>
        <v/>
      </c>
      <c r="C3567" s="25">
        <f>TEXT(A3567,"MMM-YYYY")</f>
        <v/>
      </c>
      <c r="D3567" s="40">
        <f>INT(A3567)-WEEKDAY(A3567,2)+1</f>
        <v/>
      </c>
      <c r="E3567" s="25" t="inlineStr">
        <is>
          <t>stiwari</t>
        </is>
      </c>
      <c r="F3567" s="25" t="n">
        <v>131080</v>
      </c>
      <c r="G3567" s="25" t="n">
        <v>1</v>
      </c>
      <c r="H3567" s="25" t="n">
        <v>5</v>
      </c>
      <c r="I3567" s="25" t="inlineStr">
        <is>
          <t>56 second(s)</t>
        </is>
      </c>
      <c r="J3567" s="25">
        <f>IFERROR(VALUE(TRIM(LEFT(I3567,FIND("minute",I3567)-1)))*60,0)+IFERROR(VALUE(SUBSTITUTE(MID(I3567,IFERROR(FIND("and",I3567)+3,1),20),"second(s)","")),0)</f>
        <v/>
      </c>
      <c r="K3567" s="41">
        <f>J3567/60</f>
        <v/>
      </c>
      <c r="L3567" s="41">
        <f>IFERROR(J3567/H3567,"")</f>
        <v/>
      </c>
      <c r="M3567" s="25" t="inlineStr">
        <is>
          <t>2.5.12</t>
        </is>
      </c>
      <c r="N3567" s="25">
        <f>IF(J3567&gt;300,1,0)</f>
        <v/>
      </c>
      <c r="O3567" s="25">
        <f>IF(J3567&gt;600,1,0)</f>
        <v/>
      </c>
      <c r="P3567" s="25">
        <f>IF(H3567&gt;0,J3567,"")</f>
        <v/>
      </c>
      <c r="Q3567" s="25">
        <f>TEXT(A3567,"YYYY-MM-DD HH")</f>
        <v/>
      </c>
      <c r="R3567" s="25">
        <f>COUNTIF($Q$2:$Q$5295,Q3567)</f>
        <v/>
      </c>
      <c r="S3567" s="25">
        <f>IF(R3567&lt;=2,"1-2",IF(R3567&lt;=5,"3-5",IF(R3567&lt;=10,"6-10","11+")))</f>
        <v/>
      </c>
    </row>
    <row r="3568">
      <c r="A3568" s="39" t="n">
        <v>46209.35232638889</v>
      </c>
      <c r="B3568" s="25">
        <f>TEXT(A3568,"YYYY-MM")</f>
        <v/>
      </c>
      <c r="C3568" s="25">
        <f>TEXT(A3568,"MMM-YYYY")</f>
        <v/>
      </c>
      <c r="D3568" s="40">
        <f>INT(A3568)-WEEKDAY(A3568,2)+1</f>
        <v/>
      </c>
      <c r="E3568" s="25" t="inlineStr">
        <is>
          <t>shassan</t>
        </is>
      </c>
      <c r="F3568" s="25" t="n">
        <v>128666</v>
      </c>
      <c r="G3568" s="25" t="n">
        <v>4</v>
      </c>
      <c r="H3568" s="25" t="n">
        <v>22</v>
      </c>
      <c r="I3568" s="25" t="inlineStr">
        <is>
          <t>9 minute(s) and 4 second(s)</t>
        </is>
      </c>
      <c r="J3568" s="25">
        <f>IFERROR(VALUE(TRIM(LEFT(I3568,FIND("minute",I3568)-1)))*60,0)+IFERROR(VALUE(SUBSTITUTE(MID(I3568,IFERROR(FIND("and",I3568)+3,1),20),"second(s)","")),0)</f>
        <v/>
      </c>
      <c r="K3568" s="41">
        <f>J3568/60</f>
        <v/>
      </c>
      <c r="L3568" s="41">
        <f>IFERROR(J3568/H3568,"")</f>
        <v/>
      </c>
      <c r="M3568" s="25" t="inlineStr">
        <is>
          <t>2.5.12</t>
        </is>
      </c>
      <c r="N3568" s="25">
        <f>IF(J3568&gt;300,1,0)</f>
        <v/>
      </c>
      <c r="O3568" s="25">
        <f>IF(J3568&gt;600,1,0)</f>
        <v/>
      </c>
      <c r="P3568" s="25">
        <f>IF(H3568&gt;0,J3568,"")</f>
        <v/>
      </c>
      <c r="Q3568" s="25">
        <f>TEXT(A3568,"YYYY-MM-DD HH")</f>
        <v/>
      </c>
      <c r="R3568" s="25">
        <f>COUNTIF($Q$2:$Q$5295,Q3568)</f>
        <v/>
      </c>
      <c r="S3568" s="25">
        <f>IF(R3568&lt;=2,"1-2",IF(R3568&lt;=5,"3-5",IF(R3568&lt;=10,"6-10","11+")))</f>
        <v/>
      </c>
    </row>
    <row r="3569">
      <c r="A3569" s="39" t="n">
        <v>46209.38009259259</v>
      </c>
      <c r="B3569" s="25">
        <f>TEXT(A3569,"YYYY-MM")</f>
        <v/>
      </c>
      <c r="C3569" s="25">
        <f>TEXT(A3569,"MMM-YYYY")</f>
        <v/>
      </c>
      <c r="D3569" s="40">
        <f>INT(A3569)-WEEKDAY(A3569,2)+1</f>
        <v/>
      </c>
      <c r="E3569" s="25" t="inlineStr">
        <is>
          <t>shassan</t>
        </is>
      </c>
      <c r="F3569" s="25" t="n">
        <v>129342</v>
      </c>
      <c r="G3569" s="25" t="n">
        <v>2</v>
      </c>
      <c r="H3569" s="25" t="n">
        <v>8</v>
      </c>
      <c r="I3569" s="25" t="inlineStr">
        <is>
          <t>2 minute(s) and 58 second(s)</t>
        </is>
      </c>
      <c r="J3569" s="25">
        <f>IFERROR(VALUE(TRIM(LEFT(I3569,FIND("minute",I3569)-1)))*60,0)+IFERROR(VALUE(SUBSTITUTE(MID(I3569,IFERROR(FIND("and",I3569)+3,1),20),"second(s)","")),0)</f>
        <v/>
      </c>
      <c r="K3569" s="41">
        <f>J3569/60</f>
        <v/>
      </c>
      <c r="L3569" s="41">
        <f>IFERROR(J3569/H3569,"")</f>
        <v/>
      </c>
      <c r="M3569" s="25" t="inlineStr">
        <is>
          <t>2.5.12</t>
        </is>
      </c>
      <c r="N3569" s="25">
        <f>IF(J3569&gt;300,1,0)</f>
        <v/>
      </c>
      <c r="O3569" s="25">
        <f>IF(J3569&gt;600,1,0)</f>
        <v/>
      </c>
      <c r="P3569" s="25">
        <f>IF(H3569&gt;0,J3569,"")</f>
        <v/>
      </c>
      <c r="Q3569" s="25">
        <f>TEXT(A3569,"YYYY-MM-DD HH")</f>
        <v/>
      </c>
      <c r="R3569" s="25">
        <f>COUNTIF($Q$2:$Q$5295,Q3569)</f>
        <v/>
      </c>
      <c r="S3569" s="25">
        <f>IF(R3569&lt;=2,"1-2",IF(R3569&lt;=5,"3-5",IF(R3569&lt;=10,"6-10","11+")))</f>
        <v/>
      </c>
    </row>
    <row r="3570">
      <c r="A3570" s="39" t="n">
        <v>46209.38251157408</v>
      </c>
      <c r="B3570" s="25">
        <f>TEXT(A3570,"YYYY-MM")</f>
        <v/>
      </c>
      <c r="C3570" s="25">
        <f>TEXT(A3570,"MMM-YYYY")</f>
        <v/>
      </c>
      <c r="D3570" s="40">
        <f>INT(A3570)-WEEKDAY(A3570,2)+1</f>
        <v/>
      </c>
      <c r="E3570" s="25" t="inlineStr">
        <is>
          <t>psathwika</t>
        </is>
      </c>
      <c r="F3570" s="25" t="n">
        <v>132496</v>
      </c>
      <c r="G3570" s="25" t="n">
        <v>4</v>
      </c>
      <c r="H3570" s="25" t="n">
        <v>22</v>
      </c>
      <c r="I3570" s="25" t="inlineStr">
        <is>
          <t>6 minute(s) and 19 second(s)</t>
        </is>
      </c>
      <c r="J3570" s="25">
        <f>IFERROR(VALUE(TRIM(LEFT(I3570,FIND("minute",I3570)-1)))*60,0)+IFERROR(VALUE(SUBSTITUTE(MID(I3570,IFERROR(FIND("and",I3570)+3,1),20),"second(s)","")),0)</f>
        <v/>
      </c>
      <c r="K3570" s="41">
        <f>J3570/60</f>
        <v/>
      </c>
      <c r="L3570" s="41">
        <f>IFERROR(J3570/H3570,"")</f>
        <v/>
      </c>
      <c r="M3570" s="25" t="inlineStr">
        <is>
          <t>2.5.12</t>
        </is>
      </c>
      <c r="N3570" s="25">
        <f>IF(J3570&gt;300,1,0)</f>
        <v/>
      </c>
      <c r="O3570" s="25">
        <f>IF(J3570&gt;600,1,0)</f>
        <v/>
      </c>
      <c r="P3570" s="25">
        <f>IF(H3570&gt;0,J3570,"")</f>
        <v/>
      </c>
      <c r="Q3570" s="25">
        <f>TEXT(A3570,"YYYY-MM-DD HH")</f>
        <v/>
      </c>
      <c r="R3570" s="25">
        <f>COUNTIF($Q$2:$Q$5295,Q3570)</f>
        <v/>
      </c>
      <c r="S3570" s="25">
        <f>IF(R3570&lt;=2,"1-2",IF(R3570&lt;=5,"3-5",IF(R3570&lt;=10,"6-10","11+")))</f>
        <v/>
      </c>
    </row>
    <row r="3571">
      <c r="A3571" s="39" t="n">
        <v>46209.51436342593</v>
      </c>
      <c r="B3571" s="25">
        <f>TEXT(A3571,"YYYY-MM")</f>
        <v/>
      </c>
      <c r="C3571" s="25">
        <f>TEXT(A3571,"MMM-YYYY")</f>
        <v/>
      </c>
      <c r="D3571" s="40">
        <f>INT(A3571)-WEEKDAY(A3571,2)+1</f>
        <v/>
      </c>
      <c r="E3571" s="25" t="inlineStr">
        <is>
          <t>ssaha</t>
        </is>
      </c>
      <c r="F3571" s="25" t="n">
        <v>132983</v>
      </c>
      <c r="G3571" s="25" t="n">
        <v>3</v>
      </c>
      <c r="H3571" s="25" t="n">
        <v>15</v>
      </c>
      <c r="I3571" s="25" t="inlineStr">
        <is>
          <t>5 minute(s) and 52 second(s)</t>
        </is>
      </c>
      <c r="J3571" s="25">
        <f>IFERROR(VALUE(TRIM(LEFT(I3571,FIND("minute",I3571)-1)))*60,0)+IFERROR(VALUE(SUBSTITUTE(MID(I3571,IFERROR(FIND("and",I3571)+3,1),20),"second(s)","")),0)</f>
        <v/>
      </c>
      <c r="K3571" s="41">
        <f>J3571/60</f>
        <v/>
      </c>
      <c r="L3571" s="41">
        <f>IFERROR(J3571/H3571,"")</f>
        <v/>
      </c>
      <c r="M3571" s="25" t="inlineStr">
        <is>
          <t>2.5.12</t>
        </is>
      </c>
      <c r="N3571" s="25">
        <f>IF(J3571&gt;300,1,0)</f>
        <v/>
      </c>
      <c r="O3571" s="25">
        <f>IF(J3571&gt;600,1,0)</f>
        <v/>
      </c>
      <c r="P3571" s="25">
        <f>IF(H3571&gt;0,J3571,"")</f>
        <v/>
      </c>
      <c r="Q3571" s="25">
        <f>TEXT(A3571,"YYYY-MM-DD HH")</f>
        <v/>
      </c>
      <c r="R3571" s="25">
        <f>COUNTIF($Q$2:$Q$5295,Q3571)</f>
        <v/>
      </c>
      <c r="S3571" s="25">
        <f>IF(R3571&lt;=2,"1-2",IF(R3571&lt;=5,"3-5",IF(R3571&lt;=10,"6-10","11+")))</f>
        <v/>
      </c>
    </row>
    <row r="3572">
      <c r="A3572" s="39" t="n">
        <v>46209.59519675926</v>
      </c>
      <c r="B3572" s="25">
        <f>TEXT(A3572,"YYYY-MM")</f>
        <v/>
      </c>
      <c r="C3572" s="25">
        <f>TEXT(A3572,"MMM-YYYY")</f>
        <v/>
      </c>
      <c r="D3572" s="40">
        <f>INT(A3572)-WEEKDAY(A3572,2)+1</f>
        <v/>
      </c>
      <c r="E3572" s="25" t="inlineStr">
        <is>
          <t>ssaha</t>
        </is>
      </c>
      <c r="F3572" s="25" t="n">
        <v>122828</v>
      </c>
      <c r="G3572" s="25" t="n">
        <v>2</v>
      </c>
      <c r="H3572" s="25" t="n">
        <v>10</v>
      </c>
      <c r="I3572" s="25" t="inlineStr">
        <is>
          <t>3 minute(s) and 34 second(s)</t>
        </is>
      </c>
      <c r="J3572" s="25">
        <f>IFERROR(VALUE(TRIM(LEFT(I3572,FIND("minute",I3572)-1)))*60,0)+IFERROR(VALUE(SUBSTITUTE(MID(I3572,IFERROR(FIND("and",I3572)+3,1),20),"second(s)","")),0)</f>
        <v/>
      </c>
      <c r="K3572" s="41">
        <f>J3572/60</f>
        <v/>
      </c>
      <c r="L3572" s="41">
        <f>IFERROR(J3572/H3572,"")</f>
        <v/>
      </c>
      <c r="M3572" s="25" t="inlineStr">
        <is>
          <t>2.5.12</t>
        </is>
      </c>
      <c r="N3572" s="25">
        <f>IF(J3572&gt;300,1,0)</f>
        <v/>
      </c>
      <c r="O3572" s="25">
        <f>IF(J3572&gt;600,1,0)</f>
        <v/>
      </c>
      <c r="P3572" s="25">
        <f>IF(H3572&gt;0,J3572,"")</f>
        <v/>
      </c>
      <c r="Q3572" s="25">
        <f>TEXT(A3572,"YYYY-MM-DD HH")</f>
        <v/>
      </c>
      <c r="R3572" s="25">
        <f>COUNTIF($Q$2:$Q$5295,Q3572)</f>
        <v/>
      </c>
      <c r="S3572" s="25">
        <f>IF(R3572&lt;=2,"1-2",IF(R3572&lt;=5,"3-5",IF(R3572&lt;=10,"6-10","11+")))</f>
        <v/>
      </c>
    </row>
    <row r="3573">
      <c r="A3573" s="39" t="n">
        <v>46209.63809027777</v>
      </c>
      <c r="B3573" s="25">
        <f>TEXT(A3573,"YYYY-MM")</f>
        <v/>
      </c>
      <c r="C3573" s="25">
        <f>TEXT(A3573,"MMM-YYYY")</f>
        <v/>
      </c>
      <c r="D3573" s="40">
        <f>INT(A3573)-WEEKDAY(A3573,2)+1</f>
        <v/>
      </c>
      <c r="E3573" s="25" t="inlineStr">
        <is>
          <t>dbhattacharyya</t>
        </is>
      </c>
      <c r="F3573" s="25" t="n">
        <v>128138</v>
      </c>
      <c r="G3573" s="25" t="n">
        <v>2</v>
      </c>
      <c r="H3573" s="25" t="n">
        <v>14</v>
      </c>
      <c r="I3573" s="25" t="inlineStr">
        <is>
          <t>2 minute(s) and 50 second(s)</t>
        </is>
      </c>
      <c r="J3573" s="25">
        <f>IFERROR(VALUE(TRIM(LEFT(I3573,FIND("minute",I3573)-1)))*60,0)+IFERROR(VALUE(SUBSTITUTE(MID(I3573,IFERROR(FIND("and",I3573)+3,1),20),"second(s)","")),0)</f>
        <v/>
      </c>
      <c r="K3573" s="41">
        <f>J3573/60</f>
        <v/>
      </c>
      <c r="L3573" s="41">
        <f>IFERROR(J3573/H3573,"")</f>
        <v/>
      </c>
      <c r="M3573" s="25" t="inlineStr">
        <is>
          <t>2.5.12</t>
        </is>
      </c>
      <c r="N3573" s="25">
        <f>IF(J3573&gt;300,1,0)</f>
        <v/>
      </c>
      <c r="O3573" s="25">
        <f>IF(J3573&gt;600,1,0)</f>
        <v/>
      </c>
      <c r="P3573" s="25">
        <f>IF(H3573&gt;0,J3573,"")</f>
        <v/>
      </c>
      <c r="Q3573" s="25">
        <f>TEXT(A3573,"YYYY-MM-DD HH")</f>
        <v/>
      </c>
      <c r="R3573" s="25">
        <f>COUNTIF($Q$2:$Q$5295,Q3573)</f>
        <v/>
      </c>
      <c r="S3573" s="25">
        <f>IF(R3573&lt;=2,"1-2",IF(R3573&lt;=5,"3-5",IF(R3573&lt;=10,"6-10","11+")))</f>
        <v/>
      </c>
    </row>
    <row r="3574">
      <c r="A3574" s="39" t="n">
        <v>46209.65681712963</v>
      </c>
      <c r="B3574" s="25">
        <f>TEXT(A3574,"YYYY-MM")</f>
        <v/>
      </c>
      <c r="C3574" s="25">
        <f>TEXT(A3574,"MMM-YYYY")</f>
        <v/>
      </c>
      <c r="D3574" s="40">
        <f>INT(A3574)-WEEKDAY(A3574,2)+1</f>
        <v/>
      </c>
      <c r="E3574" s="25" t="inlineStr">
        <is>
          <t>rsingh</t>
        </is>
      </c>
      <c r="F3574" s="25" t="n">
        <v>128327</v>
      </c>
      <c r="G3574" s="25" t="n">
        <v>2</v>
      </c>
      <c r="H3574" s="25" t="n">
        <v>12</v>
      </c>
      <c r="I3574" s="25" t="inlineStr">
        <is>
          <t>3 minute(s) and 0 second(s)</t>
        </is>
      </c>
      <c r="J3574" s="25">
        <f>IFERROR(VALUE(TRIM(LEFT(I3574,FIND("minute",I3574)-1)))*60,0)+IFERROR(VALUE(SUBSTITUTE(MID(I3574,IFERROR(FIND("and",I3574)+3,1),20),"second(s)","")),0)</f>
        <v/>
      </c>
      <c r="K3574" s="41">
        <f>J3574/60</f>
        <v/>
      </c>
      <c r="L3574" s="41">
        <f>IFERROR(J3574/H3574,"")</f>
        <v/>
      </c>
      <c r="M3574" s="25" t="inlineStr">
        <is>
          <t>2.5.12</t>
        </is>
      </c>
      <c r="N3574" s="25">
        <f>IF(J3574&gt;300,1,0)</f>
        <v/>
      </c>
      <c r="O3574" s="25">
        <f>IF(J3574&gt;600,1,0)</f>
        <v/>
      </c>
      <c r="P3574" s="25">
        <f>IF(H3574&gt;0,J3574,"")</f>
        <v/>
      </c>
      <c r="Q3574" s="25">
        <f>TEXT(A3574,"YYYY-MM-DD HH")</f>
        <v/>
      </c>
      <c r="R3574" s="25">
        <f>COUNTIF($Q$2:$Q$5295,Q3574)</f>
        <v/>
      </c>
      <c r="S3574" s="25">
        <f>IF(R3574&lt;=2,"1-2",IF(R3574&lt;=5,"3-5",IF(R3574&lt;=10,"6-10","11+")))</f>
        <v/>
      </c>
    </row>
    <row r="3575">
      <c r="A3575" s="39" t="n">
        <v>46209.72133101852</v>
      </c>
      <c r="B3575" s="25">
        <f>TEXT(A3575,"YYYY-MM")</f>
        <v/>
      </c>
      <c r="C3575" s="25">
        <f>TEXT(A3575,"MMM-YYYY")</f>
        <v/>
      </c>
      <c r="D3575" s="40">
        <f>INT(A3575)-WEEKDAY(A3575,2)+1</f>
        <v/>
      </c>
      <c r="E3575" s="25" t="inlineStr">
        <is>
          <t>ssaha</t>
        </is>
      </c>
      <c r="F3575" s="25" t="n">
        <v>131903</v>
      </c>
      <c r="G3575" s="25" t="n">
        <v>2</v>
      </c>
      <c r="H3575" s="25" t="n">
        <v>10</v>
      </c>
      <c r="I3575" s="25" t="inlineStr">
        <is>
          <t>3 minute(s) and 23 second(s)</t>
        </is>
      </c>
      <c r="J3575" s="25">
        <f>IFERROR(VALUE(TRIM(LEFT(I3575,FIND("minute",I3575)-1)))*60,0)+IFERROR(VALUE(SUBSTITUTE(MID(I3575,IFERROR(FIND("and",I3575)+3,1),20),"second(s)","")),0)</f>
        <v/>
      </c>
      <c r="K3575" s="41">
        <f>J3575/60</f>
        <v/>
      </c>
      <c r="L3575" s="41">
        <f>IFERROR(J3575/H3575,"")</f>
        <v/>
      </c>
      <c r="M3575" s="25" t="inlineStr">
        <is>
          <t>2.5.12</t>
        </is>
      </c>
      <c r="N3575" s="25">
        <f>IF(J3575&gt;300,1,0)</f>
        <v/>
      </c>
      <c r="O3575" s="25">
        <f>IF(J3575&gt;600,1,0)</f>
        <v/>
      </c>
      <c r="P3575" s="25">
        <f>IF(H3575&gt;0,J3575,"")</f>
        <v/>
      </c>
      <c r="Q3575" s="25">
        <f>TEXT(A3575,"YYYY-MM-DD HH")</f>
        <v/>
      </c>
      <c r="R3575" s="25">
        <f>COUNTIF($Q$2:$Q$5295,Q3575)</f>
        <v/>
      </c>
      <c r="S3575" s="25">
        <f>IF(R3575&lt;=2,"1-2",IF(R3575&lt;=5,"3-5",IF(R3575&lt;=10,"6-10","11+")))</f>
        <v/>
      </c>
    </row>
    <row r="3576">
      <c r="A3576" s="39" t="n">
        <v>46209.72819444445</v>
      </c>
      <c r="B3576" s="25">
        <f>TEXT(A3576,"YYYY-MM")</f>
        <v/>
      </c>
      <c r="C3576" s="25">
        <f>TEXT(A3576,"MMM-YYYY")</f>
        <v/>
      </c>
      <c r="D3576" s="40">
        <f>INT(A3576)-WEEKDAY(A3576,2)+1</f>
        <v/>
      </c>
      <c r="E3576" s="25" t="inlineStr">
        <is>
          <t>rsingh</t>
        </is>
      </c>
      <c r="F3576" s="25" t="n">
        <v>128428</v>
      </c>
      <c r="G3576" s="25" t="n">
        <v>3</v>
      </c>
      <c r="H3576" s="25" t="n">
        <v>17</v>
      </c>
      <c r="I3576" s="25" t="inlineStr">
        <is>
          <t>5 minute(s) and 24 second(s)</t>
        </is>
      </c>
      <c r="J3576" s="25">
        <f>IFERROR(VALUE(TRIM(LEFT(I3576,FIND("minute",I3576)-1)))*60,0)+IFERROR(VALUE(SUBSTITUTE(MID(I3576,IFERROR(FIND("and",I3576)+3,1),20),"second(s)","")),0)</f>
        <v/>
      </c>
      <c r="K3576" s="41">
        <f>J3576/60</f>
        <v/>
      </c>
      <c r="L3576" s="41">
        <f>IFERROR(J3576/H3576,"")</f>
        <v/>
      </c>
      <c r="M3576" s="25" t="inlineStr">
        <is>
          <t>2.5.12</t>
        </is>
      </c>
      <c r="N3576" s="25">
        <f>IF(J3576&gt;300,1,0)</f>
        <v/>
      </c>
      <c r="O3576" s="25">
        <f>IF(J3576&gt;600,1,0)</f>
        <v/>
      </c>
      <c r="P3576" s="25">
        <f>IF(H3576&gt;0,J3576,"")</f>
        <v/>
      </c>
      <c r="Q3576" s="25">
        <f>TEXT(A3576,"YYYY-MM-DD HH")</f>
        <v/>
      </c>
      <c r="R3576" s="25">
        <f>COUNTIF($Q$2:$Q$5295,Q3576)</f>
        <v/>
      </c>
      <c r="S3576" s="25">
        <f>IF(R3576&lt;=2,"1-2",IF(R3576&lt;=5,"3-5",IF(R3576&lt;=10,"6-10","11+")))</f>
        <v/>
      </c>
    </row>
    <row r="3577">
      <c r="A3577" s="39" t="n">
        <v>46209.76159722222</v>
      </c>
      <c r="B3577" s="25">
        <f>TEXT(A3577,"YYYY-MM")</f>
        <v/>
      </c>
      <c r="C3577" s="25">
        <f>TEXT(A3577,"MMM-YYYY")</f>
        <v/>
      </c>
      <c r="D3577" s="40">
        <f>INT(A3577)-WEEKDAY(A3577,2)+1</f>
        <v/>
      </c>
      <c r="E3577" s="25" t="inlineStr">
        <is>
          <t>ssaha</t>
        </is>
      </c>
      <c r="F3577" s="25" t="n">
        <v>131328</v>
      </c>
      <c r="G3577" s="25" t="n">
        <v>2</v>
      </c>
      <c r="H3577" s="25" t="n">
        <v>8</v>
      </c>
      <c r="I3577" s="25" t="inlineStr">
        <is>
          <t>2 minute(s) and 11 second(s)</t>
        </is>
      </c>
      <c r="J3577" s="25">
        <f>IFERROR(VALUE(TRIM(LEFT(I3577,FIND("minute",I3577)-1)))*60,0)+IFERROR(VALUE(SUBSTITUTE(MID(I3577,IFERROR(FIND("and",I3577)+3,1),20),"second(s)","")),0)</f>
        <v/>
      </c>
      <c r="K3577" s="41">
        <f>J3577/60</f>
        <v/>
      </c>
      <c r="L3577" s="41">
        <f>IFERROR(J3577/H3577,"")</f>
        <v/>
      </c>
      <c r="M3577" s="25" t="inlineStr">
        <is>
          <t>2.5.12</t>
        </is>
      </c>
      <c r="N3577" s="25">
        <f>IF(J3577&gt;300,1,0)</f>
        <v/>
      </c>
      <c r="O3577" s="25">
        <f>IF(J3577&gt;600,1,0)</f>
        <v/>
      </c>
      <c r="P3577" s="25">
        <f>IF(H3577&gt;0,J3577,"")</f>
        <v/>
      </c>
      <c r="Q3577" s="25">
        <f>TEXT(A3577,"YYYY-MM-DD HH")</f>
        <v/>
      </c>
      <c r="R3577" s="25">
        <f>COUNTIF($Q$2:$Q$5295,Q3577)</f>
        <v/>
      </c>
      <c r="S3577" s="25">
        <f>IF(R3577&lt;=2,"1-2",IF(R3577&lt;=5,"3-5",IF(R3577&lt;=10,"6-10","11+")))</f>
        <v/>
      </c>
    </row>
    <row r="3578">
      <c r="A3578" s="39" t="n">
        <v>46210.40886574074</v>
      </c>
      <c r="B3578" s="25">
        <f>TEXT(A3578,"YYYY-MM")</f>
        <v/>
      </c>
      <c r="C3578" s="25">
        <f>TEXT(A3578,"MMM-YYYY")</f>
        <v/>
      </c>
      <c r="D3578" s="40">
        <f>INT(A3578)-WEEKDAY(A3578,2)+1</f>
        <v/>
      </c>
      <c r="E3578" s="25" t="inlineStr">
        <is>
          <t>ssaha</t>
        </is>
      </c>
      <c r="F3578" s="25" t="n">
        <v>129778</v>
      </c>
      <c r="G3578" s="25" t="n">
        <v>2</v>
      </c>
      <c r="H3578" s="25" t="n">
        <v>8</v>
      </c>
      <c r="I3578" s="25" t="inlineStr">
        <is>
          <t>4 minute(s) and 30 second(s)</t>
        </is>
      </c>
      <c r="J3578" s="25">
        <f>IFERROR(VALUE(TRIM(LEFT(I3578,FIND("minute",I3578)-1)))*60,0)+IFERROR(VALUE(SUBSTITUTE(MID(I3578,IFERROR(FIND("and",I3578)+3,1),20),"second(s)","")),0)</f>
        <v/>
      </c>
      <c r="K3578" s="41">
        <f>J3578/60</f>
        <v/>
      </c>
      <c r="L3578" s="41">
        <f>IFERROR(J3578/H3578,"")</f>
        <v/>
      </c>
      <c r="M3578" s="25" t="inlineStr">
        <is>
          <t>2.5.12</t>
        </is>
      </c>
      <c r="N3578" s="25">
        <f>IF(J3578&gt;300,1,0)</f>
        <v/>
      </c>
      <c r="O3578" s="25">
        <f>IF(J3578&gt;600,1,0)</f>
        <v/>
      </c>
      <c r="P3578" s="25">
        <f>IF(H3578&gt;0,J3578,"")</f>
        <v/>
      </c>
      <c r="Q3578" s="25">
        <f>TEXT(A3578,"YYYY-MM-DD HH")</f>
        <v/>
      </c>
      <c r="R3578" s="25">
        <f>COUNTIF($Q$2:$Q$5295,Q3578)</f>
        <v/>
      </c>
      <c r="S3578" s="25">
        <f>IF(R3578&lt;=2,"1-2",IF(R3578&lt;=5,"3-5",IF(R3578&lt;=10,"6-10","11+")))</f>
        <v/>
      </c>
    </row>
    <row r="3579">
      <c r="A3579" s="39" t="n">
        <v>46210.51965277778</v>
      </c>
      <c r="B3579" s="25">
        <f>TEXT(A3579,"YYYY-MM")</f>
        <v/>
      </c>
      <c r="C3579" s="25">
        <f>TEXT(A3579,"MMM-YYYY")</f>
        <v/>
      </c>
      <c r="D3579" s="40">
        <f>INT(A3579)-WEEKDAY(A3579,2)+1</f>
        <v/>
      </c>
      <c r="E3579" s="25" t="inlineStr">
        <is>
          <t>ssaha</t>
        </is>
      </c>
      <c r="F3579" s="25" t="n">
        <v>129548</v>
      </c>
      <c r="G3579" s="25" t="n">
        <v>2</v>
      </c>
      <c r="H3579" s="25" t="n">
        <v>8</v>
      </c>
      <c r="I3579" s="25" t="inlineStr">
        <is>
          <t>4 minute(s) and 31 second(s)</t>
        </is>
      </c>
      <c r="J3579" s="25">
        <f>IFERROR(VALUE(TRIM(LEFT(I3579,FIND("minute",I3579)-1)))*60,0)+IFERROR(VALUE(SUBSTITUTE(MID(I3579,IFERROR(FIND("and",I3579)+3,1),20),"second(s)","")),0)</f>
        <v/>
      </c>
      <c r="K3579" s="41">
        <f>J3579/60</f>
        <v/>
      </c>
      <c r="L3579" s="41">
        <f>IFERROR(J3579/H3579,"")</f>
        <v/>
      </c>
      <c r="M3579" s="25" t="inlineStr">
        <is>
          <t>2.5.12</t>
        </is>
      </c>
      <c r="N3579" s="25">
        <f>IF(J3579&gt;300,1,0)</f>
        <v/>
      </c>
      <c r="O3579" s="25">
        <f>IF(J3579&gt;600,1,0)</f>
        <v/>
      </c>
      <c r="P3579" s="25">
        <f>IF(H3579&gt;0,J3579,"")</f>
        <v/>
      </c>
      <c r="Q3579" s="25">
        <f>TEXT(A3579,"YYYY-MM-DD HH")</f>
        <v/>
      </c>
      <c r="R3579" s="25">
        <f>COUNTIF($Q$2:$Q$5295,Q3579)</f>
        <v/>
      </c>
      <c r="S3579" s="25">
        <f>IF(R3579&lt;=2,"1-2",IF(R3579&lt;=5,"3-5",IF(R3579&lt;=10,"6-10","11+")))</f>
        <v/>
      </c>
    </row>
    <row r="3580">
      <c r="A3580" s="39" t="n">
        <v>46210.70090277777</v>
      </c>
      <c r="B3580" s="25">
        <f>TEXT(A3580,"YYYY-MM")</f>
        <v/>
      </c>
      <c r="C3580" s="25">
        <f>TEXT(A3580,"MMM-YYYY")</f>
        <v/>
      </c>
      <c r="D3580" s="40">
        <f>INT(A3580)-WEEKDAY(A3580,2)+1</f>
        <v/>
      </c>
      <c r="E3580" s="25" t="inlineStr">
        <is>
          <t>ssaha</t>
        </is>
      </c>
      <c r="F3580" s="25" t="n">
        <v>128372</v>
      </c>
      <c r="G3580" s="25" t="n">
        <v>2</v>
      </c>
      <c r="H3580" s="25" t="n">
        <v>8</v>
      </c>
      <c r="I3580" s="25" t="inlineStr">
        <is>
          <t>1 minute(s) and 41 second(s)</t>
        </is>
      </c>
      <c r="J3580" s="25">
        <f>IFERROR(VALUE(TRIM(LEFT(I3580,FIND("minute",I3580)-1)))*60,0)+IFERROR(VALUE(SUBSTITUTE(MID(I3580,IFERROR(FIND("and",I3580)+3,1),20),"second(s)","")),0)</f>
        <v/>
      </c>
      <c r="K3580" s="41">
        <f>J3580/60</f>
        <v/>
      </c>
      <c r="L3580" s="41">
        <f>IFERROR(J3580/H3580,"")</f>
        <v/>
      </c>
      <c r="M3580" s="25" t="inlineStr">
        <is>
          <t>2.5.12</t>
        </is>
      </c>
      <c r="N3580" s="25">
        <f>IF(J3580&gt;300,1,0)</f>
        <v/>
      </c>
      <c r="O3580" s="25">
        <f>IF(J3580&gt;600,1,0)</f>
        <v/>
      </c>
      <c r="P3580" s="25">
        <f>IF(H3580&gt;0,J3580,"")</f>
        <v/>
      </c>
      <c r="Q3580" s="25">
        <f>TEXT(A3580,"YYYY-MM-DD HH")</f>
        <v/>
      </c>
      <c r="R3580" s="25">
        <f>COUNTIF($Q$2:$Q$5295,Q3580)</f>
        <v/>
      </c>
      <c r="S3580" s="25">
        <f>IF(R3580&lt;=2,"1-2",IF(R3580&lt;=5,"3-5",IF(R3580&lt;=10,"6-10","11+")))</f>
        <v/>
      </c>
    </row>
    <row r="3581">
      <c r="A3581" s="39" t="n">
        <v>46210.75282407407</v>
      </c>
      <c r="B3581" s="25">
        <f>TEXT(A3581,"YYYY-MM")</f>
        <v/>
      </c>
      <c r="C3581" s="25">
        <f>TEXT(A3581,"MMM-YYYY")</f>
        <v/>
      </c>
      <c r="D3581" s="40">
        <f>INT(A3581)-WEEKDAY(A3581,2)+1</f>
        <v/>
      </c>
      <c r="E3581" s="25" t="inlineStr">
        <is>
          <t>ssaha</t>
        </is>
      </c>
      <c r="F3581" s="25" t="n">
        <v>128415</v>
      </c>
      <c r="G3581" s="25" t="n">
        <v>4</v>
      </c>
      <c r="H3581" s="25" t="n">
        <v>22</v>
      </c>
      <c r="I3581" s="25" t="inlineStr">
        <is>
          <t>4 minute(s) and 20 second(s)</t>
        </is>
      </c>
      <c r="J3581" s="25">
        <f>IFERROR(VALUE(TRIM(LEFT(I3581,FIND("minute",I3581)-1)))*60,0)+IFERROR(VALUE(SUBSTITUTE(MID(I3581,IFERROR(FIND("and",I3581)+3,1),20),"second(s)","")),0)</f>
        <v/>
      </c>
      <c r="K3581" s="41">
        <f>J3581/60</f>
        <v/>
      </c>
      <c r="L3581" s="41">
        <f>IFERROR(J3581/H3581,"")</f>
        <v/>
      </c>
      <c r="M3581" s="25" t="inlineStr">
        <is>
          <t>2.5.12</t>
        </is>
      </c>
      <c r="N3581" s="25">
        <f>IF(J3581&gt;300,1,0)</f>
        <v/>
      </c>
      <c r="O3581" s="25">
        <f>IF(J3581&gt;600,1,0)</f>
        <v/>
      </c>
      <c r="P3581" s="25">
        <f>IF(H3581&gt;0,J3581,"")</f>
        <v/>
      </c>
      <c r="Q3581" s="25">
        <f>TEXT(A3581,"YYYY-MM-DD HH")</f>
        <v/>
      </c>
      <c r="R3581" s="25">
        <f>COUNTIF($Q$2:$Q$5295,Q3581)</f>
        <v/>
      </c>
      <c r="S3581" s="25">
        <f>IF(R3581&lt;=2,"1-2",IF(R3581&lt;=5,"3-5",IF(R3581&lt;=10,"6-10","11+")))</f>
        <v/>
      </c>
    </row>
    <row r="3582">
      <c r="A3582" s="39" t="n">
        <v>46210.79550925926</v>
      </c>
      <c r="B3582" s="25">
        <f>TEXT(A3582,"YYYY-MM")</f>
        <v/>
      </c>
      <c r="C3582" s="25">
        <f>TEXT(A3582,"MMM-YYYY")</f>
        <v/>
      </c>
      <c r="D3582" s="40">
        <f>INT(A3582)-WEEKDAY(A3582,2)+1</f>
        <v/>
      </c>
      <c r="E3582" s="25" t="inlineStr">
        <is>
          <t>ssaha</t>
        </is>
      </c>
      <c r="F3582" s="25" t="n">
        <v>129188</v>
      </c>
      <c r="G3582" s="25" t="n">
        <v>4</v>
      </c>
      <c r="H3582" s="25" t="n">
        <v>20</v>
      </c>
      <c r="I3582" s="25" t="inlineStr">
        <is>
          <t>3 minute(s) and 43 second(s)</t>
        </is>
      </c>
      <c r="J3582" s="25">
        <f>IFERROR(VALUE(TRIM(LEFT(I3582,FIND("minute",I3582)-1)))*60,0)+IFERROR(VALUE(SUBSTITUTE(MID(I3582,IFERROR(FIND("and",I3582)+3,1),20),"second(s)","")),0)</f>
        <v/>
      </c>
      <c r="K3582" s="41">
        <f>J3582/60</f>
        <v/>
      </c>
      <c r="L3582" s="41">
        <f>IFERROR(J3582/H3582,"")</f>
        <v/>
      </c>
      <c r="M3582" s="25" t="inlineStr">
        <is>
          <t>2.5.12</t>
        </is>
      </c>
      <c r="N3582" s="25">
        <f>IF(J3582&gt;300,1,0)</f>
        <v/>
      </c>
      <c r="O3582" s="25">
        <f>IF(J3582&gt;600,1,0)</f>
        <v/>
      </c>
      <c r="P3582" s="25">
        <f>IF(H3582&gt;0,J3582,"")</f>
        <v/>
      </c>
      <c r="Q3582" s="25">
        <f>TEXT(A3582,"YYYY-MM-DD HH")</f>
        <v/>
      </c>
      <c r="R3582" s="25">
        <f>COUNTIF($Q$2:$Q$5295,Q3582)</f>
        <v/>
      </c>
      <c r="S3582" s="25">
        <f>IF(R3582&lt;=2,"1-2",IF(R3582&lt;=5,"3-5",IF(R3582&lt;=10,"6-10","11+")))</f>
        <v/>
      </c>
    </row>
    <row r="3583">
      <c r="A3583" s="39" t="n">
        <v>46211.22333333334</v>
      </c>
      <c r="B3583" s="25">
        <f>TEXT(A3583,"YYYY-MM")</f>
        <v/>
      </c>
      <c r="C3583" s="25">
        <f>TEXT(A3583,"MMM-YYYY")</f>
        <v/>
      </c>
      <c r="D3583" s="40">
        <f>INT(A3583)-WEEKDAY(A3583,2)+1</f>
        <v/>
      </c>
      <c r="E3583" s="25" t="inlineStr">
        <is>
          <t>stiwari</t>
        </is>
      </c>
      <c r="F3583" s="25" t="n">
        <v>132439</v>
      </c>
      <c r="G3583" s="25" t="n">
        <v>4</v>
      </c>
      <c r="H3583" s="25" t="n">
        <v>26</v>
      </c>
      <c r="I3583" s="25" t="inlineStr">
        <is>
          <t>3 minute(s) and 9 second(s)</t>
        </is>
      </c>
      <c r="J3583" s="25">
        <f>IFERROR(VALUE(TRIM(LEFT(I3583,FIND("minute",I3583)-1)))*60,0)+IFERROR(VALUE(SUBSTITUTE(MID(I3583,IFERROR(FIND("and",I3583)+3,1),20),"second(s)","")),0)</f>
        <v/>
      </c>
      <c r="K3583" s="41">
        <f>J3583/60</f>
        <v/>
      </c>
      <c r="L3583" s="41">
        <f>IFERROR(J3583/H3583,"")</f>
        <v/>
      </c>
      <c r="M3583" s="25" t="inlineStr">
        <is>
          <t>2.5.12</t>
        </is>
      </c>
      <c r="N3583" s="25">
        <f>IF(J3583&gt;300,1,0)</f>
        <v/>
      </c>
      <c r="O3583" s="25">
        <f>IF(J3583&gt;600,1,0)</f>
        <v/>
      </c>
      <c r="P3583" s="25">
        <f>IF(H3583&gt;0,J3583,"")</f>
        <v/>
      </c>
      <c r="Q3583" s="25">
        <f>TEXT(A3583,"YYYY-MM-DD HH")</f>
        <v/>
      </c>
      <c r="R3583" s="25">
        <f>COUNTIF($Q$2:$Q$5295,Q3583)</f>
        <v/>
      </c>
      <c r="S3583" s="25">
        <f>IF(R3583&lt;=2,"1-2",IF(R3583&lt;=5,"3-5",IF(R3583&lt;=10,"6-10","11+")))</f>
        <v/>
      </c>
    </row>
    <row r="3584">
      <c r="A3584" s="39" t="n">
        <v>46211.23731481482</v>
      </c>
      <c r="B3584" s="25">
        <f>TEXT(A3584,"YYYY-MM")</f>
        <v/>
      </c>
      <c r="C3584" s="25">
        <f>TEXT(A3584,"MMM-YYYY")</f>
        <v/>
      </c>
      <c r="D3584" s="40">
        <f>INT(A3584)-WEEKDAY(A3584,2)+1</f>
        <v/>
      </c>
      <c r="E3584" s="25" t="inlineStr">
        <is>
          <t>mgupta</t>
        </is>
      </c>
      <c r="F3584" s="25" t="n">
        <v>130824</v>
      </c>
      <c r="G3584" s="25" t="n">
        <v>2</v>
      </c>
      <c r="H3584" s="25" t="n">
        <v>10</v>
      </c>
      <c r="I3584" s="25" t="inlineStr">
        <is>
          <t>4 minute(s) and 27 second(s)</t>
        </is>
      </c>
      <c r="J3584" s="25">
        <f>IFERROR(VALUE(TRIM(LEFT(I3584,FIND("minute",I3584)-1)))*60,0)+IFERROR(VALUE(SUBSTITUTE(MID(I3584,IFERROR(FIND("and",I3584)+3,1),20),"second(s)","")),0)</f>
        <v/>
      </c>
      <c r="K3584" s="41">
        <f>J3584/60</f>
        <v/>
      </c>
      <c r="L3584" s="41">
        <f>IFERROR(J3584/H3584,"")</f>
        <v/>
      </c>
      <c r="M3584" s="25" t="inlineStr">
        <is>
          <t>2.5.12</t>
        </is>
      </c>
      <c r="N3584" s="25">
        <f>IF(J3584&gt;300,1,0)</f>
        <v/>
      </c>
      <c r="O3584" s="25">
        <f>IF(J3584&gt;600,1,0)</f>
        <v/>
      </c>
      <c r="P3584" s="25">
        <f>IF(H3584&gt;0,J3584,"")</f>
        <v/>
      </c>
      <c r="Q3584" s="25">
        <f>TEXT(A3584,"YYYY-MM-DD HH")</f>
        <v/>
      </c>
      <c r="R3584" s="25">
        <f>COUNTIF($Q$2:$Q$5295,Q3584)</f>
        <v/>
      </c>
      <c r="S3584" s="25">
        <f>IF(R3584&lt;=2,"1-2",IF(R3584&lt;=5,"3-5",IF(R3584&lt;=10,"6-10","11+")))</f>
        <v/>
      </c>
    </row>
    <row r="3585">
      <c r="A3585" s="39" t="n">
        <v>46211.25456018518</v>
      </c>
      <c r="B3585" s="25">
        <f>TEXT(A3585,"YYYY-MM")</f>
        <v/>
      </c>
      <c r="C3585" s="25">
        <f>TEXT(A3585,"MMM-YYYY")</f>
        <v/>
      </c>
      <c r="D3585" s="40">
        <f>INT(A3585)-WEEKDAY(A3585,2)+1</f>
        <v/>
      </c>
      <c r="E3585" s="25" t="inlineStr">
        <is>
          <t>shasikha</t>
        </is>
      </c>
      <c r="F3585" s="25" t="n">
        <v>131015</v>
      </c>
      <c r="G3585" s="25" t="n">
        <v>2</v>
      </c>
      <c r="H3585" s="25" t="n">
        <v>8</v>
      </c>
      <c r="I3585" s="25" t="inlineStr">
        <is>
          <t>54 second(s)</t>
        </is>
      </c>
      <c r="J3585" s="25">
        <f>IFERROR(VALUE(TRIM(LEFT(I3585,FIND("minute",I3585)-1)))*60,0)+IFERROR(VALUE(SUBSTITUTE(MID(I3585,IFERROR(FIND("and",I3585)+3,1),20),"second(s)","")),0)</f>
        <v/>
      </c>
      <c r="K3585" s="41">
        <f>J3585/60</f>
        <v/>
      </c>
      <c r="L3585" s="41">
        <f>IFERROR(J3585/H3585,"")</f>
        <v/>
      </c>
      <c r="M3585" s="25" t="inlineStr">
        <is>
          <t>2.5.12</t>
        </is>
      </c>
      <c r="N3585" s="25">
        <f>IF(J3585&gt;300,1,0)</f>
        <v/>
      </c>
      <c r="O3585" s="25">
        <f>IF(J3585&gt;600,1,0)</f>
        <v/>
      </c>
      <c r="P3585" s="25">
        <f>IF(H3585&gt;0,J3585,"")</f>
        <v/>
      </c>
      <c r="Q3585" s="25">
        <f>TEXT(A3585,"YYYY-MM-DD HH")</f>
        <v/>
      </c>
      <c r="R3585" s="25">
        <f>COUNTIF($Q$2:$Q$5295,Q3585)</f>
        <v/>
      </c>
      <c r="S3585" s="25">
        <f>IF(R3585&lt;=2,"1-2",IF(R3585&lt;=5,"3-5",IF(R3585&lt;=10,"6-10","11+")))</f>
        <v/>
      </c>
    </row>
    <row r="3586">
      <c r="A3586" s="39" t="n">
        <v>46211.25543981481</v>
      </c>
      <c r="B3586" s="25">
        <f>TEXT(A3586,"YYYY-MM")</f>
        <v/>
      </c>
      <c r="C3586" s="25">
        <f>TEXT(A3586,"MMM-YYYY")</f>
        <v/>
      </c>
      <c r="D3586" s="40">
        <f>INT(A3586)-WEEKDAY(A3586,2)+1</f>
        <v/>
      </c>
      <c r="E3586" s="25" t="inlineStr">
        <is>
          <t>adey</t>
        </is>
      </c>
      <c r="F3586" s="25" t="n">
        <v>131433</v>
      </c>
      <c r="G3586" s="25" t="n">
        <v>4</v>
      </c>
      <c r="H3586" s="25" t="n">
        <v>20</v>
      </c>
      <c r="I3586" s="25" t="inlineStr">
        <is>
          <t>3 minute(s) and 8 second(s)</t>
        </is>
      </c>
      <c r="J3586" s="25">
        <f>IFERROR(VALUE(TRIM(LEFT(I3586,FIND("minute",I3586)-1)))*60,0)+IFERROR(VALUE(SUBSTITUTE(MID(I3586,IFERROR(FIND("and",I3586)+3,1),20),"second(s)","")),0)</f>
        <v/>
      </c>
      <c r="K3586" s="41">
        <f>J3586/60</f>
        <v/>
      </c>
      <c r="L3586" s="41">
        <f>IFERROR(J3586/H3586,"")</f>
        <v/>
      </c>
      <c r="M3586" s="25" t="inlineStr">
        <is>
          <t>2.5.12</t>
        </is>
      </c>
      <c r="N3586" s="25">
        <f>IF(J3586&gt;300,1,0)</f>
        <v/>
      </c>
      <c r="O3586" s="25">
        <f>IF(J3586&gt;600,1,0)</f>
        <v/>
      </c>
      <c r="P3586" s="25">
        <f>IF(H3586&gt;0,J3586,"")</f>
        <v/>
      </c>
      <c r="Q3586" s="25">
        <f>TEXT(A3586,"YYYY-MM-DD HH")</f>
        <v/>
      </c>
      <c r="R3586" s="25">
        <f>COUNTIF($Q$2:$Q$5295,Q3586)</f>
        <v/>
      </c>
      <c r="S3586" s="25">
        <f>IF(R3586&lt;=2,"1-2",IF(R3586&lt;=5,"3-5",IF(R3586&lt;=10,"6-10","11+")))</f>
        <v/>
      </c>
    </row>
    <row r="3587">
      <c r="A3587" s="39" t="n">
        <v>46211.28015046296</v>
      </c>
      <c r="B3587" s="25">
        <f>TEXT(A3587,"YYYY-MM")</f>
        <v/>
      </c>
      <c r="C3587" s="25">
        <f>TEXT(A3587,"MMM-YYYY")</f>
        <v/>
      </c>
      <c r="D3587" s="40">
        <f>INT(A3587)-WEEKDAY(A3587,2)+1</f>
        <v/>
      </c>
      <c r="E3587" s="25" t="inlineStr">
        <is>
          <t>asahoo</t>
        </is>
      </c>
      <c r="F3587" s="25" t="n">
        <v>131296</v>
      </c>
      <c r="G3587" s="25" t="n">
        <v>4</v>
      </c>
      <c r="H3587" s="25" t="n">
        <v>24</v>
      </c>
      <c r="I3587" s="25" t="inlineStr">
        <is>
          <t>2 minute(s) and 3 second(s)</t>
        </is>
      </c>
      <c r="J3587" s="25">
        <f>IFERROR(VALUE(TRIM(LEFT(I3587,FIND("minute",I3587)-1)))*60,0)+IFERROR(VALUE(SUBSTITUTE(MID(I3587,IFERROR(FIND("and",I3587)+3,1),20),"second(s)","")),0)</f>
        <v/>
      </c>
      <c r="K3587" s="41">
        <f>J3587/60</f>
        <v/>
      </c>
      <c r="L3587" s="41">
        <f>IFERROR(J3587/H3587,"")</f>
        <v/>
      </c>
      <c r="M3587" s="25" t="inlineStr">
        <is>
          <t>2.5.12</t>
        </is>
      </c>
      <c r="N3587" s="25">
        <f>IF(J3587&gt;300,1,0)</f>
        <v/>
      </c>
      <c r="O3587" s="25">
        <f>IF(J3587&gt;600,1,0)</f>
        <v/>
      </c>
      <c r="P3587" s="25">
        <f>IF(H3587&gt;0,J3587,"")</f>
        <v/>
      </c>
      <c r="Q3587" s="25">
        <f>TEXT(A3587,"YYYY-MM-DD HH")</f>
        <v/>
      </c>
      <c r="R3587" s="25">
        <f>COUNTIF($Q$2:$Q$5295,Q3587)</f>
        <v/>
      </c>
      <c r="S3587" s="25">
        <f>IF(R3587&lt;=2,"1-2",IF(R3587&lt;=5,"3-5",IF(R3587&lt;=10,"6-10","11+")))</f>
        <v/>
      </c>
    </row>
    <row r="3588">
      <c r="A3588" s="39" t="n">
        <v>46211.28474537037</v>
      </c>
      <c r="B3588" s="25">
        <f>TEXT(A3588,"YYYY-MM")</f>
        <v/>
      </c>
      <c r="C3588" s="25">
        <f>TEXT(A3588,"MMM-YYYY")</f>
        <v/>
      </c>
      <c r="D3588" s="40">
        <f>INT(A3588)-WEEKDAY(A3588,2)+1</f>
        <v/>
      </c>
      <c r="E3588" s="25" t="inlineStr">
        <is>
          <t>shassan</t>
        </is>
      </c>
      <c r="F3588" s="25" t="n">
        <v>127996</v>
      </c>
      <c r="G3588" s="25" t="n">
        <v>2</v>
      </c>
      <c r="H3588" s="25" t="n">
        <v>10</v>
      </c>
      <c r="I3588" s="25" t="inlineStr">
        <is>
          <t>57 second(s)</t>
        </is>
      </c>
      <c r="J3588" s="25">
        <f>IFERROR(VALUE(TRIM(LEFT(I3588,FIND("minute",I3588)-1)))*60,0)+IFERROR(VALUE(SUBSTITUTE(MID(I3588,IFERROR(FIND("and",I3588)+3,1),20),"second(s)","")),0)</f>
        <v/>
      </c>
      <c r="K3588" s="41">
        <f>J3588/60</f>
        <v/>
      </c>
      <c r="L3588" s="41">
        <f>IFERROR(J3588/H3588,"")</f>
        <v/>
      </c>
      <c r="M3588" s="25" t="inlineStr">
        <is>
          <t>2.5.12</t>
        </is>
      </c>
      <c r="N3588" s="25">
        <f>IF(J3588&gt;300,1,0)</f>
        <v/>
      </c>
      <c r="O3588" s="25">
        <f>IF(J3588&gt;600,1,0)</f>
        <v/>
      </c>
      <c r="P3588" s="25">
        <f>IF(H3588&gt;0,J3588,"")</f>
        <v/>
      </c>
      <c r="Q3588" s="25">
        <f>TEXT(A3588,"YYYY-MM-DD HH")</f>
        <v/>
      </c>
      <c r="R3588" s="25">
        <f>COUNTIF($Q$2:$Q$5295,Q3588)</f>
        <v/>
      </c>
      <c r="S3588" s="25">
        <f>IF(R3588&lt;=2,"1-2",IF(R3588&lt;=5,"3-5",IF(R3588&lt;=10,"6-10","11+")))</f>
        <v/>
      </c>
    </row>
    <row r="3589">
      <c r="A3589" s="39" t="n">
        <v>46211.29564814815</v>
      </c>
      <c r="B3589" s="25">
        <f>TEXT(A3589,"YYYY-MM")</f>
        <v/>
      </c>
      <c r="C3589" s="25">
        <f>TEXT(A3589,"MMM-YYYY")</f>
        <v/>
      </c>
      <c r="D3589" s="40">
        <f>INT(A3589)-WEEKDAY(A3589,2)+1</f>
        <v/>
      </c>
      <c r="E3589" s="25" t="inlineStr">
        <is>
          <t>stiwari</t>
        </is>
      </c>
      <c r="F3589" s="25" t="n">
        <v>131490</v>
      </c>
      <c r="G3589" s="25" t="n">
        <v>4</v>
      </c>
      <c r="H3589" s="25" t="n">
        <v>26</v>
      </c>
      <c r="I3589" s="25" t="inlineStr">
        <is>
          <t>2 minute(s) and 5 second(s)</t>
        </is>
      </c>
      <c r="J3589" s="25">
        <f>IFERROR(VALUE(TRIM(LEFT(I3589,FIND("minute",I3589)-1)))*60,0)+IFERROR(VALUE(SUBSTITUTE(MID(I3589,IFERROR(FIND("and",I3589)+3,1),20),"second(s)","")),0)</f>
        <v/>
      </c>
      <c r="K3589" s="41">
        <f>J3589/60</f>
        <v/>
      </c>
      <c r="L3589" s="41">
        <f>IFERROR(J3589/H3589,"")</f>
        <v/>
      </c>
      <c r="M3589" s="25" t="inlineStr">
        <is>
          <t>2.5.12</t>
        </is>
      </c>
      <c r="N3589" s="25">
        <f>IF(J3589&gt;300,1,0)</f>
        <v/>
      </c>
      <c r="O3589" s="25">
        <f>IF(J3589&gt;600,1,0)</f>
        <v/>
      </c>
      <c r="P3589" s="25">
        <f>IF(H3589&gt;0,J3589,"")</f>
        <v/>
      </c>
      <c r="Q3589" s="25">
        <f>TEXT(A3589,"YYYY-MM-DD HH")</f>
        <v/>
      </c>
      <c r="R3589" s="25">
        <f>COUNTIF($Q$2:$Q$5295,Q3589)</f>
        <v/>
      </c>
      <c r="S3589" s="25">
        <f>IF(R3589&lt;=2,"1-2",IF(R3589&lt;=5,"3-5",IF(R3589&lt;=10,"6-10","11+")))</f>
        <v/>
      </c>
    </row>
    <row r="3590">
      <c r="A3590" s="39" t="n">
        <v>46211.29774305555</v>
      </c>
      <c r="B3590" s="25">
        <f>TEXT(A3590,"YYYY-MM")</f>
        <v/>
      </c>
      <c r="C3590" s="25">
        <f>TEXT(A3590,"MMM-YYYY")</f>
        <v/>
      </c>
      <c r="D3590" s="40">
        <f>INT(A3590)-WEEKDAY(A3590,2)+1</f>
        <v/>
      </c>
      <c r="E3590" s="25" t="inlineStr">
        <is>
          <t>sswati</t>
        </is>
      </c>
      <c r="F3590" s="25" t="n">
        <v>132631</v>
      </c>
      <c r="G3590" s="25" t="n">
        <v>2</v>
      </c>
      <c r="H3590" s="25" t="n">
        <v>10</v>
      </c>
      <c r="I3590" s="25" t="inlineStr">
        <is>
          <t>4 minute(s) and 24 second(s)</t>
        </is>
      </c>
      <c r="J3590" s="25">
        <f>IFERROR(VALUE(TRIM(LEFT(I3590,FIND("minute",I3590)-1)))*60,0)+IFERROR(VALUE(SUBSTITUTE(MID(I3590,IFERROR(FIND("and",I3590)+3,1),20),"second(s)","")),0)</f>
        <v/>
      </c>
      <c r="K3590" s="41">
        <f>J3590/60</f>
        <v/>
      </c>
      <c r="L3590" s="41">
        <f>IFERROR(J3590/H3590,"")</f>
        <v/>
      </c>
      <c r="M3590" s="25" t="inlineStr">
        <is>
          <t>2.5.12</t>
        </is>
      </c>
      <c r="N3590" s="25">
        <f>IF(J3590&gt;300,1,0)</f>
        <v/>
      </c>
      <c r="O3590" s="25">
        <f>IF(J3590&gt;600,1,0)</f>
        <v/>
      </c>
      <c r="P3590" s="25">
        <f>IF(H3590&gt;0,J3590,"")</f>
        <v/>
      </c>
      <c r="Q3590" s="25">
        <f>TEXT(A3590,"YYYY-MM-DD HH")</f>
        <v/>
      </c>
      <c r="R3590" s="25">
        <f>COUNTIF($Q$2:$Q$5295,Q3590)</f>
        <v/>
      </c>
      <c r="S3590" s="25">
        <f>IF(R3590&lt;=2,"1-2",IF(R3590&lt;=5,"3-5",IF(R3590&lt;=10,"6-10","11+")))</f>
        <v/>
      </c>
    </row>
    <row r="3591">
      <c r="A3591" s="39" t="n">
        <v>46211.29861111111</v>
      </c>
      <c r="B3591" s="25">
        <f>TEXT(A3591,"YYYY-MM")</f>
        <v/>
      </c>
      <c r="C3591" s="25">
        <f>TEXT(A3591,"MMM-YYYY")</f>
        <v/>
      </c>
      <c r="D3591" s="40">
        <f>INT(A3591)-WEEKDAY(A3591,2)+1</f>
        <v/>
      </c>
      <c r="E3591" s="25" t="inlineStr">
        <is>
          <t>shassan</t>
        </is>
      </c>
      <c r="F3591" s="25" t="n">
        <v>131190</v>
      </c>
      <c r="G3591" s="25" t="n">
        <v>4</v>
      </c>
      <c r="H3591" s="25" t="n">
        <v>12</v>
      </c>
      <c r="I3591" s="25" t="inlineStr">
        <is>
          <t>1 minute(s) and 9 second(s)</t>
        </is>
      </c>
      <c r="J3591" s="25">
        <f>IFERROR(VALUE(TRIM(LEFT(I3591,FIND("minute",I3591)-1)))*60,0)+IFERROR(VALUE(SUBSTITUTE(MID(I3591,IFERROR(FIND("and",I3591)+3,1),20),"second(s)","")),0)</f>
        <v/>
      </c>
      <c r="K3591" s="41">
        <f>J3591/60</f>
        <v/>
      </c>
      <c r="L3591" s="41">
        <f>IFERROR(J3591/H3591,"")</f>
        <v/>
      </c>
      <c r="M3591" s="25" t="inlineStr">
        <is>
          <t>2.5.12</t>
        </is>
      </c>
      <c r="N3591" s="25">
        <f>IF(J3591&gt;300,1,0)</f>
        <v/>
      </c>
      <c r="O3591" s="25">
        <f>IF(J3591&gt;600,1,0)</f>
        <v/>
      </c>
      <c r="P3591" s="25">
        <f>IF(H3591&gt;0,J3591,"")</f>
        <v/>
      </c>
      <c r="Q3591" s="25">
        <f>TEXT(A3591,"YYYY-MM-DD HH")</f>
        <v/>
      </c>
      <c r="R3591" s="25">
        <f>COUNTIF($Q$2:$Q$5295,Q3591)</f>
        <v/>
      </c>
      <c r="S3591" s="25">
        <f>IF(R3591&lt;=2,"1-2",IF(R3591&lt;=5,"3-5",IF(R3591&lt;=10,"6-10","11+")))</f>
        <v/>
      </c>
    </row>
    <row r="3592">
      <c r="A3592" s="39" t="n">
        <v>46211.2997800926</v>
      </c>
      <c r="B3592" s="25">
        <f>TEXT(A3592,"YYYY-MM")</f>
        <v/>
      </c>
      <c r="C3592" s="25">
        <f>TEXT(A3592,"MMM-YYYY")</f>
        <v/>
      </c>
      <c r="D3592" s="40">
        <f>INT(A3592)-WEEKDAY(A3592,2)+1</f>
        <v/>
      </c>
      <c r="E3592" s="25" t="inlineStr">
        <is>
          <t>shasikha</t>
        </is>
      </c>
      <c r="F3592" s="25" t="n">
        <v>129894</v>
      </c>
      <c r="G3592" s="25" t="n">
        <v>3</v>
      </c>
      <c r="H3592" s="25" t="n">
        <v>13</v>
      </c>
      <c r="I3592" s="25" t="inlineStr">
        <is>
          <t>1 minute(s) and 43 second(s)</t>
        </is>
      </c>
      <c r="J3592" s="25">
        <f>IFERROR(VALUE(TRIM(LEFT(I3592,FIND("minute",I3592)-1)))*60,0)+IFERROR(VALUE(SUBSTITUTE(MID(I3592,IFERROR(FIND("and",I3592)+3,1),20),"second(s)","")),0)</f>
        <v/>
      </c>
      <c r="K3592" s="41">
        <f>J3592/60</f>
        <v/>
      </c>
      <c r="L3592" s="41">
        <f>IFERROR(J3592/H3592,"")</f>
        <v/>
      </c>
      <c r="M3592" s="25" t="inlineStr">
        <is>
          <t>2.5.12</t>
        </is>
      </c>
      <c r="N3592" s="25">
        <f>IF(J3592&gt;300,1,0)</f>
        <v/>
      </c>
      <c r="O3592" s="25">
        <f>IF(J3592&gt;600,1,0)</f>
        <v/>
      </c>
      <c r="P3592" s="25">
        <f>IF(H3592&gt;0,J3592,"")</f>
        <v/>
      </c>
      <c r="Q3592" s="25">
        <f>TEXT(A3592,"YYYY-MM-DD HH")</f>
        <v/>
      </c>
      <c r="R3592" s="25">
        <f>COUNTIF($Q$2:$Q$5295,Q3592)</f>
        <v/>
      </c>
      <c r="S3592" s="25">
        <f>IF(R3592&lt;=2,"1-2",IF(R3592&lt;=5,"3-5",IF(R3592&lt;=10,"6-10","11+")))</f>
        <v/>
      </c>
    </row>
    <row r="3593">
      <c r="A3593" s="39" t="n">
        <v>46211.32633101852</v>
      </c>
      <c r="B3593" s="25">
        <f>TEXT(A3593,"YYYY-MM")</f>
        <v/>
      </c>
      <c r="C3593" s="25">
        <f>TEXT(A3593,"MMM-YYYY")</f>
        <v/>
      </c>
      <c r="D3593" s="40">
        <f>INT(A3593)-WEEKDAY(A3593,2)+1</f>
        <v/>
      </c>
      <c r="E3593" s="25" t="inlineStr">
        <is>
          <t>asahoo</t>
        </is>
      </c>
      <c r="F3593" s="25" t="n">
        <v>130990</v>
      </c>
      <c r="G3593" s="25" t="n">
        <v>1</v>
      </c>
      <c r="H3593" s="25" t="n">
        <v>7</v>
      </c>
      <c r="I3593" s="25" t="inlineStr">
        <is>
          <t>35 second(s)</t>
        </is>
      </c>
      <c r="J3593" s="25">
        <f>IFERROR(VALUE(TRIM(LEFT(I3593,FIND("minute",I3593)-1)))*60,0)+IFERROR(VALUE(SUBSTITUTE(MID(I3593,IFERROR(FIND("and",I3593)+3,1),20),"second(s)","")),0)</f>
        <v/>
      </c>
      <c r="K3593" s="41">
        <f>J3593/60</f>
        <v/>
      </c>
      <c r="L3593" s="41">
        <f>IFERROR(J3593/H3593,"")</f>
        <v/>
      </c>
      <c r="M3593" s="25" t="inlineStr">
        <is>
          <t>2.5.12</t>
        </is>
      </c>
      <c r="N3593" s="25">
        <f>IF(J3593&gt;300,1,0)</f>
        <v/>
      </c>
      <c r="O3593" s="25">
        <f>IF(J3593&gt;600,1,0)</f>
        <v/>
      </c>
      <c r="P3593" s="25">
        <f>IF(H3593&gt;0,J3593,"")</f>
        <v/>
      </c>
      <c r="Q3593" s="25">
        <f>TEXT(A3593,"YYYY-MM-DD HH")</f>
        <v/>
      </c>
      <c r="R3593" s="25">
        <f>COUNTIF($Q$2:$Q$5295,Q3593)</f>
        <v/>
      </c>
      <c r="S3593" s="25">
        <f>IF(R3593&lt;=2,"1-2",IF(R3593&lt;=5,"3-5",IF(R3593&lt;=10,"6-10","11+")))</f>
        <v/>
      </c>
    </row>
    <row r="3594">
      <c r="A3594" s="39" t="n">
        <v>46211.32768518518</v>
      </c>
      <c r="B3594" s="25">
        <f>TEXT(A3594,"YYYY-MM")</f>
        <v/>
      </c>
      <c r="C3594" s="25">
        <f>TEXT(A3594,"MMM-YYYY")</f>
        <v/>
      </c>
      <c r="D3594" s="40">
        <f>INT(A3594)-WEEKDAY(A3594,2)+1</f>
        <v/>
      </c>
      <c r="E3594" s="25" t="inlineStr">
        <is>
          <t>aghosh</t>
        </is>
      </c>
      <c r="F3594" s="25" t="n">
        <v>127899</v>
      </c>
      <c r="G3594" s="25" t="n">
        <v>1</v>
      </c>
      <c r="H3594" s="25" t="n">
        <v>5</v>
      </c>
      <c r="I3594" s="25" t="inlineStr">
        <is>
          <t>22 second(s)</t>
        </is>
      </c>
      <c r="J3594" s="25">
        <f>IFERROR(VALUE(TRIM(LEFT(I3594,FIND("minute",I3594)-1)))*60,0)+IFERROR(VALUE(SUBSTITUTE(MID(I3594,IFERROR(FIND("and",I3594)+3,1),20),"second(s)","")),0)</f>
        <v/>
      </c>
      <c r="K3594" s="41">
        <f>J3594/60</f>
        <v/>
      </c>
      <c r="L3594" s="41">
        <f>IFERROR(J3594/H3594,"")</f>
        <v/>
      </c>
      <c r="M3594" s="25" t="inlineStr">
        <is>
          <t>2.5.12</t>
        </is>
      </c>
      <c r="N3594" s="25">
        <f>IF(J3594&gt;300,1,0)</f>
        <v/>
      </c>
      <c r="O3594" s="25">
        <f>IF(J3594&gt;600,1,0)</f>
        <v/>
      </c>
      <c r="P3594" s="25">
        <f>IF(H3594&gt;0,J3594,"")</f>
        <v/>
      </c>
      <c r="Q3594" s="25">
        <f>TEXT(A3594,"YYYY-MM-DD HH")</f>
        <v/>
      </c>
      <c r="R3594" s="25">
        <f>COUNTIF($Q$2:$Q$5295,Q3594)</f>
        <v/>
      </c>
      <c r="S3594" s="25">
        <f>IF(R3594&lt;=2,"1-2",IF(R3594&lt;=5,"3-5",IF(R3594&lt;=10,"6-10","11+")))</f>
        <v/>
      </c>
    </row>
    <row r="3595">
      <c r="A3595" s="39" t="n">
        <v>46211.32775462963</v>
      </c>
      <c r="B3595" s="25">
        <f>TEXT(A3595,"YYYY-MM")</f>
        <v/>
      </c>
      <c r="C3595" s="25">
        <f>TEXT(A3595,"MMM-YYYY")</f>
        <v/>
      </c>
      <c r="D3595" s="40">
        <f>INT(A3595)-WEEKDAY(A3595,2)+1</f>
        <v/>
      </c>
      <c r="E3595" s="25" t="inlineStr">
        <is>
          <t>apriyadarshi</t>
        </is>
      </c>
      <c r="F3595" s="25" t="n">
        <v>122429</v>
      </c>
      <c r="G3595" s="25" t="n">
        <v>1</v>
      </c>
      <c r="H3595" s="25" t="n">
        <v>5</v>
      </c>
      <c r="I3595" s="25" t="inlineStr">
        <is>
          <t>59 second(s)</t>
        </is>
      </c>
      <c r="J3595" s="25">
        <f>IFERROR(VALUE(TRIM(LEFT(I3595,FIND("minute",I3595)-1)))*60,0)+IFERROR(VALUE(SUBSTITUTE(MID(I3595,IFERROR(FIND("and",I3595)+3,1),20),"second(s)","")),0)</f>
        <v/>
      </c>
      <c r="K3595" s="41">
        <f>J3595/60</f>
        <v/>
      </c>
      <c r="L3595" s="41">
        <f>IFERROR(J3595/H3595,"")</f>
        <v/>
      </c>
      <c r="M3595" s="25" t="inlineStr">
        <is>
          <t>2.5.12</t>
        </is>
      </c>
      <c r="N3595" s="25">
        <f>IF(J3595&gt;300,1,0)</f>
        <v/>
      </c>
      <c r="O3595" s="25">
        <f>IF(J3595&gt;600,1,0)</f>
        <v/>
      </c>
      <c r="P3595" s="25">
        <f>IF(H3595&gt;0,J3595,"")</f>
        <v/>
      </c>
      <c r="Q3595" s="25">
        <f>TEXT(A3595,"YYYY-MM-DD HH")</f>
        <v/>
      </c>
      <c r="R3595" s="25">
        <f>COUNTIF($Q$2:$Q$5295,Q3595)</f>
        <v/>
      </c>
      <c r="S3595" s="25">
        <f>IF(R3595&lt;=2,"1-2",IF(R3595&lt;=5,"3-5",IF(R3595&lt;=10,"6-10","11+")))</f>
        <v/>
      </c>
    </row>
    <row r="3596">
      <c r="A3596" s="39" t="n">
        <v>46211.56520833333</v>
      </c>
      <c r="B3596" s="25">
        <f>TEXT(A3596,"YYYY-MM")</f>
        <v/>
      </c>
      <c r="C3596" s="25">
        <f>TEXT(A3596,"MMM-YYYY")</f>
        <v/>
      </c>
      <c r="D3596" s="40">
        <f>INT(A3596)-WEEKDAY(A3596,2)+1</f>
        <v/>
      </c>
      <c r="E3596" s="25" t="inlineStr">
        <is>
          <t>ssaha</t>
        </is>
      </c>
      <c r="F3596" s="25" t="n">
        <v>132428</v>
      </c>
      <c r="G3596" s="25" t="n">
        <v>2</v>
      </c>
      <c r="H3596" s="25" t="n">
        <v>6</v>
      </c>
      <c r="I3596" s="25" t="inlineStr">
        <is>
          <t>3 minute(s) and 42 second(s)</t>
        </is>
      </c>
      <c r="J3596" s="25">
        <f>IFERROR(VALUE(TRIM(LEFT(I3596,FIND("minute",I3596)-1)))*60,0)+IFERROR(VALUE(SUBSTITUTE(MID(I3596,IFERROR(FIND("and",I3596)+3,1),20),"second(s)","")),0)</f>
        <v/>
      </c>
      <c r="K3596" s="41">
        <f>J3596/60</f>
        <v/>
      </c>
      <c r="L3596" s="41">
        <f>IFERROR(J3596/H3596,"")</f>
        <v/>
      </c>
      <c r="M3596" s="25" t="inlineStr">
        <is>
          <t>2.5.12</t>
        </is>
      </c>
      <c r="N3596" s="25">
        <f>IF(J3596&gt;300,1,0)</f>
        <v/>
      </c>
      <c r="O3596" s="25">
        <f>IF(J3596&gt;600,1,0)</f>
        <v/>
      </c>
      <c r="P3596" s="25">
        <f>IF(H3596&gt;0,J3596,"")</f>
        <v/>
      </c>
      <c r="Q3596" s="25">
        <f>TEXT(A3596,"YYYY-MM-DD HH")</f>
        <v/>
      </c>
      <c r="R3596" s="25">
        <f>COUNTIF($Q$2:$Q$5295,Q3596)</f>
        <v/>
      </c>
      <c r="S3596" s="25">
        <f>IF(R3596&lt;=2,"1-2",IF(R3596&lt;=5,"3-5",IF(R3596&lt;=10,"6-10","11+")))</f>
        <v/>
      </c>
    </row>
    <row r="3597">
      <c r="A3597" s="39" t="n">
        <v>46211.58340277777</v>
      </c>
      <c r="B3597" s="25">
        <f>TEXT(A3597,"YYYY-MM")</f>
        <v/>
      </c>
      <c r="C3597" s="25">
        <f>TEXT(A3597,"MMM-YYYY")</f>
        <v/>
      </c>
      <c r="D3597" s="40">
        <f>INT(A3597)-WEEKDAY(A3597,2)+1</f>
        <v/>
      </c>
      <c r="E3597" s="25" t="inlineStr">
        <is>
          <t>ssaha</t>
        </is>
      </c>
      <c r="F3597" s="25" t="n">
        <v>132276</v>
      </c>
      <c r="G3597" s="25" t="n">
        <v>2</v>
      </c>
      <c r="H3597" s="25" t="n">
        <v>6</v>
      </c>
      <c r="I3597" s="25" t="inlineStr">
        <is>
          <t>1 minute(s) and 40 second(s)</t>
        </is>
      </c>
      <c r="J3597" s="25">
        <f>IFERROR(VALUE(TRIM(LEFT(I3597,FIND("minute",I3597)-1)))*60,0)+IFERROR(VALUE(SUBSTITUTE(MID(I3597,IFERROR(FIND("and",I3597)+3,1),20),"second(s)","")),0)</f>
        <v/>
      </c>
      <c r="K3597" s="41">
        <f>J3597/60</f>
        <v/>
      </c>
      <c r="L3597" s="41">
        <f>IFERROR(J3597/H3597,"")</f>
        <v/>
      </c>
      <c r="M3597" s="25" t="inlineStr">
        <is>
          <t>2.5.12</t>
        </is>
      </c>
      <c r="N3597" s="25">
        <f>IF(J3597&gt;300,1,0)</f>
        <v/>
      </c>
      <c r="O3597" s="25">
        <f>IF(J3597&gt;600,1,0)</f>
        <v/>
      </c>
      <c r="P3597" s="25">
        <f>IF(H3597&gt;0,J3597,"")</f>
        <v/>
      </c>
      <c r="Q3597" s="25">
        <f>TEXT(A3597,"YYYY-MM-DD HH")</f>
        <v/>
      </c>
      <c r="R3597" s="25">
        <f>COUNTIF($Q$2:$Q$5295,Q3597)</f>
        <v/>
      </c>
      <c r="S3597" s="25">
        <f>IF(R3597&lt;=2,"1-2",IF(R3597&lt;=5,"3-5",IF(R3597&lt;=10,"6-10","11+")))</f>
        <v/>
      </c>
    </row>
    <row r="3598">
      <c r="A3598" s="39" t="n">
        <v>46211.60244212963</v>
      </c>
      <c r="B3598" s="25">
        <f>TEXT(A3598,"YYYY-MM")</f>
        <v/>
      </c>
      <c r="C3598" s="25">
        <f>TEXT(A3598,"MMM-YYYY")</f>
        <v/>
      </c>
      <c r="D3598" s="40">
        <f>INT(A3598)-WEEKDAY(A3598,2)+1</f>
        <v/>
      </c>
      <c r="E3598" s="25" t="inlineStr">
        <is>
          <t>ssaha</t>
        </is>
      </c>
      <c r="F3598" s="25" t="n">
        <v>130184</v>
      </c>
      <c r="G3598" s="25" t="n">
        <v>2</v>
      </c>
      <c r="H3598" s="25" t="n">
        <v>6</v>
      </c>
      <c r="I3598" s="25" t="inlineStr">
        <is>
          <t>1 minute(s) and 23 second(s)</t>
        </is>
      </c>
      <c r="J3598" s="25">
        <f>IFERROR(VALUE(TRIM(LEFT(I3598,FIND("minute",I3598)-1)))*60,0)+IFERROR(VALUE(SUBSTITUTE(MID(I3598,IFERROR(FIND("and",I3598)+3,1),20),"second(s)","")),0)</f>
        <v/>
      </c>
      <c r="K3598" s="41">
        <f>J3598/60</f>
        <v/>
      </c>
      <c r="L3598" s="41">
        <f>IFERROR(J3598/H3598,"")</f>
        <v/>
      </c>
      <c r="M3598" s="25" t="inlineStr">
        <is>
          <t>2.5.12</t>
        </is>
      </c>
      <c r="N3598" s="25">
        <f>IF(J3598&gt;300,1,0)</f>
        <v/>
      </c>
      <c r="O3598" s="25">
        <f>IF(J3598&gt;600,1,0)</f>
        <v/>
      </c>
      <c r="P3598" s="25">
        <f>IF(H3598&gt;0,J3598,"")</f>
        <v/>
      </c>
      <c r="Q3598" s="25">
        <f>TEXT(A3598,"YYYY-MM-DD HH")</f>
        <v/>
      </c>
      <c r="R3598" s="25">
        <f>COUNTIF($Q$2:$Q$5295,Q3598)</f>
        <v/>
      </c>
      <c r="S3598" s="25">
        <f>IF(R3598&lt;=2,"1-2",IF(R3598&lt;=5,"3-5",IF(R3598&lt;=10,"6-10","11+")))</f>
        <v/>
      </c>
    </row>
    <row r="3599">
      <c r="A3599" s="39" t="n">
        <v>46211.62585648148</v>
      </c>
      <c r="B3599" s="25">
        <f>TEXT(A3599,"YYYY-MM")</f>
        <v/>
      </c>
      <c r="C3599" s="25">
        <f>TEXT(A3599,"MMM-YYYY")</f>
        <v/>
      </c>
      <c r="D3599" s="40">
        <f>INT(A3599)-WEEKDAY(A3599,2)+1</f>
        <v/>
      </c>
      <c r="E3599" s="25" t="inlineStr">
        <is>
          <t>ssaha</t>
        </is>
      </c>
      <c r="F3599" s="25" t="n">
        <v>131052</v>
      </c>
      <c r="G3599" s="25" t="n">
        <v>2</v>
      </c>
      <c r="H3599" s="25" t="n">
        <v>8</v>
      </c>
      <c r="I3599" s="25" t="inlineStr">
        <is>
          <t>2 minute(s) and 46 second(s)</t>
        </is>
      </c>
      <c r="J3599" s="25">
        <f>IFERROR(VALUE(TRIM(LEFT(I3599,FIND("minute",I3599)-1)))*60,0)+IFERROR(VALUE(SUBSTITUTE(MID(I3599,IFERROR(FIND("and",I3599)+3,1),20),"second(s)","")),0)</f>
        <v/>
      </c>
      <c r="K3599" s="41">
        <f>J3599/60</f>
        <v/>
      </c>
      <c r="L3599" s="41">
        <f>IFERROR(J3599/H3599,"")</f>
        <v/>
      </c>
      <c r="M3599" s="25" t="inlineStr">
        <is>
          <t>2.5.12</t>
        </is>
      </c>
      <c r="N3599" s="25">
        <f>IF(J3599&gt;300,1,0)</f>
        <v/>
      </c>
      <c r="O3599" s="25">
        <f>IF(J3599&gt;600,1,0)</f>
        <v/>
      </c>
      <c r="P3599" s="25">
        <f>IF(H3599&gt;0,J3599,"")</f>
        <v/>
      </c>
      <c r="Q3599" s="25">
        <f>TEXT(A3599,"YYYY-MM-DD HH")</f>
        <v/>
      </c>
      <c r="R3599" s="25">
        <f>COUNTIF($Q$2:$Q$5295,Q3599)</f>
        <v/>
      </c>
      <c r="S3599" s="25">
        <f>IF(R3599&lt;=2,"1-2",IF(R3599&lt;=5,"3-5",IF(R3599&lt;=10,"6-10","11+")))</f>
        <v/>
      </c>
    </row>
    <row r="3600">
      <c r="A3600" s="39" t="n">
        <v>46211.64175925926</v>
      </c>
      <c r="B3600" s="25">
        <f>TEXT(A3600,"YYYY-MM")</f>
        <v/>
      </c>
      <c r="C3600" s="25">
        <f>TEXT(A3600,"MMM-YYYY")</f>
        <v/>
      </c>
      <c r="D3600" s="40">
        <f>INT(A3600)-WEEKDAY(A3600,2)+1</f>
        <v/>
      </c>
      <c r="E3600" s="25" t="inlineStr">
        <is>
          <t>psingh</t>
        </is>
      </c>
      <c r="F3600" s="25" t="n">
        <v>131070</v>
      </c>
      <c r="G3600" s="25" t="n">
        <v>3</v>
      </c>
      <c r="H3600" s="25" t="n">
        <v>15</v>
      </c>
      <c r="I3600" s="25" t="inlineStr">
        <is>
          <t>3 minute(s) and 43 second(s)</t>
        </is>
      </c>
      <c r="J3600" s="25">
        <f>IFERROR(VALUE(TRIM(LEFT(I3600,FIND("minute",I3600)-1)))*60,0)+IFERROR(VALUE(SUBSTITUTE(MID(I3600,IFERROR(FIND("and",I3600)+3,1),20),"second(s)","")),0)</f>
        <v/>
      </c>
      <c r="K3600" s="41">
        <f>J3600/60</f>
        <v/>
      </c>
      <c r="L3600" s="41">
        <f>IFERROR(J3600/H3600,"")</f>
        <v/>
      </c>
      <c r="M3600" s="25" t="inlineStr">
        <is>
          <t>2.5.12</t>
        </is>
      </c>
      <c r="N3600" s="25">
        <f>IF(J3600&gt;300,1,0)</f>
        <v/>
      </c>
      <c r="O3600" s="25">
        <f>IF(J3600&gt;600,1,0)</f>
        <v/>
      </c>
      <c r="P3600" s="25">
        <f>IF(H3600&gt;0,J3600,"")</f>
        <v/>
      </c>
      <c r="Q3600" s="25">
        <f>TEXT(A3600,"YYYY-MM-DD HH")</f>
        <v/>
      </c>
      <c r="R3600" s="25">
        <f>COUNTIF($Q$2:$Q$5295,Q3600)</f>
        <v/>
      </c>
      <c r="S3600" s="25">
        <f>IF(R3600&lt;=2,"1-2",IF(R3600&lt;=5,"3-5",IF(R3600&lt;=10,"6-10","11+")))</f>
        <v/>
      </c>
    </row>
    <row r="3601">
      <c r="A3601" s="39" t="n">
        <v>46211.66208333334</v>
      </c>
      <c r="B3601" s="25">
        <f>TEXT(A3601,"YYYY-MM")</f>
        <v/>
      </c>
      <c r="C3601" s="25">
        <f>TEXT(A3601,"MMM-YYYY")</f>
        <v/>
      </c>
      <c r="D3601" s="40">
        <f>INT(A3601)-WEEKDAY(A3601,2)+1</f>
        <v/>
      </c>
      <c r="E3601" s="25" t="inlineStr">
        <is>
          <t>rsingh</t>
        </is>
      </c>
      <c r="F3601" s="25" t="n">
        <v>125085</v>
      </c>
      <c r="G3601" s="25" t="n">
        <v>1</v>
      </c>
      <c r="H3601" s="25" t="n">
        <v>5</v>
      </c>
      <c r="I3601" s="25" t="inlineStr">
        <is>
          <t>28 second(s)</t>
        </is>
      </c>
      <c r="J3601" s="25">
        <f>IFERROR(VALUE(TRIM(LEFT(I3601,FIND("minute",I3601)-1)))*60,0)+IFERROR(VALUE(SUBSTITUTE(MID(I3601,IFERROR(FIND("and",I3601)+3,1),20),"second(s)","")),0)</f>
        <v/>
      </c>
      <c r="K3601" s="41">
        <f>J3601/60</f>
        <v/>
      </c>
      <c r="L3601" s="41">
        <f>IFERROR(J3601/H3601,"")</f>
        <v/>
      </c>
      <c r="M3601" s="25" t="inlineStr">
        <is>
          <t>2.5.12</t>
        </is>
      </c>
      <c r="N3601" s="25">
        <f>IF(J3601&gt;300,1,0)</f>
        <v/>
      </c>
      <c r="O3601" s="25">
        <f>IF(J3601&gt;600,1,0)</f>
        <v/>
      </c>
      <c r="P3601" s="25">
        <f>IF(H3601&gt;0,J3601,"")</f>
        <v/>
      </c>
      <c r="Q3601" s="25">
        <f>TEXT(A3601,"YYYY-MM-DD HH")</f>
        <v/>
      </c>
      <c r="R3601" s="25">
        <f>COUNTIF($Q$2:$Q$5295,Q3601)</f>
        <v/>
      </c>
      <c r="S3601" s="25">
        <f>IF(R3601&lt;=2,"1-2",IF(R3601&lt;=5,"3-5",IF(R3601&lt;=10,"6-10","11+")))</f>
        <v/>
      </c>
    </row>
    <row r="3602">
      <c r="A3602" s="39" t="n">
        <v>46211.7055787037</v>
      </c>
      <c r="B3602" s="25">
        <f>TEXT(A3602,"YYYY-MM")</f>
        <v/>
      </c>
      <c r="C3602" s="25">
        <f>TEXT(A3602,"MMM-YYYY")</f>
        <v/>
      </c>
      <c r="D3602" s="40">
        <f>INT(A3602)-WEEKDAY(A3602,2)+1</f>
        <v/>
      </c>
      <c r="E3602" s="25" t="inlineStr">
        <is>
          <t>psingh</t>
        </is>
      </c>
      <c r="F3602" s="25" t="n">
        <v>131496</v>
      </c>
      <c r="G3602" s="25" t="n">
        <v>3</v>
      </c>
      <c r="H3602" s="25" t="n">
        <v>17</v>
      </c>
      <c r="I3602" s="25" t="inlineStr">
        <is>
          <t>4 minute(s) and 51 second(s)</t>
        </is>
      </c>
      <c r="J3602" s="25">
        <f>IFERROR(VALUE(TRIM(LEFT(I3602,FIND("minute",I3602)-1)))*60,0)+IFERROR(VALUE(SUBSTITUTE(MID(I3602,IFERROR(FIND("and",I3602)+3,1),20),"second(s)","")),0)</f>
        <v/>
      </c>
      <c r="K3602" s="41">
        <f>J3602/60</f>
        <v/>
      </c>
      <c r="L3602" s="41">
        <f>IFERROR(J3602/H3602,"")</f>
        <v/>
      </c>
      <c r="M3602" s="25" t="inlineStr">
        <is>
          <t>2.5.12</t>
        </is>
      </c>
      <c r="N3602" s="25">
        <f>IF(J3602&gt;300,1,0)</f>
        <v/>
      </c>
      <c r="O3602" s="25">
        <f>IF(J3602&gt;600,1,0)</f>
        <v/>
      </c>
      <c r="P3602" s="25">
        <f>IF(H3602&gt;0,J3602,"")</f>
        <v/>
      </c>
      <c r="Q3602" s="25">
        <f>TEXT(A3602,"YYYY-MM-DD HH")</f>
        <v/>
      </c>
      <c r="R3602" s="25">
        <f>COUNTIF($Q$2:$Q$5295,Q3602)</f>
        <v/>
      </c>
      <c r="S3602" s="25">
        <f>IF(R3602&lt;=2,"1-2",IF(R3602&lt;=5,"3-5",IF(R3602&lt;=10,"6-10","11+")))</f>
        <v/>
      </c>
    </row>
    <row r="3603">
      <c r="A3603" s="39" t="n">
        <v>46212.06231481482</v>
      </c>
      <c r="B3603" s="25">
        <f>TEXT(A3603,"YYYY-MM")</f>
        <v/>
      </c>
      <c r="C3603" s="25">
        <f>TEXT(A3603,"MMM-YYYY")</f>
        <v/>
      </c>
      <c r="D3603" s="40">
        <f>INT(A3603)-WEEKDAY(A3603,2)+1</f>
        <v/>
      </c>
      <c r="E3603" s="25" t="inlineStr">
        <is>
          <t>dchoudhury</t>
        </is>
      </c>
      <c r="F3603" s="25" t="n">
        <v>123348</v>
      </c>
      <c r="G3603" s="25" t="n">
        <v>1</v>
      </c>
      <c r="H3603" s="25" t="n">
        <v>7</v>
      </c>
      <c r="I3603" s="25" t="inlineStr">
        <is>
          <t>30 second(s)</t>
        </is>
      </c>
      <c r="J3603" s="25">
        <f>IFERROR(VALUE(TRIM(LEFT(I3603,FIND("minute",I3603)-1)))*60,0)+IFERROR(VALUE(SUBSTITUTE(MID(I3603,IFERROR(FIND("and",I3603)+3,1),20),"second(s)","")),0)</f>
        <v/>
      </c>
      <c r="K3603" s="41">
        <f>J3603/60</f>
        <v/>
      </c>
      <c r="L3603" s="41">
        <f>IFERROR(J3603/H3603,"")</f>
        <v/>
      </c>
      <c r="M3603" s="25" t="inlineStr">
        <is>
          <t>2.5.12</t>
        </is>
      </c>
      <c r="N3603" s="25">
        <f>IF(J3603&gt;300,1,0)</f>
        <v/>
      </c>
      <c r="O3603" s="25">
        <f>IF(J3603&gt;600,1,0)</f>
        <v/>
      </c>
      <c r="P3603" s="25">
        <f>IF(H3603&gt;0,J3603,"")</f>
        <v/>
      </c>
      <c r="Q3603" s="25">
        <f>TEXT(A3603,"YYYY-MM-DD HH")</f>
        <v/>
      </c>
      <c r="R3603" s="25">
        <f>COUNTIF($Q$2:$Q$5295,Q3603)</f>
        <v/>
      </c>
      <c r="S3603" s="25">
        <f>IF(R3603&lt;=2,"1-2",IF(R3603&lt;=5,"3-5",IF(R3603&lt;=10,"6-10","11+")))</f>
        <v/>
      </c>
    </row>
    <row r="3604">
      <c r="A3604" s="39" t="n">
        <v>46212.07292824074</v>
      </c>
      <c r="B3604" s="25">
        <f>TEXT(A3604,"YYYY-MM")</f>
        <v/>
      </c>
      <c r="C3604" s="25">
        <f>TEXT(A3604,"MMM-YYYY")</f>
        <v/>
      </c>
      <c r="D3604" s="40">
        <f>INT(A3604)-WEEKDAY(A3604,2)+1</f>
        <v/>
      </c>
      <c r="E3604" s="25" t="inlineStr">
        <is>
          <t>psathwika</t>
        </is>
      </c>
      <c r="F3604" s="25" t="n">
        <v>129111</v>
      </c>
      <c r="G3604" s="25" t="n">
        <v>4</v>
      </c>
      <c r="H3604" s="25" t="n">
        <v>20</v>
      </c>
      <c r="I3604" s="25" t="inlineStr">
        <is>
          <t>1 minute(s) and 58 second(s)</t>
        </is>
      </c>
      <c r="J3604" s="25">
        <f>IFERROR(VALUE(TRIM(LEFT(I3604,FIND("minute",I3604)-1)))*60,0)+IFERROR(VALUE(SUBSTITUTE(MID(I3604,IFERROR(FIND("and",I3604)+3,1),20),"second(s)","")),0)</f>
        <v/>
      </c>
      <c r="K3604" s="41">
        <f>J3604/60</f>
        <v/>
      </c>
      <c r="L3604" s="41">
        <f>IFERROR(J3604/H3604,"")</f>
        <v/>
      </c>
      <c r="M3604" s="25" t="inlineStr">
        <is>
          <t>2.5.12</t>
        </is>
      </c>
      <c r="N3604" s="25">
        <f>IF(J3604&gt;300,1,0)</f>
        <v/>
      </c>
      <c r="O3604" s="25">
        <f>IF(J3604&gt;600,1,0)</f>
        <v/>
      </c>
      <c r="P3604" s="25">
        <f>IF(H3604&gt;0,J3604,"")</f>
        <v/>
      </c>
      <c r="Q3604" s="25">
        <f>TEXT(A3604,"YYYY-MM-DD HH")</f>
        <v/>
      </c>
      <c r="R3604" s="25">
        <f>COUNTIF($Q$2:$Q$5295,Q3604)</f>
        <v/>
      </c>
      <c r="S3604" s="25">
        <f>IF(R3604&lt;=2,"1-2",IF(R3604&lt;=5,"3-5",IF(R3604&lt;=10,"6-10","11+")))</f>
        <v/>
      </c>
    </row>
    <row r="3605">
      <c r="A3605" s="39" t="n">
        <v>46212.07986111111</v>
      </c>
      <c r="B3605" s="25">
        <f>TEXT(A3605,"YYYY-MM")</f>
        <v/>
      </c>
      <c r="C3605" s="25">
        <f>TEXT(A3605,"MMM-YYYY")</f>
        <v/>
      </c>
      <c r="D3605" s="40">
        <f>INT(A3605)-WEEKDAY(A3605,2)+1</f>
        <v/>
      </c>
      <c r="E3605" s="25" t="inlineStr">
        <is>
          <t>shasikha</t>
        </is>
      </c>
      <c r="F3605" s="25" t="n">
        <v>129390</v>
      </c>
      <c r="G3605" s="25" t="n">
        <v>1</v>
      </c>
      <c r="H3605" s="25" t="n">
        <v>6</v>
      </c>
      <c r="I3605" s="25" t="inlineStr">
        <is>
          <t>31 second(s)</t>
        </is>
      </c>
      <c r="J3605" s="25">
        <f>IFERROR(VALUE(TRIM(LEFT(I3605,FIND("minute",I3605)-1)))*60,0)+IFERROR(VALUE(SUBSTITUTE(MID(I3605,IFERROR(FIND("and",I3605)+3,1),20),"second(s)","")),0)</f>
        <v/>
      </c>
      <c r="K3605" s="41">
        <f>J3605/60</f>
        <v/>
      </c>
      <c r="L3605" s="41">
        <f>IFERROR(J3605/H3605,"")</f>
        <v/>
      </c>
      <c r="M3605" s="25" t="inlineStr">
        <is>
          <t>2.5.12</t>
        </is>
      </c>
      <c r="N3605" s="25">
        <f>IF(J3605&gt;300,1,0)</f>
        <v/>
      </c>
      <c r="O3605" s="25">
        <f>IF(J3605&gt;600,1,0)</f>
        <v/>
      </c>
      <c r="P3605" s="25">
        <f>IF(H3605&gt;0,J3605,"")</f>
        <v/>
      </c>
      <c r="Q3605" s="25">
        <f>TEXT(A3605,"YYYY-MM-DD HH")</f>
        <v/>
      </c>
      <c r="R3605" s="25">
        <f>COUNTIF($Q$2:$Q$5295,Q3605)</f>
        <v/>
      </c>
      <c r="S3605" s="25">
        <f>IF(R3605&lt;=2,"1-2",IF(R3605&lt;=5,"3-5",IF(R3605&lt;=10,"6-10","11+")))</f>
        <v/>
      </c>
    </row>
    <row r="3606">
      <c r="A3606" s="39" t="n">
        <v>46212.10371527778</v>
      </c>
      <c r="B3606" s="25">
        <f>TEXT(A3606,"YYYY-MM")</f>
        <v/>
      </c>
      <c r="C3606" s="25">
        <f>TEXT(A3606,"MMM-YYYY")</f>
        <v/>
      </c>
      <c r="D3606" s="40">
        <f>INT(A3606)-WEEKDAY(A3606,2)+1</f>
        <v/>
      </c>
      <c r="E3606" s="25" t="inlineStr">
        <is>
          <t>ethomas</t>
        </is>
      </c>
      <c r="F3606" s="25" t="n">
        <v>128100</v>
      </c>
      <c r="G3606" s="25" t="n">
        <v>1</v>
      </c>
      <c r="H3606" s="25" t="n">
        <v>5</v>
      </c>
      <c r="I3606" s="25" t="inlineStr">
        <is>
          <t>1 minute(s) and 21 second(s)</t>
        </is>
      </c>
      <c r="J3606" s="25">
        <f>IFERROR(VALUE(TRIM(LEFT(I3606,FIND("minute",I3606)-1)))*60,0)+IFERROR(VALUE(SUBSTITUTE(MID(I3606,IFERROR(FIND("and",I3606)+3,1),20),"second(s)","")),0)</f>
        <v/>
      </c>
      <c r="K3606" s="41">
        <f>J3606/60</f>
        <v/>
      </c>
      <c r="L3606" s="41">
        <f>IFERROR(J3606/H3606,"")</f>
        <v/>
      </c>
      <c r="M3606" s="25" t="inlineStr">
        <is>
          <t>2.5.12</t>
        </is>
      </c>
      <c r="N3606" s="25">
        <f>IF(J3606&gt;300,1,0)</f>
        <v/>
      </c>
      <c r="O3606" s="25">
        <f>IF(J3606&gt;600,1,0)</f>
        <v/>
      </c>
      <c r="P3606" s="25">
        <f>IF(H3606&gt;0,J3606,"")</f>
        <v/>
      </c>
      <c r="Q3606" s="25">
        <f>TEXT(A3606,"YYYY-MM-DD HH")</f>
        <v/>
      </c>
      <c r="R3606" s="25">
        <f>COUNTIF($Q$2:$Q$5295,Q3606)</f>
        <v/>
      </c>
      <c r="S3606" s="25">
        <f>IF(R3606&lt;=2,"1-2",IF(R3606&lt;=5,"3-5",IF(R3606&lt;=10,"6-10","11+")))</f>
        <v/>
      </c>
    </row>
    <row r="3607">
      <c r="A3607" s="39" t="n">
        <v>46212.1309375</v>
      </c>
      <c r="B3607" s="25">
        <f>TEXT(A3607,"YYYY-MM")</f>
        <v/>
      </c>
      <c r="C3607" s="25">
        <f>TEXT(A3607,"MMM-YYYY")</f>
        <v/>
      </c>
      <c r="D3607" s="40">
        <f>INT(A3607)-WEEKDAY(A3607,2)+1</f>
        <v/>
      </c>
      <c r="E3607" s="25" t="inlineStr">
        <is>
          <t>apriyadarshi</t>
        </is>
      </c>
      <c r="F3607" s="25" t="n">
        <v>130041</v>
      </c>
      <c r="G3607" s="25" t="n">
        <v>2</v>
      </c>
      <c r="H3607" s="25" t="n">
        <v>11</v>
      </c>
      <c r="I3607" s="25" t="inlineStr">
        <is>
          <t>1 minute(s) and 50 second(s)</t>
        </is>
      </c>
      <c r="J3607" s="25">
        <f>IFERROR(VALUE(TRIM(LEFT(I3607,FIND("minute",I3607)-1)))*60,0)+IFERROR(VALUE(SUBSTITUTE(MID(I3607,IFERROR(FIND("and",I3607)+3,1),20),"second(s)","")),0)</f>
        <v/>
      </c>
      <c r="K3607" s="41">
        <f>J3607/60</f>
        <v/>
      </c>
      <c r="L3607" s="41">
        <f>IFERROR(J3607/H3607,"")</f>
        <v/>
      </c>
      <c r="M3607" s="25" t="inlineStr">
        <is>
          <t>2.5.12</t>
        </is>
      </c>
      <c r="N3607" s="25">
        <f>IF(J3607&gt;300,1,0)</f>
        <v/>
      </c>
      <c r="O3607" s="25">
        <f>IF(J3607&gt;600,1,0)</f>
        <v/>
      </c>
      <c r="P3607" s="25">
        <f>IF(H3607&gt;0,J3607,"")</f>
        <v/>
      </c>
      <c r="Q3607" s="25">
        <f>TEXT(A3607,"YYYY-MM-DD HH")</f>
        <v/>
      </c>
      <c r="R3607" s="25">
        <f>COUNTIF($Q$2:$Q$5295,Q3607)</f>
        <v/>
      </c>
      <c r="S3607" s="25">
        <f>IF(R3607&lt;=2,"1-2",IF(R3607&lt;=5,"3-5",IF(R3607&lt;=10,"6-10","11+")))</f>
        <v/>
      </c>
    </row>
    <row r="3608">
      <c r="A3608" s="39" t="n">
        <v>46212.151875</v>
      </c>
      <c r="B3608" s="25">
        <f>TEXT(A3608,"YYYY-MM")</f>
        <v/>
      </c>
      <c r="C3608" s="25">
        <f>TEXT(A3608,"MMM-YYYY")</f>
        <v/>
      </c>
      <c r="D3608" s="40">
        <f>INT(A3608)-WEEKDAY(A3608,2)+1</f>
        <v/>
      </c>
      <c r="E3608" s="25" t="inlineStr">
        <is>
          <t>bverma</t>
        </is>
      </c>
      <c r="F3608" s="25" t="n">
        <v>131793</v>
      </c>
      <c r="G3608" s="25" t="n">
        <v>1</v>
      </c>
      <c r="H3608" s="25" t="n">
        <v>7</v>
      </c>
      <c r="I3608" s="25" t="inlineStr">
        <is>
          <t>44 second(s)</t>
        </is>
      </c>
      <c r="J3608" s="25">
        <f>IFERROR(VALUE(TRIM(LEFT(I3608,FIND("minute",I3608)-1)))*60,0)+IFERROR(VALUE(SUBSTITUTE(MID(I3608,IFERROR(FIND("and",I3608)+3,1),20),"second(s)","")),0)</f>
        <v/>
      </c>
      <c r="K3608" s="41">
        <f>J3608/60</f>
        <v/>
      </c>
      <c r="L3608" s="41">
        <f>IFERROR(J3608/H3608,"")</f>
        <v/>
      </c>
      <c r="M3608" s="25" t="inlineStr">
        <is>
          <t>2.5.12</t>
        </is>
      </c>
      <c r="N3608" s="25">
        <f>IF(J3608&gt;300,1,0)</f>
        <v/>
      </c>
      <c r="O3608" s="25">
        <f>IF(J3608&gt;600,1,0)</f>
        <v/>
      </c>
      <c r="P3608" s="25">
        <f>IF(H3608&gt;0,J3608,"")</f>
        <v/>
      </c>
      <c r="Q3608" s="25">
        <f>TEXT(A3608,"YYYY-MM-DD HH")</f>
        <v/>
      </c>
      <c r="R3608" s="25">
        <f>COUNTIF($Q$2:$Q$5295,Q3608)</f>
        <v/>
      </c>
      <c r="S3608" s="25">
        <f>IF(R3608&lt;=2,"1-2",IF(R3608&lt;=5,"3-5",IF(R3608&lt;=10,"6-10","11+")))</f>
        <v/>
      </c>
    </row>
    <row r="3609">
      <c r="A3609" s="39" t="n">
        <v>46212.15454861111</v>
      </c>
      <c r="B3609" s="25">
        <f>TEXT(A3609,"YYYY-MM")</f>
        <v/>
      </c>
      <c r="C3609" s="25">
        <f>TEXT(A3609,"MMM-YYYY")</f>
        <v/>
      </c>
      <c r="D3609" s="40">
        <f>INT(A3609)-WEEKDAY(A3609,2)+1</f>
        <v/>
      </c>
      <c r="E3609" s="25" t="inlineStr">
        <is>
          <t>bverma</t>
        </is>
      </c>
      <c r="F3609" s="25" t="n">
        <v>131793</v>
      </c>
      <c r="G3609" s="25" t="n">
        <v>1</v>
      </c>
      <c r="H3609" s="25" t="n">
        <v>8</v>
      </c>
      <c r="I3609" s="25" t="inlineStr">
        <is>
          <t>40 second(s)</t>
        </is>
      </c>
      <c r="J3609" s="25">
        <f>IFERROR(VALUE(TRIM(LEFT(I3609,FIND("minute",I3609)-1)))*60,0)+IFERROR(VALUE(SUBSTITUTE(MID(I3609,IFERROR(FIND("and",I3609)+3,1),20),"second(s)","")),0)</f>
        <v/>
      </c>
      <c r="K3609" s="41">
        <f>J3609/60</f>
        <v/>
      </c>
      <c r="L3609" s="41">
        <f>IFERROR(J3609/H3609,"")</f>
        <v/>
      </c>
      <c r="M3609" s="25" t="inlineStr">
        <is>
          <t>2.5.12</t>
        </is>
      </c>
      <c r="N3609" s="25">
        <f>IF(J3609&gt;300,1,0)</f>
        <v/>
      </c>
      <c r="O3609" s="25">
        <f>IF(J3609&gt;600,1,0)</f>
        <v/>
      </c>
      <c r="P3609" s="25">
        <f>IF(H3609&gt;0,J3609,"")</f>
        <v/>
      </c>
      <c r="Q3609" s="25">
        <f>TEXT(A3609,"YYYY-MM-DD HH")</f>
        <v/>
      </c>
      <c r="R3609" s="25">
        <f>COUNTIF($Q$2:$Q$5295,Q3609)</f>
        <v/>
      </c>
      <c r="S3609" s="25">
        <f>IF(R3609&lt;=2,"1-2",IF(R3609&lt;=5,"3-5",IF(R3609&lt;=10,"6-10","11+")))</f>
        <v/>
      </c>
    </row>
    <row r="3610">
      <c r="A3610" s="39" t="n">
        <v>46212.17116898148</v>
      </c>
      <c r="B3610" s="25">
        <f>TEXT(A3610,"YYYY-MM")</f>
        <v/>
      </c>
      <c r="C3610" s="25">
        <f>TEXT(A3610,"MMM-YYYY")</f>
        <v/>
      </c>
      <c r="D3610" s="40">
        <f>INT(A3610)-WEEKDAY(A3610,2)+1</f>
        <v/>
      </c>
      <c r="E3610" s="25" t="inlineStr">
        <is>
          <t>csaha</t>
        </is>
      </c>
      <c r="F3610" s="25" t="n">
        <v>128424</v>
      </c>
      <c r="G3610" s="25" t="n">
        <v>3</v>
      </c>
      <c r="H3610" s="25" t="n">
        <v>11</v>
      </c>
      <c r="I3610" s="25" t="inlineStr">
        <is>
          <t>2 minute(s) and 6 second(s)</t>
        </is>
      </c>
      <c r="J3610" s="25">
        <f>IFERROR(VALUE(TRIM(LEFT(I3610,FIND("minute",I3610)-1)))*60,0)+IFERROR(VALUE(SUBSTITUTE(MID(I3610,IFERROR(FIND("and",I3610)+3,1),20),"second(s)","")),0)</f>
        <v/>
      </c>
      <c r="K3610" s="41">
        <f>J3610/60</f>
        <v/>
      </c>
      <c r="L3610" s="41">
        <f>IFERROR(J3610/H3610,"")</f>
        <v/>
      </c>
      <c r="M3610" s="25" t="inlineStr">
        <is>
          <t>2.5.12</t>
        </is>
      </c>
      <c r="N3610" s="25">
        <f>IF(J3610&gt;300,1,0)</f>
        <v/>
      </c>
      <c r="O3610" s="25">
        <f>IF(J3610&gt;600,1,0)</f>
        <v/>
      </c>
      <c r="P3610" s="25">
        <f>IF(H3610&gt;0,J3610,"")</f>
        <v/>
      </c>
      <c r="Q3610" s="25">
        <f>TEXT(A3610,"YYYY-MM-DD HH")</f>
        <v/>
      </c>
      <c r="R3610" s="25">
        <f>COUNTIF($Q$2:$Q$5295,Q3610)</f>
        <v/>
      </c>
      <c r="S3610" s="25">
        <f>IF(R3610&lt;=2,"1-2",IF(R3610&lt;=5,"3-5",IF(R3610&lt;=10,"6-10","11+")))</f>
        <v/>
      </c>
    </row>
    <row r="3611">
      <c r="A3611" s="39" t="n">
        <v>46212.1912962963</v>
      </c>
      <c r="B3611" s="25">
        <f>TEXT(A3611,"YYYY-MM")</f>
        <v/>
      </c>
      <c r="C3611" s="25">
        <f>TEXT(A3611,"MMM-YYYY")</f>
        <v/>
      </c>
      <c r="D3611" s="40">
        <f>INT(A3611)-WEEKDAY(A3611,2)+1</f>
        <v/>
      </c>
      <c r="E3611" s="25" t="inlineStr">
        <is>
          <t>abanerjee</t>
        </is>
      </c>
      <c r="F3611" s="25" t="n">
        <v>89657</v>
      </c>
      <c r="G3611" s="25" t="n">
        <v>1</v>
      </c>
      <c r="H3611" s="25" t="n">
        <v>7</v>
      </c>
      <c r="I3611" s="25" t="inlineStr">
        <is>
          <t>2 minute(s) and 42 second(s)</t>
        </is>
      </c>
      <c r="J3611" s="25">
        <f>IFERROR(VALUE(TRIM(LEFT(I3611,FIND("minute",I3611)-1)))*60,0)+IFERROR(VALUE(SUBSTITUTE(MID(I3611,IFERROR(FIND("and",I3611)+3,1),20),"second(s)","")),0)</f>
        <v/>
      </c>
      <c r="K3611" s="41">
        <f>J3611/60</f>
        <v/>
      </c>
      <c r="L3611" s="41">
        <f>IFERROR(J3611/H3611,"")</f>
        <v/>
      </c>
      <c r="M3611" s="25" t="inlineStr">
        <is>
          <t>2.5.12</t>
        </is>
      </c>
      <c r="N3611" s="25">
        <f>IF(J3611&gt;300,1,0)</f>
        <v/>
      </c>
      <c r="O3611" s="25">
        <f>IF(J3611&gt;600,1,0)</f>
        <v/>
      </c>
      <c r="P3611" s="25">
        <f>IF(H3611&gt;0,J3611,"")</f>
        <v/>
      </c>
      <c r="Q3611" s="25">
        <f>TEXT(A3611,"YYYY-MM-DD HH")</f>
        <v/>
      </c>
      <c r="R3611" s="25">
        <f>COUNTIF($Q$2:$Q$5295,Q3611)</f>
        <v/>
      </c>
      <c r="S3611" s="25">
        <f>IF(R3611&lt;=2,"1-2",IF(R3611&lt;=5,"3-5",IF(R3611&lt;=10,"6-10","11+")))</f>
        <v/>
      </c>
    </row>
    <row r="3612">
      <c r="A3612" s="39" t="n">
        <v>46212.19857638889</v>
      </c>
      <c r="B3612" s="25">
        <f>TEXT(A3612,"YYYY-MM")</f>
        <v/>
      </c>
      <c r="C3612" s="25">
        <f>TEXT(A3612,"MMM-YYYY")</f>
        <v/>
      </c>
      <c r="D3612" s="40">
        <f>INT(A3612)-WEEKDAY(A3612,2)+1</f>
        <v/>
      </c>
      <c r="E3612" s="25" t="inlineStr">
        <is>
          <t>adey</t>
        </is>
      </c>
      <c r="F3612" s="25" t="n">
        <v>128481</v>
      </c>
      <c r="G3612" s="25" t="n">
        <v>2</v>
      </c>
      <c r="H3612" s="25" t="n">
        <v>8</v>
      </c>
      <c r="I3612" s="25" t="inlineStr">
        <is>
          <t>37 second(s)</t>
        </is>
      </c>
      <c r="J3612" s="25">
        <f>IFERROR(VALUE(TRIM(LEFT(I3612,FIND("minute",I3612)-1)))*60,0)+IFERROR(VALUE(SUBSTITUTE(MID(I3612,IFERROR(FIND("and",I3612)+3,1),20),"second(s)","")),0)</f>
        <v/>
      </c>
      <c r="K3612" s="41">
        <f>J3612/60</f>
        <v/>
      </c>
      <c r="L3612" s="41">
        <f>IFERROR(J3612/H3612,"")</f>
        <v/>
      </c>
      <c r="M3612" s="25" t="inlineStr">
        <is>
          <t>2.5.12</t>
        </is>
      </c>
      <c r="N3612" s="25">
        <f>IF(J3612&gt;300,1,0)</f>
        <v/>
      </c>
      <c r="O3612" s="25">
        <f>IF(J3612&gt;600,1,0)</f>
        <v/>
      </c>
      <c r="P3612" s="25">
        <f>IF(H3612&gt;0,J3612,"")</f>
        <v/>
      </c>
      <c r="Q3612" s="25">
        <f>TEXT(A3612,"YYYY-MM-DD HH")</f>
        <v/>
      </c>
      <c r="R3612" s="25">
        <f>COUNTIF($Q$2:$Q$5295,Q3612)</f>
        <v/>
      </c>
      <c r="S3612" s="25">
        <f>IF(R3612&lt;=2,"1-2",IF(R3612&lt;=5,"3-5",IF(R3612&lt;=10,"6-10","11+")))</f>
        <v/>
      </c>
    </row>
    <row r="3613">
      <c r="A3613" s="39" t="n">
        <v>46212.20300925926</v>
      </c>
      <c r="B3613" s="25">
        <f>TEXT(A3613,"YYYY-MM")</f>
        <v/>
      </c>
      <c r="C3613" s="25">
        <f>TEXT(A3613,"MMM-YYYY")</f>
        <v/>
      </c>
      <c r="D3613" s="40">
        <f>INT(A3613)-WEEKDAY(A3613,2)+1</f>
        <v/>
      </c>
      <c r="E3613" s="25" t="inlineStr">
        <is>
          <t>bverma</t>
        </is>
      </c>
      <c r="F3613" s="25" t="n">
        <v>131793</v>
      </c>
      <c r="G3613" s="25" t="n">
        <v>1</v>
      </c>
      <c r="H3613" s="25" t="n">
        <v>8</v>
      </c>
      <c r="I3613" s="25" t="inlineStr">
        <is>
          <t>41 second(s)</t>
        </is>
      </c>
      <c r="J3613" s="25">
        <f>IFERROR(VALUE(TRIM(LEFT(I3613,FIND("minute",I3613)-1)))*60,0)+IFERROR(VALUE(SUBSTITUTE(MID(I3613,IFERROR(FIND("and",I3613)+3,1),20),"second(s)","")),0)</f>
        <v/>
      </c>
      <c r="K3613" s="41">
        <f>J3613/60</f>
        <v/>
      </c>
      <c r="L3613" s="41">
        <f>IFERROR(J3613/H3613,"")</f>
        <v/>
      </c>
      <c r="M3613" s="25" t="inlineStr">
        <is>
          <t>2.5.12</t>
        </is>
      </c>
      <c r="N3613" s="25">
        <f>IF(J3613&gt;300,1,0)</f>
        <v/>
      </c>
      <c r="O3613" s="25">
        <f>IF(J3613&gt;600,1,0)</f>
        <v/>
      </c>
      <c r="P3613" s="25">
        <f>IF(H3613&gt;0,J3613,"")</f>
        <v/>
      </c>
      <c r="Q3613" s="25">
        <f>TEXT(A3613,"YYYY-MM-DD HH")</f>
        <v/>
      </c>
      <c r="R3613" s="25">
        <f>COUNTIF($Q$2:$Q$5295,Q3613)</f>
        <v/>
      </c>
      <c r="S3613" s="25">
        <f>IF(R3613&lt;=2,"1-2",IF(R3613&lt;=5,"3-5",IF(R3613&lt;=10,"6-10","11+")))</f>
        <v/>
      </c>
    </row>
    <row r="3614">
      <c r="A3614" s="39" t="n">
        <v>46212.21050925926</v>
      </c>
      <c r="B3614" s="25">
        <f>TEXT(A3614,"YYYY-MM")</f>
        <v/>
      </c>
      <c r="C3614" s="25">
        <f>TEXT(A3614,"MMM-YYYY")</f>
        <v/>
      </c>
      <c r="D3614" s="40">
        <f>INT(A3614)-WEEKDAY(A3614,2)+1</f>
        <v/>
      </c>
      <c r="E3614" s="25" t="inlineStr">
        <is>
          <t>shasikha</t>
        </is>
      </c>
      <c r="F3614" s="25" t="n">
        <v>132580</v>
      </c>
      <c r="G3614" s="25" t="n">
        <v>1</v>
      </c>
      <c r="H3614" s="25" t="n">
        <v>5</v>
      </c>
      <c r="I3614" s="25" t="inlineStr">
        <is>
          <t>1 minute(s) and 37 second(s)</t>
        </is>
      </c>
      <c r="J3614" s="25">
        <f>IFERROR(VALUE(TRIM(LEFT(I3614,FIND("minute",I3614)-1)))*60,0)+IFERROR(VALUE(SUBSTITUTE(MID(I3614,IFERROR(FIND("and",I3614)+3,1),20),"second(s)","")),0)</f>
        <v/>
      </c>
      <c r="K3614" s="41">
        <f>J3614/60</f>
        <v/>
      </c>
      <c r="L3614" s="41">
        <f>IFERROR(J3614/H3614,"")</f>
        <v/>
      </c>
      <c r="M3614" s="25" t="inlineStr">
        <is>
          <t>2.5.12</t>
        </is>
      </c>
      <c r="N3614" s="25">
        <f>IF(J3614&gt;300,1,0)</f>
        <v/>
      </c>
      <c r="O3614" s="25">
        <f>IF(J3614&gt;600,1,0)</f>
        <v/>
      </c>
      <c r="P3614" s="25">
        <f>IF(H3614&gt;0,J3614,"")</f>
        <v/>
      </c>
      <c r="Q3614" s="25">
        <f>TEXT(A3614,"YYYY-MM-DD HH")</f>
        <v/>
      </c>
      <c r="R3614" s="25">
        <f>COUNTIF($Q$2:$Q$5295,Q3614)</f>
        <v/>
      </c>
      <c r="S3614" s="25">
        <f>IF(R3614&lt;=2,"1-2",IF(R3614&lt;=5,"3-5",IF(R3614&lt;=10,"6-10","11+")))</f>
        <v/>
      </c>
    </row>
    <row r="3615">
      <c r="A3615" s="39" t="n">
        <v>46212.21405092593</v>
      </c>
      <c r="B3615" s="25">
        <f>TEXT(A3615,"YYYY-MM")</f>
        <v/>
      </c>
      <c r="C3615" s="25">
        <f>TEXT(A3615,"MMM-YYYY")</f>
        <v/>
      </c>
      <c r="D3615" s="40">
        <f>INT(A3615)-WEEKDAY(A3615,2)+1</f>
        <v/>
      </c>
      <c r="E3615" s="25" t="inlineStr">
        <is>
          <t>bverma</t>
        </is>
      </c>
      <c r="F3615" s="25" t="n">
        <v>131505</v>
      </c>
      <c r="G3615" s="25" t="n">
        <v>1</v>
      </c>
      <c r="H3615" s="25" t="n">
        <v>5</v>
      </c>
      <c r="I3615" s="25" t="inlineStr">
        <is>
          <t>25 second(s)</t>
        </is>
      </c>
      <c r="J3615" s="25">
        <f>IFERROR(VALUE(TRIM(LEFT(I3615,FIND("minute",I3615)-1)))*60,0)+IFERROR(VALUE(SUBSTITUTE(MID(I3615,IFERROR(FIND("and",I3615)+3,1),20),"second(s)","")),0)</f>
        <v/>
      </c>
      <c r="K3615" s="41">
        <f>J3615/60</f>
        <v/>
      </c>
      <c r="L3615" s="41">
        <f>IFERROR(J3615/H3615,"")</f>
        <v/>
      </c>
      <c r="M3615" s="25" t="inlineStr">
        <is>
          <t>2.5.12</t>
        </is>
      </c>
      <c r="N3615" s="25">
        <f>IF(J3615&gt;300,1,0)</f>
        <v/>
      </c>
      <c r="O3615" s="25">
        <f>IF(J3615&gt;600,1,0)</f>
        <v/>
      </c>
      <c r="P3615" s="25">
        <f>IF(H3615&gt;0,J3615,"")</f>
        <v/>
      </c>
      <c r="Q3615" s="25">
        <f>TEXT(A3615,"YYYY-MM-DD HH")</f>
        <v/>
      </c>
      <c r="R3615" s="25">
        <f>COUNTIF($Q$2:$Q$5295,Q3615)</f>
        <v/>
      </c>
      <c r="S3615" s="25">
        <f>IF(R3615&lt;=2,"1-2",IF(R3615&lt;=5,"3-5",IF(R3615&lt;=10,"6-10","11+")))</f>
        <v/>
      </c>
    </row>
    <row r="3616">
      <c r="A3616" s="39" t="n">
        <v>46212.22822916666</v>
      </c>
      <c r="B3616" s="25">
        <f>TEXT(A3616,"YYYY-MM")</f>
        <v/>
      </c>
      <c r="C3616" s="25">
        <f>TEXT(A3616,"MMM-YYYY")</f>
        <v/>
      </c>
      <c r="D3616" s="40">
        <f>INT(A3616)-WEEKDAY(A3616,2)+1</f>
        <v/>
      </c>
      <c r="E3616" s="25" t="inlineStr">
        <is>
          <t>dchoudhury</t>
        </is>
      </c>
      <c r="F3616" s="25" t="n">
        <v>125780</v>
      </c>
      <c r="G3616" s="25" t="n">
        <v>4</v>
      </c>
      <c r="H3616" s="25" t="n">
        <v>18</v>
      </c>
      <c r="I3616" s="25" t="inlineStr">
        <is>
          <t>1 minute(s) and 30 second(s)</t>
        </is>
      </c>
      <c r="J3616" s="25">
        <f>IFERROR(VALUE(TRIM(LEFT(I3616,FIND("minute",I3616)-1)))*60,0)+IFERROR(VALUE(SUBSTITUTE(MID(I3616,IFERROR(FIND("and",I3616)+3,1),20),"second(s)","")),0)</f>
        <v/>
      </c>
      <c r="K3616" s="41">
        <f>J3616/60</f>
        <v/>
      </c>
      <c r="L3616" s="41">
        <f>IFERROR(J3616/H3616,"")</f>
        <v/>
      </c>
      <c r="M3616" s="25" t="inlineStr">
        <is>
          <t>2.5.12</t>
        </is>
      </c>
      <c r="N3616" s="25">
        <f>IF(J3616&gt;300,1,0)</f>
        <v/>
      </c>
      <c r="O3616" s="25">
        <f>IF(J3616&gt;600,1,0)</f>
        <v/>
      </c>
      <c r="P3616" s="25">
        <f>IF(H3616&gt;0,J3616,"")</f>
        <v/>
      </c>
      <c r="Q3616" s="25">
        <f>TEXT(A3616,"YYYY-MM-DD HH")</f>
        <v/>
      </c>
      <c r="R3616" s="25">
        <f>COUNTIF($Q$2:$Q$5295,Q3616)</f>
        <v/>
      </c>
      <c r="S3616" s="25">
        <f>IF(R3616&lt;=2,"1-2",IF(R3616&lt;=5,"3-5",IF(R3616&lt;=10,"6-10","11+")))</f>
        <v/>
      </c>
    </row>
    <row r="3617">
      <c r="A3617" s="39" t="n">
        <v>46212.22949074074</v>
      </c>
      <c r="B3617" s="25">
        <f>TEXT(A3617,"YYYY-MM")</f>
        <v/>
      </c>
      <c r="C3617" s="25">
        <f>TEXT(A3617,"MMM-YYYY")</f>
        <v/>
      </c>
      <c r="D3617" s="40">
        <f>INT(A3617)-WEEKDAY(A3617,2)+1</f>
        <v/>
      </c>
      <c r="E3617" s="25" t="inlineStr">
        <is>
          <t>psathwika</t>
        </is>
      </c>
      <c r="F3617" s="25" t="n">
        <v>128982</v>
      </c>
      <c r="G3617" s="25" t="n">
        <v>2</v>
      </c>
      <c r="H3617" s="25" t="n">
        <v>10</v>
      </c>
      <c r="I3617" s="25" t="inlineStr">
        <is>
          <t>1 minute(s) and 3 second(s)</t>
        </is>
      </c>
      <c r="J3617" s="25">
        <f>IFERROR(VALUE(TRIM(LEFT(I3617,FIND("minute",I3617)-1)))*60,0)+IFERROR(VALUE(SUBSTITUTE(MID(I3617,IFERROR(FIND("and",I3617)+3,1),20),"second(s)","")),0)</f>
        <v/>
      </c>
      <c r="K3617" s="41">
        <f>J3617/60</f>
        <v/>
      </c>
      <c r="L3617" s="41">
        <f>IFERROR(J3617/H3617,"")</f>
        <v/>
      </c>
      <c r="M3617" s="25" t="inlineStr">
        <is>
          <t>2.5.12</t>
        </is>
      </c>
      <c r="N3617" s="25">
        <f>IF(J3617&gt;300,1,0)</f>
        <v/>
      </c>
      <c r="O3617" s="25">
        <f>IF(J3617&gt;600,1,0)</f>
        <v/>
      </c>
      <c r="P3617" s="25">
        <f>IF(H3617&gt;0,J3617,"")</f>
        <v/>
      </c>
      <c r="Q3617" s="25">
        <f>TEXT(A3617,"YYYY-MM-DD HH")</f>
        <v/>
      </c>
      <c r="R3617" s="25">
        <f>COUNTIF($Q$2:$Q$5295,Q3617)</f>
        <v/>
      </c>
      <c r="S3617" s="25">
        <f>IF(R3617&lt;=2,"1-2",IF(R3617&lt;=5,"3-5",IF(R3617&lt;=10,"6-10","11+")))</f>
        <v/>
      </c>
    </row>
    <row r="3618">
      <c r="A3618" s="39" t="n">
        <v>46212.23239583334</v>
      </c>
      <c r="B3618" s="25">
        <f>TEXT(A3618,"YYYY-MM")</f>
        <v/>
      </c>
      <c r="C3618" s="25">
        <f>TEXT(A3618,"MMM-YYYY")</f>
        <v/>
      </c>
      <c r="D3618" s="40">
        <f>INT(A3618)-WEEKDAY(A3618,2)+1</f>
        <v/>
      </c>
      <c r="E3618" s="25" t="inlineStr">
        <is>
          <t>apriyadarshi</t>
        </is>
      </c>
      <c r="F3618" s="25" t="n">
        <v>130089</v>
      </c>
      <c r="G3618" s="25" t="n">
        <v>3</v>
      </c>
      <c r="H3618" s="25" t="n">
        <v>17</v>
      </c>
      <c r="I3618" s="25" t="inlineStr">
        <is>
          <t>1 minute(s) and 12 second(s)</t>
        </is>
      </c>
      <c r="J3618" s="25">
        <f>IFERROR(VALUE(TRIM(LEFT(I3618,FIND("minute",I3618)-1)))*60,0)+IFERROR(VALUE(SUBSTITUTE(MID(I3618,IFERROR(FIND("and",I3618)+3,1),20),"second(s)","")),0)</f>
        <v/>
      </c>
      <c r="K3618" s="41">
        <f>J3618/60</f>
        <v/>
      </c>
      <c r="L3618" s="41">
        <f>IFERROR(J3618/H3618,"")</f>
        <v/>
      </c>
      <c r="M3618" s="25" t="inlineStr">
        <is>
          <t>2.5.12</t>
        </is>
      </c>
      <c r="N3618" s="25">
        <f>IF(J3618&gt;300,1,0)</f>
        <v/>
      </c>
      <c r="O3618" s="25">
        <f>IF(J3618&gt;600,1,0)</f>
        <v/>
      </c>
      <c r="P3618" s="25">
        <f>IF(H3618&gt;0,J3618,"")</f>
        <v/>
      </c>
      <c r="Q3618" s="25">
        <f>TEXT(A3618,"YYYY-MM-DD HH")</f>
        <v/>
      </c>
      <c r="R3618" s="25">
        <f>COUNTIF($Q$2:$Q$5295,Q3618)</f>
        <v/>
      </c>
      <c r="S3618" s="25">
        <f>IF(R3618&lt;=2,"1-2",IF(R3618&lt;=5,"3-5",IF(R3618&lt;=10,"6-10","11+")))</f>
        <v/>
      </c>
    </row>
    <row r="3619">
      <c r="A3619" s="39" t="n">
        <v>46212.2344212963</v>
      </c>
      <c r="B3619" s="25">
        <f>TEXT(A3619,"YYYY-MM")</f>
        <v/>
      </c>
      <c r="C3619" s="25">
        <f>TEXT(A3619,"MMM-YYYY")</f>
        <v/>
      </c>
      <c r="D3619" s="40">
        <f>INT(A3619)-WEEKDAY(A3619,2)+1</f>
        <v/>
      </c>
      <c r="E3619" s="25" t="inlineStr">
        <is>
          <t>asaxena</t>
        </is>
      </c>
      <c r="F3619" s="25" t="n">
        <v>121202</v>
      </c>
      <c r="G3619" s="25" t="n">
        <v>4</v>
      </c>
      <c r="H3619" s="25" t="n">
        <v>20</v>
      </c>
      <c r="I3619" s="25" t="inlineStr">
        <is>
          <t>1 minute(s) and 50 second(s)</t>
        </is>
      </c>
      <c r="J3619" s="25">
        <f>IFERROR(VALUE(TRIM(LEFT(I3619,FIND("minute",I3619)-1)))*60,0)+IFERROR(VALUE(SUBSTITUTE(MID(I3619,IFERROR(FIND("and",I3619)+3,1),20),"second(s)","")),0)</f>
        <v/>
      </c>
      <c r="K3619" s="41">
        <f>J3619/60</f>
        <v/>
      </c>
      <c r="L3619" s="41">
        <f>IFERROR(J3619/H3619,"")</f>
        <v/>
      </c>
      <c r="M3619" s="25" t="inlineStr">
        <is>
          <t>2.5.12</t>
        </is>
      </c>
      <c r="N3619" s="25">
        <f>IF(J3619&gt;300,1,0)</f>
        <v/>
      </c>
      <c r="O3619" s="25">
        <f>IF(J3619&gt;600,1,0)</f>
        <v/>
      </c>
      <c r="P3619" s="25">
        <f>IF(H3619&gt;0,J3619,"")</f>
        <v/>
      </c>
      <c r="Q3619" s="25">
        <f>TEXT(A3619,"YYYY-MM-DD HH")</f>
        <v/>
      </c>
      <c r="R3619" s="25">
        <f>COUNTIF($Q$2:$Q$5295,Q3619)</f>
        <v/>
      </c>
      <c r="S3619" s="25">
        <f>IF(R3619&lt;=2,"1-2",IF(R3619&lt;=5,"3-5",IF(R3619&lt;=10,"6-10","11+")))</f>
        <v/>
      </c>
    </row>
    <row r="3620">
      <c r="A3620" s="39" t="n">
        <v>46212.25118055556</v>
      </c>
      <c r="B3620" s="25">
        <f>TEXT(A3620,"YYYY-MM")</f>
        <v/>
      </c>
      <c r="C3620" s="25">
        <f>TEXT(A3620,"MMM-YYYY")</f>
        <v/>
      </c>
      <c r="D3620" s="40">
        <f>INT(A3620)-WEEKDAY(A3620,2)+1</f>
        <v/>
      </c>
      <c r="E3620" s="25" t="inlineStr">
        <is>
          <t>dbhattacharyya</t>
        </is>
      </c>
      <c r="F3620" s="25" t="n">
        <v>131135</v>
      </c>
      <c r="G3620" s="25" t="n">
        <v>6</v>
      </c>
      <c r="H3620" s="25" t="n">
        <v>30</v>
      </c>
      <c r="I3620" s="25" t="inlineStr">
        <is>
          <t>2 minute(s) and 42 second(s)</t>
        </is>
      </c>
      <c r="J3620" s="25">
        <f>IFERROR(VALUE(TRIM(LEFT(I3620,FIND("minute",I3620)-1)))*60,0)+IFERROR(VALUE(SUBSTITUTE(MID(I3620,IFERROR(FIND("and",I3620)+3,1),20),"second(s)","")),0)</f>
        <v/>
      </c>
      <c r="K3620" s="41">
        <f>J3620/60</f>
        <v/>
      </c>
      <c r="L3620" s="41">
        <f>IFERROR(J3620/H3620,"")</f>
        <v/>
      </c>
      <c r="M3620" s="25" t="inlineStr">
        <is>
          <t>2.5.12</t>
        </is>
      </c>
      <c r="N3620" s="25">
        <f>IF(J3620&gt;300,1,0)</f>
        <v/>
      </c>
      <c r="O3620" s="25">
        <f>IF(J3620&gt;600,1,0)</f>
        <v/>
      </c>
      <c r="P3620" s="25">
        <f>IF(H3620&gt;0,J3620,"")</f>
        <v/>
      </c>
      <c r="Q3620" s="25">
        <f>TEXT(A3620,"YYYY-MM-DD HH")</f>
        <v/>
      </c>
      <c r="R3620" s="25">
        <f>COUNTIF($Q$2:$Q$5295,Q3620)</f>
        <v/>
      </c>
      <c r="S3620" s="25">
        <f>IF(R3620&lt;=2,"1-2",IF(R3620&lt;=5,"3-5",IF(R3620&lt;=10,"6-10","11+")))</f>
        <v/>
      </c>
    </row>
    <row r="3621">
      <c r="A3621" s="39" t="n">
        <v>46212.25296296296</v>
      </c>
      <c r="B3621" s="25">
        <f>TEXT(A3621,"YYYY-MM")</f>
        <v/>
      </c>
      <c r="C3621" s="25">
        <f>TEXT(A3621,"MMM-YYYY")</f>
        <v/>
      </c>
      <c r="D3621" s="40">
        <f>INT(A3621)-WEEKDAY(A3621,2)+1</f>
        <v/>
      </c>
      <c r="E3621" s="25" t="inlineStr">
        <is>
          <t>npriya</t>
        </is>
      </c>
      <c r="F3621" s="25" t="n">
        <v>129350</v>
      </c>
      <c r="G3621" s="25" t="n">
        <v>2</v>
      </c>
      <c r="H3621" s="25" t="n">
        <v>14</v>
      </c>
      <c r="I3621" s="25" t="inlineStr">
        <is>
          <t>1 minute(s) and 18 second(s)</t>
        </is>
      </c>
      <c r="J3621" s="25">
        <f>IFERROR(VALUE(TRIM(LEFT(I3621,FIND("minute",I3621)-1)))*60,0)+IFERROR(VALUE(SUBSTITUTE(MID(I3621,IFERROR(FIND("and",I3621)+3,1),20),"second(s)","")),0)</f>
        <v/>
      </c>
      <c r="K3621" s="41">
        <f>J3621/60</f>
        <v/>
      </c>
      <c r="L3621" s="41">
        <f>IFERROR(J3621/H3621,"")</f>
        <v/>
      </c>
      <c r="M3621" s="25" t="inlineStr">
        <is>
          <t>2.5.12</t>
        </is>
      </c>
      <c r="N3621" s="25">
        <f>IF(J3621&gt;300,1,0)</f>
        <v/>
      </c>
      <c r="O3621" s="25">
        <f>IF(J3621&gt;600,1,0)</f>
        <v/>
      </c>
      <c r="P3621" s="25">
        <f>IF(H3621&gt;0,J3621,"")</f>
        <v/>
      </c>
      <c r="Q3621" s="25">
        <f>TEXT(A3621,"YYYY-MM-DD HH")</f>
        <v/>
      </c>
      <c r="R3621" s="25">
        <f>COUNTIF($Q$2:$Q$5295,Q3621)</f>
        <v/>
      </c>
      <c r="S3621" s="25">
        <f>IF(R3621&lt;=2,"1-2",IF(R3621&lt;=5,"3-5",IF(R3621&lt;=10,"6-10","11+")))</f>
        <v/>
      </c>
    </row>
    <row r="3622">
      <c r="A3622" s="39" t="n">
        <v>46212.25678240741</v>
      </c>
      <c r="B3622" s="25">
        <f>TEXT(A3622,"YYYY-MM")</f>
        <v/>
      </c>
      <c r="C3622" s="25">
        <f>TEXT(A3622,"MMM-YYYY")</f>
        <v/>
      </c>
      <c r="D3622" s="40">
        <f>INT(A3622)-WEEKDAY(A3622,2)+1</f>
        <v/>
      </c>
      <c r="E3622" s="25" t="inlineStr">
        <is>
          <t>bverma</t>
        </is>
      </c>
      <c r="F3622" s="25" t="n">
        <v>132073</v>
      </c>
      <c r="G3622" s="25" t="n">
        <v>2</v>
      </c>
      <c r="H3622" s="25" t="n">
        <v>14</v>
      </c>
      <c r="I3622" s="25" t="inlineStr">
        <is>
          <t>1 minute(s) and 9 second(s)</t>
        </is>
      </c>
      <c r="J3622" s="25">
        <f>IFERROR(VALUE(TRIM(LEFT(I3622,FIND("minute",I3622)-1)))*60,0)+IFERROR(VALUE(SUBSTITUTE(MID(I3622,IFERROR(FIND("and",I3622)+3,1),20),"second(s)","")),0)</f>
        <v/>
      </c>
      <c r="K3622" s="41">
        <f>J3622/60</f>
        <v/>
      </c>
      <c r="L3622" s="41">
        <f>IFERROR(J3622/H3622,"")</f>
        <v/>
      </c>
      <c r="M3622" s="25" t="inlineStr">
        <is>
          <t>2.5.12</t>
        </is>
      </c>
      <c r="N3622" s="25">
        <f>IF(J3622&gt;300,1,0)</f>
        <v/>
      </c>
      <c r="O3622" s="25">
        <f>IF(J3622&gt;600,1,0)</f>
        <v/>
      </c>
      <c r="P3622" s="25">
        <f>IF(H3622&gt;0,J3622,"")</f>
        <v/>
      </c>
      <c r="Q3622" s="25">
        <f>TEXT(A3622,"YYYY-MM-DD HH")</f>
        <v/>
      </c>
      <c r="R3622" s="25">
        <f>COUNTIF($Q$2:$Q$5295,Q3622)</f>
        <v/>
      </c>
      <c r="S3622" s="25">
        <f>IF(R3622&lt;=2,"1-2",IF(R3622&lt;=5,"3-5",IF(R3622&lt;=10,"6-10","11+")))</f>
        <v/>
      </c>
    </row>
    <row r="3623">
      <c r="A3623" s="39" t="n">
        <v>46212.26814814815</v>
      </c>
      <c r="B3623" s="25">
        <f>TEXT(A3623,"YYYY-MM")</f>
        <v/>
      </c>
      <c r="C3623" s="25">
        <f>TEXT(A3623,"MMM-YYYY")</f>
        <v/>
      </c>
      <c r="D3623" s="40">
        <f>INT(A3623)-WEEKDAY(A3623,2)+1</f>
        <v/>
      </c>
      <c r="E3623" s="25" t="inlineStr">
        <is>
          <t>adey</t>
        </is>
      </c>
      <c r="F3623" s="25" t="n">
        <v>128369</v>
      </c>
      <c r="G3623" s="25" t="n">
        <v>2</v>
      </c>
      <c r="H3623" s="25" t="n">
        <v>10</v>
      </c>
      <c r="I3623" s="25" t="inlineStr">
        <is>
          <t>1 minute(s) and 5 second(s)</t>
        </is>
      </c>
      <c r="J3623" s="25">
        <f>IFERROR(VALUE(TRIM(LEFT(I3623,FIND("minute",I3623)-1)))*60,0)+IFERROR(VALUE(SUBSTITUTE(MID(I3623,IFERROR(FIND("and",I3623)+3,1),20),"second(s)","")),0)</f>
        <v/>
      </c>
      <c r="K3623" s="41">
        <f>J3623/60</f>
        <v/>
      </c>
      <c r="L3623" s="41">
        <f>IFERROR(J3623/H3623,"")</f>
        <v/>
      </c>
      <c r="M3623" s="25" t="inlineStr">
        <is>
          <t>2.5.12</t>
        </is>
      </c>
      <c r="N3623" s="25">
        <f>IF(J3623&gt;300,1,0)</f>
        <v/>
      </c>
      <c r="O3623" s="25">
        <f>IF(J3623&gt;600,1,0)</f>
        <v/>
      </c>
      <c r="P3623" s="25">
        <f>IF(H3623&gt;0,J3623,"")</f>
        <v/>
      </c>
      <c r="Q3623" s="25">
        <f>TEXT(A3623,"YYYY-MM-DD HH")</f>
        <v/>
      </c>
      <c r="R3623" s="25">
        <f>COUNTIF($Q$2:$Q$5295,Q3623)</f>
        <v/>
      </c>
      <c r="S3623" s="25">
        <f>IF(R3623&lt;=2,"1-2",IF(R3623&lt;=5,"3-5",IF(R3623&lt;=10,"6-10","11+")))</f>
        <v/>
      </c>
    </row>
    <row r="3624">
      <c r="A3624" s="39" t="n">
        <v>46212.2771412037</v>
      </c>
      <c r="B3624" s="25">
        <f>TEXT(A3624,"YYYY-MM")</f>
        <v/>
      </c>
      <c r="C3624" s="25">
        <f>TEXT(A3624,"MMM-YYYY")</f>
        <v/>
      </c>
      <c r="D3624" s="40">
        <f>INT(A3624)-WEEKDAY(A3624,2)+1</f>
        <v/>
      </c>
      <c r="E3624" s="25" t="inlineStr">
        <is>
          <t>csaha</t>
        </is>
      </c>
      <c r="F3624" s="25" t="n">
        <v>129948</v>
      </c>
      <c r="G3624" s="25" t="n">
        <v>2</v>
      </c>
      <c r="H3624" s="25" t="n">
        <v>6</v>
      </c>
      <c r="I3624" s="25" t="inlineStr">
        <is>
          <t>48 second(s)</t>
        </is>
      </c>
      <c r="J3624" s="25">
        <f>IFERROR(VALUE(TRIM(LEFT(I3624,FIND("minute",I3624)-1)))*60,0)+IFERROR(VALUE(SUBSTITUTE(MID(I3624,IFERROR(FIND("and",I3624)+3,1),20),"second(s)","")),0)</f>
        <v/>
      </c>
      <c r="K3624" s="41">
        <f>J3624/60</f>
        <v/>
      </c>
      <c r="L3624" s="41">
        <f>IFERROR(J3624/H3624,"")</f>
        <v/>
      </c>
      <c r="M3624" s="25" t="inlineStr">
        <is>
          <t>2.5.12</t>
        </is>
      </c>
      <c r="N3624" s="25">
        <f>IF(J3624&gt;300,1,0)</f>
        <v/>
      </c>
      <c r="O3624" s="25">
        <f>IF(J3624&gt;600,1,0)</f>
        <v/>
      </c>
      <c r="P3624" s="25">
        <f>IF(H3624&gt;0,J3624,"")</f>
        <v/>
      </c>
      <c r="Q3624" s="25">
        <f>TEXT(A3624,"YYYY-MM-DD HH")</f>
        <v/>
      </c>
      <c r="R3624" s="25">
        <f>COUNTIF($Q$2:$Q$5295,Q3624)</f>
        <v/>
      </c>
      <c r="S3624" s="25">
        <f>IF(R3624&lt;=2,"1-2",IF(R3624&lt;=5,"3-5",IF(R3624&lt;=10,"6-10","11+")))</f>
        <v/>
      </c>
    </row>
    <row r="3625">
      <c r="A3625" s="39" t="n">
        <v>46212.29194444444</v>
      </c>
      <c r="B3625" s="25">
        <f>TEXT(A3625,"YYYY-MM")</f>
        <v/>
      </c>
      <c r="C3625" s="25">
        <f>TEXT(A3625,"MMM-YYYY")</f>
        <v/>
      </c>
      <c r="D3625" s="40">
        <f>INT(A3625)-WEEKDAY(A3625,2)+1</f>
        <v/>
      </c>
      <c r="E3625" s="25" t="inlineStr">
        <is>
          <t>shasikha</t>
        </is>
      </c>
      <c r="F3625" s="25" t="n">
        <v>131845</v>
      </c>
      <c r="G3625" s="25" t="n">
        <v>2</v>
      </c>
      <c r="H3625" s="25" t="n">
        <v>8</v>
      </c>
      <c r="I3625" s="25" t="inlineStr">
        <is>
          <t>1 minute(s) and 2 second(s)</t>
        </is>
      </c>
      <c r="J3625" s="25">
        <f>IFERROR(VALUE(TRIM(LEFT(I3625,FIND("minute",I3625)-1)))*60,0)+IFERROR(VALUE(SUBSTITUTE(MID(I3625,IFERROR(FIND("and",I3625)+3,1),20),"second(s)","")),0)</f>
        <v/>
      </c>
      <c r="K3625" s="41">
        <f>J3625/60</f>
        <v/>
      </c>
      <c r="L3625" s="41">
        <f>IFERROR(J3625/H3625,"")</f>
        <v/>
      </c>
      <c r="M3625" s="25" t="inlineStr">
        <is>
          <t>2.5.12</t>
        </is>
      </c>
      <c r="N3625" s="25">
        <f>IF(J3625&gt;300,1,0)</f>
        <v/>
      </c>
      <c r="O3625" s="25">
        <f>IF(J3625&gt;600,1,0)</f>
        <v/>
      </c>
      <c r="P3625" s="25">
        <f>IF(H3625&gt;0,J3625,"")</f>
        <v/>
      </c>
      <c r="Q3625" s="25">
        <f>TEXT(A3625,"YYYY-MM-DD HH")</f>
        <v/>
      </c>
      <c r="R3625" s="25">
        <f>COUNTIF($Q$2:$Q$5295,Q3625)</f>
        <v/>
      </c>
      <c r="S3625" s="25">
        <f>IF(R3625&lt;=2,"1-2",IF(R3625&lt;=5,"3-5",IF(R3625&lt;=10,"6-10","11+")))</f>
        <v/>
      </c>
    </row>
    <row r="3626">
      <c r="A3626" s="39" t="n">
        <v>46212.30486111111</v>
      </c>
      <c r="B3626" s="25">
        <f>TEXT(A3626,"YYYY-MM")</f>
        <v/>
      </c>
      <c r="C3626" s="25">
        <f>TEXT(A3626,"MMM-YYYY")</f>
        <v/>
      </c>
      <c r="D3626" s="40">
        <f>INT(A3626)-WEEKDAY(A3626,2)+1</f>
        <v/>
      </c>
      <c r="E3626" s="25" t="inlineStr">
        <is>
          <t>adey</t>
        </is>
      </c>
      <c r="F3626" s="25" t="n">
        <v>128297</v>
      </c>
      <c r="G3626" s="25" t="n">
        <v>1</v>
      </c>
      <c r="H3626" s="25" t="n">
        <v>5</v>
      </c>
      <c r="I3626" s="25" t="inlineStr">
        <is>
          <t>1 minute(s) and 56 second(s)</t>
        </is>
      </c>
      <c r="J3626" s="25">
        <f>IFERROR(VALUE(TRIM(LEFT(I3626,FIND("minute",I3626)-1)))*60,0)+IFERROR(VALUE(SUBSTITUTE(MID(I3626,IFERROR(FIND("and",I3626)+3,1),20),"second(s)","")),0)</f>
        <v/>
      </c>
      <c r="K3626" s="41">
        <f>J3626/60</f>
        <v/>
      </c>
      <c r="L3626" s="41">
        <f>IFERROR(J3626/H3626,"")</f>
        <v/>
      </c>
      <c r="M3626" s="25" t="inlineStr">
        <is>
          <t>2.5.12</t>
        </is>
      </c>
      <c r="N3626" s="25">
        <f>IF(J3626&gt;300,1,0)</f>
        <v/>
      </c>
      <c r="O3626" s="25">
        <f>IF(J3626&gt;600,1,0)</f>
        <v/>
      </c>
      <c r="P3626" s="25">
        <f>IF(H3626&gt;0,J3626,"")</f>
        <v/>
      </c>
      <c r="Q3626" s="25">
        <f>TEXT(A3626,"YYYY-MM-DD HH")</f>
        <v/>
      </c>
      <c r="R3626" s="25">
        <f>COUNTIF($Q$2:$Q$5295,Q3626)</f>
        <v/>
      </c>
      <c r="S3626" s="25">
        <f>IF(R3626&lt;=2,"1-2",IF(R3626&lt;=5,"3-5",IF(R3626&lt;=10,"6-10","11+")))</f>
        <v/>
      </c>
    </row>
    <row r="3627">
      <c r="A3627" s="39" t="n">
        <v>46212.32103009259</v>
      </c>
      <c r="B3627" s="25">
        <f>TEXT(A3627,"YYYY-MM")</f>
        <v/>
      </c>
      <c r="C3627" s="25">
        <f>TEXT(A3627,"MMM-YYYY")</f>
        <v/>
      </c>
      <c r="D3627" s="40">
        <f>INT(A3627)-WEEKDAY(A3627,2)+1</f>
        <v/>
      </c>
      <c r="E3627" s="25" t="inlineStr">
        <is>
          <t>bverma</t>
        </is>
      </c>
      <c r="F3627" s="25" t="n">
        <v>132209</v>
      </c>
      <c r="G3627" s="25" t="n">
        <v>3</v>
      </c>
      <c r="H3627" s="25" t="n">
        <v>19</v>
      </c>
      <c r="I3627" s="25" t="inlineStr">
        <is>
          <t>1 minute(s) and 56 second(s)</t>
        </is>
      </c>
      <c r="J3627" s="25">
        <f>IFERROR(VALUE(TRIM(LEFT(I3627,FIND("minute",I3627)-1)))*60,0)+IFERROR(VALUE(SUBSTITUTE(MID(I3627,IFERROR(FIND("and",I3627)+3,1),20),"second(s)","")),0)</f>
        <v/>
      </c>
      <c r="K3627" s="41">
        <f>J3627/60</f>
        <v/>
      </c>
      <c r="L3627" s="41">
        <f>IFERROR(J3627/H3627,"")</f>
        <v/>
      </c>
      <c r="M3627" s="25" t="inlineStr">
        <is>
          <t>2.5.12</t>
        </is>
      </c>
      <c r="N3627" s="25">
        <f>IF(J3627&gt;300,1,0)</f>
        <v/>
      </c>
      <c r="O3627" s="25">
        <f>IF(J3627&gt;600,1,0)</f>
        <v/>
      </c>
      <c r="P3627" s="25">
        <f>IF(H3627&gt;0,J3627,"")</f>
        <v/>
      </c>
      <c r="Q3627" s="25">
        <f>TEXT(A3627,"YYYY-MM-DD HH")</f>
        <v/>
      </c>
      <c r="R3627" s="25">
        <f>COUNTIF($Q$2:$Q$5295,Q3627)</f>
        <v/>
      </c>
      <c r="S3627" s="25">
        <f>IF(R3627&lt;=2,"1-2",IF(R3627&lt;=5,"3-5",IF(R3627&lt;=10,"6-10","11+")))</f>
        <v/>
      </c>
    </row>
    <row r="3628">
      <c r="A3628" s="39" t="n">
        <v>46212.32444444444</v>
      </c>
      <c r="B3628" s="25">
        <f>TEXT(A3628,"YYYY-MM")</f>
        <v/>
      </c>
      <c r="C3628" s="25">
        <f>TEXT(A3628,"MMM-YYYY")</f>
        <v/>
      </c>
      <c r="D3628" s="40">
        <f>INT(A3628)-WEEKDAY(A3628,2)+1</f>
        <v/>
      </c>
      <c r="E3628" s="25" t="inlineStr">
        <is>
          <t>psathwika</t>
        </is>
      </c>
      <c r="F3628" s="25" t="n">
        <v>132938</v>
      </c>
      <c r="G3628" s="25" t="n">
        <v>2</v>
      </c>
      <c r="H3628" s="25" t="n">
        <v>12</v>
      </c>
      <c r="I3628" s="25" t="inlineStr">
        <is>
          <t>1 minute(s) and 47 second(s)</t>
        </is>
      </c>
      <c r="J3628" s="25">
        <f>IFERROR(VALUE(TRIM(LEFT(I3628,FIND("minute",I3628)-1)))*60,0)+IFERROR(VALUE(SUBSTITUTE(MID(I3628,IFERROR(FIND("and",I3628)+3,1),20),"second(s)","")),0)</f>
        <v/>
      </c>
      <c r="K3628" s="41">
        <f>J3628/60</f>
        <v/>
      </c>
      <c r="L3628" s="41">
        <f>IFERROR(J3628/H3628,"")</f>
        <v/>
      </c>
      <c r="M3628" s="25" t="inlineStr">
        <is>
          <t>2.5.12</t>
        </is>
      </c>
      <c r="N3628" s="25">
        <f>IF(J3628&gt;300,1,0)</f>
        <v/>
      </c>
      <c r="O3628" s="25">
        <f>IF(J3628&gt;600,1,0)</f>
        <v/>
      </c>
      <c r="P3628" s="25">
        <f>IF(H3628&gt;0,J3628,"")</f>
        <v/>
      </c>
      <c r="Q3628" s="25">
        <f>TEXT(A3628,"YYYY-MM-DD HH")</f>
        <v/>
      </c>
      <c r="R3628" s="25">
        <f>COUNTIF($Q$2:$Q$5295,Q3628)</f>
        <v/>
      </c>
      <c r="S3628" s="25">
        <f>IF(R3628&lt;=2,"1-2",IF(R3628&lt;=5,"3-5",IF(R3628&lt;=10,"6-10","11+")))</f>
        <v/>
      </c>
    </row>
    <row r="3629">
      <c r="A3629" s="39" t="n">
        <v>46212.32766203704</v>
      </c>
      <c r="B3629" s="25">
        <f>TEXT(A3629,"YYYY-MM")</f>
        <v/>
      </c>
      <c r="C3629" s="25">
        <f>TEXT(A3629,"MMM-YYYY")</f>
        <v/>
      </c>
      <c r="D3629" s="40">
        <f>INT(A3629)-WEEKDAY(A3629,2)+1</f>
        <v/>
      </c>
      <c r="E3629" s="25" t="inlineStr">
        <is>
          <t>dbhattacharyya</t>
        </is>
      </c>
      <c r="F3629" s="25" t="n">
        <v>131222</v>
      </c>
      <c r="G3629" s="25" t="n">
        <v>2</v>
      </c>
      <c r="H3629" s="25" t="n">
        <v>10</v>
      </c>
      <c r="I3629" s="25" t="inlineStr">
        <is>
          <t>1 minute(s) and 39 second(s)</t>
        </is>
      </c>
      <c r="J3629" s="25">
        <f>IFERROR(VALUE(TRIM(LEFT(I3629,FIND("minute",I3629)-1)))*60,0)+IFERROR(VALUE(SUBSTITUTE(MID(I3629,IFERROR(FIND("and",I3629)+3,1),20),"second(s)","")),0)</f>
        <v/>
      </c>
      <c r="K3629" s="41">
        <f>J3629/60</f>
        <v/>
      </c>
      <c r="L3629" s="41">
        <f>IFERROR(J3629/H3629,"")</f>
        <v/>
      </c>
      <c r="M3629" s="25" t="inlineStr">
        <is>
          <t>2.5.12</t>
        </is>
      </c>
      <c r="N3629" s="25">
        <f>IF(J3629&gt;300,1,0)</f>
        <v/>
      </c>
      <c r="O3629" s="25">
        <f>IF(J3629&gt;600,1,0)</f>
        <v/>
      </c>
      <c r="P3629" s="25">
        <f>IF(H3629&gt;0,J3629,"")</f>
        <v/>
      </c>
      <c r="Q3629" s="25">
        <f>TEXT(A3629,"YYYY-MM-DD HH")</f>
        <v/>
      </c>
      <c r="R3629" s="25">
        <f>COUNTIF($Q$2:$Q$5295,Q3629)</f>
        <v/>
      </c>
      <c r="S3629" s="25">
        <f>IF(R3629&lt;=2,"1-2",IF(R3629&lt;=5,"3-5",IF(R3629&lt;=10,"6-10","11+")))</f>
        <v/>
      </c>
    </row>
    <row r="3630">
      <c r="A3630" s="39" t="n">
        <v>46212.32869212963</v>
      </c>
      <c r="B3630" s="25">
        <f>TEXT(A3630,"YYYY-MM")</f>
        <v/>
      </c>
      <c r="C3630" s="25">
        <f>TEXT(A3630,"MMM-YYYY")</f>
        <v/>
      </c>
      <c r="D3630" s="40">
        <f>INT(A3630)-WEEKDAY(A3630,2)+1</f>
        <v/>
      </c>
      <c r="E3630" s="25" t="inlineStr">
        <is>
          <t>kkumar</t>
        </is>
      </c>
      <c r="F3630" s="25" t="n">
        <v>128575</v>
      </c>
      <c r="G3630" s="25" t="n">
        <v>2</v>
      </c>
      <c r="H3630" s="25" t="n">
        <v>12</v>
      </c>
      <c r="I3630" s="25" t="inlineStr">
        <is>
          <t>2 minute(s) and 18 second(s)</t>
        </is>
      </c>
      <c r="J3630" s="25">
        <f>IFERROR(VALUE(TRIM(LEFT(I3630,FIND("minute",I3630)-1)))*60,0)+IFERROR(VALUE(SUBSTITUTE(MID(I3630,IFERROR(FIND("and",I3630)+3,1),20),"second(s)","")),0)</f>
        <v/>
      </c>
      <c r="K3630" s="41">
        <f>J3630/60</f>
        <v/>
      </c>
      <c r="L3630" s="41">
        <f>IFERROR(J3630/H3630,"")</f>
        <v/>
      </c>
      <c r="M3630" s="25" t="inlineStr">
        <is>
          <t>2.5.12</t>
        </is>
      </c>
      <c r="N3630" s="25">
        <f>IF(J3630&gt;300,1,0)</f>
        <v/>
      </c>
      <c r="O3630" s="25">
        <f>IF(J3630&gt;600,1,0)</f>
        <v/>
      </c>
      <c r="P3630" s="25">
        <f>IF(H3630&gt;0,J3630,"")</f>
        <v/>
      </c>
      <c r="Q3630" s="25">
        <f>TEXT(A3630,"YYYY-MM-DD HH")</f>
        <v/>
      </c>
      <c r="R3630" s="25">
        <f>COUNTIF($Q$2:$Q$5295,Q3630)</f>
        <v/>
      </c>
      <c r="S3630" s="25">
        <f>IF(R3630&lt;=2,"1-2",IF(R3630&lt;=5,"3-5",IF(R3630&lt;=10,"6-10","11+")))</f>
        <v/>
      </c>
    </row>
    <row r="3631">
      <c r="A3631" s="39" t="n">
        <v>46212.33726851852</v>
      </c>
      <c r="B3631" s="25">
        <f>TEXT(A3631,"YYYY-MM")</f>
        <v/>
      </c>
      <c r="C3631" s="25">
        <f>TEXT(A3631,"MMM-YYYY")</f>
        <v/>
      </c>
      <c r="D3631" s="40">
        <f>INT(A3631)-WEEKDAY(A3631,2)+1</f>
        <v/>
      </c>
      <c r="E3631" s="25" t="inlineStr">
        <is>
          <t>npriya</t>
        </is>
      </c>
      <c r="F3631" s="25" t="n">
        <v>133014</v>
      </c>
      <c r="G3631" s="25" t="n">
        <v>3</v>
      </c>
      <c r="H3631" s="25" t="n">
        <v>19</v>
      </c>
      <c r="I3631" s="25" t="inlineStr">
        <is>
          <t>4 minute(s) and 10 second(s)</t>
        </is>
      </c>
      <c r="J3631" s="25">
        <f>IFERROR(VALUE(TRIM(LEFT(I3631,FIND("minute",I3631)-1)))*60,0)+IFERROR(VALUE(SUBSTITUTE(MID(I3631,IFERROR(FIND("and",I3631)+3,1),20),"second(s)","")),0)</f>
        <v/>
      </c>
      <c r="K3631" s="41">
        <f>J3631/60</f>
        <v/>
      </c>
      <c r="L3631" s="41">
        <f>IFERROR(J3631/H3631,"")</f>
        <v/>
      </c>
      <c r="M3631" s="25" t="inlineStr">
        <is>
          <t>2.5.12</t>
        </is>
      </c>
      <c r="N3631" s="25">
        <f>IF(J3631&gt;300,1,0)</f>
        <v/>
      </c>
      <c r="O3631" s="25">
        <f>IF(J3631&gt;600,1,0)</f>
        <v/>
      </c>
      <c r="P3631" s="25">
        <f>IF(H3631&gt;0,J3631,"")</f>
        <v/>
      </c>
      <c r="Q3631" s="25">
        <f>TEXT(A3631,"YYYY-MM-DD HH")</f>
        <v/>
      </c>
      <c r="R3631" s="25">
        <f>COUNTIF($Q$2:$Q$5295,Q3631)</f>
        <v/>
      </c>
      <c r="S3631" s="25">
        <f>IF(R3631&lt;=2,"1-2",IF(R3631&lt;=5,"3-5",IF(R3631&lt;=10,"6-10","11+")))</f>
        <v/>
      </c>
    </row>
    <row r="3632">
      <c r="A3632" s="39" t="n">
        <v>46212.33798611111</v>
      </c>
      <c r="B3632" s="25">
        <f>TEXT(A3632,"YYYY-MM")</f>
        <v/>
      </c>
      <c r="C3632" s="25">
        <f>TEXT(A3632,"MMM-YYYY")</f>
        <v/>
      </c>
      <c r="D3632" s="40">
        <f>INT(A3632)-WEEKDAY(A3632,2)+1</f>
        <v/>
      </c>
      <c r="E3632" s="25" t="inlineStr">
        <is>
          <t>kkumar</t>
        </is>
      </c>
      <c r="F3632" s="25" t="n">
        <v>128575</v>
      </c>
      <c r="G3632" s="25" t="n">
        <v>2</v>
      </c>
      <c r="H3632" s="25" t="n">
        <v>10</v>
      </c>
      <c r="I3632" s="25" t="inlineStr">
        <is>
          <t>1 minute(s) and 53 second(s)</t>
        </is>
      </c>
      <c r="J3632" s="25">
        <f>IFERROR(VALUE(TRIM(LEFT(I3632,FIND("minute",I3632)-1)))*60,0)+IFERROR(VALUE(SUBSTITUTE(MID(I3632,IFERROR(FIND("and",I3632)+3,1),20),"second(s)","")),0)</f>
        <v/>
      </c>
      <c r="K3632" s="41">
        <f>J3632/60</f>
        <v/>
      </c>
      <c r="L3632" s="41">
        <f>IFERROR(J3632/H3632,"")</f>
        <v/>
      </c>
      <c r="M3632" s="25" t="inlineStr">
        <is>
          <t>2.5.12</t>
        </is>
      </c>
      <c r="N3632" s="25">
        <f>IF(J3632&gt;300,1,0)</f>
        <v/>
      </c>
      <c r="O3632" s="25">
        <f>IF(J3632&gt;600,1,0)</f>
        <v/>
      </c>
      <c r="P3632" s="25">
        <f>IF(H3632&gt;0,J3632,"")</f>
        <v/>
      </c>
      <c r="Q3632" s="25">
        <f>TEXT(A3632,"YYYY-MM-DD HH")</f>
        <v/>
      </c>
      <c r="R3632" s="25">
        <f>COUNTIF($Q$2:$Q$5295,Q3632)</f>
        <v/>
      </c>
      <c r="S3632" s="25">
        <f>IF(R3632&lt;=2,"1-2",IF(R3632&lt;=5,"3-5",IF(R3632&lt;=10,"6-10","11+")))</f>
        <v/>
      </c>
    </row>
    <row r="3633">
      <c r="A3633" s="39" t="n">
        <v>46212.338125</v>
      </c>
      <c r="B3633" s="25">
        <f>TEXT(A3633,"YYYY-MM")</f>
        <v/>
      </c>
      <c r="C3633" s="25">
        <f>TEXT(A3633,"MMM-YYYY")</f>
        <v/>
      </c>
      <c r="D3633" s="40">
        <f>INT(A3633)-WEEKDAY(A3633,2)+1</f>
        <v/>
      </c>
      <c r="E3633" s="25" t="inlineStr">
        <is>
          <t>aghosh</t>
        </is>
      </c>
      <c r="F3633" s="25" t="n">
        <v>131430</v>
      </c>
      <c r="G3633" s="25" t="n">
        <v>2</v>
      </c>
      <c r="H3633" s="25" t="n">
        <v>14</v>
      </c>
      <c r="I3633" s="25" t="inlineStr">
        <is>
          <t>2 minute(s) and 27 second(s)</t>
        </is>
      </c>
      <c r="J3633" s="25">
        <f>IFERROR(VALUE(TRIM(LEFT(I3633,FIND("minute",I3633)-1)))*60,0)+IFERROR(VALUE(SUBSTITUTE(MID(I3633,IFERROR(FIND("and",I3633)+3,1),20),"second(s)","")),0)</f>
        <v/>
      </c>
      <c r="K3633" s="41">
        <f>J3633/60</f>
        <v/>
      </c>
      <c r="L3633" s="41">
        <f>IFERROR(J3633/H3633,"")</f>
        <v/>
      </c>
      <c r="M3633" s="25" t="inlineStr">
        <is>
          <t>2.5.12</t>
        </is>
      </c>
      <c r="N3633" s="25">
        <f>IF(J3633&gt;300,1,0)</f>
        <v/>
      </c>
      <c r="O3633" s="25">
        <f>IF(J3633&gt;600,1,0)</f>
        <v/>
      </c>
      <c r="P3633" s="25">
        <f>IF(H3633&gt;0,J3633,"")</f>
        <v/>
      </c>
      <c r="Q3633" s="25">
        <f>TEXT(A3633,"YYYY-MM-DD HH")</f>
        <v/>
      </c>
      <c r="R3633" s="25">
        <f>COUNTIF($Q$2:$Q$5295,Q3633)</f>
        <v/>
      </c>
      <c r="S3633" s="25">
        <f>IF(R3633&lt;=2,"1-2",IF(R3633&lt;=5,"3-5",IF(R3633&lt;=10,"6-10","11+")))</f>
        <v/>
      </c>
    </row>
    <row r="3634">
      <c r="A3634" s="39" t="n">
        <v>46212.34446759259</v>
      </c>
      <c r="B3634" s="25">
        <f>TEXT(A3634,"YYYY-MM")</f>
        <v/>
      </c>
      <c r="C3634" s="25">
        <f>TEXT(A3634,"MMM-YYYY")</f>
        <v/>
      </c>
      <c r="D3634" s="40">
        <f>INT(A3634)-WEEKDAY(A3634,2)+1</f>
        <v/>
      </c>
      <c r="E3634" s="25" t="inlineStr">
        <is>
          <t>shasikha</t>
        </is>
      </c>
      <c r="F3634" s="25" t="n">
        <v>128557</v>
      </c>
      <c r="G3634" s="25" t="n">
        <v>4</v>
      </c>
      <c r="H3634" s="25" t="n">
        <v>12</v>
      </c>
      <c r="I3634" s="25" t="inlineStr">
        <is>
          <t>1 minute(s) and 3 second(s)</t>
        </is>
      </c>
      <c r="J3634" s="25">
        <f>IFERROR(VALUE(TRIM(LEFT(I3634,FIND("minute",I3634)-1)))*60,0)+IFERROR(VALUE(SUBSTITUTE(MID(I3634,IFERROR(FIND("and",I3634)+3,1),20),"second(s)","")),0)</f>
        <v/>
      </c>
      <c r="K3634" s="41">
        <f>J3634/60</f>
        <v/>
      </c>
      <c r="L3634" s="41">
        <f>IFERROR(J3634/H3634,"")</f>
        <v/>
      </c>
      <c r="M3634" s="25" t="inlineStr">
        <is>
          <t>2.5.12</t>
        </is>
      </c>
      <c r="N3634" s="25">
        <f>IF(J3634&gt;300,1,0)</f>
        <v/>
      </c>
      <c r="O3634" s="25">
        <f>IF(J3634&gt;600,1,0)</f>
        <v/>
      </c>
      <c r="P3634" s="25">
        <f>IF(H3634&gt;0,J3634,"")</f>
        <v/>
      </c>
      <c r="Q3634" s="25">
        <f>TEXT(A3634,"YYYY-MM-DD HH")</f>
        <v/>
      </c>
      <c r="R3634" s="25">
        <f>COUNTIF($Q$2:$Q$5295,Q3634)</f>
        <v/>
      </c>
      <c r="S3634" s="25">
        <f>IF(R3634&lt;=2,"1-2",IF(R3634&lt;=5,"3-5",IF(R3634&lt;=10,"6-10","11+")))</f>
        <v/>
      </c>
    </row>
    <row r="3635">
      <c r="A3635" s="39" t="n">
        <v>46212.34921296296</v>
      </c>
      <c r="B3635" s="25">
        <f>TEXT(A3635,"YYYY-MM")</f>
        <v/>
      </c>
      <c r="C3635" s="25">
        <f>TEXT(A3635,"MMM-YYYY")</f>
        <v/>
      </c>
      <c r="D3635" s="40">
        <f>INT(A3635)-WEEKDAY(A3635,2)+1</f>
        <v/>
      </c>
      <c r="E3635" s="25" t="inlineStr">
        <is>
          <t>adey</t>
        </is>
      </c>
      <c r="F3635" s="25" t="n">
        <v>131961</v>
      </c>
      <c r="G3635" s="25" t="n">
        <v>2</v>
      </c>
      <c r="H3635" s="25" t="n">
        <v>14</v>
      </c>
      <c r="I3635" s="25" t="inlineStr">
        <is>
          <t>5 minute(s) and 34 second(s)</t>
        </is>
      </c>
      <c r="J3635" s="25">
        <f>IFERROR(VALUE(TRIM(LEFT(I3635,FIND("minute",I3635)-1)))*60,0)+IFERROR(VALUE(SUBSTITUTE(MID(I3635,IFERROR(FIND("and",I3635)+3,1),20),"second(s)","")),0)</f>
        <v/>
      </c>
      <c r="K3635" s="41">
        <f>J3635/60</f>
        <v/>
      </c>
      <c r="L3635" s="41">
        <f>IFERROR(J3635/H3635,"")</f>
        <v/>
      </c>
      <c r="M3635" s="25" t="inlineStr">
        <is>
          <t>2.5.12</t>
        </is>
      </c>
      <c r="N3635" s="25">
        <f>IF(J3635&gt;300,1,0)</f>
        <v/>
      </c>
      <c r="O3635" s="25">
        <f>IF(J3635&gt;600,1,0)</f>
        <v/>
      </c>
      <c r="P3635" s="25">
        <f>IF(H3635&gt;0,J3635,"")</f>
        <v/>
      </c>
      <c r="Q3635" s="25">
        <f>TEXT(A3635,"YYYY-MM-DD HH")</f>
        <v/>
      </c>
      <c r="R3635" s="25">
        <f>COUNTIF($Q$2:$Q$5295,Q3635)</f>
        <v/>
      </c>
      <c r="S3635" s="25">
        <f>IF(R3635&lt;=2,"1-2",IF(R3635&lt;=5,"3-5",IF(R3635&lt;=10,"6-10","11+")))</f>
        <v/>
      </c>
    </row>
    <row r="3636">
      <c r="A3636" s="39" t="n">
        <v>46212.35616898148</v>
      </c>
      <c r="B3636" s="25">
        <f>TEXT(A3636,"YYYY-MM")</f>
        <v/>
      </c>
      <c r="C3636" s="25">
        <f>TEXT(A3636,"MMM-YYYY")</f>
        <v/>
      </c>
      <c r="D3636" s="40">
        <f>INT(A3636)-WEEKDAY(A3636,2)+1</f>
        <v/>
      </c>
      <c r="E3636" s="25" t="inlineStr">
        <is>
          <t>psathwika</t>
        </is>
      </c>
      <c r="F3636" s="25" t="n">
        <v>132051</v>
      </c>
      <c r="G3636" s="25" t="n">
        <v>1</v>
      </c>
      <c r="H3636" s="25" t="n">
        <v>7</v>
      </c>
      <c r="I3636" s="25" t="inlineStr">
        <is>
          <t>30 second(s)</t>
        </is>
      </c>
      <c r="J3636" s="25">
        <f>IFERROR(VALUE(TRIM(LEFT(I3636,FIND("minute",I3636)-1)))*60,0)+IFERROR(VALUE(SUBSTITUTE(MID(I3636,IFERROR(FIND("and",I3636)+3,1),20),"second(s)","")),0)</f>
        <v/>
      </c>
      <c r="K3636" s="41">
        <f>J3636/60</f>
        <v/>
      </c>
      <c r="L3636" s="41">
        <f>IFERROR(J3636/H3636,"")</f>
        <v/>
      </c>
      <c r="M3636" s="25" t="inlineStr">
        <is>
          <t>2.5.12</t>
        </is>
      </c>
      <c r="N3636" s="25">
        <f>IF(J3636&gt;300,1,0)</f>
        <v/>
      </c>
      <c r="O3636" s="25">
        <f>IF(J3636&gt;600,1,0)</f>
        <v/>
      </c>
      <c r="P3636" s="25">
        <f>IF(H3636&gt;0,J3636,"")</f>
        <v/>
      </c>
      <c r="Q3636" s="25">
        <f>TEXT(A3636,"YYYY-MM-DD HH")</f>
        <v/>
      </c>
      <c r="R3636" s="25">
        <f>COUNTIF($Q$2:$Q$5295,Q3636)</f>
        <v/>
      </c>
      <c r="S3636" s="25">
        <f>IF(R3636&lt;=2,"1-2",IF(R3636&lt;=5,"3-5",IF(R3636&lt;=10,"6-10","11+")))</f>
        <v/>
      </c>
    </row>
    <row r="3637">
      <c r="A3637" s="39" t="n">
        <v>46212.36494212963</v>
      </c>
      <c r="B3637" s="25">
        <f>TEXT(A3637,"YYYY-MM")</f>
        <v/>
      </c>
      <c r="C3637" s="25">
        <f>TEXT(A3637,"MMM-YYYY")</f>
        <v/>
      </c>
      <c r="D3637" s="40">
        <f>INT(A3637)-WEEKDAY(A3637,2)+1</f>
        <v/>
      </c>
      <c r="E3637" s="25" t="inlineStr">
        <is>
          <t>apriyadarshi</t>
        </is>
      </c>
      <c r="F3637" s="25" t="n">
        <v>130185</v>
      </c>
      <c r="G3637" s="25" t="n">
        <v>1</v>
      </c>
      <c r="H3637" s="25" t="n">
        <v>7</v>
      </c>
      <c r="I3637" s="25" t="inlineStr">
        <is>
          <t>30 second(s)</t>
        </is>
      </c>
      <c r="J3637" s="25">
        <f>IFERROR(VALUE(TRIM(LEFT(I3637,FIND("minute",I3637)-1)))*60,0)+IFERROR(VALUE(SUBSTITUTE(MID(I3637,IFERROR(FIND("and",I3637)+3,1),20),"second(s)","")),0)</f>
        <v/>
      </c>
      <c r="K3637" s="41">
        <f>J3637/60</f>
        <v/>
      </c>
      <c r="L3637" s="41">
        <f>IFERROR(J3637/H3637,"")</f>
        <v/>
      </c>
      <c r="M3637" s="25" t="inlineStr">
        <is>
          <t>2.5.12</t>
        </is>
      </c>
      <c r="N3637" s="25">
        <f>IF(J3637&gt;300,1,0)</f>
        <v/>
      </c>
      <c r="O3637" s="25">
        <f>IF(J3637&gt;600,1,0)</f>
        <v/>
      </c>
      <c r="P3637" s="25">
        <f>IF(H3637&gt;0,J3637,"")</f>
        <v/>
      </c>
      <c r="Q3637" s="25">
        <f>TEXT(A3637,"YYYY-MM-DD HH")</f>
        <v/>
      </c>
      <c r="R3637" s="25">
        <f>COUNTIF($Q$2:$Q$5295,Q3637)</f>
        <v/>
      </c>
      <c r="S3637" s="25">
        <f>IF(R3637&lt;=2,"1-2",IF(R3637&lt;=5,"3-5",IF(R3637&lt;=10,"6-10","11+")))</f>
        <v/>
      </c>
    </row>
    <row r="3638">
      <c r="A3638" s="39" t="n">
        <v>46212.40565972222</v>
      </c>
      <c r="B3638" s="25">
        <f>TEXT(A3638,"YYYY-MM")</f>
        <v/>
      </c>
      <c r="C3638" s="25">
        <f>TEXT(A3638,"MMM-YYYY")</f>
        <v/>
      </c>
      <c r="D3638" s="40">
        <f>INT(A3638)-WEEKDAY(A3638,2)+1</f>
        <v/>
      </c>
      <c r="E3638" s="25" t="inlineStr">
        <is>
          <t>npriya</t>
        </is>
      </c>
      <c r="F3638" s="25" t="n">
        <v>132684</v>
      </c>
      <c r="G3638" s="25" t="n">
        <v>1</v>
      </c>
      <c r="H3638" s="25" t="n">
        <v>3</v>
      </c>
      <c r="I3638" s="25" t="inlineStr">
        <is>
          <t>18 second(s)</t>
        </is>
      </c>
      <c r="J3638" s="25">
        <f>IFERROR(VALUE(TRIM(LEFT(I3638,FIND("minute",I3638)-1)))*60,0)+IFERROR(VALUE(SUBSTITUTE(MID(I3638,IFERROR(FIND("and",I3638)+3,1),20),"second(s)","")),0)</f>
        <v/>
      </c>
      <c r="K3638" s="41">
        <f>J3638/60</f>
        <v/>
      </c>
      <c r="L3638" s="41">
        <f>IFERROR(J3638/H3638,"")</f>
        <v/>
      </c>
      <c r="M3638" s="25" t="inlineStr">
        <is>
          <t>2.5.12</t>
        </is>
      </c>
      <c r="N3638" s="25">
        <f>IF(J3638&gt;300,1,0)</f>
        <v/>
      </c>
      <c r="O3638" s="25">
        <f>IF(J3638&gt;600,1,0)</f>
        <v/>
      </c>
      <c r="P3638" s="25">
        <f>IF(H3638&gt;0,J3638,"")</f>
        <v/>
      </c>
      <c r="Q3638" s="25">
        <f>TEXT(A3638,"YYYY-MM-DD HH")</f>
        <v/>
      </c>
      <c r="R3638" s="25">
        <f>COUNTIF($Q$2:$Q$5295,Q3638)</f>
        <v/>
      </c>
      <c r="S3638" s="25">
        <f>IF(R3638&lt;=2,"1-2",IF(R3638&lt;=5,"3-5",IF(R3638&lt;=10,"6-10","11+")))</f>
        <v/>
      </c>
    </row>
    <row r="3639">
      <c r="A3639" s="39" t="n">
        <v>46212.41018518519</v>
      </c>
      <c r="B3639" s="25">
        <f>TEXT(A3639,"YYYY-MM")</f>
        <v/>
      </c>
      <c r="C3639" s="25">
        <f>TEXT(A3639,"MMM-YYYY")</f>
        <v/>
      </c>
      <c r="D3639" s="40">
        <f>INT(A3639)-WEEKDAY(A3639,2)+1</f>
        <v/>
      </c>
      <c r="E3639" s="25" t="inlineStr">
        <is>
          <t>psathwika</t>
        </is>
      </c>
      <c r="F3639" s="25" t="n">
        <v>131939</v>
      </c>
      <c r="G3639" s="25" t="n">
        <v>1</v>
      </c>
      <c r="H3639" s="25" t="n">
        <v>7</v>
      </c>
      <c r="I3639" s="25" t="inlineStr">
        <is>
          <t>36 second(s)</t>
        </is>
      </c>
      <c r="J3639" s="25">
        <f>IFERROR(VALUE(TRIM(LEFT(I3639,FIND("minute",I3639)-1)))*60,0)+IFERROR(VALUE(SUBSTITUTE(MID(I3639,IFERROR(FIND("and",I3639)+3,1),20),"second(s)","")),0)</f>
        <v/>
      </c>
      <c r="K3639" s="41">
        <f>J3639/60</f>
        <v/>
      </c>
      <c r="L3639" s="41">
        <f>IFERROR(J3639/H3639,"")</f>
        <v/>
      </c>
      <c r="M3639" s="25" t="inlineStr">
        <is>
          <t>2.5.12</t>
        </is>
      </c>
      <c r="N3639" s="25">
        <f>IF(J3639&gt;300,1,0)</f>
        <v/>
      </c>
      <c r="O3639" s="25">
        <f>IF(J3639&gt;600,1,0)</f>
        <v/>
      </c>
      <c r="P3639" s="25">
        <f>IF(H3639&gt;0,J3639,"")</f>
        <v/>
      </c>
      <c r="Q3639" s="25">
        <f>TEXT(A3639,"YYYY-MM-DD HH")</f>
        <v/>
      </c>
      <c r="R3639" s="25">
        <f>COUNTIF($Q$2:$Q$5295,Q3639)</f>
        <v/>
      </c>
      <c r="S3639" s="25">
        <f>IF(R3639&lt;=2,"1-2",IF(R3639&lt;=5,"3-5",IF(R3639&lt;=10,"6-10","11+")))</f>
        <v/>
      </c>
    </row>
    <row r="3640">
      <c r="A3640" s="39" t="n">
        <v>46212.41108796297</v>
      </c>
      <c r="B3640" s="25">
        <f>TEXT(A3640,"YYYY-MM")</f>
        <v/>
      </c>
      <c r="C3640" s="25">
        <f>TEXT(A3640,"MMM-YYYY")</f>
        <v/>
      </c>
      <c r="D3640" s="40">
        <f>INT(A3640)-WEEKDAY(A3640,2)+1</f>
        <v/>
      </c>
      <c r="E3640" s="25" t="inlineStr">
        <is>
          <t>aghosh</t>
        </is>
      </c>
      <c r="F3640" s="25" t="n">
        <v>131703</v>
      </c>
      <c r="G3640" s="25" t="n">
        <v>4</v>
      </c>
      <c r="H3640" s="25" t="n">
        <v>10</v>
      </c>
      <c r="I3640" s="25" t="inlineStr">
        <is>
          <t>1 minute(s) and 5 second(s)</t>
        </is>
      </c>
      <c r="J3640" s="25">
        <f>IFERROR(VALUE(TRIM(LEFT(I3640,FIND("minute",I3640)-1)))*60,0)+IFERROR(VALUE(SUBSTITUTE(MID(I3640,IFERROR(FIND("and",I3640)+3,1),20),"second(s)","")),0)</f>
        <v/>
      </c>
      <c r="K3640" s="41">
        <f>J3640/60</f>
        <v/>
      </c>
      <c r="L3640" s="41">
        <f>IFERROR(J3640/H3640,"")</f>
        <v/>
      </c>
      <c r="M3640" s="25" t="inlineStr">
        <is>
          <t>2.5.12</t>
        </is>
      </c>
      <c r="N3640" s="25">
        <f>IF(J3640&gt;300,1,0)</f>
        <v/>
      </c>
      <c r="O3640" s="25">
        <f>IF(J3640&gt;600,1,0)</f>
        <v/>
      </c>
      <c r="P3640" s="25">
        <f>IF(H3640&gt;0,J3640,"")</f>
        <v/>
      </c>
      <c r="Q3640" s="25">
        <f>TEXT(A3640,"YYYY-MM-DD HH")</f>
        <v/>
      </c>
      <c r="R3640" s="25">
        <f>COUNTIF($Q$2:$Q$5295,Q3640)</f>
        <v/>
      </c>
      <c r="S3640" s="25">
        <f>IF(R3640&lt;=2,"1-2",IF(R3640&lt;=5,"3-5",IF(R3640&lt;=10,"6-10","11+")))</f>
        <v/>
      </c>
    </row>
    <row r="3641">
      <c r="A3641" s="39" t="n">
        <v>46212.42447916666</v>
      </c>
      <c r="B3641" s="25">
        <f>TEXT(A3641,"YYYY-MM")</f>
        <v/>
      </c>
      <c r="C3641" s="25">
        <f>TEXT(A3641,"MMM-YYYY")</f>
        <v/>
      </c>
      <c r="D3641" s="40">
        <f>INT(A3641)-WEEKDAY(A3641,2)+1</f>
        <v/>
      </c>
      <c r="E3641" s="25" t="inlineStr">
        <is>
          <t>asaxena</t>
        </is>
      </c>
      <c r="F3641" s="25" t="n">
        <v>89974</v>
      </c>
      <c r="G3641" s="25" t="n">
        <v>5</v>
      </c>
      <c r="H3641" s="25" t="n">
        <v>25</v>
      </c>
      <c r="I3641" s="25" t="inlineStr">
        <is>
          <t>3 minute(s) and 22 second(s)</t>
        </is>
      </c>
      <c r="J3641" s="25">
        <f>IFERROR(VALUE(TRIM(LEFT(I3641,FIND("minute",I3641)-1)))*60,0)+IFERROR(VALUE(SUBSTITUTE(MID(I3641,IFERROR(FIND("and",I3641)+3,1),20),"second(s)","")),0)</f>
        <v/>
      </c>
      <c r="K3641" s="41">
        <f>J3641/60</f>
        <v/>
      </c>
      <c r="L3641" s="41">
        <f>IFERROR(J3641/H3641,"")</f>
        <v/>
      </c>
      <c r="M3641" s="25" t="inlineStr">
        <is>
          <t>2.5.12</t>
        </is>
      </c>
      <c r="N3641" s="25">
        <f>IF(J3641&gt;300,1,0)</f>
        <v/>
      </c>
      <c r="O3641" s="25">
        <f>IF(J3641&gt;600,1,0)</f>
        <v/>
      </c>
      <c r="P3641" s="25">
        <f>IF(H3641&gt;0,J3641,"")</f>
        <v/>
      </c>
      <c r="Q3641" s="25">
        <f>TEXT(A3641,"YYYY-MM-DD HH")</f>
        <v/>
      </c>
      <c r="R3641" s="25">
        <f>COUNTIF($Q$2:$Q$5295,Q3641)</f>
        <v/>
      </c>
      <c r="S3641" s="25">
        <f>IF(R3641&lt;=2,"1-2",IF(R3641&lt;=5,"3-5",IF(R3641&lt;=10,"6-10","11+")))</f>
        <v/>
      </c>
    </row>
    <row r="3642">
      <c r="A3642" s="39" t="n">
        <v>46212.43283564815</v>
      </c>
      <c r="B3642" s="25">
        <f>TEXT(A3642,"YYYY-MM")</f>
        <v/>
      </c>
      <c r="C3642" s="25">
        <f>TEXT(A3642,"MMM-YYYY")</f>
        <v/>
      </c>
      <c r="D3642" s="40">
        <f>INT(A3642)-WEEKDAY(A3642,2)+1</f>
        <v/>
      </c>
      <c r="E3642" s="25" t="inlineStr">
        <is>
          <t>dbhattacharyya</t>
        </is>
      </c>
      <c r="F3642" s="25" t="n">
        <v>131804</v>
      </c>
      <c r="G3642" s="25" t="n">
        <v>1</v>
      </c>
      <c r="H3642" s="25" t="n">
        <v>8</v>
      </c>
      <c r="I3642" s="25" t="inlineStr">
        <is>
          <t>32 second(s)</t>
        </is>
      </c>
      <c r="J3642" s="25">
        <f>IFERROR(VALUE(TRIM(LEFT(I3642,FIND("minute",I3642)-1)))*60,0)+IFERROR(VALUE(SUBSTITUTE(MID(I3642,IFERROR(FIND("and",I3642)+3,1),20),"second(s)","")),0)</f>
        <v/>
      </c>
      <c r="K3642" s="41">
        <f>J3642/60</f>
        <v/>
      </c>
      <c r="L3642" s="41">
        <f>IFERROR(J3642/H3642,"")</f>
        <v/>
      </c>
      <c r="M3642" s="25" t="inlineStr">
        <is>
          <t>2.5.12</t>
        </is>
      </c>
      <c r="N3642" s="25">
        <f>IF(J3642&gt;300,1,0)</f>
        <v/>
      </c>
      <c r="O3642" s="25">
        <f>IF(J3642&gt;600,1,0)</f>
        <v/>
      </c>
      <c r="P3642" s="25">
        <f>IF(H3642&gt;0,J3642,"")</f>
        <v/>
      </c>
      <c r="Q3642" s="25">
        <f>TEXT(A3642,"YYYY-MM-DD HH")</f>
        <v/>
      </c>
      <c r="R3642" s="25">
        <f>COUNTIF($Q$2:$Q$5295,Q3642)</f>
        <v/>
      </c>
      <c r="S3642" s="25">
        <f>IF(R3642&lt;=2,"1-2",IF(R3642&lt;=5,"3-5",IF(R3642&lt;=10,"6-10","11+")))</f>
        <v/>
      </c>
    </row>
    <row r="3643">
      <c r="A3643" s="39" t="n">
        <v>46212.44091435185</v>
      </c>
      <c r="B3643" s="25">
        <f>TEXT(A3643,"YYYY-MM")</f>
        <v/>
      </c>
      <c r="C3643" s="25">
        <f>TEXT(A3643,"MMM-YYYY")</f>
        <v/>
      </c>
      <c r="D3643" s="40">
        <f>INT(A3643)-WEEKDAY(A3643,2)+1</f>
        <v/>
      </c>
      <c r="E3643" s="25" t="inlineStr">
        <is>
          <t>adey</t>
        </is>
      </c>
      <c r="F3643" s="25" t="n">
        <v>129562</v>
      </c>
      <c r="G3643" s="25" t="n">
        <v>1</v>
      </c>
      <c r="H3643" s="25" t="n">
        <v>5</v>
      </c>
      <c r="I3643" s="25" t="inlineStr">
        <is>
          <t>30 second(s)</t>
        </is>
      </c>
      <c r="J3643" s="25">
        <f>IFERROR(VALUE(TRIM(LEFT(I3643,FIND("minute",I3643)-1)))*60,0)+IFERROR(VALUE(SUBSTITUTE(MID(I3643,IFERROR(FIND("and",I3643)+3,1),20),"second(s)","")),0)</f>
        <v/>
      </c>
      <c r="K3643" s="41">
        <f>J3643/60</f>
        <v/>
      </c>
      <c r="L3643" s="41">
        <f>IFERROR(J3643/H3643,"")</f>
        <v/>
      </c>
      <c r="M3643" s="25" t="inlineStr">
        <is>
          <t>2.5.12</t>
        </is>
      </c>
      <c r="N3643" s="25">
        <f>IF(J3643&gt;300,1,0)</f>
        <v/>
      </c>
      <c r="O3643" s="25">
        <f>IF(J3643&gt;600,1,0)</f>
        <v/>
      </c>
      <c r="P3643" s="25">
        <f>IF(H3643&gt;0,J3643,"")</f>
        <v/>
      </c>
      <c r="Q3643" s="25">
        <f>TEXT(A3643,"YYYY-MM-DD HH")</f>
        <v/>
      </c>
      <c r="R3643" s="25">
        <f>COUNTIF($Q$2:$Q$5295,Q3643)</f>
        <v/>
      </c>
      <c r="S3643" s="25">
        <f>IF(R3643&lt;=2,"1-2",IF(R3643&lt;=5,"3-5",IF(R3643&lt;=10,"6-10","11+")))</f>
        <v/>
      </c>
    </row>
    <row r="3644">
      <c r="A3644" s="39" t="n">
        <v>46212.44582175926</v>
      </c>
      <c r="B3644" s="25">
        <f>TEXT(A3644,"YYYY-MM")</f>
        <v/>
      </c>
      <c r="C3644" s="25">
        <f>TEXT(A3644,"MMM-YYYY")</f>
        <v/>
      </c>
      <c r="D3644" s="40">
        <f>INT(A3644)-WEEKDAY(A3644,2)+1</f>
        <v/>
      </c>
      <c r="E3644" s="25" t="inlineStr">
        <is>
          <t>apriyadarshi</t>
        </is>
      </c>
      <c r="F3644" s="25" t="n">
        <v>130289</v>
      </c>
      <c r="G3644" s="25" t="n">
        <v>4</v>
      </c>
      <c r="H3644" s="25" t="n">
        <v>22</v>
      </c>
      <c r="I3644" s="25" t="inlineStr">
        <is>
          <t>1 minute(s) and 42 second(s)</t>
        </is>
      </c>
      <c r="J3644" s="25">
        <f>IFERROR(VALUE(TRIM(LEFT(I3644,FIND("minute",I3644)-1)))*60,0)+IFERROR(VALUE(SUBSTITUTE(MID(I3644,IFERROR(FIND("and",I3644)+3,1),20),"second(s)","")),0)</f>
        <v/>
      </c>
      <c r="K3644" s="41">
        <f>J3644/60</f>
        <v/>
      </c>
      <c r="L3644" s="41">
        <f>IFERROR(J3644/H3644,"")</f>
        <v/>
      </c>
      <c r="M3644" s="25" t="inlineStr">
        <is>
          <t>2.5.12</t>
        </is>
      </c>
      <c r="N3644" s="25">
        <f>IF(J3644&gt;300,1,0)</f>
        <v/>
      </c>
      <c r="O3644" s="25">
        <f>IF(J3644&gt;600,1,0)</f>
        <v/>
      </c>
      <c r="P3644" s="25">
        <f>IF(H3644&gt;0,J3644,"")</f>
        <v/>
      </c>
      <c r="Q3644" s="25">
        <f>TEXT(A3644,"YYYY-MM-DD HH")</f>
        <v/>
      </c>
      <c r="R3644" s="25">
        <f>COUNTIF($Q$2:$Q$5295,Q3644)</f>
        <v/>
      </c>
      <c r="S3644" s="25">
        <f>IF(R3644&lt;=2,"1-2",IF(R3644&lt;=5,"3-5",IF(R3644&lt;=10,"6-10","11+")))</f>
        <v/>
      </c>
    </row>
    <row r="3645">
      <c r="A3645" s="39" t="n">
        <v>46212.45</v>
      </c>
      <c r="B3645" s="25">
        <f>TEXT(A3645,"YYYY-MM")</f>
        <v/>
      </c>
      <c r="C3645" s="25">
        <f>TEXT(A3645,"MMM-YYYY")</f>
        <v/>
      </c>
      <c r="D3645" s="40">
        <f>INT(A3645)-WEEKDAY(A3645,2)+1</f>
        <v/>
      </c>
      <c r="E3645" s="25" t="inlineStr">
        <is>
          <t>npriya</t>
        </is>
      </c>
      <c r="F3645" s="25" t="n">
        <v>132017</v>
      </c>
      <c r="G3645" s="25" t="n">
        <v>3</v>
      </c>
      <c r="H3645" s="25" t="n">
        <v>9</v>
      </c>
      <c r="I3645" s="25" t="inlineStr">
        <is>
          <t>54 second(s)</t>
        </is>
      </c>
      <c r="J3645" s="25">
        <f>IFERROR(VALUE(TRIM(LEFT(I3645,FIND("minute",I3645)-1)))*60,0)+IFERROR(VALUE(SUBSTITUTE(MID(I3645,IFERROR(FIND("and",I3645)+3,1),20),"second(s)","")),0)</f>
        <v/>
      </c>
      <c r="K3645" s="41">
        <f>J3645/60</f>
        <v/>
      </c>
      <c r="L3645" s="41">
        <f>IFERROR(J3645/H3645,"")</f>
        <v/>
      </c>
      <c r="M3645" s="25" t="inlineStr">
        <is>
          <t>2.5.12</t>
        </is>
      </c>
      <c r="N3645" s="25">
        <f>IF(J3645&gt;300,1,0)</f>
        <v/>
      </c>
      <c r="O3645" s="25">
        <f>IF(J3645&gt;600,1,0)</f>
        <v/>
      </c>
      <c r="P3645" s="25">
        <f>IF(H3645&gt;0,J3645,"")</f>
        <v/>
      </c>
      <c r="Q3645" s="25">
        <f>TEXT(A3645,"YYYY-MM-DD HH")</f>
        <v/>
      </c>
      <c r="R3645" s="25">
        <f>COUNTIF($Q$2:$Q$5295,Q3645)</f>
        <v/>
      </c>
      <c r="S3645" s="25">
        <f>IF(R3645&lt;=2,"1-2",IF(R3645&lt;=5,"3-5",IF(R3645&lt;=10,"6-10","11+")))</f>
        <v/>
      </c>
    </row>
    <row r="3646">
      <c r="A3646" s="39" t="n">
        <v>46212.46408564815</v>
      </c>
      <c r="B3646" s="25">
        <f>TEXT(A3646,"YYYY-MM")</f>
        <v/>
      </c>
      <c r="C3646" s="25">
        <f>TEXT(A3646,"MMM-YYYY")</f>
        <v/>
      </c>
      <c r="D3646" s="40">
        <f>INT(A3646)-WEEKDAY(A3646,2)+1</f>
        <v/>
      </c>
      <c r="E3646" s="25" t="inlineStr">
        <is>
          <t>ns</t>
        </is>
      </c>
      <c r="F3646" s="25" t="n">
        <v>122877</v>
      </c>
      <c r="G3646" s="25" t="n">
        <v>3</v>
      </c>
      <c r="H3646" s="25" t="n">
        <v>19</v>
      </c>
      <c r="I3646" s="25" t="inlineStr">
        <is>
          <t>2 minute(s) and 51 second(s)</t>
        </is>
      </c>
      <c r="J3646" s="25">
        <f>IFERROR(VALUE(TRIM(LEFT(I3646,FIND("minute",I3646)-1)))*60,0)+IFERROR(VALUE(SUBSTITUTE(MID(I3646,IFERROR(FIND("and",I3646)+3,1),20),"second(s)","")),0)</f>
        <v/>
      </c>
      <c r="K3646" s="41">
        <f>J3646/60</f>
        <v/>
      </c>
      <c r="L3646" s="41">
        <f>IFERROR(J3646/H3646,"")</f>
        <v/>
      </c>
      <c r="M3646" s="25" t="inlineStr">
        <is>
          <t>2.5.12</t>
        </is>
      </c>
      <c r="N3646" s="25">
        <f>IF(J3646&gt;300,1,0)</f>
        <v/>
      </c>
      <c r="O3646" s="25">
        <f>IF(J3646&gt;600,1,0)</f>
        <v/>
      </c>
      <c r="P3646" s="25">
        <f>IF(H3646&gt;0,J3646,"")</f>
        <v/>
      </c>
      <c r="Q3646" s="25">
        <f>TEXT(A3646,"YYYY-MM-DD HH")</f>
        <v/>
      </c>
      <c r="R3646" s="25">
        <f>COUNTIF($Q$2:$Q$5295,Q3646)</f>
        <v/>
      </c>
      <c r="S3646" s="25">
        <f>IF(R3646&lt;=2,"1-2",IF(R3646&lt;=5,"3-5",IF(R3646&lt;=10,"6-10","11+")))</f>
        <v/>
      </c>
    </row>
    <row r="3647">
      <c r="A3647" s="39" t="n">
        <v>46212.48532407408</v>
      </c>
      <c r="B3647" s="25">
        <f>TEXT(A3647,"YYYY-MM")</f>
        <v/>
      </c>
      <c r="C3647" s="25">
        <f>TEXT(A3647,"MMM-YYYY")</f>
        <v/>
      </c>
      <c r="D3647" s="40">
        <f>INT(A3647)-WEEKDAY(A3647,2)+1</f>
        <v/>
      </c>
      <c r="E3647" s="25" t="inlineStr">
        <is>
          <t>sswati</t>
        </is>
      </c>
      <c r="F3647" s="25" t="n">
        <v>129676</v>
      </c>
      <c r="G3647" s="25" t="n">
        <v>2</v>
      </c>
      <c r="H3647" s="25" t="n">
        <v>12</v>
      </c>
      <c r="I3647" s="25" t="inlineStr">
        <is>
          <t>4 minute(s) and 13 second(s)</t>
        </is>
      </c>
      <c r="J3647" s="25">
        <f>IFERROR(VALUE(TRIM(LEFT(I3647,FIND("minute",I3647)-1)))*60,0)+IFERROR(VALUE(SUBSTITUTE(MID(I3647,IFERROR(FIND("and",I3647)+3,1),20),"second(s)","")),0)</f>
        <v/>
      </c>
      <c r="K3647" s="41">
        <f>J3647/60</f>
        <v/>
      </c>
      <c r="L3647" s="41">
        <f>IFERROR(J3647/H3647,"")</f>
        <v/>
      </c>
      <c r="M3647" s="25" t="inlineStr">
        <is>
          <t>2.5.12</t>
        </is>
      </c>
      <c r="N3647" s="25">
        <f>IF(J3647&gt;300,1,0)</f>
        <v/>
      </c>
      <c r="O3647" s="25">
        <f>IF(J3647&gt;600,1,0)</f>
        <v/>
      </c>
      <c r="P3647" s="25">
        <f>IF(H3647&gt;0,J3647,"")</f>
        <v/>
      </c>
      <c r="Q3647" s="25">
        <f>TEXT(A3647,"YYYY-MM-DD HH")</f>
        <v/>
      </c>
      <c r="R3647" s="25">
        <f>COUNTIF($Q$2:$Q$5295,Q3647)</f>
        <v/>
      </c>
      <c r="S3647" s="25">
        <f>IF(R3647&lt;=2,"1-2",IF(R3647&lt;=5,"3-5",IF(R3647&lt;=10,"6-10","11+")))</f>
        <v/>
      </c>
    </row>
    <row r="3648">
      <c r="A3648" s="39" t="n">
        <v>46212.48861111111</v>
      </c>
      <c r="B3648" s="25">
        <f>TEXT(A3648,"YYYY-MM")</f>
        <v/>
      </c>
      <c r="C3648" s="25">
        <f>TEXT(A3648,"MMM-YYYY")</f>
        <v/>
      </c>
      <c r="D3648" s="40">
        <f>INT(A3648)-WEEKDAY(A3648,2)+1</f>
        <v/>
      </c>
      <c r="E3648" s="25" t="inlineStr">
        <is>
          <t>aghosh</t>
        </is>
      </c>
      <c r="F3648" s="25" t="n">
        <v>132924</v>
      </c>
      <c r="G3648" s="25" t="n">
        <v>4</v>
      </c>
      <c r="H3648" s="25" t="n">
        <v>28</v>
      </c>
      <c r="I3648" s="25" t="inlineStr">
        <is>
          <t>2 minute(s) and 50 second(s)</t>
        </is>
      </c>
      <c r="J3648" s="25">
        <f>IFERROR(VALUE(TRIM(LEFT(I3648,FIND("minute",I3648)-1)))*60,0)+IFERROR(VALUE(SUBSTITUTE(MID(I3648,IFERROR(FIND("and",I3648)+3,1),20),"second(s)","")),0)</f>
        <v/>
      </c>
      <c r="K3648" s="41">
        <f>J3648/60</f>
        <v/>
      </c>
      <c r="L3648" s="41">
        <f>IFERROR(J3648/H3648,"")</f>
        <v/>
      </c>
      <c r="M3648" s="25" t="inlineStr">
        <is>
          <t>2.5.12</t>
        </is>
      </c>
      <c r="N3648" s="25">
        <f>IF(J3648&gt;300,1,0)</f>
        <v/>
      </c>
      <c r="O3648" s="25">
        <f>IF(J3648&gt;600,1,0)</f>
        <v/>
      </c>
      <c r="P3648" s="25">
        <f>IF(H3648&gt;0,J3648,"")</f>
        <v/>
      </c>
      <c r="Q3648" s="25">
        <f>TEXT(A3648,"YYYY-MM-DD HH")</f>
        <v/>
      </c>
      <c r="R3648" s="25">
        <f>COUNTIF($Q$2:$Q$5295,Q3648)</f>
        <v/>
      </c>
      <c r="S3648" s="25">
        <f>IF(R3648&lt;=2,"1-2",IF(R3648&lt;=5,"3-5",IF(R3648&lt;=10,"6-10","11+")))</f>
        <v/>
      </c>
    </row>
    <row r="3649">
      <c r="A3649" s="39" t="n">
        <v>46212.495</v>
      </c>
      <c r="B3649" s="25">
        <f>TEXT(A3649,"YYYY-MM")</f>
        <v/>
      </c>
      <c r="C3649" s="25">
        <f>TEXT(A3649,"MMM-YYYY")</f>
        <v/>
      </c>
      <c r="D3649" s="40">
        <f>INT(A3649)-WEEKDAY(A3649,2)+1</f>
        <v/>
      </c>
      <c r="E3649" s="25" t="inlineStr">
        <is>
          <t>adey</t>
        </is>
      </c>
      <c r="F3649" s="25" t="n">
        <v>132455</v>
      </c>
      <c r="G3649" s="25" t="n">
        <v>2</v>
      </c>
      <c r="H3649" s="25" t="n">
        <v>10</v>
      </c>
      <c r="I3649" s="25" t="inlineStr">
        <is>
          <t>50 second(s)</t>
        </is>
      </c>
      <c r="J3649" s="25">
        <f>IFERROR(VALUE(TRIM(LEFT(I3649,FIND("minute",I3649)-1)))*60,0)+IFERROR(VALUE(SUBSTITUTE(MID(I3649,IFERROR(FIND("and",I3649)+3,1),20),"second(s)","")),0)</f>
        <v/>
      </c>
      <c r="K3649" s="41">
        <f>J3649/60</f>
        <v/>
      </c>
      <c r="L3649" s="41">
        <f>IFERROR(J3649/H3649,"")</f>
        <v/>
      </c>
      <c r="M3649" s="25" t="inlineStr">
        <is>
          <t>2.5.12</t>
        </is>
      </c>
      <c r="N3649" s="25">
        <f>IF(J3649&gt;300,1,0)</f>
        <v/>
      </c>
      <c r="O3649" s="25">
        <f>IF(J3649&gt;600,1,0)</f>
        <v/>
      </c>
      <c r="P3649" s="25">
        <f>IF(H3649&gt;0,J3649,"")</f>
        <v/>
      </c>
      <c r="Q3649" s="25">
        <f>TEXT(A3649,"YYYY-MM-DD HH")</f>
        <v/>
      </c>
      <c r="R3649" s="25">
        <f>COUNTIF($Q$2:$Q$5295,Q3649)</f>
        <v/>
      </c>
      <c r="S3649" s="25">
        <f>IF(R3649&lt;=2,"1-2",IF(R3649&lt;=5,"3-5",IF(R3649&lt;=10,"6-10","11+")))</f>
        <v/>
      </c>
    </row>
    <row r="3650">
      <c r="A3650" s="39" t="n">
        <v>46212.49515046296</v>
      </c>
      <c r="B3650" s="25">
        <f>TEXT(A3650,"YYYY-MM")</f>
        <v/>
      </c>
      <c r="C3650" s="25">
        <f>TEXT(A3650,"MMM-YYYY")</f>
        <v/>
      </c>
      <c r="D3650" s="40">
        <f>INT(A3650)-WEEKDAY(A3650,2)+1</f>
        <v/>
      </c>
      <c r="E3650" s="25" t="inlineStr">
        <is>
          <t>apriyadarshi</t>
        </is>
      </c>
      <c r="F3650" s="25" t="n">
        <v>132359</v>
      </c>
      <c r="G3650" s="25" t="n">
        <v>4</v>
      </c>
      <c r="H3650" s="25" t="n">
        <v>20</v>
      </c>
      <c r="I3650" s="25" t="inlineStr">
        <is>
          <t>1 minute(s) and 34 second(s)</t>
        </is>
      </c>
      <c r="J3650" s="25">
        <f>IFERROR(VALUE(TRIM(LEFT(I3650,FIND("minute",I3650)-1)))*60,0)+IFERROR(VALUE(SUBSTITUTE(MID(I3650,IFERROR(FIND("and",I3650)+3,1),20),"second(s)","")),0)</f>
        <v/>
      </c>
      <c r="K3650" s="41">
        <f>J3650/60</f>
        <v/>
      </c>
      <c r="L3650" s="41">
        <f>IFERROR(J3650/H3650,"")</f>
        <v/>
      </c>
      <c r="M3650" s="25" t="inlineStr">
        <is>
          <t>2.5.12</t>
        </is>
      </c>
      <c r="N3650" s="25">
        <f>IF(J3650&gt;300,1,0)</f>
        <v/>
      </c>
      <c r="O3650" s="25">
        <f>IF(J3650&gt;600,1,0)</f>
        <v/>
      </c>
      <c r="P3650" s="25">
        <f>IF(H3650&gt;0,J3650,"")</f>
        <v/>
      </c>
      <c r="Q3650" s="25">
        <f>TEXT(A3650,"YYYY-MM-DD HH")</f>
        <v/>
      </c>
      <c r="R3650" s="25">
        <f>COUNTIF($Q$2:$Q$5295,Q3650)</f>
        <v/>
      </c>
      <c r="S3650" s="25">
        <f>IF(R3650&lt;=2,"1-2",IF(R3650&lt;=5,"3-5",IF(R3650&lt;=10,"6-10","11+")))</f>
        <v/>
      </c>
    </row>
    <row r="3651">
      <c r="A3651" s="39" t="n">
        <v>46212.4969212963</v>
      </c>
      <c r="B3651" s="25">
        <f>TEXT(A3651,"YYYY-MM")</f>
        <v/>
      </c>
      <c r="C3651" s="25">
        <f>TEXT(A3651,"MMM-YYYY")</f>
        <v/>
      </c>
      <c r="D3651" s="40">
        <f>INT(A3651)-WEEKDAY(A3651,2)+1</f>
        <v/>
      </c>
      <c r="E3651" s="25" t="inlineStr">
        <is>
          <t>psathwika</t>
        </is>
      </c>
      <c r="F3651" s="25" t="n">
        <v>132019</v>
      </c>
      <c r="G3651" s="25" t="n">
        <v>3</v>
      </c>
      <c r="H3651" s="25" t="n">
        <v>17</v>
      </c>
      <c r="I3651" s="25" t="inlineStr">
        <is>
          <t>1 minute(s) and 20 second(s)</t>
        </is>
      </c>
      <c r="J3651" s="25">
        <f>IFERROR(VALUE(TRIM(LEFT(I3651,FIND("minute",I3651)-1)))*60,0)+IFERROR(VALUE(SUBSTITUTE(MID(I3651,IFERROR(FIND("and",I3651)+3,1),20),"second(s)","")),0)</f>
        <v/>
      </c>
      <c r="K3651" s="41">
        <f>J3651/60</f>
        <v/>
      </c>
      <c r="L3651" s="41">
        <f>IFERROR(J3651/H3651,"")</f>
        <v/>
      </c>
      <c r="M3651" s="25" t="inlineStr">
        <is>
          <t>2.5.12</t>
        </is>
      </c>
      <c r="N3651" s="25">
        <f>IF(J3651&gt;300,1,0)</f>
        <v/>
      </c>
      <c r="O3651" s="25">
        <f>IF(J3651&gt;600,1,0)</f>
        <v/>
      </c>
      <c r="P3651" s="25">
        <f>IF(H3651&gt;0,J3651,"")</f>
        <v/>
      </c>
      <c r="Q3651" s="25">
        <f>TEXT(A3651,"YYYY-MM-DD HH")</f>
        <v/>
      </c>
      <c r="R3651" s="25">
        <f>COUNTIF($Q$2:$Q$5295,Q3651)</f>
        <v/>
      </c>
      <c r="S3651" s="25">
        <f>IF(R3651&lt;=2,"1-2",IF(R3651&lt;=5,"3-5",IF(R3651&lt;=10,"6-10","11+")))</f>
        <v/>
      </c>
    </row>
    <row r="3652">
      <c r="A3652" s="39" t="n">
        <v>46212.53327546296</v>
      </c>
      <c r="B3652" s="25">
        <f>TEXT(A3652,"YYYY-MM")</f>
        <v/>
      </c>
      <c r="C3652" s="25">
        <f>TEXT(A3652,"MMM-YYYY")</f>
        <v/>
      </c>
      <c r="D3652" s="40">
        <f>INT(A3652)-WEEKDAY(A3652,2)+1</f>
        <v/>
      </c>
      <c r="E3652" s="25" t="inlineStr">
        <is>
          <t>csaha</t>
        </is>
      </c>
      <c r="F3652" s="25" t="n">
        <v>128619</v>
      </c>
      <c r="G3652" s="25" t="n">
        <v>4</v>
      </c>
      <c r="H3652" s="25" t="n">
        <v>24</v>
      </c>
      <c r="I3652" s="25" t="inlineStr">
        <is>
          <t>2 minute(s) and 3 second(s)</t>
        </is>
      </c>
      <c r="J3652" s="25">
        <f>IFERROR(VALUE(TRIM(LEFT(I3652,FIND("minute",I3652)-1)))*60,0)+IFERROR(VALUE(SUBSTITUTE(MID(I3652,IFERROR(FIND("and",I3652)+3,1),20),"second(s)","")),0)</f>
        <v/>
      </c>
      <c r="K3652" s="41">
        <f>J3652/60</f>
        <v/>
      </c>
      <c r="L3652" s="41">
        <f>IFERROR(J3652/H3652,"")</f>
        <v/>
      </c>
      <c r="M3652" s="25" t="inlineStr">
        <is>
          <t>2.5.12</t>
        </is>
      </c>
      <c r="N3652" s="25">
        <f>IF(J3652&gt;300,1,0)</f>
        <v/>
      </c>
      <c r="O3652" s="25">
        <f>IF(J3652&gt;600,1,0)</f>
        <v/>
      </c>
      <c r="P3652" s="25">
        <f>IF(H3652&gt;0,J3652,"")</f>
        <v/>
      </c>
      <c r="Q3652" s="25">
        <f>TEXT(A3652,"YYYY-MM-DD HH")</f>
        <v/>
      </c>
      <c r="R3652" s="25">
        <f>COUNTIF($Q$2:$Q$5295,Q3652)</f>
        <v/>
      </c>
      <c r="S3652" s="25">
        <f>IF(R3652&lt;=2,"1-2",IF(R3652&lt;=5,"3-5",IF(R3652&lt;=10,"6-10","11+")))</f>
        <v/>
      </c>
    </row>
    <row r="3653">
      <c r="A3653" s="39" t="n">
        <v>46212.55030092593</v>
      </c>
      <c r="B3653" s="25">
        <f>TEXT(A3653,"YYYY-MM")</f>
        <v/>
      </c>
      <c r="C3653" s="25">
        <f>TEXT(A3653,"MMM-YYYY")</f>
        <v/>
      </c>
      <c r="D3653" s="40">
        <f>INT(A3653)-WEEKDAY(A3653,2)+1</f>
        <v/>
      </c>
      <c r="E3653" s="25" t="inlineStr">
        <is>
          <t>sswati</t>
        </is>
      </c>
      <c r="F3653" s="25" t="n">
        <v>128140</v>
      </c>
      <c r="G3653" s="25" t="n">
        <v>2</v>
      </c>
      <c r="H3653" s="25" t="n">
        <v>12</v>
      </c>
      <c r="I3653" s="25" t="inlineStr">
        <is>
          <t>2 minute(s) and 13 second(s)</t>
        </is>
      </c>
      <c r="J3653" s="25">
        <f>IFERROR(VALUE(TRIM(LEFT(I3653,FIND("minute",I3653)-1)))*60,0)+IFERROR(VALUE(SUBSTITUTE(MID(I3653,IFERROR(FIND("and",I3653)+3,1),20),"second(s)","")),0)</f>
        <v/>
      </c>
      <c r="K3653" s="41">
        <f>J3653/60</f>
        <v/>
      </c>
      <c r="L3653" s="41">
        <f>IFERROR(J3653/H3653,"")</f>
        <v/>
      </c>
      <c r="M3653" s="25" t="inlineStr">
        <is>
          <t>2.5.12</t>
        </is>
      </c>
      <c r="N3653" s="25">
        <f>IF(J3653&gt;300,1,0)</f>
        <v/>
      </c>
      <c r="O3653" s="25">
        <f>IF(J3653&gt;600,1,0)</f>
        <v/>
      </c>
      <c r="P3653" s="25">
        <f>IF(H3653&gt;0,J3653,"")</f>
        <v/>
      </c>
      <c r="Q3653" s="25">
        <f>TEXT(A3653,"YYYY-MM-DD HH")</f>
        <v/>
      </c>
      <c r="R3653" s="25">
        <f>COUNTIF($Q$2:$Q$5295,Q3653)</f>
        <v/>
      </c>
      <c r="S3653" s="25">
        <f>IF(R3653&lt;=2,"1-2",IF(R3653&lt;=5,"3-5",IF(R3653&lt;=10,"6-10","11+")))</f>
        <v/>
      </c>
    </row>
    <row r="3654">
      <c r="A3654" s="39" t="n">
        <v>46212.55282407408</v>
      </c>
      <c r="B3654" s="25">
        <f>TEXT(A3654,"YYYY-MM")</f>
        <v/>
      </c>
      <c r="C3654" s="25">
        <f>TEXT(A3654,"MMM-YYYY")</f>
        <v/>
      </c>
      <c r="D3654" s="40">
        <f>INT(A3654)-WEEKDAY(A3654,2)+1</f>
        <v/>
      </c>
      <c r="E3654" s="25" t="inlineStr">
        <is>
          <t>aghosh</t>
        </is>
      </c>
      <c r="F3654" s="25" t="n">
        <v>131787</v>
      </c>
      <c r="G3654" s="25" t="n">
        <v>4</v>
      </c>
      <c r="H3654" s="25" t="n">
        <v>10</v>
      </c>
      <c r="I3654" s="25" t="inlineStr">
        <is>
          <t>46 second(s)</t>
        </is>
      </c>
      <c r="J3654" s="25">
        <f>IFERROR(VALUE(TRIM(LEFT(I3654,FIND("minute",I3654)-1)))*60,0)+IFERROR(VALUE(SUBSTITUTE(MID(I3654,IFERROR(FIND("and",I3654)+3,1),20),"second(s)","")),0)</f>
        <v/>
      </c>
      <c r="K3654" s="41">
        <f>J3654/60</f>
        <v/>
      </c>
      <c r="L3654" s="41">
        <f>IFERROR(J3654/H3654,"")</f>
        <v/>
      </c>
      <c r="M3654" s="25" t="inlineStr">
        <is>
          <t>2.5.12</t>
        </is>
      </c>
      <c r="N3654" s="25">
        <f>IF(J3654&gt;300,1,0)</f>
        <v/>
      </c>
      <c r="O3654" s="25">
        <f>IF(J3654&gt;600,1,0)</f>
        <v/>
      </c>
      <c r="P3654" s="25">
        <f>IF(H3654&gt;0,J3654,"")</f>
        <v/>
      </c>
      <c r="Q3654" s="25">
        <f>TEXT(A3654,"YYYY-MM-DD HH")</f>
        <v/>
      </c>
      <c r="R3654" s="25">
        <f>COUNTIF($Q$2:$Q$5295,Q3654)</f>
        <v/>
      </c>
      <c r="S3654" s="25">
        <f>IF(R3654&lt;=2,"1-2",IF(R3654&lt;=5,"3-5",IF(R3654&lt;=10,"6-10","11+")))</f>
        <v/>
      </c>
    </row>
    <row r="3655">
      <c r="A3655" s="39" t="n">
        <v>46212.57633101852</v>
      </c>
      <c r="B3655" s="25">
        <f>TEXT(A3655,"YYYY-MM")</f>
        <v/>
      </c>
      <c r="C3655" s="25">
        <f>TEXT(A3655,"MMM-YYYY")</f>
        <v/>
      </c>
      <c r="D3655" s="40">
        <f>INT(A3655)-WEEKDAY(A3655,2)+1</f>
        <v/>
      </c>
      <c r="E3655" s="25" t="inlineStr">
        <is>
          <t>apriyadarshi</t>
        </is>
      </c>
      <c r="F3655" s="25" t="n">
        <v>129335</v>
      </c>
      <c r="G3655" s="25" t="n">
        <v>2</v>
      </c>
      <c r="H3655" s="25" t="n">
        <v>12</v>
      </c>
      <c r="I3655" s="25" t="inlineStr">
        <is>
          <t>1 minute(s) and 36 second(s)</t>
        </is>
      </c>
      <c r="J3655" s="25">
        <f>IFERROR(VALUE(TRIM(LEFT(I3655,FIND("minute",I3655)-1)))*60,0)+IFERROR(VALUE(SUBSTITUTE(MID(I3655,IFERROR(FIND("and",I3655)+3,1),20),"second(s)","")),0)</f>
        <v/>
      </c>
      <c r="K3655" s="41">
        <f>J3655/60</f>
        <v/>
      </c>
      <c r="L3655" s="41">
        <f>IFERROR(J3655/H3655,"")</f>
        <v/>
      </c>
      <c r="M3655" s="25" t="inlineStr">
        <is>
          <t>2.5.12</t>
        </is>
      </c>
      <c r="N3655" s="25">
        <f>IF(J3655&gt;300,1,0)</f>
        <v/>
      </c>
      <c r="O3655" s="25">
        <f>IF(J3655&gt;600,1,0)</f>
        <v/>
      </c>
      <c r="P3655" s="25">
        <f>IF(H3655&gt;0,J3655,"")</f>
        <v/>
      </c>
      <c r="Q3655" s="25">
        <f>TEXT(A3655,"YYYY-MM-DD HH")</f>
        <v/>
      </c>
      <c r="R3655" s="25">
        <f>COUNTIF($Q$2:$Q$5295,Q3655)</f>
        <v/>
      </c>
      <c r="S3655" s="25">
        <f>IF(R3655&lt;=2,"1-2",IF(R3655&lt;=5,"3-5",IF(R3655&lt;=10,"6-10","11+")))</f>
        <v/>
      </c>
    </row>
    <row r="3656">
      <c r="A3656" s="39" t="n">
        <v>46212.65292824074</v>
      </c>
      <c r="B3656" s="25">
        <f>TEXT(A3656,"YYYY-MM")</f>
        <v/>
      </c>
      <c r="C3656" s="25">
        <f>TEXT(A3656,"MMM-YYYY")</f>
        <v/>
      </c>
      <c r="D3656" s="40">
        <f>INT(A3656)-WEEKDAY(A3656,2)+1</f>
        <v/>
      </c>
      <c r="E3656" s="25" t="inlineStr">
        <is>
          <t>apriyadarshi</t>
        </is>
      </c>
      <c r="F3656" s="25" t="n">
        <v>127950</v>
      </c>
      <c r="G3656" s="25" t="n">
        <v>2</v>
      </c>
      <c r="H3656" s="25" t="n">
        <v>13</v>
      </c>
      <c r="I3656" s="25" t="inlineStr">
        <is>
          <t>1 minute(s) and 1 second(s)</t>
        </is>
      </c>
      <c r="J3656" s="25">
        <f>IFERROR(VALUE(TRIM(LEFT(I3656,FIND("minute",I3656)-1)))*60,0)+IFERROR(VALUE(SUBSTITUTE(MID(I3656,IFERROR(FIND("and",I3656)+3,1),20),"second(s)","")),0)</f>
        <v/>
      </c>
      <c r="K3656" s="41">
        <f>J3656/60</f>
        <v/>
      </c>
      <c r="L3656" s="41">
        <f>IFERROR(J3656/H3656,"")</f>
        <v/>
      </c>
      <c r="M3656" s="25" t="inlineStr">
        <is>
          <t>2.5.12</t>
        </is>
      </c>
      <c r="N3656" s="25">
        <f>IF(J3656&gt;300,1,0)</f>
        <v/>
      </c>
      <c r="O3656" s="25">
        <f>IF(J3656&gt;600,1,0)</f>
        <v/>
      </c>
      <c r="P3656" s="25">
        <f>IF(H3656&gt;0,J3656,"")</f>
        <v/>
      </c>
      <c r="Q3656" s="25">
        <f>TEXT(A3656,"YYYY-MM-DD HH")</f>
        <v/>
      </c>
      <c r="R3656" s="25">
        <f>COUNTIF($Q$2:$Q$5295,Q3656)</f>
        <v/>
      </c>
      <c r="S3656" s="25">
        <f>IF(R3656&lt;=2,"1-2",IF(R3656&lt;=5,"3-5",IF(R3656&lt;=10,"6-10","11+")))</f>
        <v/>
      </c>
    </row>
    <row r="3657">
      <c r="A3657" s="39" t="n">
        <v>46212.66034722222</v>
      </c>
      <c r="B3657" s="25">
        <f>TEXT(A3657,"YYYY-MM")</f>
        <v/>
      </c>
      <c r="C3657" s="25">
        <f>TEXT(A3657,"MMM-YYYY")</f>
        <v/>
      </c>
      <c r="D3657" s="40">
        <f>INT(A3657)-WEEKDAY(A3657,2)+1</f>
        <v/>
      </c>
      <c r="E3657" s="25" t="inlineStr">
        <is>
          <t>asaxena</t>
        </is>
      </c>
      <c r="F3657" s="25" t="n">
        <v>102996</v>
      </c>
      <c r="G3657" s="25" t="n">
        <v>5</v>
      </c>
      <c r="H3657" s="25" t="n">
        <v>25</v>
      </c>
      <c r="I3657" s="25" t="inlineStr">
        <is>
          <t>2 minute(s) and 15 second(s)</t>
        </is>
      </c>
      <c r="J3657" s="25">
        <f>IFERROR(VALUE(TRIM(LEFT(I3657,FIND("minute",I3657)-1)))*60,0)+IFERROR(VALUE(SUBSTITUTE(MID(I3657,IFERROR(FIND("and",I3657)+3,1),20),"second(s)","")),0)</f>
        <v/>
      </c>
      <c r="K3657" s="41">
        <f>J3657/60</f>
        <v/>
      </c>
      <c r="L3657" s="41">
        <f>IFERROR(J3657/H3657,"")</f>
        <v/>
      </c>
      <c r="M3657" s="25" t="inlineStr">
        <is>
          <t>2.5.12</t>
        </is>
      </c>
      <c r="N3657" s="25">
        <f>IF(J3657&gt;300,1,0)</f>
        <v/>
      </c>
      <c r="O3657" s="25">
        <f>IF(J3657&gt;600,1,0)</f>
        <v/>
      </c>
      <c r="P3657" s="25">
        <f>IF(H3657&gt;0,J3657,"")</f>
        <v/>
      </c>
      <c r="Q3657" s="25">
        <f>TEXT(A3657,"YYYY-MM-DD HH")</f>
        <v/>
      </c>
      <c r="R3657" s="25">
        <f>COUNTIF($Q$2:$Q$5295,Q3657)</f>
        <v/>
      </c>
      <c r="S3657" s="25">
        <f>IF(R3657&lt;=2,"1-2",IF(R3657&lt;=5,"3-5",IF(R3657&lt;=10,"6-10","11+")))</f>
        <v/>
      </c>
    </row>
    <row r="3658">
      <c r="A3658" s="39" t="n">
        <v>46212.683125</v>
      </c>
      <c r="B3658" s="25">
        <f>TEXT(A3658,"YYYY-MM")</f>
        <v/>
      </c>
      <c r="C3658" s="25">
        <f>TEXT(A3658,"MMM-YYYY")</f>
        <v/>
      </c>
      <c r="D3658" s="40">
        <f>INT(A3658)-WEEKDAY(A3658,2)+1</f>
        <v/>
      </c>
      <c r="E3658" s="25" t="inlineStr">
        <is>
          <t>rsingh</t>
        </is>
      </c>
      <c r="F3658" s="25" t="n">
        <v>128678</v>
      </c>
      <c r="G3658" s="25" t="n">
        <v>1</v>
      </c>
      <c r="H3658" s="25" t="n">
        <v>7</v>
      </c>
      <c r="I3658" s="25" t="inlineStr">
        <is>
          <t>1 minute(s) and 28 second(s)</t>
        </is>
      </c>
      <c r="J3658" s="25">
        <f>IFERROR(VALUE(TRIM(LEFT(I3658,FIND("minute",I3658)-1)))*60,0)+IFERROR(VALUE(SUBSTITUTE(MID(I3658,IFERROR(FIND("and",I3658)+3,1),20),"second(s)","")),0)</f>
        <v/>
      </c>
      <c r="K3658" s="41">
        <f>J3658/60</f>
        <v/>
      </c>
      <c r="L3658" s="41">
        <f>IFERROR(J3658/H3658,"")</f>
        <v/>
      </c>
      <c r="M3658" s="25" t="inlineStr">
        <is>
          <t>2.5.12</t>
        </is>
      </c>
      <c r="N3658" s="25">
        <f>IF(J3658&gt;300,1,0)</f>
        <v/>
      </c>
      <c r="O3658" s="25">
        <f>IF(J3658&gt;600,1,0)</f>
        <v/>
      </c>
      <c r="P3658" s="25">
        <f>IF(H3658&gt;0,J3658,"")</f>
        <v/>
      </c>
      <c r="Q3658" s="25">
        <f>TEXT(A3658,"YYYY-MM-DD HH")</f>
        <v/>
      </c>
      <c r="R3658" s="25">
        <f>COUNTIF($Q$2:$Q$5295,Q3658)</f>
        <v/>
      </c>
      <c r="S3658" s="25">
        <f>IF(R3658&lt;=2,"1-2",IF(R3658&lt;=5,"3-5",IF(R3658&lt;=10,"6-10","11+")))</f>
        <v/>
      </c>
    </row>
    <row r="3659">
      <c r="A3659" s="39" t="n">
        <v>46212.71333333333</v>
      </c>
      <c r="B3659" s="25">
        <f>TEXT(A3659,"YYYY-MM")</f>
        <v/>
      </c>
      <c r="C3659" s="25">
        <f>TEXT(A3659,"MMM-YYYY")</f>
        <v/>
      </c>
      <c r="D3659" s="40">
        <f>INT(A3659)-WEEKDAY(A3659,2)+1</f>
        <v/>
      </c>
      <c r="E3659" s="25" t="inlineStr">
        <is>
          <t>rsingh</t>
        </is>
      </c>
      <c r="F3659" s="25" t="n">
        <v>128678</v>
      </c>
      <c r="G3659" s="25" t="n">
        <v>4</v>
      </c>
      <c r="H3659" s="25" t="n">
        <v>22</v>
      </c>
      <c r="I3659" s="25" t="inlineStr">
        <is>
          <t>2 minute(s) and 7 second(s)</t>
        </is>
      </c>
      <c r="J3659" s="25">
        <f>IFERROR(VALUE(TRIM(LEFT(I3659,FIND("minute",I3659)-1)))*60,0)+IFERROR(VALUE(SUBSTITUTE(MID(I3659,IFERROR(FIND("and",I3659)+3,1),20),"second(s)","")),0)</f>
        <v/>
      </c>
      <c r="K3659" s="41">
        <f>J3659/60</f>
        <v/>
      </c>
      <c r="L3659" s="41">
        <f>IFERROR(J3659/H3659,"")</f>
        <v/>
      </c>
      <c r="M3659" s="25" t="inlineStr">
        <is>
          <t>2.5.12</t>
        </is>
      </c>
      <c r="N3659" s="25">
        <f>IF(J3659&gt;300,1,0)</f>
        <v/>
      </c>
      <c r="O3659" s="25">
        <f>IF(J3659&gt;600,1,0)</f>
        <v/>
      </c>
      <c r="P3659" s="25">
        <f>IF(H3659&gt;0,J3659,"")</f>
        <v/>
      </c>
      <c r="Q3659" s="25">
        <f>TEXT(A3659,"YYYY-MM-DD HH")</f>
        <v/>
      </c>
      <c r="R3659" s="25">
        <f>COUNTIF($Q$2:$Q$5295,Q3659)</f>
        <v/>
      </c>
      <c r="S3659" s="25">
        <f>IF(R3659&lt;=2,"1-2",IF(R3659&lt;=5,"3-5",IF(R3659&lt;=10,"6-10","11+")))</f>
        <v/>
      </c>
    </row>
    <row r="3660">
      <c r="A3660" s="39" t="n">
        <v>46212.71990740741</v>
      </c>
      <c r="B3660" s="25">
        <f>TEXT(A3660,"YYYY-MM")</f>
        <v/>
      </c>
      <c r="C3660" s="25">
        <f>TEXT(A3660,"MMM-YYYY")</f>
        <v/>
      </c>
      <c r="D3660" s="40">
        <f>INT(A3660)-WEEKDAY(A3660,2)+1</f>
        <v/>
      </c>
      <c r="E3660" s="25" t="inlineStr">
        <is>
          <t>asaxena</t>
        </is>
      </c>
      <c r="F3660" s="25" t="n">
        <v>90028</v>
      </c>
      <c r="G3660" s="25" t="n">
        <v>1</v>
      </c>
      <c r="H3660" s="25" t="n">
        <v>5</v>
      </c>
      <c r="I3660" s="25" t="inlineStr">
        <is>
          <t>24 second(s)</t>
        </is>
      </c>
      <c r="J3660" s="25">
        <f>IFERROR(VALUE(TRIM(LEFT(I3660,FIND("minute",I3660)-1)))*60,0)+IFERROR(VALUE(SUBSTITUTE(MID(I3660,IFERROR(FIND("and",I3660)+3,1),20),"second(s)","")),0)</f>
        <v/>
      </c>
      <c r="K3660" s="41">
        <f>J3660/60</f>
        <v/>
      </c>
      <c r="L3660" s="41">
        <f>IFERROR(J3660/H3660,"")</f>
        <v/>
      </c>
      <c r="M3660" s="25" t="inlineStr">
        <is>
          <t>2.5.12</t>
        </is>
      </c>
      <c r="N3660" s="25">
        <f>IF(J3660&gt;300,1,0)</f>
        <v/>
      </c>
      <c r="O3660" s="25">
        <f>IF(J3660&gt;600,1,0)</f>
        <v/>
      </c>
      <c r="P3660" s="25">
        <f>IF(H3660&gt;0,J3660,"")</f>
        <v/>
      </c>
      <c r="Q3660" s="25">
        <f>TEXT(A3660,"YYYY-MM-DD HH")</f>
        <v/>
      </c>
      <c r="R3660" s="25">
        <f>COUNTIF($Q$2:$Q$5295,Q3660)</f>
        <v/>
      </c>
      <c r="S3660" s="25">
        <f>IF(R3660&lt;=2,"1-2",IF(R3660&lt;=5,"3-5",IF(R3660&lt;=10,"6-10","11+")))</f>
        <v/>
      </c>
    </row>
    <row r="3661">
      <c r="A3661" s="39" t="n">
        <v>46212.74537037037</v>
      </c>
      <c r="B3661" s="25">
        <f>TEXT(A3661,"YYYY-MM")</f>
        <v/>
      </c>
      <c r="C3661" s="25">
        <f>TEXT(A3661,"MMM-YYYY")</f>
        <v/>
      </c>
      <c r="D3661" s="40">
        <f>INT(A3661)-WEEKDAY(A3661,2)+1</f>
        <v/>
      </c>
      <c r="E3661" s="25" t="inlineStr">
        <is>
          <t>rsingh</t>
        </is>
      </c>
      <c r="F3661" s="25" t="n">
        <v>129082</v>
      </c>
      <c r="G3661" s="25" t="n">
        <v>1</v>
      </c>
      <c r="H3661" s="25" t="n">
        <v>5</v>
      </c>
      <c r="I3661" s="25" t="inlineStr">
        <is>
          <t>32 second(s)</t>
        </is>
      </c>
      <c r="J3661" s="25">
        <f>IFERROR(VALUE(TRIM(LEFT(I3661,FIND("minute",I3661)-1)))*60,0)+IFERROR(VALUE(SUBSTITUTE(MID(I3661,IFERROR(FIND("and",I3661)+3,1),20),"second(s)","")),0)</f>
        <v/>
      </c>
      <c r="K3661" s="41">
        <f>J3661/60</f>
        <v/>
      </c>
      <c r="L3661" s="41">
        <f>IFERROR(J3661/H3661,"")</f>
        <v/>
      </c>
      <c r="M3661" s="25" t="inlineStr">
        <is>
          <t>2.5.12</t>
        </is>
      </c>
      <c r="N3661" s="25">
        <f>IF(J3661&gt;300,1,0)</f>
        <v/>
      </c>
      <c r="O3661" s="25">
        <f>IF(J3661&gt;600,1,0)</f>
        <v/>
      </c>
      <c r="P3661" s="25">
        <f>IF(H3661&gt;0,J3661,"")</f>
        <v/>
      </c>
      <c r="Q3661" s="25">
        <f>TEXT(A3661,"YYYY-MM-DD HH")</f>
        <v/>
      </c>
      <c r="R3661" s="25">
        <f>COUNTIF($Q$2:$Q$5295,Q3661)</f>
        <v/>
      </c>
      <c r="S3661" s="25">
        <f>IF(R3661&lt;=2,"1-2",IF(R3661&lt;=5,"3-5",IF(R3661&lt;=10,"6-10","11+")))</f>
        <v/>
      </c>
    </row>
    <row r="3662">
      <c r="A3662" s="39" t="n">
        <v>46212.85297453704</v>
      </c>
      <c r="B3662" s="25">
        <f>TEXT(A3662,"YYYY-MM")</f>
        <v/>
      </c>
      <c r="C3662" s="25">
        <f>TEXT(A3662,"MMM-YYYY")</f>
        <v/>
      </c>
      <c r="D3662" s="40">
        <f>INT(A3662)-WEEKDAY(A3662,2)+1</f>
        <v/>
      </c>
      <c r="E3662" s="25" t="inlineStr">
        <is>
          <t>dchoudhury</t>
        </is>
      </c>
      <c r="F3662" s="25" t="n">
        <v>131463</v>
      </c>
      <c r="G3662" s="25" t="n">
        <v>5</v>
      </c>
      <c r="H3662" s="25" t="n">
        <v>17</v>
      </c>
      <c r="I3662" s="25" t="inlineStr">
        <is>
          <t>2 minute(s) and 53 second(s)</t>
        </is>
      </c>
      <c r="J3662" s="25">
        <f>IFERROR(VALUE(TRIM(LEFT(I3662,FIND("minute",I3662)-1)))*60,0)+IFERROR(VALUE(SUBSTITUTE(MID(I3662,IFERROR(FIND("and",I3662)+3,1),20),"second(s)","")),0)</f>
        <v/>
      </c>
      <c r="K3662" s="41">
        <f>J3662/60</f>
        <v/>
      </c>
      <c r="L3662" s="41">
        <f>IFERROR(J3662/H3662,"")</f>
        <v/>
      </c>
      <c r="M3662" s="25" t="inlineStr">
        <is>
          <t>2.5.12</t>
        </is>
      </c>
      <c r="N3662" s="25">
        <f>IF(J3662&gt;300,1,0)</f>
        <v/>
      </c>
      <c r="O3662" s="25">
        <f>IF(J3662&gt;600,1,0)</f>
        <v/>
      </c>
      <c r="P3662" s="25">
        <f>IF(H3662&gt;0,J3662,"")</f>
        <v/>
      </c>
      <c r="Q3662" s="25">
        <f>TEXT(A3662,"YYYY-MM-DD HH")</f>
        <v/>
      </c>
      <c r="R3662" s="25">
        <f>COUNTIF($Q$2:$Q$5295,Q3662)</f>
        <v/>
      </c>
      <c r="S3662" s="25">
        <f>IF(R3662&lt;=2,"1-2",IF(R3662&lt;=5,"3-5",IF(R3662&lt;=10,"6-10","11+")))</f>
        <v/>
      </c>
    </row>
    <row r="3663">
      <c r="A3663" s="39" t="n">
        <v>46212.88541666666</v>
      </c>
      <c r="B3663" s="25">
        <f>TEXT(A3663,"YYYY-MM")</f>
        <v/>
      </c>
      <c r="C3663" s="25">
        <f>TEXT(A3663,"MMM-YYYY")</f>
        <v/>
      </c>
      <c r="D3663" s="40">
        <f>INT(A3663)-WEEKDAY(A3663,2)+1</f>
        <v/>
      </c>
      <c r="E3663" s="25" t="inlineStr">
        <is>
          <t>rsingh</t>
        </is>
      </c>
      <c r="F3663" s="25" t="n">
        <v>121704</v>
      </c>
      <c r="G3663" s="25" t="n">
        <v>6</v>
      </c>
      <c r="H3663" s="25" t="n">
        <v>36</v>
      </c>
      <c r="I3663" s="25" t="inlineStr">
        <is>
          <t>3 minute(s) and 1 second(s)</t>
        </is>
      </c>
      <c r="J3663" s="25">
        <f>IFERROR(VALUE(TRIM(LEFT(I3663,FIND("minute",I3663)-1)))*60,0)+IFERROR(VALUE(SUBSTITUTE(MID(I3663,IFERROR(FIND("and",I3663)+3,1),20),"second(s)","")),0)</f>
        <v/>
      </c>
      <c r="K3663" s="41">
        <f>J3663/60</f>
        <v/>
      </c>
      <c r="L3663" s="41">
        <f>IFERROR(J3663/H3663,"")</f>
        <v/>
      </c>
      <c r="M3663" s="25" t="inlineStr">
        <is>
          <t>2.5.12</t>
        </is>
      </c>
      <c r="N3663" s="25">
        <f>IF(J3663&gt;300,1,0)</f>
        <v/>
      </c>
      <c r="O3663" s="25">
        <f>IF(J3663&gt;600,1,0)</f>
        <v/>
      </c>
      <c r="P3663" s="25">
        <f>IF(H3663&gt;0,J3663,"")</f>
        <v/>
      </c>
      <c r="Q3663" s="25">
        <f>TEXT(A3663,"YYYY-MM-DD HH")</f>
        <v/>
      </c>
      <c r="R3663" s="25">
        <f>COUNTIF($Q$2:$Q$5295,Q3663)</f>
        <v/>
      </c>
      <c r="S3663" s="25">
        <f>IF(R3663&lt;=2,"1-2",IF(R3663&lt;=5,"3-5",IF(R3663&lt;=10,"6-10","11+")))</f>
        <v/>
      </c>
    </row>
    <row r="3664">
      <c r="A3664" s="39" t="n">
        <v>46213.01050925926</v>
      </c>
      <c r="B3664" s="25">
        <f>TEXT(A3664,"YYYY-MM")</f>
        <v/>
      </c>
      <c r="C3664" s="25">
        <f>TEXT(A3664,"MMM-YYYY")</f>
        <v/>
      </c>
      <c r="D3664" s="40">
        <f>INT(A3664)-WEEKDAY(A3664,2)+1</f>
        <v/>
      </c>
      <c r="E3664" s="25" t="inlineStr">
        <is>
          <t>dchoudhury</t>
        </is>
      </c>
      <c r="F3664" s="25" t="n">
        <v>131750</v>
      </c>
      <c r="G3664" s="25" t="n">
        <v>3</v>
      </c>
      <c r="H3664" s="25" t="n">
        <v>13</v>
      </c>
      <c r="I3664" s="25" t="inlineStr">
        <is>
          <t>1 minute(s) and 54 second(s)</t>
        </is>
      </c>
      <c r="J3664" s="25">
        <f>IFERROR(VALUE(TRIM(LEFT(I3664,FIND("minute",I3664)-1)))*60,0)+IFERROR(VALUE(SUBSTITUTE(MID(I3664,IFERROR(FIND("and",I3664)+3,1),20),"second(s)","")),0)</f>
        <v/>
      </c>
      <c r="K3664" s="41">
        <f>J3664/60</f>
        <v/>
      </c>
      <c r="L3664" s="41">
        <f>IFERROR(J3664/H3664,"")</f>
        <v/>
      </c>
      <c r="M3664" s="25" t="inlineStr">
        <is>
          <t>2.5.12</t>
        </is>
      </c>
      <c r="N3664" s="25">
        <f>IF(J3664&gt;300,1,0)</f>
        <v/>
      </c>
      <c r="O3664" s="25">
        <f>IF(J3664&gt;600,1,0)</f>
        <v/>
      </c>
      <c r="P3664" s="25">
        <f>IF(H3664&gt;0,J3664,"")</f>
        <v/>
      </c>
      <c r="Q3664" s="25">
        <f>TEXT(A3664,"YYYY-MM-DD HH")</f>
        <v/>
      </c>
      <c r="R3664" s="25">
        <f>COUNTIF($Q$2:$Q$5295,Q3664)</f>
        <v/>
      </c>
      <c r="S3664" s="25">
        <f>IF(R3664&lt;=2,"1-2",IF(R3664&lt;=5,"3-5",IF(R3664&lt;=10,"6-10","11+")))</f>
        <v/>
      </c>
    </row>
    <row r="3665">
      <c r="A3665" s="39" t="n">
        <v>46213.05511574074</v>
      </c>
      <c r="B3665" s="25">
        <f>TEXT(A3665,"YYYY-MM")</f>
        <v/>
      </c>
      <c r="C3665" s="25">
        <f>TEXT(A3665,"MMM-YYYY")</f>
        <v/>
      </c>
      <c r="D3665" s="40">
        <f>INT(A3665)-WEEKDAY(A3665,2)+1</f>
        <v/>
      </c>
      <c r="E3665" s="25" t="inlineStr">
        <is>
          <t>bverma</t>
        </is>
      </c>
      <c r="F3665" s="25" t="n">
        <v>129284</v>
      </c>
      <c r="G3665" s="25" t="n">
        <v>4</v>
      </c>
      <c r="H3665" s="25" t="n">
        <v>22</v>
      </c>
      <c r="I3665" s="25" t="inlineStr">
        <is>
          <t>3 minute(s) and 24 second(s)</t>
        </is>
      </c>
      <c r="J3665" s="25">
        <f>IFERROR(VALUE(TRIM(LEFT(I3665,FIND("minute",I3665)-1)))*60,0)+IFERROR(VALUE(SUBSTITUTE(MID(I3665,IFERROR(FIND("and",I3665)+3,1),20),"second(s)","")),0)</f>
        <v/>
      </c>
      <c r="K3665" s="41">
        <f>J3665/60</f>
        <v/>
      </c>
      <c r="L3665" s="41">
        <f>IFERROR(J3665/H3665,"")</f>
        <v/>
      </c>
      <c r="M3665" s="25" t="inlineStr">
        <is>
          <t>2.5.12</t>
        </is>
      </c>
      <c r="N3665" s="25">
        <f>IF(J3665&gt;300,1,0)</f>
        <v/>
      </c>
      <c r="O3665" s="25">
        <f>IF(J3665&gt;600,1,0)</f>
        <v/>
      </c>
      <c r="P3665" s="25">
        <f>IF(H3665&gt;0,J3665,"")</f>
        <v/>
      </c>
      <c r="Q3665" s="25">
        <f>TEXT(A3665,"YYYY-MM-DD HH")</f>
        <v/>
      </c>
      <c r="R3665" s="25">
        <f>COUNTIF($Q$2:$Q$5295,Q3665)</f>
        <v/>
      </c>
      <c r="S3665" s="25">
        <f>IF(R3665&lt;=2,"1-2",IF(R3665&lt;=5,"3-5",IF(R3665&lt;=10,"6-10","11+")))</f>
        <v/>
      </c>
    </row>
    <row r="3666">
      <c r="A3666" s="39" t="n">
        <v>46213.08459490741</v>
      </c>
      <c r="B3666" s="25">
        <f>TEXT(A3666,"YYYY-MM")</f>
        <v/>
      </c>
      <c r="C3666" s="25">
        <f>TEXT(A3666,"MMM-YYYY")</f>
        <v/>
      </c>
      <c r="D3666" s="40">
        <f>INT(A3666)-WEEKDAY(A3666,2)+1</f>
        <v/>
      </c>
      <c r="E3666" s="25" t="inlineStr">
        <is>
          <t>aupadhayay</t>
        </is>
      </c>
      <c r="F3666" s="25" t="n">
        <v>129490</v>
      </c>
      <c r="G3666" s="25" t="n">
        <v>2</v>
      </c>
      <c r="H3666" s="25" t="n">
        <v>10</v>
      </c>
      <c r="I3666" s="25" t="inlineStr">
        <is>
          <t>51 second(s)</t>
        </is>
      </c>
      <c r="J3666" s="25">
        <f>IFERROR(VALUE(TRIM(LEFT(I3666,FIND("minute",I3666)-1)))*60,0)+IFERROR(VALUE(SUBSTITUTE(MID(I3666,IFERROR(FIND("and",I3666)+3,1),20),"second(s)","")),0)</f>
        <v/>
      </c>
      <c r="K3666" s="41">
        <f>J3666/60</f>
        <v/>
      </c>
      <c r="L3666" s="41">
        <f>IFERROR(J3666/H3666,"")</f>
        <v/>
      </c>
      <c r="M3666" s="25" t="inlineStr">
        <is>
          <t>2.5.12</t>
        </is>
      </c>
      <c r="N3666" s="25">
        <f>IF(J3666&gt;300,1,0)</f>
        <v/>
      </c>
      <c r="O3666" s="25">
        <f>IF(J3666&gt;600,1,0)</f>
        <v/>
      </c>
      <c r="P3666" s="25">
        <f>IF(H3666&gt;0,J3666,"")</f>
        <v/>
      </c>
      <c r="Q3666" s="25">
        <f>TEXT(A3666,"YYYY-MM-DD HH")</f>
        <v/>
      </c>
      <c r="R3666" s="25">
        <f>COUNTIF($Q$2:$Q$5295,Q3666)</f>
        <v/>
      </c>
      <c r="S3666" s="25">
        <f>IF(R3666&lt;=2,"1-2",IF(R3666&lt;=5,"3-5",IF(R3666&lt;=10,"6-10","11+")))</f>
        <v/>
      </c>
    </row>
    <row r="3667">
      <c r="A3667" s="39" t="n">
        <v>46213.09276620371</v>
      </c>
      <c r="B3667" s="25">
        <f>TEXT(A3667,"YYYY-MM")</f>
        <v/>
      </c>
      <c r="C3667" s="25">
        <f>TEXT(A3667,"MMM-YYYY")</f>
        <v/>
      </c>
      <c r="D3667" s="40">
        <f>INT(A3667)-WEEKDAY(A3667,2)+1</f>
        <v/>
      </c>
      <c r="E3667" s="25" t="inlineStr">
        <is>
          <t>dchoudhury</t>
        </is>
      </c>
      <c r="F3667" s="25" t="n">
        <v>131911</v>
      </c>
      <c r="G3667" s="25" t="n">
        <v>3</v>
      </c>
      <c r="H3667" s="25" t="n">
        <v>11</v>
      </c>
      <c r="I3667" s="25" t="inlineStr">
        <is>
          <t>1 minute(s) and 35 second(s)</t>
        </is>
      </c>
      <c r="J3667" s="25">
        <f>IFERROR(VALUE(TRIM(LEFT(I3667,FIND("minute",I3667)-1)))*60,0)+IFERROR(VALUE(SUBSTITUTE(MID(I3667,IFERROR(FIND("and",I3667)+3,1),20),"second(s)","")),0)</f>
        <v/>
      </c>
      <c r="K3667" s="41">
        <f>J3667/60</f>
        <v/>
      </c>
      <c r="L3667" s="41">
        <f>IFERROR(J3667/H3667,"")</f>
        <v/>
      </c>
      <c r="M3667" s="25" t="inlineStr">
        <is>
          <t>2.5.12</t>
        </is>
      </c>
      <c r="N3667" s="25">
        <f>IF(J3667&gt;300,1,0)</f>
        <v/>
      </c>
      <c r="O3667" s="25">
        <f>IF(J3667&gt;600,1,0)</f>
        <v/>
      </c>
      <c r="P3667" s="25">
        <f>IF(H3667&gt;0,J3667,"")</f>
        <v/>
      </c>
      <c r="Q3667" s="25">
        <f>TEXT(A3667,"YYYY-MM-DD HH")</f>
        <v/>
      </c>
      <c r="R3667" s="25">
        <f>COUNTIF($Q$2:$Q$5295,Q3667)</f>
        <v/>
      </c>
      <c r="S3667" s="25">
        <f>IF(R3667&lt;=2,"1-2",IF(R3667&lt;=5,"3-5",IF(R3667&lt;=10,"6-10","11+")))</f>
        <v/>
      </c>
    </row>
    <row r="3668">
      <c r="A3668" s="39" t="n">
        <v>46213.10086805555</v>
      </c>
      <c r="B3668" s="25">
        <f>TEXT(A3668,"YYYY-MM")</f>
        <v/>
      </c>
      <c r="C3668" s="25">
        <f>TEXT(A3668,"MMM-YYYY")</f>
        <v/>
      </c>
      <c r="D3668" s="40">
        <f>INT(A3668)-WEEKDAY(A3668,2)+1</f>
        <v/>
      </c>
      <c r="E3668" s="25" t="inlineStr">
        <is>
          <t>bverma</t>
        </is>
      </c>
      <c r="F3668" s="25" t="n">
        <v>129276</v>
      </c>
      <c r="G3668" s="25" t="n">
        <v>2</v>
      </c>
      <c r="H3668" s="25" t="n">
        <v>10</v>
      </c>
      <c r="I3668" s="25" t="inlineStr">
        <is>
          <t>46 second(s)</t>
        </is>
      </c>
      <c r="J3668" s="25">
        <f>IFERROR(VALUE(TRIM(LEFT(I3668,FIND("minute",I3668)-1)))*60,0)+IFERROR(VALUE(SUBSTITUTE(MID(I3668,IFERROR(FIND("and",I3668)+3,1),20),"second(s)","")),0)</f>
        <v/>
      </c>
      <c r="K3668" s="41">
        <f>J3668/60</f>
        <v/>
      </c>
      <c r="L3668" s="41">
        <f>IFERROR(J3668/H3668,"")</f>
        <v/>
      </c>
      <c r="M3668" s="25" t="inlineStr">
        <is>
          <t>2.5.12</t>
        </is>
      </c>
      <c r="N3668" s="25">
        <f>IF(J3668&gt;300,1,0)</f>
        <v/>
      </c>
      <c r="O3668" s="25">
        <f>IF(J3668&gt;600,1,0)</f>
        <v/>
      </c>
      <c r="P3668" s="25">
        <f>IF(H3668&gt;0,J3668,"")</f>
        <v/>
      </c>
      <c r="Q3668" s="25">
        <f>TEXT(A3668,"YYYY-MM-DD HH")</f>
        <v/>
      </c>
      <c r="R3668" s="25">
        <f>COUNTIF($Q$2:$Q$5295,Q3668)</f>
        <v/>
      </c>
      <c r="S3668" s="25">
        <f>IF(R3668&lt;=2,"1-2",IF(R3668&lt;=5,"3-5",IF(R3668&lt;=10,"6-10","11+")))</f>
        <v/>
      </c>
    </row>
    <row r="3669">
      <c r="A3669" s="39" t="n">
        <v>46213.11946759259</v>
      </c>
      <c r="B3669" s="25">
        <f>TEXT(A3669,"YYYY-MM")</f>
        <v/>
      </c>
      <c r="C3669" s="25">
        <f>TEXT(A3669,"MMM-YYYY")</f>
        <v/>
      </c>
      <c r="D3669" s="40">
        <f>INT(A3669)-WEEKDAY(A3669,2)+1</f>
        <v/>
      </c>
      <c r="E3669" s="25" t="inlineStr">
        <is>
          <t>shasikha</t>
        </is>
      </c>
      <c r="F3669" s="25" t="n">
        <v>129886</v>
      </c>
      <c r="G3669" s="25" t="n">
        <v>1</v>
      </c>
      <c r="H3669" s="25" t="n">
        <v>7</v>
      </c>
      <c r="I3669" s="25" t="inlineStr">
        <is>
          <t>40 second(s)</t>
        </is>
      </c>
      <c r="J3669" s="25">
        <f>IFERROR(VALUE(TRIM(LEFT(I3669,FIND("minute",I3669)-1)))*60,0)+IFERROR(VALUE(SUBSTITUTE(MID(I3669,IFERROR(FIND("and",I3669)+3,1),20),"second(s)","")),0)</f>
        <v/>
      </c>
      <c r="K3669" s="41">
        <f>J3669/60</f>
        <v/>
      </c>
      <c r="L3669" s="41">
        <f>IFERROR(J3669/H3669,"")</f>
        <v/>
      </c>
      <c r="M3669" s="25" t="inlineStr">
        <is>
          <t>2.5.12</t>
        </is>
      </c>
      <c r="N3669" s="25">
        <f>IF(J3669&gt;300,1,0)</f>
        <v/>
      </c>
      <c r="O3669" s="25">
        <f>IF(J3669&gt;600,1,0)</f>
        <v/>
      </c>
      <c r="P3669" s="25">
        <f>IF(H3669&gt;0,J3669,"")</f>
        <v/>
      </c>
      <c r="Q3669" s="25">
        <f>TEXT(A3669,"YYYY-MM-DD HH")</f>
        <v/>
      </c>
      <c r="R3669" s="25">
        <f>COUNTIF($Q$2:$Q$5295,Q3669)</f>
        <v/>
      </c>
      <c r="S3669" s="25">
        <f>IF(R3669&lt;=2,"1-2",IF(R3669&lt;=5,"3-5",IF(R3669&lt;=10,"6-10","11+")))</f>
        <v/>
      </c>
    </row>
    <row r="3670">
      <c r="A3670" s="39" t="n">
        <v>46213.1244212963</v>
      </c>
      <c r="B3670" s="25">
        <f>TEXT(A3670,"YYYY-MM")</f>
        <v/>
      </c>
      <c r="C3670" s="25">
        <f>TEXT(A3670,"MMM-YYYY")</f>
        <v/>
      </c>
      <c r="D3670" s="40">
        <f>INT(A3670)-WEEKDAY(A3670,2)+1</f>
        <v/>
      </c>
      <c r="E3670" s="25" t="inlineStr">
        <is>
          <t>apriyadarshi</t>
        </is>
      </c>
      <c r="F3670" s="25" t="n">
        <v>12892</v>
      </c>
      <c r="G3670" s="25" t="n">
        <v>4</v>
      </c>
      <c r="H3670" s="25" t="n">
        <v>22</v>
      </c>
      <c r="I3670" s="25" t="inlineStr">
        <is>
          <t>1 minute(s) and 51 second(s)</t>
        </is>
      </c>
      <c r="J3670" s="25">
        <f>IFERROR(VALUE(TRIM(LEFT(I3670,FIND("minute",I3670)-1)))*60,0)+IFERROR(VALUE(SUBSTITUTE(MID(I3670,IFERROR(FIND("and",I3670)+3,1),20),"second(s)","")),0)</f>
        <v/>
      </c>
      <c r="K3670" s="41">
        <f>J3670/60</f>
        <v/>
      </c>
      <c r="L3670" s="41">
        <f>IFERROR(J3670/H3670,"")</f>
        <v/>
      </c>
      <c r="M3670" s="25" t="inlineStr">
        <is>
          <t>2.5.12</t>
        </is>
      </c>
      <c r="N3670" s="25">
        <f>IF(J3670&gt;300,1,0)</f>
        <v/>
      </c>
      <c r="O3670" s="25">
        <f>IF(J3670&gt;600,1,0)</f>
        <v/>
      </c>
      <c r="P3670" s="25">
        <f>IF(H3670&gt;0,J3670,"")</f>
        <v/>
      </c>
      <c r="Q3670" s="25">
        <f>TEXT(A3670,"YYYY-MM-DD HH")</f>
        <v/>
      </c>
      <c r="R3670" s="25">
        <f>COUNTIF($Q$2:$Q$5295,Q3670)</f>
        <v/>
      </c>
      <c r="S3670" s="25">
        <f>IF(R3670&lt;=2,"1-2",IF(R3670&lt;=5,"3-5",IF(R3670&lt;=10,"6-10","11+")))</f>
        <v/>
      </c>
    </row>
    <row r="3671">
      <c r="A3671" s="39" t="n">
        <v>46213.12918981481</v>
      </c>
      <c r="B3671" s="25">
        <f>TEXT(A3671,"YYYY-MM")</f>
        <v/>
      </c>
      <c r="C3671" s="25">
        <f>TEXT(A3671,"MMM-YYYY")</f>
        <v/>
      </c>
      <c r="D3671" s="40">
        <f>INT(A3671)-WEEKDAY(A3671,2)+1</f>
        <v/>
      </c>
      <c r="E3671" s="25" t="inlineStr">
        <is>
          <t>bverma</t>
        </is>
      </c>
      <c r="F3671" s="25" t="n">
        <v>129258</v>
      </c>
      <c r="G3671" s="25" t="n">
        <v>2</v>
      </c>
      <c r="H3671" s="25" t="n">
        <v>10</v>
      </c>
      <c r="I3671" s="25" t="inlineStr">
        <is>
          <t>46 second(s)</t>
        </is>
      </c>
      <c r="J3671" s="25">
        <f>IFERROR(VALUE(TRIM(LEFT(I3671,FIND("minute",I3671)-1)))*60,0)+IFERROR(VALUE(SUBSTITUTE(MID(I3671,IFERROR(FIND("and",I3671)+3,1),20),"second(s)","")),0)</f>
        <v/>
      </c>
      <c r="K3671" s="41">
        <f>J3671/60</f>
        <v/>
      </c>
      <c r="L3671" s="41">
        <f>IFERROR(J3671/H3671,"")</f>
        <v/>
      </c>
      <c r="M3671" s="25" t="inlineStr">
        <is>
          <t>2.5.12</t>
        </is>
      </c>
      <c r="N3671" s="25">
        <f>IF(J3671&gt;300,1,0)</f>
        <v/>
      </c>
      <c r="O3671" s="25">
        <f>IF(J3671&gt;600,1,0)</f>
        <v/>
      </c>
      <c r="P3671" s="25">
        <f>IF(H3671&gt;0,J3671,"")</f>
        <v/>
      </c>
      <c r="Q3671" s="25">
        <f>TEXT(A3671,"YYYY-MM-DD HH")</f>
        <v/>
      </c>
      <c r="R3671" s="25">
        <f>COUNTIF($Q$2:$Q$5295,Q3671)</f>
        <v/>
      </c>
      <c r="S3671" s="25">
        <f>IF(R3671&lt;=2,"1-2",IF(R3671&lt;=5,"3-5",IF(R3671&lt;=10,"6-10","11+")))</f>
        <v/>
      </c>
    </row>
    <row r="3672">
      <c r="A3672" s="39" t="n">
        <v>46213.13758101852</v>
      </c>
      <c r="B3672" s="25">
        <f>TEXT(A3672,"YYYY-MM")</f>
        <v/>
      </c>
      <c r="C3672" s="25">
        <f>TEXT(A3672,"MMM-YYYY")</f>
        <v/>
      </c>
      <c r="D3672" s="40">
        <f>INT(A3672)-WEEKDAY(A3672,2)+1</f>
        <v/>
      </c>
      <c r="E3672" s="25" t="inlineStr">
        <is>
          <t>dbhattacharyya</t>
        </is>
      </c>
      <c r="F3672" s="25" t="n">
        <v>132055</v>
      </c>
      <c r="G3672" s="25" t="n">
        <v>1</v>
      </c>
      <c r="H3672" s="25" t="n">
        <v>8</v>
      </c>
      <c r="I3672" s="25" t="inlineStr">
        <is>
          <t>35 second(s)</t>
        </is>
      </c>
      <c r="J3672" s="25">
        <f>IFERROR(VALUE(TRIM(LEFT(I3672,FIND("minute",I3672)-1)))*60,0)+IFERROR(VALUE(SUBSTITUTE(MID(I3672,IFERROR(FIND("and",I3672)+3,1),20),"second(s)","")),0)</f>
        <v/>
      </c>
      <c r="K3672" s="41">
        <f>J3672/60</f>
        <v/>
      </c>
      <c r="L3672" s="41">
        <f>IFERROR(J3672/H3672,"")</f>
        <v/>
      </c>
      <c r="M3672" s="25" t="inlineStr">
        <is>
          <t>2.5.12</t>
        </is>
      </c>
      <c r="N3672" s="25">
        <f>IF(J3672&gt;300,1,0)</f>
        <v/>
      </c>
      <c r="O3672" s="25">
        <f>IF(J3672&gt;600,1,0)</f>
        <v/>
      </c>
      <c r="P3672" s="25">
        <f>IF(H3672&gt;0,J3672,"")</f>
        <v/>
      </c>
      <c r="Q3672" s="25">
        <f>TEXT(A3672,"YYYY-MM-DD HH")</f>
        <v/>
      </c>
      <c r="R3672" s="25">
        <f>COUNTIF($Q$2:$Q$5295,Q3672)</f>
        <v/>
      </c>
      <c r="S3672" s="25">
        <f>IF(R3672&lt;=2,"1-2",IF(R3672&lt;=5,"3-5",IF(R3672&lt;=10,"6-10","11+")))</f>
        <v/>
      </c>
    </row>
    <row r="3673">
      <c r="A3673" s="39" t="n">
        <v>46213.1441087963</v>
      </c>
      <c r="B3673" s="25">
        <f>TEXT(A3673,"YYYY-MM")</f>
        <v/>
      </c>
      <c r="C3673" s="25">
        <f>TEXT(A3673,"MMM-YYYY")</f>
        <v/>
      </c>
      <c r="D3673" s="40">
        <f>INT(A3673)-WEEKDAY(A3673,2)+1</f>
        <v/>
      </c>
      <c r="E3673" s="25" t="inlineStr">
        <is>
          <t>bverma</t>
        </is>
      </c>
      <c r="F3673" s="25" t="n">
        <v>129258</v>
      </c>
      <c r="G3673" s="25" t="n">
        <v>3</v>
      </c>
      <c r="H3673" s="25" t="n">
        <v>15</v>
      </c>
      <c r="I3673" s="25" t="inlineStr">
        <is>
          <t>1 minute(s) and 31 second(s)</t>
        </is>
      </c>
      <c r="J3673" s="25">
        <f>IFERROR(VALUE(TRIM(LEFT(I3673,FIND("minute",I3673)-1)))*60,0)+IFERROR(VALUE(SUBSTITUTE(MID(I3673,IFERROR(FIND("and",I3673)+3,1),20),"second(s)","")),0)</f>
        <v/>
      </c>
      <c r="K3673" s="41">
        <f>J3673/60</f>
        <v/>
      </c>
      <c r="L3673" s="41">
        <f>IFERROR(J3673/H3673,"")</f>
        <v/>
      </c>
      <c r="M3673" s="25" t="inlineStr">
        <is>
          <t>2.5.12</t>
        </is>
      </c>
      <c r="N3673" s="25">
        <f>IF(J3673&gt;300,1,0)</f>
        <v/>
      </c>
      <c r="O3673" s="25">
        <f>IF(J3673&gt;600,1,0)</f>
        <v/>
      </c>
      <c r="P3673" s="25">
        <f>IF(H3673&gt;0,J3673,"")</f>
        <v/>
      </c>
      <c r="Q3673" s="25">
        <f>TEXT(A3673,"YYYY-MM-DD HH")</f>
        <v/>
      </c>
      <c r="R3673" s="25">
        <f>COUNTIF($Q$2:$Q$5295,Q3673)</f>
        <v/>
      </c>
      <c r="S3673" s="25">
        <f>IF(R3673&lt;=2,"1-2",IF(R3673&lt;=5,"3-5",IF(R3673&lt;=10,"6-10","11+")))</f>
        <v/>
      </c>
    </row>
    <row r="3674">
      <c r="A3674" s="39" t="n">
        <v>46213.14811342592</v>
      </c>
      <c r="B3674" s="25">
        <f>TEXT(A3674,"YYYY-MM")</f>
        <v/>
      </c>
      <c r="C3674" s="25">
        <f>TEXT(A3674,"MMM-YYYY")</f>
        <v/>
      </c>
      <c r="D3674" s="40">
        <f>INT(A3674)-WEEKDAY(A3674,2)+1</f>
        <v/>
      </c>
      <c r="E3674" s="25" t="inlineStr">
        <is>
          <t>shasikha</t>
        </is>
      </c>
      <c r="F3674" s="25" t="n">
        <v>131263</v>
      </c>
      <c r="G3674" s="25" t="n">
        <v>2</v>
      </c>
      <c r="H3674" s="25" t="n">
        <v>8</v>
      </c>
      <c r="I3674" s="25" t="inlineStr">
        <is>
          <t>1 minute(s) and 44 second(s)</t>
        </is>
      </c>
      <c r="J3674" s="25">
        <f>IFERROR(VALUE(TRIM(LEFT(I3674,FIND("minute",I3674)-1)))*60,0)+IFERROR(VALUE(SUBSTITUTE(MID(I3674,IFERROR(FIND("and",I3674)+3,1),20),"second(s)","")),0)</f>
        <v/>
      </c>
      <c r="K3674" s="41">
        <f>J3674/60</f>
        <v/>
      </c>
      <c r="L3674" s="41">
        <f>IFERROR(J3674/H3674,"")</f>
        <v/>
      </c>
      <c r="M3674" s="25" t="inlineStr">
        <is>
          <t>2.5.12</t>
        </is>
      </c>
      <c r="N3674" s="25">
        <f>IF(J3674&gt;300,1,0)</f>
        <v/>
      </c>
      <c r="O3674" s="25">
        <f>IF(J3674&gt;600,1,0)</f>
        <v/>
      </c>
      <c r="P3674" s="25">
        <f>IF(H3674&gt;0,J3674,"")</f>
        <v/>
      </c>
      <c r="Q3674" s="25">
        <f>TEXT(A3674,"YYYY-MM-DD HH")</f>
        <v/>
      </c>
      <c r="R3674" s="25">
        <f>COUNTIF($Q$2:$Q$5295,Q3674)</f>
        <v/>
      </c>
      <c r="S3674" s="25">
        <f>IF(R3674&lt;=2,"1-2",IF(R3674&lt;=5,"3-5",IF(R3674&lt;=10,"6-10","11+")))</f>
        <v/>
      </c>
    </row>
    <row r="3675">
      <c r="A3675" s="39" t="n">
        <v>46213.16709490741</v>
      </c>
      <c r="B3675" s="25">
        <f>TEXT(A3675,"YYYY-MM")</f>
        <v/>
      </c>
      <c r="C3675" s="25">
        <f>TEXT(A3675,"MMM-YYYY")</f>
        <v/>
      </c>
      <c r="D3675" s="40">
        <f>INT(A3675)-WEEKDAY(A3675,2)+1</f>
        <v/>
      </c>
      <c r="E3675" s="25" t="inlineStr">
        <is>
          <t>adey</t>
        </is>
      </c>
      <c r="F3675" s="25" t="n">
        <v>131551</v>
      </c>
      <c r="G3675" s="25" t="n">
        <v>2</v>
      </c>
      <c r="H3675" s="25" t="n">
        <v>10</v>
      </c>
      <c r="I3675" s="25" t="inlineStr">
        <is>
          <t>46 second(s)</t>
        </is>
      </c>
      <c r="J3675" s="25">
        <f>IFERROR(VALUE(TRIM(LEFT(I3675,FIND("minute",I3675)-1)))*60,0)+IFERROR(VALUE(SUBSTITUTE(MID(I3675,IFERROR(FIND("and",I3675)+3,1),20),"second(s)","")),0)</f>
        <v/>
      </c>
      <c r="K3675" s="41">
        <f>J3675/60</f>
        <v/>
      </c>
      <c r="L3675" s="41">
        <f>IFERROR(J3675/H3675,"")</f>
        <v/>
      </c>
      <c r="M3675" s="25" t="inlineStr">
        <is>
          <t>2.5.12</t>
        </is>
      </c>
      <c r="N3675" s="25">
        <f>IF(J3675&gt;300,1,0)</f>
        <v/>
      </c>
      <c r="O3675" s="25">
        <f>IF(J3675&gt;600,1,0)</f>
        <v/>
      </c>
      <c r="P3675" s="25">
        <f>IF(H3675&gt;0,J3675,"")</f>
        <v/>
      </c>
      <c r="Q3675" s="25">
        <f>TEXT(A3675,"YYYY-MM-DD HH")</f>
        <v/>
      </c>
      <c r="R3675" s="25">
        <f>COUNTIF($Q$2:$Q$5295,Q3675)</f>
        <v/>
      </c>
      <c r="S3675" s="25">
        <f>IF(R3675&lt;=2,"1-2",IF(R3675&lt;=5,"3-5",IF(R3675&lt;=10,"6-10","11+")))</f>
        <v/>
      </c>
    </row>
    <row r="3676">
      <c r="A3676" s="39" t="n">
        <v>46213.17313657407</v>
      </c>
      <c r="B3676" s="25">
        <f>TEXT(A3676,"YYYY-MM")</f>
        <v/>
      </c>
      <c r="C3676" s="25">
        <f>TEXT(A3676,"MMM-YYYY")</f>
        <v/>
      </c>
      <c r="D3676" s="40">
        <f>INT(A3676)-WEEKDAY(A3676,2)+1</f>
        <v/>
      </c>
      <c r="E3676" s="25" t="inlineStr">
        <is>
          <t>bverma</t>
        </is>
      </c>
      <c r="F3676" s="25" t="n">
        <v>129810</v>
      </c>
      <c r="G3676" s="25" t="n">
        <v>4</v>
      </c>
      <c r="H3676" s="25" t="n">
        <v>22</v>
      </c>
      <c r="I3676" s="25" t="inlineStr">
        <is>
          <t>3 minute(s) and 34 second(s)</t>
        </is>
      </c>
      <c r="J3676" s="25">
        <f>IFERROR(VALUE(TRIM(LEFT(I3676,FIND("minute",I3676)-1)))*60,0)+IFERROR(VALUE(SUBSTITUTE(MID(I3676,IFERROR(FIND("and",I3676)+3,1),20),"second(s)","")),0)</f>
        <v/>
      </c>
      <c r="K3676" s="41">
        <f>J3676/60</f>
        <v/>
      </c>
      <c r="L3676" s="41">
        <f>IFERROR(J3676/H3676,"")</f>
        <v/>
      </c>
      <c r="M3676" s="25" t="inlineStr">
        <is>
          <t>2.5.12</t>
        </is>
      </c>
      <c r="N3676" s="25">
        <f>IF(J3676&gt;300,1,0)</f>
        <v/>
      </c>
      <c r="O3676" s="25">
        <f>IF(J3676&gt;600,1,0)</f>
        <v/>
      </c>
      <c r="P3676" s="25">
        <f>IF(H3676&gt;0,J3676,"")</f>
        <v/>
      </c>
      <c r="Q3676" s="25">
        <f>TEXT(A3676,"YYYY-MM-DD HH")</f>
        <v/>
      </c>
      <c r="R3676" s="25">
        <f>COUNTIF($Q$2:$Q$5295,Q3676)</f>
        <v/>
      </c>
      <c r="S3676" s="25">
        <f>IF(R3676&lt;=2,"1-2",IF(R3676&lt;=5,"3-5",IF(R3676&lt;=10,"6-10","11+")))</f>
        <v/>
      </c>
    </row>
    <row r="3677">
      <c r="A3677" s="39" t="n">
        <v>46213.17870370371</v>
      </c>
      <c r="B3677" s="25">
        <f>TEXT(A3677,"YYYY-MM")</f>
        <v/>
      </c>
      <c r="C3677" s="25">
        <f>TEXT(A3677,"MMM-YYYY")</f>
        <v/>
      </c>
      <c r="D3677" s="40">
        <f>INT(A3677)-WEEKDAY(A3677,2)+1</f>
        <v/>
      </c>
      <c r="E3677" s="25" t="inlineStr">
        <is>
          <t>dbhattacharyya</t>
        </is>
      </c>
      <c r="F3677" s="25" t="n">
        <v>132139</v>
      </c>
      <c r="G3677" s="25" t="n">
        <v>2</v>
      </c>
      <c r="H3677" s="25" t="n">
        <v>12</v>
      </c>
      <c r="I3677" s="25" t="inlineStr">
        <is>
          <t>55 second(s)</t>
        </is>
      </c>
      <c r="J3677" s="25">
        <f>IFERROR(VALUE(TRIM(LEFT(I3677,FIND("minute",I3677)-1)))*60,0)+IFERROR(VALUE(SUBSTITUTE(MID(I3677,IFERROR(FIND("and",I3677)+3,1),20),"second(s)","")),0)</f>
        <v/>
      </c>
      <c r="K3677" s="41">
        <f>J3677/60</f>
        <v/>
      </c>
      <c r="L3677" s="41">
        <f>IFERROR(J3677/H3677,"")</f>
        <v/>
      </c>
      <c r="M3677" s="25" t="inlineStr">
        <is>
          <t>2.5.12</t>
        </is>
      </c>
      <c r="N3677" s="25">
        <f>IF(J3677&gt;300,1,0)</f>
        <v/>
      </c>
      <c r="O3677" s="25">
        <f>IF(J3677&gt;600,1,0)</f>
        <v/>
      </c>
      <c r="P3677" s="25">
        <f>IF(H3677&gt;0,J3677,"")</f>
        <v/>
      </c>
      <c r="Q3677" s="25">
        <f>TEXT(A3677,"YYYY-MM-DD HH")</f>
        <v/>
      </c>
      <c r="R3677" s="25">
        <f>COUNTIF($Q$2:$Q$5295,Q3677)</f>
        <v/>
      </c>
      <c r="S3677" s="25">
        <f>IF(R3677&lt;=2,"1-2",IF(R3677&lt;=5,"3-5",IF(R3677&lt;=10,"6-10","11+")))</f>
        <v/>
      </c>
    </row>
    <row r="3678">
      <c r="A3678" s="39" t="n">
        <v>46213.21946759259</v>
      </c>
      <c r="B3678" s="25">
        <f>TEXT(A3678,"YYYY-MM")</f>
        <v/>
      </c>
      <c r="C3678" s="25">
        <f>TEXT(A3678,"MMM-YYYY")</f>
        <v/>
      </c>
      <c r="D3678" s="40">
        <f>INT(A3678)-WEEKDAY(A3678,2)+1</f>
        <v/>
      </c>
      <c r="E3678" s="25" t="inlineStr">
        <is>
          <t>shasikha</t>
        </is>
      </c>
      <c r="F3678" s="25" t="n">
        <v>131262</v>
      </c>
      <c r="G3678" s="25" t="n">
        <v>2</v>
      </c>
      <c r="H3678" s="25" t="n">
        <v>8</v>
      </c>
      <c r="I3678" s="25" t="inlineStr">
        <is>
          <t>44 second(s)</t>
        </is>
      </c>
      <c r="J3678" s="25">
        <f>IFERROR(VALUE(TRIM(LEFT(I3678,FIND("minute",I3678)-1)))*60,0)+IFERROR(VALUE(SUBSTITUTE(MID(I3678,IFERROR(FIND("and",I3678)+3,1),20),"second(s)","")),0)</f>
        <v/>
      </c>
      <c r="K3678" s="41">
        <f>J3678/60</f>
        <v/>
      </c>
      <c r="L3678" s="41">
        <f>IFERROR(J3678/H3678,"")</f>
        <v/>
      </c>
      <c r="M3678" s="25" t="inlineStr">
        <is>
          <t>2.5.12</t>
        </is>
      </c>
      <c r="N3678" s="25">
        <f>IF(J3678&gt;300,1,0)</f>
        <v/>
      </c>
      <c r="O3678" s="25">
        <f>IF(J3678&gt;600,1,0)</f>
        <v/>
      </c>
      <c r="P3678" s="25">
        <f>IF(H3678&gt;0,J3678,"")</f>
        <v/>
      </c>
      <c r="Q3678" s="25">
        <f>TEXT(A3678,"YYYY-MM-DD HH")</f>
        <v/>
      </c>
      <c r="R3678" s="25">
        <f>COUNTIF($Q$2:$Q$5295,Q3678)</f>
        <v/>
      </c>
      <c r="S3678" s="25">
        <f>IF(R3678&lt;=2,"1-2",IF(R3678&lt;=5,"3-5",IF(R3678&lt;=10,"6-10","11+")))</f>
        <v/>
      </c>
    </row>
    <row r="3679">
      <c r="A3679" s="39" t="n">
        <v>46213.23736111111</v>
      </c>
      <c r="B3679" s="25">
        <f>TEXT(A3679,"YYYY-MM")</f>
        <v/>
      </c>
      <c r="C3679" s="25">
        <f>TEXT(A3679,"MMM-YYYY")</f>
        <v/>
      </c>
      <c r="D3679" s="40">
        <f>INT(A3679)-WEEKDAY(A3679,2)+1</f>
        <v/>
      </c>
      <c r="E3679" s="25" t="inlineStr">
        <is>
          <t>bverma</t>
        </is>
      </c>
      <c r="F3679" s="25" t="n">
        <v>131817</v>
      </c>
      <c r="G3679" s="25" t="n">
        <v>2</v>
      </c>
      <c r="H3679" s="25" t="n">
        <v>12</v>
      </c>
      <c r="I3679" s="25" t="inlineStr">
        <is>
          <t>1 minute(s) and 12 second(s)</t>
        </is>
      </c>
      <c r="J3679" s="25">
        <f>IFERROR(VALUE(TRIM(LEFT(I3679,FIND("minute",I3679)-1)))*60,0)+IFERROR(VALUE(SUBSTITUTE(MID(I3679,IFERROR(FIND("and",I3679)+3,1),20),"second(s)","")),0)</f>
        <v/>
      </c>
      <c r="K3679" s="41">
        <f>J3679/60</f>
        <v/>
      </c>
      <c r="L3679" s="41">
        <f>IFERROR(J3679/H3679,"")</f>
        <v/>
      </c>
      <c r="M3679" s="25" t="inlineStr">
        <is>
          <t>2.5.12</t>
        </is>
      </c>
      <c r="N3679" s="25">
        <f>IF(J3679&gt;300,1,0)</f>
        <v/>
      </c>
      <c r="O3679" s="25">
        <f>IF(J3679&gt;600,1,0)</f>
        <v/>
      </c>
      <c r="P3679" s="25">
        <f>IF(H3679&gt;0,J3679,"")</f>
        <v/>
      </c>
      <c r="Q3679" s="25">
        <f>TEXT(A3679,"YYYY-MM-DD HH")</f>
        <v/>
      </c>
      <c r="R3679" s="25">
        <f>COUNTIF($Q$2:$Q$5295,Q3679)</f>
        <v/>
      </c>
      <c r="S3679" s="25">
        <f>IF(R3679&lt;=2,"1-2",IF(R3679&lt;=5,"3-5",IF(R3679&lt;=10,"6-10","11+")))</f>
        <v/>
      </c>
    </row>
    <row r="3680">
      <c r="A3680" s="39" t="n">
        <v>46213.24782407407</v>
      </c>
      <c r="B3680" s="25">
        <f>TEXT(A3680,"YYYY-MM")</f>
        <v/>
      </c>
      <c r="C3680" s="25">
        <f>TEXT(A3680,"MMM-YYYY")</f>
        <v/>
      </c>
      <c r="D3680" s="40">
        <f>INT(A3680)-WEEKDAY(A3680,2)+1</f>
        <v/>
      </c>
      <c r="E3680" s="25" t="inlineStr">
        <is>
          <t>sswati</t>
        </is>
      </c>
      <c r="F3680" s="25" t="n">
        <v>132086</v>
      </c>
      <c r="G3680" s="25" t="n">
        <v>4</v>
      </c>
      <c r="H3680" s="25" t="n">
        <v>8</v>
      </c>
      <c r="I3680" s="25" t="inlineStr">
        <is>
          <t>1 minute(s) and 32 second(s)</t>
        </is>
      </c>
      <c r="J3680" s="25">
        <f>IFERROR(VALUE(TRIM(LEFT(I3680,FIND("minute",I3680)-1)))*60,0)+IFERROR(VALUE(SUBSTITUTE(MID(I3680,IFERROR(FIND("and",I3680)+3,1),20),"second(s)","")),0)</f>
        <v/>
      </c>
      <c r="K3680" s="41">
        <f>J3680/60</f>
        <v/>
      </c>
      <c r="L3680" s="41">
        <f>IFERROR(J3680/H3680,"")</f>
        <v/>
      </c>
      <c r="M3680" s="25" t="inlineStr">
        <is>
          <t>2.5.12</t>
        </is>
      </c>
      <c r="N3680" s="25">
        <f>IF(J3680&gt;300,1,0)</f>
        <v/>
      </c>
      <c r="O3680" s="25">
        <f>IF(J3680&gt;600,1,0)</f>
        <v/>
      </c>
      <c r="P3680" s="25">
        <f>IF(H3680&gt;0,J3680,"")</f>
        <v/>
      </c>
      <c r="Q3680" s="25">
        <f>TEXT(A3680,"YYYY-MM-DD HH")</f>
        <v/>
      </c>
      <c r="R3680" s="25">
        <f>COUNTIF($Q$2:$Q$5295,Q3680)</f>
        <v/>
      </c>
      <c r="S3680" s="25">
        <f>IF(R3680&lt;=2,"1-2",IF(R3680&lt;=5,"3-5",IF(R3680&lt;=10,"6-10","11+")))</f>
        <v/>
      </c>
    </row>
    <row r="3681">
      <c r="A3681" s="39" t="n">
        <v>46213.25043981482</v>
      </c>
      <c r="B3681" s="25">
        <f>TEXT(A3681,"YYYY-MM")</f>
        <v/>
      </c>
      <c r="C3681" s="25">
        <f>TEXT(A3681,"MMM-YYYY")</f>
        <v/>
      </c>
      <c r="D3681" s="40">
        <f>INT(A3681)-WEEKDAY(A3681,2)+1</f>
        <v/>
      </c>
      <c r="E3681" s="25" t="inlineStr">
        <is>
          <t>dbhattacharyya</t>
        </is>
      </c>
      <c r="F3681" s="25" t="n">
        <v>132155</v>
      </c>
      <c r="G3681" s="25" t="n">
        <v>2</v>
      </c>
      <c r="H3681" s="25" t="n">
        <v>10</v>
      </c>
      <c r="I3681" s="25" t="inlineStr">
        <is>
          <t>1 minute(s) and 50 second(s)</t>
        </is>
      </c>
      <c r="J3681" s="25">
        <f>IFERROR(VALUE(TRIM(LEFT(I3681,FIND("minute",I3681)-1)))*60,0)+IFERROR(VALUE(SUBSTITUTE(MID(I3681,IFERROR(FIND("and",I3681)+3,1),20),"second(s)","")),0)</f>
        <v/>
      </c>
      <c r="K3681" s="41">
        <f>J3681/60</f>
        <v/>
      </c>
      <c r="L3681" s="41">
        <f>IFERROR(J3681/H3681,"")</f>
        <v/>
      </c>
      <c r="M3681" s="25" t="inlineStr">
        <is>
          <t>2.5.12</t>
        </is>
      </c>
      <c r="N3681" s="25">
        <f>IF(J3681&gt;300,1,0)</f>
        <v/>
      </c>
      <c r="O3681" s="25">
        <f>IF(J3681&gt;600,1,0)</f>
        <v/>
      </c>
      <c r="P3681" s="25">
        <f>IF(H3681&gt;0,J3681,"")</f>
        <v/>
      </c>
      <c r="Q3681" s="25">
        <f>TEXT(A3681,"YYYY-MM-DD HH")</f>
        <v/>
      </c>
      <c r="R3681" s="25">
        <f>COUNTIF($Q$2:$Q$5295,Q3681)</f>
        <v/>
      </c>
      <c r="S3681" s="25">
        <f>IF(R3681&lt;=2,"1-2",IF(R3681&lt;=5,"3-5",IF(R3681&lt;=10,"6-10","11+")))</f>
        <v/>
      </c>
    </row>
    <row r="3682">
      <c r="A3682" s="39" t="n">
        <v>46213.2634375</v>
      </c>
      <c r="B3682" s="25">
        <f>TEXT(A3682,"YYYY-MM")</f>
        <v/>
      </c>
      <c r="C3682" s="25">
        <f>TEXT(A3682,"MMM-YYYY")</f>
        <v/>
      </c>
      <c r="D3682" s="40">
        <f>INT(A3682)-WEEKDAY(A3682,2)+1</f>
        <v/>
      </c>
      <c r="E3682" s="25" t="inlineStr">
        <is>
          <t>dchoudhury</t>
        </is>
      </c>
      <c r="F3682" s="25" t="n">
        <v>122159</v>
      </c>
      <c r="G3682" s="25" t="n">
        <v>4</v>
      </c>
      <c r="H3682" s="25" t="n">
        <v>20</v>
      </c>
      <c r="I3682" s="25" t="inlineStr">
        <is>
          <t>3 minute(s) and 23 second(s)</t>
        </is>
      </c>
      <c r="J3682" s="25">
        <f>IFERROR(VALUE(TRIM(LEFT(I3682,FIND("minute",I3682)-1)))*60,0)+IFERROR(VALUE(SUBSTITUTE(MID(I3682,IFERROR(FIND("and",I3682)+3,1),20),"second(s)","")),0)</f>
        <v/>
      </c>
      <c r="K3682" s="41">
        <f>J3682/60</f>
        <v/>
      </c>
      <c r="L3682" s="41">
        <f>IFERROR(J3682/H3682,"")</f>
        <v/>
      </c>
      <c r="M3682" s="25" t="inlineStr">
        <is>
          <t>2.5.12</t>
        </is>
      </c>
      <c r="N3682" s="25">
        <f>IF(J3682&gt;300,1,0)</f>
        <v/>
      </c>
      <c r="O3682" s="25">
        <f>IF(J3682&gt;600,1,0)</f>
        <v/>
      </c>
      <c r="P3682" s="25">
        <f>IF(H3682&gt;0,J3682,"")</f>
        <v/>
      </c>
      <c r="Q3682" s="25">
        <f>TEXT(A3682,"YYYY-MM-DD HH")</f>
        <v/>
      </c>
      <c r="R3682" s="25">
        <f>COUNTIF($Q$2:$Q$5295,Q3682)</f>
        <v/>
      </c>
      <c r="S3682" s="25">
        <f>IF(R3682&lt;=2,"1-2",IF(R3682&lt;=5,"3-5",IF(R3682&lt;=10,"6-10","11+")))</f>
        <v/>
      </c>
    </row>
    <row r="3683">
      <c r="A3683" s="39" t="n">
        <v>46213.27615740741</v>
      </c>
      <c r="B3683" s="25">
        <f>TEXT(A3683,"YYYY-MM")</f>
        <v/>
      </c>
      <c r="C3683" s="25">
        <f>TEXT(A3683,"MMM-YYYY")</f>
        <v/>
      </c>
      <c r="D3683" s="40">
        <f>INT(A3683)-WEEKDAY(A3683,2)+1</f>
        <v/>
      </c>
      <c r="E3683" s="25" t="inlineStr">
        <is>
          <t>shasikha</t>
        </is>
      </c>
      <c r="F3683" s="25" t="n">
        <v>128599</v>
      </c>
      <c r="G3683" s="25" t="n">
        <v>4</v>
      </c>
      <c r="H3683" s="25" t="n">
        <v>16</v>
      </c>
      <c r="I3683" s="25" t="inlineStr">
        <is>
          <t>2 minute(s) and 9 second(s)</t>
        </is>
      </c>
      <c r="J3683" s="25">
        <f>IFERROR(VALUE(TRIM(LEFT(I3683,FIND("minute",I3683)-1)))*60,0)+IFERROR(VALUE(SUBSTITUTE(MID(I3683,IFERROR(FIND("and",I3683)+3,1),20),"second(s)","")),0)</f>
        <v/>
      </c>
      <c r="K3683" s="41">
        <f>J3683/60</f>
        <v/>
      </c>
      <c r="L3683" s="41">
        <f>IFERROR(J3683/H3683,"")</f>
        <v/>
      </c>
      <c r="M3683" s="25" t="inlineStr">
        <is>
          <t>2.5.12</t>
        </is>
      </c>
      <c r="N3683" s="25">
        <f>IF(J3683&gt;300,1,0)</f>
        <v/>
      </c>
      <c r="O3683" s="25">
        <f>IF(J3683&gt;600,1,0)</f>
        <v/>
      </c>
      <c r="P3683" s="25">
        <f>IF(H3683&gt;0,J3683,"")</f>
        <v/>
      </c>
      <c r="Q3683" s="25">
        <f>TEXT(A3683,"YYYY-MM-DD HH")</f>
        <v/>
      </c>
      <c r="R3683" s="25">
        <f>COUNTIF($Q$2:$Q$5295,Q3683)</f>
        <v/>
      </c>
      <c r="S3683" s="25">
        <f>IF(R3683&lt;=2,"1-2",IF(R3683&lt;=5,"3-5",IF(R3683&lt;=10,"6-10","11+")))</f>
        <v/>
      </c>
    </row>
    <row r="3684">
      <c r="A3684" s="39" t="n">
        <v>46213.27878472222</v>
      </c>
      <c r="B3684" s="25">
        <f>TEXT(A3684,"YYYY-MM")</f>
        <v/>
      </c>
      <c r="C3684" s="25">
        <f>TEXT(A3684,"MMM-YYYY")</f>
        <v/>
      </c>
      <c r="D3684" s="40">
        <f>INT(A3684)-WEEKDAY(A3684,2)+1</f>
        <v/>
      </c>
      <c r="E3684" s="25" t="inlineStr">
        <is>
          <t>aupadhayay</t>
        </is>
      </c>
      <c r="F3684" s="25" t="n">
        <v>130372</v>
      </c>
      <c r="G3684" s="25" t="n">
        <v>2</v>
      </c>
      <c r="H3684" s="25" t="n">
        <v>14</v>
      </c>
      <c r="I3684" s="25" t="inlineStr">
        <is>
          <t>2 minute(s) and 30 second(s)</t>
        </is>
      </c>
      <c r="J3684" s="25">
        <f>IFERROR(VALUE(TRIM(LEFT(I3684,FIND("minute",I3684)-1)))*60,0)+IFERROR(VALUE(SUBSTITUTE(MID(I3684,IFERROR(FIND("and",I3684)+3,1),20),"second(s)","")),0)</f>
        <v/>
      </c>
      <c r="K3684" s="41">
        <f>J3684/60</f>
        <v/>
      </c>
      <c r="L3684" s="41">
        <f>IFERROR(J3684/H3684,"")</f>
        <v/>
      </c>
      <c r="M3684" s="25" t="inlineStr">
        <is>
          <t>2.5.12</t>
        </is>
      </c>
      <c r="N3684" s="25">
        <f>IF(J3684&gt;300,1,0)</f>
        <v/>
      </c>
      <c r="O3684" s="25">
        <f>IF(J3684&gt;600,1,0)</f>
        <v/>
      </c>
      <c r="P3684" s="25">
        <f>IF(H3684&gt;0,J3684,"")</f>
        <v/>
      </c>
      <c r="Q3684" s="25">
        <f>TEXT(A3684,"YYYY-MM-DD HH")</f>
        <v/>
      </c>
      <c r="R3684" s="25">
        <f>COUNTIF($Q$2:$Q$5295,Q3684)</f>
        <v/>
      </c>
      <c r="S3684" s="25">
        <f>IF(R3684&lt;=2,"1-2",IF(R3684&lt;=5,"3-5",IF(R3684&lt;=10,"6-10","11+")))</f>
        <v/>
      </c>
    </row>
    <row r="3685">
      <c r="A3685" s="39" t="n">
        <v>46213.28763888889</v>
      </c>
      <c r="B3685" s="25">
        <f>TEXT(A3685,"YYYY-MM")</f>
        <v/>
      </c>
      <c r="C3685" s="25">
        <f>TEXT(A3685,"MMM-YYYY")</f>
        <v/>
      </c>
      <c r="D3685" s="40">
        <f>INT(A3685)-WEEKDAY(A3685,2)+1</f>
        <v/>
      </c>
      <c r="E3685" s="25" t="inlineStr">
        <is>
          <t>sswati</t>
        </is>
      </c>
      <c r="F3685" s="25" t="n">
        <v>131671</v>
      </c>
      <c r="G3685" s="25" t="n">
        <v>3</v>
      </c>
      <c r="H3685" s="25" t="n">
        <v>11</v>
      </c>
      <c r="I3685" s="25" t="inlineStr">
        <is>
          <t>47 second(s)</t>
        </is>
      </c>
      <c r="J3685" s="25">
        <f>IFERROR(VALUE(TRIM(LEFT(I3685,FIND("minute",I3685)-1)))*60,0)+IFERROR(VALUE(SUBSTITUTE(MID(I3685,IFERROR(FIND("and",I3685)+3,1),20),"second(s)","")),0)</f>
        <v/>
      </c>
      <c r="K3685" s="41">
        <f>J3685/60</f>
        <v/>
      </c>
      <c r="L3685" s="41">
        <f>IFERROR(J3685/H3685,"")</f>
        <v/>
      </c>
      <c r="M3685" s="25" t="inlineStr">
        <is>
          <t>2.5.12</t>
        </is>
      </c>
      <c r="N3685" s="25">
        <f>IF(J3685&gt;300,1,0)</f>
        <v/>
      </c>
      <c r="O3685" s="25">
        <f>IF(J3685&gt;600,1,0)</f>
        <v/>
      </c>
      <c r="P3685" s="25">
        <f>IF(H3685&gt;0,J3685,"")</f>
        <v/>
      </c>
      <c r="Q3685" s="25">
        <f>TEXT(A3685,"YYYY-MM-DD HH")</f>
        <v/>
      </c>
      <c r="R3685" s="25">
        <f>COUNTIF($Q$2:$Q$5295,Q3685)</f>
        <v/>
      </c>
      <c r="S3685" s="25">
        <f>IF(R3685&lt;=2,"1-2",IF(R3685&lt;=5,"3-5",IF(R3685&lt;=10,"6-10","11+")))</f>
        <v/>
      </c>
    </row>
    <row r="3686">
      <c r="A3686" s="39" t="n">
        <v>46213.29199074074</v>
      </c>
      <c r="B3686" s="25">
        <f>TEXT(A3686,"YYYY-MM")</f>
        <v/>
      </c>
      <c r="C3686" s="25">
        <f>TEXT(A3686,"MMM-YYYY")</f>
        <v/>
      </c>
      <c r="D3686" s="40">
        <f>INT(A3686)-WEEKDAY(A3686,2)+1</f>
        <v/>
      </c>
      <c r="E3686" s="25" t="inlineStr">
        <is>
          <t>bverma</t>
        </is>
      </c>
      <c r="F3686" s="25" t="n">
        <v>131969</v>
      </c>
      <c r="G3686" s="25" t="n">
        <v>2</v>
      </c>
      <c r="H3686" s="25" t="n">
        <v>13</v>
      </c>
      <c r="I3686" s="25" t="inlineStr">
        <is>
          <t>16 minute(s) and 19 second(s)</t>
        </is>
      </c>
      <c r="J3686" s="25">
        <f>IFERROR(VALUE(TRIM(LEFT(I3686,FIND("minute",I3686)-1)))*60,0)+IFERROR(VALUE(SUBSTITUTE(MID(I3686,IFERROR(FIND("and",I3686)+3,1),20),"second(s)","")),0)</f>
        <v/>
      </c>
      <c r="K3686" s="41">
        <f>J3686/60</f>
        <v/>
      </c>
      <c r="L3686" s="41">
        <f>IFERROR(J3686/H3686,"")</f>
        <v/>
      </c>
      <c r="M3686" s="25" t="inlineStr">
        <is>
          <t>2.5.12</t>
        </is>
      </c>
      <c r="N3686" s="25">
        <f>IF(J3686&gt;300,1,0)</f>
        <v/>
      </c>
      <c r="O3686" s="25">
        <f>IF(J3686&gt;600,1,0)</f>
        <v/>
      </c>
      <c r="P3686" s="25">
        <f>IF(H3686&gt;0,J3686,"")</f>
        <v/>
      </c>
      <c r="Q3686" s="25">
        <f>TEXT(A3686,"YYYY-MM-DD HH")</f>
        <v/>
      </c>
      <c r="R3686" s="25">
        <f>COUNTIF($Q$2:$Q$5295,Q3686)</f>
        <v/>
      </c>
      <c r="S3686" s="25">
        <f>IF(R3686&lt;=2,"1-2",IF(R3686&lt;=5,"3-5",IF(R3686&lt;=10,"6-10","11+")))</f>
        <v/>
      </c>
    </row>
    <row r="3687">
      <c r="A3687" s="39" t="n">
        <v>46213.29291666667</v>
      </c>
      <c r="B3687" s="25">
        <f>TEXT(A3687,"YYYY-MM")</f>
        <v/>
      </c>
      <c r="C3687" s="25">
        <f>TEXT(A3687,"MMM-YYYY")</f>
        <v/>
      </c>
      <c r="D3687" s="40">
        <f>INT(A3687)-WEEKDAY(A3687,2)+1</f>
        <v/>
      </c>
      <c r="E3687" s="25" t="inlineStr">
        <is>
          <t>adey</t>
        </is>
      </c>
      <c r="F3687" s="25" t="n">
        <v>128280</v>
      </c>
      <c r="G3687" s="25" t="n">
        <v>1</v>
      </c>
      <c r="H3687" s="25" t="n">
        <v>5</v>
      </c>
      <c r="I3687" s="25" t="inlineStr">
        <is>
          <t>21 second(s)</t>
        </is>
      </c>
      <c r="J3687" s="25">
        <f>IFERROR(VALUE(TRIM(LEFT(I3687,FIND("minute",I3687)-1)))*60,0)+IFERROR(VALUE(SUBSTITUTE(MID(I3687,IFERROR(FIND("and",I3687)+3,1),20),"second(s)","")),0)</f>
        <v/>
      </c>
      <c r="K3687" s="41">
        <f>J3687/60</f>
        <v/>
      </c>
      <c r="L3687" s="41">
        <f>IFERROR(J3687/H3687,"")</f>
        <v/>
      </c>
      <c r="M3687" s="25" t="inlineStr">
        <is>
          <t>2.5.12</t>
        </is>
      </c>
      <c r="N3687" s="25">
        <f>IF(J3687&gt;300,1,0)</f>
        <v/>
      </c>
      <c r="O3687" s="25">
        <f>IF(J3687&gt;600,1,0)</f>
        <v/>
      </c>
      <c r="P3687" s="25">
        <f>IF(H3687&gt;0,J3687,"")</f>
        <v/>
      </c>
      <c r="Q3687" s="25">
        <f>TEXT(A3687,"YYYY-MM-DD HH")</f>
        <v/>
      </c>
      <c r="R3687" s="25">
        <f>COUNTIF($Q$2:$Q$5295,Q3687)</f>
        <v/>
      </c>
      <c r="S3687" s="25">
        <f>IF(R3687&lt;=2,"1-2",IF(R3687&lt;=5,"3-5",IF(R3687&lt;=10,"6-10","11+")))</f>
        <v/>
      </c>
    </row>
    <row r="3688">
      <c r="A3688" s="39" t="n">
        <v>46213.29565972222</v>
      </c>
      <c r="B3688" s="25">
        <f>TEXT(A3688,"YYYY-MM")</f>
        <v/>
      </c>
      <c r="C3688" s="25">
        <f>TEXT(A3688,"MMM-YYYY")</f>
        <v/>
      </c>
      <c r="D3688" s="40">
        <f>INT(A3688)-WEEKDAY(A3688,2)+1</f>
        <v/>
      </c>
      <c r="E3688" s="25" t="inlineStr">
        <is>
          <t>npriya</t>
        </is>
      </c>
      <c r="F3688" s="25" t="n">
        <v>131934</v>
      </c>
      <c r="G3688" s="25" t="n">
        <v>3</v>
      </c>
      <c r="H3688" s="25" t="n">
        <v>9</v>
      </c>
      <c r="I3688" s="25" t="inlineStr">
        <is>
          <t>52 second(s)</t>
        </is>
      </c>
      <c r="J3688" s="25">
        <f>IFERROR(VALUE(TRIM(LEFT(I3688,FIND("minute",I3688)-1)))*60,0)+IFERROR(VALUE(SUBSTITUTE(MID(I3688,IFERROR(FIND("and",I3688)+3,1),20),"second(s)","")),0)</f>
        <v/>
      </c>
      <c r="K3688" s="41">
        <f>J3688/60</f>
        <v/>
      </c>
      <c r="L3688" s="41">
        <f>IFERROR(J3688/H3688,"")</f>
        <v/>
      </c>
      <c r="M3688" s="25" t="inlineStr">
        <is>
          <t>2.5.12</t>
        </is>
      </c>
      <c r="N3688" s="25">
        <f>IF(J3688&gt;300,1,0)</f>
        <v/>
      </c>
      <c r="O3688" s="25">
        <f>IF(J3688&gt;600,1,0)</f>
        <v/>
      </c>
      <c r="P3688" s="25">
        <f>IF(H3688&gt;0,J3688,"")</f>
        <v/>
      </c>
      <c r="Q3688" s="25">
        <f>TEXT(A3688,"YYYY-MM-DD HH")</f>
        <v/>
      </c>
      <c r="R3688" s="25">
        <f>COUNTIF($Q$2:$Q$5295,Q3688)</f>
        <v/>
      </c>
      <c r="S3688" s="25">
        <f>IF(R3688&lt;=2,"1-2",IF(R3688&lt;=5,"3-5",IF(R3688&lt;=10,"6-10","11+")))</f>
        <v/>
      </c>
    </row>
    <row r="3689">
      <c r="A3689" s="39" t="n">
        <v>46213.3165625</v>
      </c>
      <c r="B3689" s="25">
        <f>TEXT(A3689,"YYYY-MM")</f>
        <v/>
      </c>
      <c r="C3689" s="25">
        <f>TEXT(A3689,"MMM-YYYY")</f>
        <v/>
      </c>
      <c r="D3689" s="40">
        <f>INT(A3689)-WEEKDAY(A3689,2)+1</f>
        <v/>
      </c>
      <c r="E3689" s="25" t="inlineStr">
        <is>
          <t>bverma</t>
        </is>
      </c>
      <c r="F3689" s="25" t="n">
        <v>131905</v>
      </c>
      <c r="G3689" s="25" t="n">
        <v>1</v>
      </c>
      <c r="H3689" s="25" t="n">
        <v>7</v>
      </c>
      <c r="I3689" s="25" t="inlineStr">
        <is>
          <t>39 second(s)</t>
        </is>
      </c>
      <c r="J3689" s="25">
        <f>IFERROR(VALUE(TRIM(LEFT(I3689,FIND("minute",I3689)-1)))*60,0)+IFERROR(VALUE(SUBSTITUTE(MID(I3689,IFERROR(FIND("and",I3689)+3,1),20),"second(s)","")),0)</f>
        <v/>
      </c>
      <c r="K3689" s="41">
        <f>J3689/60</f>
        <v/>
      </c>
      <c r="L3689" s="41">
        <f>IFERROR(J3689/H3689,"")</f>
        <v/>
      </c>
      <c r="M3689" s="25" t="inlineStr">
        <is>
          <t>2.5.12</t>
        </is>
      </c>
      <c r="N3689" s="25">
        <f>IF(J3689&gt;300,1,0)</f>
        <v/>
      </c>
      <c r="O3689" s="25">
        <f>IF(J3689&gt;600,1,0)</f>
        <v/>
      </c>
      <c r="P3689" s="25">
        <f>IF(H3689&gt;0,J3689,"")</f>
        <v/>
      </c>
      <c r="Q3689" s="25">
        <f>TEXT(A3689,"YYYY-MM-DD HH")</f>
        <v/>
      </c>
      <c r="R3689" s="25">
        <f>COUNTIF($Q$2:$Q$5295,Q3689)</f>
        <v/>
      </c>
      <c r="S3689" s="25">
        <f>IF(R3689&lt;=2,"1-2",IF(R3689&lt;=5,"3-5",IF(R3689&lt;=10,"6-10","11+")))</f>
        <v/>
      </c>
    </row>
    <row r="3690">
      <c r="A3690" s="39" t="n">
        <v>46213.33184027778</v>
      </c>
      <c r="B3690" s="25">
        <f>TEXT(A3690,"YYYY-MM")</f>
        <v/>
      </c>
      <c r="C3690" s="25">
        <f>TEXT(A3690,"MMM-YYYY")</f>
        <v/>
      </c>
      <c r="D3690" s="40">
        <f>INT(A3690)-WEEKDAY(A3690,2)+1</f>
        <v/>
      </c>
      <c r="E3690" s="25" t="inlineStr">
        <is>
          <t>aupadhayay</t>
        </is>
      </c>
      <c r="F3690" s="25" t="n">
        <v>129660</v>
      </c>
      <c r="G3690" s="25" t="n">
        <v>1</v>
      </c>
      <c r="H3690" s="25" t="n">
        <v>5</v>
      </c>
      <c r="I3690" s="25" t="inlineStr">
        <is>
          <t>34 second(s)</t>
        </is>
      </c>
      <c r="J3690" s="25">
        <f>IFERROR(VALUE(TRIM(LEFT(I3690,FIND("minute",I3690)-1)))*60,0)+IFERROR(VALUE(SUBSTITUTE(MID(I3690,IFERROR(FIND("and",I3690)+3,1),20),"second(s)","")),0)</f>
        <v/>
      </c>
      <c r="K3690" s="41">
        <f>J3690/60</f>
        <v/>
      </c>
      <c r="L3690" s="41">
        <f>IFERROR(J3690/H3690,"")</f>
        <v/>
      </c>
      <c r="M3690" s="25" t="inlineStr">
        <is>
          <t>2.5.12</t>
        </is>
      </c>
      <c r="N3690" s="25">
        <f>IF(J3690&gt;300,1,0)</f>
        <v/>
      </c>
      <c r="O3690" s="25">
        <f>IF(J3690&gt;600,1,0)</f>
        <v/>
      </c>
      <c r="P3690" s="25">
        <f>IF(H3690&gt;0,J3690,"")</f>
        <v/>
      </c>
      <c r="Q3690" s="25">
        <f>TEXT(A3690,"YYYY-MM-DD HH")</f>
        <v/>
      </c>
      <c r="R3690" s="25">
        <f>COUNTIF($Q$2:$Q$5295,Q3690)</f>
        <v/>
      </c>
      <c r="S3690" s="25">
        <f>IF(R3690&lt;=2,"1-2",IF(R3690&lt;=5,"3-5",IF(R3690&lt;=10,"6-10","11+")))</f>
        <v/>
      </c>
    </row>
    <row r="3691">
      <c r="A3691" s="39" t="n">
        <v>46213.3547800926</v>
      </c>
      <c r="B3691" s="25">
        <f>TEXT(A3691,"YYYY-MM")</f>
        <v/>
      </c>
      <c r="C3691" s="25">
        <f>TEXT(A3691,"MMM-YYYY")</f>
        <v/>
      </c>
      <c r="D3691" s="40">
        <f>INT(A3691)-WEEKDAY(A3691,2)+1</f>
        <v/>
      </c>
      <c r="E3691" s="25" t="inlineStr">
        <is>
          <t>dbhattacharyya</t>
        </is>
      </c>
      <c r="F3691" s="25" t="n">
        <v>132163</v>
      </c>
      <c r="G3691" s="25" t="n">
        <v>2</v>
      </c>
      <c r="H3691" s="25" t="n">
        <v>9</v>
      </c>
      <c r="I3691" s="25" t="inlineStr">
        <is>
          <t>1 minute(s) and 26 second(s)</t>
        </is>
      </c>
      <c r="J3691" s="25">
        <f>IFERROR(VALUE(TRIM(LEFT(I3691,FIND("minute",I3691)-1)))*60,0)+IFERROR(VALUE(SUBSTITUTE(MID(I3691,IFERROR(FIND("and",I3691)+3,1),20),"second(s)","")),0)</f>
        <v/>
      </c>
      <c r="K3691" s="41">
        <f>J3691/60</f>
        <v/>
      </c>
      <c r="L3691" s="41">
        <f>IFERROR(J3691/H3691,"")</f>
        <v/>
      </c>
      <c r="M3691" s="25" t="inlineStr">
        <is>
          <t>2.5.12</t>
        </is>
      </c>
      <c r="N3691" s="25">
        <f>IF(J3691&gt;300,1,0)</f>
        <v/>
      </c>
      <c r="O3691" s="25">
        <f>IF(J3691&gt;600,1,0)</f>
        <v/>
      </c>
      <c r="P3691" s="25">
        <f>IF(H3691&gt;0,J3691,"")</f>
        <v/>
      </c>
      <c r="Q3691" s="25">
        <f>TEXT(A3691,"YYYY-MM-DD HH")</f>
        <v/>
      </c>
      <c r="R3691" s="25">
        <f>COUNTIF($Q$2:$Q$5295,Q3691)</f>
        <v/>
      </c>
      <c r="S3691" s="25">
        <f>IF(R3691&lt;=2,"1-2",IF(R3691&lt;=5,"3-5",IF(R3691&lt;=10,"6-10","11+")))</f>
        <v/>
      </c>
    </row>
    <row r="3692">
      <c r="A3692" s="39" t="n">
        <v>46213.35887731481</v>
      </c>
      <c r="B3692" s="25">
        <f>TEXT(A3692,"YYYY-MM")</f>
        <v/>
      </c>
      <c r="C3692" s="25">
        <f>TEXT(A3692,"MMM-YYYY")</f>
        <v/>
      </c>
      <c r="D3692" s="40">
        <f>INT(A3692)-WEEKDAY(A3692,2)+1</f>
        <v/>
      </c>
      <c r="E3692" s="25" t="inlineStr">
        <is>
          <t>adey</t>
        </is>
      </c>
      <c r="F3692" s="25" t="n">
        <v>128360</v>
      </c>
      <c r="G3692" s="25" t="n">
        <v>2</v>
      </c>
      <c r="H3692" s="25" t="n">
        <v>10</v>
      </c>
      <c r="I3692" s="25" t="inlineStr">
        <is>
          <t>48 second(s)</t>
        </is>
      </c>
      <c r="J3692" s="25">
        <f>IFERROR(VALUE(TRIM(LEFT(I3692,FIND("minute",I3692)-1)))*60,0)+IFERROR(VALUE(SUBSTITUTE(MID(I3692,IFERROR(FIND("and",I3692)+3,1),20),"second(s)","")),0)</f>
        <v/>
      </c>
      <c r="K3692" s="41">
        <f>J3692/60</f>
        <v/>
      </c>
      <c r="L3692" s="41">
        <f>IFERROR(J3692/H3692,"")</f>
        <v/>
      </c>
      <c r="M3692" s="25" t="inlineStr">
        <is>
          <t>2.5.12</t>
        </is>
      </c>
      <c r="N3692" s="25">
        <f>IF(J3692&gt;300,1,0)</f>
        <v/>
      </c>
      <c r="O3692" s="25">
        <f>IF(J3692&gt;600,1,0)</f>
        <v/>
      </c>
      <c r="P3692" s="25">
        <f>IF(H3692&gt;0,J3692,"")</f>
        <v/>
      </c>
      <c r="Q3692" s="25">
        <f>TEXT(A3692,"YYYY-MM-DD HH")</f>
        <v/>
      </c>
      <c r="R3692" s="25">
        <f>COUNTIF($Q$2:$Q$5295,Q3692)</f>
        <v/>
      </c>
      <c r="S3692" s="25">
        <f>IF(R3692&lt;=2,"1-2",IF(R3692&lt;=5,"3-5",IF(R3692&lt;=10,"6-10","11+")))</f>
        <v/>
      </c>
    </row>
    <row r="3693">
      <c r="A3693" s="39" t="n">
        <v>46213.3656712963</v>
      </c>
      <c r="B3693" s="25">
        <f>TEXT(A3693,"YYYY-MM")</f>
        <v/>
      </c>
      <c r="C3693" s="25">
        <f>TEXT(A3693,"MMM-YYYY")</f>
        <v/>
      </c>
      <c r="D3693" s="40">
        <f>INT(A3693)-WEEKDAY(A3693,2)+1</f>
        <v/>
      </c>
      <c r="E3693" s="25" t="inlineStr">
        <is>
          <t>bverma</t>
        </is>
      </c>
      <c r="F3693" s="25" t="n">
        <v>132271</v>
      </c>
      <c r="G3693" s="25" t="n">
        <v>1</v>
      </c>
      <c r="H3693" s="25" t="n">
        <v>7</v>
      </c>
      <c r="I3693" s="25" t="inlineStr">
        <is>
          <t>33 second(s)</t>
        </is>
      </c>
      <c r="J3693" s="25">
        <f>IFERROR(VALUE(TRIM(LEFT(I3693,FIND("minute",I3693)-1)))*60,0)+IFERROR(VALUE(SUBSTITUTE(MID(I3693,IFERROR(FIND("and",I3693)+3,1),20),"second(s)","")),0)</f>
        <v/>
      </c>
      <c r="K3693" s="41">
        <f>J3693/60</f>
        <v/>
      </c>
      <c r="L3693" s="41">
        <f>IFERROR(J3693/H3693,"")</f>
        <v/>
      </c>
      <c r="M3693" s="25" t="inlineStr">
        <is>
          <t>2.5.12</t>
        </is>
      </c>
      <c r="N3693" s="25">
        <f>IF(J3693&gt;300,1,0)</f>
        <v/>
      </c>
      <c r="O3693" s="25">
        <f>IF(J3693&gt;600,1,0)</f>
        <v/>
      </c>
      <c r="P3693" s="25">
        <f>IF(H3693&gt;0,J3693,"")</f>
        <v/>
      </c>
      <c r="Q3693" s="25">
        <f>TEXT(A3693,"YYYY-MM-DD HH")</f>
        <v/>
      </c>
      <c r="R3693" s="25">
        <f>COUNTIF($Q$2:$Q$5295,Q3693)</f>
        <v/>
      </c>
      <c r="S3693" s="25">
        <f>IF(R3693&lt;=2,"1-2",IF(R3693&lt;=5,"3-5",IF(R3693&lt;=10,"6-10","11+")))</f>
        <v/>
      </c>
    </row>
    <row r="3694">
      <c r="A3694" s="39" t="n">
        <v>46213.36959490741</v>
      </c>
      <c r="B3694" s="25">
        <f>TEXT(A3694,"YYYY-MM")</f>
        <v/>
      </c>
      <c r="C3694" s="25">
        <f>TEXT(A3694,"MMM-YYYY")</f>
        <v/>
      </c>
      <c r="D3694" s="40">
        <f>INT(A3694)-WEEKDAY(A3694,2)+1</f>
        <v/>
      </c>
      <c r="E3694" s="25" t="inlineStr">
        <is>
          <t>bverma</t>
        </is>
      </c>
      <c r="F3694" s="25" t="n">
        <v>132271</v>
      </c>
      <c r="G3694" s="25" t="n">
        <v>1</v>
      </c>
      <c r="H3694" s="25" t="n">
        <v>8</v>
      </c>
      <c r="I3694" s="25" t="inlineStr">
        <is>
          <t>34 second(s)</t>
        </is>
      </c>
      <c r="J3694" s="25">
        <f>IFERROR(VALUE(TRIM(LEFT(I3694,FIND("minute",I3694)-1)))*60,0)+IFERROR(VALUE(SUBSTITUTE(MID(I3694,IFERROR(FIND("and",I3694)+3,1),20),"second(s)","")),0)</f>
        <v/>
      </c>
      <c r="K3694" s="41">
        <f>J3694/60</f>
        <v/>
      </c>
      <c r="L3694" s="41">
        <f>IFERROR(J3694/H3694,"")</f>
        <v/>
      </c>
      <c r="M3694" s="25" t="inlineStr">
        <is>
          <t>2.5.12</t>
        </is>
      </c>
      <c r="N3694" s="25">
        <f>IF(J3694&gt;300,1,0)</f>
        <v/>
      </c>
      <c r="O3694" s="25">
        <f>IF(J3694&gt;600,1,0)</f>
        <v/>
      </c>
      <c r="P3694" s="25">
        <f>IF(H3694&gt;0,J3694,"")</f>
        <v/>
      </c>
      <c r="Q3694" s="25">
        <f>TEXT(A3694,"YYYY-MM-DD HH")</f>
        <v/>
      </c>
      <c r="R3694" s="25">
        <f>COUNTIF($Q$2:$Q$5295,Q3694)</f>
        <v/>
      </c>
      <c r="S3694" s="25">
        <f>IF(R3694&lt;=2,"1-2",IF(R3694&lt;=5,"3-5",IF(R3694&lt;=10,"6-10","11+")))</f>
        <v/>
      </c>
    </row>
    <row r="3695">
      <c r="A3695" s="39" t="n">
        <v>46213.37363425926</v>
      </c>
      <c r="B3695" s="25">
        <f>TEXT(A3695,"YYYY-MM")</f>
        <v/>
      </c>
      <c r="C3695" s="25">
        <f>TEXT(A3695,"MMM-YYYY")</f>
        <v/>
      </c>
      <c r="D3695" s="40">
        <f>INT(A3695)-WEEKDAY(A3695,2)+1</f>
        <v/>
      </c>
      <c r="E3695" s="25" t="inlineStr">
        <is>
          <t>aupadhayay</t>
        </is>
      </c>
      <c r="F3695" s="25" t="n">
        <v>128324</v>
      </c>
      <c r="G3695" s="25" t="n">
        <v>2</v>
      </c>
      <c r="H3695" s="25" t="n">
        <v>12</v>
      </c>
      <c r="I3695" s="25" t="inlineStr">
        <is>
          <t>1 minute(s) and 42 second(s)</t>
        </is>
      </c>
      <c r="J3695" s="25">
        <f>IFERROR(VALUE(TRIM(LEFT(I3695,FIND("minute",I3695)-1)))*60,0)+IFERROR(VALUE(SUBSTITUTE(MID(I3695,IFERROR(FIND("and",I3695)+3,1),20),"second(s)","")),0)</f>
        <v/>
      </c>
      <c r="K3695" s="41">
        <f>J3695/60</f>
        <v/>
      </c>
      <c r="L3695" s="41">
        <f>IFERROR(J3695/H3695,"")</f>
        <v/>
      </c>
      <c r="M3695" s="25" t="inlineStr">
        <is>
          <t>2.5.12</t>
        </is>
      </c>
      <c r="N3695" s="25">
        <f>IF(J3695&gt;300,1,0)</f>
        <v/>
      </c>
      <c r="O3695" s="25">
        <f>IF(J3695&gt;600,1,0)</f>
        <v/>
      </c>
      <c r="P3695" s="25">
        <f>IF(H3695&gt;0,J3695,"")</f>
        <v/>
      </c>
      <c r="Q3695" s="25">
        <f>TEXT(A3695,"YYYY-MM-DD HH")</f>
        <v/>
      </c>
      <c r="R3695" s="25">
        <f>COUNTIF($Q$2:$Q$5295,Q3695)</f>
        <v/>
      </c>
      <c r="S3695" s="25">
        <f>IF(R3695&lt;=2,"1-2",IF(R3695&lt;=5,"3-5",IF(R3695&lt;=10,"6-10","11+")))</f>
        <v/>
      </c>
    </row>
    <row r="3696">
      <c r="A3696" s="39" t="n">
        <v>46213.40471064814</v>
      </c>
      <c r="B3696" s="25">
        <f>TEXT(A3696,"YYYY-MM")</f>
        <v/>
      </c>
      <c r="C3696" s="25">
        <f>TEXT(A3696,"MMM-YYYY")</f>
        <v/>
      </c>
      <c r="D3696" s="40">
        <f>INT(A3696)-WEEKDAY(A3696,2)+1</f>
        <v/>
      </c>
      <c r="E3696" s="25" t="inlineStr">
        <is>
          <t>psathwika</t>
        </is>
      </c>
      <c r="F3696" s="25" t="n">
        <v>131963</v>
      </c>
      <c r="G3696" s="25" t="n">
        <v>2</v>
      </c>
      <c r="H3696" s="25" t="n">
        <v>10</v>
      </c>
      <c r="I3696" s="25" t="inlineStr">
        <is>
          <t>1 minute(s) and 9 second(s)</t>
        </is>
      </c>
      <c r="J3696" s="25">
        <f>IFERROR(VALUE(TRIM(LEFT(I3696,FIND("minute",I3696)-1)))*60,0)+IFERROR(VALUE(SUBSTITUTE(MID(I3696,IFERROR(FIND("and",I3696)+3,1),20),"second(s)","")),0)</f>
        <v/>
      </c>
      <c r="K3696" s="41">
        <f>J3696/60</f>
        <v/>
      </c>
      <c r="L3696" s="41">
        <f>IFERROR(J3696/H3696,"")</f>
        <v/>
      </c>
      <c r="M3696" s="25" t="inlineStr">
        <is>
          <t>2.5.12</t>
        </is>
      </c>
      <c r="N3696" s="25">
        <f>IF(J3696&gt;300,1,0)</f>
        <v/>
      </c>
      <c r="O3696" s="25">
        <f>IF(J3696&gt;600,1,0)</f>
        <v/>
      </c>
      <c r="P3696" s="25">
        <f>IF(H3696&gt;0,J3696,"")</f>
        <v/>
      </c>
      <c r="Q3696" s="25">
        <f>TEXT(A3696,"YYYY-MM-DD HH")</f>
        <v/>
      </c>
      <c r="R3696" s="25">
        <f>COUNTIF($Q$2:$Q$5295,Q3696)</f>
        <v/>
      </c>
      <c r="S3696" s="25">
        <f>IF(R3696&lt;=2,"1-2",IF(R3696&lt;=5,"3-5",IF(R3696&lt;=10,"6-10","11+")))</f>
        <v/>
      </c>
    </row>
    <row r="3697">
      <c r="A3697" s="39" t="n">
        <v>46213.40480324074</v>
      </c>
      <c r="B3697" s="25">
        <f>TEXT(A3697,"YYYY-MM")</f>
        <v/>
      </c>
      <c r="C3697" s="25">
        <f>TEXT(A3697,"MMM-YYYY")</f>
        <v/>
      </c>
      <c r="D3697" s="40">
        <f>INT(A3697)-WEEKDAY(A3697,2)+1</f>
        <v/>
      </c>
      <c r="E3697" s="25" t="inlineStr">
        <is>
          <t>npriya</t>
        </is>
      </c>
      <c r="F3697" s="25" t="n">
        <v>130915</v>
      </c>
      <c r="G3697" s="25" t="n">
        <v>1</v>
      </c>
      <c r="H3697" s="25" t="n">
        <v>5</v>
      </c>
      <c r="I3697" s="25" t="inlineStr">
        <is>
          <t>1 minute(s) and 30 second(s)</t>
        </is>
      </c>
      <c r="J3697" s="25">
        <f>IFERROR(VALUE(TRIM(LEFT(I3697,FIND("minute",I3697)-1)))*60,0)+IFERROR(VALUE(SUBSTITUTE(MID(I3697,IFERROR(FIND("and",I3697)+3,1),20),"second(s)","")),0)</f>
        <v/>
      </c>
      <c r="K3697" s="41">
        <f>J3697/60</f>
        <v/>
      </c>
      <c r="L3697" s="41">
        <f>IFERROR(J3697/H3697,"")</f>
        <v/>
      </c>
      <c r="M3697" s="25" t="inlineStr">
        <is>
          <t>2.5.12</t>
        </is>
      </c>
      <c r="N3697" s="25">
        <f>IF(J3697&gt;300,1,0)</f>
        <v/>
      </c>
      <c r="O3697" s="25">
        <f>IF(J3697&gt;600,1,0)</f>
        <v/>
      </c>
      <c r="P3697" s="25">
        <f>IF(H3697&gt;0,J3697,"")</f>
        <v/>
      </c>
      <c r="Q3697" s="25">
        <f>TEXT(A3697,"YYYY-MM-DD HH")</f>
        <v/>
      </c>
      <c r="R3697" s="25">
        <f>COUNTIF($Q$2:$Q$5295,Q3697)</f>
        <v/>
      </c>
      <c r="S3697" s="25">
        <f>IF(R3697&lt;=2,"1-2",IF(R3697&lt;=5,"3-5",IF(R3697&lt;=10,"6-10","11+")))</f>
        <v/>
      </c>
    </row>
    <row r="3698">
      <c r="A3698" s="39" t="n">
        <v>46213.41364583333</v>
      </c>
      <c r="B3698" s="25">
        <f>TEXT(A3698,"YYYY-MM")</f>
        <v/>
      </c>
      <c r="C3698" s="25">
        <f>TEXT(A3698,"MMM-YYYY")</f>
        <v/>
      </c>
      <c r="D3698" s="40">
        <f>INT(A3698)-WEEKDAY(A3698,2)+1</f>
        <v/>
      </c>
      <c r="E3698" s="25" t="inlineStr">
        <is>
          <t>dbhattacharyya</t>
        </is>
      </c>
      <c r="F3698" s="25" t="n">
        <v>132211</v>
      </c>
      <c r="G3698" s="25" t="n">
        <v>4</v>
      </c>
      <c r="H3698" s="25" t="n">
        <v>16</v>
      </c>
      <c r="I3698" s="25" t="inlineStr">
        <is>
          <t>1 minute(s) and 56 second(s)</t>
        </is>
      </c>
      <c r="J3698" s="25">
        <f>IFERROR(VALUE(TRIM(LEFT(I3698,FIND("minute",I3698)-1)))*60,0)+IFERROR(VALUE(SUBSTITUTE(MID(I3698,IFERROR(FIND("and",I3698)+3,1),20),"second(s)","")),0)</f>
        <v/>
      </c>
      <c r="K3698" s="41">
        <f>J3698/60</f>
        <v/>
      </c>
      <c r="L3698" s="41">
        <f>IFERROR(J3698/H3698,"")</f>
        <v/>
      </c>
      <c r="M3698" s="25" t="inlineStr">
        <is>
          <t>2.5.12</t>
        </is>
      </c>
      <c r="N3698" s="25">
        <f>IF(J3698&gt;300,1,0)</f>
        <v/>
      </c>
      <c r="O3698" s="25">
        <f>IF(J3698&gt;600,1,0)</f>
        <v/>
      </c>
      <c r="P3698" s="25">
        <f>IF(H3698&gt;0,J3698,"")</f>
        <v/>
      </c>
      <c r="Q3698" s="25">
        <f>TEXT(A3698,"YYYY-MM-DD HH")</f>
        <v/>
      </c>
      <c r="R3698" s="25">
        <f>COUNTIF($Q$2:$Q$5295,Q3698)</f>
        <v/>
      </c>
      <c r="S3698" s="25">
        <f>IF(R3698&lt;=2,"1-2",IF(R3698&lt;=5,"3-5",IF(R3698&lt;=10,"6-10","11+")))</f>
        <v/>
      </c>
    </row>
    <row r="3699">
      <c r="A3699" s="39" t="n">
        <v>46213.4184837963</v>
      </c>
      <c r="B3699" s="25">
        <f>TEXT(A3699,"YYYY-MM")</f>
        <v/>
      </c>
      <c r="C3699" s="25">
        <f>TEXT(A3699,"MMM-YYYY")</f>
        <v/>
      </c>
      <c r="D3699" s="40">
        <f>INT(A3699)-WEEKDAY(A3699,2)+1</f>
        <v/>
      </c>
      <c r="E3699" s="25" t="inlineStr">
        <is>
          <t>npriya</t>
        </is>
      </c>
      <c r="F3699" s="25" t="n">
        <v>130875</v>
      </c>
      <c r="G3699" s="25" t="n">
        <v>2</v>
      </c>
      <c r="H3699" s="25" t="n">
        <v>8</v>
      </c>
      <c r="I3699" s="25" t="inlineStr">
        <is>
          <t>1 minute(s) and 33 second(s)</t>
        </is>
      </c>
      <c r="J3699" s="25">
        <f>IFERROR(VALUE(TRIM(LEFT(I3699,FIND("minute",I3699)-1)))*60,0)+IFERROR(VALUE(SUBSTITUTE(MID(I3699,IFERROR(FIND("and",I3699)+3,1),20),"second(s)","")),0)</f>
        <v/>
      </c>
      <c r="K3699" s="41">
        <f>J3699/60</f>
        <v/>
      </c>
      <c r="L3699" s="41">
        <f>IFERROR(J3699/H3699,"")</f>
        <v/>
      </c>
      <c r="M3699" s="25" t="inlineStr">
        <is>
          <t>2.5.12</t>
        </is>
      </c>
      <c r="N3699" s="25">
        <f>IF(J3699&gt;300,1,0)</f>
        <v/>
      </c>
      <c r="O3699" s="25">
        <f>IF(J3699&gt;600,1,0)</f>
        <v/>
      </c>
      <c r="P3699" s="25">
        <f>IF(H3699&gt;0,J3699,"")</f>
        <v/>
      </c>
      <c r="Q3699" s="25">
        <f>TEXT(A3699,"YYYY-MM-DD HH")</f>
        <v/>
      </c>
      <c r="R3699" s="25">
        <f>COUNTIF($Q$2:$Q$5295,Q3699)</f>
        <v/>
      </c>
      <c r="S3699" s="25">
        <f>IF(R3699&lt;=2,"1-2",IF(R3699&lt;=5,"3-5",IF(R3699&lt;=10,"6-10","11+")))</f>
        <v/>
      </c>
    </row>
    <row r="3700">
      <c r="A3700" s="39" t="n">
        <v>46213.43978009259</v>
      </c>
      <c r="B3700" s="25">
        <f>TEXT(A3700,"YYYY-MM")</f>
        <v/>
      </c>
      <c r="C3700" s="25">
        <f>TEXT(A3700,"MMM-YYYY")</f>
        <v/>
      </c>
      <c r="D3700" s="40">
        <f>INT(A3700)-WEEKDAY(A3700,2)+1</f>
        <v/>
      </c>
      <c r="E3700" s="25" t="inlineStr">
        <is>
          <t>psathwika</t>
        </is>
      </c>
      <c r="F3700" s="25" t="n">
        <v>131843</v>
      </c>
      <c r="G3700" s="25" t="n">
        <v>2</v>
      </c>
      <c r="H3700" s="25" t="n">
        <v>10</v>
      </c>
      <c r="I3700" s="25" t="inlineStr">
        <is>
          <t>1 minute(s) and 2 second(s)</t>
        </is>
      </c>
      <c r="J3700" s="25">
        <f>IFERROR(VALUE(TRIM(LEFT(I3700,FIND("minute",I3700)-1)))*60,0)+IFERROR(VALUE(SUBSTITUTE(MID(I3700,IFERROR(FIND("and",I3700)+3,1),20),"second(s)","")),0)</f>
        <v/>
      </c>
      <c r="K3700" s="41">
        <f>J3700/60</f>
        <v/>
      </c>
      <c r="L3700" s="41">
        <f>IFERROR(J3700/H3700,"")</f>
        <v/>
      </c>
      <c r="M3700" s="25" t="inlineStr">
        <is>
          <t>2.5.12</t>
        </is>
      </c>
      <c r="N3700" s="25">
        <f>IF(J3700&gt;300,1,0)</f>
        <v/>
      </c>
      <c r="O3700" s="25">
        <f>IF(J3700&gt;600,1,0)</f>
        <v/>
      </c>
      <c r="P3700" s="25">
        <f>IF(H3700&gt;0,J3700,"")</f>
        <v/>
      </c>
      <c r="Q3700" s="25">
        <f>TEXT(A3700,"YYYY-MM-DD HH")</f>
        <v/>
      </c>
      <c r="R3700" s="25">
        <f>COUNTIF($Q$2:$Q$5295,Q3700)</f>
        <v/>
      </c>
      <c r="S3700" s="25">
        <f>IF(R3700&lt;=2,"1-2",IF(R3700&lt;=5,"3-5",IF(R3700&lt;=10,"6-10","11+")))</f>
        <v/>
      </c>
    </row>
    <row r="3701">
      <c r="A3701" s="39" t="n">
        <v>46213.44613425926</v>
      </c>
      <c r="B3701" s="25">
        <f>TEXT(A3701,"YYYY-MM")</f>
        <v/>
      </c>
      <c r="C3701" s="25">
        <f>TEXT(A3701,"MMM-YYYY")</f>
        <v/>
      </c>
      <c r="D3701" s="40">
        <f>INT(A3701)-WEEKDAY(A3701,2)+1</f>
        <v/>
      </c>
      <c r="E3701" s="25" t="inlineStr">
        <is>
          <t>aupadhayay</t>
        </is>
      </c>
      <c r="F3701" s="25" t="n">
        <v>131124</v>
      </c>
      <c r="G3701" s="25" t="n">
        <v>4</v>
      </c>
      <c r="H3701" s="25" t="n">
        <v>14</v>
      </c>
      <c r="I3701" s="25" t="inlineStr">
        <is>
          <t>2 minute(s) and 9 second(s)</t>
        </is>
      </c>
      <c r="J3701" s="25">
        <f>IFERROR(VALUE(TRIM(LEFT(I3701,FIND("minute",I3701)-1)))*60,0)+IFERROR(VALUE(SUBSTITUTE(MID(I3701,IFERROR(FIND("and",I3701)+3,1),20),"second(s)","")),0)</f>
        <v/>
      </c>
      <c r="K3701" s="41">
        <f>J3701/60</f>
        <v/>
      </c>
      <c r="L3701" s="41">
        <f>IFERROR(J3701/H3701,"")</f>
        <v/>
      </c>
      <c r="M3701" s="25" t="inlineStr">
        <is>
          <t>2.5.12</t>
        </is>
      </c>
      <c r="N3701" s="25">
        <f>IF(J3701&gt;300,1,0)</f>
        <v/>
      </c>
      <c r="O3701" s="25">
        <f>IF(J3701&gt;600,1,0)</f>
        <v/>
      </c>
      <c r="P3701" s="25">
        <f>IF(H3701&gt;0,J3701,"")</f>
        <v/>
      </c>
      <c r="Q3701" s="25">
        <f>TEXT(A3701,"YYYY-MM-DD HH")</f>
        <v/>
      </c>
      <c r="R3701" s="25">
        <f>COUNTIF($Q$2:$Q$5295,Q3701)</f>
        <v/>
      </c>
      <c r="S3701" s="25">
        <f>IF(R3701&lt;=2,"1-2",IF(R3701&lt;=5,"3-5",IF(R3701&lt;=10,"6-10","11+")))</f>
        <v/>
      </c>
    </row>
    <row r="3702">
      <c r="A3702" s="39" t="n">
        <v>46213.44836805556</v>
      </c>
      <c r="B3702" s="25">
        <f>TEXT(A3702,"YYYY-MM")</f>
        <v/>
      </c>
      <c r="C3702" s="25">
        <f>TEXT(A3702,"MMM-YYYY")</f>
        <v/>
      </c>
      <c r="D3702" s="40">
        <f>INT(A3702)-WEEKDAY(A3702,2)+1</f>
        <v/>
      </c>
      <c r="E3702" s="25" t="inlineStr">
        <is>
          <t>apriyadarshi</t>
        </is>
      </c>
      <c r="F3702" s="25" t="n">
        <v>129310</v>
      </c>
      <c r="G3702" s="25" t="n">
        <v>3</v>
      </c>
      <c r="H3702" s="25" t="n">
        <v>20</v>
      </c>
      <c r="I3702" s="25" t="inlineStr">
        <is>
          <t>1 minute(s) and 40 second(s)</t>
        </is>
      </c>
      <c r="J3702" s="25">
        <f>IFERROR(VALUE(TRIM(LEFT(I3702,FIND("minute",I3702)-1)))*60,0)+IFERROR(VALUE(SUBSTITUTE(MID(I3702,IFERROR(FIND("and",I3702)+3,1),20),"second(s)","")),0)</f>
        <v/>
      </c>
      <c r="K3702" s="41">
        <f>J3702/60</f>
        <v/>
      </c>
      <c r="L3702" s="41">
        <f>IFERROR(J3702/H3702,"")</f>
        <v/>
      </c>
      <c r="M3702" s="25" t="inlineStr">
        <is>
          <t>2.5.12</t>
        </is>
      </c>
      <c r="N3702" s="25">
        <f>IF(J3702&gt;300,1,0)</f>
        <v/>
      </c>
      <c r="O3702" s="25">
        <f>IF(J3702&gt;600,1,0)</f>
        <v/>
      </c>
      <c r="P3702" s="25">
        <f>IF(H3702&gt;0,J3702,"")</f>
        <v/>
      </c>
      <c r="Q3702" s="25">
        <f>TEXT(A3702,"YYYY-MM-DD HH")</f>
        <v/>
      </c>
      <c r="R3702" s="25">
        <f>COUNTIF($Q$2:$Q$5295,Q3702)</f>
        <v/>
      </c>
      <c r="S3702" s="25">
        <f>IF(R3702&lt;=2,"1-2",IF(R3702&lt;=5,"3-5",IF(R3702&lt;=10,"6-10","11+")))</f>
        <v/>
      </c>
    </row>
    <row r="3703">
      <c r="A3703" s="39" t="n">
        <v>46213.47733796296</v>
      </c>
      <c r="B3703" s="25">
        <f>TEXT(A3703,"YYYY-MM")</f>
        <v/>
      </c>
      <c r="C3703" s="25">
        <f>TEXT(A3703,"MMM-YYYY")</f>
        <v/>
      </c>
      <c r="D3703" s="40">
        <f>INT(A3703)-WEEKDAY(A3703,2)+1</f>
        <v/>
      </c>
      <c r="E3703" s="25" t="inlineStr">
        <is>
          <t>shasikha</t>
        </is>
      </c>
      <c r="F3703" s="25" t="n">
        <v>131740</v>
      </c>
      <c r="G3703" s="25" t="n">
        <v>4</v>
      </c>
      <c r="H3703" s="25" t="n">
        <v>14</v>
      </c>
      <c r="I3703" s="25" t="inlineStr">
        <is>
          <t>1 minute(s) and 10 second(s)</t>
        </is>
      </c>
      <c r="J3703" s="25">
        <f>IFERROR(VALUE(TRIM(LEFT(I3703,FIND("minute",I3703)-1)))*60,0)+IFERROR(VALUE(SUBSTITUTE(MID(I3703,IFERROR(FIND("and",I3703)+3,1),20),"second(s)","")),0)</f>
        <v/>
      </c>
      <c r="K3703" s="41">
        <f>J3703/60</f>
        <v/>
      </c>
      <c r="L3703" s="41">
        <f>IFERROR(J3703/H3703,"")</f>
        <v/>
      </c>
      <c r="M3703" s="25" t="inlineStr">
        <is>
          <t>2.5.12</t>
        </is>
      </c>
      <c r="N3703" s="25">
        <f>IF(J3703&gt;300,1,0)</f>
        <v/>
      </c>
      <c r="O3703" s="25">
        <f>IF(J3703&gt;600,1,0)</f>
        <v/>
      </c>
      <c r="P3703" s="25">
        <f>IF(H3703&gt;0,J3703,"")</f>
        <v/>
      </c>
      <c r="Q3703" s="25">
        <f>TEXT(A3703,"YYYY-MM-DD HH")</f>
        <v/>
      </c>
      <c r="R3703" s="25">
        <f>COUNTIF($Q$2:$Q$5295,Q3703)</f>
        <v/>
      </c>
      <c r="S3703" s="25">
        <f>IF(R3703&lt;=2,"1-2",IF(R3703&lt;=5,"3-5",IF(R3703&lt;=10,"6-10","11+")))</f>
        <v/>
      </c>
    </row>
    <row r="3704">
      <c r="A3704" s="39" t="n">
        <v>46213.48560185185</v>
      </c>
      <c r="B3704" s="25">
        <f>TEXT(A3704,"YYYY-MM")</f>
        <v/>
      </c>
      <c r="C3704" s="25">
        <f>TEXT(A3704,"MMM-YYYY")</f>
        <v/>
      </c>
      <c r="D3704" s="40">
        <f>INT(A3704)-WEEKDAY(A3704,2)+1</f>
        <v/>
      </c>
      <c r="E3704" s="25" t="inlineStr">
        <is>
          <t>adey</t>
        </is>
      </c>
      <c r="F3704" s="25" t="n">
        <v>129380</v>
      </c>
      <c r="G3704" s="25" t="n">
        <v>4</v>
      </c>
      <c r="H3704" s="25" t="n">
        <v>20</v>
      </c>
      <c r="I3704" s="25" t="inlineStr">
        <is>
          <t>1 minute(s) and 49 second(s)</t>
        </is>
      </c>
      <c r="J3704" s="25">
        <f>IFERROR(VALUE(TRIM(LEFT(I3704,FIND("minute",I3704)-1)))*60,0)+IFERROR(VALUE(SUBSTITUTE(MID(I3704,IFERROR(FIND("and",I3704)+3,1),20),"second(s)","")),0)</f>
        <v/>
      </c>
      <c r="K3704" s="41">
        <f>J3704/60</f>
        <v/>
      </c>
      <c r="L3704" s="41">
        <f>IFERROR(J3704/H3704,"")</f>
        <v/>
      </c>
      <c r="M3704" s="25" t="inlineStr">
        <is>
          <t>2.5.12</t>
        </is>
      </c>
      <c r="N3704" s="25">
        <f>IF(J3704&gt;300,1,0)</f>
        <v/>
      </c>
      <c r="O3704" s="25">
        <f>IF(J3704&gt;600,1,0)</f>
        <v/>
      </c>
      <c r="P3704" s="25">
        <f>IF(H3704&gt;0,J3704,"")</f>
        <v/>
      </c>
      <c r="Q3704" s="25">
        <f>TEXT(A3704,"YYYY-MM-DD HH")</f>
        <v/>
      </c>
      <c r="R3704" s="25">
        <f>COUNTIF($Q$2:$Q$5295,Q3704)</f>
        <v/>
      </c>
      <c r="S3704" s="25">
        <f>IF(R3704&lt;=2,"1-2",IF(R3704&lt;=5,"3-5",IF(R3704&lt;=10,"6-10","11+")))</f>
        <v/>
      </c>
    </row>
    <row r="3705">
      <c r="A3705" s="39" t="n">
        <v>46213.49635416667</v>
      </c>
      <c r="B3705" s="25">
        <f>TEXT(A3705,"YYYY-MM")</f>
        <v/>
      </c>
      <c r="C3705" s="25">
        <f>TEXT(A3705,"MMM-YYYY")</f>
        <v/>
      </c>
      <c r="D3705" s="40">
        <f>INT(A3705)-WEEKDAY(A3705,2)+1</f>
        <v/>
      </c>
      <c r="E3705" s="25" t="inlineStr">
        <is>
          <t>psathwika</t>
        </is>
      </c>
      <c r="F3705" s="25" t="n">
        <v>131811</v>
      </c>
      <c r="G3705" s="25" t="n">
        <v>3</v>
      </c>
      <c r="H3705" s="25" t="n">
        <v>18</v>
      </c>
      <c r="I3705" s="25" t="inlineStr">
        <is>
          <t>2 minute(s) and 17 second(s)</t>
        </is>
      </c>
      <c r="J3705" s="25">
        <f>IFERROR(VALUE(TRIM(LEFT(I3705,FIND("minute",I3705)-1)))*60,0)+IFERROR(VALUE(SUBSTITUTE(MID(I3705,IFERROR(FIND("and",I3705)+3,1),20),"second(s)","")),0)</f>
        <v/>
      </c>
      <c r="K3705" s="41">
        <f>J3705/60</f>
        <v/>
      </c>
      <c r="L3705" s="41">
        <f>IFERROR(J3705/H3705,"")</f>
        <v/>
      </c>
      <c r="M3705" s="25" t="inlineStr">
        <is>
          <t>2.5.12</t>
        </is>
      </c>
      <c r="N3705" s="25">
        <f>IF(J3705&gt;300,1,0)</f>
        <v/>
      </c>
      <c r="O3705" s="25">
        <f>IF(J3705&gt;600,1,0)</f>
        <v/>
      </c>
      <c r="P3705" s="25">
        <f>IF(H3705&gt;0,J3705,"")</f>
        <v/>
      </c>
      <c r="Q3705" s="25">
        <f>TEXT(A3705,"YYYY-MM-DD HH")</f>
        <v/>
      </c>
      <c r="R3705" s="25">
        <f>COUNTIF($Q$2:$Q$5295,Q3705)</f>
        <v/>
      </c>
      <c r="S3705" s="25">
        <f>IF(R3705&lt;=2,"1-2",IF(R3705&lt;=5,"3-5",IF(R3705&lt;=10,"6-10","11+")))</f>
        <v/>
      </c>
    </row>
    <row r="3706">
      <c r="A3706" s="39" t="n">
        <v>46213.52084490741</v>
      </c>
      <c r="B3706" s="25">
        <f>TEXT(A3706,"YYYY-MM")</f>
        <v/>
      </c>
      <c r="C3706" s="25">
        <f>TEXT(A3706,"MMM-YYYY")</f>
        <v/>
      </c>
      <c r="D3706" s="40">
        <f>INT(A3706)-WEEKDAY(A3706,2)+1</f>
        <v/>
      </c>
      <c r="E3706" s="25" t="inlineStr">
        <is>
          <t>shasikha</t>
        </is>
      </c>
      <c r="F3706" s="25" t="n">
        <v>130177</v>
      </c>
      <c r="G3706" s="25" t="n">
        <v>3</v>
      </c>
      <c r="H3706" s="25" t="n">
        <v>11</v>
      </c>
      <c r="I3706" s="25" t="inlineStr">
        <is>
          <t>1 minute(s) and 5 second(s)</t>
        </is>
      </c>
      <c r="J3706" s="25">
        <f>IFERROR(VALUE(TRIM(LEFT(I3706,FIND("minute",I3706)-1)))*60,0)+IFERROR(VALUE(SUBSTITUTE(MID(I3706,IFERROR(FIND("and",I3706)+3,1),20),"second(s)","")),0)</f>
        <v/>
      </c>
      <c r="K3706" s="41">
        <f>J3706/60</f>
        <v/>
      </c>
      <c r="L3706" s="41">
        <f>IFERROR(J3706/H3706,"")</f>
        <v/>
      </c>
      <c r="M3706" s="25" t="inlineStr">
        <is>
          <t>2.5.12</t>
        </is>
      </c>
      <c r="N3706" s="25">
        <f>IF(J3706&gt;300,1,0)</f>
        <v/>
      </c>
      <c r="O3706" s="25">
        <f>IF(J3706&gt;600,1,0)</f>
        <v/>
      </c>
      <c r="P3706" s="25">
        <f>IF(H3706&gt;0,J3706,"")</f>
        <v/>
      </c>
      <c r="Q3706" s="25">
        <f>TEXT(A3706,"YYYY-MM-DD HH")</f>
        <v/>
      </c>
      <c r="R3706" s="25">
        <f>COUNTIF($Q$2:$Q$5295,Q3706)</f>
        <v/>
      </c>
      <c r="S3706" s="25">
        <f>IF(R3706&lt;=2,"1-2",IF(R3706&lt;=5,"3-5",IF(R3706&lt;=10,"6-10","11+")))</f>
        <v/>
      </c>
    </row>
    <row r="3707">
      <c r="A3707" s="39" t="n">
        <v>46213.54592592592</v>
      </c>
      <c r="B3707" s="25">
        <f>TEXT(A3707,"YYYY-MM")</f>
        <v/>
      </c>
      <c r="C3707" s="25">
        <f>TEXT(A3707,"MMM-YYYY")</f>
        <v/>
      </c>
      <c r="D3707" s="40">
        <f>INT(A3707)-WEEKDAY(A3707,2)+1</f>
        <v/>
      </c>
      <c r="E3707" s="25" t="inlineStr">
        <is>
          <t>ns</t>
        </is>
      </c>
      <c r="F3707" s="25" t="n">
        <v>129019</v>
      </c>
      <c r="G3707" s="25" t="n">
        <v>4</v>
      </c>
      <c r="H3707" s="25" t="n">
        <v>12</v>
      </c>
      <c r="I3707" s="25" t="inlineStr">
        <is>
          <t>1 minute(s) and 37 second(s)</t>
        </is>
      </c>
      <c r="J3707" s="25">
        <f>IFERROR(VALUE(TRIM(LEFT(I3707,FIND("minute",I3707)-1)))*60,0)+IFERROR(VALUE(SUBSTITUTE(MID(I3707,IFERROR(FIND("and",I3707)+3,1),20),"second(s)","")),0)</f>
        <v/>
      </c>
      <c r="K3707" s="41">
        <f>J3707/60</f>
        <v/>
      </c>
      <c r="L3707" s="41">
        <f>IFERROR(J3707/H3707,"")</f>
        <v/>
      </c>
      <c r="M3707" s="25" t="inlineStr">
        <is>
          <t>2.5.12</t>
        </is>
      </c>
      <c r="N3707" s="25">
        <f>IF(J3707&gt;300,1,0)</f>
        <v/>
      </c>
      <c r="O3707" s="25">
        <f>IF(J3707&gt;600,1,0)</f>
        <v/>
      </c>
      <c r="P3707" s="25">
        <f>IF(H3707&gt;0,J3707,"")</f>
        <v/>
      </c>
      <c r="Q3707" s="25">
        <f>TEXT(A3707,"YYYY-MM-DD HH")</f>
        <v/>
      </c>
      <c r="R3707" s="25">
        <f>COUNTIF($Q$2:$Q$5295,Q3707)</f>
        <v/>
      </c>
      <c r="S3707" s="25">
        <f>IF(R3707&lt;=2,"1-2",IF(R3707&lt;=5,"3-5",IF(R3707&lt;=10,"6-10","11+")))</f>
        <v/>
      </c>
    </row>
    <row r="3708">
      <c r="A3708" s="39" t="n">
        <v>46213.54895833333</v>
      </c>
      <c r="B3708" s="25">
        <f>TEXT(A3708,"YYYY-MM")</f>
        <v/>
      </c>
      <c r="C3708" s="25">
        <f>TEXT(A3708,"MMM-YYYY")</f>
        <v/>
      </c>
      <c r="D3708" s="40">
        <f>INT(A3708)-WEEKDAY(A3708,2)+1</f>
        <v/>
      </c>
      <c r="E3708" s="25" t="inlineStr">
        <is>
          <t>aupadhayay</t>
        </is>
      </c>
      <c r="F3708" s="25" t="n">
        <v>130807</v>
      </c>
      <c r="G3708" s="25" t="n">
        <v>2</v>
      </c>
      <c r="H3708" s="25" t="n">
        <v>12</v>
      </c>
      <c r="I3708" s="25" t="inlineStr">
        <is>
          <t>1 minute(s) and 6 second(s)</t>
        </is>
      </c>
      <c r="J3708" s="25">
        <f>IFERROR(VALUE(TRIM(LEFT(I3708,FIND("minute",I3708)-1)))*60,0)+IFERROR(VALUE(SUBSTITUTE(MID(I3708,IFERROR(FIND("and",I3708)+3,1),20),"second(s)","")),0)</f>
        <v/>
      </c>
      <c r="K3708" s="41">
        <f>J3708/60</f>
        <v/>
      </c>
      <c r="L3708" s="41">
        <f>IFERROR(J3708/H3708,"")</f>
        <v/>
      </c>
      <c r="M3708" s="25" t="inlineStr">
        <is>
          <t>2.5.12</t>
        </is>
      </c>
      <c r="N3708" s="25">
        <f>IF(J3708&gt;300,1,0)</f>
        <v/>
      </c>
      <c r="O3708" s="25">
        <f>IF(J3708&gt;600,1,0)</f>
        <v/>
      </c>
      <c r="P3708" s="25">
        <f>IF(H3708&gt;0,J3708,"")</f>
        <v/>
      </c>
      <c r="Q3708" s="25">
        <f>TEXT(A3708,"YYYY-MM-DD HH")</f>
        <v/>
      </c>
      <c r="R3708" s="25">
        <f>COUNTIF($Q$2:$Q$5295,Q3708)</f>
        <v/>
      </c>
      <c r="S3708" s="25">
        <f>IF(R3708&lt;=2,"1-2",IF(R3708&lt;=5,"3-5",IF(R3708&lt;=10,"6-10","11+")))</f>
        <v/>
      </c>
    </row>
    <row r="3709">
      <c r="A3709" s="39" t="n">
        <v>46213.5906712963</v>
      </c>
      <c r="B3709" s="25">
        <f>TEXT(A3709,"YYYY-MM")</f>
        <v/>
      </c>
      <c r="C3709" s="25">
        <f>TEXT(A3709,"MMM-YYYY")</f>
        <v/>
      </c>
      <c r="D3709" s="40">
        <f>INT(A3709)-WEEKDAY(A3709,2)+1</f>
        <v/>
      </c>
      <c r="E3709" s="25" t="inlineStr">
        <is>
          <t>adey</t>
        </is>
      </c>
      <c r="F3709" s="25" t="n">
        <v>129588</v>
      </c>
      <c r="G3709" s="25" t="n">
        <v>2</v>
      </c>
      <c r="H3709" s="25" t="n">
        <v>8</v>
      </c>
      <c r="I3709" s="25" t="inlineStr">
        <is>
          <t>33 second(s)</t>
        </is>
      </c>
      <c r="J3709" s="25">
        <f>IFERROR(VALUE(TRIM(LEFT(I3709,FIND("minute",I3709)-1)))*60,0)+IFERROR(VALUE(SUBSTITUTE(MID(I3709,IFERROR(FIND("and",I3709)+3,1),20),"second(s)","")),0)</f>
        <v/>
      </c>
      <c r="K3709" s="41">
        <f>J3709/60</f>
        <v/>
      </c>
      <c r="L3709" s="41">
        <f>IFERROR(J3709/H3709,"")</f>
        <v/>
      </c>
      <c r="M3709" s="25" t="inlineStr">
        <is>
          <t>2.5.12</t>
        </is>
      </c>
      <c r="N3709" s="25">
        <f>IF(J3709&gt;300,1,0)</f>
        <v/>
      </c>
      <c r="O3709" s="25">
        <f>IF(J3709&gt;600,1,0)</f>
        <v/>
      </c>
      <c r="P3709" s="25">
        <f>IF(H3709&gt;0,J3709,"")</f>
        <v/>
      </c>
      <c r="Q3709" s="25">
        <f>TEXT(A3709,"YYYY-MM-DD HH")</f>
        <v/>
      </c>
      <c r="R3709" s="25">
        <f>COUNTIF($Q$2:$Q$5295,Q3709)</f>
        <v/>
      </c>
      <c r="S3709" s="25">
        <f>IF(R3709&lt;=2,"1-2",IF(R3709&lt;=5,"3-5",IF(R3709&lt;=10,"6-10","11+")))</f>
        <v/>
      </c>
    </row>
    <row r="3710">
      <c r="A3710" s="39" t="n">
        <v>46213.59136574074</v>
      </c>
      <c r="B3710" s="25">
        <f>TEXT(A3710,"YYYY-MM")</f>
        <v/>
      </c>
      <c r="C3710" s="25">
        <f>TEXT(A3710,"MMM-YYYY")</f>
        <v/>
      </c>
      <c r="D3710" s="40">
        <f>INT(A3710)-WEEKDAY(A3710,2)+1</f>
        <v/>
      </c>
      <c r="E3710" s="25" t="inlineStr">
        <is>
          <t>shasikha</t>
        </is>
      </c>
      <c r="F3710" s="25" t="n">
        <v>129447</v>
      </c>
      <c r="G3710" s="25" t="n">
        <v>3</v>
      </c>
      <c r="H3710" s="25" t="n">
        <v>11</v>
      </c>
      <c r="I3710" s="25" t="inlineStr">
        <is>
          <t>1 minute(s) and 39 second(s)</t>
        </is>
      </c>
      <c r="J3710" s="25">
        <f>IFERROR(VALUE(TRIM(LEFT(I3710,FIND("minute",I3710)-1)))*60,0)+IFERROR(VALUE(SUBSTITUTE(MID(I3710,IFERROR(FIND("and",I3710)+3,1),20),"second(s)","")),0)</f>
        <v/>
      </c>
      <c r="K3710" s="41">
        <f>J3710/60</f>
        <v/>
      </c>
      <c r="L3710" s="41">
        <f>IFERROR(J3710/H3710,"")</f>
        <v/>
      </c>
      <c r="M3710" s="25" t="inlineStr">
        <is>
          <t>2.5.12</t>
        </is>
      </c>
      <c r="N3710" s="25">
        <f>IF(J3710&gt;300,1,0)</f>
        <v/>
      </c>
      <c r="O3710" s="25">
        <f>IF(J3710&gt;600,1,0)</f>
        <v/>
      </c>
      <c r="P3710" s="25">
        <f>IF(H3710&gt;0,J3710,"")</f>
        <v/>
      </c>
      <c r="Q3710" s="25">
        <f>TEXT(A3710,"YYYY-MM-DD HH")</f>
        <v/>
      </c>
      <c r="R3710" s="25">
        <f>COUNTIF($Q$2:$Q$5295,Q3710)</f>
        <v/>
      </c>
      <c r="S3710" s="25">
        <f>IF(R3710&lt;=2,"1-2",IF(R3710&lt;=5,"3-5",IF(R3710&lt;=10,"6-10","11+")))</f>
        <v/>
      </c>
    </row>
    <row r="3711">
      <c r="A3711" s="39" t="n">
        <v>46213.59221064814</v>
      </c>
      <c r="B3711" s="25">
        <f>TEXT(A3711,"YYYY-MM")</f>
        <v/>
      </c>
      <c r="C3711" s="25">
        <f>TEXT(A3711,"MMM-YYYY")</f>
        <v/>
      </c>
      <c r="D3711" s="40">
        <f>INT(A3711)-WEEKDAY(A3711,2)+1</f>
        <v/>
      </c>
      <c r="E3711" s="25" t="inlineStr">
        <is>
          <t>ns</t>
        </is>
      </c>
      <c r="F3711" s="25" t="n">
        <v>128947</v>
      </c>
      <c r="G3711" s="25" t="n">
        <v>4</v>
      </c>
      <c r="H3711" s="25" t="n">
        <v>16</v>
      </c>
      <c r="I3711" s="25" t="inlineStr">
        <is>
          <t>1 minute(s) and 11 second(s)</t>
        </is>
      </c>
      <c r="J3711" s="25">
        <f>IFERROR(VALUE(TRIM(LEFT(I3711,FIND("minute",I3711)-1)))*60,0)+IFERROR(VALUE(SUBSTITUTE(MID(I3711,IFERROR(FIND("and",I3711)+3,1),20),"second(s)","")),0)</f>
        <v/>
      </c>
      <c r="K3711" s="41">
        <f>J3711/60</f>
        <v/>
      </c>
      <c r="L3711" s="41">
        <f>IFERROR(J3711/H3711,"")</f>
        <v/>
      </c>
      <c r="M3711" s="25" t="inlineStr">
        <is>
          <t>2.5.12</t>
        </is>
      </c>
      <c r="N3711" s="25">
        <f>IF(J3711&gt;300,1,0)</f>
        <v/>
      </c>
      <c r="O3711" s="25">
        <f>IF(J3711&gt;600,1,0)</f>
        <v/>
      </c>
      <c r="P3711" s="25">
        <f>IF(H3711&gt;0,J3711,"")</f>
        <v/>
      </c>
      <c r="Q3711" s="25">
        <f>TEXT(A3711,"YYYY-MM-DD HH")</f>
        <v/>
      </c>
      <c r="R3711" s="25">
        <f>COUNTIF($Q$2:$Q$5295,Q3711)</f>
        <v/>
      </c>
      <c r="S3711" s="25">
        <f>IF(R3711&lt;=2,"1-2",IF(R3711&lt;=5,"3-5",IF(R3711&lt;=10,"6-10","11+")))</f>
        <v/>
      </c>
    </row>
    <row r="3712">
      <c r="A3712" s="39" t="n">
        <v>46213.59392361111</v>
      </c>
      <c r="B3712" s="25">
        <f>TEXT(A3712,"YYYY-MM")</f>
        <v/>
      </c>
      <c r="C3712" s="25">
        <f>TEXT(A3712,"MMM-YYYY")</f>
        <v/>
      </c>
      <c r="D3712" s="40">
        <f>INT(A3712)-WEEKDAY(A3712,2)+1</f>
        <v/>
      </c>
      <c r="E3712" s="25" t="inlineStr">
        <is>
          <t>aupadhayay</t>
        </is>
      </c>
      <c r="F3712" s="25" t="n">
        <v>129846</v>
      </c>
      <c r="G3712" s="25" t="n">
        <v>2</v>
      </c>
      <c r="H3712" s="25" t="n">
        <v>12</v>
      </c>
      <c r="I3712" s="25" t="inlineStr">
        <is>
          <t>1 minute(s) and 14 second(s)</t>
        </is>
      </c>
      <c r="J3712" s="25">
        <f>IFERROR(VALUE(TRIM(LEFT(I3712,FIND("minute",I3712)-1)))*60,0)+IFERROR(VALUE(SUBSTITUTE(MID(I3712,IFERROR(FIND("and",I3712)+3,1),20),"second(s)","")),0)</f>
        <v/>
      </c>
      <c r="K3712" s="41">
        <f>J3712/60</f>
        <v/>
      </c>
      <c r="L3712" s="41">
        <f>IFERROR(J3712/H3712,"")</f>
        <v/>
      </c>
      <c r="M3712" s="25" t="inlineStr">
        <is>
          <t>2.5.12</t>
        </is>
      </c>
      <c r="N3712" s="25">
        <f>IF(J3712&gt;300,1,0)</f>
        <v/>
      </c>
      <c r="O3712" s="25">
        <f>IF(J3712&gt;600,1,0)</f>
        <v/>
      </c>
      <c r="P3712" s="25">
        <f>IF(H3712&gt;0,J3712,"")</f>
        <v/>
      </c>
      <c r="Q3712" s="25">
        <f>TEXT(A3712,"YYYY-MM-DD HH")</f>
        <v/>
      </c>
      <c r="R3712" s="25">
        <f>COUNTIF($Q$2:$Q$5295,Q3712)</f>
        <v/>
      </c>
      <c r="S3712" s="25">
        <f>IF(R3712&lt;=2,"1-2",IF(R3712&lt;=5,"3-5",IF(R3712&lt;=10,"6-10","11+")))</f>
        <v/>
      </c>
    </row>
    <row r="3713">
      <c r="A3713" s="39" t="n">
        <v>46213.59398148148</v>
      </c>
      <c r="B3713" s="25">
        <f>TEXT(A3713,"YYYY-MM")</f>
        <v/>
      </c>
      <c r="C3713" s="25">
        <f>TEXT(A3713,"MMM-YYYY")</f>
        <v/>
      </c>
      <c r="D3713" s="40">
        <f>INT(A3713)-WEEKDAY(A3713,2)+1</f>
        <v/>
      </c>
      <c r="E3713" s="25" t="inlineStr">
        <is>
          <t>psathwika</t>
        </is>
      </c>
      <c r="F3713" s="25" t="n">
        <v>121664</v>
      </c>
      <c r="G3713" s="25" t="n">
        <v>1</v>
      </c>
      <c r="H3713" s="25" t="n">
        <v>5</v>
      </c>
      <c r="I3713" s="25" t="inlineStr">
        <is>
          <t>51 second(s)</t>
        </is>
      </c>
      <c r="J3713" s="25">
        <f>IFERROR(VALUE(TRIM(LEFT(I3713,FIND("minute",I3713)-1)))*60,0)+IFERROR(VALUE(SUBSTITUTE(MID(I3713,IFERROR(FIND("and",I3713)+3,1),20),"second(s)","")),0)</f>
        <v/>
      </c>
      <c r="K3713" s="41">
        <f>J3713/60</f>
        <v/>
      </c>
      <c r="L3713" s="41">
        <f>IFERROR(J3713/H3713,"")</f>
        <v/>
      </c>
      <c r="M3713" s="25" t="inlineStr">
        <is>
          <t>2.5.12</t>
        </is>
      </c>
      <c r="N3713" s="25">
        <f>IF(J3713&gt;300,1,0)</f>
        <v/>
      </c>
      <c r="O3713" s="25">
        <f>IF(J3713&gt;600,1,0)</f>
        <v/>
      </c>
      <c r="P3713" s="25">
        <f>IF(H3713&gt;0,J3713,"")</f>
        <v/>
      </c>
      <c r="Q3713" s="25">
        <f>TEXT(A3713,"YYYY-MM-DD HH")</f>
        <v/>
      </c>
      <c r="R3713" s="25">
        <f>COUNTIF($Q$2:$Q$5295,Q3713)</f>
        <v/>
      </c>
      <c r="S3713" s="25">
        <f>IF(R3713&lt;=2,"1-2",IF(R3713&lt;=5,"3-5",IF(R3713&lt;=10,"6-10","11+")))</f>
        <v/>
      </c>
    </row>
    <row r="3714">
      <c r="A3714" s="39" t="n">
        <v>46213.61247685185</v>
      </c>
      <c r="B3714" s="25">
        <f>TEXT(A3714,"YYYY-MM")</f>
        <v/>
      </c>
      <c r="C3714" s="25">
        <f>TEXT(A3714,"MMM-YYYY")</f>
        <v/>
      </c>
      <c r="D3714" s="40">
        <f>INT(A3714)-WEEKDAY(A3714,2)+1</f>
        <v/>
      </c>
      <c r="E3714" s="25" t="inlineStr">
        <is>
          <t>dbhattacharyya</t>
        </is>
      </c>
      <c r="F3714" s="25" t="n">
        <v>132524</v>
      </c>
      <c r="G3714" s="25" t="n">
        <v>2</v>
      </c>
      <c r="H3714" s="25" t="n">
        <v>12</v>
      </c>
      <c r="I3714" s="25" t="inlineStr">
        <is>
          <t>47 second(s)</t>
        </is>
      </c>
      <c r="J3714" s="25">
        <f>IFERROR(VALUE(TRIM(LEFT(I3714,FIND("minute",I3714)-1)))*60,0)+IFERROR(VALUE(SUBSTITUTE(MID(I3714,IFERROR(FIND("and",I3714)+3,1),20),"second(s)","")),0)</f>
        <v/>
      </c>
      <c r="K3714" s="41">
        <f>J3714/60</f>
        <v/>
      </c>
      <c r="L3714" s="41">
        <f>IFERROR(J3714/H3714,"")</f>
        <v/>
      </c>
      <c r="M3714" s="25" t="inlineStr">
        <is>
          <t>2.5.12</t>
        </is>
      </c>
      <c r="N3714" s="25">
        <f>IF(J3714&gt;300,1,0)</f>
        <v/>
      </c>
      <c r="O3714" s="25">
        <f>IF(J3714&gt;600,1,0)</f>
        <v/>
      </c>
      <c r="P3714" s="25">
        <f>IF(H3714&gt;0,J3714,"")</f>
        <v/>
      </c>
      <c r="Q3714" s="25">
        <f>TEXT(A3714,"YYYY-MM-DD HH")</f>
        <v/>
      </c>
      <c r="R3714" s="25">
        <f>COUNTIF($Q$2:$Q$5295,Q3714)</f>
        <v/>
      </c>
      <c r="S3714" s="25">
        <f>IF(R3714&lt;=2,"1-2",IF(R3714&lt;=5,"3-5",IF(R3714&lt;=10,"6-10","11+")))</f>
        <v/>
      </c>
    </row>
    <row r="3715">
      <c r="A3715" s="39" t="n">
        <v>46213.62731481482</v>
      </c>
      <c r="B3715" s="25">
        <f>TEXT(A3715,"YYYY-MM")</f>
        <v/>
      </c>
      <c r="C3715" s="25">
        <f>TEXT(A3715,"MMM-YYYY")</f>
        <v/>
      </c>
      <c r="D3715" s="40">
        <f>INT(A3715)-WEEKDAY(A3715,2)+1</f>
        <v/>
      </c>
      <c r="E3715" s="25" t="inlineStr">
        <is>
          <t>hsindwani</t>
        </is>
      </c>
      <c r="F3715" s="25" t="n">
        <v>130551</v>
      </c>
      <c r="G3715" s="25" t="n">
        <v>2</v>
      </c>
      <c r="H3715" s="25" t="n">
        <v>10</v>
      </c>
      <c r="I3715" s="25" t="inlineStr">
        <is>
          <t>1 minute(s) and 56 second(s)</t>
        </is>
      </c>
      <c r="J3715" s="25">
        <f>IFERROR(VALUE(TRIM(LEFT(I3715,FIND("minute",I3715)-1)))*60,0)+IFERROR(VALUE(SUBSTITUTE(MID(I3715,IFERROR(FIND("and",I3715)+3,1),20),"second(s)","")),0)</f>
        <v/>
      </c>
      <c r="K3715" s="41">
        <f>J3715/60</f>
        <v/>
      </c>
      <c r="L3715" s="41">
        <f>IFERROR(J3715/H3715,"")</f>
        <v/>
      </c>
      <c r="M3715" s="25" t="inlineStr">
        <is>
          <t>2.5.12</t>
        </is>
      </c>
      <c r="N3715" s="25">
        <f>IF(J3715&gt;300,1,0)</f>
        <v/>
      </c>
      <c r="O3715" s="25">
        <f>IF(J3715&gt;600,1,0)</f>
        <v/>
      </c>
      <c r="P3715" s="25">
        <f>IF(H3715&gt;0,J3715,"")</f>
        <v/>
      </c>
      <c r="Q3715" s="25">
        <f>TEXT(A3715,"YYYY-MM-DD HH")</f>
        <v/>
      </c>
      <c r="R3715" s="25">
        <f>COUNTIF($Q$2:$Q$5295,Q3715)</f>
        <v/>
      </c>
      <c r="S3715" s="25">
        <f>IF(R3715&lt;=2,"1-2",IF(R3715&lt;=5,"3-5",IF(R3715&lt;=10,"6-10","11+")))</f>
        <v/>
      </c>
    </row>
    <row r="3716">
      <c r="A3716" s="39" t="n">
        <v>46213.63063657407</v>
      </c>
      <c r="B3716" s="25">
        <f>TEXT(A3716,"YYYY-MM")</f>
        <v/>
      </c>
      <c r="C3716" s="25">
        <f>TEXT(A3716,"MMM-YYYY")</f>
        <v/>
      </c>
      <c r="D3716" s="40">
        <f>INT(A3716)-WEEKDAY(A3716,2)+1</f>
        <v/>
      </c>
      <c r="E3716" s="25" t="inlineStr">
        <is>
          <t>hsindwani</t>
        </is>
      </c>
      <c r="F3716" s="25" t="n">
        <v>130551</v>
      </c>
      <c r="G3716" s="25" t="n">
        <v>2</v>
      </c>
      <c r="H3716" s="25" t="n">
        <v>10</v>
      </c>
      <c r="I3716" s="25" t="inlineStr">
        <is>
          <t>58 second(s)</t>
        </is>
      </c>
      <c r="J3716" s="25">
        <f>IFERROR(VALUE(TRIM(LEFT(I3716,FIND("minute",I3716)-1)))*60,0)+IFERROR(VALUE(SUBSTITUTE(MID(I3716,IFERROR(FIND("and",I3716)+3,1),20),"second(s)","")),0)</f>
        <v/>
      </c>
      <c r="K3716" s="41">
        <f>J3716/60</f>
        <v/>
      </c>
      <c r="L3716" s="41">
        <f>IFERROR(J3716/H3716,"")</f>
        <v/>
      </c>
      <c r="M3716" s="25" t="inlineStr">
        <is>
          <t>2.5.12</t>
        </is>
      </c>
      <c r="N3716" s="25">
        <f>IF(J3716&gt;300,1,0)</f>
        <v/>
      </c>
      <c r="O3716" s="25">
        <f>IF(J3716&gt;600,1,0)</f>
        <v/>
      </c>
      <c r="P3716" s="25">
        <f>IF(H3716&gt;0,J3716,"")</f>
        <v/>
      </c>
      <c r="Q3716" s="25">
        <f>TEXT(A3716,"YYYY-MM-DD HH")</f>
        <v/>
      </c>
      <c r="R3716" s="25">
        <f>COUNTIF($Q$2:$Q$5295,Q3716)</f>
        <v/>
      </c>
      <c r="S3716" s="25">
        <f>IF(R3716&lt;=2,"1-2",IF(R3716&lt;=5,"3-5",IF(R3716&lt;=10,"6-10","11+")))</f>
        <v/>
      </c>
    </row>
    <row r="3717">
      <c r="A3717" s="39" t="n">
        <v>46213.63395833333</v>
      </c>
      <c r="B3717" s="25">
        <f>TEXT(A3717,"YYYY-MM")</f>
        <v/>
      </c>
      <c r="C3717" s="25">
        <f>TEXT(A3717,"MMM-YYYY")</f>
        <v/>
      </c>
      <c r="D3717" s="40">
        <f>INT(A3717)-WEEKDAY(A3717,2)+1</f>
        <v/>
      </c>
      <c r="E3717" s="25" t="inlineStr">
        <is>
          <t>rsingh</t>
        </is>
      </c>
      <c r="F3717" s="25" t="n">
        <v>105304</v>
      </c>
      <c r="G3717" s="25" t="n">
        <v>3</v>
      </c>
      <c r="H3717" s="25" t="n">
        <v>13</v>
      </c>
      <c r="I3717" s="25" t="inlineStr">
        <is>
          <t>1 minute(s) and 19 second(s)</t>
        </is>
      </c>
      <c r="J3717" s="25">
        <f>IFERROR(VALUE(TRIM(LEFT(I3717,FIND("minute",I3717)-1)))*60,0)+IFERROR(VALUE(SUBSTITUTE(MID(I3717,IFERROR(FIND("and",I3717)+3,1),20),"second(s)","")),0)</f>
        <v/>
      </c>
      <c r="K3717" s="41">
        <f>J3717/60</f>
        <v/>
      </c>
      <c r="L3717" s="41">
        <f>IFERROR(J3717/H3717,"")</f>
        <v/>
      </c>
      <c r="M3717" s="25" t="inlineStr">
        <is>
          <t>2.5.12</t>
        </is>
      </c>
      <c r="N3717" s="25">
        <f>IF(J3717&gt;300,1,0)</f>
        <v/>
      </c>
      <c r="O3717" s="25">
        <f>IF(J3717&gt;600,1,0)</f>
        <v/>
      </c>
      <c r="P3717" s="25">
        <f>IF(H3717&gt;0,J3717,"")</f>
        <v/>
      </c>
      <c r="Q3717" s="25">
        <f>TEXT(A3717,"YYYY-MM-DD HH")</f>
        <v/>
      </c>
      <c r="R3717" s="25">
        <f>COUNTIF($Q$2:$Q$5295,Q3717)</f>
        <v/>
      </c>
      <c r="S3717" s="25">
        <f>IF(R3717&lt;=2,"1-2",IF(R3717&lt;=5,"3-5",IF(R3717&lt;=10,"6-10","11+")))</f>
        <v/>
      </c>
    </row>
    <row r="3718">
      <c r="A3718" s="39" t="n">
        <v>46213.64540509259</v>
      </c>
      <c r="B3718" s="25">
        <f>TEXT(A3718,"YYYY-MM")</f>
        <v/>
      </c>
      <c r="C3718" s="25">
        <f>TEXT(A3718,"MMM-YYYY")</f>
        <v/>
      </c>
      <c r="D3718" s="40">
        <f>INT(A3718)-WEEKDAY(A3718,2)+1</f>
        <v/>
      </c>
      <c r="E3718" s="25" t="inlineStr">
        <is>
          <t>aupadhayay</t>
        </is>
      </c>
      <c r="F3718" s="25" t="n">
        <v>130046</v>
      </c>
      <c r="G3718" s="25" t="n">
        <v>2</v>
      </c>
      <c r="H3718" s="25" t="n">
        <v>8</v>
      </c>
      <c r="I3718" s="25" t="inlineStr">
        <is>
          <t>47 second(s)</t>
        </is>
      </c>
      <c r="J3718" s="25">
        <f>IFERROR(VALUE(TRIM(LEFT(I3718,FIND("minute",I3718)-1)))*60,0)+IFERROR(VALUE(SUBSTITUTE(MID(I3718,IFERROR(FIND("and",I3718)+3,1),20),"second(s)","")),0)</f>
        <v/>
      </c>
      <c r="K3718" s="41">
        <f>J3718/60</f>
        <v/>
      </c>
      <c r="L3718" s="41">
        <f>IFERROR(J3718/H3718,"")</f>
        <v/>
      </c>
      <c r="M3718" s="25" t="inlineStr">
        <is>
          <t>2.5.12</t>
        </is>
      </c>
      <c r="N3718" s="25">
        <f>IF(J3718&gt;300,1,0)</f>
        <v/>
      </c>
      <c r="O3718" s="25">
        <f>IF(J3718&gt;600,1,0)</f>
        <v/>
      </c>
      <c r="P3718" s="25">
        <f>IF(H3718&gt;0,J3718,"")</f>
        <v/>
      </c>
      <c r="Q3718" s="25">
        <f>TEXT(A3718,"YYYY-MM-DD HH")</f>
        <v/>
      </c>
      <c r="R3718" s="25">
        <f>COUNTIF($Q$2:$Q$5295,Q3718)</f>
        <v/>
      </c>
      <c r="S3718" s="25">
        <f>IF(R3718&lt;=2,"1-2",IF(R3718&lt;=5,"3-5",IF(R3718&lt;=10,"6-10","11+")))</f>
        <v/>
      </c>
    </row>
    <row r="3719">
      <c r="A3719" s="39" t="n">
        <v>46213.66741898148</v>
      </c>
      <c r="B3719" s="25">
        <f>TEXT(A3719,"YYYY-MM")</f>
        <v/>
      </c>
      <c r="C3719" s="25">
        <f>TEXT(A3719,"MMM-YYYY")</f>
        <v/>
      </c>
      <c r="D3719" s="40">
        <f>INT(A3719)-WEEKDAY(A3719,2)+1</f>
        <v/>
      </c>
      <c r="E3719" s="25" t="inlineStr">
        <is>
          <t>asaxena</t>
        </is>
      </c>
      <c r="F3719" s="25" t="n">
        <v>121253</v>
      </c>
      <c r="G3719" s="25" t="n">
        <v>2</v>
      </c>
      <c r="H3719" s="25" t="n">
        <v>10</v>
      </c>
      <c r="I3719" s="25" t="inlineStr">
        <is>
          <t>2 minute(s) and 51 second(s)</t>
        </is>
      </c>
      <c r="J3719" s="25">
        <f>IFERROR(VALUE(TRIM(LEFT(I3719,FIND("minute",I3719)-1)))*60,0)+IFERROR(VALUE(SUBSTITUTE(MID(I3719,IFERROR(FIND("and",I3719)+3,1),20),"second(s)","")),0)</f>
        <v/>
      </c>
      <c r="K3719" s="41">
        <f>J3719/60</f>
        <v/>
      </c>
      <c r="L3719" s="41">
        <f>IFERROR(J3719/H3719,"")</f>
        <v/>
      </c>
      <c r="M3719" s="25" t="inlineStr">
        <is>
          <t>2.5.12</t>
        </is>
      </c>
      <c r="N3719" s="25">
        <f>IF(J3719&gt;300,1,0)</f>
        <v/>
      </c>
      <c r="O3719" s="25">
        <f>IF(J3719&gt;600,1,0)</f>
        <v/>
      </c>
      <c r="P3719" s="25">
        <f>IF(H3719&gt;0,J3719,"")</f>
        <v/>
      </c>
      <c r="Q3719" s="25">
        <f>TEXT(A3719,"YYYY-MM-DD HH")</f>
        <v/>
      </c>
      <c r="R3719" s="25">
        <f>COUNTIF($Q$2:$Q$5295,Q3719)</f>
        <v/>
      </c>
      <c r="S3719" s="25">
        <f>IF(R3719&lt;=2,"1-2",IF(R3719&lt;=5,"3-5",IF(R3719&lt;=10,"6-10","11+")))</f>
        <v/>
      </c>
    </row>
    <row r="3720">
      <c r="A3720" s="39" t="n">
        <v>46213.68547453704</v>
      </c>
      <c r="B3720" s="25">
        <f>TEXT(A3720,"YYYY-MM")</f>
        <v/>
      </c>
      <c r="C3720" s="25">
        <f>TEXT(A3720,"MMM-YYYY")</f>
        <v/>
      </c>
      <c r="D3720" s="40">
        <f>INT(A3720)-WEEKDAY(A3720,2)+1</f>
        <v/>
      </c>
      <c r="E3720" s="25" t="inlineStr">
        <is>
          <t>dbhattacharyya</t>
        </is>
      </c>
      <c r="F3720" s="25" t="n">
        <v>132335</v>
      </c>
      <c r="G3720" s="25" t="n">
        <v>3</v>
      </c>
      <c r="H3720" s="25" t="n">
        <v>17</v>
      </c>
      <c r="I3720" s="25" t="inlineStr">
        <is>
          <t>1 minute(s) and 39 second(s)</t>
        </is>
      </c>
      <c r="J3720" s="25">
        <f>IFERROR(VALUE(TRIM(LEFT(I3720,FIND("minute",I3720)-1)))*60,0)+IFERROR(VALUE(SUBSTITUTE(MID(I3720,IFERROR(FIND("and",I3720)+3,1),20),"second(s)","")),0)</f>
        <v/>
      </c>
      <c r="K3720" s="41">
        <f>J3720/60</f>
        <v/>
      </c>
      <c r="L3720" s="41">
        <f>IFERROR(J3720/H3720,"")</f>
        <v/>
      </c>
      <c r="M3720" s="25" t="inlineStr">
        <is>
          <t>2.5.12</t>
        </is>
      </c>
      <c r="N3720" s="25">
        <f>IF(J3720&gt;300,1,0)</f>
        <v/>
      </c>
      <c r="O3720" s="25">
        <f>IF(J3720&gt;600,1,0)</f>
        <v/>
      </c>
      <c r="P3720" s="25">
        <f>IF(H3720&gt;0,J3720,"")</f>
        <v/>
      </c>
      <c r="Q3720" s="25">
        <f>TEXT(A3720,"YYYY-MM-DD HH")</f>
        <v/>
      </c>
      <c r="R3720" s="25">
        <f>COUNTIF($Q$2:$Q$5295,Q3720)</f>
        <v/>
      </c>
      <c r="S3720" s="25">
        <f>IF(R3720&lt;=2,"1-2",IF(R3720&lt;=5,"3-5",IF(R3720&lt;=10,"6-10","11+")))</f>
        <v/>
      </c>
    </row>
    <row r="3721">
      <c r="A3721" s="39" t="n">
        <v>46213.70725694444</v>
      </c>
      <c r="B3721" s="25">
        <f>TEXT(A3721,"YYYY-MM")</f>
        <v/>
      </c>
      <c r="C3721" s="25">
        <f>TEXT(A3721,"MMM-YYYY")</f>
        <v/>
      </c>
      <c r="D3721" s="40">
        <f>INT(A3721)-WEEKDAY(A3721,2)+1</f>
        <v/>
      </c>
      <c r="E3721" s="25" t="inlineStr">
        <is>
          <t>asaxena</t>
        </is>
      </c>
      <c r="F3721" s="25" t="n">
        <v>89921</v>
      </c>
      <c r="G3721" s="25" t="n">
        <v>5</v>
      </c>
      <c r="H3721" s="25" t="n">
        <v>25</v>
      </c>
      <c r="I3721" s="25" t="inlineStr">
        <is>
          <t>1 minute(s) and 55 second(s)</t>
        </is>
      </c>
      <c r="J3721" s="25">
        <f>IFERROR(VALUE(TRIM(LEFT(I3721,FIND("minute",I3721)-1)))*60,0)+IFERROR(VALUE(SUBSTITUTE(MID(I3721,IFERROR(FIND("and",I3721)+3,1),20),"second(s)","")),0)</f>
        <v/>
      </c>
      <c r="K3721" s="41">
        <f>J3721/60</f>
        <v/>
      </c>
      <c r="L3721" s="41">
        <f>IFERROR(J3721/H3721,"")</f>
        <v/>
      </c>
      <c r="M3721" s="25" t="inlineStr">
        <is>
          <t>2.5.12</t>
        </is>
      </c>
      <c r="N3721" s="25">
        <f>IF(J3721&gt;300,1,0)</f>
        <v/>
      </c>
      <c r="O3721" s="25">
        <f>IF(J3721&gt;600,1,0)</f>
        <v/>
      </c>
      <c r="P3721" s="25">
        <f>IF(H3721&gt;0,J3721,"")</f>
        <v/>
      </c>
      <c r="Q3721" s="25">
        <f>TEXT(A3721,"YYYY-MM-DD HH")</f>
        <v/>
      </c>
      <c r="R3721" s="25">
        <f>COUNTIF($Q$2:$Q$5295,Q3721)</f>
        <v/>
      </c>
      <c r="S3721" s="25">
        <f>IF(R3721&lt;=2,"1-2",IF(R3721&lt;=5,"3-5",IF(R3721&lt;=10,"6-10","11+")))</f>
        <v/>
      </c>
    </row>
    <row r="3722">
      <c r="A3722" s="39" t="n">
        <v>46213.71836805555</v>
      </c>
      <c r="B3722" s="25">
        <f>TEXT(A3722,"YYYY-MM")</f>
        <v/>
      </c>
      <c r="C3722" s="25">
        <f>TEXT(A3722,"MMM-YYYY")</f>
        <v/>
      </c>
      <c r="D3722" s="40">
        <f>INT(A3722)-WEEKDAY(A3722,2)+1</f>
        <v/>
      </c>
      <c r="E3722" s="25" t="inlineStr">
        <is>
          <t>sswati</t>
        </is>
      </c>
      <c r="F3722" s="25" t="n">
        <v>129316</v>
      </c>
      <c r="G3722" s="25" t="n">
        <v>4</v>
      </c>
      <c r="H3722" s="25" t="n">
        <v>10</v>
      </c>
      <c r="I3722" s="25" t="inlineStr">
        <is>
          <t>1 minute(s) and 41 second(s)</t>
        </is>
      </c>
      <c r="J3722" s="25">
        <f>IFERROR(VALUE(TRIM(LEFT(I3722,FIND("minute",I3722)-1)))*60,0)+IFERROR(VALUE(SUBSTITUTE(MID(I3722,IFERROR(FIND("and",I3722)+3,1),20),"second(s)","")),0)</f>
        <v/>
      </c>
      <c r="K3722" s="41">
        <f>J3722/60</f>
        <v/>
      </c>
      <c r="L3722" s="41">
        <f>IFERROR(J3722/H3722,"")</f>
        <v/>
      </c>
      <c r="M3722" s="25" t="inlineStr">
        <is>
          <t>2.5.12</t>
        </is>
      </c>
      <c r="N3722" s="25">
        <f>IF(J3722&gt;300,1,0)</f>
        <v/>
      </c>
      <c r="O3722" s="25">
        <f>IF(J3722&gt;600,1,0)</f>
        <v/>
      </c>
      <c r="P3722" s="25">
        <f>IF(H3722&gt;0,J3722,"")</f>
        <v/>
      </c>
      <c r="Q3722" s="25">
        <f>TEXT(A3722,"YYYY-MM-DD HH")</f>
        <v/>
      </c>
      <c r="R3722" s="25">
        <f>COUNTIF($Q$2:$Q$5295,Q3722)</f>
        <v/>
      </c>
      <c r="S3722" s="25">
        <f>IF(R3722&lt;=2,"1-2",IF(R3722&lt;=5,"3-5",IF(R3722&lt;=10,"6-10","11+")))</f>
        <v/>
      </c>
    </row>
    <row r="3723">
      <c r="A3723" s="39" t="n">
        <v>46213.72511574074</v>
      </c>
      <c r="B3723" s="25">
        <f>TEXT(A3723,"YYYY-MM")</f>
        <v/>
      </c>
      <c r="C3723" s="25">
        <f>TEXT(A3723,"MMM-YYYY")</f>
        <v/>
      </c>
      <c r="D3723" s="40">
        <f>INT(A3723)-WEEKDAY(A3723,2)+1</f>
        <v/>
      </c>
      <c r="E3723" s="25" t="inlineStr">
        <is>
          <t>rsingh</t>
        </is>
      </c>
      <c r="F3723" s="25" t="n">
        <v>130814</v>
      </c>
      <c r="G3723" s="25" t="n">
        <v>2</v>
      </c>
      <c r="H3723" s="25" t="n">
        <v>8</v>
      </c>
      <c r="I3723" s="25" t="inlineStr">
        <is>
          <t>44 second(s)</t>
        </is>
      </c>
      <c r="J3723" s="25">
        <f>IFERROR(VALUE(TRIM(LEFT(I3723,FIND("minute",I3723)-1)))*60,0)+IFERROR(VALUE(SUBSTITUTE(MID(I3723,IFERROR(FIND("and",I3723)+3,1),20),"second(s)","")),0)</f>
        <v/>
      </c>
      <c r="K3723" s="41">
        <f>J3723/60</f>
        <v/>
      </c>
      <c r="L3723" s="41">
        <f>IFERROR(J3723/H3723,"")</f>
        <v/>
      </c>
      <c r="M3723" s="25" t="inlineStr">
        <is>
          <t>2.5.12</t>
        </is>
      </c>
      <c r="N3723" s="25">
        <f>IF(J3723&gt;300,1,0)</f>
        <v/>
      </c>
      <c r="O3723" s="25">
        <f>IF(J3723&gt;600,1,0)</f>
        <v/>
      </c>
      <c r="P3723" s="25">
        <f>IF(H3723&gt;0,J3723,"")</f>
        <v/>
      </c>
      <c r="Q3723" s="25">
        <f>TEXT(A3723,"YYYY-MM-DD HH")</f>
        <v/>
      </c>
      <c r="R3723" s="25">
        <f>COUNTIF($Q$2:$Q$5295,Q3723)</f>
        <v/>
      </c>
      <c r="S3723" s="25">
        <f>IF(R3723&lt;=2,"1-2",IF(R3723&lt;=5,"3-5",IF(R3723&lt;=10,"6-10","11+")))</f>
        <v/>
      </c>
    </row>
    <row r="3724">
      <c r="A3724" s="39" t="n">
        <v>46213.72893518519</v>
      </c>
      <c r="B3724" s="25">
        <f>TEXT(A3724,"YYYY-MM")</f>
        <v/>
      </c>
      <c r="C3724" s="25">
        <f>TEXT(A3724,"MMM-YYYY")</f>
        <v/>
      </c>
      <c r="D3724" s="40">
        <f>INT(A3724)-WEEKDAY(A3724,2)+1</f>
        <v/>
      </c>
      <c r="E3724" s="25" t="inlineStr">
        <is>
          <t>dbhattacharyya</t>
        </is>
      </c>
      <c r="F3724" s="25" t="n">
        <v>132604</v>
      </c>
      <c r="G3724" s="25" t="n">
        <v>2</v>
      </c>
      <c r="H3724" s="25" t="n">
        <v>12</v>
      </c>
      <c r="I3724" s="25" t="inlineStr">
        <is>
          <t>54 second(s)</t>
        </is>
      </c>
      <c r="J3724" s="25">
        <f>IFERROR(VALUE(TRIM(LEFT(I3724,FIND("minute",I3724)-1)))*60,0)+IFERROR(VALUE(SUBSTITUTE(MID(I3724,IFERROR(FIND("and",I3724)+3,1),20),"second(s)","")),0)</f>
        <v/>
      </c>
      <c r="K3724" s="41">
        <f>J3724/60</f>
        <v/>
      </c>
      <c r="L3724" s="41">
        <f>IFERROR(J3724/H3724,"")</f>
        <v/>
      </c>
      <c r="M3724" s="25" t="inlineStr">
        <is>
          <t>2.5.12</t>
        </is>
      </c>
      <c r="N3724" s="25">
        <f>IF(J3724&gt;300,1,0)</f>
        <v/>
      </c>
      <c r="O3724" s="25">
        <f>IF(J3724&gt;600,1,0)</f>
        <v/>
      </c>
      <c r="P3724" s="25">
        <f>IF(H3724&gt;0,J3724,"")</f>
        <v/>
      </c>
      <c r="Q3724" s="25">
        <f>TEXT(A3724,"YYYY-MM-DD HH")</f>
        <v/>
      </c>
      <c r="R3724" s="25">
        <f>COUNTIF($Q$2:$Q$5295,Q3724)</f>
        <v/>
      </c>
      <c r="S3724" s="25">
        <f>IF(R3724&lt;=2,"1-2",IF(R3724&lt;=5,"3-5",IF(R3724&lt;=10,"6-10","11+")))</f>
        <v/>
      </c>
    </row>
    <row r="3725">
      <c r="A3725" s="39" t="n">
        <v>46213.74457175926</v>
      </c>
      <c r="B3725" s="25">
        <f>TEXT(A3725,"YYYY-MM")</f>
        <v/>
      </c>
      <c r="C3725" s="25">
        <f>TEXT(A3725,"MMM-YYYY")</f>
        <v/>
      </c>
      <c r="D3725" s="40">
        <f>INT(A3725)-WEEKDAY(A3725,2)+1</f>
        <v/>
      </c>
      <c r="E3725" s="25" t="inlineStr">
        <is>
          <t>rsingh</t>
        </is>
      </c>
      <c r="F3725" s="25" t="n">
        <v>131128</v>
      </c>
      <c r="G3725" s="25" t="n">
        <v>2</v>
      </c>
      <c r="H3725" s="25" t="n">
        <v>11</v>
      </c>
      <c r="I3725" s="25" t="inlineStr">
        <is>
          <t>56 second(s)</t>
        </is>
      </c>
      <c r="J3725" s="25">
        <f>IFERROR(VALUE(TRIM(LEFT(I3725,FIND("minute",I3725)-1)))*60,0)+IFERROR(VALUE(SUBSTITUTE(MID(I3725,IFERROR(FIND("and",I3725)+3,1),20),"second(s)","")),0)</f>
        <v/>
      </c>
      <c r="K3725" s="41">
        <f>J3725/60</f>
        <v/>
      </c>
      <c r="L3725" s="41">
        <f>IFERROR(J3725/H3725,"")</f>
        <v/>
      </c>
      <c r="M3725" s="25" t="inlineStr">
        <is>
          <t>2.5.12</t>
        </is>
      </c>
      <c r="N3725" s="25">
        <f>IF(J3725&gt;300,1,0)</f>
        <v/>
      </c>
      <c r="O3725" s="25">
        <f>IF(J3725&gt;600,1,0)</f>
        <v/>
      </c>
      <c r="P3725" s="25">
        <f>IF(H3725&gt;0,J3725,"")</f>
        <v/>
      </c>
      <c r="Q3725" s="25">
        <f>TEXT(A3725,"YYYY-MM-DD HH")</f>
        <v/>
      </c>
      <c r="R3725" s="25">
        <f>COUNTIF($Q$2:$Q$5295,Q3725)</f>
        <v/>
      </c>
      <c r="S3725" s="25">
        <f>IF(R3725&lt;=2,"1-2",IF(R3725&lt;=5,"3-5",IF(R3725&lt;=10,"6-10","11+")))</f>
        <v/>
      </c>
    </row>
    <row r="3726">
      <c r="A3726" s="39" t="n">
        <v>46213.74738425926</v>
      </c>
      <c r="B3726" s="25">
        <f>TEXT(A3726,"YYYY-MM")</f>
        <v/>
      </c>
      <c r="C3726" s="25">
        <f>TEXT(A3726,"MMM-YYYY")</f>
        <v/>
      </c>
      <c r="D3726" s="40">
        <f>INT(A3726)-WEEKDAY(A3726,2)+1</f>
        <v/>
      </c>
      <c r="E3726" s="25" t="inlineStr">
        <is>
          <t>hsindwani</t>
        </is>
      </c>
      <c r="F3726" s="25" t="n">
        <v>129095</v>
      </c>
      <c r="G3726" s="25" t="n">
        <v>1</v>
      </c>
      <c r="H3726" s="25" t="n">
        <v>5</v>
      </c>
      <c r="I3726" s="25" t="inlineStr">
        <is>
          <t>29 second(s)</t>
        </is>
      </c>
      <c r="J3726" s="25">
        <f>IFERROR(VALUE(TRIM(LEFT(I3726,FIND("minute",I3726)-1)))*60,0)+IFERROR(VALUE(SUBSTITUTE(MID(I3726,IFERROR(FIND("and",I3726)+3,1),20),"second(s)","")),0)</f>
        <v/>
      </c>
      <c r="K3726" s="41">
        <f>J3726/60</f>
        <v/>
      </c>
      <c r="L3726" s="41">
        <f>IFERROR(J3726/H3726,"")</f>
        <v/>
      </c>
      <c r="M3726" s="25" t="inlineStr">
        <is>
          <t>2.5.12</t>
        </is>
      </c>
      <c r="N3726" s="25">
        <f>IF(J3726&gt;300,1,0)</f>
        <v/>
      </c>
      <c r="O3726" s="25">
        <f>IF(J3726&gt;600,1,0)</f>
        <v/>
      </c>
      <c r="P3726" s="25">
        <f>IF(H3726&gt;0,J3726,"")</f>
        <v/>
      </c>
      <c r="Q3726" s="25">
        <f>TEXT(A3726,"YYYY-MM-DD HH")</f>
        <v/>
      </c>
      <c r="R3726" s="25">
        <f>COUNTIF($Q$2:$Q$5295,Q3726)</f>
        <v/>
      </c>
      <c r="S3726" s="25">
        <f>IF(R3726&lt;=2,"1-2",IF(R3726&lt;=5,"3-5",IF(R3726&lt;=10,"6-10","11+")))</f>
        <v/>
      </c>
    </row>
    <row r="3727">
      <c r="A3727" s="39" t="n">
        <v>46213.76197916667</v>
      </c>
      <c r="B3727" s="25">
        <f>TEXT(A3727,"YYYY-MM")</f>
        <v/>
      </c>
      <c r="C3727" s="25">
        <f>TEXT(A3727,"MMM-YYYY")</f>
        <v/>
      </c>
      <c r="D3727" s="40">
        <f>INT(A3727)-WEEKDAY(A3727,2)+1</f>
        <v/>
      </c>
      <c r="E3727" s="25" t="inlineStr">
        <is>
          <t>sswati</t>
        </is>
      </c>
      <c r="F3727" s="25" t="n">
        <v>129928</v>
      </c>
      <c r="G3727" s="25" t="n">
        <v>3</v>
      </c>
      <c r="H3727" s="25" t="n">
        <v>11</v>
      </c>
      <c r="I3727" s="25" t="inlineStr">
        <is>
          <t>1 minute(s) and 1 second(s)</t>
        </is>
      </c>
      <c r="J3727" s="25">
        <f>IFERROR(VALUE(TRIM(LEFT(I3727,FIND("minute",I3727)-1)))*60,0)+IFERROR(VALUE(SUBSTITUTE(MID(I3727,IFERROR(FIND("and",I3727)+3,1),20),"second(s)","")),0)</f>
        <v/>
      </c>
      <c r="K3727" s="41">
        <f>J3727/60</f>
        <v/>
      </c>
      <c r="L3727" s="41">
        <f>IFERROR(J3727/H3727,"")</f>
        <v/>
      </c>
      <c r="M3727" s="25" t="inlineStr">
        <is>
          <t>2.5.12</t>
        </is>
      </c>
      <c r="N3727" s="25">
        <f>IF(J3727&gt;300,1,0)</f>
        <v/>
      </c>
      <c r="O3727" s="25">
        <f>IF(J3727&gt;600,1,0)</f>
        <v/>
      </c>
      <c r="P3727" s="25">
        <f>IF(H3727&gt;0,J3727,"")</f>
        <v/>
      </c>
      <c r="Q3727" s="25">
        <f>TEXT(A3727,"YYYY-MM-DD HH")</f>
        <v/>
      </c>
      <c r="R3727" s="25">
        <f>COUNTIF($Q$2:$Q$5295,Q3727)</f>
        <v/>
      </c>
      <c r="S3727" s="25">
        <f>IF(R3727&lt;=2,"1-2",IF(R3727&lt;=5,"3-5",IF(R3727&lt;=10,"6-10","11+")))</f>
        <v/>
      </c>
    </row>
    <row r="3728">
      <c r="A3728" s="39" t="n">
        <v>46213.77790509259</v>
      </c>
      <c r="B3728" s="25">
        <f>TEXT(A3728,"YYYY-MM")</f>
        <v/>
      </c>
      <c r="C3728" s="25">
        <f>TEXT(A3728,"MMM-YYYY")</f>
        <v/>
      </c>
      <c r="D3728" s="40">
        <f>INT(A3728)-WEEKDAY(A3728,2)+1</f>
        <v/>
      </c>
      <c r="E3728" s="25" t="inlineStr">
        <is>
          <t>rsingh</t>
        </is>
      </c>
      <c r="F3728" s="25" t="n">
        <v>132440</v>
      </c>
      <c r="G3728" s="25" t="n">
        <v>2</v>
      </c>
      <c r="H3728" s="25" t="n">
        <v>8</v>
      </c>
      <c r="I3728" s="25" t="inlineStr">
        <is>
          <t>43 second(s)</t>
        </is>
      </c>
      <c r="J3728" s="25">
        <f>IFERROR(VALUE(TRIM(LEFT(I3728,FIND("minute",I3728)-1)))*60,0)+IFERROR(VALUE(SUBSTITUTE(MID(I3728,IFERROR(FIND("and",I3728)+3,1),20),"second(s)","")),0)</f>
        <v/>
      </c>
      <c r="K3728" s="41">
        <f>J3728/60</f>
        <v/>
      </c>
      <c r="L3728" s="41">
        <f>IFERROR(J3728/H3728,"")</f>
        <v/>
      </c>
      <c r="M3728" s="25" t="inlineStr">
        <is>
          <t>2.5.12</t>
        </is>
      </c>
      <c r="N3728" s="25">
        <f>IF(J3728&gt;300,1,0)</f>
        <v/>
      </c>
      <c r="O3728" s="25">
        <f>IF(J3728&gt;600,1,0)</f>
        <v/>
      </c>
      <c r="P3728" s="25">
        <f>IF(H3728&gt;0,J3728,"")</f>
        <v/>
      </c>
      <c r="Q3728" s="25">
        <f>TEXT(A3728,"YYYY-MM-DD HH")</f>
        <v/>
      </c>
      <c r="R3728" s="25">
        <f>COUNTIF($Q$2:$Q$5295,Q3728)</f>
        <v/>
      </c>
      <c r="S3728" s="25">
        <f>IF(R3728&lt;=2,"1-2",IF(R3728&lt;=5,"3-5",IF(R3728&lt;=10,"6-10","11+")))</f>
        <v/>
      </c>
    </row>
    <row r="3729">
      <c r="A3729" s="39" t="n">
        <v>46213.81009259259</v>
      </c>
      <c r="B3729" s="25">
        <f>TEXT(A3729,"YYYY-MM")</f>
        <v/>
      </c>
      <c r="C3729" s="25">
        <f>TEXT(A3729,"MMM-YYYY")</f>
        <v/>
      </c>
      <c r="D3729" s="40">
        <f>INT(A3729)-WEEKDAY(A3729,2)+1</f>
        <v/>
      </c>
      <c r="E3729" s="25" t="inlineStr">
        <is>
          <t>hsindwani</t>
        </is>
      </c>
      <c r="F3729" s="25" t="n">
        <v>128686</v>
      </c>
      <c r="G3729" s="25" t="n">
        <v>1</v>
      </c>
      <c r="H3729" s="25" t="n">
        <v>5</v>
      </c>
      <c r="I3729" s="25" t="inlineStr">
        <is>
          <t>32 second(s)</t>
        </is>
      </c>
      <c r="J3729" s="25">
        <f>IFERROR(VALUE(TRIM(LEFT(I3729,FIND("minute",I3729)-1)))*60,0)+IFERROR(VALUE(SUBSTITUTE(MID(I3729,IFERROR(FIND("and",I3729)+3,1),20),"second(s)","")),0)</f>
        <v/>
      </c>
      <c r="K3729" s="41">
        <f>J3729/60</f>
        <v/>
      </c>
      <c r="L3729" s="41">
        <f>IFERROR(J3729/H3729,"")</f>
        <v/>
      </c>
      <c r="M3729" s="25" t="inlineStr">
        <is>
          <t>2.5.12</t>
        </is>
      </c>
      <c r="N3729" s="25">
        <f>IF(J3729&gt;300,1,0)</f>
        <v/>
      </c>
      <c r="O3729" s="25">
        <f>IF(J3729&gt;600,1,0)</f>
        <v/>
      </c>
      <c r="P3729" s="25">
        <f>IF(H3729&gt;0,J3729,"")</f>
        <v/>
      </c>
      <c r="Q3729" s="25">
        <f>TEXT(A3729,"YYYY-MM-DD HH")</f>
        <v/>
      </c>
      <c r="R3729" s="25">
        <f>COUNTIF($Q$2:$Q$5295,Q3729)</f>
        <v/>
      </c>
      <c r="S3729" s="25">
        <f>IF(R3729&lt;=2,"1-2",IF(R3729&lt;=5,"3-5",IF(R3729&lt;=10,"6-10","11+")))</f>
        <v/>
      </c>
    </row>
    <row r="3730">
      <c r="A3730" s="39" t="n">
        <v>46214.08402777778</v>
      </c>
      <c r="B3730" s="25">
        <f>TEXT(A3730,"YYYY-MM")</f>
        <v/>
      </c>
      <c r="C3730" s="25">
        <f>TEXT(A3730,"MMM-YYYY")</f>
        <v/>
      </c>
      <c r="D3730" s="40">
        <f>INT(A3730)-WEEKDAY(A3730,2)+1</f>
        <v/>
      </c>
      <c r="E3730" s="25" t="inlineStr">
        <is>
          <t>rsingh</t>
        </is>
      </c>
      <c r="F3730" s="25" t="n">
        <v>132855</v>
      </c>
      <c r="G3730" s="25" t="n">
        <v>1</v>
      </c>
      <c r="H3730" s="25" t="n">
        <v>7</v>
      </c>
      <c r="I3730" s="25" t="inlineStr">
        <is>
          <t>35 second(s)</t>
        </is>
      </c>
      <c r="J3730" s="25">
        <f>IFERROR(VALUE(TRIM(LEFT(I3730,FIND("minute",I3730)-1)))*60,0)+IFERROR(VALUE(SUBSTITUTE(MID(I3730,IFERROR(FIND("and",I3730)+3,1),20),"second(s)","")),0)</f>
        <v/>
      </c>
      <c r="K3730" s="41">
        <f>J3730/60</f>
        <v/>
      </c>
      <c r="L3730" s="41">
        <f>IFERROR(J3730/H3730,"")</f>
        <v/>
      </c>
      <c r="M3730" s="25" t="inlineStr">
        <is>
          <t>2.5.12</t>
        </is>
      </c>
      <c r="N3730" s="25">
        <f>IF(J3730&gt;300,1,0)</f>
        <v/>
      </c>
      <c r="O3730" s="25">
        <f>IF(J3730&gt;600,1,0)</f>
        <v/>
      </c>
      <c r="P3730" s="25">
        <f>IF(H3730&gt;0,J3730,"")</f>
        <v/>
      </c>
      <c r="Q3730" s="25">
        <f>TEXT(A3730,"YYYY-MM-DD HH")</f>
        <v/>
      </c>
      <c r="R3730" s="25">
        <f>COUNTIF($Q$2:$Q$5295,Q3730)</f>
        <v/>
      </c>
      <c r="S3730" s="25">
        <f>IF(R3730&lt;=2,"1-2",IF(R3730&lt;=5,"3-5",IF(R3730&lt;=10,"6-10","11+")))</f>
        <v/>
      </c>
    </row>
    <row r="3731">
      <c r="A3731" s="39" t="n">
        <v>46214.11756944445</v>
      </c>
      <c r="B3731" s="25">
        <f>TEXT(A3731,"YYYY-MM")</f>
        <v/>
      </c>
      <c r="C3731" s="25">
        <f>TEXT(A3731,"MMM-YYYY")</f>
        <v/>
      </c>
      <c r="D3731" s="40">
        <f>INT(A3731)-WEEKDAY(A3731,2)+1</f>
        <v/>
      </c>
      <c r="E3731" s="25" t="inlineStr">
        <is>
          <t>rsingh</t>
        </is>
      </c>
      <c r="F3731" s="25" t="n">
        <v>129411</v>
      </c>
      <c r="G3731" s="25" t="n">
        <v>3</v>
      </c>
      <c r="H3731" s="25" t="n">
        <v>15</v>
      </c>
      <c r="I3731" s="25" t="inlineStr">
        <is>
          <t>1 minute(s) and 8 second(s)</t>
        </is>
      </c>
      <c r="J3731" s="25">
        <f>IFERROR(VALUE(TRIM(LEFT(I3731,FIND("minute",I3731)-1)))*60,0)+IFERROR(VALUE(SUBSTITUTE(MID(I3731,IFERROR(FIND("and",I3731)+3,1),20),"second(s)","")),0)</f>
        <v/>
      </c>
      <c r="K3731" s="41">
        <f>J3731/60</f>
        <v/>
      </c>
      <c r="L3731" s="41">
        <f>IFERROR(J3731/H3731,"")</f>
        <v/>
      </c>
      <c r="M3731" s="25" t="inlineStr">
        <is>
          <t>2.5.12</t>
        </is>
      </c>
      <c r="N3731" s="25">
        <f>IF(J3731&gt;300,1,0)</f>
        <v/>
      </c>
      <c r="O3731" s="25">
        <f>IF(J3731&gt;600,1,0)</f>
        <v/>
      </c>
      <c r="P3731" s="25">
        <f>IF(H3731&gt;0,J3731,"")</f>
        <v/>
      </c>
      <c r="Q3731" s="25">
        <f>TEXT(A3731,"YYYY-MM-DD HH")</f>
        <v/>
      </c>
      <c r="R3731" s="25">
        <f>COUNTIF($Q$2:$Q$5295,Q3731)</f>
        <v/>
      </c>
      <c r="S3731" s="25">
        <f>IF(R3731&lt;=2,"1-2",IF(R3731&lt;=5,"3-5",IF(R3731&lt;=10,"6-10","11+")))</f>
        <v/>
      </c>
    </row>
    <row r="3732">
      <c r="A3732" s="39" t="n">
        <v>46214.15233796297</v>
      </c>
      <c r="B3732" s="25">
        <f>TEXT(A3732,"YYYY-MM")</f>
        <v/>
      </c>
      <c r="C3732" s="25">
        <f>TEXT(A3732,"MMM-YYYY")</f>
        <v/>
      </c>
      <c r="D3732" s="40">
        <f>INT(A3732)-WEEKDAY(A3732,2)+1</f>
        <v/>
      </c>
      <c r="E3732" s="25" t="inlineStr">
        <is>
          <t>rsingh</t>
        </is>
      </c>
      <c r="F3732" s="25" t="n">
        <v>129443</v>
      </c>
      <c r="G3732" s="25" t="n">
        <v>2</v>
      </c>
      <c r="H3732" s="25" t="n">
        <v>10</v>
      </c>
      <c r="I3732" s="25" t="inlineStr">
        <is>
          <t>1 minute(s) and 26 second(s)</t>
        </is>
      </c>
      <c r="J3732" s="25">
        <f>IFERROR(VALUE(TRIM(LEFT(I3732,FIND("minute",I3732)-1)))*60,0)+IFERROR(VALUE(SUBSTITUTE(MID(I3732,IFERROR(FIND("and",I3732)+3,1),20),"second(s)","")),0)</f>
        <v/>
      </c>
      <c r="K3732" s="41">
        <f>J3732/60</f>
        <v/>
      </c>
      <c r="L3732" s="41">
        <f>IFERROR(J3732/H3732,"")</f>
        <v/>
      </c>
      <c r="M3732" s="25" t="inlineStr">
        <is>
          <t>2.5.12</t>
        </is>
      </c>
      <c r="N3732" s="25">
        <f>IF(J3732&gt;300,1,0)</f>
        <v/>
      </c>
      <c r="O3732" s="25">
        <f>IF(J3732&gt;600,1,0)</f>
        <v/>
      </c>
      <c r="P3732" s="25">
        <f>IF(H3732&gt;0,J3732,"")</f>
        <v/>
      </c>
      <c r="Q3732" s="25">
        <f>TEXT(A3732,"YYYY-MM-DD HH")</f>
        <v/>
      </c>
      <c r="R3732" s="25">
        <f>COUNTIF($Q$2:$Q$5295,Q3732)</f>
        <v/>
      </c>
      <c r="S3732" s="25">
        <f>IF(R3732&lt;=2,"1-2",IF(R3732&lt;=5,"3-5",IF(R3732&lt;=10,"6-10","11+")))</f>
        <v/>
      </c>
    </row>
    <row r="3733">
      <c r="A3733" s="39" t="n">
        <v>46214.19628472222</v>
      </c>
      <c r="B3733" s="25">
        <f>TEXT(A3733,"YYYY-MM")</f>
        <v/>
      </c>
      <c r="C3733" s="25">
        <f>TEXT(A3733,"MMM-YYYY")</f>
        <v/>
      </c>
      <c r="D3733" s="40">
        <f>INT(A3733)-WEEKDAY(A3733,2)+1</f>
        <v/>
      </c>
      <c r="E3733" s="25" t="inlineStr">
        <is>
          <t>rsingh</t>
        </is>
      </c>
      <c r="F3733" s="25" t="n">
        <v>129427</v>
      </c>
      <c r="G3733" s="25" t="n">
        <v>2</v>
      </c>
      <c r="H3733" s="25" t="n">
        <v>12</v>
      </c>
      <c r="I3733" s="25" t="inlineStr">
        <is>
          <t>1 minute(s) and 9 second(s)</t>
        </is>
      </c>
      <c r="J3733" s="25">
        <f>IFERROR(VALUE(TRIM(LEFT(I3733,FIND("minute",I3733)-1)))*60,0)+IFERROR(VALUE(SUBSTITUTE(MID(I3733,IFERROR(FIND("and",I3733)+3,1),20),"second(s)","")),0)</f>
        <v/>
      </c>
      <c r="K3733" s="41">
        <f>J3733/60</f>
        <v/>
      </c>
      <c r="L3733" s="41">
        <f>IFERROR(J3733/H3733,"")</f>
        <v/>
      </c>
      <c r="M3733" s="25" t="inlineStr">
        <is>
          <t>2.5.12</t>
        </is>
      </c>
      <c r="N3733" s="25">
        <f>IF(J3733&gt;300,1,0)</f>
        <v/>
      </c>
      <c r="O3733" s="25">
        <f>IF(J3733&gt;600,1,0)</f>
        <v/>
      </c>
      <c r="P3733" s="25">
        <f>IF(H3733&gt;0,J3733,"")</f>
        <v/>
      </c>
      <c r="Q3733" s="25">
        <f>TEXT(A3733,"YYYY-MM-DD HH")</f>
        <v/>
      </c>
      <c r="R3733" s="25">
        <f>COUNTIF($Q$2:$Q$5295,Q3733)</f>
        <v/>
      </c>
      <c r="S3733" s="25">
        <f>IF(R3733&lt;=2,"1-2",IF(R3733&lt;=5,"3-5",IF(R3733&lt;=10,"6-10","11+")))</f>
        <v/>
      </c>
    </row>
    <row r="3734">
      <c r="A3734" s="39" t="n">
        <v>46214.58127314815</v>
      </c>
      <c r="B3734" s="25">
        <f>TEXT(A3734,"YYYY-MM")</f>
        <v/>
      </c>
      <c r="C3734" s="25">
        <f>TEXT(A3734,"MMM-YYYY")</f>
        <v/>
      </c>
      <c r="D3734" s="40">
        <f>INT(A3734)-WEEKDAY(A3734,2)+1</f>
        <v/>
      </c>
      <c r="E3734" s="25" t="inlineStr">
        <is>
          <t>hsindwani</t>
        </is>
      </c>
      <c r="F3734" s="25" t="n">
        <v>130846</v>
      </c>
      <c r="G3734" s="25" t="n">
        <v>1</v>
      </c>
      <c r="H3734" s="25" t="n">
        <v>8</v>
      </c>
      <c r="I3734" s="25" t="inlineStr">
        <is>
          <t>42 second(s)</t>
        </is>
      </c>
      <c r="J3734" s="25">
        <f>IFERROR(VALUE(TRIM(LEFT(I3734,FIND("minute",I3734)-1)))*60,0)+IFERROR(VALUE(SUBSTITUTE(MID(I3734,IFERROR(FIND("and",I3734)+3,1),20),"second(s)","")),0)</f>
        <v/>
      </c>
      <c r="K3734" s="41">
        <f>J3734/60</f>
        <v/>
      </c>
      <c r="L3734" s="41">
        <f>IFERROR(J3734/H3734,"")</f>
        <v/>
      </c>
      <c r="M3734" s="25" t="inlineStr">
        <is>
          <t>2.5.12</t>
        </is>
      </c>
      <c r="N3734" s="25">
        <f>IF(J3734&gt;300,1,0)</f>
        <v/>
      </c>
      <c r="O3734" s="25">
        <f>IF(J3734&gt;600,1,0)</f>
        <v/>
      </c>
      <c r="P3734" s="25">
        <f>IF(H3734&gt;0,J3734,"")</f>
        <v/>
      </c>
      <c r="Q3734" s="25">
        <f>TEXT(A3734,"YYYY-MM-DD HH")</f>
        <v/>
      </c>
      <c r="R3734" s="25">
        <f>COUNTIF($Q$2:$Q$5295,Q3734)</f>
        <v/>
      </c>
      <c r="S3734" s="25">
        <f>IF(R3734&lt;=2,"1-2",IF(R3734&lt;=5,"3-5",IF(R3734&lt;=10,"6-10","11+")))</f>
        <v/>
      </c>
    </row>
    <row r="3735">
      <c r="A3735" s="39" t="n">
        <v>46214.86422453704</v>
      </c>
      <c r="B3735" s="25">
        <f>TEXT(A3735,"YYYY-MM")</f>
        <v/>
      </c>
      <c r="C3735" s="25">
        <f>TEXT(A3735,"MMM-YYYY")</f>
        <v/>
      </c>
      <c r="D3735" s="40">
        <f>INT(A3735)-WEEKDAY(A3735,2)+1</f>
        <v/>
      </c>
      <c r="E3735" s="25" t="inlineStr">
        <is>
          <t>hsindwani</t>
        </is>
      </c>
      <c r="F3735" s="25" t="n">
        <v>132989</v>
      </c>
      <c r="G3735" s="25" t="n">
        <v>4</v>
      </c>
      <c r="H3735" s="25" t="n">
        <v>24</v>
      </c>
      <c r="I3735" s="25" t="inlineStr">
        <is>
          <t>3 minute(s) and 19 second(s)</t>
        </is>
      </c>
      <c r="J3735" s="25">
        <f>IFERROR(VALUE(TRIM(LEFT(I3735,FIND("minute",I3735)-1)))*60,0)+IFERROR(VALUE(SUBSTITUTE(MID(I3735,IFERROR(FIND("and",I3735)+3,1),20),"second(s)","")),0)</f>
        <v/>
      </c>
      <c r="K3735" s="41">
        <f>J3735/60</f>
        <v/>
      </c>
      <c r="L3735" s="41">
        <f>IFERROR(J3735/H3735,"")</f>
        <v/>
      </c>
      <c r="M3735" s="25" t="inlineStr">
        <is>
          <t>2.5.12</t>
        </is>
      </c>
      <c r="N3735" s="25">
        <f>IF(J3735&gt;300,1,0)</f>
        <v/>
      </c>
      <c r="O3735" s="25">
        <f>IF(J3735&gt;600,1,0)</f>
        <v/>
      </c>
      <c r="P3735" s="25">
        <f>IF(H3735&gt;0,J3735,"")</f>
        <v/>
      </c>
      <c r="Q3735" s="25">
        <f>TEXT(A3735,"YYYY-MM-DD HH")</f>
        <v/>
      </c>
      <c r="R3735" s="25">
        <f>COUNTIF($Q$2:$Q$5295,Q3735)</f>
        <v/>
      </c>
      <c r="S3735" s="25">
        <f>IF(R3735&lt;=2,"1-2",IF(R3735&lt;=5,"3-5",IF(R3735&lt;=10,"6-10","11+")))</f>
        <v/>
      </c>
    </row>
    <row r="3736">
      <c r="A3736" s="39" t="n">
        <v>46215.36728009259</v>
      </c>
      <c r="B3736" s="25">
        <f>TEXT(A3736,"YYYY-MM")</f>
        <v/>
      </c>
      <c r="C3736" s="25">
        <f>TEXT(A3736,"MMM-YYYY")</f>
        <v/>
      </c>
      <c r="D3736" s="40">
        <f>INT(A3736)-WEEKDAY(A3736,2)+1</f>
        <v/>
      </c>
      <c r="E3736" s="25" t="inlineStr">
        <is>
          <t>dchoudhury</t>
        </is>
      </c>
      <c r="F3736" s="25" t="n">
        <v>132050</v>
      </c>
      <c r="G3736" s="25" t="n">
        <v>5</v>
      </c>
      <c r="H3736" s="25" t="n">
        <v>17</v>
      </c>
      <c r="I3736" s="25" t="inlineStr">
        <is>
          <t>2 minute(s) and 53 second(s)</t>
        </is>
      </c>
      <c r="J3736" s="25">
        <f>IFERROR(VALUE(TRIM(LEFT(I3736,FIND("minute",I3736)-1)))*60,0)+IFERROR(VALUE(SUBSTITUTE(MID(I3736,IFERROR(FIND("and",I3736)+3,1),20),"second(s)","")),0)</f>
        <v/>
      </c>
      <c r="K3736" s="41">
        <f>J3736/60</f>
        <v/>
      </c>
      <c r="L3736" s="41">
        <f>IFERROR(J3736/H3736,"")</f>
        <v/>
      </c>
      <c r="M3736" s="25" t="inlineStr">
        <is>
          <t>2.5.12</t>
        </is>
      </c>
      <c r="N3736" s="25">
        <f>IF(J3736&gt;300,1,0)</f>
        <v/>
      </c>
      <c r="O3736" s="25">
        <f>IF(J3736&gt;600,1,0)</f>
        <v/>
      </c>
      <c r="P3736" s="25">
        <f>IF(H3736&gt;0,J3736,"")</f>
        <v/>
      </c>
      <c r="Q3736" s="25">
        <f>TEXT(A3736,"YYYY-MM-DD HH")</f>
        <v/>
      </c>
      <c r="R3736" s="25">
        <f>COUNTIF($Q$2:$Q$5295,Q3736)</f>
        <v/>
      </c>
      <c r="S3736" s="25">
        <f>IF(R3736&lt;=2,"1-2",IF(R3736&lt;=5,"3-5",IF(R3736&lt;=10,"6-10","11+")))</f>
        <v/>
      </c>
    </row>
    <row r="3737">
      <c r="A3737" s="39" t="n">
        <v>46215.44826388889</v>
      </c>
      <c r="B3737" s="25">
        <f>TEXT(A3737,"YYYY-MM")</f>
        <v/>
      </c>
      <c r="C3737" s="25">
        <f>TEXT(A3737,"MMM-YYYY")</f>
        <v/>
      </c>
      <c r="D3737" s="40">
        <f>INT(A3737)-WEEKDAY(A3737,2)+1</f>
        <v/>
      </c>
      <c r="E3737" s="25" t="inlineStr">
        <is>
          <t>dchoudhury</t>
        </is>
      </c>
      <c r="F3737" s="25" t="n">
        <v>132547</v>
      </c>
      <c r="G3737" s="25" t="n">
        <v>3</v>
      </c>
      <c r="H3737" s="25" t="n">
        <v>17</v>
      </c>
      <c r="I3737" s="25" t="inlineStr">
        <is>
          <t>1 minute(s) and 51 second(s)</t>
        </is>
      </c>
      <c r="J3737" s="25">
        <f>IFERROR(VALUE(TRIM(LEFT(I3737,FIND("minute",I3737)-1)))*60,0)+IFERROR(VALUE(SUBSTITUTE(MID(I3737,IFERROR(FIND("and",I3737)+3,1),20),"second(s)","")),0)</f>
        <v/>
      </c>
      <c r="K3737" s="41">
        <f>J3737/60</f>
        <v/>
      </c>
      <c r="L3737" s="41">
        <f>IFERROR(J3737/H3737,"")</f>
        <v/>
      </c>
      <c r="M3737" s="25" t="inlineStr">
        <is>
          <t>2.5.12</t>
        </is>
      </c>
      <c r="N3737" s="25">
        <f>IF(J3737&gt;300,1,0)</f>
        <v/>
      </c>
      <c r="O3737" s="25">
        <f>IF(J3737&gt;600,1,0)</f>
        <v/>
      </c>
      <c r="P3737" s="25">
        <f>IF(H3737&gt;0,J3737,"")</f>
        <v/>
      </c>
      <c r="Q3737" s="25">
        <f>TEXT(A3737,"YYYY-MM-DD HH")</f>
        <v/>
      </c>
      <c r="R3737" s="25">
        <f>COUNTIF($Q$2:$Q$5295,Q3737)</f>
        <v/>
      </c>
      <c r="S3737" s="25">
        <f>IF(R3737&lt;=2,"1-2",IF(R3737&lt;=5,"3-5",IF(R3737&lt;=10,"6-10","11+")))</f>
        <v/>
      </c>
    </row>
    <row r="3738">
      <c r="A3738" s="39" t="n">
        <v>46215.45542824074</v>
      </c>
      <c r="B3738" s="25">
        <f>TEXT(A3738,"YYYY-MM")</f>
        <v/>
      </c>
      <c r="C3738" s="25">
        <f>TEXT(A3738,"MMM-YYYY")</f>
        <v/>
      </c>
      <c r="D3738" s="40">
        <f>INT(A3738)-WEEKDAY(A3738,2)+1</f>
        <v/>
      </c>
      <c r="E3738" s="25" t="inlineStr">
        <is>
          <t>dchoudhury</t>
        </is>
      </c>
      <c r="F3738" s="25" t="n">
        <v>132547</v>
      </c>
      <c r="G3738" s="25" t="n">
        <v>3</v>
      </c>
      <c r="H3738" s="25" t="n">
        <v>17</v>
      </c>
      <c r="I3738" s="25" t="inlineStr">
        <is>
          <t>2 minute(s) and 16 second(s)</t>
        </is>
      </c>
      <c r="J3738" s="25">
        <f>IFERROR(VALUE(TRIM(LEFT(I3738,FIND("minute",I3738)-1)))*60,0)+IFERROR(VALUE(SUBSTITUTE(MID(I3738,IFERROR(FIND("and",I3738)+3,1),20),"second(s)","")),0)</f>
        <v/>
      </c>
      <c r="K3738" s="41">
        <f>J3738/60</f>
        <v/>
      </c>
      <c r="L3738" s="41">
        <f>IFERROR(J3738/H3738,"")</f>
        <v/>
      </c>
      <c r="M3738" s="25" t="inlineStr">
        <is>
          <t>2.5.12</t>
        </is>
      </c>
      <c r="N3738" s="25">
        <f>IF(J3738&gt;300,1,0)</f>
        <v/>
      </c>
      <c r="O3738" s="25">
        <f>IF(J3738&gt;600,1,0)</f>
        <v/>
      </c>
      <c r="P3738" s="25">
        <f>IF(H3738&gt;0,J3738,"")</f>
        <v/>
      </c>
      <c r="Q3738" s="25">
        <f>TEXT(A3738,"YYYY-MM-DD HH")</f>
        <v/>
      </c>
      <c r="R3738" s="25">
        <f>COUNTIF($Q$2:$Q$5295,Q3738)</f>
        <v/>
      </c>
      <c r="S3738" s="25">
        <f>IF(R3738&lt;=2,"1-2",IF(R3738&lt;=5,"3-5",IF(R3738&lt;=10,"6-10","11+")))</f>
        <v/>
      </c>
    </row>
    <row r="3739">
      <c r="A3739" s="39" t="n">
        <v>46215.63019675926</v>
      </c>
      <c r="B3739" s="25">
        <f>TEXT(A3739,"YYYY-MM")</f>
        <v/>
      </c>
      <c r="C3739" s="25">
        <f>TEXT(A3739,"MMM-YYYY")</f>
        <v/>
      </c>
      <c r="D3739" s="40">
        <f>INT(A3739)-WEEKDAY(A3739,2)+1</f>
        <v/>
      </c>
      <c r="E3739" s="25" t="inlineStr">
        <is>
          <t>dchoudhury</t>
        </is>
      </c>
      <c r="F3739" s="25" t="n">
        <v>132571</v>
      </c>
      <c r="G3739" s="25" t="n">
        <v>2</v>
      </c>
      <c r="H3739" s="25" t="n">
        <v>10</v>
      </c>
      <c r="I3739" s="25" t="inlineStr">
        <is>
          <t>46 second(s)</t>
        </is>
      </c>
      <c r="J3739" s="25">
        <f>IFERROR(VALUE(TRIM(LEFT(I3739,FIND("minute",I3739)-1)))*60,0)+IFERROR(VALUE(SUBSTITUTE(MID(I3739,IFERROR(FIND("and",I3739)+3,1),20),"second(s)","")),0)</f>
        <v/>
      </c>
      <c r="K3739" s="41">
        <f>J3739/60</f>
        <v/>
      </c>
      <c r="L3739" s="41">
        <f>IFERROR(J3739/H3739,"")</f>
        <v/>
      </c>
      <c r="M3739" s="25" t="inlineStr">
        <is>
          <t>2.5.12</t>
        </is>
      </c>
      <c r="N3739" s="25">
        <f>IF(J3739&gt;300,1,0)</f>
        <v/>
      </c>
      <c r="O3739" s="25">
        <f>IF(J3739&gt;600,1,0)</f>
        <v/>
      </c>
      <c r="P3739" s="25">
        <f>IF(H3739&gt;0,J3739,"")</f>
        <v/>
      </c>
      <c r="Q3739" s="25">
        <f>TEXT(A3739,"YYYY-MM-DD HH")</f>
        <v/>
      </c>
      <c r="R3739" s="25">
        <f>COUNTIF($Q$2:$Q$5295,Q3739)</f>
        <v/>
      </c>
      <c r="S3739" s="25">
        <f>IF(R3739&lt;=2,"1-2",IF(R3739&lt;=5,"3-5",IF(R3739&lt;=10,"6-10","11+")))</f>
        <v/>
      </c>
    </row>
    <row r="3740">
      <c r="A3740" s="39" t="n">
        <v>46215.69444444445</v>
      </c>
      <c r="B3740" s="25">
        <f>TEXT(A3740,"YYYY-MM")</f>
        <v/>
      </c>
      <c r="C3740" s="25">
        <f>TEXT(A3740,"MMM-YYYY")</f>
        <v/>
      </c>
      <c r="D3740" s="40">
        <f>INT(A3740)-WEEKDAY(A3740,2)+1</f>
        <v/>
      </c>
      <c r="E3740" s="25" t="inlineStr">
        <is>
          <t>dchoudhury</t>
        </is>
      </c>
      <c r="F3740" s="25" t="n">
        <v>132603</v>
      </c>
      <c r="G3740" s="25" t="n">
        <v>2</v>
      </c>
      <c r="H3740" s="25" t="n">
        <v>10</v>
      </c>
      <c r="I3740" s="25" t="inlineStr">
        <is>
          <t>1 minute(s) and 28 second(s)</t>
        </is>
      </c>
      <c r="J3740" s="25">
        <f>IFERROR(VALUE(TRIM(LEFT(I3740,FIND("minute",I3740)-1)))*60,0)+IFERROR(VALUE(SUBSTITUTE(MID(I3740,IFERROR(FIND("and",I3740)+3,1),20),"second(s)","")),0)</f>
        <v/>
      </c>
      <c r="K3740" s="41">
        <f>J3740/60</f>
        <v/>
      </c>
      <c r="L3740" s="41">
        <f>IFERROR(J3740/H3740,"")</f>
        <v/>
      </c>
      <c r="M3740" s="25" t="inlineStr">
        <is>
          <t>2.5.12</t>
        </is>
      </c>
      <c r="N3740" s="25">
        <f>IF(J3740&gt;300,1,0)</f>
        <v/>
      </c>
      <c r="O3740" s="25">
        <f>IF(J3740&gt;600,1,0)</f>
        <v/>
      </c>
      <c r="P3740" s="25">
        <f>IF(H3740&gt;0,J3740,"")</f>
        <v/>
      </c>
      <c r="Q3740" s="25">
        <f>TEXT(A3740,"YYYY-MM-DD HH")</f>
        <v/>
      </c>
      <c r="R3740" s="25">
        <f>COUNTIF($Q$2:$Q$5295,Q3740)</f>
        <v/>
      </c>
      <c r="S3740" s="25">
        <f>IF(R3740&lt;=2,"1-2",IF(R3740&lt;=5,"3-5",IF(R3740&lt;=10,"6-10","11+")))</f>
        <v/>
      </c>
    </row>
    <row r="3741">
      <c r="A3741" s="39" t="n">
        <v>46215.75827546296</v>
      </c>
      <c r="B3741" s="25">
        <f>TEXT(A3741,"YYYY-MM")</f>
        <v/>
      </c>
      <c r="C3741" s="25">
        <f>TEXT(A3741,"MMM-YYYY")</f>
        <v/>
      </c>
      <c r="D3741" s="40">
        <f>INT(A3741)-WEEKDAY(A3741,2)+1</f>
        <v/>
      </c>
      <c r="E3741" s="25" t="inlineStr">
        <is>
          <t>dchoudhury</t>
        </is>
      </c>
      <c r="F3741" s="25" t="n">
        <v>132651</v>
      </c>
      <c r="G3741" s="25" t="n">
        <v>2</v>
      </c>
      <c r="H3741" s="25" t="n">
        <v>10</v>
      </c>
      <c r="I3741" s="25" t="inlineStr">
        <is>
          <t>49 second(s)</t>
        </is>
      </c>
      <c r="J3741" s="25">
        <f>IFERROR(VALUE(TRIM(LEFT(I3741,FIND("minute",I3741)-1)))*60,0)+IFERROR(VALUE(SUBSTITUTE(MID(I3741,IFERROR(FIND("and",I3741)+3,1),20),"second(s)","")),0)</f>
        <v/>
      </c>
      <c r="K3741" s="41">
        <f>J3741/60</f>
        <v/>
      </c>
      <c r="L3741" s="41">
        <f>IFERROR(J3741/H3741,"")</f>
        <v/>
      </c>
      <c r="M3741" s="25" t="inlineStr">
        <is>
          <t>2.5.12</t>
        </is>
      </c>
      <c r="N3741" s="25">
        <f>IF(J3741&gt;300,1,0)</f>
        <v/>
      </c>
      <c r="O3741" s="25">
        <f>IF(J3741&gt;600,1,0)</f>
        <v/>
      </c>
      <c r="P3741" s="25">
        <f>IF(H3741&gt;0,J3741,"")</f>
        <v/>
      </c>
      <c r="Q3741" s="25">
        <f>TEXT(A3741,"YYYY-MM-DD HH")</f>
        <v/>
      </c>
      <c r="R3741" s="25">
        <f>COUNTIF($Q$2:$Q$5295,Q3741)</f>
        <v/>
      </c>
      <c r="S3741" s="25">
        <f>IF(R3741&lt;=2,"1-2",IF(R3741&lt;=5,"3-5",IF(R3741&lt;=10,"6-10","11+")))</f>
        <v/>
      </c>
    </row>
    <row r="3742">
      <c r="A3742" s="39" t="n">
        <v>46215.90642361111</v>
      </c>
      <c r="B3742" s="25">
        <f>TEXT(A3742,"YYYY-MM")</f>
        <v/>
      </c>
      <c r="C3742" s="25">
        <f>TEXT(A3742,"MMM-YYYY")</f>
        <v/>
      </c>
      <c r="D3742" s="40">
        <f>INT(A3742)-WEEKDAY(A3742,2)+1</f>
        <v/>
      </c>
      <c r="E3742" s="25" t="inlineStr">
        <is>
          <t>dchoudhury</t>
        </is>
      </c>
      <c r="F3742" s="25" t="n">
        <v>132780</v>
      </c>
      <c r="G3742" s="25" t="n">
        <v>2</v>
      </c>
      <c r="H3742" s="25" t="n">
        <v>14</v>
      </c>
      <c r="I3742" s="25" t="inlineStr">
        <is>
          <t>1 minute(s) and 41 second(s)</t>
        </is>
      </c>
      <c r="J3742" s="25">
        <f>IFERROR(VALUE(TRIM(LEFT(I3742,FIND("minute",I3742)-1)))*60,0)+IFERROR(VALUE(SUBSTITUTE(MID(I3742,IFERROR(FIND("and",I3742)+3,1),20),"second(s)","")),0)</f>
        <v/>
      </c>
      <c r="K3742" s="41">
        <f>J3742/60</f>
        <v/>
      </c>
      <c r="L3742" s="41">
        <f>IFERROR(J3742/H3742,"")</f>
        <v/>
      </c>
      <c r="M3742" s="25" t="inlineStr">
        <is>
          <t>2.5.12</t>
        </is>
      </c>
      <c r="N3742" s="25">
        <f>IF(J3742&gt;300,1,0)</f>
        <v/>
      </c>
      <c r="O3742" s="25">
        <f>IF(J3742&gt;600,1,0)</f>
        <v/>
      </c>
      <c r="P3742" s="25">
        <f>IF(H3742&gt;0,J3742,"")</f>
        <v/>
      </c>
      <c r="Q3742" s="25">
        <f>TEXT(A3742,"YYYY-MM-DD HH")</f>
        <v/>
      </c>
      <c r="R3742" s="25">
        <f>COUNTIF($Q$2:$Q$5295,Q3742)</f>
        <v/>
      </c>
      <c r="S3742" s="25">
        <f>IF(R3742&lt;=2,"1-2",IF(R3742&lt;=5,"3-5",IF(R3742&lt;=10,"6-10","11+")))</f>
        <v/>
      </c>
    </row>
    <row r="3743">
      <c r="A3743" s="39" t="n">
        <v>46215.95998842592</v>
      </c>
      <c r="B3743" s="25">
        <f>TEXT(A3743,"YYYY-MM")</f>
        <v/>
      </c>
      <c r="C3743" s="25">
        <f>TEXT(A3743,"MMM-YYYY")</f>
        <v/>
      </c>
      <c r="D3743" s="40">
        <f>INT(A3743)-WEEKDAY(A3743,2)+1</f>
        <v/>
      </c>
      <c r="E3743" s="25" t="inlineStr">
        <is>
          <t>sdey</t>
        </is>
      </c>
      <c r="F3743" s="25" t="n">
        <v>132244</v>
      </c>
      <c r="G3743" s="25" t="n">
        <v>1</v>
      </c>
      <c r="H3743" s="25" t="n">
        <v>5</v>
      </c>
      <c r="I3743" s="25" t="inlineStr">
        <is>
          <t>27 second(s)</t>
        </is>
      </c>
      <c r="J3743" s="25">
        <f>IFERROR(VALUE(TRIM(LEFT(I3743,FIND("minute",I3743)-1)))*60,0)+IFERROR(VALUE(SUBSTITUTE(MID(I3743,IFERROR(FIND("and",I3743)+3,1),20),"second(s)","")),0)</f>
        <v/>
      </c>
      <c r="K3743" s="41">
        <f>J3743/60</f>
        <v/>
      </c>
      <c r="L3743" s="41">
        <f>IFERROR(J3743/H3743,"")</f>
        <v/>
      </c>
      <c r="M3743" s="25" t="inlineStr">
        <is>
          <t>2.5.12</t>
        </is>
      </c>
      <c r="N3743" s="25">
        <f>IF(J3743&gt;300,1,0)</f>
        <v/>
      </c>
      <c r="O3743" s="25">
        <f>IF(J3743&gt;600,1,0)</f>
        <v/>
      </c>
      <c r="P3743" s="25">
        <f>IF(H3743&gt;0,J3743,"")</f>
        <v/>
      </c>
      <c r="Q3743" s="25">
        <f>TEXT(A3743,"YYYY-MM-DD HH")</f>
        <v/>
      </c>
      <c r="R3743" s="25">
        <f>COUNTIF($Q$2:$Q$5295,Q3743)</f>
        <v/>
      </c>
      <c r="S3743" s="25">
        <f>IF(R3743&lt;=2,"1-2",IF(R3743&lt;=5,"3-5",IF(R3743&lt;=10,"6-10","11+")))</f>
        <v/>
      </c>
    </row>
    <row r="3744">
      <c r="A3744" s="39" t="n">
        <v>46216.00721064815</v>
      </c>
      <c r="B3744" s="25">
        <f>TEXT(A3744,"YYYY-MM")</f>
        <v/>
      </c>
      <c r="C3744" s="25">
        <f>TEXT(A3744,"MMM-YYYY")</f>
        <v/>
      </c>
      <c r="D3744" s="40">
        <f>INT(A3744)-WEEKDAY(A3744,2)+1</f>
        <v/>
      </c>
      <c r="E3744" s="25" t="inlineStr">
        <is>
          <t>mgupta</t>
        </is>
      </c>
      <c r="F3744" s="25" t="n">
        <v>131444</v>
      </c>
      <c r="G3744" s="25" t="n">
        <v>2</v>
      </c>
      <c r="H3744" s="25" t="n">
        <v>10</v>
      </c>
      <c r="I3744" s="25" t="inlineStr">
        <is>
          <t>1 minute(s) and 58 second(s)</t>
        </is>
      </c>
      <c r="J3744" s="25">
        <f>IFERROR(VALUE(TRIM(LEFT(I3744,FIND("minute",I3744)-1)))*60,0)+IFERROR(VALUE(SUBSTITUTE(MID(I3744,IFERROR(FIND("and",I3744)+3,1),20),"second(s)","")),0)</f>
        <v/>
      </c>
      <c r="K3744" s="41">
        <f>J3744/60</f>
        <v/>
      </c>
      <c r="L3744" s="41">
        <f>IFERROR(J3744/H3744,"")</f>
        <v/>
      </c>
      <c r="M3744" s="25" t="inlineStr">
        <is>
          <t>2.5.12</t>
        </is>
      </c>
      <c r="N3744" s="25">
        <f>IF(J3744&gt;300,1,0)</f>
        <v/>
      </c>
      <c r="O3744" s="25">
        <f>IF(J3744&gt;600,1,0)</f>
        <v/>
      </c>
      <c r="P3744" s="25">
        <f>IF(H3744&gt;0,J3744,"")</f>
        <v/>
      </c>
      <c r="Q3744" s="25">
        <f>TEXT(A3744,"YYYY-MM-DD HH")</f>
        <v/>
      </c>
      <c r="R3744" s="25">
        <f>COUNTIF($Q$2:$Q$5295,Q3744)</f>
        <v/>
      </c>
      <c r="S3744" s="25">
        <f>IF(R3744&lt;=2,"1-2",IF(R3744&lt;=5,"3-5",IF(R3744&lt;=10,"6-10","11+")))</f>
        <v/>
      </c>
    </row>
    <row r="3745">
      <c r="A3745" s="39" t="n">
        <v>46216.07942129629</v>
      </c>
      <c r="B3745" s="25">
        <f>TEXT(A3745,"YYYY-MM")</f>
        <v/>
      </c>
      <c r="C3745" s="25">
        <f>TEXT(A3745,"MMM-YYYY")</f>
        <v/>
      </c>
      <c r="D3745" s="40">
        <f>INT(A3745)-WEEKDAY(A3745,2)+1</f>
        <v/>
      </c>
      <c r="E3745" s="25" t="inlineStr">
        <is>
          <t>psathwika</t>
        </is>
      </c>
      <c r="F3745" s="25" t="n">
        <v>131867</v>
      </c>
      <c r="G3745" s="25" t="n">
        <v>1</v>
      </c>
      <c r="H3745" s="25" t="n">
        <v>7</v>
      </c>
      <c r="I3745" s="25" t="inlineStr">
        <is>
          <t>1 minute(s) and 31 second(s)</t>
        </is>
      </c>
      <c r="J3745" s="25">
        <f>IFERROR(VALUE(TRIM(LEFT(I3745,FIND("minute",I3745)-1)))*60,0)+IFERROR(VALUE(SUBSTITUTE(MID(I3745,IFERROR(FIND("and",I3745)+3,1),20),"second(s)","")),0)</f>
        <v/>
      </c>
      <c r="K3745" s="41">
        <f>J3745/60</f>
        <v/>
      </c>
      <c r="L3745" s="41">
        <f>IFERROR(J3745/H3745,"")</f>
        <v/>
      </c>
      <c r="M3745" s="25" t="inlineStr">
        <is>
          <t>2.5.12</t>
        </is>
      </c>
      <c r="N3745" s="25">
        <f>IF(J3745&gt;300,1,0)</f>
        <v/>
      </c>
      <c r="O3745" s="25">
        <f>IF(J3745&gt;600,1,0)</f>
        <v/>
      </c>
      <c r="P3745" s="25">
        <f>IF(H3745&gt;0,J3745,"")</f>
        <v/>
      </c>
      <c r="Q3745" s="25">
        <f>TEXT(A3745,"YYYY-MM-DD HH")</f>
        <v/>
      </c>
      <c r="R3745" s="25">
        <f>COUNTIF($Q$2:$Q$5295,Q3745)</f>
        <v/>
      </c>
      <c r="S3745" s="25">
        <f>IF(R3745&lt;=2,"1-2",IF(R3745&lt;=5,"3-5",IF(R3745&lt;=10,"6-10","11+")))</f>
        <v/>
      </c>
    </row>
    <row r="3746">
      <c r="A3746" s="39" t="n">
        <v>46216.08605324074</v>
      </c>
      <c r="B3746" s="25">
        <f>TEXT(A3746,"YYYY-MM")</f>
        <v/>
      </c>
      <c r="C3746" s="25">
        <f>TEXT(A3746,"MMM-YYYY")</f>
        <v/>
      </c>
      <c r="D3746" s="40">
        <f>INT(A3746)-WEEKDAY(A3746,2)+1</f>
        <v/>
      </c>
      <c r="E3746" s="25" t="inlineStr">
        <is>
          <t>shasikha</t>
        </is>
      </c>
      <c r="F3746" s="25" t="n">
        <v>127928</v>
      </c>
      <c r="G3746" s="25" t="n">
        <v>2</v>
      </c>
      <c r="H3746" s="25" t="n">
        <v>8</v>
      </c>
      <c r="I3746" s="25" t="inlineStr">
        <is>
          <t>1 minute(s) and 44 second(s)</t>
        </is>
      </c>
      <c r="J3746" s="25">
        <f>IFERROR(VALUE(TRIM(LEFT(I3746,FIND("minute",I3746)-1)))*60,0)+IFERROR(VALUE(SUBSTITUTE(MID(I3746,IFERROR(FIND("and",I3746)+3,1),20),"second(s)","")),0)</f>
        <v/>
      </c>
      <c r="K3746" s="41">
        <f>J3746/60</f>
        <v/>
      </c>
      <c r="L3746" s="41">
        <f>IFERROR(J3746/H3746,"")</f>
        <v/>
      </c>
      <c r="M3746" s="25" t="inlineStr">
        <is>
          <t>2.5.12</t>
        </is>
      </c>
      <c r="N3746" s="25">
        <f>IF(J3746&gt;300,1,0)</f>
        <v/>
      </c>
      <c r="O3746" s="25">
        <f>IF(J3746&gt;600,1,0)</f>
        <v/>
      </c>
      <c r="P3746" s="25">
        <f>IF(H3746&gt;0,J3746,"")</f>
        <v/>
      </c>
      <c r="Q3746" s="25">
        <f>TEXT(A3746,"YYYY-MM-DD HH")</f>
        <v/>
      </c>
      <c r="R3746" s="25">
        <f>COUNTIF($Q$2:$Q$5295,Q3746)</f>
        <v/>
      </c>
      <c r="S3746" s="25">
        <f>IF(R3746&lt;=2,"1-2",IF(R3746&lt;=5,"3-5",IF(R3746&lt;=10,"6-10","11+")))</f>
        <v/>
      </c>
    </row>
    <row r="3747">
      <c r="A3747" s="39" t="n">
        <v>46216.10115740741</v>
      </c>
      <c r="B3747" s="25">
        <f>TEXT(A3747,"YYYY-MM")</f>
        <v/>
      </c>
      <c r="C3747" s="25">
        <f>TEXT(A3747,"MMM-YYYY")</f>
        <v/>
      </c>
      <c r="D3747" s="40">
        <f>INT(A3747)-WEEKDAY(A3747,2)+1</f>
        <v/>
      </c>
      <c r="E3747" s="25" t="inlineStr">
        <is>
          <t>ssrinivasan</t>
        </is>
      </c>
      <c r="F3747" s="25" t="n">
        <v>128048</v>
      </c>
      <c r="G3747" s="25" t="n">
        <v>3</v>
      </c>
      <c r="H3747" s="25" t="n">
        <v>21</v>
      </c>
      <c r="I3747" s="25" t="inlineStr">
        <is>
          <t>3 minute(s) and 11 second(s)</t>
        </is>
      </c>
      <c r="J3747" s="25">
        <f>IFERROR(VALUE(TRIM(LEFT(I3747,FIND("minute",I3747)-1)))*60,0)+IFERROR(VALUE(SUBSTITUTE(MID(I3747,IFERROR(FIND("and",I3747)+3,1),20),"second(s)","")),0)</f>
        <v/>
      </c>
      <c r="K3747" s="41">
        <f>J3747/60</f>
        <v/>
      </c>
      <c r="L3747" s="41">
        <f>IFERROR(J3747/H3747,"")</f>
        <v/>
      </c>
      <c r="M3747" s="25" t="inlineStr">
        <is>
          <t>2.5.12</t>
        </is>
      </c>
      <c r="N3747" s="25">
        <f>IF(J3747&gt;300,1,0)</f>
        <v/>
      </c>
      <c r="O3747" s="25">
        <f>IF(J3747&gt;600,1,0)</f>
        <v/>
      </c>
      <c r="P3747" s="25">
        <f>IF(H3747&gt;0,J3747,"")</f>
        <v/>
      </c>
      <c r="Q3747" s="25">
        <f>TEXT(A3747,"YYYY-MM-DD HH")</f>
        <v/>
      </c>
      <c r="R3747" s="25">
        <f>COUNTIF($Q$2:$Q$5295,Q3747)</f>
        <v/>
      </c>
      <c r="S3747" s="25">
        <f>IF(R3747&lt;=2,"1-2",IF(R3747&lt;=5,"3-5",IF(R3747&lt;=10,"6-10","11+")))</f>
        <v/>
      </c>
    </row>
    <row r="3748">
      <c r="A3748" s="39" t="n">
        <v>46216.10704861111</v>
      </c>
      <c r="B3748" s="25">
        <f>TEXT(A3748,"YYYY-MM")</f>
        <v/>
      </c>
      <c r="C3748" s="25">
        <f>TEXT(A3748,"MMM-YYYY")</f>
        <v/>
      </c>
      <c r="D3748" s="40">
        <f>INT(A3748)-WEEKDAY(A3748,2)+1</f>
        <v/>
      </c>
      <c r="E3748" s="25" t="inlineStr">
        <is>
          <t>atiwari</t>
        </is>
      </c>
      <c r="F3748" s="25" t="n">
        <v>132779</v>
      </c>
      <c r="G3748" s="25" t="n">
        <v>2</v>
      </c>
      <c r="H3748" s="25" t="n">
        <v>10</v>
      </c>
      <c r="I3748" s="25" t="inlineStr">
        <is>
          <t>1 minute(s) and 1 second(s)</t>
        </is>
      </c>
      <c r="J3748" s="25">
        <f>IFERROR(VALUE(TRIM(LEFT(I3748,FIND("minute",I3748)-1)))*60,0)+IFERROR(VALUE(SUBSTITUTE(MID(I3748,IFERROR(FIND("and",I3748)+3,1),20),"second(s)","")),0)</f>
        <v/>
      </c>
      <c r="K3748" s="41">
        <f>J3748/60</f>
        <v/>
      </c>
      <c r="L3748" s="41">
        <f>IFERROR(J3748/H3748,"")</f>
        <v/>
      </c>
      <c r="M3748" s="25" t="inlineStr">
        <is>
          <t>2.5.12</t>
        </is>
      </c>
      <c r="N3748" s="25">
        <f>IF(J3748&gt;300,1,0)</f>
        <v/>
      </c>
      <c r="O3748" s="25">
        <f>IF(J3748&gt;600,1,0)</f>
        <v/>
      </c>
      <c r="P3748" s="25">
        <f>IF(H3748&gt;0,J3748,"")</f>
        <v/>
      </c>
      <c r="Q3748" s="25">
        <f>TEXT(A3748,"YYYY-MM-DD HH")</f>
        <v/>
      </c>
      <c r="R3748" s="25">
        <f>COUNTIF($Q$2:$Q$5295,Q3748)</f>
        <v/>
      </c>
      <c r="S3748" s="25">
        <f>IF(R3748&lt;=2,"1-2",IF(R3748&lt;=5,"3-5",IF(R3748&lt;=10,"6-10","11+")))</f>
        <v/>
      </c>
    </row>
    <row r="3749">
      <c r="A3749" s="39" t="n">
        <v>46216.11928240741</v>
      </c>
      <c r="B3749" s="25">
        <f>TEXT(A3749,"YYYY-MM")</f>
        <v/>
      </c>
      <c r="C3749" s="25">
        <f>TEXT(A3749,"MMM-YYYY")</f>
        <v/>
      </c>
      <c r="D3749" s="40">
        <f>INT(A3749)-WEEKDAY(A3749,2)+1</f>
        <v/>
      </c>
      <c r="E3749" s="25" t="inlineStr">
        <is>
          <t>npriya</t>
        </is>
      </c>
      <c r="F3749" s="25" t="n">
        <v>132760</v>
      </c>
      <c r="G3749" s="25" t="n">
        <v>1</v>
      </c>
      <c r="H3749" s="25" t="n">
        <v>5</v>
      </c>
      <c r="I3749" s="25" t="inlineStr">
        <is>
          <t>36 second(s)</t>
        </is>
      </c>
      <c r="J3749" s="25">
        <f>IFERROR(VALUE(TRIM(LEFT(I3749,FIND("minute",I3749)-1)))*60,0)+IFERROR(VALUE(SUBSTITUTE(MID(I3749,IFERROR(FIND("and",I3749)+3,1),20),"second(s)","")),0)</f>
        <v/>
      </c>
      <c r="K3749" s="41">
        <f>J3749/60</f>
        <v/>
      </c>
      <c r="L3749" s="41">
        <f>IFERROR(J3749/H3749,"")</f>
        <v/>
      </c>
      <c r="M3749" s="25" t="inlineStr">
        <is>
          <t>2.5.12</t>
        </is>
      </c>
      <c r="N3749" s="25">
        <f>IF(J3749&gt;300,1,0)</f>
        <v/>
      </c>
      <c r="O3749" s="25">
        <f>IF(J3749&gt;600,1,0)</f>
        <v/>
      </c>
      <c r="P3749" s="25">
        <f>IF(H3749&gt;0,J3749,"")</f>
        <v/>
      </c>
      <c r="Q3749" s="25">
        <f>TEXT(A3749,"YYYY-MM-DD HH")</f>
        <v/>
      </c>
      <c r="R3749" s="25">
        <f>COUNTIF($Q$2:$Q$5295,Q3749)</f>
        <v/>
      </c>
      <c r="S3749" s="25">
        <f>IF(R3749&lt;=2,"1-2",IF(R3749&lt;=5,"3-5",IF(R3749&lt;=10,"6-10","11+")))</f>
        <v/>
      </c>
    </row>
    <row r="3750">
      <c r="A3750" s="39" t="n">
        <v>46216.13695601852</v>
      </c>
      <c r="B3750" s="25">
        <f>TEXT(A3750,"YYYY-MM")</f>
        <v/>
      </c>
      <c r="C3750" s="25">
        <f>TEXT(A3750,"MMM-YYYY")</f>
        <v/>
      </c>
      <c r="D3750" s="40">
        <f>INT(A3750)-WEEKDAY(A3750,2)+1</f>
        <v/>
      </c>
      <c r="E3750" s="25" t="inlineStr">
        <is>
          <t>atiwari</t>
        </is>
      </c>
      <c r="F3750" s="25" t="n">
        <v>132675</v>
      </c>
      <c r="G3750" s="25" t="n">
        <v>2</v>
      </c>
      <c r="H3750" s="25" t="n">
        <v>14</v>
      </c>
      <c r="I3750" s="25" t="inlineStr">
        <is>
          <t>1 minute(s) and 21 second(s)</t>
        </is>
      </c>
      <c r="J3750" s="25">
        <f>IFERROR(VALUE(TRIM(LEFT(I3750,FIND("minute",I3750)-1)))*60,0)+IFERROR(VALUE(SUBSTITUTE(MID(I3750,IFERROR(FIND("and",I3750)+3,1),20),"second(s)","")),0)</f>
        <v/>
      </c>
      <c r="K3750" s="41">
        <f>J3750/60</f>
        <v/>
      </c>
      <c r="L3750" s="41">
        <f>IFERROR(J3750/H3750,"")</f>
        <v/>
      </c>
      <c r="M3750" s="25" t="inlineStr">
        <is>
          <t>2.5.12</t>
        </is>
      </c>
      <c r="N3750" s="25">
        <f>IF(J3750&gt;300,1,0)</f>
        <v/>
      </c>
      <c r="O3750" s="25">
        <f>IF(J3750&gt;600,1,0)</f>
        <v/>
      </c>
      <c r="P3750" s="25">
        <f>IF(H3750&gt;0,J3750,"")</f>
        <v/>
      </c>
      <c r="Q3750" s="25">
        <f>TEXT(A3750,"YYYY-MM-DD HH")</f>
        <v/>
      </c>
      <c r="R3750" s="25">
        <f>COUNTIF($Q$2:$Q$5295,Q3750)</f>
        <v/>
      </c>
      <c r="S3750" s="25">
        <f>IF(R3750&lt;=2,"1-2",IF(R3750&lt;=5,"3-5",IF(R3750&lt;=10,"6-10","11+")))</f>
        <v/>
      </c>
    </row>
    <row r="3751">
      <c r="A3751" s="39" t="n">
        <v>46216.15052083333</v>
      </c>
      <c r="B3751" s="25">
        <f>TEXT(A3751,"YYYY-MM")</f>
        <v/>
      </c>
      <c r="C3751" s="25">
        <f>TEXT(A3751,"MMM-YYYY")</f>
        <v/>
      </c>
      <c r="D3751" s="40">
        <f>INT(A3751)-WEEKDAY(A3751,2)+1</f>
        <v/>
      </c>
      <c r="E3751" s="25" t="inlineStr">
        <is>
          <t>shasikha</t>
        </is>
      </c>
      <c r="F3751" s="25" t="n">
        <v>127904</v>
      </c>
      <c r="G3751" s="25" t="n">
        <v>4</v>
      </c>
      <c r="H3751" s="25" t="n">
        <v>24</v>
      </c>
      <c r="I3751" s="25" t="inlineStr">
        <is>
          <t>4 minute(s) and 36 second(s)</t>
        </is>
      </c>
      <c r="J3751" s="25">
        <f>IFERROR(VALUE(TRIM(LEFT(I3751,FIND("minute",I3751)-1)))*60,0)+IFERROR(VALUE(SUBSTITUTE(MID(I3751,IFERROR(FIND("and",I3751)+3,1),20),"second(s)","")),0)</f>
        <v/>
      </c>
      <c r="K3751" s="41">
        <f>J3751/60</f>
        <v/>
      </c>
      <c r="L3751" s="41">
        <f>IFERROR(J3751/H3751,"")</f>
        <v/>
      </c>
      <c r="M3751" s="25" t="inlineStr">
        <is>
          <t>2.5.12</t>
        </is>
      </c>
      <c r="N3751" s="25">
        <f>IF(J3751&gt;300,1,0)</f>
        <v/>
      </c>
      <c r="O3751" s="25">
        <f>IF(J3751&gt;600,1,0)</f>
        <v/>
      </c>
      <c r="P3751" s="25">
        <f>IF(H3751&gt;0,J3751,"")</f>
        <v/>
      </c>
      <c r="Q3751" s="25">
        <f>TEXT(A3751,"YYYY-MM-DD HH")</f>
        <v/>
      </c>
      <c r="R3751" s="25">
        <f>COUNTIF($Q$2:$Q$5295,Q3751)</f>
        <v/>
      </c>
      <c r="S3751" s="25">
        <f>IF(R3751&lt;=2,"1-2",IF(R3751&lt;=5,"3-5",IF(R3751&lt;=10,"6-10","11+")))</f>
        <v/>
      </c>
    </row>
    <row r="3752">
      <c r="A3752" s="39" t="n">
        <v>46216.15356481481</v>
      </c>
      <c r="B3752" s="25">
        <f>TEXT(A3752,"YYYY-MM")</f>
        <v/>
      </c>
      <c r="C3752" s="25">
        <f>TEXT(A3752,"MMM-YYYY")</f>
        <v/>
      </c>
      <c r="D3752" s="40">
        <f>INT(A3752)-WEEKDAY(A3752,2)+1</f>
        <v/>
      </c>
      <c r="E3752" s="25" t="inlineStr">
        <is>
          <t>asahoo</t>
        </is>
      </c>
      <c r="F3752" s="25" t="n">
        <v>129862</v>
      </c>
      <c r="G3752" s="25" t="n">
        <v>4</v>
      </c>
      <c r="H3752" s="25" t="n">
        <v>28</v>
      </c>
      <c r="I3752" s="25" t="inlineStr">
        <is>
          <t>5 minute(s) and 40 second(s)</t>
        </is>
      </c>
      <c r="J3752" s="25">
        <f>IFERROR(VALUE(TRIM(LEFT(I3752,FIND("minute",I3752)-1)))*60,0)+IFERROR(VALUE(SUBSTITUTE(MID(I3752,IFERROR(FIND("and",I3752)+3,1),20),"second(s)","")),0)</f>
        <v/>
      </c>
      <c r="K3752" s="41">
        <f>J3752/60</f>
        <v/>
      </c>
      <c r="L3752" s="41">
        <f>IFERROR(J3752/H3752,"")</f>
        <v/>
      </c>
      <c r="M3752" s="25" t="inlineStr">
        <is>
          <t>2.5.12</t>
        </is>
      </c>
      <c r="N3752" s="25">
        <f>IF(J3752&gt;300,1,0)</f>
        <v/>
      </c>
      <c r="O3752" s="25">
        <f>IF(J3752&gt;600,1,0)</f>
        <v/>
      </c>
      <c r="P3752" s="25">
        <f>IF(H3752&gt;0,J3752,"")</f>
        <v/>
      </c>
      <c r="Q3752" s="25">
        <f>TEXT(A3752,"YYYY-MM-DD HH")</f>
        <v/>
      </c>
      <c r="R3752" s="25">
        <f>COUNTIF($Q$2:$Q$5295,Q3752)</f>
        <v/>
      </c>
      <c r="S3752" s="25">
        <f>IF(R3752&lt;=2,"1-2",IF(R3752&lt;=5,"3-5",IF(R3752&lt;=10,"6-10","11+")))</f>
        <v/>
      </c>
    </row>
    <row r="3753">
      <c r="A3753" s="39" t="n">
        <v>46216.16202546296</v>
      </c>
      <c r="B3753" s="25">
        <f>TEXT(A3753,"YYYY-MM")</f>
        <v/>
      </c>
      <c r="C3753" s="25">
        <f>TEXT(A3753,"MMM-YYYY")</f>
        <v/>
      </c>
      <c r="D3753" s="40">
        <f>INT(A3753)-WEEKDAY(A3753,2)+1</f>
        <v/>
      </c>
      <c r="E3753" s="25" t="inlineStr">
        <is>
          <t>asahoo</t>
        </is>
      </c>
      <c r="F3753" s="25" t="n">
        <v>129862</v>
      </c>
      <c r="G3753" s="25" t="n">
        <v>1</v>
      </c>
      <c r="H3753" s="25" t="n">
        <v>7</v>
      </c>
      <c r="I3753" s="25" t="inlineStr">
        <is>
          <t>1 minute(s) and 10 second(s)</t>
        </is>
      </c>
      <c r="J3753" s="25">
        <f>IFERROR(VALUE(TRIM(LEFT(I3753,FIND("minute",I3753)-1)))*60,0)+IFERROR(VALUE(SUBSTITUTE(MID(I3753,IFERROR(FIND("and",I3753)+3,1),20),"second(s)","")),0)</f>
        <v/>
      </c>
      <c r="K3753" s="41">
        <f>J3753/60</f>
        <v/>
      </c>
      <c r="L3753" s="41">
        <f>IFERROR(J3753/H3753,"")</f>
        <v/>
      </c>
      <c r="M3753" s="25" t="inlineStr">
        <is>
          <t>2.5.12</t>
        </is>
      </c>
      <c r="N3753" s="25">
        <f>IF(J3753&gt;300,1,0)</f>
        <v/>
      </c>
      <c r="O3753" s="25">
        <f>IF(J3753&gt;600,1,0)</f>
        <v/>
      </c>
      <c r="P3753" s="25">
        <f>IF(H3753&gt;0,J3753,"")</f>
        <v/>
      </c>
      <c r="Q3753" s="25">
        <f>TEXT(A3753,"YYYY-MM-DD HH")</f>
        <v/>
      </c>
      <c r="R3753" s="25">
        <f>COUNTIF($Q$2:$Q$5295,Q3753)</f>
        <v/>
      </c>
      <c r="S3753" s="25">
        <f>IF(R3753&lt;=2,"1-2",IF(R3753&lt;=5,"3-5",IF(R3753&lt;=10,"6-10","11+")))</f>
        <v/>
      </c>
    </row>
    <row r="3754">
      <c r="A3754" s="39" t="n">
        <v>46216.16615740741</v>
      </c>
      <c r="B3754" s="25">
        <f>TEXT(A3754,"YYYY-MM")</f>
        <v/>
      </c>
      <c r="C3754" s="25">
        <f>TEXT(A3754,"MMM-YYYY")</f>
        <v/>
      </c>
      <c r="D3754" s="40">
        <f>INT(A3754)-WEEKDAY(A3754,2)+1</f>
        <v/>
      </c>
      <c r="E3754" s="25" t="inlineStr">
        <is>
          <t>emishra</t>
        </is>
      </c>
      <c r="F3754" s="25" t="n">
        <v>130335</v>
      </c>
      <c r="G3754" s="25" t="n">
        <v>2</v>
      </c>
      <c r="H3754" s="25" t="n">
        <v>10</v>
      </c>
      <c r="I3754" s="25" t="inlineStr">
        <is>
          <t>44 second(s)</t>
        </is>
      </c>
      <c r="J3754" s="25">
        <f>IFERROR(VALUE(TRIM(LEFT(I3754,FIND("minute",I3754)-1)))*60,0)+IFERROR(VALUE(SUBSTITUTE(MID(I3754,IFERROR(FIND("and",I3754)+3,1),20),"second(s)","")),0)</f>
        <v/>
      </c>
      <c r="K3754" s="41">
        <f>J3754/60</f>
        <v/>
      </c>
      <c r="L3754" s="41">
        <f>IFERROR(J3754/H3754,"")</f>
        <v/>
      </c>
      <c r="M3754" s="25" t="inlineStr">
        <is>
          <t>2.5.12</t>
        </is>
      </c>
      <c r="N3754" s="25">
        <f>IF(J3754&gt;300,1,0)</f>
        <v/>
      </c>
      <c r="O3754" s="25">
        <f>IF(J3754&gt;600,1,0)</f>
        <v/>
      </c>
      <c r="P3754" s="25">
        <f>IF(H3754&gt;0,J3754,"")</f>
        <v/>
      </c>
      <c r="Q3754" s="25">
        <f>TEXT(A3754,"YYYY-MM-DD HH")</f>
        <v/>
      </c>
      <c r="R3754" s="25">
        <f>COUNTIF($Q$2:$Q$5295,Q3754)</f>
        <v/>
      </c>
      <c r="S3754" s="25">
        <f>IF(R3754&lt;=2,"1-2",IF(R3754&lt;=5,"3-5",IF(R3754&lt;=10,"6-10","11+")))</f>
        <v/>
      </c>
    </row>
    <row r="3755">
      <c r="A3755" s="39" t="n">
        <v>46216.17769675926</v>
      </c>
      <c r="B3755" s="25">
        <f>TEXT(A3755,"YYYY-MM")</f>
        <v/>
      </c>
      <c r="C3755" s="25">
        <f>TEXT(A3755,"MMM-YYYY")</f>
        <v/>
      </c>
      <c r="D3755" s="40">
        <f>INT(A3755)-WEEKDAY(A3755,2)+1</f>
        <v/>
      </c>
      <c r="E3755" s="25" t="inlineStr">
        <is>
          <t>atiwari</t>
        </is>
      </c>
      <c r="F3755" s="25" t="n">
        <v>132699</v>
      </c>
      <c r="G3755" s="25" t="n">
        <v>5</v>
      </c>
      <c r="H3755" s="25" t="n">
        <v>25</v>
      </c>
      <c r="I3755" s="25" t="inlineStr">
        <is>
          <t>3 minute(s) and 23 second(s)</t>
        </is>
      </c>
      <c r="J3755" s="25">
        <f>IFERROR(VALUE(TRIM(LEFT(I3755,FIND("minute",I3755)-1)))*60,0)+IFERROR(VALUE(SUBSTITUTE(MID(I3755,IFERROR(FIND("and",I3755)+3,1),20),"second(s)","")),0)</f>
        <v/>
      </c>
      <c r="K3755" s="41">
        <f>J3755/60</f>
        <v/>
      </c>
      <c r="L3755" s="41">
        <f>IFERROR(J3755/H3755,"")</f>
        <v/>
      </c>
      <c r="M3755" s="25" t="inlineStr">
        <is>
          <t>2.5.12</t>
        </is>
      </c>
      <c r="N3755" s="25">
        <f>IF(J3755&gt;300,1,0)</f>
        <v/>
      </c>
      <c r="O3755" s="25">
        <f>IF(J3755&gt;600,1,0)</f>
        <v/>
      </c>
      <c r="P3755" s="25">
        <f>IF(H3755&gt;0,J3755,"")</f>
        <v/>
      </c>
      <c r="Q3755" s="25">
        <f>TEXT(A3755,"YYYY-MM-DD HH")</f>
        <v/>
      </c>
      <c r="R3755" s="25">
        <f>COUNTIF($Q$2:$Q$5295,Q3755)</f>
        <v/>
      </c>
      <c r="S3755" s="25">
        <f>IF(R3755&lt;=2,"1-2",IF(R3755&lt;=5,"3-5",IF(R3755&lt;=10,"6-10","11+")))</f>
        <v/>
      </c>
    </row>
    <row r="3756">
      <c r="A3756" s="39" t="n">
        <v>46216.19046296296</v>
      </c>
      <c r="B3756" s="25">
        <f>TEXT(A3756,"YYYY-MM")</f>
        <v/>
      </c>
      <c r="C3756" s="25">
        <f>TEXT(A3756,"MMM-YYYY")</f>
        <v/>
      </c>
      <c r="D3756" s="40">
        <f>INT(A3756)-WEEKDAY(A3756,2)+1</f>
        <v/>
      </c>
      <c r="E3756" s="25" t="inlineStr">
        <is>
          <t>bverma</t>
        </is>
      </c>
      <c r="F3756" s="25" t="n">
        <v>129219</v>
      </c>
      <c r="G3756" s="25" t="n">
        <v>3</v>
      </c>
      <c r="H3756" s="25" t="n">
        <v>17</v>
      </c>
      <c r="I3756" s="25" t="inlineStr">
        <is>
          <t>2 minute(s) and 47 second(s)</t>
        </is>
      </c>
      <c r="J3756" s="25">
        <f>IFERROR(VALUE(TRIM(LEFT(I3756,FIND("minute",I3756)-1)))*60,0)+IFERROR(VALUE(SUBSTITUTE(MID(I3756,IFERROR(FIND("and",I3756)+3,1),20),"second(s)","")),0)</f>
        <v/>
      </c>
      <c r="K3756" s="41">
        <f>J3756/60</f>
        <v/>
      </c>
      <c r="L3756" s="41">
        <f>IFERROR(J3756/H3756,"")</f>
        <v/>
      </c>
      <c r="M3756" s="25" t="inlineStr">
        <is>
          <t>2.5.12</t>
        </is>
      </c>
      <c r="N3756" s="25">
        <f>IF(J3756&gt;300,1,0)</f>
        <v/>
      </c>
      <c r="O3756" s="25">
        <f>IF(J3756&gt;600,1,0)</f>
        <v/>
      </c>
      <c r="P3756" s="25">
        <f>IF(H3756&gt;0,J3756,"")</f>
        <v/>
      </c>
      <c r="Q3756" s="25">
        <f>TEXT(A3756,"YYYY-MM-DD HH")</f>
        <v/>
      </c>
      <c r="R3756" s="25">
        <f>COUNTIF($Q$2:$Q$5295,Q3756)</f>
        <v/>
      </c>
      <c r="S3756" s="25">
        <f>IF(R3756&lt;=2,"1-2",IF(R3756&lt;=5,"3-5",IF(R3756&lt;=10,"6-10","11+")))</f>
        <v/>
      </c>
    </row>
    <row r="3757">
      <c r="A3757" s="39" t="n">
        <v>46216.19575231482</v>
      </c>
      <c r="B3757" s="25">
        <f>TEXT(A3757,"YYYY-MM")</f>
        <v/>
      </c>
      <c r="C3757" s="25">
        <f>TEXT(A3757,"MMM-YYYY")</f>
        <v/>
      </c>
      <c r="D3757" s="40">
        <f>INT(A3757)-WEEKDAY(A3757,2)+1</f>
        <v/>
      </c>
      <c r="E3757" s="25" t="inlineStr">
        <is>
          <t>ssrinivasan</t>
        </is>
      </c>
      <c r="F3757" s="25" t="n">
        <v>129523</v>
      </c>
      <c r="G3757" s="25" t="n">
        <v>3</v>
      </c>
      <c r="H3757" s="25" t="n">
        <v>7</v>
      </c>
      <c r="I3757" s="25" t="inlineStr">
        <is>
          <t>1 minute(s) and 49 second(s)</t>
        </is>
      </c>
      <c r="J3757" s="25">
        <f>IFERROR(VALUE(TRIM(LEFT(I3757,FIND("minute",I3757)-1)))*60,0)+IFERROR(VALUE(SUBSTITUTE(MID(I3757,IFERROR(FIND("and",I3757)+3,1),20),"second(s)","")),0)</f>
        <v/>
      </c>
      <c r="K3757" s="41">
        <f>J3757/60</f>
        <v/>
      </c>
      <c r="L3757" s="41">
        <f>IFERROR(J3757/H3757,"")</f>
        <v/>
      </c>
      <c r="M3757" s="25" t="inlineStr">
        <is>
          <t>2.5.12</t>
        </is>
      </c>
      <c r="N3757" s="25">
        <f>IF(J3757&gt;300,1,0)</f>
        <v/>
      </c>
      <c r="O3757" s="25">
        <f>IF(J3757&gt;600,1,0)</f>
        <v/>
      </c>
      <c r="P3757" s="25">
        <f>IF(H3757&gt;0,J3757,"")</f>
        <v/>
      </c>
      <c r="Q3757" s="25">
        <f>TEXT(A3757,"YYYY-MM-DD HH")</f>
        <v/>
      </c>
      <c r="R3757" s="25">
        <f>COUNTIF($Q$2:$Q$5295,Q3757)</f>
        <v/>
      </c>
      <c r="S3757" s="25">
        <f>IF(R3757&lt;=2,"1-2",IF(R3757&lt;=5,"3-5",IF(R3757&lt;=10,"6-10","11+")))</f>
        <v/>
      </c>
    </row>
    <row r="3758">
      <c r="A3758" s="39" t="n">
        <v>46216.20265046296</v>
      </c>
      <c r="B3758" s="25">
        <f>TEXT(A3758,"YYYY-MM")</f>
        <v/>
      </c>
      <c r="C3758" s="25">
        <f>TEXT(A3758,"MMM-YYYY")</f>
        <v/>
      </c>
      <c r="D3758" s="40">
        <f>INT(A3758)-WEEKDAY(A3758,2)+1</f>
        <v/>
      </c>
      <c r="E3758" s="25" t="inlineStr">
        <is>
          <t>npriya</t>
        </is>
      </c>
      <c r="F3758" s="25" t="n">
        <v>132744</v>
      </c>
      <c r="G3758" s="25" t="n">
        <v>2</v>
      </c>
      <c r="H3758" s="25" t="n">
        <v>10</v>
      </c>
      <c r="I3758" s="25" t="inlineStr">
        <is>
          <t>58 second(s)</t>
        </is>
      </c>
      <c r="J3758" s="25">
        <f>IFERROR(VALUE(TRIM(LEFT(I3758,FIND("minute",I3758)-1)))*60,0)+IFERROR(VALUE(SUBSTITUTE(MID(I3758,IFERROR(FIND("and",I3758)+3,1),20),"second(s)","")),0)</f>
        <v/>
      </c>
      <c r="K3758" s="41">
        <f>J3758/60</f>
        <v/>
      </c>
      <c r="L3758" s="41">
        <f>IFERROR(J3758/H3758,"")</f>
        <v/>
      </c>
      <c r="M3758" s="25" t="inlineStr">
        <is>
          <t>2.5.12</t>
        </is>
      </c>
      <c r="N3758" s="25">
        <f>IF(J3758&gt;300,1,0)</f>
        <v/>
      </c>
      <c r="O3758" s="25">
        <f>IF(J3758&gt;600,1,0)</f>
        <v/>
      </c>
      <c r="P3758" s="25">
        <f>IF(H3758&gt;0,J3758,"")</f>
        <v/>
      </c>
      <c r="Q3758" s="25">
        <f>TEXT(A3758,"YYYY-MM-DD HH")</f>
        <v/>
      </c>
      <c r="R3758" s="25">
        <f>COUNTIF($Q$2:$Q$5295,Q3758)</f>
        <v/>
      </c>
      <c r="S3758" s="25">
        <f>IF(R3758&lt;=2,"1-2",IF(R3758&lt;=5,"3-5",IF(R3758&lt;=10,"6-10","11+")))</f>
        <v/>
      </c>
    </row>
    <row r="3759">
      <c r="A3759" s="39" t="n">
        <v>46216.20378472222</v>
      </c>
      <c r="B3759" s="25">
        <f>TEXT(A3759,"YYYY-MM")</f>
        <v/>
      </c>
      <c r="C3759" s="25">
        <f>TEXT(A3759,"MMM-YYYY")</f>
        <v/>
      </c>
      <c r="D3759" s="40">
        <f>INT(A3759)-WEEKDAY(A3759,2)+1</f>
        <v/>
      </c>
      <c r="E3759" s="25" t="inlineStr">
        <is>
          <t>tkarmakar</t>
        </is>
      </c>
      <c r="F3759" s="25" t="n">
        <v>128978</v>
      </c>
      <c r="G3759" s="25" t="n">
        <v>1</v>
      </c>
      <c r="H3759" s="25" t="n">
        <v>5</v>
      </c>
      <c r="I3759" s="25" t="inlineStr">
        <is>
          <t>26 second(s)</t>
        </is>
      </c>
      <c r="J3759" s="25">
        <f>IFERROR(VALUE(TRIM(LEFT(I3759,FIND("minute",I3759)-1)))*60,0)+IFERROR(VALUE(SUBSTITUTE(MID(I3759,IFERROR(FIND("and",I3759)+3,1),20),"second(s)","")),0)</f>
        <v/>
      </c>
      <c r="K3759" s="41">
        <f>J3759/60</f>
        <v/>
      </c>
      <c r="L3759" s="41">
        <f>IFERROR(J3759/H3759,"")</f>
        <v/>
      </c>
      <c r="M3759" s="25" t="inlineStr">
        <is>
          <t>2.5.12</t>
        </is>
      </c>
      <c r="N3759" s="25">
        <f>IF(J3759&gt;300,1,0)</f>
        <v/>
      </c>
      <c r="O3759" s="25">
        <f>IF(J3759&gt;600,1,0)</f>
        <v/>
      </c>
      <c r="P3759" s="25">
        <f>IF(H3759&gt;0,J3759,"")</f>
        <v/>
      </c>
      <c r="Q3759" s="25">
        <f>TEXT(A3759,"YYYY-MM-DD HH")</f>
        <v/>
      </c>
      <c r="R3759" s="25">
        <f>COUNTIF($Q$2:$Q$5295,Q3759)</f>
        <v/>
      </c>
      <c r="S3759" s="25">
        <f>IF(R3759&lt;=2,"1-2",IF(R3759&lt;=5,"3-5",IF(R3759&lt;=10,"6-10","11+")))</f>
        <v/>
      </c>
    </row>
    <row r="3760">
      <c r="A3760" s="39" t="n">
        <v>46216.21615740741</v>
      </c>
      <c r="B3760" s="25">
        <f>TEXT(A3760,"YYYY-MM")</f>
        <v/>
      </c>
      <c r="C3760" s="25">
        <f>TEXT(A3760,"MMM-YYYY")</f>
        <v/>
      </c>
      <c r="D3760" s="40">
        <f>INT(A3760)-WEEKDAY(A3760,2)+1</f>
        <v/>
      </c>
      <c r="E3760" s="25" t="inlineStr">
        <is>
          <t>emishra</t>
        </is>
      </c>
      <c r="F3760" s="25" t="n">
        <v>132758</v>
      </c>
      <c r="G3760" s="25" t="n">
        <v>4</v>
      </c>
      <c r="H3760" s="25" t="n">
        <v>24</v>
      </c>
      <c r="I3760" s="25" t="inlineStr">
        <is>
          <t>2 minute(s) and 26 second(s)</t>
        </is>
      </c>
      <c r="J3760" s="25">
        <f>IFERROR(VALUE(TRIM(LEFT(I3760,FIND("minute",I3760)-1)))*60,0)+IFERROR(VALUE(SUBSTITUTE(MID(I3760,IFERROR(FIND("and",I3760)+3,1),20),"second(s)","")),0)</f>
        <v/>
      </c>
      <c r="K3760" s="41">
        <f>J3760/60</f>
        <v/>
      </c>
      <c r="L3760" s="41">
        <f>IFERROR(J3760/H3760,"")</f>
        <v/>
      </c>
      <c r="M3760" s="25" t="inlineStr">
        <is>
          <t>2.5.12</t>
        </is>
      </c>
      <c r="N3760" s="25">
        <f>IF(J3760&gt;300,1,0)</f>
        <v/>
      </c>
      <c r="O3760" s="25">
        <f>IF(J3760&gt;600,1,0)</f>
        <v/>
      </c>
      <c r="P3760" s="25">
        <f>IF(H3760&gt;0,J3760,"")</f>
        <v/>
      </c>
      <c r="Q3760" s="25">
        <f>TEXT(A3760,"YYYY-MM-DD HH")</f>
        <v/>
      </c>
      <c r="R3760" s="25">
        <f>COUNTIF($Q$2:$Q$5295,Q3760)</f>
        <v/>
      </c>
      <c r="S3760" s="25">
        <f>IF(R3760&lt;=2,"1-2",IF(R3760&lt;=5,"3-5",IF(R3760&lt;=10,"6-10","11+")))</f>
        <v/>
      </c>
    </row>
    <row r="3761">
      <c r="A3761" s="39" t="n">
        <v>46216.21680555555</v>
      </c>
      <c r="B3761" s="25">
        <f>TEXT(A3761,"YYYY-MM")</f>
        <v/>
      </c>
      <c r="C3761" s="25">
        <f>TEXT(A3761,"MMM-YYYY")</f>
        <v/>
      </c>
      <c r="D3761" s="40">
        <f>INT(A3761)-WEEKDAY(A3761,2)+1</f>
        <v/>
      </c>
      <c r="E3761" s="25" t="inlineStr">
        <is>
          <t>bverma</t>
        </is>
      </c>
      <c r="F3761" s="25" t="n">
        <v>129195</v>
      </c>
      <c r="G3761" s="25" t="n">
        <v>3</v>
      </c>
      <c r="H3761" s="25" t="n">
        <v>17</v>
      </c>
      <c r="I3761" s="25" t="inlineStr">
        <is>
          <t>1 minute(s) and 56 second(s)</t>
        </is>
      </c>
      <c r="J3761" s="25">
        <f>IFERROR(VALUE(TRIM(LEFT(I3761,FIND("minute",I3761)-1)))*60,0)+IFERROR(VALUE(SUBSTITUTE(MID(I3761,IFERROR(FIND("and",I3761)+3,1),20),"second(s)","")),0)</f>
        <v/>
      </c>
      <c r="K3761" s="41">
        <f>J3761/60</f>
        <v/>
      </c>
      <c r="L3761" s="41">
        <f>IFERROR(J3761/H3761,"")</f>
        <v/>
      </c>
      <c r="M3761" s="25" t="inlineStr">
        <is>
          <t>2.5.12</t>
        </is>
      </c>
      <c r="N3761" s="25">
        <f>IF(J3761&gt;300,1,0)</f>
        <v/>
      </c>
      <c r="O3761" s="25">
        <f>IF(J3761&gt;600,1,0)</f>
        <v/>
      </c>
      <c r="P3761" s="25">
        <f>IF(H3761&gt;0,J3761,"")</f>
        <v/>
      </c>
      <c r="Q3761" s="25">
        <f>TEXT(A3761,"YYYY-MM-DD HH")</f>
        <v/>
      </c>
      <c r="R3761" s="25">
        <f>COUNTIF($Q$2:$Q$5295,Q3761)</f>
        <v/>
      </c>
      <c r="S3761" s="25">
        <f>IF(R3761&lt;=2,"1-2",IF(R3761&lt;=5,"3-5",IF(R3761&lt;=10,"6-10","11+")))</f>
        <v/>
      </c>
    </row>
    <row r="3762">
      <c r="A3762" s="39" t="n">
        <v>46216.2187962963</v>
      </c>
      <c r="B3762" s="25">
        <f>TEXT(A3762,"YYYY-MM")</f>
        <v/>
      </c>
      <c r="C3762" s="25">
        <f>TEXT(A3762,"MMM-YYYY")</f>
        <v/>
      </c>
      <c r="D3762" s="40">
        <f>INT(A3762)-WEEKDAY(A3762,2)+1</f>
        <v/>
      </c>
      <c r="E3762" s="25" t="inlineStr">
        <is>
          <t>atiwari</t>
        </is>
      </c>
      <c r="F3762" s="25" t="n">
        <v>132707</v>
      </c>
      <c r="G3762" s="25" t="n">
        <v>3</v>
      </c>
      <c r="H3762" s="25" t="n">
        <v>15</v>
      </c>
      <c r="I3762" s="25" t="inlineStr">
        <is>
          <t>1 minute(s) and 34 second(s)</t>
        </is>
      </c>
      <c r="J3762" s="25">
        <f>IFERROR(VALUE(TRIM(LEFT(I3762,FIND("minute",I3762)-1)))*60,0)+IFERROR(VALUE(SUBSTITUTE(MID(I3762,IFERROR(FIND("and",I3762)+3,1),20),"second(s)","")),0)</f>
        <v/>
      </c>
      <c r="K3762" s="41">
        <f>J3762/60</f>
        <v/>
      </c>
      <c r="L3762" s="41">
        <f>IFERROR(J3762/H3762,"")</f>
        <v/>
      </c>
      <c r="M3762" s="25" t="inlineStr">
        <is>
          <t>2.5.12</t>
        </is>
      </c>
      <c r="N3762" s="25">
        <f>IF(J3762&gt;300,1,0)</f>
        <v/>
      </c>
      <c r="O3762" s="25">
        <f>IF(J3762&gt;600,1,0)</f>
        <v/>
      </c>
      <c r="P3762" s="25">
        <f>IF(H3762&gt;0,J3762,"")</f>
        <v/>
      </c>
      <c r="Q3762" s="25">
        <f>TEXT(A3762,"YYYY-MM-DD HH")</f>
        <v/>
      </c>
      <c r="R3762" s="25">
        <f>COUNTIF($Q$2:$Q$5295,Q3762)</f>
        <v/>
      </c>
      <c r="S3762" s="25">
        <f>IF(R3762&lt;=2,"1-2",IF(R3762&lt;=5,"3-5",IF(R3762&lt;=10,"6-10","11+")))</f>
        <v/>
      </c>
    </row>
    <row r="3763">
      <c r="A3763" s="39" t="n">
        <v>46216.21924768519</v>
      </c>
      <c r="B3763" s="25">
        <f>TEXT(A3763,"YYYY-MM")</f>
        <v/>
      </c>
      <c r="C3763" s="25">
        <f>TEXT(A3763,"MMM-YYYY")</f>
        <v/>
      </c>
      <c r="D3763" s="40">
        <f>INT(A3763)-WEEKDAY(A3763,2)+1</f>
        <v/>
      </c>
      <c r="E3763" s="25" t="inlineStr">
        <is>
          <t>psathwika</t>
        </is>
      </c>
      <c r="F3763" s="25" t="n">
        <v>132011</v>
      </c>
      <c r="G3763" s="25" t="n">
        <v>4</v>
      </c>
      <c r="H3763" s="25" t="n">
        <v>20</v>
      </c>
      <c r="I3763" s="25" t="inlineStr">
        <is>
          <t>2 minute(s) and 8 second(s)</t>
        </is>
      </c>
      <c r="J3763" s="25">
        <f>IFERROR(VALUE(TRIM(LEFT(I3763,FIND("minute",I3763)-1)))*60,0)+IFERROR(VALUE(SUBSTITUTE(MID(I3763,IFERROR(FIND("and",I3763)+3,1),20),"second(s)","")),0)</f>
        <v/>
      </c>
      <c r="K3763" s="41">
        <f>J3763/60</f>
        <v/>
      </c>
      <c r="L3763" s="41">
        <f>IFERROR(J3763/H3763,"")</f>
        <v/>
      </c>
      <c r="M3763" s="25" t="inlineStr">
        <is>
          <t>2.5.12</t>
        </is>
      </c>
      <c r="N3763" s="25">
        <f>IF(J3763&gt;300,1,0)</f>
        <v/>
      </c>
      <c r="O3763" s="25">
        <f>IF(J3763&gt;600,1,0)</f>
        <v/>
      </c>
      <c r="P3763" s="25">
        <f>IF(H3763&gt;0,J3763,"")</f>
        <v/>
      </c>
      <c r="Q3763" s="25">
        <f>TEXT(A3763,"YYYY-MM-DD HH")</f>
        <v/>
      </c>
      <c r="R3763" s="25">
        <f>COUNTIF($Q$2:$Q$5295,Q3763)</f>
        <v/>
      </c>
      <c r="S3763" s="25">
        <f>IF(R3763&lt;=2,"1-2",IF(R3763&lt;=5,"3-5",IF(R3763&lt;=10,"6-10","11+")))</f>
        <v/>
      </c>
    </row>
    <row r="3764">
      <c r="A3764" s="39" t="n">
        <v>46216.22319444444</v>
      </c>
      <c r="B3764" s="25">
        <f>TEXT(A3764,"YYYY-MM")</f>
        <v/>
      </c>
      <c r="C3764" s="25">
        <f>TEXT(A3764,"MMM-YYYY")</f>
        <v/>
      </c>
      <c r="D3764" s="40">
        <f>INT(A3764)-WEEKDAY(A3764,2)+1</f>
        <v/>
      </c>
      <c r="E3764" s="25" t="inlineStr">
        <is>
          <t>asahoo</t>
        </is>
      </c>
      <c r="F3764" s="25" t="n">
        <v>130767</v>
      </c>
      <c r="G3764" s="25" t="n">
        <v>2</v>
      </c>
      <c r="H3764" s="25" t="n">
        <v>14</v>
      </c>
      <c r="I3764" s="25" t="inlineStr">
        <is>
          <t>2 minute(s) and 16 second(s)</t>
        </is>
      </c>
      <c r="J3764" s="25">
        <f>IFERROR(VALUE(TRIM(LEFT(I3764,FIND("minute",I3764)-1)))*60,0)+IFERROR(VALUE(SUBSTITUTE(MID(I3764,IFERROR(FIND("and",I3764)+3,1),20),"second(s)","")),0)</f>
        <v/>
      </c>
      <c r="K3764" s="41">
        <f>J3764/60</f>
        <v/>
      </c>
      <c r="L3764" s="41">
        <f>IFERROR(J3764/H3764,"")</f>
        <v/>
      </c>
      <c r="M3764" s="25" t="inlineStr">
        <is>
          <t>2.5.12</t>
        </is>
      </c>
      <c r="N3764" s="25">
        <f>IF(J3764&gt;300,1,0)</f>
        <v/>
      </c>
      <c r="O3764" s="25">
        <f>IF(J3764&gt;600,1,0)</f>
        <v/>
      </c>
      <c r="P3764" s="25">
        <f>IF(H3764&gt;0,J3764,"")</f>
        <v/>
      </c>
      <c r="Q3764" s="25">
        <f>TEXT(A3764,"YYYY-MM-DD HH")</f>
        <v/>
      </c>
      <c r="R3764" s="25">
        <f>COUNTIF($Q$2:$Q$5295,Q3764)</f>
        <v/>
      </c>
      <c r="S3764" s="25">
        <f>IF(R3764&lt;=2,"1-2",IF(R3764&lt;=5,"3-5",IF(R3764&lt;=10,"6-10","11+")))</f>
        <v/>
      </c>
    </row>
    <row r="3765">
      <c r="A3765" s="39" t="n">
        <v>46216.23186342593</v>
      </c>
      <c r="B3765" s="25">
        <f>TEXT(A3765,"YYYY-MM")</f>
        <v/>
      </c>
      <c r="C3765" s="25">
        <f>TEXT(A3765,"MMM-YYYY")</f>
        <v/>
      </c>
      <c r="D3765" s="40">
        <f>INT(A3765)-WEEKDAY(A3765,2)+1</f>
        <v/>
      </c>
      <c r="E3765" s="25" t="inlineStr">
        <is>
          <t>aupadhayay</t>
        </is>
      </c>
      <c r="F3765" s="25" t="n">
        <v>130731</v>
      </c>
      <c r="G3765" s="25" t="n">
        <v>4</v>
      </c>
      <c r="H3765" s="25" t="n">
        <v>24</v>
      </c>
      <c r="I3765" s="25" t="inlineStr">
        <is>
          <t>4 minute(s) and 26 second(s)</t>
        </is>
      </c>
      <c r="J3765" s="25">
        <f>IFERROR(VALUE(TRIM(LEFT(I3765,FIND("minute",I3765)-1)))*60,0)+IFERROR(VALUE(SUBSTITUTE(MID(I3765,IFERROR(FIND("and",I3765)+3,1),20),"second(s)","")),0)</f>
        <v/>
      </c>
      <c r="K3765" s="41">
        <f>J3765/60</f>
        <v/>
      </c>
      <c r="L3765" s="41">
        <f>IFERROR(J3765/H3765,"")</f>
        <v/>
      </c>
      <c r="M3765" s="25" t="inlineStr">
        <is>
          <t>2.5.12</t>
        </is>
      </c>
      <c r="N3765" s="25">
        <f>IF(J3765&gt;300,1,0)</f>
        <v/>
      </c>
      <c r="O3765" s="25">
        <f>IF(J3765&gt;600,1,0)</f>
        <v/>
      </c>
      <c r="P3765" s="25">
        <f>IF(H3765&gt;0,J3765,"")</f>
        <v/>
      </c>
      <c r="Q3765" s="25">
        <f>TEXT(A3765,"YYYY-MM-DD HH")</f>
        <v/>
      </c>
      <c r="R3765" s="25">
        <f>COUNTIF($Q$2:$Q$5295,Q3765)</f>
        <v/>
      </c>
      <c r="S3765" s="25">
        <f>IF(R3765&lt;=2,"1-2",IF(R3765&lt;=5,"3-5",IF(R3765&lt;=10,"6-10","11+")))</f>
        <v/>
      </c>
    </row>
    <row r="3766">
      <c r="A3766" s="39" t="n">
        <v>46216.24142361111</v>
      </c>
      <c r="B3766" s="25">
        <f>TEXT(A3766,"YYYY-MM")</f>
        <v/>
      </c>
      <c r="C3766" s="25">
        <f>TEXT(A3766,"MMM-YYYY")</f>
        <v/>
      </c>
      <c r="D3766" s="40">
        <f>INT(A3766)-WEEKDAY(A3766,2)+1</f>
        <v/>
      </c>
      <c r="E3766" s="25" t="inlineStr">
        <is>
          <t>asahoo</t>
        </is>
      </c>
      <c r="F3766" s="25" t="n">
        <v>130767</v>
      </c>
      <c r="G3766" s="25" t="n">
        <v>2</v>
      </c>
      <c r="H3766" s="25" t="n">
        <v>14</v>
      </c>
      <c r="I3766" s="25" t="inlineStr">
        <is>
          <t>2 minute(s) and 16 second(s)</t>
        </is>
      </c>
      <c r="J3766" s="25">
        <f>IFERROR(VALUE(TRIM(LEFT(I3766,FIND("minute",I3766)-1)))*60,0)+IFERROR(VALUE(SUBSTITUTE(MID(I3766,IFERROR(FIND("and",I3766)+3,1),20),"second(s)","")),0)</f>
        <v/>
      </c>
      <c r="K3766" s="41">
        <f>J3766/60</f>
        <v/>
      </c>
      <c r="L3766" s="41">
        <f>IFERROR(J3766/H3766,"")</f>
        <v/>
      </c>
      <c r="M3766" s="25" t="inlineStr">
        <is>
          <t>2.5.12</t>
        </is>
      </c>
      <c r="N3766" s="25">
        <f>IF(J3766&gt;300,1,0)</f>
        <v/>
      </c>
      <c r="O3766" s="25">
        <f>IF(J3766&gt;600,1,0)</f>
        <v/>
      </c>
      <c r="P3766" s="25">
        <f>IF(H3766&gt;0,J3766,"")</f>
        <v/>
      </c>
      <c r="Q3766" s="25">
        <f>TEXT(A3766,"YYYY-MM-DD HH")</f>
        <v/>
      </c>
      <c r="R3766" s="25">
        <f>COUNTIF($Q$2:$Q$5295,Q3766)</f>
        <v/>
      </c>
      <c r="S3766" s="25">
        <f>IF(R3766&lt;=2,"1-2",IF(R3766&lt;=5,"3-5",IF(R3766&lt;=10,"6-10","11+")))</f>
        <v/>
      </c>
    </row>
    <row r="3767">
      <c r="A3767" s="39" t="n">
        <v>46216.24538194444</v>
      </c>
      <c r="B3767" s="25">
        <f>TEXT(A3767,"YYYY-MM")</f>
        <v/>
      </c>
      <c r="C3767" s="25">
        <f>TEXT(A3767,"MMM-YYYY")</f>
        <v/>
      </c>
      <c r="D3767" s="40">
        <f>INT(A3767)-WEEKDAY(A3767,2)+1</f>
        <v/>
      </c>
      <c r="E3767" s="25" t="inlineStr">
        <is>
          <t>ssarkar</t>
        </is>
      </c>
      <c r="F3767" s="25" t="n">
        <v>132820</v>
      </c>
      <c r="G3767" s="25" t="n">
        <v>4</v>
      </c>
      <c r="H3767" s="25" t="n">
        <v>28</v>
      </c>
      <c r="I3767" s="25" t="inlineStr">
        <is>
          <t>3 minute(s) and 2 second(s)</t>
        </is>
      </c>
      <c r="J3767" s="25">
        <f>IFERROR(VALUE(TRIM(LEFT(I3767,FIND("minute",I3767)-1)))*60,0)+IFERROR(VALUE(SUBSTITUTE(MID(I3767,IFERROR(FIND("and",I3767)+3,1),20),"second(s)","")),0)</f>
        <v/>
      </c>
      <c r="K3767" s="41">
        <f>J3767/60</f>
        <v/>
      </c>
      <c r="L3767" s="41">
        <f>IFERROR(J3767/H3767,"")</f>
        <v/>
      </c>
      <c r="M3767" s="25" t="inlineStr">
        <is>
          <t>2.5.12</t>
        </is>
      </c>
      <c r="N3767" s="25">
        <f>IF(J3767&gt;300,1,0)</f>
        <v/>
      </c>
      <c r="O3767" s="25">
        <f>IF(J3767&gt;600,1,0)</f>
        <v/>
      </c>
      <c r="P3767" s="25">
        <f>IF(H3767&gt;0,J3767,"")</f>
        <v/>
      </c>
      <c r="Q3767" s="25">
        <f>TEXT(A3767,"YYYY-MM-DD HH")</f>
        <v/>
      </c>
      <c r="R3767" s="25">
        <f>COUNTIF($Q$2:$Q$5295,Q3767)</f>
        <v/>
      </c>
      <c r="S3767" s="25">
        <f>IF(R3767&lt;=2,"1-2",IF(R3767&lt;=5,"3-5",IF(R3767&lt;=10,"6-10","11+")))</f>
        <v/>
      </c>
    </row>
    <row r="3768">
      <c r="A3768" s="39" t="n">
        <v>46216.24626157407</v>
      </c>
      <c r="B3768" s="25">
        <f>TEXT(A3768,"YYYY-MM")</f>
        <v/>
      </c>
      <c r="C3768" s="25">
        <f>TEXT(A3768,"MMM-YYYY")</f>
        <v/>
      </c>
      <c r="D3768" s="40">
        <f>INT(A3768)-WEEKDAY(A3768,2)+1</f>
        <v/>
      </c>
      <c r="E3768" s="25" t="inlineStr">
        <is>
          <t>sswati</t>
        </is>
      </c>
      <c r="F3768" s="25" t="n">
        <v>128956</v>
      </c>
      <c r="G3768" s="25" t="n">
        <v>1</v>
      </c>
      <c r="H3768" s="25" t="n">
        <v>5</v>
      </c>
      <c r="I3768" s="25" t="inlineStr">
        <is>
          <t>32 second(s)</t>
        </is>
      </c>
      <c r="J3768" s="25">
        <f>IFERROR(VALUE(TRIM(LEFT(I3768,FIND("minute",I3768)-1)))*60,0)+IFERROR(VALUE(SUBSTITUTE(MID(I3768,IFERROR(FIND("and",I3768)+3,1),20),"second(s)","")),0)</f>
        <v/>
      </c>
      <c r="K3768" s="41">
        <f>J3768/60</f>
        <v/>
      </c>
      <c r="L3768" s="41">
        <f>IFERROR(J3768/H3768,"")</f>
        <v/>
      </c>
      <c r="M3768" s="25" t="inlineStr">
        <is>
          <t>2.5.12</t>
        </is>
      </c>
      <c r="N3768" s="25">
        <f>IF(J3768&gt;300,1,0)</f>
        <v/>
      </c>
      <c r="O3768" s="25">
        <f>IF(J3768&gt;600,1,0)</f>
        <v/>
      </c>
      <c r="P3768" s="25">
        <f>IF(H3768&gt;0,J3768,"")</f>
        <v/>
      </c>
      <c r="Q3768" s="25">
        <f>TEXT(A3768,"YYYY-MM-DD HH")</f>
        <v/>
      </c>
      <c r="R3768" s="25">
        <f>COUNTIF($Q$2:$Q$5295,Q3768)</f>
        <v/>
      </c>
      <c r="S3768" s="25">
        <f>IF(R3768&lt;=2,"1-2",IF(R3768&lt;=5,"3-5",IF(R3768&lt;=10,"6-10","11+")))</f>
        <v/>
      </c>
    </row>
    <row r="3769">
      <c r="A3769" s="39" t="n">
        <v>46216.24956018518</v>
      </c>
      <c r="B3769" s="25">
        <f>TEXT(A3769,"YYYY-MM")</f>
        <v/>
      </c>
      <c r="C3769" s="25">
        <f>TEXT(A3769,"MMM-YYYY")</f>
        <v/>
      </c>
      <c r="D3769" s="40">
        <f>INT(A3769)-WEEKDAY(A3769,2)+1</f>
        <v/>
      </c>
      <c r="E3769" s="25" t="inlineStr">
        <is>
          <t>ns</t>
        </is>
      </c>
      <c r="F3769" s="25" t="n">
        <v>128971</v>
      </c>
      <c r="G3769" s="25" t="n">
        <v>4</v>
      </c>
      <c r="H3769" s="25" t="n">
        <v>12</v>
      </c>
      <c r="I3769" s="25" t="inlineStr">
        <is>
          <t>1 minute(s) and 2 second(s)</t>
        </is>
      </c>
      <c r="J3769" s="25">
        <f>IFERROR(VALUE(TRIM(LEFT(I3769,FIND("minute",I3769)-1)))*60,0)+IFERROR(VALUE(SUBSTITUTE(MID(I3769,IFERROR(FIND("and",I3769)+3,1),20),"second(s)","")),0)</f>
        <v/>
      </c>
      <c r="K3769" s="41">
        <f>J3769/60</f>
        <v/>
      </c>
      <c r="L3769" s="41">
        <f>IFERROR(J3769/H3769,"")</f>
        <v/>
      </c>
      <c r="M3769" s="25" t="inlineStr">
        <is>
          <t>2.5.12</t>
        </is>
      </c>
      <c r="N3769" s="25">
        <f>IF(J3769&gt;300,1,0)</f>
        <v/>
      </c>
      <c r="O3769" s="25">
        <f>IF(J3769&gt;600,1,0)</f>
        <v/>
      </c>
      <c r="P3769" s="25">
        <f>IF(H3769&gt;0,J3769,"")</f>
        <v/>
      </c>
      <c r="Q3769" s="25">
        <f>TEXT(A3769,"YYYY-MM-DD HH")</f>
        <v/>
      </c>
      <c r="R3769" s="25">
        <f>COUNTIF($Q$2:$Q$5295,Q3769)</f>
        <v/>
      </c>
      <c r="S3769" s="25">
        <f>IF(R3769&lt;=2,"1-2",IF(R3769&lt;=5,"3-5",IF(R3769&lt;=10,"6-10","11+")))</f>
        <v/>
      </c>
    </row>
    <row r="3770">
      <c r="A3770" s="39" t="n">
        <v>46216.26443287037</v>
      </c>
      <c r="B3770" s="25">
        <f>TEXT(A3770,"YYYY-MM")</f>
        <v/>
      </c>
      <c r="C3770" s="25">
        <f>TEXT(A3770,"MMM-YYYY")</f>
        <v/>
      </c>
      <c r="D3770" s="40">
        <f>INT(A3770)-WEEKDAY(A3770,2)+1</f>
        <v/>
      </c>
      <c r="E3770" s="25" t="inlineStr">
        <is>
          <t>npriya</t>
        </is>
      </c>
      <c r="F3770" s="25" t="n">
        <v>132656</v>
      </c>
      <c r="G3770" s="25" t="n">
        <v>4</v>
      </c>
      <c r="H3770" s="25" t="n">
        <v>14</v>
      </c>
      <c r="I3770" s="25" t="inlineStr">
        <is>
          <t>2 minute(s) and 6 second(s)</t>
        </is>
      </c>
      <c r="J3770" s="25">
        <f>IFERROR(VALUE(TRIM(LEFT(I3770,FIND("minute",I3770)-1)))*60,0)+IFERROR(VALUE(SUBSTITUTE(MID(I3770,IFERROR(FIND("and",I3770)+3,1),20),"second(s)","")),0)</f>
        <v/>
      </c>
      <c r="K3770" s="41">
        <f>J3770/60</f>
        <v/>
      </c>
      <c r="L3770" s="41">
        <f>IFERROR(J3770/H3770,"")</f>
        <v/>
      </c>
      <c r="M3770" s="25" t="inlineStr">
        <is>
          <t>2.5.12</t>
        </is>
      </c>
      <c r="N3770" s="25">
        <f>IF(J3770&gt;300,1,0)</f>
        <v/>
      </c>
      <c r="O3770" s="25">
        <f>IF(J3770&gt;600,1,0)</f>
        <v/>
      </c>
      <c r="P3770" s="25">
        <f>IF(H3770&gt;0,J3770,"")</f>
        <v/>
      </c>
      <c r="Q3770" s="25">
        <f>TEXT(A3770,"YYYY-MM-DD HH")</f>
        <v/>
      </c>
      <c r="R3770" s="25">
        <f>COUNTIF($Q$2:$Q$5295,Q3770)</f>
        <v/>
      </c>
      <c r="S3770" s="25">
        <f>IF(R3770&lt;=2,"1-2",IF(R3770&lt;=5,"3-5",IF(R3770&lt;=10,"6-10","11+")))</f>
        <v/>
      </c>
    </row>
    <row r="3771">
      <c r="A3771" s="39" t="n">
        <v>46216.27774305556</v>
      </c>
      <c r="B3771" s="25">
        <f>TEXT(A3771,"YYYY-MM")</f>
        <v/>
      </c>
      <c r="C3771" s="25">
        <f>TEXT(A3771,"MMM-YYYY")</f>
        <v/>
      </c>
      <c r="D3771" s="40">
        <f>INT(A3771)-WEEKDAY(A3771,2)+1</f>
        <v/>
      </c>
      <c r="E3771" s="25" t="inlineStr">
        <is>
          <t>atiwari</t>
        </is>
      </c>
      <c r="F3771" s="25" t="n">
        <v>132715</v>
      </c>
      <c r="G3771" s="25" t="n">
        <v>4</v>
      </c>
      <c r="H3771" s="25" t="n">
        <v>16</v>
      </c>
      <c r="I3771" s="25" t="inlineStr">
        <is>
          <t>7 minute(s) and 6 second(s)</t>
        </is>
      </c>
      <c r="J3771" s="25">
        <f>IFERROR(VALUE(TRIM(LEFT(I3771,FIND("minute",I3771)-1)))*60,0)+IFERROR(VALUE(SUBSTITUTE(MID(I3771,IFERROR(FIND("and",I3771)+3,1),20),"second(s)","")),0)</f>
        <v/>
      </c>
      <c r="K3771" s="41">
        <f>J3771/60</f>
        <v/>
      </c>
      <c r="L3771" s="41">
        <f>IFERROR(J3771/H3771,"")</f>
        <v/>
      </c>
      <c r="M3771" s="25" t="inlineStr">
        <is>
          <t>2.5.12</t>
        </is>
      </c>
      <c r="N3771" s="25">
        <f>IF(J3771&gt;300,1,0)</f>
        <v/>
      </c>
      <c r="O3771" s="25">
        <f>IF(J3771&gt;600,1,0)</f>
        <v/>
      </c>
      <c r="P3771" s="25">
        <f>IF(H3771&gt;0,J3771,"")</f>
        <v/>
      </c>
      <c r="Q3771" s="25">
        <f>TEXT(A3771,"YYYY-MM-DD HH")</f>
        <v/>
      </c>
      <c r="R3771" s="25">
        <f>COUNTIF($Q$2:$Q$5295,Q3771)</f>
        <v/>
      </c>
      <c r="S3771" s="25">
        <f>IF(R3771&lt;=2,"1-2",IF(R3771&lt;=5,"3-5",IF(R3771&lt;=10,"6-10","11+")))</f>
        <v/>
      </c>
    </row>
    <row r="3772">
      <c r="A3772" s="39" t="n">
        <v>46216.2796875</v>
      </c>
      <c r="B3772" s="25">
        <f>TEXT(A3772,"YYYY-MM")</f>
        <v/>
      </c>
      <c r="C3772" s="25">
        <f>TEXT(A3772,"MMM-YYYY")</f>
        <v/>
      </c>
      <c r="D3772" s="40">
        <f>INT(A3772)-WEEKDAY(A3772,2)+1</f>
        <v/>
      </c>
      <c r="E3772" s="25" t="inlineStr">
        <is>
          <t>bverma</t>
        </is>
      </c>
      <c r="F3772" s="25" t="n">
        <v>129251</v>
      </c>
      <c r="G3772" s="25" t="n">
        <v>1</v>
      </c>
      <c r="H3772" s="25" t="n">
        <v>7</v>
      </c>
      <c r="I3772" s="25" t="inlineStr">
        <is>
          <t>1 minute(s) and 0 second(s)</t>
        </is>
      </c>
      <c r="J3772" s="25">
        <f>IFERROR(VALUE(TRIM(LEFT(I3772,FIND("minute",I3772)-1)))*60,0)+IFERROR(VALUE(SUBSTITUTE(MID(I3772,IFERROR(FIND("and",I3772)+3,1),20),"second(s)","")),0)</f>
        <v/>
      </c>
      <c r="K3772" s="41">
        <f>J3772/60</f>
        <v/>
      </c>
      <c r="L3772" s="41">
        <f>IFERROR(J3772/H3772,"")</f>
        <v/>
      </c>
      <c r="M3772" s="25" t="inlineStr">
        <is>
          <t>2.5.12</t>
        </is>
      </c>
      <c r="N3772" s="25">
        <f>IF(J3772&gt;300,1,0)</f>
        <v/>
      </c>
      <c r="O3772" s="25">
        <f>IF(J3772&gt;600,1,0)</f>
        <v/>
      </c>
      <c r="P3772" s="25">
        <f>IF(H3772&gt;0,J3772,"")</f>
        <v/>
      </c>
      <c r="Q3772" s="25">
        <f>TEXT(A3772,"YYYY-MM-DD HH")</f>
        <v/>
      </c>
      <c r="R3772" s="25">
        <f>COUNTIF($Q$2:$Q$5295,Q3772)</f>
        <v/>
      </c>
      <c r="S3772" s="25">
        <f>IF(R3772&lt;=2,"1-2",IF(R3772&lt;=5,"3-5",IF(R3772&lt;=10,"6-10","11+")))</f>
        <v/>
      </c>
    </row>
    <row r="3773">
      <c r="A3773" s="39" t="n">
        <v>46216.28355324074</v>
      </c>
      <c r="B3773" s="25">
        <f>TEXT(A3773,"YYYY-MM")</f>
        <v/>
      </c>
      <c r="C3773" s="25">
        <f>TEXT(A3773,"MMM-YYYY")</f>
        <v/>
      </c>
      <c r="D3773" s="40">
        <f>INT(A3773)-WEEKDAY(A3773,2)+1</f>
        <v/>
      </c>
      <c r="E3773" s="25" t="inlineStr">
        <is>
          <t>shasikha</t>
        </is>
      </c>
      <c r="F3773" s="25" t="n">
        <v>127872</v>
      </c>
      <c r="G3773" s="25" t="n">
        <v>2</v>
      </c>
      <c r="H3773" s="25" t="n">
        <v>8</v>
      </c>
      <c r="I3773" s="25" t="inlineStr">
        <is>
          <t>1 minute(s) and 57 second(s)</t>
        </is>
      </c>
      <c r="J3773" s="25">
        <f>IFERROR(VALUE(TRIM(LEFT(I3773,FIND("minute",I3773)-1)))*60,0)+IFERROR(VALUE(SUBSTITUTE(MID(I3773,IFERROR(FIND("and",I3773)+3,1),20),"second(s)","")),0)</f>
        <v/>
      </c>
      <c r="K3773" s="41">
        <f>J3773/60</f>
        <v/>
      </c>
      <c r="L3773" s="41">
        <f>IFERROR(J3773/H3773,"")</f>
        <v/>
      </c>
      <c r="M3773" s="25" t="inlineStr">
        <is>
          <t>2.5.12</t>
        </is>
      </c>
      <c r="N3773" s="25">
        <f>IF(J3773&gt;300,1,0)</f>
        <v/>
      </c>
      <c r="O3773" s="25">
        <f>IF(J3773&gt;600,1,0)</f>
        <v/>
      </c>
      <c r="P3773" s="25">
        <f>IF(H3773&gt;0,J3773,"")</f>
        <v/>
      </c>
      <c r="Q3773" s="25">
        <f>TEXT(A3773,"YYYY-MM-DD HH")</f>
        <v/>
      </c>
      <c r="R3773" s="25">
        <f>COUNTIF($Q$2:$Q$5295,Q3773)</f>
        <v/>
      </c>
      <c r="S3773" s="25">
        <f>IF(R3773&lt;=2,"1-2",IF(R3773&lt;=5,"3-5",IF(R3773&lt;=10,"6-10","11+")))</f>
        <v/>
      </c>
    </row>
    <row r="3774">
      <c r="A3774" s="39" t="n">
        <v>46216.28399305556</v>
      </c>
      <c r="B3774" s="25">
        <f>TEXT(A3774,"YYYY-MM")</f>
        <v/>
      </c>
      <c r="C3774" s="25">
        <f>TEXT(A3774,"MMM-YYYY")</f>
        <v/>
      </c>
      <c r="D3774" s="40">
        <f>INT(A3774)-WEEKDAY(A3774,2)+1</f>
        <v/>
      </c>
      <c r="E3774" s="25" t="inlineStr">
        <is>
          <t>aupadhayay</t>
        </is>
      </c>
      <c r="F3774" s="25" t="n">
        <v>130747</v>
      </c>
      <c r="G3774" s="25" t="n">
        <v>2</v>
      </c>
      <c r="H3774" s="25" t="n">
        <v>8</v>
      </c>
      <c r="I3774" s="25" t="inlineStr">
        <is>
          <t>1 minute(s) and 3 second(s)</t>
        </is>
      </c>
      <c r="J3774" s="25">
        <f>IFERROR(VALUE(TRIM(LEFT(I3774,FIND("minute",I3774)-1)))*60,0)+IFERROR(VALUE(SUBSTITUTE(MID(I3774,IFERROR(FIND("and",I3774)+3,1),20),"second(s)","")),0)</f>
        <v/>
      </c>
      <c r="K3774" s="41">
        <f>J3774/60</f>
        <v/>
      </c>
      <c r="L3774" s="41">
        <f>IFERROR(J3774/H3774,"")</f>
        <v/>
      </c>
      <c r="M3774" s="25" t="inlineStr">
        <is>
          <t>2.5.12</t>
        </is>
      </c>
      <c r="N3774" s="25">
        <f>IF(J3774&gt;300,1,0)</f>
        <v/>
      </c>
      <c r="O3774" s="25">
        <f>IF(J3774&gt;600,1,0)</f>
        <v/>
      </c>
      <c r="P3774" s="25">
        <f>IF(H3774&gt;0,J3774,"")</f>
        <v/>
      </c>
      <c r="Q3774" s="25">
        <f>TEXT(A3774,"YYYY-MM-DD HH")</f>
        <v/>
      </c>
      <c r="R3774" s="25">
        <f>COUNTIF($Q$2:$Q$5295,Q3774)</f>
        <v/>
      </c>
      <c r="S3774" s="25">
        <f>IF(R3774&lt;=2,"1-2",IF(R3774&lt;=5,"3-5",IF(R3774&lt;=10,"6-10","11+")))</f>
        <v/>
      </c>
    </row>
    <row r="3775">
      <c r="A3775" s="39" t="n">
        <v>46216.28994212963</v>
      </c>
      <c r="B3775" s="25">
        <f>TEXT(A3775,"YYYY-MM")</f>
        <v/>
      </c>
      <c r="C3775" s="25">
        <f>TEXT(A3775,"MMM-YYYY")</f>
        <v/>
      </c>
      <c r="D3775" s="40">
        <f>INT(A3775)-WEEKDAY(A3775,2)+1</f>
        <v/>
      </c>
      <c r="E3775" s="25" t="inlineStr">
        <is>
          <t>ssrinivasan</t>
        </is>
      </c>
      <c r="F3775" s="25" t="n">
        <v>129675</v>
      </c>
      <c r="G3775" s="25" t="n">
        <v>1</v>
      </c>
      <c r="H3775" s="25" t="n">
        <v>8</v>
      </c>
      <c r="I3775" s="25" t="inlineStr">
        <is>
          <t>46 second(s)</t>
        </is>
      </c>
      <c r="J3775" s="25">
        <f>IFERROR(VALUE(TRIM(LEFT(I3775,FIND("minute",I3775)-1)))*60,0)+IFERROR(VALUE(SUBSTITUTE(MID(I3775,IFERROR(FIND("and",I3775)+3,1),20),"second(s)","")),0)</f>
        <v/>
      </c>
      <c r="K3775" s="41">
        <f>J3775/60</f>
        <v/>
      </c>
      <c r="L3775" s="41">
        <f>IFERROR(J3775/H3775,"")</f>
        <v/>
      </c>
      <c r="M3775" s="25" t="inlineStr">
        <is>
          <t>2.5.12</t>
        </is>
      </c>
      <c r="N3775" s="25">
        <f>IF(J3775&gt;300,1,0)</f>
        <v/>
      </c>
      <c r="O3775" s="25">
        <f>IF(J3775&gt;600,1,0)</f>
        <v/>
      </c>
      <c r="P3775" s="25">
        <f>IF(H3775&gt;0,J3775,"")</f>
        <v/>
      </c>
      <c r="Q3775" s="25">
        <f>TEXT(A3775,"YYYY-MM-DD HH")</f>
        <v/>
      </c>
      <c r="R3775" s="25">
        <f>COUNTIF($Q$2:$Q$5295,Q3775)</f>
        <v/>
      </c>
      <c r="S3775" s="25">
        <f>IF(R3775&lt;=2,"1-2",IF(R3775&lt;=5,"3-5",IF(R3775&lt;=10,"6-10","11+")))</f>
        <v/>
      </c>
    </row>
    <row r="3776">
      <c r="A3776" s="39" t="n">
        <v>46216.29782407408</v>
      </c>
      <c r="B3776" s="25">
        <f>TEXT(A3776,"YYYY-MM")</f>
        <v/>
      </c>
      <c r="C3776" s="25">
        <f>TEXT(A3776,"MMM-YYYY")</f>
        <v/>
      </c>
      <c r="D3776" s="40">
        <f>INT(A3776)-WEEKDAY(A3776,2)+1</f>
        <v/>
      </c>
      <c r="E3776" s="25" t="inlineStr">
        <is>
          <t>sswati</t>
        </is>
      </c>
      <c r="F3776" s="25" t="n">
        <v>130245</v>
      </c>
      <c r="G3776" s="25" t="n">
        <v>2</v>
      </c>
      <c r="H3776" s="25" t="n">
        <v>8</v>
      </c>
      <c r="I3776" s="25" t="inlineStr">
        <is>
          <t>41 second(s)</t>
        </is>
      </c>
      <c r="J3776" s="25">
        <f>IFERROR(VALUE(TRIM(LEFT(I3776,FIND("minute",I3776)-1)))*60,0)+IFERROR(VALUE(SUBSTITUTE(MID(I3776,IFERROR(FIND("and",I3776)+3,1),20),"second(s)","")),0)</f>
        <v/>
      </c>
      <c r="K3776" s="41">
        <f>J3776/60</f>
        <v/>
      </c>
      <c r="L3776" s="41">
        <f>IFERROR(J3776/H3776,"")</f>
        <v/>
      </c>
      <c r="M3776" s="25" t="inlineStr">
        <is>
          <t>2.5.12</t>
        </is>
      </c>
      <c r="N3776" s="25">
        <f>IF(J3776&gt;300,1,0)</f>
        <v/>
      </c>
      <c r="O3776" s="25">
        <f>IF(J3776&gt;600,1,0)</f>
        <v/>
      </c>
      <c r="P3776" s="25">
        <f>IF(H3776&gt;0,J3776,"")</f>
        <v/>
      </c>
      <c r="Q3776" s="25">
        <f>TEXT(A3776,"YYYY-MM-DD HH")</f>
        <v/>
      </c>
      <c r="R3776" s="25">
        <f>COUNTIF($Q$2:$Q$5295,Q3776)</f>
        <v/>
      </c>
      <c r="S3776" s="25">
        <f>IF(R3776&lt;=2,"1-2",IF(R3776&lt;=5,"3-5",IF(R3776&lt;=10,"6-10","11+")))</f>
        <v/>
      </c>
    </row>
    <row r="3777">
      <c r="A3777" s="39" t="n">
        <v>46216.30342592593</v>
      </c>
      <c r="B3777" s="25">
        <f>TEXT(A3777,"YYYY-MM")</f>
        <v/>
      </c>
      <c r="C3777" s="25">
        <f>TEXT(A3777,"MMM-YYYY")</f>
        <v/>
      </c>
      <c r="D3777" s="40">
        <f>INT(A3777)-WEEKDAY(A3777,2)+1</f>
        <v/>
      </c>
      <c r="E3777" s="25" t="inlineStr">
        <is>
          <t>asahoo</t>
        </is>
      </c>
      <c r="F3777" s="25" t="n">
        <v>129862</v>
      </c>
      <c r="G3777" s="25" t="n">
        <v>4</v>
      </c>
      <c r="H3777" s="25" t="n">
        <v>28</v>
      </c>
      <c r="I3777" s="25" t="inlineStr">
        <is>
          <t>3 minute(s) and 57 second(s)</t>
        </is>
      </c>
      <c r="J3777" s="25">
        <f>IFERROR(VALUE(TRIM(LEFT(I3777,FIND("minute",I3777)-1)))*60,0)+IFERROR(VALUE(SUBSTITUTE(MID(I3777,IFERROR(FIND("and",I3777)+3,1),20),"second(s)","")),0)</f>
        <v/>
      </c>
      <c r="K3777" s="41">
        <f>J3777/60</f>
        <v/>
      </c>
      <c r="L3777" s="41">
        <f>IFERROR(J3777/H3777,"")</f>
        <v/>
      </c>
      <c r="M3777" s="25" t="inlineStr">
        <is>
          <t>2.5.12</t>
        </is>
      </c>
      <c r="N3777" s="25">
        <f>IF(J3777&gt;300,1,0)</f>
        <v/>
      </c>
      <c r="O3777" s="25">
        <f>IF(J3777&gt;600,1,0)</f>
        <v/>
      </c>
      <c r="P3777" s="25">
        <f>IF(H3777&gt;0,J3777,"")</f>
        <v/>
      </c>
      <c r="Q3777" s="25">
        <f>TEXT(A3777,"YYYY-MM-DD HH")</f>
        <v/>
      </c>
      <c r="R3777" s="25">
        <f>COUNTIF($Q$2:$Q$5295,Q3777)</f>
        <v/>
      </c>
      <c r="S3777" s="25">
        <f>IF(R3777&lt;=2,"1-2",IF(R3777&lt;=5,"3-5",IF(R3777&lt;=10,"6-10","11+")))</f>
        <v/>
      </c>
    </row>
    <row r="3778">
      <c r="A3778" s="39" t="n">
        <v>46216.30909722222</v>
      </c>
      <c r="B3778" s="25">
        <f>TEXT(A3778,"YYYY-MM")</f>
        <v/>
      </c>
      <c r="C3778" s="25">
        <f>TEXT(A3778,"MMM-YYYY")</f>
        <v/>
      </c>
      <c r="D3778" s="40">
        <f>INT(A3778)-WEEKDAY(A3778,2)+1</f>
        <v/>
      </c>
      <c r="E3778" s="25" t="inlineStr">
        <is>
          <t>atiwari</t>
        </is>
      </c>
      <c r="F3778" s="25" t="n">
        <v>132788</v>
      </c>
      <c r="G3778" s="25" t="n">
        <v>2</v>
      </c>
      <c r="H3778" s="25" t="n">
        <v>12</v>
      </c>
      <c r="I3778" s="25" t="inlineStr">
        <is>
          <t>2 minute(s) and 16 second(s)</t>
        </is>
      </c>
      <c r="J3778" s="25">
        <f>IFERROR(VALUE(TRIM(LEFT(I3778,FIND("minute",I3778)-1)))*60,0)+IFERROR(VALUE(SUBSTITUTE(MID(I3778,IFERROR(FIND("and",I3778)+3,1),20),"second(s)","")),0)</f>
        <v/>
      </c>
      <c r="K3778" s="41">
        <f>J3778/60</f>
        <v/>
      </c>
      <c r="L3778" s="41">
        <f>IFERROR(J3778/H3778,"")</f>
        <v/>
      </c>
      <c r="M3778" s="25" t="inlineStr">
        <is>
          <t>2.5.12</t>
        </is>
      </c>
      <c r="N3778" s="25">
        <f>IF(J3778&gt;300,1,0)</f>
        <v/>
      </c>
      <c r="O3778" s="25">
        <f>IF(J3778&gt;600,1,0)</f>
        <v/>
      </c>
      <c r="P3778" s="25">
        <f>IF(H3778&gt;0,J3778,"")</f>
        <v/>
      </c>
      <c r="Q3778" s="25">
        <f>TEXT(A3778,"YYYY-MM-DD HH")</f>
        <v/>
      </c>
      <c r="R3778" s="25">
        <f>COUNTIF($Q$2:$Q$5295,Q3778)</f>
        <v/>
      </c>
      <c r="S3778" s="25">
        <f>IF(R3778&lt;=2,"1-2",IF(R3778&lt;=5,"3-5",IF(R3778&lt;=10,"6-10","11+")))</f>
        <v/>
      </c>
    </row>
    <row r="3779">
      <c r="A3779" s="39" t="n">
        <v>46216.31120370371</v>
      </c>
      <c r="B3779" s="25">
        <f>TEXT(A3779,"YYYY-MM")</f>
        <v/>
      </c>
      <c r="C3779" s="25">
        <f>TEXT(A3779,"MMM-YYYY")</f>
        <v/>
      </c>
      <c r="D3779" s="40">
        <f>INT(A3779)-WEEKDAY(A3779,2)+1</f>
        <v/>
      </c>
      <c r="E3779" s="25" t="inlineStr">
        <is>
          <t>shasikha</t>
        </is>
      </c>
      <c r="F3779" s="25" t="n">
        <v>127864</v>
      </c>
      <c r="G3779" s="25" t="n">
        <v>3</v>
      </c>
      <c r="H3779" s="25" t="n">
        <v>17</v>
      </c>
      <c r="I3779" s="25" t="inlineStr">
        <is>
          <t>1 minute(s) and 51 second(s)</t>
        </is>
      </c>
      <c r="J3779" s="25">
        <f>IFERROR(VALUE(TRIM(LEFT(I3779,FIND("minute",I3779)-1)))*60,0)+IFERROR(VALUE(SUBSTITUTE(MID(I3779,IFERROR(FIND("and",I3779)+3,1),20),"second(s)","")),0)</f>
        <v/>
      </c>
      <c r="K3779" s="41">
        <f>J3779/60</f>
        <v/>
      </c>
      <c r="L3779" s="41">
        <f>IFERROR(J3779/H3779,"")</f>
        <v/>
      </c>
      <c r="M3779" s="25" t="inlineStr">
        <is>
          <t>2.5.12</t>
        </is>
      </c>
      <c r="N3779" s="25">
        <f>IF(J3779&gt;300,1,0)</f>
        <v/>
      </c>
      <c r="O3779" s="25">
        <f>IF(J3779&gt;600,1,0)</f>
        <v/>
      </c>
      <c r="P3779" s="25">
        <f>IF(H3779&gt;0,J3779,"")</f>
        <v/>
      </c>
      <c r="Q3779" s="25">
        <f>TEXT(A3779,"YYYY-MM-DD HH")</f>
        <v/>
      </c>
      <c r="R3779" s="25">
        <f>COUNTIF($Q$2:$Q$5295,Q3779)</f>
        <v/>
      </c>
      <c r="S3779" s="25">
        <f>IF(R3779&lt;=2,"1-2",IF(R3779&lt;=5,"3-5",IF(R3779&lt;=10,"6-10","11+")))</f>
        <v/>
      </c>
    </row>
    <row r="3780">
      <c r="A3780" s="39" t="n">
        <v>46216.3112962963</v>
      </c>
      <c r="B3780" s="25">
        <f>TEXT(A3780,"YYYY-MM")</f>
        <v/>
      </c>
      <c r="C3780" s="25">
        <f>TEXT(A3780,"MMM-YYYY")</f>
        <v/>
      </c>
      <c r="D3780" s="40">
        <f>INT(A3780)-WEEKDAY(A3780,2)+1</f>
        <v/>
      </c>
      <c r="E3780" s="25" t="inlineStr">
        <is>
          <t>bverma</t>
        </is>
      </c>
      <c r="F3780" s="25" t="n">
        <v>129267</v>
      </c>
      <c r="G3780" s="25" t="n">
        <v>2</v>
      </c>
      <c r="H3780" s="25" t="n">
        <v>15</v>
      </c>
      <c r="I3780" s="25" t="inlineStr">
        <is>
          <t>1 minute(s) and 19 second(s)</t>
        </is>
      </c>
      <c r="J3780" s="25">
        <f>IFERROR(VALUE(TRIM(LEFT(I3780,FIND("minute",I3780)-1)))*60,0)+IFERROR(VALUE(SUBSTITUTE(MID(I3780,IFERROR(FIND("and",I3780)+3,1),20),"second(s)","")),0)</f>
        <v/>
      </c>
      <c r="K3780" s="41">
        <f>J3780/60</f>
        <v/>
      </c>
      <c r="L3780" s="41">
        <f>IFERROR(J3780/H3780,"")</f>
        <v/>
      </c>
      <c r="M3780" s="25" t="inlineStr">
        <is>
          <t>2.5.12</t>
        </is>
      </c>
      <c r="N3780" s="25">
        <f>IF(J3780&gt;300,1,0)</f>
        <v/>
      </c>
      <c r="O3780" s="25">
        <f>IF(J3780&gt;600,1,0)</f>
        <v/>
      </c>
      <c r="P3780" s="25">
        <f>IF(H3780&gt;0,J3780,"")</f>
        <v/>
      </c>
      <c r="Q3780" s="25">
        <f>TEXT(A3780,"YYYY-MM-DD HH")</f>
        <v/>
      </c>
      <c r="R3780" s="25">
        <f>COUNTIF($Q$2:$Q$5295,Q3780)</f>
        <v/>
      </c>
      <c r="S3780" s="25">
        <f>IF(R3780&lt;=2,"1-2",IF(R3780&lt;=5,"3-5",IF(R3780&lt;=10,"6-10","11+")))</f>
        <v/>
      </c>
    </row>
    <row r="3781">
      <c r="A3781" s="39" t="n">
        <v>46216.32682870371</v>
      </c>
      <c r="B3781" s="25">
        <f>TEXT(A3781,"YYYY-MM")</f>
        <v/>
      </c>
      <c r="C3781" s="25">
        <f>TEXT(A3781,"MMM-YYYY")</f>
        <v/>
      </c>
      <c r="D3781" s="40">
        <f>INT(A3781)-WEEKDAY(A3781,2)+1</f>
        <v/>
      </c>
      <c r="E3781" s="25" t="inlineStr">
        <is>
          <t>aghosh</t>
        </is>
      </c>
      <c r="F3781" s="25" t="n">
        <v>128422</v>
      </c>
      <c r="G3781" s="25" t="n">
        <v>2</v>
      </c>
      <c r="H3781" s="25" t="n">
        <v>10</v>
      </c>
      <c r="I3781" s="25" t="inlineStr">
        <is>
          <t>1 minute(s) and 1 second(s)</t>
        </is>
      </c>
      <c r="J3781" s="25">
        <f>IFERROR(VALUE(TRIM(LEFT(I3781,FIND("minute",I3781)-1)))*60,0)+IFERROR(VALUE(SUBSTITUTE(MID(I3781,IFERROR(FIND("and",I3781)+3,1),20),"second(s)","")),0)</f>
        <v/>
      </c>
      <c r="K3781" s="41">
        <f>J3781/60</f>
        <v/>
      </c>
      <c r="L3781" s="41">
        <f>IFERROR(J3781/H3781,"")</f>
        <v/>
      </c>
      <c r="M3781" s="25" t="inlineStr">
        <is>
          <t>2.5.12</t>
        </is>
      </c>
      <c r="N3781" s="25">
        <f>IF(J3781&gt;300,1,0)</f>
        <v/>
      </c>
      <c r="O3781" s="25">
        <f>IF(J3781&gt;600,1,0)</f>
        <v/>
      </c>
      <c r="P3781" s="25">
        <f>IF(H3781&gt;0,J3781,"")</f>
        <v/>
      </c>
      <c r="Q3781" s="25">
        <f>TEXT(A3781,"YYYY-MM-DD HH")</f>
        <v/>
      </c>
      <c r="R3781" s="25">
        <f>COUNTIF($Q$2:$Q$5295,Q3781)</f>
        <v/>
      </c>
      <c r="S3781" s="25">
        <f>IF(R3781&lt;=2,"1-2",IF(R3781&lt;=5,"3-5",IF(R3781&lt;=10,"6-10","11+")))</f>
        <v/>
      </c>
    </row>
    <row r="3782">
      <c r="A3782" s="39" t="n">
        <v>46216.33042824074</v>
      </c>
      <c r="B3782" s="25">
        <f>TEXT(A3782,"YYYY-MM")</f>
        <v/>
      </c>
      <c r="C3782" s="25">
        <f>TEXT(A3782,"MMM-YYYY")</f>
        <v/>
      </c>
      <c r="D3782" s="40">
        <f>INT(A3782)-WEEKDAY(A3782,2)+1</f>
        <v/>
      </c>
      <c r="E3782" s="25" t="inlineStr">
        <is>
          <t>psathwika</t>
        </is>
      </c>
      <c r="F3782" s="25" t="n">
        <v>131995</v>
      </c>
      <c r="G3782" s="25" t="n">
        <v>1</v>
      </c>
      <c r="H3782" s="25" t="n">
        <v>6</v>
      </c>
      <c r="I3782" s="25" t="inlineStr">
        <is>
          <t>41 second(s)</t>
        </is>
      </c>
      <c r="J3782" s="25">
        <f>IFERROR(VALUE(TRIM(LEFT(I3782,FIND("minute",I3782)-1)))*60,0)+IFERROR(VALUE(SUBSTITUTE(MID(I3782,IFERROR(FIND("and",I3782)+3,1),20),"second(s)","")),0)</f>
        <v/>
      </c>
      <c r="K3782" s="41">
        <f>J3782/60</f>
        <v/>
      </c>
      <c r="L3782" s="41">
        <f>IFERROR(J3782/H3782,"")</f>
        <v/>
      </c>
      <c r="M3782" s="25" t="inlineStr">
        <is>
          <t>2.5.12</t>
        </is>
      </c>
      <c r="N3782" s="25">
        <f>IF(J3782&gt;300,1,0)</f>
        <v/>
      </c>
      <c r="O3782" s="25">
        <f>IF(J3782&gt;600,1,0)</f>
        <v/>
      </c>
      <c r="P3782" s="25">
        <f>IF(H3782&gt;0,J3782,"")</f>
        <v/>
      </c>
      <c r="Q3782" s="25">
        <f>TEXT(A3782,"YYYY-MM-DD HH")</f>
        <v/>
      </c>
      <c r="R3782" s="25">
        <f>COUNTIF($Q$2:$Q$5295,Q3782)</f>
        <v/>
      </c>
      <c r="S3782" s="25">
        <f>IF(R3782&lt;=2,"1-2",IF(R3782&lt;=5,"3-5",IF(R3782&lt;=10,"6-10","11+")))</f>
        <v/>
      </c>
    </row>
    <row r="3783">
      <c r="A3783" s="39" t="n">
        <v>46216.330625</v>
      </c>
      <c r="B3783" s="25">
        <f>TEXT(A3783,"YYYY-MM")</f>
        <v/>
      </c>
      <c r="C3783" s="25">
        <f>TEXT(A3783,"MMM-YYYY")</f>
        <v/>
      </c>
      <c r="D3783" s="40">
        <f>INT(A3783)-WEEKDAY(A3783,2)+1</f>
        <v/>
      </c>
      <c r="E3783" s="25" t="inlineStr">
        <is>
          <t>npriya</t>
        </is>
      </c>
      <c r="F3783" s="25" t="n">
        <v>129383</v>
      </c>
      <c r="G3783" s="25" t="n">
        <v>2</v>
      </c>
      <c r="H3783" s="25" t="n">
        <v>14</v>
      </c>
      <c r="I3783" s="25" t="inlineStr">
        <is>
          <t>1 minute(s) and 36 second(s)</t>
        </is>
      </c>
      <c r="J3783" s="25">
        <f>IFERROR(VALUE(TRIM(LEFT(I3783,FIND("minute",I3783)-1)))*60,0)+IFERROR(VALUE(SUBSTITUTE(MID(I3783,IFERROR(FIND("and",I3783)+3,1),20),"second(s)","")),0)</f>
        <v/>
      </c>
      <c r="K3783" s="41">
        <f>J3783/60</f>
        <v/>
      </c>
      <c r="L3783" s="41">
        <f>IFERROR(J3783/H3783,"")</f>
        <v/>
      </c>
      <c r="M3783" s="25" t="inlineStr">
        <is>
          <t>2.5.12</t>
        </is>
      </c>
      <c r="N3783" s="25">
        <f>IF(J3783&gt;300,1,0)</f>
        <v/>
      </c>
      <c r="O3783" s="25">
        <f>IF(J3783&gt;600,1,0)</f>
        <v/>
      </c>
      <c r="P3783" s="25">
        <f>IF(H3783&gt;0,J3783,"")</f>
        <v/>
      </c>
      <c r="Q3783" s="25">
        <f>TEXT(A3783,"YYYY-MM-DD HH")</f>
        <v/>
      </c>
      <c r="R3783" s="25">
        <f>COUNTIF($Q$2:$Q$5295,Q3783)</f>
        <v/>
      </c>
      <c r="S3783" s="25">
        <f>IF(R3783&lt;=2,"1-2",IF(R3783&lt;=5,"3-5",IF(R3783&lt;=10,"6-10","11+")))</f>
        <v/>
      </c>
    </row>
    <row r="3784">
      <c r="A3784" s="39" t="n">
        <v>46216.33320601852</v>
      </c>
      <c r="B3784" s="25">
        <f>TEXT(A3784,"YYYY-MM")</f>
        <v/>
      </c>
      <c r="C3784" s="25">
        <f>TEXT(A3784,"MMM-YYYY")</f>
        <v/>
      </c>
      <c r="D3784" s="40">
        <f>INT(A3784)-WEEKDAY(A3784,2)+1</f>
        <v/>
      </c>
      <c r="E3784" s="25" t="inlineStr">
        <is>
          <t>asahoo</t>
        </is>
      </c>
      <c r="F3784" s="25" t="n">
        <v>131367</v>
      </c>
      <c r="G3784" s="25" t="n">
        <v>1</v>
      </c>
      <c r="H3784" s="25" t="n">
        <v>5</v>
      </c>
      <c r="I3784" s="25" t="inlineStr">
        <is>
          <t>32 second(s)</t>
        </is>
      </c>
      <c r="J3784" s="25">
        <f>IFERROR(VALUE(TRIM(LEFT(I3784,FIND("minute",I3784)-1)))*60,0)+IFERROR(VALUE(SUBSTITUTE(MID(I3784,IFERROR(FIND("and",I3784)+3,1),20),"second(s)","")),0)</f>
        <v/>
      </c>
      <c r="K3784" s="41">
        <f>J3784/60</f>
        <v/>
      </c>
      <c r="L3784" s="41">
        <f>IFERROR(J3784/H3784,"")</f>
        <v/>
      </c>
      <c r="M3784" s="25" t="inlineStr">
        <is>
          <t>2.5.12</t>
        </is>
      </c>
      <c r="N3784" s="25">
        <f>IF(J3784&gt;300,1,0)</f>
        <v/>
      </c>
      <c r="O3784" s="25">
        <f>IF(J3784&gt;600,1,0)</f>
        <v/>
      </c>
      <c r="P3784" s="25">
        <f>IF(H3784&gt;0,J3784,"")</f>
        <v/>
      </c>
      <c r="Q3784" s="25">
        <f>TEXT(A3784,"YYYY-MM-DD HH")</f>
        <v/>
      </c>
      <c r="R3784" s="25">
        <f>COUNTIF($Q$2:$Q$5295,Q3784)</f>
        <v/>
      </c>
      <c r="S3784" s="25">
        <f>IF(R3784&lt;=2,"1-2",IF(R3784&lt;=5,"3-5",IF(R3784&lt;=10,"6-10","11+")))</f>
        <v/>
      </c>
    </row>
    <row r="3785">
      <c r="A3785" s="39" t="n">
        <v>46216.33799768519</v>
      </c>
      <c r="B3785" s="25">
        <f>TEXT(A3785,"YYYY-MM")</f>
        <v/>
      </c>
      <c r="C3785" s="25">
        <f>TEXT(A3785,"MMM-YYYY")</f>
        <v/>
      </c>
      <c r="D3785" s="40">
        <f>INT(A3785)-WEEKDAY(A3785,2)+1</f>
        <v/>
      </c>
      <c r="E3785" s="25" t="inlineStr">
        <is>
          <t>ssrinivasan</t>
        </is>
      </c>
      <c r="F3785" s="25" t="n">
        <v>127968</v>
      </c>
      <c r="G3785" s="25" t="n">
        <v>2</v>
      </c>
      <c r="H3785" s="25" t="n">
        <v>8</v>
      </c>
      <c r="I3785" s="25" t="inlineStr">
        <is>
          <t>40 second(s)</t>
        </is>
      </c>
      <c r="J3785" s="25">
        <f>IFERROR(VALUE(TRIM(LEFT(I3785,FIND("minute",I3785)-1)))*60,0)+IFERROR(VALUE(SUBSTITUTE(MID(I3785,IFERROR(FIND("and",I3785)+3,1),20),"second(s)","")),0)</f>
        <v/>
      </c>
      <c r="K3785" s="41">
        <f>J3785/60</f>
        <v/>
      </c>
      <c r="L3785" s="41">
        <f>IFERROR(J3785/H3785,"")</f>
        <v/>
      </c>
      <c r="M3785" s="25" t="inlineStr">
        <is>
          <t>2.5.12</t>
        </is>
      </c>
      <c r="N3785" s="25">
        <f>IF(J3785&gt;300,1,0)</f>
        <v/>
      </c>
      <c r="O3785" s="25">
        <f>IF(J3785&gt;600,1,0)</f>
        <v/>
      </c>
      <c r="P3785" s="25">
        <f>IF(H3785&gt;0,J3785,"")</f>
        <v/>
      </c>
      <c r="Q3785" s="25">
        <f>TEXT(A3785,"YYYY-MM-DD HH")</f>
        <v/>
      </c>
      <c r="R3785" s="25">
        <f>COUNTIF($Q$2:$Q$5295,Q3785)</f>
        <v/>
      </c>
      <c r="S3785" s="25">
        <f>IF(R3785&lt;=2,"1-2",IF(R3785&lt;=5,"3-5",IF(R3785&lt;=10,"6-10","11+")))</f>
        <v/>
      </c>
    </row>
    <row r="3786">
      <c r="A3786" s="39" t="n">
        <v>46216.3534375</v>
      </c>
      <c r="B3786" s="25">
        <f>TEXT(A3786,"YYYY-MM")</f>
        <v/>
      </c>
      <c r="C3786" s="25">
        <f>TEXT(A3786,"MMM-YYYY")</f>
        <v/>
      </c>
      <c r="D3786" s="40">
        <f>INT(A3786)-WEEKDAY(A3786,2)+1</f>
        <v/>
      </c>
      <c r="E3786" s="25" t="inlineStr">
        <is>
          <t>atiwari</t>
        </is>
      </c>
      <c r="F3786" s="25" t="n">
        <v>128300</v>
      </c>
      <c r="G3786" s="25" t="n">
        <v>4</v>
      </c>
      <c r="H3786" s="25" t="n">
        <v>29</v>
      </c>
      <c r="I3786" s="25" t="inlineStr">
        <is>
          <t>3 minute(s) and 54 second(s)</t>
        </is>
      </c>
      <c r="J3786" s="25">
        <f>IFERROR(VALUE(TRIM(LEFT(I3786,FIND("minute",I3786)-1)))*60,0)+IFERROR(VALUE(SUBSTITUTE(MID(I3786,IFERROR(FIND("and",I3786)+3,1),20),"second(s)","")),0)</f>
        <v/>
      </c>
      <c r="K3786" s="41">
        <f>J3786/60</f>
        <v/>
      </c>
      <c r="L3786" s="41">
        <f>IFERROR(J3786/H3786,"")</f>
        <v/>
      </c>
      <c r="M3786" s="25" t="inlineStr">
        <is>
          <t>2.5.12</t>
        </is>
      </c>
      <c r="N3786" s="25">
        <f>IF(J3786&gt;300,1,0)</f>
        <v/>
      </c>
      <c r="O3786" s="25">
        <f>IF(J3786&gt;600,1,0)</f>
        <v/>
      </c>
      <c r="P3786" s="25">
        <f>IF(H3786&gt;0,J3786,"")</f>
        <v/>
      </c>
      <c r="Q3786" s="25">
        <f>TEXT(A3786,"YYYY-MM-DD HH")</f>
        <v/>
      </c>
      <c r="R3786" s="25">
        <f>COUNTIF($Q$2:$Q$5295,Q3786)</f>
        <v/>
      </c>
      <c r="S3786" s="25">
        <f>IF(R3786&lt;=2,"1-2",IF(R3786&lt;=5,"3-5",IF(R3786&lt;=10,"6-10","11+")))</f>
        <v/>
      </c>
    </row>
    <row r="3787">
      <c r="A3787" s="39" t="n">
        <v>46216.36736111111</v>
      </c>
      <c r="B3787" s="25">
        <f>TEXT(A3787,"YYYY-MM")</f>
        <v/>
      </c>
      <c r="C3787" s="25">
        <f>TEXT(A3787,"MMM-YYYY")</f>
        <v/>
      </c>
      <c r="D3787" s="40">
        <f>INT(A3787)-WEEKDAY(A3787,2)+1</f>
        <v/>
      </c>
      <c r="E3787" s="25" t="inlineStr">
        <is>
          <t>aupadhayay</t>
        </is>
      </c>
      <c r="F3787" s="25" t="n">
        <v>124538</v>
      </c>
      <c r="G3787" s="25" t="n">
        <v>2</v>
      </c>
      <c r="H3787" s="25" t="n">
        <v>8</v>
      </c>
      <c r="I3787" s="25" t="inlineStr">
        <is>
          <t>2 minute(s) and 8 second(s)</t>
        </is>
      </c>
      <c r="J3787" s="25">
        <f>IFERROR(VALUE(TRIM(LEFT(I3787,FIND("minute",I3787)-1)))*60,0)+IFERROR(VALUE(SUBSTITUTE(MID(I3787,IFERROR(FIND("and",I3787)+3,1),20),"second(s)","")),0)</f>
        <v/>
      </c>
      <c r="K3787" s="41">
        <f>J3787/60</f>
        <v/>
      </c>
      <c r="L3787" s="41">
        <f>IFERROR(J3787/H3787,"")</f>
        <v/>
      </c>
      <c r="M3787" s="25" t="inlineStr">
        <is>
          <t>2.5.12</t>
        </is>
      </c>
      <c r="N3787" s="25">
        <f>IF(J3787&gt;300,1,0)</f>
        <v/>
      </c>
      <c r="O3787" s="25">
        <f>IF(J3787&gt;600,1,0)</f>
        <v/>
      </c>
      <c r="P3787" s="25">
        <f>IF(H3787&gt;0,J3787,"")</f>
        <v/>
      </c>
      <c r="Q3787" s="25">
        <f>TEXT(A3787,"YYYY-MM-DD HH")</f>
        <v/>
      </c>
      <c r="R3787" s="25">
        <f>COUNTIF($Q$2:$Q$5295,Q3787)</f>
        <v/>
      </c>
      <c r="S3787" s="25">
        <f>IF(R3787&lt;=2,"1-2",IF(R3787&lt;=5,"3-5",IF(R3787&lt;=10,"6-10","11+")))</f>
        <v/>
      </c>
    </row>
    <row r="3788">
      <c r="A3788" s="39" t="n">
        <v>46216.37030092593</v>
      </c>
      <c r="B3788" s="25">
        <f>TEXT(A3788,"YYYY-MM")</f>
        <v/>
      </c>
      <c r="C3788" s="25">
        <f>TEXT(A3788,"MMM-YYYY")</f>
        <v/>
      </c>
      <c r="D3788" s="40">
        <f>INT(A3788)-WEEKDAY(A3788,2)+1</f>
        <v/>
      </c>
      <c r="E3788" s="25" t="inlineStr">
        <is>
          <t>aghosh</t>
        </is>
      </c>
      <c r="F3788" s="25" t="n">
        <v>131771</v>
      </c>
      <c r="G3788" s="25" t="n">
        <v>2</v>
      </c>
      <c r="H3788" s="25" t="n">
        <v>8</v>
      </c>
      <c r="I3788" s="25" t="inlineStr">
        <is>
          <t>45 second(s)</t>
        </is>
      </c>
      <c r="J3788" s="25">
        <f>IFERROR(VALUE(TRIM(LEFT(I3788,FIND("minute",I3788)-1)))*60,0)+IFERROR(VALUE(SUBSTITUTE(MID(I3788,IFERROR(FIND("and",I3788)+3,1),20),"second(s)","")),0)</f>
        <v/>
      </c>
      <c r="K3788" s="41">
        <f>J3788/60</f>
        <v/>
      </c>
      <c r="L3788" s="41">
        <f>IFERROR(J3788/H3788,"")</f>
        <v/>
      </c>
      <c r="M3788" s="25" t="inlineStr">
        <is>
          <t>2.5.12</t>
        </is>
      </c>
      <c r="N3788" s="25">
        <f>IF(J3788&gt;300,1,0)</f>
        <v/>
      </c>
      <c r="O3788" s="25">
        <f>IF(J3788&gt;600,1,0)</f>
        <v/>
      </c>
      <c r="P3788" s="25">
        <f>IF(H3788&gt;0,J3788,"")</f>
        <v/>
      </c>
      <c r="Q3788" s="25">
        <f>TEXT(A3788,"YYYY-MM-DD HH")</f>
        <v/>
      </c>
      <c r="R3788" s="25">
        <f>COUNTIF($Q$2:$Q$5295,Q3788)</f>
        <v/>
      </c>
      <c r="S3788" s="25">
        <f>IF(R3788&lt;=2,"1-2",IF(R3788&lt;=5,"3-5",IF(R3788&lt;=10,"6-10","11+")))</f>
        <v/>
      </c>
    </row>
    <row r="3789">
      <c r="A3789" s="39" t="n">
        <v>46216.37052083333</v>
      </c>
      <c r="B3789" s="25">
        <f>TEXT(A3789,"YYYY-MM")</f>
        <v/>
      </c>
      <c r="C3789" s="25">
        <f>TEXT(A3789,"MMM-YYYY")</f>
        <v/>
      </c>
      <c r="D3789" s="40">
        <f>INT(A3789)-WEEKDAY(A3789,2)+1</f>
        <v/>
      </c>
      <c r="E3789" s="25" t="inlineStr">
        <is>
          <t>aupadhayay</t>
        </is>
      </c>
      <c r="F3789" s="25" t="n">
        <v>100</v>
      </c>
      <c r="G3789" s="25" t="n">
        <v>2</v>
      </c>
      <c r="H3789" s="25" t="n">
        <v>8</v>
      </c>
      <c r="I3789" s="25" t="inlineStr">
        <is>
          <t>45 second(s)</t>
        </is>
      </c>
      <c r="J3789" s="25">
        <f>IFERROR(VALUE(TRIM(LEFT(I3789,FIND("minute",I3789)-1)))*60,0)+IFERROR(VALUE(SUBSTITUTE(MID(I3789,IFERROR(FIND("and",I3789)+3,1),20),"second(s)","")),0)</f>
        <v/>
      </c>
      <c r="K3789" s="41">
        <f>J3789/60</f>
        <v/>
      </c>
      <c r="L3789" s="41">
        <f>IFERROR(J3789/H3789,"")</f>
        <v/>
      </c>
      <c r="M3789" s="25" t="inlineStr">
        <is>
          <t>2.5.12</t>
        </is>
      </c>
      <c r="N3789" s="25">
        <f>IF(J3789&gt;300,1,0)</f>
        <v/>
      </c>
      <c r="O3789" s="25">
        <f>IF(J3789&gt;600,1,0)</f>
        <v/>
      </c>
      <c r="P3789" s="25">
        <f>IF(H3789&gt;0,J3789,"")</f>
        <v/>
      </c>
      <c r="Q3789" s="25">
        <f>TEXT(A3789,"YYYY-MM-DD HH")</f>
        <v/>
      </c>
      <c r="R3789" s="25">
        <f>COUNTIF($Q$2:$Q$5295,Q3789)</f>
        <v/>
      </c>
      <c r="S3789" s="25">
        <f>IF(R3789&lt;=2,"1-2",IF(R3789&lt;=5,"3-5",IF(R3789&lt;=10,"6-10","11+")))</f>
        <v/>
      </c>
    </row>
    <row r="3790">
      <c r="A3790" s="39" t="n">
        <v>46216.38734953704</v>
      </c>
      <c r="B3790" s="25">
        <f>TEXT(A3790,"YYYY-MM")</f>
        <v/>
      </c>
      <c r="C3790" s="25">
        <f>TEXT(A3790,"MMM-YYYY")</f>
        <v/>
      </c>
      <c r="D3790" s="40">
        <f>INT(A3790)-WEEKDAY(A3790,2)+1</f>
        <v/>
      </c>
      <c r="E3790" s="25" t="inlineStr">
        <is>
          <t>dchoudhury</t>
        </is>
      </c>
      <c r="F3790" s="25" t="n">
        <v>129104</v>
      </c>
      <c r="G3790" s="25" t="n">
        <v>2</v>
      </c>
      <c r="H3790" s="25" t="n">
        <v>10</v>
      </c>
      <c r="I3790" s="25" t="inlineStr">
        <is>
          <t>59 second(s)</t>
        </is>
      </c>
      <c r="J3790" s="25">
        <f>IFERROR(VALUE(TRIM(LEFT(I3790,FIND("minute",I3790)-1)))*60,0)+IFERROR(VALUE(SUBSTITUTE(MID(I3790,IFERROR(FIND("and",I3790)+3,1),20),"second(s)","")),0)</f>
        <v/>
      </c>
      <c r="K3790" s="41">
        <f>J3790/60</f>
        <v/>
      </c>
      <c r="L3790" s="41">
        <f>IFERROR(J3790/H3790,"")</f>
        <v/>
      </c>
      <c r="M3790" s="25" t="inlineStr">
        <is>
          <t>2.5.12</t>
        </is>
      </c>
      <c r="N3790" s="25">
        <f>IF(J3790&gt;300,1,0)</f>
        <v/>
      </c>
      <c r="O3790" s="25">
        <f>IF(J3790&gt;600,1,0)</f>
        <v/>
      </c>
      <c r="P3790" s="25">
        <f>IF(H3790&gt;0,J3790,"")</f>
        <v/>
      </c>
      <c r="Q3790" s="25">
        <f>TEXT(A3790,"YYYY-MM-DD HH")</f>
        <v/>
      </c>
      <c r="R3790" s="25">
        <f>COUNTIF($Q$2:$Q$5295,Q3790)</f>
        <v/>
      </c>
      <c r="S3790" s="25">
        <f>IF(R3790&lt;=2,"1-2",IF(R3790&lt;=5,"3-5",IF(R3790&lt;=10,"6-10","11+")))</f>
        <v/>
      </c>
    </row>
    <row r="3791">
      <c r="A3791" s="39" t="n">
        <v>46216.38788194444</v>
      </c>
      <c r="B3791" s="25">
        <f>TEXT(A3791,"YYYY-MM")</f>
        <v/>
      </c>
      <c r="C3791" s="25">
        <f>TEXT(A3791,"MMM-YYYY")</f>
        <v/>
      </c>
      <c r="D3791" s="40">
        <f>INT(A3791)-WEEKDAY(A3791,2)+1</f>
        <v/>
      </c>
      <c r="E3791" s="25" t="inlineStr">
        <is>
          <t>aupadhayay</t>
        </is>
      </c>
      <c r="F3791" s="25" t="n">
        <v>130827</v>
      </c>
      <c r="G3791" s="25" t="n">
        <v>4</v>
      </c>
      <c r="H3791" s="25" t="n">
        <v>16</v>
      </c>
      <c r="I3791" s="25" t="inlineStr">
        <is>
          <t>1 minute(s) and 31 second(s)</t>
        </is>
      </c>
      <c r="J3791" s="25">
        <f>IFERROR(VALUE(TRIM(LEFT(I3791,FIND("minute",I3791)-1)))*60,0)+IFERROR(VALUE(SUBSTITUTE(MID(I3791,IFERROR(FIND("and",I3791)+3,1),20),"second(s)","")),0)</f>
        <v/>
      </c>
      <c r="K3791" s="41">
        <f>J3791/60</f>
        <v/>
      </c>
      <c r="L3791" s="41">
        <f>IFERROR(J3791/H3791,"")</f>
        <v/>
      </c>
      <c r="M3791" s="25" t="inlineStr">
        <is>
          <t>2.5.12</t>
        </is>
      </c>
      <c r="N3791" s="25">
        <f>IF(J3791&gt;300,1,0)</f>
        <v/>
      </c>
      <c r="O3791" s="25">
        <f>IF(J3791&gt;600,1,0)</f>
        <v/>
      </c>
      <c r="P3791" s="25">
        <f>IF(H3791&gt;0,J3791,"")</f>
        <v/>
      </c>
      <c r="Q3791" s="25">
        <f>TEXT(A3791,"YYYY-MM-DD HH")</f>
        <v/>
      </c>
      <c r="R3791" s="25">
        <f>COUNTIF($Q$2:$Q$5295,Q3791)</f>
        <v/>
      </c>
      <c r="S3791" s="25">
        <f>IF(R3791&lt;=2,"1-2",IF(R3791&lt;=5,"3-5",IF(R3791&lt;=10,"6-10","11+")))</f>
        <v/>
      </c>
    </row>
    <row r="3792">
      <c r="A3792" s="39" t="n">
        <v>46216.39456018519</v>
      </c>
      <c r="B3792" s="25">
        <f>TEXT(A3792,"YYYY-MM")</f>
        <v/>
      </c>
      <c r="C3792" s="25">
        <f>TEXT(A3792,"MMM-YYYY")</f>
        <v/>
      </c>
      <c r="D3792" s="40">
        <f>INT(A3792)-WEEKDAY(A3792,2)+1</f>
        <v/>
      </c>
      <c r="E3792" s="25" t="inlineStr">
        <is>
          <t>tkarmakar</t>
        </is>
      </c>
      <c r="F3792" s="25" t="n">
        <v>128326</v>
      </c>
      <c r="G3792" s="25" t="n">
        <v>2</v>
      </c>
      <c r="H3792" s="25" t="n">
        <v>8</v>
      </c>
      <c r="I3792" s="25" t="inlineStr">
        <is>
          <t>1 minute(s) and 7 second(s)</t>
        </is>
      </c>
      <c r="J3792" s="25">
        <f>IFERROR(VALUE(TRIM(LEFT(I3792,FIND("minute",I3792)-1)))*60,0)+IFERROR(VALUE(SUBSTITUTE(MID(I3792,IFERROR(FIND("and",I3792)+3,1),20),"second(s)","")),0)</f>
        <v/>
      </c>
      <c r="K3792" s="41">
        <f>J3792/60</f>
        <v/>
      </c>
      <c r="L3792" s="41">
        <f>IFERROR(J3792/H3792,"")</f>
        <v/>
      </c>
      <c r="M3792" s="25" t="inlineStr">
        <is>
          <t>2.5.12</t>
        </is>
      </c>
      <c r="N3792" s="25">
        <f>IF(J3792&gt;300,1,0)</f>
        <v/>
      </c>
      <c r="O3792" s="25">
        <f>IF(J3792&gt;600,1,0)</f>
        <v/>
      </c>
      <c r="P3792" s="25">
        <f>IF(H3792&gt;0,J3792,"")</f>
        <v/>
      </c>
      <c r="Q3792" s="25">
        <f>TEXT(A3792,"YYYY-MM-DD HH")</f>
        <v/>
      </c>
      <c r="R3792" s="25">
        <f>COUNTIF($Q$2:$Q$5295,Q3792)</f>
        <v/>
      </c>
      <c r="S3792" s="25">
        <f>IF(R3792&lt;=2,"1-2",IF(R3792&lt;=5,"3-5",IF(R3792&lt;=10,"6-10","11+")))</f>
        <v/>
      </c>
    </row>
    <row r="3793">
      <c r="A3793" s="39" t="n">
        <v>46216.39667824074</v>
      </c>
      <c r="B3793" s="25">
        <f>TEXT(A3793,"YYYY-MM")</f>
        <v/>
      </c>
      <c r="C3793" s="25">
        <f>TEXT(A3793,"MMM-YYYY")</f>
        <v/>
      </c>
      <c r="D3793" s="40">
        <f>INT(A3793)-WEEKDAY(A3793,2)+1</f>
        <v/>
      </c>
      <c r="E3793" s="25" t="inlineStr">
        <is>
          <t>emishra</t>
        </is>
      </c>
      <c r="F3793" s="25" t="n">
        <v>129558</v>
      </c>
      <c r="G3793" s="25" t="n">
        <v>3</v>
      </c>
      <c r="H3793" s="25" t="n">
        <v>13</v>
      </c>
      <c r="I3793" s="25" t="inlineStr">
        <is>
          <t>2 minute(s) and 1 second(s)</t>
        </is>
      </c>
      <c r="J3793" s="25">
        <f>IFERROR(VALUE(TRIM(LEFT(I3793,FIND("minute",I3793)-1)))*60,0)+IFERROR(VALUE(SUBSTITUTE(MID(I3793,IFERROR(FIND("and",I3793)+3,1),20),"second(s)","")),0)</f>
        <v/>
      </c>
      <c r="K3793" s="41">
        <f>J3793/60</f>
        <v/>
      </c>
      <c r="L3793" s="41">
        <f>IFERROR(J3793/H3793,"")</f>
        <v/>
      </c>
      <c r="M3793" s="25" t="inlineStr">
        <is>
          <t>2.5.12</t>
        </is>
      </c>
      <c r="N3793" s="25">
        <f>IF(J3793&gt;300,1,0)</f>
        <v/>
      </c>
      <c r="O3793" s="25">
        <f>IF(J3793&gt;600,1,0)</f>
        <v/>
      </c>
      <c r="P3793" s="25">
        <f>IF(H3793&gt;0,J3793,"")</f>
        <v/>
      </c>
      <c r="Q3793" s="25">
        <f>TEXT(A3793,"YYYY-MM-DD HH")</f>
        <v/>
      </c>
      <c r="R3793" s="25">
        <f>COUNTIF($Q$2:$Q$5295,Q3793)</f>
        <v/>
      </c>
      <c r="S3793" s="25">
        <f>IF(R3793&lt;=2,"1-2",IF(R3793&lt;=5,"3-5",IF(R3793&lt;=10,"6-10","11+")))</f>
        <v/>
      </c>
    </row>
    <row r="3794">
      <c r="A3794" s="39" t="n">
        <v>46216.3969212963</v>
      </c>
      <c r="B3794" s="25">
        <f>TEXT(A3794,"YYYY-MM")</f>
        <v/>
      </c>
      <c r="C3794" s="25">
        <f>TEXT(A3794,"MMM-YYYY")</f>
        <v/>
      </c>
      <c r="D3794" s="40">
        <f>INT(A3794)-WEEKDAY(A3794,2)+1</f>
        <v/>
      </c>
      <c r="E3794" s="25" t="inlineStr">
        <is>
          <t>psathwika</t>
        </is>
      </c>
      <c r="F3794" s="25" t="n">
        <v>131995</v>
      </c>
      <c r="G3794" s="25" t="n">
        <v>1</v>
      </c>
      <c r="H3794" s="25" t="n">
        <v>7</v>
      </c>
      <c r="I3794" s="25" t="inlineStr">
        <is>
          <t>2 minute(s) and 50 second(s)</t>
        </is>
      </c>
      <c r="J3794" s="25">
        <f>IFERROR(VALUE(TRIM(LEFT(I3794,FIND("minute",I3794)-1)))*60,0)+IFERROR(VALUE(SUBSTITUTE(MID(I3794,IFERROR(FIND("and",I3794)+3,1),20),"second(s)","")),0)</f>
        <v/>
      </c>
      <c r="K3794" s="41">
        <f>J3794/60</f>
        <v/>
      </c>
      <c r="L3794" s="41">
        <f>IFERROR(J3794/H3794,"")</f>
        <v/>
      </c>
      <c r="M3794" s="25" t="inlineStr">
        <is>
          <t>2.5.12</t>
        </is>
      </c>
      <c r="N3794" s="25">
        <f>IF(J3794&gt;300,1,0)</f>
        <v/>
      </c>
      <c r="O3794" s="25">
        <f>IF(J3794&gt;600,1,0)</f>
        <v/>
      </c>
      <c r="P3794" s="25">
        <f>IF(H3794&gt;0,J3794,"")</f>
        <v/>
      </c>
      <c r="Q3794" s="25">
        <f>TEXT(A3794,"YYYY-MM-DD HH")</f>
        <v/>
      </c>
      <c r="R3794" s="25">
        <f>COUNTIF($Q$2:$Q$5295,Q3794)</f>
        <v/>
      </c>
      <c r="S3794" s="25">
        <f>IF(R3794&lt;=2,"1-2",IF(R3794&lt;=5,"3-5",IF(R3794&lt;=10,"6-10","11+")))</f>
        <v/>
      </c>
    </row>
    <row r="3795">
      <c r="A3795" s="39" t="n">
        <v>46216.39997685186</v>
      </c>
      <c r="B3795" s="25">
        <f>TEXT(A3795,"YYYY-MM")</f>
        <v/>
      </c>
      <c r="C3795" s="25">
        <f>TEXT(A3795,"MMM-YYYY")</f>
        <v/>
      </c>
      <c r="D3795" s="40">
        <f>INT(A3795)-WEEKDAY(A3795,2)+1</f>
        <v/>
      </c>
      <c r="E3795" s="25" t="inlineStr">
        <is>
          <t>npriya</t>
        </is>
      </c>
      <c r="F3795" s="25" t="n">
        <v>130300</v>
      </c>
      <c r="G3795" s="25" t="n">
        <v>3</v>
      </c>
      <c r="H3795" s="25" t="n">
        <v>15</v>
      </c>
      <c r="I3795" s="25" t="inlineStr">
        <is>
          <t>1 minute(s) and 24 second(s)</t>
        </is>
      </c>
      <c r="J3795" s="25">
        <f>IFERROR(VALUE(TRIM(LEFT(I3795,FIND("minute",I3795)-1)))*60,0)+IFERROR(VALUE(SUBSTITUTE(MID(I3795,IFERROR(FIND("and",I3795)+3,1),20),"second(s)","")),0)</f>
        <v/>
      </c>
      <c r="K3795" s="41">
        <f>J3795/60</f>
        <v/>
      </c>
      <c r="L3795" s="41">
        <f>IFERROR(J3795/H3795,"")</f>
        <v/>
      </c>
      <c r="M3795" s="25" t="inlineStr">
        <is>
          <t>2.5.12</t>
        </is>
      </c>
      <c r="N3795" s="25">
        <f>IF(J3795&gt;300,1,0)</f>
        <v/>
      </c>
      <c r="O3795" s="25">
        <f>IF(J3795&gt;600,1,0)</f>
        <v/>
      </c>
      <c r="P3795" s="25">
        <f>IF(H3795&gt;0,J3795,"")</f>
        <v/>
      </c>
      <c r="Q3795" s="25">
        <f>TEXT(A3795,"YYYY-MM-DD HH")</f>
        <v/>
      </c>
      <c r="R3795" s="25">
        <f>COUNTIF($Q$2:$Q$5295,Q3795)</f>
        <v/>
      </c>
      <c r="S3795" s="25">
        <f>IF(R3795&lt;=2,"1-2",IF(R3795&lt;=5,"3-5",IF(R3795&lt;=10,"6-10","11+")))</f>
        <v/>
      </c>
    </row>
    <row r="3796">
      <c r="A3796" s="39" t="n">
        <v>46216.40174768519</v>
      </c>
      <c r="B3796" s="25">
        <f>TEXT(A3796,"YYYY-MM")</f>
        <v/>
      </c>
      <c r="C3796" s="25">
        <f>TEXT(A3796,"MMM-YYYY")</f>
        <v/>
      </c>
      <c r="D3796" s="40">
        <f>INT(A3796)-WEEKDAY(A3796,2)+1</f>
        <v/>
      </c>
      <c r="E3796" s="25" t="inlineStr">
        <is>
          <t>ajain</t>
        </is>
      </c>
      <c r="F3796" s="25" t="n">
        <v>119647</v>
      </c>
      <c r="G3796" s="25" t="n">
        <v>1</v>
      </c>
      <c r="H3796" s="25" t="n">
        <v>5</v>
      </c>
      <c r="I3796" s="25" t="inlineStr">
        <is>
          <t>28 second(s)</t>
        </is>
      </c>
      <c r="J3796" s="25">
        <f>IFERROR(VALUE(TRIM(LEFT(I3796,FIND("minute",I3796)-1)))*60,0)+IFERROR(VALUE(SUBSTITUTE(MID(I3796,IFERROR(FIND("and",I3796)+3,1),20),"second(s)","")),0)</f>
        <v/>
      </c>
      <c r="K3796" s="41">
        <f>J3796/60</f>
        <v/>
      </c>
      <c r="L3796" s="41">
        <f>IFERROR(J3796/H3796,"")</f>
        <v/>
      </c>
      <c r="M3796" s="25" t="inlineStr">
        <is>
          <t>2.5.12</t>
        </is>
      </c>
      <c r="N3796" s="25">
        <f>IF(J3796&gt;300,1,0)</f>
        <v/>
      </c>
      <c r="O3796" s="25">
        <f>IF(J3796&gt;600,1,0)</f>
        <v/>
      </c>
      <c r="P3796" s="25">
        <f>IF(H3796&gt;0,J3796,"")</f>
        <v/>
      </c>
      <c r="Q3796" s="25">
        <f>TEXT(A3796,"YYYY-MM-DD HH")</f>
        <v/>
      </c>
      <c r="R3796" s="25">
        <f>COUNTIF($Q$2:$Q$5295,Q3796)</f>
        <v/>
      </c>
      <c r="S3796" s="25">
        <f>IF(R3796&lt;=2,"1-2",IF(R3796&lt;=5,"3-5",IF(R3796&lt;=10,"6-10","11+")))</f>
        <v/>
      </c>
    </row>
    <row r="3797">
      <c r="A3797" s="39" t="n">
        <v>46216.40902777778</v>
      </c>
      <c r="B3797" s="25">
        <f>TEXT(A3797,"YYYY-MM")</f>
        <v/>
      </c>
      <c r="C3797" s="25">
        <f>TEXT(A3797,"MMM-YYYY")</f>
        <v/>
      </c>
      <c r="D3797" s="40">
        <f>INT(A3797)-WEEKDAY(A3797,2)+1</f>
        <v/>
      </c>
      <c r="E3797" s="25" t="inlineStr">
        <is>
          <t>shassan</t>
        </is>
      </c>
      <c r="F3797" s="25" t="n">
        <v>130746</v>
      </c>
      <c r="G3797" s="25" t="n">
        <v>2</v>
      </c>
      <c r="H3797" s="25" t="n">
        <v>10</v>
      </c>
      <c r="I3797" s="25" t="inlineStr">
        <is>
          <t>1 minute(s) and 51 second(s)</t>
        </is>
      </c>
      <c r="J3797" s="25">
        <f>IFERROR(VALUE(TRIM(LEFT(I3797,FIND("minute",I3797)-1)))*60,0)+IFERROR(VALUE(SUBSTITUTE(MID(I3797,IFERROR(FIND("and",I3797)+3,1),20),"second(s)","")),0)</f>
        <v/>
      </c>
      <c r="K3797" s="41">
        <f>J3797/60</f>
        <v/>
      </c>
      <c r="L3797" s="41">
        <f>IFERROR(J3797/H3797,"")</f>
        <v/>
      </c>
      <c r="M3797" s="25" t="inlineStr">
        <is>
          <t>2.5.12</t>
        </is>
      </c>
      <c r="N3797" s="25">
        <f>IF(J3797&gt;300,1,0)</f>
        <v/>
      </c>
      <c r="O3797" s="25">
        <f>IF(J3797&gt;600,1,0)</f>
        <v/>
      </c>
      <c r="P3797" s="25">
        <f>IF(H3797&gt;0,J3797,"")</f>
        <v/>
      </c>
      <c r="Q3797" s="25">
        <f>TEXT(A3797,"YYYY-MM-DD HH")</f>
        <v/>
      </c>
      <c r="R3797" s="25">
        <f>COUNTIF($Q$2:$Q$5295,Q3797)</f>
        <v/>
      </c>
      <c r="S3797" s="25">
        <f>IF(R3797&lt;=2,"1-2",IF(R3797&lt;=5,"3-5",IF(R3797&lt;=10,"6-10","11+")))</f>
        <v/>
      </c>
    </row>
    <row r="3798">
      <c r="A3798" s="39" t="n">
        <v>46216.40988425926</v>
      </c>
      <c r="B3798" s="25">
        <f>TEXT(A3798,"YYYY-MM")</f>
        <v/>
      </c>
      <c r="C3798" s="25">
        <f>TEXT(A3798,"MMM-YYYY")</f>
        <v/>
      </c>
      <c r="D3798" s="40">
        <f>INT(A3798)-WEEKDAY(A3798,2)+1</f>
        <v/>
      </c>
      <c r="E3798" s="25" t="inlineStr">
        <is>
          <t>bverma</t>
        </is>
      </c>
      <c r="F3798" s="25" t="n">
        <v>132471</v>
      </c>
      <c r="G3798" s="25" t="n">
        <v>2</v>
      </c>
      <c r="H3798" s="25" t="n">
        <v>10</v>
      </c>
      <c r="I3798" s="25" t="inlineStr">
        <is>
          <t>6 minute(s) and 41 second(s)</t>
        </is>
      </c>
      <c r="J3798" s="25">
        <f>IFERROR(VALUE(TRIM(LEFT(I3798,FIND("minute",I3798)-1)))*60,0)+IFERROR(VALUE(SUBSTITUTE(MID(I3798,IFERROR(FIND("and",I3798)+3,1),20),"second(s)","")),0)</f>
        <v/>
      </c>
      <c r="K3798" s="41">
        <f>J3798/60</f>
        <v/>
      </c>
      <c r="L3798" s="41">
        <f>IFERROR(J3798/H3798,"")</f>
        <v/>
      </c>
      <c r="M3798" s="25" t="inlineStr">
        <is>
          <t>2.5.12</t>
        </is>
      </c>
      <c r="N3798" s="25">
        <f>IF(J3798&gt;300,1,0)</f>
        <v/>
      </c>
      <c r="O3798" s="25">
        <f>IF(J3798&gt;600,1,0)</f>
        <v/>
      </c>
      <c r="P3798" s="25">
        <f>IF(H3798&gt;0,J3798,"")</f>
        <v/>
      </c>
      <c r="Q3798" s="25">
        <f>TEXT(A3798,"YYYY-MM-DD HH")</f>
        <v/>
      </c>
      <c r="R3798" s="25">
        <f>COUNTIF($Q$2:$Q$5295,Q3798)</f>
        <v/>
      </c>
      <c r="S3798" s="25">
        <f>IF(R3798&lt;=2,"1-2",IF(R3798&lt;=5,"3-5",IF(R3798&lt;=10,"6-10","11+")))</f>
        <v/>
      </c>
    </row>
    <row r="3799">
      <c r="A3799" s="39" t="n">
        <v>46216.42008101852</v>
      </c>
      <c r="B3799" s="25">
        <f>TEXT(A3799,"YYYY-MM")</f>
        <v/>
      </c>
      <c r="C3799" s="25">
        <f>TEXT(A3799,"MMM-YYYY")</f>
        <v/>
      </c>
      <c r="D3799" s="40">
        <f>INT(A3799)-WEEKDAY(A3799,2)+1</f>
        <v/>
      </c>
      <c r="E3799" s="25" t="inlineStr">
        <is>
          <t>ssrinivasan</t>
        </is>
      </c>
      <c r="F3799" s="25" t="n">
        <v>129707</v>
      </c>
      <c r="G3799" s="25" t="n">
        <v>2</v>
      </c>
      <c r="H3799" s="25" t="n">
        <v>10</v>
      </c>
      <c r="I3799" s="25" t="inlineStr">
        <is>
          <t>49 second(s)</t>
        </is>
      </c>
      <c r="J3799" s="25">
        <f>IFERROR(VALUE(TRIM(LEFT(I3799,FIND("minute",I3799)-1)))*60,0)+IFERROR(VALUE(SUBSTITUTE(MID(I3799,IFERROR(FIND("and",I3799)+3,1),20),"second(s)","")),0)</f>
        <v/>
      </c>
      <c r="K3799" s="41">
        <f>J3799/60</f>
        <v/>
      </c>
      <c r="L3799" s="41">
        <f>IFERROR(J3799/H3799,"")</f>
        <v/>
      </c>
      <c r="M3799" s="25" t="inlineStr">
        <is>
          <t>2.5.12</t>
        </is>
      </c>
      <c r="N3799" s="25">
        <f>IF(J3799&gt;300,1,0)</f>
        <v/>
      </c>
      <c r="O3799" s="25">
        <f>IF(J3799&gt;600,1,0)</f>
        <v/>
      </c>
      <c r="P3799" s="25">
        <f>IF(H3799&gt;0,J3799,"")</f>
        <v/>
      </c>
      <c r="Q3799" s="25">
        <f>TEXT(A3799,"YYYY-MM-DD HH")</f>
        <v/>
      </c>
      <c r="R3799" s="25">
        <f>COUNTIF($Q$2:$Q$5295,Q3799)</f>
        <v/>
      </c>
      <c r="S3799" s="25">
        <f>IF(R3799&lt;=2,"1-2",IF(R3799&lt;=5,"3-5",IF(R3799&lt;=10,"6-10","11+")))</f>
        <v/>
      </c>
    </row>
    <row r="3800">
      <c r="A3800" s="39" t="n">
        <v>46216.43186342593</v>
      </c>
      <c r="B3800" s="25">
        <f>TEXT(A3800,"YYYY-MM")</f>
        <v/>
      </c>
      <c r="C3800" s="25">
        <f>TEXT(A3800,"MMM-YYYY")</f>
        <v/>
      </c>
      <c r="D3800" s="40">
        <f>INT(A3800)-WEEKDAY(A3800,2)+1</f>
        <v/>
      </c>
      <c r="E3800" s="25" t="inlineStr">
        <is>
          <t>aghosh</t>
        </is>
      </c>
      <c r="F3800" s="25" t="n">
        <v>128963</v>
      </c>
      <c r="G3800" s="25" t="n">
        <v>2</v>
      </c>
      <c r="H3800" s="25" t="n">
        <v>10</v>
      </c>
      <c r="I3800" s="25" t="inlineStr">
        <is>
          <t>51 second(s)</t>
        </is>
      </c>
      <c r="J3800" s="25">
        <f>IFERROR(VALUE(TRIM(LEFT(I3800,FIND("minute",I3800)-1)))*60,0)+IFERROR(VALUE(SUBSTITUTE(MID(I3800,IFERROR(FIND("and",I3800)+3,1),20),"second(s)","")),0)</f>
        <v/>
      </c>
      <c r="K3800" s="41">
        <f>J3800/60</f>
        <v/>
      </c>
      <c r="L3800" s="41">
        <f>IFERROR(J3800/H3800,"")</f>
        <v/>
      </c>
      <c r="M3800" s="25" t="inlineStr">
        <is>
          <t>2.5.12</t>
        </is>
      </c>
      <c r="N3800" s="25">
        <f>IF(J3800&gt;300,1,0)</f>
        <v/>
      </c>
      <c r="O3800" s="25">
        <f>IF(J3800&gt;600,1,0)</f>
        <v/>
      </c>
      <c r="P3800" s="25">
        <f>IF(H3800&gt;0,J3800,"")</f>
        <v/>
      </c>
      <c r="Q3800" s="25">
        <f>TEXT(A3800,"YYYY-MM-DD HH")</f>
        <v/>
      </c>
      <c r="R3800" s="25">
        <f>COUNTIF($Q$2:$Q$5295,Q3800)</f>
        <v/>
      </c>
      <c r="S3800" s="25">
        <f>IF(R3800&lt;=2,"1-2",IF(R3800&lt;=5,"3-5",IF(R3800&lt;=10,"6-10","11+")))</f>
        <v/>
      </c>
    </row>
    <row r="3801">
      <c r="A3801" s="39" t="n">
        <v>46216.43392361111</v>
      </c>
      <c r="B3801" s="25">
        <f>TEXT(A3801,"YYYY-MM")</f>
        <v/>
      </c>
      <c r="C3801" s="25">
        <f>TEXT(A3801,"MMM-YYYY")</f>
        <v/>
      </c>
      <c r="D3801" s="40">
        <f>INT(A3801)-WEEKDAY(A3801,2)+1</f>
        <v/>
      </c>
      <c r="E3801" s="25" t="inlineStr">
        <is>
          <t>asahoo</t>
        </is>
      </c>
      <c r="F3801" s="25" t="n">
        <v>131526</v>
      </c>
      <c r="G3801" s="25" t="n">
        <v>4</v>
      </c>
      <c r="H3801" s="25" t="n">
        <v>24</v>
      </c>
      <c r="I3801" s="25" t="inlineStr">
        <is>
          <t>3 minute(s) and 4 second(s)</t>
        </is>
      </c>
      <c r="J3801" s="25">
        <f>IFERROR(VALUE(TRIM(LEFT(I3801,FIND("minute",I3801)-1)))*60,0)+IFERROR(VALUE(SUBSTITUTE(MID(I3801,IFERROR(FIND("and",I3801)+3,1),20),"second(s)","")),0)</f>
        <v/>
      </c>
      <c r="K3801" s="41">
        <f>J3801/60</f>
        <v/>
      </c>
      <c r="L3801" s="41">
        <f>IFERROR(J3801/H3801,"")</f>
        <v/>
      </c>
      <c r="M3801" s="25" t="inlineStr">
        <is>
          <t>2.5.12</t>
        </is>
      </c>
      <c r="N3801" s="25">
        <f>IF(J3801&gt;300,1,0)</f>
        <v/>
      </c>
      <c r="O3801" s="25">
        <f>IF(J3801&gt;600,1,0)</f>
        <v/>
      </c>
      <c r="P3801" s="25">
        <f>IF(H3801&gt;0,J3801,"")</f>
        <v/>
      </c>
      <c r="Q3801" s="25">
        <f>TEXT(A3801,"YYYY-MM-DD HH")</f>
        <v/>
      </c>
      <c r="R3801" s="25">
        <f>COUNTIF($Q$2:$Q$5295,Q3801)</f>
        <v/>
      </c>
      <c r="S3801" s="25">
        <f>IF(R3801&lt;=2,"1-2",IF(R3801&lt;=5,"3-5",IF(R3801&lt;=10,"6-10","11+")))</f>
        <v/>
      </c>
    </row>
    <row r="3802">
      <c r="A3802" s="39" t="n">
        <v>46216.45321759259</v>
      </c>
      <c r="B3802" s="25">
        <f>TEXT(A3802,"YYYY-MM")</f>
        <v/>
      </c>
      <c r="C3802" s="25">
        <f>TEXT(A3802,"MMM-YYYY")</f>
        <v/>
      </c>
      <c r="D3802" s="40">
        <f>INT(A3802)-WEEKDAY(A3802,2)+1</f>
        <v/>
      </c>
      <c r="E3802" s="25" t="inlineStr">
        <is>
          <t>dchoudhury</t>
        </is>
      </c>
      <c r="F3802" s="25" t="n">
        <v>129120</v>
      </c>
      <c r="G3802" s="25" t="n">
        <v>3</v>
      </c>
      <c r="H3802" s="25" t="n">
        <v>11</v>
      </c>
      <c r="I3802" s="25" t="inlineStr">
        <is>
          <t>1 minute(s) and 58 second(s)</t>
        </is>
      </c>
      <c r="J3802" s="25">
        <f>IFERROR(VALUE(TRIM(LEFT(I3802,FIND("minute",I3802)-1)))*60,0)+IFERROR(VALUE(SUBSTITUTE(MID(I3802,IFERROR(FIND("and",I3802)+3,1),20),"second(s)","")),0)</f>
        <v/>
      </c>
      <c r="K3802" s="41">
        <f>J3802/60</f>
        <v/>
      </c>
      <c r="L3802" s="41">
        <f>IFERROR(J3802/H3802,"")</f>
        <v/>
      </c>
      <c r="M3802" s="25" t="inlineStr">
        <is>
          <t>2.5.12</t>
        </is>
      </c>
      <c r="N3802" s="25">
        <f>IF(J3802&gt;300,1,0)</f>
        <v/>
      </c>
      <c r="O3802" s="25">
        <f>IF(J3802&gt;600,1,0)</f>
        <v/>
      </c>
      <c r="P3802" s="25">
        <f>IF(H3802&gt;0,J3802,"")</f>
        <v/>
      </c>
      <c r="Q3802" s="25">
        <f>TEXT(A3802,"YYYY-MM-DD HH")</f>
        <v/>
      </c>
      <c r="R3802" s="25">
        <f>COUNTIF($Q$2:$Q$5295,Q3802)</f>
        <v/>
      </c>
      <c r="S3802" s="25">
        <f>IF(R3802&lt;=2,"1-2",IF(R3802&lt;=5,"3-5",IF(R3802&lt;=10,"6-10","11+")))</f>
        <v/>
      </c>
    </row>
    <row r="3803">
      <c r="A3803" s="39" t="n">
        <v>46216.45559027778</v>
      </c>
      <c r="B3803" s="25">
        <f>TEXT(A3803,"YYYY-MM")</f>
        <v/>
      </c>
      <c r="C3803" s="25">
        <f>TEXT(A3803,"MMM-YYYY")</f>
        <v/>
      </c>
      <c r="D3803" s="40">
        <f>INT(A3803)-WEEKDAY(A3803,2)+1</f>
        <v/>
      </c>
      <c r="E3803" s="25" t="inlineStr">
        <is>
          <t>tkarmakar</t>
        </is>
      </c>
      <c r="F3803" s="25" t="n">
        <v>128574</v>
      </c>
      <c r="G3803" s="25" t="n">
        <v>1</v>
      </c>
      <c r="H3803" s="25" t="n">
        <v>7</v>
      </c>
      <c r="I3803" s="25" t="inlineStr">
        <is>
          <t>42 second(s)</t>
        </is>
      </c>
      <c r="J3803" s="25">
        <f>IFERROR(VALUE(TRIM(LEFT(I3803,FIND("minute",I3803)-1)))*60,0)+IFERROR(VALUE(SUBSTITUTE(MID(I3803,IFERROR(FIND("and",I3803)+3,1),20),"second(s)","")),0)</f>
        <v/>
      </c>
      <c r="K3803" s="41">
        <f>J3803/60</f>
        <v/>
      </c>
      <c r="L3803" s="41">
        <f>IFERROR(J3803/H3803,"")</f>
        <v/>
      </c>
      <c r="M3803" s="25" t="inlineStr">
        <is>
          <t>2.5.12</t>
        </is>
      </c>
      <c r="N3803" s="25">
        <f>IF(J3803&gt;300,1,0)</f>
        <v/>
      </c>
      <c r="O3803" s="25">
        <f>IF(J3803&gt;600,1,0)</f>
        <v/>
      </c>
      <c r="P3803" s="25">
        <f>IF(H3803&gt;0,J3803,"")</f>
        <v/>
      </c>
      <c r="Q3803" s="25">
        <f>TEXT(A3803,"YYYY-MM-DD HH")</f>
        <v/>
      </c>
      <c r="R3803" s="25">
        <f>COUNTIF($Q$2:$Q$5295,Q3803)</f>
        <v/>
      </c>
      <c r="S3803" s="25">
        <f>IF(R3803&lt;=2,"1-2",IF(R3803&lt;=5,"3-5",IF(R3803&lt;=10,"6-10","11+")))</f>
        <v/>
      </c>
    </row>
    <row r="3804">
      <c r="A3804" s="39" t="n">
        <v>46216.45567129629</v>
      </c>
      <c r="B3804" s="25">
        <f>TEXT(A3804,"YYYY-MM")</f>
        <v/>
      </c>
      <c r="C3804" s="25">
        <f>TEXT(A3804,"MMM-YYYY")</f>
        <v/>
      </c>
      <c r="D3804" s="40">
        <f>INT(A3804)-WEEKDAY(A3804,2)+1</f>
        <v/>
      </c>
      <c r="E3804" s="25" t="inlineStr">
        <is>
          <t>psathwika</t>
        </is>
      </c>
      <c r="F3804" s="25" t="n">
        <v>131883</v>
      </c>
      <c r="G3804" s="25" t="n">
        <v>1</v>
      </c>
      <c r="H3804" s="25" t="n">
        <v>8</v>
      </c>
      <c r="I3804" s="25" t="inlineStr">
        <is>
          <t>46 second(s)</t>
        </is>
      </c>
      <c r="J3804" s="25">
        <f>IFERROR(VALUE(TRIM(LEFT(I3804,FIND("minute",I3804)-1)))*60,0)+IFERROR(VALUE(SUBSTITUTE(MID(I3804,IFERROR(FIND("and",I3804)+3,1),20),"second(s)","")),0)</f>
        <v/>
      </c>
      <c r="K3804" s="41">
        <f>J3804/60</f>
        <v/>
      </c>
      <c r="L3804" s="41">
        <f>IFERROR(J3804/H3804,"")</f>
        <v/>
      </c>
      <c r="M3804" s="25" t="inlineStr">
        <is>
          <t>2.5.12</t>
        </is>
      </c>
      <c r="N3804" s="25">
        <f>IF(J3804&gt;300,1,0)</f>
        <v/>
      </c>
      <c r="O3804" s="25">
        <f>IF(J3804&gt;600,1,0)</f>
        <v/>
      </c>
      <c r="P3804" s="25">
        <f>IF(H3804&gt;0,J3804,"")</f>
        <v/>
      </c>
      <c r="Q3804" s="25">
        <f>TEXT(A3804,"YYYY-MM-DD HH")</f>
        <v/>
      </c>
      <c r="R3804" s="25">
        <f>COUNTIF($Q$2:$Q$5295,Q3804)</f>
        <v/>
      </c>
      <c r="S3804" s="25">
        <f>IF(R3804&lt;=2,"1-2",IF(R3804&lt;=5,"3-5",IF(R3804&lt;=10,"6-10","11+")))</f>
        <v/>
      </c>
    </row>
    <row r="3805">
      <c r="A3805" s="39" t="n">
        <v>46216.45681712963</v>
      </c>
      <c r="B3805" s="25">
        <f>TEXT(A3805,"YYYY-MM")</f>
        <v/>
      </c>
      <c r="C3805" s="25">
        <f>TEXT(A3805,"MMM-YYYY")</f>
        <v/>
      </c>
      <c r="D3805" s="40">
        <f>INT(A3805)-WEEKDAY(A3805,2)+1</f>
        <v/>
      </c>
      <c r="E3805" s="25" t="inlineStr">
        <is>
          <t>npriya</t>
        </is>
      </c>
      <c r="F3805" s="25" t="n">
        <v>132728</v>
      </c>
      <c r="G3805" s="25" t="n">
        <v>4</v>
      </c>
      <c r="H3805" s="25" t="n">
        <v>26</v>
      </c>
      <c r="I3805" s="25" t="inlineStr">
        <is>
          <t>2 minute(s) and 46 second(s)</t>
        </is>
      </c>
      <c r="J3805" s="25">
        <f>IFERROR(VALUE(TRIM(LEFT(I3805,FIND("minute",I3805)-1)))*60,0)+IFERROR(VALUE(SUBSTITUTE(MID(I3805,IFERROR(FIND("and",I3805)+3,1),20),"second(s)","")),0)</f>
        <v/>
      </c>
      <c r="K3805" s="41">
        <f>J3805/60</f>
        <v/>
      </c>
      <c r="L3805" s="41">
        <f>IFERROR(J3805/H3805,"")</f>
        <v/>
      </c>
      <c r="M3805" s="25" t="inlineStr">
        <is>
          <t>2.5.12</t>
        </is>
      </c>
      <c r="N3805" s="25">
        <f>IF(J3805&gt;300,1,0)</f>
        <v/>
      </c>
      <c r="O3805" s="25">
        <f>IF(J3805&gt;600,1,0)</f>
        <v/>
      </c>
      <c r="P3805" s="25">
        <f>IF(H3805&gt;0,J3805,"")</f>
        <v/>
      </c>
      <c r="Q3805" s="25">
        <f>TEXT(A3805,"YYYY-MM-DD HH")</f>
        <v/>
      </c>
      <c r="R3805" s="25">
        <f>COUNTIF($Q$2:$Q$5295,Q3805)</f>
        <v/>
      </c>
      <c r="S3805" s="25">
        <f>IF(R3805&lt;=2,"1-2",IF(R3805&lt;=5,"3-5",IF(R3805&lt;=10,"6-10","11+")))</f>
        <v/>
      </c>
    </row>
    <row r="3806">
      <c r="A3806" s="39" t="n">
        <v>46216.49309027778</v>
      </c>
      <c r="B3806" s="25">
        <f>TEXT(A3806,"YYYY-MM")</f>
        <v/>
      </c>
      <c r="C3806" s="25">
        <f>TEXT(A3806,"MMM-YYYY")</f>
        <v/>
      </c>
      <c r="D3806" s="40">
        <f>INT(A3806)-WEEKDAY(A3806,2)+1</f>
        <v/>
      </c>
      <c r="E3806" s="25" t="inlineStr">
        <is>
          <t>asahoo</t>
        </is>
      </c>
      <c r="F3806" s="25" t="n">
        <v>128621</v>
      </c>
      <c r="G3806" s="25" t="n">
        <v>2</v>
      </c>
      <c r="H3806" s="25" t="n">
        <v>8</v>
      </c>
      <c r="I3806" s="25" t="inlineStr">
        <is>
          <t>1 minute(s) and 43 second(s)</t>
        </is>
      </c>
      <c r="J3806" s="25">
        <f>IFERROR(VALUE(TRIM(LEFT(I3806,FIND("minute",I3806)-1)))*60,0)+IFERROR(VALUE(SUBSTITUTE(MID(I3806,IFERROR(FIND("and",I3806)+3,1),20),"second(s)","")),0)</f>
        <v/>
      </c>
      <c r="K3806" s="41">
        <f>J3806/60</f>
        <v/>
      </c>
      <c r="L3806" s="41">
        <f>IFERROR(J3806/H3806,"")</f>
        <v/>
      </c>
      <c r="M3806" s="25" t="inlineStr">
        <is>
          <t>2.5.12</t>
        </is>
      </c>
      <c r="N3806" s="25">
        <f>IF(J3806&gt;300,1,0)</f>
        <v/>
      </c>
      <c r="O3806" s="25">
        <f>IF(J3806&gt;600,1,0)</f>
        <v/>
      </c>
      <c r="P3806" s="25">
        <f>IF(H3806&gt;0,J3806,"")</f>
        <v/>
      </c>
      <c r="Q3806" s="25">
        <f>TEXT(A3806,"YYYY-MM-DD HH")</f>
        <v/>
      </c>
      <c r="R3806" s="25">
        <f>COUNTIF($Q$2:$Q$5295,Q3806)</f>
        <v/>
      </c>
      <c r="S3806" s="25">
        <f>IF(R3806&lt;=2,"1-2",IF(R3806&lt;=5,"3-5",IF(R3806&lt;=10,"6-10","11+")))</f>
        <v/>
      </c>
    </row>
    <row r="3807">
      <c r="A3807" s="39" t="n">
        <v>46216.53322916666</v>
      </c>
      <c r="B3807" s="25">
        <f>TEXT(A3807,"YYYY-MM")</f>
        <v/>
      </c>
      <c r="C3807" s="25">
        <f>TEXT(A3807,"MMM-YYYY")</f>
        <v/>
      </c>
      <c r="D3807" s="40">
        <f>INT(A3807)-WEEKDAY(A3807,2)+1</f>
        <v/>
      </c>
      <c r="E3807" s="25" t="inlineStr">
        <is>
          <t>emishra</t>
        </is>
      </c>
      <c r="F3807" s="25" t="n">
        <v>128936</v>
      </c>
      <c r="G3807" s="25" t="n">
        <v>1</v>
      </c>
      <c r="H3807" s="25" t="n">
        <v>7</v>
      </c>
      <c r="I3807" s="25" t="inlineStr">
        <is>
          <t>30 second(s)</t>
        </is>
      </c>
      <c r="J3807" s="25">
        <f>IFERROR(VALUE(TRIM(LEFT(I3807,FIND("minute",I3807)-1)))*60,0)+IFERROR(VALUE(SUBSTITUTE(MID(I3807,IFERROR(FIND("and",I3807)+3,1),20),"second(s)","")),0)</f>
        <v/>
      </c>
      <c r="K3807" s="41">
        <f>J3807/60</f>
        <v/>
      </c>
      <c r="L3807" s="41">
        <f>IFERROR(J3807/H3807,"")</f>
        <v/>
      </c>
      <c r="M3807" s="25" t="inlineStr">
        <is>
          <t>2.5.12</t>
        </is>
      </c>
      <c r="N3807" s="25">
        <f>IF(J3807&gt;300,1,0)</f>
        <v/>
      </c>
      <c r="O3807" s="25">
        <f>IF(J3807&gt;600,1,0)</f>
        <v/>
      </c>
      <c r="P3807" s="25">
        <f>IF(H3807&gt;0,J3807,"")</f>
        <v/>
      </c>
      <c r="Q3807" s="25">
        <f>TEXT(A3807,"YYYY-MM-DD HH")</f>
        <v/>
      </c>
      <c r="R3807" s="25">
        <f>COUNTIF($Q$2:$Q$5295,Q3807)</f>
        <v/>
      </c>
      <c r="S3807" s="25">
        <f>IF(R3807&lt;=2,"1-2",IF(R3807&lt;=5,"3-5",IF(R3807&lt;=10,"6-10","11+")))</f>
        <v/>
      </c>
    </row>
    <row r="3808">
      <c r="A3808" s="39" t="n">
        <v>46216.55912037037</v>
      </c>
      <c r="B3808" s="25">
        <f>TEXT(A3808,"YYYY-MM")</f>
        <v/>
      </c>
      <c r="C3808" s="25">
        <f>TEXT(A3808,"MMM-YYYY")</f>
        <v/>
      </c>
      <c r="D3808" s="40">
        <f>INT(A3808)-WEEKDAY(A3808,2)+1</f>
        <v/>
      </c>
      <c r="E3808" s="25" t="inlineStr">
        <is>
          <t>emishra</t>
        </is>
      </c>
      <c r="F3808" s="25" t="n">
        <v>128775</v>
      </c>
      <c r="G3808" s="25" t="n">
        <v>2</v>
      </c>
      <c r="H3808" s="25" t="n">
        <v>10</v>
      </c>
      <c r="I3808" s="25" t="inlineStr">
        <is>
          <t>47 second(s)</t>
        </is>
      </c>
      <c r="J3808" s="25">
        <f>IFERROR(VALUE(TRIM(LEFT(I3808,FIND("minute",I3808)-1)))*60,0)+IFERROR(VALUE(SUBSTITUTE(MID(I3808,IFERROR(FIND("and",I3808)+3,1),20),"second(s)","")),0)</f>
        <v/>
      </c>
      <c r="K3808" s="41">
        <f>J3808/60</f>
        <v/>
      </c>
      <c r="L3808" s="41">
        <f>IFERROR(J3808/H3808,"")</f>
        <v/>
      </c>
      <c r="M3808" s="25" t="inlineStr">
        <is>
          <t>2.5.12</t>
        </is>
      </c>
      <c r="N3808" s="25">
        <f>IF(J3808&gt;300,1,0)</f>
        <v/>
      </c>
      <c r="O3808" s="25">
        <f>IF(J3808&gt;600,1,0)</f>
        <v/>
      </c>
      <c r="P3808" s="25">
        <f>IF(H3808&gt;0,J3808,"")</f>
        <v/>
      </c>
      <c r="Q3808" s="25">
        <f>TEXT(A3808,"YYYY-MM-DD HH")</f>
        <v/>
      </c>
      <c r="R3808" s="25">
        <f>COUNTIF($Q$2:$Q$5295,Q3808)</f>
        <v/>
      </c>
      <c r="S3808" s="25">
        <f>IF(R3808&lt;=2,"1-2",IF(R3808&lt;=5,"3-5",IF(R3808&lt;=10,"6-10","11+")))</f>
        <v/>
      </c>
    </row>
    <row r="3809">
      <c r="A3809" s="39" t="n">
        <v>46216.57315972223</v>
      </c>
      <c r="B3809" s="25">
        <f>TEXT(A3809,"YYYY-MM")</f>
        <v/>
      </c>
      <c r="C3809" s="25">
        <f>TEXT(A3809,"MMM-YYYY")</f>
        <v/>
      </c>
      <c r="D3809" s="40">
        <f>INT(A3809)-WEEKDAY(A3809,2)+1</f>
        <v/>
      </c>
      <c r="E3809" s="25" t="inlineStr">
        <is>
          <t>mbhalla</t>
        </is>
      </c>
      <c r="F3809" s="25" t="n">
        <v>132591</v>
      </c>
      <c r="G3809" s="25" t="n">
        <v>2</v>
      </c>
      <c r="H3809" s="25" t="n">
        <v>14</v>
      </c>
      <c r="I3809" s="25" t="inlineStr">
        <is>
          <t>2 minute(s) and 9 second(s)</t>
        </is>
      </c>
      <c r="J3809" s="25">
        <f>IFERROR(VALUE(TRIM(LEFT(I3809,FIND("minute",I3809)-1)))*60,0)+IFERROR(VALUE(SUBSTITUTE(MID(I3809,IFERROR(FIND("and",I3809)+3,1),20),"second(s)","")),0)</f>
        <v/>
      </c>
      <c r="K3809" s="41">
        <f>J3809/60</f>
        <v/>
      </c>
      <c r="L3809" s="41">
        <f>IFERROR(J3809/H3809,"")</f>
        <v/>
      </c>
      <c r="M3809" s="25" t="inlineStr">
        <is>
          <t>2.5.12</t>
        </is>
      </c>
      <c r="N3809" s="25">
        <f>IF(J3809&gt;300,1,0)</f>
        <v/>
      </c>
      <c r="O3809" s="25">
        <f>IF(J3809&gt;600,1,0)</f>
        <v/>
      </c>
      <c r="P3809" s="25">
        <f>IF(H3809&gt;0,J3809,"")</f>
        <v/>
      </c>
      <c r="Q3809" s="25">
        <f>TEXT(A3809,"YYYY-MM-DD HH")</f>
        <v/>
      </c>
      <c r="R3809" s="25">
        <f>COUNTIF($Q$2:$Q$5295,Q3809)</f>
        <v/>
      </c>
      <c r="S3809" s="25">
        <f>IF(R3809&lt;=2,"1-2",IF(R3809&lt;=5,"3-5",IF(R3809&lt;=10,"6-10","11+")))</f>
        <v/>
      </c>
    </row>
    <row r="3810">
      <c r="A3810" s="39" t="n">
        <v>46216.61792824074</v>
      </c>
      <c r="B3810" s="25">
        <f>TEXT(A3810,"YYYY-MM")</f>
        <v/>
      </c>
      <c r="C3810" s="25">
        <f>TEXT(A3810,"MMM-YYYY")</f>
        <v/>
      </c>
      <c r="D3810" s="40">
        <f>INT(A3810)-WEEKDAY(A3810,2)+1</f>
        <v/>
      </c>
      <c r="E3810" s="25" t="inlineStr">
        <is>
          <t>psingh</t>
        </is>
      </c>
      <c r="F3810" s="25" t="n">
        <v>129774</v>
      </c>
      <c r="G3810" s="25" t="n">
        <v>1</v>
      </c>
      <c r="H3810" s="25" t="n">
        <v>7</v>
      </c>
      <c r="I3810" s="25" t="inlineStr">
        <is>
          <t>34 second(s)</t>
        </is>
      </c>
      <c r="J3810" s="25">
        <f>IFERROR(VALUE(TRIM(LEFT(I3810,FIND("minute",I3810)-1)))*60,0)+IFERROR(VALUE(SUBSTITUTE(MID(I3810,IFERROR(FIND("and",I3810)+3,1),20),"second(s)","")),0)</f>
        <v/>
      </c>
      <c r="K3810" s="41">
        <f>J3810/60</f>
        <v/>
      </c>
      <c r="L3810" s="41">
        <f>IFERROR(J3810/H3810,"")</f>
        <v/>
      </c>
      <c r="M3810" s="25" t="inlineStr">
        <is>
          <t>2.5.12</t>
        </is>
      </c>
      <c r="N3810" s="25">
        <f>IF(J3810&gt;300,1,0)</f>
        <v/>
      </c>
      <c r="O3810" s="25">
        <f>IF(J3810&gt;600,1,0)</f>
        <v/>
      </c>
      <c r="P3810" s="25">
        <f>IF(H3810&gt;0,J3810,"")</f>
        <v/>
      </c>
      <c r="Q3810" s="25">
        <f>TEXT(A3810,"YYYY-MM-DD HH")</f>
        <v/>
      </c>
      <c r="R3810" s="25">
        <f>COUNTIF($Q$2:$Q$5295,Q3810)</f>
        <v/>
      </c>
      <c r="S3810" s="25">
        <f>IF(R3810&lt;=2,"1-2",IF(R3810&lt;=5,"3-5",IF(R3810&lt;=10,"6-10","11+")))</f>
        <v/>
      </c>
    </row>
    <row r="3811">
      <c r="A3811" s="39" t="n">
        <v>46216.62349537037</v>
      </c>
      <c r="B3811" s="25">
        <f>TEXT(A3811,"YYYY-MM")</f>
        <v/>
      </c>
      <c r="C3811" s="25">
        <f>TEXT(A3811,"MMM-YYYY")</f>
        <v/>
      </c>
      <c r="D3811" s="40">
        <f>INT(A3811)-WEEKDAY(A3811,2)+1</f>
        <v/>
      </c>
      <c r="E3811" s="25" t="inlineStr">
        <is>
          <t>hsindwani</t>
        </is>
      </c>
      <c r="F3811" s="25" t="n">
        <v>131620</v>
      </c>
      <c r="G3811" s="25" t="n">
        <v>1</v>
      </c>
      <c r="H3811" s="25" t="n">
        <v>7</v>
      </c>
      <c r="I3811" s="25" t="inlineStr">
        <is>
          <t>1 minute(s) and 30 second(s)</t>
        </is>
      </c>
      <c r="J3811" s="25">
        <f>IFERROR(VALUE(TRIM(LEFT(I3811,FIND("minute",I3811)-1)))*60,0)+IFERROR(VALUE(SUBSTITUTE(MID(I3811,IFERROR(FIND("and",I3811)+3,1),20),"second(s)","")),0)</f>
        <v/>
      </c>
      <c r="K3811" s="41">
        <f>J3811/60</f>
        <v/>
      </c>
      <c r="L3811" s="41">
        <f>IFERROR(J3811/H3811,"")</f>
        <v/>
      </c>
      <c r="M3811" s="25" t="inlineStr">
        <is>
          <t>2.5.12</t>
        </is>
      </c>
      <c r="N3811" s="25">
        <f>IF(J3811&gt;300,1,0)</f>
        <v/>
      </c>
      <c r="O3811" s="25">
        <f>IF(J3811&gt;600,1,0)</f>
        <v/>
      </c>
      <c r="P3811" s="25">
        <f>IF(H3811&gt;0,J3811,"")</f>
        <v/>
      </c>
      <c r="Q3811" s="25">
        <f>TEXT(A3811,"YYYY-MM-DD HH")</f>
        <v/>
      </c>
      <c r="R3811" s="25">
        <f>COUNTIF($Q$2:$Q$5295,Q3811)</f>
        <v/>
      </c>
      <c r="S3811" s="25">
        <f>IF(R3811&lt;=2,"1-2",IF(R3811&lt;=5,"3-5",IF(R3811&lt;=10,"6-10","11+")))</f>
        <v/>
      </c>
    </row>
    <row r="3812">
      <c r="A3812" s="39" t="n">
        <v>46216.63318287037</v>
      </c>
      <c r="B3812" s="25">
        <f>TEXT(A3812,"YYYY-MM")</f>
        <v/>
      </c>
      <c r="C3812" s="25">
        <f>TEXT(A3812,"MMM-YYYY")</f>
        <v/>
      </c>
      <c r="D3812" s="40">
        <f>INT(A3812)-WEEKDAY(A3812,2)+1</f>
        <v/>
      </c>
      <c r="E3812" s="25" t="inlineStr">
        <is>
          <t>rsingh</t>
        </is>
      </c>
      <c r="F3812" s="25" t="n">
        <v>127879</v>
      </c>
      <c r="G3812" s="25" t="n">
        <v>5</v>
      </c>
      <c r="H3812" s="25" t="n">
        <v>17</v>
      </c>
      <c r="I3812" s="25" t="inlineStr">
        <is>
          <t>3 minute(s) and 47 second(s)</t>
        </is>
      </c>
      <c r="J3812" s="25">
        <f>IFERROR(VALUE(TRIM(LEFT(I3812,FIND("minute",I3812)-1)))*60,0)+IFERROR(VALUE(SUBSTITUTE(MID(I3812,IFERROR(FIND("and",I3812)+3,1),20),"second(s)","")),0)</f>
        <v/>
      </c>
      <c r="K3812" s="41">
        <f>J3812/60</f>
        <v/>
      </c>
      <c r="L3812" s="41">
        <f>IFERROR(J3812/H3812,"")</f>
        <v/>
      </c>
      <c r="M3812" s="25" t="inlineStr">
        <is>
          <t>2.5.12</t>
        </is>
      </c>
      <c r="N3812" s="25">
        <f>IF(J3812&gt;300,1,0)</f>
        <v/>
      </c>
      <c r="O3812" s="25">
        <f>IF(J3812&gt;600,1,0)</f>
        <v/>
      </c>
      <c r="P3812" s="25">
        <f>IF(H3812&gt;0,J3812,"")</f>
        <v/>
      </c>
      <c r="Q3812" s="25">
        <f>TEXT(A3812,"YYYY-MM-DD HH")</f>
        <v/>
      </c>
      <c r="R3812" s="25">
        <f>COUNTIF($Q$2:$Q$5295,Q3812)</f>
        <v/>
      </c>
      <c r="S3812" s="25">
        <f>IF(R3812&lt;=2,"1-2",IF(R3812&lt;=5,"3-5",IF(R3812&lt;=10,"6-10","11+")))</f>
        <v/>
      </c>
    </row>
    <row r="3813">
      <c r="A3813" s="39" t="n">
        <v>46216.68479166667</v>
      </c>
      <c r="B3813" s="25">
        <f>TEXT(A3813,"YYYY-MM")</f>
        <v/>
      </c>
      <c r="C3813" s="25">
        <f>TEXT(A3813,"MMM-YYYY")</f>
        <v/>
      </c>
      <c r="D3813" s="40">
        <f>INT(A3813)-WEEKDAY(A3813,2)+1</f>
        <v/>
      </c>
      <c r="E3813" s="25" t="inlineStr">
        <is>
          <t>rsingh</t>
        </is>
      </c>
      <c r="F3813" s="25" t="n">
        <v>127887</v>
      </c>
      <c r="G3813" s="25" t="n">
        <v>4</v>
      </c>
      <c r="H3813" s="25" t="n">
        <v>22</v>
      </c>
      <c r="I3813" s="25" t="inlineStr">
        <is>
          <t>3 minute(s) and 18 second(s)</t>
        </is>
      </c>
      <c r="J3813" s="25">
        <f>IFERROR(VALUE(TRIM(LEFT(I3813,FIND("minute",I3813)-1)))*60,0)+IFERROR(VALUE(SUBSTITUTE(MID(I3813,IFERROR(FIND("and",I3813)+3,1),20),"second(s)","")),0)</f>
        <v/>
      </c>
      <c r="K3813" s="41">
        <f>J3813/60</f>
        <v/>
      </c>
      <c r="L3813" s="41">
        <f>IFERROR(J3813/H3813,"")</f>
        <v/>
      </c>
      <c r="M3813" s="25" t="inlineStr">
        <is>
          <t>2.5.12</t>
        </is>
      </c>
      <c r="N3813" s="25">
        <f>IF(J3813&gt;300,1,0)</f>
        <v/>
      </c>
      <c r="O3813" s="25">
        <f>IF(J3813&gt;600,1,0)</f>
        <v/>
      </c>
      <c r="P3813" s="25">
        <f>IF(H3813&gt;0,J3813,"")</f>
        <v/>
      </c>
      <c r="Q3813" s="25">
        <f>TEXT(A3813,"YYYY-MM-DD HH")</f>
        <v/>
      </c>
      <c r="R3813" s="25">
        <f>COUNTIF($Q$2:$Q$5295,Q3813)</f>
        <v/>
      </c>
      <c r="S3813" s="25">
        <f>IF(R3813&lt;=2,"1-2",IF(R3813&lt;=5,"3-5",IF(R3813&lt;=10,"6-10","11+")))</f>
        <v/>
      </c>
    </row>
    <row r="3814">
      <c r="A3814" s="39" t="n">
        <v>46216.69486111111</v>
      </c>
      <c r="B3814" s="25">
        <f>TEXT(A3814,"YYYY-MM")</f>
        <v/>
      </c>
      <c r="C3814" s="25">
        <f>TEXT(A3814,"MMM-YYYY")</f>
        <v/>
      </c>
      <c r="D3814" s="40">
        <f>INT(A3814)-WEEKDAY(A3814,2)+1</f>
        <v/>
      </c>
      <c r="E3814" s="25" t="inlineStr">
        <is>
          <t>psingh</t>
        </is>
      </c>
      <c r="F3814" s="25" t="n">
        <v>131916</v>
      </c>
      <c r="G3814" s="25" t="n">
        <v>3</v>
      </c>
      <c r="H3814" s="25" t="n">
        <v>17</v>
      </c>
      <c r="I3814" s="25" t="inlineStr">
        <is>
          <t>1 minute(s) and 16 second(s)</t>
        </is>
      </c>
      <c r="J3814" s="25">
        <f>IFERROR(VALUE(TRIM(LEFT(I3814,FIND("minute",I3814)-1)))*60,0)+IFERROR(VALUE(SUBSTITUTE(MID(I3814,IFERROR(FIND("and",I3814)+3,1),20),"second(s)","")),0)</f>
        <v/>
      </c>
      <c r="K3814" s="41">
        <f>J3814/60</f>
        <v/>
      </c>
      <c r="L3814" s="41">
        <f>IFERROR(J3814/H3814,"")</f>
        <v/>
      </c>
      <c r="M3814" s="25" t="inlineStr">
        <is>
          <t>2.5.12</t>
        </is>
      </c>
      <c r="N3814" s="25">
        <f>IF(J3814&gt;300,1,0)</f>
        <v/>
      </c>
      <c r="O3814" s="25">
        <f>IF(J3814&gt;600,1,0)</f>
        <v/>
      </c>
      <c r="P3814" s="25">
        <f>IF(H3814&gt;0,J3814,"")</f>
        <v/>
      </c>
      <c r="Q3814" s="25">
        <f>TEXT(A3814,"YYYY-MM-DD HH")</f>
        <v/>
      </c>
      <c r="R3814" s="25">
        <f>COUNTIF($Q$2:$Q$5295,Q3814)</f>
        <v/>
      </c>
      <c r="S3814" s="25">
        <f>IF(R3814&lt;=2,"1-2",IF(R3814&lt;=5,"3-5",IF(R3814&lt;=10,"6-10","11+")))</f>
        <v/>
      </c>
    </row>
    <row r="3815">
      <c r="A3815" s="39" t="n">
        <v>46216.70869212963</v>
      </c>
      <c r="B3815" s="25">
        <f>TEXT(A3815,"YYYY-MM")</f>
        <v/>
      </c>
      <c r="C3815" s="25">
        <f>TEXT(A3815,"MMM-YYYY")</f>
        <v/>
      </c>
      <c r="D3815" s="40">
        <f>INT(A3815)-WEEKDAY(A3815,2)+1</f>
        <v/>
      </c>
      <c r="E3815" s="25" t="inlineStr">
        <is>
          <t>ssarkar</t>
        </is>
      </c>
      <c r="F3815" s="25" t="n">
        <v>129044</v>
      </c>
      <c r="G3815" s="25" t="n">
        <v>1</v>
      </c>
      <c r="H3815" s="25" t="n">
        <v>5</v>
      </c>
      <c r="I3815" s="25" t="inlineStr">
        <is>
          <t>21 second(s)</t>
        </is>
      </c>
      <c r="J3815" s="25">
        <f>IFERROR(VALUE(TRIM(LEFT(I3815,FIND("minute",I3815)-1)))*60,0)+IFERROR(VALUE(SUBSTITUTE(MID(I3815,IFERROR(FIND("and",I3815)+3,1),20),"second(s)","")),0)</f>
        <v/>
      </c>
      <c r="K3815" s="41">
        <f>J3815/60</f>
        <v/>
      </c>
      <c r="L3815" s="41">
        <f>IFERROR(J3815/H3815,"")</f>
        <v/>
      </c>
      <c r="M3815" s="25" t="inlineStr">
        <is>
          <t>2.5.12</t>
        </is>
      </c>
      <c r="N3815" s="25">
        <f>IF(J3815&gt;300,1,0)</f>
        <v/>
      </c>
      <c r="O3815" s="25">
        <f>IF(J3815&gt;600,1,0)</f>
        <v/>
      </c>
      <c r="P3815" s="25">
        <f>IF(H3815&gt;0,J3815,"")</f>
        <v/>
      </c>
      <c r="Q3815" s="25">
        <f>TEXT(A3815,"YYYY-MM-DD HH")</f>
        <v/>
      </c>
      <c r="R3815" s="25">
        <f>COUNTIF($Q$2:$Q$5295,Q3815)</f>
        <v/>
      </c>
      <c r="S3815" s="25">
        <f>IF(R3815&lt;=2,"1-2",IF(R3815&lt;=5,"3-5",IF(R3815&lt;=10,"6-10","11+")))</f>
        <v/>
      </c>
    </row>
    <row r="3816">
      <c r="A3816" s="39" t="n">
        <v>46216.72739583333</v>
      </c>
      <c r="B3816" s="25">
        <f>TEXT(A3816,"YYYY-MM")</f>
        <v/>
      </c>
      <c r="C3816" s="25">
        <f>TEXT(A3816,"MMM-YYYY")</f>
        <v/>
      </c>
      <c r="D3816" s="40">
        <f>INT(A3816)-WEEKDAY(A3816,2)+1</f>
        <v/>
      </c>
      <c r="E3816" s="25" t="inlineStr">
        <is>
          <t>hsindwani</t>
        </is>
      </c>
      <c r="F3816" s="25" t="n">
        <v>129103</v>
      </c>
      <c r="G3816" s="25" t="n">
        <v>4</v>
      </c>
      <c r="H3816" s="25" t="n">
        <v>26</v>
      </c>
      <c r="I3816" s="25" t="inlineStr">
        <is>
          <t>6 minute(s) and 1 second(s)</t>
        </is>
      </c>
      <c r="J3816" s="25">
        <f>IFERROR(VALUE(TRIM(LEFT(I3816,FIND("minute",I3816)-1)))*60,0)+IFERROR(VALUE(SUBSTITUTE(MID(I3816,IFERROR(FIND("and",I3816)+3,1),20),"second(s)","")),0)</f>
        <v/>
      </c>
      <c r="K3816" s="41">
        <f>J3816/60</f>
        <v/>
      </c>
      <c r="L3816" s="41">
        <f>IFERROR(J3816/H3816,"")</f>
        <v/>
      </c>
      <c r="M3816" s="25" t="inlineStr">
        <is>
          <t>2.5.12</t>
        </is>
      </c>
      <c r="N3816" s="25">
        <f>IF(J3816&gt;300,1,0)</f>
        <v/>
      </c>
      <c r="O3816" s="25">
        <f>IF(J3816&gt;600,1,0)</f>
        <v/>
      </c>
      <c r="P3816" s="25">
        <f>IF(H3816&gt;0,J3816,"")</f>
        <v/>
      </c>
      <c r="Q3816" s="25">
        <f>TEXT(A3816,"YYYY-MM-DD HH")</f>
        <v/>
      </c>
      <c r="R3816" s="25">
        <f>COUNTIF($Q$2:$Q$5295,Q3816)</f>
        <v/>
      </c>
      <c r="S3816" s="25">
        <f>IF(R3816&lt;=2,"1-2",IF(R3816&lt;=5,"3-5",IF(R3816&lt;=10,"6-10","11+")))</f>
        <v/>
      </c>
    </row>
    <row r="3817">
      <c r="A3817" s="39" t="n">
        <v>46216.73491898148</v>
      </c>
      <c r="B3817" s="25">
        <f>TEXT(A3817,"YYYY-MM")</f>
        <v/>
      </c>
      <c r="C3817" s="25">
        <f>TEXT(A3817,"MMM-YYYY")</f>
        <v/>
      </c>
      <c r="D3817" s="40">
        <f>INT(A3817)-WEEKDAY(A3817,2)+1</f>
        <v/>
      </c>
      <c r="E3817" s="25" t="inlineStr">
        <is>
          <t>rsingh</t>
        </is>
      </c>
      <c r="F3817" s="25" t="n">
        <v>127919</v>
      </c>
      <c r="G3817" s="25" t="n">
        <v>4</v>
      </c>
      <c r="H3817" s="25" t="n">
        <v>21</v>
      </c>
      <c r="I3817" s="25" t="inlineStr">
        <is>
          <t>3 minute(s) and 7 second(s)</t>
        </is>
      </c>
      <c r="J3817" s="25">
        <f>IFERROR(VALUE(TRIM(LEFT(I3817,FIND("minute",I3817)-1)))*60,0)+IFERROR(VALUE(SUBSTITUTE(MID(I3817,IFERROR(FIND("and",I3817)+3,1),20),"second(s)","")),0)</f>
        <v/>
      </c>
      <c r="K3817" s="41">
        <f>J3817/60</f>
        <v/>
      </c>
      <c r="L3817" s="41">
        <f>IFERROR(J3817/H3817,"")</f>
        <v/>
      </c>
      <c r="M3817" s="25" t="inlineStr">
        <is>
          <t>2.5.12</t>
        </is>
      </c>
      <c r="N3817" s="25">
        <f>IF(J3817&gt;300,1,0)</f>
        <v/>
      </c>
      <c r="O3817" s="25">
        <f>IF(J3817&gt;600,1,0)</f>
        <v/>
      </c>
      <c r="P3817" s="25">
        <f>IF(H3817&gt;0,J3817,"")</f>
        <v/>
      </c>
      <c r="Q3817" s="25">
        <f>TEXT(A3817,"YYYY-MM-DD HH")</f>
        <v/>
      </c>
      <c r="R3817" s="25">
        <f>COUNTIF($Q$2:$Q$5295,Q3817)</f>
        <v/>
      </c>
      <c r="S3817" s="25">
        <f>IF(R3817&lt;=2,"1-2",IF(R3817&lt;=5,"3-5",IF(R3817&lt;=10,"6-10","11+")))</f>
        <v/>
      </c>
    </row>
    <row r="3818">
      <c r="A3818" s="39" t="n">
        <v>46216.77892361111</v>
      </c>
      <c r="B3818" s="25">
        <f>TEXT(A3818,"YYYY-MM")</f>
        <v/>
      </c>
      <c r="C3818" s="25">
        <f>TEXT(A3818,"MMM-YYYY")</f>
        <v/>
      </c>
      <c r="D3818" s="40">
        <f>INT(A3818)-WEEKDAY(A3818,2)+1</f>
        <v/>
      </c>
      <c r="E3818" s="25" t="inlineStr">
        <is>
          <t>rsingh</t>
        </is>
      </c>
      <c r="F3818" s="25" t="n">
        <v>129467</v>
      </c>
      <c r="G3818" s="25" t="n">
        <v>4</v>
      </c>
      <c r="H3818" s="25" t="n">
        <v>23</v>
      </c>
      <c r="I3818" s="25" t="inlineStr">
        <is>
          <t>3 minute(s) and 24 second(s)</t>
        </is>
      </c>
      <c r="J3818" s="25">
        <f>IFERROR(VALUE(TRIM(LEFT(I3818,FIND("minute",I3818)-1)))*60,0)+IFERROR(VALUE(SUBSTITUTE(MID(I3818,IFERROR(FIND("and",I3818)+3,1),20),"second(s)","")),0)</f>
        <v/>
      </c>
      <c r="K3818" s="41">
        <f>J3818/60</f>
        <v/>
      </c>
      <c r="L3818" s="41">
        <f>IFERROR(J3818/H3818,"")</f>
        <v/>
      </c>
      <c r="M3818" s="25" t="inlineStr">
        <is>
          <t>2.5.12</t>
        </is>
      </c>
      <c r="N3818" s="25">
        <f>IF(J3818&gt;300,1,0)</f>
        <v/>
      </c>
      <c r="O3818" s="25">
        <f>IF(J3818&gt;600,1,0)</f>
        <v/>
      </c>
      <c r="P3818" s="25">
        <f>IF(H3818&gt;0,J3818,"")</f>
        <v/>
      </c>
      <c r="Q3818" s="25">
        <f>TEXT(A3818,"YYYY-MM-DD HH")</f>
        <v/>
      </c>
      <c r="R3818" s="25">
        <f>COUNTIF($Q$2:$Q$5295,Q3818)</f>
        <v/>
      </c>
      <c r="S3818" s="25">
        <f>IF(R3818&lt;=2,"1-2",IF(R3818&lt;=5,"3-5",IF(R3818&lt;=10,"6-10","11+")))</f>
        <v/>
      </c>
    </row>
    <row r="3819">
      <c r="A3819" s="39" t="n">
        <v>46216.82763888889</v>
      </c>
      <c r="B3819" s="25">
        <f>TEXT(A3819,"YYYY-MM")</f>
        <v/>
      </c>
      <c r="C3819" s="25">
        <f>TEXT(A3819,"MMM-YYYY")</f>
        <v/>
      </c>
      <c r="D3819" s="40">
        <f>INT(A3819)-WEEKDAY(A3819,2)+1</f>
        <v/>
      </c>
      <c r="E3819" s="25" t="inlineStr">
        <is>
          <t>ssarkar</t>
        </is>
      </c>
      <c r="F3819" s="25" t="n">
        <v>130628</v>
      </c>
      <c r="G3819" s="25" t="n">
        <v>1</v>
      </c>
      <c r="H3819" s="25" t="n">
        <v>5</v>
      </c>
      <c r="I3819" s="25" t="inlineStr">
        <is>
          <t>35 second(s)</t>
        </is>
      </c>
      <c r="J3819" s="25">
        <f>IFERROR(VALUE(TRIM(LEFT(I3819,FIND("minute",I3819)-1)))*60,0)+IFERROR(VALUE(SUBSTITUTE(MID(I3819,IFERROR(FIND("and",I3819)+3,1),20),"second(s)","")),0)</f>
        <v/>
      </c>
      <c r="K3819" s="41">
        <f>J3819/60</f>
        <v/>
      </c>
      <c r="L3819" s="41">
        <f>IFERROR(J3819/H3819,"")</f>
        <v/>
      </c>
      <c r="M3819" s="25" t="inlineStr">
        <is>
          <t>2.5.12</t>
        </is>
      </c>
      <c r="N3819" s="25">
        <f>IF(J3819&gt;300,1,0)</f>
        <v/>
      </c>
      <c r="O3819" s="25">
        <f>IF(J3819&gt;600,1,0)</f>
        <v/>
      </c>
      <c r="P3819" s="25">
        <f>IF(H3819&gt;0,J3819,"")</f>
        <v/>
      </c>
      <c r="Q3819" s="25">
        <f>TEXT(A3819,"YYYY-MM-DD HH")</f>
        <v/>
      </c>
      <c r="R3819" s="25">
        <f>COUNTIF($Q$2:$Q$5295,Q3819)</f>
        <v/>
      </c>
      <c r="S3819" s="25">
        <f>IF(R3819&lt;=2,"1-2",IF(R3819&lt;=5,"3-5",IF(R3819&lt;=10,"6-10","11+")))</f>
        <v/>
      </c>
    </row>
    <row r="3820">
      <c r="A3820" s="39" t="n">
        <v>46216.83643518519</v>
      </c>
      <c r="B3820" s="25">
        <f>TEXT(A3820,"YYYY-MM")</f>
        <v/>
      </c>
      <c r="C3820" s="25">
        <f>TEXT(A3820,"MMM-YYYY")</f>
        <v/>
      </c>
      <c r="D3820" s="40">
        <f>INT(A3820)-WEEKDAY(A3820,2)+1</f>
        <v/>
      </c>
      <c r="E3820" s="25" t="inlineStr">
        <is>
          <t>rsingh</t>
        </is>
      </c>
      <c r="F3820" s="25" t="n">
        <v>129475</v>
      </c>
      <c r="G3820" s="25" t="n">
        <v>2</v>
      </c>
      <c r="H3820" s="25" t="n">
        <v>10</v>
      </c>
      <c r="I3820" s="25" t="inlineStr">
        <is>
          <t>1 minute(s) and 2 second(s)</t>
        </is>
      </c>
      <c r="J3820" s="25">
        <f>IFERROR(VALUE(TRIM(LEFT(I3820,FIND("minute",I3820)-1)))*60,0)+IFERROR(VALUE(SUBSTITUTE(MID(I3820,IFERROR(FIND("and",I3820)+3,1),20),"second(s)","")),0)</f>
        <v/>
      </c>
      <c r="K3820" s="41">
        <f>J3820/60</f>
        <v/>
      </c>
      <c r="L3820" s="41">
        <f>IFERROR(J3820/H3820,"")</f>
        <v/>
      </c>
      <c r="M3820" s="25" t="inlineStr">
        <is>
          <t>2.5.12</t>
        </is>
      </c>
      <c r="N3820" s="25">
        <f>IF(J3820&gt;300,1,0)</f>
        <v/>
      </c>
      <c r="O3820" s="25">
        <f>IF(J3820&gt;600,1,0)</f>
        <v/>
      </c>
      <c r="P3820" s="25">
        <f>IF(H3820&gt;0,J3820,"")</f>
        <v/>
      </c>
      <c r="Q3820" s="25">
        <f>TEXT(A3820,"YYYY-MM-DD HH")</f>
        <v/>
      </c>
      <c r="R3820" s="25">
        <f>COUNTIF($Q$2:$Q$5295,Q3820)</f>
        <v/>
      </c>
      <c r="S3820" s="25">
        <f>IF(R3820&lt;=2,"1-2",IF(R3820&lt;=5,"3-5",IF(R3820&lt;=10,"6-10","11+")))</f>
        <v/>
      </c>
    </row>
    <row r="3821">
      <c r="A3821" s="39" t="n">
        <v>46216.85622685185</v>
      </c>
      <c r="B3821" s="25">
        <f>TEXT(A3821,"YYYY-MM")</f>
        <v/>
      </c>
      <c r="C3821" s="25">
        <f>TEXT(A3821,"MMM-YYYY")</f>
        <v/>
      </c>
      <c r="D3821" s="40">
        <f>INT(A3821)-WEEKDAY(A3821,2)+1</f>
        <v/>
      </c>
      <c r="E3821" s="25" t="inlineStr">
        <is>
          <t>dchoudhury</t>
        </is>
      </c>
      <c r="F3821" s="25" t="n">
        <v>129232</v>
      </c>
      <c r="G3821" s="25" t="n">
        <v>4</v>
      </c>
      <c r="H3821" s="25" t="n">
        <v>14</v>
      </c>
      <c r="I3821" s="25" t="inlineStr">
        <is>
          <t>2 minute(s) and 45 second(s)</t>
        </is>
      </c>
      <c r="J3821" s="25">
        <f>IFERROR(VALUE(TRIM(LEFT(I3821,FIND("minute",I3821)-1)))*60,0)+IFERROR(VALUE(SUBSTITUTE(MID(I3821,IFERROR(FIND("and",I3821)+3,1),20),"second(s)","")),0)</f>
        <v/>
      </c>
      <c r="K3821" s="41">
        <f>J3821/60</f>
        <v/>
      </c>
      <c r="L3821" s="41">
        <f>IFERROR(J3821/H3821,"")</f>
        <v/>
      </c>
      <c r="M3821" s="25" t="inlineStr">
        <is>
          <t>2.5.12</t>
        </is>
      </c>
      <c r="N3821" s="25">
        <f>IF(J3821&gt;300,1,0)</f>
        <v/>
      </c>
      <c r="O3821" s="25">
        <f>IF(J3821&gt;600,1,0)</f>
        <v/>
      </c>
      <c r="P3821" s="25">
        <f>IF(H3821&gt;0,J3821,"")</f>
        <v/>
      </c>
      <c r="Q3821" s="25">
        <f>TEXT(A3821,"YYYY-MM-DD HH")</f>
        <v/>
      </c>
      <c r="R3821" s="25">
        <f>COUNTIF($Q$2:$Q$5295,Q3821)</f>
        <v/>
      </c>
      <c r="S3821" s="25">
        <f>IF(R3821&lt;=2,"1-2",IF(R3821&lt;=5,"3-5",IF(R3821&lt;=10,"6-10","11+")))</f>
        <v/>
      </c>
    </row>
    <row r="3822">
      <c r="A3822" s="39" t="n">
        <v>46216.86600694444</v>
      </c>
      <c r="B3822" s="25">
        <f>TEXT(A3822,"YYYY-MM")</f>
        <v/>
      </c>
      <c r="C3822" s="25">
        <f>TEXT(A3822,"MMM-YYYY")</f>
        <v/>
      </c>
      <c r="D3822" s="40">
        <f>INT(A3822)-WEEKDAY(A3822,2)+1</f>
        <v/>
      </c>
      <c r="E3822" s="25" t="inlineStr">
        <is>
          <t>ssarkar</t>
        </is>
      </c>
      <c r="F3822" s="25" t="n">
        <v>130500</v>
      </c>
      <c r="G3822" s="25" t="n">
        <v>4</v>
      </c>
      <c r="H3822" s="25" t="n">
        <v>22</v>
      </c>
      <c r="I3822" s="25" t="inlineStr">
        <is>
          <t>1 minute(s) and 52 second(s)</t>
        </is>
      </c>
      <c r="J3822" s="25">
        <f>IFERROR(VALUE(TRIM(LEFT(I3822,FIND("minute",I3822)-1)))*60,0)+IFERROR(VALUE(SUBSTITUTE(MID(I3822,IFERROR(FIND("and",I3822)+3,1),20),"second(s)","")),0)</f>
        <v/>
      </c>
      <c r="K3822" s="41">
        <f>J3822/60</f>
        <v/>
      </c>
      <c r="L3822" s="41">
        <f>IFERROR(J3822/H3822,"")</f>
        <v/>
      </c>
      <c r="M3822" s="25" t="inlineStr">
        <is>
          <t>2.5.12</t>
        </is>
      </c>
      <c r="N3822" s="25">
        <f>IF(J3822&gt;300,1,0)</f>
        <v/>
      </c>
      <c r="O3822" s="25">
        <f>IF(J3822&gt;600,1,0)</f>
        <v/>
      </c>
      <c r="P3822" s="25">
        <f>IF(H3822&gt;0,J3822,"")</f>
        <v/>
      </c>
      <c r="Q3822" s="25">
        <f>TEXT(A3822,"YYYY-MM-DD HH")</f>
        <v/>
      </c>
      <c r="R3822" s="25">
        <f>COUNTIF($Q$2:$Q$5295,Q3822)</f>
        <v/>
      </c>
      <c r="S3822" s="25">
        <f>IF(R3822&lt;=2,"1-2",IF(R3822&lt;=5,"3-5",IF(R3822&lt;=10,"6-10","11+")))</f>
        <v/>
      </c>
    </row>
    <row r="3823">
      <c r="A3823" s="39" t="n">
        <v>46216.87064814815</v>
      </c>
      <c r="B3823" s="25">
        <f>TEXT(A3823,"YYYY-MM")</f>
        <v/>
      </c>
      <c r="C3823" s="25">
        <f>TEXT(A3823,"MMM-YYYY")</f>
        <v/>
      </c>
      <c r="D3823" s="40">
        <f>INT(A3823)-WEEKDAY(A3823,2)+1</f>
        <v/>
      </c>
      <c r="E3823" s="25" t="inlineStr">
        <is>
          <t>sswati</t>
        </is>
      </c>
      <c r="F3823" s="25" t="n">
        <v>131056</v>
      </c>
      <c r="G3823" s="25" t="n">
        <v>2</v>
      </c>
      <c r="H3823" s="25" t="n">
        <v>10</v>
      </c>
      <c r="I3823" s="25" t="inlineStr">
        <is>
          <t>49 second(s)</t>
        </is>
      </c>
      <c r="J3823" s="25">
        <f>IFERROR(VALUE(TRIM(LEFT(I3823,FIND("minute",I3823)-1)))*60,0)+IFERROR(VALUE(SUBSTITUTE(MID(I3823,IFERROR(FIND("and",I3823)+3,1),20),"second(s)","")),0)</f>
        <v/>
      </c>
      <c r="K3823" s="41">
        <f>J3823/60</f>
        <v/>
      </c>
      <c r="L3823" s="41">
        <f>IFERROR(J3823/H3823,"")</f>
        <v/>
      </c>
      <c r="M3823" s="25" t="inlineStr">
        <is>
          <t>2.5.12</t>
        </is>
      </c>
      <c r="N3823" s="25">
        <f>IF(J3823&gt;300,1,0)</f>
        <v/>
      </c>
      <c r="O3823" s="25">
        <f>IF(J3823&gt;600,1,0)</f>
        <v/>
      </c>
      <c r="P3823" s="25">
        <f>IF(H3823&gt;0,J3823,"")</f>
        <v/>
      </c>
      <c r="Q3823" s="25">
        <f>TEXT(A3823,"YYYY-MM-DD HH")</f>
        <v/>
      </c>
      <c r="R3823" s="25">
        <f>COUNTIF($Q$2:$Q$5295,Q3823)</f>
        <v/>
      </c>
      <c r="S3823" s="25">
        <f>IF(R3823&lt;=2,"1-2",IF(R3823&lt;=5,"3-5",IF(R3823&lt;=10,"6-10","11+")))</f>
        <v/>
      </c>
    </row>
    <row r="3824">
      <c r="A3824" s="39" t="n">
        <v>46216.90148148148</v>
      </c>
      <c r="B3824" s="25">
        <f>TEXT(A3824,"YYYY-MM")</f>
        <v/>
      </c>
      <c r="C3824" s="25">
        <f>TEXT(A3824,"MMM-YYYY")</f>
        <v/>
      </c>
      <c r="D3824" s="40">
        <f>INT(A3824)-WEEKDAY(A3824,2)+1</f>
        <v/>
      </c>
      <c r="E3824" s="25" t="inlineStr">
        <is>
          <t>sswati</t>
        </is>
      </c>
      <c r="F3824" s="25" t="n">
        <v>131414</v>
      </c>
      <c r="G3824" s="25" t="n">
        <v>3</v>
      </c>
      <c r="H3824" s="25" t="n">
        <v>13</v>
      </c>
      <c r="I3824" s="25" t="inlineStr">
        <is>
          <t>1 minute(s) and 16 second(s)</t>
        </is>
      </c>
      <c r="J3824" s="25">
        <f>IFERROR(VALUE(TRIM(LEFT(I3824,FIND("minute",I3824)-1)))*60,0)+IFERROR(VALUE(SUBSTITUTE(MID(I3824,IFERROR(FIND("and",I3824)+3,1),20),"second(s)","")),0)</f>
        <v/>
      </c>
      <c r="K3824" s="41">
        <f>J3824/60</f>
        <v/>
      </c>
      <c r="L3824" s="41">
        <f>IFERROR(J3824/H3824,"")</f>
        <v/>
      </c>
      <c r="M3824" s="25" t="inlineStr">
        <is>
          <t>2.5.12</t>
        </is>
      </c>
      <c r="N3824" s="25">
        <f>IF(J3824&gt;300,1,0)</f>
        <v/>
      </c>
      <c r="O3824" s="25">
        <f>IF(J3824&gt;600,1,0)</f>
        <v/>
      </c>
      <c r="P3824" s="25">
        <f>IF(H3824&gt;0,J3824,"")</f>
        <v/>
      </c>
      <c r="Q3824" s="25">
        <f>TEXT(A3824,"YYYY-MM-DD HH")</f>
        <v/>
      </c>
      <c r="R3824" s="25">
        <f>COUNTIF($Q$2:$Q$5295,Q3824)</f>
        <v/>
      </c>
      <c r="S3824" s="25">
        <f>IF(R3824&lt;=2,"1-2",IF(R3824&lt;=5,"3-5",IF(R3824&lt;=10,"6-10","11+")))</f>
        <v/>
      </c>
    </row>
    <row r="3825">
      <c r="A3825" s="39" t="n">
        <v>46216.91866898148</v>
      </c>
      <c r="B3825" s="25">
        <f>TEXT(A3825,"YYYY-MM")</f>
        <v/>
      </c>
      <c r="C3825" s="25">
        <f>TEXT(A3825,"MMM-YYYY")</f>
        <v/>
      </c>
      <c r="D3825" s="40">
        <f>INT(A3825)-WEEKDAY(A3825,2)+1</f>
        <v/>
      </c>
      <c r="E3825" s="25" t="inlineStr">
        <is>
          <t>psingh</t>
        </is>
      </c>
      <c r="F3825" s="25" t="n">
        <v>129130</v>
      </c>
      <c r="G3825" s="25" t="n">
        <v>1</v>
      </c>
      <c r="H3825" s="25" t="n">
        <v>5</v>
      </c>
      <c r="I3825" s="25" t="inlineStr">
        <is>
          <t>25 second(s)</t>
        </is>
      </c>
      <c r="J3825" s="25">
        <f>IFERROR(VALUE(TRIM(LEFT(I3825,FIND("minute",I3825)-1)))*60,0)+IFERROR(VALUE(SUBSTITUTE(MID(I3825,IFERROR(FIND("and",I3825)+3,1),20),"second(s)","")),0)</f>
        <v/>
      </c>
      <c r="K3825" s="41">
        <f>J3825/60</f>
        <v/>
      </c>
      <c r="L3825" s="41">
        <f>IFERROR(J3825/H3825,"")</f>
        <v/>
      </c>
      <c r="M3825" s="25" t="inlineStr">
        <is>
          <t>2.5.12</t>
        </is>
      </c>
      <c r="N3825" s="25">
        <f>IF(J3825&gt;300,1,0)</f>
        <v/>
      </c>
      <c r="O3825" s="25">
        <f>IF(J3825&gt;600,1,0)</f>
        <v/>
      </c>
      <c r="P3825" s="25">
        <f>IF(H3825&gt;0,J3825,"")</f>
        <v/>
      </c>
      <c r="Q3825" s="25">
        <f>TEXT(A3825,"YYYY-MM-DD HH")</f>
        <v/>
      </c>
      <c r="R3825" s="25">
        <f>COUNTIF($Q$2:$Q$5295,Q3825)</f>
        <v/>
      </c>
      <c r="S3825" s="25">
        <f>IF(R3825&lt;=2,"1-2",IF(R3825&lt;=5,"3-5",IF(R3825&lt;=10,"6-10","11+")))</f>
        <v/>
      </c>
    </row>
    <row r="3826">
      <c r="A3826" s="39" t="n">
        <v>46216.94274305556</v>
      </c>
      <c r="B3826" s="25">
        <f>TEXT(A3826,"YYYY-MM")</f>
        <v/>
      </c>
      <c r="C3826" s="25">
        <f>TEXT(A3826,"MMM-YYYY")</f>
        <v/>
      </c>
      <c r="D3826" s="40">
        <f>INT(A3826)-WEEKDAY(A3826,2)+1</f>
        <v/>
      </c>
      <c r="E3826" s="25" t="inlineStr">
        <is>
          <t>sswati</t>
        </is>
      </c>
      <c r="F3826" s="25" t="n">
        <v>131544</v>
      </c>
      <c r="G3826" s="25" t="n">
        <v>4</v>
      </c>
      <c r="H3826" s="25" t="n">
        <v>10</v>
      </c>
      <c r="I3826" s="25" t="inlineStr">
        <is>
          <t>1 minute(s) and 4 second(s)</t>
        </is>
      </c>
      <c r="J3826" s="25">
        <f>IFERROR(VALUE(TRIM(LEFT(I3826,FIND("minute",I3826)-1)))*60,0)+IFERROR(VALUE(SUBSTITUTE(MID(I3826,IFERROR(FIND("and",I3826)+3,1),20),"second(s)","")),0)</f>
        <v/>
      </c>
      <c r="K3826" s="41">
        <f>J3826/60</f>
        <v/>
      </c>
      <c r="L3826" s="41">
        <f>IFERROR(J3826/H3826,"")</f>
        <v/>
      </c>
      <c r="M3826" s="25" t="inlineStr">
        <is>
          <t>2.5.12</t>
        </is>
      </c>
      <c r="N3826" s="25">
        <f>IF(J3826&gt;300,1,0)</f>
        <v/>
      </c>
      <c r="O3826" s="25">
        <f>IF(J3826&gt;600,1,0)</f>
        <v/>
      </c>
      <c r="P3826" s="25">
        <f>IF(H3826&gt;0,J3826,"")</f>
        <v/>
      </c>
      <c r="Q3826" s="25">
        <f>TEXT(A3826,"YYYY-MM-DD HH")</f>
        <v/>
      </c>
      <c r="R3826" s="25">
        <f>COUNTIF($Q$2:$Q$5295,Q3826)</f>
        <v/>
      </c>
      <c r="S3826" s="25">
        <f>IF(R3826&lt;=2,"1-2",IF(R3826&lt;=5,"3-5",IF(R3826&lt;=10,"6-10","11+")))</f>
        <v/>
      </c>
    </row>
    <row r="3827">
      <c r="A3827" s="39" t="n">
        <v>46216.95630787037</v>
      </c>
      <c r="B3827" s="25">
        <f>TEXT(A3827,"YYYY-MM")</f>
        <v/>
      </c>
      <c r="C3827" s="25">
        <f>TEXT(A3827,"MMM-YYYY")</f>
        <v/>
      </c>
      <c r="D3827" s="40">
        <f>INT(A3827)-WEEKDAY(A3827,2)+1</f>
        <v/>
      </c>
      <c r="E3827" s="25" t="inlineStr">
        <is>
          <t>dchoudhury</t>
        </is>
      </c>
      <c r="F3827" s="25" t="n">
        <v>129272</v>
      </c>
      <c r="G3827" s="25" t="n">
        <v>4</v>
      </c>
      <c r="H3827" s="25" t="n">
        <v>20</v>
      </c>
      <c r="I3827" s="25" t="inlineStr">
        <is>
          <t>1 minute(s) and 51 second(s)</t>
        </is>
      </c>
      <c r="J3827" s="25">
        <f>IFERROR(VALUE(TRIM(LEFT(I3827,FIND("minute",I3827)-1)))*60,0)+IFERROR(VALUE(SUBSTITUTE(MID(I3827,IFERROR(FIND("and",I3827)+3,1),20),"second(s)","")),0)</f>
        <v/>
      </c>
      <c r="K3827" s="41">
        <f>J3827/60</f>
        <v/>
      </c>
      <c r="L3827" s="41">
        <f>IFERROR(J3827/H3827,"")</f>
        <v/>
      </c>
      <c r="M3827" s="25" t="inlineStr">
        <is>
          <t>2.5.12</t>
        </is>
      </c>
      <c r="N3827" s="25">
        <f>IF(J3827&gt;300,1,0)</f>
        <v/>
      </c>
      <c r="O3827" s="25">
        <f>IF(J3827&gt;600,1,0)</f>
        <v/>
      </c>
      <c r="P3827" s="25">
        <f>IF(H3827&gt;0,J3827,"")</f>
        <v/>
      </c>
      <c r="Q3827" s="25">
        <f>TEXT(A3827,"YYYY-MM-DD HH")</f>
        <v/>
      </c>
      <c r="R3827" s="25">
        <f>COUNTIF($Q$2:$Q$5295,Q3827)</f>
        <v/>
      </c>
      <c r="S3827" s="25">
        <f>IF(R3827&lt;=2,"1-2",IF(R3827&lt;=5,"3-5",IF(R3827&lt;=10,"6-10","11+")))</f>
        <v/>
      </c>
    </row>
    <row r="3828">
      <c r="A3828" s="39" t="n">
        <v>46216.96341435185</v>
      </c>
      <c r="B3828" s="25">
        <f>TEXT(A3828,"YYYY-MM")</f>
        <v/>
      </c>
      <c r="C3828" s="25">
        <f>TEXT(A3828,"MMM-YYYY")</f>
        <v/>
      </c>
      <c r="D3828" s="40">
        <f>INT(A3828)-WEEKDAY(A3828,2)+1</f>
        <v/>
      </c>
      <c r="E3828" s="25" t="inlineStr">
        <is>
          <t>hsindwani</t>
        </is>
      </c>
      <c r="F3828" s="25" t="n">
        <v>129397</v>
      </c>
      <c r="G3828" s="25" t="n">
        <v>1</v>
      </c>
      <c r="H3828" s="25" t="n">
        <v>7</v>
      </c>
      <c r="I3828" s="25" t="inlineStr">
        <is>
          <t>1 minute(s) and 5 second(s)</t>
        </is>
      </c>
      <c r="J3828" s="25">
        <f>IFERROR(VALUE(TRIM(LEFT(I3828,FIND("minute",I3828)-1)))*60,0)+IFERROR(VALUE(SUBSTITUTE(MID(I3828,IFERROR(FIND("and",I3828)+3,1),20),"second(s)","")),0)</f>
        <v/>
      </c>
      <c r="K3828" s="41">
        <f>J3828/60</f>
        <v/>
      </c>
      <c r="L3828" s="41">
        <f>IFERROR(J3828/H3828,"")</f>
        <v/>
      </c>
      <c r="M3828" s="25" t="inlineStr">
        <is>
          <t>2.5.12</t>
        </is>
      </c>
      <c r="N3828" s="25">
        <f>IF(J3828&gt;300,1,0)</f>
        <v/>
      </c>
      <c r="O3828" s="25">
        <f>IF(J3828&gt;600,1,0)</f>
        <v/>
      </c>
      <c r="P3828" s="25">
        <f>IF(H3828&gt;0,J3828,"")</f>
        <v/>
      </c>
      <c r="Q3828" s="25">
        <f>TEXT(A3828,"YYYY-MM-DD HH")</f>
        <v/>
      </c>
      <c r="R3828" s="25">
        <f>COUNTIF($Q$2:$Q$5295,Q3828)</f>
        <v/>
      </c>
      <c r="S3828" s="25">
        <f>IF(R3828&lt;=2,"1-2",IF(R3828&lt;=5,"3-5",IF(R3828&lt;=10,"6-10","11+")))</f>
        <v/>
      </c>
    </row>
    <row r="3829">
      <c r="A3829" s="39" t="n">
        <v>46216.96430555556</v>
      </c>
      <c r="B3829" s="25">
        <f>TEXT(A3829,"YYYY-MM")</f>
        <v/>
      </c>
      <c r="C3829" s="25">
        <f>TEXT(A3829,"MMM-YYYY")</f>
        <v/>
      </c>
      <c r="D3829" s="40">
        <f>INT(A3829)-WEEKDAY(A3829,2)+1</f>
        <v/>
      </c>
      <c r="E3829" s="25" t="inlineStr">
        <is>
          <t>psingh</t>
        </is>
      </c>
      <c r="F3829" s="25" t="n">
        <v>128916</v>
      </c>
      <c r="G3829" s="25" t="n">
        <v>1</v>
      </c>
      <c r="H3829" s="25" t="n">
        <v>7</v>
      </c>
      <c r="I3829" s="25" t="inlineStr">
        <is>
          <t>44 second(s)</t>
        </is>
      </c>
      <c r="J3829" s="25">
        <f>IFERROR(VALUE(TRIM(LEFT(I3829,FIND("minute",I3829)-1)))*60,0)+IFERROR(VALUE(SUBSTITUTE(MID(I3829,IFERROR(FIND("and",I3829)+3,1),20),"second(s)","")),0)</f>
        <v/>
      </c>
      <c r="K3829" s="41">
        <f>J3829/60</f>
        <v/>
      </c>
      <c r="L3829" s="41">
        <f>IFERROR(J3829/H3829,"")</f>
        <v/>
      </c>
      <c r="M3829" s="25" t="inlineStr">
        <is>
          <t>2.5.12</t>
        </is>
      </c>
      <c r="N3829" s="25">
        <f>IF(J3829&gt;300,1,0)</f>
        <v/>
      </c>
      <c r="O3829" s="25">
        <f>IF(J3829&gt;600,1,0)</f>
        <v/>
      </c>
      <c r="P3829" s="25">
        <f>IF(H3829&gt;0,J3829,"")</f>
        <v/>
      </c>
      <c r="Q3829" s="25">
        <f>TEXT(A3829,"YYYY-MM-DD HH")</f>
        <v/>
      </c>
      <c r="R3829" s="25">
        <f>COUNTIF($Q$2:$Q$5295,Q3829)</f>
        <v/>
      </c>
      <c r="S3829" s="25">
        <f>IF(R3829&lt;=2,"1-2",IF(R3829&lt;=5,"3-5",IF(R3829&lt;=10,"6-10","11+")))</f>
        <v/>
      </c>
    </row>
    <row r="3830">
      <c r="A3830" s="39" t="n">
        <v>46216.97620370371</v>
      </c>
      <c r="B3830" s="25">
        <f>TEXT(A3830,"YYYY-MM")</f>
        <v/>
      </c>
      <c r="C3830" s="25">
        <f>TEXT(A3830,"MMM-YYYY")</f>
        <v/>
      </c>
      <c r="D3830" s="40">
        <f>INT(A3830)-WEEKDAY(A3830,2)+1</f>
        <v/>
      </c>
      <c r="E3830" s="25" t="inlineStr">
        <is>
          <t>sswati</t>
        </is>
      </c>
      <c r="F3830" s="25" t="n">
        <v>131660</v>
      </c>
      <c r="G3830" s="25" t="n">
        <v>2</v>
      </c>
      <c r="H3830" s="25" t="n">
        <v>6</v>
      </c>
      <c r="I3830" s="25" t="inlineStr">
        <is>
          <t>1 minute(s) and 43 second(s)</t>
        </is>
      </c>
      <c r="J3830" s="25">
        <f>IFERROR(VALUE(TRIM(LEFT(I3830,FIND("minute",I3830)-1)))*60,0)+IFERROR(VALUE(SUBSTITUTE(MID(I3830,IFERROR(FIND("and",I3830)+3,1),20),"second(s)","")),0)</f>
        <v/>
      </c>
      <c r="K3830" s="41">
        <f>J3830/60</f>
        <v/>
      </c>
      <c r="L3830" s="41">
        <f>IFERROR(J3830/H3830,"")</f>
        <v/>
      </c>
      <c r="M3830" s="25" t="inlineStr">
        <is>
          <t>2.5.12</t>
        </is>
      </c>
      <c r="N3830" s="25">
        <f>IF(J3830&gt;300,1,0)</f>
        <v/>
      </c>
      <c r="O3830" s="25">
        <f>IF(J3830&gt;600,1,0)</f>
        <v/>
      </c>
      <c r="P3830" s="25">
        <f>IF(H3830&gt;0,J3830,"")</f>
        <v/>
      </c>
      <c r="Q3830" s="25">
        <f>TEXT(A3830,"YYYY-MM-DD HH")</f>
        <v/>
      </c>
      <c r="R3830" s="25">
        <f>COUNTIF($Q$2:$Q$5295,Q3830)</f>
        <v/>
      </c>
      <c r="S3830" s="25">
        <f>IF(R3830&lt;=2,"1-2",IF(R3830&lt;=5,"3-5",IF(R3830&lt;=10,"6-10","11+")))</f>
        <v/>
      </c>
    </row>
    <row r="3831">
      <c r="A3831" s="39" t="n">
        <v>46216.98381944445</v>
      </c>
      <c r="B3831" s="25">
        <f>TEXT(A3831,"YYYY-MM")</f>
        <v/>
      </c>
      <c r="C3831" s="25">
        <f>TEXT(A3831,"MMM-YYYY")</f>
        <v/>
      </c>
      <c r="D3831" s="40">
        <f>INT(A3831)-WEEKDAY(A3831,2)+1</f>
        <v/>
      </c>
      <c r="E3831" s="25" t="inlineStr">
        <is>
          <t>sswati</t>
        </is>
      </c>
      <c r="F3831" s="25" t="n">
        <v>131660</v>
      </c>
      <c r="G3831" s="25" t="n">
        <v>2</v>
      </c>
      <c r="H3831" s="25" t="n">
        <v>6</v>
      </c>
      <c r="I3831" s="25" t="inlineStr">
        <is>
          <t>36 second(s)</t>
        </is>
      </c>
      <c r="J3831" s="25">
        <f>IFERROR(VALUE(TRIM(LEFT(I3831,FIND("minute",I3831)-1)))*60,0)+IFERROR(VALUE(SUBSTITUTE(MID(I3831,IFERROR(FIND("and",I3831)+3,1),20),"second(s)","")),0)</f>
        <v/>
      </c>
      <c r="K3831" s="41">
        <f>J3831/60</f>
        <v/>
      </c>
      <c r="L3831" s="41">
        <f>IFERROR(J3831/H3831,"")</f>
        <v/>
      </c>
      <c r="M3831" s="25" t="inlineStr">
        <is>
          <t>2.5.12</t>
        </is>
      </c>
      <c r="N3831" s="25">
        <f>IF(J3831&gt;300,1,0)</f>
        <v/>
      </c>
      <c r="O3831" s="25">
        <f>IF(J3831&gt;600,1,0)</f>
        <v/>
      </c>
      <c r="P3831" s="25">
        <f>IF(H3831&gt;0,J3831,"")</f>
        <v/>
      </c>
      <c r="Q3831" s="25">
        <f>TEXT(A3831,"YYYY-MM-DD HH")</f>
        <v/>
      </c>
      <c r="R3831" s="25">
        <f>COUNTIF($Q$2:$Q$5295,Q3831)</f>
        <v/>
      </c>
      <c r="S3831" s="25">
        <f>IF(R3831&lt;=2,"1-2",IF(R3831&lt;=5,"3-5",IF(R3831&lt;=10,"6-10","11+")))</f>
        <v/>
      </c>
    </row>
    <row r="3832">
      <c r="A3832" s="39" t="n">
        <v>46217.01966435185</v>
      </c>
      <c r="B3832" s="25">
        <f>TEXT(A3832,"YYYY-MM")</f>
        <v/>
      </c>
      <c r="C3832" s="25">
        <f>TEXT(A3832,"MMM-YYYY")</f>
        <v/>
      </c>
      <c r="D3832" s="40">
        <f>INT(A3832)-WEEKDAY(A3832,2)+1</f>
        <v/>
      </c>
      <c r="E3832" s="25" t="inlineStr">
        <is>
          <t>shassan</t>
        </is>
      </c>
      <c r="F3832" s="25" t="n">
        <v>130954</v>
      </c>
      <c r="G3832" s="25" t="n">
        <v>2</v>
      </c>
      <c r="H3832" s="25" t="n">
        <v>10</v>
      </c>
      <c r="I3832" s="25" t="inlineStr">
        <is>
          <t>1 minute(s) and 3 second(s)</t>
        </is>
      </c>
      <c r="J3832" s="25">
        <f>IFERROR(VALUE(TRIM(LEFT(I3832,FIND("minute",I3832)-1)))*60,0)+IFERROR(VALUE(SUBSTITUTE(MID(I3832,IFERROR(FIND("and",I3832)+3,1),20),"second(s)","")),0)</f>
        <v/>
      </c>
      <c r="K3832" s="41">
        <f>J3832/60</f>
        <v/>
      </c>
      <c r="L3832" s="41">
        <f>IFERROR(J3832/H3832,"")</f>
        <v/>
      </c>
      <c r="M3832" s="25" t="inlineStr">
        <is>
          <t>2.5.12</t>
        </is>
      </c>
      <c r="N3832" s="25">
        <f>IF(J3832&gt;300,1,0)</f>
        <v/>
      </c>
      <c r="O3832" s="25">
        <f>IF(J3832&gt;600,1,0)</f>
        <v/>
      </c>
      <c r="P3832" s="25">
        <f>IF(H3832&gt;0,J3832,"")</f>
        <v/>
      </c>
      <c r="Q3832" s="25">
        <f>TEXT(A3832,"YYYY-MM-DD HH")</f>
        <v/>
      </c>
      <c r="R3832" s="25">
        <f>COUNTIF($Q$2:$Q$5295,Q3832)</f>
        <v/>
      </c>
      <c r="S3832" s="25">
        <f>IF(R3832&lt;=2,"1-2",IF(R3832&lt;=5,"3-5",IF(R3832&lt;=10,"6-10","11+")))</f>
        <v/>
      </c>
    </row>
    <row r="3833">
      <c r="A3833" s="39" t="n">
        <v>46217.05887731481</v>
      </c>
      <c r="B3833" s="25">
        <f>TEXT(A3833,"YYYY-MM")</f>
        <v/>
      </c>
      <c r="C3833" s="25">
        <f>TEXT(A3833,"MMM-YYYY")</f>
        <v/>
      </c>
      <c r="D3833" s="40">
        <f>INT(A3833)-WEEKDAY(A3833,2)+1</f>
        <v/>
      </c>
      <c r="E3833" s="25" t="inlineStr">
        <is>
          <t>psingh</t>
        </is>
      </c>
      <c r="F3833" s="25" t="n">
        <v>129402</v>
      </c>
      <c r="G3833" s="25" t="n">
        <v>4</v>
      </c>
      <c r="H3833" s="25" t="n">
        <v>24</v>
      </c>
      <c r="I3833" s="25" t="inlineStr">
        <is>
          <t>2 minute(s) and 59 second(s)</t>
        </is>
      </c>
      <c r="J3833" s="25">
        <f>IFERROR(VALUE(TRIM(LEFT(I3833,FIND("minute",I3833)-1)))*60,0)+IFERROR(VALUE(SUBSTITUTE(MID(I3833,IFERROR(FIND("and",I3833)+3,1),20),"second(s)","")),0)</f>
        <v/>
      </c>
      <c r="K3833" s="41">
        <f>J3833/60</f>
        <v/>
      </c>
      <c r="L3833" s="41">
        <f>IFERROR(J3833/H3833,"")</f>
        <v/>
      </c>
      <c r="M3833" s="25" t="inlineStr">
        <is>
          <t>2.5.12</t>
        </is>
      </c>
      <c r="N3833" s="25">
        <f>IF(J3833&gt;300,1,0)</f>
        <v/>
      </c>
      <c r="O3833" s="25">
        <f>IF(J3833&gt;600,1,0)</f>
        <v/>
      </c>
      <c r="P3833" s="25">
        <f>IF(H3833&gt;0,J3833,"")</f>
        <v/>
      </c>
      <c r="Q3833" s="25">
        <f>TEXT(A3833,"YYYY-MM-DD HH")</f>
        <v/>
      </c>
      <c r="R3833" s="25">
        <f>COUNTIF($Q$2:$Q$5295,Q3833)</f>
        <v/>
      </c>
      <c r="S3833" s="25">
        <f>IF(R3833&lt;=2,"1-2",IF(R3833&lt;=5,"3-5",IF(R3833&lt;=10,"6-10","11+")))</f>
        <v/>
      </c>
    </row>
    <row r="3834">
      <c r="A3834" s="39" t="n">
        <v>46217.06142361111</v>
      </c>
      <c r="B3834" s="25">
        <f>TEXT(A3834,"YYYY-MM")</f>
        <v/>
      </c>
      <c r="C3834" s="25">
        <f>TEXT(A3834,"MMM-YYYY")</f>
        <v/>
      </c>
      <c r="D3834" s="40">
        <f>INT(A3834)-WEEKDAY(A3834,2)+1</f>
        <v/>
      </c>
      <c r="E3834" s="25" t="inlineStr">
        <is>
          <t>shassan</t>
        </is>
      </c>
      <c r="F3834" s="25" t="n">
        <v>131098</v>
      </c>
      <c r="G3834" s="25" t="n">
        <v>4</v>
      </c>
      <c r="H3834" s="25" t="n">
        <v>20</v>
      </c>
      <c r="I3834" s="25" t="inlineStr">
        <is>
          <t>2 minute(s) and 21 second(s)</t>
        </is>
      </c>
      <c r="J3834" s="25">
        <f>IFERROR(VALUE(TRIM(LEFT(I3834,FIND("minute",I3834)-1)))*60,0)+IFERROR(VALUE(SUBSTITUTE(MID(I3834,IFERROR(FIND("and",I3834)+3,1),20),"second(s)","")),0)</f>
        <v/>
      </c>
      <c r="K3834" s="41">
        <f>J3834/60</f>
        <v/>
      </c>
      <c r="L3834" s="41">
        <f>IFERROR(J3834/H3834,"")</f>
        <v/>
      </c>
      <c r="M3834" s="25" t="inlineStr">
        <is>
          <t>2.5.12</t>
        </is>
      </c>
      <c r="N3834" s="25">
        <f>IF(J3834&gt;300,1,0)</f>
        <v/>
      </c>
      <c r="O3834" s="25">
        <f>IF(J3834&gt;600,1,0)</f>
        <v/>
      </c>
      <c r="P3834" s="25">
        <f>IF(H3834&gt;0,J3834,"")</f>
        <v/>
      </c>
      <c r="Q3834" s="25">
        <f>TEXT(A3834,"YYYY-MM-DD HH")</f>
        <v/>
      </c>
      <c r="R3834" s="25">
        <f>COUNTIF($Q$2:$Q$5295,Q3834)</f>
        <v/>
      </c>
      <c r="S3834" s="25">
        <f>IF(R3834&lt;=2,"1-2",IF(R3834&lt;=5,"3-5",IF(R3834&lt;=10,"6-10","11+")))</f>
        <v/>
      </c>
    </row>
    <row r="3835">
      <c r="A3835" s="39" t="n">
        <v>46217.07163194445</v>
      </c>
      <c r="B3835" s="25">
        <f>TEXT(A3835,"YYYY-MM")</f>
        <v/>
      </c>
      <c r="C3835" s="25">
        <f>TEXT(A3835,"MMM-YYYY")</f>
        <v/>
      </c>
      <c r="D3835" s="40">
        <f>INT(A3835)-WEEKDAY(A3835,2)+1</f>
        <v/>
      </c>
      <c r="E3835" s="25" t="inlineStr">
        <is>
          <t>tkarmakar</t>
        </is>
      </c>
      <c r="F3835" s="25" t="n">
        <v>132150</v>
      </c>
      <c r="G3835" s="25" t="n">
        <v>1</v>
      </c>
      <c r="H3835" s="25" t="n">
        <v>7</v>
      </c>
      <c r="I3835" s="25" t="inlineStr">
        <is>
          <t>44 second(s)</t>
        </is>
      </c>
      <c r="J3835" s="25">
        <f>IFERROR(VALUE(TRIM(LEFT(I3835,FIND("minute",I3835)-1)))*60,0)+IFERROR(VALUE(SUBSTITUTE(MID(I3835,IFERROR(FIND("and",I3835)+3,1),20),"second(s)","")),0)</f>
        <v/>
      </c>
      <c r="K3835" s="41">
        <f>J3835/60</f>
        <v/>
      </c>
      <c r="L3835" s="41">
        <f>IFERROR(J3835/H3835,"")</f>
        <v/>
      </c>
      <c r="M3835" s="25" t="inlineStr">
        <is>
          <t>2.5.12</t>
        </is>
      </c>
      <c r="N3835" s="25">
        <f>IF(J3835&gt;300,1,0)</f>
        <v/>
      </c>
      <c r="O3835" s="25">
        <f>IF(J3835&gt;600,1,0)</f>
        <v/>
      </c>
      <c r="P3835" s="25">
        <f>IF(H3835&gt;0,J3835,"")</f>
        <v/>
      </c>
      <c r="Q3835" s="25">
        <f>TEXT(A3835,"YYYY-MM-DD HH")</f>
        <v/>
      </c>
      <c r="R3835" s="25">
        <f>COUNTIF($Q$2:$Q$5295,Q3835)</f>
        <v/>
      </c>
      <c r="S3835" s="25">
        <f>IF(R3835&lt;=2,"1-2",IF(R3835&lt;=5,"3-5",IF(R3835&lt;=10,"6-10","11+")))</f>
        <v/>
      </c>
    </row>
    <row r="3836">
      <c r="A3836" s="39" t="n">
        <v>46217.07420138889</v>
      </c>
      <c r="B3836" s="25">
        <f>TEXT(A3836,"YYYY-MM")</f>
        <v/>
      </c>
      <c r="C3836" s="25">
        <f>TEXT(A3836,"MMM-YYYY")</f>
        <v/>
      </c>
      <c r="D3836" s="40">
        <f>INT(A3836)-WEEKDAY(A3836,2)+1</f>
        <v/>
      </c>
      <c r="E3836" s="25" t="inlineStr">
        <is>
          <t>aupadhayay</t>
        </is>
      </c>
      <c r="F3836" s="25" t="n">
        <v>129303</v>
      </c>
      <c r="G3836" s="25" t="n">
        <v>2</v>
      </c>
      <c r="H3836" s="25" t="n">
        <v>10</v>
      </c>
      <c r="I3836" s="25" t="inlineStr">
        <is>
          <t>1 minute(s) and 44 second(s)</t>
        </is>
      </c>
      <c r="J3836" s="25">
        <f>IFERROR(VALUE(TRIM(LEFT(I3836,FIND("minute",I3836)-1)))*60,0)+IFERROR(VALUE(SUBSTITUTE(MID(I3836,IFERROR(FIND("and",I3836)+3,1),20),"second(s)","")),0)</f>
        <v/>
      </c>
      <c r="K3836" s="41">
        <f>J3836/60</f>
        <v/>
      </c>
      <c r="L3836" s="41">
        <f>IFERROR(J3836/H3836,"")</f>
        <v/>
      </c>
      <c r="M3836" s="25" t="inlineStr">
        <is>
          <t>2.5.12</t>
        </is>
      </c>
      <c r="N3836" s="25">
        <f>IF(J3836&gt;300,1,0)</f>
        <v/>
      </c>
      <c r="O3836" s="25">
        <f>IF(J3836&gt;600,1,0)</f>
        <v/>
      </c>
      <c r="P3836" s="25">
        <f>IF(H3836&gt;0,J3836,"")</f>
        <v/>
      </c>
      <c r="Q3836" s="25">
        <f>TEXT(A3836,"YYYY-MM-DD HH")</f>
        <v/>
      </c>
      <c r="R3836" s="25">
        <f>COUNTIF($Q$2:$Q$5295,Q3836)</f>
        <v/>
      </c>
      <c r="S3836" s="25">
        <f>IF(R3836&lt;=2,"1-2",IF(R3836&lt;=5,"3-5",IF(R3836&lt;=10,"6-10","11+")))</f>
        <v/>
      </c>
    </row>
    <row r="3837">
      <c r="A3837" s="39" t="n">
        <v>46217.07556712963</v>
      </c>
      <c r="B3837" s="25">
        <f>TEXT(A3837,"YYYY-MM")</f>
        <v/>
      </c>
      <c r="C3837" s="25">
        <f>TEXT(A3837,"MMM-YYYY")</f>
        <v/>
      </c>
      <c r="D3837" s="40">
        <f>INT(A3837)-WEEKDAY(A3837,2)+1</f>
        <v/>
      </c>
      <c r="E3837" s="25" t="inlineStr">
        <is>
          <t>ns</t>
        </is>
      </c>
      <c r="F3837" s="25" t="n">
        <v>129027</v>
      </c>
      <c r="G3837" s="25" t="n">
        <v>2</v>
      </c>
      <c r="H3837" s="25" t="n">
        <v>8</v>
      </c>
      <c r="I3837" s="25" t="inlineStr">
        <is>
          <t>48 second(s)</t>
        </is>
      </c>
      <c r="J3837" s="25">
        <f>IFERROR(VALUE(TRIM(LEFT(I3837,FIND("minute",I3837)-1)))*60,0)+IFERROR(VALUE(SUBSTITUTE(MID(I3837,IFERROR(FIND("and",I3837)+3,1),20),"second(s)","")),0)</f>
        <v/>
      </c>
      <c r="K3837" s="41">
        <f>J3837/60</f>
        <v/>
      </c>
      <c r="L3837" s="41">
        <f>IFERROR(J3837/H3837,"")</f>
        <v/>
      </c>
      <c r="M3837" s="25" t="inlineStr">
        <is>
          <t>2.5.12</t>
        </is>
      </c>
      <c r="N3837" s="25">
        <f>IF(J3837&gt;300,1,0)</f>
        <v/>
      </c>
      <c r="O3837" s="25">
        <f>IF(J3837&gt;600,1,0)</f>
        <v/>
      </c>
      <c r="P3837" s="25">
        <f>IF(H3837&gt;0,J3837,"")</f>
        <v/>
      </c>
      <c r="Q3837" s="25">
        <f>TEXT(A3837,"YYYY-MM-DD HH")</f>
        <v/>
      </c>
      <c r="R3837" s="25">
        <f>COUNTIF($Q$2:$Q$5295,Q3837)</f>
        <v/>
      </c>
      <c r="S3837" s="25">
        <f>IF(R3837&lt;=2,"1-2",IF(R3837&lt;=5,"3-5",IF(R3837&lt;=10,"6-10","11+")))</f>
        <v/>
      </c>
    </row>
    <row r="3838">
      <c r="A3838" s="39" t="n">
        <v>46217.08907407407</v>
      </c>
      <c r="B3838" s="25">
        <f>TEXT(A3838,"YYYY-MM")</f>
        <v/>
      </c>
      <c r="C3838" s="25">
        <f>TEXT(A3838,"MMM-YYYY")</f>
        <v/>
      </c>
      <c r="D3838" s="40">
        <f>INT(A3838)-WEEKDAY(A3838,2)+1</f>
        <v/>
      </c>
      <c r="E3838" s="25" t="inlineStr">
        <is>
          <t>asahoo</t>
        </is>
      </c>
      <c r="F3838" s="25" t="n">
        <v>127989</v>
      </c>
      <c r="G3838" s="25" t="n">
        <v>2</v>
      </c>
      <c r="H3838" s="25" t="n">
        <v>10</v>
      </c>
      <c r="I3838" s="25" t="inlineStr">
        <is>
          <t>1 minute(s) and 5 second(s)</t>
        </is>
      </c>
      <c r="J3838" s="25">
        <f>IFERROR(VALUE(TRIM(LEFT(I3838,FIND("minute",I3838)-1)))*60,0)+IFERROR(VALUE(SUBSTITUTE(MID(I3838,IFERROR(FIND("and",I3838)+3,1),20),"second(s)","")),0)</f>
        <v/>
      </c>
      <c r="K3838" s="41">
        <f>J3838/60</f>
        <v/>
      </c>
      <c r="L3838" s="41">
        <f>IFERROR(J3838/H3838,"")</f>
        <v/>
      </c>
      <c r="M3838" s="25" t="inlineStr">
        <is>
          <t>2.5.12</t>
        </is>
      </c>
      <c r="N3838" s="25">
        <f>IF(J3838&gt;300,1,0)</f>
        <v/>
      </c>
      <c r="O3838" s="25">
        <f>IF(J3838&gt;600,1,0)</f>
        <v/>
      </c>
      <c r="P3838" s="25">
        <f>IF(H3838&gt;0,J3838,"")</f>
        <v/>
      </c>
      <c r="Q3838" s="25">
        <f>TEXT(A3838,"YYYY-MM-DD HH")</f>
        <v/>
      </c>
      <c r="R3838" s="25">
        <f>COUNTIF($Q$2:$Q$5295,Q3838)</f>
        <v/>
      </c>
      <c r="S3838" s="25">
        <f>IF(R3838&lt;=2,"1-2",IF(R3838&lt;=5,"3-5",IF(R3838&lt;=10,"6-10","11+")))</f>
        <v/>
      </c>
    </row>
    <row r="3839">
      <c r="A3839" s="39" t="n">
        <v>46217.10362268519</v>
      </c>
      <c r="B3839" s="25">
        <f>TEXT(A3839,"YYYY-MM")</f>
        <v/>
      </c>
      <c r="C3839" s="25">
        <f>TEXT(A3839,"MMM-YYYY")</f>
        <v/>
      </c>
      <c r="D3839" s="40">
        <f>INT(A3839)-WEEKDAY(A3839,2)+1</f>
        <v/>
      </c>
      <c r="E3839" s="25" t="inlineStr">
        <is>
          <t>psathwika</t>
        </is>
      </c>
      <c r="F3839" s="25" t="n">
        <v>131859</v>
      </c>
      <c r="G3839" s="25" t="n">
        <v>1</v>
      </c>
      <c r="H3839" s="25" t="n">
        <v>7</v>
      </c>
      <c r="I3839" s="25" t="inlineStr">
        <is>
          <t>41 second(s)</t>
        </is>
      </c>
      <c r="J3839" s="25">
        <f>IFERROR(VALUE(TRIM(LEFT(I3839,FIND("minute",I3839)-1)))*60,0)+IFERROR(VALUE(SUBSTITUTE(MID(I3839,IFERROR(FIND("and",I3839)+3,1),20),"second(s)","")),0)</f>
        <v/>
      </c>
      <c r="K3839" s="41">
        <f>J3839/60</f>
        <v/>
      </c>
      <c r="L3839" s="41">
        <f>IFERROR(J3839/H3839,"")</f>
        <v/>
      </c>
      <c r="M3839" s="25" t="inlineStr">
        <is>
          <t>2.5.12</t>
        </is>
      </c>
      <c r="N3839" s="25">
        <f>IF(J3839&gt;300,1,0)</f>
        <v/>
      </c>
      <c r="O3839" s="25">
        <f>IF(J3839&gt;600,1,0)</f>
        <v/>
      </c>
      <c r="P3839" s="25">
        <f>IF(H3839&gt;0,J3839,"")</f>
        <v/>
      </c>
      <c r="Q3839" s="25">
        <f>TEXT(A3839,"YYYY-MM-DD HH")</f>
        <v/>
      </c>
      <c r="R3839" s="25">
        <f>COUNTIF($Q$2:$Q$5295,Q3839)</f>
        <v/>
      </c>
      <c r="S3839" s="25">
        <f>IF(R3839&lt;=2,"1-2",IF(R3839&lt;=5,"3-5",IF(R3839&lt;=10,"6-10","11+")))</f>
        <v/>
      </c>
    </row>
    <row r="3840">
      <c r="A3840" s="39" t="n">
        <v>46217.10517361111</v>
      </c>
      <c r="B3840" s="25">
        <f>TEXT(A3840,"YYYY-MM")</f>
        <v/>
      </c>
      <c r="C3840" s="25">
        <f>TEXT(A3840,"MMM-YYYY")</f>
        <v/>
      </c>
      <c r="D3840" s="40">
        <f>INT(A3840)-WEEKDAY(A3840,2)+1</f>
        <v/>
      </c>
      <c r="E3840" s="25" t="inlineStr">
        <is>
          <t>ssrinivasan</t>
        </is>
      </c>
      <c r="F3840" s="25" t="n">
        <v>129747</v>
      </c>
      <c r="G3840" s="25" t="n">
        <v>1</v>
      </c>
      <c r="H3840" s="25" t="n">
        <v>6</v>
      </c>
      <c r="I3840" s="25" t="inlineStr">
        <is>
          <t>35 second(s)</t>
        </is>
      </c>
      <c r="J3840" s="25">
        <f>IFERROR(VALUE(TRIM(LEFT(I3840,FIND("minute",I3840)-1)))*60,0)+IFERROR(VALUE(SUBSTITUTE(MID(I3840,IFERROR(FIND("and",I3840)+3,1),20),"second(s)","")),0)</f>
        <v/>
      </c>
      <c r="K3840" s="41">
        <f>J3840/60</f>
        <v/>
      </c>
      <c r="L3840" s="41">
        <f>IFERROR(J3840/H3840,"")</f>
        <v/>
      </c>
      <c r="M3840" s="25" t="inlineStr">
        <is>
          <t>2.5.12</t>
        </is>
      </c>
      <c r="N3840" s="25">
        <f>IF(J3840&gt;300,1,0)</f>
        <v/>
      </c>
      <c r="O3840" s="25">
        <f>IF(J3840&gt;600,1,0)</f>
        <v/>
      </c>
      <c r="P3840" s="25">
        <f>IF(H3840&gt;0,J3840,"")</f>
        <v/>
      </c>
      <c r="Q3840" s="25">
        <f>TEXT(A3840,"YYYY-MM-DD HH")</f>
        <v/>
      </c>
      <c r="R3840" s="25">
        <f>COUNTIF($Q$2:$Q$5295,Q3840)</f>
        <v/>
      </c>
      <c r="S3840" s="25">
        <f>IF(R3840&lt;=2,"1-2",IF(R3840&lt;=5,"3-5",IF(R3840&lt;=10,"6-10","11+")))</f>
        <v/>
      </c>
    </row>
    <row r="3841">
      <c r="A3841" s="39" t="n">
        <v>46217.11084490741</v>
      </c>
      <c r="B3841" s="25">
        <f>TEXT(A3841,"YYYY-MM")</f>
        <v/>
      </c>
      <c r="C3841" s="25">
        <f>TEXT(A3841,"MMM-YYYY")</f>
        <v/>
      </c>
      <c r="D3841" s="40">
        <f>INT(A3841)-WEEKDAY(A3841,2)+1</f>
        <v/>
      </c>
      <c r="E3841" s="25" t="inlineStr">
        <is>
          <t>emishra</t>
        </is>
      </c>
      <c r="F3841" s="25" t="n">
        <v>128751</v>
      </c>
      <c r="G3841" s="25" t="n">
        <v>1</v>
      </c>
      <c r="H3841" s="25" t="n">
        <v>5</v>
      </c>
      <c r="I3841" s="25" t="inlineStr">
        <is>
          <t>23 second(s)</t>
        </is>
      </c>
      <c r="J3841" s="25">
        <f>IFERROR(VALUE(TRIM(LEFT(I3841,FIND("minute",I3841)-1)))*60,0)+IFERROR(VALUE(SUBSTITUTE(MID(I3841,IFERROR(FIND("and",I3841)+3,1),20),"second(s)","")),0)</f>
        <v/>
      </c>
      <c r="K3841" s="41">
        <f>J3841/60</f>
        <v/>
      </c>
      <c r="L3841" s="41">
        <f>IFERROR(J3841/H3841,"")</f>
        <v/>
      </c>
      <c r="M3841" s="25" t="inlineStr">
        <is>
          <t>2.5.12</t>
        </is>
      </c>
      <c r="N3841" s="25">
        <f>IF(J3841&gt;300,1,0)</f>
        <v/>
      </c>
      <c r="O3841" s="25">
        <f>IF(J3841&gt;600,1,0)</f>
        <v/>
      </c>
      <c r="P3841" s="25">
        <f>IF(H3841&gt;0,J3841,"")</f>
        <v/>
      </c>
      <c r="Q3841" s="25">
        <f>TEXT(A3841,"YYYY-MM-DD HH")</f>
        <v/>
      </c>
      <c r="R3841" s="25">
        <f>COUNTIF($Q$2:$Q$5295,Q3841)</f>
        <v/>
      </c>
      <c r="S3841" s="25">
        <f>IF(R3841&lt;=2,"1-2",IF(R3841&lt;=5,"3-5",IF(R3841&lt;=10,"6-10","11+")))</f>
        <v/>
      </c>
    </row>
    <row r="3842">
      <c r="A3842" s="39" t="n">
        <v>46217.11987268519</v>
      </c>
      <c r="B3842" s="25">
        <f>TEXT(A3842,"YYYY-MM")</f>
        <v/>
      </c>
      <c r="C3842" s="25">
        <f>TEXT(A3842,"MMM-YYYY")</f>
        <v/>
      </c>
      <c r="D3842" s="40">
        <f>INT(A3842)-WEEKDAY(A3842,2)+1</f>
        <v/>
      </c>
      <c r="E3842" s="25" t="inlineStr">
        <is>
          <t>shasikha</t>
        </is>
      </c>
      <c r="F3842" s="25" t="n">
        <v>128015</v>
      </c>
      <c r="G3842" s="25" t="n">
        <v>2</v>
      </c>
      <c r="H3842" s="25" t="n">
        <v>12</v>
      </c>
      <c r="I3842" s="25" t="inlineStr">
        <is>
          <t>1 minute(s) and 14 second(s)</t>
        </is>
      </c>
      <c r="J3842" s="25">
        <f>IFERROR(VALUE(TRIM(LEFT(I3842,FIND("minute",I3842)-1)))*60,0)+IFERROR(VALUE(SUBSTITUTE(MID(I3842,IFERROR(FIND("and",I3842)+3,1),20),"second(s)","")),0)</f>
        <v/>
      </c>
      <c r="K3842" s="41">
        <f>J3842/60</f>
        <v/>
      </c>
      <c r="L3842" s="41">
        <f>IFERROR(J3842/H3842,"")</f>
        <v/>
      </c>
      <c r="M3842" s="25" t="inlineStr">
        <is>
          <t>2.5.12</t>
        </is>
      </c>
      <c r="N3842" s="25">
        <f>IF(J3842&gt;300,1,0)</f>
        <v/>
      </c>
      <c r="O3842" s="25">
        <f>IF(J3842&gt;600,1,0)</f>
        <v/>
      </c>
      <c r="P3842" s="25">
        <f>IF(H3842&gt;0,J3842,"")</f>
        <v/>
      </c>
      <c r="Q3842" s="25">
        <f>TEXT(A3842,"YYYY-MM-DD HH")</f>
        <v/>
      </c>
      <c r="R3842" s="25">
        <f>COUNTIF($Q$2:$Q$5295,Q3842)</f>
        <v/>
      </c>
      <c r="S3842" s="25">
        <f>IF(R3842&lt;=2,"1-2",IF(R3842&lt;=5,"3-5",IF(R3842&lt;=10,"6-10","11+")))</f>
        <v/>
      </c>
    </row>
    <row r="3843">
      <c r="A3843" s="39" t="n">
        <v>46217.12616898148</v>
      </c>
      <c r="B3843" s="25">
        <f>TEXT(A3843,"YYYY-MM")</f>
        <v/>
      </c>
      <c r="C3843" s="25">
        <f>TEXT(A3843,"MMM-YYYY")</f>
        <v/>
      </c>
      <c r="D3843" s="40">
        <f>INT(A3843)-WEEKDAY(A3843,2)+1</f>
        <v/>
      </c>
      <c r="E3843" s="25" t="inlineStr">
        <is>
          <t>ajain</t>
        </is>
      </c>
      <c r="F3843" s="25" t="n">
        <v>121135</v>
      </c>
      <c r="G3843" s="25" t="n">
        <v>2</v>
      </c>
      <c r="H3843" s="25" t="n">
        <v>10</v>
      </c>
      <c r="I3843" s="25" t="inlineStr">
        <is>
          <t>1 minute(s) and 59 second(s)</t>
        </is>
      </c>
      <c r="J3843" s="25">
        <f>IFERROR(VALUE(TRIM(LEFT(I3843,FIND("minute",I3843)-1)))*60,0)+IFERROR(VALUE(SUBSTITUTE(MID(I3843,IFERROR(FIND("and",I3843)+3,1),20),"second(s)","")),0)</f>
        <v/>
      </c>
      <c r="K3843" s="41">
        <f>J3843/60</f>
        <v/>
      </c>
      <c r="L3843" s="41">
        <f>IFERROR(J3843/H3843,"")</f>
        <v/>
      </c>
      <c r="M3843" s="25" t="inlineStr">
        <is>
          <t>2.5.12</t>
        </is>
      </c>
      <c r="N3843" s="25">
        <f>IF(J3843&gt;300,1,0)</f>
        <v/>
      </c>
      <c r="O3843" s="25">
        <f>IF(J3843&gt;600,1,0)</f>
        <v/>
      </c>
      <c r="P3843" s="25">
        <f>IF(H3843&gt;0,J3843,"")</f>
        <v/>
      </c>
      <c r="Q3843" s="25">
        <f>TEXT(A3843,"YYYY-MM-DD HH")</f>
        <v/>
      </c>
      <c r="R3843" s="25">
        <f>COUNTIF($Q$2:$Q$5295,Q3843)</f>
        <v/>
      </c>
      <c r="S3843" s="25">
        <f>IF(R3843&lt;=2,"1-2",IF(R3843&lt;=5,"3-5",IF(R3843&lt;=10,"6-10","11+")))</f>
        <v/>
      </c>
    </row>
    <row r="3844">
      <c r="A3844" s="39" t="n">
        <v>46217.12978009259</v>
      </c>
      <c r="B3844" s="25">
        <f>TEXT(A3844,"YYYY-MM")</f>
        <v/>
      </c>
      <c r="C3844" s="25">
        <f>TEXT(A3844,"MMM-YYYY")</f>
        <v/>
      </c>
      <c r="D3844" s="40">
        <f>INT(A3844)-WEEKDAY(A3844,2)+1</f>
        <v/>
      </c>
      <c r="E3844" s="25" t="inlineStr">
        <is>
          <t>ns</t>
        </is>
      </c>
      <c r="F3844" s="25" t="n">
        <v>129043</v>
      </c>
      <c r="G3844" s="25" t="n">
        <v>1</v>
      </c>
      <c r="H3844" s="25" t="n">
        <v>5</v>
      </c>
      <c r="I3844" s="25" t="inlineStr">
        <is>
          <t>21 second(s)</t>
        </is>
      </c>
      <c r="J3844" s="25">
        <f>IFERROR(VALUE(TRIM(LEFT(I3844,FIND("minute",I3844)-1)))*60,0)+IFERROR(VALUE(SUBSTITUTE(MID(I3844,IFERROR(FIND("and",I3844)+3,1),20),"second(s)","")),0)</f>
        <v/>
      </c>
      <c r="K3844" s="41">
        <f>J3844/60</f>
        <v/>
      </c>
      <c r="L3844" s="41">
        <f>IFERROR(J3844/H3844,"")</f>
        <v/>
      </c>
      <c r="M3844" s="25" t="inlineStr">
        <is>
          <t>2.5.12</t>
        </is>
      </c>
      <c r="N3844" s="25">
        <f>IF(J3844&gt;300,1,0)</f>
        <v/>
      </c>
      <c r="O3844" s="25">
        <f>IF(J3844&gt;600,1,0)</f>
        <v/>
      </c>
      <c r="P3844" s="25">
        <f>IF(H3844&gt;0,J3844,"")</f>
        <v/>
      </c>
      <c r="Q3844" s="25">
        <f>TEXT(A3844,"YYYY-MM-DD HH")</f>
        <v/>
      </c>
      <c r="R3844" s="25">
        <f>COUNTIF($Q$2:$Q$5295,Q3844)</f>
        <v/>
      </c>
      <c r="S3844" s="25">
        <f>IF(R3844&lt;=2,"1-2",IF(R3844&lt;=5,"3-5",IF(R3844&lt;=10,"6-10","11+")))</f>
        <v/>
      </c>
    </row>
    <row r="3845">
      <c r="A3845" s="39" t="n">
        <v>46217.13083333334</v>
      </c>
      <c r="B3845" s="25">
        <f>TEXT(A3845,"YYYY-MM")</f>
        <v/>
      </c>
      <c r="C3845" s="25">
        <f>TEXT(A3845,"MMM-YYYY")</f>
        <v/>
      </c>
      <c r="D3845" s="40">
        <f>INT(A3845)-WEEKDAY(A3845,2)+1</f>
        <v/>
      </c>
      <c r="E3845" s="25" t="inlineStr">
        <is>
          <t>aupadhayay</t>
        </is>
      </c>
      <c r="F3845" s="25" t="n">
        <v>129646</v>
      </c>
      <c r="G3845" s="25" t="n">
        <v>2</v>
      </c>
      <c r="H3845" s="25" t="n">
        <v>14</v>
      </c>
      <c r="I3845" s="25" t="inlineStr">
        <is>
          <t>1 minute(s) and 55 second(s)</t>
        </is>
      </c>
      <c r="J3845" s="25">
        <f>IFERROR(VALUE(TRIM(LEFT(I3845,FIND("minute",I3845)-1)))*60,0)+IFERROR(VALUE(SUBSTITUTE(MID(I3845,IFERROR(FIND("and",I3845)+3,1),20),"second(s)","")),0)</f>
        <v/>
      </c>
      <c r="K3845" s="41">
        <f>J3845/60</f>
        <v/>
      </c>
      <c r="L3845" s="41">
        <f>IFERROR(J3845/H3845,"")</f>
        <v/>
      </c>
      <c r="M3845" s="25" t="inlineStr">
        <is>
          <t>2.5.12</t>
        </is>
      </c>
      <c r="N3845" s="25">
        <f>IF(J3845&gt;300,1,0)</f>
        <v/>
      </c>
      <c r="O3845" s="25">
        <f>IF(J3845&gt;600,1,0)</f>
        <v/>
      </c>
      <c r="P3845" s="25">
        <f>IF(H3845&gt;0,J3845,"")</f>
        <v/>
      </c>
      <c r="Q3845" s="25">
        <f>TEXT(A3845,"YYYY-MM-DD HH")</f>
        <v/>
      </c>
      <c r="R3845" s="25">
        <f>COUNTIF($Q$2:$Q$5295,Q3845)</f>
        <v/>
      </c>
      <c r="S3845" s="25">
        <f>IF(R3845&lt;=2,"1-2",IF(R3845&lt;=5,"3-5",IF(R3845&lt;=10,"6-10","11+")))</f>
        <v/>
      </c>
    </row>
    <row r="3846">
      <c r="A3846" s="39" t="n">
        <v>46217.13506944444</v>
      </c>
      <c r="B3846" s="25">
        <f>TEXT(A3846,"YYYY-MM")</f>
        <v/>
      </c>
      <c r="C3846" s="25">
        <f>TEXT(A3846,"MMM-YYYY")</f>
        <v/>
      </c>
      <c r="D3846" s="40">
        <f>INT(A3846)-WEEKDAY(A3846,2)+1</f>
        <v/>
      </c>
      <c r="E3846" s="25" t="inlineStr">
        <is>
          <t>asahoo</t>
        </is>
      </c>
      <c r="F3846" s="25" t="n">
        <v>128149</v>
      </c>
      <c r="G3846" s="25" t="n">
        <v>2</v>
      </c>
      <c r="H3846" s="25" t="n">
        <v>14</v>
      </c>
      <c r="I3846" s="25" t="inlineStr">
        <is>
          <t>1 minute(s) and 32 second(s)</t>
        </is>
      </c>
      <c r="J3846" s="25">
        <f>IFERROR(VALUE(TRIM(LEFT(I3846,FIND("minute",I3846)-1)))*60,0)+IFERROR(VALUE(SUBSTITUTE(MID(I3846,IFERROR(FIND("and",I3846)+3,1),20),"second(s)","")),0)</f>
        <v/>
      </c>
      <c r="K3846" s="41">
        <f>J3846/60</f>
        <v/>
      </c>
      <c r="L3846" s="41">
        <f>IFERROR(J3846/H3846,"")</f>
        <v/>
      </c>
      <c r="M3846" s="25" t="inlineStr">
        <is>
          <t>2.5.12</t>
        </is>
      </c>
      <c r="N3846" s="25">
        <f>IF(J3846&gt;300,1,0)</f>
        <v/>
      </c>
      <c r="O3846" s="25">
        <f>IF(J3846&gt;600,1,0)</f>
        <v/>
      </c>
      <c r="P3846" s="25">
        <f>IF(H3846&gt;0,J3846,"")</f>
        <v/>
      </c>
      <c r="Q3846" s="25">
        <f>TEXT(A3846,"YYYY-MM-DD HH")</f>
        <v/>
      </c>
      <c r="R3846" s="25">
        <f>COUNTIF($Q$2:$Q$5295,Q3846)</f>
        <v/>
      </c>
      <c r="S3846" s="25">
        <f>IF(R3846&lt;=2,"1-2",IF(R3846&lt;=5,"3-5",IF(R3846&lt;=10,"6-10","11+")))</f>
        <v/>
      </c>
    </row>
    <row r="3847">
      <c r="A3847" s="39" t="n">
        <v>46217.13716435185</v>
      </c>
      <c r="B3847" s="25">
        <f>TEXT(A3847,"YYYY-MM")</f>
        <v/>
      </c>
      <c r="C3847" s="25">
        <f>TEXT(A3847,"MMM-YYYY")</f>
        <v/>
      </c>
      <c r="D3847" s="40">
        <f>INT(A3847)-WEEKDAY(A3847,2)+1</f>
        <v/>
      </c>
      <c r="E3847" s="25" t="inlineStr">
        <is>
          <t>psathwika</t>
        </is>
      </c>
      <c r="F3847" s="25" t="n">
        <v>131835</v>
      </c>
      <c r="G3847" s="25" t="n">
        <v>2</v>
      </c>
      <c r="H3847" s="25" t="n">
        <v>10</v>
      </c>
      <c r="I3847" s="25" t="inlineStr">
        <is>
          <t>57 second(s)</t>
        </is>
      </c>
      <c r="J3847" s="25">
        <f>IFERROR(VALUE(TRIM(LEFT(I3847,FIND("minute",I3847)-1)))*60,0)+IFERROR(VALUE(SUBSTITUTE(MID(I3847,IFERROR(FIND("and",I3847)+3,1),20),"second(s)","")),0)</f>
        <v/>
      </c>
      <c r="K3847" s="41">
        <f>J3847/60</f>
        <v/>
      </c>
      <c r="L3847" s="41">
        <f>IFERROR(J3847/H3847,"")</f>
        <v/>
      </c>
      <c r="M3847" s="25" t="inlineStr">
        <is>
          <t>2.5.12</t>
        </is>
      </c>
      <c r="N3847" s="25">
        <f>IF(J3847&gt;300,1,0)</f>
        <v/>
      </c>
      <c r="O3847" s="25">
        <f>IF(J3847&gt;600,1,0)</f>
        <v/>
      </c>
      <c r="P3847" s="25">
        <f>IF(H3847&gt;0,J3847,"")</f>
        <v/>
      </c>
      <c r="Q3847" s="25">
        <f>TEXT(A3847,"YYYY-MM-DD HH")</f>
        <v/>
      </c>
      <c r="R3847" s="25">
        <f>COUNTIF($Q$2:$Q$5295,Q3847)</f>
        <v/>
      </c>
      <c r="S3847" s="25">
        <f>IF(R3847&lt;=2,"1-2",IF(R3847&lt;=5,"3-5",IF(R3847&lt;=10,"6-10","11+")))</f>
        <v/>
      </c>
    </row>
    <row r="3848">
      <c r="A3848" s="39" t="n">
        <v>46217.15478009259</v>
      </c>
      <c r="B3848" s="25">
        <f>TEXT(A3848,"YYYY-MM")</f>
        <v/>
      </c>
      <c r="C3848" s="25">
        <f>TEXT(A3848,"MMM-YYYY")</f>
        <v/>
      </c>
      <c r="D3848" s="40">
        <f>INT(A3848)-WEEKDAY(A3848,2)+1</f>
        <v/>
      </c>
      <c r="E3848" s="25" t="inlineStr">
        <is>
          <t>pgautam</t>
        </is>
      </c>
      <c r="F3848" s="25" t="n">
        <v>128277</v>
      </c>
      <c r="G3848" s="25" t="n">
        <v>2</v>
      </c>
      <c r="H3848" s="25" t="n">
        <v>12</v>
      </c>
      <c r="I3848" s="25" t="inlineStr">
        <is>
          <t>3 minute(s) and 6 second(s)</t>
        </is>
      </c>
      <c r="J3848" s="25">
        <f>IFERROR(VALUE(TRIM(LEFT(I3848,FIND("minute",I3848)-1)))*60,0)+IFERROR(VALUE(SUBSTITUTE(MID(I3848,IFERROR(FIND("and",I3848)+3,1),20),"second(s)","")),0)</f>
        <v/>
      </c>
      <c r="K3848" s="41">
        <f>J3848/60</f>
        <v/>
      </c>
      <c r="L3848" s="41">
        <f>IFERROR(J3848/H3848,"")</f>
        <v/>
      </c>
      <c r="M3848" s="25" t="inlineStr">
        <is>
          <t>2.5.12</t>
        </is>
      </c>
      <c r="N3848" s="25">
        <f>IF(J3848&gt;300,1,0)</f>
        <v/>
      </c>
      <c r="O3848" s="25">
        <f>IF(J3848&gt;600,1,0)</f>
        <v/>
      </c>
      <c r="P3848" s="25">
        <f>IF(H3848&gt;0,J3848,"")</f>
        <v/>
      </c>
      <c r="Q3848" s="25">
        <f>TEXT(A3848,"YYYY-MM-DD HH")</f>
        <v/>
      </c>
      <c r="R3848" s="25">
        <f>COUNTIF($Q$2:$Q$5295,Q3848)</f>
        <v/>
      </c>
      <c r="S3848" s="25">
        <f>IF(R3848&lt;=2,"1-2",IF(R3848&lt;=5,"3-5",IF(R3848&lt;=10,"6-10","11+")))</f>
        <v/>
      </c>
    </row>
    <row r="3849">
      <c r="A3849" s="39" t="n">
        <v>46217.15486111111</v>
      </c>
      <c r="B3849" s="25">
        <f>TEXT(A3849,"YYYY-MM")</f>
        <v/>
      </c>
      <c r="C3849" s="25">
        <f>TEXT(A3849,"MMM-YYYY")</f>
        <v/>
      </c>
      <c r="D3849" s="40">
        <f>INT(A3849)-WEEKDAY(A3849,2)+1</f>
        <v/>
      </c>
      <c r="E3849" s="25" t="inlineStr">
        <is>
          <t>smukhopadhyay</t>
        </is>
      </c>
      <c r="F3849" s="25" t="n">
        <v>128368</v>
      </c>
      <c r="G3849" s="25" t="n">
        <v>2</v>
      </c>
      <c r="H3849" s="25" t="n">
        <v>12</v>
      </c>
      <c r="I3849" s="25" t="inlineStr">
        <is>
          <t>1 minute(s) and 11 second(s)</t>
        </is>
      </c>
      <c r="J3849" s="25">
        <f>IFERROR(VALUE(TRIM(LEFT(I3849,FIND("minute",I3849)-1)))*60,0)+IFERROR(VALUE(SUBSTITUTE(MID(I3849,IFERROR(FIND("and",I3849)+3,1),20),"second(s)","")),0)</f>
        <v/>
      </c>
      <c r="K3849" s="41">
        <f>J3849/60</f>
        <v/>
      </c>
      <c r="L3849" s="41">
        <f>IFERROR(J3849/H3849,"")</f>
        <v/>
      </c>
      <c r="M3849" s="25" t="inlineStr">
        <is>
          <t>2.5.12</t>
        </is>
      </c>
      <c r="N3849" s="25">
        <f>IF(J3849&gt;300,1,0)</f>
        <v/>
      </c>
      <c r="O3849" s="25">
        <f>IF(J3849&gt;600,1,0)</f>
        <v/>
      </c>
      <c r="P3849" s="25">
        <f>IF(H3849&gt;0,J3849,"")</f>
        <v/>
      </c>
      <c r="Q3849" s="25">
        <f>TEXT(A3849,"YYYY-MM-DD HH")</f>
        <v/>
      </c>
      <c r="R3849" s="25">
        <f>COUNTIF($Q$2:$Q$5295,Q3849)</f>
        <v/>
      </c>
      <c r="S3849" s="25">
        <f>IF(R3849&lt;=2,"1-2",IF(R3849&lt;=5,"3-5",IF(R3849&lt;=10,"6-10","11+")))</f>
        <v/>
      </c>
    </row>
    <row r="3850">
      <c r="A3850" s="39" t="n">
        <v>46217.15996527778</v>
      </c>
      <c r="B3850" s="25">
        <f>TEXT(A3850,"YYYY-MM")</f>
        <v/>
      </c>
      <c r="C3850" s="25">
        <f>TEXT(A3850,"MMM-YYYY")</f>
        <v/>
      </c>
      <c r="D3850" s="40">
        <f>INT(A3850)-WEEKDAY(A3850,2)+1</f>
        <v/>
      </c>
      <c r="E3850" s="25" t="inlineStr">
        <is>
          <t>npriya</t>
        </is>
      </c>
      <c r="F3850" s="25" t="n">
        <v>130955</v>
      </c>
      <c r="G3850" s="25" t="n">
        <v>3</v>
      </c>
      <c r="H3850" s="25" t="n">
        <v>17</v>
      </c>
      <c r="I3850" s="25" t="inlineStr">
        <is>
          <t>2 minute(s) and 41 second(s)</t>
        </is>
      </c>
      <c r="J3850" s="25">
        <f>IFERROR(VALUE(TRIM(LEFT(I3850,FIND("minute",I3850)-1)))*60,0)+IFERROR(VALUE(SUBSTITUTE(MID(I3850,IFERROR(FIND("and",I3850)+3,1),20),"second(s)","")),0)</f>
        <v/>
      </c>
      <c r="K3850" s="41">
        <f>J3850/60</f>
        <v/>
      </c>
      <c r="L3850" s="41">
        <f>IFERROR(J3850/H3850,"")</f>
        <v/>
      </c>
      <c r="M3850" s="25" t="inlineStr">
        <is>
          <t>2.5.12</t>
        </is>
      </c>
      <c r="N3850" s="25">
        <f>IF(J3850&gt;300,1,0)</f>
        <v/>
      </c>
      <c r="O3850" s="25">
        <f>IF(J3850&gt;600,1,0)</f>
        <v/>
      </c>
      <c r="P3850" s="25">
        <f>IF(H3850&gt;0,J3850,"")</f>
        <v/>
      </c>
      <c r="Q3850" s="25">
        <f>TEXT(A3850,"YYYY-MM-DD HH")</f>
        <v/>
      </c>
      <c r="R3850" s="25">
        <f>COUNTIF($Q$2:$Q$5295,Q3850)</f>
        <v/>
      </c>
      <c r="S3850" s="25">
        <f>IF(R3850&lt;=2,"1-2",IF(R3850&lt;=5,"3-5",IF(R3850&lt;=10,"6-10","11+")))</f>
        <v/>
      </c>
    </row>
    <row r="3851">
      <c r="A3851" s="39" t="n">
        <v>46217.17390046296</v>
      </c>
      <c r="B3851" s="25">
        <f>TEXT(A3851,"YYYY-MM")</f>
        <v/>
      </c>
      <c r="C3851" s="25">
        <f>TEXT(A3851,"MMM-YYYY")</f>
        <v/>
      </c>
      <c r="D3851" s="40">
        <f>INT(A3851)-WEEKDAY(A3851,2)+1</f>
        <v/>
      </c>
      <c r="E3851" s="25" t="inlineStr">
        <is>
          <t>tkarmakar</t>
        </is>
      </c>
      <c r="F3851" s="25" t="n">
        <v>132545</v>
      </c>
      <c r="G3851" s="25" t="n">
        <v>4</v>
      </c>
      <c r="H3851" s="25" t="n">
        <v>18</v>
      </c>
      <c r="I3851" s="25" t="inlineStr">
        <is>
          <t>1 minute(s) and 56 second(s)</t>
        </is>
      </c>
      <c r="J3851" s="25">
        <f>IFERROR(VALUE(TRIM(LEFT(I3851,FIND("minute",I3851)-1)))*60,0)+IFERROR(VALUE(SUBSTITUTE(MID(I3851,IFERROR(FIND("and",I3851)+3,1),20),"second(s)","")),0)</f>
        <v/>
      </c>
      <c r="K3851" s="41">
        <f>J3851/60</f>
        <v/>
      </c>
      <c r="L3851" s="41">
        <f>IFERROR(J3851/H3851,"")</f>
        <v/>
      </c>
      <c r="M3851" s="25" t="inlineStr">
        <is>
          <t>2.5.12</t>
        </is>
      </c>
      <c r="N3851" s="25">
        <f>IF(J3851&gt;300,1,0)</f>
        <v/>
      </c>
      <c r="O3851" s="25">
        <f>IF(J3851&gt;600,1,0)</f>
        <v/>
      </c>
      <c r="P3851" s="25">
        <f>IF(H3851&gt;0,J3851,"")</f>
        <v/>
      </c>
      <c r="Q3851" s="25">
        <f>TEXT(A3851,"YYYY-MM-DD HH")</f>
        <v/>
      </c>
      <c r="R3851" s="25">
        <f>COUNTIF($Q$2:$Q$5295,Q3851)</f>
        <v/>
      </c>
      <c r="S3851" s="25">
        <f>IF(R3851&lt;=2,"1-2",IF(R3851&lt;=5,"3-5",IF(R3851&lt;=10,"6-10","11+")))</f>
        <v/>
      </c>
    </row>
    <row r="3852">
      <c r="A3852" s="39" t="n">
        <v>46217.17854166667</v>
      </c>
      <c r="B3852" s="25">
        <f>TEXT(A3852,"YYYY-MM")</f>
        <v/>
      </c>
      <c r="C3852" s="25">
        <f>TEXT(A3852,"MMM-YYYY")</f>
        <v/>
      </c>
      <c r="D3852" s="40">
        <f>INT(A3852)-WEEKDAY(A3852,2)+1</f>
        <v/>
      </c>
      <c r="E3852" s="25" t="inlineStr">
        <is>
          <t>aupadhayay</t>
        </is>
      </c>
      <c r="F3852" s="25" t="n">
        <v>129566</v>
      </c>
      <c r="G3852" s="25" t="n">
        <v>3</v>
      </c>
      <c r="H3852" s="25" t="n">
        <v>19</v>
      </c>
      <c r="I3852" s="25" t="inlineStr">
        <is>
          <t>1 minute(s) and 58 second(s)</t>
        </is>
      </c>
      <c r="J3852" s="25">
        <f>IFERROR(VALUE(TRIM(LEFT(I3852,FIND("minute",I3852)-1)))*60,0)+IFERROR(VALUE(SUBSTITUTE(MID(I3852,IFERROR(FIND("and",I3852)+3,1),20),"second(s)","")),0)</f>
        <v/>
      </c>
      <c r="K3852" s="41">
        <f>J3852/60</f>
        <v/>
      </c>
      <c r="L3852" s="41">
        <f>IFERROR(J3852/H3852,"")</f>
        <v/>
      </c>
      <c r="M3852" s="25" t="inlineStr">
        <is>
          <t>2.5.12</t>
        </is>
      </c>
      <c r="N3852" s="25">
        <f>IF(J3852&gt;300,1,0)</f>
        <v/>
      </c>
      <c r="O3852" s="25">
        <f>IF(J3852&gt;600,1,0)</f>
        <v/>
      </c>
      <c r="P3852" s="25">
        <f>IF(H3852&gt;0,J3852,"")</f>
        <v/>
      </c>
      <c r="Q3852" s="25">
        <f>TEXT(A3852,"YYYY-MM-DD HH")</f>
        <v/>
      </c>
      <c r="R3852" s="25">
        <f>COUNTIF($Q$2:$Q$5295,Q3852)</f>
        <v/>
      </c>
      <c r="S3852" s="25">
        <f>IF(R3852&lt;=2,"1-2",IF(R3852&lt;=5,"3-5",IF(R3852&lt;=10,"6-10","11+")))</f>
        <v/>
      </c>
    </row>
    <row r="3853">
      <c r="A3853" s="39" t="n">
        <v>46217.17954861111</v>
      </c>
      <c r="B3853" s="25">
        <f>TEXT(A3853,"YYYY-MM")</f>
        <v/>
      </c>
      <c r="C3853" s="25">
        <f>TEXT(A3853,"MMM-YYYY")</f>
        <v/>
      </c>
      <c r="D3853" s="40">
        <f>INT(A3853)-WEEKDAY(A3853,2)+1</f>
        <v/>
      </c>
      <c r="E3853" s="25" t="inlineStr">
        <is>
          <t>adey</t>
        </is>
      </c>
      <c r="F3853" s="25" t="n">
        <v>129700</v>
      </c>
      <c r="G3853" s="25" t="n">
        <v>2</v>
      </c>
      <c r="H3853" s="25" t="n">
        <v>10</v>
      </c>
      <c r="I3853" s="25" t="inlineStr">
        <is>
          <t>1 minute(s) and 7 second(s)</t>
        </is>
      </c>
      <c r="J3853" s="25">
        <f>IFERROR(VALUE(TRIM(LEFT(I3853,FIND("minute",I3853)-1)))*60,0)+IFERROR(VALUE(SUBSTITUTE(MID(I3853,IFERROR(FIND("and",I3853)+3,1),20),"second(s)","")),0)</f>
        <v/>
      </c>
      <c r="K3853" s="41">
        <f>J3853/60</f>
        <v/>
      </c>
      <c r="L3853" s="41">
        <f>IFERROR(J3853/H3853,"")</f>
        <v/>
      </c>
      <c r="M3853" s="25" t="inlineStr">
        <is>
          <t>2.5.12</t>
        </is>
      </c>
      <c r="N3853" s="25">
        <f>IF(J3853&gt;300,1,0)</f>
        <v/>
      </c>
      <c r="O3853" s="25">
        <f>IF(J3853&gt;600,1,0)</f>
        <v/>
      </c>
      <c r="P3853" s="25">
        <f>IF(H3853&gt;0,J3853,"")</f>
        <v/>
      </c>
      <c r="Q3853" s="25">
        <f>TEXT(A3853,"YYYY-MM-DD HH")</f>
        <v/>
      </c>
      <c r="R3853" s="25">
        <f>COUNTIF($Q$2:$Q$5295,Q3853)</f>
        <v/>
      </c>
      <c r="S3853" s="25">
        <f>IF(R3853&lt;=2,"1-2",IF(R3853&lt;=5,"3-5",IF(R3853&lt;=10,"6-10","11+")))</f>
        <v/>
      </c>
    </row>
    <row r="3854">
      <c r="A3854" s="39" t="n">
        <v>46217.19021990741</v>
      </c>
      <c r="B3854" s="25">
        <f>TEXT(A3854,"YYYY-MM")</f>
        <v/>
      </c>
      <c r="C3854" s="25">
        <f>TEXT(A3854,"MMM-YYYY")</f>
        <v/>
      </c>
      <c r="D3854" s="40">
        <f>INT(A3854)-WEEKDAY(A3854,2)+1</f>
        <v/>
      </c>
      <c r="E3854" s="25" t="inlineStr">
        <is>
          <t>asahoo</t>
        </is>
      </c>
      <c r="F3854" s="25" t="n">
        <v>128157</v>
      </c>
      <c r="G3854" s="25" t="n">
        <v>4</v>
      </c>
      <c r="H3854" s="25" t="n">
        <v>28</v>
      </c>
      <c r="I3854" s="25" t="inlineStr">
        <is>
          <t>3 minute(s) and 11 second(s)</t>
        </is>
      </c>
      <c r="J3854" s="25">
        <f>IFERROR(VALUE(TRIM(LEFT(I3854,FIND("minute",I3854)-1)))*60,0)+IFERROR(VALUE(SUBSTITUTE(MID(I3854,IFERROR(FIND("and",I3854)+3,1),20),"second(s)","")),0)</f>
        <v/>
      </c>
      <c r="K3854" s="41">
        <f>J3854/60</f>
        <v/>
      </c>
      <c r="L3854" s="41">
        <f>IFERROR(J3854/H3854,"")</f>
        <v/>
      </c>
      <c r="M3854" s="25" t="inlineStr">
        <is>
          <t>2.5.12</t>
        </is>
      </c>
      <c r="N3854" s="25">
        <f>IF(J3854&gt;300,1,0)</f>
        <v/>
      </c>
      <c r="O3854" s="25">
        <f>IF(J3854&gt;600,1,0)</f>
        <v/>
      </c>
      <c r="P3854" s="25">
        <f>IF(H3854&gt;0,J3854,"")</f>
        <v/>
      </c>
      <c r="Q3854" s="25">
        <f>TEXT(A3854,"YYYY-MM-DD HH")</f>
        <v/>
      </c>
      <c r="R3854" s="25">
        <f>COUNTIF($Q$2:$Q$5295,Q3854)</f>
        <v/>
      </c>
      <c r="S3854" s="25">
        <f>IF(R3854&lt;=2,"1-2",IF(R3854&lt;=5,"3-5",IF(R3854&lt;=10,"6-10","11+")))</f>
        <v/>
      </c>
    </row>
    <row r="3855">
      <c r="A3855" s="39" t="n">
        <v>46217.19190972222</v>
      </c>
      <c r="B3855" s="25">
        <f>TEXT(A3855,"YYYY-MM")</f>
        <v/>
      </c>
      <c r="C3855" s="25">
        <f>TEXT(A3855,"MMM-YYYY")</f>
        <v/>
      </c>
      <c r="D3855" s="40">
        <f>INT(A3855)-WEEKDAY(A3855,2)+1</f>
        <v/>
      </c>
      <c r="E3855" s="25" t="inlineStr">
        <is>
          <t>mbhalla</t>
        </is>
      </c>
      <c r="F3855" s="25" t="n">
        <v>129480</v>
      </c>
      <c r="G3855" s="25" t="n">
        <v>1</v>
      </c>
      <c r="H3855" s="25" t="n">
        <v>7</v>
      </c>
      <c r="I3855" s="25" t="inlineStr">
        <is>
          <t>27 second(s)</t>
        </is>
      </c>
      <c r="J3855" s="25">
        <f>IFERROR(VALUE(TRIM(LEFT(I3855,FIND("minute",I3855)-1)))*60,0)+IFERROR(VALUE(SUBSTITUTE(MID(I3855,IFERROR(FIND("and",I3855)+3,1),20),"second(s)","")),0)</f>
        <v/>
      </c>
      <c r="K3855" s="41">
        <f>J3855/60</f>
        <v/>
      </c>
      <c r="L3855" s="41">
        <f>IFERROR(J3855/H3855,"")</f>
        <v/>
      </c>
      <c r="M3855" s="25" t="inlineStr">
        <is>
          <t>2.5.12</t>
        </is>
      </c>
      <c r="N3855" s="25">
        <f>IF(J3855&gt;300,1,0)</f>
        <v/>
      </c>
      <c r="O3855" s="25">
        <f>IF(J3855&gt;600,1,0)</f>
        <v/>
      </c>
      <c r="P3855" s="25">
        <f>IF(H3855&gt;0,J3855,"")</f>
        <v/>
      </c>
      <c r="Q3855" s="25">
        <f>TEXT(A3855,"YYYY-MM-DD HH")</f>
        <v/>
      </c>
      <c r="R3855" s="25">
        <f>COUNTIF($Q$2:$Q$5295,Q3855)</f>
        <v/>
      </c>
      <c r="S3855" s="25">
        <f>IF(R3855&lt;=2,"1-2",IF(R3855&lt;=5,"3-5",IF(R3855&lt;=10,"6-10","11+")))</f>
        <v/>
      </c>
    </row>
    <row r="3856">
      <c r="A3856" s="39" t="n">
        <v>46217.19231481481</v>
      </c>
      <c r="B3856" s="25">
        <f>TEXT(A3856,"YYYY-MM")</f>
        <v/>
      </c>
      <c r="C3856" s="25">
        <f>TEXT(A3856,"MMM-YYYY")</f>
        <v/>
      </c>
      <c r="D3856" s="40">
        <f>INT(A3856)-WEEKDAY(A3856,2)+1</f>
        <v/>
      </c>
      <c r="E3856" s="25" t="inlineStr">
        <is>
          <t>ssrinivasan</t>
        </is>
      </c>
      <c r="F3856" s="25" t="n">
        <v>129643</v>
      </c>
      <c r="G3856" s="25" t="n">
        <v>1</v>
      </c>
      <c r="H3856" s="25" t="n">
        <v>7</v>
      </c>
      <c r="I3856" s="25" t="inlineStr">
        <is>
          <t>38 second(s)</t>
        </is>
      </c>
      <c r="J3856" s="25">
        <f>IFERROR(VALUE(TRIM(LEFT(I3856,FIND("minute",I3856)-1)))*60,0)+IFERROR(VALUE(SUBSTITUTE(MID(I3856,IFERROR(FIND("and",I3856)+3,1),20),"second(s)","")),0)</f>
        <v/>
      </c>
      <c r="K3856" s="41">
        <f>J3856/60</f>
        <v/>
      </c>
      <c r="L3856" s="41">
        <f>IFERROR(J3856/H3856,"")</f>
        <v/>
      </c>
      <c r="M3856" s="25" t="inlineStr">
        <is>
          <t>2.5.12</t>
        </is>
      </c>
      <c r="N3856" s="25">
        <f>IF(J3856&gt;300,1,0)</f>
        <v/>
      </c>
      <c r="O3856" s="25">
        <f>IF(J3856&gt;600,1,0)</f>
        <v/>
      </c>
      <c r="P3856" s="25">
        <f>IF(H3856&gt;0,J3856,"")</f>
        <v/>
      </c>
      <c r="Q3856" s="25">
        <f>TEXT(A3856,"YYYY-MM-DD HH")</f>
        <v/>
      </c>
      <c r="R3856" s="25">
        <f>COUNTIF($Q$2:$Q$5295,Q3856)</f>
        <v/>
      </c>
      <c r="S3856" s="25">
        <f>IF(R3856&lt;=2,"1-2",IF(R3856&lt;=5,"3-5",IF(R3856&lt;=10,"6-10","11+")))</f>
        <v/>
      </c>
    </row>
    <row r="3857">
      <c r="A3857" s="39" t="n">
        <v>46217.19282407407</v>
      </c>
      <c r="B3857" s="25">
        <f>TEXT(A3857,"YYYY-MM")</f>
        <v/>
      </c>
      <c r="C3857" s="25">
        <f>TEXT(A3857,"MMM-YYYY")</f>
        <v/>
      </c>
      <c r="D3857" s="40">
        <f>INT(A3857)-WEEKDAY(A3857,2)+1</f>
        <v/>
      </c>
      <c r="E3857" s="25" t="inlineStr">
        <is>
          <t>atiwari</t>
        </is>
      </c>
      <c r="F3857" s="25" t="n">
        <v>132787</v>
      </c>
      <c r="G3857" s="25" t="n">
        <v>2</v>
      </c>
      <c r="H3857" s="25" t="n">
        <v>10</v>
      </c>
      <c r="I3857" s="25" t="inlineStr">
        <is>
          <t>1 minute(s) and 3 second(s)</t>
        </is>
      </c>
      <c r="J3857" s="25">
        <f>IFERROR(VALUE(TRIM(LEFT(I3857,FIND("minute",I3857)-1)))*60,0)+IFERROR(VALUE(SUBSTITUTE(MID(I3857,IFERROR(FIND("and",I3857)+3,1),20),"second(s)","")),0)</f>
        <v/>
      </c>
      <c r="K3857" s="41">
        <f>J3857/60</f>
        <v/>
      </c>
      <c r="L3857" s="41">
        <f>IFERROR(J3857/H3857,"")</f>
        <v/>
      </c>
      <c r="M3857" s="25" t="inlineStr">
        <is>
          <t>2.5.12</t>
        </is>
      </c>
      <c r="N3857" s="25">
        <f>IF(J3857&gt;300,1,0)</f>
        <v/>
      </c>
      <c r="O3857" s="25">
        <f>IF(J3857&gt;600,1,0)</f>
        <v/>
      </c>
      <c r="P3857" s="25">
        <f>IF(H3857&gt;0,J3857,"")</f>
        <v/>
      </c>
      <c r="Q3857" s="25">
        <f>TEXT(A3857,"YYYY-MM-DD HH")</f>
        <v/>
      </c>
      <c r="R3857" s="25">
        <f>COUNTIF($Q$2:$Q$5295,Q3857)</f>
        <v/>
      </c>
      <c r="S3857" s="25">
        <f>IF(R3857&lt;=2,"1-2",IF(R3857&lt;=5,"3-5",IF(R3857&lt;=10,"6-10","11+")))</f>
        <v/>
      </c>
    </row>
    <row r="3858">
      <c r="A3858" s="39" t="n">
        <v>46217.1953125</v>
      </c>
      <c r="B3858" s="25">
        <f>TEXT(A3858,"YYYY-MM")</f>
        <v/>
      </c>
      <c r="C3858" s="25">
        <f>TEXT(A3858,"MMM-YYYY")</f>
        <v/>
      </c>
      <c r="D3858" s="40">
        <f>INT(A3858)-WEEKDAY(A3858,2)+1</f>
        <v/>
      </c>
      <c r="E3858" s="25" t="inlineStr">
        <is>
          <t>dchoudhury</t>
        </is>
      </c>
      <c r="F3858" s="25" t="n">
        <v>129280</v>
      </c>
      <c r="G3858" s="25" t="n">
        <v>5</v>
      </c>
      <c r="H3858" s="25" t="n">
        <v>17</v>
      </c>
      <c r="I3858" s="25" t="inlineStr">
        <is>
          <t>1 minute(s) and 35 second(s)</t>
        </is>
      </c>
      <c r="J3858" s="25">
        <f>IFERROR(VALUE(TRIM(LEFT(I3858,FIND("minute",I3858)-1)))*60,0)+IFERROR(VALUE(SUBSTITUTE(MID(I3858,IFERROR(FIND("and",I3858)+3,1),20),"second(s)","")),0)</f>
        <v/>
      </c>
      <c r="K3858" s="41">
        <f>J3858/60</f>
        <v/>
      </c>
      <c r="L3858" s="41">
        <f>IFERROR(J3858/H3858,"")</f>
        <v/>
      </c>
      <c r="M3858" s="25" t="inlineStr">
        <is>
          <t>2.5.12</t>
        </is>
      </c>
      <c r="N3858" s="25">
        <f>IF(J3858&gt;300,1,0)</f>
        <v/>
      </c>
      <c r="O3858" s="25">
        <f>IF(J3858&gt;600,1,0)</f>
        <v/>
      </c>
      <c r="P3858" s="25">
        <f>IF(H3858&gt;0,J3858,"")</f>
        <v/>
      </c>
      <c r="Q3858" s="25">
        <f>TEXT(A3858,"YYYY-MM-DD HH")</f>
        <v/>
      </c>
      <c r="R3858" s="25">
        <f>COUNTIF($Q$2:$Q$5295,Q3858)</f>
        <v/>
      </c>
      <c r="S3858" s="25">
        <f>IF(R3858&lt;=2,"1-2",IF(R3858&lt;=5,"3-5",IF(R3858&lt;=10,"6-10","11+")))</f>
        <v/>
      </c>
    </row>
    <row r="3859">
      <c r="A3859" s="39" t="n">
        <v>46217.1994675926</v>
      </c>
      <c r="B3859" s="25">
        <f>TEXT(A3859,"YYYY-MM")</f>
        <v/>
      </c>
      <c r="C3859" s="25">
        <f>TEXT(A3859,"MMM-YYYY")</f>
        <v/>
      </c>
      <c r="D3859" s="40">
        <f>INT(A3859)-WEEKDAY(A3859,2)+1</f>
        <v/>
      </c>
      <c r="E3859" s="25" t="inlineStr">
        <is>
          <t>aghosh</t>
        </is>
      </c>
      <c r="F3859" s="25" t="n">
        <v>129798</v>
      </c>
      <c r="G3859" s="25" t="n">
        <v>2</v>
      </c>
      <c r="H3859" s="25" t="n">
        <v>10</v>
      </c>
      <c r="I3859" s="25" t="inlineStr">
        <is>
          <t>1 minute(s) and 58 second(s)</t>
        </is>
      </c>
      <c r="J3859" s="25">
        <f>IFERROR(VALUE(TRIM(LEFT(I3859,FIND("minute",I3859)-1)))*60,0)+IFERROR(VALUE(SUBSTITUTE(MID(I3859,IFERROR(FIND("and",I3859)+3,1),20),"second(s)","")),0)</f>
        <v/>
      </c>
      <c r="K3859" s="41">
        <f>J3859/60</f>
        <v/>
      </c>
      <c r="L3859" s="41">
        <f>IFERROR(J3859/H3859,"")</f>
        <v/>
      </c>
      <c r="M3859" s="25" t="inlineStr">
        <is>
          <t>2.5.12</t>
        </is>
      </c>
      <c r="N3859" s="25">
        <f>IF(J3859&gt;300,1,0)</f>
        <v/>
      </c>
      <c r="O3859" s="25">
        <f>IF(J3859&gt;600,1,0)</f>
        <v/>
      </c>
      <c r="P3859" s="25">
        <f>IF(H3859&gt;0,J3859,"")</f>
        <v/>
      </c>
      <c r="Q3859" s="25">
        <f>TEXT(A3859,"YYYY-MM-DD HH")</f>
        <v/>
      </c>
      <c r="R3859" s="25">
        <f>COUNTIF($Q$2:$Q$5295,Q3859)</f>
        <v/>
      </c>
      <c r="S3859" s="25">
        <f>IF(R3859&lt;=2,"1-2",IF(R3859&lt;=5,"3-5",IF(R3859&lt;=10,"6-10","11+")))</f>
        <v/>
      </c>
    </row>
    <row r="3860">
      <c r="A3860" s="39" t="n">
        <v>46217.20013888889</v>
      </c>
      <c r="B3860" s="25">
        <f>TEXT(A3860,"YYYY-MM")</f>
        <v/>
      </c>
      <c r="C3860" s="25">
        <f>TEXT(A3860,"MMM-YYYY")</f>
        <v/>
      </c>
      <c r="D3860" s="40">
        <f>INT(A3860)-WEEKDAY(A3860,2)+1</f>
        <v/>
      </c>
      <c r="E3860" s="25" t="inlineStr">
        <is>
          <t>tkarmakar</t>
        </is>
      </c>
      <c r="F3860" s="25" t="n">
        <v>129802</v>
      </c>
      <c r="G3860" s="25" t="n">
        <v>3</v>
      </c>
      <c r="H3860" s="25" t="n">
        <v>13</v>
      </c>
      <c r="I3860" s="25" t="inlineStr">
        <is>
          <t>1 minute(s) and 38 second(s)</t>
        </is>
      </c>
      <c r="J3860" s="25">
        <f>IFERROR(VALUE(TRIM(LEFT(I3860,FIND("minute",I3860)-1)))*60,0)+IFERROR(VALUE(SUBSTITUTE(MID(I3860,IFERROR(FIND("and",I3860)+3,1),20),"second(s)","")),0)</f>
        <v/>
      </c>
      <c r="K3860" s="41">
        <f>J3860/60</f>
        <v/>
      </c>
      <c r="L3860" s="41">
        <f>IFERROR(J3860/H3860,"")</f>
        <v/>
      </c>
      <c r="M3860" s="25" t="inlineStr">
        <is>
          <t>2.5.12</t>
        </is>
      </c>
      <c r="N3860" s="25">
        <f>IF(J3860&gt;300,1,0)</f>
        <v/>
      </c>
      <c r="O3860" s="25">
        <f>IF(J3860&gt;600,1,0)</f>
        <v/>
      </c>
      <c r="P3860" s="25">
        <f>IF(H3860&gt;0,J3860,"")</f>
        <v/>
      </c>
      <c r="Q3860" s="25">
        <f>TEXT(A3860,"YYYY-MM-DD HH")</f>
        <v/>
      </c>
      <c r="R3860" s="25">
        <f>COUNTIF($Q$2:$Q$5295,Q3860)</f>
        <v/>
      </c>
      <c r="S3860" s="25">
        <f>IF(R3860&lt;=2,"1-2",IF(R3860&lt;=5,"3-5",IF(R3860&lt;=10,"6-10","11+")))</f>
        <v/>
      </c>
    </row>
    <row r="3861">
      <c r="A3861" s="39" t="n">
        <v>46217.22042824074</v>
      </c>
      <c r="B3861" s="25">
        <f>TEXT(A3861,"YYYY-MM")</f>
        <v/>
      </c>
      <c r="C3861" s="25">
        <f>TEXT(A3861,"MMM-YYYY")</f>
        <v/>
      </c>
      <c r="D3861" s="40">
        <f>INT(A3861)-WEEKDAY(A3861,2)+1</f>
        <v/>
      </c>
      <c r="E3861" s="25" t="inlineStr">
        <is>
          <t>ns</t>
        </is>
      </c>
      <c r="F3861" s="25" t="n">
        <v>129091</v>
      </c>
      <c r="G3861" s="25" t="n">
        <v>5</v>
      </c>
      <c r="H3861" s="25" t="n">
        <v>25</v>
      </c>
      <c r="I3861" s="25" t="inlineStr">
        <is>
          <t>2 minute(s) and 15 second(s)</t>
        </is>
      </c>
      <c r="J3861" s="25">
        <f>IFERROR(VALUE(TRIM(LEFT(I3861,FIND("minute",I3861)-1)))*60,0)+IFERROR(VALUE(SUBSTITUTE(MID(I3861,IFERROR(FIND("and",I3861)+3,1),20),"second(s)","")),0)</f>
        <v/>
      </c>
      <c r="K3861" s="41">
        <f>J3861/60</f>
        <v/>
      </c>
      <c r="L3861" s="41">
        <f>IFERROR(J3861/H3861,"")</f>
        <v/>
      </c>
      <c r="M3861" s="25" t="inlineStr">
        <is>
          <t>2.5.12</t>
        </is>
      </c>
      <c r="N3861" s="25">
        <f>IF(J3861&gt;300,1,0)</f>
        <v/>
      </c>
      <c r="O3861" s="25">
        <f>IF(J3861&gt;600,1,0)</f>
        <v/>
      </c>
      <c r="P3861" s="25">
        <f>IF(H3861&gt;0,J3861,"")</f>
        <v/>
      </c>
      <c r="Q3861" s="25">
        <f>TEXT(A3861,"YYYY-MM-DD HH")</f>
        <v/>
      </c>
      <c r="R3861" s="25">
        <f>COUNTIF($Q$2:$Q$5295,Q3861)</f>
        <v/>
      </c>
      <c r="S3861" s="25">
        <f>IF(R3861&lt;=2,"1-2",IF(R3861&lt;=5,"3-5",IF(R3861&lt;=10,"6-10","11+")))</f>
        <v/>
      </c>
    </row>
    <row r="3862">
      <c r="A3862" s="39" t="n">
        <v>46217.22553240741</v>
      </c>
      <c r="B3862" s="25">
        <f>TEXT(A3862,"YYYY-MM")</f>
        <v/>
      </c>
      <c r="C3862" s="25">
        <f>TEXT(A3862,"MMM-YYYY")</f>
        <v/>
      </c>
      <c r="D3862" s="40">
        <f>INT(A3862)-WEEKDAY(A3862,2)+1</f>
        <v/>
      </c>
      <c r="E3862" s="25" t="inlineStr">
        <is>
          <t>smukhopadhyay</t>
        </is>
      </c>
      <c r="F3862" s="25" t="n">
        <v>128056</v>
      </c>
      <c r="G3862" s="25" t="n">
        <v>1</v>
      </c>
      <c r="H3862" s="25" t="n">
        <v>5</v>
      </c>
      <c r="I3862" s="25" t="inlineStr">
        <is>
          <t>30 second(s)</t>
        </is>
      </c>
      <c r="J3862" s="25">
        <f>IFERROR(VALUE(TRIM(LEFT(I3862,FIND("minute",I3862)-1)))*60,0)+IFERROR(VALUE(SUBSTITUTE(MID(I3862,IFERROR(FIND("and",I3862)+3,1),20),"second(s)","")),0)</f>
        <v/>
      </c>
      <c r="K3862" s="41">
        <f>J3862/60</f>
        <v/>
      </c>
      <c r="L3862" s="41">
        <f>IFERROR(J3862/H3862,"")</f>
        <v/>
      </c>
      <c r="M3862" s="25" t="inlineStr">
        <is>
          <t>2.5.12</t>
        </is>
      </c>
      <c r="N3862" s="25">
        <f>IF(J3862&gt;300,1,0)</f>
        <v/>
      </c>
      <c r="O3862" s="25">
        <f>IF(J3862&gt;600,1,0)</f>
        <v/>
      </c>
      <c r="P3862" s="25">
        <f>IF(H3862&gt;0,J3862,"")</f>
        <v/>
      </c>
      <c r="Q3862" s="25">
        <f>TEXT(A3862,"YYYY-MM-DD HH")</f>
        <v/>
      </c>
      <c r="R3862" s="25">
        <f>COUNTIF($Q$2:$Q$5295,Q3862)</f>
        <v/>
      </c>
      <c r="S3862" s="25">
        <f>IF(R3862&lt;=2,"1-2",IF(R3862&lt;=5,"3-5",IF(R3862&lt;=10,"6-10","11+")))</f>
        <v/>
      </c>
    </row>
    <row r="3863">
      <c r="A3863" s="39" t="n">
        <v>46217.23788194444</v>
      </c>
      <c r="B3863" s="25">
        <f>TEXT(A3863,"YYYY-MM")</f>
        <v/>
      </c>
      <c r="C3863" s="25">
        <f>TEXT(A3863,"MMM-YYYY")</f>
        <v/>
      </c>
      <c r="D3863" s="40">
        <f>INT(A3863)-WEEKDAY(A3863,2)+1</f>
        <v/>
      </c>
      <c r="E3863" s="25" t="inlineStr">
        <is>
          <t>npriya</t>
        </is>
      </c>
      <c r="F3863" s="25" t="n">
        <v>130955</v>
      </c>
      <c r="G3863" s="25" t="n">
        <v>1</v>
      </c>
      <c r="H3863" s="25" t="n">
        <v>3</v>
      </c>
      <c r="I3863" s="25" t="inlineStr">
        <is>
          <t>17 second(s)</t>
        </is>
      </c>
      <c r="J3863" s="25">
        <f>IFERROR(VALUE(TRIM(LEFT(I3863,FIND("minute",I3863)-1)))*60,0)+IFERROR(VALUE(SUBSTITUTE(MID(I3863,IFERROR(FIND("and",I3863)+3,1),20),"second(s)","")),0)</f>
        <v/>
      </c>
      <c r="K3863" s="41">
        <f>J3863/60</f>
        <v/>
      </c>
      <c r="L3863" s="41">
        <f>IFERROR(J3863/H3863,"")</f>
        <v/>
      </c>
      <c r="M3863" s="25" t="inlineStr">
        <is>
          <t>2.5.12</t>
        </is>
      </c>
      <c r="N3863" s="25">
        <f>IF(J3863&gt;300,1,0)</f>
        <v/>
      </c>
      <c r="O3863" s="25">
        <f>IF(J3863&gt;600,1,0)</f>
        <v/>
      </c>
      <c r="P3863" s="25">
        <f>IF(H3863&gt;0,J3863,"")</f>
        <v/>
      </c>
      <c r="Q3863" s="25">
        <f>TEXT(A3863,"YYYY-MM-DD HH")</f>
        <v/>
      </c>
      <c r="R3863" s="25">
        <f>COUNTIF($Q$2:$Q$5295,Q3863)</f>
        <v/>
      </c>
      <c r="S3863" s="25">
        <f>IF(R3863&lt;=2,"1-2",IF(R3863&lt;=5,"3-5",IF(R3863&lt;=10,"6-10","11+")))</f>
        <v/>
      </c>
    </row>
    <row r="3864">
      <c r="A3864" s="39" t="n">
        <v>46217.23798611111</v>
      </c>
      <c r="B3864" s="25">
        <f>TEXT(A3864,"YYYY-MM")</f>
        <v/>
      </c>
      <c r="C3864" s="25">
        <f>TEXT(A3864,"MMM-YYYY")</f>
        <v/>
      </c>
      <c r="D3864" s="40">
        <f>INT(A3864)-WEEKDAY(A3864,2)+1</f>
        <v/>
      </c>
      <c r="E3864" s="25" t="inlineStr">
        <is>
          <t>atiwari</t>
        </is>
      </c>
      <c r="F3864" s="25" t="n">
        <v>132803</v>
      </c>
      <c r="G3864" s="25" t="n">
        <v>1</v>
      </c>
      <c r="H3864" s="25" t="n">
        <v>8</v>
      </c>
      <c r="I3864" s="25" t="inlineStr">
        <is>
          <t>52 second(s)</t>
        </is>
      </c>
      <c r="J3864" s="25">
        <f>IFERROR(VALUE(TRIM(LEFT(I3864,FIND("minute",I3864)-1)))*60,0)+IFERROR(VALUE(SUBSTITUTE(MID(I3864,IFERROR(FIND("and",I3864)+3,1),20),"second(s)","")),0)</f>
        <v/>
      </c>
      <c r="K3864" s="41">
        <f>J3864/60</f>
        <v/>
      </c>
      <c r="L3864" s="41">
        <f>IFERROR(J3864/H3864,"")</f>
        <v/>
      </c>
      <c r="M3864" s="25" t="inlineStr">
        <is>
          <t>2.5.12</t>
        </is>
      </c>
      <c r="N3864" s="25">
        <f>IF(J3864&gt;300,1,0)</f>
        <v/>
      </c>
      <c r="O3864" s="25">
        <f>IF(J3864&gt;600,1,0)</f>
        <v/>
      </c>
      <c r="P3864" s="25">
        <f>IF(H3864&gt;0,J3864,"")</f>
        <v/>
      </c>
      <c r="Q3864" s="25">
        <f>TEXT(A3864,"YYYY-MM-DD HH")</f>
        <v/>
      </c>
      <c r="R3864" s="25">
        <f>COUNTIF($Q$2:$Q$5295,Q3864)</f>
        <v/>
      </c>
      <c r="S3864" s="25">
        <f>IF(R3864&lt;=2,"1-2",IF(R3864&lt;=5,"3-5",IF(R3864&lt;=10,"6-10","11+")))</f>
        <v/>
      </c>
    </row>
    <row r="3865">
      <c r="A3865" s="39" t="n">
        <v>46217.23827546297</v>
      </c>
      <c r="B3865" s="25">
        <f>TEXT(A3865,"YYYY-MM")</f>
        <v/>
      </c>
      <c r="C3865" s="25">
        <f>TEXT(A3865,"MMM-YYYY")</f>
        <v/>
      </c>
      <c r="D3865" s="40">
        <f>INT(A3865)-WEEKDAY(A3865,2)+1</f>
        <v/>
      </c>
      <c r="E3865" s="25" t="inlineStr">
        <is>
          <t>hsindwani</t>
        </is>
      </c>
      <c r="F3865" s="25" t="n">
        <v>132384</v>
      </c>
      <c r="G3865" s="25" t="n">
        <v>1</v>
      </c>
      <c r="H3865" s="25" t="n">
        <v>8</v>
      </c>
      <c r="I3865" s="25" t="inlineStr">
        <is>
          <t>1 minute(s) and 28 second(s)</t>
        </is>
      </c>
      <c r="J3865" s="25">
        <f>IFERROR(VALUE(TRIM(LEFT(I3865,FIND("minute",I3865)-1)))*60,0)+IFERROR(VALUE(SUBSTITUTE(MID(I3865,IFERROR(FIND("and",I3865)+3,1),20),"second(s)","")),0)</f>
        <v/>
      </c>
      <c r="K3865" s="41">
        <f>J3865/60</f>
        <v/>
      </c>
      <c r="L3865" s="41">
        <f>IFERROR(J3865/H3865,"")</f>
        <v/>
      </c>
      <c r="M3865" s="25" t="inlineStr">
        <is>
          <t>2.5.12</t>
        </is>
      </c>
      <c r="N3865" s="25">
        <f>IF(J3865&gt;300,1,0)</f>
        <v/>
      </c>
      <c r="O3865" s="25">
        <f>IF(J3865&gt;600,1,0)</f>
        <v/>
      </c>
      <c r="P3865" s="25">
        <f>IF(H3865&gt;0,J3865,"")</f>
        <v/>
      </c>
      <c r="Q3865" s="25">
        <f>TEXT(A3865,"YYYY-MM-DD HH")</f>
        <v/>
      </c>
      <c r="R3865" s="25">
        <f>COUNTIF($Q$2:$Q$5295,Q3865)</f>
        <v/>
      </c>
      <c r="S3865" s="25">
        <f>IF(R3865&lt;=2,"1-2",IF(R3865&lt;=5,"3-5",IF(R3865&lt;=10,"6-10","11+")))</f>
        <v/>
      </c>
    </row>
    <row r="3866">
      <c r="A3866" s="39" t="n">
        <v>46217.24081018518</v>
      </c>
      <c r="B3866" s="25">
        <f>TEXT(A3866,"YYYY-MM")</f>
        <v/>
      </c>
      <c r="C3866" s="25">
        <f>TEXT(A3866,"MMM-YYYY")</f>
        <v/>
      </c>
      <c r="D3866" s="40">
        <f>INT(A3866)-WEEKDAY(A3866,2)+1</f>
        <v/>
      </c>
      <c r="E3866" s="25" t="inlineStr">
        <is>
          <t>psathwika</t>
        </is>
      </c>
      <c r="F3866" s="25" t="n">
        <v>131819</v>
      </c>
      <c r="G3866" s="25" t="n">
        <v>1</v>
      </c>
      <c r="H3866" s="25" t="n">
        <v>8</v>
      </c>
      <c r="I3866" s="25" t="inlineStr">
        <is>
          <t>53 second(s)</t>
        </is>
      </c>
      <c r="J3866" s="25">
        <f>IFERROR(VALUE(TRIM(LEFT(I3866,FIND("minute",I3866)-1)))*60,0)+IFERROR(VALUE(SUBSTITUTE(MID(I3866,IFERROR(FIND("and",I3866)+3,1),20),"second(s)","")),0)</f>
        <v/>
      </c>
      <c r="K3866" s="41">
        <f>J3866/60</f>
        <v/>
      </c>
      <c r="L3866" s="41">
        <f>IFERROR(J3866/H3866,"")</f>
        <v/>
      </c>
      <c r="M3866" s="25" t="inlineStr">
        <is>
          <t>2.5.12</t>
        </is>
      </c>
      <c r="N3866" s="25">
        <f>IF(J3866&gt;300,1,0)</f>
        <v/>
      </c>
      <c r="O3866" s="25">
        <f>IF(J3866&gt;600,1,0)</f>
        <v/>
      </c>
      <c r="P3866" s="25">
        <f>IF(H3866&gt;0,J3866,"")</f>
        <v/>
      </c>
      <c r="Q3866" s="25">
        <f>TEXT(A3866,"YYYY-MM-DD HH")</f>
        <v/>
      </c>
      <c r="R3866" s="25">
        <f>COUNTIF($Q$2:$Q$5295,Q3866)</f>
        <v/>
      </c>
      <c r="S3866" s="25">
        <f>IF(R3866&lt;=2,"1-2",IF(R3866&lt;=5,"3-5",IF(R3866&lt;=10,"6-10","11+")))</f>
        <v/>
      </c>
    </row>
    <row r="3867">
      <c r="A3867" s="39" t="n">
        <v>46217.25021990741</v>
      </c>
      <c r="B3867" s="25">
        <f>TEXT(A3867,"YYYY-MM")</f>
        <v/>
      </c>
      <c r="C3867" s="25">
        <f>TEXT(A3867,"MMM-YYYY")</f>
        <v/>
      </c>
      <c r="D3867" s="40">
        <f>INT(A3867)-WEEKDAY(A3867,2)+1</f>
        <v/>
      </c>
      <c r="E3867" s="25" t="inlineStr">
        <is>
          <t>aghosh</t>
        </is>
      </c>
      <c r="F3867" s="25" t="n">
        <v>130879</v>
      </c>
      <c r="G3867" s="25" t="n">
        <v>3</v>
      </c>
      <c r="H3867" s="25" t="n">
        <v>17</v>
      </c>
      <c r="I3867" s="25" t="inlineStr">
        <is>
          <t>1 minute(s) and 49 second(s)</t>
        </is>
      </c>
      <c r="J3867" s="25">
        <f>IFERROR(VALUE(TRIM(LEFT(I3867,FIND("minute",I3867)-1)))*60,0)+IFERROR(VALUE(SUBSTITUTE(MID(I3867,IFERROR(FIND("and",I3867)+3,1),20),"second(s)","")),0)</f>
        <v/>
      </c>
      <c r="K3867" s="41">
        <f>J3867/60</f>
        <v/>
      </c>
      <c r="L3867" s="41">
        <f>IFERROR(J3867/H3867,"")</f>
        <v/>
      </c>
      <c r="M3867" s="25" t="inlineStr">
        <is>
          <t>2.5.12</t>
        </is>
      </c>
      <c r="N3867" s="25">
        <f>IF(J3867&gt;300,1,0)</f>
        <v/>
      </c>
      <c r="O3867" s="25">
        <f>IF(J3867&gt;600,1,0)</f>
        <v/>
      </c>
      <c r="P3867" s="25">
        <f>IF(H3867&gt;0,J3867,"")</f>
        <v/>
      </c>
      <c r="Q3867" s="25">
        <f>TEXT(A3867,"YYYY-MM-DD HH")</f>
        <v/>
      </c>
      <c r="R3867" s="25">
        <f>COUNTIF($Q$2:$Q$5295,Q3867)</f>
        <v/>
      </c>
      <c r="S3867" s="25">
        <f>IF(R3867&lt;=2,"1-2",IF(R3867&lt;=5,"3-5",IF(R3867&lt;=10,"6-10","11+")))</f>
        <v/>
      </c>
    </row>
    <row r="3868">
      <c r="A3868" s="39" t="n">
        <v>46217.26299768518</v>
      </c>
      <c r="B3868" s="25">
        <f>TEXT(A3868,"YYYY-MM")</f>
        <v/>
      </c>
      <c r="C3868" s="25">
        <f>TEXT(A3868,"MMM-YYYY")</f>
        <v/>
      </c>
      <c r="D3868" s="40">
        <f>INT(A3868)-WEEKDAY(A3868,2)+1</f>
        <v/>
      </c>
      <c r="E3868" s="25" t="inlineStr">
        <is>
          <t>mbhalla</t>
        </is>
      </c>
      <c r="F3868" s="25" t="n">
        <v>129528</v>
      </c>
      <c r="G3868" s="25" t="n">
        <v>2</v>
      </c>
      <c r="H3868" s="25" t="n">
        <v>10</v>
      </c>
      <c r="I3868" s="25" t="inlineStr">
        <is>
          <t>41 second(s)</t>
        </is>
      </c>
      <c r="J3868" s="25">
        <f>IFERROR(VALUE(TRIM(LEFT(I3868,FIND("minute",I3868)-1)))*60,0)+IFERROR(VALUE(SUBSTITUTE(MID(I3868,IFERROR(FIND("and",I3868)+3,1),20),"second(s)","")),0)</f>
        <v/>
      </c>
      <c r="K3868" s="41">
        <f>J3868/60</f>
        <v/>
      </c>
      <c r="L3868" s="41">
        <f>IFERROR(J3868/H3868,"")</f>
        <v/>
      </c>
      <c r="M3868" s="25" t="inlineStr">
        <is>
          <t>2.5.12</t>
        </is>
      </c>
      <c r="N3868" s="25">
        <f>IF(J3868&gt;300,1,0)</f>
        <v/>
      </c>
      <c r="O3868" s="25">
        <f>IF(J3868&gt;600,1,0)</f>
        <v/>
      </c>
      <c r="P3868" s="25">
        <f>IF(H3868&gt;0,J3868,"")</f>
        <v/>
      </c>
      <c r="Q3868" s="25">
        <f>TEXT(A3868,"YYYY-MM-DD HH")</f>
        <v/>
      </c>
      <c r="R3868" s="25">
        <f>COUNTIF($Q$2:$Q$5295,Q3868)</f>
        <v/>
      </c>
      <c r="S3868" s="25">
        <f>IF(R3868&lt;=2,"1-2",IF(R3868&lt;=5,"3-5",IF(R3868&lt;=10,"6-10","11+")))</f>
        <v/>
      </c>
    </row>
    <row r="3869">
      <c r="A3869" s="39" t="n">
        <v>46217.26667824074</v>
      </c>
      <c r="B3869" s="25">
        <f>TEXT(A3869,"YYYY-MM")</f>
        <v/>
      </c>
      <c r="C3869" s="25">
        <f>TEXT(A3869,"MMM-YYYY")</f>
        <v/>
      </c>
      <c r="D3869" s="40">
        <f>INT(A3869)-WEEKDAY(A3869,2)+1</f>
        <v/>
      </c>
      <c r="E3869" s="25" t="inlineStr">
        <is>
          <t>shassan</t>
        </is>
      </c>
      <c r="F3869" s="25" t="n">
        <v>131282</v>
      </c>
      <c r="G3869" s="25" t="n">
        <v>4</v>
      </c>
      <c r="H3869" s="25" t="n">
        <v>20</v>
      </c>
      <c r="I3869" s="25" t="inlineStr">
        <is>
          <t>2 minute(s) and 15 second(s)</t>
        </is>
      </c>
      <c r="J3869" s="25">
        <f>IFERROR(VALUE(TRIM(LEFT(I3869,FIND("minute",I3869)-1)))*60,0)+IFERROR(VALUE(SUBSTITUTE(MID(I3869,IFERROR(FIND("and",I3869)+3,1),20),"second(s)","")),0)</f>
        <v/>
      </c>
      <c r="K3869" s="41">
        <f>J3869/60</f>
        <v/>
      </c>
      <c r="L3869" s="41">
        <f>IFERROR(J3869/H3869,"")</f>
        <v/>
      </c>
      <c r="M3869" s="25" t="inlineStr">
        <is>
          <t>2.5.12</t>
        </is>
      </c>
      <c r="N3869" s="25">
        <f>IF(J3869&gt;300,1,0)</f>
        <v/>
      </c>
      <c r="O3869" s="25">
        <f>IF(J3869&gt;600,1,0)</f>
        <v/>
      </c>
      <c r="P3869" s="25">
        <f>IF(H3869&gt;0,J3869,"")</f>
        <v/>
      </c>
      <c r="Q3869" s="25">
        <f>TEXT(A3869,"YYYY-MM-DD HH")</f>
        <v/>
      </c>
      <c r="R3869" s="25">
        <f>COUNTIF($Q$2:$Q$5295,Q3869)</f>
        <v/>
      </c>
      <c r="S3869" s="25">
        <f>IF(R3869&lt;=2,"1-2",IF(R3869&lt;=5,"3-5",IF(R3869&lt;=10,"6-10","11+")))</f>
        <v/>
      </c>
    </row>
    <row r="3870">
      <c r="A3870" s="39" t="n">
        <v>46217.26797453704</v>
      </c>
      <c r="B3870" s="25">
        <f>TEXT(A3870,"YYYY-MM")</f>
        <v/>
      </c>
      <c r="C3870" s="25">
        <f>TEXT(A3870,"MMM-YYYY")</f>
        <v/>
      </c>
      <c r="D3870" s="40">
        <f>INT(A3870)-WEEKDAY(A3870,2)+1</f>
        <v/>
      </c>
      <c r="E3870" s="25" t="inlineStr">
        <is>
          <t>ns</t>
        </is>
      </c>
      <c r="F3870" s="25" t="n">
        <v>129107</v>
      </c>
      <c r="G3870" s="25" t="n">
        <v>3</v>
      </c>
      <c r="H3870" s="25" t="n">
        <v>11</v>
      </c>
      <c r="I3870" s="25" t="inlineStr">
        <is>
          <t>59 second(s)</t>
        </is>
      </c>
      <c r="J3870" s="25">
        <f>IFERROR(VALUE(TRIM(LEFT(I3870,FIND("minute",I3870)-1)))*60,0)+IFERROR(VALUE(SUBSTITUTE(MID(I3870,IFERROR(FIND("and",I3870)+3,1),20),"second(s)","")),0)</f>
        <v/>
      </c>
      <c r="K3870" s="41">
        <f>J3870/60</f>
        <v/>
      </c>
      <c r="L3870" s="41">
        <f>IFERROR(J3870/H3870,"")</f>
        <v/>
      </c>
      <c r="M3870" s="25" t="inlineStr">
        <is>
          <t>2.5.12</t>
        </is>
      </c>
      <c r="N3870" s="25">
        <f>IF(J3870&gt;300,1,0)</f>
        <v/>
      </c>
      <c r="O3870" s="25">
        <f>IF(J3870&gt;600,1,0)</f>
        <v/>
      </c>
      <c r="P3870" s="25">
        <f>IF(H3870&gt;0,J3870,"")</f>
        <v/>
      </c>
      <c r="Q3870" s="25">
        <f>TEXT(A3870,"YYYY-MM-DD HH")</f>
        <v/>
      </c>
      <c r="R3870" s="25">
        <f>COUNTIF($Q$2:$Q$5295,Q3870)</f>
        <v/>
      </c>
      <c r="S3870" s="25">
        <f>IF(R3870&lt;=2,"1-2",IF(R3870&lt;=5,"3-5",IF(R3870&lt;=10,"6-10","11+")))</f>
        <v/>
      </c>
    </row>
    <row r="3871">
      <c r="A3871" s="39" t="n">
        <v>46217.27368055555</v>
      </c>
      <c r="B3871" s="25">
        <f>TEXT(A3871,"YYYY-MM")</f>
        <v/>
      </c>
      <c r="C3871" s="25">
        <f>TEXT(A3871,"MMM-YYYY")</f>
        <v/>
      </c>
      <c r="D3871" s="40">
        <f>INT(A3871)-WEEKDAY(A3871,2)+1</f>
        <v/>
      </c>
      <c r="E3871" s="25" t="inlineStr">
        <is>
          <t>aupadhayay</t>
        </is>
      </c>
      <c r="F3871" s="25" t="n">
        <v>129839</v>
      </c>
      <c r="G3871" s="25" t="n">
        <v>2</v>
      </c>
      <c r="H3871" s="25" t="n">
        <v>10</v>
      </c>
      <c r="I3871" s="25" t="inlineStr">
        <is>
          <t>1 minute(s) and 56 second(s)</t>
        </is>
      </c>
      <c r="J3871" s="25">
        <f>IFERROR(VALUE(TRIM(LEFT(I3871,FIND("minute",I3871)-1)))*60,0)+IFERROR(VALUE(SUBSTITUTE(MID(I3871,IFERROR(FIND("and",I3871)+3,1),20),"second(s)","")),0)</f>
        <v/>
      </c>
      <c r="K3871" s="41">
        <f>J3871/60</f>
        <v/>
      </c>
      <c r="L3871" s="41">
        <f>IFERROR(J3871/H3871,"")</f>
        <v/>
      </c>
      <c r="M3871" s="25" t="inlineStr">
        <is>
          <t>2.5.12</t>
        </is>
      </c>
      <c r="N3871" s="25">
        <f>IF(J3871&gt;300,1,0)</f>
        <v/>
      </c>
      <c r="O3871" s="25">
        <f>IF(J3871&gt;600,1,0)</f>
        <v/>
      </c>
      <c r="P3871" s="25">
        <f>IF(H3871&gt;0,J3871,"")</f>
        <v/>
      </c>
      <c r="Q3871" s="25">
        <f>TEXT(A3871,"YYYY-MM-DD HH")</f>
        <v/>
      </c>
      <c r="R3871" s="25">
        <f>COUNTIF($Q$2:$Q$5295,Q3871)</f>
        <v/>
      </c>
      <c r="S3871" s="25">
        <f>IF(R3871&lt;=2,"1-2",IF(R3871&lt;=5,"3-5",IF(R3871&lt;=10,"6-10","11+")))</f>
        <v/>
      </c>
    </row>
    <row r="3872">
      <c r="A3872" s="39" t="n">
        <v>46217.28972222222</v>
      </c>
      <c r="B3872" s="25">
        <f>TEXT(A3872,"YYYY-MM")</f>
        <v/>
      </c>
      <c r="C3872" s="25">
        <f>TEXT(A3872,"MMM-YYYY")</f>
        <v/>
      </c>
      <c r="D3872" s="40">
        <f>INT(A3872)-WEEKDAY(A3872,2)+1</f>
        <v/>
      </c>
      <c r="E3872" s="25" t="inlineStr">
        <is>
          <t>shasikha</t>
        </is>
      </c>
      <c r="F3872" s="25" t="n">
        <v>131523</v>
      </c>
      <c r="G3872" s="25" t="n">
        <v>1</v>
      </c>
      <c r="H3872" s="25" t="n">
        <v>5</v>
      </c>
      <c r="I3872" s="25" t="inlineStr">
        <is>
          <t>26 second(s)</t>
        </is>
      </c>
      <c r="J3872" s="25">
        <f>IFERROR(VALUE(TRIM(LEFT(I3872,FIND("minute",I3872)-1)))*60,0)+IFERROR(VALUE(SUBSTITUTE(MID(I3872,IFERROR(FIND("and",I3872)+3,1),20),"second(s)","")),0)</f>
        <v/>
      </c>
      <c r="K3872" s="41">
        <f>J3872/60</f>
        <v/>
      </c>
      <c r="L3872" s="41">
        <f>IFERROR(J3872/H3872,"")</f>
        <v/>
      </c>
      <c r="M3872" s="25" t="inlineStr">
        <is>
          <t>2.5.12</t>
        </is>
      </c>
      <c r="N3872" s="25">
        <f>IF(J3872&gt;300,1,0)</f>
        <v/>
      </c>
      <c r="O3872" s="25">
        <f>IF(J3872&gt;600,1,0)</f>
        <v/>
      </c>
      <c r="P3872" s="25">
        <f>IF(H3872&gt;0,J3872,"")</f>
        <v/>
      </c>
      <c r="Q3872" s="25">
        <f>TEXT(A3872,"YYYY-MM-DD HH")</f>
        <v/>
      </c>
      <c r="R3872" s="25">
        <f>COUNTIF($Q$2:$Q$5295,Q3872)</f>
        <v/>
      </c>
      <c r="S3872" s="25">
        <f>IF(R3872&lt;=2,"1-2",IF(R3872&lt;=5,"3-5",IF(R3872&lt;=10,"6-10","11+")))</f>
        <v/>
      </c>
    </row>
    <row r="3873">
      <c r="A3873" s="39" t="n">
        <v>46217.29074074074</v>
      </c>
      <c r="B3873" s="25">
        <f>TEXT(A3873,"YYYY-MM")</f>
        <v/>
      </c>
      <c r="C3873" s="25">
        <f>TEXT(A3873,"MMM-YYYY")</f>
        <v/>
      </c>
      <c r="D3873" s="40">
        <f>INT(A3873)-WEEKDAY(A3873,2)+1</f>
        <v/>
      </c>
      <c r="E3873" s="25" t="inlineStr">
        <is>
          <t>pgautam</t>
        </is>
      </c>
      <c r="F3873" s="25" t="n">
        <v>129501</v>
      </c>
      <c r="G3873" s="25" t="n">
        <v>4</v>
      </c>
      <c r="H3873" s="25" t="n">
        <v>16</v>
      </c>
      <c r="I3873" s="25" t="inlineStr">
        <is>
          <t>3 minute(s) and 5 second(s)</t>
        </is>
      </c>
      <c r="J3873" s="25">
        <f>IFERROR(VALUE(TRIM(LEFT(I3873,FIND("minute",I3873)-1)))*60,0)+IFERROR(VALUE(SUBSTITUTE(MID(I3873,IFERROR(FIND("and",I3873)+3,1),20),"second(s)","")),0)</f>
        <v/>
      </c>
      <c r="K3873" s="41">
        <f>J3873/60</f>
        <v/>
      </c>
      <c r="L3873" s="41">
        <f>IFERROR(J3873/H3873,"")</f>
        <v/>
      </c>
      <c r="M3873" s="25" t="inlineStr">
        <is>
          <t>2.5.12</t>
        </is>
      </c>
      <c r="N3873" s="25">
        <f>IF(J3873&gt;300,1,0)</f>
        <v/>
      </c>
      <c r="O3873" s="25">
        <f>IF(J3873&gt;600,1,0)</f>
        <v/>
      </c>
      <c r="P3873" s="25">
        <f>IF(H3873&gt;0,J3873,"")</f>
        <v/>
      </c>
      <c r="Q3873" s="25">
        <f>TEXT(A3873,"YYYY-MM-DD HH")</f>
        <v/>
      </c>
      <c r="R3873" s="25">
        <f>COUNTIF($Q$2:$Q$5295,Q3873)</f>
        <v/>
      </c>
      <c r="S3873" s="25">
        <f>IF(R3873&lt;=2,"1-2",IF(R3873&lt;=5,"3-5",IF(R3873&lt;=10,"6-10","11+")))</f>
        <v/>
      </c>
    </row>
    <row r="3874">
      <c r="A3874" s="39" t="n">
        <v>46217.30265046296</v>
      </c>
      <c r="B3874" s="25">
        <f>TEXT(A3874,"YYYY-MM")</f>
        <v/>
      </c>
      <c r="C3874" s="25">
        <f>TEXT(A3874,"MMM-YYYY")</f>
        <v/>
      </c>
      <c r="D3874" s="40">
        <f>INT(A3874)-WEEKDAY(A3874,2)+1</f>
        <v/>
      </c>
      <c r="E3874" s="25" t="inlineStr">
        <is>
          <t>smukhopadhyay</t>
        </is>
      </c>
      <c r="F3874" s="25" t="n">
        <v>128392</v>
      </c>
      <c r="G3874" s="25" t="n">
        <v>1</v>
      </c>
      <c r="H3874" s="25" t="n">
        <v>7</v>
      </c>
      <c r="I3874" s="25" t="inlineStr">
        <is>
          <t>1 minute(s) and 53 second(s)</t>
        </is>
      </c>
      <c r="J3874" s="25">
        <f>IFERROR(VALUE(TRIM(LEFT(I3874,FIND("minute",I3874)-1)))*60,0)+IFERROR(VALUE(SUBSTITUTE(MID(I3874,IFERROR(FIND("and",I3874)+3,1),20),"second(s)","")),0)</f>
        <v/>
      </c>
      <c r="K3874" s="41">
        <f>J3874/60</f>
        <v/>
      </c>
      <c r="L3874" s="41">
        <f>IFERROR(J3874/H3874,"")</f>
        <v/>
      </c>
      <c r="M3874" s="25" t="inlineStr">
        <is>
          <t>2.5.12</t>
        </is>
      </c>
      <c r="N3874" s="25">
        <f>IF(J3874&gt;300,1,0)</f>
        <v/>
      </c>
      <c r="O3874" s="25">
        <f>IF(J3874&gt;600,1,0)</f>
        <v/>
      </c>
      <c r="P3874" s="25">
        <f>IF(H3874&gt;0,J3874,"")</f>
        <v/>
      </c>
      <c r="Q3874" s="25">
        <f>TEXT(A3874,"YYYY-MM-DD HH")</f>
        <v/>
      </c>
      <c r="R3874" s="25">
        <f>COUNTIF($Q$2:$Q$5295,Q3874)</f>
        <v/>
      </c>
      <c r="S3874" s="25">
        <f>IF(R3874&lt;=2,"1-2",IF(R3874&lt;=5,"3-5",IF(R3874&lt;=10,"6-10","11+")))</f>
        <v/>
      </c>
    </row>
    <row r="3875">
      <c r="A3875" s="39" t="n">
        <v>46217.30491898148</v>
      </c>
      <c r="B3875" s="25">
        <f>TEXT(A3875,"YYYY-MM")</f>
        <v/>
      </c>
      <c r="C3875" s="25">
        <f>TEXT(A3875,"MMM-YYYY")</f>
        <v/>
      </c>
      <c r="D3875" s="40">
        <f>INT(A3875)-WEEKDAY(A3875,2)+1</f>
        <v/>
      </c>
      <c r="E3875" s="25" t="inlineStr">
        <is>
          <t>psathwika</t>
        </is>
      </c>
      <c r="F3875" s="25" t="n">
        <v>132920</v>
      </c>
      <c r="G3875" s="25" t="n">
        <v>3</v>
      </c>
      <c r="H3875" s="25" t="n">
        <v>17</v>
      </c>
      <c r="I3875" s="25" t="inlineStr">
        <is>
          <t>2 minute(s) and 26 second(s)</t>
        </is>
      </c>
      <c r="J3875" s="25">
        <f>IFERROR(VALUE(TRIM(LEFT(I3875,FIND("minute",I3875)-1)))*60,0)+IFERROR(VALUE(SUBSTITUTE(MID(I3875,IFERROR(FIND("and",I3875)+3,1),20),"second(s)","")),0)</f>
        <v/>
      </c>
      <c r="K3875" s="41">
        <f>J3875/60</f>
        <v/>
      </c>
      <c r="L3875" s="41">
        <f>IFERROR(J3875/H3875,"")</f>
        <v/>
      </c>
      <c r="M3875" s="25" t="inlineStr">
        <is>
          <t>2.5.12</t>
        </is>
      </c>
      <c r="N3875" s="25">
        <f>IF(J3875&gt;300,1,0)</f>
        <v/>
      </c>
      <c r="O3875" s="25">
        <f>IF(J3875&gt;600,1,0)</f>
        <v/>
      </c>
      <c r="P3875" s="25">
        <f>IF(H3875&gt;0,J3875,"")</f>
        <v/>
      </c>
      <c r="Q3875" s="25">
        <f>TEXT(A3875,"YYYY-MM-DD HH")</f>
        <v/>
      </c>
      <c r="R3875" s="25">
        <f>COUNTIF($Q$2:$Q$5295,Q3875)</f>
        <v/>
      </c>
      <c r="S3875" s="25">
        <f>IF(R3875&lt;=2,"1-2",IF(R3875&lt;=5,"3-5",IF(R3875&lt;=10,"6-10","11+")))</f>
        <v/>
      </c>
    </row>
    <row r="3876">
      <c r="A3876" s="39" t="n">
        <v>46217.30618055556</v>
      </c>
      <c r="B3876" s="25">
        <f>TEXT(A3876,"YYYY-MM")</f>
        <v/>
      </c>
      <c r="C3876" s="25">
        <f>TEXT(A3876,"MMM-YYYY")</f>
        <v/>
      </c>
      <c r="D3876" s="40">
        <f>INT(A3876)-WEEKDAY(A3876,2)+1</f>
        <v/>
      </c>
      <c r="E3876" s="25" t="inlineStr">
        <is>
          <t>bverma</t>
        </is>
      </c>
      <c r="F3876" s="25" t="n">
        <v>128792</v>
      </c>
      <c r="G3876" s="25" t="n">
        <v>2</v>
      </c>
      <c r="H3876" s="25" t="n">
        <v>12</v>
      </c>
      <c r="I3876" s="25" t="inlineStr">
        <is>
          <t>1 minute(s) and 4 second(s)</t>
        </is>
      </c>
      <c r="J3876" s="25">
        <f>IFERROR(VALUE(TRIM(LEFT(I3876,FIND("minute",I3876)-1)))*60,0)+IFERROR(VALUE(SUBSTITUTE(MID(I3876,IFERROR(FIND("and",I3876)+3,1),20),"second(s)","")),0)</f>
        <v/>
      </c>
      <c r="K3876" s="41">
        <f>J3876/60</f>
        <v/>
      </c>
      <c r="L3876" s="41">
        <f>IFERROR(J3876/H3876,"")</f>
        <v/>
      </c>
      <c r="M3876" s="25" t="inlineStr">
        <is>
          <t>2.5.12</t>
        </is>
      </c>
      <c r="N3876" s="25">
        <f>IF(J3876&gt;300,1,0)</f>
        <v/>
      </c>
      <c r="O3876" s="25">
        <f>IF(J3876&gt;600,1,0)</f>
        <v/>
      </c>
      <c r="P3876" s="25">
        <f>IF(H3876&gt;0,J3876,"")</f>
        <v/>
      </c>
      <c r="Q3876" s="25">
        <f>TEXT(A3876,"YYYY-MM-DD HH")</f>
        <v/>
      </c>
      <c r="R3876" s="25">
        <f>COUNTIF($Q$2:$Q$5295,Q3876)</f>
        <v/>
      </c>
      <c r="S3876" s="25">
        <f>IF(R3876&lt;=2,"1-2",IF(R3876&lt;=5,"3-5",IF(R3876&lt;=10,"6-10","11+")))</f>
        <v/>
      </c>
    </row>
    <row r="3877">
      <c r="A3877" s="39" t="n">
        <v>46217.30708333333</v>
      </c>
      <c r="B3877" s="25">
        <f>TEXT(A3877,"YYYY-MM")</f>
        <v/>
      </c>
      <c r="C3877" s="25">
        <f>TEXT(A3877,"MMM-YYYY")</f>
        <v/>
      </c>
      <c r="D3877" s="40">
        <f>INT(A3877)-WEEKDAY(A3877,2)+1</f>
        <v/>
      </c>
      <c r="E3877" s="25" t="inlineStr">
        <is>
          <t>mbhalla</t>
        </is>
      </c>
      <c r="F3877" s="25" t="n">
        <v>132419</v>
      </c>
      <c r="G3877" s="25" t="n">
        <v>1</v>
      </c>
      <c r="H3877" s="25" t="n">
        <v>5</v>
      </c>
      <c r="I3877" s="25" t="inlineStr">
        <is>
          <t>24 second(s)</t>
        </is>
      </c>
      <c r="J3877" s="25">
        <f>IFERROR(VALUE(TRIM(LEFT(I3877,FIND("minute",I3877)-1)))*60,0)+IFERROR(VALUE(SUBSTITUTE(MID(I3877,IFERROR(FIND("and",I3877)+3,1),20),"second(s)","")),0)</f>
        <v/>
      </c>
      <c r="K3877" s="41">
        <f>J3877/60</f>
        <v/>
      </c>
      <c r="L3877" s="41">
        <f>IFERROR(J3877/H3877,"")</f>
        <v/>
      </c>
      <c r="M3877" s="25" t="inlineStr">
        <is>
          <t>2.5.12</t>
        </is>
      </c>
      <c r="N3877" s="25">
        <f>IF(J3877&gt;300,1,0)</f>
        <v/>
      </c>
      <c r="O3877" s="25">
        <f>IF(J3877&gt;600,1,0)</f>
        <v/>
      </c>
      <c r="P3877" s="25">
        <f>IF(H3877&gt;0,J3877,"")</f>
        <v/>
      </c>
      <c r="Q3877" s="25">
        <f>TEXT(A3877,"YYYY-MM-DD HH")</f>
        <v/>
      </c>
      <c r="R3877" s="25">
        <f>COUNTIF($Q$2:$Q$5295,Q3877)</f>
        <v/>
      </c>
      <c r="S3877" s="25">
        <f>IF(R3877&lt;=2,"1-2",IF(R3877&lt;=5,"3-5",IF(R3877&lt;=10,"6-10","11+")))</f>
        <v/>
      </c>
    </row>
    <row r="3878">
      <c r="A3878" s="39" t="n">
        <v>46217.31243055555</v>
      </c>
      <c r="B3878" s="25">
        <f>TEXT(A3878,"YYYY-MM")</f>
        <v/>
      </c>
      <c r="C3878" s="25">
        <f>TEXT(A3878,"MMM-YYYY")</f>
        <v/>
      </c>
      <c r="D3878" s="40">
        <f>INT(A3878)-WEEKDAY(A3878,2)+1</f>
        <v/>
      </c>
      <c r="E3878" s="25" t="inlineStr">
        <is>
          <t>aghosh</t>
        </is>
      </c>
      <c r="F3878" s="25" t="n">
        <v>131174</v>
      </c>
      <c r="G3878" s="25" t="n">
        <v>4</v>
      </c>
      <c r="H3878" s="25" t="n">
        <v>28</v>
      </c>
      <c r="I3878" s="25" t="inlineStr">
        <is>
          <t>5 minute(s) and 31 second(s)</t>
        </is>
      </c>
      <c r="J3878" s="25">
        <f>IFERROR(VALUE(TRIM(LEFT(I3878,FIND("minute",I3878)-1)))*60,0)+IFERROR(VALUE(SUBSTITUTE(MID(I3878,IFERROR(FIND("and",I3878)+3,1),20),"second(s)","")),0)</f>
        <v/>
      </c>
      <c r="K3878" s="41">
        <f>J3878/60</f>
        <v/>
      </c>
      <c r="L3878" s="41">
        <f>IFERROR(J3878/H3878,"")</f>
        <v/>
      </c>
      <c r="M3878" s="25" t="inlineStr">
        <is>
          <t>2.5.12</t>
        </is>
      </c>
      <c r="N3878" s="25">
        <f>IF(J3878&gt;300,1,0)</f>
        <v/>
      </c>
      <c r="O3878" s="25">
        <f>IF(J3878&gt;600,1,0)</f>
        <v/>
      </c>
      <c r="P3878" s="25">
        <f>IF(H3878&gt;0,J3878,"")</f>
        <v/>
      </c>
      <c r="Q3878" s="25">
        <f>TEXT(A3878,"YYYY-MM-DD HH")</f>
        <v/>
      </c>
      <c r="R3878" s="25">
        <f>COUNTIF($Q$2:$Q$5295,Q3878)</f>
        <v/>
      </c>
      <c r="S3878" s="25">
        <f>IF(R3878&lt;=2,"1-2",IF(R3878&lt;=5,"3-5",IF(R3878&lt;=10,"6-10","11+")))</f>
        <v/>
      </c>
    </row>
    <row r="3879">
      <c r="A3879" s="39" t="n">
        <v>46217.39957175926</v>
      </c>
      <c r="B3879" s="25">
        <f>TEXT(A3879,"YYYY-MM")</f>
        <v/>
      </c>
      <c r="C3879" s="25">
        <f>TEXT(A3879,"MMM-YYYY")</f>
        <v/>
      </c>
      <c r="D3879" s="40">
        <f>INT(A3879)-WEEKDAY(A3879,2)+1</f>
        <v/>
      </c>
      <c r="E3879" s="25" t="inlineStr">
        <is>
          <t>aghosh</t>
        </is>
      </c>
      <c r="F3879" s="25" t="n">
        <v>130859</v>
      </c>
      <c r="G3879" s="25" t="n">
        <v>3</v>
      </c>
      <c r="H3879" s="25" t="n">
        <v>13</v>
      </c>
      <c r="I3879" s="25" t="inlineStr">
        <is>
          <t>1 minute(s) and 7 second(s)</t>
        </is>
      </c>
      <c r="J3879" s="25">
        <f>IFERROR(VALUE(TRIM(LEFT(I3879,FIND("minute",I3879)-1)))*60,0)+IFERROR(VALUE(SUBSTITUTE(MID(I3879,IFERROR(FIND("and",I3879)+3,1),20),"second(s)","")),0)</f>
        <v/>
      </c>
      <c r="K3879" s="41">
        <f>J3879/60</f>
        <v/>
      </c>
      <c r="L3879" s="41">
        <f>IFERROR(J3879/H3879,"")</f>
        <v/>
      </c>
      <c r="M3879" s="25" t="inlineStr">
        <is>
          <t>2.5.12</t>
        </is>
      </c>
      <c r="N3879" s="25">
        <f>IF(J3879&gt;300,1,0)</f>
        <v/>
      </c>
      <c r="O3879" s="25">
        <f>IF(J3879&gt;600,1,0)</f>
        <v/>
      </c>
      <c r="P3879" s="25">
        <f>IF(H3879&gt;0,J3879,"")</f>
        <v/>
      </c>
      <c r="Q3879" s="25">
        <f>TEXT(A3879,"YYYY-MM-DD HH")</f>
        <v/>
      </c>
      <c r="R3879" s="25">
        <f>COUNTIF($Q$2:$Q$5295,Q3879)</f>
        <v/>
      </c>
      <c r="S3879" s="25">
        <f>IF(R3879&lt;=2,"1-2",IF(R3879&lt;=5,"3-5",IF(R3879&lt;=10,"6-10","11+")))</f>
        <v/>
      </c>
    </row>
    <row r="3880">
      <c r="A3880" s="39" t="n">
        <v>46217.44418981481</v>
      </c>
      <c r="B3880" s="25">
        <f>TEXT(A3880,"YYYY-MM")</f>
        <v/>
      </c>
      <c r="C3880" s="25">
        <f>TEXT(A3880,"MMM-YYYY")</f>
        <v/>
      </c>
      <c r="D3880" s="40">
        <f>INT(A3880)-WEEKDAY(A3880,2)+1</f>
        <v/>
      </c>
      <c r="E3880" s="25" t="inlineStr">
        <is>
          <t>sswati</t>
        </is>
      </c>
      <c r="F3880" s="25" t="n">
        <v>129911</v>
      </c>
      <c r="G3880" s="25" t="n">
        <v>2</v>
      </c>
      <c r="H3880" s="25" t="n">
        <v>6</v>
      </c>
      <c r="I3880" s="25" t="inlineStr">
        <is>
          <t>39 second(s)</t>
        </is>
      </c>
      <c r="J3880" s="25">
        <f>IFERROR(VALUE(TRIM(LEFT(I3880,FIND("minute",I3880)-1)))*60,0)+IFERROR(VALUE(SUBSTITUTE(MID(I3880,IFERROR(FIND("and",I3880)+3,1),20),"second(s)","")),0)</f>
        <v/>
      </c>
      <c r="K3880" s="41">
        <f>J3880/60</f>
        <v/>
      </c>
      <c r="L3880" s="41">
        <f>IFERROR(J3880/H3880,"")</f>
        <v/>
      </c>
      <c r="M3880" s="25" t="inlineStr">
        <is>
          <t>2.5.12</t>
        </is>
      </c>
      <c r="N3880" s="25">
        <f>IF(J3880&gt;300,1,0)</f>
        <v/>
      </c>
      <c r="O3880" s="25">
        <f>IF(J3880&gt;600,1,0)</f>
        <v/>
      </c>
      <c r="P3880" s="25">
        <f>IF(H3880&gt;0,J3880,"")</f>
        <v/>
      </c>
      <c r="Q3880" s="25">
        <f>TEXT(A3880,"YYYY-MM-DD HH")</f>
        <v/>
      </c>
      <c r="R3880" s="25">
        <f>COUNTIF($Q$2:$Q$5295,Q3880)</f>
        <v/>
      </c>
      <c r="S3880" s="25">
        <f>IF(R3880&lt;=2,"1-2",IF(R3880&lt;=5,"3-5",IF(R3880&lt;=10,"6-10","11+")))</f>
        <v/>
      </c>
    </row>
    <row r="3881">
      <c r="A3881" s="39" t="n">
        <v>46217.44575231482</v>
      </c>
      <c r="B3881" s="25">
        <f>TEXT(A3881,"YYYY-MM")</f>
        <v/>
      </c>
      <c r="C3881" s="25">
        <f>TEXT(A3881,"MMM-YYYY")</f>
        <v/>
      </c>
      <c r="D3881" s="40">
        <f>INT(A3881)-WEEKDAY(A3881,2)+1</f>
        <v/>
      </c>
      <c r="E3881" s="25" t="inlineStr">
        <is>
          <t>shassan</t>
        </is>
      </c>
      <c r="F3881" s="25" t="n">
        <v>131314</v>
      </c>
      <c r="G3881" s="25" t="n">
        <v>1</v>
      </c>
      <c r="H3881" s="25" t="n">
        <v>7</v>
      </c>
      <c r="I3881" s="25" t="inlineStr">
        <is>
          <t>36 second(s)</t>
        </is>
      </c>
      <c r="J3881" s="25">
        <f>IFERROR(VALUE(TRIM(LEFT(I3881,FIND("minute",I3881)-1)))*60,0)+IFERROR(VALUE(SUBSTITUTE(MID(I3881,IFERROR(FIND("and",I3881)+3,1),20),"second(s)","")),0)</f>
        <v/>
      </c>
      <c r="K3881" s="41">
        <f>J3881/60</f>
        <v/>
      </c>
      <c r="L3881" s="41">
        <f>IFERROR(J3881/H3881,"")</f>
        <v/>
      </c>
      <c r="M3881" s="25" t="inlineStr">
        <is>
          <t>2.5.12</t>
        </is>
      </c>
      <c r="N3881" s="25">
        <f>IF(J3881&gt;300,1,0)</f>
        <v/>
      </c>
      <c r="O3881" s="25">
        <f>IF(J3881&gt;600,1,0)</f>
        <v/>
      </c>
      <c r="P3881" s="25">
        <f>IF(H3881&gt;0,J3881,"")</f>
        <v/>
      </c>
      <c r="Q3881" s="25">
        <f>TEXT(A3881,"YYYY-MM-DD HH")</f>
        <v/>
      </c>
      <c r="R3881" s="25">
        <f>COUNTIF($Q$2:$Q$5295,Q3881)</f>
        <v/>
      </c>
      <c r="S3881" s="25">
        <f>IF(R3881&lt;=2,"1-2",IF(R3881&lt;=5,"3-5",IF(R3881&lt;=10,"6-10","11+")))</f>
        <v/>
      </c>
    </row>
    <row r="3882">
      <c r="A3882" s="39" t="n">
        <v>46217.44810185185</v>
      </c>
      <c r="B3882" s="25">
        <f>TEXT(A3882,"YYYY-MM")</f>
        <v/>
      </c>
      <c r="C3882" s="25">
        <f>TEXT(A3882,"MMM-YYYY")</f>
        <v/>
      </c>
      <c r="D3882" s="40">
        <f>INT(A3882)-WEEKDAY(A3882,2)+1</f>
        <v/>
      </c>
      <c r="E3882" s="25" t="inlineStr">
        <is>
          <t>smukhopadhyay</t>
        </is>
      </c>
      <c r="F3882" s="25" t="n">
        <v>132721</v>
      </c>
      <c r="G3882" s="25" t="n">
        <v>4</v>
      </c>
      <c r="H3882" s="25" t="n">
        <v>29</v>
      </c>
      <c r="I3882" s="25" t="inlineStr">
        <is>
          <t>4 minute(s) and 31 second(s)</t>
        </is>
      </c>
      <c r="J3882" s="25">
        <f>IFERROR(VALUE(TRIM(LEFT(I3882,FIND("minute",I3882)-1)))*60,0)+IFERROR(VALUE(SUBSTITUTE(MID(I3882,IFERROR(FIND("and",I3882)+3,1),20),"second(s)","")),0)</f>
        <v/>
      </c>
      <c r="K3882" s="41">
        <f>J3882/60</f>
        <v/>
      </c>
      <c r="L3882" s="41">
        <f>IFERROR(J3882/H3882,"")</f>
        <v/>
      </c>
      <c r="M3882" s="25" t="inlineStr">
        <is>
          <t>2.5.12</t>
        </is>
      </c>
      <c r="N3882" s="25">
        <f>IF(J3882&gt;300,1,0)</f>
        <v/>
      </c>
      <c r="O3882" s="25">
        <f>IF(J3882&gt;600,1,0)</f>
        <v/>
      </c>
      <c r="P3882" s="25">
        <f>IF(H3882&gt;0,J3882,"")</f>
        <v/>
      </c>
      <c r="Q3882" s="25">
        <f>TEXT(A3882,"YYYY-MM-DD HH")</f>
        <v/>
      </c>
      <c r="R3882" s="25">
        <f>COUNTIF($Q$2:$Q$5295,Q3882)</f>
        <v/>
      </c>
      <c r="S3882" s="25">
        <f>IF(R3882&lt;=2,"1-2",IF(R3882&lt;=5,"3-5",IF(R3882&lt;=10,"6-10","11+")))</f>
        <v/>
      </c>
    </row>
    <row r="3883">
      <c r="A3883" s="39" t="n">
        <v>46217.4534375</v>
      </c>
      <c r="B3883" s="25">
        <f>TEXT(A3883,"YYYY-MM")</f>
        <v/>
      </c>
      <c r="C3883" s="25">
        <f>TEXT(A3883,"MMM-YYYY")</f>
        <v/>
      </c>
      <c r="D3883" s="40">
        <f>INT(A3883)-WEEKDAY(A3883,2)+1</f>
        <v/>
      </c>
      <c r="E3883" s="25" t="inlineStr">
        <is>
          <t>psathwika</t>
        </is>
      </c>
      <c r="F3883" s="25" t="n">
        <v>132840</v>
      </c>
      <c r="G3883" s="25" t="n">
        <v>1</v>
      </c>
      <c r="H3883" s="25" t="n">
        <v>5</v>
      </c>
      <c r="I3883" s="25" t="inlineStr">
        <is>
          <t>30 second(s)</t>
        </is>
      </c>
      <c r="J3883" s="25">
        <f>IFERROR(VALUE(TRIM(LEFT(I3883,FIND("minute",I3883)-1)))*60,0)+IFERROR(VALUE(SUBSTITUTE(MID(I3883,IFERROR(FIND("and",I3883)+3,1),20),"second(s)","")),0)</f>
        <v/>
      </c>
      <c r="K3883" s="41">
        <f>J3883/60</f>
        <v/>
      </c>
      <c r="L3883" s="41">
        <f>IFERROR(J3883/H3883,"")</f>
        <v/>
      </c>
      <c r="M3883" s="25" t="inlineStr">
        <is>
          <t>2.5.12</t>
        </is>
      </c>
      <c r="N3883" s="25">
        <f>IF(J3883&gt;300,1,0)</f>
        <v/>
      </c>
      <c r="O3883" s="25">
        <f>IF(J3883&gt;600,1,0)</f>
        <v/>
      </c>
      <c r="P3883" s="25">
        <f>IF(H3883&gt;0,J3883,"")</f>
        <v/>
      </c>
      <c r="Q3883" s="25">
        <f>TEXT(A3883,"YYYY-MM-DD HH")</f>
        <v/>
      </c>
      <c r="R3883" s="25">
        <f>COUNTIF($Q$2:$Q$5295,Q3883)</f>
        <v/>
      </c>
      <c r="S3883" s="25">
        <f>IF(R3883&lt;=2,"1-2",IF(R3883&lt;=5,"3-5",IF(R3883&lt;=10,"6-10","11+")))</f>
        <v/>
      </c>
    </row>
    <row r="3884">
      <c r="A3884" s="39" t="n">
        <v>46217.46277777778</v>
      </c>
      <c r="B3884" s="25">
        <f>TEXT(A3884,"YYYY-MM")</f>
        <v/>
      </c>
      <c r="C3884" s="25">
        <f>TEXT(A3884,"MMM-YYYY")</f>
        <v/>
      </c>
      <c r="D3884" s="40">
        <f>INT(A3884)-WEEKDAY(A3884,2)+1</f>
        <v/>
      </c>
      <c r="E3884" s="25" t="inlineStr">
        <is>
          <t>tkarmakar</t>
        </is>
      </c>
      <c r="F3884" s="25" t="n">
        <v>130586</v>
      </c>
      <c r="G3884" s="25" t="n">
        <v>1</v>
      </c>
      <c r="H3884" s="25" t="n">
        <v>5</v>
      </c>
      <c r="I3884" s="25" t="inlineStr">
        <is>
          <t>21 second(s)</t>
        </is>
      </c>
      <c r="J3884" s="25">
        <f>IFERROR(VALUE(TRIM(LEFT(I3884,FIND("minute",I3884)-1)))*60,0)+IFERROR(VALUE(SUBSTITUTE(MID(I3884,IFERROR(FIND("and",I3884)+3,1),20),"second(s)","")),0)</f>
        <v/>
      </c>
      <c r="K3884" s="41">
        <f>J3884/60</f>
        <v/>
      </c>
      <c r="L3884" s="41">
        <f>IFERROR(J3884/H3884,"")</f>
        <v/>
      </c>
      <c r="M3884" s="25" t="inlineStr">
        <is>
          <t>2.5.12</t>
        </is>
      </c>
      <c r="N3884" s="25">
        <f>IF(J3884&gt;300,1,0)</f>
        <v/>
      </c>
      <c r="O3884" s="25">
        <f>IF(J3884&gt;600,1,0)</f>
        <v/>
      </c>
      <c r="P3884" s="25">
        <f>IF(H3884&gt;0,J3884,"")</f>
        <v/>
      </c>
      <c r="Q3884" s="25">
        <f>TEXT(A3884,"YYYY-MM-DD HH")</f>
        <v/>
      </c>
      <c r="R3884" s="25">
        <f>COUNTIF($Q$2:$Q$5295,Q3884)</f>
        <v/>
      </c>
      <c r="S3884" s="25">
        <f>IF(R3884&lt;=2,"1-2",IF(R3884&lt;=5,"3-5",IF(R3884&lt;=10,"6-10","11+")))</f>
        <v/>
      </c>
    </row>
    <row r="3885">
      <c r="A3885" s="39" t="n">
        <v>46217.47141203703</v>
      </c>
      <c r="B3885" s="25">
        <f>TEXT(A3885,"YYYY-MM")</f>
        <v/>
      </c>
      <c r="C3885" s="25">
        <f>TEXT(A3885,"MMM-YYYY")</f>
        <v/>
      </c>
      <c r="D3885" s="40">
        <f>INT(A3885)-WEEKDAY(A3885,2)+1</f>
        <v/>
      </c>
      <c r="E3885" s="25" t="inlineStr">
        <is>
          <t>aghosh</t>
        </is>
      </c>
      <c r="F3885" s="25" t="n">
        <v>131795</v>
      </c>
      <c r="G3885" s="25" t="n">
        <v>1</v>
      </c>
      <c r="H3885" s="25" t="n">
        <v>7</v>
      </c>
      <c r="I3885" s="25" t="inlineStr">
        <is>
          <t>1 minute(s) and 47 second(s)</t>
        </is>
      </c>
      <c r="J3885" s="25">
        <f>IFERROR(VALUE(TRIM(LEFT(I3885,FIND("minute",I3885)-1)))*60,0)+IFERROR(VALUE(SUBSTITUTE(MID(I3885,IFERROR(FIND("and",I3885)+3,1),20),"second(s)","")),0)</f>
        <v/>
      </c>
      <c r="K3885" s="41">
        <f>J3885/60</f>
        <v/>
      </c>
      <c r="L3885" s="41">
        <f>IFERROR(J3885/H3885,"")</f>
        <v/>
      </c>
      <c r="M3885" s="25" t="inlineStr">
        <is>
          <t>2.5.12</t>
        </is>
      </c>
      <c r="N3885" s="25">
        <f>IF(J3885&gt;300,1,0)</f>
        <v/>
      </c>
      <c r="O3885" s="25">
        <f>IF(J3885&gt;600,1,0)</f>
        <v/>
      </c>
      <c r="P3885" s="25">
        <f>IF(H3885&gt;0,J3885,"")</f>
        <v/>
      </c>
      <c r="Q3885" s="25">
        <f>TEXT(A3885,"YYYY-MM-DD HH")</f>
        <v/>
      </c>
      <c r="R3885" s="25">
        <f>COUNTIF($Q$2:$Q$5295,Q3885)</f>
        <v/>
      </c>
      <c r="S3885" s="25">
        <f>IF(R3885&lt;=2,"1-2",IF(R3885&lt;=5,"3-5",IF(R3885&lt;=10,"6-10","11+")))</f>
        <v/>
      </c>
    </row>
    <row r="3886">
      <c r="A3886" s="39" t="n">
        <v>46217.48019675926</v>
      </c>
      <c r="B3886" s="25">
        <f>TEXT(A3886,"YYYY-MM")</f>
        <v/>
      </c>
      <c r="C3886" s="25">
        <f>TEXT(A3886,"MMM-YYYY")</f>
        <v/>
      </c>
      <c r="D3886" s="40">
        <f>INT(A3886)-WEEKDAY(A3886,2)+1</f>
        <v/>
      </c>
      <c r="E3886" s="25" t="inlineStr">
        <is>
          <t>adey</t>
        </is>
      </c>
      <c r="F3886" s="25" t="n">
        <v>132987</v>
      </c>
      <c r="G3886" s="25" t="n">
        <v>3</v>
      </c>
      <c r="H3886" s="25" t="n">
        <v>13</v>
      </c>
      <c r="I3886" s="25" t="inlineStr">
        <is>
          <t>2 minute(s) and 13 second(s)</t>
        </is>
      </c>
      <c r="J3886" s="25">
        <f>IFERROR(VALUE(TRIM(LEFT(I3886,FIND("minute",I3886)-1)))*60,0)+IFERROR(VALUE(SUBSTITUTE(MID(I3886,IFERROR(FIND("and",I3886)+3,1),20),"second(s)","")),0)</f>
        <v/>
      </c>
      <c r="K3886" s="41">
        <f>J3886/60</f>
        <v/>
      </c>
      <c r="L3886" s="41">
        <f>IFERROR(J3886/H3886,"")</f>
        <v/>
      </c>
      <c r="M3886" s="25" t="inlineStr">
        <is>
          <t>2.5.12</t>
        </is>
      </c>
      <c r="N3886" s="25">
        <f>IF(J3886&gt;300,1,0)</f>
        <v/>
      </c>
      <c r="O3886" s="25">
        <f>IF(J3886&gt;600,1,0)</f>
        <v/>
      </c>
      <c r="P3886" s="25">
        <f>IF(H3886&gt;0,J3886,"")</f>
        <v/>
      </c>
      <c r="Q3886" s="25">
        <f>TEXT(A3886,"YYYY-MM-DD HH")</f>
        <v/>
      </c>
      <c r="R3886" s="25">
        <f>COUNTIF($Q$2:$Q$5295,Q3886)</f>
        <v/>
      </c>
      <c r="S3886" s="25">
        <f>IF(R3886&lt;=2,"1-2",IF(R3886&lt;=5,"3-5",IF(R3886&lt;=10,"6-10","11+")))</f>
        <v/>
      </c>
    </row>
    <row r="3887">
      <c r="A3887" s="39" t="n">
        <v>46217.48107638889</v>
      </c>
      <c r="B3887" s="25">
        <f>TEXT(A3887,"YYYY-MM")</f>
        <v/>
      </c>
      <c r="C3887" s="25">
        <f>TEXT(A3887,"MMM-YYYY")</f>
        <v/>
      </c>
      <c r="D3887" s="40">
        <f>INT(A3887)-WEEKDAY(A3887,2)+1</f>
        <v/>
      </c>
      <c r="E3887" s="25" t="inlineStr">
        <is>
          <t>ns</t>
        </is>
      </c>
      <c r="F3887" s="25" t="n">
        <v>129131</v>
      </c>
      <c r="G3887" s="25" t="n">
        <v>2</v>
      </c>
      <c r="H3887" s="25" t="n">
        <v>12</v>
      </c>
      <c r="I3887" s="25" t="inlineStr">
        <is>
          <t>1 minute(s) and 42 second(s)</t>
        </is>
      </c>
      <c r="J3887" s="25">
        <f>IFERROR(VALUE(TRIM(LEFT(I3887,FIND("minute",I3887)-1)))*60,0)+IFERROR(VALUE(SUBSTITUTE(MID(I3887,IFERROR(FIND("and",I3887)+3,1),20),"second(s)","")),0)</f>
        <v/>
      </c>
      <c r="K3887" s="41">
        <f>J3887/60</f>
        <v/>
      </c>
      <c r="L3887" s="41">
        <f>IFERROR(J3887/H3887,"")</f>
        <v/>
      </c>
      <c r="M3887" s="25" t="inlineStr">
        <is>
          <t>2.5.12</t>
        </is>
      </c>
      <c r="N3887" s="25">
        <f>IF(J3887&gt;300,1,0)</f>
        <v/>
      </c>
      <c r="O3887" s="25">
        <f>IF(J3887&gt;600,1,0)</f>
        <v/>
      </c>
      <c r="P3887" s="25">
        <f>IF(H3887&gt;0,J3887,"")</f>
        <v/>
      </c>
      <c r="Q3887" s="25">
        <f>TEXT(A3887,"YYYY-MM-DD HH")</f>
        <v/>
      </c>
      <c r="R3887" s="25">
        <f>COUNTIF($Q$2:$Q$5295,Q3887)</f>
        <v/>
      </c>
      <c r="S3887" s="25">
        <f>IF(R3887&lt;=2,"1-2",IF(R3887&lt;=5,"3-5",IF(R3887&lt;=10,"6-10","11+")))</f>
        <v/>
      </c>
    </row>
    <row r="3888">
      <c r="A3888" s="39" t="n">
        <v>46217.50255787037</v>
      </c>
      <c r="B3888" s="25">
        <f>TEXT(A3888,"YYYY-MM")</f>
        <v/>
      </c>
      <c r="C3888" s="25">
        <f>TEXT(A3888,"MMM-YYYY")</f>
        <v/>
      </c>
      <c r="D3888" s="40">
        <f>INT(A3888)-WEEKDAY(A3888,2)+1</f>
        <v/>
      </c>
      <c r="E3888" s="25" t="inlineStr">
        <is>
          <t>pgautam</t>
        </is>
      </c>
      <c r="F3888" s="25" t="n">
        <v>129133</v>
      </c>
      <c r="G3888" s="25" t="n">
        <v>3</v>
      </c>
      <c r="H3888" s="25" t="n">
        <v>9</v>
      </c>
      <c r="I3888" s="25" t="inlineStr">
        <is>
          <t>47 second(s)</t>
        </is>
      </c>
      <c r="J3888" s="25">
        <f>IFERROR(VALUE(TRIM(LEFT(I3888,FIND("minute",I3888)-1)))*60,0)+IFERROR(VALUE(SUBSTITUTE(MID(I3888,IFERROR(FIND("and",I3888)+3,1),20),"second(s)","")),0)</f>
        <v/>
      </c>
      <c r="K3888" s="41">
        <f>J3888/60</f>
        <v/>
      </c>
      <c r="L3888" s="41">
        <f>IFERROR(J3888/H3888,"")</f>
        <v/>
      </c>
      <c r="M3888" s="25" t="inlineStr">
        <is>
          <t>2.5.12</t>
        </is>
      </c>
      <c r="N3888" s="25">
        <f>IF(J3888&gt;300,1,0)</f>
        <v/>
      </c>
      <c r="O3888" s="25">
        <f>IF(J3888&gt;600,1,0)</f>
        <v/>
      </c>
      <c r="P3888" s="25">
        <f>IF(H3888&gt;0,J3888,"")</f>
        <v/>
      </c>
      <c r="Q3888" s="25">
        <f>TEXT(A3888,"YYYY-MM-DD HH")</f>
        <v/>
      </c>
      <c r="R3888" s="25">
        <f>COUNTIF($Q$2:$Q$5295,Q3888)</f>
        <v/>
      </c>
      <c r="S3888" s="25">
        <f>IF(R3888&lt;=2,"1-2",IF(R3888&lt;=5,"3-5",IF(R3888&lt;=10,"6-10","11+")))</f>
        <v/>
      </c>
    </row>
    <row r="3889">
      <c r="A3889" s="39" t="n">
        <v>46217.51914351852</v>
      </c>
      <c r="B3889" s="25">
        <f>TEXT(A3889,"YYYY-MM")</f>
        <v/>
      </c>
      <c r="C3889" s="25">
        <f>TEXT(A3889,"MMM-YYYY")</f>
        <v/>
      </c>
      <c r="D3889" s="40">
        <f>INT(A3889)-WEEKDAY(A3889,2)+1</f>
        <v/>
      </c>
      <c r="E3889" s="25" t="inlineStr">
        <is>
          <t>csaha</t>
        </is>
      </c>
      <c r="F3889" s="25" t="n">
        <v>132348</v>
      </c>
      <c r="G3889" s="25" t="n">
        <v>1</v>
      </c>
      <c r="H3889" s="25" t="n">
        <v>7</v>
      </c>
      <c r="I3889" s="25" t="inlineStr">
        <is>
          <t>1 minute(s) and 26 second(s)</t>
        </is>
      </c>
      <c r="J3889" s="25">
        <f>IFERROR(VALUE(TRIM(LEFT(I3889,FIND("minute",I3889)-1)))*60,0)+IFERROR(VALUE(SUBSTITUTE(MID(I3889,IFERROR(FIND("and",I3889)+3,1),20),"second(s)","")),0)</f>
        <v/>
      </c>
      <c r="K3889" s="41">
        <f>J3889/60</f>
        <v/>
      </c>
      <c r="L3889" s="41">
        <f>IFERROR(J3889/H3889,"")</f>
        <v/>
      </c>
      <c r="M3889" s="25" t="inlineStr">
        <is>
          <t>2.5.12</t>
        </is>
      </c>
      <c r="N3889" s="25">
        <f>IF(J3889&gt;300,1,0)</f>
        <v/>
      </c>
      <c r="O3889" s="25">
        <f>IF(J3889&gt;600,1,0)</f>
        <v/>
      </c>
      <c r="P3889" s="25">
        <f>IF(H3889&gt;0,J3889,"")</f>
        <v/>
      </c>
      <c r="Q3889" s="25">
        <f>TEXT(A3889,"YYYY-MM-DD HH")</f>
        <v/>
      </c>
      <c r="R3889" s="25">
        <f>COUNTIF($Q$2:$Q$5295,Q3889)</f>
        <v/>
      </c>
      <c r="S3889" s="25">
        <f>IF(R3889&lt;=2,"1-2",IF(R3889&lt;=5,"3-5",IF(R3889&lt;=10,"6-10","11+")))</f>
        <v/>
      </c>
    </row>
    <row r="3890">
      <c r="A3890" s="39" t="n">
        <v>46217.52148148148</v>
      </c>
      <c r="B3890" s="25">
        <f>TEXT(A3890,"YYYY-MM")</f>
        <v/>
      </c>
      <c r="C3890" s="25">
        <f>TEXT(A3890,"MMM-YYYY")</f>
        <v/>
      </c>
      <c r="D3890" s="40">
        <f>INT(A3890)-WEEKDAY(A3890,2)+1</f>
        <v/>
      </c>
      <c r="E3890" s="25" t="inlineStr">
        <is>
          <t>apriyadarshi</t>
        </is>
      </c>
      <c r="F3890" s="25" t="n">
        <v>130084</v>
      </c>
      <c r="G3890" s="25" t="n">
        <v>4</v>
      </c>
      <c r="H3890" s="25" t="n">
        <v>19</v>
      </c>
      <c r="I3890" s="25" t="inlineStr">
        <is>
          <t>2 minute(s) and 49 second(s)</t>
        </is>
      </c>
      <c r="J3890" s="25">
        <f>IFERROR(VALUE(TRIM(LEFT(I3890,FIND("minute",I3890)-1)))*60,0)+IFERROR(VALUE(SUBSTITUTE(MID(I3890,IFERROR(FIND("and",I3890)+3,1),20),"second(s)","")),0)</f>
        <v/>
      </c>
      <c r="K3890" s="41">
        <f>J3890/60</f>
        <v/>
      </c>
      <c r="L3890" s="41">
        <f>IFERROR(J3890/H3890,"")</f>
        <v/>
      </c>
      <c r="M3890" s="25" t="inlineStr">
        <is>
          <t>2.5.12</t>
        </is>
      </c>
      <c r="N3890" s="25">
        <f>IF(J3890&gt;300,1,0)</f>
        <v/>
      </c>
      <c r="O3890" s="25">
        <f>IF(J3890&gt;600,1,0)</f>
        <v/>
      </c>
      <c r="P3890" s="25">
        <f>IF(H3890&gt;0,J3890,"")</f>
        <v/>
      </c>
      <c r="Q3890" s="25">
        <f>TEXT(A3890,"YYYY-MM-DD HH")</f>
        <v/>
      </c>
      <c r="R3890" s="25">
        <f>COUNTIF($Q$2:$Q$5295,Q3890)</f>
        <v/>
      </c>
      <c r="S3890" s="25">
        <f>IF(R3890&lt;=2,"1-2",IF(R3890&lt;=5,"3-5",IF(R3890&lt;=10,"6-10","11+")))</f>
        <v/>
      </c>
    </row>
    <row r="3891">
      <c r="A3891" s="39" t="n">
        <v>46217.52993055555</v>
      </c>
      <c r="B3891" s="25">
        <f>TEXT(A3891,"YYYY-MM")</f>
        <v/>
      </c>
      <c r="C3891" s="25">
        <f>TEXT(A3891,"MMM-YYYY")</f>
        <v/>
      </c>
      <c r="D3891" s="40">
        <f>INT(A3891)-WEEKDAY(A3891,2)+1</f>
        <v/>
      </c>
      <c r="E3891" s="25" t="inlineStr">
        <is>
          <t>smukhopadhyay</t>
        </is>
      </c>
      <c r="F3891" s="25" t="n">
        <v>128416</v>
      </c>
      <c r="G3891" s="25" t="n">
        <v>4</v>
      </c>
      <c r="H3891" s="25" t="n">
        <v>22</v>
      </c>
      <c r="I3891" s="25" t="inlineStr">
        <is>
          <t>2 minute(s) and 13 second(s)</t>
        </is>
      </c>
      <c r="J3891" s="25">
        <f>IFERROR(VALUE(TRIM(LEFT(I3891,FIND("minute",I3891)-1)))*60,0)+IFERROR(VALUE(SUBSTITUTE(MID(I3891,IFERROR(FIND("and",I3891)+3,1),20),"second(s)","")),0)</f>
        <v/>
      </c>
      <c r="K3891" s="41">
        <f>J3891/60</f>
        <v/>
      </c>
      <c r="L3891" s="41">
        <f>IFERROR(J3891/H3891,"")</f>
        <v/>
      </c>
      <c r="M3891" s="25" t="inlineStr">
        <is>
          <t>2.5.12</t>
        </is>
      </c>
      <c r="N3891" s="25">
        <f>IF(J3891&gt;300,1,0)</f>
        <v/>
      </c>
      <c r="O3891" s="25">
        <f>IF(J3891&gt;600,1,0)</f>
        <v/>
      </c>
      <c r="P3891" s="25">
        <f>IF(H3891&gt;0,J3891,"")</f>
        <v/>
      </c>
      <c r="Q3891" s="25">
        <f>TEXT(A3891,"YYYY-MM-DD HH")</f>
        <v/>
      </c>
      <c r="R3891" s="25">
        <f>COUNTIF($Q$2:$Q$5295,Q3891)</f>
        <v/>
      </c>
      <c r="S3891" s="25">
        <f>IF(R3891&lt;=2,"1-2",IF(R3891&lt;=5,"3-5",IF(R3891&lt;=10,"6-10","11+")))</f>
        <v/>
      </c>
    </row>
    <row r="3892">
      <c r="A3892" s="39" t="n">
        <v>46217.54467592593</v>
      </c>
      <c r="B3892" s="25">
        <f>TEXT(A3892,"YYYY-MM")</f>
        <v/>
      </c>
      <c r="C3892" s="25">
        <f>TEXT(A3892,"MMM-YYYY")</f>
        <v/>
      </c>
      <c r="D3892" s="40">
        <f>INT(A3892)-WEEKDAY(A3892,2)+1</f>
        <v/>
      </c>
      <c r="E3892" s="25" t="inlineStr">
        <is>
          <t>mbhalla</t>
        </is>
      </c>
      <c r="F3892" s="25" t="n">
        <v>132435</v>
      </c>
      <c r="G3892" s="25" t="n">
        <v>2</v>
      </c>
      <c r="H3892" s="25" t="n">
        <v>9</v>
      </c>
      <c r="I3892" s="25" t="inlineStr">
        <is>
          <t>38 second(s)</t>
        </is>
      </c>
      <c r="J3892" s="25">
        <f>IFERROR(VALUE(TRIM(LEFT(I3892,FIND("minute",I3892)-1)))*60,0)+IFERROR(VALUE(SUBSTITUTE(MID(I3892,IFERROR(FIND("and",I3892)+3,1),20),"second(s)","")),0)</f>
        <v/>
      </c>
      <c r="K3892" s="41">
        <f>J3892/60</f>
        <v/>
      </c>
      <c r="L3892" s="41">
        <f>IFERROR(J3892/H3892,"")</f>
        <v/>
      </c>
      <c r="M3892" s="25" t="inlineStr">
        <is>
          <t>2.5.12</t>
        </is>
      </c>
      <c r="N3892" s="25">
        <f>IF(J3892&gt;300,1,0)</f>
        <v/>
      </c>
      <c r="O3892" s="25">
        <f>IF(J3892&gt;600,1,0)</f>
        <v/>
      </c>
      <c r="P3892" s="25">
        <f>IF(H3892&gt;0,J3892,"")</f>
        <v/>
      </c>
      <c r="Q3892" s="25">
        <f>TEXT(A3892,"YYYY-MM-DD HH")</f>
        <v/>
      </c>
      <c r="R3892" s="25">
        <f>COUNTIF($Q$2:$Q$5295,Q3892)</f>
        <v/>
      </c>
      <c r="S3892" s="25">
        <f>IF(R3892&lt;=2,"1-2",IF(R3892&lt;=5,"3-5",IF(R3892&lt;=10,"6-10","11+")))</f>
        <v/>
      </c>
    </row>
    <row r="3893">
      <c r="A3893" s="39" t="n">
        <v>46217.57605324074</v>
      </c>
      <c r="B3893" s="25">
        <f>TEXT(A3893,"YYYY-MM")</f>
        <v/>
      </c>
      <c r="C3893" s="25">
        <f>TEXT(A3893,"MMM-YYYY")</f>
        <v/>
      </c>
      <c r="D3893" s="40">
        <f>INT(A3893)-WEEKDAY(A3893,2)+1</f>
        <v/>
      </c>
      <c r="E3893" s="25" t="inlineStr">
        <is>
          <t>mbhalla</t>
        </is>
      </c>
      <c r="F3893" s="25" t="n">
        <v>132443</v>
      </c>
      <c r="G3893" s="25" t="n">
        <v>2</v>
      </c>
      <c r="H3893" s="25" t="n">
        <v>11</v>
      </c>
      <c r="I3893" s="25" t="inlineStr">
        <is>
          <t>50 second(s)</t>
        </is>
      </c>
      <c r="J3893" s="25">
        <f>IFERROR(VALUE(TRIM(LEFT(I3893,FIND("minute",I3893)-1)))*60,0)+IFERROR(VALUE(SUBSTITUTE(MID(I3893,IFERROR(FIND("and",I3893)+3,1),20),"second(s)","")),0)</f>
        <v/>
      </c>
      <c r="K3893" s="41">
        <f>J3893/60</f>
        <v/>
      </c>
      <c r="L3893" s="41">
        <f>IFERROR(J3893/H3893,"")</f>
        <v/>
      </c>
      <c r="M3893" s="25" t="inlineStr">
        <is>
          <t>2.5.12</t>
        </is>
      </c>
      <c r="N3893" s="25">
        <f>IF(J3893&gt;300,1,0)</f>
        <v/>
      </c>
      <c r="O3893" s="25">
        <f>IF(J3893&gt;600,1,0)</f>
        <v/>
      </c>
      <c r="P3893" s="25">
        <f>IF(H3893&gt;0,J3893,"")</f>
        <v/>
      </c>
      <c r="Q3893" s="25">
        <f>TEXT(A3893,"YYYY-MM-DD HH")</f>
        <v/>
      </c>
      <c r="R3893" s="25">
        <f>COUNTIF($Q$2:$Q$5295,Q3893)</f>
        <v/>
      </c>
      <c r="S3893" s="25">
        <f>IF(R3893&lt;=2,"1-2",IF(R3893&lt;=5,"3-5",IF(R3893&lt;=10,"6-10","11+")))</f>
        <v/>
      </c>
    </row>
    <row r="3894">
      <c r="A3894" s="39" t="n">
        <v>46217.57866898148</v>
      </c>
      <c r="B3894" s="25">
        <f>TEXT(A3894,"YYYY-MM")</f>
        <v/>
      </c>
      <c r="C3894" s="25">
        <f>TEXT(A3894,"MMM-YYYY")</f>
        <v/>
      </c>
      <c r="D3894" s="40">
        <f>INT(A3894)-WEEKDAY(A3894,2)+1</f>
        <v/>
      </c>
      <c r="E3894" s="25" t="inlineStr">
        <is>
          <t>hsindwani</t>
        </is>
      </c>
      <c r="F3894" s="25" t="n">
        <v>129636</v>
      </c>
      <c r="G3894" s="25" t="n">
        <v>2</v>
      </c>
      <c r="H3894" s="25" t="n">
        <v>13</v>
      </c>
      <c r="I3894" s="25" t="inlineStr">
        <is>
          <t>3 minute(s) and 37 second(s)</t>
        </is>
      </c>
      <c r="J3894" s="25">
        <f>IFERROR(VALUE(TRIM(LEFT(I3894,FIND("minute",I3894)-1)))*60,0)+IFERROR(VALUE(SUBSTITUTE(MID(I3894,IFERROR(FIND("and",I3894)+3,1),20),"second(s)","")),0)</f>
        <v/>
      </c>
      <c r="K3894" s="41">
        <f>J3894/60</f>
        <v/>
      </c>
      <c r="L3894" s="41">
        <f>IFERROR(J3894/H3894,"")</f>
        <v/>
      </c>
      <c r="M3894" s="25" t="inlineStr">
        <is>
          <t>2.5.12</t>
        </is>
      </c>
      <c r="N3894" s="25">
        <f>IF(J3894&gt;300,1,0)</f>
        <v/>
      </c>
      <c r="O3894" s="25">
        <f>IF(J3894&gt;600,1,0)</f>
        <v/>
      </c>
      <c r="P3894" s="25">
        <f>IF(H3894&gt;0,J3894,"")</f>
        <v/>
      </c>
      <c r="Q3894" s="25">
        <f>TEXT(A3894,"YYYY-MM-DD HH")</f>
        <v/>
      </c>
      <c r="R3894" s="25">
        <f>COUNTIF($Q$2:$Q$5295,Q3894)</f>
        <v/>
      </c>
      <c r="S3894" s="25">
        <f>IF(R3894&lt;=2,"1-2",IF(R3894&lt;=5,"3-5",IF(R3894&lt;=10,"6-10","11+")))</f>
        <v/>
      </c>
    </row>
    <row r="3895">
      <c r="A3895" s="39" t="n">
        <v>46217.633125</v>
      </c>
      <c r="B3895" s="25">
        <f>TEXT(A3895,"YYYY-MM")</f>
        <v/>
      </c>
      <c r="C3895" s="25">
        <f>TEXT(A3895,"MMM-YYYY")</f>
        <v/>
      </c>
      <c r="D3895" s="40">
        <f>INT(A3895)-WEEKDAY(A3895,2)+1</f>
        <v/>
      </c>
      <c r="E3895" s="25" t="inlineStr">
        <is>
          <t>psingh</t>
        </is>
      </c>
      <c r="F3895" s="25" t="n">
        <v>130924</v>
      </c>
      <c r="G3895" s="25" t="n">
        <v>4</v>
      </c>
      <c r="H3895" s="25" t="n">
        <v>24</v>
      </c>
      <c r="I3895" s="25" t="inlineStr">
        <is>
          <t>3 minute(s) and 56 second(s)</t>
        </is>
      </c>
      <c r="J3895" s="25">
        <f>IFERROR(VALUE(TRIM(LEFT(I3895,FIND("minute",I3895)-1)))*60,0)+IFERROR(VALUE(SUBSTITUTE(MID(I3895,IFERROR(FIND("and",I3895)+3,1),20),"second(s)","")),0)</f>
        <v/>
      </c>
      <c r="K3895" s="41">
        <f>J3895/60</f>
        <v/>
      </c>
      <c r="L3895" s="41">
        <f>IFERROR(J3895/H3895,"")</f>
        <v/>
      </c>
      <c r="M3895" s="25" t="inlineStr">
        <is>
          <t>2.5.12</t>
        </is>
      </c>
      <c r="N3895" s="25">
        <f>IF(J3895&gt;300,1,0)</f>
        <v/>
      </c>
      <c r="O3895" s="25">
        <f>IF(J3895&gt;600,1,0)</f>
        <v/>
      </c>
      <c r="P3895" s="25">
        <f>IF(H3895&gt;0,J3895,"")</f>
        <v/>
      </c>
      <c r="Q3895" s="25">
        <f>TEXT(A3895,"YYYY-MM-DD HH")</f>
        <v/>
      </c>
      <c r="R3895" s="25">
        <f>COUNTIF($Q$2:$Q$5295,Q3895)</f>
        <v/>
      </c>
      <c r="S3895" s="25">
        <f>IF(R3895&lt;=2,"1-2",IF(R3895&lt;=5,"3-5",IF(R3895&lt;=10,"6-10","11+")))</f>
        <v/>
      </c>
    </row>
    <row r="3896">
      <c r="A3896" s="39" t="n">
        <v>46217.65324074074</v>
      </c>
      <c r="B3896" s="25">
        <f>TEXT(A3896,"YYYY-MM")</f>
        <v/>
      </c>
      <c r="C3896" s="25">
        <f>TEXT(A3896,"MMM-YYYY")</f>
        <v/>
      </c>
      <c r="D3896" s="40">
        <f>INT(A3896)-WEEKDAY(A3896,2)+1</f>
        <v/>
      </c>
      <c r="E3896" s="25" t="inlineStr">
        <is>
          <t>apriyadarshi</t>
        </is>
      </c>
      <c r="F3896" s="25" t="n">
        <v>130060</v>
      </c>
      <c r="G3896" s="25" t="n">
        <v>3</v>
      </c>
      <c r="H3896" s="25" t="n">
        <v>18</v>
      </c>
      <c r="I3896" s="25" t="inlineStr">
        <is>
          <t>2 minute(s) and 7 second(s)</t>
        </is>
      </c>
      <c r="J3896" s="25">
        <f>IFERROR(VALUE(TRIM(LEFT(I3896,FIND("minute",I3896)-1)))*60,0)+IFERROR(VALUE(SUBSTITUTE(MID(I3896,IFERROR(FIND("and",I3896)+3,1),20),"second(s)","")),0)</f>
        <v/>
      </c>
      <c r="K3896" s="41">
        <f>J3896/60</f>
        <v/>
      </c>
      <c r="L3896" s="41">
        <f>IFERROR(J3896/H3896,"")</f>
        <v/>
      </c>
      <c r="M3896" s="25" t="inlineStr">
        <is>
          <t>2.5.12</t>
        </is>
      </c>
      <c r="N3896" s="25">
        <f>IF(J3896&gt;300,1,0)</f>
        <v/>
      </c>
      <c r="O3896" s="25">
        <f>IF(J3896&gt;600,1,0)</f>
        <v/>
      </c>
      <c r="P3896" s="25">
        <f>IF(H3896&gt;0,J3896,"")</f>
        <v/>
      </c>
      <c r="Q3896" s="25">
        <f>TEXT(A3896,"YYYY-MM-DD HH")</f>
        <v/>
      </c>
      <c r="R3896" s="25">
        <f>COUNTIF($Q$2:$Q$5295,Q3896)</f>
        <v/>
      </c>
      <c r="S3896" s="25">
        <f>IF(R3896&lt;=2,"1-2",IF(R3896&lt;=5,"3-5",IF(R3896&lt;=10,"6-10","11+")))</f>
        <v/>
      </c>
    </row>
    <row r="3897">
      <c r="A3897" s="39" t="n">
        <v>46217.65809027778</v>
      </c>
      <c r="B3897" s="25">
        <f>TEXT(A3897,"YYYY-MM")</f>
        <v/>
      </c>
      <c r="C3897" s="25">
        <f>TEXT(A3897,"MMM-YYYY")</f>
        <v/>
      </c>
      <c r="D3897" s="40">
        <f>INT(A3897)-WEEKDAY(A3897,2)+1</f>
        <v/>
      </c>
      <c r="E3897" s="25" t="inlineStr">
        <is>
          <t>mbhalla</t>
        </is>
      </c>
      <c r="F3897" s="25" t="n">
        <v>132491</v>
      </c>
      <c r="G3897" s="25" t="n">
        <v>1</v>
      </c>
      <c r="H3897" s="25" t="n">
        <v>5</v>
      </c>
      <c r="I3897" s="25" t="inlineStr">
        <is>
          <t>22 second(s)</t>
        </is>
      </c>
      <c r="J3897" s="25">
        <f>IFERROR(VALUE(TRIM(LEFT(I3897,FIND("minute",I3897)-1)))*60,0)+IFERROR(VALUE(SUBSTITUTE(MID(I3897,IFERROR(FIND("and",I3897)+3,1),20),"second(s)","")),0)</f>
        <v/>
      </c>
      <c r="K3897" s="41">
        <f>J3897/60</f>
        <v/>
      </c>
      <c r="L3897" s="41">
        <f>IFERROR(J3897/H3897,"")</f>
        <v/>
      </c>
      <c r="M3897" s="25" t="inlineStr">
        <is>
          <t>2.5.12</t>
        </is>
      </c>
      <c r="N3897" s="25">
        <f>IF(J3897&gt;300,1,0)</f>
        <v/>
      </c>
      <c r="O3897" s="25">
        <f>IF(J3897&gt;600,1,0)</f>
        <v/>
      </c>
      <c r="P3897" s="25">
        <f>IF(H3897&gt;0,J3897,"")</f>
        <v/>
      </c>
      <c r="Q3897" s="25">
        <f>TEXT(A3897,"YYYY-MM-DD HH")</f>
        <v/>
      </c>
      <c r="R3897" s="25">
        <f>COUNTIF($Q$2:$Q$5295,Q3897)</f>
        <v/>
      </c>
      <c r="S3897" s="25">
        <f>IF(R3897&lt;=2,"1-2",IF(R3897&lt;=5,"3-5",IF(R3897&lt;=10,"6-10","11+")))</f>
        <v/>
      </c>
    </row>
    <row r="3898">
      <c r="A3898" s="39" t="n">
        <v>46217.68900462963</v>
      </c>
      <c r="B3898" s="25">
        <f>TEXT(A3898,"YYYY-MM")</f>
        <v/>
      </c>
      <c r="C3898" s="25">
        <f>TEXT(A3898,"MMM-YYYY")</f>
        <v/>
      </c>
      <c r="D3898" s="40">
        <f>INT(A3898)-WEEKDAY(A3898,2)+1</f>
        <v/>
      </c>
      <c r="E3898" s="25" t="inlineStr">
        <is>
          <t>rsingh</t>
        </is>
      </c>
      <c r="F3898" s="25" t="n">
        <v>132984</v>
      </c>
      <c r="G3898" s="25" t="n">
        <v>4</v>
      </c>
      <c r="H3898" s="25" t="n">
        <v>24</v>
      </c>
      <c r="I3898" s="25" t="inlineStr">
        <is>
          <t>2 minute(s) and 44 second(s)</t>
        </is>
      </c>
      <c r="J3898" s="25">
        <f>IFERROR(VALUE(TRIM(LEFT(I3898,FIND("minute",I3898)-1)))*60,0)+IFERROR(VALUE(SUBSTITUTE(MID(I3898,IFERROR(FIND("and",I3898)+3,1),20),"second(s)","")),0)</f>
        <v/>
      </c>
      <c r="K3898" s="41">
        <f>J3898/60</f>
        <v/>
      </c>
      <c r="L3898" s="41">
        <f>IFERROR(J3898/H3898,"")</f>
        <v/>
      </c>
      <c r="M3898" s="25" t="inlineStr">
        <is>
          <t>2.5.12</t>
        </is>
      </c>
      <c r="N3898" s="25">
        <f>IF(J3898&gt;300,1,0)</f>
        <v/>
      </c>
      <c r="O3898" s="25">
        <f>IF(J3898&gt;600,1,0)</f>
        <v/>
      </c>
      <c r="P3898" s="25">
        <f>IF(H3898&gt;0,J3898,"")</f>
        <v/>
      </c>
      <c r="Q3898" s="25">
        <f>TEXT(A3898,"YYYY-MM-DD HH")</f>
        <v/>
      </c>
      <c r="R3898" s="25">
        <f>COUNTIF($Q$2:$Q$5295,Q3898)</f>
        <v/>
      </c>
      <c r="S3898" s="25">
        <f>IF(R3898&lt;=2,"1-2",IF(R3898&lt;=5,"3-5",IF(R3898&lt;=10,"6-10","11+")))</f>
        <v/>
      </c>
    </row>
    <row r="3899">
      <c r="A3899" s="39" t="n">
        <v>46217.70017361111</v>
      </c>
      <c r="B3899" s="25">
        <f>TEXT(A3899,"YYYY-MM")</f>
        <v/>
      </c>
      <c r="C3899" s="25">
        <f>TEXT(A3899,"MMM-YYYY")</f>
        <v/>
      </c>
      <c r="D3899" s="40">
        <f>INT(A3899)-WEEKDAY(A3899,2)+1</f>
        <v/>
      </c>
      <c r="E3899" s="25" t="inlineStr">
        <is>
          <t>psingh</t>
        </is>
      </c>
      <c r="F3899" s="25" t="n">
        <v>132754</v>
      </c>
      <c r="G3899" s="25" t="n">
        <v>1</v>
      </c>
      <c r="H3899" s="25" t="n">
        <v>5</v>
      </c>
      <c r="I3899" s="25" t="inlineStr">
        <is>
          <t>34 second(s)</t>
        </is>
      </c>
      <c r="J3899" s="25">
        <f>IFERROR(VALUE(TRIM(LEFT(I3899,FIND("minute",I3899)-1)))*60,0)+IFERROR(VALUE(SUBSTITUTE(MID(I3899,IFERROR(FIND("and",I3899)+3,1),20),"second(s)","")),0)</f>
        <v/>
      </c>
      <c r="K3899" s="41">
        <f>J3899/60</f>
        <v/>
      </c>
      <c r="L3899" s="41">
        <f>IFERROR(J3899/H3899,"")</f>
        <v/>
      </c>
      <c r="M3899" s="25" t="inlineStr">
        <is>
          <t>2.5.12</t>
        </is>
      </c>
      <c r="N3899" s="25">
        <f>IF(J3899&gt;300,1,0)</f>
        <v/>
      </c>
      <c r="O3899" s="25">
        <f>IF(J3899&gt;600,1,0)</f>
        <v/>
      </c>
      <c r="P3899" s="25">
        <f>IF(H3899&gt;0,J3899,"")</f>
        <v/>
      </c>
      <c r="Q3899" s="25">
        <f>TEXT(A3899,"YYYY-MM-DD HH")</f>
        <v/>
      </c>
      <c r="R3899" s="25">
        <f>COUNTIF($Q$2:$Q$5295,Q3899)</f>
        <v/>
      </c>
      <c r="S3899" s="25">
        <f>IF(R3899&lt;=2,"1-2",IF(R3899&lt;=5,"3-5",IF(R3899&lt;=10,"6-10","11+")))</f>
        <v/>
      </c>
    </row>
    <row r="3900">
      <c r="A3900" s="39" t="n">
        <v>46217.75200231482</v>
      </c>
      <c r="B3900" s="25">
        <f>TEXT(A3900,"YYYY-MM")</f>
        <v/>
      </c>
      <c r="C3900" s="25">
        <f>TEXT(A3900,"MMM-YYYY")</f>
        <v/>
      </c>
      <c r="D3900" s="40">
        <f>INT(A3900)-WEEKDAY(A3900,2)+1</f>
        <v/>
      </c>
      <c r="E3900" s="25" t="inlineStr">
        <is>
          <t>mbhalla</t>
        </is>
      </c>
      <c r="F3900" s="25" t="n">
        <v>106307</v>
      </c>
      <c r="G3900" s="25" t="n">
        <v>2</v>
      </c>
      <c r="H3900" s="25" t="n">
        <v>8</v>
      </c>
      <c r="I3900" s="25" t="inlineStr">
        <is>
          <t>40 second(s)</t>
        </is>
      </c>
      <c r="J3900" s="25">
        <f>IFERROR(VALUE(TRIM(LEFT(I3900,FIND("minute",I3900)-1)))*60,0)+IFERROR(VALUE(SUBSTITUTE(MID(I3900,IFERROR(FIND("and",I3900)+3,1),20),"second(s)","")),0)</f>
        <v/>
      </c>
      <c r="K3900" s="41">
        <f>J3900/60</f>
        <v/>
      </c>
      <c r="L3900" s="41">
        <f>IFERROR(J3900/H3900,"")</f>
        <v/>
      </c>
      <c r="M3900" s="25" t="inlineStr">
        <is>
          <t>2.5.12</t>
        </is>
      </c>
      <c r="N3900" s="25">
        <f>IF(J3900&gt;300,1,0)</f>
        <v/>
      </c>
      <c r="O3900" s="25">
        <f>IF(J3900&gt;600,1,0)</f>
        <v/>
      </c>
      <c r="P3900" s="25">
        <f>IF(H3900&gt;0,J3900,"")</f>
        <v/>
      </c>
      <c r="Q3900" s="25">
        <f>TEXT(A3900,"YYYY-MM-DD HH")</f>
        <v/>
      </c>
      <c r="R3900" s="25">
        <f>COUNTIF($Q$2:$Q$5295,Q3900)</f>
        <v/>
      </c>
      <c r="S3900" s="25">
        <f>IF(R3900&lt;=2,"1-2",IF(R3900&lt;=5,"3-5",IF(R3900&lt;=10,"6-10","11+")))</f>
        <v/>
      </c>
    </row>
    <row r="3901">
      <c r="A3901" s="39" t="n">
        <v>46217.78444444444</v>
      </c>
      <c r="B3901" s="25">
        <f>TEXT(A3901,"YYYY-MM")</f>
        <v/>
      </c>
      <c r="C3901" s="25">
        <f>TEXT(A3901,"MMM-YYYY")</f>
        <v/>
      </c>
      <c r="D3901" s="40">
        <f>INT(A3901)-WEEKDAY(A3901,2)+1</f>
        <v/>
      </c>
      <c r="E3901" s="25" t="inlineStr">
        <is>
          <t>dchoudhury</t>
        </is>
      </c>
      <c r="F3901" s="25" t="n">
        <v>129288</v>
      </c>
      <c r="G3901" s="25" t="n">
        <v>2</v>
      </c>
      <c r="H3901" s="25" t="n">
        <v>10</v>
      </c>
      <c r="I3901" s="25" t="inlineStr">
        <is>
          <t>48 second(s)</t>
        </is>
      </c>
      <c r="J3901" s="25">
        <f>IFERROR(VALUE(TRIM(LEFT(I3901,FIND("minute",I3901)-1)))*60,0)+IFERROR(VALUE(SUBSTITUTE(MID(I3901,IFERROR(FIND("and",I3901)+3,1),20),"second(s)","")),0)</f>
        <v/>
      </c>
      <c r="K3901" s="41">
        <f>J3901/60</f>
        <v/>
      </c>
      <c r="L3901" s="41">
        <f>IFERROR(J3901/H3901,"")</f>
        <v/>
      </c>
      <c r="M3901" s="25" t="inlineStr">
        <is>
          <t>2.5.12</t>
        </is>
      </c>
      <c r="N3901" s="25">
        <f>IF(J3901&gt;300,1,0)</f>
        <v/>
      </c>
      <c r="O3901" s="25">
        <f>IF(J3901&gt;600,1,0)</f>
        <v/>
      </c>
      <c r="P3901" s="25">
        <f>IF(H3901&gt;0,J3901,"")</f>
        <v/>
      </c>
      <c r="Q3901" s="25">
        <f>TEXT(A3901,"YYYY-MM-DD HH")</f>
        <v/>
      </c>
      <c r="R3901" s="25">
        <f>COUNTIF($Q$2:$Q$5295,Q3901)</f>
        <v/>
      </c>
      <c r="S3901" s="25">
        <f>IF(R3901&lt;=2,"1-2",IF(R3901&lt;=5,"3-5",IF(R3901&lt;=10,"6-10","11+")))</f>
        <v/>
      </c>
    </row>
    <row r="3902">
      <c r="A3902" s="39" t="n">
        <v>46217.79229166666</v>
      </c>
      <c r="B3902" s="25">
        <f>TEXT(A3902,"YYYY-MM")</f>
        <v/>
      </c>
      <c r="C3902" s="25">
        <f>TEXT(A3902,"MMM-YYYY")</f>
        <v/>
      </c>
      <c r="D3902" s="40">
        <f>INT(A3902)-WEEKDAY(A3902,2)+1</f>
        <v/>
      </c>
      <c r="E3902" s="25" t="inlineStr">
        <is>
          <t>dchoudhury</t>
        </is>
      </c>
      <c r="F3902" s="25" t="n">
        <v>129288</v>
      </c>
      <c r="G3902" s="25" t="n">
        <v>2</v>
      </c>
      <c r="H3902" s="25" t="n">
        <v>10</v>
      </c>
      <c r="I3902" s="25" t="inlineStr">
        <is>
          <t>1 minute(s) and 3 second(s)</t>
        </is>
      </c>
      <c r="J3902" s="25">
        <f>IFERROR(VALUE(TRIM(LEFT(I3902,FIND("minute",I3902)-1)))*60,0)+IFERROR(VALUE(SUBSTITUTE(MID(I3902,IFERROR(FIND("and",I3902)+3,1),20),"second(s)","")),0)</f>
        <v/>
      </c>
      <c r="K3902" s="41">
        <f>J3902/60</f>
        <v/>
      </c>
      <c r="L3902" s="41">
        <f>IFERROR(J3902/H3902,"")</f>
        <v/>
      </c>
      <c r="M3902" s="25" t="inlineStr">
        <is>
          <t>2.5.12</t>
        </is>
      </c>
      <c r="N3902" s="25">
        <f>IF(J3902&gt;300,1,0)</f>
        <v/>
      </c>
      <c r="O3902" s="25">
        <f>IF(J3902&gt;600,1,0)</f>
        <v/>
      </c>
      <c r="P3902" s="25">
        <f>IF(H3902&gt;0,J3902,"")</f>
        <v/>
      </c>
      <c r="Q3902" s="25">
        <f>TEXT(A3902,"YYYY-MM-DD HH")</f>
        <v/>
      </c>
      <c r="R3902" s="25">
        <f>COUNTIF($Q$2:$Q$5295,Q3902)</f>
        <v/>
      </c>
      <c r="S3902" s="25">
        <f>IF(R3902&lt;=2,"1-2",IF(R3902&lt;=5,"3-5",IF(R3902&lt;=10,"6-10","11+")))</f>
        <v/>
      </c>
    </row>
    <row r="3903">
      <c r="A3903" s="39" t="n">
        <v>46217.84041666667</v>
      </c>
      <c r="B3903" s="25">
        <f>TEXT(A3903,"YYYY-MM")</f>
        <v/>
      </c>
      <c r="C3903" s="25">
        <f>TEXT(A3903,"MMM-YYYY")</f>
        <v/>
      </c>
      <c r="D3903" s="40">
        <f>INT(A3903)-WEEKDAY(A3903,2)+1</f>
        <v/>
      </c>
      <c r="E3903" s="25" t="inlineStr">
        <is>
          <t>psingh</t>
        </is>
      </c>
      <c r="F3903" s="25" t="n">
        <v>131412</v>
      </c>
      <c r="G3903" s="25" t="n">
        <v>4</v>
      </c>
      <c r="H3903" s="25" t="n">
        <v>24</v>
      </c>
      <c r="I3903" s="25" t="inlineStr">
        <is>
          <t>3 minute(s) and 18 second(s)</t>
        </is>
      </c>
      <c r="J3903" s="25">
        <f>IFERROR(VALUE(TRIM(LEFT(I3903,FIND("minute",I3903)-1)))*60,0)+IFERROR(VALUE(SUBSTITUTE(MID(I3903,IFERROR(FIND("and",I3903)+3,1),20),"second(s)","")),0)</f>
        <v/>
      </c>
      <c r="K3903" s="41">
        <f>J3903/60</f>
        <v/>
      </c>
      <c r="L3903" s="41">
        <f>IFERROR(J3903/H3903,"")</f>
        <v/>
      </c>
      <c r="M3903" s="25" t="inlineStr">
        <is>
          <t>2.5.12</t>
        </is>
      </c>
      <c r="N3903" s="25">
        <f>IF(J3903&gt;300,1,0)</f>
        <v/>
      </c>
      <c r="O3903" s="25">
        <f>IF(J3903&gt;600,1,0)</f>
        <v/>
      </c>
      <c r="P3903" s="25">
        <f>IF(H3903&gt;0,J3903,"")</f>
        <v/>
      </c>
      <c r="Q3903" s="25">
        <f>TEXT(A3903,"YYYY-MM-DD HH")</f>
        <v/>
      </c>
      <c r="R3903" s="25">
        <f>COUNTIF($Q$2:$Q$5295,Q3903)</f>
        <v/>
      </c>
      <c r="S3903" s="25">
        <f>IF(R3903&lt;=2,"1-2",IF(R3903&lt;=5,"3-5",IF(R3903&lt;=10,"6-10","11+")))</f>
        <v/>
      </c>
    </row>
    <row r="3904">
      <c r="A3904" s="39" t="n">
        <v>46217.86059027778</v>
      </c>
      <c r="B3904" s="25">
        <f>TEXT(A3904,"YYYY-MM")</f>
        <v/>
      </c>
      <c r="C3904" s="25">
        <f>TEXT(A3904,"MMM-YYYY")</f>
        <v/>
      </c>
      <c r="D3904" s="40">
        <f>INT(A3904)-WEEKDAY(A3904,2)+1</f>
        <v/>
      </c>
      <c r="E3904" s="25" t="inlineStr">
        <is>
          <t>rsingh</t>
        </is>
      </c>
      <c r="F3904" s="25" t="n">
        <v>131646</v>
      </c>
      <c r="G3904" s="25" t="n">
        <v>4</v>
      </c>
      <c r="H3904" s="25" t="n">
        <v>18</v>
      </c>
      <c r="I3904" s="25" t="inlineStr">
        <is>
          <t>1 minute(s) and 36 second(s)</t>
        </is>
      </c>
      <c r="J3904" s="25">
        <f>IFERROR(VALUE(TRIM(LEFT(I3904,FIND("minute",I3904)-1)))*60,0)+IFERROR(VALUE(SUBSTITUTE(MID(I3904,IFERROR(FIND("and",I3904)+3,1),20),"second(s)","")),0)</f>
        <v/>
      </c>
      <c r="K3904" s="41">
        <f>J3904/60</f>
        <v/>
      </c>
      <c r="L3904" s="41">
        <f>IFERROR(J3904/H3904,"")</f>
        <v/>
      </c>
      <c r="M3904" s="25" t="inlineStr">
        <is>
          <t>2.5.12</t>
        </is>
      </c>
      <c r="N3904" s="25">
        <f>IF(J3904&gt;300,1,0)</f>
        <v/>
      </c>
      <c r="O3904" s="25">
        <f>IF(J3904&gt;600,1,0)</f>
        <v/>
      </c>
      <c r="P3904" s="25">
        <f>IF(H3904&gt;0,J3904,"")</f>
        <v/>
      </c>
      <c r="Q3904" s="25">
        <f>TEXT(A3904,"YYYY-MM-DD HH")</f>
        <v/>
      </c>
      <c r="R3904" s="25">
        <f>COUNTIF($Q$2:$Q$5295,Q3904)</f>
        <v/>
      </c>
      <c r="S3904" s="25">
        <f>IF(R3904&lt;=2,"1-2",IF(R3904&lt;=5,"3-5",IF(R3904&lt;=10,"6-10","11+")))</f>
        <v/>
      </c>
    </row>
    <row r="3905">
      <c r="A3905" s="39" t="n">
        <v>46217.86069444445</v>
      </c>
      <c r="B3905" s="25">
        <f>TEXT(A3905,"YYYY-MM")</f>
        <v/>
      </c>
      <c r="C3905" s="25">
        <f>TEXT(A3905,"MMM-YYYY")</f>
        <v/>
      </c>
      <c r="D3905" s="40">
        <f>INT(A3905)-WEEKDAY(A3905,2)+1</f>
        <v/>
      </c>
      <c r="E3905" s="25" t="inlineStr">
        <is>
          <t>dchoudhury</t>
        </is>
      </c>
      <c r="F3905" s="25" t="n">
        <v>129320</v>
      </c>
      <c r="G3905" s="25" t="n">
        <v>2</v>
      </c>
      <c r="H3905" s="25" t="n">
        <v>8</v>
      </c>
      <c r="I3905" s="25" t="inlineStr">
        <is>
          <t>44 second(s)</t>
        </is>
      </c>
      <c r="J3905" s="25">
        <f>IFERROR(VALUE(TRIM(LEFT(I3905,FIND("minute",I3905)-1)))*60,0)+IFERROR(VALUE(SUBSTITUTE(MID(I3905,IFERROR(FIND("and",I3905)+3,1),20),"second(s)","")),0)</f>
        <v/>
      </c>
      <c r="K3905" s="41">
        <f>J3905/60</f>
        <v/>
      </c>
      <c r="L3905" s="41">
        <f>IFERROR(J3905/H3905,"")</f>
        <v/>
      </c>
      <c r="M3905" s="25" t="inlineStr">
        <is>
          <t>2.5.12</t>
        </is>
      </c>
      <c r="N3905" s="25">
        <f>IF(J3905&gt;300,1,0)</f>
        <v/>
      </c>
      <c r="O3905" s="25">
        <f>IF(J3905&gt;600,1,0)</f>
        <v/>
      </c>
      <c r="P3905" s="25">
        <f>IF(H3905&gt;0,J3905,"")</f>
        <v/>
      </c>
      <c r="Q3905" s="25">
        <f>TEXT(A3905,"YYYY-MM-DD HH")</f>
        <v/>
      </c>
      <c r="R3905" s="25">
        <f>COUNTIF($Q$2:$Q$5295,Q3905)</f>
        <v/>
      </c>
      <c r="S3905" s="25">
        <f>IF(R3905&lt;=2,"1-2",IF(R3905&lt;=5,"3-5",IF(R3905&lt;=10,"6-10","11+")))</f>
        <v/>
      </c>
    </row>
    <row r="3906">
      <c r="A3906" s="39" t="n">
        <v>46217.88513888889</v>
      </c>
      <c r="B3906" s="25">
        <f>TEXT(A3906,"YYYY-MM")</f>
        <v/>
      </c>
      <c r="C3906" s="25">
        <f>TEXT(A3906,"MMM-YYYY")</f>
        <v/>
      </c>
      <c r="D3906" s="40">
        <f>INT(A3906)-WEEKDAY(A3906,2)+1</f>
        <v/>
      </c>
      <c r="E3906" s="25" t="inlineStr">
        <is>
          <t>sswati</t>
        </is>
      </c>
      <c r="F3906" s="25" t="n">
        <v>129976</v>
      </c>
      <c r="G3906" s="25" t="n">
        <v>2</v>
      </c>
      <c r="H3906" s="25" t="n">
        <v>8</v>
      </c>
      <c r="I3906" s="25" t="inlineStr">
        <is>
          <t>43 second(s)</t>
        </is>
      </c>
      <c r="J3906" s="25">
        <f>IFERROR(VALUE(TRIM(LEFT(I3906,FIND("minute",I3906)-1)))*60,0)+IFERROR(VALUE(SUBSTITUTE(MID(I3906,IFERROR(FIND("and",I3906)+3,1),20),"second(s)","")),0)</f>
        <v/>
      </c>
      <c r="K3906" s="41">
        <f>J3906/60</f>
        <v/>
      </c>
      <c r="L3906" s="41">
        <f>IFERROR(J3906/H3906,"")</f>
        <v/>
      </c>
      <c r="M3906" s="25" t="inlineStr">
        <is>
          <t>2.5.12</t>
        </is>
      </c>
      <c r="N3906" s="25">
        <f>IF(J3906&gt;300,1,0)</f>
        <v/>
      </c>
      <c r="O3906" s="25">
        <f>IF(J3906&gt;600,1,0)</f>
        <v/>
      </c>
      <c r="P3906" s="25">
        <f>IF(H3906&gt;0,J3906,"")</f>
        <v/>
      </c>
      <c r="Q3906" s="25">
        <f>TEXT(A3906,"YYYY-MM-DD HH")</f>
        <v/>
      </c>
      <c r="R3906" s="25">
        <f>COUNTIF($Q$2:$Q$5295,Q3906)</f>
        <v/>
      </c>
      <c r="S3906" s="25">
        <f>IF(R3906&lt;=2,"1-2",IF(R3906&lt;=5,"3-5",IF(R3906&lt;=10,"6-10","11+")))</f>
        <v/>
      </c>
    </row>
    <row r="3907">
      <c r="A3907" s="39" t="n">
        <v>46217.90991898148</v>
      </c>
      <c r="B3907" s="25">
        <f>TEXT(A3907,"YYYY-MM")</f>
        <v/>
      </c>
      <c r="C3907" s="25">
        <f>TEXT(A3907,"MMM-YYYY")</f>
        <v/>
      </c>
      <c r="D3907" s="40">
        <f>INT(A3907)-WEEKDAY(A3907,2)+1</f>
        <v/>
      </c>
      <c r="E3907" s="25" t="inlineStr">
        <is>
          <t>sswati</t>
        </is>
      </c>
      <c r="F3907" s="25" t="n">
        <v>131472</v>
      </c>
      <c r="G3907" s="25" t="n">
        <v>2</v>
      </c>
      <c r="H3907" s="25" t="n">
        <v>6</v>
      </c>
      <c r="I3907" s="25" t="inlineStr">
        <is>
          <t>32 second(s)</t>
        </is>
      </c>
      <c r="J3907" s="25">
        <f>IFERROR(VALUE(TRIM(LEFT(I3907,FIND("minute",I3907)-1)))*60,0)+IFERROR(VALUE(SUBSTITUTE(MID(I3907,IFERROR(FIND("and",I3907)+3,1),20),"second(s)","")),0)</f>
        <v/>
      </c>
      <c r="K3907" s="41">
        <f>J3907/60</f>
        <v/>
      </c>
      <c r="L3907" s="41">
        <f>IFERROR(J3907/H3907,"")</f>
        <v/>
      </c>
      <c r="M3907" s="25" t="inlineStr">
        <is>
          <t>2.5.12</t>
        </is>
      </c>
      <c r="N3907" s="25">
        <f>IF(J3907&gt;300,1,0)</f>
        <v/>
      </c>
      <c r="O3907" s="25">
        <f>IF(J3907&gt;600,1,0)</f>
        <v/>
      </c>
      <c r="P3907" s="25">
        <f>IF(H3907&gt;0,J3907,"")</f>
        <v/>
      </c>
      <c r="Q3907" s="25">
        <f>TEXT(A3907,"YYYY-MM-DD HH")</f>
        <v/>
      </c>
      <c r="R3907" s="25">
        <f>COUNTIF($Q$2:$Q$5295,Q3907)</f>
        <v/>
      </c>
      <c r="S3907" s="25">
        <f>IF(R3907&lt;=2,"1-2",IF(R3907&lt;=5,"3-5",IF(R3907&lt;=10,"6-10","11+")))</f>
        <v/>
      </c>
    </row>
    <row r="3908">
      <c r="A3908" s="39" t="n">
        <v>46217.93581018518</v>
      </c>
      <c r="B3908" s="25">
        <f>TEXT(A3908,"YYYY-MM")</f>
        <v/>
      </c>
      <c r="C3908" s="25">
        <f>TEXT(A3908,"MMM-YYYY")</f>
        <v/>
      </c>
      <c r="D3908" s="40">
        <f>INT(A3908)-WEEKDAY(A3908,2)+1</f>
        <v/>
      </c>
      <c r="E3908" s="25" t="inlineStr">
        <is>
          <t>dchoudhury</t>
        </is>
      </c>
      <c r="F3908" s="25" t="n">
        <v>133007</v>
      </c>
      <c r="G3908" s="25" t="n">
        <v>3</v>
      </c>
      <c r="H3908" s="25" t="n">
        <v>19</v>
      </c>
      <c r="I3908" s="25" t="inlineStr">
        <is>
          <t>1 minute(s) and 46 second(s)</t>
        </is>
      </c>
      <c r="J3908" s="25">
        <f>IFERROR(VALUE(TRIM(LEFT(I3908,FIND("minute",I3908)-1)))*60,0)+IFERROR(VALUE(SUBSTITUTE(MID(I3908,IFERROR(FIND("and",I3908)+3,1),20),"second(s)","")),0)</f>
        <v/>
      </c>
      <c r="K3908" s="41">
        <f>J3908/60</f>
        <v/>
      </c>
      <c r="L3908" s="41">
        <f>IFERROR(J3908/H3908,"")</f>
        <v/>
      </c>
      <c r="M3908" s="25" t="inlineStr">
        <is>
          <t>2.5.12</t>
        </is>
      </c>
      <c r="N3908" s="25">
        <f>IF(J3908&gt;300,1,0)</f>
        <v/>
      </c>
      <c r="O3908" s="25">
        <f>IF(J3908&gt;600,1,0)</f>
        <v/>
      </c>
      <c r="P3908" s="25">
        <f>IF(H3908&gt;0,J3908,"")</f>
        <v/>
      </c>
      <c r="Q3908" s="25">
        <f>TEXT(A3908,"YYYY-MM-DD HH")</f>
        <v/>
      </c>
      <c r="R3908" s="25">
        <f>COUNTIF($Q$2:$Q$5295,Q3908)</f>
        <v/>
      </c>
      <c r="S3908" s="25">
        <f>IF(R3908&lt;=2,"1-2",IF(R3908&lt;=5,"3-5",IF(R3908&lt;=10,"6-10","11+")))</f>
        <v/>
      </c>
    </row>
    <row r="3909">
      <c r="A3909" s="39" t="n">
        <v>46217.96391203703</v>
      </c>
      <c r="B3909" s="25">
        <f>TEXT(A3909,"YYYY-MM")</f>
        <v/>
      </c>
      <c r="C3909" s="25">
        <f>TEXT(A3909,"MMM-YYYY")</f>
        <v/>
      </c>
      <c r="D3909" s="40">
        <f>INT(A3909)-WEEKDAY(A3909,2)+1</f>
        <v/>
      </c>
      <c r="E3909" s="25" t="inlineStr">
        <is>
          <t>hsindwani</t>
        </is>
      </c>
      <c r="F3909" s="25" t="n">
        <v>131168</v>
      </c>
      <c r="G3909" s="25" t="n">
        <v>4</v>
      </c>
      <c r="H3909" s="25" t="n">
        <v>23</v>
      </c>
      <c r="I3909" s="25" t="inlineStr">
        <is>
          <t>6 minute(s) and 10 second(s)</t>
        </is>
      </c>
      <c r="J3909" s="25">
        <f>IFERROR(VALUE(TRIM(LEFT(I3909,FIND("minute",I3909)-1)))*60,0)+IFERROR(VALUE(SUBSTITUTE(MID(I3909,IFERROR(FIND("and",I3909)+3,1),20),"second(s)","")),0)</f>
        <v/>
      </c>
      <c r="K3909" s="41">
        <f>J3909/60</f>
        <v/>
      </c>
      <c r="L3909" s="41">
        <f>IFERROR(J3909/H3909,"")</f>
        <v/>
      </c>
      <c r="M3909" s="25" t="inlineStr">
        <is>
          <t>2.5.12</t>
        </is>
      </c>
      <c r="N3909" s="25">
        <f>IF(J3909&gt;300,1,0)</f>
        <v/>
      </c>
      <c r="O3909" s="25">
        <f>IF(J3909&gt;600,1,0)</f>
        <v/>
      </c>
      <c r="P3909" s="25">
        <f>IF(H3909&gt;0,J3909,"")</f>
        <v/>
      </c>
      <c r="Q3909" s="25">
        <f>TEXT(A3909,"YYYY-MM-DD HH")</f>
        <v/>
      </c>
      <c r="R3909" s="25">
        <f>COUNTIF($Q$2:$Q$5295,Q3909)</f>
        <v/>
      </c>
      <c r="S3909" s="25">
        <f>IF(R3909&lt;=2,"1-2",IF(R3909&lt;=5,"3-5",IF(R3909&lt;=10,"6-10","11+")))</f>
        <v/>
      </c>
    </row>
    <row r="3910">
      <c r="A3910" s="39" t="n">
        <v>46217.99111111111</v>
      </c>
      <c r="B3910" s="25">
        <f>TEXT(A3910,"YYYY-MM")</f>
        <v/>
      </c>
      <c r="C3910" s="25">
        <f>TEXT(A3910,"MMM-YYYY")</f>
        <v/>
      </c>
      <c r="D3910" s="40">
        <f>INT(A3910)-WEEKDAY(A3910,2)+1</f>
        <v/>
      </c>
      <c r="E3910" s="25" t="inlineStr">
        <is>
          <t>dchoudhury</t>
        </is>
      </c>
      <c r="F3910" s="25" t="n">
        <v>133007</v>
      </c>
      <c r="G3910" s="25" t="n">
        <v>3</v>
      </c>
      <c r="H3910" s="25" t="n">
        <v>21</v>
      </c>
      <c r="I3910" s="25" t="inlineStr">
        <is>
          <t>2 minute(s) and 3 second(s)</t>
        </is>
      </c>
      <c r="J3910" s="25">
        <f>IFERROR(VALUE(TRIM(LEFT(I3910,FIND("minute",I3910)-1)))*60,0)+IFERROR(VALUE(SUBSTITUTE(MID(I3910,IFERROR(FIND("and",I3910)+3,1),20),"second(s)","")),0)</f>
        <v/>
      </c>
      <c r="K3910" s="41">
        <f>J3910/60</f>
        <v/>
      </c>
      <c r="L3910" s="41">
        <f>IFERROR(J3910/H3910,"")</f>
        <v/>
      </c>
      <c r="M3910" s="25" t="inlineStr">
        <is>
          <t>2.5.12</t>
        </is>
      </c>
      <c r="N3910" s="25">
        <f>IF(J3910&gt;300,1,0)</f>
        <v/>
      </c>
      <c r="O3910" s="25">
        <f>IF(J3910&gt;600,1,0)</f>
        <v/>
      </c>
      <c r="P3910" s="25">
        <f>IF(H3910&gt;0,J3910,"")</f>
        <v/>
      </c>
      <c r="Q3910" s="25">
        <f>TEXT(A3910,"YYYY-MM-DD HH")</f>
        <v/>
      </c>
      <c r="R3910" s="25">
        <f>COUNTIF($Q$2:$Q$5295,Q3910)</f>
        <v/>
      </c>
      <c r="S3910" s="25">
        <f>IF(R3910&lt;=2,"1-2",IF(R3910&lt;=5,"3-5",IF(R3910&lt;=10,"6-10","11+")))</f>
        <v/>
      </c>
    </row>
    <row r="3911">
      <c r="A3911" s="39" t="n">
        <v>46218.03494212963</v>
      </c>
      <c r="B3911" s="25">
        <f>TEXT(A3911,"YYYY-MM")</f>
        <v/>
      </c>
      <c r="C3911" s="25">
        <f>TEXT(A3911,"MMM-YYYY")</f>
        <v/>
      </c>
      <c r="D3911" s="40">
        <f>INT(A3911)-WEEKDAY(A3911,2)+1</f>
        <v/>
      </c>
      <c r="E3911" s="25" t="inlineStr">
        <is>
          <t>npriya</t>
        </is>
      </c>
      <c r="F3911" s="25" t="n">
        <v>132720</v>
      </c>
      <c r="G3911" s="25" t="n">
        <v>2</v>
      </c>
      <c r="H3911" s="25" t="n">
        <v>8</v>
      </c>
      <c r="I3911" s="25" t="inlineStr">
        <is>
          <t>1 minute(s) and 5 second(s)</t>
        </is>
      </c>
      <c r="J3911" s="25">
        <f>IFERROR(VALUE(TRIM(LEFT(I3911,FIND("minute",I3911)-1)))*60,0)+IFERROR(VALUE(SUBSTITUTE(MID(I3911,IFERROR(FIND("and",I3911)+3,1),20),"second(s)","")),0)</f>
        <v/>
      </c>
      <c r="K3911" s="41">
        <f>J3911/60</f>
        <v/>
      </c>
      <c r="L3911" s="41">
        <f>IFERROR(J3911/H3911,"")</f>
        <v/>
      </c>
      <c r="M3911" s="25" t="inlineStr">
        <is>
          <t>2.5.12</t>
        </is>
      </c>
      <c r="N3911" s="25">
        <f>IF(J3911&gt;300,1,0)</f>
        <v/>
      </c>
      <c r="O3911" s="25">
        <f>IF(J3911&gt;600,1,0)</f>
        <v/>
      </c>
      <c r="P3911" s="25">
        <f>IF(H3911&gt;0,J3911,"")</f>
        <v/>
      </c>
      <c r="Q3911" s="25">
        <f>TEXT(A3911,"YYYY-MM-DD HH")</f>
        <v/>
      </c>
      <c r="R3911" s="25">
        <f>COUNTIF($Q$2:$Q$5295,Q3911)</f>
        <v/>
      </c>
      <c r="S3911" s="25">
        <f>IF(R3911&lt;=2,"1-2",IF(R3911&lt;=5,"3-5",IF(R3911&lt;=10,"6-10","11+")))</f>
        <v/>
      </c>
    </row>
    <row r="3912">
      <c r="A3912" s="39" t="n">
        <v>46218.03634259259</v>
      </c>
      <c r="B3912" s="25">
        <f>TEXT(A3912,"YYYY-MM")</f>
        <v/>
      </c>
      <c r="C3912" s="25">
        <f>TEXT(A3912,"MMM-YYYY")</f>
        <v/>
      </c>
      <c r="D3912" s="40">
        <f>INT(A3912)-WEEKDAY(A3912,2)+1</f>
        <v/>
      </c>
      <c r="E3912" s="25" t="inlineStr">
        <is>
          <t>psingh</t>
        </is>
      </c>
      <c r="F3912" s="25" t="n">
        <v>128274</v>
      </c>
      <c r="G3912" s="25" t="n">
        <v>2</v>
      </c>
      <c r="H3912" s="25" t="n">
        <v>14</v>
      </c>
      <c r="I3912" s="25" t="inlineStr">
        <is>
          <t>3 minute(s) and 2 second(s)</t>
        </is>
      </c>
      <c r="J3912" s="25">
        <f>IFERROR(VALUE(TRIM(LEFT(I3912,FIND("minute",I3912)-1)))*60,0)+IFERROR(VALUE(SUBSTITUTE(MID(I3912,IFERROR(FIND("and",I3912)+3,1),20),"second(s)","")),0)</f>
        <v/>
      </c>
      <c r="K3912" s="41">
        <f>J3912/60</f>
        <v/>
      </c>
      <c r="L3912" s="41">
        <f>IFERROR(J3912/H3912,"")</f>
        <v/>
      </c>
      <c r="M3912" s="25" t="inlineStr">
        <is>
          <t>2.5.12</t>
        </is>
      </c>
      <c r="N3912" s="25">
        <f>IF(J3912&gt;300,1,0)</f>
        <v/>
      </c>
      <c r="O3912" s="25">
        <f>IF(J3912&gt;600,1,0)</f>
        <v/>
      </c>
      <c r="P3912" s="25">
        <f>IF(H3912&gt;0,J3912,"")</f>
        <v/>
      </c>
      <c r="Q3912" s="25">
        <f>TEXT(A3912,"YYYY-MM-DD HH")</f>
        <v/>
      </c>
      <c r="R3912" s="25">
        <f>COUNTIF($Q$2:$Q$5295,Q3912)</f>
        <v/>
      </c>
      <c r="S3912" s="25">
        <f>IF(R3912&lt;=2,"1-2",IF(R3912&lt;=5,"3-5",IF(R3912&lt;=10,"6-10","11+")))</f>
        <v/>
      </c>
    </row>
    <row r="3913">
      <c r="A3913" s="39" t="n">
        <v>46218.04603009259</v>
      </c>
      <c r="B3913" s="25">
        <f>TEXT(A3913,"YYYY-MM")</f>
        <v/>
      </c>
      <c r="C3913" s="25">
        <f>TEXT(A3913,"MMM-YYYY")</f>
        <v/>
      </c>
      <c r="D3913" s="40">
        <f>INT(A3913)-WEEKDAY(A3913,2)+1</f>
        <v/>
      </c>
      <c r="E3913" s="25" t="inlineStr">
        <is>
          <t>ns</t>
        </is>
      </c>
      <c r="F3913" s="25" t="n">
        <v>129139</v>
      </c>
      <c r="G3913" s="25" t="n">
        <v>2</v>
      </c>
      <c r="H3913" s="25" t="n">
        <v>10</v>
      </c>
      <c r="I3913" s="25" t="inlineStr">
        <is>
          <t>57 second(s)</t>
        </is>
      </c>
      <c r="J3913" s="25">
        <f>IFERROR(VALUE(TRIM(LEFT(I3913,FIND("minute",I3913)-1)))*60,0)+IFERROR(VALUE(SUBSTITUTE(MID(I3913,IFERROR(FIND("and",I3913)+3,1),20),"second(s)","")),0)</f>
        <v/>
      </c>
      <c r="K3913" s="41">
        <f>J3913/60</f>
        <v/>
      </c>
      <c r="L3913" s="41">
        <f>IFERROR(J3913/H3913,"")</f>
        <v/>
      </c>
      <c r="M3913" s="25" t="inlineStr">
        <is>
          <t>2.5.12</t>
        </is>
      </c>
      <c r="N3913" s="25">
        <f>IF(J3913&gt;300,1,0)</f>
        <v/>
      </c>
      <c r="O3913" s="25">
        <f>IF(J3913&gt;600,1,0)</f>
        <v/>
      </c>
      <c r="P3913" s="25">
        <f>IF(H3913&gt;0,J3913,"")</f>
        <v/>
      </c>
      <c r="Q3913" s="25">
        <f>TEXT(A3913,"YYYY-MM-DD HH")</f>
        <v/>
      </c>
      <c r="R3913" s="25">
        <f>COUNTIF($Q$2:$Q$5295,Q3913)</f>
        <v/>
      </c>
      <c r="S3913" s="25">
        <f>IF(R3913&lt;=2,"1-2",IF(R3913&lt;=5,"3-5",IF(R3913&lt;=10,"6-10","11+")))</f>
        <v/>
      </c>
    </row>
    <row r="3914">
      <c r="A3914" s="39" t="n">
        <v>46218.05148148148</v>
      </c>
      <c r="B3914" s="25">
        <f>TEXT(A3914,"YYYY-MM")</f>
        <v/>
      </c>
      <c r="C3914" s="25">
        <f>TEXT(A3914,"MMM-YYYY")</f>
        <v/>
      </c>
      <c r="D3914" s="40">
        <f>INT(A3914)-WEEKDAY(A3914,2)+1</f>
        <v/>
      </c>
      <c r="E3914" s="25" t="inlineStr">
        <is>
          <t>ssrinivasan</t>
        </is>
      </c>
      <c r="F3914" s="25" t="n">
        <v>129627</v>
      </c>
      <c r="G3914" s="25" t="n">
        <v>2</v>
      </c>
      <c r="H3914" s="25" t="n">
        <v>6</v>
      </c>
      <c r="I3914" s="25" t="inlineStr">
        <is>
          <t>34 second(s)</t>
        </is>
      </c>
      <c r="J3914" s="25">
        <f>IFERROR(VALUE(TRIM(LEFT(I3914,FIND("minute",I3914)-1)))*60,0)+IFERROR(VALUE(SUBSTITUTE(MID(I3914,IFERROR(FIND("and",I3914)+3,1),20),"second(s)","")),0)</f>
        <v/>
      </c>
      <c r="K3914" s="41">
        <f>J3914/60</f>
        <v/>
      </c>
      <c r="L3914" s="41">
        <f>IFERROR(J3914/H3914,"")</f>
        <v/>
      </c>
      <c r="M3914" s="25" t="inlineStr">
        <is>
          <t>2.5.12</t>
        </is>
      </c>
      <c r="N3914" s="25">
        <f>IF(J3914&gt;300,1,0)</f>
        <v/>
      </c>
      <c r="O3914" s="25">
        <f>IF(J3914&gt;600,1,0)</f>
        <v/>
      </c>
      <c r="P3914" s="25">
        <f>IF(H3914&gt;0,J3914,"")</f>
        <v/>
      </c>
      <c r="Q3914" s="25">
        <f>TEXT(A3914,"YYYY-MM-DD HH")</f>
        <v/>
      </c>
      <c r="R3914" s="25">
        <f>COUNTIF($Q$2:$Q$5295,Q3914)</f>
        <v/>
      </c>
      <c r="S3914" s="25">
        <f>IF(R3914&lt;=2,"1-2",IF(R3914&lt;=5,"3-5",IF(R3914&lt;=10,"6-10","11+")))</f>
        <v/>
      </c>
    </row>
    <row r="3915">
      <c r="A3915" s="39" t="n">
        <v>46218.05920138889</v>
      </c>
      <c r="B3915" s="25">
        <f>TEXT(A3915,"YYYY-MM")</f>
        <v/>
      </c>
      <c r="C3915" s="25">
        <f>TEXT(A3915,"MMM-YYYY")</f>
        <v/>
      </c>
      <c r="D3915" s="40">
        <f>INT(A3915)-WEEKDAY(A3915,2)+1</f>
        <v/>
      </c>
      <c r="E3915" s="25" t="inlineStr">
        <is>
          <t>smukhopadhyay</t>
        </is>
      </c>
      <c r="F3915" s="25" t="n">
        <v>130865</v>
      </c>
      <c r="G3915" s="25" t="n">
        <v>1</v>
      </c>
      <c r="H3915" s="25" t="n">
        <v>6</v>
      </c>
      <c r="I3915" s="25" t="inlineStr">
        <is>
          <t>33 second(s)</t>
        </is>
      </c>
      <c r="J3915" s="25">
        <f>IFERROR(VALUE(TRIM(LEFT(I3915,FIND("minute",I3915)-1)))*60,0)+IFERROR(VALUE(SUBSTITUTE(MID(I3915,IFERROR(FIND("and",I3915)+3,1),20),"second(s)","")),0)</f>
        <v/>
      </c>
      <c r="K3915" s="41">
        <f>J3915/60</f>
        <v/>
      </c>
      <c r="L3915" s="41">
        <f>IFERROR(J3915/H3915,"")</f>
        <v/>
      </c>
      <c r="M3915" s="25" t="inlineStr">
        <is>
          <t>2.5.12</t>
        </is>
      </c>
      <c r="N3915" s="25">
        <f>IF(J3915&gt;300,1,0)</f>
        <v/>
      </c>
      <c r="O3915" s="25">
        <f>IF(J3915&gt;600,1,0)</f>
        <v/>
      </c>
      <c r="P3915" s="25">
        <f>IF(H3915&gt;0,J3915,"")</f>
        <v/>
      </c>
      <c r="Q3915" s="25">
        <f>TEXT(A3915,"YYYY-MM-DD HH")</f>
        <v/>
      </c>
      <c r="R3915" s="25">
        <f>COUNTIF($Q$2:$Q$5295,Q3915)</f>
        <v/>
      </c>
      <c r="S3915" s="25">
        <f>IF(R3915&lt;=2,"1-2",IF(R3915&lt;=5,"3-5",IF(R3915&lt;=10,"6-10","11+")))</f>
        <v/>
      </c>
    </row>
    <row r="3916">
      <c r="A3916" s="39" t="n">
        <v>46218.07063657408</v>
      </c>
      <c r="B3916" s="25">
        <f>TEXT(A3916,"YYYY-MM")</f>
        <v/>
      </c>
      <c r="C3916" s="25">
        <f>TEXT(A3916,"MMM-YYYY")</f>
        <v/>
      </c>
      <c r="D3916" s="40">
        <f>INT(A3916)-WEEKDAY(A3916,2)+1</f>
        <v/>
      </c>
      <c r="E3916" s="25" t="inlineStr">
        <is>
          <t>ns</t>
        </is>
      </c>
      <c r="F3916" s="25" t="n">
        <v>129147</v>
      </c>
      <c r="G3916" s="25" t="n">
        <v>3</v>
      </c>
      <c r="H3916" s="25" t="n">
        <v>16</v>
      </c>
      <c r="I3916" s="25" t="inlineStr">
        <is>
          <t>1 minute(s) and 25 second(s)</t>
        </is>
      </c>
      <c r="J3916" s="25">
        <f>IFERROR(VALUE(TRIM(LEFT(I3916,FIND("minute",I3916)-1)))*60,0)+IFERROR(VALUE(SUBSTITUTE(MID(I3916,IFERROR(FIND("and",I3916)+3,1),20),"second(s)","")),0)</f>
        <v/>
      </c>
      <c r="K3916" s="41">
        <f>J3916/60</f>
        <v/>
      </c>
      <c r="L3916" s="41">
        <f>IFERROR(J3916/H3916,"")</f>
        <v/>
      </c>
      <c r="M3916" s="25" t="inlineStr">
        <is>
          <t>2.5.12</t>
        </is>
      </c>
      <c r="N3916" s="25">
        <f>IF(J3916&gt;300,1,0)</f>
        <v/>
      </c>
      <c r="O3916" s="25">
        <f>IF(J3916&gt;600,1,0)</f>
        <v/>
      </c>
      <c r="P3916" s="25">
        <f>IF(H3916&gt;0,J3916,"")</f>
        <v/>
      </c>
      <c r="Q3916" s="25">
        <f>TEXT(A3916,"YYYY-MM-DD HH")</f>
        <v/>
      </c>
      <c r="R3916" s="25">
        <f>COUNTIF($Q$2:$Q$5295,Q3916)</f>
        <v/>
      </c>
      <c r="S3916" s="25">
        <f>IF(R3916&lt;=2,"1-2",IF(R3916&lt;=5,"3-5",IF(R3916&lt;=10,"6-10","11+")))</f>
        <v/>
      </c>
    </row>
    <row r="3917">
      <c r="A3917" s="39" t="n">
        <v>46218.07806712963</v>
      </c>
      <c r="B3917" s="25">
        <f>TEXT(A3917,"YYYY-MM")</f>
        <v/>
      </c>
      <c r="C3917" s="25">
        <f>TEXT(A3917,"MMM-YYYY")</f>
        <v/>
      </c>
      <c r="D3917" s="40">
        <f>INT(A3917)-WEEKDAY(A3917,2)+1</f>
        <v/>
      </c>
      <c r="E3917" s="25" t="inlineStr">
        <is>
          <t>ssrinivasan</t>
        </is>
      </c>
      <c r="F3917" s="25" t="n">
        <v>132834</v>
      </c>
      <c r="G3917" s="25" t="n">
        <v>2</v>
      </c>
      <c r="H3917" s="25" t="n">
        <v>8</v>
      </c>
      <c r="I3917" s="25" t="inlineStr">
        <is>
          <t>50 second(s)</t>
        </is>
      </c>
      <c r="J3917" s="25">
        <f>IFERROR(VALUE(TRIM(LEFT(I3917,FIND("minute",I3917)-1)))*60,0)+IFERROR(VALUE(SUBSTITUTE(MID(I3917,IFERROR(FIND("and",I3917)+3,1),20),"second(s)","")),0)</f>
        <v/>
      </c>
      <c r="K3917" s="41">
        <f>J3917/60</f>
        <v/>
      </c>
      <c r="L3917" s="41">
        <f>IFERROR(J3917/H3917,"")</f>
        <v/>
      </c>
      <c r="M3917" s="25" t="inlineStr">
        <is>
          <t>2.5.12</t>
        </is>
      </c>
      <c r="N3917" s="25">
        <f>IF(J3917&gt;300,1,0)</f>
        <v/>
      </c>
      <c r="O3917" s="25">
        <f>IF(J3917&gt;600,1,0)</f>
        <v/>
      </c>
      <c r="P3917" s="25">
        <f>IF(H3917&gt;0,J3917,"")</f>
        <v/>
      </c>
      <c r="Q3917" s="25">
        <f>TEXT(A3917,"YYYY-MM-DD HH")</f>
        <v/>
      </c>
      <c r="R3917" s="25">
        <f>COUNTIF($Q$2:$Q$5295,Q3917)</f>
        <v/>
      </c>
      <c r="S3917" s="25">
        <f>IF(R3917&lt;=2,"1-2",IF(R3917&lt;=5,"3-5",IF(R3917&lt;=10,"6-10","11+")))</f>
        <v/>
      </c>
    </row>
    <row r="3918">
      <c r="A3918" s="39" t="n">
        <v>46218.08623842592</v>
      </c>
      <c r="B3918" s="25">
        <f>TEXT(A3918,"YYYY-MM")</f>
        <v/>
      </c>
      <c r="C3918" s="25">
        <f>TEXT(A3918,"MMM-YYYY")</f>
        <v/>
      </c>
      <c r="D3918" s="40">
        <f>INT(A3918)-WEEKDAY(A3918,2)+1</f>
        <v/>
      </c>
      <c r="E3918" s="25" t="inlineStr">
        <is>
          <t>ajain</t>
        </is>
      </c>
      <c r="F3918" s="25" t="n">
        <v>126725</v>
      </c>
      <c r="G3918" s="25" t="n">
        <v>1</v>
      </c>
      <c r="H3918" s="25" t="n">
        <v>5</v>
      </c>
      <c r="I3918" s="25" t="inlineStr">
        <is>
          <t>18 second(s)</t>
        </is>
      </c>
      <c r="J3918" s="25">
        <f>IFERROR(VALUE(TRIM(LEFT(I3918,FIND("minute",I3918)-1)))*60,0)+IFERROR(VALUE(SUBSTITUTE(MID(I3918,IFERROR(FIND("and",I3918)+3,1),20),"second(s)","")),0)</f>
        <v/>
      </c>
      <c r="K3918" s="41">
        <f>J3918/60</f>
        <v/>
      </c>
      <c r="L3918" s="41">
        <f>IFERROR(J3918/H3918,"")</f>
        <v/>
      </c>
      <c r="M3918" s="25" t="inlineStr">
        <is>
          <t>2.5.12</t>
        </is>
      </c>
      <c r="N3918" s="25">
        <f>IF(J3918&gt;300,1,0)</f>
        <v/>
      </c>
      <c r="O3918" s="25">
        <f>IF(J3918&gt;600,1,0)</f>
        <v/>
      </c>
      <c r="P3918" s="25">
        <f>IF(H3918&gt;0,J3918,"")</f>
        <v/>
      </c>
      <c r="Q3918" s="25">
        <f>TEXT(A3918,"YYYY-MM-DD HH")</f>
        <v/>
      </c>
      <c r="R3918" s="25">
        <f>COUNTIF($Q$2:$Q$5295,Q3918)</f>
        <v/>
      </c>
      <c r="S3918" s="25">
        <f>IF(R3918&lt;=2,"1-2",IF(R3918&lt;=5,"3-5",IF(R3918&lt;=10,"6-10","11+")))</f>
        <v/>
      </c>
    </row>
    <row r="3919">
      <c r="A3919" s="39" t="n">
        <v>46218.08873842593</v>
      </c>
      <c r="B3919" s="25">
        <f>TEXT(A3919,"YYYY-MM")</f>
        <v/>
      </c>
      <c r="C3919" s="25">
        <f>TEXT(A3919,"MMM-YYYY")</f>
        <v/>
      </c>
      <c r="D3919" s="40">
        <f>INT(A3919)-WEEKDAY(A3919,2)+1</f>
        <v/>
      </c>
      <c r="E3919" s="25" t="inlineStr">
        <is>
          <t>shasikha</t>
        </is>
      </c>
      <c r="F3919" s="25" t="n">
        <v>130648</v>
      </c>
      <c r="G3919" s="25" t="n">
        <v>4</v>
      </c>
      <c r="H3919" s="25" t="n">
        <v>14</v>
      </c>
      <c r="I3919" s="25" t="inlineStr">
        <is>
          <t>1 minute(s) and 35 second(s)</t>
        </is>
      </c>
      <c r="J3919" s="25">
        <f>IFERROR(VALUE(TRIM(LEFT(I3919,FIND("minute",I3919)-1)))*60,0)+IFERROR(VALUE(SUBSTITUTE(MID(I3919,IFERROR(FIND("and",I3919)+3,1),20),"second(s)","")),0)</f>
        <v/>
      </c>
      <c r="K3919" s="41">
        <f>J3919/60</f>
        <v/>
      </c>
      <c r="L3919" s="41">
        <f>IFERROR(J3919/H3919,"")</f>
        <v/>
      </c>
      <c r="M3919" s="25" t="inlineStr">
        <is>
          <t>2.5.12</t>
        </is>
      </c>
      <c r="N3919" s="25">
        <f>IF(J3919&gt;300,1,0)</f>
        <v/>
      </c>
      <c r="O3919" s="25">
        <f>IF(J3919&gt;600,1,0)</f>
        <v/>
      </c>
      <c r="P3919" s="25">
        <f>IF(H3919&gt;0,J3919,"")</f>
        <v/>
      </c>
      <c r="Q3919" s="25">
        <f>TEXT(A3919,"YYYY-MM-DD HH")</f>
        <v/>
      </c>
      <c r="R3919" s="25">
        <f>COUNTIF($Q$2:$Q$5295,Q3919)</f>
        <v/>
      </c>
      <c r="S3919" s="25">
        <f>IF(R3919&lt;=2,"1-2",IF(R3919&lt;=5,"3-5",IF(R3919&lt;=10,"6-10","11+")))</f>
        <v/>
      </c>
    </row>
    <row r="3920">
      <c r="A3920" s="39" t="n">
        <v>46218.09025462963</v>
      </c>
      <c r="B3920" s="25">
        <f>TEXT(A3920,"YYYY-MM")</f>
        <v/>
      </c>
      <c r="C3920" s="25">
        <f>TEXT(A3920,"MMM-YYYY")</f>
        <v/>
      </c>
      <c r="D3920" s="40">
        <f>INT(A3920)-WEEKDAY(A3920,2)+1</f>
        <v/>
      </c>
      <c r="E3920" s="25" t="inlineStr">
        <is>
          <t>npriya</t>
        </is>
      </c>
      <c r="F3920" s="25" t="n">
        <v>131486</v>
      </c>
      <c r="G3920" s="25" t="n">
        <v>4</v>
      </c>
      <c r="H3920" s="25" t="n">
        <v>18</v>
      </c>
      <c r="I3920" s="25" t="inlineStr">
        <is>
          <t>3 minute(s) and 36 second(s)</t>
        </is>
      </c>
      <c r="J3920" s="25">
        <f>IFERROR(VALUE(TRIM(LEFT(I3920,FIND("minute",I3920)-1)))*60,0)+IFERROR(VALUE(SUBSTITUTE(MID(I3920,IFERROR(FIND("and",I3920)+3,1),20),"second(s)","")),0)</f>
        <v/>
      </c>
      <c r="K3920" s="41">
        <f>J3920/60</f>
        <v/>
      </c>
      <c r="L3920" s="41">
        <f>IFERROR(J3920/H3920,"")</f>
        <v/>
      </c>
      <c r="M3920" s="25" t="inlineStr">
        <is>
          <t>2.5.12</t>
        </is>
      </c>
      <c r="N3920" s="25">
        <f>IF(J3920&gt;300,1,0)</f>
        <v/>
      </c>
      <c r="O3920" s="25">
        <f>IF(J3920&gt;600,1,0)</f>
        <v/>
      </c>
      <c r="P3920" s="25">
        <f>IF(H3920&gt;0,J3920,"")</f>
        <v/>
      </c>
      <c r="Q3920" s="25">
        <f>TEXT(A3920,"YYYY-MM-DD HH")</f>
        <v/>
      </c>
      <c r="R3920" s="25">
        <f>COUNTIF($Q$2:$Q$5295,Q3920)</f>
        <v/>
      </c>
      <c r="S3920" s="25">
        <f>IF(R3920&lt;=2,"1-2",IF(R3920&lt;=5,"3-5",IF(R3920&lt;=10,"6-10","11+")))</f>
        <v/>
      </c>
    </row>
    <row r="3921">
      <c r="A3921" s="39" t="n">
        <v>46218.09052083334</v>
      </c>
      <c r="B3921" s="25">
        <f>TEXT(A3921,"YYYY-MM")</f>
        <v/>
      </c>
      <c r="C3921" s="25">
        <f>TEXT(A3921,"MMM-YYYY")</f>
        <v/>
      </c>
      <c r="D3921" s="40">
        <f>INT(A3921)-WEEKDAY(A3921,2)+1</f>
        <v/>
      </c>
      <c r="E3921" s="25" t="inlineStr">
        <is>
          <t>mbhalla</t>
        </is>
      </c>
      <c r="F3921" s="25" t="n">
        <v>129361</v>
      </c>
      <c r="G3921" s="25" t="n">
        <v>4</v>
      </c>
      <c r="H3921" s="25" t="n">
        <v>22</v>
      </c>
      <c r="I3921" s="25" t="inlineStr">
        <is>
          <t>1 minute(s) and 54 second(s)</t>
        </is>
      </c>
      <c r="J3921" s="25">
        <f>IFERROR(VALUE(TRIM(LEFT(I3921,FIND("minute",I3921)-1)))*60,0)+IFERROR(VALUE(SUBSTITUTE(MID(I3921,IFERROR(FIND("and",I3921)+3,1),20),"second(s)","")),0)</f>
        <v/>
      </c>
      <c r="K3921" s="41">
        <f>J3921/60</f>
        <v/>
      </c>
      <c r="L3921" s="41">
        <f>IFERROR(J3921/H3921,"")</f>
        <v/>
      </c>
      <c r="M3921" s="25" t="inlineStr">
        <is>
          <t>2.5.12</t>
        </is>
      </c>
      <c r="N3921" s="25">
        <f>IF(J3921&gt;300,1,0)</f>
        <v/>
      </c>
      <c r="O3921" s="25">
        <f>IF(J3921&gt;600,1,0)</f>
        <v/>
      </c>
      <c r="P3921" s="25">
        <f>IF(H3921&gt;0,J3921,"")</f>
        <v/>
      </c>
      <c r="Q3921" s="25">
        <f>TEXT(A3921,"YYYY-MM-DD HH")</f>
        <v/>
      </c>
      <c r="R3921" s="25">
        <f>COUNTIF($Q$2:$Q$5295,Q3921)</f>
        <v/>
      </c>
      <c r="S3921" s="25">
        <f>IF(R3921&lt;=2,"1-2",IF(R3921&lt;=5,"3-5",IF(R3921&lt;=10,"6-10","11+")))</f>
        <v/>
      </c>
    </row>
    <row r="3922">
      <c r="A3922" s="39" t="n">
        <v>46218.09527777778</v>
      </c>
      <c r="B3922" s="25">
        <f>TEXT(A3922,"YYYY-MM")</f>
        <v/>
      </c>
      <c r="C3922" s="25">
        <f>TEXT(A3922,"MMM-YYYY")</f>
        <v/>
      </c>
      <c r="D3922" s="40">
        <f>INT(A3922)-WEEKDAY(A3922,2)+1</f>
        <v/>
      </c>
      <c r="E3922" s="25" t="inlineStr">
        <is>
          <t>apriyadarshi</t>
        </is>
      </c>
      <c r="F3922" s="25" t="n">
        <v>131616</v>
      </c>
      <c r="G3922" s="25" t="n">
        <v>2</v>
      </c>
      <c r="H3922" s="25" t="n">
        <v>11</v>
      </c>
      <c r="I3922" s="25" t="inlineStr">
        <is>
          <t>46 second(s)</t>
        </is>
      </c>
      <c r="J3922" s="25">
        <f>IFERROR(VALUE(TRIM(LEFT(I3922,FIND("minute",I3922)-1)))*60,0)+IFERROR(VALUE(SUBSTITUTE(MID(I3922,IFERROR(FIND("and",I3922)+3,1),20),"second(s)","")),0)</f>
        <v/>
      </c>
      <c r="K3922" s="41">
        <f>J3922/60</f>
        <v/>
      </c>
      <c r="L3922" s="41">
        <f>IFERROR(J3922/H3922,"")</f>
        <v/>
      </c>
      <c r="M3922" s="25" t="inlineStr">
        <is>
          <t>2.5.12</t>
        </is>
      </c>
      <c r="N3922" s="25">
        <f>IF(J3922&gt;300,1,0)</f>
        <v/>
      </c>
      <c r="O3922" s="25">
        <f>IF(J3922&gt;600,1,0)</f>
        <v/>
      </c>
      <c r="P3922" s="25">
        <f>IF(H3922&gt;0,J3922,"")</f>
        <v/>
      </c>
      <c r="Q3922" s="25">
        <f>TEXT(A3922,"YYYY-MM-DD HH")</f>
        <v/>
      </c>
      <c r="R3922" s="25">
        <f>COUNTIF($Q$2:$Q$5295,Q3922)</f>
        <v/>
      </c>
      <c r="S3922" s="25">
        <f>IF(R3922&lt;=2,"1-2",IF(R3922&lt;=5,"3-5",IF(R3922&lt;=10,"6-10","11+")))</f>
        <v/>
      </c>
    </row>
    <row r="3923">
      <c r="A3923" s="39" t="n">
        <v>46218.10386574074</v>
      </c>
      <c r="B3923" s="25">
        <f>TEXT(A3923,"YYYY-MM")</f>
        <v/>
      </c>
      <c r="C3923" s="25">
        <f>TEXT(A3923,"MMM-YYYY")</f>
        <v/>
      </c>
      <c r="D3923" s="40">
        <f>INT(A3923)-WEEKDAY(A3923,2)+1</f>
        <v/>
      </c>
      <c r="E3923" s="25" t="inlineStr">
        <is>
          <t>shassan</t>
        </is>
      </c>
      <c r="F3923" s="25" t="n">
        <v>131562</v>
      </c>
      <c r="G3923" s="25" t="n">
        <v>1</v>
      </c>
      <c r="H3923" s="25" t="n">
        <v>7</v>
      </c>
      <c r="I3923" s="25" t="inlineStr">
        <is>
          <t>50 second(s)</t>
        </is>
      </c>
      <c r="J3923" s="25">
        <f>IFERROR(VALUE(TRIM(LEFT(I3923,FIND("minute",I3923)-1)))*60,0)+IFERROR(VALUE(SUBSTITUTE(MID(I3923,IFERROR(FIND("and",I3923)+3,1),20),"second(s)","")),0)</f>
        <v/>
      </c>
      <c r="K3923" s="41">
        <f>J3923/60</f>
        <v/>
      </c>
      <c r="L3923" s="41">
        <f>IFERROR(J3923/H3923,"")</f>
        <v/>
      </c>
      <c r="M3923" s="25" t="inlineStr">
        <is>
          <t>2.5.12</t>
        </is>
      </c>
      <c r="N3923" s="25">
        <f>IF(J3923&gt;300,1,0)</f>
        <v/>
      </c>
      <c r="O3923" s="25">
        <f>IF(J3923&gt;600,1,0)</f>
        <v/>
      </c>
      <c r="P3923" s="25">
        <f>IF(H3923&gt;0,J3923,"")</f>
        <v/>
      </c>
      <c r="Q3923" s="25">
        <f>TEXT(A3923,"YYYY-MM-DD HH")</f>
        <v/>
      </c>
      <c r="R3923" s="25">
        <f>COUNTIF($Q$2:$Q$5295,Q3923)</f>
        <v/>
      </c>
      <c r="S3923" s="25">
        <f>IF(R3923&lt;=2,"1-2",IF(R3923&lt;=5,"3-5",IF(R3923&lt;=10,"6-10","11+")))</f>
        <v/>
      </c>
    </row>
    <row r="3924">
      <c r="A3924" s="39" t="n">
        <v>46218.1071875</v>
      </c>
      <c r="B3924" s="25">
        <f>TEXT(A3924,"YYYY-MM")</f>
        <v/>
      </c>
      <c r="C3924" s="25">
        <f>TEXT(A3924,"MMM-YYYY")</f>
        <v/>
      </c>
      <c r="D3924" s="40">
        <f>INT(A3924)-WEEKDAY(A3924,2)+1</f>
        <v/>
      </c>
      <c r="E3924" s="25" t="inlineStr">
        <is>
          <t>aupadhayay</t>
        </is>
      </c>
      <c r="F3924" s="25" t="n">
        <v>129919</v>
      </c>
      <c r="G3924" s="25" t="n">
        <v>2</v>
      </c>
      <c r="H3924" s="25" t="n">
        <v>10</v>
      </c>
      <c r="I3924" s="25" t="inlineStr">
        <is>
          <t>1 minute(s) and 7 second(s)</t>
        </is>
      </c>
      <c r="J3924" s="25">
        <f>IFERROR(VALUE(TRIM(LEFT(I3924,FIND("minute",I3924)-1)))*60,0)+IFERROR(VALUE(SUBSTITUTE(MID(I3924,IFERROR(FIND("and",I3924)+3,1),20),"second(s)","")),0)</f>
        <v/>
      </c>
      <c r="K3924" s="41">
        <f>J3924/60</f>
        <v/>
      </c>
      <c r="L3924" s="41">
        <f>IFERROR(J3924/H3924,"")</f>
        <v/>
      </c>
      <c r="M3924" s="25" t="inlineStr">
        <is>
          <t>2.5.12</t>
        </is>
      </c>
      <c r="N3924" s="25">
        <f>IF(J3924&gt;300,1,0)</f>
        <v/>
      </c>
      <c r="O3924" s="25">
        <f>IF(J3924&gt;600,1,0)</f>
        <v/>
      </c>
      <c r="P3924" s="25">
        <f>IF(H3924&gt;0,J3924,"")</f>
        <v/>
      </c>
      <c r="Q3924" s="25">
        <f>TEXT(A3924,"YYYY-MM-DD HH")</f>
        <v/>
      </c>
      <c r="R3924" s="25">
        <f>COUNTIF($Q$2:$Q$5295,Q3924)</f>
        <v/>
      </c>
      <c r="S3924" s="25">
        <f>IF(R3924&lt;=2,"1-2",IF(R3924&lt;=5,"3-5",IF(R3924&lt;=10,"6-10","11+")))</f>
        <v/>
      </c>
    </row>
    <row r="3925">
      <c r="A3925" s="39" t="n">
        <v>46218.10784722222</v>
      </c>
      <c r="B3925" s="25">
        <f>TEXT(A3925,"YYYY-MM")</f>
        <v/>
      </c>
      <c r="C3925" s="25">
        <f>TEXT(A3925,"MMM-YYYY")</f>
        <v/>
      </c>
      <c r="D3925" s="40">
        <f>INT(A3925)-WEEKDAY(A3925,2)+1</f>
        <v/>
      </c>
      <c r="E3925" s="25" t="inlineStr">
        <is>
          <t>csaha</t>
        </is>
      </c>
      <c r="F3925" s="25" t="n">
        <v>128904</v>
      </c>
      <c r="G3925" s="25" t="n">
        <v>2</v>
      </c>
      <c r="H3925" s="25" t="n">
        <v>8</v>
      </c>
      <c r="I3925" s="25" t="inlineStr">
        <is>
          <t>46 second(s)</t>
        </is>
      </c>
      <c r="J3925" s="25">
        <f>IFERROR(VALUE(TRIM(LEFT(I3925,FIND("minute",I3925)-1)))*60,0)+IFERROR(VALUE(SUBSTITUTE(MID(I3925,IFERROR(FIND("and",I3925)+3,1),20),"second(s)","")),0)</f>
        <v/>
      </c>
      <c r="K3925" s="41">
        <f>J3925/60</f>
        <v/>
      </c>
      <c r="L3925" s="41">
        <f>IFERROR(J3925/H3925,"")</f>
        <v/>
      </c>
      <c r="M3925" s="25" t="inlineStr">
        <is>
          <t>2.5.12</t>
        </is>
      </c>
      <c r="N3925" s="25">
        <f>IF(J3925&gt;300,1,0)</f>
        <v/>
      </c>
      <c r="O3925" s="25">
        <f>IF(J3925&gt;600,1,0)</f>
        <v/>
      </c>
      <c r="P3925" s="25">
        <f>IF(H3925&gt;0,J3925,"")</f>
        <v/>
      </c>
      <c r="Q3925" s="25">
        <f>TEXT(A3925,"YYYY-MM-DD HH")</f>
        <v/>
      </c>
      <c r="R3925" s="25">
        <f>COUNTIF($Q$2:$Q$5295,Q3925)</f>
        <v/>
      </c>
      <c r="S3925" s="25">
        <f>IF(R3925&lt;=2,"1-2",IF(R3925&lt;=5,"3-5",IF(R3925&lt;=10,"6-10","11+")))</f>
        <v/>
      </c>
    </row>
    <row r="3926">
      <c r="A3926" s="39" t="n">
        <v>46218.10994212963</v>
      </c>
      <c r="B3926" s="25">
        <f>TEXT(A3926,"YYYY-MM")</f>
        <v/>
      </c>
      <c r="C3926" s="25">
        <f>TEXT(A3926,"MMM-YYYY")</f>
        <v/>
      </c>
      <c r="D3926" s="40">
        <f>INT(A3926)-WEEKDAY(A3926,2)+1</f>
        <v/>
      </c>
      <c r="E3926" s="25" t="inlineStr">
        <is>
          <t>ns</t>
        </is>
      </c>
      <c r="F3926" s="25" t="n">
        <v>129179</v>
      </c>
      <c r="G3926" s="25" t="n">
        <v>1</v>
      </c>
      <c r="H3926" s="25" t="n">
        <v>6</v>
      </c>
      <c r="I3926" s="25" t="inlineStr">
        <is>
          <t>26 second(s)</t>
        </is>
      </c>
      <c r="J3926" s="25">
        <f>IFERROR(VALUE(TRIM(LEFT(I3926,FIND("minute",I3926)-1)))*60,0)+IFERROR(VALUE(SUBSTITUTE(MID(I3926,IFERROR(FIND("and",I3926)+3,1),20),"second(s)","")),0)</f>
        <v/>
      </c>
      <c r="K3926" s="41">
        <f>J3926/60</f>
        <v/>
      </c>
      <c r="L3926" s="41">
        <f>IFERROR(J3926/H3926,"")</f>
        <v/>
      </c>
      <c r="M3926" s="25" t="inlineStr">
        <is>
          <t>2.5.12</t>
        </is>
      </c>
      <c r="N3926" s="25">
        <f>IF(J3926&gt;300,1,0)</f>
        <v/>
      </c>
      <c r="O3926" s="25">
        <f>IF(J3926&gt;600,1,0)</f>
        <v/>
      </c>
      <c r="P3926" s="25">
        <f>IF(H3926&gt;0,J3926,"")</f>
        <v/>
      </c>
      <c r="Q3926" s="25">
        <f>TEXT(A3926,"YYYY-MM-DD HH")</f>
        <v/>
      </c>
      <c r="R3926" s="25">
        <f>COUNTIF($Q$2:$Q$5295,Q3926)</f>
        <v/>
      </c>
      <c r="S3926" s="25">
        <f>IF(R3926&lt;=2,"1-2",IF(R3926&lt;=5,"3-5",IF(R3926&lt;=10,"6-10","11+")))</f>
        <v/>
      </c>
    </row>
    <row r="3927">
      <c r="A3927" s="39" t="n">
        <v>46218.11310185185</v>
      </c>
      <c r="B3927" s="25">
        <f>TEXT(A3927,"YYYY-MM")</f>
        <v/>
      </c>
      <c r="C3927" s="25">
        <f>TEXT(A3927,"MMM-YYYY")</f>
        <v/>
      </c>
      <c r="D3927" s="40">
        <f>INT(A3927)-WEEKDAY(A3927,2)+1</f>
        <v/>
      </c>
      <c r="E3927" s="25" t="inlineStr">
        <is>
          <t>psathwika</t>
        </is>
      </c>
      <c r="F3927" s="25" t="n">
        <v>129926</v>
      </c>
      <c r="G3927" s="25" t="n">
        <v>1</v>
      </c>
      <c r="H3927" s="25" t="n">
        <v>6</v>
      </c>
      <c r="I3927" s="25" t="inlineStr">
        <is>
          <t>31 second(s)</t>
        </is>
      </c>
      <c r="J3927" s="25">
        <f>IFERROR(VALUE(TRIM(LEFT(I3927,FIND("minute",I3927)-1)))*60,0)+IFERROR(VALUE(SUBSTITUTE(MID(I3927,IFERROR(FIND("and",I3927)+3,1),20),"second(s)","")),0)</f>
        <v/>
      </c>
      <c r="K3927" s="41">
        <f>J3927/60</f>
        <v/>
      </c>
      <c r="L3927" s="41">
        <f>IFERROR(J3927/H3927,"")</f>
        <v/>
      </c>
      <c r="M3927" s="25" t="inlineStr">
        <is>
          <t>2.5.12</t>
        </is>
      </c>
      <c r="N3927" s="25">
        <f>IF(J3927&gt;300,1,0)</f>
        <v/>
      </c>
      <c r="O3927" s="25">
        <f>IF(J3927&gt;600,1,0)</f>
        <v/>
      </c>
      <c r="P3927" s="25">
        <f>IF(H3927&gt;0,J3927,"")</f>
        <v/>
      </c>
      <c r="Q3927" s="25">
        <f>TEXT(A3927,"YYYY-MM-DD HH")</f>
        <v/>
      </c>
      <c r="R3927" s="25">
        <f>COUNTIF($Q$2:$Q$5295,Q3927)</f>
        <v/>
      </c>
      <c r="S3927" s="25">
        <f>IF(R3927&lt;=2,"1-2",IF(R3927&lt;=5,"3-5",IF(R3927&lt;=10,"6-10","11+")))</f>
        <v/>
      </c>
    </row>
    <row r="3928">
      <c r="A3928" s="39" t="n">
        <v>46218.12409722222</v>
      </c>
      <c r="B3928" s="25">
        <f>TEXT(A3928,"YYYY-MM")</f>
        <v/>
      </c>
      <c r="C3928" s="25">
        <f>TEXT(A3928,"MMM-YYYY")</f>
        <v/>
      </c>
      <c r="D3928" s="40">
        <f>INT(A3928)-WEEKDAY(A3928,2)+1</f>
        <v/>
      </c>
      <c r="E3928" s="25" t="inlineStr">
        <is>
          <t>aghosh</t>
        </is>
      </c>
      <c r="F3928" s="25" t="n">
        <v>131691</v>
      </c>
      <c r="G3928" s="25" t="n">
        <v>1</v>
      </c>
      <c r="H3928" s="25" t="n">
        <v>5</v>
      </c>
      <c r="I3928" s="25" t="inlineStr">
        <is>
          <t>21 second(s)</t>
        </is>
      </c>
      <c r="J3928" s="25">
        <f>IFERROR(VALUE(TRIM(LEFT(I3928,FIND("minute",I3928)-1)))*60,0)+IFERROR(VALUE(SUBSTITUTE(MID(I3928,IFERROR(FIND("and",I3928)+3,1),20),"second(s)","")),0)</f>
        <v/>
      </c>
      <c r="K3928" s="41">
        <f>J3928/60</f>
        <v/>
      </c>
      <c r="L3928" s="41">
        <f>IFERROR(J3928/H3928,"")</f>
        <v/>
      </c>
      <c r="M3928" s="25" t="inlineStr">
        <is>
          <t>2.5.12</t>
        </is>
      </c>
      <c r="N3928" s="25">
        <f>IF(J3928&gt;300,1,0)</f>
        <v/>
      </c>
      <c r="O3928" s="25">
        <f>IF(J3928&gt;600,1,0)</f>
        <v/>
      </c>
      <c r="P3928" s="25">
        <f>IF(H3928&gt;0,J3928,"")</f>
        <v/>
      </c>
      <c r="Q3928" s="25">
        <f>TEXT(A3928,"YYYY-MM-DD HH")</f>
        <v/>
      </c>
      <c r="R3928" s="25">
        <f>COUNTIF($Q$2:$Q$5295,Q3928)</f>
        <v/>
      </c>
      <c r="S3928" s="25">
        <f>IF(R3928&lt;=2,"1-2",IF(R3928&lt;=5,"3-5",IF(R3928&lt;=10,"6-10","11+")))</f>
        <v/>
      </c>
    </row>
    <row r="3929">
      <c r="A3929" s="39" t="n">
        <v>46218.12773148148</v>
      </c>
      <c r="B3929" s="25">
        <f>TEXT(A3929,"YYYY-MM")</f>
        <v/>
      </c>
      <c r="C3929" s="25">
        <f>TEXT(A3929,"MMM-YYYY")</f>
        <v/>
      </c>
      <c r="D3929" s="40">
        <f>INT(A3929)-WEEKDAY(A3929,2)+1</f>
        <v/>
      </c>
      <c r="E3929" s="25" t="inlineStr">
        <is>
          <t>dchoudhury</t>
        </is>
      </c>
      <c r="F3929" s="25" t="n">
        <v>132576</v>
      </c>
      <c r="G3929" s="25" t="n">
        <v>2</v>
      </c>
      <c r="H3929" s="25" t="n">
        <v>14</v>
      </c>
      <c r="I3929" s="25" t="inlineStr">
        <is>
          <t>2 minute(s) and 28 second(s)</t>
        </is>
      </c>
      <c r="J3929" s="25">
        <f>IFERROR(VALUE(TRIM(LEFT(I3929,FIND("minute",I3929)-1)))*60,0)+IFERROR(VALUE(SUBSTITUTE(MID(I3929,IFERROR(FIND("and",I3929)+3,1),20),"second(s)","")),0)</f>
        <v/>
      </c>
      <c r="K3929" s="41">
        <f>J3929/60</f>
        <v/>
      </c>
      <c r="L3929" s="41">
        <f>IFERROR(J3929/H3929,"")</f>
        <v/>
      </c>
      <c r="M3929" s="25" t="inlineStr">
        <is>
          <t>2.5.12</t>
        </is>
      </c>
      <c r="N3929" s="25">
        <f>IF(J3929&gt;300,1,0)</f>
        <v/>
      </c>
      <c r="O3929" s="25">
        <f>IF(J3929&gt;600,1,0)</f>
        <v/>
      </c>
      <c r="P3929" s="25">
        <f>IF(H3929&gt;0,J3929,"")</f>
        <v/>
      </c>
      <c r="Q3929" s="25">
        <f>TEXT(A3929,"YYYY-MM-DD HH")</f>
        <v/>
      </c>
      <c r="R3929" s="25">
        <f>COUNTIF($Q$2:$Q$5295,Q3929)</f>
        <v/>
      </c>
      <c r="S3929" s="25">
        <f>IF(R3929&lt;=2,"1-2",IF(R3929&lt;=5,"3-5",IF(R3929&lt;=10,"6-10","11+")))</f>
        <v/>
      </c>
    </row>
    <row r="3930">
      <c r="A3930" s="39" t="n">
        <v>46218.13516203704</v>
      </c>
      <c r="B3930" s="25">
        <f>TEXT(A3930,"YYYY-MM")</f>
        <v/>
      </c>
      <c r="C3930" s="25">
        <f>TEXT(A3930,"MMM-YYYY")</f>
        <v/>
      </c>
      <c r="D3930" s="40">
        <f>INT(A3930)-WEEKDAY(A3930,2)+1</f>
        <v/>
      </c>
      <c r="E3930" s="25" t="inlineStr">
        <is>
          <t>dchoudhury</t>
        </is>
      </c>
      <c r="F3930" s="25" t="n">
        <v>132576</v>
      </c>
      <c r="G3930" s="25" t="n">
        <v>2</v>
      </c>
      <c r="H3930" s="25" t="n">
        <v>14</v>
      </c>
      <c r="I3930" s="25" t="inlineStr">
        <is>
          <t>1 minute(s) and 52 second(s)</t>
        </is>
      </c>
      <c r="J3930" s="25">
        <f>IFERROR(VALUE(TRIM(LEFT(I3930,FIND("minute",I3930)-1)))*60,0)+IFERROR(VALUE(SUBSTITUTE(MID(I3930,IFERROR(FIND("and",I3930)+3,1),20),"second(s)","")),0)</f>
        <v/>
      </c>
      <c r="K3930" s="41">
        <f>J3930/60</f>
        <v/>
      </c>
      <c r="L3930" s="41">
        <f>IFERROR(J3930/H3930,"")</f>
        <v/>
      </c>
      <c r="M3930" s="25" t="inlineStr">
        <is>
          <t>2.5.12</t>
        </is>
      </c>
      <c r="N3930" s="25">
        <f>IF(J3930&gt;300,1,0)</f>
        <v/>
      </c>
      <c r="O3930" s="25">
        <f>IF(J3930&gt;600,1,0)</f>
        <v/>
      </c>
      <c r="P3930" s="25">
        <f>IF(H3930&gt;0,J3930,"")</f>
        <v/>
      </c>
      <c r="Q3930" s="25">
        <f>TEXT(A3930,"YYYY-MM-DD HH")</f>
        <v/>
      </c>
      <c r="R3930" s="25">
        <f>COUNTIF($Q$2:$Q$5295,Q3930)</f>
        <v/>
      </c>
      <c r="S3930" s="25">
        <f>IF(R3930&lt;=2,"1-2",IF(R3930&lt;=5,"3-5",IF(R3930&lt;=10,"6-10","11+")))</f>
        <v/>
      </c>
    </row>
    <row r="3931">
      <c r="A3931" s="39" t="n">
        <v>46218.14225694445</v>
      </c>
      <c r="B3931" s="25">
        <f>TEXT(A3931,"YYYY-MM")</f>
        <v/>
      </c>
      <c r="C3931" s="25">
        <f>TEXT(A3931,"MMM-YYYY")</f>
        <v/>
      </c>
      <c r="D3931" s="40">
        <f>INT(A3931)-WEEKDAY(A3931,2)+1</f>
        <v/>
      </c>
      <c r="E3931" s="25" t="inlineStr">
        <is>
          <t>pgautam</t>
        </is>
      </c>
      <c r="F3931" s="25" t="n">
        <v>132869</v>
      </c>
      <c r="G3931" s="25" t="n">
        <v>1</v>
      </c>
      <c r="H3931" s="25" t="n">
        <v>7</v>
      </c>
      <c r="I3931" s="25" t="inlineStr">
        <is>
          <t>39 second(s)</t>
        </is>
      </c>
      <c r="J3931" s="25">
        <f>IFERROR(VALUE(TRIM(LEFT(I3931,FIND("minute",I3931)-1)))*60,0)+IFERROR(VALUE(SUBSTITUTE(MID(I3931,IFERROR(FIND("and",I3931)+3,1),20),"second(s)","")),0)</f>
        <v/>
      </c>
      <c r="K3931" s="41">
        <f>J3931/60</f>
        <v/>
      </c>
      <c r="L3931" s="41">
        <f>IFERROR(J3931/H3931,"")</f>
        <v/>
      </c>
      <c r="M3931" s="25" t="inlineStr">
        <is>
          <t>2.5.12</t>
        </is>
      </c>
      <c r="N3931" s="25">
        <f>IF(J3931&gt;300,1,0)</f>
        <v/>
      </c>
      <c r="O3931" s="25">
        <f>IF(J3931&gt;600,1,0)</f>
        <v/>
      </c>
      <c r="P3931" s="25">
        <f>IF(H3931&gt;0,J3931,"")</f>
        <v/>
      </c>
      <c r="Q3931" s="25">
        <f>TEXT(A3931,"YYYY-MM-DD HH")</f>
        <v/>
      </c>
      <c r="R3931" s="25">
        <f>COUNTIF($Q$2:$Q$5295,Q3931)</f>
        <v/>
      </c>
      <c r="S3931" s="25">
        <f>IF(R3931&lt;=2,"1-2",IF(R3931&lt;=5,"3-5",IF(R3931&lt;=10,"6-10","11+")))</f>
        <v/>
      </c>
    </row>
    <row r="3932">
      <c r="A3932" s="39" t="n">
        <v>46218.14375</v>
      </c>
      <c r="B3932" s="25">
        <f>TEXT(A3932,"YYYY-MM")</f>
        <v/>
      </c>
      <c r="C3932" s="25">
        <f>TEXT(A3932,"MMM-YYYY")</f>
        <v/>
      </c>
      <c r="D3932" s="40">
        <f>INT(A3932)-WEEKDAY(A3932,2)+1</f>
        <v/>
      </c>
      <c r="E3932" s="25" t="inlineStr">
        <is>
          <t>tkarmakar</t>
        </is>
      </c>
      <c r="F3932" s="25" t="n">
        <v>130674</v>
      </c>
      <c r="G3932" s="25" t="n">
        <v>2</v>
      </c>
      <c r="H3932" s="25" t="n">
        <v>12</v>
      </c>
      <c r="I3932" s="25" t="inlineStr">
        <is>
          <t>1 minute(s) and 7 second(s)</t>
        </is>
      </c>
      <c r="J3932" s="25">
        <f>IFERROR(VALUE(TRIM(LEFT(I3932,FIND("minute",I3932)-1)))*60,0)+IFERROR(VALUE(SUBSTITUTE(MID(I3932,IFERROR(FIND("and",I3932)+3,1),20),"second(s)","")),0)</f>
        <v/>
      </c>
      <c r="K3932" s="41">
        <f>J3932/60</f>
        <v/>
      </c>
      <c r="L3932" s="41">
        <f>IFERROR(J3932/H3932,"")</f>
        <v/>
      </c>
      <c r="M3932" s="25" t="inlineStr">
        <is>
          <t>2.5.12</t>
        </is>
      </c>
      <c r="N3932" s="25">
        <f>IF(J3932&gt;300,1,0)</f>
        <v/>
      </c>
      <c r="O3932" s="25">
        <f>IF(J3932&gt;600,1,0)</f>
        <v/>
      </c>
      <c r="P3932" s="25">
        <f>IF(H3932&gt;0,J3932,"")</f>
        <v/>
      </c>
      <c r="Q3932" s="25">
        <f>TEXT(A3932,"YYYY-MM-DD HH")</f>
        <v/>
      </c>
      <c r="R3932" s="25">
        <f>COUNTIF($Q$2:$Q$5295,Q3932)</f>
        <v/>
      </c>
      <c r="S3932" s="25">
        <f>IF(R3932&lt;=2,"1-2",IF(R3932&lt;=5,"3-5",IF(R3932&lt;=10,"6-10","11+")))</f>
        <v/>
      </c>
    </row>
    <row r="3933">
      <c r="A3933" s="39" t="n">
        <v>46218.14599537037</v>
      </c>
      <c r="B3933" s="25">
        <f>TEXT(A3933,"YYYY-MM")</f>
        <v/>
      </c>
      <c r="C3933" s="25">
        <f>TEXT(A3933,"MMM-YYYY")</f>
        <v/>
      </c>
      <c r="D3933" s="40">
        <f>INT(A3933)-WEEKDAY(A3933,2)+1</f>
        <v/>
      </c>
      <c r="E3933" s="25" t="inlineStr">
        <is>
          <t>mbhalla</t>
        </is>
      </c>
      <c r="F3933" s="25" t="n">
        <v>129089</v>
      </c>
      <c r="G3933" s="25" t="n">
        <v>2</v>
      </c>
      <c r="H3933" s="25" t="n">
        <v>10</v>
      </c>
      <c r="I3933" s="25" t="inlineStr">
        <is>
          <t>55 second(s)</t>
        </is>
      </c>
      <c r="J3933" s="25">
        <f>IFERROR(VALUE(TRIM(LEFT(I3933,FIND("minute",I3933)-1)))*60,0)+IFERROR(VALUE(SUBSTITUTE(MID(I3933,IFERROR(FIND("and",I3933)+3,1),20),"second(s)","")),0)</f>
        <v/>
      </c>
      <c r="K3933" s="41">
        <f>J3933/60</f>
        <v/>
      </c>
      <c r="L3933" s="41">
        <f>IFERROR(J3933/H3933,"")</f>
        <v/>
      </c>
      <c r="M3933" s="25" t="inlineStr">
        <is>
          <t>2.5.12</t>
        </is>
      </c>
      <c r="N3933" s="25">
        <f>IF(J3933&gt;300,1,0)</f>
        <v/>
      </c>
      <c r="O3933" s="25">
        <f>IF(J3933&gt;600,1,0)</f>
        <v/>
      </c>
      <c r="P3933" s="25">
        <f>IF(H3933&gt;0,J3933,"")</f>
        <v/>
      </c>
      <c r="Q3933" s="25">
        <f>TEXT(A3933,"YYYY-MM-DD HH")</f>
        <v/>
      </c>
      <c r="R3933" s="25">
        <f>COUNTIF($Q$2:$Q$5295,Q3933)</f>
        <v/>
      </c>
      <c r="S3933" s="25">
        <f>IF(R3933&lt;=2,"1-2",IF(R3933&lt;=5,"3-5",IF(R3933&lt;=10,"6-10","11+")))</f>
        <v/>
      </c>
    </row>
    <row r="3934">
      <c r="A3934" s="39" t="n">
        <v>46218.14944444445</v>
      </c>
      <c r="B3934" s="25">
        <f>TEXT(A3934,"YYYY-MM")</f>
        <v/>
      </c>
      <c r="C3934" s="25">
        <f>TEXT(A3934,"MMM-YYYY")</f>
        <v/>
      </c>
      <c r="D3934" s="40">
        <f>INT(A3934)-WEEKDAY(A3934,2)+1</f>
        <v/>
      </c>
      <c r="E3934" s="25" t="inlineStr">
        <is>
          <t>ns</t>
        </is>
      </c>
      <c r="F3934" s="25" t="n">
        <v>129099</v>
      </c>
      <c r="G3934" s="25" t="n">
        <v>4</v>
      </c>
      <c r="H3934" s="25" t="n">
        <v>20</v>
      </c>
      <c r="I3934" s="25" t="inlineStr">
        <is>
          <t>2 minute(s) and 1 second(s)</t>
        </is>
      </c>
      <c r="J3934" s="25">
        <f>IFERROR(VALUE(TRIM(LEFT(I3934,FIND("minute",I3934)-1)))*60,0)+IFERROR(VALUE(SUBSTITUTE(MID(I3934,IFERROR(FIND("and",I3934)+3,1),20),"second(s)","")),0)</f>
        <v/>
      </c>
      <c r="K3934" s="41">
        <f>J3934/60</f>
        <v/>
      </c>
      <c r="L3934" s="41">
        <f>IFERROR(J3934/H3934,"")</f>
        <v/>
      </c>
      <c r="M3934" s="25" t="inlineStr">
        <is>
          <t>2.5.12</t>
        </is>
      </c>
      <c r="N3934" s="25">
        <f>IF(J3934&gt;300,1,0)</f>
        <v/>
      </c>
      <c r="O3934" s="25">
        <f>IF(J3934&gt;600,1,0)</f>
        <v/>
      </c>
      <c r="P3934" s="25">
        <f>IF(H3934&gt;0,J3934,"")</f>
        <v/>
      </c>
      <c r="Q3934" s="25">
        <f>TEXT(A3934,"YYYY-MM-DD HH")</f>
        <v/>
      </c>
      <c r="R3934" s="25">
        <f>COUNTIF($Q$2:$Q$5295,Q3934)</f>
        <v/>
      </c>
      <c r="S3934" s="25">
        <f>IF(R3934&lt;=2,"1-2",IF(R3934&lt;=5,"3-5",IF(R3934&lt;=10,"6-10","11+")))</f>
        <v/>
      </c>
    </row>
    <row r="3935">
      <c r="A3935" s="39" t="n">
        <v>46218.15107638889</v>
      </c>
      <c r="B3935" s="25">
        <f>TEXT(A3935,"YYYY-MM")</f>
        <v/>
      </c>
      <c r="C3935" s="25">
        <f>TEXT(A3935,"MMM-YYYY")</f>
        <v/>
      </c>
      <c r="D3935" s="40">
        <f>INT(A3935)-WEEKDAY(A3935,2)+1</f>
        <v/>
      </c>
      <c r="E3935" s="25" t="inlineStr">
        <is>
          <t>sswati</t>
        </is>
      </c>
      <c r="F3935" s="25" t="n">
        <v>131464</v>
      </c>
      <c r="G3935" s="25" t="n">
        <v>2</v>
      </c>
      <c r="H3935" s="25" t="n">
        <v>6</v>
      </c>
      <c r="I3935" s="25" t="inlineStr">
        <is>
          <t>32 second(s)</t>
        </is>
      </c>
      <c r="J3935" s="25">
        <f>IFERROR(VALUE(TRIM(LEFT(I3935,FIND("minute",I3935)-1)))*60,0)+IFERROR(VALUE(SUBSTITUTE(MID(I3935,IFERROR(FIND("and",I3935)+3,1),20),"second(s)","")),0)</f>
        <v/>
      </c>
      <c r="K3935" s="41">
        <f>J3935/60</f>
        <v/>
      </c>
      <c r="L3935" s="41">
        <f>IFERROR(J3935/H3935,"")</f>
        <v/>
      </c>
      <c r="M3935" s="25" t="inlineStr">
        <is>
          <t>2.5.12</t>
        </is>
      </c>
      <c r="N3935" s="25">
        <f>IF(J3935&gt;300,1,0)</f>
        <v/>
      </c>
      <c r="O3935" s="25">
        <f>IF(J3935&gt;600,1,0)</f>
        <v/>
      </c>
      <c r="P3935" s="25">
        <f>IF(H3935&gt;0,J3935,"")</f>
        <v/>
      </c>
      <c r="Q3935" s="25">
        <f>TEXT(A3935,"YYYY-MM-DD HH")</f>
        <v/>
      </c>
      <c r="R3935" s="25">
        <f>COUNTIF($Q$2:$Q$5295,Q3935)</f>
        <v/>
      </c>
      <c r="S3935" s="25">
        <f>IF(R3935&lt;=2,"1-2",IF(R3935&lt;=5,"3-5",IF(R3935&lt;=10,"6-10","11+")))</f>
        <v/>
      </c>
    </row>
    <row r="3936">
      <c r="A3936" s="39" t="n">
        <v>46218.15149305556</v>
      </c>
      <c r="B3936" s="25">
        <f>TEXT(A3936,"YYYY-MM")</f>
        <v/>
      </c>
      <c r="C3936" s="25">
        <f>TEXT(A3936,"MMM-YYYY")</f>
        <v/>
      </c>
      <c r="D3936" s="40">
        <f>INT(A3936)-WEEKDAY(A3936,2)+1</f>
        <v/>
      </c>
      <c r="E3936" s="25" t="inlineStr">
        <is>
          <t>psathwika</t>
        </is>
      </c>
      <c r="F3936" s="25" t="n">
        <v>129910</v>
      </c>
      <c r="G3936" s="25" t="n">
        <v>1</v>
      </c>
      <c r="H3936" s="25" t="n">
        <v>7</v>
      </c>
      <c r="I3936" s="25" t="inlineStr">
        <is>
          <t>37 second(s)</t>
        </is>
      </c>
      <c r="J3936" s="25">
        <f>IFERROR(VALUE(TRIM(LEFT(I3936,FIND("minute",I3936)-1)))*60,0)+IFERROR(VALUE(SUBSTITUTE(MID(I3936,IFERROR(FIND("and",I3936)+3,1),20),"second(s)","")),0)</f>
        <v/>
      </c>
      <c r="K3936" s="41">
        <f>J3936/60</f>
        <v/>
      </c>
      <c r="L3936" s="41">
        <f>IFERROR(J3936/H3936,"")</f>
        <v/>
      </c>
      <c r="M3936" s="25" t="inlineStr">
        <is>
          <t>2.5.12</t>
        </is>
      </c>
      <c r="N3936" s="25">
        <f>IF(J3936&gt;300,1,0)</f>
        <v/>
      </c>
      <c r="O3936" s="25">
        <f>IF(J3936&gt;600,1,0)</f>
        <v/>
      </c>
      <c r="P3936" s="25">
        <f>IF(H3936&gt;0,J3936,"")</f>
        <v/>
      </c>
      <c r="Q3936" s="25">
        <f>TEXT(A3936,"YYYY-MM-DD HH")</f>
        <v/>
      </c>
      <c r="R3936" s="25">
        <f>COUNTIF($Q$2:$Q$5295,Q3936)</f>
        <v/>
      </c>
      <c r="S3936" s="25">
        <f>IF(R3936&lt;=2,"1-2",IF(R3936&lt;=5,"3-5",IF(R3936&lt;=10,"6-10","11+")))</f>
        <v/>
      </c>
    </row>
    <row r="3937">
      <c r="A3937" s="39" t="n">
        <v>46218.1524074074</v>
      </c>
      <c r="B3937" s="25">
        <f>TEXT(A3937,"YYYY-MM")</f>
        <v/>
      </c>
      <c r="C3937" s="25">
        <f>TEXT(A3937,"MMM-YYYY")</f>
        <v/>
      </c>
      <c r="D3937" s="40">
        <f>INT(A3937)-WEEKDAY(A3937,2)+1</f>
        <v/>
      </c>
      <c r="E3937" s="25" t="inlineStr">
        <is>
          <t>mgupta</t>
        </is>
      </c>
      <c r="F3937" s="25" t="n">
        <v>132716</v>
      </c>
      <c r="G3937" s="25" t="n">
        <v>1</v>
      </c>
      <c r="H3937" s="25" t="n">
        <v>5</v>
      </c>
      <c r="I3937" s="25" t="inlineStr">
        <is>
          <t>23 second(s)</t>
        </is>
      </c>
      <c r="J3937" s="25">
        <f>IFERROR(VALUE(TRIM(LEFT(I3937,FIND("minute",I3937)-1)))*60,0)+IFERROR(VALUE(SUBSTITUTE(MID(I3937,IFERROR(FIND("and",I3937)+3,1),20),"second(s)","")),0)</f>
        <v/>
      </c>
      <c r="K3937" s="41">
        <f>J3937/60</f>
        <v/>
      </c>
      <c r="L3937" s="41">
        <f>IFERROR(J3937/H3937,"")</f>
        <v/>
      </c>
      <c r="M3937" s="25" t="inlineStr">
        <is>
          <t>2.5.12</t>
        </is>
      </c>
      <c r="N3937" s="25">
        <f>IF(J3937&gt;300,1,0)</f>
        <v/>
      </c>
      <c r="O3937" s="25">
        <f>IF(J3937&gt;600,1,0)</f>
        <v/>
      </c>
      <c r="P3937" s="25">
        <f>IF(H3937&gt;0,J3937,"")</f>
        <v/>
      </c>
      <c r="Q3937" s="25">
        <f>TEXT(A3937,"YYYY-MM-DD HH")</f>
        <v/>
      </c>
      <c r="R3937" s="25">
        <f>COUNTIF($Q$2:$Q$5295,Q3937)</f>
        <v/>
      </c>
      <c r="S3937" s="25">
        <f>IF(R3937&lt;=2,"1-2",IF(R3937&lt;=5,"3-5",IF(R3937&lt;=10,"6-10","11+")))</f>
        <v/>
      </c>
    </row>
    <row r="3938">
      <c r="A3938" s="39" t="n">
        <v>46218.16100694444</v>
      </c>
      <c r="B3938" s="25">
        <f>TEXT(A3938,"YYYY-MM")</f>
        <v/>
      </c>
      <c r="C3938" s="25">
        <f>TEXT(A3938,"MMM-YYYY")</f>
        <v/>
      </c>
      <c r="D3938" s="40">
        <f>INT(A3938)-WEEKDAY(A3938,2)+1</f>
        <v/>
      </c>
      <c r="E3938" s="25" t="inlineStr">
        <is>
          <t>aupadhayay</t>
        </is>
      </c>
      <c r="F3938" s="25" t="n">
        <v>128016</v>
      </c>
      <c r="G3938" s="25" t="n">
        <v>2</v>
      </c>
      <c r="H3938" s="25" t="n">
        <v>14</v>
      </c>
      <c r="I3938" s="25" t="inlineStr">
        <is>
          <t>1 minute(s) and 37 second(s)</t>
        </is>
      </c>
      <c r="J3938" s="25">
        <f>IFERROR(VALUE(TRIM(LEFT(I3938,FIND("minute",I3938)-1)))*60,0)+IFERROR(VALUE(SUBSTITUTE(MID(I3938,IFERROR(FIND("and",I3938)+3,1),20),"second(s)","")),0)</f>
        <v/>
      </c>
      <c r="K3938" s="41">
        <f>J3938/60</f>
        <v/>
      </c>
      <c r="L3938" s="41">
        <f>IFERROR(J3938/H3938,"")</f>
        <v/>
      </c>
      <c r="M3938" s="25" t="inlineStr">
        <is>
          <t>2.5.12</t>
        </is>
      </c>
      <c r="N3938" s="25">
        <f>IF(J3938&gt;300,1,0)</f>
        <v/>
      </c>
      <c r="O3938" s="25">
        <f>IF(J3938&gt;600,1,0)</f>
        <v/>
      </c>
      <c r="P3938" s="25">
        <f>IF(H3938&gt;0,J3938,"")</f>
        <v/>
      </c>
      <c r="Q3938" s="25">
        <f>TEXT(A3938,"YYYY-MM-DD HH")</f>
        <v/>
      </c>
      <c r="R3938" s="25">
        <f>COUNTIF($Q$2:$Q$5295,Q3938)</f>
        <v/>
      </c>
      <c r="S3938" s="25">
        <f>IF(R3938&lt;=2,"1-2",IF(R3938&lt;=5,"3-5",IF(R3938&lt;=10,"6-10","11+")))</f>
        <v/>
      </c>
    </row>
    <row r="3939">
      <c r="A3939" s="39" t="n">
        <v>46218.1665162037</v>
      </c>
      <c r="B3939" s="25">
        <f>TEXT(A3939,"YYYY-MM")</f>
        <v/>
      </c>
      <c r="C3939" s="25">
        <f>TEXT(A3939,"MMM-YYYY")</f>
        <v/>
      </c>
      <c r="D3939" s="40">
        <f>INT(A3939)-WEEKDAY(A3939,2)+1</f>
        <v/>
      </c>
      <c r="E3939" s="25" t="inlineStr">
        <is>
          <t>shasikha</t>
        </is>
      </c>
      <c r="F3939" s="25" t="n">
        <v>130666</v>
      </c>
      <c r="G3939" s="25" t="n">
        <v>1</v>
      </c>
      <c r="H3939" s="25" t="n">
        <v>5</v>
      </c>
      <c r="I3939" s="25" t="inlineStr">
        <is>
          <t>34 second(s)</t>
        </is>
      </c>
      <c r="J3939" s="25">
        <f>IFERROR(VALUE(TRIM(LEFT(I3939,FIND("minute",I3939)-1)))*60,0)+IFERROR(VALUE(SUBSTITUTE(MID(I3939,IFERROR(FIND("and",I3939)+3,1),20),"second(s)","")),0)</f>
        <v/>
      </c>
      <c r="K3939" s="41">
        <f>J3939/60</f>
        <v/>
      </c>
      <c r="L3939" s="41">
        <f>IFERROR(J3939/H3939,"")</f>
        <v/>
      </c>
      <c r="M3939" s="25" t="inlineStr">
        <is>
          <t>2.5.12</t>
        </is>
      </c>
      <c r="N3939" s="25">
        <f>IF(J3939&gt;300,1,0)</f>
        <v/>
      </c>
      <c r="O3939" s="25">
        <f>IF(J3939&gt;600,1,0)</f>
        <v/>
      </c>
      <c r="P3939" s="25">
        <f>IF(H3939&gt;0,J3939,"")</f>
        <v/>
      </c>
      <c r="Q3939" s="25">
        <f>TEXT(A3939,"YYYY-MM-DD HH")</f>
        <v/>
      </c>
      <c r="R3939" s="25">
        <f>COUNTIF($Q$2:$Q$5295,Q3939)</f>
        <v/>
      </c>
      <c r="S3939" s="25">
        <f>IF(R3939&lt;=2,"1-2",IF(R3939&lt;=5,"3-5",IF(R3939&lt;=10,"6-10","11+")))</f>
        <v/>
      </c>
    </row>
    <row r="3940">
      <c r="A3940" s="39" t="n">
        <v>46218.17804398148</v>
      </c>
      <c r="B3940" s="25">
        <f>TEXT(A3940,"YYYY-MM")</f>
        <v/>
      </c>
      <c r="C3940" s="25">
        <f>TEXT(A3940,"MMM-YYYY")</f>
        <v/>
      </c>
      <c r="D3940" s="40">
        <f>INT(A3940)-WEEKDAY(A3940,2)+1</f>
        <v/>
      </c>
      <c r="E3940" s="25" t="inlineStr">
        <is>
          <t>ssrinivasan</t>
        </is>
      </c>
      <c r="F3940" s="25" t="n">
        <v>128250</v>
      </c>
      <c r="G3940" s="25" t="n">
        <v>3</v>
      </c>
      <c r="H3940" s="25" t="n">
        <v>15</v>
      </c>
      <c r="I3940" s="25" t="inlineStr">
        <is>
          <t>1 minute(s) and 44 second(s)</t>
        </is>
      </c>
      <c r="J3940" s="25">
        <f>IFERROR(VALUE(TRIM(LEFT(I3940,FIND("minute",I3940)-1)))*60,0)+IFERROR(VALUE(SUBSTITUTE(MID(I3940,IFERROR(FIND("and",I3940)+3,1),20),"second(s)","")),0)</f>
        <v/>
      </c>
      <c r="K3940" s="41">
        <f>J3940/60</f>
        <v/>
      </c>
      <c r="L3940" s="41">
        <f>IFERROR(J3940/H3940,"")</f>
        <v/>
      </c>
      <c r="M3940" s="25" t="inlineStr">
        <is>
          <t>2.5.12</t>
        </is>
      </c>
      <c r="N3940" s="25">
        <f>IF(J3940&gt;300,1,0)</f>
        <v/>
      </c>
      <c r="O3940" s="25">
        <f>IF(J3940&gt;600,1,0)</f>
        <v/>
      </c>
      <c r="P3940" s="25">
        <f>IF(H3940&gt;0,J3940,"")</f>
        <v/>
      </c>
      <c r="Q3940" s="25">
        <f>TEXT(A3940,"YYYY-MM-DD HH")</f>
        <v/>
      </c>
      <c r="R3940" s="25">
        <f>COUNTIF($Q$2:$Q$5295,Q3940)</f>
        <v/>
      </c>
      <c r="S3940" s="25">
        <f>IF(R3940&lt;=2,"1-2",IF(R3940&lt;=5,"3-5",IF(R3940&lt;=10,"6-10","11+")))</f>
        <v/>
      </c>
    </row>
    <row r="3941">
      <c r="A3941" s="39" t="n">
        <v>46218.17815972222</v>
      </c>
      <c r="B3941" s="25">
        <f>TEXT(A3941,"YYYY-MM")</f>
        <v/>
      </c>
      <c r="C3941" s="25">
        <f>TEXT(A3941,"MMM-YYYY")</f>
        <v/>
      </c>
      <c r="D3941" s="40">
        <f>INT(A3941)-WEEKDAY(A3941,2)+1</f>
        <v/>
      </c>
      <c r="E3941" s="25" t="inlineStr">
        <is>
          <t>psingh</t>
        </is>
      </c>
      <c r="F3941" s="25" t="n">
        <v>129623</v>
      </c>
      <c r="G3941" s="25" t="n">
        <v>1</v>
      </c>
      <c r="H3941" s="25" t="n">
        <v>7</v>
      </c>
      <c r="I3941" s="25" t="inlineStr">
        <is>
          <t>27 second(s)</t>
        </is>
      </c>
      <c r="J3941" s="25">
        <f>IFERROR(VALUE(TRIM(LEFT(I3941,FIND("minute",I3941)-1)))*60,0)+IFERROR(VALUE(SUBSTITUTE(MID(I3941,IFERROR(FIND("and",I3941)+3,1),20),"second(s)","")),0)</f>
        <v/>
      </c>
      <c r="K3941" s="41">
        <f>J3941/60</f>
        <v/>
      </c>
      <c r="L3941" s="41">
        <f>IFERROR(J3941/H3941,"")</f>
        <v/>
      </c>
      <c r="M3941" s="25" t="inlineStr">
        <is>
          <t>2.5.12</t>
        </is>
      </c>
      <c r="N3941" s="25">
        <f>IF(J3941&gt;300,1,0)</f>
        <v/>
      </c>
      <c r="O3941" s="25">
        <f>IF(J3941&gt;600,1,0)</f>
        <v/>
      </c>
      <c r="P3941" s="25">
        <f>IF(H3941&gt;0,J3941,"")</f>
        <v/>
      </c>
      <c r="Q3941" s="25">
        <f>TEXT(A3941,"YYYY-MM-DD HH")</f>
        <v/>
      </c>
      <c r="R3941" s="25">
        <f>COUNTIF($Q$2:$Q$5295,Q3941)</f>
        <v/>
      </c>
      <c r="S3941" s="25">
        <f>IF(R3941&lt;=2,"1-2",IF(R3941&lt;=5,"3-5",IF(R3941&lt;=10,"6-10","11+")))</f>
        <v/>
      </c>
    </row>
    <row r="3942">
      <c r="A3942" s="39" t="n">
        <v>46218.18530092593</v>
      </c>
      <c r="B3942" s="25">
        <f>TEXT(A3942,"YYYY-MM")</f>
        <v/>
      </c>
      <c r="C3942" s="25">
        <f>TEXT(A3942,"MMM-YYYY")</f>
        <v/>
      </c>
      <c r="D3942" s="40">
        <f>INT(A3942)-WEEKDAY(A3942,2)+1</f>
        <v/>
      </c>
      <c r="E3942" s="25" t="inlineStr">
        <is>
          <t>csaha</t>
        </is>
      </c>
      <c r="F3942" s="25" t="n">
        <v>128856</v>
      </c>
      <c r="G3942" s="25" t="n">
        <v>2</v>
      </c>
      <c r="H3942" s="25" t="n">
        <v>6</v>
      </c>
      <c r="I3942" s="25" t="inlineStr">
        <is>
          <t>24 second(s)</t>
        </is>
      </c>
      <c r="J3942" s="25">
        <f>IFERROR(VALUE(TRIM(LEFT(I3942,FIND("minute",I3942)-1)))*60,0)+IFERROR(VALUE(SUBSTITUTE(MID(I3942,IFERROR(FIND("and",I3942)+3,1),20),"second(s)","")),0)</f>
        <v/>
      </c>
      <c r="K3942" s="41">
        <f>J3942/60</f>
        <v/>
      </c>
      <c r="L3942" s="41">
        <f>IFERROR(J3942/H3942,"")</f>
        <v/>
      </c>
      <c r="M3942" s="25" t="inlineStr">
        <is>
          <t>2.5.12</t>
        </is>
      </c>
      <c r="N3942" s="25">
        <f>IF(J3942&gt;300,1,0)</f>
        <v/>
      </c>
      <c r="O3942" s="25">
        <f>IF(J3942&gt;600,1,0)</f>
        <v/>
      </c>
      <c r="P3942" s="25">
        <f>IF(H3942&gt;0,J3942,"")</f>
        <v/>
      </c>
      <c r="Q3942" s="25">
        <f>TEXT(A3942,"YYYY-MM-DD HH")</f>
        <v/>
      </c>
      <c r="R3942" s="25">
        <f>COUNTIF($Q$2:$Q$5295,Q3942)</f>
        <v/>
      </c>
      <c r="S3942" s="25">
        <f>IF(R3942&lt;=2,"1-2",IF(R3942&lt;=5,"3-5",IF(R3942&lt;=10,"6-10","11+")))</f>
        <v/>
      </c>
    </row>
    <row r="3943">
      <c r="A3943" s="39" t="n">
        <v>46218.20090277777</v>
      </c>
      <c r="B3943" s="25">
        <f>TEXT(A3943,"YYYY-MM")</f>
        <v/>
      </c>
      <c r="C3943" s="25">
        <f>TEXT(A3943,"MMM-YYYY")</f>
        <v/>
      </c>
      <c r="D3943" s="40">
        <f>INT(A3943)-WEEKDAY(A3943,2)+1</f>
        <v/>
      </c>
      <c r="E3943" s="25" t="inlineStr">
        <is>
          <t>pgautam</t>
        </is>
      </c>
      <c r="F3943" s="25" t="n">
        <v>132982</v>
      </c>
      <c r="G3943" s="25" t="n">
        <v>3</v>
      </c>
      <c r="H3943" s="25" t="n">
        <v>13</v>
      </c>
      <c r="I3943" s="25" t="inlineStr">
        <is>
          <t>1 minute(s) and 42 second(s)</t>
        </is>
      </c>
      <c r="J3943" s="25">
        <f>IFERROR(VALUE(TRIM(LEFT(I3943,FIND("minute",I3943)-1)))*60,0)+IFERROR(VALUE(SUBSTITUTE(MID(I3943,IFERROR(FIND("and",I3943)+3,1),20),"second(s)","")),0)</f>
        <v/>
      </c>
      <c r="K3943" s="41">
        <f>J3943/60</f>
        <v/>
      </c>
      <c r="L3943" s="41">
        <f>IFERROR(J3943/H3943,"")</f>
        <v/>
      </c>
      <c r="M3943" s="25" t="inlineStr">
        <is>
          <t>2.5.12</t>
        </is>
      </c>
      <c r="N3943" s="25">
        <f>IF(J3943&gt;300,1,0)</f>
        <v/>
      </c>
      <c r="O3943" s="25">
        <f>IF(J3943&gt;600,1,0)</f>
        <v/>
      </c>
      <c r="P3943" s="25">
        <f>IF(H3943&gt;0,J3943,"")</f>
        <v/>
      </c>
      <c r="Q3943" s="25">
        <f>TEXT(A3943,"YYYY-MM-DD HH")</f>
        <v/>
      </c>
      <c r="R3943" s="25">
        <f>COUNTIF($Q$2:$Q$5295,Q3943)</f>
        <v/>
      </c>
      <c r="S3943" s="25">
        <f>IF(R3943&lt;=2,"1-2",IF(R3943&lt;=5,"3-5",IF(R3943&lt;=10,"6-10","11+")))</f>
        <v/>
      </c>
    </row>
    <row r="3944">
      <c r="A3944" s="39" t="n">
        <v>46218.20277777778</v>
      </c>
      <c r="B3944" s="25">
        <f>TEXT(A3944,"YYYY-MM")</f>
        <v/>
      </c>
      <c r="C3944" s="25">
        <f>TEXT(A3944,"MMM-YYYY")</f>
        <v/>
      </c>
      <c r="D3944" s="40">
        <f>INT(A3944)-WEEKDAY(A3944,2)+1</f>
        <v/>
      </c>
      <c r="E3944" s="25" t="inlineStr">
        <is>
          <t>ajain</t>
        </is>
      </c>
      <c r="F3944" s="25" t="n">
        <v>126835</v>
      </c>
      <c r="G3944" s="25" t="n">
        <v>2</v>
      </c>
      <c r="H3944" s="25" t="n">
        <v>10</v>
      </c>
      <c r="I3944" s="25" t="inlineStr">
        <is>
          <t>50 second(s)</t>
        </is>
      </c>
      <c r="J3944" s="25">
        <f>IFERROR(VALUE(TRIM(LEFT(I3944,FIND("minute",I3944)-1)))*60,0)+IFERROR(VALUE(SUBSTITUTE(MID(I3944,IFERROR(FIND("and",I3944)+3,1),20),"second(s)","")),0)</f>
        <v/>
      </c>
      <c r="K3944" s="41">
        <f>J3944/60</f>
        <v/>
      </c>
      <c r="L3944" s="41">
        <f>IFERROR(J3944/H3944,"")</f>
        <v/>
      </c>
      <c r="M3944" s="25" t="inlineStr">
        <is>
          <t>2.5.12</t>
        </is>
      </c>
      <c r="N3944" s="25">
        <f>IF(J3944&gt;300,1,0)</f>
        <v/>
      </c>
      <c r="O3944" s="25">
        <f>IF(J3944&gt;600,1,0)</f>
        <v/>
      </c>
      <c r="P3944" s="25">
        <f>IF(H3944&gt;0,J3944,"")</f>
        <v/>
      </c>
      <c r="Q3944" s="25">
        <f>TEXT(A3944,"YYYY-MM-DD HH")</f>
        <v/>
      </c>
      <c r="R3944" s="25">
        <f>COUNTIF($Q$2:$Q$5295,Q3944)</f>
        <v/>
      </c>
      <c r="S3944" s="25">
        <f>IF(R3944&lt;=2,"1-2",IF(R3944&lt;=5,"3-5",IF(R3944&lt;=10,"6-10","11+")))</f>
        <v/>
      </c>
    </row>
    <row r="3945">
      <c r="A3945" s="39" t="n">
        <v>46218.22690972222</v>
      </c>
      <c r="B3945" s="25">
        <f>TEXT(A3945,"YYYY-MM")</f>
        <v/>
      </c>
      <c r="C3945" s="25">
        <f>TEXT(A3945,"MMM-YYYY")</f>
        <v/>
      </c>
      <c r="D3945" s="40">
        <f>INT(A3945)-WEEKDAY(A3945,2)+1</f>
        <v/>
      </c>
      <c r="E3945" s="25" t="inlineStr">
        <is>
          <t>sthomas</t>
        </is>
      </c>
      <c r="F3945" s="25" t="n">
        <v>132390</v>
      </c>
      <c r="G3945" s="25" t="n">
        <v>4</v>
      </c>
      <c r="H3945" s="25" t="n">
        <v>25</v>
      </c>
      <c r="I3945" s="25" t="inlineStr">
        <is>
          <t>2 minute(s) and 43 second(s)</t>
        </is>
      </c>
      <c r="J3945" s="25">
        <f>IFERROR(VALUE(TRIM(LEFT(I3945,FIND("minute",I3945)-1)))*60,0)+IFERROR(VALUE(SUBSTITUTE(MID(I3945,IFERROR(FIND("and",I3945)+3,1),20),"second(s)","")),0)</f>
        <v/>
      </c>
      <c r="K3945" s="41">
        <f>J3945/60</f>
        <v/>
      </c>
      <c r="L3945" s="41">
        <f>IFERROR(J3945/H3945,"")</f>
        <v/>
      </c>
      <c r="M3945" s="25" t="inlineStr">
        <is>
          <t>2.5.12</t>
        </is>
      </c>
      <c r="N3945" s="25">
        <f>IF(J3945&gt;300,1,0)</f>
        <v/>
      </c>
      <c r="O3945" s="25">
        <f>IF(J3945&gt;600,1,0)</f>
        <v/>
      </c>
      <c r="P3945" s="25">
        <f>IF(H3945&gt;0,J3945,"")</f>
        <v/>
      </c>
      <c r="Q3945" s="25">
        <f>TEXT(A3945,"YYYY-MM-DD HH")</f>
        <v/>
      </c>
      <c r="R3945" s="25">
        <f>COUNTIF($Q$2:$Q$5295,Q3945)</f>
        <v/>
      </c>
      <c r="S3945" s="25">
        <f>IF(R3945&lt;=2,"1-2",IF(R3945&lt;=5,"3-5",IF(R3945&lt;=10,"6-10","11+")))</f>
        <v/>
      </c>
    </row>
    <row r="3946">
      <c r="A3946" s="39" t="n">
        <v>46218.2284375</v>
      </c>
      <c r="B3946" s="25">
        <f>TEXT(A3946,"YYYY-MM")</f>
        <v/>
      </c>
      <c r="C3946" s="25">
        <f>TEXT(A3946,"MMM-YYYY")</f>
        <v/>
      </c>
      <c r="D3946" s="40">
        <f>INT(A3946)-WEEKDAY(A3946,2)+1</f>
        <v/>
      </c>
      <c r="E3946" s="25" t="inlineStr">
        <is>
          <t>mbhalla</t>
        </is>
      </c>
      <c r="F3946" s="25" t="n">
        <v>132387</v>
      </c>
      <c r="G3946" s="25" t="n">
        <v>4</v>
      </c>
      <c r="H3946" s="25" t="n">
        <v>27</v>
      </c>
      <c r="I3946" s="25" t="inlineStr">
        <is>
          <t>3 minute(s) and 43 second(s)</t>
        </is>
      </c>
      <c r="J3946" s="25">
        <f>IFERROR(VALUE(TRIM(LEFT(I3946,FIND("minute",I3946)-1)))*60,0)+IFERROR(VALUE(SUBSTITUTE(MID(I3946,IFERROR(FIND("and",I3946)+3,1),20),"second(s)","")),0)</f>
        <v/>
      </c>
      <c r="K3946" s="41">
        <f>J3946/60</f>
        <v/>
      </c>
      <c r="L3946" s="41">
        <f>IFERROR(J3946/H3946,"")</f>
        <v/>
      </c>
      <c r="M3946" s="25" t="inlineStr">
        <is>
          <t>2.5.12</t>
        </is>
      </c>
      <c r="N3946" s="25">
        <f>IF(J3946&gt;300,1,0)</f>
        <v/>
      </c>
      <c r="O3946" s="25">
        <f>IF(J3946&gt;600,1,0)</f>
        <v/>
      </c>
      <c r="P3946" s="25">
        <f>IF(H3946&gt;0,J3946,"")</f>
        <v/>
      </c>
      <c r="Q3946" s="25">
        <f>TEXT(A3946,"YYYY-MM-DD HH")</f>
        <v/>
      </c>
      <c r="R3946" s="25">
        <f>COUNTIF($Q$2:$Q$5295,Q3946)</f>
        <v/>
      </c>
      <c r="S3946" s="25">
        <f>IF(R3946&lt;=2,"1-2",IF(R3946&lt;=5,"3-5",IF(R3946&lt;=10,"6-10","11+")))</f>
        <v/>
      </c>
    </row>
    <row r="3947">
      <c r="A3947" s="39" t="n">
        <v>46218.23434027778</v>
      </c>
      <c r="B3947" s="25">
        <f>TEXT(A3947,"YYYY-MM")</f>
        <v/>
      </c>
      <c r="C3947" s="25">
        <f>TEXT(A3947,"MMM-YYYY")</f>
        <v/>
      </c>
      <c r="D3947" s="40">
        <f>INT(A3947)-WEEKDAY(A3947,2)+1</f>
        <v/>
      </c>
      <c r="E3947" s="25" t="inlineStr">
        <is>
          <t>aghosh</t>
        </is>
      </c>
      <c r="F3947" s="25" t="n">
        <v>132257</v>
      </c>
      <c r="G3947" s="25" t="n">
        <v>2</v>
      </c>
      <c r="H3947" s="25" t="n">
        <v>14</v>
      </c>
      <c r="I3947" s="25" t="inlineStr">
        <is>
          <t>1 minute(s) and 32 second(s)</t>
        </is>
      </c>
      <c r="J3947" s="25">
        <f>IFERROR(VALUE(TRIM(LEFT(I3947,FIND("minute",I3947)-1)))*60,0)+IFERROR(VALUE(SUBSTITUTE(MID(I3947,IFERROR(FIND("and",I3947)+3,1),20),"second(s)","")),0)</f>
        <v/>
      </c>
      <c r="K3947" s="41">
        <f>J3947/60</f>
        <v/>
      </c>
      <c r="L3947" s="41">
        <f>IFERROR(J3947/H3947,"")</f>
        <v/>
      </c>
      <c r="M3947" s="25" t="inlineStr">
        <is>
          <t>2.5.12</t>
        </is>
      </c>
      <c r="N3947" s="25">
        <f>IF(J3947&gt;300,1,0)</f>
        <v/>
      </c>
      <c r="O3947" s="25">
        <f>IF(J3947&gt;600,1,0)</f>
        <v/>
      </c>
      <c r="P3947" s="25">
        <f>IF(H3947&gt;0,J3947,"")</f>
        <v/>
      </c>
      <c r="Q3947" s="25">
        <f>TEXT(A3947,"YYYY-MM-DD HH")</f>
        <v/>
      </c>
      <c r="R3947" s="25">
        <f>COUNTIF($Q$2:$Q$5295,Q3947)</f>
        <v/>
      </c>
      <c r="S3947" s="25">
        <f>IF(R3947&lt;=2,"1-2",IF(R3947&lt;=5,"3-5",IF(R3947&lt;=10,"6-10","11+")))</f>
        <v/>
      </c>
    </row>
    <row r="3948">
      <c r="A3948" s="39" t="n">
        <v>46218.25061342592</v>
      </c>
      <c r="B3948" s="25">
        <f>TEXT(A3948,"YYYY-MM")</f>
        <v/>
      </c>
      <c r="C3948" s="25">
        <f>TEXT(A3948,"MMM-YYYY")</f>
        <v/>
      </c>
      <c r="D3948" s="40">
        <f>INT(A3948)-WEEKDAY(A3948,2)+1</f>
        <v/>
      </c>
      <c r="E3948" s="25" t="inlineStr">
        <is>
          <t>aupadhayay</t>
        </is>
      </c>
      <c r="F3948" s="25" t="n">
        <v>127967</v>
      </c>
      <c r="G3948" s="25" t="n">
        <v>2</v>
      </c>
      <c r="H3948" s="25" t="n">
        <v>14</v>
      </c>
      <c r="I3948" s="25" t="inlineStr">
        <is>
          <t>2 minute(s) and 4 second(s)</t>
        </is>
      </c>
      <c r="J3948" s="25">
        <f>IFERROR(VALUE(TRIM(LEFT(I3948,FIND("minute",I3948)-1)))*60,0)+IFERROR(VALUE(SUBSTITUTE(MID(I3948,IFERROR(FIND("and",I3948)+3,1),20),"second(s)","")),0)</f>
        <v/>
      </c>
      <c r="K3948" s="41">
        <f>J3948/60</f>
        <v/>
      </c>
      <c r="L3948" s="41">
        <f>IFERROR(J3948/H3948,"")</f>
        <v/>
      </c>
      <c r="M3948" s="25" t="inlineStr">
        <is>
          <t>2.5.12</t>
        </is>
      </c>
      <c r="N3948" s="25">
        <f>IF(J3948&gt;300,1,0)</f>
        <v/>
      </c>
      <c r="O3948" s="25">
        <f>IF(J3948&gt;600,1,0)</f>
        <v/>
      </c>
      <c r="P3948" s="25">
        <f>IF(H3948&gt;0,J3948,"")</f>
        <v/>
      </c>
      <c r="Q3948" s="25">
        <f>TEXT(A3948,"YYYY-MM-DD HH")</f>
        <v/>
      </c>
      <c r="R3948" s="25">
        <f>COUNTIF($Q$2:$Q$5295,Q3948)</f>
        <v/>
      </c>
      <c r="S3948" s="25">
        <f>IF(R3948&lt;=2,"1-2",IF(R3948&lt;=5,"3-5",IF(R3948&lt;=10,"6-10","11+")))</f>
        <v/>
      </c>
    </row>
    <row r="3949">
      <c r="A3949" s="39" t="n">
        <v>46218.25565972222</v>
      </c>
      <c r="B3949" s="25">
        <f>TEXT(A3949,"YYYY-MM")</f>
        <v/>
      </c>
      <c r="C3949" s="25">
        <f>TEXT(A3949,"MMM-YYYY")</f>
        <v/>
      </c>
      <c r="D3949" s="40">
        <f>INT(A3949)-WEEKDAY(A3949,2)+1</f>
        <v/>
      </c>
      <c r="E3949" s="25" t="inlineStr">
        <is>
          <t>ns</t>
        </is>
      </c>
      <c r="F3949" s="25" t="n">
        <v>131895</v>
      </c>
      <c r="G3949" s="25" t="n">
        <v>2</v>
      </c>
      <c r="H3949" s="25" t="n">
        <v>10</v>
      </c>
      <c r="I3949" s="25" t="inlineStr">
        <is>
          <t>1 minute(s) and 41 second(s)</t>
        </is>
      </c>
      <c r="J3949" s="25">
        <f>IFERROR(VALUE(TRIM(LEFT(I3949,FIND("minute",I3949)-1)))*60,0)+IFERROR(VALUE(SUBSTITUTE(MID(I3949,IFERROR(FIND("and",I3949)+3,1),20),"second(s)","")),0)</f>
        <v/>
      </c>
      <c r="K3949" s="41">
        <f>J3949/60</f>
        <v/>
      </c>
      <c r="L3949" s="41">
        <f>IFERROR(J3949/H3949,"")</f>
        <v/>
      </c>
      <c r="M3949" s="25" t="inlineStr">
        <is>
          <t>2.5.12</t>
        </is>
      </c>
      <c r="N3949" s="25">
        <f>IF(J3949&gt;300,1,0)</f>
        <v/>
      </c>
      <c r="O3949" s="25">
        <f>IF(J3949&gt;600,1,0)</f>
        <v/>
      </c>
      <c r="P3949" s="25">
        <f>IF(H3949&gt;0,J3949,"")</f>
        <v/>
      </c>
      <c r="Q3949" s="25">
        <f>TEXT(A3949,"YYYY-MM-DD HH")</f>
        <v/>
      </c>
      <c r="R3949" s="25">
        <f>COUNTIF($Q$2:$Q$5295,Q3949)</f>
        <v/>
      </c>
      <c r="S3949" s="25">
        <f>IF(R3949&lt;=2,"1-2",IF(R3949&lt;=5,"3-5",IF(R3949&lt;=10,"6-10","11+")))</f>
        <v/>
      </c>
    </row>
    <row r="3950">
      <c r="A3950" s="39" t="n">
        <v>46218.27246527778</v>
      </c>
      <c r="B3950" s="25">
        <f>TEXT(A3950,"YYYY-MM")</f>
        <v/>
      </c>
      <c r="C3950" s="25">
        <f>TEXT(A3950,"MMM-YYYY")</f>
        <v/>
      </c>
      <c r="D3950" s="40">
        <f>INT(A3950)-WEEKDAY(A3950,2)+1</f>
        <v/>
      </c>
      <c r="E3950" s="25" t="inlineStr">
        <is>
          <t>shasikha</t>
        </is>
      </c>
      <c r="F3950" s="25" t="n">
        <v>130602</v>
      </c>
      <c r="G3950" s="25" t="n">
        <v>2</v>
      </c>
      <c r="H3950" s="25" t="n">
        <v>8</v>
      </c>
      <c r="I3950" s="25" t="inlineStr">
        <is>
          <t>1 minute(s) and 1 second(s)</t>
        </is>
      </c>
      <c r="J3950" s="25">
        <f>IFERROR(VALUE(TRIM(LEFT(I3950,FIND("minute",I3950)-1)))*60,0)+IFERROR(VALUE(SUBSTITUTE(MID(I3950,IFERROR(FIND("and",I3950)+3,1),20),"second(s)","")),0)</f>
        <v/>
      </c>
      <c r="K3950" s="41">
        <f>J3950/60</f>
        <v/>
      </c>
      <c r="L3950" s="41">
        <f>IFERROR(J3950/H3950,"")</f>
        <v/>
      </c>
      <c r="M3950" s="25" t="inlineStr">
        <is>
          <t>2.5.12</t>
        </is>
      </c>
      <c r="N3950" s="25">
        <f>IF(J3950&gt;300,1,0)</f>
        <v/>
      </c>
      <c r="O3950" s="25">
        <f>IF(J3950&gt;600,1,0)</f>
        <v/>
      </c>
      <c r="P3950" s="25">
        <f>IF(H3950&gt;0,J3950,"")</f>
        <v/>
      </c>
      <c r="Q3950" s="25">
        <f>TEXT(A3950,"YYYY-MM-DD HH")</f>
        <v/>
      </c>
      <c r="R3950" s="25">
        <f>COUNTIF($Q$2:$Q$5295,Q3950)</f>
        <v/>
      </c>
      <c r="S3950" s="25">
        <f>IF(R3950&lt;=2,"1-2",IF(R3950&lt;=5,"3-5",IF(R3950&lt;=10,"6-10","11+")))</f>
        <v/>
      </c>
    </row>
    <row r="3951">
      <c r="A3951" s="39" t="n">
        <v>46218.27434027778</v>
      </c>
      <c r="B3951" s="25">
        <f>TEXT(A3951,"YYYY-MM")</f>
        <v/>
      </c>
      <c r="C3951" s="25">
        <f>TEXT(A3951,"MMM-YYYY")</f>
        <v/>
      </c>
      <c r="D3951" s="40">
        <f>INT(A3951)-WEEKDAY(A3951,2)+1</f>
        <v/>
      </c>
      <c r="E3951" s="25" t="inlineStr">
        <is>
          <t>shasikha</t>
        </is>
      </c>
      <c r="F3951" s="25" t="n">
        <v>130602</v>
      </c>
      <c r="G3951" s="25" t="n">
        <v>2</v>
      </c>
      <c r="H3951" s="25" t="n">
        <v>8</v>
      </c>
      <c r="I3951" s="25" t="inlineStr">
        <is>
          <t>58 second(s)</t>
        </is>
      </c>
      <c r="J3951" s="25">
        <f>IFERROR(VALUE(TRIM(LEFT(I3951,FIND("minute",I3951)-1)))*60,0)+IFERROR(VALUE(SUBSTITUTE(MID(I3951,IFERROR(FIND("and",I3951)+3,1),20),"second(s)","")),0)</f>
        <v/>
      </c>
      <c r="K3951" s="41">
        <f>J3951/60</f>
        <v/>
      </c>
      <c r="L3951" s="41">
        <f>IFERROR(J3951/H3951,"")</f>
        <v/>
      </c>
      <c r="M3951" s="25" t="inlineStr">
        <is>
          <t>2.5.12</t>
        </is>
      </c>
      <c r="N3951" s="25">
        <f>IF(J3951&gt;300,1,0)</f>
        <v/>
      </c>
      <c r="O3951" s="25">
        <f>IF(J3951&gt;600,1,0)</f>
        <v/>
      </c>
      <c r="P3951" s="25">
        <f>IF(H3951&gt;0,J3951,"")</f>
        <v/>
      </c>
      <c r="Q3951" s="25">
        <f>TEXT(A3951,"YYYY-MM-DD HH")</f>
        <v/>
      </c>
      <c r="R3951" s="25">
        <f>COUNTIF($Q$2:$Q$5295,Q3951)</f>
        <v/>
      </c>
      <c r="S3951" s="25">
        <f>IF(R3951&lt;=2,"1-2",IF(R3951&lt;=5,"3-5",IF(R3951&lt;=10,"6-10","11+")))</f>
        <v/>
      </c>
    </row>
    <row r="3952">
      <c r="A3952" s="39" t="n">
        <v>46218.27534722222</v>
      </c>
      <c r="B3952" s="25">
        <f>TEXT(A3952,"YYYY-MM")</f>
        <v/>
      </c>
      <c r="C3952" s="25">
        <f>TEXT(A3952,"MMM-YYYY")</f>
        <v/>
      </c>
      <c r="D3952" s="40">
        <f>INT(A3952)-WEEKDAY(A3952,2)+1</f>
        <v/>
      </c>
      <c r="E3952" s="25" t="inlineStr">
        <is>
          <t>ssneha</t>
        </is>
      </c>
      <c r="F3952" s="25" t="n">
        <v>132099</v>
      </c>
      <c r="G3952" s="25" t="n">
        <v>1</v>
      </c>
      <c r="H3952" s="25" t="n">
        <v>5</v>
      </c>
      <c r="I3952" s="25" t="inlineStr">
        <is>
          <t>32 second(s)</t>
        </is>
      </c>
      <c r="J3952" s="25">
        <f>IFERROR(VALUE(TRIM(LEFT(I3952,FIND("minute",I3952)-1)))*60,0)+IFERROR(VALUE(SUBSTITUTE(MID(I3952,IFERROR(FIND("and",I3952)+3,1),20),"second(s)","")),0)</f>
        <v/>
      </c>
      <c r="K3952" s="41">
        <f>J3952/60</f>
        <v/>
      </c>
      <c r="L3952" s="41">
        <f>IFERROR(J3952/H3952,"")</f>
        <v/>
      </c>
      <c r="M3952" s="25" t="inlineStr">
        <is>
          <t>2.5.12</t>
        </is>
      </c>
      <c r="N3952" s="25">
        <f>IF(J3952&gt;300,1,0)</f>
        <v/>
      </c>
      <c r="O3952" s="25">
        <f>IF(J3952&gt;600,1,0)</f>
        <v/>
      </c>
      <c r="P3952" s="25">
        <f>IF(H3952&gt;0,J3952,"")</f>
        <v/>
      </c>
      <c r="Q3952" s="25">
        <f>TEXT(A3952,"YYYY-MM-DD HH")</f>
        <v/>
      </c>
      <c r="R3952" s="25">
        <f>COUNTIF($Q$2:$Q$5295,Q3952)</f>
        <v/>
      </c>
      <c r="S3952" s="25">
        <f>IF(R3952&lt;=2,"1-2",IF(R3952&lt;=5,"3-5",IF(R3952&lt;=10,"6-10","11+")))</f>
        <v/>
      </c>
    </row>
    <row r="3953">
      <c r="A3953" s="39" t="n">
        <v>46218.29363425926</v>
      </c>
      <c r="B3953" s="25">
        <f>TEXT(A3953,"YYYY-MM")</f>
        <v/>
      </c>
      <c r="C3953" s="25">
        <f>TEXT(A3953,"MMM-YYYY")</f>
        <v/>
      </c>
      <c r="D3953" s="40">
        <f>INT(A3953)-WEEKDAY(A3953,2)+1</f>
        <v/>
      </c>
      <c r="E3953" s="25" t="inlineStr">
        <is>
          <t>ssrinivasan</t>
        </is>
      </c>
      <c r="F3953" s="25" t="n">
        <v>132842</v>
      </c>
      <c r="G3953" s="25" t="n">
        <v>2</v>
      </c>
      <c r="H3953" s="25" t="n">
        <v>10</v>
      </c>
      <c r="I3953" s="25" t="inlineStr">
        <is>
          <t>1 minute(s) and 44 second(s)</t>
        </is>
      </c>
      <c r="J3953" s="25">
        <f>IFERROR(VALUE(TRIM(LEFT(I3953,FIND("minute",I3953)-1)))*60,0)+IFERROR(VALUE(SUBSTITUTE(MID(I3953,IFERROR(FIND("and",I3953)+3,1),20),"second(s)","")),0)</f>
        <v/>
      </c>
      <c r="K3953" s="41">
        <f>J3953/60</f>
        <v/>
      </c>
      <c r="L3953" s="41">
        <f>IFERROR(J3953/H3953,"")</f>
        <v/>
      </c>
      <c r="M3953" s="25" t="inlineStr">
        <is>
          <t>2.5.12</t>
        </is>
      </c>
      <c r="N3953" s="25">
        <f>IF(J3953&gt;300,1,0)</f>
        <v/>
      </c>
      <c r="O3953" s="25">
        <f>IF(J3953&gt;600,1,0)</f>
        <v/>
      </c>
      <c r="P3953" s="25">
        <f>IF(H3953&gt;0,J3953,"")</f>
        <v/>
      </c>
      <c r="Q3953" s="25">
        <f>TEXT(A3953,"YYYY-MM-DD HH")</f>
        <v/>
      </c>
      <c r="R3953" s="25">
        <f>COUNTIF($Q$2:$Q$5295,Q3953)</f>
        <v/>
      </c>
      <c r="S3953" s="25">
        <f>IF(R3953&lt;=2,"1-2",IF(R3953&lt;=5,"3-5",IF(R3953&lt;=10,"6-10","11+")))</f>
        <v/>
      </c>
    </row>
    <row r="3954">
      <c r="A3954" s="39" t="n">
        <v>46218.30019675926</v>
      </c>
      <c r="B3954" s="25">
        <f>TEXT(A3954,"YYYY-MM")</f>
        <v/>
      </c>
      <c r="C3954" s="25">
        <f>TEXT(A3954,"MMM-YYYY")</f>
        <v/>
      </c>
      <c r="D3954" s="40">
        <f>INT(A3954)-WEEKDAY(A3954,2)+1</f>
        <v/>
      </c>
      <c r="E3954" s="25" t="inlineStr">
        <is>
          <t>apriyadarshi</t>
        </is>
      </c>
      <c r="F3954" s="25" t="n">
        <v>131983</v>
      </c>
      <c r="G3954" s="25" t="n">
        <v>3</v>
      </c>
      <c r="H3954" s="25" t="n">
        <v>11</v>
      </c>
      <c r="I3954" s="25" t="inlineStr">
        <is>
          <t>1 minute(s) and 35 second(s)</t>
        </is>
      </c>
      <c r="J3954" s="25">
        <f>IFERROR(VALUE(TRIM(LEFT(I3954,FIND("minute",I3954)-1)))*60,0)+IFERROR(VALUE(SUBSTITUTE(MID(I3954,IFERROR(FIND("and",I3954)+3,1),20),"second(s)","")),0)</f>
        <v/>
      </c>
      <c r="K3954" s="41">
        <f>J3954/60</f>
        <v/>
      </c>
      <c r="L3954" s="41">
        <f>IFERROR(J3954/H3954,"")</f>
        <v/>
      </c>
      <c r="M3954" s="25" t="inlineStr">
        <is>
          <t>2.5.12</t>
        </is>
      </c>
      <c r="N3954" s="25">
        <f>IF(J3954&gt;300,1,0)</f>
        <v/>
      </c>
      <c r="O3954" s="25">
        <f>IF(J3954&gt;600,1,0)</f>
        <v/>
      </c>
      <c r="P3954" s="25">
        <f>IF(H3954&gt;0,J3954,"")</f>
        <v/>
      </c>
      <c r="Q3954" s="25">
        <f>TEXT(A3954,"YYYY-MM-DD HH")</f>
        <v/>
      </c>
      <c r="R3954" s="25">
        <f>COUNTIF($Q$2:$Q$5295,Q3954)</f>
        <v/>
      </c>
      <c r="S3954" s="25">
        <f>IF(R3954&lt;=2,"1-2",IF(R3954&lt;=5,"3-5",IF(R3954&lt;=10,"6-10","11+")))</f>
        <v/>
      </c>
    </row>
    <row r="3955">
      <c r="A3955" s="39" t="n">
        <v>46218.30407407408</v>
      </c>
      <c r="B3955" s="25">
        <f>TEXT(A3955,"YYYY-MM")</f>
        <v/>
      </c>
      <c r="C3955" s="25">
        <f>TEXT(A3955,"MMM-YYYY")</f>
        <v/>
      </c>
      <c r="D3955" s="40">
        <f>INT(A3955)-WEEKDAY(A3955,2)+1</f>
        <v/>
      </c>
      <c r="E3955" s="25" t="inlineStr">
        <is>
          <t>aghosh</t>
        </is>
      </c>
      <c r="F3955" s="25" t="n">
        <v>131577</v>
      </c>
      <c r="G3955" s="25" t="n">
        <v>3</v>
      </c>
      <c r="H3955" s="25" t="n">
        <v>7</v>
      </c>
      <c r="I3955" s="25" t="inlineStr">
        <is>
          <t>31 second(s)</t>
        </is>
      </c>
      <c r="J3955" s="25">
        <f>IFERROR(VALUE(TRIM(LEFT(I3955,FIND("minute",I3955)-1)))*60,0)+IFERROR(VALUE(SUBSTITUTE(MID(I3955,IFERROR(FIND("and",I3955)+3,1),20),"second(s)","")),0)</f>
        <v/>
      </c>
      <c r="K3955" s="41">
        <f>J3955/60</f>
        <v/>
      </c>
      <c r="L3955" s="41">
        <f>IFERROR(J3955/H3955,"")</f>
        <v/>
      </c>
      <c r="M3955" s="25" t="inlineStr">
        <is>
          <t>2.5.12</t>
        </is>
      </c>
      <c r="N3955" s="25">
        <f>IF(J3955&gt;300,1,0)</f>
        <v/>
      </c>
      <c r="O3955" s="25">
        <f>IF(J3955&gt;600,1,0)</f>
        <v/>
      </c>
      <c r="P3955" s="25">
        <f>IF(H3955&gt;0,J3955,"")</f>
        <v/>
      </c>
      <c r="Q3955" s="25">
        <f>TEXT(A3955,"YYYY-MM-DD HH")</f>
        <v/>
      </c>
      <c r="R3955" s="25">
        <f>COUNTIF($Q$2:$Q$5295,Q3955)</f>
        <v/>
      </c>
      <c r="S3955" s="25">
        <f>IF(R3955&lt;=2,"1-2",IF(R3955&lt;=5,"3-5",IF(R3955&lt;=10,"6-10","11+")))</f>
        <v/>
      </c>
    </row>
    <row r="3956">
      <c r="A3956" s="39" t="n">
        <v>46218.30626157407</v>
      </c>
      <c r="B3956" s="25">
        <f>TEXT(A3956,"YYYY-MM")</f>
        <v/>
      </c>
      <c r="C3956" s="25">
        <f>TEXT(A3956,"MMM-YYYY")</f>
        <v/>
      </c>
      <c r="D3956" s="40">
        <f>INT(A3956)-WEEKDAY(A3956,2)+1</f>
        <v/>
      </c>
      <c r="E3956" s="25" t="inlineStr">
        <is>
          <t>sthomas</t>
        </is>
      </c>
      <c r="F3956" s="25" t="n">
        <v>129765</v>
      </c>
      <c r="G3956" s="25" t="n">
        <v>3</v>
      </c>
      <c r="H3956" s="25" t="n">
        <v>19</v>
      </c>
      <c r="I3956" s="25" t="inlineStr">
        <is>
          <t>2 minute(s) and 45 second(s)</t>
        </is>
      </c>
      <c r="J3956" s="25">
        <f>IFERROR(VALUE(TRIM(LEFT(I3956,FIND("minute",I3956)-1)))*60,0)+IFERROR(VALUE(SUBSTITUTE(MID(I3956,IFERROR(FIND("and",I3956)+3,1),20),"second(s)","")),0)</f>
        <v/>
      </c>
      <c r="K3956" s="41">
        <f>J3956/60</f>
        <v/>
      </c>
      <c r="L3956" s="41">
        <f>IFERROR(J3956/H3956,"")</f>
        <v/>
      </c>
      <c r="M3956" s="25" t="inlineStr">
        <is>
          <t>2.5.12</t>
        </is>
      </c>
      <c r="N3956" s="25">
        <f>IF(J3956&gt;300,1,0)</f>
        <v/>
      </c>
      <c r="O3956" s="25">
        <f>IF(J3956&gt;600,1,0)</f>
        <v/>
      </c>
      <c r="P3956" s="25">
        <f>IF(H3956&gt;0,J3956,"")</f>
        <v/>
      </c>
      <c r="Q3956" s="25">
        <f>TEXT(A3956,"YYYY-MM-DD HH")</f>
        <v/>
      </c>
      <c r="R3956" s="25">
        <f>COUNTIF($Q$2:$Q$5295,Q3956)</f>
        <v/>
      </c>
      <c r="S3956" s="25">
        <f>IF(R3956&lt;=2,"1-2",IF(R3956&lt;=5,"3-5",IF(R3956&lt;=10,"6-10","11+")))</f>
        <v/>
      </c>
    </row>
    <row r="3957">
      <c r="A3957" s="39" t="n">
        <v>46218.3084375</v>
      </c>
      <c r="B3957" s="25">
        <f>TEXT(A3957,"YYYY-MM")</f>
        <v/>
      </c>
      <c r="C3957" s="25">
        <f>TEXT(A3957,"MMM-YYYY")</f>
        <v/>
      </c>
      <c r="D3957" s="40">
        <f>INT(A3957)-WEEKDAY(A3957,2)+1</f>
        <v/>
      </c>
      <c r="E3957" s="25" t="inlineStr">
        <is>
          <t>adey</t>
        </is>
      </c>
      <c r="F3957" s="25" t="n">
        <v>132947</v>
      </c>
      <c r="G3957" s="25" t="n">
        <v>4</v>
      </c>
      <c r="H3957" s="25" t="n">
        <v>18</v>
      </c>
      <c r="I3957" s="25" t="inlineStr">
        <is>
          <t>2 minute(s) and 45 second(s)</t>
        </is>
      </c>
      <c r="J3957" s="25">
        <f>IFERROR(VALUE(TRIM(LEFT(I3957,FIND("minute",I3957)-1)))*60,0)+IFERROR(VALUE(SUBSTITUTE(MID(I3957,IFERROR(FIND("and",I3957)+3,1),20),"second(s)","")),0)</f>
        <v/>
      </c>
      <c r="K3957" s="41">
        <f>J3957/60</f>
        <v/>
      </c>
      <c r="L3957" s="41">
        <f>IFERROR(J3957/H3957,"")</f>
        <v/>
      </c>
      <c r="M3957" s="25" t="inlineStr">
        <is>
          <t>2.5.12</t>
        </is>
      </c>
      <c r="N3957" s="25">
        <f>IF(J3957&gt;300,1,0)</f>
        <v/>
      </c>
      <c r="O3957" s="25">
        <f>IF(J3957&gt;600,1,0)</f>
        <v/>
      </c>
      <c r="P3957" s="25">
        <f>IF(H3957&gt;0,J3957,"")</f>
        <v/>
      </c>
      <c r="Q3957" s="25">
        <f>TEXT(A3957,"YYYY-MM-DD HH")</f>
        <v/>
      </c>
      <c r="R3957" s="25">
        <f>COUNTIF($Q$2:$Q$5295,Q3957)</f>
        <v/>
      </c>
      <c r="S3957" s="25">
        <f>IF(R3957&lt;=2,"1-2",IF(R3957&lt;=5,"3-5",IF(R3957&lt;=10,"6-10","11+")))</f>
        <v/>
      </c>
    </row>
    <row r="3958">
      <c r="A3958" s="39" t="n">
        <v>46218.31568287037</v>
      </c>
      <c r="B3958" s="25">
        <f>TEXT(A3958,"YYYY-MM")</f>
        <v/>
      </c>
      <c r="C3958" s="25">
        <f>TEXT(A3958,"MMM-YYYY")</f>
        <v/>
      </c>
      <c r="D3958" s="40">
        <f>INT(A3958)-WEEKDAY(A3958,2)+1</f>
        <v/>
      </c>
      <c r="E3958" s="25" t="inlineStr">
        <is>
          <t>csaha</t>
        </is>
      </c>
      <c r="F3958" s="25" t="n">
        <v>130430</v>
      </c>
      <c r="G3958" s="25" t="n">
        <v>4</v>
      </c>
      <c r="H3958" s="25" t="n">
        <v>12</v>
      </c>
      <c r="I3958" s="25" t="inlineStr">
        <is>
          <t>1 minute(s) and 16 second(s)</t>
        </is>
      </c>
      <c r="J3958" s="25">
        <f>IFERROR(VALUE(TRIM(LEFT(I3958,FIND("minute",I3958)-1)))*60,0)+IFERROR(VALUE(SUBSTITUTE(MID(I3958,IFERROR(FIND("and",I3958)+3,1),20),"second(s)","")),0)</f>
        <v/>
      </c>
      <c r="K3958" s="41">
        <f>J3958/60</f>
        <v/>
      </c>
      <c r="L3958" s="41">
        <f>IFERROR(J3958/H3958,"")</f>
        <v/>
      </c>
      <c r="M3958" s="25" t="inlineStr">
        <is>
          <t>2.5.12</t>
        </is>
      </c>
      <c r="N3958" s="25">
        <f>IF(J3958&gt;300,1,0)</f>
        <v/>
      </c>
      <c r="O3958" s="25">
        <f>IF(J3958&gt;600,1,0)</f>
        <v/>
      </c>
      <c r="P3958" s="25">
        <f>IF(H3958&gt;0,J3958,"")</f>
        <v/>
      </c>
      <c r="Q3958" s="25">
        <f>TEXT(A3958,"YYYY-MM-DD HH")</f>
        <v/>
      </c>
      <c r="R3958" s="25">
        <f>COUNTIF($Q$2:$Q$5295,Q3958)</f>
        <v/>
      </c>
      <c r="S3958" s="25">
        <f>IF(R3958&lt;=2,"1-2",IF(R3958&lt;=5,"3-5",IF(R3958&lt;=10,"6-10","11+")))</f>
        <v/>
      </c>
    </row>
    <row r="3959">
      <c r="A3959" s="39" t="n">
        <v>46218.32826388889</v>
      </c>
      <c r="B3959" s="25">
        <f>TEXT(A3959,"YYYY-MM")</f>
        <v/>
      </c>
      <c r="C3959" s="25">
        <f>TEXT(A3959,"MMM-YYYY")</f>
        <v/>
      </c>
      <c r="D3959" s="40">
        <f>INT(A3959)-WEEKDAY(A3959,2)+1</f>
        <v/>
      </c>
      <c r="E3959" s="25" t="inlineStr">
        <is>
          <t>aupadhayay</t>
        </is>
      </c>
      <c r="F3959" s="25" t="n">
        <v>132875</v>
      </c>
      <c r="G3959" s="25" t="n">
        <v>2</v>
      </c>
      <c r="H3959" s="25" t="n">
        <v>10</v>
      </c>
      <c r="I3959" s="25" t="inlineStr">
        <is>
          <t>1 minute(s) and 9 second(s)</t>
        </is>
      </c>
      <c r="J3959" s="25">
        <f>IFERROR(VALUE(TRIM(LEFT(I3959,FIND("minute",I3959)-1)))*60,0)+IFERROR(VALUE(SUBSTITUTE(MID(I3959,IFERROR(FIND("and",I3959)+3,1),20),"second(s)","")),0)</f>
        <v/>
      </c>
      <c r="K3959" s="41">
        <f>J3959/60</f>
        <v/>
      </c>
      <c r="L3959" s="41">
        <f>IFERROR(J3959/H3959,"")</f>
        <v/>
      </c>
      <c r="M3959" s="25" t="inlineStr">
        <is>
          <t>2.5.12</t>
        </is>
      </c>
      <c r="N3959" s="25">
        <f>IF(J3959&gt;300,1,0)</f>
        <v/>
      </c>
      <c r="O3959" s="25">
        <f>IF(J3959&gt;600,1,0)</f>
        <v/>
      </c>
      <c r="P3959" s="25">
        <f>IF(H3959&gt;0,J3959,"")</f>
        <v/>
      </c>
      <c r="Q3959" s="25">
        <f>TEXT(A3959,"YYYY-MM-DD HH")</f>
        <v/>
      </c>
      <c r="R3959" s="25">
        <f>COUNTIF($Q$2:$Q$5295,Q3959)</f>
        <v/>
      </c>
      <c r="S3959" s="25">
        <f>IF(R3959&lt;=2,"1-2",IF(R3959&lt;=5,"3-5",IF(R3959&lt;=10,"6-10","11+")))</f>
        <v/>
      </c>
    </row>
    <row r="3960">
      <c r="A3960" s="39" t="n">
        <v>46218.32927083333</v>
      </c>
      <c r="B3960" s="25">
        <f>TEXT(A3960,"YYYY-MM")</f>
        <v/>
      </c>
      <c r="C3960" s="25">
        <f>TEXT(A3960,"MMM-YYYY")</f>
        <v/>
      </c>
      <c r="D3960" s="40">
        <f>INT(A3960)-WEEKDAY(A3960,2)+1</f>
        <v/>
      </c>
      <c r="E3960" s="25" t="inlineStr">
        <is>
          <t>hsindwani</t>
        </is>
      </c>
      <c r="F3960" s="25" t="n">
        <v>130264</v>
      </c>
      <c r="G3960" s="25" t="n">
        <v>1</v>
      </c>
      <c r="H3960" s="25" t="n">
        <v>8</v>
      </c>
      <c r="I3960" s="25" t="inlineStr">
        <is>
          <t>41 second(s)</t>
        </is>
      </c>
      <c r="J3960" s="25">
        <f>IFERROR(VALUE(TRIM(LEFT(I3960,FIND("minute",I3960)-1)))*60,0)+IFERROR(VALUE(SUBSTITUTE(MID(I3960,IFERROR(FIND("and",I3960)+3,1),20),"second(s)","")),0)</f>
        <v/>
      </c>
      <c r="K3960" s="41">
        <f>J3960/60</f>
        <v/>
      </c>
      <c r="L3960" s="41">
        <f>IFERROR(J3960/H3960,"")</f>
        <v/>
      </c>
      <c r="M3960" s="25" t="inlineStr">
        <is>
          <t>2.5.12</t>
        </is>
      </c>
      <c r="N3960" s="25">
        <f>IF(J3960&gt;300,1,0)</f>
        <v/>
      </c>
      <c r="O3960" s="25">
        <f>IF(J3960&gt;600,1,0)</f>
        <v/>
      </c>
      <c r="P3960" s="25">
        <f>IF(H3960&gt;0,J3960,"")</f>
        <v/>
      </c>
      <c r="Q3960" s="25">
        <f>TEXT(A3960,"YYYY-MM-DD HH")</f>
        <v/>
      </c>
      <c r="R3960" s="25">
        <f>COUNTIF($Q$2:$Q$5295,Q3960)</f>
        <v/>
      </c>
      <c r="S3960" s="25">
        <f>IF(R3960&lt;=2,"1-2",IF(R3960&lt;=5,"3-5",IF(R3960&lt;=10,"6-10","11+")))</f>
        <v/>
      </c>
    </row>
    <row r="3961">
      <c r="A3961" s="39" t="n">
        <v>46218.32957175926</v>
      </c>
      <c r="B3961" s="25">
        <f>TEXT(A3961,"YYYY-MM")</f>
        <v/>
      </c>
      <c r="C3961" s="25">
        <f>TEXT(A3961,"MMM-YYYY")</f>
        <v/>
      </c>
      <c r="D3961" s="40">
        <f>INT(A3961)-WEEKDAY(A3961,2)+1</f>
        <v/>
      </c>
      <c r="E3961" s="25" t="inlineStr">
        <is>
          <t>npriya</t>
        </is>
      </c>
      <c r="F3961" s="25" t="n">
        <v>131054</v>
      </c>
      <c r="G3961" s="25" t="n">
        <v>2</v>
      </c>
      <c r="H3961" s="25" t="n">
        <v>10</v>
      </c>
      <c r="I3961" s="25" t="inlineStr">
        <is>
          <t>1 minute(s) and 23 second(s)</t>
        </is>
      </c>
      <c r="J3961" s="25">
        <f>IFERROR(VALUE(TRIM(LEFT(I3961,FIND("minute",I3961)-1)))*60,0)+IFERROR(VALUE(SUBSTITUTE(MID(I3961,IFERROR(FIND("and",I3961)+3,1),20),"second(s)","")),0)</f>
        <v/>
      </c>
      <c r="K3961" s="41">
        <f>J3961/60</f>
        <v/>
      </c>
      <c r="L3961" s="41">
        <f>IFERROR(J3961/H3961,"")</f>
        <v/>
      </c>
      <c r="M3961" s="25" t="inlineStr">
        <is>
          <t>2.5.12</t>
        </is>
      </c>
      <c r="N3961" s="25">
        <f>IF(J3961&gt;300,1,0)</f>
        <v/>
      </c>
      <c r="O3961" s="25">
        <f>IF(J3961&gt;600,1,0)</f>
        <v/>
      </c>
      <c r="P3961" s="25">
        <f>IF(H3961&gt;0,J3961,"")</f>
        <v/>
      </c>
      <c r="Q3961" s="25">
        <f>TEXT(A3961,"YYYY-MM-DD HH")</f>
        <v/>
      </c>
      <c r="R3961" s="25">
        <f>COUNTIF($Q$2:$Q$5295,Q3961)</f>
        <v/>
      </c>
      <c r="S3961" s="25">
        <f>IF(R3961&lt;=2,"1-2",IF(R3961&lt;=5,"3-5",IF(R3961&lt;=10,"6-10","11+")))</f>
        <v/>
      </c>
    </row>
    <row r="3962">
      <c r="A3962" s="39" t="n">
        <v>46218.33987268519</v>
      </c>
      <c r="B3962" s="25">
        <f>TEXT(A3962,"YYYY-MM")</f>
        <v/>
      </c>
      <c r="C3962" s="25">
        <f>TEXT(A3962,"MMM-YYYY")</f>
        <v/>
      </c>
      <c r="D3962" s="40">
        <f>INT(A3962)-WEEKDAY(A3962,2)+1</f>
        <v/>
      </c>
      <c r="E3962" s="25" t="inlineStr">
        <is>
          <t>ns</t>
        </is>
      </c>
      <c r="F3962" s="25" t="n">
        <v>130426</v>
      </c>
      <c r="G3962" s="25" t="n">
        <v>2</v>
      </c>
      <c r="H3962" s="25" t="n">
        <v>10</v>
      </c>
      <c r="I3962" s="25" t="inlineStr">
        <is>
          <t>57 second(s)</t>
        </is>
      </c>
      <c r="J3962" s="25">
        <f>IFERROR(VALUE(TRIM(LEFT(I3962,FIND("minute",I3962)-1)))*60,0)+IFERROR(VALUE(SUBSTITUTE(MID(I3962,IFERROR(FIND("and",I3962)+3,1),20),"second(s)","")),0)</f>
        <v/>
      </c>
      <c r="K3962" s="41">
        <f>J3962/60</f>
        <v/>
      </c>
      <c r="L3962" s="41">
        <f>IFERROR(J3962/H3962,"")</f>
        <v/>
      </c>
      <c r="M3962" s="25" t="inlineStr">
        <is>
          <t>2.5.12</t>
        </is>
      </c>
      <c r="N3962" s="25">
        <f>IF(J3962&gt;300,1,0)</f>
        <v/>
      </c>
      <c r="O3962" s="25">
        <f>IF(J3962&gt;600,1,0)</f>
        <v/>
      </c>
      <c r="P3962" s="25">
        <f>IF(H3962&gt;0,J3962,"")</f>
        <v/>
      </c>
      <c r="Q3962" s="25">
        <f>TEXT(A3962,"YYYY-MM-DD HH")</f>
        <v/>
      </c>
      <c r="R3962" s="25">
        <f>COUNTIF($Q$2:$Q$5295,Q3962)</f>
        <v/>
      </c>
      <c r="S3962" s="25">
        <f>IF(R3962&lt;=2,"1-2",IF(R3962&lt;=5,"3-5",IF(R3962&lt;=10,"6-10","11+")))</f>
        <v/>
      </c>
    </row>
    <row r="3963">
      <c r="A3963" s="39" t="n">
        <v>46218.34491898148</v>
      </c>
      <c r="B3963" s="25">
        <f>TEXT(A3963,"YYYY-MM")</f>
        <v/>
      </c>
      <c r="C3963" s="25">
        <f>TEXT(A3963,"MMM-YYYY")</f>
        <v/>
      </c>
      <c r="D3963" s="40">
        <f>INT(A3963)-WEEKDAY(A3963,2)+1</f>
        <v/>
      </c>
      <c r="E3963" s="25" t="inlineStr">
        <is>
          <t>pgautam</t>
        </is>
      </c>
      <c r="F3963" s="25" t="n">
        <v>132941</v>
      </c>
      <c r="G3963" s="25" t="n">
        <v>5</v>
      </c>
      <c r="H3963" s="25" t="n">
        <v>31</v>
      </c>
      <c r="I3963" s="25" t="inlineStr">
        <is>
          <t>3 minute(s) and 0 second(s)</t>
        </is>
      </c>
      <c r="J3963" s="25">
        <f>IFERROR(VALUE(TRIM(LEFT(I3963,FIND("minute",I3963)-1)))*60,0)+IFERROR(VALUE(SUBSTITUTE(MID(I3963,IFERROR(FIND("and",I3963)+3,1),20),"second(s)","")),0)</f>
        <v/>
      </c>
      <c r="K3963" s="41">
        <f>J3963/60</f>
        <v/>
      </c>
      <c r="L3963" s="41">
        <f>IFERROR(J3963/H3963,"")</f>
        <v/>
      </c>
      <c r="M3963" s="25" t="inlineStr">
        <is>
          <t>2.5.12</t>
        </is>
      </c>
      <c r="N3963" s="25">
        <f>IF(J3963&gt;300,1,0)</f>
        <v/>
      </c>
      <c r="O3963" s="25">
        <f>IF(J3963&gt;600,1,0)</f>
        <v/>
      </c>
      <c r="P3963" s="25">
        <f>IF(H3963&gt;0,J3963,"")</f>
        <v/>
      </c>
      <c r="Q3963" s="25">
        <f>TEXT(A3963,"YYYY-MM-DD HH")</f>
        <v/>
      </c>
      <c r="R3963" s="25">
        <f>COUNTIF($Q$2:$Q$5295,Q3963)</f>
        <v/>
      </c>
      <c r="S3963" s="25">
        <f>IF(R3963&lt;=2,"1-2",IF(R3963&lt;=5,"3-5",IF(R3963&lt;=10,"6-10","11+")))</f>
        <v/>
      </c>
    </row>
    <row r="3964">
      <c r="A3964" s="39" t="n">
        <v>46218.37354166667</v>
      </c>
      <c r="B3964" s="25">
        <f>TEXT(A3964,"YYYY-MM")</f>
        <v/>
      </c>
      <c r="C3964" s="25">
        <f>TEXT(A3964,"MMM-YYYY")</f>
        <v/>
      </c>
      <c r="D3964" s="40">
        <f>INT(A3964)-WEEKDAY(A3964,2)+1</f>
        <v/>
      </c>
      <c r="E3964" s="25" t="inlineStr">
        <is>
          <t>apriyadarshi</t>
        </is>
      </c>
      <c r="F3964" s="25" t="n">
        <v>132023</v>
      </c>
      <c r="G3964" s="25" t="n">
        <v>3</v>
      </c>
      <c r="H3964" s="25" t="n">
        <v>16</v>
      </c>
      <c r="I3964" s="25" t="inlineStr">
        <is>
          <t>2 minute(s) and 11 second(s)</t>
        </is>
      </c>
      <c r="J3964" s="25">
        <f>IFERROR(VALUE(TRIM(LEFT(I3964,FIND("minute",I3964)-1)))*60,0)+IFERROR(VALUE(SUBSTITUTE(MID(I3964,IFERROR(FIND("and",I3964)+3,1),20),"second(s)","")),0)</f>
        <v/>
      </c>
      <c r="K3964" s="41">
        <f>J3964/60</f>
        <v/>
      </c>
      <c r="L3964" s="41">
        <f>IFERROR(J3964/H3964,"")</f>
        <v/>
      </c>
      <c r="M3964" s="25" t="inlineStr">
        <is>
          <t>2.5.12</t>
        </is>
      </c>
      <c r="N3964" s="25">
        <f>IF(J3964&gt;300,1,0)</f>
        <v/>
      </c>
      <c r="O3964" s="25">
        <f>IF(J3964&gt;600,1,0)</f>
        <v/>
      </c>
      <c r="P3964" s="25">
        <f>IF(H3964&gt;0,J3964,"")</f>
        <v/>
      </c>
      <c r="Q3964" s="25">
        <f>TEXT(A3964,"YYYY-MM-DD HH")</f>
        <v/>
      </c>
      <c r="R3964" s="25">
        <f>COUNTIF($Q$2:$Q$5295,Q3964)</f>
        <v/>
      </c>
      <c r="S3964" s="25">
        <f>IF(R3964&lt;=2,"1-2",IF(R3964&lt;=5,"3-5",IF(R3964&lt;=10,"6-10","11+")))</f>
        <v/>
      </c>
    </row>
    <row r="3965">
      <c r="A3965" s="39" t="n">
        <v>46218.37550925926</v>
      </c>
      <c r="B3965" s="25">
        <f>TEXT(A3965,"YYYY-MM")</f>
        <v/>
      </c>
      <c r="C3965" s="25">
        <f>TEXT(A3965,"MMM-YYYY")</f>
        <v/>
      </c>
      <c r="D3965" s="40">
        <f>INT(A3965)-WEEKDAY(A3965,2)+1</f>
        <v/>
      </c>
      <c r="E3965" s="25" t="inlineStr">
        <is>
          <t>psathwika</t>
        </is>
      </c>
      <c r="F3965" s="25" t="n">
        <v>129878</v>
      </c>
      <c r="G3965" s="25" t="n">
        <v>1</v>
      </c>
      <c r="H3965" s="25" t="n">
        <v>5</v>
      </c>
      <c r="I3965" s="25" t="inlineStr">
        <is>
          <t>25 second(s)</t>
        </is>
      </c>
      <c r="J3965" s="25">
        <f>IFERROR(VALUE(TRIM(LEFT(I3965,FIND("minute",I3965)-1)))*60,0)+IFERROR(VALUE(SUBSTITUTE(MID(I3965,IFERROR(FIND("and",I3965)+3,1),20),"second(s)","")),0)</f>
        <v/>
      </c>
      <c r="K3965" s="41">
        <f>J3965/60</f>
        <v/>
      </c>
      <c r="L3965" s="41">
        <f>IFERROR(J3965/H3965,"")</f>
        <v/>
      </c>
      <c r="M3965" s="25" t="inlineStr">
        <is>
          <t>2.5.12</t>
        </is>
      </c>
      <c r="N3965" s="25">
        <f>IF(J3965&gt;300,1,0)</f>
        <v/>
      </c>
      <c r="O3965" s="25">
        <f>IF(J3965&gt;600,1,0)</f>
        <v/>
      </c>
      <c r="P3965" s="25">
        <f>IF(H3965&gt;0,J3965,"")</f>
        <v/>
      </c>
      <c r="Q3965" s="25">
        <f>TEXT(A3965,"YYYY-MM-DD HH")</f>
        <v/>
      </c>
      <c r="R3965" s="25">
        <f>COUNTIF($Q$2:$Q$5295,Q3965)</f>
        <v/>
      </c>
      <c r="S3965" s="25">
        <f>IF(R3965&lt;=2,"1-2",IF(R3965&lt;=5,"3-5",IF(R3965&lt;=10,"6-10","11+")))</f>
        <v/>
      </c>
    </row>
    <row r="3966">
      <c r="A3966" s="39" t="n">
        <v>46218.38284722222</v>
      </c>
      <c r="B3966" s="25">
        <f>TEXT(A3966,"YYYY-MM")</f>
        <v/>
      </c>
      <c r="C3966" s="25">
        <f>TEXT(A3966,"MMM-YYYY")</f>
        <v/>
      </c>
      <c r="D3966" s="40">
        <f>INT(A3966)-WEEKDAY(A3966,2)+1</f>
        <v/>
      </c>
      <c r="E3966" s="25" t="inlineStr">
        <is>
          <t>smukhopadhyay</t>
        </is>
      </c>
      <c r="F3966" s="25" t="n">
        <v>132506</v>
      </c>
      <c r="G3966" s="25" t="n">
        <v>1</v>
      </c>
      <c r="H3966" s="25" t="n">
        <v>5</v>
      </c>
      <c r="I3966" s="25" t="inlineStr">
        <is>
          <t>23 second(s)</t>
        </is>
      </c>
      <c r="J3966" s="25">
        <f>IFERROR(VALUE(TRIM(LEFT(I3966,FIND("minute",I3966)-1)))*60,0)+IFERROR(VALUE(SUBSTITUTE(MID(I3966,IFERROR(FIND("and",I3966)+3,1),20),"second(s)","")),0)</f>
        <v/>
      </c>
      <c r="K3966" s="41">
        <f>J3966/60</f>
        <v/>
      </c>
      <c r="L3966" s="41">
        <f>IFERROR(J3966/H3966,"")</f>
        <v/>
      </c>
      <c r="M3966" s="25" t="inlineStr">
        <is>
          <t>2.5.12</t>
        </is>
      </c>
      <c r="N3966" s="25">
        <f>IF(J3966&gt;300,1,0)</f>
        <v/>
      </c>
      <c r="O3966" s="25">
        <f>IF(J3966&gt;600,1,0)</f>
        <v/>
      </c>
      <c r="P3966" s="25">
        <f>IF(H3966&gt;0,J3966,"")</f>
        <v/>
      </c>
      <c r="Q3966" s="25">
        <f>TEXT(A3966,"YYYY-MM-DD HH")</f>
        <v/>
      </c>
      <c r="R3966" s="25">
        <f>COUNTIF($Q$2:$Q$5295,Q3966)</f>
        <v/>
      </c>
      <c r="S3966" s="25">
        <f>IF(R3966&lt;=2,"1-2",IF(R3966&lt;=5,"3-5",IF(R3966&lt;=10,"6-10","11+")))</f>
        <v/>
      </c>
    </row>
    <row r="3967">
      <c r="A3967" s="39" t="n">
        <v>46218.38863425926</v>
      </c>
      <c r="B3967" s="25">
        <f>TEXT(A3967,"YYYY-MM")</f>
        <v/>
      </c>
      <c r="C3967" s="25">
        <f>TEXT(A3967,"MMM-YYYY")</f>
        <v/>
      </c>
      <c r="D3967" s="40">
        <f>INT(A3967)-WEEKDAY(A3967,2)+1</f>
        <v/>
      </c>
      <c r="E3967" s="25" t="inlineStr">
        <is>
          <t>npriya</t>
        </is>
      </c>
      <c r="F3967" s="25" t="n">
        <v>130583</v>
      </c>
      <c r="G3967" s="25" t="n">
        <v>1</v>
      </c>
      <c r="H3967" s="25" t="n">
        <v>7</v>
      </c>
      <c r="I3967" s="25" t="inlineStr">
        <is>
          <t>42 second(s)</t>
        </is>
      </c>
      <c r="J3967" s="25">
        <f>IFERROR(VALUE(TRIM(LEFT(I3967,FIND("minute",I3967)-1)))*60,0)+IFERROR(VALUE(SUBSTITUTE(MID(I3967,IFERROR(FIND("and",I3967)+3,1),20),"second(s)","")),0)</f>
        <v/>
      </c>
      <c r="K3967" s="41">
        <f>J3967/60</f>
        <v/>
      </c>
      <c r="L3967" s="41">
        <f>IFERROR(J3967/H3967,"")</f>
        <v/>
      </c>
      <c r="M3967" s="25" t="inlineStr">
        <is>
          <t>2.5.12</t>
        </is>
      </c>
      <c r="N3967" s="25">
        <f>IF(J3967&gt;300,1,0)</f>
        <v/>
      </c>
      <c r="O3967" s="25">
        <f>IF(J3967&gt;600,1,0)</f>
        <v/>
      </c>
      <c r="P3967" s="25">
        <f>IF(H3967&gt;0,J3967,"")</f>
        <v/>
      </c>
      <c r="Q3967" s="25">
        <f>TEXT(A3967,"YYYY-MM-DD HH")</f>
        <v/>
      </c>
      <c r="R3967" s="25">
        <f>COUNTIF($Q$2:$Q$5295,Q3967)</f>
        <v/>
      </c>
      <c r="S3967" s="25">
        <f>IF(R3967&lt;=2,"1-2",IF(R3967&lt;=5,"3-5",IF(R3967&lt;=10,"6-10","11+")))</f>
        <v/>
      </c>
    </row>
    <row r="3968">
      <c r="A3968" s="39" t="n">
        <v>46218.38891203704</v>
      </c>
      <c r="B3968" s="25">
        <f>TEXT(A3968,"YYYY-MM")</f>
        <v/>
      </c>
      <c r="C3968" s="25">
        <f>TEXT(A3968,"MMM-YYYY")</f>
        <v/>
      </c>
      <c r="D3968" s="40">
        <f>INT(A3968)-WEEKDAY(A3968,2)+1</f>
        <v/>
      </c>
      <c r="E3968" s="25" t="inlineStr">
        <is>
          <t>aghosh</t>
        </is>
      </c>
      <c r="F3968" s="25" t="n">
        <v>131609</v>
      </c>
      <c r="G3968" s="25" t="n">
        <v>2</v>
      </c>
      <c r="H3968" s="25" t="n">
        <v>14</v>
      </c>
      <c r="I3968" s="25" t="inlineStr">
        <is>
          <t>1 minute(s) and 24 second(s)</t>
        </is>
      </c>
      <c r="J3968" s="25">
        <f>IFERROR(VALUE(TRIM(LEFT(I3968,FIND("minute",I3968)-1)))*60,0)+IFERROR(VALUE(SUBSTITUTE(MID(I3968,IFERROR(FIND("and",I3968)+3,1),20),"second(s)","")),0)</f>
        <v/>
      </c>
      <c r="K3968" s="41">
        <f>J3968/60</f>
        <v/>
      </c>
      <c r="L3968" s="41">
        <f>IFERROR(J3968/H3968,"")</f>
        <v/>
      </c>
      <c r="M3968" s="25" t="inlineStr">
        <is>
          <t>2.5.12</t>
        </is>
      </c>
      <c r="N3968" s="25">
        <f>IF(J3968&gt;300,1,0)</f>
        <v/>
      </c>
      <c r="O3968" s="25">
        <f>IF(J3968&gt;600,1,0)</f>
        <v/>
      </c>
      <c r="P3968" s="25">
        <f>IF(H3968&gt;0,J3968,"")</f>
        <v/>
      </c>
      <c r="Q3968" s="25">
        <f>TEXT(A3968,"YYYY-MM-DD HH")</f>
        <v/>
      </c>
      <c r="R3968" s="25">
        <f>COUNTIF($Q$2:$Q$5295,Q3968)</f>
        <v/>
      </c>
      <c r="S3968" s="25">
        <f>IF(R3968&lt;=2,"1-2",IF(R3968&lt;=5,"3-5",IF(R3968&lt;=10,"6-10","11+")))</f>
        <v/>
      </c>
    </row>
    <row r="3969">
      <c r="A3969" s="39" t="n">
        <v>46218.39324074074</v>
      </c>
      <c r="B3969" s="25">
        <f>TEXT(A3969,"YYYY-MM")</f>
        <v/>
      </c>
      <c r="C3969" s="25">
        <f>TEXT(A3969,"MMM-YYYY")</f>
        <v/>
      </c>
      <c r="D3969" s="40">
        <f>INT(A3969)-WEEKDAY(A3969,2)+1</f>
        <v/>
      </c>
      <c r="E3969" s="25" t="inlineStr">
        <is>
          <t>tkarmakar</t>
        </is>
      </c>
      <c r="F3969" s="25" t="n">
        <v>132285</v>
      </c>
      <c r="G3969" s="25" t="n">
        <v>4</v>
      </c>
      <c r="H3969" s="25" t="n">
        <v>14</v>
      </c>
      <c r="I3969" s="25" t="inlineStr">
        <is>
          <t>2 minute(s) and 37 second(s)</t>
        </is>
      </c>
      <c r="J3969" s="25">
        <f>IFERROR(VALUE(TRIM(LEFT(I3969,FIND("minute",I3969)-1)))*60,0)+IFERROR(VALUE(SUBSTITUTE(MID(I3969,IFERROR(FIND("and",I3969)+3,1),20),"second(s)","")),0)</f>
        <v/>
      </c>
      <c r="K3969" s="41">
        <f>J3969/60</f>
        <v/>
      </c>
      <c r="L3969" s="41">
        <f>IFERROR(J3969/H3969,"")</f>
        <v/>
      </c>
      <c r="M3969" s="25" t="inlineStr">
        <is>
          <t>2.5.12</t>
        </is>
      </c>
      <c r="N3969" s="25">
        <f>IF(J3969&gt;300,1,0)</f>
        <v/>
      </c>
      <c r="O3969" s="25">
        <f>IF(J3969&gt;600,1,0)</f>
        <v/>
      </c>
      <c r="P3969" s="25">
        <f>IF(H3969&gt;0,J3969,"")</f>
        <v/>
      </c>
      <c r="Q3969" s="25">
        <f>TEXT(A3969,"YYYY-MM-DD HH")</f>
        <v/>
      </c>
      <c r="R3969" s="25">
        <f>COUNTIF($Q$2:$Q$5295,Q3969)</f>
        <v/>
      </c>
      <c r="S3969" s="25">
        <f>IF(R3969&lt;=2,"1-2",IF(R3969&lt;=5,"3-5",IF(R3969&lt;=10,"6-10","11+")))</f>
        <v/>
      </c>
    </row>
    <row r="3970">
      <c r="A3970" s="39" t="n">
        <v>46218.42364583333</v>
      </c>
      <c r="B3970" s="25">
        <f>TEXT(A3970,"YYYY-MM")</f>
        <v/>
      </c>
      <c r="C3970" s="25">
        <f>TEXT(A3970,"MMM-YYYY")</f>
        <v/>
      </c>
      <c r="D3970" s="40">
        <f>INT(A3970)-WEEKDAY(A3970,2)+1</f>
        <v/>
      </c>
      <c r="E3970" s="25" t="inlineStr">
        <is>
          <t>ssrinivasan</t>
        </is>
      </c>
      <c r="F3970" s="25" t="n">
        <v>129362</v>
      </c>
      <c r="G3970" s="25" t="n">
        <v>1</v>
      </c>
      <c r="H3970" s="25" t="n">
        <v>5</v>
      </c>
      <c r="I3970" s="25" t="inlineStr">
        <is>
          <t>38 second(s)</t>
        </is>
      </c>
      <c r="J3970" s="25">
        <f>IFERROR(VALUE(TRIM(LEFT(I3970,FIND("minute",I3970)-1)))*60,0)+IFERROR(VALUE(SUBSTITUTE(MID(I3970,IFERROR(FIND("and",I3970)+3,1),20),"second(s)","")),0)</f>
        <v/>
      </c>
      <c r="K3970" s="41">
        <f>J3970/60</f>
        <v/>
      </c>
      <c r="L3970" s="41">
        <f>IFERROR(J3970/H3970,"")</f>
        <v/>
      </c>
      <c r="M3970" s="25" t="inlineStr">
        <is>
          <t>2.5.12</t>
        </is>
      </c>
      <c r="N3970" s="25">
        <f>IF(J3970&gt;300,1,0)</f>
        <v/>
      </c>
      <c r="O3970" s="25">
        <f>IF(J3970&gt;600,1,0)</f>
        <v/>
      </c>
      <c r="P3970" s="25">
        <f>IF(H3970&gt;0,J3970,"")</f>
        <v/>
      </c>
      <c r="Q3970" s="25">
        <f>TEXT(A3970,"YYYY-MM-DD HH")</f>
        <v/>
      </c>
      <c r="R3970" s="25">
        <f>COUNTIF($Q$2:$Q$5295,Q3970)</f>
        <v/>
      </c>
      <c r="S3970" s="25">
        <f>IF(R3970&lt;=2,"1-2",IF(R3970&lt;=5,"3-5",IF(R3970&lt;=10,"6-10","11+")))</f>
        <v/>
      </c>
    </row>
    <row r="3971">
      <c r="A3971" s="39" t="n">
        <v>46218.43822916667</v>
      </c>
      <c r="B3971" s="25">
        <f>TEXT(A3971,"YYYY-MM")</f>
        <v/>
      </c>
      <c r="C3971" s="25">
        <f>TEXT(A3971,"MMM-YYYY")</f>
        <v/>
      </c>
      <c r="D3971" s="40">
        <f>INT(A3971)-WEEKDAY(A3971,2)+1</f>
        <v/>
      </c>
      <c r="E3971" s="25" t="inlineStr">
        <is>
          <t>sthomas</t>
        </is>
      </c>
      <c r="F3971" s="25" t="n">
        <v>132775</v>
      </c>
      <c r="G3971" s="25" t="n">
        <v>1</v>
      </c>
      <c r="H3971" s="25" t="n">
        <v>7</v>
      </c>
      <c r="I3971" s="25" t="inlineStr">
        <is>
          <t>1 minute(s) and 39 second(s)</t>
        </is>
      </c>
      <c r="J3971" s="25">
        <f>IFERROR(VALUE(TRIM(LEFT(I3971,FIND("minute",I3971)-1)))*60,0)+IFERROR(VALUE(SUBSTITUTE(MID(I3971,IFERROR(FIND("and",I3971)+3,1),20),"second(s)","")),0)</f>
        <v/>
      </c>
      <c r="K3971" s="41">
        <f>J3971/60</f>
        <v/>
      </c>
      <c r="L3971" s="41">
        <f>IFERROR(J3971/H3971,"")</f>
        <v/>
      </c>
      <c r="M3971" s="25" t="inlineStr">
        <is>
          <t>2.5.12</t>
        </is>
      </c>
      <c r="N3971" s="25">
        <f>IF(J3971&gt;300,1,0)</f>
        <v/>
      </c>
      <c r="O3971" s="25">
        <f>IF(J3971&gt;600,1,0)</f>
        <v/>
      </c>
      <c r="P3971" s="25">
        <f>IF(H3971&gt;0,J3971,"")</f>
        <v/>
      </c>
      <c r="Q3971" s="25">
        <f>TEXT(A3971,"YYYY-MM-DD HH")</f>
        <v/>
      </c>
      <c r="R3971" s="25">
        <f>COUNTIF($Q$2:$Q$5295,Q3971)</f>
        <v/>
      </c>
      <c r="S3971" s="25">
        <f>IF(R3971&lt;=2,"1-2",IF(R3971&lt;=5,"3-5",IF(R3971&lt;=10,"6-10","11+")))</f>
        <v/>
      </c>
    </row>
    <row r="3972">
      <c r="A3972" s="39" t="n">
        <v>46218.44512731482</v>
      </c>
      <c r="B3972" s="25">
        <f>TEXT(A3972,"YYYY-MM")</f>
        <v/>
      </c>
      <c r="C3972" s="25">
        <f>TEXT(A3972,"MMM-YYYY")</f>
        <v/>
      </c>
      <c r="D3972" s="40">
        <f>INT(A3972)-WEEKDAY(A3972,2)+1</f>
        <v/>
      </c>
      <c r="E3972" s="25" t="inlineStr">
        <is>
          <t>smukhopadhyay</t>
        </is>
      </c>
      <c r="F3972" s="25" t="n">
        <v>131962</v>
      </c>
      <c r="G3972" s="25" t="n">
        <v>4</v>
      </c>
      <c r="H3972" s="25" t="n">
        <v>29</v>
      </c>
      <c r="I3972" s="25" t="inlineStr">
        <is>
          <t>3 minute(s) and 22 second(s)</t>
        </is>
      </c>
      <c r="J3972" s="25">
        <f>IFERROR(VALUE(TRIM(LEFT(I3972,FIND("minute",I3972)-1)))*60,0)+IFERROR(VALUE(SUBSTITUTE(MID(I3972,IFERROR(FIND("and",I3972)+3,1),20),"second(s)","")),0)</f>
        <v/>
      </c>
      <c r="K3972" s="41">
        <f>J3972/60</f>
        <v/>
      </c>
      <c r="L3972" s="41">
        <f>IFERROR(J3972/H3972,"")</f>
        <v/>
      </c>
      <c r="M3972" s="25" t="inlineStr">
        <is>
          <t>2.5.12</t>
        </is>
      </c>
      <c r="N3972" s="25">
        <f>IF(J3972&gt;300,1,0)</f>
        <v/>
      </c>
      <c r="O3972" s="25">
        <f>IF(J3972&gt;600,1,0)</f>
        <v/>
      </c>
      <c r="P3972" s="25">
        <f>IF(H3972&gt;0,J3972,"")</f>
        <v/>
      </c>
      <c r="Q3972" s="25">
        <f>TEXT(A3972,"YYYY-MM-DD HH")</f>
        <v/>
      </c>
      <c r="R3972" s="25">
        <f>COUNTIF($Q$2:$Q$5295,Q3972)</f>
        <v/>
      </c>
      <c r="S3972" s="25">
        <f>IF(R3972&lt;=2,"1-2",IF(R3972&lt;=5,"3-5",IF(R3972&lt;=10,"6-10","11+")))</f>
        <v/>
      </c>
    </row>
    <row r="3973">
      <c r="A3973" s="39" t="n">
        <v>46218.46254629629</v>
      </c>
      <c r="B3973" s="25">
        <f>TEXT(A3973,"YYYY-MM")</f>
        <v/>
      </c>
      <c r="C3973" s="25">
        <f>TEXT(A3973,"MMM-YYYY")</f>
        <v/>
      </c>
      <c r="D3973" s="40">
        <f>INT(A3973)-WEEKDAY(A3973,2)+1</f>
        <v/>
      </c>
      <c r="E3973" s="25" t="inlineStr">
        <is>
          <t>atiwari</t>
        </is>
      </c>
      <c r="F3973" s="25" t="n">
        <v>128897</v>
      </c>
      <c r="G3973" s="25" t="n">
        <v>1</v>
      </c>
      <c r="H3973" s="25" t="n">
        <v>5</v>
      </c>
      <c r="I3973" s="25" t="inlineStr">
        <is>
          <t>28 second(s)</t>
        </is>
      </c>
      <c r="J3973" s="25">
        <f>IFERROR(VALUE(TRIM(LEFT(I3973,FIND("minute",I3973)-1)))*60,0)+IFERROR(VALUE(SUBSTITUTE(MID(I3973,IFERROR(FIND("and",I3973)+3,1),20),"second(s)","")),0)</f>
        <v/>
      </c>
      <c r="K3973" s="41">
        <f>J3973/60</f>
        <v/>
      </c>
      <c r="L3973" s="41">
        <f>IFERROR(J3973/H3973,"")</f>
        <v/>
      </c>
      <c r="M3973" s="25" t="inlineStr">
        <is>
          <t>2.5.12</t>
        </is>
      </c>
      <c r="N3973" s="25">
        <f>IF(J3973&gt;300,1,0)</f>
        <v/>
      </c>
      <c r="O3973" s="25">
        <f>IF(J3973&gt;600,1,0)</f>
        <v/>
      </c>
      <c r="P3973" s="25">
        <f>IF(H3973&gt;0,J3973,"")</f>
        <v/>
      </c>
      <c r="Q3973" s="25">
        <f>TEXT(A3973,"YYYY-MM-DD HH")</f>
        <v/>
      </c>
      <c r="R3973" s="25">
        <f>COUNTIF($Q$2:$Q$5295,Q3973)</f>
        <v/>
      </c>
      <c r="S3973" s="25">
        <f>IF(R3973&lt;=2,"1-2",IF(R3973&lt;=5,"3-5",IF(R3973&lt;=10,"6-10","11+")))</f>
        <v/>
      </c>
    </row>
    <row r="3974">
      <c r="A3974" s="39" t="n">
        <v>46218.48584490741</v>
      </c>
      <c r="B3974" s="25">
        <f>TEXT(A3974,"YYYY-MM")</f>
        <v/>
      </c>
      <c r="C3974" s="25">
        <f>TEXT(A3974,"MMM-YYYY")</f>
        <v/>
      </c>
      <c r="D3974" s="40">
        <f>INT(A3974)-WEEKDAY(A3974,2)+1</f>
        <v/>
      </c>
      <c r="E3974" s="25" t="inlineStr">
        <is>
          <t>adey</t>
        </is>
      </c>
      <c r="F3974" s="25" t="n">
        <v>132939</v>
      </c>
      <c r="G3974" s="25" t="n">
        <v>2</v>
      </c>
      <c r="H3974" s="25" t="n">
        <v>8</v>
      </c>
      <c r="I3974" s="25" t="inlineStr">
        <is>
          <t>57 second(s)</t>
        </is>
      </c>
      <c r="J3974" s="25">
        <f>IFERROR(VALUE(TRIM(LEFT(I3974,FIND("minute",I3974)-1)))*60,0)+IFERROR(VALUE(SUBSTITUTE(MID(I3974,IFERROR(FIND("and",I3974)+3,1),20),"second(s)","")),0)</f>
        <v/>
      </c>
      <c r="K3974" s="41">
        <f>J3974/60</f>
        <v/>
      </c>
      <c r="L3974" s="41">
        <f>IFERROR(J3974/H3974,"")</f>
        <v/>
      </c>
      <c r="M3974" s="25" t="inlineStr">
        <is>
          <t>2.5.12</t>
        </is>
      </c>
      <c r="N3974" s="25">
        <f>IF(J3974&gt;300,1,0)</f>
        <v/>
      </c>
      <c r="O3974" s="25">
        <f>IF(J3974&gt;600,1,0)</f>
        <v/>
      </c>
      <c r="P3974" s="25">
        <f>IF(H3974&gt;0,J3974,"")</f>
        <v/>
      </c>
      <c r="Q3974" s="25">
        <f>TEXT(A3974,"YYYY-MM-DD HH")</f>
        <v/>
      </c>
      <c r="R3974" s="25">
        <f>COUNTIF($Q$2:$Q$5295,Q3974)</f>
        <v/>
      </c>
      <c r="S3974" s="25">
        <f>IF(R3974&lt;=2,"1-2",IF(R3974&lt;=5,"3-5",IF(R3974&lt;=10,"6-10","11+")))</f>
        <v/>
      </c>
    </row>
    <row r="3975">
      <c r="A3975" s="39" t="n">
        <v>46218.48700231482</v>
      </c>
      <c r="B3975" s="25">
        <f>TEXT(A3975,"YYYY-MM")</f>
        <v/>
      </c>
      <c r="C3975" s="25">
        <f>TEXT(A3975,"MMM-YYYY")</f>
        <v/>
      </c>
      <c r="D3975" s="40">
        <f>INT(A3975)-WEEKDAY(A3975,2)+1</f>
        <v/>
      </c>
      <c r="E3975" s="25" t="inlineStr">
        <is>
          <t>tkarmakar</t>
        </is>
      </c>
      <c r="F3975" s="25" t="n">
        <v>130329</v>
      </c>
      <c r="G3975" s="25" t="n">
        <v>4</v>
      </c>
      <c r="H3975" s="25" t="n">
        <v>18</v>
      </c>
      <c r="I3975" s="25" t="inlineStr">
        <is>
          <t>2 minute(s) and 3 second(s)</t>
        </is>
      </c>
      <c r="J3975" s="25">
        <f>IFERROR(VALUE(TRIM(LEFT(I3975,FIND("minute",I3975)-1)))*60,0)+IFERROR(VALUE(SUBSTITUTE(MID(I3975,IFERROR(FIND("and",I3975)+3,1),20),"second(s)","")),0)</f>
        <v/>
      </c>
      <c r="K3975" s="41">
        <f>J3975/60</f>
        <v/>
      </c>
      <c r="L3975" s="41">
        <f>IFERROR(J3975/H3975,"")</f>
        <v/>
      </c>
      <c r="M3975" s="25" t="inlineStr">
        <is>
          <t>2.5.12</t>
        </is>
      </c>
      <c r="N3975" s="25">
        <f>IF(J3975&gt;300,1,0)</f>
        <v/>
      </c>
      <c r="O3975" s="25">
        <f>IF(J3975&gt;600,1,0)</f>
        <v/>
      </c>
      <c r="P3975" s="25">
        <f>IF(H3975&gt;0,J3975,"")</f>
        <v/>
      </c>
      <c r="Q3975" s="25">
        <f>TEXT(A3975,"YYYY-MM-DD HH")</f>
        <v/>
      </c>
      <c r="R3975" s="25">
        <f>COUNTIF($Q$2:$Q$5295,Q3975)</f>
        <v/>
      </c>
      <c r="S3975" s="25">
        <f>IF(R3975&lt;=2,"1-2",IF(R3975&lt;=5,"3-5",IF(R3975&lt;=10,"6-10","11+")))</f>
        <v/>
      </c>
    </row>
    <row r="3976">
      <c r="A3976" s="39" t="n">
        <v>46218.50469907407</v>
      </c>
      <c r="B3976" s="25">
        <f>TEXT(A3976,"YYYY-MM")</f>
        <v/>
      </c>
      <c r="C3976" s="25">
        <f>TEXT(A3976,"MMM-YYYY")</f>
        <v/>
      </c>
      <c r="D3976" s="40">
        <f>INT(A3976)-WEEKDAY(A3976,2)+1</f>
        <v/>
      </c>
      <c r="E3976" s="25" t="inlineStr">
        <is>
          <t>atiwari</t>
        </is>
      </c>
      <c r="F3976" s="25" t="n">
        <v>132940</v>
      </c>
      <c r="G3976" s="25" t="n">
        <v>2</v>
      </c>
      <c r="H3976" s="25" t="n">
        <v>13</v>
      </c>
      <c r="I3976" s="25" t="inlineStr">
        <is>
          <t>1 minute(s) and 46 second(s)</t>
        </is>
      </c>
      <c r="J3976" s="25">
        <f>IFERROR(VALUE(TRIM(LEFT(I3976,FIND("minute",I3976)-1)))*60,0)+IFERROR(VALUE(SUBSTITUTE(MID(I3976,IFERROR(FIND("and",I3976)+3,1),20),"second(s)","")),0)</f>
        <v/>
      </c>
      <c r="K3976" s="41">
        <f>J3976/60</f>
        <v/>
      </c>
      <c r="L3976" s="41">
        <f>IFERROR(J3976/H3976,"")</f>
        <v/>
      </c>
      <c r="M3976" s="25" t="inlineStr">
        <is>
          <t>2.5.12</t>
        </is>
      </c>
      <c r="N3976" s="25">
        <f>IF(J3976&gt;300,1,0)</f>
        <v/>
      </c>
      <c r="O3976" s="25">
        <f>IF(J3976&gt;600,1,0)</f>
        <v/>
      </c>
      <c r="P3976" s="25">
        <f>IF(H3976&gt;0,J3976,"")</f>
        <v/>
      </c>
      <c r="Q3976" s="25">
        <f>TEXT(A3976,"YYYY-MM-DD HH")</f>
        <v/>
      </c>
      <c r="R3976" s="25">
        <f>COUNTIF($Q$2:$Q$5295,Q3976)</f>
        <v/>
      </c>
      <c r="S3976" s="25">
        <f>IF(R3976&lt;=2,"1-2",IF(R3976&lt;=5,"3-5",IF(R3976&lt;=10,"6-10","11+")))</f>
        <v/>
      </c>
    </row>
    <row r="3977">
      <c r="A3977" s="39" t="n">
        <v>46218.50645833334</v>
      </c>
      <c r="B3977" s="25">
        <f>TEXT(A3977,"YYYY-MM")</f>
        <v/>
      </c>
      <c r="C3977" s="25">
        <f>TEXT(A3977,"MMM-YYYY")</f>
        <v/>
      </c>
      <c r="D3977" s="40">
        <f>INT(A3977)-WEEKDAY(A3977,2)+1</f>
        <v/>
      </c>
      <c r="E3977" s="25" t="inlineStr">
        <is>
          <t>apriyadarshi</t>
        </is>
      </c>
      <c r="F3977" s="25" t="n">
        <v>132854</v>
      </c>
      <c r="G3977" s="25" t="n">
        <v>2</v>
      </c>
      <c r="H3977" s="25" t="n">
        <v>13</v>
      </c>
      <c r="I3977" s="25" t="inlineStr">
        <is>
          <t>57 second(s)</t>
        </is>
      </c>
      <c r="J3977" s="25">
        <f>IFERROR(VALUE(TRIM(LEFT(I3977,FIND("minute",I3977)-1)))*60,0)+IFERROR(VALUE(SUBSTITUTE(MID(I3977,IFERROR(FIND("and",I3977)+3,1),20),"second(s)","")),0)</f>
        <v/>
      </c>
      <c r="K3977" s="41">
        <f>J3977/60</f>
        <v/>
      </c>
      <c r="L3977" s="41">
        <f>IFERROR(J3977/H3977,"")</f>
        <v/>
      </c>
      <c r="M3977" s="25" t="inlineStr">
        <is>
          <t>2.5.12</t>
        </is>
      </c>
      <c r="N3977" s="25">
        <f>IF(J3977&gt;300,1,0)</f>
        <v/>
      </c>
      <c r="O3977" s="25">
        <f>IF(J3977&gt;600,1,0)</f>
        <v/>
      </c>
      <c r="P3977" s="25">
        <f>IF(H3977&gt;0,J3977,"")</f>
        <v/>
      </c>
      <c r="Q3977" s="25">
        <f>TEXT(A3977,"YYYY-MM-DD HH")</f>
        <v/>
      </c>
      <c r="R3977" s="25">
        <f>COUNTIF($Q$2:$Q$5295,Q3977)</f>
        <v/>
      </c>
      <c r="S3977" s="25">
        <f>IF(R3977&lt;=2,"1-2",IF(R3977&lt;=5,"3-5",IF(R3977&lt;=10,"6-10","11+")))</f>
        <v/>
      </c>
    </row>
    <row r="3978">
      <c r="A3978" s="39" t="n">
        <v>46218.53225694445</v>
      </c>
      <c r="B3978" s="25">
        <f>TEXT(A3978,"YYYY-MM")</f>
        <v/>
      </c>
      <c r="C3978" s="25">
        <f>TEXT(A3978,"MMM-YYYY")</f>
        <v/>
      </c>
      <c r="D3978" s="40">
        <f>INT(A3978)-WEEKDAY(A3978,2)+1</f>
        <v/>
      </c>
      <c r="E3978" s="25" t="inlineStr">
        <is>
          <t>smukhopadhyay</t>
        </is>
      </c>
      <c r="F3978" s="25" t="n">
        <v>132018</v>
      </c>
      <c r="G3978" s="25" t="n">
        <v>4</v>
      </c>
      <c r="H3978" s="25" t="n">
        <v>24</v>
      </c>
      <c r="I3978" s="25" t="inlineStr">
        <is>
          <t>3 minute(s) and 2 second(s)</t>
        </is>
      </c>
      <c r="J3978" s="25">
        <f>IFERROR(VALUE(TRIM(LEFT(I3978,FIND("minute",I3978)-1)))*60,0)+IFERROR(VALUE(SUBSTITUTE(MID(I3978,IFERROR(FIND("and",I3978)+3,1),20),"second(s)","")),0)</f>
        <v/>
      </c>
      <c r="K3978" s="41">
        <f>J3978/60</f>
        <v/>
      </c>
      <c r="L3978" s="41">
        <f>IFERROR(J3978/H3978,"")</f>
        <v/>
      </c>
      <c r="M3978" s="25" t="inlineStr">
        <is>
          <t>2.5.12</t>
        </is>
      </c>
      <c r="N3978" s="25">
        <f>IF(J3978&gt;300,1,0)</f>
        <v/>
      </c>
      <c r="O3978" s="25">
        <f>IF(J3978&gt;600,1,0)</f>
        <v/>
      </c>
      <c r="P3978" s="25">
        <f>IF(H3978&gt;0,J3978,"")</f>
        <v/>
      </c>
      <c r="Q3978" s="25">
        <f>TEXT(A3978,"YYYY-MM-DD HH")</f>
        <v/>
      </c>
      <c r="R3978" s="25">
        <f>COUNTIF($Q$2:$Q$5295,Q3978)</f>
        <v/>
      </c>
      <c r="S3978" s="25">
        <f>IF(R3978&lt;=2,"1-2",IF(R3978&lt;=5,"3-5",IF(R3978&lt;=10,"6-10","11+")))</f>
        <v/>
      </c>
    </row>
    <row r="3979">
      <c r="A3979" s="39" t="n">
        <v>46218.53258101852</v>
      </c>
      <c r="B3979" s="25">
        <f>TEXT(A3979,"YYYY-MM")</f>
        <v/>
      </c>
      <c r="C3979" s="25">
        <f>TEXT(A3979,"MMM-YYYY")</f>
        <v/>
      </c>
      <c r="D3979" s="40">
        <f>INT(A3979)-WEEKDAY(A3979,2)+1</f>
        <v/>
      </c>
      <c r="E3979" s="25" t="inlineStr">
        <is>
          <t>shassan</t>
        </is>
      </c>
      <c r="F3979" s="25" t="n">
        <v>128406</v>
      </c>
      <c r="G3979" s="25" t="n">
        <v>3</v>
      </c>
      <c r="H3979" s="25" t="n">
        <v>15</v>
      </c>
      <c r="I3979" s="25" t="inlineStr">
        <is>
          <t>1 minute(s) and 20 second(s)</t>
        </is>
      </c>
      <c r="J3979" s="25">
        <f>IFERROR(VALUE(TRIM(LEFT(I3979,FIND("minute",I3979)-1)))*60,0)+IFERROR(VALUE(SUBSTITUTE(MID(I3979,IFERROR(FIND("and",I3979)+3,1),20),"second(s)","")),0)</f>
        <v/>
      </c>
      <c r="K3979" s="41">
        <f>J3979/60</f>
        <v/>
      </c>
      <c r="L3979" s="41">
        <f>IFERROR(J3979/H3979,"")</f>
        <v/>
      </c>
      <c r="M3979" s="25" t="inlineStr">
        <is>
          <t>2.5.12</t>
        </is>
      </c>
      <c r="N3979" s="25">
        <f>IF(J3979&gt;300,1,0)</f>
        <v/>
      </c>
      <c r="O3979" s="25">
        <f>IF(J3979&gt;600,1,0)</f>
        <v/>
      </c>
      <c r="P3979" s="25">
        <f>IF(H3979&gt;0,J3979,"")</f>
        <v/>
      </c>
      <c r="Q3979" s="25">
        <f>TEXT(A3979,"YYYY-MM-DD HH")</f>
        <v/>
      </c>
      <c r="R3979" s="25">
        <f>COUNTIF($Q$2:$Q$5295,Q3979)</f>
        <v/>
      </c>
      <c r="S3979" s="25">
        <f>IF(R3979&lt;=2,"1-2",IF(R3979&lt;=5,"3-5",IF(R3979&lt;=10,"6-10","11+")))</f>
        <v/>
      </c>
    </row>
    <row r="3980">
      <c r="A3980" s="39" t="n">
        <v>46218.54159722223</v>
      </c>
      <c r="B3980" s="25">
        <f>TEXT(A3980,"YYYY-MM")</f>
        <v/>
      </c>
      <c r="C3980" s="25">
        <f>TEXT(A3980,"MMM-YYYY")</f>
        <v/>
      </c>
      <c r="D3980" s="40">
        <f>INT(A3980)-WEEKDAY(A3980,2)+1</f>
        <v/>
      </c>
      <c r="E3980" s="25" t="inlineStr">
        <is>
          <t>shasikha</t>
        </is>
      </c>
      <c r="F3980" s="25" t="n">
        <v>129898</v>
      </c>
      <c r="G3980" s="25" t="n">
        <v>4</v>
      </c>
      <c r="H3980" s="25" t="n">
        <v>28</v>
      </c>
      <c r="I3980" s="25" t="inlineStr">
        <is>
          <t>3 minute(s) and 43 second(s)</t>
        </is>
      </c>
      <c r="J3980" s="25">
        <f>IFERROR(VALUE(TRIM(LEFT(I3980,FIND("minute",I3980)-1)))*60,0)+IFERROR(VALUE(SUBSTITUTE(MID(I3980,IFERROR(FIND("and",I3980)+3,1),20),"second(s)","")),0)</f>
        <v/>
      </c>
      <c r="K3980" s="41">
        <f>J3980/60</f>
        <v/>
      </c>
      <c r="L3980" s="41">
        <f>IFERROR(J3980/H3980,"")</f>
        <v/>
      </c>
      <c r="M3980" s="25" t="inlineStr">
        <is>
          <t>2.5.12</t>
        </is>
      </c>
      <c r="N3980" s="25">
        <f>IF(J3980&gt;300,1,0)</f>
        <v/>
      </c>
      <c r="O3980" s="25">
        <f>IF(J3980&gt;600,1,0)</f>
        <v/>
      </c>
      <c r="P3980" s="25">
        <f>IF(H3980&gt;0,J3980,"")</f>
        <v/>
      </c>
      <c r="Q3980" s="25">
        <f>TEXT(A3980,"YYYY-MM-DD HH")</f>
        <v/>
      </c>
      <c r="R3980" s="25">
        <f>COUNTIF($Q$2:$Q$5295,Q3980)</f>
        <v/>
      </c>
      <c r="S3980" s="25">
        <f>IF(R3980&lt;=2,"1-2",IF(R3980&lt;=5,"3-5",IF(R3980&lt;=10,"6-10","11+")))</f>
        <v/>
      </c>
    </row>
    <row r="3981">
      <c r="A3981" s="39" t="n">
        <v>46218.54260416667</v>
      </c>
      <c r="B3981" s="25">
        <f>TEXT(A3981,"YYYY-MM")</f>
        <v/>
      </c>
      <c r="C3981" s="25">
        <f>TEXT(A3981,"MMM-YYYY")</f>
        <v/>
      </c>
      <c r="D3981" s="40">
        <f>INT(A3981)-WEEKDAY(A3981,2)+1</f>
        <v/>
      </c>
      <c r="E3981" s="25" t="inlineStr">
        <is>
          <t>rsingh</t>
        </is>
      </c>
      <c r="F3981" s="25" t="n">
        <v>128679</v>
      </c>
      <c r="G3981" s="25" t="n">
        <v>5</v>
      </c>
      <c r="H3981" s="25" t="n">
        <v>33</v>
      </c>
      <c r="I3981" s="25" t="inlineStr">
        <is>
          <t>3 minute(s) and 31 second(s)</t>
        </is>
      </c>
      <c r="J3981" s="25">
        <f>IFERROR(VALUE(TRIM(LEFT(I3981,FIND("minute",I3981)-1)))*60,0)+IFERROR(VALUE(SUBSTITUTE(MID(I3981,IFERROR(FIND("and",I3981)+3,1),20),"second(s)","")),0)</f>
        <v/>
      </c>
      <c r="K3981" s="41">
        <f>J3981/60</f>
        <v/>
      </c>
      <c r="L3981" s="41">
        <f>IFERROR(J3981/H3981,"")</f>
        <v/>
      </c>
      <c r="M3981" s="25" t="inlineStr">
        <is>
          <t>2.5.12</t>
        </is>
      </c>
      <c r="N3981" s="25">
        <f>IF(J3981&gt;300,1,0)</f>
        <v/>
      </c>
      <c r="O3981" s="25">
        <f>IF(J3981&gt;600,1,0)</f>
        <v/>
      </c>
      <c r="P3981" s="25">
        <f>IF(H3981&gt;0,J3981,"")</f>
        <v/>
      </c>
      <c r="Q3981" s="25">
        <f>TEXT(A3981,"YYYY-MM-DD HH")</f>
        <v/>
      </c>
      <c r="R3981" s="25">
        <f>COUNTIF($Q$2:$Q$5295,Q3981)</f>
        <v/>
      </c>
      <c r="S3981" s="25">
        <f>IF(R3981&lt;=2,"1-2",IF(R3981&lt;=5,"3-5",IF(R3981&lt;=10,"6-10","11+")))</f>
        <v/>
      </c>
    </row>
    <row r="3982">
      <c r="A3982" s="39" t="n">
        <v>46218.55113425926</v>
      </c>
      <c r="B3982" s="25">
        <f>TEXT(A3982,"YYYY-MM")</f>
        <v/>
      </c>
      <c r="C3982" s="25">
        <f>TEXT(A3982,"MMM-YYYY")</f>
        <v/>
      </c>
      <c r="D3982" s="40">
        <f>INT(A3982)-WEEKDAY(A3982,2)+1</f>
        <v/>
      </c>
      <c r="E3982" s="25" t="inlineStr">
        <is>
          <t>aghosh</t>
        </is>
      </c>
      <c r="F3982" s="25" t="n">
        <v>132001</v>
      </c>
      <c r="G3982" s="25" t="n">
        <v>4</v>
      </c>
      <c r="H3982" s="25" t="n">
        <v>26</v>
      </c>
      <c r="I3982" s="25" t="inlineStr">
        <is>
          <t>2 minute(s) and 33 second(s)</t>
        </is>
      </c>
      <c r="J3982" s="25">
        <f>IFERROR(VALUE(TRIM(LEFT(I3982,FIND("minute",I3982)-1)))*60,0)+IFERROR(VALUE(SUBSTITUTE(MID(I3982,IFERROR(FIND("and",I3982)+3,1),20),"second(s)","")),0)</f>
        <v/>
      </c>
      <c r="K3982" s="41">
        <f>J3982/60</f>
        <v/>
      </c>
      <c r="L3982" s="41">
        <f>IFERROR(J3982/H3982,"")</f>
        <v/>
      </c>
      <c r="M3982" s="25" t="inlineStr">
        <is>
          <t>2.5.12</t>
        </is>
      </c>
      <c r="N3982" s="25">
        <f>IF(J3982&gt;300,1,0)</f>
        <v/>
      </c>
      <c r="O3982" s="25">
        <f>IF(J3982&gt;600,1,0)</f>
        <v/>
      </c>
      <c r="P3982" s="25">
        <f>IF(H3982&gt;0,J3982,"")</f>
        <v/>
      </c>
      <c r="Q3982" s="25">
        <f>TEXT(A3982,"YYYY-MM-DD HH")</f>
        <v/>
      </c>
      <c r="R3982" s="25">
        <f>COUNTIF($Q$2:$Q$5295,Q3982)</f>
        <v/>
      </c>
      <c r="S3982" s="25">
        <f>IF(R3982&lt;=2,"1-2",IF(R3982&lt;=5,"3-5",IF(R3982&lt;=10,"6-10","11+")))</f>
        <v/>
      </c>
    </row>
    <row r="3983">
      <c r="A3983" s="39" t="n">
        <v>46218.5809375</v>
      </c>
      <c r="B3983" s="25">
        <f>TEXT(A3983,"YYYY-MM")</f>
        <v/>
      </c>
      <c r="C3983" s="25">
        <f>TEXT(A3983,"MMM-YYYY")</f>
        <v/>
      </c>
      <c r="D3983" s="40">
        <f>INT(A3983)-WEEKDAY(A3983,2)+1</f>
        <v/>
      </c>
      <c r="E3983" s="25" t="inlineStr">
        <is>
          <t>dchoudhury</t>
        </is>
      </c>
      <c r="F3983" s="25" t="n">
        <v>128888</v>
      </c>
      <c r="G3983" s="25" t="n">
        <v>2</v>
      </c>
      <c r="H3983" s="25" t="n">
        <v>8</v>
      </c>
      <c r="I3983" s="25" t="inlineStr">
        <is>
          <t>41 second(s)</t>
        </is>
      </c>
      <c r="J3983" s="25">
        <f>IFERROR(VALUE(TRIM(LEFT(I3983,FIND("minute",I3983)-1)))*60,0)+IFERROR(VALUE(SUBSTITUTE(MID(I3983,IFERROR(FIND("and",I3983)+3,1),20),"second(s)","")),0)</f>
        <v/>
      </c>
      <c r="K3983" s="41">
        <f>J3983/60</f>
        <v/>
      </c>
      <c r="L3983" s="41">
        <f>IFERROR(J3983/H3983,"")</f>
        <v/>
      </c>
      <c r="M3983" s="25" t="inlineStr">
        <is>
          <t>2.5.12</t>
        </is>
      </c>
      <c r="N3983" s="25">
        <f>IF(J3983&gt;300,1,0)</f>
        <v/>
      </c>
      <c r="O3983" s="25">
        <f>IF(J3983&gt;600,1,0)</f>
        <v/>
      </c>
      <c r="P3983" s="25">
        <f>IF(H3983&gt;0,J3983,"")</f>
        <v/>
      </c>
      <c r="Q3983" s="25">
        <f>TEXT(A3983,"YYYY-MM-DD HH")</f>
        <v/>
      </c>
      <c r="R3983" s="25">
        <f>COUNTIF($Q$2:$Q$5295,Q3983)</f>
        <v/>
      </c>
      <c r="S3983" s="25">
        <f>IF(R3983&lt;=2,"1-2",IF(R3983&lt;=5,"3-5",IF(R3983&lt;=10,"6-10","11+")))</f>
        <v/>
      </c>
    </row>
    <row r="3984">
      <c r="A3984" s="39" t="n">
        <v>46218.5908449074</v>
      </c>
      <c r="B3984" s="25">
        <f>TEXT(A3984,"YYYY-MM")</f>
        <v/>
      </c>
      <c r="C3984" s="25">
        <f>TEXT(A3984,"MMM-YYYY")</f>
        <v/>
      </c>
      <c r="D3984" s="40">
        <f>INT(A3984)-WEEKDAY(A3984,2)+1</f>
        <v/>
      </c>
      <c r="E3984" s="25" t="inlineStr">
        <is>
          <t>sthomas</t>
        </is>
      </c>
      <c r="F3984" s="25" t="n">
        <v>132447</v>
      </c>
      <c r="G3984" s="25" t="n">
        <v>3</v>
      </c>
      <c r="H3984" s="25" t="n">
        <v>18</v>
      </c>
      <c r="I3984" s="25" t="inlineStr">
        <is>
          <t>2 minute(s) and 37 second(s)</t>
        </is>
      </c>
      <c r="J3984" s="25">
        <f>IFERROR(VALUE(TRIM(LEFT(I3984,FIND("minute",I3984)-1)))*60,0)+IFERROR(VALUE(SUBSTITUTE(MID(I3984,IFERROR(FIND("and",I3984)+3,1),20),"second(s)","")),0)</f>
        <v/>
      </c>
      <c r="K3984" s="41">
        <f>J3984/60</f>
        <v/>
      </c>
      <c r="L3984" s="41">
        <f>IFERROR(J3984/H3984,"")</f>
        <v/>
      </c>
      <c r="M3984" s="25" t="inlineStr">
        <is>
          <t>2.5.12</t>
        </is>
      </c>
      <c r="N3984" s="25">
        <f>IF(J3984&gt;300,1,0)</f>
        <v/>
      </c>
      <c r="O3984" s="25">
        <f>IF(J3984&gt;600,1,0)</f>
        <v/>
      </c>
      <c r="P3984" s="25">
        <f>IF(H3984&gt;0,J3984,"")</f>
        <v/>
      </c>
      <c r="Q3984" s="25">
        <f>TEXT(A3984,"YYYY-MM-DD HH")</f>
        <v/>
      </c>
      <c r="R3984" s="25">
        <f>COUNTIF($Q$2:$Q$5295,Q3984)</f>
        <v/>
      </c>
      <c r="S3984" s="25">
        <f>IF(R3984&lt;=2,"1-2",IF(R3984&lt;=5,"3-5",IF(R3984&lt;=10,"6-10","11+")))</f>
        <v/>
      </c>
    </row>
    <row r="3985">
      <c r="A3985" s="39" t="n">
        <v>46218.61487268518</v>
      </c>
      <c r="B3985" s="25">
        <f>TEXT(A3985,"YYYY-MM")</f>
        <v/>
      </c>
      <c r="C3985" s="25">
        <f>TEXT(A3985,"MMM-YYYY")</f>
        <v/>
      </c>
      <c r="D3985" s="40">
        <f>INT(A3985)-WEEKDAY(A3985,2)+1</f>
        <v/>
      </c>
      <c r="E3985" s="25" t="inlineStr">
        <is>
          <t>hsindwani</t>
        </is>
      </c>
      <c r="F3985" s="25" t="n">
        <v>129808</v>
      </c>
      <c r="G3985" s="25" t="n">
        <v>1</v>
      </c>
      <c r="H3985" s="25" t="n">
        <v>5</v>
      </c>
      <c r="I3985" s="25" t="inlineStr">
        <is>
          <t>27 second(s)</t>
        </is>
      </c>
      <c r="J3985" s="25">
        <f>IFERROR(VALUE(TRIM(LEFT(I3985,FIND("minute",I3985)-1)))*60,0)+IFERROR(VALUE(SUBSTITUTE(MID(I3985,IFERROR(FIND("and",I3985)+3,1),20),"second(s)","")),0)</f>
        <v/>
      </c>
      <c r="K3985" s="41">
        <f>J3985/60</f>
        <v/>
      </c>
      <c r="L3985" s="41">
        <f>IFERROR(J3985/H3985,"")</f>
        <v/>
      </c>
      <c r="M3985" s="25" t="inlineStr">
        <is>
          <t>2.5.12</t>
        </is>
      </c>
      <c r="N3985" s="25">
        <f>IF(J3985&gt;300,1,0)</f>
        <v/>
      </c>
      <c r="O3985" s="25">
        <f>IF(J3985&gt;600,1,0)</f>
        <v/>
      </c>
      <c r="P3985" s="25">
        <f>IF(H3985&gt;0,J3985,"")</f>
        <v/>
      </c>
      <c r="Q3985" s="25">
        <f>TEXT(A3985,"YYYY-MM-DD HH")</f>
        <v/>
      </c>
      <c r="R3985" s="25">
        <f>COUNTIF($Q$2:$Q$5295,Q3985)</f>
        <v/>
      </c>
      <c r="S3985" s="25">
        <f>IF(R3985&lt;=2,"1-2",IF(R3985&lt;=5,"3-5",IF(R3985&lt;=10,"6-10","11+")))</f>
        <v/>
      </c>
    </row>
    <row r="3986">
      <c r="A3986" s="39" t="n">
        <v>46218.66763888889</v>
      </c>
      <c r="B3986" s="25">
        <f>TEXT(A3986,"YYYY-MM")</f>
        <v/>
      </c>
      <c r="C3986" s="25">
        <f>TEXT(A3986,"MMM-YYYY")</f>
        <v/>
      </c>
      <c r="D3986" s="40">
        <f>INT(A3986)-WEEKDAY(A3986,2)+1</f>
        <v/>
      </c>
      <c r="E3986" s="25" t="inlineStr">
        <is>
          <t>rsingh</t>
        </is>
      </c>
      <c r="F3986" s="25" t="n">
        <v>132994</v>
      </c>
      <c r="G3986" s="25" t="n">
        <v>2</v>
      </c>
      <c r="H3986" s="25" t="n">
        <v>14</v>
      </c>
      <c r="I3986" s="25" t="inlineStr">
        <is>
          <t>1 minute(s) and 40 second(s)</t>
        </is>
      </c>
      <c r="J3986" s="25">
        <f>IFERROR(VALUE(TRIM(LEFT(I3986,FIND("minute",I3986)-1)))*60,0)+IFERROR(VALUE(SUBSTITUTE(MID(I3986,IFERROR(FIND("and",I3986)+3,1),20),"second(s)","")),0)</f>
        <v/>
      </c>
      <c r="K3986" s="41">
        <f>J3986/60</f>
        <v/>
      </c>
      <c r="L3986" s="41">
        <f>IFERROR(J3986/H3986,"")</f>
        <v/>
      </c>
      <c r="M3986" s="25" t="inlineStr">
        <is>
          <t>2.5.12</t>
        </is>
      </c>
      <c r="N3986" s="25">
        <f>IF(J3986&gt;300,1,0)</f>
        <v/>
      </c>
      <c r="O3986" s="25">
        <f>IF(J3986&gt;600,1,0)</f>
        <v/>
      </c>
      <c r="P3986" s="25">
        <f>IF(H3986&gt;0,J3986,"")</f>
        <v/>
      </c>
      <c r="Q3986" s="25">
        <f>TEXT(A3986,"YYYY-MM-DD HH")</f>
        <v/>
      </c>
      <c r="R3986" s="25">
        <f>COUNTIF($Q$2:$Q$5295,Q3986)</f>
        <v/>
      </c>
      <c r="S3986" s="25">
        <f>IF(R3986&lt;=2,"1-2",IF(R3986&lt;=5,"3-5",IF(R3986&lt;=10,"6-10","11+")))</f>
        <v/>
      </c>
    </row>
    <row r="3987">
      <c r="A3987" s="39" t="n">
        <v>46218.72858796296</v>
      </c>
      <c r="B3987" s="25">
        <f>TEXT(A3987,"YYYY-MM")</f>
        <v/>
      </c>
      <c r="C3987" s="25">
        <f>TEXT(A3987,"MMM-YYYY")</f>
        <v/>
      </c>
      <c r="D3987" s="40">
        <f>INT(A3987)-WEEKDAY(A3987,2)+1</f>
        <v/>
      </c>
      <c r="E3987" s="25" t="inlineStr">
        <is>
          <t>rsingh</t>
        </is>
      </c>
      <c r="F3987" s="25" t="n">
        <v>128655</v>
      </c>
      <c r="G3987" s="25" t="n">
        <v>4</v>
      </c>
      <c r="H3987" s="25" t="n">
        <v>24</v>
      </c>
      <c r="I3987" s="25" t="inlineStr">
        <is>
          <t>5 minute(s) and 0 second(s)</t>
        </is>
      </c>
      <c r="J3987" s="25">
        <f>IFERROR(VALUE(TRIM(LEFT(I3987,FIND("minute",I3987)-1)))*60,0)+IFERROR(VALUE(SUBSTITUTE(MID(I3987,IFERROR(FIND("and",I3987)+3,1),20),"second(s)","")),0)</f>
        <v/>
      </c>
      <c r="K3987" s="41">
        <f>J3987/60</f>
        <v/>
      </c>
      <c r="L3987" s="41">
        <f>IFERROR(J3987/H3987,"")</f>
        <v/>
      </c>
      <c r="M3987" s="25" t="inlineStr">
        <is>
          <t>2.5.12</t>
        </is>
      </c>
      <c r="N3987" s="25">
        <f>IF(J3987&gt;300,1,0)</f>
        <v/>
      </c>
      <c r="O3987" s="25">
        <f>IF(J3987&gt;600,1,0)</f>
        <v/>
      </c>
      <c r="P3987" s="25">
        <f>IF(H3987&gt;0,J3987,"")</f>
        <v/>
      </c>
      <c r="Q3987" s="25">
        <f>TEXT(A3987,"YYYY-MM-DD HH")</f>
        <v/>
      </c>
      <c r="R3987" s="25">
        <f>COUNTIF($Q$2:$Q$5295,Q3987)</f>
        <v/>
      </c>
      <c r="S3987" s="25">
        <f>IF(R3987&lt;=2,"1-2",IF(R3987&lt;=5,"3-5",IF(R3987&lt;=10,"6-10","11+")))</f>
        <v/>
      </c>
    </row>
    <row r="3988">
      <c r="A3988" s="39" t="n">
        <v>46218.76993055556</v>
      </c>
      <c r="B3988" s="25">
        <f>TEXT(A3988,"YYYY-MM")</f>
        <v/>
      </c>
      <c r="C3988" s="25">
        <f>TEXT(A3988,"MMM-YYYY")</f>
        <v/>
      </c>
      <c r="D3988" s="40">
        <f>INT(A3988)-WEEKDAY(A3988,2)+1</f>
        <v/>
      </c>
      <c r="E3988" s="25" t="inlineStr">
        <is>
          <t>rsingh</t>
        </is>
      </c>
      <c r="F3988" s="25" t="n">
        <v>128903</v>
      </c>
      <c r="G3988" s="25" t="n">
        <v>4</v>
      </c>
      <c r="H3988" s="25" t="n">
        <v>18</v>
      </c>
      <c r="I3988" s="25" t="inlineStr">
        <is>
          <t>1 minute(s) and 49 second(s)</t>
        </is>
      </c>
      <c r="J3988" s="25">
        <f>IFERROR(VALUE(TRIM(LEFT(I3988,FIND("minute",I3988)-1)))*60,0)+IFERROR(VALUE(SUBSTITUTE(MID(I3988,IFERROR(FIND("and",I3988)+3,1),20),"second(s)","")),0)</f>
        <v/>
      </c>
      <c r="K3988" s="41">
        <f>J3988/60</f>
        <v/>
      </c>
      <c r="L3988" s="41">
        <f>IFERROR(J3988/H3988,"")</f>
        <v/>
      </c>
      <c r="M3988" s="25" t="inlineStr">
        <is>
          <t>2.5.12</t>
        </is>
      </c>
      <c r="N3988" s="25">
        <f>IF(J3988&gt;300,1,0)</f>
        <v/>
      </c>
      <c r="O3988" s="25">
        <f>IF(J3988&gt;600,1,0)</f>
        <v/>
      </c>
      <c r="P3988" s="25">
        <f>IF(H3988&gt;0,J3988,"")</f>
        <v/>
      </c>
      <c r="Q3988" s="25">
        <f>TEXT(A3988,"YYYY-MM-DD HH")</f>
        <v/>
      </c>
      <c r="R3988" s="25">
        <f>COUNTIF($Q$2:$Q$5295,Q3988)</f>
        <v/>
      </c>
      <c r="S3988" s="25">
        <f>IF(R3988&lt;=2,"1-2",IF(R3988&lt;=5,"3-5",IF(R3988&lt;=10,"6-10","11+")))</f>
        <v/>
      </c>
    </row>
    <row r="3989">
      <c r="A3989" s="39" t="n">
        <v>46218.77925925926</v>
      </c>
      <c r="B3989" s="25">
        <f>TEXT(A3989,"YYYY-MM")</f>
        <v/>
      </c>
      <c r="C3989" s="25">
        <f>TEXT(A3989,"MMM-YYYY")</f>
        <v/>
      </c>
      <c r="D3989" s="40">
        <f>INT(A3989)-WEEKDAY(A3989,2)+1</f>
        <v/>
      </c>
      <c r="E3989" s="25" t="inlineStr">
        <is>
          <t>hsindwani</t>
        </is>
      </c>
      <c r="F3989" s="25" t="n">
        <v>130190</v>
      </c>
      <c r="G3989" s="25" t="n">
        <v>1</v>
      </c>
      <c r="H3989" s="25" t="n">
        <v>7</v>
      </c>
      <c r="I3989" s="25" t="inlineStr">
        <is>
          <t>41 second(s)</t>
        </is>
      </c>
      <c r="J3989" s="25">
        <f>IFERROR(VALUE(TRIM(LEFT(I3989,FIND("minute",I3989)-1)))*60,0)+IFERROR(VALUE(SUBSTITUTE(MID(I3989,IFERROR(FIND("and",I3989)+3,1),20),"second(s)","")),0)</f>
        <v/>
      </c>
      <c r="K3989" s="41">
        <f>J3989/60</f>
        <v/>
      </c>
      <c r="L3989" s="41">
        <f>IFERROR(J3989/H3989,"")</f>
        <v/>
      </c>
      <c r="M3989" s="25" t="inlineStr">
        <is>
          <t>2.5.12</t>
        </is>
      </c>
      <c r="N3989" s="25">
        <f>IF(J3989&gt;300,1,0)</f>
        <v/>
      </c>
      <c r="O3989" s="25">
        <f>IF(J3989&gt;600,1,0)</f>
        <v/>
      </c>
      <c r="P3989" s="25">
        <f>IF(H3989&gt;0,J3989,"")</f>
        <v/>
      </c>
      <c r="Q3989" s="25">
        <f>TEXT(A3989,"YYYY-MM-DD HH")</f>
        <v/>
      </c>
      <c r="R3989" s="25">
        <f>COUNTIF($Q$2:$Q$5295,Q3989)</f>
        <v/>
      </c>
      <c r="S3989" s="25">
        <f>IF(R3989&lt;=2,"1-2",IF(R3989&lt;=5,"3-5",IF(R3989&lt;=10,"6-10","11+")))</f>
        <v/>
      </c>
    </row>
    <row r="3990">
      <c r="A3990" s="39" t="n">
        <v>46218.78646990741</v>
      </c>
      <c r="B3990" s="25">
        <f>TEXT(A3990,"YYYY-MM")</f>
        <v/>
      </c>
      <c r="C3990" s="25">
        <f>TEXT(A3990,"MMM-YYYY")</f>
        <v/>
      </c>
      <c r="D3990" s="40">
        <f>INT(A3990)-WEEKDAY(A3990,2)+1</f>
        <v/>
      </c>
      <c r="E3990" s="25" t="inlineStr">
        <is>
          <t>dchoudhury</t>
        </is>
      </c>
      <c r="F3990" s="25" t="n">
        <v>132994</v>
      </c>
      <c r="G3990" s="25" t="n">
        <v>3</v>
      </c>
      <c r="H3990" s="25" t="n">
        <v>11</v>
      </c>
      <c r="I3990" s="25" t="inlineStr">
        <is>
          <t>1 minute(s) and 0 second(s)</t>
        </is>
      </c>
      <c r="J3990" s="25">
        <f>IFERROR(VALUE(TRIM(LEFT(I3990,FIND("minute",I3990)-1)))*60,0)+IFERROR(VALUE(SUBSTITUTE(MID(I3990,IFERROR(FIND("and",I3990)+3,1),20),"second(s)","")),0)</f>
        <v/>
      </c>
      <c r="K3990" s="41">
        <f>J3990/60</f>
        <v/>
      </c>
      <c r="L3990" s="41">
        <f>IFERROR(J3990/H3990,"")</f>
        <v/>
      </c>
      <c r="M3990" s="25" t="inlineStr">
        <is>
          <t>2.5.12</t>
        </is>
      </c>
      <c r="N3990" s="25">
        <f>IF(J3990&gt;300,1,0)</f>
        <v/>
      </c>
      <c r="O3990" s="25">
        <f>IF(J3990&gt;600,1,0)</f>
        <v/>
      </c>
      <c r="P3990" s="25">
        <f>IF(H3990&gt;0,J3990,"")</f>
        <v/>
      </c>
      <c r="Q3990" s="25">
        <f>TEXT(A3990,"YYYY-MM-DD HH")</f>
        <v/>
      </c>
      <c r="R3990" s="25">
        <f>COUNTIF($Q$2:$Q$5295,Q3990)</f>
        <v/>
      </c>
      <c r="S3990" s="25">
        <f>IF(R3990&lt;=2,"1-2",IF(R3990&lt;=5,"3-5",IF(R3990&lt;=10,"6-10","11+")))</f>
        <v/>
      </c>
    </row>
    <row r="3991">
      <c r="A3991" s="39" t="n">
        <v>46218.81868055555</v>
      </c>
      <c r="B3991" s="25">
        <f>TEXT(A3991,"YYYY-MM")</f>
        <v/>
      </c>
      <c r="C3991" s="25">
        <f>TEXT(A3991,"MMM-YYYY")</f>
        <v/>
      </c>
      <c r="D3991" s="40">
        <f>INT(A3991)-WEEKDAY(A3991,2)+1</f>
        <v/>
      </c>
      <c r="E3991" s="25" t="inlineStr">
        <is>
          <t>hsindwani</t>
        </is>
      </c>
      <c r="F3991" s="25" t="n">
        <v>130190</v>
      </c>
      <c r="G3991" s="25" t="n">
        <v>1</v>
      </c>
      <c r="H3991" s="25" t="n">
        <v>3</v>
      </c>
      <c r="I3991" s="25" t="inlineStr">
        <is>
          <t>1 minute(s) and 30 second(s)</t>
        </is>
      </c>
      <c r="J3991" s="25">
        <f>IFERROR(VALUE(TRIM(LEFT(I3991,FIND("minute",I3991)-1)))*60,0)+IFERROR(VALUE(SUBSTITUTE(MID(I3991,IFERROR(FIND("and",I3991)+3,1),20),"second(s)","")),0)</f>
        <v/>
      </c>
      <c r="K3991" s="41">
        <f>J3991/60</f>
        <v/>
      </c>
      <c r="L3991" s="41">
        <f>IFERROR(J3991/H3991,"")</f>
        <v/>
      </c>
      <c r="M3991" s="25" t="inlineStr">
        <is>
          <t>2.5.12</t>
        </is>
      </c>
      <c r="N3991" s="25">
        <f>IF(J3991&gt;300,1,0)</f>
        <v/>
      </c>
      <c r="O3991" s="25">
        <f>IF(J3991&gt;600,1,0)</f>
        <v/>
      </c>
      <c r="P3991" s="25">
        <f>IF(H3991&gt;0,J3991,"")</f>
        <v/>
      </c>
      <c r="Q3991" s="25">
        <f>TEXT(A3991,"YYYY-MM-DD HH")</f>
        <v/>
      </c>
      <c r="R3991" s="25">
        <f>COUNTIF($Q$2:$Q$5295,Q3991)</f>
        <v/>
      </c>
      <c r="S3991" s="25">
        <f>IF(R3991&lt;=2,"1-2",IF(R3991&lt;=5,"3-5",IF(R3991&lt;=10,"6-10","11+")))</f>
        <v/>
      </c>
    </row>
    <row r="3992">
      <c r="A3992" s="39" t="n">
        <v>46218.86160879629</v>
      </c>
      <c r="B3992" s="25">
        <f>TEXT(A3992,"YYYY-MM")</f>
        <v/>
      </c>
      <c r="C3992" s="25">
        <f>TEXT(A3992,"MMM-YYYY")</f>
        <v/>
      </c>
      <c r="D3992" s="40">
        <f>INT(A3992)-WEEKDAY(A3992,2)+1</f>
        <v/>
      </c>
      <c r="E3992" s="25" t="inlineStr">
        <is>
          <t>dchoudhury</t>
        </is>
      </c>
      <c r="F3992" s="25" t="n">
        <v>129496</v>
      </c>
      <c r="G3992" s="25" t="n">
        <v>2</v>
      </c>
      <c r="H3992" s="25" t="n">
        <v>8</v>
      </c>
      <c r="I3992" s="25" t="inlineStr">
        <is>
          <t>40 second(s)</t>
        </is>
      </c>
      <c r="J3992" s="25">
        <f>IFERROR(VALUE(TRIM(LEFT(I3992,FIND("minute",I3992)-1)))*60,0)+IFERROR(VALUE(SUBSTITUTE(MID(I3992,IFERROR(FIND("and",I3992)+3,1),20),"second(s)","")),0)</f>
        <v/>
      </c>
      <c r="K3992" s="41">
        <f>J3992/60</f>
        <v/>
      </c>
      <c r="L3992" s="41">
        <f>IFERROR(J3992/H3992,"")</f>
        <v/>
      </c>
      <c r="M3992" s="25" t="inlineStr">
        <is>
          <t>2.5.12</t>
        </is>
      </c>
      <c r="N3992" s="25">
        <f>IF(J3992&gt;300,1,0)</f>
        <v/>
      </c>
      <c r="O3992" s="25">
        <f>IF(J3992&gt;600,1,0)</f>
        <v/>
      </c>
      <c r="P3992" s="25">
        <f>IF(H3992&gt;0,J3992,"")</f>
        <v/>
      </c>
      <c r="Q3992" s="25">
        <f>TEXT(A3992,"YYYY-MM-DD HH")</f>
        <v/>
      </c>
      <c r="R3992" s="25">
        <f>COUNTIF($Q$2:$Q$5295,Q3992)</f>
        <v/>
      </c>
      <c r="S3992" s="25">
        <f>IF(R3992&lt;=2,"1-2",IF(R3992&lt;=5,"3-5",IF(R3992&lt;=10,"6-10","11+")))</f>
        <v/>
      </c>
    </row>
    <row r="3993">
      <c r="A3993" s="39" t="n">
        <v>46218.90103009259</v>
      </c>
      <c r="B3993" s="25">
        <f>TEXT(A3993,"YYYY-MM")</f>
        <v/>
      </c>
      <c r="C3993" s="25">
        <f>TEXT(A3993,"MMM-YYYY")</f>
        <v/>
      </c>
      <c r="D3993" s="40">
        <f>INT(A3993)-WEEKDAY(A3993,2)+1</f>
        <v/>
      </c>
      <c r="E3993" s="25" t="inlineStr">
        <is>
          <t>dchoudhury</t>
        </is>
      </c>
      <c r="F3993" s="25" t="n">
        <v>131896</v>
      </c>
      <c r="G3993" s="25" t="n">
        <v>1</v>
      </c>
      <c r="H3993" s="25" t="n">
        <v>5</v>
      </c>
      <c r="I3993" s="25" t="inlineStr">
        <is>
          <t>27 second(s)</t>
        </is>
      </c>
      <c r="J3993" s="25">
        <f>IFERROR(VALUE(TRIM(LEFT(I3993,FIND("minute",I3993)-1)))*60,0)+IFERROR(VALUE(SUBSTITUTE(MID(I3993,IFERROR(FIND("and",I3993)+3,1),20),"second(s)","")),0)</f>
        <v/>
      </c>
      <c r="K3993" s="41">
        <f>J3993/60</f>
        <v/>
      </c>
      <c r="L3993" s="41">
        <f>IFERROR(J3993/H3993,"")</f>
        <v/>
      </c>
      <c r="M3993" s="25" t="inlineStr">
        <is>
          <t>2.5.12</t>
        </is>
      </c>
      <c r="N3993" s="25">
        <f>IF(J3993&gt;300,1,0)</f>
        <v/>
      </c>
      <c r="O3993" s="25">
        <f>IF(J3993&gt;600,1,0)</f>
        <v/>
      </c>
      <c r="P3993" s="25">
        <f>IF(H3993&gt;0,J3993,"")</f>
        <v/>
      </c>
      <c r="Q3993" s="25">
        <f>TEXT(A3993,"YYYY-MM-DD HH")</f>
        <v/>
      </c>
      <c r="R3993" s="25">
        <f>COUNTIF($Q$2:$Q$5295,Q3993)</f>
        <v/>
      </c>
      <c r="S3993" s="25">
        <f>IF(R3993&lt;=2,"1-2",IF(R3993&lt;=5,"3-5",IF(R3993&lt;=10,"6-10","11+")))</f>
        <v/>
      </c>
    </row>
    <row r="3994">
      <c r="A3994" s="39" t="n">
        <v>46218.91405092592</v>
      </c>
      <c r="B3994" s="25">
        <f>TEXT(A3994,"YYYY-MM")</f>
        <v/>
      </c>
      <c r="C3994" s="25">
        <f>TEXT(A3994,"MMM-YYYY")</f>
        <v/>
      </c>
      <c r="D3994" s="40">
        <f>INT(A3994)-WEEKDAY(A3994,2)+1</f>
        <v/>
      </c>
      <c r="E3994" s="25" t="inlineStr">
        <is>
          <t>sswati</t>
        </is>
      </c>
      <c r="F3994" s="25" t="n">
        <v>131568</v>
      </c>
      <c r="G3994" s="25" t="n">
        <v>4</v>
      </c>
      <c r="H3994" s="25" t="n">
        <v>18</v>
      </c>
      <c r="I3994" s="25" t="inlineStr">
        <is>
          <t>2 minute(s) and 57 second(s)</t>
        </is>
      </c>
      <c r="J3994" s="25">
        <f>IFERROR(VALUE(TRIM(LEFT(I3994,FIND("minute",I3994)-1)))*60,0)+IFERROR(VALUE(SUBSTITUTE(MID(I3994,IFERROR(FIND("and",I3994)+3,1),20),"second(s)","")),0)</f>
        <v/>
      </c>
      <c r="K3994" s="41">
        <f>J3994/60</f>
        <v/>
      </c>
      <c r="L3994" s="41">
        <f>IFERROR(J3994/H3994,"")</f>
        <v/>
      </c>
      <c r="M3994" s="25" t="inlineStr">
        <is>
          <t>2.5.12</t>
        </is>
      </c>
      <c r="N3994" s="25">
        <f>IF(J3994&gt;300,1,0)</f>
        <v/>
      </c>
      <c r="O3994" s="25">
        <f>IF(J3994&gt;600,1,0)</f>
        <v/>
      </c>
      <c r="P3994" s="25">
        <f>IF(H3994&gt;0,J3994,"")</f>
        <v/>
      </c>
      <c r="Q3994" s="25">
        <f>TEXT(A3994,"YYYY-MM-DD HH")</f>
        <v/>
      </c>
      <c r="R3994" s="25">
        <f>COUNTIF($Q$2:$Q$5295,Q3994)</f>
        <v/>
      </c>
      <c r="S3994" s="25">
        <f>IF(R3994&lt;=2,"1-2",IF(R3994&lt;=5,"3-5",IF(R3994&lt;=10,"6-10","11+")))</f>
        <v/>
      </c>
    </row>
    <row r="3995">
      <c r="A3995" s="39" t="n">
        <v>46218.93341435185</v>
      </c>
      <c r="B3995" s="25">
        <f>TEXT(A3995,"YYYY-MM")</f>
        <v/>
      </c>
      <c r="C3995" s="25">
        <f>TEXT(A3995,"MMM-YYYY")</f>
        <v/>
      </c>
      <c r="D3995" s="40">
        <f>INT(A3995)-WEEKDAY(A3995,2)+1</f>
        <v/>
      </c>
      <c r="E3995" s="25" t="inlineStr">
        <is>
          <t>ssrinivasan</t>
        </is>
      </c>
      <c r="F3995" s="25" t="n">
        <v>129202</v>
      </c>
      <c r="G3995" s="25" t="n">
        <v>1</v>
      </c>
      <c r="H3995" s="25" t="n">
        <v>7</v>
      </c>
      <c r="I3995" s="25" t="inlineStr">
        <is>
          <t>50 second(s)</t>
        </is>
      </c>
      <c r="J3995" s="25">
        <f>IFERROR(VALUE(TRIM(LEFT(I3995,FIND("minute",I3995)-1)))*60,0)+IFERROR(VALUE(SUBSTITUTE(MID(I3995,IFERROR(FIND("and",I3995)+3,1),20),"second(s)","")),0)</f>
        <v/>
      </c>
      <c r="K3995" s="41">
        <f>J3995/60</f>
        <v/>
      </c>
      <c r="L3995" s="41">
        <f>IFERROR(J3995/H3995,"")</f>
        <v/>
      </c>
      <c r="M3995" s="25" t="inlineStr">
        <is>
          <t>2.5.12</t>
        </is>
      </c>
      <c r="N3995" s="25">
        <f>IF(J3995&gt;300,1,0)</f>
        <v/>
      </c>
      <c r="O3995" s="25">
        <f>IF(J3995&gt;600,1,0)</f>
        <v/>
      </c>
      <c r="P3995" s="25">
        <f>IF(H3995&gt;0,J3995,"")</f>
        <v/>
      </c>
      <c r="Q3995" s="25">
        <f>TEXT(A3995,"YYYY-MM-DD HH")</f>
        <v/>
      </c>
      <c r="R3995" s="25">
        <f>COUNTIF($Q$2:$Q$5295,Q3995)</f>
        <v/>
      </c>
      <c r="S3995" s="25">
        <f>IF(R3995&lt;=2,"1-2",IF(R3995&lt;=5,"3-5",IF(R3995&lt;=10,"6-10","11+")))</f>
        <v/>
      </c>
    </row>
    <row r="3996">
      <c r="A3996" s="39" t="n">
        <v>46218.9434375</v>
      </c>
      <c r="B3996" s="25">
        <f>TEXT(A3996,"YYYY-MM")</f>
        <v/>
      </c>
      <c r="C3996" s="25">
        <f>TEXT(A3996,"MMM-YYYY")</f>
        <v/>
      </c>
      <c r="D3996" s="40">
        <f>INT(A3996)-WEEKDAY(A3996,2)+1</f>
        <v/>
      </c>
      <c r="E3996" s="25" t="inlineStr">
        <is>
          <t>sswati</t>
        </is>
      </c>
      <c r="F3996" s="25" t="n">
        <v>131173</v>
      </c>
      <c r="G3996" s="25" t="n">
        <v>1</v>
      </c>
      <c r="H3996" s="25" t="n">
        <v>7</v>
      </c>
      <c r="I3996" s="25" t="inlineStr">
        <is>
          <t>45 second(s)</t>
        </is>
      </c>
      <c r="J3996" s="25">
        <f>IFERROR(VALUE(TRIM(LEFT(I3996,FIND("minute",I3996)-1)))*60,0)+IFERROR(VALUE(SUBSTITUTE(MID(I3996,IFERROR(FIND("and",I3996)+3,1),20),"second(s)","")),0)</f>
        <v/>
      </c>
      <c r="K3996" s="41">
        <f>J3996/60</f>
        <v/>
      </c>
      <c r="L3996" s="41">
        <f>IFERROR(J3996/H3996,"")</f>
        <v/>
      </c>
      <c r="M3996" s="25" t="inlineStr">
        <is>
          <t>2.5.12</t>
        </is>
      </c>
      <c r="N3996" s="25">
        <f>IF(J3996&gt;300,1,0)</f>
        <v/>
      </c>
      <c r="O3996" s="25">
        <f>IF(J3996&gt;600,1,0)</f>
        <v/>
      </c>
      <c r="P3996" s="25">
        <f>IF(H3996&gt;0,J3996,"")</f>
        <v/>
      </c>
      <c r="Q3996" s="25">
        <f>TEXT(A3996,"YYYY-MM-DD HH")</f>
        <v/>
      </c>
      <c r="R3996" s="25">
        <f>COUNTIF($Q$2:$Q$5295,Q3996)</f>
        <v/>
      </c>
      <c r="S3996" s="25">
        <f>IF(R3996&lt;=2,"1-2",IF(R3996&lt;=5,"3-5",IF(R3996&lt;=10,"6-10","11+")))</f>
        <v/>
      </c>
    </row>
    <row r="3997">
      <c r="A3997" s="39" t="n">
        <v>46218.94575231482</v>
      </c>
      <c r="B3997" s="25">
        <f>TEXT(A3997,"YYYY-MM")</f>
        <v/>
      </c>
      <c r="C3997" s="25">
        <f>TEXT(A3997,"MMM-YYYY")</f>
        <v/>
      </c>
      <c r="D3997" s="40">
        <f>INT(A3997)-WEEKDAY(A3997,2)+1</f>
        <v/>
      </c>
      <c r="E3997" s="25" t="inlineStr">
        <is>
          <t>sswati</t>
        </is>
      </c>
      <c r="F3997" s="25" t="n">
        <v>131173</v>
      </c>
      <c r="G3997" s="25" t="n">
        <v>2</v>
      </c>
      <c r="H3997" s="25" t="n">
        <v>10</v>
      </c>
      <c r="I3997" s="25" t="inlineStr">
        <is>
          <t>1 minute(s) and 18 second(s)</t>
        </is>
      </c>
      <c r="J3997" s="25">
        <f>IFERROR(VALUE(TRIM(LEFT(I3997,FIND("minute",I3997)-1)))*60,0)+IFERROR(VALUE(SUBSTITUTE(MID(I3997,IFERROR(FIND("and",I3997)+3,1),20),"second(s)","")),0)</f>
        <v/>
      </c>
      <c r="K3997" s="41">
        <f>J3997/60</f>
        <v/>
      </c>
      <c r="L3997" s="41">
        <f>IFERROR(J3997/H3997,"")</f>
        <v/>
      </c>
      <c r="M3997" s="25" t="inlineStr">
        <is>
          <t>2.5.12</t>
        </is>
      </c>
      <c r="N3997" s="25">
        <f>IF(J3997&gt;300,1,0)</f>
        <v/>
      </c>
      <c r="O3997" s="25">
        <f>IF(J3997&gt;600,1,0)</f>
        <v/>
      </c>
      <c r="P3997" s="25">
        <f>IF(H3997&gt;0,J3997,"")</f>
        <v/>
      </c>
      <c r="Q3997" s="25">
        <f>TEXT(A3997,"YYYY-MM-DD HH")</f>
        <v/>
      </c>
      <c r="R3997" s="25">
        <f>COUNTIF($Q$2:$Q$5295,Q3997)</f>
        <v/>
      </c>
      <c r="S3997" s="25">
        <f>IF(R3997&lt;=2,"1-2",IF(R3997&lt;=5,"3-5",IF(R3997&lt;=10,"6-10","11+")))</f>
        <v/>
      </c>
    </row>
    <row r="3998">
      <c r="A3998" s="39" t="n">
        <v>46218.98039351852</v>
      </c>
      <c r="B3998" s="25">
        <f>TEXT(A3998,"YYYY-MM")</f>
        <v/>
      </c>
      <c r="C3998" s="25">
        <f>TEXT(A3998,"MMM-YYYY")</f>
        <v/>
      </c>
      <c r="D3998" s="40">
        <f>INT(A3998)-WEEKDAY(A3998,2)+1</f>
        <v/>
      </c>
      <c r="E3998" s="25" t="inlineStr">
        <is>
          <t>sswati</t>
        </is>
      </c>
      <c r="F3998" s="25" t="n">
        <v>131207</v>
      </c>
      <c r="G3998" s="25" t="n">
        <v>2</v>
      </c>
      <c r="H3998" s="25" t="n">
        <v>10</v>
      </c>
      <c r="I3998" s="25" t="inlineStr">
        <is>
          <t>1 minute(s) and 7 second(s)</t>
        </is>
      </c>
      <c r="J3998" s="25">
        <f>IFERROR(VALUE(TRIM(LEFT(I3998,FIND("minute",I3998)-1)))*60,0)+IFERROR(VALUE(SUBSTITUTE(MID(I3998,IFERROR(FIND("and",I3998)+3,1),20),"second(s)","")),0)</f>
        <v/>
      </c>
      <c r="K3998" s="41">
        <f>J3998/60</f>
        <v/>
      </c>
      <c r="L3998" s="41">
        <f>IFERROR(J3998/H3998,"")</f>
        <v/>
      </c>
      <c r="M3998" s="25" t="inlineStr">
        <is>
          <t>2.5.12</t>
        </is>
      </c>
      <c r="N3998" s="25">
        <f>IF(J3998&gt;300,1,0)</f>
        <v/>
      </c>
      <c r="O3998" s="25">
        <f>IF(J3998&gt;600,1,0)</f>
        <v/>
      </c>
      <c r="P3998" s="25">
        <f>IF(H3998&gt;0,J3998,"")</f>
        <v/>
      </c>
      <c r="Q3998" s="25">
        <f>TEXT(A3998,"YYYY-MM-DD HH")</f>
        <v/>
      </c>
      <c r="R3998" s="25">
        <f>COUNTIF($Q$2:$Q$5295,Q3998)</f>
        <v/>
      </c>
      <c r="S3998" s="25">
        <f>IF(R3998&lt;=2,"1-2",IF(R3998&lt;=5,"3-5",IF(R3998&lt;=10,"6-10","11+")))</f>
        <v/>
      </c>
    </row>
    <row r="3999">
      <c r="A3999" s="39" t="n">
        <v>46218.98148148148</v>
      </c>
      <c r="B3999" s="25">
        <f>TEXT(A3999,"YYYY-MM")</f>
        <v/>
      </c>
      <c r="C3999" s="25">
        <f>TEXT(A3999,"MMM-YYYY")</f>
        <v/>
      </c>
      <c r="D3999" s="40">
        <f>INT(A3999)-WEEKDAY(A3999,2)+1</f>
        <v/>
      </c>
      <c r="E3999" s="25" t="inlineStr">
        <is>
          <t>dchoudhury</t>
        </is>
      </c>
      <c r="F3999" s="25" t="n">
        <v>127984</v>
      </c>
      <c r="G3999" s="25" t="n">
        <v>1</v>
      </c>
      <c r="H3999" s="25" t="n">
        <v>5</v>
      </c>
      <c r="I3999" s="25" t="inlineStr">
        <is>
          <t>23 second(s)</t>
        </is>
      </c>
      <c r="J3999" s="25">
        <f>IFERROR(VALUE(TRIM(LEFT(I3999,FIND("minute",I3999)-1)))*60,0)+IFERROR(VALUE(SUBSTITUTE(MID(I3999,IFERROR(FIND("and",I3999)+3,1),20),"second(s)","")),0)</f>
        <v/>
      </c>
      <c r="K3999" s="41">
        <f>J3999/60</f>
        <v/>
      </c>
      <c r="L3999" s="41">
        <f>IFERROR(J3999/H3999,"")</f>
        <v/>
      </c>
      <c r="M3999" s="25" t="inlineStr">
        <is>
          <t>2.5.12</t>
        </is>
      </c>
      <c r="N3999" s="25">
        <f>IF(J3999&gt;300,1,0)</f>
        <v/>
      </c>
      <c r="O3999" s="25">
        <f>IF(J3999&gt;600,1,0)</f>
        <v/>
      </c>
      <c r="P3999" s="25">
        <f>IF(H3999&gt;0,J3999,"")</f>
        <v/>
      </c>
      <c r="Q3999" s="25">
        <f>TEXT(A3999,"YYYY-MM-DD HH")</f>
        <v/>
      </c>
      <c r="R3999" s="25">
        <f>COUNTIF($Q$2:$Q$5295,Q3999)</f>
        <v/>
      </c>
      <c r="S3999" s="25">
        <f>IF(R3999&lt;=2,"1-2",IF(R3999&lt;=5,"3-5",IF(R3999&lt;=10,"6-10","11+")))</f>
        <v/>
      </c>
    </row>
    <row r="4000">
      <c r="A4000" s="39" t="n">
        <v>46218.99743055556</v>
      </c>
      <c r="B4000" s="25">
        <f>TEXT(A4000,"YYYY-MM")</f>
        <v/>
      </c>
      <c r="C4000" s="25">
        <f>TEXT(A4000,"MMM-YYYY")</f>
        <v/>
      </c>
      <c r="D4000" s="40">
        <f>INT(A4000)-WEEKDAY(A4000,2)+1</f>
        <v/>
      </c>
      <c r="E4000" s="25" t="inlineStr">
        <is>
          <t>psingh</t>
        </is>
      </c>
      <c r="F4000" s="25" t="n">
        <v>131060</v>
      </c>
      <c r="G4000" s="25" t="n">
        <v>3</v>
      </c>
      <c r="H4000" s="25" t="n">
        <v>16</v>
      </c>
      <c r="I4000" s="25" t="inlineStr">
        <is>
          <t>1 minute(s) and 48 second(s)</t>
        </is>
      </c>
      <c r="J4000" s="25">
        <f>IFERROR(VALUE(TRIM(LEFT(I4000,FIND("minute",I4000)-1)))*60,0)+IFERROR(VALUE(SUBSTITUTE(MID(I4000,IFERROR(FIND("and",I4000)+3,1),20),"second(s)","")),0)</f>
        <v/>
      </c>
      <c r="K4000" s="41">
        <f>J4000/60</f>
        <v/>
      </c>
      <c r="L4000" s="41">
        <f>IFERROR(J4000/H4000,"")</f>
        <v/>
      </c>
      <c r="M4000" s="25" t="inlineStr">
        <is>
          <t>2.5.12</t>
        </is>
      </c>
      <c r="N4000" s="25">
        <f>IF(J4000&gt;300,1,0)</f>
        <v/>
      </c>
      <c r="O4000" s="25">
        <f>IF(J4000&gt;600,1,0)</f>
        <v/>
      </c>
      <c r="P4000" s="25">
        <f>IF(H4000&gt;0,J4000,"")</f>
        <v/>
      </c>
      <c r="Q4000" s="25">
        <f>TEXT(A4000,"YYYY-MM-DD HH")</f>
        <v/>
      </c>
      <c r="R4000" s="25">
        <f>COUNTIF($Q$2:$Q$5295,Q4000)</f>
        <v/>
      </c>
      <c r="S4000" s="25">
        <f>IF(R4000&lt;=2,"1-2",IF(R4000&lt;=5,"3-5",IF(R4000&lt;=10,"6-10","11+")))</f>
        <v/>
      </c>
    </row>
    <row r="4001">
      <c r="A4001" s="39" t="n">
        <v>46219.03005787037</v>
      </c>
      <c r="B4001" s="25">
        <f>TEXT(A4001,"YYYY-MM")</f>
        <v/>
      </c>
      <c r="C4001" s="25">
        <f>TEXT(A4001,"MMM-YYYY")</f>
        <v/>
      </c>
      <c r="D4001" s="40">
        <f>INT(A4001)-WEEKDAY(A4001,2)+1</f>
        <v/>
      </c>
      <c r="E4001" s="25" t="inlineStr">
        <is>
          <t>adey</t>
        </is>
      </c>
      <c r="F4001" s="25" t="n">
        <v>128039</v>
      </c>
      <c r="G4001" s="25" t="n">
        <v>4</v>
      </c>
      <c r="H4001" s="25" t="n">
        <v>20</v>
      </c>
      <c r="I4001" s="25" t="inlineStr">
        <is>
          <t>2 minute(s) and 30 second(s)</t>
        </is>
      </c>
      <c r="J4001" s="25">
        <f>IFERROR(VALUE(TRIM(LEFT(I4001,FIND("minute",I4001)-1)))*60,0)+IFERROR(VALUE(SUBSTITUTE(MID(I4001,IFERROR(FIND("and",I4001)+3,1),20),"second(s)","")),0)</f>
        <v/>
      </c>
      <c r="K4001" s="41">
        <f>J4001/60</f>
        <v/>
      </c>
      <c r="L4001" s="41">
        <f>IFERROR(J4001/H4001,"")</f>
        <v/>
      </c>
      <c r="M4001" s="25" t="inlineStr">
        <is>
          <t>2.5.12</t>
        </is>
      </c>
      <c r="N4001" s="25">
        <f>IF(J4001&gt;300,1,0)</f>
        <v/>
      </c>
      <c r="O4001" s="25">
        <f>IF(J4001&gt;600,1,0)</f>
        <v/>
      </c>
      <c r="P4001" s="25">
        <f>IF(H4001&gt;0,J4001,"")</f>
        <v/>
      </c>
      <c r="Q4001" s="25">
        <f>TEXT(A4001,"YYYY-MM-DD HH")</f>
        <v/>
      </c>
      <c r="R4001" s="25">
        <f>COUNTIF($Q$2:$Q$5295,Q4001)</f>
        <v/>
      </c>
      <c r="S4001" s="25">
        <f>IF(R4001&lt;=2,"1-2",IF(R4001&lt;=5,"3-5",IF(R4001&lt;=10,"6-10","11+")))</f>
        <v/>
      </c>
    </row>
    <row r="4002">
      <c r="A4002" s="39" t="n">
        <v>46219.06096064814</v>
      </c>
      <c r="B4002" s="25">
        <f>TEXT(A4002,"YYYY-MM")</f>
        <v/>
      </c>
      <c r="C4002" s="25">
        <f>TEXT(A4002,"MMM-YYYY")</f>
        <v/>
      </c>
      <c r="D4002" s="40">
        <f>INT(A4002)-WEEKDAY(A4002,2)+1</f>
        <v/>
      </c>
      <c r="E4002" s="25" t="inlineStr">
        <is>
          <t>smukhopadhyay</t>
        </is>
      </c>
      <c r="F4002" s="25" t="n">
        <v>128786</v>
      </c>
      <c r="G4002" s="25" t="n">
        <v>3</v>
      </c>
      <c r="H4002" s="25" t="n">
        <v>18</v>
      </c>
      <c r="I4002" s="25" t="inlineStr">
        <is>
          <t>1 minute(s) and 31 second(s)</t>
        </is>
      </c>
      <c r="J4002" s="25">
        <f>IFERROR(VALUE(TRIM(LEFT(I4002,FIND("minute",I4002)-1)))*60,0)+IFERROR(VALUE(SUBSTITUTE(MID(I4002,IFERROR(FIND("and",I4002)+3,1),20),"second(s)","")),0)</f>
        <v/>
      </c>
      <c r="K4002" s="41">
        <f>J4002/60</f>
        <v/>
      </c>
      <c r="L4002" s="41">
        <f>IFERROR(J4002/H4002,"")</f>
        <v/>
      </c>
      <c r="M4002" s="25" t="inlineStr">
        <is>
          <t>2.5.12</t>
        </is>
      </c>
      <c r="N4002" s="25">
        <f>IF(J4002&gt;300,1,0)</f>
        <v/>
      </c>
      <c r="O4002" s="25">
        <f>IF(J4002&gt;600,1,0)</f>
        <v/>
      </c>
      <c r="P4002" s="25">
        <f>IF(H4002&gt;0,J4002,"")</f>
        <v/>
      </c>
      <c r="Q4002" s="25">
        <f>TEXT(A4002,"YYYY-MM-DD HH")</f>
        <v/>
      </c>
      <c r="R4002" s="25">
        <f>COUNTIF($Q$2:$Q$5295,Q4002)</f>
        <v/>
      </c>
      <c r="S4002" s="25">
        <f>IF(R4002&lt;=2,"1-2",IF(R4002&lt;=5,"3-5",IF(R4002&lt;=10,"6-10","11+")))</f>
        <v/>
      </c>
    </row>
    <row r="4003">
      <c r="A4003" s="39" t="n">
        <v>46219.07236111111</v>
      </c>
      <c r="B4003" s="25">
        <f>TEXT(A4003,"YYYY-MM")</f>
        <v/>
      </c>
      <c r="C4003" s="25">
        <f>TEXT(A4003,"MMM-YYYY")</f>
        <v/>
      </c>
      <c r="D4003" s="40">
        <f>INT(A4003)-WEEKDAY(A4003,2)+1</f>
        <v/>
      </c>
      <c r="E4003" s="25" t="inlineStr">
        <is>
          <t>psathwika</t>
        </is>
      </c>
      <c r="F4003" s="25" t="n">
        <v>131143</v>
      </c>
      <c r="G4003" s="25" t="n">
        <v>4</v>
      </c>
      <c r="H4003" s="25" t="n">
        <v>14</v>
      </c>
      <c r="I4003" s="25" t="inlineStr">
        <is>
          <t>1 minute(s) and 40 second(s)</t>
        </is>
      </c>
      <c r="J4003" s="25">
        <f>IFERROR(VALUE(TRIM(LEFT(I4003,FIND("minute",I4003)-1)))*60,0)+IFERROR(VALUE(SUBSTITUTE(MID(I4003,IFERROR(FIND("and",I4003)+3,1),20),"second(s)","")),0)</f>
        <v/>
      </c>
      <c r="K4003" s="41">
        <f>J4003/60</f>
        <v/>
      </c>
      <c r="L4003" s="41">
        <f>IFERROR(J4003/H4003,"")</f>
        <v/>
      </c>
      <c r="M4003" s="25" t="inlineStr">
        <is>
          <t>2.5.12</t>
        </is>
      </c>
      <c r="N4003" s="25">
        <f>IF(J4003&gt;300,1,0)</f>
        <v/>
      </c>
      <c r="O4003" s="25">
        <f>IF(J4003&gt;600,1,0)</f>
        <v/>
      </c>
      <c r="P4003" s="25">
        <f>IF(H4003&gt;0,J4003,"")</f>
        <v/>
      </c>
      <c r="Q4003" s="25">
        <f>TEXT(A4003,"YYYY-MM-DD HH")</f>
        <v/>
      </c>
      <c r="R4003" s="25">
        <f>COUNTIF($Q$2:$Q$5295,Q4003)</f>
        <v/>
      </c>
      <c r="S4003" s="25">
        <f>IF(R4003&lt;=2,"1-2",IF(R4003&lt;=5,"3-5",IF(R4003&lt;=10,"6-10","11+")))</f>
        <v/>
      </c>
    </row>
    <row r="4004">
      <c r="A4004" s="39" t="n">
        <v>46219.07824074074</v>
      </c>
      <c r="B4004" s="25">
        <f>TEXT(A4004,"YYYY-MM")</f>
        <v/>
      </c>
      <c r="C4004" s="25">
        <f>TEXT(A4004,"MMM-YYYY")</f>
        <v/>
      </c>
      <c r="D4004" s="40">
        <f>INT(A4004)-WEEKDAY(A4004,2)+1</f>
        <v/>
      </c>
      <c r="E4004" s="25" t="inlineStr">
        <is>
          <t>shasikha</t>
        </is>
      </c>
      <c r="F4004" s="25" t="n">
        <v>128994</v>
      </c>
      <c r="G4004" s="25" t="n">
        <v>4</v>
      </c>
      <c r="H4004" s="25" t="n">
        <v>18</v>
      </c>
      <c r="I4004" s="25" t="inlineStr">
        <is>
          <t>2 minute(s) and 14 second(s)</t>
        </is>
      </c>
      <c r="J4004" s="25">
        <f>IFERROR(VALUE(TRIM(LEFT(I4004,FIND("minute",I4004)-1)))*60,0)+IFERROR(VALUE(SUBSTITUTE(MID(I4004,IFERROR(FIND("and",I4004)+3,1),20),"second(s)","")),0)</f>
        <v/>
      </c>
      <c r="K4004" s="41">
        <f>J4004/60</f>
        <v/>
      </c>
      <c r="L4004" s="41">
        <f>IFERROR(J4004/H4004,"")</f>
        <v/>
      </c>
      <c r="M4004" s="25" t="inlineStr">
        <is>
          <t>2.5.12</t>
        </is>
      </c>
      <c r="N4004" s="25">
        <f>IF(J4004&gt;300,1,0)</f>
        <v/>
      </c>
      <c r="O4004" s="25">
        <f>IF(J4004&gt;600,1,0)</f>
        <v/>
      </c>
      <c r="P4004" s="25">
        <f>IF(H4004&gt;0,J4004,"")</f>
        <v/>
      </c>
      <c r="Q4004" s="25">
        <f>TEXT(A4004,"YYYY-MM-DD HH")</f>
        <v/>
      </c>
      <c r="R4004" s="25">
        <f>COUNTIF($Q$2:$Q$5295,Q4004)</f>
        <v/>
      </c>
      <c r="S4004" s="25">
        <f>IF(R4004&lt;=2,"1-2",IF(R4004&lt;=5,"3-5",IF(R4004&lt;=10,"6-10","11+")))</f>
        <v/>
      </c>
    </row>
    <row r="4005">
      <c r="A4005" s="39" t="n">
        <v>46219.0902662037</v>
      </c>
      <c r="B4005" s="25">
        <f>TEXT(A4005,"YYYY-MM")</f>
        <v/>
      </c>
      <c r="C4005" s="25">
        <f>TEXT(A4005,"MMM-YYYY")</f>
        <v/>
      </c>
      <c r="D4005" s="40">
        <f>INT(A4005)-WEEKDAY(A4005,2)+1</f>
        <v/>
      </c>
      <c r="E4005" s="25" t="inlineStr">
        <is>
          <t>psingh</t>
        </is>
      </c>
      <c r="F4005" s="25" t="n">
        <v>129594</v>
      </c>
      <c r="G4005" s="25" t="n">
        <v>3</v>
      </c>
      <c r="H4005" s="25" t="n">
        <v>19</v>
      </c>
      <c r="I4005" s="25" t="inlineStr">
        <is>
          <t>3 minute(s) and 42 second(s)</t>
        </is>
      </c>
      <c r="J4005" s="25">
        <f>IFERROR(VALUE(TRIM(LEFT(I4005,FIND("minute",I4005)-1)))*60,0)+IFERROR(VALUE(SUBSTITUTE(MID(I4005,IFERROR(FIND("and",I4005)+3,1),20),"second(s)","")),0)</f>
        <v/>
      </c>
      <c r="K4005" s="41">
        <f>J4005/60</f>
        <v/>
      </c>
      <c r="L4005" s="41">
        <f>IFERROR(J4005/H4005,"")</f>
        <v/>
      </c>
      <c r="M4005" s="25" t="inlineStr">
        <is>
          <t>2.5.12</t>
        </is>
      </c>
      <c r="N4005" s="25">
        <f>IF(J4005&gt;300,1,0)</f>
        <v/>
      </c>
      <c r="O4005" s="25">
        <f>IF(J4005&gt;600,1,0)</f>
        <v/>
      </c>
      <c r="P4005" s="25">
        <f>IF(H4005&gt;0,J4005,"")</f>
        <v/>
      </c>
      <c r="Q4005" s="25">
        <f>TEXT(A4005,"YYYY-MM-DD HH")</f>
        <v/>
      </c>
      <c r="R4005" s="25">
        <f>COUNTIF($Q$2:$Q$5295,Q4005)</f>
        <v/>
      </c>
      <c r="S4005" s="25">
        <f>IF(R4005&lt;=2,"1-2",IF(R4005&lt;=5,"3-5",IF(R4005&lt;=10,"6-10","11+")))</f>
        <v/>
      </c>
    </row>
    <row r="4006">
      <c r="A4006" s="39" t="n">
        <v>46219.09170138889</v>
      </c>
      <c r="B4006" s="25">
        <f>TEXT(A4006,"YYYY-MM")</f>
        <v/>
      </c>
      <c r="C4006" s="25">
        <f>TEXT(A4006,"MMM-YYYY")</f>
        <v/>
      </c>
      <c r="D4006" s="40">
        <f>INT(A4006)-WEEKDAY(A4006,2)+1</f>
        <v/>
      </c>
      <c r="E4006" s="25" t="inlineStr">
        <is>
          <t>apriyadarshi</t>
        </is>
      </c>
      <c r="F4006" s="25" t="n">
        <v>131076</v>
      </c>
      <c r="G4006" s="25" t="n">
        <v>2</v>
      </c>
      <c r="H4006" s="25" t="n">
        <v>10</v>
      </c>
      <c r="I4006" s="25" t="inlineStr">
        <is>
          <t>46 second(s)</t>
        </is>
      </c>
      <c r="J4006" s="25">
        <f>IFERROR(VALUE(TRIM(LEFT(I4006,FIND("minute",I4006)-1)))*60,0)+IFERROR(VALUE(SUBSTITUTE(MID(I4006,IFERROR(FIND("and",I4006)+3,1),20),"second(s)","")),0)</f>
        <v/>
      </c>
      <c r="K4006" s="41">
        <f>J4006/60</f>
        <v/>
      </c>
      <c r="L4006" s="41">
        <f>IFERROR(J4006/H4006,"")</f>
        <v/>
      </c>
      <c r="M4006" s="25" t="inlineStr">
        <is>
          <t>2.5.12</t>
        </is>
      </c>
      <c r="N4006" s="25">
        <f>IF(J4006&gt;300,1,0)</f>
        <v/>
      </c>
      <c r="O4006" s="25">
        <f>IF(J4006&gt;600,1,0)</f>
        <v/>
      </c>
      <c r="P4006" s="25">
        <f>IF(H4006&gt;0,J4006,"")</f>
        <v/>
      </c>
      <c r="Q4006" s="25">
        <f>TEXT(A4006,"YYYY-MM-DD HH")</f>
        <v/>
      </c>
      <c r="R4006" s="25">
        <f>COUNTIF($Q$2:$Q$5295,Q4006)</f>
        <v/>
      </c>
      <c r="S4006" s="25">
        <f>IF(R4006&lt;=2,"1-2",IF(R4006&lt;=5,"3-5",IF(R4006&lt;=10,"6-10","11+")))</f>
        <v/>
      </c>
    </row>
    <row r="4007">
      <c r="A4007" s="39" t="n">
        <v>46219.09384259259</v>
      </c>
      <c r="B4007" s="25">
        <f>TEXT(A4007,"YYYY-MM")</f>
        <v/>
      </c>
      <c r="C4007" s="25">
        <f>TEXT(A4007,"MMM-YYYY")</f>
        <v/>
      </c>
      <c r="D4007" s="40">
        <f>INT(A4007)-WEEKDAY(A4007,2)+1</f>
        <v/>
      </c>
      <c r="E4007" s="25" t="inlineStr">
        <is>
          <t>ns</t>
        </is>
      </c>
      <c r="F4007" s="25" t="n">
        <v>131855</v>
      </c>
      <c r="G4007" s="25" t="n">
        <v>2</v>
      </c>
      <c r="H4007" s="25" t="n">
        <v>11</v>
      </c>
      <c r="I4007" s="25" t="inlineStr">
        <is>
          <t>1 minute(s) and 5 second(s)</t>
        </is>
      </c>
      <c r="J4007" s="25">
        <f>IFERROR(VALUE(TRIM(LEFT(I4007,FIND("minute",I4007)-1)))*60,0)+IFERROR(VALUE(SUBSTITUTE(MID(I4007,IFERROR(FIND("and",I4007)+3,1),20),"second(s)","")),0)</f>
        <v/>
      </c>
      <c r="K4007" s="41">
        <f>J4007/60</f>
        <v/>
      </c>
      <c r="L4007" s="41">
        <f>IFERROR(J4007/H4007,"")</f>
        <v/>
      </c>
      <c r="M4007" s="25" t="inlineStr">
        <is>
          <t>2.5.12</t>
        </is>
      </c>
      <c r="N4007" s="25">
        <f>IF(J4007&gt;300,1,0)</f>
        <v/>
      </c>
      <c r="O4007" s="25">
        <f>IF(J4007&gt;600,1,0)</f>
        <v/>
      </c>
      <c r="P4007" s="25">
        <f>IF(H4007&gt;0,J4007,"")</f>
        <v/>
      </c>
      <c r="Q4007" s="25">
        <f>TEXT(A4007,"YYYY-MM-DD HH")</f>
        <v/>
      </c>
      <c r="R4007" s="25">
        <f>COUNTIF($Q$2:$Q$5295,Q4007)</f>
        <v/>
      </c>
      <c r="S4007" s="25">
        <f>IF(R4007&lt;=2,"1-2",IF(R4007&lt;=5,"3-5",IF(R4007&lt;=10,"6-10","11+")))</f>
        <v/>
      </c>
    </row>
    <row r="4008">
      <c r="A4008" s="39" t="n">
        <v>46219.09605324074</v>
      </c>
      <c r="B4008" s="25">
        <f>TEXT(A4008,"YYYY-MM")</f>
        <v/>
      </c>
      <c r="C4008" s="25">
        <f>TEXT(A4008,"MMM-YYYY")</f>
        <v/>
      </c>
      <c r="D4008" s="40">
        <f>INT(A4008)-WEEKDAY(A4008,2)+1</f>
        <v/>
      </c>
      <c r="E4008" s="25" t="inlineStr">
        <is>
          <t>atiwari</t>
        </is>
      </c>
      <c r="F4008" s="25" t="n">
        <v>128396</v>
      </c>
      <c r="G4008" s="25" t="n">
        <v>2</v>
      </c>
      <c r="H4008" s="25" t="n">
        <v>10</v>
      </c>
      <c r="I4008" s="25" t="inlineStr">
        <is>
          <t>1 minute(s) and 0 second(s)</t>
        </is>
      </c>
      <c r="J4008" s="25">
        <f>IFERROR(VALUE(TRIM(LEFT(I4008,FIND("minute",I4008)-1)))*60,0)+IFERROR(VALUE(SUBSTITUTE(MID(I4008,IFERROR(FIND("and",I4008)+3,1),20),"second(s)","")),0)</f>
        <v/>
      </c>
      <c r="K4008" s="41">
        <f>J4008/60</f>
        <v/>
      </c>
      <c r="L4008" s="41">
        <f>IFERROR(J4008/H4008,"")</f>
        <v/>
      </c>
      <c r="M4008" s="25" t="inlineStr">
        <is>
          <t>2.5.12</t>
        </is>
      </c>
      <c r="N4008" s="25">
        <f>IF(J4008&gt;300,1,0)</f>
        <v/>
      </c>
      <c r="O4008" s="25">
        <f>IF(J4008&gt;600,1,0)</f>
        <v/>
      </c>
      <c r="P4008" s="25">
        <f>IF(H4008&gt;0,J4008,"")</f>
        <v/>
      </c>
      <c r="Q4008" s="25">
        <f>TEXT(A4008,"YYYY-MM-DD HH")</f>
        <v/>
      </c>
      <c r="R4008" s="25">
        <f>COUNTIF($Q$2:$Q$5295,Q4008)</f>
        <v/>
      </c>
      <c r="S4008" s="25">
        <f>IF(R4008&lt;=2,"1-2",IF(R4008&lt;=5,"3-5",IF(R4008&lt;=10,"6-10","11+")))</f>
        <v/>
      </c>
    </row>
    <row r="4009">
      <c r="A4009" s="39" t="n">
        <v>46219.09935185185</v>
      </c>
      <c r="B4009" s="25">
        <f>TEXT(A4009,"YYYY-MM")</f>
        <v/>
      </c>
      <c r="C4009" s="25">
        <f>TEXT(A4009,"MMM-YYYY")</f>
        <v/>
      </c>
      <c r="D4009" s="40">
        <f>INT(A4009)-WEEKDAY(A4009,2)+1</f>
        <v/>
      </c>
      <c r="E4009" s="25" t="inlineStr">
        <is>
          <t>npriya</t>
        </is>
      </c>
      <c r="F4009" s="25" t="n">
        <v>130759</v>
      </c>
      <c r="G4009" s="25" t="n">
        <v>4</v>
      </c>
      <c r="H4009" s="25" t="n">
        <v>26</v>
      </c>
      <c r="I4009" s="25" t="inlineStr">
        <is>
          <t>3 minute(s) and 12 second(s)</t>
        </is>
      </c>
      <c r="J4009" s="25">
        <f>IFERROR(VALUE(TRIM(LEFT(I4009,FIND("minute",I4009)-1)))*60,0)+IFERROR(VALUE(SUBSTITUTE(MID(I4009,IFERROR(FIND("and",I4009)+3,1),20),"second(s)","")),0)</f>
        <v/>
      </c>
      <c r="K4009" s="41">
        <f>J4009/60</f>
        <v/>
      </c>
      <c r="L4009" s="41">
        <f>IFERROR(J4009/H4009,"")</f>
        <v/>
      </c>
      <c r="M4009" s="25" t="inlineStr">
        <is>
          <t>2.5.12</t>
        </is>
      </c>
      <c r="N4009" s="25">
        <f>IF(J4009&gt;300,1,0)</f>
        <v/>
      </c>
      <c r="O4009" s="25">
        <f>IF(J4009&gt;600,1,0)</f>
        <v/>
      </c>
      <c r="P4009" s="25">
        <f>IF(H4009&gt;0,J4009,"")</f>
        <v/>
      </c>
      <c r="Q4009" s="25">
        <f>TEXT(A4009,"YYYY-MM-DD HH")</f>
        <v/>
      </c>
      <c r="R4009" s="25">
        <f>COUNTIF($Q$2:$Q$5295,Q4009)</f>
        <v/>
      </c>
      <c r="S4009" s="25">
        <f>IF(R4009&lt;=2,"1-2",IF(R4009&lt;=5,"3-5",IF(R4009&lt;=10,"6-10","11+")))</f>
        <v/>
      </c>
    </row>
    <row r="4010">
      <c r="A4010" s="39" t="n">
        <v>46219.09997685185</v>
      </c>
      <c r="B4010" s="25">
        <f>TEXT(A4010,"YYYY-MM")</f>
        <v/>
      </c>
      <c r="C4010" s="25">
        <f>TEXT(A4010,"MMM-YYYY")</f>
        <v/>
      </c>
      <c r="D4010" s="40">
        <f>INT(A4010)-WEEKDAY(A4010,2)+1</f>
        <v/>
      </c>
      <c r="E4010" s="25" t="inlineStr">
        <is>
          <t>aupadhayay</t>
        </is>
      </c>
      <c r="F4010" s="25" t="n">
        <v>129611</v>
      </c>
      <c r="G4010" s="25" t="n">
        <v>4</v>
      </c>
      <c r="H4010" s="25" t="n">
        <v>20</v>
      </c>
      <c r="I4010" s="25" t="inlineStr">
        <is>
          <t>2 minute(s) and 22 second(s)</t>
        </is>
      </c>
      <c r="J4010" s="25">
        <f>IFERROR(VALUE(TRIM(LEFT(I4010,FIND("minute",I4010)-1)))*60,0)+IFERROR(VALUE(SUBSTITUTE(MID(I4010,IFERROR(FIND("and",I4010)+3,1),20),"second(s)","")),0)</f>
        <v/>
      </c>
      <c r="K4010" s="41">
        <f>J4010/60</f>
        <v/>
      </c>
      <c r="L4010" s="41">
        <f>IFERROR(J4010/H4010,"")</f>
        <v/>
      </c>
      <c r="M4010" s="25" t="inlineStr">
        <is>
          <t>2.5.12</t>
        </is>
      </c>
      <c r="N4010" s="25">
        <f>IF(J4010&gt;300,1,0)</f>
        <v/>
      </c>
      <c r="O4010" s="25">
        <f>IF(J4010&gt;600,1,0)</f>
        <v/>
      </c>
      <c r="P4010" s="25">
        <f>IF(H4010&gt;0,J4010,"")</f>
        <v/>
      </c>
      <c r="Q4010" s="25">
        <f>TEXT(A4010,"YYYY-MM-DD HH")</f>
        <v/>
      </c>
      <c r="R4010" s="25">
        <f>COUNTIF($Q$2:$Q$5295,Q4010)</f>
        <v/>
      </c>
      <c r="S4010" s="25">
        <f>IF(R4010&lt;=2,"1-2",IF(R4010&lt;=5,"3-5",IF(R4010&lt;=10,"6-10","11+")))</f>
        <v/>
      </c>
    </row>
    <row r="4011">
      <c r="A4011" s="39" t="n">
        <v>46219.11606481481</v>
      </c>
      <c r="B4011" s="25">
        <f>TEXT(A4011,"YYYY-MM")</f>
        <v/>
      </c>
      <c r="C4011" s="25">
        <f>TEXT(A4011,"MMM-YYYY")</f>
        <v/>
      </c>
      <c r="D4011" s="40">
        <f>INT(A4011)-WEEKDAY(A4011,2)+1</f>
        <v/>
      </c>
      <c r="E4011" s="25" t="inlineStr">
        <is>
          <t>ssrinivasan</t>
        </is>
      </c>
      <c r="F4011" s="25" t="n">
        <v>132762</v>
      </c>
      <c r="G4011" s="25" t="n">
        <v>3</v>
      </c>
      <c r="H4011" s="25" t="n">
        <v>7</v>
      </c>
      <c r="I4011" s="25" t="inlineStr">
        <is>
          <t>53 second(s)</t>
        </is>
      </c>
      <c r="J4011" s="25">
        <f>IFERROR(VALUE(TRIM(LEFT(I4011,FIND("minute",I4011)-1)))*60,0)+IFERROR(VALUE(SUBSTITUTE(MID(I4011,IFERROR(FIND("and",I4011)+3,1),20),"second(s)","")),0)</f>
        <v/>
      </c>
      <c r="K4011" s="41">
        <f>J4011/60</f>
        <v/>
      </c>
      <c r="L4011" s="41">
        <f>IFERROR(J4011/H4011,"")</f>
        <v/>
      </c>
      <c r="M4011" s="25" t="inlineStr">
        <is>
          <t>2.5.12</t>
        </is>
      </c>
      <c r="N4011" s="25">
        <f>IF(J4011&gt;300,1,0)</f>
        <v/>
      </c>
      <c r="O4011" s="25">
        <f>IF(J4011&gt;600,1,0)</f>
        <v/>
      </c>
      <c r="P4011" s="25">
        <f>IF(H4011&gt;0,J4011,"")</f>
        <v/>
      </c>
      <c r="Q4011" s="25">
        <f>TEXT(A4011,"YYYY-MM-DD HH")</f>
        <v/>
      </c>
      <c r="R4011" s="25">
        <f>COUNTIF($Q$2:$Q$5295,Q4011)</f>
        <v/>
      </c>
      <c r="S4011" s="25">
        <f>IF(R4011&lt;=2,"1-2",IF(R4011&lt;=5,"3-5",IF(R4011&lt;=10,"6-10","11+")))</f>
        <v/>
      </c>
    </row>
    <row r="4012">
      <c r="A4012" s="39" t="n">
        <v>46219.13064814815</v>
      </c>
      <c r="B4012" s="25">
        <f>TEXT(A4012,"YYYY-MM")</f>
        <v/>
      </c>
      <c r="C4012" s="25">
        <f>TEXT(A4012,"MMM-YYYY")</f>
        <v/>
      </c>
      <c r="D4012" s="40">
        <f>INT(A4012)-WEEKDAY(A4012,2)+1</f>
        <v/>
      </c>
      <c r="E4012" s="25" t="inlineStr">
        <is>
          <t>tkarmakar</t>
        </is>
      </c>
      <c r="F4012" s="25" t="n">
        <v>132054</v>
      </c>
      <c r="G4012" s="25" t="n">
        <v>4</v>
      </c>
      <c r="H4012" s="25" t="n">
        <v>14</v>
      </c>
      <c r="I4012" s="25" t="inlineStr">
        <is>
          <t>2 minute(s) and 35 second(s)</t>
        </is>
      </c>
      <c r="J4012" s="25">
        <f>IFERROR(VALUE(TRIM(LEFT(I4012,FIND("minute",I4012)-1)))*60,0)+IFERROR(VALUE(SUBSTITUTE(MID(I4012,IFERROR(FIND("and",I4012)+3,1),20),"second(s)","")),0)</f>
        <v/>
      </c>
      <c r="K4012" s="41">
        <f>J4012/60</f>
        <v/>
      </c>
      <c r="L4012" s="41">
        <f>IFERROR(J4012/H4012,"")</f>
        <v/>
      </c>
      <c r="M4012" s="25" t="inlineStr">
        <is>
          <t>2.5.12</t>
        </is>
      </c>
      <c r="N4012" s="25">
        <f>IF(J4012&gt;300,1,0)</f>
        <v/>
      </c>
      <c r="O4012" s="25">
        <f>IF(J4012&gt;600,1,0)</f>
        <v/>
      </c>
      <c r="P4012" s="25">
        <f>IF(H4012&gt;0,J4012,"")</f>
        <v/>
      </c>
      <c r="Q4012" s="25">
        <f>TEXT(A4012,"YYYY-MM-DD HH")</f>
        <v/>
      </c>
      <c r="R4012" s="25">
        <f>COUNTIF($Q$2:$Q$5295,Q4012)</f>
        <v/>
      </c>
      <c r="S4012" s="25">
        <f>IF(R4012&lt;=2,"1-2",IF(R4012&lt;=5,"3-5",IF(R4012&lt;=10,"6-10","11+")))</f>
        <v/>
      </c>
    </row>
    <row r="4013">
      <c r="A4013" s="39" t="n">
        <v>46219.13517361111</v>
      </c>
      <c r="B4013" s="25">
        <f>TEXT(A4013,"YYYY-MM")</f>
        <v/>
      </c>
      <c r="C4013" s="25">
        <f>TEXT(A4013,"MMM-YYYY")</f>
        <v/>
      </c>
      <c r="D4013" s="40">
        <f>INT(A4013)-WEEKDAY(A4013,2)+1</f>
        <v/>
      </c>
      <c r="E4013" s="25" t="inlineStr">
        <is>
          <t>ns</t>
        </is>
      </c>
      <c r="F4013" s="25" t="n">
        <v>130902</v>
      </c>
      <c r="G4013" s="25" t="n">
        <v>1</v>
      </c>
      <c r="H4013" s="25" t="n">
        <v>5</v>
      </c>
      <c r="I4013" s="25" t="inlineStr">
        <is>
          <t>28 second(s)</t>
        </is>
      </c>
      <c r="J4013" s="25">
        <f>IFERROR(VALUE(TRIM(LEFT(I4013,FIND("minute",I4013)-1)))*60,0)+IFERROR(VALUE(SUBSTITUTE(MID(I4013,IFERROR(FIND("and",I4013)+3,1),20),"second(s)","")),0)</f>
        <v/>
      </c>
      <c r="K4013" s="41">
        <f>J4013/60</f>
        <v/>
      </c>
      <c r="L4013" s="41">
        <f>IFERROR(J4013/H4013,"")</f>
        <v/>
      </c>
      <c r="M4013" s="25" t="inlineStr">
        <is>
          <t>2.5.12</t>
        </is>
      </c>
      <c r="N4013" s="25">
        <f>IF(J4013&gt;300,1,0)</f>
        <v/>
      </c>
      <c r="O4013" s="25">
        <f>IF(J4013&gt;600,1,0)</f>
        <v/>
      </c>
      <c r="P4013" s="25">
        <f>IF(H4013&gt;0,J4013,"")</f>
        <v/>
      </c>
      <c r="Q4013" s="25">
        <f>TEXT(A4013,"YYYY-MM-DD HH")</f>
        <v/>
      </c>
      <c r="R4013" s="25">
        <f>COUNTIF($Q$2:$Q$5295,Q4013)</f>
        <v/>
      </c>
      <c r="S4013" s="25">
        <f>IF(R4013&lt;=2,"1-2",IF(R4013&lt;=5,"3-5",IF(R4013&lt;=10,"6-10","11+")))</f>
        <v/>
      </c>
    </row>
    <row r="4014">
      <c r="A4014" s="39" t="n">
        <v>46219.13872685185</v>
      </c>
      <c r="B4014" s="25">
        <f>TEXT(A4014,"YYYY-MM")</f>
        <v/>
      </c>
      <c r="C4014" s="25">
        <f>TEXT(A4014,"MMM-YYYY")</f>
        <v/>
      </c>
      <c r="D4014" s="40">
        <f>INT(A4014)-WEEKDAY(A4014,2)+1</f>
        <v/>
      </c>
      <c r="E4014" s="25" t="inlineStr">
        <is>
          <t>atiwari</t>
        </is>
      </c>
      <c r="F4014" s="25" t="n">
        <v>129324</v>
      </c>
      <c r="G4014" s="25" t="n">
        <v>1</v>
      </c>
      <c r="H4014" s="25" t="n">
        <v>7</v>
      </c>
      <c r="I4014" s="25" t="inlineStr">
        <is>
          <t>58 second(s)</t>
        </is>
      </c>
      <c r="J4014" s="25">
        <f>IFERROR(VALUE(TRIM(LEFT(I4014,FIND("minute",I4014)-1)))*60,0)+IFERROR(VALUE(SUBSTITUTE(MID(I4014,IFERROR(FIND("and",I4014)+3,1),20),"second(s)","")),0)</f>
        <v/>
      </c>
      <c r="K4014" s="41">
        <f>J4014/60</f>
        <v/>
      </c>
      <c r="L4014" s="41">
        <f>IFERROR(J4014/H4014,"")</f>
        <v/>
      </c>
      <c r="M4014" s="25" t="inlineStr">
        <is>
          <t>2.5.12</t>
        </is>
      </c>
      <c r="N4014" s="25">
        <f>IF(J4014&gt;300,1,0)</f>
        <v/>
      </c>
      <c r="O4014" s="25">
        <f>IF(J4014&gt;600,1,0)</f>
        <v/>
      </c>
      <c r="P4014" s="25">
        <f>IF(H4014&gt;0,J4014,"")</f>
        <v/>
      </c>
      <c r="Q4014" s="25">
        <f>TEXT(A4014,"YYYY-MM-DD HH")</f>
        <v/>
      </c>
      <c r="R4014" s="25">
        <f>COUNTIF($Q$2:$Q$5295,Q4014)</f>
        <v/>
      </c>
      <c r="S4014" s="25">
        <f>IF(R4014&lt;=2,"1-2",IF(R4014&lt;=5,"3-5",IF(R4014&lt;=10,"6-10","11+")))</f>
        <v/>
      </c>
    </row>
    <row r="4015">
      <c r="A4015" s="39" t="n">
        <v>46219.14819444445</v>
      </c>
      <c r="B4015" s="25">
        <f>TEXT(A4015,"YYYY-MM")</f>
        <v/>
      </c>
      <c r="C4015" s="25">
        <f>TEXT(A4015,"MMM-YYYY")</f>
        <v/>
      </c>
      <c r="D4015" s="40">
        <f>INT(A4015)-WEEKDAY(A4015,2)+1</f>
        <v/>
      </c>
      <c r="E4015" s="25" t="inlineStr">
        <is>
          <t>aghosh</t>
        </is>
      </c>
      <c r="F4015" s="25" t="n">
        <v>132057</v>
      </c>
      <c r="G4015" s="25" t="n">
        <v>4</v>
      </c>
      <c r="H4015" s="25" t="n">
        <v>26</v>
      </c>
      <c r="I4015" s="25" t="inlineStr">
        <is>
          <t>4 minute(s) and 50 second(s)</t>
        </is>
      </c>
      <c r="J4015" s="25">
        <f>IFERROR(VALUE(TRIM(LEFT(I4015,FIND("minute",I4015)-1)))*60,0)+IFERROR(VALUE(SUBSTITUTE(MID(I4015,IFERROR(FIND("and",I4015)+3,1),20),"second(s)","")),0)</f>
        <v/>
      </c>
      <c r="K4015" s="41">
        <f>J4015/60</f>
        <v/>
      </c>
      <c r="L4015" s="41">
        <f>IFERROR(J4015/H4015,"")</f>
        <v/>
      </c>
      <c r="M4015" s="25" t="inlineStr">
        <is>
          <t>2.5.12</t>
        </is>
      </c>
      <c r="N4015" s="25">
        <f>IF(J4015&gt;300,1,0)</f>
        <v/>
      </c>
      <c r="O4015" s="25">
        <f>IF(J4015&gt;600,1,0)</f>
        <v/>
      </c>
      <c r="P4015" s="25">
        <f>IF(H4015&gt;0,J4015,"")</f>
        <v/>
      </c>
      <c r="Q4015" s="25">
        <f>TEXT(A4015,"YYYY-MM-DD HH")</f>
        <v/>
      </c>
      <c r="R4015" s="25">
        <f>COUNTIF($Q$2:$Q$5295,Q4015)</f>
        <v/>
      </c>
      <c r="S4015" s="25">
        <f>IF(R4015&lt;=2,"1-2",IF(R4015&lt;=5,"3-5",IF(R4015&lt;=10,"6-10","11+")))</f>
        <v/>
      </c>
    </row>
    <row r="4016">
      <c r="A4016" s="39" t="n">
        <v>46219.14960648148</v>
      </c>
      <c r="B4016" s="25">
        <f>TEXT(A4016,"YYYY-MM")</f>
        <v/>
      </c>
      <c r="C4016" s="25">
        <f>TEXT(A4016,"MMM-YYYY")</f>
        <v/>
      </c>
      <c r="D4016" s="40">
        <f>INT(A4016)-WEEKDAY(A4016,2)+1</f>
        <v/>
      </c>
      <c r="E4016" s="25" t="inlineStr">
        <is>
          <t>csaha</t>
        </is>
      </c>
      <c r="F4016" s="25" t="n">
        <v>128219</v>
      </c>
      <c r="G4016" s="25" t="n">
        <v>2</v>
      </c>
      <c r="H4016" s="25" t="n">
        <v>14</v>
      </c>
      <c r="I4016" s="25" t="inlineStr">
        <is>
          <t>1 minute(s) and 21 second(s)</t>
        </is>
      </c>
      <c r="J4016" s="25">
        <f>IFERROR(VALUE(TRIM(LEFT(I4016,FIND("minute",I4016)-1)))*60,0)+IFERROR(VALUE(SUBSTITUTE(MID(I4016,IFERROR(FIND("and",I4016)+3,1),20),"second(s)","")),0)</f>
        <v/>
      </c>
      <c r="K4016" s="41">
        <f>J4016/60</f>
        <v/>
      </c>
      <c r="L4016" s="41">
        <f>IFERROR(J4016/H4016,"")</f>
        <v/>
      </c>
      <c r="M4016" s="25" t="inlineStr">
        <is>
          <t>2.5.12</t>
        </is>
      </c>
      <c r="N4016" s="25">
        <f>IF(J4016&gt;300,1,0)</f>
        <v/>
      </c>
      <c r="O4016" s="25">
        <f>IF(J4016&gt;600,1,0)</f>
        <v/>
      </c>
      <c r="P4016" s="25">
        <f>IF(H4016&gt;0,J4016,"")</f>
        <v/>
      </c>
      <c r="Q4016" s="25">
        <f>TEXT(A4016,"YYYY-MM-DD HH")</f>
        <v/>
      </c>
      <c r="R4016" s="25">
        <f>COUNTIF($Q$2:$Q$5295,Q4016)</f>
        <v/>
      </c>
      <c r="S4016" s="25">
        <f>IF(R4016&lt;=2,"1-2",IF(R4016&lt;=5,"3-5",IF(R4016&lt;=10,"6-10","11+")))</f>
        <v/>
      </c>
    </row>
    <row r="4017">
      <c r="A4017" s="39" t="n">
        <v>46219.15174768519</v>
      </c>
      <c r="B4017" s="25">
        <f>TEXT(A4017,"YYYY-MM")</f>
        <v/>
      </c>
      <c r="C4017" s="25">
        <f>TEXT(A4017,"MMM-YYYY")</f>
        <v/>
      </c>
      <c r="D4017" s="40">
        <f>INT(A4017)-WEEKDAY(A4017,2)+1</f>
        <v/>
      </c>
      <c r="E4017" s="25" t="inlineStr">
        <is>
          <t>aupadhayay</t>
        </is>
      </c>
      <c r="F4017" s="25" t="n">
        <v>130099</v>
      </c>
      <c r="G4017" s="25" t="n">
        <v>4</v>
      </c>
      <c r="H4017" s="25" t="n">
        <v>24</v>
      </c>
      <c r="I4017" s="25" t="inlineStr">
        <is>
          <t>3 minute(s) and 2 second(s)</t>
        </is>
      </c>
      <c r="J4017" s="25">
        <f>IFERROR(VALUE(TRIM(LEFT(I4017,FIND("minute",I4017)-1)))*60,0)+IFERROR(VALUE(SUBSTITUTE(MID(I4017,IFERROR(FIND("and",I4017)+3,1),20),"second(s)","")),0)</f>
        <v/>
      </c>
      <c r="K4017" s="41">
        <f>J4017/60</f>
        <v/>
      </c>
      <c r="L4017" s="41">
        <f>IFERROR(J4017/H4017,"")</f>
        <v/>
      </c>
      <c r="M4017" s="25" t="inlineStr">
        <is>
          <t>2.5.12</t>
        </is>
      </c>
      <c r="N4017" s="25">
        <f>IF(J4017&gt;300,1,0)</f>
        <v/>
      </c>
      <c r="O4017" s="25">
        <f>IF(J4017&gt;600,1,0)</f>
        <v/>
      </c>
      <c r="P4017" s="25">
        <f>IF(H4017&gt;0,J4017,"")</f>
        <v/>
      </c>
      <c r="Q4017" s="25">
        <f>TEXT(A4017,"YYYY-MM-DD HH")</f>
        <v/>
      </c>
      <c r="R4017" s="25">
        <f>COUNTIF($Q$2:$Q$5295,Q4017)</f>
        <v/>
      </c>
      <c r="S4017" s="25">
        <f>IF(R4017&lt;=2,"1-2",IF(R4017&lt;=5,"3-5",IF(R4017&lt;=10,"6-10","11+")))</f>
        <v/>
      </c>
    </row>
    <row r="4018">
      <c r="A4018" s="39" t="n">
        <v>46219.15471064814</v>
      </c>
      <c r="B4018" s="25">
        <f>TEXT(A4018,"YYYY-MM")</f>
        <v/>
      </c>
      <c r="C4018" s="25">
        <f>TEXT(A4018,"MMM-YYYY")</f>
        <v/>
      </c>
      <c r="D4018" s="40">
        <f>INT(A4018)-WEEKDAY(A4018,2)+1</f>
        <v/>
      </c>
      <c r="E4018" s="25" t="inlineStr">
        <is>
          <t>shassan</t>
        </is>
      </c>
      <c r="F4018" s="25" t="n">
        <v>129866</v>
      </c>
      <c r="G4018" s="25" t="n">
        <v>2</v>
      </c>
      <c r="H4018" s="25" t="n">
        <v>10</v>
      </c>
      <c r="I4018" s="25" t="inlineStr">
        <is>
          <t>54 second(s)</t>
        </is>
      </c>
      <c r="J4018" s="25">
        <f>IFERROR(VALUE(TRIM(LEFT(I4018,FIND("minute",I4018)-1)))*60,0)+IFERROR(VALUE(SUBSTITUTE(MID(I4018,IFERROR(FIND("and",I4018)+3,1),20),"second(s)","")),0)</f>
        <v/>
      </c>
      <c r="K4018" s="41">
        <f>J4018/60</f>
        <v/>
      </c>
      <c r="L4018" s="41">
        <f>IFERROR(J4018/H4018,"")</f>
        <v/>
      </c>
      <c r="M4018" s="25" t="inlineStr">
        <is>
          <t>2.5.12</t>
        </is>
      </c>
      <c r="N4018" s="25">
        <f>IF(J4018&gt;300,1,0)</f>
        <v/>
      </c>
      <c r="O4018" s="25">
        <f>IF(J4018&gt;600,1,0)</f>
        <v/>
      </c>
      <c r="P4018" s="25">
        <f>IF(H4018&gt;0,J4018,"")</f>
        <v/>
      </c>
      <c r="Q4018" s="25">
        <f>TEXT(A4018,"YYYY-MM-DD HH")</f>
        <v/>
      </c>
      <c r="R4018" s="25">
        <f>COUNTIF($Q$2:$Q$5295,Q4018)</f>
        <v/>
      </c>
      <c r="S4018" s="25">
        <f>IF(R4018&lt;=2,"1-2",IF(R4018&lt;=5,"3-5",IF(R4018&lt;=10,"6-10","11+")))</f>
        <v/>
      </c>
    </row>
    <row r="4019">
      <c r="A4019" s="39" t="n">
        <v>46219.1681712963</v>
      </c>
      <c r="B4019" s="25">
        <f>TEXT(A4019,"YYYY-MM")</f>
        <v/>
      </c>
      <c r="C4019" s="25">
        <f>TEXT(A4019,"MMM-YYYY")</f>
        <v/>
      </c>
      <c r="D4019" s="40">
        <f>INT(A4019)-WEEKDAY(A4019,2)+1</f>
        <v/>
      </c>
      <c r="E4019" s="25" t="inlineStr">
        <is>
          <t>shasikha</t>
        </is>
      </c>
      <c r="F4019" s="25" t="n">
        <v>128890</v>
      </c>
      <c r="G4019" s="25" t="n">
        <v>4</v>
      </c>
      <c r="H4019" s="25" t="n">
        <v>22</v>
      </c>
      <c r="I4019" s="25" t="inlineStr">
        <is>
          <t>4 minute(s) and 36 second(s)</t>
        </is>
      </c>
      <c r="J4019" s="25">
        <f>IFERROR(VALUE(TRIM(LEFT(I4019,FIND("minute",I4019)-1)))*60,0)+IFERROR(VALUE(SUBSTITUTE(MID(I4019,IFERROR(FIND("and",I4019)+3,1),20),"second(s)","")),0)</f>
        <v/>
      </c>
      <c r="K4019" s="41">
        <f>J4019/60</f>
        <v/>
      </c>
      <c r="L4019" s="41">
        <f>IFERROR(J4019/H4019,"")</f>
        <v/>
      </c>
      <c r="M4019" s="25" t="inlineStr">
        <is>
          <t>2.5.12</t>
        </is>
      </c>
      <c r="N4019" s="25">
        <f>IF(J4019&gt;300,1,0)</f>
        <v/>
      </c>
      <c r="O4019" s="25">
        <f>IF(J4019&gt;600,1,0)</f>
        <v/>
      </c>
      <c r="P4019" s="25">
        <f>IF(H4019&gt;0,J4019,"")</f>
        <v/>
      </c>
      <c r="Q4019" s="25">
        <f>TEXT(A4019,"YYYY-MM-DD HH")</f>
        <v/>
      </c>
      <c r="R4019" s="25">
        <f>COUNTIF($Q$2:$Q$5295,Q4019)</f>
        <v/>
      </c>
      <c r="S4019" s="25">
        <f>IF(R4019&lt;=2,"1-2",IF(R4019&lt;=5,"3-5",IF(R4019&lt;=10,"6-10","11+")))</f>
        <v/>
      </c>
    </row>
    <row r="4020">
      <c r="A4020" s="39" t="n">
        <v>46219.16922453704</v>
      </c>
      <c r="B4020" s="25">
        <f>TEXT(A4020,"YYYY-MM")</f>
        <v/>
      </c>
      <c r="C4020" s="25">
        <f>TEXT(A4020,"MMM-YYYY")</f>
        <v/>
      </c>
      <c r="D4020" s="40">
        <f>INT(A4020)-WEEKDAY(A4020,2)+1</f>
        <v/>
      </c>
      <c r="E4020" s="25" t="inlineStr">
        <is>
          <t>smukhopadhyay</t>
        </is>
      </c>
      <c r="F4020" s="25" t="n">
        <v>131706</v>
      </c>
      <c r="G4020" s="25" t="n">
        <v>4</v>
      </c>
      <c r="H4020" s="25" t="n">
        <v>22</v>
      </c>
      <c r="I4020" s="25" t="inlineStr">
        <is>
          <t>2 minute(s) and 6 second(s)</t>
        </is>
      </c>
      <c r="J4020" s="25">
        <f>IFERROR(VALUE(TRIM(LEFT(I4020,FIND("minute",I4020)-1)))*60,0)+IFERROR(VALUE(SUBSTITUTE(MID(I4020,IFERROR(FIND("and",I4020)+3,1),20),"second(s)","")),0)</f>
        <v/>
      </c>
      <c r="K4020" s="41">
        <f>J4020/60</f>
        <v/>
      </c>
      <c r="L4020" s="41">
        <f>IFERROR(J4020/H4020,"")</f>
        <v/>
      </c>
      <c r="M4020" s="25" t="inlineStr">
        <is>
          <t>2.5.12</t>
        </is>
      </c>
      <c r="N4020" s="25">
        <f>IF(J4020&gt;300,1,0)</f>
        <v/>
      </c>
      <c r="O4020" s="25">
        <f>IF(J4020&gt;600,1,0)</f>
        <v/>
      </c>
      <c r="P4020" s="25">
        <f>IF(H4020&gt;0,J4020,"")</f>
        <v/>
      </c>
      <c r="Q4020" s="25">
        <f>TEXT(A4020,"YYYY-MM-DD HH")</f>
        <v/>
      </c>
      <c r="R4020" s="25">
        <f>COUNTIF($Q$2:$Q$5295,Q4020)</f>
        <v/>
      </c>
      <c r="S4020" s="25">
        <f>IF(R4020&lt;=2,"1-2",IF(R4020&lt;=5,"3-5",IF(R4020&lt;=10,"6-10","11+")))</f>
        <v/>
      </c>
    </row>
    <row r="4021">
      <c r="A4021" s="39" t="n">
        <v>46219.17114583333</v>
      </c>
      <c r="B4021" s="25">
        <f>TEXT(A4021,"YYYY-MM")</f>
        <v/>
      </c>
      <c r="C4021" s="25">
        <f>TEXT(A4021,"MMM-YYYY")</f>
        <v/>
      </c>
      <c r="D4021" s="40">
        <f>INT(A4021)-WEEKDAY(A4021,2)+1</f>
        <v/>
      </c>
      <c r="E4021" s="25" t="inlineStr">
        <is>
          <t>pgautam</t>
        </is>
      </c>
      <c r="F4021" s="25" t="n">
        <v>132678</v>
      </c>
      <c r="G4021" s="25" t="n">
        <v>5</v>
      </c>
      <c r="H4021" s="25" t="n">
        <v>32</v>
      </c>
      <c r="I4021" s="25" t="inlineStr">
        <is>
          <t>2 minute(s) and 45 second(s)</t>
        </is>
      </c>
      <c r="J4021" s="25">
        <f>IFERROR(VALUE(TRIM(LEFT(I4021,FIND("minute",I4021)-1)))*60,0)+IFERROR(VALUE(SUBSTITUTE(MID(I4021,IFERROR(FIND("and",I4021)+3,1),20),"second(s)","")),0)</f>
        <v/>
      </c>
      <c r="K4021" s="41">
        <f>J4021/60</f>
        <v/>
      </c>
      <c r="L4021" s="41">
        <f>IFERROR(J4021/H4021,"")</f>
        <v/>
      </c>
      <c r="M4021" s="25" t="inlineStr">
        <is>
          <t>2.5.12</t>
        </is>
      </c>
      <c r="N4021" s="25">
        <f>IF(J4021&gt;300,1,0)</f>
        <v/>
      </c>
      <c r="O4021" s="25">
        <f>IF(J4021&gt;600,1,0)</f>
        <v/>
      </c>
      <c r="P4021" s="25">
        <f>IF(H4021&gt;0,J4021,"")</f>
        <v/>
      </c>
      <c r="Q4021" s="25">
        <f>TEXT(A4021,"YYYY-MM-DD HH")</f>
        <v/>
      </c>
      <c r="R4021" s="25">
        <f>COUNTIF($Q$2:$Q$5295,Q4021)</f>
        <v/>
      </c>
      <c r="S4021" s="25">
        <f>IF(R4021&lt;=2,"1-2",IF(R4021&lt;=5,"3-5",IF(R4021&lt;=10,"6-10","11+")))</f>
        <v/>
      </c>
    </row>
    <row r="4022">
      <c r="A4022" s="39" t="n">
        <v>46219.17672453704</v>
      </c>
      <c r="B4022" s="25">
        <f>TEXT(A4022,"YYYY-MM")</f>
        <v/>
      </c>
      <c r="C4022" s="25">
        <f>TEXT(A4022,"MMM-YYYY")</f>
        <v/>
      </c>
      <c r="D4022" s="40">
        <f>INT(A4022)-WEEKDAY(A4022,2)+1</f>
        <v/>
      </c>
      <c r="E4022" s="25" t="inlineStr">
        <is>
          <t>ns</t>
        </is>
      </c>
      <c r="F4022" s="25" t="n">
        <v>131863</v>
      </c>
      <c r="G4022" s="25" t="n">
        <v>1</v>
      </c>
      <c r="H4022" s="25" t="n">
        <v>6</v>
      </c>
      <c r="I4022" s="25" t="inlineStr">
        <is>
          <t>30 second(s)</t>
        </is>
      </c>
      <c r="J4022" s="25">
        <f>IFERROR(VALUE(TRIM(LEFT(I4022,FIND("minute",I4022)-1)))*60,0)+IFERROR(VALUE(SUBSTITUTE(MID(I4022,IFERROR(FIND("and",I4022)+3,1),20),"second(s)","")),0)</f>
        <v/>
      </c>
      <c r="K4022" s="41">
        <f>J4022/60</f>
        <v/>
      </c>
      <c r="L4022" s="41">
        <f>IFERROR(J4022/H4022,"")</f>
        <v/>
      </c>
      <c r="M4022" s="25" t="inlineStr">
        <is>
          <t>2.5.12</t>
        </is>
      </c>
      <c r="N4022" s="25">
        <f>IF(J4022&gt;300,1,0)</f>
        <v/>
      </c>
      <c r="O4022" s="25">
        <f>IF(J4022&gt;600,1,0)</f>
        <v/>
      </c>
      <c r="P4022" s="25">
        <f>IF(H4022&gt;0,J4022,"")</f>
        <v/>
      </c>
      <c r="Q4022" s="25">
        <f>TEXT(A4022,"YYYY-MM-DD HH")</f>
        <v/>
      </c>
      <c r="R4022" s="25">
        <f>COUNTIF($Q$2:$Q$5295,Q4022)</f>
        <v/>
      </c>
      <c r="S4022" s="25">
        <f>IF(R4022&lt;=2,"1-2",IF(R4022&lt;=5,"3-5",IF(R4022&lt;=10,"6-10","11+")))</f>
        <v/>
      </c>
    </row>
    <row r="4023">
      <c r="A4023" s="39" t="n">
        <v>46219.1812037037</v>
      </c>
      <c r="B4023" s="25">
        <f>TEXT(A4023,"YYYY-MM")</f>
        <v/>
      </c>
      <c r="C4023" s="25">
        <f>TEXT(A4023,"MMM-YYYY")</f>
        <v/>
      </c>
      <c r="D4023" s="40">
        <f>INT(A4023)-WEEKDAY(A4023,2)+1</f>
        <v/>
      </c>
      <c r="E4023" s="25" t="inlineStr">
        <is>
          <t>psathwika</t>
        </is>
      </c>
      <c r="F4023" s="25" t="n">
        <v>131111</v>
      </c>
      <c r="G4023" s="25" t="n">
        <v>2</v>
      </c>
      <c r="H4023" s="25" t="n">
        <v>8</v>
      </c>
      <c r="I4023" s="25" t="inlineStr">
        <is>
          <t>47 second(s)</t>
        </is>
      </c>
      <c r="J4023" s="25">
        <f>IFERROR(VALUE(TRIM(LEFT(I4023,FIND("minute",I4023)-1)))*60,0)+IFERROR(VALUE(SUBSTITUTE(MID(I4023,IFERROR(FIND("and",I4023)+3,1),20),"second(s)","")),0)</f>
        <v/>
      </c>
      <c r="K4023" s="41">
        <f>J4023/60</f>
        <v/>
      </c>
      <c r="L4023" s="41">
        <f>IFERROR(J4023/H4023,"")</f>
        <v/>
      </c>
      <c r="M4023" s="25" t="inlineStr">
        <is>
          <t>2.5.12</t>
        </is>
      </c>
      <c r="N4023" s="25">
        <f>IF(J4023&gt;300,1,0)</f>
        <v/>
      </c>
      <c r="O4023" s="25">
        <f>IF(J4023&gt;600,1,0)</f>
        <v/>
      </c>
      <c r="P4023" s="25">
        <f>IF(H4023&gt;0,J4023,"")</f>
        <v/>
      </c>
      <c r="Q4023" s="25">
        <f>TEXT(A4023,"YYYY-MM-DD HH")</f>
        <v/>
      </c>
      <c r="R4023" s="25">
        <f>COUNTIF($Q$2:$Q$5295,Q4023)</f>
        <v/>
      </c>
      <c r="S4023" s="25">
        <f>IF(R4023&lt;=2,"1-2",IF(R4023&lt;=5,"3-5",IF(R4023&lt;=10,"6-10","11+")))</f>
        <v/>
      </c>
    </row>
    <row r="4024">
      <c r="A4024" s="39" t="n">
        <v>46219.18929398148</v>
      </c>
      <c r="B4024" s="25">
        <f>TEXT(A4024,"YYYY-MM")</f>
        <v/>
      </c>
      <c r="C4024" s="25">
        <f>TEXT(A4024,"MMM-YYYY")</f>
        <v/>
      </c>
      <c r="D4024" s="40">
        <f>INT(A4024)-WEEKDAY(A4024,2)+1</f>
        <v/>
      </c>
      <c r="E4024" s="25" t="inlineStr">
        <is>
          <t>sthomas</t>
        </is>
      </c>
      <c r="F4024" s="25" t="n">
        <v>132615</v>
      </c>
      <c r="G4024" s="25" t="n">
        <v>2</v>
      </c>
      <c r="H4024" s="25" t="n">
        <v>12</v>
      </c>
      <c r="I4024" s="25" t="inlineStr">
        <is>
          <t>1 minute(s) and 17 second(s)</t>
        </is>
      </c>
      <c r="J4024" s="25">
        <f>IFERROR(VALUE(TRIM(LEFT(I4024,FIND("minute",I4024)-1)))*60,0)+IFERROR(VALUE(SUBSTITUTE(MID(I4024,IFERROR(FIND("and",I4024)+3,1),20),"second(s)","")),0)</f>
        <v/>
      </c>
      <c r="K4024" s="41">
        <f>J4024/60</f>
        <v/>
      </c>
      <c r="L4024" s="41">
        <f>IFERROR(J4024/H4024,"")</f>
        <v/>
      </c>
      <c r="M4024" s="25" t="inlineStr">
        <is>
          <t>2.5.12</t>
        </is>
      </c>
      <c r="N4024" s="25">
        <f>IF(J4024&gt;300,1,0)</f>
        <v/>
      </c>
      <c r="O4024" s="25">
        <f>IF(J4024&gt;600,1,0)</f>
        <v/>
      </c>
      <c r="P4024" s="25">
        <f>IF(H4024&gt;0,J4024,"")</f>
        <v/>
      </c>
      <c r="Q4024" s="25">
        <f>TEXT(A4024,"YYYY-MM-DD HH")</f>
        <v/>
      </c>
      <c r="R4024" s="25">
        <f>COUNTIF($Q$2:$Q$5295,Q4024)</f>
        <v/>
      </c>
      <c r="S4024" s="25">
        <f>IF(R4024&lt;=2,"1-2",IF(R4024&lt;=5,"3-5",IF(R4024&lt;=10,"6-10","11+")))</f>
        <v/>
      </c>
    </row>
    <row r="4025">
      <c r="A4025" s="39" t="n">
        <v>46219.19012731482</v>
      </c>
      <c r="B4025" s="25">
        <f>TEXT(A4025,"YYYY-MM")</f>
        <v/>
      </c>
      <c r="C4025" s="25">
        <f>TEXT(A4025,"MMM-YYYY")</f>
        <v/>
      </c>
      <c r="D4025" s="40">
        <f>INT(A4025)-WEEKDAY(A4025,2)+1</f>
        <v/>
      </c>
      <c r="E4025" s="25" t="inlineStr">
        <is>
          <t>atiwari</t>
        </is>
      </c>
      <c r="F4025" s="25" t="n">
        <v>129532</v>
      </c>
      <c r="G4025" s="25" t="n">
        <v>2</v>
      </c>
      <c r="H4025" s="25" t="n">
        <v>10</v>
      </c>
      <c r="I4025" s="25" t="inlineStr">
        <is>
          <t>58 second(s)</t>
        </is>
      </c>
      <c r="J4025" s="25">
        <f>IFERROR(VALUE(TRIM(LEFT(I4025,FIND("minute",I4025)-1)))*60,0)+IFERROR(VALUE(SUBSTITUTE(MID(I4025,IFERROR(FIND("and",I4025)+3,1),20),"second(s)","")),0)</f>
        <v/>
      </c>
      <c r="K4025" s="41">
        <f>J4025/60</f>
        <v/>
      </c>
      <c r="L4025" s="41">
        <f>IFERROR(J4025/H4025,"")</f>
        <v/>
      </c>
      <c r="M4025" s="25" t="inlineStr">
        <is>
          <t>2.5.12</t>
        </is>
      </c>
      <c r="N4025" s="25">
        <f>IF(J4025&gt;300,1,0)</f>
        <v/>
      </c>
      <c r="O4025" s="25">
        <f>IF(J4025&gt;600,1,0)</f>
        <v/>
      </c>
      <c r="P4025" s="25">
        <f>IF(H4025&gt;0,J4025,"")</f>
        <v/>
      </c>
      <c r="Q4025" s="25">
        <f>TEXT(A4025,"YYYY-MM-DD HH")</f>
        <v/>
      </c>
      <c r="R4025" s="25">
        <f>COUNTIF($Q$2:$Q$5295,Q4025)</f>
        <v/>
      </c>
      <c r="S4025" s="25">
        <f>IF(R4025&lt;=2,"1-2",IF(R4025&lt;=5,"3-5",IF(R4025&lt;=10,"6-10","11+")))</f>
        <v/>
      </c>
    </row>
    <row r="4026">
      <c r="A4026" s="39" t="n">
        <v>46219.20702546297</v>
      </c>
      <c r="B4026" s="25">
        <f>TEXT(A4026,"YYYY-MM")</f>
        <v/>
      </c>
      <c r="C4026" s="25">
        <f>TEXT(A4026,"MMM-YYYY")</f>
        <v/>
      </c>
      <c r="D4026" s="40">
        <f>INT(A4026)-WEEKDAY(A4026,2)+1</f>
        <v/>
      </c>
      <c r="E4026" s="25" t="inlineStr">
        <is>
          <t>shassan</t>
        </is>
      </c>
      <c r="F4026" s="25" t="n">
        <v>132366</v>
      </c>
      <c r="G4026" s="25" t="n">
        <v>3</v>
      </c>
      <c r="H4026" s="25" t="n">
        <v>13</v>
      </c>
      <c r="I4026" s="25" t="inlineStr">
        <is>
          <t>1 minute(s) and 26 second(s)</t>
        </is>
      </c>
      <c r="J4026" s="25">
        <f>IFERROR(VALUE(TRIM(LEFT(I4026,FIND("minute",I4026)-1)))*60,0)+IFERROR(VALUE(SUBSTITUTE(MID(I4026,IFERROR(FIND("and",I4026)+3,1),20),"second(s)","")),0)</f>
        <v/>
      </c>
      <c r="K4026" s="41">
        <f>J4026/60</f>
        <v/>
      </c>
      <c r="L4026" s="41">
        <f>IFERROR(J4026/H4026,"")</f>
        <v/>
      </c>
      <c r="M4026" s="25" t="inlineStr">
        <is>
          <t>2.5.12</t>
        </is>
      </c>
      <c r="N4026" s="25">
        <f>IF(J4026&gt;300,1,0)</f>
        <v/>
      </c>
      <c r="O4026" s="25">
        <f>IF(J4026&gt;600,1,0)</f>
        <v/>
      </c>
      <c r="P4026" s="25">
        <f>IF(H4026&gt;0,J4026,"")</f>
        <v/>
      </c>
      <c r="Q4026" s="25">
        <f>TEXT(A4026,"YYYY-MM-DD HH")</f>
        <v/>
      </c>
      <c r="R4026" s="25">
        <f>COUNTIF($Q$2:$Q$5295,Q4026)</f>
        <v/>
      </c>
      <c r="S4026" s="25">
        <f>IF(R4026&lt;=2,"1-2",IF(R4026&lt;=5,"3-5",IF(R4026&lt;=10,"6-10","11+")))</f>
        <v/>
      </c>
    </row>
    <row r="4027">
      <c r="A4027" s="39" t="n">
        <v>46219.21160879629</v>
      </c>
      <c r="B4027" s="25">
        <f>TEXT(A4027,"YYYY-MM")</f>
        <v/>
      </c>
      <c r="C4027" s="25">
        <f>TEXT(A4027,"MMM-YYYY")</f>
        <v/>
      </c>
      <c r="D4027" s="40">
        <f>INT(A4027)-WEEKDAY(A4027,2)+1</f>
        <v/>
      </c>
      <c r="E4027" s="25" t="inlineStr">
        <is>
          <t>pgautam</t>
        </is>
      </c>
      <c r="F4027" s="25" t="n">
        <v>129190</v>
      </c>
      <c r="G4027" s="25" t="n">
        <v>5</v>
      </c>
      <c r="H4027" s="25" t="n">
        <v>29</v>
      </c>
      <c r="I4027" s="25" t="inlineStr">
        <is>
          <t>2 minute(s) and 30 second(s)</t>
        </is>
      </c>
      <c r="J4027" s="25">
        <f>IFERROR(VALUE(TRIM(LEFT(I4027,FIND("minute",I4027)-1)))*60,0)+IFERROR(VALUE(SUBSTITUTE(MID(I4027,IFERROR(FIND("and",I4027)+3,1),20),"second(s)","")),0)</f>
        <v/>
      </c>
      <c r="K4027" s="41">
        <f>J4027/60</f>
        <v/>
      </c>
      <c r="L4027" s="41">
        <f>IFERROR(J4027/H4027,"")</f>
        <v/>
      </c>
      <c r="M4027" s="25" t="inlineStr">
        <is>
          <t>2.5.12</t>
        </is>
      </c>
      <c r="N4027" s="25">
        <f>IF(J4027&gt;300,1,0)</f>
        <v/>
      </c>
      <c r="O4027" s="25">
        <f>IF(J4027&gt;600,1,0)</f>
        <v/>
      </c>
      <c r="P4027" s="25">
        <f>IF(H4027&gt;0,J4027,"")</f>
        <v/>
      </c>
      <c r="Q4027" s="25">
        <f>TEXT(A4027,"YYYY-MM-DD HH")</f>
        <v/>
      </c>
      <c r="R4027" s="25">
        <f>COUNTIF($Q$2:$Q$5295,Q4027)</f>
        <v/>
      </c>
      <c r="S4027" s="25">
        <f>IF(R4027&lt;=2,"1-2",IF(R4027&lt;=5,"3-5",IF(R4027&lt;=10,"6-10","11+")))</f>
        <v/>
      </c>
    </row>
    <row r="4028">
      <c r="A4028" s="39" t="n">
        <v>46219.22053240741</v>
      </c>
      <c r="B4028" s="25">
        <f>TEXT(A4028,"YYYY-MM")</f>
        <v/>
      </c>
      <c r="C4028" s="25">
        <f>TEXT(A4028,"MMM-YYYY")</f>
        <v/>
      </c>
      <c r="D4028" s="40">
        <f>INT(A4028)-WEEKDAY(A4028,2)+1</f>
        <v/>
      </c>
      <c r="E4028" s="25" t="inlineStr">
        <is>
          <t>ns</t>
        </is>
      </c>
      <c r="F4028" s="25" t="n">
        <v>132135</v>
      </c>
      <c r="G4028" s="25" t="n">
        <v>2</v>
      </c>
      <c r="H4028" s="25" t="n">
        <v>10</v>
      </c>
      <c r="I4028" s="25" t="inlineStr">
        <is>
          <t>51 second(s)</t>
        </is>
      </c>
      <c r="J4028" s="25">
        <f>IFERROR(VALUE(TRIM(LEFT(I4028,FIND("minute",I4028)-1)))*60,0)+IFERROR(VALUE(SUBSTITUTE(MID(I4028,IFERROR(FIND("and",I4028)+3,1),20),"second(s)","")),0)</f>
        <v/>
      </c>
      <c r="K4028" s="41">
        <f>J4028/60</f>
        <v/>
      </c>
      <c r="L4028" s="41">
        <f>IFERROR(J4028/H4028,"")</f>
        <v/>
      </c>
      <c r="M4028" s="25" t="inlineStr">
        <is>
          <t>2.5.12</t>
        </is>
      </c>
      <c r="N4028" s="25">
        <f>IF(J4028&gt;300,1,0)</f>
        <v/>
      </c>
      <c r="O4028" s="25">
        <f>IF(J4028&gt;600,1,0)</f>
        <v/>
      </c>
      <c r="P4028" s="25">
        <f>IF(H4028&gt;0,J4028,"")</f>
        <v/>
      </c>
      <c r="Q4028" s="25">
        <f>TEXT(A4028,"YYYY-MM-DD HH")</f>
        <v/>
      </c>
      <c r="R4028" s="25">
        <f>COUNTIF($Q$2:$Q$5295,Q4028)</f>
        <v/>
      </c>
      <c r="S4028" s="25">
        <f>IF(R4028&lt;=2,"1-2",IF(R4028&lt;=5,"3-5",IF(R4028&lt;=10,"6-10","11+")))</f>
        <v/>
      </c>
    </row>
    <row r="4029">
      <c r="A4029" s="39" t="n">
        <v>46219.22295138889</v>
      </c>
      <c r="B4029" s="25">
        <f>TEXT(A4029,"YYYY-MM")</f>
        <v/>
      </c>
      <c r="C4029" s="25">
        <f>TEXT(A4029,"MMM-YYYY")</f>
        <v/>
      </c>
      <c r="D4029" s="40">
        <f>INT(A4029)-WEEKDAY(A4029,2)+1</f>
        <v/>
      </c>
      <c r="E4029" s="25" t="inlineStr">
        <is>
          <t>sswati</t>
        </is>
      </c>
      <c r="F4029" s="25" t="n">
        <v>130677</v>
      </c>
      <c r="G4029" s="25" t="n">
        <v>4</v>
      </c>
      <c r="H4029" s="25" t="n">
        <v>12</v>
      </c>
      <c r="I4029" s="25" t="inlineStr">
        <is>
          <t>1 minute(s) and 0 second(s)</t>
        </is>
      </c>
      <c r="J4029" s="25">
        <f>IFERROR(VALUE(TRIM(LEFT(I4029,FIND("minute",I4029)-1)))*60,0)+IFERROR(VALUE(SUBSTITUTE(MID(I4029,IFERROR(FIND("and",I4029)+3,1),20),"second(s)","")),0)</f>
        <v/>
      </c>
      <c r="K4029" s="41">
        <f>J4029/60</f>
        <v/>
      </c>
      <c r="L4029" s="41">
        <f>IFERROR(J4029/H4029,"")</f>
        <v/>
      </c>
      <c r="M4029" s="25" t="inlineStr">
        <is>
          <t>2.5.12</t>
        </is>
      </c>
      <c r="N4029" s="25">
        <f>IF(J4029&gt;300,1,0)</f>
        <v/>
      </c>
      <c r="O4029" s="25">
        <f>IF(J4029&gt;600,1,0)</f>
        <v/>
      </c>
      <c r="P4029" s="25">
        <f>IF(H4029&gt;0,J4029,"")</f>
        <v/>
      </c>
      <c r="Q4029" s="25">
        <f>TEXT(A4029,"YYYY-MM-DD HH")</f>
        <v/>
      </c>
      <c r="R4029" s="25">
        <f>COUNTIF($Q$2:$Q$5295,Q4029)</f>
        <v/>
      </c>
      <c r="S4029" s="25">
        <f>IF(R4029&lt;=2,"1-2",IF(R4029&lt;=5,"3-5",IF(R4029&lt;=10,"6-10","11+")))</f>
        <v/>
      </c>
    </row>
    <row r="4030">
      <c r="A4030" s="39" t="n">
        <v>46219.22415509259</v>
      </c>
      <c r="B4030" s="25">
        <f>TEXT(A4030,"YYYY-MM")</f>
        <v/>
      </c>
      <c r="C4030" s="25">
        <f>TEXT(A4030,"MMM-YYYY")</f>
        <v/>
      </c>
      <c r="D4030" s="40">
        <f>INT(A4030)-WEEKDAY(A4030,2)+1</f>
        <v/>
      </c>
      <c r="E4030" s="25" t="inlineStr">
        <is>
          <t>asaxena</t>
        </is>
      </c>
      <c r="F4030" s="25" t="n">
        <v>103084</v>
      </c>
      <c r="G4030" s="25" t="n">
        <v>6</v>
      </c>
      <c r="H4030" s="25" t="n">
        <v>30</v>
      </c>
      <c r="I4030" s="25" t="inlineStr">
        <is>
          <t>2 minute(s) and 35 second(s)</t>
        </is>
      </c>
      <c r="J4030" s="25">
        <f>IFERROR(VALUE(TRIM(LEFT(I4030,FIND("minute",I4030)-1)))*60,0)+IFERROR(VALUE(SUBSTITUTE(MID(I4030,IFERROR(FIND("and",I4030)+3,1),20),"second(s)","")),0)</f>
        <v/>
      </c>
      <c r="K4030" s="41">
        <f>J4030/60</f>
        <v/>
      </c>
      <c r="L4030" s="41">
        <f>IFERROR(J4030/H4030,"")</f>
        <v/>
      </c>
      <c r="M4030" s="25" t="inlineStr">
        <is>
          <t>2.5.12</t>
        </is>
      </c>
      <c r="N4030" s="25">
        <f>IF(J4030&gt;300,1,0)</f>
        <v/>
      </c>
      <c r="O4030" s="25">
        <f>IF(J4030&gt;600,1,0)</f>
        <v/>
      </c>
      <c r="P4030" s="25">
        <f>IF(H4030&gt;0,J4030,"")</f>
        <v/>
      </c>
      <c r="Q4030" s="25">
        <f>TEXT(A4030,"YYYY-MM-DD HH")</f>
        <v/>
      </c>
      <c r="R4030" s="25">
        <f>COUNTIF($Q$2:$Q$5295,Q4030)</f>
        <v/>
      </c>
      <c r="S4030" s="25">
        <f>IF(R4030&lt;=2,"1-2",IF(R4030&lt;=5,"3-5",IF(R4030&lt;=10,"6-10","11+")))</f>
        <v/>
      </c>
    </row>
    <row r="4031">
      <c r="A4031" s="39" t="n">
        <v>46219.22444444444</v>
      </c>
      <c r="B4031" s="25">
        <f>TEXT(A4031,"YYYY-MM")</f>
        <v/>
      </c>
      <c r="C4031" s="25">
        <f>TEXT(A4031,"MMM-YYYY")</f>
        <v/>
      </c>
      <c r="D4031" s="40">
        <f>INT(A4031)-WEEKDAY(A4031,2)+1</f>
        <v/>
      </c>
      <c r="E4031" s="25" t="inlineStr">
        <is>
          <t>aupadhayay</t>
        </is>
      </c>
      <c r="F4031" s="25" t="n">
        <v>131459</v>
      </c>
      <c r="G4031" s="25" t="n">
        <v>4</v>
      </c>
      <c r="H4031" s="25" t="n">
        <v>20</v>
      </c>
      <c r="I4031" s="25" t="inlineStr">
        <is>
          <t>2 minute(s) and 31 second(s)</t>
        </is>
      </c>
      <c r="J4031" s="25">
        <f>IFERROR(VALUE(TRIM(LEFT(I4031,FIND("minute",I4031)-1)))*60,0)+IFERROR(VALUE(SUBSTITUTE(MID(I4031,IFERROR(FIND("and",I4031)+3,1),20),"second(s)","")),0)</f>
        <v/>
      </c>
      <c r="K4031" s="41">
        <f>J4031/60</f>
        <v/>
      </c>
      <c r="L4031" s="41">
        <f>IFERROR(J4031/H4031,"")</f>
        <v/>
      </c>
      <c r="M4031" s="25" t="inlineStr">
        <is>
          <t>2.5.12</t>
        </is>
      </c>
      <c r="N4031" s="25">
        <f>IF(J4031&gt;300,1,0)</f>
        <v/>
      </c>
      <c r="O4031" s="25">
        <f>IF(J4031&gt;600,1,0)</f>
        <v/>
      </c>
      <c r="P4031" s="25">
        <f>IF(H4031&gt;0,J4031,"")</f>
        <v/>
      </c>
      <c r="Q4031" s="25">
        <f>TEXT(A4031,"YYYY-MM-DD HH")</f>
        <v/>
      </c>
      <c r="R4031" s="25">
        <f>COUNTIF($Q$2:$Q$5295,Q4031)</f>
        <v/>
      </c>
      <c r="S4031" s="25">
        <f>IF(R4031&lt;=2,"1-2",IF(R4031&lt;=5,"3-5",IF(R4031&lt;=10,"6-10","11+")))</f>
        <v/>
      </c>
    </row>
    <row r="4032">
      <c r="A4032" s="39" t="n">
        <v>46219.22706018519</v>
      </c>
      <c r="B4032" s="25">
        <f>TEXT(A4032,"YYYY-MM")</f>
        <v/>
      </c>
      <c r="C4032" s="25">
        <f>TEXT(A4032,"MMM-YYYY")</f>
        <v/>
      </c>
      <c r="D4032" s="40">
        <f>INT(A4032)-WEEKDAY(A4032,2)+1</f>
        <v/>
      </c>
      <c r="E4032" s="25" t="inlineStr">
        <is>
          <t>ssrinivasan</t>
        </is>
      </c>
      <c r="F4032" s="25" t="n">
        <v>128162</v>
      </c>
      <c r="G4032" s="25" t="n">
        <v>2</v>
      </c>
      <c r="H4032" s="25" t="n">
        <v>6</v>
      </c>
      <c r="I4032" s="25" t="inlineStr">
        <is>
          <t>37 second(s)</t>
        </is>
      </c>
      <c r="J4032" s="25">
        <f>IFERROR(VALUE(TRIM(LEFT(I4032,FIND("minute",I4032)-1)))*60,0)+IFERROR(VALUE(SUBSTITUTE(MID(I4032,IFERROR(FIND("and",I4032)+3,1),20),"second(s)","")),0)</f>
        <v/>
      </c>
      <c r="K4032" s="41">
        <f>J4032/60</f>
        <v/>
      </c>
      <c r="L4032" s="41">
        <f>IFERROR(J4032/H4032,"")</f>
        <v/>
      </c>
      <c r="M4032" s="25" t="inlineStr">
        <is>
          <t>2.5.12</t>
        </is>
      </c>
      <c r="N4032" s="25">
        <f>IF(J4032&gt;300,1,0)</f>
        <v/>
      </c>
      <c r="O4032" s="25">
        <f>IF(J4032&gt;600,1,0)</f>
        <v/>
      </c>
      <c r="P4032" s="25">
        <f>IF(H4032&gt;0,J4032,"")</f>
        <v/>
      </c>
      <c r="Q4032" s="25">
        <f>TEXT(A4032,"YYYY-MM-DD HH")</f>
        <v/>
      </c>
      <c r="R4032" s="25">
        <f>COUNTIF($Q$2:$Q$5295,Q4032)</f>
        <v/>
      </c>
      <c r="S4032" s="25">
        <f>IF(R4032&lt;=2,"1-2",IF(R4032&lt;=5,"3-5",IF(R4032&lt;=10,"6-10","11+")))</f>
        <v/>
      </c>
    </row>
    <row r="4033">
      <c r="A4033" s="39" t="n">
        <v>46219.23706018519</v>
      </c>
      <c r="B4033" s="25">
        <f>TEXT(A4033,"YYYY-MM")</f>
        <v/>
      </c>
      <c r="C4033" s="25">
        <f>TEXT(A4033,"MMM-YYYY")</f>
        <v/>
      </c>
      <c r="D4033" s="40">
        <f>INT(A4033)-WEEKDAY(A4033,2)+1</f>
        <v/>
      </c>
      <c r="E4033" s="25" t="inlineStr">
        <is>
          <t>tkarmakar</t>
        </is>
      </c>
      <c r="F4033" s="25" t="n">
        <v>128769</v>
      </c>
      <c r="G4033" s="25" t="n">
        <v>4</v>
      </c>
      <c r="H4033" s="25" t="n">
        <v>20</v>
      </c>
      <c r="I4033" s="25" t="inlineStr">
        <is>
          <t>2 minute(s) and 40 second(s)</t>
        </is>
      </c>
      <c r="J4033" s="25">
        <f>IFERROR(VALUE(TRIM(LEFT(I4033,FIND("minute",I4033)-1)))*60,0)+IFERROR(VALUE(SUBSTITUTE(MID(I4033,IFERROR(FIND("and",I4033)+3,1),20),"second(s)","")),0)</f>
        <v/>
      </c>
      <c r="K4033" s="41">
        <f>J4033/60</f>
        <v/>
      </c>
      <c r="L4033" s="41">
        <f>IFERROR(J4033/H4033,"")</f>
        <v/>
      </c>
      <c r="M4033" s="25" t="inlineStr">
        <is>
          <t>2.5.12</t>
        </is>
      </c>
      <c r="N4033" s="25">
        <f>IF(J4033&gt;300,1,0)</f>
        <v/>
      </c>
      <c r="O4033" s="25">
        <f>IF(J4033&gt;600,1,0)</f>
        <v/>
      </c>
      <c r="P4033" s="25">
        <f>IF(H4033&gt;0,J4033,"")</f>
        <v/>
      </c>
      <c r="Q4033" s="25">
        <f>TEXT(A4033,"YYYY-MM-DD HH")</f>
        <v/>
      </c>
      <c r="R4033" s="25">
        <f>COUNTIF($Q$2:$Q$5295,Q4033)</f>
        <v/>
      </c>
      <c r="S4033" s="25">
        <f>IF(R4033&lt;=2,"1-2",IF(R4033&lt;=5,"3-5",IF(R4033&lt;=10,"6-10","11+")))</f>
        <v/>
      </c>
    </row>
    <row r="4034">
      <c r="A4034" s="39" t="n">
        <v>46219.24146990741</v>
      </c>
      <c r="B4034" s="25">
        <f>TEXT(A4034,"YYYY-MM")</f>
        <v/>
      </c>
      <c r="C4034" s="25">
        <f>TEXT(A4034,"MMM-YYYY")</f>
        <v/>
      </c>
      <c r="D4034" s="40">
        <f>INT(A4034)-WEEKDAY(A4034,2)+1</f>
        <v/>
      </c>
      <c r="E4034" s="25" t="inlineStr">
        <is>
          <t>ssneha</t>
        </is>
      </c>
      <c r="F4034" s="25" t="n">
        <v>131570</v>
      </c>
      <c r="G4034" s="25" t="n">
        <v>4</v>
      </c>
      <c r="H4034" s="25" t="n">
        <v>21</v>
      </c>
      <c r="I4034" s="25" t="inlineStr">
        <is>
          <t>2 minute(s) and 51 second(s)</t>
        </is>
      </c>
      <c r="J4034" s="25">
        <f>IFERROR(VALUE(TRIM(LEFT(I4034,FIND("minute",I4034)-1)))*60,0)+IFERROR(VALUE(SUBSTITUTE(MID(I4034,IFERROR(FIND("and",I4034)+3,1),20),"second(s)","")),0)</f>
        <v/>
      </c>
      <c r="K4034" s="41">
        <f>J4034/60</f>
        <v/>
      </c>
      <c r="L4034" s="41">
        <f>IFERROR(J4034/H4034,"")</f>
        <v/>
      </c>
      <c r="M4034" s="25" t="inlineStr">
        <is>
          <t>2.5.12</t>
        </is>
      </c>
      <c r="N4034" s="25">
        <f>IF(J4034&gt;300,1,0)</f>
        <v/>
      </c>
      <c r="O4034" s="25">
        <f>IF(J4034&gt;600,1,0)</f>
        <v/>
      </c>
      <c r="P4034" s="25">
        <f>IF(H4034&gt;0,J4034,"")</f>
        <v/>
      </c>
      <c r="Q4034" s="25">
        <f>TEXT(A4034,"YYYY-MM-DD HH")</f>
        <v/>
      </c>
      <c r="R4034" s="25">
        <f>COUNTIF($Q$2:$Q$5295,Q4034)</f>
        <v/>
      </c>
      <c r="S4034" s="25">
        <f>IF(R4034&lt;=2,"1-2",IF(R4034&lt;=5,"3-5",IF(R4034&lt;=10,"6-10","11+")))</f>
        <v/>
      </c>
    </row>
    <row r="4035">
      <c r="A4035" s="39" t="n">
        <v>46219.24258101852</v>
      </c>
      <c r="B4035" s="25">
        <f>TEXT(A4035,"YYYY-MM")</f>
        <v/>
      </c>
      <c r="C4035" s="25">
        <f>TEXT(A4035,"MMM-YYYY")</f>
        <v/>
      </c>
      <c r="D4035" s="40">
        <f>INT(A4035)-WEEKDAY(A4035,2)+1</f>
        <v/>
      </c>
      <c r="E4035" s="25" t="inlineStr">
        <is>
          <t>psathwika</t>
        </is>
      </c>
      <c r="F4035" s="25" t="n">
        <v>132864</v>
      </c>
      <c r="G4035" s="25" t="n">
        <v>4</v>
      </c>
      <c r="H4035" s="25" t="n">
        <v>23</v>
      </c>
      <c r="I4035" s="25" t="inlineStr">
        <is>
          <t>3 minute(s) and 2 second(s)</t>
        </is>
      </c>
      <c r="J4035" s="25">
        <f>IFERROR(VALUE(TRIM(LEFT(I4035,FIND("minute",I4035)-1)))*60,0)+IFERROR(VALUE(SUBSTITUTE(MID(I4035,IFERROR(FIND("and",I4035)+3,1),20),"second(s)","")),0)</f>
        <v/>
      </c>
      <c r="K4035" s="41">
        <f>J4035/60</f>
        <v/>
      </c>
      <c r="L4035" s="41">
        <f>IFERROR(J4035/H4035,"")</f>
        <v/>
      </c>
      <c r="M4035" s="25" t="inlineStr">
        <is>
          <t>2.5.12</t>
        </is>
      </c>
      <c r="N4035" s="25">
        <f>IF(J4035&gt;300,1,0)</f>
        <v/>
      </c>
      <c r="O4035" s="25">
        <f>IF(J4035&gt;600,1,0)</f>
        <v/>
      </c>
      <c r="P4035" s="25">
        <f>IF(H4035&gt;0,J4035,"")</f>
        <v/>
      </c>
      <c r="Q4035" s="25">
        <f>TEXT(A4035,"YYYY-MM-DD HH")</f>
        <v/>
      </c>
      <c r="R4035" s="25">
        <f>COUNTIF($Q$2:$Q$5295,Q4035)</f>
        <v/>
      </c>
      <c r="S4035" s="25">
        <f>IF(R4035&lt;=2,"1-2",IF(R4035&lt;=5,"3-5",IF(R4035&lt;=10,"6-10","11+")))</f>
        <v/>
      </c>
    </row>
    <row r="4036">
      <c r="A4036" s="39" t="n">
        <v>46219.25221064815</v>
      </c>
      <c r="B4036" s="25">
        <f>TEXT(A4036,"YYYY-MM")</f>
        <v/>
      </c>
      <c r="C4036" s="25">
        <f>TEXT(A4036,"MMM-YYYY")</f>
        <v/>
      </c>
      <c r="D4036" s="40">
        <f>INT(A4036)-WEEKDAY(A4036,2)+1</f>
        <v/>
      </c>
      <c r="E4036" s="25" t="inlineStr">
        <is>
          <t>adey</t>
        </is>
      </c>
      <c r="F4036" s="25" t="n">
        <v>129987</v>
      </c>
      <c r="G4036" s="25" t="n">
        <v>4</v>
      </c>
      <c r="H4036" s="25" t="n">
        <v>20</v>
      </c>
      <c r="I4036" s="25" t="inlineStr">
        <is>
          <t>1 minute(s) and 44 second(s)</t>
        </is>
      </c>
      <c r="J4036" s="25">
        <f>IFERROR(VALUE(TRIM(LEFT(I4036,FIND("minute",I4036)-1)))*60,0)+IFERROR(VALUE(SUBSTITUTE(MID(I4036,IFERROR(FIND("and",I4036)+3,1),20),"second(s)","")),0)</f>
        <v/>
      </c>
      <c r="K4036" s="41">
        <f>J4036/60</f>
        <v/>
      </c>
      <c r="L4036" s="41">
        <f>IFERROR(J4036/H4036,"")</f>
        <v/>
      </c>
      <c r="M4036" s="25" t="inlineStr">
        <is>
          <t>2.5.12</t>
        </is>
      </c>
      <c r="N4036" s="25">
        <f>IF(J4036&gt;300,1,0)</f>
        <v/>
      </c>
      <c r="O4036" s="25">
        <f>IF(J4036&gt;600,1,0)</f>
        <v/>
      </c>
      <c r="P4036" s="25">
        <f>IF(H4036&gt;0,J4036,"")</f>
        <v/>
      </c>
      <c r="Q4036" s="25">
        <f>TEXT(A4036,"YYYY-MM-DD HH")</f>
        <v/>
      </c>
      <c r="R4036" s="25">
        <f>COUNTIF($Q$2:$Q$5295,Q4036)</f>
        <v/>
      </c>
      <c r="S4036" s="25">
        <f>IF(R4036&lt;=2,"1-2",IF(R4036&lt;=5,"3-5",IF(R4036&lt;=10,"6-10","11+")))</f>
        <v/>
      </c>
    </row>
    <row r="4037">
      <c r="A4037" s="39" t="n">
        <v>46219.25480324074</v>
      </c>
      <c r="B4037" s="25">
        <f>TEXT(A4037,"YYYY-MM")</f>
        <v/>
      </c>
      <c r="C4037" s="25">
        <f>TEXT(A4037,"MMM-YYYY")</f>
        <v/>
      </c>
      <c r="D4037" s="40">
        <f>INT(A4037)-WEEKDAY(A4037,2)+1</f>
        <v/>
      </c>
      <c r="E4037" s="25" t="inlineStr">
        <is>
          <t>shassan</t>
        </is>
      </c>
      <c r="F4037" s="25" t="n">
        <v>132326</v>
      </c>
      <c r="G4037" s="25" t="n">
        <v>2</v>
      </c>
      <c r="H4037" s="25" t="n">
        <v>8</v>
      </c>
      <c r="I4037" s="25" t="inlineStr">
        <is>
          <t>54 second(s)</t>
        </is>
      </c>
      <c r="J4037" s="25">
        <f>IFERROR(VALUE(TRIM(LEFT(I4037,FIND("minute",I4037)-1)))*60,0)+IFERROR(VALUE(SUBSTITUTE(MID(I4037,IFERROR(FIND("and",I4037)+3,1),20),"second(s)","")),0)</f>
        <v/>
      </c>
      <c r="K4037" s="41">
        <f>J4037/60</f>
        <v/>
      </c>
      <c r="L4037" s="41">
        <f>IFERROR(J4037/H4037,"")</f>
        <v/>
      </c>
      <c r="M4037" s="25" t="inlineStr">
        <is>
          <t>2.5.12</t>
        </is>
      </c>
      <c r="N4037" s="25">
        <f>IF(J4037&gt;300,1,0)</f>
        <v/>
      </c>
      <c r="O4037" s="25">
        <f>IF(J4037&gt;600,1,0)</f>
        <v/>
      </c>
      <c r="P4037" s="25">
        <f>IF(H4037&gt;0,J4037,"")</f>
        <v/>
      </c>
      <c r="Q4037" s="25">
        <f>TEXT(A4037,"YYYY-MM-DD HH")</f>
        <v/>
      </c>
      <c r="R4037" s="25">
        <f>COUNTIF($Q$2:$Q$5295,Q4037)</f>
        <v/>
      </c>
      <c r="S4037" s="25">
        <f>IF(R4037&lt;=2,"1-2",IF(R4037&lt;=5,"3-5",IF(R4037&lt;=10,"6-10","11+")))</f>
        <v/>
      </c>
    </row>
    <row r="4038">
      <c r="A4038" s="39" t="n">
        <v>46219.25546296296</v>
      </c>
      <c r="B4038" s="25">
        <f>TEXT(A4038,"YYYY-MM")</f>
        <v/>
      </c>
      <c r="C4038" s="25">
        <f>TEXT(A4038,"MMM-YYYY")</f>
        <v/>
      </c>
      <c r="D4038" s="40">
        <f>INT(A4038)-WEEKDAY(A4038,2)+1</f>
        <v/>
      </c>
      <c r="E4038" s="25" t="inlineStr">
        <is>
          <t>smukhopadhyay</t>
        </is>
      </c>
      <c r="F4038" s="25" t="n">
        <v>132106</v>
      </c>
      <c r="G4038" s="25" t="n">
        <v>1</v>
      </c>
      <c r="H4038" s="25" t="n">
        <v>7</v>
      </c>
      <c r="I4038" s="25" t="inlineStr">
        <is>
          <t>1 minute(s) and 46 second(s)</t>
        </is>
      </c>
      <c r="J4038" s="25">
        <f>IFERROR(VALUE(TRIM(LEFT(I4038,FIND("minute",I4038)-1)))*60,0)+IFERROR(VALUE(SUBSTITUTE(MID(I4038,IFERROR(FIND("and",I4038)+3,1),20),"second(s)","")),0)</f>
        <v/>
      </c>
      <c r="K4038" s="41">
        <f>J4038/60</f>
        <v/>
      </c>
      <c r="L4038" s="41">
        <f>IFERROR(J4038/H4038,"")</f>
        <v/>
      </c>
      <c r="M4038" s="25" t="inlineStr">
        <is>
          <t>2.5.12</t>
        </is>
      </c>
      <c r="N4038" s="25">
        <f>IF(J4038&gt;300,1,0)</f>
        <v/>
      </c>
      <c r="O4038" s="25">
        <f>IF(J4038&gt;600,1,0)</f>
        <v/>
      </c>
      <c r="P4038" s="25">
        <f>IF(H4038&gt;0,J4038,"")</f>
        <v/>
      </c>
      <c r="Q4038" s="25">
        <f>TEXT(A4038,"YYYY-MM-DD HH")</f>
        <v/>
      </c>
      <c r="R4038" s="25">
        <f>COUNTIF($Q$2:$Q$5295,Q4038)</f>
        <v/>
      </c>
      <c r="S4038" s="25">
        <f>IF(R4038&lt;=2,"1-2",IF(R4038&lt;=5,"3-5",IF(R4038&lt;=10,"6-10","11+")))</f>
        <v/>
      </c>
    </row>
    <row r="4039">
      <c r="A4039" s="39" t="n">
        <v>46219.26658564815</v>
      </c>
      <c r="B4039" s="25">
        <f>TEXT(A4039,"YYYY-MM")</f>
        <v/>
      </c>
      <c r="C4039" s="25">
        <f>TEXT(A4039,"MMM-YYYY")</f>
        <v/>
      </c>
      <c r="D4039" s="40">
        <f>INT(A4039)-WEEKDAY(A4039,2)+1</f>
        <v/>
      </c>
      <c r="E4039" s="25" t="inlineStr">
        <is>
          <t>tkarmakar</t>
        </is>
      </c>
      <c r="F4039" s="25" t="n">
        <v>129105</v>
      </c>
      <c r="G4039" s="25" t="n">
        <v>1</v>
      </c>
      <c r="H4039" s="25" t="n">
        <v>5</v>
      </c>
      <c r="I4039" s="25" t="inlineStr">
        <is>
          <t>28 second(s)</t>
        </is>
      </c>
      <c r="J4039" s="25">
        <f>IFERROR(VALUE(TRIM(LEFT(I4039,FIND("minute",I4039)-1)))*60,0)+IFERROR(VALUE(SUBSTITUTE(MID(I4039,IFERROR(FIND("and",I4039)+3,1),20),"second(s)","")),0)</f>
        <v/>
      </c>
      <c r="K4039" s="41">
        <f>J4039/60</f>
        <v/>
      </c>
      <c r="L4039" s="41">
        <f>IFERROR(J4039/H4039,"")</f>
        <v/>
      </c>
      <c r="M4039" s="25" t="inlineStr">
        <is>
          <t>2.5.12</t>
        </is>
      </c>
      <c r="N4039" s="25">
        <f>IF(J4039&gt;300,1,0)</f>
        <v/>
      </c>
      <c r="O4039" s="25">
        <f>IF(J4039&gt;600,1,0)</f>
        <v/>
      </c>
      <c r="P4039" s="25">
        <f>IF(H4039&gt;0,J4039,"")</f>
        <v/>
      </c>
      <c r="Q4039" s="25">
        <f>TEXT(A4039,"YYYY-MM-DD HH")</f>
        <v/>
      </c>
      <c r="R4039" s="25">
        <f>COUNTIF($Q$2:$Q$5295,Q4039)</f>
        <v/>
      </c>
      <c r="S4039" s="25">
        <f>IF(R4039&lt;=2,"1-2",IF(R4039&lt;=5,"3-5",IF(R4039&lt;=10,"6-10","11+")))</f>
        <v/>
      </c>
    </row>
    <row r="4040">
      <c r="A4040" s="39" t="n">
        <v>46219.26793981482</v>
      </c>
      <c r="B4040" s="25">
        <f>TEXT(A4040,"YYYY-MM")</f>
        <v/>
      </c>
      <c r="C4040" s="25">
        <f>TEXT(A4040,"MMM-YYYY")</f>
        <v/>
      </c>
      <c r="D4040" s="40">
        <f>INT(A4040)-WEEKDAY(A4040,2)+1</f>
        <v/>
      </c>
      <c r="E4040" s="25" t="inlineStr">
        <is>
          <t>atiwari</t>
        </is>
      </c>
      <c r="F4040" s="25" t="n">
        <v>129572</v>
      </c>
      <c r="G4040" s="25" t="n">
        <v>3</v>
      </c>
      <c r="H4040" s="25" t="n">
        <v>21</v>
      </c>
      <c r="I4040" s="25" t="inlineStr">
        <is>
          <t>2 minute(s) and 24 second(s)</t>
        </is>
      </c>
      <c r="J4040" s="25">
        <f>IFERROR(VALUE(TRIM(LEFT(I4040,FIND("minute",I4040)-1)))*60,0)+IFERROR(VALUE(SUBSTITUTE(MID(I4040,IFERROR(FIND("and",I4040)+3,1),20),"second(s)","")),0)</f>
        <v/>
      </c>
      <c r="K4040" s="41">
        <f>J4040/60</f>
        <v/>
      </c>
      <c r="L4040" s="41">
        <f>IFERROR(J4040/H4040,"")</f>
        <v/>
      </c>
      <c r="M4040" s="25" t="inlineStr">
        <is>
          <t>2.5.12</t>
        </is>
      </c>
      <c r="N4040" s="25">
        <f>IF(J4040&gt;300,1,0)</f>
        <v/>
      </c>
      <c r="O4040" s="25">
        <f>IF(J4040&gt;600,1,0)</f>
        <v/>
      </c>
      <c r="P4040" s="25">
        <f>IF(H4040&gt;0,J4040,"")</f>
        <v/>
      </c>
      <c r="Q4040" s="25">
        <f>TEXT(A4040,"YYYY-MM-DD HH")</f>
        <v/>
      </c>
      <c r="R4040" s="25">
        <f>COUNTIF($Q$2:$Q$5295,Q4040)</f>
        <v/>
      </c>
      <c r="S4040" s="25">
        <f>IF(R4040&lt;=2,"1-2",IF(R4040&lt;=5,"3-5",IF(R4040&lt;=10,"6-10","11+")))</f>
        <v/>
      </c>
    </row>
    <row r="4041">
      <c r="A4041" s="39" t="n">
        <v>46219.26813657407</v>
      </c>
      <c r="B4041" s="25">
        <f>TEXT(A4041,"YYYY-MM")</f>
        <v/>
      </c>
      <c r="C4041" s="25">
        <f>TEXT(A4041,"MMM-YYYY")</f>
        <v/>
      </c>
      <c r="D4041" s="40">
        <f>INT(A4041)-WEEKDAY(A4041,2)+1</f>
        <v/>
      </c>
      <c r="E4041" s="25" t="inlineStr">
        <is>
          <t>ns</t>
        </is>
      </c>
      <c r="F4041" s="25" t="n">
        <v>128631</v>
      </c>
      <c r="G4041" s="25" t="n">
        <v>4</v>
      </c>
      <c r="H4041" s="25" t="n">
        <v>18</v>
      </c>
      <c r="I4041" s="25" t="inlineStr">
        <is>
          <t>2 minute(s) and 52 second(s)</t>
        </is>
      </c>
      <c r="J4041" s="25">
        <f>IFERROR(VALUE(TRIM(LEFT(I4041,FIND("minute",I4041)-1)))*60,0)+IFERROR(VALUE(SUBSTITUTE(MID(I4041,IFERROR(FIND("and",I4041)+3,1),20),"second(s)","")),0)</f>
        <v/>
      </c>
      <c r="K4041" s="41">
        <f>J4041/60</f>
        <v/>
      </c>
      <c r="L4041" s="41">
        <f>IFERROR(J4041/H4041,"")</f>
        <v/>
      </c>
      <c r="M4041" s="25" t="inlineStr">
        <is>
          <t>2.5.12</t>
        </is>
      </c>
      <c r="N4041" s="25">
        <f>IF(J4041&gt;300,1,0)</f>
        <v/>
      </c>
      <c r="O4041" s="25">
        <f>IF(J4041&gt;600,1,0)</f>
        <v/>
      </c>
      <c r="P4041" s="25">
        <f>IF(H4041&gt;0,J4041,"")</f>
        <v/>
      </c>
      <c r="Q4041" s="25">
        <f>TEXT(A4041,"YYYY-MM-DD HH")</f>
        <v/>
      </c>
      <c r="R4041" s="25">
        <f>COUNTIF($Q$2:$Q$5295,Q4041)</f>
        <v/>
      </c>
      <c r="S4041" s="25">
        <f>IF(R4041&lt;=2,"1-2",IF(R4041&lt;=5,"3-5",IF(R4041&lt;=10,"6-10","11+")))</f>
        <v/>
      </c>
    </row>
    <row r="4042">
      <c r="A4042" s="39" t="n">
        <v>46219.28344907407</v>
      </c>
      <c r="B4042" s="25">
        <f>TEXT(A4042,"YYYY-MM")</f>
        <v/>
      </c>
      <c r="C4042" s="25">
        <f>TEXT(A4042,"MMM-YYYY")</f>
        <v/>
      </c>
      <c r="D4042" s="40">
        <f>INT(A4042)-WEEKDAY(A4042,2)+1</f>
        <v/>
      </c>
      <c r="E4042" s="25" t="inlineStr">
        <is>
          <t>apriyadarshi</t>
        </is>
      </c>
      <c r="F4042" s="25" t="n">
        <v>131308</v>
      </c>
      <c r="G4042" s="25" t="n">
        <v>2</v>
      </c>
      <c r="H4042" s="25" t="n">
        <v>12</v>
      </c>
      <c r="I4042" s="25" t="inlineStr">
        <is>
          <t>1 minute(s) and 57 second(s)</t>
        </is>
      </c>
      <c r="J4042" s="25">
        <f>IFERROR(VALUE(TRIM(LEFT(I4042,FIND("minute",I4042)-1)))*60,0)+IFERROR(VALUE(SUBSTITUTE(MID(I4042,IFERROR(FIND("and",I4042)+3,1),20),"second(s)","")),0)</f>
        <v/>
      </c>
      <c r="K4042" s="41">
        <f>J4042/60</f>
        <v/>
      </c>
      <c r="L4042" s="41">
        <f>IFERROR(J4042/H4042,"")</f>
        <v/>
      </c>
      <c r="M4042" s="25" t="inlineStr">
        <is>
          <t>2.5.12</t>
        </is>
      </c>
      <c r="N4042" s="25">
        <f>IF(J4042&gt;300,1,0)</f>
        <v/>
      </c>
      <c r="O4042" s="25">
        <f>IF(J4042&gt;600,1,0)</f>
        <v/>
      </c>
      <c r="P4042" s="25">
        <f>IF(H4042&gt;0,J4042,"")</f>
        <v/>
      </c>
      <c r="Q4042" s="25">
        <f>TEXT(A4042,"YYYY-MM-DD HH")</f>
        <v/>
      </c>
      <c r="R4042" s="25">
        <f>COUNTIF($Q$2:$Q$5295,Q4042)</f>
        <v/>
      </c>
      <c r="S4042" s="25">
        <f>IF(R4042&lt;=2,"1-2",IF(R4042&lt;=5,"3-5",IF(R4042&lt;=10,"6-10","11+")))</f>
        <v/>
      </c>
    </row>
    <row r="4043">
      <c r="A4043" s="39" t="n">
        <v>46219.2925</v>
      </c>
      <c r="B4043" s="25">
        <f>TEXT(A4043,"YYYY-MM")</f>
        <v/>
      </c>
      <c r="C4043" s="25">
        <f>TEXT(A4043,"MMM-YYYY")</f>
        <v/>
      </c>
      <c r="D4043" s="40">
        <f>INT(A4043)-WEEKDAY(A4043,2)+1</f>
        <v/>
      </c>
      <c r="E4043" s="25" t="inlineStr">
        <is>
          <t>pgautam</t>
        </is>
      </c>
      <c r="F4043" s="25" t="n">
        <v>130039</v>
      </c>
      <c r="G4043" s="25" t="n">
        <v>5</v>
      </c>
      <c r="H4043" s="25" t="n">
        <v>25</v>
      </c>
      <c r="I4043" s="25" t="inlineStr">
        <is>
          <t>2 minute(s) and 8 second(s)</t>
        </is>
      </c>
      <c r="J4043" s="25">
        <f>IFERROR(VALUE(TRIM(LEFT(I4043,FIND("minute",I4043)-1)))*60,0)+IFERROR(VALUE(SUBSTITUTE(MID(I4043,IFERROR(FIND("and",I4043)+3,1),20),"second(s)","")),0)</f>
        <v/>
      </c>
      <c r="K4043" s="41">
        <f>J4043/60</f>
        <v/>
      </c>
      <c r="L4043" s="41">
        <f>IFERROR(J4043/H4043,"")</f>
        <v/>
      </c>
      <c r="M4043" s="25" t="inlineStr">
        <is>
          <t>2.5.12</t>
        </is>
      </c>
      <c r="N4043" s="25">
        <f>IF(J4043&gt;300,1,0)</f>
        <v/>
      </c>
      <c r="O4043" s="25">
        <f>IF(J4043&gt;600,1,0)</f>
        <v/>
      </c>
      <c r="P4043" s="25">
        <f>IF(H4043&gt;0,J4043,"")</f>
        <v/>
      </c>
      <c r="Q4043" s="25">
        <f>TEXT(A4043,"YYYY-MM-DD HH")</f>
        <v/>
      </c>
      <c r="R4043" s="25">
        <f>COUNTIF($Q$2:$Q$5295,Q4043)</f>
        <v/>
      </c>
      <c r="S4043" s="25">
        <f>IF(R4043&lt;=2,"1-2",IF(R4043&lt;=5,"3-5",IF(R4043&lt;=10,"6-10","11+")))</f>
        <v/>
      </c>
    </row>
    <row r="4044">
      <c r="A4044" s="39" t="n">
        <v>46219.29355324074</v>
      </c>
      <c r="B4044" s="25">
        <f>TEXT(A4044,"YYYY-MM")</f>
        <v/>
      </c>
      <c r="C4044" s="25">
        <f>TEXT(A4044,"MMM-YYYY")</f>
        <v/>
      </c>
      <c r="D4044" s="40">
        <f>INT(A4044)-WEEKDAY(A4044,2)+1</f>
        <v/>
      </c>
      <c r="E4044" s="25" t="inlineStr">
        <is>
          <t>npriya</t>
        </is>
      </c>
      <c r="F4044" s="25" t="n">
        <v>131542</v>
      </c>
      <c r="G4044" s="25" t="n">
        <v>4</v>
      </c>
      <c r="H4044" s="25" t="n">
        <v>22</v>
      </c>
      <c r="I4044" s="25" t="inlineStr">
        <is>
          <t>2 minute(s) and 40 second(s)</t>
        </is>
      </c>
      <c r="J4044" s="25">
        <f>IFERROR(VALUE(TRIM(LEFT(I4044,FIND("minute",I4044)-1)))*60,0)+IFERROR(VALUE(SUBSTITUTE(MID(I4044,IFERROR(FIND("and",I4044)+3,1),20),"second(s)","")),0)</f>
        <v/>
      </c>
      <c r="K4044" s="41">
        <f>J4044/60</f>
        <v/>
      </c>
      <c r="L4044" s="41">
        <f>IFERROR(J4044/H4044,"")</f>
        <v/>
      </c>
      <c r="M4044" s="25" t="inlineStr">
        <is>
          <t>2.5.12</t>
        </is>
      </c>
      <c r="N4044" s="25">
        <f>IF(J4044&gt;300,1,0)</f>
        <v/>
      </c>
      <c r="O4044" s="25">
        <f>IF(J4044&gt;600,1,0)</f>
        <v/>
      </c>
      <c r="P4044" s="25">
        <f>IF(H4044&gt;0,J4044,"")</f>
        <v/>
      </c>
      <c r="Q4044" s="25">
        <f>TEXT(A4044,"YYYY-MM-DD HH")</f>
        <v/>
      </c>
      <c r="R4044" s="25">
        <f>COUNTIF($Q$2:$Q$5295,Q4044)</f>
        <v/>
      </c>
      <c r="S4044" s="25">
        <f>IF(R4044&lt;=2,"1-2",IF(R4044&lt;=5,"3-5",IF(R4044&lt;=10,"6-10","11+")))</f>
        <v/>
      </c>
    </row>
    <row r="4045">
      <c r="A4045" s="39" t="n">
        <v>46219.29842592592</v>
      </c>
      <c r="B4045" s="25">
        <f>TEXT(A4045,"YYYY-MM")</f>
        <v/>
      </c>
      <c r="C4045" s="25">
        <f>TEXT(A4045,"MMM-YYYY")</f>
        <v/>
      </c>
      <c r="D4045" s="40">
        <f>INT(A4045)-WEEKDAY(A4045,2)+1</f>
        <v/>
      </c>
      <c r="E4045" s="25" t="inlineStr">
        <is>
          <t>hsindwani</t>
        </is>
      </c>
      <c r="F4045" s="25" t="n">
        <v>130576</v>
      </c>
      <c r="G4045" s="25" t="n">
        <v>3</v>
      </c>
      <c r="H4045" s="25" t="n">
        <v>20</v>
      </c>
      <c r="I4045" s="25" t="inlineStr">
        <is>
          <t>3 minute(s) and 54 second(s)</t>
        </is>
      </c>
      <c r="J4045" s="25">
        <f>IFERROR(VALUE(TRIM(LEFT(I4045,FIND("minute",I4045)-1)))*60,0)+IFERROR(VALUE(SUBSTITUTE(MID(I4045,IFERROR(FIND("and",I4045)+3,1),20),"second(s)","")),0)</f>
        <v/>
      </c>
      <c r="K4045" s="41">
        <f>J4045/60</f>
        <v/>
      </c>
      <c r="L4045" s="41">
        <f>IFERROR(J4045/H4045,"")</f>
        <v/>
      </c>
      <c r="M4045" s="25" t="inlineStr">
        <is>
          <t>2.5.12</t>
        </is>
      </c>
      <c r="N4045" s="25">
        <f>IF(J4045&gt;300,1,0)</f>
        <v/>
      </c>
      <c r="O4045" s="25">
        <f>IF(J4045&gt;600,1,0)</f>
        <v/>
      </c>
      <c r="P4045" s="25">
        <f>IF(H4045&gt;0,J4045,"")</f>
        <v/>
      </c>
      <c r="Q4045" s="25">
        <f>TEXT(A4045,"YYYY-MM-DD HH")</f>
        <v/>
      </c>
      <c r="R4045" s="25">
        <f>COUNTIF($Q$2:$Q$5295,Q4045)</f>
        <v/>
      </c>
      <c r="S4045" s="25">
        <f>IF(R4045&lt;=2,"1-2",IF(R4045&lt;=5,"3-5",IF(R4045&lt;=10,"6-10","11+")))</f>
        <v/>
      </c>
    </row>
    <row r="4046">
      <c r="A4046" s="39" t="n">
        <v>46219.31226851852</v>
      </c>
      <c r="B4046" s="25">
        <f>TEXT(A4046,"YYYY-MM")</f>
        <v/>
      </c>
      <c r="C4046" s="25">
        <f>TEXT(A4046,"MMM-YYYY")</f>
        <v/>
      </c>
      <c r="D4046" s="40">
        <f>INT(A4046)-WEEKDAY(A4046,2)+1</f>
        <v/>
      </c>
      <c r="E4046" s="25" t="inlineStr">
        <is>
          <t>ns</t>
        </is>
      </c>
      <c r="F4046" s="25" t="n">
        <v>128154</v>
      </c>
      <c r="G4046" s="25" t="n">
        <v>1</v>
      </c>
      <c r="H4046" s="25" t="n">
        <v>6</v>
      </c>
      <c r="I4046" s="25" t="inlineStr">
        <is>
          <t>27 second(s)</t>
        </is>
      </c>
      <c r="J4046" s="25">
        <f>IFERROR(VALUE(TRIM(LEFT(I4046,FIND("minute",I4046)-1)))*60,0)+IFERROR(VALUE(SUBSTITUTE(MID(I4046,IFERROR(FIND("and",I4046)+3,1),20),"second(s)","")),0)</f>
        <v/>
      </c>
      <c r="K4046" s="41">
        <f>J4046/60</f>
        <v/>
      </c>
      <c r="L4046" s="41">
        <f>IFERROR(J4046/H4046,"")</f>
        <v/>
      </c>
      <c r="M4046" s="25" t="inlineStr">
        <is>
          <t>2.5.12</t>
        </is>
      </c>
      <c r="N4046" s="25">
        <f>IF(J4046&gt;300,1,0)</f>
        <v/>
      </c>
      <c r="O4046" s="25">
        <f>IF(J4046&gt;600,1,0)</f>
        <v/>
      </c>
      <c r="P4046" s="25">
        <f>IF(H4046&gt;0,J4046,"")</f>
        <v/>
      </c>
      <c r="Q4046" s="25">
        <f>TEXT(A4046,"YYYY-MM-DD HH")</f>
        <v/>
      </c>
      <c r="R4046" s="25">
        <f>COUNTIF($Q$2:$Q$5295,Q4046)</f>
        <v/>
      </c>
      <c r="S4046" s="25">
        <f>IF(R4046&lt;=2,"1-2",IF(R4046&lt;=5,"3-5",IF(R4046&lt;=10,"6-10","11+")))</f>
        <v/>
      </c>
    </row>
    <row r="4047">
      <c r="A4047" s="39" t="n">
        <v>46219.31820601852</v>
      </c>
      <c r="B4047" s="25">
        <f>TEXT(A4047,"YYYY-MM")</f>
        <v/>
      </c>
      <c r="C4047" s="25">
        <f>TEXT(A4047,"MMM-YYYY")</f>
        <v/>
      </c>
      <c r="D4047" s="40">
        <f>INT(A4047)-WEEKDAY(A4047,2)+1</f>
        <v/>
      </c>
      <c r="E4047" s="25" t="inlineStr">
        <is>
          <t>adey</t>
        </is>
      </c>
      <c r="F4047" s="25" t="n">
        <v>131515</v>
      </c>
      <c r="G4047" s="25" t="n">
        <v>4</v>
      </c>
      <c r="H4047" s="25" t="n">
        <v>24</v>
      </c>
      <c r="I4047" s="25" t="inlineStr">
        <is>
          <t>2 minute(s) and 14 second(s)</t>
        </is>
      </c>
      <c r="J4047" s="25">
        <f>IFERROR(VALUE(TRIM(LEFT(I4047,FIND("minute",I4047)-1)))*60,0)+IFERROR(VALUE(SUBSTITUTE(MID(I4047,IFERROR(FIND("and",I4047)+3,1),20),"second(s)","")),0)</f>
        <v/>
      </c>
      <c r="K4047" s="41">
        <f>J4047/60</f>
        <v/>
      </c>
      <c r="L4047" s="41">
        <f>IFERROR(J4047/H4047,"")</f>
        <v/>
      </c>
      <c r="M4047" s="25" t="inlineStr">
        <is>
          <t>2.5.12</t>
        </is>
      </c>
      <c r="N4047" s="25">
        <f>IF(J4047&gt;300,1,0)</f>
        <v/>
      </c>
      <c r="O4047" s="25">
        <f>IF(J4047&gt;600,1,0)</f>
        <v/>
      </c>
      <c r="P4047" s="25">
        <f>IF(H4047&gt;0,J4047,"")</f>
        <v/>
      </c>
      <c r="Q4047" s="25">
        <f>TEXT(A4047,"YYYY-MM-DD HH")</f>
        <v/>
      </c>
      <c r="R4047" s="25">
        <f>COUNTIF($Q$2:$Q$5295,Q4047)</f>
        <v/>
      </c>
      <c r="S4047" s="25">
        <f>IF(R4047&lt;=2,"1-2",IF(R4047&lt;=5,"3-5",IF(R4047&lt;=10,"6-10","11+")))</f>
        <v/>
      </c>
    </row>
    <row r="4048">
      <c r="A4048" s="39" t="n">
        <v>46219.33707175926</v>
      </c>
      <c r="B4048" s="25">
        <f>TEXT(A4048,"YYYY-MM")</f>
        <v/>
      </c>
      <c r="C4048" s="25">
        <f>TEXT(A4048,"MMM-YYYY")</f>
        <v/>
      </c>
      <c r="D4048" s="40">
        <f>INT(A4048)-WEEKDAY(A4048,2)+1</f>
        <v/>
      </c>
      <c r="E4048" s="25" t="inlineStr">
        <is>
          <t>shasikha</t>
        </is>
      </c>
      <c r="F4048" s="25" t="n">
        <v>131483</v>
      </c>
      <c r="G4048" s="25" t="n">
        <v>3</v>
      </c>
      <c r="H4048" s="25" t="n">
        <v>19</v>
      </c>
      <c r="I4048" s="25" t="inlineStr">
        <is>
          <t>2 minute(s) and 17 second(s)</t>
        </is>
      </c>
      <c r="J4048" s="25">
        <f>IFERROR(VALUE(TRIM(LEFT(I4048,FIND("minute",I4048)-1)))*60,0)+IFERROR(VALUE(SUBSTITUTE(MID(I4048,IFERROR(FIND("and",I4048)+3,1),20),"second(s)","")),0)</f>
        <v/>
      </c>
      <c r="K4048" s="41">
        <f>J4048/60</f>
        <v/>
      </c>
      <c r="L4048" s="41">
        <f>IFERROR(J4048/H4048,"")</f>
        <v/>
      </c>
      <c r="M4048" s="25" t="inlineStr">
        <is>
          <t>2.5.12</t>
        </is>
      </c>
      <c r="N4048" s="25">
        <f>IF(J4048&gt;300,1,0)</f>
        <v/>
      </c>
      <c r="O4048" s="25">
        <f>IF(J4048&gt;600,1,0)</f>
        <v/>
      </c>
      <c r="P4048" s="25">
        <f>IF(H4048&gt;0,J4048,"")</f>
        <v/>
      </c>
      <c r="Q4048" s="25">
        <f>TEXT(A4048,"YYYY-MM-DD HH")</f>
        <v/>
      </c>
      <c r="R4048" s="25">
        <f>COUNTIF($Q$2:$Q$5295,Q4048)</f>
        <v/>
      </c>
      <c r="S4048" s="25">
        <f>IF(R4048&lt;=2,"1-2",IF(R4048&lt;=5,"3-5",IF(R4048&lt;=10,"6-10","11+")))</f>
        <v/>
      </c>
    </row>
    <row r="4049">
      <c r="A4049" s="39" t="n">
        <v>46219.34609953704</v>
      </c>
      <c r="B4049" s="25">
        <f>TEXT(A4049,"YYYY-MM")</f>
        <v/>
      </c>
      <c r="C4049" s="25">
        <f>TEXT(A4049,"MMM-YYYY")</f>
        <v/>
      </c>
      <c r="D4049" s="40">
        <f>INT(A4049)-WEEKDAY(A4049,2)+1</f>
        <v/>
      </c>
      <c r="E4049" s="25" t="inlineStr">
        <is>
          <t>pgautam</t>
        </is>
      </c>
      <c r="F4049" s="25" t="n">
        <v>130527</v>
      </c>
      <c r="G4049" s="25" t="n">
        <v>6</v>
      </c>
      <c r="H4049" s="25" t="n">
        <v>32</v>
      </c>
      <c r="I4049" s="25" t="inlineStr">
        <is>
          <t>2 minute(s) and 50 second(s)</t>
        </is>
      </c>
      <c r="J4049" s="25">
        <f>IFERROR(VALUE(TRIM(LEFT(I4049,FIND("minute",I4049)-1)))*60,0)+IFERROR(VALUE(SUBSTITUTE(MID(I4049,IFERROR(FIND("and",I4049)+3,1),20),"second(s)","")),0)</f>
        <v/>
      </c>
      <c r="K4049" s="41">
        <f>J4049/60</f>
        <v/>
      </c>
      <c r="L4049" s="41">
        <f>IFERROR(J4049/H4049,"")</f>
        <v/>
      </c>
      <c r="M4049" s="25" t="inlineStr">
        <is>
          <t>2.5.12</t>
        </is>
      </c>
      <c r="N4049" s="25">
        <f>IF(J4049&gt;300,1,0)</f>
        <v/>
      </c>
      <c r="O4049" s="25">
        <f>IF(J4049&gt;600,1,0)</f>
        <v/>
      </c>
      <c r="P4049" s="25">
        <f>IF(H4049&gt;0,J4049,"")</f>
        <v/>
      </c>
      <c r="Q4049" s="25">
        <f>TEXT(A4049,"YYYY-MM-DD HH")</f>
        <v/>
      </c>
      <c r="R4049" s="25">
        <f>COUNTIF($Q$2:$Q$5295,Q4049)</f>
        <v/>
      </c>
      <c r="S4049" s="25">
        <f>IF(R4049&lt;=2,"1-2",IF(R4049&lt;=5,"3-5",IF(R4049&lt;=10,"6-10","11+")))</f>
        <v/>
      </c>
    </row>
    <row r="4050">
      <c r="A4050" s="39" t="n">
        <v>46219.3472800926</v>
      </c>
      <c r="B4050" s="25">
        <f>TEXT(A4050,"YYYY-MM")</f>
        <v/>
      </c>
      <c r="C4050" s="25">
        <f>TEXT(A4050,"MMM-YYYY")</f>
        <v/>
      </c>
      <c r="D4050" s="40">
        <f>INT(A4050)-WEEKDAY(A4050,2)+1</f>
        <v/>
      </c>
      <c r="E4050" s="25" t="inlineStr">
        <is>
          <t>ssneha</t>
        </is>
      </c>
      <c r="F4050" s="25" t="n">
        <v>128608</v>
      </c>
      <c r="G4050" s="25" t="n">
        <v>4</v>
      </c>
      <c r="H4050" s="25" t="n">
        <v>14</v>
      </c>
      <c r="I4050" s="25" t="inlineStr">
        <is>
          <t>2 minute(s) and 21 second(s)</t>
        </is>
      </c>
      <c r="J4050" s="25">
        <f>IFERROR(VALUE(TRIM(LEFT(I4050,FIND("minute",I4050)-1)))*60,0)+IFERROR(VALUE(SUBSTITUTE(MID(I4050,IFERROR(FIND("and",I4050)+3,1),20),"second(s)","")),0)</f>
        <v/>
      </c>
      <c r="K4050" s="41">
        <f>J4050/60</f>
        <v/>
      </c>
      <c r="L4050" s="41">
        <f>IFERROR(J4050/H4050,"")</f>
        <v/>
      </c>
      <c r="M4050" s="25" t="inlineStr">
        <is>
          <t>2.5.12</t>
        </is>
      </c>
      <c r="N4050" s="25">
        <f>IF(J4050&gt;300,1,0)</f>
        <v/>
      </c>
      <c r="O4050" s="25">
        <f>IF(J4050&gt;600,1,0)</f>
        <v/>
      </c>
      <c r="P4050" s="25">
        <f>IF(H4050&gt;0,J4050,"")</f>
        <v/>
      </c>
      <c r="Q4050" s="25">
        <f>TEXT(A4050,"YYYY-MM-DD HH")</f>
        <v/>
      </c>
      <c r="R4050" s="25">
        <f>COUNTIF($Q$2:$Q$5295,Q4050)</f>
        <v/>
      </c>
      <c r="S4050" s="25">
        <f>IF(R4050&lt;=2,"1-2",IF(R4050&lt;=5,"3-5",IF(R4050&lt;=10,"6-10","11+")))</f>
        <v/>
      </c>
    </row>
    <row r="4051">
      <c r="A4051" s="39" t="n">
        <v>46219.35399305556</v>
      </c>
      <c r="B4051" s="25">
        <f>TEXT(A4051,"YYYY-MM")</f>
        <v/>
      </c>
      <c r="C4051" s="25">
        <f>TEXT(A4051,"MMM-YYYY")</f>
        <v/>
      </c>
      <c r="D4051" s="40">
        <f>INT(A4051)-WEEKDAY(A4051,2)+1</f>
        <v/>
      </c>
      <c r="E4051" s="25" t="inlineStr">
        <is>
          <t>ssrinivasan</t>
        </is>
      </c>
      <c r="F4051" s="25" t="n">
        <v>129650</v>
      </c>
      <c r="G4051" s="25" t="n">
        <v>1</v>
      </c>
      <c r="H4051" s="25" t="n">
        <v>5</v>
      </c>
      <c r="I4051" s="25" t="inlineStr">
        <is>
          <t>27 second(s)</t>
        </is>
      </c>
      <c r="J4051" s="25">
        <f>IFERROR(VALUE(TRIM(LEFT(I4051,FIND("minute",I4051)-1)))*60,0)+IFERROR(VALUE(SUBSTITUTE(MID(I4051,IFERROR(FIND("and",I4051)+3,1),20),"second(s)","")),0)</f>
        <v/>
      </c>
      <c r="K4051" s="41">
        <f>J4051/60</f>
        <v/>
      </c>
      <c r="L4051" s="41">
        <f>IFERROR(J4051/H4051,"")</f>
        <v/>
      </c>
      <c r="M4051" s="25" t="inlineStr">
        <is>
          <t>2.5.12</t>
        </is>
      </c>
      <c r="N4051" s="25">
        <f>IF(J4051&gt;300,1,0)</f>
        <v/>
      </c>
      <c r="O4051" s="25">
        <f>IF(J4051&gt;600,1,0)</f>
        <v/>
      </c>
      <c r="P4051" s="25">
        <f>IF(H4051&gt;0,J4051,"")</f>
        <v/>
      </c>
      <c r="Q4051" s="25">
        <f>TEXT(A4051,"YYYY-MM-DD HH")</f>
        <v/>
      </c>
      <c r="R4051" s="25">
        <f>COUNTIF($Q$2:$Q$5295,Q4051)</f>
        <v/>
      </c>
      <c r="S4051" s="25">
        <f>IF(R4051&lt;=2,"1-2",IF(R4051&lt;=5,"3-5",IF(R4051&lt;=10,"6-10","11+")))</f>
        <v/>
      </c>
    </row>
    <row r="4052">
      <c r="A4052" s="39" t="n">
        <v>46219.36329861111</v>
      </c>
      <c r="B4052" s="25">
        <f>TEXT(A4052,"YYYY-MM")</f>
        <v/>
      </c>
      <c r="C4052" s="25">
        <f>TEXT(A4052,"MMM-YYYY")</f>
        <v/>
      </c>
      <c r="D4052" s="40">
        <f>INT(A4052)-WEEKDAY(A4052,2)+1</f>
        <v/>
      </c>
      <c r="E4052" s="25" t="inlineStr">
        <is>
          <t>atiwari</t>
        </is>
      </c>
      <c r="F4052" s="25" t="n">
        <v>132806</v>
      </c>
      <c r="G4052" s="25" t="n">
        <v>3</v>
      </c>
      <c r="H4052" s="25" t="n">
        <v>21</v>
      </c>
      <c r="I4052" s="25" t="inlineStr">
        <is>
          <t>3 minute(s) and 6 second(s)</t>
        </is>
      </c>
      <c r="J4052" s="25">
        <f>IFERROR(VALUE(TRIM(LEFT(I4052,FIND("minute",I4052)-1)))*60,0)+IFERROR(VALUE(SUBSTITUTE(MID(I4052,IFERROR(FIND("and",I4052)+3,1),20),"second(s)","")),0)</f>
        <v/>
      </c>
      <c r="K4052" s="41">
        <f>J4052/60</f>
        <v/>
      </c>
      <c r="L4052" s="41">
        <f>IFERROR(J4052/H4052,"")</f>
        <v/>
      </c>
      <c r="M4052" s="25" t="inlineStr">
        <is>
          <t>2.5.12</t>
        </is>
      </c>
      <c r="N4052" s="25">
        <f>IF(J4052&gt;300,1,0)</f>
        <v/>
      </c>
      <c r="O4052" s="25">
        <f>IF(J4052&gt;600,1,0)</f>
        <v/>
      </c>
      <c r="P4052" s="25">
        <f>IF(H4052&gt;0,J4052,"")</f>
        <v/>
      </c>
      <c r="Q4052" s="25">
        <f>TEXT(A4052,"YYYY-MM-DD HH")</f>
        <v/>
      </c>
      <c r="R4052" s="25">
        <f>COUNTIF($Q$2:$Q$5295,Q4052)</f>
        <v/>
      </c>
      <c r="S4052" s="25">
        <f>IF(R4052&lt;=2,"1-2",IF(R4052&lt;=5,"3-5",IF(R4052&lt;=10,"6-10","11+")))</f>
        <v/>
      </c>
    </row>
    <row r="4053">
      <c r="A4053" s="39" t="n">
        <v>46219.37282407407</v>
      </c>
      <c r="B4053" s="25">
        <f>TEXT(A4053,"YYYY-MM")</f>
        <v/>
      </c>
      <c r="C4053" s="25">
        <f>TEXT(A4053,"MMM-YYYY")</f>
        <v/>
      </c>
      <c r="D4053" s="40">
        <f>INT(A4053)-WEEKDAY(A4053,2)+1</f>
        <v/>
      </c>
      <c r="E4053" s="25" t="inlineStr">
        <is>
          <t>aupadhayay</t>
        </is>
      </c>
      <c r="F4053" s="25" t="n">
        <v>128281</v>
      </c>
      <c r="G4053" s="25" t="n">
        <v>1</v>
      </c>
      <c r="H4053" s="25" t="n">
        <v>5</v>
      </c>
      <c r="I4053" s="25" t="inlineStr">
        <is>
          <t>31 second(s)</t>
        </is>
      </c>
      <c r="J4053" s="25">
        <f>IFERROR(VALUE(TRIM(LEFT(I4053,FIND("minute",I4053)-1)))*60,0)+IFERROR(VALUE(SUBSTITUTE(MID(I4053,IFERROR(FIND("and",I4053)+3,1),20),"second(s)","")),0)</f>
        <v/>
      </c>
      <c r="K4053" s="41">
        <f>J4053/60</f>
        <v/>
      </c>
      <c r="L4053" s="41">
        <f>IFERROR(J4053/H4053,"")</f>
        <v/>
      </c>
      <c r="M4053" s="25" t="inlineStr">
        <is>
          <t>2.5.12</t>
        </is>
      </c>
      <c r="N4053" s="25">
        <f>IF(J4053&gt;300,1,0)</f>
        <v/>
      </c>
      <c r="O4053" s="25">
        <f>IF(J4053&gt;600,1,0)</f>
        <v/>
      </c>
      <c r="P4053" s="25">
        <f>IF(H4053&gt;0,J4053,"")</f>
        <v/>
      </c>
      <c r="Q4053" s="25">
        <f>TEXT(A4053,"YYYY-MM-DD HH")</f>
        <v/>
      </c>
      <c r="R4053" s="25">
        <f>COUNTIF($Q$2:$Q$5295,Q4053)</f>
        <v/>
      </c>
      <c r="S4053" s="25">
        <f>IF(R4053&lt;=2,"1-2",IF(R4053&lt;=5,"3-5",IF(R4053&lt;=10,"6-10","11+")))</f>
        <v/>
      </c>
    </row>
    <row r="4054">
      <c r="A4054" s="39" t="n">
        <v>46219.37732638889</v>
      </c>
      <c r="B4054" s="25">
        <f>TEXT(A4054,"YYYY-MM")</f>
        <v/>
      </c>
      <c r="C4054" s="25">
        <f>TEXT(A4054,"MMM-YYYY")</f>
        <v/>
      </c>
      <c r="D4054" s="40">
        <f>INT(A4054)-WEEKDAY(A4054,2)+1</f>
        <v/>
      </c>
      <c r="E4054" s="25" t="inlineStr">
        <is>
          <t>shassan</t>
        </is>
      </c>
      <c r="F4054" s="25" t="n">
        <v>132302</v>
      </c>
      <c r="G4054" s="25" t="n">
        <v>3</v>
      </c>
      <c r="H4054" s="25" t="n">
        <v>9</v>
      </c>
      <c r="I4054" s="25" t="inlineStr">
        <is>
          <t>1 minute(s) and 52 second(s)</t>
        </is>
      </c>
      <c r="J4054" s="25">
        <f>IFERROR(VALUE(TRIM(LEFT(I4054,FIND("minute",I4054)-1)))*60,0)+IFERROR(VALUE(SUBSTITUTE(MID(I4054,IFERROR(FIND("and",I4054)+3,1),20),"second(s)","")),0)</f>
        <v/>
      </c>
      <c r="K4054" s="41">
        <f>J4054/60</f>
        <v/>
      </c>
      <c r="L4054" s="41">
        <f>IFERROR(J4054/H4054,"")</f>
        <v/>
      </c>
      <c r="M4054" s="25" t="inlineStr">
        <is>
          <t>2.5.12</t>
        </is>
      </c>
      <c r="N4054" s="25">
        <f>IF(J4054&gt;300,1,0)</f>
        <v/>
      </c>
      <c r="O4054" s="25">
        <f>IF(J4054&gt;600,1,0)</f>
        <v/>
      </c>
      <c r="P4054" s="25">
        <f>IF(H4054&gt;0,J4054,"")</f>
        <v/>
      </c>
      <c r="Q4054" s="25">
        <f>TEXT(A4054,"YYYY-MM-DD HH")</f>
        <v/>
      </c>
      <c r="R4054" s="25">
        <f>COUNTIF($Q$2:$Q$5295,Q4054)</f>
        <v/>
      </c>
      <c r="S4054" s="25">
        <f>IF(R4054&lt;=2,"1-2",IF(R4054&lt;=5,"3-5",IF(R4054&lt;=10,"6-10","11+")))</f>
        <v/>
      </c>
    </row>
    <row r="4055">
      <c r="A4055" s="39" t="n">
        <v>46219.38546296296</v>
      </c>
      <c r="B4055" s="25">
        <f>TEXT(A4055,"YYYY-MM")</f>
        <v/>
      </c>
      <c r="C4055" s="25">
        <f>TEXT(A4055,"MMM-YYYY")</f>
        <v/>
      </c>
      <c r="D4055" s="40">
        <f>INT(A4055)-WEEKDAY(A4055,2)+1</f>
        <v/>
      </c>
      <c r="E4055" s="25" t="inlineStr">
        <is>
          <t>apriyadarshi</t>
        </is>
      </c>
      <c r="F4055" s="25" t="n">
        <v>131398</v>
      </c>
      <c r="G4055" s="25" t="n">
        <v>4</v>
      </c>
      <c r="H4055" s="25" t="n">
        <v>22</v>
      </c>
      <c r="I4055" s="25" t="inlineStr">
        <is>
          <t>2 minute(s) and 58 second(s)</t>
        </is>
      </c>
      <c r="J4055" s="25">
        <f>IFERROR(VALUE(TRIM(LEFT(I4055,FIND("minute",I4055)-1)))*60,0)+IFERROR(VALUE(SUBSTITUTE(MID(I4055,IFERROR(FIND("and",I4055)+3,1),20),"second(s)","")),0)</f>
        <v/>
      </c>
      <c r="K4055" s="41">
        <f>J4055/60</f>
        <v/>
      </c>
      <c r="L4055" s="41">
        <f>IFERROR(J4055/H4055,"")</f>
        <v/>
      </c>
      <c r="M4055" s="25" t="inlineStr">
        <is>
          <t>2.5.12</t>
        </is>
      </c>
      <c r="N4055" s="25">
        <f>IF(J4055&gt;300,1,0)</f>
        <v/>
      </c>
      <c r="O4055" s="25">
        <f>IF(J4055&gt;600,1,0)</f>
        <v/>
      </c>
      <c r="P4055" s="25">
        <f>IF(H4055&gt;0,J4055,"")</f>
        <v/>
      </c>
      <c r="Q4055" s="25">
        <f>TEXT(A4055,"YYYY-MM-DD HH")</f>
        <v/>
      </c>
      <c r="R4055" s="25">
        <f>COUNTIF($Q$2:$Q$5295,Q4055)</f>
        <v/>
      </c>
      <c r="S4055" s="25">
        <f>IF(R4055&lt;=2,"1-2",IF(R4055&lt;=5,"3-5",IF(R4055&lt;=10,"6-10","11+")))</f>
        <v/>
      </c>
    </row>
    <row r="4056">
      <c r="A4056" s="39" t="n">
        <v>46219.38715277778</v>
      </c>
      <c r="B4056" s="25">
        <f>TEXT(A4056,"YYYY-MM")</f>
        <v/>
      </c>
      <c r="C4056" s="25">
        <f>TEXT(A4056,"MMM-YYYY")</f>
        <v/>
      </c>
      <c r="D4056" s="40">
        <f>INT(A4056)-WEEKDAY(A4056,2)+1</f>
        <v/>
      </c>
      <c r="E4056" s="25" t="inlineStr">
        <is>
          <t>ns</t>
        </is>
      </c>
      <c r="F4056" s="25" t="n">
        <v>131038</v>
      </c>
      <c r="G4056" s="25" t="n">
        <v>2</v>
      </c>
      <c r="H4056" s="25" t="n">
        <v>8</v>
      </c>
      <c r="I4056" s="25" t="inlineStr">
        <is>
          <t>40 second(s)</t>
        </is>
      </c>
      <c r="J4056" s="25">
        <f>IFERROR(VALUE(TRIM(LEFT(I4056,FIND("minute",I4056)-1)))*60,0)+IFERROR(VALUE(SUBSTITUTE(MID(I4056,IFERROR(FIND("and",I4056)+3,1),20),"second(s)","")),0)</f>
        <v/>
      </c>
      <c r="K4056" s="41">
        <f>J4056/60</f>
        <v/>
      </c>
      <c r="L4056" s="41">
        <f>IFERROR(J4056/H4056,"")</f>
        <v/>
      </c>
      <c r="M4056" s="25" t="inlineStr">
        <is>
          <t>2.5.12</t>
        </is>
      </c>
      <c r="N4056" s="25">
        <f>IF(J4056&gt;300,1,0)</f>
        <v/>
      </c>
      <c r="O4056" s="25">
        <f>IF(J4056&gt;600,1,0)</f>
        <v/>
      </c>
      <c r="P4056" s="25">
        <f>IF(H4056&gt;0,J4056,"")</f>
        <v/>
      </c>
      <c r="Q4056" s="25">
        <f>TEXT(A4056,"YYYY-MM-DD HH")</f>
        <v/>
      </c>
      <c r="R4056" s="25">
        <f>COUNTIF($Q$2:$Q$5295,Q4056)</f>
        <v/>
      </c>
      <c r="S4056" s="25">
        <f>IF(R4056&lt;=2,"1-2",IF(R4056&lt;=5,"3-5",IF(R4056&lt;=10,"6-10","11+")))</f>
        <v/>
      </c>
    </row>
    <row r="4057">
      <c r="A4057" s="39" t="n">
        <v>46219.393125</v>
      </c>
      <c r="B4057" s="25">
        <f>TEXT(A4057,"YYYY-MM")</f>
        <v/>
      </c>
      <c r="C4057" s="25">
        <f>TEXT(A4057,"MMM-YYYY")</f>
        <v/>
      </c>
      <c r="D4057" s="40">
        <f>INT(A4057)-WEEKDAY(A4057,2)+1</f>
        <v/>
      </c>
      <c r="E4057" s="25" t="inlineStr">
        <is>
          <t>csaha</t>
        </is>
      </c>
      <c r="F4057" s="25" t="n">
        <v>128872</v>
      </c>
      <c r="G4057" s="25" t="n">
        <v>2</v>
      </c>
      <c r="H4057" s="25" t="n">
        <v>8</v>
      </c>
      <c r="I4057" s="25" t="inlineStr">
        <is>
          <t>1 minute(s) and 33 second(s)</t>
        </is>
      </c>
      <c r="J4057" s="25">
        <f>IFERROR(VALUE(TRIM(LEFT(I4057,FIND("minute",I4057)-1)))*60,0)+IFERROR(VALUE(SUBSTITUTE(MID(I4057,IFERROR(FIND("and",I4057)+3,1),20),"second(s)","")),0)</f>
        <v/>
      </c>
      <c r="K4057" s="41">
        <f>J4057/60</f>
        <v/>
      </c>
      <c r="L4057" s="41">
        <f>IFERROR(J4057/H4057,"")</f>
        <v/>
      </c>
      <c r="M4057" s="25" t="inlineStr">
        <is>
          <t>2.5.12</t>
        </is>
      </c>
      <c r="N4057" s="25">
        <f>IF(J4057&gt;300,1,0)</f>
        <v/>
      </c>
      <c r="O4057" s="25">
        <f>IF(J4057&gt;600,1,0)</f>
        <v/>
      </c>
      <c r="P4057" s="25">
        <f>IF(H4057&gt;0,J4057,"")</f>
        <v/>
      </c>
      <c r="Q4057" s="25">
        <f>TEXT(A4057,"YYYY-MM-DD HH")</f>
        <v/>
      </c>
      <c r="R4057" s="25">
        <f>COUNTIF($Q$2:$Q$5295,Q4057)</f>
        <v/>
      </c>
      <c r="S4057" s="25">
        <f>IF(R4057&lt;=2,"1-2",IF(R4057&lt;=5,"3-5",IF(R4057&lt;=10,"6-10","11+")))</f>
        <v/>
      </c>
    </row>
    <row r="4058">
      <c r="A4058" s="39" t="n">
        <v>46219.39854166667</v>
      </c>
      <c r="B4058" s="25">
        <f>TEXT(A4058,"YYYY-MM")</f>
        <v/>
      </c>
      <c r="C4058" s="25">
        <f>TEXT(A4058,"MMM-YYYY")</f>
        <v/>
      </c>
      <c r="D4058" s="40">
        <f>INT(A4058)-WEEKDAY(A4058,2)+1</f>
        <v/>
      </c>
      <c r="E4058" s="25" t="inlineStr">
        <is>
          <t>tkarmakar</t>
        </is>
      </c>
      <c r="F4058" s="25" t="n">
        <v>128801</v>
      </c>
      <c r="G4058" s="25" t="n">
        <v>2</v>
      </c>
      <c r="H4058" s="25" t="n">
        <v>8</v>
      </c>
      <c r="I4058" s="25" t="inlineStr">
        <is>
          <t>53 second(s)</t>
        </is>
      </c>
      <c r="J4058" s="25">
        <f>IFERROR(VALUE(TRIM(LEFT(I4058,FIND("minute",I4058)-1)))*60,0)+IFERROR(VALUE(SUBSTITUTE(MID(I4058,IFERROR(FIND("and",I4058)+3,1),20),"second(s)","")),0)</f>
        <v/>
      </c>
      <c r="K4058" s="41">
        <f>J4058/60</f>
        <v/>
      </c>
      <c r="L4058" s="41">
        <f>IFERROR(J4058/H4058,"")</f>
        <v/>
      </c>
      <c r="M4058" s="25" t="inlineStr">
        <is>
          <t>2.5.12</t>
        </is>
      </c>
      <c r="N4058" s="25">
        <f>IF(J4058&gt;300,1,0)</f>
        <v/>
      </c>
      <c r="O4058" s="25">
        <f>IF(J4058&gt;600,1,0)</f>
        <v/>
      </c>
      <c r="P4058" s="25">
        <f>IF(H4058&gt;0,J4058,"")</f>
        <v/>
      </c>
      <c r="Q4058" s="25">
        <f>TEXT(A4058,"YYYY-MM-DD HH")</f>
        <v/>
      </c>
      <c r="R4058" s="25">
        <f>COUNTIF($Q$2:$Q$5295,Q4058)</f>
        <v/>
      </c>
      <c r="S4058" s="25">
        <f>IF(R4058&lt;=2,"1-2",IF(R4058&lt;=5,"3-5",IF(R4058&lt;=10,"6-10","11+")))</f>
        <v/>
      </c>
    </row>
    <row r="4059">
      <c r="A4059" s="39" t="n">
        <v>46219.39976851852</v>
      </c>
      <c r="B4059" s="25">
        <f>TEXT(A4059,"YYYY-MM")</f>
        <v/>
      </c>
      <c r="C4059" s="25">
        <f>TEXT(A4059,"MMM-YYYY")</f>
        <v/>
      </c>
      <c r="D4059" s="40">
        <f>INT(A4059)-WEEKDAY(A4059,2)+1</f>
        <v/>
      </c>
      <c r="E4059" s="25" t="inlineStr">
        <is>
          <t>ssneha</t>
        </is>
      </c>
      <c r="F4059" s="25" t="n">
        <v>131426</v>
      </c>
      <c r="G4059" s="25" t="n">
        <v>3</v>
      </c>
      <c r="H4059" s="25" t="n">
        <v>11</v>
      </c>
      <c r="I4059" s="25" t="inlineStr">
        <is>
          <t>2 minute(s) and 37 second(s)</t>
        </is>
      </c>
      <c r="J4059" s="25">
        <f>IFERROR(VALUE(TRIM(LEFT(I4059,FIND("minute",I4059)-1)))*60,0)+IFERROR(VALUE(SUBSTITUTE(MID(I4059,IFERROR(FIND("and",I4059)+3,1),20),"second(s)","")),0)</f>
        <v/>
      </c>
      <c r="K4059" s="41">
        <f>J4059/60</f>
        <v/>
      </c>
      <c r="L4059" s="41">
        <f>IFERROR(J4059/H4059,"")</f>
        <v/>
      </c>
      <c r="M4059" s="25" t="inlineStr">
        <is>
          <t>2.5.12</t>
        </is>
      </c>
      <c r="N4059" s="25">
        <f>IF(J4059&gt;300,1,0)</f>
        <v/>
      </c>
      <c r="O4059" s="25">
        <f>IF(J4059&gt;600,1,0)</f>
        <v/>
      </c>
      <c r="P4059" s="25">
        <f>IF(H4059&gt;0,J4059,"")</f>
        <v/>
      </c>
      <c r="Q4059" s="25">
        <f>TEXT(A4059,"YYYY-MM-DD HH")</f>
        <v/>
      </c>
      <c r="R4059" s="25">
        <f>COUNTIF($Q$2:$Q$5295,Q4059)</f>
        <v/>
      </c>
      <c r="S4059" s="25">
        <f>IF(R4059&lt;=2,"1-2",IF(R4059&lt;=5,"3-5",IF(R4059&lt;=10,"6-10","11+")))</f>
        <v/>
      </c>
    </row>
    <row r="4060">
      <c r="A4060" s="39" t="n">
        <v>46219.40611111111</v>
      </c>
      <c r="B4060" s="25">
        <f>TEXT(A4060,"YYYY-MM")</f>
        <v/>
      </c>
      <c r="C4060" s="25">
        <f>TEXT(A4060,"MMM-YYYY")</f>
        <v/>
      </c>
      <c r="D4060" s="40">
        <f>INT(A4060)-WEEKDAY(A4060,2)+1</f>
        <v/>
      </c>
      <c r="E4060" s="25" t="inlineStr">
        <is>
          <t>npriya</t>
        </is>
      </c>
      <c r="F4060" s="25" t="n">
        <v>128513</v>
      </c>
      <c r="G4060" s="25" t="n">
        <v>3</v>
      </c>
      <c r="H4060" s="25" t="n">
        <v>22</v>
      </c>
      <c r="I4060" s="25" t="inlineStr">
        <is>
          <t>3 minute(s) and 33 second(s)</t>
        </is>
      </c>
      <c r="J4060" s="25">
        <f>IFERROR(VALUE(TRIM(LEFT(I4060,FIND("minute",I4060)-1)))*60,0)+IFERROR(VALUE(SUBSTITUTE(MID(I4060,IFERROR(FIND("and",I4060)+3,1),20),"second(s)","")),0)</f>
        <v/>
      </c>
      <c r="K4060" s="41">
        <f>J4060/60</f>
        <v/>
      </c>
      <c r="L4060" s="41">
        <f>IFERROR(J4060/H4060,"")</f>
        <v/>
      </c>
      <c r="M4060" s="25" t="inlineStr">
        <is>
          <t>2.5.12</t>
        </is>
      </c>
      <c r="N4060" s="25">
        <f>IF(J4060&gt;300,1,0)</f>
        <v/>
      </c>
      <c r="O4060" s="25">
        <f>IF(J4060&gt;600,1,0)</f>
        <v/>
      </c>
      <c r="P4060" s="25">
        <f>IF(H4060&gt;0,J4060,"")</f>
        <v/>
      </c>
      <c r="Q4060" s="25">
        <f>TEXT(A4060,"YYYY-MM-DD HH")</f>
        <v/>
      </c>
      <c r="R4060" s="25">
        <f>COUNTIF($Q$2:$Q$5295,Q4060)</f>
        <v/>
      </c>
      <c r="S4060" s="25">
        <f>IF(R4060&lt;=2,"1-2",IF(R4060&lt;=5,"3-5",IF(R4060&lt;=10,"6-10","11+")))</f>
        <v/>
      </c>
    </row>
    <row r="4061">
      <c r="A4061" s="39" t="n">
        <v>46219.40737268519</v>
      </c>
      <c r="B4061" s="25">
        <f>TEXT(A4061,"YYYY-MM")</f>
        <v/>
      </c>
      <c r="C4061" s="25">
        <f>TEXT(A4061,"MMM-YYYY")</f>
        <v/>
      </c>
      <c r="D4061" s="40">
        <f>INT(A4061)-WEEKDAY(A4061,2)+1</f>
        <v/>
      </c>
      <c r="E4061" s="25" t="inlineStr">
        <is>
          <t>smukhopadhyay</t>
        </is>
      </c>
      <c r="F4061" s="25" t="n">
        <v>130580</v>
      </c>
      <c r="G4061" s="25" t="n">
        <v>4</v>
      </c>
      <c r="H4061" s="25" t="n">
        <v>24</v>
      </c>
      <c r="I4061" s="25" t="inlineStr">
        <is>
          <t>2 minute(s) and 29 second(s)</t>
        </is>
      </c>
      <c r="J4061" s="25">
        <f>IFERROR(VALUE(TRIM(LEFT(I4061,FIND("minute",I4061)-1)))*60,0)+IFERROR(VALUE(SUBSTITUTE(MID(I4061,IFERROR(FIND("and",I4061)+3,1),20),"second(s)","")),0)</f>
        <v/>
      </c>
      <c r="K4061" s="41">
        <f>J4061/60</f>
        <v/>
      </c>
      <c r="L4061" s="41">
        <f>IFERROR(J4061/H4061,"")</f>
        <v/>
      </c>
      <c r="M4061" s="25" t="inlineStr">
        <is>
          <t>2.5.12</t>
        </is>
      </c>
      <c r="N4061" s="25">
        <f>IF(J4061&gt;300,1,0)</f>
        <v/>
      </c>
      <c r="O4061" s="25">
        <f>IF(J4061&gt;600,1,0)</f>
        <v/>
      </c>
      <c r="P4061" s="25">
        <f>IF(H4061&gt;0,J4061,"")</f>
        <v/>
      </c>
      <c r="Q4061" s="25">
        <f>TEXT(A4061,"YYYY-MM-DD HH")</f>
        <v/>
      </c>
      <c r="R4061" s="25">
        <f>COUNTIF($Q$2:$Q$5295,Q4061)</f>
        <v/>
      </c>
      <c r="S4061" s="25">
        <f>IF(R4061&lt;=2,"1-2",IF(R4061&lt;=5,"3-5",IF(R4061&lt;=10,"6-10","11+")))</f>
        <v/>
      </c>
    </row>
    <row r="4062">
      <c r="A4062" s="39" t="n">
        <v>46219.41493055555</v>
      </c>
      <c r="B4062" s="25">
        <f>TEXT(A4062,"YYYY-MM")</f>
        <v/>
      </c>
      <c r="C4062" s="25">
        <f>TEXT(A4062,"MMM-YYYY")</f>
        <v/>
      </c>
      <c r="D4062" s="40">
        <f>INT(A4062)-WEEKDAY(A4062,2)+1</f>
        <v/>
      </c>
      <c r="E4062" s="25" t="inlineStr">
        <is>
          <t>aghosh</t>
        </is>
      </c>
      <c r="F4062" s="25" t="n">
        <v>128588</v>
      </c>
      <c r="G4062" s="25" t="n">
        <v>4</v>
      </c>
      <c r="H4062" s="25" t="n">
        <v>24</v>
      </c>
      <c r="I4062" s="25" t="inlineStr">
        <is>
          <t>2 minute(s) and 16 second(s)</t>
        </is>
      </c>
      <c r="J4062" s="25">
        <f>IFERROR(VALUE(TRIM(LEFT(I4062,FIND("minute",I4062)-1)))*60,0)+IFERROR(VALUE(SUBSTITUTE(MID(I4062,IFERROR(FIND("and",I4062)+3,1),20),"second(s)","")),0)</f>
        <v/>
      </c>
      <c r="K4062" s="41">
        <f>J4062/60</f>
        <v/>
      </c>
      <c r="L4062" s="41">
        <f>IFERROR(J4062/H4062,"")</f>
        <v/>
      </c>
      <c r="M4062" s="25" t="inlineStr">
        <is>
          <t>2.5.12</t>
        </is>
      </c>
      <c r="N4062" s="25">
        <f>IF(J4062&gt;300,1,0)</f>
        <v/>
      </c>
      <c r="O4062" s="25">
        <f>IF(J4062&gt;600,1,0)</f>
        <v/>
      </c>
      <c r="P4062" s="25">
        <f>IF(H4062&gt;0,J4062,"")</f>
        <v/>
      </c>
      <c r="Q4062" s="25">
        <f>TEXT(A4062,"YYYY-MM-DD HH")</f>
        <v/>
      </c>
      <c r="R4062" s="25">
        <f>COUNTIF($Q$2:$Q$5295,Q4062)</f>
        <v/>
      </c>
      <c r="S4062" s="25">
        <f>IF(R4062&lt;=2,"1-2",IF(R4062&lt;=5,"3-5",IF(R4062&lt;=10,"6-10","11+")))</f>
        <v/>
      </c>
    </row>
    <row r="4063">
      <c r="A4063" s="39" t="n">
        <v>46219.41662037037</v>
      </c>
      <c r="B4063" s="25">
        <f>TEXT(A4063,"YYYY-MM")</f>
        <v/>
      </c>
      <c r="C4063" s="25">
        <f>TEXT(A4063,"MMM-YYYY")</f>
        <v/>
      </c>
      <c r="D4063" s="40">
        <f>INT(A4063)-WEEKDAY(A4063,2)+1</f>
        <v/>
      </c>
      <c r="E4063" s="25" t="inlineStr">
        <is>
          <t>sswati</t>
        </is>
      </c>
      <c r="F4063" s="25" t="n">
        <v>131333</v>
      </c>
      <c r="G4063" s="25" t="n">
        <v>4</v>
      </c>
      <c r="H4063" s="25" t="n">
        <v>18</v>
      </c>
      <c r="I4063" s="25" t="inlineStr">
        <is>
          <t>1 minute(s) and 49 second(s)</t>
        </is>
      </c>
      <c r="J4063" s="25">
        <f>IFERROR(VALUE(TRIM(LEFT(I4063,FIND("minute",I4063)-1)))*60,0)+IFERROR(VALUE(SUBSTITUTE(MID(I4063,IFERROR(FIND("and",I4063)+3,1),20),"second(s)","")),0)</f>
        <v/>
      </c>
      <c r="K4063" s="41">
        <f>J4063/60</f>
        <v/>
      </c>
      <c r="L4063" s="41">
        <f>IFERROR(J4063/H4063,"")</f>
        <v/>
      </c>
      <c r="M4063" s="25" t="inlineStr">
        <is>
          <t>2.5.12</t>
        </is>
      </c>
      <c r="N4063" s="25">
        <f>IF(J4063&gt;300,1,0)</f>
        <v/>
      </c>
      <c r="O4063" s="25">
        <f>IF(J4063&gt;600,1,0)</f>
        <v/>
      </c>
      <c r="P4063" s="25">
        <f>IF(H4063&gt;0,J4063,"")</f>
        <v/>
      </c>
      <c r="Q4063" s="25">
        <f>TEXT(A4063,"YYYY-MM-DD HH")</f>
        <v/>
      </c>
      <c r="R4063" s="25">
        <f>COUNTIF($Q$2:$Q$5295,Q4063)</f>
        <v/>
      </c>
      <c r="S4063" s="25">
        <f>IF(R4063&lt;=2,"1-2",IF(R4063&lt;=5,"3-5",IF(R4063&lt;=10,"6-10","11+")))</f>
        <v/>
      </c>
    </row>
    <row r="4064">
      <c r="A4064" s="39" t="n">
        <v>46219.41774305556</v>
      </c>
      <c r="B4064" s="25">
        <f>TEXT(A4064,"YYYY-MM")</f>
        <v/>
      </c>
      <c r="C4064" s="25">
        <f>TEXT(A4064,"MMM-YYYY")</f>
        <v/>
      </c>
      <c r="D4064" s="40">
        <f>INT(A4064)-WEEKDAY(A4064,2)+1</f>
        <v/>
      </c>
      <c r="E4064" s="25" t="inlineStr">
        <is>
          <t>aupadhayay</t>
        </is>
      </c>
      <c r="F4064" s="25" t="n">
        <v>128281</v>
      </c>
      <c r="G4064" s="25" t="n">
        <v>3</v>
      </c>
      <c r="H4064" s="25" t="n">
        <v>9</v>
      </c>
      <c r="I4064" s="25" t="inlineStr">
        <is>
          <t>48 second(s)</t>
        </is>
      </c>
      <c r="J4064" s="25">
        <f>IFERROR(VALUE(TRIM(LEFT(I4064,FIND("minute",I4064)-1)))*60,0)+IFERROR(VALUE(SUBSTITUTE(MID(I4064,IFERROR(FIND("and",I4064)+3,1),20),"second(s)","")),0)</f>
        <v/>
      </c>
      <c r="K4064" s="41">
        <f>J4064/60</f>
        <v/>
      </c>
      <c r="L4064" s="41">
        <f>IFERROR(J4064/H4064,"")</f>
        <v/>
      </c>
      <c r="M4064" s="25" t="inlineStr">
        <is>
          <t>2.5.12</t>
        </is>
      </c>
      <c r="N4064" s="25">
        <f>IF(J4064&gt;300,1,0)</f>
        <v/>
      </c>
      <c r="O4064" s="25">
        <f>IF(J4064&gt;600,1,0)</f>
        <v/>
      </c>
      <c r="P4064" s="25">
        <f>IF(H4064&gt;0,J4064,"")</f>
        <v/>
      </c>
      <c r="Q4064" s="25">
        <f>TEXT(A4064,"YYYY-MM-DD HH")</f>
        <v/>
      </c>
      <c r="R4064" s="25">
        <f>COUNTIF($Q$2:$Q$5295,Q4064)</f>
        <v/>
      </c>
      <c r="S4064" s="25">
        <f>IF(R4064&lt;=2,"1-2",IF(R4064&lt;=5,"3-5",IF(R4064&lt;=10,"6-10","11+")))</f>
        <v/>
      </c>
    </row>
    <row r="4065">
      <c r="A4065" s="39" t="n">
        <v>46219.41893518518</v>
      </c>
      <c r="B4065" s="25">
        <f>TEXT(A4065,"YYYY-MM")</f>
        <v/>
      </c>
      <c r="C4065" s="25">
        <f>TEXT(A4065,"MMM-YYYY")</f>
        <v/>
      </c>
      <c r="D4065" s="40">
        <f>INT(A4065)-WEEKDAY(A4065,2)+1</f>
        <v/>
      </c>
      <c r="E4065" s="25" t="inlineStr">
        <is>
          <t>dchoudhury</t>
        </is>
      </c>
      <c r="F4065" s="25" t="n">
        <v>128248</v>
      </c>
      <c r="G4065" s="25" t="n">
        <v>3</v>
      </c>
      <c r="H4065" s="25" t="n">
        <v>13</v>
      </c>
      <c r="I4065" s="25" t="inlineStr">
        <is>
          <t>1 minute(s) and 1 second(s)</t>
        </is>
      </c>
      <c r="J4065" s="25">
        <f>IFERROR(VALUE(TRIM(LEFT(I4065,FIND("minute",I4065)-1)))*60,0)+IFERROR(VALUE(SUBSTITUTE(MID(I4065,IFERROR(FIND("and",I4065)+3,1),20),"second(s)","")),0)</f>
        <v/>
      </c>
      <c r="K4065" s="41">
        <f>J4065/60</f>
        <v/>
      </c>
      <c r="L4065" s="41">
        <f>IFERROR(J4065/H4065,"")</f>
        <v/>
      </c>
      <c r="M4065" s="25" t="inlineStr">
        <is>
          <t>2.5.12</t>
        </is>
      </c>
      <c r="N4065" s="25">
        <f>IF(J4065&gt;300,1,0)</f>
        <v/>
      </c>
      <c r="O4065" s="25">
        <f>IF(J4065&gt;600,1,0)</f>
        <v/>
      </c>
      <c r="P4065" s="25">
        <f>IF(H4065&gt;0,J4065,"")</f>
        <v/>
      </c>
      <c r="Q4065" s="25">
        <f>TEXT(A4065,"YYYY-MM-DD HH")</f>
        <v/>
      </c>
      <c r="R4065" s="25">
        <f>COUNTIF($Q$2:$Q$5295,Q4065)</f>
        <v/>
      </c>
      <c r="S4065" s="25">
        <f>IF(R4065&lt;=2,"1-2",IF(R4065&lt;=5,"3-5",IF(R4065&lt;=10,"6-10","11+")))</f>
        <v/>
      </c>
    </row>
    <row r="4066">
      <c r="A4066" s="39" t="n">
        <v>46219.4247337963</v>
      </c>
      <c r="B4066" s="25">
        <f>TEXT(A4066,"YYYY-MM")</f>
        <v/>
      </c>
      <c r="C4066" s="25">
        <f>TEXT(A4066,"MMM-YYYY")</f>
        <v/>
      </c>
      <c r="D4066" s="40">
        <f>INT(A4066)-WEEKDAY(A4066,2)+1</f>
        <v/>
      </c>
      <c r="E4066" s="25" t="inlineStr">
        <is>
          <t>hsindwani</t>
        </is>
      </c>
      <c r="F4066" s="25" t="n">
        <v>132880</v>
      </c>
      <c r="G4066" s="25" t="n">
        <v>1</v>
      </c>
      <c r="H4066" s="25" t="n">
        <v>8</v>
      </c>
      <c r="I4066" s="25" t="inlineStr">
        <is>
          <t>1 minute(s) and 43 second(s)</t>
        </is>
      </c>
      <c r="J4066" s="25">
        <f>IFERROR(VALUE(TRIM(LEFT(I4066,FIND("minute",I4066)-1)))*60,0)+IFERROR(VALUE(SUBSTITUTE(MID(I4066,IFERROR(FIND("and",I4066)+3,1),20),"second(s)","")),0)</f>
        <v/>
      </c>
      <c r="K4066" s="41">
        <f>J4066/60</f>
        <v/>
      </c>
      <c r="L4066" s="41">
        <f>IFERROR(J4066/H4066,"")</f>
        <v/>
      </c>
      <c r="M4066" s="25" t="inlineStr">
        <is>
          <t>2.5.12</t>
        </is>
      </c>
      <c r="N4066" s="25">
        <f>IF(J4066&gt;300,1,0)</f>
        <v/>
      </c>
      <c r="O4066" s="25">
        <f>IF(J4066&gt;600,1,0)</f>
        <v/>
      </c>
      <c r="P4066" s="25">
        <f>IF(H4066&gt;0,J4066,"")</f>
        <v/>
      </c>
      <c r="Q4066" s="25">
        <f>TEXT(A4066,"YYYY-MM-DD HH")</f>
        <v/>
      </c>
      <c r="R4066" s="25">
        <f>COUNTIF($Q$2:$Q$5295,Q4066)</f>
        <v/>
      </c>
      <c r="S4066" s="25">
        <f>IF(R4066&lt;=2,"1-2",IF(R4066&lt;=5,"3-5",IF(R4066&lt;=10,"6-10","11+")))</f>
        <v/>
      </c>
    </row>
    <row r="4067">
      <c r="A4067" s="39" t="n">
        <v>46219.43001157408</v>
      </c>
      <c r="B4067" s="25">
        <f>TEXT(A4067,"YYYY-MM")</f>
        <v/>
      </c>
      <c r="C4067" s="25">
        <f>TEXT(A4067,"MMM-YYYY")</f>
        <v/>
      </c>
      <c r="D4067" s="40">
        <f>INT(A4067)-WEEKDAY(A4067,2)+1</f>
        <v/>
      </c>
      <c r="E4067" s="25" t="inlineStr">
        <is>
          <t>pgautam</t>
        </is>
      </c>
      <c r="F4067" s="25" t="n">
        <v>129430</v>
      </c>
      <c r="G4067" s="25" t="n">
        <v>5</v>
      </c>
      <c r="H4067" s="25" t="n">
        <v>30</v>
      </c>
      <c r="I4067" s="25" t="inlineStr">
        <is>
          <t>3 minute(s) and 9 second(s)</t>
        </is>
      </c>
      <c r="J4067" s="25">
        <f>IFERROR(VALUE(TRIM(LEFT(I4067,FIND("minute",I4067)-1)))*60,0)+IFERROR(VALUE(SUBSTITUTE(MID(I4067,IFERROR(FIND("and",I4067)+3,1),20),"second(s)","")),0)</f>
        <v/>
      </c>
      <c r="K4067" s="41">
        <f>J4067/60</f>
        <v/>
      </c>
      <c r="L4067" s="41">
        <f>IFERROR(J4067/H4067,"")</f>
        <v/>
      </c>
      <c r="M4067" s="25" t="inlineStr">
        <is>
          <t>2.5.12</t>
        </is>
      </c>
      <c r="N4067" s="25">
        <f>IF(J4067&gt;300,1,0)</f>
        <v/>
      </c>
      <c r="O4067" s="25">
        <f>IF(J4067&gt;600,1,0)</f>
        <v/>
      </c>
      <c r="P4067" s="25">
        <f>IF(H4067&gt;0,J4067,"")</f>
        <v/>
      </c>
      <c r="Q4067" s="25">
        <f>TEXT(A4067,"YYYY-MM-DD HH")</f>
        <v/>
      </c>
      <c r="R4067" s="25">
        <f>COUNTIF($Q$2:$Q$5295,Q4067)</f>
        <v/>
      </c>
      <c r="S4067" s="25">
        <f>IF(R4067&lt;=2,"1-2",IF(R4067&lt;=5,"3-5",IF(R4067&lt;=10,"6-10","11+")))</f>
        <v/>
      </c>
    </row>
    <row r="4068">
      <c r="A4068" s="39" t="n">
        <v>46219.43539351852</v>
      </c>
      <c r="B4068" s="25">
        <f>TEXT(A4068,"YYYY-MM")</f>
        <v/>
      </c>
      <c r="C4068" s="25">
        <f>TEXT(A4068,"MMM-YYYY")</f>
        <v/>
      </c>
      <c r="D4068" s="40">
        <f>INT(A4068)-WEEKDAY(A4068,2)+1</f>
        <v/>
      </c>
      <c r="E4068" s="25" t="inlineStr">
        <is>
          <t>shassan</t>
        </is>
      </c>
      <c r="F4068" s="25" t="n">
        <v>131990</v>
      </c>
      <c r="G4068" s="25" t="n">
        <v>2</v>
      </c>
      <c r="H4068" s="25" t="n">
        <v>12</v>
      </c>
      <c r="I4068" s="25" t="inlineStr">
        <is>
          <t>5 minute(s) and 19 second(s)</t>
        </is>
      </c>
      <c r="J4068" s="25">
        <f>IFERROR(VALUE(TRIM(LEFT(I4068,FIND("minute",I4068)-1)))*60,0)+IFERROR(VALUE(SUBSTITUTE(MID(I4068,IFERROR(FIND("and",I4068)+3,1),20),"second(s)","")),0)</f>
        <v/>
      </c>
      <c r="K4068" s="41">
        <f>J4068/60</f>
        <v/>
      </c>
      <c r="L4068" s="41">
        <f>IFERROR(J4068/H4068,"")</f>
        <v/>
      </c>
      <c r="M4068" s="25" t="inlineStr">
        <is>
          <t>2.5.12</t>
        </is>
      </c>
      <c r="N4068" s="25">
        <f>IF(J4068&gt;300,1,0)</f>
        <v/>
      </c>
      <c r="O4068" s="25">
        <f>IF(J4068&gt;600,1,0)</f>
        <v/>
      </c>
      <c r="P4068" s="25">
        <f>IF(H4068&gt;0,J4068,"")</f>
        <v/>
      </c>
      <c r="Q4068" s="25">
        <f>TEXT(A4068,"YYYY-MM-DD HH")</f>
        <v/>
      </c>
      <c r="R4068" s="25">
        <f>COUNTIF($Q$2:$Q$5295,Q4068)</f>
        <v/>
      </c>
      <c r="S4068" s="25">
        <f>IF(R4068&lt;=2,"1-2",IF(R4068&lt;=5,"3-5",IF(R4068&lt;=10,"6-10","11+")))</f>
        <v/>
      </c>
    </row>
    <row r="4069">
      <c r="A4069" s="39" t="n">
        <v>46219.45402777778</v>
      </c>
      <c r="B4069" s="25">
        <f>TEXT(A4069,"YYYY-MM")</f>
        <v/>
      </c>
      <c r="C4069" s="25">
        <f>TEXT(A4069,"MMM-YYYY")</f>
        <v/>
      </c>
      <c r="D4069" s="40">
        <f>INT(A4069)-WEEKDAY(A4069,2)+1</f>
        <v/>
      </c>
      <c r="E4069" s="25" t="inlineStr">
        <is>
          <t>ssrinivasan</t>
        </is>
      </c>
      <c r="F4069" s="25" t="n">
        <v>132866</v>
      </c>
      <c r="G4069" s="25" t="n">
        <v>3</v>
      </c>
      <c r="H4069" s="25" t="n">
        <v>9</v>
      </c>
      <c r="I4069" s="25" t="inlineStr">
        <is>
          <t>53 second(s)</t>
        </is>
      </c>
      <c r="J4069" s="25">
        <f>IFERROR(VALUE(TRIM(LEFT(I4069,FIND("minute",I4069)-1)))*60,0)+IFERROR(VALUE(SUBSTITUTE(MID(I4069,IFERROR(FIND("and",I4069)+3,1),20),"second(s)","")),0)</f>
        <v/>
      </c>
      <c r="K4069" s="41">
        <f>J4069/60</f>
        <v/>
      </c>
      <c r="L4069" s="41">
        <f>IFERROR(J4069/H4069,"")</f>
        <v/>
      </c>
      <c r="M4069" s="25" t="inlineStr">
        <is>
          <t>2.5.12</t>
        </is>
      </c>
      <c r="N4069" s="25">
        <f>IF(J4069&gt;300,1,0)</f>
        <v/>
      </c>
      <c r="O4069" s="25">
        <f>IF(J4069&gt;600,1,0)</f>
        <v/>
      </c>
      <c r="P4069" s="25">
        <f>IF(H4069&gt;0,J4069,"")</f>
        <v/>
      </c>
      <c r="Q4069" s="25">
        <f>TEXT(A4069,"YYYY-MM-DD HH")</f>
        <v/>
      </c>
      <c r="R4069" s="25">
        <f>COUNTIF($Q$2:$Q$5295,Q4069)</f>
        <v/>
      </c>
      <c r="S4069" s="25">
        <f>IF(R4069&lt;=2,"1-2",IF(R4069&lt;=5,"3-5",IF(R4069&lt;=10,"6-10","11+")))</f>
        <v/>
      </c>
    </row>
    <row r="4070">
      <c r="A4070" s="39" t="n">
        <v>46219.4574537037</v>
      </c>
      <c r="B4070" s="25">
        <f>TEXT(A4070,"YYYY-MM")</f>
        <v/>
      </c>
      <c r="C4070" s="25">
        <f>TEXT(A4070,"MMM-YYYY")</f>
        <v/>
      </c>
      <c r="D4070" s="40">
        <f>INT(A4070)-WEEKDAY(A4070,2)+1</f>
        <v/>
      </c>
      <c r="E4070" s="25" t="inlineStr">
        <is>
          <t>psathwika</t>
        </is>
      </c>
      <c r="F4070" s="25" t="n">
        <v>132792</v>
      </c>
      <c r="G4070" s="25" t="n">
        <v>1</v>
      </c>
      <c r="H4070" s="25" t="n">
        <v>7</v>
      </c>
      <c r="I4070" s="25" t="inlineStr">
        <is>
          <t>37 second(s)</t>
        </is>
      </c>
      <c r="J4070" s="25">
        <f>IFERROR(VALUE(TRIM(LEFT(I4070,FIND("minute",I4070)-1)))*60,0)+IFERROR(VALUE(SUBSTITUTE(MID(I4070,IFERROR(FIND("and",I4070)+3,1),20),"second(s)","")),0)</f>
        <v/>
      </c>
      <c r="K4070" s="41">
        <f>J4070/60</f>
        <v/>
      </c>
      <c r="L4070" s="41">
        <f>IFERROR(J4070/H4070,"")</f>
        <v/>
      </c>
      <c r="M4070" s="25" t="inlineStr">
        <is>
          <t>2.5.12</t>
        </is>
      </c>
      <c r="N4070" s="25">
        <f>IF(J4070&gt;300,1,0)</f>
        <v/>
      </c>
      <c r="O4070" s="25">
        <f>IF(J4070&gt;600,1,0)</f>
        <v/>
      </c>
      <c r="P4070" s="25">
        <f>IF(H4070&gt;0,J4070,"")</f>
        <v/>
      </c>
      <c r="Q4070" s="25">
        <f>TEXT(A4070,"YYYY-MM-DD HH")</f>
        <v/>
      </c>
      <c r="R4070" s="25">
        <f>COUNTIF($Q$2:$Q$5295,Q4070)</f>
        <v/>
      </c>
      <c r="S4070" s="25">
        <f>IF(R4070&lt;=2,"1-2",IF(R4070&lt;=5,"3-5",IF(R4070&lt;=10,"6-10","11+")))</f>
        <v/>
      </c>
    </row>
    <row r="4071">
      <c r="A4071" s="39" t="n">
        <v>46219.46547453704</v>
      </c>
      <c r="B4071" s="25">
        <f>TEXT(A4071,"YYYY-MM")</f>
        <v/>
      </c>
      <c r="C4071" s="25">
        <f>TEXT(A4071,"MMM-YYYY")</f>
        <v/>
      </c>
      <c r="D4071" s="40">
        <f>INT(A4071)-WEEKDAY(A4071,2)+1</f>
        <v/>
      </c>
      <c r="E4071" s="25" t="inlineStr">
        <is>
          <t>adey</t>
        </is>
      </c>
      <c r="F4071" s="25" t="n">
        <v>129112</v>
      </c>
      <c r="G4071" s="25" t="n">
        <v>4</v>
      </c>
      <c r="H4071" s="25" t="n">
        <v>20</v>
      </c>
      <c r="I4071" s="25" t="inlineStr">
        <is>
          <t>4 minute(s) and 6 second(s)</t>
        </is>
      </c>
      <c r="J4071" s="25">
        <f>IFERROR(VALUE(TRIM(LEFT(I4071,FIND("minute",I4071)-1)))*60,0)+IFERROR(VALUE(SUBSTITUTE(MID(I4071,IFERROR(FIND("and",I4071)+3,1),20),"second(s)","")),0)</f>
        <v/>
      </c>
      <c r="K4071" s="41">
        <f>J4071/60</f>
        <v/>
      </c>
      <c r="L4071" s="41">
        <f>IFERROR(J4071/H4071,"")</f>
        <v/>
      </c>
      <c r="M4071" s="25" t="inlineStr">
        <is>
          <t>2.5.12</t>
        </is>
      </c>
      <c r="N4071" s="25">
        <f>IF(J4071&gt;300,1,0)</f>
        <v/>
      </c>
      <c r="O4071" s="25">
        <f>IF(J4071&gt;600,1,0)</f>
        <v/>
      </c>
      <c r="P4071" s="25">
        <f>IF(H4071&gt;0,J4071,"")</f>
        <v/>
      </c>
      <c r="Q4071" s="25">
        <f>TEXT(A4071,"YYYY-MM-DD HH")</f>
        <v/>
      </c>
      <c r="R4071" s="25">
        <f>COUNTIF($Q$2:$Q$5295,Q4071)</f>
        <v/>
      </c>
      <c r="S4071" s="25">
        <f>IF(R4071&lt;=2,"1-2",IF(R4071&lt;=5,"3-5",IF(R4071&lt;=10,"6-10","11+")))</f>
        <v/>
      </c>
    </row>
    <row r="4072">
      <c r="A4072" s="39" t="n">
        <v>46219.46690972222</v>
      </c>
      <c r="B4072" s="25">
        <f>TEXT(A4072,"YYYY-MM")</f>
        <v/>
      </c>
      <c r="C4072" s="25">
        <f>TEXT(A4072,"MMM-YYYY")</f>
        <v/>
      </c>
      <c r="D4072" s="40">
        <f>INT(A4072)-WEEKDAY(A4072,2)+1</f>
        <v/>
      </c>
      <c r="E4072" s="25" t="inlineStr">
        <is>
          <t>shasikha</t>
        </is>
      </c>
      <c r="F4072" s="25" t="n">
        <v>129891</v>
      </c>
      <c r="G4072" s="25" t="n">
        <v>4</v>
      </c>
      <c r="H4072" s="25" t="n">
        <v>18</v>
      </c>
      <c r="I4072" s="25" t="inlineStr">
        <is>
          <t>2 minute(s) and 18 second(s)</t>
        </is>
      </c>
      <c r="J4072" s="25">
        <f>IFERROR(VALUE(TRIM(LEFT(I4072,FIND("minute",I4072)-1)))*60,0)+IFERROR(VALUE(SUBSTITUTE(MID(I4072,IFERROR(FIND("and",I4072)+3,1),20),"second(s)","")),0)</f>
        <v/>
      </c>
      <c r="K4072" s="41">
        <f>J4072/60</f>
        <v/>
      </c>
      <c r="L4072" s="41">
        <f>IFERROR(J4072/H4072,"")</f>
        <v/>
      </c>
      <c r="M4072" s="25" t="inlineStr">
        <is>
          <t>2.5.12</t>
        </is>
      </c>
      <c r="N4072" s="25">
        <f>IF(J4072&gt;300,1,0)</f>
        <v/>
      </c>
      <c r="O4072" s="25">
        <f>IF(J4072&gt;600,1,0)</f>
        <v/>
      </c>
      <c r="P4072" s="25">
        <f>IF(H4072&gt;0,J4072,"")</f>
        <v/>
      </c>
      <c r="Q4072" s="25">
        <f>TEXT(A4072,"YYYY-MM-DD HH")</f>
        <v/>
      </c>
      <c r="R4072" s="25">
        <f>COUNTIF($Q$2:$Q$5295,Q4072)</f>
        <v/>
      </c>
      <c r="S4072" s="25">
        <f>IF(R4072&lt;=2,"1-2",IF(R4072&lt;=5,"3-5",IF(R4072&lt;=10,"6-10","11+")))</f>
        <v/>
      </c>
    </row>
    <row r="4073">
      <c r="A4073" s="39" t="n">
        <v>46219.48128472222</v>
      </c>
      <c r="B4073" s="25">
        <f>TEXT(A4073,"YYYY-MM")</f>
        <v/>
      </c>
      <c r="C4073" s="25">
        <f>TEXT(A4073,"MMM-YYYY")</f>
        <v/>
      </c>
      <c r="D4073" s="40">
        <f>INT(A4073)-WEEKDAY(A4073,2)+1</f>
        <v/>
      </c>
      <c r="E4073" s="25" t="inlineStr">
        <is>
          <t>dchoudhury</t>
        </is>
      </c>
      <c r="F4073" s="25" t="n">
        <v>128248</v>
      </c>
      <c r="G4073" s="25" t="n">
        <v>3</v>
      </c>
      <c r="H4073" s="25" t="n">
        <v>11</v>
      </c>
      <c r="I4073" s="25" t="inlineStr">
        <is>
          <t>1 minute(s) and 5 second(s)</t>
        </is>
      </c>
      <c r="J4073" s="25">
        <f>IFERROR(VALUE(TRIM(LEFT(I4073,FIND("minute",I4073)-1)))*60,0)+IFERROR(VALUE(SUBSTITUTE(MID(I4073,IFERROR(FIND("and",I4073)+3,1),20),"second(s)","")),0)</f>
        <v/>
      </c>
      <c r="K4073" s="41">
        <f>J4073/60</f>
        <v/>
      </c>
      <c r="L4073" s="41">
        <f>IFERROR(J4073/H4073,"")</f>
        <v/>
      </c>
      <c r="M4073" s="25" t="inlineStr">
        <is>
          <t>2.5.12</t>
        </is>
      </c>
      <c r="N4073" s="25">
        <f>IF(J4073&gt;300,1,0)</f>
        <v/>
      </c>
      <c r="O4073" s="25">
        <f>IF(J4073&gt;600,1,0)</f>
        <v/>
      </c>
      <c r="P4073" s="25">
        <f>IF(H4073&gt;0,J4073,"")</f>
        <v/>
      </c>
      <c r="Q4073" s="25">
        <f>TEXT(A4073,"YYYY-MM-DD HH")</f>
        <v/>
      </c>
      <c r="R4073" s="25">
        <f>COUNTIF($Q$2:$Q$5295,Q4073)</f>
        <v/>
      </c>
      <c r="S4073" s="25">
        <f>IF(R4073&lt;=2,"1-2",IF(R4073&lt;=5,"3-5",IF(R4073&lt;=10,"6-10","11+")))</f>
        <v/>
      </c>
    </row>
    <row r="4074">
      <c r="A4074" s="39" t="n">
        <v>46219.49</v>
      </c>
      <c r="B4074" s="25">
        <f>TEXT(A4074,"YYYY-MM")</f>
        <v/>
      </c>
      <c r="C4074" s="25">
        <f>TEXT(A4074,"MMM-YYYY")</f>
        <v/>
      </c>
      <c r="D4074" s="40">
        <f>INT(A4074)-WEEKDAY(A4074,2)+1</f>
        <v/>
      </c>
      <c r="E4074" s="25" t="inlineStr">
        <is>
          <t>tkarmakar</t>
        </is>
      </c>
      <c r="F4074" s="25" t="n">
        <v>130229</v>
      </c>
      <c r="G4074" s="25" t="n">
        <v>4</v>
      </c>
      <c r="H4074" s="25" t="n">
        <v>14</v>
      </c>
      <c r="I4074" s="25" t="inlineStr">
        <is>
          <t>1 minute(s) and 28 second(s)</t>
        </is>
      </c>
      <c r="J4074" s="25">
        <f>IFERROR(VALUE(TRIM(LEFT(I4074,FIND("minute",I4074)-1)))*60,0)+IFERROR(VALUE(SUBSTITUTE(MID(I4074,IFERROR(FIND("and",I4074)+3,1),20),"second(s)","")),0)</f>
        <v/>
      </c>
      <c r="K4074" s="41">
        <f>J4074/60</f>
        <v/>
      </c>
      <c r="L4074" s="41">
        <f>IFERROR(J4074/H4074,"")</f>
        <v/>
      </c>
      <c r="M4074" s="25" t="inlineStr">
        <is>
          <t>2.5.12</t>
        </is>
      </c>
      <c r="N4074" s="25">
        <f>IF(J4074&gt;300,1,0)</f>
        <v/>
      </c>
      <c r="O4074" s="25">
        <f>IF(J4074&gt;600,1,0)</f>
        <v/>
      </c>
      <c r="P4074" s="25">
        <f>IF(H4074&gt;0,J4074,"")</f>
        <v/>
      </c>
      <c r="Q4074" s="25">
        <f>TEXT(A4074,"YYYY-MM-DD HH")</f>
        <v/>
      </c>
      <c r="R4074" s="25">
        <f>COUNTIF($Q$2:$Q$5295,Q4074)</f>
        <v/>
      </c>
      <c r="S4074" s="25">
        <f>IF(R4074&lt;=2,"1-2",IF(R4074&lt;=5,"3-5",IF(R4074&lt;=10,"6-10","11+")))</f>
        <v/>
      </c>
    </row>
    <row r="4075">
      <c r="A4075" s="39" t="n">
        <v>46219.51231481481</v>
      </c>
      <c r="B4075" s="25">
        <f>TEXT(A4075,"YYYY-MM")</f>
        <v/>
      </c>
      <c r="C4075" s="25">
        <f>TEXT(A4075,"MMM-YYYY")</f>
        <v/>
      </c>
      <c r="D4075" s="40">
        <f>INT(A4075)-WEEKDAY(A4075,2)+1</f>
        <v/>
      </c>
      <c r="E4075" s="25" t="inlineStr">
        <is>
          <t>pgautam</t>
        </is>
      </c>
      <c r="F4075" s="25" t="n">
        <v>129927</v>
      </c>
      <c r="G4075" s="25" t="n">
        <v>5</v>
      </c>
      <c r="H4075" s="25" t="n">
        <v>19</v>
      </c>
      <c r="I4075" s="25" t="inlineStr">
        <is>
          <t>1 minute(s) and 21 second(s)</t>
        </is>
      </c>
      <c r="J4075" s="25">
        <f>IFERROR(VALUE(TRIM(LEFT(I4075,FIND("minute",I4075)-1)))*60,0)+IFERROR(VALUE(SUBSTITUTE(MID(I4075,IFERROR(FIND("and",I4075)+3,1),20),"second(s)","")),0)</f>
        <v/>
      </c>
      <c r="K4075" s="41">
        <f>J4075/60</f>
        <v/>
      </c>
      <c r="L4075" s="41">
        <f>IFERROR(J4075/H4075,"")</f>
        <v/>
      </c>
      <c r="M4075" s="25" t="inlineStr">
        <is>
          <t>2.5.12</t>
        </is>
      </c>
      <c r="N4075" s="25">
        <f>IF(J4075&gt;300,1,0)</f>
        <v/>
      </c>
      <c r="O4075" s="25">
        <f>IF(J4075&gt;600,1,0)</f>
        <v/>
      </c>
      <c r="P4075" s="25">
        <f>IF(H4075&gt;0,J4075,"")</f>
        <v/>
      </c>
      <c r="Q4075" s="25">
        <f>TEXT(A4075,"YYYY-MM-DD HH")</f>
        <v/>
      </c>
      <c r="R4075" s="25">
        <f>COUNTIF($Q$2:$Q$5295,Q4075)</f>
        <v/>
      </c>
      <c r="S4075" s="25">
        <f>IF(R4075&lt;=2,"1-2",IF(R4075&lt;=5,"3-5",IF(R4075&lt;=10,"6-10","11+")))</f>
        <v/>
      </c>
    </row>
    <row r="4076">
      <c r="A4076" s="39" t="n">
        <v>46219.52003472222</v>
      </c>
      <c r="B4076" s="25">
        <f>TEXT(A4076,"YYYY-MM")</f>
        <v/>
      </c>
      <c r="C4076" s="25">
        <f>TEXT(A4076,"MMM-YYYY")</f>
        <v/>
      </c>
      <c r="D4076" s="40">
        <f>INT(A4076)-WEEKDAY(A4076,2)+1</f>
        <v/>
      </c>
      <c r="E4076" s="25" t="inlineStr">
        <is>
          <t>dchoudhury</t>
        </is>
      </c>
      <c r="F4076" s="25" t="n">
        <v>128248</v>
      </c>
      <c r="G4076" s="25" t="n">
        <v>3</v>
      </c>
      <c r="H4076" s="25" t="n">
        <v>11</v>
      </c>
      <c r="I4076" s="25" t="inlineStr">
        <is>
          <t>56 second(s)</t>
        </is>
      </c>
      <c r="J4076" s="25">
        <f>IFERROR(VALUE(TRIM(LEFT(I4076,FIND("minute",I4076)-1)))*60,0)+IFERROR(VALUE(SUBSTITUTE(MID(I4076,IFERROR(FIND("and",I4076)+3,1),20),"second(s)","")),0)</f>
        <v/>
      </c>
      <c r="K4076" s="41">
        <f>J4076/60</f>
        <v/>
      </c>
      <c r="L4076" s="41">
        <f>IFERROR(J4076/H4076,"")</f>
        <v/>
      </c>
      <c r="M4076" s="25" t="inlineStr">
        <is>
          <t>2.5.12</t>
        </is>
      </c>
      <c r="N4076" s="25">
        <f>IF(J4076&gt;300,1,0)</f>
        <v/>
      </c>
      <c r="O4076" s="25">
        <f>IF(J4076&gt;600,1,0)</f>
        <v/>
      </c>
      <c r="P4076" s="25">
        <f>IF(H4076&gt;0,J4076,"")</f>
        <v/>
      </c>
      <c r="Q4076" s="25">
        <f>TEXT(A4076,"YYYY-MM-DD HH")</f>
        <v/>
      </c>
      <c r="R4076" s="25">
        <f>COUNTIF($Q$2:$Q$5295,Q4076)</f>
        <v/>
      </c>
      <c r="S4076" s="25">
        <f>IF(R4076&lt;=2,"1-2",IF(R4076&lt;=5,"3-5",IF(R4076&lt;=10,"6-10","11+")))</f>
        <v/>
      </c>
    </row>
    <row r="4077">
      <c r="A4077" s="39" t="n">
        <v>46219.52670138889</v>
      </c>
      <c r="B4077" s="25">
        <f>TEXT(A4077,"YYYY-MM")</f>
        <v/>
      </c>
      <c r="C4077" s="25">
        <f>TEXT(A4077,"MMM-YYYY")</f>
        <v/>
      </c>
      <c r="D4077" s="40">
        <f>INT(A4077)-WEEKDAY(A4077,2)+1</f>
        <v/>
      </c>
      <c r="E4077" s="25" t="inlineStr">
        <is>
          <t>aghosh</t>
        </is>
      </c>
      <c r="F4077" s="25" t="n">
        <v>128508</v>
      </c>
      <c r="G4077" s="25" t="n">
        <v>2</v>
      </c>
      <c r="H4077" s="25" t="n">
        <v>10</v>
      </c>
      <c r="I4077" s="25" t="inlineStr">
        <is>
          <t>2 minute(s) and 58 second(s)</t>
        </is>
      </c>
      <c r="J4077" s="25">
        <f>IFERROR(VALUE(TRIM(LEFT(I4077,FIND("minute",I4077)-1)))*60,0)+IFERROR(VALUE(SUBSTITUTE(MID(I4077,IFERROR(FIND("and",I4077)+3,1),20),"second(s)","")),0)</f>
        <v/>
      </c>
      <c r="K4077" s="41">
        <f>J4077/60</f>
        <v/>
      </c>
      <c r="L4077" s="41">
        <f>IFERROR(J4077/H4077,"")</f>
        <v/>
      </c>
      <c r="M4077" s="25" t="inlineStr">
        <is>
          <t>2.5.12</t>
        </is>
      </c>
      <c r="N4077" s="25">
        <f>IF(J4077&gt;300,1,0)</f>
        <v/>
      </c>
      <c r="O4077" s="25">
        <f>IF(J4077&gt;600,1,0)</f>
        <v/>
      </c>
      <c r="P4077" s="25">
        <f>IF(H4077&gt;0,J4077,"")</f>
        <v/>
      </c>
      <c r="Q4077" s="25">
        <f>TEXT(A4077,"YYYY-MM-DD HH")</f>
        <v/>
      </c>
      <c r="R4077" s="25">
        <f>COUNTIF($Q$2:$Q$5295,Q4077)</f>
        <v/>
      </c>
      <c r="S4077" s="25">
        <f>IF(R4077&lt;=2,"1-2",IF(R4077&lt;=5,"3-5",IF(R4077&lt;=10,"6-10","11+")))</f>
        <v/>
      </c>
    </row>
    <row r="4078">
      <c r="A4078" s="39" t="n">
        <v>46219.53915509259</v>
      </c>
      <c r="B4078" s="25">
        <f>TEXT(A4078,"YYYY-MM")</f>
        <v/>
      </c>
      <c r="C4078" s="25">
        <f>TEXT(A4078,"MMM-YYYY")</f>
        <v/>
      </c>
      <c r="D4078" s="40">
        <f>INT(A4078)-WEEKDAY(A4078,2)+1</f>
        <v/>
      </c>
      <c r="E4078" s="25" t="inlineStr">
        <is>
          <t>ssneha</t>
        </is>
      </c>
      <c r="F4078" s="25" t="n">
        <v>132582</v>
      </c>
      <c r="G4078" s="25" t="n">
        <v>2</v>
      </c>
      <c r="H4078" s="25" t="n">
        <v>10</v>
      </c>
      <c r="I4078" s="25" t="inlineStr">
        <is>
          <t>1 minute(s) and 31 second(s)</t>
        </is>
      </c>
      <c r="J4078" s="25">
        <f>IFERROR(VALUE(TRIM(LEFT(I4078,FIND("minute",I4078)-1)))*60,0)+IFERROR(VALUE(SUBSTITUTE(MID(I4078,IFERROR(FIND("and",I4078)+3,1),20),"second(s)","")),0)</f>
        <v/>
      </c>
      <c r="K4078" s="41">
        <f>J4078/60</f>
        <v/>
      </c>
      <c r="L4078" s="41">
        <f>IFERROR(J4078/H4078,"")</f>
        <v/>
      </c>
      <c r="M4078" s="25" t="inlineStr">
        <is>
          <t>2.5.12</t>
        </is>
      </c>
      <c r="N4078" s="25">
        <f>IF(J4078&gt;300,1,0)</f>
        <v/>
      </c>
      <c r="O4078" s="25">
        <f>IF(J4078&gt;600,1,0)</f>
        <v/>
      </c>
      <c r="P4078" s="25">
        <f>IF(H4078&gt;0,J4078,"")</f>
        <v/>
      </c>
      <c r="Q4078" s="25">
        <f>TEXT(A4078,"YYYY-MM-DD HH")</f>
        <v/>
      </c>
      <c r="R4078" s="25">
        <f>COUNTIF($Q$2:$Q$5295,Q4078)</f>
        <v/>
      </c>
      <c r="S4078" s="25">
        <f>IF(R4078&lt;=2,"1-2",IF(R4078&lt;=5,"3-5",IF(R4078&lt;=10,"6-10","11+")))</f>
        <v/>
      </c>
    </row>
    <row r="4079">
      <c r="A4079" s="39" t="n">
        <v>46219.54383101852</v>
      </c>
      <c r="B4079" s="25">
        <f>TEXT(A4079,"YYYY-MM")</f>
        <v/>
      </c>
      <c r="C4079" s="25">
        <f>TEXT(A4079,"MMM-YYYY")</f>
        <v/>
      </c>
      <c r="D4079" s="40">
        <f>INT(A4079)-WEEKDAY(A4079,2)+1</f>
        <v/>
      </c>
      <c r="E4079" s="25" t="inlineStr">
        <is>
          <t>psingh</t>
        </is>
      </c>
      <c r="F4079" s="25" t="n">
        <v>129767</v>
      </c>
      <c r="G4079" s="25" t="n">
        <v>1</v>
      </c>
      <c r="H4079" s="25" t="n">
        <v>7</v>
      </c>
      <c r="I4079" s="25" t="inlineStr">
        <is>
          <t>41 second(s)</t>
        </is>
      </c>
      <c r="J4079" s="25">
        <f>IFERROR(VALUE(TRIM(LEFT(I4079,FIND("minute",I4079)-1)))*60,0)+IFERROR(VALUE(SUBSTITUTE(MID(I4079,IFERROR(FIND("and",I4079)+3,1),20),"second(s)","")),0)</f>
        <v/>
      </c>
      <c r="K4079" s="41">
        <f>J4079/60</f>
        <v/>
      </c>
      <c r="L4079" s="41">
        <f>IFERROR(J4079/H4079,"")</f>
        <v/>
      </c>
      <c r="M4079" s="25" t="inlineStr">
        <is>
          <t>2.5.12</t>
        </is>
      </c>
      <c r="N4079" s="25">
        <f>IF(J4079&gt;300,1,0)</f>
        <v/>
      </c>
      <c r="O4079" s="25">
        <f>IF(J4079&gt;600,1,0)</f>
        <v/>
      </c>
      <c r="P4079" s="25">
        <f>IF(H4079&gt;0,J4079,"")</f>
        <v/>
      </c>
      <c r="Q4079" s="25">
        <f>TEXT(A4079,"YYYY-MM-DD HH")</f>
        <v/>
      </c>
      <c r="R4079" s="25">
        <f>COUNTIF($Q$2:$Q$5295,Q4079)</f>
        <v/>
      </c>
      <c r="S4079" s="25">
        <f>IF(R4079&lt;=2,"1-2",IF(R4079&lt;=5,"3-5",IF(R4079&lt;=10,"6-10","11+")))</f>
        <v/>
      </c>
    </row>
    <row r="4080">
      <c r="A4080" s="39" t="n">
        <v>46219.54804398148</v>
      </c>
      <c r="B4080" s="25">
        <f>TEXT(A4080,"YYYY-MM")</f>
        <v/>
      </c>
      <c r="C4080" s="25">
        <f>TEXT(A4080,"MMM-YYYY")</f>
        <v/>
      </c>
      <c r="D4080" s="40">
        <f>INT(A4080)-WEEKDAY(A4080,2)+1</f>
        <v/>
      </c>
      <c r="E4080" s="25" t="inlineStr">
        <is>
          <t>shassan</t>
        </is>
      </c>
      <c r="F4080" s="25" t="n">
        <v>132566</v>
      </c>
      <c r="G4080" s="25" t="n">
        <v>2</v>
      </c>
      <c r="H4080" s="25" t="n">
        <v>6</v>
      </c>
      <c r="I4080" s="25" t="inlineStr">
        <is>
          <t>30 second(s)</t>
        </is>
      </c>
      <c r="J4080" s="25">
        <f>IFERROR(VALUE(TRIM(LEFT(I4080,FIND("minute",I4080)-1)))*60,0)+IFERROR(VALUE(SUBSTITUTE(MID(I4080,IFERROR(FIND("and",I4080)+3,1),20),"second(s)","")),0)</f>
        <v/>
      </c>
      <c r="K4080" s="41">
        <f>J4080/60</f>
        <v/>
      </c>
      <c r="L4080" s="41">
        <f>IFERROR(J4080/H4080,"")</f>
        <v/>
      </c>
      <c r="M4080" s="25" t="inlineStr">
        <is>
          <t>2.5.12</t>
        </is>
      </c>
      <c r="N4080" s="25">
        <f>IF(J4080&gt;300,1,0)</f>
        <v/>
      </c>
      <c r="O4080" s="25">
        <f>IF(J4080&gt;600,1,0)</f>
        <v/>
      </c>
      <c r="P4080" s="25">
        <f>IF(H4080&gt;0,J4080,"")</f>
        <v/>
      </c>
      <c r="Q4080" s="25">
        <f>TEXT(A4080,"YYYY-MM-DD HH")</f>
        <v/>
      </c>
      <c r="R4080" s="25">
        <f>COUNTIF($Q$2:$Q$5295,Q4080)</f>
        <v/>
      </c>
      <c r="S4080" s="25">
        <f>IF(R4080&lt;=2,"1-2",IF(R4080&lt;=5,"3-5",IF(R4080&lt;=10,"6-10","11+")))</f>
        <v/>
      </c>
    </row>
    <row r="4081">
      <c r="A4081" s="39" t="n">
        <v>46219.55069444444</v>
      </c>
      <c r="B4081" s="25">
        <f>TEXT(A4081,"YYYY-MM")</f>
        <v/>
      </c>
      <c r="C4081" s="25">
        <f>TEXT(A4081,"MMM-YYYY")</f>
        <v/>
      </c>
      <c r="D4081" s="40">
        <f>INT(A4081)-WEEKDAY(A4081,2)+1</f>
        <v/>
      </c>
      <c r="E4081" s="25" t="inlineStr">
        <is>
          <t>hsindwani</t>
        </is>
      </c>
      <c r="F4081" s="25" t="n">
        <v>132872</v>
      </c>
      <c r="G4081" s="25" t="n">
        <v>2</v>
      </c>
      <c r="H4081" s="25" t="n">
        <v>14</v>
      </c>
      <c r="I4081" s="25" t="inlineStr">
        <is>
          <t>5 minute(s) and 37 second(s)</t>
        </is>
      </c>
      <c r="J4081" s="25">
        <f>IFERROR(VALUE(TRIM(LEFT(I4081,FIND("minute",I4081)-1)))*60,0)+IFERROR(VALUE(SUBSTITUTE(MID(I4081,IFERROR(FIND("and",I4081)+3,1),20),"second(s)","")),0)</f>
        <v/>
      </c>
      <c r="K4081" s="41">
        <f>J4081/60</f>
        <v/>
      </c>
      <c r="L4081" s="41">
        <f>IFERROR(J4081/H4081,"")</f>
        <v/>
      </c>
      <c r="M4081" s="25" t="inlineStr">
        <is>
          <t>2.5.12</t>
        </is>
      </c>
      <c r="N4081" s="25">
        <f>IF(J4081&gt;300,1,0)</f>
        <v/>
      </c>
      <c r="O4081" s="25">
        <f>IF(J4081&gt;600,1,0)</f>
        <v/>
      </c>
      <c r="P4081" s="25">
        <f>IF(H4081&gt;0,J4081,"")</f>
        <v/>
      </c>
      <c r="Q4081" s="25">
        <f>TEXT(A4081,"YYYY-MM-DD HH")</f>
        <v/>
      </c>
      <c r="R4081" s="25">
        <f>COUNTIF($Q$2:$Q$5295,Q4081)</f>
        <v/>
      </c>
      <c r="S4081" s="25">
        <f>IF(R4081&lt;=2,"1-2",IF(R4081&lt;=5,"3-5",IF(R4081&lt;=10,"6-10","11+")))</f>
        <v/>
      </c>
    </row>
    <row r="4082">
      <c r="A4082" s="39" t="n">
        <v>46219.55358796296</v>
      </c>
      <c r="B4082" s="25">
        <f>TEXT(A4082,"YYYY-MM")</f>
        <v/>
      </c>
      <c r="C4082" s="25">
        <f>TEXT(A4082,"MMM-YYYY")</f>
        <v/>
      </c>
      <c r="D4082" s="40">
        <f>INT(A4082)-WEEKDAY(A4082,2)+1</f>
        <v/>
      </c>
      <c r="E4082" s="25" t="inlineStr">
        <is>
          <t>sthomas</t>
        </is>
      </c>
      <c r="F4082" s="25" t="n">
        <v>129784</v>
      </c>
      <c r="G4082" s="25" t="n">
        <v>4</v>
      </c>
      <c r="H4082" s="25" t="n">
        <v>22</v>
      </c>
      <c r="I4082" s="25" t="inlineStr">
        <is>
          <t>3 minute(s) and 28 second(s)</t>
        </is>
      </c>
      <c r="J4082" s="25">
        <f>IFERROR(VALUE(TRIM(LEFT(I4082,FIND("minute",I4082)-1)))*60,0)+IFERROR(VALUE(SUBSTITUTE(MID(I4082,IFERROR(FIND("and",I4082)+3,1),20),"second(s)","")),0)</f>
        <v/>
      </c>
      <c r="K4082" s="41">
        <f>J4082/60</f>
        <v/>
      </c>
      <c r="L4082" s="41">
        <f>IFERROR(J4082/H4082,"")</f>
        <v/>
      </c>
      <c r="M4082" s="25" t="inlineStr">
        <is>
          <t>2.5.12</t>
        </is>
      </c>
      <c r="N4082" s="25">
        <f>IF(J4082&gt;300,1,0)</f>
        <v/>
      </c>
      <c r="O4082" s="25">
        <f>IF(J4082&gt;600,1,0)</f>
        <v/>
      </c>
      <c r="P4082" s="25">
        <f>IF(H4082&gt;0,J4082,"")</f>
        <v/>
      </c>
      <c r="Q4082" s="25">
        <f>TEXT(A4082,"YYYY-MM-DD HH")</f>
        <v/>
      </c>
      <c r="R4082" s="25">
        <f>COUNTIF($Q$2:$Q$5295,Q4082)</f>
        <v/>
      </c>
      <c r="S4082" s="25">
        <f>IF(R4082&lt;=2,"1-2",IF(R4082&lt;=5,"3-5",IF(R4082&lt;=10,"6-10","11+")))</f>
        <v/>
      </c>
    </row>
    <row r="4083">
      <c r="A4083" s="39" t="n">
        <v>46219.56453703704</v>
      </c>
      <c r="B4083" s="25">
        <f>TEXT(A4083,"YYYY-MM")</f>
        <v/>
      </c>
      <c r="C4083" s="25">
        <f>TEXT(A4083,"MMM-YYYY")</f>
        <v/>
      </c>
      <c r="D4083" s="40">
        <f>INT(A4083)-WEEKDAY(A4083,2)+1</f>
        <v/>
      </c>
      <c r="E4083" s="25" t="inlineStr">
        <is>
          <t>dchoudhury</t>
        </is>
      </c>
      <c r="F4083" s="25" t="n">
        <v>128296</v>
      </c>
      <c r="G4083" s="25" t="n">
        <v>3</v>
      </c>
      <c r="H4083" s="25" t="n">
        <v>15</v>
      </c>
      <c r="I4083" s="25" t="inlineStr">
        <is>
          <t>1 minute(s) and 3 second(s)</t>
        </is>
      </c>
      <c r="J4083" s="25">
        <f>IFERROR(VALUE(TRIM(LEFT(I4083,FIND("minute",I4083)-1)))*60,0)+IFERROR(VALUE(SUBSTITUTE(MID(I4083,IFERROR(FIND("and",I4083)+3,1),20),"second(s)","")),0)</f>
        <v/>
      </c>
      <c r="K4083" s="41">
        <f>J4083/60</f>
        <v/>
      </c>
      <c r="L4083" s="41">
        <f>IFERROR(J4083/H4083,"")</f>
        <v/>
      </c>
      <c r="M4083" s="25" t="inlineStr">
        <is>
          <t>2.5.12</t>
        </is>
      </c>
      <c r="N4083" s="25">
        <f>IF(J4083&gt;300,1,0)</f>
        <v/>
      </c>
      <c r="O4083" s="25">
        <f>IF(J4083&gt;600,1,0)</f>
        <v/>
      </c>
      <c r="P4083" s="25">
        <f>IF(H4083&gt;0,J4083,"")</f>
        <v/>
      </c>
      <c r="Q4083" s="25">
        <f>TEXT(A4083,"YYYY-MM-DD HH")</f>
        <v/>
      </c>
      <c r="R4083" s="25">
        <f>COUNTIF($Q$2:$Q$5295,Q4083)</f>
        <v/>
      </c>
      <c r="S4083" s="25">
        <f>IF(R4083&lt;=2,"1-2",IF(R4083&lt;=5,"3-5",IF(R4083&lt;=10,"6-10","11+")))</f>
        <v/>
      </c>
    </row>
    <row r="4084">
      <c r="A4084" s="39" t="n">
        <v>46219.57155092592</v>
      </c>
      <c r="B4084" s="25">
        <f>TEXT(A4084,"YYYY-MM")</f>
        <v/>
      </c>
      <c r="C4084" s="25">
        <f>TEXT(A4084,"MMM-YYYY")</f>
        <v/>
      </c>
      <c r="D4084" s="40">
        <f>INT(A4084)-WEEKDAY(A4084,2)+1</f>
        <v/>
      </c>
      <c r="E4084" s="25" t="inlineStr">
        <is>
          <t>apriyadarshi</t>
        </is>
      </c>
      <c r="F4084" s="25" t="n">
        <v>128473</v>
      </c>
      <c r="G4084" s="25" t="n">
        <v>4</v>
      </c>
      <c r="H4084" s="25" t="n">
        <v>22</v>
      </c>
      <c r="I4084" s="25" t="inlineStr">
        <is>
          <t>1 minute(s) and 59 second(s)</t>
        </is>
      </c>
      <c r="J4084" s="25">
        <f>IFERROR(VALUE(TRIM(LEFT(I4084,FIND("minute",I4084)-1)))*60,0)+IFERROR(VALUE(SUBSTITUTE(MID(I4084,IFERROR(FIND("and",I4084)+3,1),20),"second(s)","")),0)</f>
        <v/>
      </c>
      <c r="K4084" s="41">
        <f>J4084/60</f>
        <v/>
      </c>
      <c r="L4084" s="41">
        <f>IFERROR(J4084/H4084,"")</f>
        <v/>
      </c>
      <c r="M4084" s="25" t="inlineStr">
        <is>
          <t>2.5.12</t>
        </is>
      </c>
      <c r="N4084" s="25">
        <f>IF(J4084&gt;300,1,0)</f>
        <v/>
      </c>
      <c r="O4084" s="25">
        <f>IF(J4084&gt;600,1,0)</f>
        <v/>
      </c>
      <c r="P4084" s="25">
        <f>IF(H4084&gt;0,J4084,"")</f>
        <v/>
      </c>
      <c r="Q4084" s="25">
        <f>TEXT(A4084,"YYYY-MM-DD HH")</f>
        <v/>
      </c>
      <c r="R4084" s="25">
        <f>COUNTIF($Q$2:$Q$5295,Q4084)</f>
        <v/>
      </c>
      <c r="S4084" s="25">
        <f>IF(R4084&lt;=2,"1-2",IF(R4084&lt;=5,"3-5",IF(R4084&lt;=10,"6-10","11+")))</f>
        <v/>
      </c>
    </row>
    <row r="4085">
      <c r="A4085" s="39" t="n">
        <v>46219.59193287037</v>
      </c>
      <c r="B4085" s="25">
        <f>TEXT(A4085,"YYYY-MM")</f>
        <v/>
      </c>
      <c r="C4085" s="25">
        <f>TEXT(A4085,"MMM-YYYY")</f>
        <v/>
      </c>
      <c r="D4085" s="40">
        <f>INT(A4085)-WEEKDAY(A4085,2)+1</f>
        <v/>
      </c>
      <c r="E4085" s="25" t="inlineStr">
        <is>
          <t>pgautam</t>
        </is>
      </c>
      <c r="F4085" s="25" t="n">
        <v>130063</v>
      </c>
      <c r="G4085" s="25" t="n">
        <v>3</v>
      </c>
      <c r="H4085" s="25" t="n">
        <v>21</v>
      </c>
      <c r="I4085" s="25" t="inlineStr">
        <is>
          <t>1 minute(s) and 33 second(s)</t>
        </is>
      </c>
      <c r="J4085" s="25">
        <f>IFERROR(VALUE(TRIM(LEFT(I4085,FIND("minute",I4085)-1)))*60,0)+IFERROR(VALUE(SUBSTITUTE(MID(I4085,IFERROR(FIND("and",I4085)+3,1),20),"second(s)","")),0)</f>
        <v/>
      </c>
      <c r="K4085" s="41">
        <f>J4085/60</f>
        <v/>
      </c>
      <c r="L4085" s="41">
        <f>IFERROR(J4085/H4085,"")</f>
        <v/>
      </c>
      <c r="M4085" s="25" t="inlineStr">
        <is>
          <t>2.5.12</t>
        </is>
      </c>
      <c r="N4085" s="25">
        <f>IF(J4085&gt;300,1,0)</f>
        <v/>
      </c>
      <c r="O4085" s="25">
        <f>IF(J4085&gt;600,1,0)</f>
        <v/>
      </c>
      <c r="P4085" s="25">
        <f>IF(H4085&gt;0,J4085,"")</f>
        <v/>
      </c>
      <c r="Q4085" s="25">
        <f>TEXT(A4085,"YYYY-MM-DD HH")</f>
        <v/>
      </c>
      <c r="R4085" s="25">
        <f>COUNTIF($Q$2:$Q$5295,Q4085)</f>
        <v/>
      </c>
      <c r="S4085" s="25">
        <f>IF(R4085&lt;=2,"1-2",IF(R4085&lt;=5,"3-5",IF(R4085&lt;=10,"6-10","11+")))</f>
        <v/>
      </c>
    </row>
    <row r="4086">
      <c r="A4086" s="39" t="n">
        <v>46219.61539351852</v>
      </c>
      <c r="B4086" s="25">
        <f>TEXT(A4086,"YYYY-MM")</f>
        <v/>
      </c>
      <c r="C4086" s="25">
        <f>TEXT(A4086,"MMM-YYYY")</f>
        <v/>
      </c>
      <c r="D4086" s="40">
        <f>INT(A4086)-WEEKDAY(A4086,2)+1</f>
        <v/>
      </c>
      <c r="E4086" s="25" t="inlineStr">
        <is>
          <t>sswati</t>
        </is>
      </c>
      <c r="F4086" s="25" t="n">
        <v>130766</v>
      </c>
      <c r="G4086" s="25" t="n">
        <v>4</v>
      </c>
      <c r="H4086" s="25" t="n">
        <v>14</v>
      </c>
      <c r="I4086" s="25" t="inlineStr">
        <is>
          <t>1 minute(s) and 11 second(s)</t>
        </is>
      </c>
      <c r="J4086" s="25">
        <f>IFERROR(VALUE(TRIM(LEFT(I4086,FIND("minute",I4086)-1)))*60,0)+IFERROR(VALUE(SUBSTITUTE(MID(I4086,IFERROR(FIND("and",I4086)+3,1),20),"second(s)","")),0)</f>
        <v/>
      </c>
      <c r="K4086" s="41">
        <f>J4086/60</f>
        <v/>
      </c>
      <c r="L4086" s="41">
        <f>IFERROR(J4086/H4086,"")</f>
        <v/>
      </c>
      <c r="M4086" s="25" t="inlineStr">
        <is>
          <t>2.5.12</t>
        </is>
      </c>
      <c r="N4086" s="25">
        <f>IF(J4086&gt;300,1,0)</f>
        <v/>
      </c>
      <c r="O4086" s="25">
        <f>IF(J4086&gt;600,1,0)</f>
        <v/>
      </c>
      <c r="P4086" s="25">
        <f>IF(H4086&gt;0,J4086,"")</f>
        <v/>
      </c>
      <c r="Q4086" s="25">
        <f>TEXT(A4086,"YYYY-MM-DD HH")</f>
        <v/>
      </c>
      <c r="R4086" s="25">
        <f>COUNTIF($Q$2:$Q$5295,Q4086)</f>
        <v/>
      </c>
      <c r="S4086" s="25">
        <f>IF(R4086&lt;=2,"1-2",IF(R4086&lt;=5,"3-5",IF(R4086&lt;=10,"6-10","11+")))</f>
        <v/>
      </c>
    </row>
    <row r="4087">
      <c r="A4087" s="39" t="n">
        <v>46219.61725694445</v>
      </c>
      <c r="B4087" s="25">
        <f>TEXT(A4087,"YYYY-MM")</f>
        <v/>
      </c>
      <c r="C4087" s="25">
        <f>TEXT(A4087,"MMM-YYYY")</f>
        <v/>
      </c>
      <c r="D4087" s="40">
        <f>INT(A4087)-WEEKDAY(A4087,2)+1</f>
        <v/>
      </c>
      <c r="E4087" s="25" t="inlineStr">
        <is>
          <t>aghosh</t>
        </is>
      </c>
      <c r="F4087" s="25" t="n">
        <v>128500</v>
      </c>
      <c r="G4087" s="25" t="n">
        <v>4</v>
      </c>
      <c r="H4087" s="25" t="n">
        <v>12</v>
      </c>
      <c r="I4087" s="25" t="inlineStr">
        <is>
          <t>1 minute(s) and 36 second(s)</t>
        </is>
      </c>
      <c r="J4087" s="25">
        <f>IFERROR(VALUE(TRIM(LEFT(I4087,FIND("minute",I4087)-1)))*60,0)+IFERROR(VALUE(SUBSTITUTE(MID(I4087,IFERROR(FIND("and",I4087)+3,1),20),"second(s)","")),0)</f>
        <v/>
      </c>
      <c r="K4087" s="41">
        <f>J4087/60</f>
        <v/>
      </c>
      <c r="L4087" s="41">
        <f>IFERROR(J4087/H4087,"")</f>
        <v/>
      </c>
      <c r="M4087" s="25" t="inlineStr">
        <is>
          <t>2.5.12</t>
        </is>
      </c>
      <c r="N4087" s="25">
        <f>IF(J4087&gt;300,1,0)</f>
        <v/>
      </c>
      <c r="O4087" s="25">
        <f>IF(J4087&gt;600,1,0)</f>
        <v/>
      </c>
      <c r="P4087" s="25">
        <f>IF(H4087&gt;0,J4087,"")</f>
        <v/>
      </c>
      <c r="Q4087" s="25">
        <f>TEXT(A4087,"YYYY-MM-DD HH")</f>
        <v/>
      </c>
      <c r="R4087" s="25">
        <f>COUNTIF($Q$2:$Q$5295,Q4087)</f>
        <v/>
      </c>
      <c r="S4087" s="25">
        <f>IF(R4087&lt;=2,"1-2",IF(R4087&lt;=5,"3-5",IF(R4087&lt;=10,"6-10","11+")))</f>
        <v/>
      </c>
    </row>
    <row r="4088">
      <c r="A4088" s="39" t="n">
        <v>46219.62777777778</v>
      </c>
      <c r="B4088" s="25">
        <f>TEXT(A4088,"YYYY-MM")</f>
        <v/>
      </c>
      <c r="C4088" s="25">
        <f>TEXT(A4088,"MMM-YYYY")</f>
        <v/>
      </c>
      <c r="D4088" s="40">
        <f>INT(A4088)-WEEKDAY(A4088,2)+1</f>
        <v/>
      </c>
      <c r="E4088" s="25" t="inlineStr">
        <is>
          <t>sthomas</t>
        </is>
      </c>
      <c r="F4088" s="25" t="n">
        <v>132607</v>
      </c>
      <c r="G4088" s="25" t="n">
        <v>4</v>
      </c>
      <c r="H4088" s="25" t="n">
        <v>22</v>
      </c>
      <c r="I4088" s="25" t="inlineStr">
        <is>
          <t>2 minute(s) and 12 second(s)</t>
        </is>
      </c>
      <c r="J4088" s="25">
        <f>IFERROR(VALUE(TRIM(LEFT(I4088,FIND("minute",I4088)-1)))*60,0)+IFERROR(VALUE(SUBSTITUTE(MID(I4088,IFERROR(FIND("and",I4088)+3,1),20),"second(s)","")),0)</f>
        <v/>
      </c>
      <c r="K4088" s="41">
        <f>J4088/60</f>
        <v/>
      </c>
      <c r="L4088" s="41">
        <f>IFERROR(J4088/H4088,"")</f>
        <v/>
      </c>
      <c r="M4088" s="25" t="inlineStr">
        <is>
          <t>2.5.12</t>
        </is>
      </c>
      <c r="N4088" s="25">
        <f>IF(J4088&gt;300,1,0)</f>
        <v/>
      </c>
      <c r="O4088" s="25">
        <f>IF(J4088&gt;600,1,0)</f>
        <v/>
      </c>
      <c r="P4088" s="25">
        <f>IF(H4088&gt;0,J4088,"")</f>
        <v/>
      </c>
      <c r="Q4088" s="25">
        <f>TEXT(A4088,"YYYY-MM-DD HH")</f>
        <v/>
      </c>
      <c r="R4088" s="25">
        <f>COUNTIF($Q$2:$Q$5295,Q4088)</f>
        <v/>
      </c>
      <c r="S4088" s="25">
        <f>IF(R4088&lt;=2,"1-2",IF(R4088&lt;=5,"3-5",IF(R4088&lt;=10,"6-10","11+")))</f>
        <v/>
      </c>
    </row>
    <row r="4089">
      <c r="A4089" s="39" t="n">
        <v>46219.62789351852</v>
      </c>
      <c r="B4089" s="25">
        <f>TEXT(A4089,"YYYY-MM")</f>
        <v/>
      </c>
      <c r="C4089" s="25">
        <f>TEXT(A4089,"MMM-YYYY")</f>
        <v/>
      </c>
      <c r="D4089" s="40">
        <f>INT(A4089)-WEEKDAY(A4089,2)+1</f>
        <v/>
      </c>
      <c r="E4089" s="25" t="inlineStr">
        <is>
          <t>rsingh</t>
        </is>
      </c>
      <c r="F4089" s="25" t="n">
        <v>132860</v>
      </c>
      <c r="G4089" s="25" t="n">
        <v>2</v>
      </c>
      <c r="H4089" s="25" t="n">
        <v>12</v>
      </c>
      <c r="I4089" s="25" t="inlineStr">
        <is>
          <t>2 minute(s) and 31 second(s)</t>
        </is>
      </c>
      <c r="J4089" s="25">
        <f>IFERROR(VALUE(TRIM(LEFT(I4089,FIND("minute",I4089)-1)))*60,0)+IFERROR(VALUE(SUBSTITUTE(MID(I4089,IFERROR(FIND("and",I4089)+3,1),20),"second(s)","")),0)</f>
        <v/>
      </c>
      <c r="K4089" s="41">
        <f>J4089/60</f>
        <v/>
      </c>
      <c r="L4089" s="41">
        <f>IFERROR(J4089/H4089,"")</f>
        <v/>
      </c>
      <c r="M4089" s="25" t="inlineStr">
        <is>
          <t>2.5.12</t>
        </is>
      </c>
      <c r="N4089" s="25">
        <f>IF(J4089&gt;300,1,0)</f>
        <v/>
      </c>
      <c r="O4089" s="25">
        <f>IF(J4089&gt;600,1,0)</f>
        <v/>
      </c>
      <c r="P4089" s="25">
        <f>IF(H4089&gt;0,J4089,"")</f>
        <v/>
      </c>
      <c r="Q4089" s="25">
        <f>TEXT(A4089,"YYYY-MM-DD HH")</f>
        <v/>
      </c>
      <c r="R4089" s="25">
        <f>COUNTIF($Q$2:$Q$5295,Q4089)</f>
        <v/>
      </c>
      <c r="S4089" s="25">
        <f>IF(R4089&lt;=2,"1-2",IF(R4089&lt;=5,"3-5",IF(R4089&lt;=10,"6-10","11+")))</f>
        <v/>
      </c>
    </row>
    <row r="4090">
      <c r="A4090" s="39" t="n">
        <v>46219.65321759259</v>
      </c>
      <c r="B4090" s="25">
        <f>TEXT(A4090,"YYYY-MM")</f>
        <v/>
      </c>
      <c r="C4090" s="25">
        <f>TEXT(A4090,"MMM-YYYY")</f>
        <v/>
      </c>
      <c r="D4090" s="40">
        <f>INT(A4090)-WEEKDAY(A4090,2)+1</f>
        <v/>
      </c>
      <c r="E4090" s="25" t="inlineStr">
        <is>
          <t>hsindwani</t>
        </is>
      </c>
      <c r="F4090" s="25" t="n">
        <v>132768</v>
      </c>
      <c r="G4090" s="25" t="n">
        <v>3</v>
      </c>
      <c r="H4090" s="25" t="n">
        <v>19</v>
      </c>
      <c r="I4090" s="25" t="inlineStr">
        <is>
          <t>3 minute(s) and 15 second(s)</t>
        </is>
      </c>
      <c r="J4090" s="25">
        <f>IFERROR(VALUE(TRIM(LEFT(I4090,FIND("minute",I4090)-1)))*60,0)+IFERROR(VALUE(SUBSTITUTE(MID(I4090,IFERROR(FIND("and",I4090)+3,1),20),"second(s)","")),0)</f>
        <v/>
      </c>
      <c r="K4090" s="41">
        <f>J4090/60</f>
        <v/>
      </c>
      <c r="L4090" s="41">
        <f>IFERROR(J4090/H4090,"")</f>
        <v/>
      </c>
      <c r="M4090" s="25" t="inlineStr">
        <is>
          <t>2.5.12</t>
        </is>
      </c>
      <c r="N4090" s="25">
        <f>IF(J4090&gt;300,1,0)</f>
        <v/>
      </c>
      <c r="O4090" s="25">
        <f>IF(J4090&gt;600,1,0)</f>
        <v/>
      </c>
      <c r="P4090" s="25">
        <f>IF(H4090&gt;0,J4090,"")</f>
        <v/>
      </c>
      <c r="Q4090" s="25">
        <f>TEXT(A4090,"YYYY-MM-DD HH")</f>
        <v/>
      </c>
      <c r="R4090" s="25">
        <f>COUNTIF($Q$2:$Q$5295,Q4090)</f>
        <v/>
      </c>
      <c r="S4090" s="25">
        <f>IF(R4090&lt;=2,"1-2",IF(R4090&lt;=5,"3-5",IF(R4090&lt;=10,"6-10","11+")))</f>
        <v/>
      </c>
    </row>
    <row r="4091">
      <c r="A4091" s="39" t="n">
        <v>46219.67229166667</v>
      </c>
      <c r="B4091" s="25">
        <f>TEXT(A4091,"YYYY-MM")</f>
        <v/>
      </c>
      <c r="C4091" s="25">
        <f>TEXT(A4091,"MMM-YYYY")</f>
        <v/>
      </c>
      <c r="D4091" s="40">
        <f>INT(A4091)-WEEKDAY(A4091,2)+1</f>
        <v/>
      </c>
      <c r="E4091" s="25" t="inlineStr">
        <is>
          <t>rsingh</t>
        </is>
      </c>
      <c r="F4091" s="25" t="n">
        <v>133066</v>
      </c>
      <c r="G4091" s="25" t="n">
        <v>3</v>
      </c>
      <c r="H4091" s="25" t="n">
        <v>15</v>
      </c>
      <c r="I4091" s="25" t="inlineStr">
        <is>
          <t>4 minute(s) and 1 second(s)</t>
        </is>
      </c>
      <c r="J4091" s="25">
        <f>IFERROR(VALUE(TRIM(LEFT(I4091,FIND("minute",I4091)-1)))*60,0)+IFERROR(VALUE(SUBSTITUTE(MID(I4091,IFERROR(FIND("and",I4091)+3,1),20),"second(s)","")),0)</f>
        <v/>
      </c>
      <c r="K4091" s="41">
        <f>J4091/60</f>
        <v/>
      </c>
      <c r="L4091" s="41">
        <f>IFERROR(J4091/H4091,"")</f>
        <v/>
      </c>
      <c r="M4091" s="25" t="inlineStr">
        <is>
          <t>2.5.12</t>
        </is>
      </c>
      <c r="N4091" s="25">
        <f>IF(J4091&gt;300,1,0)</f>
        <v/>
      </c>
      <c r="O4091" s="25">
        <f>IF(J4091&gt;600,1,0)</f>
        <v/>
      </c>
      <c r="P4091" s="25">
        <f>IF(H4091&gt;0,J4091,"")</f>
        <v/>
      </c>
      <c r="Q4091" s="25">
        <f>TEXT(A4091,"YYYY-MM-DD HH")</f>
        <v/>
      </c>
      <c r="R4091" s="25">
        <f>COUNTIF($Q$2:$Q$5295,Q4091)</f>
        <v/>
      </c>
      <c r="S4091" s="25">
        <f>IF(R4091&lt;=2,"1-2",IF(R4091&lt;=5,"3-5",IF(R4091&lt;=10,"6-10","11+")))</f>
        <v/>
      </c>
    </row>
    <row r="4092">
      <c r="A4092" s="39" t="n">
        <v>46219.688125</v>
      </c>
      <c r="B4092" s="25">
        <f>TEXT(A4092,"YYYY-MM")</f>
        <v/>
      </c>
      <c r="C4092" s="25">
        <f>TEXT(A4092,"MMM-YYYY")</f>
        <v/>
      </c>
      <c r="D4092" s="40">
        <f>INT(A4092)-WEEKDAY(A4092,2)+1</f>
        <v/>
      </c>
      <c r="E4092" s="25" t="inlineStr">
        <is>
          <t>sthomas</t>
        </is>
      </c>
      <c r="F4092" s="25" t="n">
        <v>128252</v>
      </c>
      <c r="G4092" s="25" t="n">
        <v>3</v>
      </c>
      <c r="H4092" s="25" t="n">
        <v>16</v>
      </c>
      <c r="I4092" s="25" t="inlineStr">
        <is>
          <t>2 minute(s) and 52 second(s)</t>
        </is>
      </c>
      <c r="J4092" s="25">
        <f>IFERROR(VALUE(TRIM(LEFT(I4092,FIND("minute",I4092)-1)))*60,0)+IFERROR(VALUE(SUBSTITUTE(MID(I4092,IFERROR(FIND("and",I4092)+3,1),20),"second(s)","")),0)</f>
        <v/>
      </c>
      <c r="K4092" s="41">
        <f>J4092/60</f>
        <v/>
      </c>
      <c r="L4092" s="41">
        <f>IFERROR(J4092/H4092,"")</f>
        <v/>
      </c>
      <c r="M4092" s="25" t="inlineStr">
        <is>
          <t>2.5.12</t>
        </is>
      </c>
      <c r="N4092" s="25">
        <f>IF(J4092&gt;300,1,0)</f>
        <v/>
      </c>
      <c r="O4092" s="25">
        <f>IF(J4092&gt;600,1,0)</f>
        <v/>
      </c>
      <c r="P4092" s="25">
        <f>IF(H4092&gt;0,J4092,"")</f>
        <v/>
      </c>
      <c r="Q4092" s="25">
        <f>TEXT(A4092,"YYYY-MM-DD HH")</f>
        <v/>
      </c>
      <c r="R4092" s="25">
        <f>COUNTIF($Q$2:$Q$5295,Q4092)</f>
        <v/>
      </c>
      <c r="S4092" s="25">
        <f>IF(R4092&lt;=2,"1-2",IF(R4092&lt;=5,"3-5",IF(R4092&lt;=10,"6-10","11+")))</f>
        <v/>
      </c>
    </row>
    <row r="4093">
      <c r="A4093" s="39" t="n">
        <v>46219.70349537037</v>
      </c>
      <c r="B4093" s="25">
        <f>TEXT(A4093,"YYYY-MM")</f>
        <v/>
      </c>
      <c r="C4093" s="25">
        <f>TEXT(A4093,"MMM-YYYY")</f>
        <v/>
      </c>
      <c r="D4093" s="40">
        <f>INT(A4093)-WEEKDAY(A4093,2)+1</f>
        <v/>
      </c>
      <c r="E4093" s="25" t="inlineStr">
        <is>
          <t>dchoudhury</t>
        </is>
      </c>
      <c r="F4093" s="25" t="n">
        <v>129392</v>
      </c>
      <c r="G4093" s="25" t="n">
        <v>2</v>
      </c>
      <c r="H4093" s="25" t="n">
        <v>10</v>
      </c>
      <c r="I4093" s="25" t="inlineStr">
        <is>
          <t>58 second(s)</t>
        </is>
      </c>
      <c r="J4093" s="25">
        <f>IFERROR(VALUE(TRIM(LEFT(I4093,FIND("minute",I4093)-1)))*60,0)+IFERROR(VALUE(SUBSTITUTE(MID(I4093,IFERROR(FIND("and",I4093)+3,1),20),"second(s)","")),0)</f>
        <v/>
      </c>
      <c r="K4093" s="41">
        <f>J4093/60</f>
        <v/>
      </c>
      <c r="L4093" s="41">
        <f>IFERROR(J4093/H4093,"")</f>
        <v/>
      </c>
      <c r="M4093" s="25" t="inlineStr">
        <is>
          <t>2.5.12</t>
        </is>
      </c>
      <c r="N4093" s="25">
        <f>IF(J4093&gt;300,1,0)</f>
        <v/>
      </c>
      <c r="O4093" s="25">
        <f>IF(J4093&gt;600,1,0)</f>
        <v/>
      </c>
      <c r="P4093" s="25">
        <f>IF(H4093&gt;0,J4093,"")</f>
        <v/>
      </c>
      <c r="Q4093" s="25">
        <f>TEXT(A4093,"YYYY-MM-DD HH")</f>
        <v/>
      </c>
      <c r="R4093" s="25">
        <f>COUNTIF($Q$2:$Q$5295,Q4093)</f>
        <v/>
      </c>
      <c r="S4093" s="25">
        <f>IF(R4093&lt;=2,"1-2",IF(R4093&lt;=5,"3-5",IF(R4093&lt;=10,"6-10","11+")))</f>
        <v/>
      </c>
    </row>
    <row r="4094">
      <c r="A4094" s="39" t="n">
        <v>46219.72092592593</v>
      </c>
      <c r="B4094" s="25">
        <f>TEXT(A4094,"YYYY-MM")</f>
        <v/>
      </c>
      <c r="C4094" s="25">
        <f>TEXT(A4094,"MMM-YYYY")</f>
        <v/>
      </c>
      <c r="D4094" s="40">
        <f>INT(A4094)-WEEKDAY(A4094,2)+1</f>
        <v/>
      </c>
      <c r="E4094" s="25" t="inlineStr">
        <is>
          <t>sswati</t>
        </is>
      </c>
      <c r="F4094" s="25" t="n">
        <v>131277</v>
      </c>
      <c r="G4094" s="25" t="n">
        <v>2</v>
      </c>
      <c r="H4094" s="25" t="n">
        <v>12</v>
      </c>
      <c r="I4094" s="25" t="inlineStr">
        <is>
          <t>51 second(s)</t>
        </is>
      </c>
      <c r="J4094" s="25">
        <f>IFERROR(VALUE(TRIM(LEFT(I4094,FIND("minute",I4094)-1)))*60,0)+IFERROR(VALUE(SUBSTITUTE(MID(I4094,IFERROR(FIND("and",I4094)+3,1),20),"second(s)","")),0)</f>
        <v/>
      </c>
      <c r="K4094" s="41">
        <f>J4094/60</f>
        <v/>
      </c>
      <c r="L4094" s="41">
        <f>IFERROR(J4094/H4094,"")</f>
        <v/>
      </c>
      <c r="M4094" s="25" t="inlineStr">
        <is>
          <t>2.5.12</t>
        </is>
      </c>
      <c r="N4094" s="25">
        <f>IF(J4094&gt;300,1,0)</f>
        <v/>
      </c>
      <c r="O4094" s="25">
        <f>IF(J4094&gt;600,1,0)</f>
        <v/>
      </c>
      <c r="P4094" s="25">
        <f>IF(H4094&gt;0,J4094,"")</f>
        <v/>
      </c>
      <c r="Q4094" s="25">
        <f>TEXT(A4094,"YYYY-MM-DD HH")</f>
        <v/>
      </c>
      <c r="R4094" s="25">
        <f>COUNTIF($Q$2:$Q$5295,Q4094)</f>
        <v/>
      </c>
      <c r="S4094" s="25">
        <f>IF(R4094&lt;=2,"1-2",IF(R4094&lt;=5,"3-5",IF(R4094&lt;=10,"6-10","11+")))</f>
        <v/>
      </c>
    </row>
    <row r="4095">
      <c r="A4095" s="39" t="n">
        <v>46219.74966435185</v>
      </c>
      <c r="B4095" s="25">
        <f>TEXT(A4095,"YYYY-MM")</f>
        <v/>
      </c>
      <c r="C4095" s="25">
        <f>TEXT(A4095,"MMM-YYYY")</f>
        <v/>
      </c>
      <c r="D4095" s="40">
        <f>INT(A4095)-WEEKDAY(A4095,2)+1</f>
        <v/>
      </c>
      <c r="E4095" s="25" t="inlineStr">
        <is>
          <t>dchoudhury</t>
        </is>
      </c>
      <c r="F4095" s="25" t="n">
        <v>129384</v>
      </c>
      <c r="G4095" s="25" t="n">
        <v>3</v>
      </c>
      <c r="H4095" s="25" t="n">
        <v>15</v>
      </c>
      <c r="I4095" s="25" t="inlineStr">
        <is>
          <t>1 minute(s) and 31 second(s)</t>
        </is>
      </c>
      <c r="J4095" s="25">
        <f>IFERROR(VALUE(TRIM(LEFT(I4095,FIND("minute",I4095)-1)))*60,0)+IFERROR(VALUE(SUBSTITUTE(MID(I4095,IFERROR(FIND("and",I4095)+3,1),20),"second(s)","")),0)</f>
        <v/>
      </c>
      <c r="K4095" s="41">
        <f>J4095/60</f>
        <v/>
      </c>
      <c r="L4095" s="41">
        <f>IFERROR(J4095/H4095,"")</f>
        <v/>
      </c>
      <c r="M4095" s="25" t="inlineStr">
        <is>
          <t>2.5.12</t>
        </is>
      </c>
      <c r="N4095" s="25">
        <f>IF(J4095&gt;300,1,0)</f>
        <v/>
      </c>
      <c r="O4095" s="25">
        <f>IF(J4095&gt;600,1,0)</f>
        <v/>
      </c>
      <c r="P4095" s="25">
        <f>IF(H4095&gt;0,J4095,"")</f>
        <v/>
      </c>
      <c r="Q4095" s="25">
        <f>TEXT(A4095,"YYYY-MM-DD HH")</f>
        <v/>
      </c>
      <c r="R4095" s="25">
        <f>COUNTIF($Q$2:$Q$5295,Q4095)</f>
        <v/>
      </c>
      <c r="S4095" s="25">
        <f>IF(R4095&lt;=2,"1-2",IF(R4095&lt;=5,"3-5",IF(R4095&lt;=10,"6-10","11+")))</f>
        <v/>
      </c>
    </row>
    <row r="4096">
      <c r="A4096" s="39" t="n">
        <v>46219.7535300926</v>
      </c>
      <c r="B4096" s="25">
        <f>TEXT(A4096,"YYYY-MM")</f>
        <v/>
      </c>
      <c r="C4096" s="25">
        <f>TEXT(A4096,"MMM-YYYY")</f>
        <v/>
      </c>
      <c r="D4096" s="40">
        <f>INT(A4096)-WEEKDAY(A4096,2)+1</f>
        <v/>
      </c>
      <c r="E4096" s="25" t="inlineStr">
        <is>
          <t>rsingh</t>
        </is>
      </c>
      <c r="F4096" s="25" t="n">
        <v>132185</v>
      </c>
      <c r="G4096" s="25" t="n">
        <v>2</v>
      </c>
      <c r="H4096" s="25" t="n">
        <v>10</v>
      </c>
      <c r="I4096" s="25" t="inlineStr">
        <is>
          <t>1 minute(s) and 49 second(s)</t>
        </is>
      </c>
      <c r="J4096" s="25">
        <f>IFERROR(VALUE(TRIM(LEFT(I4096,FIND("minute",I4096)-1)))*60,0)+IFERROR(VALUE(SUBSTITUTE(MID(I4096,IFERROR(FIND("and",I4096)+3,1),20),"second(s)","")),0)</f>
        <v/>
      </c>
      <c r="K4096" s="41">
        <f>J4096/60</f>
        <v/>
      </c>
      <c r="L4096" s="41">
        <f>IFERROR(J4096/H4096,"")</f>
        <v/>
      </c>
      <c r="M4096" s="25" t="inlineStr">
        <is>
          <t>2.5.12</t>
        </is>
      </c>
      <c r="N4096" s="25">
        <f>IF(J4096&gt;300,1,0)</f>
        <v/>
      </c>
      <c r="O4096" s="25">
        <f>IF(J4096&gt;600,1,0)</f>
        <v/>
      </c>
      <c r="P4096" s="25">
        <f>IF(H4096&gt;0,J4096,"")</f>
        <v/>
      </c>
      <c r="Q4096" s="25">
        <f>TEXT(A4096,"YYYY-MM-DD HH")</f>
        <v/>
      </c>
      <c r="R4096" s="25">
        <f>COUNTIF($Q$2:$Q$5295,Q4096)</f>
        <v/>
      </c>
      <c r="S4096" s="25">
        <f>IF(R4096&lt;=2,"1-2",IF(R4096&lt;=5,"3-5",IF(R4096&lt;=10,"6-10","11+")))</f>
        <v/>
      </c>
    </row>
    <row r="4097">
      <c r="A4097" s="39" t="n">
        <v>46219.76180555556</v>
      </c>
      <c r="B4097" s="25">
        <f>TEXT(A4097,"YYYY-MM")</f>
        <v/>
      </c>
      <c r="C4097" s="25">
        <f>TEXT(A4097,"MMM-YYYY")</f>
        <v/>
      </c>
      <c r="D4097" s="40">
        <f>INT(A4097)-WEEKDAY(A4097,2)+1</f>
        <v/>
      </c>
      <c r="E4097" s="25" t="inlineStr">
        <is>
          <t>hsindwani</t>
        </is>
      </c>
      <c r="F4097" s="25" t="n">
        <v>132592</v>
      </c>
      <c r="G4097" s="25" t="n">
        <v>1</v>
      </c>
      <c r="H4097" s="25" t="n">
        <v>5</v>
      </c>
      <c r="I4097" s="25" t="inlineStr">
        <is>
          <t>51 second(s)</t>
        </is>
      </c>
      <c r="J4097" s="25">
        <f>IFERROR(VALUE(TRIM(LEFT(I4097,FIND("minute",I4097)-1)))*60,0)+IFERROR(VALUE(SUBSTITUTE(MID(I4097,IFERROR(FIND("and",I4097)+3,1),20),"second(s)","")),0)</f>
        <v/>
      </c>
      <c r="K4097" s="41">
        <f>J4097/60</f>
        <v/>
      </c>
      <c r="L4097" s="41">
        <f>IFERROR(J4097/H4097,"")</f>
        <v/>
      </c>
      <c r="M4097" s="25" t="inlineStr">
        <is>
          <t>2.5.12</t>
        </is>
      </c>
      <c r="N4097" s="25">
        <f>IF(J4097&gt;300,1,0)</f>
        <v/>
      </c>
      <c r="O4097" s="25">
        <f>IF(J4097&gt;600,1,0)</f>
        <v/>
      </c>
      <c r="P4097" s="25">
        <f>IF(H4097&gt;0,J4097,"")</f>
        <v/>
      </c>
      <c r="Q4097" s="25">
        <f>TEXT(A4097,"YYYY-MM-DD HH")</f>
        <v/>
      </c>
      <c r="R4097" s="25">
        <f>COUNTIF($Q$2:$Q$5295,Q4097)</f>
        <v/>
      </c>
      <c r="S4097" s="25">
        <f>IF(R4097&lt;=2,"1-2",IF(R4097&lt;=5,"3-5",IF(R4097&lt;=10,"6-10","11+")))</f>
        <v/>
      </c>
    </row>
    <row r="4098">
      <c r="A4098" s="39" t="n">
        <v>46219.77880787037</v>
      </c>
      <c r="B4098" s="25">
        <f>TEXT(A4098,"YYYY-MM")</f>
        <v/>
      </c>
      <c r="C4098" s="25">
        <f>TEXT(A4098,"MMM-YYYY")</f>
        <v/>
      </c>
      <c r="D4098" s="40">
        <f>INT(A4098)-WEEKDAY(A4098,2)+1</f>
        <v/>
      </c>
      <c r="E4098" s="25" t="inlineStr">
        <is>
          <t>sswati</t>
        </is>
      </c>
      <c r="F4098" s="25" t="n">
        <v>130798</v>
      </c>
      <c r="G4098" s="25" t="n">
        <v>1</v>
      </c>
      <c r="H4098" s="25" t="n">
        <v>5</v>
      </c>
      <c r="I4098" s="25" t="inlineStr">
        <is>
          <t>26 second(s)</t>
        </is>
      </c>
      <c r="J4098" s="25">
        <f>IFERROR(VALUE(TRIM(LEFT(I4098,FIND("minute",I4098)-1)))*60,0)+IFERROR(VALUE(SUBSTITUTE(MID(I4098,IFERROR(FIND("and",I4098)+3,1),20),"second(s)","")),0)</f>
        <v/>
      </c>
      <c r="K4098" s="41">
        <f>J4098/60</f>
        <v/>
      </c>
      <c r="L4098" s="41">
        <f>IFERROR(J4098/H4098,"")</f>
        <v/>
      </c>
      <c r="M4098" s="25" t="inlineStr">
        <is>
          <t>2.5.12</t>
        </is>
      </c>
      <c r="N4098" s="25">
        <f>IF(J4098&gt;300,1,0)</f>
        <v/>
      </c>
      <c r="O4098" s="25">
        <f>IF(J4098&gt;600,1,0)</f>
        <v/>
      </c>
      <c r="P4098" s="25">
        <f>IF(H4098&gt;0,J4098,"")</f>
        <v/>
      </c>
      <c r="Q4098" s="25">
        <f>TEXT(A4098,"YYYY-MM-DD HH")</f>
        <v/>
      </c>
      <c r="R4098" s="25">
        <f>COUNTIF($Q$2:$Q$5295,Q4098)</f>
        <v/>
      </c>
      <c r="S4098" s="25">
        <f>IF(R4098&lt;=2,"1-2",IF(R4098&lt;=5,"3-5",IF(R4098&lt;=10,"6-10","11+")))</f>
        <v/>
      </c>
    </row>
    <row r="4099">
      <c r="A4099" s="39" t="n">
        <v>46219.80509259259</v>
      </c>
      <c r="B4099" s="25">
        <f>TEXT(A4099,"YYYY-MM")</f>
        <v/>
      </c>
      <c r="C4099" s="25">
        <f>TEXT(A4099,"MMM-YYYY")</f>
        <v/>
      </c>
      <c r="D4099" s="40">
        <f>INT(A4099)-WEEKDAY(A4099,2)+1</f>
        <v/>
      </c>
      <c r="E4099" s="25" t="inlineStr">
        <is>
          <t>sswati</t>
        </is>
      </c>
      <c r="F4099" s="25" t="n">
        <v>130934</v>
      </c>
      <c r="G4099" s="25" t="n">
        <v>3</v>
      </c>
      <c r="H4099" s="25" t="n">
        <v>11</v>
      </c>
      <c r="I4099" s="25" t="inlineStr">
        <is>
          <t>1 minute(s) and 57 second(s)</t>
        </is>
      </c>
      <c r="J4099" s="25">
        <f>IFERROR(VALUE(TRIM(LEFT(I4099,FIND("minute",I4099)-1)))*60,0)+IFERROR(VALUE(SUBSTITUTE(MID(I4099,IFERROR(FIND("and",I4099)+3,1),20),"second(s)","")),0)</f>
        <v/>
      </c>
      <c r="K4099" s="41">
        <f>J4099/60</f>
        <v/>
      </c>
      <c r="L4099" s="41">
        <f>IFERROR(J4099/H4099,"")</f>
        <v/>
      </c>
      <c r="M4099" s="25" t="inlineStr">
        <is>
          <t>2.5.12</t>
        </is>
      </c>
      <c r="N4099" s="25">
        <f>IF(J4099&gt;300,1,0)</f>
        <v/>
      </c>
      <c r="O4099" s="25">
        <f>IF(J4099&gt;600,1,0)</f>
        <v/>
      </c>
      <c r="P4099" s="25">
        <f>IF(H4099&gt;0,J4099,"")</f>
        <v/>
      </c>
      <c r="Q4099" s="25">
        <f>TEXT(A4099,"YYYY-MM-DD HH")</f>
        <v/>
      </c>
      <c r="R4099" s="25">
        <f>COUNTIF($Q$2:$Q$5295,Q4099)</f>
        <v/>
      </c>
      <c r="S4099" s="25">
        <f>IF(R4099&lt;=2,"1-2",IF(R4099&lt;=5,"3-5",IF(R4099&lt;=10,"6-10","11+")))</f>
        <v/>
      </c>
    </row>
    <row r="4100">
      <c r="A4100" s="39" t="n">
        <v>46219.80730324074</v>
      </c>
      <c r="B4100" s="25">
        <f>TEXT(A4100,"YYYY-MM")</f>
        <v/>
      </c>
      <c r="C4100" s="25">
        <f>TEXT(A4100,"MMM-YYYY")</f>
        <v/>
      </c>
      <c r="D4100" s="40">
        <f>INT(A4100)-WEEKDAY(A4100,2)+1</f>
        <v/>
      </c>
      <c r="E4100" s="25" t="inlineStr">
        <is>
          <t>sswati</t>
        </is>
      </c>
      <c r="F4100" s="25" t="n">
        <v>130934</v>
      </c>
      <c r="G4100" s="25" t="n">
        <v>2</v>
      </c>
      <c r="H4100" s="25" t="n">
        <v>10</v>
      </c>
      <c r="I4100" s="25" t="inlineStr">
        <is>
          <t>59 second(s)</t>
        </is>
      </c>
      <c r="J4100" s="25">
        <f>IFERROR(VALUE(TRIM(LEFT(I4100,FIND("minute",I4100)-1)))*60,0)+IFERROR(VALUE(SUBSTITUTE(MID(I4100,IFERROR(FIND("and",I4100)+3,1),20),"second(s)","")),0)</f>
        <v/>
      </c>
      <c r="K4100" s="41">
        <f>J4100/60</f>
        <v/>
      </c>
      <c r="L4100" s="41">
        <f>IFERROR(J4100/H4100,"")</f>
        <v/>
      </c>
      <c r="M4100" s="25" t="inlineStr">
        <is>
          <t>2.5.12</t>
        </is>
      </c>
      <c r="N4100" s="25">
        <f>IF(J4100&gt;300,1,0)</f>
        <v/>
      </c>
      <c r="O4100" s="25">
        <f>IF(J4100&gt;600,1,0)</f>
        <v/>
      </c>
      <c r="P4100" s="25">
        <f>IF(H4100&gt;0,J4100,"")</f>
        <v/>
      </c>
      <c r="Q4100" s="25">
        <f>TEXT(A4100,"YYYY-MM-DD HH")</f>
        <v/>
      </c>
      <c r="R4100" s="25">
        <f>COUNTIF($Q$2:$Q$5295,Q4100)</f>
        <v/>
      </c>
      <c r="S4100" s="25">
        <f>IF(R4100&lt;=2,"1-2",IF(R4100&lt;=5,"3-5",IF(R4100&lt;=10,"6-10","11+")))</f>
        <v/>
      </c>
    </row>
    <row r="4101">
      <c r="A4101" s="39" t="n">
        <v>46219.82563657407</v>
      </c>
      <c r="B4101" s="25">
        <f>TEXT(A4101,"YYYY-MM")</f>
        <v/>
      </c>
      <c r="C4101" s="25">
        <f>TEXT(A4101,"MMM-YYYY")</f>
        <v/>
      </c>
      <c r="D4101" s="40">
        <f>INT(A4101)-WEEKDAY(A4101,2)+1</f>
        <v/>
      </c>
      <c r="E4101" s="25" t="inlineStr">
        <is>
          <t>dchoudhury</t>
        </is>
      </c>
      <c r="F4101" s="25" t="n">
        <v>129488</v>
      </c>
      <c r="G4101" s="25" t="n">
        <v>2</v>
      </c>
      <c r="H4101" s="25" t="n">
        <v>10</v>
      </c>
      <c r="I4101" s="25" t="inlineStr">
        <is>
          <t>1 minute(s) and 3 second(s)</t>
        </is>
      </c>
      <c r="J4101" s="25">
        <f>IFERROR(VALUE(TRIM(LEFT(I4101,FIND("minute",I4101)-1)))*60,0)+IFERROR(VALUE(SUBSTITUTE(MID(I4101,IFERROR(FIND("and",I4101)+3,1),20),"second(s)","")),0)</f>
        <v/>
      </c>
      <c r="K4101" s="41">
        <f>J4101/60</f>
        <v/>
      </c>
      <c r="L4101" s="41">
        <f>IFERROR(J4101/H4101,"")</f>
        <v/>
      </c>
      <c r="M4101" s="25" t="inlineStr">
        <is>
          <t>2.5.12</t>
        </is>
      </c>
      <c r="N4101" s="25">
        <f>IF(J4101&gt;300,1,0)</f>
        <v/>
      </c>
      <c r="O4101" s="25">
        <f>IF(J4101&gt;600,1,0)</f>
        <v/>
      </c>
      <c r="P4101" s="25">
        <f>IF(H4101&gt;0,J4101,"")</f>
        <v/>
      </c>
      <c r="Q4101" s="25">
        <f>TEXT(A4101,"YYYY-MM-DD HH")</f>
        <v/>
      </c>
      <c r="R4101" s="25">
        <f>COUNTIF($Q$2:$Q$5295,Q4101)</f>
        <v/>
      </c>
      <c r="S4101" s="25">
        <f>IF(R4101&lt;=2,"1-2",IF(R4101&lt;=5,"3-5",IF(R4101&lt;=10,"6-10","11+")))</f>
        <v/>
      </c>
    </row>
    <row r="4102">
      <c r="A4102" s="39" t="n">
        <v>46219.83142361111</v>
      </c>
      <c r="B4102" s="25">
        <f>TEXT(A4102,"YYYY-MM")</f>
        <v/>
      </c>
      <c r="C4102" s="25">
        <f>TEXT(A4102,"MMM-YYYY")</f>
        <v/>
      </c>
      <c r="D4102" s="40">
        <f>INT(A4102)-WEEKDAY(A4102,2)+1</f>
        <v/>
      </c>
      <c r="E4102" s="25" t="inlineStr">
        <is>
          <t>rsingh</t>
        </is>
      </c>
      <c r="F4102" s="25" t="n">
        <v>127895</v>
      </c>
      <c r="G4102" s="25" t="n">
        <v>4</v>
      </c>
      <c r="H4102" s="25" t="n">
        <v>20</v>
      </c>
      <c r="I4102" s="25" t="inlineStr">
        <is>
          <t>3 minute(s) and 23 second(s)</t>
        </is>
      </c>
      <c r="J4102" s="25">
        <f>IFERROR(VALUE(TRIM(LEFT(I4102,FIND("minute",I4102)-1)))*60,0)+IFERROR(VALUE(SUBSTITUTE(MID(I4102,IFERROR(FIND("and",I4102)+3,1),20),"second(s)","")),0)</f>
        <v/>
      </c>
      <c r="K4102" s="41">
        <f>J4102/60</f>
        <v/>
      </c>
      <c r="L4102" s="41">
        <f>IFERROR(J4102/H4102,"")</f>
        <v/>
      </c>
      <c r="M4102" s="25" t="inlineStr">
        <is>
          <t>2.5.12</t>
        </is>
      </c>
      <c r="N4102" s="25">
        <f>IF(J4102&gt;300,1,0)</f>
        <v/>
      </c>
      <c r="O4102" s="25">
        <f>IF(J4102&gt;600,1,0)</f>
        <v/>
      </c>
      <c r="P4102" s="25">
        <f>IF(H4102&gt;0,J4102,"")</f>
        <v/>
      </c>
      <c r="Q4102" s="25">
        <f>TEXT(A4102,"YYYY-MM-DD HH")</f>
        <v/>
      </c>
      <c r="R4102" s="25">
        <f>COUNTIF($Q$2:$Q$5295,Q4102)</f>
        <v/>
      </c>
      <c r="S4102" s="25">
        <f>IF(R4102&lt;=2,"1-2",IF(R4102&lt;=5,"3-5",IF(R4102&lt;=10,"6-10","11+")))</f>
        <v/>
      </c>
    </row>
    <row r="4103">
      <c r="A4103" s="39" t="n">
        <v>46219.91457175926</v>
      </c>
      <c r="B4103" s="25">
        <f>TEXT(A4103,"YYYY-MM")</f>
        <v/>
      </c>
      <c r="C4103" s="25">
        <f>TEXT(A4103,"MMM-YYYY")</f>
        <v/>
      </c>
      <c r="D4103" s="40">
        <f>INT(A4103)-WEEKDAY(A4103,2)+1</f>
        <v/>
      </c>
      <c r="E4103" s="25" t="inlineStr">
        <is>
          <t>ssrinivasan</t>
        </is>
      </c>
      <c r="F4103" s="25" t="n">
        <v>127943</v>
      </c>
      <c r="G4103" s="25" t="n">
        <v>4</v>
      </c>
      <c r="H4103" s="25" t="n">
        <v>14</v>
      </c>
      <c r="I4103" s="25" t="inlineStr">
        <is>
          <t>1 minute(s) and 9 second(s)</t>
        </is>
      </c>
      <c r="J4103" s="25">
        <f>IFERROR(VALUE(TRIM(LEFT(I4103,FIND("minute",I4103)-1)))*60,0)+IFERROR(VALUE(SUBSTITUTE(MID(I4103,IFERROR(FIND("and",I4103)+3,1),20),"second(s)","")),0)</f>
        <v/>
      </c>
      <c r="K4103" s="41">
        <f>J4103/60</f>
        <v/>
      </c>
      <c r="L4103" s="41">
        <f>IFERROR(J4103/H4103,"")</f>
        <v/>
      </c>
      <c r="M4103" s="25" t="inlineStr">
        <is>
          <t>2.5.12</t>
        </is>
      </c>
      <c r="N4103" s="25">
        <f>IF(J4103&gt;300,1,0)</f>
        <v/>
      </c>
      <c r="O4103" s="25">
        <f>IF(J4103&gt;600,1,0)</f>
        <v/>
      </c>
      <c r="P4103" s="25">
        <f>IF(H4103&gt;0,J4103,"")</f>
        <v/>
      </c>
      <c r="Q4103" s="25">
        <f>TEXT(A4103,"YYYY-MM-DD HH")</f>
        <v/>
      </c>
      <c r="R4103" s="25">
        <f>COUNTIF($Q$2:$Q$5295,Q4103)</f>
        <v/>
      </c>
      <c r="S4103" s="25">
        <f>IF(R4103&lt;=2,"1-2",IF(R4103&lt;=5,"3-5",IF(R4103&lt;=10,"6-10","11+")))</f>
        <v/>
      </c>
    </row>
    <row r="4104">
      <c r="A4104" s="39" t="n">
        <v>46219.96252314815</v>
      </c>
      <c r="B4104" s="25">
        <f>TEXT(A4104,"YYYY-MM")</f>
        <v/>
      </c>
      <c r="C4104" s="25">
        <f>TEXT(A4104,"MMM-YYYY")</f>
        <v/>
      </c>
      <c r="D4104" s="40">
        <f>INT(A4104)-WEEKDAY(A4104,2)+1</f>
        <v/>
      </c>
      <c r="E4104" s="25" t="inlineStr">
        <is>
          <t>ssrinivasan</t>
        </is>
      </c>
      <c r="F4104" s="25" t="n">
        <v>130195</v>
      </c>
      <c r="G4104" s="25" t="n">
        <v>4</v>
      </c>
      <c r="H4104" s="25" t="n">
        <v>24</v>
      </c>
      <c r="I4104" s="25" t="inlineStr">
        <is>
          <t>4 minute(s) and 11 second(s)</t>
        </is>
      </c>
      <c r="J4104" s="25">
        <f>IFERROR(VALUE(TRIM(LEFT(I4104,FIND("minute",I4104)-1)))*60,0)+IFERROR(VALUE(SUBSTITUTE(MID(I4104,IFERROR(FIND("and",I4104)+3,1),20),"second(s)","")),0)</f>
        <v/>
      </c>
      <c r="K4104" s="41">
        <f>J4104/60</f>
        <v/>
      </c>
      <c r="L4104" s="41">
        <f>IFERROR(J4104/H4104,"")</f>
        <v/>
      </c>
      <c r="M4104" s="25" t="inlineStr">
        <is>
          <t>2.5.12</t>
        </is>
      </c>
      <c r="N4104" s="25">
        <f>IF(J4104&gt;300,1,0)</f>
        <v/>
      </c>
      <c r="O4104" s="25">
        <f>IF(J4104&gt;600,1,0)</f>
        <v/>
      </c>
      <c r="P4104" s="25">
        <f>IF(H4104&gt;0,J4104,"")</f>
        <v/>
      </c>
      <c r="Q4104" s="25">
        <f>TEXT(A4104,"YYYY-MM-DD HH")</f>
        <v/>
      </c>
      <c r="R4104" s="25">
        <f>COUNTIF($Q$2:$Q$5295,Q4104)</f>
        <v/>
      </c>
      <c r="S4104" s="25">
        <f>IF(R4104&lt;=2,"1-2",IF(R4104&lt;=5,"3-5",IF(R4104&lt;=10,"6-10","11+")))</f>
        <v/>
      </c>
    </row>
    <row r="4105">
      <c r="A4105" s="39" t="n">
        <v>46219.96646990741</v>
      </c>
      <c r="B4105" s="25">
        <f>TEXT(A4105,"YYYY-MM")</f>
        <v/>
      </c>
      <c r="C4105" s="25">
        <f>TEXT(A4105,"MMM-YYYY")</f>
        <v/>
      </c>
      <c r="D4105" s="40">
        <f>INT(A4105)-WEEKDAY(A4105,2)+1</f>
        <v/>
      </c>
      <c r="E4105" s="25" t="inlineStr">
        <is>
          <t>hsindwani</t>
        </is>
      </c>
      <c r="F4105" s="25" t="n">
        <v>131480</v>
      </c>
      <c r="G4105" s="25" t="n">
        <v>2</v>
      </c>
      <c r="H4105" s="25" t="n">
        <v>12</v>
      </c>
      <c r="I4105" s="25" t="inlineStr">
        <is>
          <t>1 minute(s) and 38 second(s)</t>
        </is>
      </c>
      <c r="J4105" s="25">
        <f>IFERROR(VALUE(TRIM(LEFT(I4105,FIND("minute",I4105)-1)))*60,0)+IFERROR(VALUE(SUBSTITUTE(MID(I4105,IFERROR(FIND("and",I4105)+3,1),20),"second(s)","")),0)</f>
        <v/>
      </c>
      <c r="K4105" s="41">
        <f>J4105/60</f>
        <v/>
      </c>
      <c r="L4105" s="41">
        <f>IFERROR(J4105/H4105,"")</f>
        <v/>
      </c>
      <c r="M4105" s="25" t="inlineStr">
        <is>
          <t>2.5.12</t>
        </is>
      </c>
      <c r="N4105" s="25">
        <f>IF(J4105&gt;300,1,0)</f>
        <v/>
      </c>
      <c r="O4105" s="25">
        <f>IF(J4105&gt;600,1,0)</f>
        <v/>
      </c>
      <c r="P4105" s="25">
        <f>IF(H4105&gt;0,J4105,"")</f>
        <v/>
      </c>
      <c r="Q4105" s="25">
        <f>TEXT(A4105,"YYYY-MM-DD HH")</f>
        <v/>
      </c>
      <c r="R4105" s="25">
        <f>COUNTIF($Q$2:$Q$5295,Q4105)</f>
        <v/>
      </c>
      <c r="S4105" s="25">
        <f>IF(R4105&lt;=2,"1-2",IF(R4105&lt;=5,"3-5",IF(R4105&lt;=10,"6-10","11+")))</f>
        <v/>
      </c>
    </row>
    <row r="4106">
      <c r="A4106" s="39" t="n">
        <v>46219.9787037037</v>
      </c>
      <c r="B4106" s="25">
        <f>TEXT(A4106,"YYYY-MM")</f>
        <v/>
      </c>
      <c r="C4106" s="25">
        <f>TEXT(A4106,"MMM-YYYY")</f>
        <v/>
      </c>
      <c r="D4106" s="40">
        <f>INT(A4106)-WEEKDAY(A4106,2)+1</f>
        <v/>
      </c>
      <c r="E4106" s="25" t="inlineStr">
        <is>
          <t>shassan</t>
        </is>
      </c>
      <c r="F4106" s="25" t="n">
        <v>128478</v>
      </c>
      <c r="G4106" s="25" t="n">
        <v>3</v>
      </c>
      <c r="H4106" s="25" t="n">
        <v>13</v>
      </c>
      <c r="I4106" s="25" t="inlineStr">
        <is>
          <t>1 minute(s) and 19 second(s)</t>
        </is>
      </c>
      <c r="J4106" s="25">
        <f>IFERROR(VALUE(TRIM(LEFT(I4106,FIND("minute",I4106)-1)))*60,0)+IFERROR(VALUE(SUBSTITUTE(MID(I4106,IFERROR(FIND("and",I4106)+3,1),20),"second(s)","")),0)</f>
        <v/>
      </c>
      <c r="K4106" s="41">
        <f>J4106/60</f>
        <v/>
      </c>
      <c r="L4106" s="41">
        <f>IFERROR(J4106/H4106,"")</f>
        <v/>
      </c>
      <c r="M4106" s="25" t="inlineStr">
        <is>
          <t>2.5.12</t>
        </is>
      </c>
      <c r="N4106" s="25">
        <f>IF(J4106&gt;300,1,0)</f>
        <v/>
      </c>
      <c r="O4106" s="25">
        <f>IF(J4106&gt;600,1,0)</f>
        <v/>
      </c>
      <c r="P4106" s="25">
        <f>IF(H4106&gt;0,J4106,"")</f>
        <v/>
      </c>
      <c r="Q4106" s="25">
        <f>TEXT(A4106,"YYYY-MM-DD HH")</f>
        <v/>
      </c>
      <c r="R4106" s="25">
        <f>COUNTIF($Q$2:$Q$5295,Q4106)</f>
        <v/>
      </c>
      <c r="S4106" s="25">
        <f>IF(R4106&lt;=2,"1-2",IF(R4106&lt;=5,"3-5",IF(R4106&lt;=10,"6-10","11+")))</f>
        <v/>
      </c>
    </row>
    <row r="4107">
      <c r="A4107" s="39" t="n">
        <v>46219.98143518518</v>
      </c>
      <c r="B4107" s="25">
        <f>TEXT(A4107,"YYYY-MM")</f>
        <v/>
      </c>
      <c r="C4107" s="25">
        <f>TEXT(A4107,"MMM-YYYY")</f>
        <v/>
      </c>
      <c r="D4107" s="40">
        <f>INT(A4107)-WEEKDAY(A4107,2)+1</f>
        <v/>
      </c>
      <c r="E4107" s="25" t="inlineStr">
        <is>
          <t>panullekha</t>
        </is>
      </c>
      <c r="F4107" s="25" t="n">
        <v>119865</v>
      </c>
      <c r="G4107" s="25" t="n">
        <v>1</v>
      </c>
      <c r="H4107" s="25" t="n">
        <v>7</v>
      </c>
      <c r="I4107" s="25" t="inlineStr">
        <is>
          <t>45 second(s)</t>
        </is>
      </c>
      <c r="J4107" s="25">
        <f>IFERROR(VALUE(TRIM(LEFT(I4107,FIND("minute",I4107)-1)))*60,0)+IFERROR(VALUE(SUBSTITUTE(MID(I4107,IFERROR(FIND("and",I4107)+3,1),20),"second(s)","")),0)</f>
        <v/>
      </c>
      <c r="K4107" s="41">
        <f>J4107/60</f>
        <v/>
      </c>
      <c r="L4107" s="41">
        <f>IFERROR(J4107/H4107,"")</f>
        <v/>
      </c>
      <c r="M4107" s="25" t="inlineStr">
        <is>
          <t>2.5.12</t>
        </is>
      </c>
      <c r="N4107" s="25">
        <f>IF(J4107&gt;300,1,0)</f>
        <v/>
      </c>
      <c r="O4107" s="25">
        <f>IF(J4107&gt;600,1,0)</f>
        <v/>
      </c>
      <c r="P4107" s="25">
        <f>IF(H4107&gt;0,J4107,"")</f>
        <v/>
      </c>
      <c r="Q4107" s="25">
        <f>TEXT(A4107,"YYYY-MM-DD HH")</f>
        <v/>
      </c>
      <c r="R4107" s="25">
        <f>COUNTIF($Q$2:$Q$5295,Q4107)</f>
        <v/>
      </c>
      <c r="S4107" s="25">
        <f>IF(R4107&lt;=2,"1-2",IF(R4107&lt;=5,"3-5",IF(R4107&lt;=10,"6-10","11+")))</f>
        <v/>
      </c>
    </row>
    <row r="4108">
      <c r="A4108" s="39" t="n">
        <v>46220.03054398148</v>
      </c>
      <c r="B4108" s="25">
        <f>TEXT(A4108,"YYYY-MM")</f>
        <v/>
      </c>
      <c r="C4108" s="25">
        <f>TEXT(A4108,"MMM-YYYY")</f>
        <v/>
      </c>
      <c r="D4108" s="40">
        <f>INT(A4108)-WEEKDAY(A4108,2)+1</f>
        <v/>
      </c>
      <c r="E4108" s="25" t="inlineStr">
        <is>
          <t>ns</t>
        </is>
      </c>
      <c r="F4108" s="25" t="n">
        <v>132255</v>
      </c>
      <c r="G4108" s="25" t="n">
        <v>4</v>
      </c>
      <c r="H4108" s="25" t="n">
        <v>20</v>
      </c>
      <c r="I4108" s="25" t="inlineStr">
        <is>
          <t>1 minute(s) and 39 second(s)</t>
        </is>
      </c>
      <c r="J4108" s="25">
        <f>IFERROR(VALUE(TRIM(LEFT(I4108,FIND("minute",I4108)-1)))*60,0)+IFERROR(VALUE(SUBSTITUTE(MID(I4108,IFERROR(FIND("and",I4108)+3,1),20),"second(s)","")),0)</f>
        <v/>
      </c>
      <c r="K4108" s="41">
        <f>J4108/60</f>
        <v/>
      </c>
      <c r="L4108" s="41">
        <f>IFERROR(J4108/H4108,"")</f>
        <v/>
      </c>
      <c r="M4108" s="25" t="inlineStr">
        <is>
          <t>2.5.12</t>
        </is>
      </c>
      <c r="N4108" s="25">
        <f>IF(J4108&gt;300,1,0)</f>
        <v/>
      </c>
      <c r="O4108" s="25">
        <f>IF(J4108&gt;600,1,0)</f>
        <v/>
      </c>
      <c r="P4108" s="25">
        <f>IF(H4108&gt;0,J4108,"")</f>
        <v/>
      </c>
      <c r="Q4108" s="25">
        <f>TEXT(A4108,"YYYY-MM-DD HH")</f>
        <v/>
      </c>
      <c r="R4108" s="25">
        <f>COUNTIF($Q$2:$Q$5295,Q4108)</f>
        <v/>
      </c>
      <c r="S4108" s="25">
        <f>IF(R4108&lt;=2,"1-2",IF(R4108&lt;=5,"3-5",IF(R4108&lt;=10,"6-10","11+")))</f>
        <v/>
      </c>
    </row>
    <row r="4109">
      <c r="A4109" s="39" t="n">
        <v>46220.03168981482</v>
      </c>
      <c r="B4109" s="25">
        <f>TEXT(A4109,"YYYY-MM")</f>
        <v/>
      </c>
      <c r="C4109" s="25">
        <f>TEXT(A4109,"MMM-YYYY")</f>
        <v/>
      </c>
      <c r="D4109" s="40">
        <f>INT(A4109)-WEEKDAY(A4109,2)+1</f>
        <v/>
      </c>
      <c r="E4109" s="25" t="inlineStr">
        <is>
          <t>smukhopadhyay</t>
        </is>
      </c>
      <c r="F4109" s="25" t="n">
        <v>128796</v>
      </c>
      <c r="G4109" s="25" t="n">
        <v>4</v>
      </c>
      <c r="H4109" s="25" t="n">
        <v>26</v>
      </c>
      <c r="I4109" s="25" t="inlineStr">
        <is>
          <t>5 minute(s) and 38 second(s)</t>
        </is>
      </c>
      <c r="J4109" s="25">
        <f>IFERROR(VALUE(TRIM(LEFT(I4109,FIND("minute",I4109)-1)))*60,0)+IFERROR(VALUE(SUBSTITUTE(MID(I4109,IFERROR(FIND("and",I4109)+3,1),20),"second(s)","")),0)</f>
        <v/>
      </c>
      <c r="K4109" s="41">
        <f>J4109/60</f>
        <v/>
      </c>
      <c r="L4109" s="41">
        <f>IFERROR(J4109/H4109,"")</f>
        <v/>
      </c>
      <c r="M4109" s="25" t="inlineStr">
        <is>
          <t>2.5.12</t>
        </is>
      </c>
      <c r="N4109" s="25">
        <f>IF(J4109&gt;300,1,0)</f>
        <v/>
      </c>
      <c r="O4109" s="25">
        <f>IF(J4109&gt;600,1,0)</f>
        <v/>
      </c>
      <c r="P4109" s="25">
        <f>IF(H4109&gt;0,J4109,"")</f>
        <v/>
      </c>
      <c r="Q4109" s="25">
        <f>TEXT(A4109,"YYYY-MM-DD HH")</f>
        <v/>
      </c>
      <c r="R4109" s="25">
        <f>COUNTIF($Q$2:$Q$5295,Q4109)</f>
        <v/>
      </c>
      <c r="S4109" s="25">
        <f>IF(R4109&lt;=2,"1-2",IF(R4109&lt;=5,"3-5",IF(R4109&lt;=10,"6-10","11+")))</f>
        <v/>
      </c>
    </row>
    <row r="4110">
      <c r="A4110" s="39" t="n">
        <v>46220.03827546296</v>
      </c>
      <c r="B4110" s="25">
        <f>TEXT(A4110,"YYYY-MM")</f>
        <v/>
      </c>
      <c r="C4110" s="25">
        <f>TEXT(A4110,"MMM-YYYY")</f>
        <v/>
      </c>
      <c r="D4110" s="40">
        <f>INT(A4110)-WEEKDAY(A4110,2)+1</f>
        <v/>
      </c>
      <c r="E4110" s="25" t="inlineStr">
        <is>
          <t>aupadhayay</t>
        </is>
      </c>
      <c r="F4110" s="25" t="n">
        <v>129953</v>
      </c>
      <c r="G4110" s="25" t="n">
        <v>1</v>
      </c>
      <c r="H4110" s="25" t="n">
        <v>7</v>
      </c>
      <c r="I4110" s="25" t="inlineStr">
        <is>
          <t>1 minute(s) and 1 second(s)</t>
        </is>
      </c>
      <c r="J4110" s="25">
        <f>IFERROR(VALUE(TRIM(LEFT(I4110,FIND("minute",I4110)-1)))*60,0)+IFERROR(VALUE(SUBSTITUTE(MID(I4110,IFERROR(FIND("and",I4110)+3,1),20),"second(s)","")),0)</f>
        <v/>
      </c>
      <c r="K4110" s="41">
        <f>J4110/60</f>
        <v/>
      </c>
      <c r="L4110" s="41">
        <f>IFERROR(J4110/H4110,"")</f>
        <v/>
      </c>
      <c r="M4110" s="25" t="inlineStr">
        <is>
          <t>2.5.12</t>
        </is>
      </c>
      <c r="N4110" s="25">
        <f>IF(J4110&gt;300,1,0)</f>
        <v/>
      </c>
      <c r="O4110" s="25">
        <f>IF(J4110&gt;600,1,0)</f>
        <v/>
      </c>
      <c r="P4110" s="25">
        <f>IF(H4110&gt;0,J4110,"")</f>
        <v/>
      </c>
      <c r="Q4110" s="25">
        <f>TEXT(A4110,"YYYY-MM-DD HH")</f>
        <v/>
      </c>
      <c r="R4110" s="25">
        <f>COUNTIF($Q$2:$Q$5295,Q4110)</f>
        <v/>
      </c>
      <c r="S4110" s="25">
        <f>IF(R4110&lt;=2,"1-2",IF(R4110&lt;=5,"3-5",IF(R4110&lt;=10,"6-10","11+")))</f>
        <v/>
      </c>
    </row>
    <row r="4111">
      <c r="A4111" s="39" t="n">
        <v>46220.07302083333</v>
      </c>
      <c r="B4111" s="25">
        <f>TEXT(A4111,"YYYY-MM")</f>
        <v/>
      </c>
      <c r="C4111" s="25">
        <f>TEXT(A4111,"MMM-YYYY")</f>
        <v/>
      </c>
      <c r="D4111" s="40">
        <f>INT(A4111)-WEEKDAY(A4111,2)+1</f>
        <v/>
      </c>
      <c r="E4111" s="25" t="inlineStr">
        <is>
          <t>npriya</t>
        </is>
      </c>
      <c r="F4111" s="25" t="n">
        <v>132284</v>
      </c>
      <c r="G4111" s="25" t="n">
        <v>4</v>
      </c>
      <c r="H4111" s="25" t="n">
        <v>26</v>
      </c>
      <c r="I4111" s="25" t="inlineStr">
        <is>
          <t>2 minute(s) and 52 second(s)</t>
        </is>
      </c>
      <c r="J4111" s="25">
        <f>IFERROR(VALUE(TRIM(LEFT(I4111,FIND("minute",I4111)-1)))*60,0)+IFERROR(VALUE(SUBSTITUTE(MID(I4111,IFERROR(FIND("and",I4111)+3,1),20),"second(s)","")),0)</f>
        <v/>
      </c>
      <c r="K4111" s="41">
        <f>J4111/60</f>
        <v/>
      </c>
      <c r="L4111" s="41">
        <f>IFERROR(J4111/H4111,"")</f>
        <v/>
      </c>
      <c r="M4111" s="25" t="inlineStr">
        <is>
          <t>2.5.12</t>
        </is>
      </c>
      <c r="N4111" s="25">
        <f>IF(J4111&gt;300,1,0)</f>
        <v/>
      </c>
      <c r="O4111" s="25">
        <f>IF(J4111&gt;600,1,0)</f>
        <v/>
      </c>
      <c r="P4111" s="25">
        <f>IF(H4111&gt;0,J4111,"")</f>
        <v/>
      </c>
      <c r="Q4111" s="25">
        <f>TEXT(A4111,"YYYY-MM-DD HH")</f>
        <v/>
      </c>
      <c r="R4111" s="25">
        <f>COUNTIF($Q$2:$Q$5295,Q4111)</f>
        <v/>
      </c>
      <c r="S4111" s="25">
        <f>IF(R4111&lt;=2,"1-2",IF(R4111&lt;=5,"3-5",IF(R4111&lt;=10,"6-10","11+")))</f>
        <v/>
      </c>
    </row>
    <row r="4112">
      <c r="A4112" s="39" t="n">
        <v>46220.07416666667</v>
      </c>
      <c r="B4112" s="25">
        <f>TEXT(A4112,"YYYY-MM")</f>
        <v/>
      </c>
      <c r="C4112" s="25">
        <f>TEXT(A4112,"MMM-YYYY")</f>
        <v/>
      </c>
      <c r="D4112" s="40">
        <f>INT(A4112)-WEEKDAY(A4112,2)+1</f>
        <v/>
      </c>
      <c r="E4112" s="25" t="inlineStr">
        <is>
          <t>ns</t>
        </is>
      </c>
      <c r="F4112" s="25" t="n">
        <v>128098</v>
      </c>
      <c r="G4112" s="25" t="n">
        <v>4</v>
      </c>
      <c r="H4112" s="25" t="n">
        <v>20</v>
      </c>
      <c r="I4112" s="25" t="inlineStr">
        <is>
          <t>1 minute(s) and 38 second(s)</t>
        </is>
      </c>
      <c r="J4112" s="25">
        <f>IFERROR(VALUE(TRIM(LEFT(I4112,FIND("minute",I4112)-1)))*60,0)+IFERROR(VALUE(SUBSTITUTE(MID(I4112,IFERROR(FIND("and",I4112)+3,1),20),"second(s)","")),0)</f>
        <v/>
      </c>
      <c r="K4112" s="41">
        <f>J4112/60</f>
        <v/>
      </c>
      <c r="L4112" s="41">
        <f>IFERROR(J4112/H4112,"")</f>
        <v/>
      </c>
      <c r="M4112" s="25" t="inlineStr">
        <is>
          <t>2.5.12</t>
        </is>
      </c>
      <c r="N4112" s="25">
        <f>IF(J4112&gt;300,1,0)</f>
        <v/>
      </c>
      <c r="O4112" s="25">
        <f>IF(J4112&gt;600,1,0)</f>
        <v/>
      </c>
      <c r="P4112" s="25">
        <f>IF(H4112&gt;0,J4112,"")</f>
        <v/>
      </c>
      <c r="Q4112" s="25">
        <f>TEXT(A4112,"YYYY-MM-DD HH")</f>
        <v/>
      </c>
      <c r="R4112" s="25">
        <f>COUNTIF($Q$2:$Q$5295,Q4112)</f>
        <v/>
      </c>
      <c r="S4112" s="25">
        <f>IF(R4112&lt;=2,"1-2",IF(R4112&lt;=5,"3-5",IF(R4112&lt;=10,"6-10","11+")))</f>
        <v/>
      </c>
    </row>
    <row r="4113">
      <c r="A4113" s="39" t="n">
        <v>46220.07835648148</v>
      </c>
      <c r="B4113" s="25">
        <f>TEXT(A4113,"YYYY-MM")</f>
        <v/>
      </c>
      <c r="C4113" s="25">
        <f>TEXT(A4113,"MMM-YYYY")</f>
        <v/>
      </c>
      <c r="D4113" s="40">
        <f>INT(A4113)-WEEKDAY(A4113,2)+1</f>
        <v/>
      </c>
      <c r="E4113" s="25" t="inlineStr">
        <is>
          <t>aupadhayay</t>
        </is>
      </c>
      <c r="F4113" s="25" t="n">
        <v>129977</v>
      </c>
      <c r="G4113" s="25" t="n">
        <v>2</v>
      </c>
      <c r="H4113" s="25" t="n">
        <v>10</v>
      </c>
      <c r="I4113" s="25" t="inlineStr">
        <is>
          <t>1 minute(s) and 54 second(s)</t>
        </is>
      </c>
      <c r="J4113" s="25">
        <f>IFERROR(VALUE(TRIM(LEFT(I4113,FIND("minute",I4113)-1)))*60,0)+IFERROR(VALUE(SUBSTITUTE(MID(I4113,IFERROR(FIND("and",I4113)+3,1),20),"second(s)","")),0)</f>
        <v/>
      </c>
      <c r="K4113" s="41">
        <f>J4113/60</f>
        <v/>
      </c>
      <c r="L4113" s="41">
        <f>IFERROR(J4113/H4113,"")</f>
        <v/>
      </c>
      <c r="M4113" s="25" t="inlineStr">
        <is>
          <t>2.5.12</t>
        </is>
      </c>
      <c r="N4113" s="25">
        <f>IF(J4113&gt;300,1,0)</f>
        <v/>
      </c>
      <c r="O4113" s="25">
        <f>IF(J4113&gt;600,1,0)</f>
        <v/>
      </c>
      <c r="P4113" s="25">
        <f>IF(H4113&gt;0,J4113,"")</f>
        <v/>
      </c>
      <c r="Q4113" s="25">
        <f>TEXT(A4113,"YYYY-MM-DD HH")</f>
        <v/>
      </c>
      <c r="R4113" s="25">
        <f>COUNTIF($Q$2:$Q$5295,Q4113)</f>
        <v/>
      </c>
      <c r="S4113" s="25">
        <f>IF(R4113&lt;=2,"1-2",IF(R4113&lt;=5,"3-5",IF(R4113&lt;=10,"6-10","11+")))</f>
        <v/>
      </c>
    </row>
    <row r="4114">
      <c r="A4114" s="39" t="n">
        <v>46220.09334490741</v>
      </c>
      <c r="B4114" s="25">
        <f>TEXT(A4114,"YYYY-MM")</f>
        <v/>
      </c>
      <c r="C4114" s="25">
        <f>TEXT(A4114,"MMM-YYYY")</f>
        <v/>
      </c>
      <c r="D4114" s="40">
        <f>INT(A4114)-WEEKDAY(A4114,2)+1</f>
        <v/>
      </c>
      <c r="E4114" s="25" t="inlineStr">
        <is>
          <t>atiwari</t>
        </is>
      </c>
      <c r="F4114" s="25" t="n">
        <v>130033</v>
      </c>
      <c r="G4114" s="25" t="n">
        <v>1</v>
      </c>
      <c r="H4114" s="25" t="n">
        <v>8</v>
      </c>
      <c r="I4114" s="25" t="inlineStr">
        <is>
          <t>42 second(s)</t>
        </is>
      </c>
      <c r="J4114" s="25">
        <f>IFERROR(VALUE(TRIM(LEFT(I4114,FIND("minute",I4114)-1)))*60,0)+IFERROR(VALUE(SUBSTITUTE(MID(I4114,IFERROR(FIND("and",I4114)+3,1),20),"second(s)","")),0)</f>
        <v/>
      </c>
      <c r="K4114" s="41">
        <f>J4114/60</f>
        <v/>
      </c>
      <c r="L4114" s="41">
        <f>IFERROR(J4114/H4114,"")</f>
        <v/>
      </c>
      <c r="M4114" s="25" t="inlineStr">
        <is>
          <t>2.5.12</t>
        </is>
      </c>
      <c r="N4114" s="25">
        <f>IF(J4114&gt;300,1,0)</f>
        <v/>
      </c>
      <c r="O4114" s="25">
        <f>IF(J4114&gt;600,1,0)</f>
        <v/>
      </c>
      <c r="P4114" s="25">
        <f>IF(H4114&gt;0,J4114,"")</f>
        <v/>
      </c>
      <c r="Q4114" s="25">
        <f>TEXT(A4114,"YYYY-MM-DD HH")</f>
        <v/>
      </c>
      <c r="R4114" s="25">
        <f>COUNTIF($Q$2:$Q$5295,Q4114)</f>
        <v/>
      </c>
      <c r="S4114" s="25">
        <f>IF(R4114&lt;=2,"1-2",IF(R4114&lt;=5,"3-5",IF(R4114&lt;=10,"6-10","11+")))</f>
        <v/>
      </c>
    </row>
    <row r="4115">
      <c r="A4115" s="39" t="n">
        <v>46220.09393518518</v>
      </c>
      <c r="B4115" s="25">
        <f>TEXT(A4115,"YYYY-MM")</f>
        <v/>
      </c>
      <c r="C4115" s="25">
        <f>TEXT(A4115,"MMM-YYYY")</f>
        <v/>
      </c>
      <c r="D4115" s="40">
        <f>INT(A4115)-WEEKDAY(A4115,2)+1</f>
        <v/>
      </c>
      <c r="E4115" s="25" t="inlineStr">
        <is>
          <t>ssneha</t>
        </is>
      </c>
      <c r="F4115" s="25" t="n">
        <v>131503</v>
      </c>
      <c r="G4115" s="25" t="n">
        <v>4</v>
      </c>
      <c r="H4115" s="25" t="n">
        <v>20</v>
      </c>
      <c r="I4115" s="25" t="inlineStr">
        <is>
          <t>1 minute(s) and 50 second(s)</t>
        </is>
      </c>
      <c r="J4115" s="25">
        <f>IFERROR(VALUE(TRIM(LEFT(I4115,FIND("minute",I4115)-1)))*60,0)+IFERROR(VALUE(SUBSTITUTE(MID(I4115,IFERROR(FIND("and",I4115)+3,1),20),"second(s)","")),0)</f>
        <v/>
      </c>
      <c r="K4115" s="41">
        <f>J4115/60</f>
        <v/>
      </c>
      <c r="L4115" s="41">
        <f>IFERROR(J4115/H4115,"")</f>
        <v/>
      </c>
      <c r="M4115" s="25" t="inlineStr">
        <is>
          <t>2.5.12</t>
        </is>
      </c>
      <c r="N4115" s="25">
        <f>IF(J4115&gt;300,1,0)</f>
        <v/>
      </c>
      <c r="O4115" s="25">
        <f>IF(J4115&gt;600,1,0)</f>
        <v/>
      </c>
      <c r="P4115" s="25">
        <f>IF(H4115&gt;0,J4115,"")</f>
        <v/>
      </c>
      <c r="Q4115" s="25">
        <f>TEXT(A4115,"YYYY-MM-DD HH")</f>
        <v/>
      </c>
      <c r="R4115" s="25">
        <f>COUNTIF($Q$2:$Q$5295,Q4115)</f>
        <v/>
      </c>
      <c r="S4115" s="25">
        <f>IF(R4115&lt;=2,"1-2",IF(R4115&lt;=5,"3-5",IF(R4115&lt;=10,"6-10","11+")))</f>
        <v/>
      </c>
    </row>
    <row r="4116">
      <c r="A4116" s="39" t="n">
        <v>46220.09782407407</v>
      </c>
      <c r="B4116" s="25">
        <f>TEXT(A4116,"YYYY-MM")</f>
        <v/>
      </c>
      <c r="C4116" s="25">
        <f>TEXT(A4116,"MMM-YYYY")</f>
        <v/>
      </c>
      <c r="D4116" s="40">
        <f>INT(A4116)-WEEKDAY(A4116,2)+1</f>
        <v/>
      </c>
      <c r="E4116" s="25" t="inlineStr">
        <is>
          <t>asahoo</t>
        </is>
      </c>
      <c r="F4116" s="25" t="n">
        <v>131884</v>
      </c>
      <c r="G4116" s="25" t="n">
        <v>1</v>
      </c>
      <c r="H4116" s="25" t="n">
        <v>5</v>
      </c>
      <c r="I4116" s="25" t="inlineStr">
        <is>
          <t>1 minute(s) and 45 second(s)</t>
        </is>
      </c>
      <c r="J4116" s="25">
        <f>IFERROR(VALUE(TRIM(LEFT(I4116,FIND("minute",I4116)-1)))*60,0)+IFERROR(VALUE(SUBSTITUTE(MID(I4116,IFERROR(FIND("and",I4116)+3,1),20),"second(s)","")),0)</f>
        <v/>
      </c>
      <c r="K4116" s="41">
        <f>J4116/60</f>
        <v/>
      </c>
      <c r="L4116" s="41">
        <f>IFERROR(J4116/H4116,"")</f>
        <v/>
      </c>
      <c r="M4116" s="25" t="inlineStr">
        <is>
          <t>2.5.12</t>
        </is>
      </c>
      <c r="N4116" s="25">
        <f>IF(J4116&gt;300,1,0)</f>
        <v/>
      </c>
      <c r="O4116" s="25">
        <f>IF(J4116&gt;600,1,0)</f>
        <v/>
      </c>
      <c r="P4116" s="25">
        <f>IF(H4116&gt;0,J4116,"")</f>
        <v/>
      </c>
      <c r="Q4116" s="25">
        <f>TEXT(A4116,"YYYY-MM-DD HH")</f>
        <v/>
      </c>
      <c r="R4116" s="25">
        <f>COUNTIF($Q$2:$Q$5295,Q4116)</f>
        <v/>
      </c>
      <c r="S4116" s="25">
        <f>IF(R4116&lt;=2,"1-2",IF(R4116&lt;=5,"3-5",IF(R4116&lt;=10,"6-10","11+")))</f>
        <v/>
      </c>
    </row>
    <row r="4117">
      <c r="A4117" s="39" t="n">
        <v>46220.10770833334</v>
      </c>
      <c r="B4117" s="25">
        <f>TEXT(A4117,"YYYY-MM")</f>
        <v/>
      </c>
      <c r="C4117" s="25">
        <f>TEXT(A4117,"MMM-YYYY")</f>
        <v/>
      </c>
      <c r="D4117" s="40">
        <f>INT(A4117)-WEEKDAY(A4117,2)+1</f>
        <v/>
      </c>
      <c r="E4117" s="25" t="inlineStr">
        <is>
          <t>smukhopadhyay</t>
        </is>
      </c>
      <c r="F4117" s="25" t="n">
        <v>130196</v>
      </c>
      <c r="G4117" s="25" t="n">
        <v>4</v>
      </c>
      <c r="H4117" s="25" t="n">
        <v>26</v>
      </c>
      <c r="I4117" s="25" t="inlineStr">
        <is>
          <t>3 minute(s) and 41 second(s)</t>
        </is>
      </c>
      <c r="J4117" s="25">
        <f>IFERROR(VALUE(TRIM(LEFT(I4117,FIND("minute",I4117)-1)))*60,0)+IFERROR(VALUE(SUBSTITUTE(MID(I4117,IFERROR(FIND("and",I4117)+3,1),20),"second(s)","")),0)</f>
        <v/>
      </c>
      <c r="K4117" s="41">
        <f>J4117/60</f>
        <v/>
      </c>
      <c r="L4117" s="41">
        <f>IFERROR(J4117/H4117,"")</f>
        <v/>
      </c>
      <c r="M4117" s="25" t="inlineStr">
        <is>
          <t>2.5.12</t>
        </is>
      </c>
      <c r="N4117" s="25">
        <f>IF(J4117&gt;300,1,0)</f>
        <v/>
      </c>
      <c r="O4117" s="25">
        <f>IF(J4117&gt;600,1,0)</f>
        <v/>
      </c>
      <c r="P4117" s="25">
        <f>IF(H4117&gt;0,J4117,"")</f>
        <v/>
      </c>
      <c r="Q4117" s="25">
        <f>TEXT(A4117,"YYYY-MM-DD HH")</f>
        <v/>
      </c>
      <c r="R4117" s="25">
        <f>COUNTIF($Q$2:$Q$5295,Q4117)</f>
        <v/>
      </c>
      <c r="S4117" s="25">
        <f>IF(R4117&lt;=2,"1-2",IF(R4117&lt;=5,"3-5",IF(R4117&lt;=10,"6-10","11+")))</f>
        <v/>
      </c>
    </row>
    <row r="4118">
      <c r="A4118" s="39" t="n">
        <v>46220.11421296297</v>
      </c>
      <c r="B4118" s="25">
        <f>TEXT(A4118,"YYYY-MM")</f>
        <v/>
      </c>
      <c r="C4118" s="25">
        <f>TEXT(A4118,"MMM-YYYY")</f>
        <v/>
      </c>
      <c r="D4118" s="40">
        <f>INT(A4118)-WEEKDAY(A4118,2)+1</f>
        <v/>
      </c>
      <c r="E4118" s="25" t="inlineStr">
        <is>
          <t>ethomas</t>
        </is>
      </c>
      <c r="F4118" s="25" t="n">
        <v>131877</v>
      </c>
      <c r="G4118" s="25" t="n">
        <v>2</v>
      </c>
      <c r="H4118" s="25" t="n">
        <v>12</v>
      </c>
      <c r="I4118" s="25" t="inlineStr">
        <is>
          <t>1 minute(s) and 9 second(s)</t>
        </is>
      </c>
      <c r="J4118" s="25">
        <f>IFERROR(VALUE(TRIM(LEFT(I4118,FIND("minute",I4118)-1)))*60,0)+IFERROR(VALUE(SUBSTITUTE(MID(I4118,IFERROR(FIND("and",I4118)+3,1),20),"second(s)","")),0)</f>
        <v/>
      </c>
      <c r="K4118" s="41">
        <f>J4118/60</f>
        <v/>
      </c>
      <c r="L4118" s="41">
        <f>IFERROR(J4118/H4118,"")</f>
        <v/>
      </c>
      <c r="M4118" s="25" t="inlineStr">
        <is>
          <t>2.5.12</t>
        </is>
      </c>
      <c r="N4118" s="25">
        <f>IF(J4118&gt;300,1,0)</f>
        <v/>
      </c>
      <c r="O4118" s="25">
        <f>IF(J4118&gt;600,1,0)</f>
        <v/>
      </c>
      <c r="P4118" s="25">
        <f>IF(H4118&gt;0,J4118,"")</f>
        <v/>
      </c>
      <c r="Q4118" s="25">
        <f>TEXT(A4118,"YYYY-MM-DD HH")</f>
        <v/>
      </c>
      <c r="R4118" s="25">
        <f>COUNTIF($Q$2:$Q$5295,Q4118)</f>
        <v/>
      </c>
      <c r="S4118" s="25">
        <f>IF(R4118&lt;=2,"1-2",IF(R4118&lt;=5,"3-5",IF(R4118&lt;=10,"6-10","11+")))</f>
        <v/>
      </c>
    </row>
    <row r="4119">
      <c r="A4119" s="39" t="n">
        <v>46220.1321875</v>
      </c>
      <c r="B4119" s="25">
        <f>TEXT(A4119,"YYYY-MM")</f>
        <v/>
      </c>
      <c r="C4119" s="25">
        <f>TEXT(A4119,"MMM-YYYY")</f>
        <v/>
      </c>
      <c r="D4119" s="40">
        <f>INT(A4119)-WEEKDAY(A4119,2)+1</f>
        <v/>
      </c>
      <c r="E4119" s="25" t="inlineStr">
        <is>
          <t>atiwari</t>
        </is>
      </c>
      <c r="F4119" s="25" t="n">
        <v>131977</v>
      </c>
      <c r="G4119" s="25" t="n">
        <v>1</v>
      </c>
      <c r="H4119" s="25" t="n">
        <v>5</v>
      </c>
      <c r="I4119" s="25" t="inlineStr">
        <is>
          <t>23 second(s)</t>
        </is>
      </c>
      <c r="J4119" s="25">
        <f>IFERROR(VALUE(TRIM(LEFT(I4119,FIND("minute",I4119)-1)))*60,0)+IFERROR(VALUE(SUBSTITUTE(MID(I4119,IFERROR(FIND("and",I4119)+3,1),20),"second(s)","")),0)</f>
        <v/>
      </c>
      <c r="K4119" s="41">
        <f>J4119/60</f>
        <v/>
      </c>
      <c r="L4119" s="41">
        <f>IFERROR(J4119/H4119,"")</f>
        <v/>
      </c>
      <c r="M4119" s="25" t="inlineStr">
        <is>
          <t>2.5.12</t>
        </is>
      </c>
      <c r="N4119" s="25">
        <f>IF(J4119&gt;300,1,0)</f>
        <v/>
      </c>
      <c r="O4119" s="25">
        <f>IF(J4119&gt;600,1,0)</f>
        <v/>
      </c>
      <c r="P4119" s="25">
        <f>IF(H4119&gt;0,J4119,"")</f>
        <v/>
      </c>
      <c r="Q4119" s="25">
        <f>TEXT(A4119,"YYYY-MM-DD HH")</f>
        <v/>
      </c>
      <c r="R4119" s="25">
        <f>COUNTIF($Q$2:$Q$5295,Q4119)</f>
        <v/>
      </c>
      <c r="S4119" s="25">
        <f>IF(R4119&lt;=2,"1-2",IF(R4119&lt;=5,"3-5",IF(R4119&lt;=10,"6-10","11+")))</f>
        <v/>
      </c>
    </row>
    <row r="4120">
      <c r="A4120" s="39" t="n">
        <v>46220.13476851852</v>
      </c>
      <c r="B4120" s="25">
        <f>TEXT(A4120,"YYYY-MM")</f>
        <v/>
      </c>
      <c r="C4120" s="25">
        <f>TEXT(A4120,"MMM-YYYY")</f>
        <v/>
      </c>
      <c r="D4120" s="40">
        <f>INT(A4120)-WEEKDAY(A4120,2)+1</f>
        <v/>
      </c>
      <c r="E4120" s="25" t="inlineStr">
        <is>
          <t>ns</t>
        </is>
      </c>
      <c r="F4120" s="25" t="n">
        <v>128074</v>
      </c>
      <c r="G4120" s="25" t="n">
        <v>4</v>
      </c>
      <c r="H4120" s="25" t="n">
        <v>20</v>
      </c>
      <c r="I4120" s="25" t="inlineStr">
        <is>
          <t>2 minute(s) and 5 second(s)</t>
        </is>
      </c>
      <c r="J4120" s="25">
        <f>IFERROR(VALUE(TRIM(LEFT(I4120,FIND("minute",I4120)-1)))*60,0)+IFERROR(VALUE(SUBSTITUTE(MID(I4120,IFERROR(FIND("and",I4120)+3,1),20),"second(s)","")),0)</f>
        <v/>
      </c>
      <c r="K4120" s="41">
        <f>J4120/60</f>
        <v/>
      </c>
      <c r="L4120" s="41">
        <f>IFERROR(J4120/H4120,"")</f>
        <v/>
      </c>
      <c r="M4120" s="25" t="inlineStr">
        <is>
          <t>2.5.12</t>
        </is>
      </c>
      <c r="N4120" s="25">
        <f>IF(J4120&gt;300,1,0)</f>
        <v/>
      </c>
      <c r="O4120" s="25">
        <f>IF(J4120&gt;600,1,0)</f>
        <v/>
      </c>
      <c r="P4120" s="25">
        <f>IF(H4120&gt;0,J4120,"")</f>
        <v/>
      </c>
      <c r="Q4120" s="25">
        <f>TEXT(A4120,"YYYY-MM-DD HH")</f>
        <v/>
      </c>
      <c r="R4120" s="25">
        <f>COUNTIF($Q$2:$Q$5295,Q4120)</f>
        <v/>
      </c>
      <c r="S4120" s="25">
        <f>IF(R4120&lt;=2,"1-2",IF(R4120&lt;=5,"3-5",IF(R4120&lt;=10,"6-10","11+")))</f>
        <v/>
      </c>
    </row>
    <row r="4121">
      <c r="A4121" s="39" t="n">
        <v>46220.13824074074</v>
      </c>
      <c r="B4121" s="25">
        <f>TEXT(A4121,"YYYY-MM")</f>
        <v/>
      </c>
      <c r="C4121" s="25">
        <f>TEXT(A4121,"MMM-YYYY")</f>
        <v/>
      </c>
      <c r="D4121" s="40">
        <f>INT(A4121)-WEEKDAY(A4121,2)+1</f>
        <v/>
      </c>
      <c r="E4121" s="25" t="inlineStr">
        <is>
          <t>apriyadarshi</t>
        </is>
      </c>
      <c r="F4121" s="25" t="n">
        <v>128425</v>
      </c>
      <c r="G4121" s="25" t="n">
        <v>4</v>
      </c>
      <c r="H4121" s="25" t="n">
        <v>14</v>
      </c>
      <c r="I4121" s="25" t="inlineStr">
        <is>
          <t>1 minute(s) and 29 second(s)</t>
        </is>
      </c>
      <c r="J4121" s="25">
        <f>IFERROR(VALUE(TRIM(LEFT(I4121,FIND("minute",I4121)-1)))*60,0)+IFERROR(VALUE(SUBSTITUTE(MID(I4121,IFERROR(FIND("and",I4121)+3,1),20),"second(s)","")),0)</f>
        <v/>
      </c>
      <c r="K4121" s="41">
        <f>J4121/60</f>
        <v/>
      </c>
      <c r="L4121" s="41">
        <f>IFERROR(J4121/H4121,"")</f>
        <v/>
      </c>
      <c r="M4121" s="25" t="inlineStr">
        <is>
          <t>2.5.12</t>
        </is>
      </c>
      <c r="N4121" s="25">
        <f>IF(J4121&gt;300,1,0)</f>
        <v/>
      </c>
      <c r="O4121" s="25">
        <f>IF(J4121&gt;600,1,0)</f>
        <v/>
      </c>
      <c r="P4121" s="25">
        <f>IF(H4121&gt;0,J4121,"")</f>
        <v/>
      </c>
      <c r="Q4121" s="25">
        <f>TEXT(A4121,"YYYY-MM-DD HH")</f>
        <v/>
      </c>
      <c r="R4121" s="25">
        <f>COUNTIF($Q$2:$Q$5295,Q4121)</f>
        <v/>
      </c>
      <c r="S4121" s="25">
        <f>IF(R4121&lt;=2,"1-2",IF(R4121&lt;=5,"3-5",IF(R4121&lt;=10,"6-10","11+")))</f>
        <v/>
      </c>
    </row>
    <row r="4122">
      <c r="A4122" s="39" t="n">
        <v>46220.1496412037</v>
      </c>
      <c r="B4122" s="25">
        <f>TEXT(A4122,"YYYY-MM")</f>
        <v/>
      </c>
      <c r="C4122" s="25">
        <f>TEXT(A4122,"MMM-YYYY")</f>
        <v/>
      </c>
      <c r="D4122" s="40">
        <f>INT(A4122)-WEEKDAY(A4122,2)+1</f>
        <v/>
      </c>
      <c r="E4122" s="25" t="inlineStr">
        <is>
          <t>aupadhayay</t>
        </is>
      </c>
      <c r="F4122" s="25" t="n">
        <v>130073</v>
      </c>
      <c r="G4122" s="25" t="n">
        <v>5</v>
      </c>
      <c r="H4122" s="25" t="n">
        <v>25</v>
      </c>
      <c r="I4122" s="25" t="inlineStr">
        <is>
          <t>3 minute(s) and 10 second(s)</t>
        </is>
      </c>
      <c r="J4122" s="25">
        <f>IFERROR(VALUE(TRIM(LEFT(I4122,FIND("minute",I4122)-1)))*60,0)+IFERROR(VALUE(SUBSTITUTE(MID(I4122,IFERROR(FIND("and",I4122)+3,1),20),"second(s)","")),0)</f>
        <v/>
      </c>
      <c r="K4122" s="41">
        <f>J4122/60</f>
        <v/>
      </c>
      <c r="L4122" s="41">
        <f>IFERROR(J4122/H4122,"")</f>
        <v/>
      </c>
      <c r="M4122" s="25" t="inlineStr">
        <is>
          <t>2.5.12</t>
        </is>
      </c>
      <c r="N4122" s="25">
        <f>IF(J4122&gt;300,1,0)</f>
        <v/>
      </c>
      <c r="O4122" s="25">
        <f>IF(J4122&gt;600,1,0)</f>
        <v/>
      </c>
      <c r="P4122" s="25">
        <f>IF(H4122&gt;0,J4122,"")</f>
        <v/>
      </c>
      <c r="Q4122" s="25">
        <f>TEXT(A4122,"YYYY-MM-DD HH")</f>
        <v/>
      </c>
      <c r="R4122" s="25">
        <f>COUNTIF($Q$2:$Q$5295,Q4122)</f>
        <v/>
      </c>
      <c r="S4122" s="25">
        <f>IF(R4122&lt;=2,"1-2",IF(R4122&lt;=5,"3-5",IF(R4122&lt;=10,"6-10","11+")))</f>
        <v/>
      </c>
    </row>
    <row r="4123">
      <c r="A4123" s="39" t="n">
        <v>46220.15142361111</v>
      </c>
      <c r="B4123" s="25">
        <f>TEXT(A4123,"YYYY-MM")</f>
        <v/>
      </c>
      <c r="C4123" s="25">
        <f>TEXT(A4123,"MMM-YYYY")</f>
        <v/>
      </c>
      <c r="D4123" s="40">
        <f>INT(A4123)-WEEKDAY(A4123,2)+1</f>
        <v/>
      </c>
      <c r="E4123" s="25" t="inlineStr">
        <is>
          <t>psathwika</t>
        </is>
      </c>
      <c r="F4123" s="25" t="n">
        <v>131760</v>
      </c>
      <c r="G4123" s="25" t="n">
        <v>4</v>
      </c>
      <c r="H4123" s="25" t="n">
        <v>21</v>
      </c>
      <c r="I4123" s="25" t="inlineStr">
        <is>
          <t>2 minute(s) and 6 second(s)</t>
        </is>
      </c>
      <c r="J4123" s="25">
        <f>IFERROR(VALUE(TRIM(LEFT(I4123,FIND("minute",I4123)-1)))*60,0)+IFERROR(VALUE(SUBSTITUTE(MID(I4123,IFERROR(FIND("and",I4123)+3,1),20),"second(s)","")),0)</f>
        <v/>
      </c>
      <c r="K4123" s="41">
        <f>J4123/60</f>
        <v/>
      </c>
      <c r="L4123" s="41">
        <f>IFERROR(J4123/H4123,"")</f>
        <v/>
      </c>
      <c r="M4123" s="25" t="inlineStr">
        <is>
          <t>2.5.12</t>
        </is>
      </c>
      <c r="N4123" s="25">
        <f>IF(J4123&gt;300,1,0)</f>
        <v/>
      </c>
      <c r="O4123" s="25">
        <f>IF(J4123&gt;600,1,0)</f>
        <v/>
      </c>
      <c r="P4123" s="25">
        <f>IF(H4123&gt;0,J4123,"")</f>
        <v/>
      </c>
      <c r="Q4123" s="25">
        <f>TEXT(A4123,"YYYY-MM-DD HH")</f>
        <v/>
      </c>
      <c r="R4123" s="25">
        <f>COUNTIF($Q$2:$Q$5295,Q4123)</f>
        <v/>
      </c>
      <c r="S4123" s="25">
        <f>IF(R4123&lt;=2,"1-2",IF(R4123&lt;=5,"3-5",IF(R4123&lt;=10,"6-10","11+")))</f>
        <v/>
      </c>
    </row>
    <row r="4124">
      <c r="A4124" s="39" t="n">
        <v>46220.16738425926</v>
      </c>
      <c r="B4124" s="25">
        <f>TEXT(A4124,"YYYY-MM")</f>
        <v/>
      </c>
      <c r="C4124" s="25">
        <f>TEXT(A4124,"MMM-YYYY")</f>
        <v/>
      </c>
      <c r="D4124" s="40">
        <f>INT(A4124)-WEEKDAY(A4124,2)+1</f>
        <v/>
      </c>
      <c r="E4124" s="25" t="inlineStr">
        <is>
          <t>shasikha</t>
        </is>
      </c>
      <c r="F4124" s="25" t="n">
        <v>130179</v>
      </c>
      <c r="G4124" s="25" t="n">
        <v>4</v>
      </c>
      <c r="H4124" s="25" t="n">
        <v>16</v>
      </c>
      <c r="I4124" s="25" t="inlineStr">
        <is>
          <t>2 minute(s) and 18 second(s)</t>
        </is>
      </c>
      <c r="J4124" s="25">
        <f>IFERROR(VALUE(TRIM(LEFT(I4124,FIND("minute",I4124)-1)))*60,0)+IFERROR(VALUE(SUBSTITUTE(MID(I4124,IFERROR(FIND("and",I4124)+3,1),20),"second(s)","")),0)</f>
        <v/>
      </c>
      <c r="K4124" s="41">
        <f>J4124/60</f>
        <v/>
      </c>
      <c r="L4124" s="41">
        <f>IFERROR(J4124/H4124,"")</f>
        <v/>
      </c>
      <c r="M4124" s="25" t="inlineStr">
        <is>
          <t>2.5.12</t>
        </is>
      </c>
      <c r="N4124" s="25">
        <f>IF(J4124&gt;300,1,0)</f>
        <v/>
      </c>
      <c r="O4124" s="25">
        <f>IF(J4124&gt;600,1,0)</f>
        <v/>
      </c>
      <c r="P4124" s="25">
        <f>IF(H4124&gt;0,J4124,"")</f>
        <v/>
      </c>
      <c r="Q4124" s="25">
        <f>TEXT(A4124,"YYYY-MM-DD HH")</f>
        <v/>
      </c>
      <c r="R4124" s="25">
        <f>COUNTIF($Q$2:$Q$5295,Q4124)</f>
        <v/>
      </c>
      <c r="S4124" s="25">
        <f>IF(R4124&lt;=2,"1-2",IF(R4124&lt;=5,"3-5",IF(R4124&lt;=10,"6-10","11+")))</f>
        <v/>
      </c>
    </row>
    <row r="4125">
      <c r="A4125" s="39" t="n">
        <v>46220.16907407407</v>
      </c>
      <c r="B4125" s="25">
        <f>TEXT(A4125,"YYYY-MM")</f>
        <v/>
      </c>
      <c r="C4125" s="25">
        <f>TEXT(A4125,"MMM-YYYY")</f>
        <v/>
      </c>
      <c r="D4125" s="40">
        <f>INT(A4125)-WEEKDAY(A4125,2)+1</f>
        <v/>
      </c>
      <c r="E4125" s="25" t="inlineStr">
        <is>
          <t>asahoo</t>
        </is>
      </c>
      <c r="F4125" s="25" t="n">
        <v>131788</v>
      </c>
      <c r="G4125" s="25" t="n">
        <v>4</v>
      </c>
      <c r="H4125" s="25" t="n">
        <v>26</v>
      </c>
      <c r="I4125" s="25" t="inlineStr">
        <is>
          <t>4 minute(s) and 24 second(s)</t>
        </is>
      </c>
      <c r="J4125" s="25">
        <f>IFERROR(VALUE(TRIM(LEFT(I4125,FIND("minute",I4125)-1)))*60,0)+IFERROR(VALUE(SUBSTITUTE(MID(I4125,IFERROR(FIND("and",I4125)+3,1),20),"second(s)","")),0)</f>
        <v/>
      </c>
      <c r="K4125" s="41">
        <f>J4125/60</f>
        <v/>
      </c>
      <c r="L4125" s="41">
        <f>IFERROR(J4125/H4125,"")</f>
        <v/>
      </c>
      <c r="M4125" s="25" t="inlineStr">
        <is>
          <t>2.5.12</t>
        </is>
      </c>
      <c r="N4125" s="25">
        <f>IF(J4125&gt;300,1,0)</f>
        <v/>
      </c>
      <c r="O4125" s="25">
        <f>IF(J4125&gt;600,1,0)</f>
        <v/>
      </c>
      <c r="P4125" s="25">
        <f>IF(H4125&gt;0,J4125,"")</f>
        <v/>
      </c>
      <c r="Q4125" s="25">
        <f>TEXT(A4125,"YYYY-MM-DD HH")</f>
        <v/>
      </c>
      <c r="R4125" s="25">
        <f>COUNTIF($Q$2:$Q$5295,Q4125)</f>
        <v/>
      </c>
      <c r="S4125" s="25">
        <f>IF(R4125&lt;=2,"1-2",IF(R4125&lt;=5,"3-5",IF(R4125&lt;=10,"6-10","11+")))</f>
        <v/>
      </c>
    </row>
    <row r="4126">
      <c r="A4126" s="39" t="n">
        <v>46220.17738425926</v>
      </c>
      <c r="B4126" s="25">
        <f>TEXT(A4126,"YYYY-MM")</f>
        <v/>
      </c>
      <c r="C4126" s="25">
        <f>TEXT(A4126,"MMM-YYYY")</f>
        <v/>
      </c>
      <c r="D4126" s="40">
        <f>INT(A4126)-WEEKDAY(A4126,2)+1</f>
        <v/>
      </c>
      <c r="E4126" s="25" t="inlineStr">
        <is>
          <t>sthomas</t>
        </is>
      </c>
      <c r="F4126" s="25" t="n">
        <v>131520</v>
      </c>
      <c r="G4126" s="25" t="n">
        <v>4</v>
      </c>
      <c r="H4126" s="25" t="n">
        <v>21</v>
      </c>
      <c r="I4126" s="25" t="inlineStr">
        <is>
          <t>2 minute(s) and 25 second(s)</t>
        </is>
      </c>
      <c r="J4126" s="25">
        <f>IFERROR(VALUE(TRIM(LEFT(I4126,FIND("minute",I4126)-1)))*60,0)+IFERROR(VALUE(SUBSTITUTE(MID(I4126,IFERROR(FIND("and",I4126)+3,1),20),"second(s)","")),0)</f>
        <v/>
      </c>
      <c r="K4126" s="41">
        <f>J4126/60</f>
        <v/>
      </c>
      <c r="L4126" s="41">
        <f>IFERROR(J4126/H4126,"")</f>
        <v/>
      </c>
      <c r="M4126" s="25" t="inlineStr">
        <is>
          <t>2.5.12</t>
        </is>
      </c>
      <c r="N4126" s="25">
        <f>IF(J4126&gt;300,1,0)</f>
        <v/>
      </c>
      <c r="O4126" s="25">
        <f>IF(J4126&gt;600,1,0)</f>
        <v/>
      </c>
      <c r="P4126" s="25">
        <f>IF(H4126&gt;0,J4126,"")</f>
        <v/>
      </c>
      <c r="Q4126" s="25">
        <f>TEXT(A4126,"YYYY-MM-DD HH")</f>
        <v/>
      </c>
      <c r="R4126" s="25">
        <f>COUNTIF($Q$2:$Q$5295,Q4126)</f>
        <v/>
      </c>
      <c r="S4126" s="25">
        <f>IF(R4126&lt;=2,"1-2",IF(R4126&lt;=5,"3-5",IF(R4126&lt;=10,"6-10","11+")))</f>
        <v/>
      </c>
    </row>
    <row r="4127">
      <c r="A4127" s="39" t="n">
        <v>46220.18053240741</v>
      </c>
      <c r="B4127" s="25">
        <f>TEXT(A4127,"YYYY-MM")</f>
        <v/>
      </c>
      <c r="C4127" s="25">
        <f>TEXT(A4127,"MMM-YYYY")</f>
        <v/>
      </c>
      <c r="D4127" s="40">
        <f>INT(A4127)-WEEKDAY(A4127,2)+1</f>
        <v/>
      </c>
      <c r="E4127" s="25" t="inlineStr">
        <is>
          <t>asahoo</t>
        </is>
      </c>
      <c r="F4127" s="25" t="n">
        <v>131788</v>
      </c>
      <c r="G4127" s="25" t="n">
        <v>1</v>
      </c>
      <c r="H4127" s="25" t="n">
        <v>7</v>
      </c>
      <c r="I4127" s="25" t="inlineStr">
        <is>
          <t>1 minute(s) and 5 second(s)</t>
        </is>
      </c>
      <c r="J4127" s="25">
        <f>IFERROR(VALUE(TRIM(LEFT(I4127,FIND("minute",I4127)-1)))*60,0)+IFERROR(VALUE(SUBSTITUTE(MID(I4127,IFERROR(FIND("and",I4127)+3,1),20),"second(s)","")),0)</f>
        <v/>
      </c>
      <c r="K4127" s="41">
        <f>J4127/60</f>
        <v/>
      </c>
      <c r="L4127" s="41">
        <f>IFERROR(J4127/H4127,"")</f>
        <v/>
      </c>
      <c r="M4127" s="25" t="inlineStr">
        <is>
          <t>2.5.12</t>
        </is>
      </c>
      <c r="N4127" s="25">
        <f>IF(J4127&gt;300,1,0)</f>
        <v/>
      </c>
      <c r="O4127" s="25">
        <f>IF(J4127&gt;600,1,0)</f>
        <v/>
      </c>
      <c r="P4127" s="25">
        <f>IF(H4127&gt;0,J4127,"")</f>
        <v/>
      </c>
      <c r="Q4127" s="25">
        <f>TEXT(A4127,"YYYY-MM-DD HH")</f>
        <v/>
      </c>
      <c r="R4127" s="25">
        <f>COUNTIF($Q$2:$Q$5295,Q4127)</f>
        <v/>
      </c>
      <c r="S4127" s="25">
        <f>IF(R4127&lt;=2,"1-2",IF(R4127&lt;=5,"3-5",IF(R4127&lt;=10,"6-10","11+")))</f>
        <v/>
      </c>
    </row>
    <row r="4128">
      <c r="A4128" s="39" t="n">
        <v>46220.18495370371</v>
      </c>
      <c r="B4128" s="25">
        <f>TEXT(A4128,"YYYY-MM")</f>
        <v/>
      </c>
      <c r="C4128" s="25">
        <f>TEXT(A4128,"MMM-YYYY")</f>
        <v/>
      </c>
      <c r="D4128" s="40">
        <f>INT(A4128)-WEEKDAY(A4128,2)+1</f>
        <v/>
      </c>
      <c r="E4128" s="25" t="inlineStr">
        <is>
          <t>asahoo</t>
        </is>
      </c>
      <c r="F4128" s="25" t="n">
        <v>131788</v>
      </c>
      <c r="G4128" s="25" t="n">
        <v>1</v>
      </c>
      <c r="H4128" s="25" t="n">
        <v>5</v>
      </c>
      <c r="I4128" s="25" t="inlineStr">
        <is>
          <t>40 second(s)</t>
        </is>
      </c>
      <c r="J4128" s="25">
        <f>IFERROR(VALUE(TRIM(LEFT(I4128,FIND("minute",I4128)-1)))*60,0)+IFERROR(VALUE(SUBSTITUTE(MID(I4128,IFERROR(FIND("and",I4128)+3,1),20),"second(s)","")),0)</f>
        <v/>
      </c>
      <c r="K4128" s="41">
        <f>J4128/60</f>
        <v/>
      </c>
      <c r="L4128" s="41">
        <f>IFERROR(J4128/H4128,"")</f>
        <v/>
      </c>
      <c r="M4128" s="25" t="inlineStr">
        <is>
          <t>2.5.12</t>
        </is>
      </c>
      <c r="N4128" s="25">
        <f>IF(J4128&gt;300,1,0)</f>
        <v/>
      </c>
      <c r="O4128" s="25">
        <f>IF(J4128&gt;600,1,0)</f>
        <v/>
      </c>
      <c r="P4128" s="25">
        <f>IF(H4128&gt;0,J4128,"")</f>
        <v/>
      </c>
      <c r="Q4128" s="25">
        <f>TEXT(A4128,"YYYY-MM-DD HH")</f>
        <v/>
      </c>
      <c r="R4128" s="25">
        <f>COUNTIF($Q$2:$Q$5295,Q4128)</f>
        <v/>
      </c>
      <c r="S4128" s="25">
        <f>IF(R4128&lt;=2,"1-2",IF(R4128&lt;=5,"3-5",IF(R4128&lt;=10,"6-10","11+")))</f>
        <v/>
      </c>
    </row>
    <row r="4129">
      <c r="A4129" s="39" t="n">
        <v>46220.20233796296</v>
      </c>
      <c r="B4129" s="25">
        <f>TEXT(A4129,"YYYY-MM")</f>
        <v/>
      </c>
      <c r="C4129" s="25">
        <f>TEXT(A4129,"MMM-YYYY")</f>
        <v/>
      </c>
      <c r="D4129" s="40">
        <f>INT(A4129)-WEEKDAY(A4129,2)+1</f>
        <v/>
      </c>
      <c r="E4129" s="25" t="inlineStr">
        <is>
          <t>ssneha</t>
        </is>
      </c>
      <c r="F4129" s="25" t="n">
        <v>132590</v>
      </c>
      <c r="G4129" s="25" t="n">
        <v>4</v>
      </c>
      <c r="H4129" s="25" t="n">
        <v>20</v>
      </c>
      <c r="I4129" s="25" t="inlineStr">
        <is>
          <t>3 minute(s) and 3 second(s)</t>
        </is>
      </c>
      <c r="J4129" s="25">
        <f>IFERROR(VALUE(TRIM(LEFT(I4129,FIND("minute",I4129)-1)))*60,0)+IFERROR(VALUE(SUBSTITUTE(MID(I4129,IFERROR(FIND("and",I4129)+3,1),20),"second(s)","")),0)</f>
        <v/>
      </c>
      <c r="K4129" s="41">
        <f>J4129/60</f>
        <v/>
      </c>
      <c r="L4129" s="41">
        <f>IFERROR(J4129/H4129,"")</f>
        <v/>
      </c>
      <c r="M4129" s="25" t="inlineStr">
        <is>
          <t>2.5.12</t>
        </is>
      </c>
      <c r="N4129" s="25">
        <f>IF(J4129&gt;300,1,0)</f>
        <v/>
      </c>
      <c r="O4129" s="25">
        <f>IF(J4129&gt;600,1,0)</f>
        <v/>
      </c>
      <c r="P4129" s="25">
        <f>IF(H4129&gt;0,J4129,"")</f>
        <v/>
      </c>
      <c r="Q4129" s="25">
        <f>TEXT(A4129,"YYYY-MM-DD HH")</f>
        <v/>
      </c>
      <c r="R4129" s="25">
        <f>COUNTIF($Q$2:$Q$5295,Q4129)</f>
        <v/>
      </c>
      <c r="S4129" s="25">
        <f>IF(R4129&lt;=2,"1-2",IF(R4129&lt;=5,"3-5",IF(R4129&lt;=10,"6-10","11+")))</f>
        <v/>
      </c>
    </row>
    <row r="4130">
      <c r="A4130" s="39" t="n">
        <v>46220.20302083333</v>
      </c>
      <c r="B4130" s="25">
        <f>TEXT(A4130,"YYYY-MM")</f>
        <v/>
      </c>
      <c r="C4130" s="25">
        <f>TEXT(A4130,"MMM-YYYY")</f>
        <v/>
      </c>
      <c r="D4130" s="40">
        <f>INT(A4130)-WEEKDAY(A4130,2)+1</f>
        <v/>
      </c>
      <c r="E4130" s="25" t="inlineStr">
        <is>
          <t>ethomas</t>
        </is>
      </c>
      <c r="F4130" s="25" t="n">
        <v>132005</v>
      </c>
      <c r="G4130" s="25" t="n">
        <v>4</v>
      </c>
      <c r="H4130" s="25" t="n">
        <v>26</v>
      </c>
      <c r="I4130" s="25" t="inlineStr">
        <is>
          <t>3 minute(s) and 15 second(s)</t>
        </is>
      </c>
      <c r="J4130" s="25">
        <f>IFERROR(VALUE(TRIM(LEFT(I4130,FIND("minute",I4130)-1)))*60,0)+IFERROR(VALUE(SUBSTITUTE(MID(I4130,IFERROR(FIND("and",I4130)+3,1),20),"second(s)","")),0)</f>
        <v/>
      </c>
      <c r="K4130" s="41">
        <f>J4130/60</f>
        <v/>
      </c>
      <c r="L4130" s="41">
        <f>IFERROR(J4130/H4130,"")</f>
        <v/>
      </c>
      <c r="M4130" s="25" t="inlineStr">
        <is>
          <t>2.5.12</t>
        </is>
      </c>
      <c r="N4130" s="25">
        <f>IF(J4130&gt;300,1,0)</f>
        <v/>
      </c>
      <c r="O4130" s="25">
        <f>IF(J4130&gt;600,1,0)</f>
        <v/>
      </c>
      <c r="P4130" s="25">
        <f>IF(H4130&gt;0,J4130,"")</f>
        <v/>
      </c>
      <c r="Q4130" s="25">
        <f>TEXT(A4130,"YYYY-MM-DD HH")</f>
        <v/>
      </c>
      <c r="R4130" s="25">
        <f>COUNTIF($Q$2:$Q$5295,Q4130)</f>
        <v/>
      </c>
      <c r="S4130" s="25">
        <f>IF(R4130&lt;=2,"1-2",IF(R4130&lt;=5,"3-5",IF(R4130&lt;=10,"6-10","11+")))</f>
        <v/>
      </c>
    </row>
    <row r="4131">
      <c r="A4131" s="39" t="n">
        <v>46220.22570601852</v>
      </c>
      <c r="B4131" s="25">
        <f>TEXT(A4131,"YYYY-MM")</f>
        <v/>
      </c>
      <c r="C4131" s="25">
        <f>TEXT(A4131,"MMM-YYYY")</f>
        <v/>
      </c>
      <c r="D4131" s="40">
        <f>INT(A4131)-WEEKDAY(A4131,2)+1</f>
        <v/>
      </c>
      <c r="E4131" s="25" t="inlineStr">
        <is>
          <t>emishra</t>
        </is>
      </c>
      <c r="F4131" s="25" t="n">
        <v>132433</v>
      </c>
      <c r="G4131" s="25" t="n">
        <v>1</v>
      </c>
      <c r="H4131" s="25" t="n">
        <v>7</v>
      </c>
      <c r="I4131" s="25" t="inlineStr">
        <is>
          <t>41 second(s)</t>
        </is>
      </c>
      <c r="J4131" s="25">
        <f>IFERROR(VALUE(TRIM(LEFT(I4131,FIND("minute",I4131)-1)))*60,0)+IFERROR(VALUE(SUBSTITUTE(MID(I4131,IFERROR(FIND("and",I4131)+3,1),20),"second(s)","")),0)</f>
        <v/>
      </c>
      <c r="K4131" s="41">
        <f>J4131/60</f>
        <v/>
      </c>
      <c r="L4131" s="41">
        <f>IFERROR(J4131/H4131,"")</f>
        <v/>
      </c>
      <c r="M4131" s="25" t="inlineStr">
        <is>
          <t>2.5.12</t>
        </is>
      </c>
      <c r="N4131" s="25">
        <f>IF(J4131&gt;300,1,0)</f>
        <v/>
      </c>
      <c r="O4131" s="25">
        <f>IF(J4131&gt;600,1,0)</f>
        <v/>
      </c>
      <c r="P4131" s="25">
        <f>IF(H4131&gt;0,J4131,"")</f>
        <v/>
      </c>
      <c r="Q4131" s="25">
        <f>TEXT(A4131,"YYYY-MM-DD HH")</f>
        <v/>
      </c>
      <c r="R4131" s="25">
        <f>COUNTIF($Q$2:$Q$5295,Q4131)</f>
        <v/>
      </c>
      <c r="S4131" s="25">
        <f>IF(R4131&lt;=2,"1-2",IF(R4131&lt;=5,"3-5",IF(R4131&lt;=10,"6-10","11+")))</f>
        <v/>
      </c>
    </row>
    <row r="4132">
      <c r="A4132" s="39" t="n">
        <v>46220.23171296297</v>
      </c>
      <c r="B4132" s="25">
        <f>TEXT(A4132,"YYYY-MM")</f>
        <v/>
      </c>
      <c r="C4132" s="25">
        <f>TEXT(A4132,"MMM-YYYY")</f>
        <v/>
      </c>
      <c r="D4132" s="40">
        <f>INT(A4132)-WEEKDAY(A4132,2)+1</f>
        <v/>
      </c>
      <c r="E4132" s="25" t="inlineStr">
        <is>
          <t>atiwari</t>
        </is>
      </c>
      <c r="F4132" s="25" t="n">
        <v>131273</v>
      </c>
      <c r="G4132" s="25" t="n">
        <v>4</v>
      </c>
      <c r="H4132" s="25" t="n">
        <v>24</v>
      </c>
      <c r="I4132" s="25" t="inlineStr">
        <is>
          <t>2 minute(s) and 49 second(s)</t>
        </is>
      </c>
      <c r="J4132" s="25">
        <f>IFERROR(VALUE(TRIM(LEFT(I4132,FIND("minute",I4132)-1)))*60,0)+IFERROR(VALUE(SUBSTITUTE(MID(I4132,IFERROR(FIND("and",I4132)+3,1),20),"second(s)","")),0)</f>
        <v/>
      </c>
      <c r="K4132" s="41">
        <f>J4132/60</f>
        <v/>
      </c>
      <c r="L4132" s="41">
        <f>IFERROR(J4132/H4132,"")</f>
        <v/>
      </c>
      <c r="M4132" s="25" t="inlineStr">
        <is>
          <t>2.5.12</t>
        </is>
      </c>
      <c r="N4132" s="25">
        <f>IF(J4132&gt;300,1,0)</f>
        <v/>
      </c>
      <c r="O4132" s="25">
        <f>IF(J4132&gt;600,1,0)</f>
        <v/>
      </c>
      <c r="P4132" s="25">
        <f>IF(H4132&gt;0,J4132,"")</f>
        <v/>
      </c>
      <c r="Q4132" s="25">
        <f>TEXT(A4132,"YYYY-MM-DD HH")</f>
        <v/>
      </c>
      <c r="R4132" s="25">
        <f>COUNTIF($Q$2:$Q$5295,Q4132)</f>
        <v/>
      </c>
      <c r="S4132" s="25">
        <f>IF(R4132&lt;=2,"1-2",IF(R4132&lt;=5,"3-5",IF(R4132&lt;=10,"6-10","11+")))</f>
        <v/>
      </c>
    </row>
    <row r="4133">
      <c r="A4133" s="39" t="n">
        <v>46220.24107638889</v>
      </c>
      <c r="B4133" s="25">
        <f>TEXT(A4133,"YYYY-MM")</f>
        <v/>
      </c>
      <c r="C4133" s="25">
        <f>TEXT(A4133,"MMM-YYYY")</f>
        <v/>
      </c>
      <c r="D4133" s="40">
        <f>INT(A4133)-WEEKDAY(A4133,2)+1</f>
        <v/>
      </c>
      <c r="E4133" s="25" t="inlineStr">
        <is>
          <t>aupadhayay</t>
        </is>
      </c>
      <c r="F4133" s="25" t="n">
        <v>130113</v>
      </c>
      <c r="G4133" s="25" t="n">
        <v>3</v>
      </c>
      <c r="H4133" s="25" t="n">
        <v>15</v>
      </c>
      <c r="I4133" s="25" t="inlineStr">
        <is>
          <t>1 minute(s) and 50 second(s)</t>
        </is>
      </c>
      <c r="J4133" s="25">
        <f>IFERROR(VALUE(TRIM(LEFT(I4133,FIND("minute",I4133)-1)))*60,0)+IFERROR(VALUE(SUBSTITUTE(MID(I4133,IFERROR(FIND("and",I4133)+3,1),20),"second(s)","")),0)</f>
        <v/>
      </c>
      <c r="K4133" s="41">
        <f>J4133/60</f>
        <v/>
      </c>
      <c r="L4133" s="41">
        <f>IFERROR(J4133/H4133,"")</f>
        <v/>
      </c>
      <c r="M4133" s="25" t="inlineStr">
        <is>
          <t>2.5.12</t>
        </is>
      </c>
      <c r="N4133" s="25">
        <f>IF(J4133&gt;300,1,0)</f>
        <v/>
      </c>
      <c r="O4133" s="25">
        <f>IF(J4133&gt;600,1,0)</f>
        <v/>
      </c>
      <c r="P4133" s="25">
        <f>IF(H4133&gt;0,J4133,"")</f>
        <v/>
      </c>
      <c r="Q4133" s="25">
        <f>TEXT(A4133,"YYYY-MM-DD HH")</f>
        <v/>
      </c>
      <c r="R4133" s="25">
        <f>COUNTIF($Q$2:$Q$5295,Q4133)</f>
        <v/>
      </c>
      <c r="S4133" s="25">
        <f>IF(R4133&lt;=2,"1-2",IF(R4133&lt;=5,"3-5",IF(R4133&lt;=10,"6-10","11+")))</f>
        <v/>
      </c>
    </row>
    <row r="4134">
      <c r="A4134" s="39" t="n">
        <v>46220.24903935185</v>
      </c>
      <c r="B4134" s="25">
        <f>TEXT(A4134,"YYYY-MM")</f>
        <v/>
      </c>
      <c r="C4134" s="25">
        <f>TEXT(A4134,"MMM-YYYY")</f>
        <v/>
      </c>
      <c r="D4134" s="40">
        <f>INT(A4134)-WEEKDAY(A4134,2)+1</f>
        <v/>
      </c>
      <c r="E4134" s="25" t="inlineStr">
        <is>
          <t>asahoo</t>
        </is>
      </c>
      <c r="F4134" s="25" t="n">
        <v>128764</v>
      </c>
      <c r="G4134" s="25" t="n">
        <v>4</v>
      </c>
      <c r="H4134" s="25" t="n">
        <v>22</v>
      </c>
      <c r="I4134" s="25" t="inlineStr">
        <is>
          <t>3 minute(s) and 26 second(s)</t>
        </is>
      </c>
      <c r="J4134" s="25">
        <f>IFERROR(VALUE(TRIM(LEFT(I4134,FIND("minute",I4134)-1)))*60,0)+IFERROR(VALUE(SUBSTITUTE(MID(I4134,IFERROR(FIND("and",I4134)+3,1),20),"second(s)","")),0)</f>
        <v/>
      </c>
      <c r="K4134" s="41">
        <f>J4134/60</f>
        <v/>
      </c>
      <c r="L4134" s="41">
        <f>IFERROR(J4134/H4134,"")</f>
        <v/>
      </c>
      <c r="M4134" s="25" t="inlineStr">
        <is>
          <t>2.5.12</t>
        </is>
      </c>
      <c r="N4134" s="25">
        <f>IF(J4134&gt;300,1,0)</f>
        <v/>
      </c>
      <c r="O4134" s="25">
        <f>IF(J4134&gt;600,1,0)</f>
        <v/>
      </c>
      <c r="P4134" s="25">
        <f>IF(H4134&gt;0,J4134,"")</f>
        <v/>
      </c>
      <c r="Q4134" s="25">
        <f>TEXT(A4134,"YYYY-MM-DD HH")</f>
        <v/>
      </c>
      <c r="R4134" s="25">
        <f>COUNTIF($Q$2:$Q$5295,Q4134)</f>
        <v/>
      </c>
      <c r="S4134" s="25">
        <f>IF(R4134&lt;=2,"1-2",IF(R4134&lt;=5,"3-5",IF(R4134&lt;=10,"6-10","11+")))</f>
        <v/>
      </c>
    </row>
    <row r="4135">
      <c r="A4135" s="39" t="n">
        <v>46220.25283564815</v>
      </c>
      <c r="B4135" s="25">
        <f>TEXT(A4135,"YYYY-MM")</f>
        <v/>
      </c>
      <c r="C4135" s="25">
        <f>TEXT(A4135,"MMM-YYYY")</f>
        <v/>
      </c>
      <c r="D4135" s="40">
        <f>INT(A4135)-WEEKDAY(A4135,2)+1</f>
        <v/>
      </c>
      <c r="E4135" s="25" t="inlineStr">
        <is>
          <t>sswati</t>
        </is>
      </c>
      <c r="F4135" s="25" t="n">
        <v>130998</v>
      </c>
      <c r="G4135" s="25" t="n">
        <v>2</v>
      </c>
      <c r="H4135" s="25" t="n">
        <v>6</v>
      </c>
      <c r="I4135" s="25" t="inlineStr">
        <is>
          <t>1 minute(s) and 31 second(s)</t>
        </is>
      </c>
      <c r="J4135" s="25">
        <f>IFERROR(VALUE(TRIM(LEFT(I4135,FIND("minute",I4135)-1)))*60,0)+IFERROR(VALUE(SUBSTITUTE(MID(I4135,IFERROR(FIND("and",I4135)+3,1),20),"second(s)","")),0)</f>
        <v/>
      </c>
      <c r="K4135" s="41">
        <f>J4135/60</f>
        <v/>
      </c>
      <c r="L4135" s="41">
        <f>IFERROR(J4135/H4135,"")</f>
        <v/>
      </c>
      <c r="M4135" s="25" t="inlineStr">
        <is>
          <t>2.5.12</t>
        </is>
      </c>
      <c r="N4135" s="25">
        <f>IF(J4135&gt;300,1,0)</f>
        <v/>
      </c>
      <c r="O4135" s="25">
        <f>IF(J4135&gt;600,1,0)</f>
        <v/>
      </c>
      <c r="P4135" s="25">
        <f>IF(H4135&gt;0,J4135,"")</f>
        <v/>
      </c>
      <c r="Q4135" s="25">
        <f>TEXT(A4135,"YYYY-MM-DD HH")</f>
        <v/>
      </c>
      <c r="R4135" s="25">
        <f>COUNTIF($Q$2:$Q$5295,Q4135)</f>
        <v/>
      </c>
      <c r="S4135" s="25">
        <f>IF(R4135&lt;=2,"1-2",IF(R4135&lt;=5,"3-5",IF(R4135&lt;=10,"6-10","11+")))</f>
        <v/>
      </c>
    </row>
    <row r="4136">
      <c r="A4136" s="39" t="n">
        <v>46220.25429398148</v>
      </c>
      <c r="B4136" s="25">
        <f>TEXT(A4136,"YYYY-MM")</f>
        <v/>
      </c>
      <c r="C4136" s="25">
        <f>TEXT(A4136,"MMM-YYYY")</f>
        <v/>
      </c>
      <c r="D4136" s="40">
        <f>INT(A4136)-WEEKDAY(A4136,2)+1</f>
        <v/>
      </c>
      <c r="E4136" s="25" t="inlineStr">
        <is>
          <t>psathwika</t>
        </is>
      </c>
      <c r="F4136" s="25" t="n">
        <v>131736</v>
      </c>
      <c r="G4136" s="25" t="n">
        <v>1</v>
      </c>
      <c r="H4136" s="25" t="n">
        <v>7</v>
      </c>
      <c r="I4136" s="25" t="inlineStr">
        <is>
          <t>1 minute(s) and 37 second(s)</t>
        </is>
      </c>
      <c r="J4136" s="25">
        <f>IFERROR(VALUE(TRIM(LEFT(I4136,FIND("minute",I4136)-1)))*60,0)+IFERROR(VALUE(SUBSTITUTE(MID(I4136,IFERROR(FIND("and",I4136)+3,1),20),"second(s)","")),0)</f>
        <v/>
      </c>
      <c r="K4136" s="41">
        <f>J4136/60</f>
        <v/>
      </c>
      <c r="L4136" s="41">
        <f>IFERROR(J4136/H4136,"")</f>
        <v/>
      </c>
      <c r="M4136" s="25" t="inlineStr">
        <is>
          <t>2.5.12</t>
        </is>
      </c>
      <c r="N4136" s="25">
        <f>IF(J4136&gt;300,1,0)</f>
        <v/>
      </c>
      <c r="O4136" s="25">
        <f>IF(J4136&gt;600,1,0)</f>
        <v/>
      </c>
      <c r="P4136" s="25">
        <f>IF(H4136&gt;0,J4136,"")</f>
        <v/>
      </c>
      <c r="Q4136" s="25">
        <f>TEXT(A4136,"YYYY-MM-DD HH")</f>
        <v/>
      </c>
      <c r="R4136" s="25">
        <f>COUNTIF($Q$2:$Q$5295,Q4136)</f>
        <v/>
      </c>
      <c r="S4136" s="25">
        <f>IF(R4136&lt;=2,"1-2",IF(R4136&lt;=5,"3-5",IF(R4136&lt;=10,"6-10","11+")))</f>
        <v/>
      </c>
    </row>
    <row r="4137">
      <c r="A4137" s="39" t="n">
        <v>46220.25518518518</v>
      </c>
      <c r="B4137" s="25">
        <f>TEXT(A4137,"YYYY-MM")</f>
        <v/>
      </c>
      <c r="C4137" s="25">
        <f>TEXT(A4137,"MMM-YYYY")</f>
        <v/>
      </c>
      <c r="D4137" s="40">
        <f>INT(A4137)-WEEKDAY(A4137,2)+1</f>
        <v/>
      </c>
      <c r="E4137" s="25" t="inlineStr">
        <is>
          <t>shasikha</t>
        </is>
      </c>
      <c r="F4137" s="25" t="n">
        <v>130043</v>
      </c>
      <c r="G4137" s="25" t="n">
        <v>2</v>
      </c>
      <c r="H4137" s="25" t="n">
        <v>10</v>
      </c>
      <c r="I4137" s="25" t="inlineStr">
        <is>
          <t>1 minute(s) and 39 second(s)</t>
        </is>
      </c>
      <c r="J4137" s="25">
        <f>IFERROR(VALUE(TRIM(LEFT(I4137,FIND("minute",I4137)-1)))*60,0)+IFERROR(VALUE(SUBSTITUTE(MID(I4137,IFERROR(FIND("and",I4137)+3,1),20),"second(s)","")),0)</f>
        <v/>
      </c>
      <c r="K4137" s="41">
        <f>J4137/60</f>
        <v/>
      </c>
      <c r="L4137" s="41">
        <f>IFERROR(J4137/H4137,"")</f>
        <v/>
      </c>
      <c r="M4137" s="25" t="inlineStr">
        <is>
          <t>2.5.12</t>
        </is>
      </c>
      <c r="N4137" s="25">
        <f>IF(J4137&gt;300,1,0)</f>
        <v/>
      </c>
      <c r="O4137" s="25">
        <f>IF(J4137&gt;600,1,0)</f>
        <v/>
      </c>
      <c r="P4137" s="25">
        <f>IF(H4137&gt;0,J4137,"")</f>
        <v/>
      </c>
      <c r="Q4137" s="25">
        <f>TEXT(A4137,"YYYY-MM-DD HH")</f>
        <v/>
      </c>
      <c r="R4137" s="25">
        <f>COUNTIF($Q$2:$Q$5295,Q4137)</f>
        <v/>
      </c>
      <c r="S4137" s="25">
        <f>IF(R4137&lt;=2,"1-2",IF(R4137&lt;=5,"3-5",IF(R4137&lt;=10,"6-10","11+")))</f>
        <v/>
      </c>
    </row>
    <row r="4138">
      <c r="A4138" s="39" t="n">
        <v>46220.26936342593</v>
      </c>
      <c r="B4138" s="25">
        <f>TEXT(A4138,"YYYY-MM")</f>
        <v/>
      </c>
      <c r="C4138" s="25">
        <f>TEXT(A4138,"MMM-YYYY")</f>
        <v/>
      </c>
      <c r="D4138" s="40">
        <f>INT(A4138)-WEEKDAY(A4138,2)+1</f>
        <v/>
      </c>
      <c r="E4138" s="25" t="inlineStr">
        <is>
          <t>hsindwani</t>
        </is>
      </c>
      <c r="F4138" s="25" t="n">
        <v>130192</v>
      </c>
      <c r="G4138" s="25" t="n">
        <v>4</v>
      </c>
      <c r="H4138" s="25" t="n">
        <v>14</v>
      </c>
      <c r="I4138" s="25" t="inlineStr">
        <is>
          <t>1 minute(s) and 23 second(s)</t>
        </is>
      </c>
      <c r="J4138" s="25">
        <f>IFERROR(VALUE(TRIM(LEFT(I4138,FIND("minute",I4138)-1)))*60,0)+IFERROR(VALUE(SUBSTITUTE(MID(I4138,IFERROR(FIND("and",I4138)+3,1),20),"second(s)","")),0)</f>
        <v/>
      </c>
      <c r="K4138" s="41">
        <f>J4138/60</f>
        <v/>
      </c>
      <c r="L4138" s="41">
        <f>IFERROR(J4138/H4138,"")</f>
        <v/>
      </c>
      <c r="M4138" s="25" t="inlineStr">
        <is>
          <t>2.5.12</t>
        </is>
      </c>
      <c r="N4138" s="25">
        <f>IF(J4138&gt;300,1,0)</f>
        <v/>
      </c>
      <c r="O4138" s="25">
        <f>IF(J4138&gt;600,1,0)</f>
        <v/>
      </c>
      <c r="P4138" s="25">
        <f>IF(H4138&gt;0,J4138,"")</f>
        <v/>
      </c>
      <c r="Q4138" s="25">
        <f>TEXT(A4138,"YYYY-MM-DD HH")</f>
        <v/>
      </c>
      <c r="R4138" s="25">
        <f>COUNTIF($Q$2:$Q$5295,Q4138)</f>
        <v/>
      </c>
      <c r="S4138" s="25">
        <f>IF(R4138&lt;=2,"1-2",IF(R4138&lt;=5,"3-5",IF(R4138&lt;=10,"6-10","11+")))</f>
        <v/>
      </c>
    </row>
    <row r="4139">
      <c r="A4139" s="39" t="n">
        <v>46220.27517361111</v>
      </c>
      <c r="B4139" s="25">
        <f>TEXT(A4139,"YYYY-MM")</f>
        <v/>
      </c>
      <c r="C4139" s="25">
        <f>TEXT(A4139,"MMM-YYYY")</f>
        <v/>
      </c>
      <c r="D4139" s="40">
        <f>INT(A4139)-WEEKDAY(A4139,2)+1</f>
        <v/>
      </c>
      <c r="E4139" s="25" t="inlineStr">
        <is>
          <t>emishra</t>
        </is>
      </c>
      <c r="F4139" s="25" t="n">
        <v>132505</v>
      </c>
      <c r="G4139" s="25" t="n">
        <v>4</v>
      </c>
      <c r="H4139" s="25" t="n">
        <v>24</v>
      </c>
      <c r="I4139" s="25" t="inlineStr">
        <is>
          <t>3 minute(s) and 20 second(s)</t>
        </is>
      </c>
      <c r="J4139" s="25">
        <f>IFERROR(VALUE(TRIM(LEFT(I4139,FIND("minute",I4139)-1)))*60,0)+IFERROR(VALUE(SUBSTITUTE(MID(I4139,IFERROR(FIND("and",I4139)+3,1),20),"second(s)","")),0)</f>
        <v/>
      </c>
      <c r="K4139" s="41">
        <f>J4139/60</f>
        <v/>
      </c>
      <c r="L4139" s="41">
        <f>IFERROR(J4139/H4139,"")</f>
        <v/>
      </c>
      <c r="M4139" s="25" t="inlineStr">
        <is>
          <t>2.5.12</t>
        </is>
      </c>
      <c r="N4139" s="25">
        <f>IF(J4139&gt;300,1,0)</f>
        <v/>
      </c>
      <c r="O4139" s="25">
        <f>IF(J4139&gt;600,1,0)</f>
        <v/>
      </c>
      <c r="P4139" s="25">
        <f>IF(H4139&gt;0,J4139,"")</f>
        <v/>
      </c>
      <c r="Q4139" s="25">
        <f>TEXT(A4139,"YYYY-MM-DD HH")</f>
        <v/>
      </c>
      <c r="R4139" s="25">
        <f>COUNTIF($Q$2:$Q$5295,Q4139)</f>
        <v/>
      </c>
      <c r="S4139" s="25">
        <f>IF(R4139&lt;=2,"1-2",IF(R4139&lt;=5,"3-5",IF(R4139&lt;=10,"6-10","11+")))</f>
        <v/>
      </c>
    </row>
    <row r="4140">
      <c r="A4140" s="39" t="n">
        <v>46220.28101851852</v>
      </c>
      <c r="B4140" s="25">
        <f>TEXT(A4140,"YYYY-MM")</f>
        <v/>
      </c>
      <c r="C4140" s="25">
        <f>TEXT(A4140,"MMM-YYYY")</f>
        <v/>
      </c>
      <c r="D4140" s="40">
        <f>INT(A4140)-WEEKDAY(A4140,2)+1</f>
        <v/>
      </c>
      <c r="E4140" s="25" t="inlineStr">
        <is>
          <t>shassan</t>
        </is>
      </c>
      <c r="F4140" s="25" t="n">
        <v>128375</v>
      </c>
      <c r="G4140" s="25" t="n">
        <v>4</v>
      </c>
      <c r="H4140" s="25" t="n">
        <v>22</v>
      </c>
      <c r="I4140" s="25" t="inlineStr">
        <is>
          <t>2 minute(s) and 4 second(s)</t>
        </is>
      </c>
      <c r="J4140" s="25">
        <f>IFERROR(VALUE(TRIM(LEFT(I4140,FIND("minute",I4140)-1)))*60,0)+IFERROR(VALUE(SUBSTITUTE(MID(I4140,IFERROR(FIND("and",I4140)+3,1),20),"second(s)","")),0)</f>
        <v/>
      </c>
      <c r="K4140" s="41">
        <f>J4140/60</f>
        <v/>
      </c>
      <c r="L4140" s="41">
        <f>IFERROR(J4140/H4140,"")</f>
        <v/>
      </c>
      <c r="M4140" s="25" t="inlineStr">
        <is>
          <t>2.5.12</t>
        </is>
      </c>
      <c r="N4140" s="25">
        <f>IF(J4140&gt;300,1,0)</f>
        <v/>
      </c>
      <c r="O4140" s="25">
        <f>IF(J4140&gt;600,1,0)</f>
        <v/>
      </c>
      <c r="P4140" s="25">
        <f>IF(H4140&gt;0,J4140,"")</f>
        <v/>
      </c>
      <c r="Q4140" s="25">
        <f>TEXT(A4140,"YYYY-MM-DD HH")</f>
        <v/>
      </c>
      <c r="R4140" s="25">
        <f>COUNTIF($Q$2:$Q$5295,Q4140)</f>
        <v/>
      </c>
      <c r="S4140" s="25">
        <f>IF(R4140&lt;=2,"1-2",IF(R4140&lt;=5,"3-5",IF(R4140&lt;=10,"6-10","11+")))</f>
        <v/>
      </c>
    </row>
    <row r="4141">
      <c r="A4141" s="39" t="n">
        <v>46220.28391203703</v>
      </c>
      <c r="B4141" s="25">
        <f>TEXT(A4141,"YYYY-MM")</f>
        <v/>
      </c>
      <c r="C4141" s="25">
        <f>TEXT(A4141,"MMM-YYYY")</f>
        <v/>
      </c>
      <c r="D4141" s="40">
        <f>INT(A4141)-WEEKDAY(A4141,2)+1</f>
        <v/>
      </c>
      <c r="E4141" s="25" t="inlineStr">
        <is>
          <t>ethomas</t>
        </is>
      </c>
      <c r="F4141" s="25" t="n">
        <v>132157</v>
      </c>
      <c r="G4141" s="25" t="n">
        <v>1</v>
      </c>
      <c r="H4141" s="25" t="n">
        <v>7</v>
      </c>
      <c r="I4141" s="25" t="inlineStr">
        <is>
          <t>42 second(s)</t>
        </is>
      </c>
      <c r="J4141" s="25">
        <f>IFERROR(VALUE(TRIM(LEFT(I4141,FIND("minute",I4141)-1)))*60,0)+IFERROR(VALUE(SUBSTITUTE(MID(I4141,IFERROR(FIND("and",I4141)+3,1),20),"second(s)","")),0)</f>
        <v/>
      </c>
      <c r="K4141" s="41">
        <f>J4141/60</f>
        <v/>
      </c>
      <c r="L4141" s="41">
        <f>IFERROR(J4141/H4141,"")</f>
        <v/>
      </c>
      <c r="M4141" s="25" t="inlineStr">
        <is>
          <t>2.5.12</t>
        </is>
      </c>
      <c r="N4141" s="25">
        <f>IF(J4141&gt;300,1,0)</f>
        <v/>
      </c>
      <c r="O4141" s="25">
        <f>IF(J4141&gt;600,1,0)</f>
        <v/>
      </c>
      <c r="P4141" s="25">
        <f>IF(H4141&gt;0,J4141,"")</f>
        <v/>
      </c>
      <c r="Q4141" s="25">
        <f>TEXT(A4141,"YYYY-MM-DD HH")</f>
        <v/>
      </c>
      <c r="R4141" s="25">
        <f>COUNTIF($Q$2:$Q$5295,Q4141)</f>
        <v/>
      </c>
      <c r="S4141" s="25">
        <f>IF(R4141&lt;=2,"1-2",IF(R4141&lt;=5,"3-5",IF(R4141&lt;=10,"6-10","11+")))</f>
        <v/>
      </c>
    </row>
    <row r="4142">
      <c r="A4142" s="39" t="n">
        <v>46220.28649305556</v>
      </c>
      <c r="B4142" s="25">
        <f>TEXT(A4142,"YYYY-MM")</f>
        <v/>
      </c>
      <c r="C4142" s="25">
        <f>TEXT(A4142,"MMM-YYYY")</f>
        <v/>
      </c>
      <c r="D4142" s="40">
        <f>INT(A4142)-WEEKDAY(A4142,2)+1</f>
        <v/>
      </c>
      <c r="E4142" s="25" t="inlineStr">
        <is>
          <t>atiwari</t>
        </is>
      </c>
      <c r="F4142" s="25" t="n">
        <v>131425</v>
      </c>
      <c r="G4142" s="25" t="n">
        <v>4</v>
      </c>
      <c r="H4142" s="25" t="n">
        <v>27</v>
      </c>
      <c r="I4142" s="25" t="inlineStr">
        <is>
          <t>6 minute(s) and 15 second(s)</t>
        </is>
      </c>
      <c r="J4142" s="25">
        <f>IFERROR(VALUE(TRIM(LEFT(I4142,FIND("minute",I4142)-1)))*60,0)+IFERROR(VALUE(SUBSTITUTE(MID(I4142,IFERROR(FIND("and",I4142)+3,1),20),"second(s)","")),0)</f>
        <v/>
      </c>
      <c r="K4142" s="41">
        <f>J4142/60</f>
        <v/>
      </c>
      <c r="L4142" s="41">
        <f>IFERROR(J4142/H4142,"")</f>
        <v/>
      </c>
      <c r="M4142" s="25" t="inlineStr">
        <is>
          <t>2.5.12</t>
        </is>
      </c>
      <c r="N4142" s="25">
        <f>IF(J4142&gt;300,1,0)</f>
        <v/>
      </c>
      <c r="O4142" s="25">
        <f>IF(J4142&gt;600,1,0)</f>
        <v/>
      </c>
      <c r="P4142" s="25">
        <f>IF(H4142&gt;0,J4142,"")</f>
        <v/>
      </c>
      <c r="Q4142" s="25">
        <f>TEXT(A4142,"YYYY-MM-DD HH")</f>
        <v/>
      </c>
      <c r="R4142" s="25">
        <f>COUNTIF($Q$2:$Q$5295,Q4142)</f>
        <v/>
      </c>
      <c r="S4142" s="25">
        <f>IF(R4142&lt;=2,"1-2",IF(R4142&lt;=5,"3-5",IF(R4142&lt;=10,"6-10","11+")))</f>
        <v/>
      </c>
    </row>
    <row r="4143">
      <c r="A4143" s="39" t="n">
        <v>46220.2915625</v>
      </c>
      <c r="B4143" s="25">
        <f>TEXT(A4143,"YYYY-MM")</f>
        <v/>
      </c>
      <c r="C4143" s="25">
        <f>TEXT(A4143,"MMM-YYYY")</f>
        <v/>
      </c>
      <c r="D4143" s="40">
        <f>INT(A4143)-WEEKDAY(A4143,2)+1</f>
        <v/>
      </c>
      <c r="E4143" s="25" t="inlineStr">
        <is>
          <t>ajain</t>
        </is>
      </c>
      <c r="F4143" s="25" t="n">
        <v>128227</v>
      </c>
      <c r="G4143" s="25" t="n">
        <v>2</v>
      </c>
      <c r="H4143" s="25" t="n">
        <v>10</v>
      </c>
      <c r="I4143" s="25" t="inlineStr">
        <is>
          <t>45 second(s)</t>
        </is>
      </c>
      <c r="J4143" s="25">
        <f>IFERROR(VALUE(TRIM(LEFT(I4143,FIND("minute",I4143)-1)))*60,0)+IFERROR(VALUE(SUBSTITUTE(MID(I4143,IFERROR(FIND("and",I4143)+3,1),20),"second(s)","")),0)</f>
        <v/>
      </c>
      <c r="K4143" s="41">
        <f>J4143/60</f>
        <v/>
      </c>
      <c r="L4143" s="41">
        <f>IFERROR(J4143/H4143,"")</f>
        <v/>
      </c>
      <c r="M4143" s="25" t="inlineStr">
        <is>
          <t>2.5.12</t>
        </is>
      </c>
      <c r="N4143" s="25">
        <f>IF(J4143&gt;300,1,0)</f>
        <v/>
      </c>
      <c r="O4143" s="25">
        <f>IF(J4143&gt;600,1,0)</f>
        <v/>
      </c>
      <c r="P4143" s="25">
        <f>IF(H4143&gt;0,J4143,"")</f>
        <v/>
      </c>
      <c r="Q4143" s="25">
        <f>TEXT(A4143,"YYYY-MM-DD HH")</f>
        <v/>
      </c>
      <c r="R4143" s="25">
        <f>COUNTIF($Q$2:$Q$5295,Q4143)</f>
        <v/>
      </c>
      <c r="S4143" s="25">
        <f>IF(R4143&lt;=2,"1-2",IF(R4143&lt;=5,"3-5",IF(R4143&lt;=10,"6-10","11+")))</f>
        <v/>
      </c>
    </row>
    <row r="4144">
      <c r="A4144" s="39" t="n">
        <v>46220.2965625</v>
      </c>
      <c r="B4144" s="25">
        <f>TEXT(A4144,"YYYY-MM")</f>
        <v/>
      </c>
      <c r="C4144" s="25">
        <f>TEXT(A4144,"MMM-YYYY")</f>
        <v/>
      </c>
      <c r="D4144" s="40">
        <f>INT(A4144)-WEEKDAY(A4144,2)+1</f>
        <v/>
      </c>
      <c r="E4144" s="25" t="inlineStr">
        <is>
          <t>sswati</t>
        </is>
      </c>
      <c r="F4144" s="25" t="n">
        <v>131110</v>
      </c>
      <c r="G4144" s="25" t="n">
        <v>2</v>
      </c>
      <c r="H4144" s="25" t="n">
        <v>10</v>
      </c>
      <c r="I4144" s="25" t="inlineStr">
        <is>
          <t>51 second(s)</t>
        </is>
      </c>
      <c r="J4144" s="25">
        <f>IFERROR(VALUE(TRIM(LEFT(I4144,FIND("minute",I4144)-1)))*60,0)+IFERROR(VALUE(SUBSTITUTE(MID(I4144,IFERROR(FIND("and",I4144)+3,1),20),"second(s)","")),0)</f>
        <v/>
      </c>
      <c r="K4144" s="41">
        <f>J4144/60</f>
        <v/>
      </c>
      <c r="L4144" s="41">
        <f>IFERROR(J4144/H4144,"")</f>
        <v/>
      </c>
      <c r="M4144" s="25" t="inlineStr">
        <is>
          <t>2.5.12</t>
        </is>
      </c>
      <c r="N4144" s="25">
        <f>IF(J4144&gt;300,1,0)</f>
        <v/>
      </c>
      <c r="O4144" s="25">
        <f>IF(J4144&gt;600,1,0)</f>
        <v/>
      </c>
      <c r="P4144" s="25">
        <f>IF(H4144&gt;0,J4144,"")</f>
        <v/>
      </c>
      <c r="Q4144" s="25">
        <f>TEXT(A4144,"YYYY-MM-DD HH")</f>
        <v/>
      </c>
      <c r="R4144" s="25">
        <f>COUNTIF($Q$2:$Q$5295,Q4144)</f>
        <v/>
      </c>
      <c r="S4144" s="25">
        <f>IF(R4144&lt;=2,"1-2",IF(R4144&lt;=5,"3-5",IF(R4144&lt;=10,"6-10","11+")))</f>
        <v/>
      </c>
    </row>
    <row r="4145">
      <c r="A4145" s="39" t="n">
        <v>46220.2971412037</v>
      </c>
      <c r="B4145" s="25">
        <f>TEXT(A4145,"YYYY-MM")</f>
        <v/>
      </c>
      <c r="C4145" s="25">
        <f>TEXT(A4145,"MMM-YYYY")</f>
        <v/>
      </c>
      <c r="D4145" s="40">
        <f>INT(A4145)-WEEKDAY(A4145,2)+1</f>
        <v/>
      </c>
      <c r="E4145" s="25" t="inlineStr">
        <is>
          <t>aupadhayay</t>
        </is>
      </c>
      <c r="F4145" s="25" t="n">
        <v>131728</v>
      </c>
      <c r="G4145" s="25" t="n">
        <v>4</v>
      </c>
      <c r="H4145" s="25" t="n">
        <v>28</v>
      </c>
      <c r="I4145" s="25" t="inlineStr">
        <is>
          <t>3 minute(s) and 14 second(s)</t>
        </is>
      </c>
      <c r="J4145" s="25">
        <f>IFERROR(VALUE(TRIM(LEFT(I4145,FIND("minute",I4145)-1)))*60,0)+IFERROR(VALUE(SUBSTITUTE(MID(I4145,IFERROR(FIND("and",I4145)+3,1),20),"second(s)","")),0)</f>
        <v/>
      </c>
      <c r="K4145" s="41">
        <f>J4145/60</f>
        <v/>
      </c>
      <c r="L4145" s="41">
        <f>IFERROR(J4145/H4145,"")</f>
        <v/>
      </c>
      <c r="M4145" s="25" t="inlineStr">
        <is>
          <t>2.5.12</t>
        </is>
      </c>
      <c r="N4145" s="25">
        <f>IF(J4145&gt;300,1,0)</f>
        <v/>
      </c>
      <c r="O4145" s="25">
        <f>IF(J4145&gt;600,1,0)</f>
        <v/>
      </c>
      <c r="P4145" s="25">
        <f>IF(H4145&gt;0,J4145,"")</f>
        <v/>
      </c>
      <c r="Q4145" s="25">
        <f>TEXT(A4145,"YYYY-MM-DD HH")</f>
        <v/>
      </c>
      <c r="R4145" s="25">
        <f>COUNTIF($Q$2:$Q$5295,Q4145)</f>
        <v/>
      </c>
      <c r="S4145" s="25">
        <f>IF(R4145&lt;=2,"1-2",IF(R4145&lt;=5,"3-5",IF(R4145&lt;=10,"6-10","11+")))</f>
        <v/>
      </c>
    </row>
    <row r="4146">
      <c r="A4146" s="39" t="n">
        <v>46220.29820601852</v>
      </c>
      <c r="B4146" s="25">
        <f>TEXT(A4146,"YYYY-MM")</f>
        <v/>
      </c>
      <c r="C4146" s="25">
        <f>TEXT(A4146,"MMM-YYYY")</f>
        <v/>
      </c>
      <c r="D4146" s="40">
        <f>INT(A4146)-WEEKDAY(A4146,2)+1</f>
        <v/>
      </c>
      <c r="E4146" s="25" t="inlineStr">
        <is>
          <t>csaha</t>
        </is>
      </c>
      <c r="F4146" s="25" t="n">
        <v>131742</v>
      </c>
      <c r="G4146" s="25" t="n">
        <v>2</v>
      </c>
      <c r="H4146" s="25" t="n">
        <v>8</v>
      </c>
      <c r="I4146" s="25" t="inlineStr">
        <is>
          <t>51 second(s)</t>
        </is>
      </c>
      <c r="J4146" s="25">
        <f>IFERROR(VALUE(TRIM(LEFT(I4146,FIND("minute",I4146)-1)))*60,0)+IFERROR(VALUE(SUBSTITUTE(MID(I4146,IFERROR(FIND("and",I4146)+3,1),20),"second(s)","")),0)</f>
        <v/>
      </c>
      <c r="K4146" s="41">
        <f>J4146/60</f>
        <v/>
      </c>
      <c r="L4146" s="41">
        <f>IFERROR(J4146/H4146,"")</f>
        <v/>
      </c>
      <c r="M4146" s="25" t="inlineStr">
        <is>
          <t>2.5.12</t>
        </is>
      </c>
      <c r="N4146" s="25">
        <f>IF(J4146&gt;300,1,0)</f>
        <v/>
      </c>
      <c r="O4146" s="25">
        <f>IF(J4146&gt;600,1,0)</f>
        <v/>
      </c>
      <c r="P4146" s="25">
        <f>IF(H4146&gt;0,J4146,"")</f>
        <v/>
      </c>
      <c r="Q4146" s="25">
        <f>TEXT(A4146,"YYYY-MM-DD HH")</f>
        <v/>
      </c>
      <c r="R4146" s="25">
        <f>COUNTIF($Q$2:$Q$5295,Q4146)</f>
        <v/>
      </c>
      <c r="S4146" s="25">
        <f>IF(R4146&lt;=2,"1-2",IF(R4146&lt;=5,"3-5",IF(R4146&lt;=10,"6-10","11+")))</f>
        <v/>
      </c>
    </row>
    <row r="4147">
      <c r="A4147" s="39" t="n">
        <v>46220.30271990741</v>
      </c>
      <c r="B4147" s="25">
        <f>TEXT(A4147,"YYYY-MM")</f>
        <v/>
      </c>
      <c r="C4147" s="25">
        <f>TEXT(A4147,"MMM-YYYY")</f>
        <v/>
      </c>
      <c r="D4147" s="40">
        <f>INT(A4147)-WEEKDAY(A4147,2)+1</f>
        <v/>
      </c>
      <c r="E4147" s="25" t="inlineStr">
        <is>
          <t>aghosh</t>
        </is>
      </c>
      <c r="F4147" s="25" t="n">
        <v>129556</v>
      </c>
      <c r="G4147" s="25" t="n">
        <v>5</v>
      </c>
      <c r="H4147" s="25" t="n">
        <v>31</v>
      </c>
      <c r="I4147" s="25" t="inlineStr">
        <is>
          <t>3 minute(s) and 46 second(s)</t>
        </is>
      </c>
      <c r="J4147" s="25">
        <f>IFERROR(VALUE(TRIM(LEFT(I4147,FIND("minute",I4147)-1)))*60,0)+IFERROR(VALUE(SUBSTITUTE(MID(I4147,IFERROR(FIND("and",I4147)+3,1),20),"second(s)","")),0)</f>
        <v/>
      </c>
      <c r="K4147" s="41">
        <f>J4147/60</f>
        <v/>
      </c>
      <c r="L4147" s="41">
        <f>IFERROR(J4147/H4147,"")</f>
        <v/>
      </c>
      <c r="M4147" s="25" t="inlineStr">
        <is>
          <t>2.5.12</t>
        </is>
      </c>
      <c r="N4147" s="25">
        <f>IF(J4147&gt;300,1,0)</f>
        <v/>
      </c>
      <c r="O4147" s="25">
        <f>IF(J4147&gt;600,1,0)</f>
        <v/>
      </c>
      <c r="P4147" s="25">
        <f>IF(H4147&gt;0,J4147,"")</f>
        <v/>
      </c>
      <c r="Q4147" s="25">
        <f>TEXT(A4147,"YYYY-MM-DD HH")</f>
        <v/>
      </c>
      <c r="R4147" s="25">
        <f>COUNTIF($Q$2:$Q$5295,Q4147)</f>
        <v/>
      </c>
      <c r="S4147" s="25">
        <f>IF(R4147&lt;=2,"1-2",IF(R4147&lt;=5,"3-5",IF(R4147&lt;=10,"6-10","11+")))</f>
        <v/>
      </c>
    </row>
    <row r="4148">
      <c r="A4148" s="39" t="n">
        <v>46220.30369212963</v>
      </c>
      <c r="B4148" s="25">
        <f>TEXT(A4148,"YYYY-MM")</f>
        <v/>
      </c>
      <c r="C4148" s="25">
        <f>TEXT(A4148,"MMM-YYYY")</f>
        <v/>
      </c>
      <c r="D4148" s="40">
        <f>INT(A4148)-WEEKDAY(A4148,2)+1</f>
        <v/>
      </c>
      <c r="E4148" s="25" t="inlineStr">
        <is>
          <t>ns</t>
        </is>
      </c>
      <c r="F4148" s="25" t="n">
        <v>132786</v>
      </c>
      <c r="G4148" s="25" t="n">
        <v>4</v>
      </c>
      <c r="H4148" s="25" t="n">
        <v>23</v>
      </c>
      <c r="I4148" s="25" t="inlineStr">
        <is>
          <t>2 minute(s) and 17 second(s)</t>
        </is>
      </c>
      <c r="J4148" s="25">
        <f>IFERROR(VALUE(TRIM(LEFT(I4148,FIND("minute",I4148)-1)))*60,0)+IFERROR(VALUE(SUBSTITUTE(MID(I4148,IFERROR(FIND("and",I4148)+3,1),20),"second(s)","")),0)</f>
        <v/>
      </c>
      <c r="K4148" s="41">
        <f>J4148/60</f>
        <v/>
      </c>
      <c r="L4148" s="41">
        <f>IFERROR(J4148/H4148,"")</f>
        <v/>
      </c>
      <c r="M4148" s="25" t="inlineStr">
        <is>
          <t>2.5.12</t>
        </is>
      </c>
      <c r="N4148" s="25">
        <f>IF(J4148&gt;300,1,0)</f>
        <v/>
      </c>
      <c r="O4148" s="25">
        <f>IF(J4148&gt;600,1,0)</f>
        <v/>
      </c>
      <c r="P4148" s="25">
        <f>IF(H4148&gt;0,J4148,"")</f>
        <v/>
      </c>
      <c r="Q4148" s="25">
        <f>TEXT(A4148,"YYYY-MM-DD HH")</f>
        <v/>
      </c>
      <c r="R4148" s="25">
        <f>COUNTIF($Q$2:$Q$5295,Q4148)</f>
        <v/>
      </c>
      <c r="S4148" s="25">
        <f>IF(R4148&lt;=2,"1-2",IF(R4148&lt;=5,"3-5",IF(R4148&lt;=10,"6-10","11+")))</f>
        <v/>
      </c>
    </row>
    <row r="4149">
      <c r="A4149" s="39" t="n">
        <v>46220.30422453704</v>
      </c>
      <c r="B4149" s="25">
        <f>TEXT(A4149,"YYYY-MM")</f>
        <v/>
      </c>
      <c r="C4149" s="25">
        <f>TEXT(A4149,"MMM-YYYY")</f>
        <v/>
      </c>
      <c r="D4149" s="40">
        <f>INT(A4149)-WEEKDAY(A4149,2)+1</f>
        <v/>
      </c>
      <c r="E4149" s="25" t="inlineStr">
        <is>
          <t>mgupta</t>
        </is>
      </c>
      <c r="F4149" s="25" t="n">
        <v>131974</v>
      </c>
      <c r="G4149" s="25" t="n">
        <v>4</v>
      </c>
      <c r="H4149" s="25" t="n">
        <v>16</v>
      </c>
      <c r="I4149" s="25" t="inlineStr">
        <is>
          <t>1 minute(s) and 42 second(s)</t>
        </is>
      </c>
      <c r="J4149" s="25">
        <f>IFERROR(VALUE(TRIM(LEFT(I4149,FIND("minute",I4149)-1)))*60,0)+IFERROR(VALUE(SUBSTITUTE(MID(I4149,IFERROR(FIND("and",I4149)+3,1),20),"second(s)","")),0)</f>
        <v/>
      </c>
      <c r="K4149" s="41">
        <f>J4149/60</f>
        <v/>
      </c>
      <c r="L4149" s="41">
        <f>IFERROR(J4149/H4149,"")</f>
        <v/>
      </c>
      <c r="M4149" s="25" t="inlineStr">
        <is>
          <t>2.5.12</t>
        </is>
      </c>
      <c r="N4149" s="25">
        <f>IF(J4149&gt;300,1,0)</f>
        <v/>
      </c>
      <c r="O4149" s="25">
        <f>IF(J4149&gt;600,1,0)</f>
        <v/>
      </c>
      <c r="P4149" s="25">
        <f>IF(H4149&gt;0,J4149,"")</f>
        <v/>
      </c>
      <c r="Q4149" s="25">
        <f>TEXT(A4149,"YYYY-MM-DD HH")</f>
        <v/>
      </c>
      <c r="R4149" s="25">
        <f>COUNTIF($Q$2:$Q$5295,Q4149)</f>
        <v/>
      </c>
      <c r="S4149" s="25">
        <f>IF(R4149&lt;=2,"1-2",IF(R4149&lt;=5,"3-5",IF(R4149&lt;=10,"6-10","11+")))</f>
        <v/>
      </c>
    </row>
    <row r="4150">
      <c r="A4150" s="39" t="n">
        <v>46220.30875</v>
      </c>
      <c r="B4150" s="25">
        <f>TEXT(A4150,"YYYY-MM")</f>
        <v/>
      </c>
      <c r="C4150" s="25">
        <f>TEXT(A4150,"MMM-YYYY")</f>
        <v/>
      </c>
      <c r="D4150" s="40">
        <f>INT(A4150)-WEEKDAY(A4150,2)+1</f>
        <v/>
      </c>
      <c r="E4150" s="25" t="inlineStr">
        <is>
          <t>psathwika</t>
        </is>
      </c>
      <c r="F4150" s="25" t="n">
        <v>131696</v>
      </c>
      <c r="G4150" s="25" t="n">
        <v>4</v>
      </c>
      <c r="H4150" s="25" t="n">
        <v>22</v>
      </c>
      <c r="I4150" s="25" t="inlineStr">
        <is>
          <t>2 minute(s) and 15 second(s)</t>
        </is>
      </c>
      <c r="J4150" s="25">
        <f>IFERROR(VALUE(TRIM(LEFT(I4150,FIND("minute",I4150)-1)))*60,0)+IFERROR(VALUE(SUBSTITUTE(MID(I4150,IFERROR(FIND("and",I4150)+3,1),20),"second(s)","")),0)</f>
        <v/>
      </c>
      <c r="K4150" s="41">
        <f>J4150/60</f>
        <v/>
      </c>
      <c r="L4150" s="41">
        <f>IFERROR(J4150/H4150,"")</f>
        <v/>
      </c>
      <c r="M4150" s="25" t="inlineStr">
        <is>
          <t>2.5.12</t>
        </is>
      </c>
      <c r="N4150" s="25">
        <f>IF(J4150&gt;300,1,0)</f>
        <v/>
      </c>
      <c r="O4150" s="25">
        <f>IF(J4150&gt;600,1,0)</f>
        <v/>
      </c>
      <c r="P4150" s="25">
        <f>IF(H4150&gt;0,J4150,"")</f>
        <v/>
      </c>
      <c r="Q4150" s="25">
        <f>TEXT(A4150,"YYYY-MM-DD HH")</f>
        <v/>
      </c>
      <c r="R4150" s="25">
        <f>COUNTIF($Q$2:$Q$5295,Q4150)</f>
        <v/>
      </c>
      <c r="S4150" s="25">
        <f>IF(R4150&lt;=2,"1-2",IF(R4150&lt;=5,"3-5",IF(R4150&lt;=10,"6-10","11+")))</f>
        <v/>
      </c>
    </row>
    <row r="4151">
      <c r="A4151" s="39" t="n">
        <v>46220.30997685185</v>
      </c>
      <c r="B4151" s="25">
        <f>TEXT(A4151,"YYYY-MM")</f>
        <v/>
      </c>
      <c r="C4151" s="25">
        <f>TEXT(A4151,"MMM-YYYY")</f>
        <v/>
      </c>
      <c r="D4151" s="40">
        <f>INT(A4151)-WEEKDAY(A4151,2)+1</f>
        <v/>
      </c>
      <c r="E4151" s="25" t="inlineStr">
        <is>
          <t>shasikha</t>
        </is>
      </c>
      <c r="F4151" s="25" t="n">
        <v>130059</v>
      </c>
      <c r="G4151" s="25" t="n">
        <v>4</v>
      </c>
      <c r="H4151" s="25" t="n">
        <v>16</v>
      </c>
      <c r="I4151" s="25" t="inlineStr">
        <is>
          <t>1 minute(s) and 52 second(s)</t>
        </is>
      </c>
      <c r="J4151" s="25">
        <f>IFERROR(VALUE(TRIM(LEFT(I4151,FIND("minute",I4151)-1)))*60,0)+IFERROR(VALUE(SUBSTITUTE(MID(I4151,IFERROR(FIND("and",I4151)+3,1),20),"second(s)","")),0)</f>
        <v/>
      </c>
      <c r="K4151" s="41">
        <f>J4151/60</f>
        <v/>
      </c>
      <c r="L4151" s="41">
        <f>IFERROR(J4151/H4151,"")</f>
        <v/>
      </c>
      <c r="M4151" s="25" t="inlineStr">
        <is>
          <t>2.5.12</t>
        </is>
      </c>
      <c r="N4151" s="25">
        <f>IF(J4151&gt;300,1,0)</f>
        <v/>
      </c>
      <c r="O4151" s="25">
        <f>IF(J4151&gt;600,1,0)</f>
        <v/>
      </c>
      <c r="P4151" s="25">
        <f>IF(H4151&gt;0,J4151,"")</f>
        <v/>
      </c>
      <c r="Q4151" s="25">
        <f>TEXT(A4151,"YYYY-MM-DD HH")</f>
        <v/>
      </c>
      <c r="R4151" s="25">
        <f>COUNTIF($Q$2:$Q$5295,Q4151)</f>
        <v/>
      </c>
      <c r="S4151" s="25">
        <f>IF(R4151&lt;=2,"1-2",IF(R4151&lt;=5,"3-5",IF(R4151&lt;=10,"6-10","11+")))</f>
        <v/>
      </c>
    </row>
    <row r="4152">
      <c r="A4152" s="39" t="n">
        <v>46220.31239583333</v>
      </c>
      <c r="B4152" s="25">
        <f>TEXT(A4152,"YYYY-MM")</f>
        <v/>
      </c>
      <c r="C4152" s="25">
        <f>TEXT(A4152,"MMM-YYYY")</f>
        <v/>
      </c>
      <c r="D4152" s="40">
        <f>INT(A4152)-WEEKDAY(A4152,2)+1</f>
        <v/>
      </c>
      <c r="E4152" s="25" t="inlineStr">
        <is>
          <t>sthomas</t>
        </is>
      </c>
      <c r="F4152" s="25" t="n">
        <v>131232</v>
      </c>
      <c r="G4152" s="25" t="n">
        <v>4</v>
      </c>
      <c r="H4152" s="25" t="n">
        <v>29</v>
      </c>
      <c r="I4152" s="25" t="inlineStr">
        <is>
          <t>3 minute(s) and 32 second(s)</t>
        </is>
      </c>
      <c r="J4152" s="25">
        <f>IFERROR(VALUE(TRIM(LEFT(I4152,FIND("minute",I4152)-1)))*60,0)+IFERROR(VALUE(SUBSTITUTE(MID(I4152,IFERROR(FIND("and",I4152)+3,1),20),"second(s)","")),0)</f>
        <v/>
      </c>
      <c r="K4152" s="41">
        <f>J4152/60</f>
        <v/>
      </c>
      <c r="L4152" s="41">
        <f>IFERROR(J4152/H4152,"")</f>
        <v/>
      </c>
      <c r="M4152" s="25" t="inlineStr">
        <is>
          <t>2.5.12</t>
        </is>
      </c>
      <c r="N4152" s="25">
        <f>IF(J4152&gt;300,1,0)</f>
        <v/>
      </c>
      <c r="O4152" s="25">
        <f>IF(J4152&gt;600,1,0)</f>
        <v/>
      </c>
      <c r="P4152" s="25">
        <f>IF(H4152&gt;0,J4152,"")</f>
        <v/>
      </c>
      <c r="Q4152" s="25">
        <f>TEXT(A4152,"YYYY-MM-DD HH")</f>
        <v/>
      </c>
      <c r="R4152" s="25">
        <f>COUNTIF($Q$2:$Q$5295,Q4152)</f>
        <v/>
      </c>
      <c r="S4152" s="25">
        <f>IF(R4152&lt;=2,"1-2",IF(R4152&lt;=5,"3-5",IF(R4152&lt;=10,"6-10","11+")))</f>
        <v/>
      </c>
    </row>
    <row r="4153">
      <c r="A4153" s="39" t="n">
        <v>46220.31311342592</v>
      </c>
      <c r="B4153" s="25">
        <f>TEXT(A4153,"YYYY-MM")</f>
        <v/>
      </c>
      <c r="C4153" s="25">
        <f>TEXT(A4153,"MMM-YYYY")</f>
        <v/>
      </c>
      <c r="D4153" s="40">
        <f>INT(A4153)-WEEKDAY(A4153,2)+1</f>
        <v/>
      </c>
      <c r="E4153" s="25" t="inlineStr">
        <is>
          <t>ssneha</t>
        </is>
      </c>
      <c r="F4153" s="25" t="n">
        <v>128615</v>
      </c>
      <c r="G4153" s="25" t="n">
        <v>4</v>
      </c>
      <c r="H4153" s="25" t="n">
        <v>14</v>
      </c>
      <c r="I4153" s="25" t="inlineStr">
        <is>
          <t>3 minute(s) and 6 second(s)</t>
        </is>
      </c>
      <c r="J4153" s="25">
        <f>IFERROR(VALUE(TRIM(LEFT(I4153,FIND("minute",I4153)-1)))*60,0)+IFERROR(VALUE(SUBSTITUTE(MID(I4153,IFERROR(FIND("and",I4153)+3,1),20),"second(s)","")),0)</f>
        <v/>
      </c>
      <c r="K4153" s="41">
        <f>J4153/60</f>
        <v/>
      </c>
      <c r="L4153" s="41">
        <f>IFERROR(J4153/H4153,"")</f>
        <v/>
      </c>
      <c r="M4153" s="25" t="inlineStr">
        <is>
          <t>2.5.12</t>
        </is>
      </c>
      <c r="N4153" s="25">
        <f>IF(J4153&gt;300,1,0)</f>
        <v/>
      </c>
      <c r="O4153" s="25">
        <f>IF(J4153&gt;600,1,0)</f>
        <v/>
      </c>
      <c r="P4153" s="25">
        <f>IF(H4153&gt;0,J4153,"")</f>
        <v/>
      </c>
      <c r="Q4153" s="25">
        <f>TEXT(A4153,"YYYY-MM-DD HH")</f>
        <v/>
      </c>
      <c r="R4153" s="25">
        <f>COUNTIF($Q$2:$Q$5295,Q4153)</f>
        <v/>
      </c>
      <c r="S4153" s="25">
        <f>IF(R4153&lt;=2,"1-2",IF(R4153&lt;=5,"3-5",IF(R4153&lt;=10,"6-10","11+")))</f>
        <v/>
      </c>
    </row>
    <row r="4154">
      <c r="A4154" s="39" t="n">
        <v>46220.33578703704</v>
      </c>
      <c r="B4154" s="25">
        <f>TEXT(A4154,"YYYY-MM")</f>
        <v/>
      </c>
      <c r="C4154" s="25">
        <f>TEXT(A4154,"MMM-YYYY")</f>
        <v/>
      </c>
      <c r="D4154" s="40">
        <f>INT(A4154)-WEEKDAY(A4154,2)+1</f>
        <v/>
      </c>
      <c r="E4154" s="25" t="inlineStr">
        <is>
          <t>pgautam</t>
        </is>
      </c>
      <c r="F4154" s="25" t="n">
        <v>128790</v>
      </c>
      <c r="G4154" s="25" t="n">
        <v>3</v>
      </c>
      <c r="H4154" s="25" t="n">
        <v>17</v>
      </c>
      <c r="I4154" s="25" t="inlineStr">
        <is>
          <t>1 minute(s) and 33 second(s)</t>
        </is>
      </c>
      <c r="J4154" s="25">
        <f>IFERROR(VALUE(TRIM(LEFT(I4154,FIND("minute",I4154)-1)))*60,0)+IFERROR(VALUE(SUBSTITUTE(MID(I4154,IFERROR(FIND("and",I4154)+3,1),20),"second(s)","")),0)</f>
        <v/>
      </c>
      <c r="K4154" s="41">
        <f>J4154/60</f>
        <v/>
      </c>
      <c r="L4154" s="41">
        <f>IFERROR(J4154/H4154,"")</f>
        <v/>
      </c>
      <c r="M4154" s="25" t="inlineStr">
        <is>
          <t>2.5.12</t>
        </is>
      </c>
      <c r="N4154" s="25">
        <f>IF(J4154&gt;300,1,0)</f>
        <v/>
      </c>
      <c r="O4154" s="25">
        <f>IF(J4154&gt;600,1,0)</f>
        <v/>
      </c>
      <c r="P4154" s="25">
        <f>IF(H4154&gt;0,J4154,"")</f>
        <v/>
      </c>
      <c r="Q4154" s="25">
        <f>TEXT(A4154,"YYYY-MM-DD HH")</f>
        <v/>
      </c>
      <c r="R4154" s="25">
        <f>COUNTIF($Q$2:$Q$5295,Q4154)</f>
        <v/>
      </c>
      <c r="S4154" s="25">
        <f>IF(R4154&lt;=2,"1-2",IF(R4154&lt;=5,"3-5",IF(R4154&lt;=10,"6-10","11+")))</f>
        <v/>
      </c>
    </row>
    <row r="4155">
      <c r="A4155" s="39" t="n">
        <v>46220.34371527778</v>
      </c>
      <c r="B4155" s="25">
        <f>TEXT(A4155,"YYYY-MM")</f>
        <v/>
      </c>
      <c r="C4155" s="25">
        <f>TEXT(A4155,"MMM-YYYY")</f>
        <v/>
      </c>
      <c r="D4155" s="40">
        <f>INT(A4155)-WEEKDAY(A4155,2)+1</f>
        <v/>
      </c>
      <c r="E4155" s="25" t="inlineStr">
        <is>
          <t>ethomas</t>
        </is>
      </c>
      <c r="F4155" s="25" t="n">
        <v>128717</v>
      </c>
      <c r="G4155" s="25" t="n">
        <v>4</v>
      </c>
      <c r="H4155" s="25" t="n">
        <v>28</v>
      </c>
      <c r="I4155" s="25" t="inlineStr">
        <is>
          <t>3 minute(s) and 46 second(s)</t>
        </is>
      </c>
      <c r="J4155" s="25">
        <f>IFERROR(VALUE(TRIM(LEFT(I4155,FIND("minute",I4155)-1)))*60,0)+IFERROR(VALUE(SUBSTITUTE(MID(I4155,IFERROR(FIND("and",I4155)+3,1),20),"second(s)","")),0)</f>
        <v/>
      </c>
      <c r="K4155" s="41">
        <f>J4155/60</f>
        <v/>
      </c>
      <c r="L4155" s="41">
        <f>IFERROR(J4155/H4155,"")</f>
        <v/>
      </c>
      <c r="M4155" s="25" t="inlineStr">
        <is>
          <t>2.5.12</t>
        </is>
      </c>
      <c r="N4155" s="25">
        <f>IF(J4155&gt;300,1,0)</f>
        <v/>
      </c>
      <c r="O4155" s="25">
        <f>IF(J4155&gt;600,1,0)</f>
        <v/>
      </c>
      <c r="P4155" s="25">
        <f>IF(H4155&gt;0,J4155,"")</f>
        <v/>
      </c>
      <c r="Q4155" s="25">
        <f>TEXT(A4155,"YYYY-MM-DD HH")</f>
        <v/>
      </c>
      <c r="R4155" s="25">
        <f>COUNTIF($Q$2:$Q$5295,Q4155)</f>
        <v/>
      </c>
      <c r="S4155" s="25">
        <f>IF(R4155&lt;=2,"1-2",IF(R4155&lt;=5,"3-5",IF(R4155&lt;=10,"6-10","11+")))</f>
        <v/>
      </c>
    </row>
    <row r="4156">
      <c r="A4156" s="39" t="n">
        <v>46220.35375</v>
      </c>
      <c r="B4156" s="25">
        <f>TEXT(A4156,"YYYY-MM")</f>
        <v/>
      </c>
      <c r="C4156" s="25">
        <f>TEXT(A4156,"MMM-YYYY")</f>
        <v/>
      </c>
      <c r="D4156" s="40">
        <f>INT(A4156)-WEEKDAY(A4156,2)+1</f>
        <v/>
      </c>
      <c r="E4156" s="25" t="inlineStr">
        <is>
          <t>aupadhayay</t>
        </is>
      </c>
      <c r="F4156" s="25" t="n">
        <v>127963</v>
      </c>
      <c r="G4156" s="25" t="n">
        <v>3</v>
      </c>
      <c r="H4156" s="25" t="n">
        <v>13</v>
      </c>
      <c r="I4156" s="25" t="inlineStr">
        <is>
          <t>1 minute(s) and 39 second(s)</t>
        </is>
      </c>
      <c r="J4156" s="25">
        <f>IFERROR(VALUE(TRIM(LEFT(I4156,FIND("minute",I4156)-1)))*60,0)+IFERROR(VALUE(SUBSTITUTE(MID(I4156,IFERROR(FIND("and",I4156)+3,1),20),"second(s)","")),0)</f>
        <v/>
      </c>
      <c r="K4156" s="41">
        <f>J4156/60</f>
        <v/>
      </c>
      <c r="L4156" s="41">
        <f>IFERROR(J4156/H4156,"")</f>
        <v/>
      </c>
      <c r="M4156" s="25" t="inlineStr">
        <is>
          <t>2.5.12</t>
        </is>
      </c>
      <c r="N4156" s="25">
        <f>IF(J4156&gt;300,1,0)</f>
        <v/>
      </c>
      <c r="O4156" s="25">
        <f>IF(J4156&gt;600,1,0)</f>
        <v/>
      </c>
      <c r="P4156" s="25">
        <f>IF(H4156&gt;0,J4156,"")</f>
        <v/>
      </c>
      <c r="Q4156" s="25">
        <f>TEXT(A4156,"YYYY-MM-DD HH")</f>
        <v/>
      </c>
      <c r="R4156" s="25">
        <f>COUNTIF($Q$2:$Q$5295,Q4156)</f>
        <v/>
      </c>
      <c r="S4156" s="25">
        <f>IF(R4156&lt;=2,"1-2",IF(R4156&lt;=5,"3-5",IF(R4156&lt;=10,"6-10","11+")))</f>
        <v/>
      </c>
    </row>
    <row r="4157">
      <c r="A4157" s="39" t="n">
        <v>46220.35835648148</v>
      </c>
      <c r="B4157" s="25">
        <f>TEXT(A4157,"YYYY-MM")</f>
        <v/>
      </c>
      <c r="C4157" s="25">
        <f>TEXT(A4157,"MMM-YYYY")</f>
        <v/>
      </c>
      <c r="D4157" s="40">
        <f>INT(A4157)-WEEKDAY(A4157,2)+1</f>
        <v/>
      </c>
      <c r="E4157" s="25" t="inlineStr">
        <is>
          <t>emishra</t>
        </is>
      </c>
      <c r="F4157" s="25" t="n">
        <v>132857</v>
      </c>
      <c r="G4157" s="25" t="n">
        <v>5</v>
      </c>
      <c r="H4157" s="25" t="n">
        <v>21</v>
      </c>
      <c r="I4157" s="25" t="inlineStr">
        <is>
          <t>2 minute(s) and 39 second(s)</t>
        </is>
      </c>
      <c r="J4157" s="25">
        <f>IFERROR(VALUE(TRIM(LEFT(I4157,FIND("minute",I4157)-1)))*60,0)+IFERROR(VALUE(SUBSTITUTE(MID(I4157,IFERROR(FIND("and",I4157)+3,1),20),"second(s)","")),0)</f>
        <v/>
      </c>
      <c r="K4157" s="41">
        <f>J4157/60</f>
        <v/>
      </c>
      <c r="L4157" s="41">
        <f>IFERROR(J4157/H4157,"")</f>
        <v/>
      </c>
      <c r="M4157" s="25" t="inlineStr">
        <is>
          <t>2.5.12</t>
        </is>
      </c>
      <c r="N4157" s="25">
        <f>IF(J4157&gt;300,1,0)</f>
        <v/>
      </c>
      <c r="O4157" s="25">
        <f>IF(J4157&gt;600,1,0)</f>
        <v/>
      </c>
      <c r="P4157" s="25">
        <f>IF(H4157&gt;0,J4157,"")</f>
        <v/>
      </c>
      <c r="Q4157" s="25">
        <f>TEXT(A4157,"YYYY-MM-DD HH")</f>
        <v/>
      </c>
      <c r="R4157" s="25">
        <f>COUNTIF($Q$2:$Q$5295,Q4157)</f>
        <v/>
      </c>
      <c r="S4157" s="25">
        <f>IF(R4157&lt;=2,"1-2",IF(R4157&lt;=5,"3-5",IF(R4157&lt;=10,"6-10","11+")))</f>
        <v/>
      </c>
    </row>
    <row r="4158">
      <c r="A4158" s="39" t="n">
        <v>46220.37003472223</v>
      </c>
      <c r="B4158" s="25">
        <f>TEXT(A4158,"YYYY-MM")</f>
        <v/>
      </c>
      <c r="C4158" s="25">
        <f>TEXT(A4158,"MMM-YYYY")</f>
        <v/>
      </c>
      <c r="D4158" s="40">
        <f>INT(A4158)-WEEKDAY(A4158,2)+1</f>
        <v/>
      </c>
      <c r="E4158" s="25" t="inlineStr">
        <is>
          <t>mgupta</t>
        </is>
      </c>
      <c r="F4158" s="25" t="n">
        <v>128687</v>
      </c>
      <c r="G4158" s="25" t="n">
        <v>4</v>
      </c>
      <c r="H4158" s="25" t="n">
        <v>12</v>
      </c>
      <c r="I4158" s="25" t="inlineStr">
        <is>
          <t>50 second(s)</t>
        </is>
      </c>
      <c r="J4158" s="25">
        <f>IFERROR(VALUE(TRIM(LEFT(I4158,FIND("minute",I4158)-1)))*60,0)+IFERROR(VALUE(SUBSTITUTE(MID(I4158,IFERROR(FIND("and",I4158)+3,1),20),"second(s)","")),0)</f>
        <v/>
      </c>
      <c r="K4158" s="41">
        <f>J4158/60</f>
        <v/>
      </c>
      <c r="L4158" s="41">
        <f>IFERROR(J4158/H4158,"")</f>
        <v/>
      </c>
      <c r="M4158" s="25" t="inlineStr">
        <is>
          <t>2.5.12</t>
        </is>
      </c>
      <c r="N4158" s="25">
        <f>IF(J4158&gt;300,1,0)</f>
        <v/>
      </c>
      <c r="O4158" s="25">
        <f>IF(J4158&gt;600,1,0)</f>
        <v/>
      </c>
      <c r="P4158" s="25">
        <f>IF(H4158&gt;0,J4158,"")</f>
        <v/>
      </c>
      <c r="Q4158" s="25">
        <f>TEXT(A4158,"YYYY-MM-DD HH")</f>
        <v/>
      </c>
      <c r="R4158" s="25">
        <f>COUNTIF($Q$2:$Q$5295,Q4158)</f>
        <v/>
      </c>
      <c r="S4158" s="25">
        <f>IF(R4158&lt;=2,"1-2",IF(R4158&lt;=5,"3-5",IF(R4158&lt;=10,"6-10","11+")))</f>
        <v/>
      </c>
    </row>
    <row r="4159">
      <c r="A4159" s="39" t="n">
        <v>46220.37060185185</v>
      </c>
      <c r="B4159" s="25">
        <f>TEXT(A4159,"YYYY-MM")</f>
        <v/>
      </c>
      <c r="C4159" s="25">
        <f>TEXT(A4159,"MMM-YYYY")</f>
        <v/>
      </c>
      <c r="D4159" s="40">
        <f>INT(A4159)-WEEKDAY(A4159,2)+1</f>
        <v/>
      </c>
      <c r="E4159" s="25" t="inlineStr">
        <is>
          <t>shasikha</t>
        </is>
      </c>
      <c r="F4159" s="25" t="n">
        <v>130107</v>
      </c>
      <c r="G4159" s="25" t="n">
        <v>4</v>
      </c>
      <c r="H4159" s="25" t="n">
        <v>20</v>
      </c>
      <c r="I4159" s="25" t="inlineStr">
        <is>
          <t>3 minute(s) and 32 second(s)</t>
        </is>
      </c>
      <c r="J4159" s="25">
        <f>IFERROR(VALUE(TRIM(LEFT(I4159,FIND("minute",I4159)-1)))*60,0)+IFERROR(VALUE(SUBSTITUTE(MID(I4159,IFERROR(FIND("and",I4159)+3,1),20),"second(s)","")),0)</f>
        <v/>
      </c>
      <c r="K4159" s="41">
        <f>J4159/60</f>
        <v/>
      </c>
      <c r="L4159" s="41">
        <f>IFERROR(J4159/H4159,"")</f>
        <v/>
      </c>
      <c r="M4159" s="25" t="inlineStr">
        <is>
          <t>2.5.12</t>
        </is>
      </c>
      <c r="N4159" s="25">
        <f>IF(J4159&gt;300,1,0)</f>
        <v/>
      </c>
      <c r="O4159" s="25">
        <f>IF(J4159&gt;600,1,0)</f>
        <v/>
      </c>
      <c r="P4159" s="25">
        <f>IF(H4159&gt;0,J4159,"")</f>
        <v/>
      </c>
      <c r="Q4159" s="25">
        <f>TEXT(A4159,"YYYY-MM-DD HH")</f>
        <v/>
      </c>
      <c r="R4159" s="25">
        <f>COUNTIF($Q$2:$Q$5295,Q4159)</f>
        <v/>
      </c>
      <c r="S4159" s="25">
        <f>IF(R4159&lt;=2,"1-2",IF(R4159&lt;=5,"3-5",IF(R4159&lt;=10,"6-10","11+")))</f>
        <v/>
      </c>
    </row>
    <row r="4160">
      <c r="A4160" s="39" t="n">
        <v>46220.37399305555</v>
      </c>
      <c r="B4160" s="25">
        <f>TEXT(A4160,"YYYY-MM")</f>
        <v/>
      </c>
      <c r="C4160" s="25">
        <f>TEXT(A4160,"MMM-YYYY")</f>
        <v/>
      </c>
      <c r="D4160" s="40">
        <f>INT(A4160)-WEEKDAY(A4160,2)+1</f>
        <v/>
      </c>
      <c r="E4160" s="25" t="inlineStr">
        <is>
          <t>ssneha</t>
        </is>
      </c>
      <c r="F4160" s="25" t="n">
        <v>131791</v>
      </c>
      <c r="G4160" s="25" t="n">
        <v>4</v>
      </c>
      <c r="H4160" s="25" t="n">
        <v>14</v>
      </c>
      <c r="I4160" s="25" t="inlineStr">
        <is>
          <t>1 minute(s) and 18 second(s)</t>
        </is>
      </c>
      <c r="J4160" s="25">
        <f>IFERROR(VALUE(TRIM(LEFT(I4160,FIND("minute",I4160)-1)))*60,0)+IFERROR(VALUE(SUBSTITUTE(MID(I4160,IFERROR(FIND("and",I4160)+3,1),20),"second(s)","")),0)</f>
        <v/>
      </c>
      <c r="K4160" s="41">
        <f>J4160/60</f>
        <v/>
      </c>
      <c r="L4160" s="41">
        <f>IFERROR(J4160/H4160,"")</f>
        <v/>
      </c>
      <c r="M4160" s="25" t="inlineStr">
        <is>
          <t>2.5.12</t>
        </is>
      </c>
      <c r="N4160" s="25">
        <f>IF(J4160&gt;300,1,0)</f>
        <v/>
      </c>
      <c r="O4160" s="25">
        <f>IF(J4160&gt;600,1,0)</f>
        <v/>
      </c>
      <c r="P4160" s="25">
        <f>IF(H4160&gt;0,J4160,"")</f>
        <v/>
      </c>
      <c r="Q4160" s="25">
        <f>TEXT(A4160,"YYYY-MM-DD HH")</f>
        <v/>
      </c>
      <c r="R4160" s="25">
        <f>COUNTIF($Q$2:$Q$5295,Q4160)</f>
        <v/>
      </c>
      <c r="S4160" s="25">
        <f>IF(R4160&lt;=2,"1-2",IF(R4160&lt;=5,"3-5",IF(R4160&lt;=10,"6-10","11+")))</f>
        <v/>
      </c>
    </row>
    <row r="4161">
      <c r="A4161" s="39" t="n">
        <v>46220.37491898148</v>
      </c>
      <c r="B4161" s="25">
        <f>TEXT(A4161,"YYYY-MM")</f>
        <v/>
      </c>
      <c r="C4161" s="25">
        <f>TEXT(A4161,"MMM-YYYY")</f>
        <v/>
      </c>
      <c r="D4161" s="40">
        <f>INT(A4161)-WEEKDAY(A4161,2)+1</f>
        <v/>
      </c>
      <c r="E4161" s="25" t="inlineStr">
        <is>
          <t>ajain</t>
        </is>
      </c>
      <c r="F4161" s="25" t="n">
        <v>132537</v>
      </c>
      <c r="G4161" s="25" t="n">
        <v>3</v>
      </c>
      <c r="H4161" s="25" t="n">
        <v>15</v>
      </c>
      <c r="I4161" s="25" t="inlineStr">
        <is>
          <t>2 minute(s) and 8 second(s)</t>
        </is>
      </c>
      <c r="J4161" s="25">
        <f>IFERROR(VALUE(TRIM(LEFT(I4161,FIND("minute",I4161)-1)))*60,0)+IFERROR(VALUE(SUBSTITUTE(MID(I4161,IFERROR(FIND("and",I4161)+3,1),20),"second(s)","")),0)</f>
        <v/>
      </c>
      <c r="K4161" s="41">
        <f>J4161/60</f>
        <v/>
      </c>
      <c r="L4161" s="41">
        <f>IFERROR(J4161/H4161,"")</f>
        <v/>
      </c>
      <c r="M4161" s="25" t="inlineStr">
        <is>
          <t>2.5.12</t>
        </is>
      </c>
      <c r="N4161" s="25">
        <f>IF(J4161&gt;300,1,0)</f>
        <v/>
      </c>
      <c r="O4161" s="25">
        <f>IF(J4161&gt;600,1,0)</f>
        <v/>
      </c>
      <c r="P4161" s="25">
        <f>IF(H4161&gt;0,J4161,"")</f>
        <v/>
      </c>
      <c r="Q4161" s="25">
        <f>TEXT(A4161,"YYYY-MM-DD HH")</f>
        <v/>
      </c>
      <c r="R4161" s="25">
        <f>COUNTIF($Q$2:$Q$5295,Q4161)</f>
        <v/>
      </c>
      <c r="S4161" s="25">
        <f>IF(R4161&lt;=2,"1-2",IF(R4161&lt;=5,"3-5",IF(R4161&lt;=10,"6-10","11+")))</f>
        <v/>
      </c>
    </row>
    <row r="4162">
      <c r="A4162" s="39" t="n">
        <v>46220.37743055556</v>
      </c>
      <c r="B4162" s="25">
        <f>TEXT(A4162,"YYYY-MM")</f>
        <v/>
      </c>
      <c r="C4162" s="25">
        <f>TEXT(A4162,"MMM-YYYY")</f>
        <v/>
      </c>
      <c r="D4162" s="40">
        <f>INT(A4162)-WEEKDAY(A4162,2)+1</f>
        <v/>
      </c>
      <c r="E4162" s="25" t="inlineStr">
        <is>
          <t>apriyadarshi</t>
        </is>
      </c>
      <c r="F4162" s="25" t="n">
        <v>128123</v>
      </c>
      <c r="G4162" s="25" t="n">
        <v>2</v>
      </c>
      <c r="H4162" s="25" t="n">
        <v>8</v>
      </c>
      <c r="I4162" s="25" t="inlineStr">
        <is>
          <t>30 second(s)</t>
        </is>
      </c>
      <c r="J4162" s="25">
        <f>IFERROR(VALUE(TRIM(LEFT(I4162,FIND("minute",I4162)-1)))*60,0)+IFERROR(VALUE(SUBSTITUTE(MID(I4162,IFERROR(FIND("and",I4162)+3,1),20),"second(s)","")),0)</f>
        <v/>
      </c>
      <c r="K4162" s="41">
        <f>J4162/60</f>
        <v/>
      </c>
      <c r="L4162" s="41">
        <f>IFERROR(J4162/H4162,"")</f>
        <v/>
      </c>
      <c r="M4162" s="25" t="inlineStr">
        <is>
          <t>2.5.12</t>
        </is>
      </c>
      <c r="N4162" s="25">
        <f>IF(J4162&gt;300,1,0)</f>
        <v/>
      </c>
      <c r="O4162" s="25">
        <f>IF(J4162&gt;600,1,0)</f>
        <v/>
      </c>
      <c r="P4162" s="25">
        <f>IF(H4162&gt;0,J4162,"")</f>
        <v/>
      </c>
      <c r="Q4162" s="25">
        <f>TEXT(A4162,"YYYY-MM-DD HH")</f>
        <v/>
      </c>
      <c r="R4162" s="25">
        <f>COUNTIF($Q$2:$Q$5295,Q4162)</f>
        <v/>
      </c>
      <c r="S4162" s="25">
        <f>IF(R4162&lt;=2,"1-2",IF(R4162&lt;=5,"3-5",IF(R4162&lt;=10,"6-10","11+")))</f>
        <v/>
      </c>
    </row>
    <row r="4163">
      <c r="A4163" s="39" t="n">
        <v>46220.38189814815</v>
      </c>
      <c r="B4163" s="25">
        <f>TEXT(A4163,"YYYY-MM")</f>
        <v/>
      </c>
      <c r="C4163" s="25">
        <f>TEXT(A4163,"MMM-YYYY")</f>
        <v/>
      </c>
      <c r="D4163" s="40">
        <f>INT(A4163)-WEEKDAY(A4163,2)+1</f>
        <v/>
      </c>
      <c r="E4163" s="25" t="inlineStr">
        <is>
          <t>sthomas</t>
        </is>
      </c>
      <c r="F4163" s="25" t="n">
        <v>131456</v>
      </c>
      <c r="G4163" s="25" t="n">
        <v>3</v>
      </c>
      <c r="H4163" s="25" t="n">
        <v>15</v>
      </c>
      <c r="I4163" s="25" t="inlineStr">
        <is>
          <t>1 minute(s) and 25 second(s)</t>
        </is>
      </c>
      <c r="J4163" s="25">
        <f>IFERROR(VALUE(TRIM(LEFT(I4163,FIND("minute",I4163)-1)))*60,0)+IFERROR(VALUE(SUBSTITUTE(MID(I4163,IFERROR(FIND("and",I4163)+3,1),20),"second(s)","")),0)</f>
        <v/>
      </c>
      <c r="K4163" s="41">
        <f>J4163/60</f>
        <v/>
      </c>
      <c r="L4163" s="41">
        <f>IFERROR(J4163/H4163,"")</f>
        <v/>
      </c>
      <c r="M4163" s="25" t="inlineStr">
        <is>
          <t>2.5.12</t>
        </is>
      </c>
      <c r="N4163" s="25">
        <f>IF(J4163&gt;300,1,0)</f>
        <v/>
      </c>
      <c r="O4163" s="25">
        <f>IF(J4163&gt;600,1,0)</f>
        <v/>
      </c>
      <c r="P4163" s="25">
        <f>IF(H4163&gt;0,J4163,"")</f>
        <v/>
      </c>
      <c r="Q4163" s="25">
        <f>TEXT(A4163,"YYYY-MM-DD HH")</f>
        <v/>
      </c>
      <c r="R4163" s="25">
        <f>COUNTIF($Q$2:$Q$5295,Q4163)</f>
        <v/>
      </c>
      <c r="S4163" s="25">
        <f>IF(R4163&lt;=2,"1-2",IF(R4163&lt;=5,"3-5",IF(R4163&lt;=10,"6-10","11+")))</f>
        <v/>
      </c>
    </row>
    <row r="4164">
      <c r="A4164" s="39" t="n">
        <v>46220.3865162037</v>
      </c>
      <c r="B4164" s="25">
        <f>TEXT(A4164,"YYYY-MM")</f>
        <v/>
      </c>
      <c r="C4164" s="25">
        <f>TEXT(A4164,"MMM-YYYY")</f>
        <v/>
      </c>
      <c r="D4164" s="40">
        <f>INT(A4164)-WEEKDAY(A4164,2)+1</f>
        <v/>
      </c>
      <c r="E4164" s="25" t="inlineStr">
        <is>
          <t>sdey</t>
        </is>
      </c>
      <c r="F4164" s="25" t="n">
        <v>128990</v>
      </c>
      <c r="G4164" s="25" t="n">
        <v>4</v>
      </c>
      <c r="H4164" s="25" t="n">
        <v>20</v>
      </c>
      <c r="I4164" s="25" t="inlineStr">
        <is>
          <t>2 minute(s) and 47 second(s)</t>
        </is>
      </c>
      <c r="J4164" s="25">
        <f>IFERROR(VALUE(TRIM(LEFT(I4164,FIND("minute",I4164)-1)))*60,0)+IFERROR(VALUE(SUBSTITUTE(MID(I4164,IFERROR(FIND("and",I4164)+3,1),20),"second(s)","")),0)</f>
        <v/>
      </c>
      <c r="K4164" s="41">
        <f>J4164/60</f>
        <v/>
      </c>
      <c r="L4164" s="41">
        <f>IFERROR(J4164/H4164,"")</f>
        <v/>
      </c>
      <c r="M4164" s="25" t="inlineStr">
        <is>
          <t>2.5.12</t>
        </is>
      </c>
      <c r="N4164" s="25">
        <f>IF(J4164&gt;300,1,0)</f>
        <v/>
      </c>
      <c r="O4164" s="25">
        <f>IF(J4164&gt;600,1,0)</f>
        <v/>
      </c>
      <c r="P4164" s="25">
        <f>IF(H4164&gt;0,J4164,"")</f>
        <v/>
      </c>
      <c r="Q4164" s="25">
        <f>TEXT(A4164,"YYYY-MM-DD HH")</f>
        <v/>
      </c>
      <c r="R4164" s="25">
        <f>COUNTIF($Q$2:$Q$5295,Q4164)</f>
        <v/>
      </c>
      <c r="S4164" s="25">
        <f>IF(R4164&lt;=2,"1-2",IF(R4164&lt;=5,"3-5",IF(R4164&lt;=10,"6-10","11+")))</f>
        <v/>
      </c>
    </row>
    <row r="4165">
      <c r="A4165" s="39" t="n">
        <v>46220.39369212963</v>
      </c>
      <c r="B4165" s="25">
        <f>TEXT(A4165,"YYYY-MM")</f>
        <v/>
      </c>
      <c r="C4165" s="25">
        <f>TEXT(A4165,"MMM-YYYY")</f>
        <v/>
      </c>
      <c r="D4165" s="40">
        <f>INT(A4165)-WEEKDAY(A4165,2)+1</f>
        <v/>
      </c>
      <c r="E4165" s="25" t="inlineStr">
        <is>
          <t>tkarmakar</t>
        </is>
      </c>
      <c r="F4165" s="25" t="n">
        <v>131271</v>
      </c>
      <c r="G4165" s="25" t="n">
        <v>4</v>
      </c>
      <c r="H4165" s="25" t="n">
        <v>18</v>
      </c>
      <c r="I4165" s="25" t="inlineStr">
        <is>
          <t>2 minute(s) and 4 second(s)</t>
        </is>
      </c>
      <c r="J4165" s="25">
        <f>IFERROR(VALUE(TRIM(LEFT(I4165,FIND("minute",I4165)-1)))*60,0)+IFERROR(VALUE(SUBSTITUTE(MID(I4165,IFERROR(FIND("and",I4165)+3,1),20),"second(s)","")),0)</f>
        <v/>
      </c>
      <c r="K4165" s="41">
        <f>J4165/60</f>
        <v/>
      </c>
      <c r="L4165" s="41">
        <f>IFERROR(J4165/H4165,"")</f>
        <v/>
      </c>
      <c r="M4165" s="25" t="inlineStr">
        <is>
          <t>2.5.12</t>
        </is>
      </c>
      <c r="N4165" s="25">
        <f>IF(J4165&gt;300,1,0)</f>
        <v/>
      </c>
      <c r="O4165" s="25">
        <f>IF(J4165&gt;600,1,0)</f>
        <v/>
      </c>
      <c r="P4165" s="25">
        <f>IF(H4165&gt;0,J4165,"")</f>
        <v/>
      </c>
      <c r="Q4165" s="25">
        <f>TEXT(A4165,"YYYY-MM-DD HH")</f>
        <v/>
      </c>
      <c r="R4165" s="25">
        <f>COUNTIF($Q$2:$Q$5295,Q4165)</f>
        <v/>
      </c>
      <c r="S4165" s="25">
        <f>IF(R4165&lt;=2,"1-2",IF(R4165&lt;=5,"3-5",IF(R4165&lt;=10,"6-10","11+")))</f>
        <v/>
      </c>
    </row>
    <row r="4166">
      <c r="A4166" s="39" t="n">
        <v>46220.39497685185</v>
      </c>
      <c r="B4166" s="25">
        <f>TEXT(A4166,"YYYY-MM")</f>
        <v/>
      </c>
      <c r="C4166" s="25">
        <f>TEXT(A4166,"MMM-YYYY")</f>
        <v/>
      </c>
      <c r="D4166" s="40">
        <f>INT(A4166)-WEEKDAY(A4166,2)+1</f>
        <v/>
      </c>
      <c r="E4166" s="25" t="inlineStr">
        <is>
          <t>pgautam</t>
        </is>
      </c>
      <c r="F4166" s="25" t="n">
        <v>129590</v>
      </c>
      <c r="G4166" s="25" t="n">
        <v>4</v>
      </c>
      <c r="H4166" s="25" t="n">
        <v>24</v>
      </c>
      <c r="I4166" s="25" t="inlineStr">
        <is>
          <t>2 minute(s) and 0 second(s)</t>
        </is>
      </c>
      <c r="J4166" s="25">
        <f>IFERROR(VALUE(TRIM(LEFT(I4166,FIND("minute",I4166)-1)))*60,0)+IFERROR(VALUE(SUBSTITUTE(MID(I4166,IFERROR(FIND("and",I4166)+3,1),20),"second(s)","")),0)</f>
        <v/>
      </c>
      <c r="K4166" s="41">
        <f>J4166/60</f>
        <v/>
      </c>
      <c r="L4166" s="41">
        <f>IFERROR(J4166/H4166,"")</f>
        <v/>
      </c>
      <c r="M4166" s="25" t="inlineStr">
        <is>
          <t>2.5.12</t>
        </is>
      </c>
      <c r="N4166" s="25">
        <f>IF(J4166&gt;300,1,0)</f>
        <v/>
      </c>
      <c r="O4166" s="25">
        <f>IF(J4166&gt;600,1,0)</f>
        <v/>
      </c>
      <c r="P4166" s="25">
        <f>IF(H4166&gt;0,J4166,"")</f>
        <v/>
      </c>
      <c r="Q4166" s="25">
        <f>TEXT(A4166,"YYYY-MM-DD HH")</f>
        <v/>
      </c>
      <c r="R4166" s="25">
        <f>COUNTIF($Q$2:$Q$5295,Q4166)</f>
        <v/>
      </c>
      <c r="S4166" s="25">
        <f>IF(R4166&lt;=2,"1-2",IF(R4166&lt;=5,"3-5",IF(R4166&lt;=10,"6-10","11+")))</f>
        <v/>
      </c>
    </row>
    <row r="4167">
      <c r="A4167" s="39" t="n">
        <v>46220.39729166667</v>
      </c>
      <c r="B4167" s="25">
        <f>TEXT(A4167,"YYYY-MM")</f>
        <v/>
      </c>
      <c r="C4167" s="25">
        <f>TEXT(A4167,"MMM-YYYY")</f>
        <v/>
      </c>
      <c r="D4167" s="40">
        <f>INT(A4167)-WEEKDAY(A4167,2)+1</f>
        <v/>
      </c>
      <c r="E4167" s="25" t="inlineStr">
        <is>
          <t>smukhopadhyay</t>
        </is>
      </c>
      <c r="F4167" s="25" t="n">
        <v>130172</v>
      </c>
      <c r="G4167" s="25" t="n">
        <v>1</v>
      </c>
      <c r="H4167" s="25" t="n">
        <v>5</v>
      </c>
      <c r="I4167" s="25" t="inlineStr">
        <is>
          <t>32 second(s)</t>
        </is>
      </c>
      <c r="J4167" s="25">
        <f>IFERROR(VALUE(TRIM(LEFT(I4167,FIND("minute",I4167)-1)))*60,0)+IFERROR(VALUE(SUBSTITUTE(MID(I4167,IFERROR(FIND("and",I4167)+3,1),20),"second(s)","")),0)</f>
        <v/>
      </c>
      <c r="K4167" s="41">
        <f>J4167/60</f>
        <v/>
      </c>
      <c r="L4167" s="41">
        <f>IFERROR(J4167/H4167,"")</f>
        <v/>
      </c>
      <c r="M4167" s="25" t="inlineStr">
        <is>
          <t>2.5.12</t>
        </is>
      </c>
      <c r="N4167" s="25">
        <f>IF(J4167&gt;300,1,0)</f>
        <v/>
      </c>
      <c r="O4167" s="25">
        <f>IF(J4167&gt;600,1,0)</f>
        <v/>
      </c>
      <c r="P4167" s="25">
        <f>IF(H4167&gt;0,J4167,"")</f>
        <v/>
      </c>
      <c r="Q4167" s="25">
        <f>TEXT(A4167,"YYYY-MM-DD HH")</f>
        <v/>
      </c>
      <c r="R4167" s="25">
        <f>COUNTIF($Q$2:$Q$5295,Q4167)</f>
        <v/>
      </c>
      <c r="S4167" s="25">
        <f>IF(R4167&lt;=2,"1-2",IF(R4167&lt;=5,"3-5",IF(R4167&lt;=10,"6-10","11+")))</f>
        <v/>
      </c>
    </row>
    <row r="4168">
      <c r="A4168" s="39" t="n">
        <v>46220.39825231482</v>
      </c>
      <c r="B4168" s="25">
        <f>TEXT(A4168,"YYYY-MM")</f>
        <v/>
      </c>
      <c r="C4168" s="25">
        <f>TEXT(A4168,"MMM-YYYY")</f>
        <v/>
      </c>
      <c r="D4168" s="40">
        <f>INT(A4168)-WEEKDAY(A4168,2)+1</f>
        <v/>
      </c>
      <c r="E4168" s="25" t="inlineStr">
        <is>
          <t>ssrinivasan</t>
        </is>
      </c>
      <c r="F4168" s="25" t="n">
        <v>130219</v>
      </c>
      <c r="G4168" s="25" t="n">
        <v>6</v>
      </c>
      <c r="H4168" s="25" t="n">
        <v>32</v>
      </c>
      <c r="I4168" s="25" t="inlineStr">
        <is>
          <t>2 minute(s) and 44 second(s)</t>
        </is>
      </c>
      <c r="J4168" s="25">
        <f>IFERROR(VALUE(TRIM(LEFT(I4168,FIND("minute",I4168)-1)))*60,0)+IFERROR(VALUE(SUBSTITUTE(MID(I4168,IFERROR(FIND("and",I4168)+3,1),20),"second(s)","")),0)</f>
        <v/>
      </c>
      <c r="K4168" s="41">
        <f>J4168/60</f>
        <v/>
      </c>
      <c r="L4168" s="41">
        <f>IFERROR(J4168/H4168,"")</f>
        <v/>
      </c>
      <c r="M4168" s="25" t="inlineStr">
        <is>
          <t>2.5.12</t>
        </is>
      </c>
      <c r="N4168" s="25">
        <f>IF(J4168&gt;300,1,0)</f>
        <v/>
      </c>
      <c r="O4168" s="25">
        <f>IF(J4168&gt;600,1,0)</f>
        <v/>
      </c>
      <c r="P4168" s="25">
        <f>IF(H4168&gt;0,J4168,"")</f>
        <v/>
      </c>
      <c r="Q4168" s="25">
        <f>TEXT(A4168,"YYYY-MM-DD HH")</f>
        <v/>
      </c>
      <c r="R4168" s="25">
        <f>COUNTIF($Q$2:$Q$5295,Q4168)</f>
        <v/>
      </c>
      <c r="S4168" s="25">
        <f>IF(R4168&lt;=2,"1-2",IF(R4168&lt;=5,"3-5",IF(R4168&lt;=10,"6-10","11+")))</f>
        <v/>
      </c>
    </row>
    <row r="4169">
      <c r="A4169" s="39" t="n">
        <v>46220.39898148148</v>
      </c>
      <c r="B4169" s="25">
        <f>TEXT(A4169,"YYYY-MM")</f>
        <v/>
      </c>
      <c r="C4169" s="25">
        <f>TEXT(A4169,"MMM-YYYY")</f>
        <v/>
      </c>
      <c r="D4169" s="40">
        <f>INT(A4169)-WEEKDAY(A4169,2)+1</f>
        <v/>
      </c>
      <c r="E4169" s="25" t="inlineStr">
        <is>
          <t>ethomas</t>
        </is>
      </c>
      <c r="F4169" s="25" t="n">
        <v>128117</v>
      </c>
      <c r="G4169" s="25" t="n">
        <v>2</v>
      </c>
      <c r="H4169" s="25" t="n">
        <v>13</v>
      </c>
      <c r="I4169" s="25" t="inlineStr">
        <is>
          <t>1 minute(s) and 26 second(s)</t>
        </is>
      </c>
      <c r="J4169" s="25">
        <f>IFERROR(VALUE(TRIM(LEFT(I4169,FIND("minute",I4169)-1)))*60,0)+IFERROR(VALUE(SUBSTITUTE(MID(I4169,IFERROR(FIND("and",I4169)+3,1),20),"second(s)","")),0)</f>
        <v/>
      </c>
      <c r="K4169" s="41">
        <f>J4169/60</f>
        <v/>
      </c>
      <c r="L4169" s="41">
        <f>IFERROR(J4169/H4169,"")</f>
        <v/>
      </c>
      <c r="M4169" s="25" t="inlineStr">
        <is>
          <t>2.5.12</t>
        </is>
      </c>
      <c r="N4169" s="25">
        <f>IF(J4169&gt;300,1,0)</f>
        <v/>
      </c>
      <c r="O4169" s="25">
        <f>IF(J4169&gt;600,1,0)</f>
        <v/>
      </c>
      <c r="P4169" s="25">
        <f>IF(H4169&gt;0,J4169,"")</f>
        <v/>
      </c>
      <c r="Q4169" s="25">
        <f>TEXT(A4169,"YYYY-MM-DD HH")</f>
        <v/>
      </c>
      <c r="R4169" s="25">
        <f>COUNTIF($Q$2:$Q$5295,Q4169)</f>
        <v/>
      </c>
      <c r="S4169" s="25">
        <f>IF(R4169&lt;=2,"1-2",IF(R4169&lt;=5,"3-5",IF(R4169&lt;=10,"6-10","11+")))</f>
        <v/>
      </c>
    </row>
    <row r="4170">
      <c r="A4170" s="39" t="n">
        <v>46220.39908564815</v>
      </c>
      <c r="B4170" s="25">
        <f>TEXT(A4170,"YYYY-MM")</f>
        <v/>
      </c>
      <c r="C4170" s="25">
        <f>TEXT(A4170,"MMM-YYYY")</f>
        <v/>
      </c>
      <c r="D4170" s="40">
        <f>INT(A4170)-WEEKDAY(A4170,2)+1</f>
        <v/>
      </c>
      <c r="E4170" s="25" t="inlineStr">
        <is>
          <t>psathwika</t>
        </is>
      </c>
      <c r="F4170" s="25" t="n">
        <v>128528</v>
      </c>
      <c r="G4170" s="25" t="n">
        <v>3</v>
      </c>
      <c r="H4170" s="25" t="n">
        <v>13</v>
      </c>
      <c r="I4170" s="25" t="inlineStr">
        <is>
          <t>1 minute(s) and 21 second(s)</t>
        </is>
      </c>
      <c r="J4170" s="25">
        <f>IFERROR(VALUE(TRIM(LEFT(I4170,FIND("minute",I4170)-1)))*60,0)+IFERROR(VALUE(SUBSTITUTE(MID(I4170,IFERROR(FIND("and",I4170)+3,1),20),"second(s)","")),0)</f>
        <v/>
      </c>
      <c r="K4170" s="41">
        <f>J4170/60</f>
        <v/>
      </c>
      <c r="L4170" s="41">
        <f>IFERROR(J4170/H4170,"")</f>
        <v/>
      </c>
      <c r="M4170" s="25" t="inlineStr">
        <is>
          <t>2.5.12</t>
        </is>
      </c>
      <c r="N4170" s="25">
        <f>IF(J4170&gt;300,1,0)</f>
        <v/>
      </c>
      <c r="O4170" s="25">
        <f>IF(J4170&gt;600,1,0)</f>
        <v/>
      </c>
      <c r="P4170" s="25">
        <f>IF(H4170&gt;0,J4170,"")</f>
        <v/>
      </c>
      <c r="Q4170" s="25">
        <f>TEXT(A4170,"YYYY-MM-DD HH")</f>
        <v/>
      </c>
      <c r="R4170" s="25">
        <f>COUNTIF($Q$2:$Q$5295,Q4170)</f>
        <v/>
      </c>
      <c r="S4170" s="25">
        <f>IF(R4170&lt;=2,"1-2",IF(R4170&lt;=5,"3-5",IF(R4170&lt;=10,"6-10","11+")))</f>
        <v/>
      </c>
    </row>
    <row r="4171">
      <c r="A4171" s="39" t="n">
        <v>46220.39917824074</v>
      </c>
      <c r="B4171" s="25">
        <f>TEXT(A4171,"YYYY-MM")</f>
        <v/>
      </c>
      <c r="C4171" s="25">
        <f>TEXT(A4171,"MMM-YYYY")</f>
        <v/>
      </c>
      <c r="D4171" s="40">
        <f>INT(A4171)-WEEKDAY(A4171,2)+1</f>
        <v/>
      </c>
      <c r="E4171" s="25" t="inlineStr">
        <is>
          <t>shassan</t>
        </is>
      </c>
      <c r="F4171" s="25" t="n">
        <v>128351</v>
      </c>
      <c r="G4171" s="25" t="n">
        <v>4</v>
      </c>
      <c r="H4171" s="25" t="n">
        <v>20</v>
      </c>
      <c r="I4171" s="25" t="inlineStr">
        <is>
          <t>1 minute(s) and 34 second(s)</t>
        </is>
      </c>
      <c r="J4171" s="25">
        <f>IFERROR(VALUE(TRIM(LEFT(I4171,FIND("minute",I4171)-1)))*60,0)+IFERROR(VALUE(SUBSTITUTE(MID(I4171,IFERROR(FIND("and",I4171)+3,1),20),"second(s)","")),0)</f>
        <v/>
      </c>
      <c r="K4171" s="41">
        <f>J4171/60</f>
        <v/>
      </c>
      <c r="L4171" s="41">
        <f>IFERROR(J4171/H4171,"")</f>
        <v/>
      </c>
      <c r="M4171" s="25" t="inlineStr">
        <is>
          <t>2.5.12</t>
        </is>
      </c>
      <c r="N4171" s="25">
        <f>IF(J4171&gt;300,1,0)</f>
        <v/>
      </c>
      <c r="O4171" s="25">
        <f>IF(J4171&gt;600,1,0)</f>
        <v/>
      </c>
      <c r="P4171" s="25">
        <f>IF(H4171&gt;0,J4171,"")</f>
        <v/>
      </c>
      <c r="Q4171" s="25">
        <f>TEXT(A4171,"YYYY-MM-DD HH")</f>
        <v/>
      </c>
      <c r="R4171" s="25">
        <f>COUNTIF($Q$2:$Q$5295,Q4171)</f>
        <v/>
      </c>
      <c r="S4171" s="25">
        <f>IF(R4171&lt;=2,"1-2",IF(R4171&lt;=5,"3-5",IF(R4171&lt;=10,"6-10","11+")))</f>
        <v/>
      </c>
    </row>
    <row r="4172">
      <c r="A4172" s="39" t="n">
        <v>46220.40482638889</v>
      </c>
      <c r="B4172" s="25">
        <f>TEXT(A4172,"YYYY-MM")</f>
        <v/>
      </c>
      <c r="C4172" s="25">
        <f>TEXT(A4172,"MMM-YYYY")</f>
        <v/>
      </c>
      <c r="D4172" s="40">
        <f>INT(A4172)-WEEKDAY(A4172,2)+1</f>
        <v/>
      </c>
      <c r="E4172" s="25" t="inlineStr">
        <is>
          <t>sdey</t>
        </is>
      </c>
      <c r="F4172" s="25" t="n">
        <v>128990</v>
      </c>
      <c r="G4172" s="25" t="n">
        <v>4</v>
      </c>
      <c r="H4172" s="25" t="n">
        <v>20</v>
      </c>
      <c r="I4172" s="25" t="inlineStr">
        <is>
          <t>3 minute(s) and 58 second(s)</t>
        </is>
      </c>
      <c r="J4172" s="25">
        <f>IFERROR(VALUE(TRIM(LEFT(I4172,FIND("minute",I4172)-1)))*60,0)+IFERROR(VALUE(SUBSTITUTE(MID(I4172,IFERROR(FIND("and",I4172)+3,1),20),"second(s)","")),0)</f>
        <v/>
      </c>
      <c r="K4172" s="41">
        <f>J4172/60</f>
        <v/>
      </c>
      <c r="L4172" s="41">
        <f>IFERROR(J4172/H4172,"")</f>
        <v/>
      </c>
      <c r="M4172" s="25" t="inlineStr">
        <is>
          <t>2.5.12</t>
        </is>
      </c>
      <c r="N4172" s="25">
        <f>IF(J4172&gt;300,1,0)</f>
        <v/>
      </c>
      <c r="O4172" s="25">
        <f>IF(J4172&gt;600,1,0)</f>
        <v/>
      </c>
      <c r="P4172" s="25">
        <f>IF(H4172&gt;0,J4172,"")</f>
        <v/>
      </c>
      <c r="Q4172" s="25">
        <f>TEXT(A4172,"YYYY-MM-DD HH")</f>
        <v/>
      </c>
      <c r="R4172" s="25">
        <f>COUNTIF($Q$2:$Q$5295,Q4172)</f>
        <v/>
      </c>
      <c r="S4172" s="25">
        <f>IF(R4172&lt;=2,"1-2",IF(R4172&lt;=5,"3-5",IF(R4172&lt;=10,"6-10","11+")))</f>
        <v/>
      </c>
    </row>
    <row r="4173">
      <c r="A4173" s="39" t="n">
        <v>46220.40630787037</v>
      </c>
      <c r="B4173" s="25">
        <f>TEXT(A4173,"YYYY-MM")</f>
        <v/>
      </c>
      <c r="C4173" s="25">
        <f>TEXT(A4173,"MMM-YYYY")</f>
        <v/>
      </c>
      <c r="D4173" s="40">
        <f>INT(A4173)-WEEKDAY(A4173,2)+1</f>
        <v/>
      </c>
      <c r="E4173" s="25" t="inlineStr">
        <is>
          <t>ns</t>
        </is>
      </c>
      <c r="F4173" s="25" t="n">
        <v>128707</v>
      </c>
      <c r="G4173" s="25" t="n">
        <v>2</v>
      </c>
      <c r="H4173" s="25" t="n">
        <v>10</v>
      </c>
      <c r="I4173" s="25" t="inlineStr">
        <is>
          <t>1 minute(s) and 39 second(s)</t>
        </is>
      </c>
      <c r="J4173" s="25">
        <f>IFERROR(VALUE(TRIM(LEFT(I4173,FIND("minute",I4173)-1)))*60,0)+IFERROR(VALUE(SUBSTITUTE(MID(I4173,IFERROR(FIND("and",I4173)+3,1),20),"second(s)","")),0)</f>
        <v/>
      </c>
      <c r="K4173" s="41">
        <f>J4173/60</f>
        <v/>
      </c>
      <c r="L4173" s="41">
        <f>IFERROR(J4173/H4173,"")</f>
        <v/>
      </c>
      <c r="M4173" s="25" t="inlineStr">
        <is>
          <t>2.5.12</t>
        </is>
      </c>
      <c r="N4173" s="25">
        <f>IF(J4173&gt;300,1,0)</f>
        <v/>
      </c>
      <c r="O4173" s="25">
        <f>IF(J4173&gt;600,1,0)</f>
        <v/>
      </c>
      <c r="P4173" s="25">
        <f>IF(H4173&gt;0,J4173,"")</f>
        <v/>
      </c>
      <c r="Q4173" s="25">
        <f>TEXT(A4173,"YYYY-MM-DD HH")</f>
        <v/>
      </c>
      <c r="R4173" s="25">
        <f>COUNTIF($Q$2:$Q$5295,Q4173)</f>
        <v/>
      </c>
      <c r="S4173" s="25">
        <f>IF(R4173&lt;=2,"1-2",IF(R4173&lt;=5,"3-5",IF(R4173&lt;=10,"6-10","11+")))</f>
        <v/>
      </c>
    </row>
    <row r="4174">
      <c r="A4174" s="39" t="n">
        <v>46220.41598379629</v>
      </c>
      <c r="B4174" s="25">
        <f>TEXT(A4174,"YYYY-MM")</f>
        <v/>
      </c>
      <c r="C4174" s="25">
        <f>TEXT(A4174,"MMM-YYYY")</f>
        <v/>
      </c>
      <c r="D4174" s="40">
        <f>INT(A4174)-WEEKDAY(A4174,2)+1</f>
        <v/>
      </c>
      <c r="E4174" s="25" t="inlineStr">
        <is>
          <t>sdey</t>
        </is>
      </c>
      <c r="F4174" s="25" t="n">
        <v>128990</v>
      </c>
      <c r="G4174" s="25" t="n">
        <v>4</v>
      </c>
      <c r="H4174" s="25" t="n">
        <v>20</v>
      </c>
      <c r="I4174" s="25" t="inlineStr">
        <is>
          <t>3 minute(s) and 36 second(s)</t>
        </is>
      </c>
      <c r="J4174" s="25">
        <f>IFERROR(VALUE(TRIM(LEFT(I4174,FIND("minute",I4174)-1)))*60,0)+IFERROR(VALUE(SUBSTITUTE(MID(I4174,IFERROR(FIND("and",I4174)+3,1),20),"second(s)","")),0)</f>
        <v/>
      </c>
      <c r="K4174" s="41">
        <f>J4174/60</f>
        <v/>
      </c>
      <c r="L4174" s="41">
        <f>IFERROR(J4174/H4174,"")</f>
        <v/>
      </c>
      <c r="M4174" s="25" t="inlineStr">
        <is>
          <t>2.5.12</t>
        </is>
      </c>
      <c r="N4174" s="25">
        <f>IF(J4174&gt;300,1,0)</f>
        <v/>
      </c>
      <c r="O4174" s="25">
        <f>IF(J4174&gt;600,1,0)</f>
        <v/>
      </c>
      <c r="P4174" s="25">
        <f>IF(H4174&gt;0,J4174,"")</f>
        <v/>
      </c>
      <c r="Q4174" s="25">
        <f>TEXT(A4174,"YYYY-MM-DD HH")</f>
        <v/>
      </c>
      <c r="R4174" s="25">
        <f>COUNTIF($Q$2:$Q$5295,Q4174)</f>
        <v/>
      </c>
      <c r="S4174" s="25">
        <f>IF(R4174&lt;=2,"1-2",IF(R4174&lt;=5,"3-5",IF(R4174&lt;=10,"6-10","11+")))</f>
        <v/>
      </c>
    </row>
    <row r="4175">
      <c r="A4175" s="39" t="n">
        <v>46220.41990740741</v>
      </c>
      <c r="B4175" s="25">
        <f>TEXT(A4175,"YYYY-MM")</f>
        <v/>
      </c>
      <c r="C4175" s="25">
        <f>TEXT(A4175,"MMM-YYYY")</f>
        <v/>
      </c>
      <c r="D4175" s="40">
        <f>INT(A4175)-WEEKDAY(A4175,2)+1</f>
        <v/>
      </c>
      <c r="E4175" s="25" t="inlineStr">
        <is>
          <t>emishra</t>
        </is>
      </c>
      <c r="F4175" s="25" t="n">
        <v>132913</v>
      </c>
      <c r="G4175" s="25" t="n">
        <v>3</v>
      </c>
      <c r="H4175" s="25" t="n">
        <v>19</v>
      </c>
      <c r="I4175" s="25" t="inlineStr">
        <is>
          <t>3 minute(s) and 45 second(s)</t>
        </is>
      </c>
      <c r="J4175" s="25">
        <f>IFERROR(VALUE(TRIM(LEFT(I4175,FIND("minute",I4175)-1)))*60,0)+IFERROR(VALUE(SUBSTITUTE(MID(I4175,IFERROR(FIND("and",I4175)+3,1),20),"second(s)","")),0)</f>
        <v/>
      </c>
      <c r="K4175" s="41">
        <f>J4175/60</f>
        <v/>
      </c>
      <c r="L4175" s="41">
        <f>IFERROR(J4175/H4175,"")</f>
        <v/>
      </c>
      <c r="M4175" s="25" t="inlineStr">
        <is>
          <t>2.5.12</t>
        </is>
      </c>
      <c r="N4175" s="25">
        <f>IF(J4175&gt;300,1,0)</f>
        <v/>
      </c>
      <c r="O4175" s="25">
        <f>IF(J4175&gt;600,1,0)</f>
        <v/>
      </c>
      <c r="P4175" s="25">
        <f>IF(H4175&gt;0,J4175,"")</f>
        <v/>
      </c>
      <c r="Q4175" s="25">
        <f>TEXT(A4175,"YYYY-MM-DD HH")</f>
        <v/>
      </c>
      <c r="R4175" s="25">
        <f>COUNTIF($Q$2:$Q$5295,Q4175)</f>
        <v/>
      </c>
      <c r="S4175" s="25">
        <f>IF(R4175&lt;=2,"1-2",IF(R4175&lt;=5,"3-5",IF(R4175&lt;=10,"6-10","11+")))</f>
        <v/>
      </c>
    </row>
    <row r="4176">
      <c r="A4176" s="39" t="n">
        <v>46220.43060185185</v>
      </c>
      <c r="B4176" s="25">
        <f>TEXT(A4176,"YYYY-MM")</f>
        <v/>
      </c>
      <c r="C4176" s="25">
        <f>TEXT(A4176,"MMM-YYYY")</f>
        <v/>
      </c>
      <c r="D4176" s="40">
        <f>INT(A4176)-WEEKDAY(A4176,2)+1</f>
        <v/>
      </c>
      <c r="E4176" s="25" t="inlineStr">
        <is>
          <t>adey</t>
        </is>
      </c>
      <c r="F4176" s="25" t="n">
        <v>130555</v>
      </c>
      <c r="G4176" s="25" t="n">
        <v>4</v>
      </c>
      <c r="H4176" s="25" t="n">
        <v>22</v>
      </c>
      <c r="I4176" s="25" t="inlineStr">
        <is>
          <t>1 minute(s) and 44 second(s)</t>
        </is>
      </c>
      <c r="J4176" s="25">
        <f>IFERROR(VALUE(TRIM(LEFT(I4176,FIND("minute",I4176)-1)))*60,0)+IFERROR(VALUE(SUBSTITUTE(MID(I4176,IFERROR(FIND("and",I4176)+3,1),20),"second(s)","")),0)</f>
        <v/>
      </c>
      <c r="K4176" s="41">
        <f>J4176/60</f>
        <v/>
      </c>
      <c r="L4176" s="41">
        <f>IFERROR(J4176/H4176,"")</f>
        <v/>
      </c>
      <c r="M4176" s="25" t="inlineStr">
        <is>
          <t>2.5.12</t>
        </is>
      </c>
      <c r="N4176" s="25">
        <f>IF(J4176&gt;300,1,0)</f>
        <v/>
      </c>
      <c r="O4176" s="25">
        <f>IF(J4176&gt;600,1,0)</f>
        <v/>
      </c>
      <c r="P4176" s="25">
        <f>IF(H4176&gt;0,J4176,"")</f>
        <v/>
      </c>
      <c r="Q4176" s="25">
        <f>TEXT(A4176,"YYYY-MM-DD HH")</f>
        <v/>
      </c>
      <c r="R4176" s="25">
        <f>COUNTIF($Q$2:$Q$5295,Q4176)</f>
        <v/>
      </c>
      <c r="S4176" s="25">
        <f>IF(R4176&lt;=2,"1-2",IF(R4176&lt;=5,"3-5",IF(R4176&lt;=10,"6-10","11+")))</f>
        <v/>
      </c>
    </row>
    <row r="4177">
      <c r="A4177" s="39" t="n">
        <v>46220.43099537037</v>
      </c>
      <c r="B4177" s="25">
        <f>TEXT(A4177,"YYYY-MM")</f>
        <v/>
      </c>
      <c r="C4177" s="25">
        <f>TEXT(A4177,"MMM-YYYY")</f>
        <v/>
      </c>
      <c r="D4177" s="40">
        <f>INT(A4177)-WEEKDAY(A4177,2)+1</f>
        <v/>
      </c>
      <c r="E4177" s="25" t="inlineStr">
        <is>
          <t>ethomas</t>
        </is>
      </c>
      <c r="F4177" s="25" t="n">
        <v>132085</v>
      </c>
      <c r="G4177" s="25" t="n">
        <v>3</v>
      </c>
      <c r="H4177" s="25" t="n">
        <v>19</v>
      </c>
      <c r="I4177" s="25" t="inlineStr">
        <is>
          <t>2 minute(s) and 49 second(s)</t>
        </is>
      </c>
      <c r="J4177" s="25">
        <f>IFERROR(VALUE(TRIM(LEFT(I4177,FIND("minute",I4177)-1)))*60,0)+IFERROR(VALUE(SUBSTITUTE(MID(I4177,IFERROR(FIND("and",I4177)+3,1),20),"second(s)","")),0)</f>
        <v/>
      </c>
      <c r="K4177" s="41">
        <f>J4177/60</f>
        <v/>
      </c>
      <c r="L4177" s="41">
        <f>IFERROR(J4177/H4177,"")</f>
        <v/>
      </c>
      <c r="M4177" s="25" t="inlineStr">
        <is>
          <t>2.5.12</t>
        </is>
      </c>
      <c r="N4177" s="25">
        <f>IF(J4177&gt;300,1,0)</f>
        <v/>
      </c>
      <c r="O4177" s="25">
        <f>IF(J4177&gt;600,1,0)</f>
        <v/>
      </c>
      <c r="P4177" s="25">
        <f>IF(H4177&gt;0,J4177,"")</f>
        <v/>
      </c>
      <c r="Q4177" s="25">
        <f>TEXT(A4177,"YYYY-MM-DD HH")</f>
        <v/>
      </c>
      <c r="R4177" s="25">
        <f>COUNTIF($Q$2:$Q$5295,Q4177)</f>
        <v/>
      </c>
      <c r="S4177" s="25">
        <f>IF(R4177&lt;=2,"1-2",IF(R4177&lt;=5,"3-5",IF(R4177&lt;=10,"6-10","11+")))</f>
        <v/>
      </c>
    </row>
    <row r="4178">
      <c r="A4178" s="39" t="n">
        <v>46220.44857638889</v>
      </c>
      <c r="B4178" s="25">
        <f>TEXT(A4178,"YYYY-MM")</f>
        <v/>
      </c>
      <c r="C4178" s="25">
        <f>TEXT(A4178,"MMM-YYYY")</f>
        <v/>
      </c>
      <c r="D4178" s="40">
        <f>INT(A4178)-WEEKDAY(A4178,2)+1</f>
        <v/>
      </c>
      <c r="E4178" s="25" t="inlineStr">
        <is>
          <t>sthomas</t>
        </is>
      </c>
      <c r="F4178" s="25" t="n">
        <v>130216</v>
      </c>
      <c r="G4178" s="25" t="n">
        <v>4</v>
      </c>
      <c r="H4178" s="25" t="n">
        <v>20</v>
      </c>
      <c r="I4178" s="25" t="inlineStr">
        <is>
          <t>1 minute(s) and 45 second(s)</t>
        </is>
      </c>
      <c r="J4178" s="25">
        <f>IFERROR(VALUE(TRIM(LEFT(I4178,FIND("minute",I4178)-1)))*60,0)+IFERROR(VALUE(SUBSTITUTE(MID(I4178,IFERROR(FIND("and",I4178)+3,1),20),"second(s)","")),0)</f>
        <v/>
      </c>
      <c r="K4178" s="41">
        <f>J4178/60</f>
        <v/>
      </c>
      <c r="L4178" s="41">
        <f>IFERROR(J4178/H4178,"")</f>
        <v/>
      </c>
      <c r="M4178" s="25" t="inlineStr">
        <is>
          <t>2.5.12</t>
        </is>
      </c>
      <c r="N4178" s="25">
        <f>IF(J4178&gt;300,1,0)</f>
        <v/>
      </c>
      <c r="O4178" s="25">
        <f>IF(J4178&gt;600,1,0)</f>
        <v/>
      </c>
      <c r="P4178" s="25">
        <f>IF(H4178&gt;0,J4178,"")</f>
        <v/>
      </c>
      <c r="Q4178" s="25">
        <f>TEXT(A4178,"YYYY-MM-DD HH")</f>
        <v/>
      </c>
      <c r="R4178" s="25">
        <f>COUNTIF($Q$2:$Q$5295,Q4178)</f>
        <v/>
      </c>
      <c r="S4178" s="25">
        <f>IF(R4178&lt;=2,"1-2",IF(R4178&lt;=5,"3-5",IF(R4178&lt;=10,"6-10","11+")))</f>
        <v/>
      </c>
    </row>
    <row r="4179">
      <c r="A4179" s="39" t="n">
        <v>46220.46177083333</v>
      </c>
      <c r="B4179" s="25">
        <f>TEXT(A4179,"YYYY-MM")</f>
        <v/>
      </c>
      <c r="C4179" s="25">
        <f>TEXT(A4179,"MMM-YYYY")</f>
        <v/>
      </c>
      <c r="D4179" s="40">
        <f>INT(A4179)-WEEKDAY(A4179,2)+1</f>
        <v/>
      </c>
      <c r="E4179" s="25" t="inlineStr">
        <is>
          <t>pgautam</t>
        </is>
      </c>
      <c r="F4179" s="25" t="n">
        <v>127956</v>
      </c>
      <c r="G4179" s="25" t="n">
        <v>3</v>
      </c>
      <c r="H4179" s="25" t="n">
        <v>11</v>
      </c>
      <c r="I4179" s="25" t="inlineStr">
        <is>
          <t>55 second(s)</t>
        </is>
      </c>
      <c r="J4179" s="25">
        <f>IFERROR(VALUE(TRIM(LEFT(I4179,FIND("minute",I4179)-1)))*60,0)+IFERROR(VALUE(SUBSTITUTE(MID(I4179,IFERROR(FIND("and",I4179)+3,1),20),"second(s)","")),0)</f>
        <v/>
      </c>
      <c r="K4179" s="41">
        <f>J4179/60</f>
        <v/>
      </c>
      <c r="L4179" s="41">
        <f>IFERROR(J4179/H4179,"")</f>
        <v/>
      </c>
      <c r="M4179" s="25" t="inlineStr">
        <is>
          <t>2.5.12</t>
        </is>
      </c>
      <c r="N4179" s="25">
        <f>IF(J4179&gt;300,1,0)</f>
        <v/>
      </c>
      <c r="O4179" s="25">
        <f>IF(J4179&gt;600,1,0)</f>
        <v/>
      </c>
      <c r="P4179" s="25">
        <f>IF(H4179&gt;0,J4179,"")</f>
        <v/>
      </c>
      <c r="Q4179" s="25">
        <f>TEXT(A4179,"YYYY-MM-DD HH")</f>
        <v/>
      </c>
      <c r="R4179" s="25">
        <f>COUNTIF($Q$2:$Q$5295,Q4179)</f>
        <v/>
      </c>
      <c r="S4179" s="25">
        <f>IF(R4179&lt;=2,"1-2",IF(R4179&lt;=5,"3-5",IF(R4179&lt;=10,"6-10","11+")))</f>
        <v/>
      </c>
    </row>
    <row r="4180">
      <c r="A4180" s="39" t="n">
        <v>46220.46408564815</v>
      </c>
      <c r="B4180" s="25">
        <f>TEXT(A4180,"YYYY-MM")</f>
        <v/>
      </c>
      <c r="C4180" s="25">
        <f>TEXT(A4180,"MMM-YYYY")</f>
        <v/>
      </c>
      <c r="D4180" s="40">
        <f>INT(A4180)-WEEKDAY(A4180,2)+1</f>
        <v/>
      </c>
      <c r="E4180" s="25" t="inlineStr">
        <is>
          <t>apriyadarshi</t>
        </is>
      </c>
      <c r="F4180" s="25" t="n">
        <v>128556</v>
      </c>
      <c r="G4180" s="25" t="n">
        <v>2</v>
      </c>
      <c r="H4180" s="25" t="n">
        <v>10</v>
      </c>
      <c r="I4180" s="25" t="inlineStr">
        <is>
          <t>47 second(s)</t>
        </is>
      </c>
      <c r="J4180" s="25">
        <f>IFERROR(VALUE(TRIM(LEFT(I4180,FIND("minute",I4180)-1)))*60,0)+IFERROR(VALUE(SUBSTITUTE(MID(I4180,IFERROR(FIND("and",I4180)+3,1),20),"second(s)","")),0)</f>
        <v/>
      </c>
      <c r="K4180" s="41">
        <f>J4180/60</f>
        <v/>
      </c>
      <c r="L4180" s="41">
        <f>IFERROR(J4180/H4180,"")</f>
        <v/>
      </c>
      <c r="M4180" s="25" t="inlineStr">
        <is>
          <t>2.5.12</t>
        </is>
      </c>
      <c r="N4180" s="25">
        <f>IF(J4180&gt;300,1,0)</f>
        <v/>
      </c>
      <c r="O4180" s="25">
        <f>IF(J4180&gt;600,1,0)</f>
        <v/>
      </c>
      <c r="P4180" s="25">
        <f>IF(H4180&gt;0,J4180,"")</f>
        <v/>
      </c>
      <c r="Q4180" s="25">
        <f>TEXT(A4180,"YYYY-MM-DD HH")</f>
        <v/>
      </c>
      <c r="R4180" s="25">
        <f>COUNTIF($Q$2:$Q$5295,Q4180)</f>
        <v/>
      </c>
      <c r="S4180" s="25">
        <f>IF(R4180&lt;=2,"1-2",IF(R4180&lt;=5,"3-5",IF(R4180&lt;=10,"6-10","11+")))</f>
        <v/>
      </c>
    </row>
    <row r="4181">
      <c r="A4181" s="39" t="n">
        <v>46220.46739583334</v>
      </c>
      <c r="B4181" s="25">
        <f>TEXT(A4181,"YYYY-MM")</f>
        <v/>
      </c>
      <c r="C4181" s="25">
        <f>TEXT(A4181,"MMM-YYYY")</f>
        <v/>
      </c>
      <c r="D4181" s="40">
        <f>INT(A4181)-WEEKDAY(A4181,2)+1</f>
        <v/>
      </c>
      <c r="E4181" s="25" t="inlineStr">
        <is>
          <t>ssneha</t>
        </is>
      </c>
      <c r="F4181" s="25" t="n">
        <v>131599</v>
      </c>
      <c r="G4181" s="25" t="n">
        <v>4</v>
      </c>
      <c r="H4181" s="25" t="n">
        <v>20</v>
      </c>
      <c r="I4181" s="25" t="inlineStr">
        <is>
          <t>1 minute(s) and 50 second(s)</t>
        </is>
      </c>
      <c r="J4181" s="25">
        <f>IFERROR(VALUE(TRIM(LEFT(I4181,FIND("minute",I4181)-1)))*60,0)+IFERROR(VALUE(SUBSTITUTE(MID(I4181,IFERROR(FIND("and",I4181)+3,1),20),"second(s)","")),0)</f>
        <v/>
      </c>
      <c r="K4181" s="41">
        <f>J4181/60</f>
        <v/>
      </c>
      <c r="L4181" s="41">
        <f>IFERROR(J4181/H4181,"")</f>
        <v/>
      </c>
      <c r="M4181" s="25" t="inlineStr">
        <is>
          <t>2.5.12</t>
        </is>
      </c>
      <c r="N4181" s="25">
        <f>IF(J4181&gt;300,1,0)</f>
        <v/>
      </c>
      <c r="O4181" s="25">
        <f>IF(J4181&gt;600,1,0)</f>
        <v/>
      </c>
      <c r="P4181" s="25">
        <f>IF(H4181&gt;0,J4181,"")</f>
        <v/>
      </c>
      <c r="Q4181" s="25">
        <f>TEXT(A4181,"YYYY-MM-DD HH")</f>
        <v/>
      </c>
      <c r="R4181" s="25">
        <f>COUNTIF($Q$2:$Q$5295,Q4181)</f>
        <v/>
      </c>
      <c r="S4181" s="25">
        <f>IF(R4181&lt;=2,"1-2",IF(R4181&lt;=5,"3-5",IF(R4181&lt;=10,"6-10","11+")))</f>
        <v/>
      </c>
    </row>
    <row r="4182">
      <c r="A4182" s="39" t="n">
        <v>46220.46802083333</v>
      </c>
      <c r="B4182" s="25">
        <f>TEXT(A4182,"YYYY-MM")</f>
        <v/>
      </c>
      <c r="C4182" s="25">
        <f>TEXT(A4182,"MMM-YYYY")</f>
        <v/>
      </c>
      <c r="D4182" s="40">
        <f>INT(A4182)-WEEKDAY(A4182,2)+1</f>
        <v/>
      </c>
      <c r="E4182" s="25" t="inlineStr">
        <is>
          <t>ns</t>
        </is>
      </c>
      <c r="F4182" s="25" t="n">
        <v>128699</v>
      </c>
      <c r="G4182" s="25" t="n">
        <v>2</v>
      </c>
      <c r="H4182" s="25" t="n">
        <v>10</v>
      </c>
      <c r="I4182" s="25" t="inlineStr">
        <is>
          <t>1 minute(s) and 40 second(s)</t>
        </is>
      </c>
      <c r="J4182" s="25">
        <f>IFERROR(VALUE(TRIM(LEFT(I4182,FIND("minute",I4182)-1)))*60,0)+IFERROR(VALUE(SUBSTITUTE(MID(I4182,IFERROR(FIND("and",I4182)+3,1),20),"second(s)","")),0)</f>
        <v/>
      </c>
      <c r="K4182" s="41">
        <f>J4182/60</f>
        <v/>
      </c>
      <c r="L4182" s="41">
        <f>IFERROR(J4182/H4182,"")</f>
        <v/>
      </c>
      <c r="M4182" s="25" t="inlineStr">
        <is>
          <t>2.5.12</t>
        </is>
      </c>
      <c r="N4182" s="25">
        <f>IF(J4182&gt;300,1,0)</f>
        <v/>
      </c>
      <c r="O4182" s="25">
        <f>IF(J4182&gt;600,1,0)</f>
        <v/>
      </c>
      <c r="P4182" s="25">
        <f>IF(H4182&gt;0,J4182,"")</f>
        <v/>
      </c>
      <c r="Q4182" s="25">
        <f>TEXT(A4182,"YYYY-MM-DD HH")</f>
        <v/>
      </c>
      <c r="R4182" s="25">
        <f>COUNTIF($Q$2:$Q$5295,Q4182)</f>
        <v/>
      </c>
      <c r="S4182" s="25">
        <f>IF(R4182&lt;=2,"1-2",IF(R4182&lt;=5,"3-5",IF(R4182&lt;=10,"6-10","11+")))</f>
        <v/>
      </c>
    </row>
    <row r="4183">
      <c r="A4183" s="39" t="n">
        <v>46220.47023148148</v>
      </c>
      <c r="B4183" s="25">
        <f>TEXT(A4183,"YYYY-MM")</f>
        <v/>
      </c>
      <c r="C4183" s="25">
        <f>TEXT(A4183,"MMM-YYYY")</f>
        <v/>
      </c>
      <c r="D4183" s="40">
        <f>INT(A4183)-WEEKDAY(A4183,2)+1</f>
        <v/>
      </c>
      <c r="E4183" s="25" t="inlineStr">
        <is>
          <t>adey</t>
        </is>
      </c>
      <c r="F4183" s="25" t="n">
        <v>129000</v>
      </c>
      <c r="G4183" s="25" t="n">
        <v>4</v>
      </c>
      <c r="H4183" s="25" t="n">
        <v>22</v>
      </c>
      <c r="I4183" s="25" t="inlineStr">
        <is>
          <t>2 minute(s) and 33 second(s)</t>
        </is>
      </c>
      <c r="J4183" s="25">
        <f>IFERROR(VALUE(TRIM(LEFT(I4183,FIND("minute",I4183)-1)))*60,0)+IFERROR(VALUE(SUBSTITUTE(MID(I4183,IFERROR(FIND("and",I4183)+3,1),20),"second(s)","")),0)</f>
        <v/>
      </c>
      <c r="K4183" s="41">
        <f>J4183/60</f>
        <v/>
      </c>
      <c r="L4183" s="41">
        <f>IFERROR(J4183/H4183,"")</f>
        <v/>
      </c>
      <c r="M4183" s="25" t="inlineStr">
        <is>
          <t>2.5.12</t>
        </is>
      </c>
      <c r="N4183" s="25">
        <f>IF(J4183&gt;300,1,0)</f>
        <v/>
      </c>
      <c r="O4183" s="25">
        <f>IF(J4183&gt;600,1,0)</f>
        <v/>
      </c>
      <c r="P4183" s="25">
        <f>IF(H4183&gt;0,J4183,"")</f>
        <v/>
      </c>
      <c r="Q4183" s="25">
        <f>TEXT(A4183,"YYYY-MM-DD HH")</f>
        <v/>
      </c>
      <c r="R4183" s="25">
        <f>COUNTIF($Q$2:$Q$5295,Q4183)</f>
        <v/>
      </c>
      <c r="S4183" s="25">
        <f>IF(R4183&lt;=2,"1-2",IF(R4183&lt;=5,"3-5",IF(R4183&lt;=10,"6-10","11+")))</f>
        <v/>
      </c>
    </row>
    <row r="4184">
      <c r="A4184" s="39" t="n">
        <v>46220.47689814815</v>
      </c>
      <c r="B4184" s="25">
        <f>TEXT(A4184,"YYYY-MM")</f>
        <v/>
      </c>
      <c r="C4184" s="25">
        <f>TEXT(A4184,"MMM-YYYY")</f>
        <v/>
      </c>
      <c r="D4184" s="40">
        <f>INT(A4184)-WEEKDAY(A4184,2)+1</f>
        <v/>
      </c>
      <c r="E4184" s="25" t="inlineStr">
        <is>
          <t>mgupta</t>
        </is>
      </c>
      <c r="F4184" s="25" t="n">
        <v>132299</v>
      </c>
      <c r="G4184" s="25" t="n">
        <v>3</v>
      </c>
      <c r="H4184" s="25" t="n">
        <v>15</v>
      </c>
      <c r="I4184" s="25" t="inlineStr">
        <is>
          <t>1 minute(s) and 13 second(s)</t>
        </is>
      </c>
      <c r="J4184" s="25">
        <f>IFERROR(VALUE(TRIM(LEFT(I4184,FIND("minute",I4184)-1)))*60,0)+IFERROR(VALUE(SUBSTITUTE(MID(I4184,IFERROR(FIND("and",I4184)+3,1),20),"second(s)","")),0)</f>
        <v/>
      </c>
      <c r="K4184" s="41">
        <f>J4184/60</f>
        <v/>
      </c>
      <c r="L4184" s="41">
        <f>IFERROR(J4184/H4184,"")</f>
        <v/>
      </c>
      <c r="M4184" s="25" t="inlineStr">
        <is>
          <t>2.5.12</t>
        </is>
      </c>
      <c r="N4184" s="25">
        <f>IF(J4184&gt;300,1,0)</f>
        <v/>
      </c>
      <c r="O4184" s="25">
        <f>IF(J4184&gt;600,1,0)</f>
        <v/>
      </c>
      <c r="P4184" s="25">
        <f>IF(H4184&gt;0,J4184,"")</f>
        <v/>
      </c>
      <c r="Q4184" s="25">
        <f>TEXT(A4184,"YYYY-MM-DD HH")</f>
        <v/>
      </c>
      <c r="R4184" s="25">
        <f>COUNTIF($Q$2:$Q$5295,Q4184)</f>
        <v/>
      </c>
      <c r="S4184" s="25">
        <f>IF(R4184&lt;=2,"1-2",IF(R4184&lt;=5,"3-5",IF(R4184&lt;=10,"6-10","11+")))</f>
        <v/>
      </c>
    </row>
    <row r="4185">
      <c r="A4185" s="39" t="n">
        <v>46220.47744212963</v>
      </c>
      <c r="B4185" s="25">
        <f>TEXT(A4185,"YYYY-MM")</f>
        <v/>
      </c>
      <c r="C4185" s="25">
        <f>TEXT(A4185,"MMM-YYYY")</f>
        <v/>
      </c>
      <c r="D4185" s="40">
        <f>INT(A4185)-WEEKDAY(A4185,2)+1</f>
        <v/>
      </c>
      <c r="E4185" s="25" t="inlineStr">
        <is>
          <t>ssrinivasan</t>
        </is>
      </c>
      <c r="F4185" s="25" t="n">
        <v>127871</v>
      </c>
      <c r="G4185" s="25" t="n">
        <v>2</v>
      </c>
      <c r="H4185" s="25" t="n">
        <v>8</v>
      </c>
      <c r="I4185" s="25" t="inlineStr">
        <is>
          <t>49 second(s)</t>
        </is>
      </c>
      <c r="J4185" s="25">
        <f>IFERROR(VALUE(TRIM(LEFT(I4185,FIND("minute",I4185)-1)))*60,0)+IFERROR(VALUE(SUBSTITUTE(MID(I4185,IFERROR(FIND("and",I4185)+3,1),20),"second(s)","")),0)</f>
        <v/>
      </c>
      <c r="K4185" s="41">
        <f>J4185/60</f>
        <v/>
      </c>
      <c r="L4185" s="41">
        <f>IFERROR(J4185/H4185,"")</f>
        <v/>
      </c>
      <c r="M4185" s="25" t="inlineStr">
        <is>
          <t>2.5.12</t>
        </is>
      </c>
      <c r="N4185" s="25">
        <f>IF(J4185&gt;300,1,0)</f>
        <v/>
      </c>
      <c r="O4185" s="25">
        <f>IF(J4185&gt;600,1,0)</f>
        <v/>
      </c>
      <c r="P4185" s="25">
        <f>IF(H4185&gt;0,J4185,"")</f>
        <v/>
      </c>
      <c r="Q4185" s="25">
        <f>TEXT(A4185,"YYYY-MM-DD HH")</f>
        <v/>
      </c>
      <c r="R4185" s="25">
        <f>COUNTIF($Q$2:$Q$5295,Q4185)</f>
        <v/>
      </c>
      <c r="S4185" s="25">
        <f>IF(R4185&lt;=2,"1-2",IF(R4185&lt;=5,"3-5",IF(R4185&lt;=10,"6-10","11+")))</f>
        <v/>
      </c>
    </row>
    <row r="4186">
      <c r="A4186" s="39" t="n">
        <v>46220.49136574074</v>
      </c>
      <c r="B4186" s="25">
        <f>TEXT(A4186,"YYYY-MM")</f>
        <v/>
      </c>
      <c r="C4186" s="25">
        <f>TEXT(A4186,"MMM-YYYY")</f>
        <v/>
      </c>
      <c r="D4186" s="40">
        <f>INT(A4186)-WEEKDAY(A4186,2)+1</f>
        <v/>
      </c>
      <c r="E4186" s="25" t="inlineStr">
        <is>
          <t>sdey</t>
        </is>
      </c>
      <c r="F4186" s="25" t="n">
        <v>128990</v>
      </c>
      <c r="G4186" s="25" t="n">
        <v>4</v>
      </c>
      <c r="H4186" s="25" t="n">
        <v>20</v>
      </c>
      <c r="I4186" s="25" t="inlineStr">
        <is>
          <t>6 minute(s) and 5 second(s)</t>
        </is>
      </c>
      <c r="J4186" s="25">
        <f>IFERROR(VALUE(TRIM(LEFT(I4186,FIND("minute",I4186)-1)))*60,0)+IFERROR(VALUE(SUBSTITUTE(MID(I4186,IFERROR(FIND("and",I4186)+3,1),20),"second(s)","")),0)</f>
        <v/>
      </c>
      <c r="K4186" s="41">
        <f>J4186/60</f>
        <v/>
      </c>
      <c r="L4186" s="41">
        <f>IFERROR(J4186/H4186,"")</f>
        <v/>
      </c>
      <c r="M4186" s="25" t="inlineStr">
        <is>
          <t>2.5.12</t>
        </is>
      </c>
      <c r="N4186" s="25">
        <f>IF(J4186&gt;300,1,0)</f>
        <v/>
      </c>
      <c r="O4186" s="25">
        <f>IF(J4186&gt;600,1,0)</f>
        <v/>
      </c>
      <c r="P4186" s="25">
        <f>IF(H4186&gt;0,J4186,"")</f>
        <v/>
      </c>
      <c r="Q4186" s="25">
        <f>TEXT(A4186,"YYYY-MM-DD HH")</f>
        <v/>
      </c>
      <c r="R4186" s="25">
        <f>COUNTIF($Q$2:$Q$5295,Q4186)</f>
        <v/>
      </c>
      <c r="S4186" s="25">
        <f>IF(R4186&lt;=2,"1-2",IF(R4186&lt;=5,"3-5",IF(R4186&lt;=10,"6-10","11+")))</f>
        <v/>
      </c>
    </row>
    <row r="4187">
      <c r="A4187" s="39" t="n">
        <v>46220.50152777778</v>
      </c>
      <c r="B4187" s="25">
        <f>TEXT(A4187,"YYYY-MM")</f>
        <v/>
      </c>
      <c r="C4187" s="25">
        <f>TEXT(A4187,"MMM-YYYY")</f>
        <v/>
      </c>
      <c r="D4187" s="40">
        <f>INT(A4187)-WEEKDAY(A4187,2)+1</f>
        <v/>
      </c>
      <c r="E4187" s="25" t="inlineStr">
        <is>
          <t>sthomas</t>
        </is>
      </c>
      <c r="F4187" s="25" t="n">
        <v>131208</v>
      </c>
      <c r="G4187" s="25" t="n">
        <v>2</v>
      </c>
      <c r="H4187" s="25" t="n">
        <v>13</v>
      </c>
      <c r="I4187" s="25" t="inlineStr">
        <is>
          <t>2 minute(s) and 19 second(s)</t>
        </is>
      </c>
      <c r="J4187" s="25">
        <f>IFERROR(VALUE(TRIM(LEFT(I4187,FIND("minute",I4187)-1)))*60,0)+IFERROR(VALUE(SUBSTITUTE(MID(I4187,IFERROR(FIND("and",I4187)+3,1),20),"second(s)","")),0)</f>
        <v/>
      </c>
      <c r="K4187" s="41">
        <f>J4187/60</f>
        <v/>
      </c>
      <c r="L4187" s="41">
        <f>IFERROR(J4187/H4187,"")</f>
        <v/>
      </c>
      <c r="M4187" s="25" t="inlineStr">
        <is>
          <t>2.5.12</t>
        </is>
      </c>
      <c r="N4187" s="25">
        <f>IF(J4187&gt;300,1,0)</f>
        <v/>
      </c>
      <c r="O4187" s="25">
        <f>IF(J4187&gt;600,1,0)</f>
        <v/>
      </c>
      <c r="P4187" s="25">
        <f>IF(H4187&gt;0,J4187,"")</f>
        <v/>
      </c>
      <c r="Q4187" s="25">
        <f>TEXT(A4187,"YYYY-MM-DD HH")</f>
        <v/>
      </c>
      <c r="R4187" s="25">
        <f>COUNTIF($Q$2:$Q$5295,Q4187)</f>
        <v/>
      </c>
      <c r="S4187" s="25">
        <f>IF(R4187&lt;=2,"1-2",IF(R4187&lt;=5,"3-5",IF(R4187&lt;=10,"6-10","11+")))</f>
        <v/>
      </c>
    </row>
    <row r="4188">
      <c r="A4188" s="39" t="n">
        <v>46220.55109953704</v>
      </c>
      <c r="B4188" s="25">
        <f>TEXT(A4188,"YYYY-MM")</f>
        <v/>
      </c>
      <c r="C4188" s="25">
        <f>TEXT(A4188,"MMM-YYYY")</f>
        <v/>
      </c>
      <c r="D4188" s="40">
        <f>INT(A4188)-WEEKDAY(A4188,2)+1</f>
        <v/>
      </c>
      <c r="E4188" s="25" t="inlineStr">
        <is>
          <t>sthomas</t>
        </is>
      </c>
      <c r="F4188" s="25" t="n">
        <v>128244</v>
      </c>
      <c r="G4188" s="25" t="n">
        <v>1</v>
      </c>
      <c r="H4188" s="25" t="n">
        <v>7</v>
      </c>
      <c r="I4188" s="25" t="inlineStr">
        <is>
          <t>36 second(s)</t>
        </is>
      </c>
      <c r="J4188" s="25">
        <f>IFERROR(VALUE(TRIM(LEFT(I4188,FIND("minute",I4188)-1)))*60,0)+IFERROR(VALUE(SUBSTITUTE(MID(I4188,IFERROR(FIND("and",I4188)+3,1),20),"second(s)","")),0)</f>
        <v/>
      </c>
      <c r="K4188" s="41">
        <f>J4188/60</f>
        <v/>
      </c>
      <c r="L4188" s="41">
        <f>IFERROR(J4188/H4188,"")</f>
        <v/>
      </c>
      <c r="M4188" s="25" t="inlineStr">
        <is>
          <t>2.5.12</t>
        </is>
      </c>
      <c r="N4188" s="25">
        <f>IF(J4188&gt;300,1,0)</f>
        <v/>
      </c>
      <c r="O4188" s="25">
        <f>IF(J4188&gt;600,1,0)</f>
        <v/>
      </c>
      <c r="P4188" s="25">
        <f>IF(H4188&gt;0,J4188,"")</f>
        <v/>
      </c>
      <c r="Q4188" s="25">
        <f>TEXT(A4188,"YYYY-MM-DD HH")</f>
        <v/>
      </c>
      <c r="R4188" s="25">
        <f>COUNTIF($Q$2:$Q$5295,Q4188)</f>
        <v/>
      </c>
      <c r="S4188" s="25">
        <f>IF(R4188&lt;=2,"1-2",IF(R4188&lt;=5,"3-5",IF(R4188&lt;=10,"6-10","11+")))</f>
        <v/>
      </c>
    </row>
    <row r="4189">
      <c r="A4189" s="39" t="n">
        <v>46220.58554398148</v>
      </c>
      <c r="B4189" s="25">
        <f>TEXT(A4189,"YYYY-MM")</f>
        <v/>
      </c>
      <c r="C4189" s="25">
        <f>TEXT(A4189,"MMM-YYYY")</f>
        <v/>
      </c>
      <c r="D4189" s="40">
        <f>INT(A4189)-WEEKDAY(A4189,2)+1</f>
        <v/>
      </c>
      <c r="E4189" s="25" t="inlineStr">
        <is>
          <t>adey</t>
        </is>
      </c>
      <c r="F4189" s="25" t="n">
        <v>129136</v>
      </c>
      <c r="G4189" s="25" t="n">
        <v>4</v>
      </c>
      <c r="H4189" s="25" t="n">
        <v>24</v>
      </c>
      <c r="I4189" s="25" t="inlineStr">
        <is>
          <t>2 minute(s) and 16 second(s)</t>
        </is>
      </c>
      <c r="J4189" s="25">
        <f>IFERROR(VALUE(TRIM(LEFT(I4189,FIND("minute",I4189)-1)))*60,0)+IFERROR(VALUE(SUBSTITUTE(MID(I4189,IFERROR(FIND("and",I4189)+3,1),20),"second(s)","")),0)</f>
        <v/>
      </c>
      <c r="K4189" s="41">
        <f>J4189/60</f>
        <v/>
      </c>
      <c r="L4189" s="41">
        <f>IFERROR(J4189/H4189,"")</f>
        <v/>
      </c>
      <c r="M4189" s="25" t="inlineStr">
        <is>
          <t>2.5.12</t>
        </is>
      </c>
      <c r="N4189" s="25">
        <f>IF(J4189&gt;300,1,0)</f>
        <v/>
      </c>
      <c r="O4189" s="25">
        <f>IF(J4189&gt;600,1,0)</f>
        <v/>
      </c>
      <c r="P4189" s="25">
        <f>IF(H4189&gt;0,J4189,"")</f>
        <v/>
      </c>
      <c r="Q4189" s="25">
        <f>TEXT(A4189,"YYYY-MM-DD HH")</f>
        <v/>
      </c>
      <c r="R4189" s="25">
        <f>COUNTIF($Q$2:$Q$5295,Q4189)</f>
        <v/>
      </c>
      <c r="S4189" s="25">
        <f>IF(R4189&lt;=2,"1-2",IF(R4189&lt;=5,"3-5",IF(R4189&lt;=10,"6-10","11+")))</f>
        <v/>
      </c>
    </row>
    <row r="4190">
      <c r="A4190" s="39" t="n">
        <v>46220.59210648148</v>
      </c>
      <c r="B4190" s="25">
        <f>TEXT(A4190,"YYYY-MM")</f>
        <v/>
      </c>
      <c r="C4190" s="25">
        <f>TEXT(A4190,"MMM-YYYY")</f>
        <v/>
      </c>
      <c r="D4190" s="40">
        <f>INT(A4190)-WEEKDAY(A4190,2)+1</f>
        <v/>
      </c>
      <c r="E4190" s="25" t="inlineStr">
        <is>
          <t>rsingh</t>
        </is>
      </c>
      <c r="F4190" s="25" t="n">
        <v>129505</v>
      </c>
      <c r="G4190" s="25" t="n">
        <v>4</v>
      </c>
      <c r="H4190" s="25" t="n">
        <v>26</v>
      </c>
      <c r="I4190" s="25" t="inlineStr">
        <is>
          <t>4 minute(s) and 48 second(s)</t>
        </is>
      </c>
      <c r="J4190" s="25">
        <f>IFERROR(VALUE(TRIM(LEFT(I4190,FIND("minute",I4190)-1)))*60,0)+IFERROR(VALUE(SUBSTITUTE(MID(I4190,IFERROR(FIND("and",I4190)+3,1),20),"second(s)","")),0)</f>
        <v/>
      </c>
      <c r="K4190" s="41">
        <f>J4190/60</f>
        <v/>
      </c>
      <c r="L4190" s="41">
        <f>IFERROR(J4190/H4190,"")</f>
        <v/>
      </c>
      <c r="M4190" s="25" t="inlineStr">
        <is>
          <t>2.5.12</t>
        </is>
      </c>
      <c r="N4190" s="25">
        <f>IF(J4190&gt;300,1,0)</f>
        <v/>
      </c>
      <c r="O4190" s="25">
        <f>IF(J4190&gt;600,1,0)</f>
        <v/>
      </c>
      <c r="P4190" s="25">
        <f>IF(H4190&gt;0,J4190,"")</f>
        <v/>
      </c>
      <c r="Q4190" s="25">
        <f>TEXT(A4190,"YYYY-MM-DD HH")</f>
        <v/>
      </c>
      <c r="R4190" s="25">
        <f>COUNTIF($Q$2:$Q$5295,Q4190)</f>
        <v/>
      </c>
      <c r="S4190" s="25">
        <f>IF(R4190&lt;=2,"1-2",IF(R4190&lt;=5,"3-5",IF(R4190&lt;=10,"6-10","11+")))</f>
        <v/>
      </c>
    </row>
    <row r="4191">
      <c r="A4191" s="39" t="n">
        <v>46220.59971064814</v>
      </c>
      <c r="B4191" s="25">
        <f>TEXT(A4191,"YYYY-MM")</f>
        <v/>
      </c>
      <c r="C4191" s="25">
        <f>TEXT(A4191,"MMM-YYYY")</f>
        <v/>
      </c>
      <c r="D4191" s="40">
        <f>INT(A4191)-WEEKDAY(A4191,2)+1</f>
        <v/>
      </c>
      <c r="E4191" s="25" t="inlineStr">
        <is>
          <t>sdey</t>
        </is>
      </c>
      <c r="F4191" s="25" t="n">
        <v>129046</v>
      </c>
      <c r="G4191" s="25" t="n">
        <v>4</v>
      </c>
      <c r="H4191" s="25" t="n">
        <v>20</v>
      </c>
      <c r="I4191" s="25" t="inlineStr">
        <is>
          <t>1 minute(s) and 42 second(s)</t>
        </is>
      </c>
      <c r="J4191" s="25">
        <f>IFERROR(VALUE(TRIM(LEFT(I4191,FIND("minute",I4191)-1)))*60,0)+IFERROR(VALUE(SUBSTITUTE(MID(I4191,IFERROR(FIND("and",I4191)+3,1),20),"second(s)","")),0)</f>
        <v/>
      </c>
      <c r="K4191" s="41">
        <f>J4191/60</f>
        <v/>
      </c>
      <c r="L4191" s="41">
        <f>IFERROR(J4191/H4191,"")</f>
        <v/>
      </c>
      <c r="M4191" s="25" t="inlineStr">
        <is>
          <t>2.5.12</t>
        </is>
      </c>
      <c r="N4191" s="25">
        <f>IF(J4191&gt;300,1,0)</f>
        <v/>
      </c>
      <c r="O4191" s="25">
        <f>IF(J4191&gt;600,1,0)</f>
        <v/>
      </c>
      <c r="P4191" s="25">
        <f>IF(H4191&gt;0,J4191,"")</f>
        <v/>
      </c>
      <c r="Q4191" s="25">
        <f>TEXT(A4191,"YYYY-MM-DD HH")</f>
        <v/>
      </c>
      <c r="R4191" s="25">
        <f>COUNTIF($Q$2:$Q$5295,Q4191)</f>
        <v/>
      </c>
      <c r="S4191" s="25">
        <f>IF(R4191&lt;=2,"1-2",IF(R4191&lt;=5,"3-5",IF(R4191&lt;=10,"6-10","11+")))</f>
        <v/>
      </c>
    </row>
    <row r="4192">
      <c r="A4192" s="39" t="n">
        <v>46220.61069444445</v>
      </c>
      <c r="B4192" s="25">
        <f>TEXT(A4192,"YYYY-MM")</f>
        <v/>
      </c>
      <c r="C4192" s="25">
        <f>TEXT(A4192,"MMM-YYYY")</f>
        <v/>
      </c>
      <c r="D4192" s="40">
        <f>INT(A4192)-WEEKDAY(A4192,2)+1</f>
        <v/>
      </c>
      <c r="E4192" s="25" t="inlineStr">
        <is>
          <t>aghosh</t>
        </is>
      </c>
      <c r="F4192" s="25" t="n">
        <v>129516</v>
      </c>
      <c r="G4192" s="25" t="n">
        <v>4</v>
      </c>
      <c r="H4192" s="25" t="n">
        <v>26</v>
      </c>
      <c r="I4192" s="25" t="inlineStr">
        <is>
          <t>2 minute(s) and 44 second(s)</t>
        </is>
      </c>
      <c r="J4192" s="25">
        <f>IFERROR(VALUE(TRIM(LEFT(I4192,FIND("minute",I4192)-1)))*60,0)+IFERROR(VALUE(SUBSTITUTE(MID(I4192,IFERROR(FIND("and",I4192)+3,1),20),"second(s)","")),0)</f>
        <v/>
      </c>
      <c r="K4192" s="41">
        <f>J4192/60</f>
        <v/>
      </c>
      <c r="L4192" s="41">
        <f>IFERROR(J4192/H4192,"")</f>
        <v/>
      </c>
      <c r="M4192" s="25" t="inlineStr">
        <is>
          <t>2.5.12</t>
        </is>
      </c>
      <c r="N4192" s="25">
        <f>IF(J4192&gt;300,1,0)</f>
        <v/>
      </c>
      <c r="O4192" s="25">
        <f>IF(J4192&gt;600,1,0)</f>
        <v/>
      </c>
      <c r="P4192" s="25">
        <f>IF(H4192&gt;0,J4192,"")</f>
        <v/>
      </c>
      <c r="Q4192" s="25">
        <f>TEXT(A4192,"YYYY-MM-DD HH")</f>
        <v/>
      </c>
      <c r="R4192" s="25">
        <f>COUNTIF($Q$2:$Q$5295,Q4192)</f>
        <v/>
      </c>
      <c r="S4192" s="25">
        <f>IF(R4192&lt;=2,"1-2",IF(R4192&lt;=5,"3-5",IF(R4192&lt;=10,"6-10","11+")))</f>
        <v/>
      </c>
    </row>
    <row r="4193">
      <c r="A4193" s="39" t="n">
        <v>46220.64462962963</v>
      </c>
      <c r="B4193" s="25">
        <f>TEXT(A4193,"YYYY-MM")</f>
        <v/>
      </c>
      <c r="C4193" s="25">
        <f>TEXT(A4193,"MMM-YYYY")</f>
        <v/>
      </c>
      <c r="D4193" s="40">
        <f>INT(A4193)-WEEKDAY(A4193,2)+1</f>
        <v/>
      </c>
      <c r="E4193" s="25" t="inlineStr">
        <is>
          <t>aghosh</t>
        </is>
      </c>
      <c r="F4193" s="25" t="n">
        <v>129268</v>
      </c>
      <c r="G4193" s="25" t="n">
        <v>3</v>
      </c>
      <c r="H4193" s="25" t="n">
        <v>21</v>
      </c>
      <c r="I4193" s="25" t="inlineStr">
        <is>
          <t>2 minute(s) and 18 second(s)</t>
        </is>
      </c>
      <c r="J4193" s="25">
        <f>IFERROR(VALUE(TRIM(LEFT(I4193,FIND("minute",I4193)-1)))*60,0)+IFERROR(VALUE(SUBSTITUTE(MID(I4193,IFERROR(FIND("and",I4193)+3,1),20),"second(s)","")),0)</f>
        <v/>
      </c>
      <c r="K4193" s="41">
        <f>J4193/60</f>
        <v/>
      </c>
      <c r="L4193" s="41">
        <f>IFERROR(J4193/H4193,"")</f>
        <v/>
      </c>
      <c r="M4193" s="25" t="inlineStr">
        <is>
          <t>2.5.12</t>
        </is>
      </c>
      <c r="N4193" s="25">
        <f>IF(J4193&gt;300,1,0)</f>
        <v/>
      </c>
      <c r="O4193" s="25">
        <f>IF(J4193&gt;600,1,0)</f>
        <v/>
      </c>
      <c r="P4193" s="25">
        <f>IF(H4193&gt;0,J4193,"")</f>
        <v/>
      </c>
      <c r="Q4193" s="25">
        <f>TEXT(A4193,"YYYY-MM-DD HH")</f>
        <v/>
      </c>
      <c r="R4193" s="25">
        <f>COUNTIF($Q$2:$Q$5295,Q4193)</f>
        <v/>
      </c>
      <c r="S4193" s="25">
        <f>IF(R4193&lt;=2,"1-2",IF(R4193&lt;=5,"3-5",IF(R4193&lt;=10,"6-10","11+")))</f>
        <v/>
      </c>
    </row>
    <row r="4194">
      <c r="A4194" s="39" t="n">
        <v>46220.7355787037</v>
      </c>
      <c r="B4194" s="25">
        <f>TEXT(A4194,"YYYY-MM")</f>
        <v/>
      </c>
      <c r="C4194" s="25">
        <f>TEXT(A4194,"MMM-YYYY")</f>
        <v/>
      </c>
      <c r="D4194" s="40">
        <f>INT(A4194)-WEEKDAY(A4194,2)+1</f>
        <v/>
      </c>
      <c r="E4194" s="25" t="inlineStr">
        <is>
          <t>rsingh</t>
        </is>
      </c>
      <c r="F4194" s="25" t="n">
        <v>130808</v>
      </c>
      <c r="G4194" s="25" t="n">
        <v>1</v>
      </c>
      <c r="H4194" s="25" t="n">
        <v>7</v>
      </c>
      <c r="I4194" s="25" t="inlineStr">
        <is>
          <t>1 minute(s) and 59 second(s)</t>
        </is>
      </c>
      <c r="J4194" s="25">
        <f>IFERROR(VALUE(TRIM(LEFT(I4194,FIND("minute",I4194)-1)))*60,0)+IFERROR(VALUE(SUBSTITUTE(MID(I4194,IFERROR(FIND("and",I4194)+3,1),20),"second(s)","")),0)</f>
        <v/>
      </c>
      <c r="K4194" s="41">
        <f>J4194/60</f>
        <v/>
      </c>
      <c r="L4194" s="41">
        <f>IFERROR(J4194/H4194,"")</f>
        <v/>
      </c>
      <c r="M4194" s="25" t="inlineStr">
        <is>
          <t>2.5.12</t>
        </is>
      </c>
      <c r="N4194" s="25">
        <f>IF(J4194&gt;300,1,0)</f>
        <v/>
      </c>
      <c r="O4194" s="25">
        <f>IF(J4194&gt;600,1,0)</f>
        <v/>
      </c>
      <c r="P4194" s="25">
        <f>IF(H4194&gt;0,J4194,"")</f>
        <v/>
      </c>
      <c r="Q4194" s="25">
        <f>TEXT(A4194,"YYYY-MM-DD HH")</f>
        <v/>
      </c>
      <c r="R4194" s="25">
        <f>COUNTIF($Q$2:$Q$5295,Q4194)</f>
        <v/>
      </c>
      <c r="S4194" s="25">
        <f>IF(R4194&lt;=2,"1-2",IF(R4194&lt;=5,"3-5",IF(R4194&lt;=10,"6-10","11+")))</f>
        <v/>
      </c>
    </row>
    <row r="4195">
      <c r="A4195" s="39" t="n">
        <v>46220.73831018519</v>
      </c>
      <c r="B4195" s="25">
        <f>TEXT(A4195,"YYYY-MM")</f>
        <v/>
      </c>
      <c r="C4195" s="25">
        <f>TEXT(A4195,"MMM-YYYY")</f>
        <v/>
      </c>
      <c r="D4195" s="40">
        <f>INT(A4195)-WEEKDAY(A4195,2)+1</f>
        <v/>
      </c>
      <c r="E4195" s="25" t="inlineStr">
        <is>
          <t>hsindwani</t>
        </is>
      </c>
      <c r="F4195" s="25" t="n">
        <v>130008</v>
      </c>
      <c r="G4195" s="25" t="n">
        <v>2</v>
      </c>
      <c r="H4195" s="25" t="n">
        <v>8</v>
      </c>
      <c r="I4195" s="25" t="inlineStr">
        <is>
          <t>1 minute(s) and 47 second(s)</t>
        </is>
      </c>
      <c r="J4195" s="25">
        <f>IFERROR(VALUE(TRIM(LEFT(I4195,FIND("minute",I4195)-1)))*60,0)+IFERROR(VALUE(SUBSTITUTE(MID(I4195,IFERROR(FIND("and",I4195)+3,1),20),"second(s)","")),0)</f>
        <v/>
      </c>
      <c r="K4195" s="41">
        <f>J4195/60</f>
        <v/>
      </c>
      <c r="L4195" s="41">
        <f>IFERROR(J4195/H4195,"")</f>
        <v/>
      </c>
      <c r="M4195" s="25" t="inlineStr">
        <is>
          <t>2.5.12</t>
        </is>
      </c>
      <c r="N4195" s="25">
        <f>IF(J4195&gt;300,1,0)</f>
        <v/>
      </c>
      <c r="O4195" s="25">
        <f>IF(J4195&gt;600,1,0)</f>
        <v/>
      </c>
      <c r="P4195" s="25">
        <f>IF(H4195&gt;0,J4195,"")</f>
        <v/>
      </c>
      <c r="Q4195" s="25">
        <f>TEXT(A4195,"YYYY-MM-DD HH")</f>
        <v/>
      </c>
      <c r="R4195" s="25">
        <f>COUNTIF($Q$2:$Q$5295,Q4195)</f>
        <v/>
      </c>
      <c r="S4195" s="25">
        <f>IF(R4195&lt;=2,"1-2",IF(R4195&lt;=5,"3-5",IF(R4195&lt;=10,"6-10","11+")))</f>
        <v/>
      </c>
    </row>
    <row r="4196">
      <c r="A4196" s="39" t="n">
        <v>46220.7696875</v>
      </c>
      <c r="B4196" s="25">
        <f>TEXT(A4196,"YYYY-MM")</f>
        <v/>
      </c>
      <c r="C4196" s="25">
        <f>TEXT(A4196,"MMM-YYYY")</f>
        <v/>
      </c>
      <c r="D4196" s="40">
        <f>INT(A4196)-WEEKDAY(A4196,2)+1</f>
        <v/>
      </c>
      <c r="E4196" s="25" t="inlineStr">
        <is>
          <t>rsingh</t>
        </is>
      </c>
      <c r="F4196" s="25" t="n">
        <v>130832</v>
      </c>
      <c r="G4196" s="25" t="n">
        <v>1</v>
      </c>
      <c r="H4196" s="25" t="n">
        <v>7</v>
      </c>
      <c r="I4196" s="25" t="inlineStr">
        <is>
          <t>28 second(s)</t>
        </is>
      </c>
      <c r="J4196" s="25">
        <f>IFERROR(VALUE(TRIM(LEFT(I4196,FIND("minute",I4196)-1)))*60,0)+IFERROR(VALUE(SUBSTITUTE(MID(I4196,IFERROR(FIND("and",I4196)+3,1),20),"second(s)","")),0)</f>
        <v/>
      </c>
      <c r="K4196" s="41">
        <f>J4196/60</f>
        <v/>
      </c>
      <c r="L4196" s="41">
        <f>IFERROR(J4196/H4196,"")</f>
        <v/>
      </c>
      <c r="M4196" s="25" t="inlineStr">
        <is>
          <t>2.5.12</t>
        </is>
      </c>
      <c r="N4196" s="25">
        <f>IF(J4196&gt;300,1,0)</f>
        <v/>
      </c>
      <c r="O4196" s="25">
        <f>IF(J4196&gt;600,1,0)</f>
        <v/>
      </c>
      <c r="P4196" s="25">
        <f>IF(H4196&gt;0,J4196,"")</f>
        <v/>
      </c>
      <c r="Q4196" s="25">
        <f>TEXT(A4196,"YYYY-MM-DD HH")</f>
        <v/>
      </c>
      <c r="R4196" s="25">
        <f>COUNTIF($Q$2:$Q$5295,Q4196)</f>
        <v/>
      </c>
      <c r="S4196" s="25">
        <f>IF(R4196&lt;=2,"1-2",IF(R4196&lt;=5,"3-5",IF(R4196&lt;=10,"6-10","11+")))</f>
        <v/>
      </c>
    </row>
    <row r="4197">
      <c r="A4197" s="39" t="n">
        <v>46220.91074074074</v>
      </c>
      <c r="B4197" s="25">
        <f>TEXT(A4197,"YYYY-MM")</f>
        <v/>
      </c>
      <c r="C4197" s="25">
        <f>TEXT(A4197,"MMM-YYYY")</f>
        <v/>
      </c>
      <c r="D4197" s="40">
        <f>INT(A4197)-WEEKDAY(A4197,2)+1</f>
        <v/>
      </c>
      <c r="E4197" s="25" t="inlineStr">
        <is>
          <t>ssrinivasan</t>
        </is>
      </c>
      <c r="F4197" s="25" t="n">
        <v>127951</v>
      </c>
      <c r="G4197" s="25" t="n">
        <v>2</v>
      </c>
      <c r="H4197" s="25" t="n">
        <v>6</v>
      </c>
      <c r="I4197" s="25" t="inlineStr">
        <is>
          <t>1 minute(s) and 38 second(s)</t>
        </is>
      </c>
      <c r="J4197" s="25">
        <f>IFERROR(VALUE(TRIM(LEFT(I4197,FIND("minute",I4197)-1)))*60,0)+IFERROR(VALUE(SUBSTITUTE(MID(I4197,IFERROR(FIND("and",I4197)+3,1),20),"second(s)","")),0)</f>
        <v/>
      </c>
      <c r="K4197" s="41">
        <f>J4197/60</f>
        <v/>
      </c>
      <c r="L4197" s="41">
        <f>IFERROR(J4197/H4197,"")</f>
        <v/>
      </c>
      <c r="M4197" s="25" t="inlineStr">
        <is>
          <t>2.5.12</t>
        </is>
      </c>
      <c r="N4197" s="25">
        <f>IF(J4197&gt;300,1,0)</f>
        <v/>
      </c>
      <c r="O4197" s="25">
        <f>IF(J4197&gt;600,1,0)</f>
        <v/>
      </c>
      <c r="P4197" s="25">
        <f>IF(H4197&gt;0,J4197,"")</f>
        <v/>
      </c>
      <c r="Q4197" s="25">
        <f>TEXT(A4197,"YYYY-MM-DD HH")</f>
        <v/>
      </c>
      <c r="R4197" s="25">
        <f>COUNTIF($Q$2:$Q$5295,Q4197)</f>
        <v/>
      </c>
      <c r="S4197" s="25">
        <f>IF(R4197&lt;=2,"1-2",IF(R4197&lt;=5,"3-5",IF(R4197&lt;=10,"6-10","11+")))</f>
        <v/>
      </c>
    </row>
    <row r="4198">
      <c r="A4198" s="39" t="n">
        <v>46221.34793981481</v>
      </c>
      <c r="B4198" s="25">
        <f>TEXT(A4198,"YYYY-MM")</f>
        <v/>
      </c>
      <c r="C4198" s="25">
        <f>TEXT(A4198,"MMM-YYYY")</f>
        <v/>
      </c>
      <c r="D4198" s="40">
        <f>INT(A4198)-WEEKDAY(A4198,2)+1</f>
        <v/>
      </c>
      <c r="E4198" s="25" t="inlineStr">
        <is>
          <t>dchoudhury</t>
        </is>
      </c>
      <c r="F4198" s="25" t="n">
        <v>132856</v>
      </c>
      <c r="G4198" s="25" t="n">
        <v>2</v>
      </c>
      <c r="H4198" s="25" t="n">
        <v>10</v>
      </c>
      <c r="I4198" s="25" t="inlineStr">
        <is>
          <t>1 minute(s) and 58 second(s)</t>
        </is>
      </c>
      <c r="J4198" s="25">
        <f>IFERROR(VALUE(TRIM(LEFT(I4198,FIND("minute",I4198)-1)))*60,0)+IFERROR(VALUE(SUBSTITUTE(MID(I4198,IFERROR(FIND("and",I4198)+3,1),20),"second(s)","")),0)</f>
        <v/>
      </c>
      <c r="K4198" s="41">
        <f>J4198/60</f>
        <v/>
      </c>
      <c r="L4198" s="41">
        <f>IFERROR(J4198/H4198,"")</f>
        <v/>
      </c>
      <c r="M4198" s="25" t="inlineStr">
        <is>
          <t>2.5.12</t>
        </is>
      </c>
      <c r="N4198" s="25">
        <f>IF(J4198&gt;300,1,0)</f>
        <v/>
      </c>
      <c r="O4198" s="25">
        <f>IF(J4198&gt;600,1,0)</f>
        <v/>
      </c>
      <c r="P4198" s="25">
        <f>IF(H4198&gt;0,J4198,"")</f>
        <v/>
      </c>
      <c r="Q4198" s="25">
        <f>TEXT(A4198,"YYYY-MM-DD HH")</f>
        <v/>
      </c>
      <c r="R4198" s="25">
        <f>COUNTIF($Q$2:$Q$5295,Q4198)</f>
        <v/>
      </c>
      <c r="S4198" s="25">
        <f>IF(R4198&lt;=2,"1-2",IF(R4198&lt;=5,"3-5",IF(R4198&lt;=10,"6-10","11+")))</f>
        <v/>
      </c>
    </row>
    <row r="4199">
      <c r="A4199" s="39" t="n">
        <v>46221.36620370371</v>
      </c>
      <c r="B4199" s="25">
        <f>TEXT(A4199,"YYYY-MM")</f>
        <v/>
      </c>
      <c r="C4199" s="25">
        <f>TEXT(A4199,"MMM-YYYY")</f>
        <v/>
      </c>
      <c r="D4199" s="40">
        <f>INT(A4199)-WEEKDAY(A4199,2)+1</f>
        <v/>
      </c>
      <c r="E4199" s="25" t="inlineStr">
        <is>
          <t>hsindwani</t>
        </is>
      </c>
      <c r="F4199" s="25" t="n">
        <v>132808</v>
      </c>
      <c r="G4199" s="25" t="n">
        <v>2</v>
      </c>
      <c r="H4199" s="25" t="n">
        <v>10</v>
      </c>
      <c r="I4199" s="25" t="inlineStr">
        <is>
          <t>1 minute(s) and 17 second(s)</t>
        </is>
      </c>
      <c r="J4199" s="25">
        <f>IFERROR(VALUE(TRIM(LEFT(I4199,FIND("minute",I4199)-1)))*60,0)+IFERROR(VALUE(SUBSTITUTE(MID(I4199,IFERROR(FIND("and",I4199)+3,1),20),"second(s)","")),0)</f>
        <v/>
      </c>
      <c r="K4199" s="41">
        <f>J4199/60</f>
        <v/>
      </c>
      <c r="L4199" s="41">
        <f>IFERROR(J4199/H4199,"")</f>
        <v/>
      </c>
      <c r="M4199" s="25" t="inlineStr">
        <is>
          <t>2.5.12</t>
        </is>
      </c>
      <c r="N4199" s="25">
        <f>IF(J4199&gt;300,1,0)</f>
        <v/>
      </c>
      <c r="O4199" s="25">
        <f>IF(J4199&gt;600,1,0)</f>
        <v/>
      </c>
      <c r="P4199" s="25">
        <f>IF(H4199&gt;0,J4199,"")</f>
        <v/>
      </c>
      <c r="Q4199" s="25">
        <f>TEXT(A4199,"YYYY-MM-DD HH")</f>
        <v/>
      </c>
      <c r="R4199" s="25">
        <f>COUNTIF($Q$2:$Q$5295,Q4199)</f>
        <v/>
      </c>
      <c r="S4199" s="25">
        <f>IF(R4199&lt;=2,"1-2",IF(R4199&lt;=5,"3-5",IF(R4199&lt;=10,"6-10","11+")))</f>
        <v/>
      </c>
    </row>
    <row r="4200">
      <c r="A4200" s="39" t="n">
        <v>46221.45839120371</v>
      </c>
      <c r="B4200" s="25">
        <f>TEXT(A4200,"YYYY-MM")</f>
        <v/>
      </c>
      <c r="C4200" s="25">
        <f>TEXT(A4200,"MMM-YYYY")</f>
        <v/>
      </c>
      <c r="D4200" s="40">
        <f>INT(A4200)-WEEKDAY(A4200,2)+1</f>
        <v/>
      </c>
      <c r="E4200" s="25" t="inlineStr">
        <is>
          <t>hsindwani</t>
        </is>
      </c>
      <c r="F4200" s="25" t="n">
        <v>132808</v>
      </c>
      <c r="G4200" s="25" t="n">
        <v>1</v>
      </c>
      <c r="H4200" s="25" t="n">
        <v>5</v>
      </c>
      <c r="I4200" s="25" t="inlineStr">
        <is>
          <t>30 second(s)</t>
        </is>
      </c>
      <c r="J4200" s="25">
        <f>IFERROR(VALUE(TRIM(LEFT(I4200,FIND("minute",I4200)-1)))*60,0)+IFERROR(VALUE(SUBSTITUTE(MID(I4200,IFERROR(FIND("and",I4200)+3,1),20),"second(s)","")),0)</f>
        <v/>
      </c>
      <c r="K4200" s="41">
        <f>J4200/60</f>
        <v/>
      </c>
      <c r="L4200" s="41">
        <f>IFERROR(J4200/H4200,"")</f>
        <v/>
      </c>
      <c r="M4200" s="25" t="inlineStr">
        <is>
          <t>2.5.12</t>
        </is>
      </c>
      <c r="N4200" s="25">
        <f>IF(J4200&gt;300,1,0)</f>
        <v/>
      </c>
      <c r="O4200" s="25">
        <f>IF(J4200&gt;600,1,0)</f>
        <v/>
      </c>
      <c r="P4200" s="25">
        <f>IF(H4200&gt;0,J4200,"")</f>
        <v/>
      </c>
      <c r="Q4200" s="25">
        <f>TEXT(A4200,"YYYY-MM-DD HH")</f>
        <v/>
      </c>
      <c r="R4200" s="25">
        <f>COUNTIF($Q$2:$Q$5295,Q4200)</f>
        <v/>
      </c>
      <c r="S4200" s="25">
        <f>IF(R4200&lt;=2,"1-2",IF(R4200&lt;=5,"3-5",IF(R4200&lt;=10,"6-10","11+")))</f>
        <v/>
      </c>
    </row>
    <row r="4201">
      <c r="A4201" s="39" t="n">
        <v>46221.49366898148</v>
      </c>
      <c r="B4201" s="25">
        <f>TEXT(A4201,"YYYY-MM")</f>
        <v/>
      </c>
      <c r="C4201" s="25">
        <f>TEXT(A4201,"MMM-YYYY")</f>
        <v/>
      </c>
      <c r="D4201" s="40">
        <f>INT(A4201)-WEEKDAY(A4201,2)+1</f>
        <v/>
      </c>
      <c r="E4201" s="25" t="inlineStr">
        <is>
          <t>dchoudhury</t>
        </is>
      </c>
      <c r="F4201" s="25" t="n">
        <v>132904</v>
      </c>
      <c r="G4201" s="25" t="n">
        <v>5</v>
      </c>
      <c r="H4201" s="25" t="n">
        <v>25</v>
      </c>
      <c r="I4201" s="25" t="inlineStr">
        <is>
          <t>3 minute(s) and 7 second(s)</t>
        </is>
      </c>
      <c r="J4201" s="25">
        <f>IFERROR(VALUE(TRIM(LEFT(I4201,FIND("minute",I4201)-1)))*60,0)+IFERROR(VALUE(SUBSTITUTE(MID(I4201,IFERROR(FIND("and",I4201)+3,1),20),"second(s)","")),0)</f>
        <v/>
      </c>
      <c r="K4201" s="41">
        <f>J4201/60</f>
        <v/>
      </c>
      <c r="L4201" s="41">
        <f>IFERROR(J4201/H4201,"")</f>
        <v/>
      </c>
      <c r="M4201" s="25" t="inlineStr">
        <is>
          <t>2.5.12</t>
        </is>
      </c>
      <c r="N4201" s="25">
        <f>IF(J4201&gt;300,1,0)</f>
        <v/>
      </c>
      <c r="O4201" s="25">
        <f>IF(J4201&gt;600,1,0)</f>
        <v/>
      </c>
      <c r="P4201" s="25">
        <f>IF(H4201&gt;0,J4201,"")</f>
        <v/>
      </c>
      <c r="Q4201" s="25">
        <f>TEXT(A4201,"YYYY-MM-DD HH")</f>
        <v/>
      </c>
      <c r="R4201" s="25">
        <f>COUNTIF($Q$2:$Q$5295,Q4201)</f>
        <v/>
      </c>
      <c r="S4201" s="25">
        <f>IF(R4201&lt;=2,"1-2",IF(R4201&lt;=5,"3-5",IF(R4201&lt;=10,"6-10","11+")))</f>
        <v/>
      </c>
    </row>
    <row r="4202">
      <c r="A4202" s="39" t="n">
        <v>46221.50715277778</v>
      </c>
      <c r="B4202" s="25">
        <f>TEXT(A4202,"YYYY-MM")</f>
        <v/>
      </c>
      <c r="C4202" s="25">
        <f>TEXT(A4202,"MMM-YYYY")</f>
        <v/>
      </c>
      <c r="D4202" s="40">
        <f>INT(A4202)-WEEKDAY(A4202,2)+1</f>
        <v/>
      </c>
      <c r="E4202" s="25" t="inlineStr">
        <is>
          <t>hsindwani</t>
        </is>
      </c>
      <c r="F4202" s="25" t="n">
        <v>132808</v>
      </c>
      <c r="G4202" s="25" t="n">
        <v>1</v>
      </c>
      <c r="H4202" s="25" t="n">
        <v>5</v>
      </c>
      <c r="I4202" s="25" t="inlineStr">
        <is>
          <t>47 second(s)</t>
        </is>
      </c>
      <c r="J4202" s="25">
        <f>IFERROR(VALUE(TRIM(LEFT(I4202,FIND("minute",I4202)-1)))*60,0)+IFERROR(VALUE(SUBSTITUTE(MID(I4202,IFERROR(FIND("and",I4202)+3,1),20),"second(s)","")),0)</f>
        <v/>
      </c>
      <c r="K4202" s="41">
        <f>J4202/60</f>
        <v/>
      </c>
      <c r="L4202" s="41">
        <f>IFERROR(J4202/H4202,"")</f>
        <v/>
      </c>
      <c r="M4202" s="25" t="inlineStr">
        <is>
          <t>2.5.12</t>
        </is>
      </c>
      <c r="N4202" s="25">
        <f>IF(J4202&gt;300,1,0)</f>
        <v/>
      </c>
      <c r="O4202" s="25">
        <f>IF(J4202&gt;600,1,0)</f>
        <v/>
      </c>
      <c r="P4202" s="25">
        <f>IF(H4202&gt;0,J4202,"")</f>
        <v/>
      </c>
      <c r="Q4202" s="25">
        <f>TEXT(A4202,"YYYY-MM-DD HH")</f>
        <v/>
      </c>
      <c r="R4202" s="25">
        <f>COUNTIF($Q$2:$Q$5295,Q4202)</f>
        <v/>
      </c>
      <c r="S4202" s="25">
        <f>IF(R4202&lt;=2,"1-2",IF(R4202&lt;=5,"3-5",IF(R4202&lt;=10,"6-10","11+")))</f>
        <v/>
      </c>
    </row>
    <row r="4203">
      <c r="A4203" s="39" t="n">
        <v>46221.56064814814</v>
      </c>
      <c r="B4203" s="25">
        <f>TEXT(A4203,"YYYY-MM")</f>
        <v/>
      </c>
      <c r="C4203" s="25">
        <f>TEXT(A4203,"MMM-YYYY")</f>
        <v/>
      </c>
      <c r="D4203" s="40">
        <f>INT(A4203)-WEEKDAY(A4203,2)+1</f>
        <v/>
      </c>
      <c r="E4203" s="25" t="inlineStr">
        <is>
          <t>hsindwani</t>
        </is>
      </c>
      <c r="F4203" s="25" t="n">
        <v>132463</v>
      </c>
      <c r="G4203" s="25" t="n">
        <v>1</v>
      </c>
      <c r="H4203" s="25" t="n">
        <v>7</v>
      </c>
      <c r="I4203" s="25" t="inlineStr">
        <is>
          <t>37 second(s)</t>
        </is>
      </c>
      <c r="J4203" s="25">
        <f>IFERROR(VALUE(TRIM(LEFT(I4203,FIND("minute",I4203)-1)))*60,0)+IFERROR(VALUE(SUBSTITUTE(MID(I4203,IFERROR(FIND("and",I4203)+3,1),20),"second(s)","")),0)</f>
        <v/>
      </c>
      <c r="K4203" s="41">
        <f>J4203/60</f>
        <v/>
      </c>
      <c r="L4203" s="41">
        <f>IFERROR(J4203/H4203,"")</f>
        <v/>
      </c>
      <c r="M4203" s="25" t="inlineStr">
        <is>
          <t>2.5.12</t>
        </is>
      </c>
      <c r="N4203" s="25">
        <f>IF(J4203&gt;300,1,0)</f>
        <v/>
      </c>
      <c r="O4203" s="25">
        <f>IF(J4203&gt;600,1,0)</f>
        <v/>
      </c>
      <c r="P4203" s="25">
        <f>IF(H4203&gt;0,J4203,"")</f>
        <v/>
      </c>
      <c r="Q4203" s="25">
        <f>TEXT(A4203,"YYYY-MM-DD HH")</f>
        <v/>
      </c>
      <c r="R4203" s="25">
        <f>COUNTIF($Q$2:$Q$5295,Q4203)</f>
        <v/>
      </c>
      <c r="S4203" s="25">
        <f>IF(R4203&lt;=2,"1-2",IF(R4203&lt;=5,"3-5",IF(R4203&lt;=10,"6-10","11+")))</f>
        <v/>
      </c>
    </row>
    <row r="4204">
      <c r="A4204" s="39" t="n">
        <v>46221.67787037037</v>
      </c>
      <c r="B4204" s="25">
        <f>TEXT(A4204,"YYYY-MM")</f>
        <v/>
      </c>
      <c r="C4204" s="25">
        <f>TEXT(A4204,"MMM-YYYY")</f>
        <v/>
      </c>
      <c r="D4204" s="40">
        <f>INT(A4204)-WEEKDAY(A4204,2)+1</f>
        <v/>
      </c>
      <c r="E4204" s="25" t="inlineStr">
        <is>
          <t>dchoudhury</t>
        </is>
      </c>
      <c r="F4204" s="25" t="n">
        <v>128536</v>
      </c>
      <c r="G4204" s="25" t="n">
        <v>4</v>
      </c>
      <c r="H4204" s="25" t="n">
        <v>23</v>
      </c>
      <c r="I4204" s="25" t="inlineStr">
        <is>
          <t>2 minute(s) and 37 second(s)</t>
        </is>
      </c>
      <c r="J4204" s="25">
        <f>IFERROR(VALUE(TRIM(LEFT(I4204,FIND("minute",I4204)-1)))*60,0)+IFERROR(VALUE(SUBSTITUTE(MID(I4204,IFERROR(FIND("and",I4204)+3,1),20),"second(s)","")),0)</f>
        <v/>
      </c>
      <c r="K4204" s="41">
        <f>J4204/60</f>
        <v/>
      </c>
      <c r="L4204" s="41">
        <f>IFERROR(J4204/H4204,"")</f>
        <v/>
      </c>
      <c r="M4204" s="25" t="inlineStr">
        <is>
          <t>2.5.12</t>
        </is>
      </c>
      <c r="N4204" s="25">
        <f>IF(J4204&gt;300,1,0)</f>
        <v/>
      </c>
      <c r="O4204" s="25">
        <f>IF(J4204&gt;600,1,0)</f>
        <v/>
      </c>
      <c r="P4204" s="25">
        <f>IF(H4204&gt;0,J4204,"")</f>
        <v/>
      </c>
      <c r="Q4204" s="25">
        <f>TEXT(A4204,"YYYY-MM-DD HH")</f>
        <v/>
      </c>
      <c r="R4204" s="25">
        <f>COUNTIF($Q$2:$Q$5295,Q4204)</f>
        <v/>
      </c>
      <c r="S4204" s="25">
        <f>IF(R4204&lt;=2,"1-2",IF(R4204&lt;=5,"3-5",IF(R4204&lt;=10,"6-10","11+")))</f>
        <v/>
      </c>
    </row>
    <row r="4205">
      <c r="A4205" s="39" t="n">
        <v>46221.71424768519</v>
      </c>
      <c r="B4205" s="25">
        <f>TEXT(A4205,"YYYY-MM")</f>
        <v/>
      </c>
      <c r="C4205" s="25">
        <f>TEXT(A4205,"MMM-YYYY")</f>
        <v/>
      </c>
      <c r="D4205" s="40">
        <f>INT(A4205)-WEEKDAY(A4205,2)+1</f>
        <v/>
      </c>
      <c r="E4205" s="25" t="inlineStr">
        <is>
          <t>hsindwani</t>
        </is>
      </c>
      <c r="F4205" s="25" t="n">
        <v>132784</v>
      </c>
      <c r="G4205" s="25" t="n">
        <v>2</v>
      </c>
      <c r="H4205" s="25" t="n">
        <v>10</v>
      </c>
      <c r="I4205" s="25" t="inlineStr">
        <is>
          <t>1 minute(s) and 20 second(s)</t>
        </is>
      </c>
      <c r="J4205" s="25">
        <f>IFERROR(VALUE(TRIM(LEFT(I4205,FIND("minute",I4205)-1)))*60,0)+IFERROR(VALUE(SUBSTITUTE(MID(I4205,IFERROR(FIND("and",I4205)+3,1),20),"second(s)","")),0)</f>
        <v/>
      </c>
      <c r="K4205" s="41">
        <f>J4205/60</f>
        <v/>
      </c>
      <c r="L4205" s="41">
        <f>IFERROR(J4205/H4205,"")</f>
        <v/>
      </c>
      <c r="M4205" s="25" t="inlineStr">
        <is>
          <t>2.5.12</t>
        </is>
      </c>
      <c r="N4205" s="25">
        <f>IF(J4205&gt;300,1,0)</f>
        <v/>
      </c>
      <c r="O4205" s="25">
        <f>IF(J4205&gt;600,1,0)</f>
        <v/>
      </c>
      <c r="P4205" s="25">
        <f>IF(H4205&gt;0,J4205,"")</f>
        <v/>
      </c>
      <c r="Q4205" s="25">
        <f>TEXT(A4205,"YYYY-MM-DD HH")</f>
        <v/>
      </c>
      <c r="R4205" s="25">
        <f>COUNTIF($Q$2:$Q$5295,Q4205)</f>
        <v/>
      </c>
      <c r="S4205" s="25">
        <f>IF(R4205&lt;=2,"1-2",IF(R4205&lt;=5,"3-5",IF(R4205&lt;=10,"6-10","11+")))</f>
        <v/>
      </c>
    </row>
    <row r="4206">
      <c r="A4206" s="39" t="n">
        <v>46221.77784722222</v>
      </c>
      <c r="B4206" s="25">
        <f>TEXT(A4206,"YYYY-MM")</f>
        <v/>
      </c>
      <c r="C4206" s="25">
        <f>TEXT(A4206,"MMM-YYYY")</f>
        <v/>
      </c>
      <c r="D4206" s="40">
        <f>INT(A4206)-WEEKDAY(A4206,2)+1</f>
        <v/>
      </c>
      <c r="E4206" s="25" t="inlineStr">
        <is>
          <t>hsindwani</t>
        </is>
      </c>
      <c r="F4206" s="25" t="n">
        <v>132495</v>
      </c>
      <c r="G4206" s="25" t="n">
        <v>2</v>
      </c>
      <c r="H4206" s="25" t="n">
        <v>14</v>
      </c>
      <c r="I4206" s="25" t="inlineStr">
        <is>
          <t>3 minute(s) and 45 second(s)</t>
        </is>
      </c>
      <c r="J4206" s="25">
        <f>IFERROR(VALUE(TRIM(LEFT(I4206,FIND("minute",I4206)-1)))*60,0)+IFERROR(VALUE(SUBSTITUTE(MID(I4206,IFERROR(FIND("and",I4206)+3,1),20),"second(s)","")),0)</f>
        <v/>
      </c>
      <c r="K4206" s="41">
        <f>J4206/60</f>
        <v/>
      </c>
      <c r="L4206" s="41">
        <f>IFERROR(J4206/H4206,"")</f>
        <v/>
      </c>
      <c r="M4206" s="25" t="inlineStr">
        <is>
          <t>2.5.12</t>
        </is>
      </c>
      <c r="N4206" s="25">
        <f>IF(J4206&gt;300,1,0)</f>
        <v/>
      </c>
      <c r="O4206" s="25">
        <f>IF(J4206&gt;600,1,0)</f>
        <v/>
      </c>
      <c r="P4206" s="25">
        <f>IF(H4206&gt;0,J4206,"")</f>
        <v/>
      </c>
      <c r="Q4206" s="25">
        <f>TEXT(A4206,"YYYY-MM-DD HH")</f>
        <v/>
      </c>
      <c r="R4206" s="25">
        <f>COUNTIF($Q$2:$Q$5295,Q4206)</f>
        <v/>
      </c>
      <c r="S4206" s="25">
        <f>IF(R4206&lt;=2,"1-2",IF(R4206&lt;=5,"3-5",IF(R4206&lt;=10,"6-10","11+")))</f>
        <v/>
      </c>
    </row>
    <row r="4207">
      <c r="A4207" s="39" t="n">
        <v>46221.93253472223</v>
      </c>
      <c r="B4207" s="25">
        <f>TEXT(A4207,"YYYY-MM")</f>
        <v/>
      </c>
      <c r="C4207" s="25">
        <f>TEXT(A4207,"MMM-YYYY")</f>
        <v/>
      </c>
      <c r="D4207" s="40">
        <f>INT(A4207)-WEEKDAY(A4207,2)+1</f>
        <v/>
      </c>
      <c r="E4207" s="25" t="inlineStr">
        <is>
          <t>dchoudhury</t>
        </is>
      </c>
      <c r="F4207" s="25" t="n">
        <v>129680</v>
      </c>
      <c r="G4207" s="25" t="n">
        <v>3</v>
      </c>
      <c r="H4207" s="25" t="n">
        <v>14</v>
      </c>
      <c r="I4207" s="25" t="inlineStr">
        <is>
          <t>1 minute(s) and 32 second(s)</t>
        </is>
      </c>
      <c r="J4207" s="25">
        <f>IFERROR(VALUE(TRIM(LEFT(I4207,FIND("minute",I4207)-1)))*60,0)+IFERROR(VALUE(SUBSTITUTE(MID(I4207,IFERROR(FIND("and",I4207)+3,1),20),"second(s)","")),0)</f>
        <v/>
      </c>
      <c r="K4207" s="41">
        <f>J4207/60</f>
        <v/>
      </c>
      <c r="L4207" s="41">
        <f>IFERROR(J4207/H4207,"")</f>
        <v/>
      </c>
      <c r="M4207" s="25" t="inlineStr">
        <is>
          <t>2.5.12</t>
        </is>
      </c>
      <c r="N4207" s="25">
        <f>IF(J4207&gt;300,1,0)</f>
        <v/>
      </c>
      <c r="O4207" s="25">
        <f>IF(J4207&gt;600,1,0)</f>
        <v/>
      </c>
      <c r="P4207" s="25">
        <f>IF(H4207&gt;0,J4207,"")</f>
        <v/>
      </c>
      <c r="Q4207" s="25">
        <f>TEXT(A4207,"YYYY-MM-DD HH")</f>
        <v/>
      </c>
      <c r="R4207" s="25">
        <f>COUNTIF($Q$2:$Q$5295,Q4207)</f>
        <v/>
      </c>
      <c r="S4207" s="25">
        <f>IF(R4207&lt;=2,"1-2",IF(R4207&lt;=5,"3-5",IF(R4207&lt;=10,"6-10","11+")))</f>
        <v/>
      </c>
    </row>
    <row r="4208">
      <c r="A4208" s="39" t="n">
        <v>46222.08434027778</v>
      </c>
      <c r="B4208" s="25">
        <f>TEXT(A4208,"YYYY-MM")</f>
        <v/>
      </c>
      <c r="C4208" s="25">
        <f>TEXT(A4208,"MMM-YYYY")</f>
        <v/>
      </c>
      <c r="D4208" s="40">
        <f>INT(A4208)-WEEKDAY(A4208,2)+1</f>
        <v/>
      </c>
      <c r="E4208" s="25" t="inlineStr">
        <is>
          <t>npriya</t>
        </is>
      </c>
      <c r="F4208" s="25" t="n">
        <v>130523</v>
      </c>
      <c r="G4208" s="25" t="n">
        <v>2</v>
      </c>
      <c r="H4208" s="25" t="n">
        <v>12</v>
      </c>
      <c r="I4208" s="25" t="inlineStr">
        <is>
          <t>1 minute(s) and 15 second(s)</t>
        </is>
      </c>
      <c r="J4208" s="25">
        <f>IFERROR(VALUE(TRIM(LEFT(I4208,FIND("minute",I4208)-1)))*60,0)+IFERROR(VALUE(SUBSTITUTE(MID(I4208,IFERROR(FIND("and",I4208)+3,1),20),"second(s)","")),0)</f>
        <v/>
      </c>
      <c r="K4208" s="41">
        <f>J4208/60</f>
        <v/>
      </c>
      <c r="L4208" s="41">
        <f>IFERROR(J4208/H4208,"")</f>
        <v/>
      </c>
      <c r="M4208" s="25" t="inlineStr">
        <is>
          <t>2.5.12</t>
        </is>
      </c>
      <c r="N4208" s="25">
        <f>IF(J4208&gt;300,1,0)</f>
        <v/>
      </c>
      <c r="O4208" s="25">
        <f>IF(J4208&gt;600,1,0)</f>
        <v/>
      </c>
      <c r="P4208" s="25">
        <f>IF(H4208&gt;0,J4208,"")</f>
        <v/>
      </c>
      <c r="Q4208" s="25">
        <f>TEXT(A4208,"YYYY-MM-DD HH")</f>
        <v/>
      </c>
      <c r="R4208" s="25">
        <f>COUNTIF($Q$2:$Q$5295,Q4208)</f>
        <v/>
      </c>
      <c r="S4208" s="25">
        <f>IF(R4208&lt;=2,"1-2",IF(R4208&lt;=5,"3-5",IF(R4208&lt;=10,"6-10","11+")))</f>
        <v/>
      </c>
    </row>
    <row r="4209">
      <c r="A4209" s="39" t="n">
        <v>46222.39511574074</v>
      </c>
      <c r="B4209" s="25">
        <f>TEXT(A4209,"YYYY-MM")</f>
        <v/>
      </c>
      <c r="C4209" s="25">
        <f>TEXT(A4209,"MMM-YYYY")</f>
        <v/>
      </c>
      <c r="D4209" s="40">
        <f>INT(A4209)-WEEKDAY(A4209,2)+1</f>
        <v/>
      </c>
      <c r="E4209" s="25" t="inlineStr">
        <is>
          <t>sasharma</t>
        </is>
      </c>
      <c r="F4209" s="25" t="n">
        <v>129787</v>
      </c>
      <c r="G4209" s="25" t="n">
        <v>2</v>
      </c>
      <c r="H4209" s="25" t="n">
        <v>11</v>
      </c>
      <c r="I4209" s="25" t="inlineStr">
        <is>
          <t>58 second(s)</t>
        </is>
      </c>
      <c r="J4209" s="25">
        <f>IFERROR(VALUE(TRIM(LEFT(I4209,FIND("minute",I4209)-1)))*60,0)+IFERROR(VALUE(SUBSTITUTE(MID(I4209,IFERROR(FIND("and",I4209)+3,1),20),"second(s)","")),0)</f>
        <v/>
      </c>
      <c r="K4209" s="41">
        <f>J4209/60</f>
        <v/>
      </c>
      <c r="L4209" s="41">
        <f>IFERROR(J4209/H4209,"")</f>
        <v/>
      </c>
      <c r="M4209" s="25" t="inlineStr">
        <is>
          <t>2.5.12</t>
        </is>
      </c>
      <c r="N4209" s="25">
        <f>IF(J4209&gt;300,1,0)</f>
        <v/>
      </c>
      <c r="O4209" s="25">
        <f>IF(J4209&gt;600,1,0)</f>
        <v/>
      </c>
      <c r="P4209" s="25">
        <f>IF(H4209&gt;0,J4209,"")</f>
        <v/>
      </c>
      <c r="Q4209" s="25">
        <f>TEXT(A4209,"YYYY-MM-DD HH")</f>
        <v/>
      </c>
      <c r="R4209" s="25">
        <f>COUNTIF($Q$2:$Q$5295,Q4209)</f>
        <v/>
      </c>
      <c r="S4209" s="25">
        <f>IF(R4209&lt;=2,"1-2",IF(R4209&lt;=5,"3-5",IF(R4209&lt;=10,"6-10","11+")))</f>
        <v/>
      </c>
    </row>
    <row r="4210">
      <c r="A4210" s="39" t="n">
        <v>46222.40390046296</v>
      </c>
      <c r="B4210" s="25">
        <f>TEXT(A4210,"YYYY-MM")</f>
        <v/>
      </c>
      <c r="C4210" s="25">
        <f>TEXT(A4210,"MMM-YYYY")</f>
        <v/>
      </c>
      <c r="D4210" s="40">
        <f>INT(A4210)-WEEKDAY(A4210,2)+1</f>
        <v/>
      </c>
      <c r="E4210" s="25" t="inlineStr">
        <is>
          <t>sasharma</t>
        </is>
      </c>
      <c r="F4210" s="25" t="n">
        <v>129787</v>
      </c>
      <c r="G4210" s="25" t="n">
        <v>1</v>
      </c>
      <c r="H4210" s="25" t="n">
        <v>6</v>
      </c>
      <c r="I4210" s="25" t="inlineStr">
        <is>
          <t>1 minute(s) and 27 second(s)</t>
        </is>
      </c>
      <c r="J4210" s="25">
        <f>IFERROR(VALUE(TRIM(LEFT(I4210,FIND("minute",I4210)-1)))*60,0)+IFERROR(VALUE(SUBSTITUTE(MID(I4210,IFERROR(FIND("and",I4210)+3,1),20),"second(s)","")),0)</f>
        <v/>
      </c>
      <c r="K4210" s="41">
        <f>J4210/60</f>
        <v/>
      </c>
      <c r="L4210" s="41">
        <f>IFERROR(J4210/H4210,"")</f>
        <v/>
      </c>
      <c r="M4210" s="25" t="inlineStr">
        <is>
          <t>2.5.12</t>
        </is>
      </c>
      <c r="N4210" s="25">
        <f>IF(J4210&gt;300,1,0)</f>
        <v/>
      </c>
      <c r="O4210" s="25">
        <f>IF(J4210&gt;600,1,0)</f>
        <v/>
      </c>
      <c r="P4210" s="25">
        <f>IF(H4210&gt;0,J4210,"")</f>
        <v/>
      </c>
      <c r="Q4210" s="25">
        <f>TEXT(A4210,"YYYY-MM-DD HH")</f>
        <v/>
      </c>
      <c r="R4210" s="25">
        <f>COUNTIF($Q$2:$Q$5295,Q4210)</f>
        <v/>
      </c>
      <c r="S4210" s="25">
        <f>IF(R4210&lt;=2,"1-2",IF(R4210&lt;=5,"3-5",IF(R4210&lt;=10,"6-10","11+")))</f>
        <v/>
      </c>
    </row>
    <row r="4211">
      <c r="A4211" s="39" t="n">
        <v>46222.54225694444</v>
      </c>
      <c r="B4211" s="25">
        <f>TEXT(A4211,"YYYY-MM")</f>
        <v/>
      </c>
      <c r="C4211" s="25">
        <f>TEXT(A4211,"MMM-YYYY")</f>
        <v/>
      </c>
      <c r="D4211" s="40">
        <f>INT(A4211)-WEEKDAY(A4211,2)+1</f>
        <v/>
      </c>
      <c r="E4211" s="25" t="inlineStr">
        <is>
          <t>sasharma</t>
        </is>
      </c>
      <c r="F4211" s="25" t="n">
        <v>129843</v>
      </c>
      <c r="G4211" s="25" t="n">
        <v>4</v>
      </c>
      <c r="H4211" s="25" t="n">
        <v>20</v>
      </c>
      <c r="I4211" s="25" t="inlineStr">
        <is>
          <t>1 minute(s) and 28 second(s)</t>
        </is>
      </c>
      <c r="J4211" s="25">
        <f>IFERROR(VALUE(TRIM(LEFT(I4211,FIND("minute",I4211)-1)))*60,0)+IFERROR(VALUE(SUBSTITUTE(MID(I4211,IFERROR(FIND("and",I4211)+3,1),20),"second(s)","")),0)</f>
        <v/>
      </c>
      <c r="K4211" s="41">
        <f>J4211/60</f>
        <v/>
      </c>
      <c r="L4211" s="41">
        <f>IFERROR(J4211/H4211,"")</f>
        <v/>
      </c>
      <c r="M4211" s="25" t="inlineStr">
        <is>
          <t>2.5.12</t>
        </is>
      </c>
      <c r="N4211" s="25">
        <f>IF(J4211&gt;300,1,0)</f>
        <v/>
      </c>
      <c r="O4211" s="25">
        <f>IF(J4211&gt;600,1,0)</f>
        <v/>
      </c>
      <c r="P4211" s="25">
        <f>IF(H4211&gt;0,J4211,"")</f>
        <v/>
      </c>
      <c r="Q4211" s="25">
        <f>TEXT(A4211,"YYYY-MM-DD HH")</f>
        <v/>
      </c>
      <c r="R4211" s="25">
        <f>COUNTIF($Q$2:$Q$5295,Q4211)</f>
        <v/>
      </c>
      <c r="S4211" s="25">
        <f>IF(R4211&lt;=2,"1-2",IF(R4211&lt;=5,"3-5",IF(R4211&lt;=10,"6-10","11+")))</f>
        <v/>
      </c>
    </row>
    <row r="4212">
      <c r="A4212" s="39" t="n">
        <v>46222.59141203704</v>
      </c>
      <c r="B4212" s="25">
        <f>TEXT(A4212,"YYYY-MM")</f>
        <v/>
      </c>
      <c r="C4212" s="25">
        <f>TEXT(A4212,"MMM-YYYY")</f>
        <v/>
      </c>
      <c r="D4212" s="40">
        <f>INT(A4212)-WEEKDAY(A4212,2)+1</f>
        <v/>
      </c>
      <c r="E4212" s="25" t="inlineStr">
        <is>
          <t>sasharma</t>
        </is>
      </c>
      <c r="F4212" s="25" t="n">
        <v>129955</v>
      </c>
      <c r="G4212" s="25" t="n">
        <v>1</v>
      </c>
      <c r="H4212" s="25" t="n">
        <v>5</v>
      </c>
      <c r="I4212" s="25" t="inlineStr">
        <is>
          <t>21 second(s)</t>
        </is>
      </c>
      <c r="J4212" s="25">
        <f>IFERROR(VALUE(TRIM(LEFT(I4212,FIND("minute",I4212)-1)))*60,0)+IFERROR(VALUE(SUBSTITUTE(MID(I4212,IFERROR(FIND("and",I4212)+3,1),20),"second(s)","")),0)</f>
        <v/>
      </c>
      <c r="K4212" s="41">
        <f>J4212/60</f>
        <v/>
      </c>
      <c r="L4212" s="41">
        <f>IFERROR(J4212/H4212,"")</f>
        <v/>
      </c>
      <c r="M4212" s="25" t="inlineStr">
        <is>
          <t>2.5.12</t>
        </is>
      </c>
      <c r="N4212" s="25">
        <f>IF(J4212&gt;300,1,0)</f>
        <v/>
      </c>
      <c r="O4212" s="25">
        <f>IF(J4212&gt;600,1,0)</f>
        <v/>
      </c>
      <c r="P4212" s="25">
        <f>IF(H4212&gt;0,J4212,"")</f>
        <v/>
      </c>
      <c r="Q4212" s="25">
        <f>TEXT(A4212,"YYYY-MM-DD HH")</f>
        <v/>
      </c>
      <c r="R4212" s="25">
        <f>COUNTIF($Q$2:$Q$5295,Q4212)</f>
        <v/>
      </c>
      <c r="S4212" s="25">
        <f>IF(R4212&lt;=2,"1-2",IF(R4212&lt;=5,"3-5",IF(R4212&lt;=10,"6-10","11+")))</f>
        <v/>
      </c>
    </row>
    <row r="4213">
      <c r="A4213" s="39" t="n">
        <v>46222.93678240741</v>
      </c>
      <c r="B4213" s="25">
        <f>TEXT(A4213,"YYYY-MM")</f>
        <v/>
      </c>
      <c r="C4213" s="25">
        <f>TEXT(A4213,"MMM-YYYY")</f>
        <v/>
      </c>
      <c r="D4213" s="40">
        <f>INT(A4213)-WEEKDAY(A4213,2)+1</f>
        <v/>
      </c>
      <c r="E4213" s="25" t="inlineStr">
        <is>
          <t>dchoudhury</t>
        </is>
      </c>
      <c r="F4213" s="25" t="n">
        <v>116217</v>
      </c>
      <c r="G4213" s="25" t="n">
        <v>2</v>
      </c>
      <c r="H4213" s="25" t="n">
        <v>10</v>
      </c>
      <c r="I4213" s="25" t="inlineStr">
        <is>
          <t>1 minute(s) and 48 second(s)</t>
        </is>
      </c>
      <c r="J4213" s="25">
        <f>IFERROR(VALUE(TRIM(LEFT(I4213,FIND("minute",I4213)-1)))*60,0)+IFERROR(VALUE(SUBSTITUTE(MID(I4213,IFERROR(FIND("and",I4213)+3,1),20),"second(s)","")),0)</f>
        <v/>
      </c>
      <c r="K4213" s="41">
        <f>J4213/60</f>
        <v/>
      </c>
      <c r="L4213" s="41">
        <f>IFERROR(J4213/H4213,"")</f>
        <v/>
      </c>
      <c r="M4213" s="25" t="inlineStr">
        <is>
          <t>2.5.12</t>
        </is>
      </c>
      <c r="N4213" s="25">
        <f>IF(J4213&gt;300,1,0)</f>
        <v/>
      </c>
      <c r="O4213" s="25">
        <f>IF(J4213&gt;600,1,0)</f>
        <v/>
      </c>
      <c r="P4213" s="25">
        <f>IF(H4213&gt;0,J4213,"")</f>
        <v/>
      </c>
      <c r="Q4213" s="25">
        <f>TEXT(A4213,"YYYY-MM-DD HH")</f>
        <v/>
      </c>
      <c r="R4213" s="25">
        <f>COUNTIF($Q$2:$Q$5295,Q4213)</f>
        <v/>
      </c>
      <c r="S4213" s="25">
        <f>IF(R4213&lt;=2,"1-2",IF(R4213&lt;=5,"3-5",IF(R4213&lt;=10,"6-10","11+")))</f>
        <v/>
      </c>
    </row>
    <row r="4214">
      <c r="A4214" s="39" t="n">
        <v>46222.97888888889</v>
      </c>
      <c r="B4214" s="25">
        <f>TEXT(A4214,"YYYY-MM")</f>
        <v/>
      </c>
      <c r="C4214" s="25">
        <f>TEXT(A4214,"MMM-YYYY")</f>
        <v/>
      </c>
      <c r="D4214" s="40">
        <f>INT(A4214)-WEEKDAY(A4214,2)+1</f>
        <v/>
      </c>
      <c r="E4214" s="25" t="inlineStr">
        <is>
          <t>ssrinivasan</t>
        </is>
      </c>
      <c r="F4214" s="25" t="n">
        <v>128184</v>
      </c>
      <c r="G4214" s="25" t="n">
        <v>2</v>
      </c>
      <c r="H4214" s="25" t="n">
        <v>8</v>
      </c>
      <c r="I4214" s="25" t="inlineStr">
        <is>
          <t>1 minute(s) and 8 second(s)</t>
        </is>
      </c>
      <c r="J4214" s="25">
        <f>IFERROR(VALUE(TRIM(LEFT(I4214,FIND("minute",I4214)-1)))*60,0)+IFERROR(VALUE(SUBSTITUTE(MID(I4214,IFERROR(FIND("and",I4214)+3,1),20),"second(s)","")),0)</f>
        <v/>
      </c>
      <c r="K4214" s="41">
        <f>J4214/60</f>
        <v/>
      </c>
      <c r="L4214" s="41">
        <f>IFERROR(J4214/H4214,"")</f>
        <v/>
      </c>
      <c r="M4214" s="25" t="inlineStr">
        <is>
          <t>2.5.12</t>
        </is>
      </c>
      <c r="N4214" s="25">
        <f>IF(J4214&gt;300,1,0)</f>
        <v/>
      </c>
      <c r="O4214" s="25">
        <f>IF(J4214&gt;600,1,0)</f>
        <v/>
      </c>
      <c r="P4214" s="25">
        <f>IF(H4214&gt;0,J4214,"")</f>
        <v/>
      </c>
      <c r="Q4214" s="25">
        <f>TEXT(A4214,"YYYY-MM-DD HH")</f>
        <v/>
      </c>
      <c r="R4214" s="25">
        <f>COUNTIF($Q$2:$Q$5295,Q4214)</f>
        <v/>
      </c>
      <c r="S4214" s="25">
        <f>IF(R4214&lt;=2,"1-2",IF(R4214&lt;=5,"3-5",IF(R4214&lt;=10,"6-10","11+")))</f>
        <v/>
      </c>
    </row>
    <row r="4215">
      <c r="A4215" s="39" t="n">
        <v>46223.03178240741</v>
      </c>
      <c r="B4215" s="25">
        <f>TEXT(A4215,"YYYY-MM")</f>
        <v/>
      </c>
      <c r="C4215" s="25">
        <f>TEXT(A4215,"MMM-YYYY")</f>
        <v/>
      </c>
      <c r="D4215" s="40">
        <f>INT(A4215)-WEEKDAY(A4215,2)+1</f>
        <v/>
      </c>
      <c r="E4215" s="25" t="inlineStr">
        <is>
          <t>smukhopadhyay</t>
        </is>
      </c>
      <c r="F4215" s="25" t="n">
        <v>128320</v>
      </c>
      <c r="G4215" s="25" t="n">
        <v>4</v>
      </c>
      <c r="H4215" s="25" t="n">
        <v>24</v>
      </c>
      <c r="I4215" s="25" t="inlineStr">
        <is>
          <t>3 minute(s) and 4 second(s)</t>
        </is>
      </c>
      <c r="J4215" s="25">
        <f>IFERROR(VALUE(TRIM(LEFT(I4215,FIND("minute",I4215)-1)))*60,0)+IFERROR(VALUE(SUBSTITUTE(MID(I4215,IFERROR(FIND("and",I4215)+3,1),20),"second(s)","")),0)</f>
        <v/>
      </c>
      <c r="K4215" s="41">
        <f>J4215/60</f>
        <v/>
      </c>
      <c r="L4215" s="41">
        <f>IFERROR(J4215/H4215,"")</f>
        <v/>
      </c>
      <c r="M4215" s="25" t="inlineStr">
        <is>
          <t>2.5.12</t>
        </is>
      </c>
      <c r="N4215" s="25">
        <f>IF(J4215&gt;300,1,0)</f>
        <v/>
      </c>
      <c r="O4215" s="25">
        <f>IF(J4215&gt;600,1,0)</f>
        <v/>
      </c>
      <c r="P4215" s="25">
        <f>IF(H4215&gt;0,J4215,"")</f>
        <v/>
      </c>
      <c r="Q4215" s="25">
        <f>TEXT(A4215,"YYYY-MM-DD HH")</f>
        <v/>
      </c>
      <c r="R4215" s="25">
        <f>COUNTIF($Q$2:$Q$5295,Q4215)</f>
        <v/>
      </c>
      <c r="S4215" s="25">
        <f>IF(R4215&lt;=2,"1-2",IF(R4215&lt;=5,"3-5",IF(R4215&lt;=10,"6-10","11+")))</f>
        <v/>
      </c>
    </row>
    <row r="4216">
      <c r="A4216" s="39" t="n">
        <v>46223.04615740741</v>
      </c>
      <c r="B4216" s="25">
        <f>TEXT(A4216,"YYYY-MM")</f>
        <v/>
      </c>
      <c r="C4216" s="25">
        <f>TEXT(A4216,"MMM-YYYY")</f>
        <v/>
      </c>
      <c r="D4216" s="40">
        <f>INT(A4216)-WEEKDAY(A4216,2)+1</f>
        <v/>
      </c>
      <c r="E4216" s="25" t="inlineStr">
        <is>
          <t>shasikha</t>
        </is>
      </c>
      <c r="F4216" s="25" t="n">
        <v>127976</v>
      </c>
      <c r="G4216" s="25" t="n">
        <v>2</v>
      </c>
      <c r="H4216" s="25" t="n">
        <v>12</v>
      </c>
      <c r="I4216" s="25" t="inlineStr">
        <is>
          <t>2 minute(s) and 23 second(s)</t>
        </is>
      </c>
      <c r="J4216" s="25">
        <f>IFERROR(VALUE(TRIM(LEFT(I4216,FIND("minute",I4216)-1)))*60,0)+IFERROR(VALUE(SUBSTITUTE(MID(I4216,IFERROR(FIND("and",I4216)+3,1),20),"second(s)","")),0)</f>
        <v/>
      </c>
      <c r="K4216" s="41">
        <f>J4216/60</f>
        <v/>
      </c>
      <c r="L4216" s="41">
        <f>IFERROR(J4216/H4216,"")</f>
        <v/>
      </c>
      <c r="M4216" s="25" t="inlineStr">
        <is>
          <t>2.5.12</t>
        </is>
      </c>
      <c r="N4216" s="25">
        <f>IF(J4216&gt;300,1,0)</f>
        <v/>
      </c>
      <c r="O4216" s="25">
        <f>IF(J4216&gt;600,1,0)</f>
        <v/>
      </c>
      <c r="P4216" s="25">
        <f>IF(H4216&gt;0,J4216,"")</f>
        <v/>
      </c>
      <c r="Q4216" s="25">
        <f>TEXT(A4216,"YYYY-MM-DD HH")</f>
        <v/>
      </c>
      <c r="R4216" s="25">
        <f>COUNTIF($Q$2:$Q$5295,Q4216)</f>
        <v/>
      </c>
      <c r="S4216" s="25">
        <f>IF(R4216&lt;=2,"1-2",IF(R4216&lt;=5,"3-5",IF(R4216&lt;=10,"6-10","11+")))</f>
        <v/>
      </c>
    </row>
    <row r="4217">
      <c r="A4217" s="39" t="n">
        <v>46223.05396990741</v>
      </c>
      <c r="B4217" s="25">
        <f>TEXT(A4217,"YYYY-MM")</f>
        <v/>
      </c>
      <c r="C4217" s="25">
        <f>TEXT(A4217,"MMM-YYYY")</f>
        <v/>
      </c>
      <c r="D4217" s="40">
        <f>INT(A4217)-WEEKDAY(A4217,2)+1</f>
        <v/>
      </c>
      <c r="E4217" s="25" t="inlineStr">
        <is>
          <t>sdey</t>
        </is>
      </c>
      <c r="F4217" s="25" t="n">
        <v>129406</v>
      </c>
      <c r="G4217" s="25" t="n">
        <v>4</v>
      </c>
      <c r="H4217" s="25" t="n">
        <v>19</v>
      </c>
      <c r="I4217" s="25" t="inlineStr">
        <is>
          <t>2 minute(s) and 52 second(s)</t>
        </is>
      </c>
      <c r="J4217" s="25">
        <f>IFERROR(VALUE(TRIM(LEFT(I4217,FIND("minute",I4217)-1)))*60,0)+IFERROR(VALUE(SUBSTITUTE(MID(I4217,IFERROR(FIND("and",I4217)+3,1),20),"second(s)","")),0)</f>
        <v/>
      </c>
      <c r="K4217" s="41">
        <f>J4217/60</f>
        <v/>
      </c>
      <c r="L4217" s="41">
        <f>IFERROR(J4217/H4217,"")</f>
        <v/>
      </c>
      <c r="M4217" s="25" t="inlineStr">
        <is>
          <t>2.5.12</t>
        </is>
      </c>
      <c r="N4217" s="25">
        <f>IF(J4217&gt;300,1,0)</f>
        <v/>
      </c>
      <c r="O4217" s="25">
        <f>IF(J4217&gt;600,1,0)</f>
        <v/>
      </c>
      <c r="P4217" s="25">
        <f>IF(H4217&gt;0,J4217,"")</f>
        <v/>
      </c>
      <c r="Q4217" s="25">
        <f>TEXT(A4217,"YYYY-MM-DD HH")</f>
        <v/>
      </c>
      <c r="R4217" s="25">
        <f>COUNTIF($Q$2:$Q$5295,Q4217)</f>
        <v/>
      </c>
      <c r="S4217" s="25">
        <f>IF(R4217&lt;=2,"1-2",IF(R4217&lt;=5,"3-5",IF(R4217&lt;=10,"6-10","11+")))</f>
        <v/>
      </c>
    </row>
    <row r="4218">
      <c r="A4218" s="39" t="n">
        <v>46223.05737268519</v>
      </c>
      <c r="B4218" s="25">
        <f>TEXT(A4218,"YYYY-MM")</f>
        <v/>
      </c>
      <c r="C4218" s="25">
        <f>TEXT(A4218,"MMM-YYYY")</f>
        <v/>
      </c>
      <c r="D4218" s="40">
        <f>INT(A4218)-WEEKDAY(A4218,2)+1</f>
        <v/>
      </c>
      <c r="E4218" s="25" t="inlineStr">
        <is>
          <t>psathwika</t>
        </is>
      </c>
      <c r="F4218" s="25" t="n">
        <v>128712</v>
      </c>
      <c r="G4218" s="25" t="n">
        <v>4</v>
      </c>
      <c r="H4218" s="25" t="n">
        <v>22</v>
      </c>
      <c r="I4218" s="25" t="inlineStr">
        <is>
          <t>2 minute(s) and 45 second(s)</t>
        </is>
      </c>
      <c r="J4218" s="25">
        <f>IFERROR(VALUE(TRIM(LEFT(I4218,FIND("minute",I4218)-1)))*60,0)+IFERROR(VALUE(SUBSTITUTE(MID(I4218,IFERROR(FIND("and",I4218)+3,1),20),"second(s)","")),0)</f>
        <v/>
      </c>
      <c r="K4218" s="41">
        <f>J4218/60</f>
        <v/>
      </c>
      <c r="L4218" s="41">
        <f>IFERROR(J4218/H4218,"")</f>
        <v/>
      </c>
      <c r="M4218" s="25" t="inlineStr">
        <is>
          <t>2.5.12</t>
        </is>
      </c>
      <c r="N4218" s="25">
        <f>IF(J4218&gt;300,1,0)</f>
        <v/>
      </c>
      <c r="O4218" s="25">
        <f>IF(J4218&gt;600,1,0)</f>
        <v/>
      </c>
      <c r="P4218" s="25">
        <f>IF(H4218&gt;0,J4218,"")</f>
        <v/>
      </c>
      <c r="Q4218" s="25">
        <f>TEXT(A4218,"YYYY-MM-DD HH")</f>
        <v/>
      </c>
      <c r="R4218" s="25">
        <f>COUNTIF($Q$2:$Q$5295,Q4218)</f>
        <v/>
      </c>
      <c r="S4218" s="25">
        <f>IF(R4218&lt;=2,"1-2",IF(R4218&lt;=5,"3-5",IF(R4218&lt;=10,"6-10","11+")))</f>
        <v/>
      </c>
    </row>
    <row r="4219">
      <c r="A4219" s="39" t="n">
        <v>46223.05914351852</v>
      </c>
      <c r="B4219" s="25">
        <f>TEXT(A4219,"YYYY-MM")</f>
        <v/>
      </c>
      <c r="C4219" s="25">
        <f>TEXT(A4219,"MMM-YYYY")</f>
        <v/>
      </c>
      <c r="D4219" s="40">
        <f>INT(A4219)-WEEKDAY(A4219,2)+1</f>
        <v/>
      </c>
      <c r="E4219" s="25" t="inlineStr">
        <is>
          <t>sdey</t>
        </is>
      </c>
      <c r="F4219" s="25" t="n">
        <v>129406</v>
      </c>
      <c r="G4219" s="25" t="n">
        <v>4</v>
      </c>
      <c r="H4219" s="25" t="n">
        <v>19</v>
      </c>
      <c r="I4219" s="25" t="inlineStr">
        <is>
          <t>1 minute(s) and 43 second(s)</t>
        </is>
      </c>
      <c r="J4219" s="25">
        <f>IFERROR(VALUE(TRIM(LEFT(I4219,FIND("minute",I4219)-1)))*60,0)+IFERROR(VALUE(SUBSTITUTE(MID(I4219,IFERROR(FIND("and",I4219)+3,1),20),"second(s)","")),0)</f>
        <v/>
      </c>
      <c r="K4219" s="41">
        <f>J4219/60</f>
        <v/>
      </c>
      <c r="L4219" s="41">
        <f>IFERROR(J4219/H4219,"")</f>
        <v/>
      </c>
      <c r="M4219" s="25" t="inlineStr">
        <is>
          <t>2.5.12</t>
        </is>
      </c>
      <c r="N4219" s="25">
        <f>IF(J4219&gt;300,1,0)</f>
        <v/>
      </c>
      <c r="O4219" s="25">
        <f>IF(J4219&gt;600,1,0)</f>
        <v/>
      </c>
      <c r="P4219" s="25">
        <f>IF(H4219&gt;0,J4219,"")</f>
        <v/>
      </c>
      <c r="Q4219" s="25">
        <f>TEXT(A4219,"YYYY-MM-DD HH")</f>
        <v/>
      </c>
      <c r="R4219" s="25">
        <f>COUNTIF($Q$2:$Q$5295,Q4219)</f>
        <v/>
      </c>
      <c r="S4219" s="25">
        <f>IF(R4219&lt;=2,"1-2",IF(R4219&lt;=5,"3-5",IF(R4219&lt;=10,"6-10","11+")))</f>
        <v/>
      </c>
    </row>
    <row r="4220">
      <c r="A4220" s="39" t="n">
        <v>46223.07197916666</v>
      </c>
      <c r="B4220" s="25">
        <f>TEXT(A4220,"YYYY-MM")</f>
        <v/>
      </c>
      <c r="C4220" s="25">
        <f>TEXT(A4220,"MMM-YYYY")</f>
        <v/>
      </c>
      <c r="D4220" s="40">
        <f>INT(A4220)-WEEKDAY(A4220,2)+1</f>
        <v/>
      </c>
      <c r="E4220" s="25" t="inlineStr">
        <is>
          <t>shassan</t>
        </is>
      </c>
      <c r="F4220" s="25" t="n">
        <v>128287</v>
      </c>
      <c r="G4220" s="25" t="n">
        <v>4</v>
      </c>
      <c r="H4220" s="25" t="n">
        <v>20</v>
      </c>
      <c r="I4220" s="25" t="inlineStr">
        <is>
          <t>1 minute(s) and 58 second(s)</t>
        </is>
      </c>
      <c r="J4220" s="25">
        <f>IFERROR(VALUE(TRIM(LEFT(I4220,FIND("minute",I4220)-1)))*60,0)+IFERROR(VALUE(SUBSTITUTE(MID(I4220,IFERROR(FIND("and",I4220)+3,1),20),"second(s)","")),0)</f>
        <v/>
      </c>
      <c r="K4220" s="41">
        <f>J4220/60</f>
        <v/>
      </c>
      <c r="L4220" s="41">
        <f>IFERROR(J4220/H4220,"")</f>
        <v/>
      </c>
      <c r="M4220" s="25" t="inlineStr">
        <is>
          <t>2.5.12</t>
        </is>
      </c>
      <c r="N4220" s="25">
        <f>IF(J4220&gt;300,1,0)</f>
        <v/>
      </c>
      <c r="O4220" s="25">
        <f>IF(J4220&gt;600,1,0)</f>
        <v/>
      </c>
      <c r="P4220" s="25">
        <f>IF(H4220&gt;0,J4220,"")</f>
        <v/>
      </c>
      <c r="Q4220" s="25">
        <f>TEXT(A4220,"YYYY-MM-DD HH")</f>
        <v/>
      </c>
      <c r="R4220" s="25">
        <f>COUNTIF($Q$2:$Q$5295,Q4220)</f>
        <v/>
      </c>
      <c r="S4220" s="25">
        <f>IF(R4220&lt;=2,"1-2",IF(R4220&lt;=5,"3-5",IF(R4220&lt;=10,"6-10","11+")))</f>
        <v/>
      </c>
    </row>
    <row r="4221">
      <c r="A4221" s="39" t="n">
        <v>46223.07958333333</v>
      </c>
      <c r="B4221" s="25">
        <f>TEXT(A4221,"YYYY-MM")</f>
        <v/>
      </c>
      <c r="C4221" s="25">
        <f>TEXT(A4221,"MMM-YYYY")</f>
        <v/>
      </c>
      <c r="D4221" s="40">
        <f>INT(A4221)-WEEKDAY(A4221,2)+1</f>
        <v/>
      </c>
      <c r="E4221" s="25" t="inlineStr">
        <is>
          <t>sasharma</t>
        </is>
      </c>
      <c r="F4221" s="25" t="n">
        <v>130715</v>
      </c>
      <c r="G4221" s="25" t="n">
        <v>4</v>
      </c>
      <c r="H4221" s="25" t="n">
        <v>26</v>
      </c>
      <c r="I4221" s="25" t="inlineStr">
        <is>
          <t>1 minute(s) and 54 second(s)</t>
        </is>
      </c>
      <c r="J4221" s="25">
        <f>IFERROR(VALUE(TRIM(LEFT(I4221,FIND("minute",I4221)-1)))*60,0)+IFERROR(VALUE(SUBSTITUTE(MID(I4221,IFERROR(FIND("and",I4221)+3,1),20),"second(s)","")),0)</f>
        <v/>
      </c>
      <c r="K4221" s="41">
        <f>J4221/60</f>
        <v/>
      </c>
      <c r="L4221" s="41">
        <f>IFERROR(J4221/H4221,"")</f>
        <v/>
      </c>
      <c r="M4221" s="25" t="inlineStr">
        <is>
          <t>2.5.12</t>
        </is>
      </c>
      <c r="N4221" s="25">
        <f>IF(J4221&gt;300,1,0)</f>
        <v/>
      </c>
      <c r="O4221" s="25">
        <f>IF(J4221&gt;600,1,0)</f>
        <v/>
      </c>
      <c r="P4221" s="25">
        <f>IF(H4221&gt;0,J4221,"")</f>
        <v/>
      </c>
      <c r="Q4221" s="25">
        <f>TEXT(A4221,"YYYY-MM-DD HH")</f>
        <v/>
      </c>
      <c r="R4221" s="25">
        <f>COUNTIF($Q$2:$Q$5295,Q4221)</f>
        <v/>
      </c>
      <c r="S4221" s="25">
        <f>IF(R4221&lt;=2,"1-2",IF(R4221&lt;=5,"3-5",IF(R4221&lt;=10,"6-10","11+")))</f>
        <v/>
      </c>
    </row>
    <row r="4222">
      <c r="A4222" s="39" t="n">
        <v>46223.08092592593</v>
      </c>
      <c r="B4222" s="25">
        <f>TEXT(A4222,"YYYY-MM")</f>
        <v/>
      </c>
      <c r="C4222" s="25">
        <f>TEXT(A4222,"MMM-YYYY")</f>
        <v/>
      </c>
      <c r="D4222" s="40">
        <f>INT(A4222)-WEEKDAY(A4222,2)+1</f>
        <v/>
      </c>
      <c r="E4222" s="25" t="inlineStr">
        <is>
          <t>ns</t>
        </is>
      </c>
      <c r="F4222" s="25" t="n">
        <v>129170</v>
      </c>
      <c r="G4222" s="25" t="n">
        <v>4</v>
      </c>
      <c r="H4222" s="25" t="n">
        <v>20</v>
      </c>
      <c r="I4222" s="25" t="inlineStr">
        <is>
          <t>1 minute(s) and 57 second(s)</t>
        </is>
      </c>
      <c r="J4222" s="25">
        <f>IFERROR(VALUE(TRIM(LEFT(I4222,FIND("minute",I4222)-1)))*60,0)+IFERROR(VALUE(SUBSTITUTE(MID(I4222,IFERROR(FIND("and",I4222)+3,1),20),"second(s)","")),0)</f>
        <v/>
      </c>
      <c r="K4222" s="41">
        <f>J4222/60</f>
        <v/>
      </c>
      <c r="L4222" s="41">
        <f>IFERROR(J4222/H4222,"")</f>
        <v/>
      </c>
      <c r="M4222" s="25" t="inlineStr">
        <is>
          <t>2.5.12</t>
        </is>
      </c>
      <c r="N4222" s="25">
        <f>IF(J4222&gt;300,1,0)</f>
        <v/>
      </c>
      <c r="O4222" s="25">
        <f>IF(J4222&gt;600,1,0)</f>
        <v/>
      </c>
      <c r="P4222" s="25">
        <f>IF(H4222&gt;0,J4222,"")</f>
        <v/>
      </c>
      <c r="Q4222" s="25">
        <f>TEXT(A4222,"YYYY-MM-DD HH")</f>
        <v/>
      </c>
      <c r="R4222" s="25">
        <f>COUNTIF($Q$2:$Q$5295,Q4222)</f>
        <v/>
      </c>
      <c r="S4222" s="25">
        <f>IF(R4222&lt;=2,"1-2",IF(R4222&lt;=5,"3-5",IF(R4222&lt;=10,"6-10","11+")))</f>
        <v/>
      </c>
    </row>
    <row r="4223">
      <c r="A4223" s="39" t="n">
        <v>46223.08663194445</v>
      </c>
      <c r="B4223" s="25">
        <f>TEXT(A4223,"YYYY-MM")</f>
        <v/>
      </c>
      <c r="C4223" s="25">
        <f>TEXT(A4223,"MMM-YYYY")</f>
        <v/>
      </c>
      <c r="D4223" s="40">
        <f>INT(A4223)-WEEKDAY(A4223,2)+1</f>
        <v/>
      </c>
      <c r="E4223" s="25" t="inlineStr">
        <is>
          <t>aupadhayay</t>
        </is>
      </c>
      <c r="F4223" s="25" t="n">
        <v>128129</v>
      </c>
      <c r="G4223" s="25" t="n">
        <v>3</v>
      </c>
      <c r="H4223" s="25" t="n">
        <v>19</v>
      </c>
      <c r="I4223" s="25" t="inlineStr">
        <is>
          <t>1 minute(s) and 55 second(s)</t>
        </is>
      </c>
      <c r="J4223" s="25">
        <f>IFERROR(VALUE(TRIM(LEFT(I4223,FIND("minute",I4223)-1)))*60,0)+IFERROR(VALUE(SUBSTITUTE(MID(I4223,IFERROR(FIND("and",I4223)+3,1),20),"second(s)","")),0)</f>
        <v/>
      </c>
      <c r="K4223" s="41">
        <f>J4223/60</f>
        <v/>
      </c>
      <c r="L4223" s="41">
        <f>IFERROR(J4223/H4223,"")</f>
        <v/>
      </c>
      <c r="M4223" s="25" t="inlineStr">
        <is>
          <t>2.5.12</t>
        </is>
      </c>
      <c r="N4223" s="25">
        <f>IF(J4223&gt;300,1,0)</f>
        <v/>
      </c>
      <c r="O4223" s="25">
        <f>IF(J4223&gt;600,1,0)</f>
        <v/>
      </c>
      <c r="P4223" s="25">
        <f>IF(H4223&gt;0,J4223,"")</f>
        <v/>
      </c>
      <c r="Q4223" s="25">
        <f>TEXT(A4223,"YYYY-MM-DD HH")</f>
        <v/>
      </c>
      <c r="R4223" s="25">
        <f>COUNTIF($Q$2:$Q$5295,Q4223)</f>
        <v/>
      </c>
      <c r="S4223" s="25">
        <f>IF(R4223&lt;=2,"1-2",IF(R4223&lt;=5,"3-5",IF(R4223&lt;=10,"6-10","11+")))</f>
        <v/>
      </c>
    </row>
    <row r="4224">
      <c r="A4224" s="39" t="n">
        <v>46223.0887037037</v>
      </c>
      <c r="B4224" s="25">
        <f>TEXT(A4224,"YYYY-MM")</f>
        <v/>
      </c>
      <c r="C4224" s="25">
        <f>TEXT(A4224,"MMM-YYYY")</f>
        <v/>
      </c>
      <c r="D4224" s="40">
        <f>INT(A4224)-WEEKDAY(A4224,2)+1</f>
        <v/>
      </c>
      <c r="E4224" s="25" t="inlineStr">
        <is>
          <t>mgupta</t>
        </is>
      </c>
      <c r="F4224" s="25" t="n">
        <v>129456</v>
      </c>
      <c r="G4224" s="25" t="n">
        <v>2</v>
      </c>
      <c r="H4224" s="25" t="n">
        <v>11</v>
      </c>
      <c r="I4224" s="25" t="inlineStr">
        <is>
          <t>57 second(s)</t>
        </is>
      </c>
      <c r="J4224" s="25">
        <f>IFERROR(VALUE(TRIM(LEFT(I4224,FIND("minute",I4224)-1)))*60,0)+IFERROR(VALUE(SUBSTITUTE(MID(I4224,IFERROR(FIND("and",I4224)+3,1),20),"second(s)","")),0)</f>
        <v/>
      </c>
      <c r="K4224" s="41">
        <f>J4224/60</f>
        <v/>
      </c>
      <c r="L4224" s="41">
        <f>IFERROR(J4224/H4224,"")</f>
        <v/>
      </c>
      <c r="M4224" s="25" t="inlineStr">
        <is>
          <t>2.5.12</t>
        </is>
      </c>
      <c r="N4224" s="25">
        <f>IF(J4224&gt;300,1,0)</f>
        <v/>
      </c>
      <c r="O4224" s="25">
        <f>IF(J4224&gt;600,1,0)</f>
        <v/>
      </c>
      <c r="P4224" s="25">
        <f>IF(H4224&gt;0,J4224,"")</f>
        <v/>
      </c>
      <c r="Q4224" s="25">
        <f>TEXT(A4224,"YYYY-MM-DD HH")</f>
        <v/>
      </c>
      <c r="R4224" s="25">
        <f>COUNTIF($Q$2:$Q$5295,Q4224)</f>
        <v/>
      </c>
      <c r="S4224" s="25">
        <f>IF(R4224&lt;=2,"1-2",IF(R4224&lt;=5,"3-5",IF(R4224&lt;=10,"6-10","11+")))</f>
        <v/>
      </c>
    </row>
    <row r="4225">
      <c r="A4225" s="39" t="n">
        <v>46223.091875</v>
      </c>
      <c r="B4225" s="25">
        <f>TEXT(A4225,"YYYY-MM")</f>
        <v/>
      </c>
      <c r="C4225" s="25">
        <f>TEXT(A4225,"MMM-YYYY")</f>
        <v/>
      </c>
      <c r="D4225" s="40">
        <f>INT(A4225)-WEEKDAY(A4225,2)+1</f>
        <v/>
      </c>
      <c r="E4225" s="25" t="inlineStr">
        <is>
          <t>ssneha</t>
        </is>
      </c>
      <c r="F4225" s="25" t="n">
        <v>128328</v>
      </c>
      <c r="G4225" s="25" t="n">
        <v>2</v>
      </c>
      <c r="H4225" s="25" t="n">
        <v>10</v>
      </c>
      <c r="I4225" s="25" t="inlineStr">
        <is>
          <t>1 minute(s) and 29 second(s)</t>
        </is>
      </c>
      <c r="J4225" s="25">
        <f>IFERROR(VALUE(TRIM(LEFT(I4225,FIND("minute",I4225)-1)))*60,0)+IFERROR(VALUE(SUBSTITUTE(MID(I4225,IFERROR(FIND("and",I4225)+3,1),20),"second(s)","")),0)</f>
        <v/>
      </c>
      <c r="K4225" s="41">
        <f>J4225/60</f>
        <v/>
      </c>
      <c r="L4225" s="41">
        <f>IFERROR(J4225/H4225,"")</f>
        <v/>
      </c>
      <c r="M4225" s="25" t="inlineStr">
        <is>
          <t>2.5.12</t>
        </is>
      </c>
      <c r="N4225" s="25">
        <f>IF(J4225&gt;300,1,0)</f>
        <v/>
      </c>
      <c r="O4225" s="25">
        <f>IF(J4225&gt;600,1,0)</f>
        <v/>
      </c>
      <c r="P4225" s="25">
        <f>IF(H4225&gt;0,J4225,"")</f>
        <v/>
      </c>
      <c r="Q4225" s="25">
        <f>TEXT(A4225,"YYYY-MM-DD HH")</f>
        <v/>
      </c>
      <c r="R4225" s="25">
        <f>COUNTIF($Q$2:$Q$5295,Q4225)</f>
        <v/>
      </c>
      <c r="S4225" s="25">
        <f>IF(R4225&lt;=2,"1-2",IF(R4225&lt;=5,"3-5",IF(R4225&lt;=10,"6-10","11+")))</f>
        <v/>
      </c>
    </row>
    <row r="4226">
      <c r="A4226" s="39" t="n">
        <v>46223.12138888889</v>
      </c>
      <c r="B4226" s="25">
        <f>TEXT(A4226,"YYYY-MM")</f>
        <v/>
      </c>
      <c r="C4226" s="25">
        <f>TEXT(A4226,"MMM-YYYY")</f>
        <v/>
      </c>
      <c r="D4226" s="40">
        <f>INT(A4226)-WEEKDAY(A4226,2)+1</f>
        <v/>
      </c>
      <c r="E4226" s="25" t="inlineStr">
        <is>
          <t>aghosh</t>
        </is>
      </c>
      <c r="F4226" s="25" t="n">
        <v>129580</v>
      </c>
      <c r="G4226" s="25" t="n">
        <v>2</v>
      </c>
      <c r="H4226" s="25" t="n">
        <v>12</v>
      </c>
      <c r="I4226" s="25" t="inlineStr">
        <is>
          <t>1 minute(s) and 32 second(s)</t>
        </is>
      </c>
      <c r="J4226" s="25">
        <f>IFERROR(VALUE(TRIM(LEFT(I4226,FIND("minute",I4226)-1)))*60,0)+IFERROR(VALUE(SUBSTITUTE(MID(I4226,IFERROR(FIND("and",I4226)+3,1),20),"second(s)","")),0)</f>
        <v/>
      </c>
      <c r="K4226" s="41">
        <f>J4226/60</f>
        <v/>
      </c>
      <c r="L4226" s="41">
        <f>IFERROR(J4226/H4226,"")</f>
        <v/>
      </c>
      <c r="M4226" s="25" t="inlineStr">
        <is>
          <t>2.5.12</t>
        </is>
      </c>
      <c r="N4226" s="25">
        <f>IF(J4226&gt;300,1,0)</f>
        <v/>
      </c>
      <c r="O4226" s="25">
        <f>IF(J4226&gt;600,1,0)</f>
        <v/>
      </c>
      <c r="P4226" s="25">
        <f>IF(H4226&gt;0,J4226,"")</f>
        <v/>
      </c>
      <c r="Q4226" s="25">
        <f>TEXT(A4226,"YYYY-MM-DD HH")</f>
        <v/>
      </c>
      <c r="R4226" s="25">
        <f>COUNTIF($Q$2:$Q$5295,Q4226)</f>
        <v/>
      </c>
      <c r="S4226" s="25">
        <f>IF(R4226&lt;=2,"1-2",IF(R4226&lt;=5,"3-5",IF(R4226&lt;=10,"6-10","11+")))</f>
        <v/>
      </c>
    </row>
    <row r="4227">
      <c r="A4227" s="39" t="n">
        <v>46223.1378587963</v>
      </c>
      <c r="B4227" s="25">
        <f>TEXT(A4227,"YYYY-MM")</f>
        <v/>
      </c>
      <c r="C4227" s="25">
        <f>TEXT(A4227,"MMM-YYYY")</f>
        <v/>
      </c>
      <c r="D4227" s="40">
        <f>INT(A4227)-WEEKDAY(A4227,2)+1</f>
        <v/>
      </c>
      <c r="E4227" s="25" t="inlineStr">
        <is>
          <t>asahoo</t>
        </is>
      </c>
      <c r="F4227" s="25" t="n">
        <v>129435</v>
      </c>
      <c r="G4227" s="25" t="n">
        <v>4</v>
      </c>
      <c r="H4227" s="25" t="n">
        <v>18</v>
      </c>
      <c r="I4227" s="25" t="inlineStr">
        <is>
          <t>2 minute(s) and 5 second(s)</t>
        </is>
      </c>
      <c r="J4227" s="25">
        <f>IFERROR(VALUE(TRIM(LEFT(I4227,FIND("minute",I4227)-1)))*60,0)+IFERROR(VALUE(SUBSTITUTE(MID(I4227,IFERROR(FIND("and",I4227)+3,1),20),"second(s)","")),0)</f>
        <v/>
      </c>
      <c r="K4227" s="41">
        <f>J4227/60</f>
        <v/>
      </c>
      <c r="L4227" s="41">
        <f>IFERROR(J4227/H4227,"")</f>
        <v/>
      </c>
      <c r="M4227" s="25" t="inlineStr">
        <is>
          <t>2.5.12</t>
        </is>
      </c>
      <c r="N4227" s="25">
        <f>IF(J4227&gt;300,1,0)</f>
        <v/>
      </c>
      <c r="O4227" s="25">
        <f>IF(J4227&gt;600,1,0)</f>
        <v/>
      </c>
      <c r="P4227" s="25">
        <f>IF(H4227&gt;0,J4227,"")</f>
        <v/>
      </c>
      <c r="Q4227" s="25">
        <f>TEXT(A4227,"YYYY-MM-DD HH")</f>
        <v/>
      </c>
      <c r="R4227" s="25">
        <f>COUNTIF($Q$2:$Q$5295,Q4227)</f>
        <v/>
      </c>
      <c r="S4227" s="25">
        <f>IF(R4227&lt;=2,"1-2",IF(R4227&lt;=5,"3-5",IF(R4227&lt;=10,"6-10","11+")))</f>
        <v/>
      </c>
    </row>
    <row r="4228">
      <c r="A4228" s="39" t="n">
        <v>46223.13835648148</v>
      </c>
      <c r="B4228" s="25">
        <f>TEXT(A4228,"YYYY-MM")</f>
        <v/>
      </c>
      <c r="C4228" s="25">
        <f>TEXT(A4228,"MMM-YYYY")</f>
        <v/>
      </c>
      <c r="D4228" s="40">
        <f>INT(A4228)-WEEKDAY(A4228,2)+1</f>
        <v/>
      </c>
      <c r="E4228" s="25" t="inlineStr">
        <is>
          <t>mgupta</t>
        </is>
      </c>
      <c r="F4228" s="25" t="n">
        <v>132355</v>
      </c>
      <c r="G4228" s="25" t="n">
        <v>4</v>
      </c>
      <c r="H4228" s="25" t="n">
        <v>20</v>
      </c>
      <c r="I4228" s="25" t="inlineStr">
        <is>
          <t>1 minute(s) and 46 second(s)</t>
        </is>
      </c>
      <c r="J4228" s="25">
        <f>IFERROR(VALUE(TRIM(LEFT(I4228,FIND("minute",I4228)-1)))*60,0)+IFERROR(VALUE(SUBSTITUTE(MID(I4228,IFERROR(FIND("and",I4228)+3,1),20),"second(s)","")),0)</f>
        <v/>
      </c>
      <c r="K4228" s="41">
        <f>J4228/60</f>
        <v/>
      </c>
      <c r="L4228" s="41">
        <f>IFERROR(J4228/H4228,"")</f>
        <v/>
      </c>
      <c r="M4228" s="25" t="inlineStr">
        <is>
          <t>2.5.12</t>
        </is>
      </c>
      <c r="N4228" s="25">
        <f>IF(J4228&gt;300,1,0)</f>
        <v/>
      </c>
      <c r="O4228" s="25">
        <f>IF(J4228&gt;600,1,0)</f>
        <v/>
      </c>
      <c r="P4228" s="25">
        <f>IF(H4228&gt;0,J4228,"")</f>
        <v/>
      </c>
      <c r="Q4228" s="25">
        <f>TEXT(A4228,"YYYY-MM-DD HH")</f>
        <v/>
      </c>
      <c r="R4228" s="25">
        <f>COUNTIF($Q$2:$Q$5295,Q4228)</f>
        <v/>
      </c>
      <c r="S4228" s="25">
        <f>IF(R4228&lt;=2,"1-2",IF(R4228&lt;=5,"3-5",IF(R4228&lt;=10,"6-10","11+")))</f>
        <v/>
      </c>
    </row>
    <row r="4229">
      <c r="A4229" s="39" t="n">
        <v>46223.14643518518</v>
      </c>
      <c r="B4229" s="25">
        <f>TEXT(A4229,"YYYY-MM")</f>
        <v/>
      </c>
      <c r="C4229" s="25">
        <f>TEXT(A4229,"MMM-YYYY")</f>
        <v/>
      </c>
      <c r="D4229" s="40">
        <f>INT(A4229)-WEEKDAY(A4229,2)+1</f>
        <v/>
      </c>
      <c r="E4229" s="25" t="inlineStr">
        <is>
          <t>sthomas</t>
        </is>
      </c>
      <c r="F4229" s="25" t="n">
        <v>129848</v>
      </c>
      <c r="G4229" s="25" t="n">
        <v>4</v>
      </c>
      <c r="H4229" s="25" t="n">
        <v>22</v>
      </c>
      <c r="I4229" s="25" t="inlineStr">
        <is>
          <t>2 minute(s) and 1 second(s)</t>
        </is>
      </c>
      <c r="J4229" s="25">
        <f>IFERROR(VALUE(TRIM(LEFT(I4229,FIND("minute",I4229)-1)))*60,0)+IFERROR(VALUE(SUBSTITUTE(MID(I4229,IFERROR(FIND("and",I4229)+3,1),20),"second(s)","")),0)</f>
        <v/>
      </c>
      <c r="K4229" s="41">
        <f>J4229/60</f>
        <v/>
      </c>
      <c r="L4229" s="41">
        <f>IFERROR(J4229/H4229,"")</f>
        <v/>
      </c>
      <c r="M4229" s="25" t="inlineStr">
        <is>
          <t>2.5.12</t>
        </is>
      </c>
      <c r="N4229" s="25">
        <f>IF(J4229&gt;300,1,0)</f>
        <v/>
      </c>
      <c r="O4229" s="25">
        <f>IF(J4229&gt;600,1,0)</f>
        <v/>
      </c>
      <c r="P4229" s="25">
        <f>IF(H4229&gt;0,J4229,"")</f>
        <v/>
      </c>
      <c r="Q4229" s="25">
        <f>TEXT(A4229,"YYYY-MM-DD HH")</f>
        <v/>
      </c>
      <c r="R4229" s="25">
        <f>COUNTIF($Q$2:$Q$5295,Q4229)</f>
        <v/>
      </c>
      <c r="S4229" s="25">
        <f>IF(R4229&lt;=2,"1-2",IF(R4229&lt;=5,"3-5",IF(R4229&lt;=10,"6-10","11+")))</f>
        <v/>
      </c>
    </row>
    <row r="4230">
      <c r="A4230" s="39" t="n">
        <v>46223.14755787037</v>
      </c>
      <c r="B4230" s="25">
        <f>TEXT(A4230,"YYYY-MM")</f>
        <v/>
      </c>
      <c r="C4230" s="25">
        <f>TEXT(A4230,"MMM-YYYY")</f>
        <v/>
      </c>
      <c r="D4230" s="40">
        <f>INT(A4230)-WEEKDAY(A4230,2)+1</f>
        <v/>
      </c>
      <c r="E4230" s="25" t="inlineStr">
        <is>
          <t>apriyadarshi</t>
        </is>
      </c>
      <c r="F4230" s="25" t="n">
        <v>129035</v>
      </c>
      <c r="G4230" s="25" t="n">
        <v>1</v>
      </c>
      <c r="H4230" s="25" t="n">
        <v>7</v>
      </c>
      <c r="I4230" s="25" t="inlineStr">
        <is>
          <t>49 second(s)</t>
        </is>
      </c>
      <c r="J4230" s="25">
        <f>IFERROR(VALUE(TRIM(LEFT(I4230,FIND("minute",I4230)-1)))*60,0)+IFERROR(VALUE(SUBSTITUTE(MID(I4230,IFERROR(FIND("and",I4230)+3,1),20),"second(s)","")),0)</f>
        <v/>
      </c>
      <c r="K4230" s="41">
        <f>J4230/60</f>
        <v/>
      </c>
      <c r="L4230" s="41">
        <f>IFERROR(J4230/H4230,"")</f>
        <v/>
      </c>
      <c r="M4230" s="25" t="inlineStr">
        <is>
          <t>2.5.12</t>
        </is>
      </c>
      <c r="N4230" s="25">
        <f>IF(J4230&gt;300,1,0)</f>
        <v/>
      </c>
      <c r="O4230" s="25">
        <f>IF(J4230&gt;600,1,0)</f>
        <v/>
      </c>
      <c r="P4230" s="25">
        <f>IF(H4230&gt;0,J4230,"")</f>
        <v/>
      </c>
      <c r="Q4230" s="25">
        <f>TEXT(A4230,"YYYY-MM-DD HH")</f>
        <v/>
      </c>
      <c r="R4230" s="25">
        <f>COUNTIF($Q$2:$Q$5295,Q4230)</f>
        <v/>
      </c>
      <c r="S4230" s="25">
        <f>IF(R4230&lt;=2,"1-2",IF(R4230&lt;=5,"3-5",IF(R4230&lt;=10,"6-10","11+")))</f>
        <v/>
      </c>
    </row>
    <row r="4231">
      <c r="A4231" s="39" t="n">
        <v>46223.1596412037</v>
      </c>
      <c r="B4231" s="25">
        <f>TEXT(A4231,"YYYY-MM")</f>
        <v/>
      </c>
      <c r="C4231" s="25">
        <f>TEXT(A4231,"MMM-YYYY")</f>
        <v/>
      </c>
      <c r="D4231" s="40">
        <f>INT(A4231)-WEEKDAY(A4231,2)+1</f>
        <v/>
      </c>
      <c r="E4231" s="25" t="inlineStr">
        <is>
          <t>ssneha</t>
        </is>
      </c>
      <c r="F4231" s="25" t="n">
        <v>128639</v>
      </c>
      <c r="G4231" s="25" t="n">
        <v>4</v>
      </c>
      <c r="H4231" s="25" t="n">
        <v>18</v>
      </c>
      <c r="I4231" s="25" t="inlineStr">
        <is>
          <t>3 minute(s) and 26 second(s)</t>
        </is>
      </c>
      <c r="J4231" s="25">
        <f>IFERROR(VALUE(TRIM(LEFT(I4231,FIND("minute",I4231)-1)))*60,0)+IFERROR(VALUE(SUBSTITUTE(MID(I4231,IFERROR(FIND("and",I4231)+3,1),20),"second(s)","")),0)</f>
        <v/>
      </c>
      <c r="K4231" s="41">
        <f>J4231/60</f>
        <v/>
      </c>
      <c r="L4231" s="41">
        <f>IFERROR(J4231/H4231,"")</f>
        <v/>
      </c>
      <c r="M4231" s="25" t="inlineStr">
        <is>
          <t>2.5.12</t>
        </is>
      </c>
      <c r="N4231" s="25">
        <f>IF(J4231&gt;300,1,0)</f>
        <v/>
      </c>
      <c r="O4231" s="25">
        <f>IF(J4231&gt;600,1,0)</f>
        <v/>
      </c>
      <c r="P4231" s="25">
        <f>IF(H4231&gt;0,J4231,"")</f>
        <v/>
      </c>
      <c r="Q4231" s="25">
        <f>TEXT(A4231,"YYYY-MM-DD HH")</f>
        <v/>
      </c>
      <c r="R4231" s="25">
        <f>COUNTIF($Q$2:$Q$5295,Q4231)</f>
        <v/>
      </c>
      <c r="S4231" s="25">
        <f>IF(R4231&lt;=2,"1-2",IF(R4231&lt;=5,"3-5",IF(R4231&lt;=10,"6-10","11+")))</f>
        <v/>
      </c>
    </row>
    <row r="4232">
      <c r="A4232" s="39" t="n">
        <v>46223.1703587963</v>
      </c>
      <c r="B4232" s="25">
        <f>TEXT(A4232,"YYYY-MM")</f>
        <v/>
      </c>
      <c r="C4232" s="25">
        <f>TEXT(A4232,"MMM-YYYY")</f>
        <v/>
      </c>
      <c r="D4232" s="40">
        <f>INT(A4232)-WEEKDAY(A4232,2)+1</f>
        <v/>
      </c>
      <c r="E4232" s="25" t="inlineStr">
        <is>
          <t>shassan</t>
        </is>
      </c>
      <c r="F4232" s="25" t="n">
        <v>128231</v>
      </c>
      <c r="G4232" s="25" t="n">
        <v>4</v>
      </c>
      <c r="H4232" s="25" t="n">
        <v>20</v>
      </c>
      <c r="I4232" s="25" t="inlineStr">
        <is>
          <t>3 minute(s) and 7 second(s)</t>
        </is>
      </c>
      <c r="J4232" s="25">
        <f>IFERROR(VALUE(TRIM(LEFT(I4232,FIND("minute",I4232)-1)))*60,0)+IFERROR(VALUE(SUBSTITUTE(MID(I4232,IFERROR(FIND("and",I4232)+3,1),20),"second(s)","")),0)</f>
        <v/>
      </c>
      <c r="K4232" s="41">
        <f>J4232/60</f>
        <v/>
      </c>
      <c r="L4232" s="41">
        <f>IFERROR(J4232/H4232,"")</f>
        <v/>
      </c>
      <c r="M4232" s="25" t="inlineStr">
        <is>
          <t>2.5.12</t>
        </is>
      </c>
      <c r="N4232" s="25">
        <f>IF(J4232&gt;300,1,0)</f>
        <v/>
      </c>
      <c r="O4232" s="25">
        <f>IF(J4232&gt;600,1,0)</f>
        <v/>
      </c>
      <c r="P4232" s="25">
        <f>IF(H4232&gt;0,J4232,"")</f>
        <v/>
      </c>
      <c r="Q4232" s="25">
        <f>TEXT(A4232,"YYYY-MM-DD HH")</f>
        <v/>
      </c>
      <c r="R4232" s="25">
        <f>COUNTIF($Q$2:$Q$5295,Q4232)</f>
        <v/>
      </c>
      <c r="S4232" s="25">
        <f>IF(R4232&lt;=2,"1-2",IF(R4232&lt;=5,"3-5",IF(R4232&lt;=10,"6-10","11+")))</f>
        <v/>
      </c>
    </row>
    <row r="4233">
      <c r="A4233" s="39" t="n">
        <v>46223.17674768518</v>
      </c>
      <c r="B4233" s="25">
        <f>TEXT(A4233,"YYYY-MM")</f>
        <v/>
      </c>
      <c r="C4233" s="25">
        <f>TEXT(A4233,"MMM-YYYY")</f>
        <v/>
      </c>
      <c r="D4233" s="40">
        <f>INT(A4233)-WEEKDAY(A4233,2)+1</f>
        <v/>
      </c>
      <c r="E4233" s="25" t="inlineStr">
        <is>
          <t>ns</t>
        </is>
      </c>
      <c r="F4233" s="25" t="n">
        <v>130127</v>
      </c>
      <c r="G4233" s="25" t="n">
        <v>2</v>
      </c>
      <c r="H4233" s="25" t="n">
        <v>10</v>
      </c>
      <c r="I4233" s="25" t="inlineStr">
        <is>
          <t>59 second(s)</t>
        </is>
      </c>
      <c r="J4233" s="25">
        <f>IFERROR(VALUE(TRIM(LEFT(I4233,FIND("minute",I4233)-1)))*60,0)+IFERROR(VALUE(SUBSTITUTE(MID(I4233,IFERROR(FIND("and",I4233)+3,1),20),"second(s)","")),0)</f>
        <v/>
      </c>
      <c r="K4233" s="41">
        <f>J4233/60</f>
        <v/>
      </c>
      <c r="L4233" s="41">
        <f>IFERROR(J4233/H4233,"")</f>
        <v/>
      </c>
      <c r="M4233" s="25" t="inlineStr">
        <is>
          <t>2.5.12</t>
        </is>
      </c>
      <c r="N4233" s="25">
        <f>IF(J4233&gt;300,1,0)</f>
        <v/>
      </c>
      <c r="O4233" s="25">
        <f>IF(J4233&gt;600,1,0)</f>
        <v/>
      </c>
      <c r="P4233" s="25">
        <f>IF(H4233&gt;0,J4233,"")</f>
        <v/>
      </c>
      <c r="Q4233" s="25">
        <f>TEXT(A4233,"YYYY-MM-DD HH")</f>
        <v/>
      </c>
      <c r="R4233" s="25">
        <f>COUNTIF($Q$2:$Q$5295,Q4233)</f>
        <v/>
      </c>
      <c r="S4233" s="25">
        <f>IF(R4233&lt;=2,"1-2",IF(R4233&lt;=5,"3-5",IF(R4233&lt;=10,"6-10","11+")))</f>
        <v/>
      </c>
    </row>
    <row r="4234">
      <c r="A4234" s="39" t="n">
        <v>46223.18223379629</v>
      </c>
      <c r="B4234" s="25">
        <f>TEXT(A4234,"YYYY-MM")</f>
        <v/>
      </c>
      <c r="C4234" s="25">
        <f>TEXT(A4234,"MMM-YYYY")</f>
        <v/>
      </c>
      <c r="D4234" s="40">
        <f>INT(A4234)-WEEKDAY(A4234,2)+1</f>
        <v/>
      </c>
      <c r="E4234" s="25" t="inlineStr">
        <is>
          <t>adey</t>
        </is>
      </c>
      <c r="F4234" s="25" t="n">
        <v>132627</v>
      </c>
      <c r="G4234" s="25" t="n">
        <v>4</v>
      </c>
      <c r="H4234" s="25" t="n">
        <v>20</v>
      </c>
      <c r="I4234" s="25" t="inlineStr">
        <is>
          <t>2 minute(s) and 52 second(s)</t>
        </is>
      </c>
      <c r="J4234" s="25">
        <f>IFERROR(VALUE(TRIM(LEFT(I4234,FIND("minute",I4234)-1)))*60,0)+IFERROR(VALUE(SUBSTITUTE(MID(I4234,IFERROR(FIND("and",I4234)+3,1),20),"second(s)","")),0)</f>
        <v/>
      </c>
      <c r="K4234" s="41">
        <f>J4234/60</f>
        <v/>
      </c>
      <c r="L4234" s="41">
        <f>IFERROR(J4234/H4234,"")</f>
        <v/>
      </c>
      <c r="M4234" s="25" t="inlineStr">
        <is>
          <t>2.5.12</t>
        </is>
      </c>
      <c r="N4234" s="25">
        <f>IF(J4234&gt;300,1,0)</f>
        <v/>
      </c>
      <c r="O4234" s="25">
        <f>IF(J4234&gt;600,1,0)</f>
        <v/>
      </c>
      <c r="P4234" s="25">
        <f>IF(H4234&gt;0,J4234,"")</f>
        <v/>
      </c>
      <c r="Q4234" s="25">
        <f>TEXT(A4234,"YYYY-MM-DD HH")</f>
        <v/>
      </c>
      <c r="R4234" s="25">
        <f>COUNTIF($Q$2:$Q$5295,Q4234)</f>
        <v/>
      </c>
      <c r="S4234" s="25">
        <f>IF(R4234&lt;=2,"1-2",IF(R4234&lt;=5,"3-5",IF(R4234&lt;=10,"6-10","11+")))</f>
        <v/>
      </c>
    </row>
    <row r="4235">
      <c r="A4235" s="39" t="n">
        <v>46223.18645833333</v>
      </c>
      <c r="B4235" s="25">
        <f>TEXT(A4235,"YYYY-MM")</f>
        <v/>
      </c>
      <c r="C4235" s="25">
        <f>TEXT(A4235,"MMM-YYYY")</f>
        <v/>
      </c>
      <c r="D4235" s="40">
        <f>INT(A4235)-WEEKDAY(A4235,2)+1</f>
        <v/>
      </c>
      <c r="E4235" s="25" t="inlineStr">
        <is>
          <t>shassan</t>
        </is>
      </c>
      <c r="F4235" s="25" t="n">
        <v>128231</v>
      </c>
      <c r="G4235" s="25" t="n">
        <v>4</v>
      </c>
      <c r="H4235" s="25" t="n">
        <v>20</v>
      </c>
      <c r="I4235" s="25" t="inlineStr">
        <is>
          <t>2 minute(s) and 52 second(s)</t>
        </is>
      </c>
      <c r="J4235" s="25">
        <f>IFERROR(VALUE(TRIM(LEFT(I4235,FIND("minute",I4235)-1)))*60,0)+IFERROR(VALUE(SUBSTITUTE(MID(I4235,IFERROR(FIND("and",I4235)+3,1),20),"second(s)","")),0)</f>
        <v/>
      </c>
      <c r="K4235" s="41">
        <f>J4235/60</f>
        <v/>
      </c>
      <c r="L4235" s="41">
        <f>IFERROR(J4235/H4235,"")</f>
        <v/>
      </c>
      <c r="M4235" s="25" t="inlineStr">
        <is>
          <t>2.5.12</t>
        </is>
      </c>
      <c r="N4235" s="25">
        <f>IF(J4235&gt;300,1,0)</f>
        <v/>
      </c>
      <c r="O4235" s="25">
        <f>IF(J4235&gt;600,1,0)</f>
        <v/>
      </c>
      <c r="P4235" s="25">
        <f>IF(H4235&gt;0,J4235,"")</f>
        <v/>
      </c>
      <c r="Q4235" s="25">
        <f>TEXT(A4235,"YYYY-MM-DD HH")</f>
        <v/>
      </c>
      <c r="R4235" s="25">
        <f>COUNTIF($Q$2:$Q$5295,Q4235)</f>
        <v/>
      </c>
      <c r="S4235" s="25">
        <f>IF(R4235&lt;=2,"1-2",IF(R4235&lt;=5,"3-5",IF(R4235&lt;=10,"6-10","11+")))</f>
        <v/>
      </c>
    </row>
    <row r="4236">
      <c r="A4236" s="39" t="n">
        <v>46223.19143518519</v>
      </c>
      <c r="B4236" s="25">
        <f>TEXT(A4236,"YYYY-MM")</f>
        <v/>
      </c>
      <c r="C4236" s="25">
        <f>TEXT(A4236,"MMM-YYYY")</f>
        <v/>
      </c>
      <c r="D4236" s="40">
        <f>INT(A4236)-WEEKDAY(A4236,2)+1</f>
        <v/>
      </c>
      <c r="E4236" s="25" t="inlineStr">
        <is>
          <t>smukhopadhyay</t>
        </is>
      </c>
      <c r="F4236" s="25" t="n">
        <v>130572</v>
      </c>
      <c r="G4236" s="25" t="n">
        <v>2</v>
      </c>
      <c r="H4236" s="25" t="n">
        <v>12</v>
      </c>
      <c r="I4236" s="25" t="inlineStr">
        <is>
          <t>2 minute(s) and 9 second(s)</t>
        </is>
      </c>
      <c r="J4236" s="25">
        <f>IFERROR(VALUE(TRIM(LEFT(I4236,FIND("minute",I4236)-1)))*60,0)+IFERROR(VALUE(SUBSTITUTE(MID(I4236,IFERROR(FIND("and",I4236)+3,1),20),"second(s)","")),0)</f>
        <v/>
      </c>
      <c r="K4236" s="41">
        <f>J4236/60</f>
        <v/>
      </c>
      <c r="L4236" s="41">
        <f>IFERROR(J4236/H4236,"")</f>
        <v/>
      </c>
      <c r="M4236" s="25" t="inlineStr">
        <is>
          <t>2.5.12</t>
        </is>
      </c>
      <c r="N4236" s="25">
        <f>IF(J4236&gt;300,1,0)</f>
        <v/>
      </c>
      <c r="O4236" s="25">
        <f>IF(J4236&gt;600,1,0)</f>
        <v/>
      </c>
      <c r="P4236" s="25">
        <f>IF(H4236&gt;0,J4236,"")</f>
        <v/>
      </c>
      <c r="Q4236" s="25">
        <f>TEXT(A4236,"YYYY-MM-DD HH")</f>
        <v/>
      </c>
      <c r="R4236" s="25">
        <f>COUNTIF($Q$2:$Q$5295,Q4236)</f>
        <v/>
      </c>
      <c r="S4236" s="25">
        <f>IF(R4236&lt;=2,"1-2",IF(R4236&lt;=5,"3-5",IF(R4236&lt;=10,"6-10","11+")))</f>
        <v/>
      </c>
    </row>
    <row r="4237">
      <c r="A4237" s="39" t="n">
        <v>46223.19546296296</v>
      </c>
      <c r="B4237" s="25">
        <f>TEXT(A4237,"YYYY-MM")</f>
        <v/>
      </c>
      <c r="C4237" s="25">
        <f>TEXT(A4237,"MMM-YYYY")</f>
        <v/>
      </c>
      <c r="D4237" s="40">
        <f>INT(A4237)-WEEKDAY(A4237,2)+1</f>
        <v/>
      </c>
      <c r="E4237" s="25" t="inlineStr">
        <is>
          <t>sasharma</t>
        </is>
      </c>
      <c r="F4237" s="25" t="n">
        <v>130957</v>
      </c>
      <c r="G4237" s="25" t="n">
        <v>3</v>
      </c>
      <c r="H4237" s="25" t="n">
        <v>17</v>
      </c>
      <c r="I4237" s="25" t="inlineStr">
        <is>
          <t>2 minute(s) and 8 second(s)</t>
        </is>
      </c>
      <c r="J4237" s="25">
        <f>IFERROR(VALUE(TRIM(LEFT(I4237,FIND("minute",I4237)-1)))*60,0)+IFERROR(VALUE(SUBSTITUTE(MID(I4237,IFERROR(FIND("and",I4237)+3,1),20),"second(s)","")),0)</f>
        <v/>
      </c>
      <c r="K4237" s="41">
        <f>J4237/60</f>
        <v/>
      </c>
      <c r="L4237" s="41">
        <f>IFERROR(J4237/H4237,"")</f>
        <v/>
      </c>
      <c r="M4237" s="25" t="inlineStr">
        <is>
          <t>2.5.12</t>
        </is>
      </c>
      <c r="N4237" s="25">
        <f>IF(J4237&gt;300,1,0)</f>
        <v/>
      </c>
      <c r="O4237" s="25">
        <f>IF(J4237&gt;600,1,0)</f>
        <v/>
      </c>
      <c r="P4237" s="25">
        <f>IF(H4237&gt;0,J4237,"")</f>
        <v/>
      </c>
      <c r="Q4237" s="25">
        <f>TEXT(A4237,"YYYY-MM-DD HH")</f>
        <v/>
      </c>
      <c r="R4237" s="25">
        <f>COUNTIF($Q$2:$Q$5295,Q4237)</f>
        <v/>
      </c>
      <c r="S4237" s="25">
        <f>IF(R4237&lt;=2,"1-2",IF(R4237&lt;=5,"3-5",IF(R4237&lt;=10,"6-10","11+")))</f>
        <v/>
      </c>
    </row>
    <row r="4238">
      <c r="A4238" s="39" t="n">
        <v>46223.19789351852</v>
      </c>
      <c r="B4238" s="25">
        <f>TEXT(A4238,"YYYY-MM")</f>
        <v/>
      </c>
      <c r="C4238" s="25">
        <f>TEXT(A4238,"MMM-YYYY")</f>
        <v/>
      </c>
      <c r="D4238" s="40">
        <f>INT(A4238)-WEEKDAY(A4238,2)+1</f>
        <v/>
      </c>
      <c r="E4238" s="25" t="inlineStr">
        <is>
          <t>ssrinivasan</t>
        </is>
      </c>
      <c r="F4238" s="25" t="n">
        <v>128064</v>
      </c>
      <c r="G4238" s="25" t="n">
        <v>4</v>
      </c>
      <c r="H4238" s="25" t="n">
        <v>16</v>
      </c>
      <c r="I4238" s="25" t="inlineStr">
        <is>
          <t>1 minute(s) and 36 second(s)</t>
        </is>
      </c>
      <c r="J4238" s="25">
        <f>IFERROR(VALUE(TRIM(LEFT(I4238,FIND("minute",I4238)-1)))*60,0)+IFERROR(VALUE(SUBSTITUTE(MID(I4238,IFERROR(FIND("and",I4238)+3,1),20),"second(s)","")),0)</f>
        <v/>
      </c>
      <c r="K4238" s="41">
        <f>J4238/60</f>
        <v/>
      </c>
      <c r="L4238" s="41">
        <f>IFERROR(J4238/H4238,"")</f>
        <v/>
      </c>
      <c r="M4238" s="25" t="inlineStr">
        <is>
          <t>2.5.12</t>
        </is>
      </c>
      <c r="N4238" s="25">
        <f>IF(J4238&gt;300,1,0)</f>
        <v/>
      </c>
      <c r="O4238" s="25">
        <f>IF(J4238&gt;600,1,0)</f>
        <v/>
      </c>
      <c r="P4238" s="25">
        <f>IF(H4238&gt;0,J4238,"")</f>
        <v/>
      </c>
      <c r="Q4238" s="25">
        <f>TEXT(A4238,"YYYY-MM-DD HH")</f>
        <v/>
      </c>
      <c r="R4238" s="25">
        <f>COUNTIF($Q$2:$Q$5295,Q4238)</f>
        <v/>
      </c>
      <c r="S4238" s="25">
        <f>IF(R4238&lt;=2,"1-2",IF(R4238&lt;=5,"3-5",IF(R4238&lt;=10,"6-10","11+")))</f>
        <v/>
      </c>
    </row>
    <row r="4239">
      <c r="A4239" s="39" t="n">
        <v>46223.19813657407</v>
      </c>
      <c r="B4239" s="25">
        <f>TEXT(A4239,"YYYY-MM")</f>
        <v/>
      </c>
      <c r="C4239" s="25">
        <f>TEXT(A4239,"MMM-YYYY")</f>
        <v/>
      </c>
      <c r="D4239" s="40">
        <f>INT(A4239)-WEEKDAY(A4239,2)+1</f>
        <v/>
      </c>
      <c r="E4239" s="25" t="inlineStr">
        <is>
          <t>mgupta</t>
        </is>
      </c>
      <c r="F4239" s="25" t="n">
        <v>129472</v>
      </c>
      <c r="G4239" s="25" t="n">
        <v>4</v>
      </c>
      <c r="H4239" s="25" t="n">
        <v>20</v>
      </c>
      <c r="I4239" s="25" t="inlineStr">
        <is>
          <t>1 minute(s) and 59 second(s)</t>
        </is>
      </c>
      <c r="J4239" s="25">
        <f>IFERROR(VALUE(TRIM(LEFT(I4239,FIND("minute",I4239)-1)))*60,0)+IFERROR(VALUE(SUBSTITUTE(MID(I4239,IFERROR(FIND("and",I4239)+3,1),20),"second(s)","")),0)</f>
        <v/>
      </c>
      <c r="K4239" s="41">
        <f>J4239/60</f>
        <v/>
      </c>
      <c r="L4239" s="41">
        <f>IFERROR(J4239/H4239,"")</f>
        <v/>
      </c>
      <c r="M4239" s="25" t="inlineStr">
        <is>
          <t>2.5.12</t>
        </is>
      </c>
      <c r="N4239" s="25">
        <f>IF(J4239&gt;300,1,0)</f>
        <v/>
      </c>
      <c r="O4239" s="25">
        <f>IF(J4239&gt;600,1,0)</f>
        <v/>
      </c>
      <c r="P4239" s="25">
        <f>IF(H4239&gt;0,J4239,"")</f>
        <v/>
      </c>
      <c r="Q4239" s="25">
        <f>TEXT(A4239,"YYYY-MM-DD HH")</f>
        <v/>
      </c>
      <c r="R4239" s="25">
        <f>COUNTIF($Q$2:$Q$5295,Q4239)</f>
        <v/>
      </c>
      <c r="S4239" s="25">
        <f>IF(R4239&lt;=2,"1-2",IF(R4239&lt;=5,"3-5",IF(R4239&lt;=10,"6-10","11+")))</f>
        <v/>
      </c>
    </row>
    <row r="4240">
      <c r="A4240" s="39" t="n">
        <v>46223.19893518519</v>
      </c>
      <c r="B4240" s="25">
        <f>TEXT(A4240,"YYYY-MM")</f>
        <v/>
      </c>
      <c r="C4240" s="25">
        <f>TEXT(A4240,"MMM-YYYY")</f>
        <v/>
      </c>
      <c r="D4240" s="40">
        <f>INT(A4240)-WEEKDAY(A4240,2)+1</f>
        <v/>
      </c>
      <c r="E4240" s="25" t="inlineStr">
        <is>
          <t>emishra</t>
        </is>
      </c>
      <c r="F4240" s="25" t="n">
        <v>132963</v>
      </c>
      <c r="G4240" s="25" t="n">
        <v>5</v>
      </c>
      <c r="H4240" s="25" t="n">
        <v>35</v>
      </c>
      <c r="I4240" s="25" t="inlineStr">
        <is>
          <t>4 minute(s) and 10 second(s)</t>
        </is>
      </c>
      <c r="J4240" s="25">
        <f>IFERROR(VALUE(TRIM(LEFT(I4240,FIND("minute",I4240)-1)))*60,0)+IFERROR(VALUE(SUBSTITUTE(MID(I4240,IFERROR(FIND("and",I4240)+3,1),20),"second(s)","")),0)</f>
        <v/>
      </c>
      <c r="K4240" s="41">
        <f>J4240/60</f>
        <v/>
      </c>
      <c r="L4240" s="41">
        <f>IFERROR(J4240/H4240,"")</f>
        <v/>
      </c>
      <c r="M4240" s="25" t="inlineStr">
        <is>
          <t>2.5.12</t>
        </is>
      </c>
      <c r="N4240" s="25">
        <f>IF(J4240&gt;300,1,0)</f>
        <v/>
      </c>
      <c r="O4240" s="25">
        <f>IF(J4240&gt;600,1,0)</f>
        <v/>
      </c>
      <c r="P4240" s="25">
        <f>IF(H4240&gt;0,J4240,"")</f>
        <v/>
      </c>
      <c r="Q4240" s="25">
        <f>TEXT(A4240,"YYYY-MM-DD HH")</f>
        <v/>
      </c>
      <c r="R4240" s="25">
        <f>COUNTIF($Q$2:$Q$5295,Q4240)</f>
        <v/>
      </c>
      <c r="S4240" s="25">
        <f>IF(R4240&lt;=2,"1-2",IF(R4240&lt;=5,"3-5",IF(R4240&lt;=10,"6-10","11+")))</f>
        <v/>
      </c>
    </row>
    <row r="4241">
      <c r="A4241" s="39" t="n">
        <v>46223.20064814815</v>
      </c>
      <c r="B4241" s="25">
        <f>TEXT(A4241,"YYYY-MM")</f>
        <v/>
      </c>
      <c r="C4241" s="25">
        <f>TEXT(A4241,"MMM-YYYY")</f>
        <v/>
      </c>
      <c r="D4241" s="40">
        <f>INT(A4241)-WEEKDAY(A4241,2)+1</f>
        <v/>
      </c>
      <c r="E4241" s="25" t="inlineStr">
        <is>
          <t>csaha</t>
        </is>
      </c>
      <c r="F4241" s="25" t="n">
        <v>132739</v>
      </c>
      <c r="G4241" s="25" t="n">
        <v>4</v>
      </c>
      <c r="H4241" s="25" t="n">
        <v>20</v>
      </c>
      <c r="I4241" s="25" t="inlineStr">
        <is>
          <t>4 minute(s) and 51 second(s)</t>
        </is>
      </c>
      <c r="J4241" s="25">
        <f>IFERROR(VALUE(TRIM(LEFT(I4241,FIND("minute",I4241)-1)))*60,0)+IFERROR(VALUE(SUBSTITUTE(MID(I4241,IFERROR(FIND("and",I4241)+3,1),20),"second(s)","")),0)</f>
        <v/>
      </c>
      <c r="K4241" s="41">
        <f>J4241/60</f>
        <v/>
      </c>
      <c r="L4241" s="41">
        <f>IFERROR(J4241/H4241,"")</f>
        <v/>
      </c>
      <c r="M4241" s="25" t="inlineStr">
        <is>
          <t>2.5.12</t>
        </is>
      </c>
      <c r="N4241" s="25">
        <f>IF(J4241&gt;300,1,0)</f>
        <v/>
      </c>
      <c r="O4241" s="25">
        <f>IF(J4241&gt;600,1,0)</f>
        <v/>
      </c>
      <c r="P4241" s="25">
        <f>IF(H4241&gt;0,J4241,"")</f>
        <v/>
      </c>
      <c r="Q4241" s="25">
        <f>TEXT(A4241,"YYYY-MM-DD HH")</f>
        <v/>
      </c>
      <c r="R4241" s="25">
        <f>COUNTIF($Q$2:$Q$5295,Q4241)</f>
        <v/>
      </c>
      <c r="S4241" s="25">
        <f>IF(R4241&lt;=2,"1-2",IF(R4241&lt;=5,"3-5",IF(R4241&lt;=10,"6-10","11+")))</f>
        <v/>
      </c>
    </row>
    <row r="4242">
      <c r="A4242" s="39" t="n">
        <v>46223.2078587963</v>
      </c>
      <c r="B4242" s="25">
        <f>TEXT(A4242,"YYYY-MM")</f>
        <v/>
      </c>
      <c r="C4242" s="25">
        <f>TEXT(A4242,"MMM-YYYY")</f>
        <v/>
      </c>
      <c r="D4242" s="40">
        <f>INT(A4242)-WEEKDAY(A4242,2)+1</f>
        <v/>
      </c>
      <c r="E4242" s="25" t="inlineStr">
        <is>
          <t>bverma</t>
        </is>
      </c>
      <c r="F4242" s="25" t="n">
        <v>132659</v>
      </c>
      <c r="G4242" s="25" t="n">
        <v>3</v>
      </c>
      <c r="H4242" s="25" t="n">
        <v>21</v>
      </c>
      <c r="I4242" s="25" t="inlineStr">
        <is>
          <t>2 minute(s) and 42 second(s)</t>
        </is>
      </c>
      <c r="J4242" s="25">
        <f>IFERROR(VALUE(TRIM(LEFT(I4242,FIND("minute",I4242)-1)))*60,0)+IFERROR(VALUE(SUBSTITUTE(MID(I4242,IFERROR(FIND("and",I4242)+3,1),20),"second(s)","")),0)</f>
        <v/>
      </c>
      <c r="K4242" s="41">
        <f>J4242/60</f>
        <v/>
      </c>
      <c r="L4242" s="41">
        <f>IFERROR(J4242/H4242,"")</f>
        <v/>
      </c>
      <c r="M4242" s="25" t="inlineStr">
        <is>
          <t>2.5.12</t>
        </is>
      </c>
      <c r="N4242" s="25">
        <f>IF(J4242&gt;300,1,0)</f>
        <v/>
      </c>
      <c r="O4242" s="25">
        <f>IF(J4242&gt;600,1,0)</f>
        <v/>
      </c>
      <c r="P4242" s="25">
        <f>IF(H4242&gt;0,J4242,"")</f>
        <v/>
      </c>
      <c r="Q4242" s="25">
        <f>TEXT(A4242,"YYYY-MM-DD HH")</f>
        <v/>
      </c>
      <c r="R4242" s="25">
        <f>COUNTIF($Q$2:$Q$5295,Q4242)</f>
        <v/>
      </c>
      <c r="S4242" s="25">
        <f>IF(R4242&lt;=2,"1-2",IF(R4242&lt;=5,"3-5",IF(R4242&lt;=10,"6-10","11+")))</f>
        <v/>
      </c>
    </row>
    <row r="4243">
      <c r="A4243" s="39" t="n">
        <v>46223.21195601852</v>
      </c>
      <c r="B4243" s="25">
        <f>TEXT(A4243,"YYYY-MM")</f>
        <v/>
      </c>
      <c r="C4243" s="25">
        <f>TEXT(A4243,"MMM-YYYY")</f>
        <v/>
      </c>
      <c r="D4243" s="40">
        <f>INT(A4243)-WEEKDAY(A4243,2)+1</f>
        <v/>
      </c>
      <c r="E4243" s="25" t="inlineStr">
        <is>
          <t>asahoo</t>
        </is>
      </c>
      <c r="F4243" s="25" t="n">
        <v>129395</v>
      </c>
      <c r="G4243" s="25" t="n">
        <v>4</v>
      </c>
      <c r="H4243" s="25" t="n">
        <v>14</v>
      </c>
      <c r="I4243" s="25" t="inlineStr">
        <is>
          <t>1 minute(s) and 34 second(s)</t>
        </is>
      </c>
      <c r="J4243" s="25">
        <f>IFERROR(VALUE(TRIM(LEFT(I4243,FIND("minute",I4243)-1)))*60,0)+IFERROR(VALUE(SUBSTITUTE(MID(I4243,IFERROR(FIND("and",I4243)+3,1),20),"second(s)","")),0)</f>
        <v/>
      </c>
      <c r="K4243" s="41">
        <f>J4243/60</f>
        <v/>
      </c>
      <c r="L4243" s="41">
        <f>IFERROR(J4243/H4243,"")</f>
        <v/>
      </c>
      <c r="M4243" s="25" t="inlineStr">
        <is>
          <t>2.5.12</t>
        </is>
      </c>
      <c r="N4243" s="25">
        <f>IF(J4243&gt;300,1,0)</f>
        <v/>
      </c>
      <c r="O4243" s="25">
        <f>IF(J4243&gt;600,1,0)</f>
        <v/>
      </c>
      <c r="P4243" s="25">
        <f>IF(H4243&gt;0,J4243,"")</f>
        <v/>
      </c>
      <c r="Q4243" s="25">
        <f>TEXT(A4243,"YYYY-MM-DD HH")</f>
        <v/>
      </c>
      <c r="R4243" s="25">
        <f>COUNTIF($Q$2:$Q$5295,Q4243)</f>
        <v/>
      </c>
      <c r="S4243" s="25">
        <f>IF(R4243&lt;=2,"1-2",IF(R4243&lt;=5,"3-5",IF(R4243&lt;=10,"6-10","11+")))</f>
        <v/>
      </c>
    </row>
    <row r="4244">
      <c r="A4244" s="39" t="n">
        <v>46223.21434027778</v>
      </c>
      <c r="B4244" s="25">
        <f>TEXT(A4244,"YYYY-MM")</f>
        <v/>
      </c>
      <c r="C4244" s="25">
        <f>TEXT(A4244,"MMM-YYYY")</f>
        <v/>
      </c>
      <c r="D4244" s="40">
        <f>INT(A4244)-WEEKDAY(A4244,2)+1</f>
        <v/>
      </c>
      <c r="E4244" s="25" t="inlineStr">
        <is>
          <t>mbhalla</t>
        </is>
      </c>
      <c r="F4244" s="25" t="n">
        <v>128239</v>
      </c>
      <c r="G4244" s="25" t="n">
        <v>1</v>
      </c>
      <c r="H4244" s="25" t="n">
        <v>5</v>
      </c>
      <c r="I4244" s="25" t="inlineStr">
        <is>
          <t>28 second(s)</t>
        </is>
      </c>
      <c r="J4244" s="25">
        <f>IFERROR(VALUE(TRIM(LEFT(I4244,FIND("minute",I4244)-1)))*60,0)+IFERROR(VALUE(SUBSTITUTE(MID(I4244,IFERROR(FIND("and",I4244)+3,1),20),"second(s)","")),0)</f>
        <v/>
      </c>
      <c r="K4244" s="41">
        <f>J4244/60</f>
        <v/>
      </c>
      <c r="L4244" s="41">
        <f>IFERROR(J4244/H4244,"")</f>
        <v/>
      </c>
      <c r="M4244" s="25" t="inlineStr">
        <is>
          <t>2.5.12</t>
        </is>
      </c>
      <c r="N4244" s="25">
        <f>IF(J4244&gt;300,1,0)</f>
        <v/>
      </c>
      <c r="O4244" s="25">
        <f>IF(J4244&gt;600,1,0)</f>
        <v/>
      </c>
      <c r="P4244" s="25">
        <f>IF(H4244&gt;0,J4244,"")</f>
        <v/>
      </c>
      <c r="Q4244" s="25">
        <f>TEXT(A4244,"YYYY-MM-DD HH")</f>
        <v/>
      </c>
      <c r="R4244" s="25">
        <f>COUNTIF($Q$2:$Q$5295,Q4244)</f>
        <v/>
      </c>
      <c r="S4244" s="25">
        <f>IF(R4244&lt;=2,"1-2",IF(R4244&lt;=5,"3-5",IF(R4244&lt;=10,"6-10","11+")))</f>
        <v/>
      </c>
    </row>
    <row r="4245">
      <c r="A4245" s="39" t="n">
        <v>46223.21708333334</v>
      </c>
      <c r="B4245" s="25">
        <f>TEXT(A4245,"YYYY-MM")</f>
        <v/>
      </c>
      <c r="C4245" s="25">
        <f>TEXT(A4245,"MMM-YYYY")</f>
        <v/>
      </c>
      <c r="D4245" s="40">
        <f>INT(A4245)-WEEKDAY(A4245,2)+1</f>
        <v/>
      </c>
      <c r="E4245" s="25" t="inlineStr">
        <is>
          <t>aghosh</t>
        </is>
      </c>
      <c r="F4245" s="25" t="n">
        <v>128899</v>
      </c>
      <c r="G4245" s="25" t="n">
        <v>4</v>
      </c>
      <c r="H4245" s="25" t="n">
        <v>28</v>
      </c>
      <c r="I4245" s="25" t="inlineStr">
        <is>
          <t>7 minute(s) and 6 second(s)</t>
        </is>
      </c>
      <c r="J4245" s="25">
        <f>IFERROR(VALUE(TRIM(LEFT(I4245,FIND("minute",I4245)-1)))*60,0)+IFERROR(VALUE(SUBSTITUTE(MID(I4245,IFERROR(FIND("and",I4245)+3,1),20),"second(s)","")),0)</f>
        <v/>
      </c>
      <c r="K4245" s="41">
        <f>J4245/60</f>
        <v/>
      </c>
      <c r="L4245" s="41">
        <f>IFERROR(J4245/H4245,"")</f>
        <v/>
      </c>
      <c r="M4245" s="25" t="inlineStr">
        <is>
          <t>2.5.12</t>
        </is>
      </c>
      <c r="N4245" s="25">
        <f>IF(J4245&gt;300,1,0)</f>
        <v/>
      </c>
      <c r="O4245" s="25">
        <f>IF(J4245&gt;600,1,0)</f>
        <v/>
      </c>
      <c r="P4245" s="25">
        <f>IF(H4245&gt;0,J4245,"")</f>
        <v/>
      </c>
      <c r="Q4245" s="25">
        <f>TEXT(A4245,"YYYY-MM-DD HH")</f>
        <v/>
      </c>
      <c r="R4245" s="25">
        <f>COUNTIF($Q$2:$Q$5295,Q4245)</f>
        <v/>
      </c>
      <c r="S4245" s="25">
        <f>IF(R4245&lt;=2,"1-2",IF(R4245&lt;=5,"3-5",IF(R4245&lt;=10,"6-10","11+")))</f>
        <v/>
      </c>
    </row>
    <row r="4246">
      <c r="A4246" s="39" t="n">
        <v>46223.21880787037</v>
      </c>
      <c r="B4246" s="25">
        <f>TEXT(A4246,"YYYY-MM")</f>
        <v/>
      </c>
      <c r="C4246" s="25">
        <f>TEXT(A4246,"MMM-YYYY")</f>
        <v/>
      </c>
      <c r="D4246" s="40">
        <f>INT(A4246)-WEEKDAY(A4246,2)+1</f>
        <v/>
      </c>
      <c r="E4246" s="25" t="inlineStr">
        <is>
          <t>sdey</t>
        </is>
      </c>
      <c r="F4246" s="25" t="n">
        <v>129334</v>
      </c>
      <c r="G4246" s="25" t="n">
        <v>4</v>
      </c>
      <c r="H4246" s="25" t="n">
        <v>21</v>
      </c>
      <c r="I4246" s="25" t="inlineStr">
        <is>
          <t>3 minute(s) and 11 second(s)</t>
        </is>
      </c>
      <c r="J4246" s="25">
        <f>IFERROR(VALUE(TRIM(LEFT(I4246,FIND("minute",I4246)-1)))*60,0)+IFERROR(VALUE(SUBSTITUTE(MID(I4246,IFERROR(FIND("and",I4246)+3,1),20),"second(s)","")),0)</f>
        <v/>
      </c>
      <c r="K4246" s="41">
        <f>J4246/60</f>
        <v/>
      </c>
      <c r="L4246" s="41">
        <f>IFERROR(J4246/H4246,"")</f>
        <v/>
      </c>
      <c r="M4246" s="25" t="inlineStr">
        <is>
          <t>2.5.12</t>
        </is>
      </c>
      <c r="N4246" s="25">
        <f>IF(J4246&gt;300,1,0)</f>
        <v/>
      </c>
      <c r="O4246" s="25">
        <f>IF(J4246&gt;600,1,0)</f>
        <v/>
      </c>
      <c r="P4246" s="25">
        <f>IF(H4246&gt;0,J4246,"")</f>
        <v/>
      </c>
      <c r="Q4246" s="25">
        <f>TEXT(A4246,"YYYY-MM-DD HH")</f>
        <v/>
      </c>
      <c r="R4246" s="25">
        <f>COUNTIF($Q$2:$Q$5295,Q4246)</f>
        <v/>
      </c>
      <c r="S4246" s="25">
        <f>IF(R4246&lt;=2,"1-2",IF(R4246&lt;=5,"3-5",IF(R4246&lt;=10,"6-10","11+")))</f>
        <v/>
      </c>
    </row>
    <row r="4247">
      <c r="A4247" s="39" t="n">
        <v>46223.2236574074</v>
      </c>
      <c r="B4247" s="25">
        <f>TEXT(A4247,"YYYY-MM")</f>
        <v/>
      </c>
      <c r="C4247" s="25">
        <f>TEXT(A4247,"MMM-YYYY")</f>
        <v/>
      </c>
      <c r="D4247" s="40">
        <f>INT(A4247)-WEEKDAY(A4247,2)+1</f>
        <v/>
      </c>
      <c r="E4247" s="25" t="inlineStr">
        <is>
          <t>sswati</t>
        </is>
      </c>
      <c r="F4247" s="25" t="n">
        <v>128688</v>
      </c>
      <c r="G4247" s="25" t="n">
        <v>4</v>
      </c>
      <c r="H4247" s="25" t="n">
        <v>20</v>
      </c>
      <c r="I4247" s="25" t="inlineStr">
        <is>
          <t>2 minute(s) and 9 second(s)</t>
        </is>
      </c>
      <c r="J4247" s="25">
        <f>IFERROR(VALUE(TRIM(LEFT(I4247,FIND("minute",I4247)-1)))*60,0)+IFERROR(VALUE(SUBSTITUTE(MID(I4247,IFERROR(FIND("and",I4247)+3,1),20),"second(s)","")),0)</f>
        <v/>
      </c>
      <c r="K4247" s="41">
        <f>J4247/60</f>
        <v/>
      </c>
      <c r="L4247" s="41">
        <f>IFERROR(J4247/H4247,"")</f>
        <v/>
      </c>
      <c r="M4247" s="25" t="inlineStr">
        <is>
          <t>2.5.12</t>
        </is>
      </c>
      <c r="N4247" s="25">
        <f>IF(J4247&gt;300,1,0)</f>
        <v/>
      </c>
      <c r="O4247" s="25">
        <f>IF(J4247&gt;600,1,0)</f>
        <v/>
      </c>
      <c r="P4247" s="25">
        <f>IF(H4247&gt;0,J4247,"")</f>
        <v/>
      </c>
      <c r="Q4247" s="25">
        <f>TEXT(A4247,"YYYY-MM-DD HH")</f>
        <v/>
      </c>
      <c r="R4247" s="25">
        <f>COUNTIF($Q$2:$Q$5295,Q4247)</f>
        <v/>
      </c>
      <c r="S4247" s="25">
        <f>IF(R4247&lt;=2,"1-2",IF(R4247&lt;=5,"3-5",IF(R4247&lt;=10,"6-10","11+")))</f>
        <v/>
      </c>
    </row>
    <row r="4248">
      <c r="A4248" s="39" t="n">
        <v>46223.22746527778</v>
      </c>
      <c r="B4248" s="25">
        <f>TEXT(A4248,"YYYY-MM")</f>
        <v/>
      </c>
      <c r="C4248" s="25">
        <f>TEXT(A4248,"MMM-YYYY")</f>
        <v/>
      </c>
      <c r="D4248" s="40">
        <f>INT(A4248)-WEEKDAY(A4248,2)+1</f>
        <v/>
      </c>
      <c r="E4248" s="25" t="inlineStr">
        <is>
          <t>dchoudhury</t>
        </is>
      </c>
      <c r="F4248" s="25" t="n">
        <v>132899</v>
      </c>
      <c r="G4248" s="25" t="n">
        <v>4</v>
      </c>
      <c r="H4248" s="25" t="n">
        <v>20</v>
      </c>
      <c r="I4248" s="25" t="inlineStr">
        <is>
          <t>2 minute(s) and 12 second(s)</t>
        </is>
      </c>
      <c r="J4248" s="25">
        <f>IFERROR(VALUE(TRIM(LEFT(I4248,FIND("minute",I4248)-1)))*60,0)+IFERROR(VALUE(SUBSTITUTE(MID(I4248,IFERROR(FIND("and",I4248)+3,1),20),"second(s)","")),0)</f>
        <v/>
      </c>
      <c r="K4248" s="41">
        <f>J4248/60</f>
        <v/>
      </c>
      <c r="L4248" s="41">
        <f>IFERROR(J4248/H4248,"")</f>
        <v/>
      </c>
      <c r="M4248" s="25" t="inlineStr">
        <is>
          <t>2.5.12</t>
        </is>
      </c>
      <c r="N4248" s="25">
        <f>IF(J4248&gt;300,1,0)</f>
        <v/>
      </c>
      <c r="O4248" s="25">
        <f>IF(J4248&gt;600,1,0)</f>
        <v/>
      </c>
      <c r="P4248" s="25">
        <f>IF(H4248&gt;0,J4248,"")</f>
        <v/>
      </c>
      <c r="Q4248" s="25">
        <f>TEXT(A4248,"YYYY-MM-DD HH")</f>
        <v/>
      </c>
      <c r="R4248" s="25">
        <f>COUNTIF($Q$2:$Q$5295,Q4248)</f>
        <v/>
      </c>
      <c r="S4248" s="25">
        <f>IF(R4248&lt;=2,"1-2",IF(R4248&lt;=5,"3-5",IF(R4248&lt;=10,"6-10","11+")))</f>
        <v/>
      </c>
    </row>
    <row r="4249">
      <c r="A4249" s="39" t="n">
        <v>46223.24932870371</v>
      </c>
      <c r="B4249" s="25">
        <f>TEXT(A4249,"YYYY-MM")</f>
        <v/>
      </c>
      <c r="C4249" s="25">
        <f>TEXT(A4249,"MMM-YYYY")</f>
        <v/>
      </c>
      <c r="D4249" s="40">
        <f>INT(A4249)-WEEKDAY(A4249,2)+1</f>
        <v/>
      </c>
      <c r="E4249" s="25" t="inlineStr">
        <is>
          <t>ns</t>
        </is>
      </c>
      <c r="F4249" s="25" t="n">
        <v>128579</v>
      </c>
      <c r="G4249" s="25" t="n">
        <v>4</v>
      </c>
      <c r="H4249" s="25" t="n">
        <v>14</v>
      </c>
      <c r="I4249" s="25" t="inlineStr">
        <is>
          <t>1 minute(s) and 45 second(s)</t>
        </is>
      </c>
      <c r="J4249" s="25">
        <f>IFERROR(VALUE(TRIM(LEFT(I4249,FIND("minute",I4249)-1)))*60,0)+IFERROR(VALUE(SUBSTITUTE(MID(I4249,IFERROR(FIND("and",I4249)+3,1),20),"second(s)","")),0)</f>
        <v/>
      </c>
      <c r="K4249" s="41">
        <f>J4249/60</f>
        <v/>
      </c>
      <c r="L4249" s="41">
        <f>IFERROR(J4249/H4249,"")</f>
        <v/>
      </c>
      <c r="M4249" s="25" t="inlineStr">
        <is>
          <t>2.5.12</t>
        </is>
      </c>
      <c r="N4249" s="25">
        <f>IF(J4249&gt;300,1,0)</f>
        <v/>
      </c>
      <c r="O4249" s="25">
        <f>IF(J4249&gt;600,1,0)</f>
        <v/>
      </c>
      <c r="P4249" s="25">
        <f>IF(H4249&gt;0,J4249,"")</f>
        <v/>
      </c>
      <c r="Q4249" s="25">
        <f>TEXT(A4249,"YYYY-MM-DD HH")</f>
        <v/>
      </c>
      <c r="R4249" s="25">
        <f>COUNTIF($Q$2:$Q$5295,Q4249)</f>
        <v/>
      </c>
      <c r="S4249" s="25">
        <f>IF(R4249&lt;=2,"1-2",IF(R4249&lt;=5,"3-5",IF(R4249&lt;=10,"6-10","11+")))</f>
        <v/>
      </c>
    </row>
    <row r="4250">
      <c r="A4250" s="39" t="n">
        <v>46223.25048611111</v>
      </c>
      <c r="B4250" s="25">
        <f>TEXT(A4250,"YYYY-MM")</f>
        <v/>
      </c>
      <c r="C4250" s="25">
        <f>TEXT(A4250,"MMM-YYYY")</f>
        <v/>
      </c>
      <c r="D4250" s="40">
        <f>INT(A4250)-WEEKDAY(A4250,2)+1</f>
        <v/>
      </c>
      <c r="E4250" s="25" t="inlineStr">
        <is>
          <t>atiwari</t>
        </is>
      </c>
      <c r="F4250" s="25" t="n">
        <v>130969</v>
      </c>
      <c r="G4250" s="25" t="n">
        <v>3</v>
      </c>
      <c r="H4250" s="25" t="n">
        <v>22</v>
      </c>
      <c r="I4250" s="25" t="inlineStr">
        <is>
          <t>2 minute(s) and 8 second(s)</t>
        </is>
      </c>
      <c r="J4250" s="25">
        <f>IFERROR(VALUE(TRIM(LEFT(I4250,FIND("minute",I4250)-1)))*60,0)+IFERROR(VALUE(SUBSTITUTE(MID(I4250,IFERROR(FIND("and",I4250)+3,1),20),"second(s)","")),0)</f>
        <v/>
      </c>
      <c r="K4250" s="41">
        <f>J4250/60</f>
        <v/>
      </c>
      <c r="L4250" s="41">
        <f>IFERROR(J4250/H4250,"")</f>
        <v/>
      </c>
      <c r="M4250" s="25" t="inlineStr">
        <is>
          <t>2.5.12</t>
        </is>
      </c>
      <c r="N4250" s="25">
        <f>IF(J4250&gt;300,1,0)</f>
        <v/>
      </c>
      <c r="O4250" s="25">
        <f>IF(J4250&gt;600,1,0)</f>
        <v/>
      </c>
      <c r="P4250" s="25">
        <f>IF(H4250&gt;0,J4250,"")</f>
        <v/>
      </c>
      <c r="Q4250" s="25">
        <f>TEXT(A4250,"YYYY-MM-DD HH")</f>
        <v/>
      </c>
      <c r="R4250" s="25">
        <f>COUNTIF($Q$2:$Q$5295,Q4250)</f>
        <v/>
      </c>
      <c r="S4250" s="25">
        <f>IF(R4250&lt;=2,"1-2",IF(R4250&lt;=5,"3-5",IF(R4250&lt;=10,"6-10","11+")))</f>
        <v/>
      </c>
    </row>
    <row r="4251">
      <c r="A4251" s="39" t="n">
        <v>46223.25270833333</v>
      </c>
      <c r="B4251" s="25">
        <f>TEXT(A4251,"YYYY-MM")</f>
        <v/>
      </c>
      <c r="C4251" s="25">
        <f>TEXT(A4251,"MMM-YYYY")</f>
        <v/>
      </c>
      <c r="D4251" s="40">
        <f>INT(A4251)-WEEKDAY(A4251,2)+1</f>
        <v/>
      </c>
      <c r="E4251" s="25" t="inlineStr">
        <is>
          <t>aupadhayay</t>
        </is>
      </c>
      <c r="F4251" s="25" t="n">
        <v>128115</v>
      </c>
      <c r="G4251" s="25" t="n">
        <v>1</v>
      </c>
      <c r="H4251" s="25" t="n">
        <v>5</v>
      </c>
      <c r="I4251" s="25" t="inlineStr">
        <is>
          <t>42 second(s)</t>
        </is>
      </c>
      <c r="J4251" s="25">
        <f>IFERROR(VALUE(TRIM(LEFT(I4251,FIND("minute",I4251)-1)))*60,0)+IFERROR(VALUE(SUBSTITUTE(MID(I4251,IFERROR(FIND("and",I4251)+3,1),20),"second(s)","")),0)</f>
        <v/>
      </c>
      <c r="K4251" s="41">
        <f>J4251/60</f>
        <v/>
      </c>
      <c r="L4251" s="41">
        <f>IFERROR(J4251/H4251,"")</f>
        <v/>
      </c>
      <c r="M4251" s="25" t="inlineStr">
        <is>
          <t>2.5.12</t>
        </is>
      </c>
      <c r="N4251" s="25">
        <f>IF(J4251&gt;300,1,0)</f>
        <v/>
      </c>
      <c r="O4251" s="25">
        <f>IF(J4251&gt;600,1,0)</f>
        <v/>
      </c>
      <c r="P4251" s="25">
        <f>IF(H4251&gt;0,J4251,"")</f>
        <v/>
      </c>
      <c r="Q4251" s="25">
        <f>TEXT(A4251,"YYYY-MM-DD HH")</f>
        <v/>
      </c>
      <c r="R4251" s="25">
        <f>COUNTIF($Q$2:$Q$5295,Q4251)</f>
        <v/>
      </c>
      <c r="S4251" s="25">
        <f>IF(R4251&lt;=2,"1-2",IF(R4251&lt;=5,"3-5",IF(R4251&lt;=10,"6-10","11+")))</f>
        <v/>
      </c>
    </row>
    <row r="4252">
      <c r="A4252" s="39" t="n">
        <v>46223.25628472222</v>
      </c>
      <c r="B4252" s="25">
        <f>TEXT(A4252,"YYYY-MM")</f>
        <v/>
      </c>
      <c r="C4252" s="25">
        <f>TEXT(A4252,"MMM-YYYY")</f>
        <v/>
      </c>
      <c r="D4252" s="40">
        <f>INT(A4252)-WEEKDAY(A4252,2)+1</f>
        <v/>
      </c>
      <c r="E4252" s="25" t="inlineStr">
        <is>
          <t>sthomas</t>
        </is>
      </c>
      <c r="F4252" s="25" t="n">
        <v>131756</v>
      </c>
      <c r="G4252" s="25" t="n">
        <v>3</v>
      </c>
      <c r="H4252" s="25" t="n">
        <v>19</v>
      </c>
      <c r="I4252" s="25" t="inlineStr">
        <is>
          <t>2 minute(s) and 7 second(s)</t>
        </is>
      </c>
      <c r="J4252" s="25">
        <f>IFERROR(VALUE(TRIM(LEFT(I4252,FIND("minute",I4252)-1)))*60,0)+IFERROR(VALUE(SUBSTITUTE(MID(I4252,IFERROR(FIND("and",I4252)+3,1),20),"second(s)","")),0)</f>
        <v/>
      </c>
      <c r="K4252" s="41">
        <f>J4252/60</f>
        <v/>
      </c>
      <c r="L4252" s="41">
        <f>IFERROR(J4252/H4252,"")</f>
        <v/>
      </c>
      <c r="M4252" s="25" t="inlineStr">
        <is>
          <t>2.5.12</t>
        </is>
      </c>
      <c r="N4252" s="25">
        <f>IF(J4252&gt;300,1,0)</f>
        <v/>
      </c>
      <c r="O4252" s="25">
        <f>IF(J4252&gt;600,1,0)</f>
        <v/>
      </c>
      <c r="P4252" s="25">
        <f>IF(H4252&gt;0,J4252,"")</f>
        <v/>
      </c>
      <c r="Q4252" s="25">
        <f>TEXT(A4252,"YYYY-MM-DD HH")</f>
        <v/>
      </c>
      <c r="R4252" s="25">
        <f>COUNTIF($Q$2:$Q$5295,Q4252)</f>
        <v/>
      </c>
      <c r="S4252" s="25">
        <f>IF(R4252&lt;=2,"1-2",IF(R4252&lt;=5,"3-5",IF(R4252&lt;=10,"6-10","11+")))</f>
        <v/>
      </c>
    </row>
    <row r="4253">
      <c r="A4253" s="39" t="n">
        <v>46223.2584375</v>
      </c>
      <c r="B4253" s="25">
        <f>TEXT(A4253,"YYYY-MM")</f>
        <v/>
      </c>
      <c r="C4253" s="25">
        <f>TEXT(A4253,"MMM-YYYY")</f>
        <v/>
      </c>
      <c r="D4253" s="40">
        <f>INT(A4253)-WEEKDAY(A4253,2)+1</f>
        <v/>
      </c>
      <c r="E4253" s="25" t="inlineStr">
        <is>
          <t>shassan</t>
        </is>
      </c>
      <c r="F4253" s="25" t="n">
        <v>128151</v>
      </c>
      <c r="G4253" s="25" t="n">
        <v>2</v>
      </c>
      <c r="H4253" s="25" t="n">
        <v>10</v>
      </c>
      <c r="I4253" s="25" t="inlineStr">
        <is>
          <t>2 minute(s) and 38 second(s)</t>
        </is>
      </c>
      <c r="J4253" s="25">
        <f>IFERROR(VALUE(TRIM(LEFT(I4253,FIND("minute",I4253)-1)))*60,0)+IFERROR(VALUE(SUBSTITUTE(MID(I4253,IFERROR(FIND("and",I4253)+3,1),20),"second(s)","")),0)</f>
        <v/>
      </c>
      <c r="K4253" s="41">
        <f>J4253/60</f>
        <v/>
      </c>
      <c r="L4253" s="41">
        <f>IFERROR(J4253/H4253,"")</f>
        <v/>
      </c>
      <c r="M4253" s="25" t="inlineStr">
        <is>
          <t>2.5.12</t>
        </is>
      </c>
      <c r="N4253" s="25">
        <f>IF(J4253&gt;300,1,0)</f>
        <v/>
      </c>
      <c r="O4253" s="25">
        <f>IF(J4253&gt;600,1,0)</f>
        <v/>
      </c>
      <c r="P4253" s="25">
        <f>IF(H4253&gt;0,J4253,"")</f>
        <v/>
      </c>
      <c r="Q4253" s="25">
        <f>TEXT(A4253,"YYYY-MM-DD HH")</f>
        <v/>
      </c>
      <c r="R4253" s="25">
        <f>COUNTIF($Q$2:$Q$5295,Q4253)</f>
        <v/>
      </c>
      <c r="S4253" s="25">
        <f>IF(R4253&lt;=2,"1-2",IF(R4253&lt;=5,"3-5",IF(R4253&lt;=10,"6-10","11+")))</f>
        <v/>
      </c>
    </row>
    <row r="4254">
      <c r="A4254" s="39" t="n">
        <v>46223.25879629629</v>
      </c>
      <c r="B4254" s="25">
        <f>TEXT(A4254,"YYYY-MM")</f>
        <v/>
      </c>
      <c r="C4254" s="25">
        <f>TEXT(A4254,"MMM-YYYY")</f>
        <v/>
      </c>
      <c r="D4254" s="40">
        <f>INT(A4254)-WEEKDAY(A4254,2)+1</f>
        <v/>
      </c>
      <c r="E4254" s="25" t="inlineStr">
        <is>
          <t>bverma</t>
        </is>
      </c>
      <c r="F4254" s="25" t="n">
        <v>132471</v>
      </c>
      <c r="G4254" s="25" t="n">
        <v>1</v>
      </c>
      <c r="H4254" s="25" t="n">
        <v>7</v>
      </c>
      <c r="I4254" s="25" t="inlineStr">
        <is>
          <t>1 minute(s) and 37 second(s)</t>
        </is>
      </c>
      <c r="J4254" s="25">
        <f>IFERROR(VALUE(TRIM(LEFT(I4254,FIND("minute",I4254)-1)))*60,0)+IFERROR(VALUE(SUBSTITUTE(MID(I4254,IFERROR(FIND("and",I4254)+3,1),20),"second(s)","")),0)</f>
        <v/>
      </c>
      <c r="K4254" s="41">
        <f>J4254/60</f>
        <v/>
      </c>
      <c r="L4254" s="41">
        <f>IFERROR(J4254/H4254,"")</f>
        <v/>
      </c>
      <c r="M4254" s="25" t="inlineStr">
        <is>
          <t>2.5.12</t>
        </is>
      </c>
      <c r="N4254" s="25">
        <f>IF(J4254&gt;300,1,0)</f>
        <v/>
      </c>
      <c r="O4254" s="25">
        <f>IF(J4254&gt;600,1,0)</f>
        <v/>
      </c>
      <c r="P4254" s="25">
        <f>IF(H4254&gt;0,J4254,"")</f>
        <v/>
      </c>
      <c r="Q4254" s="25">
        <f>TEXT(A4254,"YYYY-MM-DD HH")</f>
        <v/>
      </c>
      <c r="R4254" s="25">
        <f>COUNTIF($Q$2:$Q$5295,Q4254)</f>
        <v/>
      </c>
      <c r="S4254" s="25">
        <f>IF(R4254&lt;=2,"1-2",IF(R4254&lt;=5,"3-5",IF(R4254&lt;=10,"6-10","11+")))</f>
        <v/>
      </c>
    </row>
    <row r="4255">
      <c r="A4255" s="39" t="n">
        <v>46223.26030092593</v>
      </c>
      <c r="B4255" s="25">
        <f>TEXT(A4255,"YYYY-MM")</f>
        <v/>
      </c>
      <c r="C4255" s="25">
        <f>TEXT(A4255,"MMM-YYYY")</f>
        <v/>
      </c>
      <c r="D4255" s="40">
        <f>INT(A4255)-WEEKDAY(A4255,2)+1</f>
        <v/>
      </c>
      <c r="E4255" s="25" t="inlineStr">
        <is>
          <t>tkarmakar</t>
        </is>
      </c>
      <c r="F4255" s="25" t="n">
        <v>131455</v>
      </c>
      <c r="G4255" s="25" t="n">
        <v>4</v>
      </c>
      <c r="H4255" s="25" t="n">
        <v>18</v>
      </c>
      <c r="I4255" s="25" t="inlineStr">
        <is>
          <t>1 minute(s) and 47 second(s)</t>
        </is>
      </c>
      <c r="J4255" s="25">
        <f>IFERROR(VALUE(TRIM(LEFT(I4255,FIND("minute",I4255)-1)))*60,0)+IFERROR(VALUE(SUBSTITUTE(MID(I4255,IFERROR(FIND("and",I4255)+3,1),20),"second(s)","")),0)</f>
        <v/>
      </c>
      <c r="K4255" s="41">
        <f>J4255/60</f>
        <v/>
      </c>
      <c r="L4255" s="41">
        <f>IFERROR(J4255/H4255,"")</f>
        <v/>
      </c>
      <c r="M4255" s="25" t="inlineStr">
        <is>
          <t>2.5.12</t>
        </is>
      </c>
      <c r="N4255" s="25">
        <f>IF(J4255&gt;300,1,0)</f>
        <v/>
      </c>
      <c r="O4255" s="25">
        <f>IF(J4255&gt;600,1,0)</f>
        <v/>
      </c>
      <c r="P4255" s="25">
        <f>IF(H4255&gt;0,J4255,"")</f>
        <v/>
      </c>
      <c r="Q4255" s="25">
        <f>TEXT(A4255,"YYYY-MM-DD HH")</f>
        <v/>
      </c>
      <c r="R4255" s="25">
        <f>COUNTIF($Q$2:$Q$5295,Q4255)</f>
        <v/>
      </c>
      <c r="S4255" s="25">
        <f>IF(R4255&lt;=2,"1-2",IF(R4255&lt;=5,"3-5",IF(R4255&lt;=10,"6-10","11+")))</f>
        <v/>
      </c>
    </row>
    <row r="4256">
      <c r="A4256" s="39" t="n">
        <v>46223.26833333333</v>
      </c>
      <c r="B4256" s="25">
        <f>TEXT(A4256,"YYYY-MM")</f>
        <v/>
      </c>
      <c r="C4256" s="25">
        <f>TEXT(A4256,"MMM-YYYY")</f>
        <v/>
      </c>
      <c r="D4256" s="40">
        <f>INT(A4256)-WEEKDAY(A4256,2)+1</f>
        <v/>
      </c>
      <c r="E4256" s="25" t="inlineStr">
        <is>
          <t>shasikha</t>
        </is>
      </c>
      <c r="F4256" s="25" t="n">
        <v>127880</v>
      </c>
      <c r="G4256" s="25" t="n">
        <v>3</v>
      </c>
      <c r="H4256" s="25" t="n">
        <v>17</v>
      </c>
      <c r="I4256" s="25" t="inlineStr">
        <is>
          <t>1 minute(s) and 43 second(s)</t>
        </is>
      </c>
      <c r="J4256" s="25">
        <f>IFERROR(VALUE(TRIM(LEFT(I4256,FIND("minute",I4256)-1)))*60,0)+IFERROR(VALUE(SUBSTITUTE(MID(I4256,IFERROR(FIND("and",I4256)+3,1),20),"second(s)","")),0)</f>
        <v/>
      </c>
      <c r="K4256" s="41">
        <f>J4256/60</f>
        <v/>
      </c>
      <c r="L4256" s="41">
        <f>IFERROR(J4256/H4256,"")</f>
        <v/>
      </c>
      <c r="M4256" s="25" t="inlineStr">
        <is>
          <t>2.5.12</t>
        </is>
      </c>
      <c r="N4256" s="25">
        <f>IF(J4256&gt;300,1,0)</f>
        <v/>
      </c>
      <c r="O4256" s="25">
        <f>IF(J4256&gt;600,1,0)</f>
        <v/>
      </c>
      <c r="P4256" s="25">
        <f>IF(H4256&gt;0,J4256,"")</f>
        <v/>
      </c>
      <c r="Q4256" s="25">
        <f>TEXT(A4256,"YYYY-MM-DD HH")</f>
        <v/>
      </c>
      <c r="R4256" s="25">
        <f>COUNTIF($Q$2:$Q$5295,Q4256)</f>
        <v/>
      </c>
      <c r="S4256" s="25">
        <f>IF(R4256&lt;=2,"1-2",IF(R4256&lt;=5,"3-5",IF(R4256&lt;=10,"6-10","11+")))</f>
        <v/>
      </c>
    </row>
    <row r="4257">
      <c r="A4257" s="39" t="n">
        <v>46223.26903935185</v>
      </c>
      <c r="B4257" s="25">
        <f>TEXT(A4257,"YYYY-MM")</f>
        <v/>
      </c>
      <c r="C4257" s="25">
        <f>TEXT(A4257,"MMM-YYYY")</f>
        <v/>
      </c>
      <c r="D4257" s="40">
        <f>INT(A4257)-WEEKDAY(A4257,2)+1</f>
        <v/>
      </c>
      <c r="E4257" s="25" t="inlineStr">
        <is>
          <t>psathwika</t>
        </is>
      </c>
      <c r="F4257" s="25" t="n">
        <v>128408</v>
      </c>
      <c r="G4257" s="25" t="n">
        <v>3</v>
      </c>
      <c r="H4257" s="25" t="n">
        <v>18</v>
      </c>
      <c r="I4257" s="25" t="inlineStr">
        <is>
          <t>1 minute(s) and 49 second(s)</t>
        </is>
      </c>
      <c r="J4257" s="25">
        <f>IFERROR(VALUE(TRIM(LEFT(I4257,FIND("minute",I4257)-1)))*60,0)+IFERROR(VALUE(SUBSTITUTE(MID(I4257,IFERROR(FIND("and",I4257)+3,1),20),"second(s)","")),0)</f>
        <v/>
      </c>
      <c r="K4257" s="41">
        <f>J4257/60</f>
        <v/>
      </c>
      <c r="L4257" s="41">
        <f>IFERROR(J4257/H4257,"")</f>
        <v/>
      </c>
      <c r="M4257" s="25" t="inlineStr">
        <is>
          <t>2.5.12</t>
        </is>
      </c>
      <c r="N4257" s="25">
        <f>IF(J4257&gt;300,1,0)</f>
        <v/>
      </c>
      <c r="O4257" s="25">
        <f>IF(J4257&gt;600,1,0)</f>
        <v/>
      </c>
      <c r="P4257" s="25">
        <f>IF(H4257&gt;0,J4257,"")</f>
        <v/>
      </c>
      <c r="Q4257" s="25">
        <f>TEXT(A4257,"YYYY-MM-DD HH")</f>
        <v/>
      </c>
      <c r="R4257" s="25">
        <f>COUNTIF($Q$2:$Q$5295,Q4257)</f>
        <v/>
      </c>
      <c r="S4257" s="25">
        <f>IF(R4257&lt;=2,"1-2",IF(R4257&lt;=5,"3-5",IF(R4257&lt;=10,"6-10","11+")))</f>
        <v/>
      </c>
    </row>
    <row r="4258">
      <c r="A4258" s="39" t="n">
        <v>46223.27109953704</v>
      </c>
      <c r="B4258" s="25">
        <f>TEXT(A4258,"YYYY-MM")</f>
        <v/>
      </c>
      <c r="C4258" s="25">
        <f>TEXT(A4258,"MMM-YYYY")</f>
        <v/>
      </c>
      <c r="D4258" s="40">
        <f>INT(A4258)-WEEKDAY(A4258,2)+1</f>
        <v/>
      </c>
      <c r="E4258" s="25" t="inlineStr">
        <is>
          <t>ssneha</t>
        </is>
      </c>
      <c r="F4258" s="25" t="n">
        <v>128336</v>
      </c>
      <c r="G4258" s="25" t="n">
        <v>2</v>
      </c>
      <c r="H4258" s="25" t="n">
        <v>10</v>
      </c>
      <c r="I4258" s="25" t="inlineStr">
        <is>
          <t>56 second(s)</t>
        </is>
      </c>
      <c r="J4258" s="25">
        <f>IFERROR(VALUE(TRIM(LEFT(I4258,FIND("minute",I4258)-1)))*60,0)+IFERROR(VALUE(SUBSTITUTE(MID(I4258,IFERROR(FIND("and",I4258)+3,1),20),"second(s)","")),0)</f>
        <v/>
      </c>
      <c r="K4258" s="41">
        <f>J4258/60</f>
        <v/>
      </c>
      <c r="L4258" s="41">
        <f>IFERROR(J4258/H4258,"")</f>
        <v/>
      </c>
      <c r="M4258" s="25" t="inlineStr">
        <is>
          <t>2.5.12</t>
        </is>
      </c>
      <c r="N4258" s="25">
        <f>IF(J4258&gt;300,1,0)</f>
        <v/>
      </c>
      <c r="O4258" s="25">
        <f>IF(J4258&gt;600,1,0)</f>
        <v/>
      </c>
      <c r="P4258" s="25">
        <f>IF(H4258&gt;0,J4258,"")</f>
        <v/>
      </c>
      <c r="Q4258" s="25">
        <f>TEXT(A4258,"YYYY-MM-DD HH")</f>
        <v/>
      </c>
      <c r="R4258" s="25">
        <f>COUNTIF($Q$2:$Q$5295,Q4258)</f>
        <v/>
      </c>
      <c r="S4258" s="25">
        <f>IF(R4258&lt;=2,"1-2",IF(R4258&lt;=5,"3-5",IF(R4258&lt;=10,"6-10","11+")))</f>
        <v/>
      </c>
    </row>
    <row r="4259">
      <c r="A4259" s="39" t="n">
        <v>46223.27152777778</v>
      </c>
      <c r="B4259" s="25">
        <f>TEXT(A4259,"YYYY-MM")</f>
        <v/>
      </c>
      <c r="C4259" s="25">
        <f>TEXT(A4259,"MMM-YYYY")</f>
        <v/>
      </c>
      <c r="D4259" s="40">
        <f>INT(A4259)-WEEKDAY(A4259,2)+1</f>
        <v/>
      </c>
      <c r="E4259" s="25" t="inlineStr">
        <is>
          <t>asahoo</t>
        </is>
      </c>
      <c r="F4259" s="25" t="n">
        <v>129363</v>
      </c>
      <c r="G4259" s="25" t="n">
        <v>2</v>
      </c>
      <c r="H4259" s="25" t="n">
        <v>14</v>
      </c>
      <c r="I4259" s="25" t="inlineStr">
        <is>
          <t>2 minute(s) and 23 second(s)</t>
        </is>
      </c>
      <c r="J4259" s="25">
        <f>IFERROR(VALUE(TRIM(LEFT(I4259,FIND("minute",I4259)-1)))*60,0)+IFERROR(VALUE(SUBSTITUTE(MID(I4259,IFERROR(FIND("and",I4259)+3,1),20),"second(s)","")),0)</f>
        <v/>
      </c>
      <c r="K4259" s="41">
        <f>J4259/60</f>
        <v/>
      </c>
      <c r="L4259" s="41">
        <f>IFERROR(J4259/H4259,"")</f>
        <v/>
      </c>
      <c r="M4259" s="25" t="inlineStr">
        <is>
          <t>2.5.12</t>
        </is>
      </c>
      <c r="N4259" s="25">
        <f>IF(J4259&gt;300,1,0)</f>
        <v/>
      </c>
      <c r="O4259" s="25">
        <f>IF(J4259&gt;600,1,0)</f>
        <v/>
      </c>
      <c r="P4259" s="25">
        <f>IF(H4259&gt;0,J4259,"")</f>
        <v/>
      </c>
      <c r="Q4259" s="25">
        <f>TEXT(A4259,"YYYY-MM-DD HH")</f>
        <v/>
      </c>
      <c r="R4259" s="25">
        <f>COUNTIF($Q$2:$Q$5295,Q4259)</f>
        <v/>
      </c>
      <c r="S4259" s="25">
        <f>IF(R4259&lt;=2,"1-2",IF(R4259&lt;=5,"3-5",IF(R4259&lt;=10,"6-10","11+")))</f>
        <v/>
      </c>
    </row>
    <row r="4260">
      <c r="A4260" s="39" t="n">
        <v>46223.28491898148</v>
      </c>
      <c r="B4260" s="25">
        <f>TEXT(A4260,"YYYY-MM")</f>
        <v/>
      </c>
      <c r="C4260" s="25">
        <f>TEXT(A4260,"MMM-YYYY")</f>
        <v/>
      </c>
      <c r="D4260" s="40">
        <f>INT(A4260)-WEEKDAY(A4260,2)+1</f>
        <v/>
      </c>
      <c r="E4260" s="25" t="inlineStr">
        <is>
          <t>sasharma</t>
        </is>
      </c>
      <c r="F4260" s="25" t="n">
        <v>131241</v>
      </c>
      <c r="G4260" s="25" t="n">
        <v>1</v>
      </c>
      <c r="H4260" s="25" t="n">
        <v>6</v>
      </c>
      <c r="I4260" s="25" t="inlineStr">
        <is>
          <t>23 second(s)</t>
        </is>
      </c>
      <c r="J4260" s="25">
        <f>IFERROR(VALUE(TRIM(LEFT(I4260,FIND("minute",I4260)-1)))*60,0)+IFERROR(VALUE(SUBSTITUTE(MID(I4260,IFERROR(FIND("and",I4260)+3,1),20),"second(s)","")),0)</f>
        <v/>
      </c>
      <c r="K4260" s="41">
        <f>J4260/60</f>
        <v/>
      </c>
      <c r="L4260" s="41">
        <f>IFERROR(J4260/H4260,"")</f>
        <v/>
      </c>
      <c r="M4260" s="25" t="inlineStr">
        <is>
          <t>2.5.12</t>
        </is>
      </c>
      <c r="N4260" s="25">
        <f>IF(J4260&gt;300,1,0)</f>
        <v/>
      </c>
      <c r="O4260" s="25">
        <f>IF(J4260&gt;600,1,0)</f>
        <v/>
      </c>
      <c r="P4260" s="25">
        <f>IF(H4260&gt;0,J4260,"")</f>
        <v/>
      </c>
      <c r="Q4260" s="25">
        <f>TEXT(A4260,"YYYY-MM-DD HH")</f>
        <v/>
      </c>
      <c r="R4260" s="25">
        <f>COUNTIF($Q$2:$Q$5295,Q4260)</f>
        <v/>
      </c>
      <c r="S4260" s="25">
        <f>IF(R4260&lt;=2,"1-2",IF(R4260&lt;=5,"3-5",IF(R4260&lt;=10,"6-10","11+")))</f>
        <v/>
      </c>
    </row>
    <row r="4261">
      <c r="A4261" s="39" t="n">
        <v>46223.28625</v>
      </c>
      <c r="B4261" s="25">
        <f>TEXT(A4261,"YYYY-MM")</f>
        <v/>
      </c>
      <c r="C4261" s="25">
        <f>TEXT(A4261,"MMM-YYYY")</f>
        <v/>
      </c>
      <c r="D4261" s="40">
        <f>INT(A4261)-WEEKDAY(A4261,2)+1</f>
        <v/>
      </c>
      <c r="E4261" s="25" t="inlineStr">
        <is>
          <t>sswati</t>
        </is>
      </c>
      <c r="F4261" s="25" t="n">
        <v>128688</v>
      </c>
      <c r="G4261" s="25" t="n">
        <v>4</v>
      </c>
      <c r="H4261" s="25" t="n">
        <v>20</v>
      </c>
      <c r="I4261" s="25" t="inlineStr">
        <is>
          <t>2 minute(s) and 14 second(s)</t>
        </is>
      </c>
      <c r="J4261" s="25">
        <f>IFERROR(VALUE(TRIM(LEFT(I4261,FIND("minute",I4261)-1)))*60,0)+IFERROR(VALUE(SUBSTITUTE(MID(I4261,IFERROR(FIND("and",I4261)+3,1),20),"second(s)","")),0)</f>
        <v/>
      </c>
      <c r="K4261" s="41">
        <f>J4261/60</f>
        <v/>
      </c>
      <c r="L4261" s="41">
        <f>IFERROR(J4261/H4261,"")</f>
        <v/>
      </c>
      <c r="M4261" s="25" t="inlineStr">
        <is>
          <t>2.5.12</t>
        </is>
      </c>
      <c r="N4261" s="25">
        <f>IF(J4261&gt;300,1,0)</f>
        <v/>
      </c>
      <c r="O4261" s="25">
        <f>IF(J4261&gt;600,1,0)</f>
        <v/>
      </c>
      <c r="P4261" s="25">
        <f>IF(H4261&gt;0,J4261,"")</f>
        <v/>
      </c>
      <c r="Q4261" s="25">
        <f>TEXT(A4261,"YYYY-MM-DD HH")</f>
        <v/>
      </c>
      <c r="R4261" s="25">
        <f>COUNTIF($Q$2:$Q$5295,Q4261)</f>
        <v/>
      </c>
      <c r="S4261" s="25">
        <f>IF(R4261&lt;=2,"1-2",IF(R4261&lt;=5,"3-5",IF(R4261&lt;=10,"6-10","11+")))</f>
        <v/>
      </c>
    </row>
    <row r="4262">
      <c r="A4262" s="39" t="n">
        <v>46223.29015046296</v>
      </c>
      <c r="B4262" s="25">
        <f>TEXT(A4262,"YYYY-MM")</f>
        <v/>
      </c>
      <c r="C4262" s="25">
        <f>TEXT(A4262,"MMM-YYYY")</f>
        <v/>
      </c>
      <c r="D4262" s="40">
        <f>INT(A4262)-WEEKDAY(A4262,2)+1</f>
        <v/>
      </c>
      <c r="E4262" s="25" t="inlineStr">
        <is>
          <t>aupadhayay</t>
        </is>
      </c>
      <c r="F4262" s="25" t="n">
        <v>127915</v>
      </c>
      <c r="G4262" s="25" t="n">
        <v>3</v>
      </c>
      <c r="H4262" s="25" t="n">
        <v>13</v>
      </c>
      <c r="I4262" s="25" t="inlineStr">
        <is>
          <t>2 minute(s) and 19 second(s)</t>
        </is>
      </c>
      <c r="J4262" s="25">
        <f>IFERROR(VALUE(TRIM(LEFT(I4262,FIND("minute",I4262)-1)))*60,0)+IFERROR(VALUE(SUBSTITUTE(MID(I4262,IFERROR(FIND("and",I4262)+3,1),20),"second(s)","")),0)</f>
        <v/>
      </c>
      <c r="K4262" s="41">
        <f>J4262/60</f>
        <v/>
      </c>
      <c r="L4262" s="41">
        <f>IFERROR(J4262/H4262,"")</f>
        <v/>
      </c>
      <c r="M4262" s="25" t="inlineStr">
        <is>
          <t>2.5.12</t>
        </is>
      </c>
      <c r="N4262" s="25">
        <f>IF(J4262&gt;300,1,0)</f>
        <v/>
      </c>
      <c r="O4262" s="25">
        <f>IF(J4262&gt;600,1,0)</f>
        <v/>
      </c>
      <c r="P4262" s="25">
        <f>IF(H4262&gt;0,J4262,"")</f>
        <v/>
      </c>
      <c r="Q4262" s="25">
        <f>TEXT(A4262,"YYYY-MM-DD HH")</f>
        <v/>
      </c>
      <c r="R4262" s="25">
        <f>COUNTIF($Q$2:$Q$5295,Q4262)</f>
        <v/>
      </c>
      <c r="S4262" s="25">
        <f>IF(R4262&lt;=2,"1-2",IF(R4262&lt;=5,"3-5",IF(R4262&lt;=10,"6-10","11+")))</f>
        <v/>
      </c>
    </row>
    <row r="4263">
      <c r="A4263" s="39" t="n">
        <v>46223.29336805556</v>
      </c>
      <c r="B4263" s="25">
        <f>TEXT(A4263,"YYYY-MM")</f>
        <v/>
      </c>
      <c r="C4263" s="25">
        <f>TEXT(A4263,"MMM-YYYY")</f>
        <v/>
      </c>
      <c r="D4263" s="40">
        <f>INT(A4263)-WEEKDAY(A4263,2)+1</f>
        <v/>
      </c>
      <c r="E4263" s="25" t="inlineStr">
        <is>
          <t>bverma</t>
        </is>
      </c>
      <c r="F4263" s="25" t="n">
        <v>130458</v>
      </c>
      <c r="G4263" s="25" t="n">
        <v>1</v>
      </c>
      <c r="H4263" s="25" t="n">
        <v>5</v>
      </c>
      <c r="I4263" s="25" t="inlineStr">
        <is>
          <t>21 second(s)</t>
        </is>
      </c>
      <c r="J4263" s="25">
        <f>IFERROR(VALUE(TRIM(LEFT(I4263,FIND("minute",I4263)-1)))*60,0)+IFERROR(VALUE(SUBSTITUTE(MID(I4263,IFERROR(FIND("and",I4263)+3,1),20),"second(s)","")),0)</f>
        <v/>
      </c>
      <c r="K4263" s="41">
        <f>J4263/60</f>
        <v/>
      </c>
      <c r="L4263" s="41">
        <f>IFERROR(J4263/H4263,"")</f>
        <v/>
      </c>
      <c r="M4263" s="25" t="inlineStr">
        <is>
          <t>2.5.12</t>
        </is>
      </c>
      <c r="N4263" s="25">
        <f>IF(J4263&gt;300,1,0)</f>
        <v/>
      </c>
      <c r="O4263" s="25">
        <f>IF(J4263&gt;600,1,0)</f>
        <v/>
      </c>
      <c r="P4263" s="25">
        <f>IF(H4263&gt;0,J4263,"")</f>
        <v/>
      </c>
      <c r="Q4263" s="25">
        <f>TEXT(A4263,"YYYY-MM-DD HH")</f>
        <v/>
      </c>
      <c r="R4263" s="25">
        <f>COUNTIF($Q$2:$Q$5295,Q4263)</f>
        <v/>
      </c>
      <c r="S4263" s="25">
        <f>IF(R4263&lt;=2,"1-2",IF(R4263&lt;=5,"3-5",IF(R4263&lt;=10,"6-10","11+")))</f>
        <v/>
      </c>
    </row>
    <row r="4264">
      <c r="A4264" s="39" t="n">
        <v>46223.29359953704</v>
      </c>
      <c r="B4264" s="25">
        <f>TEXT(A4264,"YYYY-MM")</f>
        <v/>
      </c>
      <c r="C4264" s="25">
        <f>TEXT(A4264,"MMM-YYYY")</f>
        <v/>
      </c>
      <c r="D4264" s="40">
        <f>INT(A4264)-WEEKDAY(A4264,2)+1</f>
        <v/>
      </c>
      <c r="E4264" s="25" t="inlineStr">
        <is>
          <t>mbhalla</t>
        </is>
      </c>
      <c r="F4264" s="25" t="n">
        <v>130327</v>
      </c>
      <c r="G4264" s="25" t="n">
        <v>2</v>
      </c>
      <c r="H4264" s="25" t="n">
        <v>10</v>
      </c>
      <c r="I4264" s="25" t="inlineStr">
        <is>
          <t>49 second(s)</t>
        </is>
      </c>
      <c r="J4264" s="25">
        <f>IFERROR(VALUE(TRIM(LEFT(I4264,FIND("minute",I4264)-1)))*60,0)+IFERROR(VALUE(SUBSTITUTE(MID(I4264,IFERROR(FIND("and",I4264)+3,1),20),"second(s)","")),0)</f>
        <v/>
      </c>
      <c r="K4264" s="41">
        <f>J4264/60</f>
        <v/>
      </c>
      <c r="L4264" s="41">
        <f>IFERROR(J4264/H4264,"")</f>
        <v/>
      </c>
      <c r="M4264" s="25" t="inlineStr">
        <is>
          <t>2.5.12</t>
        </is>
      </c>
      <c r="N4264" s="25">
        <f>IF(J4264&gt;300,1,0)</f>
        <v/>
      </c>
      <c r="O4264" s="25">
        <f>IF(J4264&gt;600,1,0)</f>
        <v/>
      </c>
      <c r="P4264" s="25">
        <f>IF(H4264&gt;0,J4264,"")</f>
        <v/>
      </c>
      <c r="Q4264" s="25">
        <f>TEXT(A4264,"YYYY-MM-DD HH")</f>
        <v/>
      </c>
      <c r="R4264" s="25">
        <f>COUNTIF($Q$2:$Q$5295,Q4264)</f>
        <v/>
      </c>
      <c r="S4264" s="25">
        <f>IF(R4264&lt;=2,"1-2",IF(R4264&lt;=5,"3-5",IF(R4264&lt;=10,"6-10","11+")))</f>
        <v/>
      </c>
    </row>
    <row r="4265">
      <c r="A4265" s="39" t="n">
        <v>46223.29525462963</v>
      </c>
      <c r="B4265" s="25">
        <f>TEXT(A4265,"YYYY-MM")</f>
        <v/>
      </c>
      <c r="C4265" s="25">
        <f>TEXT(A4265,"MMM-YYYY")</f>
        <v/>
      </c>
      <c r="D4265" s="40">
        <f>INT(A4265)-WEEKDAY(A4265,2)+1</f>
        <v/>
      </c>
      <c r="E4265" s="25" t="inlineStr">
        <is>
          <t>ssrinivasan</t>
        </is>
      </c>
      <c r="F4265" s="25" t="n">
        <v>128080</v>
      </c>
      <c r="G4265" s="25" t="n">
        <v>4</v>
      </c>
      <c r="H4265" s="25" t="n">
        <v>24</v>
      </c>
      <c r="I4265" s="25" t="inlineStr">
        <is>
          <t>2 minute(s) and 24 second(s)</t>
        </is>
      </c>
      <c r="J4265" s="25">
        <f>IFERROR(VALUE(TRIM(LEFT(I4265,FIND("minute",I4265)-1)))*60,0)+IFERROR(VALUE(SUBSTITUTE(MID(I4265,IFERROR(FIND("and",I4265)+3,1),20),"second(s)","")),0)</f>
        <v/>
      </c>
      <c r="K4265" s="41">
        <f>J4265/60</f>
        <v/>
      </c>
      <c r="L4265" s="41">
        <f>IFERROR(J4265/H4265,"")</f>
        <v/>
      </c>
      <c r="M4265" s="25" t="inlineStr">
        <is>
          <t>2.5.12</t>
        </is>
      </c>
      <c r="N4265" s="25">
        <f>IF(J4265&gt;300,1,0)</f>
        <v/>
      </c>
      <c r="O4265" s="25">
        <f>IF(J4265&gt;600,1,0)</f>
        <v/>
      </c>
      <c r="P4265" s="25">
        <f>IF(H4265&gt;0,J4265,"")</f>
        <v/>
      </c>
      <c r="Q4265" s="25">
        <f>TEXT(A4265,"YYYY-MM-DD HH")</f>
        <v/>
      </c>
      <c r="R4265" s="25">
        <f>COUNTIF($Q$2:$Q$5295,Q4265)</f>
        <v/>
      </c>
      <c r="S4265" s="25">
        <f>IF(R4265&lt;=2,"1-2",IF(R4265&lt;=5,"3-5",IF(R4265&lt;=10,"6-10","11+")))</f>
        <v/>
      </c>
    </row>
    <row r="4266">
      <c r="A4266" s="39" t="n">
        <v>46223.2968287037</v>
      </c>
      <c r="B4266" s="25">
        <f>TEXT(A4266,"YYYY-MM")</f>
        <v/>
      </c>
      <c r="C4266" s="25">
        <f>TEXT(A4266,"MMM-YYYY")</f>
        <v/>
      </c>
      <c r="D4266" s="40">
        <f>INT(A4266)-WEEKDAY(A4266,2)+1</f>
        <v/>
      </c>
      <c r="E4266" s="25" t="inlineStr">
        <is>
          <t>sthomas</t>
        </is>
      </c>
      <c r="F4266" s="25" t="n">
        <v>132992</v>
      </c>
      <c r="G4266" s="25" t="n">
        <v>3</v>
      </c>
      <c r="H4266" s="25" t="n">
        <v>15</v>
      </c>
      <c r="I4266" s="25" t="inlineStr">
        <is>
          <t>1 minute(s) and 34 second(s)</t>
        </is>
      </c>
      <c r="J4266" s="25">
        <f>IFERROR(VALUE(TRIM(LEFT(I4266,FIND("minute",I4266)-1)))*60,0)+IFERROR(VALUE(SUBSTITUTE(MID(I4266,IFERROR(FIND("and",I4266)+3,1),20),"second(s)","")),0)</f>
        <v/>
      </c>
      <c r="K4266" s="41">
        <f>J4266/60</f>
        <v/>
      </c>
      <c r="L4266" s="41">
        <f>IFERROR(J4266/H4266,"")</f>
        <v/>
      </c>
      <c r="M4266" s="25" t="inlineStr">
        <is>
          <t>2.5.12</t>
        </is>
      </c>
      <c r="N4266" s="25">
        <f>IF(J4266&gt;300,1,0)</f>
        <v/>
      </c>
      <c r="O4266" s="25">
        <f>IF(J4266&gt;600,1,0)</f>
        <v/>
      </c>
      <c r="P4266" s="25">
        <f>IF(H4266&gt;0,J4266,"")</f>
        <v/>
      </c>
      <c r="Q4266" s="25">
        <f>TEXT(A4266,"YYYY-MM-DD HH")</f>
        <v/>
      </c>
      <c r="R4266" s="25">
        <f>COUNTIF($Q$2:$Q$5295,Q4266)</f>
        <v/>
      </c>
      <c r="S4266" s="25">
        <f>IF(R4266&lt;=2,"1-2",IF(R4266&lt;=5,"3-5",IF(R4266&lt;=10,"6-10","11+")))</f>
        <v/>
      </c>
    </row>
    <row r="4267">
      <c r="A4267" s="39" t="n">
        <v>46223.29785879629</v>
      </c>
      <c r="B4267" s="25">
        <f>TEXT(A4267,"YYYY-MM")</f>
        <v/>
      </c>
      <c r="C4267" s="25">
        <f>TEXT(A4267,"MMM-YYYY")</f>
        <v/>
      </c>
      <c r="D4267" s="40">
        <f>INT(A4267)-WEEKDAY(A4267,2)+1</f>
        <v/>
      </c>
      <c r="E4267" s="25" t="inlineStr">
        <is>
          <t>smukhopadhyay</t>
        </is>
      </c>
      <c r="F4267" s="25" t="n">
        <v>128256</v>
      </c>
      <c r="G4267" s="25" t="n">
        <v>2</v>
      </c>
      <c r="H4267" s="25" t="n">
        <v>11</v>
      </c>
      <c r="I4267" s="25" t="inlineStr">
        <is>
          <t>1 minute(s) and 9 second(s)</t>
        </is>
      </c>
      <c r="J4267" s="25">
        <f>IFERROR(VALUE(TRIM(LEFT(I4267,FIND("minute",I4267)-1)))*60,0)+IFERROR(VALUE(SUBSTITUTE(MID(I4267,IFERROR(FIND("and",I4267)+3,1),20),"second(s)","")),0)</f>
        <v/>
      </c>
      <c r="K4267" s="41">
        <f>J4267/60</f>
        <v/>
      </c>
      <c r="L4267" s="41">
        <f>IFERROR(J4267/H4267,"")</f>
        <v/>
      </c>
      <c r="M4267" s="25" t="inlineStr">
        <is>
          <t>2.5.12</t>
        </is>
      </c>
      <c r="N4267" s="25">
        <f>IF(J4267&gt;300,1,0)</f>
        <v/>
      </c>
      <c r="O4267" s="25">
        <f>IF(J4267&gt;600,1,0)</f>
        <v/>
      </c>
      <c r="P4267" s="25">
        <f>IF(H4267&gt;0,J4267,"")</f>
        <v/>
      </c>
      <c r="Q4267" s="25">
        <f>TEXT(A4267,"YYYY-MM-DD HH")</f>
        <v/>
      </c>
      <c r="R4267" s="25">
        <f>COUNTIF($Q$2:$Q$5295,Q4267)</f>
        <v/>
      </c>
      <c r="S4267" s="25">
        <f>IF(R4267&lt;=2,"1-2",IF(R4267&lt;=5,"3-5",IF(R4267&lt;=10,"6-10","11+")))</f>
        <v/>
      </c>
    </row>
    <row r="4268">
      <c r="A4268" s="39" t="n">
        <v>46223.30087962963</v>
      </c>
      <c r="B4268" s="25">
        <f>TEXT(A4268,"YYYY-MM")</f>
        <v/>
      </c>
      <c r="C4268" s="25">
        <f>TEXT(A4268,"MMM-YYYY")</f>
        <v/>
      </c>
      <c r="D4268" s="40">
        <f>INT(A4268)-WEEKDAY(A4268,2)+1</f>
        <v/>
      </c>
      <c r="E4268" s="25" t="inlineStr">
        <is>
          <t>hsindwani</t>
        </is>
      </c>
      <c r="F4268" s="25" t="n">
        <v>129152</v>
      </c>
      <c r="G4268" s="25" t="n">
        <v>1</v>
      </c>
      <c r="H4268" s="25" t="n">
        <v>7</v>
      </c>
      <c r="I4268" s="25" t="inlineStr">
        <is>
          <t>40 second(s)</t>
        </is>
      </c>
      <c r="J4268" s="25">
        <f>IFERROR(VALUE(TRIM(LEFT(I4268,FIND("minute",I4268)-1)))*60,0)+IFERROR(VALUE(SUBSTITUTE(MID(I4268,IFERROR(FIND("and",I4268)+3,1),20),"second(s)","")),0)</f>
        <v/>
      </c>
      <c r="K4268" s="41">
        <f>J4268/60</f>
        <v/>
      </c>
      <c r="L4268" s="41">
        <f>IFERROR(J4268/H4268,"")</f>
        <v/>
      </c>
      <c r="M4268" s="25" t="inlineStr">
        <is>
          <t>2.5.12</t>
        </is>
      </c>
      <c r="N4268" s="25">
        <f>IF(J4268&gt;300,1,0)</f>
        <v/>
      </c>
      <c r="O4268" s="25">
        <f>IF(J4268&gt;600,1,0)</f>
        <v/>
      </c>
      <c r="P4268" s="25">
        <f>IF(H4268&gt;0,J4268,"")</f>
        <v/>
      </c>
      <c r="Q4268" s="25">
        <f>TEXT(A4268,"YYYY-MM-DD HH")</f>
        <v/>
      </c>
      <c r="R4268" s="25">
        <f>COUNTIF($Q$2:$Q$5295,Q4268)</f>
        <v/>
      </c>
      <c r="S4268" s="25">
        <f>IF(R4268&lt;=2,"1-2",IF(R4268&lt;=5,"3-5",IF(R4268&lt;=10,"6-10","11+")))</f>
        <v/>
      </c>
    </row>
    <row r="4269">
      <c r="A4269" s="39" t="n">
        <v>46223.30196759259</v>
      </c>
      <c r="B4269" s="25">
        <f>TEXT(A4269,"YYYY-MM")</f>
        <v/>
      </c>
      <c r="C4269" s="25">
        <f>TEXT(A4269,"MMM-YYYY")</f>
        <v/>
      </c>
      <c r="D4269" s="40">
        <f>INT(A4269)-WEEKDAY(A4269,2)+1</f>
        <v/>
      </c>
      <c r="E4269" s="25" t="inlineStr">
        <is>
          <t>emishra</t>
        </is>
      </c>
      <c r="F4269" s="25" t="n">
        <v>132995</v>
      </c>
      <c r="G4269" s="25" t="n">
        <v>1</v>
      </c>
      <c r="H4269" s="25" t="n">
        <v>7</v>
      </c>
      <c r="I4269" s="25" t="inlineStr">
        <is>
          <t>37 second(s)</t>
        </is>
      </c>
      <c r="J4269" s="25">
        <f>IFERROR(VALUE(TRIM(LEFT(I4269,FIND("minute",I4269)-1)))*60,0)+IFERROR(VALUE(SUBSTITUTE(MID(I4269,IFERROR(FIND("and",I4269)+3,1),20),"second(s)","")),0)</f>
        <v/>
      </c>
      <c r="K4269" s="41">
        <f>J4269/60</f>
        <v/>
      </c>
      <c r="L4269" s="41">
        <f>IFERROR(J4269/H4269,"")</f>
        <v/>
      </c>
      <c r="M4269" s="25" t="inlineStr">
        <is>
          <t>2.5.12</t>
        </is>
      </c>
      <c r="N4269" s="25">
        <f>IF(J4269&gt;300,1,0)</f>
        <v/>
      </c>
      <c r="O4269" s="25">
        <f>IF(J4269&gt;600,1,0)</f>
        <v/>
      </c>
      <c r="P4269" s="25">
        <f>IF(H4269&gt;0,J4269,"")</f>
        <v/>
      </c>
      <c r="Q4269" s="25">
        <f>TEXT(A4269,"YYYY-MM-DD HH")</f>
        <v/>
      </c>
      <c r="R4269" s="25">
        <f>COUNTIF($Q$2:$Q$5295,Q4269)</f>
        <v/>
      </c>
      <c r="S4269" s="25">
        <f>IF(R4269&lt;=2,"1-2",IF(R4269&lt;=5,"3-5",IF(R4269&lt;=10,"6-10","11+")))</f>
        <v/>
      </c>
    </row>
    <row r="4270">
      <c r="A4270" s="39" t="n">
        <v>46223.30273148148</v>
      </c>
      <c r="B4270" s="25">
        <f>TEXT(A4270,"YYYY-MM")</f>
        <v/>
      </c>
      <c r="C4270" s="25">
        <f>TEXT(A4270,"MMM-YYYY")</f>
        <v/>
      </c>
      <c r="D4270" s="40">
        <f>INT(A4270)-WEEKDAY(A4270,2)+1</f>
        <v/>
      </c>
      <c r="E4270" s="25" t="inlineStr">
        <is>
          <t>sdey</t>
        </is>
      </c>
      <c r="F4270" s="25" t="n">
        <v>131996</v>
      </c>
      <c r="G4270" s="25" t="n">
        <v>1</v>
      </c>
      <c r="H4270" s="25" t="n">
        <v>5</v>
      </c>
      <c r="I4270" s="25" t="inlineStr">
        <is>
          <t>24 second(s)</t>
        </is>
      </c>
      <c r="J4270" s="25">
        <f>IFERROR(VALUE(TRIM(LEFT(I4270,FIND("minute",I4270)-1)))*60,0)+IFERROR(VALUE(SUBSTITUTE(MID(I4270,IFERROR(FIND("and",I4270)+3,1),20),"second(s)","")),0)</f>
        <v/>
      </c>
      <c r="K4270" s="41">
        <f>J4270/60</f>
        <v/>
      </c>
      <c r="L4270" s="41">
        <f>IFERROR(J4270/H4270,"")</f>
        <v/>
      </c>
      <c r="M4270" s="25" t="inlineStr">
        <is>
          <t>2.5.12</t>
        </is>
      </c>
      <c r="N4270" s="25">
        <f>IF(J4270&gt;300,1,0)</f>
        <v/>
      </c>
      <c r="O4270" s="25">
        <f>IF(J4270&gt;600,1,0)</f>
        <v/>
      </c>
      <c r="P4270" s="25">
        <f>IF(H4270&gt;0,J4270,"")</f>
        <v/>
      </c>
      <c r="Q4270" s="25">
        <f>TEXT(A4270,"YYYY-MM-DD HH")</f>
        <v/>
      </c>
      <c r="R4270" s="25">
        <f>COUNTIF($Q$2:$Q$5295,Q4270)</f>
        <v/>
      </c>
      <c r="S4270" s="25">
        <f>IF(R4270&lt;=2,"1-2",IF(R4270&lt;=5,"3-5",IF(R4270&lt;=10,"6-10","11+")))</f>
        <v/>
      </c>
    </row>
    <row r="4271">
      <c r="A4271" s="39" t="n">
        <v>46223.30894675926</v>
      </c>
      <c r="B4271" s="25">
        <f>TEXT(A4271,"YYYY-MM")</f>
        <v/>
      </c>
      <c r="C4271" s="25">
        <f>TEXT(A4271,"MMM-YYYY")</f>
        <v/>
      </c>
      <c r="D4271" s="40">
        <f>INT(A4271)-WEEKDAY(A4271,2)+1</f>
        <v/>
      </c>
      <c r="E4271" s="25" t="inlineStr">
        <is>
          <t>asahoo</t>
        </is>
      </c>
      <c r="F4271" s="25" t="n">
        <v>129323</v>
      </c>
      <c r="G4271" s="25" t="n">
        <v>1</v>
      </c>
      <c r="H4271" s="25" t="n">
        <v>7</v>
      </c>
      <c r="I4271" s="25" t="inlineStr">
        <is>
          <t>42 second(s)</t>
        </is>
      </c>
      <c r="J4271" s="25">
        <f>IFERROR(VALUE(TRIM(LEFT(I4271,FIND("minute",I4271)-1)))*60,0)+IFERROR(VALUE(SUBSTITUTE(MID(I4271,IFERROR(FIND("and",I4271)+3,1),20),"second(s)","")),0)</f>
        <v/>
      </c>
      <c r="K4271" s="41">
        <f>J4271/60</f>
        <v/>
      </c>
      <c r="L4271" s="41">
        <f>IFERROR(J4271/H4271,"")</f>
        <v/>
      </c>
      <c r="M4271" s="25" t="inlineStr">
        <is>
          <t>2.5.12</t>
        </is>
      </c>
      <c r="N4271" s="25">
        <f>IF(J4271&gt;300,1,0)</f>
        <v/>
      </c>
      <c r="O4271" s="25">
        <f>IF(J4271&gt;600,1,0)</f>
        <v/>
      </c>
      <c r="P4271" s="25">
        <f>IF(H4271&gt;0,J4271,"")</f>
        <v/>
      </c>
      <c r="Q4271" s="25">
        <f>TEXT(A4271,"YYYY-MM-DD HH")</f>
        <v/>
      </c>
      <c r="R4271" s="25">
        <f>COUNTIF($Q$2:$Q$5295,Q4271)</f>
        <v/>
      </c>
      <c r="S4271" s="25">
        <f>IF(R4271&lt;=2,"1-2",IF(R4271&lt;=5,"3-5",IF(R4271&lt;=10,"6-10","11+")))</f>
        <v/>
      </c>
    </row>
    <row r="4272">
      <c r="A4272" s="39" t="n">
        <v>46223.30913194444</v>
      </c>
      <c r="B4272" s="25">
        <f>TEXT(A4272,"YYYY-MM")</f>
        <v/>
      </c>
      <c r="C4272" s="25">
        <f>TEXT(A4272,"MMM-YYYY")</f>
        <v/>
      </c>
      <c r="D4272" s="40">
        <f>INT(A4272)-WEEKDAY(A4272,2)+1</f>
        <v/>
      </c>
      <c r="E4272" s="25" t="inlineStr">
        <is>
          <t>ns</t>
        </is>
      </c>
      <c r="F4272" s="25" t="n">
        <v>128643</v>
      </c>
      <c r="G4272" s="25" t="n">
        <v>5</v>
      </c>
      <c r="H4272" s="25" t="n">
        <v>17</v>
      </c>
      <c r="I4272" s="25" t="inlineStr">
        <is>
          <t>1 minute(s) and 49 second(s)</t>
        </is>
      </c>
      <c r="J4272" s="25">
        <f>IFERROR(VALUE(TRIM(LEFT(I4272,FIND("minute",I4272)-1)))*60,0)+IFERROR(VALUE(SUBSTITUTE(MID(I4272,IFERROR(FIND("and",I4272)+3,1),20),"second(s)","")),0)</f>
        <v/>
      </c>
      <c r="K4272" s="41">
        <f>J4272/60</f>
        <v/>
      </c>
      <c r="L4272" s="41">
        <f>IFERROR(J4272/H4272,"")</f>
        <v/>
      </c>
      <c r="M4272" s="25" t="inlineStr">
        <is>
          <t>2.5.12</t>
        </is>
      </c>
      <c r="N4272" s="25">
        <f>IF(J4272&gt;300,1,0)</f>
        <v/>
      </c>
      <c r="O4272" s="25">
        <f>IF(J4272&gt;600,1,0)</f>
        <v/>
      </c>
      <c r="P4272" s="25">
        <f>IF(H4272&gt;0,J4272,"")</f>
        <v/>
      </c>
      <c r="Q4272" s="25">
        <f>TEXT(A4272,"YYYY-MM-DD HH")</f>
        <v/>
      </c>
      <c r="R4272" s="25">
        <f>COUNTIF($Q$2:$Q$5295,Q4272)</f>
        <v/>
      </c>
      <c r="S4272" s="25">
        <f>IF(R4272&lt;=2,"1-2",IF(R4272&lt;=5,"3-5",IF(R4272&lt;=10,"6-10","11+")))</f>
        <v/>
      </c>
    </row>
    <row r="4273">
      <c r="A4273" s="39" t="n">
        <v>46223.31174768518</v>
      </c>
      <c r="B4273" s="25">
        <f>TEXT(A4273,"YYYY-MM")</f>
        <v/>
      </c>
      <c r="C4273" s="25">
        <f>TEXT(A4273,"MMM-YYYY")</f>
        <v/>
      </c>
      <c r="D4273" s="40">
        <f>INT(A4273)-WEEKDAY(A4273,2)+1</f>
        <v/>
      </c>
      <c r="E4273" s="25" t="inlineStr">
        <is>
          <t>shasikha</t>
        </is>
      </c>
      <c r="F4273" s="25" t="n">
        <v>127920</v>
      </c>
      <c r="G4273" s="25" t="n">
        <v>2</v>
      </c>
      <c r="H4273" s="25" t="n">
        <v>12</v>
      </c>
      <c r="I4273" s="25" t="inlineStr">
        <is>
          <t>1 minute(s) and 12 second(s)</t>
        </is>
      </c>
      <c r="J4273" s="25">
        <f>IFERROR(VALUE(TRIM(LEFT(I4273,FIND("minute",I4273)-1)))*60,0)+IFERROR(VALUE(SUBSTITUTE(MID(I4273,IFERROR(FIND("and",I4273)+3,1),20),"second(s)","")),0)</f>
        <v/>
      </c>
      <c r="K4273" s="41">
        <f>J4273/60</f>
        <v/>
      </c>
      <c r="L4273" s="41">
        <f>IFERROR(J4273/H4273,"")</f>
        <v/>
      </c>
      <c r="M4273" s="25" t="inlineStr">
        <is>
          <t>2.5.12</t>
        </is>
      </c>
      <c r="N4273" s="25">
        <f>IF(J4273&gt;300,1,0)</f>
        <v/>
      </c>
      <c r="O4273" s="25">
        <f>IF(J4273&gt;600,1,0)</f>
        <v/>
      </c>
      <c r="P4273" s="25">
        <f>IF(H4273&gt;0,J4273,"")</f>
        <v/>
      </c>
      <c r="Q4273" s="25">
        <f>TEXT(A4273,"YYYY-MM-DD HH")</f>
        <v/>
      </c>
      <c r="R4273" s="25">
        <f>COUNTIF($Q$2:$Q$5295,Q4273)</f>
        <v/>
      </c>
      <c r="S4273" s="25">
        <f>IF(R4273&lt;=2,"1-2",IF(R4273&lt;=5,"3-5",IF(R4273&lt;=10,"6-10","11+")))</f>
        <v/>
      </c>
    </row>
    <row r="4274">
      <c r="A4274" s="39" t="n">
        <v>46223.32381944444</v>
      </c>
      <c r="B4274" s="25">
        <f>TEXT(A4274,"YYYY-MM")</f>
        <v/>
      </c>
      <c r="C4274" s="25">
        <f>TEXT(A4274,"MMM-YYYY")</f>
        <v/>
      </c>
      <c r="D4274" s="40">
        <f>INT(A4274)-WEEKDAY(A4274,2)+1</f>
        <v/>
      </c>
      <c r="E4274" s="25" t="inlineStr">
        <is>
          <t>psathwika</t>
        </is>
      </c>
      <c r="F4274" s="25" t="n">
        <v>128096</v>
      </c>
      <c r="G4274" s="25" t="n">
        <v>2</v>
      </c>
      <c r="H4274" s="25" t="n">
        <v>12</v>
      </c>
      <c r="I4274" s="25" t="inlineStr">
        <is>
          <t>1 minute(s) and 12 second(s)</t>
        </is>
      </c>
      <c r="J4274" s="25">
        <f>IFERROR(VALUE(TRIM(LEFT(I4274,FIND("minute",I4274)-1)))*60,0)+IFERROR(VALUE(SUBSTITUTE(MID(I4274,IFERROR(FIND("and",I4274)+3,1),20),"second(s)","")),0)</f>
        <v/>
      </c>
      <c r="K4274" s="41">
        <f>J4274/60</f>
        <v/>
      </c>
      <c r="L4274" s="41">
        <f>IFERROR(J4274/H4274,"")</f>
        <v/>
      </c>
      <c r="M4274" s="25" t="inlineStr">
        <is>
          <t>2.5.12</t>
        </is>
      </c>
      <c r="N4274" s="25">
        <f>IF(J4274&gt;300,1,0)</f>
        <v/>
      </c>
      <c r="O4274" s="25">
        <f>IF(J4274&gt;600,1,0)</f>
        <v/>
      </c>
      <c r="P4274" s="25">
        <f>IF(H4274&gt;0,J4274,"")</f>
        <v/>
      </c>
      <c r="Q4274" s="25">
        <f>TEXT(A4274,"YYYY-MM-DD HH")</f>
        <v/>
      </c>
      <c r="R4274" s="25">
        <f>COUNTIF($Q$2:$Q$5295,Q4274)</f>
        <v/>
      </c>
      <c r="S4274" s="25">
        <f>IF(R4274&lt;=2,"1-2",IF(R4274&lt;=5,"3-5",IF(R4274&lt;=10,"6-10","11+")))</f>
        <v/>
      </c>
    </row>
    <row r="4275">
      <c r="A4275" s="39" t="n">
        <v>46223.3266087963</v>
      </c>
      <c r="B4275" s="25">
        <f>TEXT(A4275,"YYYY-MM")</f>
        <v/>
      </c>
      <c r="C4275" s="25">
        <f>TEXT(A4275,"MMM-YYYY")</f>
        <v/>
      </c>
      <c r="D4275" s="40">
        <f>INT(A4275)-WEEKDAY(A4275,2)+1</f>
        <v/>
      </c>
      <c r="E4275" s="25" t="inlineStr">
        <is>
          <t>adey</t>
        </is>
      </c>
      <c r="F4275" s="25" t="n">
        <v>132619</v>
      </c>
      <c r="G4275" s="25" t="n">
        <v>1</v>
      </c>
      <c r="H4275" s="25" t="n">
        <v>5</v>
      </c>
      <c r="I4275" s="25" t="inlineStr">
        <is>
          <t>32 second(s)</t>
        </is>
      </c>
      <c r="J4275" s="25">
        <f>IFERROR(VALUE(TRIM(LEFT(I4275,FIND("minute",I4275)-1)))*60,0)+IFERROR(VALUE(SUBSTITUTE(MID(I4275,IFERROR(FIND("and",I4275)+3,1),20),"second(s)","")),0)</f>
        <v/>
      </c>
      <c r="K4275" s="41">
        <f>J4275/60</f>
        <v/>
      </c>
      <c r="L4275" s="41">
        <f>IFERROR(J4275/H4275,"")</f>
        <v/>
      </c>
      <c r="M4275" s="25" t="inlineStr">
        <is>
          <t>2.5.12</t>
        </is>
      </c>
      <c r="N4275" s="25">
        <f>IF(J4275&gt;300,1,0)</f>
        <v/>
      </c>
      <c r="O4275" s="25">
        <f>IF(J4275&gt;600,1,0)</f>
        <v/>
      </c>
      <c r="P4275" s="25">
        <f>IF(H4275&gt;0,J4275,"")</f>
        <v/>
      </c>
      <c r="Q4275" s="25">
        <f>TEXT(A4275,"YYYY-MM-DD HH")</f>
        <v/>
      </c>
      <c r="R4275" s="25">
        <f>COUNTIF($Q$2:$Q$5295,Q4275)</f>
        <v/>
      </c>
      <c r="S4275" s="25">
        <f>IF(R4275&lt;=2,"1-2",IF(R4275&lt;=5,"3-5",IF(R4275&lt;=10,"6-10","11+")))</f>
        <v/>
      </c>
    </row>
    <row r="4276">
      <c r="A4276" s="39" t="n">
        <v>46223.32690972222</v>
      </c>
      <c r="B4276" s="25">
        <f>TEXT(A4276,"YYYY-MM")</f>
        <v/>
      </c>
      <c r="C4276" s="25">
        <f>TEXT(A4276,"MMM-YYYY")</f>
        <v/>
      </c>
      <c r="D4276" s="40">
        <f>INT(A4276)-WEEKDAY(A4276,2)+1</f>
        <v/>
      </c>
      <c r="E4276" s="25" t="inlineStr">
        <is>
          <t>ethomas</t>
        </is>
      </c>
      <c r="F4276" s="25" t="n">
        <v>129072</v>
      </c>
      <c r="G4276" s="25" t="n">
        <v>1</v>
      </c>
      <c r="H4276" s="25" t="n">
        <v>5</v>
      </c>
      <c r="I4276" s="25" t="inlineStr">
        <is>
          <t>22 second(s)</t>
        </is>
      </c>
      <c r="J4276" s="25">
        <f>IFERROR(VALUE(TRIM(LEFT(I4276,FIND("minute",I4276)-1)))*60,0)+IFERROR(VALUE(SUBSTITUTE(MID(I4276,IFERROR(FIND("and",I4276)+3,1),20),"second(s)","")),0)</f>
        <v/>
      </c>
      <c r="K4276" s="41">
        <f>J4276/60</f>
        <v/>
      </c>
      <c r="L4276" s="41">
        <f>IFERROR(J4276/H4276,"")</f>
        <v/>
      </c>
      <c r="M4276" s="25" t="inlineStr">
        <is>
          <t>2.5.12</t>
        </is>
      </c>
      <c r="N4276" s="25">
        <f>IF(J4276&gt;300,1,0)</f>
        <v/>
      </c>
      <c r="O4276" s="25">
        <f>IF(J4276&gt;600,1,0)</f>
        <v/>
      </c>
      <c r="P4276" s="25">
        <f>IF(H4276&gt;0,J4276,"")</f>
        <v/>
      </c>
      <c r="Q4276" s="25">
        <f>TEXT(A4276,"YYYY-MM-DD HH")</f>
        <v/>
      </c>
      <c r="R4276" s="25">
        <f>COUNTIF($Q$2:$Q$5295,Q4276)</f>
        <v/>
      </c>
      <c r="S4276" s="25">
        <f>IF(R4276&lt;=2,"1-2",IF(R4276&lt;=5,"3-5",IF(R4276&lt;=10,"6-10","11+")))</f>
        <v/>
      </c>
    </row>
    <row r="4277">
      <c r="A4277" s="39" t="n">
        <v>46223.33364583334</v>
      </c>
      <c r="B4277" s="25">
        <f>TEXT(A4277,"YYYY-MM")</f>
        <v/>
      </c>
      <c r="C4277" s="25">
        <f>TEXT(A4277,"MMM-YYYY")</f>
        <v/>
      </c>
      <c r="D4277" s="40">
        <f>INT(A4277)-WEEKDAY(A4277,2)+1</f>
        <v/>
      </c>
      <c r="E4277" s="25" t="inlineStr">
        <is>
          <t>atiwari</t>
        </is>
      </c>
      <c r="F4277" s="25" t="n">
        <v>129059</v>
      </c>
      <c r="G4277" s="25" t="n">
        <v>4</v>
      </c>
      <c r="H4277" s="25" t="n">
        <v>26</v>
      </c>
      <c r="I4277" s="25" t="inlineStr">
        <is>
          <t>3 minute(s) and 9 second(s)</t>
        </is>
      </c>
      <c r="J4277" s="25">
        <f>IFERROR(VALUE(TRIM(LEFT(I4277,FIND("minute",I4277)-1)))*60,0)+IFERROR(VALUE(SUBSTITUTE(MID(I4277,IFERROR(FIND("and",I4277)+3,1),20),"second(s)","")),0)</f>
        <v/>
      </c>
      <c r="K4277" s="41">
        <f>J4277/60</f>
        <v/>
      </c>
      <c r="L4277" s="41">
        <f>IFERROR(J4277/H4277,"")</f>
        <v/>
      </c>
      <c r="M4277" s="25" t="inlineStr">
        <is>
          <t>2.5.12</t>
        </is>
      </c>
      <c r="N4277" s="25">
        <f>IF(J4277&gt;300,1,0)</f>
        <v/>
      </c>
      <c r="O4277" s="25">
        <f>IF(J4277&gt;600,1,0)</f>
        <v/>
      </c>
      <c r="P4277" s="25">
        <f>IF(H4277&gt;0,J4277,"")</f>
        <v/>
      </c>
      <c r="Q4277" s="25">
        <f>TEXT(A4277,"YYYY-MM-DD HH")</f>
        <v/>
      </c>
      <c r="R4277" s="25">
        <f>COUNTIF($Q$2:$Q$5295,Q4277)</f>
        <v/>
      </c>
      <c r="S4277" s="25">
        <f>IF(R4277&lt;=2,"1-2",IF(R4277&lt;=5,"3-5",IF(R4277&lt;=10,"6-10","11+")))</f>
        <v/>
      </c>
    </row>
    <row r="4278">
      <c r="A4278" s="39" t="n">
        <v>46223.33366898148</v>
      </c>
      <c r="B4278" s="25">
        <f>TEXT(A4278,"YYYY-MM")</f>
        <v/>
      </c>
      <c r="C4278" s="25">
        <f>TEXT(A4278,"MMM-YYYY")</f>
        <v/>
      </c>
      <c r="D4278" s="40">
        <f>INT(A4278)-WEEKDAY(A4278,2)+1</f>
        <v/>
      </c>
      <c r="E4278" s="25" t="inlineStr">
        <is>
          <t>ssneha</t>
        </is>
      </c>
      <c r="F4278" s="25" t="n">
        <v>131559</v>
      </c>
      <c r="G4278" s="25" t="n">
        <v>3</v>
      </c>
      <c r="H4278" s="25" t="n">
        <v>12</v>
      </c>
      <c r="I4278" s="25" t="inlineStr">
        <is>
          <t>1 minute(s) and 21 second(s)</t>
        </is>
      </c>
      <c r="J4278" s="25">
        <f>IFERROR(VALUE(TRIM(LEFT(I4278,FIND("minute",I4278)-1)))*60,0)+IFERROR(VALUE(SUBSTITUTE(MID(I4278,IFERROR(FIND("and",I4278)+3,1),20),"second(s)","")),0)</f>
        <v/>
      </c>
      <c r="K4278" s="41">
        <f>J4278/60</f>
        <v/>
      </c>
      <c r="L4278" s="41">
        <f>IFERROR(J4278/H4278,"")</f>
        <v/>
      </c>
      <c r="M4278" s="25" t="inlineStr">
        <is>
          <t>2.5.12</t>
        </is>
      </c>
      <c r="N4278" s="25">
        <f>IF(J4278&gt;300,1,0)</f>
        <v/>
      </c>
      <c r="O4278" s="25">
        <f>IF(J4278&gt;600,1,0)</f>
        <v/>
      </c>
      <c r="P4278" s="25">
        <f>IF(H4278&gt;0,J4278,"")</f>
        <v/>
      </c>
      <c r="Q4278" s="25">
        <f>TEXT(A4278,"YYYY-MM-DD HH")</f>
        <v/>
      </c>
      <c r="R4278" s="25">
        <f>COUNTIF($Q$2:$Q$5295,Q4278)</f>
        <v/>
      </c>
      <c r="S4278" s="25">
        <f>IF(R4278&lt;=2,"1-2",IF(R4278&lt;=5,"3-5",IF(R4278&lt;=10,"6-10","11+")))</f>
        <v/>
      </c>
    </row>
    <row r="4279">
      <c r="A4279" s="39" t="n">
        <v>46223.33842592593</v>
      </c>
      <c r="B4279" s="25">
        <f>TEXT(A4279,"YYYY-MM")</f>
        <v/>
      </c>
      <c r="C4279" s="25">
        <f>TEXT(A4279,"MMM-YYYY")</f>
        <v/>
      </c>
      <c r="D4279" s="40">
        <f>INT(A4279)-WEEKDAY(A4279,2)+1</f>
        <v/>
      </c>
      <c r="E4279" s="25" t="inlineStr">
        <is>
          <t>sdey</t>
        </is>
      </c>
      <c r="F4279" s="25" t="n">
        <v>132092</v>
      </c>
      <c r="G4279" s="25" t="n">
        <v>3</v>
      </c>
      <c r="H4279" s="25" t="n">
        <v>15</v>
      </c>
      <c r="I4279" s="25" t="inlineStr">
        <is>
          <t>1 minute(s) and 19 second(s)</t>
        </is>
      </c>
      <c r="J4279" s="25">
        <f>IFERROR(VALUE(TRIM(LEFT(I4279,FIND("minute",I4279)-1)))*60,0)+IFERROR(VALUE(SUBSTITUTE(MID(I4279,IFERROR(FIND("and",I4279)+3,1),20),"second(s)","")),0)</f>
        <v/>
      </c>
      <c r="K4279" s="41">
        <f>J4279/60</f>
        <v/>
      </c>
      <c r="L4279" s="41">
        <f>IFERROR(J4279/H4279,"")</f>
        <v/>
      </c>
      <c r="M4279" s="25" t="inlineStr">
        <is>
          <t>2.5.12</t>
        </is>
      </c>
      <c r="N4279" s="25">
        <f>IF(J4279&gt;300,1,0)</f>
        <v/>
      </c>
      <c r="O4279" s="25">
        <f>IF(J4279&gt;600,1,0)</f>
        <v/>
      </c>
      <c r="P4279" s="25">
        <f>IF(H4279&gt;0,J4279,"")</f>
        <v/>
      </c>
      <c r="Q4279" s="25">
        <f>TEXT(A4279,"YYYY-MM-DD HH")</f>
        <v/>
      </c>
      <c r="R4279" s="25">
        <f>COUNTIF($Q$2:$Q$5295,Q4279)</f>
        <v/>
      </c>
      <c r="S4279" s="25">
        <f>IF(R4279&lt;=2,"1-2",IF(R4279&lt;=5,"3-5",IF(R4279&lt;=10,"6-10","11+")))</f>
        <v/>
      </c>
    </row>
    <row r="4280">
      <c r="A4280" s="39" t="n">
        <v>46223.34288194445</v>
      </c>
      <c r="B4280" s="25">
        <f>TEXT(A4280,"YYYY-MM")</f>
        <v/>
      </c>
      <c r="C4280" s="25">
        <f>TEXT(A4280,"MMM-YYYY")</f>
        <v/>
      </c>
      <c r="D4280" s="40">
        <f>INT(A4280)-WEEKDAY(A4280,2)+1</f>
        <v/>
      </c>
      <c r="E4280" s="25" t="inlineStr">
        <is>
          <t>sthomas</t>
        </is>
      </c>
      <c r="F4280" s="25" t="n">
        <v>121125</v>
      </c>
      <c r="G4280" s="25" t="n">
        <v>1</v>
      </c>
      <c r="H4280" s="25" t="n">
        <v>5</v>
      </c>
      <c r="I4280" s="25" t="inlineStr">
        <is>
          <t>22 second(s)</t>
        </is>
      </c>
      <c r="J4280" s="25">
        <f>IFERROR(VALUE(TRIM(LEFT(I4280,FIND("minute",I4280)-1)))*60,0)+IFERROR(VALUE(SUBSTITUTE(MID(I4280,IFERROR(FIND("and",I4280)+3,1),20),"second(s)","")),0)</f>
        <v/>
      </c>
      <c r="K4280" s="41">
        <f>J4280/60</f>
        <v/>
      </c>
      <c r="L4280" s="41">
        <f>IFERROR(J4280/H4280,"")</f>
        <v/>
      </c>
      <c r="M4280" s="25" t="inlineStr">
        <is>
          <t>2.5.12</t>
        </is>
      </c>
      <c r="N4280" s="25">
        <f>IF(J4280&gt;300,1,0)</f>
        <v/>
      </c>
      <c r="O4280" s="25">
        <f>IF(J4280&gt;600,1,0)</f>
        <v/>
      </c>
      <c r="P4280" s="25">
        <f>IF(H4280&gt;0,J4280,"")</f>
        <v/>
      </c>
      <c r="Q4280" s="25">
        <f>TEXT(A4280,"YYYY-MM-DD HH")</f>
        <v/>
      </c>
      <c r="R4280" s="25">
        <f>COUNTIF($Q$2:$Q$5295,Q4280)</f>
        <v/>
      </c>
      <c r="S4280" s="25">
        <f>IF(R4280&lt;=2,"1-2",IF(R4280&lt;=5,"3-5",IF(R4280&lt;=10,"6-10","11+")))</f>
        <v/>
      </c>
    </row>
    <row r="4281">
      <c r="A4281" s="39" t="n">
        <v>46223.34513888889</v>
      </c>
      <c r="B4281" s="25">
        <f>TEXT(A4281,"YYYY-MM")</f>
        <v/>
      </c>
      <c r="C4281" s="25">
        <f>TEXT(A4281,"MMM-YYYY")</f>
        <v/>
      </c>
      <c r="D4281" s="40">
        <f>INT(A4281)-WEEKDAY(A4281,2)+1</f>
        <v/>
      </c>
      <c r="E4281" s="25" t="inlineStr">
        <is>
          <t>aupadhayay</t>
        </is>
      </c>
      <c r="F4281" s="25" t="n">
        <v>130835</v>
      </c>
      <c r="G4281" s="25" t="n">
        <v>2</v>
      </c>
      <c r="H4281" s="25" t="n">
        <v>10</v>
      </c>
      <c r="I4281" s="25" t="inlineStr">
        <is>
          <t>53 second(s)</t>
        </is>
      </c>
      <c r="J4281" s="25">
        <f>IFERROR(VALUE(TRIM(LEFT(I4281,FIND("minute",I4281)-1)))*60,0)+IFERROR(VALUE(SUBSTITUTE(MID(I4281,IFERROR(FIND("and",I4281)+3,1),20),"second(s)","")),0)</f>
        <v/>
      </c>
      <c r="K4281" s="41">
        <f>J4281/60</f>
        <v/>
      </c>
      <c r="L4281" s="41">
        <f>IFERROR(J4281/H4281,"")</f>
        <v/>
      </c>
      <c r="M4281" s="25" t="inlineStr">
        <is>
          <t>2.5.12</t>
        </is>
      </c>
      <c r="N4281" s="25">
        <f>IF(J4281&gt;300,1,0)</f>
        <v/>
      </c>
      <c r="O4281" s="25">
        <f>IF(J4281&gt;600,1,0)</f>
        <v/>
      </c>
      <c r="P4281" s="25">
        <f>IF(H4281&gt;0,J4281,"")</f>
        <v/>
      </c>
      <c r="Q4281" s="25">
        <f>TEXT(A4281,"YYYY-MM-DD HH")</f>
        <v/>
      </c>
      <c r="R4281" s="25">
        <f>COUNTIF($Q$2:$Q$5295,Q4281)</f>
        <v/>
      </c>
      <c r="S4281" s="25">
        <f>IF(R4281&lt;=2,"1-2",IF(R4281&lt;=5,"3-5",IF(R4281&lt;=10,"6-10","11+")))</f>
        <v/>
      </c>
    </row>
    <row r="4282">
      <c r="A4282" s="39" t="n">
        <v>46223.34681712963</v>
      </c>
      <c r="B4282" s="25">
        <f>TEXT(A4282,"YYYY-MM")</f>
        <v/>
      </c>
      <c r="C4282" s="25">
        <f>TEXT(A4282,"MMM-YYYY")</f>
        <v/>
      </c>
      <c r="D4282" s="40">
        <f>INT(A4282)-WEEKDAY(A4282,2)+1</f>
        <v/>
      </c>
      <c r="E4282" s="25" t="inlineStr">
        <is>
          <t>sswati</t>
        </is>
      </c>
      <c r="F4282" s="25" t="n">
        <v>128680</v>
      </c>
      <c r="G4282" s="25" t="n">
        <v>3</v>
      </c>
      <c r="H4282" s="25" t="n">
        <v>11</v>
      </c>
      <c r="I4282" s="25" t="inlineStr">
        <is>
          <t>1 minute(s) and 6 second(s)</t>
        </is>
      </c>
      <c r="J4282" s="25">
        <f>IFERROR(VALUE(TRIM(LEFT(I4282,FIND("minute",I4282)-1)))*60,0)+IFERROR(VALUE(SUBSTITUTE(MID(I4282,IFERROR(FIND("and",I4282)+3,1),20),"second(s)","")),0)</f>
        <v/>
      </c>
      <c r="K4282" s="41">
        <f>J4282/60</f>
        <v/>
      </c>
      <c r="L4282" s="41">
        <f>IFERROR(J4282/H4282,"")</f>
        <v/>
      </c>
      <c r="M4282" s="25" t="inlineStr">
        <is>
          <t>2.5.12</t>
        </is>
      </c>
      <c r="N4282" s="25">
        <f>IF(J4282&gt;300,1,0)</f>
        <v/>
      </c>
      <c r="O4282" s="25">
        <f>IF(J4282&gt;600,1,0)</f>
        <v/>
      </c>
      <c r="P4282" s="25">
        <f>IF(H4282&gt;0,J4282,"")</f>
        <v/>
      </c>
      <c r="Q4282" s="25">
        <f>TEXT(A4282,"YYYY-MM-DD HH")</f>
        <v/>
      </c>
      <c r="R4282" s="25">
        <f>COUNTIF($Q$2:$Q$5295,Q4282)</f>
        <v/>
      </c>
      <c r="S4282" s="25">
        <f>IF(R4282&lt;=2,"1-2",IF(R4282&lt;=5,"3-5",IF(R4282&lt;=10,"6-10","11+")))</f>
        <v/>
      </c>
    </row>
    <row r="4283">
      <c r="A4283" s="39" t="n">
        <v>46223.35417824074</v>
      </c>
      <c r="B4283" s="25">
        <f>TEXT(A4283,"YYYY-MM")</f>
        <v/>
      </c>
      <c r="C4283" s="25">
        <f>TEXT(A4283,"MMM-YYYY")</f>
        <v/>
      </c>
      <c r="D4283" s="40">
        <f>INT(A4283)-WEEKDAY(A4283,2)+1</f>
        <v/>
      </c>
      <c r="E4283" s="25" t="inlineStr">
        <is>
          <t>aghosh</t>
        </is>
      </c>
      <c r="F4283" s="25" t="n">
        <v>128875</v>
      </c>
      <c r="G4283" s="25" t="n">
        <v>4</v>
      </c>
      <c r="H4283" s="25" t="n">
        <v>14</v>
      </c>
      <c r="I4283" s="25" t="inlineStr">
        <is>
          <t>2 minute(s) and 18 second(s)</t>
        </is>
      </c>
      <c r="J4283" s="25">
        <f>IFERROR(VALUE(TRIM(LEFT(I4283,FIND("minute",I4283)-1)))*60,0)+IFERROR(VALUE(SUBSTITUTE(MID(I4283,IFERROR(FIND("and",I4283)+3,1),20),"second(s)","")),0)</f>
        <v/>
      </c>
      <c r="K4283" s="41">
        <f>J4283/60</f>
        <v/>
      </c>
      <c r="L4283" s="41">
        <f>IFERROR(J4283/H4283,"")</f>
        <v/>
      </c>
      <c r="M4283" s="25" t="inlineStr">
        <is>
          <t>2.5.12</t>
        </is>
      </c>
      <c r="N4283" s="25">
        <f>IF(J4283&gt;300,1,0)</f>
        <v/>
      </c>
      <c r="O4283" s="25">
        <f>IF(J4283&gt;600,1,0)</f>
        <v/>
      </c>
      <c r="P4283" s="25">
        <f>IF(H4283&gt;0,J4283,"")</f>
        <v/>
      </c>
      <c r="Q4283" s="25">
        <f>TEXT(A4283,"YYYY-MM-DD HH")</f>
        <v/>
      </c>
      <c r="R4283" s="25">
        <f>COUNTIF($Q$2:$Q$5295,Q4283)</f>
        <v/>
      </c>
      <c r="S4283" s="25">
        <f>IF(R4283&lt;=2,"1-2",IF(R4283&lt;=5,"3-5",IF(R4283&lt;=10,"6-10","11+")))</f>
        <v/>
      </c>
    </row>
    <row r="4284">
      <c r="A4284" s="39" t="n">
        <v>46223.35755787037</v>
      </c>
      <c r="B4284" s="25">
        <f>TEXT(A4284,"YYYY-MM")</f>
        <v/>
      </c>
      <c r="C4284" s="25">
        <f>TEXT(A4284,"MMM-YYYY")</f>
        <v/>
      </c>
      <c r="D4284" s="40">
        <f>INT(A4284)-WEEKDAY(A4284,2)+1</f>
        <v/>
      </c>
      <c r="E4284" s="25" t="inlineStr">
        <is>
          <t>mgupta</t>
        </is>
      </c>
      <c r="F4284" s="25" t="n">
        <v>129504</v>
      </c>
      <c r="G4284" s="25" t="n">
        <v>4</v>
      </c>
      <c r="H4284" s="25" t="n">
        <v>20</v>
      </c>
      <c r="I4284" s="25" t="inlineStr">
        <is>
          <t>1 minute(s) and 33 second(s)</t>
        </is>
      </c>
      <c r="J4284" s="25">
        <f>IFERROR(VALUE(TRIM(LEFT(I4284,FIND("minute",I4284)-1)))*60,0)+IFERROR(VALUE(SUBSTITUTE(MID(I4284,IFERROR(FIND("and",I4284)+3,1),20),"second(s)","")),0)</f>
        <v/>
      </c>
      <c r="K4284" s="41">
        <f>J4284/60</f>
        <v/>
      </c>
      <c r="L4284" s="41">
        <f>IFERROR(J4284/H4284,"")</f>
        <v/>
      </c>
      <c r="M4284" s="25" t="inlineStr">
        <is>
          <t>2.5.12</t>
        </is>
      </c>
      <c r="N4284" s="25">
        <f>IF(J4284&gt;300,1,0)</f>
        <v/>
      </c>
      <c r="O4284" s="25">
        <f>IF(J4284&gt;600,1,0)</f>
        <v/>
      </c>
      <c r="P4284" s="25">
        <f>IF(H4284&gt;0,J4284,"")</f>
        <v/>
      </c>
      <c r="Q4284" s="25">
        <f>TEXT(A4284,"YYYY-MM-DD HH")</f>
        <v/>
      </c>
      <c r="R4284" s="25">
        <f>COUNTIF($Q$2:$Q$5295,Q4284)</f>
        <v/>
      </c>
      <c r="S4284" s="25">
        <f>IF(R4284&lt;=2,"1-2",IF(R4284&lt;=5,"3-5",IF(R4284&lt;=10,"6-10","11+")))</f>
        <v/>
      </c>
    </row>
    <row r="4285">
      <c r="A4285" s="39" t="n">
        <v>46223.35952546296</v>
      </c>
      <c r="B4285" s="25">
        <f>TEXT(A4285,"YYYY-MM")</f>
        <v/>
      </c>
      <c r="C4285" s="25">
        <f>TEXT(A4285,"MMM-YYYY")</f>
        <v/>
      </c>
      <c r="D4285" s="40">
        <f>INT(A4285)-WEEKDAY(A4285,2)+1</f>
        <v/>
      </c>
      <c r="E4285" s="25" t="inlineStr">
        <is>
          <t>shassan</t>
        </is>
      </c>
      <c r="F4285" s="25" t="n">
        <v>127983</v>
      </c>
      <c r="G4285" s="25" t="n">
        <v>4</v>
      </c>
      <c r="H4285" s="25" t="n">
        <v>20</v>
      </c>
      <c r="I4285" s="25" t="inlineStr">
        <is>
          <t>1 minute(s) and 55 second(s)</t>
        </is>
      </c>
      <c r="J4285" s="25">
        <f>IFERROR(VALUE(TRIM(LEFT(I4285,FIND("minute",I4285)-1)))*60,0)+IFERROR(VALUE(SUBSTITUTE(MID(I4285,IFERROR(FIND("and",I4285)+3,1),20),"second(s)","")),0)</f>
        <v/>
      </c>
      <c r="K4285" s="41">
        <f>J4285/60</f>
        <v/>
      </c>
      <c r="L4285" s="41">
        <f>IFERROR(J4285/H4285,"")</f>
        <v/>
      </c>
      <c r="M4285" s="25" t="inlineStr">
        <is>
          <t>2.5.12</t>
        </is>
      </c>
      <c r="N4285" s="25">
        <f>IF(J4285&gt;300,1,0)</f>
        <v/>
      </c>
      <c r="O4285" s="25">
        <f>IF(J4285&gt;600,1,0)</f>
        <v/>
      </c>
      <c r="P4285" s="25">
        <f>IF(H4285&gt;0,J4285,"")</f>
        <v/>
      </c>
      <c r="Q4285" s="25">
        <f>TEXT(A4285,"YYYY-MM-DD HH")</f>
        <v/>
      </c>
      <c r="R4285" s="25">
        <f>COUNTIF($Q$2:$Q$5295,Q4285)</f>
        <v/>
      </c>
      <c r="S4285" s="25">
        <f>IF(R4285&lt;=2,"1-2",IF(R4285&lt;=5,"3-5",IF(R4285&lt;=10,"6-10","11+")))</f>
        <v/>
      </c>
    </row>
    <row r="4286">
      <c r="A4286" s="39" t="n">
        <v>46223.36115740741</v>
      </c>
      <c r="B4286" s="25">
        <f>TEXT(A4286,"YYYY-MM")</f>
        <v/>
      </c>
      <c r="C4286" s="25">
        <f>TEXT(A4286,"MMM-YYYY")</f>
        <v/>
      </c>
      <c r="D4286" s="40">
        <f>INT(A4286)-WEEKDAY(A4286,2)+1</f>
        <v/>
      </c>
      <c r="E4286" s="25" t="inlineStr">
        <is>
          <t>bverma</t>
        </is>
      </c>
      <c r="F4286" s="25" t="n">
        <v>129259</v>
      </c>
      <c r="G4286" s="25" t="n">
        <v>1</v>
      </c>
      <c r="H4286" s="25" t="n">
        <v>7</v>
      </c>
      <c r="I4286" s="25" t="inlineStr">
        <is>
          <t>45 second(s)</t>
        </is>
      </c>
      <c r="J4286" s="25">
        <f>IFERROR(VALUE(TRIM(LEFT(I4286,FIND("minute",I4286)-1)))*60,0)+IFERROR(VALUE(SUBSTITUTE(MID(I4286,IFERROR(FIND("and",I4286)+3,1),20),"second(s)","")),0)</f>
        <v/>
      </c>
      <c r="K4286" s="41">
        <f>J4286/60</f>
        <v/>
      </c>
      <c r="L4286" s="41">
        <f>IFERROR(J4286/H4286,"")</f>
        <v/>
      </c>
      <c r="M4286" s="25" t="inlineStr">
        <is>
          <t>2.5.12</t>
        </is>
      </c>
      <c r="N4286" s="25">
        <f>IF(J4286&gt;300,1,0)</f>
        <v/>
      </c>
      <c r="O4286" s="25">
        <f>IF(J4286&gt;600,1,0)</f>
        <v/>
      </c>
      <c r="P4286" s="25">
        <f>IF(H4286&gt;0,J4286,"")</f>
        <v/>
      </c>
      <c r="Q4286" s="25">
        <f>TEXT(A4286,"YYYY-MM-DD HH")</f>
        <v/>
      </c>
      <c r="R4286" s="25">
        <f>COUNTIF($Q$2:$Q$5295,Q4286)</f>
        <v/>
      </c>
      <c r="S4286" s="25">
        <f>IF(R4286&lt;=2,"1-2",IF(R4286&lt;=5,"3-5",IF(R4286&lt;=10,"6-10","11+")))</f>
        <v/>
      </c>
    </row>
    <row r="4287">
      <c r="A4287" s="39" t="n">
        <v>46223.36576388889</v>
      </c>
      <c r="B4287" s="25">
        <f>TEXT(A4287,"YYYY-MM")</f>
        <v/>
      </c>
      <c r="C4287" s="25">
        <f>TEXT(A4287,"MMM-YYYY")</f>
        <v/>
      </c>
      <c r="D4287" s="40">
        <f>INT(A4287)-WEEKDAY(A4287,2)+1</f>
        <v/>
      </c>
      <c r="E4287" s="25" t="inlineStr">
        <is>
          <t>ethomas</t>
        </is>
      </c>
      <c r="F4287" s="25" t="n">
        <v>128816</v>
      </c>
      <c r="G4287" s="25" t="n">
        <v>3</v>
      </c>
      <c r="H4287" s="25" t="n">
        <v>13</v>
      </c>
      <c r="I4287" s="25" t="inlineStr">
        <is>
          <t>1 minute(s) and 3 second(s)</t>
        </is>
      </c>
      <c r="J4287" s="25">
        <f>IFERROR(VALUE(TRIM(LEFT(I4287,FIND("minute",I4287)-1)))*60,0)+IFERROR(VALUE(SUBSTITUTE(MID(I4287,IFERROR(FIND("and",I4287)+3,1),20),"second(s)","")),0)</f>
        <v/>
      </c>
      <c r="K4287" s="41">
        <f>J4287/60</f>
        <v/>
      </c>
      <c r="L4287" s="41">
        <f>IFERROR(J4287/H4287,"")</f>
        <v/>
      </c>
      <c r="M4287" s="25" t="inlineStr">
        <is>
          <t>2.5.12</t>
        </is>
      </c>
      <c r="N4287" s="25">
        <f>IF(J4287&gt;300,1,0)</f>
        <v/>
      </c>
      <c r="O4287" s="25">
        <f>IF(J4287&gt;600,1,0)</f>
        <v/>
      </c>
      <c r="P4287" s="25">
        <f>IF(H4287&gt;0,J4287,"")</f>
        <v/>
      </c>
      <c r="Q4287" s="25">
        <f>TEXT(A4287,"YYYY-MM-DD HH")</f>
        <v/>
      </c>
      <c r="R4287" s="25">
        <f>COUNTIF($Q$2:$Q$5295,Q4287)</f>
        <v/>
      </c>
      <c r="S4287" s="25">
        <f>IF(R4287&lt;=2,"1-2",IF(R4287&lt;=5,"3-5",IF(R4287&lt;=10,"6-10","11+")))</f>
        <v/>
      </c>
    </row>
    <row r="4288">
      <c r="A4288" s="39" t="n">
        <v>46223.36927083333</v>
      </c>
      <c r="B4288" s="25">
        <f>TEXT(A4288,"YYYY-MM")</f>
        <v/>
      </c>
      <c r="C4288" s="25">
        <f>TEXT(A4288,"MMM-YYYY")</f>
        <v/>
      </c>
      <c r="D4288" s="40">
        <f>INT(A4288)-WEEKDAY(A4288,2)+1</f>
        <v/>
      </c>
      <c r="E4288" s="25" t="inlineStr">
        <is>
          <t>emishra</t>
        </is>
      </c>
      <c r="F4288" s="25" t="n">
        <v>133011</v>
      </c>
      <c r="G4288" s="25" t="n">
        <v>4</v>
      </c>
      <c r="H4288" s="25" t="n">
        <v>26</v>
      </c>
      <c r="I4288" s="25" t="inlineStr">
        <is>
          <t>2 minute(s) and 10 second(s)</t>
        </is>
      </c>
      <c r="J4288" s="25">
        <f>IFERROR(VALUE(TRIM(LEFT(I4288,FIND("minute",I4288)-1)))*60,0)+IFERROR(VALUE(SUBSTITUTE(MID(I4288,IFERROR(FIND("and",I4288)+3,1),20),"second(s)","")),0)</f>
        <v/>
      </c>
      <c r="K4288" s="41">
        <f>J4288/60</f>
        <v/>
      </c>
      <c r="L4288" s="41">
        <f>IFERROR(J4288/H4288,"")</f>
        <v/>
      </c>
      <c r="M4288" s="25" t="inlineStr">
        <is>
          <t>2.5.12</t>
        </is>
      </c>
      <c r="N4288" s="25">
        <f>IF(J4288&gt;300,1,0)</f>
        <v/>
      </c>
      <c r="O4288" s="25">
        <f>IF(J4288&gt;600,1,0)</f>
        <v/>
      </c>
      <c r="P4288" s="25">
        <f>IF(H4288&gt;0,J4288,"")</f>
        <v/>
      </c>
      <c r="Q4288" s="25">
        <f>TEXT(A4288,"YYYY-MM-DD HH")</f>
        <v/>
      </c>
      <c r="R4288" s="25">
        <f>COUNTIF($Q$2:$Q$5295,Q4288)</f>
        <v/>
      </c>
      <c r="S4288" s="25">
        <f>IF(R4288&lt;=2,"1-2",IF(R4288&lt;=5,"3-5",IF(R4288&lt;=10,"6-10","11+")))</f>
        <v/>
      </c>
    </row>
    <row r="4289">
      <c r="A4289" s="39" t="n">
        <v>46223.37165509259</v>
      </c>
      <c r="B4289" s="25">
        <f>TEXT(A4289,"YYYY-MM")</f>
        <v/>
      </c>
      <c r="C4289" s="25">
        <f>TEXT(A4289,"MMM-YYYY")</f>
        <v/>
      </c>
      <c r="D4289" s="40">
        <f>INT(A4289)-WEEKDAY(A4289,2)+1</f>
        <v/>
      </c>
      <c r="E4289" s="25" t="inlineStr">
        <is>
          <t>csaha</t>
        </is>
      </c>
      <c r="F4289" s="25" t="n">
        <v>132755</v>
      </c>
      <c r="G4289" s="25" t="n">
        <v>2</v>
      </c>
      <c r="H4289" s="25" t="n">
        <v>6</v>
      </c>
      <c r="I4289" s="25" t="inlineStr">
        <is>
          <t>38 second(s)</t>
        </is>
      </c>
      <c r="J4289" s="25">
        <f>IFERROR(VALUE(TRIM(LEFT(I4289,FIND("minute",I4289)-1)))*60,0)+IFERROR(VALUE(SUBSTITUTE(MID(I4289,IFERROR(FIND("and",I4289)+3,1),20),"second(s)","")),0)</f>
        <v/>
      </c>
      <c r="K4289" s="41">
        <f>J4289/60</f>
        <v/>
      </c>
      <c r="L4289" s="41">
        <f>IFERROR(J4289/H4289,"")</f>
        <v/>
      </c>
      <c r="M4289" s="25" t="inlineStr">
        <is>
          <t>2.5.12</t>
        </is>
      </c>
      <c r="N4289" s="25">
        <f>IF(J4289&gt;300,1,0)</f>
        <v/>
      </c>
      <c r="O4289" s="25">
        <f>IF(J4289&gt;600,1,0)</f>
        <v/>
      </c>
      <c r="P4289" s="25">
        <f>IF(H4289&gt;0,J4289,"")</f>
        <v/>
      </c>
      <c r="Q4289" s="25">
        <f>TEXT(A4289,"YYYY-MM-DD HH")</f>
        <v/>
      </c>
      <c r="R4289" s="25">
        <f>COUNTIF($Q$2:$Q$5295,Q4289)</f>
        <v/>
      </c>
      <c r="S4289" s="25">
        <f>IF(R4289&lt;=2,"1-2",IF(R4289&lt;=5,"3-5",IF(R4289&lt;=10,"6-10","11+")))</f>
        <v/>
      </c>
    </row>
    <row r="4290">
      <c r="A4290" s="39" t="n">
        <v>46223.37461805555</v>
      </c>
      <c r="B4290" s="25">
        <f>TEXT(A4290,"YYYY-MM")</f>
        <v/>
      </c>
      <c r="C4290" s="25">
        <f>TEXT(A4290,"MMM-YYYY")</f>
        <v/>
      </c>
      <c r="D4290" s="40">
        <f>INT(A4290)-WEEKDAY(A4290,2)+1</f>
        <v/>
      </c>
      <c r="E4290" s="25" t="inlineStr">
        <is>
          <t>ns</t>
        </is>
      </c>
      <c r="F4290" s="25" t="n">
        <v>128539</v>
      </c>
      <c r="G4290" s="25" t="n">
        <v>4</v>
      </c>
      <c r="H4290" s="25" t="n">
        <v>20</v>
      </c>
      <c r="I4290" s="25" t="inlineStr">
        <is>
          <t>2 minute(s) and 35 second(s)</t>
        </is>
      </c>
      <c r="J4290" s="25">
        <f>IFERROR(VALUE(TRIM(LEFT(I4290,FIND("minute",I4290)-1)))*60,0)+IFERROR(VALUE(SUBSTITUTE(MID(I4290,IFERROR(FIND("and",I4290)+3,1),20),"second(s)","")),0)</f>
        <v/>
      </c>
      <c r="K4290" s="41">
        <f>J4290/60</f>
        <v/>
      </c>
      <c r="L4290" s="41">
        <f>IFERROR(J4290/H4290,"")</f>
        <v/>
      </c>
      <c r="M4290" s="25" t="inlineStr">
        <is>
          <t>2.5.12</t>
        </is>
      </c>
      <c r="N4290" s="25">
        <f>IF(J4290&gt;300,1,0)</f>
        <v/>
      </c>
      <c r="O4290" s="25">
        <f>IF(J4290&gt;600,1,0)</f>
        <v/>
      </c>
      <c r="P4290" s="25">
        <f>IF(H4290&gt;0,J4290,"")</f>
        <v/>
      </c>
      <c r="Q4290" s="25">
        <f>TEXT(A4290,"YYYY-MM-DD HH")</f>
        <v/>
      </c>
      <c r="R4290" s="25">
        <f>COUNTIF($Q$2:$Q$5295,Q4290)</f>
        <v/>
      </c>
      <c r="S4290" s="25">
        <f>IF(R4290&lt;=2,"1-2",IF(R4290&lt;=5,"3-5",IF(R4290&lt;=10,"6-10","11+")))</f>
        <v/>
      </c>
    </row>
    <row r="4291">
      <c r="A4291" s="39" t="n">
        <v>46223.37524305555</v>
      </c>
      <c r="B4291" s="25">
        <f>TEXT(A4291,"YYYY-MM")</f>
        <v/>
      </c>
      <c r="C4291" s="25">
        <f>TEXT(A4291,"MMM-YYYY")</f>
        <v/>
      </c>
      <c r="D4291" s="40">
        <f>INT(A4291)-WEEKDAY(A4291,2)+1</f>
        <v/>
      </c>
      <c r="E4291" s="25" t="inlineStr">
        <is>
          <t>sthomas</t>
        </is>
      </c>
      <c r="F4291" s="25" t="n">
        <v>132960</v>
      </c>
      <c r="G4291" s="25" t="n">
        <v>4</v>
      </c>
      <c r="H4291" s="25" t="n">
        <v>24</v>
      </c>
      <c r="I4291" s="25" t="inlineStr">
        <is>
          <t>2 minute(s) and 54 second(s)</t>
        </is>
      </c>
      <c r="J4291" s="25">
        <f>IFERROR(VALUE(TRIM(LEFT(I4291,FIND("minute",I4291)-1)))*60,0)+IFERROR(VALUE(SUBSTITUTE(MID(I4291,IFERROR(FIND("and",I4291)+3,1),20),"second(s)","")),0)</f>
        <v/>
      </c>
      <c r="K4291" s="41">
        <f>J4291/60</f>
        <v/>
      </c>
      <c r="L4291" s="41">
        <f>IFERROR(J4291/H4291,"")</f>
        <v/>
      </c>
      <c r="M4291" s="25" t="inlineStr">
        <is>
          <t>2.5.12</t>
        </is>
      </c>
      <c r="N4291" s="25">
        <f>IF(J4291&gt;300,1,0)</f>
        <v/>
      </c>
      <c r="O4291" s="25">
        <f>IF(J4291&gt;600,1,0)</f>
        <v/>
      </c>
      <c r="P4291" s="25">
        <f>IF(H4291&gt;0,J4291,"")</f>
        <v/>
      </c>
      <c r="Q4291" s="25">
        <f>TEXT(A4291,"YYYY-MM-DD HH")</f>
        <v/>
      </c>
      <c r="R4291" s="25">
        <f>COUNTIF($Q$2:$Q$5295,Q4291)</f>
        <v/>
      </c>
      <c r="S4291" s="25">
        <f>IF(R4291&lt;=2,"1-2",IF(R4291&lt;=5,"3-5",IF(R4291&lt;=10,"6-10","11+")))</f>
        <v/>
      </c>
    </row>
    <row r="4292">
      <c r="A4292" s="39" t="n">
        <v>46223.37962962963</v>
      </c>
      <c r="B4292" s="25">
        <f>TEXT(A4292,"YYYY-MM")</f>
        <v/>
      </c>
      <c r="C4292" s="25">
        <f>TEXT(A4292,"MMM-YYYY")</f>
        <v/>
      </c>
      <c r="D4292" s="40">
        <f>INT(A4292)-WEEKDAY(A4292,2)+1</f>
        <v/>
      </c>
      <c r="E4292" s="25" t="inlineStr">
        <is>
          <t>ssneha</t>
        </is>
      </c>
      <c r="F4292" s="25" t="n">
        <v>128344</v>
      </c>
      <c r="G4292" s="25" t="n">
        <v>4</v>
      </c>
      <c r="H4292" s="25" t="n">
        <v>20</v>
      </c>
      <c r="I4292" s="25" t="inlineStr">
        <is>
          <t>2 minute(s) and 3 second(s)</t>
        </is>
      </c>
      <c r="J4292" s="25">
        <f>IFERROR(VALUE(TRIM(LEFT(I4292,FIND("minute",I4292)-1)))*60,0)+IFERROR(VALUE(SUBSTITUTE(MID(I4292,IFERROR(FIND("and",I4292)+3,1),20),"second(s)","")),0)</f>
        <v/>
      </c>
      <c r="K4292" s="41">
        <f>J4292/60</f>
        <v/>
      </c>
      <c r="L4292" s="41">
        <f>IFERROR(J4292/H4292,"")</f>
        <v/>
      </c>
      <c r="M4292" s="25" t="inlineStr">
        <is>
          <t>2.5.12</t>
        </is>
      </c>
      <c r="N4292" s="25">
        <f>IF(J4292&gt;300,1,0)</f>
        <v/>
      </c>
      <c r="O4292" s="25">
        <f>IF(J4292&gt;600,1,0)</f>
        <v/>
      </c>
      <c r="P4292" s="25">
        <f>IF(H4292&gt;0,J4292,"")</f>
        <v/>
      </c>
      <c r="Q4292" s="25">
        <f>TEXT(A4292,"YYYY-MM-DD HH")</f>
        <v/>
      </c>
      <c r="R4292" s="25">
        <f>COUNTIF($Q$2:$Q$5295,Q4292)</f>
        <v/>
      </c>
      <c r="S4292" s="25">
        <f>IF(R4292&lt;=2,"1-2",IF(R4292&lt;=5,"3-5",IF(R4292&lt;=10,"6-10","11+")))</f>
        <v/>
      </c>
    </row>
    <row r="4293">
      <c r="A4293" s="39" t="n">
        <v>46223.38473379629</v>
      </c>
      <c r="B4293" s="25">
        <f>TEXT(A4293,"YYYY-MM")</f>
        <v/>
      </c>
      <c r="C4293" s="25">
        <f>TEXT(A4293,"MMM-YYYY")</f>
        <v/>
      </c>
      <c r="D4293" s="40">
        <f>INT(A4293)-WEEKDAY(A4293,2)+1</f>
        <v/>
      </c>
      <c r="E4293" s="25" t="inlineStr">
        <is>
          <t>psathwika</t>
        </is>
      </c>
      <c r="F4293" s="25" t="n">
        <v>129696</v>
      </c>
      <c r="G4293" s="25" t="n">
        <v>4</v>
      </c>
      <c r="H4293" s="25" t="n">
        <v>20</v>
      </c>
      <c r="I4293" s="25" t="inlineStr">
        <is>
          <t>2 minute(s) and 51 second(s)</t>
        </is>
      </c>
      <c r="J4293" s="25">
        <f>IFERROR(VALUE(TRIM(LEFT(I4293,FIND("minute",I4293)-1)))*60,0)+IFERROR(VALUE(SUBSTITUTE(MID(I4293,IFERROR(FIND("and",I4293)+3,1),20),"second(s)","")),0)</f>
        <v/>
      </c>
      <c r="K4293" s="41">
        <f>J4293/60</f>
        <v/>
      </c>
      <c r="L4293" s="41">
        <f>IFERROR(J4293/H4293,"")</f>
        <v/>
      </c>
      <c r="M4293" s="25" t="inlineStr">
        <is>
          <t>2.5.12</t>
        </is>
      </c>
      <c r="N4293" s="25">
        <f>IF(J4293&gt;300,1,0)</f>
        <v/>
      </c>
      <c r="O4293" s="25">
        <f>IF(J4293&gt;600,1,0)</f>
        <v/>
      </c>
      <c r="P4293" s="25">
        <f>IF(H4293&gt;0,J4293,"")</f>
        <v/>
      </c>
      <c r="Q4293" s="25">
        <f>TEXT(A4293,"YYYY-MM-DD HH")</f>
        <v/>
      </c>
      <c r="R4293" s="25">
        <f>COUNTIF($Q$2:$Q$5295,Q4293)</f>
        <v/>
      </c>
      <c r="S4293" s="25">
        <f>IF(R4293&lt;=2,"1-2",IF(R4293&lt;=5,"3-5",IF(R4293&lt;=10,"6-10","11+")))</f>
        <v/>
      </c>
    </row>
    <row r="4294">
      <c r="A4294" s="39" t="n">
        <v>46223.38675925926</v>
      </c>
      <c r="B4294" s="25">
        <f>TEXT(A4294,"YYYY-MM")</f>
        <v/>
      </c>
      <c r="C4294" s="25">
        <f>TEXT(A4294,"MMM-YYYY")</f>
        <v/>
      </c>
      <c r="D4294" s="40">
        <f>INT(A4294)-WEEKDAY(A4294,2)+1</f>
        <v/>
      </c>
      <c r="E4294" s="25" t="inlineStr">
        <is>
          <t>ssrinivasan</t>
        </is>
      </c>
      <c r="F4294" s="25" t="n">
        <v>130227</v>
      </c>
      <c r="G4294" s="25" t="n">
        <v>2</v>
      </c>
      <c r="H4294" s="25" t="n">
        <v>13</v>
      </c>
      <c r="I4294" s="25" t="inlineStr">
        <is>
          <t>2 minute(s) and 19 second(s)</t>
        </is>
      </c>
      <c r="J4294" s="25">
        <f>IFERROR(VALUE(TRIM(LEFT(I4294,FIND("minute",I4294)-1)))*60,0)+IFERROR(VALUE(SUBSTITUTE(MID(I4294,IFERROR(FIND("and",I4294)+3,1),20),"second(s)","")),0)</f>
        <v/>
      </c>
      <c r="K4294" s="41">
        <f>J4294/60</f>
        <v/>
      </c>
      <c r="L4294" s="41">
        <f>IFERROR(J4294/H4294,"")</f>
        <v/>
      </c>
      <c r="M4294" s="25" t="inlineStr">
        <is>
          <t>2.5.12</t>
        </is>
      </c>
      <c r="N4294" s="25">
        <f>IF(J4294&gt;300,1,0)</f>
        <v/>
      </c>
      <c r="O4294" s="25">
        <f>IF(J4294&gt;600,1,0)</f>
        <v/>
      </c>
      <c r="P4294" s="25">
        <f>IF(H4294&gt;0,J4294,"")</f>
        <v/>
      </c>
      <c r="Q4294" s="25">
        <f>TEXT(A4294,"YYYY-MM-DD HH")</f>
        <v/>
      </c>
      <c r="R4294" s="25">
        <f>COUNTIF($Q$2:$Q$5295,Q4294)</f>
        <v/>
      </c>
      <c r="S4294" s="25">
        <f>IF(R4294&lt;=2,"1-2",IF(R4294&lt;=5,"3-5",IF(R4294&lt;=10,"6-10","11+")))</f>
        <v/>
      </c>
    </row>
    <row r="4295">
      <c r="A4295" s="39" t="n">
        <v>46223.3890625</v>
      </c>
      <c r="B4295" s="25">
        <f>TEXT(A4295,"YYYY-MM")</f>
        <v/>
      </c>
      <c r="C4295" s="25">
        <f>TEXT(A4295,"MMM-YYYY")</f>
        <v/>
      </c>
      <c r="D4295" s="40">
        <f>INT(A4295)-WEEKDAY(A4295,2)+1</f>
        <v/>
      </c>
      <c r="E4295" s="25" t="inlineStr">
        <is>
          <t>asahoo</t>
        </is>
      </c>
      <c r="F4295" s="25" t="n">
        <v>129339</v>
      </c>
      <c r="G4295" s="25" t="n">
        <v>1</v>
      </c>
      <c r="H4295" s="25" t="n">
        <v>7</v>
      </c>
      <c r="I4295" s="25" t="inlineStr">
        <is>
          <t>55 second(s)</t>
        </is>
      </c>
      <c r="J4295" s="25">
        <f>IFERROR(VALUE(TRIM(LEFT(I4295,FIND("minute",I4295)-1)))*60,0)+IFERROR(VALUE(SUBSTITUTE(MID(I4295,IFERROR(FIND("and",I4295)+3,1),20),"second(s)","")),0)</f>
        <v/>
      </c>
      <c r="K4295" s="41">
        <f>J4295/60</f>
        <v/>
      </c>
      <c r="L4295" s="41">
        <f>IFERROR(J4295/H4295,"")</f>
        <v/>
      </c>
      <c r="M4295" s="25" t="inlineStr">
        <is>
          <t>2.5.12</t>
        </is>
      </c>
      <c r="N4295" s="25">
        <f>IF(J4295&gt;300,1,0)</f>
        <v/>
      </c>
      <c r="O4295" s="25">
        <f>IF(J4295&gt;600,1,0)</f>
        <v/>
      </c>
      <c r="P4295" s="25">
        <f>IF(H4295&gt;0,J4295,"")</f>
        <v/>
      </c>
      <c r="Q4295" s="25">
        <f>TEXT(A4295,"YYYY-MM-DD HH")</f>
        <v/>
      </c>
      <c r="R4295" s="25">
        <f>COUNTIF($Q$2:$Q$5295,Q4295)</f>
        <v/>
      </c>
      <c r="S4295" s="25">
        <f>IF(R4295&lt;=2,"1-2",IF(R4295&lt;=5,"3-5",IF(R4295&lt;=10,"6-10","11+")))</f>
        <v/>
      </c>
    </row>
    <row r="4296">
      <c r="A4296" s="39" t="n">
        <v>46223.38946759259</v>
      </c>
      <c r="B4296" s="25">
        <f>TEXT(A4296,"YYYY-MM")</f>
        <v/>
      </c>
      <c r="C4296" s="25">
        <f>TEXT(A4296,"MMM-YYYY")</f>
        <v/>
      </c>
      <c r="D4296" s="40">
        <f>INT(A4296)-WEEKDAY(A4296,2)+1</f>
        <v/>
      </c>
      <c r="E4296" s="25" t="inlineStr">
        <is>
          <t>tkarmakar</t>
        </is>
      </c>
      <c r="F4296" s="25" t="n">
        <v>132102</v>
      </c>
      <c r="G4296" s="25" t="n">
        <v>5</v>
      </c>
      <c r="H4296" s="25" t="n">
        <v>25</v>
      </c>
      <c r="I4296" s="25" t="inlineStr">
        <is>
          <t>2 minute(s) and 31 second(s)</t>
        </is>
      </c>
      <c r="J4296" s="25">
        <f>IFERROR(VALUE(TRIM(LEFT(I4296,FIND("minute",I4296)-1)))*60,0)+IFERROR(VALUE(SUBSTITUTE(MID(I4296,IFERROR(FIND("and",I4296)+3,1),20),"second(s)","")),0)</f>
        <v/>
      </c>
      <c r="K4296" s="41">
        <f>J4296/60</f>
        <v/>
      </c>
      <c r="L4296" s="41">
        <f>IFERROR(J4296/H4296,"")</f>
        <v/>
      </c>
      <c r="M4296" s="25" t="inlineStr">
        <is>
          <t>2.5.12</t>
        </is>
      </c>
      <c r="N4296" s="25">
        <f>IF(J4296&gt;300,1,0)</f>
        <v/>
      </c>
      <c r="O4296" s="25">
        <f>IF(J4296&gt;600,1,0)</f>
        <v/>
      </c>
      <c r="P4296" s="25">
        <f>IF(H4296&gt;0,J4296,"")</f>
        <v/>
      </c>
      <c r="Q4296" s="25">
        <f>TEXT(A4296,"YYYY-MM-DD HH")</f>
        <v/>
      </c>
      <c r="R4296" s="25">
        <f>COUNTIF($Q$2:$Q$5295,Q4296)</f>
        <v/>
      </c>
      <c r="S4296" s="25">
        <f>IF(R4296&lt;=2,"1-2",IF(R4296&lt;=5,"3-5",IF(R4296&lt;=10,"6-10","11+")))</f>
        <v/>
      </c>
    </row>
    <row r="4297">
      <c r="A4297" s="39" t="n">
        <v>46223.39201388889</v>
      </c>
      <c r="B4297" s="25">
        <f>TEXT(A4297,"YYYY-MM")</f>
        <v/>
      </c>
      <c r="C4297" s="25">
        <f>TEXT(A4297,"MMM-YYYY")</f>
        <v/>
      </c>
      <c r="D4297" s="40">
        <f>INT(A4297)-WEEKDAY(A4297,2)+1</f>
        <v/>
      </c>
      <c r="E4297" s="25" t="inlineStr">
        <is>
          <t>smukhopadhyay</t>
        </is>
      </c>
      <c r="F4297" s="25" t="n">
        <v>128208</v>
      </c>
      <c r="G4297" s="25" t="n">
        <v>3</v>
      </c>
      <c r="H4297" s="25" t="n">
        <v>19</v>
      </c>
      <c r="I4297" s="25" t="inlineStr">
        <is>
          <t>2 minute(s) and 3 second(s)</t>
        </is>
      </c>
      <c r="J4297" s="25">
        <f>IFERROR(VALUE(TRIM(LEFT(I4297,FIND("minute",I4297)-1)))*60,0)+IFERROR(VALUE(SUBSTITUTE(MID(I4297,IFERROR(FIND("and",I4297)+3,1),20),"second(s)","")),0)</f>
        <v/>
      </c>
      <c r="K4297" s="41">
        <f>J4297/60</f>
        <v/>
      </c>
      <c r="L4297" s="41">
        <f>IFERROR(J4297/H4297,"")</f>
        <v/>
      </c>
      <c r="M4297" s="25" t="inlineStr">
        <is>
          <t>2.5.12</t>
        </is>
      </c>
      <c r="N4297" s="25">
        <f>IF(J4297&gt;300,1,0)</f>
        <v/>
      </c>
      <c r="O4297" s="25">
        <f>IF(J4297&gt;600,1,0)</f>
        <v/>
      </c>
      <c r="P4297" s="25">
        <f>IF(H4297&gt;0,J4297,"")</f>
        <v/>
      </c>
      <c r="Q4297" s="25">
        <f>TEXT(A4297,"YYYY-MM-DD HH")</f>
        <v/>
      </c>
      <c r="R4297" s="25">
        <f>COUNTIF($Q$2:$Q$5295,Q4297)</f>
        <v/>
      </c>
      <c r="S4297" s="25">
        <f>IF(R4297&lt;=2,"1-2",IF(R4297&lt;=5,"3-5",IF(R4297&lt;=10,"6-10","11+")))</f>
        <v/>
      </c>
    </row>
    <row r="4298">
      <c r="A4298" s="39" t="n">
        <v>46223.39476851852</v>
      </c>
      <c r="B4298" s="25">
        <f>TEXT(A4298,"YYYY-MM")</f>
        <v/>
      </c>
      <c r="C4298" s="25">
        <f>TEXT(A4298,"MMM-YYYY")</f>
        <v/>
      </c>
      <c r="D4298" s="40">
        <f>INT(A4298)-WEEKDAY(A4298,2)+1</f>
        <v/>
      </c>
      <c r="E4298" s="25" t="inlineStr">
        <is>
          <t>shassan</t>
        </is>
      </c>
      <c r="F4298" s="25" t="n">
        <v>127975</v>
      </c>
      <c r="G4298" s="25" t="n">
        <v>4</v>
      </c>
      <c r="H4298" s="25" t="n">
        <v>12</v>
      </c>
      <c r="I4298" s="25" t="inlineStr">
        <is>
          <t>2 minute(s) and 8 second(s)</t>
        </is>
      </c>
      <c r="J4298" s="25">
        <f>IFERROR(VALUE(TRIM(LEFT(I4298,FIND("minute",I4298)-1)))*60,0)+IFERROR(VALUE(SUBSTITUTE(MID(I4298,IFERROR(FIND("and",I4298)+3,1),20),"second(s)","")),0)</f>
        <v/>
      </c>
      <c r="K4298" s="41">
        <f>J4298/60</f>
        <v/>
      </c>
      <c r="L4298" s="41">
        <f>IFERROR(J4298/H4298,"")</f>
        <v/>
      </c>
      <c r="M4298" s="25" t="inlineStr">
        <is>
          <t>2.5.12</t>
        </is>
      </c>
      <c r="N4298" s="25">
        <f>IF(J4298&gt;300,1,0)</f>
        <v/>
      </c>
      <c r="O4298" s="25">
        <f>IF(J4298&gt;600,1,0)</f>
        <v/>
      </c>
      <c r="P4298" s="25">
        <f>IF(H4298&gt;0,J4298,"")</f>
        <v/>
      </c>
      <c r="Q4298" s="25">
        <f>TEXT(A4298,"YYYY-MM-DD HH")</f>
        <v/>
      </c>
      <c r="R4298" s="25">
        <f>COUNTIF($Q$2:$Q$5295,Q4298)</f>
        <v/>
      </c>
      <c r="S4298" s="25">
        <f>IF(R4298&lt;=2,"1-2",IF(R4298&lt;=5,"3-5",IF(R4298&lt;=10,"6-10","11+")))</f>
        <v/>
      </c>
    </row>
    <row r="4299">
      <c r="A4299" s="39" t="n">
        <v>46223.40377314815</v>
      </c>
      <c r="B4299" s="25">
        <f>TEXT(A4299,"YYYY-MM")</f>
        <v/>
      </c>
      <c r="C4299" s="25">
        <f>TEXT(A4299,"MMM-YYYY")</f>
        <v/>
      </c>
      <c r="D4299" s="40">
        <f>INT(A4299)-WEEKDAY(A4299,2)+1</f>
        <v/>
      </c>
      <c r="E4299" s="25" t="inlineStr">
        <is>
          <t>ethomas</t>
        </is>
      </c>
      <c r="F4299" s="25" t="n">
        <v>128840</v>
      </c>
      <c r="G4299" s="25" t="n">
        <v>2</v>
      </c>
      <c r="H4299" s="25" t="n">
        <v>10</v>
      </c>
      <c r="I4299" s="25" t="inlineStr">
        <is>
          <t>1 minute(s) and 1 second(s)</t>
        </is>
      </c>
      <c r="J4299" s="25">
        <f>IFERROR(VALUE(TRIM(LEFT(I4299,FIND("minute",I4299)-1)))*60,0)+IFERROR(VALUE(SUBSTITUTE(MID(I4299,IFERROR(FIND("and",I4299)+3,1),20),"second(s)","")),0)</f>
        <v/>
      </c>
      <c r="K4299" s="41">
        <f>J4299/60</f>
        <v/>
      </c>
      <c r="L4299" s="41">
        <f>IFERROR(J4299/H4299,"")</f>
        <v/>
      </c>
      <c r="M4299" s="25" t="inlineStr">
        <is>
          <t>2.5.12</t>
        </is>
      </c>
      <c r="N4299" s="25">
        <f>IF(J4299&gt;300,1,0)</f>
        <v/>
      </c>
      <c r="O4299" s="25">
        <f>IF(J4299&gt;600,1,0)</f>
        <v/>
      </c>
      <c r="P4299" s="25">
        <f>IF(H4299&gt;0,J4299,"")</f>
        <v/>
      </c>
      <c r="Q4299" s="25">
        <f>TEXT(A4299,"YYYY-MM-DD HH")</f>
        <v/>
      </c>
      <c r="R4299" s="25">
        <f>COUNTIF($Q$2:$Q$5295,Q4299)</f>
        <v/>
      </c>
      <c r="S4299" s="25">
        <f>IF(R4299&lt;=2,"1-2",IF(R4299&lt;=5,"3-5",IF(R4299&lt;=10,"6-10","11+")))</f>
        <v/>
      </c>
    </row>
    <row r="4300">
      <c r="A4300" s="39" t="n">
        <v>46223.41001157407</v>
      </c>
      <c r="B4300" s="25">
        <f>TEXT(A4300,"YYYY-MM")</f>
        <v/>
      </c>
      <c r="C4300" s="25">
        <f>TEXT(A4300,"MMM-YYYY")</f>
        <v/>
      </c>
      <c r="D4300" s="40">
        <f>INT(A4300)-WEEKDAY(A4300,2)+1</f>
        <v/>
      </c>
      <c r="E4300" s="25" t="inlineStr">
        <is>
          <t>dchoudhury</t>
        </is>
      </c>
      <c r="F4300" s="25" t="n">
        <v>128536</v>
      </c>
      <c r="G4300" s="25" t="n">
        <v>2</v>
      </c>
      <c r="H4300" s="25" t="n">
        <v>8</v>
      </c>
      <c r="I4300" s="25" t="inlineStr">
        <is>
          <t>44 second(s)</t>
        </is>
      </c>
      <c r="J4300" s="25">
        <f>IFERROR(VALUE(TRIM(LEFT(I4300,FIND("minute",I4300)-1)))*60,0)+IFERROR(VALUE(SUBSTITUTE(MID(I4300,IFERROR(FIND("and",I4300)+3,1),20),"second(s)","")),0)</f>
        <v/>
      </c>
      <c r="K4300" s="41">
        <f>J4300/60</f>
        <v/>
      </c>
      <c r="L4300" s="41">
        <f>IFERROR(J4300/H4300,"")</f>
        <v/>
      </c>
      <c r="M4300" s="25" t="inlineStr">
        <is>
          <t>2.5.12</t>
        </is>
      </c>
      <c r="N4300" s="25">
        <f>IF(J4300&gt;300,1,0)</f>
        <v/>
      </c>
      <c r="O4300" s="25">
        <f>IF(J4300&gt;600,1,0)</f>
        <v/>
      </c>
      <c r="P4300" s="25">
        <f>IF(H4300&gt;0,J4300,"")</f>
        <v/>
      </c>
      <c r="Q4300" s="25">
        <f>TEXT(A4300,"YYYY-MM-DD HH")</f>
        <v/>
      </c>
      <c r="R4300" s="25">
        <f>COUNTIF($Q$2:$Q$5295,Q4300)</f>
        <v/>
      </c>
      <c r="S4300" s="25">
        <f>IF(R4300&lt;=2,"1-2",IF(R4300&lt;=5,"3-5",IF(R4300&lt;=10,"6-10","11+")))</f>
        <v/>
      </c>
    </row>
    <row r="4301">
      <c r="A4301" s="39" t="n">
        <v>46223.41584490741</v>
      </c>
      <c r="B4301" s="25">
        <f>TEXT(A4301,"YYYY-MM")</f>
        <v/>
      </c>
      <c r="C4301" s="25">
        <f>TEXT(A4301,"MMM-YYYY")</f>
        <v/>
      </c>
      <c r="D4301" s="40">
        <f>INT(A4301)-WEEKDAY(A4301,2)+1</f>
        <v/>
      </c>
      <c r="E4301" s="25" t="inlineStr">
        <is>
          <t>sasharma</t>
        </is>
      </c>
      <c r="F4301" s="25" t="n">
        <v>131257</v>
      </c>
      <c r="G4301" s="25" t="n">
        <v>4</v>
      </c>
      <c r="H4301" s="25" t="n">
        <v>20</v>
      </c>
      <c r="I4301" s="25" t="inlineStr">
        <is>
          <t>1 minute(s) and 30 second(s)</t>
        </is>
      </c>
      <c r="J4301" s="25">
        <f>IFERROR(VALUE(TRIM(LEFT(I4301,FIND("minute",I4301)-1)))*60,0)+IFERROR(VALUE(SUBSTITUTE(MID(I4301,IFERROR(FIND("and",I4301)+3,1),20),"second(s)","")),0)</f>
        <v/>
      </c>
      <c r="K4301" s="41">
        <f>J4301/60</f>
        <v/>
      </c>
      <c r="L4301" s="41">
        <f>IFERROR(J4301/H4301,"")</f>
        <v/>
      </c>
      <c r="M4301" s="25" t="inlineStr">
        <is>
          <t>2.5.12</t>
        </is>
      </c>
      <c r="N4301" s="25">
        <f>IF(J4301&gt;300,1,0)</f>
        <v/>
      </c>
      <c r="O4301" s="25">
        <f>IF(J4301&gt;600,1,0)</f>
        <v/>
      </c>
      <c r="P4301" s="25">
        <f>IF(H4301&gt;0,J4301,"")</f>
        <v/>
      </c>
      <c r="Q4301" s="25">
        <f>TEXT(A4301,"YYYY-MM-DD HH")</f>
        <v/>
      </c>
      <c r="R4301" s="25">
        <f>COUNTIF($Q$2:$Q$5295,Q4301)</f>
        <v/>
      </c>
      <c r="S4301" s="25">
        <f>IF(R4301&lt;=2,"1-2",IF(R4301&lt;=5,"3-5",IF(R4301&lt;=10,"6-10","11+")))</f>
        <v/>
      </c>
    </row>
    <row r="4302">
      <c r="A4302" s="39" t="n">
        <v>46223.42355324074</v>
      </c>
      <c r="B4302" s="25">
        <f>TEXT(A4302,"YYYY-MM")</f>
        <v/>
      </c>
      <c r="C4302" s="25">
        <f>TEXT(A4302,"MMM-YYYY")</f>
        <v/>
      </c>
      <c r="D4302" s="40">
        <f>INT(A4302)-WEEKDAY(A4302,2)+1</f>
        <v/>
      </c>
      <c r="E4302" s="25" t="inlineStr">
        <is>
          <t>dchoudhury</t>
        </is>
      </c>
      <c r="F4302" s="25" t="n">
        <v>132819</v>
      </c>
      <c r="G4302" s="25" t="n">
        <v>1</v>
      </c>
      <c r="H4302" s="25" t="n">
        <v>5</v>
      </c>
      <c r="I4302" s="25" t="inlineStr">
        <is>
          <t>29 second(s)</t>
        </is>
      </c>
      <c r="J4302" s="25">
        <f>IFERROR(VALUE(TRIM(LEFT(I4302,FIND("minute",I4302)-1)))*60,0)+IFERROR(VALUE(SUBSTITUTE(MID(I4302,IFERROR(FIND("and",I4302)+3,1),20),"second(s)","")),0)</f>
        <v/>
      </c>
      <c r="K4302" s="41">
        <f>J4302/60</f>
        <v/>
      </c>
      <c r="L4302" s="41">
        <f>IFERROR(J4302/H4302,"")</f>
        <v/>
      </c>
      <c r="M4302" s="25" t="inlineStr">
        <is>
          <t>2.5.12</t>
        </is>
      </c>
      <c r="N4302" s="25">
        <f>IF(J4302&gt;300,1,0)</f>
        <v/>
      </c>
      <c r="O4302" s="25">
        <f>IF(J4302&gt;600,1,0)</f>
        <v/>
      </c>
      <c r="P4302" s="25">
        <f>IF(H4302&gt;0,J4302,"")</f>
        <v/>
      </c>
      <c r="Q4302" s="25">
        <f>TEXT(A4302,"YYYY-MM-DD HH")</f>
        <v/>
      </c>
      <c r="R4302" s="25">
        <f>COUNTIF($Q$2:$Q$5295,Q4302)</f>
        <v/>
      </c>
      <c r="S4302" s="25">
        <f>IF(R4302&lt;=2,"1-2",IF(R4302&lt;=5,"3-5",IF(R4302&lt;=10,"6-10","11+")))</f>
        <v/>
      </c>
    </row>
    <row r="4303">
      <c r="A4303" s="39" t="n">
        <v>46223.42887731481</v>
      </c>
      <c r="B4303" s="25">
        <f>TEXT(A4303,"YYYY-MM")</f>
        <v/>
      </c>
      <c r="C4303" s="25">
        <f>TEXT(A4303,"MMM-YYYY")</f>
        <v/>
      </c>
      <c r="D4303" s="40">
        <f>INT(A4303)-WEEKDAY(A4303,2)+1</f>
        <v/>
      </c>
      <c r="E4303" s="25" t="inlineStr">
        <is>
          <t>aghosh</t>
        </is>
      </c>
      <c r="F4303" s="25" t="n">
        <v>128851</v>
      </c>
      <c r="G4303" s="25" t="n">
        <v>2</v>
      </c>
      <c r="H4303" s="25" t="n">
        <v>8</v>
      </c>
      <c r="I4303" s="25" t="inlineStr">
        <is>
          <t>1 minute(s) and 1 second(s)</t>
        </is>
      </c>
      <c r="J4303" s="25">
        <f>IFERROR(VALUE(TRIM(LEFT(I4303,FIND("minute",I4303)-1)))*60,0)+IFERROR(VALUE(SUBSTITUTE(MID(I4303,IFERROR(FIND("and",I4303)+3,1),20),"second(s)","")),0)</f>
        <v/>
      </c>
      <c r="K4303" s="41">
        <f>J4303/60</f>
        <v/>
      </c>
      <c r="L4303" s="41">
        <f>IFERROR(J4303/H4303,"")</f>
        <v/>
      </c>
      <c r="M4303" s="25" t="inlineStr">
        <is>
          <t>2.5.12</t>
        </is>
      </c>
      <c r="N4303" s="25">
        <f>IF(J4303&gt;300,1,0)</f>
        <v/>
      </c>
      <c r="O4303" s="25">
        <f>IF(J4303&gt;600,1,0)</f>
        <v/>
      </c>
      <c r="P4303" s="25">
        <f>IF(H4303&gt;0,J4303,"")</f>
        <v/>
      </c>
      <c r="Q4303" s="25">
        <f>TEXT(A4303,"YYYY-MM-DD HH")</f>
        <v/>
      </c>
      <c r="R4303" s="25">
        <f>COUNTIF($Q$2:$Q$5295,Q4303)</f>
        <v/>
      </c>
      <c r="S4303" s="25">
        <f>IF(R4303&lt;=2,"1-2",IF(R4303&lt;=5,"3-5",IF(R4303&lt;=10,"6-10","11+")))</f>
        <v/>
      </c>
    </row>
    <row r="4304">
      <c r="A4304" s="39" t="n">
        <v>46223.42909722222</v>
      </c>
      <c r="B4304" s="25">
        <f>TEXT(A4304,"YYYY-MM")</f>
        <v/>
      </c>
      <c r="C4304" s="25">
        <f>TEXT(A4304,"MMM-YYYY")</f>
        <v/>
      </c>
      <c r="D4304" s="40">
        <f>INT(A4304)-WEEKDAY(A4304,2)+1</f>
        <v/>
      </c>
      <c r="E4304" s="25" t="inlineStr">
        <is>
          <t>sdey</t>
        </is>
      </c>
      <c r="F4304" s="25" t="n">
        <v>132196</v>
      </c>
      <c r="G4304" s="25" t="n">
        <v>4</v>
      </c>
      <c r="H4304" s="25" t="n">
        <v>20</v>
      </c>
      <c r="I4304" s="25" t="inlineStr">
        <is>
          <t>1 minute(s) and 44 second(s)</t>
        </is>
      </c>
      <c r="J4304" s="25">
        <f>IFERROR(VALUE(TRIM(LEFT(I4304,FIND("minute",I4304)-1)))*60,0)+IFERROR(VALUE(SUBSTITUTE(MID(I4304,IFERROR(FIND("and",I4304)+3,1),20),"second(s)","")),0)</f>
        <v/>
      </c>
      <c r="K4304" s="41">
        <f>J4304/60</f>
        <v/>
      </c>
      <c r="L4304" s="41">
        <f>IFERROR(J4304/H4304,"")</f>
        <v/>
      </c>
      <c r="M4304" s="25" t="inlineStr">
        <is>
          <t>2.5.12</t>
        </is>
      </c>
      <c r="N4304" s="25">
        <f>IF(J4304&gt;300,1,0)</f>
        <v/>
      </c>
      <c r="O4304" s="25">
        <f>IF(J4304&gt;600,1,0)</f>
        <v/>
      </c>
      <c r="P4304" s="25">
        <f>IF(H4304&gt;0,J4304,"")</f>
        <v/>
      </c>
      <c r="Q4304" s="25">
        <f>TEXT(A4304,"YYYY-MM-DD HH")</f>
        <v/>
      </c>
      <c r="R4304" s="25">
        <f>COUNTIF($Q$2:$Q$5295,Q4304)</f>
        <v/>
      </c>
      <c r="S4304" s="25">
        <f>IF(R4304&lt;=2,"1-2",IF(R4304&lt;=5,"3-5",IF(R4304&lt;=10,"6-10","11+")))</f>
        <v/>
      </c>
    </row>
    <row r="4305">
      <c r="A4305" s="39" t="n">
        <v>46223.42997685185</v>
      </c>
      <c r="B4305" s="25">
        <f>TEXT(A4305,"YYYY-MM")</f>
        <v/>
      </c>
      <c r="C4305" s="25">
        <f>TEXT(A4305,"MMM-YYYY")</f>
        <v/>
      </c>
      <c r="D4305" s="40">
        <f>INT(A4305)-WEEKDAY(A4305,2)+1</f>
        <v/>
      </c>
      <c r="E4305" s="25" t="inlineStr">
        <is>
          <t>sthomas</t>
        </is>
      </c>
      <c r="F4305" s="25" t="n">
        <v>131820</v>
      </c>
      <c r="G4305" s="25" t="n">
        <v>4</v>
      </c>
      <c r="H4305" s="25" t="n">
        <v>20</v>
      </c>
      <c r="I4305" s="25" t="inlineStr">
        <is>
          <t>1 minute(s) and 52 second(s)</t>
        </is>
      </c>
      <c r="J4305" s="25">
        <f>IFERROR(VALUE(TRIM(LEFT(I4305,FIND("minute",I4305)-1)))*60,0)+IFERROR(VALUE(SUBSTITUTE(MID(I4305,IFERROR(FIND("and",I4305)+3,1),20),"second(s)","")),0)</f>
        <v/>
      </c>
      <c r="K4305" s="41">
        <f>J4305/60</f>
        <v/>
      </c>
      <c r="L4305" s="41">
        <f>IFERROR(J4305/H4305,"")</f>
        <v/>
      </c>
      <c r="M4305" s="25" t="inlineStr">
        <is>
          <t>2.5.12</t>
        </is>
      </c>
      <c r="N4305" s="25">
        <f>IF(J4305&gt;300,1,0)</f>
        <v/>
      </c>
      <c r="O4305" s="25">
        <f>IF(J4305&gt;600,1,0)</f>
        <v/>
      </c>
      <c r="P4305" s="25">
        <f>IF(H4305&gt;0,J4305,"")</f>
        <v/>
      </c>
      <c r="Q4305" s="25">
        <f>TEXT(A4305,"YYYY-MM-DD HH")</f>
        <v/>
      </c>
      <c r="R4305" s="25">
        <f>COUNTIF($Q$2:$Q$5295,Q4305)</f>
        <v/>
      </c>
      <c r="S4305" s="25">
        <f>IF(R4305&lt;=2,"1-2",IF(R4305&lt;=5,"3-5",IF(R4305&lt;=10,"6-10","11+")))</f>
        <v/>
      </c>
    </row>
    <row r="4306">
      <c r="A4306" s="39" t="n">
        <v>46223.43297453703</v>
      </c>
      <c r="B4306" s="25">
        <f>TEXT(A4306,"YYYY-MM")</f>
        <v/>
      </c>
      <c r="C4306" s="25">
        <f>TEXT(A4306,"MMM-YYYY")</f>
        <v/>
      </c>
      <c r="D4306" s="40">
        <f>INT(A4306)-WEEKDAY(A4306,2)+1</f>
        <v/>
      </c>
      <c r="E4306" s="25" t="inlineStr">
        <is>
          <t>atiwari</t>
        </is>
      </c>
      <c r="F4306" s="25" t="n">
        <v>131921</v>
      </c>
      <c r="G4306" s="25" t="n">
        <v>2</v>
      </c>
      <c r="H4306" s="25" t="n">
        <v>10</v>
      </c>
      <c r="I4306" s="25" t="inlineStr">
        <is>
          <t>1 minute(s) and 7 second(s)</t>
        </is>
      </c>
      <c r="J4306" s="25">
        <f>IFERROR(VALUE(TRIM(LEFT(I4306,FIND("minute",I4306)-1)))*60,0)+IFERROR(VALUE(SUBSTITUTE(MID(I4306,IFERROR(FIND("and",I4306)+3,1),20),"second(s)","")),0)</f>
        <v/>
      </c>
      <c r="K4306" s="41">
        <f>J4306/60</f>
        <v/>
      </c>
      <c r="L4306" s="41">
        <f>IFERROR(J4306/H4306,"")</f>
        <v/>
      </c>
      <c r="M4306" s="25" t="inlineStr">
        <is>
          <t>2.5.12</t>
        </is>
      </c>
      <c r="N4306" s="25">
        <f>IF(J4306&gt;300,1,0)</f>
        <v/>
      </c>
      <c r="O4306" s="25">
        <f>IF(J4306&gt;600,1,0)</f>
        <v/>
      </c>
      <c r="P4306" s="25">
        <f>IF(H4306&gt;0,J4306,"")</f>
        <v/>
      </c>
      <c r="Q4306" s="25">
        <f>TEXT(A4306,"YYYY-MM-DD HH")</f>
        <v/>
      </c>
      <c r="R4306" s="25">
        <f>COUNTIF($Q$2:$Q$5295,Q4306)</f>
        <v/>
      </c>
      <c r="S4306" s="25">
        <f>IF(R4306&lt;=2,"1-2",IF(R4306&lt;=5,"3-5",IF(R4306&lt;=10,"6-10","11+")))</f>
        <v/>
      </c>
    </row>
    <row r="4307">
      <c r="A4307" s="39" t="n">
        <v>46223.44310185185</v>
      </c>
      <c r="B4307" s="25">
        <f>TEXT(A4307,"YYYY-MM")</f>
        <v/>
      </c>
      <c r="C4307" s="25">
        <f>TEXT(A4307,"MMM-YYYY")</f>
        <v/>
      </c>
      <c r="D4307" s="40">
        <f>INT(A4307)-WEEKDAY(A4307,2)+1</f>
        <v/>
      </c>
      <c r="E4307" s="25" t="inlineStr">
        <is>
          <t>adey</t>
        </is>
      </c>
      <c r="F4307" s="25" t="n">
        <v>132595</v>
      </c>
      <c r="G4307" s="25" t="n">
        <v>4</v>
      </c>
      <c r="H4307" s="25" t="n">
        <v>22</v>
      </c>
      <c r="I4307" s="25" t="inlineStr">
        <is>
          <t>2 minute(s) and 32 second(s)</t>
        </is>
      </c>
      <c r="J4307" s="25">
        <f>IFERROR(VALUE(TRIM(LEFT(I4307,FIND("minute",I4307)-1)))*60,0)+IFERROR(VALUE(SUBSTITUTE(MID(I4307,IFERROR(FIND("and",I4307)+3,1),20),"second(s)","")),0)</f>
        <v/>
      </c>
      <c r="K4307" s="41">
        <f>J4307/60</f>
        <v/>
      </c>
      <c r="L4307" s="41">
        <f>IFERROR(J4307/H4307,"")</f>
        <v/>
      </c>
      <c r="M4307" s="25" t="inlineStr">
        <is>
          <t>2.5.12</t>
        </is>
      </c>
      <c r="N4307" s="25">
        <f>IF(J4307&gt;300,1,0)</f>
        <v/>
      </c>
      <c r="O4307" s="25">
        <f>IF(J4307&gt;600,1,0)</f>
        <v/>
      </c>
      <c r="P4307" s="25">
        <f>IF(H4307&gt;0,J4307,"")</f>
        <v/>
      </c>
      <c r="Q4307" s="25">
        <f>TEXT(A4307,"YYYY-MM-DD HH")</f>
        <v/>
      </c>
      <c r="R4307" s="25">
        <f>COUNTIF($Q$2:$Q$5295,Q4307)</f>
        <v/>
      </c>
      <c r="S4307" s="25">
        <f>IF(R4307&lt;=2,"1-2",IF(R4307&lt;=5,"3-5",IF(R4307&lt;=10,"6-10","11+")))</f>
        <v/>
      </c>
    </row>
    <row r="4308">
      <c r="A4308" s="39" t="n">
        <v>46223.4574074074</v>
      </c>
      <c r="B4308" s="25">
        <f>TEXT(A4308,"YYYY-MM")</f>
        <v/>
      </c>
      <c r="C4308" s="25">
        <f>TEXT(A4308,"MMM-YYYY")</f>
        <v/>
      </c>
      <c r="D4308" s="40">
        <f>INT(A4308)-WEEKDAY(A4308,2)+1</f>
        <v/>
      </c>
      <c r="E4308" s="25" t="inlineStr">
        <is>
          <t>ns</t>
        </is>
      </c>
      <c r="F4308" s="25" t="n">
        <v>128131</v>
      </c>
      <c r="G4308" s="25" t="n">
        <v>2</v>
      </c>
      <c r="H4308" s="25" t="n">
        <v>10</v>
      </c>
      <c r="I4308" s="25" t="inlineStr">
        <is>
          <t>1 minute(s) and 57 second(s)</t>
        </is>
      </c>
      <c r="J4308" s="25">
        <f>IFERROR(VALUE(TRIM(LEFT(I4308,FIND("minute",I4308)-1)))*60,0)+IFERROR(VALUE(SUBSTITUTE(MID(I4308,IFERROR(FIND("and",I4308)+3,1),20),"second(s)","")),0)</f>
        <v/>
      </c>
      <c r="K4308" s="41">
        <f>J4308/60</f>
        <v/>
      </c>
      <c r="L4308" s="41">
        <f>IFERROR(J4308/H4308,"")</f>
        <v/>
      </c>
      <c r="M4308" s="25" t="inlineStr">
        <is>
          <t>2.5.12</t>
        </is>
      </c>
      <c r="N4308" s="25">
        <f>IF(J4308&gt;300,1,0)</f>
        <v/>
      </c>
      <c r="O4308" s="25">
        <f>IF(J4308&gt;600,1,0)</f>
        <v/>
      </c>
      <c r="P4308" s="25">
        <f>IF(H4308&gt;0,J4308,"")</f>
        <v/>
      </c>
      <c r="Q4308" s="25">
        <f>TEXT(A4308,"YYYY-MM-DD HH")</f>
        <v/>
      </c>
      <c r="R4308" s="25">
        <f>COUNTIF($Q$2:$Q$5295,Q4308)</f>
        <v/>
      </c>
      <c r="S4308" s="25">
        <f>IF(R4308&lt;=2,"1-2",IF(R4308&lt;=5,"3-5",IF(R4308&lt;=10,"6-10","11+")))</f>
        <v/>
      </c>
    </row>
    <row r="4309">
      <c r="A4309" s="39" t="n">
        <v>46223.45893518518</v>
      </c>
      <c r="B4309" s="25">
        <f>TEXT(A4309,"YYYY-MM")</f>
        <v/>
      </c>
      <c r="C4309" s="25">
        <f>TEXT(A4309,"MMM-YYYY")</f>
        <v/>
      </c>
      <c r="D4309" s="40">
        <f>INT(A4309)-WEEKDAY(A4309,2)+1</f>
        <v/>
      </c>
      <c r="E4309" s="25" t="inlineStr">
        <is>
          <t>smukhopadhyay</t>
        </is>
      </c>
      <c r="F4309" s="25" t="n">
        <v>128304</v>
      </c>
      <c r="G4309" s="25" t="n">
        <v>1</v>
      </c>
      <c r="H4309" s="25" t="n">
        <v>7</v>
      </c>
      <c r="I4309" s="25" t="inlineStr">
        <is>
          <t>40 second(s)</t>
        </is>
      </c>
      <c r="J4309" s="25">
        <f>IFERROR(VALUE(TRIM(LEFT(I4309,FIND("minute",I4309)-1)))*60,0)+IFERROR(VALUE(SUBSTITUTE(MID(I4309,IFERROR(FIND("and",I4309)+3,1),20),"second(s)","")),0)</f>
        <v/>
      </c>
      <c r="K4309" s="41">
        <f>J4309/60</f>
        <v/>
      </c>
      <c r="L4309" s="41">
        <f>IFERROR(J4309/H4309,"")</f>
        <v/>
      </c>
      <c r="M4309" s="25" t="inlineStr">
        <is>
          <t>2.5.12</t>
        </is>
      </c>
      <c r="N4309" s="25">
        <f>IF(J4309&gt;300,1,0)</f>
        <v/>
      </c>
      <c r="O4309" s="25">
        <f>IF(J4309&gt;600,1,0)</f>
        <v/>
      </c>
      <c r="P4309" s="25">
        <f>IF(H4309&gt;0,J4309,"")</f>
        <v/>
      </c>
      <c r="Q4309" s="25">
        <f>TEXT(A4309,"YYYY-MM-DD HH")</f>
        <v/>
      </c>
      <c r="R4309" s="25">
        <f>COUNTIF($Q$2:$Q$5295,Q4309)</f>
        <v/>
      </c>
      <c r="S4309" s="25">
        <f>IF(R4309&lt;=2,"1-2",IF(R4309&lt;=5,"3-5",IF(R4309&lt;=10,"6-10","11+")))</f>
        <v/>
      </c>
    </row>
    <row r="4310">
      <c r="A4310" s="39" t="n">
        <v>46223.46002314815</v>
      </c>
      <c r="B4310" s="25">
        <f>TEXT(A4310,"YYYY-MM")</f>
        <v/>
      </c>
      <c r="C4310" s="25">
        <f>TEXT(A4310,"MMM-YYYY")</f>
        <v/>
      </c>
      <c r="D4310" s="40">
        <f>INT(A4310)-WEEKDAY(A4310,2)+1</f>
        <v/>
      </c>
      <c r="E4310" s="25" t="inlineStr">
        <is>
          <t>emishra</t>
        </is>
      </c>
      <c r="F4310" s="25" t="n">
        <v>128784</v>
      </c>
      <c r="G4310" s="25" t="n">
        <v>1</v>
      </c>
      <c r="H4310" s="25" t="n">
        <v>5</v>
      </c>
      <c r="I4310" s="25" t="inlineStr">
        <is>
          <t>24 second(s)</t>
        </is>
      </c>
      <c r="J4310" s="25">
        <f>IFERROR(VALUE(TRIM(LEFT(I4310,FIND("minute",I4310)-1)))*60,0)+IFERROR(VALUE(SUBSTITUTE(MID(I4310,IFERROR(FIND("and",I4310)+3,1),20),"second(s)","")),0)</f>
        <v/>
      </c>
      <c r="K4310" s="41">
        <f>J4310/60</f>
        <v/>
      </c>
      <c r="L4310" s="41">
        <f>IFERROR(J4310/H4310,"")</f>
        <v/>
      </c>
      <c r="M4310" s="25" t="inlineStr">
        <is>
          <t>2.5.12</t>
        </is>
      </c>
      <c r="N4310" s="25">
        <f>IF(J4310&gt;300,1,0)</f>
        <v/>
      </c>
      <c r="O4310" s="25">
        <f>IF(J4310&gt;600,1,0)</f>
        <v/>
      </c>
      <c r="P4310" s="25">
        <f>IF(H4310&gt;0,J4310,"")</f>
        <v/>
      </c>
      <c r="Q4310" s="25">
        <f>TEXT(A4310,"YYYY-MM-DD HH")</f>
        <v/>
      </c>
      <c r="R4310" s="25">
        <f>COUNTIF($Q$2:$Q$5295,Q4310)</f>
        <v/>
      </c>
      <c r="S4310" s="25">
        <f>IF(R4310&lt;=2,"1-2",IF(R4310&lt;=5,"3-5",IF(R4310&lt;=10,"6-10","11+")))</f>
        <v/>
      </c>
    </row>
    <row r="4311">
      <c r="A4311" s="39" t="n">
        <v>46223.46092592592</v>
      </c>
      <c r="B4311" s="25">
        <f>TEXT(A4311,"YYYY-MM")</f>
        <v/>
      </c>
      <c r="C4311" s="25">
        <f>TEXT(A4311,"MMM-YYYY")</f>
        <v/>
      </c>
      <c r="D4311" s="40">
        <f>INT(A4311)-WEEKDAY(A4311,2)+1</f>
        <v/>
      </c>
      <c r="E4311" s="25" t="inlineStr">
        <is>
          <t>adey</t>
        </is>
      </c>
      <c r="F4311" s="25" t="n">
        <v>132635</v>
      </c>
      <c r="G4311" s="25" t="n">
        <v>1</v>
      </c>
      <c r="H4311" s="25" t="n">
        <v>3</v>
      </c>
      <c r="I4311" s="25" t="inlineStr">
        <is>
          <t>14 second(s)</t>
        </is>
      </c>
      <c r="J4311" s="25">
        <f>IFERROR(VALUE(TRIM(LEFT(I4311,FIND("minute",I4311)-1)))*60,0)+IFERROR(VALUE(SUBSTITUTE(MID(I4311,IFERROR(FIND("and",I4311)+3,1),20),"second(s)","")),0)</f>
        <v/>
      </c>
      <c r="K4311" s="41">
        <f>J4311/60</f>
        <v/>
      </c>
      <c r="L4311" s="41">
        <f>IFERROR(J4311/H4311,"")</f>
        <v/>
      </c>
      <c r="M4311" s="25" t="inlineStr">
        <is>
          <t>2.5.12</t>
        </is>
      </c>
      <c r="N4311" s="25">
        <f>IF(J4311&gt;300,1,0)</f>
        <v/>
      </c>
      <c r="O4311" s="25">
        <f>IF(J4311&gt;600,1,0)</f>
        <v/>
      </c>
      <c r="P4311" s="25">
        <f>IF(H4311&gt;0,J4311,"")</f>
        <v/>
      </c>
      <c r="Q4311" s="25">
        <f>TEXT(A4311,"YYYY-MM-DD HH")</f>
        <v/>
      </c>
      <c r="R4311" s="25">
        <f>COUNTIF($Q$2:$Q$5295,Q4311)</f>
        <v/>
      </c>
      <c r="S4311" s="25">
        <f>IF(R4311&lt;=2,"1-2",IF(R4311&lt;=5,"3-5",IF(R4311&lt;=10,"6-10","11+")))</f>
        <v/>
      </c>
    </row>
    <row r="4312">
      <c r="A4312" s="39" t="n">
        <v>46223.46262731482</v>
      </c>
      <c r="B4312" s="25">
        <f>TEXT(A4312,"YYYY-MM")</f>
        <v/>
      </c>
      <c r="C4312" s="25">
        <f>TEXT(A4312,"MMM-YYYY")</f>
        <v/>
      </c>
      <c r="D4312" s="40">
        <f>INT(A4312)-WEEKDAY(A4312,2)+1</f>
        <v/>
      </c>
      <c r="E4312" s="25" t="inlineStr">
        <is>
          <t>emishra</t>
        </is>
      </c>
      <c r="F4312" s="25" t="n">
        <v>128784</v>
      </c>
      <c r="G4312" s="25" t="n">
        <v>2</v>
      </c>
      <c r="H4312" s="25" t="n">
        <v>10</v>
      </c>
      <c r="I4312" s="25" t="inlineStr">
        <is>
          <t>1 minute(s) and 52 second(s)</t>
        </is>
      </c>
      <c r="J4312" s="25">
        <f>IFERROR(VALUE(TRIM(LEFT(I4312,FIND("minute",I4312)-1)))*60,0)+IFERROR(VALUE(SUBSTITUTE(MID(I4312,IFERROR(FIND("and",I4312)+3,1),20),"second(s)","")),0)</f>
        <v/>
      </c>
      <c r="K4312" s="41">
        <f>J4312/60</f>
        <v/>
      </c>
      <c r="L4312" s="41">
        <f>IFERROR(J4312/H4312,"")</f>
        <v/>
      </c>
      <c r="M4312" s="25" t="inlineStr">
        <is>
          <t>2.5.12</t>
        </is>
      </c>
      <c r="N4312" s="25">
        <f>IF(J4312&gt;300,1,0)</f>
        <v/>
      </c>
      <c r="O4312" s="25">
        <f>IF(J4312&gt;600,1,0)</f>
        <v/>
      </c>
      <c r="P4312" s="25">
        <f>IF(H4312&gt;0,J4312,"")</f>
        <v/>
      </c>
      <c r="Q4312" s="25">
        <f>TEXT(A4312,"YYYY-MM-DD HH")</f>
        <v/>
      </c>
      <c r="R4312" s="25">
        <f>COUNTIF($Q$2:$Q$5295,Q4312)</f>
        <v/>
      </c>
      <c r="S4312" s="25">
        <f>IF(R4312&lt;=2,"1-2",IF(R4312&lt;=5,"3-5",IF(R4312&lt;=10,"6-10","11+")))</f>
        <v/>
      </c>
    </row>
    <row r="4313">
      <c r="A4313" s="39" t="n">
        <v>46223.46392361111</v>
      </c>
      <c r="B4313" s="25">
        <f>TEXT(A4313,"YYYY-MM")</f>
        <v/>
      </c>
      <c r="C4313" s="25">
        <f>TEXT(A4313,"MMM-YYYY")</f>
        <v/>
      </c>
      <c r="D4313" s="40">
        <f>INT(A4313)-WEEKDAY(A4313,2)+1</f>
        <v/>
      </c>
      <c r="E4313" s="25" t="inlineStr">
        <is>
          <t>bverma</t>
        </is>
      </c>
      <c r="F4313" s="25" t="n">
        <v>129259</v>
      </c>
      <c r="G4313" s="25" t="n">
        <v>2</v>
      </c>
      <c r="H4313" s="25" t="n">
        <v>12</v>
      </c>
      <c r="I4313" s="25" t="inlineStr">
        <is>
          <t>1 minute(s) and 7 second(s)</t>
        </is>
      </c>
      <c r="J4313" s="25">
        <f>IFERROR(VALUE(TRIM(LEFT(I4313,FIND("minute",I4313)-1)))*60,0)+IFERROR(VALUE(SUBSTITUTE(MID(I4313,IFERROR(FIND("and",I4313)+3,1),20),"second(s)","")),0)</f>
        <v/>
      </c>
      <c r="K4313" s="41">
        <f>J4313/60</f>
        <v/>
      </c>
      <c r="L4313" s="41">
        <f>IFERROR(J4313/H4313,"")</f>
        <v/>
      </c>
      <c r="M4313" s="25" t="inlineStr">
        <is>
          <t>2.5.12</t>
        </is>
      </c>
      <c r="N4313" s="25">
        <f>IF(J4313&gt;300,1,0)</f>
        <v/>
      </c>
      <c r="O4313" s="25">
        <f>IF(J4313&gt;600,1,0)</f>
        <v/>
      </c>
      <c r="P4313" s="25">
        <f>IF(H4313&gt;0,J4313,"")</f>
        <v/>
      </c>
      <c r="Q4313" s="25">
        <f>TEXT(A4313,"YYYY-MM-DD HH")</f>
        <v/>
      </c>
      <c r="R4313" s="25">
        <f>COUNTIF($Q$2:$Q$5295,Q4313)</f>
        <v/>
      </c>
      <c r="S4313" s="25">
        <f>IF(R4313&lt;=2,"1-2",IF(R4313&lt;=5,"3-5",IF(R4313&lt;=10,"6-10","11+")))</f>
        <v/>
      </c>
    </row>
    <row r="4314">
      <c r="A4314" s="39" t="n">
        <v>46223.46831018518</v>
      </c>
      <c r="B4314" s="25">
        <f>TEXT(A4314,"YYYY-MM")</f>
        <v/>
      </c>
      <c r="C4314" s="25">
        <f>TEXT(A4314,"MMM-YYYY")</f>
        <v/>
      </c>
      <c r="D4314" s="40">
        <f>INT(A4314)-WEEKDAY(A4314,2)+1</f>
        <v/>
      </c>
      <c r="E4314" s="25" t="inlineStr">
        <is>
          <t>ethomas</t>
        </is>
      </c>
      <c r="F4314" s="25" t="n">
        <v>128896</v>
      </c>
      <c r="G4314" s="25" t="n">
        <v>1</v>
      </c>
      <c r="H4314" s="25" t="n">
        <v>7</v>
      </c>
      <c r="I4314" s="25" t="inlineStr">
        <is>
          <t>42 second(s)</t>
        </is>
      </c>
      <c r="J4314" s="25">
        <f>IFERROR(VALUE(TRIM(LEFT(I4314,FIND("minute",I4314)-1)))*60,0)+IFERROR(VALUE(SUBSTITUTE(MID(I4314,IFERROR(FIND("and",I4314)+3,1),20),"second(s)","")),0)</f>
        <v/>
      </c>
      <c r="K4314" s="41">
        <f>J4314/60</f>
        <v/>
      </c>
      <c r="L4314" s="41">
        <f>IFERROR(J4314/H4314,"")</f>
        <v/>
      </c>
      <c r="M4314" s="25" t="inlineStr">
        <is>
          <t>2.5.12</t>
        </is>
      </c>
      <c r="N4314" s="25">
        <f>IF(J4314&gt;300,1,0)</f>
        <v/>
      </c>
      <c r="O4314" s="25">
        <f>IF(J4314&gt;600,1,0)</f>
        <v/>
      </c>
      <c r="P4314" s="25">
        <f>IF(H4314&gt;0,J4314,"")</f>
        <v/>
      </c>
      <c r="Q4314" s="25">
        <f>TEXT(A4314,"YYYY-MM-DD HH")</f>
        <v/>
      </c>
      <c r="R4314" s="25">
        <f>COUNTIF($Q$2:$Q$5295,Q4314)</f>
        <v/>
      </c>
      <c r="S4314" s="25">
        <f>IF(R4314&lt;=2,"1-2",IF(R4314&lt;=5,"3-5",IF(R4314&lt;=10,"6-10","11+")))</f>
        <v/>
      </c>
    </row>
    <row r="4315">
      <c r="A4315" s="39" t="n">
        <v>46223.48516203704</v>
      </c>
      <c r="B4315" s="25">
        <f>TEXT(A4315,"YYYY-MM")</f>
        <v/>
      </c>
      <c r="C4315" s="25">
        <f>TEXT(A4315,"MMM-YYYY")</f>
        <v/>
      </c>
      <c r="D4315" s="40">
        <f>INT(A4315)-WEEKDAY(A4315,2)+1</f>
        <v/>
      </c>
      <c r="E4315" s="25" t="inlineStr">
        <is>
          <t>mbhalla</t>
        </is>
      </c>
      <c r="F4315" s="25" t="n">
        <v>132401</v>
      </c>
      <c r="G4315" s="25" t="n">
        <v>2</v>
      </c>
      <c r="H4315" s="25" t="n">
        <v>12</v>
      </c>
      <c r="I4315" s="25" t="inlineStr">
        <is>
          <t>1 minute(s) and 3 second(s)</t>
        </is>
      </c>
      <c r="J4315" s="25">
        <f>IFERROR(VALUE(TRIM(LEFT(I4315,FIND("minute",I4315)-1)))*60,0)+IFERROR(VALUE(SUBSTITUTE(MID(I4315,IFERROR(FIND("and",I4315)+3,1),20),"second(s)","")),0)</f>
        <v/>
      </c>
      <c r="K4315" s="41">
        <f>J4315/60</f>
        <v/>
      </c>
      <c r="L4315" s="41">
        <f>IFERROR(J4315/H4315,"")</f>
        <v/>
      </c>
      <c r="M4315" s="25" t="inlineStr">
        <is>
          <t>2.5.12</t>
        </is>
      </c>
      <c r="N4315" s="25">
        <f>IF(J4315&gt;300,1,0)</f>
        <v/>
      </c>
      <c r="O4315" s="25">
        <f>IF(J4315&gt;600,1,0)</f>
        <v/>
      </c>
      <c r="P4315" s="25">
        <f>IF(H4315&gt;0,J4315,"")</f>
        <v/>
      </c>
      <c r="Q4315" s="25">
        <f>TEXT(A4315,"YYYY-MM-DD HH")</f>
        <v/>
      </c>
      <c r="R4315" s="25">
        <f>COUNTIF($Q$2:$Q$5295,Q4315)</f>
        <v/>
      </c>
      <c r="S4315" s="25">
        <f>IF(R4315&lt;=2,"1-2",IF(R4315&lt;=5,"3-5",IF(R4315&lt;=10,"6-10","11+")))</f>
        <v/>
      </c>
    </row>
    <row r="4316">
      <c r="A4316" s="39" t="n">
        <v>46223.49009259259</v>
      </c>
      <c r="B4316" s="25">
        <f>TEXT(A4316,"YYYY-MM")</f>
        <v/>
      </c>
      <c r="C4316" s="25">
        <f>TEXT(A4316,"MMM-YYYY")</f>
        <v/>
      </c>
      <c r="D4316" s="40">
        <f>INT(A4316)-WEEKDAY(A4316,2)+1</f>
        <v/>
      </c>
      <c r="E4316" s="25" t="inlineStr">
        <is>
          <t>aghosh</t>
        </is>
      </c>
      <c r="F4316" s="25" t="n">
        <v>128835</v>
      </c>
      <c r="G4316" s="25" t="n">
        <v>2</v>
      </c>
      <c r="H4316" s="25" t="n">
        <v>8</v>
      </c>
      <c r="I4316" s="25" t="inlineStr">
        <is>
          <t>54 second(s)</t>
        </is>
      </c>
      <c r="J4316" s="25">
        <f>IFERROR(VALUE(TRIM(LEFT(I4316,FIND("minute",I4316)-1)))*60,0)+IFERROR(VALUE(SUBSTITUTE(MID(I4316,IFERROR(FIND("and",I4316)+3,1),20),"second(s)","")),0)</f>
        <v/>
      </c>
      <c r="K4316" s="41">
        <f>J4316/60</f>
        <v/>
      </c>
      <c r="L4316" s="41">
        <f>IFERROR(J4316/H4316,"")</f>
        <v/>
      </c>
      <c r="M4316" s="25" t="inlineStr">
        <is>
          <t>2.5.12</t>
        </is>
      </c>
      <c r="N4316" s="25">
        <f>IF(J4316&gt;300,1,0)</f>
        <v/>
      </c>
      <c r="O4316" s="25">
        <f>IF(J4316&gt;600,1,0)</f>
        <v/>
      </c>
      <c r="P4316" s="25">
        <f>IF(H4316&gt;0,J4316,"")</f>
        <v/>
      </c>
      <c r="Q4316" s="25">
        <f>TEXT(A4316,"YYYY-MM-DD HH")</f>
        <v/>
      </c>
      <c r="R4316" s="25">
        <f>COUNTIF($Q$2:$Q$5295,Q4316)</f>
        <v/>
      </c>
      <c r="S4316" s="25">
        <f>IF(R4316&lt;=2,"1-2",IF(R4316&lt;=5,"3-5",IF(R4316&lt;=10,"6-10","11+")))</f>
        <v/>
      </c>
    </row>
    <row r="4317">
      <c r="A4317" s="39" t="n">
        <v>46223.50172453704</v>
      </c>
      <c r="B4317" s="25">
        <f>TEXT(A4317,"YYYY-MM")</f>
        <v/>
      </c>
      <c r="C4317" s="25">
        <f>TEXT(A4317,"MMM-YYYY")</f>
        <v/>
      </c>
      <c r="D4317" s="40">
        <f>INT(A4317)-WEEKDAY(A4317,2)+1</f>
        <v/>
      </c>
      <c r="E4317" s="25" t="inlineStr">
        <is>
          <t>sthomas</t>
        </is>
      </c>
      <c r="F4317" s="25" t="n">
        <v>128756</v>
      </c>
      <c r="G4317" s="25" t="n">
        <v>3</v>
      </c>
      <c r="H4317" s="25" t="n">
        <v>15</v>
      </c>
      <c r="I4317" s="25" t="inlineStr">
        <is>
          <t>1 minute(s) and 35 second(s)</t>
        </is>
      </c>
      <c r="J4317" s="25">
        <f>IFERROR(VALUE(TRIM(LEFT(I4317,FIND("minute",I4317)-1)))*60,0)+IFERROR(VALUE(SUBSTITUTE(MID(I4317,IFERROR(FIND("and",I4317)+3,1),20),"second(s)","")),0)</f>
        <v/>
      </c>
      <c r="K4317" s="41">
        <f>J4317/60</f>
        <v/>
      </c>
      <c r="L4317" s="41">
        <f>IFERROR(J4317/H4317,"")</f>
        <v/>
      </c>
      <c r="M4317" s="25" t="inlineStr">
        <is>
          <t>2.5.12</t>
        </is>
      </c>
      <c r="N4317" s="25">
        <f>IF(J4317&gt;300,1,0)</f>
        <v/>
      </c>
      <c r="O4317" s="25">
        <f>IF(J4317&gt;600,1,0)</f>
        <v/>
      </c>
      <c r="P4317" s="25">
        <f>IF(H4317&gt;0,J4317,"")</f>
        <v/>
      </c>
      <c r="Q4317" s="25">
        <f>TEXT(A4317,"YYYY-MM-DD HH")</f>
        <v/>
      </c>
      <c r="R4317" s="25">
        <f>COUNTIF($Q$2:$Q$5295,Q4317)</f>
        <v/>
      </c>
      <c r="S4317" s="25">
        <f>IF(R4317&lt;=2,"1-2",IF(R4317&lt;=5,"3-5",IF(R4317&lt;=10,"6-10","11+")))</f>
        <v/>
      </c>
    </row>
    <row r="4318">
      <c r="A4318" s="39" t="n">
        <v>46223.50945601852</v>
      </c>
      <c r="B4318" s="25">
        <f>TEXT(A4318,"YYYY-MM")</f>
        <v/>
      </c>
      <c r="C4318" s="25">
        <f>TEXT(A4318,"MMM-YYYY")</f>
        <v/>
      </c>
      <c r="D4318" s="40">
        <f>INT(A4318)-WEEKDAY(A4318,2)+1</f>
        <v/>
      </c>
      <c r="E4318" s="25" t="inlineStr">
        <is>
          <t>mgupta</t>
        </is>
      </c>
      <c r="F4318" s="25" t="n">
        <v>130034</v>
      </c>
      <c r="G4318" s="25" t="n">
        <v>4</v>
      </c>
      <c r="H4318" s="25" t="n">
        <v>14</v>
      </c>
      <c r="I4318" s="25" t="inlineStr">
        <is>
          <t>1 minute(s) and 15 second(s)</t>
        </is>
      </c>
      <c r="J4318" s="25">
        <f>IFERROR(VALUE(TRIM(LEFT(I4318,FIND("minute",I4318)-1)))*60,0)+IFERROR(VALUE(SUBSTITUTE(MID(I4318,IFERROR(FIND("and",I4318)+3,1),20),"second(s)","")),0)</f>
        <v/>
      </c>
      <c r="K4318" s="41">
        <f>J4318/60</f>
        <v/>
      </c>
      <c r="L4318" s="41">
        <f>IFERROR(J4318/H4318,"")</f>
        <v/>
      </c>
      <c r="M4318" s="25" t="inlineStr">
        <is>
          <t>2.5.12</t>
        </is>
      </c>
      <c r="N4318" s="25">
        <f>IF(J4318&gt;300,1,0)</f>
        <v/>
      </c>
      <c r="O4318" s="25">
        <f>IF(J4318&gt;600,1,0)</f>
        <v/>
      </c>
      <c r="P4318" s="25">
        <f>IF(H4318&gt;0,J4318,"")</f>
        <v/>
      </c>
      <c r="Q4318" s="25">
        <f>TEXT(A4318,"YYYY-MM-DD HH")</f>
        <v/>
      </c>
      <c r="R4318" s="25">
        <f>COUNTIF($Q$2:$Q$5295,Q4318)</f>
        <v/>
      </c>
      <c r="S4318" s="25">
        <f>IF(R4318&lt;=2,"1-2",IF(R4318&lt;=5,"3-5",IF(R4318&lt;=10,"6-10","11+")))</f>
        <v/>
      </c>
    </row>
    <row r="4319">
      <c r="A4319" s="39" t="n">
        <v>46223.51755787037</v>
      </c>
      <c r="B4319" s="25">
        <f>TEXT(A4319,"YYYY-MM")</f>
        <v/>
      </c>
      <c r="C4319" s="25">
        <f>TEXT(A4319,"MMM-YYYY")</f>
        <v/>
      </c>
      <c r="D4319" s="40">
        <f>INT(A4319)-WEEKDAY(A4319,2)+1</f>
        <v/>
      </c>
      <c r="E4319" s="25" t="inlineStr">
        <is>
          <t>tkarmakar</t>
        </is>
      </c>
      <c r="F4319" s="25" t="n">
        <v>130538</v>
      </c>
      <c r="G4319" s="25" t="n">
        <v>2</v>
      </c>
      <c r="H4319" s="25" t="n">
        <v>8</v>
      </c>
      <c r="I4319" s="25" t="inlineStr">
        <is>
          <t>40 second(s)</t>
        </is>
      </c>
      <c r="J4319" s="25">
        <f>IFERROR(VALUE(TRIM(LEFT(I4319,FIND("minute",I4319)-1)))*60,0)+IFERROR(VALUE(SUBSTITUTE(MID(I4319,IFERROR(FIND("and",I4319)+3,1),20),"second(s)","")),0)</f>
        <v/>
      </c>
      <c r="K4319" s="41">
        <f>J4319/60</f>
        <v/>
      </c>
      <c r="L4319" s="41">
        <f>IFERROR(J4319/H4319,"")</f>
        <v/>
      </c>
      <c r="M4319" s="25" t="inlineStr">
        <is>
          <t>2.5.12</t>
        </is>
      </c>
      <c r="N4319" s="25">
        <f>IF(J4319&gt;300,1,0)</f>
        <v/>
      </c>
      <c r="O4319" s="25">
        <f>IF(J4319&gt;600,1,0)</f>
        <v/>
      </c>
      <c r="P4319" s="25">
        <f>IF(H4319&gt;0,J4319,"")</f>
        <v/>
      </c>
      <c r="Q4319" s="25">
        <f>TEXT(A4319,"YYYY-MM-DD HH")</f>
        <v/>
      </c>
      <c r="R4319" s="25">
        <f>COUNTIF($Q$2:$Q$5295,Q4319)</f>
        <v/>
      </c>
      <c r="S4319" s="25">
        <f>IF(R4319&lt;=2,"1-2",IF(R4319&lt;=5,"3-5",IF(R4319&lt;=10,"6-10","11+")))</f>
        <v/>
      </c>
    </row>
    <row r="4320">
      <c r="A4320" s="39" t="n">
        <v>46223.52107638889</v>
      </c>
      <c r="B4320" s="25">
        <f>TEXT(A4320,"YYYY-MM")</f>
        <v/>
      </c>
      <c r="C4320" s="25">
        <f>TEXT(A4320,"MMM-YYYY")</f>
        <v/>
      </c>
      <c r="D4320" s="40">
        <f>INT(A4320)-WEEKDAY(A4320,2)+1</f>
        <v/>
      </c>
      <c r="E4320" s="25" t="inlineStr">
        <is>
          <t>emishra</t>
        </is>
      </c>
      <c r="F4320" s="25" t="n">
        <v>128808</v>
      </c>
      <c r="G4320" s="25" t="n">
        <v>1</v>
      </c>
      <c r="H4320" s="25" t="n">
        <v>5</v>
      </c>
      <c r="I4320" s="25" t="inlineStr">
        <is>
          <t>27 second(s)</t>
        </is>
      </c>
      <c r="J4320" s="25">
        <f>IFERROR(VALUE(TRIM(LEFT(I4320,FIND("minute",I4320)-1)))*60,0)+IFERROR(VALUE(SUBSTITUTE(MID(I4320,IFERROR(FIND("and",I4320)+3,1),20),"second(s)","")),0)</f>
        <v/>
      </c>
      <c r="K4320" s="41">
        <f>J4320/60</f>
        <v/>
      </c>
      <c r="L4320" s="41">
        <f>IFERROR(J4320/H4320,"")</f>
        <v/>
      </c>
      <c r="M4320" s="25" t="inlineStr">
        <is>
          <t>2.5.12</t>
        </is>
      </c>
      <c r="N4320" s="25">
        <f>IF(J4320&gt;300,1,0)</f>
        <v/>
      </c>
      <c r="O4320" s="25">
        <f>IF(J4320&gt;600,1,0)</f>
        <v/>
      </c>
      <c r="P4320" s="25">
        <f>IF(H4320&gt;0,J4320,"")</f>
        <v/>
      </c>
      <c r="Q4320" s="25">
        <f>TEXT(A4320,"YYYY-MM-DD HH")</f>
        <v/>
      </c>
      <c r="R4320" s="25">
        <f>COUNTIF($Q$2:$Q$5295,Q4320)</f>
        <v/>
      </c>
      <c r="S4320" s="25">
        <f>IF(R4320&lt;=2,"1-2",IF(R4320&lt;=5,"3-5",IF(R4320&lt;=10,"6-10","11+")))</f>
        <v/>
      </c>
    </row>
    <row r="4321">
      <c r="A4321" s="39" t="n">
        <v>46223.52350694445</v>
      </c>
      <c r="B4321" s="25">
        <f>TEXT(A4321,"YYYY-MM")</f>
        <v/>
      </c>
      <c r="C4321" s="25">
        <f>TEXT(A4321,"MMM-YYYY")</f>
        <v/>
      </c>
      <c r="D4321" s="40">
        <f>INT(A4321)-WEEKDAY(A4321,2)+1</f>
        <v/>
      </c>
      <c r="E4321" s="25" t="inlineStr">
        <is>
          <t>bverma</t>
        </is>
      </c>
      <c r="F4321" s="25" t="n">
        <v>132539</v>
      </c>
      <c r="G4321" s="25" t="n">
        <v>4</v>
      </c>
      <c r="H4321" s="25" t="n">
        <v>28</v>
      </c>
      <c r="I4321" s="25" t="inlineStr">
        <is>
          <t>4 minute(s) and 37 second(s)</t>
        </is>
      </c>
      <c r="J4321" s="25">
        <f>IFERROR(VALUE(TRIM(LEFT(I4321,FIND("minute",I4321)-1)))*60,0)+IFERROR(VALUE(SUBSTITUTE(MID(I4321,IFERROR(FIND("and",I4321)+3,1),20),"second(s)","")),0)</f>
        <v/>
      </c>
      <c r="K4321" s="41">
        <f>J4321/60</f>
        <v/>
      </c>
      <c r="L4321" s="41">
        <f>IFERROR(J4321/H4321,"")</f>
        <v/>
      </c>
      <c r="M4321" s="25" t="inlineStr">
        <is>
          <t>2.5.12</t>
        </is>
      </c>
      <c r="N4321" s="25">
        <f>IF(J4321&gt;300,1,0)</f>
        <v/>
      </c>
      <c r="O4321" s="25">
        <f>IF(J4321&gt;600,1,0)</f>
        <v/>
      </c>
      <c r="P4321" s="25">
        <f>IF(H4321&gt;0,J4321,"")</f>
        <v/>
      </c>
      <c r="Q4321" s="25">
        <f>TEXT(A4321,"YYYY-MM-DD HH")</f>
        <v/>
      </c>
      <c r="R4321" s="25">
        <f>COUNTIF($Q$2:$Q$5295,Q4321)</f>
        <v/>
      </c>
      <c r="S4321" s="25">
        <f>IF(R4321&lt;=2,"1-2",IF(R4321&lt;=5,"3-5",IF(R4321&lt;=10,"6-10","11+")))</f>
        <v/>
      </c>
    </row>
    <row r="4322">
      <c r="A4322" s="39" t="n">
        <v>46223.5283912037</v>
      </c>
      <c r="B4322" s="25">
        <f>TEXT(A4322,"YYYY-MM")</f>
        <v/>
      </c>
      <c r="C4322" s="25">
        <f>TEXT(A4322,"MMM-YYYY")</f>
        <v/>
      </c>
      <c r="D4322" s="40">
        <f>INT(A4322)-WEEKDAY(A4322,2)+1</f>
        <v/>
      </c>
      <c r="E4322" s="25" t="inlineStr">
        <is>
          <t>sasharma</t>
        </is>
      </c>
      <c r="F4322" s="25" t="n">
        <v>131491</v>
      </c>
      <c r="G4322" s="25" t="n">
        <v>1</v>
      </c>
      <c r="H4322" s="25" t="n">
        <v>5</v>
      </c>
      <c r="I4322" s="25" t="inlineStr">
        <is>
          <t>22 second(s)</t>
        </is>
      </c>
      <c r="J4322" s="25">
        <f>IFERROR(VALUE(TRIM(LEFT(I4322,FIND("minute",I4322)-1)))*60,0)+IFERROR(VALUE(SUBSTITUTE(MID(I4322,IFERROR(FIND("and",I4322)+3,1),20),"second(s)","")),0)</f>
        <v/>
      </c>
      <c r="K4322" s="41">
        <f>J4322/60</f>
        <v/>
      </c>
      <c r="L4322" s="41">
        <f>IFERROR(J4322/H4322,"")</f>
        <v/>
      </c>
      <c r="M4322" s="25" t="inlineStr">
        <is>
          <t>2.5.12</t>
        </is>
      </c>
      <c r="N4322" s="25">
        <f>IF(J4322&gt;300,1,0)</f>
        <v/>
      </c>
      <c r="O4322" s="25">
        <f>IF(J4322&gt;600,1,0)</f>
        <v/>
      </c>
      <c r="P4322" s="25">
        <f>IF(H4322&gt;0,J4322,"")</f>
        <v/>
      </c>
      <c r="Q4322" s="25">
        <f>TEXT(A4322,"YYYY-MM-DD HH")</f>
        <v/>
      </c>
      <c r="R4322" s="25">
        <f>COUNTIF($Q$2:$Q$5295,Q4322)</f>
        <v/>
      </c>
      <c r="S4322" s="25">
        <f>IF(R4322&lt;=2,"1-2",IF(R4322&lt;=5,"3-5",IF(R4322&lt;=10,"6-10","11+")))</f>
        <v/>
      </c>
    </row>
    <row r="4323">
      <c r="A4323" s="39" t="n">
        <v>46223.53074074074</v>
      </c>
      <c r="B4323" s="25">
        <f>TEXT(A4323,"YYYY-MM")</f>
        <v/>
      </c>
      <c r="C4323" s="25">
        <f>TEXT(A4323,"MMM-YYYY")</f>
        <v/>
      </c>
      <c r="D4323" s="40">
        <f>INT(A4323)-WEEKDAY(A4323,2)+1</f>
        <v/>
      </c>
      <c r="E4323" s="25" t="inlineStr">
        <is>
          <t>sdey</t>
        </is>
      </c>
      <c r="F4323" s="25" t="n">
        <v>129142</v>
      </c>
      <c r="G4323" s="25" t="n">
        <v>3</v>
      </c>
      <c r="H4323" s="25" t="n">
        <v>13</v>
      </c>
      <c r="I4323" s="25" t="inlineStr">
        <is>
          <t>1 minute(s) and 10 second(s)</t>
        </is>
      </c>
      <c r="J4323" s="25">
        <f>IFERROR(VALUE(TRIM(LEFT(I4323,FIND("minute",I4323)-1)))*60,0)+IFERROR(VALUE(SUBSTITUTE(MID(I4323,IFERROR(FIND("and",I4323)+3,1),20),"second(s)","")),0)</f>
        <v/>
      </c>
      <c r="K4323" s="41">
        <f>J4323/60</f>
        <v/>
      </c>
      <c r="L4323" s="41">
        <f>IFERROR(J4323/H4323,"")</f>
        <v/>
      </c>
      <c r="M4323" s="25" t="inlineStr">
        <is>
          <t>2.5.12</t>
        </is>
      </c>
      <c r="N4323" s="25">
        <f>IF(J4323&gt;300,1,0)</f>
        <v/>
      </c>
      <c r="O4323" s="25">
        <f>IF(J4323&gt;600,1,0)</f>
        <v/>
      </c>
      <c r="P4323" s="25">
        <f>IF(H4323&gt;0,J4323,"")</f>
        <v/>
      </c>
      <c r="Q4323" s="25">
        <f>TEXT(A4323,"YYYY-MM-DD HH")</f>
        <v/>
      </c>
      <c r="R4323" s="25">
        <f>COUNTIF($Q$2:$Q$5295,Q4323)</f>
        <v/>
      </c>
      <c r="S4323" s="25">
        <f>IF(R4323&lt;=2,"1-2",IF(R4323&lt;=5,"3-5",IF(R4323&lt;=10,"6-10","11+")))</f>
        <v/>
      </c>
    </row>
    <row r="4324">
      <c r="A4324" s="39" t="n">
        <v>46223.5503587963</v>
      </c>
      <c r="B4324" s="25">
        <f>TEXT(A4324,"YYYY-MM")</f>
        <v/>
      </c>
      <c r="C4324" s="25">
        <f>TEXT(A4324,"MMM-YYYY")</f>
        <v/>
      </c>
      <c r="D4324" s="40">
        <f>INT(A4324)-WEEKDAY(A4324,2)+1</f>
        <v/>
      </c>
      <c r="E4324" s="25" t="inlineStr">
        <is>
          <t>rsingh</t>
        </is>
      </c>
      <c r="F4324" s="25" t="n">
        <v>132337</v>
      </c>
      <c r="G4324" s="25" t="n">
        <v>4</v>
      </c>
      <c r="H4324" s="25" t="n">
        <v>20</v>
      </c>
      <c r="I4324" s="25" t="inlineStr">
        <is>
          <t>2 minute(s) and 11 second(s)</t>
        </is>
      </c>
      <c r="J4324" s="25">
        <f>IFERROR(VALUE(TRIM(LEFT(I4324,FIND("minute",I4324)-1)))*60,0)+IFERROR(VALUE(SUBSTITUTE(MID(I4324,IFERROR(FIND("and",I4324)+3,1),20),"second(s)","")),0)</f>
        <v/>
      </c>
      <c r="K4324" s="41">
        <f>J4324/60</f>
        <v/>
      </c>
      <c r="L4324" s="41">
        <f>IFERROR(J4324/H4324,"")</f>
        <v/>
      </c>
      <c r="M4324" s="25" t="inlineStr">
        <is>
          <t>2.5.12</t>
        </is>
      </c>
      <c r="N4324" s="25">
        <f>IF(J4324&gt;300,1,0)</f>
        <v/>
      </c>
      <c r="O4324" s="25">
        <f>IF(J4324&gt;600,1,0)</f>
        <v/>
      </c>
      <c r="P4324" s="25">
        <f>IF(H4324&gt;0,J4324,"")</f>
        <v/>
      </c>
      <c r="Q4324" s="25">
        <f>TEXT(A4324,"YYYY-MM-DD HH")</f>
        <v/>
      </c>
      <c r="R4324" s="25">
        <f>COUNTIF($Q$2:$Q$5295,Q4324)</f>
        <v/>
      </c>
      <c r="S4324" s="25">
        <f>IF(R4324&lt;=2,"1-2",IF(R4324&lt;=5,"3-5",IF(R4324&lt;=10,"6-10","11+")))</f>
        <v/>
      </c>
    </row>
    <row r="4325">
      <c r="A4325" s="39" t="n">
        <v>46223.55289351852</v>
      </c>
      <c r="B4325" s="25">
        <f>TEXT(A4325,"YYYY-MM")</f>
        <v/>
      </c>
      <c r="C4325" s="25">
        <f>TEXT(A4325,"MMM-YYYY")</f>
        <v/>
      </c>
      <c r="D4325" s="40">
        <f>INT(A4325)-WEEKDAY(A4325,2)+1</f>
        <v/>
      </c>
      <c r="E4325" s="25" t="inlineStr">
        <is>
          <t>aghosh</t>
        </is>
      </c>
      <c r="F4325" s="25" t="n">
        <v>128827</v>
      </c>
      <c r="G4325" s="25" t="n">
        <v>2</v>
      </c>
      <c r="H4325" s="25" t="n">
        <v>14</v>
      </c>
      <c r="I4325" s="25" t="inlineStr">
        <is>
          <t>1 minute(s) and 22 second(s)</t>
        </is>
      </c>
      <c r="J4325" s="25">
        <f>IFERROR(VALUE(TRIM(LEFT(I4325,FIND("minute",I4325)-1)))*60,0)+IFERROR(VALUE(SUBSTITUTE(MID(I4325,IFERROR(FIND("and",I4325)+3,1),20),"second(s)","")),0)</f>
        <v/>
      </c>
      <c r="K4325" s="41">
        <f>J4325/60</f>
        <v/>
      </c>
      <c r="L4325" s="41">
        <f>IFERROR(J4325/H4325,"")</f>
        <v/>
      </c>
      <c r="M4325" s="25" t="inlineStr">
        <is>
          <t>2.5.12</t>
        </is>
      </c>
      <c r="N4325" s="25">
        <f>IF(J4325&gt;300,1,0)</f>
        <v/>
      </c>
      <c r="O4325" s="25">
        <f>IF(J4325&gt;600,1,0)</f>
        <v/>
      </c>
      <c r="P4325" s="25">
        <f>IF(H4325&gt;0,J4325,"")</f>
        <v/>
      </c>
      <c r="Q4325" s="25">
        <f>TEXT(A4325,"YYYY-MM-DD HH")</f>
        <v/>
      </c>
      <c r="R4325" s="25">
        <f>COUNTIF($Q$2:$Q$5295,Q4325)</f>
        <v/>
      </c>
      <c r="S4325" s="25">
        <f>IF(R4325&lt;=2,"1-2",IF(R4325&lt;=5,"3-5",IF(R4325&lt;=10,"6-10","11+")))</f>
        <v/>
      </c>
    </row>
    <row r="4326">
      <c r="A4326" s="39" t="n">
        <v>46223.56619212963</v>
      </c>
      <c r="B4326" s="25">
        <f>TEXT(A4326,"YYYY-MM")</f>
        <v/>
      </c>
      <c r="C4326" s="25">
        <f>TEXT(A4326,"MMM-YYYY")</f>
        <v/>
      </c>
      <c r="D4326" s="40">
        <f>INT(A4326)-WEEKDAY(A4326,2)+1</f>
        <v/>
      </c>
      <c r="E4326" s="25" t="inlineStr">
        <is>
          <t>emishra</t>
        </is>
      </c>
      <c r="F4326" s="25" t="n">
        <v>128768</v>
      </c>
      <c r="G4326" s="25" t="n">
        <v>4</v>
      </c>
      <c r="H4326" s="25" t="n">
        <v>22</v>
      </c>
      <c r="I4326" s="25" t="inlineStr">
        <is>
          <t>1 minute(s) and 57 second(s)</t>
        </is>
      </c>
      <c r="J4326" s="25">
        <f>IFERROR(VALUE(TRIM(LEFT(I4326,FIND("minute",I4326)-1)))*60,0)+IFERROR(VALUE(SUBSTITUTE(MID(I4326,IFERROR(FIND("and",I4326)+3,1),20),"second(s)","")),0)</f>
        <v/>
      </c>
      <c r="K4326" s="41">
        <f>J4326/60</f>
        <v/>
      </c>
      <c r="L4326" s="41">
        <f>IFERROR(J4326/H4326,"")</f>
        <v/>
      </c>
      <c r="M4326" s="25" t="inlineStr">
        <is>
          <t>2.5.12</t>
        </is>
      </c>
      <c r="N4326" s="25">
        <f>IF(J4326&gt;300,1,0)</f>
        <v/>
      </c>
      <c r="O4326" s="25">
        <f>IF(J4326&gt;600,1,0)</f>
        <v/>
      </c>
      <c r="P4326" s="25">
        <f>IF(H4326&gt;0,J4326,"")</f>
        <v/>
      </c>
      <c r="Q4326" s="25">
        <f>TEXT(A4326,"YYYY-MM-DD HH")</f>
        <v/>
      </c>
      <c r="R4326" s="25">
        <f>COUNTIF($Q$2:$Q$5295,Q4326)</f>
        <v/>
      </c>
      <c r="S4326" s="25">
        <f>IF(R4326&lt;=2,"1-2",IF(R4326&lt;=5,"3-5",IF(R4326&lt;=10,"6-10","11+")))</f>
        <v/>
      </c>
    </row>
    <row r="4327">
      <c r="A4327" s="39" t="n">
        <v>46223.56788194444</v>
      </c>
      <c r="B4327" s="25">
        <f>TEXT(A4327,"YYYY-MM")</f>
        <v/>
      </c>
      <c r="C4327" s="25">
        <f>TEXT(A4327,"MMM-YYYY")</f>
        <v/>
      </c>
      <c r="D4327" s="40">
        <f>INT(A4327)-WEEKDAY(A4327,2)+1</f>
        <v/>
      </c>
      <c r="E4327" s="25" t="inlineStr">
        <is>
          <t>csaha</t>
        </is>
      </c>
      <c r="F4327" s="25" t="n">
        <v>132763</v>
      </c>
      <c r="G4327" s="25" t="n">
        <v>2</v>
      </c>
      <c r="H4327" s="25" t="n">
        <v>8</v>
      </c>
      <c r="I4327" s="25" t="inlineStr">
        <is>
          <t>39 second(s)</t>
        </is>
      </c>
      <c r="J4327" s="25">
        <f>IFERROR(VALUE(TRIM(LEFT(I4327,FIND("minute",I4327)-1)))*60,0)+IFERROR(VALUE(SUBSTITUTE(MID(I4327,IFERROR(FIND("and",I4327)+3,1),20),"second(s)","")),0)</f>
        <v/>
      </c>
      <c r="K4327" s="41">
        <f>J4327/60</f>
        <v/>
      </c>
      <c r="L4327" s="41">
        <f>IFERROR(J4327/H4327,"")</f>
        <v/>
      </c>
      <c r="M4327" s="25" t="inlineStr">
        <is>
          <t>2.5.12</t>
        </is>
      </c>
      <c r="N4327" s="25">
        <f>IF(J4327&gt;300,1,0)</f>
        <v/>
      </c>
      <c r="O4327" s="25">
        <f>IF(J4327&gt;600,1,0)</f>
        <v/>
      </c>
      <c r="P4327" s="25">
        <f>IF(H4327&gt;0,J4327,"")</f>
        <v/>
      </c>
      <c r="Q4327" s="25">
        <f>TEXT(A4327,"YYYY-MM-DD HH")</f>
        <v/>
      </c>
      <c r="R4327" s="25">
        <f>COUNTIF($Q$2:$Q$5295,Q4327)</f>
        <v/>
      </c>
      <c r="S4327" s="25">
        <f>IF(R4327&lt;=2,"1-2",IF(R4327&lt;=5,"3-5",IF(R4327&lt;=10,"6-10","11+")))</f>
        <v/>
      </c>
    </row>
    <row r="4328">
      <c r="A4328" s="39" t="n">
        <v>46223.60006944444</v>
      </c>
      <c r="B4328" s="25">
        <f>TEXT(A4328,"YYYY-MM")</f>
        <v/>
      </c>
      <c r="C4328" s="25">
        <f>TEXT(A4328,"MMM-YYYY")</f>
        <v/>
      </c>
      <c r="D4328" s="40">
        <f>INT(A4328)-WEEKDAY(A4328,2)+1</f>
        <v/>
      </c>
      <c r="E4328" s="25" t="inlineStr">
        <is>
          <t>rsingh</t>
        </is>
      </c>
      <c r="F4328" s="25" t="n">
        <v>132385</v>
      </c>
      <c r="G4328" s="25" t="n">
        <v>4</v>
      </c>
      <c r="H4328" s="25" t="n">
        <v>22</v>
      </c>
      <c r="I4328" s="25" t="inlineStr">
        <is>
          <t>3 minute(s) and 24 second(s)</t>
        </is>
      </c>
      <c r="J4328" s="25">
        <f>IFERROR(VALUE(TRIM(LEFT(I4328,FIND("minute",I4328)-1)))*60,0)+IFERROR(VALUE(SUBSTITUTE(MID(I4328,IFERROR(FIND("and",I4328)+3,1),20),"second(s)","")),0)</f>
        <v/>
      </c>
      <c r="K4328" s="41">
        <f>J4328/60</f>
        <v/>
      </c>
      <c r="L4328" s="41">
        <f>IFERROR(J4328/H4328,"")</f>
        <v/>
      </c>
      <c r="M4328" s="25" t="inlineStr">
        <is>
          <t>2.5.12</t>
        </is>
      </c>
      <c r="N4328" s="25">
        <f>IF(J4328&gt;300,1,0)</f>
        <v/>
      </c>
      <c r="O4328" s="25">
        <f>IF(J4328&gt;600,1,0)</f>
        <v/>
      </c>
      <c r="P4328" s="25">
        <f>IF(H4328&gt;0,J4328,"")</f>
        <v/>
      </c>
      <c r="Q4328" s="25">
        <f>TEXT(A4328,"YYYY-MM-DD HH")</f>
        <v/>
      </c>
      <c r="R4328" s="25">
        <f>COUNTIF($Q$2:$Q$5295,Q4328)</f>
        <v/>
      </c>
      <c r="S4328" s="25">
        <f>IF(R4328&lt;=2,"1-2",IF(R4328&lt;=5,"3-5",IF(R4328&lt;=10,"6-10","11+")))</f>
        <v/>
      </c>
    </row>
    <row r="4329">
      <c r="A4329" s="39" t="n">
        <v>46223.60712962963</v>
      </c>
      <c r="B4329" s="25">
        <f>TEXT(A4329,"YYYY-MM")</f>
        <v/>
      </c>
      <c r="C4329" s="25">
        <f>TEXT(A4329,"MMM-YYYY")</f>
        <v/>
      </c>
      <c r="D4329" s="40">
        <f>INT(A4329)-WEEKDAY(A4329,2)+1</f>
        <v/>
      </c>
      <c r="E4329" s="25" t="inlineStr">
        <is>
          <t>mbhalla</t>
        </is>
      </c>
      <c r="F4329" s="25" t="n">
        <v>132465</v>
      </c>
      <c r="G4329" s="25" t="n">
        <v>2</v>
      </c>
      <c r="H4329" s="25" t="n">
        <v>12</v>
      </c>
      <c r="I4329" s="25" t="inlineStr">
        <is>
          <t>55 second(s)</t>
        </is>
      </c>
      <c r="J4329" s="25">
        <f>IFERROR(VALUE(TRIM(LEFT(I4329,FIND("minute",I4329)-1)))*60,0)+IFERROR(VALUE(SUBSTITUTE(MID(I4329,IFERROR(FIND("and",I4329)+3,1),20),"second(s)","")),0)</f>
        <v/>
      </c>
      <c r="K4329" s="41">
        <f>J4329/60</f>
        <v/>
      </c>
      <c r="L4329" s="41">
        <f>IFERROR(J4329/H4329,"")</f>
        <v/>
      </c>
      <c r="M4329" s="25" t="inlineStr">
        <is>
          <t>2.5.12</t>
        </is>
      </c>
      <c r="N4329" s="25">
        <f>IF(J4329&gt;300,1,0)</f>
        <v/>
      </c>
      <c r="O4329" s="25">
        <f>IF(J4329&gt;600,1,0)</f>
        <v/>
      </c>
      <c r="P4329" s="25">
        <f>IF(H4329&gt;0,J4329,"")</f>
        <v/>
      </c>
      <c r="Q4329" s="25">
        <f>TEXT(A4329,"YYYY-MM-DD HH")</f>
        <v/>
      </c>
      <c r="R4329" s="25">
        <f>COUNTIF($Q$2:$Q$5295,Q4329)</f>
        <v/>
      </c>
      <c r="S4329" s="25">
        <f>IF(R4329&lt;=2,"1-2",IF(R4329&lt;=5,"3-5",IF(R4329&lt;=10,"6-10","11+")))</f>
        <v/>
      </c>
    </row>
    <row r="4330">
      <c r="A4330" s="39" t="n">
        <v>46223.61318287037</v>
      </c>
      <c r="B4330" s="25">
        <f>TEXT(A4330,"YYYY-MM")</f>
        <v/>
      </c>
      <c r="C4330" s="25">
        <f>TEXT(A4330,"MMM-YYYY")</f>
        <v/>
      </c>
      <c r="D4330" s="40">
        <f>INT(A4330)-WEEKDAY(A4330,2)+1</f>
        <v/>
      </c>
      <c r="E4330" s="25" t="inlineStr">
        <is>
          <t>hsindwani</t>
        </is>
      </c>
      <c r="F4330" s="25" t="n">
        <v>129184</v>
      </c>
      <c r="G4330" s="25" t="n">
        <v>4</v>
      </c>
      <c r="H4330" s="25" t="n">
        <v>28</v>
      </c>
      <c r="I4330" s="25" t="inlineStr">
        <is>
          <t>6 minute(s) and 0 second(s)</t>
        </is>
      </c>
      <c r="J4330" s="25">
        <f>IFERROR(VALUE(TRIM(LEFT(I4330,FIND("minute",I4330)-1)))*60,0)+IFERROR(VALUE(SUBSTITUTE(MID(I4330,IFERROR(FIND("and",I4330)+3,1),20),"second(s)","")),0)</f>
        <v/>
      </c>
      <c r="K4330" s="41">
        <f>J4330/60</f>
        <v/>
      </c>
      <c r="L4330" s="41">
        <f>IFERROR(J4330/H4330,"")</f>
        <v/>
      </c>
      <c r="M4330" s="25" t="inlineStr">
        <is>
          <t>2.5.12</t>
        </is>
      </c>
      <c r="N4330" s="25">
        <f>IF(J4330&gt;300,1,0)</f>
        <v/>
      </c>
      <c r="O4330" s="25">
        <f>IF(J4330&gt;600,1,0)</f>
        <v/>
      </c>
      <c r="P4330" s="25">
        <f>IF(H4330&gt;0,J4330,"")</f>
        <v/>
      </c>
      <c r="Q4330" s="25">
        <f>TEXT(A4330,"YYYY-MM-DD HH")</f>
        <v/>
      </c>
      <c r="R4330" s="25">
        <f>COUNTIF($Q$2:$Q$5295,Q4330)</f>
        <v/>
      </c>
      <c r="S4330" s="25">
        <f>IF(R4330&lt;=2,"1-2",IF(R4330&lt;=5,"3-5",IF(R4330&lt;=10,"6-10","11+")))</f>
        <v/>
      </c>
    </row>
    <row r="4331">
      <c r="A4331" s="39" t="n">
        <v>46223.71168981482</v>
      </c>
      <c r="B4331" s="25">
        <f>TEXT(A4331,"YYYY-MM")</f>
        <v/>
      </c>
      <c r="C4331" s="25">
        <f>TEXT(A4331,"MMM-YYYY")</f>
        <v/>
      </c>
      <c r="D4331" s="40">
        <f>INT(A4331)-WEEKDAY(A4331,2)+1</f>
        <v/>
      </c>
      <c r="E4331" s="25" t="inlineStr">
        <is>
          <t>sswati</t>
        </is>
      </c>
      <c r="F4331" s="25" t="n">
        <v>128760</v>
      </c>
      <c r="G4331" s="25" t="n">
        <v>4</v>
      </c>
      <c r="H4331" s="25" t="n">
        <v>20</v>
      </c>
      <c r="I4331" s="25" t="inlineStr">
        <is>
          <t>2 minute(s) and 8 second(s)</t>
        </is>
      </c>
      <c r="J4331" s="25">
        <f>IFERROR(VALUE(TRIM(LEFT(I4331,FIND("minute",I4331)-1)))*60,0)+IFERROR(VALUE(SUBSTITUTE(MID(I4331,IFERROR(FIND("and",I4331)+3,1),20),"second(s)","")),0)</f>
        <v/>
      </c>
      <c r="K4331" s="41">
        <f>J4331/60</f>
        <v/>
      </c>
      <c r="L4331" s="41">
        <f>IFERROR(J4331/H4331,"")</f>
        <v/>
      </c>
      <c r="M4331" s="25" t="inlineStr">
        <is>
          <t>2.5.12</t>
        </is>
      </c>
      <c r="N4331" s="25">
        <f>IF(J4331&gt;300,1,0)</f>
        <v/>
      </c>
      <c r="O4331" s="25">
        <f>IF(J4331&gt;600,1,0)</f>
        <v/>
      </c>
      <c r="P4331" s="25">
        <f>IF(H4331&gt;0,J4331,"")</f>
        <v/>
      </c>
      <c r="Q4331" s="25">
        <f>TEXT(A4331,"YYYY-MM-DD HH")</f>
        <v/>
      </c>
      <c r="R4331" s="25">
        <f>COUNTIF($Q$2:$Q$5295,Q4331)</f>
        <v/>
      </c>
      <c r="S4331" s="25">
        <f>IF(R4331&lt;=2,"1-2",IF(R4331&lt;=5,"3-5",IF(R4331&lt;=10,"6-10","11+")))</f>
        <v/>
      </c>
    </row>
    <row r="4332">
      <c r="A4332" s="39" t="n">
        <v>46223.71621527777</v>
      </c>
      <c r="B4332" s="25">
        <f>TEXT(A4332,"YYYY-MM")</f>
        <v/>
      </c>
      <c r="C4332" s="25">
        <f>TEXT(A4332,"MMM-YYYY")</f>
        <v/>
      </c>
      <c r="D4332" s="40">
        <f>INT(A4332)-WEEKDAY(A4332,2)+1</f>
        <v/>
      </c>
      <c r="E4332" s="25" t="inlineStr">
        <is>
          <t>emishra</t>
        </is>
      </c>
      <c r="F4332" s="25" t="n">
        <v>128800</v>
      </c>
      <c r="G4332" s="25" t="n">
        <v>2</v>
      </c>
      <c r="H4332" s="25" t="n">
        <v>12</v>
      </c>
      <c r="I4332" s="25" t="inlineStr">
        <is>
          <t>1 minute(s) and 15 second(s)</t>
        </is>
      </c>
      <c r="J4332" s="25">
        <f>IFERROR(VALUE(TRIM(LEFT(I4332,FIND("minute",I4332)-1)))*60,0)+IFERROR(VALUE(SUBSTITUTE(MID(I4332,IFERROR(FIND("and",I4332)+3,1),20),"second(s)","")),0)</f>
        <v/>
      </c>
      <c r="K4332" s="41">
        <f>J4332/60</f>
        <v/>
      </c>
      <c r="L4332" s="41">
        <f>IFERROR(J4332/H4332,"")</f>
        <v/>
      </c>
      <c r="M4332" s="25" t="inlineStr">
        <is>
          <t>2.5.12</t>
        </is>
      </c>
      <c r="N4332" s="25">
        <f>IF(J4332&gt;300,1,0)</f>
        <v/>
      </c>
      <c r="O4332" s="25">
        <f>IF(J4332&gt;600,1,0)</f>
        <v/>
      </c>
      <c r="P4332" s="25">
        <f>IF(H4332&gt;0,J4332,"")</f>
        <v/>
      </c>
      <c r="Q4332" s="25">
        <f>TEXT(A4332,"YYYY-MM-DD HH")</f>
        <v/>
      </c>
      <c r="R4332" s="25">
        <f>COUNTIF($Q$2:$Q$5295,Q4332)</f>
        <v/>
      </c>
      <c r="S4332" s="25">
        <f>IF(R4332&lt;=2,"1-2",IF(R4332&lt;=5,"3-5",IF(R4332&lt;=10,"6-10","11+")))</f>
        <v/>
      </c>
    </row>
    <row r="4333">
      <c r="A4333" s="39" t="n">
        <v>46223.75751157408</v>
      </c>
      <c r="B4333" s="25">
        <f>TEXT(A4333,"YYYY-MM")</f>
        <v/>
      </c>
      <c r="C4333" s="25">
        <f>TEXT(A4333,"MMM-YYYY")</f>
        <v/>
      </c>
      <c r="D4333" s="40">
        <f>INT(A4333)-WEEKDAY(A4333,2)+1</f>
        <v/>
      </c>
      <c r="E4333" s="25" t="inlineStr">
        <is>
          <t>sswati</t>
        </is>
      </c>
      <c r="F4333" s="25" t="n">
        <v>131078</v>
      </c>
      <c r="G4333" s="25" t="n">
        <v>4</v>
      </c>
      <c r="H4333" s="25" t="n">
        <v>16</v>
      </c>
      <c r="I4333" s="25" t="inlineStr">
        <is>
          <t>1 minute(s) and 26 second(s)</t>
        </is>
      </c>
      <c r="J4333" s="25">
        <f>IFERROR(VALUE(TRIM(LEFT(I4333,FIND("minute",I4333)-1)))*60,0)+IFERROR(VALUE(SUBSTITUTE(MID(I4333,IFERROR(FIND("and",I4333)+3,1),20),"second(s)","")),0)</f>
        <v/>
      </c>
      <c r="K4333" s="41">
        <f>J4333/60</f>
        <v/>
      </c>
      <c r="L4333" s="41">
        <f>IFERROR(J4333/H4333,"")</f>
        <v/>
      </c>
      <c r="M4333" s="25" t="inlineStr">
        <is>
          <t>2.5.12</t>
        </is>
      </c>
      <c r="N4333" s="25">
        <f>IF(J4333&gt;300,1,0)</f>
        <v/>
      </c>
      <c r="O4333" s="25">
        <f>IF(J4333&gt;600,1,0)</f>
        <v/>
      </c>
      <c r="P4333" s="25">
        <f>IF(H4333&gt;0,J4333,"")</f>
        <v/>
      </c>
      <c r="Q4333" s="25">
        <f>TEXT(A4333,"YYYY-MM-DD HH")</f>
        <v/>
      </c>
      <c r="R4333" s="25">
        <f>COUNTIF($Q$2:$Q$5295,Q4333)</f>
        <v/>
      </c>
      <c r="S4333" s="25">
        <f>IF(R4333&lt;=2,"1-2",IF(R4333&lt;=5,"3-5",IF(R4333&lt;=10,"6-10","11+")))</f>
        <v/>
      </c>
    </row>
    <row r="4334">
      <c r="A4334" s="39" t="n">
        <v>46223.76201388889</v>
      </c>
      <c r="B4334" s="25">
        <f>TEXT(A4334,"YYYY-MM")</f>
        <v/>
      </c>
      <c r="C4334" s="25">
        <f>TEXT(A4334,"MMM-YYYY")</f>
        <v/>
      </c>
      <c r="D4334" s="40">
        <f>INT(A4334)-WEEKDAY(A4334,2)+1</f>
        <v/>
      </c>
      <c r="E4334" s="25" t="inlineStr">
        <is>
          <t>sswati</t>
        </is>
      </c>
      <c r="F4334" s="25" t="n">
        <v>131078</v>
      </c>
      <c r="G4334" s="25" t="n">
        <v>4</v>
      </c>
      <c r="H4334" s="25" t="n">
        <v>14</v>
      </c>
      <c r="I4334" s="25" t="inlineStr">
        <is>
          <t>2 minute(s) and 28 second(s)</t>
        </is>
      </c>
      <c r="J4334" s="25">
        <f>IFERROR(VALUE(TRIM(LEFT(I4334,FIND("minute",I4334)-1)))*60,0)+IFERROR(VALUE(SUBSTITUTE(MID(I4334,IFERROR(FIND("and",I4334)+3,1),20),"second(s)","")),0)</f>
        <v/>
      </c>
      <c r="K4334" s="41">
        <f>J4334/60</f>
        <v/>
      </c>
      <c r="L4334" s="41">
        <f>IFERROR(J4334/H4334,"")</f>
        <v/>
      </c>
      <c r="M4334" s="25" t="inlineStr">
        <is>
          <t>2.5.12</t>
        </is>
      </c>
      <c r="N4334" s="25">
        <f>IF(J4334&gt;300,1,0)</f>
        <v/>
      </c>
      <c r="O4334" s="25">
        <f>IF(J4334&gt;600,1,0)</f>
        <v/>
      </c>
      <c r="P4334" s="25">
        <f>IF(H4334&gt;0,J4334,"")</f>
        <v/>
      </c>
      <c r="Q4334" s="25">
        <f>TEXT(A4334,"YYYY-MM-DD HH")</f>
        <v/>
      </c>
      <c r="R4334" s="25">
        <f>COUNTIF($Q$2:$Q$5295,Q4334)</f>
        <v/>
      </c>
      <c r="S4334" s="25">
        <f>IF(R4334&lt;=2,"1-2",IF(R4334&lt;=5,"3-5",IF(R4334&lt;=10,"6-10","11+")))</f>
        <v/>
      </c>
    </row>
    <row r="4335">
      <c r="A4335" s="39" t="n">
        <v>46223.76251157407</v>
      </c>
      <c r="B4335" s="25">
        <f>TEXT(A4335,"YYYY-MM")</f>
        <v/>
      </c>
      <c r="C4335" s="25">
        <f>TEXT(A4335,"MMM-YYYY")</f>
        <v/>
      </c>
      <c r="D4335" s="40">
        <f>INT(A4335)-WEEKDAY(A4335,2)+1</f>
        <v/>
      </c>
      <c r="E4335" s="25" t="inlineStr">
        <is>
          <t>hsindwani</t>
        </is>
      </c>
      <c r="F4335" s="25" t="n">
        <v>129088</v>
      </c>
      <c r="G4335" s="25" t="n">
        <v>5</v>
      </c>
      <c r="H4335" s="25" t="n">
        <v>29</v>
      </c>
      <c r="I4335" s="25" t="inlineStr">
        <is>
          <t>4 minute(s) and 47 second(s)</t>
        </is>
      </c>
      <c r="J4335" s="25">
        <f>IFERROR(VALUE(TRIM(LEFT(I4335,FIND("minute",I4335)-1)))*60,0)+IFERROR(VALUE(SUBSTITUTE(MID(I4335,IFERROR(FIND("and",I4335)+3,1),20),"second(s)","")),0)</f>
        <v/>
      </c>
      <c r="K4335" s="41">
        <f>J4335/60</f>
        <v/>
      </c>
      <c r="L4335" s="41">
        <f>IFERROR(J4335/H4335,"")</f>
        <v/>
      </c>
      <c r="M4335" s="25" t="inlineStr">
        <is>
          <t>2.5.12</t>
        </is>
      </c>
      <c r="N4335" s="25">
        <f>IF(J4335&gt;300,1,0)</f>
        <v/>
      </c>
      <c r="O4335" s="25">
        <f>IF(J4335&gt;600,1,0)</f>
        <v/>
      </c>
      <c r="P4335" s="25">
        <f>IF(H4335&gt;0,J4335,"")</f>
        <v/>
      </c>
      <c r="Q4335" s="25">
        <f>TEXT(A4335,"YYYY-MM-DD HH")</f>
        <v/>
      </c>
      <c r="R4335" s="25">
        <f>COUNTIF($Q$2:$Q$5295,Q4335)</f>
        <v/>
      </c>
      <c r="S4335" s="25">
        <f>IF(R4335&lt;=2,"1-2",IF(R4335&lt;=5,"3-5",IF(R4335&lt;=10,"6-10","11+")))</f>
        <v/>
      </c>
    </row>
    <row r="4336">
      <c r="A4336" s="39" t="n">
        <v>46223.77050925926</v>
      </c>
      <c r="B4336" s="25">
        <f>TEXT(A4336,"YYYY-MM")</f>
        <v/>
      </c>
      <c r="C4336" s="25">
        <f>TEXT(A4336,"MMM-YYYY")</f>
        <v/>
      </c>
      <c r="D4336" s="40">
        <f>INT(A4336)-WEEKDAY(A4336,2)+1</f>
        <v/>
      </c>
      <c r="E4336" s="25" t="inlineStr">
        <is>
          <t>dchoudhury</t>
        </is>
      </c>
      <c r="F4336" s="25" t="n">
        <v>132883</v>
      </c>
      <c r="G4336" s="25" t="n">
        <v>4</v>
      </c>
      <c r="H4336" s="25" t="n">
        <v>21</v>
      </c>
      <c r="I4336" s="25" t="inlineStr">
        <is>
          <t>2 minute(s) and 59 second(s)</t>
        </is>
      </c>
      <c r="J4336" s="25">
        <f>IFERROR(VALUE(TRIM(LEFT(I4336,FIND("minute",I4336)-1)))*60,0)+IFERROR(VALUE(SUBSTITUTE(MID(I4336,IFERROR(FIND("and",I4336)+3,1),20),"second(s)","")),0)</f>
        <v/>
      </c>
      <c r="K4336" s="41">
        <f>J4336/60</f>
        <v/>
      </c>
      <c r="L4336" s="41">
        <f>IFERROR(J4336/H4336,"")</f>
        <v/>
      </c>
      <c r="M4336" s="25" t="inlineStr">
        <is>
          <t>2.5.12</t>
        </is>
      </c>
      <c r="N4336" s="25">
        <f>IF(J4336&gt;300,1,0)</f>
        <v/>
      </c>
      <c r="O4336" s="25">
        <f>IF(J4336&gt;600,1,0)</f>
        <v/>
      </c>
      <c r="P4336" s="25">
        <f>IF(H4336&gt;0,J4336,"")</f>
        <v/>
      </c>
      <c r="Q4336" s="25">
        <f>TEXT(A4336,"YYYY-MM-DD HH")</f>
        <v/>
      </c>
      <c r="R4336" s="25">
        <f>COUNTIF($Q$2:$Q$5295,Q4336)</f>
        <v/>
      </c>
      <c r="S4336" s="25">
        <f>IF(R4336&lt;=2,"1-2",IF(R4336&lt;=5,"3-5",IF(R4336&lt;=10,"6-10","11+")))</f>
        <v/>
      </c>
    </row>
    <row r="4337">
      <c r="A4337" s="39" t="n">
        <v>46223.80570601852</v>
      </c>
      <c r="B4337" s="25">
        <f>TEXT(A4337,"YYYY-MM")</f>
        <v/>
      </c>
      <c r="C4337" s="25">
        <f>TEXT(A4337,"MMM-YYYY")</f>
        <v/>
      </c>
      <c r="D4337" s="40">
        <f>INT(A4337)-WEEKDAY(A4337,2)+1</f>
        <v/>
      </c>
      <c r="E4337" s="25" t="inlineStr">
        <is>
          <t>sswati</t>
        </is>
      </c>
      <c r="F4337" s="25" t="n">
        <v>131158</v>
      </c>
      <c r="G4337" s="25" t="n">
        <v>3</v>
      </c>
      <c r="H4337" s="25" t="n">
        <v>17</v>
      </c>
      <c r="I4337" s="25" t="inlineStr">
        <is>
          <t>1 minute(s) and 26 second(s)</t>
        </is>
      </c>
      <c r="J4337" s="25">
        <f>IFERROR(VALUE(TRIM(LEFT(I4337,FIND("minute",I4337)-1)))*60,0)+IFERROR(VALUE(SUBSTITUTE(MID(I4337,IFERROR(FIND("and",I4337)+3,1),20),"second(s)","")),0)</f>
        <v/>
      </c>
      <c r="K4337" s="41">
        <f>J4337/60</f>
        <v/>
      </c>
      <c r="L4337" s="41">
        <f>IFERROR(J4337/H4337,"")</f>
        <v/>
      </c>
      <c r="M4337" s="25" t="inlineStr">
        <is>
          <t>2.5.12</t>
        </is>
      </c>
      <c r="N4337" s="25">
        <f>IF(J4337&gt;300,1,0)</f>
        <v/>
      </c>
      <c r="O4337" s="25">
        <f>IF(J4337&gt;600,1,0)</f>
        <v/>
      </c>
      <c r="P4337" s="25">
        <f>IF(H4337&gt;0,J4337,"")</f>
        <v/>
      </c>
      <c r="Q4337" s="25">
        <f>TEXT(A4337,"YYYY-MM-DD HH")</f>
        <v/>
      </c>
      <c r="R4337" s="25">
        <f>COUNTIF($Q$2:$Q$5295,Q4337)</f>
        <v/>
      </c>
      <c r="S4337" s="25">
        <f>IF(R4337&lt;=2,"1-2",IF(R4337&lt;=5,"3-5",IF(R4337&lt;=10,"6-10","11+")))</f>
        <v/>
      </c>
    </row>
    <row r="4338">
      <c r="A4338" s="39" t="n">
        <v>46223.85145833333</v>
      </c>
      <c r="B4338" s="25">
        <f>TEXT(A4338,"YYYY-MM")</f>
        <v/>
      </c>
      <c r="C4338" s="25">
        <f>TEXT(A4338,"MMM-YYYY")</f>
        <v/>
      </c>
      <c r="D4338" s="40">
        <f>INT(A4338)-WEEKDAY(A4338,2)+1</f>
        <v/>
      </c>
      <c r="E4338" s="25" t="inlineStr">
        <is>
          <t>dchoudhury</t>
        </is>
      </c>
      <c r="F4338" s="25" t="n">
        <v>132827</v>
      </c>
      <c r="G4338" s="25" t="n">
        <v>4</v>
      </c>
      <c r="H4338" s="25" t="n">
        <v>20</v>
      </c>
      <c r="I4338" s="25" t="inlineStr">
        <is>
          <t>2 minute(s) and 40 second(s)</t>
        </is>
      </c>
      <c r="J4338" s="25">
        <f>IFERROR(VALUE(TRIM(LEFT(I4338,FIND("minute",I4338)-1)))*60,0)+IFERROR(VALUE(SUBSTITUTE(MID(I4338,IFERROR(FIND("and",I4338)+3,1),20),"second(s)","")),0)</f>
        <v/>
      </c>
      <c r="K4338" s="41">
        <f>J4338/60</f>
        <v/>
      </c>
      <c r="L4338" s="41">
        <f>IFERROR(J4338/H4338,"")</f>
        <v/>
      </c>
      <c r="M4338" s="25" t="inlineStr">
        <is>
          <t>2.5.12</t>
        </is>
      </c>
      <c r="N4338" s="25">
        <f>IF(J4338&gt;300,1,0)</f>
        <v/>
      </c>
      <c r="O4338" s="25">
        <f>IF(J4338&gt;600,1,0)</f>
        <v/>
      </c>
      <c r="P4338" s="25">
        <f>IF(H4338&gt;0,J4338,"")</f>
        <v/>
      </c>
      <c r="Q4338" s="25">
        <f>TEXT(A4338,"YYYY-MM-DD HH")</f>
        <v/>
      </c>
      <c r="R4338" s="25">
        <f>COUNTIF($Q$2:$Q$5295,Q4338)</f>
        <v/>
      </c>
      <c r="S4338" s="25">
        <f>IF(R4338&lt;=2,"1-2",IF(R4338&lt;=5,"3-5",IF(R4338&lt;=10,"6-10","11+")))</f>
        <v/>
      </c>
    </row>
    <row r="4339">
      <c r="A4339" s="39" t="n">
        <v>46224.00891203704</v>
      </c>
      <c r="B4339" s="25">
        <f>TEXT(A4339,"YYYY-MM")</f>
        <v/>
      </c>
      <c r="C4339" s="25">
        <f>TEXT(A4339,"MMM-YYYY")</f>
        <v/>
      </c>
      <c r="D4339" s="40">
        <f>INT(A4339)-WEEKDAY(A4339,2)+1</f>
        <v/>
      </c>
      <c r="E4339" s="25" t="inlineStr">
        <is>
          <t>shasikha</t>
        </is>
      </c>
      <c r="F4339" s="25" t="n">
        <v>127999</v>
      </c>
      <c r="G4339" s="25" t="n">
        <v>4</v>
      </c>
      <c r="H4339" s="25" t="n">
        <v>20</v>
      </c>
      <c r="I4339" s="25" t="inlineStr">
        <is>
          <t>3 minute(s) and 30 second(s)</t>
        </is>
      </c>
      <c r="J4339" s="25">
        <f>IFERROR(VALUE(TRIM(LEFT(I4339,FIND("minute",I4339)-1)))*60,0)+IFERROR(VALUE(SUBSTITUTE(MID(I4339,IFERROR(FIND("and",I4339)+3,1),20),"second(s)","")),0)</f>
        <v/>
      </c>
      <c r="K4339" s="41">
        <f>J4339/60</f>
        <v/>
      </c>
      <c r="L4339" s="41">
        <f>IFERROR(J4339/H4339,"")</f>
        <v/>
      </c>
      <c r="M4339" s="25" t="inlineStr">
        <is>
          <t>2.5.12</t>
        </is>
      </c>
      <c r="N4339" s="25">
        <f>IF(J4339&gt;300,1,0)</f>
        <v/>
      </c>
      <c r="O4339" s="25">
        <f>IF(J4339&gt;600,1,0)</f>
        <v/>
      </c>
      <c r="P4339" s="25">
        <f>IF(H4339&gt;0,J4339,"")</f>
        <v/>
      </c>
      <c r="Q4339" s="25">
        <f>TEXT(A4339,"YYYY-MM-DD HH")</f>
        <v/>
      </c>
      <c r="R4339" s="25">
        <f>COUNTIF($Q$2:$Q$5295,Q4339)</f>
        <v/>
      </c>
      <c r="S4339" s="25">
        <f>IF(R4339&lt;=2,"1-2",IF(R4339&lt;=5,"3-5",IF(R4339&lt;=10,"6-10","11+")))</f>
        <v/>
      </c>
    </row>
    <row r="4340">
      <c r="A4340" s="39" t="n">
        <v>46224.01621527778</v>
      </c>
      <c r="B4340" s="25">
        <f>TEXT(A4340,"YYYY-MM")</f>
        <v/>
      </c>
      <c r="C4340" s="25">
        <f>TEXT(A4340,"MMM-YYYY")</f>
        <v/>
      </c>
      <c r="D4340" s="40">
        <f>INT(A4340)-WEEKDAY(A4340,2)+1</f>
        <v/>
      </c>
      <c r="E4340" s="25" t="inlineStr">
        <is>
          <t>shassan</t>
        </is>
      </c>
      <c r="F4340" s="25" t="n">
        <v>127935</v>
      </c>
      <c r="G4340" s="25" t="n">
        <v>2</v>
      </c>
      <c r="H4340" s="25" t="n">
        <v>6</v>
      </c>
      <c r="I4340" s="25" t="inlineStr">
        <is>
          <t>41 second(s)</t>
        </is>
      </c>
      <c r="J4340" s="25">
        <f>IFERROR(VALUE(TRIM(LEFT(I4340,FIND("minute",I4340)-1)))*60,0)+IFERROR(VALUE(SUBSTITUTE(MID(I4340,IFERROR(FIND("and",I4340)+3,1),20),"second(s)","")),0)</f>
        <v/>
      </c>
      <c r="K4340" s="41">
        <f>J4340/60</f>
        <v/>
      </c>
      <c r="L4340" s="41">
        <f>IFERROR(J4340/H4340,"")</f>
        <v/>
      </c>
      <c r="M4340" s="25" t="inlineStr">
        <is>
          <t>2.5.12</t>
        </is>
      </c>
      <c r="N4340" s="25">
        <f>IF(J4340&gt;300,1,0)</f>
        <v/>
      </c>
      <c r="O4340" s="25">
        <f>IF(J4340&gt;600,1,0)</f>
        <v/>
      </c>
      <c r="P4340" s="25">
        <f>IF(H4340&gt;0,J4340,"")</f>
        <v/>
      </c>
      <c r="Q4340" s="25">
        <f>TEXT(A4340,"YYYY-MM-DD HH")</f>
        <v/>
      </c>
      <c r="R4340" s="25">
        <f>COUNTIF($Q$2:$Q$5295,Q4340)</f>
        <v/>
      </c>
      <c r="S4340" s="25">
        <f>IF(R4340&lt;=2,"1-2",IF(R4340&lt;=5,"3-5",IF(R4340&lt;=10,"6-10","11+")))</f>
        <v/>
      </c>
    </row>
    <row r="4341">
      <c r="A4341" s="39" t="n">
        <v>46224.02766203704</v>
      </c>
      <c r="B4341" s="25">
        <f>TEXT(A4341,"YYYY-MM")</f>
        <v/>
      </c>
      <c r="C4341" s="25">
        <f>TEXT(A4341,"MMM-YYYY")</f>
        <v/>
      </c>
      <c r="D4341" s="40">
        <f>INT(A4341)-WEEKDAY(A4341,2)+1</f>
        <v/>
      </c>
      <c r="E4341" s="25" t="inlineStr">
        <is>
          <t>ssrinivasan</t>
        </is>
      </c>
      <c r="F4341" s="25" t="n">
        <v>127992</v>
      </c>
      <c r="G4341" s="25" t="n">
        <v>4</v>
      </c>
      <c r="H4341" s="25" t="n">
        <v>28</v>
      </c>
      <c r="I4341" s="25" t="inlineStr">
        <is>
          <t>3 minute(s) and 54 second(s)</t>
        </is>
      </c>
      <c r="J4341" s="25">
        <f>IFERROR(VALUE(TRIM(LEFT(I4341,FIND("minute",I4341)-1)))*60,0)+IFERROR(VALUE(SUBSTITUTE(MID(I4341,IFERROR(FIND("and",I4341)+3,1),20),"second(s)","")),0)</f>
        <v/>
      </c>
      <c r="K4341" s="41">
        <f>J4341/60</f>
        <v/>
      </c>
      <c r="L4341" s="41">
        <f>IFERROR(J4341/H4341,"")</f>
        <v/>
      </c>
      <c r="M4341" s="25" t="inlineStr">
        <is>
          <t>2.5.12</t>
        </is>
      </c>
      <c r="N4341" s="25">
        <f>IF(J4341&gt;300,1,0)</f>
        <v/>
      </c>
      <c r="O4341" s="25">
        <f>IF(J4341&gt;600,1,0)</f>
        <v/>
      </c>
      <c r="P4341" s="25">
        <f>IF(H4341&gt;0,J4341,"")</f>
        <v/>
      </c>
      <c r="Q4341" s="25">
        <f>TEXT(A4341,"YYYY-MM-DD HH")</f>
        <v/>
      </c>
      <c r="R4341" s="25">
        <f>COUNTIF($Q$2:$Q$5295,Q4341)</f>
        <v/>
      </c>
      <c r="S4341" s="25">
        <f>IF(R4341&lt;=2,"1-2",IF(R4341&lt;=5,"3-5",IF(R4341&lt;=10,"6-10","11+")))</f>
        <v/>
      </c>
    </row>
    <row r="4342">
      <c r="A4342" s="39" t="n">
        <v>46224.04586805555</v>
      </c>
      <c r="B4342" s="25">
        <f>TEXT(A4342,"YYYY-MM")</f>
        <v/>
      </c>
      <c r="C4342" s="25">
        <f>TEXT(A4342,"MMM-YYYY")</f>
        <v/>
      </c>
      <c r="D4342" s="40">
        <f>INT(A4342)-WEEKDAY(A4342,2)+1</f>
        <v/>
      </c>
      <c r="E4342" s="25" t="inlineStr">
        <is>
          <t>shassan</t>
        </is>
      </c>
      <c r="F4342" s="25" t="n">
        <v>127927</v>
      </c>
      <c r="G4342" s="25" t="n">
        <v>4</v>
      </c>
      <c r="H4342" s="25" t="n">
        <v>20</v>
      </c>
      <c r="I4342" s="25" t="inlineStr">
        <is>
          <t>3 minute(s) and 7 second(s)</t>
        </is>
      </c>
      <c r="J4342" s="25">
        <f>IFERROR(VALUE(TRIM(LEFT(I4342,FIND("minute",I4342)-1)))*60,0)+IFERROR(VALUE(SUBSTITUTE(MID(I4342,IFERROR(FIND("and",I4342)+3,1),20),"second(s)","")),0)</f>
        <v/>
      </c>
      <c r="K4342" s="41">
        <f>J4342/60</f>
        <v/>
      </c>
      <c r="L4342" s="41">
        <f>IFERROR(J4342/H4342,"")</f>
        <v/>
      </c>
      <c r="M4342" s="25" t="inlineStr">
        <is>
          <t>2.5.12</t>
        </is>
      </c>
      <c r="N4342" s="25">
        <f>IF(J4342&gt;300,1,0)</f>
        <v/>
      </c>
      <c r="O4342" s="25">
        <f>IF(J4342&gt;600,1,0)</f>
        <v/>
      </c>
      <c r="P4342" s="25">
        <f>IF(H4342&gt;0,J4342,"")</f>
        <v/>
      </c>
      <c r="Q4342" s="25">
        <f>TEXT(A4342,"YYYY-MM-DD HH")</f>
        <v/>
      </c>
      <c r="R4342" s="25">
        <f>COUNTIF($Q$2:$Q$5295,Q4342)</f>
        <v/>
      </c>
      <c r="S4342" s="25">
        <f>IF(R4342&lt;=2,"1-2",IF(R4342&lt;=5,"3-5",IF(R4342&lt;=10,"6-10","11+")))</f>
        <v/>
      </c>
    </row>
    <row r="4343">
      <c r="A4343" s="39" t="n">
        <v>46224.06686342593</v>
      </c>
      <c r="B4343" s="25">
        <f>TEXT(A4343,"YYYY-MM")</f>
        <v/>
      </c>
      <c r="C4343" s="25">
        <f>TEXT(A4343,"MMM-YYYY")</f>
        <v/>
      </c>
      <c r="D4343" s="40">
        <f>INT(A4343)-WEEKDAY(A4343,2)+1</f>
        <v/>
      </c>
      <c r="E4343" s="25" t="inlineStr">
        <is>
          <t>smukhopadhyay</t>
        </is>
      </c>
      <c r="F4343" s="25" t="n">
        <v>128192</v>
      </c>
      <c r="G4343" s="25" t="n">
        <v>2</v>
      </c>
      <c r="H4343" s="25" t="n">
        <v>10</v>
      </c>
      <c r="I4343" s="25" t="inlineStr">
        <is>
          <t>54 second(s)</t>
        </is>
      </c>
      <c r="J4343" s="25">
        <f>IFERROR(VALUE(TRIM(LEFT(I4343,FIND("minute",I4343)-1)))*60,0)+IFERROR(VALUE(SUBSTITUTE(MID(I4343,IFERROR(FIND("and",I4343)+3,1),20),"second(s)","")),0)</f>
        <v/>
      </c>
      <c r="K4343" s="41">
        <f>J4343/60</f>
        <v/>
      </c>
      <c r="L4343" s="41">
        <f>IFERROR(J4343/H4343,"")</f>
        <v/>
      </c>
      <c r="M4343" s="25" t="inlineStr">
        <is>
          <t>2.5.12</t>
        </is>
      </c>
      <c r="N4343" s="25">
        <f>IF(J4343&gt;300,1,0)</f>
        <v/>
      </c>
      <c r="O4343" s="25">
        <f>IF(J4343&gt;600,1,0)</f>
        <v/>
      </c>
      <c r="P4343" s="25">
        <f>IF(H4343&gt;0,J4343,"")</f>
        <v/>
      </c>
      <c r="Q4343" s="25">
        <f>TEXT(A4343,"YYYY-MM-DD HH")</f>
        <v/>
      </c>
      <c r="R4343" s="25">
        <f>COUNTIF($Q$2:$Q$5295,Q4343)</f>
        <v/>
      </c>
      <c r="S4343" s="25">
        <f>IF(R4343&lt;=2,"1-2",IF(R4343&lt;=5,"3-5",IF(R4343&lt;=10,"6-10","11+")))</f>
        <v/>
      </c>
    </row>
    <row r="4344">
      <c r="A4344" s="39" t="n">
        <v>46224.07944444445</v>
      </c>
      <c r="B4344" s="25">
        <f>TEXT(A4344,"YYYY-MM")</f>
        <v/>
      </c>
      <c r="C4344" s="25">
        <f>TEXT(A4344,"MMM-YYYY")</f>
        <v/>
      </c>
      <c r="D4344" s="40">
        <f>INT(A4344)-WEEKDAY(A4344,2)+1</f>
        <v/>
      </c>
      <c r="E4344" s="25" t="inlineStr">
        <is>
          <t>ns</t>
        </is>
      </c>
      <c r="F4344" s="25" t="n">
        <v>129964</v>
      </c>
      <c r="G4344" s="25" t="n">
        <v>3</v>
      </c>
      <c r="H4344" s="25" t="n">
        <v>15</v>
      </c>
      <c r="I4344" s="25" t="inlineStr">
        <is>
          <t>1 minute(s) and 59 second(s)</t>
        </is>
      </c>
      <c r="J4344" s="25">
        <f>IFERROR(VALUE(TRIM(LEFT(I4344,FIND("minute",I4344)-1)))*60,0)+IFERROR(VALUE(SUBSTITUTE(MID(I4344,IFERROR(FIND("and",I4344)+3,1),20),"second(s)","")),0)</f>
        <v/>
      </c>
      <c r="K4344" s="41">
        <f>J4344/60</f>
        <v/>
      </c>
      <c r="L4344" s="41">
        <f>IFERROR(J4344/H4344,"")</f>
        <v/>
      </c>
      <c r="M4344" s="25" t="inlineStr">
        <is>
          <t>2.5.12</t>
        </is>
      </c>
      <c r="N4344" s="25">
        <f>IF(J4344&gt;300,1,0)</f>
        <v/>
      </c>
      <c r="O4344" s="25">
        <f>IF(J4344&gt;600,1,0)</f>
        <v/>
      </c>
      <c r="P4344" s="25">
        <f>IF(H4344&gt;0,J4344,"")</f>
        <v/>
      </c>
      <c r="Q4344" s="25">
        <f>TEXT(A4344,"YYYY-MM-DD HH")</f>
        <v/>
      </c>
      <c r="R4344" s="25">
        <f>COUNTIF($Q$2:$Q$5295,Q4344)</f>
        <v/>
      </c>
      <c r="S4344" s="25">
        <f>IF(R4344&lt;=2,"1-2",IF(R4344&lt;=5,"3-5",IF(R4344&lt;=10,"6-10","11+")))</f>
        <v/>
      </c>
    </row>
    <row r="4345">
      <c r="A4345" s="39" t="n">
        <v>46224.08105324074</v>
      </c>
      <c r="B4345" s="25">
        <f>TEXT(A4345,"YYYY-MM")</f>
        <v/>
      </c>
      <c r="C4345" s="25">
        <f>TEXT(A4345,"MMM-YYYY")</f>
        <v/>
      </c>
      <c r="D4345" s="40">
        <f>INT(A4345)-WEEKDAY(A4345,2)+1</f>
        <v/>
      </c>
      <c r="E4345" s="25" t="inlineStr">
        <is>
          <t>sasharma</t>
        </is>
      </c>
      <c r="F4345" s="25" t="n">
        <v>132341</v>
      </c>
      <c r="G4345" s="25" t="n">
        <v>1</v>
      </c>
      <c r="H4345" s="25" t="n">
        <v>5</v>
      </c>
      <c r="I4345" s="25" t="inlineStr">
        <is>
          <t>33 second(s)</t>
        </is>
      </c>
      <c r="J4345" s="25">
        <f>IFERROR(VALUE(TRIM(LEFT(I4345,FIND("minute",I4345)-1)))*60,0)+IFERROR(VALUE(SUBSTITUTE(MID(I4345,IFERROR(FIND("and",I4345)+3,1),20),"second(s)","")),0)</f>
        <v/>
      </c>
      <c r="K4345" s="41">
        <f>J4345/60</f>
        <v/>
      </c>
      <c r="L4345" s="41">
        <f>IFERROR(J4345/H4345,"")</f>
        <v/>
      </c>
      <c r="M4345" s="25" t="inlineStr">
        <is>
          <t>2.5.12</t>
        </is>
      </c>
      <c r="N4345" s="25">
        <f>IF(J4345&gt;300,1,0)</f>
        <v/>
      </c>
      <c r="O4345" s="25">
        <f>IF(J4345&gt;600,1,0)</f>
        <v/>
      </c>
      <c r="P4345" s="25">
        <f>IF(H4345&gt;0,J4345,"")</f>
        <v/>
      </c>
      <c r="Q4345" s="25">
        <f>TEXT(A4345,"YYYY-MM-DD HH")</f>
        <v/>
      </c>
      <c r="R4345" s="25">
        <f>COUNTIF($Q$2:$Q$5295,Q4345)</f>
        <v/>
      </c>
      <c r="S4345" s="25">
        <f>IF(R4345&lt;=2,"1-2",IF(R4345&lt;=5,"3-5",IF(R4345&lt;=10,"6-10","11+")))</f>
        <v/>
      </c>
    </row>
    <row r="4346">
      <c r="A4346" s="39" t="n">
        <v>46224.08953703703</v>
      </c>
      <c r="B4346" s="25">
        <f>TEXT(A4346,"YYYY-MM")</f>
        <v/>
      </c>
      <c r="C4346" s="25">
        <f>TEXT(A4346,"MMM-YYYY")</f>
        <v/>
      </c>
      <c r="D4346" s="40">
        <f>INT(A4346)-WEEKDAY(A4346,2)+1</f>
        <v/>
      </c>
      <c r="E4346" s="25" t="inlineStr">
        <is>
          <t>psathwika</t>
        </is>
      </c>
      <c r="F4346" s="25" t="n">
        <v>129688</v>
      </c>
      <c r="G4346" s="25" t="n">
        <v>4</v>
      </c>
      <c r="H4346" s="25" t="n">
        <v>23</v>
      </c>
      <c r="I4346" s="25" t="inlineStr">
        <is>
          <t>2 minute(s) and 33 second(s)</t>
        </is>
      </c>
      <c r="J4346" s="25">
        <f>IFERROR(VALUE(TRIM(LEFT(I4346,FIND("minute",I4346)-1)))*60,0)+IFERROR(VALUE(SUBSTITUTE(MID(I4346,IFERROR(FIND("and",I4346)+3,1),20),"second(s)","")),0)</f>
        <v/>
      </c>
      <c r="K4346" s="41">
        <f>J4346/60</f>
        <v/>
      </c>
      <c r="L4346" s="41">
        <f>IFERROR(J4346/H4346,"")</f>
        <v/>
      </c>
      <c r="M4346" s="25" t="inlineStr">
        <is>
          <t>2.5.12</t>
        </is>
      </c>
      <c r="N4346" s="25">
        <f>IF(J4346&gt;300,1,0)</f>
        <v/>
      </c>
      <c r="O4346" s="25">
        <f>IF(J4346&gt;600,1,0)</f>
        <v/>
      </c>
      <c r="P4346" s="25">
        <f>IF(H4346&gt;0,J4346,"")</f>
        <v/>
      </c>
      <c r="Q4346" s="25">
        <f>TEXT(A4346,"YYYY-MM-DD HH")</f>
        <v/>
      </c>
      <c r="R4346" s="25">
        <f>COUNTIF($Q$2:$Q$5295,Q4346)</f>
        <v/>
      </c>
      <c r="S4346" s="25">
        <f>IF(R4346&lt;=2,"1-2",IF(R4346&lt;=5,"3-5",IF(R4346&lt;=10,"6-10","11+")))</f>
        <v/>
      </c>
    </row>
    <row r="4347">
      <c r="A4347" s="39" t="n">
        <v>46224.09216435185</v>
      </c>
      <c r="B4347" s="25">
        <f>TEXT(A4347,"YYYY-MM")</f>
        <v/>
      </c>
      <c r="C4347" s="25">
        <f>TEXT(A4347,"MMM-YYYY")</f>
        <v/>
      </c>
      <c r="D4347" s="40">
        <f>INT(A4347)-WEEKDAY(A4347,2)+1</f>
        <v/>
      </c>
      <c r="E4347" s="25" t="inlineStr">
        <is>
          <t>bverma</t>
        </is>
      </c>
      <c r="F4347" s="25" t="n">
        <v>128915</v>
      </c>
      <c r="G4347" s="25" t="n">
        <v>2</v>
      </c>
      <c r="H4347" s="25" t="n">
        <v>14</v>
      </c>
      <c r="I4347" s="25" t="inlineStr">
        <is>
          <t>1 minute(s) and 21 second(s)</t>
        </is>
      </c>
      <c r="J4347" s="25">
        <f>IFERROR(VALUE(TRIM(LEFT(I4347,FIND("minute",I4347)-1)))*60,0)+IFERROR(VALUE(SUBSTITUTE(MID(I4347,IFERROR(FIND("and",I4347)+3,1),20),"second(s)","")),0)</f>
        <v/>
      </c>
      <c r="K4347" s="41">
        <f>J4347/60</f>
        <v/>
      </c>
      <c r="L4347" s="41">
        <f>IFERROR(J4347/H4347,"")</f>
        <v/>
      </c>
      <c r="M4347" s="25" t="inlineStr">
        <is>
          <t>2.5.12</t>
        </is>
      </c>
      <c r="N4347" s="25">
        <f>IF(J4347&gt;300,1,0)</f>
        <v/>
      </c>
      <c r="O4347" s="25">
        <f>IF(J4347&gt;600,1,0)</f>
        <v/>
      </c>
      <c r="P4347" s="25">
        <f>IF(H4347&gt;0,J4347,"")</f>
        <v/>
      </c>
      <c r="Q4347" s="25">
        <f>TEXT(A4347,"YYYY-MM-DD HH")</f>
        <v/>
      </c>
      <c r="R4347" s="25">
        <f>COUNTIF($Q$2:$Q$5295,Q4347)</f>
        <v/>
      </c>
      <c r="S4347" s="25">
        <f>IF(R4347&lt;=2,"1-2",IF(R4347&lt;=5,"3-5",IF(R4347&lt;=10,"6-10","11+")))</f>
        <v/>
      </c>
    </row>
    <row r="4348">
      <c r="A4348" s="39" t="n">
        <v>46224.09322916667</v>
      </c>
      <c r="B4348" s="25">
        <f>TEXT(A4348,"YYYY-MM")</f>
        <v/>
      </c>
      <c r="C4348" s="25">
        <f>TEXT(A4348,"MMM-YYYY")</f>
        <v/>
      </c>
      <c r="D4348" s="40">
        <f>INT(A4348)-WEEKDAY(A4348,2)+1</f>
        <v/>
      </c>
      <c r="E4348" s="25" t="inlineStr">
        <is>
          <t>shassan</t>
        </is>
      </c>
      <c r="F4348" s="25" t="n">
        <v>127911</v>
      </c>
      <c r="G4348" s="25" t="n">
        <v>1</v>
      </c>
      <c r="H4348" s="25" t="n">
        <v>5</v>
      </c>
      <c r="I4348" s="25" t="inlineStr">
        <is>
          <t>27 second(s)</t>
        </is>
      </c>
      <c r="J4348" s="25">
        <f>IFERROR(VALUE(TRIM(LEFT(I4348,FIND("minute",I4348)-1)))*60,0)+IFERROR(VALUE(SUBSTITUTE(MID(I4348,IFERROR(FIND("and",I4348)+3,1),20),"second(s)","")),0)</f>
        <v/>
      </c>
      <c r="K4348" s="41">
        <f>J4348/60</f>
        <v/>
      </c>
      <c r="L4348" s="41">
        <f>IFERROR(J4348/H4348,"")</f>
        <v/>
      </c>
      <c r="M4348" s="25" t="inlineStr">
        <is>
          <t>2.5.12</t>
        </is>
      </c>
      <c r="N4348" s="25">
        <f>IF(J4348&gt;300,1,0)</f>
        <v/>
      </c>
      <c r="O4348" s="25">
        <f>IF(J4348&gt;600,1,0)</f>
        <v/>
      </c>
      <c r="P4348" s="25">
        <f>IF(H4348&gt;0,J4348,"")</f>
        <v/>
      </c>
      <c r="Q4348" s="25">
        <f>TEXT(A4348,"YYYY-MM-DD HH")</f>
        <v/>
      </c>
      <c r="R4348" s="25">
        <f>COUNTIF($Q$2:$Q$5295,Q4348)</f>
        <v/>
      </c>
      <c r="S4348" s="25">
        <f>IF(R4348&lt;=2,"1-2",IF(R4348&lt;=5,"3-5",IF(R4348&lt;=10,"6-10","11+")))</f>
        <v/>
      </c>
    </row>
    <row r="4349">
      <c r="A4349" s="39" t="n">
        <v>46224.09875</v>
      </c>
      <c r="B4349" s="25">
        <f>TEXT(A4349,"YYYY-MM")</f>
        <v/>
      </c>
      <c r="C4349" s="25">
        <f>TEXT(A4349,"MMM-YYYY")</f>
        <v/>
      </c>
      <c r="D4349" s="40">
        <f>INT(A4349)-WEEKDAY(A4349,2)+1</f>
        <v/>
      </c>
      <c r="E4349" s="25" t="inlineStr">
        <is>
          <t>ssneha</t>
        </is>
      </c>
      <c r="F4349" s="25" t="n">
        <v>131567</v>
      </c>
      <c r="G4349" s="25" t="n">
        <v>4</v>
      </c>
      <c r="H4349" s="25" t="n">
        <v>20</v>
      </c>
      <c r="I4349" s="25" t="inlineStr">
        <is>
          <t>2 minute(s) and 33 second(s)</t>
        </is>
      </c>
      <c r="J4349" s="25">
        <f>IFERROR(VALUE(TRIM(LEFT(I4349,FIND("minute",I4349)-1)))*60,0)+IFERROR(VALUE(SUBSTITUTE(MID(I4349,IFERROR(FIND("and",I4349)+3,1),20),"second(s)","")),0)</f>
        <v/>
      </c>
      <c r="K4349" s="41">
        <f>J4349/60</f>
        <v/>
      </c>
      <c r="L4349" s="41">
        <f>IFERROR(J4349/H4349,"")</f>
        <v/>
      </c>
      <c r="M4349" s="25" t="inlineStr">
        <is>
          <t>2.5.12</t>
        </is>
      </c>
      <c r="N4349" s="25">
        <f>IF(J4349&gt;300,1,0)</f>
        <v/>
      </c>
      <c r="O4349" s="25">
        <f>IF(J4349&gt;600,1,0)</f>
        <v/>
      </c>
      <c r="P4349" s="25">
        <f>IF(H4349&gt;0,J4349,"")</f>
        <v/>
      </c>
      <c r="Q4349" s="25">
        <f>TEXT(A4349,"YYYY-MM-DD HH")</f>
        <v/>
      </c>
      <c r="R4349" s="25">
        <f>COUNTIF($Q$2:$Q$5295,Q4349)</f>
        <v/>
      </c>
      <c r="S4349" s="25">
        <f>IF(R4349&lt;=2,"1-2",IF(R4349&lt;=5,"3-5",IF(R4349&lt;=10,"6-10","11+")))</f>
        <v/>
      </c>
    </row>
    <row r="4350">
      <c r="A4350" s="39" t="n">
        <v>46224.10186342592</v>
      </c>
      <c r="B4350" s="25">
        <f>TEXT(A4350,"YYYY-MM")</f>
        <v/>
      </c>
      <c r="C4350" s="25">
        <f>TEXT(A4350,"MMM-YYYY")</f>
        <v/>
      </c>
      <c r="D4350" s="40">
        <f>INT(A4350)-WEEKDAY(A4350,2)+1</f>
        <v/>
      </c>
      <c r="E4350" s="25" t="inlineStr">
        <is>
          <t>ethomas</t>
        </is>
      </c>
      <c r="F4350" s="25" t="n">
        <v>129056</v>
      </c>
      <c r="G4350" s="25" t="n">
        <v>2</v>
      </c>
      <c r="H4350" s="25" t="n">
        <v>11</v>
      </c>
      <c r="I4350" s="25" t="inlineStr">
        <is>
          <t>1 minute(s) and 7 second(s)</t>
        </is>
      </c>
      <c r="J4350" s="25">
        <f>IFERROR(VALUE(TRIM(LEFT(I4350,FIND("minute",I4350)-1)))*60,0)+IFERROR(VALUE(SUBSTITUTE(MID(I4350,IFERROR(FIND("and",I4350)+3,1),20),"second(s)","")),0)</f>
        <v/>
      </c>
      <c r="K4350" s="41">
        <f>J4350/60</f>
        <v/>
      </c>
      <c r="L4350" s="41">
        <f>IFERROR(J4350/H4350,"")</f>
        <v/>
      </c>
      <c r="M4350" s="25" t="inlineStr">
        <is>
          <t>2.5.12</t>
        </is>
      </c>
      <c r="N4350" s="25">
        <f>IF(J4350&gt;300,1,0)</f>
        <v/>
      </c>
      <c r="O4350" s="25">
        <f>IF(J4350&gt;600,1,0)</f>
        <v/>
      </c>
      <c r="P4350" s="25">
        <f>IF(H4350&gt;0,J4350,"")</f>
        <v/>
      </c>
      <c r="Q4350" s="25">
        <f>TEXT(A4350,"YYYY-MM-DD HH")</f>
        <v/>
      </c>
      <c r="R4350" s="25">
        <f>COUNTIF($Q$2:$Q$5295,Q4350)</f>
        <v/>
      </c>
      <c r="S4350" s="25">
        <f>IF(R4350&lt;=2,"1-2",IF(R4350&lt;=5,"3-5",IF(R4350&lt;=10,"6-10","11+")))</f>
        <v/>
      </c>
    </row>
    <row r="4351">
      <c r="A4351" s="39" t="n">
        <v>46224.11056712963</v>
      </c>
      <c r="B4351" s="25">
        <f>TEXT(A4351,"YYYY-MM")</f>
        <v/>
      </c>
      <c r="C4351" s="25">
        <f>TEXT(A4351,"MMM-YYYY")</f>
        <v/>
      </c>
      <c r="D4351" s="40">
        <f>INT(A4351)-WEEKDAY(A4351,2)+1</f>
        <v/>
      </c>
      <c r="E4351" s="25" t="inlineStr">
        <is>
          <t>sthomas</t>
        </is>
      </c>
      <c r="F4351" s="25" t="n">
        <v>129936</v>
      </c>
      <c r="G4351" s="25" t="n">
        <v>4</v>
      </c>
      <c r="H4351" s="25" t="n">
        <v>22</v>
      </c>
      <c r="I4351" s="25" t="inlineStr">
        <is>
          <t>2 minute(s) and 10 second(s)</t>
        </is>
      </c>
      <c r="J4351" s="25">
        <f>IFERROR(VALUE(TRIM(LEFT(I4351,FIND("minute",I4351)-1)))*60,0)+IFERROR(VALUE(SUBSTITUTE(MID(I4351,IFERROR(FIND("and",I4351)+3,1),20),"second(s)","")),0)</f>
        <v/>
      </c>
      <c r="K4351" s="41">
        <f>J4351/60</f>
        <v/>
      </c>
      <c r="L4351" s="41">
        <f>IFERROR(J4351/H4351,"")</f>
        <v/>
      </c>
      <c r="M4351" s="25" t="inlineStr">
        <is>
          <t>2.5.12</t>
        </is>
      </c>
      <c r="N4351" s="25">
        <f>IF(J4351&gt;300,1,0)</f>
        <v/>
      </c>
      <c r="O4351" s="25">
        <f>IF(J4351&gt;600,1,0)</f>
        <v/>
      </c>
      <c r="P4351" s="25">
        <f>IF(H4351&gt;0,J4351,"")</f>
        <v/>
      </c>
      <c r="Q4351" s="25">
        <f>TEXT(A4351,"YYYY-MM-DD HH")</f>
        <v/>
      </c>
      <c r="R4351" s="25">
        <f>COUNTIF($Q$2:$Q$5295,Q4351)</f>
        <v/>
      </c>
      <c r="S4351" s="25">
        <f>IF(R4351&lt;=2,"1-2",IF(R4351&lt;=5,"3-5",IF(R4351&lt;=10,"6-10","11+")))</f>
        <v/>
      </c>
    </row>
    <row r="4352">
      <c r="A4352" s="39" t="n">
        <v>46224.11384259259</v>
      </c>
      <c r="B4352" s="25">
        <f>TEXT(A4352,"YYYY-MM")</f>
        <v/>
      </c>
      <c r="C4352" s="25">
        <f>TEXT(A4352,"MMM-YYYY")</f>
        <v/>
      </c>
      <c r="D4352" s="40">
        <f>INT(A4352)-WEEKDAY(A4352,2)+1</f>
        <v/>
      </c>
      <c r="E4352" s="25" t="inlineStr">
        <is>
          <t>sdey</t>
        </is>
      </c>
      <c r="F4352" s="25" t="n">
        <v>130624</v>
      </c>
      <c r="G4352" s="25" t="n">
        <v>3</v>
      </c>
      <c r="H4352" s="25" t="n">
        <v>17</v>
      </c>
      <c r="I4352" s="25" t="inlineStr">
        <is>
          <t>2 minute(s) and 3 second(s)</t>
        </is>
      </c>
      <c r="J4352" s="25">
        <f>IFERROR(VALUE(TRIM(LEFT(I4352,FIND("minute",I4352)-1)))*60,0)+IFERROR(VALUE(SUBSTITUTE(MID(I4352,IFERROR(FIND("and",I4352)+3,1),20),"second(s)","")),0)</f>
        <v/>
      </c>
      <c r="K4352" s="41">
        <f>J4352/60</f>
        <v/>
      </c>
      <c r="L4352" s="41">
        <f>IFERROR(J4352/H4352,"")</f>
        <v/>
      </c>
      <c r="M4352" s="25" t="inlineStr">
        <is>
          <t>2.5.12</t>
        </is>
      </c>
      <c r="N4352" s="25">
        <f>IF(J4352&gt;300,1,0)</f>
        <v/>
      </c>
      <c r="O4352" s="25">
        <f>IF(J4352&gt;600,1,0)</f>
        <v/>
      </c>
      <c r="P4352" s="25">
        <f>IF(H4352&gt;0,J4352,"")</f>
        <v/>
      </c>
      <c r="Q4352" s="25">
        <f>TEXT(A4352,"YYYY-MM-DD HH")</f>
        <v/>
      </c>
      <c r="R4352" s="25">
        <f>COUNTIF($Q$2:$Q$5295,Q4352)</f>
        <v/>
      </c>
      <c r="S4352" s="25">
        <f>IF(R4352&lt;=2,"1-2",IF(R4352&lt;=5,"3-5",IF(R4352&lt;=10,"6-10","11+")))</f>
        <v/>
      </c>
    </row>
    <row r="4353">
      <c r="A4353" s="39" t="n">
        <v>46224.11407407407</v>
      </c>
      <c r="B4353" s="25">
        <f>TEXT(A4353,"YYYY-MM")</f>
        <v/>
      </c>
      <c r="C4353" s="25">
        <f>TEXT(A4353,"MMM-YYYY")</f>
        <v/>
      </c>
      <c r="D4353" s="40">
        <f>INT(A4353)-WEEKDAY(A4353,2)+1</f>
        <v/>
      </c>
      <c r="E4353" s="25" t="inlineStr">
        <is>
          <t>shasikha</t>
        </is>
      </c>
      <c r="F4353" s="25" t="n">
        <v>127991</v>
      </c>
      <c r="G4353" s="25" t="n">
        <v>1</v>
      </c>
      <c r="H4353" s="25" t="n">
        <v>7</v>
      </c>
      <c r="I4353" s="25" t="inlineStr">
        <is>
          <t>1 minute(s) and 28 second(s)</t>
        </is>
      </c>
      <c r="J4353" s="25">
        <f>IFERROR(VALUE(TRIM(LEFT(I4353,FIND("minute",I4353)-1)))*60,0)+IFERROR(VALUE(SUBSTITUTE(MID(I4353,IFERROR(FIND("and",I4353)+3,1),20),"second(s)","")),0)</f>
        <v/>
      </c>
      <c r="K4353" s="41">
        <f>J4353/60</f>
        <v/>
      </c>
      <c r="L4353" s="41">
        <f>IFERROR(J4353/H4353,"")</f>
        <v/>
      </c>
      <c r="M4353" s="25" t="inlineStr">
        <is>
          <t>2.5.12</t>
        </is>
      </c>
      <c r="N4353" s="25">
        <f>IF(J4353&gt;300,1,0)</f>
        <v/>
      </c>
      <c r="O4353" s="25">
        <f>IF(J4353&gt;600,1,0)</f>
        <v/>
      </c>
      <c r="P4353" s="25">
        <f>IF(H4353&gt;0,J4353,"")</f>
        <v/>
      </c>
      <c r="Q4353" s="25">
        <f>TEXT(A4353,"YYYY-MM-DD HH")</f>
        <v/>
      </c>
      <c r="R4353" s="25">
        <f>COUNTIF($Q$2:$Q$5295,Q4353)</f>
        <v/>
      </c>
      <c r="S4353" s="25">
        <f>IF(R4353&lt;=2,"1-2",IF(R4353&lt;=5,"3-5",IF(R4353&lt;=10,"6-10","11+")))</f>
        <v/>
      </c>
    </row>
    <row r="4354">
      <c r="A4354" s="39" t="n">
        <v>46224.11892361111</v>
      </c>
      <c r="B4354" s="25">
        <f>TEXT(A4354,"YYYY-MM")</f>
        <v/>
      </c>
      <c r="C4354" s="25">
        <f>TEXT(A4354,"MMM-YYYY")</f>
        <v/>
      </c>
      <c r="D4354" s="40">
        <f>INT(A4354)-WEEKDAY(A4354,2)+1</f>
        <v/>
      </c>
      <c r="E4354" s="25" t="inlineStr">
        <is>
          <t>tkarmakar</t>
        </is>
      </c>
      <c r="F4354" s="25" t="n">
        <v>129994</v>
      </c>
      <c r="G4354" s="25" t="n">
        <v>2</v>
      </c>
      <c r="H4354" s="25" t="n">
        <v>10</v>
      </c>
      <c r="I4354" s="25" t="inlineStr">
        <is>
          <t>1 minute(s) and 19 second(s)</t>
        </is>
      </c>
      <c r="J4354" s="25">
        <f>IFERROR(VALUE(TRIM(LEFT(I4354,FIND("minute",I4354)-1)))*60,0)+IFERROR(VALUE(SUBSTITUTE(MID(I4354,IFERROR(FIND("and",I4354)+3,1),20),"second(s)","")),0)</f>
        <v/>
      </c>
      <c r="K4354" s="41">
        <f>J4354/60</f>
        <v/>
      </c>
      <c r="L4354" s="41">
        <f>IFERROR(J4354/H4354,"")</f>
        <v/>
      </c>
      <c r="M4354" s="25" t="inlineStr">
        <is>
          <t>2.5.12</t>
        </is>
      </c>
      <c r="N4354" s="25">
        <f>IF(J4354&gt;300,1,0)</f>
        <v/>
      </c>
      <c r="O4354" s="25">
        <f>IF(J4354&gt;600,1,0)</f>
        <v/>
      </c>
      <c r="P4354" s="25">
        <f>IF(H4354&gt;0,J4354,"")</f>
        <v/>
      </c>
      <c r="Q4354" s="25">
        <f>TEXT(A4354,"YYYY-MM-DD HH")</f>
        <v/>
      </c>
      <c r="R4354" s="25">
        <f>COUNTIF($Q$2:$Q$5295,Q4354)</f>
        <v/>
      </c>
      <c r="S4354" s="25">
        <f>IF(R4354&lt;=2,"1-2",IF(R4354&lt;=5,"3-5",IF(R4354&lt;=10,"6-10","11+")))</f>
        <v/>
      </c>
    </row>
    <row r="4355">
      <c r="A4355" s="39" t="n">
        <v>46224.12365740741</v>
      </c>
      <c r="B4355" s="25">
        <f>TEXT(A4355,"YYYY-MM")</f>
        <v/>
      </c>
      <c r="C4355" s="25">
        <f>TEXT(A4355,"MMM-YYYY")</f>
        <v/>
      </c>
      <c r="D4355" s="40">
        <f>INT(A4355)-WEEKDAY(A4355,2)+1</f>
        <v/>
      </c>
      <c r="E4355" s="25" t="inlineStr">
        <is>
          <t>dbhattacharyya</t>
        </is>
      </c>
      <c r="F4355" s="25" t="n">
        <v>128912</v>
      </c>
      <c r="G4355" s="25" t="n">
        <v>3</v>
      </c>
      <c r="H4355" s="25" t="n">
        <v>18</v>
      </c>
      <c r="I4355" s="25" t="inlineStr">
        <is>
          <t>1 minute(s) and 33 second(s)</t>
        </is>
      </c>
      <c r="J4355" s="25">
        <f>IFERROR(VALUE(TRIM(LEFT(I4355,FIND("minute",I4355)-1)))*60,0)+IFERROR(VALUE(SUBSTITUTE(MID(I4355,IFERROR(FIND("and",I4355)+3,1),20),"second(s)","")),0)</f>
        <v/>
      </c>
      <c r="K4355" s="41">
        <f>J4355/60</f>
        <v/>
      </c>
      <c r="L4355" s="41">
        <f>IFERROR(J4355/H4355,"")</f>
        <v/>
      </c>
      <c r="M4355" s="25" t="inlineStr">
        <is>
          <t>2.5.12</t>
        </is>
      </c>
      <c r="N4355" s="25">
        <f>IF(J4355&gt;300,1,0)</f>
        <v/>
      </c>
      <c r="O4355" s="25">
        <f>IF(J4355&gt;600,1,0)</f>
        <v/>
      </c>
      <c r="P4355" s="25">
        <f>IF(H4355&gt;0,J4355,"")</f>
        <v/>
      </c>
      <c r="Q4355" s="25">
        <f>TEXT(A4355,"YYYY-MM-DD HH")</f>
        <v/>
      </c>
      <c r="R4355" s="25">
        <f>COUNTIF($Q$2:$Q$5295,Q4355)</f>
        <v/>
      </c>
      <c r="S4355" s="25">
        <f>IF(R4355&lt;=2,"1-2",IF(R4355&lt;=5,"3-5",IF(R4355&lt;=10,"6-10","11+")))</f>
        <v/>
      </c>
    </row>
    <row r="4356">
      <c r="A4356" s="39" t="n">
        <v>46224.13149305555</v>
      </c>
      <c r="B4356" s="25">
        <f>TEXT(A4356,"YYYY-MM")</f>
        <v/>
      </c>
      <c r="C4356" s="25">
        <f>TEXT(A4356,"MMM-YYYY")</f>
        <v/>
      </c>
      <c r="D4356" s="40">
        <f>INT(A4356)-WEEKDAY(A4356,2)+1</f>
        <v/>
      </c>
      <c r="E4356" s="25" t="inlineStr">
        <is>
          <t>ns</t>
        </is>
      </c>
      <c r="F4356" s="25" t="n">
        <v>129552</v>
      </c>
      <c r="G4356" s="25" t="n">
        <v>4</v>
      </c>
      <c r="H4356" s="25" t="n">
        <v>20</v>
      </c>
      <c r="I4356" s="25" t="inlineStr">
        <is>
          <t>2 minute(s) and 24 second(s)</t>
        </is>
      </c>
      <c r="J4356" s="25">
        <f>IFERROR(VALUE(TRIM(LEFT(I4356,FIND("minute",I4356)-1)))*60,0)+IFERROR(VALUE(SUBSTITUTE(MID(I4356,IFERROR(FIND("and",I4356)+3,1),20),"second(s)","")),0)</f>
        <v/>
      </c>
      <c r="K4356" s="41">
        <f>J4356/60</f>
        <v/>
      </c>
      <c r="L4356" s="41">
        <f>IFERROR(J4356/H4356,"")</f>
        <v/>
      </c>
      <c r="M4356" s="25" t="inlineStr">
        <is>
          <t>2.5.12</t>
        </is>
      </c>
      <c r="N4356" s="25">
        <f>IF(J4356&gt;300,1,0)</f>
        <v/>
      </c>
      <c r="O4356" s="25">
        <f>IF(J4356&gt;600,1,0)</f>
        <v/>
      </c>
      <c r="P4356" s="25">
        <f>IF(H4356&gt;0,J4356,"")</f>
        <v/>
      </c>
      <c r="Q4356" s="25">
        <f>TEXT(A4356,"YYYY-MM-DD HH")</f>
        <v/>
      </c>
      <c r="R4356" s="25">
        <f>COUNTIF($Q$2:$Q$5295,Q4356)</f>
        <v/>
      </c>
      <c r="S4356" s="25">
        <f>IF(R4356&lt;=2,"1-2",IF(R4356&lt;=5,"3-5",IF(R4356&lt;=10,"6-10","11+")))</f>
        <v/>
      </c>
    </row>
    <row r="4357">
      <c r="A4357" s="39" t="n">
        <v>46224.13462962963</v>
      </c>
      <c r="B4357" s="25">
        <f>TEXT(A4357,"YYYY-MM")</f>
        <v/>
      </c>
      <c r="C4357" s="25">
        <f>TEXT(A4357,"MMM-YYYY")</f>
        <v/>
      </c>
      <c r="D4357" s="40">
        <f>INT(A4357)-WEEKDAY(A4357,2)+1</f>
        <v/>
      </c>
      <c r="E4357" s="25" t="inlineStr">
        <is>
          <t>mbhalla</t>
        </is>
      </c>
      <c r="F4357" s="25" t="n">
        <v>129336</v>
      </c>
      <c r="G4357" s="25" t="n">
        <v>2</v>
      </c>
      <c r="H4357" s="25" t="n">
        <v>14</v>
      </c>
      <c r="I4357" s="25" t="inlineStr">
        <is>
          <t>2 minute(s) and 15 second(s)</t>
        </is>
      </c>
      <c r="J4357" s="25">
        <f>IFERROR(VALUE(TRIM(LEFT(I4357,FIND("minute",I4357)-1)))*60,0)+IFERROR(VALUE(SUBSTITUTE(MID(I4357,IFERROR(FIND("and",I4357)+3,1),20),"second(s)","")),0)</f>
        <v/>
      </c>
      <c r="K4357" s="41">
        <f>J4357/60</f>
        <v/>
      </c>
      <c r="L4357" s="41">
        <f>IFERROR(J4357/H4357,"")</f>
        <v/>
      </c>
      <c r="M4357" s="25" t="inlineStr">
        <is>
          <t>2.5.12</t>
        </is>
      </c>
      <c r="N4357" s="25">
        <f>IF(J4357&gt;300,1,0)</f>
        <v/>
      </c>
      <c r="O4357" s="25">
        <f>IF(J4357&gt;600,1,0)</f>
        <v/>
      </c>
      <c r="P4357" s="25">
        <f>IF(H4357&gt;0,J4357,"")</f>
        <v/>
      </c>
      <c r="Q4357" s="25">
        <f>TEXT(A4357,"YYYY-MM-DD HH")</f>
        <v/>
      </c>
      <c r="R4357" s="25">
        <f>COUNTIF($Q$2:$Q$5295,Q4357)</f>
        <v/>
      </c>
      <c r="S4357" s="25">
        <f>IF(R4357&lt;=2,"1-2",IF(R4357&lt;=5,"3-5",IF(R4357&lt;=10,"6-10","11+")))</f>
        <v/>
      </c>
    </row>
    <row r="4358">
      <c r="A4358" s="39" t="n">
        <v>46224.14219907407</v>
      </c>
      <c r="B4358" s="25">
        <f>TEXT(A4358,"YYYY-MM")</f>
        <v/>
      </c>
      <c r="C4358" s="25">
        <f>TEXT(A4358,"MMM-YYYY")</f>
        <v/>
      </c>
      <c r="D4358" s="40">
        <f>INT(A4358)-WEEKDAY(A4358,2)+1</f>
        <v/>
      </c>
      <c r="E4358" s="25" t="inlineStr">
        <is>
          <t>csaha</t>
        </is>
      </c>
      <c r="F4358" s="25" t="n">
        <v>132691</v>
      </c>
      <c r="G4358" s="25" t="n">
        <v>4</v>
      </c>
      <c r="H4358" s="25" t="n">
        <v>20</v>
      </c>
      <c r="I4358" s="25" t="inlineStr">
        <is>
          <t>2 minute(s) and 9 second(s)</t>
        </is>
      </c>
      <c r="J4358" s="25">
        <f>IFERROR(VALUE(TRIM(LEFT(I4358,FIND("minute",I4358)-1)))*60,0)+IFERROR(VALUE(SUBSTITUTE(MID(I4358,IFERROR(FIND("and",I4358)+3,1),20),"second(s)","")),0)</f>
        <v/>
      </c>
      <c r="K4358" s="41">
        <f>J4358/60</f>
        <v/>
      </c>
      <c r="L4358" s="41">
        <f>IFERROR(J4358/H4358,"")</f>
        <v/>
      </c>
      <c r="M4358" s="25" t="inlineStr">
        <is>
          <t>2.5.12</t>
        </is>
      </c>
      <c r="N4358" s="25">
        <f>IF(J4358&gt;300,1,0)</f>
        <v/>
      </c>
      <c r="O4358" s="25">
        <f>IF(J4358&gt;600,1,0)</f>
        <v/>
      </c>
      <c r="P4358" s="25">
        <f>IF(H4358&gt;0,J4358,"")</f>
        <v/>
      </c>
      <c r="Q4358" s="25">
        <f>TEXT(A4358,"YYYY-MM-DD HH")</f>
        <v/>
      </c>
      <c r="R4358" s="25">
        <f>COUNTIF($Q$2:$Q$5295,Q4358)</f>
        <v/>
      </c>
      <c r="S4358" s="25">
        <f>IF(R4358&lt;=2,"1-2",IF(R4358&lt;=5,"3-5",IF(R4358&lt;=10,"6-10","11+")))</f>
        <v/>
      </c>
    </row>
    <row r="4359">
      <c r="A4359" s="39" t="n">
        <v>46224.14427083333</v>
      </c>
      <c r="B4359" s="25">
        <f>TEXT(A4359,"YYYY-MM")</f>
        <v/>
      </c>
      <c r="C4359" s="25">
        <f>TEXT(A4359,"MMM-YYYY")</f>
        <v/>
      </c>
      <c r="D4359" s="40">
        <f>INT(A4359)-WEEKDAY(A4359,2)+1</f>
        <v/>
      </c>
      <c r="E4359" s="25" t="inlineStr">
        <is>
          <t>adey</t>
        </is>
      </c>
      <c r="F4359" s="25" t="n">
        <v>129160</v>
      </c>
      <c r="G4359" s="25" t="n">
        <v>4</v>
      </c>
      <c r="H4359" s="25" t="n">
        <v>24</v>
      </c>
      <c r="I4359" s="25" t="inlineStr">
        <is>
          <t>3 minute(s) and 35 second(s)</t>
        </is>
      </c>
      <c r="J4359" s="25">
        <f>IFERROR(VALUE(TRIM(LEFT(I4359,FIND("minute",I4359)-1)))*60,0)+IFERROR(VALUE(SUBSTITUTE(MID(I4359,IFERROR(FIND("and",I4359)+3,1),20),"second(s)","")),0)</f>
        <v/>
      </c>
      <c r="K4359" s="41">
        <f>J4359/60</f>
        <v/>
      </c>
      <c r="L4359" s="41">
        <f>IFERROR(J4359/H4359,"")</f>
        <v/>
      </c>
      <c r="M4359" s="25" t="inlineStr">
        <is>
          <t>2.5.12</t>
        </is>
      </c>
      <c r="N4359" s="25">
        <f>IF(J4359&gt;300,1,0)</f>
        <v/>
      </c>
      <c r="O4359" s="25">
        <f>IF(J4359&gt;600,1,0)</f>
        <v/>
      </c>
      <c r="P4359" s="25">
        <f>IF(H4359&gt;0,J4359,"")</f>
        <v/>
      </c>
      <c r="Q4359" s="25">
        <f>TEXT(A4359,"YYYY-MM-DD HH")</f>
        <v/>
      </c>
      <c r="R4359" s="25">
        <f>COUNTIF($Q$2:$Q$5295,Q4359)</f>
        <v/>
      </c>
      <c r="S4359" s="25">
        <f>IF(R4359&lt;=2,"1-2",IF(R4359&lt;=5,"3-5",IF(R4359&lt;=10,"6-10","11+")))</f>
        <v/>
      </c>
    </row>
    <row r="4360">
      <c r="A4360" s="39" t="n">
        <v>46224.14561342593</v>
      </c>
      <c r="B4360" s="25">
        <f>TEXT(A4360,"YYYY-MM")</f>
        <v/>
      </c>
      <c r="C4360" s="25">
        <f>TEXT(A4360,"MMM-YYYY")</f>
        <v/>
      </c>
      <c r="D4360" s="40">
        <f>INT(A4360)-WEEKDAY(A4360,2)+1</f>
        <v/>
      </c>
      <c r="E4360" s="25" t="inlineStr">
        <is>
          <t>smukhopadhyay</t>
        </is>
      </c>
      <c r="F4360" s="25" t="n">
        <v>128200</v>
      </c>
      <c r="G4360" s="25" t="n">
        <v>2</v>
      </c>
      <c r="H4360" s="25" t="n">
        <v>12</v>
      </c>
      <c r="I4360" s="25" t="inlineStr">
        <is>
          <t>1 minute(s) and 13 second(s)</t>
        </is>
      </c>
      <c r="J4360" s="25">
        <f>IFERROR(VALUE(TRIM(LEFT(I4360,FIND("minute",I4360)-1)))*60,0)+IFERROR(VALUE(SUBSTITUTE(MID(I4360,IFERROR(FIND("and",I4360)+3,1),20),"second(s)","")),0)</f>
        <v/>
      </c>
      <c r="K4360" s="41">
        <f>J4360/60</f>
        <v/>
      </c>
      <c r="L4360" s="41">
        <f>IFERROR(J4360/H4360,"")</f>
        <v/>
      </c>
      <c r="M4360" s="25" t="inlineStr">
        <is>
          <t>2.5.12</t>
        </is>
      </c>
      <c r="N4360" s="25">
        <f>IF(J4360&gt;300,1,0)</f>
        <v/>
      </c>
      <c r="O4360" s="25">
        <f>IF(J4360&gt;600,1,0)</f>
        <v/>
      </c>
      <c r="P4360" s="25">
        <f>IF(H4360&gt;0,J4360,"")</f>
        <v/>
      </c>
      <c r="Q4360" s="25">
        <f>TEXT(A4360,"YYYY-MM-DD HH")</f>
        <v/>
      </c>
      <c r="R4360" s="25">
        <f>COUNTIF($Q$2:$Q$5295,Q4360)</f>
        <v/>
      </c>
      <c r="S4360" s="25">
        <f>IF(R4360&lt;=2,"1-2",IF(R4360&lt;=5,"3-5",IF(R4360&lt;=10,"6-10","11+")))</f>
        <v/>
      </c>
    </row>
    <row r="4361">
      <c r="A4361" s="39" t="n">
        <v>46224.14857638889</v>
      </c>
      <c r="B4361" s="25">
        <f>TEXT(A4361,"YYYY-MM")</f>
        <v/>
      </c>
      <c r="C4361" s="25">
        <f>TEXT(A4361,"MMM-YYYY")</f>
        <v/>
      </c>
      <c r="D4361" s="40">
        <f>INT(A4361)-WEEKDAY(A4361,2)+1</f>
        <v/>
      </c>
      <c r="E4361" s="25" t="inlineStr">
        <is>
          <t>pgautam</t>
        </is>
      </c>
      <c r="F4361" s="25" t="n">
        <v>132752</v>
      </c>
      <c r="G4361" s="25" t="n">
        <v>4</v>
      </c>
      <c r="H4361" s="25" t="n">
        <v>14</v>
      </c>
      <c r="I4361" s="25" t="inlineStr">
        <is>
          <t>1 minute(s) and 10 second(s)</t>
        </is>
      </c>
      <c r="J4361" s="25">
        <f>IFERROR(VALUE(TRIM(LEFT(I4361,FIND("minute",I4361)-1)))*60,0)+IFERROR(VALUE(SUBSTITUTE(MID(I4361,IFERROR(FIND("and",I4361)+3,1),20),"second(s)","")),0)</f>
        <v/>
      </c>
      <c r="K4361" s="41">
        <f>J4361/60</f>
        <v/>
      </c>
      <c r="L4361" s="41">
        <f>IFERROR(J4361/H4361,"")</f>
        <v/>
      </c>
      <c r="M4361" s="25" t="inlineStr">
        <is>
          <t>2.5.12</t>
        </is>
      </c>
      <c r="N4361" s="25">
        <f>IF(J4361&gt;300,1,0)</f>
        <v/>
      </c>
      <c r="O4361" s="25">
        <f>IF(J4361&gt;600,1,0)</f>
        <v/>
      </c>
      <c r="P4361" s="25">
        <f>IF(H4361&gt;0,J4361,"")</f>
        <v/>
      </c>
      <c r="Q4361" s="25">
        <f>TEXT(A4361,"YYYY-MM-DD HH")</f>
        <v/>
      </c>
      <c r="R4361" s="25">
        <f>COUNTIF($Q$2:$Q$5295,Q4361)</f>
        <v/>
      </c>
      <c r="S4361" s="25">
        <f>IF(R4361&lt;=2,"1-2",IF(R4361&lt;=5,"3-5",IF(R4361&lt;=10,"6-10","11+")))</f>
        <v/>
      </c>
    </row>
    <row r="4362">
      <c r="A4362" s="39" t="n">
        <v>46224.15318287037</v>
      </c>
      <c r="B4362" s="25">
        <f>TEXT(A4362,"YYYY-MM")</f>
        <v/>
      </c>
      <c r="C4362" s="25">
        <f>TEXT(A4362,"MMM-YYYY")</f>
        <v/>
      </c>
      <c r="D4362" s="40">
        <f>INT(A4362)-WEEKDAY(A4362,2)+1</f>
        <v/>
      </c>
      <c r="E4362" s="25" t="inlineStr">
        <is>
          <t>bverma</t>
        </is>
      </c>
      <c r="F4362" s="25" t="n">
        <v>128867</v>
      </c>
      <c r="G4362" s="25" t="n">
        <v>4</v>
      </c>
      <c r="H4362" s="25" t="n">
        <v>22</v>
      </c>
      <c r="I4362" s="25" t="inlineStr">
        <is>
          <t>4 minute(s) and 1 second(s)</t>
        </is>
      </c>
      <c r="J4362" s="25">
        <f>IFERROR(VALUE(TRIM(LEFT(I4362,FIND("minute",I4362)-1)))*60,0)+IFERROR(VALUE(SUBSTITUTE(MID(I4362,IFERROR(FIND("and",I4362)+3,1),20),"second(s)","")),0)</f>
        <v/>
      </c>
      <c r="K4362" s="41">
        <f>J4362/60</f>
        <v/>
      </c>
      <c r="L4362" s="41">
        <f>IFERROR(J4362/H4362,"")</f>
        <v/>
      </c>
      <c r="M4362" s="25" t="inlineStr">
        <is>
          <t>2.5.12</t>
        </is>
      </c>
      <c r="N4362" s="25">
        <f>IF(J4362&gt;300,1,0)</f>
        <v/>
      </c>
      <c r="O4362" s="25">
        <f>IF(J4362&gt;600,1,0)</f>
        <v/>
      </c>
      <c r="P4362" s="25">
        <f>IF(H4362&gt;0,J4362,"")</f>
        <v/>
      </c>
      <c r="Q4362" s="25">
        <f>TEXT(A4362,"YYYY-MM-DD HH")</f>
        <v/>
      </c>
      <c r="R4362" s="25">
        <f>COUNTIF($Q$2:$Q$5295,Q4362)</f>
        <v/>
      </c>
      <c r="S4362" s="25">
        <f>IF(R4362&lt;=2,"1-2",IF(R4362&lt;=5,"3-5",IF(R4362&lt;=10,"6-10","11+")))</f>
        <v/>
      </c>
    </row>
    <row r="4363">
      <c r="A4363" s="39" t="n">
        <v>46224.15548611111</v>
      </c>
      <c r="B4363" s="25">
        <f>TEXT(A4363,"YYYY-MM")</f>
        <v/>
      </c>
      <c r="C4363" s="25">
        <f>TEXT(A4363,"MMM-YYYY")</f>
        <v/>
      </c>
      <c r="D4363" s="40">
        <f>INT(A4363)-WEEKDAY(A4363,2)+1</f>
        <v/>
      </c>
      <c r="E4363" s="25" t="inlineStr">
        <is>
          <t>ajain</t>
        </is>
      </c>
      <c r="F4363" s="25" t="n">
        <v>128064</v>
      </c>
      <c r="G4363" s="25" t="n">
        <v>2</v>
      </c>
      <c r="H4363" s="25" t="n">
        <v>10</v>
      </c>
      <c r="I4363" s="25" t="inlineStr">
        <is>
          <t>1 minute(s) and 1 second(s)</t>
        </is>
      </c>
      <c r="J4363" s="25">
        <f>IFERROR(VALUE(TRIM(LEFT(I4363,FIND("minute",I4363)-1)))*60,0)+IFERROR(VALUE(SUBSTITUTE(MID(I4363,IFERROR(FIND("and",I4363)+3,1),20),"second(s)","")),0)</f>
        <v/>
      </c>
      <c r="K4363" s="41">
        <f>J4363/60</f>
        <v/>
      </c>
      <c r="L4363" s="41">
        <f>IFERROR(J4363/H4363,"")</f>
        <v/>
      </c>
      <c r="M4363" s="25" t="inlineStr">
        <is>
          <t>2.5.12</t>
        </is>
      </c>
      <c r="N4363" s="25">
        <f>IF(J4363&gt;300,1,0)</f>
        <v/>
      </c>
      <c r="O4363" s="25">
        <f>IF(J4363&gt;600,1,0)</f>
        <v/>
      </c>
      <c r="P4363" s="25">
        <f>IF(H4363&gt;0,J4363,"")</f>
        <v/>
      </c>
      <c r="Q4363" s="25">
        <f>TEXT(A4363,"YYYY-MM-DD HH")</f>
        <v/>
      </c>
      <c r="R4363" s="25">
        <f>COUNTIF($Q$2:$Q$5295,Q4363)</f>
        <v/>
      </c>
      <c r="S4363" s="25">
        <f>IF(R4363&lt;=2,"1-2",IF(R4363&lt;=5,"3-5",IF(R4363&lt;=10,"6-10","11+")))</f>
        <v/>
      </c>
    </row>
    <row r="4364">
      <c r="A4364" s="39" t="n">
        <v>46224.1594675926</v>
      </c>
      <c r="B4364" s="25">
        <f>TEXT(A4364,"YYYY-MM")</f>
        <v/>
      </c>
      <c r="C4364" s="25">
        <f>TEXT(A4364,"MMM-YYYY")</f>
        <v/>
      </c>
      <c r="D4364" s="40">
        <f>INT(A4364)-WEEKDAY(A4364,2)+1</f>
        <v/>
      </c>
      <c r="E4364" s="25" t="inlineStr">
        <is>
          <t>asahoo</t>
        </is>
      </c>
      <c r="F4364" s="25" t="n">
        <v>129211</v>
      </c>
      <c r="G4364" s="25" t="n">
        <v>4</v>
      </c>
      <c r="H4364" s="25" t="n">
        <v>20</v>
      </c>
      <c r="I4364" s="25" t="inlineStr">
        <is>
          <t>2 minute(s) and 35 second(s)</t>
        </is>
      </c>
      <c r="J4364" s="25">
        <f>IFERROR(VALUE(TRIM(LEFT(I4364,FIND("minute",I4364)-1)))*60,0)+IFERROR(VALUE(SUBSTITUTE(MID(I4364,IFERROR(FIND("and",I4364)+3,1),20),"second(s)","")),0)</f>
        <v/>
      </c>
      <c r="K4364" s="41">
        <f>J4364/60</f>
        <v/>
      </c>
      <c r="L4364" s="41">
        <f>IFERROR(J4364/H4364,"")</f>
        <v/>
      </c>
      <c r="M4364" s="25" t="inlineStr">
        <is>
          <t>2.5.12</t>
        </is>
      </c>
      <c r="N4364" s="25">
        <f>IF(J4364&gt;300,1,0)</f>
        <v/>
      </c>
      <c r="O4364" s="25">
        <f>IF(J4364&gt;600,1,0)</f>
        <v/>
      </c>
      <c r="P4364" s="25">
        <f>IF(H4364&gt;0,J4364,"")</f>
        <v/>
      </c>
      <c r="Q4364" s="25">
        <f>TEXT(A4364,"YYYY-MM-DD HH")</f>
        <v/>
      </c>
      <c r="R4364" s="25">
        <f>COUNTIF($Q$2:$Q$5295,Q4364)</f>
        <v/>
      </c>
      <c r="S4364" s="25">
        <f>IF(R4364&lt;=2,"1-2",IF(R4364&lt;=5,"3-5",IF(R4364&lt;=10,"6-10","11+")))</f>
        <v/>
      </c>
    </row>
    <row r="4365">
      <c r="A4365" s="39" t="n">
        <v>46224.16982638889</v>
      </c>
      <c r="B4365" s="25">
        <f>TEXT(A4365,"YYYY-MM")</f>
        <v/>
      </c>
      <c r="C4365" s="25">
        <f>TEXT(A4365,"MMM-YYYY")</f>
        <v/>
      </c>
      <c r="D4365" s="40">
        <f>INT(A4365)-WEEKDAY(A4365,2)+1</f>
        <v/>
      </c>
      <c r="E4365" s="25" t="inlineStr">
        <is>
          <t>ssneha</t>
        </is>
      </c>
      <c r="F4365" s="25" t="n">
        <v>128567</v>
      </c>
      <c r="G4365" s="25" t="n">
        <v>4</v>
      </c>
      <c r="H4365" s="25" t="n">
        <v>20</v>
      </c>
      <c r="I4365" s="25" t="inlineStr">
        <is>
          <t>4 minute(s) and 1 second(s)</t>
        </is>
      </c>
      <c r="J4365" s="25">
        <f>IFERROR(VALUE(TRIM(LEFT(I4365,FIND("minute",I4365)-1)))*60,0)+IFERROR(VALUE(SUBSTITUTE(MID(I4365,IFERROR(FIND("and",I4365)+3,1),20),"second(s)","")),0)</f>
        <v/>
      </c>
      <c r="K4365" s="41">
        <f>J4365/60</f>
        <v/>
      </c>
      <c r="L4365" s="41">
        <f>IFERROR(J4365/H4365,"")</f>
        <v/>
      </c>
      <c r="M4365" s="25" t="inlineStr">
        <is>
          <t>2.5.12</t>
        </is>
      </c>
      <c r="N4365" s="25">
        <f>IF(J4365&gt;300,1,0)</f>
        <v/>
      </c>
      <c r="O4365" s="25">
        <f>IF(J4365&gt;600,1,0)</f>
        <v/>
      </c>
      <c r="P4365" s="25">
        <f>IF(H4365&gt;0,J4365,"")</f>
        <v/>
      </c>
      <c r="Q4365" s="25">
        <f>TEXT(A4365,"YYYY-MM-DD HH")</f>
        <v/>
      </c>
      <c r="R4365" s="25">
        <f>COUNTIF($Q$2:$Q$5295,Q4365)</f>
        <v/>
      </c>
      <c r="S4365" s="25">
        <f>IF(R4365&lt;=2,"1-2",IF(R4365&lt;=5,"3-5",IF(R4365&lt;=10,"6-10","11+")))</f>
        <v/>
      </c>
    </row>
    <row r="4366">
      <c r="A4366" s="39" t="n">
        <v>46224.17128472222</v>
      </c>
      <c r="B4366" s="25">
        <f>TEXT(A4366,"YYYY-MM")</f>
        <v/>
      </c>
      <c r="C4366" s="25">
        <f>TEXT(A4366,"MMM-YYYY")</f>
        <v/>
      </c>
      <c r="D4366" s="40">
        <f>INT(A4366)-WEEKDAY(A4366,2)+1</f>
        <v/>
      </c>
      <c r="E4366" s="25" t="inlineStr">
        <is>
          <t>mgupta</t>
        </is>
      </c>
      <c r="F4366" s="25" t="n">
        <v>132323</v>
      </c>
      <c r="G4366" s="25" t="n">
        <v>4</v>
      </c>
      <c r="H4366" s="25" t="n">
        <v>12</v>
      </c>
      <c r="I4366" s="25" t="inlineStr">
        <is>
          <t>1 minute(s) and 3 second(s)</t>
        </is>
      </c>
      <c r="J4366" s="25">
        <f>IFERROR(VALUE(TRIM(LEFT(I4366,FIND("minute",I4366)-1)))*60,0)+IFERROR(VALUE(SUBSTITUTE(MID(I4366,IFERROR(FIND("and",I4366)+3,1),20),"second(s)","")),0)</f>
        <v/>
      </c>
      <c r="K4366" s="41">
        <f>J4366/60</f>
        <v/>
      </c>
      <c r="L4366" s="41">
        <f>IFERROR(J4366/H4366,"")</f>
        <v/>
      </c>
      <c r="M4366" s="25" t="inlineStr">
        <is>
          <t>2.5.12</t>
        </is>
      </c>
      <c r="N4366" s="25">
        <f>IF(J4366&gt;300,1,0)</f>
        <v/>
      </c>
      <c r="O4366" s="25">
        <f>IF(J4366&gt;600,1,0)</f>
        <v/>
      </c>
      <c r="P4366" s="25">
        <f>IF(H4366&gt;0,J4366,"")</f>
        <v/>
      </c>
      <c r="Q4366" s="25">
        <f>TEXT(A4366,"YYYY-MM-DD HH")</f>
        <v/>
      </c>
      <c r="R4366" s="25">
        <f>COUNTIF($Q$2:$Q$5295,Q4366)</f>
        <v/>
      </c>
      <c r="S4366" s="25">
        <f>IF(R4366&lt;=2,"1-2",IF(R4366&lt;=5,"3-5",IF(R4366&lt;=10,"6-10","11+")))</f>
        <v/>
      </c>
    </row>
    <row r="4367">
      <c r="A4367" s="39" t="n">
        <v>46224.17174768518</v>
      </c>
      <c r="B4367" s="25">
        <f>TEXT(A4367,"YYYY-MM")</f>
        <v/>
      </c>
      <c r="C4367" s="25">
        <f>TEXT(A4367,"MMM-YYYY")</f>
        <v/>
      </c>
      <c r="D4367" s="40">
        <f>INT(A4367)-WEEKDAY(A4367,2)+1</f>
        <v/>
      </c>
      <c r="E4367" s="25" t="inlineStr">
        <is>
          <t>shasikha</t>
        </is>
      </c>
      <c r="F4367" s="25" t="n">
        <v>130115</v>
      </c>
      <c r="G4367" s="25" t="n">
        <v>3</v>
      </c>
      <c r="H4367" s="25" t="n">
        <v>17</v>
      </c>
      <c r="I4367" s="25" t="inlineStr">
        <is>
          <t>1 minute(s) and 46 second(s)</t>
        </is>
      </c>
      <c r="J4367" s="25">
        <f>IFERROR(VALUE(TRIM(LEFT(I4367,FIND("minute",I4367)-1)))*60,0)+IFERROR(VALUE(SUBSTITUTE(MID(I4367,IFERROR(FIND("and",I4367)+3,1),20),"second(s)","")),0)</f>
        <v/>
      </c>
      <c r="K4367" s="41">
        <f>J4367/60</f>
        <v/>
      </c>
      <c r="L4367" s="41">
        <f>IFERROR(J4367/H4367,"")</f>
        <v/>
      </c>
      <c r="M4367" s="25" t="inlineStr">
        <is>
          <t>2.5.12</t>
        </is>
      </c>
      <c r="N4367" s="25">
        <f>IF(J4367&gt;300,1,0)</f>
        <v/>
      </c>
      <c r="O4367" s="25">
        <f>IF(J4367&gt;600,1,0)</f>
        <v/>
      </c>
      <c r="P4367" s="25">
        <f>IF(H4367&gt;0,J4367,"")</f>
        <v/>
      </c>
      <c r="Q4367" s="25">
        <f>TEXT(A4367,"YYYY-MM-DD HH")</f>
        <v/>
      </c>
      <c r="R4367" s="25">
        <f>COUNTIF($Q$2:$Q$5295,Q4367)</f>
        <v/>
      </c>
      <c r="S4367" s="25">
        <f>IF(R4367&lt;=2,"1-2",IF(R4367&lt;=5,"3-5",IF(R4367&lt;=10,"6-10","11+")))</f>
        <v/>
      </c>
    </row>
    <row r="4368">
      <c r="A4368" s="39" t="n">
        <v>46224.18607638889</v>
      </c>
      <c r="B4368" s="25">
        <f>TEXT(A4368,"YYYY-MM")</f>
        <v/>
      </c>
      <c r="C4368" s="25">
        <f>TEXT(A4368,"MMM-YYYY")</f>
        <v/>
      </c>
      <c r="D4368" s="40">
        <f>INT(A4368)-WEEKDAY(A4368,2)+1</f>
        <v/>
      </c>
      <c r="E4368" s="25" t="inlineStr">
        <is>
          <t>sasharma</t>
        </is>
      </c>
      <c r="F4368" s="25" t="n">
        <v>132405</v>
      </c>
      <c r="G4368" s="25" t="n">
        <v>2</v>
      </c>
      <c r="H4368" s="25" t="n">
        <v>12</v>
      </c>
      <c r="I4368" s="25" t="inlineStr">
        <is>
          <t>56 second(s)</t>
        </is>
      </c>
      <c r="J4368" s="25">
        <f>IFERROR(VALUE(TRIM(LEFT(I4368,FIND("minute",I4368)-1)))*60,0)+IFERROR(VALUE(SUBSTITUTE(MID(I4368,IFERROR(FIND("and",I4368)+3,1),20),"second(s)","")),0)</f>
        <v/>
      </c>
      <c r="K4368" s="41">
        <f>J4368/60</f>
        <v/>
      </c>
      <c r="L4368" s="41">
        <f>IFERROR(J4368/H4368,"")</f>
        <v/>
      </c>
      <c r="M4368" s="25" t="inlineStr">
        <is>
          <t>2.5.12</t>
        </is>
      </c>
      <c r="N4368" s="25">
        <f>IF(J4368&gt;300,1,0)</f>
        <v/>
      </c>
      <c r="O4368" s="25">
        <f>IF(J4368&gt;600,1,0)</f>
        <v/>
      </c>
      <c r="P4368" s="25">
        <f>IF(H4368&gt;0,J4368,"")</f>
        <v/>
      </c>
      <c r="Q4368" s="25">
        <f>TEXT(A4368,"YYYY-MM-DD HH")</f>
        <v/>
      </c>
      <c r="R4368" s="25">
        <f>COUNTIF($Q$2:$Q$5295,Q4368)</f>
        <v/>
      </c>
      <c r="S4368" s="25">
        <f>IF(R4368&lt;=2,"1-2",IF(R4368&lt;=5,"3-5",IF(R4368&lt;=10,"6-10","11+")))</f>
        <v/>
      </c>
    </row>
    <row r="4369">
      <c r="A4369" s="39" t="n">
        <v>46224.19185185185</v>
      </c>
      <c r="B4369" s="25">
        <f>TEXT(A4369,"YYYY-MM")</f>
        <v/>
      </c>
      <c r="C4369" s="25">
        <f>TEXT(A4369,"MMM-YYYY")</f>
        <v/>
      </c>
      <c r="D4369" s="40">
        <f>INT(A4369)-WEEKDAY(A4369,2)+1</f>
        <v/>
      </c>
      <c r="E4369" s="25" t="inlineStr">
        <is>
          <t>psathwika</t>
        </is>
      </c>
      <c r="F4369" s="25" t="n">
        <v>129672</v>
      </c>
      <c r="G4369" s="25" t="n">
        <v>4</v>
      </c>
      <c r="H4369" s="25" t="n">
        <v>22</v>
      </c>
      <c r="I4369" s="25" t="inlineStr">
        <is>
          <t>2 minute(s) and 14 second(s)</t>
        </is>
      </c>
      <c r="J4369" s="25">
        <f>IFERROR(VALUE(TRIM(LEFT(I4369,FIND("minute",I4369)-1)))*60,0)+IFERROR(VALUE(SUBSTITUTE(MID(I4369,IFERROR(FIND("and",I4369)+3,1),20),"second(s)","")),0)</f>
        <v/>
      </c>
      <c r="K4369" s="41">
        <f>J4369/60</f>
        <v/>
      </c>
      <c r="L4369" s="41">
        <f>IFERROR(J4369/H4369,"")</f>
        <v/>
      </c>
      <c r="M4369" s="25" t="inlineStr">
        <is>
          <t>2.5.12</t>
        </is>
      </c>
      <c r="N4369" s="25">
        <f>IF(J4369&gt;300,1,0)</f>
        <v/>
      </c>
      <c r="O4369" s="25">
        <f>IF(J4369&gt;600,1,0)</f>
        <v/>
      </c>
      <c r="P4369" s="25">
        <f>IF(H4369&gt;0,J4369,"")</f>
        <v/>
      </c>
      <c r="Q4369" s="25">
        <f>TEXT(A4369,"YYYY-MM-DD HH")</f>
        <v/>
      </c>
      <c r="R4369" s="25">
        <f>COUNTIF($Q$2:$Q$5295,Q4369)</f>
        <v/>
      </c>
      <c r="S4369" s="25">
        <f>IF(R4369&lt;=2,"1-2",IF(R4369&lt;=5,"3-5",IF(R4369&lt;=10,"6-10","11+")))</f>
        <v/>
      </c>
    </row>
    <row r="4370">
      <c r="A4370" s="39" t="n">
        <v>46224.19855324074</v>
      </c>
      <c r="B4370" s="25">
        <f>TEXT(A4370,"YYYY-MM")</f>
        <v/>
      </c>
      <c r="C4370" s="25">
        <f>TEXT(A4370,"MMM-YYYY")</f>
        <v/>
      </c>
      <c r="D4370" s="40">
        <f>INT(A4370)-WEEKDAY(A4370,2)+1</f>
        <v/>
      </c>
      <c r="E4370" s="25" t="inlineStr">
        <is>
          <t>ssrinivasan</t>
        </is>
      </c>
      <c r="F4370" s="25" t="n">
        <v>128023</v>
      </c>
      <c r="G4370" s="25" t="n">
        <v>4</v>
      </c>
      <c r="H4370" s="25" t="n">
        <v>16</v>
      </c>
      <c r="I4370" s="25" t="inlineStr">
        <is>
          <t>1 minute(s) and 52 second(s)</t>
        </is>
      </c>
      <c r="J4370" s="25">
        <f>IFERROR(VALUE(TRIM(LEFT(I4370,FIND("minute",I4370)-1)))*60,0)+IFERROR(VALUE(SUBSTITUTE(MID(I4370,IFERROR(FIND("and",I4370)+3,1),20),"second(s)","")),0)</f>
        <v/>
      </c>
      <c r="K4370" s="41">
        <f>J4370/60</f>
        <v/>
      </c>
      <c r="L4370" s="41">
        <f>IFERROR(J4370/H4370,"")</f>
        <v/>
      </c>
      <c r="M4370" s="25" t="inlineStr">
        <is>
          <t>2.5.12</t>
        </is>
      </c>
      <c r="N4370" s="25">
        <f>IF(J4370&gt;300,1,0)</f>
        <v/>
      </c>
      <c r="O4370" s="25">
        <f>IF(J4370&gt;600,1,0)</f>
        <v/>
      </c>
      <c r="P4370" s="25">
        <f>IF(H4370&gt;0,J4370,"")</f>
        <v/>
      </c>
      <c r="Q4370" s="25">
        <f>TEXT(A4370,"YYYY-MM-DD HH")</f>
        <v/>
      </c>
      <c r="R4370" s="25">
        <f>COUNTIF($Q$2:$Q$5295,Q4370)</f>
        <v/>
      </c>
      <c r="S4370" s="25">
        <f>IF(R4370&lt;=2,"1-2",IF(R4370&lt;=5,"3-5",IF(R4370&lt;=10,"6-10","11+")))</f>
        <v/>
      </c>
    </row>
    <row r="4371">
      <c r="A4371" s="39" t="n">
        <v>46224.19924768519</v>
      </c>
      <c r="B4371" s="25">
        <f>TEXT(A4371,"YYYY-MM")</f>
        <v/>
      </c>
      <c r="C4371" s="25">
        <f>TEXT(A4371,"MMM-YYYY")</f>
        <v/>
      </c>
      <c r="D4371" s="40">
        <f>INT(A4371)-WEEKDAY(A4371,2)+1</f>
        <v/>
      </c>
      <c r="E4371" s="25" t="inlineStr">
        <is>
          <t>dchoudhury</t>
        </is>
      </c>
      <c r="F4371" s="25" t="n">
        <v>132867</v>
      </c>
      <c r="G4371" s="25" t="n">
        <v>4</v>
      </c>
      <c r="H4371" s="25" t="n">
        <v>15</v>
      </c>
      <c r="I4371" s="25" t="inlineStr">
        <is>
          <t>3 minute(s) and 17 second(s)</t>
        </is>
      </c>
      <c r="J4371" s="25">
        <f>IFERROR(VALUE(TRIM(LEFT(I4371,FIND("minute",I4371)-1)))*60,0)+IFERROR(VALUE(SUBSTITUTE(MID(I4371,IFERROR(FIND("and",I4371)+3,1),20),"second(s)","")),0)</f>
        <v/>
      </c>
      <c r="K4371" s="41">
        <f>J4371/60</f>
        <v/>
      </c>
      <c r="L4371" s="41">
        <f>IFERROR(J4371/H4371,"")</f>
        <v/>
      </c>
      <c r="M4371" s="25" t="inlineStr">
        <is>
          <t>2.5.12</t>
        </is>
      </c>
      <c r="N4371" s="25">
        <f>IF(J4371&gt;300,1,0)</f>
        <v/>
      </c>
      <c r="O4371" s="25">
        <f>IF(J4371&gt;600,1,0)</f>
        <v/>
      </c>
      <c r="P4371" s="25">
        <f>IF(H4371&gt;0,J4371,"")</f>
        <v/>
      </c>
      <c r="Q4371" s="25">
        <f>TEXT(A4371,"YYYY-MM-DD HH")</f>
        <v/>
      </c>
      <c r="R4371" s="25">
        <f>COUNTIF($Q$2:$Q$5295,Q4371)</f>
        <v/>
      </c>
      <c r="S4371" s="25">
        <f>IF(R4371&lt;=2,"1-2",IF(R4371&lt;=5,"3-5",IF(R4371&lt;=10,"6-10","11+")))</f>
        <v/>
      </c>
    </row>
    <row r="4372">
      <c r="A4372" s="39" t="n">
        <v>46224.20533564815</v>
      </c>
      <c r="B4372" s="25">
        <f>TEXT(A4372,"YYYY-MM")</f>
        <v/>
      </c>
      <c r="C4372" s="25">
        <f>TEXT(A4372,"MMM-YYYY")</f>
        <v/>
      </c>
      <c r="D4372" s="40">
        <f>INT(A4372)-WEEKDAY(A4372,2)+1</f>
        <v/>
      </c>
      <c r="E4372" s="25" t="inlineStr">
        <is>
          <t>amitra</t>
        </is>
      </c>
      <c r="F4372" s="25" t="n">
        <v>128987</v>
      </c>
      <c r="G4372" s="25" t="n">
        <v>1</v>
      </c>
      <c r="H4372" s="25" t="n">
        <v>7</v>
      </c>
      <c r="I4372" s="25" t="inlineStr">
        <is>
          <t>54 second(s)</t>
        </is>
      </c>
      <c r="J4372" s="25">
        <f>IFERROR(VALUE(TRIM(LEFT(I4372,FIND("minute",I4372)-1)))*60,0)+IFERROR(VALUE(SUBSTITUTE(MID(I4372,IFERROR(FIND("and",I4372)+3,1),20),"second(s)","")),0)</f>
        <v/>
      </c>
      <c r="K4372" s="41">
        <f>J4372/60</f>
        <v/>
      </c>
      <c r="L4372" s="41">
        <f>IFERROR(J4372/H4372,"")</f>
        <v/>
      </c>
      <c r="M4372" s="25" t="inlineStr">
        <is>
          <t>2.5.12</t>
        </is>
      </c>
      <c r="N4372" s="25">
        <f>IF(J4372&gt;300,1,0)</f>
        <v/>
      </c>
      <c r="O4372" s="25">
        <f>IF(J4372&gt;600,1,0)</f>
        <v/>
      </c>
      <c r="P4372" s="25">
        <f>IF(H4372&gt;0,J4372,"")</f>
        <v/>
      </c>
      <c r="Q4372" s="25">
        <f>TEXT(A4372,"YYYY-MM-DD HH")</f>
        <v/>
      </c>
      <c r="R4372" s="25">
        <f>COUNTIF($Q$2:$Q$5295,Q4372)</f>
        <v/>
      </c>
      <c r="S4372" s="25">
        <f>IF(R4372&lt;=2,"1-2",IF(R4372&lt;=5,"3-5",IF(R4372&lt;=10,"6-10","11+")))</f>
        <v/>
      </c>
    </row>
    <row r="4373">
      <c r="A4373" s="39" t="n">
        <v>46224.206875</v>
      </c>
      <c r="B4373" s="25">
        <f>TEXT(A4373,"YYYY-MM")</f>
        <v/>
      </c>
      <c r="C4373" s="25">
        <f>TEXT(A4373,"MMM-YYYY")</f>
        <v/>
      </c>
      <c r="D4373" s="40">
        <f>INT(A4373)-WEEKDAY(A4373,2)+1</f>
        <v/>
      </c>
      <c r="E4373" s="25" t="inlineStr">
        <is>
          <t>hsindwani</t>
        </is>
      </c>
      <c r="F4373" s="25" t="n">
        <v>129080</v>
      </c>
      <c r="G4373" s="25" t="n">
        <v>1</v>
      </c>
      <c r="H4373" s="25" t="n">
        <v>7</v>
      </c>
      <c r="I4373" s="25" t="inlineStr">
        <is>
          <t>48 second(s)</t>
        </is>
      </c>
      <c r="J4373" s="25">
        <f>IFERROR(VALUE(TRIM(LEFT(I4373,FIND("minute",I4373)-1)))*60,0)+IFERROR(VALUE(SUBSTITUTE(MID(I4373,IFERROR(FIND("and",I4373)+3,1),20),"second(s)","")),0)</f>
        <v/>
      </c>
      <c r="K4373" s="41">
        <f>J4373/60</f>
        <v/>
      </c>
      <c r="L4373" s="41">
        <f>IFERROR(J4373/H4373,"")</f>
        <v/>
      </c>
      <c r="M4373" s="25" t="inlineStr">
        <is>
          <t>2.5.12</t>
        </is>
      </c>
      <c r="N4373" s="25">
        <f>IF(J4373&gt;300,1,0)</f>
        <v/>
      </c>
      <c r="O4373" s="25">
        <f>IF(J4373&gt;600,1,0)</f>
        <v/>
      </c>
      <c r="P4373" s="25">
        <f>IF(H4373&gt;0,J4373,"")</f>
        <v/>
      </c>
      <c r="Q4373" s="25">
        <f>TEXT(A4373,"YYYY-MM-DD HH")</f>
        <v/>
      </c>
      <c r="R4373" s="25">
        <f>COUNTIF($Q$2:$Q$5295,Q4373)</f>
        <v/>
      </c>
      <c r="S4373" s="25">
        <f>IF(R4373&lt;=2,"1-2",IF(R4373&lt;=5,"3-5",IF(R4373&lt;=10,"6-10","11+")))</f>
        <v/>
      </c>
    </row>
    <row r="4374">
      <c r="A4374" s="39" t="n">
        <v>46224.21236111111</v>
      </c>
      <c r="B4374" s="25">
        <f>TEXT(A4374,"YYYY-MM")</f>
        <v/>
      </c>
      <c r="C4374" s="25">
        <f>TEXT(A4374,"MMM-YYYY")</f>
        <v/>
      </c>
      <c r="D4374" s="40">
        <f>INT(A4374)-WEEKDAY(A4374,2)+1</f>
        <v/>
      </c>
      <c r="E4374" s="25" t="inlineStr">
        <is>
          <t>sdey</t>
        </is>
      </c>
      <c r="F4374" s="25" t="n">
        <v>129401</v>
      </c>
      <c r="G4374" s="25" t="n">
        <v>3</v>
      </c>
      <c r="H4374" s="25" t="n">
        <v>11</v>
      </c>
      <c r="I4374" s="25" t="inlineStr">
        <is>
          <t>3 minute(s) and 2 second(s)</t>
        </is>
      </c>
      <c r="J4374" s="25">
        <f>IFERROR(VALUE(TRIM(LEFT(I4374,FIND("minute",I4374)-1)))*60,0)+IFERROR(VALUE(SUBSTITUTE(MID(I4374,IFERROR(FIND("and",I4374)+3,1),20),"second(s)","")),0)</f>
        <v/>
      </c>
      <c r="K4374" s="41">
        <f>J4374/60</f>
        <v/>
      </c>
      <c r="L4374" s="41">
        <f>IFERROR(J4374/H4374,"")</f>
        <v/>
      </c>
      <c r="M4374" s="25" t="inlineStr">
        <is>
          <t>2.5.12</t>
        </is>
      </c>
      <c r="N4374" s="25">
        <f>IF(J4374&gt;300,1,0)</f>
        <v/>
      </c>
      <c r="O4374" s="25">
        <f>IF(J4374&gt;600,1,0)</f>
        <v/>
      </c>
      <c r="P4374" s="25">
        <f>IF(H4374&gt;0,J4374,"")</f>
        <v/>
      </c>
      <c r="Q4374" s="25">
        <f>TEXT(A4374,"YYYY-MM-DD HH")</f>
        <v/>
      </c>
      <c r="R4374" s="25">
        <f>COUNTIF($Q$2:$Q$5295,Q4374)</f>
        <v/>
      </c>
      <c r="S4374" s="25">
        <f>IF(R4374&lt;=2,"1-2",IF(R4374&lt;=5,"3-5",IF(R4374&lt;=10,"6-10","11+")))</f>
        <v/>
      </c>
    </row>
    <row r="4375">
      <c r="A4375" s="39" t="n">
        <v>46224.21248842592</v>
      </c>
      <c r="B4375" s="25">
        <f>TEXT(A4375,"YYYY-MM")</f>
        <v/>
      </c>
      <c r="C4375" s="25">
        <f>TEXT(A4375,"MMM-YYYY")</f>
        <v/>
      </c>
      <c r="D4375" s="40">
        <f>INT(A4375)-WEEKDAY(A4375,2)+1</f>
        <v/>
      </c>
      <c r="E4375" s="25" t="inlineStr">
        <is>
          <t>smukhopadhyay</t>
        </is>
      </c>
      <c r="F4375" s="25" t="n">
        <v>128216</v>
      </c>
      <c r="G4375" s="25" t="n">
        <v>1</v>
      </c>
      <c r="H4375" s="25" t="n">
        <v>7</v>
      </c>
      <c r="I4375" s="25" t="inlineStr">
        <is>
          <t>1 minute(s) and 48 second(s)</t>
        </is>
      </c>
      <c r="J4375" s="25">
        <f>IFERROR(VALUE(TRIM(LEFT(I4375,FIND("minute",I4375)-1)))*60,0)+IFERROR(VALUE(SUBSTITUTE(MID(I4375,IFERROR(FIND("and",I4375)+3,1),20),"second(s)","")),0)</f>
        <v/>
      </c>
      <c r="K4375" s="41">
        <f>J4375/60</f>
        <v/>
      </c>
      <c r="L4375" s="41">
        <f>IFERROR(J4375/H4375,"")</f>
        <v/>
      </c>
      <c r="M4375" s="25" t="inlineStr">
        <is>
          <t>2.5.12</t>
        </is>
      </c>
      <c r="N4375" s="25">
        <f>IF(J4375&gt;300,1,0)</f>
        <v/>
      </c>
      <c r="O4375" s="25">
        <f>IF(J4375&gt;600,1,0)</f>
        <v/>
      </c>
      <c r="P4375" s="25">
        <f>IF(H4375&gt;0,J4375,"")</f>
        <v/>
      </c>
      <c r="Q4375" s="25">
        <f>TEXT(A4375,"YYYY-MM-DD HH")</f>
        <v/>
      </c>
      <c r="R4375" s="25">
        <f>COUNTIF($Q$2:$Q$5295,Q4375)</f>
        <v/>
      </c>
      <c r="S4375" s="25">
        <f>IF(R4375&lt;=2,"1-2",IF(R4375&lt;=5,"3-5",IF(R4375&lt;=10,"6-10","11+")))</f>
        <v/>
      </c>
    </row>
    <row r="4376">
      <c r="A4376" s="39" t="n">
        <v>46224.21697916667</v>
      </c>
      <c r="B4376" s="25">
        <f>TEXT(A4376,"YYYY-MM")</f>
        <v/>
      </c>
      <c r="C4376" s="25">
        <f>TEXT(A4376,"MMM-YYYY")</f>
        <v/>
      </c>
      <c r="D4376" s="40">
        <f>INT(A4376)-WEEKDAY(A4376,2)+1</f>
        <v/>
      </c>
      <c r="E4376" s="25" t="inlineStr">
        <is>
          <t>shassan</t>
        </is>
      </c>
      <c r="F4376" s="25" t="n">
        <v>131203</v>
      </c>
      <c r="G4376" s="25" t="n">
        <v>2</v>
      </c>
      <c r="H4376" s="25" t="n">
        <v>6</v>
      </c>
      <c r="I4376" s="25" t="inlineStr">
        <is>
          <t>39 second(s)</t>
        </is>
      </c>
      <c r="J4376" s="25">
        <f>IFERROR(VALUE(TRIM(LEFT(I4376,FIND("minute",I4376)-1)))*60,0)+IFERROR(VALUE(SUBSTITUTE(MID(I4376,IFERROR(FIND("and",I4376)+3,1),20),"second(s)","")),0)</f>
        <v/>
      </c>
      <c r="K4376" s="41">
        <f>J4376/60</f>
        <v/>
      </c>
      <c r="L4376" s="41">
        <f>IFERROR(J4376/H4376,"")</f>
        <v/>
      </c>
      <c r="M4376" s="25" t="inlineStr">
        <is>
          <t>2.5.12</t>
        </is>
      </c>
      <c r="N4376" s="25">
        <f>IF(J4376&gt;300,1,0)</f>
        <v/>
      </c>
      <c r="O4376" s="25">
        <f>IF(J4376&gt;600,1,0)</f>
        <v/>
      </c>
      <c r="P4376" s="25">
        <f>IF(H4376&gt;0,J4376,"")</f>
        <v/>
      </c>
      <c r="Q4376" s="25">
        <f>TEXT(A4376,"YYYY-MM-DD HH")</f>
        <v/>
      </c>
      <c r="R4376" s="25">
        <f>COUNTIF($Q$2:$Q$5295,Q4376)</f>
        <v/>
      </c>
      <c r="S4376" s="25">
        <f>IF(R4376&lt;=2,"1-2",IF(R4376&lt;=5,"3-5",IF(R4376&lt;=10,"6-10","11+")))</f>
        <v/>
      </c>
    </row>
    <row r="4377">
      <c r="A4377" s="39" t="n">
        <v>46224.22515046296</v>
      </c>
      <c r="B4377" s="25">
        <f>TEXT(A4377,"YYYY-MM")</f>
        <v/>
      </c>
      <c r="C4377" s="25">
        <f>TEXT(A4377,"MMM-YYYY")</f>
        <v/>
      </c>
      <c r="D4377" s="40">
        <f>INT(A4377)-WEEKDAY(A4377,2)+1</f>
        <v/>
      </c>
      <c r="E4377" s="25" t="inlineStr">
        <is>
          <t>sthomas</t>
        </is>
      </c>
      <c r="F4377" s="25" t="n">
        <v>130137</v>
      </c>
      <c r="G4377" s="25" t="n">
        <v>1</v>
      </c>
      <c r="H4377" s="25" t="n">
        <v>5</v>
      </c>
      <c r="I4377" s="25" t="inlineStr">
        <is>
          <t>28 second(s)</t>
        </is>
      </c>
      <c r="J4377" s="25">
        <f>IFERROR(VALUE(TRIM(LEFT(I4377,FIND("minute",I4377)-1)))*60,0)+IFERROR(VALUE(SUBSTITUTE(MID(I4377,IFERROR(FIND("and",I4377)+3,1),20),"second(s)","")),0)</f>
        <v/>
      </c>
      <c r="K4377" s="41">
        <f>J4377/60</f>
        <v/>
      </c>
      <c r="L4377" s="41">
        <f>IFERROR(J4377/H4377,"")</f>
        <v/>
      </c>
      <c r="M4377" s="25" t="inlineStr">
        <is>
          <t>2.5.12</t>
        </is>
      </c>
      <c r="N4377" s="25">
        <f>IF(J4377&gt;300,1,0)</f>
        <v/>
      </c>
      <c r="O4377" s="25">
        <f>IF(J4377&gt;600,1,0)</f>
        <v/>
      </c>
      <c r="P4377" s="25">
        <f>IF(H4377&gt;0,J4377,"")</f>
        <v/>
      </c>
      <c r="Q4377" s="25">
        <f>TEXT(A4377,"YYYY-MM-DD HH")</f>
        <v/>
      </c>
      <c r="R4377" s="25">
        <f>COUNTIF($Q$2:$Q$5295,Q4377)</f>
        <v/>
      </c>
      <c r="S4377" s="25">
        <f>IF(R4377&lt;=2,"1-2",IF(R4377&lt;=5,"3-5",IF(R4377&lt;=10,"6-10","11+")))</f>
        <v/>
      </c>
    </row>
    <row r="4378">
      <c r="A4378" s="39" t="n">
        <v>46224.22667824074</v>
      </c>
      <c r="B4378" s="25">
        <f>TEXT(A4378,"YYYY-MM")</f>
        <v/>
      </c>
      <c r="C4378" s="25">
        <f>TEXT(A4378,"MMM-YYYY")</f>
        <v/>
      </c>
      <c r="D4378" s="40">
        <f>INT(A4378)-WEEKDAY(A4378,2)+1</f>
        <v/>
      </c>
      <c r="E4378" s="25" t="inlineStr">
        <is>
          <t>ns</t>
        </is>
      </c>
      <c r="F4378" s="25" t="n">
        <v>129544</v>
      </c>
      <c r="G4378" s="25" t="n">
        <v>4</v>
      </c>
      <c r="H4378" s="25" t="n">
        <v>22</v>
      </c>
      <c r="I4378" s="25" t="inlineStr">
        <is>
          <t>2 minute(s) and 59 second(s)</t>
        </is>
      </c>
      <c r="J4378" s="25">
        <f>IFERROR(VALUE(TRIM(LEFT(I4378,FIND("minute",I4378)-1)))*60,0)+IFERROR(VALUE(SUBSTITUTE(MID(I4378,IFERROR(FIND("and",I4378)+3,1),20),"second(s)","")),0)</f>
        <v/>
      </c>
      <c r="K4378" s="41">
        <f>J4378/60</f>
        <v/>
      </c>
      <c r="L4378" s="41">
        <f>IFERROR(J4378/H4378,"")</f>
        <v/>
      </c>
      <c r="M4378" s="25" t="inlineStr">
        <is>
          <t>2.5.12</t>
        </is>
      </c>
      <c r="N4378" s="25">
        <f>IF(J4378&gt;300,1,0)</f>
        <v/>
      </c>
      <c r="O4378" s="25">
        <f>IF(J4378&gt;600,1,0)</f>
        <v/>
      </c>
      <c r="P4378" s="25">
        <f>IF(H4378&gt;0,J4378,"")</f>
        <v/>
      </c>
      <c r="Q4378" s="25">
        <f>TEXT(A4378,"YYYY-MM-DD HH")</f>
        <v/>
      </c>
      <c r="R4378" s="25">
        <f>COUNTIF($Q$2:$Q$5295,Q4378)</f>
        <v/>
      </c>
      <c r="S4378" s="25">
        <f>IF(R4378&lt;=2,"1-2",IF(R4378&lt;=5,"3-5",IF(R4378&lt;=10,"6-10","11+")))</f>
        <v/>
      </c>
    </row>
    <row r="4379">
      <c r="A4379" s="39" t="n">
        <v>46224.22763888889</v>
      </c>
      <c r="B4379" s="25">
        <f>TEXT(A4379,"YYYY-MM")</f>
        <v/>
      </c>
      <c r="C4379" s="25">
        <f>TEXT(A4379,"MMM-YYYY")</f>
        <v/>
      </c>
      <c r="D4379" s="40">
        <f>INT(A4379)-WEEKDAY(A4379,2)+1</f>
        <v/>
      </c>
      <c r="E4379" s="25" t="inlineStr">
        <is>
          <t>dchoudhury</t>
        </is>
      </c>
      <c r="F4379" s="25" t="n">
        <v>132867</v>
      </c>
      <c r="G4379" s="25" t="n">
        <v>4</v>
      </c>
      <c r="H4379" s="25" t="n">
        <v>21</v>
      </c>
      <c r="I4379" s="25" t="inlineStr">
        <is>
          <t>1 minute(s) and 54 second(s)</t>
        </is>
      </c>
      <c r="J4379" s="25">
        <f>IFERROR(VALUE(TRIM(LEFT(I4379,FIND("minute",I4379)-1)))*60,0)+IFERROR(VALUE(SUBSTITUTE(MID(I4379,IFERROR(FIND("and",I4379)+3,1),20),"second(s)","")),0)</f>
        <v/>
      </c>
      <c r="K4379" s="41">
        <f>J4379/60</f>
        <v/>
      </c>
      <c r="L4379" s="41">
        <f>IFERROR(J4379/H4379,"")</f>
        <v/>
      </c>
      <c r="M4379" s="25" t="inlineStr">
        <is>
          <t>2.5.12</t>
        </is>
      </c>
      <c r="N4379" s="25">
        <f>IF(J4379&gt;300,1,0)</f>
        <v/>
      </c>
      <c r="O4379" s="25">
        <f>IF(J4379&gt;600,1,0)</f>
        <v/>
      </c>
      <c r="P4379" s="25">
        <f>IF(H4379&gt;0,J4379,"")</f>
        <v/>
      </c>
      <c r="Q4379" s="25">
        <f>TEXT(A4379,"YYYY-MM-DD HH")</f>
        <v/>
      </c>
      <c r="R4379" s="25">
        <f>COUNTIF($Q$2:$Q$5295,Q4379)</f>
        <v/>
      </c>
      <c r="S4379" s="25">
        <f>IF(R4379&lt;=2,"1-2",IF(R4379&lt;=5,"3-5",IF(R4379&lt;=10,"6-10","11+")))</f>
        <v/>
      </c>
    </row>
    <row r="4380">
      <c r="A4380" s="39" t="n">
        <v>46224.23344907408</v>
      </c>
      <c r="B4380" s="25">
        <f>TEXT(A4380,"YYYY-MM")</f>
        <v/>
      </c>
      <c r="C4380" s="25">
        <f>TEXT(A4380,"MMM-YYYY")</f>
        <v/>
      </c>
      <c r="D4380" s="40">
        <f>INT(A4380)-WEEKDAY(A4380,2)+1</f>
        <v/>
      </c>
      <c r="E4380" s="25" t="inlineStr">
        <is>
          <t>dchoudhury</t>
        </is>
      </c>
      <c r="F4380" s="25" t="n">
        <v>132867</v>
      </c>
      <c r="G4380" s="25" t="n">
        <v>4</v>
      </c>
      <c r="H4380" s="25" t="n">
        <v>21</v>
      </c>
      <c r="I4380" s="25" t="inlineStr">
        <is>
          <t>1 minute(s) and 49 second(s)</t>
        </is>
      </c>
      <c r="J4380" s="25">
        <f>IFERROR(VALUE(TRIM(LEFT(I4380,FIND("minute",I4380)-1)))*60,0)+IFERROR(VALUE(SUBSTITUTE(MID(I4380,IFERROR(FIND("and",I4380)+3,1),20),"second(s)","")),0)</f>
        <v/>
      </c>
      <c r="K4380" s="41">
        <f>J4380/60</f>
        <v/>
      </c>
      <c r="L4380" s="41">
        <f>IFERROR(J4380/H4380,"")</f>
        <v/>
      </c>
      <c r="M4380" s="25" t="inlineStr">
        <is>
          <t>2.5.12</t>
        </is>
      </c>
      <c r="N4380" s="25">
        <f>IF(J4380&gt;300,1,0)</f>
        <v/>
      </c>
      <c r="O4380" s="25">
        <f>IF(J4380&gt;600,1,0)</f>
        <v/>
      </c>
      <c r="P4380" s="25">
        <f>IF(H4380&gt;0,J4380,"")</f>
        <v/>
      </c>
      <c r="Q4380" s="25">
        <f>TEXT(A4380,"YYYY-MM-DD HH")</f>
        <v/>
      </c>
      <c r="R4380" s="25">
        <f>COUNTIF($Q$2:$Q$5295,Q4380)</f>
        <v/>
      </c>
      <c r="S4380" s="25">
        <f>IF(R4380&lt;=2,"1-2",IF(R4380&lt;=5,"3-5",IF(R4380&lt;=10,"6-10","11+")))</f>
        <v/>
      </c>
    </row>
    <row r="4381">
      <c r="A4381" s="39" t="n">
        <v>46224.24466435185</v>
      </c>
      <c r="B4381" s="25">
        <f>TEXT(A4381,"YYYY-MM")</f>
        <v/>
      </c>
      <c r="C4381" s="25">
        <f>TEXT(A4381,"MMM-YYYY")</f>
        <v/>
      </c>
      <c r="D4381" s="40">
        <f>INT(A4381)-WEEKDAY(A4381,2)+1</f>
        <v/>
      </c>
      <c r="E4381" s="25" t="inlineStr">
        <is>
          <t>dbhattacharyya</t>
        </is>
      </c>
      <c r="F4381" s="25" t="n">
        <v>127931</v>
      </c>
      <c r="G4381" s="25" t="n">
        <v>2</v>
      </c>
      <c r="H4381" s="25" t="n">
        <v>14</v>
      </c>
      <c r="I4381" s="25" t="inlineStr">
        <is>
          <t>1 minute(s) and 43 second(s)</t>
        </is>
      </c>
      <c r="J4381" s="25">
        <f>IFERROR(VALUE(TRIM(LEFT(I4381,FIND("minute",I4381)-1)))*60,0)+IFERROR(VALUE(SUBSTITUTE(MID(I4381,IFERROR(FIND("and",I4381)+3,1),20),"second(s)","")),0)</f>
        <v/>
      </c>
      <c r="K4381" s="41">
        <f>J4381/60</f>
        <v/>
      </c>
      <c r="L4381" s="41">
        <f>IFERROR(J4381/H4381,"")</f>
        <v/>
      </c>
      <c r="M4381" s="25" t="inlineStr">
        <is>
          <t>2.5.12</t>
        </is>
      </c>
      <c r="N4381" s="25">
        <f>IF(J4381&gt;300,1,0)</f>
        <v/>
      </c>
      <c r="O4381" s="25">
        <f>IF(J4381&gt;600,1,0)</f>
        <v/>
      </c>
      <c r="P4381" s="25">
        <f>IF(H4381&gt;0,J4381,"")</f>
        <v/>
      </c>
      <c r="Q4381" s="25">
        <f>TEXT(A4381,"YYYY-MM-DD HH")</f>
        <v/>
      </c>
      <c r="R4381" s="25">
        <f>COUNTIF($Q$2:$Q$5295,Q4381)</f>
        <v/>
      </c>
      <c r="S4381" s="25">
        <f>IF(R4381&lt;=2,"1-2",IF(R4381&lt;=5,"3-5",IF(R4381&lt;=10,"6-10","11+")))</f>
        <v/>
      </c>
    </row>
    <row r="4382">
      <c r="A4382" s="39" t="n">
        <v>46224.2515625</v>
      </c>
      <c r="B4382" s="25">
        <f>TEXT(A4382,"YYYY-MM")</f>
        <v/>
      </c>
      <c r="C4382" s="25">
        <f>TEXT(A4382,"MMM-YYYY")</f>
        <v/>
      </c>
      <c r="D4382" s="40">
        <f>INT(A4382)-WEEKDAY(A4382,2)+1</f>
        <v/>
      </c>
      <c r="E4382" s="25" t="inlineStr">
        <is>
          <t>emishra</t>
        </is>
      </c>
      <c r="F4382" s="25" t="n">
        <v>129326</v>
      </c>
      <c r="G4382" s="25" t="n">
        <v>2</v>
      </c>
      <c r="H4382" s="25" t="n">
        <v>12</v>
      </c>
      <c r="I4382" s="25" t="inlineStr">
        <is>
          <t>1 minute(s) and 13 second(s)</t>
        </is>
      </c>
      <c r="J4382" s="25">
        <f>IFERROR(VALUE(TRIM(LEFT(I4382,FIND("minute",I4382)-1)))*60,0)+IFERROR(VALUE(SUBSTITUTE(MID(I4382,IFERROR(FIND("and",I4382)+3,1),20),"second(s)","")),0)</f>
        <v/>
      </c>
      <c r="K4382" s="41">
        <f>J4382/60</f>
        <v/>
      </c>
      <c r="L4382" s="41">
        <f>IFERROR(J4382/H4382,"")</f>
        <v/>
      </c>
      <c r="M4382" s="25" t="inlineStr">
        <is>
          <t>2.5.12</t>
        </is>
      </c>
      <c r="N4382" s="25">
        <f>IF(J4382&gt;300,1,0)</f>
        <v/>
      </c>
      <c r="O4382" s="25">
        <f>IF(J4382&gt;600,1,0)</f>
        <v/>
      </c>
      <c r="P4382" s="25">
        <f>IF(H4382&gt;0,J4382,"")</f>
        <v/>
      </c>
      <c r="Q4382" s="25">
        <f>TEXT(A4382,"YYYY-MM-DD HH")</f>
        <v/>
      </c>
      <c r="R4382" s="25">
        <f>COUNTIF($Q$2:$Q$5295,Q4382)</f>
        <v/>
      </c>
      <c r="S4382" s="25">
        <f>IF(R4382&lt;=2,"1-2",IF(R4382&lt;=5,"3-5",IF(R4382&lt;=10,"6-10","11+")))</f>
        <v/>
      </c>
    </row>
    <row r="4383">
      <c r="A4383" s="39" t="n">
        <v>46224.25289351852</v>
      </c>
      <c r="B4383" s="25">
        <f>TEXT(A4383,"YYYY-MM")</f>
        <v/>
      </c>
      <c r="C4383" s="25">
        <f>TEXT(A4383,"MMM-YYYY")</f>
        <v/>
      </c>
      <c r="D4383" s="40">
        <f>INT(A4383)-WEEKDAY(A4383,2)+1</f>
        <v/>
      </c>
      <c r="E4383" s="25" t="inlineStr">
        <is>
          <t>mbhalla</t>
        </is>
      </c>
      <c r="F4383" s="25" t="n">
        <v>129368</v>
      </c>
      <c r="G4383" s="25" t="n">
        <v>4</v>
      </c>
      <c r="H4383" s="25" t="n">
        <v>24</v>
      </c>
      <c r="I4383" s="25" t="inlineStr">
        <is>
          <t>2 minute(s) and 11 second(s)</t>
        </is>
      </c>
      <c r="J4383" s="25">
        <f>IFERROR(VALUE(TRIM(LEFT(I4383,FIND("minute",I4383)-1)))*60,0)+IFERROR(VALUE(SUBSTITUTE(MID(I4383,IFERROR(FIND("and",I4383)+3,1),20),"second(s)","")),0)</f>
        <v/>
      </c>
      <c r="K4383" s="41">
        <f>J4383/60</f>
        <v/>
      </c>
      <c r="L4383" s="41">
        <f>IFERROR(J4383/H4383,"")</f>
        <v/>
      </c>
      <c r="M4383" s="25" t="inlineStr">
        <is>
          <t>2.5.12</t>
        </is>
      </c>
      <c r="N4383" s="25">
        <f>IF(J4383&gt;300,1,0)</f>
        <v/>
      </c>
      <c r="O4383" s="25">
        <f>IF(J4383&gt;600,1,0)</f>
        <v/>
      </c>
      <c r="P4383" s="25">
        <f>IF(H4383&gt;0,J4383,"")</f>
        <v/>
      </c>
      <c r="Q4383" s="25">
        <f>TEXT(A4383,"YYYY-MM-DD HH")</f>
        <v/>
      </c>
      <c r="R4383" s="25">
        <f>COUNTIF($Q$2:$Q$5295,Q4383)</f>
        <v/>
      </c>
      <c r="S4383" s="25">
        <f>IF(R4383&lt;=2,"1-2",IF(R4383&lt;=5,"3-5",IF(R4383&lt;=10,"6-10","11+")))</f>
        <v/>
      </c>
    </row>
    <row r="4384">
      <c r="A4384" s="39" t="n">
        <v>46224.26811342593</v>
      </c>
      <c r="B4384" s="25">
        <f>TEXT(A4384,"YYYY-MM")</f>
        <v/>
      </c>
      <c r="C4384" s="25">
        <f>TEXT(A4384,"MMM-YYYY")</f>
        <v/>
      </c>
      <c r="D4384" s="40">
        <f>INT(A4384)-WEEKDAY(A4384,2)+1</f>
        <v/>
      </c>
      <c r="E4384" s="25" t="inlineStr">
        <is>
          <t>ethomas</t>
        </is>
      </c>
      <c r="F4384" s="25" t="n">
        <v>128928</v>
      </c>
      <c r="G4384" s="25" t="n">
        <v>2</v>
      </c>
      <c r="H4384" s="25" t="n">
        <v>10</v>
      </c>
      <c r="I4384" s="25" t="inlineStr">
        <is>
          <t>48 second(s)</t>
        </is>
      </c>
      <c r="J4384" s="25">
        <f>IFERROR(VALUE(TRIM(LEFT(I4384,FIND("minute",I4384)-1)))*60,0)+IFERROR(VALUE(SUBSTITUTE(MID(I4384,IFERROR(FIND("and",I4384)+3,1),20),"second(s)","")),0)</f>
        <v/>
      </c>
      <c r="K4384" s="41">
        <f>J4384/60</f>
        <v/>
      </c>
      <c r="L4384" s="41">
        <f>IFERROR(J4384/H4384,"")</f>
        <v/>
      </c>
      <c r="M4384" s="25" t="inlineStr">
        <is>
          <t>2.5.12</t>
        </is>
      </c>
      <c r="N4384" s="25">
        <f>IF(J4384&gt;300,1,0)</f>
        <v/>
      </c>
      <c r="O4384" s="25">
        <f>IF(J4384&gt;600,1,0)</f>
        <v/>
      </c>
      <c r="P4384" s="25">
        <f>IF(H4384&gt;0,J4384,"")</f>
        <v/>
      </c>
      <c r="Q4384" s="25">
        <f>TEXT(A4384,"YYYY-MM-DD HH")</f>
        <v/>
      </c>
      <c r="R4384" s="25">
        <f>COUNTIF($Q$2:$Q$5295,Q4384)</f>
        <v/>
      </c>
      <c r="S4384" s="25">
        <f>IF(R4384&lt;=2,"1-2",IF(R4384&lt;=5,"3-5",IF(R4384&lt;=10,"6-10","11+")))</f>
        <v/>
      </c>
    </row>
    <row r="4385">
      <c r="A4385" s="39" t="n">
        <v>46224.27290509259</v>
      </c>
      <c r="B4385" s="25">
        <f>TEXT(A4385,"YYYY-MM")</f>
        <v/>
      </c>
      <c r="C4385" s="25">
        <f>TEXT(A4385,"MMM-YYYY")</f>
        <v/>
      </c>
      <c r="D4385" s="40">
        <f>INT(A4385)-WEEKDAY(A4385,2)+1</f>
        <v/>
      </c>
      <c r="E4385" s="25" t="inlineStr">
        <is>
          <t>tkarmakar</t>
        </is>
      </c>
      <c r="F4385" s="25" t="n">
        <v>131183</v>
      </c>
      <c r="G4385" s="25" t="n">
        <v>4</v>
      </c>
      <c r="H4385" s="25" t="n">
        <v>16</v>
      </c>
      <c r="I4385" s="25" t="inlineStr">
        <is>
          <t>2 minute(s) and 35 second(s)</t>
        </is>
      </c>
      <c r="J4385" s="25">
        <f>IFERROR(VALUE(TRIM(LEFT(I4385,FIND("minute",I4385)-1)))*60,0)+IFERROR(VALUE(SUBSTITUTE(MID(I4385,IFERROR(FIND("and",I4385)+3,1),20),"second(s)","")),0)</f>
        <v/>
      </c>
      <c r="K4385" s="41">
        <f>J4385/60</f>
        <v/>
      </c>
      <c r="L4385" s="41">
        <f>IFERROR(J4385/H4385,"")</f>
        <v/>
      </c>
      <c r="M4385" s="25" t="inlineStr">
        <is>
          <t>2.5.12</t>
        </is>
      </c>
      <c r="N4385" s="25">
        <f>IF(J4385&gt;300,1,0)</f>
        <v/>
      </c>
      <c r="O4385" s="25">
        <f>IF(J4385&gt;600,1,0)</f>
        <v/>
      </c>
      <c r="P4385" s="25">
        <f>IF(H4385&gt;0,J4385,"")</f>
        <v/>
      </c>
      <c r="Q4385" s="25">
        <f>TEXT(A4385,"YYYY-MM-DD HH")</f>
        <v/>
      </c>
      <c r="R4385" s="25">
        <f>COUNTIF($Q$2:$Q$5295,Q4385)</f>
        <v/>
      </c>
      <c r="S4385" s="25">
        <f>IF(R4385&lt;=2,"1-2",IF(R4385&lt;=5,"3-5",IF(R4385&lt;=10,"6-10","11+")))</f>
        <v/>
      </c>
    </row>
    <row r="4386">
      <c r="A4386" s="39" t="n">
        <v>46224.27384259259</v>
      </c>
      <c r="B4386" s="25">
        <f>TEXT(A4386,"YYYY-MM")</f>
        <v/>
      </c>
      <c r="C4386" s="25">
        <f>TEXT(A4386,"MMM-YYYY")</f>
        <v/>
      </c>
      <c r="D4386" s="40">
        <f>INT(A4386)-WEEKDAY(A4386,2)+1</f>
        <v/>
      </c>
      <c r="E4386" s="25" t="inlineStr">
        <is>
          <t>asahoo</t>
        </is>
      </c>
      <c r="F4386" s="25" t="n">
        <v>129243</v>
      </c>
      <c r="G4386" s="25" t="n">
        <v>1</v>
      </c>
      <c r="H4386" s="25" t="n">
        <v>5</v>
      </c>
      <c r="I4386" s="25" t="inlineStr">
        <is>
          <t>25 second(s)</t>
        </is>
      </c>
      <c r="J4386" s="25">
        <f>IFERROR(VALUE(TRIM(LEFT(I4386,FIND("minute",I4386)-1)))*60,0)+IFERROR(VALUE(SUBSTITUTE(MID(I4386,IFERROR(FIND("and",I4386)+3,1),20),"second(s)","")),0)</f>
        <v/>
      </c>
      <c r="K4386" s="41">
        <f>J4386/60</f>
        <v/>
      </c>
      <c r="L4386" s="41">
        <f>IFERROR(J4386/H4386,"")</f>
        <v/>
      </c>
      <c r="M4386" s="25" t="inlineStr">
        <is>
          <t>2.5.12</t>
        </is>
      </c>
      <c r="N4386" s="25">
        <f>IF(J4386&gt;300,1,0)</f>
        <v/>
      </c>
      <c r="O4386" s="25">
        <f>IF(J4386&gt;600,1,0)</f>
        <v/>
      </c>
      <c r="P4386" s="25">
        <f>IF(H4386&gt;0,J4386,"")</f>
        <v/>
      </c>
      <c r="Q4386" s="25">
        <f>TEXT(A4386,"YYYY-MM-DD HH")</f>
        <v/>
      </c>
      <c r="R4386" s="25">
        <f>COUNTIF($Q$2:$Q$5295,Q4386)</f>
        <v/>
      </c>
      <c r="S4386" s="25">
        <f>IF(R4386&lt;=2,"1-2",IF(R4386&lt;=5,"3-5",IF(R4386&lt;=10,"6-10","11+")))</f>
        <v/>
      </c>
    </row>
    <row r="4387">
      <c r="A4387" s="39" t="n">
        <v>46224.27568287037</v>
      </c>
      <c r="B4387" s="25">
        <f>TEXT(A4387,"YYYY-MM")</f>
        <v/>
      </c>
      <c r="C4387" s="25">
        <f>TEXT(A4387,"MMM-YYYY")</f>
        <v/>
      </c>
      <c r="D4387" s="40">
        <f>INT(A4387)-WEEKDAY(A4387,2)+1</f>
        <v/>
      </c>
      <c r="E4387" s="25" t="inlineStr">
        <is>
          <t>shasikha</t>
        </is>
      </c>
      <c r="F4387" s="25" t="n">
        <v>129859</v>
      </c>
      <c r="G4387" s="25" t="n">
        <v>4</v>
      </c>
      <c r="H4387" s="25" t="n">
        <v>22</v>
      </c>
      <c r="I4387" s="25" t="inlineStr">
        <is>
          <t>4 minute(s) and 52 second(s)</t>
        </is>
      </c>
      <c r="J4387" s="25">
        <f>IFERROR(VALUE(TRIM(LEFT(I4387,FIND("minute",I4387)-1)))*60,0)+IFERROR(VALUE(SUBSTITUTE(MID(I4387,IFERROR(FIND("and",I4387)+3,1),20),"second(s)","")),0)</f>
        <v/>
      </c>
      <c r="K4387" s="41">
        <f>J4387/60</f>
        <v/>
      </c>
      <c r="L4387" s="41">
        <f>IFERROR(J4387/H4387,"")</f>
        <v/>
      </c>
      <c r="M4387" s="25" t="inlineStr">
        <is>
          <t>2.5.12</t>
        </is>
      </c>
      <c r="N4387" s="25">
        <f>IF(J4387&gt;300,1,0)</f>
        <v/>
      </c>
      <c r="O4387" s="25">
        <f>IF(J4387&gt;600,1,0)</f>
        <v/>
      </c>
      <c r="P4387" s="25">
        <f>IF(H4387&gt;0,J4387,"")</f>
        <v/>
      </c>
      <c r="Q4387" s="25">
        <f>TEXT(A4387,"YYYY-MM-DD HH")</f>
        <v/>
      </c>
      <c r="R4387" s="25">
        <f>COUNTIF($Q$2:$Q$5295,Q4387)</f>
        <v/>
      </c>
      <c r="S4387" s="25">
        <f>IF(R4387&lt;=2,"1-2",IF(R4387&lt;=5,"3-5",IF(R4387&lt;=10,"6-10","11+")))</f>
        <v/>
      </c>
    </row>
    <row r="4388">
      <c r="A4388" s="39" t="n">
        <v>46224.27717592593</v>
      </c>
      <c r="B4388" s="25">
        <f>TEXT(A4388,"YYYY-MM")</f>
        <v/>
      </c>
      <c r="C4388" s="25">
        <f>TEXT(A4388,"MMM-YYYY")</f>
        <v/>
      </c>
      <c r="D4388" s="40">
        <f>INT(A4388)-WEEKDAY(A4388,2)+1</f>
        <v/>
      </c>
      <c r="E4388" s="25" t="inlineStr">
        <is>
          <t>ssneha</t>
        </is>
      </c>
      <c r="F4388" s="25" t="n">
        <v>132422</v>
      </c>
      <c r="G4388" s="25" t="n">
        <v>2</v>
      </c>
      <c r="H4388" s="25" t="n">
        <v>10</v>
      </c>
      <c r="I4388" s="25" t="inlineStr">
        <is>
          <t>1 minute(s) and 10 second(s)</t>
        </is>
      </c>
      <c r="J4388" s="25">
        <f>IFERROR(VALUE(TRIM(LEFT(I4388,FIND("minute",I4388)-1)))*60,0)+IFERROR(VALUE(SUBSTITUTE(MID(I4388,IFERROR(FIND("and",I4388)+3,1),20),"second(s)","")),0)</f>
        <v/>
      </c>
      <c r="K4388" s="41">
        <f>J4388/60</f>
        <v/>
      </c>
      <c r="L4388" s="41">
        <f>IFERROR(J4388/H4388,"")</f>
        <v/>
      </c>
      <c r="M4388" s="25" t="inlineStr">
        <is>
          <t>2.5.12</t>
        </is>
      </c>
      <c r="N4388" s="25">
        <f>IF(J4388&gt;300,1,0)</f>
        <v/>
      </c>
      <c r="O4388" s="25">
        <f>IF(J4388&gt;600,1,0)</f>
        <v/>
      </c>
      <c r="P4388" s="25">
        <f>IF(H4388&gt;0,J4388,"")</f>
        <v/>
      </c>
      <c r="Q4388" s="25">
        <f>TEXT(A4388,"YYYY-MM-DD HH")</f>
        <v/>
      </c>
      <c r="R4388" s="25">
        <f>COUNTIF($Q$2:$Q$5295,Q4388)</f>
        <v/>
      </c>
      <c r="S4388" s="25">
        <f>IF(R4388&lt;=2,"1-2",IF(R4388&lt;=5,"3-5",IF(R4388&lt;=10,"6-10","11+")))</f>
        <v/>
      </c>
    </row>
    <row r="4389">
      <c r="A4389" s="39" t="n">
        <v>46224.28273148148</v>
      </c>
      <c r="B4389" s="25">
        <f>TEXT(A4389,"YYYY-MM")</f>
        <v/>
      </c>
      <c r="C4389" s="25">
        <f>TEXT(A4389,"MMM-YYYY")</f>
        <v/>
      </c>
      <c r="D4389" s="40">
        <f>INT(A4389)-WEEKDAY(A4389,2)+1</f>
        <v/>
      </c>
      <c r="E4389" s="25" t="inlineStr">
        <is>
          <t>dbhattacharyya</t>
        </is>
      </c>
      <c r="F4389" s="25" t="n">
        <v>128936</v>
      </c>
      <c r="G4389" s="25" t="n">
        <v>1</v>
      </c>
      <c r="H4389" s="25" t="n">
        <v>5</v>
      </c>
      <c r="I4389" s="25" t="inlineStr">
        <is>
          <t>27 second(s)</t>
        </is>
      </c>
      <c r="J4389" s="25">
        <f>IFERROR(VALUE(TRIM(LEFT(I4389,FIND("minute",I4389)-1)))*60,0)+IFERROR(VALUE(SUBSTITUTE(MID(I4389,IFERROR(FIND("and",I4389)+3,1),20),"second(s)","")),0)</f>
        <v/>
      </c>
      <c r="K4389" s="41">
        <f>J4389/60</f>
        <v/>
      </c>
      <c r="L4389" s="41">
        <f>IFERROR(J4389/H4389,"")</f>
        <v/>
      </c>
      <c r="M4389" s="25" t="inlineStr">
        <is>
          <t>2.5.12</t>
        </is>
      </c>
      <c r="N4389" s="25">
        <f>IF(J4389&gt;300,1,0)</f>
        <v/>
      </c>
      <c r="O4389" s="25">
        <f>IF(J4389&gt;600,1,0)</f>
        <v/>
      </c>
      <c r="P4389" s="25">
        <f>IF(H4389&gt;0,J4389,"")</f>
        <v/>
      </c>
      <c r="Q4389" s="25">
        <f>TEXT(A4389,"YYYY-MM-DD HH")</f>
        <v/>
      </c>
      <c r="R4389" s="25">
        <f>COUNTIF($Q$2:$Q$5295,Q4389)</f>
        <v/>
      </c>
      <c r="S4389" s="25">
        <f>IF(R4389&lt;=2,"1-2",IF(R4389&lt;=5,"3-5",IF(R4389&lt;=10,"6-10","11+")))</f>
        <v/>
      </c>
    </row>
    <row r="4390">
      <c r="A4390" s="39" t="n">
        <v>46224.28530092593</v>
      </c>
      <c r="B4390" s="25">
        <f>TEXT(A4390,"YYYY-MM")</f>
        <v/>
      </c>
      <c r="C4390" s="25">
        <f>TEXT(A4390,"MMM-YYYY")</f>
        <v/>
      </c>
      <c r="D4390" s="40">
        <f>INT(A4390)-WEEKDAY(A4390,2)+1</f>
        <v/>
      </c>
      <c r="E4390" s="25" t="inlineStr">
        <is>
          <t>pgautam</t>
        </is>
      </c>
      <c r="F4390" s="25" t="n">
        <v>132816</v>
      </c>
      <c r="G4390" s="25" t="n">
        <v>3</v>
      </c>
      <c r="H4390" s="25" t="n">
        <v>18</v>
      </c>
      <c r="I4390" s="25" t="inlineStr">
        <is>
          <t>1 minute(s) and 33 second(s)</t>
        </is>
      </c>
      <c r="J4390" s="25">
        <f>IFERROR(VALUE(TRIM(LEFT(I4390,FIND("minute",I4390)-1)))*60,0)+IFERROR(VALUE(SUBSTITUTE(MID(I4390,IFERROR(FIND("and",I4390)+3,1),20),"second(s)","")),0)</f>
        <v/>
      </c>
      <c r="K4390" s="41">
        <f>J4390/60</f>
        <v/>
      </c>
      <c r="L4390" s="41">
        <f>IFERROR(J4390/H4390,"")</f>
        <v/>
      </c>
      <c r="M4390" s="25" t="inlineStr">
        <is>
          <t>2.5.12</t>
        </is>
      </c>
      <c r="N4390" s="25">
        <f>IF(J4390&gt;300,1,0)</f>
        <v/>
      </c>
      <c r="O4390" s="25">
        <f>IF(J4390&gt;600,1,0)</f>
        <v/>
      </c>
      <c r="P4390" s="25">
        <f>IF(H4390&gt;0,J4390,"")</f>
        <v/>
      </c>
      <c r="Q4390" s="25">
        <f>TEXT(A4390,"YYYY-MM-DD HH")</f>
        <v/>
      </c>
      <c r="R4390" s="25">
        <f>COUNTIF($Q$2:$Q$5295,Q4390)</f>
        <v/>
      </c>
      <c r="S4390" s="25">
        <f>IF(R4390&lt;=2,"1-2",IF(R4390&lt;=5,"3-5",IF(R4390&lt;=10,"6-10","11+")))</f>
        <v/>
      </c>
    </row>
    <row r="4391">
      <c r="A4391" s="39" t="n">
        <v>46224.28768518518</v>
      </c>
      <c r="B4391" s="25">
        <f>TEXT(A4391,"YYYY-MM")</f>
        <v/>
      </c>
      <c r="C4391" s="25">
        <f>TEXT(A4391,"MMM-YYYY")</f>
        <v/>
      </c>
      <c r="D4391" s="40">
        <f>INT(A4391)-WEEKDAY(A4391,2)+1</f>
        <v/>
      </c>
      <c r="E4391" s="25" t="inlineStr">
        <is>
          <t>atiwari</t>
        </is>
      </c>
      <c r="F4391" s="25" t="n">
        <v>131876</v>
      </c>
      <c r="G4391" s="25" t="n">
        <v>3</v>
      </c>
      <c r="H4391" s="25" t="n">
        <v>16</v>
      </c>
      <c r="I4391" s="25" t="inlineStr">
        <is>
          <t>1 minute(s) and 24 second(s)</t>
        </is>
      </c>
      <c r="J4391" s="25">
        <f>IFERROR(VALUE(TRIM(LEFT(I4391,FIND("minute",I4391)-1)))*60,0)+IFERROR(VALUE(SUBSTITUTE(MID(I4391,IFERROR(FIND("and",I4391)+3,1),20),"second(s)","")),0)</f>
        <v/>
      </c>
      <c r="K4391" s="41">
        <f>J4391/60</f>
        <v/>
      </c>
      <c r="L4391" s="41">
        <f>IFERROR(J4391/H4391,"")</f>
        <v/>
      </c>
      <c r="M4391" s="25" t="inlineStr">
        <is>
          <t>2.5.12</t>
        </is>
      </c>
      <c r="N4391" s="25">
        <f>IF(J4391&gt;300,1,0)</f>
        <v/>
      </c>
      <c r="O4391" s="25">
        <f>IF(J4391&gt;600,1,0)</f>
        <v/>
      </c>
      <c r="P4391" s="25">
        <f>IF(H4391&gt;0,J4391,"")</f>
        <v/>
      </c>
      <c r="Q4391" s="25">
        <f>TEXT(A4391,"YYYY-MM-DD HH")</f>
        <v/>
      </c>
      <c r="R4391" s="25">
        <f>COUNTIF($Q$2:$Q$5295,Q4391)</f>
        <v/>
      </c>
      <c r="S4391" s="25">
        <f>IF(R4391&lt;=2,"1-2",IF(R4391&lt;=5,"3-5",IF(R4391&lt;=10,"6-10","11+")))</f>
        <v/>
      </c>
    </row>
    <row r="4392">
      <c r="A4392" s="39" t="n">
        <v>46224.29004629629</v>
      </c>
      <c r="B4392" s="25">
        <f>TEXT(A4392,"YYYY-MM")</f>
        <v/>
      </c>
      <c r="C4392" s="25">
        <f>TEXT(A4392,"MMM-YYYY")</f>
        <v/>
      </c>
      <c r="D4392" s="40">
        <f>INT(A4392)-WEEKDAY(A4392,2)+1</f>
        <v/>
      </c>
      <c r="E4392" s="25" t="inlineStr">
        <is>
          <t>ns</t>
        </is>
      </c>
      <c r="F4392" s="25" t="n">
        <v>129536</v>
      </c>
      <c r="G4392" s="25" t="n">
        <v>4</v>
      </c>
      <c r="H4392" s="25" t="n">
        <v>18</v>
      </c>
      <c r="I4392" s="25" t="inlineStr">
        <is>
          <t>2 minute(s) and 26 second(s)</t>
        </is>
      </c>
      <c r="J4392" s="25">
        <f>IFERROR(VALUE(TRIM(LEFT(I4392,FIND("minute",I4392)-1)))*60,0)+IFERROR(VALUE(SUBSTITUTE(MID(I4392,IFERROR(FIND("and",I4392)+3,1),20),"second(s)","")),0)</f>
        <v/>
      </c>
      <c r="K4392" s="41">
        <f>J4392/60</f>
        <v/>
      </c>
      <c r="L4392" s="41">
        <f>IFERROR(J4392/H4392,"")</f>
        <v/>
      </c>
      <c r="M4392" s="25" t="inlineStr">
        <is>
          <t>2.5.12</t>
        </is>
      </c>
      <c r="N4392" s="25">
        <f>IF(J4392&gt;300,1,0)</f>
        <v/>
      </c>
      <c r="O4392" s="25">
        <f>IF(J4392&gt;600,1,0)</f>
        <v/>
      </c>
      <c r="P4392" s="25">
        <f>IF(H4392&gt;0,J4392,"")</f>
        <v/>
      </c>
      <c r="Q4392" s="25">
        <f>TEXT(A4392,"YYYY-MM-DD HH")</f>
        <v/>
      </c>
      <c r="R4392" s="25">
        <f>COUNTIF($Q$2:$Q$5295,Q4392)</f>
        <v/>
      </c>
      <c r="S4392" s="25">
        <f>IF(R4392&lt;=2,"1-2",IF(R4392&lt;=5,"3-5",IF(R4392&lt;=10,"6-10","11+")))</f>
        <v/>
      </c>
    </row>
    <row r="4393">
      <c r="A4393" s="39" t="n">
        <v>46224.29819444445</v>
      </c>
      <c r="B4393" s="25">
        <f>TEXT(A4393,"YYYY-MM")</f>
        <v/>
      </c>
      <c r="C4393" s="25">
        <f>TEXT(A4393,"MMM-YYYY")</f>
        <v/>
      </c>
      <c r="D4393" s="40">
        <f>INT(A4393)-WEEKDAY(A4393,2)+1</f>
        <v/>
      </c>
      <c r="E4393" s="25" t="inlineStr">
        <is>
          <t>psathwika</t>
        </is>
      </c>
      <c r="F4393" s="25" t="n">
        <v>129664</v>
      </c>
      <c r="G4393" s="25" t="n">
        <v>3</v>
      </c>
      <c r="H4393" s="25" t="n">
        <v>11</v>
      </c>
      <c r="I4393" s="25" t="inlineStr">
        <is>
          <t>1 minute(s) and 14 second(s)</t>
        </is>
      </c>
      <c r="J4393" s="25">
        <f>IFERROR(VALUE(TRIM(LEFT(I4393,FIND("minute",I4393)-1)))*60,0)+IFERROR(VALUE(SUBSTITUTE(MID(I4393,IFERROR(FIND("and",I4393)+3,1),20),"second(s)","")),0)</f>
        <v/>
      </c>
      <c r="K4393" s="41">
        <f>J4393/60</f>
        <v/>
      </c>
      <c r="L4393" s="41">
        <f>IFERROR(J4393/H4393,"")</f>
        <v/>
      </c>
      <c r="M4393" s="25" t="inlineStr">
        <is>
          <t>2.5.12</t>
        </is>
      </c>
      <c r="N4393" s="25">
        <f>IF(J4393&gt;300,1,0)</f>
        <v/>
      </c>
      <c r="O4393" s="25">
        <f>IF(J4393&gt;600,1,0)</f>
        <v/>
      </c>
      <c r="P4393" s="25">
        <f>IF(H4393&gt;0,J4393,"")</f>
        <v/>
      </c>
      <c r="Q4393" s="25">
        <f>TEXT(A4393,"YYYY-MM-DD HH")</f>
        <v/>
      </c>
      <c r="R4393" s="25">
        <f>COUNTIF($Q$2:$Q$5295,Q4393)</f>
        <v/>
      </c>
      <c r="S4393" s="25">
        <f>IF(R4393&lt;=2,"1-2",IF(R4393&lt;=5,"3-5",IF(R4393&lt;=10,"6-10","11+")))</f>
        <v/>
      </c>
    </row>
    <row r="4394">
      <c r="A4394" s="39" t="n">
        <v>46224.29821759259</v>
      </c>
      <c r="B4394" s="25">
        <f>TEXT(A4394,"YYYY-MM")</f>
        <v/>
      </c>
      <c r="C4394" s="25">
        <f>TEXT(A4394,"MMM-YYYY")</f>
        <v/>
      </c>
      <c r="D4394" s="40">
        <f>INT(A4394)-WEEKDAY(A4394,2)+1</f>
        <v/>
      </c>
      <c r="E4394" s="25" t="inlineStr">
        <is>
          <t>aghosh</t>
        </is>
      </c>
      <c r="F4394" s="25" t="n">
        <v>128819</v>
      </c>
      <c r="G4394" s="25" t="n">
        <v>4</v>
      </c>
      <c r="H4394" s="25" t="n">
        <v>26</v>
      </c>
      <c r="I4394" s="25" t="inlineStr">
        <is>
          <t>3 minute(s) and 52 second(s)</t>
        </is>
      </c>
      <c r="J4394" s="25">
        <f>IFERROR(VALUE(TRIM(LEFT(I4394,FIND("minute",I4394)-1)))*60,0)+IFERROR(VALUE(SUBSTITUTE(MID(I4394,IFERROR(FIND("and",I4394)+3,1),20),"second(s)","")),0)</f>
        <v/>
      </c>
      <c r="K4394" s="41">
        <f>J4394/60</f>
        <v/>
      </c>
      <c r="L4394" s="41">
        <f>IFERROR(J4394/H4394,"")</f>
        <v/>
      </c>
      <c r="M4394" s="25" t="inlineStr">
        <is>
          <t>2.5.12</t>
        </is>
      </c>
      <c r="N4394" s="25">
        <f>IF(J4394&gt;300,1,0)</f>
        <v/>
      </c>
      <c r="O4394" s="25">
        <f>IF(J4394&gt;600,1,0)</f>
        <v/>
      </c>
      <c r="P4394" s="25">
        <f>IF(H4394&gt;0,J4394,"")</f>
        <v/>
      </c>
      <c r="Q4394" s="25">
        <f>TEXT(A4394,"YYYY-MM-DD HH")</f>
        <v/>
      </c>
      <c r="R4394" s="25">
        <f>COUNTIF($Q$2:$Q$5295,Q4394)</f>
        <v/>
      </c>
      <c r="S4394" s="25">
        <f>IF(R4394&lt;=2,"1-2",IF(R4394&lt;=5,"3-5",IF(R4394&lt;=10,"6-10","11+")))</f>
        <v/>
      </c>
    </row>
    <row r="4395">
      <c r="A4395" s="39" t="n">
        <v>46224.30629629629</v>
      </c>
      <c r="B4395" s="25">
        <f>TEXT(A4395,"YYYY-MM")</f>
        <v/>
      </c>
      <c r="C4395" s="25">
        <f>TEXT(A4395,"MMM-YYYY")</f>
        <v/>
      </c>
      <c r="D4395" s="40">
        <f>INT(A4395)-WEEKDAY(A4395,2)+1</f>
        <v/>
      </c>
      <c r="E4395" s="25" t="inlineStr">
        <is>
          <t>sthomas</t>
        </is>
      </c>
      <c r="F4395" s="25" t="n">
        <v>131908</v>
      </c>
      <c r="G4395" s="25" t="n">
        <v>6</v>
      </c>
      <c r="H4395" s="25" t="n">
        <v>38</v>
      </c>
      <c r="I4395" s="25" t="inlineStr">
        <is>
          <t>3 minute(s) and 33 second(s)</t>
        </is>
      </c>
      <c r="J4395" s="25">
        <f>IFERROR(VALUE(TRIM(LEFT(I4395,FIND("minute",I4395)-1)))*60,0)+IFERROR(VALUE(SUBSTITUTE(MID(I4395,IFERROR(FIND("and",I4395)+3,1),20),"second(s)","")),0)</f>
        <v/>
      </c>
      <c r="K4395" s="41">
        <f>J4395/60</f>
        <v/>
      </c>
      <c r="L4395" s="41">
        <f>IFERROR(J4395/H4395,"")</f>
        <v/>
      </c>
      <c r="M4395" s="25" t="inlineStr">
        <is>
          <t>2.5.12</t>
        </is>
      </c>
      <c r="N4395" s="25">
        <f>IF(J4395&gt;300,1,0)</f>
        <v/>
      </c>
      <c r="O4395" s="25">
        <f>IF(J4395&gt;600,1,0)</f>
        <v/>
      </c>
      <c r="P4395" s="25">
        <f>IF(H4395&gt;0,J4395,"")</f>
        <v/>
      </c>
      <c r="Q4395" s="25">
        <f>TEXT(A4395,"YYYY-MM-DD HH")</f>
        <v/>
      </c>
      <c r="R4395" s="25">
        <f>COUNTIF($Q$2:$Q$5295,Q4395)</f>
        <v/>
      </c>
      <c r="S4395" s="25">
        <f>IF(R4395&lt;=2,"1-2",IF(R4395&lt;=5,"3-5",IF(R4395&lt;=10,"6-10","11+")))</f>
        <v/>
      </c>
    </row>
    <row r="4396">
      <c r="A4396" s="39" t="n">
        <v>46224.31113425926</v>
      </c>
      <c r="B4396" s="25">
        <f>TEXT(A4396,"YYYY-MM")</f>
        <v/>
      </c>
      <c r="C4396" s="25">
        <f>TEXT(A4396,"MMM-YYYY")</f>
        <v/>
      </c>
      <c r="D4396" s="40">
        <f>INT(A4396)-WEEKDAY(A4396,2)+1</f>
        <v/>
      </c>
      <c r="E4396" s="25" t="inlineStr">
        <is>
          <t>ssrinivasan</t>
        </is>
      </c>
      <c r="F4396" s="25" t="n">
        <v>128120</v>
      </c>
      <c r="G4396" s="25" t="n">
        <v>2</v>
      </c>
      <c r="H4396" s="25" t="n">
        <v>12</v>
      </c>
      <c r="I4396" s="25" t="inlineStr">
        <is>
          <t>1 minute(s) and 2 second(s)</t>
        </is>
      </c>
      <c r="J4396" s="25">
        <f>IFERROR(VALUE(TRIM(LEFT(I4396,FIND("minute",I4396)-1)))*60,0)+IFERROR(VALUE(SUBSTITUTE(MID(I4396,IFERROR(FIND("and",I4396)+3,1),20),"second(s)","")),0)</f>
        <v/>
      </c>
      <c r="K4396" s="41">
        <f>J4396/60</f>
        <v/>
      </c>
      <c r="L4396" s="41">
        <f>IFERROR(J4396/H4396,"")</f>
        <v/>
      </c>
      <c r="M4396" s="25" t="inlineStr">
        <is>
          <t>2.5.12</t>
        </is>
      </c>
      <c r="N4396" s="25">
        <f>IF(J4396&gt;300,1,0)</f>
        <v/>
      </c>
      <c r="O4396" s="25">
        <f>IF(J4396&gt;600,1,0)</f>
        <v/>
      </c>
      <c r="P4396" s="25">
        <f>IF(H4396&gt;0,J4396,"")</f>
        <v/>
      </c>
      <c r="Q4396" s="25">
        <f>TEXT(A4396,"YYYY-MM-DD HH")</f>
        <v/>
      </c>
      <c r="R4396" s="25">
        <f>COUNTIF($Q$2:$Q$5295,Q4396)</f>
        <v/>
      </c>
      <c r="S4396" s="25">
        <f>IF(R4396&lt;=2,"1-2",IF(R4396&lt;=5,"3-5",IF(R4396&lt;=10,"6-10","11+")))</f>
        <v/>
      </c>
    </row>
    <row r="4397">
      <c r="A4397" s="39" t="n">
        <v>46224.31722222222</v>
      </c>
      <c r="B4397" s="25">
        <f>TEXT(A4397,"YYYY-MM")</f>
        <v/>
      </c>
      <c r="C4397" s="25">
        <f>TEXT(A4397,"MMM-YYYY")</f>
        <v/>
      </c>
      <c r="D4397" s="40">
        <f>INT(A4397)-WEEKDAY(A4397,2)+1</f>
        <v/>
      </c>
      <c r="E4397" s="25" t="inlineStr">
        <is>
          <t>hsindwani</t>
        </is>
      </c>
      <c r="F4397" s="25" t="n">
        <v>129200</v>
      </c>
      <c r="G4397" s="25" t="n">
        <v>4</v>
      </c>
      <c r="H4397" s="25" t="n">
        <v>28</v>
      </c>
      <c r="I4397" s="25" t="inlineStr">
        <is>
          <t>6 minute(s) and 52 second(s)</t>
        </is>
      </c>
      <c r="J4397" s="25">
        <f>IFERROR(VALUE(TRIM(LEFT(I4397,FIND("minute",I4397)-1)))*60,0)+IFERROR(VALUE(SUBSTITUTE(MID(I4397,IFERROR(FIND("and",I4397)+3,1),20),"second(s)","")),0)</f>
        <v/>
      </c>
      <c r="K4397" s="41">
        <f>J4397/60</f>
        <v/>
      </c>
      <c r="L4397" s="41">
        <f>IFERROR(J4397/H4397,"")</f>
        <v/>
      </c>
      <c r="M4397" s="25" t="inlineStr">
        <is>
          <t>2.5.12</t>
        </is>
      </c>
      <c r="N4397" s="25">
        <f>IF(J4397&gt;300,1,0)</f>
        <v/>
      </c>
      <c r="O4397" s="25">
        <f>IF(J4397&gt;600,1,0)</f>
        <v/>
      </c>
      <c r="P4397" s="25">
        <f>IF(H4397&gt;0,J4397,"")</f>
        <v/>
      </c>
      <c r="Q4397" s="25">
        <f>TEXT(A4397,"YYYY-MM-DD HH")</f>
        <v/>
      </c>
      <c r="R4397" s="25">
        <f>COUNTIF($Q$2:$Q$5295,Q4397)</f>
        <v/>
      </c>
      <c r="S4397" s="25">
        <f>IF(R4397&lt;=2,"1-2",IF(R4397&lt;=5,"3-5",IF(R4397&lt;=10,"6-10","11+")))</f>
        <v/>
      </c>
    </row>
    <row r="4398">
      <c r="A4398" s="39" t="n">
        <v>46224.31804398148</v>
      </c>
      <c r="B4398" s="25">
        <f>TEXT(A4398,"YYYY-MM")</f>
        <v/>
      </c>
      <c r="C4398" s="25">
        <f>TEXT(A4398,"MMM-YYYY")</f>
        <v/>
      </c>
      <c r="D4398" s="40">
        <f>INT(A4398)-WEEKDAY(A4398,2)+1</f>
        <v/>
      </c>
      <c r="E4398" s="25" t="inlineStr">
        <is>
          <t>dbhattacharyya</t>
        </is>
      </c>
      <c r="F4398" s="25" t="n">
        <v>128944</v>
      </c>
      <c r="G4398" s="25" t="n">
        <v>2</v>
      </c>
      <c r="H4398" s="25" t="n">
        <v>10</v>
      </c>
      <c r="I4398" s="25" t="inlineStr">
        <is>
          <t>1 minute(s) and 19 second(s)</t>
        </is>
      </c>
      <c r="J4398" s="25">
        <f>IFERROR(VALUE(TRIM(LEFT(I4398,FIND("minute",I4398)-1)))*60,0)+IFERROR(VALUE(SUBSTITUTE(MID(I4398,IFERROR(FIND("and",I4398)+3,1),20),"second(s)","")),0)</f>
        <v/>
      </c>
      <c r="K4398" s="41">
        <f>J4398/60</f>
        <v/>
      </c>
      <c r="L4398" s="41">
        <f>IFERROR(J4398/H4398,"")</f>
        <v/>
      </c>
      <c r="M4398" s="25" t="inlineStr">
        <is>
          <t>2.5.12</t>
        </is>
      </c>
      <c r="N4398" s="25">
        <f>IF(J4398&gt;300,1,0)</f>
        <v/>
      </c>
      <c r="O4398" s="25">
        <f>IF(J4398&gt;600,1,0)</f>
        <v/>
      </c>
      <c r="P4398" s="25">
        <f>IF(H4398&gt;0,J4398,"")</f>
        <v/>
      </c>
      <c r="Q4398" s="25">
        <f>TEXT(A4398,"YYYY-MM-DD HH")</f>
        <v/>
      </c>
      <c r="R4398" s="25">
        <f>COUNTIF($Q$2:$Q$5295,Q4398)</f>
        <v/>
      </c>
      <c r="S4398" s="25">
        <f>IF(R4398&lt;=2,"1-2",IF(R4398&lt;=5,"3-5",IF(R4398&lt;=10,"6-10","11+")))</f>
        <v/>
      </c>
    </row>
    <row r="4399">
      <c r="A4399" s="39" t="n">
        <v>46224.32744212963</v>
      </c>
      <c r="B4399" s="25">
        <f>TEXT(A4399,"YYYY-MM")</f>
        <v/>
      </c>
      <c r="C4399" s="25">
        <f>TEXT(A4399,"MMM-YYYY")</f>
        <v/>
      </c>
      <c r="D4399" s="40">
        <f>INT(A4399)-WEEKDAY(A4399,2)+1</f>
        <v/>
      </c>
      <c r="E4399" s="25" t="inlineStr">
        <is>
          <t>pgautam</t>
        </is>
      </c>
      <c r="F4399" s="25" t="n">
        <v>132776</v>
      </c>
      <c r="G4399" s="25" t="n">
        <v>5</v>
      </c>
      <c r="H4399" s="25" t="n">
        <v>29</v>
      </c>
      <c r="I4399" s="25" t="inlineStr">
        <is>
          <t>3 minute(s) and 51 second(s)</t>
        </is>
      </c>
      <c r="J4399" s="25">
        <f>IFERROR(VALUE(TRIM(LEFT(I4399,FIND("minute",I4399)-1)))*60,0)+IFERROR(VALUE(SUBSTITUTE(MID(I4399,IFERROR(FIND("and",I4399)+3,1),20),"second(s)","")),0)</f>
        <v/>
      </c>
      <c r="K4399" s="41">
        <f>J4399/60</f>
        <v/>
      </c>
      <c r="L4399" s="41">
        <f>IFERROR(J4399/H4399,"")</f>
        <v/>
      </c>
      <c r="M4399" s="25" t="inlineStr">
        <is>
          <t>2.5.12</t>
        </is>
      </c>
      <c r="N4399" s="25">
        <f>IF(J4399&gt;300,1,0)</f>
        <v/>
      </c>
      <c r="O4399" s="25">
        <f>IF(J4399&gt;600,1,0)</f>
        <v/>
      </c>
      <c r="P4399" s="25">
        <f>IF(H4399&gt;0,J4399,"")</f>
        <v/>
      </c>
      <c r="Q4399" s="25">
        <f>TEXT(A4399,"YYYY-MM-DD HH")</f>
        <v/>
      </c>
      <c r="R4399" s="25">
        <f>COUNTIF($Q$2:$Q$5295,Q4399)</f>
        <v/>
      </c>
      <c r="S4399" s="25">
        <f>IF(R4399&lt;=2,"1-2",IF(R4399&lt;=5,"3-5",IF(R4399&lt;=10,"6-10","11+")))</f>
        <v/>
      </c>
    </row>
    <row r="4400">
      <c r="A4400" s="39" t="n">
        <v>46224.33372685185</v>
      </c>
      <c r="B4400" s="25">
        <f>TEXT(A4400,"YYYY-MM")</f>
        <v/>
      </c>
      <c r="C4400" s="25">
        <f>TEXT(A4400,"MMM-YYYY")</f>
        <v/>
      </c>
      <c r="D4400" s="40">
        <f>INT(A4400)-WEEKDAY(A4400,2)+1</f>
        <v/>
      </c>
      <c r="E4400" s="25" t="inlineStr">
        <is>
          <t>mbhalla</t>
        </is>
      </c>
      <c r="F4400" s="25" t="n">
        <v>129408</v>
      </c>
      <c r="G4400" s="25" t="n">
        <v>2</v>
      </c>
      <c r="H4400" s="25" t="n">
        <v>10</v>
      </c>
      <c r="I4400" s="25" t="inlineStr">
        <is>
          <t>51 second(s)</t>
        </is>
      </c>
      <c r="J4400" s="25">
        <f>IFERROR(VALUE(TRIM(LEFT(I4400,FIND("minute",I4400)-1)))*60,0)+IFERROR(VALUE(SUBSTITUTE(MID(I4400,IFERROR(FIND("and",I4400)+3,1),20),"second(s)","")),0)</f>
        <v/>
      </c>
      <c r="K4400" s="41">
        <f>J4400/60</f>
        <v/>
      </c>
      <c r="L4400" s="41">
        <f>IFERROR(J4400/H4400,"")</f>
        <v/>
      </c>
      <c r="M4400" s="25" t="inlineStr">
        <is>
          <t>2.5.12</t>
        </is>
      </c>
      <c r="N4400" s="25">
        <f>IF(J4400&gt;300,1,0)</f>
        <v/>
      </c>
      <c r="O4400" s="25">
        <f>IF(J4400&gt;600,1,0)</f>
        <v/>
      </c>
      <c r="P4400" s="25">
        <f>IF(H4400&gt;0,J4400,"")</f>
        <v/>
      </c>
      <c r="Q4400" s="25">
        <f>TEXT(A4400,"YYYY-MM-DD HH")</f>
        <v/>
      </c>
      <c r="R4400" s="25">
        <f>COUNTIF($Q$2:$Q$5295,Q4400)</f>
        <v/>
      </c>
      <c r="S4400" s="25">
        <f>IF(R4400&lt;=2,"1-2",IF(R4400&lt;=5,"3-5",IF(R4400&lt;=10,"6-10","11+")))</f>
        <v/>
      </c>
    </row>
    <row r="4401">
      <c r="A4401" s="39" t="n">
        <v>46224.3396875</v>
      </c>
      <c r="B4401" s="25">
        <f>TEXT(A4401,"YYYY-MM")</f>
        <v/>
      </c>
      <c r="C4401" s="25">
        <f>TEXT(A4401,"MMM-YYYY")</f>
        <v/>
      </c>
      <c r="D4401" s="40">
        <f>INT(A4401)-WEEKDAY(A4401,2)+1</f>
        <v/>
      </c>
      <c r="E4401" s="25" t="inlineStr">
        <is>
          <t>npriya</t>
        </is>
      </c>
      <c r="F4401" s="25" t="n">
        <v>129209</v>
      </c>
      <c r="G4401" s="25" t="n">
        <v>2</v>
      </c>
      <c r="H4401" s="25" t="n">
        <v>12</v>
      </c>
      <c r="I4401" s="25" t="inlineStr">
        <is>
          <t>1 minute(s) and 47 second(s)</t>
        </is>
      </c>
      <c r="J4401" s="25">
        <f>IFERROR(VALUE(TRIM(LEFT(I4401,FIND("minute",I4401)-1)))*60,0)+IFERROR(VALUE(SUBSTITUTE(MID(I4401,IFERROR(FIND("and",I4401)+3,1),20),"second(s)","")),0)</f>
        <v/>
      </c>
      <c r="K4401" s="41">
        <f>J4401/60</f>
        <v/>
      </c>
      <c r="L4401" s="41">
        <f>IFERROR(J4401/H4401,"")</f>
        <v/>
      </c>
      <c r="M4401" s="25" t="inlineStr">
        <is>
          <t>2.5.12</t>
        </is>
      </c>
      <c r="N4401" s="25">
        <f>IF(J4401&gt;300,1,0)</f>
        <v/>
      </c>
      <c r="O4401" s="25">
        <f>IF(J4401&gt;600,1,0)</f>
        <v/>
      </c>
      <c r="P4401" s="25">
        <f>IF(H4401&gt;0,J4401,"")</f>
        <v/>
      </c>
      <c r="Q4401" s="25">
        <f>TEXT(A4401,"YYYY-MM-DD HH")</f>
        <v/>
      </c>
      <c r="R4401" s="25">
        <f>COUNTIF($Q$2:$Q$5295,Q4401)</f>
        <v/>
      </c>
      <c r="S4401" s="25">
        <f>IF(R4401&lt;=2,"1-2",IF(R4401&lt;=5,"3-5",IF(R4401&lt;=10,"6-10","11+")))</f>
        <v/>
      </c>
    </row>
    <row r="4402">
      <c r="A4402" s="39" t="n">
        <v>46224.3421875</v>
      </c>
      <c r="B4402" s="25">
        <f>TEXT(A4402,"YYYY-MM")</f>
        <v/>
      </c>
      <c r="C4402" s="25">
        <f>TEXT(A4402,"MMM-YYYY")</f>
        <v/>
      </c>
      <c r="D4402" s="40">
        <f>INT(A4402)-WEEKDAY(A4402,2)+1</f>
        <v/>
      </c>
      <c r="E4402" s="25" t="inlineStr">
        <is>
          <t>csaha</t>
        </is>
      </c>
      <c r="F4402" s="25" t="n">
        <v>129192</v>
      </c>
      <c r="G4402" s="25" t="n">
        <v>4</v>
      </c>
      <c r="H4402" s="25" t="n">
        <v>16</v>
      </c>
      <c r="I4402" s="25" t="inlineStr">
        <is>
          <t>2 minute(s) and 17 second(s)</t>
        </is>
      </c>
      <c r="J4402" s="25">
        <f>IFERROR(VALUE(TRIM(LEFT(I4402,FIND("minute",I4402)-1)))*60,0)+IFERROR(VALUE(SUBSTITUTE(MID(I4402,IFERROR(FIND("and",I4402)+3,1),20),"second(s)","")),0)</f>
        <v/>
      </c>
      <c r="K4402" s="41">
        <f>J4402/60</f>
        <v/>
      </c>
      <c r="L4402" s="41">
        <f>IFERROR(J4402/H4402,"")</f>
        <v/>
      </c>
      <c r="M4402" s="25" t="inlineStr">
        <is>
          <t>2.5.12</t>
        </is>
      </c>
      <c r="N4402" s="25">
        <f>IF(J4402&gt;300,1,0)</f>
        <v/>
      </c>
      <c r="O4402" s="25">
        <f>IF(J4402&gt;600,1,0)</f>
        <v/>
      </c>
      <c r="P4402" s="25">
        <f>IF(H4402&gt;0,J4402,"")</f>
        <v/>
      </c>
      <c r="Q4402" s="25">
        <f>TEXT(A4402,"YYYY-MM-DD HH")</f>
        <v/>
      </c>
      <c r="R4402" s="25">
        <f>COUNTIF($Q$2:$Q$5295,Q4402)</f>
        <v/>
      </c>
      <c r="S4402" s="25">
        <f>IF(R4402&lt;=2,"1-2",IF(R4402&lt;=5,"3-5",IF(R4402&lt;=10,"6-10","11+")))</f>
        <v/>
      </c>
    </row>
    <row r="4403">
      <c r="A4403" s="39" t="n">
        <v>46224.35011574074</v>
      </c>
      <c r="B4403" s="25">
        <f>TEXT(A4403,"YYYY-MM")</f>
        <v/>
      </c>
      <c r="C4403" s="25">
        <f>TEXT(A4403,"MMM-YYYY")</f>
        <v/>
      </c>
      <c r="D4403" s="40">
        <f>INT(A4403)-WEEKDAY(A4403,2)+1</f>
        <v/>
      </c>
      <c r="E4403" s="25" t="inlineStr">
        <is>
          <t>adey</t>
        </is>
      </c>
      <c r="F4403" s="25" t="n">
        <v>130347</v>
      </c>
      <c r="G4403" s="25" t="n">
        <v>2</v>
      </c>
      <c r="H4403" s="25" t="n">
        <v>10</v>
      </c>
      <c r="I4403" s="25" t="inlineStr">
        <is>
          <t>3 minute(s) and 14 second(s)</t>
        </is>
      </c>
      <c r="J4403" s="25">
        <f>IFERROR(VALUE(TRIM(LEFT(I4403,FIND("minute",I4403)-1)))*60,0)+IFERROR(VALUE(SUBSTITUTE(MID(I4403,IFERROR(FIND("and",I4403)+3,1),20),"second(s)","")),0)</f>
        <v/>
      </c>
      <c r="K4403" s="41">
        <f>J4403/60</f>
        <v/>
      </c>
      <c r="L4403" s="41">
        <f>IFERROR(J4403/H4403,"")</f>
        <v/>
      </c>
      <c r="M4403" s="25" t="inlineStr">
        <is>
          <t>2.5.12</t>
        </is>
      </c>
      <c r="N4403" s="25">
        <f>IF(J4403&gt;300,1,0)</f>
        <v/>
      </c>
      <c r="O4403" s="25">
        <f>IF(J4403&gt;600,1,0)</f>
        <v/>
      </c>
      <c r="P4403" s="25">
        <f>IF(H4403&gt;0,J4403,"")</f>
        <v/>
      </c>
      <c r="Q4403" s="25">
        <f>TEXT(A4403,"YYYY-MM-DD HH")</f>
        <v/>
      </c>
      <c r="R4403" s="25">
        <f>COUNTIF($Q$2:$Q$5295,Q4403)</f>
        <v/>
      </c>
      <c r="S4403" s="25">
        <f>IF(R4403&lt;=2,"1-2",IF(R4403&lt;=5,"3-5",IF(R4403&lt;=10,"6-10","11+")))</f>
        <v/>
      </c>
    </row>
    <row r="4404">
      <c r="A4404" s="39" t="n">
        <v>46224.35768518518</v>
      </c>
      <c r="B4404" s="25">
        <f>TEXT(A4404,"YYYY-MM")</f>
        <v/>
      </c>
      <c r="C4404" s="25">
        <f>TEXT(A4404,"MMM-YYYY")</f>
        <v/>
      </c>
      <c r="D4404" s="40">
        <f>INT(A4404)-WEEKDAY(A4404,2)+1</f>
        <v/>
      </c>
      <c r="E4404" s="25" t="inlineStr">
        <is>
          <t>atiwari</t>
        </is>
      </c>
      <c r="F4404" s="25" t="n">
        <v>129067</v>
      </c>
      <c r="G4404" s="25" t="n">
        <v>2</v>
      </c>
      <c r="H4404" s="25" t="n">
        <v>10</v>
      </c>
      <c r="I4404" s="25" t="inlineStr">
        <is>
          <t>58 second(s)</t>
        </is>
      </c>
      <c r="J4404" s="25">
        <f>IFERROR(VALUE(TRIM(LEFT(I4404,FIND("minute",I4404)-1)))*60,0)+IFERROR(VALUE(SUBSTITUTE(MID(I4404,IFERROR(FIND("and",I4404)+3,1),20),"second(s)","")),0)</f>
        <v/>
      </c>
      <c r="K4404" s="41">
        <f>J4404/60</f>
        <v/>
      </c>
      <c r="L4404" s="41">
        <f>IFERROR(J4404/H4404,"")</f>
        <v/>
      </c>
      <c r="M4404" s="25" t="inlineStr">
        <is>
          <t>2.5.12</t>
        </is>
      </c>
      <c r="N4404" s="25">
        <f>IF(J4404&gt;300,1,0)</f>
        <v/>
      </c>
      <c r="O4404" s="25">
        <f>IF(J4404&gt;600,1,0)</f>
        <v/>
      </c>
      <c r="P4404" s="25">
        <f>IF(H4404&gt;0,J4404,"")</f>
        <v/>
      </c>
      <c r="Q4404" s="25">
        <f>TEXT(A4404,"YYYY-MM-DD HH")</f>
        <v/>
      </c>
      <c r="R4404" s="25">
        <f>COUNTIF($Q$2:$Q$5295,Q4404)</f>
        <v/>
      </c>
      <c r="S4404" s="25">
        <f>IF(R4404&lt;=2,"1-2",IF(R4404&lt;=5,"3-5",IF(R4404&lt;=10,"6-10","11+")))</f>
        <v/>
      </c>
    </row>
    <row r="4405">
      <c r="A4405" s="39" t="n">
        <v>46224.36790509259</v>
      </c>
      <c r="B4405" s="25">
        <f>TEXT(A4405,"YYYY-MM")</f>
        <v/>
      </c>
      <c r="C4405" s="25">
        <f>TEXT(A4405,"MMM-YYYY")</f>
        <v/>
      </c>
      <c r="D4405" s="40">
        <f>INT(A4405)-WEEKDAY(A4405,2)+1</f>
        <v/>
      </c>
      <c r="E4405" s="25" t="inlineStr">
        <is>
          <t>sdey</t>
        </is>
      </c>
      <c r="F4405" s="25" t="n">
        <v>129134</v>
      </c>
      <c r="G4405" s="25" t="n">
        <v>4</v>
      </c>
      <c r="H4405" s="25" t="n">
        <v>14</v>
      </c>
      <c r="I4405" s="25" t="inlineStr">
        <is>
          <t>3 minute(s) and 6 second(s)</t>
        </is>
      </c>
      <c r="J4405" s="25">
        <f>IFERROR(VALUE(TRIM(LEFT(I4405,FIND("minute",I4405)-1)))*60,0)+IFERROR(VALUE(SUBSTITUTE(MID(I4405,IFERROR(FIND("and",I4405)+3,1),20),"second(s)","")),0)</f>
        <v/>
      </c>
      <c r="K4405" s="41">
        <f>J4405/60</f>
        <v/>
      </c>
      <c r="L4405" s="41">
        <f>IFERROR(J4405/H4405,"")</f>
        <v/>
      </c>
      <c r="M4405" s="25" t="inlineStr">
        <is>
          <t>2.5.12</t>
        </is>
      </c>
      <c r="N4405" s="25">
        <f>IF(J4405&gt;300,1,0)</f>
        <v/>
      </c>
      <c r="O4405" s="25">
        <f>IF(J4405&gt;600,1,0)</f>
        <v/>
      </c>
      <c r="P4405" s="25">
        <f>IF(H4405&gt;0,J4405,"")</f>
        <v/>
      </c>
      <c r="Q4405" s="25">
        <f>TEXT(A4405,"YYYY-MM-DD HH")</f>
        <v/>
      </c>
      <c r="R4405" s="25">
        <f>COUNTIF($Q$2:$Q$5295,Q4405)</f>
        <v/>
      </c>
      <c r="S4405" s="25">
        <f>IF(R4405&lt;=2,"1-2",IF(R4405&lt;=5,"3-5",IF(R4405&lt;=10,"6-10","11+")))</f>
        <v/>
      </c>
    </row>
    <row r="4406">
      <c r="A4406" s="39" t="n">
        <v>46224.36861111111</v>
      </c>
      <c r="B4406" s="25">
        <f>TEXT(A4406,"YYYY-MM")</f>
        <v/>
      </c>
      <c r="C4406" s="25">
        <f>TEXT(A4406,"MMM-YYYY")</f>
        <v/>
      </c>
      <c r="D4406" s="40">
        <f>INT(A4406)-WEEKDAY(A4406,2)+1</f>
        <v/>
      </c>
      <c r="E4406" s="25" t="inlineStr">
        <is>
          <t>shassan</t>
        </is>
      </c>
      <c r="F4406" s="25" t="n">
        <v>131011</v>
      </c>
      <c r="G4406" s="25" t="n">
        <v>4</v>
      </c>
      <c r="H4406" s="25" t="n">
        <v>20</v>
      </c>
      <c r="I4406" s="25" t="inlineStr">
        <is>
          <t>3 minute(s) and 58 second(s)</t>
        </is>
      </c>
      <c r="J4406" s="25">
        <f>IFERROR(VALUE(TRIM(LEFT(I4406,FIND("minute",I4406)-1)))*60,0)+IFERROR(VALUE(SUBSTITUTE(MID(I4406,IFERROR(FIND("and",I4406)+3,1),20),"second(s)","")),0)</f>
        <v/>
      </c>
      <c r="K4406" s="41">
        <f>J4406/60</f>
        <v/>
      </c>
      <c r="L4406" s="41">
        <f>IFERROR(J4406/H4406,"")</f>
        <v/>
      </c>
      <c r="M4406" s="25" t="inlineStr">
        <is>
          <t>2.5.12</t>
        </is>
      </c>
      <c r="N4406" s="25">
        <f>IF(J4406&gt;300,1,0)</f>
        <v/>
      </c>
      <c r="O4406" s="25">
        <f>IF(J4406&gt;600,1,0)</f>
        <v/>
      </c>
      <c r="P4406" s="25">
        <f>IF(H4406&gt;0,J4406,"")</f>
        <v/>
      </c>
      <c r="Q4406" s="25">
        <f>TEXT(A4406,"YYYY-MM-DD HH")</f>
        <v/>
      </c>
      <c r="R4406" s="25">
        <f>COUNTIF($Q$2:$Q$5295,Q4406)</f>
        <v/>
      </c>
      <c r="S4406" s="25">
        <f>IF(R4406&lt;=2,"1-2",IF(R4406&lt;=5,"3-5",IF(R4406&lt;=10,"6-10","11+")))</f>
        <v/>
      </c>
    </row>
    <row r="4407">
      <c r="A4407" s="39" t="n">
        <v>46224.37171296297</v>
      </c>
      <c r="B4407" s="25">
        <f>TEXT(A4407,"YYYY-MM")</f>
        <v/>
      </c>
      <c r="C4407" s="25">
        <f>TEXT(A4407,"MMM-YYYY")</f>
        <v/>
      </c>
      <c r="D4407" s="40">
        <f>INT(A4407)-WEEKDAY(A4407,2)+1</f>
        <v/>
      </c>
      <c r="E4407" s="25" t="inlineStr">
        <is>
          <t>aupadhayay</t>
        </is>
      </c>
      <c r="F4407" s="25" t="inlineStr">
        <is>
          <t>ALERT2349812</t>
        </is>
      </c>
      <c r="G4407" s="25" t="n">
        <v>4</v>
      </c>
      <c r="H4407" s="25" t="n">
        <v>20</v>
      </c>
      <c r="I4407" s="25" t="inlineStr">
        <is>
          <t>2 minute(s) and 7 second(s)</t>
        </is>
      </c>
      <c r="J4407" s="25">
        <f>IFERROR(VALUE(TRIM(LEFT(I4407,FIND("minute",I4407)-1)))*60,0)+IFERROR(VALUE(SUBSTITUTE(MID(I4407,IFERROR(FIND("and",I4407)+3,1),20),"second(s)","")),0)</f>
        <v/>
      </c>
      <c r="K4407" s="41">
        <f>J4407/60</f>
        <v/>
      </c>
      <c r="L4407" s="41">
        <f>IFERROR(J4407/H4407,"")</f>
        <v/>
      </c>
      <c r="M4407" s="25" t="inlineStr">
        <is>
          <t>2.5.12</t>
        </is>
      </c>
      <c r="N4407" s="25">
        <f>IF(J4407&gt;300,1,0)</f>
        <v/>
      </c>
      <c r="O4407" s="25">
        <f>IF(J4407&gt;600,1,0)</f>
        <v/>
      </c>
      <c r="P4407" s="25">
        <f>IF(H4407&gt;0,J4407,"")</f>
        <v/>
      </c>
      <c r="Q4407" s="25">
        <f>TEXT(A4407,"YYYY-MM-DD HH")</f>
        <v/>
      </c>
      <c r="R4407" s="25">
        <f>COUNTIF($Q$2:$Q$5295,Q4407)</f>
        <v/>
      </c>
      <c r="S4407" s="25">
        <f>IF(R4407&lt;=2,"1-2",IF(R4407&lt;=5,"3-5",IF(R4407&lt;=10,"6-10","11+")))</f>
        <v/>
      </c>
    </row>
    <row r="4408">
      <c r="A4408" s="39" t="n">
        <v>46224.37216435185</v>
      </c>
      <c r="B4408" s="25">
        <f>TEXT(A4408,"YYYY-MM")</f>
        <v/>
      </c>
      <c r="C4408" s="25">
        <f>TEXT(A4408,"MMM-YYYY")</f>
        <v/>
      </c>
      <c r="D4408" s="40">
        <f>INT(A4408)-WEEKDAY(A4408,2)+1</f>
        <v/>
      </c>
      <c r="E4408" s="25" t="inlineStr">
        <is>
          <t>smukhopadhyay</t>
        </is>
      </c>
      <c r="F4408" s="25" t="n">
        <v>131305</v>
      </c>
      <c r="G4408" s="25" t="n">
        <v>3</v>
      </c>
      <c r="H4408" s="25" t="n">
        <v>19</v>
      </c>
      <c r="I4408" s="25" t="inlineStr">
        <is>
          <t>3 minute(s) and 4 second(s)</t>
        </is>
      </c>
      <c r="J4408" s="25">
        <f>IFERROR(VALUE(TRIM(LEFT(I4408,FIND("minute",I4408)-1)))*60,0)+IFERROR(VALUE(SUBSTITUTE(MID(I4408,IFERROR(FIND("and",I4408)+3,1),20),"second(s)","")),0)</f>
        <v/>
      </c>
      <c r="K4408" s="41">
        <f>J4408/60</f>
        <v/>
      </c>
      <c r="L4408" s="41">
        <f>IFERROR(J4408/H4408,"")</f>
        <v/>
      </c>
      <c r="M4408" s="25" t="inlineStr">
        <is>
          <t>2.5.12</t>
        </is>
      </c>
      <c r="N4408" s="25">
        <f>IF(J4408&gt;300,1,0)</f>
        <v/>
      </c>
      <c r="O4408" s="25">
        <f>IF(J4408&gt;600,1,0)</f>
        <v/>
      </c>
      <c r="P4408" s="25">
        <f>IF(H4408&gt;0,J4408,"")</f>
        <v/>
      </c>
      <c r="Q4408" s="25">
        <f>TEXT(A4408,"YYYY-MM-DD HH")</f>
        <v/>
      </c>
      <c r="R4408" s="25">
        <f>COUNTIF($Q$2:$Q$5295,Q4408)</f>
        <v/>
      </c>
      <c r="S4408" s="25">
        <f>IF(R4408&lt;=2,"1-2",IF(R4408&lt;=5,"3-5",IF(R4408&lt;=10,"6-10","11+")))</f>
        <v/>
      </c>
    </row>
    <row r="4409">
      <c r="A4409" s="39" t="n">
        <v>46224.37265046296</v>
      </c>
      <c r="B4409" s="25">
        <f>TEXT(A4409,"YYYY-MM")</f>
        <v/>
      </c>
      <c r="C4409" s="25">
        <f>TEXT(A4409,"MMM-YYYY")</f>
        <v/>
      </c>
      <c r="D4409" s="40">
        <f>INT(A4409)-WEEKDAY(A4409,2)+1</f>
        <v/>
      </c>
      <c r="E4409" s="25" t="inlineStr">
        <is>
          <t>sswati</t>
        </is>
      </c>
      <c r="F4409" s="25" t="n">
        <v>132429</v>
      </c>
      <c r="G4409" s="25" t="n">
        <v>1</v>
      </c>
      <c r="H4409" s="25" t="n">
        <v>7</v>
      </c>
      <c r="I4409" s="25" t="inlineStr">
        <is>
          <t>51 second(s)</t>
        </is>
      </c>
      <c r="J4409" s="25">
        <f>IFERROR(VALUE(TRIM(LEFT(I4409,FIND("minute",I4409)-1)))*60,0)+IFERROR(VALUE(SUBSTITUTE(MID(I4409,IFERROR(FIND("and",I4409)+3,1),20),"second(s)","")),0)</f>
        <v/>
      </c>
      <c r="K4409" s="41">
        <f>J4409/60</f>
        <v/>
      </c>
      <c r="L4409" s="41">
        <f>IFERROR(J4409/H4409,"")</f>
        <v/>
      </c>
      <c r="M4409" s="25" t="inlineStr">
        <is>
          <t>2.5.12</t>
        </is>
      </c>
      <c r="N4409" s="25">
        <f>IF(J4409&gt;300,1,0)</f>
        <v/>
      </c>
      <c r="O4409" s="25">
        <f>IF(J4409&gt;600,1,0)</f>
        <v/>
      </c>
      <c r="P4409" s="25">
        <f>IF(H4409&gt;0,J4409,"")</f>
        <v/>
      </c>
      <c r="Q4409" s="25">
        <f>TEXT(A4409,"YYYY-MM-DD HH")</f>
        <v/>
      </c>
      <c r="R4409" s="25">
        <f>COUNTIF($Q$2:$Q$5295,Q4409)</f>
        <v/>
      </c>
      <c r="S4409" s="25">
        <f>IF(R4409&lt;=2,"1-2",IF(R4409&lt;=5,"3-5",IF(R4409&lt;=10,"6-10","11+")))</f>
        <v/>
      </c>
    </row>
    <row r="4410">
      <c r="A4410" s="39" t="n">
        <v>46224.37893518519</v>
      </c>
      <c r="B4410" s="25">
        <f>TEXT(A4410,"YYYY-MM")</f>
        <v/>
      </c>
      <c r="C4410" s="25">
        <f>TEXT(A4410,"MMM-YYYY")</f>
        <v/>
      </c>
      <c r="D4410" s="40">
        <f>INT(A4410)-WEEKDAY(A4410,2)+1</f>
        <v/>
      </c>
      <c r="E4410" s="25" t="inlineStr">
        <is>
          <t>aghosh</t>
        </is>
      </c>
      <c r="F4410" s="25" t="n">
        <v>128691</v>
      </c>
      <c r="G4410" s="25" t="n">
        <v>4</v>
      </c>
      <c r="H4410" s="25" t="n">
        <v>26</v>
      </c>
      <c r="I4410" s="25" t="inlineStr">
        <is>
          <t>4 minute(s) and 25 second(s)</t>
        </is>
      </c>
      <c r="J4410" s="25">
        <f>IFERROR(VALUE(TRIM(LEFT(I4410,FIND("minute",I4410)-1)))*60,0)+IFERROR(VALUE(SUBSTITUTE(MID(I4410,IFERROR(FIND("and",I4410)+3,1),20),"second(s)","")),0)</f>
        <v/>
      </c>
      <c r="K4410" s="41">
        <f>J4410/60</f>
        <v/>
      </c>
      <c r="L4410" s="41">
        <f>IFERROR(J4410/H4410,"")</f>
        <v/>
      </c>
      <c r="M4410" s="25" t="inlineStr">
        <is>
          <t>2.5.12</t>
        </is>
      </c>
      <c r="N4410" s="25">
        <f>IF(J4410&gt;300,1,0)</f>
        <v/>
      </c>
      <c r="O4410" s="25">
        <f>IF(J4410&gt;600,1,0)</f>
        <v/>
      </c>
      <c r="P4410" s="25">
        <f>IF(H4410&gt;0,J4410,"")</f>
        <v/>
      </c>
      <c r="Q4410" s="25">
        <f>TEXT(A4410,"YYYY-MM-DD HH")</f>
        <v/>
      </c>
      <c r="R4410" s="25">
        <f>COUNTIF($Q$2:$Q$5295,Q4410)</f>
        <v/>
      </c>
      <c r="S4410" s="25">
        <f>IF(R4410&lt;=2,"1-2",IF(R4410&lt;=5,"3-5",IF(R4410&lt;=10,"6-10","11+")))</f>
        <v/>
      </c>
    </row>
    <row r="4411">
      <c r="A4411" s="39" t="n">
        <v>46224.38016203704</v>
      </c>
      <c r="B4411" s="25">
        <f>TEXT(A4411,"YYYY-MM")</f>
        <v/>
      </c>
      <c r="C4411" s="25">
        <f>TEXT(A4411,"MMM-YYYY")</f>
        <v/>
      </c>
      <c r="D4411" s="40">
        <f>INT(A4411)-WEEKDAY(A4411,2)+1</f>
        <v/>
      </c>
      <c r="E4411" s="25" t="inlineStr">
        <is>
          <t>aupadhayay</t>
        </is>
      </c>
      <c r="F4411" s="25" t="n">
        <v>130880</v>
      </c>
      <c r="G4411" s="25" t="n">
        <v>4</v>
      </c>
      <c r="H4411" s="25" t="n">
        <v>20</v>
      </c>
      <c r="I4411" s="25" t="inlineStr">
        <is>
          <t>2 minute(s) and 18 second(s)</t>
        </is>
      </c>
      <c r="J4411" s="25">
        <f>IFERROR(VALUE(TRIM(LEFT(I4411,FIND("minute",I4411)-1)))*60,0)+IFERROR(VALUE(SUBSTITUTE(MID(I4411,IFERROR(FIND("and",I4411)+3,1),20),"second(s)","")),0)</f>
        <v/>
      </c>
      <c r="K4411" s="41">
        <f>J4411/60</f>
        <v/>
      </c>
      <c r="L4411" s="41">
        <f>IFERROR(J4411/H4411,"")</f>
        <v/>
      </c>
      <c r="M4411" s="25" t="inlineStr">
        <is>
          <t>2.5.12</t>
        </is>
      </c>
      <c r="N4411" s="25">
        <f>IF(J4411&gt;300,1,0)</f>
        <v/>
      </c>
      <c r="O4411" s="25">
        <f>IF(J4411&gt;600,1,0)</f>
        <v/>
      </c>
      <c r="P4411" s="25">
        <f>IF(H4411&gt;0,J4411,"")</f>
        <v/>
      </c>
      <c r="Q4411" s="25">
        <f>TEXT(A4411,"YYYY-MM-DD HH")</f>
        <v/>
      </c>
      <c r="R4411" s="25">
        <f>COUNTIF($Q$2:$Q$5295,Q4411)</f>
        <v/>
      </c>
      <c r="S4411" s="25">
        <f>IF(R4411&lt;=2,"1-2",IF(R4411&lt;=5,"3-5",IF(R4411&lt;=10,"6-10","11+")))</f>
        <v/>
      </c>
    </row>
    <row r="4412">
      <c r="A4412" s="39" t="n">
        <v>46224.38069444444</v>
      </c>
      <c r="B4412" s="25">
        <f>TEXT(A4412,"YYYY-MM")</f>
        <v/>
      </c>
      <c r="C4412" s="25">
        <f>TEXT(A4412,"MMM-YYYY")</f>
        <v/>
      </c>
      <c r="D4412" s="40">
        <f>INT(A4412)-WEEKDAY(A4412,2)+1</f>
        <v/>
      </c>
      <c r="E4412" s="25" t="inlineStr">
        <is>
          <t>ethomas</t>
        </is>
      </c>
      <c r="F4412" s="25" t="n">
        <v>129064</v>
      </c>
      <c r="G4412" s="25" t="n">
        <v>1</v>
      </c>
      <c r="H4412" s="25" t="n">
        <v>6</v>
      </c>
      <c r="I4412" s="25" t="inlineStr">
        <is>
          <t>23 second(s)</t>
        </is>
      </c>
      <c r="J4412" s="25">
        <f>IFERROR(VALUE(TRIM(LEFT(I4412,FIND("minute",I4412)-1)))*60,0)+IFERROR(VALUE(SUBSTITUTE(MID(I4412,IFERROR(FIND("and",I4412)+3,1),20),"second(s)","")),0)</f>
        <v/>
      </c>
      <c r="K4412" s="41">
        <f>J4412/60</f>
        <v/>
      </c>
      <c r="L4412" s="41">
        <f>IFERROR(J4412/H4412,"")</f>
        <v/>
      </c>
      <c r="M4412" s="25" t="inlineStr">
        <is>
          <t>2.5.12</t>
        </is>
      </c>
      <c r="N4412" s="25">
        <f>IF(J4412&gt;300,1,0)</f>
        <v/>
      </c>
      <c r="O4412" s="25">
        <f>IF(J4412&gt;600,1,0)</f>
        <v/>
      </c>
      <c r="P4412" s="25">
        <f>IF(H4412&gt;0,J4412,"")</f>
        <v/>
      </c>
      <c r="Q4412" s="25">
        <f>TEXT(A4412,"YYYY-MM-DD HH")</f>
        <v/>
      </c>
      <c r="R4412" s="25">
        <f>COUNTIF($Q$2:$Q$5295,Q4412)</f>
        <v/>
      </c>
      <c r="S4412" s="25">
        <f>IF(R4412&lt;=2,"1-2",IF(R4412&lt;=5,"3-5",IF(R4412&lt;=10,"6-10","11+")))</f>
        <v/>
      </c>
    </row>
    <row r="4413">
      <c r="A4413" s="39" t="n">
        <v>46224.38181712963</v>
      </c>
      <c r="B4413" s="25">
        <f>TEXT(A4413,"YYYY-MM")</f>
        <v/>
      </c>
      <c r="C4413" s="25">
        <f>TEXT(A4413,"MMM-YYYY")</f>
        <v/>
      </c>
      <c r="D4413" s="40">
        <f>INT(A4413)-WEEKDAY(A4413,2)+1</f>
        <v/>
      </c>
      <c r="E4413" s="25" t="inlineStr">
        <is>
          <t>ssrinivasan</t>
        </is>
      </c>
      <c r="F4413" s="25" t="n">
        <v>128152</v>
      </c>
      <c r="G4413" s="25" t="n">
        <v>2</v>
      </c>
      <c r="H4413" s="25" t="n">
        <v>15</v>
      </c>
      <c r="I4413" s="25" t="inlineStr">
        <is>
          <t>2 minute(s) and 14 second(s)</t>
        </is>
      </c>
      <c r="J4413" s="25">
        <f>IFERROR(VALUE(TRIM(LEFT(I4413,FIND("minute",I4413)-1)))*60,0)+IFERROR(VALUE(SUBSTITUTE(MID(I4413,IFERROR(FIND("and",I4413)+3,1),20),"second(s)","")),0)</f>
        <v/>
      </c>
      <c r="K4413" s="41">
        <f>J4413/60</f>
        <v/>
      </c>
      <c r="L4413" s="41">
        <f>IFERROR(J4413/H4413,"")</f>
        <v/>
      </c>
      <c r="M4413" s="25" t="inlineStr">
        <is>
          <t>2.5.12</t>
        </is>
      </c>
      <c r="N4413" s="25">
        <f>IF(J4413&gt;300,1,0)</f>
        <v/>
      </c>
      <c r="O4413" s="25">
        <f>IF(J4413&gt;600,1,0)</f>
        <v/>
      </c>
      <c r="P4413" s="25">
        <f>IF(H4413&gt;0,J4413,"")</f>
        <v/>
      </c>
      <c r="Q4413" s="25">
        <f>TEXT(A4413,"YYYY-MM-DD HH")</f>
        <v/>
      </c>
      <c r="R4413" s="25">
        <f>COUNTIF($Q$2:$Q$5295,Q4413)</f>
        <v/>
      </c>
      <c r="S4413" s="25">
        <f>IF(R4413&lt;=2,"1-2",IF(R4413&lt;=5,"3-5",IF(R4413&lt;=10,"6-10","11+")))</f>
        <v/>
      </c>
    </row>
    <row r="4414">
      <c r="A4414" s="39" t="n">
        <v>46224.38331018519</v>
      </c>
      <c r="B4414" s="25">
        <f>TEXT(A4414,"YYYY-MM")</f>
        <v/>
      </c>
      <c r="C4414" s="25">
        <f>TEXT(A4414,"MMM-YYYY")</f>
        <v/>
      </c>
      <c r="D4414" s="40">
        <f>INT(A4414)-WEEKDAY(A4414,2)+1</f>
        <v/>
      </c>
      <c r="E4414" s="25" t="inlineStr">
        <is>
          <t>emishra</t>
        </is>
      </c>
      <c r="F4414" s="25" t="n">
        <v>130400</v>
      </c>
      <c r="G4414" s="25" t="n">
        <v>1</v>
      </c>
      <c r="H4414" s="25" t="n">
        <v>7</v>
      </c>
      <c r="I4414" s="25" t="inlineStr">
        <is>
          <t>1 minute(s) and 1 second(s)</t>
        </is>
      </c>
      <c r="J4414" s="25">
        <f>IFERROR(VALUE(TRIM(LEFT(I4414,FIND("minute",I4414)-1)))*60,0)+IFERROR(VALUE(SUBSTITUTE(MID(I4414,IFERROR(FIND("and",I4414)+3,1),20),"second(s)","")),0)</f>
        <v/>
      </c>
      <c r="K4414" s="41">
        <f>J4414/60</f>
        <v/>
      </c>
      <c r="L4414" s="41">
        <f>IFERROR(J4414/H4414,"")</f>
        <v/>
      </c>
      <c r="M4414" s="25" t="inlineStr">
        <is>
          <t>2.5.12</t>
        </is>
      </c>
      <c r="N4414" s="25">
        <f>IF(J4414&gt;300,1,0)</f>
        <v/>
      </c>
      <c r="O4414" s="25">
        <f>IF(J4414&gt;600,1,0)</f>
        <v/>
      </c>
      <c r="P4414" s="25">
        <f>IF(H4414&gt;0,J4414,"")</f>
        <v/>
      </c>
      <c r="Q4414" s="25">
        <f>TEXT(A4414,"YYYY-MM-DD HH")</f>
        <v/>
      </c>
      <c r="R4414" s="25">
        <f>COUNTIF($Q$2:$Q$5295,Q4414)</f>
        <v/>
      </c>
      <c r="S4414" s="25">
        <f>IF(R4414&lt;=2,"1-2",IF(R4414&lt;=5,"3-5",IF(R4414&lt;=10,"6-10","11+")))</f>
        <v/>
      </c>
    </row>
    <row r="4415">
      <c r="A4415" s="39" t="n">
        <v>46224.38690972222</v>
      </c>
      <c r="B4415" s="25">
        <f>TEXT(A4415,"YYYY-MM")</f>
        <v/>
      </c>
      <c r="C4415" s="25">
        <f>TEXT(A4415,"MMM-YYYY")</f>
        <v/>
      </c>
      <c r="D4415" s="40">
        <f>INT(A4415)-WEEKDAY(A4415,2)+1</f>
        <v/>
      </c>
      <c r="E4415" s="25" t="inlineStr">
        <is>
          <t>psathwika</t>
        </is>
      </c>
      <c r="F4415" s="25" t="n">
        <v>129656</v>
      </c>
      <c r="G4415" s="25" t="n">
        <v>2</v>
      </c>
      <c r="H4415" s="25" t="n">
        <v>10</v>
      </c>
      <c r="I4415" s="25" t="inlineStr">
        <is>
          <t>50 second(s)</t>
        </is>
      </c>
      <c r="J4415" s="25">
        <f>IFERROR(VALUE(TRIM(LEFT(I4415,FIND("minute",I4415)-1)))*60,0)+IFERROR(VALUE(SUBSTITUTE(MID(I4415,IFERROR(FIND("and",I4415)+3,1),20),"second(s)","")),0)</f>
        <v/>
      </c>
      <c r="K4415" s="41">
        <f>J4415/60</f>
        <v/>
      </c>
      <c r="L4415" s="41">
        <f>IFERROR(J4415/H4415,"")</f>
        <v/>
      </c>
      <c r="M4415" s="25" t="inlineStr">
        <is>
          <t>2.5.12</t>
        </is>
      </c>
      <c r="N4415" s="25">
        <f>IF(J4415&gt;300,1,0)</f>
        <v/>
      </c>
      <c r="O4415" s="25">
        <f>IF(J4415&gt;600,1,0)</f>
        <v/>
      </c>
      <c r="P4415" s="25">
        <f>IF(H4415&gt;0,J4415,"")</f>
        <v/>
      </c>
      <c r="Q4415" s="25">
        <f>TEXT(A4415,"YYYY-MM-DD HH")</f>
        <v/>
      </c>
      <c r="R4415" s="25">
        <f>COUNTIF($Q$2:$Q$5295,Q4415)</f>
        <v/>
      </c>
      <c r="S4415" s="25">
        <f>IF(R4415&lt;=2,"1-2",IF(R4415&lt;=5,"3-5",IF(R4415&lt;=10,"6-10","11+")))</f>
        <v/>
      </c>
    </row>
    <row r="4416">
      <c r="A4416" s="39" t="n">
        <v>46224.39300925926</v>
      </c>
      <c r="B4416" s="25">
        <f>TEXT(A4416,"YYYY-MM")</f>
        <v/>
      </c>
      <c r="C4416" s="25">
        <f>TEXT(A4416,"MMM-YYYY")</f>
        <v/>
      </c>
      <c r="D4416" s="40">
        <f>INT(A4416)-WEEKDAY(A4416,2)+1</f>
        <v/>
      </c>
      <c r="E4416" s="25" t="inlineStr">
        <is>
          <t>mgupta</t>
        </is>
      </c>
      <c r="F4416" s="25" t="n">
        <v>131200</v>
      </c>
      <c r="G4416" s="25" t="n">
        <v>4</v>
      </c>
      <c r="H4416" s="25" t="n">
        <v>10</v>
      </c>
      <c r="I4416" s="25" t="inlineStr">
        <is>
          <t>48 second(s)</t>
        </is>
      </c>
      <c r="J4416" s="25">
        <f>IFERROR(VALUE(TRIM(LEFT(I4416,FIND("minute",I4416)-1)))*60,0)+IFERROR(VALUE(SUBSTITUTE(MID(I4416,IFERROR(FIND("and",I4416)+3,1),20),"second(s)","")),0)</f>
        <v/>
      </c>
      <c r="K4416" s="41">
        <f>J4416/60</f>
        <v/>
      </c>
      <c r="L4416" s="41">
        <f>IFERROR(J4416/H4416,"")</f>
        <v/>
      </c>
      <c r="M4416" s="25" t="inlineStr">
        <is>
          <t>2.5.12</t>
        </is>
      </c>
      <c r="N4416" s="25">
        <f>IF(J4416&gt;300,1,0)</f>
        <v/>
      </c>
      <c r="O4416" s="25">
        <f>IF(J4416&gt;600,1,0)</f>
        <v/>
      </c>
      <c r="P4416" s="25">
        <f>IF(H4416&gt;0,J4416,"")</f>
        <v/>
      </c>
      <c r="Q4416" s="25">
        <f>TEXT(A4416,"YYYY-MM-DD HH")</f>
        <v/>
      </c>
      <c r="R4416" s="25">
        <f>COUNTIF($Q$2:$Q$5295,Q4416)</f>
        <v/>
      </c>
      <c r="S4416" s="25">
        <f>IF(R4416&lt;=2,"1-2",IF(R4416&lt;=5,"3-5",IF(R4416&lt;=10,"6-10","11+")))</f>
        <v/>
      </c>
    </row>
    <row r="4417">
      <c r="A4417" s="39" t="n">
        <v>46224.39440972222</v>
      </c>
      <c r="B4417" s="25">
        <f>TEXT(A4417,"YYYY-MM")</f>
        <v/>
      </c>
      <c r="C4417" s="25">
        <f>TEXT(A4417,"MMM-YYYY")</f>
        <v/>
      </c>
      <c r="D4417" s="40">
        <f>INT(A4417)-WEEKDAY(A4417,2)+1</f>
        <v/>
      </c>
      <c r="E4417" s="25" t="inlineStr">
        <is>
          <t>tkarmakar</t>
        </is>
      </c>
      <c r="F4417" s="25" t="n">
        <v>131918</v>
      </c>
      <c r="G4417" s="25" t="n">
        <v>2</v>
      </c>
      <c r="H4417" s="25" t="n">
        <v>10</v>
      </c>
      <c r="I4417" s="25" t="inlineStr">
        <is>
          <t>1 minute(s) and 19 second(s)</t>
        </is>
      </c>
      <c r="J4417" s="25">
        <f>IFERROR(VALUE(TRIM(LEFT(I4417,FIND("minute",I4417)-1)))*60,0)+IFERROR(VALUE(SUBSTITUTE(MID(I4417,IFERROR(FIND("and",I4417)+3,1),20),"second(s)","")),0)</f>
        <v/>
      </c>
      <c r="K4417" s="41">
        <f>J4417/60</f>
        <v/>
      </c>
      <c r="L4417" s="41">
        <f>IFERROR(J4417/H4417,"")</f>
        <v/>
      </c>
      <c r="M4417" s="25" t="inlineStr">
        <is>
          <t>2.5.12</t>
        </is>
      </c>
      <c r="N4417" s="25">
        <f>IF(J4417&gt;300,1,0)</f>
        <v/>
      </c>
      <c r="O4417" s="25">
        <f>IF(J4417&gt;600,1,0)</f>
        <v/>
      </c>
      <c r="P4417" s="25">
        <f>IF(H4417&gt;0,J4417,"")</f>
        <v/>
      </c>
      <c r="Q4417" s="25">
        <f>TEXT(A4417,"YYYY-MM-DD HH")</f>
        <v/>
      </c>
      <c r="R4417" s="25">
        <f>COUNTIF($Q$2:$Q$5295,Q4417)</f>
        <v/>
      </c>
      <c r="S4417" s="25">
        <f>IF(R4417&lt;=2,"1-2",IF(R4417&lt;=5,"3-5",IF(R4417&lt;=10,"6-10","11+")))</f>
        <v/>
      </c>
    </row>
    <row r="4418">
      <c r="A4418" s="39" t="n">
        <v>46224.40390046296</v>
      </c>
      <c r="B4418" s="25">
        <f>TEXT(A4418,"YYYY-MM")</f>
        <v/>
      </c>
      <c r="C4418" s="25">
        <f>TEXT(A4418,"MMM-YYYY")</f>
        <v/>
      </c>
      <c r="D4418" s="40">
        <f>INT(A4418)-WEEKDAY(A4418,2)+1</f>
        <v/>
      </c>
      <c r="E4418" s="25" t="inlineStr">
        <is>
          <t>shasikha</t>
        </is>
      </c>
      <c r="F4418" s="25" t="n">
        <v>128031</v>
      </c>
      <c r="G4418" s="25" t="n">
        <v>1</v>
      </c>
      <c r="H4418" s="25" t="n">
        <v>7</v>
      </c>
      <c r="I4418" s="25" t="inlineStr">
        <is>
          <t>39 second(s)</t>
        </is>
      </c>
      <c r="J4418" s="25">
        <f>IFERROR(VALUE(TRIM(LEFT(I4418,FIND("minute",I4418)-1)))*60,0)+IFERROR(VALUE(SUBSTITUTE(MID(I4418,IFERROR(FIND("and",I4418)+3,1),20),"second(s)","")),0)</f>
        <v/>
      </c>
      <c r="K4418" s="41">
        <f>J4418/60</f>
        <v/>
      </c>
      <c r="L4418" s="41">
        <f>IFERROR(J4418/H4418,"")</f>
        <v/>
      </c>
      <c r="M4418" s="25" t="inlineStr">
        <is>
          <t>2.5.12</t>
        </is>
      </c>
      <c r="N4418" s="25">
        <f>IF(J4418&gt;300,1,0)</f>
        <v/>
      </c>
      <c r="O4418" s="25">
        <f>IF(J4418&gt;600,1,0)</f>
        <v/>
      </c>
      <c r="P4418" s="25">
        <f>IF(H4418&gt;0,J4418,"")</f>
        <v/>
      </c>
      <c r="Q4418" s="25">
        <f>TEXT(A4418,"YYYY-MM-DD HH")</f>
        <v/>
      </c>
      <c r="R4418" s="25">
        <f>COUNTIF($Q$2:$Q$5295,Q4418)</f>
        <v/>
      </c>
      <c r="S4418" s="25">
        <f>IF(R4418&lt;=2,"1-2",IF(R4418&lt;=5,"3-5",IF(R4418&lt;=10,"6-10","11+")))</f>
        <v/>
      </c>
    </row>
    <row r="4419">
      <c r="A4419" s="39" t="n">
        <v>46224.40517361111</v>
      </c>
      <c r="B4419" s="25">
        <f>TEXT(A4419,"YYYY-MM")</f>
        <v/>
      </c>
      <c r="C4419" s="25">
        <f>TEXT(A4419,"MMM-YYYY")</f>
        <v/>
      </c>
      <c r="D4419" s="40">
        <f>INT(A4419)-WEEKDAY(A4419,2)+1</f>
        <v/>
      </c>
      <c r="E4419" s="25" t="inlineStr">
        <is>
          <t>aghosh</t>
        </is>
      </c>
      <c r="F4419" s="25" t="n">
        <v>128691</v>
      </c>
      <c r="G4419" s="25" t="n">
        <v>4</v>
      </c>
      <c r="H4419" s="25" t="n">
        <v>26</v>
      </c>
      <c r="I4419" s="25" t="inlineStr">
        <is>
          <t>3 minute(s) and 39 second(s)</t>
        </is>
      </c>
      <c r="J4419" s="25">
        <f>IFERROR(VALUE(TRIM(LEFT(I4419,FIND("minute",I4419)-1)))*60,0)+IFERROR(VALUE(SUBSTITUTE(MID(I4419,IFERROR(FIND("and",I4419)+3,1),20),"second(s)","")),0)</f>
        <v/>
      </c>
      <c r="K4419" s="41">
        <f>J4419/60</f>
        <v/>
      </c>
      <c r="L4419" s="41">
        <f>IFERROR(J4419/H4419,"")</f>
        <v/>
      </c>
      <c r="M4419" s="25" t="inlineStr">
        <is>
          <t>2.5.12</t>
        </is>
      </c>
      <c r="N4419" s="25">
        <f>IF(J4419&gt;300,1,0)</f>
        <v/>
      </c>
      <c r="O4419" s="25">
        <f>IF(J4419&gt;600,1,0)</f>
        <v/>
      </c>
      <c r="P4419" s="25">
        <f>IF(H4419&gt;0,J4419,"")</f>
        <v/>
      </c>
      <c r="Q4419" s="25">
        <f>TEXT(A4419,"YYYY-MM-DD HH")</f>
        <v/>
      </c>
      <c r="R4419" s="25">
        <f>COUNTIF($Q$2:$Q$5295,Q4419)</f>
        <v/>
      </c>
      <c r="S4419" s="25">
        <f>IF(R4419&lt;=2,"1-2",IF(R4419&lt;=5,"3-5",IF(R4419&lt;=10,"6-10","11+")))</f>
        <v/>
      </c>
    </row>
    <row r="4420">
      <c r="A4420" s="39" t="n">
        <v>46224.40783564815</v>
      </c>
      <c r="B4420" s="25">
        <f>TEXT(A4420,"YYYY-MM")</f>
        <v/>
      </c>
      <c r="C4420" s="25">
        <f>TEXT(A4420,"MMM-YYYY")</f>
        <v/>
      </c>
      <c r="D4420" s="40">
        <f>INT(A4420)-WEEKDAY(A4420,2)+1</f>
        <v/>
      </c>
      <c r="E4420" s="25" t="inlineStr">
        <is>
          <t>ns</t>
        </is>
      </c>
      <c r="F4420" s="25" t="n">
        <v>129520</v>
      </c>
      <c r="G4420" s="25" t="n">
        <v>2</v>
      </c>
      <c r="H4420" s="25" t="n">
        <v>12</v>
      </c>
      <c r="I4420" s="25" t="inlineStr">
        <is>
          <t>2 minute(s) and 3 second(s)</t>
        </is>
      </c>
      <c r="J4420" s="25">
        <f>IFERROR(VALUE(TRIM(LEFT(I4420,FIND("minute",I4420)-1)))*60,0)+IFERROR(VALUE(SUBSTITUTE(MID(I4420,IFERROR(FIND("and",I4420)+3,1),20),"second(s)","")),0)</f>
        <v/>
      </c>
      <c r="K4420" s="41">
        <f>J4420/60</f>
        <v/>
      </c>
      <c r="L4420" s="41">
        <f>IFERROR(J4420/H4420,"")</f>
        <v/>
      </c>
      <c r="M4420" s="25" t="inlineStr">
        <is>
          <t>2.5.12</t>
        </is>
      </c>
      <c r="N4420" s="25">
        <f>IF(J4420&gt;300,1,0)</f>
        <v/>
      </c>
      <c r="O4420" s="25">
        <f>IF(J4420&gt;600,1,0)</f>
        <v/>
      </c>
      <c r="P4420" s="25">
        <f>IF(H4420&gt;0,J4420,"")</f>
        <v/>
      </c>
      <c r="Q4420" s="25">
        <f>TEXT(A4420,"YYYY-MM-DD HH")</f>
        <v/>
      </c>
      <c r="R4420" s="25">
        <f>COUNTIF($Q$2:$Q$5295,Q4420)</f>
        <v/>
      </c>
      <c r="S4420" s="25">
        <f>IF(R4420&lt;=2,"1-2",IF(R4420&lt;=5,"3-5",IF(R4420&lt;=10,"6-10","11+")))</f>
        <v/>
      </c>
    </row>
    <row r="4421">
      <c r="A4421" s="39" t="n">
        <v>46224.41422453704</v>
      </c>
      <c r="B4421" s="25">
        <f>TEXT(A4421,"YYYY-MM")</f>
        <v/>
      </c>
      <c r="C4421" s="25">
        <f>TEXT(A4421,"MMM-YYYY")</f>
        <v/>
      </c>
      <c r="D4421" s="40">
        <f>INT(A4421)-WEEKDAY(A4421,2)+1</f>
        <v/>
      </c>
      <c r="E4421" s="25" t="inlineStr">
        <is>
          <t>atiwari</t>
        </is>
      </c>
      <c r="F4421" s="25" t="n">
        <v>128385</v>
      </c>
      <c r="G4421" s="25" t="n">
        <v>2</v>
      </c>
      <c r="H4421" s="25" t="n">
        <v>13</v>
      </c>
      <c r="I4421" s="25" t="inlineStr">
        <is>
          <t>1 minute(s) and 7 second(s)</t>
        </is>
      </c>
      <c r="J4421" s="25">
        <f>IFERROR(VALUE(TRIM(LEFT(I4421,FIND("minute",I4421)-1)))*60,0)+IFERROR(VALUE(SUBSTITUTE(MID(I4421,IFERROR(FIND("and",I4421)+3,1),20),"second(s)","")),0)</f>
        <v/>
      </c>
      <c r="K4421" s="41">
        <f>J4421/60</f>
        <v/>
      </c>
      <c r="L4421" s="41">
        <f>IFERROR(J4421/H4421,"")</f>
        <v/>
      </c>
      <c r="M4421" s="25" t="inlineStr">
        <is>
          <t>2.5.12</t>
        </is>
      </c>
      <c r="N4421" s="25">
        <f>IF(J4421&gt;300,1,0)</f>
        <v/>
      </c>
      <c r="O4421" s="25">
        <f>IF(J4421&gt;600,1,0)</f>
        <v/>
      </c>
      <c r="P4421" s="25">
        <f>IF(H4421&gt;0,J4421,"")</f>
        <v/>
      </c>
      <c r="Q4421" s="25">
        <f>TEXT(A4421,"YYYY-MM-DD HH")</f>
        <v/>
      </c>
      <c r="R4421" s="25">
        <f>COUNTIF($Q$2:$Q$5295,Q4421)</f>
        <v/>
      </c>
      <c r="S4421" s="25">
        <f>IF(R4421&lt;=2,"1-2",IF(R4421&lt;=5,"3-5",IF(R4421&lt;=10,"6-10","11+")))</f>
        <v/>
      </c>
    </row>
    <row r="4422">
      <c r="A4422" s="39" t="n">
        <v>46224.41878472222</v>
      </c>
      <c r="B4422" s="25">
        <f>TEXT(A4422,"YYYY-MM")</f>
        <v/>
      </c>
      <c r="C4422" s="25">
        <f>TEXT(A4422,"MMM-YYYY")</f>
        <v/>
      </c>
      <c r="D4422" s="40">
        <f>INT(A4422)-WEEKDAY(A4422,2)+1</f>
        <v/>
      </c>
      <c r="E4422" s="25" t="inlineStr">
        <is>
          <t>emishra</t>
        </is>
      </c>
      <c r="F4422" s="25" t="n">
        <v>130384</v>
      </c>
      <c r="G4422" s="25" t="n">
        <v>4</v>
      </c>
      <c r="H4422" s="25" t="n">
        <v>18</v>
      </c>
      <c r="I4422" s="25" t="inlineStr">
        <is>
          <t>2 minute(s) and 27 second(s)</t>
        </is>
      </c>
      <c r="J4422" s="25">
        <f>IFERROR(VALUE(TRIM(LEFT(I4422,FIND("minute",I4422)-1)))*60,0)+IFERROR(VALUE(SUBSTITUTE(MID(I4422,IFERROR(FIND("and",I4422)+3,1),20),"second(s)","")),0)</f>
        <v/>
      </c>
      <c r="K4422" s="41">
        <f>J4422/60</f>
        <v/>
      </c>
      <c r="L4422" s="41">
        <f>IFERROR(J4422/H4422,"")</f>
        <v/>
      </c>
      <c r="M4422" s="25" t="inlineStr">
        <is>
          <t>2.5.12</t>
        </is>
      </c>
      <c r="N4422" s="25">
        <f>IF(J4422&gt;300,1,0)</f>
        <v/>
      </c>
      <c r="O4422" s="25">
        <f>IF(J4422&gt;600,1,0)</f>
        <v/>
      </c>
      <c r="P4422" s="25">
        <f>IF(H4422&gt;0,J4422,"")</f>
        <v/>
      </c>
      <c r="Q4422" s="25">
        <f>TEXT(A4422,"YYYY-MM-DD HH")</f>
        <v/>
      </c>
      <c r="R4422" s="25">
        <f>COUNTIF($Q$2:$Q$5295,Q4422)</f>
        <v/>
      </c>
      <c r="S4422" s="25">
        <f>IF(R4422&lt;=2,"1-2",IF(R4422&lt;=5,"3-5",IF(R4422&lt;=10,"6-10","11+")))</f>
        <v/>
      </c>
    </row>
    <row r="4423">
      <c r="A4423" s="39" t="n">
        <v>46224.42049768518</v>
      </c>
      <c r="B4423" s="25">
        <f>TEXT(A4423,"YYYY-MM")</f>
        <v/>
      </c>
      <c r="C4423" s="25">
        <f>TEXT(A4423,"MMM-YYYY")</f>
        <v/>
      </c>
      <c r="D4423" s="40">
        <f>INT(A4423)-WEEKDAY(A4423,2)+1</f>
        <v/>
      </c>
      <c r="E4423" s="25" t="inlineStr">
        <is>
          <t>ssneha</t>
        </is>
      </c>
      <c r="F4423" s="25" t="n">
        <v>131695</v>
      </c>
      <c r="G4423" s="25" t="n">
        <v>4</v>
      </c>
      <c r="H4423" s="25" t="n">
        <v>14</v>
      </c>
      <c r="I4423" s="25" t="inlineStr">
        <is>
          <t>1 minute(s) and 44 second(s)</t>
        </is>
      </c>
      <c r="J4423" s="25">
        <f>IFERROR(VALUE(TRIM(LEFT(I4423,FIND("minute",I4423)-1)))*60,0)+IFERROR(VALUE(SUBSTITUTE(MID(I4423,IFERROR(FIND("and",I4423)+3,1),20),"second(s)","")),0)</f>
        <v/>
      </c>
      <c r="K4423" s="41">
        <f>J4423/60</f>
        <v/>
      </c>
      <c r="L4423" s="41">
        <f>IFERROR(J4423/H4423,"")</f>
        <v/>
      </c>
      <c r="M4423" s="25" t="inlineStr">
        <is>
          <t>2.5.12</t>
        </is>
      </c>
      <c r="N4423" s="25">
        <f>IF(J4423&gt;300,1,0)</f>
        <v/>
      </c>
      <c r="O4423" s="25">
        <f>IF(J4423&gt;600,1,0)</f>
        <v/>
      </c>
      <c r="P4423" s="25">
        <f>IF(H4423&gt;0,J4423,"")</f>
        <v/>
      </c>
      <c r="Q4423" s="25">
        <f>TEXT(A4423,"YYYY-MM-DD HH")</f>
        <v/>
      </c>
      <c r="R4423" s="25">
        <f>COUNTIF($Q$2:$Q$5295,Q4423)</f>
        <v/>
      </c>
      <c r="S4423" s="25">
        <f>IF(R4423&lt;=2,"1-2",IF(R4423&lt;=5,"3-5",IF(R4423&lt;=10,"6-10","11+")))</f>
        <v/>
      </c>
    </row>
    <row r="4424">
      <c r="A4424" s="39" t="n">
        <v>46224.43040509259</v>
      </c>
      <c r="B4424" s="25">
        <f>TEXT(A4424,"YYYY-MM")</f>
        <v/>
      </c>
      <c r="C4424" s="25">
        <f>TEXT(A4424,"MMM-YYYY")</f>
        <v/>
      </c>
      <c r="D4424" s="40">
        <f>INT(A4424)-WEEKDAY(A4424,2)+1</f>
        <v/>
      </c>
      <c r="E4424" s="25" t="inlineStr">
        <is>
          <t>hsindwani</t>
        </is>
      </c>
      <c r="F4424" s="25" t="n">
        <v>129216</v>
      </c>
      <c r="G4424" s="25" t="n">
        <v>1</v>
      </c>
      <c r="H4424" s="25" t="n">
        <v>7</v>
      </c>
      <c r="I4424" s="25" t="inlineStr">
        <is>
          <t>36 second(s)</t>
        </is>
      </c>
      <c r="J4424" s="25">
        <f>IFERROR(VALUE(TRIM(LEFT(I4424,FIND("minute",I4424)-1)))*60,0)+IFERROR(VALUE(SUBSTITUTE(MID(I4424,IFERROR(FIND("and",I4424)+3,1),20),"second(s)","")),0)</f>
        <v/>
      </c>
      <c r="K4424" s="41">
        <f>J4424/60</f>
        <v/>
      </c>
      <c r="L4424" s="41">
        <f>IFERROR(J4424/H4424,"")</f>
        <v/>
      </c>
      <c r="M4424" s="25" t="inlineStr">
        <is>
          <t>2.5.12</t>
        </is>
      </c>
      <c r="N4424" s="25">
        <f>IF(J4424&gt;300,1,0)</f>
        <v/>
      </c>
      <c r="O4424" s="25">
        <f>IF(J4424&gt;600,1,0)</f>
        <v/>
      </c>
      <c r="P4424" s="25">
        <f>IF(H4424&gt;0,J4424,"")</f>
        <v/>
      </c>
      <c r="Q4424" s="25">
        <f>TEXT(A4424,"YYYY-MM-DD HH")</f>
        <v/>
      </c>
      <c r="R4424" s="25">
        <f>COUNTIF($Q$2:$Q$5295,Q4424)</f>
        <v/>
      </c>
      <c r="S4424" s="25">
        <f>IF(R4424&lt;=2,"1-2",IF(R4424&lt;=5,"3-5",IF(R4424&lt;=10,"6-10","11+")))</f>
        <v/>
      </c>
    </row>
    <row r="4425">
      <c r="A4425" s="39" t="n">
        <v>46224.44034722223</v>
      </c>
      <c r="B4425" s="25">
        <f>TEXT(A4425,"YYYY-MM")</f>
        <v/>
      </c>
      <c r="C4425" s="25">
        <f>TEXT(A4425,"MMM-YYYY")</f>
        <v/>
      </c>
      <c r="D4425" s="40">
        <f>INT(A4425)-WEEKDAY(A4425,2)+1</f>
        <v/>
      </c>
      <c r="E4425" s="25" t="inlineStr">
        <is>
          <t>aupadhayay</t>
        </is>
      </c>
      <c r="F4425" s="25" t="n">
        <v>130920</v>
      </c>
      <c r="G4425" s="25" t="n">
        <v>4</v>
      </c>
      <c r="H4425" s="25" t="n">
        <v>18</v>
      </c>
      <c r="I4425" s="25" t="inlineStr">
        <is>
          <t>2 minute(s) and 17 second(s)</t>
        </is>
      </c>
      <c r="J4425" s="25">
        <f>IFERROR(VALUE(TRIM(LEFT(I4425,FIND("minute",I4425)-1)))*60,0)+IFERROR(VALUE(SUBSTITUTE(MID(I4425,IFERROR(FIND("and",I4425)+3,1),20),"second(s)","")),0)</f>
        <v/>
      </c>
      <c r="K4425" s="41">
        <f>J4425/60</f>
        <v/>
      </c>
      <c r="L4425" s="41">
        <f>IFERROR(J4425/H4425,"")</f>
        <v/>
      </c>
      <c r="M4425" s="25" t="inlineStr">
        <is>
          <t>2.5.12</t>
        </is>
      </c>
      <c r="N4425" s="25">
        <f>IF(J4425&gt;300,1,0)</f>
        <v/>
      </c>
      <c r="O4425" s="25">
        <f>IF(J4425&gt;600,1,0)</f>
        <v/>
      </c>
      <c r="P4425" s="25">
        <f>IF(H4425&gt;0,J4425,"")</f>
        <v/>
      </c>
      <c r="Q4425" s="25">
        <f>TEXT(A4425,"YYYY-MM-DD HH")</f>
        <v/>
      </c>
      <c r="R4425" s="25">
        <f>COUNTIF($Q$2:$Q$5295,Q4425)</f>
        <v/>
      </c>
      <c r="S4425" s="25">
        <f>IF(R4425&lt;=2,"1-2",IF(R4425&lt;=5,"3-5",IF(R4425&lt;=10,"6-10","11+")))</f>
        <v/>
      </c>
    </row>
    <row r="4426">
      <c r="A4426" s="39" t="n">
        <v>46224.44673611111</v>
      </c>
      <c r="B4426" s="25">
        <f>TEXT(A4426,"YYYY-MM")</f>
        <v/>
      </c>
      <c r="C4426" s="25">
        <f>TEXT(A4426,"MMM-YYYY")</f>
        <v/>
      </c>
      <c r="D4426" s="40">
        <f>INT(A4426)-WEEKDAY(A4426,2)+1</f>
        <v/>
      </c>
      <c r="E4426" s="25" t="inlineStr">
        <is>
          <t>ethomas</t>
        </is>
      </c>
      <c r="F4426" s="25" t="n">
        <v>128832</v>
      </c>
      <c r="G4426" s="25" t="n">
        <v>1</v>
      </c>
      <c r="H4426" s="25" t="n">
        <v>5</v>
      </c>
      <c r="I4426" s="25" t="inlineStr">
        <is>
          <t>27 second(s)</t>
        </is>
      </c>
      <c r="J4426" s="25">
        <f>IFERROR(VALUE(TRIM(LEFT(I4426,FIND("minute",I4426)-1)))*60,0)+IFERROR(VALUE(SUBSTITUTE(MID(I4426,IFERROR(FIND("and",I4426)+3,1),20),"second(s)","")),0)</f>
        <v/>
      </c>
      <c r="K4426" s="41">
        <f>J4426/60</f>
        <v/>
      </c>
      <c r="L4426" s="41">
        <f>IFERROR(J4426/H4426,"")</f>
        <v/>
      </c>
      <c r="M4426" s="25" t="inlineStr">
        <is>
          <t>2.5.12</t>
        </is>
      </c>
      <c r="N4426" s="25">
        <f>IF(J4426&gt;300,1,0)</f>
        <v/>
      </c>
      <c r="O4426" s="25">
        <f>IF(J4426&gt;600,1,0)</f>
        <v/>
      </c>
      <c r="P4426" s="25">
        <f>IF(H4426&gt;0,J4426,"")</f>
        <v/>
      </c>
      <c r="Q4426" s="25">
        <f>TEXT(A4426,"YYYY-MM-DD HH")</f>
        <v/>
      </c>
      <c r="R4426" s="25">
        <f>COUNTIF($Q$2:$Q$5295,Q4426)</f>
        <v/>
      </c>
      <c r="S4426" s="25">
        <f>IF(R4426&lt;=2,"1-2",IF(R4426&lt;=5,"3-5",IF(R4426&lt;=10,"6-10","11+")))</f>
        <v/>
      </c>
    </row>
    <row r="4427">
      <c r="A4427" s="39" t="n">
        <v>46224.46678240741</v>
      </c>
      <c r="B4427" s="25">
        <f>TEXT(A4427,"YYYY-MM")</f>
        <v/>
      </c>
      <c r="C4427" s="25">
        <f>TEXT(A4427,"MMM-YYYY")</f>
        <v/>
      </c>
      <c r="D4427" s="40">
        <f>INT(A4427)-WEEKDAY(A4427,2)+1</f>
        <v/>
      </c>
      <c r="E4427" s="25" t="inlineStr">
        <is>
          <t>mgupta</t>
        </is>
      </c>
      <c r="F4427" s="25" t="n">
        <v>131248</v>
      </c>
      <c r="G4427" s="25" t="n">
        <v>4</v>
      </c>
      <c r="H4427" s="25" t="n">
        <v>22</v>
      </c>
      <c r="I4427" s="25" t="inlineStr">
        <is>
          <t>2 minute(s) and 7 second(s)</t>
        </is>
      </c>
      <c r="J4427" s="25">
        <f>IFERROR(VALUE(TRIM(LEFT(I4427,FIND("minute",I4427)-1)))*60,0)+IFERROR(VALUE(SUBSTITUTE(MID(I4427,IFERROR(FIND("and",I4427)+3,1),20),"second(s)","")),0)</f>
        <v/>
      </c>
      <c r="K4427" s="41">
        <f>J4427/60</f>
        <v/>
      </c>
      <c r="L4427" s="41">
        <f>IFERROR(J4427/H4427,"")</f>
        <v/>
      </c>
      <c r="M4427" s="25" t="inlineStr">
        <is>
          <t>2.5.12</t>
        </is>
      </c>
      <c r="N4427" s="25">
        <f>IF(J4427&gt;300,1,0)</f>
        <v/>
      </c>
      <c r="O4427" s="25">
        <f>IF(J4427&gt;600,1,0)</f>
        <v/>
      </c>
      <c r="P4427" s="25">
        <f>IF(H4427&gt;0,J4427,"")</f>
        <v/>
      </c>
      <c r="Q4427" s="25">
        <f>TEXT(A4427,"YYYY-MM-DD HH")</f>
        <v/>
      </c>
      <c r="R4427" s="25">
        <f>COUNTIF($Q$2:$Q$5295,Q4427)</f>
        <v/>
      </c>
      <c r="S4427" s="25">
        <f>IF(R4427&lt;=2,"1-2",IF(R4427&lt;=5,"3-5",IF(R4427&lt;=10,"6-10","11+")))</f>
        <v/>
      </c>
    </row>
    <row r="4428">
      <c r="A4428" s="39" t="n">
        <v>46224.46780092592</v>
      </c>
      <c r="B4428" s="25">
        <f>TEXT(A4428,"YYYY-MM")</f>
        <v/>
      </c>
      <c r="C4428" s="25">
        <f>TEXT(A4428,"MMM-YYYY")</f>
        <v/>
      </c>
      <c r="D4428" s="40">
        <f>INT(A4428)-WEEKDAY(A4428,2)+1</f>
        <v/>
      </c>
      <c r="E4428" s="25" t="inlineStr">
        <is>
          <t>bverma</t>
        </is>
      </c>
      <c r="F4428" s="25" t="n">
        <v>131711</v>
      </c>
      <c r="G4428" s="25" t="n">
        <v>4</v>
      </c>
      <c r="H4428" s="25" t="n">
        <v>24</v>
      </c>
      <c r="I4428" s="25" t="inlineStr">
        <is>
          <t>3 minute(s) and 49 second(s)</t>
        </is>
      </c>
      <c r="J4428" s="25">
        <f>IFERROR(VALUE(TRIM(LEFT(I4428,FIND("minute",I4428)-1)))*60,0)+IFERROR(VALUE(SUBSTITUTE(MID(I4428,IFERROR(FIND("and",I4428)+3,1),20),"second(s)","")),0)</f>
        <v/>
      </c>
      <c r="K4428" s="41">
        <f>J4428/60</f>
        <v/>
      </c>
      <c r="L4428" s="41">
        <f>IFERROR(J4428/H4428,"")</f>
        <v/>
      </c>
      <c r="M4428" s="25" t="inlineStr">
        <is>
          <t>2.5.12</t>
        </is>
      </c>
      <c r="N4428" s="25">
        <f>IF(J4428&gt;300,1,0)</f>
        <v/>
      </c>
      <c r="O4428" s="25">
        <f>IF(J4428&gt;600,1,0)</f>
        <v/>
      </c>
      <c r="P4428" s="25">
        <f>IF(H4428&gt;0,J4428,"")</f>
        <v/>
      </c>
      <c r="Q4428" s="25">
        <f>TEXT(A4428,"YYYY-MM-DD HH")</f>
        <v/>
      </c>
      <c r="R4428" s="25">
        <f>COUNTIF($Q$2:$Q$5295,Q4428)</f>
        <v/>
      </c>
      <c r="S4428" s="25">
        <f>IF(R4428&lt;=2,"1-2",IF(R4428&lt;=5,"3-5",IF(R4428&lt;=10,"6-10","11+")))</f>
        <v/>
      </c>
    </row>
    <row r="4429">
      <c r="A4429" s="39" t="n">
        <v>46224.47681712963</v>
      </c>
      <c r="B4429" s="25">
        <f>TEXT(A4429,"YYYY-MM")</f>
        <v/>
      </c>
      <c r="C4429" s="25">
        <f>TEXT(A4429,"MMM-YYYY")</f>
        <v/>
      </c>
      <c r="D4429" s="40">
        <f>INT(A4429)-WEEKDAY(A4429,2)+1</f>
        <v/>
      </c>
      <c r="E4429" s="25" t="inlineStr">
        <is>
          <t>psathwika</t>
        </is>
      </c>
      <c r="F4429" s="25" t="n">
        <v>127888</v>
      </c>
      <c r="G4429" s="25" t="n">
        <v>4</v>
      </c>
      <c r="H4429" s="25" t="n">
        <v>23</v>
      </c>
      <c r="I4429" s="25" t="inlineStr">
        <is>
          <t>2 minute(s) and 43 second(s)</t>
        </is>
      </c>
      <c r="J4429" s="25">
        <f>IFERROR(VALUE(TRIM(LEFT(I4429,FIND("minute",I4429)-1)))*60,0)+IFERROR(VALUE(SUBSTITUTE(MID(I4429,IFERROR(FIND("and",I4429)+3,1),20),"second(s)","")),0)</f>
        <v/>
      </c>
      <c r="K4429" s="41">
        <f>J4429/60</f>
        <v/>
      </c>
      <c r="L4429" s="41">
        <f>IFERROR(J4429/H4429,"")</f>
        <v/>
      </c>
      <c r="M4429" s="25" t="inlineStr">
        <is>
          <t>2.5.12</t>
        </is>
      </c>
      <c r="N4429" s="25">
        <f>IF(J4429&gt;300,1,0)</f>
        <v/>
      </c>
      <c r="O4429" s="25">
        <f>IF(J4429&gt;600,1,0)</f>
        <v/>
      </c>
      <c r="P4429" s="25">
        <f>IF(H4429&gt;0,J4429,"")</f>
        <v/>
      </c>
      <c r="Q4429" s="25">
        <f>TEXT(A4429,"YYYY-MM-DD HH")</f>
        <v/>
      </c>
      <c r="R4429" s="25">
        <f>COUNTIF($Q$2:$Q$5295,Q4429)</f>
        <v/>
      </c>
      <c r="S4429" s="25">
        <f>IF(R4429&lt;=2,"1-2",IF(R4429&lt;=5,"3-5",IF(R4429&lt;=10,"6-10","11+")))</f>
        <v/>
      </c>
    </row>
    <row r="4430">
      <c r="A4430" s="39" t="n">
        <v>46224.50986111111</v>
      </c>
      <c r="B4430" s="25">
        <f>TEXT(A4430,"YYYY-MM")</f>
        <v/>
      </c>
      <c r="C4430" s="25">
        <f>TEXT(A4430,"MMM-YYYY")</f>
        <v/>
      </c>
      <c r="D4430" s="40">
        <f>INT(A4430)-WEEKDAY(A4430,2)+1</f>
        <v/>
      </c>
      <c r="E4430" s="25" t="inlineStr">
        <is>
          <t>pgautam</t>
        </is>
      </c>
      <c r="F4430" s="25" t="n">
        <v>132852</v>
      </c>
      <c r="G4430" s="25" t="n">
        <v>5</v>
      </c>
      <c r="H4430" s="25" t="n">
        <v>23</v>
      </c>
      <c r="I4430" s="25" t="inlineStr">
        <is>
          <t>1 minute(s) and 57 second(s)</t>
        </is>
      </c>
      <c r="J4430" s="25">
        <f>IFERROR(VALUE(TRIM(LEFT(I4430,FIND("minute",I4430)-1)))*60,0)+IFERROR(VALUE(SUBSTITUTE(MID(I4430,IFERROR(FIND("and",I4430)+3,1),20),"second(s)","")),0)</f>
        <v/>
      </c>
      <c r="K4430" s="41">
        <f>J4430/60</f>
        <v/>
      </c>
      <c r="L4430" s="41">
        <f>IFERROR(J4430/H4430,"")</f>
        <v/>
      </c>
      <c r="M4430" s="25" t="inlineStr">
        <is>
          <t>2.5.12</t>
        </is>
      </c>
      <c r="N4430" s="25">
        <f>IF(J4430&gt;300,1,0)</f>
        <v/>
      </c>
      <c r="O4430" s="25">
        <f>IF(J4430&gt;600,1,0)</f>
        <v/>
      </c>
      <c r="P4430" s="25">
        <f>IF(H4430&gt;0,J4430,"")</f>
        <v/>
      </c>
      <c r="Q4430" s="25">
        <f>TEXT(A4430,"YYYY-MM-DD HH")</f>
        <v/>
      </c>
      <c r="R4430" s="25">
        <f>COUNTIF($Q$2:$Q$5295,Q4430)</f>
        <v/>
      </c>
      <c r="S4430" s="25">
        <f>IF(R4430&lt;=2,"1-2",IF(R4430&lt;=5,"3-5",IF(R4430&lt;=10,"6-10","11+")))</f>
        <v/>
      </c>
    </row>
    <row r="4431">
      <c r="A4431" s="39" t="n">
        <v>46224.51723379629</v>
      </c>
      <c r="B4431" s="25">
        <f>TEXT(A4431,"YYYY-MM")</f>
        <v/>
      </c>
      <c r="C4431" s="25">
        <f>TEXT(A4431,"MMM-YYYY")</f>
        <v/>
      </c>
      <c r="D4431" s="40">
        <f>INT(A4431)-WEEKDAY(A4431,2)+1</f>
        <v/>
      </c>
      <c r="E4431" s="25" t="inlineStr">
        <is>
          <t>aghosh</t>
        </is>
      </c>
      <c r="F4431" s="25" t="n">
        <v>128779</v>
      </c>
      <c r="G4431" s="25" t="n">
        <v>2</v>
      </c>
      <c r="H4431" s="25" t="n">
        <v>10</v>
      </c>
      <c r="I4431" s="25" t="inlineStr">
        <is>
          <t>53 second(s)</t>
        </is>
      </c>
      <c r="J4431" s="25">
        <f>IFERROR(VALUE(TRIM(LEFT(I4431,FIND("minute",I4431)-1)))*60,0)+IFERROR(VALUE(SUBSTITUTE(MID(I4431,IFERROR(FIND("and",I4431)+3,1),20),"second(s)","")),0)</f>
        <v/>
      </c>
      <c r="K4431" s="41">
        <f>J4431/60</f>
        <v/>
      </c>
      <c r="L4431" s="41">
        <f>IFERROR(J4431/H4431,"")</f>
        <v/>
      </c>
      <c r="M4431" s="25" t="inlineStr">
        <is>
          <t>2.5.12</t>
        </is>
      </c>
      <c r="N4431" s="25">
        <f>IF(J4431&gt;300,1,0)</f>
        <v/>
      </c>
      <c r="O4431" s="25">
        <f>IF(J4431&gt;600,1,0)</f>
        <v/>
      </c>
      <c r="P4431" s="25">
        <f>IF(H4431&gt;0,J4431,"")</f>
        <v/>
      </c>
      <c r="Q4431" s="25">
        <f>TEXT(A4431,"YYYY-MM-DD HH")</f>
        <v/>
      </c>
      <c r="R4431" s="25">
        <f>COUNTIF($Q$2:$Q$5295,Q4431)</f>
        <v/>
      </c>
      <c r="S4431" s="25">
        <f>IF(R4431&lt;=2,"1-2",IF(R4431&lt;=5,"3-5",IF(R4431&lt;=10,"6-10","11+")))</f>
        <v/>
      </c>
    </row>
    <row r="4432">
      <c r="A4432" s="39" t="n">
        <v>46224.53506944444</v>
      </c>
      <c r="B4432" s="25">
        <f>TEXT(A4432,"YYYY-MM")</f>
        <v/>
      </c>
      <c r="C4432" s="25">
        <f>TEXT(A4432,"MMM-YYYY")</f>
        <v/>
      </c>
      <c r="D4432" s="40">
        <f>INT(A4432)-WEEKDAY(A4432,2)+1</f>
        <v/>
      </c>
      <c r="E4432" s="25" t="inlineStr">
        <is>
          <t>sthomas</t>
        </is>
      </c>
      <c r="F4432" s="25" t="n">
        <v>132546</v>
      </c>
      <c r="G4432" s="25" t="n">
        <v>4</v>
      </c>
      <c r="H4432" s="25" t="n">
        <v>24</v>
      </c>
      <c r="I4432" s="25" t="inlineStr">
        <is>
          <t>2 minute(s) and 11 second(s)</t>
        </is>
      </c>
      <c r="J4432" s="25">
        <f>IFERROR(VALUE(TRIM(LEFT(I4432,FIND("minute",I4432)-1)))*60,0)+IFERROR(VALUE(SUBSTITUTE(MID(I4432,IFERROR(FIND("and",I4432)+3,1),20),"second(s)","")),0)</f>
        <v/>
      </c>
      <c r="K4432" s="41">
        <f>J4432/60</f>
        <v/>
      </c>
      <c r="L4432" s="41">
        <f>IFERROR(J4432/H4432,"")</f>
        <v/>
      </c>
      <c r="M4432" s="25" t="inlineStr">
        <is>
          <t>2.5.12</t>
        </is>
      </c>
      <c r="N4432" s="25">
        <f>IF(J4432&gt;300,1,0)</f>
        <v/>
      </c>
      <c r="O4432" s="25">
        <f>IF(J4432&gt;600,1,0)</f>
        <v/>
      </c>
      <c r="P4432" s="25">
        <f>IF(H4432&gt;0,J4432,"")</f>
        <v/>
      </c>
      <c r="Q4432" s="25">
        <f>TEXT(A4432,"YYYY-MM-DD HH")</f>
        <v/>
      </c>
      <c r="R4432" s="25">
        <f>COUNTIF($Q$2:$Q$5295,Q4432)</f>
        <v/>
      </c>
      <c r="S4432" s="25">
        <f>IF(R4432&lt;=2,"1-2",IF(R4432&lt;=5,"3-5",IF(R4432&lt;=10,"6-10","11+")))</f>
        <v/>
      </c>
    </row>
    <row r="4433">
      <c r="A4433" s="39" t="n">
        <v>46224.53675925926</v>
      </c>
      <c r="B4433" s="25">
        <f>TEXT(A4433,"YYYY-MM")</f>
        <v/>
      </c>
      <c r="C4433" s="25">
        <f>TEXT(A4433,"MMM-YYYY")</f>
        <v/>
      </c>
      <c r="D4433" s="40">
        <f>INT(A4433)-WEEKDAY(A4433,2)+1</f>
        <v/>
      </c>
      <c r="E4433" s="25" t="inlineStr">
        <is>
          <t>dbhattacharyya</t>
        </is>
      </c>
      <c r="F4433" s="25" t="n">
        <v>129048</v>
      </c>
      <c r="G4433" s="25" t="n">
        <v>4</v>
      </c>
      <c r="H4433" s="25" t="n">
        <v>22</v>
      </c>
      <c r="I4433" s="25" t="inlineStr">
        <is>
          <t>1 minute(s) and 51 second(s)</t>
        </is>
      </c>
      <c r="J4433" s="25">
        <f>IFERROR(VALUE(TRIM(LEFT(I4433,FIND("minute",I4433)-1)))*60,0)+IFERROR(VALUE(SUBSTITUTE(MID(I4433,IFERROR(FIND("and",I4433)+3,1),20),"second(s)","")),0)</f>
        <v/>
      </c>
      <c r="K4433" s="41">
        <f>J4433/60</f>
        <v/>
      </c>
      <c r="L4433" s="41">
        <f>IFERROR(J4433/H4433,"")</f>
        <v/>
      </c>
      <c r="M4433" s="25" t="inlineStr">
        <is>
          <t>2.5.12</t>
        </is>
      </c>
      <c r="N4433" s="25">
        <f>IF(J4433&gt;300,1,0)</f>
        <v/>
      </c>
      <c r="O4433" s="25">
        <f>IF(J4433&gt;600,1,0)</f>
        <v/>
      </c>
      <c r="P4433" s="25">
        <f>IF(H4433&gt;0,J4433,"")</f>
        <v/>
      </c>
      <c r="Q4433" s="25">
        <f>TEXT(A4433,"YYYY-MM-DD HH")</f>
        <v/>
      </c>
      <c r="R4433" s="25">
        <f>COUNTIF($Q$2:$Q$5295,Q4433)</f>
        <v/>
      </c>
      <c r="S4433" s="25">
        <f>IF(R4433&lt;=2,"1-2",IF(R4433&lt;=5,"3-5",IF(R4433&lt;=10,"6-10","11+")))</f>
        <v/>
      </c>
    </row>
    <row r="4434">
      <c r="A4434" s="39" t="n">
        <v>46224.56060185185</v>
      </c>
      <c r="B4434" s="25">
        <f>TEXT(A4434,"YYYY-MM")</f>
        <v/>
      </c>
      <c r="C4434" s="25">
        <f>TEXT(A4434,"MMM-YYYY")</f>
        <v/>
      </c>
      <c r="D4434" s="40">
        <f>INT(A4434)-WEEKDAY(A4434,2)+1</f>
        <v/>
      </c>
      <c r="E4434" s="25" t="inlineStr">
        <is>
          <t>hsindwani</t>
        </is>
      </c>
      <c r="F4434" s="25" t="n">
        <v>129168</v>
      </c>
      <c r="G4434" s="25" t="n">
        <v>1</v>
      </c>
      <c r="H4434" s="25" t="n">
        <v>5</v>
      </c>
      <c r="I4434" s="25" t="inlineStr">
        <is>
          <t>27 second(s)</t>
        </is>
      </c>
      <c r="J4434" s="25">
        <f>IFERROR(VALUE(TRIM(LEFT(I4434,FIND("minute",I4434)-1)))*60,0)+IFERROR(VALUE(SUBSTITUTE(MID(I4434,IFERROR(FIND("and",I4434)+3,1),20),"second(s)","")),0)</f>
        <v/>
      </c>
      <c r="K4434" s="41">
        <f>J4434/60</f>
        <v/>
      </c>
      <c r="L4434" s="41">
        <f>IFERROR(J4434/H4434,"")</f>
        <v/>
      </c>
      <c r="M4434" s="25" t="inlineStr">
        <is>
          <t>2.5.12</t>
        </is>
      </c>
      <c r="N4434" s="25">
        <f>IF(J4434&gt;300,1,0)</f>
        <v/>
      </c>
      <c r="O4434" s="25">
        <f>IF(J4434&gt;600,1,0)</f>
        <v/>
      </c>
      <c r="P4434" s="25">
        <f>IF(H4434&gt;0,J4434,"")</f>
        <v/>
      </c>
      <c r="Q4434" s="25">
        <f>TEXT(A4434,"YYYY-MM-DD HH")</f>
        <v/>
      </c>
      <c r="R4434" s="25">
        <f>COUNTIF($Q$2:$Q$5295,Q4434)</f>
        <v/>
      </c>
      <c r="S4434" s="25">
        <f>IF(R4434&lt;=2,"1-2",IF(R4434&lt;=5,"3-5",IF(R4434&lt;=10,"6-10","11+")))</f>
        <v/>
      </c>
    </row>
    <row r="4435">
      <c r="A4435" s="39" t="n">
        <v>46224.56076388889</v>
      </c>
      <c r="B4435" s="25">
        <f>TEXT(A4435,"YYYY-MM")</f>
        <v/>
      </c>
      <c r="C4435" s="25">
        <f>TEXT(A4435,"MMM-YYYY")</f>
        <v/>
      </c>
      <c r="D4435" s="40">
        <f>INT(A4435)-WEEKDAY(A4435,2)+1</f>
        <v/>
      </c>
      <c r="E4435" s="25" t="inlineStr">
        <is>
          <t>rsingh</t>
        </is>
      </c>
      <c r="F4435" s="25" t="n">
        <v>132832</v>
      </c>
      <c r="G4435" s="25" t="n">
        <v>1</v>
      </c>
      <c r="H4435" s="25" t="n">
        <v>5</v>
      </c>
      <c r="I4435" s="25" t="inlineStr">
        <is>
          <t>32 second(s)</t>
        </is>
      </c>
      <c r="J4435" s="25">
        <f>IFERROR(VALUE(TRIM(LEFT(I4435,FIND("minute",I4435)-1)))*60,0)+IFERROR(VALUE(SUBSTITUTE(MID(I4435,IFERROR(FIND("and",I4435)+3,1),20),"second(s)","")),0)</f>
        <v/>
      </c>
      <c r="K4435" s="41">
        <f>J4435/60</f>
        <v/>
      </c>
      <c r="L4435" s="41">
        <f>IFERROR(J4435/H4435,"")</f>
        <v/>
      </c>
      <c r="M4435" s="25" t="inlineStr">
        <is>
          <t>2.5.12</t>
        </is>
      </c>
      <c r="N4435" s="25">
        <f>IF(J4435&gt;300,1,0)</f>
        <v/>
      </c>
      <c r="O4435" s="25">
        <f>IF(J4435&gt;600,1,0)</f>
        <v/>
      </c>
      <c r="P4435" s="25">
        <f>IF(H4435&gt;0,J4435,"")</f>
        <v/>
      </c>
      <c r="Q4435" s="25">
        <f>TEXT(A4435,"YYYY-MM-DD HH")</f>
        <v/>
      </c>
      <c r="R4435" s="25">
        <f>COUNTIF($Q$2:$Q$5295,Q4435)</f>
        <v/>
      </c>
      <c r="S4435" s="25">
        <f>IF(R4435&lt;=2,"1-2",IF(R4435&lt;=5,"3-5",IF(R4435&lt;=10,"6-10","11+")))</f>
        <v/>
      </c>
    </row>
    <row r="4436">
      <c r="A4436" s="39" t="n">
        <v>46224.5659375</v>
      </c>
      <c r="B4436" s="25">
        <f>TEXT(A4436,"YYYY-MM")</f>
        <v/>
      </c>
      <c r="C4436" s="25">
        <f>TEXT(A4436,"MMM-YYYY")</f>
        <v/>
      </c>
      <c r="D4436" s="40">
        <f>INT(A4436)-WEEKDAY(A4436,2)+1</f>
        <v/>
      </c>
      <c r="E4436" s="25" t="inlineStr">
        <is>
          <t>mbhalla</t>
        </is>
      </c>
      <c r="F4436" s="25" t="n">
        <v>129452</v>
      </c>
      <c r="G4436" s="25" t="n">
        <v>2</v>
      </c>
      <c r="H4436" s="25" t="n">
        <v>10</v>
      </c>
      <c r="I4436" s="25" t="inlineStr">
        <is>
          <t>58 second(s)</t>
        </is>
      </c>
      <c r="J4436" s="25">
        <f>IFERROR(VALUE(TRIM(LEFT(I4436,FIND("minute",I4436)-1)))*60,0)+IFERROR(VALUE(SUBSTITUTE(MID(I4436,IFERROR(FIND("and",I4436)+3,1),20),"second(s)","")),0)</f>
        <v/>
      </c>
      <c r="K4436" s="41">
        <f>J4436/60</f>
        <v/>
      </c>
      <c r="L4436" s="41">
        <f>IFERROR(J4436/H4436,"")</f>
        <v/>
      </c>
      <c r="M4436" s="25" t="inlineStr">
        <is>
          <t>2.5.12</t>
        </is>
      </c>
      <c r="N4436" s="25">
        <f>IF(J4436&gt;300,1,0)</f>
        <v/>
      </c>
      <c r="O4436" s="25">
        <f>IF(J4436&gt;600,1,0)</f>
        <v/>
      </c>
      <c r="P4436" s="25">
        <f>IF(H4436&gt;0,J4436,"")</f>
        <v/>
      </c>
      <c r="Q4436" s="25">
        <f>TEXT(A4436,"YYYY-MM-DD HH")</f>
        <v/>
      </c>
      <c r="R4436" s="25">
        <f>COUNTIF($Q$2:$Q$5295,Q4436)</f>
        <v/>
      </c>
      <c r="S4436" s="25">
        <f>IF(R4436&lt;=2,"1-2",IF(R4436&lt;=5,"3-5",IF(R4436&lt;=10,"6-10","11+")))</f>
        <v/>
      </c>
    </row>
    <row r="4437">
      <c r="A4437" s="39" t="n">
        <v>46224.58075231482</v>
      </c>
      <c r="B4437" s="25">
        <f>TEXT(A4437,"YYYY-MM")</f>
        <v/>
      </c>
      <c r="C4437" s="25">
        <f>TEXT(A4437,"MMM-YYYY")</f>
        <v/>
      </c>
      <c r="D4437" s="40">
        <f>INT(A4437)-WEEKDAY(A4437,2)+1</f>
        <v/>
      </c>
      <c r="E4437" s="25" t="inlineStr">
        <is>
          <t>sdey</t>
        </is>
      </c>
      <c r="F4437" s="25" t="n">
        <v>129329</v>
      </c>
      <c r="G4437" s="25" t="n">
        <v>4</v>
      </c>
      <c r="H4437" s="25" t="n">
        <v>16</v>
      </c>
      <c r="I4437" s="25" t="inlineStr">
        <is>
          <t>3 minute(s) and 18 second(s)</t>
        </is>
      </c>
      <c r="J4437" s="25">
        <f>IFERROR(VALUE(TRIM(LEFT(I4437,FIND("minute",I4437)-1)))*60,0)+IFERROR(VALUE(SUBSTITUTE(MID(I4437,IFERROR(FIND("and",I4437)+3,1),20),"second(s)","")),0)</f>
        <v/>
      </c>
      <c r="K4437" s="41">
        <f>J4437/60</f>
        <v/>
      </c>
      <c r="L4437" s="41">
        <f>IFERROR(J4437/H4437,"")</f>
        <v/>
      </c>
      <c r="M4437" s="25" t="inlineStr">
        <is>
          <t>2.5.12</t>
        </is>
      </c>
      <c r="N4437" s="25">
        <f>IF(J4437&gt;300,1,0)</f>
        <v/>
      </c>
      <c r="O4437" s="25">
        <f>IF(J4437&gt;600,1,0)</f>
        <v/>
      </c>
      <c r="P4437" s="25">
        <f>IF(H4437&gt;0,J4437,"")</f>
        <v/>
      </c>
      <c r="Q4437" s="25">
        <f>TEXT(A4437,"YYYY-MM-DD HH")</f>
        <v/>
      </c>
      <c r="R4437" s="25">
        <f>COUNTIF($Q$2:$Q$5295,Q4437)</f>
        <v/>
      </c>
      <c r="S4437" s="25">
        <f>IF(R4437&lt;=2,"1-2",IF(R4437&lt;=5,"3-5",IF(R4437&lt;=10,"6-10","11+")))</f>
        <v/>
      </c>
    </row>
    <row r="4438">
      <c r="A4438" s="39" t="n">
        <v>46224.58341435185</v>
      </c>
      <c r="B4438" s="25">
        <f>TEXT(A4438,"YYYY-MM")</f>
        <v/>
      </c>
      <c r="C4438" s="25">
        <f>TEXT(A4438,"MMM-YYYY")</f>
        <v/>
      </c>
      <c r="D4438" s="40">
        <f>INT(A4438)-WEEKDAY(A4438,2)+1</f>
        <v/>
      </c>
      <c r="E4438" s="25" t="inlineStr">
        <is>
          <t>sswati</t>
        </is>
      </c>
      <c r="F4438" s="25" t="n">
        <v>128728</v>
      </c>
      <c r="G4438" s="25" t="n">
        <v>4</v>
      </c>
      <c r="H4438" s="25" t="n">
        <v>16</v>
      </c>
      <c r="I4438" s="25" t="inlineStr">
        <is>
          <t>1 minute(s) and 55 second(s)</t>
        </is>
      </c>
      <c r="J4438" s="25">
        <f>IFERROR(VALUE(TRIM(LEFT(I4438,FIND("minute",I4438)-1)))*60,0)+IFERROR(VALUE(SUBSTITUTE(MID(I4438,IFERROR(FIND("and",I4438)+3,1),20),"second(s)","")),0)</f>
        <v/>
      </c>
      <c r="K4438" s="41">
        <f>J4438/60</f>
        <v/>
      </c>
      <c r="L4438" s="41">
        <f>IFERROR(J4438/H4438,"")</f>
        <v/>
      </c>
      <c r="M4438" s="25" t="inlineStr">
        <is>
          <t>2.5.12</t>
        </is>
      </c>
      <c r="N4438" s="25">
        <f>IF(J4438&gt;300,1,0)</f>
        <v/>
      </c>
      <c r="O4438" s="25">
        <f>IF(J4438&gt;600,1,0)</f>
        <v/>
      </c>
      <c r="P4438" s="25">
        <f>IF(H4438&gt;0,J4438,"")</f>
        <v/>
      </c>
      <c r="Q4438" s="25">
        <f>TEXT(A4438,"YYYY-MM-DD HH")</f>
        <v/>
      </c>
      <c r="R4438" s="25">
        <f>COUNTIF($Q$2:$Q$5295,Q4438)</f>
        <v/>
      </c>
      <c r="S4438" s="25">
        <f>IF(R4438&lt;=2,"1-2",IF(R4438&lt;=5,"3-5",IF(R4438&lt;=10,"6-10","11+")))</f>
        <v/>
      </c>
    </row>
    <row r="4439">
      <c r="A4439" s="39" t="n">
        <v>46224.58956018519</v>
      </c>
      <c r="B4439" s="25">
        <f>TEXT(A4439,"YYYY-MM")</f>
        <v/>
      </c>
      <c r="C4439" s="25">
        <f>TEXT(A4439,"MMM-YYYY")</f>
        <v/>
      </c>
      <c r="D4439" s="40">
        <f>INT(A4439)-WEEKDAY(A4439,2)+1</f>
        <v/>
      </c>
      <c r="E4439" s="25" t="inlineStr">
        <is>
          <t>aghosh</t>
        </is>
      </c>
      <c r="F4439" s="25" t="n">
        <v>130603</v>
      </c>
      <c r="G4439" s="25" t="n">
        <v>2</v>
      </c>
      <c r="H4439" s="25" t="n">
        <v>14</v>
      </c>
      <c r="I4439" s="25" t="inlineStr">
        <is>
          <t>2 minute(s) and 20 second(s)</t>
        </is>
      </c>
      <c r="J4439" s="25">
        <f>IFERROR(VALUE(TRIM(LEFT(I4439,FIND("minute",I4439)-1)))*60,0)+IFERROR(VALUE(SUBSTITUTE(MID(I4439,IFERROR(FIND("and",I4439)+3,1),20),"second(s)","")),0)</f>
        <v/>
      </c>
      <c r="K4439" s="41">
        <f>J4439/60</f>
        <v/>
      </c>
      <c r="L4439" s="41">
        <f>IFERROR(J4439/H4439,"")</f>
        <v/>
      </c>
      <c r="M4439" s="25" t="inlineStr">
        <is>
          <t>2.5.12</t>
        </is>
      </c>
      <c r="N4439" s="25">
        <f>IF(J4439&gt;300,1,0)</f>
        <v/>
      </c>
      <c r="O4439" s="25">
        <f>IF(J4439&gt;600,1,0)</f>
        <v/>
      </c>
      <c r="P4439" s="25">
        <f>IF(H4439&gt;0,J4439,"")</f>
        <v/>
      </c>
      <c r="Q4439" s="25">
        <f>TEXT(A4439,"YYYY-MM-DD HH")</f>
        <v/>
      </c>
      <c r="R4439" s="25">
        <f>COUNTIF($Q$2:$Q$5295,Q4439)</f>
        <v/>
      </c>
      <c r="S4439" s="25">
        <f>IF(R4439&lt;=2,"1-2",IF(R4439&lt;=5,"3-5",IF(R4439&lt;=10,"6-10","11+")))</f>
        <v/>
      </c>
    </row>
    <row r="4440">
      <c r="A4440" s="39" t="n">
        <v>46224.60728009259</v>
      </c>
      <c r="B4440" s="25">
        <f>TEXT(A4440,"YYYY-MM")</f>
        <v/>
      </c>
      <c r="C4440" s="25">
        <f>TEXT(A4440,"MMM-YYYY")</f>
        <v/>
      </c>
      <c r="D4440" s="40">
        <f>INT(A4440)-WEEKDAY(A4440,2)+1</f>
        <v/>
      </c>
      <c r="E4440" s="25" t="inlineStr">
        <is>
          <t>aghosh</t>
        </is>
      </c>
      <c r="F4440" s="25" t="n">
        <v>130563</v>
      </c>
      <c r="G4440" s="25" t="n">
        <v>2</v>
      </c>
      <c r="H4440" s="25" t="n">
        <v>8</v>
      </c>
      <c r="I4440" s="25" t="inlineStr">
        <is>
          <t>51 second(s)</t>
        </is>
      </c>
      <c r="J4440" s="25">
        <f>IFERROR(VALUE(TRIM(LEFT(I4440,FIND("minute",I4440)-1)))*60,0)+IFERROR(VALUE(SUBSTITUTE(MID(I4440,IFERROR(FIND("and",I4440)+3,1),20),"second(s)","")),0)</f>
        <v/>
      </c>
      <c r="K4440" s="41">
        <f>J4440/60</f>
        <v/>
      </c>
      <c r="L4440" s="41">
        <f>IFERROR(J4440/H4440,"")</f>
        <v/>
      </c>
      <c r="M4440" s="25" t="inlineStr">
        <is>
          <t>2.5.12</t>
        </is>
      </c>
      <c r="N4440" s="25">
        <f>IF(J4440&gt;300,1,0)</f>
        <v/>
      </c>
      <c r="O4440" s="25">
        <f>IF(J4440&gt;600,1,0)</f>
        <v/>
      </c>
      <c r="P4440" s="25">
        <f>IF(H4440&gt;0,J4440,"")</f>
        <v/>
      </c>
      <c r="Q4440" s="25">
        <f>TEXT(A4440,"YYYY-MM-DD HH")</f>
        <v/>
      </c>
      <c r="R4440" s="25">
        <f>COUNTIF($Q$2:$Q$5295,Q4440)</f>
        <v/>
      </c>
      <c r="S4440" s="25">
        <f>IF(R4440&lt;=2,"1-2",IF(R4440&lt;=5,"3-5",IF(R4440&lt;=10,"6-10","11+")))</f>
        <v/>
      </c>
    </row>
    <row r="4441">
      <c r="A4441" s="39" t="n">
        <v>46224.60954861111</v>
      </c>
      <c r="B4441" s="25">
        <f>TEXT(A4441,"YYYY-MM")</f>
        <v/>
      </c>
      <c r="C4441" s="25">
        <f>TEXT(A4441,"MMM-YYYY")</f>
        <v/>
      </c>
      <c r="D4441" s="40">
        <f>INT(A4441)-WEEKDAY(A4441,2)+1</f>
        <v/>
      </c>
      <c r="E4441" s="25" t="inlineStr">
        <is>
          <t>aghosh</t>
        </is>
      </c>
      <c r="F4441" s="25" t="n">
        <v>130563</v>
      </c>
      <c r="G4441" s="25" t="n">
        <v>2</v>
      </c>
      <c r="H4441" s="25" t="n">
        <v>10</v>
      </c>
      <c r="I4441" s="25" t="inlineStr">
        <is>
          <t>58 second(s)</t>
        </is>
      </c>
      <c r="J4441" s="25">
        <f>IFERROR(VALUE(TRIM(LEFT(I4441,FIND("minute",I4441)-1)))*60,0)+IFERROR(VALUE(SUBSTITUTE(MID(I4441,IFERROR(FIND("and",I4441)+3,1),20),"second(s)","")),0)</f>
        <v/>
      </c>
      <c r="K4441" s="41">
        <f>J4441/60</f>
        <v/>
      </c>
      <c r="L4441" s="41">
        <f>IFERROR(J4441/H4441,"")</f>
        <v/>
      </c>
      <c r="M4441" s="25" t="inlineStr">
        <is>
          <t>2.5.12</t>
        </is>
      </c>
      <c r="N4441" s="25">
        <f>IF(J4441&gt;300,1,0)</f>
        <v/>
      </c>
      <c r="O4441" s="25">
        <f>IF(J4441&gt;600,1,0)</f>
        <v/>
      </c>
      <c r="P4441" s="25">
        <f>IF(H4441&gt;0,J4441,"")</f>
        <v/>
      </c>
      <c r="Q4441" s="25">
        <f>TEXT(A4441,"YYYY-MM-DD HH")</f>
        <v/>
      </c>
      <c r="R4441" s="25">
        <f>COUNTIF($Q$2:$Q$5295,Q4441)</f>
        <v/>
      </c>
      <c r="S4441" s="25">
        <f>IF(R4441&lt;=2,"1-2",IF(R4441&lt;=5,"3-5",IF(R4441&lt;=10,"6-10","11+")))</f>
        <v/>
      </c>
    </row>
    <row r="4442">
      <c r="A4442" s="39" t="n">
        <v>46224.61482638889</v>
      </c>
      <c r="B4442" s="25">
        <f>TEXT(A4442,"YYYY-MM")</f>
        <v/>
      </c>
      <c r="C4442" s="25">
        <f>TEXT(A4442,"MMM-YYYY")</f>
        <v/>
      </c>
      <c r="D4442" s="40">
        <f>INT(A4442)-WEEKDAY(A4442,2)+1</f>
        <v/>
      </c>
      <c r="E4442" s="25" t="inlineStr">
        <is>
          <t>rsingh</t>
        </is>
      </c>
      <c r="F4442" s="25" t="n">
        <v>131096</v>
      </c>
      <c r="G4442" s="25" t="n">
        <v>4</v>
      </c>
      <c r="H4442" s="25" t="n">
        <v>22</v>
      </c>
      <c r="I4442" s="25" t="inlineStr">
        <is>
          <t>2 minute(s) and 29 second(s)</t>
        </is>
      </c>
      <c r="J4442" s="25">
        <f>IFERROR(VALUE(TRIM(LEFT(I4442,FIND("minute",I4442)-1)))*60,0)+IFERROR(VALUE(SUBSTITUTE(MID(I4442,IFERROR(FIND("and",I4442)+3,1),20),"second(s)","")),0)</f>
        <v/>
      </c>
      <c r="K4442" s="41">
        <f>J4442/60</f>
        <v/>
      </c>
      <c r="L4442" s="41">
        <f>IFERROR(J4442/H4442,"")</f>
        <v/>
      </c>
      <c r="M4442" s="25" t="inlineStr">
        <is>
          <t>2.5.12</t>
        </is>
      </c>
      <c r="N4442" s="25">
        <f>IF(J4442&gt;300,1,0)</f>
        <v/>
      </c>
      <c r="O4442" s="25">
        <f>IF(J4442&gt;600,1,0)</f>
        <v/>
      </c>
      <c r="P4442" s="25">
        <f>IF(H4442&gt;0,J4442,"")</f>
        <v/>
      </c>
      <c r="Q4442" s="25">
        <f>TEXT(A4442,"YYYY-MM-DD HH")</f>
        <v/>
      </c>
      <c r="R4442" s="25">
        <f>COUNTIF($Q$2:$Q$5295,Q4442)</f>
        <v/>
      </c>
      <c r="S4442" s="25">
        <f>IF(R4442&lt;=2,"1-2",IF(R4442&lt;=5,"3-5",IF(R4442&lt;=10,"6-10","11+")))</f>
        <v/>
      </c>
    </row>
    <row r="4443">
      <c r="A4443" s="39" t="n">
        <v>46224.61721064815</v>
      </c>
      <c r="B4443" s="25">
        <f>TEXT(A4443,"YYYY-MM")</f>
        <v/>
      </c>
      <c r="C4443" s="25">
        <f>TEXT(A4443,"MMM-YYYY")</f>
        <v/>
      </c>
      <c r="D4443" s="40">
        <f>INT(A4443)-WEEKDAY(A4443,2)+1</f>
        <v/>
      </c>
      <c r="E4443" s="25" t="inlineStr">
        <is>
          <t>mbhalla</t>
        </is>
      </c>
      <c r="F4443" s="25" t="n">
        <v>132427</v>
      </c>
      <c r="G4443" s="25" t="n">
        <v>3</v>
      </c>
      <c r="H4443" s="25" t="n">
        <v>17</v>
      </c>
      <c r="I4443" s="25" t="inlineStr">
        <is>
          <t>2 minute(s) and 8 second(s)</t>
        </is>
      </c>
      <c r="J4443" s="25">
        <f>IFERROR(VALUE(TRIM(LEFT(I4443,FIND("minute",I4443)-1)))*60,0)+IFERROR(VALUE(SUBSTITUTE(MID(I4443,IFERROR(FIND("and",I4443)+3,1),20),"second(s)","")),0)</f>
        <v/>
      </c>
      <c r="K4443" s="41">
        <f>J4443/60</f>
        <v/>
      </c>
      <c r="L4443" s="41">
        <f>IFERROR(J4443/H4443,"")</f>
        <v/>
      </c>
      <c r="M4443" s="25" t="inlineStr">
        <is>
          <t>2.5.12</t>
        </is>
      </c>
      <c r="N4443" s="25">
        <f>IF(J4443&gt;300,1,0)</f>
        <v/>
      </c>
      <c r="O4443" s="25">
        <f>IF(J4443&gt;600,1,0)</f>
        <v/>
      </c>
      <c r="P4443" s="25">
        <f>IF(H4443&gt;0,J4443,"")</f>
        <v/>
      </c>
      <c r="Q4443" s="25">
        <f>TEXT(A4443,"YYYY-MM-DD HH")</f>
        <v/>
      </c>
      <c r="R4443" s="25">
        <f>COUNTIF($Q$2:$Q$5295,Q4443)</f>
        <v/>
      </c>
      <c r="S4443" s="25">
        <f>IF(R4443&lt;=2,"1-2",IF(R4443&lt;=5,"3-5",IF(R4443&lt;=10,"6-10","11+")))</f>
        <v/>
      </c>
    </row>
    <row r="4444">
      <c r="A4444" s="39" t="n">
        <v>46224.61753472222</v>
      </c>
      <c r="B4444" s="25">
        <f>TEXT(A4444,"YYYY-MM")</f>
        <v/>
      </c>
      <c r="C4444" s="25">
        <f>TEXT(A4444,"MMM-YYYY")</f>
        <v/>
      </c>
      <c r="D4444" s="40">
        <f>INT(A4444)-WEEKDAY(A4444,2)+1</f>
        <v/>
      </c>
      <c r="E4444" s="25" t="inlineStr">
        <is>
          <t>pgautam</t>
        </is>
      </c>
      <c r="F4444" s="25" t="n">
        <v>132916</v>
      </c>
      <c r="G4444" s="25" t="n">
        <v>5</v>
      </c>
      <c r="H4444" s="25" t="n">
        <v>19</v>
      </c>
      <c r="I4444" s="25" t="inlineStr">
        <is>
          <t>2 minute(s) and 21 second(s)</t>
        </is>
      </c>
      <c r="J4444" s="25">
        <f>IFERROR(VALUE(TRIM(LEFT(I4444,FIND("minute",I4444)-1)))*60,0)+IFERROR(VALUE(SUBSTITUTE(MID(I4444,IFERROR(FIND("and",I4444)+3,1),20),"second(s)","")),0)</f>
        <v/>
      </c>
      <c r="K4444" s="41">
        <f>J4444/60</f>
        <v/>
      </c>
      <c r="L4444" s="41">
        <f>IFERROR(J4444/H4444,"")</f>
        <v/>
      </c>
      <c r="M4444" s="25" t="inlineStr">
        <is>
          <t>2.5.12</t>
        </is>
      </c>
      <c r="N4444" s="25">
        <f>IF(J4444&gt;300,1,0)</f>
        <v/>
      </c>
      <c r="O4444" s="25">
        <f>IF(J4444&gt;600,1,0)</f>
        <v/>
      </c>
      <c r="P4444" s="25">
        <f>IF(H4444&gt;0,J4444,"")</f>
        <v/>
      </c>
      <c r="Q4444" s="25">
        <f>TEXT(A4444,"YYYY-MM-DD HH")</f>
        <v/>
      </c>
      <c r="R4444" s="25">
        <f>COUNTIF($Q$2:$Q$5295,Q4444)</f>
        <v/>
      </c>
      <c r="S4444" s="25">
        <f>IF(R4444&lt;=2,"1-2",IF(R4444&lt;=5,"3-5",IF(R4444&lt;=10,"6-10","11+")))</f>
        <v/>
      </c>
    </row>
    <row r="4445">
      <c r="A4445" s="39" t="n">
        <v>46224.62046296296</v>
      </c>
      <c r="B4445" s="25">
        <f>TEXT(A4445,"YYYY-MM")</f>
        <v/>
      </c>
      <c r="C4445" s="25">
        <f>TEXT(A4445,"MMM-YYYY")</f>
        <v/>
      </c>
      <c r="D4445" s="40">
        <f>INT(A4445)-WEEKDAY(A4445,2)+1</f>
        <v/>
      </c>
      <c r="E4445" s="25" t="inlineStr">
        <is>
          <t>mbhalla</t>
        </is>
      </c>
      <c r="F4445" s="25" t="n">
        <v>132427</v>
      </c>
      <c r="G4445" s="25" t="n">
        <v>3</v>
      </c>
      <c r="H4445" s="25" t="n">
        <v>15</v>
      </c>
      <c r="I4445" s="25" t="inlineStr">
        <is>
          <t>1 minute(s) and 40 second(s)</t>
        </is>
      </c>
      <c r="J4445" s="25">
        <f>IFERROR(VALUE(TRIM(LEFT(I4445,FIND("minute",I4445)-1)))*60,0)+IFERROR(VALUE(SUBSTITUTE(MID(I4445,IFERROR(FIND("and",I4445)+3,1),20),"second(s)","")),0)</f>
        <v/>
      </c>
      <c r="K4445" s="41">
        <f>J4445/60</f>
        <v/>
      </c>
      <c r="L4445" s="41">
        <f>IFERROR(J4445/H4445,"")</f>
        <v/>
      </c>
      <c r="M4445" s="25" t="inlineStr">
        <is>
          <t>2.5.12</t>
        </is>
      </c>
      <c r="N4445" s="25">
        <f>IF(J4445&gt;300,1,0)</f>
        <v/>
      </c>
      <c r="O4445" s="25">
        <f>IF(J4445&gt;600,1,0)</f>
        <v/>
      </c>
      <c r="P4445" s="25">
        <f>IF(H4445&gt;0,J4445,"")</f>
        <v/>
      </c>
      <c r="Q4445" s="25">
        <f>TEXT(A4445,"YYYY-MM-DD HH")</f>
        <v/>
      </c>
      <c r="R4445" s="25">
        <f>COUNTIF($Q$2:$Q$5295,Q4445)</f>
        <v/>
      </c>
      <c r="S4445" s="25">
        <f>IF(R4445&lt;=2,"1-2",IF(R4445&lt;=5,"3-5",IF(R4445&lt;=10,"6-10","11+")))</f>
        <v/>
      </c>
    </row>
    <row r="4446">
      <c r="A4446" s="39" t="n">
        <v>46224.62162037037</v>
      </c>
      <c r="B4446" s="25">
        <f>TEXT(A4446,"YYYY-MM")</f>
        <v/>
      </c>
      <c r="C4446" s="25">
        <f>TEXT(A4446,"MMM-YYYY")</f>
        <v/>
      </c>
      <c r="D4446" s="40">
        <f>INT(A4446)-WEEKDAY(A4446,2)+1</f>
        <v/>
      </c>
      <c r="E4446" s="25" t="inlineStr">
        <is>
          <t>pgautam</t>
        </is>
      </c>
      <c r="F4446" s="25" t="n">
        <v>132916</v>
      </c>
      <c r="G4446" s="25" t="n">
        <v>5</v>
      </c>
      <c r="H4446" s="25" t="n">
        <v>19</v>
      </c>
      <c r="I4446" s="25" t="inlineStr">
        <is>
          <t>3 minute(s) and 54 second(s)</t>
        </is>
      </c>
      <c r="J4446" s="25">
        <f>IFERROR(VALUE(TRIM(LEFT(I4446,FIND("minute",I4446)-1)))*60,0)+IFERROR(VALUE(SUBSTITUTE(MID(I4446,IFERROR(FIND("and",I4446)+3,1),20),"second(s)","")),0)</f>
        <v/>
      </c>
      <c r="K4446" s="41">
        <f>J4446/60</f>
        <v/>
      </c>
      <c r="L4446" s="41">
        <f>IFERROR(J4446/H4446,"")</f>
        <v/>
      </c>
      <c r="M4446" s="25" t="inlineStr">
        <is>
          <t>2.5.12</t>
        </is>
      </c>
      <c r="N4446" s="25">
        <f>IF(J4446&gt;300,1,0)</f>
        <v/>
      </c>
      <c r="O4446" s="25">
        <f>IF(J4446&gt;600,1,0)</f>
        <v/>
      </c>
      <c r="P4446" s="25">
        <f>IF(H4446&gt;0,J4446,"")</f>
        <v/>
      </c>
      <c r="Q4446" s="25">
        <f>TEXT(A4446,"YYYY-MM-DD HH")</f>
        <v/>
      </c>
      <c r="R4446" s="25">
        <f>COUNTIF($Q$2:$Q$5295,Q4446)</f>
        <v/>
      </c>
      <c r="S4446" s="25">
        <f>IF(R4446&lt;=2,"1-2",IF(R4446&lt;=5,"3-5",IF(R4446&lt;=10,"6-10","11+")))</f>
        <v/>
      </c>
    </row>
    <row r="4447">
      <c r="A4447" s="39" t="n">
        <v>46224.68872685185</v>
      </c>
      <c r="B4447" s="25">
        <f>TEXT(A4447,"YYYY-MM")</f>
        <v/>
      </c>
      <c r="C4447" s="25">
        <f>TEXT(A4447,"MMM-YYYY")</f>
        <v/>
      </c>
      <c r="D4447" s="40">
        <f>INT(A4447)-WEEKDAY(A4447,2)+1</f>
        <v/>
      </c>
      <c r="E4447" s="25" t="inlineStr">
        <is>
          <t>hsindwani</t>
        </is>
      </c>
      <c r="F4447" s="25" t="n">
        <v>129176</v>
      </c>
      <c r="G4447" s="25" t="n">
        <v>2</v>
      </c>
      <c r="H4447" s="25" t="n">
        <v>13</v>
      </c>
      <c r="I4447" s="25" t="inlineStr">
        <is>
          <t>1 minute(s) and 26 second(s)</t>
        </is>
      </c>
      <c r="J4447" s="25">
        <f>IFERROR(VALUE(TRIM(LEFT(I4447,FIND("minute",I4447)-1)))*60,0)+IFERROR(VALUE(SUBSTITUTE(MID(I4447,IFERROR(FIND("and",I4447)+3,1),20),"second(s)","")),0)</f>
        <v/>
      </c>
      <c r="K4447" s="41">
        <f>J4447/60</f>
        <v/>
      </c>
      <c r="L4447" s="41">
        <f>IFERROR(J4447/H4447,"")</f>
        <v/>
      </c>
      <c r="M4447" s="25" t="inlineStr">
        <is>
          <t>2.5.12</t>
        </is>
      </c>
      <c r="N4447" s="25">
        <f>IF(J4447&gt;300,1,0)</f>
        <v/>
      </c>
      <c r="O4447" s="25">
        <f>IF(J4447&gt;600,1,0)</f>
        <v/>
      </c>
      <c r="P4447" s="25">
        <f>IF(H4447&gt;0,J4447,"")</f>
        <v/>
      </c>
      <c r="Q4447" s="25">
        <f>TEXT(A4447,"YYYY-MM-DD HH")</f>
        <v/>
      </c>
      <c r="R4447" s="25">
        <f>COUNTIF($Q$2:$Q$5295,Q4447)</f>
        <v/>
      </c>
      <c r="S4447" s="25">
        <f>IF(R4447&lt;=2,"1-2",IF(R4447&lt;=5,"3-5",IF(R4447&lt;=10,"6-10","11+")))</f>
        <v/>
      </c>
    </row>
    <row r="4448">
      <c r="A4448" s="39" t="n">
        <v>46224.70012731481</v>
      </c>
      <c r="B4448" s="25">
        <f>TEXT(A4448,"YYYY-MM")</f>
        <v/>
      </c>
      <c r="C4448" s="25">
        <f>TEXT(A4448,"MMM-YYYY")</f>
        <v/>
      </c>
      <c r="D4448" s="40">
        <f>INT(A4448)-WEEKDAY(A4448,2)+1</f>
        <v/>
      </c>
      <c r="E4448" s="25" t="inlineStr">
        <is>
          <t>sswati</t>
        </is>
      </c>
      <c r="F4448" s="25" t="n">
        <v>130295</v>
      </c>
      <c r="G4448" s="25" t="n">
        <v>2</v>
      </c>
      <c r="H4448" s="25" t="n">
        <v>14</v>
      </c>
      <c r="I4448" s="25" t="inlineStr">
        <is>
          <t>3 minute(s) and 55 second(s)</t>
        </is>
      </c>
      <c r="J4448" s="25">
        <f>IFERROR(VALUE(TRIM(LEFT(I4448,FIND("minute",I4448)-1)))*60,0)+IFERROR(VALUE(SUBSTITUTE(MID(I4448,IFERROR(FIND("and",I4448)+3,1),20),"second(s)","")),0)</f>
        <v/>
      </c>
      <c r="K4448" s="41">
        <f>J4448/60</f>
        <v/>
      </c>
      <c r="L4448" s="41">
        <f>IFERROR(J4448/H4448,"")</f>
        <v/>
      </c>
      <c r="M4448" s="25" t="inlineStr">
        <is>
          <t>2.5.12</t>
        </is>
      </c>
      <c r="N4448" s="25">
        <f>IF(J4448&gt;300,1,0)</f>
        <v/>
      </c>
      <c r="O4448" s="25">
        <f>IF(J4448&gt;600,1,0)</f>
        <v/>
      </c>
      <c r="P4448" s="25">
        <f>IF(H4448&gt;0,J4448,"")</f>
        <v/>
      </c>
      <c r="Q4448" s="25">
        <f>TEXT(A4448,"YYYY-MM-DD HH")</f>
        <v/>
      </c>
      <c r="R4448" s="25">
        <f>COUNTIF($Q$2:$Q$5295,Q4448)</f>
        <v/>
      </c>
      <c r="S4448" s="25">
        <f>IF(R4448&lt;=2,"1-2",IF(R4448&lt;=5,"3-5",IF(R4448&lt;=10,"6-10","11+")))</f>
        <v/>
      </c>
    </row>
    <row r="4449">
      <c r="A4449" s="39" t="n">
        <v>46224.71424768519</v>
      </c>
      <c r="B4449" s="25">
        <f>TEXT(A4449,"YYYY-MM")</f>
        <v/>
      </c>
      <c r="C4449" s="25">
        <f>TEXT(A4449,"MMM-YYYY")</f>
        <v/>
      </c>
      <c r="D4449" s="40">
        <f>INT(A4449)-WEEKDAY(A4449,2)+1</f>
        <v/>
      </c>
      <c r="E4449" s="25" t="inlineStr">
        <is>
          <t>emishra</t>
        </is>
      </c>
      <c r="F4449" s="25" t="n">
        <v>130336</v>
      </c>
      <c r="G4449" s="25" t="n">
        <v>3</v>
      </c>
      <c r="H4449" s="25" t="n">
        <v>19</v>
      </c>
      <c r="I4449" s="25" t="inlineStr">
        <is>
          <t>1 minute(s) and 49 second(s)</t>
        </is>
      </c>
      <c r="J4449" s="25">
        <f>IFERROR(VALUE(TRIM(LEFT(I4449,FIND("minute",I4449)-1)))*60,0)+IFERROR(VALUE(SUBSTITUTE(MID(I4449,IFERROR(FIND("and",I4449)+3,1),20),"second(s)","")),0)</f>
        <v/>
      </c>
      <c r="K4449" s="41">
        <f>J4449/60</f>
        <v/>
      </c>
      <c r="L4449" s="41">
        <f>IFERROR(J4449/H4449,"")</f>
        <v/>
      </c>
      <c r="M4449" s="25" t="inlineStr">
        <is>
          <t>2.5.12</t>
        </is>
      </c>
      <c r="N4449" s="25">
        <f>IF(J4449&gt;300,1,0)</f>
        <v/>
      </c>
      <c r="O4449" s="25">
        <f>IF(J4449&gt;600,1,0)</f>
        <v/>
      </c>
      <c r="P4449" s="25">
        <f>IF(H4449&gt;0,J4449,"")</f>
        <v/>
      </c>
      <c r="Q4449" s="25">
        <f>TEXT(A4449,"YYYY-MM-DD HH")</f>
        <v/>
      </c>
      <c r="R4449" s="25">
        <f>COUNTIF($Q$2:$Q$5295,Q4449)</f>
        <v/>
      </c>
      <c r="S4449" s="25">
        <f>IF(R4449&lt;=2,"1-2",IF(R4449&lt;=5,"3-5",IF(R4449&lt;=10,"6-10","11+")))</f>
        <v/>
      </c>
    </row>
    <row r="4450">
      <c r="A4450" s="39" t="n">
        <v>46224.7702199074</v>
      </c>
      <c r="B4450" s="25">
        <f>TEXT(A4450,"YYYY-MM")</f>
        <v/>
      </c>
      <c r="C4450" s="25">
        <f>TEXT(A4450,"MMM-YYYY")</f>
        <v/>
      </c>
      <c r="D4450" s="40">
        <f>INT(A4450)-WEEKDAY(A4450,2)+1</f>
        <v/>
      </c>
      <c r="E4450" s="25" t="inlineStr">
        <is>
          <t>emishra</t>
        </is>
      </c>
      <c r="F4450" s="25" t="n">
        <v>130328</v>
      </c>
      <c r="G4450" s="25" t="n">
        <v>3</v>
      </c>
      <c r="H4450" s="25" t="n">
        <v>21</v>
      </c>
      <c r="I4450" s="25" t="inlineStr">
        <is>
          <t>2 minute(s) and 49 second(s)</t>
        </is>
      </c>
      <c r="J4450" s="25">
        <f>IFERROR(VALUE(TRIM(LEFT(I4450,FIND("minute",I4450)-1)))*60,0)+IFERROR(VALUE(SUBSTITUTE(MID(I4450,IFERROR(FIND("and",I4450)+3,1),20),"second(s)","")),0)</f>
        <v/>
      </c>
      <c r="K4450" s="41">
        <f>J4450/60</f>
        <v/>
      </c>
      <c r="L4450" s="41">
        <f>IFERROR(J4450/H4450,"")</f>
        <v/>
      </c>
      <c r="M4450" s="25" t="inlineStr">
        <is>
          <t>2.5.12</t>
        </is>
      </c>
      <c r="N4450" s="25">
        <f>IF(J4450&gt;300,1,0)</f>
        <v/>
      </c>
      <c r="O4450" s="25">
        <f>IF(J4450&gt;600,1,0)</f>
        <v/>
      </c>
      <c r="P4450" s="25">
        <f>IF(H4450&gt;0,J4450,"")</f>
        <v/>
      </c>
      <c r="Q4450" s="25">
        <f>TEXT(A4450,"YYYY-MM-DD HH")</f>
        <v/>
      </c>
      <c r="R4450" s="25">
        <f>COUNTIF($Q$2:$Q$5295,Q4450)</f>
        <v/>
      </c>
      <c r="S4450" s="25">
        <f>IF(R4450&lt;=2,"1-2",IF(R4450&lt;=5,"3-5",IF(R4450&lt;=10,"6-10","11+")))</f>
        <v/>
      </c>
    </row>
    <row r="4451">
      <c r="A4451" s="39" t="n">
        <v>46224.80265046296</v>
      </c>
      <c r="B4451" s="25">
        <f>TEXT(A4451,"YYYY-MM")</f>
        <v/>
      </c>
      <c r="C4451" s="25">
        <f>TEXT(A4451,"MMM-YYYY")</f>
        <v/>
      </c>
      <c r="D4451" s="40">
        <f>INT(A4451)-WEEKDAY(A4451,2)+1</f>
        <v/>
      </c>
      <c r="E4451" s="25" t="inlineStr">
        <is>
          <t>hsindwani</t>
        </is>
      </c>
      <c r="F4451" s="25" t="n">
        <v>130607</v>
      </c>
      <c r="G4451" s="25" t="n">
        <v>1</v>
      </c>
      <c r="H4451" s="25" t="n">
        <v>7</v>
      </c>
      <c r="I4451" s="25" t="inlineStr">
        <is>
          <t>57 second(s)</t>
        </is>
      </c>
      <c r="J4451" s="25">
        <f>IFERROR(VALUE(TRIM(LEFT(I4451,FIND("minute",I4451)-1)))*60,0)+IFERROR(VALUE(SUBSTITUTE(MID(I4451,IFERROR(FIND("and",I4451)+3,1),20),"second(s)","")),0)</f>
        <v/>
      </c>
      <c r="K4451" s="41">
        <f>J4451/60</f>
        <v/>
      </c>
      <c r="L4451" s="41">
        <f>IFERROR(J4451/H4451,"")</f>
        <v/>
      </c>
      <c r="M4451" s="25" t="inlineStr">
        <is>
          <t>2.5.12</t>
        </is>
      </c>
      <c r="N4451" s="25">
        <f>IF(J4451&gt;300,1,0)</f>
        <v/>
      </c>
      <c r="O4451" s="25">
        <f>IF(J4451&gt;600,1,0)</f>
        <v/>
      </c>
      <c r="P4451" s="25">
        <f>IF(H4451&gt;0,J4451,"")</f>
        <v/>
      </c>
      <c r="Q4451" s="25">
        <f>TEXT(A4451,"YYYY-MM-DD HH")</f>
        <v/>
      </c>
      <c r="R4451" s="25">
        <f>COUNTIF($Q$2:$Q$5295,Q4451)</f>
        <v/>
      </c>
      <c r="S4451" s="25">
        <f>IF(R4451&lt;=2,"1-2",IF(R4451&lt;=5,"3-5",IF(R4451&lt;=10,"6-10","11+")))</f>
        <v/>
      </c>
    </row>
    <row r="4452">
      <c r="A4452" s="39" t="n">
        <v>46224.90133101852</v>
      </c>
      <c r="B4452" s="25">
        <f>TEXT(A4452,"YYYY-MM")</f>
        <v/>
      </c>
      <c r="C4452" s="25">
        <f>TEXT(A4452,"MMM-YYYY")</f>
        <v/>
      </c>
      <c r="D4452" s="40">
        <f>INT(A4452)-WEEKDAY(A4452,2)+1</f>
        <v/>
      </c>
      <c r="E4452" s="25" t="inlineStr">
        <is>
          <t>dchoudhury</t>
        </is>
      </c>
      <c r="F4452" s="25" t="n">
        <v>131358</v>
      </c>
      <c r="G4452" s="25" t="n">
        <v>4</v>
      </c>
      <c r="H4452" s="25" t="n">
        <v>20</v>
      </c>
      <c r="I4452" s="25" t="inlineStr">
        <is>
          <t>1 minute(s) and 47 second(s)</t>
        </is>
      </c>
      <c r="J4452" s="25">
        <f>IFERROR(VALUE(TRIM(LEFT(I4452,FIND("minute",I4452)-1)))*60,0)+IFERROR(VALUE(SUBSTITUTE(MID(I4452,IFERROR(FIND("and",I4452)+3,1),20),"second(s)","")),0)</f>
        <v/>
      </c>
      <c r="K4452" s="41">
        <f>J4452/60</f>
        <v/>
      </c>
      <c r="L4452" s="41">
        <f>IFERROR(J4452/H4452,"")</f>
        <v/>
      </c>
      <c r="M4452" s="25" t="inlineStr">
        <is>
          <t>2.5.12</t>
        </is>
      </c>
      <c r="N4452" s="25">
        <f>IF(J4452&gt;300,1,0)</f>
        <v/>
      </c>
      <c r="O4452" s="25">
        <f>IF(J4452&gt;600,1,0)</f>
        <v/>
      </c>
      <c r="P4452" s="25">
        <f>IF(H4452&gt;0,J4452,"")</f>
        <v/>
      </c>
      <c r="Q4452" s="25">
        <f>TEXT(A4452,"YYYY-MM-DD HH")</f>
        <v/>
      </c>
      <c r="R4452" s="25">
        <f>COUNTIF($Q$2:$Q$5295,Q4452)</f>
        <v/>
      </c>
      <c r="S4452" s="25">
        <f>IF(R4452&lt;=2,"1-2",IF(R4452&lt;=5,"3-5",IF(R4452&lt;=10,"6-10","11+")))</f>
        <v/>
      </c>
    </row>
    <row r="4453">
      <c r="A4453" s="39" t="n">
        <v>46224.945</v>
      </c>
      <c r="B4453" s="25">
        <f>TEXT(A4453,"YYYY-MM")</f>
        <v/>
      </c>
      <c r="C4453" s="25">
        <f>TEXT(A4453,"MMM-YYYY")</f>
        <v/>
      </c>
      <c r="D4453" s="40">
        <f>INT(A4453)-WEEKDAY(A4453,2)+1</f>
        <v/>
      </c>
      <c r="E4453" s="25" t="inlineStr">
        <is>
          <t>panullekha</t>
        </is>
      </c>
      <c r="F4453" s="25" t="n">
        <v>128928</v>
      </c>
      <c r="G4453" s="25" t="n">
        <v>1</v>
      </c>
      <c r="H4453" s="25" t="n">
        <v>5</v>
      </c>
      <c r="I4453" s="25" t="inlineStr">
        <is>
          <t>29 second(s)</t>
        </is>
      </c>
      <c r="J4453" s="25">
        <f>IFERROR(VALUE(TRIM(LEFT(I4453,FIND("minute",I4453)-1)))*60,0)+IFERROR(VALUE(SUBSTITUTE(MID(I4453,IFERROR(FIND("and",I4453)+3,1),20),"second(s)","")),0)</f>
        <v/>
      </c>
      <c r="K4453" s="41">
        <f>J4453/60</f>
        <v/>
      </c>
      <c r="L4453" s="41">
        <f>IFERROR(J4453/H4453,"")</f>
        <v/>
      </c>
      <c r="M4453" s="25" t="inlineStr">
        <is>
          <t>2.5.12</t>
        </is>
      </c>
      <c r="N4453" s="25">
        <f>IF(J4453&gt;300,1,0)</f>
        <v/>
      </c>
      <c r="O4453" s="25">
        <f>IF(J4453&gt;600,1,0)</f>
        <v/>
      </c>
      <c r="P4453" s="25">
        <f>IF(H4453&gt;0,J4453,"")</f>
        <v/>
      </c>
      <c r="Q4453" s="25">
        <f>TEXT(A4453,"YYYY-MM-DD HH")</f>
        <v/>
      </c>
      <c r="R4453" s="25">
        <f>COUNTIF($Q$2:$Q$5295,Q4453)</f>
        <v/>
      </c>
      <c r="S4453" s="25">
        <f>IF(R4453&lt;=2,"1-2",IF(R4453&lt;=5,"3-5",IF(R4453&lt;=10,"6-10","11+")))</f>
        <v/>
      </c>
    </row>
    <row r="4454">
      <c r="A4454" s="39" t="n">
        <v>46225.00179398148</v>
      </c>
      <c r="B4454" s="25">
        <f>TEXT(A4454,"YYYY-MM")</f>
        <v/>
      </c>
      <c r="C4454" s="25">
        <f>TEXT(A4454,"MMM-YYYY")</f>
        <v/>
      </c>
      <c r="D4454" s="40">
        <f>INT(A4454)-WEEKDAY(A4454,2)+1</f>
        <v/>
      </c>
      <c r="E4454" s="25" t="inlineStr">
        <is>
          <t>sasharma</t>
        </is>
      </c>
      <c r="F4454" s="25" t="n">
        <v>130022</v>
      </c>
      <c r="G4454" s="25" t="n">
        <v>5</v>
      </c>
      <c r="H4454" s="25" t="n">
        <v>30</v>
      </c>
      <c r="I4454" s="25" t="inlineStr">
        <is>
          <t>2 minute(s) and 58 second(s)</t>
        </is>
      </c>
      <c r="J4454" s="25">
        <f>IFERROR(VALUE(TRIM(LEFT(I4454,FIND("minute",I4454)-1)))*60,0)+IFERROR(VALUE(SUBSTITUTE(MID(I4454,IFERROR(FIND("and",I4454)+3,1),20),"second(s)","")),0)</f>
        <v/>
      </c>
      <c r="K4454" s="41">
        <f>J4454/60</f>
        <v/>
      </c>
      <c r="L4454" s="41">
        <f>IFERROR(J4454/H4454,"")</f>
        <v/>
      </c>
      <c r="M4454" s="25" t="inlineStr">
        <is>
          <t>2.5.12</t>
        </is>
      </c>
      <c r="N4454" s="25">
        <f>IF(J4454&gt;300,1,0)</f>
        <v/>
      </c>
      <c r="O4454" s="25">
        <f>IF(J4454&gt;600,1,0)</f>
        <v/>
      </c>
      <c r="P4454" s="25">
        <f>IF(H4454&gt;0,J4454,"")</f>
        <v/>
      </c>
      <c r="Q4454" s="25">
        <f>TEXT(A4454,"YYYY-MM-DD HH")</f>
        <v/>
      </c>
      <c r="R4454" s="25">
        <f>COUNTIF($Q$2:$Q$5295,Q4454)</f>
        <v/>
      </c>
      <c r="S4454" s="25">
        <f>IF(R4454&lt;=2,"1-2",IF(R4454&lt;=5,"3-5",IF(R4454&lt;=10,"6-10","11+")))</f>
        <v/>
      </c>
    </row>
    <row r="4455">
      <c r="A4455" s="39" t="n">
        <v>46225.04053240741</v>
      </c>
      <c r="B4455" s="25">
        <f>TEXT(A4455,"YYYY-MM")</f>
        <v/>
      </c>
      <c r="C4455" s="25">
        <f>TEXT(A4455,"MMM-YYYY")</f>
        <v/>
      </c>
      <c r="D4455" s="40">
        <f>INT(A4455)-WEEKDAY(A4455,2)+1</f>
        <v/>
      </c>
      <c r="E4455" s="25" t="inlineStr">
        <is>
          <t>bverma</t>
        </is>
      </c>
      <c r="F4455" s="25" t="n">
        <v>131591</v>
      </c>
      <c r="G4455" s="25" t="n">
        <v>3</v>
      </c>
      <c r="H4455" s="25" t="n">
        <v>19</v>
      </c>
      <c r="I4455" s="25" t="inlineStr">
        <is>
          <t>2 minute(s) and 2 second(s)</t>
        </is>
      </c>
      <c r="J4455" s="25">
        <f>IFERROR(VALUE(TRIM(LEFT(I4455,FIND("minute",I4455)-1)))*60,0)+IFERROR(VALUE(SUBSTITUTE(MID(I4455,IFERROR(FIND("and",I4455)+3,1),20),"second(s)","")),0)</f>
        <v/>
      </c>
      <c r="K4455" s="41">
        <f>J4455/60</f>
        <v/>
      </c>
      <c r="L4455" s="41">
        <f>IFERROR(J4455/H4455,"")</f>
        <v/>
      </c>
      <c r="M4455" s="25" t="inlineStr">
        <is>
          <t>2.5.12</t>
        </is>
      </c>
      <c r="N4455" s="25">
        <f>IF(J4455&gt;300,1,0)</f>
        <v/>
      </c>
      <c r="O4455" s="25">
        <f>IF(J4455&gt;600,1,0)</f>
        <v/>
      </c>
      <c r="P4455" s="25">
        <f>IF(H4455&gt;0,J4455,"")</f>
        <v/>
      </c>
      <c r="Q4455" s="25">
        <f>TEXT(A4455,"YYYY-MM-DD HH")</f>
        <v/>
      </c>
      <c r="R4455" s="25">
        <f>COUNTIF($Q$2:$Q$5295,Q4455)</f>
        <v/>
      </c>
      <c r="S4455" s="25">
        <f>IF(R4455&lt;=2,"1-2",IF(R4455&lt;=5,"3-5",IF(R4455&lt;=10,"6-10","11+")))</f>
        <v/>
      </c>
    </row>
    <row r="4456">
      <c r="A4456" s="39" t="n">
        <v>46225.04403935185</v>
      </c>
      <c r="B4456" s="25">
        <f>TEXT(A4456,"YYYY-MM")</f>
        <v/>
      </c>
      <c r="C4456" s="25">
        <f>TEXT(A4456,"MMM-YYYY")</f>
        <v/>
      </c>
      <c r="D4456" s="40">
        <f>INT(A4456)-WEEKDAY(A4456,2)+1</f>
        <v/>
      </c>
      <c r="E4456" s="25" t="inlineStr">
        <is>
          <t>shassan</t>
        </is>
      </c>
      <c r="F4456" s="25" t="n">
        <v>130622</v>
      </c>
      <c r="G4456" s="25" t="n">
        <v>2</v>
      </c>
      <c r="H4456" s="25" t="n">
        <v>10</v>
      </c>
      <c r="I4456" s="25" t="inlineStr">
        <is>
          <t>1 minute(s) and 20 second(s)</t>
        </is>
      </c>
      <c r="J4456" s="25">
        <f>IFERROR(VALUE(TRIM(LEFT(I4456,FIND("minute",I4456)-1)))*60,0)+IFERROR(VALUE(SUBSTITUTE(MID(I4456,IFERROR(FIND("and",I4456)+3,1),20),"second(s)","")),0)</f>
        <v/>
      </c>
      <c r="K4456" s="41">
        <f>J4456/60</f>
        <v/>
      </c>
      <c r="L4456" s="41">
        <f>IFERROR(J4456/H4456,"")</f>
        <v/>
      </c>
      <c r="M4456" s="25" t="inlineStr">
        <is>
          <t>2.5.12</t>
        </is>
      </c>
      <c r="N4456" s="25">
        <f>IF(J4456&gt;300,1,0)</f>
        <v/>
      </c>
      <c r="O4456" s="25">
        <f>IF(J4456&gt;600,1,0)</f>
        <v/>
      </c>
      <c r="P4456" s="25">
        <f>IF(H4456&gt;0,J4456,"")</f>
        <v/>
      </c>
      <c r="Q4456" s="25">
        <f>TEXT(A4456,"YYYY-MM-DD HH")</f>
        <v/>
      </c>
      <c r="R4456" s="25">
        <f>COUNTIF($Q$2:$Q$5295,Q4456)</f>
        <v/>
      </c>
      <c r="S4456" s="25">
        <f>IF(R4456&lt;=2,"1-2",IF(R4456&lt;=5,"3-5",IF(R4456&lt;=10,"6-10","11+")))</f>
        <v/>
      </c>
    </row>
    <row r="4457">
      <c r="A4457" s="39" t="n">
        <v>46225.06927083333</v>
      </c>
      <c r="B4457" s="25">
        <f>TEXT(A4457,"YYYY-MM")</f>
        <v/>
      </c>
      <c r="C4457" s="25">
        <f>TEXT(A4457,"MMM-YYYY")</f>
        <v/>
      </c>
      <c r="D4457" s="40">
        <f>INT(A4457)-WEEKDAY(A4457,2)+1</f>
        <v/>
      </c>
      <c r="E4457" s="25" t="inlineStr">
        <is>
          <t>aupadhayay</t>
        </is>
      </c>
      <c r="F4457" s="25" t="n">
        <v>131088</v>
      </c>
      <c r="G4457" s="25" t="n">
        <v>4</v>
      </c>
      <c r="H4457" s="25" t="n">
        <v>20</v>
      </c>
      <c r="I4457" s="25" t="inlineStr">
        <is>
          <t>3 minute(s) and 1 second(s)</t>
        </is>
      </c>
      <c r="J4457" s="25">
        <f>IFERROR(VALUE(TRIM(LEFT(I4457,FIND("minute",I4457)-1)))*60,0)+IFERROR(VALUE(SUBSTITUTE(MID(I4457,IFERROR(FIND("and",I4457)+3,1),20),"second(s)","")),0)</f>
        <v/>
      </c>
      <c r="K4457" s="41">
        <f>J4457/60</f>
        <v/>
      </c>
      <c r="L4457" s="41">
        <f>IFERROR(J4457/H4457,"")</f>
        <v/>
      </c>
      <c r="M4457" s="25" t="inlineStr">
        <is>
          <t>2.5.12</t>
        </is>
      </c>
      <c r="N4457" s="25">
        <f>IF(J4457&gt;300,1,0)</f>
        <v/>
      </c>
      <c r="O4457" s="25">
        <f>IF(J4457&gt;600,1,0)</f>
        <v/>
      </c>
      <c r="P4457" s="25">
        <f>IF(H4457&gt;0,J4457,"")</f>
        <v/>
      </c>
      <c r="Q4457" s="25">
        <f>TEXT(A4457,"YYYY-MM-DD HH")</f>
        <v/>
      </c>
      <c r="R4457" s="25">
        <f>COUNTIF($Q$2:$Q$5295,Q4457)</f>
        <v/>
      </c>
      <c r="S4457" s="25">
        <f>IF(R4457&lt;=2,"1-2",IF(R4457&lt;=5,"3-5",IF(R4457&lt;=10,"6-10","11+")))</f>
        <v/>
      </c>
    </row>
    <row r="4458">
      <c r="A4458" s="39" t="n">
        <v>46225.07011574074</v>
      </c>
      <c r="B4458" s="25">
        <f>TEXT(A4458,"YYYY-MM")</f>
        <v/>
      </c>
      <c r="C4458" s="25">
        <f>TEXT(A4458,"MMM-YYYY")</f>
        <v/>
      </c>
      <c r="D4458" s="40">
        <f>INT(A4458)-WEEKDAY(A4458,2)+1</f>
        <v/>
      </c>
      <c r="E4458" s="25" t="inlineStr">
        <is>
          <t>shassan</t>
        </is>
      </c>
      <c r="F4458" s="25" t="n">
        <v>130606</v>
      </c>
      <c r="G4458" s="25" t="n">
        <v>1</v>
      </c>
      <c r="H4458" s="25" t="n">
        <v>5</v>
      </c>
      <c r="I4458" s="25" t="inlineStr">
        <is>
          <t>25 second(s)</t>
        </is>
      </c>
      <c r="J4458" s="25">
        <f>IFERROR(VALUE(TRIM(LEFT(I4458,FIND("minute",I4458)-1)))*60,0)+IFERROR(VALUE(SUBSTITUTE(MID(I4458,IFERROR(FIND("and",I4458)+3,1),20),"second(s)","")),0)</f>
        <v/>
      </c>
      <c r="K4458" s="41">
        <f>J4458/60</f>
        <v/>
      </c>
      <c r="L4458" s="41">
        <f>IFERROR(J4458/H4458,"")</f>
        <v/>
      </c>
      <c r="M4458" s="25" t="inlineStr">
        <is>
          <t>2.5.12</t>
        </is>
      </c>
      <c r="N4458" s="25">
        <f>IF(J4458&gt;300,1,0)</f>
        <v/>
      </c>
      <c r="O4458" s="25">
        <f>IF(J4458&gt;600,1,0)</f>
        <v/>
      </c>
      <c r="P4458" s="25">
        <f>IF(H4458&gt;0,J4458,"")</f>
        <v/>
      </c>
      <c r="Q4458" s="25">
        <f>TEXT(A4458,"YYYY-MM-DD HH")</f>
        <v/>
      </c>
      <c r="R4458" s="25">
        <f>COUNTIF($Q$2:$Q$5295,Q4458)</f>
        <v/>
      </c>
      <c r="S4458" s="25">
        <f>IF(R4458&lt;=2,"1-2",IF(R4458&lt;=5,"3-5",IF(R4458&lt;=10,"6-10","11+")))</f>
        <v/>
      </c>
    </row>
    <row r="4459">
      <c r="A4459" s="39" t="n">
        <v>46225.12025462963</v>
      </c>
      <c r="B4459" s="25">
        <f>TEXT(A4459,"YYYY-MM")</f>
        <v/>
      </c>
      <c r="C4459" s="25">
        <f>TEXT(A4459,"MMM-YYYY")</f>
        <v/>
      </c>
      <c r="D4459" s="40">
        <f>INT(A4459)-WEEKDAY(A4459,2)+1</f>
        <v/>
      </c>
      <c r="E4459" s="25" t="inlineStr">
        <is>
          <t>aupadhayay</t>
        </is>
      </c>
      <c r="F4459" s="25" t="n">
        <v>131072</v>
      </c>
      <c r="G4459" s="25" t="n">
        <v>2</v>
      </c>
      <c r="H4459" s="25" t="n">
        <v>10</v>
      </c>
      <c r="I4459" s="25" t="inlineStr">
        <is>
          <t>2 minute(s) and 4 second(s)</t>
        </is>
      </c>
      <c r="J4459" s="25">
        <f>IFERROR(VALUE(TRIM(LEFT(I4459,FIND("minute",I4459)-1)))*60,0)+IFERROR(VALUE(SUBSTITUTE(MID(I4459,IFERROR(FIND("and",I4459)+3,1),20),"second(s)","")),0)</f>
        <v/>
      </c>
      <c r="K4459" s="41">
        <f>J4459/60</f>
        <v/>
      </c>
      <c r="L4459" s="41">
        <f>IFERROR(J4459/H4459,"")</f>
        <v/>
      </c>
      <c r="M4459" s="25" t="inlineStr">
        <is>
          <t>2.5.12</t>
        </is>
      </c>
      <c r="N4459" s="25">
        <f>IF(J4459&gt;300,1,0)</f>
        <v/>
      </c>
      <c r="O4459" s="25">
        <f>IF(J4459&gt;600,1,0)</f>
        <v/>
      </c>
      <c r="P4459" s="25">
        <f>IF(H4459&gt;0,J4459,"")</f>
        <v/>
      </c>
      <c r="Q4459" s="25">
        <f>TEXT(A4459,"YYYY-MM-DD HH")</f>
        <v/>
      </c>
      <c r="R4459" s="25">
        <f>COUNTIF($Q$2:$Q$5295,Q4459)</f>
        <v/>
      </c>
      <c r="S4459" s="25">
        <f>IF(R4459&lt;=2,"1-2",IF(R4459&lt;=5,"3-5",IF(R4459&lt;=10,"6-10","11+")))</f>
        <v/>
      </c>
    </row>
    <row r="4460">
      <c r="A4460" s="39" t="n">
        <v>46225.1212037037</v>
      </c>
      <c r="B4460" s="25">
        <f>TEXT(A4460,"YYYY-MM")</f>
        <v/>
      </c>
      <c r="C4460" s="25">
        <f>TEXT(A4460,"MMM-YYYY")</f>
        <v/>
      </c>
      <c r="D4460" s="40">
        <f>INT(A4460)-WEEKDAY(A4460,2)+1</f>
        <v/>
      </c>
      <c r="E4460" s="25" t="inlineStr">
        <is>
          <t>shassan</t>
        </is>
      </c>
      <c r="F4460" s="25" t="n">
        <v>130566</v>
      </c>
      <c r="G4460" s="25" t="n">
        <v>2</v>
      </c>
      <c r="H4460" s="25" t="n">
        <v>6</v>
      </c>
      <c r="I4460" s="25" t="inlineStr">
        <is>
          <t>36 second(s)</t>
        </is>
      </c>
      <c r="J4460" s="25">
        <f>IFERROR(VALUE(TRIM(LEFT(I4460,FIND("minute",I4460)-1)))*60,0)+IFERROR(VALUE(SUBSTITUTE(MID(I4460,IFERROR(FIND("and",I4460)+3,1),20),"second(s)","")),0)</f>
        <v/>
      </c>
      <c r="K4460" s="41">
        <f>J4460/60</f>
        <v/>
      </c>
      <c r="L4460" s="41">
        <f>IFERROR(J4460/H4460,"")</f>
        <v/>
      </c>
      <c r="M4460" s="25" t="inlineStr">
        <is>
          <t>2.5.12</t>
        </is>
      </c>
      <c r="N4460" s="25">
        <f>IF(J4460&gt;300,1,0)</f>
        <v/>
      </c>
      <c r="O4460" s="25">
        <f>IF(J4460&gt;600,1,0)</f>
        <v/>
      </c>
      <c r="P4460" s="25">
        <f>IF(H4460&gt;0,J4460,"")</f>
        <v/>
      </c>
      <c r="Q4460" s="25">
        <f>TEXT(A4460,"YYYY-MM-DD HH")</f>
        <v/>
      </c>
      <c r="R4460" s="25">
        <f>COUNTIF($Q$2:$Q$5295,Q4460)</f>
        <v/>
      </c>
      <c r="S4460" s="25">
        <f>IF(R4460&lt;=2,"1-2",IF(R4460&lt;=5,"3-5",IF(R4460&lt;=10,"6-10","11+")))</f>
        <v/>
      </c>
    </row>
    <row r="4461">
      <c r="A4461" s="39" t="n">
        <v>46225.12199074074</v>
      </c>
      <c r="B4461" s="25">
        <f>TEXT(A4461,"YYYY-MM")</f>
        <v/>
      </c>
      <c r="C4461" s="25">
        <f>TEXT(A4461,"MMM-YYYY")</f>
        <v/>
      </c>
      <c r="D4461" s="40">
        <f>INT(A4461)-WEEKDAY(A4461,2)+1</f>
        <v/>
      </c>
      <c r="E4461" s="25" t="inlineStr">
        <is>
          <t>ssneha</t>
        </is>
      </c>
      <c r="F4461" s="25" t="n">
        <v>130191</v>
      </c>
      <c r="G4461" s="25" t="n">
        <v>4</v>
      </c>
      <c r="H4461" s="25" t="n">
        <v>14</v>
      </c>
      <c r="I4461" s="25" t="inlineStr">
        <is>
          <t>1 minute(s) and 56 second(s)</t>
        </is>
      </c>
      <c r="J4461" s="25">
        <f>IFERROR(VALUE(TRIM(LEFT(I4461,FIND("minute",I4461)-1)))*60,0)+IFERROR(VALUE(SUBSTITUTE(MID(I4461,IFERROR(FIND("and",I4461)+3,1),20),"second(s)","")),0)</f>
        <v/>
      </c>
      <c r="K4461" s="41">
        <f>J4461/60</f>
        <v/>
      </c>
      <c r="L4461" s="41">
        <f>IFERROR(J4461/H4461,"")</f>
        <v/>
      </c>
      <c r="M4461" s="25" t="inlineStr">
        <is>
          <t>2.5.12</t>
        </is>
      </c>
      <c r="N4461" s="25">
        <f>IF(J4461&gt;300,1,0)</f>
        <v/>
      </c>
      <c r="O4461" s="25">
        <f>IF(J4461&gt;600,1,0)</f>
        <v/>
      </c>
      <c r="P4461" s="25">
        <f>IF(H4461&gt;0,J4461,"")</f>
        <v/>
      </c>
      <c r="Q4461" s="25">
        <f>TEXT(A4461,"YYYY-MM-DD HH")</f>
        <v/>
      </c>
      <c r="R4461" s="25">
        <f>COUNTIF($Q$2:$Q$5295,Q4461)</f>
        <v/>
      </c>
      <c r="S4461" s="25">
        <f>IF(R4461&lt;=2,"1-2",IF(R4461&lt;=5,"3-5",IF(R4461&lt;=10,"6-10","11+")))</f>
        <v/>
      </c>
    </row>
    <row r="4462">
      <c r="A4462" s="39" t="n">
        <v>46225.13291666667</v>
      </c>
      <c r="B4462" s="25">
        <f>TEXT(A4462,"YYYY-MM")</f>
        <v/>
      </c>
      <c r="C4462" s="25">
        <f>TEXT(A4462,"MMM-YYYY")</f>
        <v/>
      </c>
      <c r="D4462" s="40">
        <f>INT(A4462)-WEEKDAY(A4462,2)+1</f>
        <v/>
      </c>
      <c r="E4462" s="25" t="inlineStr">
        <is>
          <t>bverma</t>
        </is>
      </c>
      <c r="F4462" s="25" t="n">
        <v>131519</v>
      </c>
      <c r="G4462" s="25" t="n">
        <v>4</v>
      </c>
      <c r="H4462" s="25" t="n">
        <v>29</v>
      </c>
      <c r="I4462" s="25" t="inlineStr">
        <is>
          <t>3 minute(s) and 28 second(s)</t>
        </is>
      </c>
      <c r="J4462" s="25">
        <f>IFERROR(VALUE(TRIM(LEFT(I4462,FIND("minute",I4462)-1)))*60,0)+IFERROR(VALUE(SUBSTITUTE(MID(I4462,IFERROR(FIND("and",I4462)+3,1),20),"second(s)","")),0)</f>
        <v/>
      </c>
      <c r="K4462" s="41">
        <f>J4462/60</f>
        <v/>
      </c>
      <c r="L4462" s="41">
        <f>IFERROR(J4462/H4462,"")</f>
        <v/>
      </c>
      <c r="M4462" s="25" t="inlineStr">
        <is>
          <t>2.5.12</t>
        </is>
      </c>
      <c r="N4462" s="25">
        <f>IF(J4462&gt;300,1,0)</f>
        <v/>
      </c>
      <c r="O4462" s="25">
        <f>IF(J4462&gt;600,1,0)</f>
        <v/>
      </c>
      <c r="P4462" s="25">
        <f>IF(H4462&gt;0,J4462,"")</f>
        <v/>
      </c>
      <c r="Q4462" s="25">
        <f>TEXT(A4462,"YYYY-MM-DD HH")</f>
        <v/>
      </c>
      <c r="R4462" s="25">
        <f>COUNTIF($Q$2:$Q$5295,Q4462)</f>
        <v/>
      </c>
      <c r="S4462" s="25">
        <f>IF(R4462&lt;=2,"1-2",IF(R4462&lt;=5,"3-5",IF(R4462&lt;=10,"6-10","11+")))</f>
        <v/>
      </c>
    </row>
    <row r="4463">
      <c r="A4463" s="39" t="n">
        <v>46225.1358912037</v>
      </c>
      <c r="B4463" s="25">
        <f>TEXT(A4463,"YYYY-MM")</f>
        <v/>
      </c>
      <c r="C4463" s="25">
        <f>TEXT(A4463,"MMM-YYYY")</f>
        <v/>
      </c>
      <c r="D4463" s="40">
        <f>INT(A4463)-WEEKDAY(A4463,2)+1</f>
        <v/>
      </c>
      <c r="E4463" s="25" t="inlineStr">
        <is>
          <t>asahoo</t>
        </is>
      </c>
      <c r="F4463" s="25" t="n">
        <v>132351</v>
      </c>
      <c r="G4463" s="25" t="n">
        <v>4</v>
      </c>
      <c r="H4463" s="25" t="n">
        <v>21</v>
      </c>
      <c r="I4463" s="25" t="inlineStr">
        <is>
          <t>3 minute(s) and 16 second(s)</t>
        </is>
      </c>
      <c r="J4463" s="25">
        <f>IFERROR(VALUE(TRIM(LEFT(I4463,FIND("minute",I4463)-1)))*60,0)+IFERROR(VALUE(SUBSTITUTE(MID(I4463,IFERROR(FIND("and",I4463)+3,1),20),"second(s)","")),0)</f>
        <v/>
      </c>
      <c r="K4463" s="41">
        <f>J4463/60</f>
        <v/>
      </c>
      <c r="L4463" s="41">
        <f>IFERROR(J4463/H4463,"")</f>
        <v/>
      </c>
      <c r="M4463" s="25" t="inlineStr">
        <is>
          <t>2.5.12</t>
        </is>
      </c>
      <c r="N4463" s="25">
        <f>IF(J4463&gt;300,1,0)</f>
        <v/>
      </c>
      <c r="O4463" s="25">
        <f>IF(J4463&gt;600,1,0)</f>
        <v/>
      </c>
      <c r="P4463" s="25">
        <f>IF(H4463&gt;0,J4463,"")</f>
        <v/>
      </c>
      <c r="Q4463" s="25">
        <f>TEXT(A4463,"YYYY-MM-DD HH")</f>
        <v/>
      </c>
      <c r="R4463" s="25">
        <f>COUNTIF($Q$2:$Q$5295,Q4463)</f>
        <v/>
      </c>
      <c r="S4463" s="25">
        <f>IF(R4463&lt;=2,"1-2",IF(R4463&lt;=5,"3-5",IF(R4463&lt;=10,"6-10","11+")))</f>
        <v/>
      </c>
    </row>
    <row r="4464">
      <c r="A4464" s="39" t="n">
        <v>46225.13899305555</v>
      </c>
      <c r="B4464" s="25">
        <f>TEXT(A4464,"YYYY-MM")</f>
        <v/>
      </c>
      <c r="C4464" s="25">
        <f>TEXT(A4464,"MMM-YYYY")</f>
        <v/>
      </c>
      <c r="D4464" s="40">
        <f>INT(A4464)-WEEKDAY(A4464,2)+1</f>
        <v/>
      </c>
      <c r="E4464" s="25" t="inlineStr">
        <is>
          <t>ns</t>
        </is>
      </c>
      <c r="F4464" s="25" t="n">
        <v>131079</v>
      </c>
      <c r="G4464" s="25" t="n">
        <v>2</v>
      </c>
      <c r="H4464" s="25" t="n">
        <v>10</v>
      </c>
      <c r="I4464" s="25" t="inlineStr">
        <is>
          <t>1 minute(s) and 8 second(s)</t>
        </is>
      </c>
      <c r="J4464" s="25">
        <f>IFERROR(VALUE(TRIM(LEFT(I4464,FIND("minute",I4464)-1)))*60,0)+IFERROR(VALUE(SUBSTITUTE(MID(I4464,IFERROR(FIND("and",I4464)+3,1),20),"second(s)","")),0)</f>
        <v/>
      </c>
      <c r="K4464" s="41">
        <f>J4464/60</f>
        <v/>
      </c>
      <c r="L4464" s="41">
        <f>IFERROR(J4464/H4464,"")</f>
        <v/>
      </c>
      <c r="M4464" s="25" t="inlineStr">
        <is>
          <t>2.5.12</t>
        </is>
      </c>
      <c r="N4464" s="25">
        <f>IF(J4464&gt;300,1,0)</f>
        <v/>
      </c>
      <c r="O4464" s="25">
        <f>IF(J4464&gt;600,1,0)</f>
        <v/>
      </c>
      <c r="P4464" s="25">
        <f>IF(H4464&gt;0,J4464,"")</f>
        <v/>
      </c>
      <c r="Q4464" s="25">
        <f>TEXT(A4464,"YYYY-MM-DD HH")</f>
        <v/>
      </c>
      <c r="R4464" s="25">
        <f>COUNTIF($Q$2:$Q$5295,Q4464)</f>
        <v/>
      </c>
      <c r="S4464" s="25">
        <f>IF(R4464&lt;=2,"1-2",IF(R4464&lt;=5,"3-5",IF(R4464&lt;=10,"6-10","11+")))</f>
        <v/>
      </c>
    </row>
    <row r="4465">
      <c r="A4465" s="39" t="n">
        <v>46225.14940972222</v>
      </c>
      <c r="B4465" s="25">
        <f>TEXT(A4465,"YYYY-MM")</f>
        <v/>
      </c>
      <c r="C4465" s="25">
        <f>TEXT(A4465,"MMM-YYYY")</f>
        <v/>
      </c>
      <c r="D4465" s="40">
        <f>INT(A4465)-WEEKDAY(A4465,2)+1</f>
        <v/>
      </c>
      <c r="E4465" s="25" t="inlineStr">
        <is>
          <t>shasikha</t>
        </is>
      </c>
      <c r="F4465" s="25" t="n">
        <v>130686</v>
      </c>
      <c r="G4465" s="25" t="n">
        <v>4</v>
      </c>
      <c r="H4465" s="25" t="n">
        <v>14</v>
      </c>
      <c r="I4465" s="25" t="inlineStr">
        <is>
          <t>2 minute(s) and 1 second(s)</t>
        </is>
      </c>
      <c r="J4465" s="25">
        <f>IFERROR(VALUE(TRIM(LEFT(I4465,FIND("minute",I4465)-1)))*60,0)+IFERROR(VALUE(SUBSTITUTE(MID(I4465,IFERROR(FIND("and",I4465)+3,1),20),"second(s)","")),0)</f>
        <v/>
      </c>
      <c r="K4465" s="41">
        <f>J4465/60</f>
        <v/>
      </c>
      <c r="L4465" s="41">
        <f>IFERROR(J4465/H4465,"")</f>
        <v/>
      </c>
      <c r="M4465" s="25" t="inlineStr">
        <is>
          <t>2.5.12</t>
        </is>
      </c>
      <c r="N4465" s="25">
        <f>IF(J4465&gt;300,1,0)</f>
        <v/>
      </c>
      <c r="O4465" s="25">
        <f>IF(J4465&gt;600,1,0)</f>
        <v/>
      </c>
      <c r="P4465" s="25">
        <f>IF(H4465&gt;0,J4465,"")</f>
        <v/>
      </c>
      <c r="Q4465" s="25">
        <f>TEXT(A4465,"YYYY-MM-DD HH")</f>
        <v/>
      </c>
      <c r="R4465" s="25">
        <f>COUNTIF($Q$2:$Q$5295,Q4465)</f>
        <v/>
      </c>
      <c r="S4465" s="25">
        <f>IF(R4465&lt;=2,"1-2",IF(R4465&lt;=5,"3-5",IF(R4465&lt;=10,"6-10","11+")))</f>
        <v/>
      </c>
    </row>
    <row r="4466">
      <c r="A4466" s="39" t="n">
        <v>46225.15364583334</v>
      </c>
      <c r="B4466" s="25">
        <f>TEXT(A4466,"YYYY-MM")</f>
        <v/>
      </c>
      <c r="C4466" s="25">
        <f>TEXT(A4466,"MMM-YYYY")</f>
        <v/>
      </c>
      <c r="D4466" s="40">
        <f>INT(A4466)-WEEKDAY(A4466,2)+1</f>
        <v/>
      </c>
      <c r="E4466" s="25" t="inlineStr">
        <is>
          <t>shassan</t>
        </is>
      </c>
      <c r="F4466" s="25" t="n">
        <v>130598</v>
      </c>
      <c r="G4466" s="25" t="n">
        <v>2</v>
      </c>
      <c r="H4466" s="25" t="n">
        <v>10</v>
      </c>
      <c r="I4466" s="25" t="inlineStr">
        <is>
          <t>59 second(s)</t>
        </is>
      </c>
      <c r="J4466" s="25">
        <f>IFERROR(VALUE(TRIM(LEFT(I4466,FIND("minute",I4466)-1)))*60,0)+IFERROR(VALUE(SUBSTITUTE(MID(I4466,IFERROR(FIND("and",I4466)+3,1),20),"second(s)","")),0)</f>
        <v/>
      </c>
      <c r="K4466" s="41">
        <f>J4466/60</f>
        <v/>
      </c>
      <c r="L4466" s="41">
        <f>IFERROR(J4466/H4466,"")</f>
        <v/>
      </c>
      <c r="M4466" s="25" t="inlineStr">
        <is>
          <t>2.5.12</t>
        </is>
      </c>
      <c r="N4466" s="25">
        <f>IF(J4466&gt;300,1,0)</f>
        <v/>
      </c>
      <c r="O4466" s="25">
        <f>IF(J4466&gt;600,1,0)</f>
        <v/>
      </c>
      <c r="P4466" s="25">
        <f>IF(H4466&gt;0,J4466,"")</f>
        <v/>
      </c>
      <c r="Q4466" s="25">
        <f>TEXT(A4466,"YYYY-MM-DD HH")</f>
        <v/>
      </c>
      <c r="R4466" s="25">
        <f>COUNTIF($Q$2:$Q$5295,Q4466)</f>
        <v/>
      </c>
      <c r="S4466" s="25">
        <f>IF(R4466&lt;=2,"1-2",IF(R4466&lt;=5,"3-5",IF(R4466&lt;=10,"6-10","11+")))</f>
        <v/>
      </c>
    </row>
    <row r="4467">
      <c r="A4467" s="39" t="n">
        <v>46225.15461805555</v>
      </c>
      <c r="B4467" s="25">
        <f>TEXT(A4467,"YYYY-MM")</f>
        <v/>
      </c>
      <c r="C4467" s="25">
        <f>TEXT(A4467,"MMM-YYYY")</f>
        <v/>
      </c>
      <c r="D4467" s="40">
        <f>INT(A4467)-WEEKDAY(A4467,2)+1</f>
        <v/>
      </c>
      <c r="E4467" s="25" t="inlineStr">
        <is>
          <t>tkarmakar</t>
        </is>
      </c>
      <c r="F4467" s="25" t="n">
        <v>128710</v>
      </c>
      <c r="G4467" s="25" t="n">
        <v>4</v>
      </c>
      <c r="H4467" s="25" t="n">
        <v>20</v>
      </c>
      <c r="I4467" s="25" t="inlineStr">
        <is>
          <t>3 minute(s) and 41 second(s)</t>
        </is>
      </c>
      <c r="J4467" s="25">
        <f>IFERROR(VALUE(TRIM(LEFT(I4467,FIND("minute",I4467)-1)))*60,0)+IFERROR(VALUE(SUBSTITUTE(MID(I4467,IFERROR(FIND("and",I4467)+3,1),20),"second(s)","")),0)</f>
        <v/>
      </c>
      <c r="K4467" s="41">
        <f>J4467/60</f>
        <v/>
      </c>
      <c r="L4467" s="41">
        <f>IFERROR(J4467/H4467,"")</f>
        <v/>
      </c>
      <c r="M4467" s="25" t="inlineStr">
        <is>
          <t>2.5.12</t>
        </is>
      </c>
      <c r="N4467" s="25">
        <f>IF(J4467&gt;300,1,0)</f>
        <v/>
      </c>
      <c r="O4467" s="25">
        <f>IF(J4467&gt;600,1,0)</f>
        <v/>
      </c>
      <c r="P4467" s="25">
        <f>IF(H4467&gt;0,J4467,"")</f>
        <v/>
      </c>
      <c r="Q4467" s="25">
        <f>TEXT(A4467,"YYYY-MM-DD HH")</f>
        <v/>
      </c>
      <c r="R4467" s="25">
        <f>COUNTIF($Q$2:$Q$5295,Q4467)</f>
        <v/>
      </c>
      <c r="S4467" s="25">
        <f>IF(R4467&lt;=2,"1-2",IF(R4467&lt;=5,"3-5",IF(R4467&lt;=10,"6-10","11+")))</f>
        <v/>
      </c>
    </row>
    <row r="4468">
      <c r="A4468" s="39" t="n">
        <v>46225.15585648148</v>
      </c>
      <c r="B4468" s="25">
        <f>TEXT(A4468,"YYYY-MM")</f>
        <v/>
      </c>
      <c r="C4468" s="25">
        <f>TEXT(A4468,"MMM-YYYY")</f>
        <v/>
      </c>
      <c r="D4468" s="40">
        <f>INT(A4468)-WEEKDAY(A4468,2)+1</f>
        <v/>
      </c>
      <c r="E4468" s="25" t="inlineStr">
        <is>
          <t>pgautam</t>
        </is>
      </c>
      <c r="F4468" s="25" t="n">
        <v>132916</v>
      </c>
      <c r="G4468" s="25" t="n">
        <v>5</v>
      </c>
      <c r="H4468" s="25" t="n">
        <v>19</v>
      </c>
      <c r="I4468" s="25" t="inlineStr">
        <is>
          <t>1 minute(s) and 54 second(s)</t>
        </is>
      </c>
      <c r="J4468" s="25">
        <f>IFERROR(VALUE(TRIM(LEFT(I4468,FIND("minute",I4468)-1)))*60,0)+IFERROR(VALUE(SUBSTITUTE(MID(I4468,IFERROR(FIND("and",I4468)+3,1),20),"second(s)","")),0)</f>
        <v/>
      </c>
      <c r="K4468" s="41">
        <f>J4468/60</f>
        <v/>
      </c>
      <c r="L4468" s="41">
        <f>IFERROR(J4468/H4468,"")</f>
        <v/>
      </c>
      <c r="M4468" s="25" t="inlineStr">
        <is>
          <t>2.5.12</t>
        </is>
      </c>
      <c r="N4468" s="25">
        <f>IF(J4468&gt;300,1,0)</f>
        <v/>
      </c>
      <c r="O4468" s="25">
        <f>IF(J4468&gt;600,1,0)</f>
        <v/>
      </c>
      <c r="P4468" s="25">
        <f>IF(H4468&gt;0,J4468,"")</f>
        <v/>
      </c>
      <c r="Q4468" s="25">
        <f>TEXT(A4468,"YYYY-MM-DD HH")</f>
        <v/>
      </c>
      <c r="R4468" s="25">
        <f>COUNTIF($Q$2:$Q$5295,Q4468)</f>
        <v/>
      </c>
      <c r="S4468" s="25">
        <f>IF(R4468&lt;=2,"1-2",IF(R4468&lt;=5,"3-5",IF(R4468&lt;=10,"6-10","11+")))</f>
        <v/>
      </c>
    </row>
    <row r="4469">
      <c r="A4469" s="39" t="n">
        <v>46225.15782407407</v>
      </c>
      <c r="B4469" s="25">
        <f>TEXT(A4469,"YYYY-MM")</f>
        <v/>
      </c>
      <c r="C4469" s="25">
        <f>TEXT(A4469,"MMM-YYYY")</f>
        <v/>
      </c>
      <c r="D4469" s="40">
        <f>INT(A4469)-WEEKDAY(A4469,2)+1</f>
        <v/>
      </c>
      <c r="E4469" s="25" t="inlineStr">
        <is>
          <t>ssrinivasan</t>
        </is>
      </c>
      <c r="F4469" s="25" t="n">
        <v>129791</v>
      </c>
      <c r="G4469" s="25" t="n">
        <v>2</v>
      </c>
      <c r="H4469" s="25" t="n">
        <v>8</v>
      </c>
      <c r="I4469" s="25" t="inlineStr">
        <is>
          <t>1 minute(s) and 17 second(s)</t>
        </is>
      </c>
      <c r="J4469" s="25">
        <f>IFERROR(VALUE(TRIM(LEFT(I4469,FIND("minute",I4469)-1)))*60,0)+IFERROR(VALUE(SUBSTITUTE(MID(I4469,IFERROR(FIND("and",I4469)+3,1),20),"second(s)","")),0)</f>
        <v/>
      </c>
      <c r="K4469" s="41">
        <f>J4469/60</f>
        <v/>
      </c>
      <c r="L4469" s="41">
        <f>IFERROR(J4469/H4469,"")</f>
        <v/>
      </c>
      <c r="M4469" s="25" t="inlineStr">
        <is>
          <t>2.5.12</t>
        </is>
      </c>
      <c r="N4469" s="25">
        <f>IF(J4469&gt;300,1,0)</f>
        <v/>
      </c>
      <c r="O4469" s="25">
        <f>IF(J4469&gt;600,1,0)</f>
        <v/>
      </c>
      <c r="P4469" s="25">
        <f>IF(H4469&gt;0,J4469,"")</f>
        <v/>
      </c>
      <c r="Q4469" s="25">
        <f>TEXT(A4469,"YYYY-MM-DD HH")</f>
        <v/>
      </c>
      <c r="R4469" s="25">
        <f>COUNTIF($Q$2:$Q$5295,Q4469)</f>
        <v/>
      </c>
      <c r="S4469" s="25">
        <f>IF(R4469&lt;=2,"1-2",IF(R4469&lt;=5,"3-5",IF(R4469&lt;=10,"6-10","11+")))</f>
        <v/>
      </c>
    </row>
    <row r="4470">
      <c r="A4470" s="39" t="n">
        <v>46225.16591435186</v>
      </c>
      <c r="B4470" s="25">
        <f>TEXT(A4470,"YYYY-MM")</f>
        <v/>
      </c>
      <c r="C4470" s="25">
        <f>TEXT(A4470,"MMM-YYYY")</f>
        <v/>
      </c>
      <c r="D4470" s="40">
        <f>INT(A4470)-WEEKDAY(A4470,2)+1</f>
        <v/>
      </c>
      <c r="E4470" s="25" t="inlineStr">
        <is>
          <t>aupadhayay</t>
        </is>
      </c>
      <c r="F4470" s="25" t="n">
        <v>131064</v>
      </c>
      <c r="G4470" s="25" t="n">
        <v>1</v>
      </c>
      <c r="H4470" s="25" t="n">
        <v>5</v>
      </c>
      <c r="I4470" s="25" t="inlineStr">
        <is>
          <t>37 second(s)</t>
        </is>
      </c>
      <c r="J4470" s="25">
        <f>IFERROR(VALUE(TRIM(LEFT(I4470,FIND("minute",I4470)-1)))*60,0)+IFERROR(VALUE(SUBSTITUTE(MID(I4470,IFERROR(FIND("and",I4470)+3,1),20),"second(s)","")),0)</f>
        <v/>
      </c>
      <c r="K4470" s="41">
        <f>J4470/60</f>
        <v/>
      </c>
      <c r="L4470" s="41">
        <f>IFERROR(J4470/H4470,"")</f>
        <v/>
      </c>
      <c r="M4470" s="25" t="inlineStr">
        <is>
          <t>2.5.12</t>
        </is>
      </c>
      <c r="N4470" s="25">
        <f>IF(J4470&gt;300,1,0)</f>
        <v/>
      </c>
      <c r="O4470" s="25">
        <f>IF(J4470&gt;600,1,0)</f>
        <v/>
      </c>
      <c r="P4470" s="25">
        <f>IF(H4470&gt;0,J4470,"")</f>
        <v/>
      </c>
      <c r="Q4470" s="25">
        <f>TEXT(A4470,"YYYY-MM-DD HH")</f>
        <v/>
      </c>
      <c r="R4470" s="25">
        <f>COUNTIF($Q$2:$Q$5295,Q4470)</f>
        <v/>
      </c>
      <c r="S4470" s="25">
        <f>IF(R4470&lt;=2,"1-2",IF(R4470&lt;=5,"3-5",IF(R4470&lt;=10,"6-10","11+")))</f>
        <v/>
      </c>
    </row>
    <row r="4471">
      <c r="A4471" s="39" t="n">
        <v>46225.16798611111</v>
      </c>
      <c r="B4471" s="25">
        <f>TEXT(A4471,"YYYY-MM")</f>
        <v/>
      </c>
      <c r="C4471" s="25">
        <f>TEXT(A4471,"MMM-YYYY")</f>
        <v/>
      </c>
      <c r="D4471" s="40">
        <f>INT(A4471)-WEEKDAY(A4471,2)+1</f>
        <v/>
      </c>
      <c r="E4471" s="25" t="inlineStr">
        <is>
          <t>mgupta</t>
        </is>
      </c>
      <c r="F4471" s="25" t="n">
        <v>131272</v>
      </c>
      <c r="G4471" s="25" t="n">
        <v>2</v>
      </c>
      <c r="H4471" s="25" t="n">
        <v>8</v>
      </c>
      <c r="I4471" s="25" t="inlineStr">
        <is>
          <t>1 minute(s) and 41 second(s)</t>
        </is>
      </c>
      <c r="J4471" s="25">
        <f>IFERROR(VALUE(TRIM(LEFT(I4471,FIND("minute",I4471)-1)))*60,0)+IFERROR(VALUE(SUBSTITUTE(MID(I4471,IFERROR(FIND("and",I4471)+3,1),20),"second(s)","")),0)</f>
        <v/>
      </c>
      <c r="K4471" s="41">
        <f>J4471/60</f>
        <v/>
      </c>
      <c r="L4471" s="41">
        <f>IFERROR(J4471/H4471,"")</f>
        <v/>
      </c>
      <c r="M4471" s="25" t="inlineStr">
        <is>
          <t>2.5.12</t>
        </is>
      </c>
      <c r="N4471" s="25">
        <f>IF(J4471&gt;300,1,0)</f>
        <v/>
      </c>
      <c r="O4471" s="25">
        <f>IF(J4471&gt;600,1,0)</f>
        <v/>
      </c>
      <c r="P4471" s="25">
        <f>IF(H4471&gt;0,J4471,"")</f>
        <v/>
      </c>
      <c r="Q4471" s="25">
        <f>TEXT(A4471,"YYYY-MM-DD HH")</f>
        <v/>
      </c>
      <c r="R4471" s="25">
        <f>COUNTIF($Q$2:$Q$5295,Q4471)</f>
        <v/>
      </c>
      <c r="S4471" s="25">
        <f>IF(R4471&lt;=2,"1-2",IF(R4471&lt;=5,"3-5",IF(R4471&lt;=10,"6-10","11+")))</f>
        <v/>
      </c>
    </row>
    <row r="4472">
      <c r="A4472" s="39" t="n">
        <v>46225.1680787037</v>
      </c>
      <c r="B4472" s="25">
        <f>TEXT(A4472,"YYYY-MM")</f>
        <v/>
      </c>
      <c r="C4472" s="25">
        <f>TEXT(A4472,"MMM-YYYY")</f>
        <v/>
      </c>
      <c r="D4472" s="40">
        <f>INT(A4472)-WEEKDAY(A4472,2)+1</f>
        <v/>
      </c>
      <c r="E4472" s="25" t="inlineStr">
        <is>
          <t>asahoo</t>
        </is>
      </c>
      <c r="F4472" s="25" t="n">
        <v>132327</v>
      </c>
      <c r="G4472" s="25" t="n">
        <v>3</v>
      </c>
      <c r="H4472" s="25" t="n">
        <v>15</v>
      </c>
      <c r="I4472" s="25" t="inlineStr">
        <is>
          <t>1 minute(s) and 42 second(s)</t>
        </is>
      </c>
      <c r="J4472" s="25">
        <f>IFERROR(VALUE(TRIM(LEFT(I4472,FIND("minute",I4472)-1)))*60,0)+IFERROR(VALUE(SUBSTITUTE(MID(I4472,IFERROR(FIND("and",I4472)+3,1),20),"second(s)","")),0)</f>
        <v/>
      </c>
      <c r="K4472" s="41">
        <f>J4472/60</f>
        <v/>
      </c>
      <c r="L4472" s="41">
        <f>IFERROR(J4472/H4472,"")</f>
        <v/>
      </c>
      <c r="M4472" s="25" t="inlineStr">
        <is>
          <t>2.5.12</t>
        </is>
      </c>
      <c r="N4472" s="25">
        <f>IF(J4472&gt;300,1,0)</f>
        <v/>
      </c>
      <c r="O4472" s="25">
        <f>IF(J4472&gt;600,1,0)</f>
        <v/>
      </c>
      <c r="P4472" s="25">
        <f>IF(H4472&gt;0,J4472,"")</f>
        <v/>
      </c>
      <c r="Q4472" s="25">
        <f>TEXT(A4472,"YYYY-MM-DD HH")</f>
        <v/>
      </c>
      <c r="R4472" s="25">
        <f>COUNTIF($Q$2:$Q$5295,Q4472)</f>
        <v/>
      </c>
      <c r="S4472" s="25">
        <f>IF(R4472&lt;=2,"1-2",IF(R4472&lt;=5,"3-5",IF(R4472&lt;=10,"6-10","11+")))</f>
        <v/>
      </c>
    </row>
    <row r="4473">
      <c r="A4473" s="39" t="n">
        <v>46225.1683449074</v>
      </c>
      <c r="B4473" s="25">
        <f>TEXT(A4473,"YYYY-MM")</f>
        <v/>
      </c>
      <c r="C4473" s="25">
        <f>TEXT(A4473,"MMM-YYYY")</f>
        <v/>
      </c>
      <c r="D4473" s="40">
        <f>INT(A4473)-WEEKDAY(A4473,2)+1</f>
        <v/>
      </c>
      <c r="E4473" s="25" t="inlineStr">
        <is>
          <t>sthomas</t>
        </is>
      </c>
      <c r="F4473" s="25" t="n">
        <v>132090</v>
      </c>
      <c r="G4473" s="25" t="n">
        <v>3</v>
      </c>
      <c r="H4473" s="25" t="n">
        <v>14</v>
      </c>
      <c r="I4473" s="25" t="inlineStr">
        <is>
          <t>1 minute(s) and 23 second(s)</t>
        </is>
      </c>
      <c r="J4473" s="25">
        <f>IFERROR(VALUE(TRIM(LEFT(I4473,FIND("minute",I4473)-1)))*60,0)+IFERROR(VALUE(SUBSTITUTE(MID(I4473,IFERROR(FIND("and",I4473)+3,1),20),"second(s)","")),0)</f>
        <v/>
      </c>
      <c r="K4473" s="41">
        <f>J4473/60</f>
        <v/>
      </c>
      <c r="L4473" s="41">
        <f>IFERROR(J4473/H4473,"")</f>
        <v/>
      </c>
      <c r="M4473" s="25" t="inlineStr">
        <is>
          <t>2.5.12</t>
        </is>
      </c>
      <c r="N4473" s="25">
        <f>IF(J4473&gt;300,1,0)</f>
        <v/>
      </c>
      <c r="O4473" s="25">
        <f>IF(J4473&gt;600,1,0)</f>
        <v/>
      </c>
      <c r="P4473" s="25">
        <f>IF(H4473&gt;0,J4473,"")</f>
        <v/>
      </c>
      <c r="Q4473" s="25">
        <f>TEXT(A4473,"YYYY-MM-DD HH")</f>
        <v/>
      </c>
      <c r="R4473" s="25">
        <f>COUNTIF($Q$2:$Q$5295,Q4473)</f>
        <v/>
      </c>
      <c r="S4473" s="25">
        <f>IF(R4473&lt;=2,"1-2",IF(R4473&lt;=5,"3-5",IF(R4473&lt;=10,"6-10","11+")))</f>
        <v/>
      </c>
    </row>
    <row r="4474">
      <c r="A4474" s="39" t="n">
        <v>46225.17082175926</v>
      </c>
      <c r="B4474" s="25">
        <f>TEXT(A4474,"YYYY-MM")</f>
        <v/>
      </c>
      <c r="C4474" s="25">
        <f>TEXT(A4474,"MMM-YYYY")</f>
        <v/>
      </c>
      <c r="D4474" s="40">
        <f>INT(A4474)-WEEKDAY(A4474,2)+1</f>
        <v/>
      </c>
      <c r="E4474" s="25" t="inlineStr">
        <is>
          <t>bverma</t>
        </is>
      </c>
      <c r="F4474" s="25" t="n">
        <v>131527</v>
      </c>
      <c r="G4474" s="25" t="n">
        <v>2</v>
      </c>
      <c r="H4474" s="25" t="n">
        <v>10</v>
      </c>
      <c r="I4474" s="25" t="inlineStr">
        <is>
          <t>1 minute(s) and 57 second(s)</t>
        </is>
      </c>
      <c r="J4474" s="25">
        <f>IFERROR(VALUE(TRIM(LEFT(I4474,FIND("minute",I4474)-1)))*60,0)+IFERROR(VALUE(SUBSTITUTE(MID(I4474,IFERROR(FIND("and",I4474)+3,1),20),"second(s)","")),0)</f>
        <v/>
      </c>
      <c r="K4474" s="41">
        <f>J4474/60</f>
        <v/>
      </c>
      <c r="L4474" s="41">
        <f>IFERROR(J4474/H4474,"")</f>
        <v/>
      </c>
      <c r="M4474" s="25" t="inlineStr">
        <is>
          <t>2.5.12</t>
        </is>
      </c>
      <c r="N4474" s="25">
        <f>IF(J4474&gt;300,1,0)</f>
        <v/>
      </c>
      <c r="O4474" s="25">
        <f>IF(J4474&gt;600,1,0)</f>
        <v/>
      </c>
      <c r="P4474" s="25">
        <f>IF(H4474&gt;0,J4474,"")</f>
        <v/>
      </c>
      <c r="Q4474" s="25">
        <f>TEXT(A4474,"YYYY-MM-DD HH")</f>
        <v/>
      </c>
      <c r="R4474" s="25">
        <f>COUNTIF($Q$2:$Q$5295,Q4474)</f>
        <v/>
      </c>
      <c r="S4474" s="25">
        <f>IF(R4474&lt;=2,"1-2",IF(R4474&lt;=5,"3-5",IF(R4474&lt;=10,"6-10","11+")))</f>
        <v/>
      </c>
    </row>
    <row r="4475">
      <c r="A4475" s="39" t="n">
        <v>46225.17741898148</v>
      </c>
      <c r="B4475" s="25">
        <f>TEXT(A4475,"YYYY-MM")</f>
        <v/>
      </c>
      <c r="C4475" s="25">
        <f>TEXT(A4475,"MMM-YYYY")</f>
        <v/>
      </c>
      <c r="D4475" s="40">
        <f>INT(A4475)-WEEKDAY(A4475,2)+1</f>
        <v/>
      </c>
      <c r="E4475" s="25" t="inlineStr">
        <is>
          <t>kkumar</t>
        </is>
      </c>
      <c r="F4475" s="25" t="n">
        <v>132432</v>
      </c>
      <c r="G4475" s="25" t="n">
        <v>4</v>
      </c>
      <c r="H4475" s="25" t="n">
        <v>24</v>
      </c>
      <c r="I4475" s="25" t="inlineStr">
        <is>
          <t>1 minute(s) and 43 second(s)</t>
        </is>
      </c>
      <c r="J4475" s="25">
        <f>IFERROR(VALUE(TRIM(LEFT(I4475,FIND("minute",I4475)-1)))*60,0)+IFERROR(VALUE(SUBSTITUTE(MID(I4475,IFERROR(FIND("and",I4475)+3,1),20),"second(s)","")),0)</f>
        <v/>
      </c>
      <c r="K4475" s="41">
        <f>J4475/60</f>
        <v/>
      </c>
      <c r="L4475" s="41">
        <f>IFERROR(J4475/H4475,"")</f>
        <v/>
      </c>
      <c r="M4475" s="25" t="inlineStr">
        <is>
          <t>2.5.12</t>
        </is>
      </c>
      <c r="N4475" s="25">
        <f>IF(J4475&gt;300,1,0)</f>
        <v/>
      </c>
      <c r="O4475" s="25">
        <f>IF(J4475&gt;600,1,0)</f>
        <v/>
      </c>
      <c r="P4475" s="25">
        <f>IF(H4475&gt;0,J4475,"")</f>
        <v/>
      </c>
      <c r="Q4475" s="25">
        <f>TEXT(A4475,"YYYY-MM-DD HH")</f>
        <v/>
      </c>
      <c r="R4475" s="25">
        <f>COUNTIF($Q$2:$Q$5295,Q4475)</f>
        <v/>
      </c>
      <c r="S4475" s="25">
        <f>IF(R4475&lt;=2,"1-2",IF(R4475&lt;=5,"3-5",IF(R4475&lt;=10,"6-10","11+")))</f>
        <v/>
      </c>
    </row>
    <row r="4476">
      <c r="A4476" s="39" t="n">
        <v>46225.20349537037</v>
      </c>
      <c r="B4476" s="25">
        <f>TEXT(A4476,"YYYY-MM")</f>
        <v/>
      </c>
      <c r="C4476" s="25">
        <f>TEXT(A4476,"MMM-YYYY")</f>
        <v/>
      </c>
      <c r="D4476" s="40">
        <f>INT(A4476)-WEEKDAY(A4476,2)+1</f>
        <v/>
      </c>
      <c r="E4476" s="25" t="inlineStr">
        <is>
          <t>csaha</t>
        </is>
      </c>
      <c r="F4476" s="25" t="n">
        <v>130942</v>
      </c>
      <c r="G4476" s="25" t="n">
        <v>2</v>
      </c>
      <c r="H4476" s="25" t="n">
        <v>6</v>
      </c>
      <c r="I4476" s="25" t="inlineStr">
        <is>
          <t>43 second(s)</t>
        </is>
      </c>
      <c r="J4476" s="25">
        <f>IFERROR(VALUE(TRIM(LEFT(I4476,FIND("minute",I4476)-1)))*60,0)+IFERROR(VALUE(SUBSTITUTE(MID(I4476,IFERROR(FIND("and",I4476)+3,1),20),"second(s)","")),0)</f>
        <v/>
      </c>
      <c r="K4476" s="41">
        <f>J4476/60</f>
        <v/>
      </c>
      <c r="L4476" s="41">
        <f>IFERROR(J4476/H4476,"")</f>
        <v/>
      </c>
      <c r="M4476" s="25" t="inlineStr">
        <is>
          <t>2.5.12</t>
        </is>
      </c>
      <c r="N4476" s="25">
        <f>IF(J4476&gt;300,1,0)</f>
        <v/>
      </c>
      <c r="O4476" s="25">
        <f>IF(J4476&gt;600,1,0)</f>
        <v/>
      </c>
      <c r="P4476" s="25">
        <f>IF(H4476&gt;0,J4476,"")</f>
        <v/>
      </c>
      <c r="Q4476" s="25">
        <f>TEXT(A4476,"YYYY-MM-DD HH")</f>
        <v/>
      </c>
      <c r="R4476" s="25">
        <f>COUNTIF($Q$2:$Q$5295,Q4476)</f>
        <v/>
      </c>
      <c r="S4476" s="25">
        <f>IF(R4476&lt;=2,"1-2",IF(R4476&lt;=5,"3-5",IF(R4476&lt;=10,"6-10","11+")))</f>
        <v/>
      </c>
    </row>
    <row r="4477">
      <c r="A4477" s="39" t="n">
        <v>46225.20472222222</v>
      </c>
      <c r="B4477" s="25">
        <f>TEXT(A4477,"YYYY-MM")</f>
        <v/>
      </c>
      <c r="C4477" s="25">
        <f>TEXT(A4477,"MMM-YYYY")</f>
        <v/>
      </c>
      <c r="D4477" s="40">
        <f>INT(A4477)-WEEKDAY(A4477,2)+1</f>
        <v/>
      </c>
      <c r="E4477" s="25" t="inlineStr">
        <is>
          <t>ajain</t>
        </is>
      </c>
      <c r="F4477" s="25" t="n">
        <v>131257</v>
      </c>
      <c r="G4477" s="25" t="n">
        <v>5</v>
      </c>
      <c r="H4477" s="25" t="n">
        <v>31</v>
      </c>
      <c r="I4477" s="25" t="inlineStr">
        <is>
          <t>3 minute(s) and 42 second(s)</t>
        </is>
      </c>
      <c r="J4477" s="25">
        <f>IFERROR(VALUE(TRIM(LEFT(I4477,FIND("minute",I4477)-1)))*60,0)+IFERROR(VALUE(SUBSTITUTE(MID(I4477,IFERROR(FIND("and",I4477)+3,1),20),"second(s)","")),0)</f>
        <v/>
      </c>
      <c r="K4477" s="41">
        <f>J4477/60</f>
        <v/>
      </c>
      <c r="L4477" s="41">
        <f>IFERROR(J4477/H4477,"")</f>
        <v/>
      </c>
      <c r="M4477" s="25" t="inlineStr">
        <is>
          <t>2.5.12</t>
        </is>
      </c>
      <c r="N4477" s="25">
        <f>IF(J4477&gt;300,1,0)</f>
        <v/>
      </c>
      <c r="O4477" s="25">
        <f>IF(J4477&gt;600,1,0)</f>
        <v/>
      </c>
      <c r="P4477" s="25">
        <f>IF(H4477&gt;0,J4477,"")</f>
        <v/>
      </c>
      <c r="Q4477" s="25">
        <f>TEXT(A4477,"YYYY-MM-DD HH")</f>
        <v/>
      </c>
      <c r="R4477" s="25">
        <f>COUNTIF($Q$2:$Q$5295,Q4477)</f>
        <v/>
      </c>
      <c r="S4477" s="25">
        <f>IF(R4477&lt;=2,"1-2",IF(R4477&lt;=5,"3-5",IF(R4477&lt;=10,"6-10","11+")))</f>
        <v/>
      </c>
    </row>
    <row r="4478">
      <c r="A4478" s="39" t="n">
        <v>46225.20693287037</v>
      </c>
      <c r="B4478" s="25">
        <f>TEXT(A4478,"YYYY-MM")</f>
        <v/>
      </c>
      <c r="C4478" s="25">
        <f>TEXT(A4478,"MMM-YYYY")</f>
        <v/>
      </c>
      <c r="D4478" s="40">
        <f>INT(A4478)-WEEKDAY(A4478,2)+1</f>
        <v/>
      </c>
      <c r="E4478" s="25" t="inlineStr">
        <is>
          <t>sasharma</t>
        </is>
      </c>
      <c r="F4478" s="25" t="n">
        <v>130054</v>
      </c>
      <c r="G4478" s="25" t="n">
        <v>1</v>
      </c>
      <c r="H4478" s="25" t="n">
        <v>8</v>
      </c>
      <c r="I4478" s="25" t="inlineStr">
        <is>
          <t>42 second(s)</t>
        </is>
      </c>
      <c r="J4478" s="25">
        <f>IFERROR(VALUE(TRIM(LEFT(I4478,FIND("minute",I4478)-1)))*60,0)+IFERROR(VALUE(SUBSTITUTE(MID(I4478,IFERROR(FIND("and",I4478)+3,1),20),"second(s)","")),0)</f>
        <v/>
      </c>
      <c r="K4478" s="41">
        <f>J4478/60</f>
        <v/>
      </c>
      <c r="L4478" s="41">
        <f>IFERROR(J4478/H4478,"")</f>
        <v/>
      </c>
      <c r="M4478" s="25" t="inlineStr">
        <is>
          <t>2.5.12</t>
        </is>
      </c>
      <c r="N4478" s="25">
        <f>IF(J4478&gt;300,1,0)</f>
        <v/>
      </c>
      <c r="O4478" s="25">
        <f>IF(J4478&gt;600,1,0)</f>
        <v/>
      </c>
      <c r="P4478" s="25">
        <f>IF(H4478&gt;0,J4478,"")</f>
        <v/>
      </c>
      <c r="Q4478" s="25">
        <f>TEXT(A4478,"YYYY-MM-DD HH")</f>
        <v/>
      </c>
      <c r="R4478" s="25">
        <f>COUNTIF($Q$2:$Q$5295,Q4478)</f>
        <v/>
      </c>
      <c r="S4478" s="25">
        <f>IF(R4478&lt;=2,"1-2",IF(R4478&lt;=5,"3-5",IF(R4478&lt;=10,"6-10","11+")))</f>
        <v/>
      </c>
    </row>
    <row r="4479">
      <c r="A4479" s="39" t="n">
        <v>46225.21892361111</v>
      </c>
      <c r="B4479" s="25">
        <f>TEXT(A4479,"YYYY-MM")</f>
        <v/>
      </c>
      <c r="C4479" s="25">
        <f>TEXT(A4479,"MMM-YYYY")</f>
        <v/>
      </c>
      <c r="D4479" s="40">
        <f>INT(A4479)-WEEKDAY(A4479,2)+1</f>
        <v/>
      </c>
      <c r="E4479" s="25" t="inlineStr">
        <is>
          <t>hsindwani</t>
        </is>
      </c>
      <c r="F4479" s="25" t="n">
        <v>131590</v>
      </c>
      <c r="G4479" s="25" t="n">
        <v>1</v>
      </c>
      <c r="H4479" s="25" t="n">
        <v>7</v>
      </c>
      <c r="I4479" s="25" t="inlineStr">
        <is>
          <t>36 second(s)</t>
        </is>
      </c>
      <c r="J4479" s="25">
        <f>IFERROR(VALUE(TRIM(LEFT(I4479,FIND("minute",I4479)-1)))*60,0)+IFERROR(VALUE(SUBSTITUTE(MID(I4479,IFERROR(FIND("and",I4479)+3,1),20),"second(s)","")),0)</f>
        <v/>
      </c>
      <c r="K4479" s="41">
        <f>J4479/60</f>
        <v/>
      </c>
      <c r="L4479" s="41">
        <f>IFERROR(J4479/H4479,"")</f>
        <v/>
      </c>
      <c r="M4479" s="25" t="inlineStr">
        <is>
          <t>2.5.12</t>
        </is>
      </c>
      <c r="N4479" s="25">
        <f>IF(J4479&gt;300,1,0)</f>
        <v/>
      </c>
      <c r="O4479" s="25">
        <f>IF(J4479&gt;600,1,0)</f>
        <v/>
      </c>
      <c r="P4479" s="25">
        <f>IF(H4479&gt;0,J4479,"")</f>
        <v/>
      </c>
      <c r="Q4479" s="25">
        <f>TEXT(A4479,"YYYY-MM-DD HH")</f>
        <v/>
      </c>
      <c r="R4479" s="25">
        <f>COUNTIF($Q$2:$Q$5295,Q4479)</f>
        <v/>
      </c>
      <c r="S4479" s="25">
        <f>IF(R4479&lt;=2,"1-2",IF(R4479&lt;=5,"3-5",IF(R4479&lt;=10,"6-10","11+")))</f>
        <v/>
      </c>
    </row>
    <row r="4480">
      <c r="A4480" s="39" t="n">
        <v>46225.21920138889</v>
      </c>
      <c r="B4480" s="25">
        <f>TEXT(A4480,"YYYY-MM")</f>
        <v/>
      </c>
      <c r="C4480" s="25">
        <f>TEXT(A4480,"MMM-YYYY")</f>
        <v/>
      </c>
      <c r="D4480" s="40">
        <f>INT(A4480)-WEEKDAY(A4480,2)+1</f>
        <v/>
      </c>
      <c r="E4480" s="25" t="inlineStr">
        <is>
          <t>bverma</t>
        </is>
      </c>
      <c r="F4480" s="25" t="n">
        <v>131543</v>
      </c>
      <c r="G4480" s="25" t="n">
        <v>4</v>
      </c>
      <c r="H4480" s="25" t="n">
        <v>26</v>
      </c>
      <c r="I4480" s="25" t="inlineStr">
        <is>
          <t>4 minute(s) and 37 second(s)</t>
        </is>
      </c>
      <c r="J4480" s="25">
        <f>IFERROR(VALUE(TRIM(LEFT(I4480,FIND("minute",I4480)-1)))*60,0)+IFERROR(VALUE(SUBSTITUTE(MID(I4480,IFERROR(FIND("and",I4480)+3,1),20),"second(s)","")),0)</f>
        <v/>
      </c>
      <c r="K4480" s="41">
        <f>J4480/60</f>
        <v/>
      </c>
      <c r="L4480" s="41">
        <f>IFERROR(J4480/H4480,"")</f>
        <v/>
      </c>
      <c r="M4480" s="25" t="inlineStr">
        <is>
          <t>2.5.12</t>
        </is>
      </c>
      <c r="N4480" s="25">
        <f>IF(J4480&gt;300,1,0)</f>
        <v/>
      </c>
      <c r="O4480" s="25">
        <f>IF(J4480&gt;600,1,0)</f>
        <v/>
      </c>
      <c r="P4480" s="25">
        <f>IF(H4480&gt;0,J4480,"")</f>
        <v/>
      </c>
      <c r="Q4480" s="25">
        <f>TEXT(A4480,"YYYY-MM-DD HH")</f>
        <v/>
      </c>
      <c r="R4480" s="25">
        <f>COUNTIF($Q$2:$Q$5295,Q4480)</f>
        <v/>
      </c>
      <c r="S4480" s="25">
        <f>IF(R4480&lt;=2,"1-2",IF(R4480&lt;=5,"3-5",IF(R4480&lt;=10,"6-10","11+")))</f>
        <v/>
      </c>
    </row>
    <row r="4481">
      <c r="A4481" s="39" t="n">
        <v>46225.22430555556</v>
      </c>
      <c r="B4481" s="25">
        <f>TEXT(A4481,"YYYY-MM")</f>
        <v/>
      </c>
      <c r="C4481" s="25">
        <f>TEXT(A4481,"MMM-YYYY")</f>
        <v/>
      </c>
      <c r="D4481" s="40">
        <f>INT(A4481)-WEEKDAY(A4481,2)+1</f>
        <v/>
      </c>
      <c r="E4481" s="25" t="inlineStr">
        <is>
          <t>pgautam</t>
        </is>
      </c>
      <c r="F4481" s="25" t="n">
        <v>132988</v>
      </c>
      <c r="G4481" s="25" t="n">
        <v>5</v>
      </c>
      <c r="H4481" s="25" t="n">
        <v>31</v>
      </c>
      <c r="I4481" s="25" t="inlineStr">
        <is>
          <t>4 minute(s) and 29 second(s)</t>
        </is>
      </c>
      <c r="J4481" s="25">
        <f>IFERROR(VALUE(TRIM(LEFT(I4481,FIND("minute",I4481)-1)))*60,0)+IFERROR(VALUE(SUBSTITUTE(MID(I4481,IFERROR(FIND("and",I4481)+3,1),20),"second(s)","")),0)</f>
        <v/>
      </c>
      <c r="K4481" s="41">
        <f>J4481/60</f>
        <v/>
      </c>
      <c r="L4481" s="41">
        <f>IFERROR(J4481/H4481,"")</f>
        <v/>
      </c>
      <c r="M4481" s="25" t="inlineStr">
        <is>
          <t>2.5.12</t>
        </is>
      </c>
      <c r="N4481" s="25">
        <f>IF(J4481&gt;300,1,0)</f>
        <v/>
      </c>
      <c r="O4481" s="25">
        <f>IF(J4481&gt;600,1,0)</f>
        <v/>
      </c>
      <c r="P4481" s="25">
        <f>IF(H4481&gt;0,J4481,"")</f>
        <v/>
      </c>
      <c r="Q4481" s="25">
        <f>TEXT(A4481,"YYYY-MM-DD HH")</f>
        <v/>
      </c>
      <c r="R4481" s="25">
        <f>COUNTIF($Q$2:$Q$5295,Q4481)</f>
        <v/>
      </c>
      <c r="S4481" s="25">
        <f>IF(R4481&lt;=2,"1-2",IF(R4481&lt;=5,"3-5",IF(R4481&lt;=10,"6-10","11+")))</f>
        <v/>
      </c>
    </row>
    <row r="4482">
      <c r="A4482" s="39" t="n">
        <v>46225.22466435185</v>
      </c>
      <c r="B4482" s="25">
        <f>TEXT(A4482,"YYYY-MM")</f>
        <v/>
      </c>
      <c r="C4482" s="25">
        <f>TEXT(A4482,"MMM-YYYY")</f>
        <v/>
      </c>
      <c r="D4482" s="40">
        <f>INT(A4482)-WEEKDAY(A4482,2)+1</f>
        <v/>
      </c>
      <c r="E4482" s="25" t="inlineStr">
        <is>
          <t>mgupta</t>
        </is>
      </c>
      <c r="F4482" s="25" t="n">
        <v>131320</v>
      </c>
      <c r="G4482" s="25" t="n">
        <v>4</v>
      </c>
      <c r="H4482" s="25" t="n">
        <v>20</v>
      </c>
      <c r="I4482" s="25" t="inlineStr">
        <is>
          <t>1 minute(s) and 47 second(s)</t>
        </is>
      </c>
      <c r="J4482" s="25">
        <f>IFERROR(VALUE(TRIM(LEFT(I4482,FIND("minute",I4482)-1)))*60,0)+IFERROR(VALUE(SUBSTITUTE(MID(I4482,IFERROR(FIND("and",I4482)+3,1),20),"second(s)","")),0)</f>
        <v/>
      </c>
      <c r="K4482" s="41">
        <f>J4482/60</f>
        <v/>
      </c>
      <c r="L4482" s="41">
        <f>IFERROR(J4482/H4482,"")</f>
        <v/>
      </c>
      <c r="M4482" s="25" t="inlineStr">
        <is>
          <t>2.5.12</t>
        </is>
      </c>
      <c r="N4482" s="25">
        <f>IF(J4482&gt;300,1,0)</f>
        <v/>
      </c>
      <c r="O4482" s="25">
        <f>IF(J4482&gt;600,1,0)</f>
        <v/>
      </c>
      <c r="P4482" s="25">
        <f>IF(H4482&gt;0,J4482,"")</f>
        <v/>
      </c>
      <c r="Q4482" s="25">
        <f>TEXT(A4482,"YYYY-MM-DD HH")</f>
        <v/>
      </c>
      <c r="R4482" s="25">
        <f>COUNTIF($Q$2:$Q$5295,Q4482)</f>
        <v/>
      </c>
      <c r="S4482" s="25">
        <f>IF(R4482&lt;=2,"1-2",IF(R4482&lt;=5,"3-5",IF(R4482&lt;=10,"6-10","11+")))</f>
        <v/>
      </c>
    </row>
    <row r="4483">
      <c r="A4483" s="39" t="n">
        <v>46225.22678240741</v>
      </c>
      <c r="B4483" s="25">
        <f>TEXT(A4483,"YYYY-MM")</f>
        <v/>
      </c>
      <c r="C4483" s="25">
        <f>TEXT(A4483,"MMM-YYYY")</f>
        <v/>
      </c>
      <c r="D4483" s="40">
        <f>INT(A4483)-WEEKDAY(A4483,2)+1</f>
        <v/>
      </c>
      <c r="E4483" s="25" t="inlineStr">
        <is>
          <t>sdey</t>
        </is>
      </c>
      <c r="F4483" s="25" t="n">
        <v>129249</v>
      </c>
      <c r="G4483" s="25" t="n">
        <v>2</v>
      </c>
      <c r="H4483" s="25" t="n">
        <v>8</v>
      </c>
      <c r="I4483" s="25" t="inlineStr">
        <is>
          <t>2 minute(s) and 5 second(s)</t>
        </is>
      </c>
      <c r="J4483" s="25">
        <f>IFERROR(VALUE(TRIM(LEFT(I4483,FIND("minute",I4483)-1)))*60,0)+IFERROR(VALUE(SUBSTITUTE(MID(I4483,IFERROR(FIND("and",I4483)+3,1),20),"second(s)","")),0)</f>
        <v/>
      </c>
      <c r="K4483" s="41">
        <f>J4483/60</f>
        <v/>
      </c>
      <c r="L4483" s="41">
        <f>IFERROR(J4483/H4483,"")</f>
        <v/>
      </c>
      <c r="M4483" s="25" t="inlineStr">
        <is>
          <t>2.5.12</t>
        </is>
      </c>
      <c r="N4483" s="25">
        <f>IF(J4483&gt;300,1,0)</f>
        <v/>
      </c>
      <c r="O4483" s="25">
        <f>IF(J4483&gt;600,1,0)</f>
        <v/>
      </c>
      <c r="P4483" s="25">
        <f>IF(H4483&gt;0,J4483,"")</f>
        <v/>
      </c>
      <c r="Q4483" s="25">
        <f>TEXT(A4483,"YYYY-MM-DD HH")</f>
        <v/>
      </c>
      <c r="R4483" s="25">
        <f>COUNTIF($Q$2:$Q$5295,Q4483)</f>
        <v/>
      </c>
      <c r="S4483" s="25">
        <f>IF(R4483&lt;=2,"1-2",IF(R4483&lt;=5,"3-5",IF(R4483&lt;=10,"6-10","11+")))</f>
        <v/>
      </c>
    </row>
    <row r="4484">
      <c r="A4484" s="39" t="n">
        <v>46225.22773148148</v>
      </c>
      <c r="B4484" s="25">
        <f>TEXT(A4484,"YYYY-MM")</f>
        <v/>
      </c>
      <c r="C4484" s="25">
        <f>TEXT(A4484,"MMM-YYYY")</f>
        <v/>
      </c>
      <c r="D4484" s="40">
        <f>INT(A4484)-WEEKDAY(A4484,2)+1</f>
        <v/>
      </c>
      <c r="E4484" s="25" t="inlineStr">
        <is>
          <t>dchoudhury</t>
        </is>
      </c>
      <c r="F4484" s="25" t="n">
        <v>131390</v>
      </c>
      <c r="G4484" s="25" t="n">
        <v>3</v>
      </c>
      <c r="H4484" s="25" t="n">
        <v>15</v>
      </c>
      <c r="I4484" s="25" t="inlineStr">
        <is>
          <t>1 minute(s) and 32 second(s)</t>
        </is>
      </c>
      <c r="J4484" s="25">
        <f>IFERROR(VALUE(TRIM(LEFT(I4484,FIND("minute",I4484)-1)))*60,0)+IFERROR(VALUE(SUBSTITUTE(MID(I4484,IFERROR(FIND("and",I4484)+3,1),20),"second(s)","")),0)</f>
        <v/>
      </c>
      <c r="K4484" s="41">
        <f>J4484/60</f>
        <v/>
      </c>
      <c r="L4484" s="41">
        <f>IFERROR(J4484/H4484,"")</f>
        <v/>
      </c>
      <c r="M4484" s="25" t="inlineStr">
        <is>
          <t>2.5.12</t>
        </is>
      </c>
      <c r="N4484" s="25">
        <f>IF(J4484&gt;300,1,0)</f>
        <v/>
      </c>
      <c r="O4484" s="25">
        <f>IF(J4484&gt;600,1,0)</f>
        <v/>
      </c>
      <c r="P4484" s="25">
        <f>IF(H4484&gt;0,J4484,"")</f>
        <v/>
      </c>
      <c r="Q4484" s="25">
        <f>TEXT(A4484,"YYYY-MM-DD HH")</f>
        <v/>
      </c>
      <c r="R4484" s="25">
        <f>COUNTIF($Q$2:$Q$5295,Q4484)</f>
        <v/>
      </c>
      <c r="S4484" s="25">
        <f>IF(R4484&lt;=2,"1-2",IF(R4484&lt;=5,"3-5",IF(R4484&lt;=10,"6-10","11+")))</f>
        <v/>
      </c>
    </row>
    <row r="4485">
      <c r="A4485" s="39" t="n">
        <v>46225.22958333333</v>
      </c>
      <c r="B4485" s="25">
        <f>TEXT(A4485,"YYYY-MM")</f>
        <v/>
      </c>
      <c r="C4485" s="25">
        <f>TEXT(A4485,"MMM-YYYY")</f>
        <v/>
      </c>
      <c r="D4485" s="40">
        <f>INT(A4485)-WEEKDAY(A4485,2)+1</f>
        <v/>
      </c>
      <c r="E4485" s="25" t="inlineStr">
        <is>
          <t>psathwika</t>
        </is>
      </c>
      <c r="F4485" s="25" t="n">
        <v>129806</v>
      </c>
      <c r="G4485" s="25" t="n">
        <v>4</v>
      </c>
      <c r="H4485" s="25" t="n">
        <v>22</v>
      </c>
      <c r="I4485" s="25" t="inlineStr">
        <is>
          <t>2 minute(s) and 20 second(s)</t>
        </is>
      </c>
      <c r="J4485" s="25">
        <f>IFERROR(VALUE(TRIM(LEFT(I4485,FIND("minute",I4485)-1)))*60,0)+IFERROR(VALUE(SUBSTITUTE(MID(I4485,IFERROR(FIND("and",I4485)+3,1),20),"second(s)","")),0)</f>
        <v/>
      </c>
      <c r="K4485" s="41">
        <f>J4485/60</f>
        <v/>
      </c>
      <c r="L4485" s="41">
        <f>IFERROR(J4485/H4485,"")</f>
        <v/>
      </c>
      <c r="M4485" s="25" t="inlineStr">
        <is>
          <t>2.5.12</t>
        </is>
      </c>
      <c r="N4485" s="25">
        <f>IF(J4485&gt;300,1,0)</f>
        <v/>
      </c>
      <c r="O4485" s="25">
        <f>IF(J4485&gt;600,1,0)</f>
        <v/>
      </c>
      <c r="P4485" s="25">
        <f>IF(H4485&gt;0,J4485,"")</f>
        <v/>
      </c>
      <c r="Q4485" s="25">
        <f>TEXT(A4485,"YYYY-MM-DD HH")</f>
        <v/>
      </c>
      <c r="R4485" s="25">
        <f>COUNTIF($Q$2:$Q$5295,Q4485)</f>
        <v/>
      </c>
      <c r="S4485" s="25">
        <f>IF(R4485&lt;=2,"1-2",IF(R4485&lt;=5,"3-5",IF(R4485&lt;=10,"6-10","11+")))</f>
        <v/>
      </c>
    </row>
    <row r="4486">
      <c r="A4486" s="39" t="n">
        <v>46225.22993055556</v>
      </c>
      <c r="B4486" s="25">
        <f>TEXT(A4486,"YYYY-MM")</f>
        <v/>
      </c>
      <c r="C4486" s="25">
        <f>TEXT(A4486,"MMM-YYYY")</f>
        <v/>
      </c>
      <c r="D4486" s="40">
        <f>INT(A4486)-WEEKDAY(A4486,2)+1</f>
        <v/>
      </c>
      <c r="E4486" s="25" t="inlineStr">
        <is>
          <t>ssneha</t>
        </is>
      </c>
      <c r="F4486" s="25" t="n">
        <v>130215</v>
      </c>
      <c r="G4486" s="25" t="n">
        <v>4</v>
      </c>
      <c r="H4486" s="25" t="n">
        <v>20</v>
      </c>
      <c r="I4486" s="25" t="inlineStr">
        <is>
          <t>2 minute(s) and 46 second(s)</t>
        </is>
      </c>
      <c r="J4486" s="25">
        <f>IFERROR(VALUE(TRIM(LEFT(I4486,FIND("minute",I4486)-1)))*60,0)+IFERROR(VALUE(SUBSTITUTE(MID(I4486,IFERROR(FIND("and",I4486)+3,1),20),"second(s)","")),0)</f>
        <v/>
      </c>
      <c r="K4486" s="41">
        <f>J4486/60</f>
        <v/>
      </c>
      <c r="L4486" s="41">
        <f>IFERROR(J4486/H4486,"")</f>
        <v/>
      </c>
      <c r="M4486" s="25" t="inlineStr">
        <is>
          <t>2.5.12</t>
        </is>
      </c>
      <c r="N4486" s="25">
        <f>IF(J4486&gt;300,1,0)</f>
        <v/>
      </c>
      <c r="O4486" s="25">
        <f>IF(J4486&gt;600,1,0)</f>
        <v/>
      </c>
      <c r="P4486" s="25">
        <f>IF(H4486&gt;0,J4486,"")</f>
        <v/>
      </c>
      <c r="Q4486" s="25">
        <f>TEXT(A4486,"YYYY-MM-DD HH")</f>
        <v/>
      </c>
      <c r="R4486" s="25">
        <f>COUNTIF($Q$2:$Q$5295,Q4486)</f>
        <v/>
      </c>
      <c r="S4486" s="25">
        <f>IF(R4486&lt;=2,"1-2",IF(R4486&lt;=5,"3-5",IF(R4486&lt;=10,"6-10","11+")))</f>
        <v/>
      </c>
    </row>
    <row r="4487">
      <c r="A4487" s="39" t="n">
        <v>46225.23277777778</v>
      </c>
      <c r="B4487" s="25">
        <f>TEXT(A4487,"YYYY-MM")</f>
        <v/>
      </c>
      <c r="C4487" s="25">
        <f>TEXT(A4487,"MMM-YYYY")</f>
        <v/>
      </c>
      <c r="D4487" s="40">
        <f>INT(A4487)-WEEKDAY(A4487,2)+1</f>
        <v/>
      </c>
      <c r="E4487" s="25" t="inlineStr">
        <is>
          <t>aupadhayay</t>
        </is>
      </c>
      <c r="F4487" s="25" t="n">
        <v>131040</v>
      </c>
      <c r="G4487" s="25" t="n">
        <v>1</v>
      </c>
      <c r="H4487" s="25" t="n">
        <v>7</v>
      </c>
      <c r="I4487" s="25" t="inlineStr">
        <is>
          <t>56 second(s)</t>
        </is>
      </c>
      <c r="J4487" s="25">
        <f>IFERROR(VALUE(TRIM(LEFT(I4487,FIND("minute",I4487)-1)))*60,0)+IFERROR(VALUE(SUBSTITUTE(MID(I4487,IFERROR(FIND("and",I4487)+3,1),20),"second(s)","")),0)</f>
        <v/>
      </c>
      <c r="K4487" s="41">
        <f>J4487/60</f>
        <v/>
      </c>
      <c r="L4487" s="41">
        <f>IFERROR(J4487/H4487,"")</f>
        <v/>
      </c>
      <c r="M4487" s="25" t="inlineStr">
        <is>
          <t>2.5.12</t>
        </is>
      </c>
      <c r="N4487" s="25">
        <f>IF(J4487&gt;300,1,0)</f>
        <v/>
      </c>
      <c r="O4487" s="25">
        <f>IF(J4487&gt;600,1,0)</f>
        <v/>
      </c>
      <c r="P4487" s="25">
        <f>IF(H4487&gt;0,J4487,"")</f>
        <v/>
      </c>
      <c r="Q4487" s="25">
        <f>TEXT(A4487,"YYYY-MM-DD HH")</f>
        <v/>
      </c>
      <c r="R4487" s="25">
        <f>COUNTIF($Q$2:$Q$5295,Q4487)</f>
        <v/>
      </c>
      <c r="S4487" s="25">
        <f>IF(R4487&lt;=2,"1-2",IF(R4487&lt;=5,"3-5",IF(R4487&lt;=10,"6-10","11+")))</f>
        <v/>
      </c>
    </row>
    <row r="4488">
      <c r="A4488" s="39" t="n">
        <v>46225.23646990741</v>
      </c>
      <c r="B4488" s="25">
        <f>TEXT(A4488,"YYYY-MM")</f>
        <v/>
      </c>
      <c r="C4488" s="25">
        <f>TEXT(A4488,"MMM-YYYY")</f>
        <v/>
      </c>
      <c r="D4488" s="40">
        <f>INT(A4488)-WEEKDAY(A4488,2)+1</f>
        <v/>
      </c>
      <c r="E4488" s="25" t="inlineStr">
        <is>
          <t>aghosh</t>
        </is>
      </c>
      <c r="F4488" s="25" t="n">
        <v>129768</v>
      </c>
      <c r="G4488" s="25" t="n">
        <v>2</v>
      </c>
      <c r="H4488" s="25" t="n">
        <v>8</v>
      </c>
      <c r="I4488" s="25" t="inlineStr">
        <is>
          <t>43 second(s)</t>
        </is>
      </c>
      <c r="J4488" s="25">
        <f>IFERROR(VALUE(TRIM(LEFT(I4488,FIND("minute",I4488)-1)))*60,0)+IFERROR(VALUE(SUBSTITUTE(MID(I4488,IFERROR(FIND("and",I4488)+3,1),20),"second(s)","")),0)</f>
        <v/>
      </c>
      <c r="K4488" s="41">
        <f>J4488/60</f>
        <v/>
      </c>
      <c r="L4488" s="41">
        <f>IFERROR(J4488/H4488,"")</f>
        <v/>
      </c>
      <c r="M4488" s="25" t="inlineStr">
        <is>
          <t>2.5.12</t>
        </is>
      </c>
      <c r="N4488" s="25">
        <f>IF(J4488&gt;300,1,0)</f>
        <v/>
      </c>
      <c r="O4488" s="25">
        <f>IF(J4488&gt;600,1,0)</f>
        <v/>
      </c>
      <c r="P4488" s="25">
        <f>IF(H4488&gt;0,J4488,"")</f>
        <v/>
      </c>
      <c r="Q4488" s="25">
        <f>TEXT(A4488,"YYYY-MM-DD HH")</f>
        <v/>
      </c>
      <c r="R4488" s="25">
        <f>COUNTIF($Q$2:$Q$5295,Q4488)</f>
        <v/>
      </c>
      <c r="S4488" s="25">
        <f>IF(R4488&lt;=2,"1-2",IF(R4488&lt;=5,"3-5",IF(R4488&lt;=10,"6-10","11+")))</f>
        <v/>
      </c>
    </row>
    <row r="4489">
      <c r="A4489" s="39" t="n">
        <v>46225.23842592593</v>
      </c>
      <c r="B4489" s="25">
        <f>TEXT(A4489,"YYYY-MM")</f>
        <v/>
      </c>
      <c r="C4489" s="25">
        <f>TEXT(A4489,"MMM-YYYY")</f>
        <v/>
      </c>
      <c r="D4489" s="40">
        <f>INT(A4489)-WEEKDAY(A4489,2)+1</f>
        <v/>
      </c>
      <c r="E4489" s="25" t="inlineStr">
        <is>
          <t>shasikha</t>
        </is>
      </c>
      <c r="F4489" s="25" t="n">
        <v>130670</v>
      </c>
      <c r="G4489" s="25" t="n">
        <v>2</v>
      </c>
      <c r="H4489" s="25" t="n">
        <v>12</v>
      </c>
      <c r="I4489" s="25" t="inlineStr">
        <is>
          <t>1 minute(s) and 15 second(s)</t>
        </is>
      </c>
      <c r="J4489" s="25">
        <f>IFERROR(VALUE(TRIM(LEFT(I4489,FIND("minute",I4489)-1)))*60,0)+IFERROR(VALUE(SUBSTITUTE(MID(I4489,IFERROR(FIND("and",I4489)+3,1),20),"second(s)","")),0)</f>
        <v/>
      </c>
      <c r="K4489" s="41">
        <f>J4489/60</f>
        <v/>
      </c>
      <c r="L4489" s="41">
        <f>IFERROR(J4489/H4489,"")</f>
        <v/>
      </c>
      <c r="M4489" s="25" t="inlineStr">
        <is>
          <t>2.5.12</t>
        </is>
      </c>
      <c r="N4489" s="25">
        <f>IF(J4489&gt;300,1,0)</f>
        <v/>
      </c>
      <c r="O4489" s="25">
        <f>IF(J4489&gt;600,1,0)</f>
        <v/>
      </c>
      <c r="P4489" s="25">
        <f>IF(H4489&gt;0,J4489,"")</f>
        <v/>
      </c>
      <c r="Q4489" s="25">
        <f>TEXT(A4489,"YYYY-MM-DD HH")</f>
        <v/>
      </c>
      <c r="R4489" s="25">
        <f>COUNTIF($Q$2:$Q$5295,Q4489)</f>
        <v/>
      </c>
      <c r="S4489" s="25">
        <f>IF(R4489&lt;=2,"1-2",IF(R4489&lt;=5,"3-5",IF(R4489&lt;=10,"6-10","11+")))</f>
        <v/>
      </c>
    </row>
    <row r="4490">
      <c r="A4490" s="39" t="n">
        <v>46225.24270833333</v>
      </c>
      <c r="B4490" s="25">
        <f>TEXT(A4490,"YYYY-MM")</f>
        <v/>
      </c>
      <c r="C4490" s="25">
        <f>TEXT(A4490,"MMM-YYYY")</f>
        <v/>
      </c>
      <c r="D4490" s="40">
        <f>INT(A4490)-WEEKDAY(A4490,2)+1</f>
        <v/>
      </c>
      <c r="E4490" s="25" t="inlineStr">
        <is>
          <t>sasharma</t>
        </is>
      </c>
      <c r="F4490" s="25" t="n">
        <v>130150</v>
      </c>
      <c r="G4490" s="25" t="n">
        <v>1</v>
      </c>
      <c r="H4490" s="25" t="n">
        <v>5</v>
      </c>
      <c r="I4490" s="25" t="inlineStr">
        <is>
          <t>23 second(s)</t>
        </is>
      </c>
      <c r="J4490" s="25">
        <f>IFERROR(VALUE(TRIM(LEFT(I4490,FIND("minute",I4490)-1)))*60,0)+IFERROR(VALUE(SUBSTITUTE(MID(I4490,IFERROR(FIND("and",I4490)+3,1),20),"second(s)","")),0)</f>
        <v/>
      </c>
      <c r="K4490" s="41">
        <f>J4490/60</f>
        <v/>
      </c>
      <c r="L4490" s="41">
        <f>IFERROR(J4490/H4490,"")</f>
        <v/>
      </c>
      <c r="M4490" s="25" t="inlineStr">
        <is>
          <t>2.5.12</t>
        </is>
      </c>
      <c r="N4490" s="25">
        <f>IF(J4490&gt;300,1,0)</f>
        <v/>
      </c>
      <c r="O4490" s="25">
        <f>IF(J4490&gt;600,1,0)</f>
        <v/>
      </c>
      <c r="P4490" s="25">
        <f>IF(H4490&gt;0,J4490,"")</f>
        <v/>
      </c>
      <c r="Q4490" s="25">
        <f>TEXT(A4490,"YYYY-MM-DD HH")</f>
        <v/>
      </c>
      <c r="R4490" s="25">
        <f>COUNTIF($Q$2:$Q$5295,Q4490)</f>
        <v/>
      </c>
      <c r="S4490" s="25">
        <f>IF(R4490&lt;=2,"1-2",IF(R4490&lt;=5,"3-5",IF(R4490&lt;=10,"6-10","11+")))</f>
        <v/>
      </c>
    </row>
    <row r="4491">
      <c r="A4491" s="39" t="n">
        <v>46225.24534722222</v>
      </c>
      <c r="B4491" s="25">
        <f>TEXT(A4491,"YYYY-MM")</f>
        <v/>
      </c>
      <c r="C4491" s="25">
        <f>TEXT(A4491,"MMM-YYYY")</f>
        <v/>
      </c>
      <c r="D4491" s="40">
        <f>INT(A4491)-WEEKDAY(A4491,2)+1</f>
        <v/>
      </c>
      <c r="E4491" s="25" t="inlineStr">
        <is>
          <t>asahoo</t>
        </is>
      </c>
      <c r="F4491" s="25" t="n">
        <v>132303</v>
      </c>
      <c r="G4491" s="25" t="n">
        <v>4</v>
      </c>
      <c r="H4491" s="25" t="n">
        <v>14</v>
      </c>
      <c r="I4491" s="25" t="inlineStr">
        <is>
          <t>1 minute(s) and 22 second(s)</t>
        </is>
      </c>
      <c r="J4491" s="25">
        <f>IFERROR(VALUE(TRIM(LEFT(I4491,FIND("minute",I4491)-1)))*60,0)+IFERROR(VALUE(SUBSTITUTE(MID(I4491,IFERROR(FIND("and",I4491)+3,1),20),"second(s)","")),0)</f>
        <v/>
      </c>
      <c r="K4491" s="41">
        <f>J4491/60</f>
        <v/>
      </c>
      <c r="L4491" s="41">
        <f>IFERROR(J4491/H4491,"")</f>
        <v/>
      </c>
      <c r="M4491" s="25" t="inlineStr">
        <is>
          <t>2.5.12</t>
        </is>
      </c>
      <c r="N4491" s="25">
        <f>IF(J4491&gt;300,1,0)</f>
        <v/>
      </c>
      <c r="O4491" s="25">
        <f>IF(J4491&gt;600,1,0)</f>
        <v/>
      </c>
      <c r="P4491" s="25">
        <f>IF(H4491&gt;0,J4491,"")</f>
        <v/>
      </c>
      <c r="Q4491" s="25">
        <f>TEXT(A4491,"YYYY-MM-DD HH")</f>
        <v/>
      </c>
      <c r="R4491" s="25">
        <f>COUNTIF($Q$2:$Q$5295,Q4491)</f>
        <v/>
      </c>
      <c r="S4491" s="25">
        <f>IF(R4491&lt;=2,"1-2",IF(R4491&lt;=5,"3-5",IF(R4491&lt;=10,"6-10","11+")))</f>
        <v/>
      </c>
    </row>
    <row r="4492">
      <c r="A4492" s="39" t="n">
        <v>46225.24770833334</v>
      </c>
      <c r="B4492" s="25">
        <f>TEXT(A4492,"YYYY-MM")</f>
        <v/>
      </c>
      <c r="C4492" s="25">
        <f>TEXT(A4492,"MMM-YYYY")</f>
        <v/>
      </c>
      <c r="D4492" s="40">
        <f>INT(A4492)-WEEKDAY(A4492,2)+1</f>
        <v/>
      </c>
      <c r="E4492" s="25" t="inlineStr">
        <is>
          <t>shassan</t>
        </is>
      </c>
      <c r="F4492" s="25" t="n">
        <v>130510</v>
      </c>
      <c r="G4492" s="25" t="n">
        <v>4</v>
      </c>
      <c r="H4492" s="25" t="n">
        <v>20</v>
      </c>
      <c r="I4492" s="25" t="inlineStr">
        <is>
          <t>1 minute(s) and 52 second(s)</t>
        </is>
      </c>
      <c r="J4492" s="25">
        <f>IFERROR(VALUE(TRIM(LEFT(I4492,FIND("minute",I4492)-1)))*60,0)+IFERROR(VALUE(SUBSTITUTE(MID(I4492,IFERROR(FIND("and",I4492)+3,1),20),"second(s)","")),0)</f>
        <v/>
      </c>
      <c r="K4492" s="41">
        <f>J4492/60</f>
        <v/>
      </c>
      <c r="L4492" s="41">
        <f>IFERROR(J4492/H4492,"")</f>
        <v/>
      </c>
      <c r="M4492" s="25" t="inlineStr">
        <is>
          <t>2.5.12</t>
        </is>
      </c>
      <c r="N4492" s="25">
        <f>IF(J4492&gt;300,1,0)</f>
        <v/>
      </c>
      <c r="O4492" s="25">
        <f>IF(J4492&gt;600,1,0)</f>
        <v/>
      </c>
      <c r="P4492" s="25">
        <f>IF(H4492&gt;0,J4492,"")</f>
        <v/>
      </c>
      <c r="Q4492" s="25">
        <f>TEXT(A4492,"YYYY-MM-DD HH")</f>
        <v/>
      </c>
      <c r="R4492" s="25">
        <f>COUNTIF($Q$2:$Q$5295,Q4492)</f>
        <v/>
      </c>
      <c r="S4492" s="25">
        <f>IF(R4492&lt;=2,"1-2",IF(R4492&lt;=5,"3-5",IF(R4492&lt;=10,"6-10","11+")))</f>
        <v/>
      </c>
    </row>
    <row r="4493">
      <c r="A4493" s="39" t="n">
        <v>46225.24875</v>
      </c>
      <c r="B4493" s="25">
        <f>TEXT(A4493,"YYYY-MM")</f>
        <v/>
      </c>
      <c r="C4493" s="25">
        <f>TEXT(A4493,"MMM-YYYY")</f>
        <v/>
      </c>
      <c r="D4493" s="40">
        <f>INT(A4493)-WEEKDAY(A4493,2)+1</f>
        <v/>
      </c>
      <c r="E4493" s="25" t="inlineStr">
        <is>
          <t>kkumar</t>
        </is>
      </c>
      <c r="F4493" s="25" t="n">
        <v>132432</v>
      </c>
      <c r="G4493" s="25" t="n">
        <v>2</v>
      </c>
      <c r="H4493" s="25" t="n">
        <v>8</v>
      </c>
      <c r="I4493" s="25" t="inlineStr">
        <is>
          <t>38 second(s)</t>
        </is>
      </c>
      <c r="J4493" s="25">
        <f>IFERROR(VALUE(TRIM(LEFT(I4493,FIND("minute",I4493)-1)))*60,0)+IFERROR(VALUE(SUBSTITUTE(MID(I4493,IFERROR(FIND("and",I4493)+3,1),20),"second(s)","")),0)</f>
        <v/>
      </c>
      <c r="K4493" s="41">
        <f>J4493/60</f>
        <v/>
      </c>
      <c r="L4493" s="41">
        <f>IFERROR(J4493/H4493,"")</f>
        <v/>
      </c>
      <c r="M4493" s="25" t="inlineStr">
        <is>
          <t>2.5.12</t>
        </is>
      </c>
      <c r="N4493" s="25">
        <f>IF(J4493&gt;300,1,0)</f>
        <v/>
      </c>
      <c r="O4493" s="25">
        <f>IF(J4493&gt;600,1,0)</f>
        <v/>
      </c>
      <c r="P4493" s="25">
        <f>IF(H4493&gt;0,J4493,"")</f>
        <v/>
      </c>
      <c r="Q4493" s="25">
        <f>TEXT(A4493,"YYYY-MM-DD HH")</f>
        <v/>
      </c>
      <c r="R4493" s="25">
        <f>COUNTIF($Q$2:$Q$5295,Q4493)</f>
        <v/>
      </c>
      <c r="S4493" s="25">
        <f>IF(R4493&lt;=2,"1-2",IF(R4493&lt;=5,"3-5",IF(R4493&lt;=10,"6-10","11+")))</f>
        <v/>
      </c>
    </row>
    <row r="4494">
      <c r="A4494" s="39" t="n">
        <v>46225.27597222223</v>
      </c>
      <c r="B4494" s="25">
        <f>TEXT(A4494,"YYYY-MM")</f>
        <v/>
      </c>
      <c r="C4494" s="25">
        <f>TEXT(A4494,"MMM-YYYY")</f>
        <v/>
      </c>
      <c r="D4494" s="40">
        <f>INT(A4494)-WEEKDAY(A4494,2)+1</f>
        <v/>
      </c>
      <c r="E4494" s="25" t="inlineStr">
        <is>
          <t>pgautam</t>
        </is>
      </c>
      <c r="F4494" s="25" t="n">
        <v>132740</v>
      </c>
      <c r="G4494" s="25" t="n">
        <v>4</v>
      </c>
      <c r="H4494" s="25" t="n">
        <v>12</v>
      </c>
      <c r="I4494" s="25" t="inlineStr">
        <is>
          <t>1 minute(s) and 53 second(s)</t>
        </is>
      </c>
      <c r="J4494" s="25">
        <f>IFERROR(VALUE(TRIM(LEFT(I4494,FIND("minute",I4494)-1)))*60,0)+IFERROR(VALUE(SUBSTITUTE(MID(I4494,IFERROR(FIND("and",I4494)+3,1),20),"second(s)","")),0)</f>
        <v/>
      </c>
      <c r="K4494" s="41">
        <f>J4494/60</f>
        <v/>
      </c>
      <c r="L4494" s="41">
        <f>IFERROR(J4494/H4494,"")</f>
        <v/>
      </c>
      <c r="M4494" s="25" t="inlineStr">
        <is>
          <t>2.5.12</t>
        </is>
      </c>
      <c r="N4494" s="25">
        <f>IF(J4494&gt;300,1,0)</f>
        <v/>
      </c>
      <c r="O4494" s="25">
        <f>IF(J4494&gt;600,1,0)</f>
        <v/>
      </c>
      <c r="P4494" s="25">
        <f>IF(H4494&gt;0,J4494,"")</f>
        <v/>
      </c>
      <c r="Q4494" s="25">
        <f>TEXT(A4494,"YYYY-MM-DD HH")</f>
        <v/>
      </c>
      <c r="R4494" s="25">
        <f>COUNTIF($Q$2:$Q$5295,Q4494)</f>
        <v/>
      </c>
      <c r="S4494" s="25">
        <f>IF(R4494&lt;=2,"1-2",IF(R4494&lt;=5,"3-5",IF(R4494&lt;=10,"6-10","11+")))</f>
        <v/>
      </c>
    </row>
    <row r="4495">
      <c r="A4495" s="39" t="n">
        <v>46225.27667824074</v>
      </c>
      <c r="B4495" s="25">
        <f>TEXT(A4495,"YYYY-MM")</f>
        <v/>
      </c>
      <c r="C4495" s="25">
        <f>TEXT(A4495,"MMM-YYYY")</f>
        <v/>
      </c>
      <c r="D4495" s="40">
        <f>INT(A4495)-WEEKDAY(A4495,2)+1</f>
        <v/>
      </c>
      <c r="E4495" s="25" t="inlineStr">
        <is>
          <t>csaha</t>
        </is>
      </c>
      <c r="F4495" s="25" t="n">
        <v>130942</v>
      </c>
      <c r="G4495" s="25" t="n">
        <v>2</v>
      </c>
      <c r="H4495" s="25" t="n">
        <v>6</v>
      </c>
      <c r="I4495" s="25" t="inlineStr">
        <is>
          <t>49 second(s)</t>
        </is>
      </c>
      <c r="J4495" s="25">
        <f>IFERROR(VALUE(TRIM(LEFT(I4495,FIND("minute",I4495)-1)))*60,0)+IFERROR(VALUE(SUBSTITUTE(MID(I4495,IFERROR(FIND("and",I4495)+3,1),20),"second(s)","")),0)</f>
        <v/>
      </c>
      <c r="K4495" s="41">
        <f>J4495/60</f>
        <v/>
      </c>
      <c r="L4495" s="41">
        <f>IFERROR(J4495/H4495,"")</f>
        <v/>
      </c>
      <c r="M4495" s="25" t="inlineStr">
        <is>
          <t>2.5.12</t>
        </is>
      </c>
      <c r="N4495" s="25">
        <f>IF(J4495&gt;300,1,0)</f>
        <v/>
      </c>
      <c r="O4495" s="25">
        <f>IF(J4495&gt;600,1,0)</f>
        <v/>
      </c>
      <c r="P4495" s="25">
        <f>IF(H4495&gt;0,J4495,"")</f>
        <v/>
      </c>
      <c r="Q4495" s="25">
        <f>TEXT(A4495,"YYYY-MM-DD HH")</f>
        <v/>
      </c>
      <c r="R4495" s="25">
        <f>COUNTIF($Q$2:$Q$5295,Q4495)</f>
        <v/>
      </c>
      <c r="S4495" s="25">
        <f>IF(R4495&lt;=2,"1-2",IF(R4495&lt;=5,"3-5",IF(R4495&lt;=10,"6-10","11+")))</f>
        <v/>
      </c>
    </row>
    <row r="4496">
      <c r="A4496" s="39" t="n">
        <v>46225.27708333333</v>
      </c>
      <c r="B4496" s="25">
        <f>TEXT(A4496,"YYYY-MM")</f>
        <v/>
      </c>
      <c r="C4496" s="25">
        <f>TEXT(A4496,"MMM-YYYY")</f>
        <v/>
      </c>
      <c r="D4496" s="40">
        <f>INT(A4496)-WEEKDAY(A4496,2)+1</f>
        <v/>
      </c>
      <c r="E4496" s="25" t="inlineStr">
        <is>
          <t>ns</t>
        </is>
      </c>
      <c r="F4496" s="25" t="n">
        <v>131063</v>
      </c>
      <c r="G4496" s="25" t="n">
        <v>4</v>
      </c>
      <c r="H4496" s="25" t="n">
        <v>16</v>
      </c>
      <c r="I4496" s="25" t="inlineStr">
        <is>
          <t>1 minute(s) and 47 second(s)</t>
        </is>
      </c>
      <c r="J4496" s="25">
        <f>IFERROR(VALUE(TRIM(LEFT(I4496,FIND("minute",I4496)-1)))*60,0)+IFERROR(VALUE(SUBSTITUTE(MID(I4496,IFERROR(FIND("and",I4496)+3,1),20),"second(s)","")),0)</f>
        <v/>
      </c>
      <c r="K4496" s="41">
        <f>J4496/60</f>
        <v/>
      </c>
      <c r="L4496" s="41">
        <f>IFERROR(J4496/H4496,"")</f>
        <v/>
      </c>
      <c r="M4496" s="25" t="inlineStr">
        <is>
          <t>2.5.12</t>
        </is>
      </c>
      <c r="N4496" s="25">
        <f>IF(J4496&gt;300,1,0)</f>
        <v/>
      </c>
      <c r="O4496" s="25">
        <f>IF(J4496&gt;600,1,0)</f>
        <v/>
      </c>
      <c r="P4496" s="25">
        <f>IF(H4496&gt;0,J4496,"")</f>
        <v/>
      </c>
      <c r="Q4496" s="25">
        <f>TEXT(A4496,"YYYY-MM-DD HH")</f>
        <v/>
      </c>
      <c r="R4496" s="25">
        <f>COUNTIF($Q$2:$Q$5295,Q4496)</f>
        <v/>
      </c>
      <c r="S4496" s="25">
        <f>IF(R4496&lt;=2,"1-2",IF(R4496&lt;=5,"3-5",IF(R4496&lt;=10,"6-10","11+")))</f>
        <v/>
      </c>
    </row>
    <row r="4497">
      <c r="A4497" s="39" t="n">
        <v>46225.28077546296</v>
      </c>
      <c r="B4497" s="25">
        <f>TEXT(A4497,"YYYY-MM")</f>
        <v/>
      </c>
      <c r="C4497" s="25">
        <f>TEXT(A4497,"MMM-YYYY")</f>
        <v/>
      </c>
      <c r="D4497" s="40">
        <f>INT(A4497)-WEEKDAY(A4497,2)+1</f>
        <v/>
      </c>
      <c r="E4497" s="25" t="inlineStr">
        <is>
          <t>bverma</t>
        </is>
      </c>
      <c r="F4497" s="25" t="n">
        <v>131647</v>
      </c>
      <c r="G4497" s="25" t="n">
        <v>4</v>
      </c>
      <c r="H4497" s="25" t="n">
        <v>20</v>
      </c>
      <c r="I4497" s="25" t="inlineStr">
        <is>
          <t>4 minute(s) and 21 second(s)</t>
        </is>
      </c>
      <c r="J4497" s="25">
        <f>IFERROR(VALUE(TRIM(LEFT(I4497,FIND("minute",I4497)-1)))*60,0)+IFERROR(VALUE(SUBSTITUTE(MID(I4497,IFERROR(FIND("and",I4497)+3,1),20),"second(s)","")),0)</f>
        <v/>
      </c>
      <c r="K4497" s="41">
        <f>J4497/60</f>
        <v/>
      </c>
      <c r="L4497" s="41">
        <f>IFERROR(J4497/H4497,"")</f>
        <v/>
      </c>
      <c r="M4497" s="25" t="inlineStr">
        <is>
          <t>2.5.12</t>
        </is>
      </c>
      <c r="N4497" s="25">
        <f>IF(J4497&gt;300,1,0)</f>
        <v/>
      </c>
      <c r="O4497" s="25">
        <f>IF(J4497&gt;600,1,0)</f>
        <v/>
      </c>
      <c r="P4497" s="25">
        <f>IF(H4497&gt;0,J4497,"")</f>
        <v/>
      </c>
      <c r="Q4497" s="25">
        <f>TEXT(A4497,"YYYY-MM-DD HH")</f>
        <v/>
      </c>
      <c r="R4497" s="25">
        <f>COUNTIF($Q$2:$Q$5295,Q4497)</f>
        <v/>
      </c>
      <c r="S4497" s="25">
        <f>IF(R4497&lt;=2,"1-2",IF(R4497&lt;=5,"3-5",IF(R4497&lt;=10,"6-10","11+")))</f>
        <v/>
      </c>
    </row>
    <row r="4498">
      <c r="A4498" s="39" t="n">
        <v>46225.28355324074</v>
      </c>
      <c r="B4498" s="25">
        <f>TEXT(A4498,"YYYY-MM")</f>
        <v/>
      </c>
      <c r="C4498" s="25">
        <f>TEXT(A4498,"MMM-YYYY")</f>
        <v/>
      </c>
      <c r="D4498" s="40">
        <f>INT(A4498)-WEEKDAY(A4498,2)+1</f>
        <v/>
      </c>
      <c r="E4498" s="25" t="inlineStr">
        <is>
          <t>sswati</t>
        </is>
      </c>
      <c r="F4498" s="25" t="n">
        <v>129832</v>
      </c>
      <c r="G4498" s="25" t="n">
        <v>2</v>
      </c>
      <c r="H4498" s="25" t="n">
        <v>8</v>
      </c>
      <c r="I4498" s="25" t="inlineStr">
        <is>
          <t>46 second(s)</t>
        </is>
      </c>
      <c r="J4498" s="25">
        <f>IFERROR(VALUE(TRIM(LEFT(I4498,FIND("minute",I4498)-1)))*60,0)+IFERROR(VALUE(SUBSTITUTE(MID(I4498,IFERROR(FIND("and",I4498)+3,1),20),"second(s)","")),0)</f>
        <v/>
      </c>
      <c r="K4498" s="41">
        <f>J4498/60</f>
        <v/>
      </c>
      <c r="L4498" s="41">
        <f>IFERROR(J4498/H4498,"")</f>
        <v/>
      </c>
      <c r="M4498" s="25" t="inlineStr">
        <is>
          <t>2.5.12</t>
        </is>
      </c>
      <c r="N4498" s="25">
        <f>IF(J4498&gt;300,1,0)</f>
        <v/>
      </c>
      <c r="O4498" s="25">
        <f>IF(J4498&gt;600,1,0)</f>
        <v/>
      </c>
      <c r="P4498" s="25">
        <f>IF(H4498&gt;0,J4498,"")</f>
        <v/>
      </c>
      <c r="Q4498" s="25">
        <f>TEXT(A4498,"YYYY-MM-DD HH")</f>
        <v/>
      </c>
      <c r="R4498" s="25">
        <f>COUNTIF($Q$2:$Q$5295,Q4498)</f>
        <v/>
      </c>
      <c r="S4498" s="25">
        <f>IF(R4498&lt;=2,"1-2",IF(R4498&lt;=5,"3-5",IF(R4498&lt;=10,"6-10","11+")))</f>
        <v/>
      </c>
    </row>
    <row r="4499">
      <c r="A4499" s="39" t="n">
        <v>46225.2862037037</v>
      </c>
      <c r="B4499" s="25">
        <f>TEXT(A4499,"YYYY-MM")</f>
        <v/>
      </c>
      <c r="C4499" s="25">
        <f>TEXT(A4499,"MMM-YYYY")</f>
        <v/>
      </c>
      <c r="D4499" s="40">
        <f>INT(A4499)-WEEKDAY(A4499,2)+1</f>
        <v/>
      </c>
      <c r="E4499" s="25" t="inlineStr">
        <is>
          <t>asahoo</t>
        </is>
      </c>
      <c r="F4499" s="25" t="n">
        <v>132295</v>
      </c>
      <c r="G4499" s="25" t="n">
        <v>4</v>
      </c>
      <c r="H4499" s="25" t="n">
        <v>14</v>
      </c>
      <c r="I4499" s="25" t="inlineStr">
        <is>
          <t>1 minute(s) and 21 second(s)</t>
        </is>
      </c>
      <c r="J4499" s="25">
        <f>IFERROR(VALUE(TRIM(LEFT(I4499,FIND("minute",I4499)-1)))*60,0)+IFERROR(VALUE(SUBSTITUTE(MID(I4499,IFERROR(FIND("and",I4499)+3,1),20),"second(s)","")),0)</f>
        <v/>
      </c>
      <c r="K4499" s="41">
        <f>J4499/60</f>
        <v/>
      </c>
      <c r="L4499" s="41">
        <f>IFERROR(J4499/H4499,"")</f>
        <v/>
      </c>
      <c r="M4499" s="25" t="inlineStr">
        <is>
          <t>2.5.12</t>
        </is>
      </c>
      <c r="N4499" s="25">
        <f>IF(J4499&gt;300,1,0)</f>
        <v/>
      </c>
      <c r="O4499" s="25">
        <f>IF(J4499&gt;600,1,0)</f>
        <v/>
      </c>
      <c r="P4499" s="25">
        <f>IF(H4499&gt;0,J4499,"")</f>
        <v/>
      </c>
      <c r="Q4499" s="25">
        <f>TEXT(A4499,"YYYY-MM-DD HH")</f>
        <v/>
      </c>
      <c r="R4499" s="25">
        <f>COUNTIF($Q$2:$Q$5295,Q4499)</f>
        <v/>
      </c>
      <c r="S4499" s="25">
        <f>IF(R4499&lt;=2,"1-2",IF(R4499&lt;=5,"3-5",IF(R4499&lt;=10,"6-10","11+")))</f>
        <v/>
      </c>
    </row>
    <row r="4500">
      <c r="A4500" s="39" t="n">
        <v>46225.28783564815</v>
      </c>
      <c r="B4500" s="25">
        <f>TEXT(A4500,"YYYY-MM")</f>
        <v/>
      </c>
      <c r="C4500" s="25">
        <f>TEXT(A4500,"MMM-YYYY")</f>
        <v/>
      </c>
      <c r="D4500" s="40">
        <f>INT(A4500)-WEEKDAY(A4500,2)+1</f>
        <v/>
      </c>
      <c r="E4500" s="25" t="inlineStr">
        <is>
          <t>sasharma</t>
        </is>
      </c>
      <c r="F4500" s="25" t="n">
        <v>130158</v>
      </c>
      <c r="G4500" s="25" t="n">
        <v>2</v>
      </c>
      <c r="H4500" s="25" t="n">
        <v>10</v>
      </c>
      <c r="I4500" s="25" t="inlineStr">
        <is>
          <t>1 minute(s) and 39 second(s)</t>
        </is>
      </c>
      <c r="J4500" s="25">
        <f>IFERROR(VALUE(TRIM(LEFT(I4500,FIND("minute",I4500)-1)))*60,0)+IFERROR(VALUE(SUBSTITUTE(MID(I4500,IFERROR(FIND("and",I4500)+3,1),20),"second(s)","")),0)</f>
        <v/>
      </c>
      <c r="K4500" s="41">
        <f>J4500/60</f>
        <v/>
      </c>
      <c r="L4500" s="41">
        <f>IFERROR(J4500/H4500,"")</f>
        <v/>
      </c>
      <c r="M4500" s="25" t="inlineStr">
        <is>
          <t>2.5.12</t>
        </is>
      </c>
      <c r="N4500" s="25">
        <f>IF(J4500&gt;300,1,0)</f>
        <v/>
      </c>
      <c r="O4500" s="25">
        <f>IF(J4500&gt;600,1,0)</f>
        <v/>
      </c>
      <c r="P4500" s="25">
        <f>IF(H4500&gt;0,J4500,"")</f>
        <v/>
      </c>
      <c r="Q4500" s="25">
        <f>TEXT(A4500,"YYYY-MM-DD HH")</f>
        <v/>
      </c>
      <c r="R4500" s="25">
        <f>COUNTIF($Q$2:$Q$5295,Q4500)</f>
        <v/>
      </c>
      <c r="S4500" s="25">
        <f>IF(R4500&lt;=2,"1-2",IF(R4500&lt;=5,"3-5",IF(R4500&lt;=10,"6-10","11+")))</f>
        <v/>
      </c>
    </row>
    <row r="4501">
      <c r="A4501" s="39" t="n">
        <v>46225.29141203704</v>
      </c>
      <c r="B4501" s="25">
        <f>TEXT(A4501,"YYYY-MM")</f>
        <v/>
      </c>
      <c r="C4501" s="25">
        <f>TEXT(A4501,"MMM-YYYY")</f>
        <v/>
      </c>
      <c r="D4501" s="40">
        <f>INT(A4501)-WEEKDAY(A4501,2)+1</f>
        <v/>
      </c>
      <c r="E4501" s="25" t="inlineStr">
        <is>
          <t>ethomas</t>
        </is>
      </c>
      <c r="F4501" s="25" t="n">
        <v>131406</v>
      </c>
      <c r="G4501" s="25" t="n">
        <v>4</v>
      </c>
      <c r="H4501" s="25" t="n">
        <v>26</v>
      </c>
      <c r="I4501" s="25" t="inlineStr">
        <is>
          <t>3 minute(s) and 23 second(s)</t>
        </is>
      </c>
      <c r="J4501" s="25">
        <f>IFERROR(VALUE(TRIM(LEFT(I4501,FIND("minute",I4501)-1)))*60,0)+IFERROR(VALUE(SUBSTITUTE(MID(I4501,IFERROR(FIND("and",I4501)+3,1),20),"second(s)","")),0)</f>
        <v/>
      </c>
      <c r="K4501" s="41">
        <f>J4501/60</f>
        <v/>
      </c>
      <c r="L4501" s="41">
        <f>IFERROR(J4501/H4501,"")</f>
        <v/>
      </c>
      <c r="M4501" s="25" t="inlineStr">
        <is>
          <t>2.5.12</t>
        </is>
      </c>
      <c r="N4501" s="25">
        <f>IF(J4501&gt;300,1,0)</f>
        <v/>
      </c>
      <c r="O4501" s="25">
        <f>IF(J4501&gt;600,1,0)</f>
        <v/>
      </c>
      <c r="P4501" s="25">
        <f>IF(H4501&gt;0,J4501,"")</f>
        <v/>
      </c>
      <c r="Q4501" s="25">
        <f>TEXT(A4501,"YYYY-MM-DD HH")</f>
        <v/>
      </c>
      <c r="R4501" s="25">
        <f>COUNTIF($Q$2:$Q$5295,Q4501)</f>
        <v/>
      </c>
      <c r="S4501" s="25">
        <f>IF(R4501&lt;=2,"1-2",IF(R4501&lt;=5,"3-5",IF(R4501&lt;=10,"6-10","11+")))</f>
        <v/>
      </c>
    </row>
    <row r="4502">
      <c r="A4502" s="39" t="n">
        <v>46225.29778935185</v>
      </c>
      <c r="B4502" s="25">
        <f>TEXT(A4502,"YYYY-MM")</f>
        <v/>
      </c>
      <c r="C4502" s="25">
        <f>TEXT(A4502,"MMM-YYYY")</f>
        <v/>
      </c>
      <c r="D4502" s="40">
        <f>INT(A4502)-WEEKDAY(A4502,2)+1</f>
        <v/>
      </c>
      <c r="E4502" s="25" t="inlineStr">
        <is>
          <t>psathwika</t>
        </is>
      </c>
      <c r="F4502" s="25" t="n">
        <v>129782</v>
      </c>
      <c r="G4502" s="25" t="n">
        <v>3</v>
      </c>
      <c r="H4502" s="25" t="n">
        <v>15</v>
      </c>
      <c r="I4502" s="25" t="inlineStr">
        <is>
          <t>1 minute(s) and 24 second(s)</t>
        </is>
      </c>
      <c r="J4502" s="25">
        <f>IFERROR(VALUE(TRIM(LEFT(I4502,FIND("minute",I4502)-1)))*60,0)+IFERROR(VALUE(SUBSTITUTE(MID(I4502,IFERROR(FIND("and",I4502)+3,1),20),"second(s)","")),0)</f>
        <v/>
      </c>
      <c r="K4502" s="41">
        <f>J4502/60</f>
        <v/>
      </c>
      <c r="L4502" s="41">
        <f>IFERROR(J4502/H4502,"")</f>
        <v/>
      </c>
      <c r="M4502" s="25" t="inlineStr">
        <is>
          <t>2.5.12</t>
        </is>
      </c>
      <c r="N4502" s="25">
        <f>IF(J4502&gt;300,1,0)</f>
        <v/>
      </c>
      <c r="O4502" s="25">
        <f>IF(J4502&gt;600,1,0)</f>
        <v/>
      </c>
      <c r="P4502" s="25">
        <f>IF(H4502&gt;0,J4502,"")</f>
        <v/>
      </c>
      <c r="Q4502" s="25">
        <f>TEXT(A4502,"YYYY-MM-DD HH")</f>
        <v/>
      </c>
      <c r="R4502" s="25">
        <f>COUNTIF($Q$2:$Q$5295,Q4502)</f>
        <v/>
      </c>
      <c r="S4502" s="25">
        <f>IF(R4502&lt;=2,"1-2",IF(R4502&lt;=5,"3-5",IF(R4502&lt;=10,"6-10","11+")))</f>
        <v/>
      </c>
    </row>
    <row r="4503">
      <c r="A4503" s="39" t="n">
        <v>46225.29822916666</v>
      </c>
      <c r="B4503" s="25">
        <f>TEXT(A4503,"YYYY-MM")</f>
        <v/>
      </c>
      <c r="C4503" s="25">
        <f>TEXT(A4503,"MMM-YYYY")</f>
        <v/>
      </c>
      <c r="D4503" s="40">
        <f>INT(A4503)-WEEKDAY(A4503,2)+1</f>
        <v/>
      </c>
      <c r="E4503" s="25" t="inlineStr">
        <is>
          <t>sthomas</t>
        </is>
      </c>
      <c r="F4503" s="25" t="n">
        <v>130623</v>
      </c>
      <c r="G4503" s="25" t="n">
        <v>4</v>
      </c>
      <c r="H4503" s="25" t="n">
        <v>21</v>
      </c>
      <c r="I4503" s="25" t="inlineStr">
        <is>
          <t>2 minute(s) and 16 second(s)</t>
        </is>
      </c>
      <c r="J4503" s="25">
        <f>IFERROR(VALUE(TRIM(LEFT(I4503,FIND("minute",I4503)-1)))*60,0)+IFERROR(VALUE(SUBSTITUTE(MID(I4503,IFERROR(FIND("and",I4503)+3,1),20),"second(s)","")),0)</f>
        <v/>
      </c>
      <c r="K4503" s="41">
        <f>J4503/60</f>
        <v/>
      </c>
      <c r="L4503" s="41">
        <f>IFERROR(J4503/H4503,"")</f>
        <v/>
      </c>
      <c r="M4503" s="25" t="inlineStr">
        <is>
          <t>2.5.12</t>
        </is>
      </c>
      <c r="N4503" s="25">
        <f>IF(J4503&gt;300,1,0)</f>
        <v/>
      </c>
      <c r="O4503" s="25">
        <f>IF(J4503&gt;600,1,0)</f>
        <v/>
      </c>
      <c r="P4503" s="25">
        <f>IF(H4503&gt;0,J4503,"")</f>
        <v/>
      </c>
      <c r="Q4503" s="25">
        <f>TEXT(A4503,"YYYY-MM-DD HH")</f>
        <v/>
      </c>
      <c r="R4503" s="25">
        <f>COUNTIF($Q$2:$Q$5295,Q4503)</f>
        <v/>
      </c>
      <c r="S4503" s="25">
        <f>IF(R4503&lt;=2,"1-2",IF(R4503&lt;=5,"3-5",IF(R4503&lt;=10,"6-10","11+")))</f>
        <v/>
      </c>
    </row>
    <row r="4504">
      <c r="A4504" s="39" t="n">
        <v>46225.30287037037</v>
      </c>
      <c r="B4504" s="25">
        <f>TEXT(A4504,"YYYY-MM")</f>
        <v/>
      </c>
      <c r="C4504" s="25">
        <f>TEXT(A4504,"MMM-YYYY")</f>
        <v/>
      </c>
      <c r="D4504" s="40">
        <f>INT(A4504)-WEEKDAY(A4504,2)+1</f>
        <v/>
      </c>
      <c r="E4504" s="25" t="inlineStr">
        <is>
          <t>ssrinivasan</t>
        </is>
      </c>
      <c r="F4504" s="25" t="n">
        <v>129695</v>
      </c>
      <c r="G4504" s="25" t="n">
        <v>2</v>
      </c>
      <c r="H4504" s="25" t="n">
        <v>10</v>
      </c>
      <c r="I4504" s="25" t="inlineStr">
        <is>
          <t>1 minute(s) and 12 second(s)</t>
        </is>
      </c>
      <c r="J4504" s="25">
        <f>IFERROR(VALUE(TRIM(LEFT(I4504,FIND("minute",I4504)-1)))*60,0)+IFERROR(VALUE(SUBSTITUTE(MID(I4504,IFERROR(FIND("and",I4504)+3,1),20),"second(s)","")),0)</f>
        <v/>
      </c>
      <c r="K4504" s="41">
        <f>J4504/60</f>
        <v/>
      </c>
      <c r="L4504" s="41">
        <f>IFERROR(J4504/H4504,"")</f>
        <v/>
      </c>
      <c r="M4504" s="25" t="inlineStr">
        <is>
          <t>2.5.12</t>
        </is>
      </c>
      <c r="N4504" s="25">
        <f>IF(J4504&gt;300,1,0)</f>
        <v/>
      </c>
      <c r="O4504" s="25">
        <f>IF(J4504&gt;600,1,0)</f>
        <v/>
      </c>
      <c r="P4504" s="25">
        <f>IF(H4504&gt;0,J4504,"")</f>
        <v/>
      </c>
      <c r="Q4504" s="25">
        <f>TEXT(A4504,"YYYY-MM-DD HH")</f>
        <v/>
      </c>
      <c r="R4504" s="25">
        <f>COUNTIF($Q$2:$Q$5295,Q4504)</f>
        <v/>
      </c>
      <c r="S4504" s="25">
        <f>IF(R4504&lt;=2,"1-2",IF(R4504&lt;=5,"3-5",IF(R4504&lt;=10,"6-10","11+")))</f>
        <v/>
      </c>
    </row>
    <row r="4505">
      <c r="A4505" s="39" t="n">
        <v>46225.32034722222</v>
      </c>
      <c r="B4505" s="25">
        <f>TEXT(A4505,"YYYY-MM")</f>
        <v/>
      </c>
      <c r="C4505" s="25">
        <f>TEXT(A4505,"MMM-YYYY")</f>
        <v/>
      </c>
      <c r="D4505" s="40">
        <f>INT(A4505)-WEEKDAY(A4505,2)+1</f>
        <v/>
      </c>
      <c r="E4505" s="25" t="inlineStr">
        <is>
          <t>sdey</t>
        </is>
      </c>
      <c r="F4505" s="25" t="n">
        <v>129249</v>
      </c>
      <c r="G4505" s="25" t="n">
        <v>1</v>
      </c>
      <c r="H4505" s="25" t="n">
        <v>3</v>
      </c>
      <c r="I4505" s="25" t="inlineStr">
        <is>
          <t>21 second(s)</t>
        </is>
      </c>
      <c r="J4505" s="25">
        <f>IFERROR(VALUE(TRIM(LEFT(I4505,FIND("minute",I4505)-1)))*60,0)+IFERROR(VALUE(SUBSTITUTE(MID(I4505,IFERROR(FIND("and",I4505)+3,1),20),"second(s)","")),0)</f>
        <v/>
      </c>
      <c r="K4505" s="41">
        <f>J4505/60</f>
        <v/>
      </c>
      <c r="L4505" s="41">
        <f>IFERROR(J4505/H4505,"")</f>
        <v/>
      </c>
      <c r="M4505" s="25" t="inlineStr">
        <is>
          <t>2.5.12</t>
        </is>
      </c>
      <c r="N4505" s="25">
        <f>IF(J4505&gt;300,1,0)</f>
        <v/>
      </c>
      <c r="O4505" s="25">
        <f>IF(J4505&gt;600,1,0)</f>
        <v/>
      </c>
      <c r="P4505" s="25">
        <f>IF(H4505&gt;0,J4505,"")</f>
        <v/>
      </c>
      <c r="Q4505" s="25">
        <f>TEXT(A4505,"YYYY-MM-DD HH")</f>
        <v/>
      </c>
      <c r="R4505" s="25">
        <f>COUNTIF($Q$2:$Q$5295,Q4505)</f>
        <v/>
      </c>
      <c r="S4505" s="25">
        <f>IF(R4505&lt;=2,"1-2",IF(R4505&lt;=5,"3-5",IF(R4505&lt;=10,"6-10","11+")))</f>
        <v/>
      </c>
    </row>
    <row r="4506">
      <c r="A4506" s="39" t="n">
        <v>46225.33239583333</v>
      </c>
      <c r="B4506" s="25">
        <f>TEXT(A4506,"YYYY-MM")</f>
        <v/>
      </c>
      <c r="C4506" s="25">
        <f>TEXT(A4506,"MMM-YYYY")</f>
        <v/>
      </c>
      <c r="D4506" s="40">
        <f>INT(A4506)-WEEKDAY(A4506,2)+1</f>
        <v/>
      </c>
      <c r="E4506" s="25" t="inlineStr">
        <is>
          <t>sswati</t>
        </is>
      </c>
      <c r="F4506" s="25" t="n">
        <v>129856</v>
      </c>
      <c r="G4506" s="25" t="n">
        <v>2</v>
      </c>
      <c r="H4506" s="25" t="n">
        <v>6</v>
      </c>
      <c r="I4506" s="25" t="inlineStr">
        <is>
          <t>35 second(s)</t>
        </is>
      </c>
      <c r="J4506" s="25">
        <f>IFERROR(VALUE(TRIM(LEFT(I4506,FIND("minute",I4506)-1)))*60,0)+IFERROR(VALUE(SUBSTITUTE(MID(I4506,IFERROR(FIND("and",I4506)+3,1),20),"second(s)","")),0)</f>
        <v/>
      </c>
      <c r="K4506" s="41">
        <f>J4506/60</f>
        <v/>
      </c>
      <c r="L4506" s="41">
        <f>IFERROR(J4506/H4506,"")</f>
        <v/>
      </c>
      <c r="M4506" s="25" t="inlineStr">
        <is>
          <t>2.5.12</t>
        </is>
      </c>
      <c r="N4506" s="25">
        <f>IF(J4506&gt;300,1,0)</f>
        <v/>
      </c>
      <c r="O4506" s="25">
        <f>IF(J4506&gt;600,1,0)</f>
        <v/>
      </c>
      <c r="P4506" s="25">
        <f>IF(H4506&gt;0,J4506,"")</f>
        <v/>
      </c>
      <c r="Q4506" s="25">
        <f>TEXT(A4506,"YYYY-MM-DD HH")</f>
        <v/>
      </c>
      <c r="R4506" s="25">
        <f>COUNTIF($Q$2:$Q$5295,Q4506)</f>
        <v/>
      </c>
      <c r="S4506" s="25">
        <f>IF(R4506&lt;=2,"1-2",IF(R4506&lt;=5,"3-5",IF(R4506&lt;=10,"6-10","11+")))</f>
        <v/>
      </c>
    </row>
    <row r="4507">
      <c r="A4507" s="39" t="n">
        <v>46225.33337962963</v>
      </c>
      <c r="B4507" s="25">
        <f>TEXT(A4507,"YYYY-MM")</f>
        <v/>
      </c>
      <c r="C4507" s="25">
        <f>TEXT(A4507,"MMM-YYYY")</f>
        <v/>
      </c>
      <c r="D4507" s="40">
        <f>INT(A4507)-WEEKDAY(A4507,2)+1</f>
        <v/>
      </c>
      <c r="E4507" s="25" t="inlineStr">
        <is>
          <t>kkumar</t>
        </is>
      </c>
      <c r="F4507" s="25" t="n">
        <v>132472</v>
      </c>
      <c r="G4507" s="25" t="n">
        <v>4</v>
      </c>
      <c r="H4507" s="25" t="n">
        <v>22</v>
      </c>
      <c r="I4507" s="25" t="inlineStr">
        <is>
          <t>1 minute(s) and 41 second(s)</t>
        </is>
      </c>
      <c r="J4507" s="25">
        <f>IFERROR(VALUE(TRIM(LEFT(I4507,FIND("minute",I4507)-1)))*60,0)+IFERROR(VALUE(SUBSTITUTE(MID(I4507,IFERROR(FIND("and",I4507)+3,1),20),"second(s)","")),0)</f>
        <v/>
      </c>
      <c r="K4507" s="41">
        <f>J4507/60</f>
        <v/>
      </c>
      <c r="L4507" s="41">
        <f>IFERROR(J4507/H4507,"")</f>
        <v/>
      </c>
      <c r="M4507" s="25" t="inlineStr">
        <is>
          <t>2.5.12</t>
        </is>
      </c>
      <c r="N4507" s="25">
        <f>IF(J4507&gt;300,1,0)</f>
        <v/>
      </c>
      <c r="O4507" s="25">
        <f>IF(J4507&gt;600,1,0)</f>
        <v/>
      </c>
      <c r="P4507" s="25">
        <f>IF(H4507&gt;0,J4507,"")</f>
        <v/>
      </c>
      <c r="Q4507" s="25">
        <f>TEXT(A4507,"YYYY-MM-DD HH")</f>
        <v/>
      </c>
      <c r="R4507" s="25">
        <f>COUNTIF($Q$2:$Q$5295,Q4507)</f>
        <v/>
      </c>
      <c r="S4507" s="25">
        <f>IF(R4507&lt;=2,"1-2",IF(R4507&lt;=5,"3-5",IF(R4507&lt;=10,"6-10","11+")))</f>
        <v/>
      </c>
    </row>
    <row r="4508">
      <c r="A4508" s="39" t="n">
        <v>46225.33385416667</v>
      </c>
      <c r="B4508" s="25">
        <f>TEXT(A4508,"YYYY-MM")</f>
        <v/>
      </c>
      <c r="C4508" s="25">
        <f>TEXT(A4508,"MMM-YYYY")</f>
        <v/>
      </c>
      <c r="D4508" s="40">
        <f>INT(A4508)-WEEKDAY(A4508,2)+1</f>
        <v/>
      </c>
      <c r="E4508" s="25" t="inlineStr">
        <is>
          <t>ns</t>
        </is>
      </c>
      <c r="F4508" s="25" t="n">
        <v>131047</v>
      </c>
      <c r="G4508" s="25" t="n">
        <v>2</v>
      </c>
      <c r="H4508" s="25" t="n">
        <v>10</v>
      </c>
      <c r="I4508" s="25" t="inlineStr">
        <is>
          <t>51 second(s)</t>
        </is>
      </c>
      <c r="J4508" s="25">
        <f>IFERROR(VALUE(TRIM(LEFT(I4508,FIND("minute",I4508)-1)))*60,0)+IFERROR(VALUE(SUBSTITUTE(MID(I4508,IFERROR(FIND("and",I4508)+3,1),20),"second(s)","")),0)</f>
        <v/>
      </c>
      <c r="K4508" s="41">
        <f>J4508/60</f>
        <v/>
      </c>
      <c r="L4508" s="41">
        <f>IFERROR(J4508/H4508,"")</f>
        <v/>
      </c>
      <c r="M4508" s="25" t="inlineStr">
        <is>
          <t>2.5.12</t>
        </is>
      </c>
      <c r="N4508" s="25">
        <f>IF(J4508&gt;300,1,0)</f>
        <v/>
      </c>
      <c r="O4508" s="25">
        <f>IF(J4508&gt;600,1,0)</f>
        <v/>
      </c>
      <c r="P4508" s="25">
        <f>IF(H4508&gt;0,J4508,"")</f>
        <v/>
      </c>
      <c r="Q4508" s="25">
        <f>TEXT(A4508,"YYYY-MM-DD HH")</f>
        <v/>
      </c>
      <c r="R4508" s="25">
        <f>COUNTIF($Q$2:$Q$5295,Q4508)</f>
        <v/>
      </c>
      <c r="S4508" s="25">
        <f>IF(R4508&lt;=2,"1-2",IF(R4508&lt;=5,"3-5",IF(R4508&lt;=10,"6-10","11+")))</f>
        <v/>
      </c>
    </row>
    <row r="4509">
      <c r="A4509" s="39" t="n">
        <v>46225.33627314815</v>
      </c>
      <c r="B4509" s="25">
        <f>TEXT(A4509,"YYYY-MM")</f>
        <v/>
      </c>
      <c r="C4509" s="25">
        <f>TEXT(A4509,"MMM-YYYY")</f>
        <v/>
      </c>
      <c r="D4509" s="40">
        <f>INT(A4509)-WEEKDAY(A4509,2)+1</f>
        <v/>
      </c>
      <c r="E4509" s="25" t="inlineStr">
        <is>
          <t>dchoudhury</t>
        </is>
      </c>
      <c r="F4509" s="25" t="n">
        <v>131310</v>
      </c>
      <c r="G4509" s="25" t="n">
        <v>2</v>
      </c>
      <c r="H4509" s="25" t="n">
        <v>10</v>
      </c>
      <c r="I4509" s="25" t="inlineStr">
        <is>
          <t>1 minute(s) and 8 second(s)</t>
        </is>
      </c>
      <c r="J4509" s="25">
        <f>IFERROR(VALUE(TRIM(LEFT(I4509,FIND("minute",I4509)-1)))*60,0)+IFERROR(VALUE(SUBSTITUTE(MID(I4509,IFERROR(FIND("and",I4509)+3,1),20),"second(s)","")),0)</f>
        <v/>
      </c>
      <c r="K4509" s="41">
        <f>J4509/60</f>
        <v/>
      </c>
      <c r="L4509" s="41">
        <f>IFERROR(J4509/H4509,"")</f>
        <v/>
      </c>
      <c r="M4509" s="25" t="inlineStr">
        <is>
          <t>2.5.12</t>
        </is>
      </c>
      <c r="N4509" s="25">
        <f>IF(J4509&gt;300,1,0)</f>
        <v/>
      </c>
      <c r="O4509" s="25">
        <f>IF(J4509&gt;600,1,0)</f>
        <v/>
      </c>
      <c r="P4509" s="25">
        <f>IF(H4509&gt;0,J4509,"")</f>
        <v/>
      </c>
      <c r="Q4509" s="25">
        <f>TEXT(A4509,"YYYY-MM-DD HH")</f>
        <v/>
      </c>
      <c r="R4509" s="25">
        <f>COUNTIF($Q$2:$Q$5295,Q4509)</f>
        <v/>
      </c>
      <c r="S4509" s="25">
        <f>IF(R4509&lt;=2,"1-2",IF(R4509&lt;=5,"3-5",IF(R4509&lt;=10,"6-10","11+")))</f>
        <v/>
      </c>
    </row>
    <row r="4510">
      <c r="A4510" s="39" t="n">
        <v>46225.33979166667</v>
      </c>
      <c r="B4510" s="25">
        <f>TEXT(A4510,"YYYY-MM")</f>
        <v/>
      </c>
      <c r="C4510" s="25">
        <f>TEXT(A4510,"MMM-YYYY")</f>
        <v/>
      </c>
      <c r="D4510" s="40">
        <f>INT(A4510)-WEEKDAY(A4510,2)+1</f>
        <v/>
      </c>
      <c r="E4510" s="25" t="inlineStr">
        <is>
          <t>dbhattacharyya</t>
        </is>
      </c>
      <c r="F4510" s="25" t="n">
        <v>131126</v>
      </c>
      <c r="G4510" s="25" t="n">
        <v>2</v>
      </c>
      <c r="H4510" s="25" t="n">
        <v>8</v>
      </c>
      <c r="I4510" s="25" t="inlineStr">
        <is>
          <t>39 second(s)</t>
        </is>
      </c>
      <c r="J4510" s="25">
        <f>IFERROR(VALUE(TRIM(LEFT(I4510,FIND("minute",I4510)-1)))*60,0)+IFERROR(VALUE(SUBSTITUTE(MID(I4510,IFERROR(FIND("and",I4510)+3,1),20),"second(s)","")),0)</f>
        <v/>
      </c>
      <c r="K4510" s="41">
        <f>J4510/60</f>
        <v/>
      </c>
      <c r="L4510" s="41">
        <f>IFERROR(J4510/H4510,"")</f>
        <v/>
      </c>
      <c r="M4510" s="25" t="inlineStr">
        <is>
          <t>2.5.12</t>
        </is>
      </c>
      <c r="N4510" s="25">
        <f>IF(J4510&gt;300,1,0)</f>
        <v/>
      </c>
      <c r="O4510" s="25">
        <f>IF(J4510&gt;600,1,0)</f>
        <v/>
      </c>
      <c r="P4510" s="25">
        <f>IF(H4510&gt;0,J4510,"")</f>
        <v/>
      </c>
      <c r="Q4510" s="25">
        <f>TEXT(A4510,"YYYY-MM-DD HH")</f>
        <v/>
      </c>
      <c r="R4510" s="25">
        <f>COUNTIF($Q$2:$Q$5295,Q4510)</f>
        <v/>
      </c>
      <c r="S4510" s="25">
        <f>IF(R4510&lt;=2,"1-2",IF(R4510&lt;=5,"3-5",IF(R4510&lt;=10,"6-10","11+")))</f>
        <v/>
      </c>
    </row>
    <row r="4511">
      <c r="A4511" s="39" t="n">
        <v>46225.3416087963</v>
      </c>
      <c r="B4511" s="25">
        <f>TEXT(A4511,"YYYY-MM")</f>
        <v/>
      </c>
      <c r="C4511" s="25">
        <f>TEXT(A4511,"MMM-YYYY")</f>
        <v/>
      </c>
      <c r="D4511" s="40">
        <f>INT(A4511)-WEEKDAY(A4511,2)+1</f>
        <v/>
      </c>
      <c r="E4511" s="25" t="inlineStr">
        <is>
          <t>aghosh</t>
        </is>
      </c>
      <c r="F4511" s="25" t="n">
        <v>131136</v>
      </c>
      <c r="G4511" s="25" t="n">
        <v>4</v>
      </c>
      <c r="H4511" s="25" t="n">
        <v>26</v>
      </c>
      <c r="I4511" s="25" t="inlineStr">
        <is>
          <t>3 minute(s) and 29 second(s)</t>
        </is>
      </c>
      <c r="J4511" s="25">
        <f>IFERROR(VALUE(TRIM(LEFT(I4511,FIND("minute",I4511)-1)))*60,0)+IFERROR(VALUE(SUBSTITUTE(MID(I4511,IFERROR(FIND("and",I4511)+3,1),20),"second(s)","")),0)</f>
        <v/>
      </c>
      <c r="K4511" s="41">
        <f>J4511/60</f>
        <v/>
      </c>
      <c r="L4511" s="41">
        <f>IFERROR(J4511/H4511,"")</f>
        <v/>
      </c>
      <c r="M4511" s="25" t="inlineStr">
        <is>
          <t>2.5.12</t>
        </is>
      </c>
      <c r="N4511" s="25">
        <f>IF(J4511&gt;300,1,0)</f>
        <v/>
      </c>
      <c r="O4511" s="25">
        <f>IF(J4511&gt;600,1,0)</f>
        <v/>
      </c>
      <c r="P4511" s="25">
        <f>IF(H4511&gt;0,J4511,"")</f>
        <v/>
      </c>
      <c r="Q4511" s="25">
        <f>TEXT(A4511,"YYYY-MM-DD HH")</f>
        <v/>
      </c>
      <c r="R4511" s="25">
        <f>COUNTIF($Q$2:$Q$5295,Q4511)</f>
        <v/>
      </c>
      <c r="S4511" s="25">
        <f>IF(R4511&lt;=2,"1-2",IF(R4511&lt;=5,"3-5",IF(R4511&lt;=10,"6-10","11+")))</f>
        <v/>
      </c>
    </row>
    <row r="4512">
      <c r="A4512" s="39" t="n">
        <v>46225.34486111111</v>
      </c>
      <c r="B4512" s="25">
        <f>TEXT(A4512,"YYYY-MM")</f>
        <v/>
      </c>
      <c r="C4512" s="25">
        <f>TEXT(A4512,"MMM-YYYY")</f>
        <v/>
      </c>
      <c r="D4512" s="40">
        <f>INT(A4512)-WEEKDAY(A4512,2)+1</f>
        <v/>
      </c>
      <c r="E4512" s="25" t="inlineStr">
        <is>
          <t>shasikha</t>
        </is>
      </c>
      <c r="F4512" s="25" t="n">
        <v>130662</v>
      </c>
      <c r="G4512" s="25" t="n">
        <v>4</v>
      </c>
      <c r="H4512" s="25" t="n">
        <v>21</v>
      </c>
      <c r="I4512" s="25" t="inlineStr">
        <is>
          <t>2 minute(s) and 7 second(s)</t>
        </is>
      </c>
      <c r="J4512" s="25">
        <f>IFERROR(VALUE(TRIM(LEFT(I4512,FIND("minute",I4512)-1)))*60,0)+IFERROR(VALUE(SUBSTITUTE(MID(I4512,IFERROR(FIND("and",I4512)+3,1),20),"second(s)","")),0)</f>
        <v/>
      </c>
      <c r="K4512" s="41">
        <f>J4512/60</f>
        <v/>
      </c>
      <c r="L4512" s="41">
        <f>IFERROR(J4512/H4512,"")</f>
        <v/>
      </c>
      <c r="M4512" s="25" t="inlineStr">
        <is>
          <t>2.5.12</t>
        </is>
      </c>
      <c r="N4512" s="25">
        <f>IF(J4512&gt;300,1,0)</f>
        <v/>
      </c>
      <c r="O4512" s="25">
        <f>IF(J4512&gt;600,1,0)</f>
        <v/>
      </c>
      <c r="P4512" s="25">
        <f>IF(H4512&gt;0,J4512,"")</f>
        <v/>
      </c>
      <c r="Q4512" s="25">
        <f>TEXT(A4512,"YYYY-MM-DD HH")</f>
        <v/>
      </c>
      <c r="R4512" s="25">
        <f>COUNTIF($Q$2:$Q$5295,Q4512)</f>
        <v/>
      </c>
      <c r="S4512" s="25">
        <f>IF(R4512&lt;=2,"1-2",IF(R4512&lt;=5,"3-5",IF(R4512&lt;=10,"6-10","11+")))</f>
        <v/>
      </c>
    </row>
    <row r="4513">
      <c r="A4513" s="39" t="n">
        <v>46225.34953703704</v>
      </c>
      <c r="B4513" s="25">
        <f>TEXT(A4513,"YYYY-MM")</f>
        <v/>
      </c>
      <c r="C4513" s="25">
        <f>TEXT(A4513,"MMM-YYYY")</f>
        <v/>
      </c>
      <c r="D4513" s="40">
        <f>INT(A4513)-WEEKDAY(A4513,2)+1</f>
        <v/>
      </c>
      <c r="E4513" s="25" t="inlineStr">
        <is>
          <t>hsindwani</t>
        </is>
      </c>
      <c r="F4513" s="25" t="n">
        <v>131582</v>
      </c>
      <c r="G4513" s="25" t="n">
        <v>3</v>
      </c>
      <c r="H4513" s="25" t="n">
        <v>21</v>
      </c>
      <c r="I4513" s="25" t="inlineStr">
        <is>
          <t>2 minute(s) and 33 second(s)</t>
        </is>
      </c>
      <c r="J4513" s="25">
        <f>IFERROR(VALUE(TRIM(LEFT(I4513,FIND("minute",I4513)-1)))*60,0)+IFERROR(VALUE(SUBSTITUTE(MID(I4513,IFERROR(FIND("and",I4513)+3,1),20),"second(s)","")),0)</f>
        <v/>
      </c>
      <c r="K4513" s="41">
        <f>J4513/60</f>
        <v/>
      </c>
      <c r="L4513" s="41">
        <f>IFERROR(J4513/H4513,"")</f>
        <v/>
      </c>
      <c r="M4513" s="25" t="inlineStr">
        <is>
          <t>2.5.12</t>
        </is>
      </c>
      <c r="N4513" s="25">
        <f>IF(J4513&gt;300,1,0)</f>
        <v/>
      </c>
      <c r="O4513" s="25">
        <f>IF(J4513&gt;600,1,0)</f>
        <v/>
      </c>
      <c r="P4513" s="25">
        <f>IF(H4513&gt;0,J4513,"")</f>
        <v/>
      </c>
      <c r="Q4513" s="25">
        <f>TEXT(A4513,"YYYY-MM-DD HH")</f>
        <v/>
      </c>
      <c r="R4513" s="25">
        <f>COUNTIF($Q$2:$Q$5295,Q4513)</f>
        <v/>
      </c>
      <c r="S4513" s="25">
        <f>IF(R4513&lt;=2,"1-2",IF(R4513&lt;=5,"3-5",IF(R4513&lt;=10,"6-10","11+")))</f>
        <v/>
      </c>
    </row>
    <row r="4514">
      <c r="A4514" s="39" t="n">
        <v>46225.35203703704</v>
      </c>
      <c r="B4514" s="25">
        <f>TEXT(A4514,"YYYY-MM")</f>
        <v/>
      </c>
      <c r="C4514" s="25">
        <f>TEXT(A4514,"MMM-YYYY")</f>
        <v/>
      </c>
      <c r="D4514" s="40">
        <f>INT(A4514)-WEEKDAY(A4514,2)+1</f>
        <v/>
      </c>
      <c r="E4514" s="25" t="inlineStr">
        <is>
          <t>sthomas</t>
        </is>
      </c>
      <c r="F4514" s="25" t="n">
        <v>129094</v>
      </c>
      <c r="G4514" s="25" t="n">
        <v>1</v>
      </c>
      <c r="H4514" s="25" t="n">
        <v>5</v>
      </c>
      <c r="I4514" s="25" t="inlineStr">
        <is>
          <t>33 second(s)</t>
        </is>
      </c>
      <c r="J4514" s="25">
        <f>IFERROR(VALUE(TRIM(LEFT(I4514,FIND("minute",I4514)-1)))*60,0)+IFERROR(VALUE(SUBSTITUTE(MID(I4514,IFERROR(FIND("and",I4514)+3,1),20),"second(s)","")),0)</f>
        <v/>
      </c>
      <c r="K4514" s="41">
        <f>J4514/60</f>
        <v/>
      </c>
      <c r="L4514" s="41">
        <f>IFERROR(J4514/H4514,"")</f>
        <v/>
      </c>
      <c r="M4514" s="25" t="inlineStr">
        <is>
          <t>2.5.12</t>
        </is>
      </c>
      <c r="N4514" s="25">
        <f>IF(J4514&gt;300,1,0)</f>
        <v/>
      </c>
      <c r="O4514" s="25">
        <f>IF(J4514&gt;600,1,0)</f>
        <v/>
      </c>
      <c r="P4514" s="25">
        <f>IF(H4514&gt;0,J4514,"")</f>
        <v/>
      </c>
      <c r="Q4514" s="25">
        <f>TEXT(A4514,"YYYY-MM-DD HH")</f>
        <v/>
      </c>
      <c r="R4514" s="25">
        <f>COUNTIF($Q$2:$Q$5295,Q4514)</f>
        <v/>
      </c>
      <c r="S4514" s="25">
        <f>IF(R4514&lt;=2,"1-2",IF(R4514&lt;=5,"3-5",IF(R4514&lt;=10,"6-10","11+")))</f>
        <v/>
      </c>
    </row>
    <row r="4515">
      <c r="A4515" s="39" t="n">
        <v>46225.35337962963</v>
      </c>
      <c r="B4515" s="25">
        <f>TEXT(A4515,"YYYY-MM")</f>
        <v/>
      </c>
      <c r="C4515" s="25">
        <f>TEXT(A4515,"MMM-YYYY")</f>
        <v/>
      </c>
      <c r="D4515" s="40">
        <f>INT(A4515)-WEEKDAY(A4515,2)+1</f>
        <v/>
      </c>
      <c r="E4515" s="25" t="inlineStr">
        <is>
          <t>atiwari</t>
        </is>
      </c>
      <c r="F4515" s="25" t="n">
        <v>128471</v>
      </c>
      <c r="G4515" s="25" t="n">
        <v>4</v>
      </c>
      <c r="H4515" s="25" t="n">
        <v>18</v>
      </c>
      <c r="I4515" s="25" t="inlineStr">
        <is>
          <t>2 minute(s) and 6 second(s)</t>
        </is>
      </c>
      <c r="J4515" s="25">
        <f>IFERROR(VALUE(TRIM(LEFT(I4515,FIND("minute",I4515)-1)))*60,0)+IFERROR(VALUE(SUBSTITUTE(MID(I4515,IFERROR(FIND("and",I4515)+3,1),20),"second(s)","")),0)</f>
        <v/>
      </c>
      <c r="K4515" s="41">
        <f>J4515/60</f>
        <v/>
      </c>
      <c r="L4515" s="41">
        <f>IFERROR(J4515/H4515,"")</f>
        <v/>
      </c>
      <c r="M4515" s="25" t="inlineStr">
        <is>
          <t>2.5.12</t>
        </is>
      </c>
      <c r="N4515" s="25">
        <f>IF(J4515&gt;300,1,0)</f>
        <v/>
      </c>
      <c r="O4515" s="25">
        <f>IF(J4515&gt;600,1,0)</f>
        <v/>
      </c>
      <c r="P4515" s="25">
        <f>IF(H4515&gt;0,J4515,"")</f>
        <v/>
      </c>
      <c r="Q4515" s="25">
        <f>TEXT(A4515,"YYYY-MM-DD HH")</f>
        <v/>
      </c>
      <c r="R4515" s="25">
        <f>COUNTIF($Q$2:$Q$5295,Q4515)</f>
        <v/>
      </c>
      <c r="S4515" s="25">
        <f>IF(R4515&lt;=2,"1-2",IF(R4515&lt;=5,"3-5",IF(R4515&lt;=10,"6-10","11+")))</f>
        <v/>
      </c>
    </row>
    <row r="4516">
      <c r="A4516" s="39" t="n">
        <v>46225.35461805556</v>
      </c>
      <c r="B4516" s="25">
        <f>TEXT(A4516,"YYYY-MM")</f>
        <v/>
      </c>
      <c r="C4516" s="25">
        <f>TEXT(A4516,"MMM-YYYY")</f>
        <v/>
      </c>
      <c r="D4516" s="40">
        <f>INT(A4516)-WEEKDAY(A4516,2)+1</f>
        <v/>
      </c>
      <c r="E4516" s="25" t="inlineStr">
        <is>
          <t>sthomas</t>
        </is>
      </c>
      <c r="F4516" s="25" t="n">
        <v>129094</v>
      </c>
      <c r="G4516" s="25" t="n">
        <v>2</v>
      </c>
      <c r="H4516" s="25" t="n">
        <v>10</v>
      </c>
      <c r="I4516" s="25" t="inlineStr">
        <is>
          <t>59 second(s)</t>
        </is>
      </c>
      <c r="J4516" s="25">
        <f>IFERROR(VALUE(TRIM(LEFT(I4516,FIND("minute",I4516)-1)))*60,0)+IFERROR(VALUE(SUBSTITUTE(MID(I4516,IFERROR(FIND("and",I4516)+3,1),20),"second(s)","")),0)</f>
        <v/>
      </c>
      <c r="K4516" s="41">
        <f>J4516/60</f>
        <v/>
      </c>
      <c r="L4516" s="41">
        <f>IFERROR(J4516/H4516,"")</f>
        <v/>
      </c>
      <c r="M4516" s="25" t="inlineStr">
        <is>
          <t>2.5.12</t>
        </is>
      </c>
      <c r="N4516" s="25">
        <f>IF(J4516&gt;300,1,0)</f>
        <v/>
      </c>
      <c r="O4516" s="25">
        <f>IF(J4516&gt;600,1,0)</f>
        <v/>
      </c>
      <c r="P4516" s="25">
        <f>IF(H4516&gt;0,J4516,"")</f>
        <v/>
      </c>
      <c r="Q4516" s="25">
        <f>TEXT(A4516,"YYYY-MM-DD HH")</f>
        <v/>
      </c>
      <c r="R4516" s="25">
        <f>COUNTIF($Q$2:$Q$5295,Q4516)</f>
        <v/>
      </c>
      <c r="S4516" s="25">
        <f>IF(R4516&lt;=2,"1-2",IF(R4516&lt;=5,"3-5",IF(R4516&lt;=10,"6-10","11+")))</f>
        <v/>
      </c>
    </row>
    <row r="4517">
      <c r="A4517" s="39" t="n">
        <v>46225.36375</v>
      </c>
      <c r="B4517" s="25">
        <f>TEXT(A4517,"YYYY-MM")</f>
        <v/>
      </c>
      <c r="C4517" s="25">
        <f>TEXT(A4517,"MMM-YYYY")</f>
        <v/>
      </c>
      <c r="D4517" s="40">
        <f>INT(A4517)-WEEKDAY(A4517,2)+1</f>
        <v/>
      </c>
      <c r="E4517" s="25" t="inlineStr">
        <is>
          <t>psathwika</t>
        </is>
      </c>
      <c r="F4517" s="25" t="n">
        <v>129758</v>
      </c>
      <c r="G4517" s="25" t="n">
        <v>4</v>
      </c>
      <c r="H4517" s="25" t="n">
        <v>21</v>
      </c>
      <c r="I4517" s="25" t="inlineStr">
        <is>
          <t>2 minute(s) and 16 second(s)</t>
        </is>
      </c>
      <c r="J4517" s="25">
        <f>IFERROR(VALUE(TRIM(LEFT(I4517,FIND("minute",I4517)-1)))*60,0)+IFERROR(VALUE(SUBSTITUTE(MID(I4517,IFERROR(FIND("and",I4517)+3,1),20),"second(s)","")),0)</f>
        <v/>
      </c>
      <c r="K4517" s="41">
        <f>J4517/60</f>
        <v/>
      </c>
      <c r="L4517" s="41">
        <f>IFERROR(J4517/H4517,"")</f>
        <v/>
      </c>
      <c r="M4517" s="25" t="inlineStr">
        <is>
          <t>2.5.12</t>
        </is>
      </c>
      <c r="N4517" s="25">
        <f>IF(J4517&gt;300,1,0)</f>
        <v/>
      </c>
      <c r="O4517" s="25">
        <f>IF(J4517&gt;600,1,0)</f>
        <v/>
      </c>
      <c r="P4517" s="25">
        <f>IF(H4517&gt;0,J4517,"")</f>
        <v/>
      </c>
      <c r="Q4517" s="25">
        <f>TEXT(A4517,"YYYY-MM-DD HH")</f>
        <v/>
      </c>
      <c r="R4517" s="25">
        <f>COUNTIF($Q$2:$Q$5295,Q4517)</f>
        <v/>
      </c>
      <c r="S4517" s="25">
        <f>IF(R4517&lt;=2,"1-2",IF(R4517&lt;=5,"3-5",IF(R4517&lt;=10,"6-10","11+")))</f>
        <v/>
      </c>
    </row>
    <row r="4518">
      <c r="A4518" s="39" t="n">
        <v>46225.3646875</v>
      </c>
      <c r="B4518" s="25">
        <f>TEXT(A4518,"YYYY-MM")</f>
        <v/>
      </c>
      <c r="C4518" s="25">
        <f>TEXT(A4518,"MMM-YYYY")</f>
        <v/>
      </c>
      <c r="D4518" s="40">
        <f>INT(A4518)-WEEKDAY(A4518,2)+1</f>
        <v/>
      </c>
      <c r="E4518" s="25" t="inlineStr">
        <is>
          <t>pgautam</t>
        </is>
      </c>
      <c r="F4518" s="25" t="n">
        <v>132884</v>
      </c>
      <c r="G4518" s="25" t="n">
        <v>3</v>
      </c>
      <c r="H4518" s="25" t="n">
        <v>11</v>
      </c>
      <c r="I4518" s="25" t="inlineStr">
        <is>
          <t>55 second(s)</t>
        </is>
      </c>
      <c r="J4518" s="25">
        <f>IFERROR(VALUE(TRIM(LEFT(I4518,FIND("minute",I4518)-1)))*60,0)+IFERROR(VALUE(SUBSTITUTE(MID(I4518,IFERROR(FIND("and",I4518)+3,1),20),"second(s)","")),0)</f>
        <v/>
      </c>
      <c r="K4518" s="41">
        <f>J4518/60</f>
        <v/>
      </c>
      <c r="L4518" s="41">
        <f>IFERROR(J4518/H4518,"")</f>
        <v/>
      </c>
      <c r="M4518" s="25" t="inlineStr">
        <is>
          <t>2.5.12</t>
        </is>
      </c>
      <c r="N4518" s="25">
        <f>IF(J4518&gt;300,1,0)</f>
        <v/>
      </c>
      <c r="O4518" s="25">
        <f>IF(J4518&gt;600,1,0)</f>
        <v/>
      </c>
      <c r="P4518" s="25">
        <f>IF(H4518&gt;0,J4518,"")</f>
        <v/>
      </c>
      <c r="Q4518" s="25">
        <f>TEXT(A4518,"YYYY-MM-DD HH")</f>
        <v/>
      </c>
      <c r="R4518" s="25">
        <f>COUNTIF($Q$2:$Q$5295,Q4518)</f>
        <v/>
      </c>
      <c r="S4518" s="25">
        <f>IF(R4518&lt;=2,"1-2",IF(R4518&lt;=5,"3-5",IF(R4518&lt;=10,"6-10","11+")))</f>
        <v/>
      </c>
    </row>
    <row r="4519">
      <c r="A4519" s="39" t="n">
        <v>46225.36478009259</v>
      </c>
      <c r="B4519" s="25">
        <f>TEXT(A4519,"YYYY-MM")</f>
        <v/>
      </c>
      <c r="C4519" s="25">
        <f>TEXT(A4519,"MMM-YYYY")</f>
        <v/>
      </c>
      <c r="D4519" s="40">
        <f>INT(A4519)-WEEKDAY(A4519,2)+1</f>
        <v/>
      </c>
      <c r="E4519" s="25" t="inlineStr">
        <is>
          <t>ethomas</t>
        </is>
      </c>
      <c r="F4519" s="25" t="n">
        <v>131566</v>
      </c>
      <c r="G4519" s="25" t="n">
        <v>4</v>
      </c>
      <c r="H4519" s="25" t="n">
        <v>26</v>
      </c>
      <c r="I4519" s="25" t="inlineStr">
        <is>
          <t>2 minute(s) and 44 second(s)</t>
        </is>
      </c>
      <c r="J4519" s="25">
        <f>IFERROR(VALUE(TRIM(LEFT(I4519,FIND("minute",I4519)-1)))*60,0)+IFERROR(VALUE(SUBSTITUTE(MID(I4519,IFERROR(FIND("and",I4519)+3,1),20),"second(s)","")),0)</f>
        <v/>
      </c>
      <c r="K4519" s="41">
        <f>J4519/60</f>
        <v/>
      </c>
      <c r="L4519" s="41">
        <f>IFERROR(J4519/H4519,"")</f>
        <v/>
      </c>
      <c r="M4519" s="25" t="inlineStr">
        <is>
          <t>2.5.12</t>
        </is>
      </c>
      <c r="N4519" s="25">
        <f>IF(J4519&gt;300,1,0)</f>
        <v/>
      </c>
      <c r="O4519" s="25">
        <f>IF(J4519&gt;600,1,0)</f>
        <v/>
      </c>
      <c r="P4519" s="25">
        <f>IF(H4519&gt;0,J4519,"")</f>
        <v/>
      </c>
      <c r="Q4519" s="25">
        <f>TEXT(A4519,"YYYY-MM-DD HH")</f>
        <v/>
      </c>
      <c r="R4519" s="25">
        <f>COUNTIF($Q$2:$Q$5295,Q4519)</f>
        <v/>
      </c>
      <c r="S4519" s="25">
        <f>IF(R4519&lt;=2,"1-2",IF(R4519&lt;=5,"3-5",IF(R4519&lt;=10,"6-10","11+")))</f>
        <v/>
      </c>
    </row>
    <row r="4520">
      <c r="A4520" s="39" t="n">
        <v>46225.36554398148</v>
      </c>
      <c r="B4520" s="25">
        <f>TEXT(A4520,"YYYY-MM")</f>
        <v/>
      </c>
      <c r="C4520" s="25">
        <f>TEXT(A4520,"MMM-YYYY")</f>
        <v/>
      </c>
      <c r="D4520" s="40">
        <f>INT(A4520)-WEEKDAY(A4520,2)+1</f>
        <v/>
      </c>
      <c r="E4520" s="25" t="inlineStr">
        <is>
          <t>smukhopadhyay</t>
        </is>
      </c>
      <c r="F4520" s="25" t="n">
        <v>129959</v>
      </c>
      <c r="G4520" s="25" t="n">
        <v>4</v>
      </c>
      <c r="H4520" s="25" t="n">
        <v>22</v>
      </c>
      <c r="I4520" s="25" t="inlineStr">
        <is>
          <t>2 minute(s) and 27 second(s)</t>
        </is>
      </c>
      <c r="J4520" s="25">
        <f>IFERROR(VALUE(TRIM(LEFT(I4520,FIND("minute",I4520)-1)))*60,0)+IFERROR(VALUE(SUBSTITUTE(MID(I4520,IFERROR(FIND("and",I4520)+3,1),20),"second(s)","")),0)</f>
        <v/>
      </c>
      <c r="K4520" s="41">
        <f>J4520/60</f>
        <v/>
      </c>
      <c r="L4520" s="41">
        <f>IFERROR(J4520/H4520,"")</f>
        <v/>
      </c>
      <c r="M4520" s="25" t="inlineStr">
        <is>
          <t>2.5.12</t>
        </is>
      </c>
      <c r="N4520" s="25">
        <f>IF(J4520&gt;300,1,0)</f>
        <v/>
      </c>
      <c r="O4520" s="25">
        <f>IF(J4520&gt;600,1,0)</f>
        <v/>
      </c>
      <c r="P4520" s="25">
        <f>IF(H4520&gt;0,J4520,"")</f>
        <v/>
      </c>
      <c r="Q4520" s="25">
        <f>TEXT(A4520,"YYYY-MM-DD HH")</f>
        <v/>
      </c>
      <c r="R4520" s="25">
        <f>COUNTIF($Q$2:$Q$5295,Q4520)</f>
        <v/>
      </c>
      <c r="S4520" s="25">
        <f>IF(R4520&lt;=2,"1-2",IF(R4520&lt;=5,"3-5",IF(R4520&lt;=10,"6-10","11+")))</f>
        <v/>
      </c>
    </row>
    <row r="4521">
      <c r="A4521" s="39" t="n">
        <v>46225.37011574074</v>
      </c>
      <c r="B4521" s="25">
        <f>TEXT(A4521,"YYYY-MM")</f>
        <v/>
      </c>
      <c r="C4521" s="25">
        <f>TEXT(A4521,"MMM-YYYY")</f>
        <v/>
      </c>
      <c r="D4521" s="40">
        <f>INT(A4521)-WEEKDAY(A4521,2)+1</f>
        <v/>
      </c>
      <c r="E4521" s="25" t="inlineStr">
        <is>
          <t>dchoudhury</t>
        </is>
      </c>
      <c r="F4521" s="25" t="n">
        <v>131294</v>
      </c>
      <c r="G4521" s="25" t="n">
        <v>4</v>
      </c>
      <c r="H4521" s="25" t="n">
        <v>20</v>
      </c>
      <c r="I4521" s="25" t="inlineStr">
        <is>
          <t>2 minute(s) and 1 second(s)</t>
        </is>
      </c>
      <c r="J4521" s="25">
        <f>IFERROR(VALUE(TRIM(LEFT(I4521,FIND("minute",I4521)-1)))*60,0)+IFERROR(VALUE(SUBSTITUTE(MID(I4521,IFERROR(FIND("and",I4521)+3,1),20),"second(s)","")),0)</f>
        <v/>
      </c>
      <c r="K4521" s="41">
        <f>J4521/60</f>
        <v/>
      </c>
      <c r="L4521" s="41">
        <f>IFERROR(J4521/H4521,"")</f>
        <v/>
      </c>
      <c r="M4521" s="25" t="inlineStr">
        <is>
          <t>2.5.12</t>
        </is>
      </c>
      <c r="N4521" s="25">
        <f>IF(J4521&gt;300,1,0)</f>
        <v/>
      </c>
      <c r="O4521" s="25">
        <f>IF(J4521&gt;600,1,0)</f>
        <v/>
      </c>
      <c r="P4521" s="25">
        <f>IF(H4521&gt;0,J4521,"")</f>
        <v/>
      </c>
      <c r="Q4521" s="25">
        <f>TEXT(A4521,"YYYY-MM-DD HH")</f>
        <v/>
      </c>
      <c r="R4521" s="25">
        <f>COUNTIF($Q$2:$Q$5295,Q4521)</f>
        <v/>
      </c>
      <c r="S4521" s="25">
        <f>IF(R4521&lt;=2,"1-2",IF(R4521&lt;=5,"3-5",IF(R4521&lt;=10,"6-10","11+")))</f>
        <v/>
      </c>
    </row>
    <row r="4522">
      <c r="A4522" s="39" t="n">
        <v>46225.37245370371</v>
      </c>
      <c r="B4522" s="25">
        <f>TEXT(A4522,"YYYY-MM")</f>
        <v/>
      </c>
      <c r="C4522" s="25">
        <f>TEXT(A4522,"MMM-YYYY")</f>
        <v/>
      </c>
      <c r="D4522" s="40">
        <f>INT(A4522)-WEEKDAY(A4522,2)+1</f>
        <v/>
      </c>
      <c r="E4522" s="25" t="inlineStr">
        <is>
          <t>ssrinivasan</t>
        </is>
      </c>
      <c r="F4522" s="25" t="n">
        <v>129743</v>
      </c>
      <c r="G4522" s="25" t="n">
        <v>4</v>
      </c>
      <c r="H4522" s="25" t="n">
        <v>28</v>
      </c>
      <c r="I4522" s="25" t="inlineStr">
        <is>
          <t>3 minute(s) and 3 second(s)</t>
        </is>
      </c>
      <c r="J4522" s="25">
        <f>IFERROR(VALUE(TRIM(LEFT(I4522,FIND("minute",I4522)-1)))*60,0)+IFERROR(VALUE(SUBSTITUTE(MID(I4522,IFERROR(FIND("and",I4522)+3,1),20),"second(s)","")),0)</f>
        <v/>
      </c>
      <c r="K4522" s="41">
        <f>J4522/60</f>
        <v/>
      </c>
      <c r="L4522" s="41">
        <f>IFERROR(J4522/H4522,"")</f>
        <v/>
      </c>
      <c r="M4522" s="25" t="inlineStr">
        <is>
          <t>2.5.12</t>
        </is>
      </c>
      <c r="N4522" s="25">
        <f>IF(J4522&gt;300,1,0)</f>
        <v/>
      </c>
      <c r="O4522" s="25">
        <f>IF(J4522&gt;600,1,0)</f>
        <v/>
      </c>
      <c r="P4522" s="25">
        <f>IF(H4522&gt;0,J4522,"")</f>
        <v/>
      </c>
      <c r="Q4522" s="25">
        <f>TEXT(A4522,"YYYY-MM-DD HH")</f>
        <v/>
      </c>
      <c r="R4522" s="25">
        <f>COUNTIF($Q$2:$Q$5295,Q4522)</f>
        <v/>
      </c>
      <c r="S4522" s="25">
        <f>IF(R4522&lt;=2,"1-2",IF(R4522&lt;=5,"3-5",IF(R4522&lt;=10,"6-10","11+")))</f>
        <v/>
      </c>
    </row>
    <row r="4523">
      <c r="A4523" s="39" t="n">
        <v>46225.37607638889</v>
      </c>
      <c r="B4523" s="25">
        <f>TEXT(A4523,"YYYY-MM")</f>
        <v/>
      </c>
      <c r="C4523" s="25">
        <f>TEXT(A4523,"MMM-YYYY")</f>
        <v/>
      </c>
      <c r="D4523" s="40">
        <f>INT(A4523)-WEEKDAY(A4523,2)+1</f>
        <v/>
      </c>
      <c r="E4523" s="25" t="inlineStr">
        <is>
          <t>mbhalla</t>
        </is>
      </c>
      <c r="F4523" s="25" t="n">
        <v>130743</v>
      </c>
      <c r="G4523" s="25" t="n">
        <v>3</v>
      </c>
      <c r="H4523" s="25" t="n">
        <v>17</v>
      </c>
      <c r="I4523" s="25" t="inlineStr">
        <is>
          <t>2 minute(s) and 34 second(s)</t>
        </is>
      </c>
      <c r="J4523" s="25">
        <f>IFERROR(VALUE(TRIM(LEFT(I4523,FIND("minute",I4523)-1)))*60,0)+IFERROR(VALUE(SUBSTITUTE(MID(I4523,IFERROR(FIND("and",I4523)+3,1),20),"second(s)","")),0)</f>
        <v/>
      </c>
      <c r="K4523" s="41">
        <f>J4523/60</f>
        <v/>
      </c>
      <c r="L4523" s="41">
        <f>IFERROR(J4523/H4523,"")</f>
        <v/>
      </c>
      <c r="M4523" s="25" t="inlineStr">
        <is>
          <t>2.5.12</t>
        </is>
      </c>
      <c r="N4523" s="25">
        <f>IF(J4523&gt;300,1,0)</f>
        <v/>
      </c>
      <c r="O4523" s="25">
        <f>IF(J4523&gt;600,1,0)</f>
        <v/>
      </c>
      <c r="P4523" s="25">
        <f>IF(H4523&gt;0,J4523,"")</f>
        <v/>
      </c>
      <c r="Q4523" s="25">
        <f>TEXT(A4523,"YYYY-MM-DD HH")</f>
        <v/>
      </c>
      <c r="R4523" s="25">
        <f>COUNTIF($Q$2:$Q$5295,Q4523)</f>
        <v/>
      </c>
      <c r="S4523" s="25">
        <f>IF(R4523&lt;=2,"1-2",IF(R4523&lt;=5,"3-5",IF(R4523&lt;=10,"6-10","11+")))</f>
        <v/>
      </c>
    </row>
    <row r="4524">
      <c r="A4524" s="39" t="n">
        <v>46225.37754629629</v>
      </c>
      <c r="B4524" s="25">
        <f>TEXT(A4524,"YYYY-MM")</f>
        <v/>
      </c>
      <c r="C4524" s="25">
        <f>TEXT(A4524,"MMM-YYYY")</f>
        <v/>
      </c>
      <c r="D4524" s="40">
        <f>INT(A4524)-WEEKDAY(A4524,2)+1</f>
        <v/>
      </c>
      <c r="E4524" s="25" t="inlineStr">
        <is>
          <t>dbhattacharyya</t>
        </is>
      </c>
      <c r="F4524" s="25" t="n">
        <v>131142</v>
      </c>
      <c r="G4524" s="25" t="n">
        <v>2</v>
      </c>
      <c r="H4524" s="25" t="n">
        <v>8</v>
      </c>
      <c r="I4524" s="25" t="inlineStr">
        <is>
          <t>43 second(s)</t>
        </is>
      </c>
      <c r="J4524" s="25">
        <f>IFERROR(VALUE(TRIM(LEFT(I4524,FIND("minute",I4524)-1)))*60,0)+IFERROR(VALUE(SUBSTITUTE(MID(I4524,IFERROR(FIND("and",I4524)+3,1),20),"second(s)","")),0)</f>
        <v/>
      </c>
      <c r="K4524" s="41">
        <f>J4524/60</f>
        <v/>
      </c>
      <c r="L4524" s="41">
        <f>IFERROR(J4524/H4524,"")</f>
        <v/>
      </c>
      <c r="M4524" s="25" t="inlineStr">
        <is>
          <t>2.5.12</t>
        </is>
      </c>
      <c r="N4524" s="25">
        <f>IF(J4524&gt;300,1,0)</f>
        <v/>
      </c>
      <c r="O4524" s="25">
        <f>IF(J4524&gt;600,1,0)</f>
        <v/>
      </c>
      <c r="P4524" s="25">
        <f>IF(H4524&gt;0,J4524,"")</f>
        <v/>
      </c>
      <c r="Q4524" s="25">
        <f>TEXT(A4524,"YYYY-MM-DD HH")</f>
        <v/>
      </c>
      <c r="R4524" s="25">
        <f>COUNTIF($Q$2:$Q$5295,Q4524)</f>
        <v/>
      </c>
      <c r="S4524" s="25">
        <f>IF(R4524&lt;=2,"1-2",IF(R4524&lt;=5,"3-5",IF(R4524&lt;=10,"6-10","11+")))</f>
        <v/>
      </c>
    </row>
    <row r="4525">
      <c r="A4525" s="39" t="n">
        <v>46225.38059027777</v>
      </c>
      <c r="B4525" s="25">
        <f>TEXT(A4525,"YYYY-MM")</f>
        <v/>
      </c>
      <c r="C4525" s="25">
        <f>TEXT(A4525,"MMM-YYYY")</f>
        <v/>
      </c>
      <c r="D4525" s="40">
        <f>INT(A4525)-WEEKDAY(A4525,2)+1</f>
        <v/>
      </c>
      <c r="E4525" s="25" t="inlineStr">
        <is>
          <t>ns</t>
        </is>
      </c>
      <c r="F4525" s="25" t="n">
        <v>131031</v>
      </c>
      <c r="G4525" s="25" t="n">
        <v>4</v>
      </c>
      <c r="H4525" s="25" t="n">
        <v>22</v>
      </c>
      <c r="I4525" s="25" t="inlineStr">
        <is>
          <t>1 minute(s) and 56 second(s)</t>
        </is>
      </c>
      <c r="J4525" s="25">
        <f>IFERROR(VALUE(TRIM(LEFT(I4525,FIND("minute",I4525)-1)))*60,0)+IFERROR(VALUE(SUBSTITUTE(MID(I4525,IFERROR(FIND("and",I4525)+3,1),20),"second(s)","")),0)</f>
        <v/>
      </c>
      <c r="K4525" s="41">
        <f>J4525/60</f>
        <v/>
      </c>
      <c r="L4525" s="41">
        <f>IFERROR(J4525/H4525,"")</f>
        <v/>
      </c>
      <c r="M4525" s="25" t="inlineStr">
        <is>
          <t>2.5.12</t>
        </is>
      </c>
      <c r="N4525" s="25">
        <f>IF(J4525&gt;300,1,0)</f>
        <v/>
      </c>
      <c r="O4525" s="25">
        <f>IF(J4525&gt;600,1,0)</f>
        <v/>
      </c>
      <c r="P4525" s="25">
        <f>IF(H4525&gt;0,J4525,"")</f>
        <v/>
      </c>
      <c r="Q4525" s="25">
        <f>TEXT(A4525,"YYYY-MM-DD HH")</f>
        <v/>
      </c>
      <c r="R4525" s="25">
        <f>COUNTIF($Q$2:$Q$5295,Q4525)</f>
        <v/>
      </c>
      <c r="S4525" s="25">
        <f>IF(R4525&lt;=2,"1-2",IF(R4525&lt;=5,"3-5",IF(R4525&lt;=10,"6-10","11+")))</f>
        <v/>
      </c>
    </row>
    <row r="4526">
      <c r="A4526" s="39" t="n">
        <v>46225.38466435186</v>
      </c>
      <c r="B4526" s="25">
        <f>TEXT(A4526,"YYYY-MM")</f>
        <v/>
      </c>
      <c r="C4526" s="25">
        <f>TEXT(A4526,"MMM-YYYY")</f>
        <v/>
      </c>
      <c r="D4526" s="40">
        <f>INT(A4526)-WEEKDAY(A4526,2)+1</f>
        <v/>
      </c>
      <c r="E4526" s="25" t="inlineStr">
        <is>
          <t>aghosh</t>
        </is>
      </c>
      <c r="F4526" s="25" t="n">
        <v>131904</v>
      </c>
      <c r="G4526" s="25" t="n">
        <v>2</v>
      </c>
      <c r="H4526" s="25" t="n">
        <v>14</v>
      </c>
      <c r="I4526" s="25" t="inlineStr">
        <is>
          <t>1 minute(s) and 33 second(s)</t>
        </is>
      </c>
      <c r="J4526" s="25">
        <f>IFERROR(VALUE(TRIM(LEFT(I4526,FIND("minute",I4526)-1)))*60,0)+IFERROR(VALUE(SUBSTITUTE(MID(I4526,IFERROR(FIND("and",I4526)+3,1),20),"second(s)","")),0)</f>
        <v/>
      </c>
      <c r="K4526" s="41">
        <f>J4526/60</f>
        <v/>
      </c>
      <c r="L4526" s="41">
        <f>IFERROR(J4526/H4526,"")</f>
        <v/>
      </c>
      <c r="M4526" s="25" t="inlineStr">
        <is>
          <t>2.5.12</t>
        </is>
      </c>
      <c r="N4526" s="25">
        <f>IF(J4526&gt;300,1,0)</f>
        <v/>
      </c>
      <c r="O4526" s="25">
        <f>IF(J4526&gt;600,1,0)</f>
        <v/>
      </c>
      <c r="P4526" s="25">
        <f>IF(H4526&gt;0,J4526,"")</f>
        <v/>
      </c>
      <c r="Q4526" s="25">
        <f>TEXT(A4526,"YYYY-MM-DD HH")</f>
        <v/>
      </c>
      <c r="R4526" s="25">
        <f>COUNTIF($Q$2:$Q$5295,Q4526)</f>
        <v/>
      </c>
      <c r="S4526" s="25">
        <f>IF(R4526&lt;=2,"1-2",IF(R4526&lt;=5,"3-5",IF(R4526&lt;=10,"6-10","11+")))</f>
        <v/>
      </c>
    </row>
    <row r="4527">
      <c r="A4527" s="39" t="n">
        <v>46225.3860300926</v>
      </c>
      <c r="B4527" s="25">
        <f>TEXT(A4527,"YYYY-MM")</f>
        <v/>
      </c>
      <c r="C4527" s="25">
        <f>TEXT(A4527,"MMM-YYYY")</f>
        <v/>
      </c>
      <c r="D4527" s="40">
        <f>INT(A4527)-WEEKDAY(A4527,2)+1</f>
        <v/>
      </c>
      <c r="E4527" s="25" t="inlineStr">
        <is>
          <t>asahoo</t>
        </is>
      </c>
      <c r="F4527" s="25" t="n">
        <v>132287</v>
      </c>
      <c r="G4527" s="25" t="n">
        <v>1</v>
      </c>
      <c r="H4527" s="25" t="n">
        <v>5</v>
      </c>
      <c r="I4527" s="25" t="inlineStr">
        <is>
          <t>1 minute(s) and 36 second(s)</t>
        </is>
      </c>
      <c r="J4527" s="25">
        <f>IFERROR(VALUE(TRIM(LEFT(I4527,FIND("minute",I4527)-1)))*60,0)+IFERROR(VALUE(SUBSTITUTE(MID(I4527,IFERROR(FIND("and",I4527)+3,1),20),"second(s)","")),0)</f>
        <v/>
      </c>
      <c r="K4527" s="41">
        <f>J4527/60</f>
        <v/>
      </c>
      <c r="L4527" s="41">
        <f>IFERROR(J4527/H4527,"")</f>
        <v/>
      </c>
      <c r="M4527" s="25" t="inlineStr">
        <is>
          <t>2.5.12</t>
        </is>
      </c>
      <c r="N4527" s="25">
        <f>IF(J4527&gt;300,1,0)</f>
        <v/>
      </c>
      <c r="O4527" s="25">
        <f>IF(J4527&gt;600,1,0)</f>
        <v/>
      </c>
      <c r="P4527" s="25">
        <f>IF(H4527&gt;0,J4527,"")</f>
        <v/>
      </c>
      <c r="Q4527" s="25">
        <f>TEXT(A4527,"YYYY-MM-DD HH")</f>
        <v/>
      </c>
      <c r="R4527" s="25">
        <f>COUNTIF($Q$2:$Q$5295,Q4527)</f>
        <v/>
      </c>
      <c r="S4527" s="25">
        <f>IF(R4527&lt;=2,"1-2",IF(R4527&lt;=5,"3-5",IF(R4527&lt;=10,"6-10","11+")))</f>
        <v/>
      </c>
    </row>
    <row r="4528">
      <c r="A4528" s="39" t="n">
        <v>46225.3905787037</v>
      </c>
      <c r="B4528" s="25">
        <f>TEXT(A4528,"YYYY-MM")</f>
        <v/>
      </c>
      <c r="C4528" s="25">
        <f>TEXT(A4528,"MMM-YYYY")</f>
        <v/>
      </c>
      <c r="D4528" s="40">
        <f>INT(A4528)-WEEKDAY(A4528,2)+1</f>
        <v/>
      </c>
      <c r="E4528" s="25" t="inlineStr">
        <is>
          <t>ssneha</t>
        </is>
      </c>
      <c r="F4528" s="25" t="n">
        <v>130215</v>
      </c>
      <c r="G4528" s="25" t="n">
        <v>4</v>
      </c>
      <c r="H4528" s="25" t="n">
        <v>20</v>
      </c>
      <c r="I4528" s="25" t="inlineStr">
        <is>
          <t>6 minute(s) and 8 second(s)</t>
        </is>
      </c>
      <c r="J4528" s="25">
        <f>IFERROR(VALUE(TRIM(LEFT(I4528,FIND("minute",I4528)-1)))*60,0)+IFERROR(VALUE(SUBSTITUTE(MID(I4528,IFERROR(FIND("and",I4528)+3,1),20),"second(s)","")),0)</f>
        <v/>
      </c>
      <c r="K4528" s="41">
        <f>J4528/60</f>
        <v/>
      </c>
      <c r="L4528" s="41">
        <f>IFERROR(J4528/H4528,"")</f>
        <v/>
      </c>
      <c r="M4528" s="25" t="inlineStr">
        <is>
          <t>2.5.12</t>
        </is>
      </c>
      <c r="N4528" s="25">
        <f>IF(J4528&gt;300,1,0)</f>
        <v/>
      </c>
      <c r="O4528" s="25">
        <f>IF(J4528&gt;600,1,0)</f>
        <v/>
      </c>
      <c r="P4528" s="25">
        <f>IF(H4528&gt;0,J4528,"")</f>
        <v/>
      </c>
      <c r="Q4528" s="25">
        <f>TEXT(A4528,"YYYY-MM-DD HH")</f>
        <v/>
      </c>
      <c r="R4528" s="25">
        <f>COUNTIF($Q$2:$Q$5295,Q4528)</f>
        <v/>
      </c>
      <c r="S4528" s="25">
        <f>IF(R4528&lt;=2,"1-2",IF(R4528&lt;=5,"3-5",IF(R4528&lt;=10,"6-10","11+")))</f>
        <v/>
      </c>
    </row>
    <row r="4529">
      <c r="A4529" s="39" t="n">
        <v>46225.40047453704</v>
      </c>
      <c r="B4529" s="25">
        <f>TEXT(A4529,"YYYY-MM")</f>
        <v/>
      </c>
      <c r="C4529" s="25">
        <f>TEXT(A4529,"MMM-YYYY")</f>
        <v/>
      </c>
      <c r="D4529" s="40">
        <f>INT(A4529)-WEEKDAY(A4529,2)+1</f>
        <v/>
      </c>
      <c r="E4529" s="25" t="inlineStr">
        <is>
          <t>atiwari</t>
        </is>
      </c>
      <c r="F4529" s="25" t="n">
        <v>128439</v>
      </c>
      <c r="G4529" s="25" t="n">
        <v>1</v>
      </c>
      <c r="H4529" s="25" t="n">
        <v>7</v>
      </c>
      <c r="I4529" s="25" t="inlineStr">
        <is>
          <t>48 second(s)</t>
        </is>
      </c>
      <c r="J4529" s="25">
        <f>IFERROR(VALUE(TRIM(LEFT(I4529,FIND("minute",I4529)-1)))*60,0)+IFERROR(VALUE(SUBSTITUTE(MID(I4529,IFERROR(FIND("and",I4529)+3,1),20),"second(s)","")),0)</f>
        <v/>
      </c>
      <c r="K4529" s="41">
        <f>J4529/60</f>
        <v/>
      </c>
      <c r="L4529" s="41">
        <f>IFERROR(J4529/H4529,"")</f>
        <v/>
      </c>
      <c r="M4529" s="25" t="inlineStr">
        <is>
          <t>2.5.12</t>
        </is>
      </c>
      <c r="N4529" s="25">
        <f>IF(J4529&gt;300,1,0)</f>
        <v/>
      </c>
      <c r="O4529" s="25">
        <f>IF(J4529&gt;600,1,0)</f>
        <v/>
      </c>
      <c r="P4529" s="25">
        <f>IF(H4529&gt;0,J4529,"")</f>
        <v/>
      </c>
      <c r="Q4529" s="25">
        <f>TEXT(A4529,"YYYY-MM-DD HH")</f>
        <v/>
      </c>
      <c r="R4529" s="25">
        <f>COUNTIF($Q$2:$Q$5295,Q4529)</f>
        <v/>
      </c>
      <c r="S4529" s="25">
        <f>IF(R4529&lt;=2,"1-2",IF(R4529&lt;=5,"3-5",IF(R4529&lt;=10,"6-10","11+")))</f>
        <v/>
      </c>
    </row>
    <row r="4530">
      <c r="A4530" s="39" t="n">
        <v>46225.406875</v>
      </c>
      <c r="B4530" s="25">
        <f>TEXT(A4530,"YYYY-MM")</f>
        <v/>
      </c>
      <c r="C4530" s="25">
        <f>TEXT(A4530,"MMM-YYYY")</f>
        <v/>
      </c>
      <c r="D4530" s="40">
        <f>INT(A4530)-WEEKDAY(A4530,2)+1</f>
        <v/>
      </c>
      <c r="E4530" s="25" t="inlineStr">
        <is>
          <t>npriya</t>
        </is>
      </c>
      <c r="F4530" s="25" t="n">
        <v>129632</v>
      </c>
      <c r="G4530" s="25" t="n">
        <v>1</v>
      </c>
      <c r="H4530" s="25" t="n">
        <v>5</v>
      </c>
      <c r="I4530" s="25" t="inlineStr">
        <is>
          <t>30 second(s)</t>
        </is>
      </c>
      <c r="J4530" s="25">
        <f>IFERROR(VALUE(TRIM(LEFT(I4530,FIND("minute",I4530)-1)))*60,0)+IFERROR(VALUE(SUBSTITUTE(MID(I4530,IFERROR(FIND("and",I4530)+3,1),20),"second(s)","")),0)</f>
        <v/>
      </c>
      <c r="K4530" s="41">
        <f>J4530/60</f>
        <v/>
      </c>
      <c r="L4530" s="41">
        <f>IFERROR(J4530/H4530,"")</f>
        <v/>
      </c>
      <c r="M4530" s="25" t="inlineStr">
        <is>
          <t>2.5.12</t>
        </is>
      </c>
      <c r="N4530" s="25">
        <f>IF(J4530&gt;300,1,0)</f>
        <v/>
      </c>
      <c r="O4530" s="25">
        <f>IF(J4530&gt;600,1,0)</f>
        <v/>
      </c>
      <c r="P4530" s="25">
        <f>IF(H4530&gt;0,J4530,"")</f>
        <v/>
      </c>
      <c r="Q4530" s="25">
        <f>TEXT(A4530,"YYYY-MM-DD HH")</f>
        <v/>
      </c>
      <c r="R4530" s="25">
        <f>COUNTIF($Q$2:$Q$5295,Q4530)</f>
        <v/>
      </c>
      <c r="S4530" s="25">
        <f>IF(R4530&lt;=2,"1-2",IF(R4530&lt;=5,"3-5",IF(R4530&lt;=10,"6-10","11+")))</f>
        <v/>
      </c>
    </row>
    <row r="4531">
      <c r="A4531" s="39" t="n">
        <v>46225.40731481482</v>
      </c>
      <c r="B4531" s="25">
        <f>TEXT(A4531,"YYYY-MM")</f>
        <v/>
      </c>
      <c r="C4531" s="25">
        <f>TEXT(A4531,"MMM-YYYY")</f>
        <v/>
      </c>
      <c r="D4531" s="40">
        <f>INT(A4531)-WEEKDAY(A4531,2)+1</f>
        <v/>
      </c>
      <c r="E4531" s="25" t="inlineStr">
        <is>
          <t>sthomas</t>
        </is>
      </c>
      <c r="F4531" s="25" t="n">
        <v>129102</v>
      </c>
      <c r="G4531" s="25" t="n">
        <v>1</v>
      </c>
      <c r="H4531" s="25" t="n">
        <v>7</v>
      </c>
      <c r="I4531" s="25" t="inlineStr">
        <is>
          <t>34 second(s)</t>
        </is>
      </c>
      <c r="J4531" s="25">
        <f>IFERROR(VALUE(TRIM(LEFT(I4531,FIND("minute",I4531)-1)))*60,0)+IFERROR(VALUE(SUBSTITUTE(MID(I4531,IFERROR(FIND("and",I4531)+3,1),20),"second(s)","")),0)</f>
        <v/>
      </c>
      <c r="K4531" s="41">
        <f>J4531/60</f>
        <v/>
      </c>
      <c r="L4531" s="41">
        <f>IFERROR(J4531/H4531,"")</f>
        <v/>
      </c>
      <c r="M4531" s="25" t="inlineStr">
        <is>
          <t>2.5.12</t>
        </is>
      </c>
      <c r="N4531" s="25">
        <f>IF(J4531&gt;300,1,0)</f>
        <v/>
      </c>
      <c r="O4531" s="25">
        <f>IF(J4531&gt;600,1,0)</f>
        <v/>
      </c>
      <c r="P4531" s="25">
        <f>IF(H4531&gt;0,J4531,"")</f>
        <v/>
      </c>
      <c r="Q4531" s="25">
        <f>TEXT(A4531,"YYYY-MM-DD HH")</f>
        <v/>
      </c>
      <c r="R4531" s="25">
        <f>COUNTIF($Q$2:$Q$5295,Q4531)</f>
        <v/>
      </c>
      <c r="S4531" s="25">
        <f>IF(R4531&lt;=2,"1-2",IF(R4531&lt;=5,"3-5",IF(R4531&lt;=10,"6-10","11+")))</f>
        <v/>
      </c>
    </row>
    <row r="4532">
      <c r="A4532" s="39" t="n">
        <v>46225.40864583333</v>
      </c>
      <c r="B4532" s="25">
        <f>TEXT(A4532,"YYYY-MM")</f>
        <v/>
      </c>
      <c r="C4532" s="25">
        <f>TEXT(A4532,"MMM-YYYY")</f>
        <v/>
      </c>
      <c r="D4532" s="40">
        <f>INT(A4532)-WEEKDAY(A4532,2)+1</f>
        <v/>
      </c>
      <c r="E4532" s="25" t="inlineStr">
        <is>
          <t>ethomas</t>
        </is>
      </c>
      <c r="F4532" s="25" t="n">
        <v>131550</v>
      </c>
      <c r="G4532" s="25" t="n">
        <v>2</v>
      </c>
      <c r="H4532" s="25" t="n">
        <v>14</v>
      </c>
      <c r="I4532" s="25" t="inlineStr">
        <is>
          <t>1 minute(s) and 27 second(s)</t>
        </is>
      </c>
      <c r="J4532" s="25">
        <f>IFERROR(VALUE(TRIM(LEFT(I4532,FIND("minute",I4532)-1)))*60,0)+IFERROR(VALUE(SUBSTITUTE(MID(I4532,IFERROR(FIND("and",I4532)+3,1),20),"second(s)","")),0)</f>
        <v/>
      </c>
      <c r="K4532" s="41">
        <f>J4532/60</f>
        <v/>
      </c>
      <c r="L4532" s="41">
        <f>IFERROR(J4532/H4532,"")</f>
        <v/>
      </c>
      <c r="M4532" s="25" t="inlineStr">
        <is>
          <t>2.5.12</t>
        </is>
      </c>
      <c r="N4532" s="25">
        <f>IF(J4532&gt;300,1,0)</f>
        <v/>
      </c>
      <c r="O4532" s="25">
        <f>IF(J4532&gt;600,1,0)</f>
        <v/>
      </c>
      <c r="P4532" s="25">
        <f>IF(H4532&gt;0,J4532,"")</f>
        <v/>
      </c>
      <c r="Q4532" s="25">
        <f>TEXT(A4532,"YYYY-MM-DD HH")</f>
        <v/>
      </c>
      <c r="R4532" s="25">
        <f>COUNTIF($Q$2:$Q$5295,Q4532)</f>
        <v/>
      </c>
      <c r="S4532" s="25">
        <f>IF(R4532&lt;=2,"1-2",IF(R4532&lt;=5,"3-5",IF(R4532&lt;=10,"6-10","11+")))</f>
        <v/>
      </c>
    </row>
    <row r="4533">
      <c r="A4533" s="39" t="n">
        <v>46225.41484953704</v>
      </c>
      <c r="B4533" s="25">
        <f>TEXT(A4533,"YYYY-MM")</f>
        <v/>
      </c>
      <c r="C4533" s="25">
        <f>TEXT(A4533,"MMM-YYYY")</f>
        <v/>
      </c>
      <c r="D4533" s="40">
        <f>INT(A4533)-WEEKDAY(A4533,2)+1</f>
        <v/>
      </c>
      <c r="E4533" s="25" t="inlineStr">
        <is>
          <t>pgautam</t>
        </is>
      </c>
      <c r="F4533" s="25" t="n">
        <v>132972</v>
      </c>
      <c r="G4533" s="25" t="n">
        <v>5</v>
      </c>
      <c r="H4533" s="25" t="n">
        <v>32</v>
      </c>
      <c r="I4533" s="25" t="inlineStr">
        <is>
          <t>4 minute(s) and 42 second(s)</t>
        </is>
      </c>
      <c r="J4533" s="25">
        <f>IFERROR(VALUE(TRIM(LEFT(I4533,FIND("minute",I4533)-1)))*60,0)+IFERROR(VALUE(SUBSTITUTE(MID(I4533,IFERROR(FIND("and",I4533)+3,1),20),"second(s)","")),0)</f>
        <v/>
      </c>
      <c r="K4533" s="41">
        <f>J4533/60</f>
        <v/>
      </c>
      <c r="L4533" s="41">
        <f>IFERROR(J4533/H4533,"")</f>
        <v/>
      </c>
      <c r="M4533" s="25" t="inlineStr">
        <is>
          <t>2.5.12</t>
        </is>
      </c>
      <c r="N4533" s="25">
        <f>IF(J4533&gt;300,1,0)</f>
        <v/>
      </c>
      <c r="O4533" s="25">
        <f>IF(J4533&gt;600,1,0)</f>
        <v/>
      </c>
      <c r="P4533" s="25">
        <f>IF(H4533&gt;0,J4533,"")</f>
        <v/>
      </c>
      <c r="Q4533" s="25">
        <f>TEXT(A4533,"YYYY-MM-DD HH")</f>
        <v/>
      </c>
      <c r="R4533" s="25">
        <f>COUNTIF($Q$2:$Q$5295,Q4533)</f>
        <v/>
      </c>
      <c r="S4533" s="25">
        <f>IF(R4533&lt;=2,"1-2",IF(R4533&lt;=5,"3-5",IF(R4533&lt;=10,"6-10","11+")))</f>
        <v/>
      </c>
    </row>
    <row r="4534">
      <c r="A4534" s="39" t="n">
        <v>46225.41673611111</v>
      </c>
      <c r="B4534" s="25">
        <f>TEXT(A4534,"YYYY-MM")</f>
        <v/>
      </c>
      <c r="C4534" s="25">
        <f>TEXT(A4534,"MMM-YYYY")</f>
        <v/>
      </c>
      <c r="D4534" s="40">
        <f>INT(A4534)-WEEKDAY(A4534,2)+1</f>
        <v/>
      </c>
      <c r="E4534" s="25" t="inlineStr">
        <is>
          <t>sdey</t>
        </is>
      </c>
      <c r="F4534" s="25" t="n">
        <v>129313</v>
      </c>
      <c r="G4534" s="25" t="n">
        <v>4</v>
      </c>
      <c r="H4534" s="25" t="n">
        <v>20</v>
      </c>
      <c r="I4534" s="25" t="inlineStr">
        <is>
          <t>2 minute(s) and 19 second(s)</t>
        </is>
      </c>
      <c r="J4534" s="25">
        <f>IFERROR(VALUE(TRIM(LEFT(I4534,FIND("minute",I4534)-1)))*60,0)+IFERROR(VALUE(SUBSTITUTE(MID(I4534,IFERROR(FIND("and",I4534)+3,1),20),"second(s)","")),0)</f>
        <v/>
      </c>
      <c r="K4534" s="41">
        <f>J4534/60</f>
        <v/>
      </c>
      <c r="L4534" s="41">
        <f>IFERROR(J4534/H4534,"")</f>
        <v/>
      </c>
      <c r="M4534" s="25" t="inlineStr">
        <is>
          <t>2.5.12</t>
        </is>
      </c>
      <c r="N4534" s="25">
        <f>IF(J4534&gt;300,1,0)</f>
        <v/>
      </c>
      <c r="O4534" s="25">
        <f>IF(J4534&gt;600,1,0)</f>
        <v/>
      </c>
      <c r="P4534" s="25">
        <f>IF(H4534&gt;0,J4534,"")</f>
        <v/>
      </c>
      <c r="Q4534" s="25">
        <f>TEXT(A4534,"YYYY-MM-DD HH")</f>
        <v/>
      </c>
      <c r="R4534" s="25">
        <f>COUNTIF($Q$2:$Q$5295,Q4534)</f>
        <v/>
      </c>
      <c r="S4534" s="25">
        <f>IF(R4534&lt;=2,"1-2",IF(R4534&lt;=5,"3-5",IF(R4534&lt;=10,"6-10","11+")))</f>
        <v/>
      </c>
    </row>
    <row r="4535">
      <c r="A4535" s="39" t="n">
        <v>46225.41804398148</v>
      </c>
      <c r="B4535" s="25">
        <f>TEXT(A4535,"YYYY-MM")</f>
        <v/>
      </c>
      <c r="C4535" s="25">
        <f>TEXT(A4535,"MMM-YYYY")</f>
        <v/>
      </c>
      <c r="D4535" s="40">
        <f>INT(A4535)-WEEKDAY(A4535,2)+1</f>
        <v/>
      </c>
      <c r="E4535" s="25" t="inlineStr">
        <is>
          <t>sasharma</t>
        </is>
      </c>
      <c r="F4535" s="25" t="n">
        <v>132912</v>
      </c>
      <c r="G4535" s="25" t="n">
        <v>1</v>
      </c>
      <c r="H4535" s="25" t="n">
        <v>5</v>
      </c>
      <c r="I4535" s="25" t="inlineStr">
        <is>
          <t>28 second(s)</t>
        </is>
      </c>
      <c r="J4535" s="25">
        <f>IFERROR(VALUE(TRIM(LEFT(I4535,FIND("minute",I4535)-1)))*60,0)+IFERROR(VALUE(SUBSTITUTE(MID(I4535,IFERROR(FIND("and",I4535)+3,1),20),"second(s)","")),0)</f>
        <v/>
      </c>
      <c r="K4535" s="41">
        <f>J4535/60</f>
        <v/>
      </c>
      <c r="L4535" s="41">
        <f>IFERROR(J4535/H4535,"")</f>
        <v/>
      </c>
      <c r="M4535" s="25" t="inlineStr">
        <is>
          <t>2.5.12</t>
        </is>
      </c>
      <c r="N4535" s="25">
        <f>IF(J4535&gt;300,1,0)</f>
        <v/>
      </c>
      <c r="O4535" s="25">
        <f>IF(J4535&gt;600,1,0)</f>
        <v/>
      </c>
      <c r="P4535" s="25">
        <f>IF(H4535&gt;0,J4535,"")</f>
        <v/>
      </c>
      <c r="Q4535" s="25">
        <f>TEXT(A4535,"YYYY-MM-DD HH")</f>
        <v/>
      </c>
      <c r="R4535" s="25">
        <f>COUNTIF($Q$2:$Q$5295,Q4535)</f>
        <v/>
      </c>
      <c r="S4535" s="25">
        <f>IF(R4535&lt;=2,"1-2",IF(R4535&lt;=5,"3-5",IF(R4535&lt;=10,"6-10","11+")))</f>
        <v/>
      </c>
    </row>
    <row r="4536">
      <c r="A4536" s="39" t="n">
        <v>46225.42020833334</v>
      </c>
      <c r="B4536" s="25">
        <f>TEXT(A4536,"YYYY-MM")</f>
        <v/>
      </c>
      <c r="C4536" s="25">
        <f>TEXT(A4536,"MMM-YYYY")</f>
        <v/>
      </c>
      <c r="D4536" s="40">
        <f>INT(A4536)-WEEKDAY(A4536,2)+1</f>
        <v/>
      </c>
      <c r="E4536" s="25" t="inlineStr">
        <is>
          <t>dbhattacharyya</t>
        </is>
      </c>
      <c r="F4536" s="25" t="n">
        <v>131182</v>
      </c>
      <c r="G4536" s="25" t="n">
        <v>5</v>
      </c>
      <c r="H4536" s="25" t="n">
        <v>29</v>
      </c>
      <c r="I4536" s="25" t="inlineStr">
        <is>
          <t>3 minute(s) and 51 second(s)</t>
        </is>
      </c>
      <c r="J4536" s="25">
        <f>IFERROR(VALUE(TRIM(LEFT(I4536,FIND("minute",I4536)-1)))*60,0)+IFERROR(VALUE(SUBSTITUTE(MID(I4536,IFERROR(FIND("and",I4536)+3,1),20),"second(s)","")),0)</f>
        <v/>
      </c>
      <c r="K4536" s="41">
        <f>J4536/60</f>
        <v/>
      </c>
      <c r="L4536" s="41">
        <f>IFERROR(J4536/H4536,"")</f>
        <v/>
      </c>
      <c r="M4536" s="25" t="inlineStr">
        <is>
          <t>2.5.12</t>
        </is>
      </c>
      <c r="N4536" s="25">
        <f>IF(J4536&gt;300,1,0)</f>
        <v/>
      </c>
      <c r="O4536" s="25">
        <f>IF(J4536&gt;600,1,0)</f>
        <v/>
      </c>
      <c r="P4536" s="25">
        <f>IF(H4536&gt;0,J4536,"")</f>
        <v/>
      </c>
      <c r="Q4536" s="25">
        <f>TEXT(A4536,"YYYY-MM-DD HH")</f>
        <v/>
      </c>
      <c r="R4536" s="25">
        <f>COUNTIF($Q$2:$Q$5295,Q4536)</f>
        <v/>
      </c>
      <c r="S4536" s="25">
        <f>IF(R4536&lt;=2,"1-2",IF(R4536&lt;=5,"3-5",IF(R4536&lt;=10,"6-10","11+")))</f>
        <v/>
      </c>
    </row>
    <row r="4537">
      <c r="A4537" s="39" t="n">
        <v>46225.42074074074</v>
      </c>
      <c r="B4537" s="25">
        <f>TEXT(A4537,"YYYY-MM")</f>
        <v/>
      </c>
      <c r="C4537" s="25">
        <f>TEXT(A4537,"MMM-YYYY")</f>
        <v/>
      </c>
      <c r="D4537" s="40">
        <f>INT(A4537)-WEEKDAY(A4537,2)+1</f>
        <v/>
      </c>
      <c r="E4537" s="25" t="inlineStr">
        <is>
          <t>shassan</t>
        </is>
      </c>
      <c r="F4537" s="25" t="n">
        <v>130486</v>
      </c>
      <c r="G4537" s="25" t="n">
        <v>4</v>
      </c>
      <c r="H4537" s="25" t="n">
        <v>20</v>
      </c>
      <c r="I4537" s="25" t="inlineStr">
        <is>
          <t>2 minute(s) and 18 second(s)</t>
        </is>
      </c>
      <c r="J4537" s="25">
        <f>IFERROR(VALUE(TRIM(LEFT(I4537,FIND("minute",I4537)-1)))*60,0)+IFERROR(VALUE(SUBSTITUTE(MID(I4537,IFERROR(FIND("and",I4537)+3,1),20),"second(s)","")),0)</f>
        <v/>
      </c>
      <c r="K4537" s="41">
        <f>J4537/60</f>
        <v/>
      </c>
      <c r="L4537" s="41">
        <f>IFERROR(J4537/H4537,"")</f>
        <v/>
      </c>
      <c r="M4537" s="25" t="inlineStr">
        <is>
          <t>2.5.12</t>
        </is>
      </c>
      <c r="N4537" s="25">
        <f>IF(J4537&gt;300,1,0)</f>
        <v/>
      </c>
      <c r="O4537" s="25">
        <f>IF(J4537&gt;600,1,0)</f>
        <v/>
      </c>
      <c r="P4537" s="25">
        <f>IF(H4537&gt;0,J4537,"")</f>
        <v/>
      </c>
      <c r="Q4537" s="25">
        <f>TEXT(A4537,"YYYY-MM-DD HH")</f>
        <v/>
      </c>
      <c r="R4537" s="25">
        <f>COUNTIF($Q$2:$Q$5295,Q4537)</f>
        <v/>
      </c>
      <c r="S4537" s="25">
        <f>IF(R4537&lt;=2,"1-2",IF(R4537&lt;=5,"3-5",IF(R4537&lt;=10,"6-10","11+")))</f>
        <v/>
      </c>
    </row>
    <row r="4538">
      <c r="A4538" s="39" t="n">
        <v>46225.42289351852</v>
      </c>
      <c r="B4538" s="25">
        <f>TEXT(A4538,"YYYY-MM")</f>
        <v/>
      </c>
      <c r="C4538" s="25">
        <f>TEXT(A4538,"MMM-YYYY")</f>
        <v/>
      </c>
      <c r="D4538" s="40">
        <f>INT(A4538)-WEEKDAY(A4538,2)+1</f>
        <v/>
      </c>
      <c r="E4538" s="25" t="inlineStr">
        <is>
          <t>atiwari</t>
        </is>
      </c>
      <c r="F4538" s="25" t="n">
        <v>128455</v>
      </c>
      <c r="G4538" s="25" t="n">
        <v>4</v>
      </c>
      <c r="H4538" s="25" t="n">
        <v>27</v>
      </c>
      <c r="I4538" s="25" t="inlineStr">
        <is>
          <t>2 minute(s) and 33 second(s)</t>
        </is>
      </c>
      <c r="J4538" s="25">
        <f>IFERROR(VALUE(TRIM(LEFT(I4538,FIND("minute",I4538)-1)))*60,0)+IFERROR(VALUE(SUBSTITUTE(MID(I4538,IFERROR(FIND("and",I4538)+3,1),20),"second(s)","")),0)</f>
        <v/>
      </c>
      <c r="K4538" s="41">
        <f>J4538/60</f>
        <v/>
      </c>
      <c r="L4538" s="41">
        <f>IFERROR(J4538/H4538,"")</f>
        <v/>
      </c>
      <c r="M4538" s="25" t="inlineStr">
        <is>
          <t>2.5.12</t>
        </is>
      </c>
      <c r="N4538" s="25">
        <f>IF(J4538&gt;300,1,0)</f>
        <v/>
      </c>
      <c r="O4538" s="25">
        <f>IF(J4538&gt;600,1,0)</f>
        <v/>
      </c>
      <c r="P4538" s="25">
        <f>IF(H4538&gt;0,J4538,"")</f>
        <v/>
      </c>
      <c r="Q4538" s="25">
        <f>TEXT(A4538,"YYYY-MM-DD HH")</f>
        <v/>
      </c>
      <c r="R4538" s="25">
        <f>COUNTIF($Q$2:$Q$5295,Q4538)</f>
        <v/>
      </c>
      <c r="S4538" s="25">
        <f>IF(R4538&lt;=2,"1-2",IF(R4538&lt;=5,"3-5",IF(R4538&lt;=10,"6-10","11+")))</f>
        <v/>
      </c>
    </row>
    <row r="4539">
      <c r="A4539" s="39" t="n">
        <v>46225.42936342592</v>
      </c>
      <c r="B4539" s="25">
        <f>TEXT(A4539,"YYYY-MM")</f>
        <v/>
      </c>
      <c r="C4539" s="25">
        <f>TEXT(A4539,"MMM-YYYY")</f>
        <v/>
      </c>
      <c r="D4539" s="40">
        <f>INT(A4539)-WEEKDAY(A4539,2)+1</f>
        <v/>
      </c>
      <c r="E4539" s="25" t="inlineStr">
        <is>
          <t>smukhopadhyay</t>
        </is>
      </c>
      <c r="F4539" s="25" t="n">
        <v>129831</v>
      </c>
      <c r="G4539" s="25" t="n">
        <v>4</v>
      </c>
      <c r="H4539" s="25" t="n">
        <v>22</v>
      </c>
      <c r="I4539" s="25" t="inlineStr">
        <is>
          <t>2 minute(s) and 8 second(s)</t>
        </is>
      </c>
      <c r="J4539" s="25">
        <f>IFERROR(VALUE(TRIM(LEFT(I4539,FIND("minute",I4539)-1)))*60,0)+IFERROR(VALUE(SUBSTITUTE(MID(I4539,IFERROR(FIND("and",I4539)+3,1),20),"second(s)","")),0)</f>
        <v/>
      </c>
      <c r="K4539" s="41">
        <f>J4539/60</f>
        <v/>
      </c>
      <c r="L4539" s="41">
        <f>IFERROR(J4539/H4539,"")</f>
        <v/>
      </c>
      <c r="M4539" s="25" t="inlineStr">
        <is>
          <t>2.5.12</t>
        </is>
      </c>
      <c r="N4539" s="25">
        <f>IF(J4539&gt;300,1,0)</f>
        <v/>
      </c>
      <c r="O4539" s="25">
        <f>IF(J4539&gt;600,1,0)</f>
        <v/>
      </c>
      <c r="P4539" s="25">
        <f>IF(H4539&gt;0,J4539,"")</f>
        <v/>
      </c>
      <c r="Q4539" s="25">
        <f>TEXT(A4539,"YYYY-MM-DD HH")</f>
        <v/>
      </c>
      <c r="R4539" s="25">
        <f>COUNTIF($Q$2:$Q$5295,Q4539)</f>
        <v/>
      </c>
      <c r="S4539" s="25">
        <f>IF(R4539&lt;=2,"1-2",IF(R4539&lt;=5,"3-5",IF(R4539&lt;=10,"6-10","11+")))</f>
        <v/>
      </c>
    </row>
    <row r="4540">
      <c r="A4540" s="39" t="n">
        <v>46225.43556712963</v>
      </c>
      <c r="B4540" s="25">
        <f>TEXT(A4540,"YYYY-MM")</f>
        <v/>
      </c>
      <c r="C4540" s="25">
        <f>TEXT(A4540,"MMM-YYYY")</f>
        <v/>
      </c>
      <c r="D4540" s="40">
        <f>INT(A4540)-WEEKDAY(A4540,2)+1</f>
        <v/>
      </c>
      <c r="E4540" s="25" t="inlineStr">
        <is>
          <t>npriya</t>
        </is>
      </c>
      <c r="F4540" s="25" t="n">
        <v>129624</v>
      </c>
      <c r="G4540" s="25" t="n">
        <v>4</v>
      </c>
      <c r="H4540" s="25" t="n">
        <v>24</v>
      </c>
      <c r="I4540" s="25" t="inlineStr">
        <is>
          <t>2 minute(s) and 57 second(s)</t>
        </is>
      </c>
      <c r="J4540" s="25">
        <f>IFERROR(VALUE(TRIM(LEFT(I4540,FIND("minute",I4540)-1)))*60,0)+IFERROR(VALUE(SUBSTITUTE(MID(I4540,IFERROR(FIND("and",I4540)+3,1),20),"second(s)","")),0)</f>
        <v/>
      </c>
      <c r="K4540" s="41">
        <f>J4540/60</f>
        <v/>
      </c>
      <c r="L4540" s="41">
        <f>IFERROR(J4540/H4540,"")</f>
        <v/>
      </c>
      <c r="M4540" s="25" t="inlineStr">
        <is>
          <t>2.5.12</t>
        </is>
      </c>
      <c r="N4540" s="25">
        <f>IF(J4540&gt;300,1,0)</f>
        <v/>
      </c>
      <c r="O4540" s="25">
        <f>IF(J4540&gt;600,1,0)</f>
        <v/>
      </c>
      <c r="P4540" s="25">
        <f>IF(H4540&gt;0,J4540,"")</f>
        <v/>
      </c>
      <c r="Q4540" s="25">
        <f>TEXT(A4540,"YYYY-MM-DD HH")</f>
        <v/>
      </c>
      <c r="R4540" s="25">
        <f>COUNTIF($Q$2:$Q$5295,Q4540)</f>
        <v/>
      </c>
      <c r="S4540" s="25">
        <f>IF(R4540&lt;=2,"1-2",IF(R4540&lt;=5,"3-5",IF(R4540&lt;=10,"6-10","11+")))</f>
        <v/>
      </c>
    </row>
    <row r="4541">
      <c r="A4541" s="39" t="n">
        <v>46225.43734953704</v>
      </c>
      <c r="B4541" s="25">
        <f>TEXT(A4541,"YYYY-MM")</f>
        <v/>
      </c>
      <c r="C4541" s="25">
        <f>TEXT(A4541,"MMM-YYYY")</f>
        <v/>
      </c>
      <c r="D4541" s="40">
        <f>INT(A4541)-WEEKDAY(A4541,2)+1</f>
        <v/>
      </c>
      <c r="E4541" s="25" t="inlineStr">
        <is>
          <t>ssrinivasan</t>
        </is>
      </c>
      <c r="F4541" s="25" t="n">
        <v>129799</v>
      </c>
      <c r="G4541" s="25" t="n">
        <v>4</v>
      </c>
      <c r="H4541" s="25" t="n">
        <v>24</v>
      </c>
      <c r="I4541" s="25" t="inlineStr">
        <is>
          <t>2 minute(s) and 44 second(s)</t>
        </is>
      </c>
      <c r="J4541" s="25">
        <f>IFERROR(VALUE(TRIM(LEFT(I4541,FIND("minute",I4541)-1)))*60,0)+IFERROR(VALUE(SUBSTITUTE(MID(I4541,IFERROR(FIND("and",I4541)+3,1),20),"second(s)","")),0)</f>
        <v/>
      </c>
      <c r="K4541" s="41">
        <f>J4541/60</f>
        <v/>
      </c>
      <c r="L4541" s="41">
        <f>IFERROR(J4541/H4541,"")</f>
        <v/>
      </c>
      <c r="M4541" s="25" t="inlineStr">
        <is>
          <t>2.5.12</t>
        </is>
      </c>
      <c r="N4541" s="25">
        <f>IF(J4541&gt;300,1,0)</f>
        <v/>
      </c>
      <c r="O4541" s="25">
        <f>IF(J4541&gt;600,1,0)</f>
        <v/>
      </c>
      <c r="P4541" s="25">
        <f>IF(H4541&gt;0,J4541,"")</f>
        <v/>
      </c>
      <c r="Q4541" s="25">
        <f>TEXT(A4541,"YYYY-MM-DD HH")</f>
        <v/>
      </c>
      <c r="R4541" s="25">
        <f>COUNTIF($Q$2:$Q$5295,Q4541)</f>
        <v/>
      </c>
      <c r="S4541" s="25">
        <f>IF(R4541&lt;=2,"1-2",IF(R4541&lt;=5,"3-5",IF(R4541&lt;=10,"6-10","11+")))</f>
        <v/>
      </c>
    </row>
    <row r="4542">
      <c r="A4542" s="39" t="n">
        <v>46225.44299768518</v>
      </c>
      <c r="B4542" s="25">
        <f>TEXT(A4542,"YYYY-MM")</f>
        <v/>
      </c>
      <c r="C4542" s="25">
        <f>TEXT(A4542,"MMM-YYYY")</f>
        <v/>
      </c>
      <c r="D4542" s="40">
        <f>INT(A4542)-WEEKDAY(A4542,2)+1</f>
        <v/>
      </c>
      <c r="E4542" s="25" t="inlineStr">
        <is>
          <t>ssneha</t>
        </is>
      </c>
      <c r="F4542" s="25" t="n">
        <v>130143</v>
      </c>
      <c r="G4542" s="25" t="n">
        <v>4</v>
      </c>
      <c r="H4542" s="25" t="n">
        <v>20</v>
      </c>
      <c r="I4542" s="25" t="inlineStr">
        <is>
          <t>2 minute(s) and 17 second(s)</t>
        </is>
      </c>
      <c r="J4542" s="25">
        <f>IFERROR(VALUE(TRIM(LEFT(I4542,FIND("minute",I4542)-1)))*60,0)+IFERROR(VALUE(SUBSTITUTE(MID(I4542,IFERROR(FIND("and",I4542)+3,1),20),"second(s)","")),0)</f>
        <v/>
      </c>
      <c r="K4542" s="41">
        <f>J4542/60</f>
        <v/>
      </c>
      <c r="L4542" s="41">
        <f>IFERROR(J4542/H4542,"")</f>
        <v/>
      </c>
      <c r="M4542" s="25" t="inlineStr">
        <is>
          <t>2.5.12</t>
        </is>
      </c>
      <c r="N4542" s="25">
        <f>IF(J4542&gt;300,1,0)</f>
        <v/>
      </c>
      <c r="O4542" s="25">
        <f>IF(J4542&gt;600,1,0)</f>
        <v/>
      </c>
      <c r="P4542" s="25">
        <f>IF(H4542&gt;0,J4542,"")</f>
        <v/>
      </c>
      <c r="Q4542" s="25">
        <f>TEXT(A4542,"YYYY-MM-DD HH")</f>
        <v/>
      </c>
      <c r="R4542" s="25">
        <f>COUNTIF($Q$2:$Q$5295,Q4542)</f>
        <v/>
      </c>
      <c r="S4542" s="25">
        <f>IF(R4542&lt;=2,"1-2",IF(R4542&lt;=5,"3-5",IF(R4542&lt;=10,"6-10","11+")))</f>
        <v/>
      </c>
    </row>
    <row r="4543">
      <c r="A4543" s="39" t="n">
        <v>46225.44561342592</v>
      </c>
      <c r="B4543" s="25">
        <f>TEXT(A4543,"YYYY-MM")</f>
        <v/>
      </c>
      <c r="C4543" s="25">
        <f>TEXT(A4543,"MMM-YYYY")</f>
        <v/>
      </c>
      <c r="D4543" s="40">
        <f>INT(A4543)-WEEKDAY(A4543,2)+1</f>
        <v/>
      </c>
      <c r="E4543" s="25" t="inlineStr">
        <is>
          <t>ethomas</t>
        </is>
      </c>
      <c r="F4543" s="25" t="n">
        <v>131510</v>
      </c>
      <c r="G4543" s="25" t="n">
        <v>2</v>
      </c>
      <c r="H4543" s="25" t="n">
        <v>8</v>
      </c>
      <c r="I4543" s="25" t="inlineStr">
        <is>
          <t>38 second(s)</t>
        </is>
      </c>
      <c r="J4543" s="25">
        <f>IFERROR(VALUE(TRIM(LEFT(I4543,FIND("minute",I4543)-1)))*60,0)+IFERROR(VALUE(SUBSTITUTE(MID(I4543,IFERROR(FIND("and",I4543)+3,1),20),"second(s)","")),0)</f>
        <v/>
      </c>
      <c r="K4543" s="41">
        <f>J4543/60</f>
        <v/>
      </c>
      <c r="L4543" s="41">
        <f>IFERROR(J4543/H4543,"")</f>
        <v/>
      </c>
      <c r="M4543" s="25" t="inlineStr">
        <is>
          <t>2.5.12</t>
        </is>
      </c>
      <c r="N4543" s="25">
        <f>IF(J4543&gt;300,1,0)</f>
        <v/>
      </c>
      <c r="O4543" s="25">
        <f>IF(J4543&gt;600,1,0)</f>
        <v/>
      </c>
      <c r="P4543" s="25">
        <f>IF(H4543&gt;0,J4543,"")</f>
        <v/>
      </c>
      <c r="Q4543" s="25">
        <f>TEXT(A4543,"YYYY-MM-DD HH")</f>
        <v/>
      </c>
      <c r="R4543" s="25">
        <f>COUNTIF($Q$2:$Q$5295,Q4543)</f>
        <v/>
      </c>
      <c r="S4543" s="25">
        <f>IF(R4543&lt;=2,"1-2",IF(R4543&lt;=5,"3-5",IF(R4543&lt;=10,"6-10","11+")))</f>
        <v/>
      </c>
    </row>
    <row r="4544">
      <c r="A4544" s="39" t="n">
        <v>46225.45149305555</v>
      </c>
      <c r="B4544" s="25">
        <f>TEXT(A4544,"YYYY-MM")</f>
        <v/>
      </c>
      <c r="C4544" s="25">
        <f>TEXT(A4544,"MMM-YYYY")</f>
        <v/>
      </c>
      <c r="D4544" s="40">
        <f>INT(A4544)-WEEKDAY(A4544,2)+1</f>
        <v/>
      </c>
      <c r="E4544" s="25" t="inlineStr">
        <is>
          <t>mbhalla</t>
        </is>
      </c>
      <c r="F4544" s="25" t="n">
        <v>130751</v>
      </c>
      <c r="G4544" s="25" t="n">
        <v>4</v>
      </c>
      <c r="H4544" s="25" t="n">
        <v>18</v>
      </c>
      <c r="I4544" s="25" t="inlineStr">
        <is>
          <t>1 minute(s) and 31 second(s)</t>
        </is>
      </c>
      <c r="J4544" s="25">
        <f>IFERROR(VALUE(TRIM(LEFT(I4544,FIND("minute",I4544)-1)))*60,0)+IFERROR(VALUE(SUBSTITUTE(MID(I4544,IFERROR(FIND("and",I4544)+3,1),20),"second(s)","")),0)</f>
        <v/>
      </c>
      <c r="K4544" s="41">
        <f>J4544/60</f>
        <v/>
      </c>
      <c r="L4544" s="41">
        <f>IFERROR(J4544/H4544,"")</f>
        <v/>
      </c>
      <c r="M4544" s="25" t="inlineStr">
        <is>
          <t>2.5.12</t>
        </is>
      </c>
      <c r="N4544" s="25">
        <f>IF(J4544&gt;300,1,0)</f>
        <v/>
      </c>
      <c r="O4544" s="25">
        <f>IF(J4544&gt;600,1,0)</f>
        <v/>
      </c>
      <c r="P4544" s="25">
        <f>IF(H4544&gt;0,J4544,"")</f>
        <v/>
      </c>
      <c r="Q4544" s="25">
        <f>TEXT(A4544,"YYYY-MM-DD HH")</f>
        <v/>
      </c>
      <c r="R4544" s="25">
        <f>COUNTIF($Q$2:$Q$5295,Q4544)</f>
        <v/>
      </c>
      <c r="S4544" s="25">
        <f>IF(R4544&lt;=2,"1-2",IF(R4544&lt;=5,"3-5",IF(R4544&lt;=10,"6-10","11+")))</f>
        <v/>
      </c>
    </row>
    <row r="4545">
      <c r="A4545" s="39" t="n">
        <v>46225.45596064815</v>
      </c>
      <c r="B4545" s="25">
        <f>TEXT(A4545,"YYYY-MM")</f>
        <v/>
      </c>
      <c r="C4545" s="25">
        <f>TEXT(A4545,"MMM-YYYY")</f>
        <v/>
      </c>
      <c r="D4545" s="40">
        <f>INT(A4545)-WEEKDAY(A4545,2)+1</f>
        <v/>
      </c>
      <c r="E4545" s="25" t="inlineStr">
        <is>
          <t>psathwika</t>
        </is>
      </c>
      <c r="F4545" s="25" t="n">
        <v>131479</v>
      </c>
      <c r="G4545" s="25" t="n">
        <v>4</v>
      </c>
      <c r="H4545" s="25" t="n">
        <v>22</v>
      </c>
      <c r="I4545" s="25" t="inlineStr">
        <is>
          <t>2 minute(s) and 9 second(s)</t>
        </is>
      </c>
      <c r="J4545" s="25">
        <f>IFERROR(VALUE(TRIM(LEFT(I4545,FIND("minute",I4545)-1)))*60,0)+IFERROR(VALUE(SUBSTITUTE(MID(I4545,IFERROR(FIND("and",I4545)+3,1),20),"second(s)","")),0)</f>
        <v/>
      </c>
      <c r="K4545" s="41">
        <f>J4545/60</f>
        <v/>
      </c>
      <c r="L4545" s="41">
        <f>IFERROR(J4545/H4545,"")</f>
        <v/>
      </c>
      <c r="M4545" s="25" t="inlineStr">
        <is>
          <t>2.5.12</t>
        </is>
      </c>
      <c r="N4545" s="25">
        <f>IF(J4545&gt;300,1,0)</f>
        <v/>
      </c>
      <c r="O4545" s="25">
        <f>IF(J4545&gt;600,1,0)</f>
        <v/>
      </c>
      <c r="P4545" s="25">
        <f>IF(H4545&gt;0,J4545,"")</f>
        <v/>
      </c>
      <c r="Q4545" s="25">
        <f>TEXT(A4545,"YYYY-MM-DD HH")</f>
        <v/>
      </c>
      <c r="R4545" s="25">
        <f>COUNTIF($Q$2:$Q$5295,Q4545)</f>
        <v/>
      </c>
      <c r="S4545" s="25">
        <f>IF(R4545&lt;=2,"1-2",IF(R4545&lt;=5,"3-5",IF(R4545&lt;=10,"6-10","11+")))</f>
        <v/>
      </c>
    </row>
    <row r="4546">
      <c r="A4546" s="39" t="n">
        <v>46225.45622685185</v>
      </c>
      <c r="B4546" s="25">
        <f>TEXT(A4546,"YYYY-MM")</f>
        <v/>
      </c>
      <c r="C4546" s="25">
        <f>TEXT(A4546,"MMM-YYYY")</f>
        <v/>
      </c>
      <c r="D4546" s="40">
        <f>INT(A4546)-WEEKDAY(A4546,2)+1</f>
        <v/>
      </c>
      <c r="E4546" s="25" t="inlineStr">
        <is>
          <t>tkarmakar</t>
        </is>
      </c>
      <c r="F4546" s="25" t="n">
        <v>128782</v>
      </c>
      <c r="G4546" s="25" t="n">
        <v>2</v>
      </c>
      <c r="H4546" s="25" t="n">
        <v>10</v>
      </c>
      <c r="I4546" s="25" t="inlineStr">
        <is>
          <t>1 minute(s) and 18 second(s)</t>
        </is>
      </c>
      <c r="J4546" s="25">
        <f>IFERROR(VALUE(TRIM(LEFT(I4546,FIND("minute",I4546)-1)))*60,0)+IFERROR(VALUE(SUBSTITUTE(MID(I4546,IFERROR(FIND("and",I4546)+3,1),20),"second(s)","")),0)</f>
        <v/>
      </c>
      <c r="K4546" s="41">
        <f>J4546/60</f>
        <v/>
      </c>
      <c r="L4546" s="41">
        <f>IFERROR(J4546/H4546,"")</f>
        <v/>
      </c>
      <c r="M4546" s="25" t="inlineStr">
        <is>
          <t>2.5.12</t>
        </is>
      </c>
      <c r="N4546" s="25">
        <f>IF(J4546&gt;300,1,0)</f>
        <v/>
      </c>
      <c r="O4546" s="25">
        <f>IF(J4546&gt;600,1,0)</f>
        <v/>
      </c>
      <c r="P4546" s="25">
        <f>IF(H4546&gt;0,J4546,"")</f>
        <v/>
      </c>
      <c r="Q4546" s="25">
        <f>TEXT(A4546,"YYYY-MM-DD HH")</f>
        <v/>
      </c>
      <c r="R4546" s="25">
        <f>COUNTIF($Q$2:$Q$5295,Q4546)</f>
        <v/>
      </c>
      <c r="S4546" s="25">
        <f>IF(R4546&lt;=2,"1-2",IF(R4546&lt;=5,"3-5",IF(R4546&lt;=10,"6-10","11+")))</f>
        <v/>
      </c>
    </row>
    <row r="4547">
      <c r="A4547" s="39" t="n">
        <v>46225.45666666667</v>
      </c>
      <c r="B4547" s="25">
        <f>TEXT(A4547,"YYYY-MM")</f>
        <v/>
      </c>
      <c r="C4547" s="25">
        <f>TEXT(A4547,"MMM-YYYY")</f>
        <v/>
      </c>
      <c r="D4547" s="40">
        <f>INT(A4547)-WEEKDAY(A4547,2)+1</f>
        <v/>
      </c>
      <c r="E4547" s="25" t="inlineStr">
        <is>
          <t>sthomas</t>
        </is>
      </c>
      <c r="F4547" s="25" t="n">
        <v>129118</v>
      </c>
      <c r="G4547" s="25" t="n">
        <v>2</v>
      </c>
      <c r="H4547" s="25" t="n">
        <v>12</v>
      </c>
      <c r="I4547" s="25" t="inlineStr">
        <is>
          <t>1 minute(s) and 11 second(s)</t>
        </is>
      </c>
      <c r="J4547" s="25">
        <f>IFERROR(VALUE(TRIM(LEFT(I4547,FIND("minute",I4547)-1)))*60,0)+IFERROR(VALUE(SUBSTITUTE(MID(I4547,IFERROR(FIND("and",I4547)+3,1),20),"second(s)","")),0)</f>
        <v/>
      </c>
      <c r="K4547" s="41">
        <f>J4547/60</f>
        <v/>
      </c>
      <c r="L4547" s="41">
        <f>IFERROR(J4547/H4547,"")</f>
        <v/>
      </c>
      <c r="M4547" s="25" t="inlineStr">
        <is>
          <t>2.5.12</t>
        </is>
      </c>
      <c r="N4547" s="25">
        <f>IF(J4547&gt;300,1,0)</f>
        <v/>
      </c>
      <c r="O4547" s="25">
        <f>IF(J4547&gt;600,1,0)</f>
        <v/>
      </c>
      <c r="P4547" s="25">
        <f>IF(H4547&gt;0,J4547,"")</f>
        <v/>
      </c>
      <c r="Q4547" s="25">
        <f>TEXT(A4547,"YYYY-MM-DD HH")</f>
        <v/>
      </c>
      <c r="R4547" s="25">
        <f>COUNTIF($Q$2:$Q$5295,Q4547)</f>
        <v/>
      </c>
      <c r="S4547" s="25">
        <f>IF(R4547&lt;=2,"1-2",IF(R4547&lt;=5,"3-5",IF(R4547&lt;=10,"6-10","11+")))</f>
        <v/>
      </c>
    </row>
    <row r="4548">
      <c r="A4548" s="39" t="n">
        <v>46225.46734953704</v>
      </c>
      <c r="B4548" s="25">
        <f>TEXT(A4548,"YYYY-MM")</f>
        <v/>
      </c>
      <c r="C4548" s="25">
        <f>TEXT(A4548,"MMM-YYYY")</f>
        <v/>
      </c>
      <c r="D4548" s="40">
        <f>INT(A4548)-WEEKDAY(A4548,2)+1</f>
        <v/>
      </c>
      <c r="E4548" s="25" t="inlineStr">
        <is>
          <t>aghosh</t>
        </is>
      </c>
      <c r="F4548" s="25" t="n">
        <v>128795</v>
      </c>
      <c r="G4548" s="25" t="n">
        <v>4</v>
      </c>
      <c r="H4548" s="25" t="n">
        <v>28</v>
      </c>
      <c r="I4548" s="25" t="inlineStr">
        <is>
          <t>4 minute(s) and 36 second(s)</t>
        </is>
      </c>
      <c r="J4548" s="25">
        <f>IFERROR(VALUE(TRIM(LEFT(I4548,FIND("minute",I4548)-1)))*60,0)+IFERROR(VALUE(SUBSTITUTE(MID(I4548,IFERROR(FIND("and",I4548)+3,1),20),"second(s)","")),0)</f>
        <v/>
      </c>
      <c r="K4548" s="41">
        <f>J4548/60</f>
        <v/>
      </c>
      <c r="L4548" s="41">
        <f>IFERROR(J4548/H4548,"")</f>
        <v/>
      </c>
      <c r="M4548" s="25" t="inlineStr">
        <is>
          <t>2.5.12</t>
        </is>
      </c>
      <c r="N4548" s="25">
        <f>IF(J4548&gt;300,1,0)</f>
        <v/>
      </c>
      <c r="O4548" s="25">
        <f>IF(J4548&gt;600,1,0)</f>
        <v/>
      </c>
      <c r="P4548" s="25">
        <f>IF(H4548&gt;0,J4548,"")</f>
        <v/>
      </c>
      <c r="Q4548" s="25">
        <f>TEXT(A4548,"YYYY-MM-DD HH")</f>
        <v/>
      </c>
      <c r="R4548" s="25">
        <f>COUNTIF($Q$2:$Q$5295,Q4548)</f>
        <v/>
      </c>
      <c r="S4548" s="25">
        <f>IF(R4548&lt;=2,"1-2",IF(R4548&lt;=5,"3-5",IF(R4548&lt;=10,"6-10","11+")))</f>
        <v/>
      </c>
    </row>
    <row r="4549">
      <c r="A4549" s="39" t="n">
        <v>46225.47471064814</v>
      </c>
      <c r="B4549" s="25">
        <f>TEXT(A4549,"YYYY-MM")</f>
        <v/>
      </c>
      <c r="C4549" s="25">
        <f>TEXT(A4549,"MMM-YYYY")</f>
        <v/>
      </c>
      <c r="D4549" s="40">
        <f>INT(A4549)-WEEKDAY(A4549,2)+1</f>
        <v/>
      </c>
      <c r="E4549" s="25" t="inlineStr">
        <is>
          <t>emishra</t>
        </is>
      </c>
      <c r="F4549" s="25" t="n">
        <v>130344</v>
      </c>
      <c r="G4549" s="25" t="n">
        <v>2</v>
      </c>
      <c r="H4549" s="25" t="n">
        <v>12</v>
      </c>
      <c r="I4549" s="25" t="inlineStr">
        <is>
          <t>2 minute(s) and 52 second(s)</t>
        </is>
      </c>
      <c r="J4549" s="25">
        <f>IFERROR(VALUE(TRIM(LEFT(I4549,FIND("minute",I4549)-1)))*60,0)+IFERROR(VALUE(SUBSTITUTE(MID(I4549,IFERROR(FIND("and",I4549)+3,1),20),"second(s)","")),0)</f>
        <v/>
      </c>
      <c r="K4549" s="41">
        <f>J4549/60</f>
        <v/>
      </c>
      <c r="L4549" s="41">
        <f>IFERROR(J4549/H4549,"")</f>
        <v/>
      </c>
      <c r="M4549" s="25" t="inlineStr">
        <is>
          <t>2.5.12</t>
        </is>
      </c>
      <c r="N4549" s="25">
        <f>IF(J4549&gt;300,1,0)</f>
        <v/>
      </c>
      <c r="O4549" s="25">
        <f>IF(J4549&gt;600,1,0)</f>
        <v/>
      </c>
      <c r="P4549" s="25">
        <f>IF(H4549&gt;0,J4549,"")</f>
        <v/>
      </c>
      <c r="Q4549" s="25">
        <f>TEXT(A4549,"YYYY-MM-DD HH")</f>
        <v/>
      </c>
      <c r="R4549" s="25">
        <f>COUNTIF($Q$2:$Q$5295,Q4549)</f>
        <v/>
      </c>
      <c r="S4549" s="25">
        <f>IF(R4549&lt;=2,"1-2",IF(R4549&lt;=5,"3-5",IF(R4549&lt;=10,"6-10","11+")))</f>
        <v/>
      </c>
    </row>
    <row r="4550">
      <c r="A4550" s="39" t="n">
        <v>46225.47503472222</v>
      </c>
      <c r="B4550" s="25">
        <f>TEXT(A4550,"YYYY-MM")</f>
        <v/>
      </c>
      <c r="C4550" s="25">
        <f>TEXT(A4550,"MMM-YYYY")</f>
        <v/>
      </c>
      <c r="D4550" s="40">
        <f>INT(A4550)-WEEKDAY(A4550,2)+1</f>
        <v/>
      </c>
      <c r="E4550" s="25" t="inlineStr">
        <is>
          <t>dbhattacharyya</t>
        </is>
      </c>
      <c r="F4550" s="25" t="n">
        <v>131198</v>
      </c>
      <c r="G4550" s="25" t="n">
        <v>7</v>
      </c>
      <c r="H4550" s="25" t="n">
        <v>43</v>
      </c>
      <c r="I4550" s="25" t="inlineStr">
        <is>
          <t>6 minute(s) and 2 second(s)</t>
        </is>
      </c>
      <c r="J4550" s="25">
        <f>IFERROR(VALUE(TRIM(LEFT(I4550,FIND("minute",I4550)-1)))*60,0)+IFERROR(VALUE(SUBSTITUTE(MID(I4550,IFERROR(FIND("and",I4550)+3,1),20),"second(s)","")),0)</f>
        <v/>
      </c>
      <c r="K4550" s="41">
        <f>J4550/60</f>
        <v/>
      </c>
      <c r="L4550" s="41">
        <f>IFERROR(J4550/H4550,"")</f>
        <v/>
      </c>
      <c r="M4550" s="25" t="inlineStr">
        <is>
          <t>2.5.12</t>
        </is>
      </c>
      <c r="N4550" s="25">
        <f>IF(J4550&gt;300,1,0)</f>
        <v/>
      </c>
      <c r="O4550" s="25">
        <f>IF(J4550&gt;600,1,0)</f>
        <v/>
      </c>
      <c r="P4550" s="25">
        <f>IF(H4550&gt;0,J4550,"")</f>
        <v/>
      </c>
      <c r="Q4550" s="25">
        <f>TEXT(A4550,"YYYY-MM-DD HH")</f>
        <v/>
      </c>
      <c r="R4550" s="25">
        <f>COUNTIF($Q$2:$Q$5295,Q4550)</f>
        <v/>
      </c>
      <c r="S4550" s="25">
        <f>IF(R4550&lt;=2,"1-2",IF(R4550&lt;=5,"3-5",IF(R4550&lt;=10,"6-10","11+")))</f>
        <v/>
      </c>
    </row>
    <row r="4551">
      <c r="A4551" s="39" t="n">
        <v>46225.4784375</v>
      </c>
      <c r="B4551" s="25">
        <f>TEXT(A4551,"YYYY-MM")</f>
        <v/>
      </c>
      <c r="C4551" s="25">
        <f>TEXT(A4551,"MMM-YYYY")</f>
        <v/>
      </c>
      <c r="D4551" s="40">
        <f>INT(A4551)-WEEKDAY(A4551,2)+1</f>
        <v/>
      </c>
      <c r="E4551" s="25" t="inlineStr">
        <is>
          <t>hsindwani</t>
        </is>
      </c>
      <c r="F4551" s="25" t="n">
        <v>131622</v>
      </c>
      <c r="G4551" s="25" t="n">
        <v>1</v>
      </c>
      <c r="H4551" s="25" t="n">
        <v>8</v>
      </c>
      <c r="I4551" s="25" t="inlineStr">
        <is>
          <t>1 minute(s) and 37 second(s)</t>
        </is>
      </c>
      <c r="J4551" s="25">
        <f>IFERROR(VALUE(TRIM(LEFT(I4551,FIND("minute",I4551)-1)))*60,0)+IFERROR(VALUE(SUBSTITUTE(MID(I4551,IFERROR(FIND("and",I4551)+3,1),20),"second(s)","")),0)</f>
        <v/>
      </c>
      <c r="K4551" s="41">
        <f>J4551/60</f>
        <v/>
      </c>
      <c r="L4551" s="41">
        <f>IFERROR(J4551/H4551,"")</f>
        <v/>
      </c>
      <c r="M4551" s="25" t="inlineStr">
        <is>
          <t>2.5.12</t>
        </is>
      </c>
      <c r="N4551" s="25">
        <f>IF(J4551&gt;300,1,0)</f>
        <v/>
      </c>
      <c r="O4551" s="25">
        <f>IF(J4551&gt;600,1,0)</f>
        <v/>
      </c>
      <c r="P4551" s="25">
        <f>IF(H4551&gt;0,J4551,"")</f>
        <v/>
      </c>
      <c r="Q4551" s="25">
        <f>TEXT(A4551,"YYYY-MM-DD HH")</f>
        <v/>
      </c>
      <c r="R4551" s="25">
        <f>COUNTIF($Q$2:$Q$5295,Q4551)</f>
        <v/>
      </c>
      <c r="S4551" s="25">
        <f>IF(R4551&lt;=2,"1-2",IF(R4551&lt;=5,"3-5",IF(R4551&lt;=10,"6-10","11+")))</f>
        <v/>
      </c>
    </row>
    <row r="4552">
      <c r="A4552" s="39" t="n">
        <v>46225.48126157407</v>
      </c>
      <c r="B4552" s="25">
        <f>TEXT(A4552,"YYYY-MM")</f>
        <v/>
      </c>
      <c r="C4552" s="25">
        <f>TEXT(A4552,"MMM-YYYY")</f>
        <v/>
      </c>
      <c r="D4552" s="40">
        <f>INT(A4552)-WEEKDAY(A4552,2)+1</f>
        <v/>
      </c>
      <c r="E4552" s="25" t="inlineStr">
        <is>
          <t>smukhopadhyay</t>
        </is>
      </c>
      <c r="F4552" s="25" t="n">
        <v>130156</v>
      </c>
      <c r="G4552" s="25" t="n">
        <v>4</v>
      </c>
      <c r="H4552" s="25" t="n">
        <v>26</v>
      </c>
      <c r="I4552" s="25" t="inlineStr">
        <is>
          <t>4 minute(s) and 3 second(s)</t>
        </is>
      </c>
      <c r="J4552" s="25">
        <f>IFERROR(VALUE(TRIM(LEFT(I4552,FIND("minute",I4552)-1)))*60,0)+IFERROR(VALUE(SUBSTITUTE(MID(I4552,IFERROR(FIND("and",I4552)+3,1),20),"second(s)","")),0)</f>
        <v/>
      </c>
      <c r="K4552" s="41">
        <f>J4552/60</f>
        <v/>
      </c>
      <c r="L4552" s="41">
        <f>IFERROR(J4552/H4552,"")</f>
        <v/>
      </c>
      <c r="M4552" s="25" t="inlineStr">
        <is>
          <t>2.5.12</t>
        </is>
      </c>
      <c r="N4552" s="25">
        <f>IF(J4552&gt;300,1,0)</f>
        <v/>
      </c>
      <c r="O4552" s="25">
        <f>IF(J4552&gt;600,1,0)</f>
        <v/>
      </c>
      <c r="P4552" s="25">
        <f>IF(H4552&gt;0,J4552,"")</f>
        <v/>
      </c>
      <c r="Q4552" s="25">
        <f>TEXT(A4552,"YYYY-MM-DD HH")</f>
        <v/>
      </c>
      <c r="R4552" s="25">
        <f>COUNTIF($Q$2:$Q$5295,Q4552)</f>
        <v/>
      </c>
      <c r="S4552" s="25">
        <f>IF(R4552&lt;=2,"1-2",IF(R4552&lt;=5,"3-5",IF(R4552&lt;=10,"6-10","11+")))</f>
        <v/>
      </c>
    </row>
    <row r="4553">
      <c r="A4553" s="39" t="n">
        <v>46225.48206018518</v>
      </c>
      <c r="B4553" s="25">
        <f>TEXT(A4553,"YYYY-MM")</f>
        <v/>
      </c>
      <c r="C4553" s="25">
        <f>TEXT(A4553,"MMM-YYYY")</f>
        <v/>
      </c>
      <c r="D4553" s="40">
        <f>INT(A4553)-WEEKDAY(A4553,2)+1</f>
        <v/>
      </c>
      <c r="E4553" s="25" t="inlineStr">
        <is>
          <t>aghosh</t>
        </is>
      </c>
      <c r="F4553" s="25" t="n">
        <v>128795</v>
      </c>
      <c r="G4553" s="25" t="n">
        <v>4</v>
      </c>
      <c r="H4553" s="25" t="n">
        <v>28</v>
      </c>
      <c r="I4553" s="25" t="inlineStr">
        <is>
          <t>5 minute(s) and 7 second(s)</t>
        </is>
      </c>
      <c r="J4553" s="25">
        <f>IFERROR(VALUE(TRIM(LEFT(I4553,FIND("minute",I4553)-1)))*60,0)+IFERROR(VALUE(SUBSTITUTE(MID(I4553,IFERROR(FIND("and",I4553)+3,1),20),"second(s)","")),0)</f>
        <v/>
      </c>
      <c r="K4553" s="41">
        <f>J4553/60</f>
        <v/>
      </c>
      <c r="L4553" s="41">
        <f>IFERROR(J4553/H4553,"")</f>
        <v/>
      </c>
      <c r="M4553" s="25" t="inlineStr">
        <is>
          <t>2.5.12</t>
        </is>
      </c>
      <c r="N4553" s="25">
        <f>IF(J4553&gt;300,1,0)</f>
        <v/>
      </c>
      <c r="O4553" s="25">
        <f>IF(J4553&gt;600,1,0)</f>
        <v/>
      </c>
      <c r="P4553" s="25">
        <f>IF(H4553&gt;0,J4553,"")</f>
        <v/>
      </c>
      <c r="Q4553" s="25">
        <f>TEXT(A4553,"YYYY-MM-DD HH")</f>
        <v/>
      </c>
      <c r="R4553" s="25">
        <f>COUNTIF($Q$2:$Q$5295,Q4553)</f>
        <v/>
      </c>
      <c r="S4553" s="25">
        <f>IF(R4553&lt;=2,"1-2",IF(R4553&lt;=5,"3-5",IF(R4553&lt;=10,"6-10","11+")))</f>
        <v/>
      </c>
    </row>
    <row r="4554">
      <c r="A4554" s="39" t="n">
        <v>46225.48501157408</v>
      </c>
      <c r="B4554" s="25">
        <f>TEXT(A4554,"YYYY-MM")</f>
        <v/>
      </c>
      <c r="C4554" s="25">
        <f>TEXT(A4554,"MMM-YYYY")</f>
        <v/>
      </c>
      <c r="D4554" s="40">
        <f>INT(A4554)-WEEKDAY(A4554,2)+1</f>
        <v/>
      </c>
      <c r="E4554" s="25" t="inlineStr">
        <is>
          <t>dbhattacharyya</t>
        </is>
      </c>
      <c r="F4554" s="25" t="n">
        <v>131198</v>
      </c>
      <c r="G4554" s="25" t="n">
        <v>7</v>
      </c>
      <c r="H4554" s="25" t="n">
        <v>45</v>
      </c>
      <c r="I4554" s="25" t="inlineStr">
        <is>
          <t>6 minute(s) and 6 second(s)</t>
        </is>
      </c>
      <c r="J4554" s="25">
        <f>IFERROR(VALUE(TRIM(LEFT(I4554,FIND("minute",I4554)-1)))*60,0)+IFERROR(VALUE(SUBSTITUTE(MID(I4554,IFERROR(FIND("and",I4554)+3,1),20),"second(s)","")),0)</f>
        <v/>
      </c>
      <c r="K4554" s="41">
        <f>J4554/60</f>
        <v/>
      </c>
      <c r="L4554" s="41">
        <f>IFERROR(J4554/H4554,"")</f>
        <v/>
      </c>
      <c r="M4554" s="25" t="inlineStr">
        <is>
          <t>2.5.12</t>
        </is>
      </c>
      <c r="N4554" s="25">
        <f>IF(J4554&gt;300,1,0)</f>
        <v/>
      </c>
      <c r="O4554" s="25">
        <f>IF(J4554&gt;600,1,0)</f>
        <v/>
      </c>
      <c r="P4554" s="25">
        <f>IF(H4554&gt;0,J4554,"")</f>
        <v/>
      </c>
      <c r="Q4554" s="25">
        <f>TEXT(A4554,"YYYY-MM-DD HH")</f>
        <v/>
      </c>
      <c r="R4554" s="25">
        <f>COUNTIF($Q$2:$Q$5295,Q4554)</f>
        <v/>
      </c>
      <c r="S4554" s="25">
        <f>IF(R4554&lt;=2,"1-2",IF(R4554&lt;=5,"3-5",IF(R4554&lt;=10,"6-10","11+")))</f>
        <v/>
      </c>
    </row>
    <row r="4555">
      <c r="A4555" s="39" t="n">
        <v>46225.48563657407</v>
      </c>
      <c r="B4555" s="25">
        <f>TEXT(A4555,"YYYY-MM")</f>
        <v/>
      </c>
      <c r="C4555" s="25">
        <f>TEXT(A4555,"MMM-YYYY")</f>
        <v/>
      </c>
      <c r="D4555" s="40">
        <f>INT(A4555)-WEEKDAY(A4555,2)+1</f>
        <v/>
      </c>
      <c r="E4555" s="25" t="inlineStr">
        <is>
          <t>emishra</t>
        </is>
      </c>
      <c r="F4555" s="25" t="n">
        <v>130344</v>
      </c>
      <c r="G4555" s="25" t="n">
        <v>2</v>
      </c>
      <c r="H4555" s="25" t="n">
        <v>12</v>
      </c>
      <c r="I4555" s="25" t="inlineStr">
        <is>
          <t>1 minute(s) and 57 second(s)</t>
        </is>
      </c>
      <c r="J4555" s="25">
        <f>IFERROR(VALUE(TRIM(LEFT(I4555,FIND("minute",I4555)-1)))*60,0)+IFERROR(VALUE(SUBSTITUTE(MID(I4555,IFERROR(FIND("and",I4555)+3,1),20),"second(s)","")),0)</f>
        <v/>
      </c>
      <c r="K4555" s="41">
        <f>J4555/60</f>
        <v/>
      </c>
      <c r="L4555" s="41">
        <f>IFERROR(J4555/H4555,"")</f>
        <v/>
      </c>
      <c r="M4555" s="25" t="inlineStr">
        <is>
          <t>2.5.12</t>
        </is>
      </c>
      <c r="N4555" s="25">
        <f>IF(J4555&gt;300,1,0)</f>
        <v/>
      </c>
      <c r="O4555" s="25">
        <f>IF(J4555&gt;600,1,0)</f>
        <v/>
      </c>
      <c r="P4555" s="25">
        <f>IF(H4555&gt;0,J4555,"")</f>
        <v/>
      </c>
      <c r="Q4555" s="25">
        <f>TEXT(A4555,"YYYY-MM-DD HH")</f>
        <v/>
      </c>
      <c r="R4555" s="25">
        <f>COUNTIF($Q$2:$Q$5295,Q4555)</f>
        <v/>
      </c>
      <c r="S4555" s="25">
        <f>IF(R4555&lt;=2,"1-2",IF(R4555&lt;=5,"3-5",IF(R4555&lt;=10,"6-10","11+")))</f>
        <v/>
      </c>
    </row>
    <row r="4556">
      <c r="A4556" s="39" t="n">
        <v>46225.48836805556</v>
      </c>
      <c r="B4556" s="25">
        <f>TEXT(A4556,"YYYY-MM")</f>
        <v/>
      </c>
      <c r="C4556" s="25">
        <f>TEXT(A4556,"MMM-YYYY")</f>
        <v/>
      </c>
      <c r="D4556" s="40">
        <f>INT(A4556)-WEEKDAY(A4556,2)+1</f>
        <v/>
      </c>
      <c r="E4556" s="25" t="inlineStr">
        <is>
          <t>tkarmakar</t>
        </is>
      </c>
      <c r="F4556" s="25" t="n">
        <v>128806</v>
      </c>
      <c r="G4556" s="25" t="n">
        <v>4</v>
      </c>
      <c r="H4556" s="25" t="n">
        <v>22</v>
      </c>
      <c r="I4556" s="25" t="inlineStr">
        <is>
          <t>3 minute(s) and 22 second(s)</t>
        </is>
      </c>
      <c r="J4556" s="25">
        <f>IFERROR(VALUE(TRIM(LEFT(I4556,FIND("minute",I4556)-1)))*60,0)+IFERROR(VALUE(SUBSTITUTE(MID(I4556,IFERROR(FIND("and",I4556)+3,1),20),"second(s)","")),0)</f>
        <v/>
      </c>
      <c r="K4556" s="41">
        <f>J4556/60</f>
        <v/>
      </c>
      <c r="L4556" s="41">
        <f>IFERROR(J4556/H4556,"")</f>
        <v/>
      </c>
      <c r="M4556" s="25" t="inlineStr">
        <is>
          <t>2.5.12</t>
        </is>
      </c>
      <c r="N4556" s="25">
        <f>IF(J4556&gt;300,1,0)</f>
        <v/>
      </c>
      <c r="O4556" s="25">
        <f>IF(J4556&gt;600,1,0)</f>
        <v/>
      </c>
      <c r="P4556" s="25">
        <f>IF(H4556&gt;0,J4556,"")</f>
        <v/>
      </c>
      <c r="Q4556" s="25">
        <f>TEXT(A4556,"YYYY-MM-DD HH")</f>
        <v/>
      </c>
      <c r="R4556" s="25">
        <f>COUNTIF($Q$2:$Q$5295,Q4556)</f>
        <v/>
      </c>
      <c r="S4556" s="25">
        <f>IF(R4556&lt;=2,"1-2",IF(R4556&lt;=5,"3-5",IF(R4556&lt;=10,"6-10","11+")))</f>
        <v/>
      </c>
    </row>
    <row r="4557">
      <c r="A4557" s="39" t="n">
        <v>46225.48957175926</v>
      </c>
      <c r="B4557" s="25">
        <f>TEXT(A4557,"YYYY-MM")</f>
        <v/>
      </c>
      <c r="C4557" s="25">
        <f>TEXT(A4557,"MMM-YYYY")</f>
        <v/>
      </c>
      <c r="D4557" s="40">
        <f>INT(A4557)-WEEKDAY(A4557,2)+1</f>
        <v/>
      </c>
      <c r="E4557" s="25" t="inlineStr">
        <is>
          <t>emishra</t>
        </is>
      </c>
      <c r="F4557" s="25" t="n">
        <v>130344</v>
      </c>
      <c r="G4557" s="25" t="n">
        <v>2</v>
      </c>
      <c r="H4557" s="25" t="n">
        <v>12</v>
      </c>
      <c r="I4557" s="25" t="inlineStr">
        <is>
          <t>1 minute(s) and 54 second(s)</t>
        </is>
      </c>
      <c r="J4557" s="25">
        <f>IFERROR(VALUE(TRIM(LEFT(I4557,FIND("minute",I4557)-1)))*60,0)+IFERROR(VALUE(SUBSTITUTE(MID(I4557,IFERROR(FIND("and",I4557)+3,1),20),"second(s)","")),0)</f>
        <v/>
      </c>
      <c r="K4557" s="41">
        <f>J4557/60</f>
        <v/>
      </c>
      <c r="L4557" s="41">
        <f>IFERROR(J4557/H4557,"")</f>
        <v/>
      </c>
      <c r="M4557" s="25" t="inlineStr">
        <is>
          <t>2.5.12</t>
        </is>
      </c>
      <c r="N4557" s="25">
        <f>IF(J4557&gt;300,1,0)</f>
        <v/>
      </c>
      <c r="O4557" s="25">
        <f>IF(J4557&gt;600,1,0)</f>
        <v/>
      </c>
      <c r="P4557" s="25">
        <f>IF(H4557&gt;0,J4557,"")</f>
        <v/>
      </c>
      <c r="Q4557" s="25">
        <f>TEXT(A4557,"YYYY-MM-DD HH")</f>
        <v/>
      </c>
      <c r="R4557" s="25">
        <f>COUNTIF($Q$2:$Q$5295,Q4557)</f>
        <v/>
      </c>
      <c r="S4557" s="25">
        <f>IF(R4557&lt;=2,"1-2",IF(R4557&lt;=5,"3-5",IF(R4557&lt;=10,"6-10","11+")))</f>
        <v/>
      </c>
    </row>
    <row r="4558">
      <c r="A4558" s="39" t="n">
        <v>46225.49407407407</v>
      </c>
      <c r="B4558" s="25">
        <f>TEXT(A4558,"YYYY-MM")</f>
        <v/>
      </c>
      <c r="C4558" s="25">
        <f>TEXT(A4558,"MMM-YYYY")</f>
        <v/>
      </c>
      <c r="D4558" s="40">
        <f>INT(A4558)-WEEKDAY(A4558,2)+1</f>
        <v/>
      </c>
      <c r="E4558" s="25" t="inlineStr">
        <is>
          <t>dbhattacharyya</t>
        </is>
      </c>
      <c r="F4558" s="25" t="n">
        <v>131198</v>
      </c>
      <c r="G4558" s="25" t="n">
        <v>7</v>
      </c>
      <c r="H4558" s="25" t="n">
        <v>37</v>
      </c>
      <c r="I4558" s="25" t="inlineStr">
        <is>
          <t>4 minute(s) and 59 second(s)</t>
        </is>
      </c>
      <c r="J4558" s="25">
        <f>IFERROR(VALUE(TRIM(LEFT(I4558,FIND("minute",I4558)-1)))*60,0)+IFERROR(VALUE(SUBSTITUTE(MID(I4558,IFERROR(FIND("and",I4558)+3,1),20),"second(s)","")),0)</f>
        <v/>
      </c>
      <c r="K4558" s="41">
        <f>J4558/60</f>
        <v/>
      </c>
      <c r="L4558" s="41">
        <f>IFERROR(J4558/H4558,"")</f>
        <v/>
      </c>
      <c r="M4558" s="25" t="inlineStr">
        <is>
          <t>2.5.12</t>
        </is>
      </c>
      <c r="N4558" s="25">
        <f>IF(J4558&gt;300,1,0)</f>
        <v/>
      </c>
      <c r="O4558" s="25">
        <f>IF(J4558&gt;600,1,0)</f>
        <v/>
      </c>
      <c r="P4558" s="25">
        <f>IF(H4558&gt;0,J4558,"")</f>
        <v/>
      </c>
      <c r="Q4558" s="25">
        <f>TEXT(A4558,"YYYY-MM-DD HH")</f>
        <v/>
      </c>
      <c r="R4558" s="25">
        <f>COUNTIF($Q$2:$Q$5295,Q4558)</f>
        <v/>
      </c>
      <c r="S4558" s="25">
        <f>IF(R4558&lt;=2,"1-2",IF(R4558&lt;=5,"3-5",IF(R4558&lt;=10,"6-10","11+")))</f>
        <v/>
      </c>
    </row>
    <row r="4559">
      <c r="A4559" s="39" t="n">
        <v>46225.4963425926</v>
      </c>
      <c r="B4559" s="25">
        <f>TEXT(A4559,"YYYY-MM")</f>
        <v/>
      </c>
      <c r="C4559" s="25">
        <f>TEXT(A4559,"MMM-YYYY")</f>
        <v/>
      </c>
      <c r="D4559" s="40">
        <f>INT(A4559)-WEEKDAY(A4559,2)+1</f>
        <v/>
      </c>
      <c r="E4559" s="25" t="inlineStr">
        <is>
          <t>tkarmakar</t>
        </is>
      </c>
      <c r="F4559" s="25" t="n">
        <v>128806</v>
      </c>
      <c r="G4559" s="25" t="n">
        <v>4</v>
      </c>
      <c r="H4559" s="25" t="n">
        <v>22</v>
      </c>
      <c r="I4559" s="25" t="inlineStr">
        <is>
          <t>3 minute(s) and 4 second(s)</t>
        </is>
      </c>
      <c r="J4559" s="25">
        <f>IFERROR(VALUE(TRIM(LEFT(I4559,FIND("minute",I4559)-1)))*60,0)+IFERROR(VALUE(SUBSTITUTE(MID(I4559,IFERROR(FIND("and",I4559)+3,1),20),"second(s)","")),0)</f>
        <v/>
      </c>
      <c r="K4559" s="41">
        <f>J4559/60</f>
        <v/>
      </c>
      <c r="L4559" s="41">
        <f>IFERROR(J4559/H4559,"")</f>
        <v/>
      </c>
      <c r="M4559" s="25" t="inlineStr">
        <is>
          <t>2.5.12</t>
        </is>
      </c>
      <c r="N4559" s="25">
        <f>IF(J4559&gt;300,1,0)</f>
        <v/>
      </c>
      <c r="O4559" s="25">
        <f>IF(J4559&gt;600,1,0)</f>
        <v/>
      </c>
      <c r="P4559" s="25">
        <f>IF(H4559&gt;0,J4559,"")</f>
        <v/>
      </c>
      <c r="Q4559" s="25">
        <f>TEXT(A4559,"YYYY-MM-DD HH")</f>
        <v/>
      </c>
      <c r="R4559" s="25">
        <f>COUNTIF($Q$2:$Q$5295,Q4559)</f>
        <v/>
      </c>
      <c r="S4559" s="25">
        <f>IF(R4559&lt;=2,"1-2",IF(R4559&lt;=5,"3-5",IF(R4559&lt;=10,"6-10","11+")))</f>
        <v/>
      </c>
    </row>
    <row r="4560">
      <c r="A4560" s="39" t="n">
        <v>46225.50642361111</v>
      </c>
      <c r="B4560" s="25">
        <f>TEXT(A4560,"YYYY-MM")</f>
        <v/>
      </c>
      <c r="C4560" s="25">
        <f>TEXT(A4560,"MMM-YYYY")</f>
        <v/>
      </c>
      <c r="D4560" s="40">
        <f>INT(A4560)-WEEKDAY(A4560,2)+1</f>
        <v/>
      </c>
      <c r="E4560" s="25" t="inlineStr">
        <is>
          <t>dbhattacharyya</t>
        </is>
      </c>
      <c r="F4560" s="25" t="n">
        <v>130000</v>
      </c>
      <c r="G4560" s="25" t="n">
        <v>2</v>
      </c>
      <c r="H4560" s="25" t="n">
        <v>12</v>
      </c>
      <c r="I4560" s="25" t="inlineStr">
        <is>
          <t>2 minute(s) and 34 second(s)</t>
        </is>
      </c>
      <c r="J4560" s="25">
        <f>IFERROR(VALUE(TRIM(LEFT(I4560,FIND("minute",I4560)-1)))*60,0)+IFERROR(VALUE(SUBSTITUTE(MID(I4560,IFERROR(FIND("and",I4560)+3,1),20),"second(s)","")),0)</f>
        <v/>
      </c>
      <c r="K4560" s="41">
        <f>J4560/60</f>
        <v/>
      </c>
      <c r="L4560" s="41">
        <f>IFERROR(J4560/H4560,"")</f>
        <v/>
      </c>
      <c r="M4560" s="25" t="inlineStr">
        <is>
          <t>2.5.12</t>
        </is>
      </c>
      <c r="N4560" s="25">
        <f>IF(J4560&gt;300,1,0)</f>
        <v/>
      </c>
      <c r="O4560" s="25">
        <f>IF(J4560&gt;600,1,0)</f>
        <v/>
      </c>
      <c r="P4560" s="25">
        <f>IF(H4560&gt;0,J4560,"")</f>
        <v/>
      </c>
      <c r="Q4560" s="25">
        <f>TEXT(A4560,"YYYY-MM-DD HH")</f>
        <v/>
      </c>
      <c r="R4560" s="25">
        <f>COUNTIF($Q$2:$Q$5295,Q4560)</f>
        <v/>
      </c>
      <c r="S4560" s="25">
        <f>IF(R4560&lt;=2,"1-2",IF(R4560&lt;=5,"3-5",IF(R4560&lt;=10,"6-10","11+")))</f>
        <v/>
      </c>
    </row>
    <row r="4561">
      <c r="A4561" s="39" t="n">
        <v>46225.51092592593</v>
      </c>
      <c r="B4561" s="25">
        <f>TEXT(A4561,"YYYY-MM")</f>
        <v/>
      </c>
      <c r="C4561" s="25">
        <f>TEXT(A4561,"MMM-YYYY")</f>
        <v/>
      </c>
      <c r="D4561" s="40">
        <f>INT(A4561)-WEEKDAY(A4561,2)+1</f>
        <v/>
      </c>
      <c r="E4561" s="25" t="inlineStr">
        <is>
          <t>ssneha</t>
        </is>
      </c>
      <c r="F4561" s="25" t="n">
        <v>130079</v>
      </c>
      <c r="G4561" s="25" t="n">
        <v>2</v>
      </c>
      <c r="H4561" s="25" t="n">
        <v>10</v>
      </c>
      <c r="I4561" s="25" t="inlineStr">
        <is>
          <t>57 second(s)</t>
        </is>
      </c>
      <c r="J4561" s="25">
        <f>IFERROR(VALUE(TRIM(LEFT(I4561,FIND("minute",I4561)-1)))*60,0)+IFERROR(VALUE(SUBSTITUTE(MID(I4561,IFERROR(FIND("and",I4561)+3,1),20),"second(s)","")),0)</f>
        <v/>
      </c>
      <c r="K4561" s="41">
        <f>J4561/60</f>
        <v/>
      </c>
      <c r="L4561" s="41">
        <f>IFERROR(J4561/H4561,"")</f>
        <v/>
      </c>
      <c r="M4561" s="25" t="inlineStr">
        <is>
          <t>2.5.12</t>
        </is>
      </c>
      <c r="N4561" s="25">
        <f>IF(J4561&gt;300,1,0)</f>
        <v/>
      </c>
      <c r="O4561" s="25">
        <f>IF(J4561&gt;600,1,0)</f>
        <v/>
      </c>
      <c r="P4561" s="25">
        <f>IF(H4561&gt;0,J4561,"")</f>
        <v/>
      </c>
      <c r="Q4561" s="25">
        <f>TEXT(A4561,"YYYY-MM-DD HH")</f>
        <v/>
      </c>
      <c r="R4561" s="25">
        <f>COUNTIF($Q$2:$Q$5295,Q4561)</f>
        <v/>
      </c>
      <c r="S4561" s="25">
        <f>IF(R4561&lt;=2,"1-2",IF(R4561&lt;=5,"3-5",IF(R4561&lt;=10,"6-10","11+")))</f>
        <v/>
      </c>
    </row>
    <row r="4562">
      <c r="A4562" s="39" t="n">
        <v>46225.51641203704</v>
      </c>
      <c r="B4562" s="25">
        <f>TEXT(A4562,"YYYY-MM")</f>
        <v/>
      </c>
      <c r="C4562" s="25">
        <f>TEXT(A4562,"MMM-YYYY")</f>
        <v/>
      </c>
      <c r="D4562" s="40">
        <f>INT(A4562)-WEEKDAY(A4562,2)+1</f>
        <v/>
      </c>
      <c r="E4562" s="25" t="inlineStr">
        <is>
          <t>emishra</t>
        </is>
      </c>
      <c r="F4562" s="25" t="n">
        <v>130344</v>
      </c>
      <c r="G4562" s="25" t="n">
        <v>3</v>
      </c>
      <c r="H4562" s="25" t="n">
        <v>15</v>
      </c>
      <c r="I4562" s="25" t="inlineStr">
        <is>
          <t>3 minute(s) and 40 second(s)</t>
        </is>
      </c>
      <c r="J4562" s="25">
        <f>IFERROR(VALUE(TRIM(LEFT(I4562,FIND("minute",I4562)-1)))*60,0)+IFERROR(VALUE(SUBSTITUTE(MID(I4562,IFERROR(FIND("and",I4562)+3,1),20),"second(s)","")),0)</f>
        <v/>
      </c>
      <c r="K4562" s="41">
        <f>J4562/60</f>
        <v/>
      </c>
      <c r="L4562" s="41">
        <f>IFERROR(J4562/H4562,"")</f>
        <v/>
      </c>
      <c r="M4562" s="25" t="inlineStr">
        <is>
          <t>2.5.12</t>
        </is>
      </c>
      <c r="N4562" s="25">
        <f>IF(J4562&gt;300,1,0)</f>
        <v/>
      </c>
      <c r="O4562" s="25">
        <f>IF(J4562&gt;600,1,0)</f>
        <v/>
      </c>
      <c r="P4562" s="25">
        <f>IF(H4562&gt;0,J4562,"")</f>
        <v/>
      </c>
      <c r="Q4562" s="25">
        <f>TEXT(A4562,"YYYY-MM-DD HH")</f>
        <v/>
      </c>
      <c r="R4562" s="25">
        <f>COUNTIF($Q$2:$Q$5295,Q4562)</f>
        <v/>
      </c>
      <c r="S4562" s="25">
        <f>IF(R4562&lt;=2,"1-2",IF(R4562&lt;=5,"3-5",IF(R4562&lt;=10,"6-10","11+")))</f>
        <v/>
      </c>
    </row>
    <row r="4563">
      <c r="A4563" s="39" t="n">
        <v>46225.52619212963</v>
      </c>
      <c r="B4563" s="25">
        <f>TEXT(A4563,"YYYY-MM")</f>
        <v/>
      </c>
      <c r="C4563" s="25">
        <f>TEXT(A4563,"MMM-YYYY")</f>
        <v/>
      </c>
      <c r="D4563" s="40">
        <f>INT(A4563)-WEEKDAY(A4563,2)+1</f>
        <v/>
      </c>
      <c r="E4563" s="25" t="inlineStr">
        <is>
          <t>sdey</t>
        </is>
      </c>
      <c r="F4563" s="25" t="n">
        <v>129353</v>
      </c>
      <c r="G4563" s="25" t="n">
        <v>4</v>
      </c>
      <c r="H4563" s="25" t="n">
        <v>20</v>
      </c>
      <c r="I4563" s="25" t="inlineStr">
        <is>
          <t>5 minute(s) and 47 second(s)</t>
        </is>
      </c>
      <c r="J4563" s="25">
        <f>IFERROR(VALUE(TRIM(LEFT(I4563,FIND("minute",I4563)-1)))*60,0)+IFERROR(VALUE(SUBSTITUTE(MID(I4563,IFERROR(FIND("and",I4563)+3,1),20),"second(s)","")),0)</f>
        <v/>
      </c>
      <c r="K4563" s="41">
        <f>J4563/60</f>
        <v/>
      </c>
      <c r="L4563" s="41">
        <f>IFERROR(J4563/H4563,"")</f>
        <v/>
      </c>
      <c r="M4563" s="25" t="inlineStr">
        <is>
          <t>2.5.12</t>
        </is>
      </c>
      <c r="N4563" s="25">
        <f>IF(J4563&gt;300,1,0)</f>
        <v/>
      </c>
      <c r="O4563" s="25">
        <f>IF(J4563&gt;600,1,0)</f>
        <v/>
      </c>
      <c r="P4563" s="25">
        <f>IF(H4563&gt;0,J4563,"")</f>
        <v/>
      </c>
      <c r="Q4563" s="25">
        <f>TEXT(A4563,"YYYY-MM-DD HH")</f>
        <v/>
      </c>
      <c r="R4563" s="25">
        <f>COUNTIF($Q$2:$Q$5295,Q4563)</f>
        <v/>
      </c>
      <c r="S4563" s="25">
        <f>IF(R4563&lt;=2,"1-2",IF(R4563&lt;=5,"3-5",IF(R4563&lt;=10,"6-10","11+")))</f>
        <v/>
      </c>
    </row>
    <row r="4564">
      <c r="A4564" s="39" t="n">
        <v>46225.53314814815</v>
      </c>
      <c r="B4564" s="25">
        <f>TEXT(A4564,"YYYY-MM")</f>
        <v/>
      </c>
      <c r="C4564" s="25">
        <f>TEXT(A4564,"MMM-YYYY")</f>
        <v/>
      </c>
      <c r="D4564" s="40">
        <f>INT(A4564)-WEEKDAY(A4564,2)+1</f>
        <v/>
      </c>
      <c r="E4564" s="25" t="inlineStr">
        <is>
          <t>tkarmakar</t>
        </is>
      </c>
      <c r="F4564" s="25" t="n">
        <v>12</v>
      </c>
      <c r="G4564" s="25" t="n">
        <v>1</v>
      </c>
      <c r="H4564" s="25" t="n">
        <v>7</v>
      </c>
      <c r="I4564" s="25" t="inlineStr">
        <is>
          <t>52 second(s)</t>
        </is>
      </c>
      <c r="J4564" s="25">
        <f>IFERROR(VALUE(TRIM(LEFT(I4564,FIND("minute",I4564)-1)))*60,0)+IFERROR(VALUE(SUBSTITUTE(MID(I4564,IFERROR(FIND("and",I4564)+3,1),20),"second(s)","")),0)</f>
        <v/>
      </c>
      <c r="K4564" s="41">
        <f>J4564/60</f>
        <v/>
      </c>
      <c r="L4564" s="41">
        <f>IFERROR(J4564/H4564,"")</f>
        <v/>
      </c>
      <c r="M4564" s="25" t="inlineStr">
        <is>
          <t>2.5.12</t>
        </is>
      </c>
      <c r="N4564" s="25">
        <f>IF(J4564&gt;300,1,0)</f>
        <v/>
      </c>
      <c r="O4564" s="25">
        <f>IF(J4564&gt;600,1,0)</f>
        <v/>
      </c>
      <c r="P4564" s="25">
        <f>IF(H4564&gt;0,J4564,"")</f>
        <v/>
      </c>
      <c r="Q4564" s="25">
        <f>TEXT(A4564,"YYYY-MM-DD HH")</f>
        <v/>
      </c>
      <c r="R4564" s="25">
        <f>COUNTIF($Q$2:$Q$5295,Q4564)</f>
        <v/>
      </c>
      <c r="S4564" s="25">
        <f>IF(R4564&lt;=2,"1-2",IF(R4564&lt;=5,"3-5",IF(R4564&lt;=10,"6-10","11+")))</f>
        <v/>
      </c>
    </row>
    <row r="4565">
      <c r="A4565" s="39" t="n">
        <v>46225.53451388889</v>
      </c>
      <c r="B4565" s="25">
        <f>TEXT(A4565,"YYYY-MM")</f>
        <v/>
      </c>
      <c r="C4565" s="25">
        <f>TEXT(A4565,"MMM-YYYY")</f>
        <v/>
      </c>
      <c r="D4565" s="40">
        <f>INT(A4565)-WEEKDAY(A4565,2)+1</f>
        <v/>
      </c>
      <c r="E4565" s="25" t="inlineStr">
        <is>
          <t>sasharma</t>
        </is>
      </c>
      <c r="F4565" s="25" t="n">
        <v>130174</v>
      </c>
      <c r="G4565" s="25" t="n">
        <v>1</v>
      </c>
      <c r="H4565" s="25" t="n">
        <v>7</v>
      </c>
      <c r="I4565" s="25" t="inlineStr">
        <is>
          <t>33 second(s)</t>
        </is>
      </c>
      <c r="J4565" s="25">
        <f>IFERROR(VALUE(TRIM(LEFT(I4565,FIND("minute",I4565)-1)))*60,0)+IFERROR(VALUE(SUBSTITUTE(MID(I4565,IFERROR(FIND("and",I4565)+3,1),20),"second(s)","")),0)</f>
        <v/>
      </c>
      <c r="K4565" s="41">
        <f>J4565/60</f>
        <v/>
      </c>
      <c r="L4565" s="41">
        <f>IFERROR(J4565/H4565,"")</f>
        <v/>
      </c>
      <c r="M4565" s="25" t="inlineStr">
        <is>
          <t>2.5.12</t>
        </is>
      </c>
      <c r="N4565" s="25">
        <f>IF(J4565&gt;300,1,0)</f>
        <v/>
      </c>
      <c r="O4565" s="25">
        <f>IF(J4565&gt;600,1,0)</f>
        <v/>
      </c>
      <c r="P4565" s="25">
        <f>IF(H4565&gt;0,J4565,"")</f>
        <v/>
      </c>
      <c r="Q4565" s="25">
        <f>TEXT(A4565,"YYYY-MM-DD HH")</f>
        <v/>
      </c>
      <c r="R4565" s="25">
        <f>COUNTIF($Q$2:$Q$5295,Q4565)</f>
        <v/>
      </c>
      <c r="S4565" s="25">
        <f>IF(R4565&lt;=2,"1-2",IF(R4565&lt;=5,"3-5",IF(R4565&lt;=10,"6-10","11+")))</f>
        <v/>
      </c>
    </row>
    <row r="4566">
      <c r="A4566" s="39" t="n">
        <v>46225.53622685185</v>
      </c>
      <c r="B4566" s="25">
        <f>TEXT(A4566,"YYYY-MM")</f>
        <v/>
      </c>
      <c r="C4566" s="25">
        <f>TEXT(A4566,"MMM-YYYY")</f>
        <v/>
      </c>
      <c r="D4566" s="40">
        <f>INT(A4566)-WEEKDAY(A4566,2)+1</f>
        <v/>
      </c>
      <c r="E4566" s="25" t="inlineStr">
        <is>
          <t>sswati</t>
        </is>
      </c>
      <c r="F4566" s="25" t="n">
        <v>132453</v>
      </c>
      <c r="G4566" s="25" t="n">
        <v>4</v>
      </c>
      <c r="H4566" s="25" t="n">
        <v>16</v>
      </c>
      <c r="I4566" s="25" t="inlineStr">
        <is>
          <t>1 minute(s) and 29 second(s)</t>
        </is>
      </c>
      <c r="J4566" s="25">
        <f>IFERROR(VALUE(TRIM(LEFT(I4566,FIND("minute",I4566)-1)))*60,0)+IFERROR(VALUE(SUBSTITUTE(MID(I4566,IFERROR(FIND("and",I4566)+3,1),20),"second(s)","")),0)</f>
        <v/>
      </c>
      <c r="K4566" s="41">
        <f>J4566/60</f>
        <v/>
      </c>
      <c r="L4566" s="41">
        <f>IFERROR(J4566/H4566,"")</f>
        <v/>
      </c>
      <c r="M4566" s="25" t="inlineStr">
        <is>
          <t>2.5.12</t>
        </is>
      </c>
      <c r="N4566" s="25">
        <f>IF(J4566&gt;300,1,0)</f>
        <v/>
      </c>
      <c r="O4566" s="25">
        <f>IF(J4566&gt;600,1,0)</f>
        <v/>
      </c>
      <c r="P4566" s="25">
        <f>IF(H4566&gt;0,J4566,"")</f>
        <v/>
      </c>
      <c r="Q4566" s="25">
        <f>TEXT(A4566,"YYYY-MM-DD HH")</f>
        <v/>
      </c>
      <c r="R4566" s="25">
        <f>COUNTIF($Q$2:$Q$5295,Q4566)</f>
        <v/>
      </c>
      <c r="S4566" s="25">
        <f>IF(R4566&lt;=2,"1-2",IF(R4566&lt;=5,"3-5",IF(R4566&lt;=10,"6-10","11+")))</f>
        <v/>
      </c>
    </row>
    <row r="4567">
      <c r="A4567" s="39" t="n">
        <v>46225.53841435185</v>
      </c>
      <c r="B4567" s="25">
        <f>TEXT(A4567,"YYYY-MM")</f>
        <v/>
      </c>
      <c r="C4567" s="25">
        <f>TEXT(A4567,"MMM-YYYY")</f>
        <v/>
      </c>
      <c r="D4567" s="40">
        <f>INT(A4567)-WEEKDAY(A4567,2)+1</f>
        <v/>
      </c>
      <c r="E4567" s="25" t="inlineStr">
        <is>
          <t>mbhalla</t>
        </is>
      </c>
      <c r="F4567" s="25" t="n">
        <v>130831</v>
      </c>
      <c r="G4567" s="25" t="n">
        <v>3</v>
      </c>
      <c r="H4567" s="25" t="n">
        <v>15</v>
      </c>
      <c r="I4567" s="25" t="inlineStr">
        <is>
          <t>1 minute(s) and 35 second(s)</t>
        </is>
      </c>
      <c r="J4567" s="25">
        <f>IFERROR(VALUE(TRIM(LEFT(I4567,FIND("minute",I4567)-1)))*60,0)+IFERROR(VALUE(SUBSTITUTE(MID(I4567,IFERROR(FIND("and",I4567)+3,1),20),"second(s)","")),0)</f>
        <v/>
      </c>
      <c r="K4567" s="41">
        <f>J4567/60</f>
        <v/>
      </c>
      <c r="L4567" s="41">
        <f>IFERROR(J4567/H4567,"")</f>
        <v/>
      </c>
      <c r="M4567" s="25" t="inlineStr">
        <is>
          <t>2.5.12</t>
        </is>
      </c>
      <c r="N4567" s="25">
        <f>IF(J4567&gt;300,1,0)</f>
        <v/>
      </c>
      <c r="O4567" s="25">
        <f>IF(J4567&gt;600,1,0)</f>
        <v/>
      </c>
      <c r="P4567" s="25">
        <f>IF(H4567&gt;0,J4567,"")</f>
        <v/>
      </c>
      <c r="Q4567" s="25">
        <f>TEXT(A4567,"YYYY-MM-DD HH")</f>
        <v/>
      </c>
      <c r="R4567" s="25">
        <f>COUNTIF($Q$2:$Q$5295,Q4567)</f>
        <v/>
      </c>
      <c r="S4567" s="25">
        <f>IF(R4567&lt;=2,"1-2",IF(R4567&lt;=5,"3-5",IF(R4567&lt;=10,"6-10","11+")))</f>
        <v/>
      </c>
    </row>
    <row r="4568">
      <c r="A4568" s="39" t="n">
        <v>46225.54017361111</v>
      </c>
      <c r="B4568" s="25">
        <f>TEXT(A4568,"YYYY-MM")</f>
        <v/>
      </c>
      <c r="C4568" s="25">
        <f>TEXT(A4568,"MMM-YYYY")</f>
        <v/>
      </c>
      <c r="D4568" s="40">
        <f>INT(A4568)-WEEKDAY(A4568,2)+1</f>
        <v/>
      </c>
      <c r="E4568" s="25" t="inlineStr">
        <is>
          <t>rsingh</t>
        </is>
      </c>
      <c r="F4568" s="25" t="n">
        <v>129854</v>
      </c>
      <c r="G4568" s="25" t="n">
        <v>4</v>
      </c>
      <c r="H4568" s="25" t="n">
        <v>20</v>
      </c>
      <c r="I4568" s="25" t="inlineStr">
        <is>
          <t>2 minute(s) and 28 second(s)</t>
        </is>
      </c>
      <c r="J4568" s="25">
        <f>IFERROR(VALUE(TRIM(LEFT(I4568,FIND("minute",I4568)-1)))*60,0)+IFERROR(VALUE(SUBSTITUTE(MID(I4568,IFERROR(FIND("and",I4568)+3,1),20),"second(s)","")),0)</f>
        <v/>
      </c>
      <c r="K4568" s="41">
        <f>J4568/60</f>
        <v/>
      </c>
      <c r="L4568" s="41">
        <f>IFERROR(J4568/H4568,"")</f>
        <v/>
      </c>
      <c r="M4568" s="25" t="inlineStr">
        <is>
          <t>2.5.12</t>
        </is>
      </c>
      <c r="N4568" s="25">
        <f>IF(J4568&gt;300,1,0)</f>
        <v/>
      </c>
      <c r="O4568" s="25">
        <f>IF(J4568&gt;600,1,0)</f>
        <v/>
      </c>
      <c r="P4568" s="25">
        <f>IF(H4568&gt;0,J4568,"")</f>
        <v/>
      </c>
      <c r="Q4568" s="25">
        <f>TEXT(A4568,"YYYY-MM-DD HH")</f>
        <v/>
      </c>
      <c r="R4568" s="25">
        <f>COUNTIF($Q$2:$Q$5295,Q4568)</f>
        <v/>
      </c>
      <c r="S4568" s="25">
        <f>IF(R4568&lt;=2,"1-2",IF(R4568&lt;=5,"3-5",IF(R4568&lt;=10,"6-10","11+")))</f>
        <v/>
      </c>
    </row>
    <row r="4569">
      <c r="A4569" s="39" t="n">
        <v>46225.54375</v>
      </c>
      <c r="B4569" s="25">
        <f>TEXT(A4569,"YYYY-MM")</f>
        <v/>
      </c>
      <c r="C4569" s="25">
        <f>TEXT(A4569,"MMM-YYYY")</f>
        <v/>
      </c>
      <c r="D4569" s="40">
        <f>INT(A4569)-WEEKDAY(A4569,2)+1</f>
        <v/>
      </c>
      <c r="E4569" s="25" t="inlineStr">
        <is>
          <t>sthomas</t>
        </is>
      </c>
      <c r="F4569" s="25" t="n">
        <v>129150</v>
      </c>
      <c r="G4569" s="25" t="n">
        <v>2</v>
      </c>
      <c r="H4569" s="25" t="n">
        <v>11</v>
      </c>
      <c r="I4569" s="25" t="inlineStr">
        <is>
          <t>1 minute(s) and 56 second(s)</t>
        </is>
      </c>
      <c r="J4569" s="25">
        <f>IFERROR(VALUE(TRIM(LEFT(I4569,FIND("minute",I4569)-1)))*60,0)+IFERROR(VALUE(SUBSTITUTE(MID(I4569,IFERROR(FIND("and",I4569)+3,1),20),"second(s)","")),0)</f>
        <v/>
      </c>
      <c r="K4569" s="41">
        <f>J4569/60</f>
        <v/>
      </c>
      <c r="L4569" s="41">
        <f>IFERROR(J4569/H4569,"")</f>
        <v/>
      </c>
      <c r="M4569" s="25" t="inlineStr">
        <is>
          <t>2.5.12</t>
        </is>
      </c>
      <c r="N4569" s="25">
        <f>IF(J4569&gt;300,1,0)</f>
        <v/>
      </c>
      <c r="O4569" s="25">
        <f>IF(J4569&gt;600,1,0)</f>
        <v/>
      </c>
      <c r="P4569" s="25">
        <f>IF(H4569&gt;0,J4569,"")</f>
        <v/>
      </c>
      <c r="Q4569" s="25">
        <f>TEXT(A4569,"YYYY-MM-DD HH")</f>
        <v/>
      </c>
      <c r="R4569" s="25">
        <f>COUNTIF($Q$2:$Q$5295,Q4569)</f>
        <v/>
      </c>
      <c r="S4569" s="25">
        <f>IF(R4569&lt;=2,"1-2",IF(R4569&lt;=5,"3-5",IF(R4569&lt;=10,"6-10","11+")))</f>
        <v/>
      </c>
    </row>
    <row r="4570">
      <c r="A4570" s="39" t="n">
        <v>46225.55583333333</v>
      </c>
      <c r="B4570" s="25">
        <f>TEXT(A4570,"YYYY-MM")</f>
        <v/>
      </c>
      <c r="C4570" s="25">
        <f>TEXT(A4570,"MMM-YYYY")</f>
        <v/>
      </c>
      <c r="D4570" s="40">
        <f>INT(A4570)-WEEKDAY(A4570,2)+1</f>
        <v/>
      </c>
      <c r="E4570" s="25" t="inlineStr">
        <is>
          <t>csaha</t>
        </is>
      </c>
      <c r="F4570" s="25" t="n">
        <v>130926</v>
      </c>
      <c r="G4570" s="25" t="n">
        <v>2</v>
      </c>
      <c r="H4570" s="25" t="n">
        <v>12</v>
      </c>
      <c r="I4570" s="25" t="inlineStr">
        <is>
          <t>1 minute(s) and 0 second(s)</t>
        </is>
      </c>
      <c r="J4570" s="25">
        <f>IFERROR(VALUE(TRIM(LEFT(I4570,FIND("minute",I4570)-1)))*60,0)+IFERROR(VALUE(SUBSTITUTE(MID(I4570,IFERROR(FIND("and",I4570)+3,1),20),"second(s)","")),0)</f>
        <v/>
      </c>
      <c r="K4570" s="41">
        <f>J4570/60</f>
        <v/>
      </c>
      <c r="L4570" s="41">
        <f>IFERROR(J4570/H4570,"")</f>
        <v/>
      </c>
      <c r="M4570" s="25" t="inlineStr">
        <is>
          <t>2.5.12</t>
        </is>
      </c>
      <c r="N4570" s="25">
        <f>IF(J4570&gt;300,1,0)</f>
        <v/>
      </c>
      <c r="O4570" s="25">
        <f>IF(J4570&gt;600,1,0)</f>
        <v/>
      </c>
      <c r="P4570" s="25">
        <f>IF(H4570&gt;0,J4570,"")</f>
        <v/>
      </c>
      <c r="Q4570" s="25">
        <f>TEXT(A4570,"YYYY-MM-DD HH")</f>
        <v/>
      </c>
      <c r="R4570" s="25">
        <f>COUNTIF($Q$2:$Q$5295,Q4570)</f>
        <v/>
      </c>
      <c r="S4570" s="25">
        <f>IF(R4570&lt;=2,"1-2",IF(R4570&lt;=5,"3-5",IF(R4570&lt;=10,"6-10","11+")))</f>
        <v/>
      </c>
    </row>
    <row r="4571">
      <c r="A4571" s="39" t="n">
        <v>46225.55930555556</v>
      </c>
      <c r="B4571" s="25">
        <f>TEXT(A4571,"YYYY-MM")</f>
        <v/>
      </c>
      <c r="C4571" s="25">
        <f>TEXT(A4571,"MMM-YYYY")</f>
        <v/>
      </c>
      <c r="D4571" s="40">
        <f>INT(A4571)-WEEKDAY(A4571,2)+1</f>
        <v/>
      </c>
      <c r="E4571" s="25" t="inlineStr">
        <is>
          <t>csaha</t>
        </is>
      </c>
      <c r="F4571" s="25" t="n">
        <v>130926</v>
      </c>
      <c r="G4571" s="25" t="n">
        <v>2</v>
      </c>
      <c r="H4571" s="25" t="n">
        <v>12</v>
      </c>
      <c r="I4571" s="25" t="inlineStr">
        <is>
          <t>1 minute(s) and 5 second(s)</t>
        </is>
      </c>
      <c r="J4571" s="25">
        <f>IFERROR(VALUE(TRIM(LEFT(I4571,FIND("minute",I4571)-1)))*60,0)+IFERROR(VALUE(SUBSTITUTE(MID(I4571,IFERROR(FIND("and",I4571)+3,1),20),"second(s)","")),0)</f>
        <v/>
      </c>
      <c r="K4571" s="41">
        <f>J4571/60</f>
        <v/>
      </c>
      <c r="L4571" s="41">
        <f>IFERROR(J4571/H4571,"")</f>
        <v/>
      </c>
      <c r="M4571" s="25" t="inlineStr">
        <is>
          <t>2.5.12</t>
        </is>
      </c>
      <c r="N4571" s="25">
        <f>IF(J4571&gt;300,1,0)</f>
        <v/>
      </c>
      <c r="O4571" s="25">
        <f>IF(J4571&gt;600,1,0)</f>
        <v/>
      </c>
      <c r="P4571" s="25">
        <f>IF(H4571&gt;0,J4571,"")</f>
        <v/>
      </c>
      <c r="Q4571" s="25">
        <f>TEXT(A4571,"YYYY-MM-DD HH")</f>
        <v/>
      </c>
      <c r="R4571" s="25">
        <f>COUNTIF($Q$2:$Q$5295,Q4571)</f>
        <v/>
      </c>
      <c r="S4571" s="25">
        <f>IF(R4571&lt;=2,"1-2",IF(R4571&lt;=5,"3-5",IF(R4571&lt;=10,"6-10","11+")))</f>
        <v/>
      </c>
    </row>
    <row r="4572">
      <c r="A4572" s="39" t="n">
        <v>46225.57670138889</v>
      </c>
      <c r="B4572" s="25">
        <f>TEXT(A4572,"YYYY-MM")</f>
        <v/>
      </c>
      <c r="C4572" s="25">
        <f>TEXT(A4572,"MMM-YYYY")</f>
        <v/>
      </c>
      <c r="D4572" s="40">
        <f>INT(A4572)-WEEKDAY(A4572,2)+1</f>
        <v/>
      </c>
      <c r="E4572" s="25" t="inlineStr">
        <is>
          <t>shassan</t>
        </is>
      </c>
      <c r="F4572" s="25" t="n">
        <v>131243</v>
      </c>
      <c r="G4572" s="25" t="n">
        <v>4</v>
      </c>
      <c r="H4572" s="25" t="n">
        <v>20</v>
      </c>
      <c r="I4572" s="25" t="inlineStr">
        <is>
          <t>2 minute(s) and 16 second(s)</t>
        </is>
      </c>
      <c r="J4572" s="25">
        <f>IFERROR(VALUE(TRIM(LEFT(I4572,FIND("minute",I4572)-1)))*60,0)+IFERROR(VALUE(SUBSTITUTE(MID(I4572,IFERROR(FIND("and",I4572)+3,1),20),"second(s)","")),0)</f>
        <v/>
      </c>
      <c r="K4572" s="41">
        <f>J4572/60</f>
        <v/>
      </c>
      <c r="L4572" s="41">
        <f>IFERROR(J4572/H4572,"")</f>
        <v/>
      </c>
      <c r="M4572" s="25" t="inlineStr">
        <is>
          <t>2.5.12</t>
        </is>
      </c>
      <c r="N4572" s="25">
        <f>IF(J4572&gt;300,1,0)</f>
        <v/>
      </c>
      <c r="O4572" s="25">
        <f>IF(J4572&gt;600,1,0)</f>
        <v/>
      </c>
      <c r="P4572" s="25">
        <f>IF(H4572&gt;0,J4572,"")</f>
        <v/>
      </c>
      <c r="Q4572" s="25">
        <f>TEXT(A4572,"YYYY-MM-DD HH")</f>
        <v/>
      </c>
      <c r="R4572" s="25">
        <f>COUNTIF($Q$2:$Q$5295,Q4572)</f>
        <v/>
      </c>
      <c r="S4572" s="25">
        <f>IF(R4572&lt;=2,"1-2",IF(R4572&lt;=5,"3-5",IF(R4572&lt;=10,"6-10","11+")))</f>
        <v/>
      </c>
    </row>
    <row r="4573">
      <c r="A4573" s="39" t="n">
        <v>46225.63023148148</v>
      </c>
      <c r="B4573" s="25">
        <f>TEXT(A4573,"YYYY-MM")</f>
        <v/>
      </c>
      <c r="C4573" s="25">
        <f>TEXT(A4573,"MMM-YYYY")</f>
        <v/>
      </c>
      <c r="D4573" s="40">
        <f>INT(A4573)-WEEKDAY(A4573,2)+1</f>
        <v/>
      </c>
      <c r="E4573" s="25" t="inlineStr">
        <is>
          <t>aghosh</t>
        </is>
      </c>
      <c r="F4573" s="25" t="n">
        <v>128731</v>
      </c>
      <c r="G4573" s="25" t="n">
        <v>4</v>
      </c>
      <c r="H4573" s="25" t="n">
        <v>26</v>
      </c>
      <c r="I4573" s="25" t="inlineStr">
        <is>
          <t>2 minute(s) and 48 second(s)</t>
        </is>
      </c>
      <c r="J4573" s="25">
        <f>IFERROR(VALUE(TRIM(LEFT(I4573,FIND("minute",I4573)-1)))*60,0)+IFERROR(VALUE(SUBSTITUTE(MID(I4573,IFERROR(FIND("and",I4573)+3,1),20),"second(s)","")),0)</f>
        <v/>
      </c>
      <c r="K4573" s="41">
        <f>J4573/60</f>
        <v/>
      </c>
      <c r="L4573" s="41">
        <f>IFERROR(J4573/H4573,"")</f>
        <v/>
      </c>
      <c r="M4573" s="25" t="inlineStr">
        <is>
          <t>2.5.12</t>
        </is>
      </c>
      <c r="N4573" s="25">
        <f>IF(J4573&gt;300,1,0)</f>
        <v/>
      </c>
      <c r="O4573" s="25">
        <f>IF(J4573&gt;600,1,0)</f>
        <v/>
      </c>
      <c r="P4573" s="25">
        <f>IF(H4573&gt;0,J4573,"")</f>
        <v/>
      </c>
      <c r="Q4573" s="25">
        <f>TEXT(A4573,"YYYY-MM-DD HH")</f>
        <v/>
      </c>
      <c r="R4573" s="25">
        <f>COUNTIF($Q$2:$Q$5295,Q4573)</f>
        <v/>
      </c>
      <c r="S4573" s="25">
        <f>IF(R4573&lt;=2,"1-2",IF(R4573&lt;=5,"3-5",IF(R4573&lt;=10,"6-10","11+")))</f>
        <v/>
      </c>
    </row>
    <row r="4574">
      <c r="A4574" s="39" t="n">
        <v>46225.64358796296</v>
      </c>
      <c r="B4574" s="25">
        <f>TEXT(A4574,"YYYY-MM")</f>
        <v/>
      </c>
      <c r="C4574" s="25">
        <f>TEXT(A4574,"MMM-YYYY")</f>
        <v/>
      </c>
      <c r="D4574" s="40">
        <f>INT(A4574)-WEEKDAY(A4574,2)+1</f>
        <v/>
      </c>
      <c r="E4574" s="25" t="inlineStr">
        <is>
          <t>mbhalla</t>
        </is>
      </c>
      <c r="F4574" s="25" t="n">
        <v>130847</v>
      </c>
      <c r="G4574" s="25" t="n">
        <v>1</v>
      </c>
      <c r="H4574" s="25" t="n">
        <v>7</v>
      </c>
      <c r="I4574" s="25" t="inlineStr">
        <is>
          <t>32 second(s)</t>
        </is>
      </c>
      <c r="J4574" s="25">
        <f>IFERROR(VALUE(TRIM(LEFT(I4574,FIND("minute",I4574)-1)))*60,0)+IFERROR(VALUE(SUBSTITUTE(MID(I4574,IFERROR(FIND("and",I4574)+3,1),20),"second(s)","")),0)</f>
        <v/>
      </c>
      <c r="K4574" s="41">
        <f>J4574/60</f>
        <v/>
      </c>
      <c r="L4574" s="41">
        <f>IFERROR(J4574/H4574,"")</f>
        <v/>
      </c>
      <c r="M4574" s="25" t="inlineStr">
        <is>
          <t>2.5.12</t>
        </is>
      </c>
      <c r="N4574" s="25">
        <f>IF(J4574&gt;300,1,0)</f>
        <v/>
      </c>
      <c r="O4574" s="25">
        <f>IF(J4574&gt;600,1,0)</f>
        <v/>
      </c>
      <c r="P4574" s="25">
        <f>IF(H4574&gt;0,J4574,"")</f>
        <v/>
      </c>
      <c r="Q4574" s="25">
        <f>TEXT(A4574,"YYYY-MM-DD HH")</f>
        <v/>
      </c>
      <c r="R4574" s="25">
        <f>COUNTIF($Q$2:$Q$5295,Q4574)</f>
        <v/>
      </c>
      <c r="S4574" s="25">
        <f>IF(R4574&lt;=2,"1-2",IF(R4574&lt;=5,"3-5",IF(R4574&lt;=10,"6-10","11+")))</f>
        <v/>
      </c>
    </row>
    <row r="4575">
      <c r="A4575" s="39" t="n">
        <v>46225.66478009259</v>
      </c>
      <c r="B4575" s="25">
        <f>TEXT(A4575,"YYYY-MM")</f>
        <v/>
      </c>
      <c r="C4575" s="25">
        <f>TEXT(A4575,"MMM-YYYY")</f>
        <v/>
      </c>
      <c r="D4575" s="40">
        <f>INT(A4575)-WEEKDAY(A4575,2)+1</f>
        <v/>
      </c>
      <c r="E4575" s="25" t="inlineStr">
        <is>
          <t>sswati</t>
        </is>
      </c>
      <c r="F4575" s="25" t="n">
        <v>130231</v>
      </c>
      <c r="G4575" s="25" t="n">
        <v>4</v>
      </c>
      <c r="H4575" s="25" t="n">
        <v>16</v>
      </c>
      <c r="I4575" s="25" t="inlineStr">
        <is>
          <t>1 minute(s) and 36 second(s)</t>
        </is>
      </c>
      <c r="J4575" s="25">
        <f>IFERROR(VALUE(TRIM(LEFT(I4575,FIND("minute",I4575)-1)))*60,0)+IFERROR(VALUE(SUBSTITUTE(MID(I4575,IFERROR(FIND("and",I4575)+3,1),20),"second(s)","")),0)</f>
        <v/>
      </c>
      <c r="K4575" s="41">
        <f>J4575/60</f>
        <v/>
      </c>
      <c r="L4575" s="41">
        <f>IFERROR(J4575/H4575,"")</f>
        <v/>
      </c>
      <c r="M4575" s="25" t="inlineStr">
        <is>
          <t>2.5.12</t>
        </is>
      </c>
      <c r="N4575" s="25">
        <f>IF(J4575&gt;300,1,0)</f>
        <v/>
      </c>
      <c r="O4575" s="25">
        <f>IF(J4575&gt;600,1,0)</f>
        <v/>
      </c>
      <c r="P4575" s="25">
        <f>IF(H4575&gt;0,J4575,"")</f>
        <v/>
      </c>
      <c r="Q4575" s="25">
        <f>TEXT(A4575,"YYYY-MM-DD HH")</f>
        <v/>
      </c>
      <c r="R4575" s="25">
        <f>COUNTIF($Q$2:$Q$5295,Q4575)</f>
        <v/>
      </c>
      <c r="S4575" s="25">
        <f>IF(R4575&lt;=2,"1-2",IF(R4575&lt;=5,"3-5",IF(R4575&lt;=10,"6-10","11+")))</f>
        <v/>
      </c>
    </row>
    <row r="4576">
      <c r="A4576" s="39" t="n">
        <v>46225.695625</v>
      </c>
      <c r="B4576" s="25">
        <f>TEXT(A4576,"YYYY-MM")</f>
        <v/>
      </c>
      <c r="C4576" s="25">
        <f>TEXT(A4576,"MMM-YYYY")</f>
        <v/>
      </c>
      <c r="D4576" s="40">
        <f>INT(A4576)-WEEKDAY(A4576,2)+1</f>
        <v/>
      </c>
      <c r="E4576" s="25" t="inlineStr">
        <is>
          <t>mbhalla</t>
        </is>
      </c>
      <c r="F4576" s="25" t="n">
        <v>130855</v>
      </c>
      <c r="G4576" s="25" t="n">
        <v>3</v>
      </c>
      <c r="H4576" s="25" t="n">
        <v>15</v>
      </c>
      <c r="I4576" s="25" t="inlineStr">
        <is>
          <t>1 minute(s) and 15 second(s)</t>
        </is>
      </c>
      <c r="J4576" s="25">
        <f>IFERROR(VALUE(TRIM(LEFT(I4576,FIND("minute",I4576)-1)))*60,0)+IFERROR(VALUE(SUBSTITUTE(MID(I4576,IFERROR(FIND("and",I4576)+3,1),20),"second(s)","")),0)</f>
        <v/>
      </c>
      <c r="K4576" s="41">
        <f>J4576/60</f>
        <v/>
      </c>
      <c r="L4576" s="41">
        <f>IFERROR(J4576/H4576,"")</f>
        <v/>
      </c>
      <c r="M4576" s="25" t="inlineStr">
        <is>
          <t>2.5.12</t>
        </is>
      </c>
      <c r="N4576" s="25">
        <f>IF(J4576&gt;300,1,0)</f>
        <v/>
      </c>
      <c r="O4576" s="25">
        <f>IF(J4576&gt;600,1,0)</f>
        <v/>
      </c>
      <c r="P4576" s="25">
        <f>IF(H4576&gt;0,J4576,"")</f>
        <v/>
      </c>
      <c r="Q4576" s="25">
        <f>TEXT(A4576,"YYYY-MM-DD HH")</f>
        <v/>
      </c>
      <c r="R4576" s="25">
        <f>COUNTIF($Q$2:$Q$5295,Q4576)</f>
        <v/>
      </c>
      <c r="S4576" s="25">
        <f>IF(R4576&lt;=2,"1-2",IF(R4576&lt;=5,"3-5",IF(R4576&lt;=10,"6-10","11+")))</f>
        <v/>
      </c>
    </row>
    <row r="4577">
      <c r="A4577" s="39" t="n">
        <v>46225.69920138889</v>
      </c>
      <c r="B4577" s="25">
        <f>TEXT(A4577,"YYYY-MM")</f>
        <v/>
      </c>
      <c r="C4577" s="25">
        <f>TEXT(A4577,"MMM-YYYY")</f>
        <v/>
      </c>
      <c r="D4577" s="40">
        <f>INT(A4577)-WEEKDAY(A4577,2)+1</f>
        <v/>
      </c>
      <c r="E4577" s="25" t="inlineStr">
        <is>
          <t>rsingh</t>
        </is>
      </c>
      <c r="F4577" s="25" t="n">
        <v>129966</v>
      </c>
      <c r="G4577" s="25" t="n">
        <v>4</v>
      </c>
      <c r="H4577" s="25" t="n">
        <v>20</v>
      </c>
      <c r="I4577" s="25" t="inlineStr">
        <is>
          <t>2 minute(s) and 8 second(s)</t>
        </is>
      </c>
      <c r="J4577" s="25">
        <f>IFERROR(VALUE(TRIM(LEFT(I4577,FIND("minute",I4577)-1)))*60,0)+IFERROR(VALUE(SUBSTITUTE(MID(I4577,IFERROR(FIND("and",I4577)+3,1),20),"second(s)","")),0)</f>
        <v/>
      </c>
      <c r="K4577" s="41">
        <f>J4577/60</f>
        <v/>
      </c>
      <c r="L4577" s="41">
        <f>IFERROR(J4577/H4577,"")</f>
        <v/>
      </c>
      <c r="M4577" s="25" t="inlineStr">
        <is>
          <t>2.5.12</t>
        </is>
      </c>
      <c r="N4577" s="25">
        <f>IF(J4577&gt;300,1,0)</f>
        <v/>
      </c>
      <c r="O4577" s="25">
        <f>IF(J4577&gt;600,1,0)</f>
        <v/>
      </c>
      <c r="P4577" s="25">
        <f>IF(H4577&gt;0,J4577,"")</f>
        <v/>
      </c>
      <c r="Q4577" s="25">
        <f>TEXT(A4577,"YYYY-MM-DD HH")</f>
        <v/>
      </c>
      <c r="R4577" s="25">
        <f>COUNTIF($Q$2:$Q$5295,Q4577)</f>
        <v/>
      </c>
      <c r="S4577" s="25">
        <f>IF(R4577&lt;=2,"1-2",IF(R4577&lt;=5,"3-5",IF(R4577&lt;=10,"6-10","11+")))</f>
        <v/>
      </c>
    </row>
    <row r="4578">
      <c r="A4578" s="39" t="n">
        <v>46225.70047453704</v>
      </c>
      <c r="B4578" s="25">
        <f>TEXT(A4578,"YYYY-MM")</f>
        <v/>
      </c>
      <c r="C4578" s="25">
        <f>TEXT(A4578,"MMM-YYYY")</f>
        <v/>
      </c>
      <c r="D4578" s="40">
        <f>INT(A4578)-WEEKDAY(A4578,2)+1</f>
        <v/>
      </c>
      <c r="E4578" s="25" t="inlineStr">
        <is>
          <t>hsindwani</t>
        </is>
      </c>
      <c r="F4578" s="25" t="n">
        <v>131630</v>
      </c>
      <c r="G4578" s="25" t="n">
        <v>4</v>
      </c>
      <c r="H4578" s="25" t="n">
        <v>26</v>
      </c>
      <c r="I4578" s="25" t="inlineStr">
        <is>
          <t>4 minute(s) and 38 second(s)</t>
        </is>
      </c>
      <c r="J4578" s="25">
        <f>IFERROR(VALUE(TRIM(LEFT(I4578,FIND("minute",I4578)-1)))*60,0)+IFERROR(VALUE(SUBSTITUTE(MID(I4578,IFERROR(FIND("and",I4578)+3,1),20),"second(s)","")),0)</f>
        <v/>
      </c>
      <c r="K4578" s="41">
        <f>J4578/60</f>
        <v/>
      </c>
      <c r="L4578" s="41">
        <f>IFERROR(J4578/H4578,"")</f>
        <v/>
      </c>
      <c r="M4578" s="25" t="inlineStr">
        <is>
          <t>2.5.12</t>
        </is>
      </c>
      <c r="N4578" s="25">
        <f>IF(J4578&gt;300,1,0)</f>
        <v/>
      </c>
      <c r="O4578" s="25">
        <f>IF(J4578&gt;600,1,0)</f>
        <v/>
      </c>
      <c r="P4578" s="25">
        <f>IF(H4578&gt;0,J4578,"")</f>
        <v/>
      </c>
      <c r="Q4578" s="25">
        <f>TEXT(A4578,"YYYY-MM-DD HH")</f>
        <v/>
      </c>
      <c r="R4578" s="25">
        <f>COUNTIF($Q$2:$Q$5295,Q4578)</f>
        <v/>
      </c>
      <c r="S4578" s="25">
        <f>IF(R4578&lt;=2,"1-2",IF(R4578&lt;=5,"3-5",IF(R4578&lt;=10,"6-10","11+")))</f>
        <v/>
      </c>
    </row>
    <row r="4579">
      <c r="A4579" s="39" t="n">
        <v>46225.74512731482</v>
      </c>
      <c r="B4579" s="25">
        <f>TEXT(A4579,"YYYY-MM")</f>
        <v/>
      </c>
      <c r="C4579" s="25">
        <f>TEXT(A4579,"MMM-YYYY")</f>
        <v/>
      </c>
      <c r="D4579" s="40">
        <f>INT(A4579)-WEEKDAY(A4579,2)+1</f>
        <v/>
      </c>
      <c r="E4579" s="25" t="inlineStr">
        <is>
          <t>dchoudhury</t>
        </is>
      </c>
      <c r="F4579" s="25" t="n">
        <v>131230</v>
      </c>
      <c r="G4579" s="25" t="n">
        <v>1</v>
      </c>
      <c r="H4579" s="25" t="n">
        <v>5</v>
      </c>
      <c r="I4579" s="25" t="inlineStr">
        <is>
          <t>28 second(s)</t>
        </is>
      </c>
      <c r="J4579" s="25">
        <f>IFERROR(VALUE(TRIM(LEFT(I4579,FIND("minute",I4579)-1)))*60,0)+IFERROR(VALUE(SUBSTITUTE(MID(I4579,IFERROR(FIND("and",I4579)+3,1),20),"second(s)","")),0)</f>
        <v/>
      </c>
      <c r="K4579" s="41">
        <f>J4579/60</f>
        <v/>
      </c>
      <c r="L4579" s="41">
        <f>IFERROR(J4579/H4579,"")</f>
        <v/>
      </c>
      <c r="M4579" s="25" t="inlineStr">
        <is>
          <t>2.5.12</t>
        </is>
      </c>
      <c r="N4579" s="25">
        <f>IF(J4579&gt;300,1,0)</f>
        <v/>
      </c>
      <c r="O4579" s="25">
        <f>IF(J4579&gt;600,1,0)</f>
        <v/>
      </c>
      <c r="P4579" s="25">
        <f>IF(H4579&gt;0,J4579,"")</f>
        <v/>
      </c>
      <c r="Q4579" s="25">
        <f>TEXT(A4579,"YYYY-MM-DD HH")</f>
        <v/>
      </c>
      <c r="R4579" s="25">
        <f>COUNTIF($Q$2:$Q$5295,Q4579)</f>
        <v/>
      </c>
      <c r="S4579" s="25">
        <f>IF(R4579&lt;=2,"1-2",IF(R4579&lt;=5,"3-5",IF(R4579&lt;=10,"6-10","11+")))</f>
        <v/>
      </c>
    </row>
    <row r="4580">
      <c r="A4580" s="39" t="n">
        <v>46225.80046296296</v>
      </c>
      <c r="B4580" s="25">
        <f>TEXT(A4580,"YYYY-MM")</f>
        <v/>
      </c>
      <c r="C4580" s="25">
        <f>TEXT(A4580,"MMM-YYYY")</f>
        <v/>
      </c>
      <c r="D4580" s="40">
        <f>INT(A4580)-WEEKDAY(A4580,2)+1</f>
        <v/>
      </c>
      <c r="E4580" s="25" t="inlineStr">
        <is>
          <t>dchoudhury</t>
        </is>
      </c>
      <c r="F4580" s="25" t="n">
        <v>132603</v>
      </c>
      <c r="G4580" s="25" t="n">
        <v>1</v>
      </c>
      <c r="H4580" s="25" t="n">
        <v>5</v>
      </c>
      <c r="I4580" s="25" t="inlineStr">
        <is>
          <t>24 second(s)</t>
        </is>
      </c>
      <c r="J4580" s="25">
        <f>IFERROR(VALUE(TRIM(LEFT(I4580,FIND("minute",I4580)-1)))*60,0)+IFERROR(VALUE(SUBSTITUTE(MID(I4580,IFERROR(FIND("and",I4580)+3,1),20),"second(s)","")),0)</f>
        <v/>
      </c>
      <c r="K4580" s="41">
        <f>J4580/60</f>
        <v/>
      </c>
      <c r="L4580" s="41">
        <f>IFERROR(J4580/H4580,"")</f>
        <v/>
      </c>
      <c r="M4580" s="25" t="inlineStr">
        <is>
          <t>2.5.12</t>
        </is>
      </c>
      <c r="N4580" s="25">
        <f>IF(J4580&gt;300,1,0)</f>
        <v/>
      </c>
      <c r="O4580" s="25">
        <f>IF(J4580&gt;600,1,0)</f>
        <v/>
      </c>
      <c r="P4580" s="25">
        <f>IF(H4580&gt;0,J4580,"")</f>
        <v/>
      </c>
      <c r="Q4580" s="25">
        <f>TEXT(A4580,"YYYY-MM-DD HH")</f>
        <v/>
      </c>
      <c r="R4580" s="25">
        <f>COUNTIF($Q$2:$Q$5295,Q4580)</f>
        <v/>
      </c>
      <c r="S4580" s="25">
        <f>IF(R4580&lt;=2,"1-2",IF(R4580&lt;=5,"3-5",IF(R4580&lt;=10,"6-10","11+")))</f>
        <v/>
      </c>
    </row>
    <row r="4581">
      <c r="A4581" s="39" t="n">
        <v>46225.80340277778</v>
      </c>
      <c r="B4581" s="25">
        <f>TEXT(A4581,"YYYY-MM")</f>
        <v/>
      </c>
      <c r="C4581" s="25">
        <f>TEXT(A4581,"MMM-YYYY")</f>
        <v/>
      </c>
      <c r="D4581" s="40">
        <f>INT(A4581)-WEEKDAY(A4581,2)+1</f>
        <v/>
      </c>
      <c r="E4581" s="25" t="inlineStr">
        <is>
          <t>dchoudhury</t>
        </is>
      </c>
      <c r="F4581" s="25" t="n">
        <v>132603</v>
      </c>
      <c r="G4581" s="25" t="n">
        <v>1</v>
      </c>
      <c r="H4581" s="25" t="n">
        <v>5</v>
      </c>
      <c r="I4581" s="25" t="inlineStr">
        <is>
          <t>26 second(s)</t>
        </is>
      </c>
      <c r="J4581" s="25">
        <f>IFERROR(VALUE(TRIM(LEFT(I4581,FIND("minute",I4581)-1)))*60,0)+IFERROR(VALUE(SUBSTITUTE(MID(I4581,IFERROR(FIND("and",I4581)+3,1),20),"second(s)","")),0)</f>
        <v/>
      </c>
      <c r="K4581" s="41">
        <f>J4581/60</f>
        <v/>
      </c>
      <c r="L4581" s="41">
        <f>IFERROR(J4581/H4581,"")</f>
        <v/>
      </c>
      <c r="M4581" s="25" t="inlineStr">
        <is>
          <t>2.5.12</t>
        </is>
      </c>
      <c r="N4581" s="25">
        <f>IF(J4581&gt;300,1,0)</f>
        <v/>
      </c>
      <c r="O4581" s="25">
        <f>IF(J4581&gt;600,1,0)</f>
        <v/>
      </c>
      <c r="P4581" s="25">
        <f>IF(H4581&gt;0,J4581,"")</f>
        <v/>
      </c>
      <c r="Q4581" s="25">
        <f>TEXT(A4581,"YYYY-MM-DD HH")</f>
        <v/>
      </c>
      <c r="R4581" s="25">
        <f>COUNTIF($Q$2:$Q$5295,Q4581)</f>
        <v/>
      </c>
      <c r="S4581" s="25">
        <f>IF(R4581&lt;=2,"1-2",IF(R4581&lt;=5,"3-5",IF(R4581&lt;=10,"6-10","11+")))</f>
        <v/>
      </c>
    </row>
    <row r="4582">
      <c r="A4582" s="39" t="n">
        <v>46225.82949074074</v>
      </c>
      <c r="B4582" s="25">
        <f>TEXT(A4582,"YYYY-MM")</f>
        <v/>
      </c>
      <c r="C4582" s="25">
        <f>TEXT(A4582,"MMM-YYYY")</f>
        <v/>
      </c>
      <c r="D4582" s="40">
        <f>INT(A4582)-WEEKDAY(A4582,2)+1</f>
        <v/>
      </c>
      <c r="E4582" s="25" t="inlineStr">
        <is>
          <t>sswati</t>
        </is>
      </c>
      <c r="F4582" s="25" t="n">
        <v>130255</v>
      </c>
      <c r="G4582" s="25" t="n">
        <v>4</v>
      </c>
      <c r="H4582" s="25" t="n">
        <v>20</v>
      </c>
      <c r="I4582" s="25" t="inlineStr">
        <is>
          <t>3 minute(s) and 26 second(s)</t>
        </is>
      </c>
      <c r="J4582" s="25">
        <f>IFERROR(VALUE(TRIM(LEFT(I4582,FIND("minute",I4582)-1)))*60,0)+IFERROR(VALUE(SUBSTITUTE(MID(I4582,IFERROR(FIND("and",I4582)+3,1),20),"second(s)","")),0)</f>
        <v/>
      </c>
      <c r="K4582" s="41">
        <f>J4582/60</f>
        <v/>
      </c>
      <c r="L4582" s="41">
        <f>IFERROR(J4582/H4582,"")</f>
        <v/>
      </c>
      <c r="M4582" s="25" t="inlineStr">
        <is>
          <t>2.5.12</t>
        </is>
      </c>
      <c r="N4582" s="25">
        <f>IF(J4582&gt;300,1,0)</f>
        <v/>
      </c>
      <c r="O4582" s="25">
        <f>IF(J4582&gt;600,1,0)</f>
        <v/>
      </c>
      <c r="P4582" s="25">
        <f>IF(H4582&gt;0,J4582,"")</f>
        <v/>
      </c>
      <c r="Q4582" s="25">
        <f>TEXT(A4582,"YYYY-MM-DD HH")</f>
        <v/>
      </c>
      <c r="R4582" s="25">
        <f>COUNTIF($Q$2:$Q$5295,Q4582)</f>
        <v/>
      </c>
      <c r="S4582" s="25">
        <f>IF(R4582&lt;=2,"1-2",IF(R4582&lt;=5,"3-5",IF(R4582&lt;=10,"6-10","11+")))</f>
        <v/>
      </c>
    </row>
    <row r="4583">
      <c r="A4583" s="39" t="n">
        <v>46226.00099537037</v>
      </c>
      <c r="B4583" s="25">
        <f>TEXT(A4583,"YYYY-MM")</f>
        <v/>
      </c>
      <c r="C4583" s="25">
        <f>TEXT(A4583,"MMM-YYYY")</f>
        <v/>
      </c>
      <c r="D4583" s="40">
        <f>INT(A4583)-WEEKDAY(A4583,2)+1</f>
        <v/>
      </c>
      <c r="E4583" s="25" t="inlineStr">
        <is>
          <t>sasharma</t>
        </is>
      </c>
      <c r="F4583" s="25" t="n">
        <v>130230</v>
      </c>
      <c r="G4583" s="25" t="n">
        <v>1</v>
      </c>
      <c r="H4583" s="25" t="n">
        <v>7</v>
      </c>
      <c r="I4583" s="25" t="inlineStr">
        <is>
          <t>33 second(s)</t>
        </is>
      </c>
      <c r="J4583" s="25">
        <f>IFERROR(VALUE(TRIM(LEFT(I4583,FIND("minute",I4583)-1)))*60,0)+IFERROR(VALUE(SUBSTITUTE(MID(I4583,IFERROR(FIND("and",I4583)+3,1),20),"second(s)","")),0)</f>
        <v/>
      </c>
      <c r="K4583" s="41">
        <f>J4583/60</f>
        <v/>
      </c>
      <c r="L4583" s="41">
        <f>IFERROR(J4583/H4583,"")</f>
        <v/>
      </c>
      <c r="M4583" s="25" t="inlineStr">
        <is>
          <t>2.5.12</t>
        </is>
      </c>
      <c r="N4583" s="25">
        <f>IF(J4583&gt;300,1,0)</f>
        <v/>
      </c>
      <c r="O4583" s="25">
        <f>IF(J4583&gt;600,1,0)</f>
        <v/>
      </c>
      <c r="P4583" s="25">
        <f>IF(H4583&gt;0,J4583,"")</f>
        <v/>
      </c>
      <c r="Q4583" s="25">
        <f>TEXT(A4583,"YYYY-MM-DD HH")</f>
        <v/>
      </c>
      <c r="R4583" s="25">
        <f>COUNTIF($Q$2:$Q$5295,Q4583)</f>
        <v/>
      </c>
      <c r="S4583" s="25">
        <f>IF(R4583&lt;=2,"1-2",IF(R4583&lt;=5,"3-5",IF(R4583&lt;=10,"6-10","11+")))</f>
        <v/>
      </c>
    </row>
    <row r="4584">
      <c r="A4584" s="39" t="n">
        <v>46226.03693287037</v>
      </c>
      <c r="B4584" s="25">
        <f>TEXT(A4584,"YYYY-MM")</f>
        <v/>
      </c>
      <c r="C4584" s="25">
        <f>TEXT(A4584,"MMM-YYYY")</f>
        <v/>
      </c>
      <c r="D4584" s="40">
        <f>INT(A4584)-WEEKDAY(A4584,2)+1</f>
        <v/>
      </c>
      <c r="E4584" s="25" t="inlineStr">
        <is>
          <t>smukhopadhyay</t>
        </is>
      </c>
      <c r="F4584" s="25" t="n">
        <v>130071</v>
      </c>
      <c r="G4584" s="25" t="n">
        <v>4</v>
      </c>
      <c r="H4584" s="25" t="n">
        <v>26</v>
      </c>
      <c r="I4584" s="25" t="inlineStr">
        <is>
          <t>3 minute(s) and 39 second(s)</t>
        </is>
      </c>
      <c r="J4584" s="25">
        <f>IFERROR(VALUE(TRIM(LEFT(I4584,FIND("minute",I4584)-1)))*60,0)+IFERROR(VALUE(SUBSTITUTE(MID(I4584,IFERROR(FIND("and",I4584)+3,1),20),"second(s)","")),0)</f>
        <v/>
      </c>
      <c r="K4584" s="41">
        <f>J4584/60</f>
        <v/>
      </c>
      <c r="L4584" s="41">
        <f>IFERROR(J4584/H4584,"")</f>
        <v/>
      </c>
      <c r="M4584" s="25" t="inlineStr">
        <is>
          <t>2.5.12</t>
        </is>
      </c>
      <c r="N4584" s="25">
        <f>IF(J4584&gt;300,1,0)</f>
        <v/>
      </c>
      <c r="O4584" s="25">
        <f>IF(J4584&gt;600,1,0)</f>
        <v/>
      </c>
      <c r="P4584" s="25">
        <f>IF(H4584&gt;0,J4584,"")</f>
        <v/>
      </c>
      <c r="Q4584" s="25">
        <f>TEXT(A4584,"YYYY-MM-DD HH")</f>
        <v/>
      </c>
      <c r="R4584" s="25">
        <f>COUNTIF($Q$2:$Q$5295,Q4584)</f>
        <v/>
      </c>
      <c r="S4584" s="25">
        <f>IF(R4584&lt;=2,"1-2",IF(R4584&lt;=5,"3-5",IF(R4584&lt;=10,"6-10","11+")))</f>
        <v/>
      </c>
    </row>
    <row r="4585">
      <c r="A4585" s="39" t="n">
        <v>46226.05659722222</v>
      </c>
      <c r="B4585" s="25">
        <f>TEXT(A4585,"YYYY-MM")</f>
        <v/>
      </c>
      <c r="C4585" s="25">
        <f>TEXT(A4585,"MMM-YYYY")</f>
        <v/>
      </c>
      <c r="D4585" s="40">
        <f>INT(A4585)-WEEKDAY(A4585,2)+1</f>
        <v/>
      </c>
      <c r="E4585" s="25" t="inlineStr">
        <is>
          <t>sasharma</t>
        </is>
      </c>
      <c r="F4585" s="25" t="n">
        <v>130254</v>
      </c>
      <c r="G4585" s="25" t="n">
        <v>4</v>
      </c>
      <c r="H4585" s="25" t="n">
        <v>20</v>
      </c>
      <c r="I4585" s="25" t="inlineStr">
        <is>
          <t>1 minute(s) and 42 second(s)</t>
        </is>
      </c>
      <c r="J4585" s="25">
        <f>IFERROR(VALUE(TRIM(LEFT(I4585,FIND("minute",I4585)-1)))*60,0)+IFERROR(VALUE(SUBSTITUTE(MID(I4585,IFERROR(FIND("and",I4585)+3,1),20),"second(s)","")),0)</f>
        <v/>
      </c>
      <c r="K4585" s="41">
        <f>J4585/60</f>
        <v/>
      </c>
      <c r="L4585" s="41">
        <f>IFERROR(J4585/H4585,"")</f>
        <v/>
      </c>
      <c r="M4585" s="25" t="inlineStr">
        <is>
          <t>2.5.12</t>
        </is>
      </c>
      <c r="N4585" s="25">
        <f>IF(J4585&gt;300,1,0)</f>
        <v/>
      </c>
      <c r="O4585" s="25">
        <f>IF(J4585&gt;600,1,0)</f>
        <v/>
      </c>
      <c r="P4585" s="25">
        <f>IF(H4585&gt;0,J4585,"")</f>
        <v/>
      </c>
      <c r="Q4585" s="25">
        <f>TEXT(A4585,"YYYY-MM-DD HH")</f>
        <v/>
      </c>
      <c r="R4585" s="25">
        <f>COUNTIF($Q$2:$Q$5295,Q4585)</f>
        <v/>
      </c>
      <c r="S4585" s="25">
        <f>IF(R4585&lt;=2,"1-2",IF(R4585&lt;=5,"3-5",IF(R4585&lt;=10,"6-10","11+")))</f>
        <v/>
      </c>
    </row>
    <row r="4586">
      <c r="A4586" s="39" t="n">
        <v>46226.05753472223</v>
      </c>
      <c r="B4586" s="25">
        <f>TEXT(A4586,"YYYY-MM")</f>
        <v/>
      </c>
      <c r="C4586" s="25">
        <f>TEXT(A4586,"MMM-YYYY")</f>
        <v/>
      </c>
      <c r="D4586" s="40">
        <f>INT(A4586)-WEEKDAY(A4586,2)+1</f>
        <v/>
      </c>
      <c r="E4586" s="25" t="inlineStr">
        <is>
          <t>npriya</t>
        </is>
      </c>
      <c r="F4586" s="25" t="n">
        <v>130711</v>
      </c>
      <c r="G4586" s="25" t="n">
        <v>4</v>
      </c>
      <c r="H4586" s="25" t="n">
        <v>14</v>
      </c>
      <c r="I4586" s="25" t="inlineStr">
        <is>
          <t>1 minute(s) and 49 second(s)</t>
        </is>
      </c>
      <c r="J4586" s="25">
        <f>IFERROR(VALUE(TRIM(LEFT(I4586,FIND("minute",I4586)-1)))*60,0)+IFERROR(VALUE(SUBSTITUTE(MID(I4586,IFERROR(FIND("and",I4586)+3,1),20),"second(s)","")),0)</f>
        <v/>
      </c>
      <c r="K4586" s="41">
        <f>J4586/60</f>
        <v/>
      </c>
      <c r="L4586" s="41">
        <f>IFERROR(J4586/H4586,"")</f>
        <v/>
      </c>
      <c r="M4586" s="25" t="inlineStr">
        <is>
          <t>2.5.12</t>
        </is>
      </c>
      <c r="N4586" s="25">
        <f>IF(J4586&gt;300,1,0)</f>
        <v/>
      </c>
      <c r="O4586" s="25">
        <f>IF(J4586&gt;600,1,0)</f>
        <v/>
      </c>
      <c r="P4586" s="25">
        <f>IF(H4586&gt;0,J4586,"")</f>
        <v/>
      </c>
      <c r="Q4586" s="25">
        <f>TEXT(A4586,"YYYY-MM-DD HH")</f>
        <v/>
      </c>
      <c r="R4586" s="25">
        <f>COUNTIF($Q$2:$Q$5295,Q4586)</f>
        <v/>
      </c>
      <c r="S4586" s="25">
        <f>IF(R4586&lt;=2,"1-2",IF(R4586&lt;=5,"3-5",IF(R4586&lt;=10,"6-10","11+")))</f>
        <v/>
      </c>
    </row>
    <row r="4587">
      <c r="A4587" s="39" t="n">
        <v>46226.08304398148</v>
      </c>
      <c r="B4587" s="25">
        <f>TEXT(A4587,"YYYY-MM")</f>
        <v/>
      </c>
      <c r="C4587" s="25">
        <f>TEXT(A4587,"MMM-YYYY")</f>
        <v/>
      </c>
      <c r="D4587" s="40">
        <f>INT(A4587)-WEEKDAY(A4587,2)+1</f>
        <v/>
      </c>
      <c r="E4587" s="25" t="inlineStr">
        <is>
          <t>shasikha</t>
        </is>
      </c>
      <c r="F4587" s="25" t="n">
        <v>129631</v>
      </c>
      <c r="G4587" s="25" t="n">
        <v>4</v>
      </c>
      <c r="H4587" s="25" t="n">
        <v>20</v>
      </c>
      <c r="I4587" s="25" t="inlineStr">
        <is>
          <t>1 minute(s) and 54 second(s)</t>
        </is>
      </c>
      <c r="J4587" s="25">
        <f>IFERROR(VALUE(TRIM(LEFT(I4587,FIND("minute",I4587)-1)))*60,0)+IFERROR(VALUE(SUBSTITUTE(MID(I4587,IFERROR(FIND("and",I4587)+3,1),20),"second(s)","")),0)</f>
        <v/>
      </c>
      <c r="K4587" s="41">
        <f>J4587/60</f>
        <v/>
      </c>
      <c r="L4587" s="41">
        <f>IFERROR(J4587/H4587,"")</f>
        <v/>
      </c>
      <c r="M4587" s="25" t="inlineStr">
        <is>
          <t>2.5.12</t>
        </is>
      </c>
      <c r="N4587" s="25">
        <f>IF(J4587&gt;300,1,0)</f>
        <v/>
      </c>
      <c r="O4587" s="25">
        <f>IF(J4587&gt;600,1,0)</f>
        <v/>
      </c>
      <c r="P4587" s="25">
        <f>IF(H4587&gt;0,J4587,"")</f>
        <v/>
      </c>
      <c r="Q4587" s="25">
        <f>TEXT(A4587,"YYYY-MM-DD HH")</f>
        <v/>
      </c>
      <c r="R4587" s="25">
        <f>COUNTIF($Q$2:$Q$5295,Q4587)</f>
        <v/>
      </c>
      <c r="S4587" s="25">
        <f>IF(R4587&lt;=2,"1-2",IF(R4587&lt;=5,"3-5",IF(R4587&lt;=10,"6-10","11+")))</f>
        <v/>
      </c>
    </row>
    <row r="4588">
      <c r="A4588" s="39" t="n">
        <v>46226.08366898148</v>
      </c>
      <c r="B4588" s="25">
        <f>TEXT(A4588,"YYYY-MM")</f>
        <v/>
      </c>
      <c r="C4588" s="25">
        <f>TEXT(A4588,"MMM-YYYY")</f>
        <v/>
      </c>
      <c r="D4588" s="40">
        <f>INT(A4588)-WEEKDAY(A4588,2)+1</f>
        <v/>
      </c>
      <c r="E4588" s="25" t="inlineStr">
        <is>
          <t>ssrinivasan</t>
        </is>
      </c>
      <c r="F4588" s="25" t="n">
        <v>129759</v>
      </c>
      <c r="G4588" s="25" t="n">
        <v>4</v>
      </c>
      <c r="H4588" s="25" t="n">
        <v>26</v>
      </c>
      <c r="I4588" s="25" t="inlineStr">
        <is>
          <t>2 minute(s) and 59 second(s)</t>
        </is>
      </c>
      <c r="J4588" s="25">
        <f>IFERROR(VALUE(TRIM(LEFT(I4588,FIND("minute",I4588)-1)))*60,0)+IFERROR(VALUE(SUBSTITUTE(MID(I4588,IFERROR(FIND("and",I4588)+3,1),20),"second(s)","")),0)</f>
        <v/>
      </c>
      <c r="K4588" s="41">
        <f>J4588/60</f>
        <v/>
      </c>
      <c r="L4588" s="41">
        <f>IFERROR(J4588/H4588,"")</f>
        <v/>
      </c>
      <c r="M4588" s="25" t="inlineStr">
        <is>
          <t>2.5.12</t>
        </is>
      </c>
      <c r="N4588" s="25">
        <f>IF(J4588&gt;300,1,0)</f>
        <v/>
      </c>
      <c r="O4588" s="25">
        <f>IF(J4588&gt;600,1,0)</f>
        <v/>
      </c>
      <c r="P4588" s="25">
        <f>IF(H4588&gt;0,J4588,"")</f>
        <v/>
      </c>
      <c r="Q4588" s="25">
        <f>TEXT(A4588,"YYYY-MM-DD HH")</f>
        <v/>
      </c>
      <c r="R4588" s="25">
        <f>COUNTIF($Q$2:$Q$5295,Q4588)</f>
        <v/>
      </c>
      <c r="S4588" s="25">
        <f>IF(R4588&lt;=2,"1-2",IF(R4588&lt;=5,"3-5",IF(R4588&lt;=10,"6-10","11+")))</f>
        <v/>
      </c>
    </row>
    <row r="4589">
      <c r="A4589" s="39" t="n">
        <v>46226.08708333333</v>
      </c>
      <c r="B4589" s="25">
        <f>TEXT(A4589,"YYYY-MM")</f>
        <v/>
      </c>
      <c r="C4589" s="25">
        <f>TEXT(A4589,"MMM-YYYY")</f>
        <v/>
      </c>
      <c r="D4589" s="40">
        <f>INT(A4589)-WEEKDAY(A4589,2)+1</f>
        <v/>
      </c>
      <c r="E4589" s="25" t="inlineStr">
        <is>
          <t>smukhopadhyay</t>
        </is>
      </c>
      <c r="F4589" s="25" t="n">
        <v>130055</v>
      </c>
      <c r="G4589" s="25" t="n">
        <v>2</v>
      </c>
      <c r="H4589" s="25" t="n">
        <v>12</v>
      </c>
      <c r="I4589" s="25" t="inlineStr">
        <is>
          <t>1 minute(s) and 7 second(s)</t>
        </is>
      </c>
      <c r="J4589" s="25">
        <f>IFERROR(VALUE(TRIM(LEFT(I4589,FIND("minute",I4589)-1)))*60,0)+IFERROR(VALUE(SUBSTITUTE(MID(I4589,IFERROR(FIND("and",I4589)+3,1),20),"second(s)","")),0)</f>
        <v/>
      </c>
      <c r="K4589" s="41">
        <f>J4589/60</f>
        <v/>
      </c>
      <c r="L4589" s="41">
        <f>IFERROR(J4589/H4589,"")</f>
        <v/>
      </c>
      <c r="M4589" s="25" t="inlineStr">
        <is>
          <t>2.5.12</t>
        </is>
      </c>
      <c r="N4589" s="25">
        <f>IF(J4589&gt;300,1,0)</f>
        <v/>
      </c>
      <c r="O4589" s="25">
        <f>IF(J4589&gt;600,1,0)</f>
        <v/>
      </c>
      <c r="P4589" s="25">
        <f>IF(H4589&gt;0,J4589,"")</f>
        <v/>
      </c>
      <c r="Q4589" s="25">
        <f>TEXT(A4589,"YYYY-MM-DD HH")</f>
        <v/>
      </c>
      <c r="R4589" s="25">
        <f>COUNTIF($Q$2:$Q$5295,Q4589)</f>
        <v/>
      </c>
      <c r="S4589" s="25">
        <f>IF(R4589&lt;=2,"1-2",IF(R4589&lt;=5,"3-5",IF(R4589&lt;=10,"6-10","11+")))</f>
        <v/>
      </c>
    </row>
    <row r="4590">
      <c r="A4590" s="39" t="n">
        <v>46226.09892361111</v>
      </c>
      <c r="B4590" s="25">
        <f>TEXT(A4590,"YYYY-MM")</f>
        <v/>
      </c>
      <c r="C4590" s="25">
        <f>TEXT(A4590,"MMM-YYYY")</f>
        <v/>
      </c>
      <c r="D4590" s="40">
        <f>INT(A4590)-WEEKDAY(A4590,2)+1</f>
        <v/>
      </c>
      <c r="E4590" s="25" t="inlineStr">
        <is>
          <t>ethomas</t>
        </is>
      </c>
      <c r="F4590" s="25" t="n">
        <v>128373</v>
      </c>
      <c r="G4590" s="25" t="n">
        <v>2</v>
      </c>
      <c r="H4590" s="25" t="n">
        <v>14</v>
      </c>
      <c r="I4590" s="25" t="inlineStr">
        <is>
          <t>1 minute(s) and 49 second(s)</t>
        </is>
      </c>
      <c r="J4590" s="25">
        <f>IFERROR(VALUE(TRIM(LEFT(I4590,FIND("minute",I4590)-1)))*60,0)+IFERROR(VALUE(SUBSTITUTE(MID(I4590,IFERROR(FIND("and",I4590)+3,1),20),"second(s)","")),0)</f>
        <v/>
      </c>
      <c r="K4590" s="41">
        <f>J4590/60</f>
        <v/>
      </c>
      <c r="L4590" s="41">
        <f>IFERROR(J4590/H4590,"")</f>
        <v/>
      </c>
      <c r="M4590" s="25" t="inlineStr">
        <is>
          <t>2.5.12</t>
        </is>
      </c>
      <c r="N4590" s="25">
        <f>IF(J4590&gt;300,1,0)</f>
        <v/>
      </c>
      <c r="O4590" s="25">
        <f>IF(J4590&gt;600,1,0)</f>
        <v/>
      </c>
      <c r="P4590" s="25">
        <f>IF(H4590&gt;0,J4590,"")</f>
        <v/>
      </c>
      <c r="Q4590" s="25">
        <f>TEXT(A4590,"YYYY-MM-DD HH")</f>
        <v/>
      </c>
      <c r="R4590" s="25">
        <f>COUNTIF($Q$2:$Q$5295,Q4590)</f>
        <v/>
      </c>
      <c r="S4590" s="25">
        <f>IF(R4590&lt;=2,"1-2",IF(R4590&lt;=5,"3-5",IF(R4590&lt;=10,"6-10","11+")))</f>
        <v/>
      </c>
    </row>
    <row r="4591">
      <c r="A4591" s="39" t="n">
        <v>46226.1199537037</v>
      </c>
      <c r="B4591" s="25">
        <f>TEXT(A4591,"YYYY-MM")</f>
        <v/>
      </c>
      <c r="C4591" s="25">
        <f>TEXT(A4591,"MMM-YYYY")</f>
        <v/>
      </c>
      <c r="D4591" s="40">
        <f>INT(A4591)-WEEKDAY(A4591,2)+1</f>
        <v/>
      </c>
      <c r="E4591" s="25" t="inlineStr">
        <is>
          <t>sdey</t>
        </is>
      </c>
      <c r="F4591" s="25" t="n">
        <v>128683</v>
      </c>
      <c r="G4591" s="25" t="n">
        <v>2</v>
      </c>
      <c r="H4591" s="25" t="n">
        <v>11</v>
      </c>
      <c r="I4591" s="25" t="inlineStr">
        <is>
          <t>1 minute(s) and 9 second(s)</t>
        </is>
      </c>
      <c r="J4591" s="25">
        <f>IFERROR(VALUE(TRIM(LEFT(I4591,FIND("minute",I4591)-1)))*60,0)+IFERROR(VALUE(SUBSTITUTE(MID(I4591,IFERROR(FIND("and",I4591)+3,1),20),"second(s)","")),0)</f>
        <v/>
      </c>
      <c r="K4591" s="41">
        <f>J4591/60</f>
        <v/>
      </c>
      <c r="L4591" s="41">
        <f>IFERROR(J4591/H4591,"")</f>
        <v/>
      </c>
      <c r="M4591" s="25" t="inlineStr">
        <is>
          <t>2.5.12</t>
        </is>
      </c>
      <c r="N4591" s="25">
        <f>IF(J4591&gt;300,1,0)</f>
        <v/>
      </c>
      <c r="O4591" s="25">
        <f>IF(J4591&gt;600,1,0)</f>
        <v/>
      </c>
      <c r="P4591" s="25">
        <f>IF(H4591&gt;0,J4591,"")</f>
        <v/>
      </c>
      <c r="Q4591" s="25">
        <f>TEXT(A4591,"YYYY-MM-DD HH")</f>
        <v/>
      </c>
      <c r="R4591" s="25">
        <f>COUNTIF($Q$2:$Q$5295,Q4591)</f>
        <v/>
      </c>
      <c r="S4591" s="25">
        <f>IF(R4591&lt;=2,"1-2",IF(R4591&lt;=5,"3-5",IF(R4591&lt;=10,"6-10","11+")))</f>
        <v/>
      </c>
    </row>
    <row r="4592">
      <c r="A4592" s="39" t="n">
        <v>46226.12398148148</v>
      </c>
      <c r="B4592" s="25">
        <f>TEXT(A4592,"YYYY-MM")</f>
        <v/>
      </c>
      <c r="C4592" s="25">
        <f>TEXT(A4592,"MMM-YYYY")</f>
        <v/>
      </c>
      <c r="D4592" s="40">
        <f>INT(A4592)-WEEKDAY(A4592,2)+1</f>
        <v/>
      </c>
      <c r="E4592" s="25" t="inlineStr">
        <is>
          <t>asahoo</t>
        </is>
      </c>
      <c r="F4592" s="25" t="n">
        <v>132263</v>
      </c>
      <c r="G4592" s="25" t="n">
        <v>1</v>
      </c>
      <c r="H4592" s="25" t="n">
        <v>5</v>
      </c>
      <c r="I4592" s="25" t="inlineStr">
        <is>
          <t>33 second(s)</t>
        </is>
      </c>
      <c r="J4592" s="25">
        <f>IFERROR(VALUE(TRIM(LEFT(I4592,FIND("minute",I4592)-1)))*60,0)+IFERROR(VALUE(SUBSTITUTE(MID(I4592,IFERROR(FIND("and",I4592)+3,1),20),"second(s)","")),0)</f>
        <v/>
      </c>
      <c r="K4592" s="41">
        <f>J4592/60</f>
        <v/>
      </c>
      <c r="L4592" s="41">
        <f>IFERROR(J4592/H4592,"")</f>
        <v/>
      </c>
      <c r="M4592" s="25" t="inlineStr">
        <is>
          <t>2.5.12</t>
        </is>
      </c>
      <c r="N4592" s="25">
        <f>IF(J4592&gt;300,1,0)</f>
        <v/>
      </c>
      <c r="O4592" s="25">
        <f>IF(J4592&gt;600,1,0)</f>
        <v/>
      </c>
      <c r="P4592" s="25">
        <f>IF(H4592&gt;0,J4592,"")</f>
        <v/>
      </c>
      <c r="Q4592" s="25">
        <f>TEXT(A4592,"YYYY-MM-DD HH")</f>
        <v/>
      </c>
      <c r="R4592" s="25">
        <f>COUNTIF($Q$2:$Q$5295,Q4592)</f>
        <v/>
      </c>
      <c r="S4592" s="25">
        <f>IF(R4592&lt;=2,"1-2",IF(R4592&lt;=5,"3-5",IF(R4592&lt;=10,"6-10","11+")))</f>
        <v/>
      </c>
    </row>
    <row r="4593">
      <c r="A4593" s="39" t="n">
        <v>46226.12575231482</v>
      </c>
      <c r="B4593" s="25">
        <f>TEXT(A4593,"YYYY-MM")</f>
        <v/>
      </c>
      <c r="C4593" s="25">
        <f>TEXT(A4593,"MMM-YYYY")</f>
        <v/>
      </c>
      <c r="D4593" s="40">
        <f>INT(A4593)-WEEKDAY(A4593,2)+1</f>
        <v/>
      </c>
      <c r="E4593" s="25" t="inlineStr">
        <is>
          <t>tkarmakar</t>
        </is>
      </c>
      <c r="F4593" s="25" t="n">
        <v>128822</v>
      </c>
      <c r="G4593" s="25" t="n">
        <v>1</v>
      </c>
      <c r="H4593" s="25" t="n">
        <v>5</v>
      </c>
      <c r="I4593" s="25" t="inlineStr">
        <is>
          <t>31 second(s)</t>
        </is>
      </c>
      <c r="J4593" s="25">
        <f>IFERROR(VALUE(TRIM(LEFT(I4593,FIND("minute",I4593)-1)))*60,0)+IFERROR(VALUE(SUBSTITUTE(MID(I4593,IFERROR(FIND("and",I4593)+3,1),20),"second(s)","")),0)</f>
        <v/>
      </c>
      <c r="K4593" s="41">
        <f>J4593/60</f>
        <v/>
      </c>
      <c r="L4593" s="41">
        <f>IFERROR(J4593/H4593,"")</f>
        <v/>
      </c>
      <c r="M4593" s="25" t="inlineStr">
        <is>
          <t>2.5.12</t>
        </is>
      </c>
      <c r="N4593" s="25">
        <f>IF(J4593&gt;300,1,0)</f>
        <v/>
      </c>
      <c r="O4593" s="25">
        <f>IF(J4593&gt;600,1,0)</f>
        <v/>
      </c>
      <c r="P4593" s="25">
        <f>IF(H4593&gt;0,J4593,"")</f>
        <v/>
      </c>
      <c r="Q4593" s="25">
        <f>TEXT(A4593,"YYYY-MM-DD HH")</f>
        <v/>
      </c>
      <c r="R4593" s="25">
        <f>COUNTIF($Q$2:$Q$5295,Q4593)</f>
        <v/>
      </c>
      <c r="S4593" s="25">
        <f>IF(R4593&lt;=2,"1-2",IF(R4593&lt;=5,"3-5",IF(R4593&lt;=10,"6-10","11+")))</f>
        <v/>
      </c>
    </row>
    <row r="4594">
      <c r="A4594" s="39" t="n">
        <v>46226.12631944445</v>
      </c>
      <c r="B4594" s="25">
        <f>TEXT(A4594,"YYYY-MM")</f>
        <v/>
      </c>
      <c r="C4594" s="25">
        <f>TEXT(A4594,"MMM-YYYY")</f>
        <v/>
      </c>
      <c r="D4594" s="40">
        <f>INT(A4594)-WEEKDAY(A4594,2)+1</f>
        <v/>
      </c>
      <c r="E4594" s="25" t="inlineStr">
        <is>
          <t>sswati</t>
        </is>
      </c>
      <c r="F4594" s="25" t="n">
        <v>130781</v>
      </c>
      <c r="G4594" s="25" t="n">
        <v>4</v>
      </c>
      <c r="H4594" s="25" t="n">
        <v>22</v>
      </c>
      <c r="I4594" s="25" t="inlineStr">
        <is>
          <t>2 minute(s) and 11 second(s)</t>
        </is>
      </c>
      <c r="J4594" s="25">
        <f>IFERROR(VALUE(TRIM(LEFT(I4594,FIND("minute",I4594)-1)))*60,0)+IFERROR(VALUE(SUBSTITUTE(MID(I4594,IFERROR(FIND("and",I4594)+3,1),20),"second(s)","")),0)</f>
        <v/>
      </c>
      <c r="K4594" s="41">
        <f>J4594/60</f>
        <v/>
      </c>
      <c r="L4594" s="41">
        <f>IFERROR(J4594/H4594,"")</f>
        <v/>
      </c>
      <c r="M4594" s="25" t="inlineStr">
        <is>
          <t>2.5.12</t>
        </is>
      </c>
      <c r="N4594" s="25">
        <f>IF(J4594&gt;300,1,0)</f>
        <v/>
      </c>
      <c r="O4594" s="25">
        <f>IF(J4594&gt;600,1,0)</f>
        <v/>
      </c>
      <c r="P4594" s="25">
        <f>IF(H4594&gt;0,J4594,"")</f>
        <v/>
      </c>
      <c r="Q4594" s="25">
        <f>TEXT(A4594,"YYYY-MM-DD HH")</f>
        <v/>
      </c>
      <c r="R4594" s="25">
        <f>COUNTIF($Q$2:$Q$5295,Q4594)</f>
        <v/>
      </c>
      <c r="S4594" s="25">
        <f>IF(R4594&lt;=2,"1-2",IF(R4594&lt;=5,"3-5",IF(R4594&lt;=10,"6-10","11+")))</f>
        <v/>
      </c>
    </row>
    <row r="4595">
      <c r="A4595" s="39" t="n">
        <v>46226.12715277778</v>
      </c>
      <c r="B4595" s="25">
        <f>TEXT(A4595,"YYYY-MM")</f>
        <v/>
      </c>
      <c r="C4595" s="25">
        <f>TEXT(A4595,"MMM-YYYY")</f>
        <v/>
      </c>
      <c r="D4595" s="40">
        <f>INT(A4595)-WEEKDAY(A4595,2)+1</f>
        <v/>
      </c>
      <c r="E4595" s="25" t="inlineStr">
        <is>
          <t>asahoo</t>
        </is>
      </c>
      <c r="F4595" s="25" t="n">
        <v>132263</v>
      </c>
      <c r="G4595" s="25" t="n">
        <v>1</v>
      </c>
      <c r="H4595" s="25" t="n">
        <v>5</v>
      </c>
      <c r="I4595" s="25" t="inlineStr">
        <is>
          <t>1 minute(s) and 27 second(s)</t>
        </is>
      </c>
      <c r="J4595" s="25">
        <f>IFERROR(VALUE(TRIM(LEFT(I4595,FIND("minute",I4595)-1)))*60,0)+IFERROR(VALUE(SUBSTITUTE(MID(I4595,IFERROR(FIND("and",I4595)+3,1),20),"second(s)","")),0)</f>
        <v/>
      </c>
      <c r="K4595" s="41">
        <f>J4595/60</f>
        <v/>
      </c>
      <c r="L4595" s="41">
        <f>IFERROR(J4595/H4595,"")</f>
        <v/>
      </c>
      <c r="M4595" s="25" t="inlineStr">
        <is>
          <t>2.5.12</t>
        </is>
      </c>
      <c r="N4595" s="25">
        <f>IF(J4595&gt;300,1,0)</f>
        <v/>
      </c>
      <c r="O4595" s="25">
        <f>IF(J4595&gt;600,1,0)</f>
        <v/>
      </c>
      <c r="P4595" s="25">
        <f>IF(H4595&gt;0,J4595,"")</f>
        <v/>
      </c>
      <c r="Q4595" s="25">
        <f>TEXT(A4595,"YYYY-MM-DD HH")</f>
        <v/>
      </c>
      <c r="R4595" s="25">
        <f>COUNTIF($Q$2:$Q$5295,Q4595)</f>
        <v/>
      </c>
      <c r="S4595" s="25">
        <f>IF(R4595&lt;=2,"1-2",IF(R4595&lt;=5,"3-5",IF(R4595&lt;=10,"6-10","11+")))</f>
        <v/>
      </c>
    </row>
    <row r="4596">
      <c r="A4596" s="39" t="n">
        <v>46226.1296875</v>
      </c>
      <c r="B4596" s="25">
        <f>TEXT(A4596,"YYYY-MM")</f>
        <v/>
      </c>
      <c r="C4596" s="25">
        <f>TEXT(A4596,"MMM-YYYY")</f>
        <v/>
      </c>
      <c r="D4596" s="40">
        <f>INT(A4596)-WEEKDAY(A4596,2)+1</f>
        <v/>
      </c>
      <c r="E4596" s="25" t="inlineStr">
        <is>
          <t>ns</t>
        </is>
      </c>
      <c r="F4596" s="25" t="n">
        <v>130951</v>
      </c>
      <c r="G4596" s="25" t="n">
        <v>4</v>
      </c>
      <c r="H4596" s="25" t="n">
        <v>20</v>
      </c>
      <c r="I4596" s="25" t="inlineStr">
        <is>
          <t>2 minute(s) and 58 second(s)</t>
        </is>
      </c>
      <c r="J4596" s="25">
        <f>IFERROR(VALUE(TRIM(LEFT(I4596,FIND("minute",I4596)-1)))*60,0)+IFERROR(VALUE(SUBSTITUTE(MID(I4596,IFERROR(FIND("and",I4596)+3,1),20),"second(s)","")),0)</f>
        <v/>
      </c>
      <c r="K4596" s="41">
        <f>J4596/60</f>
        <v/>
      </c>
      <c r="L4596" s="41">
        <f>IFERROR(J4596/H4596,"")</f>
        <v/>
      </c>
      <c r="M4596" s="25" t="inlineStr">
        <is>
          <t>2.5.12</t>
        </is>
      </c>
      <c r="N4596" s="25">
        <f>IF(J4596&gt;300,1,0)</f>
        <v/>
      </c>
      <c r="O4596" s="25">
        <f>IF(J4596&gt;600,1,0)</f>
        <v/>
      </c>
      <c r="P4596" s="25">
        <f>IF(H4596&gt;0,J4596,"")</f>
        <v/>
      </c>
      <c r="Q4596" s="25">
        <f>TEXT(A4596,"YYYY-MM-DD HH")</f>
        <v/>
      </c>
      <c r="R4596" s="25">
        <f>COUNTIF($Q$2:$Q$5295,Q4596)</f>
        <v/>
      </c>
      <c r="S4596" s="25">
        <f>IF(R4596&lt;=2,"1-2",IF(R4596&lt;=5,"3-5",IF(R4596&lt;=10,"6-10","11+")))</f>
        <v/>
      </c>
    </row>
    <row r="4597">
      <c r="A4597" s="39" t="n">
        <v>46226.13921296296</v>
      </c>
      <c r="B4597" s="25">
        <f>TEXT(A4597,"YYYY-MM")</f>
        <v/>
      </c>
      <c r="C4597" s="25">
        <f>TEXT(A4597,"MMM-YYYY")</f>
        <v/>
      </c>
      <c r="D4597" s="40">
        <f>INT(A4597)-WEEKDAY(A4597,2)+1</f>
        <v/>
      </c>
      <c r="E4597" s="25" t="inlineStr">
        <is>
          <t>sthomas</t>
        </is>
      </c>
      <c r="F4597" s="25" t="n">
        <v>131972</v>
      </c>
      <c r="G4597" s="25" t="n">
        <v>5</v>
      </c>
      <c r="H4597" s="25" t="n">
        <v>30</v>
      </c>
      <c r="I4597" s="25" t="inlineStr">
        <is>
          <t>3 minute(s) and 57 second(s)</t>
        </is>
      </c>
      <c r="J4597" s="25">
        <f>IFERROR(VALUE(TRIM(LEFT(I4597,FIND("minute",I4597)-1)))*60,0)+IFERROR(VALUE(SUBSTITUTE(MID(I4597,IFERROR(FIND("and",I4597)+3,1),20),"second(s)","")),0)</f>
        <v/>
      </c>
      <c r="K4597" s="41">
        <f>J4597/60</f>
        <v/>
      </c>
      <c r="L4597" s="41">
        <f>IFERROR(J4597/H4597,"")</f>
        <v/>
      </c>
      <c r="M4597" s="25" t="inlineStr">
        <is>
          <t>2.5.12</t>
        </is>
      </c>
      <c r="N4597" s="25">
        <f>IF(J4597&gt;300,1,0)</f>
        <v/>
      </c>
      <c r="O4597" s="25">
        <f>IF(J4597&gt;600,1,0)</f>
        <v/>
      </c>
      <c r="P4597" s="25">
        <f>IF(H4597&gt;0,J4597,"")</f>
        <v/>
      </c>
      <c r="Q4597" s="25">
        <f>TEXT(A4597,"YYYY-MM-DD HH")</f>
        <v/>
      </c>
      <c r="R4597" s="25">
        <f>COUNTIF($Q$2:$Q$5295,Q4597)</f>
        <v/>
      </c>
      <c r="S4597" s="25">
        <f>IF(R4597&lt;=2,"1-2",IF(R4597&lt;=5,"3-5",IF(R4597&lt;=10,"6-10","11+")))</f>
        <v/>
      </c>
    </row>
    <row r="4598">
      <c r="A4598" s="39" t="n">
        <v>46226.14440972222</v>
      </c>
      <c r="B4598" s="25">
        <f>TEXT(A4598,"YYYY-MM")</f>
        <v/>
      </c>
      <c r="C4598" s="25">
        <f>TEXT(A4598,"MMM-YYYY")</f>
        <v/>
      </c>
      <c r="D4598" s="40">
        <f>INT(A4598)-WEEKDAY(A4598,2)+1</f>
        <v/>
      </c>
      <c r="E4598" s="25" t="inlineStr">
        <is>
          <t>mgupta</t>
        </is>
      </c>
      <c r="F4598" s="25" t="n">
        <v>131264</v>
      </c>
      <c r="G4598" s="25" t="n">
        <v>4</v>
      </c>
      <c r="H4598" s="25" t="n">
        <v>20</v>
      </c>
      <c r="I4598" s="25" t="inlineStr">
        <is>
          <t>2 minute(s) and 17 second(s)</t>
        </is>
      </c>
      <c r="J4598" s="25">
        <f>IFERROR(VALUE(TRIM(LEFT(I4598,FIND("minute",I4598)-1)))*60,0)+IFERROR(VALUE(SUBSTITUTE(MID(I4598,IFERROR(FIND("and",I4598)+3,1),20),"second(s)","")),0)</f>
        <v/>
      </c>
      <c r="K4598" s="41">
        <f>J4598/60</f>
        <v/>
      </c>
      <c r="L4598" s="41">
        <f>IFERROR(J4598/H4598,"")</f>
        <v/>
      </c>
      <c r="M4598" s="25" t="inlineStr">
        <is>
          <t>2.5.12</t>
        </is>
      </c>
      <c r="N4598" s="25">
        <f>IF(J4598&gt;300,1,0)</f>
        <v/>
      </c>
      <c r="O4598" s="25">
        <f>IF(J4598&gt;600,1,0)</f>
        <v/>
      </c>
      <c r="P4598" s="25">
        <f>IF(H4598&gt;0,J4598,"")</f>
        <v/>
      </c>
      <c r="Q4598" s="25">
        <f>TEXT(A4598,"YYYY-MM-DD HH")</f>
        <v/>
      </c>
      <c r="R4598" s="25">
        <f>COUNTIF($Q$2:$Q$5295,Q4598)</f>
        <v/>
      </c>
      <c r="S4598" s="25">
        <f>IF(R4598&lt;=2,"1-2",IF(R4598&lt;=5,"3-5",IF(R4598&lt;=10,"6-10","11+")))</f>
        <v/>
      </c>
    </row>
    <row r="4599">
      <c r="A4599" s="39" t="n">
        <v>46226.14493055556</v>
      </c>
      <c r="B4599" s="25">
        <f>TEXT(A4599,"YYYY-MM")</f>
        <v/>
      </c>
      <c r="C4599" s="25">
        <f>TEXT(A4599,"MMM-YYYY")</f>
        <v/>
      </c>
      <c r="D4599" s="40">
        <f>INT(A4599)-WEEKDAY(A4599,2)+1</f>
        <v/>
      </c>
      <c r="E4599" s="25" t="inlineStr">
        <is>
          <t>bverma</t>
        </is>
      </c>
      <c r="F4599" s="25" t="n">
        <v>131767</v>
      </c>
      <c r="G4599" s="25" t="n">
        <v>1</v>
      </c>
      <c r="H4599" s="25" t="n">
        <v>7</v>
      </c>
      <c r="I4599" s="25" t="inlineStr">
        <is>
          <t>57 second(s)</t>
        </is>
      </c>
      <c r="J4599" s="25">
        <f>IFERROR(VALUE(TRIM(LEFT(I4599,FIND("minute",I4599)-1)))*60,0)+IFERROR(VALUE(SUBSTITUTE(MID(I4599,IFERROR(FIND("and",I4599)+3,1),20),"second(s)","")),0)</f>
        <v/>
      </c>
      <c r="K4599" s="41">
        <f>J4599/60</f>
        <v/>
      </c>
      <c r="L4599" s="41">
        <f>IFERROR(J4599/H4599,"")</f>
        <v/>
      </c>
      <c r="M4599" s="25" t="inlineStr">
        <is>
          <t>2.5.12</t>
        </is>
      </c>
      <c r="N4599" s="25">
        <f>IF(J4599&gt;300,1,0)</f>
        <v/>
      </c>
      <c r="O4599" s="25">
        <f>IF(J4599&gt;600,1,0)</f>
        <v/>
      </c>
      <c r="P4599" s="25">
        <f>IF(H4599&gt;0,J4599,"")</f>
        <v/>
      </c>
      <c r="Q4599" s="25">
        <f>TEXT(A4599,"YYYY-MM-DD HH")</f>
        <v/>
      </c>
      <c r="R4599" s="25">
        <f>COUNTIF($Q$2:$Q$5295,Q4599)</f>
        <v/>
      </c>
      <c r="S4599" s="25">
        <f>IF(R4599&lt;=2,"1-2",IF(R4599&lt;=5,"3-5",IF(R4599&lt;=10,"6-10","11+")))</f>
        <v/>
      </c>
    </row>
    <row r="4600">
      <c r="A4600" s="39" t="n">
        <v>46226.14732638889</v>
      </c>
      <c r="B4600" s="25">
        <f>TEXT(A4600,"YYYY-MM")</f>
        <v/>
      </c>
      <c r="C4600" s="25">
        <f>TEXT(A4600,"MMM-YYYY")</f>
        <v/>
      </c>
      <c r="D4600" s="40">
        <f>INT(A4600)-WEEKDAY(A4600,2)+1</f>
        <v/>
      </c>
      <c r="E4600" s="25" t="inlineStr">
        <is>
          <t>sasharma</t>
        </is>
      </c>
      <c r="F4600" s="25" t="n">
        <v>132928</v>
      </c>
      <c r="G4600" s="25" t="n">
        <v>1</v>
      </c>
      <c r="H4600" s="25" t="n">
        <v>5</v>
      </c>
      <c r="I4600" s="25" t="inlineStr">
        <is>
          <t>31 second(s)</t>
        </is>
      </c>
      <c r="J4600" s="25">
        <f>IFERROR(VALUE(TRIM(LEFT(I4600,FIND("minute",I4600)-1)))*60,0)+IFERROR(VALUE(SUBSTITUTE(MID(I4600,IFERROR(FIND("and",I4600)+3,1),20),"second(s)","")),0)</f>
        <v/>
      </c>
      <c r="K4600" s="41">
        <f>J4600/60</f>
        <v/>
      </c>
      <c r="L4600" s="41">
        <f>IFERROR(J4600/H4600,"")</f>
        <v/>
      </c>
      <c r="M4600" s="25" t="inlineStr">
        <is>
          <t>2.5.12</t>
        </is>
      </c>
      <c r="N4600" s="25">
        <f>IF(J4600&gt;300,1,0)</f>
        <v/>
      </c>
      <c r="O4600" s="25">
        <f>IF(J4600&gt;600,1,0)</f>
        <v/>
      </c>
      <c r="P4600" s="25">
        <f>IF(H4600&gt;0,J4600,"")</f>
        <v/>
      </c>
      <c r="Q4600" s="25">
        <f>TEXT(A4600,"YYYY-MM-DD HH")</f>
        <v/>
      </c>
      <c r="R4600" s="25">
        <f>COUNTIF($Q$2:$Q$5295,Q4600)</f>
        <v/>
      </c>
      <c r="S4600" s="25">
        <f>IF(R4600&lt;=2,"1-2",IF(R4600&lt;=5,"3-5",IF(R4600&lt;=10,"6-10","11+")))</f>
        <v/>
      </c>
    </row>
    <row r="4601">
      <c r="A4601" s="39" t="n">
        <v>46226.14863425926</v>
      </c>
      <c r="B4601" s="25">
        <f>TEXT(A4601,"YYYY-MM")</f>
        <v/>
      </c>
      <c r="C4601" s="25">
        <f>TEXT(A4601,"MMM-YYYY")</f>
        <v/>
      </c>
      <c r="D4601" s="40">
        <f>INT(A4601)-WEEKDAY(A4601,2)+1</f>
        <v/>
      </c>
      <c r="E4601" s="25" t="inlineStr">
        <is>
          <t>aghosh</t>
        </is>
      </c>
      <c r="F4601" s="25" t="n">
        <v>128747</v>
      </c>
      <c r="G4601" s="25" t="n">
        <v>2</v>
      </c>
      <c r="H4601" s="25" t="n">
        <v>6</v>
      </c>
      <c r="I4601" s="25" t="inlineStr">
        <is>
          <t>37 second(s)</t>
        </is>
      </c>
      <c r="J4601" s="25">
        <f>IFERROR(VALUE(TRIM(LEFT(I4601,FIND("minute",I4601)-1)))*60,0)+IFERROR(VALUE(SUBSTITUTE(MID(I4601,IFERROR(FIND("and",I4601)+3,1),20),"second(s)","")),0)</f>
        <v/>
      </c>
      <c r="K4601" s="41">
        <f>J4601/60</f>
        <v/>
      </c>
      <c r="L4601" s="41">
        <f>IFERROR(J4601/H4601,"")</f>
        <v/>
      </c>
      <c r="M4601" s="25" t="inlineStr">
        <is>
          <t>2.5.12</t>
        </is>
      </c>
      <c r="N4601" s="25">
        <f>IF(J4601&gt;300,1,0)</f>
        <v/>
      </c>
      <c r="O4601" s="25">
        <f>IF(J4601&gt;600,1,0)</f>
        <v/>
      </c>
      <c r="P4601" s="25">
        <f>IF(H4601&gt;0,J4601,"")</f>
        <v/>
      </c>
      <c r="Q4601" s="25">
        <f>TEXT(A4601,"YYYY-MM-DD HH")</f>
        <v/>
      </c>
      <c r="R4601" s="25">
        <f>COUNTIF($Q$2:$Q$5295,Q4601)</f>
        <v/>
      </c>
      <c r="S4601" s="25">
        <f>IF(R4601&lt;=2,"1-2",IF(R4601&lt;=5,"3-5",IF(R4601&lt;=10,"6-10","11+")))</f>
        <v/>
      </c>
    </row>
    <row r="4602">
      <c r="A4602" s="39" t="n">
        <v>46226.14943287037</v>
      </c>
      <c r="B4602" s="25">
        <f>TEXT(A4602,"YYYY-MM")</f>
        <v/>
      </c>
      <c r="C4602" s="25">
        <f>TEXT(A4602,"MMM-YYYY")</f>
        <v/>
      </c>
      <c r="D4602" s="40">
        <f>INT(A4602)-WEEKDAY(A4602,2)+1</f>
        <v/>
      </c>
      <c r="E4602" s="25" t="inlineStr">
        <is>
          <t>npriya</t>
        </is>
      </c>
      <c r="F4602" s="25" t="n">
        <v>131127</v>
      </c>
      <c r="G4602" s="25" t="n">
        <v>1</v>
      </c>
      <c r="H4602" s="25" t="n">
        <v>5</v>
      </c>
      <c r="I4602" s="25" t="inlineStr">
        <is>
          <t>28 second(s)</t>
        </is>
      </c>
      <c r="J4602" s="25">
        <f>IFERROR(VALUE(TRIM(LEFT(I4602,FIND("minute",I4602)-1)))*60,0)+IFERROR(VALUE(SUBSTITUTE(MID(I4602,IFERROR(FIND("and",I4602)+3,1),20),"second(s)","")),0)</f>
        <v/>
      </c>
      <c r="K4602" s="41">
        <f>J4602/60</f>
        <v/>
      </c>
      <c r="L4602" s="41">
        <f>IFERROR(J4602/H4602,"")</f>
        <v/>
      </c>
      <c r="M4602" s="25" t="inlineStr">
        <is>
          <t>2.5.12</t>
        </is>
      </c>
      <c r="N4602" s="25">
        <f>IF(J4602&gt;300,1,0)</f>
        <v/>
      </c>
      <c r="O4602" s="25">
        <f>IF(J4602&gt;600,1,0)</f>
        <v/>
      </c>
      <c r="P4602" s="25">
        <f>IF(H4602&gt;0,J4602,"")</f>
        <v/>
      </c>
      <c r="Q4602" s="25">
        <f>TEXT(A4602,"YYYY-MM-DD HH")</f>
        <v/>
      </c>
      <c r="R4602" s="25">
        <f>COUNTIF($Q$2:$Q$5295,Q4602)</f>
        <v/>
      </c>
      <c r="S4602" s="25">
        <f>IF(R4602&lt;=2,"1-2",IF(R4602&lt;=5,"3-5",IF(R4602&lt;=10,"6-10","11+")))</f>
        <v/>
      </c>
    </row>
    <row r="4603">
      <c r="A4603" s="39" t="n">
        <v>46226.16112268518</v>
      </c>
      <c r="B4603" s="25">
        <f>TEXT(A4603,"YYYY-MM")</f>
        <v/>
      </c>
      <c r="C4603" s="25">
        <f>TEXT(A4603,"MMM-YYYY")</f>
        <v/>
      </c>
      <c r="D4603" s="40">
        <f>INT(A4603)-WEEKDAY(A4603,2)+1</f>
        <v/>
      </c>
      <c r="E4603" s="25" t="inlineStr">
        <is>
          <t>tkarmakar</t>
        </is>
      </c>
      <c r="F4603" s="25" t="n">
        <v>128830</v>
      </c>
      <c r="G4603" s="25" t="n">
        <v>1</v>
      </c>
      <c r="H4603" s="25" t="n">
        <v>5</v>
      </c>
      <c r="I4603" s="25" t="inlineStr">
        <is>
          <t>27 second(s)</t>
        </is>
      </c>
      <c r="J4603" s="25">
        <f>IFERROR(VALUE(TRIM(LEFT(I4603,FIND("minute",I4603)-1)))*60,0)+IFERROR(VALUE(SUBSTITUTE(MID(I4603,IFERROR(FIND("and",I4603)+3,1),20),"second(s)","")),0)</f>
        <v/>
      </c>
      <c r="K4603" s="41">
        <f>J4603/60</f>
        <v/>
      </c>
      <c r="L4603" s="41">
        <f>IFERROR(J4603/H4603,"")</f>
        <v/>
      </c>
      <c r="M4603" s="25" t="inlineStr">
        <is>
          <t>2.5.12</t>
        </is>
      </c>
      <c r="N4603" s="25">
        <f>IF(J4603&gt;300,1,0)</f>
        <v/>
      </c>
      <c r="O4603" s="25">
        <f>IF(J4603&gt;600,1,0)</f>
        <v/>
      </c>
      <c r="P4603" s="25">
        <f>IF(H4603&gt;0,J4603,"")</f>
        <v/>
      </c>
      <c r="Q4603" s="25">
        <f>TEXT(A4603,"YYYY-MM-DD HH")</f>
        <v/>
      </c>
      <c r="R4603" s="25">
        <f>COUNTIF($Q$2:$Q$5295,Q4603)</f>
        <v/>
      </c>
      <c r="S4603" s="25">
        <f>IF(R4603&lt;=2,"1-2",IF(R4603&lt;=5,"3-5",IF(R4603&lt;=10,"6-10","11+")))</f>
        <v/>
      </c>
    </row>
    <row r="4604">
      <c r="A4604" s="39" t="n">
        <v>46226.16390046296</v>
      </c>
      <c r="B4604" s="25">
        <f>TEXT(A4604,"YYYY-MM")</f>
        <v/>
      </c>
      <c r="C4604" s="25">
        <f>TEXT(A4604,"MMM-YYYY")</f>
        <v/>
      </c>
      <c r="D4604" s="40">
        <f>INT(A4604)-WEEKDAY(A4604,2)+1</f>
        <v/>
      </c>
      <c r="E4604" s="25" t="inlineStr">
        <is>
          <t>atiwari</t>
        </is>
      </c>
      <c r="F4604" s="25" t="n">
        <v>128343</v>
      </c>
      <c r="G4604" s="25" t="n">
        <v>4</v>
      </c>
      <c r="H4604" s="25" t="n">
        <v>20</v>
      </c>
      <c r="I4604" s="25" t="inlineStr">
        <is>
          <t>2 minute(s) and 50 second(s)</t>
        </is>
      </c>
      <c r="J4604" s="25">
        <f>IFERROR(VALUE(TRIM(LEFT(I4604,FIND("minute",I4604)-1)))*60,0)+IFERROR(VALUE(SUBSTITUTE(MID(I4604,IFERROR(FIND("and",I4604)+3,1),20),"second(s)","")),0)</f>
        <v/>
      </c>
      <c r="K4604" s="41">
        <f>J4604/60</f>
        <v/>
      </c>
      <c r="L4604" s="41">
        <f>IFERROR(J4604/H4604,"")</f>
        <v/>
      </c>
      <c r="M4604" s="25" t="inlineStr">
        <is>
          <t>2.5.12</t>
        </is>
      </c>
      <c r="N4604" s="25">
        <f>IF(J4604&gt;300,1,0)</f>
        <v/>
      </c>
      <c r="O4604" s="25">
        <f>IF(J4604&gt;600,1,0)</f>
        <v/>
      </c>
      <c r="P4604" s="25">
        <f>IF(H4604&gt;0,J4604,"")</f>
        <v/>
      </c>
      <c r="Q4604" s="25">
        <f>TEXT(A4604,"YYYY-MM-DD HH")</f>
        <v/>
      </c>
      <c r="R4604" s="25">
        <f>COUNTIF($Q$2:$Q$5295,Q4604)</f>
        <v/>
      </c>
      <c r="S4604" s="25">
        <f>IF(R4604&lt;=2,"1-2",IF(R4604&lt;=5,"3-5",IF(R4604&lt;=10,"6-10","11+")))</f>
        <v/>
      </c>
    </row>
    <row r="4605">
      <c r="A4605" s="39" t="n">
        <v>46226.17115740741</v>
      </c>
      <c r="B4605" s="25">
        <f>TEXT(A4605,"YYYY-MM")</f>
        <v/>
      </c>
      <c r="C4605" s="25">
        <f>TEXT(A4605,"MMM-YYYY")</f>
        <v/>
      </c>
      <c r="D4605" s="40">
        <f>INT(A4605)-WEEKDAY(A4605,2)+1</f>
        <v/>
      </c>
      <c r="E4605" s="25" t="inlineStr">
        <is>
          <t>shassan</t>
        </is>
      </c>
      <c r="F4605" s="25" t="n">
        <v>130811</v>
      </c>
      <c r="G4605" s="25" t="n">
        <v>2</v>
      </c>
      <c r="H4605" s="25" t="n">
        <v>8</v>
      </c>
      <c r="I4605" s="25" t="inlineStr">
        <is>
          <t>52 second(s)</t>
        </is>
      </c>
      <c r="J4605" s="25">
        <f>IFERROR(VALUE(TRIM(LEFT(I4605,FIND("minute",I4605)-1)))*60,0)+IFERROR(VALUE(SUBSTITUTE(MID(I4605,IFERROR(FIND("and",I4605)+3,1),20),"second(s)","")),0)</f>
        <v/>
      </c>
      <c r="K4605" s="41">
        <f>J4605/60</f>
        <v/>
      </c>
      <c r="L4605" s="41">
        <f>IFERROR(J4605/H4605,"")</f>
        <v/>
      </c>
      <c r="M4605" s="25" t="inlineStr">
        <is>
          <t>2.5.12</t>
        </is>
      </c>
      <c r="N4605" s="25">
        <f>IF(J4605&gt;300,1,0)</f>
        <v/>
      </c>
      <c r="O4605" s="25">
        <f>IF(J4605&gt;600,1,0)</f>
        <v/>
      </c>
      <c r="P4605" s="25">
        <f>IF(H4605&gt;0,J4605,"")</f>
        <v/>
      </c>
      <c r="Q4605" s="25">
        <f>TEXT(A4605,"YYYY-MM-DD HH")</f>
        <v/>
      </c>
      <c r="R4605" s="25">
        <f>COUNTIF($Q$2:$Q$5295,Q4605)</f>
        <v/>
      </c>
      <c r="S4605" s="25">
        <f>IF(R4605&lt;=2,"1-2",IF(R4605&lt;=5,"3-5",IF(R4605&lt;=10,"6-10","11+")))</f>
        <v/>
      </c>
    </row>
    <row r="4606">
      <c r="A4606" s="39" t="n">
        <v>46226.17121527778</v>
      </c>
      <c r="B4606" s="25">
        <f>TEXT(A4606,"YYYY-MM")</f>
        <v/>
      </c>
      <c r="C4606" s="25">
        <f>TEXT(A4606,"MMM-YYYY")</f>
        <v/>
      </c>
      <c r="D4606" s="40">
        <f>INT(A4606)-WEEKDAY(A4606,2)+1</f>
        <v/>
      </c>
      <c r="E4606" s="25" t="inlineStr">
        <is>
          <t>ns</t>
        </is>
      </c>
      <c r="F4606" s="25" t="n">
        <v>130943</v>
      </c>
      <c r="G4606" s="25" t="n">
        <v>1</v>
      </c>
      <c r="H4606" s="25" t="n">
        <v>5</v>
      </c>
      <c r="I4606" s="25" t="inlineStr">
        <is>
          <t>24 second(s)</t>
        </is>
      </c>
      <c r="J4606" s="25">
        <f>IFERROR(VALUE(TRIM(LEFT(I4606,FIND("minute",I4606)-1)))*60,0)+IFERROR(VALUE(SUBSTITUTE(MID(I4606,IFERROR(FIND("and",I4606)+3,1),20),"second(s)","")),0)</f>
        <v/>
      </c>
      <c r="K4606" s="41">
        <f>J4606/60</f>
        <v/>
      </c>
      <c r="L4606" s="41">
        <f>IFERROR(J4606/H4606,"")</f>
        <v/>
      </c>
      <c r="M4606" s="25" t="inlineStr">
        <is>
          <t>2.5.12</t>
        </is>
      </c>
      <c r="N4606" s="25">
        <f>IF(J4606&gt;300,1,0)</f>
        <v/>
      </c>
      <c r="O4606" s="25">
        <f>IF(J4606&gt;600,1,0)</f>
        <v/>
      </c>
      <c r="P4606" s="25">
        <f>IF(H4606&gt;0,J4606,"")</f>
        <v/>
      </c>
      <c r="Q4606" s="25">
        <f>TEXT(A4606,"YYYY-MM-DD HH")</f>
        <v/>
      </c>
      <c r="R4606" s="25">
        <f>COUNTIF($Q$2:$Q$5295,Q4606)</f>
        <v/>
      </c>
      <c r="S4606" s="25">
        <f>IF(R4606&lt;=2,"1-2",IF(R4606&lt;=5,"3-5",IF(R4606&lt;=10,"6-10","11+")))</f>
        <v/>
      </c>
    </row>
    <row r="4607">
      <c r="A4607" s="39" t="n">
        <v>46226.17203703704</v>
      </c>
      <c r="B4607" s="25">
        <f>TEXT(A4607,"YYYY-MM")</f>
        <v/>
      </c>
      <c r="C4607" s="25">
        <f>TEXT(A4607,"MMM-YYYY")</f>
        <v/>
      </c>
      <c r="D4607" s="40">
        <f>INT(A4607)-WEEKDAY(A4607,2)+1</f>
        <v/>
      </c>
      <c r="E4607" s="25" t="inlineStr">
        <is>
          <t>ethomas</t>
        </is>
      </c>
      <c r="F4607" s="25" t="n">
        <v>131438</v>
      </c>
      <c r="G4607" s="25" t="n">
        <v>4</v>
      </c>
      <c r="H4607" s="25" t="n">
        <v>26</v>
      </c>
      <c r="I4607" s="25" t="inlineStr">
        <is>
          <t>3 minute(s) and 50 second(s)</t>
        </is>
      </c>
      <c r="J4607" s="25">
        <f>IFERROR(VALUE(TRIM(LEFT(I4607,FIND("minute",I4607)-1)))*60,0)+IFERROR(VALUE(SUBSTITUTE(MID(I4607,IFERROR(FIND("and",I4607)+3,1),20),"second(s)","")),0)</f>
        <v/>
      </c>
      <c r="K4607" s="41">
        <f>J4607/60</f>
        <v/>
      </c>
      <c r="L4607" s="41">
        <f>IFERROR(J4607/H4607,"")</f>
        <v/>
      </c>
      <c r="M4607" s="25" t="inlineStr">
        <is>
          <t>2.5.12</t>
        </is>
      </c>
      <c r="N4607" s="25">
        <f>IF(J4607&gt;300,1,0)</f>
        <v/>
      </c>
      <c r="O4607" s="25">
        <f>IF(J4607&gt;600,1,0)</f>
        <v/>
      </c>
      <c r="P4607" s="25">
        <f>IF(H4607&gt;0,J4607,"")</f>
        <v/>
      </c>
      <c r="Q4607" s="25">
        <f>TEXT(A4607,"YYYY-MM-DD HH")</f>
        <v/>
      </c>
      <c r="R4607" s="25">
        <f>COUNTIF($Q$2:$Q$5295,Q4607)</f>
        <v/>
      </c>
      <c r="S4607" s="25">
        <f>IF(R4607&lt;=2,"1-2",IF(R4607&lt;=5,"3-5",IF(R4607&lt;=10,"6-10","11+")))</f>
        <v/>
      </c>
    </row>
    <row r="4608">
      <c r="A4608" s="39" t="n">
        <v>46226.17590277778</v>
      </c>
      <c r="B4608" s="25">
        <f>TEXT(A4608,"YYYY-MM")</f>
        <v/>
      </c>
      <c r="C4608" s="25">
        <f>TEXT(A4608,"MMM-YYYY")</f>
        <v/>
      </c>
      <c r="D4608" s="40">
        <f>INT(A4608)-WEEKDAY(A4608,2)+1</f>
        <v/>
      </c>
      <c r="E4608" s="25" t="inlineStr">
        <is>
          <t>bverma</t>
        </is>
      </c>
      <c r="F4608" s="25" t="n">
        <v>131735</v>
      </c>
      <c r="G4608" s="25" t="n">
        <v>2</v>
      </c>
      <c r="H4608" s="25" t="n">
        <v>12</v>
      </c>
      <c r="I4608" s="25" t="inlineStr">
        <is>
          <t>1 minute(s) and 18 second(s)</t>
        </is>
      </c>
      <c r="J4608" s="25">
        <f>IFERROR(VALUE(TRIM(LEFT(I4608,FIND("minute",I4608)-1)))*60,0)+IFERROR(VALUE(SUBSTITUTE(MID(I4608,IFERROR(FIND("and",I4608)+3,1),20),"second(s)","")),0)</f>
        <v/>
      </c>
      <c r="K4608" s="41">
        <f>J4608/60</f>
        <v/>
      </c>
      <c r="L4608" s="41">
        <f>IFERROR(J4608/H4608,"")</f>
        <v/>
      </c>
      <c r="M4608" s="25" t="inlineStr">
        <is>
          <t>2.5.12</t>
        </is>
      </c>
      <c r="N4608" s="25">
        <f>IF(J4608&gt;300,1,0)</f>
        <v/>
      </c>
      <c r="O4608" s="25">
        <f>IF(J4608&gt;600,1,0)</f>
        <v/>
      </c>
      <c r="P4608" s="25">
        <f>IF(H4608&gt;0,J4608,"")</f>
        <v/>
      </c>
      <c r="Q4608" s="25">
        <f>TEXT(A4608,"YYYY-MM-DD HH")</f>
        <v/>
      </c>
      <c r="R4608" s="25">
        <f>COUNTIF($Q$2:$Q$5295,Q4608)</f>
        <v/>
      </c>
      <c r="S4608" s="25">
        <f>IF(R4608&lt;=2,"1-2",IF(R4608&lt;=5,"3-5",IF(R4608&lt;=10,"6-10","11+")))</f>
        <v/>
      </c>
    </row>
    <row r="4609">
      <c r="A4609" s="39" t="n">
        <v>46226.19975694444</v>
      </c>
      <c r="B4609" s="25">
        <f>TEXT(A4609,"YYYY-MM")</f>
        <v/>
      </c>
      <c r="C4609" s="25">
        <f>TEXT(A4609,"MMM-YYYY")</f>
        <v/>
      </c>
      <c r="D4609" s="40">
        <f>INT(A4609)-WEEKDAY(A4609,2)+1</f>
        <v/>
      </c>
      <c r="E4609" s="25" t="inlineStr">
        <is>
          <t>asahoo</t>
        </is>
      </c>
      <c r="F4609" s="25" t="n">
        <v>128559</v>
      </c>
      <c r="G4609" s="25" t="n">
        <v>4</v>
      </c>
      <c r="H4609" s="25" t="n">
        <v>20</v>
      </c>
      <c r="I4609" s="25" t="inlineStr">
        <is>
          <t>3 minute(s) and 38 second(s)</t>
        </is>
      </c>
      <c r="J4609" s="25">
        <f>IFERROR(VALUE(TRIM(LEFT(I4609,FIND("minute",I4609)-1)))*60,0)+IFERROR(VALUE(SUBSTITUTE(MID(I4609,IFERROR(FIND("and",I4609)+3,1),20),"second(s)","")),0)</f>
        <v/>
      </c>
      <c r="K4609" s="41">
        <f>J4609/60</f>
        <v/>
      </c>
      <c r="L4609" s="41">
        <f>IFERROR(J4609/H4609,"")</f>
        <v/>
      </c>
      <c r="M4609" s="25" t="inlineStr">
        <is>
          <t>2.5.12</t>
        </is>
      </c>
      <c r="N4609" s="25">
        <f>IF(J4609&gt;300,1,0)</f>
        <v/>
      </c>
      <c r="O4609" s="25">
        <f>IF(J4609&gt;600,1,0)</f>
        <v/>
      </c>
      <c r="P4609" s="25">
        <f>IF(H4609&gt;0,J4609,"")</f>
        <v/>
      </c>
      <c r="Q4609" s="25">
        <f>TEXT(A4609,"YYYY-MM-DD HH")</f>
        <v/>
      </c>
      <c r="R4609" s="25">
        <f>COUNTIF($Q$2:$Q$5295,Q4609)</f>
        <v/>
      </c>
      <c r="S4609" s="25">
        <f>IF(R4609&lt;=2,"1-2",IF(R4609&lt;=5,"3-5",IF(R4609&lt;=10,"6-10","11+")))</f>
        <v/>
      </c>
    </row>
    <row r="4610">
      <c r="A4610" s="39" t="n">
        <v>46226.20563657407</v>
      </c>
      <c r="B4610" s="25">
        <f>TEXT(A4610,"YYYY-MM")</f>
        <v/>
      </c>
      <c r="C4610" s="25">
        <f>TEXT(A4610,"MMM-YYYY")</f>
        <v/>
      </c>
      <c r="D4610" s="40">
        <f>INT(A4610)-WEEKDAY(A4610,2)+1</f>
        <v/>
      </c>
      <c r="E4610" s="25" t="inlineStr">
        <is>
          <t>atiwari</t>
        </is>
      </c>
      <c r="F4610" s="25" t="n">
        <v>128335</v>
      </c>
      <c r="G4610" s="25" t="n">
        <v>3</v>
      </c>
      <c r="H4610" s="25" t="n">
        <v>20</v>
      </c>
      <c r="I4610" s="25" t="inlineStr">
        <is>
          <t>2 minute(s) and 0 second(s)</t>
        </is>
      </c>
      <c r="J4610" s="25">
        <f>IFERROR(VALUE(TRIM(LEFT(I4610,FIND("minute",I4610)-1)))*60,0)+IFERROR(VALUE(SUBSTITUTE(MID(I4610,IFERROR(FIND("and",I4610)+3,1),20),"second(s)","")),0)</f>
        <v/>
      </c>
      <c r="K4610" s="41">
        <f>J4610/60</f>
        <v/>
      </c>
      <c r="L4610" s="41">
        <f>IFERROR(J4610/H4610,"")</f>
        <v/>
      </c>
      <c r="M4610" s="25" t="inlineStr">
        <is>
          <t>2.5.12</t>
        </is>
      </c>
      <c r="N4610" s="25">
        <f>IF(J4610&gt;300,1,0)</f>
        <v/>
      </c>
      <c r="O4610" s="25">
        <f>IF(J4610&gt;600,1,0)</f>
        <v/>
      </c>
      <c r="P4610" s="25">
        <f>IF(H4610&gt;0,J4610,"")</f>
        <v/>
      </c>
      <c r="Q4610" s="25">
        <f>TEXT(A4610,"YYYY-MM-DD HH")</f>
        <v/>
      </c>
      <c r="R4610" s="25">
        <f>COUNTIF($Q$2:$Q$5295,Q4610)</f>
        <v/>
      </c>
      <c r="S4610" s="25">
        <f>IF(R4610&lt;=2,"1-2",IF(R4610&lt;=5,"3-5",IF(R4610&lt;=10,"6-10","11+")))</f>
        <v/>
      </c>
    </row>
    <row r="4611">
      <c r="A4611" s="39" t="n">
        <v>46226.21064814815</v>
      </c>
      <c r="B4611" s="25">
        <f>TEXT(A4611,"YYYY-MM")</f>
        <v/>
      </c>
      <c r="C4611" s="25">
        <f>TEXT(A4611,"MMM-YYYY")</f>
        <v/>
      </c>
      <c r="D4611" s="40">
        <f>INT(A4611)-WEEKDAY(A4611,2)+1</f>
        <v/>
      </c>
      <c r="E4611" s="25" t="inlineStr">
        <is>
          <t>ssrinivasan</t>
        </is>
      </c>
      <c r="F4611" s="25" t="n">
        <v>129775</v>
      </c>
      <c r="G4611" s="25" t="n">
        <v>4</v>
      </c>
      <c r="H4611" s="25" t="n">
        <v>16</v>
      </c>
      <c r="I4611" s="25" t="inlineStr">
        <is>
          <t>2 minute(s) and 27 second(s)</t>
        </is>
      </c>
      <c r="J4611" s="25">
        <f>IFERROR(VALUE(TRIM(LEFT(I4611,FIND("minute",I4611)-1)))*60,0)+IFERROR(VALUE(SUBSTITUTE(MID(I4611,IFERROR(FIND("and",I4611)+3,1),20),"second(s)","")),0)</f>
        <v/>
      </c>
      <c r="K4611" s="41">
        <f>J4611/60</f>
        <v/>
      </c>
      <c r="L4611" s="41">
        <f>IFERROR(J4611/H4611,"")</f>
        <v/>
      </c>
      <c r="M4611" s="25" t="inlineStr">
        <is>
          <t>2.5.12</t>
        </is>
      </c>
      <c r="N4611" s="25">
        <f>IF(J4611&gt;300,1,0)</f>
        <v/>
      </c>
      <c r="O4611" s="25">
        <f>IF(J4611&gt;600,1,0)</f>
        <v/>
      </c>
      <c r="P4611" s="25">
        <f>IF(H4611&gt;0,J4611,"")</f>
        <v/>
      </c>
      <c r="Q4611" s="25">
        <f>TEXT(A4611,"YYYY-MM-DD HH")</f>
        <v/>
      </c>
      <c r="R4611" s="25">
        <f>COUNTIF($Q$2:$Q$5295,Q4611)</f>
        <v/>
      </c>
      <c r="S4611" s="25">
        <f>IF(R4611&lt;=2,"1-2",IF(R4611&lt;=5,"3-5",IF(R4611&lt;=10,"6-10","11+")))</f>
        <v/>
      </c>
    </row>
    <row r="4612">
      <c r="A4612" s="39" t="n">
        <v>46226.21201388889</v>
      </c>
      <c r="B4612" s="25">
        <f>TEXT(A4612,"YYYY-MM")</f>
        <v/>
      </c>
      <c r="C4612" s="25">
        <f>TEXT(A4612,"MMM-YYYY")</f>
        <v/>
      </c>
      <c r="D4612" s="40">
        <f>INT(A4612)-WEEKDAY(A4612,2)+1</f>
        <v/>
      </c>
      <c r="E4612" s="25" t="inlineStr">
        <is>
          <t>dbhattacharyya</t>
        </is>
      </c>
      <c r="F4612" s="25" t="n">
        <v>131585</v>
      </c>
      <c r="G4612" s="25" t="n">
        <v>2</v>
      </c>
      <c r="H4612" s="25" t="n">
        <v>10</v>
      </c>
      <c r="I4612" s="25" t="inlineStr">
        <is>
          <t>1 minute(s) and 50 second(s)</t>
        </is>
      </c>
      <c r="J4612" s="25">
        <f>IFERROR(VALUE(TRIM(LEFT(I4612,FIND("minute",I4612)-1)))*60,0)+IFERROR(VALUE(SUBSTITUTE(MID(I4612,IFERROR(FIND("and",I4612)+3,1),20),"second(s)","")),0)</f>
        <v/>
      </c>
      <c r="K4612" s="41">
        <f>J4612/60</f>
        <v/>
      </c>
      <c r="L4612" s="41">
        <f>IFERROR(J4612/H4612,"")</f>
        <v/>
      </c>
      <c r="M4612" s="25" t="inlineStr">
        <is>
          <t>2.5.12</t>
        </is>
      </c>
      <c r="N4612" s="25">
        <f>IF(J4612&gt;300,1,0)</f>
        <v/>
      </c>
      <c r="O4612" s="25">
        <f>IF(J4612&gt;600,1,0)</f>
        <v/>
      </c>
      <c r="P4612" s="25">
        <f>IF(H4612&gt;0,J4612,"")</f>
        <v/>
      </c>
      <c r="Q4612" s="25">
        <f>TEXT(A4612,"YYYY-MM-DD HH")</f>
        <v/>
      </c>
      <c r="R4612" s="25">
        <f>COUNTIF($Q$2:$Q$5295,Q4612)</f>
        <v/>
      </c>
      <c r="S4612" s="25">
        <f>IF(R4612&lt;=2,"1-2",IF(R4612&lt;=5,"3-5",IF(R4612&lt;=10,"6-10","11+")))</f>
        <v/>
      </c>
    </row>
    <row r="4613">
      <c r="A4613" s="39" t="n">
        <v>46226.21788194445</v>
      </c>
      <c r="B4613" s="25">
        <f>TEXT(A4613,"YYYY-MM")</f>
        <v/>
      </c>
      <c r="C4613" s="25">
        <f>TEXT(A4613,"MMM-YYYY")</f>
        <v/>
      </c>
      <c r="D4613" s="40">
        <f>INT(A4613)-WEEKDAY(A4613,2)+1</f>
        <v/>
      </c>
      <c r="E4613" s="25" t="inlineStr">
        <is>
          <t>pgautam</t>
        </is>
      </c>
      <c r="F4613" s="25" t="n">
        <v>129739</v>
      </c>
      <c r="G4613" s="25" t="n">
        <v>7</v>
      </c>
      <c r="H4613" s="25" t="n">
        <v>37</v>
      </c>
      <c r="I4613" s="25" t="inlineStr">
        <is>
          <t>4 minute(s) and 48 second(s)</t>
        </is>
      </c>
      <c r="J4613" s="25">
        <f>IFERROR(VALUE(TRIM(LEFT(I4613,FIND("minute",I4613)-1)))*60,0)+IFERROR(VALUE(SUBSTITUTE(MID(I4613,IFERROR(FIND("and",I4613)+3,1),20),"second(s)","")),0)</f>
        <v/>
      </c>
      <c r="K4613" s="41">
        <f>J4613/60</f>
        <v/>
      </c>
      <c r="L4613" s="41">
        <f>IFERROR(J4613/H4613,"")</f>
        <v/>
      </c>
      <c r="M4613" s="25" t="inlineStr">
        <is>
          <t>2.5.12</t>
        </is>
      </c>
      <c r="N4613" s="25">
        <f>IF(J4613&gt;300,1,0)</f>
        <v/>
      </c>
      <c r="O4613" s="25">
        <f>IF(J4613&gt;600,1,0)</f>
        <v/>
      </c>
      <c r="P4613" s="25">
        <f>IF(H4613&gt;0,J4613,"")</f>
        <v/>
      </c>
      <c r="Q4613" s="25">
        <f>TEXT(A4613,"YYYY-MM-DD HH")</f>
        <v/>
      </c>
      <c r="R4613" s="25">
        <f>COUNTIF($Q$2:$Q$5295,Q4613)</f>
        <v/>
      </c>
      <c r="S4613" s="25">
        <f>IF(R4613&lt;=2,"1-2",IF(R4613&lt;=5,"3-5",IF(R4613&lt;=10,"6-10","11+")))</f>
        <v/>
      </c>
    </row>
    <row r="4614">
      <c r="A4614" s="39" t="n">
        <v>46226.23001157407</v>
      </c>
      <c r="B4614" s="25">
        <f>TEXT(A4614,"YYYY-MM")</f>
        <v/>
      </c>
      <c r="C4614" s="25">
        <f>TEXT(A4614,"MMM-YYYY")</f>
        <v/>
      </c>
      <c r="D4614" s="40">
        <f>INT(A4614)-WEEKDAY(A4614,2)+1</f>
        <v/>
      </c>
      <c r="E4614" s="25" t="inlineStr">
        <is>
          <t>shasikha</t>
        </is>
      </c>
      <c r="F4614" s="25" t="n">
        <v>129599</v>
      </c>
      <c r="G4614" s="25" t="n">
        <v>2</v>
      </c>
      <c r="H4614" s="25" t="n">
        <v>10</v>
      </c>
      <c r="I4614" s="25" t="inlineStr">
        <is>
          <t>1 minute(s) and 42 second(s)</t>
        </is>
      </c>
      <c r="J4614" s="25">
        <f>IFERROR(VALUE(TRIM(LEFT(I4614,FIND("minute",I4614)-1)))*60,0)+IFERROR(VALUE(SUBSTITUTE(MID(I4614,IFERROR(FIND("and",I4614)+3,1),20),"second(s)","")),0)</f>
        <v/>
      </c>
      <c r="K4614" s="41">
        <f>J4614/60</f>
        <v/>
      </c>
      <c r="L4614" s="41">
        <f>IFERROR(J4614/H4614,"")</f>
        <v/>
      </c>
      <c r="M4614" s="25" t="inlineStr">
        <is>
          <t>2.5.12</t>
        </is>
      </c>
      <c r="N4614" s="25">
        <f>IF(J4614&gt;300,1,0)</f>
        <v/>
      </c>
      <c r="O4614" s="25">
        <f>IF(J4614&gt;600,1,0)</f>
        <v/>
      </c>
      <c r="P4614" s="25">
        <f>IF(H4614&gt;0,J4614,"")</f>
        <v/>
      </c>
      <c r="Q4614" s="25">
        <f>TEXT(A4614,"YYYY-MM-DD HH")</f>
        <v/>
      </c>
      <c r="R4614" s="25">
        <f>COUNTIF($Q$2:$Q$5295,Q4614)</f>
        <v/>
      </c>
      <c r="S4614" s="25">
        <f>IF(R4614&lt;=2,"1-2",IF(R4614&lt;=5,"3-5",IF(R4614&lt;=10,"6-10","11+")))</f>
        <v/>
      </c>
    </row>
    <row r="4615">
      <c r="A4615" s="39" t="n">
        <v>46226.23101851852</v>
      </c>
      <c r="B4615" s="25">
        <f>TEXT(A4615,"YYYY-MM")</f>
        <v/>
      </c>
      <c r="C4615" s="25">
        <f>TEXT(A4615,"MMM-YYYY")</f>
        <v/>
      </c>
      <c r="D4615" s="40">
        <f>INT(A4615)-WEEKDAY(A4615,2)+1</f>
        <v/>
      </c>
      <c r="E4615" s="25" t="inlineStr">
        <is>
          <t>psathwika</t>
        </is>
      </c>
      <c r="F4615" s="25" t="n">
        <v>131311</v>
      </c>
      <c r="G4615" s="25" t="n">
        <v>3</v>
      </c>
      <c r="H4615" s="25" t="n">
        <v>9</v>
      </c>
      <c r="I4615" s="25" t="inlineStr">
        <is>
          <t>46 second(s)</t>
        </is>
      </c>
      <c r="J4615" s="25">
        <f>IFERROR(VALUE(TRIM(LEFT(I4615,FIND("minute",I4615)-1)))*60,0)+IFERROR(VALUE(SUBSTITUTE(MID(I4615,IFERROR(FIND("and",I4615)+3,1),20),"second(s)","")),0)</f>
        <v/>
      </c>
      <c r="K4615" s="41">
        <f>J4615/60</f>
        <v/>
      </c>
      <c r="L4615" s="41">
        <f>IFERROR(J4615/H4615,"")</f>
        <v/>
      </c>
      <c r="M4615" s="25" t="inlineStr">
        <is>
          <t>2.5.12</t>
        </is>
      </c>
      <c r="N4615" s="25">
        <f>IF(J4615&gt;300,1,0)</f>
        <v/>
      </c>
      <c r="O4615" s="25">
        <f>IF(J4615&gt;600,1,0)</f>
        <v/>
      </c>
      <c r="P4615" s="25">
        <f>IF(H4615&gt;0,J4615,"")</f>
        <v/>
      </c>
      <c r="Q4615" s="25">
        <f>TEXT(A4615,"YYYY-MM-DD HH")</f>
        <v/>
      </c>
      <c r="R4615" s="25">
        <f>COUNTIF($Q$2:$Q$5295,Q4615)</f>
        <v/>
      </c>
      <c r="S4615" s="25">
        <f>IF(R4615&lt;=2,"1-2",IF(R4615&lt;=5,"3-5",IF(R4615&lt;=10,"6-10","11+")))</f>
        <v/>
      </c>
    </row>
    <row r="4616">
      <c r="A4616" s="39" t="n">
        <v>46226.23332175926</v>
      </c>
      <c r="B4616" s="25">
        <f>TEXT(A4616,"YYYY-MM")</f>
        <v/>
      </c>
      <c r="C4616" s="25">
        <f>TEXT(A4616,"MMM-YYYY")</f>
        <v/>
      </c>
      <c r="D4616" s="40">
        <f>INT(A4616)-WEEKDAY(A4616,2)+1</f>
        <v/>
      </c>
      <c r="E4616" s="25" t="inlineStr">
        <is>
          <t>shasikha</t>
        </is>
      </c>
      <c r="F4616" s="25" t="n">
        <v>129599</v>
      </c>
      <c r="G4616" s="25" t="n">
        <v>2</v>
      </c>
      <c r="H4616" s="25" t="n">
        <v>10</v>
      </c>
      <c r="I4616" s="25" t="inlineStr">
        <is>
          <t>2 minute(s) and 39 second(s)</t>
        </is>
      </c>
      <c r="J4616" s="25">
        <f>IFERROR(VALUE(TRIM(LEFT(I4616,FIND("minute",I4616)-1)))*60,0)+IFERROR(VALUE(SUBSTITUTE(MID(I4616,IFERROR(FIND("and",I4616)+3,1),20),"second(s)","")),0)</f>
        <v/>
      </c>
      <c r="K4616" s="41">
        <f>J4616/60</f>
        <v/>
      </c>
      <c r="L4616" s="41">
        <f>IFERROR(J4616/H4616,"")</f>
        <v/>
      </c>
      <c r="M4616" s="25" t="inlineStr">
        <is>
          <t>2.5.12</t>
        </is>
      </c>
      <c r="N4616" s="25">
        <f>IF(J4616&gt;300,1,0)</f>
        <v/>
      </c>
      <c r="O4616" s="25">
        <f>IF(J4616&gt;600,1,0)</f>
        <v/>
      </c>
      <c r="P4616" s="25">
        <f>IF(H4616&gt;0,J4616,"")</f>
        <v/>
      </c>
      <c r="Q4616" s="25">
        <f>TEXT(A4616,"YYYY-MM-DD HH")</f>
        <v/>
      </c>
      <c r="R4616" s="25">
        <f>COUNTIF($Q$2:$Q$5295,Q4616)</f>
        <v/>
      </c>
      <c r="S4616" s="25">
        <f>IF(R4616&lt;=2,"1-2",IF(R4616&lt;=5,"3-5",IF(R4616&lt;=10,"6-10","11+")))</f>
        <v/>
      </c>
    </row>
    <row r="4617">
      <c r="A4617" s="39" t="n">
        <v>46226.23866898148</v>
      </c>
      <c r="B4617" s="25">
        <f>TEXT(A4617,"YYYY-MM")</f>
        <v/>
      </c>
      <c r="C4617" s="25">
        <f>TEXT(A4617,"MMM-YYYY")</f>
        <v/>
      </c>
      <c r="D4617" s="40">
        <f>INT(A4617)-WEEKDAY(A4617,2)+1</f>
        <v/>
      </c>
      <c r="E4617" s="25" t="inlineStr">
        <is>
          <t>shassan</t>
        </is>
      </c>
      <c r="F4617" s="25" t="n">
        <v>130795</v>
      </c>
      <c r="G4617" s="25" t="n">
        <v>4</v>
      </c>
      <c r="H4617" s="25" t="n">
        <v>20</v>
      </c>
      <c r="I4617" s="25" t="inlineStr">
        <is>
          <t>3 minute(s) and 0 second(s)</t>
        </is>
      </c>
      <c r="J4617" s="25">
        <f>IFERROR(VALUE(TRIM(LEFT(I4617,FIND("minute",I4617)-1)))*60,0)+IFERROR(VALUE(SUBSTITUTE(MID(I4617,IFERROR(FIND("and",I4617)+3,1),20),"second(s)","")),0)</f>
        <v/>
      </c>
      <c r="K4617" s="41">
        <f>J4617/60</f>
        <v/>
      </c>
      <c r="L4617" s="41">
        <f>IFERROR(J4617/H4617,"")</f>
        <v/>
      </c>
      <c r="M4617" s="25" t="inlineStr">
        <is>
          <t>2.5.12</t>
        </is>
      </c>
      <c r="N4617" s="25">
        <f>IF(J4617&gt;300,1,0)</f>
        <v/>
      </c>
      <c r="O4617" s="25">
        <f>IF(J4617&gt;600,1,0)</f>
        <v/>
      </c>
      <c r="P4617" s="25">
        <f>IF(H4617&gt;0,J4617,"")</f>
        <v/>
      </c>
      <c r="Q4617" s="25">
        <f>TEXT(A4617,"YYYY-MM-DD HH")</f>
        <v/>
      </c>
      <c r="R4617" s="25">
        <f>COUNTIF($Q$2:$Q$5295,Q4617)</f>
        <v/>
      </c>
      <c r="S4617" s="25">
        <f>IF(R4617&lt;=2,"1-2",IF(R4617&lt;=5,"3-5",IF(R4617&lt;=10,"6-10","11+")))</f>
        <v/>
      </c>
    </row>
    <row r="4618">
      <c r="A4618" s="39" t="n">
        <v>46226.23918981481</v>
      </c>
      <c r="B4618" s="25">
        <f>TEXT(A4618,"YYYY-MM")</f>
        <v/>
      </c>
      <c r="C4618" s="25">
        <f>TEXT(A4618,"MMM-YYYY")</f>
        <v/>
      </c>
      <c r="D4618" s="40">
        <f>INT(A4618)-WEEKDAY(A4618,2)+1</f>
        <v/>
      </c>
      <c r="E4618" s="25" t="inlineStr">
        <is>
          <t>mgupta</t>
        </is>
      </c>
      <c r="F4618" s="25" t="n">
        <v>131312</v>
      </c>
      <c r="G4618" s="25" t="n">
        <v>4</v>
      </c>
      <c r="H4618" s="25" t="n">
        <v>20</v>
      </c>
      <c r="I4618" s="25" t="inlineStr">
        <is>
          <t>2 minute(s) and 15 second(s)</t>
        </is>
      </c>
      <c r="J4618" s="25">
        <f>IFERROR(VALUE(TRIM(LEFT(I4618,FIND("minute",I4618)-1)))*60,0)+IFERROR(VALUE(SUBSTITUTE(MID(I4618,IFERROR(FIND("and",I4618)+3,1),20),"second(s)","")),0)</f>
        <v/>
      </c>
      <c r="K4618" s="41">
        <f>J4618/60</f>
        <v/>
      </c>
      <c r="L4618" s="41">
        <f>IFERROR(J4618/H4618,"")</f>
        <v/>
      </c>
      <c r="M4618" s="25" t="inlineStr">
        <is>
          <t>2.5.12</t>
        </is>
      </c>
      <c r="N4618" s="25">
        <f>IF(J4618&gt;300,1,0)</f>
        <v/>
      </c>
      <c r="O4618" s="25">
        <f>IF(J4618&gt;600,1,0)</f>
        <v/>
      </c>
      <c r="P4618" s="25">
        <f>IF(H4618&gt;0,J4618,"")</f>
        <v/>
      </c>
      <c r="Q4618" s="25">
        <f>TEXT(A4618,"YYYY-MM-DD HH")</f>
        <v/>
      </c>
      <c r="R4618" s="25">
        <f>COUNTIF($Q$2:$Q$5295,Q4618)</f>
        <v/>
      </c>
      <c r="S4618" s="25">
        <f>IF(R4618&lt;=2,"1-2",IF(R4618&lt;=5,"3-5",IF(R4618&lt;=10,"6-10","11+")))</f>
        <v/>
      </c>
    </row>
    <row r="4619">
      <c r="A4619" s="39" t="n">
        <v>46226.24688657407</v>
      </c>
      <c r="B4619" s="25">
        <f>TEXT(A4619,"YYYY-MM")</f>
        <v/>
      </c>
      <c r="C4619" s="25">
        <f>TEXT(A4619,"MMM-YYYY")</f>
        <v/>
      </c>
      <c r="D4619" s="40">
        <f>INT(A4619)-WEEKDAY(A4619,2)+1</f>
        <v/>
      </c>
      <c r="E4619" s="25" t="inlineStr">
        <is>
          <t>ns</t>
        </is>
      </c>
      <c r="F4619" s="25" t="n">
        <v>130911</v>
      </c>
      <c r="G4619" s="25" t="n">
        <v>4</v>
      </c>
      <c r="H4619" s="25" t="n">
        <v>21</v>
      </c>
      <c r="I4619" s="25" t="inlineStr">
        <is>
          <t>2 minute(s) and 15 second(s)</t>
        </is>
      </c>
      <c r="J4619" s="25">
        <f>IFERROR(VALUE(TRIM(LEFT(I4619,FIND("minute",I4619)-1)))*60,0)+IFERROR(VALUE(SUBSTITUTE(MID(I4619,IFERROR(FIND("and",I4619)+3,1),20),"second(s)","")),0)</f>
        <v/>
      </c>
      <c r="K4619" s="41">
        <f>J4619/60</f>
        <v/>
      </c>
      <c r="L4619" s="41">
        <f>IFERROR(J4619/H4619,"")</f>
        <v/>
      </c>
      <c r="M4619" s="25" t="inlineStr">
        <is>
          <t>2.5.12</t>
        </is>
      </c>
      <c r="N4619" s="25">
        <f>IF(J4619&gt;300,1,0)</f>
        <v/>
      </c>
      <c r="O4619" s="25">
        <f>IF(J4619&gt;600,1,0)</f>
        <v/>
      </c>
      <c r="P4619" s="25">
        <f>IF(H4619&gt;0,J4619,"")</f>
        <v/>
      </c>
      <c r="Q4619" s="25">
        <f>TEXT(A4619,"YYYY-MM-DD HH")</f>
        <v/>
      </c>
      <c r="R4619" s="25">
        <f>COUNTIF($Q$2:$Q$5295,Q4619)</f>
        <v/>
      </c>
      <c r="S4619" s="25">
        <f>IF(R4619&lt;=2,"1-2",IF(R4619&lt;=5,"3-5",IF(R4619&lt;=10,"6-10","11+")))</f>
        <v/>
      </c>
    </row>
    <row r="4620">
      <c r="A4620" s="39" t="n">
        <v>46226.2543287037</v>
      </c>
      <c r="B4620" s="25">
        <f>TEXT(A4620,"YYYY-MM")</f>
        <v/>
      </c>
      <c r="C4620" s="25">
        <f>TEXT(A4620,"MMM-YYYY")</f>
        <v/>
      </c>
      <c r="D4620" s="40">
        <f>INT(A4620)-WEEKDAY(A4620,2)+1</f>
        <v/>
      </c>
      <c r="E4620" s="25" t="inlineStr">
        <is>
          <t>bverma</t>
        </is>
      </c>
      <c r="F4620" s="25" t="n">
        <v>131775</v>
      </c>
      <c r="G4620" s="25" t="n">
        <v>2</v>
      </c>
      <c r="H4620" s="25" t="n">
        <v>10</v>
      </c>
      <c r="I4620" s="25" t="inlineStr">
        <is>
          <t>1 minute(s) and 14 second(s)</t>
        </is>
      </c>
      <c r="J4620" s="25">
        <f>IFERROR(VALUE(TRIM(LEFT(I4620,FIND("minute",I4620)-1)))*60,0)+IFERROR(VALUE(SUBSTITUTE(MID(I4620,IFERROR(FIND("and",I4620)+3,1),20),"second(s)","")),0)</f>
        <v/>
      </c>
      <c r="K4620" s="41">
        <f>J4620/60</f>
        <v/>
      </c>
      <c r="L4620" s="41">
        <f>IFERROR(J4620/H4620,"")</f>
        <v/>
      </c>
      <c r="M4620" s="25" t="inlineStr">
        <is>
          <t>2.5.12</t>
        </is>
      </c>
      <c r="N4620" s="25">
        <f>IF(J4620&gt;300,1,0)</f>
        <v/>
      </c>
      <c r="O4620" s="25">
        <f>IF(J4620&gt;600,1,0)</f>
        <v/>
      </c>
      <c r="P4620" s="25">
        <f>IF(H4620&gt;0,J4620,"")</f>
        <v/>
      </c>
      <c r="Q4620" s="25">
        <f>TEXT(A4620,"YYYY-MM-DD HH")</f>
        <v/>
      </c>
      <c r="R4620" s="25">
        <f>COUNTIF($Q$2:$Q$5295,Q4620)</f>
        <v/>
      </c>
      <c r="S4620" s="25">
        <f>IF(R4620&lt;=2,"1-2",IF(R4620&lt;=5,"3-5",IF(R4620&lt;=10,"6-10","11+")))</f>
        <v/>
      </c>
    </row>
    <row r="4621">
      <c r="A4621" s="39" t="n">
        <v>46226.26203703704</v>
      </c>
      <c r="B4621" s="25">
        <f>TEXT(A4621,"YYYY-MM")</f>
        <v/>
      </c>
      <c r="C4621" s="25">
        <f>TEXT(A4621,"MMM-YYYY")</f>
        <v/>
      </c>
      <c r="D4621" s="40">
        <f>INT(A4621)-WEEKDAY(A4621,2)+1</f>
        <v/>
      </c>
      <c r="E4621" s="25" t="inlineStr">
        <is>
          <t>asahoo</t>
        </is>
      </c>
      <c r="F4621" s="25" t="n">
        <v>128511</v>
      </c>
      <c r="G4621" s="25" t="n">
        <v>1</v>
      </c>
      <c r="H4621" s="25" t="n">
        <v>5</v>
      </c>
      <c r="I4621" s="25" t="inlineStr">
        <is>
          <t>44 second(s)</t>
        </is>
      </c>
      <c r="J4621" s="25">
        <f>IFERROR(VALUE(TRIM(LEFT(I4621,FIND("minute",I4621)-1)))*60,0)+IFERROR(VALUE(SUBSTITUTE(MID(I4621,IFERROR(FIND("and",I4621)+3,1),20),"second(s)","")),0)</f>
        <v/>
      </c>
      <c r="K4621" s="41">
        <f>J4621/60</f>
        <v/>
      </c>
      <c r="L4621" s="41">
        <f>IFERROR(J4621/H4621,"")</f>
        <v/>
      </c>
      <c r="M4621" s="25" t="inlineStr">
        <is>
          <t>2.5.12</t>
        </is>
      </c>
      <c r="N4621" s="25">
        <f>IF(J4621&gt;300,1,0)</f>
        <v/>
      </c>
      <c r="O4621" s="25">
        <f>IF(J4621&gt;600,1,0)</f>
        <v/>
      </c>
      <c r="P4621" s="25">
        <f>IF(H4621&gt;0,J4621,"")</f>
        <v/>
      </c>
      <c r="Q4621" s="25">
        <f>TEXT(A4621,"YYYY-MM-DD HH")</f>
        <v/>
      </c>
      <c r="R4621" s="25">
        <f>COUNTIF($Q$2:$Q$5295,Q4621)</f>
        <v/>
      </c>
      <c r="S4621" s="25">
        <f>IF(R4621&lt;=2,"1-2",IF(R4621&lt;=5,"3-5",IF(R4621&lt;=10,"6-10","11+")))</f>
        <v/>
      </c>
    </row>
    <row r="4622">
      <c r="A4622" s="39" t="n">
        <v>46226.26217592593</v>
      </c>
      <c r="B4622" s="25">
        <f>TEXT(A4622,"YYYY-MM")</f>
        <v/>
      </c>
      <c r="C4622" s="25">
        <f>TEXT(A4622,"MMM-YYYY")</f>
        <v/>
      </c>
      <c r="D4622" s="40">
        <f>INT(A4622)-WEEKDAY(A4622,2)+1</f>
        <v/>
      </c>
      <c r="E4622" s="25" t="inlineStr">
        <is>
          <t>sswati</t>
        </is>
      </c>
      <c r="F4622" s="25" t="n">
        <v>131022</v>
      </c>
      <c r="G4622" s="25" t="n">
        <v>4</v>
      </c>
      <c r="H4622" s="25" t="n">
        <v>22</v>
      </c>
      <c r="I4622" s="25" t="inlineStr">
        <is>
          <t>2 minute(s) and 5 second(s)</t>
        </is>
      </c>
      <c r="J4622" s="25">
        <f>IFERROR(VALUE(TRIM(LEFT(I4622,FIND("minute",I4622)-1)))*60,0)+IFERROR(VALUE(SUBSTITUTE(MID(I4622,IFERROR(FIND("and",I4622)+3,1),20),"second(s)","")),0)</f>
        <v/>
      </c>
      <c r="K4622" s="41">
        <f>J4622/60</f>
        <v/>
      </c>
      <c r="L4622" s="41">
        <f>IFERROR(J4622/H4622,"")</f>
        <v/>
      </c>
      <c r="M4622" s="25" t="inlineStr">
        <is>
          <t>2.5.12</t>
        </is>
      </c>
      <c r="N4622" s="25">
        <f>IF(J4622&gt;300,1,0)</f>
        <v/>
      </c>
      <c r="O4622" s="25">
        <f>IF(J4622&gt;600,1,0)</f>
        <v/>
      </c>
      <c r="P4622" s="25">
        <f>IF(H4622&gt;0,J4622,"")</f>
        <v/>
      </c>
      <c r="Q4622" s="25">
        <f>TEXT(A4622,"YYYY-MM-DD HH")</f>
        <v/>
      </c>
      <c r="R4622" s="25">
        <f>COUNTIF($Q$2:$Q$5295,Q4622)</f>
        <v/>
      </c>
      <c r="S4622" s="25">
        <f>IF(R4622&lt;=2,"1-2",IF(R4622&lt;=5,"3-5",IF(R4622&lt;=10,"6-10","11+")))</f>
        <v/>
      </c>
    </row>
    <row r="4623">
      <c r="A4623" s="39" t="n">
        <v>46226.26299768518</v>
      </c>
      <c r="B4623" s="25">
        <f>TEXT(A4623,"YYYY-MM")</f>
        <v/>
      </c>
      <c r="C4623" s="25">
        <f>TEXT(A4623,"MMM-YYYY")</f>
        <v/>
      </c>
      <c r="D4623" s="40">
        <f>INT(A4623)-WEEKDAY(A4623,2)+1</f>
        <v/>
      </c>
      <c r="E4623" s="25" t="inlineStr">
        <is>
          <t>ethomas</t>
        </is>
      </c>
      <c r="F4623" s="25" t="n">
        <v>131534</v>
      </c>
      <c r="G4623" s="25" t="n">
        <v>4</v>
      </c>
      <c r="H4623" s="25" t="n">
        <v>28</v>
      </c>
      <c r="I4623" s="25" t="inlineStr">
        <is>
          <t>3 minute(s) and 43 second(s)</t>
        </is>
      </c>
      <c r="J4623" s="25">
        <f>IFERROR(VALUE(TRIM(LEFT(I4623,FIND("minute",I4623)-1)))*60,0)+IFERROR(VALUE(SUBSTITUTE(MID(I4623,IFERROR(FIND("and",I4623)+3,1),20),"second(s)","")),0)</f>
        <v/>
      </c>
      <c r="K4623" s="41">
        <f>J4623/60</f>
        <v/>
      </c>
      <c r="L4623" s="41">
        <f>IFERROR(J4623/H4623,"")</f>
        <v/>
      </c>
      <c r="M4623" s="25" t="inlineStr">
        <is>
          <t>2.5.12</t>
        </is>
      </c>
      <c r="N4623" s="25">
        <f>IF(J4623&gt;300,1,0)</f>
        <v/>
      </c>
      <c r="O4623" s="25">
        <f>IF(J4623&gt;600,1,0)</f>
        <v/>
      </c>
      <c r="P4623" s="25">
        <f>IF(H4623&gt;0,J4623,"")</f>
        <v/>
      </c>
      <c r="Q4623" s="25">
        <f>TEXT(A4623,"YYYY-MM-DD HH")</f>
        <v/>
      </c>
      <c r="R4623" s="25">
        <f>COUNTIF($Q$2:$Q$5295,Q4623)</f>
        <v/>
      </c>
      <c r="S4623" s="25">
        <f>IF(R4623&lt;=2,"1-2",IF(R4623&lt;=5,"3-5",IF(R4623&lt;=10,"6-10","11+")))</f>
        <v/>
      </c>
    </row>
    <row r="4624">
      <c r="A4624" s="39" t="n">
        <v>46226.26457175926</v>
      </c>
      <c r="B4624" s="25">
        <f>TEXT(A4624,"YYYY-MM")</f>
        <v/>
      </c>
      <c r="C4624" s="25">
        <f>TEXT(A4624,"MMM-YYYY")</f>
        <v/>
      </c>
      <c r="D4624" s="40">
        <f>INT(A4624)-WEEKDAY(A4624,2)+1</f>
        <v/>
      </c>
      <c r="E4624" s="25" t="inlineStr">
        <is>
          <t>tkarmakar</t>
        </is>
      </c>
      <c r="F4624" s="25" t="n">
        <v>128838</v>
      </c>
      <c r="G4624" s="25" t="n">
        <v>2</v>
      </c>
      <c r="H4624" s="25" t="n">
        <v>8</v>
      </c>
      <c r="I4624" s="25" t="inlineStr">
        <is>
          <t>42 second(s)</t>
        </is>
      </c>
      <c r="J4624" s="25">
        <f>IFERROR(VALUE(TRIM(LEFT(I4624,FIND("minute",I4624)-1)))*60,0)+IFERROR(VALUE(SUBSTITUTE(MID(I4624,IFERROR(FIND("and",I4624)+3,1),20),"second(s)","")),0)</f>
        <v/>
      </c>
      <c r="K4624" s="41">
        <f>J4624/60</f>
        <v/>
      </c>
      <c r="L4624" s="41">
        <f>IFERROR(J4624/H4624,"")</f>
        <v/>
      </c>
      <c r="M4624" s="25" t="inlineStr">
        <is>
          <t>2.5.12</t>
        </is>
      </c>
      <c r="N4624" s="25">
        <f>IF(J4624&gt;300,1,0)</f>
        <v/>
      </c>
      <c r="O4624" s="25">
        <f>IF(J4624&gt;600,1,0)</f>
        <v/>
      </c>
      <c r="P4624" s="25">
        <f>IF(H4624&gt;0,J4624,"")</f>
        <v/>
      </c>
      <c r="Q4624" s="25">
        <f>TEXT(A4624,"YYYY-MM-DD HH")</f>
        <v/>
      </c>
      <c r="R4624" s="25">
        <f>COUNTIF($Q$2:$Q$5295,Q4624)</f>
        <v/>
      </c>
      <c r="S4624" s="25">
        <f>IF(R4624&lt;=2,"1-2",IF(R4624&lt;=5,"3-5",IF(R4624&lt;=10,"6-10","11+")))</f>
        <v/>
      </c>
    </row>
    <row r="4625">
      <c r="A4625" s="39" t="n">
        <v>46226.27829861111</v>
      </c>
      <c r="B4625" s="25">
        <f>TEXT(A4625,"YYYY-MM")</f>
        <v/>
      </c>
      <c r="C4625" s="25">
        <f>TEXT(A4625,"MMM-YYYY")</f>
        <v/>
      </c>
      <c r="D4625" s="40">
        <f>INT(A4625)-WEEKDAY(A4625,2)+1</f>
        <v/>
      </c>
      <c r="E4625" s="25" t="inlineStr">
        <is>
          <t>aghosh</t>
        </is>
      </c>
      <c r="F4625" s="25" t="n">
        <v>132799</v>
      </c>
      <c r="G4625" s="25" t="n">
        <v>2</v>
      </c>
      <c r="H4625" s="25" t="n">
        <v>14</v>
      </c>
      <c r="I4625" s="25" t="inlineStr">
        <is>
          <t>1 minute(s) and 36 second(s)</t>
        </is>
      </c>
      <c r="J4625" s="25">
        <f>IFERROR(VALUE(TRIM(LEFT(I4625,FIND("minute",I4625)-1)))*60,0)+IFERROR(VALUE(SUBSTITUTE(MID(I4625,IFERROR(FIND("and",I4625)+3,1),20),"second(s)","")),0)</f>
        <v/>
      </c>
      <c r="K4625" s="41">
        <f>J4625/60</f>
        <v/>
      </c>
      <c r="L4625" s="41">
        <f>IFERROR(J4625/H4625,"")</f>
        <v/>
      </c>
      <c r="M4625" s="25" t="inlineStr">
        <is>
          <t>2.5.12</t>
        </is>
      </c>
      <c r="N4625" s="25">
        <f>IF(J4625&gt;300,1,0)</f>
        <v/>
      </c>
      <c r="O4625" s="25">
        <f>IF(J4625&gt;600,1,0)</f>
        <v/>
      </c>
      <c r="P4625" s="25">
        <f>IF(H4625&gt;0,J4625,"")</f>
        <v/>
      </c>
      <c r="Q4625" s="25">
        <f>TEXT(A4625,"YYYY-MM-DD HH")</f>
        <v/>
      </c>
      <c r="R4625" s="25">
        <f>COUNTIF($Q$2:$Q$5295,Q4625)</f>
        <v/>
      </c>
      <c r="S4625" s="25">
        <f>IF(R4625&lt;=2,"1-2",IF(R4625&lt;=5,"3-5",IF(R4625&lt;=10,"6-10","11+")))</f>
        <v/>
      </c>
    </row>
    <row r="4626">
      <c r="A4626" s="39" t="n">
        <v>46226.28158564815</v>
      </c>
      <c r="B4626" s="25">
        <f>TEXT(A4626,"YYYY-MM")</f>
        <v/>
      </c>
      <c r="C4626" s="25">
        <f>TEXT(A4626,"MMM-YYYY")</f>
        <v/>
      </c>
      <c r="D4626" s="40">
        <f>INT(A4626)-WEEKDAY(A4626,2)+1</f>
        <v/>
      </c>
      <c r="E4626" s="25" t="inlineStr">
        <is>
          <t>atiwari</t>
        </is>
      </c>
      <c r="F4626" s="25" t="n">
        <v>128303</v>
      </c>
      <c r="G4626" s="25" t="n">
        <v>1</v>
      </c>
      <c r="H4626" s="25" t="n">
        <v>5</v>
      </c>
      <c r="I4626" s="25" t="inlineStr">
        <is>
          <t>26 second(s)</t>
        </is>
      </c>
      <c r="J4626" s="25">
        <f>IFERROR(VALUE(TRIM(LEFT(I4626,FIND("minute",I4626)-1)))*60,0)+IFERROR(VALUE(SUBSTITUTE(MID(I4626,IFERROR(FIND("and",I4626)+3,1),20),"second(s)","")),0)</f>
        <v/>
      </c>
      <c r="K4626" s="41">
        <f>J4626/60</f>
        <v/>
      </c>
      <c r="L4626" s="41">
        <f>IFERROR(J4626/H4626,"")</f>
        <v/>
      </c>
      <c r="M4626" s="25" t="inlineStr">
        <is>
          <t>2.5.12</t>
        </is>
      </c>
      <c r="N4626" s="25">
        <f>IF(J4626&gt;300,1,0)</f>
        <v/>
      </c>
      <c r="O4626" s="25">
        <f>IF(J4626&gt;600,1,0)</f>
        <v/>
      </c>
      <c r="P4626" s="25">
        <f>IF(H4626&gt;0,J4626,"")</f>
        <v/>
      </c>
      <c r="Q4626" s="25">
        <f>TEXT(A4626,"YYYY-MM-DD HH")</f>
        <v/>
      </c>
      <c r="R4626" s="25">
        <f>COUNTIF($Q$2:$Q$5295,Q4626)</f>
        <v/>
      </c>
      <c r="S4626" s="25">
        <f>IF(R4626&lt;=2,"1-2",IF(R4626&lt;=5,"3-5",IF(R4626&lt;=10,"6-10","11+")))</f>
        <v/>
      </c>
    </row>
    <row r="4627">
      <c r="A4627" s="39" t="n">
        <v>46226.28657407407</v>
      </c>
      <c r="B4627" s="25">
        <f>TEXT(A4627,"YYYY-MM")</f>
        <v/>
      </c>
      <c r="C4627" s="25">
        <f>TEXT(A4627,"MMM-YYYY")</f>
        <v/>
      </c>
      <c r="D4627" s="40">
        <f>INT(A4627)-WEEKDAY(A4627,2)+1</f>
        <v/>
      </c>
      <c r="E4627" s="25" t="inlineStr">
        <is>
          <t>bverma</t>
        </is>
      </c>
      <c r="F4627" s="25" t="n">
        <v>131511</v>
      </c>
      <c r="G4627" s="25" t="n">
        <v>1</v>
      </c>
      <c r="H4627" s="25" t="n">
        <v>7</v>
      </c>
      <c r="I4627" s="25" t="inlineStr">
        <is>
          <t>45 second(s)</t>
        </is>
      </c>
      <c r="J4627" s="25">
        <f>IFERROR(VALUE(TRIM(LEFT(I4627,FIND("minute",I4627)-1)))*60,0)+IFERROR(VALUE(SUBSTITUTE(MID(I4627,IFERROR(FIND("and",I4627)+3,1),20),"second(s)","")),0)</f>
        <v/>
      </c>
      <c r="K4627" s="41">
        <f>J4627/60</f>
        <v/>
      </c>
      <c r="L4627" s="41">
        <f>IFERROR(J4627/H4627,"")</f>
        <v/>
      </c>
      <c r="M4627" s="25" t="inlineStr">
        <is>
          <t>2.5.12</t>
        </is>
      </c>
      <c r="N4627" s="25">
        <f>IF(J4627&gt;300,1,0)</f>
        <v/>
      </c>
      <c r="O4627" s="25">
        <f>IF(J4627&gt;600,1,0)</f>
        <v/>
      </c>
      <c r="P4627" s="25">
        <f>IF(H4627&gt;0,J4627,"")</f>
        <v/>
      </c>
      <c r="Q4627" s="25">
        <f>TEXT(A4627,"YYYY-MM-DD HH")</f>
        <v/>
      </c>
      <c r="R4627" s="25">
        <f>COUNTIF($Q$2:$Q$5295,Q4627)</f>
        <v/>
      </c>
      <c r="S4627" s="25">
        <f>IF(R4627&lt;=2,"1-2",IF(R4627&lt;=5,"3-5",IF(R4627&lt;=10,"6-10","11+")))</f>
        <v/>
      </c>
    </row>
    <row r="4628">
      <c r="A4628" s="39" t="n">
        <v>46226.28751157408</v>
      </c>
      <c r="B4628" s="25">
        <f>TEXT(A4628,"YYYY-MM")</f>
        <v/>
      </c>
      <c r="C4628" s="25">
        <f>TEXT(A4628,"MMM-YYYY")</f>
        <v/>
      </c>
      <c r="D4628" s="40">
        <f>INT(A4628)-WEEKDAY(A4628,2)+1</f>
        <v/>
      </c>
      <c r="E4628" s="25" t="inlineStr">
        <is>
          <t>shasikha</t>
        </is>
      </c>
      <c r="F4628" s="25" t="n">
        <v>130694</v>
      </c>
      <c r="G4628" s="25" t="n">
        <v>4</v>
      </c>
      <c r="H4628" s="25" t="n">
        <v>24</v>
      </c>
      <c r="I4628" s="25" t="inlineStr">
        <is>
          <t>4 minute(s) and 10 second(s)</t>
        </is>
      </c>
      <c r="J4628" s="25">
        <f>IFERROR(VALUE(TRIM(LEFT(I4628,FIND("minute",I4628)-1)))*60,0)+IFERROR(VALUE(SUBSTITUTE(MID(I4628,IFERROR(FIND("and",I4628)+3,1),20),"second(s)","")),0)</f>
        <v/>
      </c>
      <c r="K4628" s="41">
        <f>J4628/60</f>
        <v/>
      </c>
      <c r="L4628" s="41">
        <f>IFERROR(J4628/H4628,"")</f>
        <v/>
      </c>
      <c r="M4628" s="25" t="inlineStr">
        <is>
          <t>2.5.12</t>
        </is>
      </c>
      <c r="N4628" s="25">
        <f>IF(J4628&gt;300,1,0)</f>
        <v/>
      </c>
      <c r="O4628" s="25">
        <f>IF(J4628&gt;600,1,0)</f>
        <v/>
      </c>
      <c r="P4628" s="25">
        <f>IF(H4628&gt;0,J4628,"")</f>
        <v/>
      </c>
      <c r="Q4628" s="25">
        <f>TEXT(A4628,"YYYY-MM-DD HH")</f>
        <v/>
      </c>
      <c r="R4628" s="25">
        <f>COUNTIF($Q$2:$Q$5295,Q4628)</f>
        <v/>
      </c>
      <c r="S4628" s="25">
        <f>IF(R4628&lt;=2,"1-2",IF(R4628&lt;=5,"3-5",IF(R4628&lt;=10,"6-10","11+")))</f>
        <v/>
      </c>
    </row>
    <row r="4629">
      <c r="A4629" s="39" t="n">
        <v>46226.29012731482</v>
      </c>
      <c r="B4629" s="25">
        <f>TEXT(A4629,"YYYY-MM")</f>
        <v/>
      </c>
      <c r="C4629" s="25">
        <f>TEXT(A4629,"MMM-YYYY")</f>
        <v/>
      </c>
      <c r="D4629" s="40">
        <f>INT(A4629)-WEEKDAY(A4629,2)+1</f>
        <v/>
      </c>
      <c r="E4629" s="25" t="inlineStr">
        <is>
          <t>psathwika</t>
        </is>
      </c>
      <c r="F4629" s="25" t="n">
        <v>131247</v>
      </c>
      <c r="G4629" s="25" t="n">
        <v>4</v>
      </c>
      <c r="H4629" s="25" t="n">
        <v>21</v>
      </c>
      <c r="I4629" s="25" t="inlineStr">
        <is>
          <t>2 minute(s) and 9 second(s)</t>
        </is>
      </c>
      <c r="J4629" s="25">
        <f>IFERROR(VALUE(TRIM(LEFT(I4629,FIND("minute",I4629)-1)))*60,0)+IFERROR(VALUE(SUBSTITUTE(MID(I4629,IFERROR(FIND("and",I4629)+3,1),20),"second(s)","")),0)</f>
        <v/>
      </c>
      <c r="K4629" s="41">
        <f>J4629/60</f>
        <v/>
      </c>
      <c r="L4629" s="41">
        <f>IFERROR(J4629/H4629,"")</f>
        <v/>
      </c>
      <c r="M4629" s="25" t="inlineStr">
        <is>
          <t>2.5.12</t>
        </is>
      </c>
      <c r="N4629" s="25">
        <f>IF(J4629&gt;300,1,0)</f>
        <v/>
      </c>
      <c r="O4629" s="25">
        <f>IF(J4629&gt;600,1,0)</f>
        <v/>
      </c>
      <c r="P4629" s="25">
        <f>IF(H4629&gt;0,J4629,"")</f>
        <v/>
      </c>
      <c r="Q4629" s="25">
        <f>TEXT(A4629,"YYYY-MM-DD HH")</f>
        <v/>
      </c>
      <c r="R4629" s="25">
        <f>COUNTIF($Q$2:$Q$5295,Q4629)</f>
        <v/>
      </c>
      <c r="S4629" s="25">
        <f>IF(R4629&lt;=2,"1-2",IF(R4629&lt;=5,"3-5",IF(R4629&lt;=10,"6-10","11+")))</f>
        <v/>
      </c>
    </row>
    <row r="4630">
      <c r="A4630" s="39" t="n">
        <v>46226.29128472223</v>
      </c>
      <c r="B4630" s="25">
        <f>TEXT(A4630,"YYYY-MM")</f>
        <v/>
      </c>
      <c r="C4630" s="25">
        <f>TEXT(A4630,"MMM-YYYY")</f>
        <v/>
      </c>
      <c r="D4630" s="40">
        <f>INT(A4630)-WEEKDAY(A4630,2)+1</f>
        <v/>
      </c>
      <c r="E4630" s="25" t="inlineStr">
        <is>
          <t>asahoo</t>
        </is>
      </c>
      <c r="F4630" s="25" t="n">
        <v>128487</v>
      </c>
      <c r="G4630" s="25" t="n">
        <v>1</v>
      </c>
      <c r="H4630" s="25" t="n">
        <v>5</v>
      </c>
      <c r="I4630" s="25" t="inlineStr">
        <is>
          <t>39 second(s)</t>
        </is>
      </c>
      <c r="J4630" s="25">
        <f>IFERROR(VALUE(TRIM(LEFT(I4630,FIND("minute",I4630)-1)))*60,0)+IFERROR(VALUE(SUBSTITUTE(MID(I4630,IFERROR(FIND("and",I4630)+3,1),20),"second(s)","")),0)</f>
        <v/>
      </c>
      <c r="K4630" s="41">
        <f>J4630/60</f>
        <v/>
      </c>
      <c r="L4630" s="41">
        <f>IFERROR(J4630/H4630,"")</f>
        <v/>
      </c>
      <c r="M4630" s="25" t="inlineStr">
        <is>
          <t>2.5.12</t>
        </is>
      </c>
      <c r="N4630" s="25">
        <f>IF(J4630&gt;300,1,0)</f>
        <v/>
      </c>
      <c r="O4630" s="25">
        <f>IF(J4630&gt;600,1,0)</f>
        <v/>
      </c>
      <c r="P4630" s="25">
        <f>IF(H4630&gt;0,J4630,"")</f>
        <v/>
      </c>
      <c r="Q4630" s="25">
        <f>TEXT(A4630,"YYYY-MM-DD HH")</f>
        <v/>
      </c>
      <c r="R4630" s="25">
        <f>COUNTIF($Q$2:$Q$5295,Q4630)</f>
        <v/>
      </c>
      <c r="S4630" s="25">
        <f>IF(R4630&lt;=2,"1-2",IF(R4630&lt;=5,"3-5",IF(R4630&lt;=10,"6-10","11+")))</f>
        <v/>
      </c>
    </row>
    <row r="4631">
      <c r="A4631" s="39" t="n">
        <v>46226.29402777777</v>
      </c>
      <c r="B4631" s="25">
        <f>TEXT(A4631,"YYYY-MM")</f>
        <v/>
      </c>
      <c r="C4631" s="25">
        <f>TEXT(A4631,"MMM-YYYY")</f>
        <v/>
      </c>
      <c r="D4631" s="40">
        <f>INT(A4631)-WEEKDAY(A4631,2)+1</f>
        <v/>
      </c>
      <c r="E4631" s="25" t="inlineStr">
        <is>
          <t>dchoudhury</t>
        </is>
      </c>
      <c r="F4631" s="25" t="n">
        <v>128720</v>
      </c>
      <c r="G4631" s="25" t="n">
        <v>4</v>
      </c>
      <c r="H4631" s="25" t="n">
        <v>20</v>
      </c>
      <c r="I4631" s="25" t="inlineStr">
        <is>
          <t>1 minute(s) and 54 second(s)</t>
        </is>
      </c>
      <c r="J4631" s="25">
        <f>IFERROR(VALUE(TRIM(LEFT(I4631,FIND("minute",I4631)-1)))*60,0)+IFERROR(VALUE(SUBSTITUTE(MID(I4631,IFERROR(FIND("and",I4631)+3,1),20),"second(s)","")),0)</f>
        <v/>
      </c>
      <c r="K4631" s="41">
        <f>J4631/60</f>
        <v/>
      </c>
      <c r="L4631" s="41">
        <f>IFERROR(J4631/H4631,"")</f>
        <v/>
      </c>
      <c r="M4631" s="25" t="inlineStr">
        <is>
          <t>2.5.12</t>
        </is>
      </c>
      <c r="N4631" s="25">
        <f>IF(J4631&gt;300,1,0)</f>
        <v/>
      </c>
      <c r="O4631" s="25">
        <f>IF(J4631&gt;600,1,0)</f>
        <v/>
      </c>
      <c r="P4631" s="25">
        <f>IF(H4631&gt;0,J4631,"")</f>
        <v/>
      </c>
      <c r="Q4631" s="25">
        <f>TEXT(A4631,"YYYY-MM-DD HH")</f>
        <v/>
      </c>
      <c r="R4631" s="25">
        <f>COUNTIF($Q$2:$Q$5295,Q4631)</f>
        <v/>
      </c>
      <c r="S4631" s="25">
        <f>IF(R4631&lt;=2,"1-2",IF(R4631&lt;=5,"3-5",IF(R4631&lt;=10,"6-10","11+")))</f>
        <v/>
      </c>
    </row>
    <row r="4632">
      <c r="A4632" s="39" t="n">
        <v>46226.30276620371</v>
      </c>
      <c r="B4632" s="25">
        <f>TEXT(A4632,"YYYY-MM")</f>
        <v/>
      </c>
      <c r="C4632" s="25">
        <f>TEXT(A4632,"MMM-YYYY")</f>
        <v/>
      </c>
      <c r="D4632" s="40">
        <f>INT(A4632)-WEEKDAY(A4632,2)+1</f>
        <v/>
      </c>
      <c r="E4632" s="25" t="inlineStr">
        <is>
          <t>mbhalla</t>
        </is>
      </c>
      <c r="F4632" s="25" t="n">
        <v>130655</v>
      </c>
      <c r="G4632" s="25" t="n">
        <v>4</v>
      </c>
      <c r="H4632" s="25" t="n">
        <v>28</v>
      </c>
      <c r="I4632" s="25" t="inlineStr">
        <is>
          <t>2 minute(s) and 29 second(s)</t>
        </is>
      </c>
      <c r="J4632" s="25">
        <f>IFERROR(VALUE(TRIM(LEFT(I4632,FIND("minute",I4632)-1)))*60,0)+IFERROR(VALUE(SUBSTITUTE(MID(I4632,IFERROR(FIND("and",I4632)+3,1),20),"second(s)","")),0)</f>
        <v/>
      </c>
      <c r="K4632" s="41">
        <f>J4632/60</f>
        <v/>
      </c>
      <c r="L4632" s="41">
        <f>IFERROR(J4632/H4632,"")</f>
        <v/>
      </c>
      <c r="M4632" s="25" t="inlineStr">
        <is>
          <t>2.5.12</t>
        </is>
      </c>
      <c r="N4632" s="25">
        <f>IF(J4632&gt;300,1,0)</f>
        <v/>
      </c>
      <c r="O4632" s="25">
        <f>IF(J4632&gt;600,1,0)</f>
        <v/>
      </c>
      <c r="P4632" s="25">
        <f>IF(H4632&gt;0,J4632,"")</f>
        <v/>
      </c>
      <c r="Q4632" s="25">
        <f>TEXT(A4632,"YYYY-MM-DD HH")</f>
        <v/>
      </c>
      <c r="R4632" s="25">
        <f>COUNTIF($Q$2:$Q$5295,Q4632)</f>
        <v/>
      </c>
      <c r="S4632" s="25">
        <f>IF(R4632&lt;=2,"1-2",IF(R4632&lt;=5,"3-5",IF(R4632&lt;=10,"6-10","11+")))</f>
        <v/>
      </c>
    </row>
    <row r="4633">
      <c r="A4633" s="39" t="n">
        <v>46226.30295138889</v>
      </c>
      <c r="B4633" s="25">
        <f>TEXT(A4633,"YYYY-MM")</f>
        <v/>
      </c>
      <c r="C4633" s="25">
        <f>TEXT(A4633,"MMM-YYYY")</f>
        <v/>
      </c>
      <c r="D4633" s="40">
        <f>INT(A4633)-WEEKDAY(A4633,2)+1</f>
        <v/>
      </c>
      <c r="E4633" s="25" t="inlineStr">
        <is>
          <t>sdey</t>
        </is>
      </c>
      <c r="F4633" s="25" t="n">
        <v>131923</v>
      </c>
      <c r="G4633" s="25" t="n">
        <v>2</v>
      </c>
      <c r="H4633" s="25" t="n">
        <v>10</v>
      </c>
      <c r="I4633" s="25" t="inlineStr">
        <is>
          <t>1 minute(s) and 38 second(s)</t>
        </is>
      </c>
      <c r="J4633" s="25">
        <f>IFERROR(VALUE(TRIM(LEFT(I4633,FIND("minute",I4633)-1)))*60,0)+IFERROR(VALUE(SUBSTITUTE(MID(I4633,IFERROR(FIND("and",I4633)+3,1),20),"second(s)","")),0)</f>
        <v/>
      </c>
      <c r="K4633" s="41">
        <f>J4633/60</f>
        <v/>
      </c>
      <c r="L4633" s="41">
        <f>IFERROR(J4633/H4633,"")</f>
        <v/>
      </c>
      <c r="M4633" s="25" t="inlineStr">
        <is>
          <t>2.5.12</t>
        </is>
      </c>
      <c r="N4633" s="25">
        <f>IF(J4633&gt;300,1,0)</f>
        <v/>
      </c>
      <c r="O4633" s="25">
        <f>IF(J4633&gt;600,1,0)</f>
        <v/>
      </c>
      <c r="P4633" s="25">
        <f>IF(H4633&gt;0,J4633,"")</f>
        <v/>
      </c>
      <c r="Q4633" s="25">
        <f>TEXT(A4633,"YYYY-MM-DD HH")</f>
        <v/>
      </c>
      <c r="R4633" s="25">
        <f>COUNTIF($Q$2:$Q$5295,Q4633)</f>
        <v/>
      </c>
      <c r="S4633" s="25">
        <f>IF(R4633&lt;=2,"1-2",IF(R4633&lt;=5,"3-5",IF(R4633&lt;=10,"6-10","11+")))</f>
        <v/>
      </c>
    </row>
    <row r="4634">
      <c r="A4634" s="39" t="n">
        <v>46226.30318287037</v>
      </c>
      <c r="B4634" s="25">
        <f>TEXT(A4634,"YYYY-MM")</f>
        <v/>
      </c>
      <c r="C4634" s="25">
        <f>TEXT(A4634,"MMM-YYYY")</f>
        <v/>
      </c>
      <c r="D4634" s="40">
        <f>INT(A4634)-WEEKDAY(A4634,2)+1</f>
        <v/>
      </c>
      <c r="E4634" s="25" t="inlineStr">
        <is>
          <t>shassan</t>
        </is>
      </c>
      <c r="F4634" s="25" t="n">
        <v>128143</v>
      </c>
      <c r="G4634" s="25" t="n">
        <v>1</v>
      </c>
      <c r="H4634" s="25" t="n">
        <v>7</v>
      </c>
      <c r="I4634" s="25" t="inlineStr">
        <is>
          <t>52 second(s)</t>
        </is>
      </c>
      <c r="J4634" s="25">
        <f>IFERROR(VALUE(TRIM(LEFT(I4634,FIND("minute",I4634)-1)))*60,0)+IFERROR(VALUE(SUBSTITUTE(MID(I4634,IFERROR(FIND("and",I4634)+3,1),20),"second(s)","")),0)</f>
        <v/>
      </c>
      <c r="K4634" s="41">
        <f>J4634/60</f>
        <v/>
      </c>
      <c r="L4634" s="41">
        <f>IFERROR(J4634/H4634,"")</f>
        <v/>
      </c>
      <c r="M4634" s="25" t="inlineStr">
        <is>
          <t>2.5.12</t>
        </is>
      </c>
      <c r="N4634" s="25">
        <f>IF(J4634&gt;300,1,0)</f>
        <v/>
      </c>
      <c r="O4634" s="25">
        <f>IF(J4634&gt;600,1,0)</f>
        <v/>
      </c>
      <c r="P4634" s="25">
        <f>IF(H4634&gt;0,J4634,"")</f>
        <v/>
      </c>
      <c r="Q4634" s="25">
        <f>TEXT(A4634,"YYYY-MM-DD HH")</f>
        <v/>
      </c>
      <c r="R4634" s="25">
        <f>COUNTIF($Q$2:$Q$5295,Q4634)</f>
        <v/>
      </c>
      <c r="S4634" s="25">
        <f>IF(R4634&lt;=2,"1-2",IF(R4634&lt;=5,"3-5",IF(R4634&lt;=10,"6-10","11+")))</f>
        <v/>
      </c>
    </row>
    <row r="4635">
      <c r="A4635" s="39" t="n">
        <v>46226.31456018519</v>
      </c>
      <c r="B4635" s="25">
        <f>TEXT(A4635,"YYYY-MM")</f>
        <v/>
      </c>
      <c r="C4635" s="25">
        <f>TEXT(A4635,"MMM-YYYY")</f>
        <v/>
      </c>
      <c r="D4635" s="40">
        <f>INT(A4635)-WEEKDAY(A4635,2)+1</f>
        <v/>
      </c>
      <c r="E4635" s="25" t="inlineStr">
        <is>
          <t>ns</t>
        </is>
      </c>
      <c r="F4635" s="25" t="n">
        <v>130903</v>
      </c>
      <c r="G4635" s="25" t="n">
        <v>4</v>
      </c>
      <c r="H4635" s="25" t="n">
        <v>20</v>
      </c>
      <c r="I4635" s="25" t="inlineStr">
        <is>
          <t>1 minute(s) and 51 second(s)</t>
        </is>
      </c>
      <c r="J4635" s="25">
        <f>IFERROR(VALUE(TRIM(LEFT(I4635,FIND("minute",I4635)-1)))*60,0)+IFERROR(VALUE(SUBSTITUTE(MID(I4635,IFERROR(FIND("and",I4635)+3,1),20),"second(s)","")),0)</f>
        <v/>
      </c>
      <c r="K4635" s="41">
        <f>J4635/60</f>
        <v/>
      </c>
      <c r="L4635" s="41">
        <f>IFERROR(J4635/H4635,"")</f>
        <v/>
      </c>
      <c r="M4635" s="25" t="inlineStr">
        <is>
          <t>2.5.12</t>
        </is>
      </c>
      <c r="N4635" s="25">
        <f>IF(J4635&gt;300,1,0)</f>
        <v/>
      </c>
      <c r="O4635" s="25">
        <f>IF(J4635&gt;600,1,0)</f>
        <v/>
      </c>
      <c r="P4635" s="25">
        <f>IF(H4635&gt;0,J4635,"")</f>
        <v/>
      </c>
      <c r="Q4635" s="25">
        <f>TEXT(A4635,"YYYY-MM-DD HH")</f>
        <v/>
      </c>
      <c r="R4635" s="25">
        <f>COUNTIF($Q$2:$Q$5295,Q4635)</f>
        <v/>
      </c>
      <c r="S4635" s="25">
        <f>IF(R4635&lt;=2,"1-2",IF(R4635&lt;=5,"3-5",IF(R4635&lt;=10,"6-10","11+")))</f>
        <v/>
      </c>
    </row>
    <row r="4636">
      <c r="A4636" s="39" t="n">
        <v>46226.31631944444</v>
      </c>
      <c r="B4636" s="25">
        <f>TEXT(A4636,"YYYY-MM")</f>
        <v/>
      </c>
      <c r="C4636" s="25">
        <f>TEXT(A4636,"MMM-YYYY")</f>
        <v/>
      </c>
      <c r="D4636" s="40">
        <f>INT(A4636)-WEEKDAY(A4636,2)+1</f>
        <v/>
      </c>
      <c r="E4636" s="25" t="inlineStr">
        <is>
          <t>shasikha</t>
        </is>
      </c>
      <c r="F4636" s="25" t="n">
        <v>128934</v>
      </c>
      <c r="G4636" s="25" t="n">
        <v>4</v>
      </c>
      <c r="H4636" s="25" t="n">
        <v>14</v>
      </c>
      <c r="I4636" s="25" t="inlineStr">
        <is>
          <t>2 minute(s) and 31 second(s)</t>
        </is>
      </c>
      <c r="J4636" s="25">
        <f>IFERROR(VALUE(TRIM(LEFT(I4636,FIND("minute",I4636)-1)))*60,0)+IFERROR(VALUE(SUBSTITUTE(MID(I4636,IFERROR(FIND("and",I4636)+3,1),20),"second(s)","")),0)</f>
        <v/>
      </c>
      <c r="K4636" s="41">
        <f>J4636/60</f>
        <v/>
      </c>
      <c r="L4636" s="41">
        <f>IFERROR(J4636/H4636,"")</f>
        <v/>
      </c>
      <c r="M4636" s="25" t="inlineStr">
        <is>
          <t>2.5.12</t>
        </is>
      </c>
      <c r="N4636" s="25">
        <f>IF(J4636&gt;300,1,0)</f>
        <v/>
      </c>
      <c r="O4636" s="25">
        <f>IF(J4636&gt;600,1,0)</f>
        <v/>
      </c>
      <c r="P4636" s="25">
        <f>IF(H4636&gt;0,J4636,"")</f>
        <v/>
      </c>
      <c r="Q4636" s="25">
        <f>TEXT(A4636,"YYYY-MM-DD HH")</f>
        <v/>
      </c>
      <c r="R4636" s="25">
        <f>COUNTIF($Q$2:$Q$5295,Q4636)</f>
        <v/>
      </c>
      <c r="S4636" s="25">
        <f>IF(R4636&lt;=2,"1-2",IF(R4636&lt;=5,"3-5",IF(R4636&lt;=10,"6-10","11+")))</f>
        <v/>
      </c>
    </row>
    <row r="4637">
      <c r="A4637" s="39" t="n">
        <v>46226.31856481481</v>
      </c>
      <c r="B4637" s="25">
        <f>TEXT(A4637,"YYYY-MM")</f>
        <v/>
      </c>
      <c r="C4637" s="25">
        <f>TEXT(A4637,"MMM-YYYY")</f>
        <v/>
      </c>
      <c r="D4637" s="40">
        <f>INT(A4637)-WEEKDAY(A4637,2)+1</f>
        <v/>
      </c>
      <c r="E4637" s="25" t="inlineStr">
        <is>
          <t>ssrinivasan</t>
        </is>
      </c>
      <c r="F4637" s="25" t="n">
        <v>129783</v>
      </c>
      <c r="G4637" s="25" t="n">
        <v>4</v>
      </c>
      <c r="H4637" s="25" t="n">
        <v>24</v>
      </c>
      <c r="I4637" s="25" t="inlineStr">
        <is>
          <t>3 minute(s) and 30 second(s)</t>
        </is>
      </c>
      <c r="J4637" s="25">
        <f>IFERROR(VALUE(TRIM(LEFT(I4637,FIND("minute",I4637)-1)))*60,0)+IFERROR(VALUE(SUBSTITUTE(MID(I4637,IFERROR(FIND("and",I4637)+3,1),20),"second(s)","")),0)</f>
        <v/>
      </c>
      <c r="K4637" s="41">
        <f>J4637/60</f>
        <v/>
      </c>
      <c r="L4637" s="41">
        <f>IFERROR(J4637/H4637,"")</f>
        <v/>
      </c>
      <c r="M4637" s="25" t="inlineStr">
        <is>
          <t>2.5.12</t>
        </is>
      </c>
      <c r="N4637" s="25">
        <f>IF(J4637&gt;300,1,0)</f>
        <v/>
      </c>
      <c r="O4637" s="25">
        <f>IF(J4637&gt;600,1,0)</f>
        <v/>
      </c>
      <c r="P4637" s="25">
        <f>IF(H4637&gt;0,J4637,"")</f>
        <v/>
      </c>
      <c r="Q4637" s="25">
        <f>TEXT(A4637,"YYYY-MM-DD HH")</f>
        <v/>
      </c>
      <c r="R4637" s="25">
        <f>COUNTIF($Q$2:$Q$5295,Q4637)</f>
        <v/>
      </c>
      <c r="S4637" s="25">
        <f>IF(R4637&lt;=2,"1-2",IF(R4637&lt;=5,"3-5",IF(R4637&lt;=10,"6-10","11+")))</f>
        <v/>
      </c>
    </row>
    <row r="4638">
      <c r="A4638" s="39" t="n">
        <v>46226.32111111111</v>
      </c>
      <c r="B4638" s="25">
        <f>TEXT(A4638,"YYYY-MM")</f>
        <v/>
      </c>
      <c r="C4638" s="25">
        <f>TEXT(A4638,"MMM-YYYY")</f>
        <v/>
      </c>
      <c r="D4638" s="40">
        <f>INT(A4638)-WEEKDAY(A4638,2)+1</f>
        <v/>
      </c>
      <c r="E4638" s="25" t="inlineStr">
        <is>
          <t>aghosh</t>
        </is>
      </c>
      <c r="F4638" s="25" t="n">
        <v>132903</v>
      </c>
      <c r="G4638" s="25" t="n">
        <v>2</v>
      </c>
      <c r="H4638" s="25" t="n">
        <v>14</v>
      </c>
      <c r="I4638" s="25" t="inlineStr">
        <is>
          <t>1 minute(s) and 57 second(s)</t>
        </is>
      </c>
      <c r="J4638" s="25">
        <f>IFERROR(VALUE(TRIM(LEFT(I4638,FIND("minute",I4638)-1)))*60,0)+IFERROR(VALUE(SUBSTITUTE(MID(I4638,IFERROR(FIND("and",I4638)+3,1),20),"second(s)","")),0)</f>
        <v/>
      </c>
      <c r="K4638" s="41">
        <f>J4638/60</f>
        <v/>
      </c>
      <c r="L4638" s="41">
        <f>IFERROR(J4638/H4638,"")</f>
        <v/>
      </c>
      <c r="M4638" s="25" t="inlineStr">
        <is>
          <t>2.5.12</t>
        </is>
      </c>
      <c r="N4638" s="25">
        <f>IF(J4638&gt;300,1,0)</f>
        <v/>
      </c>
      <c r="O4638" s="25">
        <f>IF(J4638&gt;600,1,0)</f>
        <v/>
      </c>
      <c r="P4638" s="25">
        <f>IF(H4638&gt;0,J4638,"")</f>
        <v/>
      </c>
      <c r="Q4638" s="25">
        <f>TEXT(A4638,"YYYY-MM-DD HH")</f>
        <v/>
      </c>
      <c r="R4638" s="25">
        <f>COUNTIF($Q$2:$Q$5295,Q4638)</f>
        <v/>
      </c>
      <c r="S4638" s="25">
        <f>IF(R4638&lt;=2,"1-2",IF(R4638&lt;=5,"3-5",IF(R4638&lt;=10,"6-10","11+")))</f>
        <v/>
      </c>
    </row>
    <row r="4639">
      <c r="A4639" s="39" t="n">
        <v>46226.32503472222</v>
      </c>
      <c r="B4639" s="25">
        <f>TEXT(A4639,"YYYY-MM")</f>
        <v/>
      </c>
      <c r="C4639" s="25">
        <f>TEXT(A4639,"MMM-YYYY")</f>
        <v/>
      </c>
      <c r="D4639" s="40">
        <f>INT(A4639)-WEEKDAY(A4639,2)+1</f>
        <v/>
      </c>
      <c r="E4639" s="25" t="inlineStr">
        <is>
          <t>ethomas</t>
        </is>
      </c>
      <c r="F4639" s="25" t="n">
        <v>131454</v>
      </c>
      <c r="G4639" s="25" t="n">
        <v>4</v>
      </c>
      <c r="H4639" s="25" t="n">
        <v>24</v>
      </c>
      <c r="I4639" s="25" t="inlineStr">
        <is>
          <t>3 minute(s) and 42 second(s)</t>
        </is>
      </c>
      <c r="J4639" s="25">
        <f>IFERROR(VALUE(TRIM(LEFT(I4639,FIND("minute",I4639)-1)))*60,0)+IFERROR(VALUE(SUBSTITUTE(MID(I4639,IFERROR(FIND("and",I4639)+3,1),20),"second(s)","")),0)</f>
        <v/>
      </c>
      <c r="K4639" s="41">
        <f>J4639/60</f>
        <v/>
      </c>
      <c r="L4639" s="41">
        <f>IFERROR(J4639/H4639,"")</f>
        <v/>
      </c>
      <c r="M4639" s="25" t="inlineStr">
        <is>
          <t>2.5.12</t>
        </is>
      </c>
      <c r="N4639" s="25">
        <f>IF(J4639&gt;300,1,0)</f>
        <v/>
      </c>
      <c r="O4639" s="25">
        <f>IF(J4639&gt;600,1,0)</f>
        <v/>
      </c>
      <c r="P4639" s="25">
        <f>IF(H4639&gt;0,J4639,"")</f>
        <v/>
      </c>
      <c r="Q4639" s="25">
        <f>TEXT(A4639,"YYYY-MM-DD HH")</f>
        <v/>
      </c>
      <c r="R4639" s="25">
        <f>COUNTIF($Q$2:$Q$5295,Q4639)</f>
        <v/>
      </c>
      <c r="S4639" s="25">
        <f>IF(R4639&lt;=2,"1-2",IF(R4639&lt;=5,"3-5",IF(R4639&lt;=10,"6-10","11+")))</f>
        <v/>
      </c>
    </row>
    <row r="4640">
      <c r="A4640" s="39" t="n">
        <v>46226.32517361111</v>
      </c>
      <c r="B4640" s="25">
        <f>TEXT(A4640,"YYYY-MM")</f>
        <v/>
      </c>
      <c r="C4640" s="25">
        <f>TEXT(A4640,"MMM-YYYY")</f>
        <v/>
      </c>
      <c r="D4640" s="40">
        <f>INT(A4640)-WEEKDAY(A4640,2)+1</f>
        <v/>
      </c>
      <c r="E4640" s="25" t="inlineStr">
        <is>
          <t>bverma</t>
        </is>
      </c>
      <c r="F4640" s="25" t="n">
        <v>131655</v>
      </c>
      <c r="G4640" s="25" t="n">
        <v>1</v>
      </c>
      <c r="H4640" s="25" t="n">
        <v>7</v>
      </c>
      <c r="I4640" s="25" t="inlineStr">
        <is>
          <t>37 second(s)</t>
        </is>
      </c>
      <c r="J4640" s="25">
        <f>IFERROR(VALUE(TRIM(LEFT(I4640,FIND("minute",I4640)-1)))*60,0)+IFERROR(VALUE(SUBSTITUTE(MID(I4640,IFERROR(FIND("and",I4640)+3,1),20),"second(s)","")),0)</f>
        <v/>
      </c>
      <c r="K4640" s="41">
        <f>J4640/60</f>
        <v/>
      </c>
      <c r="L4640" s="41">
        <f>IFERROR(J4640/H4640,"")</f>
        <v/>
      </c>
      <c r="M4640" s="25" t="inlineStr">
        <is>
          <t>2.5.12</t>
        </is>
      </c>
      <c r="N4640" s="25">
        <f>IF(J4640&gt;300,1,0)</f>
        <v/>
      </c>
      <c r="O4640" s="25">
        <f>IF(J4640&gt;600,1,0)</f>
        <v/>
      </c>
      <c r="P4640" s="25">
        <f>IF(H4640&gt;0,J4640,"")</f>
        <v/>
      </c>
      <c r="Q4640" s="25">
        <f>TEXT(A4640,"YYYY-MM-DD HH")</f>
        <v/>
      </c>
      <c r="R4640" s="25">
        <f>COUNTIF($Q$2:$Q$5295,Q4640)</f>
        <v/>
      </c>
      <c r="S4640" s="25">
        <f>IF(R4640&lt;=2,"1-2",IF(R4640&lt;=5,"3-5",IF(R4640&lt;=10,"6-10","11+")))</f>
        <v/>
      </c>
    </row>
    <row r="4641">
      <c r="A4641" s="39" t="n">
        <v>46226.32996527778</v>
      </c>
      <c r="B4641" s="25">
        <f>TEXT(A4641,"YYYY-MM")</f>
        <v/>
      </c>
      <c r="C4641" s="25">
        <f>TEXT(A4641,"MMM-YYYY")</f>
        <v/>
      </c>
      <c r="D4641" s="40">
        <f>INT(A4641)-WEEKDAY(A4641,2)+1</f>
        <v/>
      </c>
      <c r="E4641" s="25" t="inlineStr">
        <is>
          <t>pgautam</t>
        </is>
      </c>
      <c r="F4641" s="25" t="n">
        <v>132430</v>
      </c>
      <c r="G4641" s="25" t="n">
        <v>2</v>
      </c>
      <c r="H4641" s="25" t="n">
        <v>10</v>
      </c>
      <c r="I4641" s="25" t="inlineStr">
        <is>
          <t>47 second(s)</t>
        </is>
      </c>
      <c r="J4641" s="25">
        <f>IFERROR(VALUE(TRIM(LEFT(I4641,FIND("minute",I4641)-1)))*60,0)+IFERROR(VALUE(SUBSTITUTE(MID(I4641,IFERROR(FIND("and",I4641)+3,1),20),"second(s)","")),0)</f>
        <v/>
      </c>
      <c r="K4641" s="41">
        <f>J4641/60</f>
        <v/>
      </c>
      <c r="L4641" s="41">
        <f>IFERROR(J4641/H4641,"")</f>
        <v/>
      </c>
      <c r="M4641" s="25" t="inlineStr">
        <is>
          <t>2.5.12</t>
        </is>
      </c>
      <c r="N4641" s="25">
        <f>IF(J4641&gt;300,1,0)</f>
        <v/>
      </c>
      <c r="O4641" s="25">
        <f>IF(J4641&gt;600,1,0)</f>
        <v/>
      </c>
      <c r="P4641" s="25">
        <f>IF(H4641&gt;0,J4641,"")</f>
        <v/>
      </c>
      <c r="Q4641" s="25">
        <f>TEXT(A4641,"YYYY-MM-DD HH")</f>
        <v/>
      </c>
      <c r="R4641" s="25">
        <f>COUNTIF($Q$2:$Q$5295,Q4641)</f>
        <v/>
      </c>
      <c r="S4641" s="25">
        <f>IF(R4641&lt;=2,"1-2",IF(R4641&lt;=5,"3-5",IF(R4641&lt;=10,"6-10","11+")))</f>
        <v/>
      </c>
    </row>
    <row r="4642">
      <c r="A4642" s="39" t="n">
        <v>46226.33046296296</v>
      </c>
      <c r="B4642" s="25">
        <f>TEXT(A4642,"YYYY-MM")</f>
        <v/>
      </c>
      <c r="C4642" s="25">
        <f>TEXT(A4642,"MMM-YYYY")</f>
        <v/>
      </c>
      <c r="D4642" s="40">
        <f>INT(A4642)-WEEKDAY(A4642,2)+1</f>
        <v/>
      </c>
      <c r="E4642" s="25" t="inlineStr">
        <is>
          <t>csaha</t>
        </is>
      </c>
      <c r="F4642" s="25" t="n">
        <v>130910</v>
      </c>
      <c r="G4642" s="25" t="n">
        <v>4</v>
      </c>
      <c r="H4642" s="25" t="n">
        <v>20</v>
      </c>
      <c r="I4642" s="25" t="inlineStr">
        <is>
          <t>2 minute(s) and 9 second(s)</t>
        </is>
      </c>
      <c r="J4642" s="25">
        <f>IFERROR(VALUE(TRIM(LEFT(I4642,FIND("minute",I4642)-1)))*60,0)+IFERROR(VALUE(SUBSTITUTE(MID(I4642,IFERROR(FIND("and",I4642)+3,1),20),"second(s)","")),0)</f>
        <v/>
      </c>
      <c r="K4642" s="41">
        <f>J4642/60</f>
        <v/>
      </c>
      <c r="L4642" s="41">
        <f>IFERROR(J4642/H4642,"")</f>
        <v/>
      </c>
      <c r="M4642" s="25" t="inlineStr">
        <is>
          <t>2.5.12</t>
        </is>
      </c>
      <c r="N4642" s="25">
        <f>IF(J4642&gt;300,1,0)</f>
        <v/>
      </c>
      <c r="O4642" s="25">
        <f>IF(J4642&gt;600,1,0)</f>
        <v/>
      </c>
      <c r="P4642" s="25">
        <f>IF(H4642&gt;0,J4642,"")</f>
        <v/>
      </c>
      <c r="Q4642" s="25">
        <f>TEXT(A4642,"YYYY-MM-DD HH")</f>
        <v/>
      </c>
      <c r="R4642" s="25">
        <f>COUNTIF($Q$2:$Q$5295,Q4642)</f>
        <v/>
      </c>
      <c r="S4642" s="25">
        <f>IF(R4642&lt;=2,"1-2",IF(R4642&lt;=5,"3-5",IF(R4642&lt;=10,"6-10","11+")))</f>
        <v/>
      </c>
    </row>
    <row r="4643">
      <c r="A4643" s="39" t="n">
        <v>46226.33347222222</v>
      </c>
      <c r="B4643" s="25">
        <f>TEXT(A4643,"YYYY-MM")</f>
        <v/>
      </c>
      <c r="C4643" s="25">
        <f>TEXT(A4643,"MMM-YYYY")</f>
        <v/>
      </c>
      <c r="D4643" s="40">
        <f>INT(A4643)-WEEKDAY(A4643,2)+1</f>
        <v/>
      </c>
      <c r="E4643" s="25" t="inlineStr">
        <is>
          <t>sswati</t>
        </is>
      </c>
      <c r="F4643" s="25" t="n">
        <v>128791</v>
      </c>
      <c r="G4643" s="25" t="n">
        <v>1</v>
      </c>
      <c r="H4643" s="25" t="n">
        <v>8</v>
      </c>
      <c r="I4643" s="25" t="inlineStr">
        <is>
          <t>48 second(s)</t>
        </is>
      </c>
      <c r="J4643" s="25">
        <f>IFERROR(VALUE(TRIM(LEFT(I4643,FIND("minute",I4643)-1)))*60,0)+IFERROR(VALUE(SUBSTITUTE(MID(I4643,IFERROR(FIND("and",I4643)+3,1),20),"second(s)","")),0)</f>
        <v/>
      </c>
      <c r="K4643" s="41">
        <f>J4643/60</f>
        <v/>
      </c>
      <c r="L4643" s="41">
        <f>IFERROR(J4643/H4643,"")</f>
        <v/>
      </c>
      <c r="M4643" s="25" t="inlineStr">
        <is>
          <t>2.5.12</t>
        </is>
      </c>
      <c r="N4643" s="25">
        <f>IF(J4643&gt;300,1,0)</f>
        <v/>
      </c>
      <c r="O4643" s="25">
        <f>IF(J4643&gt;600,1,0)</f>
        <v/>
      </c>
      <c r="P4643" s="25">
        <f>IF(H4643&gt;0,J4643,"")</f>
        <v/>
      </c>
      <c r="Q4643" s="25">
        <f>TEXT(A4643,"YYYY-MM-DD HH")</f>
        <v/>
      </c>
      <c r="R4643" s="25">
        <f>COUNTIF($Q$2:$Q$5295,Q4643)</f>
        <v/>
      </c>
      <c r="S4643" s="25">
        <f>IF(R4643&lt;=2,"1-2",IF(R4643&lt;=5,"3-5",IF(R4643&lt;=10,"6-10","11+")))</f>
        <v/>
      </c>
    </row>
    <row r="4644">
      <c r="A4644" s="39" t="n">
        <v>46226.33483796296</v>
      </c>
      <c r="B4644" s="25">
        <f>TEXT(A4644,"YYYY-MM")</f>
        <v/>
      </c>
      <c r="C4644" s="25">
        <f>TEXT(A4644,"MMM-YYYY")</f>
        <v/>
      </c>
      <c r="D4644" s="40">
        <f>INT(A4644)-WEEKDAY(A4644,2)+1</f>
        <v/>
      </c>
      <c r="E4644" s="25" t="inlineStr">
        <is>
          <t>csaha</t>
        </is>
      </c>
      <c r="F4644" s="25" t="n">
        <v>130910</v>
      </c>
      <c r="G4644" s="25" t="n">
        <v>4</v>
      </c>
      <c r="H4644" s="25" t="n">
        <v>20</v>
      </c>
      <c r="I4644" s="25" t="inlineStr">
        <is>
          <t>1 minute(s) and 59 second(s)</t>
        </is>
      </c>
      <c r="J4644" s="25">
        <f>IFERROR(VALUE(TRIM(LEFT(I4644,FIND("minute",I4644)-1)))*60,0)+IFERROR(VALUE(SUBSTITUTE(MID(I4644,IFERROR(FIND("and",I4644)+3,1),20),"second(s)","")),0)</f>
        <v/>
      </c>
      <c r="K4644" s="41">
        <f>J4644/60</f>
        <v/>
      </c>
      <c r="L4644" s="41">
        <f>IFERROR(J4644/H4644,"")</f>
        <v/>
      </c>
      <c r="M4644" s="25" t="inlineStr">
        <is>
          <t>2.5.12</t>
        </is>
      </c>
      <c r="N4644" s="25">
        <f>IF(J4644&gt;300,1,0)</f>
        <v/>
      </c>
      <c r="O4644" s="25">
        <f>IF(J4644&gt;600,1,0)</f>
        <v/>
      </c>
      <c r="P4644" s="25">
        <f>IF(H4644&gt;0,J4644,"")</f>
        <v/>
      </c>
      <c r="Q4644" s="25">
        <f>TEXT(A4644,"YYYY-MM-DD HH")</f>
        <v/>
      </c>
      <c r="R4644" s="25">
        <f>COUNTIF($Q$2:$Q$5295,Q4644)</f>
        <v/>
      </c>
      <c r="S4644" s="25">
        <f>IF(R4644&lt;=2,"1-2",IF(R4644&lt;=5,"3-5",IF(R4644&lt;=10,"6-10","11+")))</f>
        <v/>
      </c>
    </row>
    <row r="4645">
      <c r="A4645" s="39" t="n">
        <v>46226.35090277778</v>
      </c>
      <c r="B4645" s="25">
        <f>TEXT(A4645,"YYYY-MM")</f>
        <v/>
      </c>
      <c r="C4645" s="25">
        <f>TEXT(A4645,"MMM-YYYY")</f>
        <v/>
      </c>
      <c r="D4645" s="40">
        <f>INT(A4645)-WEEKDAY(A4645,2)+1</f>
        <v/>
      </c>
      <c r="E4645" s="25" t="inlineStr">
        <is>
          <t>npriya</t>
        </is>
      </c>
      <c r="F4645" s="25" t="n">
        <v>130499</v>
      </c>
      <c r="G4645" s="25" t="n">
        <v>1</v>
      </c>
      <c r="H4645" s="25" t="n">
        <v>6</v>
      </c>
      <c r="I4645" s="25" t="inlineStr">
        <is>
          <t>1 minute(s) and 0 second(s)</t>
        </is>
      </c>
      <c r="J4645" s="25">
        <f>IFERROR(VALUE(TRIM(LEFT(I4645,FIND("minute",I4645)-1)))*60,0)+IFERROR(VALUE(SUBSTITUTE(MID(I4645,IFERROR(FIND("and",I4645)+3,1),20),"second(s)","")),0)</f>
        <v/>
      </c>
      <c r="K4645" s="41">
        <f>J4645/60</f>
        <v/>
      </c>
      <c r="L4645" s="41">
        <f>IFERROR(J4645/H4645,"")</f>
        <v/>
      </c>
      <c r="M4645" s="25" t="inlineStr">
        <is>
          <t>2.5.12</t>
        </is>
      </c>
      <c r="N4645" s="25">
        <f>IF(J4645&gt;300,1,0)</f>
        <v/>
      </c>
      <c r="O4645" s="25">
        <f>IF(J4645&gt;600,1,0)</f>
        <v/>
      </c>
      <c r="P4645" s="25">
        <f>IF(H4645&gt;0,J4645,"")</f>
        <v/>
      </c>
      <c r="Q4645" s="25">
        <f>TEXT(A4645,"YYYY-MM-DD HH")</f>
        <v/>
      </c>
      <c r="R4645" s="25">
        <f>COUNTIF($Q$2:$Q$5295,Q4645)</f>
        <v/>
      </c>
      <c r="S4645" s="25">
        <f>IF(R4645&lt;=2,"1-2",IF(R4645&lt;=5,"3-5",IF(R4645&lt;=10,"6-10","11+")))</f>
        <v/>
      </c>
    </row>
    <row r="4646">
      <c r="A4646" s="39" t="n">
        <v>46226.35111111111</v>
      </c>
      <c r="B4646" s="25">
        <f>TEXT(A4646,"YYYY-MM")</f>
        <v/>
      </c>
      <c r="C4646" s="25">
        <f>TEXT(A4646,"MMM-YYYY")</f>
        <v/>
      </c>
      <c r="D4646" s="40">
        <f>INT(A4646)-WEEKDAY(A4646,2)+1</f>
        <v/>
      </c>
      <c r="E4646" s="25" t="inlineStr">
        <is>
          <t>hsindwani</t>
        </is>
      </c>
      <c r="F4646" s="25" t="n">
        <v>128442</v>
      </c>
      <c r="G4646" s="25" t="n">
        <v>1</v>
      </c>
      <c r="H4646" s="25" t="n">
        <v>5</v>
      </c>
      <c r="I4646" s="25" t="inlineStr">
        <is>
          <t>28 second(s)</t>
        </is>
      </c>
      <c r="J4646" s="25">
        <f>IFERROR(VALUE(TRIM(LEFT(I4646,FIND("minute",I4646)-1)))*60,0)+IFERROR(VALUE(SUBSTITUTE(MID(I4646,IFERROR(FIND("and",I4646)+3,1),20),"second(s)","")),0)</f>
        <v/>
      </c>
      <c r="K4646" s="41">
        <f>J4646/60</f>
        <v/>
      </c>
      <c r="L4646" s="41">
        <f>IFERROR(J4646/H4646,"")</f>
        <v/>
      </c>
      <c r="M4646" s="25" t="inlineStr">
        <is>
          <t>2.5.12</t>
        </is>
      </c>
      <c r="N4646" s="25">
        <f>IF(J4646&gt;300,1,0)</f>
        <v/>
      </c>
      <c r="O4646" s="25">
        <f>IF(J4646&gt;600,1,0)</f>
        <v/>
      </c>
      <c r="P4646" s="25">
        <f>IF(H4646&gt;0,J4646,"")</f>
        <v/>
      </c>
      <c r="Q4646" s="25">
        <f>TEXT(A4646,"YYYY-MM-DD HH")</f>
        <v/>
      </c>
      <c r="R4646" s="25">
        <f>COUNTIF($Q$2:$Q$5295,Q4646)</f>
        <v/>
      </c>
      <c r="S4646" s="25">
        <f>IF(R4646&lt;=2,"1-2",IF(R4646&lt;=5,"3-5",IF(R4646&lt;=10,"6-10","11+")))</f>
        <v/>
      </c>
    </row>
    <row r="4647">
      <c r="A4647" s="39" t="n">
        <v>46226.35300925926</v>
      </c>
      <c r="B4647" s="25">
        <f>TEXT(A4647,"YYYY-MM")</f>
        <v/>
      </c>
      <c r="C4647" s="25">
        <f>TEXT(A4647,"MMM-YYYY")</f>
        <v/>
      </c>
      <c r="D4647" s="40">
        <f>INT(A4647)-WEEKDAY(A4647,2)+1</f>
        <v/>
      </c>
      <c r="E4647" s="25" t="inlineStr">
        <is>
          <t>npriya</t>
        </is>
      </c>
      <c r="F4647" s="25" t="n">
        <v>130499</v>
      </c>
      <c r="G4647" s="25" t="n">
        <v>1</v>
      </c>
      <c r="H4647" s="25" t="n">
        <v>6</v>
      </c>
      <c r="I4647" s="25" t="inlineStr">
        <is>
          <t>48 second(s)</t>
        </is>
      </c>
      <c r="J4647" s="25">
        <f>IFERROR(VALUE(TRIM(LEFT(I4647,FIND("minute",I4647)-1)))*60,0)+IFERROR(VALUE(SUBSTITUTE(MID(I4647,IFERROR(FIND("and",I4647)+3,1),20),"second(s)","")),0)</f>
        <v/>
      </c>
      <c r="K4647" s="41">
        <f>J4647/60</f>
        <v/>
      </c>
      <c r="L4647" s="41">
        <f>IFERROR(J4647/H4647,"")</f>
        <v/>
      </c>
      <c r="M4647" s="25" t="inlineStr">
        <is>
          <t>2.5.12</t>
        </is>
      </c>
      <c r="N4647" s="25">
        <f>IF(J4647&gt;300,1,0)</f>
        <v/>
      </c>
      <c r="O4647" s="25">
        <f>IF(J4647&gt;600,1,0)</f>
        <v/>
      </c>
      <c r="P4647" s="25">
        <f>IF(H4647&gt;0,J4647,"")</f>
        <v/>
      </c>
      <c r="Q4647" s="25">
        <f>TEXT(A4647,"YYYY-MM-DD HH")</f>
        <v/>
      </c>
      <c r="R4647" s="25">
        <f>COUNTIF($Q$2:$Q$5295,Q4647)</f>
        <v/>
      </c>
      <c r="S4647" s="25">
        <f>IF(R4647&lt;=2,"1-2",IF(R4647&lt;=5,"3-5",IF(R4647&lt;=10,"6-10","11+")))</f>
        <v/>
      </c>
    </row>
    <row r="4648">
      <c r="A4648" s="39" t="n">
        <v>46226.35407407407</v>
      </c>
      <c r="B4648" s="25">
        <f>TEXT(A4648,"YYYY-MM")</f>
        <v/>
      </c>
      <c r="C4648" s="25">
        <f>TEXT(A4648,"MMM-YYYY")</f>
        <v/>
      </c>
      <c r="D4648" s="40">
        <f>INT(A4648)-WEEKDAY(A4648,2)+1</f>
        <v/>
      </c>
      <c r="E4648" s="25" t="inlineStr">
        <is>
          <t>bverma</t>
        </is>
      </c>
      <c r="F4648" s="25" t="n">
        <v>130886</v>
      </c>
      <c r="G4648" s="25" t="n">
        <v>1</v>
      </c>
      <c r="H4648" s="25" t="n">
        <v>5</v>
      </c>
      <c r="I4648" s="25" t="inlineStr">
        <is>
          <t>31 second(s)</t>
        </is>
      </c>
      <c r="J4648" s="25">
        <f>IFERROR(VALUE(TRIM(LEFT(I4648,FIND("minute",I4648)-1)))*60,0)+IFERROR(VALUE(SUBSTITUTE(MID(I4648,IFERROR(FIND("and",I4648)+3,1),20),"second(s)","")),0)</f>
        <v/>
      </c>
      <c r="K4648" s="41">
        <f>J4648/60</f>
        <v/>
      </c>
      <c r="L4648" s="41">
        <f>IFERROR(J4648/H4648,"")</f>
        <v/>
      </c>
      <c r="M4648" s="25" t="inlineStr">
        <is>
          <t>2.5.12</t>
        </is>
      </c>
      <c r="N4648" s="25">
        <f>IF(J4648&gt;300,1,0)</f>
        <v/>
      </c>
      <c r="O4648" s="25">
        <f>IF(J4648&gt;600,1,0)</f>
        <v/>
      </c>
      <c r="P4648" s="25">
        <f>IF(H4648&gt;0,J4648,"")</f>
        <v/>
      </c>
      <c r="Q4648" s="25">
        <f>TEXT(A4648,"YYYY-MM-DD HH")</f>
        <v/>
      </c>
      <c r="R4648" s="25">
        <f>COUNTIF($Q$2:$Q$5295,Q4648)</f>
        <v/>
      </c>
      <c r="S4648" s="25">
        <f>IF(R4648&lt;=2,"1-2",IF(R4648&lt;=5,"3-5",IF(R4648&lt;=10,"6-10","11+")))</f>
        <v/>
      </c>
    </row>
    <row r="4649">
      <c r="A4649" s="39" t="n">
        <v>46226.3565162037</v>
      </c>
      <c r="B4649" s="25">
        <f>TEXT(A4649,"YYYY-MM")</f>
        <v/>
      </c>
      <c r="C4649" s="25">
        <f>TEXT(A4649,"MMM-YYYY")</f>
        <v/>
      </c>
      <c r="D4649" s="40">
        <f>INT(A4649)-WEEKDAY(A4649,2)+1</f>
        <v/>
      </c>
      <c r="E4649" s="25" t="inlineStr">
        <is>
          <t>kkumar</t>
        </is>
      </c>
      <c r="F4649" s="25" t="n">
        <v>130744</v>
      </c>
      <c r="G4649" s="25" t="n">
        <v>4</v>
      </c>
      <c r="H4649" s="25" t="n">
        <v>28</v>
      </c>
      <c r="I4649" s="25" t="inlineStr">
        <is>
          <t>2 minute(s) and 8 second(s)</t>
        </is>
      </c>
      <c r="J4649" s="25">
        <f>IFERROR(VALUE(TRIM(LEFT(I4649,FIND("minute",I4649)-1)))*60,0)+IFERROR(VALUE(SUBSTITUTE(MID(I4649,IFERROR(FIND("and",I4649)+3,1),20),"second(s)","")),0)</f>
        <v/>
      </c>
      <c r="K4649" s="41">
        <f>J4649/60</f>
        <v/>
      </c>
      <c r="L4649" s="41">
        <f>IFERROR(J4649/H4649,"")</f>
        <v/>
      </c>
      <c r="M4649" s="25" t="inlineStr">
        <is>
          <t>2.5.12</t>
        </is>
      </c>
      <c r="N4649" s="25">
        <f>IF(J4649&gt;300,1,0)</f>
        <v/>
      </c>
      <c r="O4649" s="25">
        <f>IF(J4649&gt;600,1,0)</f>
        <v/>
      </c>
      <c r="P4649" s="25">
        <f>IF(H4649&gt;0,J4649,"")</f>
        <v/>
      </c>
      <c r="Q4649" s="25">
        <f>TEXT(A4649,"YYYY-MM-DD HH")</f>
        <v/>
      </c>
      <c r="R4649" s="25">
        <f>COUNTIF($Q$2:$Q$5295,Q4649)</f>
        <v/>
      </c>
      <c r="S4649" s="25">
        <f>IF(R4649&lt;=2,"1-2",IF(R4649&lt;=5,"3-5",IF(R4649&lt;=10,"6-10","11+")))</f>
        <v/>
      </c>
    </row>
    <row r="4650">
      <c r="A4650" s="39" t="n">
        <v>46226.35768518518</v>
      </c>
      <c r="B4650" s="25">
        <f>TEXT(A4650,"YYYY-MM")</f>
        <v/>
      </c>
      <c r="C4650" s="25">
        <f>TEXT(A4650,"MMM-YYYY")</f>
        <v/>
      </c>
      <c r="D4650" s="40">
        <f>INT(A4650)-WEEKDAY(A4650,2)+1</f>
        <v/>
      </c>
      <c r="E4650" s="25" t="inlineStr">
        <is>
          <t>psathwika</t>
        </is>
      </c>
      <c r="F4650" s="25" t="n">
        <v>131231</v>
      </c>
      <c r="G4650" s="25" t="n">
        <v>4</v>
      </c>
      <c r="H4650" s="25" t="n">
        <v>20</v>
      </c>
      <c r="I4650" s="25" t="inlineStr">
        <is>
          <t>2 minute(s) and 4 second(s)</t>
        </is>
      </c>
      <c r="J4650" s="25">
        <f>IFERROR(VALUE(TRIM(LEFT(I4650,FIND("minute",I4650)-1)))*60,0)+IFERROR(VALUE(SUBSTITUTE(MID(I4650,IFERROR(FIND("and",I4650)+3,1),20),"second(s)","")),0)</f>
        <v/>
      </c>
      <c r="K4650" s="41">
        <f>J4650/60</f>
        <v/>
      </c>
      <c r="L4650" s="41">
        <f>IFERROR(J4650/H4650,"")</f>
        <v/>
      </c>
      <c r="M4650" s="25" t="inlineStr">
        <is>
          <t>2.5.12</t>
        </is>
      </c>
      <c r="N4650" s="25">
        <f>IF(J4650&gt;300,1,0)</f>
        <v/>
      </c>
      <c r="O4650" s="25">
        <f>IF(J4650&gt;600,1,0)</f>
        <v/>
      </c>
      <c r="P4650" s="25">
        <f>IF(H4650&gt;0,J4650,"")</f>
        <v/>
      </c>
      <c r="Q4650" s="25">
        <f>TEXT(A4650,"YYYY-MM-DD HH")</f>
        <v/>
      </c>
      <c r="R4650" s="25">
        <f>COUNTIF($Q$2:$Q$5295,Q4650)</f>
        <v/>
      </c>
      <c r="S4650" s="25">
        <f>IF(R4650&lt;=2,"1-2",IF(R4650&lt;=5,"3-5",IF(R4650&lt;=10,"6-10","11+")))</f>
        <v/>
      </c>
    </row>
    <row r="4651">
      <c r="A4651" s="39" t="n">
        <v>46226.36434027777</v>
      </c>
      <c r="B4651" s="25">
        <f>TEXT(A4651,"YYYY-MM")</f>
        <v/>
      </c>
      <c r="C4651" s="25">
        <f>TEXT(A4651,"MMM-YYYY")</f>
        <v/>
      </c>
      <c r="D4651" s="40">
        <f>INT(A4651)-WEEKDAY(A4651,2)+1</f>
        <v/>
      </c>
      <c r="E4651" s="25" t="inlineStr">
        <is>
          <t>sasharma</t>
        </is>
      </c>
      <c r="F4651" s="25" t="n">
        <v>131992</v>
      </c>
      <c r="G4651" s="25" t="n">
        <v>1</v>
      </c>
      <c r="H4651" s="25" t="n">
        <v>5</v>
      </c>
      <c r="I4651" s="25" t="inlineStr">
        <is>
          <t>22 second(s)</t>
        </is>
      </c>
      <c r="J4651" s="25">
        <f>IFERROR(VALUE(TRIM(LEFT(I4651,FIND("minute",I4651)-1)))*60,0)+IFERROR(VALUE(SUBSTITUTE(MID(I4651,IFERROR(FIND("and",I4651)+3,1),20),"second(s)","")),0)</f>
        <v/>
      </c>
      <c r="K4651" s="41">
        <f>J4651/60</f>
        <v/>
      </c>
      <c r="L4651" s="41">
        <f>IFERROR(J4651/H4651,"")</f>
        <v/>
      </c>
      <c r="M4651" s="25" t="inlineStr">
        <is>
          <t>2.5.12</t>
        </is>
      </c>
      <c r="N4651" s="25">
        <f>IF(J4651&gt;300,1,0)</f>
        <v/>
      </c>
      <c r="O4651" s="25">
        <f>IF(J4651&gt;600,1,0)</f>
        <v/>
      </c>
      <c r="P4651" s="25">
        <f>IF(H4651&gt;0,J4651,"")</f>
        <v/>
      </c>
      <c r="Q4651" s="25">
        <f>TEXT(A4651,"YYYY-MM-DD HH")</f>
        <v/>
      </c>
      <c r="R4651" s="25">
        <f>COUNTIF($Q$2:$Q$5295,Q4651)</f>
        <v/>
      </c>
      <c r="S4651" s="25">
        <f>IF(R4651&lt;=2,"1-2",IF(R4651&lt;=5,"3-5",IF(R4651&lt;=10,"6-10","11+")))</f>
        <v/>
      </c>
    </row>
    <row r="4652">
      <c r="A4652" s="39" t="n">
        <v>46226.36908564815</v>
      </c>
      <c r="B4652" s="25">
        <f>TEXT(A4652,"YYYY-MM")</f>
        <v/>
      </c>
      <c r="C4652" s="25">
        <f>TEXT(A4652,"MMM-YYYY")</f>
        <v/>
      </c>
      <c r="D4652" s="40">
        <f>INT(A4652)-WEEKDAY(A4652,2)+1</f>
        <v/>
      </c>
      <c r="E4652" s="25" t="inlineStr">
        <is>
          <t>tkarmakar</t>
        </is>
      </c>
      <c r="F4652" s="25" t="n">
        <v>131702</v>
      </c>
      <c r="G4652" s="25" t="n">
        <v>4</v>
      </c>
      <c r="H4652" s="25" t="n">
        <v>18</v>
      </c>
      <c r="I4652" s="25" t="inlineStr">
        <is>
          <t>1 minute(s) and 55 second(s)</t>
        </is>
      </c>
      <c r="J4652" s="25">
        <f>IFERROR(VALUE(TRIM(LEFT(I4652,FIND("minute",I4652)-1)))*60,0)+IFERROR(VALUE(SUBSTITUTE(MID(I4652,IFERROR(FIND("and",I4652)+3,1),20),"second(s)","")),0)</f>
        <v/>
      </c>
      <c r="K4652" s="41">
        <f>J4652/60</f>
        <v/>
      </c>
      <c r="L4652" s="41">
        <f>IFERROR(J4652/H4652,"")</f>
        <v/>
      </c>
      <c r="M4652" s="25" t="inlineStr">
        <is>
          <t>2.5.12</t>
        </is>
      </c>
      <c r="N4652" s="25">
        <f>IF(J4652&gt;300,1,0)</f>
        <v/>
      </c>
      <c r="O4652" s="25">
        <f>IF(J4652&gt;600,1,0)</f>
        <v/>
      </c>
      <c r="P4652" s="25">
        <f>IF(H4652&gt;0,J4652,"")</f>
        <v/>
      </c>
      <c r="Q4652" s="25">
        <f>TEXT(A4652,"YYYY-MM-DD HH")</f>
        <v/>
      </c>
      <c r="R4652" s="25">
        <f>COUNTIF($Q$2:$Q$5295,Q4652)</f>
        <v/>
      </c>
      <c r="S4652" s="25">
        <f>IF(R4652&lt;=2,"1-2",IF(R4652&lt;=5,"3-5",IF(R4652&lt;=10,"6-10","11+")))</f>
        <v/>
      </c>
    </row>
    <row r="4653">
      <c r="A4653" s="39" t="n">
        <v>46226.36946759259</v>
      </c>
      <c r="B4653" s="25">
        <f>TEXT(A4653,"YYYY-MM")</f>
        <v/>
      </c>
      <c r="C4653" s="25">
        <f>TEXT(A4653,"MMM-YYYY")</f>
        <v/>
      </c>
      <c r="D4653" s="40">
        <f>INT(A4653)-WEEKDAY(A4653,2)+1</f>
        <v/>
      </c>
      <c r="E4653" s="25" t="inlineStr">
        <is>
          <t>pgautam</t>
        </is>
      </c>
      <c r="F4653" s="25" t="n">
        <v>132290</v>
      </c>
      <c r="G4653" s="25" t="n">
        <v>4</v>
      </c>
      <c r="H4653" s="25" t="n">
        <v>28</v>
      </c>
      <c r="I4653" s="25" t="inlineStr">
        <is>
          <t>2 minute(s) and 30 second(s)</t>
        </is>
      </c>
      <c r="J4653" s="25">
        <f>IFERROR(VALUE(TRIM(LEFT(I4653,FIND("minute",I4653)-1)))*60,0)+IFERROR(VALUE(SUBSTITUTE(MID(I4653,IFERROR(FIND("and",I4653)+3,1),20),"second(s)","")),0)</f>
        <v/>
      </c>
      <c r="K4653" s="41">
        <f>J4653/60</f>
        <v/>
      </c>
      <c r="L4653" s="41">
        <f>IFERROR(J4653/H4653,"")</f>
        <v/>
      </c>
      <c r="M4653" s="25" t="inlineStr">
        <is>
          <t>2.5.12</t>
        </is>
      </c>
      <c r="N4653" s="25">
        <f>IF(J4653&gt;300,1,0)</f>
        <v/>
      </c>
      <c r="O4653" s="25">
        <f>IF(J4653&gt;600,1,0)</f>
        <v/>
      </c>
      <c r="P4653" s="25">
        <f>IF(H4653&gt;0,J4653,"")</f>
        <v/>
      </c>
      <c r="Q4653" s="25">
        <f>TEXT(A4653,"YYYY-MM-DD HH")</f>
        <v/>
      </c>
      <c r="R4653" s="25">
        <f>COUNTIF($Q$2:$Q$5295,Q4653)</f>
        <v/>
      </c>
      <c r="S4653" s="25">
        <f>IF(R4653&lt;=2,"1-2",IF(R4653&lt;=5,"3-5",IF(R4653&lt;=10,"6-10","11+")))</f>
        <v/>
      </c>
    </row>
    <row r="4654">
      <c r="A4654" s="39" t="n">
        <v>46226.37258101852</v>
      </c>
      <c r="B4654" s="25">
        <f>TEXT(A4654,"YYYY-MM")</f>
        <v/>
      </c>
      <c r="C4654" s="25">
        <f>TEXT(A4654,"MMM-YYYY")</f>
        <v/>
      </c>
      <c r="D4654" s="40">
        <f>INT(A4654)-WEEKDAY(A4654,2)+1</f>
        <v/>
      </c>
      <c r="E4654" s="25" t="inlineStr">
        <is>
          <t>mgupta</t>
        </is>
      </c>
      <c r="F4654" s="25" t="n">
        <v>131288</v>
      </c>
      <c r="G4654" s="25" t="n">
        <v>4</v>
      </c>
      <c r="H4654" s="25" t="n">
        <v>20</v>
      </c>
      <c r="I4654" s="25" t="inlineStr">
        <is>
          <t>1 minute(s) and 40 second(s)</t>
        </is>
      </c>
      <c r="J4654" s="25">
        <f>IFERROR(VALUE(TRIM(LEFT(I4654,FIND("minute",I4654)-1)))*60,0)+IFERROR(VALUE(SUBSTITUTE(MID(I4654,IFERROR(FIND("and",I4654)+3,1),20),"second(s)","")),0)</f>
        <v/>
      </c>
      <c r="K4654" s="41">
        <f>J4654/60</f>
        <v/>
      </c>
      <c r="L4654" s="41">
        <f>IFERROR(J4654/H4654,"")</f>
        <v/>
      </c>
      <c r="M4654" s="25" t="inlineStr">
        <is>
          <t>2.5.12</t>
        </is>
      </c>
      <c r="N4654" s="25">
        <f>IF(J4654&gt;300,1,0)</f>
        <v/>
      </c>
      <c r="O4654" s="25">
        <f>IF(J4654&gt;600,1,0)</f>
        <v/>
      </c>
      <c r="P4654" s="25">
        <f>IF(H4654&gt;0,J4654,"")</f>
        <v/>
      </c>
      <c r="Q4654" s="25">
        <f>TEXT(A4654,"YYYY-MM-DD HH")</f>
        <v/>
      </c>
      <c r="R4654" s="25">
        <f>COUNTIF($Q$2:$Q$5295,Q4654)</f>
        <v/>
      </c>
      <c r="S4654" s="25">
        <f>IF(R4654&lt;=2,"1-2",IF(R4654&lt;=5,"3-5",IF(R4654&lt;=10,"6-10","11+")))</f>
        <v/>
      </c>
    </row>
    <row r="4655">
      <c r="A4655" s="39" t="n">
        <v>46226.37490740741</v>
      </c>
      <c r="B4655" s="25">
        <f>TEXT(A4655,"YYYY-MM")</f>
        <v/>
      </c>
      <c r="C4655" s="25">
        <f>TEXT(A4655,"MMM-YYYY")</f>
        <v/>
      </c>
      <c r="D4655" s="40">
        <f>INT(A4655)-WEEKDAY(A4655,2)+1</f>
        <v/>
      </c>
      <c r="E4655" s="25" t="inlineStr">
        <is>
          <t>mbhalla</t>
        </is>
      </c>
      <c r="F4655" s="25" t="n">
        <v>130663</v>
      </c>
      <c r="G4655" s="25" t="n">
        <v>4</v>
      </c>
      <c r="H4655" s="25" t="n">
        <v>22</v>
      </c>
      <c r="I4655" s="25" t="inlineStr">
        <is>
          <t>2 minute(s) and 5 second(s)</t>
        </is>
      </c>
      <c r="J4655" s="25">
        <f>IFERROR(VALUE(TRIM(LEFT(I4655,FIND("minute",I4655)-1)))*60,0)+IFERROR(VALUE(SUBSTITUTE(MID(I4655,IFERROR(FIND("and",I4655)+3,1),20),"second(s)","")),0)</f>
        <v/>
      </c>
      <c r="K4655" s="41">
        <f>J4655/60</f>
        <v/>
      </c>
      <c r="L4655" s="41">
        <f>IFERROR(J4655/H4655,"")</f>
        <v/>
      </c>
      <c r="M4655" s="25" t="inlineStr">
        <is>
          <t>2.5.12</t>
        </is>
      </c>
      <c r="N4655" s="25">
        <f>IF(J4655&gt;300,1,0)</f>
        <v/>
      </c>
      <c r="O4655" s="25">
        <f>IF(J4655&gt;600,1,0)</f>
        <v/>
      </c>
      <c r="P4655" s="25">
        <f>IF(H4655&gt;0,J4655,"")</f>
        <v/>
      </c>
      <c r="Q4655" s="25">
        <f>TEXT(A4655,"YYYY-MM-DD HH")</f>
        <v/>
      </c>
      <c r="R4655" s="25">
        <f>COUNTIF($Q$2:$Q$5295,Q4655)</f>
        <v/>
      </c>
      <c r="S4655" s="25">
        <f>IF(R4655&lt;=2,"1-2",IF(R4655&lt;=5,"3-5",IF(R4655&lt;=10,"6-10","11+")))</f>
        <v/>
      </c>
    </row>
    <row r="4656">
      <c r="A4656" s="39" t="n">
        <v>46226.38387731482</v>
      </c>
      <c r="B4656" s="25">
        <f>TEXT(A4656,"YYYY-MM")</f>
        <v/>
      </c>
      <c r="C4656" s="25">
        <f>TEXT(A4656,"MMM-YYYY")</f>
        <v/>
      </c>
      <c r="D4656" s="40">
        <f>INT(A4656)-WEEKDAY(A4656,2)+1</f>
        <v/>
      </c>
      <c r="E4656" s="25" t="inlineStr">
        <is>
          <t>ethomas</t>
        </is>
      </c>
      <c r="F4656" s="25" t="n">
        <v>129024</v>
      </c>
      <c r="G4656" s="25" t="n">
        <v>1</v>
      </c>
      <c r="H4656" s="25" t="n">
        <v>7</v>
      </c>
      <c r="I4656" s="25" t="inlineStr">
        <is>
          <t>34 second(s)</t>
        </is>
      </c>
      <c r="J4656" s="25">
        <f>IFERROR(VALUE(TRIM(LEFT(I4656,FIND("minute",I4656)-1)))*60,0)+IFERROR(VALUE(SUBSTITUTE(MID(I4656,IFERROR(FIND("and",I4656)+3,1),20),"second(s)","")),0)</f>
        <v/>
      </c>
      <c r="K4656" s="41">
        <f>J4656/60</f>
        <v/>
      </c>
      <c r="L4656" s="41">
        <f>IFERROR(J4656/H4656,"")</f>
        <v/>
      </c>
      <c r="M4656" s="25" t="inlineStr">
        <is>
          <t>2.5.12</t>
        </is>
      </c>
      <c r="N4656" s="25">
        <f>IF(J4656&gt;300,1,0)</f>
        <v/>
      </c>
      <c r="O4656" s="25">
        <f>IF(J4656&gt;600,1,0)</f>
        <v/>
      </c>
      <c r="P4656" s="25">
        <f>IF(H4656&gt;0,J4656,"")</f>
        <v/>
      </c>
      <c r="Q4656" s="25">
        <f>TEXT(A4656,"YYYY-MM-DD HH")</f>
        <v/>
      </c>
      <c r="R4656" s="25">
        <f>COUNTIF($Q$2:$Q$5295,Q4656)</f>
        <v/>
      </c>
      <c r="S4656" s="25">
        <f>IF(R4656&lt;=2,"1-2",IF(R4656&lt;=5,"3-5",IF(R4656&lt;=10,"6-10","11+")))</f>
        <v/>
      </c>
    </row>
    <row r="4657">
      <c r="A4657" s="39" t="n">
        <v>46226.38947916667</v>
      </c>
      <c r="B4657" s="25">
        <f>TEXT(A4657,"YYYY-MM")</f>
        <v/>
      </c>
      <c r="C4657" s="25">
        <f>TEXT(A4657,"MMM-YYYY")</f>
        <v/>
      </c>
      <c r="D4657" s="40">
        <f>INT(A4657)-WEEKDAY(A4657,2)+1</f>
        <v/>
      </c>
      <c r="E4657" s="25" t="inlineStr">
        <is>
          <t>dchoudhury</t>
        </is>
      </c>
      <c r="F4657" s="25" t="n">
        <v>131238</v>
      </c>
      <c r="G4657" s="25" t="n">
        <v>4</v>
      </c>
      <c r="H4657" s="25" t="n">
        <v>20</v>
      </c>
      <c r="I4657" s="25" t="inlineStr">
        <is>
          <t>2 minute(s) and 5 second(s)</t>
        </is>
      </c>
      <c r="J4657" s="25">
        <f>IFERROR(VALUE(TRIM(LEFT(I4657,FIND("minute",I4657)-1)))*60,0)+IFERROR(VALUE(SUBSTITUTE(MID(I4657,IFERROR(FIND("and",I4657)+3,1),20),"second(s)","")),0)</f>
        <v/>
      </c>
      <c r="K4657" s="41">
        <f>J4657/60</f>
        <v/>
      </c>
      <c r="L4657" s="41">
        <f>IFERROR(J4657/H4657,"")</f>
        <v/>
      </c>
      <c r="M4657" s="25" t="inlineStr">
        <is>
          <t>2.5.12</t>
        </is>
      </c>
      <c r="N4657" s="25">
        <f>IF(J4657&gt;300,1,0)</f>
        <v/>
      </c>
      <c r="O4657" s="25">
        <f>IF(J4657&gt;600,1,0)</f>
        <v/>
      </c>
      <c r="P4657" s="25">
        <f>IF(H4657&gt;0,J4657,"")</f>
        <v/>
      </c>
      <c r="Q4657" s="25">
        <f>TEXT(A4657,"YYYY-MM-DD HH")</f>
        <v/>
      </c>
      <c r="R4657" s="25">
        <f>COUNTIF($Q$2:$Q$5295,Q4657)</f>
        <v/>
      </c>
      <c r="S4657" s="25">
        <f>IF(R4657&lt;=2,"1-2",IF(R4657&lt;=5,"3-5",IF(R4657&lt;=10,"6-10","11+")))</f>
        <v/>
      </c>
    </row>
    <row r="4658">
      <c r="A4658" s="39" t="n">
        <v>46226.39520833334</v>
      </c>
      <c r="B4658" s="25">
        <f>TEXT(A4658,"YYYY-MM")</f>
        <v/>
      </c>
      <c r="C4658" s="25">
        <f>TEXT(A4658,"MMM-YYYY")</f>
        <v/>
      </c>
      <c r="D4658" s="40">
        <f>INT(A4658)-WEEKDAY(A4658,2)+1</f>
        <v/>
      </c>
      <c r="E4658" s="25" t="inlineStr">
        <is>
          <t>npriya</t>
        </is>
      </c>
      <c r="F4658" s="25" t="n">
        <v>129648</v>
      </c>
      <c r="G4658" s="25" t="n">
        <v>2</v>
      </c>
      <c r="H4658" s="25" t="n">
        <v>8</v>
      </c>
      <c r="I4658" s="25" t="inlineStr">
        <is>
          <t>2 minute(s) and 38 second(s)</t>
        </is>
      </c>
      <c r="J4658" s="25">
        <f>IFERROR(VALUE(TRIM(LEFT(I4658,FIND("minute",I4658)-1)))*60,0)+IFERROR(VALUE(SUBSTITUTE(MID(I4658,IFERROR(FIND("and",I4658)+3,1),20),"second(s)","")),0)</f>
        <v/>
      </c>
      <c r="K4658" s="41">
        <f>J4658/60</f>
        <v/>
      </c>
      <c r="L4658" s="41">
        <f>IFERROR(J4658/H4658,"")</f>
        <v/>
      </c>
      <c r="M4658" s="25" t="inlineStr">
        <is>
          <t>2.5.12</t>
        </is>
      </c>
      <c r="N4658" s="25">
        <f>IF(J4658&gt;300,1,0)</f>
        <v/>
      </c>
      <c r="O4658" s="25">
        <f>IF(J4658&gt;600,1,0)</f>
        <v/>
      </c>
      <c r="P4658" s="25">
        <f>IF(H4658&gt;0,J4658,"")</f>
        <v/>
      </c>
      <c r="Q4658" s="25">
        <f>TEXT(A4658,"YYYY-MM-DD HH")</f>
        <v/>
      </c>
      <c r="R4658" s="25">
        <f>COUNTIF($Q$2:$Q$5295,Q4658)</f>
        <v/>
      </c>
      <c r="S4658" s="25">
        <f>IF(R4658&lt;=2,"1-2",IF(R4658&lt;=5,"3-5",IF(R4658&lt;=10,"6-10","11+")))</f>
        <v/>
      </c>
    </row>
    <row r="4659">
      <c r="A4659" s="39" t="n">
        <v>46226.39864583333</v>
      </c>
      <c r="B4659" s="25">
        <f>TEXT(A4659,"YYYY-MM")</f>
        <v/>
      </c>
      <c r="C4659" s="25">
        <f>TEXT(A4659,"MMM-YYYY")</f>
        <v/>
      </c>
      <c r="D4659" s="40">
        <f>INT(A4659)-WEEKDAY(A4659,2)+1</f>
        <v/>
      </c>
      <c r="E4659" s="25" t="inlineStr">
        <is>
          <t>ssrinivasan</t>
        </is>
      </c>
      <c r="F4659" s="25" t="n">
        <v>129711</v>
      </c>
      <c r="G4659" s="25" t="n">
        <v>4</v>
      </c>
      <c r="H4659" s="25" t="n">
        <v>8</v>
      </c>
      <c r="I4659" s="25" t="inlineStr">
        <is>
          <t>39 second(s)</t>
        </is>
      </c>
      <c r="J4659" s="25">
        <f>IFERROR(VALUE(TRIM(LEFT(I4659,FIND("minute",I4659)-1)))*60,0)+IFERROR(VALUE(SUBSTITUTE(MID(I4659,IFERROR(FIND("and",I4659)+3,1),20),"second(s)","")),0)</f>
        <v/>
      </c>
      <c r="K4659" s="41">
        <f>J4659/60</f>
        <v/>
      </c>
      <c r="L4659" s="41">
        <f>IFERROR(J4659/H4659,"")</f>
        <v/>
      </c>
      <c r="M4659" s="25" t="inlineStr">
        <is>
          <t>2.5.12</t>
        </is>
      </c>
      <c r="N4659" s="25">
        <f>IF(J4659&gt;300,1,0)</f>
        <v/>
      </c>
      <c r="O4659" s="25">
        <f>IF(J4659&gt;600,1,0)</f>
        <v/>
      </c>
      <c r="P4659" s="25">
        <f>IF(H4659&gt;0,J4659,"")</f>
        <v/>
      </c>
      <c r="Q4659" s="25">
        <f>TEXT(A4659,"YYYY-MM-DD HH")</f>
        <v/>
      </c>
      <c r="R4659" s="25">
        <f>COUNTIF($Q$2:$Q$5295,Q4659)</f>
        <v/>
      </c>
      <c r="S4659" s="25">
        <f>IF(R4659&lt;=2,"1-2",IF(R4659&lt;=5,"3-5",IF(R4659&lt;=10,"6-10","11+")))</f>
        <v/>
      </c>
    </row>
    <row r="4660">
      <c r="A4660" s="39" t="n">
        <v>46226.40335648148</v>
      </c>
      <c r="B4660" s="25">
        <f>TEXT(A4660,"YYYY-MM")</f>
        <v/>
      </c>
      <c r="C4660" s="25">
        <f>TEXT(A4660,"MMM-YYYY")</f>
        <v/>
      </c>
      <c r="D4660" s="40">
        <f>INT(A4660)-WEEKDAY(A4660,2)+1</f>
        <v/>
      </c>
      <c r="E4660" s="25" t="inlineStr">
        <is>
          <t>atiwari</t>
        </is>
      </c>
      <c r="F4660" s="25" t="n">
        <v>132795</v>
      </c>
      <c r="G4660" s="25" t="n">
        <v>2</v>
      </c>
      <c r="H4660" s="25" t="n">
        <v>13</v>
      </c>
      <c r="I4660" s="25" t="inlineStr">
        <is>
          <t>1 minute(s) and 6 second(s)</t>
        </is>
      </c>
      <c r="J4660" s="25">
        <f>IFERROR(VALUE(TRIM(LEFT(I4660,FIND("minute",I4660)-1)))*60,0)+IFERROR(VALUE(SUBSTITUTE(MID(I4660,IFERROR(FIND("and",I4660)+3,1),20),"second(s)","")),0)</f>
        <v/>
      </c>
      <c r="K4660" s="41">
        <f>J4660/60</f>
        <v/>
      </c>
      <c r="L4660" s="41">
        <f>IFERROR(J4660/H4660,"")</f>
        <v/>
      </c>
      <c r="M4660" s="25" t="inlineStr">
        <is>
          <t>2.5.12</t>
        </is>
      </c>
      <c r="N4660" s="25">
        <f>IF(J4660&gt;300,1,0)</f>
        <v/>
      </c>
      <c r="O4660" s="25">
        <f>IF(J4660&gt;600,1,0)</f>
        <v/>
      </c>
      <c r="P4660" s="25">
        <f>IF(H4660&gt;0,J4660,"")</f>
        <v/>
      </c>
      <c r="Q4660" s="25">
        <f>TEXT(A4660,"YYYY-MM-DD HH")</f>
        <v/>
      </c>
      <c r="R4660" s="25">
        <f>COUNTIF($Q$2:$Q$5295,Q4660)</f>
        <v/>
      </c>
      <c r="S4660" s="25">
        <f>IF(R4660&lt;=2,"1-2",IF(R4660&lt;=5,"3-5",IF(R4660&lt;=10,"6-10","11+")))</f>
        <v/>
      </c>
    </row>
    <row r="4661">
      <c r="A4661" s="39" t="n">
        <v>46226.41038194444</v>
      </c>
      <c r="B4661" s="25">
        <f>TEXT(A4661,"YYYY-MM")</f>
        <v/>
      </c>
      <c r="C4661" s="25">
        <f>TEXT(A4661,"MMM-YYYY")</f>
        <v/>
      </c>
      <c r="D4661" s="40">
        <f>INT(A4661)-WEEKDAY(A4661,2)+1</f>
        <v/>
      </c>
      <c r="E4661" s="25" t="inlineStr">
        <is>
          <t>sswati</t>
        </is>
      </c>
      <c r="F4661" s="25" t="n">
        <v>128895</v>
      </c>
      <c r="G4661" s="25" t="n">
        <v>2</v>
      </c>
      <c r="H4661" s="25" t="n">
        <v>8</v>
      </c>
      <c r="I4661" s="25" t="inlineStr">
        <is>
          <t>45 second(s)</t>
        </is>
      </c>
      <c r="J4661" s="25">
        <f>IFERROR(VALUE(TRIM(LEFT(I4661,FIND("minute",I4661)-1)))*60,0)+IFERROR(VALUE(SUBSTITUTE(MID(I4661,IFERROR(FIND("and",I4661)+3,1),20),"second(s)","")),0)</f>
        <v/>
      </c>
      <c r="K4661" s="41">
        <f>J4661/60</f>
        <v/>
      </c>
      <c r="L4661" s="41">
        <f>IFERROR(J4661/H4661,"")</f>
        <v/>
      </c>
      <c r="M4661" s="25" t="inlineStr">
        <is>
          <t>2.5.12</t>
        </is>
      </c>
      <c r="N4661" s="25">
        <f>IF(J4661&gt;300,1,0)</f>
        <v/>
      </c>
      <c r="O4661" s="25">
        <f>IF(J4661&gt;600,1,0)</f>
        <v/>
      </c>
      <c r="P4661" s="25">
        <f>IF(H4661&gt;0,J4661,"")</f>
        <v/>
      </c>
      <c r="Q4661" s="25">
        <f>TEXT(A4661,"YYYY-MM-DD HH")</f>
        <v/>
      </c>
      <c r="R4661" s="25">
        <f>COUNTIF($Q$2:$Q$5295,Q4661)</f>
        <v/>
      </c>
      <c r="S4661" s="25">
        <f>IF(R4661&lt;=2,"1-2",IF(R4661&lt;=5,"3-5",IF(R4661&lt;=10,"6-10","11+")))</f>
        <v/>
      </c>
    </row>
    <row r="4662">
      <c r="A4662" s="39" t="n">
        <v>46226.42979166667</v>
      </c>
      <c r="B4662" s="25">
        <f>TEXT(A4662,"YYYY-MM")</f>
        <v/>
      </c>
      <c r="C4662" s="25">
        <f>TEXT(A4662,"MMM-YYYY")</f>
        <v/>
      </c>
      <c r="D4662" s="40">
        <f>INT(A4662)-WEEKDAY(A4662,2)+1</f>
        <v/>
      </c>
      <c r="E4662" s="25" t="inlineStr">
        <is>
          <t>dbhattacharyya</t>
        </is>
      </c>
      <c r="F4662" s="25" t="n">
        <v>131046</v>
      </c>
      <c r="G4662" s="25" t="n">
        <v>2</v>
      </c>
      <c r="H4662" s="25" t="n">
        <v>10</v>
      </c>
      <c r="I4662" s="25" t="inlineStr">
        <is>
          <t>1 minute(s) and 19 second(s)</t>
        </is>
      </c>
      <c r="J4662" s="25">
        <f>IFERROR(VALUE(TRIM(LEFT(I4662,FIND("minute",I4662)-1)))*60,0)+IFERROR(VALUE(SUBSTITUTE(MID(I4662,IFERROR(FIND("and",I4662)+3,1),20),"second(s)","")),0)</f>
        <v/>
      </c>
      <c r="K4662" s="41">
        <f>J4662/60</f>
        <v/>
      </c>
      <c r="L4662" s="41">
        <f>IFERROR(J4662/H4662,"")</f>
        <v/>
      </c>
      <c r="M4662" s="25" t="inlineStr">
        <is>
          <t>2.5.12</t>
        </is>
      </c>
      <c r="N4662" s="25">
        <f>IF(J4662&gt;300,1,0)</f>
        <v/>
      </c>
      <c r="O4662" s="25">
        <f>IF(J4662&gt;600,1,0)</f>
        <v/>
      </c>
      <c r="P4662" s="25">
        <f>IF(H4662&gt;0,J4662,"")</f>
        <v/>
      </c>
      <c r="Q4662" s="25">
        <f>TEXT(A4662,"YYYY-MM-DD HH")</f>
        <v/>
      </c>
      <c r="R4662" s="25">
        <f>COUNTIF($Q$2:$Q$5295,Q4662)</f>
        <v/>
      </c>
      <c r="S4662" s="25">
        <f>IF(R4662&lt;=2,"1-2",IF(R4662&lt;=5,"3-5",IF(R4662&lt;=10,"6-10","11+")))</f>
        <v/>
      </c>
    </row>
    <row r="4663">
      <c r="A4663" s="39" t="n">
        <v>46226.42994212963</v>
      </c>
      <c r="B4663" s="25">
        <f>TEXT(A4663,"YYYY-MM")</f>
        <v/>
      </c>
      <c r="C4663" s="25">
        <f>TEXT(A4663,"MMM-YYYY")</f>
        <v/>
      </c>
      <c r="D4663" s="40">
        <f>INT(A4663)-WEEKDAY(A4663,2)+1</f>
        <v/>
      </c>
      <c r="E4663" s="25" t="inlineStr">
        <is>
          <t>sdey</t>
        </is>
      </c>
      <c r="F4663" s="25" t="n">
        <v>130140</v>
      </c>
      <c r="G4663" s="25" t="n">
        <v>4</v>
      </c>
      <c r="H4663" s="25" t="n">
        <v>21</v>
      </c>
      <c r="I4663" s="25" t="inlineStr">
        <is>
          <t>3 minute(s) and 35 second(s)</t>
        </is>
      </c>
      <c r="J4663" s="25">
        <f>IFERROR(VALUE(TRIM(LEFT(I4663,FIND("minute",I4663)-1)))*60,0)+IFERROR(VALUE(SUBSTITUTE(MID(I4663,IFERROR(FIND("and",I4663)+3,1),20),"second(s)","")),0)</f>
        <v/>
      </c>
      <c r="K4663" s="41">
        <f>J4663/60</f>
        <v/>
      </c>
      <c r="L4663" s="41">
        <f>IFERROR(J4663/H4663,"")</f>
        <v/>
      </c>
      <c r="M4663" s="25" t="inlineStr">
        <is>
          <t>2.5.12</t>
        </is>
      </c>
      <c r="N4663" s="25">
        <f>IF(J4663&gt;300,1,0)</f>
        <v/>
      </c>
      <c r="O4663" s="25">
        <f>IF(J4663&gt;600,1,0)</f>
        <v/>
      </c>
      <c r="P4663" s="25">
        <f>IF(H4663&gt;0,J4663,"")</f>
        <v/>
      </c>
      <c r="Q4663" s="25">
        <f>TEXT(A4663,"YYYY-MM-DD HH")</f>
        <v/>
      </c>
      <c r="R4663" s="25">
        <f>COUNTIF($Q$2:$Q$5295,Q4663)</f>
        <v/>
      </c>
      <c r="S4663" s="25">
        <f>IF(R4663&lt;=2,"1-2",IF(R4663&lt;=5,"3-5",IF(R4663&lt;=10,"6-10","11+")))</f>
        <v/>
      </c>
    </row>
    <row r="4664">
      <c r="A4664" s="39" t="n">
        <v>46226.43936342592</v>
      </c>
      <c r="B4664" s="25">
        <f>TEXT(A4664,"YYYY-MM")</f>
        <v/>
      </c>
      <c r="C4664" s="25">
        <f>TEXT(A4664,"MMM-YYYY")</f>
        <v/>
      </c>
      <c r="D4664" s="40">
        <f>INT(A4664)-WEEKDAY(A4664,2)+1</f>
        <v/>
      </c>
      <c r="E4664" s="25" t="inlineStr">
        <is>
          <t>psathwika</t>
        </is>
      </c>
      <c r="F4664" s="25" t="n">
        <v>131279</v>
      </c>
      <c r="G4664" s="25" t="n">
        <v>4</v>
      </c>
      <c r="H4664" s="25" t="n">
        <v>20</v>
      </c>
      <c r="I4664" s="25" t="inlineStr">
        <is>
          <t>2 minute(s) and 16 second(s)</t>
        </is>
      </c>
      <c r="J4664" s="25">
        <f>IFERROR(VALUE(TRIM(LEFT(I4664,FIND("minute",I4664)-1)))*60,0)+IFERROR(VALUE(SUBSTITUTE(MID(I4664,IFERROR(FIND("and",I4664)+3,1),20),"second(s)","")),0)</f>
        <v/>
      </c>
      <c r="K4664" s="41">
        <f>J4664/60</f>
        <v/>
      </c>
      <c r="L4664" s="41">
        <f>IFERROR(J4664/H4664,"")</f>
        <v/>
      </c>
      <c r="M4664" s="25" t="inlineStr">
        <is>
          <t>2.5.12</t>
        </is>
      </c>
      <c r="N4664" s="25">
        <f>IF(J4664&gt;300,1,0)</f>
        <v/>
      </c>
      <c r="O4664" s="25">
        <f>IF(J4664&gt;600,1,0)</f>
        <v/>
      </c>
      <c r="P4664" s="25">
        <f>IF(H4664&gt;0,J4664,"")</f>
        <v/>
      </c>
      <c r="Q4664" s="25">
        <f>TEXT(A4664,"YYYY-MM-DD HH")</f>
        <v/>
      </c>
      <c r="R4664" s="25">
        <f>COUNTIF($Q$2:$Q$5295,Q4664)</f>
        <v/>
      </c>
      <c r="S4664" s="25">
        <f>IF(R4664&lt;=2,"1-2",IF(R4664&lt;=5,"3-5",IF(R4664&lt;=10,"6-10","11+")))</f>
        <v/>
      </c>
    </row>
    <row r="4665">
      <c r="A4665" s="39" t="n">
        <v>46226.44012731482</v>
      </c>
      <c r="B4665" s="25">
        <f>TEXT(A4665,"YYYY-MM")</f>
        <v/>
      </c>
      <c r="C4665" s="25">
        <f>TEXT(A4665,"MMM-YYYY")</f>
        <v/>
      </c>
      <c r="D4665" s="40">
        <f>INT(A4665)-WEEKDAY(A4665,2)+1</f>
        <v/>
      </c>
      <c r="E4665" s="25" t="inlineStr">
        <is>
          <t>pgautam</t>
        </is>
      </c>
      <c r="F4665" s="25" t="n">
        <v>132634</v>
      </c>
      <c r="G4665" s="25" t="n">
        <v>2</v>
      </c>
      <c r="H4665" s="25" t="n">
        <v>14</v>
      </c>
      <c r="I4665" s="25" t="inlineStr">
        <is>
          <t>2 minute(s) and 2 second(s)</t>
        </is>
      </c>
      <c r="J4665" s="25">
        <f>IFERROR(VALUE(TRIM(LEFT(I4665,FIND("minute",I4665)-1)))*60,0)+IFERROR(VALUE(SUBSTITUTE(MID(I4665,IFERROR(FIND("and",I4665)+3,1),20),"second(s)","")),0)</f>
        <v/>
      </c>
      <c r="K4665" s="41">
        <f>J4665/60</f>
        <v/>
      </c>
      <c r="L4665" s="41">
        <f>IFERROR(J4665/H4665,"")</f>
        <v/>
      </c>
      <c r="M4665" s="25" t="inlineStr">
        <is>
          <t>2.5.12</t>
        </is>
      </c>
      <c r="N4665" s="25">
        <f>IF(J4665&gt;300,1,0)</f>
        <v/>
      </c>
      <c r="O4665" s="25">
        <f>IF(J4665&gt;600,1,0)</f>
        <v/>
      </c>
      <c r="P4665" s="25">
        <f>IF(H4665&gt;0,J4665,"")</f>
        <v/>
      </c>
      <c r="Q4665" s="25">
        <f>TEXT(A4665,"YYYY-MM-DD HH")</f>
        <v/>
      </c>
      <c r="R4665" s="25">
        <f>COUNTIF($Q$2:$Q$5295,Q4665)</f>
        <v/>
      </c>
      <c r="S4665" s="25">
        <f>IF(R4665&lt;=2,"1-2",IF(R4665&lt;=5,"3-5",IF(R4665&lt;=10,"6-10","11+")))</f>
        <v/>
      </c>
    </row>
    <row r="4666">
      <c r="A4666" s="39" t="n">
        <v>46226.44251157407</v>
      </c>
      <c r="B4666" s="25">
        <f>TEXT(A4666,"YYYY-MM")</f>
        <v/>
      </c>
      <c r="C4666" s="25">
        <f>TEXT(A4666,"MMM-YYYY")</f>
        <v/>
      </c>
      <c r="D4666" s="40">
        <f>INT(A4666)-WEEKDAY(A4666,2)+1</f>
        <v/>
      </c>
      <c r="E4666" s="25" t="inlineStr">
        <is>
          <t>sasharma</t>
        </is>
      </c>
      <c r="F4666" s="25" t="n">
        <v>132912</v>
      </c>
      <c r="G4666" s="25" t="n">
        <v>1</v>
      </c>
      <c r="H4666" s="25" t="n">
        <v>5</v>
      </c>
      <c r="I4666" s="25" t="inlineStr">
        <is>
          <t>21 second(s)</t>
        </is>
      </c>
      <c r="J4666" s="25">
        <f>IFERROR(VALUE(TRIM(LEFT(I4666,FIND("minute",I4666)-1)))*60,0)+IFERROR(VALUE(SUBSTITUTE(MID(I4666,IFERROR(FIND("and",I4666)+3,1),20),"second(s)","")),0)</f>
        <v/>
      </c>
      <c r="K4666" s="41">
        <f>J4666/60</f>
        <v/>
      </c>
      <c r="L4666" s="41">
        <f>IFERROR(J4666/H4666,"")</f>
        <v/>
      </c>
      <c r="M4666" s="25" t="inlineStr">
        <is>
          <t>2.5.12</t>
        </is>
      </c>
      <c r="N4666" s="25">
        <f>IF(J4666&gt;300,1,0)</f>
        <v/>
      </c>
      <c r="O4666" s="25">
        <f>IF(J4666&gt;600,1,0)</f>
        <v/>
      </c>
      <c r="P4666" s="25">
        <f>IF(H4666&gt;0,J4666,"")</f>
        <v/>
      </c>
      <c r="Q4666" s="25">
        <f>TEXT(A4666,"YYYY-MM-DD HH")</f>
        <v/>
      </c>
      <c r="R4666" s="25">
        <f>COUNTIF($Q$2:$Q$5295,Q4666)</f>
        <v/>
      </c>
      <c r="S4666" s="25">
        <f>IF(R4666&lt;=2,"1-2",IF(R4666&lt;=5,"3-5",IF(R4666&lt;=10,"6-10","11+")))</f>
        <v/>
      </c>
    </row>
    <row r="4667">
      <c r="A4667" s="39" t="n">
        <v>46226.46123842592</v>
      </c>
      <c r="B4667" s="25">
        <f>TEXT(A4667,"YYYY-MM")</f>
        <v/>
      </c>
      <c r="C4667" s="25">
        <f>TEXT(A4667,"MMM-YYYY")</f>
        <v/>
      </c>
      <c r="D4667" s="40">
        <f>INT(A4667)-WEEKDAY(A4667,2)+1</f>
        <v/>
      </c>
      <c r="E4667" s="25" t="inlineStr">
        <is>
          <t>kkumar</t>
        </is>
      </c>
      <c r="F4667" s="25" t="n">
        <v>130792</v>
      </c>
      <c r="G4667" s="25" t="n">
        <v>4</v>
      </c>
      <c r="H4667" s="25" t="n">
        <v>22</v>
      </c>
      <c r="I4667" s="25" t="inlineStr">
        <is>
          <t>1 minute(s) and 30 second(s)</t>
        </is>
      </c>
      <c r="J4667" s="25">
        <f>IFERROR(VALUE(TRIM(LEFT(I4667,FIND("minute",I4667)-1)))*60,0)+IFERROR(VALUE(SUBSTITUTE(MID(I4667,IFERROR(FIND("and",I4667)+3,1),20),"second(s)","")),0)</f>
        <v/>
      </c>
      <c r="K4667" s="41">
        <f>J4667/60</f>
        <v/>
      </c>
      <c r="L4667" s="41">
        <f>IFERROR(J4667/H4667,"")</f>
        <v/>
      </c>
      <c r="M4667" s="25" t="inlineStr">
        <is>
          <t>2.5.12</t>
        </is>
      </c>
      <c r="N4667" s="25">
        <f>IF(J4667&gt;300,1,0)</f>
        <v/>
      </c>
      <c r="O4667" s="25">
        <f>IF(J4667&gt;600,1,0)</f>
        <v/>
      </c>
      <c r="P4667" s="25">
        <f>IF(H4667&gt;0,J4667,"")</f>
        <v/>
      </c>
      <c r="Q4667" s="25">
        <f>TEXT(A4667,"YYYY-MM-DD HH")</f>
        <v/>
      </c>
      <c r="R4667" s="25">
        <f>COUNTIF($Q$2:$Q$5295,Q4667)</f>
        <v/>
      </c>
      <c r="S4667" s="25">
        <f>IF(R4667&lt;=2,"1-2",IF(R4667&lt;=5,"3-5",IF(R4667&lt;=10,"6-10","11+")))</f>
        <v/>
      </c>
    </row>
    <row r="4668">
      <c r="A4668" s="39" t="n">
        <v>46226.46497685185</v>
      </c>
      <c r="B4668" s="25">
        <f>TEXT(A4668,"YYYY-MM")</f>
        <v/>
      </c>
      <c r="C4668" s="25">
        <f>TEXT(A4668,"MMM-YYYY")</f>
        <v/>
      </c>
      <c r="D4668" s="40">
        <f>INT(A4668)-WEEKDAY(A4668,2)+1</f>
        <v/>
      </c>
      <c r="E4668" s="25" t="inlineStr">
        <is>
          <t>aghosh</t>
        </is>
      </c>
      <c r="F4668" s="25" t="n">
        <v>128134</v>
      </c>
      <c r="G4668" s="25" t="n">
        <v>1</v>
      </c>
      <c r="H4668" s="25" t="n">
        <v>5</v>
      </c>
      <c r="I4668" s="25" t="inlineStr">
        <is>
          <t>1 minute(s) and 26 second(s)</t>
        </is>
      </c>
      <c r="J4668" s="25">
        <f>IFERROR(VALUE(TRIM(LEFT(I4668,FIND("minute",I4668)-1)))*60,0)+IFERROR(VALUE(SUBSTITUTE(MID(I4668,IFERROR(FIND("and",I4668)+3,1),20),"second(s)","")),0)</f>
        <v/>
      </c>
      <c r="K4668" s="41">
        <f>J4668/60</f>
        <v/>
      </c>
      <c r="L4668" s="41">
        <f>IFERROR(J4668/H4668,"")</f>
        <v/>
      </c>
      <c r="M4668" s="25" t="inlineStr">
        <is>
          <t>2.5.12</t>
        </is>
      </c>
      <c r="N4668" s="25">
        <f>IF(J4668&gt;300,1,0)</f>
        <v/>
      </c>
      <c r="O4668" s="25">
        <f>IF(J4668&gt;600,1,0)</f>
        <v/>
      </c>
      <c r="P4668" s="25">
        <f>IF(H4668&gt;0,J4668,"")</f>
        <v/>
      </c>
      <c r="Q4668" s="25">
        <f>TEXT(A4668,"YYYY-MM-DD HH")</f>
        <v/>
      </c>
      <c r="R4668" s="25">
        <f>COUNTIF($Q$2:$Q$5295,Q4668)</f>
        <v/>
      </c>
      <c r="S4668" s="25">
        <f>IF(R4668&lt;=2,"1-2",IF(R4668&lt;=5,"3-5",IF(R4668&lt;=10,"6-10","11+")))</f>
        <v/>
      </c>
    </row>
    <row r="4669">
      <c r="A4669" s="39" t="n">
        <v>46226.46912037037</v>
      </c>
      <c r="B4669" s="25">
        <f>TEXT(A4669,"YYYY-MM")</f>
        <v/>
      </c>
      <c r="C4669" s="25">
        <f>TEXT(A4669,"MMM-YYYY")</f>
        <v/>
      </c>
      <c r="D4669" s="40">
        <f>INT(A4669)-WEEKDAY(A4669,2)+1</f>
        <v/>
      </c>
      <c r="E4669" s="25" t="inlineStr">
        <is>
          <t>shassan</t>
        </is>
      </c>
      <c r="F4669" s="25" t="n">
        <v>130502</v>
      </c>
      <c r="G4669" s="25" t="n">
        <v>5</v>
      </c>
      <c r="H4669" s="25" t="n">
        <v>17</v>
      </c>
      <c r="I4669" s="25" t="inlineStr">
        <is>
          <t>1 minute(s) and 33 second(s)</t>
        </is>
      </c>
      <c r="J4669" s="25">
        <f>IFERROR(VALUE(TRIM(LEFT(I4669,FIND("minute",I4669)-1)))*60,0)+IFERROR(VALUE(SUBSTITUTE(MID(I4669,IFERROR(FIND("and",I4669)+3,1),20),"second(s)","")),0)</f>
        <v/>
      </c>
      <c r="K4669" s="41">
        <f>J4669/60</f>
        <v/>
      </c>
      <c r="L4669" s="41">
        <f>IFERROR(J4669/H4669,"")</f>
        <v/>
      </c>
      <c r="M4669" s="25" t="inlineStr">
        <is>
          <t>2.5.12</t>
        </is>
      </c>
      <c r="N4669" s="25">
        <f>IF(J4669&gt;300,1,0)</f>
        <v/>
      </c>
      <c r="O4669" s="25">
        <f>IF(J4669&gt;600,1,0)</f>
        <v/>
      </c>
      <c r="P4669" s="25">
        <f>IF(H4669&gt;0,J4669,"")</f>
        <v/>
      </c>
      <c r="Q4669" s="25">
        <f>TEXT(A4669,"YYYY-MM-DD HH")</f>
        <v/>
      </c>
      <c r="R4669" s="25">
        <f>COUNTIF($Q$2:$Q$5295,Q4669)</f>
        <v/>
      </c>
      <c r="S4669" s="25">
        <f>IF(R4669&lt;=2,"1-2",IF(R4669&lt;=5,"3-5",IF(R4669&lt;=10,"6-10","11+")))</f>
        <v/>
      </c>
    </row>
    <row r="4670">
      <c r="A4670" s="39" t="n">
        <v>46226.46962962963</v>
      </c>
      <c r="B4670" s="25">
        <f>TEXT(A4670,"YYYY-MM")</f>
        <v/>
      </c>
      <c r="C4670" s="25">
        <f>TEXT(A4670,"MMM-YYYY")</f>
        <v/>
      </c>
      <c r="D4670" s="40">
        <f>INT(A4670)-WEEKDAY(A4670,2)+1</f>
        <v/>
      </c>
      <c r="E4670" s="25" t="inlineStr">
        <is>
          <t>ssrinivasan</t>
        </is>
      </c>
      <c r="F4670" s="25" t="n">
        <v>128024</v>
      </c>
      <c r="G4670" s="25" t="n">
        <v>2</v>
      </c>
      <c r="H4670" s="25" t="n">
        <v>12</v>
      </c>
      <c r="I4670" s="25" t="inlineStr">
        <is>
          <t>1 minute(s) and 33 second(s)</t>
        </is>
      </c>
      <c r="J4670" s="25">
        <f>IFERROR(VALUE(TRIM(LEFT(I4670,FIND("minute",I4670)-1)))*60,0)+IFERROR(VALUE(SUBSTITUTE(MID(I4670,IFERROR(FIND("and",I4670)+3,1),20),"second(s)","")),0)</f>
        <v/>
      </c>
      <c r="K4670" s="41">
        <f>J4670/60</f>
        <v/>
      </c>
      <c r="L4670" s="41">
        <f>IFERROR(J4670/H4670,"")</f>
        <v/>
      </c>
      <c r="M4670" s="25" t="inlineStr">
        <is>
          <t>2.5.12</t>
        </is>
      </c>
      <c r="N4670" s="25">
        <f>IF(J4670&gt;300,1,0)</f>
        <v/>
      </c>
      <c r="O4670" s="25">
        <f>IF(J4670&gt;600,1,0)</f>
        <v/>
      </c>
      <c r="P4670" s="25">
        <f>IF(H4670&gt;0,J4670,"")</f>
        <v/>
      </c>
      <c r="Q4670" s="25">
        <f>TEXT(A4670,"YYYY-MM-DD HH")</f>
        <v/>
      </c>
      <c r="R4670" s="25">
        <f>COUNTIF($Q$2:$Q$5295,Q4670)</f>
        <v/>
      </c>
      <c r="S4670" s="25">
        <f>IF(R4670&lt;=2,"1-2",IF(R4670&lt;=5,"3-5",IF(R4670&lt;=10,"6-10","11+")))</f>
        <v/>
      </c>
    </row>
    <row r="4671">
      <c r="A4671" s="39" t="n">
        <v>46226.48895833334</v>
      </c>
      <c r="B4671" s="25">
        <f>TEXT(A4671,"YYYY-MM")</f>
        <v/>
      </c>
      <c r="C4671" s="25">
        <f>TEXT(A4671,"MMM-YYYY")</f>
        <v/>
      </c>
      <c r="D4671" s="40">
        <f>INT(A4671)-WEEKDAY(A4671,2)+1</f>
        <v/>
      </c>
      <c r="E4671" s="25" t="inlineStr">
        <is>
          <t>sswati</t>
        </is>
      </c>
      <c r="F4671" s="25" t="n">
        <v>129143</v>
      </c>
      <c r="G4671" s="25" t="n">
        <v>3</v>
      </c>
      <c r="H4671" s="25" t="n">
        <v>11</v>
      </c>
      <c r="I4671" s="25" t="inlineStr">
        <is>
          <t>1 minute(s) and 25 second(s)</t>
        </is>
      </c>
      <c r="J4671" s="25">
        <f>IFERROR(VALUE(TRIM(LEFT(I4671,FIND("minute",I4671)-1)))*60,0)+IFERROR(VALUE(SUBSTITUTE(MID(I4671,IFERROR(FIND("and",I4671)+3,1),20),"second(s)","")),0)</f>
        <v/>
      </c>
      <c r="K4671" s="41">
        <f>J4671/60</f>
        <v/>
      </c>
      <c r="L4671" s="41">
        <f>IFERROR(J4671/H4671,"")</f>
        <v/>
      </c>
      <c r="M4671" s="25" t="inlineStr">
        <is>
          <t>2.5.12</t>
        </is>
      </c>
      <c r="N4671" s="25">
        <f>IF(J4671&gt;300,1,0)</f>
        <v/>
      </c>
      <c r="O4671" s="25">
        <f>IF(J4671&gt;600,1,0)</f>
        <v/>
      </c>
      <c r="P4671" s="25">
        <f>IF(H4671&gt;0,J4671,"")</f>
        <v/>
      </c>
      <c r="Q4671" s="25">
        <f>TEXT(A4671,"YYYY-MM-DD HH")</f>
        <v/>
      </c>
      <c r="R4671" s="25">
        <f>COUNTIF($Q$2:$Q$5295,Q4671)</f>
        <v/>
      </c>
      <c r="S4671" s="25">
        <f>IF(R4671&lt;=2,"1-2",IF(R4671&lt;=5,"3-5",IF(R4671&lt;=10,"6-10","11+")))</f>
        <v/>
      </c>
    </row>
    <row r="4672">
      <c r="A4672" s="39" t="n">
        <v>46226.49440972223</v>
      </c>
      <c r="B4672" s="25">
        <f>TEXT(A4672,"YYYY-MM")</f>
        <v/>
      </c>
      <c r="C4672" s="25">
        <f>TEXT(A4672,"MMM-YYYY")</f>
        <v/>
      </c>
      <c r="D4672" s="40">
        <f>INT(A4672)-WEEKDAY(A4672,2)+1</f>
        <v/>
      </c>
      <c r="E4672" s="25" t="inlineStr">
        <is>
          <t>pgautam</t>
        </is>
      </c>
      <c r="F4672" s="25" t="n">
        <v>132602</v>
      </c>
      <c r="G4672" s="25" t="n">
        <v>3</v>
      </c>
      <c r="H4672" s="25" t="n">
        <v>15</v>
      </c>
      <c r="I4672" s="25" t="inlineStr">
        <is>
          <t>1 minute(s) and 36 second(s)</t>
        </is>
      </c>
      <c r="J4672" s="25">
        <f>IFERROR(VALUE(TRIM(LEFT(I4672,FIND("minute",I4672)-1)))*60,0)+IFERROR(VALUE(SUBSTITUTE(MID(I4672,IFERROR(FIND("and",I4672)+3,1),20),"second(s)","")),0)</f>
        <v/>
      </c>
      <c r="K4672" s="41">
        <f>J4672/60</f>
        <v/>
      </c>
      <c r="L4672" s="41">
        <f>IFERROR(J4672/H4672,"")</f>
        <v/>
      </c>
      <c r="M4672" s="25" t="inlineStr">
        <is>
          <t>2.5.12</t>
        </is>
      </c>
      <c r="N4672" s="25">
        <f>IF(J4672&gt;300,1,0)</f>
        <v/>
      </c>
      <c r="O4672" s="25">
        <f>IF(J4672&gt;600,1,0)</f>
        <v/>
      </c>
      <c r="P4672" s="25">
        <f>IF(H4672&gt;0,J4672,"")</f>
        <v/>
      </c>
      <c r="Q4672" s="25">
        <f>TEXT(A4672,"YYYY-MM-DD HH")</f>
        <v/>
      </c>
      <c r="R4672" s="25">
        <f>COUNTIF($Q$2:$Q$5295,Q4672)</f>
        <v/>
      </c>
      <c r="S4672" s="25">
        <f>IF(R4672&lt;=2,"1-2",IF(R4672&lt;=5,"3-5",IF(R4672&lt;=10,"6-10","11+")))</f>
        <v/>
      </c>
    </row>
    <row r="4673">
      <c r="A4673" s="39" t="n">
        <v>46226.49591435185</v>
      </c>
      <c r="B4673" s="25">
        <f>TEXT(A4673,"YYYY-MM")</f>
        <v/>
      </c>
      <c r="C4673" s="25">
        <f>TEXT(A4673,"MMM-YYYY")</f>
        <v/>
      </c>
      <c r="D4673" s="40">
        <f>INT(A4673)-WEEKDAY(A4673,2)+1</f>
        <v/>
      </c>
      <c r="E4673" s="25" t="inlineStr">
        <is>
          <t>dbhattacharyya</t>
        </is>
      </c>
      <c r="F4673" s="25" t="n">
        <v>129008</v>
      </c>
      <c r="G4673" s="25" t="n">
        <v>2</v>
      </c>
      <c r="H4673" s="25" t="n">
        <v>10</v>
      </c>
      <c r="I4673" s="25" t="inlineStr">
        <is>
          <t>54 second(s)</t>
        </is>
      </c>
      <c r="J4673" s="25">
        <f>IFERROR(VALUE(TRIM(LEFT(I4673,FIND("minute",I4673)-1)))*60,0)+IFERROR(VALUE(SUBSTITUTE(MID(I4673,IFERROR(FIND("and",I4673)+3,1),20),"second(s)","")),0)</f>
        <v/>
      </c>
      <c r="K4673" s="41">
        <f>J4673/60</f>
        <v/>
      </c>
      <c r="L4673" s="41">
        <f>IFERROR(J4673/H4673,"")</f>
        <v/>
      </c>
      <c r="M4673" s="25" t="inlineStr">
        <is>
          <t>2.5.12</t>
        </is>
      </c>
      <c r="N4673" s="25">
        <f>IF(J4673&gt;300,1,0)</f>
        <v/>
      </c>
      <c r="O4673" s="25">
        <f>IF(J4673&gt;600,1,0)</f>
        <v/>
      </c>
      <c r="P4673" s="25">
        <f>IF(H4673&gt;0,J4673,"")</f>
        <v/>
      </c>
      <c r="Q4673" s="25">
        <f>TEXT(A4673,"YYYY-MM-DD HH")</f>
        <v/>
      </c>
      <c r="R4673" s="25">
        <f>COUNTIF($Q$2:$Q$5295,Q4673)</f>
        <v/>
      </c>
      <c r="S4673" s="25">
        <f>IF(R4673&lt;=2,"1-2",IF(R4673&lt;=5,"3-5",IF(R4673&lt;=10,"6-10","11+")))</f>
        <v/>
      </c>
    </row>
    <row r="4674">
      <c r="A4674" s="39" t="n">
        <v>46226.51927083333</v>
      </c>
      <c r="B4674" s="25">
        <f>TEXT(A4674,"YYYY-MM")</f>
        <v/>
      </c>
      <c r="C4674" s="25">
        <f>TEXT(A4674,"MMM-YYYY")</f>
        <v/>
      </c>
      <c r="D4674" s="40">
        <f>INT(A4674)-WEEKDAY(A4674,2)+1</f>
        <v/>
      </c>
      <c r="E4674" s="25" t="inlineStr">
        <is>
          <t>hsindwani</t>
        </is>
      </c>
      <c r="F4674" s="25" t="n">
        <v>128450</v>
      </c>
      <c r="G4674" s="25" t="n">
        <v>1</v>
      </c>
      <c r="H4674" s="25" t="n">
        <v>5</v>
      </c>
      <c r="I4674" s="25" t="inlineStr">
        <is>
          <t>34 second(s)</t>
        </is>
      </c>
      <c r="J4674" s="25">
        <f>IFERROR(VALUE(TRIM(LEFT(I4674,FIND("minute",I4674)-1)))*60,0)+IFERROR(VALUE(SUBSTITUTE(MID(I4674,IFERROR(FIND("and",I4674)+3,1),20),"second(s)","")),0)</f>
        <v/>
      </c>
      <c r="K4674" s="41">
        <f>J4674/60</f>
        <v/>
      </c>
      <c r="L4674" s="41">
        <f>IFERROR(J4674/H4674,"")</f>
        <v/>
      </c>
      <c r="M4674" s="25" t="inlineStr">
        <is>
          <t>2.5.12</t>
        </is>
      </c>
      <c r="N4674" s="25">
        <f>IF(J4674&gt;300,1,0)</f>
        <v/>
      </c>
      <c r="O4674" s="25">
        <f>IF(J4674&gt;600,1,0)</f>
        <v/>
      </c>
      <c r="P4674" s="25">
        <f>IF(H4674&gt;0,J4674,"")</f>
        <v/>
      </c>
      <c r="Q4674" s="25">
        <f>TEXT(A4674,"YYYY-MM-DD HH")</f>
        <v/>
      </c>
      <c r="R4674" s="25">
        <f>COUNTIF($Q$2:$Q$5295,Q4674)</f>
        <v/>
      </c>
      <c r="S4674" s="25">
        <f>IF(R4674&lt;=2,"1-2",IF(R4674&lt;=5,"3-5",IF(R4674&lt;=10,"6-10","11+")))</f>
        <v/>
      </c>
    </row>
    <row r="4675">
      <c r="A4675" s="39" t="n">
        <v>46226.5350462963</v>
      </c>
      <c r="B4675" s="25">
        <f>TEXT(A4675,"YYYY-MM")</f>
        <v/>
      </c>
      <c r="C4675" s="25">
        <f>TEXT(A4675,"MMM-YYYY")</f>
        <v/>
      </c>
      <c r="D4675" s="40">
        <f>INT(A4675)-WEEKDAY(A4675,2)+1</f>
        <v/>
      </c>
      <c r="E4675" s="25" t="inlineStr">
        <is>
          <t>mgupta</t>
        </is>
      </c>
      <c r="F4675" s="25" t="n">
        <v>131304</v>
      </c>
      <c r="G4675" s="25" t="n">
        <v>4</v>
      </c>
      <c r="H4675" s="25" t="n">
        <v>24</v>
      </c>
      <c r="I4675" s="25" t="inlineStr">
        <is>
          <t>2 minute(s) and 18 second(s)</t>
        </is>
      </c>
      <c r="J4675" s="25">
        <f>IFERROR(VALUE(TRIM(LEFT(I4675,FIND("minute",I4675)-1)))*60,0)+IFERROR(VALUE(SUBSTITUTE(MID(I4675,IFERROR(FIND("and",I4675)+3,1),20),"second(s)","")),0)</f>
        <v/>
      </c>
      <c r="K4675" s="41">
        <f>J4675/60</f>
        <v/>
      </c>
      <c r="L4675" s="41">
        <f>IFERROR(J4675/H4675,"")</f>
        <v/>
      </c>
      <c r="M4675" s="25" t="inlineStr">
        <is>
          <t>2.5.12</t>
        </is>
      </c>
      <c r="N4675" s="25">
        <f>IF(J4675&gt;300,1,0)</f>
        <v/>
      </c>
      <c r="O4675" s="25">
        <f>IF(J4675&gt;600,1,0)</f>
        <v/>
      </c>
      <c r="P4675" s="25">
        <f>IF(H4675&gt;0,J4675,"")</f>
        <v/>
      </c>
      <c r="Q4675" s="25">
        <f>TEXT(A4675,"YYYY-MM-DD HH")</f>
        <v/>
      </c>
      <c r="R4675" s="25">
        <f>COUNTIF($Q$2:$Q$5295,Q4675)</f>
        <v/>
      </c>
      <c r="S4675" s="25">
        <f>IF(R4675&lt;=2,"1-2",IF(R4675&lt;=5,"3-5",IF(R4675&lt;=10,"6-10","11+")))</f>
        <v/>
      </c>
    </row>
    <row r="4676">
      <c r="A4676" s="39" t="n">
        <v>46226.54050925926</v>
      </c>
      <c r="B4676" s="25">
        <f>TEXT(A4676,"YYYY-MM")</f>
        <v/>
      </c>
      <c r="C4676" s="25">
        <f>TEXT(A4676,"MMM-YYYY")</f>
        <v/>
      </c>
      <c r="D4676" s="40">
        <f>INT(A4676)-WEEKDAY(A4676,2)+1</f>
        <v/>
      </c>
      <c r="E4676" s="25" t="inlineStr">
        <is>
          <t>dbhattacharyya</t>
        </is>
      </c>
      <c r="F4676" s="25" t="n">
        <v>128211</v>
      </c>
      <c r="G4676" s="25" t="n">
        <v>5</v>
      </c>
      <c r="H4676" s="25" t="n">
        <v>7</v>
      </c>
      <c r="I4676" s="25" t="inlineStr">
        <is>
          <t>38 second(s)</t>
        </is>
      </c>
      <c r="J4676" s="25">
        <f>IFERROR(VALUE(TRIM(LEFT(I4676,FIND("minute",I4676)-1)))*60,0)+IFERROR(VALUE(SUBSTITUTE(MID(I4676,IFERROR(FIND("and",I4676)+3,1),20),"second(s)","")),0)</f>
        <v/>
      </c>
      <c r="K4676" s="41">
        <f>J4676/60</f>
        <v/>
      </c>
      <c r="L4676" s="41">
        <f>IFERROR(J4676/H4676,"")</f>
        <v/>
      </c>
      <c r="M4676" s="25" t="inlineStr">
        <is>
          <t>2.5.12</t>
        </is>
      </c>
      <c r="N4676" s="25">
        <f>IF(J4676&gt;300,1,0)</f>
        <v/>
      </c>
      <c r="O4676" s="25">
        <f>IF(J4676&gt;600,1,0)</f>
        <v/>
      </c>
      <c r="P4676" s="25">
        <f>IF(H4676&gt;0,J4676,"")</f>
        <v/>
      </c>
      <c r="Q4676" s="25">
        <f>TEXT(A4676,"YYYY-MM-DD HH")</f>
        <v/>
      </c>
      <c r="R4676" s="25">
        <f>COUNTIF($Q$2:$Q$5295,Q4676)</f>
        <v/>
      </c>
      <c r="S4676" s="25">
        <f>IF(R4676&lt;=2,"1-2",IF(R4676&lt;=5,"3-5",IF(R4676&lt;=10,"6-10","11+")))</f>
        <v/>
      </c>
    </row>
    <row r="4677">
      <c r="A4677" s="39" t="n">
        <v>46226.54563657408</v>
      </c>
      <c r="B4677" s="25">
        <f>TEXT(A4677,"YYYY-MM")</f>
        <v/>
      </c>
      <c r="C4677" s="25">
        <f>TEXT(A4677,"MMM-YYYY")</f>
        <v/>
      </c>
      <c r="D4677" s="40">
        <f>INT(A4677)-WEEKDAY(A4677,2)+1</f>
        <v/>
      </c>
      <c r="E4677" s="25" t="inlineStr">
        <is>
          <t>dbhattacharyya</t>
        </is>
      </c>
      <c r="F4677" s="25" t="n">
        <v>128211</v>
      </c>
      <c r="G4677" s="25" t="n">
        <v>6</v>
      </c>
      <c r="H4677" s="25" t="n">
        <v>8</v>
      </c>
      <c r="I4677" s="25" t="inlineStr">
        <is>
          <t>1 minute(s) and 0 second(s)</t>
        </is>
      </c>
      <c r="J4677" s="25">
        <f>IFERROR(VALUE(TRIM(LEFT(I4677,FIND("minute",I4677)-1)))*60,0)+IFERROR(VALUE(SUBSTITUTE(MID(I4677,IFERROR(FIND("and",I4677)+3,1),20),"second(s)","")),0)</f>
        <v/>
      </c>
      <c r="K4677" s="41">
        <f>J4677/60</f>
        <v/>
      </c>
      <c r="L4677" s="41">
        <f>IFERROR(J4677/H4677,"")</f>
        <v/>
      </c>
      <c r="M4677" s="25" t="inlineStr">
        <is>
          <t>2.5.12</t>
        </is>
      </c>
      <c r="N4677" s="25">
        <f>IF(J4677&gt;300,1,0)</f>
        <v/>
      </c>
      <c r="O4677" s="25">
        <f>IF(J4677&gt;600,1,0)</f>
        <v/>
      </c>
      <c r="P4677" s="25">
        <f>IF(H4677&gt;0,J4677,"")</f>
        <v/>
      </c>
      <c r="Q4677" s="25">
        <f>TEXT(A4677,"YYYY-MM-DD HH")</f>
        <v/>
      </c>
      <c r="R4677" s="25">
        <f>COUNTIF($Q$2:$Q$5295,Q4677)</f>
        <v/>
      </c>
      <c r="S4677" s="25">
        <f>IF(R4677&lt;=2,"1-2",IF(R4677&lt;=5,"3-5",IF(R4677&lt;=10,"6-10","11+")))</f>
        <v/>
      </c>
    </row>
    <row r="4678">
      <c r="A4678" s="39" t="n">
        <v>46226.55436342592</v>
      </c>
      <c r="B4678" s="25">
        <f>TEXT(A4678,"YYYY-MM")</f>
        <v/>
      </c>
      <c r="C4678" s="25">
        <f>TEXT(A4678,"MMM-YYYY")</f>
        <v/>
      </c>
      <c r="D4678" s="40">
        <f>INT(A4678)-WEEKDAY(A4678,2)+1</f>
        <v/>
      </c>
      <c r="E4678" s="25" t="inlineStr">
        <is>
          <t>shassan</t>
        </is>
      </c>
      <c r="F4678" s="25" t="n">
        <v>130779</v>
      </c>
      <c r="G4678" s="25" t="n">
        <v>4</v>
      </c>
      <c r="H4678" s="25" t="n">
        <v>12</v>
      </c>
      <c r="I4678" s="25" t="inlineStr">
        <is>
          <t>1 minute(s) and 18 second(s)</t>
        </is>
      </c>
      <c r="J4678" s="25">
        <f>IFERROR(VALUE(TRIM(LEFT(I4678,FIND("minute",I4678)-1)))*60,0)+IFERROR(VALUE(SUBSTITUTE(MID(I4678,IFERROR(FIND("and",I4678)+3,1),20),"second(s)","")),0)</f>
        <v/>
      </c>
      <c r="K4678" s="41">
        <f>J4678/60</f>
        <v/>
      </c>
      <c r="L4678" s="41">
        <f>IFERROR(J4678/H4678,"")</f>
        <v/>
      </c>
      <c r="M4678" s="25" t="inlineStr">
        <is>
          <t>2.5.12</t>
        </is>
      </c>
      <c r="N4678" s="25">
        <f>IF(J4678&gt;300,1,0)</f>
        <v/>
      </c>
      <c r="O4678" s="25">
        <f>IF(J4678&gt;600,1,0)</f>
        <v/>
      </c>
      <c r="P4678" s="25">
        <f>IF(H4678&gt;0,J4678,"")</f>
        <v/>
      </c>
      <c r="Q4678" s="25">
        <f>TEXT(A4678,"YYYY-MM-DD HH")</f>
        <v/>
      </c>
      <c r="R4678" s="25">
        <f>COUNTIF($Q$2:$Q$5295,Q4678)</f>
        <v/>
      </c>
      <c r="S4678" s="25">
        <f>IF(R4678&lt;=2,"1-2",IF(R4678&lt;=5,"3-5",IF(R4678&lt;=10,"6-10","11+")))</f>
        <v/>
      </c>
    </row>
    <row r="4679">
      <c r="A4679" s="39" t="n">
        <v>46226.55533564815</v>
      </c>
      <c r="B4679" s="25">
        <f>TEXT(A4679,"YYYY-MM")</f>
        <v/>
      </c>
      <c r="C4679" s="25">
        <f>TEXT(A4679,"MMM-YYYY")</f>
        <v/>
      </c>
      <c r="D4679" s="40">
        <f>INT(A4679)-WEEKDAY(A4679,2)+1</f>
        <v/>
      </c>
      <c r="E4679" s="25" t="inlineStr">
        <is>
          <t>pgautam</t>
        </is>
      </c>
      <c r="F4679" s="25" t="n">
        <v>132941</v>
      </c>
      <c r="G4679" s="25" t="n">
        <v>4</v>
      </c>
      <c r="H4679" s="25" t="n">
        <v>26</v>
      </c>
      <c r="I4679" s="25" t="inlineStr">
        <is>
          <t>2 minute(s) and 18 second(s)</t>
        </is>
      </c>
      <c r="J4679" s="25">
        <f>IFERROR(VALUE(TRIM(LEFT(I4679,FIND("minute",I4679)-1)))*60,0)+IFERROR(VALUE(SUBSTITUTE(MID(I4679,IFERROR(FIND("and",I4679)+3,1),20),"second(s)","")),0)</f>
        <v/>
      </c>
      <c r="K4679" s="41">
        <f>J4679/60</f>
        <v/>
      </c>
      <c r="L4679" s="41">
        <f>IFERROR(J4679/H4679,"")</f>
        <v/>
      </c>
      <c r="M4679" s="25" t="inlineStr">
        <is>
          <t>2.5.12</t>
        </is>
      </c>
      <c r="N4679" s="25">
        <f>IF(J4679&gt;300,1,0)</f>
        <v/>
      </c>
      <c r="O4679" s="25">
        <f>IF(J4679&gt;600,1,0)</f>
        <v/>
      </c>
      <c r="P4679" s="25">
        <f>IF(H4679&gt;0,J4679,"")</f>
        <v/>
      </c>
      <c r="Q4679" s="25">
        <f>TEXT(A4679,"YYYY-MM-DD HH")</f>
        <v/>
      </c>
      <c r="R4679" s="25">
        <f>COUNTIF($Q$2:$Q$5295,Q4679)</f>
        <v/>
      </c>
      <c r="S4679" s="25">
        <f>IF(R4679&lt;=2,"1-2",IF(R4679&lt;=5,"3-5",IF(R4679&lt;=10,"6-10","11+")))</f>
        <v/>
      </c>
    </row>
    <row r="4680">
      <c r="A4680" s="39" t="n">
        <v>46226.56240740741</v>
      </c>
      <c r="B4680" s="25">
        <f>TEXT(A4680,"YYYY-MM")</f>
        <v/>
      </c>
      <c r="C4680" s="25">
        <f>TEXT(A4680,"MMM-YYYY")</f>
        <v/>
      </c>
      <c r="D4680" s="40">
        <f>INT(A4680)-WEEKDAY(A4680,2)+1</f>
        <v/>
      </c>
      <c r="E4680" s="25" t="inlineStr">
        <is>
          <t>aghosh</t>
        </is>
      </c>
      <c r="F4680" s="25" t="n">
        <v>128374</v>
      </c>
      <c r="G4680" s="25" t="n">
        <v>2</v>
      </c>
      <c r="H4680" s="25" t="n">
        <v>12</v>
      </c>
      <c r="I4680" s="25" t="inlineStr">
        <is>
          <t>1 minute(s) and 32 second(s)</t>
        </is>
      </c>
      <c r="J4680" s="25">
        <f>IFERROR(VALUE(TRIM(LEFT(I4680,FIND("minute",I4680)-1)))*60,0)+IFERROR(VALUE(SUBSTITUTE(MID(I4680,IFERROR(FIND("and",I4680)+3,1),20),"second(s)","")),0)</f>
        <v/>
      </c>
      <c r="K4680" s="41">
        <f>J4680/60</f>
        <v/>
      </c>
      <c r="L4680" s="41">
        <f>IFERROR(J4680/H4680,"")</f>
        <v/>
      </c>
      <c r="M4680" s="25" t="inlineStr">
        <is>
          <t>2.5.12</t>
        </is>
      </c>
      <c r="N4680" s="25">
        <f>IF(J4680&gt;300,1,0)</f>
        <v/>
      </c>
      <c r="O4680" s="25">
        <f>IF(J4680&gt;600,1,0)</f>
        <v/>
      </c>
      <c r="P4680" s="25">
        <f>IF(H4680&gt;0,J4680,"")</f>
        <v/>
      </c>
      <c r="Q4680" s="25">
        <f>TEXT(A4680,"YYYY-MM-DD HH")</f>
        <v/>
      </c>
      <c r="R4680" s="25">
        <f>COUNTIF($Q$2:$Q$5295,Q4680)</f>
        <v/>
      </c>
      <c r="S4680" s="25">
        <f>IF(R4680&lt;=2,"1-2",IF(R4680&lt;=5,"3-5",IF(R4680&lt;=10,"6-10","11+")))</f>
        <v/>
      </c>
    </row>
    <row r="4681">
      <c r="A4681" s="39" t="n">
        <v>46226.57375</v>
      </c>
      <c r="B4681" s="25">
        <f>TEXT(A4681,"YYYY-MM")</f>
        <v/>
      </c>
      <c r="C4681" s="25">
        <f>TEXT(A4681,"MMM-YYYY")</f>
        <v/>
      </c>
      <c r="D4681" s="40">
        <f>INT(A4681)-WEEKDAY(A4681,2)+1</f>
        <v/>
      </c>
      <c r="E4681" s="25" t="inlineStr">
        <is>
          <t>mbhalla</t>
        </is>
      </c>
      <c r="F4681" s="25" t="n">
        <v>130671</v>
      </c>
      <c r="G4681" s="25" t="n">
        <v>4</v>
      </c>
      <c r="H4681" s="25" t="n">
        <v>22</v>
      </c>
      <c r="I4681" s="25" t="inlineStr">
        <is>
          <t>1 minute(s) and 48 second(s)</t>
        </is>
      </c>
      <c r="J4681" s="25">
        <f>IFERROR(VALUE(TRIM(LEFT(I4681,FIND("minute",I4681)-1)))*60,0)+IFERROR(VALUE(SUBSTITUTE(MID(I4681,IFERROR(FIND("and",I4681)+3,1),20),"second(s)","")),0)</f>
        <v/>
      </c>
      <c r="K4681" s="41">
        <f>J4681/60</f>
        <v/>
      </c>
      <c r="L4681" s="41">
        <f>IFERROR(J4681/H4681,"")</f>
        <v/>
      </c>
      <c r="M4681" s="25" t="inlineStr">
        <is>
          <t>2.5.12</t>
        </is>
      </c>
      <c r="N4681" s="25">
        <f>IF(J4681&gt;300,1,0)</f>
        <v/>
      </c>
      <c r="O4681" s="25">
        <f>IF(J4681&gt;600,1,0)</f>
        <v/>
      </c>
      <c r="P4681" s="25">
        <f>IF(H4681&gt;0,J4681,"")</f>
        <v/>
      </c>
      <c r="Q4681" s="25">
        <f>TEXT(A4681,"YYYY-MM-DD HH")</f>
        <v/>
      </c>
      <c r="R4681" s="25">
        <f>COUNTIF($Q$2:$Q$5295,Q4681)</f>
        <v/>
      </c>
      <c r="S4681" s="25">
        <f>IF(R4681&lt;=2,"1-2",IF(R4681&lt;=5,"3-5",IF(R4681&lt;=10,"6-10","11+")))</f>
        <v/>
      </c>
    </row>
    <row r="4682">
      <c r="A4682" s="39" t="n">
        <v>46226.59927083334</v>
      </c>
      <c r="B4682" s="25">
        <f>TEXT(A4682,"YYYY-MM")</f>
        <v/>
      </c>
      <c r="C4682" s="25">
        <f>TEXT(A4682,"MMM-YYYY")</f>
        <v/>
      </c>
      <c r="D4682" s="40">
        <f>INT(A4682)-WEEKDAY(A4682,2)+1</f>
        <v/>
      </c>
      <c r="E4682" s="25" t="inlineStr">
        <is>
          <t>sdey</t>
        </is>
      </c>
      <c r="F4682" s="25" t="n">
        <v>129449</v>
      </c>
      <c r="G4682" s="25" t="n">
        <v>2</v>
      </c>
      <c r="H4682" s="25" t="n">
        <v>8</v>
      </c>
      <c r="I4682" s="25" t="inlineStr">
        <is>
          <t>1 minute(s) and 29 second(s)</t>
        </is>
      </c>
      <c r="J4682" s="25">
        <f>IFERROR(VALUE(TRIM(LEFT(I4682,FIND("minute",I4682)-1)))*60,0)+IFERROR(VALUE(SUBSTITUTE(MID(I4682,IFERROR(FIND("and",I4682)+3,1),20),"second(s)","")),0)</f>
        <v/>
      </c>
      <c r="K4682" s="41">
        <f>J4682/60</f>
        <v/>
      </c>
      <c r="L4682" s="41">
        <f>IFERROR(J4682/H4682,"")</f>
        <v/>
      </c>
      <c r="M4682" s="25" t="inlineStr">
        <is>
          <t>2.5.12</t>
        </is>
      </c>
      <c r="N4682" s="25">
        <f>IF(J4682&gt;300,1,0)</f>
        <v/>
      </c>
      <c r="O4682" s="25">
        <f>IF(J4682&gt;600,1,0)</f>
        <v/>
      </c>
      <c r="P4682" s="25">
        <f>IF(H4682&gt;0,J4682,"")</f>
        <v/>
      </c>
      <c r="Q4682" s="25">
        <f>TEXT(A4682,"YYYY-MM-DD HH")</f>
        <v/>
      </c>
      <c r="R4682" s="25">
        <f>COUNTIF($Q$2:$Q$5295,Q4682)</f>
        <v/>
      </c>
      <c r="S4682" s="25">
        <f>IF(R4682&lt;=2,"1-2",IF(R4682&lt;=5,"3-5",IF(R4682&lt;=10,"6-10","11+")))</f>
        <v/>
      </c>
    </row>
    <row r="4683">
      <c r="A4683" s="39" t="n">
        <v>46226.62994212963</v>
      </c>
      <c r="B4683" s="25">
        <f>TEXT(A4683,"YYYY-MM")</f>
        <v/>
      </c>
      <c r="C4683" s="25">
        <f>TEXT(A4683,"MMM-YYYY")</f>
        <v/>
      </c>
      <c r="D4683" s="40">
        <f>INT(A4683)-WEEKDAY(A4683,2)+1</f>
        <v/>
      </c>
      <c r="E4683" s="25" t="inlineStr">
        <is>
          <t>kkumar</t>
        </is>
      </c>
      <c r="F4683" s="25" t="n">
        <v>130768</v>
      </c>
      <c r="G4683" s="25" t="n">
        <v>4</v>
      </c>
      <c r="H4683" s="25" t="n">
        <v>26</v>
      </c>
      <c r="I4683" s="25" t="inlineStr">
        <is>
          <t>2 minute(s) and 20 second(s)</t>
        </is>
      </c>
      <c r="J4683" s="25">
        <f>IFERROR(VALUE(TRIM(LEFT(I4683,FIND("minute",I4683)-1)))*60,0)+IFERROR(VALUE(SUBSTITUTE(MID(I4683,IFERROR(FIND("and",I4683)+3,1),20),"second(s)","")),0)</f>
        <v/>
      </c>
      <c r="K4683" s="41">
        <f>J4683/60</f>
        <v/>
      </c>
      <c r="L4683" s="41">
        <f>IFERROR(J4683/H4683,"")</f>
        <v/>
      </c>
      <c r="M4683" s="25" t="inlineStr">
        <is>
          <t>2.5.12</t>
        </is>
      </c>
      <c r="N4683" s="25">
        <f>IF(J4683&gt;300,1,0)</f>
        <v/>
      </c>
      <c r="O4683" s="25">
        <f>IF(J4683&gt;600,1,0)</f>
        <v/>
      </c>
      <c r="P4683" s="25">
        <f>IF(H4683&gt;0,J4683,"")</f>
        <v/>
      </c>
      <c r="Q4683" s="25">
        <f>TEXT(A4683,"YYYY-MM-DD HH")</f>
        <v/>
      </c>
      <c r="R4683" s="25">
        <f>COUNTIF($Q$2:$Q$5295,Q4683)</f>
        <v/>
      </c>
      <c r="S4683" s="25">
        <f>IF(R4683&lt;=2,"1-2",IF(R4683&lt;=5,"3-5",IF(R4683&lt;=10,"6-10","11+")))</f>
        <v/>
      </c>
    </row>
    <row r="4684">
      <c r="A4684" s="39" t="n">
        <v>46226.63091435185</v>
      </c>
      <c r="B4684" s="25">
        <f>TEXT(A4684,"YYYY-MM")</f>
        <v/>
      </c>
      <c r="C4684" s="25">
        <f>TEXT(A4684,"MMM-YYYY")</f>
        <v/>
      </c>
      <c r="D4684" s="40">
        <f>INT(A4684)-WEEKDAY(A4684,2)+1</f>
        <v/>
      </c>
      <c r="E4684" s="25" t="inlineStr">
        <is>
          <t>shasikha</t>
        </is>
      </c>
      <c r="F4684" s="25" t="n">
        <v>130638</v>
      </c>
      <c r="G4684" s="25" t="n">
        <v>4</v>
      </c>
      <c r="H4684" s="25" t="n">
        <v>22</v>
      </c>
      <c r="I4684" s="25" t="inlineStr">
        <is>
          <t>2 minute(s) and 27 second(s)</t>
        </is>
      </c>
      <c r="J4684" s="25">
        <f>IFERROR(VALUE(TRIM(LEFT(I4684,FIND("minute",I4684)-1)))*60,0)+IFERROR(VALUE(SUBSTITUTE(MID(I4684,IFERROR(FIND("and",I4684)+3,1),20),"second(s)","")),0)</f>
        <v/>
      </c>
      <c r="K4684" s="41">
        <f>J4684/60</f>
        <v/>
      </c>
      <c r="L4684" s="41">
        <f>IFERROR(J4684/H4684,"")</f>
        <v/>
      </c>
      <c r="M4684" s="25" t="inlineStr">
        <is>
          <t>2.5.12</t>
        </is>
      </c>
      <c r="N4684" s="25">
        <f>IF(J4684&gt;300,1,0)</f>
        <v/>
      </c>
      <c r="O4684" s="25">
        <f>IF(J4684&gt;600,1,0)</f>
        <v/>
      </c>
      <c r="P4684" s="25">
        <f>IF(H4684&gt;0,J4684,"")</f>
        <v/>
      </c>
      <c r="Q4684" s="25">
        <f>TEXT(A4684,"YYYY-MM-DD HH")</f>
        <v/>
      </c>
      <c r="R4684" s="25">
        <f>COUNTIF($Q$2:$Q$5295,Q4684)</f>
        <v/>
      </c>
      <c r="S4684" s="25">
        <f>IF(R4684&lt;=2,"1-2",IF(R4684&lt;=5,"3-5",IF(R4684&lt;=10,"6-10","11+")))</f>
        <v/>
      </c>
    </row>
    <row r="4685">
      <c r="A4685" s="39" t="n">
        <v>46226.65526620371</v>
      </c>
      <c r="B4685" s="25">
        <f>TEXT(A4685,"YYYY-MM")</f>
        <v/>
      </c>
      <c r="C4685" s="25">
        <f>TEXT(A4685,"MMM-YYYY")</f>
        <v/>
      </c>
      <c r="D4685" s="40">
        <f>INT(A4685)-WEEKDAY(A4685,2)+1</f>
        <v/>
      </c>
      <c r="E4685" s="25" t="inlineStr">
        <is>
          <t>hsindwani</t>
        </is>
      </c>
      <c r="F4685" s="25" t="n">
        <v>127938</v>
      </c>
      <c r="G4685" s="25" t="n">
        <v>2</v>
      </c>
      <c r="H4685" s="25" t="n">
        <v>8</v>
      </c>
      <c r="I4685" s="25" t="inlineStr">
        <is>
          <t>1 minute(s) and 47 second(s)</t>
        </is>
      </c>
      <c r="J4685" s="25">
        <f>IFERROR(VALUE(TRIM(LEFT(I4685,FIND("minute",I4685)-1)))*60,0)+IFERROR(VALUE(SUBSTITUTE(MID(I4685,IFERROR(FIND("and",I4685)+3,1),20),"second(s)","")),0)</f>
        <v/>
      </c>
      <c r="K4685" s="41">
        <f>J4685/60</f>
        <v/>
      </c>
      <c r="L4685" s="41">
        <f>IFERROR(J4685/H4685,"")</f>
        <v/>
      </c>
      <c r="M4685" s="25" t="inlineStr">
        <is>
          <t>2.5.12</t>
        </is>
      </c>
      <c r="N4685" s="25">
        <f>IF(J4685&gt;300,1,0)</f>
        <v/>
      </c>
      <c r="O4685" s="25">
        <f>IF(J4685&gt;600,1,0)</f>
        <v/>
      </c>
      <c r="P4685" s="25">
        <f>IF(H4685&gt;0,J4685,"")</f>
        <v/>
      </c>
      <c r="Q4685" s="25">
        <f>TEXT(A4685,"YYYY-MM-DD HH")</f>
        <v/>
      </c>
      <c r="R4685" s="25">
        <f>COUNTIF($Q$2:$Q$5295,Q4685)</f>
        <v/>
      </c>
      <c r="S4685" s="25">
        <f>IF(R4685&lt;=2,"1-2",IF(R4685&lt;=5,"3-5",IF(R4685&lt;=10,"6-10","11+")))</f>
        <v/>
      </c>
    </row>
    <row r="4686">
      <c r="A4686" s="39" t="n">
        <v>46226.65700231482</v>
      </c>
      <c r="B4686" s="25">
        <f>TEXT(A4686,"YYYY-MM")</f>
        <v/>
      </c>
      <c r="C4686" s="25">
        <f>TEXT(A4686,"MMM-YYYY")</f>
        <v/>
      </c>
      <c r="D4686" s="40">
        <f>INT(A4686)-WEEKDAY(A4686,2)+1</f>
        <v/>
      </c>
      <c r="E4686" s="25" t="inlineStr">
        <is>
          <t>mbhalla</t>
        </is>
      </c>
      <c r="F4686" s="25" t="n">
        <v>128576</v>
      </c>
      <c r="G4686" s="25" t="n">
        <v>4</v>
      </c>
      <c r="H4686" s="25" t="n">
        <v>22</v>
      </c>
      <c r="I4686" s="25" t="inlineStr">
        <is>
          <t>1 minute(s) and 43 second(s)</t>
        </is>
      </c>
      <c r="J4686" s="25">
        <f>IFERROR(VALUE(TRIM(LEFT(I4686,FIND("minute",I4686)-1)))*60,0)+IFERROR(VALUE(SUBSTITUTE(MID(I4686,IFERROR(FIND("and",I4686)+3,1),20),"second(s)","")),0)</f>
        <v/>
      </c>
      <c r="K4686" s="41">
        <f>J4686/60</f>
        <v/>
      </c>
      <c r="L4686" s="41">
        <f>IFERROR(J4686/H4686,"")</f>
        <v/>
      </c>
      <c r="M4686" s="25" t="inlineStr">
        <is>
          <t>2.5.12</t>
        </is>
      </c>
      <c r="N4686" s="25">
        <f>IF(J4686&gt;300,1,0)</f>
        <v/>
      </c>
      <c r="O4686" s="25">
        <f>IF(J4686&gt;600,1,0)</f>
        <v/>
      </c>
      <c r="P4686" s="25">
        <f>IF(H4686&gt;0,J4686,"")</f>
        <v/>
      </c>
      <c r="Q4686" s="25">
        <f>TEXT(A4686,"YYYY-MM-DD HH")</f>
        <v/>
      </c>
      <c r="R4686" s="25">
        <f>COUNTIF($Q$2:$Q$5295,Q4686)</f>
        <v/>
      </c>
      <c r="S4686" s="25">
        <f>IF(R4686&lt;=2,"1-2",IF(R4686&lt;=5,"3-5",IF(R4686&lt;=10,"6-10","11+")))</f>
        <v/>
      </c>
    </row>
    <row r="4687">
      <c r="A4687" s="39" t="n">
        <v>46226.6825925926</v>
      </c>
      <c r="B4687" s="25">
        <f>TEXT(A4687,"YYYY-MM")</f>
        <v/>
      </c>
      <c r="C4687" s="25">
        <f>TEXT(A4687,"MMM-YYYY")</f>
        <v/>
      </c>
      <c r="D4687" s="40">
        <f>INT(A4687)-WEEKDAY(A4687,2)+1</f>
        <v/>
      </c>
      <c r="E4687" s="25" t="inlineStr">
        <is>
          <t>aghosh</t>
        </is>
      </c>
      <c r="F4687" s="25" t="n">
        <v>130603</v>
      </c>
      <c r="G4687" s="25" t="n">
        <v>1</v>
      </c>
      <c r="H4687" s="25" t="n">
        <v>7</v>
      </c>
      <c r="I4687" s="25" t="inlineStr">
        <is>
          <t>51 second(s)</t>
        </is>
      </c>
      <c r="J4687" s="25">
        <f>IFERROR(VALUE(TRIM(LEFT(I4687,FIND("minute",I4687)-1)))*60,0)+IFERROR(VALUE(SUBSTITUTE(MID(I4687,IFERROR(FIND("and",I4687)+3,1),20),"second(s)","")),0)</f>
        <v/>
      </c>
      <c r="K4687" s="41">
        <f>J4687/60</f>
        <v/>
      </c>
      <c r="L4687" s="41">
        <f>IFERROR(J4687/H4687,"")</f>
        <v/>
      </c>
      <c r="M4687" s="25" t="inlineStr">
        <is>
          <t>2.5.12</t>
        </is>
      </c>
      <c r="N4687" s="25">
        <f>IF(J4687&gt;300,1,0)</f>
        <v/>
      </c>
      <c r="O4687" s="25">
        <f>IF(J4687&gt;600,1,0)</f>
        <v/>
      </c>
      <c r="P4687" s="25">
        <f>IF(H4687&gt;0,J4687,"")</f>
        <v/>
      </c>
      <c r="Q4687" s="25">
        <f>TEXT(A4687,"YYYY-MM-DD HH")</f>
        <v/>
      </c>
      <c r="R4687" s="25">
        <f>COUNTIF($Q$2:$Q$5295,Q4687)</f>
        <v/>
      </c>
      <c r="S4687" s="25">
        <f>IF(R4687&lt;=2,"1-2",IF(R4687&lt;=5,"3-5",IF(R4687&lt;=10,"6-10","11+")))</f>
        <v/>
      </c>
    </row>
    <row r="4688">
      <c r="A4688" s="39" t="n">
        <v>46226.69047453703</v>
      </c>
      <c r="B4688" s="25">
        <f>TEXT(A4688,"YYYY-MM")</f>
        <v/>
      </c>
      <c r="C4688" s="25">
        <f>TEXT(A4688,"MMM-YYYY")</f>
        <v/>
      </c>
      <c r="D4688" s="40">
        <f>INT(A4688)-WEEKDAY(A4688,2)+1</f>
        <v/>
      </c>
      <c r="E4688" s="25" t="inlineStr">
        <is>
          <t>kkumar</t>
        </is>
      </c>
      <c r="F4688" s="25" t="n">
        <v>130704</v>
      </c>
      <c r="G4688" s="25" t="n">
        <v>3</v>
      </c>
      <c r="H4688" s="25" t="n">
        <v>15</v>
      </c>
      <c r="I4688" s="25" t="inlineStr">
        <is>
          <t>1 minute(s) and 6 second(s)</t>
        </is>
      </c>
      <c r="J4688" s="25">
        <f>IFERROR(VALUE(TRIM(LEFT(I4688,FIND("minute",I4688)-1)))*60,0)+IFERROR(VALUE(SUBSTITUTE(MID(I4688,IFERROR(FIND("and",I4688)+3,1),20),"second(s)","")),0)</f>
        <v/>
      </c>
      <c r="K4688" s="41">
        <f>J4688/60</f>
        <v/>
      </c>
      <c r="L4688" s="41">
        <f>IFERROR(J4688/H4688,"")</f>
        <v/>
      </c>
      <c r="M4688" s="25" t="inlineStr">
        <is>
          <t>2.5.12</t>
        </is>
      </c>
      <c r="N4688" s="25">
        <f>IF(J4688&gt;300,1,0)</f>
        <v/>
      </c>
      <c r="O4688" s="25">
        <f>IF(J4688&gt;600,1,0)</f>
        <v/>
      </c>
      <c r="P4688" s="25">
        <f>IF(H4688&gt;0,J4688,"")</f>
        <v/>
      </c>
      <c r="Q4688" s="25">
        <f>TEXT(A4688,"YYYY-MM-DD HH")</f>
        <v/>
      </c>
      <c r="R4688" s="25">
        <f>COUNTIF($Q$2:$Q$5295,Q4688)</f>
        <v/>
      </c>
      <c r="S4688" s="25">
        <f>IF(R4688&lt;=2,"1-2",IF(R4688&lt;=5,"3-5",IF(R4688&lt;=10,"6-10","11+")))</f>
        <v/>
      </c>
    </row>
    <row r="4689">
      <c r="A4689" s="39" t="n">
        <v>46226.70462962963</v>
      </c>
      <c r="B4689" s="25">
        <f>TEXT(A4689,"YYYY-MM")</f>
        <v/>
      </c>
      <c r="C4689" s="25">
        <f>TEXT(A4689,"MMM-YYYY")</f>
        <v/>
      </c>
      <c r="D4689" s="40">
        <f>INT(A4689)-WEEKDAY(A4689,2)+1</f>
        <v/>
      </c>
      <c r="E4689" s="25" t="inlineStr">
        <is>
          <t>rsingh</t>
        </is>
      </c>
      <c r="F4689" s="25" t="n">
        <v>129950</v>
      </c>
      <c r="G4689" s="25" t="n">
        <v>4</v>
      </c>
      <c r="H4689" s="25" t="n">
        <v>16</v>
      </c>
      <c r="I4689" s="25" t="inlineStr">
        <is>
          <t>1 minute(s) and 58 second(s)</t>
        </is>
      </c>
      <c r="J4689" s="25">
        <f>IFERROR(VALUE(TRIM(LEFT(I4689,FIND("minute",I4689)-1)))*60,0)+IFERROR(VALUE(SUBSTITUTE(MID(I4689,IFERROR(FIND("and",I4689)+3,1),20),"second(s)","")),0)</f>
        <v/>
      </c>
      <c r="K4689" s="41">
        <f>J4689/60</f>
        <v/>
      </c>
      <c r="L4689" s="41">
        <f>IFERROR(J4689/H4689,"")</f>
        <v/>
      </c>
      <c r="M4689" s="25" t="inlineStr">
        <is>
          <t>2.5.12</t>
        </is>
      </c>
      <c r="N4689" s="25">
        <f>IF(J4689&gt;300,1,0)</f>
        <v/>
      </c>
      <c r="O4689" s="25">
        <f>IF(J4689&gt;600,1,0)</f>
        <v/>
      </c>
      <c r="P4689" s="25">
        <f>IF(H4689&gt;0,J4689,"")</f>
        <v/>
      </c>
      <c r="Q4689" s="25">
        <f>TEXT(A4689,"YYYY-MM-DD HH")</f>
        <v/>
      </c>
      <c r="R4689" s="25">
        <f>COUNTIF($Q$2:$Q$5295,Q4689)</f>
        <v/>
      </c>
      <c r="S4689" s="25">
        <f>IF(R4689&lt;=2,"1-2",IF(R4689&lt;=5,"3-5",IF(R4689&lt;=10,"6-10","11+")))</f>
        <v/>
      </c>
    </row>
    <row r="4690">
      <c r="A4690" s="39" t="n">
        <v>46226.77403935185</v>
      </c>
      <c r="B4690" s="25">
        <f>TEXT(A4690,"YYYY-MM")</f>
        <v/>
      </c>
      <c r="C4690" s="25">
        <f>TEXT(A4690,"MMM-YYYY")</f>
        <v/>
      </c>
      <c r="D4690" s="40">
        <f>INT(A4690)-WEEKDAY(A4690,2)+1</f>
        <v/>
      </c>
      <c r="E4690" s="25" t="inlineStr">
        <is>
          <t>dchoudhury</t>
        </is>
      </c>
      <c r="F4690" s="25" t="n">
        <v>132334</v>
      </c>
      <c r="G4690" s="25" t="n">
        <v>3</v>
      </c>
      <c r="H4690" s="25" t="n">
        <v>15</v>
      </c>
      <c r="I4690" s="25" t="inlineStr">
        <is>
          <t>1 minute(s) and 47 second(s)</t>
        </is>
      </c>
      <c r="J4690" s="25">
        <f>IFERROR(VALUE(TRIM(LEFT(I4690,FIND("minute",I4690)-1)))*60,0)+IFERROR(VALUE(SUBSTITUTE(MID(I4690,IFERROR(FIND("and",I4690)+3,1),20),"second(s)","")),0)</f>
        <v/>
      </c>
      <c r="K4690" s="41">
        <f>J4690/60</f>
        <v/>
      </c>
      <c r="L4690" s="41">
        <f>IFERROR(J4690/H4690,"")</f>
        <v/>
      </c>
      <c r="M4690" s="25" t="inlineStr">
        <is>
          <t>2.5.12</t>
        </is>
      </c>
      <c r="N4690" s="25">
        <f>IF(J4690&gt;300,1,0)</f>
        <v/>
      </c>
      <c r="O4690" s="25">
        <f>IF(J4690&gt;600,1,0)</f>
        <v/>
      </c>
      <c r="P4690" s="25">
        <f>IF(H4690&gt;0,J4690,"")</f>
        <v/>
      </c>
      <c r="Q4690" s="25">
        <f>TEXT(A4690,"YYYY-MM-DD HH")</f>
        <v/>
      </c>
      <c r="R4690" s="25">
        <f>COUNTIF($Q$2:$Q$5295,Q4690)</f>
        <v/>
      </c>
      <c r="S4690" s="25">
        <f>IF(R4690&lt;=2,"1-2",IF(R4690&lt;=5,"3-5",IF(R4690&lt;=10,"6-10","11+")))</f>
        <v/>
      </c>
    </row>
    <row r="4691">
      <c r="A4691" s="39" t="n">
        <v>46226.78472222222</v>
      </c>
      <c r="B4691" s="25">
        <f>TEXT(A4691,"YYYY-MM")</f>
        <v/>
      </c>
      <c r="C4691" s="25">
        <f>TEXT(A4691,"MMM-YYYY")</f>
        <v/>
      </c>
      <c r="D4691" s="40">
        <f>INT(A4691)-WEEKDAY(A4691,2)+1</f>
        <v/>
      </c>
      <c r="E4691" s="25" t="inlineStr">
        <is>
          <t>hsindwani</t>
        </is>
      </c>
      <c r="F4691" s="25" t="n">
        <v>132170</v>
      </c>
      <c r="G4691" s="25" t="n">
        <v>1</v>
      </c>
      <c r="H4691" s="25" t="n">
        <v>7</v>
      </c>
      <c r="I4691" s="25" t="inlineStr">
        <is>
          <t>39 second(s)</t>
        </is>
      </c>
      <c r="J4691" s="25">
        <f>IFERROR(VALUE(TRIM(LEFT(I4691,FIND("minute",I4691)-1)))*60,0)+IFERROR(VALUE(SUBSTITUTE(MID(I4691,IFERROR(FIND("and",I4691)+3,1),20),"second(s)","")),0)</f>
        <v/>
      </c>
      <c r="K4691" s="41">
        <f>J4691/60</f>
        <v/>
      </c>
      <c r="L4691" s="41">
        <f>IFERROR(J4691/H4691,"")</f>
        <v/>
      </c>
      <c r="M4691" s="25" t="inlineStr">
        <is>
          <t>2.5.12</t>
        </is>
      </c>
      <c r="N4691" s="25">
        <f>IF(J4691&gt;300,1,0)</f>
        <v/>
      </c>
      <c r="O4691" s="25">
        <f>IF(J4691&gt;600,1,0)</f>
        <v/>
      </c>
      <c r="P4691" s="25">
        <f>IF(H4691&gt;0,J4691,"")</f>
        <v/>
      </c>
      <c r="Q4691" s="25">
        <f>TEXT(A4691,"YYYY-MM-DD HH")</f>
        <v/>
      </c>
      <c r="R4691" s="25">
        <f>COUNTIF($Q$2:$Q$5295,Q4691)</f>
        <v/>
      </c>
      <c r="S4691" s="25">
        <f>IF(R4691&lt;=2,"1-2",IF(R4691&lt;=5,"3-5",IF(R4691&lt;=10,"6-10","11+")))</f>
        <v/>
      </c>
    </row>
    <row r="4692">
      <c r="A4692" s="39" t="n">
        <v>46226.81675925926</v>
      </c>
      <c r="B4692" s="25">
        <f>TEXT(A4692,"YYYY-MM")</f>
        <v/>
      </c>
      <c r="C4692" s="25">
        <f>TEXT(A4692,"MMM-YYYY")</f>
        <v/>
      </c>
      <c r="D4692" s="40">
        <f>INT(A4692)-WEEKDAY(A4692,2)+1</f>
        <v/>
      </c>
      <c r="E4692" s="25" t="inlineStr">
        <is>
          <t>dchoudhury</t>
        </is>
      </c>
      <c r="F4692" s="25" t="n">
        <v>132174</v>
      </c>
      <c r="G4692" s="25" t="n">
        <v>2</v>
      </c>
      <c r="H4692" s="25" t="n">
        <v>8</v>
      </c>
      <c r="I4692" s="25" t="inlineStr">
        <is>
          <t>59 second(s)</t>
        </is>
      </c>
      <c r="J4692" s="25">
        <f>IFERROR(VALUE(TRIM(LEFT(I4692,FIND("minute",I4692)-1)))*60,0)+IFERROR(VALUE(SUBSTITUTE(MID(I4692,IFERROR(FIND("and",I4692)+3,1),20),"second(s)","")),0)</f>
        <v/>
      </c>
      <c r="K4692" s="41">
        <f>J4692/60</f>
        <v/>
      </c>
      <c r="L4692" s="41">
        <f>IFERROR(J4692/H4692,"")</f>
        <v/>
      </c>
      <c r="M4692" s="25" t="inlineStr">
        <is>
          <t>2.5.12</t>
        </is>
      </c>
      <c r="N4692" s="25">
        <f>IF(J4692&gt;300,1,0)</f>
        <v/>
      </c>
      <c r="O4692" s="25">
        <f>IF(J4692&gt;600,1,0)</f>
        <v/>
      </c>
      <c r="P4692" s="25">
        <f>IF(H4692&gt;0,J4692,"")</f>
        <v/>
      </c>
      <c r="Q4692" s="25">
        <f>TEXT(A4692,"YYYY-MM-DD HH")</f>
        <v/>
      </c>
      <c r="R4692" s="25">
        <f>COUNTIF($Q$2:$Q$5295,Q4692)</f>
        <v/>
      </c>
      <c r="S4692" s="25">
        <f>IF(R4692&lt;=2,"1-2",IF(R4692&lt;=5,"3-5",IF(R4692&lt;=10,"6-10","11+")))</f>
        <v/>
      </c>
    </row>
    <row r="4693">
      <c r="A4693" s="39" t="n">
        <v>46226.85113425926</v>
      </c>
      <c r="B4693" s="25">
        <f>TEXT(A4693,"YYYY-MM")</f>
        <v/>
      </c>
      <c r="C4693" s="25">
        <f>TEXT(A4693,"MMM-YYYY")</f>
        <v/>
      </c>
      <c r="D4693" s="40">
        <f>INT(A4693)-WEEKDAY(A4693,2)+1</f>
        <v/>
      </c>
      <c r="E4693" s="25" t="inlineStr">
        <is>
          <t>dchoudhury</t>
        </is>
      </c>
      <c r="F4693" s="25" t="n">
        <v>131998</v>
      </c>
      <c r="G4693" s="25" t="n">
        <v>1</v>
      </c>
      <c r="H4693" s="25" t="n">
        <v>5</v>
      </c>
      <c r="I4693" s="25" t="inlineStr">
        <is>
          <t>24 second(s)</t>
        </is>
      </c>
      <c r="J4693" s="25">
        <f>IFERROR(VALUE(TRIM(LEFT(I4693,FIND("minute",I4693)-1)))*60,0)+IFERROR(VALUE(SUBSTITUTE(MID(I4693,IFERROR(FIND("and",I4693)+3,1),20),"second(s)","")),0)</f>
        <v/>
      </c>
      <c r="K4693" s="41">
        <f>J4693/60</f>
        <v/>
      </c>
      <c r="L4693" s="41">
        <f>IFERROR(J4693/H4693,"")</f>
        <v/>
      </c>
      <c r="M4693" s="25" t="inlineStr">
        <is>
          <t>2.5.12</t>
        </is>
      </c>
      <c r="N4693" s="25">
        <f>IF(J4693&gt;300,1,0)</f>
        <v/>
      </c>
      <c r="O4693" s="25">
        <f>IF(J4693&gt;600,1,0)</f>
        <v/>
      </c>
      <c r="P4693" s="25">
        <f>IF(H4693&gt;0,J4693,"")</f>
        <v/>
      </c>
      <c r="Q4693" s="25">
        <f>TEXT(A4693,"YYYY-MM-DD HH")</f>
        <v/>
      </c>
      <c r="R4693" s="25">
        <f>COUNTIF($Q$2:$Q$5295,Q4693)</f>
        <v/>
      </c>
      <c r="S4693" s="25">
        <f>IF(R4693&lt;=2,"1-2",IF(R4693&lt;=5,"3-5",IF(R4693&lt;=10,"6-10","11+")))</f>
        <v/>
      </c>
    </row>
    <row r="4694">
      <c r="A4694" s="39" t="n">
        <v>46226.90028935186</v>
      </c>
      <c r="B4694" s="25">
        <f>TEXT(A4694,"YYYY-MM")</f>
        <v/>
      </c>
      <c r="C4694" s="25">
        <f>TEXT(A4694,"MMM-YYYY")</f>
        <v/>
      </c>
      <c r="D4694" s="40">
        <f>INT(A4694)-WEEKDAY(A4694,2)+1</f>
        <v/>
      </c>
      <c r="E4694" s="25" t="inlineStr">
        <is>
          <t>dchoudhury</t>
        </is>
      </c>
      <c r="F4694" s="25" t="n">
        <v>131790</v>
      </c>
      <c r="G4694" s="25" t="n">
        <v>2</v>
      </c>
      <c r="H4694" s="25" t="n">
        <v>8</v>
      </c>
      <c r="I4694" s="25" t="inlineStr">
        <is>
          <t>1 minute(s) and 53 second(s)</t>
        </is>
      </c>
      <c r="J4694" s="25">
        <f>IFERROR(VALUE(TRIM(LEFT(I4694,FIND("minute",I4694)-1)))*60,0)+IFERROR(VALUE(SUBSTITUTE(MID(I4694,IFERROR(FIND("and",I4694)+3,1),20),"second(s)","")),0)</f>
        <v/>
      </c>
      <c r="K4694" s="41">
        <f>J4694/60</f>
        <v/>
      </c>
      <c r="L4694" s="41">
        <f>IFERROR(J4694/H4694,"")</f>
        <v/>
      </c>
      <c r="M4694" s="25" t="inlineStr">
        <is>
          <t>2.5.12</t>
        </is>
      </c>
      <c r="N4694" s="25">
        <f>IF(J4694&gt;300,1,0)</f>
        <v/>
      </c>
      <c r="O4694" s="25">
        <f>IF(J4694&gt;600,1,0)</f>
        <v/>
      </c>
      <c r="P4694" s="25">
        <f>IF(H4694&gt;0,J4694,"")</f>
        <v/>
      </c>
      <c r="Q4694" s="25">
        <f>TEXT(A4694,"YYYY-MM-DD HH")</f>
        <v/>
      </c>
      <c r="R4694" s="25">
        <f>COUNTIF($Q$2:$Q$5295,Q4694)</f>
        <v/>
      </c>
      <c r="S4694" s="25">
        <f>IF(R4694&lt;=2,"1-2",IF(R4694&lt;=5,"3-5",IF(R4694&lt;=10,"6-10","11+")))</f>
        <v/>
      </c>
    </row>
    <row r="4695">
      <c r="A4695" s="39" t="n">
        <v>46226.92112268518</v>
      </c>
      <c r="B4695" s="25">
        <f>TEXT(A4695,"YYYY-MM")</f>
        <v/>
      </c>
      <c r="C4695" s="25">
        <f>TEXT(A4695,"MMM-YYYY")</f>
        <v/>
      </c>
      <c r="D4695" s="40">
        <f>INT(A4695)-WEEKDAY(A4695,2)+1</f>
        <v/>
      </c>
      <c r="E4695" s="25" t="inlineStr">
        <is>
          <t>sswati</t>
        </is>
      </c>
      <c r="F4695" s="25" t="n">
        <v>129455</v>
      </c>
      <c r="G4695" s="25" t="n">
        <v>2</v>
      </c>
      <c r="H4695" s="25" t="n">
        <v>14</v>
      </c>
      <c r="I4695" s="25" t="inlineStr">
        <is>
          <t>2 minute(s) and 29 second(s)</t>
        </is>
      </c>
      <c r="J4695" s="25">
        <f>IFERROR(VALUE(TRIM(LEFT(I4695,FIND("minute",I4695)-1)))*60,0)+IFERROR(VALUE(SUBSTITUTE(MID(I4695,IFERROR(FIND("and",I4695)+3,1),20),"second(s)","")),0)</f>
        <v/>
      </c>
      <c r="K4695" s="41">
        <f>J4695/60</f>
        <v/>
      </c>
      <c r="L4695" s="41">
        <f>IFERROR(J4695/H4695,"")</f>
        <v/>
      </c>
      <c r="M4695" s="25" t="inlineStr">
        <is>
          <t>2.5.12</t>
        </is>
      </c>
      <c r="N4695" s="25">
        <f>IF(J4695&gt;300,1,0)</f>
        <v/>
      </c>
      <c r="O4695" s="25">
        <f>IF(J4695&gt;600,1,0)</f>
        <v/>
      </c>
      <c r="P4695" s="25">
        <f>IF(H4695&gt;0,J4695,"")</f>
        <v/>
      </c>
      <c r="Q4695" s="25">
        <f>TEXT(A4695,"YYYY-MM-DD HH")</f>
        <v/>
      </c>
      <c r="R4695" s="25">
        <f>COUNTIF($Q$2:$Q$5295,Q4695)</f>
        <v/>
      </c>
      <c r="S4695" s="25">
        <f>IF(R4695&lt;=2,"1-2",IF(R4695&lt;=5,"3-5",IF(R4695&lt;=10,"6-10","11+")))</f>
        <v/>
      </c>
    </row>
    <row r="4696">
      <c r="A4696" s="39" t="n">
        <v>46226.92834490741</v>
      </c>
      <c r="B4696" s="25">
        <f>TEXT(A4696,"YYYY-MM")</f>
        <v/>
      </c>
      <c r="C4696" s="25">
        <f>TEXT(A4696,"MMM-YYYY")</f>
        <v/>
      </c>
      <c r="D4696" s="40">
        <f>INT(A4696)-WEEKDAY(A4696,2)+1</f>
        <v/>
      </c>
      <c r="E4696" s="25" t="inlineStr">
        <is>
          <t>ssrinivasan</t>
        </is>
      </c>
      <c r="F4696" s="25" t="n">
        <v>129803</v>
      </c>
      <c r="G4696" s="25" t="n">
        <v>4</v>
      </c>
      <c r="H4696" s="25" t="n">
        <v>24</v>
      </c>
      <c r="I4696" s="25" t="inlineStr">
        <is>
          <t>2 minute(s) and 36 second(s)</t>
        </is>
      </c>
      <c r="J4696" s="25">
        <f>IFERROR(VALUE(TRIM(LEFT(I4696,FIND("minute",I4696)-1)))*60,0)+IFERROR(VALUE(SUBSTITUTE(MID(I4696,IFERROR(FIND("and",I4696)+3,1),20),"second(s)","")),0)</f>
        <v/>
      </c>
      <c r="K4696" s="41">
        <f>J4696/60</f>
        <v/>
      </c>
      <c r="L4696" s="41">
        <f>IFERROR(J4696/H4696,"")</f>
        <v/>
      </c>
      <c r="M4696" s="25" t="inlineStr">
        <is>
          <t>2.5.12</t>
        </is>
      </c>
      <c r="N4696" s="25">
        <f>IF(J4696&gt;300,1,0)</f>
        <v/>
      </c>
      <c r="O4696" s="25">
        <f>IF(J4696&gt;600,1,0)</f>
        <v/>
      </c>
      <c r="P4696" s="25">
        <f>IF(H4696&gt;0,J4696,"")</f>
        <v/>
      </c>
      <c r="Q4696" s="25">
        <f>TEXT(A4696,"YYYY-MM-DD HH")</f>
        <v/>
      </c>
      <c r="R4696" s="25">
        <f>COUNTIF($Q$2:$Q$5295,Q4696)</f>
        <v/>
      </c>
      <c r="S4696" s="25">
        <f>IF(R4696&lt;=2,"1-2",IF(R4696&lt;=5,"3-5",IF(R4696&lt;=10,"6-10","11+")))</f>
        <v/>
      </c>
    </row>
    <row r="4697">
      <c r="A4697" s="39" t="n">
        <v>46226.94490740741</v>
      </c>
      <c r="B4697" s="25">
        <f>TEXT(A4697,"YYYY-MM")</f>
        <v/>
      </c>
      <c r="C4697" s="25">
        <f>TEXT(A4697,"MMM-YYYY")</f>
        <v/>
      </c>
      <c r="D4697" s="40">
        <f>INT(A4697)-WEEKDAY(A4697,2)+1</f>
        <v/>
      </c>
      <c r="E4697" s="25" t="inlineStr">
        <is>
          <t>ssrinivasan</t>
        </is>
      </c>
      <c r="F4697" s="25" t="n">
        <v>129703</v>
      </c>
      <c r="G4697" s="25" t="n">
        <v>4</v>
      </c>
      <c r="H4697" s="25" t="n">
        <v>16</v>
      </c>
      <c r="I4697" s="25" t="inlineStr">
        <is>
          <t>2 minute(s) and 1 second(s)</t>
        </is>
      </c>
      <c r="J4697" s="25">
        <f>IFERROR(VALUE(TRIM(LEFT(I4697,FIND("minute",I4697)-1)))*60,0)+IFERROR(VALUE(SUBSTITUTE(MID(I4697,IFERROR(FIND("and",I4697)+3,1),20),"second(s)","")),0)</f>
        <v/>
      </c>
      <c r="K4697" s="41">
        <f>J4697/60</f>
        <v/>
      </c>
      <c r="L4697" s="41">
        <f>IFERROR(J4697/H4697,"")</f>
        <v/>
      </c>
      <c r="M4697" s="25" t="inlineStr">
        <is>
          <t>2.5.12</t>
        </is>
      </c>
      <c r="N4697" s="25">
        <f>IF(J4697&gt;300,1,0)</f>
        <v/>
      </c>
      <c r="O4697" s="25">
        <f>IF(J4697&gt;600,1,0)</f>
        <v/>
      </c>
      <c r="P4697" s="25">
        <f>IF(H4697&gt;0,J4697,"")</f>
        <v/>
      </c>
      <c r="Q4697" s="25">
        <f>TEXT(A4697,"YYYY-MM-DD HH")</f>
        <v/>
      </c>
      <c r="R4697" s="25">
        <f>COUNTIF($Q$2:$Q$5295,Q4697)</f>
        <v/>
      </c>
      <c r="S4697" s="25">
        <f>IF(R4697&lt;=2,"1-2",IF(R4697&lt;=5,"3-5",IF(R4697&lt;=10,"6-10","11+")))</f>
        <v/>
      </c>
    </row>
    <row r="4698">
      <c r="A4698" s="39" t="n">
        <v>46226.94806712963</v>
      </c>
      <c r="B4698" s="25">
        <f>TEXT(A4698,"YYYY-MM")</f>
        <v/>
      </c>
      <c r="C4698" s="25">
        <f>TEXT(A4698,"MMM-YYYY")</f>
        <v/>
      </c>
      <c r="D4698" s="40">
        <f>INT(A4698)-WEEKDAY(A4698,2)+1</f>
        <v/>
      </c>
      <c r="E4698" s="25" t="inlineStr">
        <is>
          <t>dbhattacharyya</t>
        </is>
      </c>
      <c r="F4698" s="25" t="n">
        <v>129040</v>
      </c>
      <c r="G4698" s="25" t="n">
        <v>4</v>
      </c>
      <c r="H4698" s="25" t="n">
        <v>20</v>
      </c>
      <c r="I4698" s="25" t="inlineStr">
        <is>
          <t>3 minute(s) and 42 second(s)</t>
        </is>
      </c>
      <c r="J4698" s="25">
        <f>IFERROR(VALUE(TRIM(LEFT(I4698,FIND("minute",I4698)-1)))*60,0)+IFERROR(VALUE(SUBSTITUTE(MID(I4698,IFERROR(FIND("and",I4698)+3,1),20),"second(s)","")),0)</f>
        <v/>
      </c>
      <c r="K4698" s="41">
        <f>J4698/60</f>
        <v/>
      </c>
      <c r="L4698" s="41">
        <f>IFERROR(J4698/H4698,"")</f>
        <v/>
      </c>
      <c r="M4698" s="25" t="inlineStr">
        <is>
          <t>2.5.12</t>
        </is>
      </c>
      <c r="N4698" s="25">
        <f>IF(J4698&gt;300,1,0)</f>
        <v/>
      </c>
      <c r="O4698" s="25">
        <f>IF(J4698&gt;600,1,0)</f>
        <v/>
      </c>
      <c r="P4698" s="25">
        <f>IF(H4698&gt;0,J4698,"")</f>
        <v/>
      </c>
      <c r="Q4698" s="25">
        <f>TEXT(A4698,"YYYY-MM-DD HH")</f>
        <v/>
      </c>
      <c r="R4698" s="25">
        <f>COUNTIF($Q$2:$Q$5295,Q4698)</f>
        <v/>
      </c>
      <c r="S4698" s="25">
        <f>IF(R4698&lt;=2,"1-2",IF(R4698&lt;=5,"3-5",IF(R4698&lt;=10,"6-10","11+")))</f>
        <v/>
      </c>
    </row>
    <row r="4699">
      <c r="A4699" s="39" t="n">
        <v>46226.9650925926</v>
      </c>
      <c r="B4699" s="25">
        <f>TEXT(A4699,"YYYY-MM")</f>
        <v/>
      </c>
      <c r="C4699" s="25">
        <f>TEXT(A4699,"MMM-YYYY")</f>
        <v/>
      </c>
      <c r="D4699" s="40">
        <f>INT(A4699)-WEEKDAY(A4699,2)+1</f>
        <v/>
      </c>
      <c r="E4699" s="25" t="inlineStr">
        <is>
          <t>dchoudhury</t>
        </is>
      </c>
      <c r="F4699" s="25" t="n">
        <v>131734</v>
      </c>
      <c r="G4699" s="25" t="n">
        <v>2</v>
      </c>
      <c r="H4699" s="25" t="n">
        <v>10</v>
      </c>
      <c r="I4699" s="25" t="inlineStr">
        <is>
          <t>59 second(s)</t>
        </is>
      </c>
      <c r="J4699" s="25">
        <f>IFERROR(VALUE(TRIM(LEFT(I4699,FIND("minute",I4699)-1)))*60,0)+IFERROR(VALUE(SUBSTITUTE(MID(I4699,IFERROR(FIND("and",I4699)+3,1),20),"second(s)","")),0)</f>
        <v/>
      </c>
      <c r="K4699" s="41">
        <f>J4699/60</f>
        <v/>
      </c>
      <c r="L4699" s="41">
        <f>IFERROR(J4699/H4699,"")</f>
        <v/>
      </c>
      <c r="M4699" s="25" t="inlineStr">
        <is>
          <t>2.5.12</t>
        </is>
      </c>
      <c r="N4699" s="25">
        <f>IF(J4699&gt;300,1,0)</f>
        <v/>
      </c>
      <c r="O4699" s="25">
        <f>IF(J4699&gt;600,1,0)</f>
        <v/>
      </c>
      <c r="P4699" s="25">
        <f>IF(H4699&gt;0,J4699,"")</f>
        <v/>
      </c>
      <c r="Q4699" s="25">
        <f>TEXT(A4699,"YYYY-MM-DD HH")</f>
        <v/>
      </c>
      <c r="R4699" s="25">
        <f>COUNTIF($Q$2:$Q$5295,Q4699)</f>
        <v/>
      </c>
      <c r="S4699" s="25">
        <f>IF(R4699&lt;=2,"1-2",IF(R4699&lt;=5,"3-5",IF(R4699&lt;=10,"6-10","11+")))</f>
        <v/>
      </c>
    </row>
    <row r="4700">
      <c r="A4700" s="39" t="n">
        <v>46226.99123842592</v>
      </c>
      <c r="B4700" s="25">
        <f>TEXT(A4700,"YYYY-MM")</f>
        <v/>
      </c>
      <c r="C4700" s="25">
        <f>TEXT(A4700,"MMM-YYYY")</f>
        <v/>
      </c>
      <c r="D4700" s="40">
        <f>INT(A4700)-WEEKDAY(A4700,2)+1</f>
        <v/>
      </c>
      <c r="E4700" s="25" t="inlineStr">
        <is>
          <t>ssrinivasan</t>
        </is>
      </c>
      <c r="F4700" s="25" t="n">
        <v>129703</v>
      </c>
      <c r="G4700" s="25" t="n">
        <v>1</v>
      </c>
      <c r="H4700" s="25" t="n">
        <v>5</v>
      </c>
      <c r="I4700" s="25" t="inlineStr">
        <is>
          <t>28 second(s)</t>
        </is>
      </c>
      <c r="J4700" s="25">
        <f>IFERROR(VALUE(TRIM(LEFT(I4700,FIND("minute",I4700)-1)))*60,0)+IFERROR(VALUE(SUBSTITUTE(MID(I4700,IFERROR(FIND("and",I4700)+3,1),20),"second(s)","")),0)</f>
        <v/>
      </c>
      <c r="K4700" s="41">
        <f>J4700/60</f>
        <v/>
      </c>
      <c r="L4700" s="41">
        <f>IFERROR(J4700/H4700,"")</f>
        <v/>
      </c>
      <c r="M4700" s="25" t="inlineStr">
        <is>
          <t>2.5.12</t>
        </is>
      </c>
      <c r="N4700" s="25">
        <f>IF(J4700&gt;300,1,0)</f>
        <v/>
      </c>
      <c r="O4700" s="25">
        <f>IF(J4700&gt;600,1,0)</f>
        <v/>
      </c>
      <c r="P4700" s="25">
        <f>IF(H4700&gt;0,J4700,"")</f>
        <v/>
      </c>
      <c r="Q4700" s="25">
        <f>TEXT(A4700,"YYYY-MM-DD HH")</f>
        <v/>
      </c>
      <c r="R4700" s="25">
        <f>COUNTIF($Q$2:$Q$5295,Q4700)</f>
        <v/>
      </c>
      <c r="S4700" s="25">
        <f>IF(R4700&lt;=2,"1-2",IF(R4700&lt;=5,"3-5",IF(R4700&lt;=10,"6-10","11+")))</f>
        <v/>
      </c>
    </row>
    <row r="4701">
      <c r="A4701" s="39" t="n">
        <v>46227.03064814815</v>
      </c>
      <c r="B4701" s="25">
        <f>TEXT(A4701,"YYYY-MM")</f>
        <v/>
      </c>
      <c r="C4701" s="25">
        <f>TEXT(A4701,"MMM-YYYY")</f>
        <v/>
      </c>
      <c r="D4701" s="40">
        <f>INT(A4701)-WEEKDAY(A4701,2)+1</f>
        <v/>
      </c>
      <c r="E4701" s="25" t="inlineStr">
        <is>
          <t>sasharma</t>
        </is>
      </c>
      <c r="F4701" s="25" t="n">
        <v>130206</v>
      </c>
      <c r="G4701" s="25" t="n">
        <v>1</v>
      </c>
      <c r="H4701" s="25" t="n">
        <v>5</v>
      </c>
      <c r="I4701" s="25" t="inlineStr">
        <is>
          <t>32 second(s)</t>
        </is>
      </c>
      <c r="J4701" s="25">
        <f>IFERROR(VALUE(TRIM(LEFT(I4701,FIND("minute",I4701)-1)))*60,0)+IFERROR(VALUE(SUBSTITUTE(MID(I4701,IFERROR(FIND("and",I4701)+3,1),20),"second(s)","")),0)</f>
        <v/>
      </c>
      <c r="K4701" s="41">
        <f>J4701/60</f>
        <v/>
      </c>
      <c r="L4701" s="41">
        <f>IFERROR(J4701/H4701,"")</f>
        <v/>
      </c>
      <c r="M4701" s="25" t="inlineStr">
        <is>
          <t>2.5.12</t>
        </is>
      </c>
      <c r="N4701" s="25">
        <f>IF(J4701&gt;300,1,0)</f>
        <v/>
      </c>
      <c r="O4701" s="25">
        <f>IF(J4701&gt;600,1,0)</f>
        <v/>
      </c>
      <c r="P4701" s="25">
        <f>IF(H4701&gt;0,J4701,"")</f>
        <v/>
      </c>
      <c r="Q4701" s="25">
        <f>TEXT(A4701,"YYYY-MM-DD HH")</f>
        <v/>
      </c>
      <c r="R4701" s="25">
        <f>COUNTIF($Q$2:$Q$5295,Q4701)</f>
        <v/>
      </c>
      <c r="S4701" s="25">
        <f>IF(R4701&lt;=2,"1-2",IF(R4701&lt;=5,"3-5",IF(R4701&lt;=10,"6-10","11+")))</f>
        <v/>
      </c>
    </row>
    <row r="4702">
      <c r="A4702" s="39" t="n">
        <v>46227.03770833334</v>
      </c>
      <c r="B4702" s="25">
        <f>TEXT(A4702,"YYYY-MM")</f>
        <v/>
      </c>
      <c r="C4702" s="25">
        <f>TEXT(A4702,"MMM-YYYY")</f>
        <v/>
      </c>
      <c r="D4702" s="40">
        <f>INT(A4702)-WEEKDAY(A4702,2)+1</f>
        <v/>
      </c>
      <c r="E4702" s="25" t="inlineStr">
        <is>
          <t>shassan</t>
        </is>
      </c>
      <c r="F4702" s="25" t="n">
        <v>130566</v>
      </c>
      <c r="G4702" s="25" t="n">
        <v>2</v>
      </c>
      <c r="H4702" s="25" t="n">
        <v>6</v>
      </c>
      <c r="I4702" s="25" t="inlineStr">
        <is>
          <t>49 second(s)</t>
        </is>
      </c>
      <c r="J4702" s="25">
        <f>IFERROR(VALUE(TRIM(LEFT(I4702,FIND("minute",I4702)-1)))*60,0)+IFERROR(VALUE(SUBSTITUTE(MID(I4702,IFERROR(FIND("and",I4702)+3,1),20),"second(s)","")),0)</f>
        <v/>
      </c>
      <c r="K4702" s="41">
        <f>J4702/60</f>
        <v/>
      </c>
      <c r="L4702" s="41">
        <f>IFERROR(J4702/H4702,"")</f>
        <v/>
      </c>
      <c r="M4702" s="25" t="inlineStr">
        <is>
          <t>2.5.12</t>
        </is>
      </c>
      <c r="N4702" s="25">
        <f>IF(J4702&gt;300,1,0)</f>
        <v/>
      </c>
      <c r="O4702" s="25">
        <f>IF(J4702&gt;600,1,0)</f>
        <v/>
      </c>
      <c r="P4702" s="25">
        <f>IF(H4702&gt;0,J4702,"")</f>
        <v/>
      </c>
      <c r="Q4702" s="25">
        <f>TEXT(A4702,"YYYY-MM-DD HH")</f>
        <v/>
      </c>
      <c r="R4702" s="25">
        <f>COUNTIF($Q$2:$Q$5295,Q4702)</f>
        <v/>
      </c>
      <c r="S4702" s="25">
        <f>IF(R4702&lt;=2,"1-2",IF(R4702&lt;=5,"3-5",IF(R4702&lt;=10,"6-10","11+")))</f>
        <v/>
      </c>
    </row>
    <row r="4703">
      <c r="A4703" s="39" t="n">
        <v>46227.04747685185</v>
      </c>
      <c r="B4703" s="25">
        <f>TEXT(A4703,"YYYY-MM")</f>
        <v/>
      </c>
      <c r="C4703" s="25">
        <f>TEXT(A4703,"MMM-YYYY")</f>
        <v/>
      </c>
      <c r="D4703" s="40">
        <f>INT(A4703)-WEEKDAY(A4703,2)+1</f>
        <v/>
      </c>
      <c r="E4703" s="25" t="inlineStr">
        <is>
          <t>psathwika</t>
        </is>
      </c>
      <c r="F4703" s="25" t="n">
        <v>128051</v>
      </c>
      <c r="G4703" s="25" t="n">
        <v>1</v>
      </c>
      <c r="H4703" s="25" t="n">
        <v>7</v>
      </c>
      <c r="I4703" s="25" t="inlineStr">
        <is>
          <t>1 minute(s) and 20 second(s)</t>
        </is>
      </c>
      <c r="J4703" s="25">
        <f>IFERROR(VALUE(TRIM(LEFT(I4703,FIND("minute",I4703)-1)))*60,0)+IFERROR(VALUE(SUBSTITUTE(MID(I4703,IFERROR(FIND("and",I4703)+3,1),20),"second(s)","")),0)</f>
        <v/>
      </c>
      <c r="K4703" s="41">
        <f>J4703/60</f>
        <v/>
      </c>
      <c r="L4703" s="41">
        <f>IFERROR(J4703/H4703,"")</f>
        <v/>
      </c>
      <c r="M4703" s="25" t="inlineStr">
        <is>
          <t>2.5.12</t>
        </is>
      </c>
      <c r="N4703" s="25">
        <f>IF(J4703&gt;300,1,0)</f>
        <v/>
      </c>
      <c r="O4703" s="25">
        <f>IF(J4703&gt;600,1,0)</f>
        <v/>
      </c>
      <c r="P4703" s="25">
        <f>IF(H4703&gt;0,J4703,"")</f>
        <v/>
      </c>
      <c r="Q4703" s="25">
        <f>TEXT(A4703,"YYYY-MM-DD HH")</f>
        <v/>
      </c>
      <c r="R4703" s="25">
        <f>COUNTIF($Q$2:$Q$5295,Q4703)</f>
        <v/>
      </c>
      <c r="S4703" s="25">
        <f>IF(R4703&lt;=2,"1-2",IF(R4703&lt;=5,"3-5",IF(R4703&lt;=10,"6-10","11+")))</f>
        <v/>
      </c>
    </row>
    <row r="4704">
      <c r="A4704" s="39" t="n">
        <v>46227.07309027778</v>
      </c>
      <c r="B4704" s="25">
        <f>TEXT(A4704,"YYYY-MM")</f>
        <v/>
      </c>
      <c r="C4704" s="25">
        <f>TEXT(A4704,"MMM-YYYY")</f>
        <v/>
      </c>
      <c r="D4704" s="40">
        <f>INT(A4704)-WEEKDAY(A4704,2)+1</f>
        <v/>
      </c>
      <c r="E4704" s="25" t="inlineStr">
        <is>
          <t>dbhattacharyya</t>
        </is>
      </c>
      <c r="F4704" s="25" t="n">
        <v>130726</v>
      </c>
      <c r="G4704" s="25" t="n">
        <v>5</v>
      </c>
      <c r="H4704" s="25" t="n">
        <v>33</v>
      </c>
      <c r="I4704" s="25" t="inlineStr">
        <is>
          <t>5 minute(s) and 12 second(s)</t>
        </is>
      </c>
      <c r="J4704" s="25">
        <f>IFERROR(VALUE(TRIM(LEFT(I4704,FIND("minute",I4704)-1)))*60,0)+IFERROR(VALUE(SUBSTITUTE(MID(I4704,IFERROR(FIND("and",I4704)+3,1),20),"second(s)","")),0)</f>
        <v/>
      </c>
      <c r="K4704" s="41">
        <f>J4704/60</f>
        <v/>
      </c>
      <c r="L4704" s="41">
        <f>IFERROR(J4704/H4704,"")</f>
        <v/>
      </c>
      <c r="M4704" s="25" t="inlineStr">
        <is>
          <t>2.5.12</t>
        </is>
      </c>
      <c r="N4704" s="25">
        <f>IF(J4704&gt;300,1,0)</f>
        <v/>
      </c>
      <c r="O4704" s="25">
        <f>IF(J4704&gt;600,1,0)</f>
        <v/>
      </c>
      <c r="P4704" s="25">
        <f>IF(H4704&gt;0,J4704,"")</f>
        <v/>
      </c>
      <c r="Q4704" s="25">
        <f>TEXT(A4704,"YYYY-MM-DD HH")</f>
        <v/>
      </c>
      <c r="R4704" s="25">
        <f>COUNTIF($Q$2:$Q$5295,Q4704)</f>
        <v/>
      </c>
      <c r="S4704" s="25">
        <f>IF(R4704&lt;=2,"1-2",IF(R4704&lt;=5,"3-5",IF(R4704&lt;=10,"6-10","11+")))</f>
        <v/>
      </c>
    </row>
    <row r="4705">
      <c r="A4705" s="39" t="n">
        <v>46227.08216435185</v>
      </c>
      <c r="B4705" s="25">
        <f>TEXT(A4705,"YYYY-MM")</f>
        <v/>
      </c>
      <c r="C4705" s="25">
        <f>TEXT(A4705,"MMM-YYYY")</f>
        <v/>
      </c>
      <c r="D4705" s="40">
        <f>INT(A4705)-WEEKDAY(A4705,2)+1</f>
        <v/>
      </c>
      <c r="E4705" s="25" t="inlineStr">
        <is>
          <t>sdey</t>
        </is>
      </c>
      <c r="F4705" s="25" t="n">
        <v>132388</v>
      </c>
      <c r="G4705" s="25" t="n">
        <v>4</v>
      </c>
      <c r="H4705" s="25" t="n">
        <v>21</v>
      </c>
      <c r="I4705" s="25" t="inlineStr">
        <is>
          <t>2 minute(s) and 28 second(s)</t>
        </is>
      </c>
      <c r="J4705" s="25">
        <f>IFERROR(VALUE(TRIM(LEFT(I4705,FIND("minute",I4705)-1)))*60,0)+IFERROR(VALUE(SUBSTITUTE(MID(I4705,IFERROR(FIND("and",I4705)+3,1),20),"second(s)","")),0)</f>
        <v/>
      </c>
      <c r="K4705" s="41">
        <f>J4705/60</f>
        <v/>
      </c>
      <c r="L4705" s="41">
        <f>IFERROR(J4705/H4705,"")</f>
        <v/>
      </c>
      <c r="M4705" s="25" t="inlineStr">
        <is>
          <t>2.5.12</t>
        </is>
      </c>
      <c r="N4705" s="25">
        <f>IF(J4705&gt;300,1,0)</f>
        <v/>
      </c>
      <c r="O4705" s="25">
        <f>IF(J4705&gt;600,1,0)</f>
        <v/>
      </c>
      <c r="P4705" s="25">
        <f>IF(H4705&gt;0,J4705,"")</f>
        <v/>
      </c>
      <c r="Q4705" s="25">
        <f>TEXT(A4705,"YYYY-MM-DD HH")</f>
        <v/>
      </c>
      <c r="R4705" s="25">
        <f>COUNTIF($Q$2:$Q$5295,Q4705)</f>
        <v/>
      </c>
      <c r="S4705" s="25">
        <f>IF(R4705&lt;=2,"1-2",IF(R4705&lt;=5,"3-5",IF(R4705&lt;=10,"6-10","11+")))</f>
        <v/>
      </c>
    </row>
    <row r="4706">
      <c r="A4706" s="39" t="n">
        <v>46227.08604166667</v>
      </c>
      <c r="B4706" s="25">
        <f>TEXT(A4706,"YYYY-MM")</f>
        <v/>
      </c>
      <c r="C4706" s="25">
        <f>TEXT(A4706,"MMM-YYYY")</f>
        <v/>
      </c>
      <c r="D4706" s="40">
        <f>INT(A4706)-WEEKDAY(A4706,2)+1</f>
        <v/>
      </c>
      <c r="E4706" s="25" t="inlineStr">
        <is>
          <t>shasikha</t>
        </is>
      </c>
      <c r="F4706" s="25" t="n">
        <v>131920</v>
      </c>
      <c r="G4706" s="25" t="n">
        <v>4</v>
      </c>
      <c r="H4706" s="25" t="n">
        <v>16</v>
      </c>
      <c r="I4706" s="25" t="inlineStr">
        <is>
          <t>1 minute(s) and 55 second(s)</t>
        </is>
      </c>
      <c r="J4706" s="25">
        <f>IFERROR(VALUE(TRIM(LEFT(I4706,FIND("minute",I4706)-1)))*60,0)+IFERROR(VALUE(SUBSTITUTE(MID(I4706,IFERROR(FIND("and",I4706)+3,1),20),"second(s)","")),0)</f>
        <v/>
      </c>
      <c r="K4706" s="41">
        <f>J4706/60</f>
        <v/>
      </c>
      <c r="L4706" s="41">
        <f>IFERROR(J4706/H4706,"")</f>
        <v/>
      </c>
      <c r="M4706" s="25" t="inlineStr">
        <is>
          <t>2.5.12</t>
        </is>
      </c>
      <c r="N4706" s="25">
        <f>IF(J4706&gt;300,1,0)</f>
        <v/>
      </c>
      <c r="O4706" s="25">
        <f>IF(J4706&gt;600,1,0)</f>
        <v/>
      </c>
      <c r="P4706" s="25">
        <f>IF(H4706&gt;0,J4706,"")</f>
        <v/>
      </c>
      <c r="Q4706" s="25">
        <f>TEXT(A4706,"YYYY-MM-DD HH")</f>
        <v/>
      </c>
      <c r="R4706" s="25">
        <f>COUNTIF($Q$2:$Q$5295,Q4706)</f>
        <v/>
      </c>
      <c r="S4706" s="25">
        <f>IF(R4706&lt;=2,"1-2",IF(R4706&lt;=5,"3-5",IF(R4706&lt;=10,"6-10","11+")))</f>
        <v/>
      </c>
    </row>
    <row r="4707">
      <c r="A4707" s="39" t="n">
        <v>46227.09601851852</v>
      </c>
      <c r="B4707" s="25">
        <f>TEXT(A4707,"YYYY-MM")</f>
        <v/>
      </c>
      <c r="C4707" s="25">
        <f>TEXT(A4707,"MMM-YYYY")</f>
        <v/>
      </c>
      <c r="D4707" s="40">
        <f>INT(A4707)-WEEKDAY(A4707,2)+1</f>
        <v/>
      </c>
      <c r="E4707" s="25" t="inlineStr">
        <is>
          <t>bverma</t>
        </is>
      </c>
      <c r="F4707" s="25" t="n">
        <v>131184</v>
      </c>
      <c r="G4707" s="25" t="n">
        <v>1</v>
      </c>
      <c r="H4707" s="25" t="n">
        <v>7</v>
      </c>
      <c r="I4707" s="25" t="inlineStr">
        <is>
          <t>47 second(s)</t>
        </is>
      </c>
      <c r="J4707" s="25">
        <f>IFERROR(VALUE(TRIM(LEFT(I4707,FIND("minute",I4707)-1)))*60,0)+IFERROR(VALUE(SUBSTITUTE(MID(I4707,IFERROR(FIND("and",I4707)+3,1),20),"second(s)","")),0)</f>
        <v/>
      </c>
      <c r="K4707" s="41">
        <f>J4707/60</f>
        <v/>
      </c>
      <c r="L4707" s="41">
        <f>IFERROR(J4707/H4707,"")</f>
        <v/>
      </c>
      <c r="M4707" s="25" t="inlineStr">
        <is>
          <t>2.5.12</t>
        </is>
      </c>
      <c r="N4707" s="25">
        <f>IF(J4707&gt;300,1,0)</f>
        <v/>
      </c>
      <c r="O4707" s="25">
        <f>IF(J4707&gt;600,1,0)</f>
        <v/>
      </c>
      <c r="P4707" s="25">
        <f>IF(H4707&gt;0,J4707,"")</f>
        <v/>
      </c>
      <c r="Q4707" s="25">
        <f>TEXT(A4707,"YYYY-MM-DD HH")</f>
        <v/>
      </c>
      <c r="R4707" s="25">
        <f>COUNTIF($Q$2:$Q$5295,Q4707)</f>
        <v/>
      </c>
      <c r="S4707" s="25">
        <f>IF(R4707&lt;=2,"1-2",IF(R4707&lt;=5,"3-5",IF(R4707&lt;=10,"6-10","11+")))</f>
        <v/>
      </c>
    </row>
    <row r="4708">
      <c r="A4708" s="39" t="n">
        <v>46227.09613425926</v>
      </c>
      <c r="B4708" s="25">
        <f>TEXT(A4708,"YYYY-MM")</f>
        <v/>
      </c>
      <c r="C4708" s="25">
        <f>TEXT(A4708,"MMM-YYYY")</f>
        <v/>
      </c>
      <c r="D4708" s="40">
        <f>INT(A4708)-WEEKDAY(A4708,2)+1</f>
        <v/>
      </c>
      <c r="E4708" s="25" t="inlineStr">
        <is>
          <t>sswati</t>
        </is>
      </c>
      <c r="F4708" s="25" t="n">
        <v>129223</v>
      </c>
      <c r="G4708" s="25" t="n">
        <v>1</v>
      </c>
      <c r="H4708" s="25" t="n">
        <v>5</v>
      </c>
      <c r="I4708" s="25" t="inlineStr">
        <is>
          <t>25 second(s)</t>
        </is>
      </c>
      <c r="J4708" s="25">
        <f>IFERROR(VALUE(TRIM(LEFT(I4708,FIND("minute",I4708)-1)))*60,0)+IFERROR(VALUE(SUBSTITUTE(MID(I4708,IFERROR(FIND("and",I4708)+3,1),20),"second(s)","")),0)</f>
        <v/>
      </c>
      <c r="K4708" s="41">
        <f>J4708/60</f>
        <v/>
      </c>
      <c r="L4708" s="41">
        <f>IFERROR(J4708/H4708,"")</f>
        <v/>
      </c>
      <c r="M4708" s="25" t="inlineStr">
        <is>
          <t>2.5.12</t>
        </is>
      </c>
      <c r="N4708" s="25">
        <f>IF(J4708&gt;300,1,0)</f>
        <v/>
      </c>
      <c r="O4708" s="25">
        <f>IF(J4708&gt;600,1,0)</f>
        <v/>
      </c>
      <c r="P4708" s="25">
        <f>IF(H4708&gt;0,J4708,"")</f>
        <v/>
      </c>
      <c r="Q4708" s="25">
        <f>TEXT(A4708,"YYYY-MM-DD HH")</f>
        <v/>
      </c>
      <c r="R4708" s="25">
        <f>COUNTIF($Q$2:$Q$5295,Q4708)</f>
        <v/>
      </c>
      <c r="S4708" s="25">
        <f>IF(R4708&lt;=2,"1-2",IF(R4708&lt;=5,"3-5",IF(R4708&lt;=10,"6-10","11+")))</f>
        <v/>
      </c>
    </row>
    <row r="4709">
      <c r="A4709" s="39" t="n">
        <v>46227.09949074074</v>
      </c>
      <c r="B4709" s="25">
        <f>TEXT(A4709,"YYYY-MM")</f>
        <v/>
      </c>
      <c r="C4709" s="25">
        <f>TEXT(A4709,"MMM-YYYY")</f>
        <v/>
      </c>
      <c r="D4709" s="40">
        <f>INT(A4709)-WEEKDAY(A4709,2)+1</f>
        <v/>
      </c>
      <c r="E4709" s="25" t="inlineStr">
        <is>
          <t>ssneha</t>
        </is>
      </c>
      <c r="F4709" s="25" t="n">
        <v>130111</v>
      </c>
      <c r="G4709" s="25" t="n">
        <v>4</v>
      </c>
      <c r="H4709" s="25" t="n">
        <v>20</v>
      </c>
      <c r="I4709" s="25" t="inlineStr">
        <is>
          <t>2 minute(s) and 37 second(s)</t>
        </is>
      </c>
      <c r="J4709" s="25">
        <f>IFERROR(VALUE(TRIM(LEFT(I4709,FIND("minute",I4709)-1)))*60,0)+IFERROR(VALUE(SUBSTITUTE(MID(I4709,IFERROR(FIND("and",I4709)+3,1),20),"second(s)","")),0)</f>
        <v/>
      </c>
      <c r="K4709" s="41">
        <f>J4709/60</f>
        <v/>
      </c>
      <c r="L4709" s="41">
        <f>IFERROR(J4709/H4709,"")</f>
        <v/>
      </c>
      <c r="M4709" s="25" t="inlineStr">
        <is>
          <t>2.5.12</t>
        </is>
      </c>
      <c r="N4709" s="25">
        <f>IF(J4709&gt;300,1,0)</f>
        <v/>
      </c>
      <c r="O4709" s="25">
        <f>IF(J4709&gt;600,1,0)</f>
        <v/>
      </c>
      <c r="P4709" s="25">
        <f>IF(H4709&gt;0,J4709,"")</f>
        <v/>
      </c>
      <c r="Q4709" s="25">
        <f>TEXT(A4709,"YYYY-MM-DD HH")</f>
        <v/>
      </c>
      <c r="R4709" s="25">
        <f>COUNTIF($Q$2:$Q$5295,Q4709)</f>
        <v/>
      </c>
      <c r="S4709" s="25">
        <f>IF(R4709&lt;=2,"1-2",IF(R4709&lt;=5,"3-5",IF(R4709&lt;=10,"6-10","11+")))</f>
        <v/>
      </c>
    </row>
    <row r="4710">
      <c r="A4710" s="39" t="n">
        <v>46227.108125</v>
      </c>
      <c r="B4710" s="25">
        <f>TEXT(A4710,"YYYY-MM")</f>
        <v/>
      </c>
      <c r="C4710" s="25">
        <f>TEXT(A4710,"MMM-YYYY")</f>
        <v/>
      </c>
      <c r="D4710" s="40">
        <f>INT(A4710)-WEEKDAY(A4710,2)+1</f>
        <v/>
      </c>
      <c r="E4710" s="25" t="inlineStr">
        <is>
          <t>shassan</t>
        </is>
      </c>
      <c r="F4710" s="25" t="n">
        <v>132661</v>
      </c>
      <c r="G4710" s="25" t="n">
        <v>2</v>
      </c>
      <c r="H4710" s="25" t="n">
        <v>6</v>
      </c>
      <c r="I4710" s="25" t="inlineStr">
        <is>
          <t>32 second(s)</t>
        </is>
      </c>
      <c r="J4710" s="25">
        <f>IFERROR(VALUE(TRIM(LEFT(I4710,FIND("minute",I4710)-1)))*60,0)+IFERROR(VALUE(SUBSTITUTE(MID(I4710,IFERROR(FIND("and",I4710)+3,1),20),"second(s)","")),0)</f>
        <v/>
      </c>
      <c r="K4710" s="41">
        <f>J4710/60</f>
        <v/>
      </c>
      <c r="L4710" s="41">
        <f>IFERROR(J4710/H4710,"")</f>
        <v/>
      </c>
      <c r="M4710" s="25" t="inlineStr">
        <is>
          <t>2.5.12</t>
        </is>
      </c>
      <c r="N4710" s="25">
        <f>IF(J4710&gt;300,1,0)</f>
        <v/>
      </c>
      <c r="O4710" s="25">
        <f>IF(J4710&gt;600,1,0)</f>
        <v/>
      </c>
      <c r="P4710" s="25">
        <f>IF(H4710&gt;0,J4710,"")</f>
        <v/>
      </c>
      <c r="Q4710" s="25">
        <f>TEXT(A4710,"YYYY-MM-DD HH")</f>
        <v/>
      </c>
      <c r="R4710" s="25">
        <f>COUNTIF($Q$2:$Q$5295,Q4710)</f>
        <v/>
      </c>
      <c r="S4710" s="25">
        <f>IF(R4710&lt;=2,"1-2",IF(R4710&lt;=5,"3-5",IF(R4710&lt;=10,"6-10","11+")))</f>
        <v/>
      </c>
    </row>
    <row r="4711">
      <c r="A4711" s="39" t="n">
        <v>46227.11131944445</v>
      </c>
      <c r="B4711" s="25">
        <f>TEXT(A4711,"YYYY-MM")</f>
        <v/>
      </c>
      <c r="C4711" s="25">
        <f>TEXT(A4711,"MMM-YYYY")</f>
        <v/>
      </c>
      <c r="D4711" s="40">
        <f>INT(A4711)-WEEKDAY(A4711,2)+1</f>
        <v/>
      </c>
      <c r="E4711" s="25" t="inlineStr">
        <is>
          <t>sswati</t>
        </is>
      </c>
      <c r="F4711" s="25" t="n">
        <v>129223</v>
      </c>
      <c r="G4711" s="25" t="n">
        <v>3</v>
      </c>
      <c r="H4711" s="25" t="n">
        <v>7</v>
      </c>
      <c r="I4711" s="25" t="inlineStr">
        <is>
          <t>38 second(s)</t>
        </is>
      </c>
      <c r="J4711" s="25">
        <f>IFERROR(VALUE(TRIM(LEFT(I4711,FIND("minute",I4711)-1)))*60,0)+IFERROR(VALUE(SUBSTITUTE(MID(I4711,IFERROR(FIND("and",I4711)+3,1),20),"second(s)","")),0)</f>
        <v/>
      </c>
      <c r="K4711" s="41">
        <f>J4711/60</f>
        <v/>
      </c>
      <c r="L4711" s="41">
        <f>IFERROR(J4711/H4711,"")</f>
        <v/>
      </c>
      <c r="M4711" s="25" t="inlineStr">
        <is>
          <t>2.5.12</t>
        </is>
      </c>
      <c r="N4711" s="25">
        <f>IF(J4711&gt;300,1,0)</f>
        <v/>
      </c>
      <c r="O4711" s="25">
        <f>IF(J4711&gt;600,1,0)</f>
        <v/>
      </c>
      <c r="P4711" s="25">
        <f>IF(H4711&gt;0,J4711,"")</f>
        <v/>
      </c>
      <c r="Q4711" s="25">
        <f>TEXT(A4711,"YYYY-MM-DD HH")</f>
        <v/>
      </c>
      <c r="R4711" s="25">
        <f>COUNTIF($Q$2:$Q$5295,Q4711)</f>
        <v/>
      </c>
      <c r="S4711" s="25">
        <f>IF(R4711&lt;=2,"1-2",IF(R4711&lt;=5,"3-5",IF(R4711&lt;=10,"6-10","11+")))</f>
        <v/>
      </c>
    </row>
    <row r="4712">
      <c r="A4712" s="39" t="n">
        <v>46227.11185185185</v>
      </c>
      <c r="B4712" s="25">
        <f>TEXT(A4712,"YYYY-MM")</f>
        <v/>
      </c>
      <c r="C4712" s="25">
        <f>TEXT(A4712,"MMM-YYYY")</f>
        <v/>
      </c>
      <c r="D4712" s="40">
        <f>INT(A4712)-WEEKDAY(A4712,2)+1</f>
        <v/>
      </c>
      <c r="E4712" s="25" t="inlineStr">
        <is>
          <t>ssrinivasan</t>
        </is>
      </c>
      <c r="F4712" s="25" t="n">
        <v>129248</v>
      </c>
      <c r="G4712" s="25" t="n">
        <v>4</v>
      </c>
      <c r="H4712" s="25" t="n">
        <v>26</v>
      </c>
      <c r="I4712" s="25" t="inlineStr">
        <is>
          <t>4 minute(s) and 23 second(s)</t>
        </is>
      </c>
      <c r="J4712" s="25">
        <f>IFERROR(VALUE(TRIM(LEFT(I4712,FIND("minute",I4712)-1)))*60,0)+IFERROR(VALUE(SUBSTITUTE(MID(I4712,IFERROR(FIND("and",I4712)+3,1),20),"second(s)","")),0)</f>
        <v/>
      </c>
      <c r="K4712" s="41">
        <f>J4712/60</f>
        <v/>
      </c>
      <c r="L4712" s="41">
        <f>IFERROR(J4712/H4712,"")</f>
        <v/>
      </c>
      <c r="M4712" s="25" t="inlineStr">
        <is>
          <t>2.5.12</t>
        </is>
      </c>
      <c r="N4712" s="25">
        <f>IF(J4712&gt;300,1,0)</f>
        <v/>
      </c>
      <c r="O4712" s="25">
        <f>IF(J4712&gt;600,1,0)</f>
        <v/>
      </c>
      <c r="P4712" s="25">
        <f>IF(H4712&gt;0,J4712,"")</f>
        <v/>
      </c>
      <c r="Q4712" s="25">
        <f>TEXT(A4712,"YYYY-MM-DD HH")</f>
        <v/>
      </c>
      <c r="R4712" s="25">
        <f>COUNTIF($Q$2:$Q$5295,Q4712)</f>
        <v/>
      </c>
      <c r="S4712" s="25">
        <f>IF(R4712&lt;=2,"1-2",IF(R4712&lt;=5,"3-5",IF(R4712&lt;=10,"6-10","11+")))</f>
        <v/>
      </c>
    </row>
    <row r="4713">
      <c r="A4713" s="39" t="n">
        <v>46227.11642361111</v>
      </c>
      <c r="B4713" s="25">
        <f>TEXT(A4713,"YYYY-MM")</f>
        <v/>
      </c>
      <c r="C4713" s="25">
        <f>TEXT(A4713,"MMM-YYYY")</f>
        <v/>
      </c>
      <c r="D4713" s="40">
        <f>INT(A4713)-WEEKDAY(A4713,2)+1</f>
        <v/>
      </c>
      <c r="E4713" s="25" t="inlineStr">
        <is>
          <t>ethomas</t>
        </is>
      </c>
      <c r="F4713" s="25" t="n">
        <v>129626</v>
      </c>
      <c r="G4713" s="25" t="n">
        <v>2</v>
      </c>
      <c r="H4713" s="25" t="n">
        <v>10</v>
      </c>
      <c r="I4713" s="25" t="inlineStr">
        <is>
          <t>1 minute(s) and 34 second(s)</t>
        </is>
      </c>
      <c r="J4713" s="25">
        <f>IFERROR(VALUE(TRIM(LEFT(I4713,FIND("minute",I4713)-1)))*60,0)+IFERROR(VALUE(SUBSTITUTE(MID(I4713,IFERROR(FIND("and",I4713)+3,1),20),"second(s)","")),0)</f>
        <v/>
      </c>
      <c r="K4713" s="41">
        <f>J4713/60</f>
        <v/>
      </c>
      <c r="L4713" s="41">
        <f>IFERROR(J4713/H4713,"")</f>
        <v/>
      </c>
      <c r="M4713" s="25" t="inlineStr">
        <is>
          <t>2.5.12</t>
        </is>
      </c>
      <c r="N4713" s="25">
        <f>IF(J4713&gt;300,1,0)</f>
        <v/>
      </c>
      <c r="O4713" s="25">
        <f>IF(J4713&gt;600,1,0)</f>
        <v/>
      </c>
      <c r="P4713" s="25">
        <f>IF(H4713&gt;0,J4713,"")</f>
        <v/>
      </c>
      <c r="Q4713" s="25">
        <f>TEXT(A4713,"YYYY-MM-DD HH")</f>
        <v/>
      </c>
      <c r="R4713" s="25">
        <f>COUNTIF($Q$2:$Q$5295,Q4713)</f>
        <v/>
      </c>
      <c r="S4713" s="25">
        <f>IF(R4713&lt;=2,"1-2",IF(R4713&lt;=5,"3-5",IF(R4713&lt;=10,"6-10","11+")))</f>
        <v/>
      </c>
    </row>
    <row r="4714">
      <c r="A4714" s="39" t="n">
        <v>46227.11973379629</v>
      </c>
      <c r="B4714" s="25">
        <f>TEXT(A4714,"YYYY-MM")</f>
        <v/>
      </c>
      <c r="C4714" s="25">
        <f>TEXT(A4714,"MMM-YYYY")</f>
        <v/>
      </c>
      <c r="D4714" s="40">
        <f>INT(A4714)-WEEKDAY(A4714,2)+1</f>
        <v/>
      </c>
      <c r="E4714" s="25" t="inlineStr">
        <is>
          <t>abanerjee</t>
        </is>
      </c>
      <c r="F4714" s="25" t="n">
        <v>129378</v>
      </c>
      <c r="G4714" s="25" t="n">
        <v>2</v>
      </c>
      <c r="H4714" s="25" t="n">
        <v>10</v>
      </c>
      <c r="I4714" s="25" t="inlineStr">
        <is>
          <t>59 second(s)</t>
        </is>
      </c>
      <c r="J4714" s="25">
        <f>IFERROR(VALUE(TRIM(LEFT(I4714,FIND("minute",I4714)-1)))*60,0)+IFERROR(VALUE(SUBSTITUTE(MID(I4714,IFERROR(FIND("and",I4714)+3,1),20),"second(s)","")),0)</f>
        <v/>
      </c>
      <c r="K4714" s="41">
        <f>J4714/60</f>
        <v/>
      </c>
      <c r="L4714" s="41">
        <f>IFERROR(J4714/H4714,"")</f>
        <v/>
      </c>
      <c r="M4714" s="25" t="inlineStr">
        <is>
          <t>2.5.12</t>
        </is>
      </c>
      <c r="N4714" s="25">
        <f>IF(J4714&gt;300,1,0)</f>
        <v/>
      </c>
      <c r="O4714" s="25">
        <f>IF(J4714&gt;600,1,0)</f>
        <v/>
      </c>
      <c r="P4714" s="25">
        <f>IF(H4714&gt;0,J4714,"")</f>
        <v/>
      </c>
      <c r="Q4714" s="25">
        <f>TEXT(A4714,"YYYY-MM-DD HH")</f>
        <v/>
      </c>
      <c r="R4714" s="25">
        <f>COUNTIF($Q$2:$Q$5295,Q4714)</f>
        <v/>
      </c>
      <c r="S4714" s="25">
        <f>IF(R4714&lt;=2,"1-2",IF(R4714&lt;=5,"3-5",IF(R4714&lt;=10,"6-10","11+")))</f>
        <v/>
      </c>
    </row>
    <row r="4715">
      <c r="A4715" s="39" t="n">
        <v>46227.13395833333</v>
      </c>
      <c r="B4715" s="25">
        <f>TEXT(A4715,"YYYY-MM")</f>
        <v/>
      </c>
      <c r="C4715" s="25">
        <f>TEXT(A4715,"MMM-YYYY")</f>
        <v/>
      </c>
      <c r="D4715" s="40">
        <f>INT(A4715)-WEEKDAY(A4715,2)+1</f>
        <v/>
      </c>
      <c r="E4715" s="25" t="inlineStr">
        <is>
          <t>aupadhayay</t>
        </is>
      </c>
      <c r="F4715" s="25" t="n">
        <v>130960</v>
      </c>
      <c r="G4715" s="25" t="n">
        <v>2</v>
      </c>
      <c r="H4715" s="25" t="n">
        <v>10</v>
      </c>
      <c r="I4715" s="25" t="inlineStr">
        <is>
          <t>1 minute(s) and 48 second(s)</t>
        </is>
      </c>
      <c r="J4715" s="25">
        <f>IFERROR(VALUE(TRIM(LEFT(I4715,FIND("minute",I4715)-1)))*60,0)+IFERROR(VALUE(SUBSTITUTE(MID(I4715,IFERROR(FIND("and",I4715)+3,1),20),"second(s)","")),0)</f>
        <v/>
      </c>
      <c r="K4715" s="41">
        <f>J4715/60</f>
        <v/>
      </c>
      <c r="L4715" s="41">
        <f>IFERROR(J4715/H4715,"")</f>
        <v/>
      </c>
      <c r="M4715" s="25" t="inlineStr">
        <is>
          <t>2.5.12</t>
        </is>
      </c>
      <c r="N4715" s="25">
        <f>IF(J4715&gt;300,1,0)</f>
        <v/>
      </c>
      <c r="O4715" s="25">
        <f>IF(J4715&gt;600,1,0)</f>
        <v/>
      </c>
      <c r="P4715" s="25">
        <f>IF(H4715&gt;0,J4715,"")</f>
        <v/>
      </c>
      <c r="Q4715" s="25">
        <f>TEXT(A4715,"YYYY-MM-DD HH")</f>
        <v/>
      </c>
      <c r="R4715" s="25">
        <f>COUNTIF($Q$2:$Q$5295,Q4715)</f>
        <v/>
      </c>
      <c r="S4715" s="25">
        <f>IF(R4715&lt;=2,"1-2",IF(R4715&lt;=5,"3-5",IF(R4715&lt;=10,"6-10","11+")))</f>
        <v/>
      </c>
    </row>
    <row r="4716">
      <c r="A4716" s="39" t="n">
        <v>46227.13622685185</v>
      </c>
      <c r="B4716" s="25">
        <f>TEXT(A4716,"YYYY-MM")</f>
        <v/>
      </c>
      <c r="C4716" s="25">
        <f>TEXT(A4716,"MMM-YYYY")</f>
        <v/>
      </c>
      <c r="D4716" s="40">
        <f>INT(A4716)-WEEKDAY(A4716,2)+1</f>
        <v/>
      </c>
      <c r="E4716" s="25" t="inlineStr">
        <is>
          <t>psathwika</t>
        </is>
      </c>
      <c r="F4716" s="25" t="n">
        <v>131391</v>
      </c>
      <c r="G4716" s="25" t="n">
        <v>4</v>
      </c>
      <c r="H4716" s="25" t="n">
        <v>23</v>
      </c>
      <c r="I4716" s="25" t="inlineStr">
        <is>
          <t>4 minute(s) and 4 second(s)</t>
        </is>
      </c>
      <c r="J4716" s="25">
        <f>IFERROR(VALUE(TRIM(LEFT(I4716,FIND("minute",I4716)-1)))*60,0)+IFERROR(VALUE(SUBSTITUTE(MID(I4716,IFERROR(FIND("and",I4716)+3,1),20),"second(s)","")),0)</f>
        <v/>
      </c>
      <c r="K4716" s="41">
        <f>J4716/60</f>
        <v/>
      </c>
      <c r="L4716" s="41">
        <f>IFERROR(J4716/H4716,"")</f>
        <v/>
      </c>
      <c r="M4716" s="25" t="inlineStr">
        <is>
          <t>2.5.12</t>
        </is>
      </c>
      <c r="N4716" s="25">
        <f>IF(J4716&gt;300,1,0)</f>
        <v/>
      </c>
      <c r="O4716" s="25">
        <f>IF(J4716&gt;600,1,0)</f>
        <v/>
      </c>
      <c r="P4716" s="25">
        <f>IF(H4716&gt;0,J4716,"")</f>
        <v/>
      </c>
      <c r="Q4716" s="25">
        <f>TEXT(A4716,"YYYY-MM-DD HH")</f>
        <v/>
      </c>
      <c r="R4716" s="25">
        <f>COUNTIF($Q$2:$Q$5295,Q4716)</f>
        <v/>
      </c>
      <c r="S4716" s="25">
        <f>IF(R4716&lt;=2,"1-2",IF(R4716&lt;=5,"3-5",IF(R4716&lt;=10,"6-10","11+")))</f>
        <v/>
      </c>
    </row>
    <row r="4717">
      <c r="A4717" s="39" t="n">
        <v>46227.14222222222</v>
      </c>
      <c r="B4717" s="25">
        <f>TEXT(A4717,"YYYY-MM")</f>
        <v/>
      </c>
      <c r="C4717" s="25">
        <f>TEXT(A4717,"MMM-YYYY")</f>
        <v/>
      </c>
      <c r="D4717" s="40">
        <f>INT(A4717)-WEEKDAY(A4717,2)+1</f>
        <v/>
      </c>
      <c r="E4717" s="25" t="inlineStr">
        <is>
          <t>bverma</t>
        </is>
      </c>
      <c r="F4717" s="25" t="n">
        <v>130332</v>
      </c>
      <c r="G4717" s="25" t="n">
        <v>4</v>
      </c>
      <c r="H4717" s="25" t="n">
        <v>25</v>
      </c>
      <c r="I4717" s="25" t="inlineStr">
        <is>
          <t>2 minute(s) and 26 second(s)</t>
        </is>
      </c>
      <c r="J4717" s="25">
        <f>IFERROR(VALUE(TRIM(LEFT(I4717,FIND("minute",I4717)-1)))*60,0)+IFERROR(VALUE(SUBSTITUTE(MID(I4717,IFERROR(FIND("and",I4717)+3,1),20),"second(s)","")),0)</f>
        <v/>
      </c>
      <c r="K4717" s="41">
        <f>J4717/60</f>
        <v/>
      </c>
      <c r="L4717" s="41">
        <f>IFERROR(J4717/H4717,"")</f>
        <v/>
      </c>
      <c r="M4717" s="25" t="inlineStr">
        <is>
          <t>2.5.12</t>
        </is>
      </c>
      <c r="N4717" s="25">
        <f>IF(J4717&gt;300,1,0)</f>
        <v/>
      </c>
      <c r="O4717" s="25">
        <f>IF(J4717&gt;600,1,0)</f>
        <v/>
      </c>
      <c r="P4717" s="25">
        <f>IF(H4717&gt;0,J4717,"")</f>
        <v/>
      </c>
      <c r="Q4717" s="25">
        <f>TEXT(A4717,"YYYY-MM-DD HH")</f>
        <v/>
      </c>
      <c r="R4717" s="25">
        <f>COUNTIF($Q$2:$Q$5295,Q4717)</f>
        <v/>
      </c>
      <c r="S4717" s="25">
        <f>IF(R4717&lt;=2,"1-2",IF(R4717&lt;=5,"3-5",IF(R4717&lt;=10,"6-10","11+")))</f>
        <v/>
      </c>
    </row>
    <row r="4718">
      <c r="A4718" s="39" t="n">
        <v>46227.14603009259</v>
      </c>
      <c r="B4718" s="25">
        <f>TEXT(A4718,"YYYY-MM")</f>
        <v/>
      </c>
      <c r="C4718" s="25">
        <f>TEXT(A4718,"MMM-YYYY")</f>
        <v/>
      </c>
      <c r="D4718" s="40">
        <f>INT(A4718)-WEEKDAY(A4718,2)+1</f>
        <v/>
      </c>
      <c r="E4718" s="25" t="inlineStr">
        <is>
          <t>shasikha</t>
        </is>
      </c>
      <c r="F4718" s="25" t="n">
        <v>131228</v>
      </c>
      <c r="G4718" s="25" t="n">
        <v>4</v>
      </c>
      <c r="H4718" s="25" t="n">
        <v>22</v>
      </c>
      <c r="I4718" s="25" t="inlineStr">
        <is>
          <t>3 minute(s) and 7 second(s)</t>
        </is>
      </c>
      <c r="J4718" s="25">
        <f>IFERROR(VALUE(TRIM(LEFT(I4718,FIND("minute",I4718)-1)))*60,0)+IFERROR(VALUE(SUBSTITUTE(MID(I4718,IFERROR(FIND("and",I4718)+3,1),20),"second(s)","")),0)</f>
        <v/>
      </c>
      <c r="K4718" s="41">
        <f>J4718/60</f>
        <v/>
      </c>
      <c r="L4718" s="41">
        <f>IFERROR(J4718/H4718,"")</f>
        <v/>
      </c>
      <c r="M4718" s="25" t="inlineStr">
        <is>
          <t>2.5.12</t>
        </is>
      </c>
      <c r="N4718" s="25">
        <f>IF(J4718&gt;300,1,0)</f>
        <v/>
      </c>
      <c r="O4718" s="25">
        <f>IF(J4718&gt;600,1,0)</f>
        <v/>
      </c>
      <c r="P4718" s="25">
        <f>IF(H4718&gt;0,J4718,"")</f>
        <v/>
      </c>
      <c r="Q4718" s="25">
        <f>TEXT(A4718,"YYYY-MM-DD HH")</f>
        <v/>
      </c>
      <c r="R4718" s="25">
        <f>COUNTIF($Q$2:$Q$5295,Q4718)</f>
        <v/>
      </c>
      <c r="S4718" s="25">
        <f>IF(R4718&lt;=2,"1-2",IF(R4718&lt;=5,"3-5",IF(R4718&lt;=10,"6-10","11+")))</f>
        <v/>
      </c>
    </row>
    <row r="4719">
      <c r="A4719" s="39" t="n">
        <v>46227.14679398148</v>
      </c>
      <c r="B4719" s="25">
        <f>TEXT(A4719,"YYYY-MM")</f>
        <v/>
      </c>
      <c r="C4719" s="25">
        <f>TEXT(A4719,"MMM-YYYY")</f>
        <v/>
      </c>
      <c r="D4719" s="40">
        <f>INT(A4719)-WEEKDAY(A4719,2)+1</f>
        <v/>
      </c>
      <c r="E4719" s="25" t="inlineStr">
        <is>
          <t>aghosh</t>
        </is>
      </c>
      <c r="F4719" s="25" t="n">
        <v>128470</v>
      </c>
      <c r="G4719" s="25" t="n">
        <v>3</v>
      </c>
      <c r="H4719" s="25" t="n">
        <v>13</v>
      </c>
      <c r="I4719" s="25" t="inlineStr">
        <is>
          <t>1 minute(s) and 18 second(s)</t>
        </is>
      </c>
      <c r="J4719" s="25">
        <f>IFERROR(VALUE(TRIM(LEFT(I4719,FIND("minute",I4719)-1)))*60,0)+IFERROR(VALUE(SUBSTITUTE(MID(I4719,IFERROR(FIND("and",I4719)+3,1),20),"second(s)","")),0)</f>
        <v/>
      </c>
      <c r="K4719" s="41">
        <f>J4719/60</f>
        <v/>
      </c>
      <c r="L4719" s="41">
        <f>IFERROR(J4719/H4719,"")</f>
        <v/>
      </c>
      <c r="M4719" s="25" t="inlineStr">
        <is>
          <t>2.5.12</t>
        </is>
      </c>
      <c r="N4719" s="25">
        <f>IF(J4719&gt;300,1,0)</f>
        <v/>
      </c>
      <c r="O4719" s="25">
        <f>IF(J4719&gt;600,1,0)</f>
        <v/>
      </c>
      <c r="P4719" s="25">
        <f>IF(H4719&gt;0,J4719,"")</f>
        <v/>
      </c>
      <c r="Q4719" s="25">
        <f>TEXT(A4719,"YYYY-MM-DD HH")</f>
        <v/>
      </c>
      <c r="R4719" s="25">
        <f>COUNTIF($Q$2:$Q$5295,Q4719)</f>
        <v/>
      </c>
      <c r="S4719" s="25">
        <f>IF(R4719&lt;=2,"1-2",IF(R4719&lt;=5,"3-5",IF(R4719&lt;=10,"6-10","11+")))</f>
        <v/>
      </c>
    </row>
    <row r="4720">
      <c r="A4720" s="39" t="n">
        <v>46227.15482638889</v>
      </c>
      <c r="B4720" s="25">
        <f>TEXT(A4720,"YYYY-MM")</f>
        <v/>
      </c>
      <c r="C4720" s="25">
        <f>TEXT(A4720,"MMM-YYYY")</f>
        <v/>
      </c>
      <c r="D4720" s="40">
        <f>INT(A4720)-WEEKDAY(A4720,2)+1</f>
        <v/>
      </c>
      <c r="E4720" s="25" t="inlineStr">
        <is>
          <t>asahoo</t>
        </is>
      </c>
      <c r="F4720" s="25" t="n">
        <v>130959</v>
      </c>
      <c r="G4720" s="25" t="n">
        <v>2</v>
      </c>
      <c r="H4720" s="25" t="n">
        <v>10</v>
      </c>
      <c r="I4720" s="25" t="inlineStr">
        <is>
          <t>1 minute(s) and 0 second(s)</t>
        </is>
      </c>
      <c r="J4720" s="25">
        <f>IFERROR(VALUE(TRIM(LEFT(I4720,FIND("minute",I4720)-1)))*60,0)+IFERROR(VALUE(SUBSTITUTE(MID(I4720,IFERROR(FIND("and",I4720)+3,1),20),"second(s)","")),0)</f>
        <v/>
      </c>
      <c r="K4720" s="41">
        <f>J4720/60</f>
        <v/>
      </c>
      <c r="L4720" s="41">
        <f>IFERROR(J4720/H4720,"")</f>
        <v/>
      </c>
      <c r="M4720" s="25" t="inlineStr">
        <is>
          <t>2.5.12</t>
        </is>
      </c>
      <c r="N4720" s="25">
        <f>IF(J4720&gt;300,1,0)</f>
        <v/>
      </c>
      <c r="O4720" s="25">
        <f>IF(J4720&gt;600,1,0)</f>
        <v/>
      </c>
      <c r="P4720" s="25">
        <f>IF(H4720&gt;0,J4720,"")</f>
        <v/>
      </c>
      <c r="Q4720" s="25">
        <f>TEXT(A4720,"YYYY-MM-DD HH")</f>
        <v/>
      </c>
      <c r="R4720" s="25">
        <f>COUNTIF($Q$2:$Q$5295,Q4720)</f>
        <v/>
      </c>
      <c r="S4720" s="25">
        <f>IF(R4720&lt;=2,"1-2",IF(R4720&lt;=5,"3-5",IF(R4720&lt;=10,"6-10","11+")))</f>
        <v/>
      </c>
    </row>
    <row r="4721">
      <c r="A4721" s="39" t="n">
        <v>46227.16037037037</v>
      </c>
      <c r="B4721" s="25">
        <f>TEXT(A4721,"YYYY-MM")</f>
        <v/>
      </c>
      <c r="C4721" s="25">
        <f>TEXT(A4721,"MMM-YYYY")</f>
        <v/>
      </c>
      <c r="D4721" s="40">
        <f>INT(A4721)-WEEKDAY(A4721,2)+1</f>
        <v/>
      </c>
      <c r="E4721" s="25" t="inlineStr">
        <is>
          <t>pgautam</t>
        </is>
      </c>
      <c r="F4721" s="25" t="n">
        <v>129590</v>
      </c>
      <c r="G4721" s="25" t="n">
        <v>4</v>
      </c>
      <c r="H4721" s="25" t="n">
        <v>24</v>
      </c>
      <c r="I4721" s="25" t="inlineStr">
        <is>
          <t>2 minute(s) and 25 second(s)</t>
        </is>
      </c>
      <c r="J4721" s="25">
        <f>IFERROR(VALUE(TRIM(LEFT(I4721,FIND("minute",I4721)-1)))*60,0)+IFERROR(VALUE(SUBSTITUTE(MID(I4721,IFERROR(FIND("and",I4721)+3,1),20),"second(s)","")),0)</f>
        <v/>
      </c>
      <c r="K4721" s="41">
        <f>J4721/60</f>
        <v/>
      </c>
      <c r="L4721" s="41">
        <f>IFERROR(J4721/H4721,"")</f>
        <v/>
      </c>
      <c r="M4721" s="25" t="inlineStr">
        <is>
          <t>2.5.12</t>
        </is>
      </c>
      <c r="N4721" s="25">
        <f>IF(J4721&gt;300,1,0)</f>
        <v/>
      </c>
      <c r="O4721" s="25">
        <f>IF(J4721&gt;600,1,0)</f>
        <v/>
      </c>
      <c r="P4721" s="25">
        <f>IF(H4721&gt;0,J4721,"")</f>
        <v/>
      </c>
      <c r="Q4721" s="25">
        <f>TEXT(A4721,"YYYY-MM-DD HH")</f>
        <v/>
      </c>
      <c r="R4721" s="25">
        <f>COUNTIF($Q$2:$Q$5295,Q4721)</f>
        <v/>
      </c>
      <c r="S4721" s="25">
        <f>IF(R4721&lt;=2,"1-2",IF(R4721&lt;=5,"3-5",IF(R4721&lt;=10,"6-10","11+")))</f>
        <v/>
      </c>
    </row>
    <row r="4722">
      <c r="A4722" s="39" t="n">
        <v>46227.17050925926</v>
      </c>
      <c r="B4722" s="25">
        <f>TEXT(A4722,"YYYY-MM")</f>
        <v/>
      </c>
      <c r="C4722" s="25">
        <f>TEXT(A4722,"MMM-YYYY")</f>
        <v/>
      </c>
      <c r="D4722" s="40">
        <f>INT(A4722)-WEEKDAY(A4722,2)+1</f>
        <v/>
      </c>
      <c r="E4722" s="25" t="inlineStr">
        <is>
          <t>csaha</t>
        </is>
      </c>
      <c r="F4722" s="25" t="n">
        <v>129208</v>
      </c>
      <c r="G4722" s="25" t="n">
        <v>4</v>
      </c>
      <c r="H4722" s="25" t="n">
        <v>16</v>
      </c>
      <c r="I4722" s="25" t="inlineStr">
        <is>
          <t>1 minute(s) and 51 second(s)</t>
        </is>
      </c>
      <c r="J4722" s="25">
        <f>IFERROR(VALUE(TRIM(LEFT(I4722,FIND("minute",I4722)-1)))*60,0)+IFERROR(VALUE(SUBSTITUTE(MID(I4722,IFERROR(FIND("and",I4722)+3,1),20),"second(s)","")),0)</f>
        <v/>
      </c>
      <c r="K4722" s="41">
        <f>J4722/60</f>
        <v/>
      </c>
      <c r="L4722" s="41">
        <f>IFERROR(J4722/H4722,"")</f>
        <v/>
      </c>
      <c r="M4722" s="25" t="inlineStr">
        <is>
          <t>2.5.12</t>
        </is>
      </c>
      <c r="N4722" s="25">
        <f>IF(J4722&gt;300,1,0)</f>
        <v/>
      </c>
      <c r="O4722" s="25">
        <f>IF(J4722&gt;600,1,0)</f>
        <v/>
      </c>
      <c r="P4722" s="25">
        <f>IF(H4722&gt;0,J4722,"")</f>
        <v/>
      </c>
      <c r="Q4722" s="25">
        <f>TEXT(A4722,"YYYY-MM-DD HH")</f>
        <v/>
      </c>
      <c r="R4722" s="25">
        <f>COUNTIF($Q$2:$Q$5295,Q4722)</f>
        <v/>
      </c>
      <c r="S4722" s="25">
        <f>IF(R4722&lt;=2,"1-2",IF(R4722&lt;=5,"3-5",IF(R4722&lt;=10,"6-10","11+")))</f>
        <v/>
      </c>
    </row>
    <row r="4723">
      <c r="A4723" s="39" t="n">
        <v>46227.17134259259</v>
      </c>
      <c r="B4723" s="25">
        <f>TEXT(A4723,"YYYY-MM")</f>
        <v/>
      </c>
      <c r="C4723" s="25">
        <f>TEXT(A4723,"MMM-YYYY")</f>
        <v/>
      </c>
      <c r="D4723" s="40">
        <f>INT(A4723)-WEEKDAY(A4723,2)+1</f>
        <v/>
      </c>
      <c r="E4723" s="25" t="inlineStr">
        <is>
          <t>abanerjee</t>
        </is>
      </c>
      <c r="F4723" s="25" t="n">
        <v>129514</v>
      </c>
      <c r="G4723" s="25" t="n">
        <v>1</v>
      </c>
      <c r="H4723" s="25" t="n">
        <v>7</v>
      </c>
      <c r="I4723" s="25" t="inlineStr">
        <is>
          <t>47 second(s)</t>
        </is>
      </c>
      <c r="J4723" s="25">
        <f>IFERROR(VALUE(TRIM(LEFT(I4723,FIND("minute",I4723)-1)))*60,0)+IFERROR(VALUE(SUBSTITUTE(MID(I4723,IFERROR(FIND("and",I4723)+3,1),20),"second(s)","")),0)</f>
        <v/>
      </c>
      <c r="K4723" s="41">
        <f>J4723/60</f>
        <v/>
      </c>
      <c r="L4723" s="41">
        <f>IFERROR(J4723/H4723,"")</f>
        <v/>
      </c>
      <c r="M4723" s="25" t="inlineStr">
        <is>
          <t>2.5.12</t>
        </is>
      </c>
      <c r="N4723" s="25">
        <f>IF(J4723&gt;300,1,0)</f>
        <v/>
      </c>
      <c r="O4723" s="25">
        <f>IF(J4723&gt;600,1,0)</f>
        <v/>
      </c>
      <c r="P4723" s="25">
        <f>IF(H4723&gt;0,J4723,"")</f>
        <v/>
      </c>
      <c r="Q4723" s="25">
        <f>TEXT(A4723,"YYYY-MM-DD HH")</f>
        <v/>
      </c>
      <c r="R4723" s="25">
        <f>COUNTIF($Q$2:$Q$5295,Q4723)</f>
        <v/>
      </c>
      <c r="S4723" s="25">
        <f>IF(R4723&lt;=2,"1-2",IF(R4723&lt;=5,"3-5",IF(R4723&lt;=10,"6-10","11+")))</f>
        <v/>
      </c>
    </row>
    <row r="4724">
      <c r="A4724" s="39" t="n">
        <v>46227.17162037037</v>
      </c>
      <c r="B4724" s="25">
        <f>TEXT(A4724,"YYYY-MM")</f>
        <v/>
      </c>
      <c r="C4724" s="25">
        <f>TEXT(A4724,"MMM-YYYY")</f>
        <v/>
      </c>
      <c r="D4724" s="40">
        <f>INT(A4724)-WEEKDAY(A4724,2)+1</f>
        <v/>
      </c>
      <c r="E4724" s="25" t="inlineStr">
        <is>
          <t>aghosh</t>
        </is>
      </c>
      <c r="F4724" s="25" t="n">
        <v>128502</v>
      </c>
      <c r="G4724" s="25" t="n">
        <v>2</v>
      </c>
      <c r="H4724" s="25" t="n">
        <v>8</v>
      </c>
      <c r="I4724" s="25" t="inlineStr">
        <is>
          <t>42 second(s)</t>
        </is>
      </c>
      <c r="J4724" s="25">
        <f>IFERROR(VALUE(TRIM(LEFT(I4724,FIND("minute",I4724)-1)))*60,0)+IFERROR(VALUE(SUBSTITUTE(MID(I4724,IFERROR(FIND("and",I4724)+3,1),20),"second(s)","")),0)</f>
        <v/>
      </c>
      <c r="K4724" s="41">
        <f>J4724/60</f>
        <v/>
      </c>
      <c r="L4724" s="41">
        <f>IFERROR(J4724/H4724,"")</f>
        <v/>
      </c>
      <c r="M4724" s="25" t="inlineStr">
        <is>
          <t>2.5.12</t>
        </is>
      </c>
      <c r="N4724" s="25">
        <f>IF(J4724&gt;300,1,0)</f>
        <v/>
      </c>
      <c r="O4724" s="25">
        <f>IF(J4724&gt;600,1,0)</f>
        <v/>
      </c>
      <c r="P4724" s="25">
        <f>IF(H4724&gt;0,J4724,"")</f>
        <v/>
      </c>
      <c r="Q4724" s="25">
        <f>TEXT(A4724,"YYYY-MM-DD HH")</f>
        <v/>
      </c>
      <c r="R4724" s="25">
        <f>COUNTIF($Q$2:$Q$5295,Q4724)</f>
        <v/>
      </c>
      <c r="S4724" s="25">
        <f>IF(R4724&lt;=2,"1-2",IF(R4724&lt;=5,"3-5",IF(R4724&lt;=10,"6-10","11+")))</f>
        <v/>
      </c>
    </row>
    <row r="4725">
      <c r="A4725" s="39" t="n">
        <v>46227.17633101852</v>
      </c>
      <c r="B4725" s="25">
        <f>TEXT(A4725,"YYYY-MM")</f>
        <v/>
      </c>
      <c r="C4725" s="25">
        <f>TEXT(A4725,"MMM-YYYY")</f>
        <v/>
      </c>
      <c r="D4725" s="40">
        <f>INT(A4725)-WEEKDAY(A4725,2)+1</f>
        <v/>
      </c>
      <c r="E4725" s="25" t="inlineStr">
        <is>
          <t>aupadhayay</t>
        </is>
      </c>
      <c r="F4725" s="25" t="n">
        <v>130952</v>
      </c>
      <c r="G4725" s="25" t="n">
        <v>1</v>
      </c>
      <c r="H4725" s="25" t="n">
        <v>5</v>
      </c>
      <c r="I4725" s="25" t="inlineStr">
        <is>
          <t>40 second(s)</t>
        </is>
      </c>
      <c r="J4725" s="25">
        <f>IFERROR(VALUE(TRIM(LEFT(I4725,FIND("minute",I4725)-1)))*60,0)+IFERROR(VALUE(SUBSTITUTE(MID(I4725,IFERROR(FIND("and",I4725)+3,1),20),"second(s)","")),0)</f>
        <v/>
      </c>
      <c r="K4725" s="41">
        <f>J4725/60</f>
        <v/>
      </c>
      <c r="L4725" s="41">
        <f>IFERROR(J4725/H4725,"")</f>
        <v/>
      </c>
      <c r="M4725" s="25" t="inlineStr">
        <is>
          <t>2.5.12</t>
        </is>
      </c>
      <c r="N4725" s="25">
        <f>IF(J4725&gt;300,1,0)</f>
        <v/>
      </c>
      <c r="O4725" s="25">
        <f>IF(J4725&gt;600,1,0)</f>
        <v/>
      </c>
      <c r="P4725" s="25">
        <f>IF(H4725&gt;0,J4725,"")</f>
        <v/>
      </c>
      <c r="Q4725" s="25">
        <f>TEXT(A4725,"YYYY-MM-DD HH")</f>
        <v/>
      </c>
      <c r="R4725" s="25">
        <f>COUNTIF($Q$2:$Q$5295,Q4725)</f>
        <v/>
      </c>
      <c r="S4725" s="25">
        <f>IF(R4725&lt;=2,"1-2",IF(R4725&lt;=5,"3-5",IF(R4725&lt;=10,"6-10","11+")))</f>
        <v/>
      </c>
    </row>
    <row r="4726">
      <c r="A4726" s="39" t="n">
        <v>46227.17738425926</v>
      </c>
      <c r="B4726" s="25">
        <f>TEXT(A4726,"YYYY-MM")</f>
        <v/>
      </c>
      <c r="C4726" s="25">
        <f>TEXT(A4726,"MMM-YYYY")</f>
        <v/>
      </c>
      <c r="D4726" s="40">
        <f>INT(A4726)-WEEKDAY(A4726,2)+1</f>
        <v/>
      </c>
      <c r="E4726" s="25" t="inlineStr">
        <is>
          <t>ssrinivasan</t>
        </is>
      </c>
      <c r="F4726" s="25" t="n">
        <v>129264</v>
      </c>
      <c r="G4726" s="25" t="n">
        <v>3</v>
      </c>
      <c r="H4726" s="25" t="n">
        <v>19</v>
      </c>
      <c r="I4726" s="25" t="inlineStr">
        <is>
          <t>1 minute(s) and 35 second(s)</t>
        </is>
      </c>
      <c r="J4726" s="25">
        <f>IFERROR(VALUE(TRIM(LEFT(I4726,FIND("minute",I4726)-1)))*60,0)+IFERROR(VALUE(SUBSTITUTE(MID(I4726,IFERROR(FIND("and",I4726)+3,1),20),"second(s)","")),0)</f>
        <v/>
      </c>
      <c r="K4726" s="41">
        <f>J4726/60</f>
        <v/>
      </c>
      <c r="L4726" s="41">
        <f>IFERROR(J4726/H4726,"")</f>
        <v/>
      </c>
      <c r="M4726" s="25" t="inlineStr">
        <is>
          <t>2.5.12</t>
        </is>
      </c>
      <c r="N4726" s="25">
        <f>IF(J4726&gt;300,1,0)</f>
        <v/>
      </c>
      <c r="O4726" s="25">
        <f>IF(J4726&gt;600,1,0)</f>
        <v/>
      </c>
      <c r="P4726" s="25">
        <f>IF(H4726&gt;0,J4726,"")</f>
        <v/>
      </c>
      <c r="Q4726" s="25">
        <f>TEXT(A4726,"YYYY-MM-DD HH")</f>
        <v/>
      </c>
      <c r="R4726" s="25">
        <f>COUNTIF($Q$2:$Q$5295,Q4726)</f>
        <v/>
      </c>
      <c r="S4726" s="25">
        <f>IF(R4726&lt;=2,"1-2",IF(R4726&lt;=5,"3-5",IF(R4726&lt;=10,"6-10","11+")))</f>
        <v/>
      </c>
    </row>
    <row r="4727">
      <c r="A4727" s="39" t="n">
        <v>46227.18223379629</v>
      </c>
      <c r="B4727" s="25">
        <f>TEXT(A4727,"YYYY-MM")</f>
        <v/>
      </c>
      <c r="C4727" s="25">
        <f>TEXT(A4727,"MMM-YYYY")</f>
        <v/>
      </c>
      <c r="D4727" s="40">
        <f>INT(A4727)-WEEKDAY(A4727,2)+1</f>
        <v/>
      </c>
      <c r="E4727" s="25" t="inlineStr">
        <is>
          <t>ethomas</t>
        </is>
      </c>
      <c r="F4727" s="25" t="n">
        <v>132898</v>
      </c>
      <c r="G4727" s="25" t="n">
        <v>2</v>
      </c>
      <c r="H4727" s="25" t="n">
        <v>10</v>
      </c>
      <c r="I4727" s="25" t="inlineStr">
        <is>
          <t>1 minute(s) and 12 second(s)</t>
        </is>
      </c>
      <c r="J4727" s="25">
        <f>IFERROR(VALUE(TRIM(LEFT(I4727,FIND("minute",I4727)-1)))*60,0)+IFERROR(VALUE(SUBSTITUTE(MID(I4727,IFERROR(FIND("and",I4727)+3,1),20),"second(s)","")),0)</f>
        <v/>
      </c>
      <c r="K4727" s="41">
        <f>J4727/60</f>
        <v/>
      </c>
      <c r="L4727" s="41">
        <f>IFERROR(J4727/H4727,"")</f>
        <v/>
      </c>
      <c r="M4727" s="25" t="inlineStr">
        <is>
          <t>2.5.12</t>
        </is>
      </c>
      <c r="N4727" s="25">
        <f>IF(J4727&gt;300,1,0)</f>
        <v/>
      </c>
      <c r="O4727" s="25">
        <f>IF(J4727&gt;600,1,0)</f>
        <v/>
      </c>
      <c r="P4727" s="25">
        <f>IF(H4727&gt;0,J4727,"")</f>
        <v/>
      </c>
      <c r="Q4727" s="25">
        <f>TEXT(A4727,"YYYY-MM-DD HH")</f>
        <v/>
      </c>
      <c r="R4727" s="25">
        <f>COUNTIF($Q$2:$Q$5295,Q4727)</f>
        <v/>
      </c>
      <c r="S4727" s="25">
        <f>IF(R4727&lt;=2,"1-2",IF(R4727&lt;=5,"3-5",IF(R4727&lt;=10,"6-10","11+")))</f>
        <v/>
      </c>
    </row>
    <row r="4728">
      <c r="A4728" s="39" t="n">
        <v>46227.18233796296</v>
      </c>
      <c r="B4728" s="25">
        <f>TEXT(A4728,"YYYY-MM")</f>
        <v/>
      </c>
      <c r="C4728" s="25">
        <f>TEXT(A4728,"MMM-YYYY")</f>
        <v/>
      </c>
      <c r="D4728" s="40">
        <f>INT(A4728)-WEEKDAY(A4728,2)+1</f>
        <v/>
      </c>
      <c r="E4728" s="25" t="inlineStr">
        <is>
          <t>ssneha</t>
        </is>
      </c>
      <c r="F4728" s="25" t="n">
        <v>130135</v>
      </c>
      <c r="G4728" s="25" t="n">
        <v>3</v>
      </c>
      <c r="H4728" s="25" t="n">
        <v>15</v>
      </c>
      <c r="I4728" s="25" t="inlineStr">
        <is>
          <t>3 minute(s) and 55 second(s)</t>
        </is>
      </c>
      <c r="J4728" s="25">
        <f>IFERROR(VALUE(TRIM(LEFT(I4728,FIND("minute",I4728)-1)))*60,0)+IFERROR(VALUE(SUBSTITUTE(MID(I4728,IFERROR(FIND("and",I4728)+3,1),20),"second(s)","")),0)</f>
        <v/>
      </c>
      <c r="K4728" s="41">
        <f>J4728/60</f>
        <v/>
      </c>
      <c r="L4728" s="41">
        <f>IFERROR(J4728/H4728,"")</f>
        <v/>
      </c>
      <c r="M4728" s="25" t="inlineStr">
        <is>
          <t>2.5.12</t>
        </is>
      </c>
      <c r="N4728" s="25">
        <f>IF(J4728&gt;300,1,0)</f>
        <v/>
      </c>
      <c r="O4728" s="25">
        <f>IF(J4728&gt;600,1,0)</f>
        <v/>
      </c>
      <c r="P4728" s="25">
        <f>IF(H4728&gt;0,J4728,"")</f>
        <v/>
      </c>
      <c r="Q4728" s="25">
        <f>TEXT(A4728,"YYYY-MM-DD HH")</f>
        <v/>
      </c>
      <c r="R4728" s="25">
        <f>COUNTIF($Q$2:$Q$5295,Q4728)</f>
        <v/>
      </c>
      <c r="S4728" s="25">
        <f>IF(R4728&lt;=2,"1-2",IF(R4728&lt;=5,"3-5",IF(R4728&lt;=10,"6-10","11+")))</f>
        <v/>
      </c>
    </row>
    <row r="4729">
      <c r="A4729" s="39" t="n">
        <v>46227.19167824074</v>
      </c>
      <c r="B4729" s="25">
        <f>TEXT(A4729,"YYYY-MM")</f>
        <v/>
      </c>
      <c r="C4729" s="25">
        <f>TEXT(A4729,"MMM-YYYY")</f>
        <v/>
      </c>
      <c r="D4729" s="40">
        <f>INT(A4729)-WEEKDAY(A4729,2)+1</f>
        <v/>
      </c>
      <c r="E4729" s="25" t="inlineStr">
        <is>
          <t>npriya</t>
        </is>
      </c>
      <c r="F4729" s="25" t="n">
        <v>130483</v>
      </c>
      <c r="G4729" s="25" t="n">
        <v>4</v>
      </c>
      <c r="H4729" s="25" t="n">
        <v>22</v>
      </c>
      <c r="I4729" s="25" t="inlineStr">
        <is>
          <t>2 minute(s) and 48 second(s)</t>
        </is>
      </c>
      <c r="J4729" s="25">
        <f>IFERROR(VALUE(TRIM(LEFT(I4729,FIND("minute",I4729)-1)))*60,0)+IFERROR(VALUE(SUBSTITUTE(MID(I4729,IFERROR(FIND("and",I4729)+3,1),20),"second(s)","")),0)</f>
        <v/>
      </c>
      <c r="K4729" s="41">
        <f>J4729/60</f>
        <v/>
      </c>
      <c r="L4729" s="41">
        <f>IFERROR(J4729/H4729,"")</f>
        <v/>
      </c>
      <c r="M4729" s="25" t="inlineStr">
        <is>
          <t>2.5.12</t>
        </is>
      </c>
      <c r="N4729" s="25">
        <f>IF(J4729&gt;300,1,0)</f>
        <v/>
      </c>
      <c r="O4729" s="25">
        <f>IF(J4729&gt;600,1,0)</f>
        <v/>
      </c>
      <c r="P4729" s="25">
        <f>IF(H4729&gt;0,J4729,"")</f>
        <v/>
      </c>
      <c r="Q4729" s="25">
        <f>TEXT(A4729,"YYYY-MM-DD HH")</f>
        <v/>
      </c>
      <c r="R4729" s="25">
        <f>COUNTIF($Q$2:$Q$5295,Q4729)</f>
        <v/>
      </c>
      <c r="S4729" s="25">
        <f>IF(R4729&lt;=2,"1-2",IF(R4729&lt;=5,"3-5",IF(R4729&lt;=10,"6-10","11+")))</f>
        <v/>
      </c>
    </row>
    <row r="4730">
      <c r="A4730" s="39" t="n">
        <v>46227.20283564815</v>
      </c>
      <c r="B4730" s="25">
        <f>TEXT(A4730,"YYYY-MM")</f>
        <v/>
      </c>
      <c r="C4730" s="25">
        <f>TEXT(A4730,"MMM-YYYY")</f>
        <v/>
      </c>
      <c r="D4730" s="40">
        <f>INT(A4730)-WEEKDAY(A4730,2)+1</f>
        <v/>
      </c>
      <c r="E4730" s="25" t="inlineStr">
        <is>
          <t>kkumar</t>
        </is>
      </c>
      <c r="F4730" s="25" t="n">
        <v>130712</v>
      </c>
      <c r="G4730" s="25" t="n">
        <v>4</v>
      </c>
      <c r="H4730" s="25" t="n">
        <v>26</v>
      </c>
      <c r="I4730" s="25" t="inlineStr">
        <is>
          <t>2 minute(s) and 21 second(s)</t>
        </is>
      </c>
      <c r="J4730" s="25">
        <f>IFERROR(VALUE(TRIM(LEFT(I4730,FIND("minute",I4730)-1)))*60,0)+IFERROR(VALUE(SUBSTITUTE(MID(I4730,IFERROR(FIND("and",I4730)+3,1),20),"second(s)","")),0)</f>
        <v/>
      </c>
      <c r="K4730" s="41">
        <f>J4730/60</f>
        <v/>
      </c>
      <c r="L4730" s="41">
        <f>IFERROR(J4730/H4730,"")</f>
        <v/>
      </c>
      <c r="M4730" s="25" t="inlineStr">
        <is>
          <t>2.5.12</t>
        </is>
      </c>
      <c r="N4730" s="25">
        <f>IF(J4730&gt;300,1,0)</f>
        <v/>
      </c>
      <c r="O4730" s="25">
        <f>IF(J4730&gt;600,1,0)</f>
        <v/>
      </c>
      <c r="P4730" s="25">
        <f>IF(H4730&gt;0,J4730,"")</f>
        <v/>
      </c>
      <c r="Q4730" s="25">
        <f>TEXT(A4730,"YYYY-MM-DD HH")</f>
        <v/>
      </c>
      <c r="R4730" s="25">
        <f>COUNTIF($Q$2:$Q$5295,Q4730)</f>
        <v/>
      </c>
      <c r="S4730" s="25">
        <f>IF(R4730&lt;=2,"1-2",IF(R4730&lt;=5,"3-5",IF(R4730&lt;=10,"6-10","11+")))</f>
        <v/>
      </c>
    </row>
    <row r="4731">
      <c r="A4731" s="39" t="n">
        <v>46227.21516203704</v>
      </c>
      <c r="B4731" s="25">
        <f>TEXT(A4731,"YYYY-MM")</f>
        <v/>
      </c>
      <c r="C4731" s="25">
        <f>TEXT(A4731,"MMM-YYYY")</f>
        <v/>
      </c>
      <c r="D4731" s="40">
        <f>INT(A4731)-WEEKDAY(A4731,2)+1</f>
        <v/>
      </c>
      <c r="E4731" s="25" t="inlineStr">
        <is>
          <t>dbhattacharyya</t>
        </is>
      </c>
      <c r="F4731" s="25" t="n">
        <v>130790</v>
      </c>
      <c r="G4731" s="25" t="n">
        <v>6</v>
      </c>
      <c r="H4731" s="25" t="n">
        <v>30</v>
      </c>
      <c r="I4731" s="25" t="inlineStr">
        <is>
          <t>4 minute(s) and 38 second(s)</t>
        </is>
      </c>
      <c r="J4731" s="25">
        <f>IFERROR(VALUE(TRIM(LEFT(I4731,FIND("minute",I4731)-1)))*60,0)+IFERROR(VALUE(SUBSTITUTE(MID(I4731,IFERROR(FIND("and",I4731)+3,1),20),"second(s)","")),0)</f>
        <v/>
      </c>
      <c r="K4731" s="41">
        <f>J4731/60</f>
        <v/>
      </c>
      <c r="L4731" s="41">
        <f>IFERROR(J4731/H4731,"")</f>
        <v/>
      </c>
      <c r="M4731" s="25" t="inlineStr">
        <is>
          <t>2.5.12</t>
        </is>
      </c>
      <c r="N4731" s="25">
        <f>IF(J4731&gt;300,1,0)</f>
        <v/>
      </c>
      <c r="O4731" s="25">
        <f>IF(J4731&gt;600,1,0)</f>
        <v/>
      </c>
      <c r="P4731" s="25">
        <f>IF(H4731&gt;0,J4731,"")</f>
        <v/>
      </c>
      <c r="Q4731" s="25">
        <f>TEXT(A4731,"YYYY-MM-DD HH")</f>
        <v/>
      </c>
      <c r="R4731" s="25">
        <f>COUNTIF($Q$2:$Q$5295,Q4731)</f>
        <v/>
      </c>
      <c r="S4731" s="25">
        <f>IF(R4731&lt;=2,"1-2",IF(R4731&lt;=5,"3-5",IF(R4731&lt;=10,"6-10","11+")))</f>
        <v/>
      </c>
    </row>
    <row r="4732">
      <c r="A4732" s="39" t="n">
        <v>46227.23164351852</v>
      </c>
      <c r="B4732" s="25">
        <f>TEXT(A4732,"YYYY-MM")</f>
        <v/>
      </c>
      <c r="C4732" s="25">
        <f>TEXT(A4732,"MMM-YYYY")</f>
        <v/>
      </c>
      <c r="D4732" s="40">
        <f>INT(A4732)-WEEKDAY(A4732,2)+1</f>
        <v/>
      </c>
      <c r="E4732" s="25" t="inlineStr">
        <is>
          <t>ns</t>
        </is>
      </c>
      <c r="F4732" s="25" t="n">
        <v>131384</v>
      </c>
      <c r="G4732" s="25" t="n">
        <v>4</v>
      </c>
      <c r="H4732" s="25" t="n">
        <v>16</v>
      </c>
      <c r="I4732" s="25" t="inlineStr">
        <is>
          <t>1 minute(s) and 34 second(s)</t>
        </is>
      </c>
      <c r="J4732" s="25">
        <f>IFERROR(VALUE(TRIM(LEFT(I4732,FIND("minute",I4732)-1)))*60,0)+IFERROR(VALUE(SUBSTITUTE(MID(I4732,IFERROR(FIND("and",I4732)+3,1),20),"second(s)","")),0)</f>
        <v/>
      </c>
      <c r="K4732" s="41">
        <f>J4732/60</f>
        <v/>
      </c>
      <c r="L4732" s="41">
        <f>IFERROR(J4732/H4732,"")</f>
        <v/>
      </c>
      <c r="M4732" s="25" t="inlineStr">
        <is>
          <t>2.5.12</t>
        </is>
      </c>
      <c r="N4732" s="25">
        <f>IF(J4732&gt;300,1,0)</f>
        <v/>
      </c>
      <c r="O4732" s="25">
        <f>IF(J4732&gt;600,1,0)</f>
        <v/>
      </c>
      <c r="P4732" s="25">
        <f>IF(H4732&gt;0,J4732,"")</f>
        <v/>
      </c>
      <c r="Q4732" s="25">
        <f>TEXT(A4732,"YYYY-MM-DD HH")</f>
        <v/>
      </c>
      <c r="R4732" s="25">
        <f>COUNTIF($Q$2:$Q$5295,Q4732)</f>
        <v/>
      </c>
      <c r="S4732" s="25">
        <f>IF(R4732&lt;=2,"1-2",IF(R4732&lt;=5,"3-5",IF(R4732&lt;=10,"6-10","11+")))</f>
        <v/>
      </c>
    </row>
    <row r="4733">
      <c r="A4733" s="39" t="n">
        <v>46227.23194444444</v>
      </c>
      <c r="B4733" s="25">
        <f>TEXT(A4733,"YYYY-MM")</f>
        <v/>
      </c>
      <c r="C4733" s="25">
        <f>TEXT(A4733,"MMM-YYYY")</f>
        <v/>
      </c>
      <c r="D4733" s="40">
        <f>INT(A4733)-WEEKDAY(A4733,2)+1</f>
        <v/>
      </c>
      <c r="E4733" s="25" t="inlineStr">
        <is>
          <t>atiwari</t>
        </is>
      </c>
      <c r="F4733" s="25" t="n">
        <v>132251</v>
      </c>
      <c r="G4733" s="25" t="n">
        <v>4</v>
      </c>
      <c r="H4733" s="25" t="n">
        <v>26</v>
      </c>
      <c r="I4733" s="25" t="inlineStr">
        <is>
          <t>3 minute(s) and 22 second(s)</t>
        </is>
      </c>
      <c r="J4733" s="25">
        <f>IFERROR(VALUE(TRIM(LEFT(I4733,FIND("minute",I4733)-1)))*60,0)+IFERROR(VALUE(SUBSTITUTE(MID(I4733,IFERROR(FIND("and",I4733)+3,1),20),"second(s)","")),0)</f>
        <v/>
      </c>
      <c r="K4733" s="41">
        <f>J4733/60</f>
        <v/>
      </c>
      <c r="L4733" s="41">
        <f>IFERROR(J4733/H4733,"")</f>
        <v/>
      </c>
      <c r="M4733" s="25" t="inlineStr">
        <is>
          <t>2.5.12</t>
        </is>
      </c>
      <c r="N4733" s="25">
        <f>IF(J4733&gt;300,1,0)</f>
        <v/>
      </c>
      <c r="O4733" s="25">
        <f>IF(J4733&gt;600,1,0)</f>
        <v/>
      </c>
      <c r="P4733" s="25">
        <f>IF(H4733&gt;0,J4733,"")</f>
        <v/>
      </c>
      <c r="Q4733" s="25">
        <f>TEXT(A4733,"YYYY-MM-DD HH")</f>
        <v/>
      </c>
      <c r="R4733" s="25">
        <f>COUNTIF($Q$2:$Q$5295,Q4733)</f>
        <v/>
      </c>
      <c r="S4733" s="25">
        <f>IF(R4733&lt;=2,"1-2",IF(R4733&lt;=5,"3-5",IF(R4733&lt;=10,"6-10","11+")))</f>
        <v/>
      </c>
    </row>
    <row r="4734">
      <c r="A4734" s="39" t="n">
        <v>46227.23503472222</v>
      </c>
      <c r="B4734" s="25">
        <f>TEXT(A4734,"YYYY-MM")</f>
        <v/>
      </c>
      <c r="C4734" s="25">
        <f>TEXT(A4734,"MMM-YYYY")</f>
        <v/>
      </c>
      <c r="D4734" s="40">
        <f>INT(A4734)-WEEKDAY(A4734,2)+1</f>
        <v/>
      </c>
      <c r="E4734" s="25" t="inlineStr">
        <is>
          <t>sasharma</t>
        </is>
      </c>
      <c r="F4734" s="25" t="n">
        <v>132120</v>
      </c>
      <c r="G4734" s="25" t="n">
        <v>2</v>
      </c>
      <c r="H4734" s="25" t="n">
        <v>11</v>
      </c>
      <c r="I4734" s="25" t="inlineStr">
        <is>
          <t>54 second(s)</t>
        </is>
      </c>
      <c r="J4734" s="25">
        <f>IFERROR(VALUE(TRIM(LEFT(I4734,FIND("minute",I4734)-1)))*60,0)+IFERROR(VALUE(SUBSTITUTE(MID(I4734,IFERROR(FIND("and",I4734)+3,1),20),"second(s)","")),0)</f>
        <v/>
      </c>
      <c r="K4734" s="41">
        <f>J4734/60</f>
        <v/>
      </c>
      <c r="L4734" s="41">
        <f>IFERROR(J4734/H4734,"")</f>
        <v/>
      </c>
      <c r="M4734" s="25" t="inlineStr">
        <is>
          <t>2.5.12</t>
        </is>
      </c>
      <c r="N4734" s="25">
        <f>IF(J4734&gt;300,1,0)</f>
        <v/>
      </c>
      <c r="O4734" s="25">
        <f>IF(J4734&gt;600,1,0)</f>
        <v/>
      </c>
      <c r="P4734" s="25">
        <f>IF(H4734&gt;0,J4734,"")</f>
        <v/>
      </c>
      <c r="Q4734" s="25">
        <f>TEXT(A4734,"YYYY-MM-DD HH")</f>
        <v/>
      </c>
      <c r="R4734" s="25">
        <f>COUNTIF($Q$2:$Q$5295,Q4734)</f>
        <v/>
      </c>
      <c r="S4734" s="25">
        <f>IF(R4734&lt;=2,"1-2",IF(R4734&lt;=5,"3-5",IF(R4734&lt;=10,"6-10","11+")))</f>
        <v/>
      </c>
    </row>
    <row r="4735">
      <c r="A4735" s="39" t="n">
        <v>46227.23652777778</v>
      </c>
      <c r="B4735" s="25">
        <f>TEXT(A4735,"YYYY-MM")</f>
        <v/>
      </c>
      <c r="C4735" s="25">
        <f>TEXT(A4735,"MMM-YYYY")</f>
        <v/>
      </c>
      <c r="D4735" s="40">
        <f>INT(A4735)-WEEKDAY(A4735,2)+1</f>
        <v/>
      </c>
      <c r="E4735" s="25" t="inlineStr">
        <is>
          <t>aupadhayay</t>
        </is>
      </c>
      <c r="F4735" s="25" t="n">
        <v>130936</v>
      </c>
      <c r="G4735" s="25" t="n">
        <v>4</v>
      </c>
      <c r="H4735" s="25" t="n">
        <v>26</v>
      </c>
      <c r="I4735" s="25" t="inlineStr">
        <is>
          <t>3 minute(s) and 14 second(s)</t>
        </is>
      </c>
      <c r="J4735" s="25">
        <f>IFERROR(VALUE(TRIM(LEFT(I4735,FIND("minute",I4735)-1)))*60,0)+IFERROR(VALUE(SUBSTITUTE(MID(I4735,IFERROR(FIND("and",I4735)+3,1),20),"second(s)","")),0)</f>
        <v/>
      </c>
      <c r="K4735" s="41">
        <f>J4735/60</f>
        <v/>
      </c>
      <c r="L4735" s="41">
        <f>IFERROR(J4735/H4735,"")</f>
        <v/>
      </c>
      <c r="M4735" s="25" t="inlineStr">
        <is>
          <t>2.5.12</t>
        </is>
      </c>
      <c r="N4735" s="25">
        <f>IF(J4735&gt;300,1,0)</f>
        <v/>
      </c>
      <c r="O4735" s="25">
        <f>IF(J4735&gt;600,1,0)</f>
        <v/>
      </c>
      <c r="P4735" s="25">
        <f>IF(H4735&gt;0,J4735,"")</f>
        <v/>
      </c>
      <c r="Q4735" s="25">
        <f>TEXT(A4735,"YYYY-MM-DD HH")</f>
        <v/>
      </c>
      <c r="R4735" s="25">
        <f>COUNTIF($Q$2:$Q$5295,Q4735)</f>
        <v/>
      </c>
      <c r="S4735" s="25">
        <f>IF(R4735&lt;=2,"1-2",IF(R4735&lt;=5,"3-5",IF(R4735&lt;=10,"6-10","11+")))</f>
        <v/>
      </c>
    </row>
    <row r="4736">
      <c r="A4736" s="39" t="n">
        <v>46227.23760416666</v>
      </c>
      <c r="B4736" s="25">
        <f>TEXT(A4736,"YYYY-MM")</f>
        <v/>
      </c>
      <c r="C4736" s="25">
        <f>TEXT(A4736,"MMM-YYYY")</f>
        <v/>
      </c>
      <c r="D4736" s="40">
        <f>INT(A4736)-WEEKDAY(A4736,2)+1</f>
        <v/>
      </c>
      <c r="E4736" s="25" t="inlineStr">
        <is>
          <t>mbhalla</t>
        </is>
      </c>
      <c r="F4736" s="25" t="n">
        <v>128648</v>
      </c>
      <c r="G4736" s="25" t="n">
        <v>1</v>
      </c>
      <c r="H4736" s="25" t="n">
        <v>7</v>
      </c>
      <c r="I4736" s="25" t="inlineStr">
        <is>
          <t>44 second(s)</t>
        </is>
      </c>
      <c r="J4736" s="25">
        <f>IFERROR(VALUE(TRIM(LEFT(I4736,FIND("minute",I4736)-1)))*60,0)+IFERROR(VALUE(SUBSTITUTE(MID(I4736,IFERROR(FIND("and",I4736)+3,1),20),"second(s)","")),0)</f>
        <v/>
      </c>
      <c r="K4736" s="41">
        <f>J4736/60</f>
        <v/>
      </c>
      <c r="L4736" s="41">
        <f>IFERROR(J4736/H4736,"")</f>
        <v/>
      </c>
      <c r="M4736" s="25" t="inlineStr">
        <is>
          <t>2.5.12</t>
        </is>
      </c>
      <c r="N4736" s="25">
        <f>IF(J4736&gt;300,1,0)</f>
        <v/>
      </c>
      <c r="O4736" s="25">
        <f>IF(J4736&gt;600,1,0)</f>
        <v/>
      </c>
      <c r="P4736" s="25">
        <f>IF(H4736&gt;0,J4736,"")</f>
        <v/>
      </c>
      <c r="Q4736" s="25">
        <f>TEXT(A4736,"YYYY-MM-DD HH")</f>
        <v/>
      </c>
      <c r="R4736" s="25">
        <f>COUNTIF($Q$2:$Q$5295,Q4736)</f>
        <v/>
      </c>
      <c r="S4736" s="25">
        <f>IF(R4736&lt;=2,"1-2",IF(R4736&lt;=5,"3-5",IF(R4736&lt;=10,"6-10","11+")))</f>
        <v/>
      </c>
    </row>
    <row r="4737">
      <c r="A4737" s="39" t="n">
        <v>46227.23958333334</v>
      </c>
      <c r="B4737" s="25">
        <f>TEXT(A4737,"YYYY-MM")</f>
        <v/>
      </c>
      <c r="C4737" s="25">
        <f>TEXT(A4737,"MMM-YYYY")</f>
        <v/>
      </c>
      <c r="D4737" s="40">
        <f>INT(A4737)-WEEKDAY(A4737,2)+1</f>
        <v/>
      </c>
      <c r="E4737" s="25" t="inlineStr">
        <is>
          <t>ssneha</t>
        </is>
      </c>
      <c r="F4737" s="25" t="n">
        <v>130207</v>
      </c>
      <c r="G4737" s="25" t="n">
        <v>4</v>
      </c>
      <c r="H4737" s="25" t="n">
        <v>22</v>
      </c>
      <c r="I4737" s="25" t="inlineStr">
        <is>
          <t>2 minute(s) and 16 second(s)</t>
        </is>
      </c>
      <c r="J4737" s="25">
        <f>IFERROR(VALUE(TRIM(LEFT(I4737,FIND("minute",I4737)-1)))*60,0)+IFERROR(VALUE(SUBSTITUTE(MID(I4737,IFERROR(FIND("and",I4737)+3,1),20),"second(s)","")),0)</f>
        <v/>
      </c>
      <c r="K4737" s="41">
        <f>J4737/60</f>
        <v/>
      </c>
      <c r="L4737" s="41">
        <f>IFERROR(J4737/H4737,"")</f>
        <v/>
      </c>
      <c r="M4737" s="25" t="inlineStr">
        <is>
          <t>2.5.12</t>
        </is>
      </c>
      <c r="N4737" s="25">
        <f>IF(J4737&gt;300,1,0)</f>
        <v/>
      </c>
      <c r="O4737" s="25">
        <f>IF(J4737&gt;600,1,0)</f>
        <v/>
      </c>
      <c r="P4737" s="25">
        <f>IF(H4737&gt;0,J4737,"")</f>
        <v/>
      </c>
      <c r="Q4737" s="25">
        <f>TEXT(A4737,"YYYY-MM-DD HH")</f>
        <v/>
      </c>
      <c r="R4737" s="25">
        <f>COUNTIF($Q$2:$Q$5295,Q4737)</f>
        <v/>
      </c>
      <c r="S4737" s="25">
        <f>IF(R4737&lt;=2,"1-2",IF(R4737&lt;=5,"3-5",IF(R4737&lt;=10,"6-10","11+")))</f>
        <v/>
      </c>
    </row>
    <row r="4738">
      <c r="A4738" s="39" t="n">
        <v>46227.24653935185</v>
      </c>
      <c r="B4738" s="25">
        <f>TEXT(A4738,"YYYY-MM")</f>
        <v/>
      </c>
      <c r="C4738" s="25">
        <f>TEXT(A4738,"MMM-YYYY")</f>
        <v/>
      </c>
      <c r="D4738" s="40">
        <f>INT(A4738)-WEEKDAY(A4738,2)+1</f>
        <v/>
      </c>
      <c r="E4738" s="25" t="inlineStr">
        <is>
          <t>psathwika</t>
        </is>
      </c>
      <c r="F4738" s="25" t="n">
        <v>127960</v>
      </c>
      <c r="G4738" s="25" t="n">
        <v>4</v>
      </c>
      <c r="H4738" s="25" t="n">
        <v>22</v>
      </c>
      <c r="I4738" s="25" t="inlineStr">
        <is>
          <t>1 minute(s) and 53 second(s)</t>
        </is>
      </c>
      <c r="J4738" s="25">
        <f>IFERROR(VALUE(TRIM(LEFT(I4738,FIND("minute",I4738)-1)))*60,0)+IFERROR(VALUE(SUBSTITUTE(MID(I4738,IFERROR(FIND("and",I4738)+3,1),20),"second(s)","")),0)</f>
        <v/>
      </c>
      <c r="K4738" s="41">
        <f>J4738/60</f>
        <v/>
      </c>
      <c r="L4738" s="41">
        <f>IFERROR(J4738/H4738,"")</f>
        <v/>
      </c>
      <c r="M4738" s="25" t="inlineStr">
        <is>
          <t>2.5.12</t>
        </is>
      </c>
      <c r="N4738" s="25">
        <f>IF(J4738&gt;300,1,0)</f>
        <v/>
      </c>
      <c r="O4738" s="25">
        <f>IF(J4738&gt;600,1,0)</f>
        <v/>
      </c>
      <c r="P4738" s="25">
        <f>IF(H4738&gt;0,J4738,"")</f>
        <v/>
      </c>
      <c r="Q4738" s="25">
        <f>TEXT(A4738,"YYYY-MM-DD HH")</f>
        <v/>
      </c>
      <c r="R4738" s="25">
        <f>COUNTIF($Q$2:$Q$5295,Q4738)</f>
        <v/>
      </c>
      <c r="S4738" s="25">
        <f>IF(R4738&lt;=2,"1-2",IF(R4738&lt;=5,"3-5",IF(R4738&lt;=10,"6-10","11+")))</f>
        <v/>
      </c>
    </row>
    <row r="4739">
      <c r="A4739" s="39" t="n">
        <v>46227.25159722222</v>
      </c>
      <c r="B4739" s="25">
        <f>TEXT(A4739,"YYYY-MM")</f>
        <v/>
      </c>
      <c r="C4739" s="25">
        <f>TEXT(A4739,"MMM-YYYY")</f>
        <v/>
      </c>
      <c r="D4739" s="40">
        <f>INT(A4739)-WEEKDAY(A4739,2)+1</f>
        <v/>
      </c>
      <c r="E4739" s="25" t="inlineStr">
        <is>
          <t>pgautam</t>
        </is>
      </c>
      <c r="F4739" s="25" t="n">
        <v>129692</v>
      </c>
      <c r="G4739" s="25" t="n">
        <v>2</v>
      </c>
      <c r="H4739" s="25" t="n">
        <v>14</v>
      </c>
      <c r="I4739" s="25" t="inlineStr">
        <is>
          <t>1 minute(s) and 13 second(s)</t>
        </is>
      </c>
      <c r="J4739" s="25">
        <f>IFERROR(VALUE(TRIM(LEFT(I4739,FIND("minute",I4739)-1)))*60,0)+IFERROR(VALUE(SUBSTITUTE(MID(I4739,IFERROR(FIND("and",I4739)+3,1),20),"second(s)","")),0)</f>
        <v/>
      </c>
      <c r="K4739" s="41">
        <f>J4739/60</f>
        <v/>
      </c>
      <c r="L4739" s="41">
        <f>IFERROR(J4739/H4739,"")</f>
        <v/>
      </c>
      <c r="M4739" s="25" t="inlineStr">
        <is>
          <t>2.5.12</t>
        </is>
      </c>
      <c r="N4739" s="25">
        <f>IF(J4739&gt;300,1,0)</f>
        <v/>
      </c>
      <c r="O4739" s="25">
        <f>IF(J4739&gt;600,1,0)</f>
        <v/>
      </c>
      <c r="P4739" s="25">
        <f>IF(H4739&gt;0,J4739,"")</f>
        <v/>
      </c>
      <c r="Q4739" s="25">
        <f>TEXT(A4739,"YYYY-MM-DD HH")</f>
        <v/>
      </c>
      <c r="R4739" s="25">
        <f>COUNTIF($Q$2:$Q$5295,Q4739)</f>
        <v/>
      </c>
      <c r="S4739" s="25">
        <f>IF(R4739&lt;=2,"1-2",IF(R4739&lt;=5,"3-5",IF(R4739&lt;=10,"6-10","11+")))</f>
        <v/>
      </c>
    </row>
    <row r="4740">
      <c r="A4740" s="39" t="n">
        <v>46227.25864583333</v>
      </c>
      <c r="B4740" s="25">
        <f>TEXT(A4740,"YYYY-MM")</f>
        <v/>
      </c>
      <c r="C4740" s="25">
        <f>TEXT(A4740,"MMM-YYYY")</f>
        <v/>
      </c>
      <c r="D4740" s="40">
        <f>INT(A4740)-WEEKDAY(A4740,2)+1</f>
        <v/>
      </c>
      <c r="E4740" s="25" t="inlineStr">
        <is>
          <t>kkumar</t>
        </is>
      </c>
      <c r="F4740" s="25" t="n">
        <v>132448</v>
      </c>
      <c r="G4740" s="25" t="n">
        <v>4</v>
      </c>
      <c r="H4740" s="25" t="n">
        <v>28</v>
      </c>
      <c r="I4740" s="25" t="inlineStr">
        <is>
          <t>3 minute(s) and 4 second(s)</t>
        </is>
      </c>
      <c r="J4740" s="25">
        <f>IFERROR(VALUE(TRIM(LEFT(I4740,FIND("minute",I4740)-1)))*60,0)+IFERROR(VALUE(SUBSTITUTE(MID(I4740,IFERROR(FIND("and",I4740)+3,1),20),"second(s)","")),0)</f>
        <v/>
      </c>
      <c r="K4740" s="41">
        <f>J4740/60</f>
        <v/>
      </c>
      <c r="L4740" s="41">
        <f>IFERROR(J4740/H4740,"")</f>
        <v/>
      </c>
      <c r="M4740" s="25" t="inlineStr">
        <is>
          <t>2.5.12</t>
        </is>
      </c>
      <c r="N4740" s="25">
        <f>IF(J4740&gt;300,1,0)</f>
        <v/>
      </c>
      <c r="O4740" s="25">
        <f>IF(J4740&gt;600,1,0)</f>
        <v/>
      </c>
      <c r="P4740" s="25">
        <f>IF(H4740&gt;0,J4740,"")</f>
        <v/>
      </c>
      <c r="Q4740" s="25">
        <f>TEXT(A4740,"YYYY-MM-DD HH")</f>
        <v/>
      </c>
      <c r="R4740" s="25">
        <f>COUNTIF($Q$2:$Q$5295,Q4740)</f>
        <v/>
      </c>
      <c r="S4740" s="25">
        <f>IF(R4740&lt;=2,"1-2",IF(R4740&lt;=5,"3-5",IF(R4740&lt;=10,"6-10","11+")))</f>
        <v/>
      </c>
    </row>
    <row r="4741">
      <c r="A4741" s="39" t="n">
        <v>46227.25960648148</v>
      </c>
      <c r="B4741" s="25">
        <f>TEXT(A4741,"YYYY-MM")</f>
        <v/>
      </c>
      <c r="C4741" s="25">
        <f>TEXT(A4741,"MMM-YYYY")</f>
        <v/>
      </c>
      <c r="D4741" s="40">
        <f>INT(A4741)-WEEKDAY(A4741,2)+1</f>
        <v/>
      </c>
      <c r="E4741" s="25" t="inlineStr">
        <is>
          <t>ethomas</t>
        </is>
      </c>
      <c r="F4741" s="25" t="n">
        <v>129698</v>
      </c>
      <c r="G4741" s="25" t="n">
        <v>4</v>
      </c>
      <c r="H4741" s="25" t="n">
        <v>16</v>
      </c>
      <c r="I4741" s="25" t="inlineStr">
        <is>
          <t>3 minute(s) and 0 second(s)</t>
        </is>
      </c>
      <c r="J4741" s="25">
        <f>IFERROR(VALUE(TRIM(LEFT(I4741,FIND("minute",I4741)-1)))*60,0)+IFERROR(VALUE(SUBSTITUTE(MID(I4741,IFERROR(FIND("and",I4741)+3,1),20),"second(s)","")),0)</f>
        <v/>
      </c>
      <c r="K4741" s="41">
        <f>J4741/60</f>
        <v/>
      </c>
      <c r="L4741" s="41">
        <f>IFERROR(J4741/H4741,"")</f>
        <v/>
      </c>
      <c r="M4741" s="25" t="inlineStr">
        <is>
          <t>2.5.12</t>
        </is>
      </c>
      <c r="N4741" s="25">
        <f>IF(J4741&gt;300,1,0)</f>
        <v/>
      </c>
      <c r="O4741" s="25">
        <f>IF(J4741&gt;600,1,0)</f>
        <v/>
      </c>
      <c r="P4741" s="25">
        <f>IF(H4741&gt;0,J4741,"")</f>
        <v/>
      </c>
      <c r="Q4741" s="25">
        <f>TEXT(A4741,"YYYY-MM-DD HH")</f>
        <v/>
      </c>
      <c r="R4741" s="25">
        <f>COUNTIF($Q$2:$Q$5295,Q4741)</f>
        <v/>
      </c>
      <c r="S4741" s="25">
        <f>IF(R4741&lt;=2,"1-2",IF(R4741&lt;=5,"3-5",IF(R4741&lt;=10,"6-10","11+")))</f>
        <v/>
      </c>
    </row>
    <row r="4742">
      <c r="A4742" s="39" t="n">
        <v>46227.26523148148</v>
      </c>
      <c r="B4742" s="25">
        <f>TEXT(A4742,"YYYY-MM")</f>
        <v/>
      </c>
      <c r="C4742" s="25">
        <f>TEXT(A4742,"MMM-YYYY")</f>
        <v/>
      </c>
      <c r="D4742" s="40">
        <f>INT(A4742)-WEEKDAY(A4742,2)+1</f>
        <v/>
      </c>
      <c r="E4742" s="25" t="inlineStr">
        <is>
          <t>mgupta</t>
        </is>
      </c>
      <c r="F4742" s="25" t="n">
        <v>131360</v>
      </c>
      <c r="G4742" s="25" t="n">
        <v>4</v>
      </c>
      <c r="H4742" s="25" t="n">
        <v>12</v>
      </c>
      <c r="I4742" s="25" t="inlineStr">
        <is>
          <t>1 minute(s) and 1 second(s)</t>
        </is>
      </c>
      <c r="J4742" s="25">
        <f>IFERROR(VALUE(TRIM(LEFT(I4742,FIND("minute",I4742)-1)))*60,0)+IFERROR(VALUE(SUBSTITUTE(MID(I4742,IFERROR(FIND("and",I4742)+3,1),20),"second(s)","")),0)</f>
        <v/>
      </c>
      <c r="K4742" s="41">
        <f>J4742/60</f>
        <v/>
      </c>
      <c r="L4742" s="41">
        <f>IFERROR(J4742/H4742,"")</f>
        <v/>
      </c>
      <c r="M4742" s="25" t="inlineStr">
        <is>
          <t>2.5.12</t>
        </is>
      </c>
      <c r="N4742" s="25">
        <f>IF(J4742&gt;300,1,0)</f>
        <v/>
      </c>
      <c r="O4742" s="25">
        <f>IF(J4742&gt;600,1,0)</f>
        <v/>
      </c>
      <c r="P4742" s="25">
        <f>IF(H4742&gt;0,J4742,"")</f>
        <v/>
      </c>
      <c r="Q4742" s="25">
        <f>TEXT(A4742,"YYYY-MM-DD HH")</f>
        <v/>
      </c>
      <c r="R4742" s="25">
        <f>COUNTIF($Q$2:$Q$5295,Q4742)</f>
        <v/>
      </c>
      <c r="S4742" s="25">
        <f>IF(R4742&lt;=2,"1-2",IF(R4742&lt;=5,"3-5",IF(R4742&lt;=10,"6-10","11+")))</f>
        <v/>
      </c>
    </row>
    <row r="4743">
      <c r="A4743" s="39" t="n">
        <v>46227.26810185185</v>
      </c>
      <c r="B4743" s="25">
        <f>TEXT(A4743,"YYYY-MM")</f>
        <v/>
      </c>
      <c r="C4743" s="25">
        <f>TEXT(A4743,"MMM-YYYY")</f>
        <v/>
      </c>
      <c r="D4743" s="40">
        <f>INT(A4743)-WEEKDAY(A4743,2)+1</f>
        <v/>
      </c>
      <c r="E4743" s="25" t="inlineStr">
        <is>
          <t>sthomas</t>
        </is>
      </c>
      <c r="F4743" s="25" t="n">
        <v>129215</v>
      </c>
      <c r="G4743" s="25" t="n">
        <v>4</v>
      </c>
      <c r="H4743" s="25" t="n">
        <v>20</v>
      </c>
      <c r="I4743" s="25" t="inlineStr">
        <is>
          <t>2 minute(s) and 9 second(s)</t>
        </is>
      </c>
      <c r="J4743" s="25">
        <f>IFERROR(VALUE(TRIM(LEFT(I4743,FIND("minute",I4743)-1)))*60,0)+IFERROR(VALUE(SUBSTITUTE(MID(I4743,IFERROR(FIND("and",I4743)+3,1),20),"second(s)","")),0)</f>
        <v/>
      </c>
      <c r="K4743" s="41">
        <f>J4743/60</f>
        <v/>
      </c>
      <c r="L4743" s="41">
        <f>IFERROR(J4743/H4743,"")</f>
        <v/>
      </c>
      <c r="M4743" s="25" t="inlineStr">
        <is>
          <t>2.5.12</t>
        </is>
      </c>
      <c r="N4743" s="25">
        <f>IF(J4743&gt;300,1,0)</f>
        <v/>
      </c>
      <c r="O4743" s="25">
        <f>IF(J4743&gt;600,1,0)</f>
        <v/>
      </c>
      <c r="P4743" s="25">
        <f>IF(H4743&gt;0,J4743,"")</f>
        <v/>
      </c>
      <c r="Q4743" s="25">
        <f>TEXT(A4743,"YYYY-MM-DD HH")</f>
        <v/>
      </c>
      <c r="R4743" s="25">
        <f>COUNTIF($Q$2:$Q$5295,Q4743)</f>
        <v/>
      </c>
      <c r="S4743" s="25">
        <f>IF(R4743&lt;=2,"1-2",IF(R4743&lt;=5,"3-5",IF(R4743&lt;=10,"6-10","11+")))</f>
        <v/>
      </c>
    </row>
    <row r="4744">
      <c r="A4744" s="39" t="n">
        <v>46227.2784375</v>
      </c>
      <c r="B4744" s="25">
        <f>TEXT(A4744,"YYYY-MM")</f>
        <v/>
      </c>
      <c r="C4744" s="25">
        <f>TEXT(A4744,"MMM-YYYY")</f>
        <v/>
      </c>
      <c r="D4744" s="40">
        <f>INT(A4744)-WEEKDAY(A4744,2)+1</f>
        <v/>
      </c>
      <c r="E4744" s="25" t="inlineStr">
        <is>
          <t>aupadhayay</t>
        </is>
      </c>
      <c r="F4744" s="25" t="n">
        <v>130888</v>
      </c>
      <c r="G4744" s="25" t="n">
        <v>4</v>
      </c>
      <c r="H4744" s="25" t="n">
        <v>28</v>
      </c>
      <c r="I4744" s="25" t="inlineStr">
        <is>
          <t>4 minute(s) and 7 second(s)</t>
        </is>
      </c>
      <c r="J4744" s="25">
        <f>IFERROR(VALUE(TRIM(LEFT(I4744,FIND("minute",I4744)-1)))*60,0)+IFERROR(VALUE(SUBSTITUTE(MID(I4744,IFERROR(FIND("and",I4744)+3,1),20),"second(s)","")),0)</f>
        <v/>
      </c>
      <c r="K4744" s="41">
        <f>J4744/60</f>
        <v/>
      </c>
      <c r="L4744" s="41">
        <f>IFERROR(J4744/H4744,"")</f>
        <v/>
      </c>
      <c r="M4744" s="25" t="inlineStr">
        <is>
          <t>2.5.12</t>
        </is>
      </c>
      <c r="N4744" s="25">
        <f>IF(J4744&gt;300,1,0)</f>
        <v/>
      </c>
      <c r="O4744" s="25">
        <f>IF(J4744&gt;600,1,0)</f>
        <v/>
      </c>
      <c r="P4744" s="25">
        <f>IF(H4744&gt;0,J4744,"")</f>
        <v/>
      </c>
      <c r="Q4744" s="25">
        <f>TEXT(A4744,"YYYY-MM-DD HH")</f>
        <v/>
      </c>
      <c r="R4744" s="25">
        <f>COUNTIF($Q$2:$Q$5295,Q4744)</f>
        <v/>
      </c>
      <c r="S4744" s="25">
        <f>IF(R4744&lt;=2,"1-2",IF(R4744&lt;=5,"3-5",IF(R4744&lt;=10,"6-10","11+")))</f>
        <v/>
      </c>
    </row>
    <row r="4745">
      <c r="A4745" s="39" t="n">
        <v>46227.28104166667</v>
      </c>
      <c r="B4745" s="25">
        <f>TEXT(A4745,"YYYY-MM")</f>
        <v/>
      </c>
      <c r="C4745" s="25">
        <f>TEXT(A4745,"MMM-YYYY")</f>
        <v/>
      </c>
      <c r="D4745" s="40">
        <f>INT(A4745)-WEEKDAY(A4745,2)+1</f>
        <v/>
      </c>
      <c r="E4745" s="25" t="inlineStr">
        <is>
          <t>aghosh</t>
        </is>
      </c>
      <c r="F4745" s="25" t="n">
        <v>128550</v>
      </c>
      <c r="G4745" s="25" t="n">
        <v>2</v>
      </c>
      <c r="H4745" s="25" t="n">
        <v>14</v>
      </c>
      <c r="I4745" s="25" t="inlineStr">
        <is>
          <t>1 minute(s) and 50 second(s)</t>
        </is>
      </c>
      <c r="J4745" s="25">
        <f>IFERROR(VALUE(TRIM(LEFT(I4745,FIND("minute",I4745)-1)))*60,0)+IFERROR(VALUE(SUBSTITUTE(MID(I4745,IFERROR(FIND("and",I4745)+3,1),20),"second(s)","")),0)</f>
        <v/>
      </c>
      <c r="K4745" s="41">
        <f>J4745/60</f>
        <v/>
      </c>
      <c r="L4745" s="41">
        <f>IFERROR(J4745/H4745,"")</f>
        <v/>
      </c>
      <c r="M4745" s="25" t="inlineStr">
        <is>
          <t>2.5.12</t>
        </is>
      </c>
      <c r="N4745" s="25">
        <f>IF(J4745&gt;300,1,0)</f>
        <v/>
      </c>
      <c r="O4745" s="25">
        <f>IF(J4745&gt;600,1,0)</f>
        <v/>
      </c>
      <c r="P4745" s="25">
        <f>IF(H4745&gt;0,J4745,"")</f>
        <v/>
      </c>
      <c r="Q4745" s="25">
        <f>TEXT(A4745,"YYYY-MM-DD HH")</f>
        <v/>
      </c>
      <c r="R4745" s="25">
        <f>COUNTIF($Q$2:$Q$5295,Q4745)</f>
        <v/>
      </c>
      <c r="S4745" s="25">
        <f>IF(R4745&lt;=2,"1-2",IF(R4745&lt;=5,"3-5",IF(R4745&lt;=10,"6-10","11+")))</f>
        <v/>
      </c>
    </row>
    <row r="4746">
      <c r="A4746" s="39" t="n">
        <v>46227.28337962963</v>
      </c>
      <c r="B4746" s="25">
        <f>TEXT(A4746,"YYYY-MM")</f>
        <v/>
      </c>
      <c r="C4746" s="25">
        <f>TEXT(A4746,"MMM-YYYY")</f>
        <v/>
      </c>
      <c r="D4746" s="40">
        <f>INT(A4746)-WEEKDAY(A4746,2)+1</f>
        <v/>
      </c>
      <c r="E4746" s="25" t="inlineStr">
        <is>
          <t>atiwari</t>
        </is>
      </c>
      <c r="F4746" s="25" t="n">
        <v>131105</v>
      </c>
      <c r="G4746" s="25" t="n">
        <v>1</v>
      </c>
      <c r="H4746" s="25" t="n">
        <v>5</v>
      </c>
      <c r="I4746" s="25" t="inlineStr">
        <is>
          <t>22 second(s)</t>
        </is>
      </c>
      <c r="J4746" s="25">
        <f>IFERROR(VALUE(TRIM(LEFT(I4746,FIND("minute",I4746)-1)))*60,0)+IFERROR(VALUE(SUBSTITUTE(MID(I4746,IFERROR(FIND("and",I4746)+3,1),20),"second(s)","")),0)</f>
        <v/>
      </c>
      <c r="K4746" s="41">
        <f>J4746/60</f>
        <v/>
      </c>
      <c r="L4746" s="41">
        <f>IFERROR(J4746/H4746,"")</f>
        <v/>
      </c>
      <c r="M4746" s="25" t="inlineStr">
        <is>
          <t>2.5.12</t>
        </is>
      </c>
      <c r="N4746" s="25">
        <f>IF(J4746&gt;300,1,0)</f>
        <v/>
      </c>
      <c r="O4746" s="25">
        <f>IF(J4746&gt;600,1,0)</f>
        <v/>
      </c>
      <c r="P4746" s="25">
        <f>IF(H4746&gt;0,J4746,"")</f>
        <v/>
      </c>
      <c r="Q4746" s="25">
        <f>TEXT(A4746,"YYYY-MM-DD HH")</f>
        <v/>
      </c>
      <c r="R4746" s="25">
        <f>COUNTIF($Q$2:$Q$5295,Q4746)</f>
        <v/>
      </c>
      <c r="S4746" s="25">
        <f>IF(R4746&lt;=2,"1-2",IF(R4746&lt;=5,"3-5",IF(R4746&lt;=10,"6-10","11+")))</f>
        <v/>
      </c>
    </row>
    <row r="4747">
      <c r="A4747" s="39" t="n">
        <v>46227.28908564815</v>
      </c>
      <c r="B4747" s="25">
        <f>TEXT(A4747,"YYYY-MM")</f>
        <v/>
      </c>
      <c r="C4747" s="25">
        <f>TEXT(A4747,"MMM-YYYY")</f>
        <v/>
      </c>
      <c r="D4747" s="40">
        <f>INT(A4747)-WEEKDAY(A4747,2)+1</f>
        <v/>
      </c>
      <c r="E4747" s="25" t="inlineStr">
        <is>
          <t>shasikha</t>
        </is>
      </c>
      <c r="F4747" s="25" t="n">
        <v>132008</v>
      </c>
      <c r="G4747" s="25" t="n">
        <v>2</v>
      </c>
      <c r="H4747" s="25" t="n">
        <v>10</v>
      </c>
      <c r="I4747" s="25" t="inlineStr">
        <is>
          <t>2 minute(s) and 4 second(s)</t>
        </is>
      </c>
      <c r="J4747" s="25">
        <f>IFERROR(VALUE(TRIM(LEFT(I4747,FIND("minute",I4747)-1)))*60,0)+IFERROR(VALUE(SUBSTITUTE(MID(I4747,IFERROR(FIND("and",I4747)+3,1),20),"second(s)","")),0)</f>
        <v/>
      </c>
      <c r="K4747" s="41">
        <f>J4747/60</f>
        <v/>
      </c>
      <c r="L4747" s="41">
        <f>IFERROR(J4747/H4747,"")</f>
        <v/>
      </c>
      <c r="M4747" s="25" t="inlineStr">
        <is>
          <t>2.5.12</t>
        </is>
      </c>
      <c r="N4747" s="25">
        <f>IF(J4747&gt;300,1,0)</f>
        <v/>
      </c>
      <c r="O4747" s="25">
        <f>IF(J4747&gt;600,1,0)</f>
        <v/>
      </c>
      <c r="P4747" s="25">
        <f>IF(H4747&gt;0,J4747,"")</f>
        <v/>
      </c>
      <c r="Q4747" s="25">
        <f>TEXT(A4747,"YYYY-MM-DD HH")</f>
        <v/>
      </c>
      <c r="R4747" s="25">
        <f>COUNTIF($Q$2:$Q$5295,Q4747)</f>
        <v/>
      </c>
      <c r="S4747" s="25">
        <f>IF(R4747&lt;=2,"1-2",IF(R4747&lt;=5,"3-5",IF(R4747&lt;=10,"6-10","11+")))</f>
        <v/>
      </c>
    </row>
    <row r="4748">
      <c r="A4748" s="39" t="n">
        <v>46227.2921412037</v>
      </c>
      <c r="B4748" s="25">
        <f>TEXT(A4748,"YYYY-MM")</f>
        <v/>
      </c>
      <c r="C4748" s="25">
        <f>TEXT(A4748,"MMM-YYYY")</f>
        <v/>
      </c>
      <c r="D4748" s="40">
        <f>INT(A4748)-WEEKDAY(A4748,2)+1</f>
        <v/>
      </c>
      <c r="E4748" s="25" t="inlineStr">
        <is>
          <t>ssrinivasan</t>
        </is>
      </c>
      <c r="F4748" s="25" t="n">
        <v>129256</v>
      </c>
      <c r="G4748" s="25" t="n">
        <v>4</v>
      </c>
      <c r="H4748" s="25" t="n">
        <v>26</v>
      </c>
      <c r="I4748" s="25" t="inlineStr">
        <is>
          <t>2 minute(s) and 15 second(s)</t>
        </is>
      </c>
      <c r="J4748" s="25">
        <f>IFERROR(VALUE(TRIM(LEFT(I4748,FIND("minute",I4748)-1)))*60,0)+IFERROR(VALUE(SUBSTITUTE(MID(I4748,IFERROR(FIND("and",I4748)+3,1),20),"second(s)","")),0)</f>
        <v/>
      </c>
      <c r="K4748" s="41">
        <f>J4748/60</f>
        <v/>
      </c>
      <c r="L4748" s="41">
        <f>IFERROR(J4748/H4748,"")</f>
        <v/>
      </c>
      <c r="M4748" s="25" t="inlineStr">
        <is>
          <t>2.5.12</t>
        </is>
      </c>
      <c r="N4748" s="25">
        <f>IF(J4748&gt;300,1,0)</f>
        <v/>
      </c>
      <c r="O4748" s="25">
        <f>IF(J4748&gt;600,1,0)</f>
        <v/>
      </c>
      <c r="P4748" s="25">
        <f>IF(H4748&gt;0,J4748,"")</f>
        <v/>
      </c>
      <c r="Q4748" s="25">
        <f>TEXT(A4748,"YYYY-MM-DD HH")</f>
        <v/>
      </c>
      <c r="R4748" s="25">
        <f>COUNTIF($Q$2:$Q$5295,Q4748)</f>
        <v/>
      </c>
      <c r="S4748" s="25">
        <f>IF(R4748&lt;=2,"1-2",IF(R4748&lt;=5,"3-5",IF(R4748&lt;=10,"6-10","11+")))</f>
        <v/>
      </c>
    </row>
    <row r="4749">
      <c r="A4749" s="39" t="n">
        <v>46227.29759259259</v>
      </c>
      <c r="B4749" s="25">
        <f>TEXT(A4749,"YYYY-MM")</f>
        <v/>
      </c>
      <c r="C4749" s="25">
        <f>TEXT(A4749,"MMM-YYYY")</f>
        <v/>
      </c>
      <c r="D4749" s="40">
        <f>INT(A4749)-WEEKDAY(A4749,2)+1</f>
        <v/>
      </c>
      <c r="E4749" s="25" t="inlineStr">
        <is>
          <t>sasharma</t>
        </is>
      </c>
      <c r="F4749" s="25" t="n">
        <v>132128</v>
      </c>
      <c r="G4749" s="25" t="n">
        <v>3</v>
      </c>
      <c r="H4749" s="25" t="n">
        <v>15</v>
      </c>
      <c r="I4749" s="25" t="inlineStr">
        <is>
          <t>1 minute(s) and 10 second(s)</t>
        </is>
      </c>
      <c r="J4749" s="25">
        <f>IFERROR(VALUE(TRIM(LEFT(I4749,FIND("minute",I4749)-1)))*60,0)+IFERROR(VALUE(SUBSTITUTE(MID(I4749,IFERROR(FIND("and",I4749)+3,1),20),"second(s)","")),0)</f>
        <v/>
      </c>
      <c r="K4749" s="41">
        <f>J4749/60</f>
        <v/>
      </c>
      <c r="L4749" s="41">
        <f>IFERROR(J4749/H4749,"")</f>
        <v/>
      </c>
      <c r="M4749" s="25" t="inlineStr">
        <is>
          <t>2.5.12</t>
        </is>
      </c>
      <c r="N4749" s="25">
        <f>IF(J4749&gt;300,1,0)</f>
        <v/>
      </c>
      <c r="O4749" s="25">
        <f>IF(J4749&gt;600,1,0)</f>
        <v/>
      </c>
      <c r="P4749" s="25">
        <f>IF(H4749&gt;0,J4749,"")</f>
        <v/>
      </c>
      <c r="Q4749" s="25">
        <f>TEXT(A4749,"YYYY-MM-DD HH")</f>
        <v/>
      </c>
      <c r="R4749" s="25">
        <f>COUNTIF($Q$2:$Q$5295,Q4749)</f>
        <v/>
      </c>
      <c r="S4749" s="25">
        <f>IF(R4749&lt;=2,"1-2",IF(R4749&lt;=5,"3-5",IF(R4749&lt;=10,"6-10","11+")))</f>
        <v/>
      </c>
    </row>
    <row r="4750">
      <c r="A4750" s="39" t="n">
        <v>46227.29899305556</v>
      </c>
      <c r="B4750" s="25">
        <f>TEXT(A4750,"YYYY-MM")</f>
        <v/>
      </c>
      <c r="C4750" s="25">
        <f>TEXT(A4750,"MMM-YYYY")</f>
        <v/>
      </c>
      <c r="D4750" s="40">
        <f>INT(A4750)-WEEKDAY(A4750,2)+1</f>
        <v/>
      </c>
      <c r="E4750" s="25" t="inlineStr">
        <is>
          <t>hsindwani</t>
        </is>
      </c>
      <c r="F4750" s="25" t="n">
        <v>131794</v>
      </c>
      <c r="G4750" s="25" t="n">
        <v>4</v>
      </c>
      <c r="H4750" s="25" t="n">
        <v>14</v>
      </c>
      <c r="I4750" s="25" t="inlineStr">
        <is>
          <t>2 minute(s) and 8 second(s)</t>
        </is>
      </c>
      <c r="J4750" s="25">
        <f>IFERROR(VALUE(TRIM(LEFT(I4750,FIND("minute",I4750)-1)))*60,0)+IFERROR(VALUE(SUBSTITUTE(MID(I4750,IFERROR(FIND("and",I4750)+3,1),20),"second(s)","")),0)</f>
        <v/>
      </c>
      <c r="K4750" s="41">
        <f>J4750/60</f>
        <v/>
      </c>
      <c r="L4750" s="41">
        <f>IFERROR(J4750/H4750,"")</f>
        <v/>
      </c>
      <c r="M4750" s="25" t="inlineStr">
        <is>
          <t>2.5.12</t>
        </is>
      </c>
      <c r="N4750" s="25">
        <f>IF(J4750&gt;300,1,0)</f>
        <v/>
      </c>
      <c r="O4750" s="25">
        <f>IF(J4750&gt;600,1,0)</f>
        <v/>
      </c>
      <c r="P4750" s="25">
        <f>IF(H4750&gt;0,J4750,"")</f>
        <v/>
      </c>
      <c r="Q4750" s="25">
        <f>TEXT(A4750,"YYYY-MM-DD HH")</f>
        <v/>
      </c>
      <c r="R4750" s="25">
        <f>COUNTIF($Q$2:$Q$5295,Q4750)</f>
        <v/>
      </c>
      <c r="S4750" s="25">
        <f>IF(R4750&lt;=2,"1-2",IF(R4750&lt;=5,"3-5",IF(R4750&lt;=10,"6-10","11+")))</f>
        <v/>
      </c>
    </row>
    <row r="4751">
      <c r="A4751" s="39" t="n">
        <v>46227.29903935185</v>
      </c>
      <c r="B4751" s="25">
        <f>TEXT(A4751,"YYYY-MM")</f>
        <v/>
      </c>
      <c r="C4751" s="25">
        <f>TEXT(A4751,"MMM-YYYY")</f>
        <v/>
      </c>
      <c r="D4751" s="40">
        <f>INT(A4751)-WEEKDAY(A4751,2)+1</f>
        <v/>
      </c>
      <c r="E4751" s="25" t="inlineStr">
        <is>
          <t>ns</t>
        </is>
      </c>
      <c r="F4751" s="25" t="n">
        <v>131360</v>
      </c>
      <c r="G4751" s="25" t="n">
        <v>2</v>
      </c>
      <c r="H4751" s="25" t="n">
        <v>8</v>
      </c>
      <c r="I4751" s="25" t="inlineStr">
        <is>
          <t>44 second(s)</t>
        </is>
      </c>
      <c r="J4751" s="25">
        <f>IFERROR(VALUE(TRIM(LEFT(I4751,FIND("minute",I4751)-1)))*60,0)+IFERROR(VALUE(SUBSTITUTE(MID(I4751,IFERROR(FIND("and",I4751)+3,1),20),"second(s)","")),0)</f>
        <v/>
      </c>
      <c r="K4751" s="41">
        <f>J4751/60</f>
        <v/>
      </c>
      <c r="L4751" s="41">
        <f>IFERROR(J4751/H4751,"")</f>
        <v/>
      </c>
      <c r="M4751" s="25" t="inlineStr">
        <is>
          <t>2.5.12</t>
        </is>
      </c>
      <c r="N4751" s="25">
        <f>IF(J4751&gt;300,1,0)</f>
        <v/>
      </c>
      <c r="O4751" s="25">
        <f>IF(J4751&gt;600,1,0)</f>
        <v/>
      </c>
      <c r="P4751" s="25">
        <f>IF(H4751&gt;0,J4751,"")</f>
        <v/>
      </c>
      <c r="Q4751" s="25">
        <f>TEXT(A4751,"YYYY-MM-DD HH")</f>
        <v/>
      </c>
      <c r="R4751" s="25">
        <f>COUNTIF($Q$2:$Q$5295,Q4751)</f>
        <v/>
      </c>
      <c r="S4751" s="25">
        <f>IF(R4751&lt;=2,"1-2",IF(R4751&lt;=5,"3-5",IF(R4751&lt;=10,"6-10","11+")))</f>
        <v/>
      </c>
    </row>
    <row r="4752">
      <c r="A4752" s="39" t="n">
        <v>46227.30327546296</v>
      </c>
      <c r="B4752" s="25">
        <f>TEXT(A4752,"YYYY-MM")</f>
        <v/>
      </c>
      <c r="C4752" s="25">
        <f>TEXT(A4752,"MMM-YYYY")</f>
        <v/>
      </c>
      <c r="D4752" s="40">
        <f>INT(A4752)-WEEKDAY(A4752,2)+1</f>
        <v/>
      </c>
      <c r="E4752" s="25" t="inlineStr">
        <is>
          <t>mbhalla</t>
        </is>
      </c>
      <c r="F4752" s="25" t="n">
        <v>128664</v>
      </c>
      <c r="G4752" s="25" t="n">
        <v>4</v>
      </c>
      <c r="H4752" s="25" t="n">
        <v>26</v>
      </c>
      <c r="I4752" s="25" t="inlineStr">
        <is>
          <t>2 minute(s) and 26 second(s)</t>
        </is>
      </c>
      <c r="J4752" s="25">
        <f>IFERROR(VALUE(TRIM(LEFT(I4752,FIND("minute",I4752)-1)))*60,0)+IFERROR(VALUE(SUBSTITUTE(MID(I4752,IFERROR(FIND("and",I4752)+3,1),20),"second(s)","")),0)</f>
        <v/>
      </c>
      <c r="K4752" s="41">
        <f>J4752/60</f>
        <v/>
      </c>
      <c r="L4752" s="41">
        <f>IFERROR(J4752/H4752,"")</f>
        <v/>
      </c>
      <c r="M4752" s="25" t="inlineStr">
        <is>
          <t>2.5.12</t>
        </is>
      </c>
      <c r="N4752" s="25">
        <f>IF(J4752&gt;300,1,0)</f>
        <v/>
      </c>
      <c r="O4752" s="25">
        <f>IF(J4752&gt;600,1,0)</f>
        <v/>
      </c>
      <c r="P4752" s="25">
        <f>IF(H4752&gt;0,J4752,"")</f>
        <v/>
      </c>
      <c r="Q4752" s="25">
        <f>TEXT(A4752,"YYYY-MM-DD HH")</f>
        <v/>
      </c>
      <c r="R4752" s="25">
        <f>COUNTIF($Q$2:$Q$5295,Q4752)</f>
        <v/>
      </c>
      <c r="S4752" s="25">
        <f>IF(R4752&lt;=2,"1-2",IF(R4752&lt;=5,"3-5",IF(R4752&lt;=10,"6-10","11+")))</f>
        <v/>
      </c>
    </row>
    <row r="4753">
      <c r="A4753" s="39" t="n">
        <v>46227.30393518518</v>
      </c>
      <c r="B4753" s="25">
        <f>TEXT(A4753,"YYYY-MM")</f>
        <v/>
      </c>
      <c r="C4753" s="25">
        <f>TEXT(A4753,"MMM-YYYY")</f>
        <v/>
      </c>
      <c r="D4753" s="40">
        <f>INT(A4753)-WEEKDAY(A4753,2)+1</f>
        <v/>
      </c>
      <c r="E4753" s="25" t="inlineStr">
        <is>
          <t>pgautam</t>
        </is>
      </c>
      <c r="F4753" s="25" t="n">
        <v>131854</v>
      </c>
      <c r="G4753" s="25" t="n">
        <v>5</v>
      </c>
      <c r="H4753" s="25" t="n">
        <v>20</v>
      </c>
      <c r="I4753" s="25" t="inlineStr">
        <is>
          <t>1 minute(s) and 42 second(s)</t>
        </is>
      </c>
      <c r="J4753" s="25">
        <f>IFERROR(VALUE(TRIM(LEFT(I4753,FIND("minute",I4753)-1)))*60,0)+IFERROR(VALUE(SUBSTITUTE(MID(I4753,IFERROR(FIND("and",I4753)+3,1),20),"second(s)","")),0)</f>
        <v/>
      </c>
      <c r="K4753" s="41">
        <f>J4753/60</f>
        <v/>
      </c>
      <c r="L4753" s="41">
        <f>IFERROR(J4753/H4753,"")</f>
        <v/>
      </c>
      <c r="M4753" s="25" t="inlineStr">
        <is>
          <t>2.5.12</t>
        </is>
      </c>
      <c r="N4753" s="25">
        <f>IF(J4753&gt;300,1,0)</f>
        <v/>
      </c>
      <c r="O4753" s="25">
        <f>IF(J4753&gt;600,1,0)</f>
        <v/>
      </c>
      <c r="P4753" s="25">
        <f>IF(H4753&gt;0,J4753,"")</f>
        <v/>
      </c>
      <c r="Q4753" s="25">
        <f>TEXT(A4753,"YYYY-MM-DD HH")</f>
        <v/>
      </c>
      <c r="R4753" s="25">
        <f>COUNTIF($Q$2:$Q$5295,Q4753)</f>
        <v/>
      </c>
      <c r="S4753" s="25">
        <f>IF(R4753&lt;=2,"1-2",IF(R4753&lt;=5,"3-5",IF(R4753&lt;=10,"6-10","11+")))</f>
        <v/>
      </c>
    </row>
    <row r="4754">
      <c r="A4754" s="39" t="n">
        <v>46227.30559027778</v>
      </c>
      <c r="B4754" s="25">
        <f>TEXT(A4754,"YYYY-MM")</f>
        <v/>
      </c>
      <c r="C4754" s="25">
        <f>TEXT(A4754,"MMM-YYYY")</f>
        <v/>
      </c>
      <c r="D4754" s="40">
        <f>INT(A4754)-WEEKDAY(A4754,2)+1</f>
        <v/>
      </c>
      <c r="E4754" s="25" t="inlineStr">
        <is>
          <t>shassan</t>
        </is>
      </c>
      <c r="F4754" s="25" t="n">
        <v>130346</v>
      </c>
      <c r="G4754" s="25" t="n">
        <v>1</v>
      </c>
      <c r="H4754" s="25" t="n">
        <v>7</v>
      </c>
      <c r="I4754" s="25" t="inlineStr">
        <is>
          <t>1 minute(s) and 52 second(s)</t>
        </is>
      </c>
      <c r="J4754" s="25">
        <f>IFERROR(VALUE(TRIM(LEFT(I4754,FIND("minute",I4754)-1)))*60,0)+IFERROR(VALUE(SUBSTITUTE(MID(I4754,IFERROR(FIND("and",I4754)+3,1),20),"second(s)","")),0)</f>
        <v/>
      </c>
      <c r="K4754" s="41">
        <f>J4754/60</f>
        <v/>
      </c>
      <c r="L4754" s="41">
        <f>IFERROR(J4754/H4754,"")</f>
        <v/>
      </c>
      <c r="M4754" s="25" t="inlineStr">
        <is>
          <t>2.5.12</t>
        </is>
      </c>
      <c r="N4754" s="25">
        <f>IF(J4754&gt;300,1,0)</f>
        <v/>
      </c>
      <c r="O4754" s="25">
        <f>IF(J4754&gt;600,1,0)</f>
        <v/>
      </c>
      <c r="P4754" s="25">
        <f>IF(H4754&gt;0,J4754,"")</f>
        <v/>
      </c>
      <c r="Q4754" s="25">
        <f>TEXT(A4754,"YYYY-MM-DD HH")</f>
        <v/>
      </c>
      <c r="R4754" s="25">
        <f>COUNTIF($Q$2:$Q$5295,Q4754)</f>
        <v/>
      </c>
      <c r="S4754" s="25">
        <f>IF(R4754&lt;=2,"1-2",IF(R4754&lt;=5,"3-5",IF(R4754&lt;=10,"6-10","11+")))</f>
        <v/>
      </c>
    </row>
    <row r="4755">
      <c r="A4755" s="39" t="n">
        <v>46227.31712962963</v>
      </c>
      <c r="B4755" s="25">
        <f>TEXT(A4755,"YYYY-MM")</f>
        <v/>
      </c>
      <c r="C4755" s="25">
        <f>TEXT(A4755,"MMM-YYYY")</f>
        <v/>
      </c>
      <c r="D4755" s="40">
        <f>INT(A4755)-WEEKDAY(A4755,2)+1</f>
        <v/>
      </c>
      <c r="E4755" s="25" t="inlineStr">
        <is>
          <t>kkumar</t>
        </is>
      </c>
      <c r="F4755" s="25" t="n">
        <v>132078</v>
      </c>
      <c r="G4755" s="25" t="n">
        <v>2</v>
      </c>
      <c r="H4755" s="25" t="n">
        <v>12</v>
      </c>
      <c r="I4755" s="25" t="inlineStr">
        <is>
          <t>50 second(s)</t>
        </is>
      </c>
      <c r="J4755" s="25">
        <f>IFERROR(VALUE(TRIM(LEFT(I4755,FIND("minute",I4755)-1)))*60,0)+IFERROR(VALUE(SUBSTITUTE(MID(I4755,IFERROR(FIND("and",I4755)+3,1),20),"second(s)","")),0)</f>
        <v/>
      </c>
      <c r="K4755" s="41">
        <f>J4755/60</f>
        <v/>
      </c>
      <c r="L4755" s="41">
        <f>IFERROR(J4755/H4755,"")</f>
        <v/>
      </c>
      <c r="M4755" s="25" t="inlineStr">
        <is>
          <t>2.5.12</t>
        </is>
      </c>
      <c r="N4755" s="25">
        <f>IF(J4755&gt;300,1,0)</f>
        <v/>
      </c>
      <c r="O4755" s="25">
        <f>IF(J4755&gt;600,1,0)</f>
        <v/>
      </c>
      <c r="P4755" s="25">
        <f>IF(H4755&gt;0,J4755,"")</f>
        <v/>
      </c>
      <c r="Q4755" s="25">
        <f>TEXT(A4755,"YYYY-MM-DD HH")</f>
        <v/>
      </c>
      <c r="R4755" s="25">
        <f>COUNTIF($Q$2:$Q$5295,Q4755)</f>
        <v/>
      </c>
      <c r="S4755" s="25">
        <f>IF(R4755&lt;=2,"1-2",IF(R4755&lt;=5,"3-5",IF(R4755&lt;=10,"6-10","11+")))</f>
        <v/>
      </c>
    </row>
    <row r="4756">
      <c r="A4756" s="39" t="n">
        <v>46227.31788194444</v>
      </c>
      <c r="B4756" s="25">
        <f>TEXT(A4756,"YYYY-MM")</f>
        <v/>
      </c>
      <c r="C4756" s="25">
        <f>TEXT(A4756,"MMM-YYYY")</f>
        <v/>
      </c>
      <c r="D4756" s="40">
        <f>INT(A4756)-WEEKDAY(A4756,2)+1</f>
        <v/>
      </c>
      <c r="E4756" s="25" t="inlineStr">
        <is>
          <t>atiwari</t>
        </is>
      </c>
      <c r="F4756" s="25" t="n">
        <v>130002</v>
      </c>
      <c r="G4756" s="25" t="n">
        <v>2</v>
      </c>
      <c r="H4756" s="25" t="n">
        <v>12</v>
      </c>
      <c r="I4756" s="25" t="inlineStr">
        <is>
          <t>1 minute(s) and 30 second(s)</t>
        </is>
      </c>
      <c r="J4756" s="25">
        <f>IFERROR(VALUE(TRIM(LEFT(I4756,FIND("minute",I4756)-1)))*60,0)+IFERROR(VALUE(SUBSTITUTE(MID(I4756,IFERROR(FIND("and",I4756)+3,1),20),"second(s)","")),0)</f>
        <v/>
      </c>
      <c r="K4756" s="41">
        <f>J4756/60</f>
        <v/>
      </c>
      <c r="L4756" s="41">
        <f>IFERROR(J4756/H4756,"")</f>
        <v/>
      </c>
      <c r="M4756" s="25" t="inlineStr">
        <is>
          <t>2.5.12</t>
        </is>
      </c>
      <c r="N4756" s="25">
        <f>IF(J4756&gt;300,1,0)</f>
        <v/>
      </c>
      <c r="O4756" s="25">
        <f>IF(J4756&gt;600,1,0)</f>
        <v/>
      </c>
      <c r="P4756" s="25">
        <f>IF(H4756&gt;0,J4756,"")</f>
        <v/>
      </c>
      <c r="Q4756" s="25">
        <f>TEXT(A4756,"YYYY-MM-DD HH")</f>
        <v/>
      </c>
      <c r="R4756" s="25">
        <f>COUNTIF($Q$2:$Q$5295,Q4756)</f>
        <v/>
      </c>
      <c r="S4756" s="25">
        <f>IF(R4756&lt;=2,"1-2",IF(R4756&lt;=5,"3-5",IF(R4756&lt;=10,"6-10","11+")))</f>
        <v/>
      </c>
    </row>
    <row r="4757">
      <c r="A4757" s="39" t="n">
        <v>46227.31976851852</v>
      </c>
      <c r="B4757" s="25">
        <f>TEXT(A4757,"YYYY-MM")</f>
        <v/>
      </c>
      <c r="C4757" s="25">
        <f>TEXT(A4757,"MMM-YYYY")</f>
        <v/>
      </c>
      <c r="D4757" s="40">
        <f>INT(A4757)-WEEKDAY(A4757,2)+1</f>
        <v/>
      </c>
      <c r="E4757" s="25" t="inlineStr">
        <is>
          <t>sswati</t>
        </is>
      </c>
      <c r="F4757" s="25" t="n">
        <v>129519</v>
      </c>
      <c r="G4757" s="25" t="n">
        <v>2</v>
      </c>
      <c r="H4757" s="25" t="n">
        <v>10</v>
      </c>
      <c r="I4757" s="25" t="inlineStr">
        <is>
          <t>56 second(s)</t>
        </is>
      </c>
      <c r="J4757" s="25">
        <f>IFERROR(VALUE(TRIM(LEFT(I4757,FIND("minute",I4757)-1)))*60,0)+IFERROR(VALUE(SUBSTITUTE(MID(I4757,IFERROR(FIND("and",I4757)+3,1),20),"second(s)","")),0)</f>
        <v/>
      </c>
      <c r="K4757" s="41">
        <f>J4757/60</f>
        <v/>
      </c>
      <c r="L4757" s="41">
        <f>IFERROR(J4757/H4757,"")</f>
        <v/>
      </c>
      <c r="M4757" s="25" t="inlineStr">
        <is>
          <t>2.5.12</t>
        </is>
      </c>
      <c r="N4757" s="25">
        <f>IF(J4757&gt;300,1,0)</f>
        <v/>
      </c>
      <c r="O4757" s="25">
        <f>IF(J4757&gt;600,1,0)</f>
        <v/>
      </c>
      <c r="P4757" s="25">
        <f>IF(H4757&gt;0,J4757,"")</f>
        <v/>
      </c>
      <c r="Q4757" s="25">
        <f>TEXT(A4757,"YYYY-MM-DD HH")</f>
        <v/>
      </c>
      <c r="R4757" s="25">
        <f>COUNTIF($Q$2:$Q$5295,Q4757)</f>
        <v/>
      </c>
      <c r="S4757" s="25">
        <f>IF(R4757&lt;=2,"1-2",IF(R4757&lt;=5,"3-5",IF(R4757&lt;=10,"6-10","11+")))</f>
        <v/>
      </c>
    </row>
    <row r="4758">
      <c r="A4758" s="39" t="n">
        <v>46227.32304398148</v>
      </c>
      <c r="B4758" s="25">
        <f>TEXT(A4758,"YYYY-MM")</f>
        <v/>
      </c>
      <c r="C4758" s="25">
        <f>TEXT(A4758,"MMM-YYYY")</f>
        <v/>
      </c>
      <c r="D4758" s="40">
        <f>INT(A4758)-WEEKDAY(A4758,2)+1</f>
        <v/>
      </c>
      <c r="E4758" s="25" t="inlineStr">
        <is>
          <t>ssrinivasan</t>
        </is>
      </c>
      <c r="F4758" s="25" t="n">
        <v>129256</v>
      </c>
      <c r="G4758" s="25" t="n">
        <v>2</v>
      </c>
      <c r="H4758" s="25" t="n">
        <v>12</v>
      </c>
      <c r="I4758" s="25" t="inlineStr">
        <is>
          <t>57 second(s)</t>
        </is>
      </c>
      <c r="J4758" s="25">
        <f>IFERROR(VALUE(TRIM(LEFT(I4758,FIND("minute",I4758)-1)))*60,0)+IFERROR(VALUE(SUBSTITUTE(MID(I4758,IFERROR(FIND("and",I4758)+3,1),20),"second(s)","")),0)</f>
        <v/>
      </c>
      <c r="K4758" s="41">
        <f>J4758/60</f>
        <v/>
      </c>
      <c r="L4758" s="41">
        <f>IFERROR(J4758/H4758,"")</f>
        <v/>
      </c>
      <c r="M4758" s="25" t="inlineStr">
        <is>
          <t>2.5.12</t>
        </is>
      </c>
      <c r="N4758" s="25">
        <f>IF(J4758&gt;300,1,0)</f>
        <v/>
      </c>
      <c r="O4758" s="25">
        <f>IF(J4758&gt;600,1,0)</f>
        <v/>
      </c>
      <c r="P4758" s="25">
        <f>IF(H4758&gt;0,J4758,"")</f>
        <v/>
      </c>
      <c r="Q4758" s="25">
        <f>TEXT(A4758,"YYYY-MM-DD HH")</f>
        <v/>
      </c>
      <c r="R4758" s="25">
        <f>COUNTIF($Q$2:$Q$5295,Q4758)</f>
        <v/>
      </c>
      <c r="S4758" s="25">
        <f>IF(R4758&lt;=2,"1-2",IF(R4758&lt;=5,"3-5",IF(R4758&lt;=10,"6-10","11+")))</f>
        <v/>
      </c>
    </row>
    <row r="4759">
      <c r="A4759" s="39" t="n">
        <v>46227.32324074074</v>
      </c>
      <c r="B4759" s="25">
        <f>TEXT(A4759,"YYYY-MM")</f>
        <v/>
      </c>
      <c r="C4759" s="25">
        <f>TEXT(A4759,"MMM-YYYY")</f>
        <v/>
      </c>
      <c r="D4759" s="40">
        <f>INT(A4759)-WEEKDAY(A4759,2)+1</f>
        <v/>
      </c>
      <c r="E4759" s="25" t="inlineStr">
        <is>
          <t>dbhattacharyya</t>
        </is>
      </c>
      <c r="F4759" s="25" t="n">
        <v>130822</v>
      </c>
      <c r="G4759" s="25" t="n">
        <v>4</v>
      </c>
      <c r="H4759" s="25" t="n">
        <v>26</v>
      </c>
      <c r="I4759" s="25" t="inlineStr">
        <is>
          <t>2 minute(s) and 30 second(s)</t>
        </is>
      </c>
      <c r="J4759" s="25">
        <f>IFERROR(VALUE(TRIM(LEFT(I4759,FIND("minute",I4759)-1)))*60,0)+IFERROR(VALUE(SUBSTITUTE(MID(I4759,IFERROR(FIND("and",I4759)+3,1),20),"second(s)","")),0)</f>
        <v/>
      </c>
      <c r="K4759" s="41">
        <f>J4759/60</f>
        <v/>
      </c>
      <c r="L4759" s="41">
        <f>IFERROR(J4759/H4759,"")</f>
        <v/>
      </c>
      <c r="M4759" s="25" t="inlineStr">
        <is>
          <t>2.5.12</t>
        </is>
      </c>
      <c r="N4759" s="25">
        <f>IF(J4759&gt;300,1,0)</f>
        <v/>
      </c>
      <c r="O4759" s="25">
        <f>IF(J4759&gt;600,1,0)</f>
        <v/>
      </c>
      <c r="P4759" s="25">
        <f>IF(H4759&gt;0,J4759,"")</f>
        <v/>
      </c>
      <c r="Q4759" s="25">
        <f>TEXT(A4759,"YYYY-MM-DD HH")</f>
        <v/>
      </c>
      <c r="R4759" s="25">
        <f>COUNTIF($Q$2:$Q$5295,Q4759)</f>
        <v/>
      </c>
      <c r="S4759" s="25">
        <f>IF(R4759&lt;=2,"1-2",IF(R4759&lt;=5,"3-5",IF(R4759&lt;=10,"6-10","11+")))</f>
        <v/>
      </c>
    </row>
    <row r="4760">
      <c r="A4760" s="39" t="n">
        <v>46227.3233912037</v>
      </c>
      <c r="B4760" s="25">
        <f>TEXT(A4760,"YYYY-MM")</f>
        <v/>
      </c>
      <c r="C4760" s="25">
        <f>TEXT(A4760,"MMM-YYYY")</f>
        <v/>
      </c>
      <c r="D4760" s="40">
        <f>INT(A4760)-WEEKDAY(A4760,2)+1</f>
        <v/>
      </c>
      <c r="E4760" s="25" t="inlineStr">
        <is>
          <t>ajain</t>
        </is>
      </c>
      <c r="F4760" s="25" t="n">
        <v>132344</v>
      </c>
      <c r="G4760" s="25" t="n">
        <v>3</v>
      </c>
      <c r="H4760" s="25" t="n">
        <v>15</v>
      </c>
      <c r="I4760" s="25" t="inlineStr">
        <is>
          <t>1 minute(s) and 12 second(s)</t>
        </is>
      </c>
      <c r="J4760" s="25">
        <f>IFERROR(VALUE(TRIM(LEFT(I4760,FIND("minute",I4760)-1)))*60,0)+IFERROR(VALUE(SUBSTITUTE(MID(I4760,IFERROR(FIND("and",I4760)+3,1),20),"second(s)","")),0)</f>
        <v/>
      </c>
      <c r="K4760" s="41">
        <f>J4760/60</f>
        <v/>
      </c>
      <c r="L4760" s="41">
        <f>IFERROR(J4760/H4760,"")</f>
        <v/>
      </c>
      <c r="M4760" s="25" t="inlineStr">
        <is>
          <t>2.5.12</t>
        </is>
      </c>
      <c r="N4760" s="25">
        <f>IF(J4760&gt;300,1,0)</f>
        <v/>
      </c>
      <c r="O4760" s="25">
        <f>IF(J4760&gt;600,1,0)</f>
        <v/>
      </c>
      <c r="P4760" s="25">
        <f>IF(H4760&gt;0,J4760,"")</f>
        <v/>
      </c>
      <c r="Q4760" s="25">
        <f>TEXT(A4760,"YYYY-MM-DD HH")</f>
        <v/>
      </c>
      <c r="R4760" s="25">
        <f>COUNTIF($Q$2:$Q$5295,Q4760)</f>
        <v/>
      </c>
      <c r="S4760" s="25">
        <f>IF(R4760&lt;=2,"1-2",IF(R4760&lt;=5,"3-5",IF(R4760&lt;=10,"6-10","11+")))</f>
        <v/>
      </c>
    </row>
    <row r="4761">
      <c r="A4761" s="39" t="n">
        <v>46227.33190972222</v>
      </c>
      <c r="B4761" s="25">
        <f>TEXT(A4761,"YYYY-MM")</f>
        <v/>
      </c>
      <c r="C4761" s="25">
        <f>TEXT(A4761,"MMM-YYYY")</f>
        <v/>
      </c>
      <c r="D4761" s="40">
        <f>INT(A4761)-WEEKDAY(A4761,2)+1</f>
        <v/>
      </c>
      <c r="E4761" s="25" t="inlineStr">
        <is>
          <t>aghosh</t>
        </is>
      </c>
      <c r="F4761" s="25" t="n">
        <v>128446</v>
      </c>
      <c r="G4761" s="25" t="n">
        <v>2</v>
      </c>
      <c r="H4761" s="25" t="n">
        <v>12</v>
      </c>
      <c r="I4761" s="25" t="inlineStr">
        <is>
          <t>2 minute(s) and 1 second(s)</t>
        </is>
      </c>
      <c r="J4761" s="25">
        <f>IFERROR(VALUE(TRIM(LEFT(I4761,FIND("minute",I4761)-1)))*60,0)+IFERROR(VALUE(SUBSTITUTE(MID(I4761,IFERROR(FIND("and",I4761)+3,1),20),"second(s)","")),0)</f>
        <v/>
      </c>
      <c r="K4761" s="41">
        <f>J4761/60</f>
        <v/>
      </c>
      <c r="L4761" s="41">
        <f>IFERROR(J4761/H4761,"")</f>
        <v/>
      </c>
      <c r="M4761" s="25" t="inlineStr">
        <is>
          <t>2.5.12</t>
        </is>
      </c>
      <c r="N4761" s="25">
        <f>IF(J4761&gt;300,1,0)</f>
        <v/>
      </c>
      <c r="O4761" s="25">
        <f>IF(J4761&gt;600,1,0)</f>
        <v/>
      </c>
      <c r="P4761" s="25">
        <f>IF(H4761&gt;0,J4761,"")</f>
        <v/>
      </c>
      <c r="Q4761" s="25">
        <f>TEXT(A4761,"YYYY-MM-DD HH")</f>
        <v/>
      </c>
      <c r="R4761" s="25">
        <f>COUNTIF($Q$2:$Q$5295,Q4761)</f>
        <v/>
      </c>
      <c r="S4761" s="25">
        <f>IF(R4761&lt;=2,"1-2",IF(R4761&lt;=5,"3-5",IF(R4761&lt;=10,"6-10","11+")))</f>
        <v/>
      </c>
    </row>
    <row r="4762">
      <c r="A4762" s="39" t="n">
        <v>46227.33783564815</v>
      </c>
      <c r="B4762" s="25">
        <f>TEXT(A4762,"YYYY-MM")</f>
        <v/>
      </c>
      <c r="C4762" s="25">
        <f>TEXT(A4762,"MMM-YYYY")</f>
        <v/>
      </c>
      <c r="D4762" s="40">
        <f>INT(A4762)-WEEKDAY(A4762,2)+1</f>
        <v/>
      </c>
      <c r="E4762" s="25" t="inlineStr">
        <is>
          <t>sdey</t>
        </is>
      </c>
      <c r="F4762" s="25" t="n">
        <v>131979</v>
      </c>
      <c r="G4762" s="25" t="n">
        <v>4</v>
      </c>
      <c r="H4762" s="25" t="n">
        <v>14</v>
      </c>
      <c r="I4762" s="25" t="inlineStr">
        <is>
          <t>1 minute(s) and 59 second(s)</t>
        </is>
      </c>
      <c r="J4762" s="25">
        <f>IFERROR(VALUE(TRIM(LEFT(I4762,FIND("minute",I4762)-1)))*60,0)+IFERROR(VALUE(SUBSTITUTE(MID(I4762,IFERROR(FIND("and",I4762)+3,1),20),"second(s)","")),0)</f>
        <v/>
      </c>
      <c r="K4762" s="41">
        <f>J4762/60</f>
        <v/>
      </c>
      <c r="L4762" s="41">
        <f>IFERROR(J4762/H4762,"")</f>
        <v/>
      </c>
      <c r="M4762" s="25" t="inlineStr">
        <is>
          <t>2.5.12</t>
        </is>
      </c>
      <c r="N4762" s="25">
        <f>IF(J4762&gt;300,1,0)</f>
        <v/>
      </c>
      <c r="O4762" s="25">
        <f>IF(J4762&gt;600,1,0)</f>
        <v/>
      </c>
      <c r="P4762" s="25">
        <f>IF(H4762&gt;0,J4762,"")</f>
        <v/>
      </c>
      <c r="Q4762" s="25">
        <f>TEXT(A4762,"YYYY-MM-DD HH")</f>
        <v/>
      </c>
      <c r="R4762" s="25">
        <f>COUNTIF($Q$2:$Q$5295,Q4762)</f>
        <v/>
      </c>
      <c r="S4762" s="25">
        <f>IF(R4762&lt;=2,"1-2",IF(R4762&lt;=5,"3-5",IF(R4762&lt;=10,"6-10","11+")))</f>
        <v/>
      </c>
    </row>
    <row r="4763">
      <c r="A4763" s="39" t="n">
        <v>46227.3403125</v>
      </c>
      <c r="B4763" s="25">
        <f>TEXT(A4763,"YYYY-MM")</f>
        <v/>
      </c>
      <c r="C4763" s="25">
        <f>TEXT(A4763,"MMM-YYYY")</f>
        <v/>
      </c>
      <c r="D4763" s="40">
        <f>INT(A4763)-WEEKDAY(A4763,2)+1</f>
        <v/>
      </c>
      <c r="E4763" s="25" t="inlineStr">
        <is>
          <t>ns</t>
        </is>
      </c>
      <c r="F4763" s="25" t="n">
        <v>131352</v>
      </c>
      <c r="G4763" s="25" t="n">
        <v>1</v>
      </c>
      <c r="H4763" s="25" t="n">
        <v>5</v>
      </c>
      <c r="I4763" s="25" t="inlineStr">
        <is>
          <t>25 second(s)</t>
        </is>
      </c>
      <c r="J4763" s="25">
        <f>IFERROR(VALUE(TRIM(LEFT(I4763,FIND("minute",I4763)-1)))*60,0)+IFERROR(VALUE(SUBSTITUTE(MID(I4763,IFERROR(FIND("and",I4763)+3,1),20),"second(s)","")),0)</f>
        <v/>
      </c>
      <c r="K4763" s="41">
        <f>J4763/60</f>
        <v/>
      </c>
      <c r="L4763" s="41">
        <f>IFERROR(J4763/H4763,"")</f>
        <v/>
      </c>
      <c r="M4763" s="25" t="inlineStr">
        <is>
          <t>2.5.12</t>
        </is>
      </c>
      <c r="N4763" s="25">
        <f>IF(J4763&gt;300,1,0)</f>
        <v/>
      </c>
      <c r="O4763" s="25">
        <f>IF(J4763&gt;600,1,0)</f>
        <v/>
      </c>
      <c r="P4763" s="25">
        <f>IF(H4763&gt;0,J4763,"")</f>
        <v/>
      </c>
      <c r="Q4763" s="25">
        <f>TEXT(A4763,"YYYY-MM-DD HH")</f>
        <v/>
      </c>
      <c r="R4763" s="25">
        <f>COUNTIF($Q$2:$Q$5295,Q4763)</f>
        <v/>
      </c>
      <c r="S4763" s="25">
        <f>IF(R4763&lt;=2,"1-2",IF(R4763&lt;=5,"3-5",IF(R4763&lt;=10,"6-10","11+")))</f>
        <v/>
      </c>
    </row>
    <row r="4764">
      <c r="A4764" s="39" t="n">
        <v>46227.34648148148</v>
      </c>
      <c r="B4764" s="25">
        <f>TEXT(A4764,"YYYY-MM")</f>
        <v/>
      </c>
      <c r="C4764" s="25">
        <f>TEXT(A4764,"MMM-YYYY")</f>
        <v/>
      </c>
      <c r="D4764" s="40">
        <f>INT(A4764)-WEEKDAY(A4764,2)+1</f>
        <v/>
      </c>
      <c r="E4764" s="25" t="inlineStr">
        <is>
          <t>ssneha</t>
        </is>
      </c>
      <c r="F4764" s="25" t="n">
        <v>131394</v>
      </c>
      <c r="G4764" s="25" t="n">
        <v>4</v>
      </c>
      <c r="H4764" s="25" t="n">
        <v>22</v>
      </c>
      <c r="I4764" s="25" t="inlineStr">
        <is>
          <t>4 minute(s) and 14 second(s)</t>
        </is>
      </c>
      <c r="J4764" s="25">
        <f>IFERROR(VALUE(TRIM(LEFT(I4764,FIND("minute",I4764)-1)))*60,0)+IFERROR(VALUE(SUBSTITUTE(MID(I4764,IFERROR(FIND("and",I4764)+3,1),20),"second(s)","")),0)</f>
        <v/>
      </c>
      <c r="K4764" s="41">
        <f>J4764/60</f>
        <v/>
      </c>
      <c r="L4764" s="41">
        <f>IFERROR(J4764/H4764,"")</f>
        <v/>
      </c>
      <c r="M4764" s="25" t="inlineStr">
        <is>
          <t>2.5.12</t>
        </is>
      </c>
      <c r="N4764" s="25">
        <f>IF(J4764&gt;300,1,0)</f>
        <v/>
      </c>
      <c r="O4764" s="25">
        <f>IF(J4764&gt;600,1,0)</f>
        <v/>
      </c>
      <c r="P4764" s="25">
        <f>IF(H4764&gt;0,J4764,"")</f>
        <v/>
      </c>
      <c r="Q4764" s="25">
        <f>TEXT(A4764,"YYYY-MM-DD HH")</f>
        <v/>
      </c>
      <c r="R4764" s="25">
        <f>COUNTIF($Q$2:$Q$5295,Q4764)</f>
        <v/>
      </c>
      <c r="S4764" s="25">
        <f>IF(R4764&lt;=2,"1-2",IF(R4764&lt;=5,"3-5",IF(R4764&lt;=10,"6-10","11+")))</f>
        <v/>
      </c>
    </row>
    <row r="4765">
      <c r="A4765" s="39" t="n">
        <v>46227.3483449074</v>
      </c>
      <c r="B4765" s="25">
        <f>TEXT(A4765,"YYYY-MM")</f>
        <v/>
      </c>
      <c r="C4765" s="25">
        <f>TEXT(A4765,"MMM-YYYY")</f>
        <v/>
      </c>
      <c r="D4765" s="40">
        <f>INT(A4765)-WEEKDAY(A4765,2)+1</f>
        <v/>
      </c>
      <c r="E4765" s="25" t="inlineStr">
        <is>
          <t>npriya</t>
        </is>
      </c>
      <c r="F4765" s="25" t="n">
        <v>132927</v>
      </c>
      <c r="G4765" s="25" t="n">
        <v>4</v>
      </c>
      <c r="H4765" s="25" t="n">
        <v>16</v>
      </c>
      <c r="I4765" s="25" t="inlineStr">
        <is>
          <t>2 minute(s) and 41 second(s)</t>
        </is>
      </c>
      <c r="J4765" s="25">
        <f>IFERROR(VALUE(TRIM(LEFT(I4765,FIND("minute",I4765)-1)))*60,0)+IFERROR(VALUE(SUBSTITUTE(MID(I4765,IFERROR(FIND("and",I4765)+3,1),20),"second(s)","")),0)</f>
        <v/>
      </c>
      <c r="K4765" s="41">
        <f>J4765/60</f>
        <v/>
      </c>
      <c r="L4765" s="41">
        <f>IFERROR(J4765/H4765,"")</f>
        <v/>
      </c>
      <c r="M4765" s="25" t="inlineStr">
        <is>
          <t>2.5.12</t>
        </is>
      </c>
      <c r="N4765" s="25">
        <f>IF(J4765&gt;300,1,0)</f>
        <v/>
      </c>
      <c r="O4765" s="25">
        <f>IF(J4765&gt;600,1,0)</f>
        <v/>
      </c>
      <c r="P4765" s="25">
        <f>IF(H4765&gt;0,J4765,"")</f>
        <v/>
      </c>
      <c r="Q4765" s="25">
        <f>TEXT(A4765,"YYYY-MM-DD HH")</f>
        <v/>
      </c>
      <c r="R4765" s="25">
        <f>COUNTIF($Q$2:$Q$5295,Q4765)</f>
        <v/>
      </c>
      <c r="S4765" s="25">
        <f>IF(R4765&lt;=2,"1-2",IF(R4765&lt;=5,"3-5",IF(R4765&lt;=10,"6-10","11+")))</f>
        <v/>
      </c>
    </row>
    <row r="4766">
      <c r="A4766" s="39" t="n">
        <v>46227.35248842592</v>
      </c>
      <c r="B4766" s="25">
        <f>TEXT(A4766,"YYYY-MM")</f>
        <v/>
      </c>
      <c r="C4766" s="25">
        <f>TEXT(A4766,"MMM-YYYY")</f>
        <v/>
      </c>
      <c r="D4766" s="40">
        <f>INT(A4766)-WEEKDAY(A4766,2)+1</f>
        <v/>
      </c>
      <c r="E4766" s="25" t="inlineStr">
        <is>
          <t>shassan</t>
        </is>
      </c>
      <c r="F4766" s="25" t="n">
        <v>130440</v>
      </c>
      <c r="G4766" s="25" t="n">
        <v>2</v>
      </c>
      <c r="H4766" s="25" t="n">
        <v>12</v>
      </c>
      <c r="I4766" s="25" t="inlineStr">
        <is>
          <t>1 minute(s) and 40 second(s)</t>
        </is>
      </c>
      <c r="J4766" s="25">
        <f>IFERROR(VALUE(TRIM(LEFT(I4766,FIND("minute",I4766)-1)))*60,0)+IFERROR(VALUE(SUBSTITUTE(MID(I4766,IFERROR(FIND("and",I4766)+3,1),20),"second(s)","")),0)</f>
        <v/>
      </c>
      <c r="K4766" s="41">
        <f>J4766/60</f>
        <v/>
      </c>
      <c r="L4766" s="41">
        <f>IFERROR(J4766/H4766,"")</f>
        <v/>
      </c>
      <c r="M4766" s="25" t="inlineStr">
        <is>
          <t>2.5.12</t>
        </is>
      </c>
      <c r="N4766" s="25">
        <f>IF(J4766&gt;300,1,0)</f>
        <v/>
      </c>
      <c r="O4766" s="25">
        <f>IF(J4766&gt;600,1,0)</f>
        <v/>
      </c>
      <c r="P4766" s="25">
        <f>IF(H4766&gt;0,J4766,"")</f>
        <v/>
      </c>
      <c r="Q4766" s="25">
        <f>TEXT(A4766,"YYYY-MM-DD HH")</f>
        <v/>
      </c>
      <c r="R4766" s="25">
        <f>COUNTIF($Q$2:$Q$5295,Q4766)</f>
        <v/>
      </c>
      <c r="S4766" s="25">
        <f>IF(R4766&lt;=2,"1-2",IF(R4766&lt;=5,"3-5",IF(R4766&lt;=10,"6-10","11+")))</f>
        <v/>
      </c>
    </row>
    <row r="4767">
      <c r="A4767" s="39" t="n">
        <v>46227.35285879629</v>
      </c>
      <c r="B4767" s="25">
        <f>TEXT(A4767,"YYYY-MM")</f>
        <v/>
      </c>
      <c r="C4767" s="25">
        <f>TEXT(A4767,"MMM-YYYY")</f>
        <v/>
      </c>
      <c r="D4767" s="40">
        <f>INT(A4767)-WEEKDAY(A4767,2)+1</f>
        <v/>
      </c>
      <c r="E4767" s="25" t="inlineStr">
        <is>
          <t>dchoudhury</t>
        </is>
      </c>
      <c r="F4767" s="25" t="n">
        <v>128702</v>
      </c>
      <c r="G4767" s="25" t="n">
        <v>2</v>
      </c>
      <c r="H4767" s="25" t="n">
        <v>11</v>
      </c>
      <c r="I4767" s="25" t="inlineStr">
        <is>
          <t>1 minute(s) and 13 second(s)</t>
        </is>
      </c>
      <c r="J4767" s="25">
        <f>IFERROR(VALUE(TRIM(LEFT(I4767,FIND("minute",I4767)-1)))*60,0)+IFERROR(VALUE(SUBSTITUTE(MID(I4767,IFERROR(FIND("and",I4767)+3,1),20),"second(s)","")),0)</f>
        <v/>
      </c>
      <c r="K4767" s="41">
        <f>J4767/60</f>
        <v/>
      </c>
      <c r="L4767" s="41">
        <f>IFERROR(J4767/H4767,"")</f>
        <v/>
      </c>
      <c r="M4767" s="25" t="inlineStr">
        <is>
          <t>2.5.12</t>
        </is>
      </c>
      <c r="N4767" s="25">
        <f>IF(J4767&gt;300,1,0)</f>
        <v/>
      </c>
      <c r="O4767" s="25">
        <f>IF(J4767&gt;600,1,0)</f>
        <v/>
      </c>
      <c r="P4767" s="25">
        <f>IF(H4767&gt;0,J4767,"")</f>
        <v/>
      </c>
      <c r="Q4767" s="25">
        <f>TEXT(A4767,"YYYY-MM-DD HH")</f>
        <v/>
      </c>
      <c r="R4767" s="25">
        <f>COUNTIF($Q$2:$Q$5295,Q4767)</f>
        <v/>
      </c>
      <c r="S4767" s="25">
        <f>IF(R4767&lt;=2,"1-2",IF(R4767&lt;=5,"3-5",IF(R4767&lt;=10,"6-10","11+")))</f>
        <v/>
      </c>
    </row>
    <row r="4768">
      <c r="A4768" s="39" t="n">
        <v>46227.35685185185</v>
      </c>
      <c r="B4768" s="25">
        <f>TEXT(A4768,"YYYY-MM")</f>
        <v/>
      </c>
      <c r="C4768" s="25">
        <f>TEXT(A4768,"MMM-YYYY")</f>
        <v/>
      </c>
      <c r="D4768" s="40">
        <f>INT(A4768)-WEEKDAY(A4768,2)+1</f>
        <v/>
      </c>
      <c r="E4768" s="25" t="inlineStr">
        <is>
          <t>pgautam</t>
        </is>
      </c>
      <c r="F4768" s="25" t="n">
        <v>131870</v>
      </c>
      <c r="G4768" s="25" t="n">
        <v>3</v>
      </c>
      <c r="H4768" s="25" t="n">
        <v>15</v>
      </c>
      <c r="I4768" s="25" t="inlineStr">
        <is>
          <t>1 minute(s) and 19 second(s)</t>
        </is>
      </c>
      <c r="J4768" s="25">
        <f>IFERROR(VALUE(TRIM(LEFT(I4768,FIND("minute",I4768)-1)))*60,0)+IFERROR(VALUE(SUBSTITUTE(MID(I4768,IFERROR(FIND("and",I4768)+3,1),20),"second(s)","")),0)</f>
        <v/>
      </c>
      <c r="K4768" s="41">
        <f>J4768/60</f>
        <v/>
      </c>
      <c r="L4768" s="41">
        <f>IFERROR(J4768/H4768,"")</f>
        <v/>
      </c>
      <c r="M4768" s="25" t="inlineStr">
        <is>
          <t>2.5.12</t>
        </is>
      </c>
      <c r="N4768" s="25">
        <f>IF(J4768&gt;300,1,0)</f>
        <v/>
      </c>
      <c r="O4768" s="25">
        <f>IF(J4768&gt;600,1,0)</f>
        <v/>
      </c>
      <c r="P4768" s="25">
        <f>IF(H4768&gt;0,J4768,"")</f>
        <v/>
      </c>
      <c r="Q4768" s="25">
        <f>TEXT(A4768,"YYYY-MM-DD HH")</f>
        <v/>
      </c>
      <c r="R4768" s="25">
        <f>COUNTIF($Q$2:$Q$5295,Q4768)</f>
        <v/>
      </c>
      <c r="S4768" s="25">
        <f>IF(R4768&lt;=2,"1-2",IF(R4768&lt;=5,"3-5",IF(R4768&lt;=10,"6-10","11+")))</f>
        <v/>
      </c>
    </row>
    <row r="4769">
      <c r="A4769" s="39" t="n">
        <v>46227.36305555556</v>
      </c>
      <c r="B4769" s="25">
        <f>TEXT(A4769,"YYYY-MM")</f>
        <v/>
      </c>
      <c r="C4769" s="25">
        <f>TEXT(A4769,"MMM-YYYY")</f>
        <v/>
      </c>
      <c r="D4769" s="40">
        <f>INT(A4769)-WEEKDAY(A4769,2)+1</f>
        <v/>
      </c>
      <c r="E4769" s="25" t="inlineStr">
        <is>
          <t>aupadhayay</t>
        </is>
      </c>
      <c r="F4769" s="25" t="n">
        <v>128230</v>
      </c>
      <c r="G4769" s="25" t="n">
        <v>4</v>
      </c>
      <c r="H4769" s="25" t="n">
        <v>24</v>
      </c>
      <c r="I4769" s="25" t="inlineStr">
        <is>
          <t>2 minute(s) and 54 second(s)</t>
        </is>
      </c>
      <c r="J4769" s="25">
        <f>IFERROR(VALUE(TRIM(LEFT(I4769,FIND("minute",I4769)-1)))*60,0)+IFERROR(VALUE(SUBSTITUTE(MID(I4769,IFERROR(FIND("and",I4769)+3,1),20),"second(s)","")),0)</f>
        <v/>
      </c>
      <c r="K4769" s="41">
        <f>J4769/60</f>
        <v/>
      </c>
      <c r="L4769" s="41">
        <f>IFERROR(J4769/H4769,"")</f>
        <v/>
      </c>
      <c r="M4769" s="25" t="inlineStr">
        <is>
          <t>2.5.12</t>
        </is>
      </c>
      <c r="N4769" s="25">
        <f>IF(J4769&gt;300,1,0)</f>
        <v/>
      </c>
      <c r="O4769" s="25">
        <f>IF(J4769&gt;600,1,0)</f>
        <v/>
      </c>
      <c r="P4769" s="25">
        <f>IF(H4769&gt;0,J4769,"")</f>
        <v/>
      </c>
      <c r="Q4769" s="25">
        <f>TEXT(A4769,"YYYY-MM-DD HH")</f>
        <v/>
      </c>
      <c r="R4769" s="25">
        <f>COUNTIF($Q$2:$Q$5295,Q4769)</f>
        <v/>
      </c>
      <c r="S4769" s="25">
        <f>IF(R4769&lt;=2,"1-2",IF(R4769&lt;=5,"3-5",IF(R4769&lt;=10,"6-10","11+")))</f>
        <v/>
      </c>
    </row>
    <row r="4770">
      <c r="A4770" s="39" t="n">
        <v>46227.3646875</v>
      </c>
      <c r="B4770" s="25">
        <f>TEXT(A4770,"YYYY-MM")</f>
        <v/>
      </c>
      <c r="C4770" s="25">
        <f>TEXT(A4770,"MMM-YYYY")</f>
        <v/>
      </c>
      <c r="D4770" s="40">
        <f>INT(A4770)-WEEKDAY(A4770,2)+1</f>
        <v/>
      </c>
      <c r="E4770" s="25" t="inlineStr">
        <is>
          <t>atiwari</t>
        </is>
      </c>
      <c r="F4770" s="25" t="n">
        <v>130026</v>
      </c>
      <c r="G4770" s="25" t="n">
        <v>2</v>
      </c>
      <c r="H4770" s="25" t="n">
        <v>10</v>
      </c>
      <c r="I4770" s="25" t="inlineStr">
        <is>
          <t>1 minute(s) and 11 second(s)</t>
        </is>
      </c>
      <c r="J4770" s="25">
        <f>IFERROR(VALUE(TRIM(LEFT(I4770,FIND("minute",I4770)-1)))*60,0)+IFERROR(VALUE(SUBSTITUTE(MID(I4770,IFERROR(FIND("and",I4770)+3,1),20),"second(s)","")),0)</f>
        <v/>
      </c>
      <c r="K4770" s="41">
        <f>J4770/60</f>
        <v/>
      </c>
      <c r="L4770" s="41">
        <f>IFERROR(J4770/H4770,"")</f>
        <v/>
      </c>
      <c r="M4770" s="25" t="inlineStr">
        <is>
          <t>2.5.12</t>
        </is>
      </c>
      <c r="N4770" s="25">
        <f>IF(J4770&gt;300,1,0)</f>
        <v/>
      </c>
      <c r="O4770" s="25">
        <f>IF(J4770&gt;600,1,0)</f>
        <v/>
      </c>
      <c r="P4770" s="25">
        <f>IF(H4770&gt;0,J4770,"")</f>
        <v/>
      </c>
      <c r="Q4770" s="25">
        <f>TEXT(A4770,"YYYY-MM-DD HH")</f>
        <v/>
      </c>
      <c r="R4770" s="25">
        <f>COUNTIF($Q$2:$Q$5295,Q4770)</f>
        <v/>
      </c>
      <c r="S4770" s="25">
        <f>IF(R4770&lt;=2,"1-2",IF(R4770&lt;=5,"3-5",IF(R4770&lt;=10,"6-10","11+")))</f>
        <v/>
      </c>
    </row>
    <row r="4771">
      <c r="A4771" s="39" t="n">
        <v>46227.37063657407</v>
      </c>
      <c r="B4771" s="25">
        <f>TEXT(A4771,"YYYY-MM")</f>
        <v/>
      </c>
      <c r="C4771" s="25">
        <f>TEXT(A4771,"MMM-YYYY")</f>
        <v/>
      </c>
      <c r="D4771" s="40">
        <f>INT(A4771)-WEEKDAY(A4771,2)+1</f>
        <v/>
      </c>
      <c r="E4771" s="25" t="inlineStr">
        <is>
          <t>sswati</t>
        </is>
      </c>
      <c r="F4771" s="25" t="n">
        <v>132791</v>
      </c>
      <c r="G4771" s="25" t="n">
        <v>1</v>
      </c>
      <c r="H4771" s="25" t="n">
        <v>7</v>
      </c>
      <c r="I4771" s="25" t="inlineStr">
        <is>
          <t>36 second(s)</t>
        </is>
      </c>
      <c r="J4771" s="25">
        <f>IFERROR(VALUE(TRIM(LEFT(I4771,FIND("minute",I4771)-1)))*60,0)+IFERROR(VALUE(SUBSTITUTE(MID(I4771,IFERROR(FIND("and",I4771)+3,1),20),"second(s)","")),0)</f>
        <v/>
      </c>
      <c r="K4771" s="41">
        <f>J4771/60</f>
        <v/>
      </c>
      <c r="L4771" s="41">
        <f>IFERROR(J4771/H4771,"")</f>
        <v/>
      </c>
      <c r="M4771" s="25" t="inlineStr">
        <is>
          <t>2.5.12</t>
        </is>
      </c>
      <c r="N4771" s="25">
        <f>IF(J4771&gt;300,1,0)</f>
        <v/>
      </c>
      <c r="O4771" s="25">
        <f>IF(J4771&gt;600,1,0)</f>
        <v/>
      </c>
      <c r="P4771" s="25">
        <f>IF(H4771&gt;0,J4771,"")</f>
        <v/>
      </c>
      <c r="Q4771" s="25">
        <f>TEXT(A4771,"YYYY-MM-DD HH")</f>
        <v/>
      </c>
      <c r="R4771" s="25">
        <f>COUNTIF($Q$2:$Q$5295,Q4771)</f>
        <v/>
      </c>
      <c r="S4771" s="25">
        <f>IF(R4771&lt;=2,"1-2",IF(R4771&lt;=5,"3-5",IF(R4771&lt;=10,"6-10","11+")))</f>
        <v/>
      </c>
    </row>
    <row r="4772">
      <c r="A4772" s="39" t="n">
        <v>46227.37503472222</v>
      </c>
      <c r="B4772" s="25">
        <f>TEXT(A4772,"YYYY-MM")</f>
        <v/>
      </c>
      <c r="C4772" s="25">
        <f>TEXT(A4772,"MMM-YYYY")</f>
        <v/>
      </c>
      <c r="D4772" s="40">
        <f>INT(A4772)-WEEKDAY(A4772,2)+1</f>
        <v/>
      </c>
      <c r="E4772" s="25" t="inlineStr">
        <is>
          <t>sthomas</t>
        </is>
      </c>
      <c r="F4772" s="25" t="n">
        <v>132702</v>
      </c>
      <c r="G4772" s="25" t="n">
        <v>4</v>
      </c>
      <c r="H4772" s="25" t="n">
        <v>21</v>
      </c>
      <c r="I4772" s="25" t="inlineStr">
        <is>
          <t>2 minute(s) and 38 second(s)</t>
        </is>
      </c>
      <c r="J4772" s="25">
        <f>IFERROR(VALUE(TRIM(LEFT(I4772,FIND("minute",I4772)-1)))*60,0)+IFERROR(VALUE(SUBSTITUTE(MID(I4772,IFERROR(FIND("and",I4772)+3,1),20),"second(s)","")),0)</f>
        <v/>
      </c>
      <c r="K4772" s="41">
        <f>J4772/60</f>
        <v/>
      </c>
      <c r="L4772" s="41">
        <f>IFERROR(J4772/H4772,"")</f>
        <v/>
      </c>
      <c r="M4772" s="25" t="inlineStr">
        <is>
          <t>2.5.12</t>
        </is>
      </c>
      <c r="N4772" s="25">
        <f>IF(J4772&gt;300,1,0)</f>
        <v/>
      </c>
      <c r="O4772" s="25">
        <f>IF(J4772&gt;600,1,0)</f>
        <v/>
      </c>
      <c r="P4772" s="25">
        <f>IF(H4772&gt;0,J4772,"")</f>
        <v/>
      </c>
      <c r="Q4772" s="25">
        <f>TEXT(A4772,"YYYY-MM-DD HH")</f>
        <v/>
      </c>
      <c r="R4772" s="25">
        <f>COUNTIF($Q$2:$Q$5295,Q4772)</f>
        <v/>
      </c>
      <c r="S4772" s="25">
        <f>IF(R4772&lt;=2,"1-2",IF(R4772&lt;=5,"3-5",IF(R4772&lt;=10,"6-10","11+")))</f>
        <v/>
      </c>
    </row>
    <row r="4773">
      <c r="A4773" s="39" t="n">
        <v>46227.37523148148</v>
      </c>
      <c r="B4773" s="25">
        <f>TEXT(A4773,"YYYY-MM")</f>
        <v/>
      </c>
      <c r="C4773" s="25">
        <f>TEXT(A4773,"MMM-YYYY")</f>
        <v/>
      </c>
      <c r="D4773" s="40">
        <f>INT(A4773)-WEEKDAY(A4773,2)+1</f>
        <v/>
      </c>
      <c r="E4773" s="25" t="inlineStr">
        <is>
          <t>ajain</t>
        </is>
      </c>
      <c r="F4773" s="25" t="n">
        <v>128672</v>
      </c>
      <c r="G4773" s="25" t="n">
        <v>2</v>
      </c>
      <c r="H4773" s="25" t="n">
        <v>14</v>
      </c>
      <c r="I4773" s="25" t="inlineStr">
        <is>
          <t>1 minute(s) and 19 second(s)</t>
        </is>
      </c>
      <c r="J4773" s="25">
        <f>IFERROR(VALUE(TRIM(LEFT(I4773,FIND("minute",I4773)-1)))*60,0)+IFERROR(VALUE(SUBSTITUTE(MID(I4773,IFERROR(FIND("and",I4773)+3,1),20),"second(s)","")),0)</f>
        <v/>
      </c>
      <c r="K4773" s="41">
        <f>J4773/60</f>
        <v/>
      </c>
      <c r="L4773" s="41">
        <f>IFERROR(J4773/H4773,"")</f>
        <v/>
      </c>
      <c r="M4773" s="25" t="inlineStr">
        <is>
          <t>2.5.12</t>
        </is>
      </c>
      <c r="N4773" s="25">
        <f>IF(J4773&gt;300,1,0)</f>
        <v/>
      </c>
      <c r="O4773" s="25">
        <f>IF(J4773&gt;600,1,0)</f>
        <v/>
      </c>
      <c r="P4773" s="25">
        <f>IF(H4773&gt;0,J4773,"")</f>
        <v/>
      </c>
      <c r="Q4773" s="25">
        <f>TEXT(A4773,"YYYY-MM-DD HH")</f>
        <v/>
      </c>
      <c r="R4773" s="25">
        <f>COUNTIF($Q$2:$Q$5295,Q4773)</f>
        <v/>
      </c>
      <c r="S4773" s="25">
        <f>IF(R4773&lt;=2,"1-2",IF(R4773&lt;=5,"3-5",IF(R4773&lt;=10,"6-10","11+")))</f>
        <v/>
      </c>
    </row>
    <row r="4774">
      <c r="A4774" s="39" t="n">
        <v>46227.38085648148</v>
      </c>
      <c r="B4774" s="25">
        <f>TEXT(A4774,"YYYY-MM")</f>
        <v/>
      </c>
      <c r="C4774" s="25">
        <f>TEXT(A4774,"MMM-YYYY")</f>
        <v/>
      </c>
      <c r="D4774" s="40">
        <f>INT(A4774)-WEEKDAY(A4774,2)+1</f>
        <v/>
      </c>
      <c r="E4774" s="25" t="inlineStr">
        <is>
          <t>kkumar</t>
        </is>
      </c>
      <c r="F4774" s="25" t="n">
        <v>132480</v>
      </c>
      <c r="G4774" s="25" t="n">
        <v>4</v>
      </c>
      <c r="H4774" s="25" t="n">
        <v>26</v>
      </c>
      <c r="I4774" s="25" t="inlineStr">
        <is>
          <t>1 minute(s) and 46 second(s)</t>
        </is>
      </c>
      <c r="J4774" s="25">
        <f>IFERROR(VALUE(TRIM(LEFT(I4774,FIND("minute",I4774)-1)))*60,0)+IFERROR(VALUE(SUBSTITUTE(MID(I4774,IFERROR(FIND("and",I4774)+3,1),20),"second(s)","")),0)</f>
        <v/>
      </c>
      <c r="K4774" s="41">
        <f>J4774/60</f>
        <v/>
      </c>
      <c r="L4774" s="41">
        <f>IFERROR(J4774/H4774,"")</f>
        <v/>
      </c>
      <c r="M4774" s="25" t="inlineStr">
        <is>
          <t>2.5.12</t>
        </is>
      </c>
      <c r="N4774" s="25">
        <f>IF(J4774&gt;300,1,0)</f>
        <v/>
      </c>
      <c r="O4774" s="25">
        <f>IF(J4774&gt;600,1,0)</f>
        <v/>
      </c>
      <c r="P4774" s="25">
        <f>IF(H4774&gt;0,J4774,"")</f>
        <v/>
      </c>
      <c r="Q4774" s="25">
        <f>TEXT(A4774,"YYYY-MM-DD HH")</f>
        <v/>
      </c>
      <c r="R4774" s="25">
        <f>COUNTIF($Q$2:$Q$5295,Q4774)</f>
        <v/>
      </c>
      <c r="S4774" s="25">
        <f>IF(R4774&lt;=2,"1-2",IF(R4774&lt;=5,"3-5",IF(R4774&lt;=10,"6-10","11+")))</f>
        <v/>
      </c>
    </row>
    <row r="4775">
      <c r="A4775" s="39" t="n">
        <v>46227.38878472222</v>
      </c>
      <c r="B4775" s="25">
        <f>TEXT(A4775,"YYYY-MM")</f>
        <v/>
      </c>
      <c r="C4775" s="25">
        <f>TEXT(A4775,"MMM-YYYY")</f>
        <v/>
      </c>
      <c r="D4775" s="40">
        <f>INT(A4775)-WEEKDAY(A4775,2)+1</f>
        <v/>
      </c>
      <c r="E4775" s="25" t="inlineStr">
        <is>
          <t>ssrinivasan</t>
        </is>
      </c>
      <c r="F4775" s="25" t="n">
        <v>129296</v>
      </c>
      <c r="G4775" s="25" t="n">
        <v>3</v>
      </c>
      <c r="H4775" s="25" t="n">
        <v>20</v>
      </c>
      <c r="I4775" s="25" t="inlineStr">
        <is>
          <t>2 minute(s) and 9 second(s)</t>
        </is>
      </c>
      <c r="J4775" s="25">
        <f>IFERROR(VALUE(TRIM(LEFT(I4775,FIND("minute",I4775)-1)))*60,0)+IFERROR(VALUE(SUBSTITUTE(MID(I4775,IFERROR(FIND("and",I4775)+3,1),20),"second(s)","")),0)</f>
        <v/>
      </c>
      <c r="K4775" s="41">
        <f>J4775/60</f>
        <v/>
      </c>
      <c r="L4775" s="41">
        <f>IFERROR(J4775/H4775,"")</f>
        <v/>
      </c>
      <c r="M4775" s="25" t="inlineStr">
        <is>
          <t>2.5.12</t>
        </is>
      </c>
      <c r="N4775" s="25">
        <f>IF(J4775&gt;300,1,0)</f>
        <v/>
      </c>
      <c r="O4775" s="25">
        <f>IF(J4775&gt;600,1,0)</f>
        <v/>
      </c>
      <c r="P4775" s="25">
        <f>IF(H4775&gt;0,J4775,"")</f>
        <v/>
      </c>
      <c r="Q4775" s="25">
        <f>TEXT(A4775,"YYYY-MM-DD HH")</f>
        <v/>
      </c>
      <c r="R4775" s="25">
        <f>COUNTIF($Q$2:$Q$5295,Q4775)</f>
        <v/>
      </c>
      <c r="S4775" s="25">
        <f>IF(R4775&lt;=2,"1-2",IF(R4775&lt;=5,"3-5",IF(R4775&lt;=10,"6-10","11+")))</f>
        <v/>
      </c>
    </row>
    <row r="4776">
      <c r="A4776" s="39" t="n">
        <v>46227.39396990741</v>
      </c>
      <c r="B4776" s="25">
        <f>TEXT(A4776,"YYYY-MM")</f>
        <v/>
      </c>
      <c r="C4776" s="25">
        <f>TEXT(A4776,"MMM-YYYY")</f>
        <v/>
      </c>
      <c r="D4776" s="40">
        <f>INT(A4776)-WEEKDAY(A4776,2)+1</f>
        <v/>
      </c>
      <c r="E4776" s="25" t="inlineStr">
        <is>
          <t>kkumar</t>
        </is>
      </c>
      <c r="F4776" s="25" t="n">
        <v>132480</v>
      </c>
      <c r="G4776" s="25" t="n">
        <v>2</v>
      </c>
      <c r="H4776" s="25" t="n">
        <v>10</v>
      </c>
      <c r="I4776" s="25" t="inlineStr">
        <is>
          <t>45 second(s)</t>
        </is>
      </c>
      <c r="J4776" s="25">
        <f>IFERROR(VALUE(TRIM(LEFT(I4776,FIND("minute",I4776)-1)))*60,0)+IFERROR(VALUE(SUBSTITUTE(MID(I4776,IFERROR(FIND("and",I4776)+3,1),20),"second(s)","")),0)</f>
        <v/>
      </c>
      <c r="K4776" s="41">
        <f>J4776/60</f>
        <v/>
      </c>
      <c r="L4776" s="41">
        <f>IFERROR(J4776/H4776,"")</f>
        <v/>
      </c>
      <c r="M4776" s="25" t="inlineStr">
        <is>
          <t>2.5.12</t>
        </is>
      </c>
      <c r="N4776" s="25">
        <f>IF(J4776&gt;300,1,0)</f>
        <v/>
      </c>
      <c r="O4776" s="25">
        <f>IF(J4776&gt;600,1,0)</f>
        <v/>
      </c>
      <c r="P4776" s="25">
        <f>IF(H4776&gt;0,J4776,"")</f>
        <v/>
      </c>
      <c r="Q4776" s="25">
        <f>TEXT(A4776,"YYYY-MM-DD HH")</f>
        <v/>
      </c>
      <c r="R4776" s="25">
        <f>COUNTIF($Q$2:$Q$5295,Q4776)</f>
        <v/>
      </c>
      <c r="S4776" s="25">
        <f>IF(R4776&lt;=2,"1-2",IF(R4776&lt;=5,"3-5",IF(R4776&lt;=10,"6-10","11+")))</f>
        <v/>
      </c>
    </row>
    <row r="4777">
      <c r="A4777" s="39" t="n">
        <v>46227.39873842592</v>
      </c>
      <c r="B4777" s="25">
        <f>TEXT(A4777,"YYYY-MM")</f>
        <v/>
      </c>
      <c r="C4777" s="25">
        <f>TEXT(A4777,"MMM-YYYY")</f>
        <v/>
      </c>
      <c r="D4777" s="40">
        <f>INT(A4777)-WEEKDAY(A4777,2)+1</f>
        <v/>
      </c>
      <c r="E4777" s="25" t="inlineStr">
        <is>
          <t>aghosh</t>
        </is>
      </c>
      <c r="F4777" s="25" t="n">
        <v>128630</v>
      </c>
      <c r="G4777" s="25" t="n">
        <v>4</v>
      </c>
      <c r="H4777" s="25" t="n">
        <v>24</v>
      </c>
      <c r="I4777" s="25" t="inlineStr">
        <is>
          <t>2 minute(s) and 19 second(s)</t>
        </is>
      </c>
      <c r="J4777" s="25">
        <f>IFERROR(VALUE(TRIM(LEFT(I4777,FIND("minute",I4777)-1)))*60,0)+IFERROR(VALUE(SUBSTITUTE(MID(I4777,IFERROR(FIND("and",I4777)+3,1),20),"second(s)","")),0)</f>
        <v/>
      </c>
      <c r="K4777" s="41">
        <f>J4777/60</f>
        <v/>
      </c>
      <c r="L4777" s="41">
        <f>IFERROR(J4777/H4777,"")</f>
        <v/>
      </c>
      <c r="M4777" s="25" t="inlineStr">
        <is>
          <t>2.5.12</t>
        </is>
      </c>
      <c r="N4777" s="25">
        <f>IF(J4777&gt;300,1,0)</f>
        <v/>
      </c>
      <c r="O4777" s="25">
        <f>IF(J4777&gt;600,1,0)</f>
        <v/>
      </c>
      <c r="P4777" s="25">
        <f>IF(H4777&gt;0,J4777,"")</f>
        <v/>
      </c>
      <c r="Q4777" s="25">
        <f>TEXT(A4777,"YYYY-MM-DD HH")</f>
        <v/>
      </c>
      <c r="R4777" s="25">
        <f>COUNTIF($Q$2:$Q$5295,Q4777)</f>
        <v/>
      </c>
      <c r="S4777" s="25">
        <f>IF(R4777&lt;=2,"1-2",IF(R4777&lt;=5,"3-5",IF(R4777&lt;=10,"6-10","11+")))</f>
        <v/>
      </c>
    </row>
    <row r="4778">
      <c r="A4778" s="39" t="n">
        <v>46227.40148148148</v>
      </c>
      <c r="B4778" s="25">
        <f>TEXT(A4778,"YYYY-MM")</f>
        <v/>
      </c>
      <c r="C4778" s="25">
        <f>TEXT(A4778,"MMM-YYYY")</f>
        <v/>
      </c>
      <c r="D4778" s="40">
        <f>INT(A4778)-WEEKDAY(A4778,2)+1</f>
        <v/>
      </c>
      <c r="E4778" s="25" t="inlineStr">
        <is>
          <t>npriya</t>
        </is>
      </c>
      <c r="F4778" s="25" t="n">
        <v>132743</v>
      </c>
      <c r="G4778" s="25" t="n">
        <v>4</v>
      </c>
      <c r="H4778" s="25" t="n">
        <v>14</v>
      </c>
      <c r="I4778" s="25" t="inlineStr">
        <is>
          <t>1 minute(s) and 24 second(s)</t>
        </is>
      </c>
      <c r="J4778" s="25">
        <f>IFERROR(VALUE(TRIM(LEFT(I4778,FIND("minute",I4778)-1)))*60,0)+IFERROR(VALUE(SUBSTITUTE(MID(I4778,IFERROR(FIND("and",I4778)+3,1),20),"second(s)","")),0)</f>
        <v/>
      </c>
      <c r="K4778" s="41">
        <f>J4778/60</f>
        <v/>
      </c>
      <c r="L4778" s="41">
        <f>IFERROR(J4778/H4778,"")</f>
        <v/>
      </c>
      <c r="M4778" s="25" t="inlineStr">
        <is>
          <t>2.5.12</t>
        </is>
      </c>
      <c r="N4778" s="25">
        <f>IF(J4778&gt;300,1,0)</f>
        <v/>
      </c>
      <c r="O4778" s="25">
        <f>IF(J4778&gt;600,1,0)</f>
        <v/>
      </c>
      <c r="P4778" s="25">
        <f>IF(H4778&gt;0,J4778,"")</f>
        <v/>
      </c>
      <c r="Q4778" s="25">
        <f>TEXT(A4778,"YYYY-MM-DD HH")</f>
        <v/>
      </c>
      <c r="R4778" s="25">
        <f>COUNTIF($Q$2:$Q$5295,Q4778)</f>
        <v/>
      </c>
      <c r="S4778" s="25">
        <f>IF(R4778&lt;=2,"1-2",IF(R4778&lt;=5,"3-5",IF(R4778&lt;=10,"6-10","11+")))</f>
        <v/>
      </c>
    </row>
    <row r="4779">
      <c r="A4779" s="39" t="n">
        <v>46227.40590277778</v>
      </c>
      <c r="B4779" s="25">
        <f>TEXT(A4779,"YYYY-MM")</f>
        <v/>
      </c>
      <c r="C4779" s="25">
        <f>TEXT(A4779,"MMM-YYYY")</f>
        <v/>
      </c>
      <c r="D4779" s="40">
        <f>INT(A4779)-WEEKDAY(A4779,2)+1</f>
        <v/>
      </c>
      <c r="E4779" s="25" t="inlineStr">
        <is>
          <t>aupadhayay</t>
        </is>
      </c>
      <c r="F4779" s="25" t="n">
        <v>128206</v>
      </c>
      <c r="G4779" s="25" t="n">
        <v>4</v>
      </c>
      <c r="H4779" s="25" t="n">
        <v>22</v>
      </c>
      <c r="I4779" s="25" t="inlineStr">
        <is>
          <t>3 minute(s) and 16 second(s)</t>
        </is>
      </c>
      <c r="J4779" s="25">
        <f>IFERROR(VALUE(TRIM(LEFT(I4779,FIND("minute",I4779)-1)))*60,0)+IFERROR(VALUE(SUBSTITUTE(MID(I4779,IFERROR(FIND("and",I4779)+3,1),20),"second(s)","")),0)</f>
        <v/>
      </c>
      <c r="K4779" s="41">
        <f>J4779/60</f>
        <v/>
      </c>
      <c r="L4779" s="41">
        <f>IFERROR(J4779/H4779,"")</f>
        <v/>
      </c>
      <c r="M4779" s="25" t="inlineStr">
        <is>
          <t>2.5.12</t>
        </is>
      </c>
      <c r="N4779" s="25">
        <f>IF(J4779&gt;300,1,0)</f>
        <v/>
      </c>
      <c r="O4779" s="25">
        <f>IF(J4779&gt;600,1,0)</f>
        <v/>
      </c>
      <c r="P4779" s="25">
        <f>IF(H4779&gt;0,J4779,"")</f>
        <v/>
      </c>
      <c r="Q4779" s="25">
        <f>TEXT(A4779,"YYYY-MM-DD HH")</f>
        <v/>
      </c>
      <c r="R4779" s="25">
        <f>COUNTIF($Q$2:$Q$5295,Q4779)</f>
        <v/>
      </c>
      <c r="S4779" s="25">
        <f>IF(R4779&lt;=2,"1-2",IF(R4779&lt;=5,"3-5",IF(R4779&lt;=10,"6-10","11+")))</f>
        <v/>
      </c>
    </row>
    <row r="4780">
      <c r="A4780" s="39" t="n">
        <v>46227.40815972222</v>
      </c>
      <c r="B4780" s="25">
        <f>TEXT(A4780,"YYYY-MM")</f>
        <v/>
      </c>
      <c r="C4780" s="25">
        <f>TEXT(A4780,"MMM-YYYY")</f>
        <v/>
      </c>
      <c r="D4780" s="40">
        <f>INT(A4780)-WEEKDAY(A4780,2)+1</f>
        <v/>
      </c>
      <c r="E4780" s="25" t="inlineStr">
        <is>
          <t>pgautam</t>
        </is>
      </c>
      <c r="F4780" s="25" t="n">
        <v>129709</v>
      </c>
      <c r="G4780" s="25" t="n">
        <v>4</v>
      </c>
      <c r="H4780" s="25" t="n">
        <v>16</v>
      </c>
      <c r="I4780" s="25" t="inlineStr">
        <is>
          <t>1 minute(s) and 21 second(s)</t>
        </is>
      </c>
      <c r="J4780" s="25">
        <f>IFERROR(VALUE(TRIM(LEFT(I4780,FIND("minute",I4780)-1)))*60,0)+IFERROR(VALUE(SUBSTITUTE(MID(I4780,IFERROR(FIND("and",I4780)+3,1),20),"second(s)","")),0)</f>
        <v/>
      </c>
      <c r="K4780" s="41">
        <f>J4780/60</f>
        <v/>
      </c>
      <c r="L4780" s="41">
        <f>IFERROR(J4780/H4780,"")</f>
        <v/>
      </c>
      <c r="M4780" s="25" t="inlineStr">
        <is>
          <t>2.5.12</t>
        </is>
      </c>
      <c r="N4780" s="25">
        <f>IF(J4780&gt;300,1,0)</f>
        <v/>
      </c>
      <c r="O4780" s="25">
        <f>IF(J4780&gt;600,1,0)</f>
        <v/>
      </c>
      <c r="P4780" s="25">
        <f>IF(H4780&gt;0,J4780,"")</f>
        <v/>
      </c>
      <c r="Q4780" s="25">
        <f>TEXT(A4780,"YYYY-MM-DD HH")</f>
        <v/>
      </c>
      <c r="R4780" s="25">
        <f>COUNTIF($Q$2:$Q$5295,Q4780)</f>
        <v/>
      </c>
      <c r="S4780" s="25">
        <f>IF(R4780&lt;=2,"1-2",IF(R4780&lt;=5,"3-5",IF(R4780&lt;=10,"6-10","11+")))</f>
        <v/>
      </c>
    </row>
    <row r="4781">
      <c r="A4781" s="39" t="n">
        <v>46227.41216435185</v>
      </c>
      <c r="B4781" s="25">
        <f>TEXT(A4781,"YYYY-MM")</f>
        <v/>
      </c>
      <c r="C4781" s="25">
        <f>TEXT(A4781,"MMM-YYYY")</f>
        <v/>
      </c>
      <c r="D4781" s="40">
        <f>INT(A4781)-WEEKDAY(A4781,2)+1</f>
        <v/>
      </c>
      <c r="E4781" s="25" t="inlineStr">
        <is>
          <t>dbhattacharyya</t>
        </is>
      </c>
      <c r="F4781" s="25" t="n">
        <v>127954</v>
      </c>
      <c r="G4781" s="25" t="n">
        <v>4</v>
      </c>
      <c r="H4781" s="25" t="n">
        <v>22</v>
      </c>
      <c r="I4781" s="25" t="inlineStr">
        <is>
          <t>3 minute(s) and 33 second(s)</t>
        </is>
      </c>
      <c r="J4781" s="25">
        <f>IFERROR(VALUE(TRIM(LEFT(I4781,FIND("minute",I4781)-1)))*60,0)+IFERROR(VALUE(SUBSTITUTE(MID(I4781,IFERROR(FIND("and",I4781)+3,1),20),"second(s)","")),0)</f>
        <v/>
      </c>
      <c r="K4781" s="41">
        <f>J4781/60</f>
        <v/>
      </c>
      <c r="L4781" s="41">
        <f>IFERROR(J4781/H4781,"")</f>
        <v/>
      </c>
      <c r="M4781" s="25" t="inlineStr">
        <is>
          <t>2.5.12</t>
        </is>
      </c>
      <c r="N4781" s="25">
        <f>IF(J4781&gt;300,1,0)</f>
        <v/>
      </c>
      <c r="O4781" s="25">
        <f>IF(J4781&gt;600,1,0)</f>
        <v/>
      </c>
      <c r="P4781" s="25">
        <f>IF(H4781&gt;0,J4781,"")</f>
        <v/>
      </c>
      <c r="Q4781" s="25">
        <f>TEXT(A4781,"YYYY-MM-DD HH")</f>
        <v/>
      </c>
      <c r="R4781" s="25">
        <f>COUNTIF($Q$2:$Q$5295,Q4781)</f>
        <v/>
      </c>
      <c r="S4781" s="25">
        <f>IF(R4781&lt;=2,"1-2",IF(R4781&lt;=5,"3-5",IF(R4781&lt;=10,"6-10","11+")))</f>
        <v/>
      </c>
    </row>
    <row r="4782">
      <c r="A4782" s="39" t="n">
        <v>46227.41246527778</v>
      </c>
      <c r="B4782" s="25">
        <f>TEXT(A4782,"YYYY-MM")</f>
        <v/>
      </c>
      <c r="C4782" s="25">
        <f>TEXT(A4782,"MMM-YYYY")</f>
        <v/>
      </c>
      <c r="D4782" s="40">
        <f>INT(A4782)-WEEKDAY(A4782,2)+1</f>
        <v/>
      </c>
      <c r="E4782" s="25" t="inlineStr">
        <is>
          <t>mkulkarni</t>
        </is>
      </c>
      <c r="F4782" s="25" t="n">
        <v>131774</v>
      </c>
      <c r="G4782" s="25" t="n">
        <v>1</v>
      </c>
      <c r="H4782" s="25" t="n">
        <v>7</v>
      </c>
      <c r="I4782" s="25" t="inlineStr">
        <is>
          <t>43 second(s)</t>
        </is>
      </c>
      <c r="J4782" s="25">
        <f>IFERROR(VALUE(TRIM(LEFT(I4782,FIND("minute",I4782)-1)))*60,0)+IFERROR(VALUE(SUBSTITUTE(MID(I4782,IFERROR(FIND("and",I4782)+3,1),20),"second(s)","")),0)</f>
        <v/>
      </c>
      <c r="K4782" s="41">
        <f>J4782/60</f>
        <v/>
      </c>
      <c r="L4782" s="41">
        <f>IFERROR(J4782/H4782,"")</f>
        <v/>
      </c>
      <c r="M4782" s="25" t="inlineStr">
        <is>
          <t>2.5.12</t>
        </is>
      </c>
      <c r="N4782" s="25">
        <f>IF(J4782&gt;300,1,0)</f>
        <v/>
      </c>
      <c r="O4782" s="25">
        <f>IF(J4782&gt;600,1,0)</f>
        <v/>
      </c>
      <c r="P4782" s="25">
        <f>IF(H4782&gt;0,J4782,"")</f>
        <v/>
      </c>
      <c r="Q4782" s="25">
        <f>TEXT(A4782,"YYYY-MM-DD HH")</f>
        <v/>
      </c>
      <c r="R4782" s="25">
        <f>COUNTIF($Q$2:$Q$5295,Q4782)</f>
        <v/>
      </c>
      <c r="S4782" s="25">
        <f>IF(R4782&lt;=2,"1-2",IF(R4782&lt;=5,"3-5",IF(R4782&lt;=10,"6-10","11+")))</f>
        <v/>
      </c>
    </row>
    <row r="4783">
      <c r="A4783" s="39" t="n">
        <v>46227.41480324074</v>
      </c>
      <c r="B4783" s="25">
        <f>TEXT(A4783,"YYYY-MM")</f>
        <v/>
      </c>
      <c r="C4783" s="25">
        <f>TEXT(A4783,"MMM-YYYY")</f>
        <v/>
      </c>
      <c r="D4783" s="40">
        <f>INT(A4783)-WEEKDAY(A4783,2)+1</f>
        <v/>
      </c>
      <c r="E4783" s="25" t="inlineStr">
        <is>
          <t>shassan</t>
        </is>
      </c>
      <c r="F4783" s="25" t="n">
        <v>129448</v>
      </c>
      <c r="G4783" s="25" t="n">
        <v>2</v>
      </c>
      <c r="H4783" s="25" t="n">
        <v>8</v>
      </c>
      <c r="I4783" s="25" t="inlineStr">
        <is>
          <t>45 second(s)</t>
        </is>
      </c>
      <c r="J4783" s="25">
        <f>IFERROR(VALUE(TRIM(LEFT(I4783,FIND("minute",I4783)-1)))*60,0)+IFERROR(VALUE(SUBSTITUTE(MID(I4783,IFERROR(FIND("and",I4783)+3,1),20),"second(s)","")),0)</f>
        <v/>
      </c>
      <c r="K4783" s="41">
        <f>J4783/60</f>
        <v/>
      </c>
      <c r="L4783" s="41">
        <f>IFERROR(J4783/H4783,"")</f>
        <v/>
      </c>
      <c r="M4783" s="25" t="inlineStr">
        <is>
          <t>2.5.12</t>
        </is>
      </c>
      <c r="N4783" s="25">
        <f>IF(J4783&gt;300,1,0)</f>
        <v/>
      </c>
      <c r="O4783" s="25">
        <f>IF(J4783&gt;600,1,0)</f>
        <v/>
      </c>
      <c r="P4783" s="25">
        <f>IF(H4783&gt;0,J4783,"")</f>
        <v/>
      </c>
      <c r="Q4783" s="25">
        <f>TEXT(A4783,"YYYY-MM-DD HH")</f>
        <v/>
      </c>
      <c r="R4783" s="25">
        <f>COUNTIF($Q$2:$Q$5295,Q4783)</f>
        <v/>
      </c>
      <c r="S4783" s="25">
        <f>IF(R4783&lt;=2,"1-2",IF(R4783&lt;=5,"3-5",IF(R4783&lt;=10,"6-10","11+")))</f>
        <v/>
      </c>
    </row>
    <row r="4784">
      <c r="A4784" s="39" t="n">
        <v>46227.43126157407</v>
      </c>
      <c r="B4784" s="25">
        <f>TEXT(A4784,"YYYY-MM")</f>
        <v/>
      </c>
      <c r="C4784" s="25">
        <f>TEXT(A4784,"MMM-YYYY")</f>
        <v/>
      </c>
      <c r="D4784" s="40">
        <f>INT(A4784)-WEEKDAY(A4784,2)+1</f>
        <v/>
      </c>
      <c r="E4784" s="25" t="inlineStr">
        <is>
          <t>asahoo</t>
        </is>
      </c>
      <c r="F4784" s="25" t="n">
        <v>127862</v>
      </c>
      <c r="G4784" s="25" t="n">
        <v>2</v>
      </c>
      <c r="H4784" s="25" t="n">
        <v>8</v>
      </c>
      <c r="I4784" s="25" t="inlineStr">
        <is>
          <t>45 second(s)</t>
        </is>
      </c>
      <c r="J4784" s="25">
        <f>IFERROR(VALUE(TRIM(LEFT(I4784,FIND("minute",I4784)-1)))*60,0)+IFERROR(VALUE(SUBSTITUTE(MID(I4784,IFERROR(FIND("and",I4784)+3,1),20),"second(s)","")),0)</f>
        <v/>
      </c>
      <c r="K4784" s="41">
        <f>J4784/60</f>
        <v/>
      </c>
      <c r="L4784" s="41">
        <f>IFERROR(J4784/H4784,"")</f>
        <v/>
      </c>
      <c r="M4784" s="25" t="inlineStr">
        <is>
          <t>2.5.12</t>
        </is>
      </c>
      <c r="N4784" s="25">
        <f>IF(J4784&gt;300,1,0)</f>
        <v/>
      </c>
      <c r="O4784" s="25">
        <f>IF(J4784&gt;600,1,0)</f>
        <v/>
      </c>
      <c r="P4784" s="25">
        <f>IF(H4784&gt;0,J4784,"")</f>
        <v/>
      </c>
      <c r="Q4784" s="25">
        <f>TEXT(A4784,"YYYY-MM-DD HH")</f>
        <v/>
      </c>
      <c r="R4784" s="25">
        <f>COUNTIF($Q$2:$Q$5295,Q4784)</f>
        <v/>
      </c>
      <c r="S4784" s="25">
        <f>IF(R4784&lt;=2,"1-2",IF(R4784&lt;=5,"3-5",IF(R4784&lt;=10,"6-10","11+")))</f>
        <v/>
      </c>
    </row>
    <row r="4785">
      <c r="A4785" s="39" t="n">
        <v>46227.43731481482</v>
      </c>
      <c r="B4785" s="25">
        <f>TEXT(A4785,"YYYY-MM")</f>
        <v/>
      </c>
      <c r="C4785" s="25">
        <f>TEXT(A4785,"MMM-YYYY")</f>
        <v/>
      </c>
      <c r="D4785" s="40">
        <f>INT(A4785)-WEEKDAY(A4785,2)+1</f>
        <v/>
      </c>
      <c r="E4785" s="25" t="inlineStr">
        <is>
          <t>npriya</t>
        </is>
      </c>
      <c r="F4785" s="25" t="n">
        <v>135019</v>
      </c>
      <c r="G4785" s="25" t="n">
        <v>4</v>
      </c>
      <c r="H4785" s="25" t="n">
        <v>16</v>
      </c>
      <c r="I4785" s="25" t="inlineStr">
        <is>
          <t>1 minute(s) and 28 second(s)</t>
        </is>
      </c>
      <c r="J4785" s="25">
        <f>IFERROR(VALUE(TRIM(LEFT(I4785,FIND("minute",I4785)-1)))*60,0)+IFERROR(VALUE(SUBSTITUTE(MID(I4785,IFERROR(FIND("and",I4785)+3,1),20),"second(s)","")),0)</f>
        <v/>
      </c>
      <c r="K4785" s="41">
        <f>J4785/60</f>
        <v/>
      </c>
      <c r="L4785" s="41">
        <f>IFERROR(J4785/H4785,"")</f>
        <v/>
      </c>
      <c r="M4785" s="25" t="inlineStr">
        <is>
          <t>2.5.12</t>
        </is>
      </c>
      <c r="N4785" s="25">
        <f>IF(J4785&gt;300,1,0)</f>
        <v/>
      </c>
      <c r="O4785" s="25">
        <f>IF(J4785&gt;600,1,0)</f>
        <v/>
      </c>
      <c r="P4785" s="25">
        <f>IF(H4785&gt;0,J4785,"")</f>
        <v/>
      </c>
      <c r="Q4785" s="25">
        <f>TEXT(A4785,"YYYY-MM-DD HH")</f>
        <v/>
      </c>
      <c r="R4785" s="25">
        <f>COUNTIF($Q$2:$Q$5295,Q4785)</f>
        <v/>
      </c>
      <c r="S4785" s="25">
        <f>IF(R4785&lt;=2,"1-2",IF(R4785&lt;=5,"3-5",IF(R4785&lt;=10,"6-10","11+")))</f>
        <v/>
      </c>
    </row>
    <row r="4786">
      <c r="A4786" s="39" t="n">
        <v>46227.44662037037</v>
      </c>
      <c r="B4786" s="25">
        <f>TEXT(A4786,"YYYY-MM")</f>
        <v/>
      </c>
      <c r="C4786" s="25">
        <f>TEXT(A4786,"MMM-YYYY")</f>
        <v/>
      </c>
      <c r="D4786" s="40">
        <f>INT(A4786)-WEEKDAY(A4786,2)+1</f>
        <v/>
      </c>
      <c r="E4786" s="25" t="inlineStr">
        <is>
          <t>dchoudhury</t>
        </is>
      </c>
      <c r="F4786" s="25" t="n">
        <v>128622</v>
      </c>
      <c r="G4786" s="25" t="n">
        <v>3</v>
      </c>
      <c r="H4786" s="25" t="n">
        <v>11</v>
      </c>
      <c r="I4786" s="25" t="inlineStr">
        <is>
          <t>1 minute(s) and 11 second(s)</t>
        </is>
      </c>
      <c r="J4786" s="25">
        <f>IFERROR(VALUE(TRIM(LEFT(I4786,FIND("minute",I4786)-1)))*60,0)+IFERROR(VALUE(SUBSTITUTE(MID(I4786,IFERROR(FIND("and",I4786)+3,1),20),"second(s)","")),0)</f>
        <v/>
      </c>
      <c r="K4786" s="41">
        <f>J4786/60</f>
        <v/>
      </c>
      <c r="L4786" s="41">
        <f>IFERROR(J4786/H4786,"")</f>
        <v/>
      </c>
      <c r="M4786" s="25" t="inlineStr">
        <is>
          <t>2.5.12</t>
        </is>
      </c>
      <c r="N4786" s="25">
        <f>IF(J4786&gt;300,1,0)</f>
        <v/>
      </c>
      <c r="O4786" s="25">
        <f>IF(J4786&gt;600,1,0)</f>
        <v/>
      </c>
      <c r="P4786" s="25">
        <f>IF(H4786&gt;0,J4786,"")</f>
        <v/>
      </c>
      <c r="Q4786" s="25">
        <f>TEXT(A4786,"YYYY-MM-DD HH")</f>
        <v/>
      </c>
      <c r="R4786" s="25">
        <f>COUNTIF($Q$2:$Q$5295,Q4786)</f>
        <v/>
      </c>
      <c r="S4786" s="25">
        <f>IF(R4786&lt;=2,"1-2",IF(R4786&lt;=5,"3-5",IF(R4786&lt;=10,"6-10","11+")))</f>
        <v/>
      </c>
    </row>
    <row r="4787">
      <c r="A4787" s="39" t="n">
        <v>46227.45091435185</v>
      </c>
      <c r="B4787" s="25">
        <f>TEXT(A4787,"YYYY-MM")</f>
        <v/>
      </c>
      <c r="C4787" s="25">
        <f>TEXT(A4787,"MMM-YYYY")</f>
        <v/>
      </c>
      <c r="D4787" s="40">
        <f>INT(A4787)-WEEKDAY(A4787,2)+1</f>
        <v/>
      </c>
      <c r="E4787" s="25" t="inlineStr">
        <is>
          <t>abanerjee</t>
        </is>
      </c>
      <c r="F4787" s="25" t="n">
        <v>129482</v>
      </c>
      <c r="G4787" s="25" t="n">
        <v>4</v>
      </c>
      <c r="H4787" s="25" t="n">
        <v>16</v>
      </c>
      <c r="I4787" s="25" t="inlineStr">
        <is>
          <t>1 minute(s) and 8 second(s)</t>
        </is>
      </c>
      <c r="J4787" s="25">
        <f>IFERROR(VALUE(TRIM(LEFT(I4787,FIND("minute",I4787)-1)))*60,0)+IFERROR(VALUE(SUBSTITUTE(MID(I4787,IFERROR(FIND("and",I4787)+3,1),20),"second(s)","")),0)</f>
        <v/>
      </c>
      <c r="K4787" s="41">
        <f>J4787/60</f>
        <v/>
      </c>
      <c r="L4787" s="41">
        <f>IFERROR(J4787/H4787,"")</f>
        <v/>
      </c>
      <c r="M4787" s="25" t="inlineStr">
        <is>
          <t>2.5.12</t>
        </is>
      </c>
      <c r="N4787" s="25">
        <f>IF(J4787&gt;300,1,0)</f>
        <v/>
      </c>
      <c r="O4787" s="25">
        <f>IF(J4787&gt;600,1,0)</f>
        <v/>
      </c>
      <c r="P4787" s="25">
        <f>IF(H4787&gt;0,J4787,"")</f>
        <v/>
      </c>
      <c r="Q4787" s="25">
        <f>TEXT(A4787,"YYYY-MM-DD HH")</f>
        <v/>
      </c>
      <c r="R4787" s="25">
        <f>COUNTIF($Q$2:$Q$5295,Q4787)</f>
        <v/>
      </c>
      <c r="S4787" s="25">
        <f>IF(R4787&lt;=2,"1-2",IF(R4787&lt;=5,"3-5",IF(R4787&lt;=10,"6-10","11+")))</f>
        <v/>
      </c>
    </row>
    <row r="4788">
      <c r="A4788" s="39" t="n">
        <v>46227.45271990741</v>
      </c>
      <c r="B4788" s="25">
        <f>TEXT(A4788,"YYYY-MM")</f>
        <v/>
      </c>
      <c r="C4788" s="25">
        <f>TEXT(A4788,"MMM-YYYY")</f>
        <v/>
      </c>
      <c r="D4788" s="40">
        <f>INT(A4788)-WEEKDAY(A4788,2)+1</f>
        <v/>
      </c>
      <c r="E4788" s="25" t="inlineStr">
        <is>
          <t>dchoudhury</t>
        </is>
      </c>
      <c r="F4788" s="25" t="n">
        <v>128622</v>
      </c>
      <c r="G4788" s="25" t="n">
        <v>4</v>
      </c>
      <c r="H4788" s="25" t="n">
        <v>14</v>
      </c>
      <c r="I4788" s="25" t="inlineStr">
        <is>
          <t>2 minute(s) and 8 second(s)</t>
        </is>
      </c>
      <c r="J4788" s="25">
        <f>IFERROR(VALUE(TRIM(LEFT(I4788,FIND("minute",I4788)-1)))*60,0)+IFERROR(VALUE(SUBSTITUTE(MID(I4788,IFERROR(FIND("and",I4788)+3,1),20),"second(s)","")),0)</f>
        <v/>
      </c>
      <c r="K4788" s="41">
        <f>J4788/60</f>
        <v/>
      </c>
      <c r="L4788" s="41">
        <f>IFERROR(J4788/H4788,"")</f>
        <v/>
      </c>
      <c r="M4788" s="25" t="inlineStr">
        <is>
          <t>2.5.12</t>
        </is>
      </c>
      <c r="N4788" s="25">
        <f>IF(J4788&gt;300,1,0)</f>
        <v/>
      </c>
      <c r="O4788" s="25">
        <f>IF(J4788&gt;600,1,0)</f>
        <v/>
      </c>
      <c r="P4788" s="25">
        <f>IF(H4788&gt;0,J4788,"")</f>
        <v/>
      </c>
      <c r="Q4788" s="25">
        <f>TEXT(A4788,"YYYY-MM-DD HH")</f>
        <v/>
      </c>
      <c r="R4788" s="25">
        <f>COUNTIF($Q$2:$Q$5295,Q4788)</f>
        <v/>
      </c>
      <c r="S4788" s="25">
        <f>IF(R4788&lt;=2,"1-2",IF(R4788&lt;=5,"3-5",IF(R4788&lt;=10,"6-10","11+")))</f>
        <v/>
      </c>
    </row>
    <row r="4789">
      <c r="A4789" s="39" t="n">
        <v>46227.45456018519</v>
      </c>
      <c r="B4789" s="25">
        <f>TEXT(A4789,"YYYY-MM")</f>
        <v/>
      </c>
      <c r="C4789" s="25">
        <f>TEXT(A4789,"MMM-YYYY")</f>
        <v/>
      </c>
      <c r="D4789" s="40">
        <f>INT(A4789)-WEEKDAY(A4789,2)+1</f>
        <v/>
      </c>
      <c r="E4789" s="25" t="inlineStr">
        <is>
          <t>kkumar</t>
        </is>
      </c>
      <c r="F4789" s="25" t="n">
        <v>128754</v>
      </c>
      <c r="G4789" s="25" t="n">
        <v>3</v>
      </c>
      <c r="H4789" s="25" t="n">
        <v>21</v>
      </c>
      <c r="I4789" s="25" t="inlineStr">
        <is>
          <t>1 minute(s) and 15 second(s)</t>
        </is>
      </c>
      <c r="J4789" s="25">
        <f>IFERROR(VALUE(TRIM(LEFT(I4789,FIND("minute",I4789)-1)))*60,0)+IFERROR(VALUE(SUBSTITUTE(MID(I4789,IFERROR(FIND("and",I4789)+3,1),20),"second(s)","")),0)</f>
        <v/>
      </c>
      <c r="K4789" s="41">
        <f>J4789/60</f>
        <v/>
      </c>
      <c r="L4789" s="41">
        <f>IFERROR(J4789/H4789,"")</f>
        <v/>
      </c>
      <c r="M4789" s="25" t="inlineStr">
        <is>
          <t>2.5.12</t>
        </is>
      </c>
      <c r="N4789" s="25">
        <f>IF(J4789&gt;300,1,0)</f>
        <v/>
      </c>
      <c r="O4789" s="25">
        <f>IF(J4789&gt;600,1,0)</f>
        <v/>
      </c>
      <c r="P4789" s="25">
        <f>IF(H4789&gt;0,J4789,"")</f>
        <v/>
      </c>
      <c r="Q4789" s="25">
        <f>TEXT(A4789,"YYYY-MM-DD HH")</f>
        <v/>
      </c>
      <c r="R4789" s="25">
        <f>COUNTIF($Q$2:$Q$5295,Q4789)</f>
        <v/>
      </c>
      <c r="S4789" s="25">
        <f>IF(R4789&lt;=2,"1-2",IF(R4789&lt;=5,"3-5",IF(R4789&lt;=10,"6-10","11+")))</f>
        <v/>
      </c>
    </row>
    <row r="4790">
      <c r="A4790" s="39" t="n">
        <v>46227.46304398148</v>
      </c>
      <c r="B4790" s="25">
        <f>TEXT(A4790,"YYYY-MM")</f>
        <v/>
      </c>
      <c r="C4790" s="25">
        <f>TEXT(A4790,"MMM-YYYY")</f>
        <v/>
      </c>
      <c r="D4790" s="40">
        <f>INT(A4790)-WEEKDAY(A4790,2)+1</f>
        <v/>
      </c>
      <c r="E4790" s="25" t="inlineStr">
        <is>
          <t>ethomas</t>
        </is>
      </c>
      <c r="F4790" s="25" t="n">
        <v>134462</v>
      </c>
      <c r="G4790" s="25" t="n">
        <v>4</v>
      </c>
      <c r="H4790" s="25" t="n">
        <v>24</v>
      </c>
      <c r="I4790" s="25" t="inlineStr">
        <is>
          <t>2 minute(s) and 34 second(s)</t>
        </is>
      </c>
      <c r="J4790" s="25">
        <f>IFERROR(VALUE(TRIM(LEFT(I4790,FIND("minute",I4790)-1)))*60,0)+IFERROR(VALUE(SUBSTITUTE(MID(I4790,IFERROR(FIND("and",I4790)+3,1),20),"second(s)","")),0)</f>
        <v/>
      </c>
      <c r="K4790" s="41">
        <f>J4790/60</f>
        <v/>
      </c>
      <c r="L4790" s="41">
        <f>IFERROR(J4790/H4790,"")</f>
        <v/>
      </c>
      <c r="M4790" s="25" t="inlineStr">
        <is>
          <t>2.5.12</t>
        </is>
      </c>
      <c r="N4790" s="25">
        <f>IF(J4790&gt;300,1,0)</f>
        <v/>
      </c>
      <c r="O4790" s="25">
        <f>IF(J4790&gt;600,1,0)</f>
        <v/>
      </c>
      <c r="P4790" s="25">
        <f>IF(H4790&gt;0,J4790,"")</f>
        <v/>
      </c>
      <c r="Q4790" s="25">
        <f>TEXT(A4790,"YYYY-MM-DD HH")</f>
        <v/>
      </c>
      <c r="R4790" s="25">
        <f>COUNTIF($Q$2:$Q$5295,Q4790)</f>
        <v/>
      </c>
      <c r="S4790" s="25">
        <f>IF(R4790&lt;=2,"1-2",IF(R4790&lt;=5,"3-5",IF(R4790&lt;=10,"6-10","11+")))</f>
        <v/>
      </c>
    </row>
    <row r="4791">
      <c r="A4791" s="39" t="n">
        <v>46227.47076388889</v>
      </c>
      <c r="B4791" s="25">
        <f>TEXT(A4791,"YYYY-MM")</f>
        <v/>
      </c>
      <c r="C4791" s="25">
        <f>TEXT(A4791,"MMM-YYYY")</f>
        <v/>
      </c>
      <c r="D4791" s="40">
        <f>INT(A4791)-WEEKDAY(A4791,2)+1</f>
        <v/>
      </c>
      <c r="E4791" s="25" t="inlineStr">
        <is>
          <t>asahoo</t>
        </is>
      </c>
      <c r="F4791" s="25" t="n">
        <v>132655</v>
      </c>
      <c r="G4791" s="25" t="n">
        <v>1</v>
      </c>
      <c r="H4791" s="25" t="n">
        <v>5</v>
      </c>
      <c r="I4791" s="25" t="inlineStr">
        <is>
          <t>27 second(s)</t>
        </is>
      </c>
      <c r="J4791" s="25">
        <f>IFERROR(VALUE(TRIM(LEFT(I4791,FIND("minute",I4791)-1)))*60,0)+IFERROR(VALUE(SUBSTITUTE(MID(I4791,IFERROR(FIND("and",I4791)+3,1),20),"second(s)","")),0)</f>
        <v/>
      </c>
      <c r="K4791" s="41">
        <f>J4791/60</f>
        <v/>
      </c>
      <c r="L4791" s="41">
        <f>IFERROR(J4791/H4791,"")</f>
        <v/>
      </c>
      <c r="M4791" s="25" t="inlineStr">
        <is>
          <t>2.5.12</t>
        </is>
      </c>
      <c r="N4791" s="25">
        <f>IF(J4791&gt;300,1,0)</f>
        <v/>
      </c>
      <c r="O4791" s="25">
        <f>IF(J4791&gt;600,1,0)</f>
        <v/>
      </c>
      <c r="P4791" s="25">
        <f>IF(H4791&gt;0,J4791,"")</f>
        <v/>
      </c>
      <c r="Q4791" s="25">
        <f>TEXT(A4791,"YYYY-MM-DD HH")</f>
        <v/>
      </c>
      <c r="R4791" s="25">
        <f>COUNTIF($Q$2:$Q$5295,Q4791)</f>
        <v/>
      </c>
      <c r="S4791" s="25">
        <f>IF(R4791&lt;=2,"1-2",IF(R4791&lt;=5,"3-5",IF(R4791&lt;=10,"6-10","11+")))</f>
        <v/>
      </c>
    </row>
    <row r="4792">
      <c r="A4792" s="39" t="n">
        <v>46227.48206018518</v>
      </c>
      <c r="B4792" s="25">
        <f>TEXT(A4792,"YYYY-MM")</f>
        <v/>
      </c>
      <c r="C4792" s="25">
        <f>TEXT(A4792,"MMM-YYYY")</f>
        <v/>
      </c>
      <c r="D4792" s="40">
        <f>INT(A4792)-WEEKDAY(A4792,2)+1</f>
        <v/>
      </c>
      <c r="E4792" s="25" t="inlineStr">
        <is>
          <t>psathwika</t>
        </is>
      </c>
      <c r="F4792" s="25" t="n">
        <v>131338</v>
      </c>
      <c r="G4792" s="25" t="n">
        <v>4</v>
      </c>
      <c r="H4792" s="25" t="n">
        <v>22</v>
      </c>
      <c r="I4792" s="25" t="inlineStr">
        <is>
          <t>2 minute(s) and 40 second(s)</t>
        </is>
      </c>
      <c r="J4792" s="25">
        <f>IFERROR(VALUE(TRIM(LEFT(I4792,FIND("minute",I4792)-1)))*60,0)+IFERROR(VALUE(SUBSTITUTE(MID(I4792,IFERROR(FIND("and",I4792)+3,1),20),"second(s)","")),0)</f>
        <v/>
      </c>
      <c r="K4792" s="41">
        <f>J4792/60</f>
        <v/>
      </c>
      <c r="L4792" s="41">
        <f>IFERROR(J4792/H4792,"")</f>
        <v/>
      </c>
      <c r="M4792" s="25" t="inlineStr">
        <is>
          <t>2.5.12</t>
        </is>
      </c>
      <c r="N4792" s="25">
        <f>IF(J4792&gt;300,1,0)</f>
        <v/>
      </c>
      <c r="O4792" s="25">
        <f>IF(J4792&gt;600,1,0)</f>
        <v/>
      </c>
      <c r="P4792" s="25">
        <f>IF(H4792&gt;0,J4792,"")</f>
        <v/>
      </c>
      <c r="Q4792" s="25">
        <f>TEXT(A4792,"YYYY-MM-DD HH")</f>
        <v/>
      </c>
      <c r="R4792" s="25">
        <f>COUNTIF($Q$2:$Q$5295,Q4792)</f>
        <v/>
      </c>
      <c r="S4792" s="25">
        <f>IF(R4792&lt;=2,"1-2",IF(R4792&lt;=5,"3-5",IF(R4792&lt;=10,"6-10","11+")))</f>
        <v/>
      </c>
    </row>
    <row r="4793">
      <c r="A4793" s="39" t="n">
        <v>46227.48346064815</v>
      </c>
      <c r="B4793" s="25">
        <f>TEXT(A4793,"YYYY-MM")</f>
        <v/>
      </c>
      <c r="C4793" s="25">
        <f>TEXT(A4793,"MMM-YYYY")</f>
        <v/>
      </c>
      <c r="D4793" s="40">
        <f>INT(A4793)-WEEKDAY(A4793,2)+1</f>
        <v/>
      </c>
      <c r="E4793" s="25" t="inlineStr">
        <is>
          <t>mkulkarni</t>
        </is>
      </c>
      <c r="F4793" s="25" t="n">
        <v>131280</v>
      </c>
      <c r="G4793" s="25" t="n">
        <v>2</v>
      </c>
      <c r="H4793" s="25" t="n">
        <v>10</v>
      </c>
      <c r="I4793" s="25" t="inlineStr">
        <is>
          <t>37 second(s)</t>
        </is>
      </c>
      <c r="J4793" s="25">
        <f>IFERROR(VALUE(TRIM(LEFT(I4793,FIND("minute",I4793)-1)))*60,0)+IFERROR(VALUE(SUBSTITUTE(MID(I4793,IFERROR(FIND("and",I4793)+3,1),20),"second(s)","")),0)</f>
        <v/>
      </c>
      <c r="K4793" s="41">
        <f>J4793/60</f>
        <v/>
      </c>
      <c r="L4793" s="41">
        <f>IFERROR(J4793/H4793,"")</f>
        <v/>
      </c>
      <c r="M4793" s="25" t="inlineStr">
        <is>
          <t>2.5.12</t>
        </is>
      </c>
      <c r="N4793" s="25">
        <f>IF(J4793&gt;300,1,0)</f>
        <v/>
      </c>
      <c r="O4793" s="25">
        <f>IF(J4793&gt;600,1,0)</f>
        <v/>
      </c>
      <c r="P4793" s="25">
        <f>IF(H4793&gt;0,J4793,"")</f>
        <v/>
      </c>
      <c r="Q4793" s="25">
        <f>TEXT(A4793,"YYYY-MM-DD HH")</f>
        <v/>
      </c>
      <c r="R4793" s="25">
        <f>COUNTIF($Q$2:$Q$5295,Q4793)</f>
        <v/>
      </c>
      <c r="S4793" s="25">
        <f>IF(R4793&lt;=2,"1-2",IF(R4793&lt;=5,"3-5",IF(R4793&lt;=10,"6-10","11+")))</f>
        <v/>
      </c>
    </row>
    <row r="4794">
      <c r="A4794" s="39" t="n">
        <v>46227.49155092592</v>
      </c>
      <c r="B4794" s="25">
        <f>TEXT(A4794,"YYYY-MM")</f>
        <v/>
      </c>
      <c r="C4794" s="25">
        <f>TEXT(A4794,"MMM-YYYY")</f>
        <v/>
      </c>
      <c r="D4794" s="40">
        <f>INT(A4794)-WEEKDAY(A4794,2)+1</f>
        <v/>
      </c>
      <c r="E4794" s="25" t="inlineStr">
        <is>
          <t>aupadhayay</t>
        </is>
      </c>
      <c r="F4794" s="25" t="n">
        <v>135928</v>
      </c>
      <c r="G4794" s="25" t="n">
        <v>4</v>
      </c>
      <c r="H4794" s="25" t="n">
        <v>26</v>
      </c>
      <c r="I4794" s="25" t="inlineStr">
        <is>
          <t>2 minute(s) and 56 second(s)</t>
        </is>
      </c>
      <c r="J4794" s="25">
        <f>IFERROR(VALUE(TRIM(LEFT(I4794,FIND("minute",I4794)-1)))*60,0)+IFERROR(VALUE(SUBSTITUTE(MID(I4794,IFERROR(FIND("and",I4794)+3,1),20),"second(s)","")),0)</f>
        <v/>
      </c>
      <c r="K4794" s="41">
        <f>J4794/60</f>
        <v/>
      </c>
      <c r="L4794" s="41">
        <f>IFERROR(J4794/H4794,"")</f>
        <v/>
      </c>
      <c r="M4794" s="25" t="inlineStr">
        <is>
          <t>2.5.12</t>
        </is>
      </c>
      <c r="N4794" s="25">
        <f>IF(J4794&gt;300,1,0)</f>
        <v/>
      </c>
      <c r="O4794" s="25">
        <f>IF(J4794&gt;600,1,0)</f>
        <v/>
      </c>
      <c r="P4794" s="25">
        <f>IF(H4794&gt;0,J4794,"")</f>
        <v/>
      </c>
      <c r="Q4794" s="25">
        <f>TEXT(A4794,"YYYY-MM-DD HH")</f>
        <v/>
      </c>
      <c r="R4794" s="25">
        <f>COUNTIF($Q$2:$Q$5295,Q4794)</f>
        <v/>
      </c>
      <c r="S4794" s="25">
        <f>IF(R4794&lt;=2,"1-2",IF(R4794&lt;=5,"3-5",IF(R4794&lt;=10,"6-10","11+")))</f>
        <v/>
      </c>
    </row>
    <row r="4795">
      <c r="A4795" s="39" t="n">
        <v>46227.49775462963</v>
      </c>
      <c r="B4795" s="25">
        <f>TEXT(A4795,"YYYY-MM")</f>
        <v/>
      </c>
      <c r="C4795" s="25">
        <f>TEXT(A4795,"MMM-YYYY")</f>
        <v/>
      </c>
      <c r="D4795" s="40">
        <f>INT(A4795)-WEEKDAY(A4795,2)+1</f>
        <v/>
      </c>
      <c r="E4795" s="25" t="inlineStr">
        <is>
          <t>ssrinivasan</t>
        </is>
      </c>
      <c r="F4795" s="25" t="n">
        <v>128757</v>
      </c>
      <c r="G4795" s="25" t="n">
        <v>2</v>
      </c>
      <c r="H4795" s="25" t="n">
        <v>10</v>
      </c>
      <c r="I4795" s="25" t="inlineStr">
        <is>
          <t>47 second(s)</t>
        </is>
      </c>
      <c r="J4795" s="25">
        <f>IFERROR(VALUE(TRIM(LEFT(I4795,FIND("minute",I4795)-1)))*60,0)+IFERROR(VALUE(SUBSTITUTE(MID(I4795,IFERROR(FIND("and",I4795)+3,1),20),"second(s)","")),0)</f>
        <v/>
      </c>
      <c r="K4795" s="41">
        <f>J4795/60</f>
        <v/>
      </c>
      <c r="L4795" s="41">
        <f>IFERROR(J4795/H4795,"")</f>
        <v/>
      </c>
      <c r="M4795" s="25" t="inlineStr">
        <is>
          <t>2.5.12</t>
        </is>
      </c>
      <c r="N4795" s="25">
        <f>IF(J4795&gt;300,1,0)</f>
        <v/>
      </c>
      <c r="O4795" s="25">
        <f>IF(J4795&gt;600,1,0)</f>
        <v/>
      </c>
      <c r="P4795" s="25">
        <f>IF(H4795&gt;0,J4795,"")</f>
        <v/>
      </c>
      <c r="Q4795" s="25">
        <f>TEXT(A4795,"YYYY-MM-DD HH")</f>
        <v/>
      </c>
      <c r="R4795" s="25">
        <f>COUNTIF($Q$2:$Q$5295,Q4795)</f>
        <v/>
      </c>
      <c r="S4795" s="25">
        <f>IF(R4795&lt;=2,"1-2",IF(R4795&lt;=5,"3-5",IF(R4795&lt;=10,"6-10","11+")))</f>
        <v/>
      </c>
    </row>
    <row r="4796">
      <c r="A4796" s="39" t="n">
        <v>46227.50162037037</v>
      </c>
      <c r="B4796" s="25">
        <f>TEXT(A4796,"YYYY-MM")</f>
        <v/>
      </c>
      <c r="C4796" s="25">
        <f>TEXT(A4796,"MMM-YYYY")</f>
        <v/>
      </c>
      <c r="D4796" s="40">
        <f>INT(A4796)-WEEKDAY(A4796,2)+1</f>
        <v/>
      </c>
      <c r="E4796" s="25" t="inlineStr">
        <is>
          <t>mkulkarni</t>
        </is>
      </c>
      <c r="F4796" s="25" t="n">
        <v>131280</v>
      </c>
      <c r="G4796" s="25" t="n">
        <v>1</v>
      </c>
      <c r="H4796" s="25" t="n">
        <v>7</v>
      </c>
      <c r="I4796" s="25" t="inlineStr">
        <is>
          <t>29 second(s)</t>
        </is>
      </c>
      <c r="J4796" s="25">
        <f>IFERROR(VALUE(TRIM(LEFT(I4796,FIND("minute",I4796)-1)))*60,0)+IFERROR(VALUE(SUBSTITUTE(MID(I4796,IFERROR(FIND("and",I4796)+3,1),20),"second(s)","")),0)</f>
        <v/>
      </c>
      <c r="K4796" s="41">
        <f>J4796/60</f>
        <v/>
      </c>
      <c r="L4796" s="41">
        <f>IFERROR(J4796/H4796,"")</f>
        <v/>
      </c>
      <c r="M4796" s="25" t="inlineStr">
        <is>
          <t>2.5.12</t>
        </is>
      </c>
      <c r="N4796" s="25">
        <f>IF(J4796&gt;300,1,0)</f>
        <v/>
      </c>
      <c r="O4796" s="25">
        <f>IF(J4796&gt;600,1,0)</f>
        <v/>
      </c>
      <c r="P4796" s="25">
        <f>IF(H4796&gt;0,J4796,"")</f>
        <v/>
      </c>
      <c r="Q4796" s="25">
        <f>TEXT(A4796,"YYYY-MM-DD HH")</f>
        <v/>
      </c>
      <c r="R4796" s="25">
        <f>COUNTIF($Q$2:$Q$5295,Q4796)</f>
        <v/>
      </c>
      <c r="S4796" s="25">
        <f>IF(R4796&lt;=2,"1-2",IF(R4796&lt;=5,"3-5",IF(R4796&lt;=10,"6-10","11+")))</f>
        <v/>
      </c>
    </row>
    <row r="4797">
      <c r="A4797" s="39" t="n">
        <v>46227.50528935185</v>
      </c>
      <c r="B4797" s="25">
        <f>TEXT(A4797,"YYYY-MM")</f>
        <v/>
      </c>
      <c r="C4797" s="25">
        <f>TEXT(A4797,"MMM-YYYY")</f>
        <v/>
      </c>
      <c r="D4797" s="40">
        <f>INT(A4797)-WEEKDAY(A4797,2)+1</f>
        <v/>
      </c>
      <c r="E4797" s="25" t="inlineStr">
        <is>
          <t>ajain</t>
        </is>
      </c>
      <c r="F4797" s="25" t="n">
        <v>134124</v>
      </c>
      <c r="G4797" s="25" t="n">
        <v>4</v>
      </c>
      <c r="H4797" s="25" t="n">
        <v>22</v>
      </c>
      <c r="I4797" s="25" t="inlineStr">
        <is>
          <t>2 minute(s) and 17 second(s)</t>
        </is>
      </c>
      <c r="J4797" s="25">
        <f>IFERROR(VALUE(TRIM(LEFT(I4797,FIND("minute",I4797)-1)))*60,0)+IFERROR(VALUE(SUBSTITUTE(MID(I4797,IFERROR(FIND("and",I4797)+3,1),20),"second(s)","")),0)</f>
        <v/>
      </c>
      <c r="K4797" s="41">
        <f>J4797/60</f>
        <v/>
      </c>
      <c r="L4797" s="41">
        <f>IFERROR(J4797/H4797,"")</f>
        <v/>
      </c>
      <c r="M4797" s="25" t="inlineStr">
        <is>
          <t>2.5.12</t>
        </is>
      </c>
      <c r="N4797" s="25">
        <f>IF(J4797&gt;300,1,0)</f>
        <v/>
      </c>
      <c r="O4797" s="25">
        <f>IF(J4797&gt;600,1,0)</f>
        <v/>
      </c>
      <c r="P4797" s="25">
        <f>IF(H4797&gt;0,J4797,"")</f>
        <v/>
      </c>
      <c r="Q4797" s="25">
        <f>TEXT(A4797,"YYYY-MM-DD HH")</f>
        <v/>
      </c>
      <c r="R4797" s="25">
        <f>COUNTIF($Q$2:$Q$5295,Q4797)</f>
        <v/>
      </c>
      <c r="S4797" s="25">
        <f>IF(R4797&lt;=2,"1-2",IF(R4797&lt;=5,"3-5",IF(R4797&lt;=10,"6-10","11+")))</f>
        <v/>
      </c>
    </row>
    <row r="4798">
      <c r="A4798" s="39" t="n">
        <v>46227.50636574074</v>
      </c>
      <c r="B4798" s="25">
        <f>TEXT(A4798,"YYYY-MM")</f>
        <v/>
      </c>
      <c r="C4798" s="25">
        <f>TEXT(A4798,"MMM-YYYY")</f>
        <v/>
      </c>
      <c r="D4798" s="40">
        <f>INT(A4798)-WEEKDAY(A4798,2)+1</f>
        <v/>
      </c>
      <c r="E4798" s="25" t="inlineStr">
        <is>
          <t>kkumar</t>
        </is>
      </c>
      <c r="F4798" s="25" t="n">
        <v>128770</v>
      </c>
      <c r="G4798" s="25" t="n">
        <v>4</v>
      </c>
      <c r="H4798" s="25" t="n">
        <v>24</v>
      </c>
      <c r="I4798" s="25" t="inlineStr">
        <is>
          <t>2 minute(s) and 16 second(s)</t>
        </is>
      </c>
      <c r="J4798" s="25">
        <f>IFERROR(VALUE(TRIM(LEFT(I4798,FIND("minute",I4798)-1)))*60,0)+IFERROR(VALUE(SUBSTITUTE(MID(I4798,IFERROR(FIND("and",I4798)+3,1),20),"second(s)","")),0)</f>
        <v/>
      </c>
      <c r="K4798" s="41">
        <f>J4798/60</f>
        <v/>
      </c>
      <c r="L4798" s="41">
        <f>IFERROR(J4798/H4798,"")</f>
        <v/>
      </c>
      <c r="M4798" s="25" t="inlineStr">
        <is>
          <t>2.5.12</t>
        </is>
      </c>
      <c r="N4798" s="25">
        <f>IF(J4798&gt;300,1,0)</f>
        <v/>
      </c>
      <c r="O4798" s="25">
        <f>IF(J4798&gt;600,1,0)</f>
        <v/>
      </c>
      <c r="P4798" s="25">
        <f>IF(H4798&gt;0,J4798,"")</f>
        <v/>
      </c>
      <c r="Q4798" s="25">
        <f>TEXT(A4798,"YYYY-MM-DD HH")</f>
        <v/>
      </c>
      <c r="R4798" s="25">
        <f>COUNTIF($Q$2:$Q$5295,Q4798)</f>
        <v/>
      </c>
      <c r="S4798" s="25">
        <f>IF(R4798&lt;=2,"1-2",IF(R4798&lt;=5,"3-5",IF(R4798&lt;=10,"6-10","11+")))</f>
        <v/>
      </c>
    </row>
    <row r="4799">
      <c r="A4799" s="39" t="n">
        <v>46227.50748842592</v>
      </c>
      <c r="B4799" s="25">
        <f>TEXT(A4799,"YYYY-MM")</f>
        <v/>
      </c>
      <c r="C4799" s="25">
        <f>TEXT(A4799,"MMM-YYYY")</f>
        <v/>
      </c>
      <c r="D4799" s="40">
        <f>INT(A4799)-WEEKDAY(A4799,2)+1</f>
        <v/>
      </c>
      <c r="E4799" s="25" t="inlineStr">
        <is>
          <t>abanerjee</t>
        </is>
      </c>
      <c r="F4799" s="25" t="n">
        <v>130573</v>
      </c>
      <c r="G4799" s="25" t="n">
        <v>1</v>
      </c>
      <c r="H4799" s="25" t="n">
        <v>5</v>
      </c>
      <c r="I4799" s="25" t="inlineStr">
        <is>
          <t>22 second(s)</t>
        </is>
      </c>
      <c r="J4799" s="25">
        <f>IFERROR(VALUE(TRIM(LEFT(I4799,FIND("minute",I4799)-1)))*60,0)+IFERROR(VALUE(SUBSTITUTE(MID(I4799,IFERROR(FIND("and",I4799)+3,1),20),"second(s)","")),0)</f>
        <v/>
      </c>
      <c r="K4799" s="41">
        <f>J4799/60</f>
        <v/>
      </c>
      <c r="L4799" s="41">
        <f>IFERROR(J4799/H4799,"")</f>
        <v/>
      </c>
      <c r="M4799" s="25" t="inlineStr">
        <is>
          <t>2.5.12</t>
        </is>
      </c>
      <c r="N4799" s="25">
        <f>IF(J4799&gt;300,1,0)</f>
        <v/>
      </c>
      <c r="O4799" s="25">
        <f>IF(J4799&gt;600,1,0)</f>
        <v/>
      </c>
      <c r="P4799" s="25">
        <f>IF(H4799&gt;0,J4799,"")</f>
        <v/>
      </c>
      <c r="Q4799" s="25">
        <f>TEXT(A4799,"YYYY-MM-DD HH")</f>
        <v/>
      </c>
      <c r="R4799" s="25">
        <f>COUNTIF($Q$2:$Q$5295,Q4799)</f>
        <v/>
      </c>
      <c r="S4799" s="25">
        <f>IF(R4799&lt;=2,"1-2",IF(R4799&lt;=5,"3-5",IF(R4799&lt;=10,"6-10","11+")))</f>
        <v/>
      </c>
    </row>
    <row r="4800">
      <c r="A4800" s="39" t="n">
        <v>46227.50902777778</v>
      </c>
      <c r="B4800" s="25">
        <f>TEXT(A4800,"YYYY-MM")</f>
        <v/>
      </c>
      <c r="C4800" s="25">
        <f>TEXT(A4800,"MMM-YYYY")</f>
        <v/>
      </c>
      <c r="D4800" s="40">
        <f>INT(A4800)-WEEKDAY(A4800,2)+1</f>
        <v/>
      </c>
      <c r="E4800" s="25" t="inlineStr">
        <is>
          <t>pgautam</t>
        </is>
      </c>
      <c r="F4800" s="25" t="n">
        <v>132278</v>
      </c>
      <c r="G4800" s="25" t="n">
        <v>5</v>
      </c>
      <c r="H4800" s="25" t="n">
        <v>27</v>
      </c>
      <c r="I4800" s="25" t="inlineStr">
        <is>
          <t>2 minute(s) and 49 second(s)</t>
        </is>
      </c>
      <c r="J4800" s="25">
        <f>IFERROR(VALUE(TRIM(LEFT(I4800,FIND("minute",I4800)-1)))*60,0)+IFERROR(VALUE(SUBSTITUTE(MID(I4800,IFERROR(FIND("and",I4800)+3,1),20),"second(s)","")),0)</f>
        <v/>
      </c>
      <c r="K4800" s="41">
        <f>J4800/60</f>
        <v/>
      </c>
      <c r="L4800" s="41">
        <f>IFERROR(J4800/H4800,"")</f>
        <v/>
      </c>
      <c r="M4800" s="25" t="inlineStr">
        <is>
          <t>2.5.12</t>
        </is>
      </c>
      <c r="N4800" s="25">
        <f>IF(J4800&gt;300,1,0)</f>
        <v/>
      </c>
      <c r="O4800" s="25">
        <f>IF(J4800&gt;600,1,0)</f>
        <v/>
      </c>
      <c r="P4800" s="25">
        <f>IF(H4800&gt;0,J4800,"")</f>
        <v/>
      </c>
      <c r="Q4800" s="25">
        <f>TEXT(A4800,"YYYY-MM-DD HH")</f>
        <v/>
      </c>
      <c r="R4800" s="25">
        <f>COUNTIF($Q$2:$Q$5295,Q4800)</f>
        <v/>
      </c>
      <c r="S4800" s="25">
        <f>IF(R4800&lt;=2,"1-2",IF(R4800&lt;=5,"3-5",IF(R4800&lt;=10,"6-10","11+")))</f>
        <v/>
      </c>
    </row>
    <row r="4801">
      <c r="A4801" s="39" t="n">
        <v>46227.52359953704</v>
      </c>
      <c r="B4801" s="25">
        <f>TEXT(A4801,"YYYY-MM")</f>
        <v/>
      </c>
      <c r="C4801" s="25">
        <f>TEXT(A4801,"MMM-YYYY")</f>
        <v/>
      </c>
      <c r="D4801" s="40">
        <f>INT(A4801)-WEEKDAY(A4801,2)+1</f>
        <v/>
      </c>
      <c r="E4801" s="25" t="inlineStr">
        <is>
          <t>hsindwani</t>
        </is>
      </c>
      <c r="F4801" s="25" t="n">
        <v>131898</v>
      </c>
      <c r="G4801" s="25" t="n">
        <v>4</v>
      </c>
      <c r="H4801" s="25" t="n">
        <v>16</v>
      </c>
      <c r="I4801" s="25" t="inlineStr">
        <is>
          <t>2 minute(s) and 20 second(s)</t>
        </is>
      </c>
      <c r="J4801" s="25">
        <f>IFERROR(VALUE(TRIM(LEFT(I4801,FIND("minute",I4801)-1)))*60,0)+IFERROR(VALUE(SUBSTITUTE(MID(I4801,IFERROR(FIND("and",I4801)+3,1),20),"second(s)","")),0)</f>
        <v/>
      </c>
      <c r="K4801" s="41">
        <f>J4801/60</f>
        <v/>
      </c>
      <c r="L4801" s="41">
        <f>IFERROR(J4801/H4801,"")</f>
        <v/>
      </c>
      <c r="M4801" s="25" t="inlineStr">
        <is>
          <t>2.5.12</t>
        </is>
      </c>
      <c r="N4801" s="25">
        <f>IF(J4801&gt;300,1,0)</f>
        <v/>
      </c>
      <c r="O4801" s="25">
        <f>IF(J4801&gt;600,1,0)</f>
        <v/>
      </c>
      <c r="P4801" s="25">
        <f>IF(H4801&gt;0,J4801,"")</f>
        <v/>
      </c>
      <c r="Q4801" s="25">
        <f>TEXT(A4801,"YYYY-MM-DD HH")</f>
        <v/>
      </c>
      <c r="R4801" s="25">
        <f>COUNTIF($Q$2:$Q$5295,Q4801)</f>
        <v/>
      </c>
      <c r="S4801" s="25">
        <f>IF(R4801&lt;=2,"1-2",IF(R4801&lt;=5,"3-5",IF(R4801&lt;=10,"6-10","11+")))</f>
        <v/>
      </c>
    </row>
    <row r="4802">
      <c r="A4802" s="39" t="n">
        <v>46227.5402662037</v>
      </c>
      <c r="B4802" s="25">
        <f>TEXT(A4802,"YYYY-MM")</f>
        <v/>
      </c>
      <c r="C4802" s="25">
        <f>TEXT(A4802,"MMM-YYYY")</f>
        <v/>
      </c>
      <c r="D4802" s="40">
        <f>INT(A4802)-WEEKDAY(A4802,2)+1</f>
        <v/>
      </c>
      <c r="E4802" s="25" t="inlineStr">
        <is>
          <t>rsingh</t>
        </is>
      </c>
      <c r="F4802" s="25" t="n">
        <v>128711</v>
      </c>
      <c r="G4802" s="25" t="n">
        <v>1</v>
      </c>
      <c r="H4802" s="25" t="n">
        <v>7</v>
      </c>
      <c r="I4802" s="25" t="inlineStr">
        <is>
          <t>2 minute(s) and 4 second(s)</t>
        </is>
      </c>
      <c r="J4802" s="25">
        <f>IFERROR(VALUE(TRIM(LEFT(I4802,FIND("minute",I4802)-1)))*60,0)+IFERROR(VALUE(SUBSTITUTE(MID(I4802,IFERROR(FIND("and",I4802)+3,1),20),"second(s)","")),0)</f>
        <v/>
      </c>
      <c r="K4802" s="41">
        <f>J4802/60</f>
        <v/>
      </c>
      <c r="L4802" s="41">
        <f>IFERROR(J4802/H4802,"")</f>
        <v/>
      </c>
      <c r="M4802" s="25" t="inlineStr">
        <is>
          <t>2.5.12</t>
        </is>
      </c>
      <c r="N4802" s="25">
        <f>IF(J4802&gt;300,1,0)</f>
        <v/>
      </c>
      <c r="O4802" s="25">
        <f>IF(J4802&gt;600,1,0)</f>
        <v/>
      </c>
      <c r="P4802" s="25">
        <f>IF(H4802&gt;0,J4802,"")</f>
        <v/>
      </c>
      <c r="Q4802" s="25">
        <f>TEXT(A4802,"YYYY-MM-DD HH")</f>
        <v/>
      </c>
      <c r="R4802" s="25">
        <f>COUNTIF($Q$2:$Q$5295,Q4802)</f>
        <v/>
      </c>
      <c r="S4802" s="25">
        <f>IF(R4802&lt;=2,"1-2",IF(R4802&lt;=5,"3-5",IF(R4802&lt;=10,"6-10","11+")))</f>
        <v/>
      </c>
    </row>
    <row r="4803">
      <c r="A4803" s="39" t="n">
        <v>46227.55707175926</v>
      </c>
      <c r="B4803" s="25">
        <f>TEXT(A4803,"YYYY-MM")</f>
        <v/>
      </c>
      <c r="C4803" s="25">
        <f>TEXT(A4803,"MMM-YYYY")</f>
        <v/>
      </c>
      <c r="D4803" s="40">
        <f>INT(A4803)-WEEKDAY(A4803,2)+1</f>
        <v/>
      </c>
      <c r="E4803" s="25" t="inlineStr">
        <is>
          <t>sswati</t>
        </is>
      </c>
      <c r="F4803" s="25" t="n">
        <v>129461</v>
      </c>
      <c r="G4803" s="25" t="n">
        <v>3</v>
      </c>
      <c r="H4803" s="25" t="n">
        <v>15</v>
      </c>
      <c r="I4803" s="25" t="inlineStr">
        <is>
          <t>1 minute(s) and 41 second(s)</t>
        </is>
      </c>
      <c r="J4803" s="25">
        <f>IFERROR(VALUE(TRIM(LEFT(I4803,FIND("minute",I4803)-1)))*60,0)+IFERROR(VALUE(SUBSTITUTE(MID(I4803,IFERROR(FIND("and",I4803)+3,1),20),"second(s)","")),0)</f>
        <v/>
      </c>
      <c r="K4803" s="41">
        <f>J4803/60</f>
        <v/>
      </c>
      <c r="L4803" s="41">
        <f>IFERROR(J4803/H4803,"")</f>
        <v/>
      </c>
      <c r="M4803" s="25" t="inlineStr">
        <is>
          <t>2.5.12</t>
        </is>
      </c>
      <c r="N4803" s="25">
        <f>IF(J4803&gt;300,1,0)</f>
        <v/>
      </c>
      <c r="O4803" s="25">
        <f>IF(J4803&gt;600,1,0)</f>
        <v/>
      </c>
      <c r="P4803" s="25">
        <f>IF(H4803&gt;0,J4803,"")</f>
        <v/>
      </c>
      <c r="Q4803" s="25">
        <f>TEXT(A4803,"YYYY-MM-DD HH")</f>
        <v/>
      </c>
      <c r="R4803" s="25">
        <f>COUNTIF($Q$2:$Q$5295,Q4803)</f>
        <v/>
      </c>
      <c r="S4803" s="25">
        <f>IF(R4803&lt;=2,"1-2",IF(R4803&lt;=5,"3-5",IF(R4803&lt;=10,"6-10","11+")))</f>
        <v/>
      </c>
    </row>
    <row r="4804">
      <c r="A4804" s="39" t="n">
        <v>46227.57145833333</v>
      </c>
      <c r="B4804" s="25">
        <f>TEXT(A4804,"YYYY-MM")</f>
        <v/>
      </c>
      <c r="C4804" s="25">
        <f>TEXT(A4804,"MMM-YYYY")</f>
        <v/>
      </c>
      <c r="D4804" s="40">
        <f>INT(A4804)-WEEKDAY(A4804,2)+1</f>
        <v/>
      </c>
      <c r="E4804" s="25" t="inlineStr">
        <is>
          <t>abanerjee</t>
        </is>
      </c>
      <c r="F4804" s="25" t="n">
        <v>129335</v>
      </c>
      <c r="G4804" s="25" t="n">
        <v>2</v>
      </c>
      <c r="H4804" s="25" t="n">
        <v>10</v>
      </c>
      <c r="I4804" s="25" t="inlineStr">
        <is>
          <t>54 second(s)</t>
        </is>
      </c>
      <c r="J4804" s="25">
        <f>IFERROR(VALUE(TRIM(LEFT(I4804,FIND("minute",I4804)-1)))*60,0)+IFERROR(VALUE(SUBSTITUTE(MID(I4804,IFERROR(FIND("and",I4804)+3,1),20),"second(s)","")),0)</f>
        <v/>
      </c>
      <c r="K4804" s="41">
        <f>J4804/60</f>
        <v/>
      </c>
      <c r="L4804" s="41">
        <f>IFERROR(J4804/H4804,"")</f>
        <v/>
      </c>
      <c r="M4804" s="25" t="inlineStr">
        <is>
          <t>2.5.12</t>
        </is>
      </c>
      <c r="N4804" s="25">
        <f>IF(J4804&gt;300,1,0)</f>
        <v/>
      </c>
      <c r="O4804" s="25">
        <f>IF(J4804&gt;600,1,0)</f>
        <v/>
      </c>
      <c r="P4804" s="25">
        <f>IF(H4804&gt;0,J4804,"")</f>
        <v/>
      </c>
      <c r="Q4804" s="25">
        <f>TEXT(A4804,"YYYY-MM-DD HH")</f>
        <v/>
      </c>
      <c r="R4804" s="25">
        <f>COUNTIF($Q$2:$Q$5295,Q4804)</f>
        <v/>
      </c>
      <c r="S4804" s="25">
        <f>IF(R4804&lt;=2,"1-2",IF(R4804&lt;=5,"3-5",IF(R4804&lt;=10,"6-10","11+")))</f>
        <v/>
      </c>
    </row>
    <row r="4805">
      <c r="A4805" s="39" t="n">
        <v>46227.58127314815</v>
      </c>
      <c r="B4805" s="25">
        <f>TEXT(A4805,"YYYY-MM")</f>
        <v/>
      </c>
      <c r="C4805" s="25">
        <f>TEXT(A4805,"MMM-YYYY")</f>
        <v/>
      </c>
      <c r="D4805" s="40">
        <f>INT(A4805)-WEEKDAY(A4805,2)+1</f>
        <v/>
      </c>
      <c r="E4805" s="25" t="inlineStr">
        <is>
          <t>rsingh</t>
        </is>
      </c>
      <c r="F4805" s="25" t="n">
        <v>128007</v>
      </c>
      <c r="G4805" s="25" t="n">
        <v>1</v>
      </c>
      <c r="H4805" s="25" t="n">
        <v>5</v>
      </c>
      <c r="I4805" s="25" t="inlineStr">
        <is>
          <t>39 second(s)</t>
        </is>
      </c>
      <c r="J4805" s="25">
        <f>IFERROR(VALUE(TRIM(LEFT(I4805,FIND("minute",I4805)-1)))*60,0)+IFERROR(VALUE(SUBSTITUTE(MID(I4805,IFERROR(FIND("and",I4805)+3,1),20),"second(s)","")),0)</f>
        <v/>
      </c>
      <c r="K4805" s="41">
        <f>J4805/60</f>
        <v/>
      </c>
      <c r="L4805" s="41">
        <f>IFERROR(J4805/H4805,"")</f>
        <v/>
      </c>
      <c r="M4805" s="25" t="inlineStr">
        <is>
          <t>2.5.12</t>
        </is>
      </c>
      <c r="N4805" s="25">
        <f>IF(J4805&gt;300,1,0)</f>
        <v/>
      </c>
      <c r="O4805" s="25">
        <f>IF(J4805&gt;600,1,0)</f>
        <v/>
      </c>
      <c r="P4805" s="25">
        <f>IF(H4805&gt;0,J4805,"")</f>
        <v/>
      </c>
      <c r="Q4805" s="25">
        <f>TEXT(A4805,"YYYY-MM-DD HH")</f>
        <v/>
      </c>
      <c r="R4805" s="25">
        <f>COUNTIF($Q$2:$Q$5295,Q4805)</f>
        <v/>
      </c>
      <c r="S4805" s="25">
        <f>IF(R4805&lt;=2,"1-2",IF(R4805&lt;=5,"3-5",IF(R4805&lt;=10,"6-10","11+")))</f>
        <v/>
      </c>
    </row>
    <row r="4806">
      <c r="A4806" s="39" t="n">
        <v>46227.58405092593</v>
      </c>
      <c r="B4806" s="25">
        <f>TEXT(A4806,"YYYY-MM")</f>
        <v/>
      </c>
      <c r="C4806" s="25">
        <f>TEXT(A4806,"MMM-YYYY")</f>
        <v/>
      </c>
      <c r="D4806" s="40">
        <f>INT(A4806)-WEEKDAY(A4806,2)+1</f>
        <v/>
      </c>
      <c r="E4806" s="25" t="inlineStr">
        <is>
          <t>mbhalla</t>
        </is>
      </c>
      <c r="F4806" s="25" t="n">
        <v>129166</v>
      </c>
      <c r="G4806" s="25" t="n">
        <v>1</v>
      </c>
      <c r="H4806" s="25" t="n">
        <v>5</v>
      </c>
      <c r="I4806" s="25" t="inlineStr">
        <is>
          <t>1 minute(s) and 36 second(s)</t>
        </is>
      </c>
      <c r="J4806" s="25">
        <f>IFERROR(VALUE(TRIM(LEFT(I4806,FIND("minute",I4806)-1)))*60,0)+IFERROR(VALUE(SUBSTITUTE(MID(I4806,IFERROR(FIND("and",I4806)+3,1),20),"second(s)","")),0)</f>
        <v/>
      </c>
      <c r="K4806" s="41">
        <f>J4806/60</f>
        <v/>
      </c>
      <c r="L4806" s="41">
        <f>IFERROR(J4806/H4806,"")</f>
        <v/>
      </c>
      <c r="M4806" s="25" t="inlineStr">
        <is>
          <t>2.5.12</t>
        </is>
      </c>
      <c r="N4806" s="25">
        <f>IF(J4806&gt;300,1,0)</f>
        <v/>
      </c>
      <c r="O4806" s="25">
        <f>IF(J4806&gt;600,1,0)</f>
        <v/>
      </c>
      <c r="P4806" s="25">
        <f>IF(H4806&gt;0,J4806,"")</f>
        <v/>
      </c>
      <c r="Q4806" s="25">
        <f>TEXT(A4806,"YYYY-MM-DD HH")</f>
        <v/>
      </c>
      <c r="R4806" s="25">
        <f>COUNTIF($Q$2:$Q$5295,Q4806)</f>
        <v/>
      </c>
      <c r="S4806" s="25">
        <f>IF(R4806&lt;=2,"1-2",IF(R4806&lt;=5,"3-5",IF(R4806&lt;=10,"6-10","11+")))</f>
        <v/>
      </c>
    </row>
    <row r="4807">
      <c r="A4807" s="39" t="n">
        <v>46227.60513888889</v>
      </c>
      <c r="B4807" s="25">
        <f>TEXT(A4807,"YYYY-MM")</f>
        <v/>
      </c>
      <c r="C4807" s="25">
        <f>TEXT(A4807,"MMM-YYYY")</f>
        <v/>
      </c>
      <c r="D4807" s="40">
        <f>INT(A4807)-WEEKDAY(A4807,2)+1</f>
        <v/>
      </c>
      <c r="E4807" s="25" t="inlineStr">
        <is>
          <t>aghosh</t>
        </is>
      </c>
      <c r="F4807" s="25" t="n">
        <v>131718</v>
      </c>
      <c r="G4807" s="25" t="n">
        <v>3</v>
      </c>
      <c r="H4807" s="25" t="n">
        <v>11</v>
      </c>
      <c r="I4807" s="25" t="inlineStr">
        <is>
          <t>1 minute(s) and 30 second(s)</t>
        </is>
      </c>
      <c r="J4807" s="25">
        <f>IFERROR(VALUE(TRIM(LEFT(I4807,FIND("minute",I4807)-1)))*60,0)+IFERROR(VALUE(SUBSTITUTE(MID(I4807,IFERROR(FIND("and",I4807)+3,1),20),"second(s)","")),0)</f>
        <v/>
      </c>
      <c r="K4807" s="41">
        <f>J4807/60</f>
        <v/>
      </c>
      <c r="L4807" s="41">
        <f>IFERROR(J4807/H4807,"")</f>
        <v/>
      </c>
      <c r="M4807" s="25" t="inlineStr">
        <is>
          <t>2.5.12</t>
        </is>
      </c>
      <c r="N4807" s="25">
        <f>IF(J4807&gt;300,1,0)</f>
        <v/>
      </c>
      <c r="O4807" s="25">
        <f>IF(J4807&gt;600,1,0)</f>
        <v/>
      </c>
      <c r="P4807" s="25">
        <f>IF(H4807&gt;0,J4807,"")</f>
        <v/>
      </c>
      <c r="Q4807" s="25">
        <f>TEXT(A4807,"YYYY-MM-DD HH")</f>
        <v/>
      </c>
      <c r="R4807" s="25">
        <f>COUNTIF($Q$2:$Q$5295,Q4807)</f>
        <v/>
      </c>
      <c r="S4807" s="25">
        <f>IF(R4807&lt;=2,"1-2",IF(R4807&lt;=5,"3-5",IF(R4807&lt;=10,"6-10","11+")))</f>
        <v/>
      </c>
    </row>
    <row r="4808">
      <c r="A4808" s="39" t="n">
        <v>46227.62533564815</v>
      </c>
      <c r="B4808" s="25">
        <f>TEXT(A4808,"YYYY-MM")</f>
        <v/>
      </c>
      <c r="C4808" s="25">
        <f>TEXT(A4808,"MMM-YYYY")</f>
        <v/>
      </c>
      <c r="D4808" s="40">
        <f>INT(A4808)-WEEKDAY(A4808,2)+1</f>
        <v/>
      </c>
      <c r="E4808" s="25" t="inlineStr">
        <is>
          <t>ethomas</t>
        </is>
      </c>
      <c r="F4808" s="25" t="n">
        <v>135650</v>
      </c>
      <c r="G4808" s="25" t="n">
        <v>4</v>
      </c>
      <c r="H4808" s="25" t="n">
        <v>28</v>
      </c>
      <c r="I4808" s="25" t="inlineStr">
        <is>
          <t>2 minute(s) and 33 second(s)</t>
        </is>
      </c>
      <c r="J4808" s="25">
        <f>IFERROR(VALUE(TRIM(LEFT(I4808,FIND("minute",I4808)-1)))*60,0)+IFERROR(VALUE(SUBSTITUTE(MID(I4808,IFERROR(FIND("and",I4808)+3,1),20),"second(s)","")),0)</f>
        <v/>
      </c>
      <c r="K4808" s="41">
        <f>J4808/60</f>
        <v/>
      </c>
      <c r="L4808" s="41">
        <f>IFERROR(J4808/H4808,"")</f>
        <v/>
      </c>
      <c r="M4808" s="25" t="inlineStr">
        <is>
          <t>2.5.12</t>
        </is>
      </c>
      <c r="N4808" s="25">
        <f>IF(J4808&gt;300,1,0)</f>
        <v/>
      </c>
      <c r="O4808" s="25">
        <f>IF(J4808&gt;600,1,0)</f>
        <v/>
      </c>
      <c r="P4808" s="25">
        <f>IF(H4808&gt;0,J4808,"")</f>
        <v/>
      </c>
      <c r="Q4808" s="25">
        <f>TEXT(A4808,"YYYY-MM-DD HH")</f>
        <v/>
      </c>
      <c r="R4808" s="25">
        <f>COUNTIF($Q$2:$Q$5295,Q4808)</f>
        <v/>
      </c>
      <c r="S4808" s="25">
        <f>IF(R4808&lt;=2,"1-2",IF(R4808&lt;=5,"3-5",IF(R4808&lt;=10,"6-10","11+")))</f>
        <v/>
      </c>
    </row>
    <row r="4809">
      <c r="A4809" s="39" t="n">
        <v>46227.63545138889</v>
      </c>
      <c r="B4809" s="25">
        <f>TEXT(A4809,"YYYY-MM")</f>
        <v/>
      </c>
      <c r="C4809" s="25">
        <f>TEXT(A4809,"MMM-YYYY")</f>
        <v/>
      </c>
      <c r="D4809" s="40">
        <f>INT(A4809)-WEEKDAY(A4809,2)+1</f>
        <v/>
      </c>
      <c r="E4809" s="25" t="inlineStr">
        <is>
          <t>hsindwani</t>
        </is>
      </c>
      <c r="F4809" s="25" t="n">
        <v>128570</v>
      </c>
      <c r="G4809" s="25" t="n">
        <v>3</v>
      </c>
      <c r="H4809" s="25" t="n">
        <v>15</v>
      </c>
      <c r="I4809" s="25" t="inlineStr">
        <is>
          <t>2 minute(s) and 21 second(s)</t>
        </is>
      </c>
      <c r="J4809" s="25">
        <f>IFERROR(VALUE(TRIM(LEFT(I4809,FIND("minute",I4809)-1)))*60,0)+IFERROR(VALUE(SUBSTITUTE(MID(I4809,IFERROR(FIND("and",I4809)+3,1),20),"second(s)","")),0)</f>
        <v/>
      </c>
      <c r="K4809" s="41">
        <f>J4809/60</f>
        <v/>
      </c>
      <c r="L4809" s="41">
        <f>IFERROR(J4809/H4809,"")</f>
        <v/>
      </c>
      <c r="M4809" s="25" t="inlineStr">
        <is>
          <t>2.5.12</t>
        </is>
      </c>
      <c r="N4809" s="25">
        <f>IF(J4809&gt;300,1,0)</f>
        <v/>
      </c>
      <c r="O4809" s="25">
        <f>IF(J4809&gt;600,1,0)</f>
        <v/>
      </c>
      <c r="P4809" s="25">
        <f>IF(H4809&gt;0,J4809,"")</f>
        <v/>
      </c>
      <c r="Q4809" s="25">
        <f>TEXT(A4809,"YYYY-MM-DD HH")</f>
        <v/>
      </c>
      <c r="R4809" s="25">
        <f>COUNTIF($Q$2:$Q$5295,Q4809)</f>
        <v/>
      </c>
      <c r="S4809" s="25">
        <f>IF(R4809&lt;=2,"1-2",IF(R4809&lt;=5,"3-5",IF(R4809&lt;=10,"6-10","11+")))</f>
        <v/>
      </c>
    </row>
    <row r="4810">
      <c r="A4810" s="39" t="n">
        <v>46227.67327546296</v>
      </c>
      <c r="B4810" s="25">
        <f>TEXT(A4810,"YYYY-MM")</f>
        <v/>
      </c>
      <c r="C4810" s="25">
        <f>TEXT(A4810,"MMM-YYYY")</f>
        <v/>
      </c>
      <c r="D4810" s="40">
        <f>INT(A4810)-WEEKDAY(A4810,2)+1</f>
        <v/>
      </c>
      <c r="E4810" s="25" t="inlineStr">
        <is>
          <t>aghosh</t>
        </is>
      </c>
      <c r="F4810" s="25" t="n">
        <v>131822</v>
      </c>
      <c r="G4810" s="25" t="n">
        <v>4</v>
      </c>
      <c r="H4810" s="25" t="n">
        <v>26</v>
      </c>
      <c r="I4810" s="25" t="inlineStr">
        <is>
          <t>2 minute(s) and 45 second(s)</t>
        </is>
      </c>
      <c r="J4810" s="25">
        <f>IFERROR(VALUE(TRIM(LEFT(I4810,FIND("minute",I4810)-1)))*60,0)+IFERROR(VALUE(SUBSTITUTE(MID(I4810,IFERROR(FIND("and",I4810)+3,1),20),"second(s)","")),0)</f>
        <v/>
      </c>
      <c r="K4810" s="41">
        <f>J4810/60</f>
        <v/>
      </c>
      <c r="L4810" s="41">
        <f>IFERROR(J4810/H4810,"")</f>
        <v/>
      </c>
      <c r="M4810" s="25" t="inlineStr">
        <is>
          <t>2.5.12</t>
        </is>
      </c>
      <c r="N4810" s="25">
        <f>IF(J4810&gt;300,1,0)</f>
        <v/>
      </c>
      <c r="O4810" s="25">
        <f>IF(J4810&gt;600,1,0)</f>
        <v/>
      </c>
      <c r="P4810" s="25">
        <f>IF(H4810&gt;0,J4810,"")</f>
        <v/>
      </c>
      <c r="Q4810" s="25">
        <f>TEXT(A4810,"YYYY-MM-DD HH")</f>
        <v/>
      </c>
      <c r="R4810" s="25">
        <f>COUNTIF($Q$2:$Q$5295,Q4810)</f>
        <v/>
      </c>
      <c r="S4810" s="25">
        <f>IF(R4810&lt;=2,"1-2",IF(R4810&lt;=5,"3-5",IF(R4810&lt;=10,"6-10","11+")))</f>
        <v/>
      </c>
    </row>
    <row r="4811">
      <c r="A4811" s="39" t="n">
        <v>46227.67353009259</v>
      </c>
      <c r="B4811" s="25">
        <f>TEXT(A4811,"YYYY-MM")</f>
        <v/>
      </c>
      <c r="C4811" s="25">
        <f>TEXT(A4811,"MMM-YYYY")</f>
        <v/>
      </c>
      <c r="D4811" s="40">
        <f>INT(A4811)-WEEKDAY(A4811,2)+1</f>
        <v/>
      </c>
      <c r="E4811" s="25" t="inlineStr">
        <is>
          <t>ethomas</t>
        </is>
      </c>
      <c r="F4811" s="25" t="n">
        <v>135736</v>
      </c>
      <c r="G4811" s="25" t="n">
        <v>1</v>
      </c>
      <c r="H4811" s="25" t="n">
        <v>5</v>
      </c>
      <c r="I4811" s="25" t="inlineStr">
        <is>
          <t>29 second(s)</t>
        </is>
      </c>
      <c r="J4811" s="25">
        <f>IFERROR(VALUE(TRIM(LEFT(I4811,FIND("minute",I4811)-1)))*60,0)+IFERROR(VALUE(SUBSTITUTE(MID(I4811,IFERROR(FIND("and",I4811)+3,1),20),"second(s)","")),0)</f>
        <v/>
      </c>
      <c r="K4811" s="41">
        <f>J4811/60</f>
        <v/>
      </c>
      <c r="L4811" s="41">
        <f>IFERROR(J4811/H4811,"")</f>
        <v/>
      </c>
      <c r="M4811" s="25" t="inlineStr">
        <is>
          <t>2.5.12</t>
        </is>
      </c>
      <c r="N4811" s="25">
        <f>IF(J4811&gt;300,1,0)</f>
        <v/>
      </c>
      <c r="O4811" s="25">
        <f>IF(J4811&gt;600,1,0)</f>
        <v/>
      </c>
      <c r="P4811" s="25">
        <f>IF(H4811&gt;0,J4811,"")</f>
        <v/>
      </c>
      <c r="Q4811" s="25">
        <f>TEXT(A4811,"YYYY-MM-DD HH")</f>
        <v/>
      </c>
      <c r="R4811" s="25">
        <f>COUNTIF($Q$2:$Q$5295,Q4811)</f>
        <v/>
      </c>
      <c r="S4811" s="25">
        <f>IF(R4811&lt;=2,"1-2",IF(R4811&lt;=5,"3-5",IF(R4811&lt;=10,"6-10","11+")))</f>
        <v/>
      </c>
    </row>
    <row r="4812">
      <c r="A4812" s="39" t="n">
        <v>46227.68923611111</v>
      </c>
      <c r="B4812" s="25">
        <f>TEXT(A4812,"YYYY-MM")</f>
        <v/>
      </c>
      <c r="C4812" s="25">
        <f>TEXT(A4812,"MMM-YYYY")</f>
        <v/>
      </c>
      <c r="D4812" s="40">
        <f>INT(A4812)-WEEKDAY(A4812,2)+1</f>
        <v/>
      </c>
      <c r="E4812" s="25" t="inlineStr">
        <is>
          <t>ethomas</t>
        </is>
      </c>
      <c r="F4812" s="25" t="n">
        <v>136172</v>
      </c>
      <c r="G4812" s="25" t="n">
        <v>2</v>
      </c>
      <c r="H4812" s="25" t="n">
        <v>10</v>
      </c>
      <c r="I4812" s="25" t="inlineStr">
        <is>
          <t>2 minute(s) and 6 second(s)</t>
        </is>
      </c>
      <c r="J4812" s="25">
        <f>IFERROR(VALUE(TRIM(LEFT(I4812,FIND("minute",I4812)-1)))*60,0)+IFERROR(VALUE(SUBSTITUTE(MID(I4812,IFERROR(FIND("and",I4812)+3,1),20),"second(s)","")),0)</f>
        <v/>
      </c>
      <c r="K4812" s="41">
        <f>J4812/60</f>
        <v/>
      </c>
      <c r="L4812" s="41">
        <f>IFERROR(J4812/H4812,"")</f>
        <v/>
      </c>
      <c r="M4812" s="25" t="inlineStr">
        <is>
          <t>2.5.12</t>
        </is>
      </c>
      <c r="N4812" s="25">
        <f>IF(J4812&gt;300,1,0)</f>
        <v/>
      </c>
      <c r="O4812" s="25">
        <f>IF(J4812&gt;600,1,0)</f>
        <v/>
      </c>
      <c r="P4812" s="25">
        <f>IF(H4812&gt;0,J4812,"")</f>
        <v/>
      </c>
      <c r="Q4812" s="25">
        <f>TEXT(A4812,"YYYY-MM-DD HH")</f>
        <v/>
      </c>
      <c r="R4812" s="25">
        <f>COUNTIF($Q$2:$Q$5295,Q4812)</f>
        <v/>
      </c>
      <c r="S4812" s="25">
        <f>IF(R4812&lt;=2,"1-2",IF(R4812&lt;=5,"3-5",IF(R4812&lt;=10,"6-10","11+")))</f>
        <v/>
      </c>
    </row>
    <row r="4813">
      <c r="A4813" s="39" t="n">
        <v>46227.69189814815</v>
      </c>
      <c r="B4813" s="25">
        <f>TEXT(A4813,"YYYY-MM")</f>
        <v/>
      </c>
      <c r="C4813" s="25">
        <f>TEXT(A4813,"MMM-YYYY")</f>
        <v/>
      </c>
      <c r="D4813" s="40">
        <f>INT(A4813)-WEEKDAY(A4813,2)+1</f>
        <v/>
      </c>
      <c r="E4813" s="25" t="inlineStr">
        <is>
          <t>aghosh</t>
        </is>
      </c>
      <c r="F4813" s="25" t="n">
        <v>132190</v>
      </c>
      <c r="G4813" s="25" t="n">
        <v>2</v>
      </c>
      <c r="H4813" s="25" t="n">
        <v>6</v>
      </c>
      <c r="I4813" s="25" t="inlineStr">
        <is>
          <t>38 second(s)</t>
        </is>
      </c>
      <c r="J4813" s="25">
        <f>IFERROR(VALUE(TRIM(LEFT(I4813,FIND("minute",I4813)-1)))*60,0)+IFERROR(VALUE(SUBSTITUTE(MID(I4813,IFERROR(FIND("and",I4813)+3,1),20),"second(s)","")),0)</f>
        <v/>
      </c>
      <c r="K4813" s="41">
        <f>J4813/60</f>
        <v/>
      </c>
      <c r="L4813" s="41">
        <f>IFERROR(J4813/H4813,"")</f>
        <v/>
      </c>
      <c r="M4813" s="25" t="inlineStr">
        <is>
          <t>2.5.12</t>
        </is>
      </c>
      <c r="N4813" s="25">
        <f>IF(J4813&gt;300,1,0)</f>
        <v/>
      </c>
      <c r="O4813" s="25">
        <f>IF(J4813&gt;600,1,0)</f>
        <v/>
      </c>
      <c r="P4813" s="25">
        <f>IF(H4813&gt;0,J4813,"")</f>
        <v/>
      </c>
      <c r="Q4813" s="25">
        <f>TEXT(A4813,"YYYY-MM-DD HH")</f>
        <v/>
      </c>
      <c r="R4813" s="25">
        <f>COUNTIF($Q$2:$Q$5295,Q4813)</f>
        <v/>
      </c>
      <c r="S4813" s="25">
        <f>IF(R4813&lt;=2,"1-2",IF(R4813&lt;=5,"3-5",IF(R4813&lt;=10,"6-10","11+")))</f>
        <v/>
      </c>
    </row>
    <row r="4814">
      <c r="A4814" s="39" t="n">
        <v>46227.6965625</v>
      </c>
      <c r="B4814" s="25">
        <f>TEXT(A4814,"YYYY-MM")</f>
        <v/>
      </c>
      <c r="C4814" s="25">
        <f>TEXT(A4814,"MMM-YYYY")</f>
        <v/>
      </c>
      <c r="D4814" s="40">
        <f>INT(A4814)-WEEKDAY(A4814,2)+1</f>
        <v/>
      </c>
      <c r="E4814" s="25" t="inlineStr">
        <is>
          <t>mbhalla</t>
        </is>
      </c>
      <c r="F4814" s="25" t="n">
        <v>129214</v>
      </c>
      <c r="G4814" s="25" t="n">
        <v>4</v>
      </c>
      <c r="H4814" s="25" t="n">
        <v>22</v>
      </c>
      <c r="I4814" s="25" t="inlineStr">
        <is>
          <t>2 minute(s) and 0 second(s)</t>
        </is>
      </c>
      <c r="J4814" s="25">
        <f>IFERROR(VALUE(TRIM(LEFT(I4814,FIND("minute",I4814)-1)))*60,0)+IFERROR(VALUE(SUBSTITUTE(MID(I4814,IFERROR(FIND("and",I4814)+3,1),20),"second(s)","")),0)</f>
        <v/>
      </c>
      <c r="K4814" s="41">
        <f>J4814/60</f>
        <v/>
      </c>
      <c r="L4814" s="41">
        <f>IFERROR(J4814/H4814,"")</f>
        <v/>
      </c>
      <c r="M4814" s="25" t="inlineStr">
        <is>
          <t>2.5.12</t>
        </is>
      </c>
      <c r="N4814" s="25">
        <f>IF(J4814&gt;300,1,0)</f>
        <v/>
      </c>
      <c r="O4814" s="25">
        <f>IF(J4814&gt;600,1,0)</f>
        <v/>
      </c>
      <c r="P4814" s="25">
        <f>IF(H4814&gt;0,J4814,"")</f>
        <v/>
      </c>
      <c r="Q4814" s="25">
        <f>TEXT(A4814,"YYYY-MM-DD HH")</f>
        <v/>
      </c>
      <c r="R4814" s="25">
        <f>COUNTIF($Q$2:$Q$5295,Q4814)</f>
        <v/>
      </c>
      <c r="S4814" s="25">
        <f>IF(R4814&lt;=2,"1-2",IF(R4814&lt;=5,"3-5",IF(R4814&lt;=10,"6-10","11+")))</f>
        <v/>
      </c>
    </row>
    <row r="4815">
      <c r="A4815" s="39" t="n">
        <v>46227.72548611111</v>
      </c>
      <c r="B4815" s="25">
        <f>TEXT(A4815,"YYYY-MM")</f>
        <v/>
      </c>
      <c r="C4815" s="25">
        <f>TEXT(A4815,"MMM-YYYY")</f>
        <v/>
      </c>
      <c r="D4815" s="40">
        <f>INT(A4815)-WEEKDAY(A4815,2)+1</f>
        <v/>
      </c>
      <c r="E4815" s="25" t="inlineStr">
        <is>
          <t>hsindwani</t>
        </is>
      </c>
      <c r="F4815" s="25" t="n">
        <v>128386</v>
      </c>
      <c r="G4815" s="25" t="n">
        <v>1</v>
      </c>
      <c r="H4815" s="25" t="n">
        <v>6</v>
      </c>
      <c r="I4815" s="25" t="inlineStr">
        <is>
          <t>35 second(s)</t>
        </is>
      </c>
      <c r="J4815" s="25">
        <f>IFERROR(VALUE(TRIM(LEFT(I4815,FIND("minute",I4815)-1)))*60,0)+IFERROR(VALUE(SUBSTITUTE(MID(I4815,IFERROR(FIND("and",I4815)+3,1),20),"second(s)","")),0)</f>
        <v/>
      </c>
      <c r="K4815" s="41">
        <f>J4815/60</f>
        <v/>
      </c>
      <c r="L4815" s="41">
        <f>IFERROR(J4815/H4815,"")</f>
        <v/>
      </c>
      <c r="M4815" s="25" t="inlineStr">
        <is>
          <t>2.5.12</t>
        </is>
      </c>
      <c r="N4815" s="25">
        <f>IF(J4815&gt;300,1,0)</f>
        <v/>
      </c>
      <c r="O4815" s="25">
        <f>IF(J4815&gt;600,1,0)</f>
        <v/>
      </c>
      <c r="P4815" s="25">
        <f>IF(H4815&gt;0,J4815,"")</f>
        <v/>
      </c>
      <c r="Q4815" s="25">
        <f>TEXT(A4815,"YYYY-MM-DD HH")</f>
        <v/>
      </c>
      <c r="R4815" s="25">
        <f>COUNTIF($Q$2:$Q$5295,Q4815)</f>
        <v/>
      </c>
      <c r="S4815" s="25">
        <f>IF(R4815&lt;=2,"1-2",IF(R4815&lt;=5,"3-5",IF(R4815&lt;=10,"6-10","11+")))</f>
        <v/>
      </c>
    </row>
    <row r="4816">
      <c r="A4816" s="39" t="n">
        <v>46227.79928240741</v>
      </c>
      <c r="B4816" s="25">
        <f>TEXT(A4816,"YYYY-MM")</f>
        <v/>
      </c>
      <c r="C4816" s="25">
        <f>TEXT(A4816,"MMM-YYYY")</f>
        <v/>
      </c>
      <c r="D4816" s="40">
        <f>INT(A4816)-WEEKDAY(A4816,2)+1</f>
        <v/>
      </c>
      <c r="E4816" s="25" t="inlineStr">
        <is>
          <t>hsindwani</t>
        </is>
      </c>
      <c r="F4816" s="25" t="n">
        <v>128514</v>
      </c>
      <c r="G4816" s="25" t="n">
        <v>1</v>
      </c>
      <c r="H4816" s="25" t="n">
        <v>6</v>
      </c>
      <c r="I4816" s="25" t="inlineStr">
        <is>
          <t>44 second(s)</t>
        </is>
      </c>
      <c r="J4816" s="25">
        <f>IFERROR(VALUE(TRIM(LEFT(I4816,FIND("minute",I4816)-1)))*60,0)+IFERROR(VALUE(SUBSTITUTE(MID(I4816,IFERROR(FIND("and",I4816)+3,1),20),"second(s)","")),0)</f>
        <v/>
      </c>
      <c r="K4816" s="41">
        <f>J4816/60</f>
        <v/>
      </c>
      <c r="L4816" s="41">
        <f>IFERROR(J4816/H4816,"")</f>
        <v/>
      </c>
      <c r="M4816" s="25" t="inlineStr">
        <is>
          <t>2.5.12</t>
        </is>
      </c>
      <c r="N4816" s="25">
        <f>IF(J4816&gt;300,1,0)</f>
        <v/>
      </c>
      <c r="O4816" s="25">
        <f>IF(J4816&gt;600,1,0)</f>
        <v/>
      </c>
      <c r="P4816" s="25">
        <f>IF(H4816&gt;0,J4816,"")</f>
        <v/>
      </c>
      <c r="Q4816" s="25">
        <f>TEXT(A4816,"YYYY-MM-DD HH")</f>
        <v/>
      </c>
      <c r="R4816" s="25">
        <f>COUNTIF($Q$2:$Q$5295,Q4816)</f>
        <v/>
      </c>
      <c r="S4816" s="25">
        <f>IF(R4816&lt;=2,"1-2",IF(R4816&lt;=5,"3-5",IF(R4816&lt;=10,"6-10","11+")))</f>
        <v/>
      </c>
    </row>
    <row r="4817">
      <c r="A4817" s="39" t="n">
        <v>46227.8552662037</v>
      </c>
      <c r="B4817" s="25">
        <f>TEXT(A4817,"YYYY-MM")</f>
        <v/>
      </c>
      <c r="C4817" s="25">
        <f>TEXT(A4817,"MMM-YYYY")</f>
        <v/>
      </c>
      <c r="D4817" s="40">
        <f>INT(A4817)-WEEKDAY(A4817,2)+1</f>
        <v/>
      </c>
      <c r="E4817" s="25" t="inlineStr">
        <is>
          <t>hsindwani</t>
        </is>
      </c>
      <c r="F4817" s="25" t="n">
        <v>135577</v>
      </c>
      <c r="G4817" s="25" t="n">
        <v>1</v>
      </c>
      <c r="H4817" s="25" t="n">
        <v>7</v>
      </c>
      <c r="I4817" s="25" t="inlineStr">
        <is>
          <t>1 minute(s) and 10 second(s)</t>
        </is>
      </c>
      <c r="J4817" s="25">
        <f>IFERROR(VALUE(TRIM(LEFT(I4817,FIND("minute",I4817)-1)))*60,0)+IFERROR(VALUE(SUBSTITUTE(MID(I4817,IFERROR(FIND("and",I4817)+3,1),20),"second(s)","")),0)</f>
        <v/>
      </c>
      <c r="K4817" s="41">
        <f>J4817/60</f>
        <v/>
      </c>
      <c r="L4817" s="41">
        <f>IFERROR(J4817/H4817,"")</f>
        <v/>
      </c>
      <c r="M4817" s="25" t="inlineStr">
        <is>
          <t>2.5.12</t>
        </is>
      </c>
      <c r="N4817" s="25">
        <f>IF(J4817&gt;300,1,0)</f>
        <v/>
      </c>
      <c r="O4817" s="25">
        <f>IF(J4817&gt;600,1,0)</f>
        <v/>
      </c>
      <c r="P4817" s="25">
        <f>IF(H4817&gt;0,J4817,"")</f>
        <v/>
      </c>
      <c r="Q4817" s="25">
        <f>TEXT(A4817,"YYYY-MM-DD HH")</f>
        <v/>
      </c>
      <c r="R4817" s="25">
        <f>COUNTIF($Q$2:$Q$5295,Q4817)</f>
        <v/>
      </c>
      <c r="S4817" s="25">
        <f>IF(R4817&lt;=2,"1-2",IF(R4817&lt;=5,"3-5",IF(R4817&lt;=10,"6-10","11+")))</f>
        <v/>
      </c>
    </row>
    <row r="4818">
      <c r="A4818" s="39" t="n">
        <v>46227.85590277778</v>
      </c>
      <c r="B4818" s="25">
        <f>TEXT(A4818,"YYYY-MM")</f>
        <v/>
      </c>
      <c r="C4818" s="25">
        <f>TEXT(A4818,"MMM-YYYY")</f>
        <v/>
      </c>
      <c r="D4818" s="40">
        <f>INT(A4818)-WEEKDAY(A4818,2)+1</f>
        <v/>
      </c>
      <c r="E4818" s="25" t="inlineStr">
        <is>
          <t>pgautam</t>
        </is>
      </c>
      <c r="F4818" s="25" t="n">
        <v>131578</v>
      </c>
      <c r="G4818" s="25" t="n">
        <v>6</v>
      </c>
      <c r="H4818" s="25" t="n">
        <v>22</v>
      </c>
      <c r="I4818" s="25" t="inlineStr">
        <is>
          <t>1 minute(s) and 45 second(s)</t>
        </is>
      </c>
      <c r="J4818" s="25">
        <f>IFERROR(VALUE(TRIM(LEFT(I4818,FIND("minute",I4818)-1)))*60,0)+IFERROR(VALUE(SUBSTITUTE(MID(I4818,IFERROR(FIND("and",I4818)+3,1),20),"second(s)","")),0)</f>
        <v/>
      </c>
      <c r="K4818" s="41">
        <f>J4818/60</f>
        <v/>
      </c>
      <c r="L4818" s="41">
        <f>IFERROR(J4818/H4818,"")</f>
        <v/>
      </c>
      <c r="M4818" s="25" t="inlineStr">
        <is>
          <t>2.5.12</t>
        </is>
      </c>
      <c r="N4818" s="25">
        <f>IF(J4818&gt;300,1,0)</f>
        <v/>
      </c>
      <c r="O4818" s="25">
        <f>IF(J4818&gt;600,1,0)</f>
        <v/>
      </c>
      <c r="P4818" s="25">
        <f>IF(H4818&gt;0,J4818,"")</f>
        <v/>
      </c>
      <c r="Q4818" s="25">
        <f>TEXT(A4818,"YYYY-MM-DD HH")</f>
        <v/>
      </c>
      <c r="R4818" s="25">
        <f>COUNTIF($Q$2:$Q$5295,Q4818)</f>
        <v/>
      </c>
      <c r="S4818" s="25">
        <f>IF(R4818&lt;=2,"1-2",IF(R4818&lt;=5,"3-5",IF(R4818&lt;=10,"6-10","11+")))</f>
        <v/>
      </c>
    </row>
    <row r="4819">
      <c r="A4819" s="39" t="n">
        <v>46227.8867824074</v>
      </c>
      <c r="B4819" s="25">
        <f>TEXT(A4819,"YYYY-MM")</f>
        <v/>
      </c>
      <c r="C4819" s="25">
        <f>TEXT(A4819,"MMM-YYYY")</f>
        <v/>
      </c>
      <c r="D4819" s="40">
        <f>INT(A4819)-WEEKDAY(A4819,2)+1</f>
        <v/>
      </c>
      <c r="E4819" s="25" t="inlineStr">
        <is>
          <t>rsingh</t>
        </is>
      </c>
      <c r="F4819" s="25" t="n">
        <v>128815</v>
      </c>
      <c r="G4819" s="25" t="n">
        <v>2</v>
      </c>
      <c r="H4819" s="25" t="n">
        <v>8</v>
      </c>
      <c r="I4819" s="25" t="inlineStr">
        <is>
          <t>42 second(s)</t>
        </is>
      </c>
      <c r="J4819" s="25">
        <f>IFERROR(VALUE(TRIM(LEFT(I4819,FIND("minute",I4819)-1)))*60,0)+IFERROR(VALUE(SUBSTITUTE(MID(I4819,IFERROR(FIND("and",I4819)+3,1),20),"second(s)","")),0)</f>
        <v/>
      </c>
      <c r="K4819" s="41">
        <f>J4819/60</f>
        <v/>
      </c>
      <c r="L4819" s="41">
        <f>IFERROR(J4819/H4819,"")</f>
        <v/>
      </c>
      <c r="M4819" s="25" t="inlineStr">
        <is>
          <t>2.5.12</t>
        </is>
      </c>
      <c r="N4819" s="25">
        <f>IF(J4819&gt;300,1,0)</f>
        <v/>
      </c>
      <c r="O4819" s="25">
        <f>IF(J4819&gt;600,1,0)</f>
        <v/>
      </c>
      <c r="P4819" s="25">
        <f>IF(H4819&gt;0,J4819,"")</f>
        <v/>
      </c>
      <c r="Q4819" s="25">
        <f>TEXT(A4819,"YYYY-MM-DD HH")</f>
        <v/>
      </c>
      <c r="R4819" s="25">
        <f>COUNTIF($Q$2:$Q$5295,Q4819)</f>
        <v/>
      </c>
      <c r="S4819" s="25">
        <f>IF(R4819&lt;=2,"1-2",IF(R4819&lt;=5,"3-5",IF(R4819&lt;=10,"6-10","11+")))</f>
        <v/>
      </c>
    </row>
    <row r="4820">
      <c r="A4820" s="39" t="n">
        <v>46227.90011574074</v>
      </c>
      <c r="B4820" s="25">
        <f>TEXT(A4820,"YYYY-MM")</f>
        <v/>
      </c>
      <c r="C4820" s="25">
        <f>TEXT(A4820,"MMM-YYYY")</f>
        <v/>
      </c>
      <c r="D4820" s="40">
        <f>INT(A4820)-WEEKDAY(A4820,2)+1</f>
        <v/>
      </c>
      <c r="E4820" s="25" t="inlineStr">
        <is>
          <t>ssrinivasan</t>
        </is>
      </c>
      <c r="F4820" s="25" t="n">
        <v>137298</v>
      </c>
      <c r="G4820" s="25" t="n">
        <v>4</v>
      </c>
      <c r="H4820" s="25" t="n">
        <v>24</v>
      </c>
      <c r="I4820" s="25" t="inlineStr">
        <is>
          <t>4 minute(s) and 5 second(s)</t>
        </is>
      </c>
      <c r="J4820" s="25">
        <f>IFERROR(VALUE(TRIM(LEFT(I4820,FIND("minute",I4820)-1)))*60,0)+IFERROR(VALUE(SUBSTITUTE(MID(I4820,IFERROR(FIND("and",I4820)+3,1),20),"second(s)","")),0)</f>
        <v/>
      </c>
      <c r="K4820" s="41">
        <f>J4820/60</f>
        <v/>
      </c>
      <c r="L4820" s="41">
        <f>IFERROR(J4820/H4820,"")</f>
        <v/>
      </c>
      <c r="M4820" s="25" t="inlineStr">
        <is>
          <t>2.5.12</t>
        </is>
      </c>
      <c r="N4820" s="25">
        <f>IF(J4820&gt;300,1,0)</f>
        <v/>
      </c>
      <c r="O4820" s="25">
        <f>IF(J4820&gt;600,1,0)</f>
        <v/>
      </c>
      <c r="P4820" s="25">
        <f>IF(H4820&gt;0,J4820,"")</f>
        <v/>
      </c>
      <c r="Q4820" s="25">
        <f>TEXT(A4820,"YYYY-MM-DD HH")</f>
        <v/>
      </c>
      <c r="R4820" s="25">
        <f>COUNTIF($Q$2:$Q$5295,Q4820)</f>
        <v/>
      </c>
      <c r="S4820" s="25">
        <f>IF(R4820&lt;=2,"1-2",IF(R4820&lt;=5,"3-5",IF(R4820&lt;=10,"6-10","11+")))</f>
        <v/>
      </c>
    </row>
    <row r="4821">
      <c r="A4821" s="39" t="n">
        <v>46227.9493287037</v>
      </c>
      <c r="B4821" s="25">
        <f>TEXT(A4821,"YYYY-MM")</f>
        <v/>
      </c>
      <c r="C4821" s="25">
        <f>TEXT(A4821,"MMM-YYYY")</f>
        <v/>
      </c>
      <c r="D4821" s="40">
        <f>INT(A4821)-WEEKDAY(A4821,2)+1</f>
        <v/>
      </c>
      <c r="E4821" s="25" t="inlineStr">
        <is>
          <t>dchoudhury</t>
        </is>
      </c>
      <c r="F4821" s="25" t="n">
        <v>136152</v>
      </c>
      <c r="G4821" s="25" t="n">
        <v>4</v>
      </c>
      <c r="H4821" s="25" t="n">
        <v>21</v>
      </c>
      <c r="I4821" s="25" t="inlineStr">
        <is>
          <t>2 minute(s) and 25 second(s)</t>
        </is>
      </c>
      <c r="J4821" s="25">
        <f>IFERROR(VALUE(TRIM(LEFT(I4821,FIND("minute",I4821)-1)))*60,0)+IFERROR(VALUE(SUBSTITUTE(MID(I4821,IFERROR(FIND("and",I4821)+3,1),20),"second(s)","")),0)</f>
        <v/>
      </c>
      <c r="K4821" s="41">
        <f>J4821/60</f>
        <v/>
      </c>
      <c r="L4821" s="41">
        <f>IFERROR(J4821/H4821,"")</f>
        <v/>
      </c>
      <c r="M4821" s="25" t="inlineStr">
        <is>
          <t>2.5.12</t>
        </is>
      </c>
      <c r="N4821" s="25">
        <f>IF(J4821&gt;300,1,0)</f>
        <v/>
      </c>
      <c r="O4821" s="25">
        <f>IF(J4821&gt;600,1,0)</f>
        <v/>
      </c>
      <c r="P4821" s="25">
        <f>IF(H4821&gt;0,J4821,"")</f>
        <v/>
      </c>
      <c r="Q4821" s="25">
        <f>TEXT(A4821,"YYYY-MM-DD HH")</f>
        <v/>
      </c>
      <c r="R4821" s="25">
        <f>COUNTIF($Q$2:$Q$5295,Q4821)</f>
        <v/>
      </c>
      <c r="S4821" s="25">
        <f>IF(R4821&lt;=2,"1-2",IF(R4821&lt;=5,"3-5",IF(R4821&lt;=10,"6-10","11+")))</f>
        <v/>
      </c>
    </row>
    <row r="4822">
      <c r="A4822" s="39" t="n">
        <v>46227.97474537037</v>
      </c>
      <c r="B4822" s="25">
        <f>TEXT(A4822,"YYYY-MM")</f>
        <v/>
      </c>
      <c r="C4822" s="25">
        <f>TEXT(A4822,"MMM-YYYY")</f>
        <v/>
      </c>
      <c r="D4822" s="40">
        <f>INT(A4822)-WEEKDAY(A4822,2)+1</f>
        <v/>
      </c>
      <c r="E4822" s="25" t="inlineStr">
        <is>
          <t>ssrinivasan</t>
        </is>
      </c>
      <c r="F4822" s="25" t="n">
        <v>136553</v>
      </c>
      <c r="G4822" s="25" t="n">
        <v>4</v>
      </c>
      <c r="H4822" s="25" t="n">
        <v>28</v>
      </c>
      <c r="I4822" s="25" t="inlineStr">
        <is>
          <t>4 minute(s) and 10 second(s)</t>
        </is>
      </c>
      <c r="J4822" s="25">
        <f>IFERROR(VALUE(TRIM(LEFT(I4822,FIND("minute",I4822)-1)))*60,0)+IFERROR(VALUE(SUBSTITUTE(MID(I4822,IFERROR(FIND("and",I4822)+3,1),20),"second(s)","")),0)</f>
        <v/>
      </c>
      <c r="K4822" s="41">
        <f>J4822/60</f>
        <v/>
      </c>
      <c r="L4822" s="41">
        <f>IFERROR(J4822/H4822,"")</f>
        <v/>
      </c>
      <c r="M4822" s="25" t="inlineStr">
        <is>
          <t>2.5.12</t>
        </is>
      </c>
      <c r="N4822" s="25">
        <f>IF(J4822&gt;300,1,0)</f>
        <v/>
      </c>
      <c r="O4822" s="25">
        <f>IF(J4822&gt;600,1,0)</f>
        <v/>
      </c>
      <c r="P4822" s="25">
        <f>IF(H4822&gt;0,J4822,"")</f>
        <v/>
      </c>
      <c r="Q4822" s="25">
        <f>TEXT(A4822,"YYYY-MM-DD HH")</f>
        <v/>
      </c>
      <c r="R4822" s="25">
        <f>COUNTIF($Q$2:$Q$5295,Q4822)</f>
        <v/>
      </c>
      <c r="S4822" s="25">
        <f>IF(R4822&lt;=2,"1-2",IF(R4822&lt;=5,"3-5",IF(R4822&lt;=10,"6-10","11+")))</f>
        <v/>
      </c>
    </row>
    <row r="4823">
      <c r="A4823" s="39" t="n">
        <v>46228.02523148148</v>
      </c>
      <c r="B4823" s="25">
        <f>TEXT(A4823,"YYYY-MM")</f>
        <v/>
      </c>
      <c r="C4823" s="25">
        <f>TEXT(A4823,"MMM-YYYY")</f>
        <v/>
      </c>
      <c r="D4823" s="40">
        <f>INT(A4823)-WEEKDAY(A4823,2)+1</f>
        <v/>
      </c>
      <c r="E4823" s="25" t="inlineStr">
        <is>
          <t>sdey</t>
        </is>
      </c>
      <c r="F4823" s="25" t="n">
        <v>132564</v>
      </c>
      <c r="G4823" s="25" t="n">
        <v>4</v>
      </c>
      <c r="H4823" s="25" t="n">
        <v>20</v>
      </c>
      <c r="I4823" s="25" t="inlineStr">
        <is>
          <t>3 minute(s) and 59 second(s)</t>
        </is>
      </c>
      <c r="J4823" s="25">
        <f>IFERROR(VALUE(TRIM(LEFT(I4823,FIND("minute",I4823)-1)))*60,0)+IFERROR(VALUE(SUBSTITUTE(MID(I4823,IFERROR(FIND("and",I4823)+3,1),20),"second(s)","")),0)</f>
        <v/>
      </c>
      <c r="K4823" s="41">
        <f>J4823/60</f>
        <v/>
      </c>
      <c r="L4823" s="41">
        <f>IFERROR(J4823/H4823,"")</f>
        <v/>
      </c>
      <c r="M4823" s="25" t="inlineStr">
        <is>
          <t>2.5.12</t>
        </is>
      </c>
      <c r="N4823" s="25">
        <f>IF(J4823&gt;300,1,0)</f>
        <v/>
      </c>
      <c r="O4823" s="25">
        <f>IF(J4823&gt;600,1,0)</f>
        <v/>
      </c>
      <c r="P4823" s="25">
        <f>IF(H4823&gt;0,J4823,"")</f>
        <v/>
      </c>
      <c r="Q4823" s="25">
        <f>TEXT(A4823,"YYYY-MM-DD HH")</f>
        <v/>
      </c>
      <c r="R4823" s="25">
        <f>COUNTIF($Q$2:$Q$5295,Q4823)</f>
        <v/>
      </c>
      <c r="S4823" s="25">
        <f>IF(R4823&lt;=2,"1-2",IF(R4823&lt;=5,"3-5",IF(R4823&lt;=10,"6-10","11+")))</f>
        <v/>
      </c>
    </row>
    <row r="4824">
      <c r="A4824" s="39" t="n">
        <v>46228.02540509259</v>
      </c>
      <c r="B4824" s="25">
        <f>TEXT(A4824,"YYYY-MM")</f>
        <v/>
      </c>
      <c r="C4824" s="25">
        <f>TEXT(A4824,"MMM-YYYY")</f>
        <v/>
      </c>
      <c r="D4824" s="40">
        <f>INT(A4824)-WEEKDAY(A4824,2)+1</f>
        <v/>
      </c>
      <c r="E4824" s="25" t="inlineStr">
        <is>
          <t>ns</t>
        </is>
      </c>
      <c r="F4824" s="25" t="n">
        <v>136629</v>
      </c>
      <c r="G4824" s="25" t="n">
        <v>1</v>
      </c>
      <c r="H4824" s="25" t="n">
        <v>5</v>
      </c>
      <c r="I4824" s="25" t="inlineStr">
        <is>
          <t>28 second(s)</t>
        </is>
      </c>
      <c r="J4824" s="25">
        <f>IFERROR(VALUE(TRIM(LEFT(I4824,FIND("minute",I4824)-1)))*60,0)+IFERROR(VALUE(SUBSTITUTE(MID(I4824,IFERROR(FIND("and",I4824)+3,1),20),"second(s)","")),0)</f>
        <v/>
      </c>
      <c r="K4824" s="41">
        <f>J4824/60</f>
        <v/>
      </c>
      <c r="L4824" s="41">
        <f>IFERROR(J4824/H4824,"")</f>
        <v/>
      </c>
      <c r="M4824" s="25" t="inlineStr">
        <is>
          <t>2.5.12</t>
        </is>
      </c>
      <c r="N4824" s="25">
        <f>IF(J4824&gt;300,1,0)</f>
        <v/>
      </c>
      <c r="O4824" s="25">
        <f>IF(J4824&gt;600,1,0)</f>
        <v/>
      </c>
      <c r="P4824" s="25">
        <f>IF(H4824&gt;0,J4824,"")</f>
        <v/>
      </c>
      <c r="Q4824" s="25">
        <f>TEXT(A4824,"YYYY-MM-DD HH")</f>
        <v/>
      </c>
      <c r="R4824" s="25">
        <f>COUNTIF($Q$2:$Q$5295,Q4824)</f>
        <v/>
      </c>
      <c r="S4824" s="25">
        <f>IF(R4824&lt;=2,"1-2",IF(R4824&lt;=5,"3-5",IF(R4824&lt;=10,"6-10","11+")))</f>
        <v/>
      </c>
    </row>
    <row r="4825">
      <c r="A4825" s="39" t="n">
        <v>46228.04105324074</v>
      </c>
      <c r="B4825" s="25">
        <f>TEXT(A4825,"YYYY-MM")</f>
        <v/>
      </c>
      <c r="C4825" s="25">
        <f>TEXT(A4825,"MMM-YYYY")</f>
        <v/>
      </c>
      <c r="D4825" s="40">
        <f>INT(A4825)-WEEKDAY(A4825,2)+1</f>
        <v/>
      </c>
      <c r="E4825" s="25" t="inlineStr">
        <is>
          <t>shassan</t>
        </is>
      </c>
      <c r="F4825" s="25" t="n">
        <v>129957</v>
      </c>
      <c r="G4825" s="25" t="n">
        <v>2</v>
      </c>
      <c r="H4825" s="25" t="n">
        <v>6</v>
      </c>
      <c r="I4825" s="25" t="inlineStr">
        <is>
          <t>37 second(s)</t>
        </is>
      </c>
      <c r="J4825" s="25">
        <f>IFERROR(VALUE(TRIM(LEFT(I4825,FIND("minute",I4825)-1)))*60,0)+IFERROR(VALUE(SUBSTITUTE(MID(I4825,IFERROR(FIND("and",I4825)+3,1),20),"second(s)","")),0)</f>
        <v/>
      </c>
      <c r="K4825" s="41">
        <f>J4825/60</f>
        <v/>
      </c>
      <c r="L4825" s="41">
        <f>IFERROR(J4825/H4825,"")</f>
        <v/>
      </c>
      <c r="M4825" s="25" t="inlineStr">
        <is>
          <t>2.5.12</t>
        </is>
      </c>
      <c r="N4825" s="25">
        <f>IF(J4825&gt;300,1,0)</f>
        <v/>
      </c>
      <c r="O4825" s="25">
        <f>IF(J4825&gt;600,1,0)</f>
        <v/>
      </c>
      <c r="P4825" s="25">
        <f>IF(H4825&gt;0,J4825,"")</f>
        <v/>
      </c>
      <c r="Q4825" s="25">
        <f>TEXT(A4825,"YYYY-MM-DD HH")</f>
        <v/>
      </c>
      <c r="R4825" s="25">
        <f>COUNTIF($Q$2:$Q$5295,Q4825)</f>
        <v/>
      </c>
      <c r="S4825" s="25">
        <f>IF(R4825&lt;=2,"1-2",IF(R4825&lt;=5,"3-5",IF(R4825&lt;=10,"6-10","11+")))</f>
        <v/>
      </c>
    </row>
    <row r="4826">
      <c r="A4826" s="39" t="n">
        <v>46228.07056712963</v>
      </c>
      <c r="B4826" s="25">
        <f>TEXT(A4826,"YYYY-MM")</f>
        <v/>
      </c>
      <c r="C4826" s="25">
        <f>TEXT(A4826,"MMM-YYYY")</f>
        <v/>
      </c>
      <c r="D4826" s="40">
        <f>INT(A4826)-WEEKDAY(A4826,2)+1</f>
        <v/>
      </c>
      <c r="E4826" s="25" t="inlineStr">
        <is>
          <t>npriya</t>
        </is>
      </c>
      <c r="F4826" s="25" t="n">
        <v>136433</v>
      </c>
      <c r="G4826" s="25" t="n">
        <v>4</v>
      </c>
      <c r="H4826" s="25" t="n">
        <v>22</v>
      </c>
      <c r="I4826" s="25" t="inlineStr">
        <is>
          <t>3 minute(s) and 23 second(s)</t>
        </is>
      </c>
      <c r="J4826" s="25">
        <f>IFERROR(VALUE(TRIM(LEFT(I4826,FIND("minute",I4826)-1)))*60,0)+IFERROR(VALUE(SUBSTITUTE(MID(I4826,IFERROR(FIND("and",I4826)+3,1),20),"second(s)","")),0)</f>
        <v/>
      </c>
      <c r="K4826" s="41">
        <f>J4826/60</f>
        <v/>
      </c>
      <c r="L4826" s="41">
        <f>IFERROR(J4826/H4826,"")</f>
        <v/>
      </c>
      <c r="M4826" s="25" t="inlineStr">
        <is>
          <t>2.5.12</t>
        </is>
      </c>
      <c r="N4826" s="25">
        <f>IF(J4826&gt;300,1,0)</f>
        <v/>
      </c>
      <c r="O4826" s="25">
        <f>IF(J4826&gt;600,1,0)</f>
        <v/>
      </c>
      <c r="P4826" s="25">
        <f>IF(H4826&gt;0,J4826,"")</f>
        <v/>
      </c>
      <c r="Q4826" s="25">
        <f>TEXT(A4826,"YYYY-MM-DD HH")</f>
        <v/>
      </c>
      <c r="R4826" s="25">
        <f>COUNTIF($Q$2:$Q$5295,Q4826)</f>
        <v/>
      </c>
      <c r="S4826" s="25">
        <f>IF(R4826&lt;=2,"1-2",IF(R4826&lt;=5,"3-5",IF(R4826&lt;=10,"6-10","11+")))</f>
        <v/>
      </c>
    </row>
    <row r="4827">
      <c r="A4827" s="39" t="n">
        <v>46228.08023148148</v>
      </c>
      <c r="B4827" s="25">
        <f>TEXT(A4827,"YYYY-MM")</f>
        <v/>
      </c>
      <c r="C4827" s="25">
        <f>TEXT(A4827,"MMM-YYYY")</f>
        <v/>
      </c>
      <c r="D4827" s="40">
        <f>INT(A4827)-WEEKDAY(A4827,2)+1</f>
        <v/>
      </c>
      <c r="E4827" s="25" t="inlineStr">
        <is>
          <t>sasharma</t>
        </is>
      </c>
      <c r="F4827" s="25" t="n">
        <v>129893</v>
      </c>
      <c r="G4827" s="25" t="n">
        <v>2</v>
      </c>
      <c r="H4827" s="25" t="n">
        <v>12</v>
      </c>
      <c r="I4827" s="25" t="inlineStr">
        <is>
          <t>1 minute(s) and 3 second(s)</t>
        </is>
      </c>
      <c r="J4827" s="25">
        <f>IFERROR(VALUE(TRIM(LEFT(I4827,FIND("minute",I4827)-1)))*60,0)+IFERROR(VALUE(SUBSTITUTE(MID(I4827,IFERROR(FIND("and",I4827)+3,1),20),"second(s)","")),0)</f>
        <v/>
      </c>
      <c r="K4827" s="41">
        <f>J4827/60</f>
        <v/>
      </c>
      <c r="L4827" s="41">
        <f>IFERROR(J4827/H4827,"")</f>
        <v/>
      </c>
      <c r="M4827" s="25" t="inlineStr">
        <is>
          <t>2.5.12</t>
        </is>
      </c>
      <c r="N4827" s="25">
        <f>IF(J4827&gt;300,1,0)</f>
        <v/>
      </c>
      <c r="O4827" s="25">
        <f>IF(J4827&gt;600,1,0)</f>
        <v/>
      </c>
      <c r="P4827" s="25">
        <f>IF(H4827&gt;0,J4827,"")</f>
        <v/>
      </c>
      <c r="Q4827" s="25">
        <f>TEXT(A4827,"YYYY-MM-DD HH")</f>
        <v/>
      </c>
      <c r="R4827" s="25">
        <f>COUNTIF($Q$2:$Q$5295,Q4827)</f>
        <v/>
      </c>
      <c r="S4827" s="25">
        <f>IF(R4827&lt;=2,"1-2",IF(R4827&lt;=5,"3-5",IF(R4827&lt;=10,"6-10","11+")))</f>
        <v/>
      </c>
    </row>
    <row r="4828">
      <c r="A4828" s="39" t="n">
        <v>46228.08375</v>
      </c>
      <c r="B4828" s="25">
        <f>TEXT(A4828,"YYYY-MM")</f>
        <v/>
      </c>
      <c r="C4828" s="25">
        <f>TEXT(A4828,"MMM-YYYY")</f>
        <v/>
      </c>
      <c r="D4828" s="40">
        <f>INT(A4828)-WEEKDAY(A4828,2)+1</f>
        <v/>
      </c>
      <c r="E4828" s="25" t="inlineStr">
        <is>
          <t>aghosh</t>
        </is>
      </c>
      <c r="F4828" s="25" t="n">
        <v>136216</v>
      </c>
      <c r="G4828" s="25" t="n">
        <v>2</v>
      </c>
      <c r="H4828" s="25" t="n">
        <v>6</v>
      </c>
      <c r="I4828" s="25" t="inlineStr">
        <is>
          <t>30 second(s)</t>
        </is>
      </c>
      <c r="J4828" s="25">
        <f>IFERROR(VALUE(TRIM(LEFT(I4828,FIND("minute",I4828)-1)))*60,0)+IFERROR(VALUE(SUBSTITUTE(MID(I4828,IFERROR(FIND("and",I4828)+3,1),20),"second(s)","")),0)</f>
        <v/>
      </c>
      <c r="K4828" s="41">
        <f>J4828/60</f>
        <v/>
      </c>
      <c r="L4828" s="41">
        <f>IFERROR(J4828/H4828,"")</f>
        <v/>
      </c>
      <c r="M4828" s="25" t="inlineStr">
        <is>
          <t>2.5.12</t>
        </is>
      </c>
      <c r="N4828" s="25">
        <f>IF(J4828&gt;300,1,0)</f>
        <v/>
      </c>
      <c r="O4828" s="25">
        <f>IF(J4828&gt;600,1,0)</f>
        <v/>
      </c>
      <c r="P4828" s="25">
        <f>IF(H4828&gt;0,J4828,"")</f>
        <v/>
      </c>
      <c r="Q4828" s="25">
        <f>TEXT(A4828,"YYYY-MM-DD HH")</f>
        <v/>
      </c>
      <c r="R4828" s="25">
        <f>COUNTIF($Q$2:$Q$5295,Q4828)</f>
        <v/>
      </c>
      <c r="S4828" s="25">
        <f>IF(R4828&lt;=2,"1-2",IF(R4828&lt;=5,"3-5",IF(R4828&lt;=10,"6-10","11+")))</f>
        <v/>
      </c>
    </row>
    <row r="4829">
      <c r="A4829" s="39" t="n">
        <v>46228.08454861111</v>
      </c>
      <c r="B4829" s="25">
        <f>TEXT(A4829,"YYYY-MM")</f>
        <v/>
      </c>
      <c r="C4829" s="25">
        <f>TEXT(A4829,"MMM-YYYY")</f>
        <v/>
      </c>
      <c r="D4829" s="40">
        <f>INT(A4829)-WEEKDAY(A4829,2)+1</f>
        <v/>
      </c>
      <c r="E4829" s="25" t="inlineStr">
        <is>
          <t>shassan</t>
        </is>
      </c>
      <c r="F4829" s="25" t="n">
        <v>129781</v>
      </c>
      <c r="G4829" s="25" t="n">
        <v>2</v>
      </c>
      <c r="H4829" s="25" t="n">
        <v>6</v>
      </c>
      <c r="I4829" s="25" t="inlineStr">
        <is>
          <t>1 minute(s) and 46 second(s)</t>
        </is>
      </c>
      <c r="J4829" s="25">
        <f>IFERROR(VALUE(TRIM(LEFT(I4829,FIND("minute",I4829)-1)))*60,0)+IFERROR(VALUE(SUBSTITUTE(MID(I4829,IFERROR(FIND("and",I4829)+3,1),20),"second(s)","")),0)</f>
        <v/>
      </c>
      <c r="K4829" s="41">
        <f>J4829/60</f>
        <v/>
      </c>
      <c r="L4829" s="41">
        <f>IFERROR(J4829/H4829,"")</f>
        <v/>
      </c>
      <c r="M4829" s="25" t="inlineStr">
        <is>
          <t>2.5.12</t>
        </is>
      </c>
      <c r="N4829" s="25">
        <f>IF(J4829&gt;300,1,0)</f>
        <v/>
      </c>
      <c r="O4829" s="25">
        <f>IF(J4829&gt;600,1,0)</f>
        <v/>
      </c>
      <c r="P4829" s="25">
        <f>IF(H4829&gt;0,J4829,"")</f>
        <v/>
      </c>
      <c r="Q4829" s="25">
        <f>TEXT(A4829,"YYYY-MM-DD HH")</f>
        <v/>
      </c>
      <c r="R4829" s="25">
        <f>COUNTIF($Q$2:$Q$5295,Q4829)</f>
        <v/>
      </c>
      <c r="S4829" s="25">
        <f>IF(R4829&lt;=2,"1-2",IF(R4829&lt;=5,"3-5",IF(R4829&lt;=10,"6-10","11+")))</f>
        <v/>
      </c>
    </row>
    <row r="4830">
      <c r="A4830" s="39" t="n">
        <v>46228.08480324074</v>
      </c>
      <c r="B4830" s="25">
        <f>TEXT(A4830,"YYYY-MM")</f>
        <v/>
      </c>
      <c r="C4830" s="25">
        <f>TEXT(A4830,"MMM-YYYY")</f>
        <v/>
      </c>
      <c r="D4830" s="40">
        <f>INT(A4830)-WEEKDAY(A4830,2)+1</f>
        <v/>
      </c>
      <c r="E4830" s="25" t="inlineStr">
        <is>
          <t>stiwari</t>
        </is>
      </c>
      <c r="F4830" s="25" t="n">
        <v>137757</v>
      </c>
      <c r="G4830" s="25" t="n">
        <v>4</v>
      </c>
      <c r="H4830" s="25" t="n">
        <v>28</v>
      </c>
      <c r="I4830" s="25" t="inlineStr">
        <is>
          <t>3 minute(s) and 14 second(s)</t>
        </is>
      </c>
      <c r="J4830" s="25">
        <f>IFERROR(VALUE(TRIM(LEFT(I4830,FIND("minute",I4830)-1)))*60,0)+IFERROR(VALUE(SUBSTITUTE(MID(I4830,IFERROR(FIND("and",I4830)+3,1),20),"second(s)","")),0)</f>
        <v/>
      </c>
      <c r="K4830" s="41">
        <f>J4830/60</f>
        <v/>
      </c>
      <c r="L4830" s="41">
        <f>IFERROR(J4830/H4830,"")</f>
        <v/>
      </c>
      <c r="M4830" s="25" t="inlineStr">
        <is>
          <t>2.5.12</t>
        </is>
      </c>
      <c r="N4830" s="25">
        <f>IF(J4830&gt;300,1,0)</f>
        <v/>
      </c>
      <c r="O4830" s="25">
        <f>IF(J4830&gt;600,1,0)</f>
        <v/>
      </c>
      <c r="P4830" s="25">
        <f>IF(H4830&gt;0,J4830,"")</f>
        <v/>
      </c>
      <c r="Q4830" s="25">
        <f>TEXT(A4830,"YYYY-MM-DD HH")</f>
        <v/>
      </c>
      <c r="R4830" s="25">
        <f>COUNTIF($Q$2:$Q$5295,Q4830)</f>
        <v/>
      </c>
      <c r="S4830" s="25">
        <f>IF(R4830&lt;=2,"1-2",IF(R4830&lt;=5,"3-5",IF(R4830&lt;=10,"6-10","11+")))</f>
        <v/>
      </c>
    </row>
    <row r="4831">
      <c r="A4831" s="39" t="n">
        <v>46228.08518518518</v>
      </c>
      <c r="B4831" s="25">
        <f>TEXT(A4831,"YYYY-MM")</f>
        <v/>
      </c>
      <c r="C4831" s="25">
        <f>TEXT(A4831,"MMM-YYYY")</f>
        <v/>
      </c>
      <c r="D4831" s="40">
        <f>INT(A4831)-WEEKDAY(A4831,2)+1</f>
        <v/>
      </c>
      <c r="E4831" s="25" t="inlineStr">
        <is>
          <t>ethomas</t>
        </is>
      </c>
      <c r="F4831" s="25" t="n">
        <v>138272</v>
      </c>
      <c r="G4831" s="25" t="n">
        <v>4</v>
      </c>
      <c r="H4831" s="25" t="n">
        <v>26</v>
      </c>
      <c r="I4831" s="25" t="inlineStr">
        <is>
          <t>3 minute(s) and 7 second(s)</t>
        </is>
      </c>
      <c r="J4831" s="25">
        <f>IFERROR(VALUE(TRIM(LEFT(I4831,FIND("minute",I4831)-1)))*60,0)+IFERROR(VALUE(SUBSTITUTE(MID(I4831,IFERROR(FIND("and",I4831)+3,1),20),"second(s)","")),0)</f>
        <v/>
      </c>
      <c r="K4831" s="41">
        <f>J4831/60</f>
        <v/>
      </c>
      <c r="L4831" s="41">
        <f>IFERROR(J4831/H4831,"")</f>
        <v/>
      </c>
      <c r="M4831" s="25" t="inlineStr">
        <is>
          <t>2.5.12</t>
        </is>
      </c>
      <c r="N4831" s="25">
        <f>IF(J4831&gt;300,1,0)</f>
        <v/>
      </c>
      <c r="O4831" s="25">
        <f>IF(J4831&gt;600,1,0)</f>
        <v/>
      </c>
      <c r="P4831" s="25">
        <f>IF(H4831&gt;0,J4831,"")</f>
        <v/>
      </c>
      <c r="Q4831" s="25">
        <f>TEXT(A4831,"YYYY-MM-DD HH")</f>
        <v/>
      </c>
      <c r="R4831" s="25">
        <f>COUNTIF($Q$2:$Q$5295,Q4831)</f>
        <v/>
      </c>
      <c r="S4831" s="25">
        <f>IF(R4831&lt;=2,"1-2",IF(R4831&lt;=5,"3-5",IF(R4831&lt;=10,"6-10","11+")))</f>
        <v/>
      </c>
    </row>
    <row r="4832">
      <c r="A4832" s="39" t="n">
        <v>46228.08726851852</v>
      </c>
      <c r="B4832" s="25">
        <f>TEXT(A4832,"YYYY-MM")</f>
        <v/>
      </c>
      <c r="C4832" s="25">
        <f>TEXT(A4832,"MMM-YYYY")</f>
        <v/>
      </c>
      <c r="D4832" s="40">
        <f>INT(A4832)-WEEKDAY(A4832,2)+1</f>
        <v/>
      </c>
      <c r="E4832" s="25" t="inlineStr">
        <is>
          <t>sphatak</t>
        </is>
      </c>
      <c r="F4832" s="25" t="n">
        <v>130476</v>
      </c>
      <c r="G4832" s="25" t="n">
        <v>1</v>
      </c>
      <c r="H4832" s="25" t="n">
        <v>5</v>
      </c>
      <c r="I4832" s="25" t="inlineStr">
        <is>
          <t>24 second(s)</t>
        </is>
      </c>
      <c r="J4832" s="25">
        <f>IFERROR(VALUE(TRIM(LEFT(I4832,FIND("minute",I4832)-1)))*60,0)+IFERROR(VALUE(SUBSTITUTE(MID(I4832,IFERROR(FIND("and",I4832)+3,1),20),"second(s)","")),0)</f>
        <v/>
      </c>
      <c r="K4832" s="41">
        <f>J4832/60</f>
        <v/>
      </c>
      <c r="L4832" s="41">
        <f>IFERROR(J4832/H4832,"")</f>
        <v/>
      </c>
      <c r="M4832" s="25" t="inlineStr">
        <is>
          <t>2.5.12</t>
        </is>
      </c>
      <c r="N4832" s="25">
        <f>IF(J4832&gt;300,1,0)</f>
        <v/>
      </c>
      <c r="O4832" s="25">
        <f>IF(J4832&gt;600,1,0)</f>
        <v/>
      </c>
      <c r="P4832" s="25">
        <f>IF(H4832&gt;0,J4832,"")</f>
        <v/>
      </c>
      <c r="Q4832" s="25">
        <f>TEXT(A4832,"YYYY-MM-DD HH")</f>
        <v/>
      </c>
      <c r="R4832" s="25">
        <f>COUNTIF($Q$2:$Q$5295,Q4832)</f>
        <v/>
      </c>
      <c r="S4832" s="25">
        <f>IF(R4832&lt;=2,"1-2",IF(R4832&lt;=5,"3-5",IF(R4832&lt;=10,"6-10","11+")))</f>
        <v/>
      </c>
    </row>
    <row r="4833">
      <c r="A4833" s="39" t="n">
        <v>46228.10075231481</v>
      </c>
      <c r="B4833" s="25">
        <f>TEXT(A4833,"YYYY-MM")</f>
        <v/>
      </c>
      <c r="C4833" s="25">
        <f>TEXT(A4833,"MMM-YYYY")</f>
        <v/>
      </c>
      <c r="D4833" s="40">
        <f>INT(A4833)-WEEKDAY(A4833,2)+1</f>
        <v/>
      </c>
      <c r="E4833" s="25" t="inlineStr">
        <is>
          <t>sthomas</t>
        </is>
      </c>
      <c r="F4833" s="25" t="n">
        <v>132958</v>
      </c>
      <c r="G4833" s="25" t="n">
        <v>4</v>
      </c>
      <c r="H4833" s="25" t="n">
        <v>21</v>
      </c>
      <c r="I4833" s="25" t="inlineStr">
        <is>
          <t>2 minute(s) and 19 second(s)</t>
        </is>
      </c>
      <c r="J4833" s="25">
        <f>IFERROR(VALUE(TRIM(LEFT(I4833,FIND("minute",I4833)-1)))*60,0)+IFERROR(VALUE(SUBSTITUTE(MID(I4833,IFERROR(FIND("and",I4833)+3,1),20),"second(s)","")),0)</f>
        <v/>
      </c>
      <c r="K4833" s="41">
        <f>J4833/60</f>
        <v/>
      </c>
      <c r="L4833" s="41">
        <f>IFERROR(J4833/H4833,"")</f>
        <v/>
      </c>
      <c r="M4833" s="25" t="inlineStr">
        <is>
          <t>2.5.12</t>
        </is>
      </c>
      <c r="N4833" s="25">
        <f>IF(J4833&gt;300,1,0)</f>
        <v/>
      </c>
      <c r="O4833" s="25">
        <f>IF(J4833&gt;600,1,0)</f>
        <v/>
      </c>
      <c r="P4833" s="25">
        <f>IF(H4833&gt;0,J4833,"")</f>
        <v/>
      </c>
      <c r="Q4833" s="25">
        <f>TEXT(A4833,"YYYY-MM-DD HH")</f>
        <v/>
      </c>
      <c r="R4833" s="25">
        <f>COUNTIF($Q$2:$Q$5295,Q4833)</f>
        <v/>
      </c>
      <c r="S4833" s="25">
        <f>IF(R4833&lt;=2,"1-2",IF(R4833&lt;=5,"3-5",IF(R4833&lt;=10,"6-10","11+")))</f>
        <v/>
      </c>
    </row>
    <row r="4834">
      <c r="A4834" s="39" t="n">
        <v>46228.10253472222</v>
      </c>
      <c r="B4834" s="25">
        <f>TEXT(A4834,"YYYY-MM")</f>
        <v/>
      </c>
      <c r="C4834" s="25">
        <f>TEXT(A4834,"MMM-YYYY")</f>
        <v/>
      </c>
      <c r="D4834" s="40">
        <f>INT(A4834)-WEEKDAY(A4834,2)+1</f>
        <v/>
      </c>
      <c r="E4834" s="25" t="inlineStr">
        <is>
          <t>atiwari</t>
        </is>
      </c>
      <c r="F4834" s="25" t="n">
        <v>130418</v>
      </c>
      <c r="G4834" s="25" t="n">
        <v>4</v>
      </c>
      <c r="H4834" s="25" t="n">
        <v>26</v>
      </c>
      <c r="I4834" s="25" t="inlineStr">
        <is>
          <t>2 minute(s) and 24 second(s)</t>
        </is>
      </c>
      <c r="J4834" s="25">
        <f>IFERROR(VALUE(TRIM(LEFT(I4834,FIND("minute",I4834)-1)))*60,0)+IFERROR(VALUE(SUBSTITUTE(MID(I4834,IFERROR(FIND("and",I4834)+3,1),20),"second(s)","")),0)</f>
        <v/>
      </c>
      <c r="K4834" s="41">
        <f>J4834/60</f>
        <v/>
      </c>
      <c r="L4834" s="41">
        <f>IFERROR(J4834/H4834,"")</f>
        <v/>
      </c>
      <c r="M4834" s="25" t="inlineStr">
        <is>
          <t>2.5.12</t>
        </is>
      </c>
      <c r="N4834" s="25">
        <f>IF(J4834&gt;300,1,0)</f>
        <v/>
      </c>
      <c r="O4834" s="25">
        <f>IF(J4834&gt;600,1,0)</f>
        <v/>
      </c>
      <c r="P4834" s="25">
        <f>IF(H4834&gt;0,J4834,"")</f>
        <v/>
      </c>
      <c r="Q4834" s="25">
        <f>TEXT(A4834,"YYYY-MM-DD HH")</f>
        <v/>
      </c>
      <c r="R4834" s="25">
        <f>COUNTIF($Q$2:$Q$5295,Q4834)</f>
        <v/>
      </c>
      <c r="S4834" s="25">
        <f>IF(R4834&lt;=2,"1-2",IF(R4834&lt;=5,"3-5",IF(R4834&lt;=10,"6-10","11+")))</f>
        <v/>
      </c>
    </row>
    <row r="4835">
      <c r="A4835" s="39" t="n">
        <v>46228.12287037037</v>
      </c>
      <c r="B4835" s="25">
        <f>TEXT(A4835,"YYYY-MM")</f>
        <v/>
      </c>
      <c r="C4835" s="25">
        <f>TEXT(A4835,"MMM-YYYY")</f>
        <v/>
      </c>
      <c r="D4835" s="40">
        <f>INT(A4835)-WEEKDAY(A4835,2)+1</f>
        <v/>
      </c>
      <c r="E4835" s="25" t="inlineStr">
        <is>
          <t>ssrinivasan</t>
        </is>
      </c>
      <c r="F4835" s="25" t="n">
        <v>134308</v>
      </c>
      <c r="G4835" s="25" t="n">
        <v>4</v>
      </c>
      <c r="H4835" s="25" t="n">
        <v>28</v>
      </c>
      <c r="I4835" s="25" t="inlineStr">
        <is>
          <t>3 minute(s) and 0 second(s)</t>
        </is>
      </c>
      <c r="J4835" s="25">
        <f>IFERROR(VALUE(TRIM(LEFT(I4835,FIND("minute",I4835)-1)))*60,0)+IFERROR(VALUE(SUBSTITUTE(MID(I4835,IFERROR(FIND("and",I4835)+3,1),20),"second(s)","")),0)</f>
        <v/>
      </c>
      <c r="K4835" s="41">
        <f>J4835/60</f>
        <v/>
      </c>
      <c r="L4835" s="41">
        <f>IFERROR(J4835/H4835,"")</f>
        <v/>
      </c>
      <c r="M4835" s="25" t="inlineStr">
        <is>
          <t>2.5.12</t>
        </is>
      </c>
      <c r="N4835" s="25">
        <f>IF(J4835&gt;300,1,0)</f>
        <v/>
      </c>
      <c r="O4835" s="25">
        <f>IF(J4835&gt;600,1,0)</f>
        <v/>
      </c>
      <c r="P4835" s="25">
        <f>IF(H4835&gt;0,J4835,"")</f>
        <v/>
      </c>
      <c r="Q4835" s="25">
        <f>TEXT(A4835,"YYYY-MM-DD HH")</f>
        <v/>
      </c>
      <c r="R4835" s="25">
        <f>COUNTIF($Q$2:$Q$5295,Q4835)</f>
        <v/>
      </c>
      <c r="S4835" s="25">
        <f>IF(R4835&lt;=2,"1-2",IF(R4835&lt;=5,"3-5",IF(R4835&lt;=10,"6-10","11+")))</f>
        <v/>
      </c>
    </row>
    <row r="4836">
      <c r="A4836" s="39" t="n">
        <v>46228.12729166666</v>
      </c>
      <c r="B4836" s="25">
        <f>TEXT(A4836,"YYYY-MM")</f>
        <v/>
      </c>
      <c r="C4836" s="25">
        <f>TEXT(A4836,"MMM-YYYY")</f>
        <v/>
      </c>
      <c r="D4836" s="40">
        <f>INT(A4836)-WEEKDAY(A4836,2)+1</f>
        <v/>
      </c>
      <c r="E4836" s="25" t="inlineStr">
        <is>
          <t>sphatak</t>
        </is>
      </c>
      <c r="F4836" s="25" t="n">
        <v>130139</v>
      </c>
      <c r="G4836" s="25" t="n">
        <v>2</v>
      </c>
      <c r="H4836" s="25" t="n">
        <v>8</v>
      </c>
      <c r="I4836" s="25" t="inlineStr">
        <is>
          <t>43 second(s)</t>
        </is>
      </c>
      <c r="J4836" s="25">
        <f>IFERROR(VALUE(TRIM(LEFT(I4836,FIND("minute",I4836)-1)))*60,0)+IFERROR(VALUE(SUBSTITUTE(MID(I4836,IFERROR(FIND("and",I4836)+3,1),20),"second(s)","")),0)</f>
        <v/>
      </c>
      <c r="K4836" s="41">
        <f>J4836/60</f>
        <v/>
      </c>
      <c r="L4836" s="41">
        <f>IFERROR(J4836/H4836,"")</f>
        <v/>
      </c>
      <c r="M4836" s="25" t="inlineStr">
        <is>
          <t>2.5.12</t>
        </is>
      </c>
      <c r="N4836" s="25">
        <f>IF(J4836&gt;300,1,0)</f>
        <v/>
      </c>
      <c r="O4836" s="25">
        <f>IF(J4836&gt;600,1,0)</f>
        <v/>
      </c>
      <c r="P4836" s="25">
        <f>IF(H4836&gt;0,J4836,"")</f>
        <v/>
      </c>
      <c r="Q4836" s="25">
        <f>TEXT(A4836,"YYYY-MM-DD HH")</f>
        <v/>
      </c>
      <c r="R4836" s="25">
        <f>COUNTIF($Q$2:$Q$5295,Q4836)</f>
        <v/>
      </c>
      <c r="S4836" s="25">
        <f>IF(R4836&lt;=2,"1-2",IF(R4836&lt;=5,"3-5",IF(R4836&lt;=10,"6-10","11+")))</f>
        <v/>
      </c>
    </row>
    <row r="4837">
      <c r="A4837" s="39" t="n">
        <v>46228.12778935185</v>
      </c>
      <c r="B4837" s="25">
        <f>TEXT(A4837,"YYYY-MM")</f>
        <v/>
      </c>
      <c r="C4837" s="25">
        <f>TEXT(A4837,"MMM-YYYY")</f>
        <v/>
      </c>
      <c r="D4837" s="40">
        <f>INT(A4837)-WEEKDAY(A4837,2)+1</f>
        <v/>
      </c>
      <c r="E4837" s="25" t="inlineStr">
        <is>
          <t>sasharma</t>
        </is>
      </c>
      <c r="F4837" s="25" t="n">
        <v>129965</v>
      </c>
      <c r="G4837" s="25" t="n">
        <v>1</v>
      </c>
      <c r="H4837" s="25" t="n">
        <v>6</v>
      </c>
      <c r="I4837" s="25" t="inlineStr">
        <is>
          <t>26 second(s)</t>
        </is>
      </c>
      <c r="J4837" s="25">
        <f>IFERROR(VALUE(TRIM(LEFT(I4837,FIND("minute",I4837)-1)))*60,0)+IFERROR(VALUE(SUBSTITUTE(MID(I4837,IFERROR(FIND("and",I4837)+3,1),20),"second(s)","")),0)</f>
        <v/>
      </c>
      <c r="K4837" s="41">
        <f>J4837/60</f>
        <v/>
      </c>
      <c r="L4837" s="41">
        <f>IFERROR(J4837/H4837,"")</f>
        <v/>
      </c>
      <c r="M4837" s="25" t="inlineStr">
        <is>
          <t>2.5.12</t>
        </is>
      </c>
      <c r="N4837" s="25">
        <f>IF(J4837&gt;300,1,0)</f>
        <v/>
      </c>
      <c r="O4837" s="25">
        <f>IF(J4837&gt;600,1,0)</f>
        <v/>
      </c>
      <c r="P4837" s="25">
        <f>IF(H4837&gt;0,J4837,"")</f>
        <v/>
      </c>
      <c r="Q4837" s="25">
        <f>TEXT(A4837,"YYYY-MM-DD HH")</f>
        <v/>
      </c>
      <c r="R4837" s="25">
        <f>COUNTIF($Q$2:$Q$5295,Q4837)</f>
        <v/>
      </c>
      <c r="S4837" s="25">
        <f>IF(R4837&lt;=2,"1-2",IF(R4837&lt;=5,"3-5",IF(R4837&lt;=10,"6-10","11+")))</f>
        <v/>
      </c>
    </row>
    <row r="4838">
      <c r="A4838" s="39" t="n">
        <v>46228.12930555556</v>
      </c>
      <c r="B4838" s="25">
        <f>TEXT(A4838,"YYYY-MM")</f>
        <v/>
      </c>
      <c r="C4838" s="25">
        <f>TEXT(A4838,"MMM-YYYY")</f>
        <v/>
      </c>
      <c r="D4838" s="40">
        <f>INT(A4838)-WEEKDAY(A4838,2)+1</f>
        <v/>
      </c>
      <c r="E4838" s="25" t="inlineStr">
        <is>
          <t>npriya</t>
        </is>
      </c>
      <c r="F4838" s="25" t="n">
        <v>131122</v>
      </c>
      <c r="G4838" s="25" t="n">
        <v>6</v>
      </c>
      <c r="H4838" s="25" t="n">
        <v>36</v>
      </c>
      <c r="I4838" s="25" t="inlineStr">
        <is>
          <t>4 minute(s) and 6 second(s)</t>
        </is>
      </c>
      <c r="J4838" s="25">
        <f>IFERROR(VALUE(TRIM(LEFT(I4838,FIND("minute",I4838)-1)))*60,0)+IFERROR(VALUE(SUBSTITUTE(MID(I4838,IFERROR(FIND("and",I4838)+3,1),20),"second(s)","")),0)</f>
        <v/>
      </c>
      <c r="K4838" s="41">
        <f>J4838/60</f>
        <v/>
      </c>
      <c r="L4838" s="41">
        <f>IFERROR(J4838/H4838,"")</f>
        <v/>
      </c>
      <c r="M4838" s="25" t="inlineStr">
        <is>
          <t>2.5.12</t>
        </is>
      </c>
      <c r="N4838" s="25">
        <f>IF(J4838&gt;300,1,0)</f>
        <v/>
      </c>
      <c r="O4838" s="25">
        <f>IF(J4838&gt;600,1,0)</f>
        <v/>
      </c>
      <c r="P4838" s="25">
        <f>IF(H4838&gt;0,J4838,"")</f>
        <v/>
      </c>
      <c r="Q4838" s="25">
        <f>TEXT(A4838,"YYYY-MM-DD HH")</f>
        <v/>
      </c>
      <c r="R4838" s="25">
        <f>COUNTIF($Q$2:$Q$5295,Q4838)</f>
        <v/>
      </c>
      <c r="S4838" s="25">
        <f>IF(R4838&lt;=2,"1-2",IF(R4838&lt;=5,"3-5",IF(R4838&lt;=10,"6-10","11+")))</f>
        <v/>
      </c>
    </row>
    <row r="4839">
      <c r="A4839" s="39" t="n">
        <v>46228.13795138889</v>
      </c>
      <c r="B4839" s="25">
        <f>TEXT(A4839,"YYYY-MM")</f>
        <v/>
      </c>
      <c r="C4839" s="25">
        <f>TEXT(A4839,"MMM-YYYY")</f>
        <v/>
      </c>
      <c r="D4839" s="40">
        <f>INT(A4839)-WEEKDAY(A4839,2)+1</f>
        <v/>
      </c>
      <c r="E4839" s="25" t="inlineStr">
        <is>
          <t>sdey</t>
        </is>
      </c>
      <c r="F4839" s="25" t="n">
        <v>130322</v>
      </c>
      <c r="G4839" s="25" t="n">
        <v>4</v>
      </c>
      <c r="H4839" s="25" t="n">
        <v>20</v>
      </c>
      <c r="I4839" s="25" t="inlineStr">
        <is>
          <t>2 minute(s) and 53 second(s)</t>
        </is>
      </c>
      <c r="J4839" s="25">
        <f>IFERROR(VALUE(TRIM(LEFT(I4839,FIND("minute",I4839)-1)))*60,0)+IFERROR(VALUE(SUBSTITUTE(MID(I4839,IFERROR(FIND("and",I4839)+3,1),20),"second(s)","")),0)</f>
        <v/>
      </c>
      <c r="K4839" s="41">
        <f>J4839/60</f>
        <v/>
      </c>
      <c r="L4839" s="41">
        <f>IFERROR(J4839/H4839,"")</f>
        <v/>
      </c>
      <c r="M4839" s="25" t="inlineStr">
        <is>
          <t>2.5.12</t>
        </is>
      </c>
      <c r="N4839" s="25">
        <f>IF(J4839&gt;300,1,0)</f>
        <v/>
      </c>
      <c r="O4839" s="25">
        <f>IF(J4839&gt;600,1,0)</f>
        <v/>
      </c>
      <c r="P4839" s="25">
        <f>IF(H4839&gt;0,J4839,"")</f>
        <v/>
      </c>
      <c r="Q4839" s="25">
        <f>TEXT(A4839,"YYYY-MM-DD HH")</f>
        <v/>
      </c>
      <c r="R4839" s="25">
        <f>COUNTIF($Q$2:$Q$5295,Q4839)</f>
        <v/>
      </c>
      <c r="S4839" s="25">
        <f>IF(R4839&lt;=2,"1-2",IF(R4839&lt;=5,"3-5",IF(R4839&lt;=10,"6-10","11+")))</f>
        <v/>
      </c>
    </row>
    <row r="4840">
      <c r="A4840" s="39" t="n">
        <v>46228.13884259259</v>
      </c>
      <c r="B4840" s="25">
        <f>TEXT(A4840,"YYYY-MM")</f>
        <v/>
      </c>
      <c r="C4840" s="25">
        <f>TEXT(A4840,"MMM-YYYY")</f>
        <v/>
      </c>
      <c r="D4840" s="40">
        <f>INT(A4840)-WEEKDAY(A4840,2)+1</f>
        <v/>
      </c>
      <c r="E4840" s="25" t="inlineStr">
        <is>
          <t>aghosh</t>
        </is>
      </c>
      <c r="F4840" s="25" t="n">
        <v>138860</v>
      </c>
      <c r="G4840" s="25" t="n">
        <v>4</v>
      </c>
      <c r="H4840" s="25" t="n">
        <v>26</v>
      </c>
      <c r="I4840" s="25" t="inlineStr">
        <is>
          <t>5 minute(s) and 28 second(s)</t>
        </is>
      </c>
      <c r="J4840" s="25">
        <f>IFERROR(VALUE(TRIM(LEFT(I4840,FIND("minute",I4840)-1)))*60,0)+IFERROR(VALUE(SUBSTITUTE(MID(I4840,IFERROR(FIND("and",I4840)+3,1),20),"second(s)","")),0)</f>
        <v/>
      </c>
      <c r="K4840" s="41">
        <f>J4840/60</f>
        <v/>
      </c>
      <c r="L4840" s="41">
        <f>IFERROR(J4840/H4840,"")</f>
        <v/>
      </c>
      <c r="M4840" s="25" t="inlineStr">
        <is>
          <t>2.5.12</t>
        </is>
      </c>
      <c r="N4840" s="25">
        <f>IF(J4840&gt;300,1,0)</f>
        <v/>
      </c>
      <c r="O4840" s="25">
        <f>IF(J4840&gt;600,1,0)</f>
        <v/>
      </c>
      <c r="P4840" s="25">
        <f>IF(H4840&gt;0,J4840,"")</f>
        <v/>
      </c>
      <c r="Q4840" s="25">
        <f>TEXT(A4840,"YYYY-MM-DD HH")</f>
        <v/>
      </c>
      <c r="R4840" s="25">
        <f>COUNTIF($Q$2:$Q$5295,Q4840)</f>
        <v/>
      </c>
      <c r="S4840" s="25">
        <f>IF(R4840&lt;=2,"1-2",IF(R4840&lt;=5,"3-5",IF(R4840&lt;=10,"6-10","11+")))</f>
        <v/>
      </c>
    </row>
    <row r="4841">
      <c r="A4841" s="39" t="n">
        <v>46228.13978009259</v>
      </c>
      <c r="B4841" s="25">
        <f>TEXT(A4841,"YYYY-MM")</f>
        <v/>
      </c>
      <c r="C4841" s="25">
        <f>TEXT(A4841,"MMM-YYYY")</f>
        <v/>
      </c>
      <c r="D4841" s="40">
        <f>INT(A4841)-WEEKDAY(A4841,2)+1</f>
        <v/>
      </c>
      <c r="E4841" s="25" t="inlineStr">
        <is>
          <t>atiwari</t>
        </is>
      </c>
      <c r="F4841" s="25" t="n">
        <v>130386</v>
      </c>
      <c r="G4841" s="25" t="n">
        <v>4</v>
      </c>
      <c r="H4841" s="25" t="n">
        <v>25</v>
      </c>
      <c r="I4841" s="25" t="inlineStr">
        <is>
          <t>2 minute(s) and 30 second(s)</t>
        </is>
      </c>
      <c r="J4841" s="25">
        <f>IFERROR(VALUE(TRIM(LEFT(I4841,FIND("minute",I4841)-1)))*60,0)+IFERROR(VALUE(SUBSTITUTE(MID(I4841,IFERROR(FIND("and",I4841)+3,1),20),"second(s)","")),0)</f>
        <v/>
      </c>
      <c r="K4841" s="41">
        <f>J4841/60</f>
        <v/>
      </c>
      <c r="L4841" s="41">
        <f>IFERROR(J4841/H4841,"")</f>
        <v/>
      </c>
      <c r="M4841" s="25" t="inlineStr">
        <is>
          <t>2.5.12</t>
        </is>
      </c>
      <c r="N4841" s="25">
        <f>IF(J4841&gt;300,1,0)</f>
        <v/>
      </c>
      <c r="O4841" s="25">
        <f>IF(J4841&gt;600,1,0)</f>
        <v/>
      </c>
      <c r="P4841" s="25">
        <f>IF(H4841&gt;0,J4841,"")</f>
        <v/>
      </c>
      <c r="Q4841" s="25">
        <f>TEXT(A4841,"YYYY-MM-DD HH")</f>
        <v/>
      </c>
      <c r="R4841" s="25">
        <f>COUNTIF($Q$2:$Q$5295,Q4841)</f>
        <v/>
      </c>
      <c r="S4841" s="25">
        <f>IF(R4841&lt;=2,"1-2",IF(R4841&lt;=5,"3-5",IF(R4841&lt;=10,"6-10","11+")))</f>
        <v/>
      </c>
    </row>
    <row r="4842">
      <c r="A4842" s="39" t="n">
        <v>46228.14039351852</v>
      </c>
      <c r="B4842" s="25">
        <f>TEXT(A4842,"YYYY-MM")</f>
        <v/>
      </c>
      <c r="C4842" s="25">
        <f>TEXT(A4842,"MMM-YYYY")</f>
        <v/>
      </c>
      <c r="D4842" s="40">
        <f>INT(A4842)-WEEKDAY(A4842,2)+1</f>
        <v/>
      </c>
      <c r="E4842" s="25" t="inlineStr">
        <is>
          <t>psathwika</t>
        </is>
      </c>
      <c r="F4842" s="25" t="n">
        <v>135181</v>
      </c>
      <c r="G4842" s="25" t="n">
        <v>1</v>
      </c>
      <c r="H4842" s="25" t="n">
        <v>7</v>
      </c>
      <c r="I4842" s="25" t="inlineStr">
        <is>
          <t>1 minute(s) and 28 second(s)</t>
        </is>
      </c>
      <c r="J4842" s="25">
        <f>IFERROR(VALUE(TRIM(LEFT(I4842,FIND("minute",I4842)-1)))*60,0)+IFERROR(VALUE(SUBSTITUTE(MID(I4842,IFERROR(FIND("and",I4842)+3,1),20),"second(s)","")),0)</f>
        <v/>
      </c>
      <c r="K4842" s="41">
        <f>J4842/60</f>
        <v/>
      </c>
      <c r="L4842" s="41">
        <f>IFERROR(J4842/H4842,"")</f>
        <v/>
      </c>
      <c r="M4842" s="25" t="inlineStr">
        <is>
          <t>2.5.12</t>
        </is>
      </c>
      <c r="N4842" s="25">
        <f>IF(J4842&gt;300,1,0)</f>
        <v/>
      </c>
      <c r="O4842" s="25">
        <f>IF(J4842&gt;600,1,0)</f>
        <v/>
      </c>
      <c r="P4842" s="25">
        <f>IF(H4842&gt;0,J4842,"")</f>
        <v/>
      </c>
      <c r="Q4842" s="25">
        <f>TEXT(A4842,"YYYY-MM-DD HH")</f>
        <v/>
      </c>
      <c r="R4842" s="25">
        <f>COUNTIF($Q$2:$Q$5295,Q4842)</f>
        <v/>
      </c>
      <c r="S4842" s="25">
        <f>IF(R4842&lt;=2,"1-2",IF(R4842&lt;=5,"3-5",IF(R4842&lt;=10,"6-10","11+")))</f>
        <v/>
      </c>
    </row>
    <row r="4843">
      <c r="A4843" s="39" t="n">
        <v>46228.14884259259</v>
      </c>
      <c r="B4843" s="25">
        <f>TEXT(A4843,"YYYY-MM")</f>
        <v/>
      </c>
      <c r="C4843" s="25">
        <f>TEXT(A4843,"MMM-YYYY")</f>
        <v/>
      </c>
      <c r="D4843" s="40">
        <f>INT(A4843)-WEEKDAY(A4843,2)+1</f>
        <v/>
      </c>
      <c r="E4843" s="25" t="inlineStr">
        <is>
          <t>shasikha</t>
        </is>
      </c>
      <c r="F4843" s="25" t="n">
        <v>132275</v>
      </c>
      <c r="G4843" s="25" t="n">
        <v>4</v>
      </c>
      <c r="H4843" s="25" t="n">
        <v>8</v>
      </c>
      <c r="I4843" s="25" t="inlineStr">
        <is>
          <t>1 minute(s) and 34 second(s)</t>
        </is>
      </c>
      <c r="J4843" s="25">
        <f>IFERROR(VALUE(TRIM(LEFT(I4843,FIND("minute",I4843)-1)))*60,0)+IFERROR(VALUE(SUBSTITUTE(MID(I4843,IFERROR(FIND("and",I4843)+3,1),20),"second(s)","")),0)</f>
        <v/>
      </c>
      <c r="K4843" s="41">
        <f>J4843/60</f>
        <v/>
      </c>
      <c r="L4843" s="41">
        <f>IFERROR(J4843/H4843,"")</f>
        <v/>
      </c>
      <c r="M4843" s="25" t="inlineStr">
        <is>
          <t>2.5.12</t>
        </is>
      </c>
      <c r="N4843" s="25">
        <f>IF(J4843&gt;300,1,0)</f>
        <v/>
      </c>
      <c r="O4843" s="25">
        <f>IF(J4843&gt;600,1,0)</f>
        <v/>
      </c>
      <c r="P4843" s="25">
        <f>IF(H4843&gt;0,J4843,"")</f>
        <v/>
      </c>
      <c r="Q4843" s="25">
        <f>TEXT(A4843,"YYYY-MM-DD HH")</f>
        <v/>
      </c>
      <c r="R4843" s="25">
        <f>COUNTIF($Q$2:$Q$5295,Q4843)</f>
        <v/>
      </c>
      <c r="S4843" s="25">
        <f>IF(R4843&lt;=2,"1-2",IF(R4843&lt;=5,"3-5",IF(R4843&lt;=10,"6-10","11+")))</f>
        <v/>
      </c>
    </row>
    <row r="4844">
      <c r="A4844" s="39" t="n">
        <v>46228.14923611111</v>
      </c>
      <c r="B4844" s="25">
        <f>TEXT(A4844,"YYYY-MM")</f>
        <v/>
      </c>
      <c r="C4844" s="25">
        <f>TEXT(A4844,"MMM-YYYY")</f>
        <v/>
      </c>
      <c r="D4844" s="40">
        <f>INT(A4844)-WEEKDAY(A4844,2)+1</f>
        <v/>
      </c>
      <c r="E4844" s="25" t="inlineStr">
        <is>
          <t>stiwari</t>
        </is>
      </c>
      <c r="F4844" s="25" t="n">
        <v>129405</v>
      </c>
      <c r="G4844" s="25" t="n">
        <v>2</v>
      </c>
      <c r="H4844" s="25" t="n">
        <v>10</v>
      </c>
      <c r="I4844" s="25" t="inlineStr">
        <is>
          <t>49 second(s)</t>
        </is>
      </c>
      <c r="J4844" s="25">
        <f>IFERROR(VALUE(TRIM(LEFT(I4844,FIND("minute",I4844)-1)))*60,0)+IFERROR(VALUE(SUBSTITUTE(MID(I4844,IFERROR(FIND("and",I4844)+3,1),20),"second(s)","")),0)</f>
        <v/>
      </c>
      <c r="K4844" s="41">
        <f>J4844/60</f>
        <v/>
      </c>
      <c r="L4844" s="41">
        <f>IFERROR(J4844/H4844,"")</f>
        <v/>
      </c>
      <c r="M4844" s="25" t="inlineStr">
        <is>
          <t>2.5.12</t>
        </is>
      </c>
      <c r="N4844" s="25">
        <f>IF(J4844&gt;300,1,0)</f>
        <v/>
      </c>
      <c r="O4844" s="25">
        <f>IF(J4844&gt;600,1,0)</f>
        <v/>
      </c>
      <c r="P4844" s="25">
        <f>IF(H4844&gt;0,J4844,"")</f>
        <v/>
      </c>
      <c r="Q4844" s="25">
        <f>TEXT(A4844,"YYYY-MM-DD HH")</f>
        <v/>
      </c>
      <c r="R4844" s="25">
        <f>COUNTIF($Q$2:$Q$5295,Q4844)</f>
        <v/>
      </c>
      <c r="S4844" s="25">
        <f>IF(R4844&lt;=2,"1-2",IF(R4844&lt;=5,"3-5",IF(R4844&lt;=10,"6-10","11+")))</f>
        <v/>
      </c>
    </row>
    <row r="4845">
      <c r="A4845" s="39" t="n">
        <v>46228.15599537037</v>
      </c>
      <c r="B4845" s="25">
        <f>TEXT(A4845,"YYYY-MM")</f>
        <v/>
      </c>
      <c r="C4845" s="25">
        <f>TEXT(A4845,"MMM-YYYY")</f>
        <v/>
      </c>
      <c r="D4845" s="40">
        <f>INT(A4845)-WEEKDAY(A4845,2)+1</f>
        <v/>
      </c>
      <c r="E4845" s="25" t="inlineStr">
        <is>
          <t>ajain</t>
        </is>
      </c>
      <c r="F4845" s="25" t="n">
        <v>136562</v>
      </c>
      <c r="G4845" s="25" t="n">
        <v>4</v>
      </c>
      <c r="H4845" s="25" t="n">
        <v>26</v>
      </c>
      <c r="I4845" s="25" t="inlineStr">
        <is>
          <t>2 minute(s) and 16 second(s)</t>
        </is>
      </c>
      <c r="J4845" s="25">
        <f>IFERROR(VALUE(TRIM(LEFT(I4845,FIND("minute",I4845)-1)))*60,0)+IFERROR(VALUE(SUBSTITUTE(MID(I4845,IFERROR(FIND("and",I4845)+3,1),20),"second(s)","")),0)</f>
        <v/>
      </c>
      <c r="K4845" s="41">
        <f>J4845/60</f>
        <v/>
      </c>
      <c r="L4845" s="41">
        <f>IFERROR(J4845/H4845,"")</f>
        <v/>
      </c>
      <c r="M4845" s="25" t="inlineStr">
        <is>
          <t>2.5.12</t>
        </is>
      </c>
      <c r="N4845" s="25">
        <f>IF(J4845&gt;300,1,0)</f>
        <v/>
      </c>
      <c r="O4845" s="25">
        <f>IF(J4845&gt;600,1,0)</f>
        <v/>
      </c>
      <c r="P4845" s="25">
        <f>IF(H4845&gt;0,J4845,"")</f>
        <v/>
      </c>
      <c r="Q4845" s="25">
        <f>TEXT(A4845,"YYYY-MM-DD HH")</f>
        <v/>
      </c>
      <c r="R4845" s="25">
        <f>COUNTIF($Q$2:$Q$5295,Q4845)</f>
        <v/>
      </c>
      <c r="S4845" s="25">
        <f>IF(R4845&lt;=2,"1-2",IF(R4845&lt;=5,"3-5",IF(R4845&lt;=10,"6-10","11+")))</f>
        <v/>
      </c>
    </row>
    <row r="4846">
      <c r="A4846" s="39" t="n">
        <v>46228.16252314814</v>
      </c>
      <c r="B4846" s="25">
        <f>TEXT(A4846,"YYYY-MM")</f>
        <v/>
      </c>
      <c r="C4846" s="25">
        <f>TEXT(A4846,"MMM-YYYY")</f>
        <v/>
      </c>
      <c r="D4846" s="40">
        <f>INT(A4846)-WEEKDAY(A4846,2)+1</f>
        <v/>
      </c>
      <c r="E4846" s="25" t="inlineStr">
        <is>
          <t>dbhattacharyya</t>
        </is>
      </c>
      <c r="F4846" s="25" t="n">
        <v>130806</v>
      </c>
      <c r="G4846" s="25" t="n">
        <v>3</v>
      </c>
      <c r="H4846" s="25" t="n">
        <v>17</v>
      </c>
      <c r="I4846" s="25" t="inlineStr">
        <is>
          <t>1 minute(s) and 28 second(s)</t>
        </is>
      </c>
      <c r="J4846" s="25">
        <f>IFERROR(VALUE(TRIM(LEFT(I4846,FIND("minute",I4846)-1)))*60,0)+IFERROR(VALUE(SUBSTITUTE(MID(I4846,IFERROR(FIND("and",I4846)+3,1),20),"second(s)","")),0)</f>
        <v/>
      </c>
      <c r="K4846" s="41">
        <f>J4846/60</f>
        <v/>
      </c>
      <c r="L4846" s="41">
        <f>IFERROR(J4846/H4846,"")</f>
        <v/>
      </c>
      <c r="M4846" s="25" t="inlineStr">
        <is>
          <t>2.5.12</t>
        </is>
      </c>
      <c r="N4846" s="25">
        <f>IF(J4846&gt;300,1,0)</f>
        <v/>
      </c>
      <c r="O4846" s="25">
        <f>IF(J4846&gt;600,1,0)</f>
        <v/>
      </c>
      <c r="P4846" s="25">
        <f>IF(H4846&gt;0,J4846,"")</f>
        <v/>
      </c>
      <c r="Q4846" s="25">
        <f>TEXT(A4846,"YYYY-MM-DD HH")</f>
        <v/>
      </c>
      <c r="R4846" s="25">
        <f>COUNTIF($Q$2:$Q$5295,Q4846)</f>
        <v/>
      </c>
      <c r="S4846" s="25">
        <f>IF(R4846&lt;=2,"1-2",IF(R4846&lt;=5,"3-5",IF(R4846&lt;=10,"6-10","11+")))</f>
        <v/>
      </c>
    </row>
    <row r="4847">
      <c r="A4847" s="39" t="n">
        <v>46228.17961805555</v>
      </c>
      <c r="B4847" s="25">
        <f>TEXT(A4847,"YYYY-MM")</f>
        <v/>
      </c>
      <c r="C4847" s="25">
        <f>TEXT(A4847,"MMM-YYYY")</f>
        <v/>
      </c>
      <c r="D4847" s="40">
        <f>INT(A4847)-WEEKDAY(A4847,2)+1</f>
        <v/>
      </c>
      <c r="E4847" s="25" t="inlineStr">
        <is>
          <t>ssrinivasan</t>
        </is>
      </c>
      <c r="F4847" s="25" t="n">
        <v>129061</v>
      </c>
      <c r="G4847" s="25" t="n">
        <v>3</v>
      </c>
      <c r="H4847" s="25" t="n">
        <v>19</v>
      </c>
      <c r="I4847" s="25" t="inlineStr">
        <is>
          <t>1 minute(s) and 56 second(s)</t>
        </is>
      </c>
      <c r="J4847" s="25">
        <f>IFERROR(VALUE(TRIM(LEFT(I4847,FIND("minute",I4847)-1)))*60,0)+IFERROR(VALUE(SUBSTITUTE(MID(I4847,IFERROR(FIND("and",I4847)+3,1),20),"second(s)","")),0)</f>
        <v/>
      </c>
      <c r="K4847" s="41">
        <f>J4847/60</f>
        <v/>
      </c>
      <c r="L4847" s="41">
        <f>IFERROR(J4847/H4847,"")</f>
        <v/>
      </c>
      <c r="M4847" s="25" t="inlineStr">
        <is>
          <t>2.5.12</t>
        </is>
      </c>
      <c r="N4847" s="25">
        <f>IF(J4847&gt;300,1,0)</f>
        <v/>
      </c>
      <c r="O4847" s="25">
        <f>IF(J4847&gt;600,1,0)</f>
        <v/>
      </c>
      <c r="P4847" s="25">
        <f>IF(H4847&gt;0,J4847,"")</f>
        <v/>
      </c>
      <c r="Q4847" s="25">
        <f>TEXT(A4847,"YYYY-MM-DD HH")</f>
        <v/>
      </c>
      <c r="R4847" s="25">
        <f>COUNTIF($Q$2:$Q$5295,Q4847)</f>
        <v/>
      </c>
      <c r="S4847" s="25">
        <f>IF(R4847&lt;=2,"1-2",IF(R4847&lt;=5,"3-5",IF(R4847&lt;=10,"6-10","11+")))</f>
        <v/>
      </c>
    </row>
    <row r="4848">
      <c r="A4848" s="39" t="n">
        <v>46228.17990740741</v>
      </c>
      <c r="B4848" s="25">
        <f>TEXT(A4848,"YYYY-MM")</f>
        <v/>
      </c>
      <c r="C4848" s="25">
        <f>TEXT(A4848,"MMM-YYYY")</f>
        <v/>
      </c>
      <c r="D4848" s="40">
        <f>INT(A4848)-WEEKDAY(A4848,2)+1</f>
        <v/>
      </c>
      <c r="E4848" s="25" t="inlineStr">
        <is>
          <t>mbhalla</t>
        </is>
      </c>
      <c r="F4848" s="25" t="n">
        <v>136445</v>
      </c>
      <c r="G4848" s="25" t="n">
        <v>4</v>
      </c>
      <c r="H4848" s="25" t="n">
        <v>26</v>
      </c>
      <c r="I4848" s="25" t="inlineStr">
        <is>
          <t>2 minute(s) and 12 second(s)</t>
        </is>
      </c>
      <c r="J4848" s="25">
        <f>IFERROR(VALUE(TRIM(LEFT(I4848,FIND("minute",I4848)-1)))*60,0)+IFERROR(VALUE(SUBSTITUTE(MID(I4848,IFERROR(FIND("and",I4848)+3,1),20),"second(s)","")),0)</f>
        <v/>
      </c>
      <c r="K4848" s="41">
        <f>J4848/60</f>
        <v/>
      </c>
      <c r="L4848" s="41">
        <f>IFERROR(J4848/H4848,"")</f>
        <v/>
      </c>
      <c r="M4848" s="25" t="inlineStr">
        <is>
          <t>2.5.12</t>
        </is>
      </c>
      <c r="N4848" s="25">
        <f>IF(J4848&gt;300,1,0)</f>
        <v/>
      </c>
      <c r="O4848" s="25">
        <f>IF(J4848&gt;600,1,0)</f>
        <v/>
      </c>
      <c r="P4848" s="25">
        <f>IF(H4848&gt;0,J4848,"")</f>
        <v/>
      </c>
      <c r="Q4848" s="25">
        <f>TEXT(A4848,"YYYY-MM-DD HH")</f>
        <v/>
      </c>
      <c r="R4848" s="25">
        <f>COUNTIF($Q$2:$Q$5295,Q4848)</f>
        <v/>
      </c>
      <c r="S4848" s="25">
        <f>IF(R4848&lt;=2,"1-2",IF(R4848&lt;=5,"3-5",IF(R4848&lt;=10,"6-10","11+")))</f>
        <v/>
      </c>
    </row>
    <row r="4849">
      <c r="A4849" s="39" t="n">
        <v>46228.18458333334</v>
      </c>
      <c r="B4849" s="25">
        <f>TEXT(A4849,"YYYY-MM")</f>
        <v/>
      </c>
      <c r="C4849" s="25">
        <f>TEXT(A4849,"MMM-YYYY")</f>
        <v/>
      </c>
      <c r="D4849" s="40">
        <f>INT(A4849)-WEEKDAY(A4849,2)+1</f>
        <v/>
      </c>
      <c r="E4849" s="25" t="inlineStr">
        <is>
          <t>shasikha</t>
        </is>
      </c>
      <c r="F4849" s="25" t="n">
        <v>130293</v>
      </c>
      <c r="G4849" s="25" t="n">
        <v>1</v>
      </c>
      <c r="H4849" s="25" t="n">
        <v>7</v>
      </c>
      <c r="I4849" s="25" t="inlineStr">
        <is>
          <t>38 second(s)</t>
        </is>
      </c>
      <c r="J4849" s="25">
        <f>IFERROR(VALUE(TRIM(LEFT(I4849,FIND("minute",I4849)-1)))*60,0)+IFERROR(VALUE(SUBSTITUTE(MID(I4849,IFERROR(FIND("and",I4849)+3,1),20),"second(s)","")),0)</f>
        <v/>
      </c>
      <c r="K4849" s="41">
        <f>J4849/60</f>
        <v/>
      </c>
      <c r="L4849" s="41">
        <f>IFERROR(J4849/H4849,"")</f>
        <v/>
      </c>
      <c r="M4849" s="25" t="inlineStr">
        <is>
          <t>2.5.12</t>
        </is>
      </c>
      <c r="N4849" s="25">
        <f>IF(J4849&gt;300,1,0)</f>
        <v/>
      </c>
      <c r="O4849" s="25">
        <f>IF(J4849&gt;600,1,0)</f>
        <v/>
      </c>
      <c r="P4849" s="25">
        <f>IF(H4849&gt;0,J4849,"")</f>
        <v/>
      </c>
      <c r="Q4849" s="25">
        <f>TEXT(A4849,"YYYY-MM-DD HH")</f>
        <v/>
      </c>
      <c r="R4849" s="25">
        <f>COUNTIF($Q$2:$Q$5295,Q4849)</f>
        <v/>
      </c>
      <c r="S4849" s="25">
        <f>IF(R4849&lt;=2,"1-2",IF(R4849&lt;=5,"3-5",IF(R4849&lt;=10,"6-10","11+")))</f>
        <v/>
      </c>
    </row>
    <row r="4850">
      <c r="A4850" s="39" t="n">
        <v>46228.18885416666</v>
      </c>
      <c r="B4850" s="25">
        <f>TEXT(A4850,"YYYY-MM")</f>
        <v/>
      </c>
      <c r="C4850" s="25">
        <f>TEXT(A4850,"MMM-YYYY")</f>
        <v/>
      </c>
      <c r="D4850" s="40">
        <f>INT(A4850)-WEEKDAY(A4850,2)+1</f>
        <v/>
      </c>
      <c r="E4850" s="25" t="inlineStr">
        <is>
          <t>ns</t>
        </is>
      </c>
      <c r="F4850" s="25" t="n">
        <v>130802</v>
      </c>
      <c r="G4850" s="25" t="n">
        <v>2</v>
      </c>
      <c r="H4850" s="25" t="n">
        <v>10</v>
      </c>
      <c r="I4850" s="25" t="inlineStr">
        <is>
          <t>2 minute(s) and 11 second(s)</t>
        </is>
      </c>
      <c r="J4850" s="25">
        <f>IFERROR(VALUE(TRIM(LEFT(I4850,FIND("minute",I4850)-1)))*60,0)+IFERROR(VALUE(SUBSTITUTE(MID(I4850,IFERROR(FIND("and",I4850)+3,1),20),"second(s)","")),0)</f>
        <v/>
      </c>
      <c r="K4850" s="41">
        <f>J4850/60</f>
        <v/>
      </c>
      <c r="L4850" s="41">
        <f>IFERROR(J4850/H4850,"")</f>
        <v/>
      </c>
      <c r="M4850" s="25" t="inlineStr">
        <is>
          <t>2.5.12</t>
        </is>
      </c>
      <c r="N4850" s="25">
        <f>IF(J4850&gt;300,1,0)</f>
        <v/>
      </c>
      <c r="O4850" s="25">
        <f>IF(J4850&gt;600,1,0)</f>
        <v/>
      </c>
      <c r="P4850" s="25">
        <f>IF(H4850&gt;0,J4850,"")</f>
        <v/>
      </c>
      <c r="Q4850" s="25">
        <f>TEXT(A4850,"YYYY-MM-DD HH")</f>
        <v/>
      </c>
      <c r="R4850" s="25">
        <f>COUNTIF($Q$2:$Q$5295,Q4850)</f>
        <v/>
      </c>
      <c r="S4850" s="25">
        <f>IF(R4850&lt;=2,"1-2",IF(R4850&lt;=5,"3-5",IF(R4850&lt;=10,"6-10","11+")))</f>
        <v/>
      </c>
    </row>
    <row r="4851">
      <c r="A4851" s="39" t="n">
        <v>46228.1890162037</v>
      </c>
      <c r="B4851" s="25">
        <f>TEXT(A4851,"YYYY-MM")</f>
        <v/>
      </c>
      <c r="C4851" s="25">
        <f>TEXT(A4851,"MMM-YYYY")</f>
        <v/>
      </c>
      <c r="D4851" s="40">
        <f>INT(A4851)-WEEKDAY(A4851,2)+1</f>
        <v/>
      </c>
      <c r="E4851" s="25" t="inlineStr">
        <is>
          <t>psathwika</t>
        </is>
      </c>
      <c r="F4851" s="25" t="n">
        <v>131290</v>
      </c>
      <c r="G4851" s="25" t="n">
        <v>3</v>
      </c>
      <c r="H4851" s="25" t="n">
        <v>13</v>
      </c>
      <c r="I4851" s="25" t="inlineStr">
        <is>
          <t>2 minute(s) and 12 second(s)</t>
        </is>
      </c>
      <c r="J4851" s="25">
        <f>IFERROR(VALUE(TRIM(LEFT(I4851,FIND("minute",I4851)-1)))*60,0)+IFERROR(VALUE(SUBSTITUTE(MID(I4851,IFERROR(FIND("and",I4851)+3,1),20),"second(s)","")),0)</f>
        <v/>
      </c>
      <c r="K4851" s="41">
        <f>J4851/60</f>
        <v/>
      </c>
      <c r="L4851" s="41">
        <f>IFERROR(J4851/H4851,"")</f>
        <v/>
      </c>
      <c r="M4851" s="25" t="inlineStr">
        <is>
          <t>2.5.12</t>
        </is>
      </c>
      <c r="N4851" s="25">
        <f>IF(J4851&gt;300,1,0)</f>
        <v/>
      </c>
      <c r="O4851" s="25">
        <f>IF(J4851&gt;600,1,0)</f>
        <v/>
      </c>
      <c r="P4851" s="25">
        <f>IF(H4851&gt;0,J4851,"")</f>
        <v/>
      </c>
      <c r="Q4851" s="25">
        <f>TEXT(A4851,"YYYY-MM-DD HH")</f>
        <v/>
      </c>
      <c r="R4851" s="25">
        <f>COUNTIF($Q$2:$Q$5295,Q4851)</f>
        <v/>
      </c>
      <c r="S4851" s="25">
        <f>IF(R4851&lt;=2,"1-2",IF(R4851&lt;=5,"3-5",IF(R4851&lt;=10,"6-10","11+")))</f>
        <v/>
      </c>
    </row>
    <row r="4852">
      <c r="A4852" s="39" t="n">
        <v>46228.19672453704</v>
      </c>
      <c r="B4852" s="25">
        <f>TEXT(A4852,"YYYY-MM")</f>
        <v/>
      </c>
      <c r="C4852" s="25">
        <f>TEXT(A4852,"MMM-YYYY")</f>
        <v/>
      </c>
      <c r="D4852" s="40">
        <f>INT(A4852)-WEEKDAY(A4852,2)+1</f>
        <v/>
      </c>
      <c r="E4852" s="25" t="inlineStr">
        <is>
          <t>stiwari</t>
        </is>
      </c>
      <c r="F4852" s="25" t="n">
        <v>129389</v>
      </c>
      <c r="G4852" s="25" t="n">
        <v>4</v>
      </c>
      <c r="H4852" s="25" t="n">
        <v>27</v>
      </c>
      <c r="I4852" s="25" t="inlineStr">
        <is>
          <t>2 minute(s) and 40 second(s)</t>
        </is>
      </c>
      <c r="J4852" s="25">
        <f>IFERROR(VALUE(TRIM(LEFT(I4852,FIND("minute",I4852)-1)))*60,0)+IFERROR(VALUE(SUBSTITUTE(MID(I4852,IFERROR(FIND("and",I4852)+3,1),20),"second(s)","")),0)</f>
        <v/>
      </c>
      <c r="K4852" s="41">
        <f>J4852/60</f>
        <v/>
      </c>
      <c r="L4852" s="41">
        <f>IFERROR(J4852/H4852,"")</f>
        <v/>
      </c>
      <c r="M4852" s="25" t="inlineStr">
        <is>
          <t>2.5.12</t>
        </is>
      </c>
      <c r="N4852" s="25">
        <f>IF(J4852&gt;300,1,0)</f>
        <v/>
      </c>
      <c r="O4852" s="25">
        <f>IF(J4852&gt;600,1,0)</f>
        <v/>
      </c>
      <c r="P4852" s="25">
        <f>IF(H4852&gt;0,J4852,"")</f>
        <v/>
      </c>
      <c r="Q4852" s="25">
        <f>TEXT(A4852,"YYYY-MM-DD HH")</f>
        <v/>
      </c>
      <c r="R4852" s="25">
        <f>COUNTIF($Q$2:$Q$5295,Q4852)</f>
        <v/>
      </c>
      <c r="S4852" s="25">
        <f>IF(R4852&lt;=2,"1-2",IF(R4852&lt;=5,"3-5",IF(R4852&lt;=10,"6-10","11+")))</f>
        <v/>
      </c>
    </row>
    <row r="4853">
      <c r="A4853" s="39" t="n">
        <v>46228.20756944444</v>
      </c>
      <c r="B4853" s="25">
        <f>TEXT(A4853,"YYYY-MM")</f>
        <v/>
      </c>
      <c r="C4853" s="25">
        <f>TEXT(A4853,"MMM-YYYY")</f>
        <v/>
      </c>
      <c r="D4853" s="40">
        <f>INT(A4853)-WEEKDAY(A4853,2)+1</f>
        <v/>
      </c>
      <c r="E4853" s="25" t="inlineStr">
        <is>
          <t>shassan</t>
        </is>
      </c>
      <c r="F4853" s="25" t="n">
        <v>133716</v>
      </c>
      <c r="G4853" s="25" t="n">
        <v>4</v>
      </c>
      <c r="H4853" s="25" t="n">
        <v>20</v>
      </c>
      <c r="I4853" s="25" t="inlineStr">
        <is>
          <t>4 minute(s) and 3 second(s)</t>
        </is>
      </c>
      <c r="J4853" s="25">
        <f>IFERROR(VALUE(TRIM(LEFT(I4853,FIND("minute",I4853)-1)))*60,0)+IFERROR(VALUE(SUBSTITUTE(MID(I4853,IFERROR(FIND("and",I4853)+3,1),20),"second(s)","")),0)</f>
        <v/>
      </c>
      <c r="K4853" s="41">
        <f>J4853/60</f>
        <v/>
      </c>
      <c r="L4853" s="41">
        <f>IFERROR(J4853/H4853,"")</f>
        <v/>
      </c>
      <c r="M4853" s="25" t="inlineStr">
        <is>
          <t>2.5.12</t>
        </is>
      </c>
      <c r="N4853" s="25">
        <f>IF(J4853&gt;300,1,0)</f>
        <v/>
      </c>
      <c r="O4853" s="25">
        <f>IF(J4853&gt;600,1,0)</f>
        <v/>
      </c>
      <c r="P4853" s="25">
        <f>IF(H4853&gt;0,J4853,"")</f>
        <v/>
      </c>
      <c r="Q4853" s="25">
        <f>TEXT(A4853,"YYYY-MM-DD HH")</f>
        <v/>
      </c>
      <c r="R4853" s="25">
        <f>COUNTIF($Q$2:$Q$5295,Q4853)</f>
        <v/>
      </c>
      <c r="S4853" s="25">
        <f>IF(R4853&lt;=2,"1-2",IF(R4853&lt;=5,"3-5",IF(R4853&lt;=10,"6-10","11+")))</f>
        <v/>
      </c>
    </row>
    <row r="4854">
      <c r="A4854" s="39" t="n">
        <v>46228.21429398148</v>
      </c>
      <c r="B4854" s="25">
        <f>TEXT(A4854,"YYYY-MM")</f>
        <v/>
      </c>
      <c r="C4854" s="25">
        <f>TEXT(A4854,"MMM-YYYY")</f>
        <v/>
      </c>
      <c r="D4854" s="40">
        <f>INT(A4854)-WEEKDAY(A4854,2)+1</f>
        <v/>
      </c>
      <c r="E4854" s="25" t="inlineStr">
        <is>
          <t>sthomas</t>
        </is>
      </c>
      <c r="F4854" s="25" t="n">
        <v>132614</v>
      </c>
      <c r="G4854" s="25" t="n">
        <v>4</v>
      </c>
      <c r="H4854" s="25" t="n">
        <v>21</v>
      </c>
      <c r="I4854" s="25" t="inlineStr">
        <is>
          <t>2 minute(s) and 13 second(s)</t>
        </is>
      </c>
      <c r="J4854" s="25">
        <f>IFERROR(VALUE(TRIM(LEFT(I4854,FIND("minute",I4854)-1)))*60,0)+IFERROR(VALUE(SUBSTITUTE(MID(I4854,IFERROR(FIND("and",I4854)+3,1),20),"second(s)","")),0)</f>
        <v/>
      </c>
      <c r="K4854" s="41">
        <f>J4854/60</f>
        <v/>
      </c>
      <c r="L4854" s="41">
        <f>IFERROR(J4854/H4854,"")</f>
        <v/>
      </c>
      <c r="M4854" s="25" t="inlineStr">
        <is>
          <t>2.5.12</t>
        </is>
      </c>
      <c r="N4854" s="25">
        <f>IF(J4854&gt;300,1,0)</f>
        <v/>
      </c>
      <c r="O4854" s="25">
        <f>IF(J4854&gt;600,1,0)</f>
        <v/>
      </c>
      <c r="P4854" s="25">
        <f>IF(H4854&gt;0,J4854,"")</f>
        <v/>
      </c>
      <c r="Q4854" s="25">
        <f>TEXT(A4854,"YYYY-MM-DD HH")</f>
        <v/>
      </c>
      <c r="R4854" s="25">
        <f>COUNTIF($Q$2:$Q$5295,Q4854)</f>
        <v/>
      </c>
      <c r="S4854" s="25">
        <f>IF(R4854&lt;=2,"1-2",IF(R4854&lt;=5,"3-5",IF(R4854&lt;=10,"6-10","11+")))</f>
        <v/>
      </c>
    </row>
    <row r="4855">
      <c r="A4855" s="39" t="n">
        <v>46228.21443287037</v>
      </c>
      <c r="B4855" s="25">
        <f>TEXT(A4855,"YYYY-MM")</f>
        <v/>
      </c>
      <c r="C4855" s="25">
        <f>TEXT(A4855,"MMM-YYYY")</f>
        <v/>
      </c>
      <c r="D4855" s="40">
        <f>INT(A4855)-WEEKDAY(A4855,2)+1</f>
        <v/>
      </c>
      <c r="E4855" s="25" t="inlineStr">
        <is>
          <t>shassan</t>
        </is>
      </c>
      <c r="F4855" s="25" t="n">
        <v>133716</v>
      </c>
      <c r="G4855" s="25" t="n">
        <v>4</v>
      </c>
      <c r="H4855" s="25" t="n">
        <v>20</v>
      </c>
      <c r="I4855" s="25" t="inlineStr">
        <is>
          <t>4 minute(s) and 45 second(s)</t>
        </is>
      </c>
      <c r="J4855" s="25">
        <f>IFERROR(VALUE(TRIM(LEFT(I4855,FIND("minute",I4855)-1)))*60,0)+IFERROR(VALUE(SUBSTITUTE(MID(I4855,IFERROR(FIND("and",I4855)+3,1),20),"second(s)","")),0)</f>
        <v/>
      </c>
      <c r="K4855" s="41">
        <f>J4855/60</f>
        <v/>
      </c>
      <c r="L4855" s="41">
        <f>IFERROR(J4855/H4855,"")</f>
        <v/>
      </c>
      <c r="M4855" s="25" t="inlineStr">
        <is>
          <t>2.5.12</t>
        </is>
      </c>
      <c r="N4855" s="25">
        <f>IF(J4855&gt;300,1,0)</f>
        <v/>
      </c>
      <c r="O4855" s="25">
        <f>IF(J4855&gt;600,1,0)</f>
        <v/>
      </c>
      <c r="P4855" s="25">
        <f>IF(H4855&gt;0,J4855,"")</f>
        <v/>
      </c>
      <c r="Q4855" s="25">
        <f>TEXT(A4855,"YYYY-MM-DD HH")</f>
        <v/>
      </c>
      <c r="R4855" s="25">
        <f>COUNTIF($Q$2:$Q$5295,Q4855)</f>
        <v/>
      </c>
      <c r="S4855" s="25">
        <f>IF(R4855&lt;=2,"1-2",IF(R4855&lt;=5,"3-5",IF(R4855&lt;=10,"6-10","11+")))</f>
        <v/>
      </c>
    </row>
    <row r="4856">
      <c r="A4856" s="39" t="n">
        <v>46228.21935185185</v>
      </c>
      <c r="B4856" s="25">
        <f>TEXT(A4856,"YYYY-MM")</f>
        <v/>
      </c>
      <c r="C4856" s="25">
        <f>TEXT(A4856,"MMM-YYYY")</f>
        <v/>
      </c>
      <c r="D4856" s="40">
        <f>INT(A4856)-WEEKDAY(A4856,2)+1</f>
        <v/>
      </c>
      <c r="E4856" s="25" t="inlineStr">
        <is>
          <t>dbhattacharyya</t>
        </is>
      </c>
      <c r="F4856" s="25" t="n">
        <v>130830</v>
      </c>
      <c r="G4856" s="25" t="n">
        <v>3</v>
      </c>
      <c r="H4856" s="25" t="n">
        <v>19</v>
      </c>
      <c r="I4856" s="25" t="inlineStr">
        <is>
          <t>2 minute(s) and 2 second(s)</t>
        </is>
      </c>
      <c r="J4856" s="25">
        <f>IFERROR(VALUE(TRIM(LEFT(I4856,FIND("minute",I4856)-1)))*60,0)+IFERROR(VALUE(SUBSTITUTE(MID(I4856,IFERROR(FIND("and",I4856)+3,1),20),"second(s)","")),0)</f>
        <v/>
      </c>
      <c r="K4856" s="41">
        <f>J4856/60</f>
        <v/>
      </c>
      <c r="L4856" s="41">
        <f>IFERROR(J4856/H4856,"")</f>
        <v/>
      </c>
      <c r="M4856" s="25" t="inlineStr">
        <is>
          <t>2.5.12</t>
        </is>
      </c>
      <c r="N4856" s="25">
        <f>IF(J4856&gt;300,1,0)</f>
        <v/>
      </c>
      <c r="O4856" s="25">
        <f>IF(J4856&gt;600,1,0)</f>
        <v/>
      </c>
      <c r="P4856" s="25">
        <f>IF(H4856&gt;0,J4856,"")</f>
        <v/>
      </c>
      <c r="Q4856" s="25">
        <f>TEXT(A4856,"YYYY-MM-DD HH")</f>
        <v/>
      </c>
      <c r="R4856" s="25">
        <f>COUNTIF($Q$2:$Q$5295,Q4856)</f>
        <v/>
      </c>
      <c r="S4856" s="25">
        <f>IF(R4856&lt;=2,"1-2",IF(R4856&lt;=5,"3-5",IF(R4856&lt;=10,"6-10","11+")))</f>
        <v/>
      </c>
    </row>
    <row r="4857">
      <c r="A4857" s="39" t="n">
        <v>46228.22069444445</v>
      </c>
      <c r="B4857" s="25">
        <f>TEXT(A4857,"YYYY-MM")</f>
        <v/>
      </c>
      <c r="C4857" s="25">
        <f>TEXT(A4857,"MMM-YYYY")</f>
        <v/>
      </c>
      <c r="D4857" s="40">
        <f>INT(A4857)-WEEKDAY(A4857,2)+1</f>
        <v/>
      </c>
      <c r="E4857" s="25" t="inlineStr">
        <is>
          <t>npriya</t>
        </is>
      </c>
      <c r="F4857" s="25" t="n">
        <v>130898</v>
      </c>
      <c r="G4857" s="25" t="n">
        <v>1</v>
      </c>
      <c r="H4857" s="25" t="n">
        <v>7</v>
      </c>
      <c r="I4857" s="25" t="inlineStr">
        <is>
          <t>1 minute(s) and 4 second(s)</t>
        </is>
      </c>
      <c r="J4857" s="25">
        <f>IFERROR(VALUE(TRIM(LEFT(I4857,FIND("minute",I4857)-1)))*60,0)+IFERROR(VALUE(SUBSTITUTE(MID(I4857,IFERROR(FIND("and",I4857)+3,1),20),"second(s)","")),0)</f>
        <v/>
      </c>
      <c r="K4857" s="41">
        <f>J4857/60</f>
        <v/>
      </c>
      <c r="L4857" s="41">
        <f>IFERROR(J4857/H4857,"")</f>
        <v/>
      </c>
      <c r="M4857" s="25" t="inlineStr">
        <is>
          <t>2.5.12</t>
        </is>
      </c>
      <c r="N4857" s="25">
        <f>IF(J4857&gt;300,1,0)</f>
        <v/>
      </c>
      <c r="O4857" s="25">
        <f>IF(J4857&gt;600,1,0)</f>
        <v/>
      </c>
      <c r="P4857" s="25">
        <f>IF(H4857&gt;0,J4857,"")</f>
        <v/>
      </c>
      <c r="Q4857" s="25">
        <f>TEXT(A4857,"YYYY-MM-DD HH")</f>
        <v/>
      </c>
      <c r="R4857" s="25">
        <f>COUNTIF($Q$2:$Q$5295,Q4857)</f>
        <v/>
      </c>
      <c r="S4857" s="25">
        <f>IF(R4857&lt;=2,"1-2",IF(R4857&lt;=5,"3-5",IF(R4857&lt;=10,"6-10","11+")))</f>
        <v/>
      </c>
    </row>
    <row r="4858">
      <c r="A4858" s="39" t="n">
        <v>46228.22769675926</v>
      </c>
      <c r="B4858" s="25">
        <f>TEXT(A4858,"YYYY-MM")</f>
        <v/>
      </c>
      <c r="C4858" s="25">
        <f>TEXT(A4858,"MMM-YYYY")</f>
        <v/>
      </c>
      <c r="D4858" s="40">
        <f>INT(A4858)-WEEKDAY(A4858,2)+1</f>
        <v/>
      </c>
      <c r="E4858" s="25" t="inlineStr">
        <is>
          <t>sasharma</t>
        </is>
      </c>
      <c r="F4858" s="25" t="n">
        <v>129917</v>
      </c>
      <c r="G4858" s="25" t="n">
        <v>2</v>
      </c>
      <c r="H4858" s="25" t="n">
        <v>10</v>
      </c>
      <c r="I4858" s="25" t="inlineStr">
        <is>
          <t>49 second(s)</t>
        </is>
      </c>
      <c r="J4858" s="25">
        <f>IFERROR(VALUE(TRIM(LEFT(I4858,FIND("minute",I4858)-1)))*60,0)+IFERROR(VALUE(SUBSTITUTE(MID(I4858,IFERROR(FIND("and",I4858)+3,1),20),"second(s)","")),0)</f>
        <v/>
      </c>
      <c r="K4858" s="41">
        <f>J4858/60</f>
        <v/>
      </c>
      <c r="L4858" s="41">
        <f>IFERROR(J4858/H4858,"")</f>
        <v/>
      </c>
      <c r="M4858" s="25" t="inlineStr">
        <is>
          <t>2.5.12</t>
        </is>
      </c>
      <c r="N4858" s="25">
        <f>IF(J4858&gt;300,1,0)</f>
        <v/>
      </c>
      <c r="O4858" s="25">
        <f>IF(J4858&gt;600,1,0)</f>
        <v/>
      </c>
      <c r="P4858" s="25">
        <f>IF(H4858&gt;0,J4858,"")</f>
        <v/>
      </c>
      <c r="Q4858" s="25">
        <f>TEXT(A4858,"YYYY-MM-DD HH")</f>
        <v/>
      </c>
      <c r="R4858" s="25">
        <f>COUNTIF($Q$2:$Q$5295,Q4858)</f>
        <v/>
      </c>
      <c r="S4858" s="25">
        <f>IF(R4858&lt;=2,"1-2",IF(R4858&lt;=5,"3-5",IF(R4858&lt;=10,"6-10","11+")))</f>
        <v/>
      </c>
    </row>
    <row r="4859">
      <c r="A4859" s="39" t="n">
        <v>46228.23245370371</v>
      </c>
      <c r="B4859" s="25">
        <f>TEXT(A4859,"YYYY-MM")</f>
        <v/>
      </c>
      <c r="C4859" s="25">
        <f>TEXT(A4859,"MMM-YYYY")</f>
        <v/>
      </c>
      <c r="D4859" s="40">
        <f>INT(A4859)-WEEKDAY(A4859,2)+1</f>
        <v/>
      </c>
      <c r="E4859" s="25" t="inlineStr">
        <is>
          <t>aghosh</t>
        </is>
      </c>
      <c r="F4859" s="25" t="n">
        <v>137526</v>
      </c>
      <c r="G4859" s="25" t="n">
        <v>4</v>
      </c>
      <c r="H4859" s="25" t="n">
        <v>10</v>
      </c>
      <c r="I4859" s="25" t="inlineStr">
        <is>
          <t>1 minute(s) and 49 second(s)</t>
        </is>
      </c>
      <c r="J4859" s="25">
        <f>IFERROR(VALUE(TRIM(LEFT(I4859,FIND("minute",I4859)-1)))*60,0)+IFERROR(VALUE(SUBSTITUTE(MID(I4859,IFERROR(FIND("and",I4859)+3,1),20),"second(s)","")),0)</f>
        <v/>
      </c>
      <c r="K4859" s="41">
        <f>J4859/60</f>
        <v/>
      </c>
      <c r="L4859" s="41">
        <f>IFERROR(J4859/H4859,"")</f>
        <v/>
      </c>
      <c r="M4859" s="25" t="inlineStr">
        <is>
          <t>2.5.12</t>
        </is>
      </c>
      <c r="N4859" s="25">
        <f>IF(J4859&gt;300,1,0)</f>
        <v/>
      </c>
      <c r="O4859" s="25">
        <f>IF(J4859&gt;600,1,0)</f>
        <v/>
      </c>
      <c r="P4859" s="25">
        <f>IF(H4859&gt;0,J4859,"")</f>
        <v/>
      </c>
      <c r="Q4859" s="25">
        <f>TEXT(A4859,"YYYY-MM-DD HH")</f>
        <v/>
      </c>
      <c r="R4859" s="25">
        <f>COUNTIF($Q$2:$Q$5295,Q4859)</f>
        <v/>
      </c>
      <c r="S4859" s="25">
        <f>IF(R4859&lt;=2,"1-2",IF(R4859&lt;=5,"3-5",IF(R4859&lt;=10,"6-10","11+")))</f>
        <v/>
      </c>
    </row>
    <row r="4860">
      <c r="A4860" s="39" t="n">
        <v>46228.2365625</v>
      </c>
      <c r="B4860" s="25">
        <f>TEXT(A4860,"YYYY-MM")</f>
        <v/>
      </c>
      <c r="C4860" s="25">
        <f>TEXT(A4860,"MMM-YYYY")</f>
        <v/>
      </c>
      <c r="D4860" s="40">
        <f>INT(A4860)-WEEKDAY(A4860,2)+1</f>
        <v/>
      </c>
      <c r="E4860" s="25" t="inlineStr">
        <is>
          <t>mbhalla</t>
        </is>
      </c>
      <c r="F4860" s="25" t="n">
        <v>129454</v>
      </c>
      <c r="G4860" s="25" t="n">
        <v>2</v>
      </c>
      <c r="H4860" s="25" t="n">
        <v>14</v>
      </c>
      <c r="I4860" s="25" t="inlineStr">
        <is>
          <t>3 minute(s) and 6 second(s)</t>
        </is>
      </c>
      <c r="J4860" s="25">
        <f>IFERROR(VALUE(TRIM(LEFT(I4860,FIND("minute",I4860)-1)))*60,0)+IFERROR(VALUE(SUBSTITUTE(MID(I4860,IFERROR(FIND("and",I4860)+3,1),20),"second(s)","")),0)</f>
        <v/>
      </c>
      <c r="K4860" s="41">
        <f>J4860/60</f>
        <v/>
      </c>
      <c r="L4860" s="41">
        <f>IFERROR(J4860/H4860,"")</f>
        <v/>
      </c>
      <c r="M4860" s="25" t="inlineStr">
        <is>
          <t>2.5.12</t>
        </is>
      </c>
      <c r="N4860" s="25">
        <f>IF(J4860&gt;300,1,0)</f>
        <v/>
      </c>
      <c r="O4860" s="25">
        <f>IF(J4860&gt;600,1,0)</f>
        <v/>
      </c>
      <c r="P4860" s="25">
        <f>IF(H4860&gt;0,J4860,"")</f>
        <v/>
      </c>
      <c r="Q4860" s="25">
        <f>TEXT(A4860,"YYYY-MM-DD HH")</f>
        <v/>
      </c>
      <c r="R4860" s="25">
        <f>COUNTIF($Q$2:$Q$5295,Q4860)</f>
        <v/>
      </c>
      <c r="S4860" s="25">
        <f>IF(R4860&lt;=2,"1-2",IF(R4860&lt;=5,"3-5",IF(R4860&lt;=10,"6-10","11+")))</f>
        <v/>
      </c>
    </row>
    <row r="4861">
      <c r="A4861" s="39" t="n">
        <v>46228.23758101852</v>
      </c>
      <c r="B4861" s="25">
        <f>TEXT(A4861,"YYYY-MM")</f>
        <v/>
      </c>
      <c r="C4861" s="25">
        <f>TEXT(A4861,"MMM-YYYY")</f>
        <v/>
      </c>
      <c r="D4861" s="40">
        <f>INT(A4861)-WEEKDAY(A4861,2)+1</f>
        <v/>
      </c>
      <c r="E4861" s="25" t="inlineStr">
        <is>
          <t>stiwari</t>
        </is>
      </c>
      <c r="F4861" s="25" t="n">
        <v>129031</v>
      </c>
      <c r="G4861" s="25" t="n">
        <v>3</v>
      </c>
      <c r="H4861" s="25" t="n">
        <v>15</v>
      </c>
      <c r="I4861" s="25" t="inlineStr">
        <is>
          <t>1 minute(s) and 5 second(s)</t>
        </is>
      </c>
      <c r="J4861" s="25">
        <f>IFERROR(VALUE(TRIM(LEFT(I4861,FIND("minute",I4861)-1)))*60,0)+IFERROR(VALUE(SUBSTITUTE(MID(I4861,IFERROR(FIND("and",I4861)+3,1),20),"second(s)","")),0)</f>
        <v/>
      </c>
      <c r="K4861" s="41">
        <f>J4861/60</f>
        <v/>
      </c>
      <c r="L4861" s="41">
        <f>IFERROR(J4861/H4861,"")</f>
        <v/>
      </c>
      <c r="M4861" s="25" t="inlineStr">
        <is>
          <t>2.5.12</t>
        </is>
      </c>
      <c r="N4861" s="25">
        <f>IF(J4861&gt;300,1,0)</f>
        <v/>
      </c>
      <c r="O4861" s="25">
        <f>IF(J4861&gt;600,1,0)</f>
        <v/>
      </c>
      <c r="P4861" s="25">
        <f>IF(H4861&gt;0,J4861,"")</f>
        <v/>
      </c>
      <c r="Q4861" s="25">
        <f>TEXT(A4861,"YYYY-MM-DD HH")</f>
        <v/>
      </c>
      <c r="R4861" s="25">
        <f>COUNTIF($Q$2:$Q$5295,Q4861)</f>
        <v/>
      </c>
      <c r="S4861" s="25">
        <f>IF(R4861&lt;=2,"1-2",IF(R4861&lt;=5,"3-5",IF(R4861&lt;=10,"6-10","11+")))</f>
        <v/>
      </c>
    </row>
    <row r="4862">
      <c r="A4862" s="39" t="n">
        <v>46228.24474537037</v>
      </c>
      <c r="B4862" s="25">
        <f>TEXT(A4862,"YYYY-MM")</f>
        <v/>
      </c>
      <c r="C4862" s="25">
        <f>TEXT(A4862,"MMM-YYYY")</f>
        <v/>
      </c>
      <c r="D4862" s="40">
        <f>INT(A4862)-WEEKDAY(A4862,2)+1</f>
        <v/>
      </c>
      <c r="E4862" s="25" t="inlineStr">
        <is>
          <t>sdey</t>
        </is>
      </c>
      <c r="F4862" s="25" t="n">
        <v>138966</v>
      </c>
      <c r="G4862" s="25" t="n">
        <v>4</v>
      </c>
      <c r="H4862" s="25" t="n">
        <v>14</v>
      </c>
      <c r="I4862" s="25" t="inlineStr">
        <is>
          <t>1 minute(s) and 31 second(s)</t>
        </is>
      </c>
      <c r="J4862" s="25">
        <f>IFERROR(VALUE(TRIM(LEFT(I4862,FIND("minute",I4862)-1)))*60,0)+IFERROR(VALUE(SUBSTITUTE(MID(I4862,IFERROR(FIND("and",I4862)+3,1),20),"second(s)","")),0)</f>
        <v/>
      </c>
      <c r="K4862" s="41">
        <f>J4862/60</f>
        <v/>
      </c>
      <c r="L4862" s="41">
        <f>IFERROR(J4862/H4862,"")</f>
        <v/>
      </c>
      <c r="M4862" s="25" t="inlineStr">
        <is>
          <t>2.5.12</t>
        </is>
      </c>
      <c r="N4862" s="25">
        <f>IF(J4862&gt;300,1,0)</f>
        <v/>
      </c>
      <c r="O4862" s="25">
        <f>IF(J4862&gt;600,1,0)</f>
        <v/>
      </c>
      <c r="P4862" s="25">
        <f>IF(H4862&gt;0,J4862,"")</f>
        <v/>
      </c>
      <c r="Q4862" s="25">
        <f>TEXT(A4862,"YYYY-MM-DD HH")</f>
        <v/>
      </c>
      <c r="R4862" s="25">
        <f>COUNTIF($Q$2:$Q$5295,Q4862)</f>
        <v/>
      </c>
      <c r="S4862" s="25">
        <f>IF(R4862&lt;=2,"1-2",IF(R4862&lt;=5,"3-5",IF(R4862&lt;=10,"6-10","11+")))</f>
        <v/>
      </c>
    </row>
    <row r="4863">
      <c r="A4863" s="39" t="n">
        <v>46228.25043981482</v>
      </c>
      <c r="B4863" s="25">
        <f>TEXT(A4863,"YYYY-MM")</f>
        <v/>
      </c>
      <c r="C4863" s="25">
        <f>TEXT(A4863,"MMM-YYYY")</f>
        <v/>
      </c>
      <c r="D4863" s="40">
        <f>INT(A4863)-WEEKDAY(A4863,2)+1</f>
        <v/>
      </c>
      <c r="E4863" s="25" t="inlineStr">
        <is>
          <t>mkulkarni</t>
        </is>
      </c>
      <c r="F4863" s="25" t="n">
        <v>128670</v>
      </c>
      <c r="G4863" s="25" t="n">
        <v>4</v>
      </c>
      <c r="H4863" s="25" t="n">
        <v>26</v>
      </c>
      <c r="I4863" s="25" t="inlineStr">
        <is>
          <t>2 minute(s) and 12 second(s)</t>
        </is>
      </c>
      <c r="J4863" s="25">
        <f>IFERROR(VALUE(TRIM(LEFT(I4863,FIND("minute",I4863)-1)))*60,0)+IFERROR(VALUE(SUBSTITUTE(MID(I4863,IFERROR(FIND("and",I4863)+3,1),20),"second(s)","")),0)</f>
        <v/>
      </c>
      <c r="K4863" s="41">
        <f>J4863/60</f>
        <v/>
      </c>
      <c r="L4863" s="41">
        <f>IFERROR(J4863/H4863,"")</f>
        <v/>
      </c>
      <c r="M4863" s="25" t="inlineStr">
        <is>
          <t>2.5.12</t>
        </is>
      </c>
      <c r="N4863" s="25">
        <f>IF(J4863&gt;300,1,0)</f>
        <v/>
      </c>
      <c r="O4863" s="25">
        <f>IF(J4863&gt;600,1,0)</f>
        <v/>
      </c>
      <c r="P4863" s="25">
        <f>IF(H4863&gt;0,J4863,"")</f>
        <v/>
      </c>
      <c r="Q4863" s="25">
        <f>TEXT(A4863,"YYYY-MM-DD HH")</f>
        <v/>
      </c>
      <c r="R4863" s="25">
        <f>COUNTIF($Q$2:$Q$5295,Q4863)</f>
        <v/>
      </c>
      <c r="S4863" s="25">
        <f>IF(R4863&lt;=2,"1-2",IF(R4863&lt;=5,"3-5",IF(R4863&lt;=10,"6-10","11+")))</f>
        <v/>
      </c>
    </row>
    <row r="4864">
      <c r="A4864" s="39" t="n">
        <v>46228.26172453703</v>
      </c>
      <c r="B4864" s="25">
        <f>TEXT(A4864,"YYYY-MM")</f>
        <v/>
      </c>
      <c r="C4864" s="25">
        <f>TEXT(A4864,"MMM-YYYY")</f>
        <v/>
      </c>
      <c r="D4864" s="40">
        <f>INT(A4864)-WEEKDAY(A4864,2)+1</f>
        <v/>
      </c>
      <c r="E4864" s="25" t="inlineStr">
        <is>
          <t>npriya</t>
        </is>
      </c>
      <c r="F4864" s="25" t="n">
        <v>136061</v>
      </c>
      <c r="G4864" s="25" t="n">
        <v>3</v>
      </c>
      <c r="H4864" s="25" t="n">
        <v>13</v>
      </c>
      <c r="I4864" s="25" t="inlineStr">
        <is>
          <t>1 minute(s) and 51 second(s)</t>
        </is>
      </c>
      <c r="J4864" s="25">
        <f>IFERROR(VALUE(TRIM(LEFT(I4864,FIND("minute",I4864)-1)))*60,0)+IFERROR(VALUE(SUBSTITUTE(MID(I4864,IFERROR(FIND("and",I4864)+3,1),20),"second(s)","")),0)</f>
        <v/>
      </c>
      <c r="K4864" s="41">
        <f>J4864/60</f>
        <v/>
      </c>
      <c r="L4864" s="41">
        <f>IFERROR(J4864/H4864,"")</f>
        <v/>
      </c>
      <c r="M4864" s="25" t="inlineStr">
        <is>
          <t>2.5.12</t>
        </is>
      </c>
      <c r="N4864" s="25">
        <f>IF(J4864&gt;300,1,0)</f>
        <v/>
      </c>
      <c r="O4864" s="25">
        <f>IF(J4864&gt;600,1,0)</f>
        <v/>
      </c>
      <c r="P4864" s="25">
        <f>IF(H4864&gt;0,J4864,"")</f>
        <v/>
      </c>
      <c r="Q4864" s="25">
        <f>TEXT(A4864,"YYYY-MM-DD HH")</f>
        <v/>
      </c>
      <c r="R4864" s="25">
        <f>COUNTIF($Q$2:$Q$5295,Q4864)</f>
        <v/>
      </c>
      <c r="S4864" s="25">
        <f>IF(R4864&lt;=2,"1-2",IF(R4864&lt;=5,"3-5",IF(R4864&lt;=10,"6-10","11+")))</f>
        <v/>
      </c>
    </row>
    <row r="4865">
      <c r="A4865" s="39" t="n">
        <v>46228.26391203704</v>
      </c>
      <c r="B4865" s="25">
        <f>TEXT(A4865,"YYYY-MM")</f>
        <v/>
      </c>
      <c r="C4865" s="25">
        <f>TEXT(A4865,"MMM-YYYY")</f>
        <v/>
      </c>
      <c r="D4865" s="40">
        <f>INT(A4865)-WEEKDAY(A4865,2)+1</f>
        <v/>
      </c>
      <c r="E4865" s="25" t="inlineStr">
        <is>
          <t>ssrinivasan</t>
        </is>
      </c>
      <c r="F4865" s="25" t="n">
        <v>133843</v>
      </c>
      <c r="G4865" s="25" t="n">
        <v>5</v>
      </c>
      <c r="H4865" s="25" t="n">
        <v>15</v>
      </c>
      <c r="I4865" s="25" t="inlineStr">
        <is>
          <t>1 minute(s) and 34 second(s)</t>
        </is>
      </c>
      <c r="J4865" s="25">
        <f>IFERROR(VALUE(TRIM(LEFT(I4865,FIND("minute",I4865)-1)))*60,0)+IFERROR(VALUE(SUBSTITUTE(MID(I4865,IFERROR(FIND("and",I4865)+3,1),20),"second(s)","")),0)</f>
        <v/>
      </c>
      <c r="K4865" s="41">
        <f>J4865/60</f>
        <v/>
      </c>
      <c r="L4865" s="41">
        <f>IFERROR(J4865/H4865,"")</f>
        <v/>
      </c>
      <c r="M4865" s="25" t="inlineStr">
        <is>
          <t>2.5.12</t>
        </is>
      </c>
      <c r="N4865" s="25">
        <f>IF(J4865&gt;300,1,0)</f>
        <v/>
      </c>
      <c r="O4865" s="25">
        <f>IF(J4865&gt;600,1,0)</f>
        <v/>
      </c>
      <c r="P4865" s="25">
        <f>IF(H4865&gt;0,J4865,"")</f>
        <v/>
      </c>
      <c r="Q4865" s="25">
        <f>TEXT(A4865,"YYYY-MM-DD HH")</f>
        <v/>
      </c>
      <c r="R4865" s="25">
        <f>COUNTIF($Q$2:$Q$5295,Q4865)</f>
        <v/>
      </c>
      <c r="S4865" s="25">
        <f>IF(R4865&lt;=2,"1-2",IF(R4865&lt;=5,"3-5",IF(R4865&lt;=10,"6-10","11+")))</f>
        <v/>
      </c>
    </row>
    <row r="4866">
      <c r="A4866" s="39" t="n">
        <v>46228.26702546296</v>
      </c>
      <c r="B4866" s="25">
        <f>TEXT(A4866,"YYYY-MM")</f>
        <v/>
      </c>
      <c r="C4866" s="25">
        <f>TEXT(A4866,"MMM-YYYY")</f>
        <v/>
      </c>
      <c r="D4866" s="40">
        <f>INT(A4866)-WEEKDAY(A4866,2)+1</f>
        <v/>
      </c>
      <c r="E4866" s="25" t="inlineStr">
        <is>
          <t>sphatak</t>
        </is>
      </c>
      <c r="F4866" s="25" t="n">
        <v>130340</v>
      </c>
      <c r="G4866" s="25" t="n">
        <v>4</v>
      </c>
      <c r="H4866" s="25" t="n">
        <v>26</v>
      </c>
      <c r="I4866" s="25" t="inlineStr">
        <is>
          <t>2 minute(s) and 0 second(s)</t>
        </is>
      </c>
      <c r="J4866" s="25">
        <f>IFERROR(VALUE(TRIM(LEFT(I4866,FIND("minute",I4866)-1)))*60,0)+IFERROR(VALUE(SUBSTITUTE(MID(I4866,IFERROR(FIND("and",I4866)+3,1),20),"second(s)","")),0)</f>
        <v/>
      </c>
      <c r="K4866" s="41">
        <f>J4866/60</f>
        <v/>
      </c>
      <c r="L4866" s="41">
        <f>IFERROR(J4866/H4866,"")</f>
        <v/>
      </c>
      <c r="M4866" s="25" t="inlineStr">
        <is>
          <t>2.5.12</t>
        </is>
      </c>
      <c r="N4866" s="25">
        <f>IF(J4866&gt;300,1,0)</f>
        <v/>
      </c>
      <c r="O4866" s="25">
        <f>IF(J4866&gt;600,1,0)</f>
        <v/>
      </c>
      <c r="P4866" s="25">
        <f>IF(H4866&gt;0,J4866,"")</f>
        <v/>
      </c>
      <c r="Q4866" s="25">
        <f>TEXT(A4866,"YYYY-MM-DD HH")</f>
        <v/>
      </c>
      <c r="R4866" s="25">
        <f>COUNTIF($Q$2:$Q$5295,Q4866)</f>
        <v/>
      </c>
      <c r="S4866" s="25">
        <f>IF(R4866&lt;=2,"1-2",IF(R4866&lt;=5,"3-5",IF(R4866&lt;=10,"6-10","11+")))</f>
        <v/>
      </c>
    </row>
    <row r="4867">
      <c r="A4867" s="39" t="n">
        <v>46228.27530092592</v>
      </c>
      <c r="B4867" s="25">
        <f>TEXT(A4867,"YYYY-MM")</f>
        <v/>
      </c>
      <c r="C4867" s="25">
        <f>TEXT(A4867,"MMM-YYYY")</f>
        <v/>
      </c>
      <c r="D4867" s="40">
        <f>INT(A4867)-WEEKDAY(A4867,2)+1</f>
        <v/>
      </c>
      <c r="E4867" s="25" t="inlineStr">
        <is>
          <t>sthomas</t>
        </is>
      </c>
      <c r="F4867" s="25" t="n">
        <v>129742</v>
      </c>
      <c r="G4867" s="25" t="n">
        <v>5</v>
      </c>
      <c r="H4867" s="25" t="n">
        <v>34</v>
      </c>
      <c r="I4867" s="25" t="inlineStr">
        <is>
          <t>3 minute(s) and 24 second(s)</t>
        </is>
      </c>
      <c r="J4867" s="25">
        <f>IFERROR(VALUE(TRIM(LEFT(I4867,FIND("minute",I4867)-1)))*60,0)+IFERROR(VALUE(SUBSTITUTE(MID(I4867,IFERROR(FIND("and",I4867)+3,1),20),"second(s)","")),0)</f>
        <v/>
      </c>
      <c r="K4867" s="41">
        <f>J4867/60</f>
        <v/>
      </c>
      <c r="L4867" s="41">
        <f>IFERROR(J4867/H4867,"")</f>
        <v/>
      </c>
      <c r="M4867" s="25" t="inlineStr">
        <is>
          <t>2.5.12</t>
        </is>
      </c>
      <c r="N4867" s="25">
        <f>IF(J4867&gt;300,1,0)</f>
        <v/>
      </c>
      <c r="O4867" s="25">
        <f>IF(J4867&gt;600,1,0)</f>
        <v/>
      </c>
      <c r="P4867" s="25">
        <f>IF(H4867&gt;0,J4867,"")</f>
        <v/>
      </c>
      <c r="Q4867" s="25">
        <f>TEXT(A4867,"YYYY-MM-DD HH")</f>
        <v/>
      </c>
      <c r="R4867" s="25">
        <f>COUNTIF($Q$2:$Q$5295,Q4867)</f>
        <v/>
      </c>
      <c r="S4867" s="25">
        <f>IF(R4867&lt;=2,"1-2",IF(R4867&lt;=5,"3-5",IF(R4867&lt;=10,"6-10","11+")))</f>
        <v/>
      </c>
    </row>
    <row r="4868">
      <c r="A4868" s="39" t="n">
        <v>46228.28118055555</v>
      </c>
      <c r="B4868" s="25">
        <f>TEXT(A4868,"YYYY-MM")</f>
        <v/>
      </c>
      <c r="C4868" s="25">
        <f>TEXT(A4868,"MMM-YYYY")</f>
        <v/>
      </c>
      <c r="D4868" s="40">
        <f>INT(A4868)-WEEKDAY(A4868,2)+1</f>
        <v/>
      </c>
      <c r="E4868" s="25" t="inlineStr">
        <is>
          <t>mbhalla</t>
        </is>
      </c>
      <c r="F4868" s="25" t="n">
        <v>138558</v>
      </c>
      <c r="G4868" s="25" t="n">
        <v>4</v>
      </c>
      <c r="H4868" s="25" t="n">
        <v>20</v>
      </c>
      <c r="I4868" s="25" t="inlineStr">
        <is>
          <t>1 minute(s) and 53 second(s)</t>
        </is>
      </c>
      <c r="J4868" s="25">
        <f>IFERROR(VALUE(TRIM(LEFT(I4868,FIND("minute",I4868)-1)))*60,0)+IFERROR(VALUE(SUBSTITUTE(MID(I4868,IFERROR(FIND("and",I4868)+3,1),20),"second(s)","")),0)</f>
        <v/>
      </c>
      <c r="K4868" s="41">
        <f>J4868/60</f>
        <v/>
      </c>
      <c r="L4868" s="41">
        <f>IFERROR(J4868/H4868,"")</f>
        <v/>
      </c>
      <c r="M4868" s="25" t="inlineStr">
        <is>
          <t>2.5.12</t>
        </is>
      </c>
      <c r="N4868" s="25">
        <f>IF(J4868&gt;300,1,0)</f>
        <v/>
      </c>
      <c r="O4868" s="25">
        <f>IF(J4868&gt;600,1,0)</f>
        <v/>
      </c>
      <c r="P4868" s="25">
        <f>IF(H4868&gt;0,J4868,"")</f>
        <v/>
      </c>
      <c r="Q4868" s="25">
        <f>TEXT(A4868,"YYYY-MM-DD HH")</f>
        <v/>
      </c>
      <c r="R4868" s="25">
        <f>COUNTIF($Q$2:$Q$5295,Q4868)</f>
        <v/>
      </c>
      <c r="S4868" s="25">
        <f>IF(R4868&lt;=2,"1-2",IF(R4868&lt;=5,"3-5",IF(R4868&lt;=10,"6-10","11+")))</f>
        <v/>
      </c>
    </row>
    <row r="4869">
      <c r="A4869" s="39" t="n">
        <v>46228.29149305556</v>
      </c>
      <c r="B4869" s="25">
        <f>TEXT(A4869,"YYYY-MM")</f>
        <v/>
      </c>
      <c r="C4869" s="25">
        <f>TEXT(A4869,"MMM-YYYY")</f>
        <v/>
      </c>
      <c r="D4869" s="40">
        <f>INT(A4869)-WEEKDAY(A4869,2)+1</f>
        <v/>
      </c>
      <c r="E4869" s="25" t="inlineStr">
        <is>
          <t>sswati</t>
        </is>
      </c>
      <c r="F4869" s="25" t="n">
        <v>129493</v>
      </c>
      <c r="G4869" s="25" t="n">
        <v>2</v>
      </c>
      <c r="H4869" s="25" t="n">
        <v>12</v>
      </c>
      <c r="I4869" s="25" t="inlineStr">
        <is>
          <t>1 minute(s) and 19 second(s)</t>
        </is>
      </c>
      <c r="J4869" s="25">
        <f>IFERROR(VALUE(TRIM(LEFT(I4869,FIND("minute",I4869)-1)))*60,0)+IFERROR(VALUE(SUBSTITUTE(MID(I4869,IFERROR(FIND("and",I4869)+3,1),20),"second(s)","")),0)</f>
        <v/>
      </c>
      <c r="K4869" s="41">
        <f>J4869/60</f>
        <v/>
      </c>
      <c r="L4869" s="41">
        <f>IFERROR(J4869/H4869,"")</f>
        <v/>
      </c>
      <c r="M4869" s="25" t="inlineStr">
        <is>
          <t>2.5.12</t>
        </is>
      </c>
      <c r="N4869" s="25">
        <f>IF(J4869&gt;300,1,0)</f>
        <v/>
      </c>
      <c r="O4869" s="25">
        <f>IF(J4869&gt;600,1,0)</f>
        <v/>
      </c>
      <c r="P4869" s="25">
        <f>IF(H4869&gt;0,J4869,"")</f>
        <v/>
      </c>
      <c r="Q4869" s="25">
        <f>TEXT(A4869,"YYYY-MM-DD HH")</f>
        <v/>
      </c>
      <c r="R4869" s="25">
        <f>COUNTIF($Q$2:$Q$5295,Q4869)</f>
        <v/>
      </c>
      <c r="S4869" s="25">
        <f>IF(R4869&lt;=2,"1-2",IF(R4869&lt;=5,"3-5",IF(R4869&lt;=10,"6-10","11+")))</f>
        <v/>
      </c>
    </row>
    <row r="4870">
      <c r="A4870" s="39" t="n">
        <v>46228.29377314815</v>
      </c>
      <c r="B4870" s="25">
        <f>TEXT(A4870,"YYYY-MM")</f>
        <v/>
      </c>
      <c r="C4870" s="25">
        <f>TEXT(A4870,"MMM-YYYY")</f>
        <v/>
      </c>
      <c r="D4870" s="40">
        <f>INT(A4870)-WEEKDAY(A4870,2)+1</f>
        <v/>
      </c>
      <c r="E4870" s="25" t="inlineStr">
        <is>
          <t>dbhattacharyya</t>
        </is>
      </c>
      <c r="F4870" s="25" t="n">
        <v>127946</v>
      </c>
      <c r="G4870" s="25" t="n">
        <v>2</v>
      </c>
      <c r="H4870" s="25" t="n">
        <v>10</v>
      </c>
      <c r="I4870" s="25" t="inlineStr">
        <is>
          <t>1 minute(s) and 1 second(s)</t>
        </is>
      </c>
      <c r="J4870" s="25">
        <f>IFERROR(VALUE(TRIM(LEFT(I4870,FIND("minute",I4870)-1)))*60,0)+IFERROR(VALUE(SUBSTITUTE(MID(I4870,IFERROR(FIND("and",I4870)+3,1),20),"second(s)","")),0)</f>
        <v/>
      </c>
      <c r="K4870" s="41">
        <f>J4870/60</f>
        <v/>
      </c>
      <c r="L4870" s="41">
        <f>IFERROR(J4870/H4870,"")</f>
        <v/>
      </c>
      <c r="M4870" s="25" t="inlineStr">
        <is>
          <t>2.5.12</t>
        </is>
      </c>
      <c r="N4870" s="25">
        <f>IF(J4870&gt;300,1,0)</f>
        <v/>
      </c>
      <c r="O4870" s="25">
        <f>IF(J4870&gt;600,1,0)</f>
        <v/>
      </c>
      <c r="P4870" s="25">
        <f>IF(H4870&gt;0,J4870,"")</f>
        <v/>
      </c>
      <c r="Q4870" s="25">
        <f>TEXT(A4870,"YYYY-MM-DD HH")</f>
        <v/>
      </c>
      <c r="R4870" s="25">
        <f>COUNTIF($Q$2:$Q$5295,Q4870)</f>
        <v/>
      </c>
      <c r="S4870" s="25">
        <f>IF(R4870&lt;=2,"1-2",IF(R4870&lt;=5,"3-5",IF(R4870&lt;=10,"6-10","11+")))</f>
        <v/>
      </c>
    </row>
    <row r="4871">
      <c r="A4871" s="39" t="n">
        <v>46228.29775462963</v>
      </c>
      <c r="B4871" s="25">
        <f>TEXT(A4871,"YYYY-MM")</f>
        <v/>
      </c>
      <c r="C4871" s="25">
        <f>TEXT(A4871,"MMM-YYYY")</f>
        <v/>
      </c>
      <c r="D4871" s="40">
        <f>INT(A4871)-WEEKDAY(A4871,2)+1</f>
        <v/>
      </c>
      <c r="E4871" s="25" t="inlineStr">
        <is>
          <t>sasharma</t>
        </is>
      </c>
      <c r="F4871" s="25" t="n">
        <v>129813</v>
      </c>
      <c r="G4871" s="25" t="n">
        <v>3</v>
      </c>
      <c r="H4871" s="25" t="n">
        <v>17</v>
      </c>
      <c r="I4871" s="25" t="inlineStr">
        <is>
          <t>1 minute(s) and 35 second(s)</t>
        </is>
      </c>
      <c r="J4871" s="25">
        <f>IFERROR(VALUE(TRIM(LEFT(I4871,FIND("minute",I4871)-1)))*60,0)+IFERROR(VALUE(SUBSTITUTE(MID(I4871,IFERROR(FIND("and",I4871)+3,1),20),"second(s)","")),0)</f>
        <v/>
      </c>
      <c r="K4871" s="41">
        <f>J4871/60</f>
        <v/>
      </c>
      <c r="L4871" s="41">
        <f>IFERROR(J4871/H4871,"")</f>
        <v/>
      </c>
      <c r="M4871" s="25" t="inlineStr">
        <is>
          <t>2.5.12</t>
        </is>
      </c>
      <c r="N4871" s="25">
        <f>IF(J4871&gt;300,1,0)</f>
        <v/>
      </c>
      <c r="O4871" s="25">
        <f>IF(J4871&gt;600,1,0)</f>
        <v/>
      </c>
      <c r="P4871" s="25">
        <f>IF(H4871&gt;0,J4871,"")</f>
        <v/>
      </c>
      <c r="Q4871" s="25">
        <f>TEXT(A4871,"YYYY-MM-DD HH")</f>
        <v/>
      </c>
      <c r="R4871" s="25">
        <f>COUNTIF($Q$2:$Q$5295,Q4871)</f>
        <v/>
      </c>
      <c r="S4871" s="25">
        <f>IF(R4871&lt;=2,"1-2",IF(R4871&lt;=5,"3-5",IF(R4871&lt;=10,"6-10","11+")))</f>
        <v/>
      </c>
    </row>
    <row r="4872">
      <c r="A4872" s="39" t="n">
        <v>46228.31568287037</v>
      </c>
      <c r="B4872" s="25">
        <f>TEXT(A4872,"YYYY-MM")</f>
        <v/>
      </c>
      <c r="C4872" s="25">
        <f>TEXT(A4872,"MMM-YYYY")</f>
        <v/>
      </c>
      <c r="D4872" s="40">
        <f>INT(A4872)-WEEKDAY(A4872,2)+1</f>
        <v/>
      </c>
      <c r="E4872" s="25" t="inlineStr">
        <is>
          <t>hsindwani</t>
        </is>
      </c>
      <c r="F4872" s="25" t="n">
        <v>134864</v>
      </c>
      <c r="G4872" s="25" t="n">
        <v>2</v>
      </c>
      <c r="H4872" s="25" t="n">
        <v>10</v>
      </c>
      <c r="I4872" s="25" t="inlineStr">
        <is>
          <t>2 minute(s) and 1 second(s)</t>
        </is>
      </c>
      <c r="J4872" s="25">
        <f>IFERROR(VALUE(TRIM(LEFT(I4872,FIND("minute",I4872)-1)))*60,0)+IFERROR(VALUE(SUBSTITUTE(MID(I4872,IFERROR(FIND("and",I4872)+3,1),20),"second(s)","")),0)</f>
        <v/>
      </c>
      <c r="K4872" s="41">
        <f>J4872/60</f>
        <v/>
      </c>
      <c r="L4872" s="41">
        <f>IFERROR(J4872/H4872,"")</f>
        <v/>
      </c>
      <c r="M4872" s="25" t="inlineStr">
        <is>
          <t>2.5.12</t>
        </is>
      </c>
      <c r="N4872" s="25">
        <f>IF(J4872&gt;300,1,0)</f>
        <v/>
      </c>
      <c r="O4872" s="25">
        <f>IF(J4872&gt;600,1,0)</f>
        <v/>
      </c>
      <c r="P4872" s="25">
        <f>IF(H4872&gt;0,J4872,"")</f>
        <v/>
      </c>
      <c r="Q4872" s="25">
        <f>TEXT(A4872,"YYYY-MM-DD HH")</f>
        <v/>
      </c>
      <c r="R4872" s="25">
        <f>COUNTIF($Q$2:$Q$5295,Q4872)</f>
        <v/>
      </c>
      <c r="S4872" s="25">
        <f>IF(R4872&lt;=2,"1-2",IF(R4872&lt;=5,"3-5",IF(R4872&lt;=10,"6-10","11+")))</f>
        <v/>
      </c>
    </row>
    <row r="4873">
      <c r="A4873" s="39" t="n">
        <v>46228.3221412037</v>
      </c>
      <c r="B4873" s="25">
        <f>TEXT(A4873,"YYYY-MM")</f>
        <v/>
      </c>
      <c r="C4873" s="25">
        <f>TEXT(A4873,"MMM-YYYY")</f>
        <v/>
      </c>
      <c r="D4873" s="40">
        <f>INT(A4873)-WEEKDAY(A4873,2)+1</f>
        <v/>
      </c>
      <c r="E4873" s="25" t="inlineStr">
        <is>
          <t>mkulkarni</t>
        </is>
      </c>
      <c r="F4873" s="25" t="n">
        <v>128638</v>
      </c>
      <c r="G4873" s="25" t="n">
        <v>1</v>
      </c>
      <c r="H4873" s="25" t="n">
        <v>7</v>
      </c>
      <c r="I4873" s="25" t="inlineStr">
        <is>
          <t>36 second(s)</t>
        </is>
      </c>
      <c r="J4873" s="25">
        <f>IFERROR(VALUE(TRIM(LEFT(I4873,FIND("minute",I4873)-1)))*60,0)+IFERROR(VALUE(SUBSTITUTE(MID(I4873,IFERROR(FIND("and",I4873)+3,1),20),"second(s)","")),0)</f>
        <v/>
      </c>
      <c r="K4873" s="41">
        <f>J4873/60</f>
        <v/>
      </c>
      <c r="L4873" s="41">
        <f>IFERROR(J4873/H4873,"")</f>
        <v/>
      </c>
      <c r="M4873" s="25" t="inlineStr">
        <is>
          <t>2.5.12</t>
        </is>
      </c>
      <c r="N4873" s="25">
        <f>IF(J4873&gt;300,1,0)</f>
        <v/>
      </c>
      <c r="O4873" s="25">
        <f>IF(J4873&gt;600,1,0)</f>
        <v/>
      </c>
      <c r="P4873" s="25">
        <f>IF(H4873&gt;0,J4873,"")</f>
        <v/>
      </c>
      <c r="Q4873" s="25">
        <f>TEXT(A4873,"YYYY-MM-DD HH")</f>
        <v/>
      </c>
      <c r="R4873" s="25">
        <f>COUNTIF($Q$2:$Q$5295,Q4873)</f>
        <v/>
      </c>
      <c r="S4873" s="25">
        <f>IF(R4873&lt;=2,"1-2",IF(R4873&lt;=5,"3-5",IF(R4873&lt;=10,"6-10","11+")))</f>
        <v/>
      </c>
    </row>
    <row r="4874">
      <c r="A4874" s="39" t="n">
        <v>46228.32710648148</v>
      </c>
      <c r="B4874" s="25">
        <f>TEXT(A4874,"YYYY-MM")</f>
        <v/>
      </c>
      <c r="C4874" s="25">
        <f>TEXT(A4874,"MMM-YYYY")</f>
        <v/>
      </c>
      <c r="D4874" s="40">
        <f>INT(A4874)-WEEKDAY(A4874,2)+1</f>
        <v/>
      </c>
      <c r="E4874" s="25" t="inlineStr">
        <is>
          <t>ssrinivasan</t>
        </is>
      </c>
      <c r="F4874" s="25" t="n">
        <v>128789</v>
      </c>
      <c r="G4874" s="25" t="n">
        <v>3</v>
      </c>
      <c r="H4874" s="25" t="n">
        <v>19</v>
      </c>
      <c r="I4874" s="25" t="inlineStr">
        <is>
          <t>2 minute(s) and 10 second(s)</t>
        </is>
      </c>
      <c r="J4874" s="25">
        <f>IFERROR(VALUE(TRIM(LEFT(I4874,FIND("minute",I4874)-1)))*60,0)+IFERROR(VALUE(SUBSTITUTE(MID(I4874,IFERROR(FIND("and",I4874)+3,1),20),"second(s)","")),0)</f>
        <v/>
      </c>
      <c r="K4874" s="41">
        <f>J4874/60</f>
        <v/>
      </c>
      <c r="L4874" s="41">
        <f>IFERROR(J4874/H4874,"")</f>
        <v/>
      </c>
      <c r="M4874" s="25" t="inlineStr">
        <is>
          <t>2.5.12</t>
        </is>
      </c>
      <c r="N4874" s="25">
        <f>IF(J4874&gt;300,1,0)</f>
        <v/>
      </c>
      <c r="O4874" s="25">
        <f>IF(J4874&gt;600,1,0)</f>
        <v/>
      </c>
      <c r="P4874" s="25">
        <f>IF(H4874&gt;0,J4874,"")</f>
        <v/>
      </c>
      <c r="Q4874" s="25">
        <f>TEXT(A4874,"YYYY-MM-DD HH")</f>
        <v/>
      </c>
      <c r="R4874" s="25">
        <f>COUNTIF($Q$2:$Q$5295,Q4874)</f>
        <v/>
      </c>
      <c r="S4874" s="25">
        <f>IF(R4874&lt;=2,"1-2",IF(R4874&lt;=5,"3-5",IF(R4874&lt;=10,"6-10","11+")))</f>
        <v/>
      </c>
    </row>
    <row r="4875">
      <c r="A4875" s="39" t="n">
        <v>46228.34177083334</v>
      </c>
      <c r="B4875" s="25">
        <f>TEXT(A4875,"YYYY-MM")</f>
        <v/>
      </c>
      <c r="C4875" s="25">
        <f>TEXT(A4875,"MMM-YYYY")</f>
        <v/>
      </c>
      <c r="D4875" s="40">
        <f>INT(A4875)-WEEKDAY(A4875,2)+1</f>
        <v/>
      </c>
      <c r="E4875" s="25" t="inlineStr">
        <is>
          <t>sdey</t>
        </is>
      </c>
      <c r="F4875" s="25" t="n">
        <v>137390</v>
      </c>
      <c r="G4875" s="25" t="n">
        <v>4</v>
      </c>
      <c r="H4875" s="25" t="n">
        <v>14</v>
      </c>
      <c r="I4875" s="25" t="inlineStr">
        <is>
          <t>1 minute(s) and 24 second(s)</t>
        </is>
      </c>
      <c r="J4875" s="25">
        <f>IFERROR(VALUE(TRIM(LEFT(I4875,FIND("minute",I4875)-1)))*60,0)+IFERROR(VALUE(SUBSTITUTE(MID(I4875,IFERROR(FIND("and",I4875)+3,1),20),"second(s)","")),0)</f>
        <v/>
      </c>
      <c r="K4875" s="41">
        <f>J4875/60</f>
        <v/>
      </c>
      <c r="L4875" s="41">
        <f>IFERROR(J4875/H4875,"")</f>
        <v/>
      </c>
      <c r="M4875" s="25" t="inlineStr">
        <is>
          <t>2.5.12</t>
        </is>
      </c>
      <c r="N4875" s="25">
        <f>IF(J4875&gt;300,1,0)</f>
        <v/>
      </c>
      <c r="O4875" s="25">
        <f>IF(J4875&gt;600,1,0)</f>
        <v/>
      </c>
      <c r="P4875" s="25">
        <f>IF(H4875&gt;0,J4875,"")</f>
        <v/>
      </c>
      <c r="Q4875" s="25">
        <f>TEXT(A4875,"YYYY-MM-DD HH")</f>
        <v/>
      </c>
      <c r="R4875" s="25">
        <f>COUNTIF($Q$2:$Q$5295,Q4875)</f>
        <v/>
      </c>
      <c r="S4875" s="25">
        <f>IF(R4875&lt;=2,"1-2",IF(R4875&lt;=5,"3-5",IF(R4875&lt;=10,"6-10","11+")))</f>
        <v/>
      </c>
    </row>
    <row r="4876">
      <c r="A4876" s="39" t="n">
        <v>46228.34445601852</v>
      </c>
      <c r="B4876" s="25">
        <f>TEXT(A4876,"YYYY-MM")</f>
        <v/>
      </c>
      <c r="C4876" s="25">
        <f>TEXT(A4876,"MMM-YYYY")</f>
        <v/>
      </c>
      <c r="D4876" s="40">
        <f>INT(A4876)-WEEKDAY(A4876,2)+1</f>
        <v/>
      </c>
      <c r="E4876" s="25" t="inlineStr">
        <is>
          <t>ns</t>
        </is>
      </c>
      <c r="F4876" s="25" t="n">
        <v>130786</v>
      </c>
      <c r="G4876" s="25" t="n">
        <v>4</v>
      </c>
      <c r="H4876" s="25" t="n">
        <v>16</v>
      </c>
      <c r="I4876" s="25" t="inlineStr">
        <is>
          <t>2 minute(s) and 37 second(s)</t>
        </is>
      </c>
      <c r="J4876" s="25">
        <f>IFERROR(VALUE(TRIM(LEFT(I4876,FIND("minute",I4876)-1)))*60,0)+IFERROR(VALUE(SUBSTITUTE(MID(I4876,IFERROR(FIND("and",I4876)+3,1),20),"second(s)","")),0)</f>
        <v/>
      </c>
      <c r="K4876" s="41">
        <f>J4876/60</f>
        <v/>
      </c>
      <c r="L4876" s="41">
        <f>IFERROR(J4876/H4876,"")</f>
        <v/>
      </c>
      <c r="M4876" s="25" t="inlineStr">
        <is>
          <t>2.5.12</t>
        </is>
      </c>
      <c r="N4876" s="25">
        <f>IF(J4876&gt;300,1,0)</f>
        <v/>
      </c>
      <c r="O4876" s="25">
        <f>IF(J4876&gt;600,1,0)</f>
        <v/>
      </c>
      <c r="P4876" s="25">
        <f>IF(H4876&gt;0,J4876,"")</f>
        <v/>
      </c>
      <c r="Q4876" s="25">
        <f>TEXT(A4876,"YYYY-MM-DD HH")</f>
        <v/>
      </c>
      <c r="R4876" s="25">
        <f>COUNTIF($Q$2:$Q$5295,Q4876)</f>
        <v/>
      </c>
      <c r="S4876" s="25">
        <f>IF(R4876&lt;=2,"1-2",IF(R4876&lt;=5,"3-5",IF(R4876&lt;=10,"6-10","11+")))</f>
        <v/>
      </c>
    </row>
    <row r="4877">
      <c r="A4877" s="39" t="n">
        <v>46228.40721064815</v>
      </c>
      <c r="B4877" s="25">
        <f>TEXT(A4877,"YYYY-MM")</f>
        <v/>
      </c>
      <c r="C4877" s="25">
        <f>TEXT(A4877,"MMM-YYYY")</f>
        <v/>
      </c>
      <c r="D4877" s="40">
        <f>INT(A4877)-WEEKDAY(A4877,2)+1</f>
        <v/>
      </c>
      <c r="E4877" s="25" t="inlineStr">
        <is>
          <t>sthomas</t>
        </is>
      </c>
      <c r="F4877" s="25" t="n">
        <v>129574</v>
      </c>
      <c r="G4877" s="25" t="n">
        <v>4</v>
      </c>
      <c r="H4877" s="25" t="n">
        <v>21</v>
      </c>
      <c r="I4877" s="25" t="inlineStr">
        <is>
          <t>1 minute(s) and 53 second(s)</t>
        </is>
      </c>
      <c r="J4877" s="25">
        <f>IFERROR(VALUE(TRIM(LEFT(I4877,FIND("minute",I4877)-1)))*60,0)+IFERROR(VALUE(SUBSTITUTE(MID(I4877,IFERROR(FIND("and",I4877)+3,1),20),"second(s)","")),0)</f>
        <v/>
      </c>
      <c r="K4877" s="41">
        <f>J4877/60</f>
        <v/>
      </c>
      <c r="L4877" s="41">
        <f>IFERROR(J4877/H4877,"")</f>
        <v/>
      </c>
      <c r="M4877" s="25" t="inlineStr">
        <is>
          <t>2.5.12</t>
        </is>
      </c>
      <c r="N4877" s="25">
        <f>IF(J4877&gt;300,1,0)</f>
        <v/>
      </c>
      <c r="O4877" s="25">
        <f>IF(J4877&gt;600,1,0)</f>
        <v/>
      </c>
      <c r="P4877" s="25">
        <f>IF(H4877&gt;0,J4877,"")</f>
        <v/>
      </c>
      <c r="Q4877" s="25">
        <f>TEXT(A4877,"YYYY-MM-DD HH")</f>
        <v/>
      </c>
      <c r="R4877" s="25">
        <f>COUNTIF($Q$2:$Q$5295,Q4877)</f>
        <v/>
      </c>
      <c r="S4877" s="25">
        <f>IF(R4877&lt;=2,"1-2",IF(R4877&lt;=5,"3-5",IF(R4877&lt;=10,"6-10","11+")))</f>
        <v/>
      </c>
    </row>
    <row r="4878">
      <c r="A4878" s="39" t="n">
        <v>46228.4565162037</v>
      </c>
      <c r="B4878" s="25">
        <f>TEXT(A4878,"YYYY-MM")</f>
        <v/>
      </c>
      <c r="C4878" s="25">
        <f>TEXT(A4878,"MMM-YYYY")</f>
        <v/>
      </c>
      <c r="D4878" s="40">
        <f>INT(A4878)-WEEKDAY(A4878,2)+1</f>
        <v/>
      </c>
      <c r="E4878" s="25" t="inlineStr">
        <is>
          <t>dbhattacharyya</t>
        </is>
      </c>
      <c r="F4878" s="25" t="n">
        <v>130854</v>
      </c>
      <c r="G4878" s="25" t="n">
        <v>4</v>
      </c>
      <c r="H4878" s="25" t="n">
        <v>28</v>
      </c>
      <c r="I4878" s="25" t="inlineStr">
        <is>
          <t>2 minute(s) and 18 second(s)</t>
        </is>
      </c>
      <c r="J4878" s="25">
        <f>IFERROR(VALUE(TRIM(LEFT(I4878,FIND("minute",I4878)-1)))*60,0)+IFERROR(VALUE(SUBSTITUTE(MID(I4878,IFERROR(FIND("and",I4878)+3,1),20),"second(s)","")),0)</f>
        <v/>
      </c>
      <c r="K4878" s="41">
        <f>J4878/60</f>
        <v/>
      </c>
      <c r="L4878" s="41">
        <f>IFERROR(J4878/H4878,"")</f>
        <v/>
      </c>
      <c r="M4878" s="25" t="inlineStr">
        <is>
          <t>2.5.12</t>
        </is>
      </c>
      <c r="N4878" s="25">
        <f>IF(J4878&gt;300,1,0)</f>
        <v/>
      </c>
      <c r="O4878" s="25">
        <f>IF(J4878&gt;600,1,0)</f>
        <v/>
      </c>
      <c r="P4878" s="25">
        <f>IF(H4878&gt;0,J4878,"")</f>
        <v/>
      </c>
      <c r="Q4878" s="25">
        <f>TEXT(A4878,"YYYY-MM-DD HH")</f>
        <v/>
      </c>
      <c r="R4878" s="25">
        <f>COUNTIF($Q$2:$Q$5295,Q4878)</f>
        <v/>
      </c>
      <c r="S4878" s="25">
        <f>IF(R4878&lt;=2,"1-2",IF(R4878&lt;=5,"3-5",IF(R4878&lt;=10,"6-10","11+")))</f>
        <v/>
      </c>
    </row>
    <row r="4879">
      <c r="A4879" s="39" t="n">
        <v>46228.48792824074</v>
      </c>
      <c r="B4879" s="25">
        <f>TEXT(A4879,"YYYY-MM")</f>
        <v/>
      </c>
      <c r="C4879" s="25">
        <f>TEXT(A4879,"MMM-YYYY")</f>
        <v/>
      </c>
      <c r="D4879" s="40">
        <f>INT(A4879)-WEEKDAY(A4879,2)+1</f>
        <v/>
      </c>
      <c r="E4879" s="25" t="inlineStr">
        <is>
          <t>hsindwani</t>
        </is>
      </c>
      <c r="F4879" s="25" t="n">
        <v>131638</v>
      </c>
      <c r="G4879" s="25" t="n">
        <v>4</v>
      </c>
      <c r="H4879" s="25" t="n">
        <v>27</v>
      </c>
      <c r="I4879" s="25" t="inlineStr">
        <is>
          <t>5 minute(s) and 27 second(s)</t>
        </is>
      </c>
      <c r="J4879" s="25">
        <f>IFERROR(VALUE(TRIM(LEFT(I4879,FIND("minute",I4879)-1)))*60,0)+IFERROR(VALUE(SUBSTITUTE(MID(I4879,IFERROR(FIND("and",I4879)+3,1),20),"second(s)","")),0)</f>
        <v/>
      </c>
      <c r="K4879" s="41">
        <f>J4879/60</f>
        <v/>
      </c>
      <c r="L4879" s="41">
        <f>IFERROR(J4879/H4879,"")</f>
        <v/>
      </c>
      <c r="M4879" s="25" t="inlineStr">
        <is>
          <t>2.5.12</t>
        </is>
      </c>
      <c r="N4879" s="25">
        <f>IF(J4879&gt;300,1,0)</f>
        <v/>
      </c>
      <c r="O4879" s="25">
        <f>IF(J4879&gt;600,1,0)</f>
        <v/>
      </c>
      <c r="P4879" s="25">
        <f>IF(H4879&gt;0,J4879,"")</f>
        <v/>
      </c>
      <c r="Q4879" s="25">
        <f>TEXT(A4879,"YYYY-MM-DD HH")</f>
        <v/>
      </c>
      <c r="R4879" s="25">
        <f>COUNTIF($Q$2:$Q$5295,Q4879)</f>
        <v/>
      </c>
      <c r="S4879" s="25">
        <f>IF(R4879&lt;=2,"1-2",IF(R4879&lt;=5,"3-5",IF(R4879&lt;=10,"6-10","11+")))</f>
        <v/>
      </c>
    </row>
    <row r="4880">
      <c r="A4880" s="39" t="n">
        <v>46228.51199074074</v>
      </c>
      <c r="B4880" s="25">
        <f>TEXT(A4880,"YYYY-MM")</f>
        <v/>
      </c>
      <c r="C4880" s="25">
        <f>TEXT(A4880,"MMM-YYYY")</f>
        <v/>
      </c>
      <c r="D4880" s="40">
        <f>INT(A4880)-WEEKDAY(A4880,2)+1</f>
        <v/>
      </c>
      <c r="E4880" s="25" t="inlineStr">
        <is>
          <t>sthomas</t>
        </is>
      </c>
      <c r="F4880" s="25" t="n">
        <v>129206</v>
      </c>
      <c r="G4880" s="25" t="n">
        <v>4</v>
      </c>
      <c r="H4880" s="25" t="n">
        <v>20</v>
      </c>
      <c r="I4880" s="25" t="inlineStr">
        <is>
          <t>1 minute(s) and 54 second(s)</t>
        </is>
      </c>
      <c r="J4880" s="25">
        <f>IFERROR(VALUE(TRIM(LEFT(I4880,FIND("minute",I4880)-1)))*60,0)+IFERROR(VALUE(SUBSTITUTE(MID(I4880,IFERROR(FIND("and",I4880)+3,1),20),"second(s)","")),0)</f>
        <v/>
      </c>
      <c r="K4880" s="41">
        <f>J4880/60</f>
        <v/>
      </c>
      <c r="L4880" s="41">
        <f>IFERROR(J4880/H4880,"")</f>
        <v/>
      </c>
      <c r="M4880" s="25" t="inlineStr">
        <is>
          <t>2.5.12</t>
        </is>
      </c>
      <c r="N4880" s="25">
        <f>IF(J4880&gt;300,1,0)</f>
        <v/>
      </c>
      <c r="O4880" s="25">
        <f>IF(J4880&gt;600,1,0)</f>
        <v/>
      </c>
      <c r="P4880" s="25">
        <f>IF(H4880&gt;0,J4880,"")</f>
        <v/>
      </c>
      <c r="Q4880" s="25">
        <f>TEXT(A4880,"YYYY-MM-DD HH")</f>
        <v/>
      </c>
      <c r="R4880" s="25">
        <f>COUNTIF($Q$2:$Q$5295,Q4880)</f>
        <v/>
      </c>
      <c r="S4880" s="25">
        <f>IF(R4880&lt;=2,"1-2",IF(R4880&lt;=5,"3-5",IF(R4880&lt;=10,"6-10","11+")))</f>
        <v/>
      </c>
    </row>
    <row r="4881">
      <c r="A4881" s="39" t="n">
        <v>46228.62944444444</v>
      </c>
      <c r="B4881" s="25">
        <f>TEXT(A4881,"YYYY-MM")</f>
        <v/>
      </c>
      <c r="C4881" s="25">
        <f>TEXT(A4881,"MMM-YYYY")</f>
        <v/>
      </c>
      <c r="D4881" s="40">
        <f>INT(A4881)-WEEKDAY(A4881,2)+1</f>
        <v/>
      </c>
      <c r="E4881" s="25" t="inlineStr">
        <is>
          <t>sdey</t>
        </is>
      </c>
      <c r="F4881" s="25" t="n">
        <v>135417</v>
      </c>
      <c r="G4881" s="25" t="n">
        <v>2</v>
      </c>
      <c r="H4881" s="25" t="n">
        <v>9</v>
      </c>
      <c r="I4881" s="25" t="inlineStr">
        <is>
          <t>2 minute(s) and 13 second(s)</t>
        </is>
      </c>
      <c r="J4881" s="25">
        <f>IFERROR(VALUE(TRIM(LEFT(I4881,FIND("minute",I4881)-1)))*60,0)+IFERROR(VALUE(SUBSTITUTE(MID(I4881,IFERROR(FIND("and",I4881)+3,1),20),"second(s)","")),0)</f>
        <v/>
      </c>
      <c r="K4881" s="41">
        <f>J4881/60</f>
        <v/>
      </c>
      <c r="L4881" s="41">
        <f>IFERROR(J4881/H4881,"")</f>
        <v/>
      </c>
      <c r="M4881" s="25" t="inlineStr">
        <is>
          <t>2.5.12</t>
        </is>
      </c>
      <c r="N4881" s="25">
        <f>IF(J4881&gt;300,1,0)</f>
        <v/>
      </c>
      <c r="O4881" s="25">
        <f>IF(J4881&gt;600,1,0)</f>
        <v/>
      </c>
      <c r="P4881" s="25">
        <f>IF(H4881&gt;0,J4881,"")</f>
        <v/>
      </c>
      <c r="Q4881" s="25">
        <f>TEXT(A4881,"YYYY-MM-DD HH")</f>
        <v/>
      </c>
      <c r="R4881" s="25">
        <f>COUNTIF($Q$2:$Q$5295,Q4881)</f>
        <v/>
      </c>
      <c r="S4881" s="25">
        <f>IF(R4881&lt;=2,"1-2",IF(R4881&lt;=5,"3-5",IF(R4881&lt;=10,"6-10","11+")))</f>
        <v/>
      </c>
    </row>
    <row r="4882">
      <c r="A4882" s="39" t="n">
        <v>46228.68916666666</v>
      </c>
      <c r="B4882" s="25">
        <f>TEXT(A4882,"YYYY-MM")</f>
        <v/>
      </c>
      <c r="C4882" s="25">
        <f>TEXT(A4882,"MMM-YYYY")</f>
        <v/>
      </c>
      <c r="D4882" s="40">
        <f>INT(A4882)-WEEKDAY(A4882,2)+1</f>
        <v/>
      </c>
      <c r="E4882" s="25" t="inlineStr">
        <is>
          <t>hsindwani</t>
        </is>
      </c>
      <c r="F4882" s="25" t="n">
        <v>136055</v>
      </c>
      <c r="G4882" s="25" t="n">
        <v>2</v>
      </c>
      <c r="H4882" s="25" t="n">
        <v>8</v>
      </c>
      <c r="I4882" s="25" t="inlineStr">
        <is>
          <t>54 second(s)</t>
        </is>
      </c>
      <c r="J4882" s="25">
        <f>IFERROR(VALUE(TRIM(LEFT(I4882,FIND("minute",I4882)-1)))*60,0)+IFERROR(VALUE(SUBSTITUTE(MID(I4882,IFERROR(FIND("and",I4882)+3,1),20),"second(s)","")),0)</f>
        <v/>
      </c>
      <c r="K4882" s="41">
        <f>J4882/60</f>
        <v/>
      </c>
      <c r="L4882" s="41">
        <f>IFERROR(J4882/H4882,"")</f>
        <v/>
      </c>
      <c r="M4882" s="25" t="inlineStr">
        <is>
          <t>2.5.12</t>
        </is>
      </c>
      <c r="N4882" s="25">
        <f>IF(J4882&gt;300,1,0)</f>
        <v/>
      </c>
      <c r="O4882" s="25">
        <f>IF(J4882&gt;600,1,0)</f>
        <v/>
      </c>
      <c r="P4882" s="25">
        <f>IF(H4882&gt;0,J4882,"")</f>
        <v/>
      </c>
      <c r="Q4882" s="25">
        <f>TEXT(A4882,"YYYY-MM-DD HH")</f>
        <v/>
      </c>
      <c r="R4882" s="25">
        <f>COUNTIF($Q$2:$Q$5295,Q4882)</f>
        <v/>
      </c>
      <c r="S4882" s="25">
        <f>IF(R4882&lt;=2,"1-2",IF(R4882&lt;=5,"3-5",IF(R4882&lt;=10,"6-10","11+")))</f>
        <v/>
      </c>
    </row>
    <row r="4883">
      <c r="A4883" s="39" t="n">
        <v>46228.74461805556</v>
      </c>
      <c r="B4883" s="25">
        <f>TEXT(A4883,"YYYY-MM")</f>
        <v/>
      </c>
      <c r="C4883" s="25">
        <f>TEXT(A4883,"MMM-YYYY")</f>
        <v/>
      </c>
      <c r="D4883" s="40">
        <f>INT(A4883)-WEEKDAY(A4883,2)+1</f>
        <v/>
      </c>
      <c r="E4883" s="25" t="inlineStr">
        <is>
          <t>sswati</t>
        </is>
      </c>
      <c r="F4883" s="25" t="n">
        <v>129525</v>
      </c>
      <c r="G4883" s="25" t="n">
        <v>5</v>
      </c>
      <c r="H4883" s="25" t="n">
        <v>23</v>
      </c>
      <c r="I4883" s="25" t="inlineStr">
        <is>
          <t>2 minute(s) and 39 second(s)</t>
        </is>
      </c>
      <c r="J4883" s="25">
        <f>IFERROR(VALUE(TRIM(LEFT(I4883,FIND("minute",I4883)-1)))*60,0)+IFERROR(VALUE(SUBSTITUTE(MID(I4883,IFERROR(FIND("and",I4883)+3,1),20),"second(s)","")),0)</f>
        <v/>
      </c>
      <c r="K4883" s="41">
        <f>J4883/60</f>
        <v/>
      </c>
      <c r="L4883" s="41">
        <f>IFERROR(J4883/H4883,"")</f>
        <v/>
      </c>
      <c r="M4883" s="25" t="inlineStr">
        <is>
          <t>2.5.12</t>
        </is>
      </c>
      <c r="N4883" s="25">
        <f>IF(J4883&gt;300,1,0)</f>
        <v/>
      </c>
      <c r="O4883" s="25">
        <f>IF(J4883&gt;600,1,0)</f>
        <v/>
      </c>
      <c r="P4883" s="25">
        <f>IF(H4883&gt;0,J4883,"")</f>
        <v/>
      </c>
      <c r="Q4883" s="25">
        <f>TEXT(A4883,"YYYY-MM-DD HH")</f>
        <v/>
      </c>
      <c r="R4883" s="25">
        <f>COUNTIF($Q$2:$Q$5295,Q4883)</f>
        <v/>
      </c>
      <c r="S4883" s="25">
        <f>IF(R4883&lt;=2,"1-2",IF(R4883&lt;=5,"3-5",IF(R4883&lt;=10,"6-10","11+")))</f>
        <v/>
      </c>
    </row>
    <row r="4884">
      <c r="A4884" s="39" t="n">
        <v>46228.81429398148</v>
      </c>
      <c r="B4884" s="25">
        <f>TEXT(A4884,"YYYY-MM")</f>
        <v/>
      </c>
      <c r="C4884" s="25">
        <f>TEXT(A4884,"MMM-YYYY")</f>
        <v/>
      </c>
      <c r="D4884" s="40">
        <f>INT(A4884)-WEEKDAY(A4884,2)+1</f>
        <v/>
      </c>
      <c r="E4884" s="25" t="inlineStr">
        <is>
          <t>hsindwani</t>
        </is>
      </c>
      <c r="F4884" s="25" t="n">
        <v>128746</v>
      </c>
      <c r="G4884" s="25" t="n">
        <v>2</v>
      </c>
      <c r="H4884" s="25" t="n">
        <v>10</v>
      </c>
      <c r="I4884" s="25" t="inlineStr">
        <is>
          <t>1 minute(s) and 0 second(s)</t>
        </is>
      </c>
      <c r="J4884" s="25">
        <f>IFERROR(VALUE(TRIM(LEFT(I4884,FIND("minute",I4884)-1)))*60,0)+IFERROR(VALUE(SUBSTITUTE(MID(I4884,IFERROR(FIND("and",I4884)+3,1),20),"second(s)","")),0)</f>
        <v/>
      </c>
      <c r="K4884" s="41">
        <f>J4884/60</f>
        <v/>
      </c>
      <c r="L4884" s="41">
        <f>IFERROR(J4884/H4884,"")</f>
        <v/>
      </c>
      <c r="M4884" s="25" t="inlineStr">
        <is>
          <t>2.5.12</t>
        </is>
      </c>
      <c r="N4884" s="25">
        <f>IF(J4884&gt;300,1,0)</f>
        <v/>
      </c>
      <c r="O4884" s="25">
        <f>IF(J4884&gt;600,1,0)</f>
        <v/>
      </c>
      <c r="P4884" s="25">
        <f>IF(H4884&gt;0,J4884,"")</f>
        <v/>
      </c>
      <c r="Q4884" s="25">
        <f>TEXT(A4884,"YYYY-MM-DD HH")</f>
        <v/>
      </c>
      <c r="R4884" s="25">
        <f>COUNTIF($Q$2:$Q$5295,Q4884)</f>
        <v/>
      </c>
      <c r="S4884" s="25">
        <f>IF(R4884&lt;=2,"1-2",IF(R4884&lt;=5,"3-5",IF(R4884&lt;=10,"6-10","11+")))</f>
        <v/>
      </c>
    </row>
    <row r="4885">
      <c r="A4885" s="39" t="n">
        <v>46228.82472222222</v>
      </c>
      <c r="B4885" s="25">
        <f>TEXT(A4885,"YYYY-MM")</f>
        <v/>
      </c>
      <c r="C4885" s="25">
        <f>TEXT(A4885,"MMM-YYYY")</f>
        <v/>
      </c>
      <c r="D4885" s="40">
        <f>INT(A4885)-WEEKDAY(A4885,2)+1</f>
        <v/>
      </c>
      <c r="E4885" s="25" t="inlineStr">
        <is>
          <t>sswati</t>
        </is>
      </c>
      <c r="F4885" s="25" t="n">
        <v>129295</v>
      </c>
      <c r="G4885" s="25" t="n">
        <v>4</v>
      </c>
      <c r="H4885" s="25" t="n">
        <v>16</v>
      </c>
      <c r="I4885" s="25" t="inlineStr">
        <is>
          <t>2 minute(s) and 15 second(s)</t>
        </is>
      </c>
      <c r="J4885" s="25">
        <f>IFERROR(VALUE(TRIM(LEFT(I4885,FIND("minute",I4885)-1)))*60,0)+IFERROR(VALUE(SUBSTITUTE(MID(I4885,IFERROR(FIND("and",I4885)+3,1),20),"second(s)","")),0)</f>
        <v/>
      </c>
      <c r="K4885" s="41">
        <f>J4885/60</f>
        <v/>
      </c>
      <c r="L4885" s="41">
        <f>IFERROR(J4885/H4885,"")</f>
        <v/>
      </c>
      <c r="M4885" s="25" t="inlineStr">
        <is>
          <t>2.5.12</t>
        </is>
      </c>
      <c r="N4885" s="25">
        <f>IF(J4885&gt;300,1,0)</f>
        <v/>
      </c>
      <c r="O4885" s="25">
        <f>IF(J4885&gt;600,1,0)</f>
        <v/>
      </c>
      <c r="P4885" s="25">
        <f>IF(H4885&gt;0,J4885,"")</f>
        <v/>
      </c>
      <c r="Q4885" s="25">
        <f>TEXT(A4885,"YYYY-MM-DD HH")</f>
        <v/>
      </c>
      <c r="R4885" s="25">
        <f>COUNTIF($Q$2:$Q$5295,Q4885)</f>
        <v/>
      </c>
      <c r="S4885" s="25">
        <f>IF(R4885&lt;=2,"1-2",IF(R4885&lt;=5,"3-5",IF(R4885&lt;=10,"6-10","11+")))</f>
        <v/>
      </c>
    </row>
    <row r="4886">
      <c r="A4886" s="39" t="n">
        <v>46228.97868055556</v>
      </c>
      <c r="B4886" s="25">
        <f>TEXT(A4886,"YYYY-MM")</f>
        <v/>
      </c>
      <c r="C4886" s="25">
        <f>TEXT(A4886,"MMM-YYYY")</f>
        <v/>
      </c>
      <c r="D4886" s="40">
        <f>INT(A4886)-WEEKDAY(A4886,2)+1</f>
        <v/>
      </c>
      <c r="E4886" s="25" t="inlineStr">
        <is>
          <t>dchoudhury</t>
        </is>
      </c>
      <c r="F4886" s="25" t="n">
        <v>134876</v>
      </c>
      <c r="G4886" s="25" t="n">
        <v>4</v>
      </c>
      <c r="H4886" s="25" t="n">
        <v>15</v>
      </c>
      <c r="I4886" s="25" t="inlineStr">
        <is>
          <t>1 minute(s) and 55 second(s)</t>
        </is>
      </c>
      <c r="J4886" s="25">
        <f>IFERROR(VALUE(TRIM(LEFT(I4886,FIND("minute",I4886)-1)))*60,0)+IFERROR(VALUE(SUBSTITUTE(MID(I4886,IFERROR(FIND("and",I4886)+3,1),20),"second(s)","")),0)</f>
        <v/>
      </c>
      <c r="K4886" s="41">
        <f>J4886/60</f>
        <v/>
      </c>
      <c r="L4886" s="41">
        <f>IFERROR(J4886/H4886,"")</f>
        <v/>
      </c>
      <c r="M4886" s="25" t="inlineStr">
        <is>
          <t>2.5.12</t>
        </is>
      </c>
      <c r="N4886" s="25">
        <f>IF(J4886&gt;300,1,0)</f>
        <v/>
      </c>
      <c r="O4886" s="25">
        <f>IF(J4886&gt;600,1,0)</f>
        <v/>
      </c>
      <c r="P4886" s="25">
        <f>IF(H4886&gt;0,J4886,"")</f>
        <v/>
      </c>
      <c r="Q4886" s="25">
        <f>TEXT(A4886,"YYYY-MM-DD HH")</f>
        <v/>
      </c>
      <c r="R4886" s="25">
        <f>COUNTIF($Q$2:$Q$5295,Q4886)</f>
        <v/>
      </c>
      <c r="S4886" s="25">
        <f>IF(R4886&lt;=2,"1-2",IF(R4886&lt;=5,"3-5",IF(R4886&lt;=10,"6-10","11+")))</f>
        <v/>
      </c>
    </row>
    <row r="4887">
      <c r="A4887" s="39" t="n">
        <v>46229.80210648148</v>
      </c>
      <c r="B4887" s="25">
        <f>TEXT(A4887,"YYYY-MM")</f>
        <v/>
      </c>
      <c r="C4887" s="25">
        <f>TEXT(A4887,"MMM-YYYY")</f>
        <v/>
      </c>
      <c r="D4887" s="40">
        <f>INT(A4887)-WEEKDAY(A4887,2)+1</f>
        <v/>
      </c>
      <c r="E4887" s="25" t="inlineStr">
        <is>
          <t>dchoudhury</t>
        </is>
      </c>
      <c r="F4887" s="25" t="n">
        <v>128322</v>
      </c>
      <c r="G4887" s="25" t="n">
        <v>4</v>
      </c>
      <c r="H4887" s="25" t="n">
        <v>20</v>
      </c>
      <c r="I4887" s="25" t="inlineStr">
        <is>
          <t>2 minute(s) and 53 second(s)</t>
        </is>
      </c>
      <c r="J4887" s="25">
        <f>IFERROR(VALUE(TRIM(LEFT(I4887,FIND("minute",I4887)-1)))*60,0)+IFERROR(VALUE(SUBSTITUTE(MID(I4887,IFERROR(FIND("and",I4887)+3,1),20),"second(s)","")),0)</f>
        <v/>
      </c>
      <c r="K4887" s="41">
        <f>J4887/60</f>
        <v/>
      </c>
      <c r="L4887" s="41">
        <f>IFERROR(J4887/H4887,"")</f>
        <v/>
      </c>
      <c r="M4887" s="25" t="inlineStr">
        <is>
          <t>2.5.12</t>
        </is>
      </c>
      <c r="N4887" s="25">
        <f>IF(J4887&gt;300,1,0)</f>
        <v/>
      </c>
      <c r="O4887" s="25">
        <f>IF(J4887&gt;600,1,0)</f>
        <v/>
      </c>
      <c r="P4887" s="25">
        <f>IF(H4887&gt;0,J4887,"")</f>
        <v/>
      </c>
      <c r="Q4887" s="25">
        <f>TEXT(A4887,"YYYY-MM-DD HH")</f>
        <v/>
      </c>
      <c r="R4887" s="25">
        <f>COUNTIF($Q$2:$Q$5295,Q4887)</f>
        <v/>
      </c>
      <c r="S4887" s="25">
        <f>IF(R4887&lt;=2,"1-2",IF(R4887&lt;=5,"3-5",IF(R4887&lt;=10,"6-10","11+")))</f>
        <v/>
      </c>
    </row>
    <row r="4888">
      <c r="A4888" s="39" t="n">
        <v>46230.03978009259</v>
      </c>
      <c r="B4888" s="25">
        <f>TEXT(A4888,"YYYY-MM")</f>
        <v/>
      </c>
      <c r="C4888" s="25">
        <f>TEXT(A4888,"MMM-YYYY")</f>
        <v/>
      </c>
      <c r="D4888" s="40">
        <f>INT(A4888)-WEEKDAY(A4888,2)+1</f>
        <v/>
      </c>
      <c r="E4888" s="25" t="inlineStr">
        <is>
          <t>sasharma</t>
        </is>
      </c>
      <c r="F4888" s="25" t="n">
        <v>129845</v>
      </c>
      <c r="G4888" s="25" t="n">
        <v>3</v>
      </c>
      <c r="H4888" s="25" t="n">
        <v>15</v>
      </c>
      <c r="I4888" s="25" t="inlineStr">
        <is>
          <t>1 minute(s) and 12 second(s)</t>
        </is>
      </c>
      <c r="J4888" s="25">
        <f>IFERROR(VALUE(TRIM(LEFT(I4888,FIND("minute",I4888)-1)))*60,0)+IFERROR(VALUE(SUBSTITUTE(MID(I4888,IFERROR(FIND("and",I4888)+3,1),20),"second(s)","")),0)</f>
        <v/>
      </c>
      <c r="K4888" s="41">
        <f>J4888/60</f>
        <v/>
      </c>
      <c r="L4888" s="41">
        <f>IFERROR(J4888/H4888,"")</f>
        <v/>
      </c>
      <c r="M4888" s="25" t="inlineStr">
        <is>
          <t>2.5.12</t>
        </is>
      </c>
      <c r="N4888" s="25">
        <f>IF(J4888&gt;300,1,0)</f>
        <v/>
      </c>
      <c r="O4888" s="25">
        <f>IF(J4888&gt;600,1,0)</f>
        <v/>
      </c>
      <c r="P4888" s="25">
        <f>IF(H4888&gt;0,J4888,"")</f>
        <v/>
      </c>
      <c r="Q4888" s="25">
        <f>TEXT(A4888,"YYYY-MM-DD HH")</f>
        <v/>
      </c>
      <c r="R4888" s="25">
        <f>COUNTIF($Q$2:$Q$5295,Q4888)</f>
        <v/>
      </c>
      <c r="S4888" s="25">
        <f>IF(R4888&lt;=2,"1-2",IF(R4888&lt;=5,"3-5",IF(R4888&lt;=10,"6-10","11+")))</f>
        <v/>
      </c>
    </row>
    <row r="4889">
      <c r="A4889" s="39" t="n">
        <v>46230.05597222222</v>
      </c>
      <c r="B4889" s="25">
        <f>TEXT(A4889,"YYYY-MM")</f>
        <v/>
      </c>
      <c r="C4889" s="25">
        <f>TEXT(A4889,"MMM-YYYY")</f>
        <v/>
      </c>
      <c r="D4889" s="40">
        <f>INT(A4889)-WEEKDAY(A4889,2)+1</f>
        <v/>
      </c>
      <c r="E4889" s="25" t="inlineStr">
        <is>
          <t>psathwika</t>
        </is>
      </c>
      <c r="F4889" s="25" t="n">
        <v>136122</v>
      </c>
      <c r="G4889" s="25" t="n">
        <v>4</v>
      </c>
      <c r="H4889" s="25" t="n">
        <v>22</v>
      </c>
      <c r="I4889" s="25" t="inlineStr">
        <is>
          <t>2 minute(s) and 36 second(s)</t>
        </is>
      </c>
      <c r="J4889" s="25">
        <f>IFERROR(VALUE(TRIM(LEFT(I4889,FIND("minute",I4889)-1)))*60,0)+IFERROR(VALUE(SUBSTITUTE(MID(I4889,IFERROR(FIND("and",I4889)+3,1),20),"second(s)","")),0)</f>
        <v/>
      </c>
      <c r="K4889" s="41">
        <f>J4889/60</f>
        <v/>
      </c>
      <c r="L4889" s="41">
        <f>IFERROR(J4889/H4889,"")</f>
        <v/>
      </c>
      <c r="M4889" s="25" t="inlineStr">
        <is>
          <t>2.5.12</t>
        </is>
      </c>
      <c r="N4889" s="25">
        <f>IF(J4889&gt;300,1,0)</f>
        <v/>
      </c>
      <c r="O4889" s="25">
        <f>IF(J4889&gt;600,1,0)</f>
        <v/>
      </c>
      <c r="P4889" s="25">
        <f>IF(H4889&gt;0,J4889,"")</f>
        <v/>
      </c>
      <c r="Q4889" s="25">
        <f>TEXT(A4889,"YYYY-MM-DD HH")</f>
        <v/>
      </c>
      <c r="R4889" s="25">
        <f>COUNTIF($Q$2:$Q$5295,Q4889)</f>
        <v/>
      </c>
      <c r="S4889" s="25">
        <f>IF(R4889&lt;=2,"1-2",IF(R4889&lt;=5,"3-5",IF(R4889&lt;=10,"6-10","11+")))</f>
        <v/>
      </c>
    </row>
    <row r="4890">
      <c r="A4890" s="39" t="n">
        <v>46230.06776620371</v>
      </c>
      <c r="B4890" s="25">
        <f>TEXT(A4890,"YYYY-MM")</f>
        <v/>
      </c>
      <c r="C4890" s="25">
        <f>TEXT(A4890,"MMM-YYYY")</f>
        <v/>
      </c>
      <c r="D4890" s="40">
        <f>INT(A4890)-WEEKDAY(A4890,2)+1</f>
        <v/>
      </c>
      <c r="E4890" s="25" t="inlineStr">
        <is>
          <t>ns</t>
        </is>
      </c>
      <c r="F4890" s="25" t="n">
        <v>130778</v>
      </c>
      <c r="G4890" s="25" t="n">
        <v>2</v>
      </c>
      <c r="H4890" s="25" t="n">
        <v>10</v>
      </c>
      <c r="I4890" s="25" t="inlineStr">
        <is>
          <t>1 minute(s) and 34 second(s)</t>
        </is>
      </c>
      <c r="J4890" s="25">
        <f>IFERROR(VALUE(TRIM(LEFT(I4890,FIND("minute",I4890)-1)))*60,0)+IFERROR(VALUE(SUBSTITUTE(MID(I4890,IFERROR(FIND("and",I4890)+3,1),20),"second(s)","")),0)</f>
        <v/>
      </c>
      <c r="K4890" s="41">
        <f>J4890/60</f>
        <v/>
      </c>
      <c r="L4890" s="41">
        <f>IFERROR(J4890/H4890,"")</f>
        <v/>
      </c>
      <c r="M4890" s="25" t="inlineStr">
        <is>
          <t>2.5.12</t>
        </is>
      </c>
      <c r="N4890" s="25">
        <f>IF(J4890&gt;300,1,0)</f>
        <v/>
      </c>
      <c r="O4890" s="25">
        <f>IF(J4890&gt;600,1,0)</f>
        <v/>
      </c>
      <c r="P4890" s="25">
        <f>IF(H4890&gt;0,J4890,"")</f>
        <v/>
      </c>
      <c r="Q4890" s="25">
        <f>TEXT(A4890,"YYYY-MM-DD HH")</f>
        <v/>
      </c>
      <c r="R4890" s="25">
        <f>COUNTIF($Q$2:$Q$5295,Q4890)</f>
        <v/>
      </c>
      <c r="S4890" s="25">
        <f>IF(R4890&lt;=2,"1-2",IF(R4890&lt;=5,"3-5",IF(R4890&lt;=10,"6-10","11+")))</f>
        <v/>
      </c>
    </row>
    <row r="4891">
      <c r="A4891" s="39" t="n">
        <v>46230.07094907408</v>
      </c>
      <c r="B4891" s="25">
        <f>TEXT(A4891,"YYYY-MM")</f>
        <v/>
      </c>
      <c r="C4891" s="25">
        <f>TEXT(A4891,"MMM-YYYY")</f>
        <v/>
      </c>
      <c r="D4891" s="40">
        <f>INT(A4891)-WEEKDAY(A4891,2)+1</f>
        <v/>
      </c>
      <c r="E4891" s="25" t="inlineStr">
        <is>
          <t>npriya</t>
        </is>
      </c>
      <c r="F4891" s="25" t="n">
        <v>137173</v>
      </c>
      <c r="G4891" s="25" t="n">
        <v>3</v>
      </c>
      <c r="H4891" s="25" t="n">
        <v>22</v>
      </c>
      <c r="I4891" s="25" t="inlineStr">
        <is>
          <t>3 minute(s) and 11 second(s)</t>
        </is>
      </c>
      <c r="J4891" s="25">
        <f>IFERROR(VALUE(TRIM(LEFT(I4891,FIND("minute",I4891)-1)))*60,0)+IFERROR(VALUE(SUBSTITUTE(MID(I4891,IFERROR(FIND("and",I4891)+3,1),20),"second(s)","")),0)</f>
        <v/>
      </c>
      <c r="K4891" s="41">
        <f>J4891/60</f>
        <v/>
      </c>
      <c r="L4891" s="41">
        <f>IFERROR(J4891/H4891,"")</f>
        <v/>
      </c>
      <c r="M4891" s="25" t="inlineStr">
        <is>
          <t>2.5.12</t>
        </is>
      </c>
      <c r="N4891" s="25">
        <f>IF(J4891&gt;300,1,0)</f>
        <v/>
      </c>
      <c r="O4891" s="25">
        <f>IF(J4891&gt;600,1,0)</f>
        <v/>
      </c>
      <c r="P4891" s="25">
        <f>IF(H4891&gt;0,J4891,"")</f>
        <v/>
      </c>
      <c r="Q4891" s="25">
        <f>TEXT(A4891,"YYYY-MM-DD HH")</f>
        <v/>
      </c>
      <c r="R4891" s="25">
        <f>COUNTIF($Q$2:$Q$5295,Q4891)</f>
        <v/>
      </c>
      <c r="S4891" s="25">
        <f>IF(R4891&lt;=2,"1-2",IF(R4891&lt;=5,"3-5",IF(R4891&lt;=10,"6-10","11+")))</f>
        <v/>
      </c>
    </row>
    <row r="4892">
      <c r="A4892" s="39" t="n">
        <v>46230.07828703704</v>
      </c>
      <c r="B4892" s="25">
        <f>TEXT(A4892,"YYYY-MM")</f>
        <v/>
      </c>
      <c r="C4892" s="25">
        <f>TEXT(A4892,"MMM-YYYY")</f>
        <v/>
      </c>
      <c r="D4892" s="40">
        <f>INT(A4892)-WEEKDAY(A4892,2)+1</f>
        <v/>
      </c>
      <c r="E4892" s="25" t="inlineStr">
        <is>
          <t>shasikha</t>
        </is>
      </c>
      <c r="F4892" s="25" t="n">
        <v>128693</v>
      </c>
      <c r="G4892" s="25" t="n">
        <v>4</v>
      </c>
      <c r="H4892" s="25" t="n">
        <v>26</v>
      </c>
      <c r="I4892" s="25" t="inlineStr">
        <is>
          <t>2 minute(s) and 21 second(s)</t>
        </is>
      </c>
      <c r="J4892" s="25">
        <f>IFERROR(VALUE(TRIM(LEFT(I4892,FIND("minute",I4892)-1)))*60,0)+IFERROR(VALUE(SUBSTITUTE(MID(I4892,IFERROR(FIND("and",I4892)+3,1),20),"second(s)","")),0)</f>
        <v/>
      </c>
      <c r="K4892" s="41">
        <f>J4892/60</f>
        <v/>
      </c>
      <c r="L4892" s="41">
        <f>IFERROR(J4892/H4892,"")</f>
        <v/>
      </c>
      <c r="M4892" s="25" t="inlineStr">
        <is>
          <t>2.5.12</t>
        </is>
      </c>
      <c r="N4892" s="25">
        <f>IF(J4892&gt;300,1,0)</f>
        <v/>
      </c>
      <c r="O4892" s="25">
        <f>IF(J4892&gt;600,1,0)</f>
        <v/>
      </c>
      <c r="P4892" s="25">
        <f>IF(H4892&gt;0,J4892,"")</f>
        <v/>
      </c>
      <c r="Q4892" s="25">
        <f>TEXT(A4892,"YYYY-MM-DD HH")</f>
        <v/>
      </c>
      <c r="R4892" s="25">
        <f>COUNTIF($Q$2:$Q$5295,Q4892)</f>
        <v/>
      </c>
      <c r="S4892" s="25">
        <f>IF(R4892&lt;=2,"1-2",IF(R4892&lt;=5,"3-5",IF(R4892&lt;=10,"6-10","11+")))</f>
        <v/>
      </c>
    </row>
    <row r="4893">
      <c r="A4893" s="39" t="n">
        <v>46230.08315972222</v>
      </c>
      <c r="B4893" s="25">
        <f>TEXT(A4893,"YYYY-MM")</f>
        <v/>
      </c>
      <c r="C4893" s="25">
        <f>TEXT(A4893,"MMM-YYYY")</f>
        <v/>
      </c>
      <c r="D4893" s="40">
        <f>INT(A4893)-WEEKDAY(A4893,2)+1</f>
        <v/>
      </c>
      <c r="E4893" s="25" t="inlineStr">
        <is>
          <t>mgupta</t>
        </is>
      </c>
      <c r="F4893" s="25" t="n">
        <v>127861</v>
      </c>
      <c r="G4893" s="25" t="n">
        <v>2</v>
      </c>
      <c r="H4893" s="25" t="n">
        <v>10</v>
      </c>
      <c r="I4893" s="25" t="inlineStr">
        <is>
          <t>48 second(s)</t>
        </is>
      </c>
      <c r="J4893" s="25">
        <f>IFERROR(VALUE(TRIM(LEFT(I4893,FIND("minute",I4893)-1)))*60,0)+IFERROR(VALUE(SUBSTITUTE(MID(I4893,IFERROR(FIND("and",I4893)+3,1),20),"second(s)","")),0)</f>
        <v/>
      </c>
      <c r="K4893" s="41">
        <f>J4893/60</f>
        <v/>
      </c>
      <c r="L4893" s="41">
        <f>IFERROR(J4893/H4893,"")</f>
        <v/>
      </c>
      <c r="M4893" s="25" t="inlineStr">
        <is>
          <t>2.5.12</t>
        </is>
      </c>
      <c r="N4893" s="25">
        <f>IF(J4893&gt;300,1,0)</f>
        <v/>
      </c>
      <c r="O4893" s="25">
        <f>IF(J4893&gt;600,1,0)</f>
        <v/>
      </c>
      <c r="P4893" s="25">
        <f>IF(H4893&gt;0,J4893,"")</f>
        <v/>
      </c>
      <c r="Q4893" s="25">
        <f>TEXT(A4893,"YYYY-MM-DD HH")</f>
        <v/>
      </c>
      <c r="R4893" s="25">
        <f>COUNTIF($Q$2:$Q$5295,Q4893)</f>
        <v/>
      </c>
      <c r="S4893" s="25">
        <f>IF(R4893&lt;=2,"1-2",IF(R4893&lt;=5,"3-5",IF(R4893&lt;=10,"6-10","11+")))</f>
        <v/>
      </c>
    </row>
    <row r="4894">
      <c r="A4894" s="39" t="n">
        <v>46230.08826388889</v>
      </c>
      <c r="B4894" s="25">
        <f>TEXT(A4894,"YYYY-MM")</f>
        <v/>
      </c>
      <c r="C4894" s="25">
        <f>TEXT(A4894,"MMM-YYYY")</f>
        <v/>
      </c>
      <c r="D4894" s="40">
        <f>INT(A4894)-WEEKDAY(A4894,2)+1</f>
        <v/>
      </c>
      <c r="E4894" s="25" t="inlineStr">
        <is>
          <t>csaha</t>
        </is>
      </c>
      <c r="F4894" s="25" t="n">
        <v>128187</v>
      </c>
      <c r="G4894" s="25" t="n">
        <v>2</v>
      </c>
      <c r="H4894" s="25" t="n">
        <v>6</v>
      </c>
      <c r="I4894" s="25" t="inlineStr">
        <is>
          <t>29 second(s)</t>
        </is>
      </c>
      <c r="J4894" s="25">
        <f>IFERROR(VALUE(TRIM(LEFT(I4894,FIND("minute",I4894)-1)))*60,0)+IFERROR(VALUE(SUBSTITUTE(MID(I4894,IFERROR(FIND("and",I4894)+3,1),20),"second(s)","")),0)</f>
        <v/>
      </c>
      <c r="K4894" s="41">
        <f>J4894/60</f>
        <v/>
      </c>
      <c r="L4894" s="41">
        <f>IFERROR(J4894/H4894,"")</f>
        <v/>
      </c>
      <c r="M4894" s="25" t="inlineStr">
        <is>
          <t>2.5.12</t>
        </is>
      </c>
      <c r="N4894" s="25">
        <f>IF(J4894&gt;300,1,0)</f>
        <v/>
      </c>
      <c r="O4894" s="25">
        <f>IF(J4894&gt;600,1,0)</f>
        <v/>
      </c>
      <c r="P4894" s="25">
        <f>IF(H4894&gt;0,J4894,"")</f>
        <v/>
      </c>
      <c r="Q4894" s="25">
        <f>TEXT(A4894,"YYYY-MM-DD HH")</f>
        <v/>
      </c>
      <c r="R4894" s="25">
        <f>COUNTIF($Q$2:$Q$5295,Q4894)</f>
        <v/>
      </c>
      <c r="S4894" s="25">
        <f>IF(R4894&lt;=2,"1-2",IF(R4894&lt;=5,"3-5",IF(R4894&lt;=10,"6-10","11+")))</f>
        <v/>
      </c>
    </row>
    <row r="4895">
      <c r="A4895" s="39" t="n">
        <v>46230.09239583334</v>
      </c>
      <c r="B4895" s="25">
        <f>TEXT(A4895,"YYYY-MM")</f>
        <v/>
      </c>
      <c r="C4895" s="25">
        <f>TEXT(A4895,"MMM-YYYY")</f>
        <v/>
      </c>
      <c r="D4895" s="40">
        <f>INT(A4895)-WEEKDAY(A4895,2)+1</f>
        <v/>
      </c>
      <c r="E4895" s="25" t="inlineStr">
        <is>
          <t>aghosh</t>
        </is>
      </c>
      <c r="F4895" s="25" t="n">
        <v>132375</v>
      </c>
      <c r="G4895" s="25" t="n">
        <v>2</v>
      </c>
      <c r="H4895" s="25" t="n">
        <v>6</v>
      </c>
      <c r="I4895" s="25" t="inlineStr">
        <is>
          <t>31 second(s)</t>
        </is>
      </c>
      <c r="J4895" s="25">
        <f>IFERROR(VALUE(TRIM(LEFT(I4895,FIND("minute",I4895)-1)))*60,0)+IFERROR(VALUE(SUBSTITUTE(MID(I4895,IFERROR(FIND("and",I4895)+3,1),20),"second(s)","")),0)</f>
        <v/>
      </c>
      <c r="K4895" s="41">
        <f>J4895/60</f>
        <v/>
      </c>
      <c r="L4895" s="41">
        <f>IFERROR(J4895/H4895,"")</f>
        <v/>
      </c>
      <c r="M4895" s="25" t="inlineStr">
        <is>
          <t>2.5.12</t>
        </is>
      </c>
      <c r="N4895" s="25">
        <f>IF(J4895&gt;300,1,0)</f>
        <v/>
      </c>
      <c r="O4895" s="25">
        <f>IF(J4895&gt;600,1,0)</f>
        <v/>
      </c>
      <c r="P4895" s="25">
        <f>IF(H4895&gt;0,J4895,"")</f>
        <v/>
      </c>
      <c r="Q4895" s="25">
        <f>TEXT(A4895,"YYYY-MM-DD HH")</f>
        <v/>
      </c>
      <c r="R4895" s="25">
        <f>COUNTIF($Q$2:$Q$5295,Q4895)</f>
        <v/>
      </c>
      <c r="S4895" s="25">
        <f>IF(R4895&lt;=2,"1-2",IF(R4895&lt;=5,"3-5",IF(R4895&lt;=10,"6-10","11+")))</f>
        <v/>
      </c>
    </row>
    <row r="4896">
      <c r="A4896" s="39" t="n">
        <v>46230.10300925926</v>
      </c>
      <c r="B4896" s="25">
        <f>TEXT(A4896,"YYYY-MM")</f>
        <v/>
      </c>
      <c r="C4896" s="25">
        <f>TEXT(A4896,"MMM-YYYY")</f>
        <v/>
      </c>
      <c r="D4896" s="40">
        <f>INT(A4896)-WEEKDAY(A4896,2)+1</f>
        <v/>
      </c>
      <c r="E4896" s="25" t="inlineStr">
        <is>
          <t>dbhattacharyya</t>
        </is>
      </c>
      <c r="F4896" s="25" t="n">
        <v>132850</v>
      </c>
      <c r="G4896" s="25" t="n">
        <v>4</v>
      </c>
      <c r="H4896" s="25" t="n">
        <v>26</v>
      </c>
      <c r="I4896" s="25" t="inlineStr">
        <is>
          <t>2 minute(s) and 26 second(s)</t>
        </is>
      </c>
      <c r="J4896" s="25">
        <f>IFERROR(VALUE(TRIM(LEFT(I4896,FIND("minute",I4896)-1)))*60,0)+IFERROR(VALUE(SUBSTITUTE(MID(I4896,IFERROR(FIND("and",I4896)+3,1),20),"second(s)","")),0)</f>
        <v/>
      </c>
      <c r="K4896" s="41">
        <f>J4896/60</f>
        <v/>
      </c>
      <c r="L4896" s="41">
        <f>IFERROR(J4896/H4896,"")</f>
        <v/>
      </c>
      <c r="M4896" s="25" t="inlineStr">
        <is>
          <t>2.5.12</t>
        </is>
      </c>
      <c r="N4896" s="25">
        <f>IF(J4896&gt;300,1,0)</f>
        <v/>
      </c>
      <c r="O4896" s="25">
        <f>IF(J4896&gt;600,1,0)</f>
        <v/>
      </c>
      <c r="P4896" s="25">
        <f>IF(H4896&gt;0,J4896,"")</f>
        <v/>
      </c>
      <c r="Q4896" s="25">
        <f>TEXT(A4896,"YYYY-MM-DD HH")</f>
        <v/>
      </c>
      <c r="R4896" s="25">
        <f>COUNTIF($Q$2:$Q$5295,Q4896)</f>
        <v/>
      </c>
      <c r="S4896" s="25">
        <f>IF(R4896&lt;=2,"1-2",IF(R4896&lt;=5,"3-5",IF(R4896&lt;=10,"6-10","11+")))</f>
        <v/>
      </c>
    </row>
    <row r="4897">
      <c r="A4897" s="39" t="n">
        <v>46230.10392361111</v>
      </c>
      <c r="B4897" s="25">
        <f>TEXT(A4897,"YYYY-MM")</f>
        <v/>
      </c>
      <c r="C4897" s="25">
        <f>TEXT(A4897,"MMM-YYYY")</f>
        <v/>
      </c>
      <c r="D4897" s="40">
        <f>INT(A4897)-WEEKDAY(A4897,2)+1</f>
        <v/>
      </c>
      <c r="E4897" s="25" t="inlineStr">
        <is>
          <t>aghosh</t>
        </is>
      </c>
      <c r="F4897" s="25" t="n">
        <v>132407</v>
      </c>
      <c r="G4897" s="25" t="n">
        <v>4</v>
      </c>
      <c r="H4897" s="25" t="n">
        <v>28</v>
      </c>
      <c r="I4897" s="25" t="inlineStr">
        <is>
          <t>3 minute(s) and 23 second(s)</t>
        </is>
      </c>
      <c r="J4897" s="25">
        <f>IFERROR(VALUE(TRIM(LEFT(I4897,FIND("minute",I4897)-1)))*60,0)+IFERROR(VALUE(SUBSTITUTE(MID(I4897,IFERROR(FIND("and",I4897)+3,1),20),"second(s)","")),0)</f>
        <v/>
      </c>
      <c r="K4897" s="41">
        <f>J4897/60</f>
        <v/>
      </c>
      <c r="L4897" s="41">
        <f>IFERROR(J4897/H4897,"")</f>
        <v/>
      </c>
      <c r="M4897" s="25" t="inlineStr">
        <is>
          <t>2.5.12</t>
        </is>
      </c>
      <c r="N4897" s="25">
        <f>IF(J4897&gt;300,1,0)</f>
        <v/>
      </c>
      <c r="O4897" s="25">
        <f>IF(J4897&gt;600,1,0)</f>
        <v/>
      </c>
      <c r="P4897" s="25">
        <f>IF(H4897&gt;0,J4897,"")</f>
        <v/>
      </c>
      <c r="Q4897" s="25">
        <f>TEXT(A4897,"YYYY-MM-DD HH")</f>
        <v/>
      </c>
      <c r="R4897" s="25">
        <f>COUNTIF($Q$2:$Q$5295,Q4897)</f>
        <v/>
      </c>
      <c r="S4897" s="25">
        <f>IF(R4897&lt;=2,"1-2",IF(R4897&lt;=5,"3-5",IF(R4897&lt;=10,"6-10","11+")))</f>
        <v/>
      </c>
    </row>
    <row r="4898">
      <c r="A4898" s="39" t="n">
        <v>46230.10541666667</v>
      </c>
      <c r="B4898" s="25">
        <f>TEXT(A4898,"YYYY-MM")</f>
        <v/>
      </c>
      <c r="C4898" s="25">
        <f>TEXT(A4898,"MMM-YYYY")</f>
        <v/>
      </c>
      <c r="D4898" s="40">
        <f>INT(A4898)-WEEKDAY(A4898,2)+1</f>
        <v/>
      </c>
      <c r="E4898" s="25" t="inlineStr">
        <is>
          <t>sphatak</t>
        </is>
      </c>
      <c r="F4898" s="25" t="n">
        <v>130180</v>
      </c>
      <c r="G4898" s="25" t="n">
        <v>2</v>
      </c>
      <c r="H4898" s="25" t="n">
        <v>8</v>
      </c>
      <c r="I4898" s="25" t="inlineStr">
        <is>
          <t>50 second(s)</t>
        </is>
      </c>
      <c r="J4898" s="25">
        <f>IFERROR(VALUE(TRIM(LEFT(I4898,FIND("minute",I4898)-1)))*60,0)+IFERROR(VALUE(SUBSTITUTE(MID(I4898,IFERROR(FIND("and",I4898)+3,1),20),"second(s)","")),0)</f>
        <v/>
      </c>
      <c r="K4898" s="41">
        <f>J4898/60</f>
        <v/>
      </c>
      <c r="L4898" s="41">
        <f>IFERROR(J4898/H4898,"")</f>
        <v/>
      </c>
      <c r="M4898" s="25" t="inlineStr">
        <is>
          <t>2.5.12</t>
        </is>
      </c>
      <c r="N4898" s="25">
        <f>IF(J4898&gt;300,1,0)</f>
        <v/>
      </c>
      <c r="O4898" s="25">
        <f>IF(J4898&gt;600,1,0)</f>
        <v/>
      </c>
      <c r="P4898" s="25">
        <f>IF(H4898&gt;0,J4898,"")</f>
        <v/>
      </c>
      <c r="Q4898" s="25">
        <f>TEXT(A4898,"YYYY-MM-DD HH")</f>
        <v/>
      </c>
      <c r="R4898" s="25">
        <f>COUNTIF($Q$2:$Q$5295,Q4898)</f>
        <v/>
      </c>
      <c r="S4898" s="25">
        <f>IF(R4898&lt;=2,"1-2",IF(R4898&lt;=5,"3-5",IF(R4898&lt;=10,"6-10","11+")))</f>
        <v/>
      </c>
    </row>
    <row r="4899">
      <c r="A4899" s="39" t="n">
        <v>46230.11094907407</v>
      </c>
      <c r="B4899" s="25">
        <f>TEXT(A4899,"YYYY-MM")</f>
        <v/>
      </c>
      <c r="C4899" s="25">
        <f>TEXT(A4899,"MMM-YYYY")</f>
        <v/>
      </c>
      <c r="D4899" s="40">
        <f>INT(A4899)-WEEKDAY(A4899,2)+1</f>
        <v/>
      </c>
      <c r="E4899" s="25" t="inlineStr">
        <is>
          <t>shasikha</t>
        </is>
      </c>
      <c r="F4899" s="25" t="n">
        <v>128693</v>
      </c>
      <c r="G4899" s="25" t="n">
        <v>1</v>
      </c>
      <c r="H4899" s="25" t="n">
        <v>7</v>
      </c>
      <c r="I4899" s="25" t="inlineStr">
        <is>
          <t>1 minute(s) and 52 second(s)</t>
        </is>
      </c>
      <c r="J4899" s="25">
        <f>IFERROR(VALUE(TRIM(LEFT(I4899,FIND("minute",I4899)-1)))*60,0)+IFERROR(VALUE(SUBSTITUTE(MID(I4899,IFERROR(FIND("and",I4899)+3,1),20),"second(s)","")),0)</f>
        <v/>
      </c>
      <c r="K4899" s="41">
        <f>J4899/60</f>
        <v/>
      </c>
      <c r="L4899" s="41">
        <f>IFERROR(J4899/H4899,"")</f>
        <v/>
      </c>
      <c r="M4899" s="25" t="inlineStr">
        <is>
          <t>2.5.12</t>
        </is>
      </c>
      <c r="N4899" s="25">
        <f>IF(J4899&gt;300,1,0)</f>
        <v/>
      </c>
      <c r="O4899" s="25">
        <f>IF(J4899&gt;600,1,0)</f>
        <v/>
      </c>
      <c r="P4899" s="25">
        <f>IF(H4899&gt;0,J4899,"")</f>
        <v/>
      </c>
      <c r="Q4899" s="25">
        <f>TEXT(A4899,"YYYY-MM-DD HH")</f>
        <v/>
      </c>
      <c r="R4899" s="25">
        <f>COUNTIF($Q$2:$Q$5295,Q4899)</f>
        <v/>
      </c>
      <c r="S4899" s="25">
        <f>IF(R4899&lt;=2,"1-2",IF(R4899&lt;=5,"3-5",IF(R4899&lt;=10,"6-10","11+")))</f>
        <v/>
      </c>
    </row>
    <row r="4900">
      <c r="A4900" s="39" t="n">
        <v>46230.11563657408</v>
      </c>
      <c r="B4900" s="25">
        <f>TEXT(A4900,"YYYY-MM")</f>
        <v/>
      </c>
      <c r="C4900" s="25">
        <f>TEXT(A4900,"MMM-YYYY")</f>
        <v/>
      </c>
      <c r="D4900" s="40">
        <f>INT(A4900)-WEEKDAY(A4900,2)+1</f>
        <v/>
      </c>
      <c r="E4900" s="25" t="inlineStr">
        <is>
          <t>ns</t>
        </is>
      </c>
      <c r="F4900" s="25" t="n">
        <v>130754</v>
      </c>
      <c r="G4900" s="25" t="n">
        <v>4</v>
      </c>
      <c r="H4900" s="25" t="n">
        <v>22</v>
      </c>
      <c r="I4900" s="25" t="inlineStr">
        <is>
          <t>3 minute(s) and 57 second(s)</t>
        </is>
      </c>
      <c r="J4900" s="25">
        <f>IFERROR(VALUE(TRIM(LEFT(I4900,FIND("minute",I4900)-1)))*60,0)+IFERROR(VALUE(SUBSTITUTE(MID(I4900,IFERROR(FIND("and",I4900)+3,1),20),"second(s)","")),0)</f>
        <v/>
      </c>
      <c r="K4900" s="41">
        <f>J4900/60</f>
        <v/>
      </c>
      <c r="L4900" s="41">
        <f>IFERROR(J4900/H4900,"")</f>
        <v/>
      </c>
      <c r="M4900" s="25" t="inlineStr">
        <is>
          <t>2.5.12</t>
        </is>
      </c>
      <c r="N4900" s="25">
        <f>IF(J4900&gt;300,1,0)</f>
        <v/>
      </c>
      <c r="O4900" s="25">
        <f>IF(J4900&gt;600,1,0)</f>
        <v/>
      </c>
      <c r="P4900" s="25">
        <f>IF(H4900&gt;0,J4900,"")</f>
        <v/>
      </c>
      <c r="Q4900" s="25">
        <f>TEXT(A4900,"YYYY-MM-DD HH")</f>
        <v/>
      </c>
      <c r="R4900" s="25">
        <f>COUNTIF($Q$2:$Q$5295,Q4900)</f>
        <v/>
      </c>
      <c r="S4900" s="25">
        <f>IF(R4900&lt;=2,"1-2",IF(R4900&lt;=5,"3-5",IF(R4900&lt;=10,"6-10","11+")))</f>
        <v/>
      </c>
    </row>
    <row r="4901">
      <c r="A4901" s="39" t="n">
        <v>46230.11635416667</v>
      </c>
      <c r="B4901" s="25">
        <f>TEXT(A4901,"YYYY-MM")</f>
        <v/>
      </c>
      <c r="C4901" s="25">
        <f>TEXT(A4901,"MMM-YYYY")</f>
        <v/>
      </c>
      <c r="D4901" s="40">
        <f>INT(A4901)-WEEKDAY(A4901,2)+1</f>
        <v/>
      </c>
      <c r="E4901" s="25" t="inlineStr">
        <is>
          <t>sthomas</t>
        </is>
      </c>
      <c r="F4901" s="25" t="n">
        <v>128759</v>
      </c>
      <c r="G4901" s="25" t="n">
        <v>4</v>
      </c>
      <c r="H4901" s="25" t="n">
        <v>20</v>
      </c>
      <c r="I4901" s="25" t="inlineStr">
        <is>
          <t>3 minute(s) and 18 second(s)</t>
        </is>
      </c>
      <c r="J4901" s="25">
        <f>IFERROR(VALUE(TRIM(LEFT(I4901,FIND("minute",I4901)-1)))*60,0)+IFERROR(VALUE(SUBSTITUTE(MID(I4901,IFERROR(FIND("and",I4901)+3,1),20),"second(s)","")),0)</f>
        <v/>
      </c>
      <c r="K4901" s="41">
        <f>J4901/60</f>
        <v/>
      </c>
      <c r="L4901" s="41">
        <f>IFERROR(J4901/H4901,"")</f>
        <v/>
      </c>
      <c r="M4901" s="25" t="inlineStr">
        <is>
          <t>2.5.12</t>
        </is>
      </c>
      <c r="N4901" s="25">
        <f>IF(J4901&gt;300,1,0)</f>
        <v/>
      </c>
      <c r="O4901" s="25">
        <f>IF(J4901&gt;600,1,0)</f>
        <v/>
      </c>
      <c r="P4901" s="25">
        <f>IF(H4901&gt;0,J4901,"")</f>
        <v/>
      </c>
      <c r="Q4901" s="25">
        <f>TEXT(A4901,"YYYY-MM-DD HH")</f>
        <v/>
      </c>
      <c r="R4901" s="25">
        <f>COUNTIF($Q$2:$Q$5295,Q4901)</f>
        <v/>
      </c>
      <c r="S4901" s="25">
        <f>IF(R4901&lt;=2,"1-2",IF(R4901&lt;=5,"3-5",IF(R4901&lt;=10,"6-10","11+")))</f>
        <v/>
      </c>
    </row>
    <row r="4902">
      <c r="A4902" s="39" t="n">
        <v>46230.12021990741</v>
      </c>
      <c r="B4902" s="25">
        <f>TEXT(A4902,"YYYY-MM")</f>
        <v/>
      </c>
      <c r="C4902" s="25">
        <f>TEXT(A4902,"MMM-YYYY")</f>
        <v/>
      </c>
      <c r="D4902" s="40">
        <f>INT(A4902)-WEEKDAY(A4902,2)+1</f>
        <v/>
      </c>
      <c r="E4902" s="25" t="inlineStr">
        <is>
          <t>abanerjee</t>
        </is>
      </c>
      <c r="F4902" s="25" t="n">
        <v>128556</v>
      </c>
      <c r="G4902" s="25" t="n">
        <v>2</v>
      </c>
      <c r="H4902" s="25" t="n">
        <v>10</v>
      </c>
      <c r="I4902" s="25" t="inlineStr">
        <is>
          <t>55 second(s)</t>
        </is>
      </c>
      <c r="J4902" s="25">
        <f>IFERROR(VALUE(TRIM(LEFT(I4902,FIND("minute",I4902)-1)))*60,0)+IFERROR(VALUE(SUBSTITUTE(MID(I4902,IFERROR(FIND("and",I4902)+3,1),20),"second(s)","")),0)</f>
        <v/>
      </c>
      <c r="K4902" s="41">
        <f>J4902/60</f>
        <v/>
      </c>
      <c r="L4902" s="41">
        <f>IFERROR(J4902/H4902,"")</f>
        <v/>
      </c>
      <c r="M4902" s="25" t="inlineStr">
        <is>
          <t>2.5.12</t>
        </is>
      </c>
      <c r="N4902" s="25">
        <f>IF(J4902&gt;300,1,0)</f>
        <v/>
      </c>
      <c r="O4902" s="25">
        <f>IF(J4902&gt;600,1,0)</f>
        <v/>
      </c>
      <c r="P4902" s="25">
        <f>IF(H4902&gt;0,J4902,"")</f>
        <v/>
      </c>
      <c r="Q4902" s="25">
        <f>TEXT(A4902,"YYYY-MM-DD HH")</f>
        <v/>
      </c>
      <c r="R4902" s="25">
        <f>COUNTIF($Q$2:$Q$5295,Q4902)</f>
        <v/>
      </c>
      <c r="S4902" s="25">
        <f>IF(R4902&lt;=2,"1-2",IF(R4902&lt;=5,"3-5",IF(R4902&lt;=10,"6-10","11+")))</f>
        <v/>
      </c>
    </row>
    <row r="4903">
      <c r="A4903" s="39" t="n">
        <v>46230.12130787037</v>
      </c>
      <c r="B4903" s="25">
        <f>TEXT(A4903,"YYYY-MM")</f>
        <v/>
      </c>
      <c r="C4903" s="25">
        <f>TEXT(A4903,"MMM-YYYY")</f>
        <v/>
      </c>
      <c r="D4903" s="40">
        <f>INT(A4903)-WEEKDAY(A4903,2)+1</f>
        <v/>
      </c>
      <c r="E4903" s="25" t="inlineStr">
        <is>
          <t>aupadhayay</t>
        </is>
      </c>
      <c r="F4903" s="25" t="n">
        <v>133762</v>
      </c>
      <c r="G4903" s="25" t="n">
        <v>4</v>
      </c>
      <c r="H4903" s="25" t="n">
        <v>22</v>
      </c>
      <c r="I4903" s="25" t="inlineStr">
        <is>
          <t>2 minute(s) and 0 second(s)</t>
        </is>
      </c>
      <c r="J4903" s="25">
        <f>IFERROR(VALUE(TRIM(LEFT(I4903,FIND("minute",I4903)-1)))*60,0)+IFERROR(VALUE(SUBSTITUTE(MID(I4903,IFERROR(FIND("and",I4903)+3,1),20),"second(s)","")),0)</f>
        <v/>
      </c>
      <c r="K4903" s="41">
        <f>J4903/60</f>
        <v/>
      </c>
      <c r="L4903" s="41">
        <f>IFERROR(J4903/H4903,"")</f>
        <v/>
      </c>
      <c r="M4903" s="25" t="inlineStr">
        <is>
          <t>2.5.12</t>
        </is>
      </c>
      <c r="N4903" s="25">
        <f>IF(J4903&gt;300,1,0)</f>
        <v/>
      </c>
      <c r="O4903" s="25">
        <f>IF(J4903&gt;600,1,0)</f>
        <v/>
      </c>
      <c r="P4903" s="25">
        <f>IF(H4903&gt;0,J4903,"")</f>
        <v/>
      </c>
      <c r="Q4903" s="25">
        <f>TEXT(A4903,"YYYY-MM-DD HH")</f>
        <v/>
      </c>
      <c r="R4903" s="25">
        <f>COUNTIF($Q$2:$Q$5295,Q4903)</f>
        <v/>
      </c>
      <c r="S4903" s="25">
        <f>IF(R4903&lt;=2,"1-2",IF(R4903&lt;=5,"3-5",IF(R4903&lt;=10,"6-10","11+")))</f>
        <v/>
      </c>
    </row>
    <row r="4904">
      <c r="A4904" s="39" t="n">
        <v>46230.12789351852</v>
      </c>
      <c r="B4904" s="25">
        <f>TEXT(A4904,"YYYY-MM")</f>
        <v/>
      </c>
      <c r="C4904" s="25">
        <f>TEXT(A4904,"MMM-YYYY")</f>
        <v/>
      </c>
      <c r="D4904" s="40">
        <f>INT(A4904)-WEEKDAY(A4904,2)+1</f>
        <v/>
      </c>
      <c r="E4904" s="25" t="inlineStr">
        <is>
          <t>psathwika</t>
        </is>
      </c>
      <c r="F4904" s="25" t="n">
        <v>135943</v>
      </c>
      <c r="G4904" s="25" t="n">
        <v>4</v>
      </c>
      <c r="H4904" s="25" t="n">
        <v>26</v>
      </c>
      <c r="I4904" s="25" t="inlineStr">
        <is>
          <t>2 minute(s) and 34 second(s)</t>
        </is>
      </c>
      <c r="J4904" s="25">
        <f>IFERROR(VALUE(TRIM(LEFT(I4904,FIND("minute",I4904)-1)))*60,0)+IFERROR(VALUE(SUBSTITUTE(MID(I4904,IFERROR(FIND("and",I4904)+3,1),20),"second(s)","")),0)</f>
        <v/>
      </c>
      <c r="K4904" s="41">
        <f>J4904/60</f>
        <v/>
      </c>
      <c r="L4904" s="41">
        <f>IFERROR(J4904/H4904,"")</f>
        <v/>
      </c>
      <c r="M4904" s="25" t="inlineStr">
        <is>
          <t>2.5.12</t>
        </is>
      </c>
      <c r="N4904" s="25">
        <f>IF(J4904&gt;300,1,0)</f>
        <v/>
      </c>
      <c r="O4904" s="25">
        <f>IF(J4904&gt;600,1,0)</f>
        <v/>
      </c>
      <c r="P4904" s="25">
        <f>IF(H4904&gt;0,J4904,"")</f>
        <v/>
      </c>
      <c r="Q4904" s="25">
        <f>TEXT(A4904,"YYYY-MM-DD HH")</f>
        <v/>
      </c>
      <c r="R4904" s="25">
        <f>COUNTIF($Q$2:$Q$5295,Q4904)</f>
        <v/>
      </c>
      <c r="S4904" s="25">
        <f>IF(R4904&lt;=2,"1-2",IF(R4904&lt;=5,"3-5",IF(R4904&lt;=10,"6-10","11+")))</f>
        <v/>
      </c>
    </row>
    <row r="4905">
      <c r="A4905" s="39" t="n">
        <v>46230.12945601852</v>
      </c>
      <c r="B4905" s="25">
        <f>TEXT(A4905,"YYYY-MM")</f>
        <v/>
      </c>
      <c r="C4905" s="25">
        <f>TEXT(A4905,"MMM-YYYY")</f>
        <v/>
      </c>
      <c r="D4905" s="40">
        <f>INT(A4905)-WEEKDAY(A4905,2)+1</f>
        <v/>
      </c>
      <c r="E4905" s="25" t="inlineStr">
        <is>
          <t>atiwari</t>
        </is>
      </c>
      <c r="F4905" s="25" t="n">
        <v>137729</v>
      </c>
      <c r="G4905" s="25" t="n">
        <v>2</v>
      </c>
      <c r="H4905" s="25" t="n">
        <v>10</v>
      </c>
      <c r="I4905" s="25" t="inlineStr">
        <is>
          <t>55 second(s)</t>
        </is>
      </c>
      <c r="J4905" s="25">
        <f>IFERROR(VALUE(TRIM(LEFT(I4905,FIND("minute",I4905)-1)))*60,0)+IFERROR(VALUE(SUBSTITUTE(MID(I4905,IFERROR(FIND("and",I4905)+3,1),20),"second(s)","")),0)</f>
        <v/>
      </c>
      <c r="K4905" s="41">
        <f>J4905/60</f>
        <v/>
      </c>
      <c r="L4905" s="41">
        <f>IFERROR(J4905/H4905,"")</f>
        <v/>
      </c>
      <c r="M4905" s="25" t="inlineStr">
        <is>
          <t>2.5.12</t>
        </is>
      </c>
      <c r="N4905" s="25">
        <f>IF(J4905&gt;300,1,0)</f>
        <v/>
      </c>
      <c r="O4905" s="25">
        <f>IF(J4905&gt;600,1,0)</f>
        <v/>
      </c>
      <c r="P4905" s="25">
        <f>IF(H4905&gt;0,J4905,"")</f>
        <v/>
      </c>
      <c r="Q4905" s="25">
        <f>TEXT(A4905,"YYYY-MM-DD HH")</f>
        <v/>
      </c>
      <c r="R4905" s="25">
        <f>COUNTIF($Q$2:$Q$5295,Q4905)</f>
        <v/>
      </c>
      <c r="S4905" s="25">
        <f>IF(R4905&lt;=2,"1-2",IF(R4905&lt;=5,"3-5",IF(R4905&lt;=10,"6-10","11+")))</f>
        <v/>
      </c>
    </row>
    <row r="4906">
      <c r="A4906" s="39" t="n">
        <v>46230.1296412037</v>
      </c>
      <c r="B4906" s="25">
        <f>TEXT(A4906,"YYYY-MM")</f>
        <v/>
      </c>
      <c r="C4906" s="25">
        <f>TEXT(A4906,"MMM-YYYY")</f>
        <v/>
      </c>
      <c r="D4906" s="40">
        <f>INT(A4906)-WEEKDAY(A4906,2)+1</f>
        <v/>
      </c>
      <c r="E4906" s="25" t="inlineStr">
        <is>
          <t>stiwari</t>
        </is>
      </c>
      <c r="F4906" s="25" t="n">
        <v>129287</v>
      </c>
      <c r="G4906" s="25" t="n">
        <v>4</v>
      </c>
      <c r="H4906" s="25" t="n">
        <v>29</v>
      </c>
      <c r="I4906" s="25" t="inlineStr">
        <is>
          <t>2 minute(s) and 12 second(s)</t>
        </is>
      </c>
      <c r="J4906" s="25">
        <f>IFERROR(VALUE(TRIM(LEFT(I4906,FIND("minute",I4906)-1)))*60,0)+IFERROR(VALUE(SUBSTITUTE(MID(I4906,IFERROR(FIND("and",I4906)+3,1),20),"second(s)","")),0)</f>
        <v/>
      </c>
      <c r="K4906" s="41">
        <f>J4906/60</f>
        <v/>
      </c>
      <c r="L4906" s="41">
        <f>IFERROR(J4906/H4906,"")</f>
        <v/>
      </c>
      <c r="M4906" s="25" t="inlineStr">
        <is>
          <t>2.5.12</t>
        </is>
      </c>
      <c r="N4906" s="25">
        <f>IF(J4906&gt;300,1,0)</f>
        <v/>
      </c>
      <c r="O4906" s="25">
        <f>IF(J4906&gt;600,1,0)</f>
        <v/>
      </c>
      <c r="P4906" s="25">
        <f>IF(H4906&gt;0,J4906,"")</f>
        <v/>
      </c>
      <c r="Q4906" s="25">
        <f>TEXT(A4906,"YYYY-MM-DD HH")</f>
        <v/>
      </c>
      <c r="R4906" s="25">
        <f>COUNTIF($Q$2:$Q$5295,Q4906)</f>
        <v/>
      </c>
      <c r="S4906" s="25">
        <f>IF(R4906&lt;=2,"1-2",IF(R4906&lt;=5,"3-5",IF(R4906&lt;=10,"6-10","11+")))</f>
        <v/>
      </c>
    </row>
    <row r="4907">
      <c r="A4907" s="39" t="n">
        <v>46230.12975694444</v>
      </c>
      <c r="B4907" s="25">
        <f>TEXT(A4907,"YYYY-MM")</f>
        <v/>
      </c>
      <c r="C4907" s="25">
        <f>TEXT(A4907,"MMM-YYYY")</f>
        <v/>
      </c>
      <c r="D4907" s="40">
        <f>INT(A4907)-WEEKDAY(A4907,2)+1</f>
        <v/>
      </c>
      <c r="E4907" s="25" t="inlineStr">
        <is>
          <t>aghosh</t>
        </is>
      </c>
      <c r="F4907" s="25" t="n">
        <v>134123</v>
      </c>
      <c r="G4907" s="25" t="n">
        <v>4</v>
      </c>
      <c r="H4907" s="25" t="n">
        <v>22</v>
      </c>
      <c r="I4907" s="25" t="inlineStr">
        <is>
          <t>3 minute(s) and 53 second(s)</t>
        </is>
      </c>
      <c r="J4907" s="25">
        <f>IFERROR(VALUE(TRIM(LEFT(I4907,FIND("minute",I4907)-1)))*60,0)+IFERROR(VALUE(SUBSTITUTE(MID(I4907,IFERROR(FIND("and",I4907)+3,1),20),"second(s)","")),0)</f>
        <v/>
      </c>
      <c r="K4907" s="41">
        <f>J4907/60</f>
        <v/>
      </c>
      <c r="L4907" s="41">
        <f>IFERROR(J4907/H4907,"")</f>
        <v/>
      </c>
      <c r="M4907" s="25" t="inlineStr">
        <is>
          <t>2.5.12</t>
        </is>
      </c>
      <c r="N4907" s="25">
        <f>IF(J4907&gt;300,1,0)</f>
        <v/>
      </c>
      <c r="O4907" s="25">
        <f>IF(J4907&gt;600,1,0)</f>
        <v/>
      </c>
      <c r="P4907" s="25">
        <f>IF(H4907&gt;0,J4907,"")</f>
        <v/>
      </c>
      <c r="Q4907" s="25">
        <f>TEXT(A4907,"YYYY-MM-DD HH")</f>
        <v/>
      </c>
      <c r="R4907" s="25">
        <f>COUNTIF($Q$2:$Q$5295,Q4907)</f>
        <v/>
      </c>
      <c r="S4907" s="25">
        <f>IF(R4907&lt;=2,"1-2",IF(R4907&lt;=5,"3-5",IF(R4907&lt;=10,"6-10","11+")))</f>
        <v/>
      </c>
    </row>
    <row r="4908">
      <c r="A4908" s="39" t="n">
        <v>46230.13340277778</v>
      </c>
      <c r="B4908" s="25">
        <f>TEXT(A4908,"YYYY-MM")</f>
        <v/>
      </c>
      <c r="C4908" s="25">
        <f>TEXT(A4908,"MMM-YYYY")</f>
        <v/>
      </c>
      <c r="D4908" s="40">
        <f>INT(A4908)-WEEKDAY(A4908,2)+1</f>
        <v/>
      </c>
      <c r="E4908" s="25" t="inlineStr">
        <is>
          <t>aghosh</t>
        </is>
      </c>
      <c r="F4908" s="25" t="n">
        <v>134123</v>
      </c>
      <c r="G4908" s="25" t="n">
        <v>4</v>
      </c>
      <c r="H4908" s="25" t="n">
        <v>26</v>
      </c>
      <c r="I4908" s="25" t="inlineStr">
        <is>
          <t>2 minute(s) and 48 second(s)</t>
        </is>
      </c>
      <c r="J4908" s="25">
        <f>IFERROR(VALUE(TRIM(LEFT(I4908,FIND("minute",I4908)-1)))*60,0)+IFERROR(VALUE(SUBSTITUTE(MID(I4908,IFERROR(FIND("and",I4908)+3,1),20),"second(s)","")),0)</f>
        <v/>
      </c>
      <c r="K4908" s="41">
        <f>J4908/60</f>
        <v/>
      </c>
      <c r="L4908" s="41">
        <f>IFERROR(J4908/H4908,"")</f>
        <v/>
      </c>
      <c r="M4908" s="25" t="inlineStr">
        <is>
          <t>2.5.12</t>
        </is>
      </c>
      <c r="N4908" s="25">
        <f>IF(J4908&gt;300,1,0)</f>
        <v/>
      </c>
      <c r="O4908" s="25">
        <f>IF(J4908&gt;600,1,0)</f>
        <v/>
      </c>
      <c r="P4908" s="25">
        <f>IF(H4908&gt;0,J4908,"")</f>
        <v/>
      </c>
      <c r="Q4908" s="25">
        <f>TEXT(A4908,"YYYY-MM-DD HH")</f>
        <v/>
      </c>
      <c r="R4908" s="25">
        <f>COUNTIF($Q$2:$Q$5295,Q4908)</f>
        <v/>
      </c>
      <c r="S4908" s="25">
        <f>IF(R4908&lt;=2,"1-2",IF(R4908&lt;=5,"3-5",IF(R4908&lt;=10,"6-10","11+")))</f>
        <v/>
      </c>
    </row>
    <row r="4909">
      <c r="A4909" s="39" t="n">
        <v>46230.13420138889</v>
      </c>
      <c r="B4909" s="25">
        <f>TEXT(A4909,"YYYY-MM")</f>
        <v/>
      </c>
      <c r="C4909" s="25">
        <f>TEXT(A4909,"MMM-YYYY")</f>
        <v/>
      </c>
      <c r="D4909" s="40">
        <f>INT(A4909)-WEEKDAY(A4909,2)+1</f>
        <v/>
      </c>
      <c r="E4909" s="25" t="inlineStr">
        <is>
          <t>pgautam</t>
        </is>
      </c>
      <c r="F4909" s="25" t="n">
        <v>132230</v>
      </c>
      <c r="G4909" s="25" t="n">
        <v>6</v>
      </c>
      <c r="H4909" s="25" t="n">
        <v>32</v>
      </c>
      <c r="I4909" s="25" t="inlineStr">
        <is>
          <t>2 minute(s) and 57 second(s)</t>
        </is>
      </c>
      <c r="J4909" s="25">
        <f>IFERROR(VALUE(TRIM(LEFT(I4909,FIND("minute",I4909)-1)))*60,0)+IFERROR(VALUE(SUBSTITUTE(MID(I4909,IFERROR(FIND("and",I4909)+3,1),20),"second(s)","")),0)</f>
        <v/>
      </c>
      <c r="K4909" s="41">
        <f>J4909/60</f>
        <v/>
      </c>
      <c r="L4909" s="41">
        <f>IFERROR(J4909/H4909,"")</f>
        <v/>
      </c>
      <c r="M4909" s="25" t="inlineStr">
        <is>
          <t>2.5.12</t>
        </is>
      </c>
      <c r="N4909" s="25">
        <f>IF(J4909&gt;300,1,0)</f>
        <v/>
      </c>
      <c r="O4909" s="25">
        <f>IF(J4909&gt;600,1,0)</f>
        <v/>
      </c>
      <c r="P4909" s="25">
        <f>IF(H4909&gt;0,J4909,"")</f>
        <v/>
      </c>
      <c r="Q4909" s="25">
        <f>TEXT(A4909,"YYYY-MM-DD HH")</f>
        <v/>
      </c>
      <c r="R4909" s="25">
        <f>COUNTIF($Q$2:$Q$5295,Q4909)</f>
        <v/>
      </c>
      <c r="S4909" s="25">
        <f>IF(R4909&lt;=2,"1-2",IF(R4909&lt;=5,"3-5",IF(R4909&lt;=10,"6-10","11+")))</f>
        <v/>
      </c>
    </row>
    <row r="4910">
      <c r="A4910" s="39" t="n">
        <v>46230.13446759259</v>
      </c>
      <c r="B4910" s="25">
        <f>TEXT(A4910,"YYYY-MM")</f>
        <v/>
      </c>
      <c r="C4910" s="25">
        <f>TEXT(A4910,"MMM-YYYY")</f>
        <v/>
      </c>
      <c r="D4910" s="40">
        <f>INT(A4910)-WEEKDAY(A4910,2)+1</f>
        <v/>
      </c>
      <c r="E4910" s="25" t="inlineStr">
        <is>
          <t>mkulkarni</t>
        </is>
      </c>
      <c r="F4910" s="25" t="n">
        <v>133992</v>
      </c>
      <c r="G4910" s="25" t="n">
        <v>1</v>
      </c>
      <c r="H4910" s="25" t="n">
        <v>7</v>
      </c>
      <c r="I4910" s="25" t="inlineStr">
        <is>
          <t>38 second(s)</t>
        </is>
      </c>
      <c r="J4910" s="25">
        <f>IFERROR(VALUE(TRIM(LEFT(I4910,FIND("minute",I4910)-1)))*60,0)+IFERROR(VALUE(SUBSTITUTE(MID(I4910,IFERROR(FIND("and",I4910)+3,1),20),"second(s)","")),0)</f>
        <v/>
      </c>
      <c r="K4910" s="41">
        <f>J4910/60</f>
        <v/>
      </c>
      <c r="L4910" s="41">
        <f>IFERROR(J4910/H4910,"")</f>
        <v/>
      </c>
      <c r="M4910" s="25" t="inlineStr">
        <is>
          <t>2.5.12</t>
        </is>
      </c>
      <c r="N4910" s="25">
        <f>IF(J4910&gt;300,1,0)</f>
        <v/>
      </c>
      <c r="O4910" s="25">
        <f>IF(J4910&gt;600,1,0)</f>
        <v/>
      </c>
      <c r="P4910" s="25">
        <f>IF(H4910&gt;0,J4910,"")</f>
        <v/>
      </c>
      <c r="Q4910" s="25">
        <f>TEXT(A4910,"YYYY-MM-DD HH")</f>
        <v/>
      </c>
      <c r="R4910" s="25">
        <f>COUNTIF($Q$2:$Q$5295,Q4910)</f>
        <v/>
      </c>
      <c r="S4910" s="25">
        <f>IF(R4910&lt;=2,"1-2",IF(R4910&lt;=5,"3-5",IF(R4910&lt;=10,"6-10","11+")))</f>
        <v/>
      </c>
    </row>
    <row r="4911">
      <c r="A4911" s="39" t="n">
        <v>46230.13545138889</v>
      </c>
      <c r="B4911" s="25">
        <f>TEXT(A4911,"YYYY-MM")</f>
        <v/>
      </c>
      <c r="C4911" s="25">
        <f>TEXT(A4911,"MMM-YYYY")</f>
        <v/>
      </c>
      <c r="D4911" s="40">
        <f>INT(A4911)-WEEKDAY(A4911,2)+1</f>
        <v/>
      </c>
      <c r="E4911" s="25" t="inlineStr">
        <is>
          <t>ethomas</t>
        </is>
      </c>
      <c r="F4911" s="25" t="n">
        <v>134936</v>
      </c>
      <c r="G4911" s="25" t="n">
        <v>3</v>
      </c>
      <c r="H4911" s="25" t="n">
        <v>18</v>
      </c>
      <c r="I4911" s="25" t="inlineStr">
        <is>
          <t>1 minute(s) and 54 second(s)</t>
        </is>
      </c>
      <c r="J4911" s="25">
        <f>IFERROR(VALUE(TRIM(LEFT(I4911,FIND("minute",I4911)-1)))*60,0)+IFERROR(VALUE(SUBSTITUTE(MID(I4911,IFERROR(FIND("and",I4911)+3,1),20),"second(s)","")),0)</f>
        <v/>
      </c>
      <c r="K4911" s="41">
        <f>J4911/60</f>
        <v/>
      </c>
      <c r="L4911" s="41">
        <f>IFERROR(J4911/H4911,"")</f>
        <v/>
      </c>
      <c r="M4911" s="25" t="inlineStr">
        <is>
          <t>2.5.12</t>
        </is>
      </c>
      <c r="N4911" s="25">
        <f>IF(J4911&gt;300,1,0)</f>
        <v/>
      </c>
      <c r="O4911" s="25">
        <f>IF(J4911&gt;600,1,0)</f>
        <v/>
      </c>
      <c r="P4911" s="25">
        <f>IF(H4911&gt;0,J4911,"")</f>
        <v/>
      </c>
      <c r="Q4911" s="25">
        <f>TEXT(A4911,"YYYY-MM-DD HH")</f>
        <v/>
      </c>
      <c r="R4911" s="25">
        <f>COUNTIF($Q$2:$Q$5295,Q4911)</f>
        <v/>
      </c>
      <c r="S4911" s="25">
        <f>IF(R4911&lt;=2,"1-2",IF(R4911&lt;=5,"3-5",IF(R4911&lt;=10,"6-10","11+")))</f>
        <v/>
      </c>
    </row>
    <row r="4912">
      <c r="A4912" s="39" t="n">
        <v>46230.13711805556</v>
      </c>
      <c r="B4912" s="25">
        <f>TEXT(A4912,"YYYY-MM")</f>
        <v/>
      </c>
      <c r="C4912" s="25">
        <f>TEXT(A4912,"MMM-YYYY")</f>
        <v/>
      </c>
      <c r="D4912" s="40">
        <f>INT(A4912)-WEEKDAY(A4912,2)+1</f>
        <v/>
      </c>
      <c r="E4912" s="25" t="inlineStr">
        <is>
          <t>dbhattacharyya</t>
        </is>
      </c>
      <c r="F4912" s="25" t="n">
        <v>132850</v>
      </c>
      <c r="G4912" s="25" t="n">
        <v>4</v>
      </c>
      <c r="H4912" s="25" t="n">
        <v>27</v>
      </c>
      <c r="I4912" s="25" t="inlineStr">
        <is>
          <t>5 minute(s) and 0 second(s)</t>
        </is>
      </c>
      <c r="J4912" s="25">
        <f>IFERROR(VALUE(TRIM(LEFT(I4912,FIND("minute",I4912)-1)))*60,0)+IFERROR(VALUE(SUBSTITUTE(MID(I4912,IFERROR(FIND("and",I4912)+3,1),20),"second(s)","")),0)</f>
        <v/>
      </c>
      <c r="K4912" s="41">
        <f>J4912/60</f>
        <v/>
      </c>
      <c r="L4912" s="41">
        <f>IFERROR(J4912/H4912,"")</f>
        <v/>
      </c>
      <c r="M4912" s="25" t="inlineStr">
        <is>
          <t>2.5.12</t>
        </is>
      </c>
      <c r="N4912" s="25">
        <f>IF(J4912&gt;300,1,0)</f>
        <v/>
      </c>
      <c r="O4912" s="25">
        <f>IF(J4912&gt;600,1,0)</f>
        <v/>
      </c>
      <c r="P4912" s="25">
        <f>IF(H4912&gt;0,J4912,"")</f>
        <v/>
      </c>
      <c r="Q4912" s="25">
        <f>TEXT(A4912,"YYYY-MM-DD HH")</f>
        <v/>
      </c>
      <c r="R4912" s="25">
        <f>COUNTIF($Q$2:$Q$5295,Q4912)</f>
        <v/>
      </c>
      <c r="S4912" s="25">
        <f>IF(R4912&lt;=2,"1-2",IF(R4912&lt;=5,"3-5",IF(R4912&lt;=10,"6-10","11+")))</f>
        <v/>
      </c>
    </row>
    <row r="4913">
      <c r="A4913" s="39" t="n">
        <v>46230.14197916666</v>
      </c>
      <c r="B4913" s="25">
        <f>TEXT(A4913,"YYYY-MM")</f>
        <v/>
      </c>
      <c r="C4913" s="25">
        <f>TEXT(A4913,"MMM-YYYY")</f>
        <v/>
      </c>
      <c r="D4913" s="40">
        <f>INT(A4913)-WEEKDAY(A4913,2)+1</f>
        <v/>
      </c>
      <c r="E4913" s="25" t="inlineStr">
        <is>
          <t>shasikha</t>
        </is>
      </c>
      <c r="F4913" s="25" t="n">
        <v>128693</v>
      </c>
      <c r="G4913" s="25" t="n">
        <v>1</v>
      </c>
      <c r="H4913" s="25" t="n">
        <v>7</v>
      </c>
      <c r="I4913" s="25" t="inlineStr">
        <is>
          <t>37 second(s)</t>
        </is>
      </c>
      <c r="J4913" s="25">
        <f>IFERROR(VALUE(TRIM(LEFT(I4913,FIND("minute",I4913)-1)))*60,0)+IFERROR(VALUE(SUBSTITUTE(MID(I4913,IFERROR(FIND("and",I4913)+3,1),20),"second(s)","")),0)</f>
        <v/>
      </c>
      <c r="K4913" s="41">
        <f>J4913/60</f>
        <v/>
      </c>
      <c r="L4913" s="41">
        <f>IFERROR(J4913/H4913,"")</f>
        <v/>
      </c>
      <c r="M4913" s="25" t="inlineStr">
        <is>
          <t>2.5.12</t>
        </is>
      </c>
      <c r="N4913" s="25">
        <f>IF(J4913&gt;300,1,0)</f>
        <v/>
      </c>
      <c r="O4913" s="25">
        <f>IF(J4913&gt;600,1,0)</f>
        <v/>
      </c>
      <c r="P4913" s="25">
        <f>IF(H4913&gt;0,J4913,"")</f>
        <v/>
      </c>
      <c r="Q4913" s="25">
        <f>TEXT(A4913,"YYYY-MM-DD HH")</f>
        <v/>
      </c>
      <c r="R4913" s="25">
        <f>COUNTIF($Q$2:$Q$5295,Q4913)</f>
        <v/>
      </c>
      <c r="S4913" s="25">
        <f>IF(R4913&lt;=2,"1-2",IF(R4913&lt;=5,"3-5",IF(R4913&lt;=10,"6-10","11+")))</f>
        <v/>
      </c>
    </row>
    <row r="4914">
      <c r="A4914" s="39" t="n">
        <v>46230.14659722222</v>
      </c>
      <c r="B4914" s="25">
        <f>TEXT(A4914,"YYYY-MM")</f>
        <v/>
      </c>
      <c r="C4914" s="25">
        <f>TEXT(A4914,"MMM-YYYY")</f>
        <v/>
      </c>
      <c r="D4914" s="40">
        <f>INT(A4914)-WEEKDAY(A4914,2)+1</f>
        <v/>
      </c>
      <c r="E4914" s="25" t="inlineStr">
        <is>
          <t>asahoo</t>
        </is>
      </c>
      <c r="F4914" s="25" t="n">
        <v>138162</v>
      </c>
      <c r="G4914" s="25" t="n">
        <v>2</v>
      </c>
      <c r="H4914" s="25" t="n">
        <v>8</v>
      </c>
      <c r="I4914" s="25" t="inlineStr">
        <is>
          <t>1 minute(s) and 41 second(s)</t>
        </is>
      </c>
      <c r="J4914" s="25">
        <f>IFERROR(VALUE(TRIM(LEFT(I4914,FIND("minute",I4914)-1)))*60,0)+IFERROR(VALUE(SUBSTITUTE(MID(I4914,IFERROR(FIND("and",I4914)+3,1),20),"second(s)","")),0)</f>
        <v/>
      </c>
      <c r="K4914" s="41">
        <f>J4914/60</f>
        <v/>
      </c>
      <c r="L4914" s="41">
        <f>IFERROR(J4914/H4914,"")</f>
        <v/>
      </c>
      <c r="M4914" s="25" t="inlineStr">
        <is>
          <t>2.5.12</t>
        </is>
      </c>
      <c r="N4914" s="25">
        <f>IF(J4914&gt;300,1,0)</f>
        <v/>
      </c>
      <c r="O4914" s="25">
        <f>IF(J4914&gt;600,1,0)</f>
        <v/>
      </c>
      <c r="P4914" s="25">
        <f>IF(H4914&gt;0,J4914,"")</f>
        <v/>
      </c>
      <c r="Q4914" s="25">
        <f>TEXT(A4914,"YYYY-MM-DD HH")</f>
        <v/>
      </c>
      <c r="R4914" s="25">
        <f>COUNTIF($Q$2:$Q$5295,Q4914)</f>
        <v/>
      </c>
      <c r="S4914" s="25">
        <f>IF(R4914&lt;=2,"1-2",IF(R4914&lt;=5,"3-5",IF(R4914&lt;=10,"6-10","11+")))</f>
        <v/>
      </c>
    </row>
    <row r="4915">
      <c r="A4915" s="39" t="n">
        <v>46230.15108796296</v>
      </c>
      <c r="B4915" s="25">
        <f>TEXT(A4915,"YYYY-MM")</f>
        <v/>
      </c>
      <c r="C4915" s="25">
        <f>TEXT(A4915,"MMM-YYYY")</f>
        <v/>
      </c>
      <c r="D4915" s="40">
        <f>INT(A4915)-WEEKDAY(A4915,2)+1</f>
        <v/>
      </c>
      <c r="E4915" s="25" t="inlineStr">
        <is>
          <t>tkarmakar</t>
        </is>
      </c>
      <c r="F4915" s="25" t="n">
        <v>129830</v>
      </c>
      <c r="G4915" s="25" t="n">
        <v>4</v>
      </c>
      <c r="H4915" s="25" t="n">
        <v>22</v>
      </c>
      <c r="I4915" s="25" t="inlineStr">
        <is>
          <t>3 minute(s) and 35 second(s)</t>
        </is>
      </c>
      <c r="J4915" s="25">
        <f>IFERROR(VALUE(TRIM(LEFT(I4915,FIND("minute",I4915)-1)))*60,0)+IFERROR(VALUE(SUBSTITUTE(MID(I4915,IFERROR(FIND("and",I4915)+3,1),20),"second(s)","")),0)</f>
        <v/>
      </c>
      <c r="K4915" s="41">
        <f>J4915/60</f>
        <v/>
      </c>
      <c r="L4915" s="41">
        <f>IFERROR(J4915/H4915,"")</f>
        <v/>
      </c>
      <c r="M4915" s="25" t="inlineStr">
        <is>
          <t>2.5.12</t>
        </is>
      </c>
      <c r="N4915" s="25">
        <f>IF(J4915&gt;300,1,0)</f>
        <v/>
      </c>
      <c r="O4915" s="25">
        <f>IF(J4915&gt;600,1,0)</f>
        <v/>
      </c>
      <c r="P4915" s="25">
        <f>IF(H4915&gt;0,J4915,"")</f>
        <v/>
      </c>
      <c r="Q4915" s="25">
        <f>TEXT(A4915,"YYYY-MM-DD HH")</f>
        <v/>
      </c>
      <c r="R4915" s="25">
        <f>COUNTIF($Q$2:$Q$5295,Q4915)</f>
        <v/>
      </c>
      <c r="S4915" s="25">
        <f>IF(R4915&lt;=2,"1-2",IF(R4915&lt;=5,"3-5",IF(R4915&lt;=10,"6-10","11+")))</f>
        <v/>
      </c>
    </row>
    <row r="4916">
      <c r="A4916" s="39" t="n">
        <v>46230.15199074074</v>
      </c>
      <c r="B4916" s="25">
        <f>TEXT(A4916,"YYYY-MM")</f>
        <v/>
      </c>
      <c r="C4916" s="25">
        <f>TEXT(A4916,"MMM-YYYY")</f>
        <v/>
      </c>
      <c r="D4916" s="40">
        <f>INT(A4916)-WEEKDAY(A4916,2)+1</f>
        <v/>
      </c>
      <c r="E4916" s="25" t="inlineStr">
        <is>
          <t>sphatak</t>
        </is>
      </c>
      <c r="F4916" s="25" t="n">
        <v>130316</v>
      </c>
      <c r="G4916" s="25" t="n">
        <v>3</v>
      </c>
      <c r="H4916" s="25" t="n">
        <v>17</v>
      </c>
      <c r="I4916" s="25" t="inlineStr">
        <is>
          <t>1 minute(s) and 27 second(s)</t>
        </is>
      </c>
      <c r="J4916" s="25">
        <f>IFERROR(VALUE(TRIM(LEFT(I4916,FIND("minute",I4916)-1)))*60,0)+IFERROR(VALUE(SUBSTITUTE(MID(I4916,IFERROR(FIND("and",I4916)+3,1),20),"second(s)","")),0)</f>
        <v/>
      </c>
      <c r="K4916" s="41">
        <f>J4916/60</f>
        <v/>
      </c>
      <c r="L4916" s="41">
        <f>IFERROR(J4916/H4916,"")</f>
        <v/>
      </c>
      <c r="M4916" s="25" t="inlineStr">
        <is>
          <t>2.5.12</t>
        </is>
      </c>
      <c r="N4916" s="25">
        <f>IF(J4916&gt;300,1,0)</f>
        <v/>
      </c>
      <c r="O4916" s="25">
        <f>IF(J4916&gt;600,1,0)</f>
        <v/>
      </c>
      <c r="P4916" s="25">
        <f>IF(H4916&gt;0,J4916,"")</f>
        <v/>
      </c>
      <c r="Q4916" s="25">
        <f>TEXT(A4916,"YYYY-MM-DD HH")</f>
        <v/>
      </c>
      <c r="R4916" s="25">
        <f>COUNTIF($Q$2:$Q$5295,Q4916)</f>
        <v/>
      </c>
      <c r="S4916" s="25">
        <f>IF(R4916&lt;=2,"1-2",IF(R4916&lt;=5,"3-5",IF(R4916&lt;=10,"6-10","11+")))</f>
        <v/>
      </c>
    </row>
    <row r="4917">
      <c r="A4917" s="39" t="n">
        <v>46230.15929398148</v>
      </c>
      <c r="B4917" s="25">
        <f>TEXT(A4917,"YYYY-MM")</f>
        <v/>
      </c>
      <c r="C4917" s="25">
        <f>TEXT(A4917,"MMM-YYYY")</f>
        <v/>
      </c>
      <c r="D4917" s="40">
        <f>INT(A4917)-WEEKDAY(A4917,2)+1</f>
        <v/>
      </c>
      <c r="E4917" s="25" t="inlineStr">
        <is>
          <t>shasikha</t>
        </is>
      </c>
      <c r="F4917" s="25" t="n">
        <v>128661</v>
      </c>
      <c r="G4917" s="25" t="n">
        <v>1</v>
      </c>
      <c r="H4917" s="25" t="n">
        <v>5</v>
      </c>
      <c r="I4917" s="25" t="inlineStr">
        <is>
          <t>20 second(s)</t>
        </is>
      </c>
      <c r="J4917" s="25">
        <f>IFERROR(VALUE(TRIM(LEFT(I4917,FIND("minute",I4917)-1)))*60,0)+IFERROR(VALUE(SUBSTITUTE(MID(I4917,IFERROR(FIND("and",I4917)+3,1),20),"second(s)","")),0)</f>
        <v/>
      </c>
      <c r="K4917" s="41">
        <f>J4917/60</f>
        <v/>
      </c>
      <c r="L4917" s="41">
        <f>IFERROR(J4917/H4917,"")</f>
        <v/>
      </c>
      <c r="M4917" s="25" t="inlineStr">
        <is>
          <t>2.5.12</t>
        </is>
      </c>
      <c r="N4917" s="25">
        <f>IF(J4917&gt;300,1,0)</f>
        <v/>
      </c>
      <c r="O4917" s="25">
        <f>IF(J4917&gt;600,1,0)</f>
        <v/>
      </c>
      <c r="P4917" s="25">
        <f>IF(H4917&gt;0,J4917,"")</f>
        <v/>
      </c>
      <c r="Q4917" s="25">
        <f>TEXT(A4917,"YYYY-MM-DD HH")</f>
        <v/>
      </c>
      <c r="R4917" s="25">
        <f>COUNTIF($Q$2:$Q$5295,Q4917)</f>
        <v/>
      </c>
      <c r="S4917" s="25">
        <f>IF(R4917&lt;=2,"1-2",IF(R4917&lt;=5,"3-5",IF(R4917&lt;=10,"6-10","11+")))</f>
        <v/>
      </c>
    </row>
    <row r="4918">
      <c r="A4918" s="39" t="n">
        <v>46230.16768518519</v>
      </c>
      <c r="B4918" s="25">
        <f>TEXT(A4918,"YYYY-MM")</f>
        <v/>
      </c>
      <c r="C4918" s="25">
        <f>TEXT(A4918,"MMM-YYYY")</f>
        <v/>
      </c>
      <c r="D4918" s="40">
        <f>INT(A4918)-WEEKDAY(A4918,2)+1</f>
        <v/>
      </c>
      <c r="E4918" s="25" t="inlineStr">
        <is>
          <t>dchoudhury</t>
        </is>
      </c>
      <c r="F4918" s="25" t="n">
        <v>128306</v>
      </c>
      <c r="G4918" s="25" t="n">
        <v>2</v>
      </c>
      <c r="H4918" s="25" t="n">
        <v>9</v>
      </c>
      <c r="I4918" s="25" t="inlineStr">
        <is>
          <t>1 minute(s) and 35 second(s)</t>
        </is>
      </c>
      <c r="J4918" s="25">
        <f>IFERROR(VALUE(TRIM(LEFT(I4918,FIND("minute",I4918)-1)))*60,0)+IFERROR(VALUE(SUBSTITUTE(MID(I4918,IFERROR(FIND("and",I4918)+3,1),20),"second(s)","")),0)</f>
        <v/>
      </c>
      <c r="K4918" s="41">
        <f>J4918/60</f>
        <v/>
      </c>
      <c r="L4918" s="41">
        <f>IFERROR(J4918/H4918,"")</f>
        <v/>
      </c>
      <c r="M4918" s="25" t="inlineStr">
        <is>
          <t>2.5.12</t>
        </is>
      </c>
      <c r="N4918" s="25">
        <f>IF(J4918&gt;300,1,0)</f>
        <v/>
      </c>
      <c r="O4918" s="25">
        <f>IF(J4918&gt;600,1,0)</f>
        <v/>
      </c>
      <c r="P4918" s="25">
        <f>IF(H4918&gt;0,J4918,"")</f>
        <v/>
      </c>
      <c r="Q4918" s="25">
        <f>TEXT(A4918,"YYYY-MM-DD HH")</f>
        <v/>
      </c>
      <c r="R4918" s="25">
        <f>COUNTIF($Q$2:$Q$5295,Q4918)</f>
        <v/>
      </c>
      <c r="S4918" s="25">
        <f>IF(R4918&lt;=2,"1-2",IF(R4918&lt;=5,"3-5",IF(R4918&lt;=10,"6-10","11+")))</f>
        <v/>
      </c>
    </row>
    <row r="4919">
      <c r="A4919" s="39" t="n">
        <v>46230.16979166667</v>
      </c>
      <c r="B4919" s="25">
        <f>TEXT(A4919,"YYYY-MM")</f>
        <v/>
      </c>
      <c r="C4919" s="25">
        <f>TEXT(A4919,"MMM-YYYY")</f>
        <v/>
      </c>
      <c r="D4919" s="40">
        <f>INT(A4919)-WEEKDAY(A4919,2)+1</f>
        <v/>
      </c>
      <c r="E4919" s="25" t="inlineStr">
        <is>
          <t>atiwari</t>
        </is>
      </c>
      <c r="F4919" s="25" t="n">
        <v>130497</v>
      </c>
      <c r="G4919" s="25" t="n">
        <v>1</v>
      </c>
      <c r="H4919" s="25" t="n">
        <v>8</v>
      </c>
      <c r="I4919" s="25" t="inlineStr">
        <is>
          <t>54 second(s)</t>
        </is>
      </c>
      <c r="J4919" s="25">
        <f>IFERROR(VALUE(TRIM(LEFT(I4919,FIND("minute",I4919)-1)))*60,0)+IFERROR(VALUE(SUBSTITUTE(MID(I4919,IFERROR(FIND("and",I4919)+3,1),20),"second(s)","")),0)</f>
        <v/>
      </c>
      <c r="K4919" s="41">
        <f>J4919/60</f>
        <v/>
      </c>
      <c r="L4919" s="41">
        <f>IFERROR(J4919/H4919,"")</f>
        <v/>
      </c>
      <c r="M4919" s="25" t="inlineStr">
        <is>
          <t>2.5.12</t>
        </is>
      </c>
      <c r="N4919" s="25">
        <f>IF(J4919&gt;300,1,0)</f>
        <v/>
      </c>
      <c r="O4919" s="25">
        <f>IF(J4919&gt;600,1,0)</f>
        <v/>
      </c>
      <c r="P4919" s="25">
        <f>IF(H4919&gt;0,J4919,"")</f>
        <v/>
      </c>
      <c r="Q4919" s="25">
        <f>TEXT(A4919,"YYYY-MM-DD HH")</f>
        <v/>
      </c>
      <c r="R4919" s="25">
        <f>COUNTIF($Q$2:$Q$5295,Q4919)</f>
        <v/>
      </c>
      <c r="S4919" s="25">
        <f>IF(R4919&lt;=2,"1-2",IF(R4919&lt;=5,"3-5",IF(R4919&lt;=10,"6-10","11+")))</f>
        <v/>
      </c>
    </row>
    <row r="4920">
      <c r="A4920" s="39" t="n">
        <v>46230.17592592593</v>
      </c>
      <c r="B4920" s="25">
        <f>TEXT(A4920,"YYYY-MM")</f>
        <v/>
      </c>
      <c r="C4920" s="25">
        <f>TEXT(A4920,"MMM-YYYY")</f>
        <v/>
      </c>
      <c r="D4920" s="40">
        <f>INT(A4920)-WEEKDAY(A4920,2)+1</f>
        <v/>
      </c>
      <c r="E4920" s="25" t="inlineStr">
        <is>
          <t>ajain</t>
        </is>
      </c>
      <c r="F4920" s="25" t="n">
        <v>129158</v>
      </c>
      <c r="G4920" s="25" t="n">
        <v>2</v>
      </c>
      <c r="H4920" s="25" t="n">
        <v>10</v>
      </c>
      <c r="I4920" s="25" t="inlineStr">
        <is>
          <t>50 second(s)</t>
        </is>
      </c>
      <c r="J4920" s="25">
        <f>IFERROR(VALUE(TRIM(LEFT(I4920,FIND("minute",I4920)-1)))*60,0)+IFERROR(VALUE(SUBSTITUTE(MID(I4920,IFERROR(FIND("and",I4920)+3,1),20),"second(s)","")),0)</f>
        <v/>
      </c>
      <c r="K4920" s="41">
        <f>J4920/60</f>
        <v/>
      </c>
      <c r="L4920" s="41">
        <f>IFERROR(J4920/H4920,"")</f>
        <v/>
      </c>
      <c r="M4920" s="25" t="inlineStr">
        <is>
          <t>2.5.12</t>
        </is>
      </c>
      <c r="N4920" s="25">
        <f>IF(J4920&gt;300,1,0)</f>
        <v/>
      </c>
      <c r="O4920" s="25">
        <f>IF(J4920&gt;600,1,0)</f>
        <v/>
      </c>
      <c r="P4920" s="25">
        <f>IF(H4920&gt;0,J4920,"")</f>
        <v/>
      </c>
      <c r="Q4920" s="25">
        <f>TEXT(A4920,"YYYY-MM-DD HH")</f>
        <v/>
      </c>
      <c r="R4920" s="25">
        <f>COUNTIF($Q$2:$Q$5295,Q4920)</f>
        <v/>
      </c>
      <c r="S4920" s="25">
        <f>IF(R4920&lt;=2,"1-2",IF(R4920&lt;=5,"3-5",IF(R4920&lt;=10,"6-10","11+")))</f>
        <v/>
      </c>
    </row>
    <row r="4921">
      <c r="A4921" s="39" t="n">
        <v>46230.17758101852</v>
      </c>
      <c r="B4921" s="25">
        <f>TEXT(A4921,"YYYY-MM")</f>
        <v/>
      </c>
      <c r="C4921" s="25">
        <f>TEXT(A4921,"MMM-YYYY")</f>
        <v/>
      </c>
      <c r="D4921" s="40">
        <f>INT(A4921)-WEEKDAY(A4921,2)+1</f>
        <v/>
      </c>
      <c r="E4921" s="25" t="inlineStr">
        <is>
          <t>stiwari</t>
        </is>
      </c>
      <c r="F4921" s="25" t="n">
        <v>129453</v>
      </c>
      <c r="G4921" s="25" t="n">
        <v>4</v>
      </c>
      <c r="H4921" s="25" t="n">
        <v>26</v>
      </c>
      <c r="I4921" s="25" t="inlineStr">
        <is>
          <t>1 minute(s) and 58 second(s)</t>
        </is>
      </c>
      <c r="J4921" s="25">
        <f>IFERROR(VALUE(TRIM(LEFT(I4921,FIND("minute",I4921)-1)))*60,0)+IFERROR(VALUE(SUBSTITUTE(MID(I4921,IFERROR(FIND("and",I4921)+3,1),20),"second(s)","")),0)</f>
        <v/>
      </c>
      <c r="K4921" s="41">
        <f>J4921/60</f>
        <v/>
      </c>
      <c r="L4921" s="41">
        <f>IFERROR(J4921/H4921,"")</f>
        <v/>
      </c>
      <c r="M4921" s="25" t="inlineStr">
        <is>
          <t>2.5.12</t>
        </is>
      </c>
      <c r="N4921" s="25">
        <f>IF(J4921&gt;300,1,0)</f>
        <v/>
      </c>
      <c r="O4921" s="25">
        <f>IF(J4921&gt;600,1,0)</f>
        <v/>
      </c>
      <c r="P4921" s="25">
        <f>IF(H4921&gt;0,J4921,"")</f>
        <v/>
      </c>
      <c r="Q4921" s="25">
        <f>TEXT(A4921,"YYYY-MM-DD HH")</f>
        <v/>
      </c>
      <c r="R4921" s="25">
        <f>COUNTIF($Q$2:$Q$5295,Q4921)</f>
        <v/>
      </c>
      <c r="S4921" s="25">
        <f>IF(R4921&lt;=2,"1-2",IF(R4921&lt;=5,"3-5",IF(R4921&lt;=10,"6-10","11+")))</f>
        <v/>
      </c>
    </row>
    <row r="4922">
      <c r="A4922" s="39" t="n">
        <v>46230.17960648148</v>
      </c>
      <c r="B4922" s="25">
        <f>TEXT(A4922,"YYYY-MM")</f>
        <v/>
      </c>
      <c r="C4922" s="25">
        <f>TEXT(A4922,"MMM-YYYY")</f>
        <v/>
      </c>
      <c r="D4922" s="40">
        <f>INT(A4922)-WEEKDAY(A4922,2)+1</f>
        <v/>
      </c>
      <c r="E4922" s="25" t="inlineStr">
        <is>
          <t>ykaushik</t>
        </is>
      </c>
      <c r="F4922" s="25" t="n">
        <v>129014</v>
      </c>
      <c r="G4922" s="25" t="n">
        <v>1</v>
      </c>
      <c r="H4922" s="25" t="n">
        <v>5</v>
      </c>
      <c r="I4922" s="25" t="inlineStr">
        <is>
          <t>30 second(s)</t>
        </is>
      </c>
      <c r="J4922" s="25">
        <f>IFERROR(VALUE(TRIM(LEFT(I4922,FIND("minute",I4922)-1)))*60,0)+IFERROR(VALUE(SUBSTITUTE(MID(I4922,IFERROR(FIND("and",I4922)+3,1),20),"second(s)","")),0)</f>
        <v/>
      </c>
      <c r="K4922" s="41">
        <f>J4922/60</f>
        <v/>
      </c>
      <c r="L4922" s="41">
        <f>IFERROR(J4922/H4922,"")</f>
        <v/>
      </c>
      <c r="M4922" s="25" t="inlineStr">
        <is>
          <t>2.5.12</t>
        </is>
      </c>
      <c r="N4922" s="25">
        <f>IF(J4922&gt;300,1,0)</f>
        <v/>
      </c>
      <c r="O4922" s="25">
        <f>IF(J4922&gt;600,1,0)</f>
        <v/>
      </c>
      <c r="P4922" s="25">
        <f>IF(H4922&gt;0,J4922,"")</f>
        <v/>
      </c>
      <c r="Q4922" s="25">
        <f>TEXT(A4922,"YYYY-MM-DD HH")</f>
        <v/>
      </c>
      <c r="R4922" s="25">
        <f>COUNTIF($Q$2:$Q$5295,Q4922)</f>
        <v/>
      </c>
      <c r="S4922" s="25">
        <f>IF(R4922&lt;=2,"1-2",IF(R4922&lt;=5,"3-5",IF(R4922&lt;=10,"6-10","11+")))</f>
        <v/>
      </c>
    </row>
    <row r="4923">
      <c r="A4923" s="39" t="n">
        <v>46230.18471064815</v>
      </c>
      <c r="B4923" s="25">
        <f>TEXT(A4923,"YYYY-MM")</f>
        <v/>
      </c>
      <c r="C4923" s="25">
        <f>TEXT(A4923,"MMM-YYYY")</f>
        <v/>
      </c>
      <c r="D4923" s="40">
        <f>INT(A4923)-WEEKDAY(A4923,2)+1</f>
        <v/>
      </c>
      <c r="E4923" s="25" t="inlineStr">
        <is>
          <t>hsindwani</t>
        </is>
      </c>
      <c r="F4923" s="25" t="n">
        <v>137624</v>
      </c>
      <c r="G4923" s="25" t="n">
        <v>5</v>
      </c>
      <c r="H4923" s="25" t="n">
        <v>29</v>
      </c>
      <c r="I4923" s="25" t="inlineStr">
        <is>
          <t>4 minute(s) and 33 second(s)</t>
        </is>
      </c>
      <c r="J4923" s="25">
        <f>IFERROR(VALUE(TRIM(LEFT(I4923,FIND("minute",I4923)-1)))*60,0)+IFERROR(VALUE(SUBSTITUTE(MID(I4923,IFERROR(FIND("and",I4923)+3,1),20),"second(s)","")),0)</f>
        <v/>
      </c>
      <c r="K4923" s="41">
        <f>J4923/60</f>
        <v/>
      </c>
      <c r="L4923" s="41">
        <f>IFERROR(J4923/H4923,"")</f>
        <v/>
      </c>
      <c r="M4923" s="25" t="inlineStr">
        <is>
          <t>2.5.12</t>
        </is>
      </c>
      <c r="N4923" s="25">
        <f>IF(J4923&gt;300,1,0)</f>
        <v/>
      </c>
      <c r="O4923" s="25">
        <f>IF(J4923&gt;600,1,0)</f>
        <v/>
      </c>
      <c r="P4923" s="25">
        <f>IF(H4923&gt;0,J4923,"")</f>
        <v/>
      </c>
      <c r="Q4923" s="25">
        <f>TEXT(A4923,"YYYY-MM-DD HH")</f>
        <v/>
      </c>
      <c r="R4923" s="25">
        <f>COUNTIF($Q$2:$Q$5295,Q4923)</f>
        <v/>
      </c>
      <c r="S4923" s="25">
        <f>IF(R4923&lt;=2,"1-2",IF(R4923&lt;=5,"3-5",IF(R4923&lt;=10,"6-10","11+")))</f>
        <v/>
      </c>
    </row>
    <row r="4924">
      <c r="A4924" s="39" t="n">
        <v>46230.18597222222</v>
      </c>
      <c r="B4924" s="25">
        <f>TEXT(A4924,"YYYY-MM")</f>
        <v/>
      </c>
      <c r="C4924" s="25">
        <f>TEXT(A4924,"MMM-YYYY")</f>
        <v/>
      </c>
      <c r="D4924" s="40">
        <f>INT(A4924)-WEEKDAY(A4924,2)+1</f>
        <v/>
      </c>
      <c r="E4924" s="25" t="inlineStr">
        <is>
          <t>aupadhayay</t>
        </is>
      </c>
      <c r="F4924" s="25" t="n">
        <v>135842</v>
      </c>
      <c r="G4924" s="25" t="n">
        <v>4</v>
      </c>
      <c r="H4924" s="25" t="n">
        <v>26</v>
      </c>
      <c r="I4924" s="25" t="inlineStr">
        <is>
          <t>3 minute(s) and 43 second(s)</t>
        </is>
      </c>
      <c r="J4924" s="25">
        <f>IFERROR(VALUE(TRIM(LEFT(I4924,FIND("minute",I4924)-1)))*60,0)+IFERROR(VALUE(SUBSTITUTE(MID(I4924,IFERROR(FIND("and",I4924)+3,1),20),"second(s)","")),0)</f>
        <v/>
      </c>
      <c r="K4924" s="41">
        <f>J4924/60</f>
        <v/>
      </c>
      <c r="L4924" s="41">
        <f>IFERROR(J4924/H4924,"")</f>
        <v/>
      </c>
      <c r="M4924" s="25" t="inlineStr">
        <is>
          <t>2.5.12</t>
        </is>
      </c>
      <c r="N4924" s="25">
        <f>IF(J4924&gt;300,1,0)</f>
        <v/>
      </c>
      <c r="O4924" s="25">
        <f>IF(J4924&gt;600,1,0)</f>
        <v/>
      </c>
      <c r="P4924" s="25">
        <f>IF(H4924&gt;0,J4924,"")</f>
        <v/>
      </c>
      <c r="Q4924" s="25">
        <f>TEXT(A4924,"YYYY-MM-DD HH")</f>
        <v/>
      </c>
      <c r="R4924" s="25">
        <f>COUNTIF($Q$2:$Q$5295,Q4924)</f>
        <v/>
      </c>
      <c r="S4924" s="25">
        <f>IF(R4924&lt;=2,"1-2",IF(R4924&lt;=5,"3-5",IF(R4924&lt;=10,"6-10","11+")))</f>
        <v/>
      </c>
    </row>
    <row r="4925">
      <c r="A4925" s="39" t="n">
        <v>46230.19059027778</v>
      </c>
      <c r="B4925" s="25">
        <f>TEXT(A4925,"YYYY-MM")</f>
        <v/>
      </c>
      <c r="C4925" s="25">
        <f>TEXT(A4925,"MMM-YYYY")</f>
        <v/>
      </c>
      <c r="D4925" s="40">
        <f>INT(A4925)-WEEKDAY(A4925,2)+1</f>
        <v/>
      </c>
      <c r="E4925" s="25" t="inlineStr">
        <is>
          <t>sthomas</t>
        </is>
      </c>
      <c r="F4925" s="25" t="n">
        <v>129183</v>
      </c>
      <c r="G4925" s="25" t="n">
        <v>2</v>
      </c>
      <c r="H4925" s="25" t="n">
        <v>10</v>
      </c>
      <c r="I4925" s="25" t="inlineStr">
        <is>
          <t>1 minute(s) and 44 second(s)</t>
        </is>
      </c>
      <c r="J4925" s="25">
        <f>IFERROR(VALUE(TRIM(LEFT(I4925,FIND("minute",I4925)-1)))*60,0)+IFERROR(VALUE(SUBSTITUTE(MID(I4925,IFERROR(FIND("and",I4925)+3,1),20),"second(s)","")),0)</f>
        <v/>
      </c>
      <c r="K4925" s="41">
        <f>J4925/60</f>
        <v/>
      </c>
      <c r="L4925" s="41">
        <f>IFERROR(J4925/H4925,"")</f>
        <v/>
      </c>
      <c r="M4925" s="25" t="inlineStr">
        <is>
          <t>2.5.12</t>
        </is>
      </c>
      <c r="N4925" s="25">
        <f>IF(J4925&gt;300,1,0)</f>
        <v/>
      </c>
      <c r="O4925" s="25">
        <f>IF(J4925&gt;600,1,0)</f>
        <v/>
      </c>
      <c r="P4925" s="25">
        <f>IF(H4925&gt;0,J4925,"")</f>
        <v/>
      </c>
      <c r="Q4925" s="25">
        <f>TEXT(A4925,"YYYY-MM-DD HH")</f>
        <v/>
      </c>
      <c r="R4925" s="25">
        <f>COUNTIF($Q$2:$Q$5295,Q4925)</f>
        <v/>
      </c>
      <c r="S4925" s="25">
        <f>IF(R4925&lt;=2,"1-2",IF(R4925&lt;=5,"3-5",IF(R4925&lt;=10,"6-10","11+")))</f>
        <v/>
      </c>
    </row>
    <row r="4926">
      <c r="A4926" s="39" t="n">
        <v>46230.19479166667</v>
      </c>
      <c r="B4926" s="25">
        <f>TEXT(A4926,"YYYY-MM")</f>
        <v/>
      </c>
      <c r="C4926" s="25">
        <f>TEXT(A4926,"MMM-YYYY")</f>
        <v/>
      </c>
      <c r="D4926" s="40">
        <f>INT(A4926)-WEEKDAY(A4926,2)+1</f>
        <v/>
      </c>
      <c r="E4926" s="25" t="inlineStr">
        <is>
          <t>ethomas</t>
        </is>
      </c>
      <c r="F4926" s="25" t="n">
        <v>136717</v>
      </c>
      <c r="G4926" s="25" t="n">
        <v>3</v>
      </c>
      <c r="H4926" s="25" t="n">
        <v>13</v>
      </c>
      <c r="I4926" s="25" t="inlineStr">
        <is>
          <t>1 minute(s) and 16 second(s)</t>
        </is>
      </c>
      <c r="J4926" s="25">
        <f>IFERROR(VALUE(TRIM(LEFT(I4926,FIND("minute",I4926)-1)))*60,0)+IFERROR(VALUE(SUBSTITUTE(MID(I4926,IFERROR(FIND("and",I4926)+3,1),20),"second(s)","")),0)</f>
        <v/>
      </c>
      <c r="K4926" s="41">
        <f>J4926/60</f>
        <v/>
      </c>
      <c r="L4926" s="41">
        <f>IFERROR(J4926/H4926,"")</f>
        <v/>
      </c>
      <c r="M4926" s="25" t="inlineStr">
        <is>
          <t>2.5.12</t>
        </is>
      </c>
      <c r="N4926" s="25">
        <f>IF(J4926&gt;300,1,0)</f>
        <v/>
      </c>
      <c r="O4926" s="25">
        <f>IF(J4926&gt;600,1,0)</f>
        <v/>
      </c>
      <c r="P4926" s="25">
        <f>IF(H4926&gt;0,J4926,"")</f>
        <v/>
      </c>
      <c r="Q4926" s="25">
        <f>TEXT(A4926,"YYYY-MM-DD HH")</f>
        <v/>
      </c>
      <c r="R4926" s="25">
        <f>COUNTIF($Q$2:$Q$5295,Q4926)</f>
        <v/>
      </c>
      <c r="S4926" s="25">
        <f>IF(R4926&lt;=2,"1-2",IF(R4926&lt;=5,"3-5",IF(R4926&lt;=10,"6-10","11+")))</f>
        <v/>
      </c>
    </row>
    <row r="4927">
      <c r="A4927" s="39" t="n">
        <v>46230.1992824074</v>
      </c>
      <c r="B4927" s="25">
        <f>TEXT(A4927,"YYYY-MM")</f>
        <v/>
      </c>
      <c r="C4927" s="25">
        <f>TEXT(A4927,"MMM-YYYY")</f>
        <v/>
      </c>
      <c r="D4927" s="40">
        <f>INT(A4927)-WEEKDAY(A4927,2)+1</f>
        <v/>
      </c>
      <c r="E4927" s="25" t="inlineStr">
        <is>
          <t>sasharma</t>
        </is>
      </c>
      <c r="F4927" s="25" t="n">
        <v>135465</v>
      </c>
      <c r="G4927" s="25" t="n">
        <v>4</v>
      </c>
      <c r="H4927" s="25" t="n">
        <v>22</v>
      </c>
      <c r="I4927" s="25" t="inlineStr">
        <is>
          <t>1 minute(s) and 58 second(s)</t>
        </is>
      </c>
      <c r="J4927" s="25">
        <f>IFERROR(VALUE(TRIM(LEFT(I4927,FIND("minute",I4927)-1)))*60,0)+IFERROR(VALUE(SUBSTITUTE(MID(I4927,IFERROR(FIND("and",I4927)+3,1),20),"second(s)","")),0)</f>
        <v/>
      </c>
      <c r="K4927" s="41">
        <f>J4927/60</f>
        <v/>
      </c>
      <c r="L4927" s="41">
        <f>IFERROR(J4927/H4927,"")</f>
        <v/>
      </c>
      <c r="M4927" s="25" t="inlineStr">
        <is>
          <t>2.5.12</t>
        </is>
      </c>
      <c r="N4927" s="25">
        <f>IF(J4927&gt;300,1,0)</f>
        <v/>
      </c>
      <c r="O4927" s="25">
        <f>IF(J4927&gt;600,1,0)</f>
        <v/>
      </c>
      <c r="P4927" s="25">
        <f>IF(H4927&gt;0,J4927,"")</f>
        <v/>
      </c>
      <c r="Q4927" s="25">
        <f>TEXT(A4927,"YYYY-MM-DD HH")</f>
        <v/>
      </c>
      <c r="R4927" s="25">
        <f>COUNTIF($Q$2:$Q$5295,Q4927)</f>
        <v/>
      </c>
      <c r="S4927" s="25">
        <f>IF(R4927&lt;=2,"1-2",IF(R4927&lt;=5,"3-5",IF(R4927&lt;=10,"6-10","11+")))</f>
        <v/>
      </c>
    </row>
    <row r="4928">
      <c r="A4928" s="39" t="n">
        <v>46230.21071759259</v>
      </c>
      <c r="B4928" s="25">
        <f>TEXT(A4928,"YYYY-MM")</f>
        <v/>
      </c>
      <c r="C4928" s="25">
        <f>TEXT(A4928,"MMM-YYYY")</f>
        <v/>
      </c>
      <c r="D4928" s="40">
        <f>INT(A4928)-WEEKDAY(A4928,2)+1</f>
        <v/>
      </c>
      <c r="E4928" s="25" t="inlineStr">
        <is>
          <t>asahoo</t>
        </is>
      </c>
      <c r="F4928" s="25" t="n">
        <v>136459</v>
      </c>
      <c r="G4928" s="25" t="n">
        <v>3</v>
      </c>
      <c r="H4928" s="25" t="n">
        <v>9</v>
      </c>
      <c r="I4928" s="25" t="inlineStr">
        <is>
          <t>59 second(s)</t>
        </is>
      </c>
      <c r="J4928" s="25">
        <f>IFERROR(VALUE(TRIM(LEFT(I4928,FIND("minute",I4928)-1)))*60,0)+IFERROR(VALUE(SUBSTITUTE(MID(I4928,IFERROR(FIND("and",I4928)+3,1),20),"second(s)","")),0)</f>
        <v/>
      </c>
      <c r="K4928" s="41">
        <f>J4928/60</f>
        <v/>
      </c>
      <c r="L4928" s="41">
        <f>IFERROR(J4928/H4928,"")</f>
        <v/>
      </c>
      <c r="M4928" s="25" t="inlineStr">
        <is>
          <t>2.5.12</t>
        </is>
      </c>
      <c r="N4928" s="25">
        <f>IF(J4928&gt;300,1,0)</f>
        <v/>
      </c>
      <c r="O4928" s="25">
        <f>IF(J4928&gt;600,1,0)</f>
        <v/>
      </c>
      <c r="P4928" s="25">
        <f>IF(H4928&gt;0,J4928,"")</f>
        <v/>
      </c>
      <c r="Q4928" s="25">
        <f>TEXT(A4928,"YYYY-MM-DD HH")</f>
        <v/>
      </c>
      <c r="R4928" s="25">
        <f>COUNTIF($Q$2:$Q$5295,Q4928)</f>
        <v/>
      </c>
      <c r="S4928" s="25">
        <f>IF(R4928&lt;=2,"1-2",IF(R4928&lt;=5,"3-5",IF(R4928&lt;=10,"6-10","11+")))</f>
        <v/>
      </c>
    </row>
    <row r="4929">
      <c r="A4929" s="39" t="n">
        <v>46230.22118055556</v>
      </c>
      <c r="B4929" s="25">
        <f>TEXT(A4929,"YYYY-MM")</f>
        <v/>
      </c>
      <c r="C4929" s="25">
        <f>TEXT(A4929,"MMM-YYYY")</f>
        <v/>
      </c>
      <c r="D4929" s="40">
        <f>INT(A4929)-WEEKDAY(A4929,2)+1</f>
        <v/>
      </c>
      <c r="E4929" s="25" t="inlineStr">
        <is>
          <t>ns</t>
        </is>
      </c>
      <c r="F4929" s="25" t="n">
        <v>134503</v>
      </c>
      <c r="G4929" s="25" t="n">
        <v>4</v>
      </c>
      <c r="H4929" s="25" t="n">
        <v>20</v>
      </c>
      <c r="I4929" s="25" t="inlineStr">
        <is>
          <t>1 minute(s) and 58 second(s)</t>
        </is>
      </c>
      <c r="J4929" s="25">
        <f>IFERROR(VALUE(TRIM(LEFT(I4929,FIND("minute",I4929)-1)))*60,0)+IFERROR(VALUE(SUBSTITUTE(MID(I4929,IFERROR(FIND("and",I4929)+3,1),20),"second(s)","")),0)</f>
        <v/>
      </c>
      <c r="K4929" s="41">
        <f>J4929/60</f>
        <v/>
      </c>
      <c r="L4929" s="41">
        <f>IFERROR(J4929/H4929,"")</f>
        <v/>
      </c>
      <c r="M4929" s="25" t="inlineStr">
        <is>
          <t>2.5.12</t>
        </is>
      </c>
      <c r="N4929" s="25">
        <f>IF(J4929&gt;300,1,0)</f>
        <v/>
      </c>
      <c r="O4929" s="25">
        <f>IF(J4929&gt;600,1,0)</f>
        <v/>
      </c>
      <c r="P4929" s="25">
        <f>IF(H4929&gt;0,J4929,"")</f>
        <v/>
      </c>
      <c r="Q4929" s="25">
        <f>TEXT(A4929,"YYYY-MM-DD HH")</f>
        <v/>
      </c>
      <c r="R4929" s="25">
        <f>COUNTIF($Q$2:$Q$5295,Q4929)</f>
        <v/>
      </c>
      <c r="S4929" s="25">
        <f>IF(R4929&lt;=2,"1-2",IF(R4929&lt;=5,"3-5",IF(R4929&lt;=10,"6-10","11+")))</f>
        <v/>
      </c>
    </row>
    <row r="4930">
      <c r="A4930" s="39" t="n">
        <v>46230.22372685185</v>
      </c>
      <c r="B4930" s="25">
        <f>TEXT(A4930,"YYYY-MM")</f>
        <v/>
      </c>
      <c r="C4930" s="25">
        <f>TEXT(A4930,"MMM-YYYY")</f>
        <v/>
      </c>
      <c r="D4930" s="40">
        <f>INT(A4930)-WEEKDAY(A4930,2)+1</f>
        <v/>
      </c>
      <c r="E4930" s="25" t="inlineStr">
        <is>
          <t>mkulkarni</t>
        </is>
      </c>
      <c r="F4930" s="25" t="n">
        <v>138083</v>
      </c>
      <c r="G4930" s="25" t="n">
        <v>4</v>
      </c>
      <c r="H4930" s="25" t="n">
        <v>26</v>
      </c>
      <c r="I4930" s="25" t="inlineStr">
        <is>
          <t>1 minute(s) and 55 second(s)</t>
        </is>
      </c>
      <c r="J4930" s="25">
        <f>IFERROR(VALUE(TRIM(LEFT(I4930,FIND("minute",I4930)-1)))*60,0)+IFERROR(VALUE(SUBSTITUTE(MID(I4930,IFERROR(FIND("and",I4930)+3,1),20),"second(s)","")),0)</f>
        <v/>
      </c>
      <c r="K4930" s="41">
        <f>J4930/60</f>
        <v/>
      </c>
      <c r="L4930" s="41">
        <f>IFERROR(J4930/H4930,"")</f>
        <v/>
      </c>
      <c r="M4930" s="25" t="inlineStr">
        <is>
          <t>2.5.12</t>
        </is>
      </c>
      <c r="N4930" s="25">
        <f>IF(J4930&gt;300,1,0)</f>
        <v/>
      </c>
      <c r="O4930" s="25">
        <f>IF(J4930&gt;600,1,0)</f>
        <v/>
      </c>
      <c r="P4930" s="25">
        <f>IF(H4930&gt;0,J4930,"")</f>
        <v/>
      </c>
      <c r="Q4930" s="25">
        <f>TEXT(A4930,"YYYY-MM-DD HH")</f>
        <v/>
      </c>
      <c r="R4930" s="25">
        <f>COUNTIF($Q$2:$Q$5295,Q4930)</f>
        <v/>
      </c>
      <c r="S4930" s="25">
        <f>IF(R4930&lt;=2,"1-2",IF(R4930&lt;=5,"3-5",IF(R4930&lt;=10,"6-10","11+")))</f>
        <v/>
      </c>
    </row>
    <row r="4931">
      <c r="A4931" s="39" t="n">
        <v>46230.22384259259</v>
      </c>
      <c r="B4931" s="25">
        <f>TEXT(A4931,"YYYY-MM")</f>
        <v/>
      </c>
      <c r="C4931" s="25">
        <f>TEXT(A4931,"MMM-YYYY")</f>
        <v/>
      </c>
      <c r="D4931" s="40">
        <f>INT(A4931)-WEEKDAY(A4931,2)+1</f>
        <v/>
      </c>
      <c r="E4931" s="25" t="inlineStr">
        <is>
          <t>pgautam</t>
        </is>
      </c>
      <c r="F4931" s="25" t="n">
        <v>132246</v>
      </c>
      <c r="G4931" s="25" t="n">
        <v>2</v>
      </c>
      <c r="H4931" s="25" t="n">
        <v>8</v>
      </c>
      <c r="I4931" s="25" t="inlineStr">
        <is>
          <t>54 second(s)</t>
        </is>
      </c>
      <c r="J4931" s="25">
        <f>IFERROR(VALUE(TRIM(LEFT(I4931,FIND("minute",I4931)-1)))*60,0)+IFERROR(VALUE(SUBSTITUTE(MID(I4931,IFERROR(FIND("and",I4931)+3,1),20),"second(s)","")),0)</f>
        <v/>
      </c>
      <c r="K4931" s="41">
        <f>J4931/60</f>
        <v/>
      </c>
      <c r="L4931" s="41">
        <f>IFERROR(J4931/H4931,"")</f>
        <v/>
      </c>
      <c r="M4931" s="25" t="inlineStr">
        <is>
          <t>2.5.12</t>
        </is>
      </c>
      <c r="N4931" s="25">
        <f>IF(J4931&gt;300,1,0)</f>
        <v/>
      </c>
      <c r="O4931" s="25">
        <f>IF(J4931&gt;600,1,0)</f>
        <v/>
      </c>
      <c r="P4931" s="25">
        <f>IF(H4931&gt;0,J4931,"")</f>
        <v/>
      </c>
      <c r="Q4931" s="25">
        <f>TEXT(A4931,"YYYY-MM-DD HH")</f>
        <v/>
      </c>
      <c r="R4931" s="25">
        <f>COUNTIF($Q$2:$Q$5295,Q4931)</f>
        <v/>
      </c>
      <c r="S4931" s="25">
        <f>IF(R4931&lt;=2,"1-2",IF(R4931&lt;=5,"3-5",IF(R4931&lt;=10,"6-10","11+")))</f>
        <v/>
      </c>
    </row>
    <row r="4932">
      <c r="A4932" s="39" t="n">
        <v>46230.22924768519</v>
      </c>
      <c r="B4932" s="25">
        <f>TEXT(A4932,"YYYY-MM")</f>
        <v/>
      </c>
      <c r="C4932" s="25">
        <f>TEXT(A4932,"MMM-YYYY")</f>
        <v/>
      </c>
      <c r="D4932" s="40">
        <f>INT(A4932)-WEEKDAY(A4932,2)+1</f>
        <v/>
      </c>
      <c r="E4932" s="25" t="inlineStr">
        <is>
          <t>atiwari</t>
        </is>
      </c>
      <c r="F4932" s="25" t="n">
        <v>130194</v>
      </c>
      <c r="G4932" s="25" t="n">
        <v>4</v>
      </c>
      <c r="H4932" s="25" t="n">
        <v>26</v>
      </c>
      <c r="I4932" s="25" t="inlineStr">
        <is>
          <t>4 minute(s) and 24 second(s)</t>
        </is>
      </c>
      <c r="J4932" s="25">
        <f>IFERROR(VALUE(TRIM(LEFT(I4932,FIND("minute",I4932)-1)))*60,0)+IFERROR(VALUE(SUBSTITUTE(MID(I4932,IFERROR(FIND("and",I4932)+3,1),20),"second(s)","")),0)</f>
        <v/>
      </c>
      <c r="K4932" s="41">
        <f>J4932/60</f>
        <v/>
      </c>
      <c r="L4932" s="41">
        <f>IFERROR(J4932/H4932,"")</f>
        <v/>
      </c>
      <c r="M4932" s="25" t="inlineStr">
        <is>
          <t>2.5.12</t>
        </is>
      </c>
      <c r="N4932" s="25">
        <f>IF(J4932&gt;300,1,0)</f>
        <v/>
      </c>
      <c r="O4932" s="25">
        <f>IF(J4932&gt;600,1,0)</f>
        <v/>
      </c>
      <c r="P4932" s="25">
        <f>IF(H4932&gt;0,J4932,"")</f>
        <v/>
      </c>
      <c r="Q4932" s="25">
        <f>TEXT(A4932,"YYYY-MM-DD HH")</f>
        <v/>
      </c>
      <c r="R4932" s="25">
        <f>COUNTIF($Q$2:$Q$5295,Q4932)</f>
        <v/>
      </c>
      <c r="S4932" s="25">
        <f>IF(R4932&lt;=2,"1-2",IF(R4932&lt;=5,"3-5",IF(R4932&lt;=10,"6-10","11+")))</f>
        <v/>
      </c>
    </row>
    <row r="4933">
      <c r="A4933" s="39" t="n">
        <v>46230.2349537037</v>
      </c>
      <c r="B4933" s="25">
        <f>TEXT(A4933,"YYYY-MM")</f>
        <v/>
      </c>
      <c r="C4933" s="25">
        <f>TEXT(A4933,"MMM-YYYY")</f>
        <v/>
      </c>
      <c r="D4933" s="40">
        <f>INT(A4933)-WEEKDAY(A4933,2)+1</f>
        <v/>
      </c>
      <c r="E4933" s="25" t="inlineStr">
        <is>
          <t>smukhopadhyay</t>
        </is>
      </c>
      <c r="F4933" s="25" t="n">
        <v>130885</v>
      </c>
      <c r="G4933" s="25" t="n">
        <v>4</v>
      </c>
      <c r="H4933" s="25" t="n">
        <v>28</v>
      </c>
      <c r="I4933" s="25" t="inlineStr">
        <is>
          <t>2 minute(s) and 38 second(s)</t>
        </is>
      </c>
      <c r="J4933" s="25">
        <f>IFERROR(VALUE(TRIM(LEFT(I4933,FIND("minute",I4933)-1)))*60,0)+IFERROR(VALUE(SUBSTITUTE(MID(I4933,IFERROR(FIND("and",I4933)+3,1),20),"second(s)","")),0)</f>
        <v/>
      </c>
      <c r="K4933" s="41">
        <f>J4933/60</f>
        <v/>
      </c>
      <c r="L4933" s="41">
        <f>IFERROR(J4933/H4933,"")</f>
        <v/>
      </c>
      <c r="M4933" s="25" t="inlineStr">
        <is>
          <t>2.5.12</t>
        </is>
      </c>
      <c r="N4933" s="25">
        <f>IF(J4933&gt;300,1,0)</f>
        <v/>
      </c>
      <c r="O4933" s="25">
        <f>IF(J4933&gt;600,1,0)</f>
        <v/>
      </c>
      <c r="P4933" s="25">
        <f>IF(H4933&gt;0,J4933,"")</f>
        <v/>
      </c>
      <c r="Q4933" s="25">
        <f>TEXT(A4933,"YYYY-MM-DD HH")</f>
        <v/>
      </c>
      <c r="R4933" s="25">
        <f>COUNTIF($Q$2:$Q$5295,Q4933)</f>
        <v/>
      </c>
      <c r="S4933" s="25">
        <f>IF(R4933&lt;=2,"1-2",IF(R4933&lt;=5,"3-5",IF(R4933&lt;=10,"6-10","11+")))</f>
        <v/>
      </c>
    </row>
    <row r="4934">
      <c r="A4934" s="39" t="n">
        <v>46230.23690972223</v>
      </c>
      <c r="B4934" s="25">
        <f>TEXT(A4934,"YYYY-MM")</f>
        <v/>
      </c>
      <c r="C4934" s="25">
        <f>TEXT(A4934,"MMM-YYYY")</f>
        <v/>
      </c>
      <c r="D4934" s="40">
        <f>INT(A4934)-WEEKDAY(A4934,2)+1</f>
        <v/>
      </c>
      <c r="E4934" s="25" t="inlineStr">
        <is>
          <t>dchoudhury</t>
        </is>
      </c>
      <c r="F4934" s="25" t="n">
        <v>135762</v>
      </c>
      <c r="G4934" s="25" t="n">
        <v>4</v>
      </c>
      <c r="H4934" s="25" t="n">
        <v>24</v>
      </c>
      <c r="I4934" s="25" t="inlineStr">
        <is>
          <t>2 minute(s) and 7 second(s)</t>
        </is>
      </c>
      <c r="J4934" s="25">
        <f>IFERROR(VALUE(TRIM(LEFT(I4934,FIND("minute",I4934)-1)))*60,0)+IFERROR(VALUE(SUBSTITUTE(MID(I4934,IFERROR(FIND("and",I4934)+3,1),20),"second(s)","")),0)</f>
        <v/>
      </c>
      <c r="K4934" s="41">
        <f>J4934/60</f>
        <v/>
      </c>
      <c r="L4934" s="41">
        <f>IFERROR(J4934/H4934,"")</f>
        <v/>
      </c>
      <c r="M4934" s="25" t="inlineStr">
        <is>
          <t>2.5.12</t>
        </is>
      </c>
      <c r="N4934" s="25">
        <f>IF(J4934&gt;300,1,0)</f>
        <v/>
      </c>
      <c r="O4934" s="25">
        <f>IF(J4934&gt;600,1,0)</f>
        <v/>
      </c>
      <c r="P4934" s="25">
        <f>IF(H4934&gt;0,J4934,"")</f>
        <v/>
      </c>
      <c r="Q4934" s="25">
        <f>TEXT(A4934,"YYYY-MM-DD HH")</f>
        <v/>
      </c>
      <c r="R4934" s="25">
        <f>COUNTIF($Q$2:$Q$5295,Q4934)</f>
        <v/>
      </c>
      <c r="S4934" s="25">
        <f>IF(R4934&lt;=2,"1-2",IF(R4934&lt;=5,"3-5",IF(R4934&lt;=10,"6-10","11+")))</f>
        <v/>
      </c>
    </row>
    <row r="4935">
      <c r="A4935" s="39" t="n">
        <v>46230.23709490741</v>
      </c>
      <c r="B4935" s="25">
        <f>TEXT(A4935,"YYYY-MM")</f>
        <v/>
      </c>
      <c r="C4935" s="25">
        <f>TEXT(A4935,"MMM-YYYY")</f>
        <v/>
      </c>
      <c r="D4935" s="40">
        <f>INT(A4935)-WEEKDAY(A4935,2)+1</f>
        <v/>
      </c>
      <c r="E4935" s="25" t="inlineStr">
        <is>
          <t>mbhalla</t>
        </is>
      </c>
      <c r="F4935" s="25" t="n">
        <v>135634</v>
      </c>
      <c r="G4935" s="25" t="n">
        <v>4</v>
      </c>
      <c r="H4935" s="25" t="n">
        <v>20</v>
      </c>
      <c r="I4935" s="25" t="inlineStr">
        <is>
          <t>1 minute(s) and 52 second(s)</t>
        </is>
      </c>
      <c r="J4935" s="25">
        <f>IFERROR(VALUE(TRIM(LEFT(I4935,FIND("minute",I4935)-1)))*60,0)+IFERROR(VALUE(SUBSTITUTE(MID(I4935,IFERROR(FIND("and",I4935)+3,1),20),"second(s)","")),0)</f>
        <v/>
      </c>
      <c r="K4935" s="41">
        <f>J4935/60</f>
        <v/>
      </c>
      <c r="L4935" s="41">
        <f>IFERROR(J4935/H4935,"")</f>
        <v/>
      </c>
      <c r="M4935" s="25" t="inlineStr">
        <is>
          <t>2.5.12</t>
        </is>
      </c>
      <c r="N4935" s="25">
        <f>IF(J4935&gt;300,1,0)</f>
        <v/>
      </c>
      <c r="O4935" s="25">
        <f>IF(J4935&gt;600,1,0)</f>
        <v/>
      </c>
      <c r="P4935" s="25">
        <f>IF(H4935&gt;0,J4935,"")</f>
        <v/>
      </c>
      <c r="Q4935" s="25">
        <f>TEXT(A4935,"YYYY-MM-DD HH")</f>
        <v/>
      </c>
      <c r="R4935" s="25">
        <f>COUNTIF($Q$2:$Q$5295,Q4935)</f>
        <v/>
      </c>
      <c r="S4935" s="25">
        <f>IF(R4935&lt;=2,"1-2",IF(R4935&lt;=5,"3-5",IF(R4935&lt;=10,"6-10","11+")))</f>
        <v/>
      </c>
    </row>
    <row r="4936">
      <c r="A4936" s="39" t="n">
        <v>46230.37724537037</v>
      </c>
      <c r="B4936" s="25">
        <f>TEXT(A4936,"YYYY-MM")</f>
        <v/>
      </c>
      <c r="C4936" s="25">
        <f>TEXT(A4936,"MMM-YYYY")</f>
        <v/>
      </c>
      <c r="D4936" s="40">
        <f>INT(A4936)-WEEKDAY(A4936,2)+1</f>
        <v/>
      </c>
      <c r="E4936" s="25" t="inlineStr">
        <is>
          <t>ssaha</t>
        </is>
      </c>
      <c r="F4936" s="25" t="inlineStr">
        <is>
          <t>test</t>
        </is>
      </c>
      <c r="G4936" s="25" t="n">
        <v>1</v>
      </c>
      <c r="H4936" s="25" t="n">
        <v>3</v>
      </c>
      <c r="I4936" s="25" t="inlineStr">
        <is>
          <t>39 second(s)</t>
        </is>
      </c>
      <c r="J4936" s="25">
        <f>IFERROR(VALUE(TRIM(LEFT(I4936,FIND("minute",I4936)-1)))*60,0)+IFERROR(VALUE(SUBSTITUTE(MID(I4936,IFERROR(FIND("and",I4936)+3,1),20),"second(s)","")),0)</f>
        <v/>
      </c>
      <c r="K4936" s="41">
        <f>J4936/60</f>
        <v/>
      </c>
      <c r="L4936" s="41">
        <f>IFERROR(J4936/H4936,"")</f>
        <v/>
      </c>
      <c r="M4936" s="25" t="inlineStr">
        <is>
          <t>2.6.0</t>
        </is>
      </c>
      <c r="N4936" s="25">
        <f>IF(J4936&gt;300,1,0)</f>
        <v/>
      </c>
      <c r="O4936" s="25">
        <f>IF(J4936&gt;600,1,0)</f>
        <v/>
      </c>
      <c r="P4936" s="25">
        <f>IF(H4936&gt;0,J4936,"")</f>
        <v/>
      </c>
      <c r="Q4936" s="25">
        <f>TEXT(A4936,"YYYY-MM-DD HH")</f>
        <v/>
      </c>
      <c r="R4936" s="25">
        <f>COUNTIF($Q$2:$Q$5295,Q4936)</f>
        <v/>
      </c>
      <c r="S4936" s="25">
        <f>IF(R4936&lt;=2,"1-2",IF(R4936&lt;=5,"3-5",IF(R4936&lt;=10,"6-10","11+")))</f>
        <v/>
      </c>
    </row>
    <row r="4937">
      <c r="A4937" s="39" t="n">
        <v>46230.40996527778</v>
      </c>
      <c r="B4937" s="25">
        <f>TEXT(A4937,"YYYY-MM")</f>
        <v/>
      </c>
      <c r="C4937" s="25">
        <f>TEXT(A4937,"MMM-YYYY")</f>
        <v/>
      </c>
      <c r="D4937" s="40">
        <f>INT(A4937)-WEEKDAY(A4937,2)+1</f>
        <v/>
      </c>
      <c r="E4937" s="25" t="inlineStr">
        <is>
          <t>ssaha</t>
        </is>
      </c>
      <c r="F4937" s="25" t="inlineStr">
        <is>
          <t>test</t>
        </is>
      </c>
      <c r="G4937" s="25" t="n">
        <v>2</v>
      </c>
      <c r="H4937" s="25" t="n">
        <v>8</v>
      </c>
      <c r="I4937" s="25" t="inlineStr">
        <is>
          <t>16 minute(s) and 41 second(s)</t>
        </is>
      </c>
      <c r="J4937" s="25">
        <f>IFERROR(VALUE(TRIM(LEFT(I4937,FIND("minute",I4937)-1)))*60,0)+IFERROR(VALUE(SUBSTITUTE(MID(I4937,IFERROR(FIND("and",I4937)+3,1),20),"second(s)","")),0)</f>
        <v/>
      </c>
      <c r="K4937" s="41">
        <f>J4937/60</f>
        <v/>
      </c>
      <c r="L4937" s="41">
        <f>IFERROR(J4937/H4937,"")</f>
        <v/>
      </c>
      <c r="M4937" s="25" t="inlineStr">
        <is>
          <t>2.6.0</t>
        </is>
      </c>
      <c r="N4937" s="25">
        <f>IF(J4937&gt;300,1,0)</f>
        <v/>
      </c>
      <c r="O4937" s="25">
        <f>IF(J4937&gt;600,1,0)</f>
        <v/>
      </c>
      <c r="P4937" s="25">
        <f>IF(H4937&gt;0,J4937,"")</f>
        <v/>
      </c>
      <c r="Q4937" s="25">
        <f>TEXT(A4937,"YYYY-MM-DD HH")</f>
        <v/>
      </c>
      <c r="R4937" s="25">
        <f>COUNTIF($Q$2:$Q$5295,Q4937)</f>
        <v/>
      </c>
      <c r="S4937" s="25">
        <f>IF(R4937&lt;=2,"1-2",IF(R4937&lt;=5,"3-5",IF(R4937&lt;=10,"6-10","11+")))</f>
        <v/>
      </c>
    </row>
    <row r="4938">
      <c r="A4938" s="39" t="n">
        <v>46230.64957175926</v>
      </c>
      <c r="B4938" s="25">
        <f>TEXT(A4938,"YYYY-MM")</f>
        <v/>
      </c>
      <c r="C4938" s="25">
        <f>TEXT(A4938,"MMM-YYYY")</f>
        <v/>
      </c>
      <c r="D4938" s="40">
        <f>INT(A4938)-WEEKDAY(A4938,2)+1</f>
        <v/>
      </c>
      <c r="E4938" s="25" t="inlineStr">
        <is>
          <t>ssaha</t>
        </is>
      </c>
      <c r="F4938" s="25" t="n">
        <v>136577</v>
      </c>
      <c r="G4938" s="25" t="n">
        <v>2</v>
      </c>
      <c r="H4938" s="25" t="n">
        <v>6</v>
      </c>
      <c r="I4938" s="25" t="inlineStr">
        <is>
          <t>35 second(s)</t>
        </is>
      </c>
      <c r="J4938" s="25">
        <f>IFERROR(VALUE(TRIM(LEFT(I4938,FIND("minute",I4938)-1)))*60,0)+IFERROR(VALUE(SUBSTITUTE(MID(I4938,IFERROR(FIND("and",I4938)+3,1),20),"second(s)","")),0)</f>
        <v/>
      </c>
      <c r="K4938" s="41">
        <f>J4938/60</f>
        <v/>
      </c>
      <c r="L4938" s="41">
        <f>IFERROR(J4938/H4938,"")</f>
        <v/>
      </c>
      <c r="M4938" s="25" t="inlineStr">
        <is>
          <t>2.6.0</t>
        </is>
      </c>
      <c r="N4938" s="25">
        <f>IF(J4938&gt;300,1,0)</f>
        <v/>
      </c>
      <c r="O4938" s="25">
        <f>IF(J4938&gt;600,1,0)</f>
        <v/>
      </c>
      <c r="P4938" s="25">
        <f>IF(H4938&gt;0,J4938,"")</f>
        <v/>
      </c>
      <c r="Q4938" s="25">
        <f>TEXT(A4938,"YYYY-MM-DD HH")</f>
        <v/>
      </c>
      <c r="R4938" s="25">
        <f>COUNTIF($Q$2:$Q$5295,Q4938)</f>
        <v/>
      </c>
      <c r="S4938" s="25">
        <f>IF(R4938&lt;=2,"1-2",IF(R4938&lt;=5,"3-5",IF(R4938&lt;=10,"6-10","11+")))</f>
        <v/>
      </c>
    </row>
    <row r="4939">
      <c r="A4939" s="39" t="n">
        <v>46230.72736111111</v>
      </c>
      <c r="B4939" s="25">
        <f>TEXT(A4939,"YYYY-MM")</f>
        <v/>
      </c>
      <c r="C4939" s="25">
        <f>TEXT(A4939,"MMM-YYYY")</f>
        <v/>
      </c>
      <c r="D4939" s="40">
        <f>INT(A4939)-WEEKDAY(A4939,2)+1</f>
        <v/>
      </c>
      <c r="E4939" s="25" t="inlineStr">
        <is>
          <t>ssaha</t>
        </is>
      </c>
      <c r="F4939" s="25" t="n">
        <v>136393</v>
      </c>
      <c r="G4939" s="25" t="n">
        <v>2</v>
      </c>
      <c r="H4939" s="25" t="n">
        <v>6</v>
      </c>
      <c r="I4939" s="25" t="inlineStr">
        <is>
          <t>5 minute(s) and 28 second(s)</t>
        </is>
      </c>
      <c r="J4939" s="25">
        <f>IFERROR(VALUE(TRIM(LEFT(I4939,FIND("minute",I4939)-1)))*60,0)+IFERROR(VALUE(SUBSTITUTE(MID(I4939,IFERROR(FIND("and",I4939)+3,1),20),"second(s)","")),0)</f>
        <v/>
      </c>
      <c r="K4939" s="41">
        <f>J4939/60</f>
        <v/>
      </c>
      <c r="L4939" s="41">
        <f>IFERROR(J4939/H4939,"")</f>
        <v/>
      </c>
      <c r="M4939" s="25" t="inlineStr">
        <is>
          <t>2.6.0</t>
        </is>
      </c>
      <c r="N4939" s="25">
        <f>IF(J4939&gt;300,1,0)</f>
        <v/>
      </c>
      <c r="O4939" s="25">
        <f>IF(J4939&gt;600,1,0)</f>
        <v/>
      </c>
      <c r="P4939" s="25">
        <f>IF(H4939&gt;0,J4939,"")</f>
        <v/>
      </c>
      <c r="Q4939" s="25">
        <f>TEXT(A4939,"YYYY-MM-DD HH")</f>
        <v/>
      </c>
      <c r="R4939" s="25">
        <f>COUNTIF($Q$2:$Q$5295,Q4939)</f>
        <v/>
      </c>
      <c r="S4939" s="25">
        <f>IF(R4939&lt;=2,"1-2",IF(R4939&lt;=5,"3-5",IF(R4939&lt;=10,"6-10","11+")))</f>
        <v/>
      </c>
    </row>
    <row r="4940">
      <c r="A4940" s="39" t="n">
        <v>46230.73886574074</v>
      </c>
      <c r="B4940" s="25">
        <f>TEXT(A4940,"YYYY-MM")</f>
        <v/>
      </c>
      <c r="C4940" s="25">
        <f>TEXT(A4940,"MMM-YYYY")</f>
        <v/>
      </c>
      <c r="D4940" s="40">
        <f>INT(A4940)-WEEKDAY(A4940,2)+1</f>
        <v/>
      </c>
      <c r="E4940" s="25" t="inlineStr">
        <is>
          <t>ssaha</t>
        </is>
      </c>
      <c r="F4940" s="25" t="n">
        <v>136393</v>
      </c>
      <c r="G4940" s="25" t="n">
        <v>2</v>
      </c>
      <c r="H4940" s="25" t="n">
        <v>6</v>
      </c>
      <c r="I4940" s="25" t="inlineStr">
        <is>
          <t>33 second(s)</t>
        </is>
      </c>
      <c r="J4940" s="25">
        <f>IFERROR(VALUE(TRIM(LEFT(I4940,FIND("minute",I4940)-1)))*60,0)+IFERROR(VALUE(SUBSTITUTE(MID(I4940,IFERROR(FIND("and",I4940)+3,1),20),"second(s)","")),0)</f>
        <v/>
      </c>
      <c r="K4940" s="41">
        <f>J4940/60</f>
        <v/>
      </c>
      <c r="L4940" s="41">
        <f>IFERROR(J4940/H4940,"")</f>
        <v/>
      </c>
      <c r="M4940" s="25" t="inlineStr">
        <is>
          <t>2.6.0</t>
        </is>
      </c>
      <c r="N4940" s="25">
        <f>IF(J4940&gt;300,1,0)</f>
        <v/>
      </c>
      <c r="O4940" s="25">
        <f>IF(J4940&gt;600,1,0)</f>
        <v/>
      </c>
      <c r="P4940" s="25">
        <f>IF(H4940&gt;0,J4940,"")</f>
        <v/>
      </c>
      <c r="Q4940" s="25">
        <f>TEXT(A4940,"YYYY-MM-DD HH")</f>
        <v/>
      </c>
      <c r="R4940" s="25">
        <f>COUNTIF($Q$2:$Q$5295,Q4940)</f>
        <v/>
      </c>
      <c r="S4940" s="25">
        <f>IF(R4940&lt;=2,"1-2",IF(R4940&lt;=5,"3-5",IF(R4940&lt;=10,"6-10","11+")))</f>
        <v/>
      </c>
    </row>
    <row r="4941">
      <c r="A4941" s="39" t="n">
        <v>46230.76418981481</v>
      </c>
      <c r="B4941" s="25">
        <f>TEXT(A4941,"YYYY-MM")</f>
        <v/>
      </c>
      <c r="C4941" s="25">
        <f>TEXT(A4941,"MMM-YYYY")</f>
        <v/>
      </c>
      <c r="D4941" s="40">
        <f>INT(A4941)-WEEKDAY(A4941,2)+1</f>
        <v/>
      </c>
      <c r="E4941" s="25" t="inlineStr">
        <is>
          <t>ssaha</t>
        </is>
      </c>
      <c r="F4941" s="25" t="n">
        <v>136393</v>
      </c>
      <c r="G4941" s="25" t="n">
        <v>2</v>
      </c>
      <c r="H4941" s="25" t="n">
        <v>6</v>
      </c>
      <c r="I4941" s="25" t="inlineStr">
        <is>
          <t>1 minute(s) and 6 second(s)</t>
        </is>
      </c>
      <c r="J4941" s="25">
        <f>IFERROR(VALUE(TRIM(LEFT(I4941,FIND("minute",I4941)-1)))*60,0)+IFERROR(VALUE(SUBSTITUTE(MID(I4941,IFERROR(FIND("and",I4941)+3,1),20),"second(s)","")),0)</f>
        <v/>
      </c>
      <c r="K4941" s="41">
        <f>J4941/60</f>
        <v/>
      </c>
      <c r="L4941" s="41">
        <f>IFERROR(J4941/H4941,"")</f>
        <v/>
      </c>
      <c r="M4941" s="25" t="n">
        <v>3.4</v>
      </c>
      <c r="N4941" s="25">
        <f>IF(J4941&gt;300,1,0)</f>
        <v/>
      </c>
      <c r="O4941" s="25">
        <f>IF(J4941&gt;600,1,0)</f>
        <v/>
      </c>
      <c r="P4941" s="25">
        <f>IF(H4941&gt;0,J4941,"")</f>
        <v/>
      </c>
      <c r="Q4941" s="25">
        <f>TEXT(A4941,"YYYY-MM-DD HH")</f>
        <v/>
      </c>
      <c r="R4941" s="25">
        <f>COUNTIF($Q$2:$Q$5295,Q4941)</f>
        <v/>
      </c>
      <c r="S4941" s="25">
        <f>IF(R4941&lt;=2,"1-2",IF(R4941&lt;=5,"3-5",IF(R4941&lt;=10,"6-10","11+")))</f>
        <v/>
      </c>
    </row>
    <row r="4942">
      <c r="A4942" s="39" t="n">
        <v>46230.76851851852</v>
      </c>
      <c r="B4942" s="25">
        <f>TEXT(A4942,"YYYY-MM")</f>
        <v/>
      </c>
      <c r="C4942" s="25">
        <f>TEXT(A4942,"MMM-YYYY")</f>
        <v/>
      </c>
      <c r="D4942" s="40">
        <f>INT(A4942)-WEEKDAY(A4942,2)+1</f>
        <v/>
      </c>
      <c r="E4942" s="25" t="inlineStr">
        <is>
          <t>ssaha</t>
        </is>
      </c>
      <c r="F4942" s="25" t="n">
        <v>136393</v>
      </c>
      <c r="G4942" s="25" t="n">
        <v>2</v>
      </c>
      <c r="H4942" s="25" t="n">
        <v>6</v>
      </c>
      <c r="I4942" s="25" t="inlineStr">
        <is>
          <t>1 minute(s) and 3 second(s)</t>
        </is>
      </c>
      <c r="J4942" s="25">
        <f>IFERROR(VALUE(TRIM(LEFT(I4942,FIND("minute",I4942)-1)))*60,0)+IFERROR(VALUE(SUBSTITUTE(MID(I4942,IFERROR(FIND("and",I4942)+3,1),20),"second(s)","")),0)</f>
        <v/>
      </c>
      <c r="K4942" s="41">
        <f>J4942/60</f>
        <v/>
      </c>
      <c r="L4942" s="41">
        <f>IFERROR(J4942/H4942,"")</f>
        <v/>
      </c>
      <c r="M4942" s="25" t="n">
        <v>3.4</v>
      </c>
      <c r="N4942" s="25">
        <f>IF(J4942&gt;300,1,0)</f>
        <v/>
      </c>
      <c r="O4942" s="25">
        <f>IF(J4942&gt;600,1,0)</f>
        <v/>
      </c>
      <c r="P4942" s="25">
        <f>IF(H4942&gt;0,J4942,"")</f>
        <v/>
      </c>
      <c r="Q4942" s="25">
        <f>TEXT(A4942,"YYYY-MM-DD HH")</f>
        <v/>
      </c>
      <c r="R4942" s="25">
        <f>COUNTIF($Q$2:$Q$5295,Q4942)</f>
        <v/>
      </c>
      <c r="S4942" s="25">
        <f>IF(R4942&lt;=2,"1-2",IF(R4942&lt;=5,"3-5",IF(R4942&lt;=10,"6-10","11+")))</f>
        <v/>
      </c>
    </row>
    <row r="4943">
      <c r="A4943" s="39" t="n">
        <v>46231.65883101852</v>
      </c>
      <c r="B4943" s="25">
        <f>TEXT(A4943,"YYYY-MM")</f>
        <v/>
      </c>
      <c r="C4943" s="25">
        <f>TEXT(A4943,"MMM-YYYY")</f>
        <v/>
      </c>
      <c r="D4943" s="40">
        <f>INT(A4943)-WEEKDAY(A4943,2)+1</f>
        <v/>
      </c>
      <c r="E4943" s="25" t="inlineStr">
        <is>
          <t>ssaha</t>
        </is>
      </c>
      <c r="F4943" s="25" t="n">
        <v>129098</v>
      </c>
      <c r="G4943" s="25" t="n">
        <v>2</v>
      </c>
      <c r="H4943" s="25" t="n">
        <v>6</v>
      </c>
      <c r="I4943" s="25" t="inlineStr">
        <is>
          <t>1 minute(s) and 4 second(s)</t>
        </is>
      </c>
      <c r="J4943" s="25">
        <f>IFERROR(VALUE(TRIM(LEFT(I4943,FIND("minute",I4943)-1)))*60,0)+IFERROR(VALUE(SUBSTITUTE(MID(I4943,IFERROR(FIND("and",I4943)+3,1),20),"second(s)","")),0)</f>
        <v/>
      </c>
      <c r="K4943" s="41">
        <f>J4943/60</f>
        <v/>
      </c>
      <c r="L4943" s="41">
        <f>IFERROR(J4943/H4943,"")</f>
        <v/>
      </c>
      <c r="M4943" s="25" t="n">
        <v>3.4</v>
      </c>
      <c r="N4943" s="25">
        <f>IF(J4943&gt;300,1,0)</f>
        <v/>
      </c>
      <c r="O4943" s="25">
        <f>IF(J4943&gt;600,1,0)</f>
        <v/>
      </c>
      <c r="P4943" s="25">
        <f>IF(H4943&gt;0,J4943,"")</f>
        <v/>
      </c>
      <c r="Q4943" s="25">
        <f>TEXT(A4943,"YYYY-MM-DD HH")</f>
        <v/>
      </c>
      <c r="R4943" s="25">
        <f>COUNTIF($Q$2:$Q$5295,Q4943)</f>
        <v/>
      </c>
      <c r="S4943" s="25">
        <f>IF(R4943&lt;=2,"1-2",IF(R4943&lt;=5,"3-5",IF(R4943&lt;=10,"6-10","11+")))</f>
        <v/>
      </c>
    </row>
    <row r="4944">
      <c r="A4944" s="39" t="n">
        <v>46231.66607638889</v>
      </c>
      <c r="B4944" s="25">
        <f>TEXT(A4944,"YYYY-MM")</f>
        <v/>
      </c>
      <c r="C4944" s="25">
        <f>TEXT(A4944,"MMM-YYYY")</f>
        <v/>
      </c>
      <c r="D4944" s="40">
        <f>INT(A4944)-WEEKDAY(A4944,2)+1</f>
        <v/>
      </c>
      <c r="E4944" s="25" t="inlineStr">
        <is>
          <t>ssaha</t>
        </is>
      </c>
      <c r="F4944" s="25" t="n">
        <v>129098</v>
      </c>
      <c r="G4944" s="25" t="n">
        <v>4</v>
      </c>
      <c r="H4944" s="25" t="n">
        <v>16</v>
      </c>
      <c r="I4944" s="25" t="inlineStr">
        <is>
          <t>1 minute(s) and 52 second(s)</t>
        </is>
      </c>
      <c r="J4944" s="25">
        <f>IFERROR(VALUE(TRIM(LEFT(I4944,FIND("minute",I4944)-1)))*60,0)+IFERROR(VALUE(SUBSTITUTE(MID(I4944,IFERROR(FIND("and",I4944)+3,1),20),"second(s)","")),0)</f>
        <v/>
      </c>
      <c r="K4944" s="41">
        <f>J4944/60</f>
        <v/>
      </c>
      <c r="L4944" s="41">
        <f>IFERROR(J4944/H4944,"")</f>
        <v/>
      </c>
      <c r="M4944" s="25" t="n">
        <v>3.4</v>
      </c>
      <c r="N4944" s="25">
        <f>IF(J4944&gt;300,1,0)</f>
        <v/>
      </c>
      <c r="O4944" s="25">
        <f>IF(J4944&gt;600,1,0)</f>
        <v/>
      </c>
      <c r="P4944" s="25">
        <f>IF(H4944&gt;0,J4944,"")</f>
        <v/>
      </c>
      <c r="Q4944" s="25">
        <f>TEXT(A4944,"YYYY-MM-DD HH")</f>
        <v/>
      </c>
      <c r="R4944" s="25">
        <f>COUNTIF($Q$2:$Q$5295,Q4944)</f>
        <v/>
      </c>
      <c r="S4944" s="25">
        <f>IF(R4944&lt;=2,"1-2",IF(R4944&lt;=5,"3-5",IF(R4944&lt;=10,"6-10","11+")))</f>
        <v/>
      </c>
    </row>
    <row r="4945">
      <c r="A4945" s="39" t="n">
        <v>46231.67012731481</v>
      </c>
      <c r="B4945" s="25">
        <f>TEXT(A4945,"YYYY-MM")</f>
        <v/>
      </c>
      <c r="C4945" s="25">
        <f>TEXT(A4945,"MMM-YYYY")</f>
        <v/>
      </c>
      <c r="D4945" s="40">
        <f>INT(A4945)-WEEKDAY(A4945,2)+1</f>
        <v/>
      </c>
      <c r="E4945" s="25" t="inlineStr">
        <is>
          <t>ssaha</t>
        </is>
      </c>
      <c r="F4945" s="25" t="n">
        <v>129098</v>
      </c>
      <c r="G4945" s="25" t="n">
        <v>4</v>
      </c>
      <c r="H4945" s="25" t="n">
        <v>16</v>
      </c>
      <c r="I4945" s="25" t="inlineStr">
        <is>
          <t>2 minute(s) and 12 second(s)</t>
        </is>
      </c>
      <c r="J4945" s="25">
        <f>IFERROR(VALUE(TRIM(LEFT(I4945,FIND("minute",I4945)-1)))*60,0)+IFERROR(VALUE(SUBSTITUTE(MID(I4945,IFERROR(FIND("and",I4945)+3,1),20),"second(s)","")),0)</f>
        <v/>
      </c>
      <c r="K4945" s="41">
        <f>J4945/60</f>
        <v/>
      </c>
      <c r="L4945" s="41">
        <f>IFERROR(J4945/H4945,"")</f>
        <v/>
      </c>
      <c r="M4945" s="25" t="n">
        <v>3.4</v>
      </c>
      <c r="N4945" s="25">
        <f>IF(J4945&gt;300,1,0)</f>
        <v/>
      </c>
      <c r="O4945" s="25">
        <f>IF(J4945&gt;600,1,0)</f>
        <v/>
      </c>
      <c r="P4945" s="25">
        <f>IF(H4945&gt;0,J4945,"")</f>
        <v/>
      </c>
      <c r="Q4945" s="25">
        <f>TEXT(A4945,"YYYY-MM-DD HH")</f>
        <v/>
      </c>
      <c r="R4945" s="25">
        <f>COUNTIF($Q$2:$Q$5295,Q4945)</f>
        <v/>
      </c>
      <c r="S4945" s="25">
        <f>IF(R4945&lt;=2,"1-2",IF(R4945&lt;=5,"3-5",IF(R4945&lt;=10,"6-10","11+")))</f>
        <v/>
      </c>
    </row>
    <row r="4946">
      <c r="A4946" s="39" t="n">
        <v>46232.34952546296</v>
      </c>
      <c r="B4946" s="25">
        <f>TEXT(A4946,"YYYY-MM")</f>
        <v/>
      </c>
      <c r="C4946" s="25">
        <f>TEXT(A4946,"MMM-YYYY")</f>
        <v/>
      </c>
      <c r="D4946" s="40">
        <f>INT(A4946)-WEEKDAY(A4946,2)+1</f>
        <v/>
      </c>
      <c r="E4946" s="25" t="inlineStr">
        <is>
          <t>ssaha</t>
        </is>
      </c>
      <c r="F4946" s="25" t="n">
        <v>137237</v>
      </c>
      <c r="G4946" s="25" t="n">
        <v>4</v>
      </c>
      <c r="H4946" s="25" t="n">
        <v>20</v>
      </c>
      <c r="I4946" s="25" t="inlineStr">
        <is>
          <t>2 minute(s) and 26 second(s)</t>
        </is>
      </c>
      <c r="J4946" s="25">
        <f>IFERROR(VALUE(TRIM(LEFT(I4946,FIND("minute",I4946)-1)))*60,0)+IFERROR(VALUE(SUBSTITUTE(MID(I4946,IFERROR(FIND("and",I4946)+3,1),20),"second(s)","")),0)</f>
        <v/>
      </c>
      <c r="K4946" s="41">
        <f>J4946/60</f>
        <v/>
      </c>
      <c r="L4946" s="41">
        <f>IFERROR(J4946/H4946,"")</f>
        <v/>
      </c>
      <c r="M4946" s="25" t="n">
        <v>3.4</v>
      </c>
      <c r="N4946" s="25">
        <f>IF(J4946&gt;300,1,0)</f>
        <v/>
      </c>
      <c r="O4946" s="25">
        <f>IF(J4946&gt;600,1,0)</f>
        <v/>
      </c>
      <c r="P4946" s="25">
        <f>IF(H4946&gt;0,J4946,"")</f>
        <v/>
      </c>
      <c r="Q4946" s="25">
        <f>TEXT(A4946,"YYYY-MM-DD HH")</f>
        <v/>
      </c>
      <c r="R4946" s="25">
        <f>COUNTIF($Q$2:$Q$5295,Q4946)</f>
        <v/>
      </c>
      <c r="S4946" s="25">
        <f>IF(R4946&lt;=2,"1-2",IF(R4946&lt;=5,"3-5",IF(R4946&lt;=10,"6-10","11+")))</f>
        <v/>
      </c>
    </row>
    <row r="4947">
      <c r="A4947" s="39" t="n">
        <v>46232.4230787037</v>
      </c>
      <c r="B4947" s="25">
        <f>TEXT(A4947,"YYYY-MM")</f>
        <v/>
      </c>
      <c r="C4947" s="25">
        <f>TEXT(A4947,"MMM-YYYY")</f>
        <v/>
      </c>
      <c r="D4947" s="40">
        <f>INT(A4947)-WEEKDAY(A4947,2)+1</f>
        <v/>
      </c>
      <c r="E4947" s="25" t="inlineStr">
        <is>
          <t>ssaha</t>
        </is>
      </c>
      <c r="F4947" s="25" t="n">
        <v>135779</v>
      </c>
      <c r="G4947" s="25" t="n">
        <v>7</v>
      </c>
      <c r="H4947" s="25" t="n">
        <v>23</v>
      </c>
      <c r="I4947" s="25" t="inlineStr">
        <is>
          <t>3 minute(s) and 0 second(s)</t>
        </is>
      </c>
      <c r="J4947" s="25">
        <f>IFERROR(VALUE(TRIM(LEFT(I4947,FIND("minute",I4947)-1)))*60,0)+IFERROR(VALUE(SUBSTITUTE(MID(I4947,IFERROR(FIND("and",I4947)+3,1),20),"second(s)","")),0)</f>
        <v/>
      </c>
      <c r="K4947" s="41">
        <f>J4947/60</f>
        <v/>
      </c>
      <c r="L4947" s="41">
        <f>IFERROR(J4947/H4947,"")</f>
        <v/>
      </c>
      <c r="M4947" s="25" t="n">
        <v>3.4</v>
      </c>
      <c r="N4947" s="25">
        <f>IF(J4947&gt;300,1,0)</f>
        <v/>
      </c>
      <c r="O4947" s="25">
        <f>IF(J4947&gt;600,1,0)</f>
        <v/>
      </c>
      <c r="P4947" s="25">
        <f>IF(H4947&gt;0,J4947,"")</f>
        <v/>
      </c>
      <c r="Q4947" s="25">
        <f>TEXT(A4947,"YYYY-MM-DD HH")</f>
        <v/>
      </c>
      <c r="R4947" s="25">
        <f>COUNTIF($Q$2:$Q$5295,Q4947)</f>
        <v/>
      </c>
      <c r="S4947" s="25">
        <f>IF(R4947&lt;=2,"1-2",IF(R4947&lt;=5,"3-5",IF(R4947&lt;=10,"6-10","11+")))</f>
        <v/>
      </c>
    </row>
    <row r="4948">
      <c r="A4948" s="39" t="n">
        <v>46232.51047453703</v>
      </c>
      <c r="B4948" s="25">
        <f>TEXT(A4948,"YYYY-MM")</f>
        <v/>
      </c>
      <c r="C4948" s="25">
        <f>TEXT(A4948,"MMM-YYYY")</f>
        <v/>
      </c>
      <c r="D4948" s="40">
        <f>INT(A4948)-WEEKDAY(A4948,2)+1</f>
        <v/>
      </c>
      <c r="E4948" s="25" t="inlineStr">
        <is>
          <t>ssaha</t>
        </is>
      </c>
      <c r="F4948" s="25" t="n">
        <v>129250</v>
      </c>
      <c r="G4948" s="25" t="n">
        <v>4</v>
      </c>
      <c r="H4948" s="25" t="n">
        <v>14</v>
      </c>
      <c r="I4948" s="25" t="inlineStr">
        <is>
          <t>1 minute(s) and 50 second(s)</t>
        </is>
      </c>
      <c r="J4948" s="25">
        <f>IFERROR(VALUE(TRIM(LEFT(I4948,FIND("minute",I4948)-1)))*60,0)+IFERROR(VALUE(SUBSTITUTE(MID(I4948,IFERROR(FIND("and",I4948)+3,1),20),"second(s)","")),0)</f>
        <v/>
      </c>
      <c r="K4948" s="41">
        <f>J4948/60</f>
        <v/>
      </c>
      <c r="L4948" s="41">
        <f>IFERROR(J4948/H4948,"")</f>
        <v/>
      </c>
      <c r="M4948" s="25" t="n">
        <v>3.4</v>
      </c>
      <c r="N4948" s="25">
        <f>IF(J4948&gt;300,1,0)</f>
        <v/>
      </c>
      <c r="O4948" s="25">
        <f>IF(J4948&gt;600,1,0)</f>
        <v/>
      </c>
      <c r="P4948" s="25">
        <f>IF(H4948&gt;0,J4948,"")</f>
        <v/>
      </c>
      <c r="Q4948" s="25">
        <f>TEXT(A4948,"YYYY-MM-DD HH")</f>
        <v/>
      </c>
      <c r="R4948" s="25">
        <f>COUNTIF($Q$2:$Q$5295,Q4948)</f>
        <v/>
      </c>
      <c r="S4948" s="25">
        <f>IF(R4948&lt;=2,"1-2",IF(R4948&lt;=5,"3-5",IF(R4948&lt;=10,"6-10","11+")))</f>
        <v/>
      </c>
    </row>
    <row r="4949">
      <c r="A4949" s="39" t="n">
        <v>46232.60555555556</v>
      </c>
      <c r="B4949" s="25">
        <f>TEXT(A4949,"YYYY-MM")</f>
        <v/>
      </c>
      <c r="C4949" s="25">
        <f>TEXT(A4949,"MMM-YYYY")</f>
        <v/>
      </c>
      <c r="D4949" s="40">
        <f>INT(A4949)-WEEKDAY(A4949,2)+1</f>
        <v/>
      </c>
      <c r="E4949" s="25" t="inlineStr">
        <is>
          <t>ssaha</t>
        </is>
      </c>
      <c r="F4949" s="25" t="n">
        <v>128568</v>
      </c>
      <c r="G4949" s="25" t="n">
        <v>4</v>
      </c>
      <c r="H4949" s="25" t="n">
        <v>22</v>
      </c>
      <c r="I4949" s="25" t="inlineStr">
        <is>
          <t>3 minute(s) and 12 second(s)</t>
        </is>
      </c>
      <c r="J4949" s="25">
        <f>IFERROR(VALUE(TRIM(LEFT(I4949,FIND("minute",I4949)-1)))*60,0)+IFERROR(VALUE(SUBSTITUTE(MID(I4949,IFERROR(FIND("and",I4949)+3,1),20),"second(s)","")),0)</f>
        <v/>
      </c>
      <c r="K4949" s="41">
        <f>J4949/60</f>
        <v/>
      </c>
      <c r="L4949" s="41">
        <f>IFERROR(J4949/H4949,"")</f>
        <v/>
      </c>
      <c r="M4949" s="25" t="n">
        <v>3.4</v>
      </c>
      <c r="N4949" s="25">
        <f>IF(J4949&gt;300,1,0)</f>
        <v/>
      </c>
      <c r="O4949" s="25">
        <f>IF(J4949&gt;600,1,0)</f>
        <v/>
      </c>
      <c r="P4949" s="25">
        <f>IF(H4949&gt;0,J4949,"")</f>
        <v/>
      </c>
      <c r="Q4949" s="25">
        <f>TEXT(A4949,"YYYY-MM-DD HH")</f>
        <v/>
      </c>
      <c r="R4949" s="25">
        <f>COUNTIF($Q$2:$Q$5295,Q4949)</f>
        <v/>
      </c>
      <c r="S4949" s="25">
        <f>IF(R4949&lt;=2,"1-2",IF(R4949&lt;=5,"3-5",IF(R4949&lt;=10,"6-10","11+")))</f>
        <v/>
      </c>
    </row>
    <row r="4950">
      <c r="A4950" s="39" t="n">
        <v>46232.77138888889</v>
      </c>
      <c r="B4950" s="25">
        <f>TEXT(A4950,"YYYY-MM")</f>
        <v/>
      </c>
      <c r="C4950" s="25">
        <f>TEXT(A4950,"MMM-YYYY")</f>
        <v/>
      </c>
      <c r="D4950" s="40">
        <f>INT(A4950)-WEEKDAY(A4950,2)+1</f>
        <v/>
      </c>
      <c r="E4950" s="25" t="inlineStr">
        <is>
          <t>ssaha</t>
        </is>
      </c>
      <c r="F4950" s="25" t="n">
        <v>128480</v>
      </c>
      <c r="G4950" s="25" t="n">
        <v>5</v>
      </c>
      <c r="H4950" s="25" t="n">
        <v>25</v>
      </c>
      <c r="I4950" s="25" t="inlineStr">
        <is>
          <t>3 minute(s) and 16 second(s)</t>
        </is>
      </c>
      <c r="J4950" s="25">
        <f>IFERROR(VALUE(TRIM(LEFT(I4950,FIND("minute",I4950)-1)))*60,0)+IFERROR(VALUE(SUBSTITUTE(MID(I4950,IFERROR(FIND("and",I4950)+3,1),20),"second(s)","")),0)</f>
        <v/>
      </c>
      <c r="K4950" s="41">
        <f>J4950/60</f>
        <v/>
      </c>
      <c r="L4950" s="41">
        <f>IFERROR(J4950/H4950,"")</f>
        <v/>
      </c>
      <c r="M4950" s="25" t="n">
        <v>3.4</v>
      </c>
      <c r="N4950" s="25">
        <f>IF(J4950&gt;300,1,0)</f>
        <v/>
      </c>
      <c r="O4950" s="25">
        <f>IF(J4950&gt;600,1,0)</f>
        <v/>
      </c>
      <c r="P4950" s="25">
        <f>IF(H4950&gt;0,J4950,"")</f>
        <v/>
      </c>
      <c r="Q4950" s="25">
        <f>TEXT(A4950,"YYYY-MM-DD HH")</f>
        <v/>
      </c>
      <c r="R4950" s="25">
        <f>COUNTIF($Q$2:$Q$5295,Q4950)</f>
        <v/>
      </c>
      <c r="S4950" s="25">
        <f>IF(R4950&lt;=2,"1-2",IF(R4950&lt;=5,"3-5",IF(R4950&lt;=10,"6-10","11+")))</f>
        <v/>
      </c>
    </row>
    <row r="4951">
      <c r="A4951" s="39" t="n">
        <v>46233.39435185185</v>
      </c>
      <c r="B4951" s="25">
        <f>TEXT(A4951,"YYYY-MM")</f>
        <v/>
      </c>
      <c r="C4951" s="25">
        <f>TEXT(A4951,"MMM-YYYY")</f>
        <v/>
      </c>
      <c r="D4951" s="40">
        <f>INT(A4951)-WEEKDAY(A4951,2)+1</f>
        <v/>
      </c>
      <c r="E4951" s="25" t="inlineStr">
        <is>
          <t>ssaha</t>
        </is>
      </c>
      <c r="F4951" s="25" t="n">
        <v>128504</v>
      </c>
      <c r="G4951" s="25" t="n">
        <v>4</v>
      </c>
      <c r="H4951" s="25" t="n">
        <v>20</v>
      </c>
      <c r="I4951" s="25" t="inlineStr">
        <is>
          <t>2 minute(s) and 45 second(s)</t>
        </is>
      </c>
      <c r="J4951" s="25">
        <f>IFERROR(VALUE(TRIM(LEFT(I4951,FIND("minute",I4951)-1)))*60,0)+IFERROR(VALUE(SUBSTITUTE(MID(I4951,IFERROR(FIND("and",I4951)+3,1),20),"second(s)","")),0)</f>
        <v/>
      </c>
      <c r="K4951" s="41">
        <f>J4951/60</f>
        <v/>
      </c>
      <c r="L4951" s="41">
        <f>IFERROR(J4951/H4951,"")</f>
        <v/>
      </c>
      <c r="M4951" s="25" t="n">
        <v>3.4</v>
      </c>
      <c r="N4951" s="25">
        <f>IF(J4951&gt;300,1,0)</f>
        <v/>
      </c>
      <c r="O4951" s="25">
        <f>IF(J4951&gt;600,1,0)</f>
        <v/>
      </c>
      <c r="P4951" s="25">
        <f>IF(H4951&gt;0,J4951,"")</f>
        <v/>
      </c>
      <c r="Q4951" s="25">
        <f>TEXT(A4951,"YYYY-MM-DD HH")</f>
        <v/>
      </c>
      <c r="R4951" s="25">
        <f>COUNTIF($Q$2:$Q$5295,Q4951)</f>
        <v/>
      </c>
      <c r="S4951" s="25">
        <f>IF(R4951&lt;=2,"1-2",IF(R4951&lt;=5,"3-5",IF(R4951&lt;=10,"6-10","11+")))</f>
        <v/>
      </c>
    </row>
    <row r="4952">
      <c r="A4952" s="39" t="n">
        <v>46233.46922453704</v>
      </c>
      <c r="B4952" s="25">
        <f>TEXT(A4952,"YYYY-MM")</f>
        <v/>
      </c>
      <c r="C4952" s="25">
        <f>TEXT(A4952,"MMM-YYYY")</f>
        <v/>
      </c>
      <c r="D4952" s="40">
        <f>INT(A4952)-WEEKDAY(A4952,2)+1</f>
        <v/>
      </c>
      <c r="E4952" s="25" t="inlineStr">
        <is>
          <t>ssaha</t>
        </is>
      </c>
      <c r="F4952" s="25" t="inlineStr">
        <is>
          <t>test</t>
        </is>
      </c>
      <c r="G4952" s="25" t="n">
        <v>1</v>
      </c>
      <c r="H4952" s="25" t="n">
        <v>3</v>
      </c>
      <c r="I4952" s="25" t="inlineStr">
        <is>
          <t>41 second(s)</t>
        </is>
      </c>
      <c r="J4952" s="25">
        <f>IFERROR(VALUE(TRIM(LEFT(I4952,FIND("minute",I4952)-1)))*60,0)+IFERROR(VALUE(SUBSTITUTE(MID(I4952,IFERROR(FIND("and",I4952)+3,1),20),"second(s)","")),0)</f>
        <v/>
      </c>
      <c r="K4952" s="41">
        <f>J4952/60</f>
        <v/>
      </c>
      <c r="L4952" s="41">
        <f>IFERROR(J4952/H4952,"")</f>
        <v/>
      </c>
      <c r="M4952" s="25" t="n">
        <v>3.5</v>
      </c>
      <c r="N4952" s="25">
        <f>IF(J4952&gt;300,1,0)</f>
        <v/>
      </c>
      <c r="O4952" s="25">
        <f>IF(J4952&gt;600,1,0)</f>
        <v/>
      </c>
      <c r="P4952" s="25">
        <f>IF(H4952&gt;0,J4952,"")</f>
        <v/>
      </c>
      <c r="Q4952" s="25">
        <f>TEXT(A4952,"YYYY-MM-DD HH")</f>
        <v/>
      </c>
      <c r="R4952" s="25">
        <f>COUNTIF($Q$2:$Q$5295,Q4952)</f>
        <v/>
      </c>
      <c r="S4952" s="25">
        <f>IF(R4952&lt;=2,"1-2",IF(R4952&lt;=5,"3-5",IF(R4952&lt;=10,"6-10","11+")))</f>
        <v/>
      </c>
    </row>
    <row r="4953">
      <c r="A4953" s="39" t="n">
        <v>46233.4740625</v>
      </c>
      <c r="B4953" s="25">
        <f>TEXT(A4953,"YYYY-MM")</f>
        <v/>
      </c>
      <c r="C4953" s="25">
        <f>TEXT(A4953,"MMM-YYYY")</f>
        <v/>
      </c>
      <c r="D4953" s="40">
        <f>INT(A4953)-WEEKDAY(A4953,2)+1</f>
        <v/>
      </c>
      <c r="E4953" s="25" t="inlineStr">
        <is>
          <t>ssaha</t>
        </is>
      </c>
      <c r="F4953" s="25" t="inlineStr">
        <is>
          <t>test</t>
        </is>
      </c>
      <c r="G4953" s="25" t="n">
        <v>1</v>
      </c>
      <c r="H4953" s="25" t="n">
        <v>3</v>
      </c>
      <c r="I4953" s="25" t="inlineStr">
        <is>
          <t>36 second(s)</t>
        </is>
      </c>
      <c r="J4953" s="25">
        <f>IFERROR(VALUE(TRIM(LEFT(I4953,FIND("minute",I4953)-1)))*60,0)+IFERROR(VALUE(SUBSTITUTE(MID(I4953,IFERROR(FIND("and",I4953)+3,1),20),"second(s)","")),0)</f>
        <v/>
      </c>
      <c r="K4953" s="41">
        <f>J4953/60</f>
        <v/>
      </c>
      <c r="L4953" s="41">
        <f>IFERROR(J4953/H4953,"")</f>
        <v/>
      </c>
      <c r="M4953" s="25" t="n">
        <v>3.5</v>
      </c>
      <c r="N4953" s="25">
        <f>IF(J4953&gt;300,1,0)</f>
        <v/>
      </c>
      <c r="O4953" s="25">
        <f>IF(J4953&gt;600,1,0)</f>
        <v/>
      </c>
      <c r="P4953" s="25">
        <f>IF(H4953&gt;0,J4953,"")</f>
        <v/>
      </c>
      <c r="Q4953" s="25">
        <f>TEXT(A4953,"YYYY-MM-DD HH")</f>
        <v/>
      </c>
      <c r="R4953" s="25">
        <f>COUNTIF($Q$2:$Q$5295,Q4953)</f>
        <v/>
      </c>
      <c r="S4953" s="25">
        <f>IF(R4953&lt;=2,"1-2",IF(R4953&lt;=5,"3-5",IF(R4953&lt;=10,"6-10","11+")))</f>
        <v/>
      </c>
    </row>
    <row r="4954">
      <c r="A4954" s="39" t="n">
        <v>46233.98967592593</v>
      </c>
      <c r="B4954" s="25">
        <f>TEXT(A4954,"YYYY-MM")</f>
        <v/>
      </c>
      <c r="C4954" s="25">
        <f>TEXT(A4954,"MMM-YYYY")</f>
        <v/>
      </c>
      <c r="D4954" s="40">
        <f>INT(A4954)-WEEKDAY(A4954,2)+1</f>
        <v/>
      </c>
      <c r="E4954" s="25" t="inlineStr">
        <is>
          <t>ssaha</t>
        </is>
      </c>
      <c r="F4954" s="25" t="n">
        <v>131903</v>
      </c>
      <c r="G4954" s="25" t="n">
        <v>1</v>
      </c>
      <c r="H4954" s="25" t="n">
        <v>5</v>
      </c>
      <c r="I4954" s="25" t="inlineStr">
        <is>
          <t>1 minute(s) and 25 second(s)</t>
        </is>
      </c>
      <c r="J4954" s="25">
        <f>IFERROR(VALUE(TRIM(LEFT(I4954,FIND("minute",I4954)-1)))*60,0)+IFERROR(VALUE(SUBSTITUTE(MID(I4954,IFERROR(FIND("and",I4954)+3,1),20),"second(s)","")),0)</f>
        <v/>
      </c>
      <c r="K4954" s="41">
        <f>J4954/60</f>
        <v/>
      </c>
      <c r="L4954" s="41">
        <f>IFERROR(J4954/H4954,"")</f>
        <v/>
      </c>
      <c r="M4954" s="25" t="n">
        <v>3.5</v>
      </c>
      <c r="N4954" s="25">
        <f>IF(J4954&gt;300,1,0)</f>
        <v/>
      </c>
      <c r="O4954" s="25">
        <f>IF(J4954&gt;600,1,0)</f>
        <v/>
      </c>
      <c r="P4954" s="25">
        <f>IF(H4954&gt;0,J4954,"")</f>
        <v/>
      </c>
      <c r="Q4954" s="25">
        <f>TEXT(A4954,"YYYY-MM-DD HH")</f>
        <v/>
      </c>
      <c r="R4954" s="25">
        <f>COUNTIF($Q$2:$Q$5295,Q4954)</f>
        <v/>
      </c>
      <c r="S4954" s="25">
        <f>IF(R4954&lt;=2,"1-2",IF(R4954&lt;=5,"3-5",IF(R4954&lt;=10,"6-10","11+")))</f>
        <v/>
      </c>
    </row>
    <row r="4955">
      <c r="A4955" s="39" t="n">
        <v>46234.00615740741</v>
      </c>
      <c r="B4955" s="25">
        <f>TEXT(A4955,"YYYY-MM")</f>
        <v/>
      </c>
      <c r="C4955" s="25">
        <f>TEXT(A4955,"MMM-YYYY")</f>
        <v/>
      </c>
      <c r="D4955" s="40">
        <f>INT(A4955)-WEEKDAY(A4955,2)+1</f>
        <v/>
      </c>
      <c r="E4955" s="25" t="inlineStr">
        <is>
          <t>ssaha</t>
        </is>
      </c>
      <c r="F4955" s="25" t="n">
        <v>131903</v>
      </c>
      <c r="G4955" s="25" t="n">
        <v>1</v>
      </c>
      <c r="H4955" s="25" t="n">
        <v>3</v>
      </c>
      <c r="I4955" s="25" t="inlineStr">
        <is>
          <t>43 second(s)</t>
        </is>
      </c>
      <c r="J4955" s="25">
        <f>IFERROR(VALUE(TRIM(LEFT(I4955,FIND("minute",I4955)-1)))*60,0)+IFERROR(VALUE(SUBSTITUTE(MID(I4955,IFERROR(FIND("and",I4955)+3,1),20),"second(s)","")),0)</f>
        <v/>
      </c>
      <c r="K4955" s="41">
        <f>J4955/60</f>
        <v/>
      </c>
      <c r="L4955" s="41">
        <f>IFERROR(J4955/H4955,"")</f>
        <v/>
      </c>
      <c r="M4955" s="25" t="n">
        <v>3.5</v>
      </c>
      <c r="N4955" s="25">
        <f>IF(J4955&gt;300,1,0)</f>
        <v/>
      </c>
      <c r="O4955" s="25">
        <f>IF(J4955&gt;600,1,0)</f>
        <v/>
      </c>
      <c r="P4955" s="25">
        <f>IF(H4955&gt;0,J4955,"")</f>
        <v/>
      </c>
      <c r="Q4955" s="25">
        <f>TEXT(A4955,"YYYY-MM-DD HH")</f>
        <v/>
      </c>
      <c r="R4955" s="25">
        <f>COUNTIF($Q$2:$Q$5295,Q4955)</f>
        <v/>
      </c>
      <c r="S4955" s="25">
        <f>IF(R4955&lt;=2,"1-2",IF(R4955&lt;=5,"3-5",IF(R4955&lt;=10,"6-10","11+")))</f>
        <v/>
      </c>
    </row>
    <row r="4956">
      <c r="A4956" s="39" t="n">
        <v>46237.51370370371</v>
      </c>
      <c r="B4956" s="25">
        <f>TEXT(A4956,"YYYY-MM")</f>
        <v/>
      </c>
      <c r="C4956" s="25">
        <f>TEXT(A4956,"MMM-YYYY")</f>
        <v/>
      </c>
      <c r="D4956" s="40">
        <f>INT(A4956)-WEEKDAY(A4956,2)+1</f>
        <v/>
      </c>
      <c r="E4956" s="25" t="inlineStr">
        <is>
          <t>ssaha</t>
        </is>
      </c>
      <c r="F4956" s="25" t="n">
        <v>135281</v>
      </c>
      <c r="G4956" s="25" t="n">
        <v>2</v>
      </c>
      <c r="H4956" s="25" t="n">
        <v>8</v>
      </c>
      <c r="I4956" s="25" t="inlineStr">
        <is>
          <t>1 minute(s) and 15 second(s)</t>
        </is>
      </c>
      <c r="J4956" s="25">
        <f>IFERROR(VALUE(TRIM(LEFT(I4956,FIND("minute",I4956)-1)))*60,0)+IFERROR(VALUE(SUBSTITUTE(MID(I4956,IFERROR(FIND("and",I4956)+3,1),20),"second(s)","")),0)</f>
        <v/>
      </c>
      <c r="K4956" s="41">
        <f>J4956/60</f>
        <v/>
      </c>
      <c r="L4956" s="41">
        <f>IFERROR(J4956/H4956,"")</f>
        <v/>
      </c>
      <c r="M4956" s="25" t="n">
        <v>3.5</v>
      </c>
      <c r="N4956" s="25">
        <f>IF(J4956&gt;300,1,0)</f>
        <v/>
      </c>
      <c r="O4956" s="25">
        <f>IF(J4956&gt;600,1,0)</f>
        <v/>
      </c>
      <c r="P4956" s="25">
        <f>IF(H4956&gt;0,J4956,"")</f>
        <v/>
      </c>
      <c r="Q4956" s="25">
        <f>TEXT(A4956,"YYYY-MM-DD HH")</f>
        <v/>
      </c>
      <c r="R4956" s="25">
        <f>COUNTIF($Q$2:$Q$5295,Q4956)</f>
        <v/>
      </c>
      <c r="S4956" s="25">
        <f>IF(R4956&lt;=2,"1-2",IF(R4956&lt;=5,"3-5",IF(R4956&lt;=10,"6-10","11+")))</f>
        <v/>
      </c>
    </row>
    <row r="4957">
      <c r="A4957" s="39" t="n">
        <v>46237.52125</v>
      </c>
      <c r="B4957" s="25">
        <f>TEXT(A4957,"YYYY-MM")</f>
        <v/>
      </c>
      <c r="C4957" s="25">
        <f>TEXT(A4957,"MMM-YYYY")</f>
        <v/>
      </c>
      <c r="D4957" s="40">
        <f>INT(A4957)-WEEKDAY(A4957,2)+1</f>
        <v/>
      </c>
      <c r="E4957" s="25" t="inlineStr">
        <is>
          <t>taggarwal</t>
        </is>
      </c>
      <c r="F4957" s="25" t="n">
        <v>135953</v>
      </c>
      <c r="G4957" s="25" t="n">
        <v>3</v>
      </c>
      <c r="H4957" s="25" t="n">
        <v>17</v>
      </c>
      <c r="I4957" s="25" t="inlineStr">
        <is>
          <t>1 minute(s) and 54 second(s)</t>
        </is>
      </c>
      <c r="J4957" s="25">
        <f>IFERROR(VALUE(TRIM(LEFT(I4957,FIND("minute",I4957)-1)))*60,0)+IFERROR(VALUE(SUBSTITUTE(MID(I4957,IFERROR(FIND("and",I4957)+3,1),20),"second(s)","")),0)</f>
        <v/>
      </c>
      <c r="K4957" s="41">
        <f>J4957/60</f>
        <v/>
      </c>
      <c r="L4957" s="41">
        <f>IFERROR(J4957/H4957,"")</f>
        <v/>
      </c>
      <c r="M4957" s="25" t="n">
        <v>3.4</v>
      </c>
      <c r="N4957" s="25">
        <f>IF(J4957&gt;300,1,0)</f>
        <v/>
      </c>
      <c r="O4957" s="25">
        <f>IF(J4957&gt;600,1,0)</f>
        <v/>
      </c>
      <c r="P4957" s="25">
        <f>IF(H4957&gt;0,J4957,"")</f>
        <v/>
      </c>
      <c r="Q4957" s="25">
        <f>TEXT(A4957,"YYYY-MM-DD HH")</f>
        <v/>
      </c>
      <c r="R4957" s="25">
        <f>COUNTIF($Q$2:$Q$5295,Q4957)</f>
        <v/>
      </c>
      <c r="S4957" s="25">
        <f>IF(R4957&lt;=2,"1-2",IF(R4957&lt;=5,"3-5",IF(R4957&lt;=10,"6-10","11+")))</f>
        <v/>
      </c>
    </row>
    <row r="4958">
      <c r="A4958" s="39" t="n">
        <v>46237.52947916667</v>
      </c>
      <c r="B4958" s="25">
        <f>TEXT(A4958,"YYYY-MM")</f>
        <v/>
      </c>
      <c r="C4958" s="25">
        <f>TEXT(A4958,"MMM-YYYY")</f>
        <v/>
      </c>
      <c r="D4958" s="40">
        <f>INT(A4958)-WEEKDAY(A4958,2)+1</f>
        <v/>
      </c>
      <c r="E4958" s="25" t="inlineStr">
        <is>
          <t>pgautam</t>
        </is>
      </c>
      <c r="F4958" s="25" t="n">
        <v>134345</v>
      </c>
      <c r="G4958" s="25" t="n">
        <v>5</v>
      </c>
      <c r="H4958" s="25" t="n">
        <v>31</v>
      </c>
      <c r="I4958" s="25" t="inlineStr">
        <is>
          <t>3 minute(s) and 39 second(s)</t>
        </is>
      </c>
      <c r="J4958" s="25">
        <f>IFERROR(VALUE(TRIM(LEFT(I4958,FIND("minute",I4958)-1)))*60,0)+IFERROR(VALUE(SUBSTITUTE(MID(I4958,IFERROR(FIND("and",I4958)+3,1),20),"second(s)","")),0)</f>
        <v/>
      </c>
      <c r="K4958" s="41">
        <f>J4958/60</f>
        <v/>
      </c>
      <c r="L4958" s="41">
        <f>IFERROR(J4958/H4958,"")</f>
        <v/>
      </c>
      <c r="M4958" s="25" t="n">
        <v>3.4</v>
      </c>
      <c r="N4958" s="25">
        <f>IF(J4958&gt;300,1,0)</f>
        <v/>
      </c>
      <c r="O4958" s="25">
        <f>IF(J4958&gt;600,1,0)</f>
        <v/>
      </c>
      <c r="P4958" s="25">
        <f>IF(H4958&gt;0,J4958,"")</f>
        <v/>
      </c>
      <c r="Q4958" s="25">
        <f>TEXT(A4958,"YYYY-MM-DD HH")</f>
        <v/>
      </c>
      <c r="R4958" s="25">
        <f>COUNTIF($Q$2:$Q$5295,Q4958)</f>
        <v/>
      </c>
      <c r="S4958" s="25">
        <f>IF(R4958&lt;=2,"1-2",IF(R4958&lt;=5,"3-5",IF(R4958&lt;=10,"6-10","11+")))</f>
        <v/>
      </c>
    </row>
    <row r="4959">
      <c r="A4959" s="39" t="n">
        <v>46237.55248842593</v>
      </c>
      <c r="B4959" s="25">
        <f>TEXT(A4959,"YYYY-MM")</f>
        <v/>
      </c>
      <c r="C4959" s="25">
        <f>TEXT(A4959,"MMM-YYYY")</f>
        <v/>
      </c>
      <c r="D4959" s="40">
        <f>INT(A4959)-WEEKDAY(A4959,2)+1</f>
        <v/>
      </c>
      <c r="E4959" s="25" t="inlineStr">
        <is>
          <t>sasharma</t>
        </is>
      </c>
      <c r="F4959" s="25" t="n">
        <v>136353</v>
      </c>
      <c r="G4959" s="25" t="n">
        <v>1</v>
      </c>
      <c r="H4959" s="25" t="n">
        <v>5</v>
      </c>
      <c r="I4959" s="25" t="inlineStr">
        <is>
          <t>21 second(s)</t>
        </is>
      </c>
      <c r="J4959" s="25">
        <f>IFERROR(VALUE(TRIM(LEFT(I4959,FIND("minute",I4959)-1)))*60,0)+IFERROR(VALUE(SUBSTITUTE(MID(I4959,IFERROR(FIND("and",I4959)+3,1),20),"second(s)","")),0)</f>
        <v/>
      </c>
      <c r="K4959" s="41">
        <f>J4959/60</f>
        <v/>
      </c>
      <c r="L4959" s="41">
        <f>IFERROR(J4959/H4959,"")</f>
        <v/>
      </c>
      <c r="M4959" s="25" t="inlineStr">
        <is>
          <t>2.5.12</t>
        </is>
      </c>
      <c r="N4959" s="25">
        <f>IF(J4959&gt;300,1,0)</f>
        <v/>
      </c>
      <c r="O4959" s="25">
        <f>IF(J4959&gt;600,1,0)</f>
        <v/>
      </c>
      <c r="P4959" s="25">
        <f>IF(H4959&gt;0,J4959,"")</f>
        <v/>
      </c>
      <c r="Q4959" s="25">
        <f>TEXT(A4959,"YYYY-MM-DD HH")</f>
        <v/>
      </c>
      <c r="R4959" s="25">
        <f>COUNTIF($Q$2:$Q$5295,Q4959)</f>
        <v/>
      </c>
      <c r="S4959" s="25">
        <f>IF(R4959&lt;=2,"1-2",IF(R4959&lt;=5,"3-5",IF(R4959&lt;=10,"6-10","11+")))</f>
        <v/>
      </c>
    </row>
    <row r="4960">
      <c r="A4960" s="39" t="n">
        <v>46237.56989583333</v>
      </c>
      <c r="B4960" s="25">
        <f>TEXT(A4960,"YYYY-MM")</f>
        <v/>
      </c>
      <c r="C4960" s="25">
        <f>TEXT(A4960,"MMM-YYYY")</f>
        <v/>
      </c>
      <c r="D4960" s="40">
        <f>INT(A4960)-WEEKDAY(A4960,2)+1</f>
        <v/>
      </c>
      <c r="E4960" s="25" t="inlineStr">
        <is>
          <t>sthomas</t>
        </is>
      </c>
      <c r="F4960" s="25" t="n">
        <v>135969</v>
      </c>
      <c r="G4960" s="25" t="n">
        <v>1</v>
      </c>
      <c r="H4960" s="25" t="n">
        <v>5</v>
      </c>
      <c r="I4960" s="25" t="inlineStr">
        <is>
          <t>41 second(s)</t>
        </is>
      </c>
      <c r="J4960" s="25">
        <f>IFERROR(VALUE(TRIM(LEFT(I4960,FIND("minute",I4960)-1)))*60,0)+IFERROR(VALUE(SUBSTITUTE(MID(I4960,IFERROR(FIND("and",I4960)+3,1),20),"second(s)","")),0)</f>
        <v/>
      </c>
      <c r="K4960" s="41">
        <f>J4960/60</f>
        <v/>
      </c>
      <c r="L4960" s="41">
        <f>IFERROR(J4960/H4960,"")</f>
        <v/>
      </c>
      <c r="M4960" s="25" t="n">
        <v>3.4</v>
      </c>
      <c r="N4960" s="25">
        <f>IF(J4960&gt;300,1,0)</f>
        <v/>
      </c>
      <c r="O4960" s="25">
        <f>IF(J4960&gt;600,1,0)</f>
        <v/>
      </c>
      <c r="P4960" s="25">
        <f>IF(H4960&gt;0,J4960,"")</f>
        <v/>
      </c>
      <c r="Q4960" s="25">
        <f>TEXT(A4960,"YYYY-MM-DD HH")</f>
        <v/>
      </c>
      <c r="R4960" s="25">
        <f>COUNTIF($Q$2:$Q$5295,Q4960)</f>
        <v/>
      </c>
      <c r="S4960" s="25">
        <f>IF(R4960&lt;=2,"1-2",IF(R4960&lt;=5,"3-5",IF(R4960&lt;=10,"6-10","11+")))</f>
        <v/>
      </c>
    </row>
    <row r="4961">
      <c r="A4961" s="39" t="n">
        <v>46237.57355324074</v>
      </c>
      <c r="B4961" s="25">
        <f>TEXT(A4961,"YYYY-MM")</f>
        <v/>
      </c>
      <c r="C4961" s="25">
        <f>TEXT(A4961,"MMM-YYYY")</f>
        <v/>
      </c>
      <c r="D4961" s="40">
        <f>INT(A4961)-WEEKDAY(A4961,2)+1</f>
        <v/>
      </c>
      <c r="E4961" s="25" t="inlineStr">
        <is>
          <t>ssaha</t>
        </is>
      </c>
      <c r="F4961" s="25" t="n">
        <v>136313</v>
      </c>
      <c r="G4961" s="25" t="n">
        <v>4</v>
      </c>
      <c r="H4961" s="25" t="n">
        <v>14</v>
      </c>
      <c r="I4961" s="25" t="inlineStr">
        <is>
          <t>2 minute(s) and 12 second(s)</t>
        </is>
      </c>
      <c r="J4961" s="25">
        <f>IFERROR(VALUE(TRIM(LEFT(I4961,FIND("minute",I4961)-1)))*60,0)+IFERROR(VALUE(SUBSTITUTE(MID(I4961,IFERROR(FIND("and",I4961)+3,1),20),"second(s)","")),0)</f>
        <v/>
      </c>
      <c r="K4961" s="41">
        <f>J4961/60</f>
        <v/>
      </c>
      <c r="L4961" s="41">
        <f>IFERROR(J4961/H4961,"")</f>
        <v/>
      </c>
      <c r="M4961" s="25" t="n">
        <v>3.5</v>
      </c>
      <c r="N4961" s="25">
        <f>IF(J4961&gt;300,1,0)</f>
        <v/>
      </c>
      <c r="O4961" s="25">
        <f>IF(J4961&gt;600,1,0)</f>
        <v/>
      </c>
      <c r="P4961" s="25">
        <f>IF(H4961&gt;0,J4961,"")</f>
        <v/>
      </c>
      <c r="Q4961" s="25">
        <f>TEXT(A4961,"YYYY-MM-DD HH")</f>
        <v/>
      </c>
      <c r="R4961" s="25">
        <f>COUNTIF($Q$2:$Q$5295,Q4961)</f>
        <v/>
      </c>
      <c r="S4961" s="25">
        <f>IF(R4961&lt;=2,"1-2",IF(R4961&lt;=5,"3-5",IF(R4961&lt;=10,"6-10","11+")))</f>
        <v/>
      </c>
    </row>
    <row r="4962">
      <c r="A4962" s="39" t="n">
        <v>46237.60196759259</v>
      </c>
      <c r="B4962" s="25">
        <f>TEXT(A4962,"YYYY-MM")</f>
        <v/>
      </c>
      <c r="C4962" s="25">
        <f>TEXT(A4962,"MMM-YYYY")</f>
        <v/>
      </c>
      <c r="D4962" s="40">
        <f>INT(A4962)-WEEKDAY(A4962,2)+1</f>
        <v/>
      </c>
      <c r="E4962" s="25" t="inlineStr">
        <is>
          <t>pgautam</t>
        </is>
      </c>
      <c r="F4962" s="25" t="n">
        <v>136585</v>
      </c>
      <c r="G4962" s="25" t="n">
        <v>6</v>
      </c>
      <c r="H4962" s="25" t="n">
        <v>31</v>
      </c>
      <c r="I4962" s="25" t="inlineStr">
        <is>
          <t>3 minute(s) and 31 second(s)</t>
        </is>
      </c>
      <c r="J4962" s="25">
        <f>IFERROR(VALUE(TRIM(LEFT(I4962,FIND("minute",I4962)-1)))*60,0)+IFERROR(VALUE(SUBSTITUTE(MID(I4962,IFERROR(FIND("and",I4962)+3,1),20),"second(s)","")),0)</f>
        <v/>
      </c>
      <c r="K4962" s="41">
        <f>J4962/60</f>
        <v/>
      </c>
      <c r="L4962" s="41">
        <f>IFERROR(J4962/H4962,"")</f>
        <v/>
      </c>
      <c r="M4962" s="25" t="n">
        <v>3.4</v>
      </c>
      <c r="N4962" s="25">
        <f>IF(J4962&gt;300,1,0)</f>
        <v/>
      </c>
      <c r="O4962" s="25">
        <f>IF(J4962&gt;600,1,0)</f>
        <v/>
      </c>
      <c r="P4962" s="25">
        <f>IF(H4962&gt;0,J4962,"")</f>
        <v/>
      </c>
      <c r="Q4962" s="25">
        <f>TEXT(A4962,"YYYY-MM-DD HH")</f>
        <v/>
      </c>
      <c r="R4962" s="25">
        <f>COUNTIF($Q$2:$Q$5295,Q4962)</f>
        <v/>
      </c>
      <c r="S4962" s="25">
        <f>IF(R4962&lt;=2,"1-2",IF(R4962&lt;=5,"3-5",IF(R4962&lt;=10,"6-10","11+")))</f>
        <v/>
      </c>
    </row>
    <row r="4963">
      <c r="A4963" s="39" t="n">
        <v>46237.74413194445</v>
      </c>
      <c r="B4963" s="25">
        <f>TEXT(A4963,"YYYY-MM")</f>
        <v/>
      </c>
      <c r="C4963" s="25">
        <f>TEXT(A4963,"MMM-YYYY")</f>
        <v/>
      </c>
      <c r="D4963" s="40">
        <f>INT(A4963)-WEEKDAY(A4963,2)+1</f>
        <v/>
      </c>
      <c r="E4963" s="25" t="inlineStr">
        <is>
          <t>mbhalla</t>
        </is>
      </c>
      <c r="F4963" s="25" t="n">
        <v>138537</v>
      </c>
      <c r="G4963" s="25" t="n">
        <v>3</v>
      </c>
      <c r="H4963" s="25" t="n">
        <v>19</v>
      </c>
      <c r="I4963" s="25" t="inlineStr">
        <is>
          <t>2 minute(s) and 15 second(s)</t>
        </is>
      </c>
      <c r="J4963" s="25">
        <f>IFERROR(VALUE(TRIM(LEFT(I4963,FIND("minute",I4963)-1)))*60,0)+IFERROR(VALUE(SUBSTITUTE(MID(I4963,IFERROR(FIND("and",I4963)+3,1),20),"second(s)","")),0)</f>
        <v/>
      </c>
      <c r="K4963" s="41">
        <f>J4963/60</f>
        <v/>
      </c>
      <c r="L4963" s="41">
        <f>IFERROR(J4963/H4963,"")</f>
        <v/>
      </c>
      <c r="M4963" s="25" t="n">
        <v>3.4</v>
      </c>
      <c r="N4963" s="25">
        <f>IF(J4963&gt;300,1,0)</f>
        <v/>
      </c>
      <c r="O4963" s="25">
        <f>IF(J4963&gt;600,1,0)</f>
        <v/>
      </c>
      <c r="P4963" s="25">
        <f>IF(H4963&gt;0,J4963,"")</f>
        <v/>
      </c>
      <c r="Q4963" s="25">
        <f>TEXT(A4963,"YYYY-MM-DD HH")</f>
        <v/>
      </c>
      <c r="R4963" s="25">
        <f>COUNTIF($Q$2:$Q$5295,Q4963)</f>
        <v/>
      </c>
      <c r="S4963" s="25">
        <f>IF(R4963&lt;=2,"1-2",IF(R4963&lt;=5,"3-5",IF(R4963&lt;=10,"6-10","11+")))</f>
        <v/>
      </c>
    </row>
    <row r="4964">
      <c r="A4964" s="39" t="n">
        <v>46237.76822916666</v>
      </c>
      <c r="B4964" s="25">
        <f>TEXT(A4964,"YYYY-MM")</f>
        <v/>
      </c>
      <c r="C4964" s="25">
        <f>TEXT(A4964,"MMM-YYYY")</f>
        <v/>
      </c>
      <c r="D4964" s="40">
        <f>INT(A4964)-WEEKDAY(A4964,2)+1</f>
        <v/>
      </c>
      <c r="E4964" s="25" t="inlineStr">
        <is>
          <t>ssaha</t>
        </is>
      </c>
      <c r="F4964" s="25" t="n">
        <v>134049</v>
      </c>
      <c r="G4964" s="25" t="n">
        <v>4</v>
      </c>
      <c r="H4964" s="25" t="n">
        <v>28</v>
      </c>
      <c r="I4964" s="25" t="inlineStr">
        <is>
          <t>7 minute(s) and 29 second(s)</t>
        </is>
      </c>
      <c r="J4964" s="25">
        <f>IFERROR(VALUE(TRIM(LEFT(I4964,FIND("minute",I4964)-1)))*60,0)+IFERROR(VALUE(SUBSTITUTE(MID(I4964,IFERROR(FIND("and",I4964)+3,1),20),"second(s)","")),0)</f>
        <v/>
      </c>
      <c r="K4964" s="41">
        <f>J4964/60</f>
        <v/>
      </c>
      <c r="L4964" s="41">
        <f>IFERROR(J4964/H4964,"")</f>
        <v/>
      </c>
      <c r="M4964" s="25" t="n">
        <v>3.5</v>
      </c>
      <c r="N4964" s="25">
        <f>IF(J4964&gt;300,1,0)</f>
        <v/>
      </c>
      <c r="O4964" s="25">
        <f>IF(J4964&gt;600,1,0)</f>
        <v/>
      </c>
      <c r="P4964" s="25">
        <f>IF(H4964&gt;0,J4964,"")</f>
        <v/>
      </c>
      <c r="Q4964" s="25">
        <f>TEXT(A4964,"YYYY-MM-DD HH")</f>
        <v/>
      </c>
      <c r="R4964" s="25">
        <f>COUNTIF($Q$2:$Q$5295,Q4964)</f>
        <v/>
      </c>
      <c r="S4964" s="25">
        <f>IF(R4964&lt;=2,"1-2",IF(R4964&lt;=5,"3-5",IF(R4964&lt;=10,"6-10","11+")))</f>
        <v/>
      </c>
    </row>
    <row r="4965">
      <c r="A4965" s="39" t="n">
        <v>46237.78068287037</v>
      </c>
      <c r="B4965" s="25">
        <f>TEXT(A4965,"YYYY-MM")</f>
        <v/>
      </c>
      <c r="C4965" s="25">
        <f>TEXT(A4965,"MMM-YYYY")</f>
        <v/>
      </c>
      <c r="D4965" s="40">
        <f>INT(A4965)-WEEKDAY(A4965,2)+1</f>
        <v/>
      </c>
      <c r="E4965" s="25" t="inlineStr">
        <is>
          <t>dchoudhury</t>
        </is>
      </c>
      <c r="F4965" s="25" t="n">
        <v>135849</v>
      </c>
      <c r="G4965" s="25" t="n">
        <v>3</v>
      </c>
      <c r="H4965" s="25" t="n">
        <v>12</v>
      </c>
      <c r="I4965" s="25" t="inlineStr">
        <is>
          <t>1 minute(s) and 32 second(s)</t>
        </is>
      </c>
      <c r="J4965" s="25">
        <f>IFERROR(VALUE(TRIM(LEFT(I4965,FIND("minute",I4965)-1)))*60,0)+IFERROR(VALUE(SUBSTITUTE(MID(I4965,IFERROR(FIND("and",I4965)+3,1),20),"second(s)","")),0)</f>
        <v/>
      </c>
      <c r="K4965" s="41">
        <f>J4965/60</f>
        <v/>
      </c>
      <c r="L4965" s="41">
        <f>IFERROR(J4965/H4965,"")</f>
        <v/>
      </c>
      <c r="M4965" s="25" t="n">
        <v>3.4</v>
      </c>
      <c r="N4965" s="25">
        <f>IF(J4965&gt;300,1,0)</f>
        <v/>
      </c>
      <c r="O4965" s="25">
        <f>IF(J4965&gt;600,1,0)</f>
        <v/>
      </c>
      <c r="P4965" s="25">
        <f>IF(H4965&gt;0,J4965,"")</f>
        <v/>
      </c>
      <c r="Q4965" s="25">
        <f>TEXT(A4965,"YYYY-MM-DD HH")</f>
        <v/>
      </c>
      <c r="R4965" s="25">
        <f>COUNTIF($Q$2:$Q$5295,Q4965)</f>
        <v/>
      </c>
      <c r="S4965" s="25">
        <f>IF(R4965&lt;=2,"1-2",IF(R4965&lt;=5,"3-5",IF(R4965&lt;=10,"6-10","11+")))</f>
        <v/>
      </c>
    </row>
    <row r="4966">
      <c r="A4966" s="39" t="n">
        <v>46237.85849537037</v>
      </c>
      <c r="B4966" s="25">
        <f>TEXT(A4966,"YYYY-MM")</f>
        <v/>
      </c>
      <c r="C4966" s="25">
        <f>TEXT(A4966,"MMM-YYYY")</f>
        <v/>
      </c>
      <c r="D4966" s="40">
        <f>INT(A4966)-WEEKDAY(A4966,2)+1</f>
        <v/>
      </c>
      <c r="E4966" s="25" t="inlineStr">
        <is>
          <t>dchoudhury</t>
        </is>
      </c>
      <c r="F4966" s="25" t="n">
        <v>136281</v>
      </c>
      <c r="G4966" s="25" t="n">
        <v>4</v>
      </c>
      <c r="H4966" s="25" t="n">
        <v>20</v>
      </c>
      <c r="I4966" s="25" t="inlineStr">
        <is>
          <t>2 minute(s) and 25 second(s)</t>
        </is>
      </c>
      <c r="J4966" s="25">
        <f>IFERROR(VALUE(TRIM(LEFT(I4966,FIND("minute",I4966)-1)))*60,0)+IFERROR(VALUE(SUBSTITUTE(MID(I4966,IFERROR(FIND("and",I4966)+3,1),20),"second(s)","")),0)</f>
        <v/>
      </c>
      <c r="K4966" s="41">
        <f>J4966/60</f>
        <v/>
      </c>
      <c r="L4966" s="41">
        <f>IFERROR(J4966/H4966,"")</f>
        <v/>
      </c>
      <c r="M4966" s="25" t="n">
        <v>3.4</v>
      </c>
      <c r="N4966" s="25">
        <f>IF(J4966&gt;300,1,0)</f>
        <v/>
      </c>
      <c r="O4966" s="25">
        <f>IF(J4966&gt;600,1,0)</f>
        <v/>
      </c>
      <c r="P4966" s="25">
        <f>IF(H4966&gt;0,J4966,"")</f>
        <v/>
      </c>
      <c r="Q4966" s="25">
        <f>TEXT(A4966,"YYYY-MM-DD HH")</f>
        <v/>
      </c>
      <c r="R4966" s="25">
        <f>COUNTIF($Q$2:$Q$5295,Q4966)</f>
        <v/>
      </c>
      <c r="S4966" s="25">
        <f>IF(R4966&lt;=2,"1-2",IF(R4966&lt;=5,"3-5",IF(R4966&lt;=10,"6-10","11+")))</f>
        <v/>
      </c>
    </row>
    <row r="4967">
      <c r="A4967" s="39" t="n">
        <v>46237.86440972222</v>
      </c>
      <c r="B4967" s="25">
        <f>TEXT(A4967,"YYYY-MM")</f>
        <v/>
      </c>
      <c r="C4967" s="25">
        <f>TEXT(A4967,"MMM-YYYY")</f>
        <v/>
      </c>
      <c r="D4967" s="40">
        <f>INT(A4967)-WEEKDAY(A4967,2)+1</f>
        <v/>
      </c>
      <c r="E4967" s="25" t="inlineStr">
        <is>
          <t>ssaha</t>
        </is>
      </c>
      <c r="F4967" s="25" t="n">
        <v>137857</v>
      </c>
      <c r="G4967" s="25" t="n">
        <v>1</v>
      </c>
      <c r="H4967" s="25" t="n">
        <v>7</v>
      </c>
      <c r="I4967" s="25" t="inlineStr">
        <is>
          <t>1 minute(s) and 7 second(s)</t>
        </is>
      </c>
      <c r="J4967" s="25">
        <f>IFERROR(VALUE(TRIM(LEFT(I4967,FIND("minute",I4967)-1)))*60,0)+IFERROR(VALUE(SUBSTITUTE(MID(I4967,IFERROR(FIND("and",I4967)+3,1),20),"second(s)","")),0)</f>
        <v/>
      </c>
      <c r="K4967" s="41">
        <f>J4967/60</f>
        <v/>
      </c>
      <c r="L4967" s="41">
        <f>IFERROR(J4967/H4967,"")</f>
        <v/>
      </c>
      <c r="M4967" s="25" t="n">
        <v>3.5</v>
      </c>
      <c r="N4967" s="25">
        <f>IF(J4967&gt;300,1,0)</f>
        <v/>
      </c>
      <c r="O4967" s="25">
        <f>IF(J4967&gt;600,1,0)</f>
        <v/>
      </c>
      <c r="P4967" s="25">
        <f>IF(H4967&gt;0,J4967,"")</f>
        <v/>
      </c>
      <c r="Q4967" s="25">
        <f>TEXT(A4967,"YYYY-MM-DD HH")</f>
        <v/>
      </c>
      <c r="R4967" s="25">
        <f>COUNTIF($Q$2:$Q$5295,Q4967)</f>
        <v/>
      </c>
      <c r="S4967" s="25">
        <f>IF(R4967&lt;=2,"1-2",IF(R4967&lt;=5,"3-5",IF(R4967&lt;=10,"6-10","11+")))</f>
        <v/>
      </c>
    </row>
    <row r="4968">
      <c r="A4968" s="39" t="n">
        <v>46237.8945949074</v>
      </c>
      <c r="B4968" s="25">
        <f>TEXT(A4968,"YYYY-MM")</f>
        <v/>
      </c>
      <c r="C4968" s="25">
        <f>TEXT(A4968,"MMM-YYYY")</f>
        <v/>
      </c>
      <c r="D4968" s="40">
        <f>INT(A4968)-WEEKDAY(A4968,2)+1</f>
        <v/>
      </c>
      <c r="E4968" s="25" t="inlineStr">
        <is>
          <t>sswati</t>
        </is>
      </c>
      <c r="F4968" s="25" t="n">
        <v>137601</v>
      </c>
      <c r="G4968" s="25" t="n">
        <v>2</v>
      </c>
      <c r="H4968" s="25" t="n">
        <v>10</v>
      </c>
      <c r="I4968" s="25" t="inlineStr">
        <is>
          <t>1 minute(s) and 26 second(s)</t>
        </is>
      </c>
      <c r="J4968" s="25">
        <f>IFERROR(VALUE(TRIM(LEFT(I4968,FIND("minute",I4968)-1)))*60,0)+IFERROR(VALUE(SUBSTITUTE(MID(I4968,IFERROR(FIND("and",I4968)+3,1),20),"second(s)","")),0)</f>
        <v/>
      </c>
      <c r="K4968" s="41">
        <f>J4968/60</f>
        <v/>
      </c>
      <c r="L4968" s="41">
        <f>IFERROR(J4968/H4968,"")</f>
        <v/>
      </c>
      <c r="M4968" s="25" t="n">
        <v>3.4</v>
      </c>
      <c r="N4968" s="25">
        <f>IF(J4968&gt;300,1,0)</f>
        <v/>
      </c>
      <c r="O4968" s="25">
        <f>IF(J4968&gt;600,1,0)</f>
        <v/>
      </c>
      <c r="P4968" s="25">
        <f>IF(H4968&gt;0,J4968,"")</f>
        <v/>
      </c>
      <c r="Q4968" s="25">
        <f>TEXT(A4968,"YYYY-MM-DD HH")</f>
        <v/>
      </c>
      <c r="R4968" s="25">
        <f>COUNTIF($Q$2:$Q$5295,Q4968)</f>
        <v/>
      </c>
      <c r="S4968" s="25">
        <f>IF(R4968&lt;=2,"1-2",IF(R4968&lt;=5,"3-5",IF(R4968&lt;=10,"6-10","11+")))</f>
        <v/>
      </c>
    </row>
    <row r="4969">
      <c r="A4969" s="39" t="n">
        <v>46237.89694444444</v>
      </c>
      <c r="B4969" s="25">
        <f>TEXT(A4969,"YYYY-MM")</f>
        <v/>
      </c>
      <c r="C4969" s="25">
        <f>TEXT(A4969,"MMM-YYYY")</f>
        <v/>
      </c>
      <c r="D4969" s="40">
        <f>INT(A4969)-WEEKDAY(A4969,2)+1</f>
        <v/>
      </c>
      <c r="E4969" s="25" t="inlineStr">
        <is>
          <t>sswati</t>
        </is>
      </c>
      <c r="F4969" s="25" t="n">
        <v>137601</v>
      </c>
      <c r="G4969" s="25" t="n">
        <v>2</v>
      </c>
      <c r="H4969" s="25" t="n">
        <v>10</v>
      </c>
      <c r="I4969" s="25" t="inlineStr">
        <is>
          <t>1 minute(s) and 54 second(s)</t>
        </is>
      </c>
      <c r="J4969" s="25">
        <f>IFERROR(VALUE(TRIM(LEFT(I4969,FIND("minute",I4969)-1)))*60,0)+IFERROR(VALUE(SUBSTITUTE(MID(I4969,IFERROR(FIND("and",I4969)+3,1),20),"second(s)","")),0)</f>
        <v/>
      </c>
      <c r="K4969" s="41">
        <f>J4969/60</f>
        <v/>
      </c>
      <c r="L4969" s="41">
        <f>IFERROR(J4969/H4969,"")</f>
        <v/>
      </c>
      <c r="M4969" s="25" t="n">
        <v>3.4</v>
      </c>
      <c r="N4969" s="25">
        <f>IF(J4969&gt;300,1,0)</f>
        <v/>
      </c>
      <c r="O4969" s="25">
        <f>IF(J4969&gt;600,1,0)</f>
        <v/>
      </c>
      <c r="P4969" s="25">
        <f>IF(H4969&gt;0,J4969,"")</f>
        <v/>
      </c>
      <c r="Q4969" s="25">
        <f>TEXT(A4969,"YYYY-MM-DD HH")</f>
        <v/>
      </c>
      <c r="R4969" s="25">
        <f>COUNTIF($Q$2:$Q$5295,Q4969)</f>
        <v/>
      </c>
      <c r="S4969" s="25">
        <f>IF(R4969&lt;=2,"1-2",IF(R4969&lt;=5,"3-5",IF(R4969&lt;=10,"6-10","11+")))</f>
        <v/>
      </c>
    </row>
    <row r="4970">
      <c r="A4970" s="39" t="n">
        <v>46237.90011574074</v>
      </c>
      <c r="B4970" s="25">
        <f>TEXT(A4970,"YYYY-MM")</f>
        <v/>
      </c>
      <c r="C4970" s="25">
        <f>TEXT(A4970,"MMM-YYYY")</f>
        <v/>
      </c>
      <c r="D4970" s="40">
        <f>INT(A4970)-WEEKDAY(A4970,2)+1</f>
        <v/>
      </c>
      <c r="E4970" s="25" t="inlineStr">
        <is>
          <t>tkarmakar</t>
        </is>
      </c>
      <c r="F4970" s="25" t="n">
        <v>136177</v>
      </c>
      <c r="G4970" s="25" t="n">
        <v>4</v>
      </c>
      <c r="H4970" s="25" t="n">
        <v>20</v>
      </c>
      <c r="I4970" s="25" t="inlineStr">
        <is>
          <t>14 minute(s) and 43 second(s)</t>
        </is>
      </c>
      <c r="J4970" s="25">
        <f>IFERROR(VALUE(TRIM(LEFT(I4970,FIND("minute",I4970)-1)))*60,0)+IFERROR(VALUE(SUBSTITUTE(MID(I4970,IFERROR(FIND("and",I4970)+3,1),20),"second(s)","")),0)</f>
        <v/>
      </c>
      <c r="K4970" s="41">
        <f>J4970/60</f>
        <v/>
      </c>
      <c r="L4970" s="41">
        <f>IFERROR(J4970/H4970,"")</f>
        <v/>
      </c>
      <c r="M4970" s="25" t="n">
        <v>3.4</v>
      </c>
      <c r="N4970" s="25">
        <f>IF(J4970&gt;300,1,0)</f>
        <v/>
      </c>
      <c r="O4970" s="25">
        <f>IF(J4970&gt;600,1,0)</f>
        <v/>
      </c>
      <c r="P4970" s="25">
        <f>IF(H4970&gt;0,J4970,"")</f>
        <v/>
      </c>
      <c r="Q4970" s="25">
        <f>TEXT(A4970,"YYYY-MM-DD HH")</f>
        <v/>
      </c>
      <c r="R4970" s="25">
        <f>COUNTIF($Q$2:$Q$5295,Q4970)</f>
        <v/>
      </c>
      <c r="S4970" s="25">
        <f>IF(R4970&lt;=2,"1-2",IF(R4970&lt;=5,"3-5",IF(R4970&lt;=10,"6-10","11+")))</f>
        <v/>
      </c>
    </row>
    <row r="4971">
      <c r="A4971" s="39" t="n">
        <v>46237.92459490741</v>
      </c>
      <c r="B4971" s="25">
        <f>TEXT(A4971,"YYYY-MM")</f>
        <v/>
      </c>
      <c r="C4971" s="25">
        <f>TEXT(A4971,"MMM-YYYY")</f>
        <v/>
      </c>
      <c r="D4971" s="40">
        <f>INT(A4971)-WEEKDAY(A4971,2)+1</f>
        <v/>
      </c>
      <c r="E4971" s="25" t="inlineStr">
        <is>
          <t>dchoudhury</t>
        </is>
      </c>
      <c r="F4971" s="25" t="n">
        <v>136809</v>
      </c>
      <c r="G4971" s="25" t="n">
        <v>2</v>
      </c>
      <c r="H4971" s="25" t="n">
        <v>10</v>
      </c>
      <c r="I4971" s="25" t="inlineStr">
        <is>
          <t>1 minute(s) and 34 second(s)</t>
        </is>
      </c>
      <c r="J4971" s="25">
        <f>IFERROR(VALUE(TRIM(LEFT(I4971,FIND("minute",I4971)-1)))*60,0)+IFERROR(VALUE(SUBSTITUTE(MID(I4971,IFERROR(FIND("and",I4971)+3,1),20),"second(s)","")),0)</f>
        <v/>
      </c>
      <c r="K4971" s="41">
        <f>J4971/60</f>
        <v/>
      </c>
      <c r="L4971" s="41">
        <f>IFERROR(J4971/H4971,"")</f>
        <v/>
      </c>
      <c r="M4971" s="25" t="n">
        <v>3.4</v>
      </c>
      <c r="N4971" s="25">
        <f>IF(J4971&gt;300,1,0)</f>
        <v/>
      </c>
      <c r="O4971" s="25">
        <f>IF(J4971&gt;600,1,0)</f>
        <v/>
      </c>
      <c r="P4971" s="25">
        <f>IF(H4971&gt;0,J4971,"")</f>
        <v/>
      </c>
      <c r="Q4971" s="25">
        <f>TEXT(A4971,"YYYY-MM-DD HH")</f>
        <v/>
      </c>
      <c r="R4971" s="25">
        <f>COUNTIF($Q$2:$Q$5295,Q4971)</f>
        <v/>
      </c>
      <c r="S4971" s="25">
        <f>IF(R4971&lt;=2,"1-2",IF(R4971&lt;=5,"3-5",IF(R4971&lt;=10,"6-10","11+")))</f>
        <v/>
      </c>
    </row>
    <row r="4972">
      <c r="A4972" s="39" t="n">
        <v>46237.92741898148</v>
      </c>
      <c r="B4972" s="25">
        <f>TEXT(A4972,"YYYY-MM")</f>
        <v/>
      </c>
      <c r="C4972" s="25">
        <f>TEXT(A4972,"MMM-YYYY")</f>
        <v/>
      </c>
      <c r="D4972" s="40">
        <f>INT(A4972)-WEEKDAY(A4972,2)+1</f>
        <v/>
      </c>
      <c r="E4972" s="25" t="inlineStr">
        <is>
          <t>sswati</t>
        </is>
      </c>
      <c r="F4972" s="25" t="n">
        <v>134265</v>
      </c>
      <c r="G4972" s="25" t="n">
        <v>4</v>
      </c>
      <c r="H4972" s="25" t="n">
        <v>22</v>
      </c>
      <c r="I4972" s="25" t="inlineStr">
        <is>
          <t>3 minute(s) and 0 second(s)</t>
        </is>
      </c>
      <c r="J4972" s="25">
        <f>IFERROR(VALUE(TRIM(LEFT(I4972,FIND("minute",I4972)-1)))*60,0)+IFERROR(VALUE(SUBSTITUTE(MID(I4972,IFERROR(FIND("and",I4972)+3,1),20),"second(s)","")),0)</f>
        <v/>
      </c>
      <c r="K4972" s="41">
        <f>J4972/60</f>
        <v/>
      </c>
      <c r="L4972" s="41">
        <f>IFERROR(J4972/H4972,"")</f>
        <v/>
      </c>
      <c r="M4972" s="25" t="n">
        <v>3.4</v>
      </c>
      <c r="N4972" s="25">
        <f>IF(J4972&gt;300,1,0)</f>
        <v/>
      </c>
      <c r="O4972" s="25">
        <f>IF(J4972&gt;600,1,0)</f>
        <v/>
      </c>
      <c r="P4972" s="25">
        <f>IF(H4972&gt;0,J4972,"")</f>
        <v/>
      </c>
      <c r="Q4972" s="25">
        <f>TEXT(A4972,"YYYY-MM-DD HH")</f>
        <v/>
      </c>
      <c r="R4972" s="25">
        <f>COUNTIF($Q$2:$Q$5295,Q4972)</f>
        <v/>
      </c>
      <c r="S4972" s="25">
        <f>IF(R4972&lt;=2,"1-2",IF(R4972&lt;=5,"3-5",IF(R4972&lt;=10,"6-10","11+")))</f>
        <v/>
      </c>
    </row>
    <row r="4973">
      <c r="A4973" s="39" t="n">
        <v>46237.95734953704</v>
      </c>
      <c r="B4973" s="25">
        <f>TEXT(A4973,"YYYY-MM")</f>
        <v/>
      </c>
      <c r="C4973" s="25">
        <f>TEXT(A4973,"MMM-YYYY")</f>
        <v/>
      </c>
      <c r="D4973" s="40">
        <f>INT(A4973)-WEEKDAY(A4973,2)+1</f>
        <v/>
      </c>
      <c r="E4973" s="25" t="inlineStr">
        <is>
          <t>mgupta</t>
        </is>
      </c>
      <c r="F4973" s="25" t="n">
        <v>135185</v>
      </c>
      <c r="G4973" s="25" t="n">
        <v>3</v>
      </c>
      <c r="H4973" s="25" t="n">
        <v>13</v>
      </c>
      <c r="I4973" s="25" t="inlineStr">
        <is>
          <t>2 minute(s) and 3 second(s)</t>
        </is>
      </c>
      <c r="J4973" s="25">
        <f>IFERROR(VALUE(TRIM(LEFT(I4973,FIND("minute",I4973)-1)))*60,0)+IFERROR(VALUE(SUBSTITUTE(MID(I4973,IFERROR(FIND("and",I4973)+3,1),20),"second(s)","")),0)</f>
        <v/>
      </c>
      <c r="K4973" s="41">
        <f>J4973/60</f>
        <v/>
      </c>
      <c r="L4973" s="41">
        <f>IFERROR(J4973/H4973,"")</f>
        <v/>
      </c>
      <c r="M4973" s="25" t="n">
        <v>3.5</v>
      </c>
      <c r="N4973" s="25">
        <f>IF(J4973&gt;300,1,0)</f>
        <v/>
      </c>
      <c r="O4973" s="25">
        <f>IF(J4973&gt;600,1,0)</f>
        <v/>
      </c>
      <c r="P4973" s="25">
        <f>IF(H4973&gt;0,J4973,"")</f>
        <v/>
      </c>
      <c r="Q4973" s="25">
        <f>TEXT(A4973,"YYYY-MM-DD HH")</f>
        <v/>
      </c>
      <c r="R4973" s="25">
        <f>COUNTIF($Q$2:$Q$5295,Q4973)</f>
        <v/>
      </c>
      <c r="S4973" s="25">
        <f>IF(R4973&lt;=2,"1-2",IF(R4973&lt;=5,"3-5",IF(R4973&lt;=10,"6-10","11+")))</f>
        <v/>
      </c>
    </row>
    <row r="4974">
      <c r="A4974" s="39" t="n">
        <v>46237.96268518519</v>
      </c>
      <c r="B4974" s="25">
        <f>TEXT(A4974,"YYYY-MM")</f>
        <v/>
      </c>
      <c r="C4974" s="25">
        <f>TEXT(A4974,"MMM-YYYY")</f>
        <v/>
      </c>
      <c r="D4974" s="40">
        <f>INT(A4974)-WEEKDAY(A4974,2)+1</f>
        <v/>
      </c>
      <c r="E4974" s="25" t="inlineStr">
        <is>
          <t>ssaha</t>
        </is>
      </c>
      <c r="F4974" s="25" t="n">
        <v>134521</v>
      </c>
      <c r="G4974" s="25" t="n">
        <v>2</v>
      </c>
      <c r="H4974" s="25" t="n">
        <v>10</v>
      </c>
      <c r="I4974" s="25" t="inlineStr">
        <is>
          <t>1 minute(s) and 23 second(s)</t>
        </is>
      </c>
      <c r="J4974" s="25">
        <f>IFERROR(VALUE(TRIM(LEFT(I4974,FIND("minute",I4974)-1)))*60,0)+IFERROR(VALUE(SUBSTITUTE(MID(I4974,IFERROR(FIND("and",I4974)+3,1),20),"second(s)","")),0)</f>
        <v/>
      </c>
      <c r="K4974" s="41">
        <f>J4974/60</f>
        <v/>
      </c>
      <c r="L4974" s="41">
        <f>IFERROR(J4974/H4974,"")</f>
        <v/>
      </c>
      <c r="M4974" s="25" t="n">
        <v>3.5</v>
      </c>
      <c r="N4974" s="25">
        <f>IF(J4974&gt;300,1,0)</f>
        <v/>
      </c>
      <c r="O4974" s="25">
        <f>IF(J4974&gt;600,1,0)</f>
        <v/>
      </c>
      <c r="P4974" s="25">
        <f>IF(H4974&gt;0,J4974,"")</f>
        <v/>
      </c>
      <c r="Q4974" s="25">
        <f>TEXT(A4974,"YYYY-MM-DD HH")</f>
        <v/>
      </c>
      <c r="R4974" s="25">
        <f>COUNTIF($Q$2:$Q$5295,Q4974)</f>
        <v/>
      </c>
      <c r="S4974" s="25">
        <f>IF(R4974&lt;=2,"1-2",IF(R4974&lt;=5,"3-5",IF(R4974&lt;=10,"6-10","11+")))</f>
        <v/>
      </c>
    </row>
    <row r="4975">
      <c r="A4975" s="39" t="n">
        <v>46238.06586805556</v>
      </c>
      <c r="B4975" s="25">
        <f>TEXT(A4975,"YYYY-MM")</f>
        <v/>
      </c>
      <c r="C4975" s="25">
        <f>TEXT(A4975,"MMM-YYYY")</f>
        <v/>
      </c>
      <c r="D4975" s="40">
        <f>INT(A4975)-WEEKDAY(A4975,2)+1</f>
        <v/>
      </c>
      <c r="E4975" s="25" t="inlineStr">
        <is>
          <t>aupadhayay</t>
        </is>
      </c>
      <c r="F4975" s="25" t="n">
        <v>134633</v>
      </c>
      <c r="G4975" s="25" t="n">
        <v>3</v>
      </c>
      <c r="H4975" s="25" t="n">
        <v>15</v>
      </c>
      <c r="I4975" s="25" t="inlineStr">
        <is>
          <t>2 minute(s) and 5 second(s)</t>
        </is>
      </c>
      <c r="J4975" s="25">
        <f>IFERROR(VALUE(TRIM(LEFT(I4975,FIND("minute",I4975)-1)))*60,0)+IFERROR(VALUE(SUBSTITUTE(MID(I4975,IFERROR(FIND("and",I4975)+3,1),20),"second(s)","")),0)</f>
        <v/>
      </c>
      <c r="K4975" s="41">
        <f>J4975/60</f>
        <v/>
      </c>
      <c r="L4975" s="41">
        <f>IFERROR(J4975/H4975,"")</f>
        <v/>
      </c>
      <c r="M4975" s="25" t="n">
        <v>3.4</v>
      </c>
      <c r="N4975" s="25">
        <f>IF(J4975&gt;300,1,0)</f>
        <v/>
      </c>
      <c r="O4975" s="25">
        <f>IF(J4975&gt;600,1,0)</f>
        <v/>
      </c>
      <c r="P4975" s="25">
        <f>IF(H4975&gt;0,J4975,"")</f>
        <v/>
      </c>
      <c r="Q4975" s="25">
        <f>TEXT(A4975,"YYYY-MM-DD HH")</f>
        <v/>
      </c>
      <c r="R4975" s="25">
        <f>COUNTIF($Q$2:$Q$5295,Q4975)</f>
        <v/>
      </c>
      <c r="S4975" s="25">
        <f>IF(R4975&lt;=2,"1-2",IF(R4975&lt;=5,"3-5",IF(R4975&lt;=10,"6-10","11+")))</f>
        <v/>
      </c>
    </row>
    <row r="4976">
      <c r="A4976" s="39" t="n">
        <v>46238.06989583333</v>
      </c>
      <c r="B4976" s="25">
        <f>TEXT(A4976,"YYYY-MM")</f>
        <v/>
      </c>
      <c r="C4976" s="25">
        <f>TEXT(A4976,"MMM-YYYY")</f>
        <v/>
      </c>
      <c r="D4976" s="40">
        <f>INT(A4976)-WEEKDAY(A4976,2)+1</f>
        <v/>
      </c>
      <c r="E4976" s="25" t="inlineStr">
        <is>
          <t>stiwari</t>
        </is>
      </c>
      <c r="F4976" s="25" t="n">
        <v>134837</v>
      </c>
      <c r="G4976" s="25" t="n">
        <v>2</v>
      </c>
      <c r="H4976" s="25" t="n">
        <v>12</v>
      </c>
      <c r="I4976" s="25" t="inlineStr">
        <is>
          <t>1 minute(s) and 34 second(s)</t>
        </is>
      </c>
      <c r="J4976" s="25">
        <f>IFERROR(VALUE(TRIM(LEFT(I4976,FIND("minute",I4976)-1)))*60,0)+IFERROR(VALUE(SUBSTITUTE(MID(I4976,IFERROR(FIND("and",I4976)+3,1),20),"second(s)","")),0)</f>
        <v/>
      </c>
      <c r="K4976" s="41">
        <f>J4976/60</f>
        <v/>
      </c>
      <c r="L4976" s="41">
        <f>IFERROR(J4976/H4976,"")</f>
        <v/>
      </c>
      <c r="M4976" s="25" t="n">
        <v>3.4</v>
      </c>
      <c r="N4976" s="25">
        <f>IF(J4976&gt;300,1,0)</f>
        <v/>
      </c>
      <c r="O4976" s="25">
        <f>IF(J4976&gt;600,1,0)</f>
        <v/>
      </c>
      <c r="P4976" s="25">
        <f>IF(H4976&gt;0,J4976,"")</f>
        <v/>
      </c>
      <c r="Q4976" s="25">
        <f>TEXT(A4976,"YYYY-MM-DD HH")</f>
        <v/>
      </c>
      <c r="R4976" s="25">
        <f>COUNTIF($Q$2:$Q$5295,Q4976)</f>
        <v/>
      </c>
      <c r="S4976" s="25">
        <f>IF(R4976&lt;=2,"1-2",IF(R4976&lt;=5,"3-5",IF(R4976&lt;=10,"6-10","11+")))</f>
        <v/>
      </c>
    </row>
    <row r="4977">
      <c r="A4977" s="39" t="n">
        <v>46238.07914351852</v>
      </c>
      <c r="B4977" s="25">
        <f>TEXT(A4977,"YYYY-MM")</f>
        <v/>
      </c>
      <c r="C4977" s="25">
        <f>TEXT(A4977,"MMM-YYYY")</f>
        <v/>
      </c>
      <c r="D4977" s="40">
        <f>INT(A4977)-WEEKDAY(A4977,2)+1</f>
        <v/>
      </c>
      <c r="E4977" s="25" t="inlineStr">
        <is>
          <t>ns</t>
        </is>
      </c>
      <c r="F4977" s="25" t="n">
        <v>135865</v>
      </c>
      <c r="G4977" s="25" t="n">
        <v>2</v>
      </c>
      <c r="H4977" s="25" t="n">
        <v>12</v>
      </c>
      <c r="I4977" s="25" t="inlineStr">
        <is>
          <t>1 minute(s) and 36 second(s)</t>
        </is>
      </c>
      <c r="J4977" s="25">
        <f>IFERROR(VALUE(TRIM(LEFT(I4977,FIND("minute",I4977)-1)))*60,0)+IFERROR(VALUE(SUBSTITUTE(MID(I4977,IFERROR(FIND("and",I4977)+3,1),20),"second(s)","")),0)</f>
        <v/>
      </c>
      <c r="K4977" s="41">
        <f>J4977/60</f>
        <v/>
      </c>
      <c r="L4977" s="41">
        <f>IFERROR(J4977/H4977,"")</f>
        <v/>
      </c>
      <c r="M4977" s="25" t="n">
        <v>3.4</v>
      </c>
      <c r="N4977" s="25">
        <f>IF(J4977&gt;300,1,0)</f>
        <v/>
      </c>
      <c r="O4977" s="25">
        <f>IF(J4977&gt;600,1,0)</f>
        <v/>
      </c>
      <c r="P4977" s="25">
        <f>IF(H4977&gt;0,J4977,"")</f>
        <v/>
      </c>
      <c r="Q4977" s="25">
        <f>TEXT(A4977,"YYYY-MM-DD HH")</f>
        <v/>
      </c>
      <c r="R4977" s="25">
        <f>COUNTIF($Q$2:$Q$5295,Q4977)</f>
        <v/>
      </c>
      <c r="S4977" s="25">
        <f>IF(R4977&lt;=2,"1-2",IF(R4977&lt;=5,"3-5",IF(R4977&lt;=10,"6-10","11+")))</f>
        <v/>
      </c>
    </row>
    <row r="4978">
      <c r="A4978" s="39" t="n">
        <v>46238.07983796296</v>
      </c>
      <c r="B4978" s="25">
        <f>TEXT(A4978,"YYYY-MM")</f>
        <v/>
      </c>
      <c r="C4978" s="25">
        <f>TEXT(A4978,"MMM-YYYY")</f>
        <v/>
      </c>
      <c r="D4978" s="40">
        <f>INT(A4978)-WEEKDAY(A4978,2)+1</f>
        <v/>
      </c>
      <c r="E4978" s="25" t="inlineStr">
        <is>
          <t>psathwika</t>
        </is>
      </c>
      <c r="F4978" s="25" t="n">
        <v>137337</v>
      </c>
      <c r="G4978" s="25" t="n">
        <v>1</v>
      </c>
      <c r="H4978" s="25" t="n">
        <v>5</v>
      </c>
      <c r="I4978" s="25" t="inlineStr">
        <is>
          <t>29 second(s)</t>
        </is>
      </c>
      <c r="J4978" s="25">
        <f>IFERROR(VALUE(TRIM(LEFT(I4978,FIND("minute",I4978)-1)))*60,0)+IFERROR(VALUE(SUBSTITUTE(MID(I4978,IFERROR(FIND("and",I4978)+3,1),20),"second(s)","")),0)</f>
        <v/>
      </c>
      <c r="K4978" s="41">
        <f>J4978/60</f>
        <v/>
      </c>
      <c r="L4978" s="41">
        <f>IFERROR(J4978/H4978,"")</f>
        <v/>
      </c>
      <c r="M4978" s="25" t="inlineStr">
        <is>
          <t>2.5.12</t>
        </is>
      </c>
      <c r="N4978" s="25">
        <f>IF(J4978&gt;300,1,0)</f>
        <v/>
      </c>
      <c r="O4978" s="25">
        <f>IF(J4978&gt;600,1,0)</f>
        <v/>
      </c>
      <c r="P4978" s="25">
        <f>IF(H4978&gt;0,J4978,"")</f>
        <v/>
      </c>
      <c r="Q4978" s="25">
        <f>TEXT(A4978,"YYYY-MM-DD HH")</f>
        <v/>
      </c>
      <c r="R4978" s="25">
        <f>COUNTIF($Q$2:$Q$5295,Q4978)</f>
        <v/>
      </c>
      <c r="S4978" s="25">
        <f>IF(R4978&lt;=2,"1-2",IF(R4978&lt;=5,"3-5",IF(R4978&lt;=10,"6-10","11+")))</f>
        <v/>
      </c>
    </row>
    <row r="4979">
      <c r="A4979" s="39" t="n">
        <v>46238.08121527778</v>
      </c>
      <c r="B4979" s="25">
        <f>TEXT(A4979,"YYYY-MM")</f>
        <v/>
      </c>
      <c r="C4979" s="25">
        <f>TEXT(A4979,"MMM-YYYY")</f>
        <v/>
      </c>
      <c r="D4979" s="40">
        <f>INT(A4979)-WEEKDAY(A4979,2)+1</f>
        <v/>
      </c>
      <c r="E4979" s="25" t="inlineStr">
        <is>
          <t>shasikha</t>
        </is>
      </c>
      <c r="F4979" s="25" t="n">
        <v>137129</v>
      </c>
      <c r="G4979" s="25" t="n">
        <v>2</v>
      </c>
      <c r="H4979" s="25" t="n">
        <v>8</v>
      </c>
      <c r="I4979" s="25" t="inlineStr">
        <is>
          <t>1 minute(s) and 8 second(s)</t>
        </is>
      </c>
      <c r="J4979" s="25">
        <f>IFERROR(VALUE(TRIM(LEFT(I4979,FIND("minute",I4979)-1)))*60,0)+IFERROR(VALUE(SUBSTITUTE(MID(I4979,IFERROR(FIND("and",I4979)+3,1),20),"second(s)","")),0)</f>
        <v/>
      </c>
      <c r="K4979" s="41">
        <f>J4979/60</f>
        <v/>
      </c>
      <c r="L4979" s="41">
        <f>IFERROR(J4979/H4979,"")</f>
        <v/>
      </c>
      <c r="M4979" s="25" t="n">
        <v>3.4</v>
      </c>
      <c r="N4979" s="25">
        <f>IF(J4979&gt;300,1,0)</f>
        <v/>
      </c>
      <c r="O4979" s="25">
        <f>IF(J4979&gt;600,1,0)</f>
        <v/>
      </c>
      <c r="P4979" s="25">
        <f>IF(H4979&gt;0,J4979,"")</f>
        <v/>
      </c>
      <c r="Q4979" s="25">
        <f>TEXT(A4979,"YYYY-MM-DD HH")</f>
        <v/>
      </c>
      <c r="R4979" s="25">
        <f>COUNTIF($Q$2:$Q$5295,Q4979)</f>
        <v/>
      </c>
      <c r="S4979" s="25">
        <f>IF(R4979&lt;=2,"1-2",IF(R4979&lt;=5,"3-5",IF(R4979&lt;=10,"6-10","11+")))</f>
        <v/>
      </c>
    </row>
    <row r="4980">
      <c r="A4980" s="39" t="n">
        <v>46238.08270833334</v>
      </c>
      <c r="B4980" s="25">
        <f>TEXT(A4980,"YYYY-MM")</f>
        <v/>
      </c>
      <c r="C4980" s="25">
        <f>TEXT(A4980,"MMM-YYYY")</f>
        <v/>
      </c>
      <c r="D4980" s="40">
        <f>INT(A4980)-WEEKDAY(A4980,2)+1</f>
        <v/>
      </c>
      <c r="E4980" s="25" t="inlineStr">
        <is>
          <t>ethomas</t>
        </is>
      </c>
      <c r="F4980" s="25" t="n">
        <v>133741</v>
      </c>
      <c r="G4980" s="25" t="n">
        <v>1</v>
      </c>
      <c r="H4980" s="25" t="n">
        <v>7</v>
      </c>
      <c r="I4980" s="25" t="inlineStr">
        <is>
          <t>1 minute(s) and 6 second(s)</t>
        </is>
      </c>
      <c r="J4980" s="25">
        <f>IFERROR(VALUE(TRIM(LEFT(I4980,FIND("minute",I4980)-1)))*60,0)+IFERROR(VALUE(SUBSTITUTE(MID(I4980,IFERROR(FIND("and",I4980)+3,1),20),"second(s)","")),0)</f>
        <v/>
      </c>
      <c r="K4980" s="41">
        <f>J4980/60</f>
        <v/>
      </c>
      <c r="L4980" s="41">
        <f>IFERROR(J4980/H4980,"")</f>
        <v/>
      </c>
      <c r="M4980" s="25" t="n">
        <v>3.4</v>
      </c>
      <c r="N4980" s="25">
        <f>IF(J4980&gt;300,1,0)</f>
        <v/>
      </c>
      <c r="O4980" s="25">
        <f>IF(J4980&gt;600,1,0)</f>
        <v/>
      </c>
      <c r="P4980" s="25">
        <f>IF(H4980&gt;0,J4980,"")</f>
        <v/>
      </c>
      <c r="Q4980" s="25">
        <f>TEXT(A4980,"YYYY-MM-DD HH")</f>
        <v/>
      </c>
      <c r="R4980" s="25">
        <f>COUNTIF($Q$2:$Q$5295,Q4980)</f>
        <v/>
      </c>
      <c r="S4980" s="25">
        <f>IF(R4980&lt;=2,"1-2",IF(R4980&lt;=5,"3-5",IF(R4980&lt;=10,"6-10","11+")))</f>
        <v/>
      </c>
    </row>
    <row r="4981">
      <c r="A4981" s="39" t="n">
        <v>46238.08465277778</v>
      </c>
      <c r="B4981" s="25">
        <f>TEXT(A4981,"YYYY-MM")</f>
        <v/>
      </c>
      <c r="C4981" s="25">
        <f>TEXT(A4981,"MMM-YYYY")</f>
        <v/>
      </c>
      <c r="D4981" s="40">
        <f>INT(A4981)-WEEKDAY(A4981,2)+1</f>
        <v/>
      </c>
      <c r="E4981" s="25" t="inlineStr">
        <is>
          <t>mgupta</t>
        </is>
      </c>
      <c r="F4981" s="25" t="n">
        <v>136725</v>
      </c>
      <c r="G4981" s="25" t="n">
        <v>2</v>
      </c>
      <c r="H4981" s="25" t="n">
        <v>9</v>
      </c>
      <c r="I4981" s="25" t="inlineStr">
        <is>
          <t>1 minute(s) and 27 second(s)</t>
        </is>
      </c>
      <c r="J4981" s="25">
        <f>IFERROR(VALUE(TRIM(LEFT(I4981,FIND("minute",I4981)-1)))*60,0)+IFERROR(VALUE(SUBSTITUTE(MID(I4981,IFERROR(FIND("and",I4981)+3,1),20),"second(s)","")),0)</f>
        <v/>
      </c>
      <c r="K4981" s="41">
        <f>J4981/60</f>
        <v/>
      </c>
      <c r="L4981" s="41">
        <f>IFERROR(J4981/H4981,"")</f>
        <v/>
      </c>
      <c r="M4981" s="25" t="n">
        <v>3.5</v>
      </c>
      <c r="N4981" s="25">
        <f>IF(J4981&gt;300,1,0)</f>
        <v/>
      </c>
      <c r="O4981" s="25">
        <f>IF(J4981&gt;600,1,0)</f>
        <v/>
      </c>
      <c r="P4981" s="25">
        <f>IF(H4981&gt;0,J4981,"")</f>
        <v/>
      </c>
      <c r="Q4981" s="25">
        <f>TEXT(A4981,"YYYY-MM-DD HH")</f>
        <v/>
      </c>
      <c r="R4981" s="25">
        <f>COUNTIF($Q$2:$Q$5295,Q4981)</f>
        <v/>
      </c>
      <c r="S4981" s="25">
        <f>IF(R4981&lt;=2,"1-2",IF(R4981&lt;=5,"3-5",IF(R4981&lt;=10,"6-10","11+")))</f>
        <v/>
      </c>
    </row>
    <row r="4982">
      <c r="A4982" s="39" t="n">
        <v>46238.09282407408</v>
      </c>
      <c r="B4982" s="25">
        <f>TEXT(A4982,"YYYY-MM")</f>
        <v/>
      </c>
      <c r="C4982" s="25">
        <f>TEXT(A4982,"MMM-YYYY")</f>
        <v/>
      </c>
      <c r="D4982" s="40">
        <f>INT(A4982)-WEEKDAY(A4982,2)+1</f>
        <v/>
      </c>
      <c r="E4982" s="25" t="inlineStr">
        <is>
          <t>aupadhayay</t>
        </is>
      </c>
      <c r="F4982" s="25" t="n">
        <v>135569</v>
      </c>
      <c r="G4982" s="25" t="n">
        <v>1</v>
      </c>
      <c r="H4982" s="25" t="n">
        <v>5</v>
      </c>
      <c r="I4982" s="25" t="inlineStr">
        <is>
          <t>53 second(s)</t>
        </is>
      </c>
      <c r="J4982" s="25">
        <f>IFERROR(VALUE(TRIM(LEFT(I4982,FIND("minute",I4982)-1)))*60,0)+IFERROR(VALUE(SUBSTITUTE(MID(I4982,IFERROR(FIND("and",I4982)+3,1),20),"second(s)","")),0)</f>
        <v/>
      </c>
      <c r="K4982" s="41">
        <f>J4982/60</f>
        <v/>
      </c>
      <c r="L4982" s="41">
        <f>IFERROR(J4982/H4982,"")</f>
        <v/>
      </c>
      <c r="M4982" s="25" t="n">
        <v>3.4</v>
      </c>
      <c r="N4982" s="25">
        <f>IF(J4982&gt;300,1,0)</f>
        <v/>
      </c>
      <c r="O4982" s="25">
        <f>IF(J4982&gt;600,1,0)</f>
        <v/>
      </c>
      <c r="P4982" s="25">
        <f>IF(H4982&gt;0,J4982,"")</f>
        <v/>
      </c>
      <c r="Q4982" s="25">
        <f>TEXT(A4982,"YYYY-MM-DD HH")</f>
        <v/>
      </c>
      <c r="R4982" s="25">
        <f>COUNTIF($Q$2:$Q$5295,Q4982)</f>
        <v/>
      </c>
      <c r="S4982" s="25">
        <f>IF(R4982&lt;=2,"1-2",IF(R4982&lt;=5,"3-5",IF(R4982&lt;=10,"6-10","11+")))</f>
        <v/>
      </c>
    </row>
    <row r="4983">
      <c r="A4983" s="39" t="n">
        <v>46238.09635416666</v>
      </c>
      <c r="B4983" s="25">
        <f>TEXT(A4983,"YYYY-MM")</f>
        <v/>
      </c>
      <c r="C4983" s="25">
        <f>TEXT(A4983,"MMM-YYYY")</f>
        <v/>
      </c>
      <c r="D4983" s="40">
        <f>INT(A4983)-WEEKDAY(A4983,2)+1</f>
        <v/>
      </c>
      <c r="E4983" s="25" t="inlineStr">
        <is>
          <t>shassan</t>
        </is>
      </c>
      <c r="F4983" s="25" t="n">
        <v>137437</v>
      </c>
      <c r="G4983" s="25" t="n">
        <v>4</v>
      </c>
      <c r="H4983" s="25" t="n">
        <v>26</v>
      </c>
      <c r="I4983" s="25" t="inlineStr">
        <is>
          <t>3 minute(s) and 22 second(s)</t>
        </is>
      </c>
      <c r="J4983" s="25">
        <f>IFERROR(VALUE(TRIM(LEFT(I4983,FIND("minute",I4983)-1)))*60,0)+IFERROR(VALUE(SUBSTITUTE(MID(I4983,IFERROR(FIND("and",I4983)+3,1),20),"second(s)","")),0)</f>
        <v/>
      </c>
      <c r="K4983" s="41">
        <f>J4983/60</f>
        <v/>
      </c>
      <c r="L4983" s="41">
        <f>IFERROR(J4983/H4983,"")</f>
        <v/>
      </c>
      <c r="M4983" s="25" t="n">
        <v>3.4</v>
      </c>
      <c r="N4983" s="25">
        <f>IF(J4983&gt;300,1,0)</f>
        <v/>
      </c>
      <c r="O4983" s="25">
        <f>IF(J4983&gt;600,1,0)</f>
        <v/>
      </c>
      <c r="P4983" s="25">
        <f>IF(H4983&gt;0,J4983,"")</f>
        <v/>
      </c>
      <c r="Q4983" s="25">
        <f>TEXT(A4983,"YYYY-MM-DD HH")</f>
        <v/>
      </c>
      <c r="R4983" s="25">
        <f>COUNTIF($Q$2:$Q$5295,Q4983)</f>
        <v/>
      </c>
      <c r="S4983" s="25">
        <f>IF(R4983&lt;=2,"1-2",IF(R4983&lt;=5,"3-5",IF(R4983&lt;=10,"6-10","11+")))</f>
        <v/>
      </c>
    </row>
    <row r="4984">
      <c r="A4984" s="39" t="n">
        <v>46238.10027777778</v>
      </c>
      <c r="B4984" s="25">
        <f>TEXT(A4984,"YYYY-MM")</f>
        <v/>
      </c>
      <c r="C4984" s="25">
        <f>TEXT(A4984,"MMM-YYYY")</f>
        <v/>
      </c>
      <c r="D4984" s="40">
        <f>INT(A4984)-WEEKDAY(A4984,2)+1</f>
        <v/>
      </c>
      <c r="E4984" s="25" t="inlineStr">
        <is>
          <t>tkarmakar</t>
        </is>
      </c>
      <c r="F4984" s="25" t="n">
        <v>135157</v>
      </c>
      <c r="G4984" s="25" t="n">
        <v>2</v>
      </c>
      <c r="H4984" s="25" t="n">
        <v>12</v>
      </c>
      <c r="I4984" s="25" t="inlineStr">
        <is>
          <t>1 minute(s) and 20 second(s)</t>
        </is>
      </c>
      <c r="J4984" s="25">
        <f>IFERROR(VALUE(TRIM(LEFT(I4984,FIND("minute",I4984)-1)))*60,0)+IFERROR(VALUE(SUBSTITUTE(MID(I4984,IFERROR(FIND("and",I4984)+3,1),20),"second(s)","")),0)</f>
        <v/>
      </c>
      <c r="K4984" s="41">
        <f>J4984/60</f>
        <v/>
      </c>
      <c r="L4984" s="41">
        <f>IFERROR(J4984/H4984,"")</f>
        <v/>
      </c>
      <c r="M4984" s="25" t="n">
        <v>3.4</v>
      </c>
      <c r="N4984" s="25">
        <f>IF(J4984&gt;300,1,0)</f>
        <v/>
      </c>
      <c r="O4984" s="25">
        <f>IF(J4984&gt;600,1,0)</f>
        <v/>
      </c>
      <c r="P4984" s="25">
        <f>IF(H4984&gt;0,J4984,"")</f>
        <v/>
      </c>
      <c r="Q4984" s="25">
        <f>TEXT(A4984,"YYYY-MM-DD HH")</f>
        <v/>
      </c>
      <c r="R4984" s="25">
        <f>COUNTIF($Q$2:$Q$5295,Q4984)</f>
        <v/>
      </c>
      <c r="S4984" s="25">
        <f>IF(R4984&lt;=2,"1-2",IF(R4984&lt;=5,"3-5",IF(R4984&lt;=10,"6-10","11+")))</f>
        <v/>
      </c>
    </row>
    <row r="4985">
      <c r="A4985" s="39" t="n">
        <v>46238.10233796296</v>
      </c>
      <c r="B4985" s="25">
        <f>TEXT(A4985,"YYYY-MM")</f>
        <v/>
      </c>
      <c r="C4985" s="25">
        <f>TEXT(A4985,"MMM-YYYY")</f>
        <v/>
      </c>
      <c r="D4985" s="40">
        <f>INT(A4985)-WEEKDAY(A4985,2)+1</f>
        <v/>
      </c>
      <c r="E4985" s="25" t="inlineStr">
        <is>
          <t>smukhopadhyay</t>
        </is>
      </c>
      <c r="F4985" s="25" t="n">
        <v>134765</v>
      </c>
      <c r="G4985" s="25" t="n">
        <v>4</v>
      </c>
      <c r="H4985" s="25" t="n">
        <v>28</v>
      </c>
      <c r="I4985" s="25" t="inlineStr">
        <is>
          <t>4 minute(s) and 27 second(s)</t>
        </is>
      </c>
      <c r="J4985" s="25">
        <f>IFERROR(VALUE(TRIM(LEFT(I4985,FIND("minute",I4985)-1)))*60,0)+IFERROR(VALUE(SUBSTITUTE(MID(I4985,IFERROR(FIND("and",I4985)+3,1),20),"second(s)","")),0)</f>
        <v/>
      </c>
      <c r="K4985" s="41">
        <f>J4985/60</f>
        <v/>
      </c>
      <c r="L4985" s="41">
        <f>IFERROR(J4985/H4985,"")</f>
        <v/>
      </c>
      <c r="M4985" s="25" t="inlineStr">
        <is>
          <t>2.5.12</t>
        </is>
      </c>
      <c r="N4985" s="25">
        <f>IF(J4985&gt;300,1,0)</f>
        <v/>
      </c>
      <c r="O4985" s="25">
        <f>IF(J4985&gt;600,1,0)</f>
        <v/>
      </c>
      <c r="P4985" s="25">
        <f>IF(H4985&gt;0,J4985,"")</f>
        <v/>
      </c>
      <c r="Q4985" s="25">
        <f>TEXT(A4985,"YYYY-MM-DD HH")</f>
        <v/>
      </c>
      <c r="R4985" s="25">
        <f>COUNTIF($Q$2:$Q$5295,Q4985)</f>
        <v/>
      </c>
      <c r="S4985" s="25">
        <f>IF(R4985&lt;=2,"1-2",IF(R4985&lt;=5,"3-5",IF(R4985&lt;=10,"6-10","11+")))</f>
        <v/>
      </c>
    </row>
    <row r="4986">
      <c r="A4986" s="39" t="n">
        <v>46238.10840277778</v>
      </c>
      <c r="B4986" s="25">
        <f>TEXT(A4986,"YYYY-MM")</f>
        <v/>
      </c>
      <c r="C4986" s="25">
        <f>TEXT(A4986,"MMM-YYYY")</f>
        <v/>
      </c>
      <c r="D4986" s="40">
        <f>INT(A4986)-WEEKDAY(A4986,2)+1</f>
        <v/>
      </c>
      <c r="E4986" s="25" t="inlineStr">
        <is>
          <t>stiwari</t>
        </is>
      </c>
      <c r="F4986" s="25" t="n">
        <v>134845</v>
      </c>
      <c r="G4986" s="25" t="n">
        <v>2</v>
      </c>
      <c r="H4986" s="25" t="n">
        <v>12</v>
      </c>
      <c r="I4986" s="25" t="inlineStr">
        <is>
          <t>1 minute(s) and 28 second(s)</t>
        </is>
      </c>
      <c r="J4986" s="25">
        <f>IFERROR(VALUE(TRIM(LEFT(I4986,FIND("minute",I4986)-1)))*60,0)+IFERROR(VALUE(SUBSTITUTE(MID(I4986,IFERROR(FIND("and",I4986)+3,1),20),"second(s)","")),0)</f>
        <v/>
      </c>
      <c r="K4986" s="41">
        <f>J4986/60</f>
        <v/>
      </c>
      <c r="L4986" s="41">
        <f>IFERROR(J4986/H4986,"")</f>
        <v/>
      </c>
      <c r="M4986" s="25" t="n">
        <v>3.4</v>
      </c>
      <c r="N4986" s="25">
        <f>IF(J4986&gt;300,1,0)</f>
        <v/>
      </c>
      <c r="O4986" s="25">
        <f>IF(J4986&gt;600,1,0)</f>
        <v/>
      </c>
      <c r="P4986" s="25">
        <f>IF(H4986&gt;0,J4986,"")</f>
        <v/>
      </c>
      <c r="Q4986" s="25">
        <f>TEXT(A4986,"YYYY-MM-DD HH")</f>
        <v/>
      </c>
      <c r="R4986" s="25">
        <f>COUNTIF($Q$2:$Q$5295,Q4986)</f>
        <v/>
      </c>
      <c r="S4986" s="25">
        <f>IF(R4986&lt;=2,"1-2",IF(R4986&lt;=5,"3-5",IF(R4986&lt;=10,"6-10","11+")))</f>
        <v/>
      </c>
    </row>
    <row r="4987">
      <c r="A4987" s="39" t="n">
        <v>46238.11454861111</v>
      </c>
      <c r="B4987" s="25">
        <f>TEXT(A4987,"YYYY-MM")</f>
        <v/>
      </c>
      <c r="C4987" s="25">
        <f>TEXT(A4987,"MMM-YYYY")</f>
        <v/>
      </c>
      <c r="D4987" s="40">
        <f>INT(A4987)-WEEKDAY(A4987,2)+1</f>
        <v/>
      </c>
      <c r="E4987" s="25" t="inlineStr">
        <is>
          <t>psathwika</t>
        </is>
      </c>
      <c r="F4987" s="25" t="n">
        <v>132888</v>
      </c>
      <c r="G4987" s="25" t="n">
        <v>3</v>
      </c>
      <c r="H4987" s="25" t="n">
        <v>21</v>
      </c>
      <c r="I4987" s="25" t="inlineStr">
        <is>
          <t>1 minute(s) and 57 second(s)</t>
        </is>
      </c>
      <c r="J4987" s="25">
        <f>IFERROR(VALUE(TRIM(LEFT(I4987,FIND("minute",I4987)-1)))*60,0)+IFERROR(VALUE(SUBSTITUTE(MID(I4987,IFERROR(FIND("and",I4987)+3,1),20),"second(s)","")),0)</f>
        <v/>
      </c>
      <c r="K4987" s="41">
        <f>J4987/60</f>
        <v/>
      </c>
      <c r="L4987" s="41">
        <f>IFERROR(J4987/H4987,"")</f>
        <v/>
      </c>
      <c r="M4987" s="25" t="inlineStr">
        <is>
          <t>2.5.12</t>
        </is>
      </c>
      <c r="N4987" s="25">
        <f>IF(J4987&gt;300,1,0)</f>
        <v/>
      </c>
      <c r="O4987" s="25">
        <f>IF(J4987&gt;600,1,0)</f>
        <v/>
      </c>
      <c r="P4987" s="25">
        <f>IF(H4987&gt;0,J4987,"")</f>
        <v/>
      </c>
      <c r="Q4987" s="25">
        <f>TEXT(A4987,"YYYY-MM-DD HH")</f>
        <v/>
      </c>
      <c r="R4987" s="25">
        <f>COUNTIF($Q$2:$Q$5295,Q4987)</f>
        <v/>
      </c>
      <c r="S4987" s="25">
        <f>IF(R4987&lt;=2,"1-2",IF(R4987&lt;=5,"3-5",IF(R4987&lt;=10,"6-10","11+")))</f>
        <v/>
      </c>
    </row>
    <row r="4988">
      <c r="A4988" s="39" t="n">
        <v>46238.11981481482</v>
      </c>
      <c r="B4988" s="25">
        <f>TEXT(A4988,"YYYY-MM")</f>
        <v/>
      </c>
      <c r="C4988" s="25">
        <f>TEXT(A4988,"MMM-YYYY")</f>
        <v/>
      </c>
      <c r="D4988" s="40">
        <f>INT(A4988)-WEEKDAY(A4988,2)+1</f>
        <v/>
      </c>
      <c r="E4988" s="25" t="inlineStr">
        <is>
          <t>sakumar</t>
        </is>
      </c>
      <c r="F4988" s="25" t="n">
        <v>137485</v>
      </c>
      <c r="G4988" s="25" t="n">
        <v>1</v>
      </c>
      <c r="H4988" s="25" t="n">
        <v>5</v>
      </c>
      <c r="I4988" s="25" t="inlineStr">
        <is>
          <t>42 second(s)</t>
        </is>
      </c>
      <c r="J4988" s="25">
        <f>IFERROR(VALUE(TRIM(LEFT(I4988,FIND("minute",I4988)-1)))*60,0)+IFERROR(VALUE(SUBSTITUTE(MID(I4988,IFERROR(FIND("and",I4988)+3,1),20),"second(s)","")),0)</f>
        <v/>
      </c>
      <c r="K4988" s="41">
        <f>J4988/60</f>
        <v/>
      </c>
      <c r="L4988" s="41">
        <f>IFERROR(J4988/H4988,"")</f>
        <v/>
      </c>
      <c r="M4988" s="25" t="n">
        <v>3.4</v>
      </c>
      <c r="N4988" s="25">
        <f>IF(J4988&gt;300,1,0)</f>
        <v/>
      </c>
      <c r="O4988" s="25">
        <f>IF(J4988&gt;600,1,0)</f>
        <v/>
      </c>
      <c r="P4988" s="25">
        <f>IF(H4988&gt;0,J4988,"")</f>
        <v/>
      </c>
      <c r="Q4988" s="25">
        <f>TEXT(A4988,"YYYY-MM-DD HH")</f>
        <v/>
      </c>
      <c r="R4988" s="25">
        <f>COUNTIF($Q$2:$Q$5295,Q4988)</f>
        <v/>
      </c>
      <c r="S4988" s="25">
        <f>IF(R4988&lt;=2,"1-2",IF(R4988&lt;=5,"3-5",IF(R4988&lt;=10,"6-10","11+")))</f>
        <v/>
      </c>
    </row>
    <row r="4989">
      <c r="A4989" s="39" t="n">
        <v>46238.12271990741</v>
      </c>
      <c r="B4989" s="25">
        <f>TEXT(A4989,"YYYY-MM")</f>
        <v/>
      </c>
      <c r="C4989" s="25">
        <f>TEXT(A4989,"MMM-YYYY")</f>
        <v/>
      </c>
      <c r="D4989" s="40">
        <f>INT(A4989)-WEEKDAY(A4989,2)+1</f>
        <v/>
      </c>
      <c r="E4989" s="25" t="inlineStr">
        <is>
          <t>shasikha</t>
        </is>
      </c>
      <c r="F4989" s="25" t="n">
        <v>130268</v>
      </c>
      <c r="G4989" s="25" t="n">
        <v>3</v>
      </c>
      <c r="H4989" s="25" t="n">
        <v>21</v>
      </c>
      <c r="I4989" s="25" t="inlineStr">
        <is>
          <t>2 minute(s) and 25 second(s)</t>
        </is>
      </c>
      <c r="J4989" s="25">
        <f>IFERROR(VALUE(TRIM(LEFT(I4989,FIND("minute",I4989)-1)))*60,0)+IFERROR(VALUE(SUBSTITUTE(MID(I4989,IFERROR(FIND("and",I4989)+3,1),20),"second(s)","")),0)</f>
        <v/>
      </c>
      <c r="K4989" s="41">
        <f>J4989/60</f>
        <v/>
      </c>
      <c r="L4989" s="41">
        <f>IFERROR(J4989/H4989,"")</f>
        <v/>
      </c>
      <c r="M4989" s="25" t="n">
        <v>3.4</v>
      </c>
      <c r="N4989" s="25">
        <f>IF(J4989&gt;300,1,0)</f>
        <v/>
      </c>
      <c r="O4989" s="25">
        <f>IF(J4989&gt;600,1,0)</f>
        <v/>
      </c>
      <c r="P4989" s="25">
        <f>IF(H4989&gt;0,J4989,"")</f>
        <v/>
      </c>
      <c r="Q4989" s="25">
        <f>TEXT(A4989,"YYYY-MM-DD HH")</f>
        <v/>
      </c>
      <c r="R4989" s="25">
        <f>COUNTIF($Q$2:$Q$5295,Q4989)</f>
        <v/>
      </c>
      <c r="S4989" s="25">
        <f>IF(R4989&lt;=2,"1-2",IF(R4989&lt;=5,"3-5",IF(R4989&lt;=10,"6-10","11+")))</f>
        <v/>
      </c>
    </row>
    <row r="4990">
      <c r="A4990" s="39" t="n">
        <v>46238.12447916667</v>
      </c>
      <c r="B4990" s="25">
        <f>TEXT(A4990,"YYYY-MM")</f>
        <v/>
      </c>
      <c r="C4990" s="25">
        <f>TEXT(A4990,"MMM-YYYY")</f>
        <v/>
      </c>
      <c r="D4990" s="40">
        <f>INT(A4990)-WEEKDAY(A4990,2)+1</f>
        <v/>
      </c>
      <c r="E4990" s="25" t="inlineStr">
        <is>
          <t>sakumar</t>
        </is>
      </c>
      <c r="F4990" s="25" t="n">
        <v>137485</v>
      </c>
      <c r="G4990" s="25" t="n">
        <v>2</v>
      </c>
      <c r="H4990" s="25" t="n">
        <v>6</v>
      </c>
      <c r="I4990" s="25" t="inlineStr">
        <is>
          <t>52 second(s)</t>
        </is>
      </c>
      <c r="J4990" s="25">
        <f>IFERROR(VALUE(TRIM(LEFT(I4990,FIND("minute",I4990)-1)))*60,0)+IFERROR(VALUE(SUBSTITUTE(MID(I4990,IFERROR(FIND("and",I4990)+3,1),20),"second(s)","")),0)</f>
        <v/>
      </c>
      <c r="K4990" s="41">
        <f>J4990/60</f>
        <v/>
      </c>
      <c r="L4990" s="41">
        <f>IFERROR(J4990/H4990,"")</f>
        <v/>
      </c>
      <c r="M4990" s="25" t="n">
        <v>3.4</v>
      </c>
      <c r="N4990" s="25">
        <f>IF(J4990&gt;300,1,0)</f>
        <v/>
      </c>
      <c r="O4990" s="25">
        <f>IF(J4990&gt;600,1,0)</f>
        <v/>
      </c>
      <c r="P4990" s="25">
        <f>IF(H4990&gt;0,J4990,"")</f>
        <v/>
      </c>
      <c r="Q4990" s="25">
        <f>TEXT(A4990,"YYYY-MM-DD HH")</f>
        <v/>
      </c>
      <c r="R4990" s="25">
        <f>COUNTIF($Q$2:$Q$5295,Q4990)</f>
        <v/>
      </c>
      <c r="S4990" s="25">
        <f>IF(R4990&lt;=2,"1-2",IF(R4990&lt;=5,"3-5",IF(R4990&lt;=10,"6-10","11+")))</f>
        <v/>
      </c>
    </row>
    <row r="4991">
      <c r="A4991" s="39" t="n">
        <v>46238.12578703704</v>
      </c>
      <c r="B4991" s="25">
        <f>TEXT(A4991,"YYYY-MM")</f>
        <v/>
      </c>
      <c r="C4991" s="25">
        <f>TEXT(A4991,"MMM-YYYY")</f>
        <v/>
      </c>
      <c r="D4991" s="40">
        <f>INT(A4991)-WEEKDAY(A4991,2)+1</f>
        <v/>
      </c>
      <c r="E4991" s="25" t="inlineStr">
        <is>
          <t>ethomas</t>
        </is>
      </c>
      <c r="F4991" s="25" t="n">
        <v>136653</v>
      </c>
      <c r="G4991" s="25" t="n">
        <v>2</v>
      </c>
      <c r="H4991" s="25" t="n">
        <v>10</v>
      </c>
      <c r="I4991" s="25" t="inlineStr">
        <is>
          <t>1 minute(s) and 19 second(s)</t>
        </is>
      </c>
      <c r="J4991" s="25">
        <f>IFERROR(VALUE(TRIM(LEFT(I4991,FIND("minute",I4991)-1)))*60,0)+IFERROR(VALUE(SUBSTITUTE(MID(I4991,IFERROR(FIND("and",I4991)+3,1),20),"second(s)","")),0)</f>
        <v/>
      </c>
      <c r="K4991" s="41">
        <f>J4991/60</f>
        <v/>
      </c>
      <c r="L4991" s="41">
        <f>IFERROR(J4991/H4991,"")</f>
        <v/>
      </c>
      <c r="M4991" s="25" t="n">
        <v>3.4</v>
      </c>
      <c r="N4991" s="25">
        <f>IF(J4991&gt;300,1,0)</f>
        <v/>
      </c>
      <c r="O4991" s="25">
        <f>IF(J4991&gt;600,1,0)</f>
        <v/>
      </c>
      <c r="P4991" s="25">
        <f>IF(H4991&gt;0,J4991,"")</f>
        <v/>
      </c>
      <c r="Q4991" s="25">
        <f>TEXT(A4991,"YYYY-MM-DD HH")</f>
        <v/>
      </c>
      <c r="R4991" s="25">
        <f>COUNTIF($Q$2:$Q$5295,Q4991)</f>
        <v/>
      </c>
      <c r="S4991" s="25">
        <f>IF(R4991&lt;=2,"1-2",IF(R4991&lt;=5,"3-5",IF(R4991&lt;=10,"6-10","11+")))</f>
        <v/>
      </c>
    </row>
    <row r="4992">
      <c r="A4992" s="39" t="n">
        <v>46238.12940972222</v>
      </c>
      <c r="B4992" s="25">
        <f>TEXT(A4992,"YYYY-MM")</f>
        <v/>
      </c>
      <c r="C4992" s="25">
        <f>TEXT(A4992,"MMM-YYYY")</f>
        <v/>
      </c>
      <c r="D4992" s="40">
        <f>INT(A4992)-WEEKDAY(A4992,2)+1</f>
        <v/>
      </c>
      <c r="E4992" s="25" t="inlineStr">
        <is>
          <t>atiwari</t>
        </is>
      </c>
      <c r="F4992" s="25" t="n">
        <v>138681</v>
      </c>
      <c r="G4992" s="25" t="n">
        <v>2</v>
      </c>
      <c r="H4992" s="25" t="n">
        <v>10</v>
      </c>
      <c r="I4992" s="25" t="inlineStr">
        <is>
          <t>1 minute(s) and 33 second(s)</t>
        </is>
      </c>
      <c r="J4992" s="25">
        <f>IFERROR(VALUE(TRIM(LEFT(I4992,FIND("minute",I4992)-1)))*60,0)+IFERROR(VALUE(SUBSTITUTE(MID(I4992,IFERROR(FIND("and",I4992)+3,1),20),"second(s)","")),0)</f>
        <v/>
      </c>
      <c r="K4992" s="41">
        <f>J4992/60</f>
        <v/>
      </c>
      <c r="L4992" s="41">
        <f>IFERROR(J4992/H4992,"")</f>
        <v/>
      </c>
      <c r="M4992" s="25" t="n">
        <v>3.4</v>
      </c>
      <c r="N4992" s="25">
        <f>IF(J4992&gt;300,1,0)</f>
        <v/>
      </c>
      <c r="O4992" s="25">
        <f>IF(J4992&gt;600,1,0)</f>
        <v/>
      </c>
      <c r="P4992" s="25">
        <f>IF(H4992&gt;0,J4992,"")</f>
        <v/>
      </c>
      <c r="Q4992" s="25">
        <f>TEXT(A4992,"YYYY-MM-DD HH")</f>
        <v/>
      </c>
      <c r="R4992" s="25">
        <f>COUNTIF($Q$2:$Q$5295,Q4992)</f>
        <v/>
      </c>
      <c r="S4992" s="25">
        <f>IF(R4992&lt;=2,"1-2",IF(R4992&lt;=5,"3-5",IF(R4992&lt;=10,"6-10","11+")))</f>
        <v/>
      </c>
    </row>
    <row r="4993">
      <c r="A4993" s="39" t="n">
        <v>46238.13013888889</v>
      </c>
      <c r="B4993" s="25">
        <f>TEXT(A4993,"YYYY-MM")</f>
        <v/>
      </c>
      <c r="C4993" s="25">
        <f>TEXT(A4993,"MMM-YYYY")</f>
        <v/>
      </c>
      <c r="D4993" s="40">
        <f>INT(A4993)-WEEKDAY(A4993,2)+1</f>
        <v/>
      </c>
      <c r="E4993" s="25" t="inlineStr">
        <is>
          <t>aupadhayay</t>
        </is>
      </c>
      <c r="F4993" s="25" t="n">
        <v>135561</v>
      </c>
      <c r="G4993" s="25" t="n">
        <v>1</v>
      </c>
      <c r="H4993" s="25" t="n">
        <v>5</v>
      </c>
      <c r="I4993" s="25" t="inlineStr">
        <is>
          <t>45 second(s)</t>
        </is>
      </c>
      <c r="J4993" s="25">
        <f>IFERROR(VALUE(TRIM(LEFT(I4993,FIND("minute",I4993)-1)))*60,0)+IFERROR(VALUE(SUBSTITUTE(MID(I4993,IFERROR(FIND("and",I4993)+3,1),20),"second(s)","")),0)</f>
        <v/>
      </c>
      <c r="K4993" s="41">
        <f>J4993/60</f>
        <v/>
      </c>
      <c r="L4993" s="41">
        <f>IFERROR(J4993/H4993,"")</f>
        <v/>
      </c>
      <c r="M4993" s="25" t="n">
        <v>3.4</v>
      </c>
      <c r="N4993" s="25">
        <f>IF(J4993&gt;300,1,0)</f>
        <v/>
      </c>
      <c r="O4993" s="25">
        <f>IF(J4993&gt;600,1,0)</f>
        <v/>
      </c>
      <c r="P4993" s="25">
        <f>IF(H4993&gt;0,J4993,"")</f>
        <v/>
      </c>
      <c r="Q4993" s="25">
        <f>TEXT(A4993,"YYYY-MM-DD HH")</f>
        <v/>
      </c>
      <c r="R4993" s="25">
        <f>COUNTIF($Q$2:$Q$5295,Q4993)</f>
        <v/>
      </c>
      <c r="S4993" s="25">
        <f>IF(R4993&lt;=2,"1-2",IF(R4993&lt;=5,"3-5",IF(R4993&lt;=10,"6-10","11+")))</f>
        <v/>
      </c>
    </row>
    <row r="4994">
      <c r="A4994" s="39" t="n">
        <v>46238.13600694444</v>
      </c>
      <c r="B4994" s="25">
        <f>TEXT(A4994,"YYYY-MM")</f>
        <v/>
      </c>
      <c r="C4994" s="25">
        <f>TEXT(A4994,"MMM-YYYY")</f>
        <v/>
      </c>
      <c r="D4994" s="40">
        <f>INT(A4994)-WEEKDAY(A4994,2)+1</f>
        <v/>
      </c>
      <c r="E4994" s="25" t="inlineStr">
        <is>
          <t>stiwari</t>
        </is>
      </c>
      <c r="F4994" s="25" t="n">
        <v>134829</v>
      </c>
      <c r="G4994" s="25" t="n">
        <v>3</v>
      </c>
      <c r="H4994" s="25" t="n">
        <v>11</v>
      </c>
      <c r="I4994" s="25" t="inlineStr">
        <is>
          <t>1 minute(s) and 21 second(s)</t>
        </is>
      </c>
      <c r="J4994" s="25">
        <f>IFERROR(VALUE(TRIM(LEFT(I4994,FIND("minute",I4994)-1)))*60,0)+IFERROR(VALUE(SUBSTITUTE(MID(I4994,IFERROR(FIND("and",I4994)+3,1),20),"second(s)","")),0)</f>
        <v/>
      </c>
      <c r="K4994" s="41">
        <f>J4994/60</f>
        <v/>
      </c>
      <c r="L4994" s="41">
        <f>IFERROR(J4994/H4994,"")</f>
        <v/>
      </c>
      <c r="M4994" s="25" t="n">
        <v>3.4</v>
      </c>
      <c r="N4994" s="25">
        <f>IF(J4994&gt;300,1,0)</f>
        <v/>
      </c>
      <c r="O4994" s="25">
        <f>IF(J4994&gt;600,1,0)</f>
        <v/>
      </c>
      <c r="P4994" s="25">
        <f>IF(H4994&gt;0,J4994,"")</f>
        <v/>
      </c>
      <c r="Q4994" s="25">
        <f>TEXT(A4994,"YYYY-MM-DD HH")</f>
        <v/>
      </c>
      <c r="R4994" s="25">
        <f>COUNTIF($Q$2:$Q$5295,Q4994)</f>
        <v/>
      </c>
      <c r="S4994" s="25">
        <f>IF(R4994&lt;=2,"1-2",IF(R4994&lt;=5,"3-5",IF(R4994&lt;=10,"6-10","11+")))</f>
        <v/>
      </c>
    </row>
    <row r="4995">
      <c r="A4995" s="39" t="n">
        <v>46238.13738425926</v>
      </c>
      <c r="B4995" s="25">
        <f>TEXT(A4995,"YYYY-MM")</f>
        <v/>
      </c>
      <c r="C4995" s="25">
        <f>TEXT(A4995,"MMM-YYYY")</f>
        <v/>
      </c>
      <c r="D4995" s="40">
        <f>INT(A4995)-WEEKDAY(A4995,2)+1</f>
        <v/>
      </c>
      <c r="E4995" s="25" t="inlineStr">
        <is>
          <t>taggarwal</t>
        </is>
      </c>
      <c r="F4995" s="25" t="n">
        <v>134593</v>
      </c>
      <c r="G4995" s="25" t="n">
        <v>1</v>
      </c>
      <c r="H4995" s="25" t="n">
        <v>8</v>
      </c>
      <c r="I4995" s="25" t="inlineStr">
        <is>
          <t>1 minute(s) and 5 second(s)</t>
        </is>
      </c>
      <c r="J4995" s="25">
        <f>IFERROR(VALUE(TRIM(LEFT(I4995,FIND("minute",I4995)-1)))*60,0)+IFERROR(VALUE(SUBSTITUTE(MID(I4995,IFERROR(FIND("and",I4995)+3,1),20),"second(s)","")),0)</f>
        <v/>
      </c>
      <c r="K4995" s="41">
        <f>J4995/60</f>
        <v/>
      </c>
      <c r="L4995" s="41">
        <f>IFERROR(J4995/H4995,"")</f>
        <v/>
      </c>
      <c r="M4995" s="25" t="n">
        <v>3.4</v>
      </c>
      <c r="N4995" s="25">
        <f>IF(J4995&gt;300,1,0)</f>
        <v/>
      </c>
      <c r="O4995" s="25">
        <f>IF(J4995&gt;600,1,0)</f>
        <v/>
      </c>
      <c r="P4995" s="25">
        <f>IF(H4995&gt;0,J4995,"")</f>
        <v/>
      </c>
      <c r="Q4995" s="25">
        <f>TEXT(A4995,"YYYY-MM-DD HH")</f>
        <v/>
      </c>
      <c r="R4995" s="25">
        <f>COUNTIF($Q$2:$Q$5295,Q4995)</f>
        <v/>
      </c>
      <c r="S4995" s="25">
        <f>IF(R4995&lt;=2,"1-2",IF(R4995&lt;=5,"3-5",IF(R4995&lt;=10,"6-10","11+")))</f>
        <v/>
      </c>
    </row>
    <row r="4996">
      <c r="A4996" s="39" t="n">
        <v>46238.14046296296</v>
      </c>
      <c r="B4996" s="25">
        <f>TEXT(A4996,"YYYY-MM")</f>
        <v/>
      </c>
      <c r="C4996" s="25">
        <f>TEXT(A4996,"MMM-YYYY")</f>
        <v/>
      </c>
      <c r="D4996" s="40">
        <f>INT(A4996)-WEEKDAY(A4996,2)+1</f>
        <v/>
      </c>
      <c r="E4996" s="25" t="inlineStr">
        <is>
          <t>psathwika</t>
        </is>
      </c>
      <c r="F4996" s="25" t="n">
        <v>135897</v>
      </c>
      <c r="G4996" s="25" t="n">
        <v>1</v>
      </c>
      <c r="H4996" s="25" t="n">
        <v>8</v>
      </c>
      <c r="I4996" s="25" t="inlineStr">
        <is>
          <t>47 second(s)</t>
        </is>
      </c>
      <c r="J4996" s="25">
        <f>IFERROR(VALUE(TRIM(LEFT(I4996,FIND("minute",I4996)-1)))*60,0)+IFERROR(VALUE(SUBSTITUTE(MID(I4996,IFERROR(FIND("and",I4996)+3,1),20),"second(s)","")),0)</f>
        <v/>
      </c>
      <c r="K4996" s="41">
        <f>J4996/60</f>
        <v/>
      </c>
      <c r="L4996" s="41">
        <f>IFERROR(J4996/H4996,"")</f>
        <v/>
      </c>
      <c r="M4996" s="25" t="inlineStr">
        <is>
          <t>2.5.12</t>
        </is>
      </c>
      <c r="N4996" s="25">
        <f>IF(J4996&gt;300,1,0)</f>
        <v/>
      </c>
      <c r="O4996" s="25">
        <f>IF(J4996&gt;600,1,0)</f>
        <v/>
      </c>
      <c r="P4996" s="25">
        <f>IF(H4996&gt;0,J4996,"")</f>
        <v/>
      </c>
      <c r="Q4996" s="25">
        <f>TEXT(A4996,"YYYY-MM-DD HH")</f>
        <v/>
      </c>
      <c r="R4996" s="25">
        <f>COUNTIF($Q$2:$Q$5295,Q4996)</f>
        <v/>
      </c>
      <c r="S4996" s="25">
        <f>IF(R4996&lt;=2,"1-2",IF(R4996&lt;=5,"3-5",IF(R4996&lt;=10,"6-10","11+")))</f>
        <v/>
      </c>
    </row>
    <row r="4997">
      <c r="A4997" s="39" t="n">
        <v>46238.14774305555</v>
      </c>
      <c r="B4997" s="25">
        <f>TEXT(A4997,"YYYY-MM")</f>
        <v/>
      </c>
      <c r="C4997" s="25">
        <f>TEXT(A4997,"MMM-YYYY")</f>
        <v/>
      </c>
      <c r="D4997" s="40">
        <f>INT(A4997)-WEEKDAY(A4997,2)+1</f>
        <v/>
      </c>
      <c r="E4997" s="25" t="inlineStr">
        <is>
          <t>tkarmakar</t>
        </is>
      </c>
      <c r="F4997" s="25" t="n">
        <v>135173</v>
      </c>
      <c r="G4997" s="25" t="n">
        <v>4</v>
      </c>
      <c r="H4997" s="25" t="n">
        <v>28</v>
      </c>
      <c r="I4997" s="25" t="inlineStr">
        <is>
          <t>3 minute(s) and 12 second(s)</t>
        </is>
      </c>
      <c r="J4997" s="25">
        <f>IFERROR(VALUE(TRIM(LEFT(I4997,FIND("minute",I4997)-1)))*60,0)+IFERROR(VALUE(SUBSTITUTE(MID(I4997,IFERROR(FIND("and",I4997)+3,1),20),"second(s)","")),0)</f>
        <v/>
      </c>
      <c r="K4997" s="41">
        <f>J4997/60</f>
        <v/>
      </c>
      <c r="L4997" s="41">
        <f>IFERROR(J4997/H4997,"")</f>
        <v/>
      </c>
      <c r="M4997" s="25" t="n">
        <v>3.4</v>
      </c>
      <c r="N4997" s="25">
        <f>IF(J4997&gt;300,1,0)</f>
        <v/>
      </c>
      <c r="O4997" s="25">
        <f>IF(J4997&gt;600,1,0)</f>
        <v/>
      </c>
      <c r="P4997" s="25">
        <f>IF(H4997&gt;0,J4997,"")</f>
        <v/>
      </c>
      <c r="Q4997" s="25">
        <f>TEXT(A4997,"YYYY-MM-DD HH")</f>
        <v/>
      </c>
      <c r="R4997" s="25">
        <f>COUNTIF($Q$2:$Q$5295,Q4997)</f>
        <v/>
      </c>
      <c r="S4997" s="25">
        <f>IF(R4997&lt;=2,"1-2",IF(R4997&lt;=5,"3-5",IF(R4997&lt;=10,"6-10","11+")))</f>
        <v/>
      </c>
    </row>
    <row r="4998">
      <c r="A4998" s="39" t="n">
        <v>46238.16019675926</v>
      </c>
      <c r="B4998" s="25">
        <f>TEXT(A4998,"YYYY-MM")</f>
        <v/>
      </c>
      <c r="C4998" s="25">
        <f>TEXT(A4998,"MMM-YYYY")</f>
        <v/>
      </c>
      <c r="D4998" s="40">
        <f>INT(A4998)-WEEKDAY(A4998,2)+1</f>
        <v/>
      </c>
      <c r="E4998" s="25" t="inlineStr">
        <is>
          <t>npriya</t>
        </is>
      </c>
      <c r="F4998" s="25" t="n">
        <v>136794</v>
      </c>
      <c r="G4998" s="25" t="n">
        <v>5</v>
      </c>
      <c r="H4998" s="25" t="n">
        <v>31</v>
      </c>
      <c r="I4998" s="25" t="inlineStr">
        <is>
          <t>4 minute(s) and 11 second(s)</t>
        </is>
      </c>
      <c r="J4998" s="25">
        <f>IFERROR(VALUE(TRIM(LEFT(I4998,FIND("minute",I4998)-1)))*60,0)+IFERROR(VALUE(SUBSTITUTE(MID(I4998,IFERROR(FIND("and",I4998)+3,1),20),"second(s)","")),0)</f>
        <v/>
      </c>
      <c r="K4998" s="41">
        <f>J4998/60</f>
        <v/>
      </c>
      <c r="L4998" s="41">
        <f>IFERROR(J4998/H4998,"")</f>
        <v/>
      </c>
      <c r="M4998" s="25" t="n">
        <v>3.4</v>
      </c>
      <c r="N4998" s="25">
        <f>IF(J4998&gt;300,1,0)</f>
        <v/>
      </c>
      <c r="O4998" s="25">
        <f>IF(J4998&gt;600,1,0)</f>
        <v/>
      </c>
      <c r="P4998" s="25">
        <f>IF(H4998&gt;0,J4998,"")</f>
        <v/>
      </c>
      <c r="Q4998" s="25">
        <f>TEXT(A4998,"YYYY-MM-DD HH")</f>
        <v/>
      </c>
      <c r="R4998" s="25">
        <f>COUNTIF($Q$2:$Q$5295,Q4998)</f>
        <v/>
      </c>
      <c r="S4998" s="25">
        <f>IF(R4998&lt;=2,"1-2",IF(R4998&lt;=5,"3-5",IF(R4998&lt;=10,"6-10","11+")))</f>
        <v/>
      </c>
    </row>
    <row r="4999">
      <c r="A4999" s="39" t="n">
        <v>46238.17175925926</v>
      </c>
      <c r="B4999" s="25">
        <f>TEXT(A4999,"YYYY-MM")</f>
        <v/>
      </c>
      <c r="C4999" s="25">
        <f>TEXT(A4999,"MMM-YYYY")</f>
        <v/>
      </c>
      <c r="D4999" s="40">
        <f>INT(A4999)-WEEKDAY(A4999,2)+1</f>
        <v/>
      </c>
      <c r="E4999" s="25" t="inlineStr">
        <is>
          <t>atiwari</t>
        </is>
      </c>
      <c r="F4999" s="25" t="n">
        <v>138689</v>
      </c>
      <c r="G4999" s="25" t="n">
        <v>4</v>
      </c>
      <c r="H4999" s="25" t="n">
        <v>27</v>
      </c>
      <c r="I4999" s="25" t="inlineStr">
        <is>
          <t>3 minute(s) and 27 second(s)</t>
        </is>
      </c>
      <c r="J4999" s="25">
        <f>IFERROR(VALUE(TRIM(LEFT(I4999,FIND("minute",I4999)-1)))*60,0)+IFERROR(VALUE(SUBSTITUTE(MID(I4999,IFERROR(FIND("and",I4999)+3,1),20),"second(s)","")),0)</f>
        <v/>
      </c>
      <c r="K4999" s="41">
        <f>J4999/60</f>
        <v/>
      </c>
      <c r="L4999" s="41">
        <f>IFERROR(J4999/H4999,"")</f>
        <v/>
      </c>
      <c r="M4999" s="25" t="n">
        <v>3.4</v>
      </c>
      <c r="N4999" s="25">
        <f>IF(J4999&gt;300,1,0)</f>
        <v/>
      </c>
      <c r="O4999" s="25">
        <f>IF(J4999&gt;600,1,0)</f>
        <v/>
      </c>
      <c r="P4999" s="25">
        <f>IF(H4999&gt;0,J4999,"")</f>
        <v/>
      </c>
      <c r="Q4999" s="25">
        <f>TEXT(A4999,"YYYY-MM-DD HH")</f>
        <v/>
      </c>
      <c r="R4999" s="25">
        <f>COUNTIF($Q$2:$Q$5295,Q4999)</f>
        <v/>
      </c>
      <c r="S4999" s="25">
        <f>IF(R4999&lt;=2,"1-2",IF(R4999&lt;=5,"3-5",IF(R4999&lt;=10,"6-10","11+")))</f>
        <v/>
      </c>
    </row>
    <row r="5000">
      <c r="A5000" s="39" t="n">
        <v>46238.17497685185</v>
      </c>
      <c r="B5000" s="25">
        <f>TEXT(A5000,"YYYY-MM")</f>
        <v/>
      </c>
      <c r="C5000" s="25">
        <f>TEXT(A5000,"MMM-YYYY")</f>
        <v/>
      </c>
      <c r="D5000" s="40">
        <f>INT(A5000)-WEEKDAY(A5000,2)+1</f>
        <v/>
      </c>
      <c r="E5000" s="25" t="inlineStr">
        <is>
          <t>aupadhayay</t>
        </is>
      </c>
      <c r="F5000" s="25" t="n">
        <v>135553</v>
      </c>
      <c r="G5000" s="25" t="n">
        <v>4</v>
      </c>
      <c r="H5000" s="25" t="n">
        <v>26</v>
      </c>
      <c r="I5000" s="25" t="inlineStr">
        <is>
          <t>3 minute(s) and 29 second(s)</t>
        </is>
      </c>
      <c r="J5000" s="25">
        <f>IFERROR(VALUE(TRIM(LEFT(I5000,FIND("minute",I5000)-1)))*60,0)+IFERROR(VALUE(SUBSTITUTE(MID(I5000,IFERROR(FIND("and",I5000)+3,1),20),"second(s)","")),0)</f>
        <v/>
      </c>
      <c r="K5000" s="41">
        <f>J5000/60</f>
        <v/>
      </c>
      <c r="L5000" s="41">
        <f>IFERROR(J5000/H5000,"")</f>
        <v/>
      </c>
      <c r="M5000" s="25" t="n">
        <v>3.4</v>
      </c>
      <c r="N5000" s="25">
        <f>IF(J5000&gt;300,1,0)</f>
        <v/>
      </c>
      <c r="O5000" s="25">
        <f>IF(J5000&gt;600,1,0)</f>
        <v/>
      </c>
      <c r="P5000" s="25">
        <f>IF(H5000&gt;0,J5000,"")</f>
        <v/>
      </c>
      <c r="Q5000" s="25">
        <f>TEXT(A5000,"YYYY-MM-DD HH")</f>
        <v/>
      </c>
      <c r="R5000" s="25">
        <f>COUNTIF($Q$2:$Q$5295,Q5000)</f>
        <v/>
      </c>
      <c r="S5000" s="25">
        <f>IF(R5000&lt;=2,"1-2",IF(R5000&lt;=5,"3-5",IF(R5000&lt;=10,"6-10","11+")))</f>
        <v/>
      </c>
    </row>
    <row r="5001">
      <c r="A5001" s="39" t="n">
        <v>46238.1750925926</v>
      </c>
      <c r="B5001" s="25">
        <f>TEXT(A5001,"YYYY-MM")</f>
        <v/>
      </c>
      <c r="C5001" s="25">
        <f>TEXT(A5001,"MMM-YYYY")</f>
        <v/>
      </c>
      <c r="D5001" s="40">
        <f>INT(A5001)-WEEKDAY(A5001,2)+1</f>
        <v/>
      </c>
      <c r="E5001" s="25" t="inlineStr">
        <is>
          <t>psathwika</t>
        </is>
      </c>
      <c r="F5001" s="25" t="n">
        <v>136337</v>
      </c>
      <c r="G5001" s="25" t="n">
        <v>1</v>
      </c>
      <c r="H5001" s="25" t="n">
        <v>6</v>
      </c>
      <c r="I5001" s="25" t="inlineStr">
        <is>
          <t>28 second(s)</t>
        </is>
      </c>
      <c r="J5001" s="25">
        <f>IFERROR(VALUE(TRIM(LEFT(I5001,FIND("minute",I5001)-1)))*60,0)+IFERROR(VALUE(SUBSTITUTE(MID(I5001,IFERROR(FIND("and",I5001)+3,1),20),"second(s)","")),0)</f>
        <v/>
      </c>
      <c r="K5001" s="41">
        <f>J5001/60</f>
        <v/>
      </c>
      <c r="L5001" s="41">
        <f>IFERROR(J5001/H5001,"")</f>
        <v/>
      </c>
      <c r="M5001" s="25" t="inlineStr">
        <is>
          <t>2.5.12</t>
        </is>
      </c>
      <c r="N5001" s="25">
        <f>IF(J5001&gt;300,1,0)</f>
        <v/>
      </c>
      <c r="O5001" s="25">
        <f>IF(J5001&gt;600,1,0)</f>
        <v/>
      </c>
      <c r="P5001" s="25">
        <f>IF(H5001&gt;0,J5001,"")</f>
        <v/>
      </c>
      <c r="Q5001" s="25">
        <f>TEXT(A5001,"YYYY-MM-DD HH")</f>
        <v/>
      </c>
      <c r="R5001" s="25">
        <f>COUNTIF($Q$2:$Q$5295,Q5001)</f>
        <v/>
      </c>
      <c r="S5001" s="25">
        <f>IF(R5001&lt;=2,"1-2",IF(R5001&lt;=5,"3-5",IF(R5001&lt;=10,"6-10","11+")))</f>
        <v/>
      </c>
    </row>
    <row r="5002">
      <c r="A5002" s="39" t="n">
        <v>46238.1752662037</v>
      </c>
      <c r="B5002" s="25">
        <f>TEXT(A5002,"YYYY-MM")</f>
        <v/>
      </c>
      <c r="C5002" s="25">
        <f>TEXT(A5002,"MMM-YYYY")</f>
        <v/>
      </c>
      <c r="D5002" s="40">
        <f>INT(A5002)-WEEKDAY(A5002,2)+1</f>
        <v/>
      </c>
      <c r="E5002" s="25" t="inlineStr">
        <is>
          <t>ajain</t>
        </is>
      </c>
      <c r="F5002" s="25" t="n">
        <v>135041</v>
      </c>
      <c r="G5002" s="25" t="n">
        <v>1</v>
      </c>
      <c r="H5002" s="25" t="n">
        <v>7</v>
      </c>
      <c r="I5002" s="25" t="inlineStr">
        <is>
          <t>33 second(s)</t>
        </is>
      </c>
      <c r="J5002" s="25">
        <f>IFERROR(VALUE(TRIM(LEFT(I5002,FIND("minute",I5002)-1)))*60,0)+IFERROR(VALUE(SUBSTITUTE(MID(I5002,IFERROR(FIND("and",I5002)+3,1),20),"second(s)","")),0)</f>
        <v/>
      </c>
      <c r="K5002" s="41">
        <f>J5002/60</f>
        <v/>
      </c>
      <c r="L5002" s="41">
        <f>IFERROR(J5002/H5002,"")</f>
        <v/>
      </c>
      <c r="M5002" s="25" t="inlineStr">
        <is>
          <t>2.5.12</t>
        </is>
      </c>
      <c r="N5002" s="25">
        <f>IF(J5002&gt;300,1,0)</f>
        <v/>
      </c>
      <c r="O5002" s="25">
        <f>IF(J5002&gt;600,1,0)</f>
        <v/>
      </c>
      <c r="P5002" s="25">
        <f>IF(H5002&gt;0,J5002,"")</f>
        <v/>
      </c>
      <c r="Q5002" s="25">
        <f>TEXT(A5002,"YYYY-MM-DD HH")</f>
        <v/>
      </c>
      <c r="R5002" s="25">
        <f>COUNTIF($Q$2:$Q$5295,Q5002)</f>
        <v/>
      </c>
      <c r="S5002" s="25">
        <f>IF(R5002&lt;=2,"1-2",IF(R5002&lt;=5,"3-5",IF(R5002&lt;=10,"6-10","11+")))</f>
        <v/>
      </c>
    </row>
    <row r="5003">
      <c r="A5003" s="39" t="n">
        <v>46238.17697916667</v>
      </c>
      <c r="B5003" s="25">
        <f>TEXT(A5003,"YYYY-MM")</f>
        <v/>
      </c>
      <c r="C5003" s="25">
        <f>TEXT(A5003,"MMM-YYYY")</f>
        <v/>
      </c>
      <c r="D5003" s="40">
        <f>INT(A5003)-WEEKDAY(A5003,2)+1</f>
        <v/>
      </c>
      <c r="E5003" s="25" t="inlineStr">
        <is>
          <t>ethomas</t>
        </is>
      </c>
      <c r="F5003" s="25" t="n">
        <v>133749</v>
      </c>
      <c r="G5003" s="25" t="n">
        <v>2</v>
      </c>
      <c r="H5003" s="25" t="n">
        <v>14</v>
      </c>
      <c r="I5003" s="25" t="inlineStr">
        <is>
          <t>1 minute(s) and 52 second(s)</t>
        </is>
      </c>
      <c r="J5003" s="25">
        <f>IFERROR(VALUE(TRIM(LEFT(I5003,FIND("minute",I5003)-1)))*60,0)+IFERROR(VALUE(SUBSTITUTE(MID(I5003,IFERROR(FIND("and",I5003)+3,1),20),"second(s)","")),0)</f>
        <v/>
      </c>
      <c r="K5003" s="41">
        <f>J5003/60</f>
        <v/>
      </c>
      <c r="L5003" s="41">
        <f>IFERROR(J5003/H5003,"")</f>
        <v/>
      </c>
      <c r="M5003" s="25" t="n">
        <v>3.4</v>
      </c>
      <c r="N5003" s="25">
        <f>IF(J5003&gt;300,1,0)</f>
        <v/>
      </c>
      <c r="O5003" s="25">
        <f>IF(J5003&gt;600,1,0)</f>
        <v/>
      </c>
      <c r="P5003" s="25">
        <f>IF(H5003&gt;0,J5003,"")</f>
        <v/>
      </c>
      <c r="Q5003" s="25">
        <f>TEXT(A5003,"YYYY-MM-DD HH")</f>
        <v/>
      </c>
      <c r="R5003" s="25">
        <f>COUNTIF($Q$2:$Q$5295,Q5003)</f>
        <v/>
      </c>
      <c r="S5003" s="25">
        <f>IF(R5003&lt;=2,"1-2",IF(R5003&lt;=5,"3-5",IF(R5003&lt;=10,"6-10","11+")))</f>
        <v/>
      </c>
    </row>
    <row r="5004">
      <c r="A5004" s="39" t="n">
        <v>46238.17869212963</v>
      </c>
      <c r="B5004" s="25">
        <f>TEXT(A5004,"YYYY-MM")</f>
        <v/>
      </c>
      <c r="C5004" s="25">
        <f>TEXT(A5004,"MMM-YYYY")</f>
        <v/>
      </c>
      <c r="D5004" s="40">
        <f>INT(A5004)-WEEKDAY(A5004,2)+1</f>
        <v/>
      </c>
      <c r="E5004" s="25" t="inlineStr">
        <is>
          <t>smukhopadhyay</t>
        </is>
      </c>
      <c r="F5004" s="25" t="n">
        <v>134821</v>
      </c>
      <c r="G5004" s="25" t="n">
        <v>4</v>
      </c>
      <c r="H5004" s="25" t="n">
        <v>26</v>
      </c>
      <c r="I5004" s="25" t="inlineStr">
        <is>
          <t>3 minute(s) and 18 second(s)</t>
        </is>
      </c>
      <c r="J5004" s="25">
        <f>IFERROR(VALUE(TRIM(LEFT(I5004,FIND("minute",I5004)-1)))*60,0)+IFERROR(VALUE(SUBSTITUTE(MID(I5004,IFERROR(FIND("and",I5004)+3,1),20),"second(s)","")),0)</f>
        <v/>
      </c>
      <c r="K5004" s="41">
        <f>J5004/60</f>
        <v/>
      </c>
      <c r="L5004" s="41">
        <f>IFERROR(J5004/H5004,"")</f>
        <v/>
      </c>
      <c r="M5004" s="25" t="inlineStr">
        <is>
          <t>2.5.12</t>
        </is>
      </c>
      <c r="N5004" s="25">
        <f>IF(J5004&gt;300,1,0)</f>
        <v/>
      </c>
      <c r="O5004" s="25">
        <f>IF(J5004&gt;600,1,0)</f>
        <v/>
      </c>
      <c r="P5004" s="25">
        <f>IF(H5004&gt;0,J5004,"")</f>
        <v/>
      </c>
      <c r="Q5004" s="25">
        <f>TEXT(A5004,"YYYY-MM-DD HH")</f>
        <v/>
      </c>
      <c r="R5004" s="25">
        <f>COUNTIF($Q$2:$Q$5295,Q5004)</f>
        <v/>
      </c>
      <c r="S5004" s="25">
        <f>IF(R5004&lt;=2,"1-2",IF(R5004&lt;=5,"3-5",IF(R5004&lt;=10,"6-10","11+")))</f>
        <v/>
      </c>
    </row>
    <row r="5005">
      <c r="A5005" s="39" t="n">
        <v>46238.18451388889</v>
      </c>
      <c r="B5005" s="25">
        <f>TEXT(A5005,"YYYY-MM")</f>
        <v/>
      </c>
      <c r="C5005" s="25">
        <f>TEXT(A5005,"MMM-YYYY")</f>
        <v/>
      </c>
      <c r="D5005" s="40">
        <f>INT(A5005)-WEEKDAY(A5005,2)+1</f>
        <v/>
      </c>
      <c r="E5005" s="25" t="inlineStr">
        <is>
          <t>shasikha</t>
        </is>
      </c>
      <c r="F5005" s="25" t="n">
        <v>137517</v>
      </c>
      <c r="G5005" s="25" t="n">
        <v>3</v>
      </c>
      <c r="H5005" s="25" t="n">
        <v>13</v>
      </c>
      <c r="I5005" s="25" t="inlineStr">
        <is>
          <t>1 minute(s) and 42 second(s)</t>
        </is>
      </c>
      <c r="J5005" s="25">
        <f>IFERROR(VALUE(TRIM(LEFT(I5005,FIND("minute",I5005)-1)))*60,0)+IFERROR(VALUE(SUBSTITUTE(MID(I5005,IFERROR(FIND("and",I5005)+3,1),20),"second(s)","")),0)</f>
        <v/>
      </c>
      <c r="K5005" s="41">
        <f>J5005/60</f>
        <v/>
      </c>
      <c r="L5005" s="41">
        <f>IFERROR(J5005/H5005,"")</f>
        <v/>
      </c>
      <c r="M5005" s="25" t="n">
        <v>3.4</v>
      </c>
      <c r="N5005" s="25">
        <f>IF(J5005&gt;300,1,0)</f>
        <v/>
      </c>
      <c r="O5005" s="25">
        <f>IF(J5005&gt;600,1,0)</f>
        <v/>
      </c>
      <c r="P5005" s="25">
        <f>IF(H5005&gt;0,J5005,"")</f>
        <v/>
      </c>
      <c r="Q5005" s="25">
        <f>TEXT(A5005,"YYYY-MM-DD HH")</f>
        <v/>
      </c>
      <c r="R5005" s="25">
        <f>COUNTIF($Q$2:$Q$5295,Q5005)</f>
        <v/>
      </c>
      <c r="S5005" s="25">
        <f>IF(R5005&lt;=2,"1-2",IF(R5005&lt;=5,"3-5",IF(R5005&lt;=10,"6-10","11+")))</f>
        <v/>
      </c>
    </row>
    <row r="5006">
      <c r="A5006" s="39" t="n">
        <v>46238.18478009259</v>
      </c>
      <c r="B5006" s="25">
        <f>TEXT(A5006,"YYYY-MM")</f>
        <v/>
      </c>
      <c r="C5006" s="25">
        <f>TEXT(A5006,"MMM-YYYY")</f>
        <v/>
      </c>
      <c r="D5006" s="40">
        <f>INT(A5006)-WEEKDAY(A5006,2)+1</f>
        <v/>
      </c>
      <c r="E5006" s="25" t="inlineStr">
        <is>
          <t>npriya</t>
        </is>
      </c>
      <c r="F5006" s="25" t="n">
        <v>133977</v>
      </c>
      <c r="G5006" s="25" t="n">
        <v>3</v>
      </c>
      <c r="H5006" s="25" t="n">
        <v>19</v>
      </c>
      <c r="I5006" s="25" t="inlineStr">
        <is>
          <t>3 minute(s) and 3 second(s)</t>
        </is>
      </c>
      <c r="J5006" s="25">
        <f>IFERROR(VALUE(TRIM(LEFT(I5006,FIND("minute",I5006)-1)))*60,0)+IFERROR(VALUE(SUBSTITUTE(MID(I5006,IFERROR(FIND("and",I5006)+3,1),20),"second(s)","")),0)</f>
        <v/>
      </c>
      <c r="K5006" s="41">
        <f>J5006/60</f>
        <v/>
      </c>
      <c r="L5006" s="41">
        <f>IFERROR(J5006/H5006,"")</f>
        <v/>
      </c>
      <c r="M5006" s="25" t="n">
        <v>3.4</v>
      </c>
      <c r="N5006" s="25">
        <f>IF(J5006&gt;300,1,0)</f>
        <v/>
      </c>
      <c r="O5006" s="25">
        <f>IF(J5006&gt;600,1,0)</f>
        <v/>
      </c>
      <c r="P5006" s="25">
        <f>IF(H5006&gt;0,J5006,"")</f>
        <v/>
      </c>
      <c r="Q5006" s="25">
        <f>TEXT(A5006,"YYYY-MM-DD HH")</f>
        <v/>
      </c>
      <c r="R5006" s="25">
        <f>COUNTIF($Q$2:$Q$5295,Q5006)</f>
        <v/>
      </c>
      <c r="S5006" s="25">
        <f>IF(R5006&lt;=2,"1-2",IF(R5006&lt;=5,"3-5",IF(R5006&lt;=10,"6-10","11+")))</f>
        <v/>
      </c>
    </row>
    <row r="5007">
      <c r="A5007" s="39" t="n">
        <v>46238.19137731481</v>
      </c>
      <c r="B5007" s="25">
        <f>TEXT(A5007,"YYYY-MM")</f>
        <v/>
      </c>
      <c r="C5007" s="25">
        <f>TEXT(A5007,"MMM-YYYY")</f>
        <v/>
      </c>
      <c r="D5007" s="40">
        <f>INT(A5007)-WEEKDAY(A5007,2)+1</f>
        <v/>
      </c>
      <c r="E5007" s="25" t="inlineStr">
        <is>
          <t>mgupta</t>
        </is>
      </c>
      <c r="F5007" s="25" t="n">
        <v>136685</v>
      </c>
      <c r="G5007" s="25" t="n">
        <v>2</v>
      </c>
      <c r="H5007" s="25" t="n">
        <v>10</v>
      </c>
      <c r="I5007" s="25" t="inlineStr">
        <is>
          <t>1 minute(s) and 41 second(s)</t>
        </is>
      </c>
      <c r="J5007" s="25">
        <f>IFERROR(VALUE(TRIM(LEFT(I5007,FIND("minute",I5007)-1)))*60,0)+IFERROR(VALUE(SUBSTITUTE(MID(I5007,IFERROR(FIND("and",I5007)+3,1),20),"second(s)","")),0)</f>
        <v/>
      </c>
      <c r="K5007" s="41">
        <f>J5007/60</f>
        <v/>
      </c>
      <c r="L5007" s="41">
        <f>IFERROR(J5007/H5007,"")</f>
        <v/>
      </c>
      <c r="M5007" s="25" t="n">
        <v>3.5</v>
      </c>
      <c r="N5007" s="25">
        <f>IF(J5007&gt;300,1,0)</f>
        <v/>
      </c>
      <c r="O5007" s="25">
        <f>IF(J5007&gt;600,1,0)</f>
        <v/>
      </c>
      <c r="P5007" s="25">
        <f>IF(H5007&gt;0,J5007,"")</f>
        <v/>
      </c>
      <c r="Q5007" s="25">
        <f>TEXT(A5007,"YYYY-MM-DD HH")</f>
        <v/>
      </c>
      <c r="R5007" s="25">
        <f>COUNTIF($Q$2:$Q$5295,Q5007)</f>
        <v/>
      </c>
      <c r="S5007" s="25">
        <f>IF(R5007&lt;=2,"1-2",IF(R5007&lt;=5,"3-5",IF(R5007&lt;=10,"6-10","11+")))</f>
        <v/>
      </c>
    </row>
    <row r="5008">
      <c r="A5008" s="39" t="n">
        <v>46238.22726851852</v>
      </c>
      <c r="B5008" s="25">
        <f>TEXT(A5008,"YYYY-MM")</f>
        <v/>
      </c>
      <c r="C5008" s="25">
        <f>TEXT(A5008,"MMM-YYYY")</f>
        <v/>
      </c>
      <c r="D5008" s="40">
        <f>INT(A5008)-WEEKDAY(A5008,2)+1</f>
        <v/>
      </c>
      <c r="E5008" s="25" t="inlineStr">
        <is>
          <t>stiwari</t>
        </is>
      </c>
      <c r="F5008" s="25" t="n">
        <v>134853</v>
      </c>
      <c r="G5008" s="25" t="n">
        <v>3</v>
      </c>
      <c r="H5008" s="25" t="n">
        <v>19</v>
      </c>
      <c r="I5008" s="25" t="inlineStr">
        <is>
          <t>2 minute(s) and 7 second(s)</t>
        </is>
      </c>
      <c r="J5008" s="25">
        <f>IFERROR(VALUE(TRIM(LEFT(I5008,FIND("minute",I5008)-1)))*60,0)+IFERROR(VALUE(SUBSTITUTE(MID(I5008,IFERROR(FIND("and",I5008)+3,1),20),"second(s)","")),0)</f>
        <v/>
      </c>
      <c r="K5008" s="41">
        <f>J5008/60</f>
        <v/>
      </c>
      <c r="L5008" s="41">
        <f>IFERROR(J5008/H5008,"")</f>
        <v/>
      </c>
      <c r="M5008" s="25" t="n">
        <v>3.4</v>
      </c>
      <c r="N5008" s="25">
        <f>IF(J5008&gt;300,1,0)</f>
        <v/>
      </c>
      <c r="O5008" s="25">
        <f>IF(J5008&gt;600,1,0)</f>
        <v/>
      </c>
      <c r="P5008" s="25">
        <f>IF(H5008&gt;0,J5008,"")</f>
        <v/>
      </c>
      <c r="Q5008" s="25">
        <f>TEXT(A5008,"YYYY-MM-DD HH")</f>
        <v/>
      </c>
      <c r="R5008" s="25">
        <f>COUNTIF($Q$2:$Q$5295,Q5008)</f>
        <v/>
      </c>
      <c r="S5008" s="25">
        <f>IF(R5008&lt;=2,"1-2",IF(R5008&lt;=5,"3-5",IF(R5008&lt;=10,"6-10","11+")))</f>
        <v/>
      </c>
    </row>
    <row r="5009">
      <c r="A5009" s="39" t="n">
        <v>46238.24217592592</v>
      </c>
      <c r="B5009" s="25">
        <f>TEXT(A5009,"YYYY-MM")</f>
        <v/>
      </c>
      <c r="C5009" s="25">
        <f>TEXT(A5009,"MMM-YYYY")</f>
        <v/>
      </c>
      <c r="D5009" s="40">
        <f>INT(A5009)-WEEKDAY(A5009,2)+1</f>
        <v/>
      </c>
      <c r="E5009" s="25" t="inlineStr">
        <is>
          <t>psathwika</t>
        </is>
      </c>
      <c r="F5009" s="25" t="n">
        <v>136337</v>
      </c>
      <c r="G5009" s="25" t="n">
        <v>1</v>
      </c>
      <c r="H5009" s="25" t="n">
        <v>3</v>
      </c>
      <c r="I5009" s="25" t="inlineStr">
        <is>
          <t>17 second(s)</t>
        </is>
      </c>
      <c r="J5009" s="25">
        <f>IFERROR(VALUE(TRIM(LEFT(I5009,FIND("minute",I5009)-1)))*60,0)+IFERROR(VALUE(SUBSTITUTE(MID(I5009,IFERROR(FIND("and",I5009)+3,1),20),"second(s)","")),0)</f>
        <v/>
      </c>
      <c r="K5009" s="41">
        <f>J5009/60</f>
        <v/>
      </c>
      <c r="L5009" s="41">
        <f>IFERROR(J5009/H5009,"")</f>
        <v/>
      </c>
      <c r="M5009" s="25" t="inlineStr">
        <is>
          <t>2.5.12</t>
        </is>
      </c>
      <c r="N5009" s="25">
        <f>IF(J5009&gt;300,1,0)</f>
        <v/>
      </c>
      <c r="O5009" s="25">
        <f>IF(J5009&gt;600,1,0)</f>
        <v/>
      </c>
      <c r="P5009" s="25">
        <f>IF(H5009&gt;0,J5009,"")</f>
        <v/>
      </c>
      <c r="Q5009" s="25">
        <f>TEXT(A5009,"YYYY-MM-DD HH")</f>
        <v/>
      </c>
      <c r="R5009" s="25">
        <f>COUNTIF($Q$2:$Q$5295,Q5009)</f>
        <v/>
      </c>
      <c r="S5009" s="25">
        <f>IF(R5009&lt;=2,"1-2",IF(R5009&lt;=5,"3-5",IF(R5009&lt;=10,"6-10","11+")))</f>
        <v/>
      </c>
    </row>
    <row r="5010">
      <c r="A5010" s="39" t="n">
        <v>46238.24361111111</v>
      </c>
      <c r="B5010" s="25">
        <f>TEXT(A5010,"YYYY-MM")</f>
        <v/>
      </c>
      <c r="C5010" s="25">
        <f>TEXT(A5010,"MMM-YYYY")</f>
        <v/>
      </c>
      <c r="D5010" s="40">
        <f>INT(A5010)-WEEKDAY(A5010,2)+1</f>
        <v/>
      </c>
      <c r="E5010" s="25" t="inlineStr">
        <is>
          <t>panullekha</t>
        </is>
      </c>
      <c r="F5010" s="25" t="n">
        <v>138025</v>
      </c>
      <c r="G5010" s="25" t="n">
        <v>6</v>
      </c>
      <c r="H5010" s="25" t="n">
        <v>38</v>
      </c>
      <c r="I5010" s="25" t="inlineStr">
        <is>
          <t>3 minute(s) and 52 second(s)</t>
        </is>
      </c>
      <c r="J5010" s="25">
        <f>IFERROR(VALUE(TRIM(LEFT(I5010,FIND("minute",I5010)-1)))*60,0)+IFERROR(VALUE(SUBSTITUTE(MID(I5010,IFERROR(FIND("and",I5010)+3,1),20),"second(s)","")),0)</f>
        <v/>
      </c>
      <c r="K5010" s="41">
        <f>J5010/60</f>
        <v/>
      </c>
      <c r="L5010" s="41">
        <f>IFERROR(J5010/H5010,"")</f>
        <v/>
      </c>
      <c r="M5010" s="25" t="inlineStr">
        <is>
          <t>2.5.12</t>
        </is>
      </c>
      <c r="N5010" s="25">
        <f>IF(J5010&gt;300,1,0)</f>
        <v/>
      </c>
      <c r="O5010" s="25">
        <f>IF(J5010&gt;600,1,0)</f>
        <v/>
      </c>
      <c r="P5010" s="25">
        <f>IF(H5010&gt;0,J5010,"")</f>
        <v/>
      </c>
      <c r="Q5010" s="25">
        <f>TEXT(A5010,"YYYY-MM-DD HH")</f>
        <v/>
      </c>
      <c r="R5010" s="25">
        <f>COUNTIF($Q$2:$Q$5295,Q5010)</f>
        <v/>
      </c>
      <c r="S5010" s="25">
        <f>IF(R5010&lt;=2,"1-2",IF(R5010&lt;=5,"3-5",IF(R5010&lt;=10,"6-10","11+")))</f>
        <v/>
      </c>
    </row>
    <row r="5011">
      <c r="A5011" s="39" t="n">
        <v>46238.25127314815</v>
      </c>
      <c r="B5011" s="25">
        <f>TEXT(A5011,"YYYY-MM")</f>
        <v/>
      </c>
      <c r="C5011" s="25">
        <f>TEXT(A5011,"MMM-YYYY")</f>
        <v/>
      </c>
      <c r="D5011" s="40">
        <f>INT(A5011)-WEEKDAY(A5011,2)+1</f>
        <v/>
      </c>
      <c r="E5011" s="25" t="inlineStr">
        <is>
          <t>ns</t>
        </is>
      </c>
      <c r="F5011" s="25" t="n">
        <v>134817</v>
      </c>
      <c r="G5011" s="25" t="n">
        <v>1</v>
      </c>
      <c r="H5011" s="25" t="n">
        <v>5</v>
      </c>
      <c r="I5011" s="25" t="inlineStr">
        <is>
          <t>43 second(s)</t>
        </is>
      </c>
      <c r="J5011" s="25">
        <f>IFERROR(VALUE(TRIM(LEFT(I5011,FIND("minute",I5011)-1)))*60,0)+IFERROR(VALUE(SUBSTITUTE(MID(I5011,IFERROR(FIND("and",I5011)+3,1),20),"second(s)","")),0)</f>
        <v/>
      </c>
      <c r="K5011" s="41">
        <f>J5011/60</f>
        <v/>
      </c>
      <c r="L5011" s="41">
        <f>IFERROR(J5011/H5011,"")</f>
        <v/>
      </c>
      <c r="M5011" s="25" t="n">
        <v>3.4</v>
      </c>
      <c r="N5011" s="25">
        <f>IF(J5011&gt;300,1,0)</f>
        <v/>
      </c>
      <c r="O5011" s="25">
        <f>IF(J5011&gt;600,1,0)</f>
        <v/>
      </c>
      <c r="P5011" s="25">
        <f>IF(H5011&gt;0,J5011,"")</f>
        <v/>
      </c>
      <c r="Q5011" s="25">
        <f>TEXT(A5011,"YYYY-MM-DD HH")</f>
        <v/>
      </c>
      <c r="R5011" s="25">
        <f>COUNTIF($Q$2:$Q$5295,Q5011)</f>
        <v/>
      </c>
      <c r="S5011" s="25">
        <f>IF(R5011&lt;=2,"1-2",IF(R5011&lt;=5,"3-5",IF(R5011&lt;=10,"6-10","11+")))</f>
        <v/>
      </c>
    </row>
    <row r="5012">
      <c r="A5012" s="39" t="n">
        <v>46238.25328703703</v>
      </c>
      <c r="B5012" s="25">
        <f>TEXT(A5012,"YYYY-MM")</f>
        <v/>
      </c>
      <c r="C5012" s="25">
        <f>TEXT(A5012,"MMM-YYYY")</f>
        <v/>
      </c>
      <c r="D5012" s="40">
        <f>INT(A5012)-WEEKDAY(A5012,2)+1</f>
        <v/>
      </c>
      <c r="E5012" s="25" t="inlineStr">
        <is>
          <t>ajain</t>
        </is>
      </c>
      <c r="F5012" s="25" t="n">
        <v>135489</v>
      </c>
      <c r="G5012" s="25" t="n">
        <v>2</v>
      </c>
      <c r="H5012" s="25" t="n">
        <v>11</v>
      </c>
      <c r="I5012" s="25" t="inlineStr">
        <is>
          <t>1 minute(s) and 3 second(s)</t>
        </is>
      </c>
      <c r="J5012" s="25">
        <f>IFERROR(VALUE(TRIM(LEFT(I5012,FIND("minute",I5012)-1)))*60,0)+IFERROR(VALUE(SUBSTITUTE(MID(I5012,IFERROR(FIND("and",I5012)+3,1),20),"second(s)","")),0)</f>
        <v/>
      </c>
      <c r="K5012" s="41">
        <f>J5012/60</f>
        <v/>
      </c>
      <c r="L5012" s="41">
        <f>IFERROR(J5012/H5012,"")</f>
        <v/>
      </c>
      <c r="M5012" s="25" t="inlineStr">
        <is>
          <t>2.5.12</t>
        </is>
      </c>
      <c r="N5012" s="25">
        <f>IF(J5012&gt;300,1,0)</f>
        <v/>
      </c>
      <c r="O5012" s="25">
        <f>IF(J5012&gt;600,1,0)</f>
        <v/>
      </c>
      <c r="P5012" s="25">
        <f>IF(H5012&gt;0,J5012,"")</f>
        <v/>
      </c>
      <c r="Q5012" s="25">
        <f>TEXT(A5012,"YYYY-MM-DD HH")</f>
        <v/>
      </c>
      <c r="R5012" s="25">
        <f>COUNTIF($Q$2:$Q$5295,Q5012)</f>
        <v/>
      </c>
      <c r="S5012" s="25">
        <f>IF(R5012&lt;=2,"1-2",IF(R5012&lt;=5,"3-5",IF(R5012&lt;=10,"6-10","11+")))</f>
        <v/>
      </c>
    </row>
    <row r="5013">
      <c r="A5013" s="39" t="n">
        <v>46238.25466435185</v>
      </c>
      <c r="B5013" s="25">
        <f>TEXT(A5013,"YYYY-MM")</f>
        <v/>
      </c>
      <c r="C5013" s="25">
        <f>TEXT(A5013,"MMM-YYYY")</f>
        <v/>
      </c>
      <c r="D5013" s="40">
        <f>INT(A5013)-WEEKDAY(A5013,2)+1</f>
        <v/>
      </c>
      <c r="E5013" s="25" t="inlineStr">
        <is>
          <t>aupadhayay</t>
        </is>
      </c>
      <c r="F5013" s="25" t="n">
        <v>135545</v>
      </c>
      <c r="G5013" s="25" t="n">
        <v>2</v>
      </c>
      <c r="H5013" s="25" t="n">
        <v>14</v>
      </c>
      <c r="I5013" s="25" t="inlineStr">
        <is>
          <t>2 minute(s) and 22 second(s)</t>
        </is>
      </c>
      <c r="J5013" s="25">
        <f>IFERROR(VALUE(TRIM(LEFT(I5013,FIND("minute",I5013)-1)))*60,0)+IFERROR(VALUE(SUBSTITUTE(MID(I5013,IFERROR(FIND("and",I5013)+3,1),20),"second(s)","")),0)</f>
        <v/>
      </c>
      <c r="K5013" s="41">
        <f>J5013/60</f>
        <v/>
      </c>
      <c r="L5013" s="41">
        <f>IFERROR(J5013/H5013,"")</f>
        <v/>
      </c>
      <c r="M5013" s="25" t="n">
        <v>3.4</v>
      </c>
      <c r="N5013" s="25">
        <f>IF(J5013&gt;300,1,0)</f>
        <v/>
      </c>
      <c r="O5013" s="25">
        <f>IF(J5013&gt;600,1,0)</f>
        <v/>
      </c>
      <c r="P5013" s="25">
        <f>IF(H5013&gt;0,J5013,"")</f>
        <v/>
      </c>
      <c r="Q5013" s="25">
        <f>TEXT(A5013,"YYYY-MM-DD HH")</f>
        <v/>
      </c>
      <c r="R5013" s="25">
        <f>COUNTIF($Q$2:$Q$5295,Q5013)</f>
        <v/>
      </c>
      <c r="S5013" s="25">
        <f>IF(R5013&lt;=2,"1-2",IF(R5013&lt;=5,"3-5",IF(R5013&lt;=10,"6-10","11+")))</f>
        <v/>
      </c>
    </row>
    <row r="5014">
      <c r="A5014" s="39" t="n">
        <v>46238.26280092593</v>
      </c>
      <c r="B5014" s="25">
        <f>TEXT(A5014,"YYYY-MM")</f>
        <v/>
      </c>
      <c r="C5014" s="25">
        <f>TEXT(A5014,"MMM-YYYY")</f>
        <v/>
      </c>
      <c r="D5014" s="40">
        <f>INT(A5014)-WEEKDAY(A5014,2)+1</f>
        <v/>
      </c>
      <c r="E5014" s="25" t="inlineStr">
        <is>
          <t>shasikha</t>
        </is>
      </c>
      <c r="F5014" s="25" t="n">
        <v>137501</v>
      </c>
      <c r="G5014" s="25" t="n">
        <v>1</v>
      </c>
      <c r="H5014" s="25" t="n">
        <v>7</v>
      </c>
      <c r="I5014" s="25" t="inlineStr">
        <is>
          <t>1 minute(s) and 10 second(s)</t>
        </is>
      </c>
      <c r="J5014" s="25">
        <f>IFERROR(VALUE(TRIM(LEFT(I5014,FIND("minute",I5014)-1)))*60,0)+IFERROR(VALUE(SUBSTITUTE(MID(I5014,IFERROR(FIND("and",I5014)+3,1),20),"second(s)","")),0)</f>
        <v/>
      </c>
      <c r="K5014" s="41">
        <f>J5014/60</f>
        <v/>
      </c>
      <c r="L5014" s="41">
        <f>IFERROR(J5014/H5014,"")</f>
        <v/>
      </c>
      <c r="M5014" s="25" t="n">
        <v>3.4</v>
      </c>
      <c r="N5014" s="25">
        <f>IF(J5014&gt;300,1,0)</f>
        <v/>
      </c>
      <c r="O5014" s="25">
        <f>IF(J5014&gt;600,1,0)</f>
        <v/>
      </c>
      <c r="P5014" s="25">
        <f>IF(H5014&gt;0,J5014,"")</f>
        <v/>
      </c>
      <c r="Q5014" s="25">
        <f>TEXT(A5014,"YYYY-MM-DD HH")</f>
        <v/>
      </c>
      <c r="R5014" s="25">
        <f>COUNTIF($Q$2:$Q$5295,Q5014)</f>
        <v/>
      </c>
      <c r="S5014" s="25">
        <f>IF(R5014&lt;=2,"1-2",IF(R5014&lt;=5,"3-5",IF(R5014&lt;=10,"6-10","11+")))</f>
        <v/>
      </c>
    </row>
    <row r="5015">
      <c r="A5015" s="39" t="n">
        <v>46238.27010416667</v>
      </c>
      <c r="B5015" s="25">
        <f>TEXT(A5015,"YYYY-MM")</f>
        <v/>
      </c>
      <c r="C5015" s="25">
        <f>TEXT(A5015,"MMM-YYYY")</f>
        <v/>
      </c>
      <c r="D5015" s="40">
        <f>INT(A5015)-WEEKDAY(A5015,2)+1</f>
        <v/>
      </c>
      <c r="E5015" s="25" t="inlineStr">
        <is>
          <t>sswati</t>
        </is>
      </c>
      <c r="F5015" s="25" t="n">
        <v>137017</v>
      </c>
      <c r="G5015" s="25" t="n">
        <v>1</v>
      </c>
      <c r="H5015" s="25" t="n">
        <v>7</v>
      </c>
      <c r="I5015" s="25" t="inlineStr">
        <is>
          <t>59 second(s)</t>
        </is>
      </c>
      <c r="J5015" s="25">
        <f>IFERROR(VALUE(TRIM(LEFT(I5015,FIND("minute",I5015)-1)))*60,0)+IFERROR(VALUE(SUBSTITUTE(MID(I5015,IFERROR(FIND("and",I5015)+3,1),20),"second(s)","")),0)</f>
        <v/>
      </c>
      <c r="K5015" s="41">
        <f>J5015/60</f>
        <v/>
      </c>
      <c r="L5015" s="41">
        <f>IFERROR(J5015/H5015,"")</f>
        <v/>
      </c>
      <c r="M5015" s="25" t="n">
        <v>3.4</v>
      </c>
      <c r="N5015" s="25">
        <f>IF(J5015&gt;300,1,0)</f>
        <v/>
      </c>
      <c r="O5015" s="25">
        <f>IF(J5015&gt;600,1,0)</f>
        <v/>
      </c>
      <c r="P5015" s="25">
        <f>IF(H5015&gt;0,J5015,"")</f>
        <v/>
      </c>
      <c r="Q5015" s="25">
        <f>TEXT(A5015,"YYYY-MM-DD HH")</f>
        <v/>
      </c>
      <c r="R5015" s="25">
        <f>COUNTIF($Q$2:$Q$5295,Q5015)</f>
        <v/>
      </c>
      <c r="S5015" s="25">
        <f>IF(R5015&lt;=2,"1-2",IF(R5015&lt;=5,"3-5",IF(R5015&lt;=10,"6-10","11+")))</f>
        <v/>
      </c>
    </row>
    <row r="5016">
      <c r="A5016" s="39" t="n">
        <v>46238.27078703704</v>
      </c>
      <c r="B5016" s="25">
        <f>TEXT(A5016,"YYYY-MM")</f>
        <v/>
      </c>
      <c r="C5016" s="25">
        <f>TEXT(A5016,"MMM-YYYY")</f>
        <v/>
      </c>
      <c r="D5016" s="40">
        <f>INT(A5016)-WEEKDAY(A5016,2)+1</f>
        <v/>
      </c>
      <c r="E5016" s="25" t="inlineStr">
        <is>
          <t>csaha</t>
        </is>
      </c>
      <c r="F5016" s="25" t="n">
        <v>136977</v>
      </c>
      <c r="G5016" s="25" t="n">
        <v>2</v>
      </c>
      <c r="H5016" s="25" t="n">
        <v>10</v>
      </c>
      <c r="I5016" s="25" t="inlineStr">
        <is>
          <t>1 minute(s) and 39 second(s)</t>
        </is>
      </c>
      <c r="J5016" s="25">
        <f>IFERROR(VALUE(TRIM(LEFT(I5016,FIND("minute",I5016)-1)))*60,0)+IFERROR(VALUE(SUBSTITUTE(MID(I5016,IFERROR(FIND("and",I5016)+3,1),20),"second(s)","")),0)</f>
        <v/>
      </c>
      <c r="K5016" s="41">
        <f>J5016/60</f>
        <v/>
      </c>
      <c r="L5016" s="41">
        <f>IFERROR(J5016/H5016,"")</f>
        <v/>
      </c>
      <c r="M5016" s="25" t="n">
        <v>3.4</v>
      </c>
      <c r="N5016" s="25">
        <f>IF(J5016&gt;300,1,0)</f>
        <v/>
      </c>
      <c r="O5016" s="25">
        <f>IF(J5016&gt;600,1,0)</f>
        <v/>
      </c>
      <c r="P5016" s="25">
        <f>IF(H5016&gt;0,J5016,"")</f>
        <v/>
      </c>
      <c r="Q5016" s="25">
        <f>TEXT(A5016,"YYYY-MM-DD HH")</f>
        <v/>
      </c>
      <c r="R5016" s="25">
        <f>COUNTIF($Q$2:$Q$5295,Q5016)</f>
        <v/>
      </c>
      <c r="S5016" s="25">
        <f>IF(R5016&lt;=2,"1-2",IF(R5016&lt;=5,"3-5",IF(R5016&lt;=10,"6-10","11+")))</f>
        <v/>
      </c>
    </row>
    <row r="5017">
      <c r="A5017" s="39" t="n">
        <v>46238.27116898148</v>
      </c>
      <c r="B5017" s="25">
        <f>TEXT(A5017,"YYYY-MM")</f>
        <v/>
      </c>
      <c r="C5017" s="25">
        <f>TEXT(A5017,"MMM-YYYY")</f>
        <v/>
      </c>
      <c r="D5017" s="40">
        <f>INT(A5017)-WEEKDAY(A5017,2)+1</f>
        <v/>
      </c>
      <c r="E5017" s="25" t="inlineStr">
        <is>
          <t>tkarmakar</t>
        </is>
      </c>
      <c r="F5017" s="25" t="n">
        <v>135205</v>
      </c>
      <c r="G5017" s="25" t="n">
        <v>2</v>
      </c>
      <c r="H5017" s="25" t="n">
        <v>12</v>
      </c>
      <c r="I5017" s="25" t="inlineStr">
        <is>
          <t>3 minute(s) and 4 second(s)</t>
        </is>
      </c>
      <c r="J5017" s="25">
        <f>IFERROR(VALUE(TRIM(LEFT(I5017,FIND("minute",I5017)-1)))*60,0)+IFERROR(VALUE(SUBSTITUTE(MID(I5017,IFERROR(FIND("and",I5017)+3,1),20),"second(s)","")),0)</f>
        <v/>
      </c>
      <c r="K5017" s="41">
        <f>J5017/60</f>
        <v/>
      </c>
      <c r="L5017" s="41">
        <f>IFERROR(J5017/H5017,"")</f>
        <v/>
      </c>
      <c r="M5017" s="25" t="n">
        <v>3.4</v>
      </c>
      <c r="N5017" s="25">
        <f>IF(J5017&gt;300,1,0)</f>
        <v/>
      </c>
      <c r="O5017" s="25">
        <f>IF(J5017&gt;600,1,0)</f>
        <v/>
      </c>
      <c r="P5017" s="25">
        <f>IF(H5017&gt;0,J5017,"")</f>
        <v/>
      </c>
      <c r="Q5017" s="25">
        <f>TEXT(A5017,"YYYY-MM-DD HH")</f>
        <v/>
      </c>
      <c r="R5017" s="25">
        <f>COUNTIF($Q$2:$Q$5295,Q5017)</f>
        <v/>
      </c>
      <c r="S5017" s="25">
        <f>IF(R5017&lt;=2,"1-2",IF(R5017&lt;=5,"3-5",IF(R5017&lt;=10,"6-10","11+")))</f>
        <v/>
      </c>
    </row>
    <row r="5018">
      <c r="A5018" s="39" t="n">
        <v>46238.27210648148</v>
      </c>
      <c r="B5018" s="25">
        <f>TEXT(A5018,"YYYY-MM")</f>
        <v/>
      </c>
      <c r="C5018" s="25">
        <f>TEXT(A5018,"MMM-YYYY")</f>
        <v/>
      </c>
      <c r="D5018" s="40">
        <f>INT(A5018)-WEEKDAY(A5018,2)+1</f>
        <v/>
      </c>
      <c r="E5018" s="25" t="inlineStr">
        <is>
          <t>sswati</t>
        </is>
      </c>
      <c r="F5018" s="25" t="n">
        <v>137017</v>
      </c>
      <c r="G5018" s="25" t="n">
        <v>1</v>
      </c>
      <c r="H5018" s="25" t="n">
        <v>7</v>
      </c>
      <c r="I5018" s="25" t="inlineStr">
        <is>
          <t>51 second(s)</t>
        </is>
      </c>
      <c r="J5018" s="25">
        <f>IFERROR(VALUE(TRIM(LEFT(I5018,FIND("minute",I5018)-1)))*60,0)+IFERROR(VALUE(SUBSTITUTE(MID(I5018,IFERROR(FIND("and",I5018)+3,1),20),"second(s)","")),0)</f>
        <v/>
      </c>
      <c r="K5018" s="41">
        <f>J5018/60</f>
        <v/>
      </c>
      <c r="L5018" s="41">
        <f>IFERROR(J5018/H5018,"")</f>
        <v/>
      </c>
      <c r="M5018" s="25" t="n">
        <v>3.4</v>
      </c>
      <c r="N5018" s="25">
        <f>IF(J5018&gt;300,1,0)</f>
        <v/>
      </c>
      <c r="O5018" s="25">
        <f>IF(J5018&gt;600,1,0)</f>
        <v/>
      </c>
      <c r="P5018" s="25">
        <f>IF(H5018&gt;0,J5018,"")</f>
        <v/>
      </c>
      <c r="Q5018" s="25">
        <f>TEXT(A5018,"YYYY-MM-DD HH")</f>
        <v/>
      </c>
      <c r="R5018" s="25">
        <f>COUNTIF($Q$2:$Q$5295,Q5018)</f>
        <v/>
      </c>
      <c r="S5018" s="25">
        <f>IF(R5018&lt;=2,"1-2",IF(R5018&lt;=5,"3-5",IF(R5018&lt;=10,"6-10","11+")))</f>
        <v/>
      </c>
    </row>
    <row r="5019">
      <c r="A5019" s="39" t="n">
        <v>46238.27503472222</v>
      </c>
      <c r="B5019" s="25">
        <f>TEXT(A5019,"YYYY-MM")</f>
        <v/>
      </c>
      <c r="C5019" s="25">
        <f>TEXT(A5019,"MMM-YYYY")</f>
        <v/>
      </c>
      <c r="D5019" s="40">
        <f>INT(A5019)-WEEKDAY(A5019,2)+1</f>
        <v/>
      </c>
      <c r="E5019" s="25" t="inlineStr">
        <is>
          <t>stiwari</t>
        </is>
      </c>
      <c r="F5019" s="25" t="n">
        <v>134893</v>
      </c>
      <c r="G5019" s="25" t="n">
        <v>2</v>
      </c>
      <c r="H5019" s="25" t="n">
        <v>12</v>
      </c>
      <c r="I5019" s="25" t="inlineStr">
        <is>
          <t>1 minute(s) and 13 second(s)</t>
        </is>
      </c>
      <c r="J5019" s="25">
        <f>IFERROR(VALUE(TRIM(LEFT(I5019,FIND("minute",I5019)-1)))*60,0)+IFERROR(VALUE(SUBSTITUTE(MID(I5019,IFERROR(FIND("and",I5019)+3,1),20),"second(s)","")),0)</f>
        <v/>
      </c>
      <c r="K5019" s="41">
        <f>J5019/60</f>
        <v/>
      </c>
      <c r="L5019" s="41">
        <f>IFERROR(J5019/H5019,"")</f>
        <v/>
      </c>
      <c r="M5019" s="25" t="n">
        <v>3.4</v>
      </c>
      <c r="N5019" s="25">
        <f>IF(J5019&gt;300,1,0)</f>
        <v/>
      </c>
      <c r="O5019" s="25">
        <f>IF(J5019&gt;600,1,0)</f>
        <v/>
      </c>
      <c r="P5019" s="25">
        <f>IF(H5019&gt;0,J5019,"")</f>
        <v/>
      </c>
      <c r="Q5019" s="25">
        <f>TEXT(A5019,"YYYY-MM-DD HH")</f>
        <v/>
      </c>
      <c r="R5019" s="25">
        <f>COUNTIF($Q$2:$Q$5295,Q5019)</f>
        <v/>
      </c>
      <c r="S5019" s="25">
        <f>IF(R5019&lt;=2,"1-2",IF(R5019&lt;=5,"3-5",IF(R5019&lt;=10,"6-10","11+")))</f>
        <v/>
      </c>
    </row>
    <row r="5020">
      <c r="A5020" s="39" t="n">
        <v>46238.27565972223</v>
      </c>
      <c r="B5020" s="25">
        <f>TEXT(A5020,"YYYY-MM")</f>
        <v/>
      </c>
      <c r="C5020" s="25">
        <f>TEXT(A5020,"MMM-YYYY")</f>
        <v/>
      </c>
      <c r="D5020" s="40">
        <f>INT(A5020)-WEEKDAY(A5020,2)+1</f>
        <v/>
      </c>
      <c r="E5020" s="25" t="inlineStr">
        <is>
          <t>mbhalla</t>
        </is>
      </c>
      <c r="F5020" s="25" t="n">
        <v>135497</v>
      </c>
      <c r="G5020" s="25" t="n">
        <v>2</v>
      </c>
      <c r="H5020" s="25" t="n">
        <v>10</v>
      </c>
      <c r="I5020" s="25" t="inlineStr">
        <is>
          <t>1 minute(s) and 19 second(s)</t>
        </is>
      </c>
      <c r="J5020" s="25">
        <f>IFERROR(VALUE(TRIM(LEFT(I5020,FIND("minute",I5020)-1)))*60,0)+IFERROR(VALUE(SUBSTITUTE(MID(I5020,IFERROR(FIND("and",I5020)+3,1),20),"second(s)","")),0)</f>
        <v/>
      </c>
      <c r="K5020" s="41">
        <f>J5020/60</f>
        <v/>
      </c>
      <c r="L5020" s="41">
        <f>IFERROR(J5020/H5020,"")</f>
        <v/>
      </c>
      <c r="M5020" s="25" t="n">
        <v>3.4</v>
      </c>
      <c r="N5020" s="25">
        <f>IF(J5020&gt;300,1,0)</f>
        <v/>
      </c>
      <c r="O5020" s="25">
        <f>IF(J5020&gt;600,1,0)</f>
        <v/>
      </c>
      <c r="P5020" s="25">
        <f>IF(H5020&gt;0,J5020,"")</f>
        <v/>
      </c>
      <c r="Q5020" s="25">
        <f>TEXT(A5020,"YYYY-MM-DD HH")</f>
        <v/>
      </c>
      <c r="R5020" s="25">
        <f>COUNTIF($Q$2:$Q$5295,Q5020)</f>
        <v/>
      </c>
      <c r="S5020" s="25">
        <f>IF(R5020&lt;=2,"1-2",IF(R5020&lt;=5,"3-5",IF(R5020&lt;=10,"6-10","11+")))</f>
        <v/>
      </c>
    </row>
    <row r="5021">
      <c r="A5021" s="39" t="n">
        <v>46238.28030092592</v>
      </c>
      <c r="B5021" s="25">
        <f>TEXT(A5021,"YYYY-MM")</f>
        <v/>
      </c>
      <c r="C5021" s="25">
        <f>TEXT(A5021,"MMM-YYYY")</f>
        <v/>
      </c>
      <c r="D5021" s="40">
        <f>INT(A5021)-WEEKDAY(A5021,2)+1</f>
        <v/>
      </c>
      <c r="E5021" s="25" t="inlineStr">
        <is>
          <t>dchoudhury</t>
        </is>
      </c>
      <c r="F5021" s="25" t="n">
        <v>139473</v>
      </c>
      <c r="G5021" s="25" t="n">
        <v>3</v>
      </c>
      <c r="H5021" s="25" t="n">
        <v>11</v>
      </c>
      <c r="I5021" s="25" t="inlineStr">
        <is>
          <t>1 minute(s) and 43 second(s)</t>
        </is>
      </c>
      <c r="J5021" s="25">
        <f>IFERROR(VALUE(TRIM(LEFT(I5021,FIND("minute",I5021)-1)))*60,0)+IFERROR(VALUE(SUBSTITUTE(MID(I5021,IFERROR(FIND("and",I5021)+3,1),20),"second(s)","")),0)</f>
        <v/>
      </c>
      <c r="K5021" s="41">
        <f>J5021/60</f>
        <v/>
      </c>
      <c r="L5021" s="41">
        <f>IFERROR(J5021/H5021,"")</f>
        <v/>
      </c>
      <c r="M5021" s="25" t="n">
        <v>3.4</v>
      </c>
      <c r="N5021" s="25">
        <f>IF(J5021&gt;300,1,0)</f>
        <v/>
      </c>
      <c r="O5021" s="25">
        <f>IF(J5021&gt;600,1,0)</f>
        <v/>
      </c>
      <c r="P5021" s="25">
        <f>IF(H5021&gt;0,J5021,"")</f>
        <v/>
      </c>
      <c r="Q5021" s="25">
        <f>TEXT(A5021,"YYYY-MM-DD HH")</f>
        <v/>
      </c>
      <c r="R5021" s="25">
        <f>COUNTIF($Q$2:$Q$5295,Q5021)</f>
        <v/>
      </c>
      <c r="S5021" s="25">
        <f>IF(R5021&lt;=2,"1-2",IF(R5021&lt;=5,"3-5",IF(R5021&lt;=10,"6-10","11+")))</f>
        <v/>
      </c>
    </row>
    <row r="5022">
      <c r="A5022" s="39" t="n">
        <v>46238.28179398148</v>
      </c>
      <c r="B5022" s="25">
        <f>TEXT(A5022,"YYYY-MM")</f>
        <v/>
      </c>
      <c r="C5022" s="25">
        <f>TEXT(A5022,"MMM-YYYY")</f>
        <v/>
      </c>
      <c r="D5022" s="40">
        <f>INT(A5022)-WEEKDAY(A5022,2)+1</f>
        <v/>
      </c>
      <c r="E5022" s="25" t="inlineStr">
        <is>
          <t>psathwika</t>
        </is>
      </c>
      <c r="F5022" s="25" t="n">
        <v>134849</v>
      </c>
      <c r="G5022" s="25" t="n">
        <v>4</v>
      </c>
      <c r="H5022" s="25" t="n">
        <v>27</v>
      </c>
      <c r="I5022" s="25" t="inlineStr">
        <is>
          <t>4 minute(s) and 36 second(s)</t>
        </is>
      </c>
      <c r="J5022" s="25">
        <f>IFERROR(VALUE(TRIM(LEFT(I5022,FIND("minute",I5022)-1)))*60,0)+IFERROR(VALUE(SUBSTITUTE(MID(I5022,IFERROR(FIND("and",I5022)+3,1),20),"second(s)","")),0)</f>
        <v/>
      </c>
      <c r="K5022" s="41">
        <f>J5022/60</f>
        <v/>
      </c>
      <c r="L5022" s="41">
        <f>IFERROR(J5022/H5022,"")</f>
        <v/>
      </c>
      <c r="M5022" s="25" t="inlineStr">
        <is>
          <t>2.5.12</t>
        </is>
      </c>
      <c r="N5022" s="25">
        <f>IF(J5022&gt;300,1,0)</f>
        <v/>
      </c>
      <c r="O5022" s="25">
        <f>IF(J5022&gt;600,1,0)</f>
        <v/>
      </c>
      <c r="P5022" s="25">
        <f>IF(H5022&gt;0,J5022,"")</f>
        <v/>
      </c>
      <c r="Q5022" s="25">
        <f>TEXT(A5022,"YYYY-MM-DD HH")</f>
        <v/>
      </c>
      <c r="R5022" s="25">
        <f>COUNTIF($Q$2:$Q$5295,Q5022)</f>
        <v/>
      </c>
      <c r="S5022" s="25">
        <f>IF(R5022&lt;=2,"1-2",IF(R5022&lt;=5,"3-5",IF(R5022&lt;=10,"6-10","11+")))</f>
        <v/>
      </c>
    </row>
    <row r="5023">
      <c r="A5023" s="39" t="n">
        <v>46238.28261574074</v>
      </c>
      <c r="B5023" s="25">
        <f>TEXT(A5023,"YYYY-MM")</f>
        <v/>
      </c>
      <c r="C5023" s="25">
        <f>TEXT(A5023,"MMM-YYYY")</f>
        <v/>
      </c>
      <c r="D5023" s="40">
        <f>INT(A5023)-WEEKDAY(A5023,2)+1</f>
        <v/>
      </c>
      <c r="E5023" s="25" t="inlineStr">
        <is>
          <t>npriya</t>
        </is>
      </c>
      <c r="F5023" s="25" t="n">
        <v>136885</v>
      </c>
      <c r="G5023" s="25" t="n">
        <v>1</v>
      </c>
      <c r="H5023" s="25" t="n">
        <v>5</v>
      </c>
      <c r="I5023" s="25" t="inlineStr">
        <is>
          <t>7 minute(s) and 7 second(s)</t>
        </is>
      </c>
      <c r="J5023" s="25">
        <f>IFERROR(VALUE(TRIM(LEFT(I5023,FIND("minute",I5023)-1)))*60,0)+IFERROR(VALUE(SUBSTITUTE(MID(I5023,IFERROR(FIND("and",I5023)+3,1),20),"second(s)","")),0)</f>
        <v/>
      </c>
      <c r="K5023" s="41">
        <f>J5023/60</f>
        <v/>
      </c>
      <c r="L5023" s="41">
        <f>IFERROR(J5023/H5023,"")</f>
        <v/>
      </c>
      <c r="M5023" s="25" t="n">
        <v>3.4</v>
      </c>
      <c r="N5023" s="25">
        <f>IF(J5023&gt;300,1,0)</f>
        <v/>
      </c>
      <c r="O5023" s="25">
        <f>IF(J5023&gt;600,1,0)</f>
        <v/>
      </c>
      <c r="P5023" s="25">
        <f>IF(H5023&gt;0,J5023,"")</f>
        <v/>
      </c>
      <c r="Q5023" s="25">
        <f>TEXT(A5023,"YYYY-MM-DD HH")</f>
        <v/>
      </c>
      <c r="R5023" s="25">
        <f>COUNTIF($Q$2:$Q$5295,Q5023)</f>
        <v/>
      </c>
      <c r="S5023" s="25">
        <f>IF(R5023&lt;=2,"1-2",IF(R5023&lt;=5,"3-5",IF(R5023&lt;=10,"6-10","11+")))</f>
        <v/>
      </c>
    </row>
    <row r="5024">
      <c r="A5024" s="39" t="n">
        <v>46238.30409722222</v>
      </c>
      <c r="B5024" s="25">
        <f>TEXT(A5024,"YYYY-MM")</f>
        <v/>
      </c>
      <c r="C5024" s="25">
        <f>TEXT(A5024,"MMM-YYYY")</f>
        <v/>
      </c>
      <c r="D5024" s="40">
        <f>INT(A5024)-WEEKDAY(A5024,2)+1</f>
        <v/>
      </c>
      <c r="E5024" s="25" t="inlineStr">
        <is>
          <t>aupadhayay</t>
        </is>
      </c>
      <c r="F5024" s="25" t="n">
        <v>135521</v>
      </c>
      <c r="G5024" s="25" t="n">
        <v>4</v>
      </c>
      <c r="H5024" s="25" t="n">
        <v>24</v>
      </c>
      <c r="I5024" s="25" t="inlineStr">
        <is>
          <t>3 minute(s) and 25 second(s)</t>
        </is>
      </c>
      <c r="J5024" s="25">
        <f>IFERROR(VALUE(TRIM(LEFT(I5024,FIND("minute",I5024)-1)))*60,0)+IFERROR(VALUE(SUBSTITUTE(MID(I5024,IFERROR(FIND("and",I5024)+3,1),20),"second(s)","")),0)</f>
        <v/>
      </c>
      <c r="K5024" s="41">
        <f>J5024/60</f>
        <v/>
      </c>
      <c r="L5024" s="41">
        <f>IFERROR(J5024/H5024,"")</f>
        <v/>
      </c>
      <c r="M5024" s="25" t="n">
        <v>3.4</v>
      </c>
      <c r="N5024" s="25">
        <f>IF(J5024&gt;300,1,0)</f>
        <v/>
      </c>
      <c r="O5024" s="25">
        <f>IF(J5024&gt;600,1,0)</f>
        <v/>
      </c>
      <c r="P5024" s="25">
        <f>IF(H5024&gt;0,J5024,"")</f>
        <v/>
      </c>
      <c r="Q5024" s="25">
        <f>TEXT(A5024,"YYYY-MM-DD HH")</f>
        <v/>
      </c>
      <c r="R5024" s="25">
        <f>COUNTIF($Q$2:$Q$5295,Q5024)</f>
        <v/>
      </c>
      <c r="S5024" s="25">
        <f>IF(R5024&lt;=2,"1-2",IF(R5024&lt;=5,"3-5",IF(R5024&lt;=10,"6-10","11+")))</f>
        <v/>
      </c>
    </row>
    <row r="5025">
      <c r="A5025" s="39" t="n">
        <v>46238.30658564815</v>
      </c>
      <c r="B5025" s="25">
        <f>TEXT(A5025,"YYYY-MM")</f>
        <v/>
      </c>
      <c r="C5025" s="25">
        <f>TEXT(A5025,"MMM-YYYY")</f>
        <v/>
      </c>
      <c r="D5025" s="40">
        <f>INT(A5025)-WEEKDAY(A5025,2)+1</f>
        <v/>
      </c>
      <c r="E5025" s="25" t="inlineStr">
        <is>
          <t>mgupta</t>
        </is>
      </c>
      <c r="F5025" s="25" t="n">
        <v>136693</v>
      </c>
      <c r="G5025" s="25" t="n">
        <v>1</v>
      </c>
      <c r="H5025" s="25" t="n">
        <v>7</v>
      </c>
      <c r="I5025" s="25" t="inlineStr">
        <is>
          <t>1 minute(s) and 7 second(s)</t>
        </is>
      </c>
      <c r="J5025" s="25">
        <f>IFERROR(VALUE(TRIM(LEFT(I5025,FIND("minute",I5025)-1)))*60,0)+IFERROR(VALUE(SUBSTITUTE(MID(I5025,IFERROR(FIND("and",I5025)+3,1),20),"second(s)","")),0)</f>
        <v/>
      </c>
      <c r="K5025" s="41">
        <f>J5025/60</f>
        <v/>
      </c>
      <c r="L5025" s="41">
        <f>IFERROR(J5025/H5025,"")</f>
        <v/>
      </c>
      <c r="M5025" s="25" t="n">
        <v>3.5</v>
      </c>
      <c r="N5025" s="25">
        <f>IF(J5025&gt;300,1,0)</f>
        <v/>
      </c>
      <c r="O5025" s="25">
        <f>IF(J5025&gt;600,1,0)</f>
        <v/>
      </c>
      <c r="P5025" s="25">
        <f>IF(H5025&gt;0,J5025,"")</f>
        <v/>
      </c>
      <c r="Q5025" s="25">
        <f>TEXT(A5025,"YYYY-MM-DD HH")</f>
        <v/>
      </c>
      <c r="R5025" s="25">
        <f>COUNTIF($Q$2:$Q$5295,Q5025)</f>
        <v/>
      </c>
      <c r="S5025" s="25">
        <f>IF(R5025&lt;=2,"1-2",IF(R5025&lt;=5,"3-5",IF(R5025&lt;=10,"6-10","11+")))</f>
        <v/>
      </c>
    </row>
    <row r="5026">
      <c r="A5026" s="39" t="n">
        <v>46238.31059027778</v>
      </c>
      <c r="B5026" s="25">
        <f>TEXT(A5026,"YYYY-MM")</f>
        <v/>
      </c>
      <c r="C5026" s="25">
        <f>TEXT(A5026,"MMM-YYYY")</f>
        <v/>
      </c>
      <c r="D5026" s="40">
        <f>INT(A5026)-WEEKDAY(A5026,2)+1</f>
        <v/>
      </c>
      <c r="E5026" s="25" t="inlineStr">
        <is>
          <t>shasikha</t>
        </is>
      </c>
      <c r="F5026" s="25" t="n">
        <v>137493</v>
      </c>
      <c r="G5026" s="25" t="n">
        <v>3</v>
      </c>
      <c r="H5026" s="25" t="n">
        <v>21</v>
      </c>
      <c r="I5026" s="25" t="inlineStr">
        <is>
          <t>2 minute(s) and 50 second(s)</t>
        </is>
      </c>
      <c r="J5026" s="25">
        <f>IFERROR(VALUE(TRIM(LEFT(I5026,FIND("minute",I5026)-1)))*60,0)+IFERROR(VALUE(SUBSTITUTE(MID(I5026,IFERROR(FIND("and",I5026)+3,1),20),"second(s)","")),0)</f>
        <v/>
      </c>
      <c r="K5026" s="41">
        <f>J5026/60</f>
        <v/>
      </c>
      <c r="L5026" s="41">
        <f>IFERROR(J5026/H5026,"")</f>
        <v/>
      </c>
      <c r="M5026" s="25" t="n">
        <v>3.4</v>
      </c>
      <c r="N5026" s="25">
        <f>IF(J5026&gt;300,1,0)</f>
        <v/>
      </c>
      <c r="O5026" s="25">
        <f>IF(J5026&gt;600,1,0)</f>
        <v/>
      </c>
      <c r="P5026" s="25">
        <f>IF(H5026&gt;0,J5026,"")</f>
        <v/>
      </c>
      <c r="Q5026" s="25">
        <f>TEXT(A5026,"YYYY-MM-DD HH")</f>
        <v/>
      </c>
      <c r="R5026" s="25">
        <f>COUNTIF($Q$2:$Q$5295,Q5026)</f>
        <v/>
      </c>
      <c r="S5026" s="25">
        <f>IF(R5026&lt;=2,"1-2",IF(R5026&lt;=5,"3-5",IF(R5026&lt;=10,"6-10","11+")))</f>
        <v/>
      </c>
    </row>
    <row r="5027">
      <c r="A5027" s="39" t="n">
        <v>46238.31230324074</v>
      </c>
      <c r="B5027" s="25">
        <f>TEXT(A5027,"YYYY-MM")</f>
        <v/>
      </c>
      <c r="C5027" s="25">
        <f>TEXT(A5027,"MMM-YYYY")</f>
        <v/>
      </c>
      <c r="D5027" s="40">
        <f>INT(A5027)-WEEKDAY(A5027,2)+1</f>
        <v/>
      </c>
      <c r="E5027" s="25" t="inlineStr">
        <is>
          <t>larora</t>
        </is>
      </c>
      <c r="F5027" s="25" t="n">
        <v>136842</v>
      </c>
      <c r="G5027" s="25" t="n">
        <v>4</v>
      </c>
      <c r="H5027" s="25" t="n">
        <v>26</v>
      </c>
      <c r="I5027" s="25" t="inlineStr">
        <is>
          <t>3 minute(s) and 20 second(s)</t>
        </is>
      </c>
      <c r="J5027" s="25">
        <f>IFERROR(VALUE(TRIM(LEFT(I5027,FIND("minute",I5027)-1)))*60,0)+IFERROR(VALUE(SUBSTITUTE(MID(I5027,IFERROR(FIND("and",I5027)+3,1),20),"second(s)","")),0)</f>
        <v/>
      </c>
      <c r="K5027" s="41">
        <f>J5027/60</f>
        <v/>
      </c>
      <c r="L5027" s="41">
        <f>IFERROR(J5027/H5027,"")</f>
        <v/>
      </c>
      <c r="M5027" s="25" t="n">
        <v>3.4</v>
      </c>
      <c r="N5027" s="25">
        <f>IF(J5027&gt;300,1,0)</f>
        <v/>
      </c>
      <c r="O5027" s="25">
        <f>IF(J5027&gt;600,1,0)</f>
        <v/>
      </c>
      <c r="P5027" s="25">
        <f>IF(H5027&gt;0,J5027,"")</f>
        <v/>
      </c>
      <c r="Q5027" s="25">
        <f>TEXT(A5027,"YYYY-MM-DD HH")</f>
        <v/>
      </c>
      <c r="R5027" s="25">
        <f>COUNTIF($Q$2:$Q$5295,Q5027)</f>
        <v/>
      </c>
      <c r="S5027" s="25">
        <f>IF(R5027&lt;=2,"1-2",IF(R5027&lt;=5,"3-5",IF(R5027&lt;=10,"6-10","11+")))</f>
        <v/>
      </c>
    </row>
    <row r="5028">
      <c r="A5028" s="39" t="n">
        <v>46238.31637731481</v>
      </c>
      <c r="B5028" s="25">
        <f>TEXT(A5028,"YYYY-MM")</f>
        <v/>
      </c>
      <c r="C5028" s="25">
        <f>TEXT(A5028,"MMM-YYYY")</f>
        <v/>
      </c>
      <c r="D5028" s="40">
        <f>INT(A5028)-WEEKDAY(A5028,2)+1</f>
        <v/>
      </c>
      <c r="E5028" s="25" t="inlineStr">
        <is>
          <t>adutt</t>
        </is>
      </c>
      <c r="F5028" s="25" t="n">
        <v>134129</v>
      </c>
      <c r="G5028" s="25" t="n">
        <v>1</v>
      </c>
      <c r="H5028" s="25" t="n">
        <v>7</v>
      </c>
      <c r="I5028" s="25" t="inlineStr">
        <is>
          <t>5 minute(s) and 42 second(s)</t>
        </is>
      </c>
      <c r="J5028" s="25">
        <f>IFERROR(VALUE(TRIM(LEFT(I5028,FIND("minute",I5028)-1)))*60,0)+IFERROR(VALUE(SUBSTITUTE(MID(I5028,IFERROR(FIND("and",I5028)+3,1),20),"second(s)","")),0)</f>
        <v/>
      </c>
      <c r="K5028" s="41">
        <f>J5028/60</f>
        <v/>
      </c>
      <c r="L5028" s="41">
        <f>IFERROR(J5028/H5028,"")</f>
        <v/>
      </c>
      <c r="M5028" s="25" t="n">
        <v>3.4</v>
      </c>
      <c r="N5028" s="25">
        <f>IF(J5028&gt;300,1,0)</f>
        <v/>
      </c>
      <c r="O5028" s="25">
        <f>IF(J5028&gt;600,1,0)</f>
        <v/>
      </c>
      <c r="P5028" s="25">
        <f>IF(H5028&gt;0,J5028,"")</f>
        <v/>
      </c>
      <c r="Q5028" s="25">
        <f>TEXT(A5028,"YYYY-MM-DD HH")</f>
        <v/>
      </c>
      <c r="R5028" s="25">
        <f>COUNTIF($Q$2:$Q$5295,Q5028)</f>
        <v/>
      </c>
      <c r="S5028" s="25">
        <f>IF(R5028&lt;=2,"1-2",IF(R5028&lt;=5,"3-5",IF(R5028&lt;=10,"6-10","11+")))</f>
        <v/>
      </c>
    </row>
    <row r="5029">
      <c r="A5029" s="39" t="n">
        <v>46238.3184375</v>
      </c>
      <c r="B5029" s="25">
        <f>TEXT(A5029,"YYYY-MM")</f>
        <v/>
      </c>
      <c r="C5029" s="25">
        <f>TEXT(A5029,"MMM-YYYY")</f>
        <v/>
      </c>
      <c r="D5029" s="40">
        <f>INT(A5029)-WEEKDAY(A5029,2)+1</f>
        <v/>
      </c>
      <c r="E5029" s="25" t="inlineStr">
        <is>
          <t>ajain</t>
        </is>
      </c>
      <c r="F5029" s="25" t="n">
        <v>135481</v>
      </c>
      <c r="G5029" s="25" t="n">
        <v>4</v>
      </c>
      <c r="H5029" s="25" t="n">
        <v>24</v>
      </c>
      <c r="I5029" s="25" t="inlineStr">
        <is>
          <t>2 minute(s) and 10 second(s)</t>
        </is>
      </c>
      <c r="J5029" s="25">
        <f>IFERROR(VALUE(TRIM(LEFT(I5029,FIND("minute",I5029)-1)))*60,0)+IFERROR(VALUE(SUBSTITUTE(MID(I5029,IFERROR(FIND("and",I5029)+3,1),20),"second(s)","")),0)</f>
        <v/>
      </c>
      <c r="K5029" s="41">
        <f>J5029/60</f>
        <v/>
      </c>
      <c r="L5029" s="41">
        <f>IFERROR(J5029/H5029,"")</f>
        <v/>
      </c>
      <c r="M5029" s="25" t="inlineStr">
        <is>
          <t>2.5.12</t>
        </is>
      </c>
      <c r="N5029" s="25">
        <f>IF(J5029&gt;300,1,0)</f>
        <v/>
      </c>
      <c r="O5029" s="25">
        <f>IF(J5029&gt;600,1,0)</f>
        <v/>
      </c>
      <c r="P5029" s="25">
        <f>IF(H5029&gt;0,J5029,"")</f>
        <v/>
      </c>
      <c r="Q5029" s="25">
        <f>TEXT(A5029,"YYYY-MM-DD HH")</f>
        <v/>
      </c>
      <c r="R5029" s="25">
        <f>COUNTIF($Q$2:$Q$5295,Q5029)</f>
        <v/>
      </c>
      <c r="S5029" s="25">
        <f>IF(R5029&lt;=2,"1-2",IF(R5029&lt;=5,"3-5",IF(R5029&lt;=10,"6-10","11+")))</f>
        <v/>
      </c>
    </row>
    <row r="5030">
      <c r="A5030" s="39" t="n">
        <v>46238.32119212963</v>
      </c>
      <c r="B5030" s="25">
        <f>TEXT(A5030,"YYYY-MM")</f>
        <v/>
      </c>
      <c r="C5030" s="25">
        <f>TEXT(A5030,"MMM-YYYY")</f>
        <v/>
      </c>
      <c r="D5030" s="40">
        <f>INT(A5030)-WEEKDAY(A5030,2)+1</f>
        <v/>
      </c>
      <c r="E5030" s="25" t="inlineStr">
        <is>
          <t>sthomas</t>
        </is>
      </c>
      <c r="F5030" s="25" t="n">
        <v>134177</v>
      </c>
      <c r="G5030" s="25" t="n">
        <v>4</v>
      </c>
      <c r="H5030" s="25" t="n">
        <v>20</v>
      </c>
      <c r="I5030" s="25" t="inlineStr">
        <is>
          <t>2 minute(s) and 53 second(s)</t>
        </is>
      </c>
      <c r="J5030" s="25">
        <f>IFERROR(VALUE(TRIM(LEFT(I5030,FIND("minute",I5030)-1)))*60,0)+IFERROR(VALUE(SUBSTITUTE(MID(I5030,IFERROR(FIND("and",I5030)+3,1),20),"second(s)","")),0)</f>
        <v/>
      </c>
      <c r="K5030" s="41">
        <f>J5030/60</f>
        <v/>
      </c>
      <c r="L5030" s="41">
        <f>IFERROR(J5030/H5030,"")</f>
        <v/>
      </c>
      <c r="M5030" s="25" t="n">
        <v>3.4</v>
      </c>
      <c r="N5030" s="25">
        <f>IF(J5030&gt;300,1,0)</f>
        <v/>
      </c>
      <c r="O5030" s="25">
        <f>IF(J5030&gt;600,1,0)</f>
        <v/>
      </c>
      <c r="P5030" s="25">
        <f>IF(H5030&gt;0,J5030,"")</f>
        <v/>
      </c>
      <c r="Q5030" s="25">
        <f>TEXT(A5030,"YYYY-MM-DD HH")</f>
        <v/>
      </c>
      <c r="R5030" s="25">
        <f>COUNTIF($Q$2:$Q$5295,Q5030)</f>
        <v/>
      </c>
      <c r="S5030" s="25">
        <f>IF(R5030&lt;=2,"1-2",IF(R5030&lt;=5,"3-5",IF(R5030&lt;=10,"6-10","11+")))</f>
        <v/>
      </c>
    </row>
    <row r="5031">
      <c r="A5031" s="39" t="n">
        <v>46238.32763888889</v>
      </c>
      <c r="B5031" s="25">
        <f>TEXT(A5031,"YYYY-MM")</f>
        <v/>
      </c>
      <c r="C5031" s="25">
        <f>TEXT(A5031,"MMM-YYYY")</f>
        <v/>
      </c>
      <c r="D5031" s="40">
        <f>INT(A5031)-WEEKDAY(A5031,2)+1</f>
        <v/>
      </c>
      <c r="E5031" s="25" t="inlineStr">
        <is>
          <t>ns</t>
        </is>
      </c>
      <c r="F5031" s="25" t="n">
        <v>136877</v>
      </c>
      <c r="G5031" s="25" t="n">
        <v>1</v>
      </c>
      <c r="H5031" s="25" t="n">
        <v>7</v>
      </c>
      <c r="I5031" s="25" t="inlineStr">
        <is>
          <t>1 minute(s) and 8 second(s)</t>
        </is>
      </c>
      <c r="J5031" s="25">
        <f>IFERROR(VALUE(TRIM(LEFT(I5031,FIND("minute",I5031)-1)))*60,0)+IFERROR(VALUE(SUBSTITUTE(MID(I5031,IFERROR(FIND("and",I5031)+3,1),20),"second(s)","")),0)</f>
        <v/>
      </c>
      <c r="K5031" s="41">
        <f>J5031/60</f>
        <v/>
      </c>
      <c r="L5031" s="41">
        <f>IFERROR(J5031/H5031,"")</f>
        <v/>
      </c>
      <c r="M5031" s="25" t="n">
        <v>3.4</v>
      </c>
      <c r="N5031" s="25">
        <f>IF(J5031&gt;300,1,0)</f>
        <v/>
      </c>
      <c r="O5031" s="25">
        <f>IF(J5031&gt;600,1,0)</f>
        <v/>
      </c>
      <c r="P5031" s="25">
        <f>IF(H5031&gt;0,J5031,"")</f>
        <v/>
      </c>
      <c r="Q5031" s="25">
        <f>TEXT(A5031,"YYYY-MM-DD HH")</f>
        <v/>
      </c>
      <c r="R5031" s="25">
        <f>COUNTIF($Q$2:$Q$5295,Q5031)</f>
        <v/>
      </c>
      <c r="S5031" s="25">
        <f>IF(R5031&lt;=2,"1-2",IF(R5031&lt;=5,"3-5",IF(R5031&lt;=10,"6-10","11+")))</f>
        <v/>
      </c>
    </row>
    <row r="5032">
      <c r="A5032" s="39" t="n">
        <v>46238.33828703704</v>
      </c>
      <c r="B5032" s="25">
        <f>TEXT(A5032,"YYYY-MM")</f>
        <v/>
      </c>
      <c r="C5032" s="25">
        <f>TEXT(A5032,"MMM-YYYY")</f>
        <v/>
      </c>
      <c r="D5032" s="40">
        <f>INT(A5032)-WEEKDAY(A5032,2)+1</f>
        <v/>
      </c>
      <c r="E5032" s="25" t="inlineStr">
        <is>
          <t>atiwari</t>
        </is>
      </c>
      <c r="F5032" s="25" t="n">
        <v>138745</v>
      </c>
      <c r="G5032" s="25" t="n">
        <v>4</v>
      </c>
      <c r="H5032" s="25" t="n">
        <v>20</v>
      </c>
      <c r="I5032" s="25" t="inlineStr">
        <is>
          <t>2 minute(s) and 34 second(s)</t>
        </is>
      </c>
      <c r="J5032" s="25">
        <f>IFERROR(VALUE(TRIM(LEFT(I5032,FIND("minute",I5032)-1)))*60,0)+IFERROR(VALUE(SUBSTITUTE(MID(I5032,IFERROR(FIND("and",I5032)+3,1),20),"second(s)","")),0)</f>
        <v/>
      </c>
      <c r="K5032" s="41">
        <f>J5032/60</f>
        <v/>
      </c>
      <c r="L5032" s="41">
        <f>IFERROR(J5032/H5032,"")</f>
        <v/>
      </c>
      <c r="M5032" s="25" t="n">
        <v>3.4</v>
      </c>
      <c r="N5032" s="25">
        <f>IF(J5032&gt;300,1,0)</f>
        <v/>
      </c>
      <c r="O5032" s="25">
        <f>IF(J5032&gt;600,1,0)</f>
        <v/>
      </c>
      <c r="P5032" s="25">
        <f>IF(H5032&gt;0,J5032,"")</f>
        <v/>
      </c>
      <c r="Q5032" s="25">
        <f>TEXT(A5032,"YYYY-MM-DD HH")</f>
        <v/>
      </c>
      <c r="R5032" s="25">
        <f>COUNTIF($Q$2:$Q$5295,Q5032)</f>
        <v/>
      </c>
      <c r="S5032" s="25">
        <f>IF(R5032&lt;=2,"1-2",IF(R5032&lt;=5,"3-5",IF(R5032&lt;=10,"6-10","11+")))</f>
        <v/>
      </c>
    </row>
    <row r="5033">
      <c r="A5033" s="39" t="n">
        <v>46238.34329861111</v>
      </c>
      <c r="B5033" s="25">
        <f>TEXT(A5033,"YYYY-MM")</f>
        <v/>
      </c>
      <c r="C5033" s="25">
        <f>TEXT(A5033,"MMM-YYYY")</f>
        <v/>
      </c>
      <c r="D5033" s="40">
        <f>INT(A5033)-WEEKDAY(A5033,2)+1</f>
        <v/>
      </c>
      <c r="E5033" s="25" t="inlineStr">
        <is>
          <t>ssaha</t>
        </is>
      </c>
      <c r="F5033" s="25" t="n">
        <v>135873</v>
      </c>
      <c r="G5033" s="25" t="n">
        <v>4</v>
      </c>
      <c r="H5033" s="25" t="n">
        <v>20</v>
      </c>
      <c r="I5033" s="25" t="inlineStr">
        <is>
          <t>11 minute(s) and 5 second(s)</t>
        </is>
      </c>
      <c r="J5033" s="25">
        <f>IFERROR(VALUE(TRIM(LEFT(I5033,FIND("minute",I5033)-1)))*60,0)+IFERROR(VALUE(SUBSTITUTE(MID(I5033,IFERROR(FIND("and",I5033)+3,1),20),"second(s)","")),0)</f>
        <v/>
      </c>
      <c r="K5033" s="41">
        <f>J5033/60</f>
        <v/>
      </c>
      <c r="L5033" s="41">
        <f>IFERROR(J5033/H5033,"")</f>
        <v/>
      </c>
      <c r="M5033" s="25" t="n">
        <v>3.5</v>
      </c>
      <c r="N5033" s="25">
        <f>IF(J5033&gt;300,1,0)</f>
        <v/>
      </c>
      <c r="O5033" s="25">
        <f>IF(J5033&gt;600,1,0)</f>
        <v/>
      </c>
      <c r="P5033" s="25">
        <f>IF(H5033&gt;0,J5033,"")</f>
        <v/>
      </c>
      <c r="Q5033" s="25">
        <f>TEXT(A5033,"YYYY-MM-DD HH")</f>
        <v/>
      </c>
      <c r="R5033" s="25">
        <f>COUNTIF($Q$2:$Q$5295,Q5033)</f>
        <v/>
      </c>
      <c r="S5033" s="25">
        <f>IF(R5033&lt;=2,"1-2",IF(R5033&lt;=5,"3-5",IF(R5033&lt;=10,"6-10","11+")))</f>
        <v/>
      </c>
    </row>
    <row r="5034">
      <c r="A5034" s="39" t="n">
        <v>46238.34354166667</v>
      </c>
      <c r="B5034" s="25">
        <f>TEXT(A5034,"YYYY-MM")</f>
        <v/>
      </c>
      <c r="C5034" s="25">
        <f>TEXT(A5034,"MMM-YYYY")</f>
        <v/>
      </c>
      <c r="D5034" s="40">
        <f>INT(A5034)-WEEKDAY(A5034,2)+1</f>
        <v/>
      </c>
      <c r="E5034" s="25" t="inlineStr">
        <is>
          <t>dchoudhury</t>
        </is>
      </c>
      <c r="F5034" s="25" t="n">
        <v>139457</v>
      </c>
      <c r="G5034" s="25" t="n">
        <v>3</v>
      </c>
      <c r="H5034" s="25" t="n">
        <v>10</v>
      </c>
      <c r="I5034" s="25" t="inlineStr">
        <is>
          <t>1 minute(s) and 20 second(s)</t>
        </is>
      </c>
      <c r="J5034" s="25">
        <f>IFERROR(VALUE(TRIM(LEFT(I5034,FIND("minute",I5034)-1)))*60,0)+IFERROR(VALUE(SUBSTITUTE(MID(I5034,IFERROR(FIND("and",I5034)+3,1),20),"second(s)","")),0)</f>
        <v/>
      </c>
      <c r="K5034" s="41">
        <f>J5034/60</f>
        <v/>
      </c>
      <c r="L5034" s="41">
        <f>IFERROR(J5034/H5034,"")</f>
        <v/>
      </c>
      <c r="M5034" s="25" t="n">
        <v>3.4</v>
      </c>
      <c r="N5034" s="25">
        <f>IF(J5034&gt;300,1,0)</f>
        <v/>
      </c>
      <c r="O5034" s="25">
        <f>IF(J5034&gt;600,1,0)</f>
        <v/>
      </c>
      <c r="P5034" s="25">
        <f>IF(H5034&gt;0,J5034,"")</f>
        <v/>
      </c>
      <c r="Q5034" s="25">
        <f>TEXT(A5034,"YYYY-MM-DD HH")</f>
        <v/>
      </c>
      <c r="R5034" s="25">
        <f>COUNTIF($Q$2:$Q$5295,Q5034)</f>
        <v/>
      </c>
      <c r="S5034" s="25">
        <f>IF(R5034&lt;=2,"1-2",IF(R5034&lt;=5,"3-5",IF(R5034&lt;=10,"6-10","11+")))</f>
        <v/>
      </c>
    </row>
    <row r="5035">
      <c r="A5035" s="39" t="n">
        <v>46238.36238425926</v>
      </c>
      <c r="B5035" s="25">
        <f>TEXT(A5035,"YYYY-MM")</f>
        <v/>
      </c>
      <c r="C5035" s="25">
        <f>TEXT(A5035,"MMM-YYYY")</f>
        <v/>
      </c>
      <c r="D5035" s="40">
        <f>INT(A5035)-WEEKDAY(A5035,2)+1</f>
        <v/>
      </c>
      <c r="E5035" s="25" t="inlineStr">
        <is>
          <t>ethomas</t>
        </is>
      </c>
      <c r="F5035" s="25" t="n">
        <v>139112</v>
      </c>
      <c r="G5035" s="25" t="n">
        <v>2</v>
      </c>
      <c r="H5035" s="25" t="n">
        <v>10</v>
      </c>
      <c r="I5035" s="25" t="inlineStr">
        <is>
          <t>1 minute(s) and 5 second(s)</t>
        </is>
      </c>
      <c r="J5035" s="25">
        <f>IFERROR(VALUE(TRIM(LEFT(I5035,FIND("minute",I5035)-1)))*60,0)+IFERROR(VALUE(SUBSTITUTE(MID(I5035,IFERROR(FIND("and",I5035)+3,1),20),"second(s)","")),0)</f>
        <v/>
      </c>
      <c r="K5035" s="41">
        <f>J5035/60</f>
        <v/>
      </c>
      <c r="L5035" s="41">
        <f>IFERROR(J5035/H5035,"")</f>
        <v/>
      </c>
      <c r="M5035" s="25" t="n">
        <v>3.4</v>
      </c>
      <c r="N5035" s="25">
        <f>IF(J5035&gt;300,1,0)</f>
        <v/>
      </c>
      <c r="O5035" s="25">
        <f>IF(J5035&gt;600,1,0)</f>
        <v/>
      </c>
      <c r="P5035" s="25">
        <f>IF(H5035&gt;0,J5035,"")</f>
        <v/>
      </c>
      <c r="Q5035" s="25">
        <f>TEXT(A5035,"YYYY-MM-DD HH")</f>
        <v/>
      </c>
      <c r="R5035" s="25">
        <f>COUNTIF($Q$2:$Q$5295,Q5035)</f>
        <v/>
      </c>
      <c r="S5035" s="25">
        <f>IF(R5035&lt;=2,"1-2",IF(R5035&lt;=5,"3-5",IF(R5035&lt;=10,"6-10","11+")))</f>
        <v/>
      </c>
    </row>
    <row r="5036">
      <c r="A5036" s="39" t="n">
        <v>46238.36555555555</v>
      </c>
      <c r="B5036" s="25">
        <f>TEXT(A5036,"YYYY-MM")</f>
        <v/>
      </c>
      <c r="C5036" s="25">
        <f>TEXT(A5036,"MMM-YYYY")</f>
        <v/>
      </c>
      <c r="D5036" s="40">
        <f>INT(A5036)-WEEKDAY(A5036,2)+1</f>
        <v/>
      </c>
      <c r="E5036" s="25" t="inlineStr">
        <is>
          <t>aupadhayay</t>
        </is>
      </c>
      <c r="F5036" s="25" t="n">
        <v>135513</v>
      </c>
      <c r="G5036" s="25" t="n">
        <v>2</v>
      </c>
      <c r="H5036" s="25" t="n">
        <v>8</v>
      </c>
      <c r="I5036" s="25" t="inlineStr">
        <is>
          <t>1 minute(s) and 11 second(s)</t>
        </is>
      </c>
      <c r="J5036" s="25">
        <f>IFERROR(VALUE(TRIM(LEFT(I5036,FIND("minute",I5036)-1)))*60,0)+IFERROR(VALUE(SUBSTITUTE(MID(I5036,IFERROR(FIND("and",I5036)+3,1),20),"second(s)","")),0)</f>
        <v/>
      </c>
      <c r="K5036" s="41">
        <f>J5036/60</f>
        <v/>
      </c>
      <c r="L5036" s="41">
        <f>IFERROR(J5036/H5036,"")</f>
        <v/>
      </c>
      <c r="M5036" s="25" t="n">
        <v>3.4</v>
      </c>
      <c r="N5036" s="25">
        <f>IF(J5036&gt;300,1,0)</f>
        <v/>
      </c>
      <c r="O5036" s="25">
        <f>IF(J5036&gt;600,1,0)</f>
        <v/>
      </c>
      <c r="P5036" s="25">
        <f>IF(H5036&gt;0,J5036,"")</f>
        <v/>
      </c>
      <c r="Q5036" s="25">
        <f>TEXT(A5036,"YYYY-MM-DD HH")</f>
        <v/>
      </c>
      <c r="R5036" s="25">
        <f>COUNTIF($Q$2:$Q$5295,Q5036)</f>
        <v/>
      </c>
      <c r="S5036" s="25">
        <f>IF(R5036&lt;=2,"1-2",IF(R5036&lt;=5,"3-5",IF(R5036&lt;=10,"6-10","11+")))</f>
        <v/>
      </c>
    </row>
    <row r="5037">
      <c r="A5037" s="39" t="n">
        <v>46238.36722222222</v>
      </c>
      <c r="B5037" s="25">
        <f>TEXT(A5037,"YYYY-MM")</f>
        <v/>
      </c>
      <c r="C5037" s="25">
        <f>TEXT(A5037,"MMM-YYYY")</f>
        <v/>
      </c>
      <c r="D5037" s="40">
        <f>INT(A5037)-WEEKDAY(A5037,2)+1</f>
        <v/>
      </c>
      <c r="E5037" s="25" t="inlineStr">
        <is>
          <t>ns</t>
        </is>
      </c>
      <c r="F5037" s="25" t="n">
        <v>136869</v>
      </c>
      <c r="G5037" s="25" t="n">
        <v>1</v>
      </c>
      <c r="H5037" s="25" t="n">
        <v>7</v>
      </c>
      <c r="I5037" s="25" t="inlineStr">
        <is>
          <t>56 second(s)</t>
        </is>
      </c>
      <c r="J5037" s="25">
        <f>IFERROR(VALUE(TRIM(LEFT(I5037,FIND("minute",I5037)-1)))*60,0)+IFERROR(VALUE(SUBSTITUTE(MID(I5037,IFERROR(FIND("and",I5037)+3,1),20),"second(s)","")),0)</f>
        <v/>
      </c>
      <c r="K5037" s="41">
        <f>J5037/60</f>
        <v/>
      </c>
      <c r="L5037" s="41">
        <f>IFERROR(J5037/H5037,"")</f>
        <v/>
      </c>
      <c r="M5037" s="25" t="n">
        <v>3.4</v>
      </c>
      <c r="N5037" s="25">
        <f>IF(J5037&gt;300,1,0)</f>
        <v/>
      </c>
      <c r="O5037" s="25">
        <f>IF(J5037&gt;600,1,0)</f>
        <v/>
      </c>
      <c r="P5037" s="25">
        <f>IF(H5037&gt;0,J5037,"")</f>
        <v/>
      </c>
      <c r="Q5037" s="25">
        <f>TEXT(A5037,"YYYY-MM-DD HH")</f>
        <v/>
      </c>
      <c r="R5037" s="25">
        <f>COUNTIF($Q$2:$Q$5295,Q5037)</f>
        <v/>
      </c>
      <c r="S5037" s="25">
        <f>IF(R5037&lt;=2,"1-2",IF(R5037&lt;=5,"3-5",IF(R5037&lt;=10,"6-10","11+")))</f>
        <v/>
      </c>
    </row>
    <row r="5038">
      <c r="A5038" s="39" t="n">
        <v>46238.36917824074</v>
      </c>
      <c r="B5038" s="25">
        <f>TEXT(A5038,"YYYY-MM")</f>
        <v/>
      </c>
      <c r="C5038" s="25">
        <f>TEXT(A5038,"MMM-YYYY")</f>
        <v/>
      </c>
      <c r="D5038" s="40">
        <f>INT(A5038)-WEEKDAY(A5038,2)+1</f>
        <v/>
      </c>
      <c r="E5038" s="25" t="inlineStr">
        <is>
          <t>psathwika</t>
        </is>
      </c>
      <c r="F5038" s="25" t="n">
        <v>136997</v>
      </c>
      <c r="G5038" s="25" t="n">
        <v>1</v>
      </c>
      <c r="H5038" s="25" t="n">
        <v>7</v>
      </c>
      <c r="I5038" s="25" t="inlineStr">
        <is>
          <t>37 second(s)</t>
        </is>
      </c>
      <c r="J5038" s="25">
        <f>IFERROR(VALUE(TRIM(LEFT(I5038,FIND("minute",I5038)-1)))*60,0)+IFERROR(VALUE(SUBSTITUTE(MID(I5038,IFERROR(FIND("and",I5038)+3,1),20),"second(s)","")),0)</f>
        <v/>
      </c>
      <c r="K5038" s="41">
        <f>J5038/60</f>
        <v/>
      </c>
      <c r="L5038" s="41">
        <f>IFERROR(J5038/H5038,"")</f>
        <v/>
      </c>
      <c r="M5038" s="25" t="inlineStr">
        <is>
          <t>2.5.12</t>
        </is>
      </c>
      <c r="N5038" s="25">
        <f>IF(J5038&gt;300,1,0)</f>
        <v/>
      </c>
      <c r="O5038" s="25">
        <f>IF(J5038&gt;600,1,0)</f>
        <v/>
      </c>
      <c r="P5038" s="25">
        <f>IF(H5038&gt;0,J5038,"")</f>
        <v/>
      </c>
      <c r="Q5038" s="25">
        <f>TEXT(A5038,"YYYY-MM-DD HH")</f>
        <v/>
      </c>
      <c r="R5038" s="25">
        <f>COUNTIF($Q$2:$Q$5295,Q5038)</f>
        <v/>
      </c>
      <c r="S5038" s="25">
        <f>IF(R5038&lt;=2,"1-2",IF(R5038&lt;=5,"3-5",IF(R5038&lt;=10,"6-10","11+")))</f>
        <v/>
      </c>
    </row>
    <row r="5039">
      <c r="A5039" s="39" t="n">
        <v>46238.3715625</v>
      </c>
      <c r="B5039" s="25">
        <f>TEXT(A5039,"YYYY-MM")</f>
        <v/>
      </c>
      <c r="C5039" s="25">
        <f>TEXT(A5039,"MMM-YYYY")</f>
        <v/>
      </c>
      <c r="D5039" s="40">
        <f>INT(A5039)-WEEKDAY(A5039,2)+1</f>
        <v/>
      </c>
      <c r="E5039" s="25" t="inlineStr">
        <is>
          <t>sakumar</t>
        </is>
      </c>
      <c r="F5039" s="25" t="n">
        <v>138881</v>
      </c>
      <c r="G5039" s="25" t="n">
        <v>2</v>
      </c>
      <c r="H5039" s="25" t="n">
        <v>15</v>
      </c>
      <c r="I5039" s="25" t="inlineStr">
        <is>
          <t>1 minute(s) and 47 second(s)</t>
        </is>
      </c>
      <c r="J5039" s="25">
        <f>IFERROR(VALUE(TRIM(LEFT(I5039,FIND("minute",I5039)-1)))*60,0)+IFERROR(VALUE(SUBSTITUTE(MID(I5039,IFERROR(FIND("and",I5039)+3,1),20),"second(s)","")),0)</f>
        <v/>
      </c>
      <c r="K5039" s="41">
        <f>J5039/60</f>
        <v/>
      </c>
      <c r="L5039" s="41">
        <f>IFERROR(J5039/H5039,"")</f>
        <v/>
      </c>
      <c r="M5039" s="25" t="n">
        <v>3.4</v>
      </c>
      <c r="N5039" s="25">
        <f>IF(J5039&gt;300,1,0)</f>
        <v/>
      </c>
      <c r="O5039" s="25">
        <f>IF(J5039&gt;600,1,0)</f>
        <v/>
      </c>
      <c r="P5039" s="25">
        <f>IF(H5039&gt;0,J5039,"")</f>
        <v/>
      </c>
      <c r="Q5039" s="25">
        <f>TEXT(A5039,"YYYY-MM-DD HH")</f>
        <v/>
      </c>
      <c r="R5039" s="25">
        <f>COUNTIF($Q$2:$Q$5295,Q5039)</f>
        <v/>
      </c>
      <c r="S5039" s="25">
        <f>IF(R5039&lt;=2,"1-2",IF(R5039&lt;=5,"3-5",IF(R5039&lt;=10,"6-10","11+")))</f>
        <v/>
      </c>
    </row>
    <row r="5040">
      <c r="A5040" s="39" t="n">
        <v>46238.37451388889</v>
      </c>
      <c r="B5040" s="25">
        <f>TEXT(A5040,"YYYY-MM")</f>
        <v/>
      </c>
      <c r="C5040" s="25">
        <f>TEXT(A5040,"MMM-YYYY")</f>
        <v/>
      </c>
      <c r="D5040" s="40">
        <f>INT(A5040)-WEEKDAY(A5040,2)+1</f>
        <v/>
      </c>
      <c r="E5040" s="25" t="inlineStr">
        <is>
          <t>sswati</t>
        </is>
      </c>
      <c r="F5040" s="25" t="n">
        <v>132501</v>
      </c>
      <c r="G5040" s="25" t="n">
        <v>3</v>
      </c>
      <c r="H5040" s="25" t="n">
        <v>11</v>
      </c>
      <c r="I5040" s="25" t="inlineStr">
        <is>
          <t>2 minute(s) and 55 second(s)</t>
        </is>
      </c>
      <c r="J5040" s="25">
        <f>IFERROR(VALUE(TRIM(LEFT(I5040,FIND("minute",I5040)-1)))*60,0)+IFERROR(VALUE(SUBSTITUTE(MID(I5040,IFERROR(FIND("and",I5040)+3,1),20),"second(s)","")),0)</f>
        <v/>
      </c>
      <c r="K5040" s="41">
        <f>J5040/60</f>
        <v/>
      </c>
      <c r="L5040" s="41">
        <f>IFERROR(J5040/H5040,"")</f>
        <v/>
      </c>
      <c r="M5040" s="25" t="n">
        <v>3.4</v>
      </c>
      <c r="N5040" s="25">
        <f>IF(J5040&gt;300,1,0)</f>
        <v/>
      </c>
      <c r="O5040" s="25">
        <f>IF(J5040&gt;600,1,0)</f>
        <v/>
      </c>
      <c r="P5040" s="25">
        <f>IF(H5040&gt;0,J5040,"")</f>
        <v/>
      </c>
      <c r="Q5040" s="25">
        <f>TEXT(A5040,"YYYY-MM-DD HH")</f>
        <v/>
      </c>
      <c r="R5040" s="25">
        <f>COUNTIF($Q$2:$Q$5295,Q5040)</f>
        <v/>
      </c>
      <c r="S5040" s="25">
        <f>IF(R5040&lt;=2,"1-2",IF(R5040&lt;=5,"3-5",IF(R5040&lt;=10,"6-10","11+")))</f>
        <v/>
      </c>
    </row>
    <row r="5041">
      <c r="A5041" s="39" t="n">
        <v>46238.37634259259</v>
      </c>
      <c r="B5041" s="25">
        <f>TEXT(A5041,"YYYY-MM")</f>
        <v/>
      </c>
      <c r="C5041" s="25">
        <f>TEXT(A5041,"MMM-YYYY")</f>
        <v/>
      </c>
      <c r="D5041" s="40">
        <f>INT(A5041)-WEEKDAY(A5041,2)+1</f>
        <v/>
      </c>
      <c r="E5041" s="25" t="inlineStr">
        <is>
          <t>vraina</t>
        </is>
      </c>
      <c r="F5041" s="25" t="n">
        <v>134953</v>
      </c>
      <c r="G5041" s="25" t="n">
        <v>3</v>
      </c>
      <c r="H5041" s="25" t="n">
        <v>15</v>
      </c>
      <c r="I5041" s="25" t="inlineStr">
        <is>
          <t>1 minute(s) and 43 second(s)</t>
        </is>
      </c>
      <c r="J5041" s="25">
        <f>IFERROR(VALUE(TRIM(LEFT(I5041,FIND("minute",I5041)-1)))*60,0)+IFERROR(VALUE(SUBSTITUTE(MID(I5041,IFERROR(FIND("and",I5041)+3,1),20),"second(s)","")),0)</f>
        <v/>
      </c>
      <c r="K5041" s="41">
        <f>J5041/60</f>
        <v/>
      </c>
      <c r="L5041" s="41">
        <f>IFERROR(J5041/H5041,"")</f>
        <v/>
      </c>
      <c r="M5041" s="25" t="n">
        <v>3.4</v>
      </c>
      <c r="N5041" s="25">
        <f>IF(J5041&gt;300,1,0)</f>
        <v/>
      </c>
      <c r="O5041" s="25">
        <f>IF(J5041&gt;600,1,0)</f>
        <v/>
      </c>
      <c r="P5041" s="25">
        <f>IF(H5041&gt;0,J5041,"")</f>
        <v/>
      </c>
      <c r="Q5041" s="25">
        <f>TEXT(A5041,"YYYY-MM-DD HH")</f>
        <v/>
      </c>
      <c r="R5041" s="25">
        <f>COUNTIF($Q$2:$Q$5295,Q5041)</f>
        <v/>
      </c>
      <c r="S5041" s="25">
        <f>IF(R5041&lt;=2,"1-2",IF(R5041&lt;=5,"3-5",IF(R5041&lt;=10,"6-10","11+")))</f>
        <v/>
      </c>
    </row>
    <row r="5042">
      <c r="A5042" s="39" t="n">
        <v>46238.38729166667</v>
      </c>
      <c r="B5042" s="25">
        <f>TEXT(A5042,"YYYY-MM")</f>
        <v/>
      </c>
      <c r="C5042" s="25">
        <f>TEXT(A5042,"MMM-YYYY")</f>
        <v/>
      </c>
      <c r="D5042" s="40">
        <f>INT(A5042)-WEEKDAY(A5042,2)+1</f>
        <v/>
      </c>
      <c r="E5042" s="25" t="inlineStr">
        <is>
          <t>npriya</t>
        </is>
      </c>
      <c r="F5042" s="25" t="n">
        <v>136893</v>
      </c>
      <c r="G5042" s="25" t="n">
        <v>4</v>
      </c>
      <c r="H5042" s="25" t="n">
        <v>26</v>
      </c>
      <c r="I5042" s="25" t="inlineStr">
        <is>
          <t>29 minute(s) and 32 second(s)</t>
        </is>
      </c>
      <c r="J5042" s="25">
        <f>IFERROR(VALUE(TRIM(LEFT(I5042,FIND("minute",I5042)-1)))*60,0)+IFERROR(VALUE(SUBSTITUTE(MID(I5042,IFERROR(FIND("and",I5042)+3,1),20),"second(s)","")),0)</f>
        <v/>
      </c>
      <c r="K5042" s="41">
        <f>J5042/60</f>
        <v/>
      </c>
      <c r="L5042" s="41">
        <f>IFERROR(J5042/H5042,"")</f>
        <v/>
      </c>
      <c r="M5042" s="25" t="n">
        <v>3.4</v>
      </c>
      <c r="N5042" s="25">
        <f>IF(J5042&gt;300,1,0)</f>
        <v/>
      </c>
      <c r="O5042" s="25">
        <f>IF(J5042&gt;600,1,0)</f>
        <v/>
      </c>
      <c r="P5042" s="25">
        <f>IF(H5042&gt;0,J5042,"")</f>
        <v/>
      </c>
      <c r="Q5042" s="25">
        <f>TEXT(A5042,"YYYY-MM-DD HH")</f>
        <v/>
      </c>
      <c r="R5042" s="25">
        <f>COUNTIF($Q$2:$Q$5295,Q5042)</f>
        <v/>
      </c>
      <c r="S5042" s="25">
        <f>IF(R5042&lt;=2,"1-2",IF(R5042&lt;=5,"3-5",IF(R5042&lt;=10,"6-10","11+")))</f>
        <v/>
      </c>
    </row>
    <row r="5043">
      <c r="A5043" s="39" t="n">
        <v>46238.38783564815</v>
      </c>
      <c r="B5043" s="25">
        <f>TEXT(A5043,"YYYY-MM")</f>
        <v/>
      </c>
      <c r="C5043" s="25">
        <f>TEXT(A5043,"MMM-YYYY")</f>
        <v/>
      </c>
      <c r="D5043" s="40">
        <f>INT(A5043)-WEEKDAY(A5043,2)+1</f>
        <v/>
      </c>
      <c r="E5043" s="25" t="inlineStr">
        <is>
          <t>mgupta</t>
        </is>
      </c>
      <c r="F5043" s="25" t="n">
        <v>136733</v>
      </c>
      <c r="G5043" s="25" t="n">
        <v>2</v>
      </c>
      <c r="H5043" s="25" t="n">
        <v>12</v>
      </c>
      <c r="I5043" s="25" t="inlineStr">
        <is>
          <t>2 minute(s) and 13 second(s)</t>
        </is>
      </c>
      <c r="J5043" s="25">
        <f>IFERROR(VALUE(TRIM(LEFT(I5043,FIND("minute",I5043)-1)))*60,0)+IFERROR(VALUE(SUBSTITUTE(MID(I5043,IFERROR(FIND("and",I5043)+3,1),20),"second(s)","")),0)</f>
        <v/>
      </c>
      <c r="K5043" s="41">
        <f>J5043/60</f>
        <v/>
      </c>
      <c r="L5043" s="41">
        <f>IFERROR(J5043/H5043,"")</f>
        <v/>
      </c>
      <c r="M5043" s="25" t="n">
        <v>3.5</v>
      </c>
      <c r="N5043" s="25">
        <f>IF(J5043&gt;300,1,0)</f>
        <v/>
      </c>
      <c r="O5043" s="25">
        <f>IF(J5043&gt;600,1,0)</f>
        <v/>
      </c>
      <c r="P5043" s="25">
        <f>IF(H5043&gt;0,J5043,"")</f>
        <v/>
      </c>
      <c r="Q5043" s="25">
        <f>TEXT(A5043,"YYYY-MM-DD HH")</f>
        <v/>
      </c>
      <c r="R5043" s="25">
        <f>COUNTIF($Q$2:$Q$5295,Q5043)</f>
        <v/>
      </c>
      <c r="S5043" s="25">
        <f>IF(R5043&lt;=2,"1-2",IF(R5043&lt;=5,"3-5",IF(R5043&lt;=10,"6-10","11+")))</f>
        <v/>
      </c>
    </row>
    <row r="5044">
      <c r="A5044" s="39" t="n">
        <v>46238.40723379629</v>
      </c>
      <c r="B5044" s="25">
        <f>TEXT(A5044,"YYYY-MM")</f>
        <v/>
      </c>
      <c r="C5044" s="25">
        <f>TEXT(A5044,"MMM-YYYY")</f>
        <v/>
      </c>
      <c r="D5044" s="40">
        <f>INT(A5044)-WEEKDAY(A5044,2)+1</f>
        <v/>
      </c>
      <c r="E5044" s="25" t="inlineStr">
        <is>
          <t>ethomas</t>
        </is>
      </c>
      <c r="F5044" s="25" t="n">
        <v>133765</v>
      </c>
      <c r="G5044" s="25" t="n">
        <v>2</v>
      </c>
      <c r="H5044" s="25" t="n">
        <v>12</v>
      </c>
      <c r="I5044" s="25" t="inlineStr">
        <is>
          <t>1 minute(s) and 22 second(s)</t>
        </is>
      </c>
      <c r="J5044" s="25">
        <f>IFERROR(VALUE(TRIM(LEFT(I5044,FIND("minute",I5044)-1)))*60,0)+IFERROR(VALUE(SUBSTITUTE(MID(I5044,IFERROR(FIND("and",I5044)+3,1),20),"second(s)","")),0)</f>
        <v/>
      </c>
      <c r="K5044" s="41">
        <f>J5044/60</f>
        <v/>
      </c>
      <c r="L5044" s="41">
        <f>IFERROR(J5044/H5044,"")</f>
        <v/>
      </c>
      <c r="M5044" s="25" t="n">
        <v>3.4</v>
      </c>
      <c r="N5044" s="25">
        <f>IF(J5044&gt;300,1,0)</f>
        <v/>
      </c>
      <c r="O5044" s="25">
        <f>IF(J5044&gt;600,1,0)</f>
        <v/>
      </c>
      <c r="P5044" s="25">
        <f>IF(H5044&gt;0,J5044,"")</f>
        <v/>
      </c>
      <c r="Q5044" s="25">
        <f>TEXT(A5044,"YYYY-MM-DD HH")</f>
        <v/>
      </c>
      <c r="R5044" s="25">
        <f>COUNTIF($Q$2:$Q$5295,Q5044)</f>
        <v/>
      </c>
      <c r="S5044" s="25">
        <f>IF(R5044&lt;=2,"1-2",IF(R5044&lt;=5,"3-5",IF(R5044&lt;=10,"6-10","11+")))</f>
        <v/>
      </c>
    </row>
    <row r="5045">
      <c r="A5045" s="39" t="n">
        <v>46238.41457175926</v>
      </c>
      <c r="B5045" s="25">
        <f>TEXT(A5045,"YYYY-MM")</f>
        <v/>
      </c>
      <c r="C5045" s="25">
        <f>TEXT(A5045,"MMM-YYYY")</f>
        <v/>
      </c>
      <c r="D5045" s="40">
        <f>INT(A5045)-WEEKDAY(A5045,2)+1</f>
        <v/>
      </c>
      <c r="E5045" s="25" t="inlineStr">
        <is>
          <t>pgautam</t>
        </is>
      </c>
      <c r="F5045" s="25" t="n">
        <v>138161</v>
      </c>
      <c r="G5045" s="25" t="n">
        <v>5</v>
      </c>
      <c r="H5045" s="25" t="n">
        <v>15</v>
      </c>
      <c r="I5045" s="25" t="inlineStr">
        <is>
          <t>1 minute(s) and 57 second(s)</t>
        </is>
      </c>
      <c r="J5045" s="25">
        <f>IFERROR(VALUE(TRIM(LEFT(I5045,FIND("minute",I5045)-1)))*60,0)+IFERROR(VALUE(SUBSTITUTE(MID(I5045,IFERROR(FIND("and",I5045)+3,1),20),"second(s)","")),0)</f>
        <v/>
      </c>
      <c r="K5045" s="41">
        <f>J5045/60</f>
        <v/>
      </c>
      <c r="L5045" s="41">
        <f>IFERROR(J5045/H5045,"")</f>
        <v/>
      </c>
      <c r="M5045" s="25" t="n">
        <v>3.4</v>
      </c>
      <c r="N5045" s="25">
        <f>IF(J5045&gt;300,1,0)</f>
        <v/>
      </c>
      <c r="O5045" s="25">
        <f>IF(J5045&gt;600,1,0)</f>
        <v/>
      </c>
      <c r="P5045" s="25">
        <f>IF(H5045&gt;0,J5045,"")</f>
        <v/>
      </c>
      <c r="Q5045" s="25">
        <f>TEXT(A5045,"YYYY-MM-DD HH")</f>
        <v/>
      </c>
      <c r="R5045" s="25">
        <f>COUNTIF($Q$2:$Q$5295,Q5045)</f>
        <v/>
      </c>
      <c r="S5045" s="25">
        <f>IF(R5045&lt;=2,"1-2",IF(R5045&lt;=5,"3-5",IF(R5045&lt;=10,"6-10","11+")))</f>
        <v/>
      </c>
    </row>
    <row r="5046">
      <c r="A5046" s="39" t="n">
        <v>46238.43743055555</v>
      </c>
      <c r="B5046" s="25">
        <f>TEXT(A5046,"YYYY-MM")</f>
        <v/>
      </c>
      <c r="C5046" s="25">
        <f>TEXT(A5046,"MMM-YYYY")</f>
        <v/>
      </c>
      <c r="D5046" s="40">
        <f>INT(A5046)-WEEKDAY(A5046,2)+1</f>
        <v/>
      </c>
      <c r="E5046" s="25" t="inlineStr">
        <is>
          <t>sthomas</t>
        </is>
      </c>
      <c r="F5046" s="25" t="n">
        <v>137221</v>
      </c>
      <c r="G5046" s="25" t="n">
        <v>2</v>
      </c>
      <c r="H5046" s="25" t="n">
        <v>12</v>
      </c>
      <c r="I5046" s="25" t="inlineStr">
        <is>
          <t>1 minute(s) and 40 second(s)</t>
        </is>
      </c>
      <c r="J5046" s="25">
        <f>IFERROR(VALUE(TRIM(LEFT(I5046,FIND("minute",I5046)-1)))*60,0)+IFERROR(VALUE(SUBSTITUTE(MID(I5046,IFERROR(FIND("and",I5046)+3,1),20),"second(s)","")),0)</f>
        <v/>
      </c>
      <c r="K5046" s="41">
        <f>J5046/60</f>
        <v/>
      </c>
      <c r="L5046" s="41">
        <f>IFERROR(J5046/H5046,"")</f>
        <v/>
      </c>
      <c r="M5046" s="25" t="n">
        <v>3.4</v>
      </c>
      <c r="N5046" s="25">
        <f>IF(J5046&gt;300,1,0)</f>
        <v/>
      </c>
      <c r="O5046" s="25">
        <f>IF(J5046&gt;600,1,0)</f>
        <v/>
      </c>
      <c r="P5046" s="25">
        <f>IF(H5046&gt;0,J5046,"")</f>
        <v/>
      </c>
      <c r="Q5046" s="25">
        <f>TEXT(A5046,"YYYY-MM-DD HH")</f>
        <v/>
      </c>
      <c r="R5046" s="25">
        <f>COUNTIF($Q$2:$Q$5295,Q5046)</f>
        <v/>
      </c>
      <c r="S5046" s="25">
        <f>IF(R5046&lt;=2,"1-2",IF(R5046&lt;=5,"3-5",IF(R5046&lt;=10,"6-10","11+")))</f>
        <v/>
      </c>
    </row>
    <row r="5047">
      <c r="A5047" s="39" t="n">
        <v>46238.43849537037</v>
      </c>
      <c r="B5047" s="25">
        <f>TEXT(A5047,"YYYY-MM")</f>
        <v/>
      </c>
      <c r="C5047" s="25">
        <f>TEXT(A5047,"MMM-YYYY")</f>
        <v/>
      </c>
      <c r="D5047" s="40">
        <f>INT(A5047)-WEEKDAY(A5047,2)+1</f>
        <v/>
      </c>
      <c r="E5047" s="25" t="inlineStr">
        <is>
          <t>larora</t>
        </is>
      </c>
      <c r="F5047" s="25" t="n">
        <v>135373</v>
      </c>
      <c r="G5047" s="25" t="n">
        <v>4</v>
      </c>
      <c r="H5047" s="25" t="n">
        <v>29</v>
      </c>
      <c r="I5047" s="25" t="inlineStr">
        <is>
          <t>3 minute(s) and 21 second(s)</t>
        </is>
      </c>
      <c r="J5047" s="25">
        <f>IFERROR(VALUE(TRIM(LEFT(I5047,FIND("minute",I5047)-1)))*60,0)+IFERROR(VALUE(SUBSTITUTE(MID(I5047,IFERROR(FIND("and",I5047)+3,1),20),"second(s)","")),0)</f>
        <v/>
      </c>
      <c r="K5047" s="41">
        <f>J5047/60</f>
        <v/>
      </c>
      <c r="L5047" s="41">
        <f>IFERROR(J5047/H5047,"")</f>
        <v/>
      </c>
      <c r="M5047" s="25" t="n">
        <v>3.4</v>
      </c>
      <c r="N5047" s="25">
        <f>IF(J5047&gt;300,1,0)</f>
        <v/>
      </c>
      <c r="O5047" s="25">
        <f>IF(J5047&gt;600,1,0)</f>
        <v/>
      </c>
      <c r="P5047" s="25">
        <f>IF(H5047&gt;0,J5047,"")</f>
        <v/>
      </c>
      <c r="Q5047" s="25">
        <f>TEXT(A5047,"YYYY-MM-DD HH")</f>
        <v/>
      </c>
      <c r="R5047" s="25">
        <f>COUNTIF($Q$2:$Q$5295,Q5047)</f>
        <v/>
      </c>
      <c r="S5047" s="25">
        <f>IF(R5047&lt;=2,"1-2",IF(R5047&lt;=5,"3-5",IF(R5047&lt;=10,"6-10","11+")))</f>
        <v/>
      </c>
    </row>
    <row r="5048">
      <c r="A5048" s="39" t="n">
        <v>46238.43898148148</v>
      </c>
      <c r="B5048" s="25">
        <f>TEXT(A5048,"YYYY-MM")</f>
        <v/>
      </c>
      <c r="C5048" s="25">
        <f>TEXT(A5048,"MMM-YYYY")</f>
        <v/>
      </c>
      <c r="D5048" s="40">
        <f>INT(A5048)-WEEKDAY(A5048,2)+1</f>
        <v/>
      </c>
      <c r="E5048" s="25" t="inlineStr">
        <is>
          <t>vraina</t>
        </is>
      </c>
      <c r="F5048" s="25" t="n">
        <v>136001</v>
      </c>
      <c r="G5048" s="25" t="n">
        <v>2</v>
      </c>
      <c r="H5048" s="25" t="n">
        <v>14</v>
      </c>
      <c r="I5048" s="25" t="inlineStr">
        <is>
          <t>1 minute(s) and 36 second(s)</t>
        </is>
      </c>
      <c r="J5048" s="25">
        <f>IFERROR(VALUE(TRIM(LEFT(I5048,FIND("minute",I5048)-1)))*60,0)+IFERROR(VALUE(SUBSTITUTE(MID(I5048,IFERROR(FIND("and",I5048)+3,1),20),"second(s)","")),0)</f>
        <v/>
      </c>
      <c r="K5048" s="41">
        <f>J5048/60</f>
        <v/>
      </c>
      <c r="L5048" s="41">
        <f>IFERROR(J5048/H5048,"")</f>
        <v/>
      </c>
      <c r="M5048" s="25" t="n">
        <v>3.4</v>
      </c>
      <c r="N5048" s="25">
        <f>IF(J5048&gt;300,1,0)</f>
        <v/>
      </c>
      <c r="O5048" s="25">
        <f>IF(J5048&gt;600,1,0)</f>
        <v/>
      </c>
      <c r="P5048" s="25">
        <f>IF(H5048&gt;0,J5048,"")</f>
        <v/>
      </c>
      <c r="Q5048" s="25">
        <f>TEXT(A5048,"YYYY-MM-DD HH")</f>
        <v/>
      </c>
      <c r="R5048" s="25">
        <f>COUNTIF($Q$2:$Q$5295,Q5048)</f>
        <v/>
      </c>
      <c r="S5048" s="25">
        <f>IF(R5048&lt;=2,"1-2",IF(R5048&lt;=5,"3-5",IF(R5048&lt;=10,"6-10","11+")))</f>
        <v/>
      </c>
    </row>
    <row r="5049">
      <c r="A5049" s="39" t="n">
        <v>46238.44975694444</v>
      </c>
      <c r="B5049" s="25">
        <f>TEXT(A5049,"YYYY-MM")</f>
        <v/>
      </c>
      <c r="C5049" s="25">
        <f>TEXT(A5049,"MMM-YYYY")</f>
        <v/>
      </c>
      <c r="D5049" s="40">
        <f>INT(A5049)-WEEKDAY(A5049,2)+1</f>
        <v/>
      </c>
      <c r="E5049" s="25" t="inlineStr">
        <is>
          <t>stiwari</t>
        </is>
      </c>
      <c r="F5049" s="25" t="n">
        <v>134937</v>
      </c>
      <c r="G5049" s="25" t="n">
        <v>3</v>
      </c>
      <c r="H5049" s="25" t="n">
        <v>13</v>
      </c>
      <c r="I5049" s="25" t="inlineStr">
        <is>
          <t>1 minute(s) and 27 second(s)</t>
        </is>
      </c>
      <c r="J5049" s="25">
        <f>IFERROR(VALUE(TRIM(LEFT(I5049,FIND("minute",I5049)-1)))*60,0)+IFERROR(VALUE(SUBSTITUTE(MID(I5049,IFERROR(FIND("and",I5049)+3,1),20),"second(s)","")),0)</f>
        <v/>
      </c>
      <c r="K5049" s="41">
        <f>J5049/60</f>
        <v/>
      </c>
      <c r="L5049" s="41">
        <f>IFERROR(J5049/H5049,"")</f>
        <v/>
      </c>
      <c r="M5049" s="25" t="n">
        <v>3.4</v>
      </c>
      <c r="N5049" s="25">
        <f>IF(J5049&gt;300,1,0)</f>
        <v/>
      </c>
      <c r="O5049" s="25">
        <f>IF(J5049&gt;600,1,0)</f>
        <v/>
      </c>
      <c r="P5049" s="25">
        <f>IF(H5049&gt;0,J5049,"")</f>
        <v/>
      </c>
      <c r="Q5049" s="25">
        <f>TEXT(A5049,"YYYY-MM-DD HH")</f>
        <v/>
      </c>
      <c r="R5049" s="25">
        <f>COUNTIF($Q$2:$Q$5295,Q5049)</f>
        <v/>
      </c>
      <c r="S5049" s="25">
        <f>IF(R5049&lt;=2,"1-2",IF(R5049&lt;=5,"3-5",IF(R5049&lt;=10,"6-10","11+")))</f>
        <v/>
      </c>
    </row>
    <row r="5050">
      <c r="A5050" s="39" t="n">
        <v>46238.45170138889</v>
      </c>
      <c r="B5050" s="25">
        <f>TEXT(A5050,"YYYY-MM")</f>
        <v/>
      </c>
      <c r="C5050" s="25">
        <f>TEXT(A5050,"MMM-YYYY")</f>
        <v/>
      </c>
      <c r="D5050" s="40">
        <f>INT(A5050)-WEEKDAY(A5050,2)+1</f>
        <v/>
      </c>
      <c r="E5050" s="25" t="inlineStr">
        <is>
          <t>ajain</t>
        </is>
      </c>
      <c r="F5050" s="25" t="n">
        <v>138009</v>
      </c>
      <c r="G5050" s="25" t="n">
        <v>4</v>
      </c>
      <c r="H5050" s="25" t="n">
        <v>28</v>
      </c>
      <c r="I5050" s="25" t="inlineStr">
        <is>
          <t>2 minute(s) and 12 second(s)</t>
        </is>
      </c>
      <c r="J5050" s="25">
        <f>IFERROR(VALUE(TRIM(LEFT(I5050,FIND("minute",I5050)-1)))*60,0)+IFERROR(VALUE(SUBSTITUTE(MID(I5050,IFERROR(FIND("and",I5050)+3,1),20),"second(s)","")),0)</f>
        <v/>
      </c>
      <c r="K5050" s="41">
        <f>J5050/60</f>
        <v/>
      </c>
      <c r="L5050" s="41">
        <f>IFERROR(J5050/H5050,"")</f>
        <v/>
      </c>
      <c r="M5050" s="25" t="inlineStr">
        <is>
          <t>2.5.12</t>
        </is>
      </c>
      <c r="N5050" s="25">
        <f>IF(J5050&gt;300,1,0)</f>
        <v/>
      </c>
      <c r="O5050" s="25">
        <f>IF(J5050&gt;600,1,0)</f>
        <v/>
      </c>
      <c r="P5050" s="25">
        <f>IF(H5050&gt;0,J5050,"")</f>
        <v/>
      </c>
      <c r="Q5050" s="25">
        <f>TEXT(A5050,"YYYY-MM-DD HH")</f>
        <v/>
      </c>
      <c r="R5050" s="25">
        <f>COUNTIF($Q$2:$Q$5295,Q5050)</f>
        <v/>
      </c>
      <c r="S5050" s="25">
        <f>IF(R5050&lt;=2,"1-2",IF(R5050&lt;=5,"3-5",IF(R5050&lt;=10,"6-10","11+")))</f>
        <v/>
      </c>
    </row>
    <row r="5051">
      <c r="A5051" s="39" t="n">
        <v>46238.46075231482</v>
      </c>
      <c r="B5051" s="25">
        <f>TEXT(A5051,"YYYY-MM")</f>
        <v/>
      </c>
      <c r="C5051" s="25">
        <f>TEXT(A5051,"MMM-YYYY")</f>
        <v/>
      </c>
      <c r="D5051" s="40">
        <f>INT(A5051)-WEEKDAY(A5051,2)+1</f>
        <v/>
      </c>
      <c r="E5051" s="25" t="inlineStr">
        <is>
          <t>mgupta</t>
        </is>
      </c>
      <c r="F5051" s="25" t="n">
        <v>136721</v>
      </c>
      <c r="G5051" s="25" t="n">
        <v>1</v>
      </c>
      <c r="H5051" s="25" t="n">
        <v>5</v>
      </c>
      <c r="I5051" s="25" t="inlineStr">
        <is>
          <t>41 second(s)</t>
        </is>
      </c>
      <c r="J5051" s="25">
        <f>IFERROR(VALUE(TRIM(LEFT(I5051,FIND("minute",I5051)-1)))*60,0)+IFERROR(VALUE(SUBSTITUTE(MID(I5051,IFERROR(FIND("and",I5051)+3,1),20),"second(s)","")),0)</f>
        <v/>
      </c>
      <c r="K5051" s="41">
        <f>J5051/60</f>
        <v/>
      </c>
      <c r="L5051" s="41">
        <f>IFERROR(J5051/H5051,"")</f>
        <v/>
      </c>
      <c r="M5051" s="25" t="n">
        <v>3.5</v>
      </c>
      <c r="N5051" s="25">
        <f>IF(J5051&gt;300,1,0)</f>
        <v/>
      </c>
      <c r="O5051" s="25">
        <f>IF(J5051&gt;600,1,0)</f>
        <v/>
      </c>
      <c r="P5051" s="25">
        <f>IF(H5051&gt;0,J5051,"")</f>
        <v/>
      </c>
      <c r="Q5051" s="25">
        <f>TEXT(A5051,"YYYY-MM-DD HH")</f>
        <v/>
      </c>
      <c r="R5051" s="25">
        <f>COUNTIF($Q$2:$Q$5295,Q5051)</f>
        <v/>
      </c>
      <c r="S5051" s="25">
        <f>IF(R5051&lt;=2,"1-2",IF(R5051&lt;=5,"3-5",IF(R5051&lt;=10,"6-10","11+")))</f>
        <v/>
      </c>
    </row>
    <row r="5052">
      <c r="A5052" s="39" t="n">
        <v>46238.46248842592</v>
      </c>
      <c r="B5052" s="25">
        <f>TEXT(A5052,"YYYY-MM")</f>
        <v/>
      </c>
      <c r="C5052" s="25">
        <f>TEXT(A5052,"MMM-YYYY")</f>
        <v/>
      </c>
      <c r="D5052" s="40">
        <f>INT(A5052)-WEEKDAY(A5052,2)+1</f>
        <v/>
      </c>
      <c r="E5052" s="25" t="inlineStr">
        <is>
          <t>adutt</t>
        </is>
      </c>
      <c r="F5052" s="25" t="n">
        <v>137401</v>
      </c>
      <c r="G5052" s="25" t="n">
        <v>2</v>
      </c>
      <c r="H5052" s="25" t="n">
        <v>12</v>
      </c>
      <c r="I5052" s="25" t="inlineStr">
        <is>
          <t>9 minute(s) and 32 second(s)</t>
        </is>
      </c>
      <c r="J5052" s="25">
        <f>IFERROR(VALUE(TRIM(LEFT(I5052,FIND("minute",I5052)-1)))*60,0)+IFERROR(VALUE(SUBSTITUTE(MID(I5052,IFERROR(FIND("and",I5052)+3,1),20),"second(s)","")),0)</f>
        <v/>
      </c>
      <c r="K5052" s="41">
        <f>J5052/60</f>
        <v/>
      </c>
      <c r="L5052" s="41">
        <f>IFERROR(J5052/H5052,"")</f>
        <v/>
      </c>
      <c r="M5052" s="25" t="n">
        <v>3.4</v>
      </c>
      <c r="N5052" s="25">
        <f>IF(J5052&gt;300,1,0)</f>
        <v/>
      </c>
      <c r="O5052" s="25">
        <f>IF(J5052&gt;600,1,0)</f>
        <v/>
      </c>
      <c r="P5052" s="25">
        <f>IF(H5052&gt;0,J5052,"")</f>
        <v/>
      </c>
      <c r="Q5052" s="25">
        <f>TEXT(A5052,"YYYY-MM-DD HH")</f>
        <v/>
      </c>
      <c r="R5052" s="25">
        <f>COUNTIF($Q$2:$Q$5295,Q5052)</f>
        <v/>
      </c>
      <c r="S5052" s="25">
        <f>IF(R5052&lt;=2,"1-2",IF(R5052&lt;=5,"3-5",IF(R5052&lt;=10,"6-10","11+")))</f>
        <v/>
      </c>
    </row>
    <row r="5053">
      <c r="A5053" s="39" t="n">
        <v>46238.47314814815</v>
      </c>
      <c r="B5053" s="25">
        <f>TEXT(A5053,"YYYY-MM")</f>
        <v/>
      </c>
      <c r="C5053" s="25">
        <f>TEXT(A5053,"MMM-YYYY")</f>
        <v/>
      </c>
      <c r="D5053" s="40">
        <f>INT(A5053)-WEEKDAY(A5053,2)+1</f>
        <v/>
      </c>
      <c r="E5053" s="25" t="inlineStr">
        <is>
          <t>pgautam</t>
        </is>
      </c>
      <c r="F5053" s="25" t="n">
        <v>137673</v>
      </c>
      <c r="G5053" s="25" t="n">
        <v>3</v>
      </c>
      <c r="H5053" s="25" t="n">
        <v>11</v>
      </c>
      <c r="I5053" s="25" t="inlineStr">
        <is>
          <t>1 minute(s) and 18 second(s)</t>
        </is>
      </c>
      <c r="J5053" s="25">
        <f>IFERROR(VALUE(TRIM(LEFT(I5053,FIND("minute",I5053)-1)))*60,0)+IFERROR(VALUE(SUBSTITUTE(MID(I5053,IFERROR(FIND("and",I5053)+3,1),20),"second(s)","")),0)</f>
        <v/>
      </c>
      <c r="K5053" s="41">
        <f>J5053/60</f>
        <v/>
      </c>
      <c r="L5053" s="41">
        <f>IFERROR(J5053/H5053,"")</f>
        <v/>
      </c>
      <c r="M5053" s="25" t="n">
        <v>3.4</v>
      </c>
      <c r="N5053" s="25">
        <f>IF(J5053&gt;300,1,0)</f>
        <v/>
      </c>
      <c r="O5053" s="25">
        <f>IF(J5053&gt;600,1,0)</f>
        <v/>
      </c>
      <c r="P5053" s="25">
        <f>IF(H5053&gt;0,J5053,"")</f>
        <v/>
      </c>
      <c r="Q5053" s="25">
        <f>TEXT(A5053,"YYYY-MM-DD HH")</f>
        <v/>
      </c>
      <c r="R5053" s="25">
        <f>COUNTIF($Q$2:$Q$5295,Q5053)</f>
        <v/>
      </c>
      <c r="S5053" s="25">
        <f>IF(R5053&lt;=2,"1-2",IF(R5053&lt;=5,"3-5",IF(R5053&lt;=10,"6-10","11+")))</f>
        <v/>
      </c>
    </row>
    <row r="5054">
      <c r="A5054" s="39" t="n">
        <v>46238.4777662037</v>
      </c>
      <c r="B5054" s="25">
        <f>TEXT(A5054,"YYYY-MM")</f>
        <v/>
      </c>
      <c r="C5054" s="25">
        <f>TEXT(A5054,"MMM-YYYY")</f>
        <v/>
      </c>
      <c r="D5054" s="40">
        <f>INT(A5054)-WEEKDAY(A5054,2)+1</f>
        <v/>
      </c>
      <c r="E5054" s="25" t="inlineStr">
        <is>
          <t>psathwika</t>
        </is>
      </c>
      <c r="F5054" s="25" t="n">
        <v>136989</v>
      </c>
      <c r="G5054" s="25" t="n">
        <v>2</v>
      </c>
      <c r="H5054" s="25" t="n">
        <v>14</v>
      </c>
      <c r="I5054" s="25" t="inlineStr">
        <is>
          <t>2 minute(s) and 16 second(s)</t>
        </is>
      </c>
      <c r="J5054" s="25">
        <f>IFERROR(VALUE(TRIM(LEFT(I5054,FIND("minute",I5054)-1)))*60,0)+IFERROR(VALUE(SUBSTITUTE(MID(I5054,IFERROR(FIND("and",I5054)+3,1),20),"second(s)","")),0)</f>
        <v/>
      </c>
      <c r="K5054" s="41">
        <f>J5054/60</f>
        <v/>
      </c>
      <c r="L5054" s="41">
        <f>IFERROR(J5054/H5054,"")</f>
        <v/>
      </c>
      <c r="M5054" s="25" t="inlineStr">
        <is>
          <t>2.5.12</t>
        </is>
      </c>
      <c r="N5054" s="25">
        <f>IF(J5054&gt;300,1,0)</f>
        <v/>
      </c>
      <c r="O5054" s="25">
        <f>IF(J5054&gt;600,1,0)</f>
        <v/>
      </c>
      <c r="P5054" s="25">
        <f>IF(H5054&gt;0,J5054,"")</f>
        <v/>
      </c>
      <c r="Q5054" s="25">
        <f>TEXT(A5054,"YYYY-MM-DD HH")</f>
        <v/>
      </c>
      <c r="R5054" s="25">
        <f>COUNTIF($Q$2:$Q$5295,Q5054)</f>
        <v/>
      </c>
      <c r="S5054" s="25">
        <f>IF(R5054&lt;=2,"1-2",IF(R5054&lt;=5,"3-5",IF(R5054&lt;=10,"6-10","11+")))</f>
        <v/>
      </c>
    </row>
    <row r="5055">
      <c r="A5055" s="39" t="n">
        <v>46238.47865740741</v>
      </c>
      <c r="B5055" s="25">
        <f>TEXT(A5055,"YYYY-MM")</f>
        <v/>
      </c>
      <c r="C5055" s="25">
        <f>TEXT(A5055,"MMM-YYYY")</f>
        <v/>
      </c>
      <c r="D5055" s="40">
        <f>INT(A5055)-WEEKDAY(A5055,2)+1</f>
        <v/>
      </c>
      <c r="E5055" s="25" t="inlineStr">
        <is>
          <t>sasharma</t>
        </is>
      </c>
      <c r="F5055" s="25" t="n">
        <v>137157</v>
      </c>
      <c r="G5055" s="25" t="n">
        <v>4</v>
      </c>
      <c r="H5055" s="25" t="n">
        <v>26</v>
      </c>
      <c r="I5055" s="25" t="inlineStr">
        <is>
          <t>2 minute(s) and 10 second(s)</t>
        </is>
      </c>
      <c r="J5055" s="25">
        <f>IFERROR(VALUE(TRIM(LEFT(I5055,FIND("minute",I5055)-1)))*60,0)+IFERROR(VALUE(SUBSTITUTE(MID(I5055,IFERROR(FIND("and",I5055)+3,1),20),"second(s)","")),0)</f>
        <v/>
      </c>
      <c r="K5055" s="41">
        <f>J5055/60</f>
        <v/>
      </c>
      <c r="L5055" s="41">
        <f>IFERROR(J5055/H5055,"")</f>
        <v/>
      </c>
      <c r="M5055" s="25" t="inlineStr">
        <is>
          <t>2.5.12</t>
        </is>
      </c>
      <c r="N5055" s="25">
        <f>IF(J5055&gt;300,1,0)</f>
        <v/>
      </c>
      <c r="O5055" s="25">
        <f>IF(J5055&gt;600,1,0)</f>
        <v/>
      </c>
      <c r="P5055" s="25">
        <f>IF(H5055&gt;0,J5055,"")</f>
        <v/>
      </c>
      <c r="Q5055" s="25">
        <f>TEXT(A5055,"YYYY-MM-DD HH")</f>
        <v/>
      </c>
      <c r="R5055" s="25">
        <f>COUNTIF($Q$2:$Q$5295,Q5055)</f>
        <v/>
      </c>
      <c r="S5055" s="25">
        <f>IF(R5055&lt;=2,"1-2",IF(R5055&lt;=5,"3-5",IF(R5055&lt;=10,"6-10","11+")))</f>
        <v/>
      </c>
    </row>
    <row r="5056">
      <c r="A5056" s="39" t="n">
        <v>46238.49309027778</v>
      </c>
      <c r="B5056" s="25">
        <f>TEXT(A5056,"YYYY-MM")</f>
        <v/>
      </c>
      <c r="C5056" s="25">
        <f>TEXT(A5056,"MMM-YYYY")</f>
        <v/>
      </c>
      <c r="D5056" s="40">
        <f>INT(A5056)-WEEKDAY(A5056,2)+1</f>
        <v/>
      </c>
      <c r="E5056" s="25" t="inlineStr">
        <is>
          <t>tkarmakar</t>
        </is>
      </c>
      <c r="F5056" s="25" t="n">
        <v>135221</v>
      </c>
      <c r="G5056" s="25" t="n">
        <v>1</v>
      </c>
      <c r="H5056" s="25" t="n">
        <v>5</v>
      </c>
      <c r="I5056" s="25" t="inlineStr">
        <is>
          <t>45 second(s)</t>
        </is>
      </c>
      <c r="J5056" s="25">
        <f>IFERROR(VALUE(TRIM(LEFT(I5056,FIND("minute",I5056)-1)))*60,0)+IFERROR(VALUE(SUBSTITUTE(MID(I5056,IFERROR(FIND("and",I5056)+3,1),20),"second(s)","")),0)</f>
        <v/>
      </c>
      <c r="K5056" s="41">
        <f>J5056/60</f>
        <v/>
      </c>
      <c r="L5056" s="41">
        <f>IFERROR(J5056/H5056,"")</f>
        <v/>
      </c>
      <c r="M5056" s="25" t="n">
        <v>3.4</v>
      </c>
      <c r="N5056" s="25">
        <f>IF(J5056&gt;300,1,0)</f>
        <v/>
      </c>
      <c r="O5056" s="25">
        <f>IF(J5056&gt;600,1,0)</f>
        <v/>
      </c>
      <c r="P5056" s="25">
        <f>IF(H5056&gt;0,J5056,"")</f>
        <v/>
      </c>
      <c r="Q5056" s="25">
        <f>TEXT(A5056,"YYYY-MM-DD HH")</f>
        <v/>
      </c>
      <c r="R5056" s="25">
        <f>COUNTIF($Q$2:$Q$5295,Q5056)</f>
        <v/>
      </c>
      <c r="S5056" s="25">
        <f>IF(R5056&lt;=2,"1-2",IF(R5056&lt;=5,"3-5",IF(R5056&lt;=10,"6-10","11+")))</f>
        <v/>
      </c>
    </row>
    <row r="5057">
      <c r="A5057" s="39" t="n">
        <v>46238.49621527778</v>
      </c>
      <c r="B5057" s="25">
        <f>TEXT(A5057,"YYYY-MM")</f>
        <v/>
      </c>
      <c r="C5057" s="25">
        <f>TEXT(A5057,"MMM-YYYY")</f>
        <v/>
      </c>
      <c r="D5057" s="40">
        <f>INT(A5057)-WEEKDAY(A5057,2)+1</f>
        <v/>
      </c>
      <c r="E5057" s="25" t="inlineStr">
        <is>
          <t>ajain</t>
        </is>
      </c>
      <c r="F5057" s="25" t="n">
        <v>138465</v>
      </c>
      <c r="G5057" s="25" t="n">
        <v>4</v>
      </c>
      <c r="H5057" s="25" t="n">
        <v>28</v>
      </c>
      <c r="I5057" s="25" t="inlineStr">
        <is>
          <t>3 minute(s) and 19 second(s)</t>
        </is>
      </c>
      <c r="J5057" s="25">
        <f>IFERROR(VALUE(TRIM(LEFT(I5057,FIND("minute",I5057)-1)))*60,0)+IFERROR(VALUE(SUBSTITUTE(MID(I5057,IFERROR(FIND("and",I5057)+3,1),20),"second(s)","")),0)</f>
        <v/>
      </c>
      <c r="K5057" s="41">
        <f>J5057/60</f>
        <v/>
      </c>
      <c r="L5057" s="41">
        <f>IFERROR(J5057/H5057,"")</f>
        <v/>
      </c>
      <c r="M5057" s="25" t="inlineStr">
        <is>
          <t>2.5.12</t>
        </is>
      </c>
      <c r="N5057" s="25">
        <f>IF(J5057&gt;300,1,0)</f>
        <v/>
      </c>
      <c r="O5057" s="25">
        <f>IF(J5057&gt;600,1,0)</f>
        <v/>
      </c>
      <c r="P5057" s="25">
        <f>IF(H5057&gt;0,J5057,"")</f>
        <v/>
      </c>
      <c r="Q5057" s="25">
        <f>TEXT(A5057,"YYYY-MM-DD HH")</f>
        <v/>
      </c>
      <c r="R5057" s="25">
        <f>COUNTIF($Q$2:$Q$5295,Q5057)</f>
        <v/>
      </c>
      <c r="S5057" s="25">
        <f>IF(R5057&lt;=2,"1-2",IF(R5057&lt;=5,"3-5",IF(R5057&lt;=10,"6-10","11+")))</f>
        <v/>
      </c>
    </row>
    <row r="5058">
      <c r="A5058" s="39" t="n">
        <v>46238.50292824074</v>
      </c>
      <c r="B5058" s="25">
        <f>TEXT(A5058,"YYYY-MM")</f>
        <v/>
      </c>
      <c r="C5058" s="25">
        <f>TEXT(A5058,"MMM-YYYY")</f>
        <v/>
      </c>
      <c r="D5058" s="40">
        <f>INT(A5058)-WEEKDAY(A5058,2)+1</f>
        <v/>
      </c>
      <c r="E5058" s="25" t="inlineStr">
        <is>
          <t>larora</t>
        </is>
      </c>
      <c r="F5058" s="25" t="n">
        <v>135365</v>
      </c>
      <c r="G5058" s="25" t="n">
        <v>1</v>
      </c>
      <c r="H5058" s="25" t="n">
        <v>5</v>
      </c>
      <c r="I5058" s="25" t="inlineStr">
        <is>
          <t>37 second(s)</t>
        </is>
      </c>
      <c r="J5058" s="25">
        <f>IFERROR(VALUE(TRIM(LEFT(I5058,FIND("minute",I5058)-1)))*60,0)+IFERROR(VALUE(SUBSTITUTE(MID(I5058,IFERROR(FIND("and",I5058)+3,1),20),"second(s)","")),0)</f>
        <v/>
      </c>
      <c r="K5058" s="41">
        <f>J5058/60</f>
        <v/>
      </c>
      <c r="L5058" s="41">
        <f>IFERROR(J5058/H5058,"")</f>
        <v/>
      </c>
      <c r="M5058" s="25" t="n">
        <v>3.4</v>
      </c>
      <c r="N5058" s="25">
        <f>IF(J5058&gt;300,1,0)</f>
        <v/>
      </c>
      <c r="O5058" s="25">
        <f>IF(J5058&gt;600,1,0)</f>
        <v/>
      </c>
      <c r="P5058" s="25">
        <f>IF(H5058&gt;0,J5058,"")</f>
        <v/>
      </c>
      <c r="Q5058" s="25">
        <f>TEXT(A5058,"YYYY-MM-DD HH")</f>
        <v/>
      </c>
      <c r="R5058" s="25">
        <f>COUNTIF($Q$2:$Q$5295,Q5058)</f>
        <v/>
      </c>
      <c r="S5058" s="25">
        <f>IF(R5058&lt;=2,"1-2",IF(R5058&lt;=5,"3-5",IF(R5058&lt;=10,"6-10","11+")))</f>
        <v/>
      </c>
    </row>
    <row r="5059">
      <c r="A5059" s="39" t="n">
        <v>46238.50414351852</v>
      </c>
      <c r="B5059" s="25">
        <f>TEXT(A5059,"YYYY-MM")</f>
        <v/>
      </c>
      <c r="C5059" s="25">
        <f>TEXT(A5059,"MMM-YYYY")</f>
        <v/>
      </c>
      <c r="D5059" s="40">
        <f>INT(A5059)-WEEKDAY(A5059,2)+1</f>
        <v/>
      </c>
      <c r="E5059" s="25" t="inlineStr">
        <is>
          <t>larora</t>
        </is>
      </c>
      <c r="F5059" s="25" t="n">
        <v>135365</v>
      </c>
      <c r="G5059" s="25" t="n">
        <v>1</v>
      </c>
      <c r="H5059" s="25" t="n">
        <v>5</v>
      </c>
      <c r="I5059" s="25" t="inlineStr">
        <is>
          <t>46 second(s)</t>
        </is>
      </c>
      <c r="J5059" s="25">
        <f>IFERROR(VALUE(TRIM(LEFT(I5059,FIND("minute",I5059)-1)))*60,0)+IFERROR(VALUE(SUBSTITUTE(MID(I5059,IFERROR(FIND("and",I5059)+3,1),20),"second(s)","")),0)</f>
        <v/>
      </c>
      <c r="K5059" s="41">
        <f>J5059/60</f>
        <v/>
      </c>
      <c r="L5059" s="41">
        <f>IFERROR(J5059/H5059,"")</f>
        <v/>
      </c>
      <c r="M5059" s="25" t="n">
        <v>3.4</v>
      </c>
      <c r="N5059" s="25">
        <f>IF(J5059&gt;300,1,0)</f>
        <v/>
      </c>
      <c r="O5059" s="25">
        <f>IF(J5059&gt;600,1,0)</f>
        <v/>
      </c>
      <c r="P5059" s="25">
        <f>IF(H5059&gt;0,J5059,"")</f>
        <v/>
      </c>
      <c r="Q5059" s="25">
        <f>TEXT(A5059,"YYYY-MM-DD HH")</f>
        <v/>
      </c>
      <c r="R5059" s="25">
        <f>COUNTIF($Q$2:$Q$5295,Q5059)</f>
        <v/>
      </c>
      <c r="S5059" s="25">
        <f>IF(R5059&lt;=2,"1-2",IF(R5059&lt;=5,"3-5",IF(R5059&lt;=10,"6-10","11+")))</f>
        <v/>
      </c>
    </row>
    <row r="5060">
      <c r="A5060" s="39" t="n">
        <v>46238.50583333334</v>
      </c>
      <c r="B5060" s="25">
        <f>TEXT(A5060,"YYYY-MM")</f>
        <v/>
      </c>
      <c r="C5060" s="25">
        <f>TEXT(A5060,"MMM-YYYY")</f>
        <v/>
      </c>
      <c r="D5060" s="40">
        <f>INT(A5060)-WEEKDAY(A5060,2)+1</f>
        <v/>
      </c>
      <c r="E5060" s="25" t="inlineStr">
        <is>
          <t>larora</t>
        </is>
      </c>
      <c r="F5060" s="25" t="n">
        <v>135365</v>
      </c>
      <c r="G5060" s="25" t="n">
        <v>2</v>
      </c>
      <c r="H5060" s="25" t="n">
        <v>8</v>
      </c>
      <c r="I5060" s="25" t="inlineStr">
        <is>
          <t>55 second(s)</t>
        </is>
      </c>
      <c r="J5060" s="25">
        <f>IFERROR(VALUE(TRIM(LEFT(I5060,FIND("minute",I5060)-1)))*60,0)+IFERROR(VALUE(SUBSTITUTE(MID(I5060,IFERROR(FIND("and",I5060)+3,1),20),"second(s)","")),0)</f>
        <v/>
      </c>
      <c r="K5060" s="41">
        <f>J5060/60</f>
        <v/>
      </c>
      <c r="L5060" s="41">
        <f>IFERROR(J5060/H5060,"")</f>
        <v/>
      </c>
      <c r="M5060" s="25" t="n">
        <v>3.4</v>
      </c>
      <c r="N5060" s="25">
        <f>IF(J5060&gt;300,1,0)</f>
        <v/>
      </c>
      <c r="O5060" s="25">
        <f>IF(J5060&gt;600,1,0)</f>
        <v/>
      </c>
      <c r="P5060" s="25">
        <f>IF(H5060&gt;0,J5060,"")</f>
        <v/>
      </c>
      <c r="Q5060" s="25">
        <f>TEXT(A5060,"YYYY-MM-DD HH")</f>
        <v/>
      </c>
      <c r="R5060" s="25">
        <f>COUNTIF($Q$2:$Q$5295,Q5060)</f>
        <v/>
      </c>
      <c r="S5060" s="25">
        <f>IF(R5060&lt;=2,"1-2",IF(R5060&lt;=5,"3-5",IF(R5060&lt;=10,"6-10","11+")))</f>
        <v/>
      </c>
    </row>
    <row r="5061">
      <c r="A5061" s="39" t="n">
        <v>46238.50877314815</v>
      </c>
      <c r="B5061" s="25">
        <f>TEXT(A5061,"YYYY-MM")</f>
        <v/>
      </c>
      <c r="C5061" s="25">
        <f>TEXT(A5061,"MMM-YYYY")</f>
        <v/>
      </c>
      <c r="D5061" s="40">
        <f>INT(A5061)-WEEKDAY(A5061,2)+1</f>
        <v/>
      </c>
      <c r="E5061" s="25" t="inlineStr">
        <is>
          <t>shassan</t>
        </is>
      </c>
      <c r="F5061" s="25" t="n">
        <v>137405</v>
      </c>
      <c r="G5061" s="25" t="n">
        <v>3</v>
      </c>
      <c r="H5061" s="25" t="n">
        <v>11</v>
      </c>
      <c r="I5061" s="25" t="inlineStr">
        <is>
          <t>1 minute(s) and 37 second(s)</t>
        </is>
      </c>
      <c r="J5061" s="25">
        <f>IFERROR(VALUE(TRIM(LEFT(I5061,FIND("minute",I5061)-1)))*60,0)+IFERROR(VALUE(SUBSTITUTE(MID(I5061,IFERROR(FIND("and",I5061)+3,1),20),"second(s)","")),0)</f>
        <v/>
      </c>
      <c r="K5061" s="41">
        <f>J5061/60</f>
        <v/>
      </c>
      <c r="L5061" s="41">
        <f>IFERROR(J5061/H5061,"")</f>
        <v/>
      </c>
      <c r="M5061" s="25" t="n">
        <v>3.4</v>
      </c>
      <c r="N5061" s="25">
        <f>IF(J5061&gt;300,1,0)</f>
        <v/>
      </c>
      <c r="O5061" s="25">
        <f>IF(J5061&gt;600,1,0)</f>
        <v/>
      </c>
      <c r="P5061" s="25">
        <f>IF(H5061&gt;0,J5061,"")</f>
        <v/>
      </c>
      <c r="Q5061" s="25">
        <f>TEXT(A5061,"YYYY-MM-DD HH")</f>
        <v/>
      </c>
      <c r="R5061" s="25">
        <f>COUNTIF($Q$2:$Q$5295,Q5061)</f>
        <v/>
      </c>
      <c r="S5061" s="25">
        <f>IF(R5061&lt;=2,"1-2",IF(R5061&lt;=5,"3-5",IF(R5061&lt;=10,"6-10","11+")))</f>
        <v/>
      </c>
    </row>
    <row r="5062">
      <c r="A5062" s="39" t="n">
        <v>46238.52490740741</v>
      </c>
      <c r="B5062" s="25">
        <f>TEXT(A5062,"YYYY-MM")</f>
        <v/>
      </c>
      <c r="C5062" s="25">
        <f>TEXT(A5062,"MMM-YYYY")</f>
        <v/>
      </c>
      <c r="D5062" s="40">
        <f>INT(A5062)-WEEKDAY(A5062,2)+1</f>
        <v/>
      </c>
      <c r="E5062" s="25" t="inlineStr">
        <is>
          <t>mgupta</t>
        </is>
      </c>
      <c r="F5062" s="25" t="n">
        <v>136709</v>
      </c>
      <c r="G5062" s="25" t="n">
        <v>3</v>
      </c>
      <c r="H5062" s="25" t="n">
        <v>17</v>
      </c>
      <c r="I5062" s="25" t="inlineStr">
        <is>
          <t>2 minute(s) and 30 second(s)</t>
        </is>
      </c>
      <c r="J5062" s="25">
        <f>IFERROR(VALUE(TRIM(LEFT(I5062,FIND("minute",I5062)-1)))*60,0)+IFERROR(VALUE(SUBSTITUTE(MID(I5062,IFERROR(FIND("and",I5062)+3,1),20),"second(s)","")),0)</f>
        <v/>
      </c>
      <c r="K5062" s="41">
        <f>J5062/60</f>
        <v/>
      </c>
      <c r="L5062" s="41">
        <f>IFERROR(J5062/H5062,"")</f>
        <v/>
      </c>
      <c r="M5062" s="25" t="n">
        <v>3.5</v>
      </c>
      <c r="N5062" s="25">
        <f>IF(J5062&gt;300,1,0)</f>
        <v/>
      </c>
      <c r="O5062" s="25">
        <f>IF(J5062&gt;600,1,0)</f>
        <v/>
      </c>
      <c r="P5062" s="25">
        <f>IF(H5062&gt;0,J5062,"")</f>
        <v/>
      </c>
      <c r="Q5062" s="25">
        <f>TEXT(A5062,"YYYY-MM-DD HH")</f>
        <v/>
      </c>
      <c r="R5062" s="25">
        <f>COUNTIF($Q$2:$Q$5295,Q5062)</f>
        <v/>
      </c>
      <c r="S5062" s="25">
        <f>IF(R5062&lt;=2,"1-2",IF(R5062&lt;=5,"3-5",IF(R5062&lt;=10,"6-10","11+")))</f>
        <v/>
      </c>
    </row>
    <row r="5063">
      <c r="A5063" s="39" t="n">
        <v>46238.55246527777</v>
      </c>
      <c r="B5063" s="25">
        <f>TEXT(A5063,"YYYY-MM")</f>
        <v/>
      </c>
      <c r="C5063" s="25">
        <f>TEXT(A5063,"MMM-YYYY")</f>
        <v/>
      </c>
      <c r="D5063" s="40">
        <f>INT(A5063)-WEEKDAY(A5063,2)+1</f>
        <v/>
      </c>
      <c r="E5063" s="25" t="inlineStr">
        <is>
          <t>mbhalla</t>
        </is>
      </c>
      <c r="F5063" s="25" t="n">
        <v>136749</v>
      </c>
      <c r="G5063" s="25" t="n">
        <v>2</v>
      </c>
      <c r="H5063" s="25" t="n">
        <v>12</v>
      </c>
      <c r="I5063" s="25" t="inlineStr">
        <is>
          <t>2 minute(s) and 54 second(s)</t>
        </is>
      </c>
      <c r="J5063" s="25">
        <f>IFERROR(VALUE(TRIM(LEFT(I5063,FIND("minute",I5063)-1)))*60,0)+IFERROR(VALUE(SUBSTITUTE(MID(I5063,IFERROR(FIND("and",I5063)+3,1),20),"second(s)","")),0)</f>
        <v/>
      </c>
      <c r="K5063" s="41">
        <f>J5063/60</f>
        <v/>
      </c>
      <c r="L5063" s="41">
        <f>IFERROR(J5063/H5063,"")</f>
        <v/>
      </c>
      <c r="M5063" s="25" t="n">
        <v>3.4</v>
      </c>
      <c r="N5063" s="25">
        <f>IF(J5063&gt;300,1,0)</f>
        <v/>
      </c>
      <c r="O5063" s="25">
        <f>IF(J5063&gt;600,1,0)</f>
        <v/>
      </c>
      <c r="P5063" s="25">
        <f>IF(H5063&gt;0,J5063,"")</f>
        <v/>
      </c>
      <c r="Q5063" s="25">
        <f>TEXT(A5063,"YYYY-MM-DD HH")</f>
        <v/>
      </c>
      <c r="R5063" s="25">
        <f>COUNTIF($Q$2:$Q$5295,Q5063)</f>
        <v/>
      </c>
      <c r="S5063" s="25">
        <f>IF(R5063&lt;=2,"1-2",IF(R5063&lt;=5,"3-5",IF(R5063&lt;=10,"6-10","11+")))</f>
        <v/>
      </c>
    </row>
    <row r="5064">
      <c r="A5064" s="39" t="n">
        <v>46238.58232638889</v>
      </c>
      <c r="B5064" s="25">
        <f>TEXT(A5064,"YYYY-MM")</f>
        <v/>
      </c>
      <c r="C5064" s="25">
        <f>TEXT(A5064,"MMM-YYYY")</f>
        <v/>
      </c>
      <c r="D5064" s="40">
        <f>INT(A5064)-WEEKDAY(A5064,2)+1</f>
        <v/>
      </c>
      <c r="E5064" s="25" t="inlineStr">
        <is>
          <t>sswati</t>
        </is>
      </c>
      <c r="F5064" s="25" t="n">
        <v>134949</v>
      </c>
      <c r="G5064" s="25" t="n">
        <v>2</v>
      </c>
      <c r="H5064" s="25" t="n">
        <v>8</v>
      </c>
      <c r="I5064" s="25" t="inlineStr">
        <is>
          <t>1 minute(s) and 3 second(s)</t>
        </is>
      </c>
      <c r="J5064" s="25">
        <f>IFERROR(VALUE(TRIM(LEFT(I5064,FIND("minute",I5064)-1)))*60,0)+IFERROR(VALUE(SUBSTITUTE(MID(I5064,IFERROR(FIND("and",I5064)+3,1),20),"second(s)","")),0)</f>
        <v/>
      </c>
      <c r="K5064" s="41">
        <f>J5064/60</f>
        <v/>
      </c>
      <c r="L5064" s="41">
        <f>IFERROR(J5064/H5064,"")</f>
        <v/>
      </c>
      <c r="M5064" s="25" t="n">
        <v>3.4</v>
      </c>
      <c r="N5064" s="25">
        <f>IF(J5064&gt;300,1,0)</f>
        <v/>
      </c>
      <c r="O5064" s="25">
        <f>IF(J5064&gt;600,1,0)</f>
        <v/>
      </c>
      <c r="P5064" s="25">
        <f>IF(H5064&gt;0,J5064,"")</f>
        <v/>
      </c>
      <c r="Q5064" s="25">
        <f>TEXT(A5064,"YYYY-MM-DD HH")</f>
        <v/>
      </c>
      <c r="R5064" s="25">
        <f>COUNTIF($Q$2:$Q$5295,Q5064)</f>
        <v/>
      </c>
      <c r="S5064" s="25">
        <f>IF(R5064&lt;=2,"1-2",IF(R5064&lt;=5,"3-5",IF(R5064&lt;=10,"6-10","11+")))</f>
        <v/>
      </c>
    </row>
    <row r="5065">
      <c r="A5065" s="39" t="n">
        <v>46238.58363425926</v>
      </c>
      <c r="B5065" s="25">
        <f>TEXT(A5065,"YYYY-MM")</f>
        <v/>
      </c>
      <c r="C5065" s="25">
        <f>TEXT(A5065,"MMM-YYYY")</f>
        <v/>
      </c>
      <c r="D5065" s="40">
        <f>INT(A5065)-WEEKDAY(A5065,2)+1</f>
        <v/>
      </c>
      <c r="E5065" s="25" t="inlineStr">
        <is>
          <t>pgautam</t>
        </is>
      </c>
      <c r="F5065" s="25" t="n">
        <v>137109</v>
      </c>
      <c r="G5065" s="25" t="n">
        <v>1</v>
      </c>
      <c r="H5065" s="25" t="n">
        <v>7</v>
      </c>
      <c r="I5065" s="25" t="inlineStr">
        <is>
          <t>54 second(s)</t>
        </is>
      </c>
      <c r="J5065" s="25">
        <f>IFERROR(VALUE(TRIM(LEFT(I5065,FIND("minute",I5065)-1)))*60,0)+IFERROR(VALUE(SUBSTITUTE(MID(I5065,IFERROR(FIND("and",I5065)+3,1),20),"second(s)","")),0)</f>
        <v/>
      </c>
      <c r="K5065" s="41">
        <f>J5065/60</f>
        <v/>
      </c>
      <c r="L5065" s="41">
        <f>IFERROR(J5065/H5065,"")</f>
        <v/>
      </c>
      <c r="M5065" s="25" t="n">
        <v>3.4</v>
      </c>
      <c r="N5065" s="25">
        <f>IF(J5065&gt;300,1,0)</f>
        <v/>
      </c>
      <c r="O5065" s="25">
        <f>IF(J5065&gt;600,1,0)</f>
        <v/>
      </c>
      <c r="P5065" s="25">
        <f>IF(H5065&gt;0,J5065,"")</f>
        <v/>
      </c>
      <c r="Q5065" s="25">
        <f>TEXT(A5065,"YYYY-MM-DD HH")</f>
        <v/>
      </c>
      <c r="R5065" s="25">
        <f>COUNTIF($Q$2:$Q$5295,Q5065)</f>
        <v/>
      </c>
      <c r="S5065" s="25">
        <f>IF(R5065&lt;=2,"1-2",IF(R5065&lt;=5,"3-5",IF(R5065&lt;=10,"6-10","11+")))</f>
        <v/>
      </c>
    </row>
    <row r="5066">
      <c r="A5066" s="39" t="n">
        <v>46238.59414351852</v>
      </c>
      <c r="B5066" s="25">
        <f>TEXT(A5066,"YYYY-MM")</f>
        <v/>
      </c>
      <c r="C5066" s="25">
        <f>TEXT(A5066,"MMM-YYYY")</f>
        <v/>
      </c>
      <c r="D5066" s="40">
        <f>INT(A5066)-WEEKDAY(A5066,2)+1</f>
        <v/>
      </c>
      <c r="E5066" s="25" t="inlineStr">
        <is>
          <t>vraina</t>
        </is>
      </c>
      <c r="F5066" s="25" t="n">
        <v>135425</v>
      </c>
      <c r="G5066" s="25" t="n">
        <v>2</v>
      </c>
      <c r="H5066" s="25" t="n">
        <v>8</v>
      </c>
      <c r="I5066" s="25" t="inlineStr">
        <is>
          <t>56 second(s)</t>
        </is>
      </c>
      <c r="J5066" s="25">
        <f>IFERROR(VALUE(TRIM(LEFT(I5066,FIND("minute",I5066)-1)))*60,0)+IFERROR(VALUE(SUBSTITUTE(MID(I5066,IFERROR(FIND("and",I5066)+3,1),20),"second(s)","")),0)</f>
        <v/>
      </c>
      <c r="K5066" s="41">
        <f>J5066/60</f>
        <v/>
      </c>
      <c r="L5066" s="41">
        <f>IFERROR(J5066/H5066,"")</f>
        <v/>
      </c>
      <c r="M5066" s="25" t="n">
        <v>3.4</v>
      </c>
      <c r="N5066" s="25">
        <f>IF(J5066&gt;300,1,0)</f>
        <v/>
      </c>
      <c r="O5066" s="25">
        <f>IF(J5066&gt;600,1,0)</f>
        <v/>
      </c>
      <c r="P5066" s="25">
        <f>IF(H5066&gt;0,J5066,"")</f>
        <v/>
      </c>
      <c r="Q5066" s="25">
        <f>TEXT(A5066,"YYYY-MM-DD HH")</f>
        <v/>
      </c>
      <c r="R5066" s="25">
        <f>COUNTIF($Q$2:$Q$5295,Q5066)</f>
        <v/>
      </c>
      <c r="S5066" s="25">
        <f>IF(R5066&lt;=2,"1-2",IF(R5066&lt;=5,"3-5",IF(R5066&lt;=10,"6-10","11+")))</f>
        <v/>
      </c>
    </row>
    <row r="5067">
      <c r="A5067" s="39" t="n">
        <v>46238.595625</v>
      </c>
      <c r="B5067" s="25">
        <f>TEXT(A5067,"YYYY-MM")</f>
        <v/>
      </c>
      <c r="C5067" s="25">
        <f>TEXT(A5067,"MMM-YYYY")</f>
        <v/>
      </c>
      <c r="D5067" s="40">
        <f>INT(A5067)-WEEKDAY(A5067,2)+1</f>
        <v/>
      </c>
      <c r="E5067" s="25" t="inlineStr">
        <is>
          <t>larora</t>
        </is>
      </c>
      <c r="F5067" s="25" t="n">
        <v>135357</v>
      </c>
      <c r="G5067" s="25" t="n">
        <v>2</v>
      </c>
      <c r="H5067" s="25" t="n">
        <v>12</v>
      </c>
      <c r="I5067" s="25" t="inlineStr">
        <is>
          <t>1 minute(s) and 21 second(s)</t>
        </is>
      </c>
      <c r="J5067" s="25">
        <f>IFERROR(VALUE(TRIM(LEFT(I5067,FIND("minute",I5067)-1)))*60,0)+IFERROR(VALUE(SUBSTITUTE(MID(I5067,IFERROR(FIND("and",I5067)+3,1),20),"second(s)","")),0)</f>
        <v/>
      </c>
      <c r="K5067" s="41">
        <f>J5067/60</f>
        <v/>
      </c>
      <c r="L5067" s="41">
        <f>IFERROR(J5067/H5067,"")</f>
        <v/>
      </c>
      <c r="M5067" s="25" t="n">
        <v>3.4</v>
      </c>
      <c r="N5067" s="25">
        <f>IF(J5067&gt;300,1,0)</f>
        <v/>
      </c>
      <c r="O5067" s="25">
        <f>IF(J5067&gt;600,1,0)</f>
        <v/>
      </c>
      <c r="P5067" s="25">
        <f>IF(H5067&gt;0,J5067,"")</f>
        <v/>
      </c>
      <c r="Q5067" s="25">
        <f>TEXT(A5067,"YYYY-MM-DD HH")</f>
        <v/>
      </c>
      <c r="R5067" s="25">
        <f>COUNTIF($Q$2:$Q$5295,Q5067)</f>
        <v/>
      </c>
      <c r="S5067" s="25">
        <f>IF(R5067&lt;=2,"1-2",IF(R5067&lt;=5,"3-5",IF(R5067&lt;=10,"6-10","11+")))</f>
        <v/>
      </c>
    </row>
    <row r="5068">
      <c r="A5068" s="39" t="n">
        <v>46238.60144675926</v>
      </c>
      <c r="B5068" s="25">
        <f>TEXT(A5068,"YYYY-MM")</f>
        <v/>
      </c>
      <c r="C5068" s="25">
        <f>TEXT(A5068,"MMM-YYYY")</f>
        <v/>
      </c>
      <c r="D5068" s="40">
        <f>INT(A5068)-WEEKDAY(A5068,2)+1</f>
        <v/>
      </c>
      <c r="E5068" s="25" t="inlineStr">
        <is>
          <t>sthomas</t>
        </is>
      </c>
      <c r="F5068" s="25" t="n">
        <v>139150</v>
      </c>
      <c r="G5068" s="25" t="n">
        <v>2</v>
      </c>
      <c r="H5068" s="25" t="n">
        <v>10</v>
      </c>
      <c r="I5068" s="25" t="inlineStr">
        <is>
          <t>1 minute(s) and 19 second(s)</t>
        </is>
      </c>
      <c r="J5068" s="25">
        <f>IFERROR(VALUE(TRIM(LEFT(I5068,FIND("minute",I5068)-1)))*60,0)+IFERROR(VALUE(SUBSTITUTE(MID(I5068,IFERROR(FIND("and",I5068)+3,1),20),"second(s)","")),0)</f>
        <v/>
      </c>
      <c r="K5068" s="41">
        <f>J5068/60</f>
        <v/>
      </c>
      <c r="L5068" s="41">
        <f>IFERROR(J5068/H5068,"")</f>
        <v/>
      </c>
      <c r="M5068" s="25" t="n">
        <v>3.4</v>
      </c>
      <c r="N5068" s="25">
        <f>IF(J5068&gt;300,1,0)</f>
        <v/>
      </c>
      <c r="O5068" s="25">
        <f>IF(J5068&gt;600,1,0)</f>
        <v/>
      </c>
      <c r="P5068" s="25">
        <f>IF(H5068&gt;0,J5068,"")</f>
        <v/>
      </c>
      <c r="Q5068" s="25">
        <f>TEXT(A5068,"YYYY-MM-DD HH")</f>
        <v/>
      </c>
      <c r="R5068" s="25">
        <f>COUNTIF($Q$2:$Q$5295,Q5068)</f>
        <v/>
      </c>
      <c r="S5068" s="25">
        <f>IF(R5068&lt;=2,"1-2",IF(R5068&lt;=5,"3-5",IF(R5068&lt;=10,"6-10","11+")))</f>
        <v/>
      </c>
    </row>
    <row r="5069">
      <c r="A5069" s="39" t="n">
        <v>46238.62263888889</v>
      </c>
      <c r="B5069" s="25">
        <f>TEXT(A5069,"YYYY-MM")</f>
        <v/>
      </c>
      <c r="C5069" s="25">
        <f>TEXT(A5069,"MMM-YYYY")</f>
        <v/>
      </c>
      <c r="D5069" s="40">
        <f>INT(A5069)-WEEKDAY(A5069,2)+1</f>
        <v/>
      </c>
      <c r="E5069" s="25" t="inlineStr">
        <is>
          <t>mbhalla</t>
        </is>
      </c>
      <c r="F5069" s="25" t="n">
        <v>136757</v>
      </c>
      <c r="G5069" s="25" t="n">
        <v>2</v>
      </c>
      <c r="H5069" s="25" t="n">
        <v>8</v>
      </c>
      <c r="I5069" s="25" t="inlineStr">
        <is>
          <t>1 minute(s) and 10 second(s)</t>
        </is>
      </c>
      <c r="J5069" s="25">
        <f>IFERROR(VALUE(TRIM(LEFT(I5069,FIND("minute",I5069)-1)))*60,0)+IFERROR(VALUE(SUBSTITUTE(MID(I5069,IFERROR(FIND("and",I5069)+3,1),20),"second(s)","")),0)</f>
        <v/>
      </c>
      <c r="K5069" s="41">
        <f>J5069/60</f>
        <v/>
      </c>
      <c r="L5069" s="41">
        <f>IFERROR(J5069/H5069,"")</f>
        <v/>
      </c>
      <c r="M5069" s="25" t="n">
        <v>3.4</v>
      </c>
      <c r="N5069" s="25">
        <f>IF(J5069&gt;300,1,0)</f>
        <v/>
      </c>
      <c r="O5069" s="25">
        <f>IF(J5069&gt;600,1,0)</f>
        <v/>
      </c>
      <c r="P5069" s="25">
        <f>IF(H5069&gt;0,J5069,"")</f>
        <v/>
      </c>
      <c r="Q5069" s="25">
        <f>TEXT(A5069,"YYYY-MM-DD HH")</f>
        <v/>
      </c>
      <c r="R5069" s="25">
        <f>COUNTIF($Q$2:$Q$5295,Q5069)</f>
        <v/>
      </c>
      <c r="S5069" s="25">
        <f>IF(R5069&lt;=2,"1-2",IF(R5069&lt;=5,"3-5",IF(R5069&lt;=10,"6-10","11+")))</f>
        <v/>
      </c>
    </row>
    <row r="5070">
      <c r="A5070" s="39" t="n">
        <v>46238.62986111111</v>
      </c>
      <c r="B5070" s="25">
        <f>TEXT(A5070,"YYYY-MM")</f>
        <v/>
      </c>
      <c r="C5070" s="25">
        <f>TEXT(A5070,"MMM-YYYY")</f>
        <v/>
      </c>
      <c r="D5070" s="40">
        <f>INT(A5070)-WEEKDAY(A5070,2)+1</f>
        <v/>
      </c>
      <c r="E5070" s="25" t="inlineStr">
        <is>
          <t>ssaha</t>
        </is>
      </c>
      <c r="F5070" s="25" t="n">
        <v>134917</v>
      </c>
      <c r="G5070" s="25" t="n">
        <v>4</v>
      </c>
      <c r="H5070" s="25" t="n">
        <v>14</v>
      </c>
      <c r="I5070" s="25" t="inlineStr">
        <is>
          <t>2 minute(s) and 14 second(s)</t>
        </is>
      </c>
      <c r="J5070" s="25">
        <f>IFERROR(VALUE(TRIM(LEFT(I5070,FIND("minute",I5070)-1)))*60,0)+IFERROR(VALUE(SUBSTITUTE(MID(I5070,IFERROR(FIND("and",I5070)+3,1),20),"second(s)","")),0)</f>
        <v/>
      </c>
      <c r="K5070" s="41">
        <f>J5070/60</f>
        <v/>
      </c>
      <c r="L5070" s="41">
        <f>IFERROR(J5070/H5070,"")</f>
        <v/>
      </c>
      <c r="M5070" s="25" t="n">
        <v>3.5</v>
      </c>
      <c r="N5070" s="25">
        <f>IF(J5070&gt;300,1,0)</f>
        <v/>
      </c>
      <c r="O5070" s="25">
        <f>IF(J5070&gt;600,1,0)</f>
        <v/>
      </c>
      <c r="P5070" s="25">
        <f>IF(H5070&gt;0,J5070,"")</f>
        <v/>
      </c>
      <c r="Q5070" s="25">
        <f>TEXT(A5070,"YYYY-MM-DD HH")</f>
        <v/>
      </c>
      <c r="R5070" s="25">
        <f>COUNTIF($Q$2:$Q$5295,Q5070)</f>
        <v/>
      </c>
      <c r="S5070" s="25">
        <f>IF(R5070&lt;=2,"1-2",IF(R5070&lt;=5,"3-5",IF(R5070&lt;=10,"6-10","11+")))</f>
        <v/>
      </c>
    </row>
    <row r="5071">
      <c r="A5071" s="39" t="n">
        <v>46238.6797337963</v>
      </c>
      <c r="B5071" s="25">
        <f>TEXT(A5071,"YYYY-MM")</f>
        <v/>
      </c>
      <c r="C5071" s="25">
        <f>TEXT(A5071,"MMM-YYYY")</f>
        <v/>
      </c>
      <c r="D5071" s="40">
        <f>INT(A5071)-WEEKDAY(A5071,2)+1</f>
        <v/>
      </c>
      <c r="E5071" s="25" t="inlineStr">
        <is>
          <t>sswati</t>
        </is>
      </c>
      <c r="F5071" s="25" t="n">
        <v>134973</v>
      </c>
      <c r="G5071" s="25" t="n">
        <v>1</v>
      </c>
      <c r="H5071" s="25" t="n">
        <v>5</v>
      </c>
      <c r="I5071" s="25" t="inlineStr">
        <is>
          <t>51 second(s)</t>
        </is>
      </c>
      <c r="J5071" s="25">
        <f>IFERROR(VALUE(TRIM(LEFT(I5071,FIND("minute",I5071)-1)))*60,0)+IFERROR(VALUE(SUBSTITUTE(MID(I5071,IFERROR(FIND("and",I5071)+3,1),20),"second(s)","")),0)</f>
        <v/>
      </c>
      <c r="K5071" s="41">
        <f>J5071/60</f>
        <v/>
      </c>
      <c r="L5071" s="41">
        <f>IFERROR(J5071/H5071,"")</f>
        <v/>
      </c>
      <c r="M5071" s="25" t="n">
        <v>3.4</v>
      </c>
      <c r="N5071" s="25">
        <f>IF(J5071&gt;300,1,0)</f>
        <v/>
      </c>
      <c r="O5071" s="25">
        <f>IF(J5071&gt;600,1,0)</f>
        <v/>
      </c>
      <c r="P5071" s="25">
        <f>IF(H5071&gt;0,J5071,"")</f>
        <v/>
      </c>
      <c r="Q5071" s="25">
        <f>TEXT(A5071,"YYYY-MM-DD HH")</f>
        <v/>
      </c>
      <c r="R5071" s="25">
        <f>COUNTIF($Q$2:$Q$5295,Q5071)</f>
        <v/>
      </c>
      <c r="S5071" s="25">
        <f>IF(R5071&lt;=2,"1-2",IF(R5071&lt;=5,"3-5",IF(R5071&lt;=10,"6-10","11+")))</f>
        <v/>
      </c>
    </row>
    <row r="5072">
      <c r="A5072" s="39" t="n">
        <v>46238.69668981482</v>
      </c>
      <c r="B5072" s="25">
        <f>TEXT(A5072,"YYYY-MM")</f>
        <v/>
      </c>
      <c r="C5072" s="25">
        <f>TEXT(A5072,"MMM-YYYY")</f>
        <v/>
      </c>
      <c r="D5072" s="40">
        <f>INT(A5072)-WEEKDAY(A5072,2)+1</f>
        <v/>
      </c>
      <c r="E5072" s="25" t="inlineStr">
        <is>
          <t>mbhalla</t>
        </is>
      </c>
      <c r="F5072" s="25" t="n">
        <v>136765</v>
      </c>
      <c r="G5072" s="25" t="n">
        <v>4</v>
      </c>
      <c r="H5072" s="25" t="n">
        <v>24</v>
      </c>
      <c r="I5072" s="25" t="inlineStr">
        <is>
          <t>2 minute(s) and 48 second(s)</t>
        </is>
      </c>
      <c r="J5072" s="25">
        <f>IFERROR(VALUE(TRIM(LEFT(I5072,FIND("minute",I5072)-1)))*60,0)+IFERROR(VALUE(SUBSTITUTE(MID(I5072,IFERROR(FIND("and",I5072)+3,1),20),"second(s)","")),0)</f>
        <v/>
      </c>
      <c r="K5072" s="41">
        <f>J5072/60</f>
        <v/>
      </c>
      <c r="L5072" s="41">
        <f>IFERROR(J5072/H5072,"")</f>
        <v/>
      </c>
      <c r="M5072" s="25" t="n">
        <v>3.4</v>
      </c>
      <c r="N5072" s="25">
        <f>IF(J5072&gt;300,1,0)</f>
        <v/>
      </c>
      <c r="O5072" s="25">
        <f>IF(J5072&gt;600,1,0)</f>
        <v/>
      </c>
      <c r="P5072" s="25">
        <f>IF(H5072&gt;0,J5072,"")</f>
        <v/>
      </c>
      <c r="Q5072" s="25">
        <f>TEXT(A5072,"YYYY-MM-DD HH")</f>
        <v/>
      </c>
      <c r="R5072" s="25">
        <f>COUNTIF($Q$2:$Q$5295,Q5072)</f>
        <v/>
      </c>
      <c r="S5072" s="25">
        <f>IF(R5072&lt;=2,"1-2",IF(R5072&lt;=5,"3-5",IF(R5072&lt;=10,"6-10","11+")))</f>
        <v/>
      </c>
    </row>
    <row r="5073">
      <c r="A5073" s="39" t="n">
        <v>46238.69846064815</v>
      </c>
      <c r="B5073" s="25">
        <f>TEXT(A5073,"YYYY-MM")</f>
        <v/>
      </c>
      <c r="C5073" s="25">
        <f>TEXT(A5073,"MMM-YYYY")</f>
        <v/>
      </c>
      <c r="D5073" s="40">
        <f>INT(A5073)-WEEKDAY(A5073,2)+1</f>
        <v/>
      </c>
      <c r="E5073" s="25" t="inlineStr">
        <is>
          <t>ssaha</t>
        </is>
      </c>
      <c r="F5073" s="25" t="n">
        <v>134941</v>
      </c>
      <c r="G5073" s="25" t="n">
        <v>1</v>
      </c>
      <c r="H5073" s="25" t="n">
        <v>5</v>
      </c>
      <c r="I5073" s="25" t="inlineStr">
        <is>
          <t>47 second(s)</t>
        </is>
      </c>
      <c r="J5073" s="25">
        <f>IFERROR(VALUE(TRIM(LEFT(I5073,FIND("minute",I5073)-1)))*60,0)+IFERROR(VALUE(SUBSTITUTE(MID(I5073,IFERROR(FIND("and",I5073)+3,1),20),"second(s)","")),0)</f>
        <v/>
      </c>
      <c r="K5073" s="41">
        <f>J5073/60</f>
        <v/>
      </c>
      <c r="L5073" s="41">
        <f>IFERROR(J5073/H5073,"")</f>
        <v/>
      </c>
      <c r="M5073" s="25" t="n">
        <v>3.5</v>
      </c>
      <c r="N5073" s="25">
        <f>IF(J5073&gt;300,1,0)</f>
        <v/>
      </c>
      <c r="O5073" s="25">
        <f>IF(J5073&gt;600,1,0)</f>
        <v/>
      </c>
      <c r="P5073" s="25">
        <f>IF(H5073&gt;0,J5073,"")</f>
        <v/>
      </c>
      <c r="Q5073" s="25">
        <f>TEXT(A5073,"YYYY-MM-DD HH")</f>
        <v/>
      </c>
      <c r="R5073" s="25">
        <f>COUNTIF($Q$2:$Q$5295,Q5073)</f>
        <v/>
      </c>
      <c r="S5073" s="25">
        <f>IF(R5073&lt;=2,"1-2",IF(R5073&lt;=5,"3-5",IF(R5073&lt;=10,"6-10","11+")))</f>
        <v/>
      </c>
    </row>
    <row r="5074">
      <c r="A5074" s="39" t="n">
        <v>46238.70164351852</v>
      </c>
      <c r="B5074" s="25">
        <f>TEXT(A5074,"YYYY-MM")</f>
        <v/>
      </c>
      <c r="C5074" s="25">
        <f>TEXT(A5074,"MMM-YYYY")</f>
        <v/>
      </c>
      <c r="D5074" s="40">
        <f>INT(A5074)-WEEKDAY(A5074,2)+1</f>
        <v/>
      </c>
      <c r="E5074" s="25" t="inlineStr">
        <is>
          <t>sswati</t>
        </is>
      </c>
      <c r="F5074" s="25" t="n">
        <v>134965</v>
      </c>
      <c r="G5074" s="25" t="n">
        <v>1</v>
      </c>
      <c r="H5074" s="25" t="n">
        <v>5</v>
      </c>
      <c r="I5074" s="25" t="inlineStr">
        <is>
          <t>50 second(s)</t>
        </is>
      </c>
      <c r="J5074" s="25">
        <f>IFERROR(VALUE(TRIM(LEFT(I5074,FIND("minute",I5074)-1)))*60,0)+IFERROR(VALUE(SUBSTITUTE(MID(I5074,IFERROR(FIND("and",I5074)+3,1),20),"second(s)","")),0)</f>
        <v/>
      </c>
      <c r="K5074" s="41">
        <f>J5074/60</f>
        <v/>
      </c>
      <c r="L5074" s="41">
        <f>IFERROR(J5074/H5074,"")</f>
        <v/>
      </c>
      <c r="M5074" s="25" t="n">
        <v>3.4</v>
      </c>
      <c r="N5074" s="25">
        <f>IF(J5074&gt;300,1,0)</f>
        <v/>
      </c>
      <c r="O5074" s="25">
        <f>IF(J5074&gt;600,1,0)</f>
        <v/>
      </c>
      <c r="P5074" s="25">
        <f>IF(H5074&gt;0,J5074,"")</f>
        <v/>
      </c>
      <c r="Q5074" s="25">
        <f>TEXT(A5074,"YYYY-MM-DD HH")</f>
        <v/>
      </c>
      <c r="R5074" s="25">
        <f>COUNTIF($Q$2:$Q$5295,Q5074)</f>
        <v/>
      </c>
      <c r="S5074" s="25">
        <f>IF(R5074&lt;=2,"1-2",IF(R5074&lt;=5,"3-5",IF(R5074&lt;=10,"6-10","11+")))</f>
        <v/>
      </c>
    </row>
    <row r="5075">
      <c r="A5075" s="39" t="n">
        <v>46238.70407407408</v>
      </c>
      <c r="B5075" s="25">
        <f>TEXT(A5075,"YYYY-MM")</f>
        <v/>
      </c>
      <c r="C5075" s="25">
        <f>TEXT(A5075,"MMM-YYYY")</f>
        <v/>
      </c>
      <c r="D5075" s="40">
        <f>INT(A5075)-WEEKDAY(A5075,2)+1</f>
        <v/>
      </c>
      <c r="E5075" s="25" t="inlineStr">
        <is>
          <t>sswati</t>
        </is>
      </c>
      <c r="F5075" s="25" t="n">
        <v>134965</v>
      </c>
      <c r="G5075" s="25" t="n">
        <v>1</v>
      </c>
      <c r="H5075" s="25" t="n">
        <v>6</v>
      </c>
      <c r="I5075" s="25" t="inlineStr">
        <is>
          <t>55 second(s)</t>
        </is>
      </c>
      <c r="J5075" s="25">
        <f>IFERROR(VALUE(TRIM(LEFT(I5075,FIND("minute",I5075)-1)))*60,0)+IFERROR(VALUE(SUBSTITUTE(MID(I5075,IFERROR(FIND("and",I5075)+3,1),20),"second(s)","")),0)</f>
        <v/>
      </c>
      <c r="K5075" s="41">
        <f>J5075/60</f>
        <v/>
      </c>
      <c r="L5075" s="41">
        <f>IFERROR(J5075/H5075,"")</f>
        <v/>
      </c>
      <c r="M5075" s="25" t="n">
        <v>3.4</v>
      </c>
      <c r="N5075" s="25">
        <f>IF(J5075&gt;300,1,0)</f>
        <v/>
      </c>
      <c r="O5075" s="25">
        <f>IF(J5075&gt;600,1,0)</f>
        <v/>
      </c>
      <c r="P5075" s="25">
        <f>IF(H5075&gt;0,J5075,"")</f>
        <v/>
      </c>
      <c r="Q5075" s="25">
        <f>TEXT(A5075,"YYYY-MM-DD HH")</f>
        <v/>
      </c>
      <c r="R5075" s="25">
        <f>COUNTIF($Q$2:$Q$5295,Q5075)</f>
        <v/>
      </c>
      <c r="S5075" s="25">
        <f>IF(R5075&lt;=2,"1-2",IF(R5075&lt;=5,"3-5",IF(R5075&lt;=10,"6-10","11+")))</f>
        <v/>
      </c>
    </row>
    <row r="5076">
      <c r="A5076" s="39" t="n">
        <v>46238.71951388889</v>
      </c>
      <c r="B5076" s="25">
        <f>TEXT(A5076,"YYYY-MM")</f>
        <v/>
      </c>
      <c r="C5076" s="25">
        <f>TEXT(A5076,"MMM-YYYY")</f>
        <v/>
      </c>
      <c r="D5076" s="40">
        <f>INT(A5076)-WEEKDAY(A5076,2)+1</f>
        <v/>
      </c>
      <c r="E5076" s="25" t="inlineStr">
        <is>
          <t>vraina</t>
        </is>
      </c>
      <c r="F5076" s="25" t="n">
        <v>135333</v>
      </c>
      <c r="G5076" s="25" t="n">
        <v>2</v>
      </c>
      <c r="H5076" s="25" t="n">
        <v>6</v>
      </c>
      <c r="I5076" s="25" t="inlineStr">
        <is>
          <t>55 second(s)</t>
        </is>
      </c>
      <c r="J5076" s="25">
        <f>IFERROR(VALUE(TRIM(LEFT(I5076,FIND("minute",I5076)-1)))*60,0)+IFERROR(VALUE(SUBSTITUTE(MID(I5076,IFERROR(FIND("and",I5076)+3,1),20),"second(s)","")),0)</f>
        <v/>
      </c>
      <c r="K5076" s="41">
        <f>J5076/60</f>
        <v/>
      </c>
      <c r="L5076" s="41">
        <f>IFERROR(J5076/H5076,"")</f>
        <v/>
      </c>
      <c r="M5076" s="25" t="n">
        <v>3.4</v>
      </c>
      <c r="N5076" s="25">
        <f>IF(J5076&gt;300,1,0)</f>
        <v/>
      </c>
      <c r="O5076" s="25">
        <f>IF(J5076&gt;600,1,0)</f>
        <v/>
      </c>
      <c r="P5076" s="25">
        <f>IF(H5076&gt;0,J5076,"")</f>
        <v/>
      </c>
      <c r="Q5076" s="25">
        <f>TEXT(A5076,"YYYY-MM-DD HH")</f>
        <v/>
      </c>
      <c r="R5076" s="25">
        <f>COUNTIF($Q$2:$Q$5295,Q5076)</f>
        <v/>
      </c>
      <c r="S5076" s="25">
        <f>IF(R5076&lt;=2,"1-2",IF(R5076&lt;=5,"3-5",IF(R5076&lt;=10,"6-10","11+")))</f>
        <v/>
      </c>
    </row>
    <row r="5077">
      <c r="A5077" s="39" t="n">
        <v>46238.77127314815</v>
      </c>
      <c r="B5077" s="25">
        <f>TEXT(A5077,"YYYY-MM")</f>
        <v/>
      </c>
      <c r="C5077" s="25">
        <f>TEXT(A5077,"MMM-YYYY")</f>
        <v/>
      </c>
      <c r="D5077" s="40">
        <f>INT(A5077)-WEEKDAY(A5077,2)+1</f>
        <v/>
      </c>
      <c r="E5077" s="25" t="inlineStr">
        <is>
          <t>dchoudhury</t>
        </is>
      </c>
      <c r="F5077" s="25" t="n">
        <v>139449</v>
      </c>
      <c r="G5077" s="25" t="n">
        <v>4</v>
      </c>
      <c r="H5077" s="25" t="n">
        <v>14</v>
      </c>
      <c r="I5077" s="25" t="inlineStr">
        <is>
          <t>1 minute(s) and 58 second(s)</t>
        </is>
      </c>
      <c r="J5077" s="25">
        <f>IFERROR(VALUE(TRIM(LEFT(I5077,FIND("minute",I5077)-1)))*60,0)+IFERROR(VALUE(SUBSTITUTE(MID(I5077,IFERROR(FIND("and",I5077)+3,1),20),"second(s)","")),0)</f>
        <v/>
      </c>
      <c r="K5077" s="41">
        <f>J5077/60</f>
        <v/>
      </c>
      <c r="L5077" s="41">
        <f>IFERROR(J5077/H5077,"")</f>
        <v/>
      </c>
      <c r="M5077" s="25" t="n">
        <v>3.4</v>
      </c>
      <c r="N5077" s="25">
        <f>IF(J5077&gt;300,1,0)</f>
        <v/>
      </c>
      <c r="O5077" s="25">
        <f>IF(J5077&gt;600,1,0)</f>
        <v/>
      </c>
      <c r="P5077" s="25">
        <f>IF(H5077&gt;0,J5077,"")</f>
        <v/>
      </c>
      <c r="Q5077" s="25">
        <f>TEXT(A5077,"YYYY-MM-DD HH")</f>
        <v/>
      </c>
      <c r="R5077" s="25">
        <f>COUNTIF($Q$2:$Q$5295,Q5077)</f>
        <v/>
      </c>
      <c r="S5077" s="25">
        <f>IF(R5077&lt;=2,"1-2",IF(R5077&lt;=5,"3-5",IF(R5077&lt;=10,"6-10","11+")))</f>
        <v/>
      </c>
    </row>
    <row r="5078">
      <c r="A5078" s="39" t="n">
        <v>46239.01864583333</v>
      </c>
      <c r="B5078" s="25">
        <f>TEXT(A5078,"YYYY-MM")</f>
        <v/>
      </c>
      <c r="C5078" s="25">
        <f>TEXT(A5078,"MMM-YYYY")</f>
        <v/>
      </c>
      <c r="D5078" s="40">
        <f>INT(A5078)-WEEKDAY(A5078,2)+1</f>
        <v/>
      </c>
      <c r="E5078" s="25" t="inlineStr">
        <is>
          <t>shasikha</t>
        </is>
      </c>
      <c r="F5078" s="25" t="n">
        <v>137477</v>
      </c>
      <c r="G5078" s="25" t="n">
        <v>4</v>
      </c>
      <c r="H5078" s="25" t="n">
        <v>27</v>
      </c>
      <c r="I5078" s="25" t="inlineStr">
        <is>
          <t>3 minute(s) and 32 second(s)</t>
        </is>
      </c>
      <c r="J5078" s="25">
        <f>IFERROR(VALUE(TRIM(LEFT(I5078,FIND("minute",I5078)-1)))*60,0)+IFERROR(VALUE(SUBSTITUTE(MID(I5078,IFERROR(FIND("and",I5078)+3,1),20),"second(s)","")),0)</f>
        <v/>
      </c>
      <c r="K5078" s="41">
        <f>J5078/60</f>
        <v/>
      </c>
      <c r="L5078" s="41">
        <f>IFERROR(J5078/H5078,"")</f>
        <v/>
      </c>
      <c r="M5078" s="25" t="n">
        <v>3.4</v>
      </c>
      <c r="N5078" s="25">
        <f>IF(J5078&gt;300,1,0)</f>
        <v/>
      </c>
      <c r="O5078" s="25">
        <f>IF(J5078&gt;600,1,0)</f>
        <v/>
      </c>
      <c r="P5078" s="25">
        <f>IF(H5078&gt;0,J5078,"")</f>
        <v/>
      </c>
      <c r="Q5078" s="25">
        <f>TEXT(A5078,"YYYY-MM-DD HH")</f>
        <v/>
      </c>
      <c r="R5078" s="25">
        <f>COUNTIF($Q$2:$Q$5295,Q5078)</f>
        <v/>
      </c>
      <c r="S5078" s="25">
        <f>IF(R5078&lt;=2,"1-2",IF(R5078&lt;=5,"3-5",IF(R5078&lt;=10,"6-10","11+")))</f>
        <v/>
      </c>
    </row>
    <row r="5079">
      <c r="A5079" s="39" t="n">
        <v>46239.06900462963</v>
      </c>
      <c r="B5079" s="25">
        <f>TEXT(A5079,"YYYY-MM")</f>
        <v/>
      </c>
      <c r="C5079" s="25">
        <f>TEXT(A5079,"MMM-YYYY")</f>
        <v/>
      </c>
      <c r="D5079" s="40">
        <f>INT(A5079)-WEEKDAY(A5079,2)+1</f>
        <v/>
      </c>
      <c r="E5079" s="25" t="inlineStr">
        <is>
          <t>sasharma</t>
        </is>
      </c>
      <c r="F5079" s="25" t="n">
        <v>137361</v>
      </c>
      <c r="G5079" s="25" t="n">
        <v>4</v>
      </c>
      <c r="H5079" s="25" t="n">
        <v>21</v>
      </c>
      <c r="I5079" s="25" t="inlineStr">
        <is>
          <t>2 minute(s) and 41 second(s)</t>
        </is>
      </c>
      <c r="J5079" s="25">
        <f>IFERROR(VALUE(TRIM(LEFT(I5079,FIND("minute",I5079)-1)))*60,0)+IFERROR(VALUE(SUBSTITUTE(MID(I5079,IFERROR(FIND("and",I5079)+3,1),20),"second(s)","")),0)</f>
        <v/>
      </c>
      <c r="K5079" s="41">
        <f>J5079/60</f>
        <v/>
      </c>
      <c r="L5079" s="41">
        <f>IFERROR(J5079/H5079,"")</f>
        <v/>
      </c>
      <c r="M5079" s="25" t="inlineStr">
        <is>
          <t>2.5.12</t>
        </is>
      </c>
      <c r="N5079" s="25">
        <f>IF(J5079&gt;300,1,0)</f>
        <v/>
      </c>
      <c r="O5079" s="25">
        <f>IF(J5079&gt;600,1,0)</f>
        <v/>
      </c>
      <c r="P5079" s="25">
        <f>IF(H5079&gt;0,J5079,"")</f>
        <v/>
      </c>
      <c r="Q5079" s="25">
        <f>TEXT(A5079,"YYYY-MM-DD HH")</f>
        <v/>
      </c>
      <c r="R5079" s="25">
        <f>COUNTIF($Q$2:$Q$5295,Q5079)</f>
        <v/>
      </c>
      <c r="S5079" s="25">
        <f>IF(R5079&lt;=2,"1-2",IF(R5079&lt;=5,"3-5",IF(R5079&lt;=10,"6-10","11+")))</f>
        <v/>
      </c>
    </row>
    <row r="5080">
      <c r="A5080" s="39" t="n">
        <v>46239.07680555555</v>
      </c>
      <c r="B5080" s="25">
        <f>TEXT(A5080,"YYYY-MM")</f>
        <v/>
      </c>
      <c r="C5080" s="25">
        <f>TEXT(A5080,"MMM-YYYY")</f>
        <v/>
      </c>
      <c r="D5080" s="40">
        <f>INT(A5080)-WEEKDAY(A5080,2)+1</f>
        <v/>
      </c>
      <c r="E5080" s="25" t="inlineStr">
        <is>
          <t>psathwika</t>
        </is>
      </c>
      <c r="F5080" s="25" t="n">
        <v>132848</v>
      </c>
      <c r="G5080" s="25" t="n">
        <v>3</v>
      </c>
      <c r="H5080" s="25" t="n">
        <v>19</v>
      </c>
      <c r="I5080" s="25" t="inlineStr">
        <is>
          <t>1 minute(s) and 46 second(s)</t>
        </is>
      </c>
      <c r="J5080" s="25">
        <f>IFERROR(VALUE(TRIM(LEFT(I5080,FIND("minute",I5080)-1)))*60,0)+IFERROR(VALUE(SUBSTITUTE(MID(I5080,IFERROR(FIND("and",I5080)+3,1),20),"second(s)","")),0)</f>
        <v/>
      </c>
      <c r="K5080" s="41">
        <f>J5080/60</f>
        <v/>
      </c>
      <c r="L5080" s="41">
        <f>IFERROR(J5080/H5080,"")</f>
        <v/>
      </c>
      <c r="M5080" s="25" t="inlineStr">
        <is>
          <t>2.5.12</t>
        </is>
      </c>
      <c r="N5080" s="25">
        <f>IF(J5080&gt;300,1,0)</f>
        <v/>
      </c>
      <c r="O5080" s="25">
        <f>IF(J5080&gt;600,1,0)</f>
        <v/>
      </c>
      <c r="P5080" s="25">
        <f>IF(H5080&gt;0,J5080,"")</f>
        <v/>
      </c>
      <c r="Q5080" s="25">
        <f>TEXT(A5080,"YYYY-MM-DD HH")</f>
        <v/>
      </c>
      <c r="R5080" s="25">
        <f>COUNTIF($Q$2:$Q$5295,Q5080)</f>
        <v/>
      </c>
      <c r="S5080" s="25">
        <f>IF(R5080&lt;=2,"1-2",IF(R5080&lt;=5,"3-5",IF(R5080&lt;=10,"6-10","11+")))</f>
        <v/>
      </c>
    </row>
    <row r="5081">
      <c r="A5081" s="39" t="n">
        <v>46239.08082175926</v>
      </c>
      <c r="B5081" s="25">
        <f>TEXT(A5081,"YYYY-MM")</f>
        <v/>
      </c>
      <c r="C5081" s="25">
        <f>TEXT(A5081,"MMM-YYYY")</f>
        <v/>
      </c>
      <c r="D5081" s="40">
        <f>INT(A5081)-WEEKDAY(A5081,2)+1</f>
        <v/>
      </c>
      <c r="E5081" s="25" t="inlineStr">
        <is>
          <t>ns</t>
        </is>
      </c>
      <c r="F5081" s="25" t="n">
        <v>136861</v>
      </c>
      <c r="G5081" s="25" t="n">
        <v>1</v>
      </c>
      <c r="H5081" s="25" t="n">
        <v>5</v>
      </c>
      <c r="I5081" s="25" t="inlineStr">
        <is>
          <t>48 second(s)</t>
        </is>
      </c>
      <c r="J5081" s="25">
        <f>IFERROR(VALUE(TRIM(LEFT(I5081,FIND("minute",I5081)-1)))*60,0)+IFERROR(VALUE(SUBSTITUTE(MID(I5081,IFERROR(FIND("and",I5081)+3,1),20),"second(s)","")),0)</f>
        <v/>
      </c>
      <c r="K5081" s="41">
        <f>J5081/60</f>
        <v/>
      </c>
      <c r="L5081" s="41">
        <f>IFERROR(J5081/H5081,"")</f>
        <v/>
      </c>
      <c r="M5081" s="25" t="n">
        <v>3.4</v>
      </c>
      <c r="N5081" s="25">
        <f>IF(J5081&gt;300,1,0)</f>
        <v/>
      </c>
      <c r="O5081" s="25">
        <f>IF(J5081&gt;600,1,0)</f>
        <v/>
      </c>
      <c r="P5081" s="25">
        <f>IF(H5081&gt;0,J5081,"")</f>
        <v/>
      </c>
      <c r="Q5081" s="25">
        <f>TEXT(A5081,"YYYY-MM-DD HH")</f>
        <v/>
      </c>
      <c r="R5081" s="25">
        <f>COUNTIF($Q$2:$Q$5295,Q5081)</f>
        <v/>
      </c>
      <c r="S5081" s="25">
        <f>IF(R5081&lt;=2,"1-2",IF(R5081&lt;=5,"3-5",IF(R5081&lt;=10,"6-10","11+")))</f>
        <v/>
      </c>
    </row>
    <row r="5082">
      <c r="A5082" s="39" t="n">
        <v>46239.086875</v>
      </c>
      <c r="B5082" s="25">
        <f>TEXT(A5082,"YYYY-MM")</f>
        <v/>
      </c>
      <c r="C5082" s="25">
        <f>TEXT(A5082,"MMM-YYYY")</f>
        <v/>
      </c>
      <c r="D5082" s="40">
        <f>INT(A5082)-WEEKDAY(A5082,2)+1</f>
        <v/>
      </c>
      <c r="E5082" s="25" t="inlineStr">
        <is>
          <t>shassan</t>
        </is>
      </c>
      <c r="F5082" s="25" t="n">
        <v>137397</v>
      </c>
      <c r="G5082" s="25" t="n">
        <v>2</v>
      </c>
      <c r="H5082" s="25" t="n">
        <v>14</v>
      </c>
      <c r="I5082" s="25" t="inlineStr">
        <is>
          <t>2 minute(s) and 2 second(s)</t>
        </is>
      </c>
      <c r="J5082" s="25">
        <f>IFERROR(VALUE(TRIM(LEFT(I5082,FIND("minute",I5082)-1)))*60,0)+IFERROR(VALUE(SUBSTITUTE(MID(I5082,IFERROR(FIND("and",I5082)+3,1),20),"second(s)","")),0)</f>
        <v/>
      </c>
      <c r="K5082" s="41">
        <f>J5082/60</f>
        <v/>
      </c>
      <c r="L5082" s="41">
        <f>IFERROR(J5082/H5082,"")</f>
        <v/>
      </c>
      <c r="M5082" s="25" t="n">
        <v>3.4</v>
      </c>
      <c r="N5082" s="25">
        <f>IF(J5082&gt;300,1,0)</f>
        <v/>
      </c>
      <c r="O5082" s="25">
        <f>IF(J5082&gt;600,1,0)</f>
        <v/>
      </c>
      <c r="P5082" s="25">
        <f>IF(H5082&gt;0,J5082,"")</f>
        <v/>
      </c>
      <c r="Q5082" s="25">
        <f>TEXT(A5082,"YYYY-MM-DD HH")</f>
        <v/>
      </c>
      <c r="R5082" s="25">
        <f>COUNTIF($Q$2:$Q$5295,Q5082)</f>
        <v/>
      </c>
      <c r="S5082" s="25">
        <f>IF(R5082&lt;=2,"1-2",IF(R5082&lt;=5,"3-5",IF(R5082&lt;=10,"6-10","11+")))</f>
        <v/>
      </c>
    </row>
    <row r="5083">
      <c r="A5083" s="39" t="n">
        <v>46239.09605324074</v>
      </c>
      <c r="B5083" s="25">
        <f>TEXT(A5083,"YYYY-MM")</f>
        <v/>
      </c>
      <c r="C5083" s="25">
        <f>TEXT(A5083,"MMM-YYYY")</f>
        <v/>
      </c>
      <c r="D5083" s="40">
        <f>INT(A5083)-WEEKDAY(A5083,2)+1</f>
        <v/>
      </c>
      <c r="E5083" s="25" t="inlineStr">
        <is>
          <t>dchoudhury</t>
        </is>
      </c>
      <c r="F5083" s="25" t="n">
        <v>139433</v>
      </c>
      <c r="G5083" s="25" t="n">
        <v>2</v>
      </c>
      <c r="H5083" s="25" t="n">
        <v>8</v>
      </c>
      <c r="I5083" s="25" t="inlineStr">
        <is>
          <t>1 minute(s) and 17 second(s)</t>
        </is>
      </c>
      <c r="J5083" s="25">
        <f>IFERROR(VALUE(TRIM(LEFT(I5083,FIND("minute",I5083)-1)))*60,0)+IFERROR(VALUE(SUBSTITUTE(MID(I5083,IFERROR(FIND("and",I5083)+3,1),20),"second(s)","")),0)</f>
        <v/>
      </c>
      <c r="K5083" s="41">
        <f>J5083/60</f>
        <v/>
      </c>
      <c r="L5083" s="41">
        <f>IFERROR(J5083/H5083,"")</f>
        <v/>
      </c>
      <c r="M5083" s="25" t="n">
        <v>3.4</v>
      </c>
      <c r="N5083" s="25">
        <f>IF(J5083&gt;300,1,0)</f>
        <v/>
      </c>
      <c r="O5083" s="25">
        <f>IF(J5083&gt;600,1,0)</f>
        <v/>
      </c>
      <c r="P5083" s="25">
        <f>IF(H5083&gt;0,J5083,"")</f>
        <v/>
      </c>
      <c r="Q5083" s="25">
        <f>TEXT(A5083,"YYYY-MM-DD HH")</f>
        <v/>
      </c>
      <c r="R5083" s="25">
        <f>COUNTIF($Q$2:$Q$5295,Q5083)</f>
        <v/>
      </c>
      <c r="S5083" s="25">
        <f>IF(R5083&lt;=2,"1-2",IF(R5083&lt;=5,"3-5",IF(R5083&lt;=10,"6-10","11+")))</f>
        <v/>
      </c>
    </row>
    <row r="5084">
      <c r="A5084" s="39" t="n">
        <v>46239.1009375</v>
      </c>
      <c r="B5084" s="25">
        <f>TEXT(A5084,"YYYY-MM")</f>
        <v/>
      </c>
      <c r="C5084" s="25">
        <f>TEXT(A5084,"MMM-YYYY")</f>
        <v/>
      </c>
      <c r="D5084" s="40">
        <f>INT(A5084)-WEEKDAY(A5084,2)+1</f>
        <v/>
      </c>
      <c r="E5084" s="25" t="inlineStr">
        <is>
          <t>mgupta</t>
        </is>
      </c>
      <c r="F5084" s="25" t="n">
        <v>135393</v>
      </c>
      <c r="G5084" s="25" t="n">
        <v>2</v>
      </c>
      <c r="H5084" s="25" t="n">
        <v>6</v>
      </c>
      <c r="I5084" s="25" t="inlineStr">
        <is>
          <t>1 minute(s) and 11 second(s)</t>
        </is>
      </c>
      <c r="J5084" s="25">
        <f>IFERROR(VALUE(TRIM(LEFT(I5084,FIND("minute",I5084)-1)))*60,0)+IFERROR(VALUE(SUBSTITUTE(MID(I5084,IFERROR(FIND("and",I5084)+3,1),20),"second(s)","")),0)</f>
        <v/>
      </c>
      <c r="K5084" s="41">
        <f>J5084/60</f>
        <v/>
      </c>
      <c r="L5084" s="41">
        <f>IFERROR(J5084/H5084,"")</f>
        <v/>
      </c>
      <c r="M5084" s="25" t="n">
        <v>3.5</v>
      </c>
      <c r="N5084" s="25">
        <f>IF(J5084&gt;300,1,0)</f>
        <v/>
      </c>
      <c r="O5084" s="25">
        <f>IF(J5084&gt;600,1,0)</f>
        <v/>
      </c>
      <c r="P5084" s="25">
        <f>IF(H5084&gt;0,J5084,"")</f>
        <v/>
      </c>
      <c r="Q5084" s="25">
        <f>TEXT(A5084,"YYYY-MM-DD HH")</f>
        <v/>
      </c>
      <c r="R5084" s="25">
        <f>COUNTIF($Q$2:$Q$5295,Q5084)</f>
        <v/>
      </c>
      <c r="S5084" s="25">
        <f>IF(R5084&lt;=2,"1-2",IF(R5084&lt;=5,"3-5",IF(R5084&lt;=10,"6-10","11+")))</f>
        <v/>
      </c>
    </row>
    <row r="5085">
      <c r="A5085" s="39" t="n">
        <v>46239.1183912037</v>
      </c>
      <c r="B5085" s="25">
        <f>TEXT(A5085,"YYYY-MM")</f>
        <v/>
      </c>
      <c r="C5085" s="25">
        <f>TEXT(A5085,"MMM-YYYY")</f>
        <v/>
      </c>
      <c r="D5085" s="40">
        <f>INT(A5085)-WEEKDAY(A5085,2)+1</f>
        <v/>
      </c>
      <c r="E5085" s="25" t="inlineStr">
        <is>
          <t>stiwari</t>
        </is>
      </c>
      <c r="F5085" s="25" t="n">
        <v>134885</v>
      </c>
      <c r="G5085" s="25" t="n">
        <v>3</v>
      </c>
      <c r="H5085" s="25" t="n">
        <v>15</v>
      </c>
      <c r="I5085" s="25" t="inlineStr">
        <is>
          <t>1 minute(s) and 39 second(s)</t>
        </is>
      </c>
      <c r="J5085" s="25">
        <f>IFERROR(VALUE(TRIM(LEFT(I5085,FIND("minute",I5085)-1)))*60,0)+IFERROR(VALUE(SUBSTITUTE(MID(I5085,IFERROR(FIND("and",I5085)+3,1),20),"second(s)","")),0)</f>
        <v/>
      </c>
      <c r="K5085" s="41">
        <f>J5085/60</f>
        <v/>
      </c>
      <c r="L5085" s="41">
        <f>IFERROR(J5085/H5085,"")</f>
        <v/>
      </c>
      <c r="M5085" s="25" t="n">
        <v>3.4</v>
      </c>
      <c r="N5085" s="25">
        <f>IF(J5085&gt;300,1,0)</f>
        <v/>
      </c>
      <c r="O5085" s="25">
        <f>IF(J5085&gt;600,1,0)</f>
        <v/>
      </c>
      <c r="P5085" s="25">
        <f>IF(H5085&gt;0,J5085,"")</f>
        <v/>
      </c>
      <c r="Q5085" s="25">
        <f>TEXT(A5085,"YYYY-MM-DD HH")</f>
        <v/>
      </c>
      <c r="R5085" s="25">
        <f>COUNTIF($Q$2:$Q$5295,Q5085)</f>
        <v/>
      </c>
      <c r="S5085" s="25">
        <f>IF(R5085&lt;=2,"1-2",IF(R5085&lt;=5,"3-5",IF(R5085&lt;=10,"6-10","11+")))</f>
        <v/>
      </c>
    </row>
    <row r="5086">
      <c r="A5086" s="39" t="n">
        <v>46239.11951388889</v>
      </c>
      <c r="B5086" s="25">
        <f>TEXT(A5086,"YYYY-MM")</f>
        <v/>
      </c>
      <c r="C5086" s="25">
        <f>TEXT(A5086,"MMM-YYYY")</f>
        <v/>
      </c>
      <c r="D5086" s="40">
        <f>INT(A5086)-WEEKDAY(A5086,2)+1</f>
        <v/>
      </c>
      <c r="E5086" s="25" t="inlineStr">
        <is>
          <t>psathwika</t>
        </is>
      </c>
      <c r="F5086" s="25" t="n">
        <v>136981</v>
      </c>
      <c r="G5086" s="25" t="n">
        <v>1</v>
      </c>
      <c r="H5086" s="25" t="n">
        <v>7</v>
      </c>
      <c r="I5086" s="25" t="inlineStr">
        <is>
          <t>34 second(s)</t>
        </is>
      </c>
      <c r="J5086" s="25">
        <f>IFERROR(VALUE(TRIM(LEFT(I5086,FIND("minute",I5086)-1)))*60,0)+IFERROR(VALUE(SUBSTITUTE(MID(I5086,IFERROR(FIND("and",I5086)+3,1),20),"second(s)","")),0)</f>
        <v/>
      </c>
      <c r="K5086" s="41">
        <f>J5086/60</f>
        <v/>
      </c>
      <c r="L5086" s="41">
        <f>IFERROR(J5086/H5086,"")</f>
        <v/>
      </c>
      <c r="M5086" s="25" t="inlineStr">
        <is>
          <t>2.5.12</t>
        </is>
      </c>
      <c r="N5086" s="25">
        <f>IF(J5086&gt;300,1,0)</f>
        <v/>
      </c>
      <c r="O5086" s="25">
        <f>IF(J5086&gt;600,1,0)</f>
        <v/>
      </c>
      <c r="P5086" s="25">
        <f>IF(H5086&gt;0,J5086,"")</f>
        <v/>
      </c>
      <c r="Q5086" s="25">
        <f>TEXT(A5086,"YYYY-MM-DD HH")</f>
        <v/>
      </c>
      <c r="R5086" s="25">
        <f>COUNTIF($Q$2:$Q$5295,Q5086)</f>
        <v/>
      </c>
      <c r="S5086" s="25">
        <f>IF(R5086&lt;=2,"1-2",IF(R5086&lt;=5,"3-5",IF(R5086&lt;=10,"6-10","11+")))</f>
        <v/>
      </c>
    </row>
    <row r="5087">
      <c r="A5087" s="39" t="n">
        <v>46239.13689814815</v>
      </c>
      <c r="B5087" s="25">
        <f>TEXT(A5087,"YYYY-MM")</f>
        <v/>
      </c>
      <c r="C5087" s="25">
        <f>TEXT(A5087,"MMM-YYYY")</f>
        <v/>
      </c>
      <c r="D5087" s="40">
        <f>INT(A5087)-WEEKDAY(A5087,2)+1</f>
        <v/>
      </c>
      <c r="E5087" s="25" t="inlineStr">
        <is>
          <t>ns</t>
        </is>
      </c>
      <c r="F5087" s="25" t="n">
        <v>136837</v>
      </c>
      <c r="G5087" s="25" t="n">
        <v>4</v>
      </c>
      <c r="H5087" s="25" t="n">
        <v>14</v>
      </c>
      <c r="I5087" s="25" t="inlineStr">
        <is>
          <t>1 minute(s) and 56 second(s)</t>
        </is>
      </c>
      <c r="J5087" s="25">
        <f>IFERROR(VALUE(TRIM(LEFT(I5087,FIND("minute",I5087)-1)))*60,0)+IFERROR(VALUE(SUBSTITUTE(MID(I5087,IFERROR(FIND("and",I5087)+3,1),20),"second(s)","")),0)</f>
        <v/>
      </c>
      <c r="K5087" s="41">
        <f>J5087/60</f>
        <v/>
      </c>
      <c r="L5087" s="41">
        <f>IFERROR(J5087/H5087,"")</f>
        <v/>
      </c>
      <c r="M5087" s="25" t="n">
        <v>3.4</v>
      </c>
      <c r="N5087" s="25">
        <f>IF(J5087&gt;300,1,0)</f>
        <v/>
      </c>
      <c r="O5087" s="25">
        <f>IF(J5087&gt;600,1,0)</f>
        <v/>
      </c>
      <c r="P5087" s="25">
        <f>IF(H5087&gt;0,J5087,"")</f>
        <v/>
      </c>
      <c r="Q5087" s="25">
        <f>TEXT(A5087,"YYYY-MM-DD HH")</f>
        <v/>
      </c>
      <c r="R5087" s="25">
        <f>COUNTIF($Q$2:$Q$5295,Q5087)</f>
        <v/>
      </c>
      <c r="S5087" s="25">
        <f>IF(R5087&lt;=2,"1-2",IF(R5087&lt;=5,"3-5",IF(R5087&lt;=10,"6-10","11+")))</f>
        <v/>
      </c>
    </row>
    <row r="5088">
      <c r="A5088" s="39" t="n">
        <v>46239.13932870371</v>
      </c>
      <c r="B5088" s="25">
        <f>TEXT(A5088,"YYYY-MM")</f>
        <v/>
      </c>
      <c r="C5088" s="25">
        <f>TEXT(A5088,"MMM-YYYY")</f>
        <v/>
      </c>
      <c r="D5088" s="40">
        <f>INT(A5088)-WEEKDAY(A5088,2)+1</f>
        <v/>
      </c>
      <c r="E5088" s="25" t="inlineStr">
        <is>
          <t>atiwari</t>
        </is>
      </c>
      <c r="F5088" s="25" t="n">
        <v>139330</v>
      </c>
      <c r="G5088" s="25" t="n">
        <v>1</v>
      </c>
      <c r="H5088" s="25" t="n">
        <v>7</v>
      </c>
      <c r="I5088" s="25" t="inlineStr">
        <is>
          <t>57 second(s)</t>
        </is>
      </c>
      <c r="J5088" s="25">
        <f>IFERROR(VALUE(TRIM(LEFT(I5088,FIND("minute",I5088)-1)))*60,0)+IFERROR(VALUE(SUBSTITUTE(MID(I5088,IFERROR(FIND("and",I5088)+3,1),20),"second(s)","")),0)</f>
        <v/>
      </c>
      <c r="K5088" s="41">
        <f>J5088/60</f>
        <v/>
      </c>
      <c r="L5088" s="41">
        <f>IFERROR(J5088/H5088,"")</f>
        <v/>
      </c>
      <c r="M5088" s="25" t="n">
        <v>3.4</v>
      </c>
      <c r="N5088" s="25">
        <f>IF(J5088&gt;300,1,0)</f>
        <v/>
      </c>
      <c r="O5088" s="25">
        <f>IF(J5088&gt;600,1,0)</f>
        <v/>
      </c>
      <c r="P5088" s="25">
        <f>IF(H5088&gt;0,J5088,"")</f>
        <v/>
      </c>
      <c r="Q5088" s="25">
        <f>TEXT(A5088,"YYYY-MM-DD HH")</f>
        <v/>
      </c>
      <c r="R5088" s="25">
        <f>COUNTIF($Q$2:$Q$5295,Q5088)</f>
        <v/>
      </c>
      <c r="S5088" s="25">
        <f>IF(R5088&lt;=2,"1-2",IF(R5088&lt;=5,"3-5",IF(R5088&lt;=10,"6-10","11+")))</f>
        <v/>
      </c>
    </row>
    <row r="5089">
      <c r="A5089" s="39" t="n">
        <v>46239.14501157407</v>
      </c>
      <c r="B5089" s="25">
        <f>TEXT(A5089,"YYYY-MM")</f>
        <v/>
      </c>
      <c r="C5089" s="25">
        <f>TEXT(A5089,"MMM-YYYY")</f>
        <v/>
      </c>
      <c r="D5089" s="40">
        <f>INT(A5089)-WEEKDAY(A5089,2)+1</f>
        <v/>
      </c>
      <c r="E5089" s="25" t="inlineStr">
        <is>
          <t>abanerjee</t>
        </is>
      </c>
      <c r="F5089" s="25" t="n">
        <v>133947</v>
      </c>
      <c r="G5089" s="25" t="n">
        <v>1</v>
      </c>
      <c r="H5089" s="25" t="n">
        <v>5</v>
      </c>
      <c r="I5089" s="25" t="inlineStr">
        <is>
          <t>42 second(s)</t>
        </is>
      </c>
      <c r="J5089" s="25">
        <f>IFERROR(VALUE(TRIM(LEFT(I5089,FIND("minute",I5089)-1)))*60,0)+IFERROR(VALUE(SUBSTITUTE(MID(I5089,IFERROR(FIND("and",I5089)+3,1),20),"second(s)","")),0)</f>
        <v/>
      </c>
      <c r="K5089" s="41">
        <f>J5089/60</f>
        <v/>
      </c>
      <c r="L5089" s="41">
        <f>IFERROR(J5089/H5089,"")</f>
        <v/>
      </c>
      <c r="M5089" s="25" t="n">
        <v>3.4</v>
      </c>
      <c r="N5089" s="25">
        <f>IF(J5089&gt;300,1,0)</f>
        <v/>
      </c>
      <c r="O5089" s="25">
        <f>IF(J5089&gt;600,1,0)</f>
        <v/>
      </c>
      <c r="P5089" s="25">
        <f>IF(H5089&gt;0,J5089,"")</f>
        <v/>
      </c>
      <c r="Q5089" s="25">
        <f>TEXT(A5089,"YYYY-MM-DD HH")</f>
        <v/>
      </c>
      <c r="R5089" s="25">
        <f>COUNTIF($Q$2:$Q$5295,Q5089)</f>
        <v/>
      </c>
      <c r="S5089" s="25">
        <f>IF(R5089&lt;=2,"1-2",IF(R5089&lt;=5,"3-5",IF(R5089&lt;=10,"6-10","11+")))</f>
        <v/>
      </c>
    </row>
    <row r="5090">
      <c r="A5090" s="39" t="n">
        <v>46239.14809027778</v>
      </c>
      <c r="B5090" s="25">
        <f>TEXT(A5090,"YYYY-MM")</f>
        <v/>
      </c>
      <c r="C5090" s="25">
        <f>TEXT(A5090,"MMM-YYYY")</f>
        <v/>
      </c>
      <c r="D5090" s="40">
        <f>INT(A5090)-WEEKDAY(A5090,2)+1</f>
        <v/>
      </c>
      <c r="E5090" s="25" t="inlineStr">
        <is>
          <t>aupadhayay</t>
        </is>
      </c>
      <c r="F5090" s="25" t="n">
        <v>135018</v>
      </c>
      <c r="G5090" s="25" t="n">
        <v>4</v>
      </c>
      <c r="H5090" s="25" t="n">
        <v>16</v>
      </c>
      <c r="I5090" s="25" t="inlineStr">
        <is>
          <t>2 minute(s) and 45 second(s)</t>
        </is>
      </c>
      <c r="J5090" s="25">
        <f>IFERROR(VALUE(TRIM(LEFT(I5090,FIND("minute",I5090)-1)))*60,0)+IFERROR(VALUE(SUBSTITUTE(MID(I5090,IFERROR(FIND("and",I5090)+3,1),20),"second(s)","")),0)</f>
        <v/>
      </c>
      <c r="K5090" s="41">
        <f>J5090/60</f>
        <v/>
      </c>
      <c r="L5090" s="41">
        <f>IFERROR(J5090/H5090,"")</f>
        <v/>
      </c>
      <c r="M5090" s="25" t="n">
        <v>3.4</v>
      </c>
      <c r="N5090" s="25">
        <f>IF(J5090&gt;300,1,0)</f>
        <v/>
      </c>
      <c r="O5090" s="25">
        <f>IF(J5090&gt;600,1,0)</f>
        <v/>
      </c>
      <c r="P5090" s="25">
        <f>IF(H5090&gt;0,J5090,"")</f>
        <v/>
      </c>
      <c r="Q5090" s="25">
        <f>TEXT(A5090,"YYYY-MM-DD HH")</f>
        <v/>
      </c>
      <c r="R5090" s="25">
        <f>COUNTIF($Q$2:$Q$5295,Q5090)</f>
        <v/>
      </c>
      <c r="S5090" s="25">
        <f>IF(R5090&lt;=2,"1-2",IF(R5090&lt;=5,"3-5",IF(R5090&lt;=10,"6-10","11+")))</f>
        <v/>
      </c>
    </row>
    <row r="5091">
      <c r="A5091" s="39" t="n">
        <v>46239.15310185185</v>
      </c>
      <c r="B5091" s="25">
        <f>TEXT(A5091,"YYYY-MM")</f>
        <v/>
      </c>
      <c r="C5091" s="25">
        <f>TEXT(A5091,"MMM-YYYY")</f>
        <v/>
      </c>
      <c r="D5091" s="40">
        <f>INT(A5091)-WEEKDAY(A5091,2)+1</f>
        <v/>
      </c>
      <c r="E5091" s="25" t="inlineStr">
        <is>
          <t>stiwari</t>
        </is>
      </c>
      <c r="F5091" s="25" t="n">
        <v>138886</v>
      </c>
      <c r="G5091" s="25" t="n">
        <v>2</v>
      </c>
      <c r="H5091" s="25" t="n">
        <v>8</v>
      </c>
      <c r="I5091" s="25" t="inlineStr">
        <is>
          <t>58 second(s)</t>
        </is>
      </c>
      <c r="J5091" s="25">
        <f>IFERROR(VALUE(TRIM(LEFT(I5091,FIND("minute",I5091)-1)))*60,0)+IFERROR(VALUE(SUBSTITUTE(MID(I5091,IFERROR(FIND("and",I5091)+3,1),20),"second(s)","")),0)</f>
        <v/>
      </c>
      <c r="K5091" s="41">
        <f>J5091/60</f>
        <v/>
      </c>
      <c r="L5091" s="41">
        <f>IFERROR(J5091/H5091,"")</f>
        <v/>
      </c>
      <c r="M5091" s="25" t="n">
        <v>3.4</v>
      </c>
      <c r="N5091" s="25">
        <f>IF(J5091&gt;300,1,0)</f>
        <v/>
      </c>
      <c r="O5091" s="25">
        <f>IF(J5091&gt;600,1,0)</f>
        <v/>
      </c>
      <c r="P5091" s="25">
        <f>IF(H5091&gt;0,J5091,"")</f>
        <v/>
      </c>
      <c r="Q5091" s="25">
        <f>TEXT(A5091,"YYYY-MM-DD HH")</f>
        <v/>
      </c>
      <c r="R5091" s="25">
        <f>COUNTIF($Q$2:$Q$5295,Q5091)</f>
        <v/>
      </c>
      <c r="S5091" s="25">
        <f>IF(R5091&lt;=2,"1-2",IF(R5091&lt;=5,"3-5",IF(R5091&lt;=10,"6-10","11+")))</f>
        <v/>
      </c>
    </row>
    <row r="5092">
      <c r="A5092" s="39" t="n">
        <v>46239.15351851852</v>
      </c>
      <c r="B5092" s="25">
        <f>TEXT(A5092,"YYYY-MM")</f>
        <v/>
      </c>
      <c r="C5092" s="25">
        <f>TEXT(A5092,"MMM-YYYY")</f>
        <v/>
      </c>
      <c r="D5092" s="40">
        <f>INT(A5092)-WEEKDAY(A5092,2)+1</f>
        <v/>
      </c>
      <c r="E5092" s="25" t="inlineStr">
        <is>
          <t>tkarmakar</t>
        </is>
      </c>
      <c r="F5092" s="25" t="n">
        <v>135565</v>
      </c>
      <c r="G5092" s="25" t="n">
        <v>1</v>
      </c>
      <c r="H5092" s="25" t="n">
        <v>7</v>
      </c>
      <c r="I5092" s="25" t="inlineStr">
        <is>
          <t>59 second(s)</t>
        </is>
      </c>
      <c r="J5092" s="25">
        <f>IFERROR(VALUE(TRIM(LEFT(I5092,FIND("minute",I5092)-1)))*60,0)+IFERROR(VALUE(SUBSTITUTE(MID(I5092,IFERROR(FIND("and",I5092)+3,1),20),"second(s)","")),0)</f>
        <v/>
      </c>
      <c r="K5092" s="41">
        <f>J5092/60</f>
        <v/>
      </c>
      <c r="L5092" s="41">
        <f>IFERROR(J5092/H5092,"")</f>
        <v/>
      </c>
      <c r="M5092" s="25" t="n">
        <v>3.4</v>
      </c>
      <c r="N5092" s="25">
        <f>IF(J5092&gt;300,1,0)</f>
        <v/>
      </c>
      <c r="O5092" s="25">
        <f>IF(J5092&gt;600,1,0)</f>
        <v/>
      </c>
      <c r="P5092" s="25">
        <f>IF(H5092&gt;0,J5092,"")</f>
        <v/>
      </c>
      <c r="Q5092" s="25">
        <f>TEXT(A5092,"YYYY-MM-DD HH")</f>
        <v/>
      </c>
      <c r="R5092" s="25">
        <f>COUNTIF($Q$2:$Q$5295,Q5092)</f>
        <v/>
      </c>
      <c r="S5092" s="25">
        <f>IF(R5092&lt;=2,"1-2",IF(R5092&lt;=5,"3-5",IF(R5092&lt;=10,"6-10","11+")))</f>
        <v/>
      </c>
    </row>
    <row r="5093">
      <c r="A5093" s="39" t="n">
        <v>46239.15557870371</v>
      </c>
      <c r="B5093" s="25">
        <f>TEXT(A5093,"YYYY-MM")</f>
        <v/>
      </c>
      <c r="C5093" s="25">
        <f>TEXT(A5093,"MMM-YYYY")</f>
        <v/>
      </c>
      <c r="D5093" s="40">
        <f>INT(A5093)-WEEKDAY(A5093,2)+1</f>
        <v/>
      </c>
      <c r="E5093" s="25" t="inlineStr">
        <is>
          <t>csaha</t>
        </is>
      </c>
      <c r="F5093" s="25" t="n">
        <v>139353</v>
      </c>
      <c r="G5093" s="25" t="n">
        <v>4</v>
      </c>
      <c r="H5093" s="25" t="n">
        <v>12</v>
      </c>
      <c r="I5093" s="25" t="inlineStr">
        <is>
          <t>1 minute(s) and 36 second(s)</t>
        </is>
      </c>
      <c r="J5093" s="25">
        <f>IFERROR(VALUE(TRIM(LEFT(I5093,FIND("minute",I5093)-1)))*60,0)+IFERROR(VALUE(SUBSTITUTE(MID(I5093,IFERROR(FIND("and",I5093)+3,1),20),"second(s)","")),0)</f>
        <v/>
      </c>
      <c r="K5093" s="41">
        <f>J5093/60</f>
        <v/>
      </c>
      <c r="L5093" s="41">
        <f>IFERROR(J5093/H5093,"")</f>
        <v/>
      </c>
      <c r="M5093" s="25" t="n">
        <v>3.4</v>
      </c>
      <c r="N5093" s="25">
        <f>IF(J5093&gt;300,1,0)</f>
        <v/>
      </c>
      <c r="O5093" s="25">
        <f>IF(J5093&gt;600,1,0)</f>
        <v/>
      </c>
      <c r="P5093" s="25">
        <f>IF(H5093&gt;0,J5093,"")</f>
        <v/>
      </c>
      <c r="Q5093" s="25">
        <f>TEXT(A5093,"YYYY-MM-DD HH")</f>
        <v/>
      </c>
      <c r="R5093" s="25">
        <f>COUNTIF($Q$2:$Q$5295,Q5093)</f>
        <v/>
      </c>
      <c r="S5093" s="25">
        <f>IF(R5093&lt;=2,"1-2",IF(R5093&lt;=5,"3-5",IF(R5093&lt;=10,"6-10","11+")))</f>
        <v/>
      </c>
    </row>
    <row r="5094">
      <c r="A5094" s="39" t="n">
        <v>46239.15636574074</v>
      </c>
      <c r="B5094" s="25">
        <f>TEXT(A5094,"YYYY-MM")</f>
        <v/>
      </c>
      <c r="C5094" s="25">
        <f>TEXT(A5094,"MMM-YYYY")</f>
        <v/>
      </c>
      <c r="D5094" s="40">
        <f>INT(A5094)-WEEKDAY(A5094,2)+1</f>
        <v/>
      </c>
      <c r="E5094" s="25" t="inlineStr">
        <is>
          <t>mgupta</t>
        </is>
      </c>
      <c r="F5094" s="25" t="n">
        <v>137018</v>
      </c>
      <c r="G5094" s="25" t="n">
        <v>2</v>
      </c>
      <c r="H5094" s="25" t="n">
        <v>10</v>
      </c>
      <c r="I5094" s="25" t="inlineStr">
        <is>
          <t>1 minute(s) and 40 second(s)</t>
        </is>
      </c>
      <c r="J5094" s="25">
        <f>IFERROR(VALUE(TRIM(LEFT(I5094,FIND("minute",I5094)-1)))*60,0)+IFERROR(VALUE(SUBSTITUTE(MID(I5094,IFERROR(FIND("and",I5094)+3,1),20),"second(s)","")),0)</f>
        <v/>
      </c>
      <c r="K5094" s="41">
        <f>J5094/60</f>
        <v/>
      </c>
      <c r="L5094" s="41">
        <f>IFERROR(J5094/H5094,"")</f>
        <v/>
      </c>
      <c r="M5094" s="25" t="n">
        <v>3.5</v>
      </c>
      <c r="N5094" s="25">
        <f>IF(J5094&gt;300,1,0)</f>
        <v/>
      </c>
      <c r="O5094" s="25">
        <f>IF(J5094&gt;600,1,0)</f>
        <v/>
      </c>
      <c r="P5094" s="25">
        <f>IF(H5094&gt;0,J5094,"")</f>
        <v/>
      </c>
      <c r="Q5094" s="25">
        <f>TEXT(A5094,"YYYY-MM-DD HH")</f>
        <v/>
      </c>
      <c r="R5094" s="25">
        <f>COUNTIF($Q$2:$Q$5295,Q5094)</f>
        <v/>
      </c>
      <c r="S5094" s="25">
        <f>IF(R5094&lt;=2,"1-2",IF(R5094&lt;=5,"3-5",IF(R5094&lt;=10,"6-10","11+")))</f>
        <v/>
      </c>
    </row>
    <row r="5095">
      <c r="A5095" s="39" t="n">
        <v>46239.15886574074</v>
      </c>
      <c r="B5095" s="25">
        <f>TEXT(A5095,"YYYY-MM")</f>
        <v/>
      </c>
      <c r="C5095" s="25">
        <f>TEXT(A5095,"MMM-YYYY")</f>
        <v/>
      </c>
      <c r="D5095" s="40">
        <f>INT(A5095)-WEEKDAY(A5095,2)+1</f>
        <v/>
      </c>
      <c r="E5095" s="25" t="inlineStr">
        <is>
          <t>sswati</t>
        </is>
      </c>
      <c r="F5095" s="25" t="n">
        <v>135005</v>
      </c>
      <c r="G5095" s="25" t="n">
        <v>2</v>
      </c>
      <c r="H5095" s="25" t="n">
        <v>10</v>
      </c>
      <c r="I5095" s="25" t="inlineStr">
        <is>
          <t>1 minute(s) and 35 second(s)</t>
        </is>
      </c>
      <c r="J5095" s="25">
        <f>IFERROR(VALUE(TRIM(LEFT(I5095,FIND("minute",I5095)-1)))*60,0)+IFERROR(VALUE(SUBSTITUTE(MID(I5095,IFERROR(FIND("and",I5095)+3,1),20),"second(s)","")),0)</f>
        <v/>
      </c>
      <c r="K5095" s="41">
        <f>J5095/60</f>
        <v/>
      </c>
      <c r="L5095" s="41">
        <f>IFERROR(J5095/H5095,"")</f>
        <v/>
      </c>
      <c r="M5095" s="25" t="n">
        <v>3.4</v>
      </c>
      <c r="N5095" s="25">
        <f>IF(J5095&gt;300,1,0)</f>
        <v/>
      </c>
      <c r="O5095" s="25">
        <f>IF(J5095&gt;600,1,0)</f>
        <v/>
      </c>
      <c r="P5095" s="25">
        <f>IF(H5095&gt;0,J5095,"")</f>
        <v/>
      </c>
      <c r="Q5095" s="25">
        <f>TEXT(A5095,"YYYY-MM-DD HH")</f>
        <v/>
      </c>
      <c r="R5095" s="25">
        <f>COUNTIF($Q$2:$Q$5295,Q5095)</f>
        <v/>
      </c>
      <c r="S5095" s="25">
        <f>IF(R5095&lt;=2,"1-2",IF(R5095&lt;=5,"3-5",IF(R5095&lt;=10,"6-10","11+")))</f>
        <v/>
      </c>
    </row>
    <row r="5096">
      <c r="A5096" s="39" t="n">
        <v>46239.16072916667</v>
      </c>
      <c r="B5096" s="25">
        <f>TEXT(A5096,"YYYY-MM")</f>
        <v/>
      </c>
      <c r="C5096" s="25">
        <f>TEXT(A5096,"MMM-YYYY")</f>
        <v/>
      </c>
      <c r="D5096" s="40">
        <f>INT(A5096)-WEEKDAY(A5096,2)+1</f>
        <v/>
      </c>
      <c r="E5096" s="25" t="inlineStr">
        <is>
          <t>npriya</t>
        </is>
      </c>
      <c r="F5096" s="25" t="n">
        <v>138240</v>
      </c>
      <c r="G5096" s="25" t="n">
        <v>1</v>
      </c>
      <c r="H5096" s="25" t="n">
        <v>5</v>
      </c>
      <c r="I5096" s="25" t="inlineStr">
        <is>
          <t>1 minute(s) and 10 second(s)</t>
        </is>
      </c>
      <c r="J5096" s="25">
        <f>IFERROR(VALUE(TRIM(LEFT(I5096,FIND("minute",I5096)-1)))*60,0)+IFERROR(VALUE(SUBSTITUTE(MID(I5096,IFERROR(FIND("and",I5096)+3,1),20),"second(s)","")),0)</f>
        <v/>
      </c>
      <c r="K5096" s="41">
        <f>J5096/60</f>
        <v/>
      </c>
      <c r="L5096" s="41">
        <f>IFERROR(J5096/H5096,"")</f>
        <v/>
      </c>
      <c r="M5096" s="25" t="n">
        <v>3.4</v>
      </c>
      <c r="N5096" s="25">
        <f>IF(J5096&gt;300,1,0)</f>
        <v/>
      </c>
      <c r="O5096" s="25">
        <f>IF(J5096&gt;600,1,0)</f>
        <v/>
      </c>
      <c r="P5096" s="25">
        <f>IF(H5096&gt;0,J5096,"")</f>
        <v/>
      </c>
      <c r="Q5096" s="25">
        <f>TEXT(A5096,"YYYY-MM-DD HH")</f>
        <v/>
      </c>
      <c r="R5096" s="25">
        <f>COUNTIF($Q$2:$Q$5295,Q5096)</f>
        <v/>
      </c>
      <c r="S5096" s="25">
        <f>IF(R5096&lt;=2,"1-2",IF(R5096&lt;=5,"3-5",IF(R5096&lt;=10,"6-10","11+")))</f>
        <v/>
      </c>
    </row>
    <row r="5097">
      <c r="A5097" s="39" t="n">
        <v>46239.16190972222</v>
      </c>
      <c r="B5097" s="25">
        <f>TEXT(A5097,"YYYY-MM")</f>
        <v/>
      </c>
      <c r="C5097" s="25">
        <f>TEXT(A5097,"MMM-YYYY")</f>
        <v/>
      </c>
      <c r="D5097" s="40">
        <f>INT(A5097)-WEEKDAY(A5097,2)+1</f>
        <v/>
      </c>
      <c r="E5097" s="25" t="inlineStr">
        <is>
          <t>asahoo</t>
        </is>
      </c>
      <c r="F5097" s="25" t="n">
        <v>136106</v>
      </c>
      <c r="G5097" s="25" t="n">
        <v>2</v>
      </c>
      <c r="H5097" s="25" t="n">
        <v>8</v>
      </c>
      <c r="I5097" s="25" t="inlineStr">
        <is>
          <t>1 minute(s) and 4 second(s)</t>
        </is>
      </c>
      <c r="J5097" s="25">
        <f>IFERROR(VALUE(TRIM(LEFT(I5097,FIND("minute",I5097)-1)))*60,0)+IFERROR(VALUE(SUBSTITUTE(MID(I5097,IFERROR(FIND("and",I5097)+3,1),20),"second(s)","")),0)</f>
        <v/>
      </c>
      <c r="K5097" s="41">
        <f>J5097/60</f>
        <v/>
      </c>
      <c r="L5097" s="41">
        <f>IFERROR(J5097/H5097,"")</f>
        <v/>
      </c>
      <c r="M5097" s="25" t="n">
        <v>3.4</v>
      </c>
      <c r="N5097" s="25">
        <f>IF(J5097&gt;300,1,0)</f>
        <v/>
      </c>
      <c r="O5097" s="25">
        <f>IF(J5097&gt;600,1,0)</f>
        <v/>
      </c>
      <c r="P5097" s="25">
        <f>IF(H5097&gt;0,J5097,"")</f>
        <v/>
      </c>
      <c r="Q5097" s="25">
        <f>TEXT(A5097,"YYYY-MM-DD HH")</f>
        <v/>
      </c>
      <c r="R5097" s="25">
        <f>COUNTIF($Q$2:$Q$5295,Q5097)</f>
        <v/>
      </c>
      <c r="S5097" s="25">
        <f>IF(R5097&lt;=2,"1-2",IF(R5097&lt;=5,"3-5",IF(R5097&lt;=10,"6-10","11+")))</f>
        <v/>
      </c>
    </row>
    <row r="5098">
      <c r="A5098" s="39" t="n">
        <v>46239.17119212963</v>
      </c>
      <c r="B5098" s="25">
        <f>TEXT(A5098,"YYYY-MM")</f>
        <v/>
      </c>
      <c r="C5098" s="25">
        <f>TEXT(A5098,"MMM-YYYY")</f>
        <v/>
      </c>
      <c r="D5098" s="40">
        <f>INT(A5098)-WEEKDAY(A5098,2)+1</f>
        <v/>
      </c>
      <c r="E5098" s="25" t="inlineStr">
        <is>
          <t>asaxena</t>
        </is>
      </c>
      <c r="F5098" s="25" t="n">
        <v>136677</v>
      </c>
      <c r="G5098" s="25" t="n">
        <v>1</v>
      </c>
      <c r="H5098" s="25" t="n">
        <v>5</v>
      </c>
      <c r="I5098" s="25" t="inlineStr">
        <is>
          <t>29 second(s)</t>
        </is>
      </c>
      <c r="J5098" s="25">
        <f>IFERROR(VALUE(TRIM(LEFT(I5098,FIND("minute",I5098)-1)))*60,0)+IFERROR(VALUE(SUBSTITUTE(MID(I5098,IFERROR(FIND("and",I5098)+3,1),20),"second(s)","")),0)</f>
        <v/>
      </c>
      <c r="K5098" s="41">
        <f>J5098/60</f>
        <v/>
      </c>
      <c r="L5098" s="41">
        <f>IFERROR(J5098/H5098,"")</f>
        <v/>
      </c>
      <c r="M5098" s="25" t="inlineStr">
        <is>
          <t>2.5.12</t>
        </is>
      </c>
      <c r="N5098" s="25">
        <f>IF(J5098&gt;300,1,0)</f>
        <v/>
      </c>
      <c r="O5098" s="25">
        <f>IF(J5098&gt;600,1,0)</f>
        <v/>
      </c>
      <c r="P5098" s="25">
        <f>IF(H5098&gt;0,J5098,"")</f>
        <v/>
      </c>
      <c r="Q5098" s="25">
        <f>TEXT(A5098,"YYYY-MM-DD HH")</f>
        <v/>
      </c>
      <c r="R5098" s="25">
        <f>COUNTIF($Q$2:$Q$5295,Q5098)</f>
        <v/>
      </c>
      <c r="S5098" s="25">
        <f>IF(R5098&lt;=2,"1-2",IF(R5098&lt;=5,"3-5",IF(R5098&lt;=10,"6-10","11+")))</f>
        <v/>
      </c>
    </row>
    <row r="5099">
      <c r="A5099" s="39" t="n">
        <v>46239.17453703703</v>
      </c>
      <c r="B5099" s="25">
        <f>TEXT(A5099,"YYYY-MM")</f>
        <v/>
      </c>
      <c r="C5099" s="25">
        <f>TEXT(A5099,"MMM-YYYY")</f>
        <v/>
      </c>
      <c r="D5099" s="40">
        <f>INT(A5099)-WEEKDAY(A5099,2)+1</f>
        <v/>
      </c>
      <c r="E5099" s="25" t="inlineStr">
        <is>
          <t>pgautam</t>
        </is>
      </c>
      <c r="F5099" s="25" t="n">
        <v>134099</v>
      </c>
      <c r="G5099" s="25" t="n">
        <v>1</v>
      </c>
      <c r="H5099" s="25" t="n">
        <v>5</v>
      </c>
      <c r="I5099" s="25" t="inlineStr">
        <is>
          <t>44 second(s)</t>
        </is>
      </c>
      <c r="J5099" s="25">
        <f>IFERROR(VALUE(TRIM(LEFT(I5099,FIND("minute",I5099)-1)))*60,0)+IFERROR(VALUE(SUBSTITUTE(MID(I5099,IFERROR(FIND("and",I5099)+3,1),20),"second(s)","")),0)</f>
        <v/>
      </c>
      <c r="K5099" s="41">
        <f>J5099/60</f>
        <v/>
      </c>
      <c r="L5099" s="41">
        <f>IFERROR(J5099/H5099,"")</f>
        <v/>
      </c>
      <c r="M5099" s="25" t="n">
        <v>3.4</v>
      </c>
      <c r="N5099" s="25">
        <f>IF(J5099&gt;300,1,0)</f>
        <v/>
      </c>
      <c r="O5099" s="25">
        <f>IF(J5099&gt;600,1,0)</f>
        <v/>
      </c>
      <c r="P5099" s="25">
        <f>IF(H5099&gt;0,J5099,"")</f>
        <v/>
      </c>
      <c r="Q5099" s="25">
        <f>TEXT(A5099,"YYYY-MM-DD HH")</f>
        <v/>
      </c>
      <c r="R5099" s="25">
        <f>COUNTIF($Q$2:$Q$5295,Q5099)</f>
        <v/>
      </c>
      <c r="S5099" s="25">
        <f>IF(R5099&lt;=2,"1-2",IF(R5099&lt;=5,"3-5",IF(R5099&lt;=10,"6-10","11+")))</f>
        <v/>
      </c>
    </row>
    <row r="5100">
      <c r="A5100" s="39" t="n">
        <v>46239.17863425926</v>
      </c>
      <c r="B5100" s="25">
        <f>TEXT(A5100,"YYYY-MM")</f>
        <v/>
      </c>
      <c r="C5100" s="25">
        <f>TEXT(A5100,"MMM-YYYY")</f>
        <v/>
      </c>
      <c r="D5100" s="40">
        <f>INT(A5100)-WEEKDAY(A5100,2)+1</f>
        <v/>
      </c>
      <c r="E5100" s="25" t="inlineStr">
        <is>
          <t>shasikha</t>
        </is>
      </c>
      <c r="F5100" s="25" t="n">
        <v>137461</v>
      </c>
      <c r="G5100" s="25" t="n">
        <v>1</v>
      </c>
      <c r="H5100" s="25" t="n">
        <v>8</v>
      </c>
      <c r="I5100" s="25" t="inlineStr">
        <is>
          <t>9 minute(s) and 13 second(s)</t>
        </is>
      </c>
      <c r="J5100" s="25">
        <f>IFERROR(VALUE(TRIM(LEFT(I5100,FIND("minute",I5100)-1)))*60,0)+IFERROR(VALUE(SUBSTITUTE(MID(I5100,IFERROR(FIND("and",I5100)+3,1),20),"second(s)","")),0)</f>
        <v/>
      </c>
      <c r="K5100" s="41">
        <f>J5100/60</f>
        <v/>
      </c>
      <c r="L5100" s="41">
        <f>IFERROR(J5100/H5100,"")</f>
        <v/>
      </c>
      <c r="M5100" s="25" t="n">
        <v>3.4</v>
      </c>
      <c r="N5100" s="25">
        <f>IF(J5100&gt;300,1,0)</f>
        <v/>
      </c>
      <c r="O5100" s="25">
        <f>IF(J5100&gt;600,1,0)</f>
        <v/>
      </c>
      <c r="P5100" s="25">
        <f>IF(H5100&gt;0,J5100,"")</f>
        <v/>
      </c>
      <c r="Q5100" s="25">
        <f>TEXT(A5100,"YYYY-MM-DD HH")</f>
        <v/>
      </c>
      <c r="R5100" s="25">
        <f>COUNTIF($Q$2:$Q$5295,Q5100)</f>
        <v/>
      </c>
      <c r="S5100" s="25">
        <f>IF(R5100&lt;=2,"1-2",IF(R5100&lt;=5,"3-5",IF(R5100&lt;=10,"6-10","11+")))</f>
        <v/>
      </c>
    </row>
    <row r="5101">
      <c r="A5101" s="39" t="n">
        <v>46239.18104166666</v>
      </c>
      <c r="B5101" s="25">
        <f>TEXT(A5101,"YYYY-MM")</f>
        <v/>
      </c>
      <c r="C5101" s="25">
        <f>TEXT(A5101,"MMM-YYYY")</f>
        <v/>
      </c>
      <c r="D5101" s="40">
        <f>INT(A5101)-WEEKDAY(A5101,2)+1</f>
        <v/>
      </c>
      <c r="E5101" s="25" t="inlineStr">
        <is>
          <t>sakumar</t>
        </is>
      </c>
      <c r="F5101" s="25" t="n">
        <v>137654</v>
      </c>
      <c r="G5101" s="25" t="n">
        <v>2</v>
      </c>
      <c r="H5101" s="25" t="n">
        <v>15</v>
      </c>
      <c r="I5101" s="25" t="inlineStr">
        <is>
          <t>1 minute(s) and 50 second(s)</t>
        </is>
      </c>
      <c r="J5101" s="25">
        <f>IFERROR(VALUE(TRIM(LEFT(I5101,FIND("minute",I5101)-1)))*60,0)+IFERROR(VALUE(SUBSTITUTE(MID(I5101,IFERROR(FIND("and",I5101)+3,1),20),"second(s)","")),0)</f>
        <v/>
      </c>
      <c r="K5101" s="41">
        <f>J5101/60</f>
        <v/>
      </c>
      <c r="L5101" s="41">
        <f>IFERROR(J5101/H5101,"")</f>
        <v/>
      </c>
      <c r="M5101" s="25" t="n">
        <v>3.4</v>
      </c>
      <c r="N5101" s="25">
        <f>IF(J5101&gt;300,1,0)</f>
        <v/>
      </c>
      <c r="O5101" s="25">
        <f>IF(J5101&gt;600,1,0)</f>
        <v/>
      </c>
      <c r="P5101" s="25">
        <f>IF(H5101&gt;0,J5101,"")</f>
        <v/>
      </c>
      <c r="Q5101" s="25">
        <f>TEXT(A5101,"YYYY-MM-DD HH")</f>
        <v/>
      </c>
      <c r="R5101" s="25">
        <f>COUNTIF($Q$2:$Q$5295,Q5101)</f>
        <v/>
      </c>
      <c r="S5101" s="25">
        <f>IF(R5101&lt;=2,"1-2",IF(R5101&lt;=5,"3-5",IF(R5101&lt;=10,"6-10","11+")))</f>
        <v/>
      </c>
    </row>
    <row r="5102">
      <c r="A5102" s="39" t="n">
        <v>46239.18318287037</v>
      </c>
      <c r="B5102" s="25">
        <f>TEXT(A5102,"YYYY-MM")</f>
        <v/>
      </c>
      <c r="C5102" s="25">
        <f>TEXT(A5102,"MMM-YYYY")</f>
        <v/>
      </c>
      <c r="D5102" s="40">
        <f>INT(A5102)-WEEKDAY(A5102,2)+1</f>
        <v/>
      </c>
      <c r="E5102" s="25" t="inlineStr">
        <is>
          <t>csaha</t>
        </is>
      </c>
      <c r="F5102" s="25" t="n">
        <v>139353</v>
      </c>
      <c r="G5102" s="25" t="n">
        <v>2</v>
      </c>
      <c r="H5102" s="25" t="n">
        <v>8</v>
      </c>
      <c r="I5102" s="25" t="inlineStr">
        <is>
          <t>1 minute(s) and 5 second(s)</t>
        </is>
      </c>
      <c r="J5102" s="25">
        <f>IFERROR(VALUE(TRIM(LEFT(I5102,FIND("minute",I5102)-1)))*60,0)+IFERROR(VALUE(SUBSTITUTE(MID(I5102,IFERROR(FIND("and",I5102)+3,1),20),"second(s)","")),0)</f>
        <v/>
      </c>
      <c r="K5102" s="41">
        <f>J5102/60</f>
        <v/>
      </c>
      <c r="L5102" s="41">
        <f>IFERROR(J5102/H5102,"")</f>
        <v/>
      </c>
      <c r="M5102" s="25" t="n">
        <v>3.4</v>
      </c>
      <c r="N5102" s="25">
        <f>IF(J5102&gt;300,1,0)</f>
        <v/>
      </c>
      <c r="O5102" s="25">
        <f>IF(J5102&gt;600,1,0)</f>
        <v/>
      </c>
      <c r="P5102" s="25">
        <f>IF(H5102&gt;0,J5102,"")</f>
        <v/>
      </c>
      <c r="Q5102" s="25">
        <f>TEXT(A5102,"YYYY-MM-DD HH")</f>
        <v/>
      </c>
      <c r="R5102" s="25">
        <f>COUNTIF($Q$2:$Q$5295,Q5102)</f>
        <v/>
      </c>
      <c r="S5102" s="25">
        <f>IF(R5102&lt;=2,"1-2",IF(R5102&lt;=5,"3-5",IF(R5102&lt;=10,"6-10","11+")))</f>
        <v/>
      </c>
    </row>
    <row r="5103">
      <c r="A5103" s="39" t="n">
        <v>46239.19258101852</v>
      </c>
      <c r="B5103" s="25">
        <f>TEXT(A5103,"YYYY-MM")</f>
        <v/>
      </c>
      <c r="C5103" s="25">
        <f>TEXT(A5103,"MMM-YYYY")</f>
        <v/>
      </c>
      <c r="D5103" s="40">
        <f>INT(A5103)-WEEKDAY(A5103,2)+1</f>
        <v/>
      </c>
      <c r="E5103" s="25" t="inlineStr">
        <is>
          <t>npriya</t>
        </is>
      </c>
      <c r="F5103" s="25" t="n">
        <v>138072</v>
      </c>
      <c r="G5103" s="25" t="n">
        <v>3</v>
      </c>
      <c r="H5103" s="25" t="n">
        <v>17</v>
      </c>
      <c r="I5103" s="25" t="inlineStr">
        <is>
          <t>2 minute(s) and 41 second(s)</t>
        </is>
      </c>
      <c r="J5103" s="25">
        <f>IFERROR(VALUE(TRIM(LEFT(I5103,FIND("minute",I5103)-1)))*60,0)+IFERROR(VALUE(SUBSTITUTE(MID(I5103,IFERROR(FIND("and",I5103)+3,1),20),"second(s)","")),0)</f>
        <v/>
      </c>
      <c r="K5103" s="41">
        <f>J5103/60</f>
        <v/>
      </c>
      <c r="L5103" s="41">
        <f>IFERROR(J5103/H5103,"")</f>
        <v/>
      </c>
      <c r="M5103" s="25" t="n">
        <v>3.4</v>
      </c>
      <c r="N5103" s="25">
        <f>IF(J5103&gt;300,1,0)</f>
        <v/>
      </c>
      <c r="O5103" s="25">
        <f>IF(J5103&gt;600,1,0)</f>
        <v/>
      </c>
      <c r="P5103" s="25">
        <f>IF(H5103&gt;0,J5103,"")</f>
        <v/>
      </c>
      <c r="Q5103" s="25">
        <f>TEXT(A5103,"YYYY-MM-DD HH")</f>
        <v/>
      </c>
      <c r="R5103" s="25">
        <f>COUNTIF($Q$2:$Q$5295,Q5103)</f>
        <v/>
      </c>
      <c r="S5103" s="25">
        <f>IF(R5103&lt;=2,"1-2",IF(R5103&lt;=5,"3-5",IF(R5103&lt;=10,"6-10","11+")))</f>
        <v/>
      </c>
    </row>
    <row r="5104">
      <c r="A5104" s="39" t="n">
        <v>46239.19498842592</v>
      </c>
      <c r="B5104" s="25">
        <f>TEXT(A5104,"YYYY-MM")</f>
        <v/>
      </c>
      <c r="C5104" s="25">
        <f>TEXT(A5104,"MMM-YYYY")</f>
        <v/>
      </c>
      <c r="D5104" s="40">
        <f>INT(A5104)-WEEKDAY(A5104,2)+1</f>
        <v/>
      </c>
      <c r="E5104" s="25" t="inlineStr">
        <is>
          <t>ns</t>
        </is>
      </c>
      <c r="F5104" s="25" t="n">
        <v>136829</v>
      </c>
      <c r="G5104" s="25" t="n">
        <v>1</v>
      </c>
      <c r="H5104" s="25" t="n">
        <v>7</v>
      </c>
      <c r="I5104" s="25" t="inlineStr">
        <is>
          <t>52 second(s)</t>
        </is>
      </c>
      <c r="J5104" s="25">
        <f>IFERROR(VALUE(TRIM(LEFT(I5104,FIND("minute",I5104)-1)))*60,0)+IFERROR(VALUE(SUBSTITUTE(MID(I5104,IFERROR(FIND("and",I5104)+3,1),20),"second(s)","")),0)</f>
        <v/>
      </c>
      <c r="K5104" s="41">
        <f>J5104/60</f>
        <v/>
      </c>
      <c r="L5104" s="41">
        <f>IFERROR(J5104/H5104,"")</f>
        <v/>
      </c>
      <c r="M5104" s="25" t="n">
        <v>3.4</v>
      </c>
      <c r="N5104" s="25">
        <f>IF(J5104&gt;300,1,0)</f>
        <v/>
      </c>
      <c r="O5104" s="25">
        <f>IF(J5104&gt;600,1,0)</f>
        <v/>
      </c>
      <c r="P5104" s="25">
        <f>IF(H5104&gt;0,J5104,"")</f>
        <v/>
      </c>
      <c r="Q5104" s="25">
        <f>TEXT(A5104,"YYYY-MM-DD HH")</f>
        <v/>
      </c>
      <c r="R5104" s="25">
        <f>COUNTIF($Q$2:$Q$5295,Q5104)</f>
        <v/>
      </c>
      <c r="S5104" s="25">
        <f>IF(R5104&lt;=2,"1-2",IF(R5104&lt;=5,"3-5",IF(R5104&lt;=10,"6-10","11+")))</f>
        <v/>
      </c>
    </row>
    <row r="5105">
      <c r="A5105" s="39" t="n">
        <v>46239.19803240741</v>
      </c>
      <c r="B5105" s="25">
        <f>TEXT(A5105,"YYYY-MM")</f>
        <v/>
      </c>
      <c r="C5105" s="25">
        <f>TEXT(A5105,"MMM-YYYY")</f>
        <v/>
      </c>
      <c r="D5105" s="40">
        <f>INT(A5105)-WEEKDAY(A5105,2)+1</f>
        <v/>
      </c>
      <c r="E5105" s="25" t="inlineStr">
        <is>
          <t>mbhalla</t>
        </is>
      </c>
      <c r="F5105" s="25" t="n">
        <v>130143</v>
      </c>
      <c r="G5105" s="25" t="n">
        <v>4</v>
      </c>
      <c r="H5105" s="25" t="n">
        <v>26</v>
      </c>
      <c r="I5105" s="25" t="inlineStr">
        <is>
          <t>3 minute(s) and 0 second(s)</t>
        </is>
      </c>
      <c r="J5105" s="25">
        <f>IFERROR(VALUE(TRIM(LEFT(I5105,FIND("minute",I5105)-1)))*60,0)+IFERROR(VALUE(SUBSTITUTE(MID(I5105,IFERROR(FIND("and",I5105)+3,1),20),"second(s)","")),0)</f>
        <v/>
      </c>
      <c r="K5105" s="41">
        <f>J5105/60</f>
        <v/>
      </c>
      <c r="L5105" s="41">
        <f>IFERROR(J5105/H5105,"")</f>
        <v/>
      </c>
      <c r="M5105" s="25" t="n">
        <v>3.4</v>
      </c>
      <c r="N5105" s="25">
        <f>IF(J5105&gt;300,1,0)</f>
        <v/>
      </c>
      <c r="O5105" s="25">
        <f>IF(J5105&gt;600,1,0)</f>
        <v/>
      </c>
      <c r="P5105" s="25">
        <f>IF(H5105&gt;0,J5105,"")</f>
        <v/>
      </c>
      <c r="Q5105" s="25">
        <f>TEXT(A5105,"YYYY-MM-DD HH")</f>
        <v/>
      </c>
      <c r="R5105" s="25">
        <f>COUNTIF($Q$2:$Q$5295,Q5105)</f>
        <v/>
      </c>
      <c r="S5105" s="25">
        <f>IF(R5105&lt;=2,"1-2",IF(R5105&lt;=5,"3-5",IF(R5105&lt;=10,"6-10","11+")))</f>
        <v/>
      </c>
    </row>
    <row r="5106">
      <c r="A5106" s="39" t="n">
        <v>46239.20519675926</v>
      </c>
      <c r="B5106" s="25">
        <f>TEXT(A5106,"YYYY-MM")</f>
        <v/>
      </c>
      <c r="C5106" s="25">
        <f>TEXT(A5106,"MMM-YYYY")</f>
        <v/>
      </c>
      <c r="D5106" s="40">
        <f>INT(A5106)-WEEKDAY(A5106,2)+1</f>
        <v/>
      </c>
      <c r="E5106" s="25" t="inlineStr">
        <is>
          <t>atiwari</t>
        </is>
      </c>
      <c r="F5106" s="25" t="n">
        <v>139002</v>
      </c>
      <c r="G5106" s="25" t="n">
        <v>2</v>
      </c>
      <c r="H5106" s="25" t="n">
        <v>8</v>
      </c>
      <c r="I5106" s="25" t="inlineStr">
        <is>
          <t>2 minute(s) and 52 second(s)</t>
        </is>
      </c>
      <c r="J5106" s="25">
        <f>IFERROR(VALUE(TRIM(LEFT(I5106,FIND("minute",I5106)-1)))*60,0)+IFERROR(VALUE(SUBSTITUTE(MID(I5106,IFERROR(FIND("and",I5106)+3,1),20),"second(s)","")),0)</f>
        <v/>
      </c>
      <c r="K5106" s="41">
        <f>J5106/60</f>
        <v/>
      </c>
      <c r="L5106" s="41">
        <f>IFERROR(J5106/H5106,"")</f>
        <v/>
      </c>
      <c r="M5106" s="25" t="n">
        <v>3.4</v>
      </c>
      <c r="N5106" s="25">
        <f>IF(J5106&gt;300,1,0)</f>
        <v/>
      </c>
      <c r="O5106" s="25">
        <f>IF(J5106&gt;600,1,0)</f>
        <v/>
      </c>
      <c r="P5106" s="25">
        <f>IF(H5106&gt;0,J5106,"")</f>
        <v/>
      </c>
      <c r="Q5106" s="25">
        <f>TEXT(A5106,"YYYY-MM-DD HH")</f>
        <v/>
      </c>
      <c r="R5106" s="25">
        <f>COUNTIF($Q$2:$Q$5295,Q5106)</f>
        <v/>
      </c>
      <c r="S5106" s="25">
        <f>IF(R5106&lt;=2,"1-2",IF(R5106&lt;=5,"3-5",IF(R5106&lt;=10,"6-10","11+")))</f>
        <v/>
      </c>
    </row>
    <row r="5107">
      <c r="A5107" s="39" t="n">
        <v>46239.20538194444</v>
      </c>
      <c r="B5107" s="25">
        <f>TEXT(A5107,"YYYY-MM")</f>
        <v/>
      </c>
      <c r="C5107" s="25">
        <f>TEXT(A5107,"MMM-YYYY")</f>
        <v/>
      </c>
      <c r="D5107" s="40">
        <f>INT(A5107)-WEEKDAY(A5107,2)+1</f>
        <v/>
      </c>
      <c r="E5107" s="25" t="inlineStr">
        <is>
          <t>ajain</t>
        </is>
      </c>
      <c r="F5107" s="25" t="n">
        <v>135505</v>
      </c>
      <c r="G5107" s="25" t="n">
        <v>1</v>
      </c>
      <c r="H5107" s="25" t="n">
        <v>7</v>
      </c>
      <c r="I5107" s="25" t="inlineStr">
        <is>
          <t>1 minute(s) and 50 second(s)</t>
        </is>
      </c>
      <c r="J5107" s="25">
        <f>IFERROR(VALUE(TRIM(LEFT(I5107,FIND("minute",I5107)-1)))*60,0)+IFERROR(VALUE(SUBSTITUTE(MID(I5107,IFERROR(FIND("and",I5107)+3,1),20),"second(s)","")),0)</f>
        <v/>
      </c>
      <c r="K5107" s="41">
        <f>J5107/60</f>
        <v/>
      </c>
      <c r="L5107" s="41">
        <f>IFERROR(J5107/H5107,"")</f>
        <v/>
      </c>
      <c r="M5107" s="25" t="inlineStr">
        <is>
          <t>2.5.12</t>
        </is>
      </c>
      <c r="N5107" s="25">
        <f>IF(J5107&gt;300,1,0)</f>
        <v/>
      </c>
      <c r="O5107" s="25">
        <f>IF(J5107&gt;600,1,0)</f>
        <v/>
      </c>
      <c r="P5107" s="25">
        <f>IF(H5107&gt;0,J5107,"")</f>
        <v/>
      </c>
      <c r="Q5107" s="25">
        <f>TEXT(A5107,"YYYY-MM-DD HH")</f>
        <v/>
      </c>
      <c r="R5107" s="25">
        <f>COUNTIF($Q$2:$Q$5295,Q5107)</f>
        <v/>
      </c>
      <c r="S5107" s="25">
        <f>IF(R5107&lt;=2,"1-2",IF(R5107&lt;=5,"3-5",IF(R5107&lt;=10,"6-10","11+")))</f>
        <v/>
      </c>
    </row>
    <row r="5108">
      <c r="A5108" s="39" t="n">
        <v>46239.20570601852</v>
      </c>
      <c r="B5108" s="25">
        <f>TEXT(A5108,"YYYY-MM")</f>
        <v/>
      </c>
      <c r="C5108" s="25">
        <f>TEXT(A5108,"MMM-YYYY")</f>
        <v/>
      </c>
      <c r="D5108" s="40">
        <f>INT(A5108)-WEEKDAY(A5108,2)+1</f>
        <v/>
      </c>
      <c r="E5108" s="25" t="inlineStr">
        <is>
          <t>shassan</t>
        </is>
      </c>
      <c r="F5108" s="25" t="n">
        <v>136193</v>
      </c>
      <c r="G5108" s="25" t="n">
        <v>1</v>
      </c>
      <c r="H5108" s="25" t="n">
        <v>5</v>
      </c>
      <c r="I5108" s="25" t="inlineStr">
        <is>
          <t>1 minute(s) and 0 second(s)</t>
        </is>
      </c>
      <c r="J5108" s="25">
        <f>IFERROR(VALUE(TRIM(LEFT(I5108,FIND("minute",I5108)-1)))*60,0)+IFERROR(VALUE(SUBSTITUTE(MID(I5108,IFERROR(FIND("and",I5108)+3,1),20),"second(s)","")),0)</f>
        <v/>
      </c>
      <c r="K5108" s="41">
        <f>J5108/60</f>
        <v/>
      </c>
      <c r="L5108" s="41">
        <f>IFERROR(J5108/H5108,"")</f>
        <v/>
      </c>
      <c r="M5108" s="25" t="n">
        <v>3.4</v>
      </c>
      <c r="N5108" s="25">
        <f>IF(J5108&gt;300,1,0)</f>
        <v/>
      </c>
      <c r="O5108" s="25">
        <f>IF(J5108&gt;600,1,0)</f>
        <v/>
      </c>
      <c r="P5108" s="25">
        <f>IF(H5108&gt;0,J5108,"")</f>
        <v/>
      </c>
      <c r="Q5108" s="25">
        <f>TEXT(A5108,"YYYY-MM-DD HH")</f>
        <v/>
      </c>
      <c r="R5108" s="25">
        <f>COUNTIF($Q$2:$Q$5295,Q5108)</f>
        <v/>
      </c>
      <c r="S5108" s="25">
        <f>IF(R5108&lt;=2,"1-2",IF(R5108&lt;=5,"3-5",IF(R5108&lt;=10,"6-10","11+")))</f>
        <v/>
      </c>
    </row>
    <row r="5109">
      <c r="A5109" s="39" t="n">
        <v>46239.21725694444</v>
      </c>
      <c r="B5109" s="25">
        <f>TEXT(A5109,"YYYY-MM")</f>
        <v/>
      </c>
      <c r="C5109" s="25">
        <f>TEXT(A5109,"MMM-YYYY")</f>
        <v/>
      </c>
      <c r="D5109" s="40">
        <f>INT(A5109)-WEEKDAY(A5109,2)+1</f>
        <v/>
      </c>
      <c r="E5109" s="25" t="inlineStr">
        <is>
          <t>sswati</t>
        </is>
      </c>
      <c r="F5109" s="25" t="n">
        <v>134997</v>
      </c>
      <c r="G5109" s="25" t="n">
        <v>4</v>
      </c>
      <c r="H5109" s="25" t="n">
        <v>22</v>
      </c>
      <c r="I5109" s="25" t="inlineStr">
        <is>
          <t>3 minute(s) and 7 second(s)</t>
        </is>
      </c>
      <c r="J5109" s="25">
        <f>IFERROR(VALUE(TRIM(LEFT(I5109,FIND("minute",I5109)-1)))*60,0)+IFERROR(VALUE(SUBSTITUTE(MID(I5109,IFERROR(FIND("and",I5109)+3,1),20),"second(s)","")),0)</f>
        <v/>
      </c>
      <c r="K5109" s="41">
        <f>J5109/60</f>
        <v/>
      </c>
      <c r="L5109" s="41">
        <f>IFERROR(J5109/H5109,"")</f>
        <v/>
      </c>
      <c r="M5109" s="25" t="n">
        <v>3.4</v>
      </c>
      <c r="N5109" s="25">
        <f>IF(J5109&gt;300,1,0)</f>
        <v/>
      </c>
      <c r="O5109" s="25">
        <f>IF(J5109&gt;600,1,0)</f>
        <v/>
      </c>
      <c r="P5109" s="25">
        <f>IF(H5109&gt;0,J5109,"")</f>
        <v/>
      </c>
      <c r="Q5109" s="25">
        <f>TEXT(A5109,"YYYY-MM-DD HH")</f>
        <v/>
      </c>
      <c r="R5109" s="25">
        <f>COUNTIF($Q$2:$Q$5295,Q5109)</f>
        <v/>
      </c>
      <c r="S5109" s="25">
        <f>IF(R5109&lt;=2,"1-2",IF(R5109&lt;=5,"3-5",IF(R5109&lt;=10,"6-10","11+")))</f>
        <v/>
      </c>
    </row>
    <row r="5110">
      <c r="A5110" s="39" t="n">
        <v>46239.21934027778</v>
      </c>
      <c r="B5110" s="25">
        <f>TEXT(A5110,"YYYY-MM")</f>
        <v/>
      </c>
      <c r="C5110" s="25">
        <f>TEXT(A5110,"MMM-YYYY")</f>
        <v/>
      </c>
      <c r="D5110" s="40">
        <f>INT(A5110)-WEEKDAY(A5110,2)+1</f>
        <v/>
      </c>
      <c r="E5110" s="25" t="inlineStr">
        <is>
          <t>taggarwal</t>
        </is>
      </c>
      <c r="F5110" s="25" t="n">
        <v>135061</v>
      </c>
      <c r="G5110" s="25" t="n">
        <v>1</v>
      </c>
      <c r="H5110" s="25" t="n">
        <v>6</v>
      </c>
      <c r="I5110" s="25" t="inlineStr">
        <is>
          <t>46 second(s)</t>
        </is>
      </c>
      <c r="J5110" s="25">
        <f>IFERROR(VALUE(TRIM(LEFT(I5110,FIND("minute",I5110)-1)))*60,0)+IFERROR(VALUE(SUBSTITUTE(MID(I5110,IFERROR(FIND("and",I5110)+3,1),20),"second(s)","")),0)</f>
        <v/>
      </c>
      <c r="K5110" s="41">
        <f>J5110/60</f>
        <v/>
      </c>
      <c r="L5110" s="41">
        <f>IFERROR(J5110/H5110,"")</f>
        <v/>
      </c>
      <c r="M5110" s="25" t="n">
        <v>3.4</v>
      </c>
      <c r="N5110" s="25">
        <f>IF(J5110&gt;300,1,0)</f>
        <v/>
      </c>
      <c r="O5110" s="25">
        <f>IF(J5110&gt;600,1,0)</f>
        <v/>
      </c>
      <c r="P5110" s="25">
        <f>IF(H5110&gt;0,J5110,"")</f>
        <v/>
      </c>
      <c r="Q5110" s="25">
        <f>TEXT(A5110,"YYYY-MM-DD HH")</f>
        <v/>
      </c>
      <c r="R5110" s="25">
        <f>COUNTIF($Q$2:$Q$5295,Q5110)</f>
        <v/>
      </c>
      <c r="S5110" s="25">
        <f>IF(R5110&lt;=2,"1-2",IF(R5110&lt;=5,"3-5",IF(R5110&lt;=10,"6-10","11+")))</f>
        <v/>
      </c>
    </row>
    <row r="5111">
      <c r="A5111" s="39" t="n">
        <v>46239.221875</v>
      </c>
      <c r="B5111" s="25">
        <f>TEXT(A5111,"YYYY-MM")</f>
        <v/>
      </c>
      <c r="C5111" s="25">
        <f>TEXT(A5111,"MMM-YYYY")</f>
        <v/>
      </c>
      <c r="D5111" s="40">
        <f>INT(A5111)-WEEKDAY(A5111,2)+1</f>
        <v/>
      </c>
      <c r="E5111" s="25" t="inlineStr">
        <is>
          <t>bverma</t>
        </is>
      </c>
      <c r="F5111" s="25" t="n">
        <v>139257</v>
      </c>
      <c r="G5111" s="25" t="n">
        <v>3</v>
      </c>
      <c r="H5111" s="25" t="n">
        <v>15</v>
      </c>
      <c r="I5111" s="25" t="inlineStr">
        <is>
          <t>2 minute(s) and 21 second(s)</t>
        </is>
      </c>
      <c r="J5111" s="25">
        <f>IFERROR(VALUE(TRIM(LEFT(I5111,FIND("minute",I5111)-1)))*60,0)+IFERROR(VALUE(SUBSTITUTE(MID(I5111,IFERROR(FIND("and",I5111)+3,1),20),"second(s)","")),0)</f>
        <v/>
      </c>
      <c r="K5111" s="41">
        <f>J5111/60</f>
        <v/>
      </c>
      <c r="L5111" s="41">
        <f>IFERROR(J5111/H5111,"")</f>
        <v/>
      </c>
      <c r="M5111" s="25" t="n">
        <v>3.4</v>
      </c>
      <c r="N5111" s="25">
        <f>IF(J5111&gt;300,1,0)</f>
        <v/>
      </c>
      <c r="O5111" s="25">
        <f>IF(J5111&gt;600,1,0)</f>
        <v/>
      </c>
      <c r="P5111" s="25">
        <f>IF(H5111&gt;0,J5111,"")</f>
        <v/>
      </c>
      <c r="Q5111" s="25">
        <f>TEXT(A5111,"YYYY-MM-DD HH")</f>
        <v/>
      </c>
      <c r="R5111" s="25">
        <f>COUNTIF($Q$2:$Q$5295,Q5111)</f>
        <v/>
      </c>
      <c r="S5111" s="25">
        <f>IF(R5111&lt;=2,"1-2",IF(R5111&lt;=5,"3-5",IF(R5111&lt;=10,"6-10","11+")))</f>
        <v/>
      </c>
    </row>
    <row r="5112">
      <c r="A5112" s="39" t="n">
        <v>46239.23378472222</v>
      </c>
      <c r="B5112" s="25">
        <f>TEXT(A5112,"YYYY-MM")</f>
        <v/>
      </c>
      <c r="C5112" s="25">
        <f>TEXT(A5112,"MMM-YYYY")</f>
        <v/>
      </c>
      <c r="D5112" s="40">
        <f>INT(A5112)-WEEKDAY(A5112,2)+1</f>
        <v/>
      </c>
      <c r="E5112" s="25" t="inlineStr">
        <is>
          <t>sasharma</t>
        </is>
      </c>
      <c r="F5112" s="25" t="n">
        <v>137913</v>
      </c>
      <c r="G5112" s="25" t="n">
        <v>4</v>
      </c>
      <c r="H5112" s="25" t="n">
        <v>24</v>
      </c>
      <c r="I5112" s="25" t="inlineStr">
        <is>
          <t>2 minute(s) and 4 second(s)</t>
        </is>
      </c>
      <c r="J5112" s="25">
        <f>IFERROR(VALUE(TRIM(LEFT(I5112,FIND("minute",I5112)-1)))*60,0)+IFERROR(VALUE(SUBSTITUTE(MID(I5112,IFERROR(FIND("and",I5112)+3,1),20),"second(s)","")),0)</f>
        <v/>
      </c>
      <c r="K5112" s="41">
        <f>J5112/60</f>
        <v/>
      </c>
      <c r="L5112" s="41">
        <f>IFERROR(J5112/H5112,"")</f>
        <v/>
      </c>
      <c r="M5112" s="25" t="inlineStr">
        <is>
          <t>2.5.12</t>
        </is>
      </c>
      <c r="N5112" s="25">
        <f>IF(J5112&gt;300,1,0)</f>
        <v/>
      </c>
      <c r="O5112" s="25">
        <f>IF(J5112&gt;600,1,0)</f>
        <v/>
      </c>
      <c r="P5112" s="25">
        <f>IF(H5112&gt;0,J5112,"")</f>
        <v/>
      </c>
      <c r="Q5112" s="25">
        <f>TEXT(A5112,"YYYY-MM-DD HH")</f>
        <v/>
      </c>
      <c r="R5112" s="25">
        <f>COUNTIF($Q$2:$Q$5295,Q5112)</f>
        <v/>
      </c>
      <c r="S5112" s="25">
        <f>IF(R5112&lt;=2,"1-2",IF(R5112&lt;=5,"3-5",IF(R5112&lt;=10,"6-10","11+")))</f>
        <v/>
      </c>
    </row>
    <row r="5113">
      <c r="A5113" s="39" t="n">
        <v>46239.23856481481</v>
      </c>
      <c r="B5113" s="25">
        <f>TEXT(A5113,"YYYY-MM")</f>
        <v/>
      </c>
      <c r="C5113" s="25">
        <f>TEXT(A5113,"MMM-YYYY")</f>
        <v/>
      </c>
      <c r="D5113" s="40">
        <f>INT(A5113)-WEEKDAY(A5113,2)+1</f>
        <v/>
      </c>
      <c r="E5113" s="25" t="inlineStr">
        <is>
          <t>mgupta</t>
        </is>
      </c>
      <c r="F5113" s="25" t="n">
        <v>134955</v>
      </c>
      <c r="G5113" s="25" t="n">
        <v>2</v>
      </c>
      <c r="H5113" s="25" t="n">
        <v>10</v>
      </c>
      <c r="I5113" s="25" t="inlineStr">
        <is>
          <t>1 minute(s) and 52 second(s)</t>
        </is>
      </c>
      <c r="J5113" s="25">
        <f>IFERROR(VALUE(TRIM(LEFT(I5113,FIND("minute",I5113)-1)))*60,0)+IFERROR(VALUE(SUBSTITUTE(MID(I5113,IFERROR(FIND("and",I5113)+3,1),20),"second(s)","")),0)</f>
        <v/>
      </c>
      <c r="K5113" s="41">
        <f>J5113/60</f>
        <v/>
      </c>
      <c r="L5113" s="41">
        <f>IFERROR(J5113/H5113,"")</f>
        <v/>
      </c>
      <c r="M5113" s="25" t="n">
        <v>3.5</v>
      </c>
      <c r="N5113" s="25">
        <f>IF(J5113&gt;300,1,0)</f>
        <v/>
      </c>
      <c r="O5113" s="25">
        <f>IF(J5113&gt;600,1,0)</f>
        <v/>
      </c>
      <c r="P5113" s="25">
        <f>IF(H5113&gt;0,J5113,"")</f>
        <v/>
      </c>
      <c r="Q5113" s="25">
        <f>TEXT(A5113,"YYYY-MM-DD HH")</f>
        <v/>
      </c>
      <c r="R5113" s="25">
        <f>COUNTIF($Q$2:$Q$5295,Q5113)</f>
        <v/>
      </c>
      <c r="S5113" s="25">
        <f>IF(R5113&lt;=2,"1-2",IF(R5113&lt;=5,"3-5",IF(R5113&lt;=10,"6-10","11+")))</f>
        <v/>
      </c>
    </row>
    <row r="5114">
      <c r="A5114" s="39" t="n">
        <v>46239.26049768519</v>
      </c>
      <c r="B5114" s="25">
        <f>TEXT(A5114,"YYYY-MM")</f>
        <v/>
      </c>
      <c r="C5114" s="25">
        <f>TEXT(A5114,"MMM-YYYY")</f>
        <v/>
      </c>
      <c r="D5114" s="40">
        <f>INT(A5114)-WEEKDAY(A5114,2)+1</f>
        <v/>
      </c>
      <c r="E5114" s="25" t="inlineStr">
        <is>
          <t>larora</t>
        </is>
      </c>
      <c r="F5114" s="25" t="n">
        <v>136473</v>
      </c>
      <c r="G5114" s="25" t="n">
        <v>4</v>
      </c>
      <c r="H5114" s="25" t="n">
        <v>28</v>
      </c>
      <c r="I5114" s="25" t="inlineStr">
        <is>
          <t>3 minute(s) and 10 second(s)</t>
        </is>
      </c>
      <c r="J5114" s="25">
        <f>IFERROR(VALUE(TRIM(LEFT(I5114,FIND("minute",I5114)-1)))*60,0)+IFERROR(VALUE(SUBSTITUTE(MID(I5114,IFERROR(FIND("and",I5114)+3,1),20),"second(s)","")),0)</f>
        <v/>
      </c>
      <c r="K5114" s="41">
        <f>J5114/60</f>
        <v/>
      </c>
      <c r="L5114" s="41">
        <f>IFERROR(J5114/H5114,"")</f>
        <v/>
      </c>
      <c r="M5114" s="25" t="n">
        <v>3.4</v>
      </c>
      <c r="N5114" s="25">
        <f>IF(J5114&gt;300,1,0)</f>
        <v/>
      </c>
      <c r="O5114" s="25">
        <f>IF(J5114&gt;600,1,0)</f>
        <v/>
      </c>
      <c r="P5114" s="25">
        <f>IF(H5114&gt;0,J5114,"")</f>
        <v/>
      </c>
      <c r="Q5114" s="25">
        <f>TEXT(A5114,"YYYY-MM-DD HH")</f>
        <v/>
      </c>
      <c r="R5114" s="25">
        <f>COUNTIF($Q$2:$Q$5295,Q5114)</f>
        <v/>
      </c>
      <c r="S5114" s="25">
        <f>IF(R5114&lt;=2,"1-2",IF(R5114&lt;=5,"3-5",IF(R5114&lt;=10,"6-10","11+")))</f>
        <v/>
      </c>
    </row>
    <row r="5115">
      <c r="A5115" s="39" t="n">
        <v>46239.26542824074</v>
      </c>
      <c r="B5115" s="25">
        <f>TEXT(A5115,"YYYY-MM")</f>
        <v/>
      </c>
      <c r="C5115" s="25">
        <f>TEXT(A5115,"MMM-YYYY")</f>
        <v/>
      </c>
      <c r="D5115" s="40">
        <f>INT(A5115)-WEEKDAY(A5115,2)+1</f>
        <v/>
      </c>
      <c r="E5115" s="25" t="inlineStr">
        <is>
          <t>sthomas</t>
        </is>
      </c>
      <c r="F5115" s="25" t="n">
        <v>133877</v>
      </c>
      <c r="G5115" s="25" t="n">
        <v>2</v>
      </c>
      <c r="H5115" s="25" t="n">
        <v>10</v>
      </c>
      <c r="I5115" s="25" t="inlineStr">
        <is>
          <t>1 minute(s) and 18 second(s)</t>
        </is>
      </c>
      <c r="J5115" s="25">
        <f>IFERROR(VALUE(TRIM(LEFT(I5115,FIND("minute",I5115)-1)))*60,0)+IFERROR(VALUE(SUBSTITUTE(MID(I5115,IFERROR(FIND("and",I5115)+3,1),20),"second(s)","")),0)</f>
        <v/>
      </c>
      <c r="K5115" s="41">
        <f>J5115/60</f>
        <v/>
      </c>
      <c r="L5115" s="41">
        <f>IFERROR(J5115/H5115,"")</f>
        <v/>
      </c>
      <c r="M5115" s="25" t="n">
        <v>3.4</v>
      </c>
      <c r="N5115" s="25">
        <f>IF(J5115&gt;300,1,0)</f>
        <v/>
      </c>
      <c r="O5115" s="25">
        <f>IF(J5115&gt;600,1,0)</f>
        <v/>
      </c>
      <c r="P5115" s="25">
        <f>IF(H5115&gt;0,J5115,"")</f>
        <v/>
      </c>
      <c r="Q5115" s="25">
        <f>TEXT(A5115,"YYYY-MM-DD HH")</f>
        <v/>
      </c>
      <c r="R5115" s="25">
        <f>COUNTIF($Q$2:$Q$5295,Q5115)</f>
        <v/>
      </c>
      <c r="S5115" s="25">
        <f>IF(R5115&lt;=2,"1-2",IF(R5115&lt;=5,"3-5",IF(R5115&lt;=10,"6-10","11+")))</f>
        <v/>
      </c>
    </row>
    <row r="5116">
      <c r="A5116" s="39" t="n">
        <v>46239.26576388889</v>
      </c>
      <c r="B5116" s="25">
        <f>TEXT(A5116,"YYYY-MM")</f>
        <v/>
      </c>
      <c r="C5116" s="25">
        <f>TEXT(A5116,"MMM-YYYY")</f>
        <v/>
      </c>
      <c r="D5116" s="40">
        <f>INT(A5116)-WEEKDAY(A5116,2)+1</f>
        <v/>
      </c>
      <c r="E5116" s="25" t="inlineStr">
        <is>
          <t>npriya</t>
        </is>
      </c>
      <c r="F5116" s="25" t="n">
        <v>138024</v>
      </c>
      <c r="G5116" s="25" t="n">
        <v>1</v>
      </c>
      <c r="H5116" s="25" t="n">
        <v>7</v>
      </c>
      <c r="I5116" s="25" t="inlineStr">
        <is>
          <t>54 second(s)</t>
        </is>
      </c>
      <c r="J5116" s="25">
        <f>IFERROR(VALUE(TRIM(LEFT(I5116,FIND("minute",I5116)-1)))*60,0)+IFERROR(VALUE(SUBSTITUTE(MID(I5116,IFERROR(FIND("and",I5116)+3,1),20),"second(s)","")),0)</f>
        <v/>
      </c>
      <c r="K5116" s="41">
        <f>J5116/60</f>
        <v/>
      </c>
      <c r="L5116" s="41">
        <f>IFERROR(J5116/H5116,"")</f>
        <v/>
      </c>
      <c r="M5116" s="25" t="n">
        <v>3.4</v>
      </c>
      <c r="N5116" s="25">
        <f>IF(J5116&gt;300,1,0)</f>
        <v/>
      </c>
      <c r="O5116" s="25">
        <f>IF(J5116&gt;600,1,0)</f>
        <v/>
      </c>
      <c r="P5116" s="25">
        <f>IF(H5116&gt;0,J5116,"")</f>
        <v/>
      </c>
      <c r="Q5116" s="25">
        <f>TEXT(A5116,"YYYY-MM-DD HH")</f>
        <v/>
      </c>
      <c r="R5116" s="25">
        <f>COUNTIF($Q$2:$Q$5295,Q5116)</f>
        <v/>
      </c>
      <c r="S5116" s="25">
        <f>IF(R5116&lt;=2,"1-2",IF(R5116&lt;=5,"3-5",IF(R5116&lt;=10,"6-10","11+")))</f>
        <v/>
      </c>
    </row>
    <row r="5117">
      <c r="A5117" s="39" t="n">
        <v>46239.26731481482</v>
      </c>
      <c r="B5117" s="25">
        <f>TEXT(A5117,"YYYY-MM")</f>
        <v/>
      </c>
      <c r="C5117" s="25">
        <f>TEXT(A5117,"MMM-YYYY")</f>
        <v/>
      </c>
      <c r="D5117" s="40">
        <f>INT(A5117)-WEEKDAY(A5117,2)+1</f>
        <v/>
      </c>
      <c r="E5117" s="25" t="inlineStr">
        <is>
          <t>mgupta</t>
        </is>
      </c>
      <c r="F5117" s="25" t="n">
        <v>138851</v>
      </c>
      <c r="G5117" s="25" t="n">
        <v>2</v>
      </c>
      <c r="H5117" s="25" t="n">
        <v>6</v>
      </c>
      <c r="I5117" s="25" t="inlineStr">
        <is>
          <t>58 second(s)</t>
        </is>
      </c>
      <c r="J5117" s="25">
        <f>IFERROR(VALUE(TRIM(LEFT(I5117,FIND("minute",I5117)-1)))*60,0)+IFERROR(VALUE(SUBSTITUTE(MID(I5117,IFERROR(FIND("and",I5117)+3,1),20),"second(s)","")),0)</f>
        <v/>
      </c>
      <c r="K5117" s="41">
        <f>J5117/60</f>
        <v/>
      </c>
      <c r="L5117" s="41">
        <f>IFERROR(J5117/H5117,"")</f>
        <v/>
      </c>
      <c r="M5117" s="25" t="n">
        <v>3.5</v>
      </c>
      <c r="N5117" s="25">
        <f>IF(J5117&gt;300,1,0)</f>
        <v/>
      </c>
      <c r="O5117" s="25">
        <f>IF(J5117&gt;600,1,0)</f>
        <v/>
      </c>
      <c r="P5117" s="25">
        <f>IF(H5117&gt;0,J5117,"")</f>
        <v/>
      </c>
      <c r="Q5117" s="25">
        <f>TEXT(A5117,"YYYY-MM-DD HH")</f>
        <v/>
      </c>
      <c r="R5117" s="25">
        <f>COUNTIF($Q$2:$Q$5295,Q5117)</f>
        <v/>
      </c>
      <c r="S5117" s="25">
        <f>IF(R5117&lt;=2,"1-2",IF(R5117&lt;=5,"3-5",IF(R5117&lt;=10,"6-10","11+")))</f>
        <v/>
      </c>
    </row>
    <row r="5118">
      <c r="A5118" s="39" t="n">
        <v>46239.26752314815</v>
      </c>
      <c r="B5118" s="25">
        <f>TEXT(A5118,"YYYY-MM")</f>
        <v/>
      </c>
      <c r="C5118" s="25">
        <f>TEXT(A5118,"MMM-YYYY")</f>
        <v/>
      </c>
      <c r="D5118" s="40">
        <f>INT(A5118)-WEEKDAY(A5118,2)+1</f>
        <v/>
      </c>
      <c r="E5118" s="25" t="inlineStr">
        <is>
          <t>ethomas</t>
        </is>
      </c>
      <c r="F5118" s="25" t="n">
        <v>139226</v>
      </c>
      <c r="G5118" s="25" t="n">
        <v>4</v>
      </c>
      <c r="H5118" s="25" t="n">
        <v>24</v>
      </c>
      <c r="I5118" s="25" t="inlineStr">
        <is>
          <t>3 minute(s) and 13 second(s)</t>
        </is>
      </c>
      <c r="J5118" s="25">
        <f>IFERROR(VALUE(TRIM(LEFT(I5118,FIND("minute",I5118)-1)))*60,0)+IFERROR(VALUE(SUBSTITUTE(MID(I5118,IFERROR(FIND("and",I5118)+3,1),20),"second(s)","")),0)</f>
        <v/>
      </c>
      <c r="K5118" s="41">
        <f>J5118/60</f>
        <v/>
      </c>
      <c r="L5118" s="41">
        <f>IFERROR(J5118/H5118,"")</f>
        <v/>
      </c>
      <c r="M5118" s="25" t="n">
        <v>3.4</v>
      </c>
      <c r="N5118" s="25">
        <f>IF(J5118&gt;300,1,0)</f>
        <v/>
      </c>
      <c r="O5118" s="25">
        <f>IF(J5118&gt;600,1,0)</f>
        <v/>
      </c>
      <c r="P5118" s="25">
        <f>IF(H5118&gt;0,J5118,"")</f>
        <v/>
      </c>
      <c r="Q5118" s="25">
        <f>TEXT(A5118,"YYYY-MM-DD HH")</f>
        <v/>
      </c>
      <c r="R5118" s="25">
        <f>COUNTIF($Q$2:$Q$5295,Q5118)</f>
        <v/>
      </c>
      <c r="S5118" s="25">
        <f>IF(R5118&lt;=2,"1-2",IF(R5118&lt;=5,"3-5",IF(R5118&lt;=10,"6-10","11+")))</f>
        <v/>
      </c>
    </row>
    <row r="5119">
      <c r="A5119" s="39" t="n">
        <v>46239.2705787037</v>
      </c>
      <c r="B5119" s="25">
        <f>TEXT(A5119,"YYYY-MM")</f>
        <v/>
      </c>
      <c r="C5119" s="25">
        <f>TEXT(A5119,"MMM-YYYY")</f>
        <v/>
      </c>
      <c r="D5119" s="40">
        <f>INT(A5119)-WEEKDAY(A5119,2)+1</f>
        <v/>
      </c>
      <c r="E5119" s="25" t="inlineStr">
        <is>
          <t>psathwika</t>
        </is>
      </c>
      <c r="F5119" s="25" t="n">
        <v>137005</v>
      </c>
      <c r="G5119" s="25" t="n">
        <v>1</v>
      </c>
      <c r="H5119" s="25" t="n">
        <v>7</v>
      </c>
      <c r="I5119" s="25" t="inlineStr">
        <is>
          <t>1 minute(s) and 49 second(s)</t>
        </is>
      </c>
      <c r="J5119" s="25">
        <f>IFERROR(VALUE(TRIM(LEFT(I5119,FIND("minute",I5119)-1)))*60,0)+IFERROR(VALUE(SUBSTITUTE(MID(I5119,IFERROR(FIND("and",I5119)+3,1),20),"second(s)","")),0)</f>
        <v/>
      </c>
      <c r="K5119" s="41">
        <f>J5119/60</f>
        <v/>
      </c>
      <c r="L5119" s="41">
        <f>IFERROR(J5119/H5119,"")</f>
        <v/>
      </c>
      <c r="M5119" s="25" t="inlineStr">
        <is>
          <t>2.5.12</t>
        </is>
      </c>
      <c r="N5119" s="25">
        <f>IF(J5119&gt;300,1,0)</f>
        <v/>
      </c>
      <c r="O5119" s="25">
        <f>IF(J5119&gt;600,1,0)</f>
        <v/>
      </c>
      <c r="P5119" s="25">
        <f>IF(H5119&gt;0,J5119,"")</f>
        <v/>
      </c>
      <c r="Q5119" s="25">
        <f>TEXT(A5119,"YYYY-MM-DD HH")</f>
        <v/>
      </c>
      <c r="R5119" s="25">
        <f>COUNTIF($Q$2:$Q$5295,Q5119)</f>
        <v/>
      </c>
      <c r="S5119" s="25">
        <f>IF(R5119&lt;=2,"1-2",IF(R5119&lt;=5,"3-5",IF(R5119&lt;=10,"6-10","11+")))</f>
        <v/>
      </c>
    </row>
    <row r="5120">
      <c r="A5120" s="39" t="n">
        <v>46239.27278935185</v>
      </c>
      <c r="B5120" s="25">
        <f>TEXT(A5120,"YYYY-MM")</f>
        <v/>
      </c>
      <c r="C5120" s="25">
        <f>TEXT(A5120,"MMM-YYYY")</f>
        <v/>
      </c>
      <c r="D5120" s="40">
        <f>INT(A5120)-WEEKDAY(A5120,2)+1</f>
        <v/>
      </c>
      <c r="E5120" s="25" t="inlineStr">
        <is>
          <t>ns</t>
        </is>
      </c>
      <c r="F5120" s="25" t="n">
        <v>136845</v>
      </c>
      <c r="G5120" s="25" t="n">
        <v>3</v>
      </c>
      <c r="H5120" s="25" t="n">
        <v>15</v>
      </c>
      <c r="I5120" s="25" t="inlineStr">
        <is>
          <t>2 minute(s) and 2 second(s)</t>
        </is>
      </c>
      <c r="J5120" s="25">
        <f>IFERROR(VALUE(TRIM(LEFT(I5120,FIND("minute",I5120)-1)))*60,0)+IFERROR(VALUE(SUBSTITUTE(MID(I5120,IFERROR(FIND("and",I5120)+3,1),20),"second(s)","")),0)</f>
        <v/>
      </c>
      <c r="K5120" s="41">
        <f>J5120/60</f>
        <v/>
      </c>
      <c r="L5120" s="41">
        <f>IFERROR(J5120/H5120,"")</f>
        <v/>
      </c>
      <c r="M5120" s="25" t="n">
        <v>3.4</v>
      </c>
      <c r="N5120" s="25">
        <f>IF(J5120&gt;300,1,0)</f>
        <v/>
      </c>
      <c r="O5120" s="25">
        <f>IF(J5120&gt;600,1,0)</f>
        <v/>
      </c>
      <c r="P5120" s="25">
        <f>IF(H5120&gt;0,J5120,"")</f>
        <v/>
      </c>
      <c r="Q5120" s="25">
        <f>TEXT(A5120,"YYYY-MM-DD HH")</f>
        <v/>
      </c>
      <c r="R5120" s="25">
        <f>COUNTIF($Q$2:$Q$5295,Q5120)</f>
        <v/>
      </c>
      <c r="S5120" s="25">
        <f>IF(R5120&lt;=2,"1-2",IF(R5120&lt;=5,"3-5",IF(R5120&lt;=10,"6-10","11+")))</f>
        <v/>
      </c>
    </row>
    <row r="5121">
      <c r="A5121" s="39" t="n">
        <v>46239.27545138889</v>
      </c>
      <c r="B5121" s="25">
        <f>TEXT(A5121,"YYYY-MM")</f>
        <v/>
      </c>
      <c r="C5121" s="25">
        <f>TEXT(A5121,"MMM-YYYY")</f>
        <v/>
      </c>
      <c r="D5121" s="40">
        <f>INT(A5121)-WEEKDAY(A5121,2)+1</f>
        <v/>
      </c>
      <c r="E5121" s="25" t="inlineStr">
        <is>
          <t>abanerjee</t>
        </is>
      </c>
      <c r="F5121" s="25" t="n">
        <v>136481</v>
      </c>
      <c r="G5121" s="25" t="n">
        <v>1</v>
      </c>
      <c r="H5121" s="25" t="n">
        <v>7</v>
      </c>
      <c r="I5121" s="25" t="inlineStr">
        <is>
          <t>1 minute(s) and 5 second(s)</t>
        </is>
      </c>
      <c r="J5121" s="25">
        <f>IFERROR(VALUE(TRIM(LEFT(I5121,FIND("minute",I5121)-1)))*60,0)+IFERROR(VALUE(SUBSTITUTE(MID(I5121,IFERROR(FIND("and",I5121)+3,1),20),"second(s)","")),0)</f>
        <v/>
      </c>
      <c r="K5121" s="41">
        <f>J5121/60</f>
        <v/>
      </c>
      <c r="L5121" s="41">
        <f>IFERROR(J5121/H5121,"")</f>
        <v/>
      </c>
      <c r="M5121" s="25" t="n">
        <v>3.4</v>
      </c>
      <c r="N5121" s="25">
        <f>IF(J5121&gt;300,1,0)</f>
        <v/>
      </c>
      <c r="O5121" s="25">
        <f>IF(J5121&gt;600,1,0)</f>
        <v/>
      </c>
      <c r="P5121" s="25">
        <f>IF(H5121&gt;0,J5121,"")</f>
        <v/>
      </c>
      <c r="Q5121" s="25">
        <f>TEXT(A5121,"YYYY-MM-DD HH")</f>
        <v/>
      </c>
      <c r="R5121" s="25">
        <f>COUNTIF($Q$2:$Q$5295,Q5121)</f>
        <v/>
      </c>
      <c r="S5121" s="25">
        <f>IF(R5121&lt;=2,"1-2",IF(R5121&lt;=5,"3-5",IF(R5121&lt;=10,"6-10","11+")))</f>
        <v/>
      </c>
    </row>
    <row r="5122">
      <c r="A5122" s="39" t="n">
        <v>46239.27706018519</v>
      </c>
      <c r="B5122" s="25">
        <f>TEXT(A5122,"YYYY-MM")</f>
        <v/>
      </c>
      <c r="C5122" s="25">
        <f>TEXT(A5122,"MMM-YYYY")</f>
        <v/>
      </c>
      <c r="D5122" s="40">
        <f>INT(A5122)-WEEKDAY(A5122,2)+1</f>
        <v/>
      </c>
      <c r="E5122" s="25" t="inlineStr">
        <is>
          <t>stiwari</t>
        </is>
      </c>
      <c r="F5122" s="25" t="n">
        <v>138662</v>
      </c>
      <c r="G5122" s="25" t="n">
        <v>1</v>
      </c>
      <c r="H5122" s="25" t="n">
        <v>8</v>
      </c>
      <c r="I5122" s="25" t="inlineStr">
        <is>
          <t>9 minute(s) and 31 second(s)</t>
        </is>
      </c>
      <c r="J5122" s="25">
        <f>IFERROR(VALUE(TRIM(LEFT(I5122,FIND("minute",I5122)-1)))*60,0)+IFERROR(VALUE(SUBSTITUTE(MID(I5122,IFERROR(FIND("and",I5122)+3,1),20),"second(s)","")),0)</f>
        <v/>
      </c>
      <c r="K5122" s="41">
        <f>J5122/60</f>
        <v/>
      </c>
      <c r="L5122" s="41">
        <f>IFERROR(J5122/H5122,"")</f>
        <v/>
      </c>
      <c r="M5122" s="25" t="n">
        <v>3.4</v>
      </c>
      <c r="N5122" s="25">
        <f>IF(J5122&gt;300,1,0)</f>
        <v/>
      </c>
      <c r="O5122" s="25">
        <f>IF(J5122&gt;600,1,0)</f>
        <v/>
      </c>
      <c r="P5122" s="25">
        <f>IF(H5122&gt;0,J5122,"")</f>
        <v/>
      </c>
      <c r="Q5122" s="25">
        <f>TEXT(A5122,"YYYY-MM-DD HH")</f>
        <v/>
      </c>
      <c r="R5122" s="25">
        <f>COUNTIF($Q$2:$Q$5295,Q5122)</f>
        <v/>
      </c>
      <c r="S5122" s="25">
        <f>IF(R5122&lt;=2,"1-2",IF(R5122&lt;=5,"3-5",IF(R5122&lt;=10,"6-10","11+")))</f>
        <v/>
      </c>
    </row>
    <row r="5123">
      <c r="A5123" s="39" t="n">
        <v>46239.29252314815</v>
      </c>
      <c r="B5123" s="25">
        <f>TEXT(A5123,"YYYY-MM")</f>
        <v/>
      </c>
      <c r="C5123" s="25">
        <f>TEXT(A5123,"MMM-YYYY")</f>
        <v/>
      </c>
      <c r="D5123" s="40">
        <f>INT(A5123)-WEEKDAY(A5123,2)+1</f>
        <v/>
      </c>
      <c r="E5123" s="25" t="inlineStr">
        <is>
          <t>shassan</t>
        </is>
      </c>
      <c r="F5123" s="25" t="n">
        <v>134439</v>
      </c>
      <c r="G5123" s="25" t="n">
        <v>4</v>
      </c>
      <c r="H5123" s="25" t="n">
        <v>20</v>
      </c>
      <c r="I5123" s="25" t="inlineStr">
        <is>
          <t>2 minute(s) and 30 second(s)</t>
        </is>
      </c>
      <c r="J5123" s="25">
        <f>IFERROR(VALUE(TRIM(LEFT(I5123,FIND("minute",I5123)-1)))*60,0)+IFERROR(VALUE(SUBSTITUTE(MID(I5123,IFERROR(FIND("and",I5123)+3,1),20),"second(s)","")),0)</f>
        <v/>
      </c>
      <c r="K5123" s="41">
        <f>J5123/60</f>
        <v/>
      </c>
      <c r="L5123" s="41">
        <f>IFERROR(J5123/H5123,"")</f>
        <v/>
      </c>
      <c r="M5123" s="25" t="n">
        <v>3.4</v>
      </c>
      <c r="N5123" s="25">
        <f>IF(J5123&gt;300,1,0)</f>
        <v/>
      </c>
      <c r="O5123" s="25">
        <f>IF(J5123&gt;600,1,0)</f>
        <v/>
      </c>
      <c r="P5123" s="25">
        <f>IF(H5123&gt;0,J5123,"")</f>
        <v/>
      </c>
      <c r="Q5123" s="25">
        <f>TEXT(A5123,"YYYY-MM-DD HH")</f>
        <v/>
      </c>
      <c r="R5123" s="25">
        <f>COUNTIF($Q$2:$Q$5295,Q5123)</f>
        <v/>
      </c>
      <c r="S5123" s="25">
        <f>IF(R5123&lt;=2,"1-2",IF(R5123&lt;=5,"3-5",IF(R5123&lt;=10,"6-10","11+")))</f>
        <v/>
      </c>
    </row>
    <row r="5124">
      <c r="A5124" s="39" t="n">
        <v>46239.29347222222</v>
      </c>
      <c r="B5124" s="25">
        <f>TEXT(A5124,"YYYY-MM")</f>
        <v/>
      </c>
      <c r="C5124" s="25">
        <f>TEXT(A5124,"MMM-YYYY")</f>
        <v/>
      </c>
      <c r="D5124" s="40">
        <f>INT(A5124)-WEEKDAY(A5124,2)+1</f>
        <v/>
      </c>
      <c r="E5124" s="25" t="inlineStr">
        <is>
          <t>shasikha</t>
        </is>
      </c>
      <c r="F5124" s="25" t="n">
        <v>137790</v>
      </c>
      <c r="G5124" s="25" t="n">
        <v>4</v>
      </c>
      <c r="H5124" s="25" t="n">
        <v>16</v>
      </c>
      <c r="I5124" s="25" t="inlineStr">
        <is>
          <t>2 minute(s) and 13 second(s)</t>
        </is>
      </c>
      <c r="J5124" s="25">
        <f>IFERROR(VALUE(TRIM(LEFT(I5124,FIND("minute",I5124)-1)))*60,0)+IFERROR(VALUE(SUBSTITUTE(MID(I5124,IFERROR(FIND("and",I5124)+3,1),20),"second(s)","")),0)</f>
        <v/>
      </c>
      <c r="K5124" s="41">
        <f>J5124/60</f>
        <v/>
      </c>
      <c r="L5124" s="41">
        <f>IFERROR(J5124/H5124,"")</f>
        <v/>
      </c>
      <c r="M5124" s="25" t="n">
        <v>3.4</v>
      </c>
      <c r="N5124" s="25">
        <f>IF(J5124&gt;300,1,0)</f>
        <v/>
      </c>
      <c r="O5124" s="25">
        <f>IF(J5124&gt;600,1,0)</f>
        <v/>
      </c>
      <c r="P5124" s="25">
        <f>IF(H5124&gt;0,J5124,"")</f>
        <v/>
      </c>
      <c r="Q5124" s="25">
        <f>TEXT(A5124,"YYYY-MM-DD HH")</f>
        <v/>
      </c>
      <c r="R5124" s="25">
        <f>COUNTIF($Q$2:$Q$5295,Q5124)</f>
        <v/>
      </c>
      <c r="S5124" s="25">
        <f>IF(R5124&lt;=2,"1-2",IF(R5124&lt;=5,"3-5",IF(R5124&lt;=10,"6-10","11+")))</f>
        <v/>
      </c>
    </row>
    <row r="5125">
      <c r="A5125" s="39" t="n">
        <v>46239.29672453704</v>
      </c>
      <c r="B5125" s="25">
        <f>TEXT(A5125,"YYYY-MM")</f>
        <v/>
      </c>
      <c r="C5125" s="25">
        <f>TEXT(A5125,"MMM-YYYY")</f>
        <v/>
      </c>
      <c r="D5125" s="40">
        <f>INT(A5125)-WEEKDAY(A5125,2)+1</f>
        <v/>
      </c>
      <c r="E5125" s="25" t="inlineStr">
        <is>
          <t>taggarwal</t>
        </is>
      </c>
      <c r="F5125" s="25" t="n">
        <v>135397</v>
      </c>
      <c r="G5125" s="25" t="n">
        <v>2</v>
      </c>
      <c r="H5125" s="25" t="n">
        <v>12</v>
      </c>
      <c r="I5125" s="25" t="inlineStr">
        <is>
          <t>1 minute(s) and 36 second(s)</t>
        </is>
      </c>
      <c r="J5125" s="25">
        <f>IFERROR(VALUE(TRIM(LEFT(I5125,FIND("minute",I5125)-1)))*60,0)+IFERROR(VALUE(SUBSTITUTE(MID(I5125,IFERROR(FIND("and",I5125)+3,1),20),"second(s)","")),0)</f>
        <v/>
      </c>
      <c r="K5125" s="41">
        <f>J5125/60</f>
        <v/>
      </c>
      <c r="L5125" s="41">
        <f>IFERROR(J5125/H5125,"")</f>
        <v/>
      </c>
      <c r="M5125" s="25" t="n">
        <v>3.4</v>
      </c>
      <c r="N5125" s="25">
        <f>IF(J5125&gt;300,1,0)</f>
        <v/>
      </c>
      <c r="O5125" s="25">
        <f>IF(J5125&gt;600,1,0)</f>
        <v/>
      </c>
      <c r="P5125" s="25">
        <f>IF(H5125&gt;0,J5125,"")</f>
        <v/>
      </c>
      <c r="Q5125" s="25">
        <f>TEXT(A5125,"YYYY-MM-DD HH")</f>
        <v/>
      </c>
      <c r="R5125" s="25">
        <f>COUNTIF($Q$2:$Q$5295,Q5125)</f>
        <v/>
      </c>
      <c r="S5125" s="25">
        <f>IF(R5125&lt;=2,"1-2",IF(R5125&lt;=5,"3-5",IF(R5125&lt;=10,"6-10","11+")))</f>
        <v/>
      </c>
    </row>
    <row r="5126">
      <c r="A5126" s="39" t="n">
        <v>46239.30849537037</v>
      </c>
      <c r="B5126" s="25">
        <f>TEXT(A5126,"YYYY-MM")</f>
        <v/>
      </c>
      <c r="C5126" s="25">
        <f>TEXT(A5126,"MMM-YYYY")</f>
        <v/>
      </c>
      <c r="D5126" s="40">
        <f>INT(A5126)-WEEKDAY(A5126,2)+1</f>
        <v/>
      </c>
      <c r="E5126" s="25" t="inlineStr">
        <is>
          <t>ns</t>
        </is>
      </c>
      <c r="F5126" s="25" t="n">
        <v>136853</v>
      </c>
      <c r="G5126" s="25" t="n">
        <v>1</v>
      </c>
      <c r="H5126" s="25" t="n">
        <v>5</v>
      </c>
      <c r="I5126" s="25" t="inlineStr">
        <is>
          <t>44 second(s)</t>
        </is>
      </c>
      <c r="J5126" s="25">
        <f>IFERROR(VALUE(TRIM(LEFT(I5126,FIND("minute",I5126)-1)))*60,0)+IFERROR(VALUE(SUBSTITUTE(MID(I5126,IFERROR(FIND("and",I5126)+3,1),20),"second(s)","")),0)</f>
        <v/>
      </c>
      <c r="K5126" s="41">
        <f>J5126/60</f>
        <v/>
      </c>
      <c r="L5126" s="41">
        <f>IFERROR(J5126/H5126,"")</f>
        <v/>
      </c>
      <c r="M5126" s="25" t="n">
        <v>3.4</v>
      </c>
      <c r="N5126" s="25">
        <f>IF(J5126&gt;300,1,0)</f>
        <v/>
      </c>
      <c r="O5126" s="25">
        <f>IF(J5126&gt;600,1,0)</f>
        <v/>
      </c>
      <c r="P5126" s="25">
        <f>IF(H5126&gt;0,J5126,"")</f>
        <v/>
      </c>
      <c r="Q5126" s="25">
        <f>TEXT(A5126,"YYYY-MM-DD HH")</f>
        <v/>
      </c>
      <c r="R5126" s="25">
        <f>COUNTIF($Q$2:$Q$5295,Q5126)</f>
        <v/>
      </c>
      <c r="S5126" s="25">
        <f>IF(R5126&lt;=2,"1-2",IF(R5126&lt;=5,"3-5",IF(R5126&lt;=10,"6-10","11+")))</f>
        <v/>
      </c>
    </row>
    <row r="5127">
      <c r="A5127" s="39" t="n">
        <v>46239.315625</v>
      </c>
      <c r="B5127" s="25">
        <f>TEXT(A5127,"YYYY-MM")</f>
        <v/>
      </c>
      <c r="C5127" s="25">
        <f>TEXT(A5127,"MMM-YYYY")</f>
        <v/>
      </c>
      <c r="D5127" s="40">
        <f>INT(A5127)-WEEKDAY(A5127,2)+1</f>
        <v/>
      </c>
      <c r="E5127" s="25" t="inlineStr">
        <is>
          <t>psathwika</t>
        </is>
      </c>
      <c r="F5127" s="25" t="n">
        <v>134083</v>
      </c>
      <c r="G5127" s="25" t="n">
        <v>1</v>
      </c>
      <c r="H5127" s="25" t="n">
        <v>5</v>
      </c>
      <c r="I5127" s="25" t="inlineStr">
        <is>
          <t>29 second(s)</t>
        </is>
      </c>
      <c r="J5127" s="25">
        <f>IFERROR(VALUE(TRIM(LEFT(I5127,FIND("minute",I5127)-1)))*60,0)+IFERROR(VALUE(SUBSTITUTE(MID(I5127,IFERROR(FIND("and",I5127)+3,1),20),"second(s)","")),0)</f>
        <v/>
      </c>
      <c r="K5127" s="41">
        <f>J5127/60</f>
        <v/>
      </c>
      <c r="L5127" s="41">
        <f>IFERROR(J5127/H5127,"")</f>
        <v/>
      </c>
      <c r="M5127" s="25" t="inlineStr">
        <is>
          <t>2.5.12</t>
        </is>
      </c>
      <c r="N5127" s="25">
        <f>IF(J5127&gt;300,1,0)</f>
        <v/>
      </c>
      <c r="O5127" s="25">
        <f>IF(J5127&gt;600,1,0)</f>
        <v/>
      </c>
      <c r="P5127" s="25">
        <f>IF(H5127&gt;0,J5127,"")</f>
        <v/>
      </c>
      <c r="Q5127" s="25">
        <f>TEXT(A5127,"YYYY-MM-DD HH")</f>
        <v/>
      </c>
      <c r="R5127" s="25">
        <f>COUNTIF($Q$2:$Q$5295,Q5127)</f>
        <v/>
      </c>
      <c r="S5127" s="25">
        <f>IF(R5127&lt;=2,"1-2",IF(R5127&lt;=5,"3-5",IF(R5127&lt;=10,"6-10","11+")))</f>
        <v/>
      </c>
    </row>
    <row r="5128">
      <c r="A5128" s="39" t="n">
        <v>46239.31703703704</v>
      </c>
      <c r="B5128" s="25">
        <f>TEXT(A5128,"YYYY-MM")</f>
        <v/>
      </c>
      <c r="C5128" s="25">
        <f>TEXT(A5128,"MMM-YYYY")</f>
        <v/>
      </c>
      <c r="D5128" s="40">
        <f>INT(A5128)-WEEKDAY(A5128,2)+1</f>
        <v/>
      </c>
      <c r="E5128" s="25" t="inlineStr">
        <is>
          <t>ajain</t>
        </is>
      </c>
      <c r="F5128" s="25" t="n">
        <v>138167</v>
      </c>
      <c r="G5128" s="25" t="n">
        <v>4</v>
      </c>
      <c r="H5128" s="25" t="n">
        <v>24</v>
      </c>
      <c r="I5128" s="25" t="inlineStr">
        <is>
          <t>2 minute(s) and 6 second(s)</t>
        </is>
      </c>
      <c r="J5128" s="25">
        <f>IFERROR(VALUE(TRIM(LEFT(I5128,FIND("minute",I5128)-1)))*60,0)+IFERROR(VALUE(SUBSTITUTE(MID(I5128,IFERROR(FIND("and",I5128)+3,1),20),"second(s)","")),0)</f>
        <v/>
      </c>
      <c r="K5128" s="41">
        <f>J5128/60</f>
        <v/>
      </c>
      <c r="L5128" s="41">
        <f>IFERROR(J5128/H5128,"")</f>
        <v/>
      </c>
      <c r="M5128" s="25" t="inlineStr">
        <is>
          <t>2.5.12</t>
        </is>
      </c>
      <c r="N5128" s="25">
        <f>IF(J5128&gt;300,1,0)</f>
        <v/>
      </c>
      <c r="O5128" s="25">
        <f>IF(J5128&gt;600,1,0)</f>
        <v/>
      </c>
      <c r="P5128" s="25">
        <f>IF(H5128&gt;0,J5128,"")</f>
        <v/>
      </c>
      <c r="Q5128" s="25">
        <f>TEXT(A5128,"YYYY-MM-DD HH")</f>
        <v/>
      </c>
      <c r="R5128" s="25">
        <f>COUNTIF($Q$2:$Q$5295,Q5128)</f>
        <v/>
      </c>
      <c r="S5128" s="25">
        <f>IF(R5128&lt;=2,"1-2",IF(R5128&lt;=5,"3-5",IF(R5128&lt;=10,"6-10","11+")))</f>
        <v/>
      </c>
    </row>
    <row r="5129">
      <c r="A5129" s="39" t="n">
        <v>46239.32759259259</v>
      </c>
      <c r="B5129" s="25">
        <f>TEXT(A5129,"YYYY-MM")</f>
        <v/>
      </c>
      <c r="C5129" s="25">
        <f>TEXT(A5129,"MMM-YYYY")</f>
        <v/>
      </c>
      <c r="D5129" s="40">
        <f>INT(A5129)-WEEKDAY(A5129,2)+1</f>
        <v/>
      </c>
      <c r="E5129" s="25" t="inlineStr">
        <is>
          <t>shasikha</t>
        </is>
      </c>
      <c r="F5129" s="25" t="n">
        <v>137726</v>
      </c>
      <c r="G5129" s="25" t="n">
        <v>2</v>
      </c>
      <c r="H5129" s="25" t="n">
        <v>10</v>
      </c>
      <c r="I5129" s="25" t="inlineStr">
        <is>
          <t>1 minute(s) and 20 second(s)</t>
        </is>
      </c>
      <c r="J5129" s="25">
        <f>IFERROR(VALUE(TRIM(LEFT(I5129,FIND("minute",I5129)-1)))*60,0)+IFERROR(VALUE(SUBSTITUTE(MID(I5129,IFERROR(FIND("and",I5129)+3,1),20),"second(s)","")),0)</f>
        <v/>
      </c>
      <c r="K5129" s="41">
        <f>J5129/60</f>
        <v/>
      </c>
      <c r="L5129" s="41">
        <f>IFERROR(J5129/H5129,"")</f>
        <v/>
      </c>
      <c r="M5129" s="25" t="n">
        <v>3.4</v>
      </c>
      <c r="N5129" s="25">
        <f>IF(J5129&gt;300,1,0)</f>
        <v/>
      </c>
      <c r="O5129" s="25">
        <f>IF(J5129&gt;600,1,0)</f>
        <v/>
      </c>
      <c r="P5129" s="25">
        <f>IF(H5129&gt;0,J5129,"")</f>
        <v/>
      </c>
      <c r="Q5129" s="25">
        <f>TEXT(A5129,"YYYY-MM-DD HH")</f>
        <v/>
      </c>
      <c r="R5129" s="25">
        <f>COUNTIF($Q$2:$Q$5295,Q5129)</f>
        <v/>
      </c>
      <c r="S5129" s="25">
        <f>IF(R5129&lt;=2,"1-2",IF(R5129&lt;=5,"3-5",IF(R5129&lt;=10,"6-10","11+")))</f>
        <v/>
      </c>
    </row>
    <row r="5130">
      <c r="A5130" s="39" t="n">
        <v>46239.33067129629</v>
      </c>
      <c r="B5130" s="25">
        <f>TEXT(A5130,"YYYY-MM")</f>
        <v/>
      </c>
      <c r="C5130" s="25">
        <f>TEXT(A5130,"MMM-YYYY")</f>
        <v/>
      </c>
      <c r="D5130" s="40">
        <f>INT(A5130)-WEEKDAY(A5130,2)+1</f>
        <v/>
      </c>
      <c r="E5130" s="25" t="inlineStr">
        <is>
          <t>npriya</t>
        </is>
      </c>
      <c r="F5130" s="25" t="n">
        <v>136941</v>
      </c>
      <c r="G5130" s="25" t="n">
        <v>4</v>
      </c>
      <c r="H5130" s="25" t="n">
        <v>26</v>
      </c>
      <c r="I5130" s="25" t="inlineStr">
        <is>
          <t>4 minute(s) and 24 second(s)</t>
        </is>
      </c>
      <c r="J5130" s="25">
        <f>IFERROR(VALUE(TRIM(LEFT(I5130,FIND("minute",I5130)-1)))*60,0)+IFERROR(VALUE(SUBSTITUTE(MID(I5130,IFERROR(FIND("and",I5130)+3,1),20),"second(s)","")),0)</f>
        <v/>
      </c>
      <c r="K5130" s="41">
        <f>J5130/60</f>
        <v/>
      </c>
      <c r="L5130" s="41">
        <f>IFERROR(J5130/H5130,"")</f>
        <v/>
      </c>
      <c r="M5130" s="25" t="n">
        <v>3.4</v>
      </c>
      <c r="N5130" s="25">
        <f>IF(J5130&gt;300,1,0)</f>
        <v/>
      </c>
      <c r="O5130" s="25">
        <f>IF(J5130&gt;600,1,0)</f>
        <v/>
      </c>
      <c r="P5130" s="25">
        <f>IF(H5130&gt;0,J5130,"")</f>
        <v/>
      </c>
      <c r="Q5130" s="25">
        <f>TEXT(A5130,"YYYY-MM-DD HH")</f>
        <v/>
      </c>
      <c r="R5130" s="25">
        <f>COUNTIF($Q$2:$Q$5295,Q5130)</f>
        <v/>
      </c>
      <c r="S5130" s="25">
        <f>IF(R5130&lt;=2,"1-2",IF(R5130&lt;=5,"3-5",IF(R5130&lt;=10,"6-10","11+")))</f>
        <v/>
      </c>
    </row>
    <row r="5131">
      <c r="A5131" s="39" t="n">
        <v>46239.33858796296</v>
      </c>
      <c r="B5131" s="25">
        <f>TEXT(A5131,"YYYY-MM")</f>
        <v/>
      </c>
      <c r="C5131" s="25">
        <f>TEXT(A5131,"MMM-YYYY")</f>
        <v/>
      </c>
      <c r="D5131" s="40">
        <f>INT(A5131)-WEEKDAY(A5131,2)+1</f>
        <v/>
      </c>
      <c r="E5131" s="25" t="inlineStr">
        <is>
          <t>mbhalla</t>
        </is>
      </c>
      <c r="F5131" s="25" t="n">
        <v>136072</v>
      </c>
      <c r="G5131" s="25" t="n">
        <v>2</v>
      </c>
      <c r="H5131" s="25" t="n">
        <v>12</v>
      </c>
      <c r="I5131" s="25" t="inlineStr">
        <is>
          <t>1 minute(s) and 35 second(s)</t>
        </is>
      </c>
      <c r="J5131" s="25">
        <f>IFERROR(VALUE(TRIM(LEFT(I5131,FIND("minute",I5131)-1)))*60,0)+IFERROR(VALUE(SUBSTITUTE(MID(I5131,IFERROR(FIND("and",I5131)+3,1),20),"second(s)","")),0)</f>
        <v/>
      </c>
      <c r="K5131" s="41">
        <f>J5131/60</f>
        <v/>
      </c>
      <c r="L5131" s="41">
        <f>IFERROR(J5131/H5131,"")</f>
        <v/>
      </c>
      <c r="M5131" s="25" t="n">
        <v>3.4</v>
      </c>
      <c r="N5131" s="25">
        <f>IF(J5131&gt;300,1,0)</f>
        <v/>
      </c>
      <c r="O5131" s="25">
        <f>IF(J5131&gt;600,1,0)</f>
        <v/>
      </c>
      <c r="P5131" s="25">
        <f>IF(H5131&gt;0,J5131,"")</f>
        <v/>
      </c>
      <c r="Q5131" s="25">
        <f>TEXT(A5131,"YYYY-MM-DD HH")</f>
        <v/>
      </c>
      <c r="R5131" s="25">
        <f>COUNTIF($Q$2:$Q$5295,Q5131)</f>
        <v/>
      </c>
      <c r="S5131" s="25">
        <f>IF(R5131&lt;=2,"1-2",IF(R5131&lt;=5,"3-5",IF(R5131&lt;=10,"6-10","11+")))</f>
        <v/>
      </c>
    </row>
    <row r="5132">
      <c r="A5132" s="39" t="n">
        <v>46239.34436342592</v>
      </c>
      <c r="B5132" s="25">
        <f>TEXT(A5132,"YYYY-MM")</f>
        <v/>
      </c>
      <c r="C5132" s="25">
        <f>TEXT(A5132,"MMM-YYYY")</f>
        <v/>
      </c>
      <c r="D5132" s="40">
        <f>INT(A5132)-WEEKDAY(A5132,2)+1</f>
        <v/>
      </c>
      <c r="E5132" s="25" t="inlineStr">
        <is>
          <t>bverma</t>
        </is>
      </c>
      <c r="F5132" s="25" t="n">
        <v>137930</v>
      </c>
      <c r="G5132" s="25" t="n">
        <v>3</v>
      </c>
      <c r="H5132" s="25" t="n">
        <v>17</v>
      </c>
      <c r="I5132" s="25" t="inlineStr">
        <is>
          <t>2 minute(s) and 11 second(s)</t>
        </is>
      </c>
      <c r="J5132" s="25">
        <f>IFERROR(VALUE(TRIM(LEFT(I5132,FIND("minute",I5132)-1)))*60,0)+IFERROR(VALUE(SUBSTITUTE(MID(I5132,IFERROR(FIND("and",I5132)+3,1),20),"second(s)","")),0)</f>
        <v/>
      </c>
      <c r="K5132" s="41">
        <f>J5132/60</f>
        <v/>
      </c>
      <c r="L5132" s="41">
        <f>IFERROR(J5132/H5132,"")</f>
        <v/>
      </c>
      <c r="M5132" s="25" t="n">
        <v>3.4</v>
      </c>
      <c r="N5132" s="25">
        <f>IF(J5132&gt;300,1,0)</f>
        <v/>
      </c>
      <c r="O5132" s="25">
        <f>IF(J5132&gt;600,1,0)</f>
        <v/>
      </c>
      <c r="P5132" s="25">
        <f>IF(H5132&gt;0,J5132,"")</f>
        <v/>
      </c>
      <c r="Q5132" s="25">
        <f>TEXT(A5132,"YYYY-MM-DD HH")</f>
        <v/>
      </c>
      <c r="R5132" s="25">
        <f>COUNTIF($Q$2:$Q$5295,Q5132)</f>
        <v/>
      </c>
      <c r="S5132" s="25">
        <f>IF(R5132&lt;=2,"1-2",IF(R5132&lt;=5,"3-5",IF(R5132&lt;=10,"6-10","11+")))</f>
        <v/>
      </c>
    </row>
    <row r="5133">
      <c r="A5133" s="39" t="n">
        <v>46239.34645833333</v>
      </c>
      <c r="B5133" s="25">
        <f>TEXT(A5133,"YYYY-MM")</f>
        <v/>
      </c>
      <c r="C5133" s="25">
        <f>TEXT(A5133,"MMM-YYYY")</f>
        <v/>
      </c>
      <c r="D5133" s="40">
        <f>INT(A5133)-WEEKDAY(A5133,2)+1</f>
        <v/>
      </c>
      <c r="E5133" s="25" t="inlineStr">
        <is>
          <t>psathwika</t>
        </is>
      </c>
      <c r="F5133" s="25" t="n">
        <v>134051</v>
      </c>
      <c r="G5133" s="25" t="n">
        <v>1</v>
      </c>
      <c r="H5133" s="25" t="n">
        <v>7</v>
      </c>
      <c r="I5133" s="25" t="inlineStr">
        <is>
          <t>42 second(s)</t>
        </is>
      </c>
      <c r="J5133" s="25">
        <f>IFERROR(VALUE(TRIM(LEFT(I5133,FIND("minute",I5133)-1)))*60,0)+IFERROR(VALUE(SUBSTITUTE(MID(I5133,IFERROR(FIND("and",I5133)+3,1),20),"second(s)","")),0)</f>
        <v/>
      </c>
      <c r="K5133" s="41">
        <f>J5133/60</f>
        <v/>
      </c>
      <c r="L5133" s="41">
        <f>IFERROR(J5133/H5133,"")</f>
        <v/>
      </c>
      <c r="M5133" s="25" t="inlineStr">
        <is>
          <t>2.5.12</t>
        </is>
      </c>
      <c r="N5133" s="25">
        <f>IF(J5133&gt;300,1,0)</f>
        <v/>
      </c>
      <c r="O5133" s="25">
        <f>IF(J5133&gt;600,1,0)</f>
        <v/>
      </c>
      <c r="P5133" s="25">
        <f>IF(H5133&gt;0,J5133,"")</f>
        <v/>
      </c>
      <c r="Q5133" s="25">
        <f>TEXT(A5133,"YYYY-MM-DD HH")</f>
        <v/>
      </c>
      <c r="R5133" s="25">
        <f>COUNTIF($Q$2:$Q$5295,Q5133)</f>
        <v/>
      </c>
      <c r="S5133" s="25">
        <f>IF(R5133&lt;=2,"1-2",IF(R5133&lt;=5,"3-5",IF(R5133&lt;=10,"6-10","11+")))</f>
        <v/>
      </c>
    </row>
    <row r="5134">
      <c r="A5134" s="39" t="n">
        <v>46239.34777777778</v>
      </c>
      <c r="B5134" s="25">
        <f>TEXT(A5134,"YYYY-MM")</f>
        <v/>
      </c>
      <c r="C5134" s="25">
        <f>TEXT(A5134,"MMM-YYYY")</f>
        <v/>
      </c>
      <c r="D5134" s="40">
        <f>INT(A5134)-WEEKDAY(A5134,2)+1</f>
        <v/>
      </c>
      <c r="E5134" s="25" t="inlineStr">
        <is>
          <t>larora</t>
        </is>
      </c>
      <c r="F5134" s="25" t="n">
        <v>138877</v>
      </c>
      <c r="G5134" s="25" t="n">
        <v>1</v>
      </c>
      <c r="H5134" s="25" t="n">
        <v>5</v>
      </c>
      <c r="I5134" s="25" t="inlineStr">
        <is>
          <t>59 second(s)</t>
        </is>
      </c>
      <c r="J5134" s="25">
        <f>IFERROR(VALUE(TRIM(LEFT(I5134,FIND("minute",I5134)-1)))*60,0)+IFERROR(VALUE(SUBSTITUTE(MID(I5134,IFERROR(FIND("and",I5134)+3,1),20),"second(s)","")),0)</f>
        <v/>
      </c>
      <c r="K5134" s="41">
        <f>J5134/60</f>
        <v/>
      </c>
      <c r="L5134" s="41">
        <f>IFERROR(J5134/H5134,"")</f>
        <v/>
      </c>
      <c r="M5134" s="25" t="n">
        <v>3.4</v>
      </c>
      <c r="N5134" s="25">
        <f>IF(J5134&gt;300,1,0)</f>
        <v/>
      </c>
      <c r="O5134" s="25">
        <f>IF(J5134&gt;600,1,0)</f>
        <v/>
      </c>
      <c r="P5134" s="25">
        <f>IF(H5134&gt;0,J5134,"")</f>
        <v/>
      </c>
      <c r="Q5134" s="25">
        <f>TEXT(A5134,"YYYY-MM-DD HH")</f>
        <v/>
      </c>
      <c r="R5134" s="25">
        <f>COUNTIF($Q$2:$Q$5295,Q5134)</f>
        <v/>
      </c>
      <c r="S5134" s="25">
        <f>IF(R5134&lt;=2,"1-2",IF(R5134&lt;=5,"3-5",IF(R5134&lt;=10,"6-10","11+")))</f>
        <v/>
      </c>
    </row>
    <row r="5135">
      <c r="A5135" s="39" t="n">
        <v>46239.35237268519</v>
      </c>
      <c r="B5135" s="25">
        <f>TEXT(A5135,"YYYY-MM")</f>
        <v/>
      </c>
      <c r="C5135" s="25">
        <f>TEXT(A5135,"MMM-YYYY")</f>
        <v/>
      </c>
      <c r="D5135" s="40">
        <f>INT(A5135)-WEEKDAY(A5135,2)+1</f>
        <v/>
      </c>
      <c r="E5135" s="25" t="inlineStr">
        <is>
          <t>csaha</t>
        </is>
      </c>
      <c r="F5135" s="25" t="n">
        <v>138522</v>
      </c>
      <c r="G5135" s="25" t="n">
        <v>2</v>
      </c>
      <c r="H5135" s="25" t="n">
        <v>10</v>
      </c>
      <c r="I5135" s="25" t="inlineStr">
        <is>
          <t>1 minute(s) and 20 second(s)</t>
        </is>
      </c>
      <c r="J5135" s="25">
        <f>IFERROR(VALUE(TRIM(LEFT(I5135,FIND("minute",I5135)-1)))*60,0)+IFERROR(VALUE(SUBSTITUTE(MID(I5135,IFERROR(FIND("and",I5135)+3,1),20),"second(s)","")),0)</f>
        <v/>
      </c>
      <c r="K5135" s="41">
        <f>J5135/60</f>
        <v/>
      </c>
      <c r="L5135" s="41">
        <f>IFERROR(J5135/H5135,"")</f>
        <v/>
      </c>
      <c r="M5135" s="25" t="n">
        <v>3.4</v>
      </c>
      <c r="N5135" s="25">
        <f>IF(J5135&gt;300,1,0)</f>
        <v/>
      </c>
      <c r="O5135" s="25">
        <f>IF(J5135&gt;600,1,0)</f>
        <v/>
      </c>
      <c r="P5135" s="25">
        <f>IF(H5135&gt;0,J5135,"")</f>
        <v/>
      </c>
      <c r="Q5135" s="25">
        <f>TEXT(A5135,"YYYY-MM-DD HH")</f>
        <v/>
      </c>
      <c r="R5135" s="25">
        <f>COUNTIF($Q$2:$Q$5295,Q5135)</f>
        <v/>
      </c>
      <c r="S5135" s="25">
        <f>IF(R5135&lt;=2,"1-2",IF(R5135&lt;=5,"3-5",IF(R5135&lt;=10,"6-10","11+")))</f>
        <v/>
      </c>
    </row>
    <row r="5136">
      <c r="A5136" s="39" t="n">
        <v>46239.35555555556</v>
      </c>
      <c r="B5136" s="25">
        <f>TEXT(A5136,"YYYY-MM")</f>
        <v/>
      </c>
      <c r="C5136" s="25">
        <f>TEXT(A5136,"MMM-YYYY")</f>
        <v/>
      </c>
      <c r="D5136" s="40">
        <f>INT(A5136)-WEEKDAY(A5136,2)+1</f>
        <v/>
      </c>
      <c r="E5136" s="25" t="inlineStr">
        <is>
          <t>pmodak</t>
        </is>
      </c>
      <c r="F5136" s="25" t="n">
        <v>136753</v>
      </c>
      <c r="G5136" s="25" t="n">
        <v>4</v>
      </c>
      <c r="H5136" s="25" t="n">
        <v>22</v>
      </c>
      <c r="I5136" s="25" t="inlineStr">
        <is>
          <t>4 minute(s) and 37 second(s)</t>
        </is>
      </c>
      <c r="J5136" s="25">
        <f>IFERROR(VALUE(TRIM(LEFT(I5136,FIND("minute",I5136)-1)))*60,0)+IFERROR(VALUE(SUBSTITUTE(MID(I5136,IFERROR(FIND("and",I5136)+3,1),20),"second(s)","")),0)</f>
        <v/>
      </c>
      <c r="K5136" s="41">
        <f>J5136/60</f>
        <v/>
      </c>
      <c r="L5136" s="41">
        <f>IFERROR(J5136/H5136,"")</f>
        <v/>
      </c>
      <c r="M5136" s="25" t="n">
        <v>3.4</v>
      </c>
      <c r="N5136" s="25">
        <f>IF(J5136&gt;300,1,0)</f>
        <v/>
      </c>
      <c r="O5136" s="25">
        <f>IF(J5136&gt;600,1,0)</f>
        <v/>
      </c>
      <c r="P5136" s="25">
        <f>IF(H5136&gt;0,J5136,"")</f>
        <v/>
      </c>
      <c r="Q5136" s="25">
        <f>TEXT(A5136,"YYYY-MM-DD HH")</f>
        <v/>
      </c>
      <c r="R5136" s="25">
        <f>COUNTIF($Q$2:$Q$5295,Q5136)</f>
        <v/>
      </c>
      <c r="S5136" s="25">
        <f>IF(R5136&lt;=2,"1-2",IF(R5136&lt;=5,"3-5",IF(R5136&lt;=10,"6-10","11+")))</f>
        <v/>
      </c>
    </row>
    <row r="5137">
      <c r="A5137" s="39" t="n">
        <v>46239.36135416666</v>
      </c>
      <c r="B5137" s="25">
        <f>TEXT(A5137,"YYYY-MM")</f>
        <v/>
      </c>
      <c r="C5137" s="25">
        <f>TEXT(A5137,"MMM-YYYY")</f>
        <v/>
      </c>
      <c r="D5137" s="40">
        <f>INT(A5137)-WEEKDAY(A5137,2)+1</f>
        <v/>
      </c>
      <c r="E5137" s="25" t="inlineStr">
        <is>
          <t>pmodak</t>
        </is>
      </c>
      <c r="F5137" s="25" t="n">
        <v>136753</v>
      </c>
      <c r="G5137" s="25" t="n">
        <v>1</v>
      </c>
      <c r="H5137" s="25" t="n">
        <v>6</v>
      </c>
      <c r="I5137" s="25" t="inlineStr">
        <is>
          <t>1 minute(s) and 5 second(s)</t>
        </is>
      </c>
      <c r="J5137" s="25">
        <f>IFERROR(VALUE(TRIM(LEFT(I5137,FIND("minute",I5137)-1)))*60,0)+IFERROR(VALUE(SUBSTITUTE(MID(I5137,IFERROR(FIND("and",I5137)+3,1),20),"second(s)","")),0)</f>
        <v/>
      </c>
      <c r="K5137" s="41">
        <f>J5137/60</f>
        <v/>
      </c>
      <c r="L5137" s="41">
        <f>IFERROR(J5137/H5137,"")</f>
        <v/>
      </c>
      <c r="M5137" s="25" t="n">
        <v>3.4</v>
      </c>
      <c r="N5137" s="25">
        <f>IF(J5137&gt;300,1,0)</f>
        <v/>
      </c>
      <c r="O5137" s="25">
        <f>IF(J5137&gt;600,1,0)</f>
        <v/>
      </c>
      <c r="P5137" s="25">
        <f>IF(H5137&gt;0,J5137,"")</f>
        <v/>
      </c>
      <c r="Q5137" s="25">
        <f>TEXT(A5137,"YYYY-MM-DD HH")</f>
        <v/>
      </c>
      <c r="R5137" s="25">
        <f>COUNTIF($Q$2:$Q$5295,Q5137)</f>
        <v/>
      </c>
      <c r="S5137" s="25">
        <f>IF(R5137&lt;=2,"1-2",IF(R5137&lt;=5,"3-5",IF(R5137&lt;=10,"6-10","11+")))</f>
        <v/>
      </c>
    </row>
    <row r="5138">
      <c r="A5138" s="39" t="n">
        <v>46239.36170138889</v>
      </c>
      <c r="B5138" s="25">
        <f>TEXT(A5138,"YYYY-MM")</f>
        <v/>
      </c>
      <c r="C5138" s="25">
        <f>TEXT(A5138,"MMM-YYYY")</f>
        <v/>
      </c>
      <c r="D5138" s="40">
        <f>INT(A5138)-WEEKDAY(A5138,2)+1</f>
        <v/>
      </c>
      <c r="E5138" s="25" t="inlineStr">
        <is>
          <t>ns</t>
        </is>
      </c>
      <c r="F5138" s="25" t="n">
        <v>134072</v>
      </c>
      <c r="G5138" s="25" t="n">
        <v>4</v>
      </c>
      <c r="H5138" s="25" t="n">
        <v>12</v>
      </c>
      <c r="I5138" s="25" t="inlineStr">
        <is>
          <t>1 minute(s) and 41 second(s)</t>
        </is>
      </c>
      <c r="J5138" s="25">
        <f>IFERROR(VALUE(TRIM(LEFT(I5138,FIND("minute",I5138)-1)))*60,0)+IFERROR(VALUE(SUBSTITUTE(MID(I5138,IFERROR(FIND("and",I5138)+3,1),20),"second(s)","")),0)</f>
        <v/>
      </c>
      <c r="K5138" s="41">
        <f>J5138/60</f>
        <v/>
      </c>
      <c r="L5138" s="41">
        <f>IFERROR(J5138/H5138,"")</f>
        <v/>
      </c>
      <c r="M5138" s="25" t="n">
        <v>3.4</v>
      </c>
      <c r="N5138" s="25">
        <f>IF(J5138&gt;300,1,0)</f>
        <v/>
      </c>
      <c r="O5138" s="25">
        <f>IF(J5138&gt;600,1,0)</f>
        <v/>
      </c>
      <c r="P5138" s="25">
        <f>IF(H5138&gt;0,J5138,"")</f>
        <v/>
      </c>
      <c r="Q5138" s="25">
        <f>TEXT(A5138,"YYYY-MM-DD HH")</f>
        <v/>
      </c>
      <c r="R5138" s="25">
        <f>COUNTIF($Q$2:$Q$5295,Q5138)</f>
        <v/>
      </c>
      <c r="S5138" s="25">
        <f>IF(R5138&lt;=2,"1-2",IF(R5138&lt;=5,"3-5",IF(R5138&lt;=10,"6-10","11+")))</f>
        <v/>
      </c>
    </row>
    <row r="5139">
      <c r="A5139" s="39" t="n">
        <v>46239.36393518518</v>
      </c>
      <c r="B5139" s="25">
        <f>TEXT(A5139,"YYYY-MM")</f>
        <v/>
      </c>
      <c r="C5139" s="25">
        <f>TEXT(A5139,"MMM-YYYY")</f>
        <v/>
      </c>
      <c r="D5139" s="40">
        <f>INT(A5139)-WEEKDAY(A5139,2)+1</f>
        <v/>
      </c>
      <c r="E5139" s="25" t="inlineStr">
        <is>
          <t>abanerjee</t>
        </is>
      </c>
      <c r="F5139" s="25" t="n">
        <v>134985</v>
      </c>
      <c r="G5139" s="25" t="n">
        <v>3</v>
      </c>
      <c r="H5139" s="25" t="n">
        <v>15</v>
      </c>
      <c r="I5139" s="25" t="inlineStr">
        <is>
          <t>1 minute(s) and 58 second(s)</t>
        </is>
      </c>
      <c r="J5139" s="25">
        <f>IFERROR(VALUE(TRIM(LEFT(I5139,FIND("minute",I5139)-1)))*60,0)+IFERROR(VALUE(SUBSTITUTE(MID(I5139,IFERROR(FIND("and",I5139)+3,1),20),"second(s)","")),0)</f>
        <v/>
      </c>
      <c r="K5139" s="41">
        <f>J5139/60</f>
        <v/>
      </c>
      <c r="L5139" s="41">
        <f>IFERROR(J5139/H5139,"")</f>
        <v/>
      </c>
      <c r="M5139" s="25" t="n">
        <v>3.4</v>
      </c>
      <c r="N5139" s="25">
        <f>IF(J5139&gt;300,1,0)</f>
        <v/>
      </c>
      <c r="O5139" s="25">
        <f>IF(J5139&gt;600,1,0)</f>
        <v/>
      </c>
      <c r="P5139" s="25">
        <f>IF(H5139&gt;0,J5139,"")</f>
        <v/>
      </c>
      <c r="Q5139" s="25">
        <f>TEXT(A5139,"YYYY-MM-DD HH")</f>
        <v/>
      </c>
      <c r="R5139" s="25">
        <f>COUNTIF($Q$2:$Q$5295,Q5139)</f>
        <v/>
      </c>
      <c r="S5139" s="25">
        <f>IF(R5139&lt;=2,"1-2",IF(R5139&lt;=5,"3-5",IF(R5139&lt;=10,"6-10","11+")))</f>
        <v/>
      </c>
    </row>
    <row r="5140">
      <c r="A5140" s="39" t="n">
        <v>46239.36715277778</v>
      </c>
      <c r="B5140" s="25">
        <f>TEXT(A5140,"YYYY-MM")</f>
        <v/>
      </c>
      <c r="C5140" s="25">
        <f>TEXT(A5140,"MMM-YYYY")</f>
        <v/>
      </c>
      <c r="D5140" s="40">
        <f>INT(A5140)-WEEKDAY(A5140,2)+1</f>
        <v/>
      </c>
      <c r="E5140" s="25" t="inlineStr">
        <is>
          <t>larora</t>
        </is>
      </c>
      <c r="F5140" s="25" t="n">
        <v>135349</v>
      </c>
      <c r="G5140" s="25" t="n">
        <v>4</v>
      </c>
      <c r="H5140" s="25" t="n">
        <v>24</v>
      </c>
      <c r="I5140" s="25" t="inlineStr">
        <is>
          <t>2 minute(s) and 46 second(s)</t>
        </is>
      </c>
      <c r="J5140" s="25">
        <f>IFERROR(VALUE(TRIM(LEFT(I5140,FIND("minute",I5140)-1)))*60,0)+IFERROR(VALUE(SUBSTITUTE(MID(I5140,IFERROR(FIND("and",I5140)+3,1),20),"second(s)","")),0)</f>
        <v/>
      </c>
      <c r="K5140" s="41">
        <f>J5140/60</f>
        <v/>
      </c>
      <c r="L5140" s="41">
        <f>IFERROR(J5140/H5140,"")</f>
        <v/>
      </c>
      <c r="M5140" s="25" t="n">
        <v>3.4</v>
      </c>
      <c r="N5140" s="25">
        <f>IF(J5140&gt;300,1,0)</f>
        <v/>
      </c>
      <c r="O5140" s="25">
        <f>IF(J5140&gt;600,1,0)</f>
        <v/>
      </c>
      <c r="P5140" s="25">
        <f>IF(H5140&gt;0,J5140,"")</f>
        <v/>
      </c>
      <c r="Q5140" s="25">
        <f>TEXT(A5140,"YYYY-MM-DD HH")</f>
        <v/>
      </c>
      <c r="R5140" s="25">
        <f>COUNTIF($Q$2:$Q$5295,Q5140)</f>
        <v/>
      </c>
      <c r="S5140" s="25">
        <f>IF(R5140&lt;=2,"1-2",IF(R5140&lt;=5,"3-5",IF(R5140&lt;=10,"6-10","11+")))</f>
        <v/>
      </c>
    </row>
    <row r="5141">
      <c r="A5141" s="39" t="n">
        <v>46239.36840277778</v>
      </c>
      <c r="B5141" s="25">
        <f>TEXT(A5141,"YYYY-MM")</f>
        <v/>
      </c>
      <c r="C5141" s="25">
        <f>TEXT(A5141,"MMM-YYYY")</f>
        <v/>
      </c>
      <c r="D5141" s="40">
        <f>INT(A5141)-WEEKDAY(A5141,2)+1</f>
        <v/>
      </c>
      <c r="E5141" s="25" t="inlineStr">
        <is>
          <t>asaxena</t>
        </is>
      </c>
      <c r="F5141" s="25" t="n">
        <v>137225</v>
      </c>
      <c r="G5141" s="25" t="n">
        <v>3</v>
      </c>
      <c r="H5141" s="25" t="n">
        <v>17</v>
      </c>
      <c r="I5141" s="25" t="inlineStr">
        <is>
          <t>1 minute(s) and 31 second(s)</t>
        </is>
      </c>
      <c r="J5141" s="25">
        <f>IFERROR(VALUE(TRIM(LEFT(I5141,FIND("minute",I5141)-1)))*60,0)+IFERROR(VALUE(SUBSTITUTE(MID(I5141,IFERROR(FIND("and",I5141)+3,1),20),"second(s)","")),0)</f>
        <v/>
      </c>
      <c r="K5141" s="41">
        <f>J5141/60</f>
        <v/>
      </c>
      <c r="L5141" s="41">
        <f>IFERROR(J5141/H5141,"")</f>
        <v/>
      </c>
      <c r="M5141" s="25" t="inlineStr">
        <is>
          <t>2.5.12</t>
        </is>
      </c>
      <c r="N5141" s="25">
        <f>IF(J5141&gt;300,1,0)</f>
        <v/>
      </c>
      <c r="O5141" s="25">
        <f>IF(J5141&gt;600,1,0)</f>
        <v/>
      </c>
      <c r="P5141" s="25">
        <f>IF(H5141&gt;0,J5141,"")</f>
        <v/>
      </c>
      <c r="Q5141" s="25">
        <f>TEXT(A5141,"YYYY-MM-DD HH")</f>
        <v/>
      </c>
      <c r="R5141" s="25">
        <f>COUNTIF($Q$2:$Q$5295,Q5141)</f>
        <v/>
      </c>
      <c r="S5141" s="25">
        <f>IF(R5141&lt;=2,"1-2",IF(R5141&lt;=5,"3-5",IF(R5141&lt;=10,"6-10","11+")))</f>
        <v/>
      </c>
    </row>
    <row r="5142">
      <c r="A5142" s="39" t="n">
        <v>46239.36991898148</v>
      </c>
      <c r="B5142" s="25">
        <f>TEXT(A5142,"YYYY-MM")</f>
        <v/>
      </c>
      <c r="C5142" s="25">
        <f>TEXT(A5142,"MMM-YYYY")</f>
        <v/>
      </c>
      <c r="D5142" s="40">
        <f>INT(A5142)-WEEKDAY(A5142,2)+1</f>
        <v/>
      </c>
      <c r="E5142" s="25" t="inlineStr">
        <is>
          <t>aupadhayay</t>
        </is>
      </c>
      <c r="F5142" s="25" t="n">
        <v>135797</v>
      </c>
      <c r="G5142" s="25" t="n">
        <v>2</v>
      </c>
      <c r="H5142" s="25" t="n">
        <v>8</v>
      </c>
      <c r="I5142" s="25" t="inlineStr">
        <is>
          <t>1 minute(s) and 10 second(s)</t>
        </is>
      </c>
      <c r="J5142" s="25">
        <f>IFERROR(VALUE(TRIM(LEFT(I5142,FIND("minute",I5142)-1)))*60,0)+IFERROR(VALUE(SUBSTITUTE(MID(I5142,IFERROR(FIND("and",I5142)+3,1),20),"second(s)","")),0)</f>
        <v/>
      </c>
      <c r="K5142" s="41">
        <f>J5142/60</f>
        <v/>
      </c>
      <c r="L5142" s="41">
        <f>IFERROR(J5142/H5142,"")</f>
        <v/>
      </c>
      <c r="M5142" s="25" t="n">
        <v>3.4</v>
      </c>
      <c r="N5142" s="25">
        <f>IF(J5142&gt;300,1,0)</f>
        <v/>
      </c>
      <c r="O5142" s="25">
        <f>IF(J5142&gt;600,1,0)</f>
        <v/>
      </c>
      <c r="P5142" s="25">
        <f>IF(H5142&gt;0,J5142,"")</f>
        <v/>
      </c>
      <c r="Q5142" s="25">
        <f>TEXT(A5142,"YYYY-MM-DD HH")</f>
        <v/>
      </c>
      <c r="R5142" s="25">
        <f>COUNTIF($Q$2:$Q$5295,Q5142)</f>
        <v/>
      </c>
      <c r="S5142" s="25">
        <f>IF(R5142&lt;=2,"1-2",IF(R5142&lt;=5,"3-5",IF(R5142&lt;=10,"6-10","11+")))</f>
        <v/>
      </c>
    </row>
    <row r="5143">
      <c r="A5143" s="39" t="n">
        <v>46239.37045138889</v>
      </c>
      <c r="B5143" s="25">
        <f>TEXT(A5143,"YYYY-MM")</f>
        <v/>
      </c>
      <c r="C5143" s="25">
        <f>TEXT(A5143,"MMM-YYYY")</f>
        <v/>
      </c>
      <c r="D5143" s="40">
        <f>INT(A5143)-WEEKDAY(A5143,2)+1</f>
        <v/>
      </c>
      <c r="E5143" s="25" t="inlineStr">
        <is>
          <t>shasikha</t>
        </is>
      </c>
      <c r="F5143" s="25" t="n">
        <v>137622</v>
      </c>
      <c r="G5143" s="25" t="n">
        <v>1</v>
      </c>
      <c r="H5143" s="25" t="n">
        <v>5</v>
      </c>
      <c r="I5143" s="25" t="inlineStr">
        <is>
          <t>49 second(s)</t>
        </is>
      </c>
      <c r="J5143" s="25">
        <f>IFERROR(VALUE(TRIM(LEFT(I5143,FIND("minute",I5143)-1)))*60,0)+IFERROR(VALUE(SUBSTITUTE(MID(I5143,IFERROR(FIND("and",I5143)+3,1),20),"second(s)","")),0)</f>
        <v/>
      </c>
      <c r="K5143" s="41">
        <f>J5143/60</f>
        <v/>
      </c>
      <c r="L5143" s="41">
        <f>IFERROR(J5143/H5143,"")</f>
        <v/>
      </c>
      <c r="M5143" s="25" t="n">
        <v>3.4</v>
      </c>
      <c r="N5143" s="25">
        <f>IF(J5143&gt;300,1,0)</f>
        <v/>
      </c>
      <c r="O5143" s="25">
        <f>IF(J5143&gt;600,1,0)</f>
        <v/>
      </c>
      <c r="P5143" s="25">
        <f>IF(H5143&gt;0,J5143,"")</f>
        <v/>
      </c>
      <c r="Q5143" s="25">
        <f>TEXT(A5143,"YYYY-MM-DD HH")</f>
        <v/>
      </c>
      <c r="R5143" s="25">
        <f>COUNTIF($Q$2:$Q$5295,Q5143)</f>
        <v/>
      </c>
      <c r="S5143" s="25">
        <f>IF(R5143&lt;=2,"1-2",IF(R5143&lt;=5,"3-5",IF(R5143&lt;=10,"6-10","11+")))</f>
        <v/>
      </c>
    </row>
    <row r="5144">
      <c r="A5144" s="39" t="n">
        <v>46239.37366898148</v>
      </c>
      <c r="B5144" s="25">
        <f>TEXT(A5144,"YYYY-MM")</f>
        <v/>
      </c>
      <c r="C5144" s="25">
        <f>TEXT(A5144,"MMM-YYYY")</f>
        <v/>
      </c>
      <c r="D5144" s="40">
        <f>INT(A5144)-WEEKDAY(A5144,2)+1</f>
        <v/>
      </c>
      <c r="E5144" s="25" t="inlineStr">
        <is>
          <t>panullekha</t>
        </is>
      </c>
      <c r="F5144" s="25" t="n">
        <v>137441</v>
      </c>
      <c r="G5144" s="25" t="n">
        <v>1</v>
      </c>
      <c r="H5144" s="25" t="n">
        <v>5</v>
      </c>
      <c r="I5144" s="25" t="inlineStr">
        <is>
          <t>20 second(s)</t>
        </is>
      </c>
      <c r="J5144" s="25">
        <f>IFERROR(VALUE(TRIM(LEFT(I5144,FIND("minute",I5144)-1)))*60,0)+IFERROR(VALUE(SUBSTITUTE(MID(I5144,IFERROR(FIND("and",I5144)+3,1),20),"second(s)","")),0)</f>
        <v/>
      </c>
      <c r="K5144" s="41">
        <f>J5144/60</f>
        <v/>
      </c>
      <c r="L5144" s="41">
        <f>IFERROR(J5144/H5144,"")</f>
        <v/>
      </c>
      <c r="M5144" s="25" t="inlineStr">
        <is>
          <t>2.5.12</t>
        </is>
      </c>
      <c r="N5144" s="25">
        <f>IF(J5144&gt;300,1,0)</f>
        <v/>
      </c>
      <c r="O5144" s="25">
        <f>IF(J5144&gt;600,1,0)</f>
        <v/>
      </c>
      <c r="P5144" s="25">
        <f>IF(H5144&gt;0,J5144,"")</f>
        <v/>
      </c>
      <c r="Q5144" s="25">
        <f>TEXT(A5144,"YYYY-MM-DD HH")</f>
        <v/>
      </c>
      <c r="R5144" s="25">
        <f>COUNTIF($Q$2:$Q$5295,Q5144)</f>
        <v/>
      </c>
      <c r="S5144" s="25">
        <f>IF(R5144&lt;=2,"1-2",IF(R5144&lt;=5,"3-5",IF(R5144&lt;=10,"6-10","11+")))</f>
        <v/>
      </c>
    </row>
    <row r="5145">
      <c r="A5145" s="39" t="n">
        <v>46239.37414351852</v>
      </c>
      <c r="B5145" s="25">
        <f>TEXT(A5145,"YYYY-MM")</f>
        <v/>
      </c>
      <c r="C5145" s="25">
        <f>TEXT(A5145,"MMM-YYYY")</f>
        <v/>
      </c>
      <c r="D5145" s="40">
        <f>INT(A5145)-WEEKDAY(A5145,2)+1</f>
        <v/>
      </c>
      <c r="E5145" s="25" t="inlineStr">
        <is>
          <t>bverma</t>
        </is>
      </c>
      <c r="F5145" s="25" t="n">
        <v>137930</v>
      </c>
      <c r="G5145" s="25" t="n">
        <v>2</v>
      </c>
      <c r="H5145" s="25" t="n">
        <v>12</v>
      </c>
      <c r="I5145" s="25" t="inlineStr">
        <is>
          <t>1 minute(s) and 40 second(s)</t>
        </is>
      </c>
      <c r="J5145" s="25">
        <f>IFERROR(VALUE(TRIM(LEFT(I5145,FIND("minute",I5145)-1)))*60,0)+IFERROR(VALUE(SUBSTITUTE(MID(I5145,IFERROR(FIND("and",I5145)+3,1),20),"second(s)","")),0)</f>
        <v/>
      </c>
      <c r="K5145" s="41">
        <f>J5145/60</f>
        <v/>
      </c>
      <c r="L5145" s="41">
        <f>IFERROR(J5145/H5145,"")</f>
        <v/>
      </c>
      <c r="M5145" s="25" t="n">
        <v>3.4</v>
      </c>
      <c r="N5145" s="25">
        <f>IF(J5145&gt;300,1,0)</f>
        <v/>
      </c>
      <c r="O5145" s="25">
        <f>IF(J5145&gt;600,1,0)</f>
        <v/>
      </c>
      <c r="P5145" s="25">
        <f>IF(H5145&gt;0,J5145,"")</f>
        <v/>
      </c>
      <c r="Q5145" s="25">
        <f>TEXT(A5145,"YYYY-MM-DD HH")</f>
        <v/>
      </c>
      <c r="R5145" s="25">
        <f>COUNTIF($Q$2:$Q$5295,Q5145)</f>
        <v/>
      </c>
      <c r="S5145" s="25">
        <f>IF(R5145&lt;=2,"1-2",IF(R5145&lt;=5,"3-5",IF(R5145&lt;=10,"6-10","11+")))</f>
        <v/>
      </c>
    </row>
    <row r="5146">
      <c r="A5146" s="39" t="n">
        <v>46239.37427083333</v>
      </c>
      <c r="B5146" s="25">
        <f>TEXT(A5146,"YYYY-MM")</f>
        <v/>
      </c>
      <c r="C5146" s="25">
        <f>TEXT(A5146,"MMM-YYYY")</f>
        <v/>
      </c>
      <c r="D5146" s="40">
        <f>INT(A5146)-WEEKDAY(A5146,2)+1</f>
        <v/>
      </c>
      <c r="E5146" s="25" t="inlineStr">
        <is>
          <t>mgupta</t>
        </is>
      </c>
      <c r="F5146" s="25" t="n">
        <v>133698</v>
      </c>
      <c r="G5146" s="25" t="n">
        <v>2</v>
      </c>
      <c r="H5146" s="25" t="n">
        <v>10</v>
      </c>
      <c r="I5146" s="25" t="inlineStr">
        <is>
          <t>1 minute(s) and 36 second(s)</t>
        </is>
      </c>
      <c r="J5146" s="25">
        <f>IFERROR(VALUE(TRIM(LEFT(I5146,FIND("minute",I5146)-1)))*60,0)+IFERROR(VALUE(SUBSTITUTE(MID(I5146,IFERROR(FIND("and",I5146)+3,1),20),"second(s)","")),0)</f>
        <v/>
      </c>
      <c r="K5146" s="41">
        <f>J5146/60</f>
        <v/>
      </c>
      <c r="L5146" s="41">
        <f>IFERROR(J5146/H5146,"")</f>
        <v/>
      </c>
      <c r="M5146" s="25" t="n">
        <v>3.5</v>
      </c>
      <c r="N5146" s="25">
        <f>IF(J5146&gt;300,1,0)</f>
        <v/>
      </c>
      <c r="O5146" s="25">
        <f>IF(J5146&gt;600,1,0)</f>
        <v/>
      </c>
      <c r="P5146" s="25">
        <f>IF(H5146&gt;0,J5146,"")</f>
        <v/>
      </c>
      <c r="Q5146" s="25">
        <f>TEXT(A5146,"YYYY-MM-DD HH")</f>
        <v/>
      </c>
      <c r="R5146" s="25">
        <f>COUNTIF($Q$2:$Q$5295,Q5146)</f>
        <v/>
      </c>
      <c r="S5146" s="25">
        <f>IF(R5146&lt;=2,"1-2",IF(R5146&lt;=5,"3-5",IF(R5146&lt;=10,"6-10","11+")))</f>
        <v/>
      </c>
    </row>
    <row r="5147">
      <c r="A5147" s="39" t="n">
        <v>46239.37662037037</v>
      </c>
      <c r="B5147" s="25">
        <f>TEXT(A5147,"YYYY-MM")</f>
        <v/>
      </c>
      <c r="C5147" s="25">
        <f>TEXT(A5147,"MMM-YYYY")</f>
        <v/>
      </c>
      <c r="D5147" s="40">
        <f>INT(A5147)-WEEKDAY(A5147,2)+1</f>
        <v/>
      </c>
      <c r="E5147" s="25" t="inlineStr">
        <is>
          <t>ssaha</t>
        </is>
      </c>
      <c r="F5147" s="25" t="n">
        <v>134825</v>
      </c>
      <c r="G5147" s="25" t="n">
        <v>4</v>
      </c>
      <c r="H5147" s="25" t="n">
        <v>14</v>
      </c>
      <c r="I5147" s="25" t="inlineStr">
        <is>
          <t>1 minute(s) and 44 second(s)</t>
        </is>
      </c>
      <c r="J5147" s="25">
        <f>IFERROR(VALUE(TRIM(LEFT(I5147,FIND("minute",I5147)-1)))*60,0)+IFERROR(VALUE(SUBSTITUTE(MID(I5147,IFERROR(FIND("and",I5147)+3,1),20),"second(s)","")),0)</f>
        <v/>
      </c>
      <c r="K5147" s="41">
        <f>J5147/60</f>
        <v/>
      </c>
      <c r="L5147" s="41">
        <f>IFERROR(J5147/H5147,"")</f>
        <v/>
      </c>
      <c r="M5147" s="25" t="n">
        <v>3.5</v>
      </c>
      <c r="N5147" s="25">
        <f>IF(J5147&gt;300,1,0)</f>
        <v/>
      </c>
      <c r="O5147" s="25">
        <f>IF(J5147&gt;600,1,0)</f>
        <v/>
      </c>
      <c r="P5147" s="25">
        <f>IF(H5147&gt;0,J5147,"")</f>
        <v/>
      </c>
      <c r="Q5147" s="25">
        <f>TEXT(A5147,"YYYY-MM-DD HH")</f>
        <v/>
      </c>
      <c r="R5147" s="25">
        <f>COUNTIF($Q$2:$Q$5295,Q5147)</f>
        <v/>
      </c>
      <c r="S5147" s="25">
        <f>IF(R5147&lt;=2,"1-2",IF(R5147&lt;=5,"3-5",IF(R5147&lt;=10,"6-10","11+")))</f>
        <v/>
      </c>
    </row>
    <row r="5148">
      <c r="A5148" s="39" t="n">
        <v>46239.39337962963</v>
      </c>
      <c r="B5148" s="25">
        <f>TEXT(A5148,"YYYY-MM")</f>
        <v/>
      </c>
      <c r="C5148" s="25">
        <f>TEXT(A5148,"MMM-YYYY")</f>
        <v/>
      </c>
      <c r="D5148" s="40">
        <f>INT(A5148)-WEEKDAY(A5148,2)+1</f>
        <v/>
      </c>
      <c r="E5148" s="25" t="inlineStr">
        <is>
          <t>npriya</t>
        </is>
      </c>
      <c r="F5148" s="25" t="n">
        <v>137784</v>
      </c>
      <c r="G5148" s="25" t="n">
        <v>2</v>
      </c>
      <c r="H5148" s="25" t="n">
        <v>8</v>
      </c>
      <c r="I5148" s="25" t="inlineStr">
        <is>
          <t>1 minute(s) and 17 second(s)</t>
        </is>
      </c>
      <c r="J5148" s="25">
        <f>IFERROR(VALUE(TRIM(LEFT(I5148,FIND("minute",I5148)-1)))*60,0)+IFERROR(VALUE(SUBSTITUTE(MID(I5148,IFERROR(FIND("and",I5148)+3,1),20),"second(s)","")),0)</f>
        <v/>
      </c>
      <c r="K5148" s="41">
        <f>J5148/60</f>
        <v/>
      </c>
      <c r="L5148" s="41">
        <f>IFERROR(J5148/H5148,"")</f>
        <v/>
      </c>
      <c r="M5148" s="25" t="n">
        <v>3.4</v>
      </c>
      <c r="N5148" s="25">
        <f>IF(J5148&gt;300,1,0)</f>
        <v/>
      </c>
      <c r="O5148" s="25">
        <f>IF(J5148&gt;600,1,0)</f>
        <v/>
      </c>
      <c r="P5148" s="25">
        <f>IF(H5148&gt;0,J5148,"")</f>
        <v/>
      </c>
      <c r="Q5148" s="25">
        <f>TEXT(A5148,"YYYY-MM-DD HH")</f>
        <v/>
      </c>
      <c r="R5148" s="25">
        <f>COUNTIF($Q$2:$Q$5295,Q5148)</f>
        <v/>
      </c>
      <c r="S5148" s="25">
        <f>IF(R5148&lt;=2,"1-2",IF(R5148&lt;=5,"3-5",IF(R5148&lt;=10,"6-10","11+")))</f>
        <v/>
      </c>
    </row>
    <row r="5149">
      <c r="A5149" s="39" t="n">
        <v>46239.39780092592</v>
      </c>
      <c r="B5149" s="25">
        <f>TEXT(A5149,"YYYY-MM")</f>
        <v/>
      </c>
      <c r="C5149" s="25">
        <f>TEXT(A5149,"MMM-YYYY")</f>
        <v/>
      </c>
      <c r="D5149" s="40">
        <f>INT(A5149)-WEEKDAY(A5149,2)+1</f>
        <v/>
      </c>
      <c r="E5149" s="25" t="inlineStr">
        <is>
          <t>panullekha</t>
        </is>
      </c>
      <c r="F5149" s="25" t="n">
        <v>137441</v>
      </c>
      <c r="G5149" s="25" t="n">
        <v>1</v>
      </c>
      <c r="H5149" s="25" t="n">
        <v>7</v>
      </c>
      <c r="I5149" s="25" t="inlineStr">
        <is>
          <t>28 second(s)</t>
        </is>
      </c>
      <c r="J5149" s="25">
        <f>IFERROR(VALUE(TRIM(LEFT(I5149,FIND("minute",I5149)-1)))*60,0)+IFERROR(VALUE(SUBSTITUTE(MID(I5149,IFERROR(FIND("and",I5149)+3,1),20),"second(s)","")),0)</f>
        <v/>
      </c>
      <c r="K5149" s="41">
        <f>J5149/60</f>
        <v/>
      </c>
      <c r="L5149" s="41">
        <f>IFERROR(J5149/H5149,"")</f>
        <v/>
      </c>
      <c r="M5149" s="25" t="inlineStr">
        <is>
          <t>2.5.12</t>
        </is>
      </c>
      <c r="N5149" s="25">
        <f>IF(J5149&gt;300,1,0)</f>
        <v/>
      </c>
      <c r="O5149" s="25">
        <f>IF(J5149&gt;600,1,0)</f>
        <v/>
      </c>
      <c r="P5149" s="25">
        <f>IF(H5149&gt;0,J5149,"")</f>
        <v/>
      </c>
      <c r="Q5149" s="25">
        <f>TEXT(A5149,"YYYY-MM-DD HH")</f>
        <v/>
      </c>
      <c r="R5149" s="25">
        <f>COUNTIF($Q$2:$Q$5295,Q5149)</f>
        <v/>
      </c>
      <c r="S5149" s="25">
        <f>IF(R5149&lt;=2,"1-2",IF(R5149&lt;=5,"3-5",IF(R5149&lt;=10,"6-10","11+")))</f>
        <v/>
      </c>
    </row>
    <row r="5150">
      <c r="A5150" s="39" t="n">
        <v>46239.39822916667</v>
      </c>
      <c r="B5150" s="25">
        <f>TEXT(A5150,"YYYY-MM")</f>
        <v/>
      </c>
      <c r="C5150" s="25">
        <f>TEXT(A5150,"MMM-YYYY")</f>
        <v/>
      </c>
      <c r="D5150" s="40">
        <f>INT(A5150)-WEEKDAY(A5150,2)+1</f>
        <v/>
      </c>
      <c r="E5150" s="25" t="inlineStr">
        <is>
          <t>asahoo</t>
        </is>
      </c>
      <c r="F5150" s="25" t="n">
        <v>136522</v>
      </c>
      <c r="G5150" s="25" t="n">
        <v>4</v>
      </c>
      <c r="H5150" s="25" t="n">
        <v>20</v>
      </c>
      <c r="I5150" s="25" t="inlineStr">
        <is>
          <t>4 minute(s) and 7 second(s)</t>
        </is>
      </c>
      <c r="J5150" s="25">
        <f>IFERROR(VALUE(TRIM(LEFT(I5150,FIND("minute",I5150)-1)))*60,0)+IFERROR(VALUE(SUBSTITUTE(MID(I5150,IFERROR(FIND("and",I5150)+3,1),20),"second(s)","")),0)</f>
        <v/>
      </c>
      <c r="K5150" s="41">
        <f>J5150/60</f>
        <v/>
      </c>
      <c r="L5150" s="41">
        <f>IFERROR(J5150/H5150,"")</f>
        <v/>
      </c>
      <c r="M5150" s="25" t="inlineStr">
        <is>
          <t>2.5.12</t>
        </is>
      </c>
      <c r="N5150" s="25">
        <f>IF(J5150&gt;300,1,0)</f>
        <v/>
      </c>
      <c r="O5150" s="25">
        <f>IF(J5150&gt;600,1,0)</f>
        <v/>
      </c>
      <c r="P5150" s="25">
        <f>IF(H5150&gt;0,J5150,"")</f>
        <v/>
      </c>
      <c r="Q5150" s="25">
        <f>TEXT(A5150,"YYYY-MM-DD HH")</f>
        <v/>
      </c>
      <c r="R5150" s="25">
        <f>COUNTIF($Q$2:$Q$5295,Q5150)</f>
        <v/>
      </c>
      <c r="S5150" s="25">
        <f>IF(R5150&lt;=2,"1-2",IF(R5150&lt;=5,"3-5",IF(R5150&lt;=10,"6-10","11+")))</f>
        <v/>
      </c>
    </row>
    <row r="5151">
      <c r="A5151" s="39" t="n">
        <v>46239.39936342592</v>
      </c>
      <c r="B5151" s="25">
        <f>TEXT(A5151,"YYYY-MM")</f>
        <v/>
      </c>
      <c r="C5151" s="25">
        <f>TEXT(A5151,"MMM-YYYY")</f>
        <v/>
      </c>
      <c r="D5151" s="40">
        <f>INT(A5151)-WEEKDAY(A5151,2)+1</f>
        <v/>
      </c>
      <c r="E5151" s="25" t="inlineStr">
        <is>
          <t>stiwari</t>
        </is>
      </c>
      <c r="F5151" s="25" t="n">
        <v>135086</v>
      </c>
      <c r="G5151" s="25" t="n">
        <v>2</v>
      </c>
      <c r="H5151" s="25" t="n">
        <v>8</v>
      </c>
      <c r="I5151" s="25" t="inlineStr">
        <is>
          <t>5 minute(s) and 45 second(s)</t>
        </is>
      </c>
      <c r="J5151" s="25">
        <f>IFERROR(VALUE(TRIM(LEFT(I5151,FIND("minute",I5151)-1)))*60,0)+IFERROR(VALUE(SUBSTITUTE(MID(I5151,IFERROR(FIND("and",I5151)+3,1),20),"second(s)","")),0)</f>
        <v/>
      </c>
      <c r="K5151" s="41">
        <f>J5151/60</f>
        <v/>
      </c>
      <c r="L5151" s="41">
        <f>IFERROR(J5151/H5151,"")</f>
        <v/>
      </c>
      <c r="M5151" s="25" t="n">
        <v>3.4</v>
      </c>
      <c r="N5151" s="25">
        <f>IF(J5151&gt;300,1,0)</f>
        <v/>
      </c>
      <c r="O5151" s="25">
        <f>IF(J5151&gt;600,1,0)</f>
        <v/>
      </c>
      <c r="P5151" s="25">
        <f>IF(H5151&gt;0,J5151,"")</f>
        <v/>
      </c>
      <c r="Q5151" s="25">
        <f>TEXT(A5151,"YYYY-MM-DD HH")</f>
        <v/>
      </c>
      <c r="R5151" s="25">
        <f>COUNTIF($Q$2:$Q$5295,Q5151)</f>
        <v/>
      </c>
      <c r="S5151" s="25">
        <f>IF(R5151&lt;=2,"1-2",IF(R5151&lt;=5,"3-5",IF(R5151&lt;=10,"6-10","11+")))</f>
        <v/>
      </c>
    </row>
    <row r="5152">
      <c r="A5152" s="39" t="n">
        <v>46239.40630787037</v>
      </c>
      <c r="B5152" s="25">
        <f>TEXT(A5152,"YYYY-MM")</f>
        <v/>
      </c>
      <c r="C5152" s="25">
        <f>TEXT(A5152,"MMM-YYYY")</f>
        <v/>
      </c>
      <c r="D5152" s="40">
        <f>INT(A5152)-WEEKDAY(A5152,2)+1</f>
        <v/>
      </c>
      <c r="E5152" s="25" t="inlineStr">
        <is>
          <t>pmodak</t>
        </is>
      </c>
      <c r="F5152" s="25" t="n">
        <v>138586</v>
      </c>
      <c r="G5152" s="25" t="n">
        <v>4</v>
      </c>
      <c r="H5152" s="25" t="n">
        <v>20</v>
      </c>
      <c r="I5152" s="25" t="inlineStr">
        <is>
          <t>4 minute(s) and 39 second(s)</t>
        </is>
      </c>
      <c r="J5152" s="25">
        <f>IFERROR(VALUE(TRIM(LEFT(I5152,FIND("minute",I5152)-1)))*60,0)+IFERROR(VALUE(SUBSTITUTE(MID(I5152,IFERROR(FIND("and",I5152)+3,1),20),"second(s)","")),0)</f>
        <v/>
      </c>
      <c r="K5152" s="41">
        <f>J5152/60</f>
        <v/>
      </c>
      <c r="L5152" s="41">
        <f>IFERROR(J5152/H5152,"")</f>
        <v/>
      </c>
      <c r="M5152" s="25" t="n">
        <v>3.4</v>
      </c>
      <c r="N5152" s="25">
        <f>IF(J5152&gt;300,1,0)</f>
        <v/>
      </c>
      <c r="O5152" s="25">
        <f>IF(J5152&gt;600,1,0)</f>
        <v/>
      </c>
      <c r="P5152" s="25">
        <f>IF(H5152&gt;0,J5152,"")</f>
        <v/>
      </c>
      <c r="Q5152" s="25">
        <f>TEXT(A5152,"YYYY-MM-DD HH")</f>
        <v/>
      </c>
      <c r="R5152" s="25">
        <f>COUNTIF($Q$2:$Q$5295,Q5152)</f>
        <v/>
      </c>
      <c r="S5152" s="25">
        <f>IF(R5152&lt;=2,"1-2",IF(R5152&lt;=5,"3-5",IF(R5152&lt;=10,"6-10","11+")))</f>
        <v/>
      </c>
    </row>
    <row r="5153">
      <c r="A5153" s="39" t="n">
        <v>46239.40701388889</v>
      </c>
      <c r="B5153" s="25">
        <f>TEXT(A5153,"YYYY-MM")</f>
        <v/>
      </c>
      <c r="C5153" s="25">
        <f>TEXT(A5153,"MMM-YYYY")</f>
        <v/>
      </c>
      <c r="D5153" s="40">
        <f>INT(A5153)-WEEKDAY(A5153,2)+1</f>
        <v/>
      </c>
      <c r="E5153" s="25" t="inlineStr">
        <is>
          <t>tkarmakar</t>
        </is>
      </c>
      <c r="F5153" s="25" t="n">
        <v>135589</v>
      </c>
      <c r="G5153" s="25" t="n">
        <v>2</v>
      </c>
      <c r="H5153" s="25" t="n">
        <v>12</v>
      </c>
      <c r="I5153" s="25" t="inlineStr">
        <is>
          <t>1 minute(s) and 44 second(s)</t>
        </is>
      </c>
      <c r="J5153" s="25">
        <f>IFERROR(VALUE(TRIM(LEFT(I5153,FIND("minute",I5153)-1)))*60,0)+IFERROR(VALUE(SUBSTITUTE(MID(I5153,IFERROR(FIND("and",I5153)+3,1),20),"second(s)","")),0)</f>
        <v/>
      </c>
      <c r="K5153" s="41">
        <f>J5153/60</f>
        <v/>
      </c>
      <c r="L5153" s="41">
        <f>IFERROR(J5153/H5153,"")</f>
        <v/>
      </c>
      <c r="M5153" s="25" t="n">
        <v>3.4</v>
      </c>
      <c r="N5153" s="25">
        <f>IF(J5153&gt;300,1,0)</f>
        <v/>
      </c>
      <c r="O5153" s="25">
        <f>IF(J5153&gt;600,1,0)</f>
        <v/>
      </c>
      <c r="P5153" s="25">
        <f>IF(H5153&gt;0,J5153,"")</f>
        <v/>
      </c>
      <c r="Q5153" s="25">
        <f>TEXT(A5153,"YYYY-MM-DD HH")</f>
        <v/>
      </c>
      <c r="R5153" s="25">
        <f>COUNTIF($Q$2:$Q$5295,Q5153)</f>
        <v/>
      </c>
      <c r="S5153" s="25">
        <f>IF(R5153&lt;=2,"1-2",IF(R5153&lt;=5,"3-5",IF(R5153&lt;=10,"6-10","11+")))</f>
        <v/>
      </c>
    </row>
    <row r="5154">
      <c r="A5154" s="39" t="n">
        <v>46239.41342592592</v>
      </c>
      <c r="B5154" s="25">
        <f>TEXT(A5154,"YYYY-MM")</f>
        <v/>
      </c>
      <c r="C5154" s="25">
        <f>TEXT(A5154,"MMM-YYYY")</f>
        <v/>
      </c>
      <c r="D5154" s="40">
        <f>INT(A5154)-WEEKDAY(A5154,2)+1</f>
        <v/>
      </c>
      <c r="E5154" s="25" t="inlineStr">
        <is>
          <t>shasikha</t>
        </is>
      </c>
      <c r="F5154" s="25" t="n">
        <v>137502</v>
      </c>
      <c r="G5154" s="25" t="n">
        <v>3</v>
      </c>
      <c r="H5154" s="25" t="n">
        <v>11</v>
      </c>
      <c r="I5154" s="25" t="inlineStr">
        <is>
          <t>1 minute(s) and 32 second(s)</t>
        </is>
      </c>
      <c r="J5154" s="25">
        <f>IFERROR(VALUE(TRIM(LEFT(I5154,FIND("minute",I5154)-1)))*60,0)+IFERROR(VALUE(SUBSTITUTE(MID(I5154,IFERROR(FIND("and",I5154)+3,1),20),"second(s)","")),0)</f>
        <v/>
      </c>
      <c r="K5154" s="41">
        <f>J5154/60</f>
        <v/>
      </c>
      <c r="L5154" s="41">
        <f>IFERROR(J5154/H5154,"")</f>
        <v/>
      </c>
      <c r="M5154" s="25" t="n">
        <v>3.4</v>
      </c>
      <c r="N5154" s="25">
        <f>IF(J5154&gt;300,1,0)</f>
        <v/>
      </c>
      <c r="O5154" s="25">
        <f>IF(J5154&gt;600,1,0)</f>
        <v/>
      </c>
      <c r="P5154" s="25">
        <f>IF(H5154&gt;0,J5154,"")</f>
        <v/>
      </c>
      <c r="Q5154" s="25">
        <f>TEXT(A5154,"YYYY-MM-DD HH")</f>
        <v/>
      </c>
      <c r="R5154" s="25">
        <f>COUNTIF($Q$2:$Q$5295,Q5154)</f>
        <v/>
      </c>
      <c r="S5154" s="25">
        <f>IF(R5154&lt;=2,"1-2",IF(R5154&lt;=5,"3-5",IF(R5154&lt;=10,"6-10","11+")))</f>
        <v/>
      </c>
    </row>
    <row r="5155">
      <c r="A5155" s="39" t="n">
        <v>46239.41472222222</v>
      </c>
      <c r="B5155" s="25">
        <f>TEXT(A5155,"YYYY-MM")</f>
        <v/>
      </c>
      <c r="C5155" s="25">
        <f>TEXT(A5155,"MMM-YYYY")</f>
        <v/>
      </c>
      <c r="D5155" s="40">
        <f>INT(A5155)-WEEKDAY(A5155,2)+1</f>
        <v/>
      </c>
      <c r="E5155" s="25" t="inlineStr">
        <is>
          <t>aupadhayay</t>
        </is>
      </c>
      <c r="F5155" s="25" t="n">
        <v>136554</v>
      </c>
      <c r="G5155" s="25" t="n">
        <v>1</v>
      </c>
      <c r="H5155" s="25" t="n">
        <v>7</v>
      </c>
      <c r="I5155" s="25" t="inlineStr">
        <is>
          <t>1 minute(s) and 10 second(s)</t>
        </is>
      </c>
      <c r="J5155" s="25">
        <f>IFERROR(VALUE(TRIM(LEFT(I5155,FIND("minute",I5155)-1)))*60,0)+IFERROR(VALUE(SUBSTITUTE(MID(I5155,IFERROR(FIND("and",I5155)+3,1),20),"second(s)","")),0)</f>
        <v/>
      </c>
      <c r="K5155" s="41">
        <f>J5155/60</f>
        <v/>
      </c>
      <c r="L5155" s="41">
        <f>IFERROR(J5155/H5155,"")</f>
        <v/>
      </c>
      <c r="M5155" s="25" t="n">
        <v>3.4</v>
      </c>
      <c r="N5155" s="25">
        <f>IF(J5155&gt;300,1,0)</f>
        <v/>
      </c>
      <c r="O5155" s="25">
        <f>IF(J5155&gt;600,1,0)</f>
        <v/>
      </c>
      <c r="P5155" s="25">
        <f>IF(H5155&gt;0,J5155,"")</f>
        <v/>
      </c>
      <c r="Q5155" s="25">
        <f>TEXT(A5155,"YYYY-MM-DD HH")</f>
        <v/>
      </c>
      <c r="R5155" s="25">
        <f>COUNTIF($Q$2:$Q$5295,Q5155)</f>
        <v/>
      </c>
      <c r="S5155" s="25">
        <f>IF(R5155&lt;=2,"1-2",IF(R5155&lt;=5,"3-5",IF(R5155&lt;=10,"6-10","11+")))</f>
        <v/>
      </c>
    </row>
    <row r="5156">
      <c r="A5156" s="39" t="n">
        <v>46239.42875</v>
      </c>
      <c r="B5156" s="25">
        <f>TEXT(A5156,"YYYY-MM")</f>
        <v/>
      </c>
      <c r="C5156" s="25">
        <f>TEXT(A5156,"MMM-YYYY")</f>
        <v/>
      </c>
      <c r="D5156" s="40">
        <f>INT(A5156)-WEEKDAY(A5156,2)+1</f>
        <v/>
      </c>
      <c r="E5156" s="25" t="inlineStr">
        <is>
          <t>shassan</t>
        </is>
      </c>
      <c r="F5156" s="25" t="n">
        <v>134367</v>
      </c>
      <c r="G5156" s="25" t="n">
        <v>2</v>
      </c>
      <c r="H5156" s="25" t="n">
        <v>14</v>
      </c>
      <c r="I5156" s="25" t="inlineStr">
        <is>
          <t>2 minute(s) and 1 second(s)</t>
        </is>
      </c>
      <c r="J5156" s="25">
        <f>IFERROR(VALUE(TRIM(LEFT(I5156,FIND("minute",I5156)-1)))*60,0)+IFERROR(VALUE(SUBSTITUTE(MID(I5156,IFERROR(FIND("and",I5156)+3,1),20),"second(s)","")),0)</f>
        <v/>
      </c>
      <c r="K5156" s="41">
        <f>J5156/60</f>
        <v/>
      </c>
      <c r="L5156" s="41">
        <f>IFERROR(J5156/H5156,"")</f>
        <v/>
      </c>
      <c r="M5156" s="25" t="n">
        <v>3.4</v>
      </c>
      <c r="N5156" s="25">
        <f>IF(J5156&gt;300,1,0)</f>
        <v/>
      </c>
      <c r="O5156" s="25">
        <f>IF(J5156&gt;600,1,0)</f>
        <v/>
      </c>
      <c r="P5156" s="25">
        <f>IF(H5156&gt;0,J5156,"")</f>
        <v/>
      </c>
      <c r="Q5156" s="25">
        <f>TEXT(A5156,"YYYY-MM-DD HH")</f>
        <v/>
      </c>
      <c r="R5156" s="25">
        <f>COUNTIF($Q$2:$Q$5295,Q5156)</f>
        <v/>
      </c>
      <c r="S5156" s="25">
        <f>IF(R5156&lt;=2,"1-2",IF(R5156&lt;=5,"3-5",IF(R5156&lt;=10,"6-10","11+")))</f>
        <v/>
      </c>
    </row>
    <row r="5157">
      <c r="A5157" s="39" t="n">
        <v>46239.43721064815</v>
      </c>
      <c r="B5157" s="25">
        <f>TEXT(A5157,"YYYY-MM")</f>
        <v/>
      </c>
      <c r="C5157" s="25">
        <f>TEXT(A5157,"MMM-YYYY")</f>
        <v/>
      </c>
      <c r="D5157" s="40">
        <f>INT(A5157)-WEEKDAY(A5157,2)+1</f>
        <v/>
      </c>
      <c r="E5157" s="25" t="inlineStr">
        <is>
          <t>pgautam</t>
        </is>
      </c>
      <c r="F5157" s="25" t="n">
        <v>138411</v>
      </c>
      <c r="G5157" s="25" t="n">
        <v>6</v>
      </c>
      <c r="H5157" s="25" t="n">
        <v>18</v>
      </c>
      <c r="I5157" s="25" t="inlineStr">
        <is>
          <t>2 minute(s) and 13 second(s)</t>
        </is>
      </c>
      <c r="J5157" s="25">
        <f>IFERROR(VALUE(TRIM(LEFT(I5157,FIND("minute",I5157)-1)))*60,0)+IFERROR(VALUE(SUBSTITUTE(MID(I5157,IFERROR(FIND("and",I5157)+3,1),20),"second(s)","")),0)</f>
        <v/>
      </c>
      <c r="K5157" s="41">
        <f>J5157/60</f>
        <v/>
      </c>
      <c r="L5157" s="41">
        <f>IFERROR(J5157/H5157,"")</f>
        <v/>
      </c>
      <c r="M5157" s="25" t="n">
        <v>3.4</v>
      </c>
      <c r="N5157" s="25">
        <f>IF(J5157&gt;300,1,0)</f>
        <v/>
      </c>
      <c r="O5157" s="25">
        <f>IF(J5157&gt;600,1,0)</f>
        <v/>
      </c>
      <c r="P5157" s="25">
        <f>IF(H5157&gt;0,J5157,"")</f>
        <v/>
      </c>
      <c r="Q5157" s="25">
        <f>TEXT(A5157,"YYYY-MM-DD HH")</f>
        <v/>
      </c>
      <c r="R5157" s="25">
        <f>COUNTIF($Q$2:$Q$5295,Q5157)</f>
        <v/>
      </c>
      <c r="S5157" s="25">
        <f>IF(R5157&lt;=2,"1-2",IF(R5157&lt;=5,"3-5",IF(R5157&lt;=10,"6-10","11+")))</f>
        <v/>
      </c>
    </row>
    <row r="5158">
      <c r="A5158" s="39" t="n">
        <v>46239.4487037037</v>
      </c>
      <c r="B5158" s="25">
        <f>TEXT(A5158,"YYYY-MM")</f>
        <v/>
      </c>
      <c r="C5158" s="25">
        <f>TEXT(A5158,"MMM-YYYY")</f>
        <v/>
      </c>
      <c r="D5158" s="40">
        <f>INT(A5158)-WEEKDAY(A5158,2)+1</f>
        <v/>
      </c>
      <c r="E5158" s="25" t="inlineStr">
        <is>
          <t>ajain</t>
        </is>
      </c>
      <c r="F5158" s="25" t="n">
        <v>138223</v>
      </c>
      <c r="G5158" s="25" t="n">
        <v>4</v>
      </c>
      <c r="H5158" s="25" t="n">
        <v>26</v>
      </c>
      <c r="I5158" s="25" t="inlineStr">
        <is>
          <t>2 minute(s) and 27 second(s)</t>
        </is>
      </c>
      <c r="J5158" s="25">
        <f>IFERROR(VALUE(TRIM(LEFT(I5158,FIND("minute",I5158)-1)))*60,0)+IFERROR(VALUE(SUBSTITUTE(MID(I5158,IFERROR(FIND("and",I5158)+3,1),20),"second(s)","")),0)</f>
        <v/>
      </c>
      <c r="K5158" s="41">
        <f>J5158/60</f>
        <v/>
      </c>
      <c r="L5158" s="41">
        <f>IFERROR(J5158/H5158,"")</f>
        <v/>
      </c>
      <c r="M5158" s="25" t="inlineStr">
        <is>
          <t>2.5.12</t>
        </is>
      </c>
      <c r="N5158" s="25">
        <f>IF(J5158&gt;300,1,0)</f>
        <v/>
      </c>
      <c r="O5158" s="25">
        <f>IF(J5158&gt;600,1,0)</f>
        <v/>
      </c>
      <c r="P5158" s="25">
        <f>IF(H5158&gt;0,J5158,"")</f>
        <v/>
      </c>
      <c r="Q5158" s="25">
        <f>TEXT(A5158,"YYYY-MM-DD HH")</f>
        <v/>
      </c>
      <c r="R5158" s="25">
        <f>COUNTIF($Q$2:$Q$5295,Q5158)</f>
        <v/>
      </c>
      <c r="S5158" s="25">
        <f>IF(R5158&lt;=2,"1-2",IF(R5158&lt;=5,"3-5",IF(R5158&lt;=10,"6-10","11+")))</f>
        <v/>
      </c>
    </row>
    <row r="5159">
      <c r="A5159" s="39" t="n">
        <v>46239.46040509259</v>
      </c>
      <c r="B5159" s="25">
        <f>TEXT(A5159,"YYYY-MM")</f>
        <v/>
      </c>
      <c r="C5159" s="25">
        <f>TEXT(A5159,"MMM-YYYY")</f>
        <v/>
      </c>
      <c r="D5159" s="40">
        <f>INT(A5159)-WEEKDAY(A5159,2)+1</f>
        <v/>
      </c>
      <c r="E5159" s="25" t="inlineStr">
        <is>
          <t>larora</t>
        </is>
      </c>
      <c r="F5159" s="25" t="n">
        <v>138933</v>
      </c>
      <c r="G5159" s="25" t="n">
        <v>1</v>
      </c>
      <c r="H5159" s="25" t="n">
        <v>5</v>
      </c>
      <c r="I5159" s="25" t="inlineStr">
        <is>
          <t>42 second(s)</t>
        </is>
      </c>
      <c r="J5159" s="25">
        <f>IFERROR(VALUE(TRIM(LEFT(I5159,FIND("minute",I5159)-1)))*60,0)+IFERROR(VALUE(SUBSTITUTE(MID(I5159,IFERROR(FIND("and",I5159)+3,1),20),"second(s)","")),0)</f>
        <v/>
      </c>
      <c r="K5159" s="41">
        <f>J5159/60</f>
        <v/>
      </c>
      <c r="L5159" s="41">
        <f>IFERROR(J5159/H5159,"")</f>
        <v/>
      </c>
      <c r="M5159" s="25" t="n">
        <v>3.4</v>
      </c>
      <c r="N5159" s="25">
        <f>IF(J5159&gt;300,1,0)</f>
        <v/>
      </c>
      <c r="O5159" s="25">
        <f>IF(J5159&gt;600,1,0)</f>
        <v/>
      </c>
      <c r="P5159" s="25">
        <f>IF(H5159&gt;0,J5159,"")</f>
        <v/>
      </c>
      <c r="Q5159" s="25">
        <f>TEXT(A5159,"YYYY-MM-DD HH")</f>
        <v/>
      </c>
      <c r="R5159" s="25">
        <f>COUNTIF($Q$2:$Q$5295,Q5159)</f>
        <v/>
      </c>
      <c r="S5159" s="25">
        <f>IF(R5159&lt;=2,"1-2",IF(R5159&lt;=5,"3-5",IF(R5159&lt;=10,"6-10","11+")))</f>
        <v/>
      </c>
    </row>
    <row r="5160">
      <c r="A5160" s="39" t="n">
        <v>46239.47150462963</v>
      </c>
      <c r="B5160" s="25">
        <f>TEXT(A5160,"YYYY-MM")</f>
        <v/>
      </c>
      <c r="C5160" s="25">
        <f>TEXT(A5160,"MMM-YYYY")</f>
        <v/>
      </c>
      <c r="D5160" s="40">
        <f>INT(A5160)-WEEKDAY(A5160,2)+1</f>
        <v/>
      </c>
      <c r="E5160" s="25" t="inlineStr">
        <is>
          <t>tkarmakar</t>
        </is>
      </c>
      <c r="F5160" s="25" t="n">
        <v>135605</v>
      </c>
      <c r="G5160" s="25" t="n">
        <v>1</v>
      </c>
      <c r="H5160" s="25" t="n">
        <v>7</v>
      </c>
      <c r="I5160" s="25" t="inlineStr">
        <is>
          <t>1 minute(s) and 3 second(s)</t>
        </is>
      </c>
      <c r="J5160" s="25">
        <f>IFERROR(VALUE(TRIM(LEFT(I5160,FIND("minute",I5160)-1)))*60,0)+IFERROR(VALUE(SUBSTITUTE(MID(I5160,IFERROR(FIND("and",I5160)+3,1),20),"second(s)","")),0)</f>
        <v/>
      </c>
      <c r="K5160" s="41">
        <f>J5160/60</f>
        <v/>
      </c>
      <c r="L5160" s="41">
        <f>IFERROR(J5160/H5160,"")</f>
        <v/>
      </c>
      <c r="M5160" s="25" t="n">
        <v>3.4</v>
      </c>
      <c r="N5160" s="25">
        <f>IF(J5160&gt;300,1,0)</f>
        <v/>
      </c>
      <c r="O5160" s="25">
        <f>IF(J5160&gt;600,1,0)</f>
        <v/>
      </c>
      <c r="P5160" s="25">
        <f>IF(H5160&gt;0,J5160,"")</f>
        <v/>
      </c>
      <c r="Q5160" s="25">
        <f>TEXT(A5160,"YYYY-MM-DD HH")</f>
        <v/>
      </c>
      <c r="R5160" s="25">
        <f>COUNTIF($Q$2:$Q$5295,Q5160)</f>
        <v/>
      </c>
      <c r="S5160" s="25">
        <f>IF(R5160&lt;=2,"1-2",IF(R5160&lt;=5,"3-5",IF(R5160&lt;=10,"6-10","11+")))</f>
        <v/>
      </c>
    </row>
    <row r="5161">
      <c r="A5161" s="39" t="n">
        <v>46239.47635416667</v>
      </c>
      <c r="B5161" s="25">
        <f>TEXT(A5161,"YYYY-MM")</f>
        <v/>
      </c>
      <c r="C5161" s="25">
        <f>TEXT(A5161,"MMM-YYYY")</f>
        <v/>
      </c>
      <c r="D5161" s="40">
        <f>INT(A5161)-WEEKDAY(A5161,2)+1</f>
        <v/>
      </c>
      <c r="E5161" s="25" t="inlineStr">
        <is>
          <t>dchoudhury</t>
        </is>
      </c>
      <c r="F5161" s="25" t="n">
        <v>128567</v>
      </c>
      <c r="G5161" s="25" t="n">
        <v>4</v>
      </c>
      <c r="H5161" s="25" t="n">
        <v>20</v>
      </c>
      <c r="I5161" s="25" t="inlineStr">
        <is>
          <t>2 minute(s) and 35 second(s)</t>
        </is>
      </c>
      <c r="J5161" s="25">
        <f>IFERROR(VALUE(TRIM(LEFT(I5161,FIND("minute",I5161)-1)))*60,0)+IFERROR(VALUE(SUBSTITUTE(MID(I5161,IFERROR(FIND("and",I5161)+3,1),20),"second(s)","")),0)</f>
        <v/>
      </c>
      <c r="K5161" s="41">
        <f>J5161/60</f>
        <v/>
      </c>
      <c r="L5161" s="41">
        <f>IFERROR(J5161/H5161,"")</f>
        <v/>
      </c>
      <c r="M5161" s="25" t="n">
        <v>3.4</v>
      </c>
      <c r="N5161" s="25">
        <f>IF(J5161&gt;300,1,0)</f>
        <v/>
      </c>
      <c r="O5161" s="25">
        <f>IF(J5161&gt;600,1,0)</f>
        <v/>
      </c>
      <c r="P5161" s="25">
        <f>IF(H5161&gt;0,J5161,"")</f>
        <v/>
      </c>
      <c r="Q5161" s="25">
        <f>TEXT(A5161,"YYYY-MM-DD HH")</f>
        <v/>
      </c>
      <c r="R5161" s="25">
        <f>COUNTIF($Q$2:$Q$5295,Q5161)</f>
        <v/>
      </c>
      <c r="S5161" s="25">
        <f>IF(R5161&lt;=2,"1-2",IF(R5161&lt;=5,"3-5",IF(R5161&lt;=10,"6-10","11+")))</f>
        <v/>
      </c>
    </row>
    <row r="5162">
      <c r="A5162" s="39" t="n">
        <v>46239.48246527778</v>
      </c>
      <c r="B5162" s="25">
        <f>TEXT(A5162,"YYYY-MM")</f>
        <v/>
      </c>
      <c r="C5162" s="25">
        <f>TEXT(A5162,"MMM-YYYY")</f>
        <v/>
      </c>
      <c r="D5162" s="40">
        <f>INT(A5162)-WEEKDAY(A5162,2)+1</f>
        <v/>
      </c>
      <c r="E5162" s="25" t="inlineStr">
        <is>
          <t>ethomas</t>
        </is>
      </c>
      <c r="F5162" s="25" t="n">
        <v>134169</v>
      </c>
      <c r="G5162" s="25" t="n">
        <v>2</v>
      </c>
      <c r="H5162" s="25" t="n">
        <v>12</v>
      </c>
      <c r="I5162" s="25" t="inlineStr">
        <is>
          <t>1 minute(s) and 39 second(s)</t>
        </is>
      </c>
      <c r="J5162" s="25">
        <f>IFERROR(VALUE(TRIM(LEFT(I5162,FIND("minute",I5162)-1)))*60,0)+IFERROR(VALUE(SUBSTITUTE(MID(I5162,IFERROR(FIND("and",I5162)+3,1),20),"second(s)","")),0)</f>
        <v/>
      </c>
      <c r="K5162" s="41">
        <f>J5162/60</f>
        <v/>
      </c>
      <c r="L5162" s="41">
        <f>IFERROR(J5162/H5162,"")</f>
        <v/>
      </c>
      <c r="M5162" s="25" t="n">
        <v>3.4</v>
      </c>
      <c r="N5162" s="25">
        <f>IF(J5162&gt;300,1,0)</f>
        <v/>
      </c>
      <c r="O5162" s="25">
        <f>IF(J5162&gt;600,1,0)</f>
        <v/>
      </c>
      <c r="P5162" s="25">
        <f>IF(H5162&gt;0,J5162,"")</f>
        <v/>
      </c>
      <c r="Q5162" s="25">
        <f>TEXT(A5162,"YYYY-MM-DD HH")</f>
        <v/>
      </c>
      <c r="R5162" s="25">
        <f>COUNTIF($Q$2:$Q$5295,Q5162)</f>
        <v/>
      </c>
      <c r="S5162" s="25">
        <f>IF(R5162&lt;=2,"1-2",IF(R5162&lt;=5,"3-5",IF(R5162&lt;=10,"6-10","11+")))</f>
        <v/>
      </c>
    </row>
    <row r="5163">
      <c r="A5163" s="39" t="n">
        <v>46239.49023148148</v>
      </c>
      <c r="B5163" s="25">
        <f>TEXT(A5163,"YYYY-MM")</f>
        <v/>
      </c>
      <c r="C5163" s="25">
        <f>TEXT(A5163,"MMM-YYYY")</f>
        <v/>
      </c>
      <c r="D5163" s="40">
        <f>INT(A5163)-WEEKDAY(A5163,2)+1</f>
        <v/>
      </c>
      <c r="E5163" s="25" t="inlineStr">
        <is>
          <t>mgupta</t>
        </is>
      </c>
      <c r="F5163" s="25" t="n">
        <v>137058</v>
      </c>
      <c r="G5163" s="25" t="n">
        <v>4</v>
      </c>
      <c r="H5163" s="25" t="n">
        <v>13</v>
      </c>
      <c r="I5163" s="25" t="inlineStr">
        <is>
          <t>2 minute(s) and 10 second(s)</t>
        </is>
      </c>
      <c r="J5163" s="25">
        <f>IFERROR(VALUE(TRIM(LEFT(I5163,FIND("minute",I5163)-1)))*60,0)+IFERROR(VALUE(SUBSTITUTE(MID(I5163,IFERROR(FIND("and",I5163)+3,1),20),"second(s)","")),0)</f>
        <v/>
      </c>
      <c r="K5163" s="41">
        <f>J5163/60</f>
        <v/>
      </c>
      <c r="L5163" s="41">
        <f>IFERROR(J5163/H5163,"")</f>
        <v/>
      </c>
      <c r="M5163" s="25" t="n">
        <v>3.5</v>
      </c>
      <c r="N5163" s="25">
        <f>IF(J5163&gt;300,1,0)</f>
        <v/>
      </c>
      <c r="O5163" s="25">
        <f>IF(J5163&gt;600,1,0)</f>
        <v/>
      </c>
      <c r="P5163" s="25">
        <f>IF(H5163&gt;0,J5163,"")</f>
        <v/>
      </c>
      <c r="Q5163" s="25">
        <f>TEXT(A5163,"YYYY-MM-DD HH")</f>
        <v/>
      </c>
      <c r="R5163" s="25">
        <f>COUNTIF($Q$2:$Q$5295,Q5163)</f>
        <v/>
      </c>
      <c r="S5163" s="25">
        <f>IF(R5163&lt;=2,"1-2",IF(R5163&lt;=5,"3-5",IF(R5163&lt;=10,"6-10","11+")))</f>
        <v/>
      </c>
    </row>
    <row r="5164">
      <c r="A5164" s="39" t="n">
        <v>46239.49711805556</v>
      </c>
      <c r="B5164" s="25">
        <f>TEXT(A5164,"YYYY-MM")</f>
        <v/>
      </c>
      <c r="C5164" s="25">
        <f>TEXT(A5164,"MMM-YYYY")</f>
        <v/>
      </c>
      <c r="D5164" s="40">
        <f>INT(A5164)-WEEKDAY(A5164,2)+1</f>
        <v/>
      </c>
      <c r="E5164" s="25" t="inlineStr">
        <is>
          <t>sswati</t>
        </is>
      </c>
      <c r="F5164" s="25" t="n">
        <v>137900</v>
      </c>
      <c r="G5164" s="25" t="n">
        <v>2</v>
      </c>
      <c r="H5164" s="25" t="n">
        <v>10</v>
      </c>
      <c r="I5164" s="25" t="inlineStr">
        <is>
          <t>1 minute(s) and 24 second(s)</t>
        </is>
      </c>
      <c r="J5164" s="25">
        <f>IFERROR(VALUE(TRIM(LEFT(I5164,FIND("minute",I5164)-1)))*60,0)+IFERROR(VALUE(SUBSTITUTE(MID(I5164,IFERROR(FIND("and",I5164)+3,1),20),"second(s)","")),0)</f>
        <v/>
      </c>
      <c r="K5164" s="41">
        <f>J5164/60</f>
        <v/>
      </c>
      <c r="L5164" s="41">
        <f>IFERROR(J5164/H5164,"")</f>
        <v/>
      </c>
      <c r="M5164" s="25" t="n">
        <v>3.4</v>
      </c>
      <c r="N5164" s="25">
        <f>IF(J5164&gt;300,1,0)</f>
        <v/>
      </c>
      <c r="O5164" s="25">
        <f>IF(J5164&gt;600,1,0)</f>
        <v/>
      </c>
      <c r="P5164" s="25">
        <f>IF(H5164&gt;0,J5164,"")</f>
        <v/>
      </c>
      <c r="Q5164" s="25">
        <f>TEXT(A5164,"YYYY-MM-DD HH")</f>
        <v/>
      </c>
      <c r="R5164" s="25">
        <f>COUNTIF($Q$2:$Q$5295,Q5164)</f>
        <v/>
      </c>
      <c r="S5164" s="25">
        <f>IF(R5164&lt;=2,"1-2",IF(R5164&lt;=5,"3-5",IF(R5164&lt;=10,"6-10","11+")))</f>
        <v/>
      </c>
    </row>
    <row r="5165">
      <c r="A5165" s="39" t="n">
        <v>46239.50035879629</v>
      </c>
      <c r="B5165" s="25">
        <f>TEXT(A5165,"YYYY-MM")</f>
        <v/>
      </c>
      <c r="C5165" s="25">
        <f>TEXT(A5165,"MMM-YYYY")</f>
        <v/>
      </c>
      <c r="D5165" s="40">
        <f>INT(A5165)-WEEKDAY(A5165,2)+1</f>
        <v/>
      </c>
      <c r="E5165" s="25" t="inlineStr">
        <is>
          <t>sswati</t>
        </is>
      </c>
      <c r="F5165" s="25" t="n">
        <v>137900</v>
      </c>
      <c r="G5165" s="25" t="n">
        <v>2</v>
      </c>
      <c r="H5165" s="25" t="n">
        <v>10</v>
      </c>
      <c r="I5165" s="25" t="inlineStr">
        <is>
          <t>1 minute(s) and 27 second(s)</t>
        </is>
      </c>
      <c r="J5165" s="25">
        <f>IFERROR(VALUE(TRIM(LEFT(I5165,FIND("minute",I5165)-1)))*60,0)+IFERROR(VALUE(SUBSTITUTE(MID(I5165,IFERROR(FIND("and",I5165)+3,1),20),"second(s)","")),0)</f>
        <v/>
      </c>
      <c r="K5165" s="41">
        <f>J5165/60</f>
        <v/>
      </c>
      <c r="L5165" s="41">
        <f>IFERROR(J5165/H5165,"")</f>
        <v/>
      </c>
      <c r="M5165" s="25" t="n">
        <v>3.4</v>
      </c>
      <c r="N5165" s="25">
        <f>IF(J5165&gt;300,1,0)</f>
        <v/>
      </c>
      <c r="O5165" s="25">
        <f>IF(J5165&gt;600,1,0)</f>
        <v/>
      </c>
      <c r="P5165" s="25">
        <f>IF(H5165&gt;0,J5165,"")</f>
        <v/>
      </c>
      <c r="Q5165" s="25">
        <f>TEXT(A5165,"YYYY-MM-DD HH")</f>
        <v/>
      </c>
      <c r="R5165" s="25">
        <f>COUNTIF($Q$2:$Q$5295,Q5165)</f>
        <v/>
      </c>
      <c r="S5165" s="25">
        <f>IF(R5165&lt;=2,"1-2",IF(R5165&lt;=5,"3-5",IF(R5165&lt;=10,"6-10","11+")))</f>
        <v/>
      </c>
    </row>
    <row r="5166">
      <c r="A5166" s="39" t="n">
        <v>46239.51638888889</v>
      </c>
      <c r="B5166" s="25">
        <f>TEXT(A5166,"YYYY-MM")</f>
        <v/>
      </c>
      <c r="C5166" s="25">
        <f>TEXT(A5166,"MMM-YYYY")</f>
        <v/>
      </c>
      <c r="D5166" s="40">
        <f>INT(A5166)-WEEKDAY(A5166,2)+1</f>
        <v/>
      </c>
      <c r="E5166" s="25" t="inlineStr">
        <is>
          <t>mbhalla</t>
        </is>
      </c>
      <c r="F5166" s="25" t="n">
        <v>136096</v>
      </c>
      <c r="G5166" s="25" t="n">
        <v>2</v>
      </c>
      <c r="H5166" s="25" t="n">
        <v>10</v>
      </c>
      <c r="I5166" s="25" t="inlineStr">
        <is>
          <t>1 minute(s) and 14 second(s)</t>
        </is>
      </c>
      <c r="J5166" s="25">
        <f>IFERROR(VALUE(TRIM(LEFT(I5166,FIND("minute",I5166)-1)))*60,0)+IFERROR(VALUE(SUBSTITUTE(MID(I5166,IFERROR(FIND("and",I5166)+3,1),20),"second(s)","")),0)</f>
        <v/>
      </c>
      <c r="K5166" s="41">
        <f>J5166/60</f>
        <v/>
      </c>
      <c r="L5166" s="41">
        <f>IFERROR(J5166/H5166,"")</f>
        <v/>
      </c>
      <c r="M5166" s="25" t="n">
        <v>3.4</v>
      </c>
      <c r="N5166" s="25">
        <f>IF(J5166&gt;300,1,0)</f>
        <v/>
      </c>
      <c r="O5166" s="25">
        <f>IF(J5166&gt;600,1,0)</f>
        <v/>
      </c>
      <c r="P5166" s="25">
        <f>IF(H5166&gt;0,J5166,"")</f>
        <v/>
      </c>
      <c r="Q5166" s="25">
        <f>TEXT(A5166,"YYYY-MM-DD HH")</f>
        <v/>
      </c>
      <c r="R5166" s="25">
        <f>COUNTIF($Q$2:$Q$5295,Q5166)</f>
        <v/>
      </c>
      <c r="S5166" s="25">
        <f>IF(R5166&lt;=2,"1-2",IF(R5166&lt;=5,"3-5",IF(R5166&lt;=10,"6-10","11+")))</f>
        <v/>
      </c>
    </row>
    <row r="5167">
      <c r="A5167" s="39" t="n">
        <v>46239.53137731482</v>
      </c>
      <c r="B5167" s="25">
        <f>TEXT(A5167,"YYYY-MM")</f>
        <v/>
      </c>
      <c r="C5167" s="25">
        <f>TEXT(A5167,"MMM-YYYY")</f>
        <v/>
      </c>
      <c r="D5167" s="40">
        <f>INT(A5167)-WEEKDAY(A5167,2)+1</f>
        <v/>
      </c>
      <c r="E5167" s="25" t="inlineStr">
        <is>
          <t>ajain</t>
        </is>
      </c>
      <c r="F5167" s="25" t="n">
        <v>138215</v>
      </c>
      <c r="G5167" s="25" t="n">
        <v>5</v>
      </c>
      <c r="H5167" s="25" t="n">
        <v>35</v>
      </c>
      <c r="I5167" s="25" t="inlineStr">
        <is>
          <t>2 minute(s) and 45 second(s)</t>
        </is>
      </c>
      <c r="J5167" s="25">
        <f>IFERROR(VALUE(TRIM(LEFT(I5167,FIND("minute",I5167)-1)))*60,0)+IFERROR(VALUE(SUBSTITUTE(MID(I5167,IFERROR(FIND("and",I5167)+3,1),20),"second(s)","")),0)</f>
        <v/>
      </c>
      <c r="K5167" s="41">
        <f>J5167/60</f>
        <v/>
      </c>
      <c r="L5167" s="41">
        <f>IFERROR(J5167/H5167,"")</f>
        <v/>
      </c>
      <c r="M5167" s="25" t="inlineStr">
        <is>
          <t>2.5.12</t>
        </is>
      </c>
      <c r="N5167" s="25">
        <f>IF(J5167&gt;300,1,0)</f>
        <v/>
      </c>
      <c r="O5167" s="25">
        <f>IF(J5167&gt;600,1,0)</f>
        <v/>
      </c>
      <c r="P5167" s="25">
        <f>IF(H5167&gt;0,J5167,"")</f>
        <v/>
      </c>
      <c r="Q5167" s="25">
        <f>TEXT(A5167,"YYYY-MM-DD HH")</f>
        <v/>
      </c>
      <c r="R5167" s="25">
        <f>COUNTIF($Q$2:$Q$5295,Q5167)</f>
        <v/>
      </c>
      <c r="S5167" s="25">
        <f>IF(R5167&lt;=2,"1-2",IF(R5167&lt;=5,"3-5",IF(R5167&lt;=10,"6-10","11+")))</f>
        <v/>
      </c>
    </row>
    <row r="5168">
      <c r="A5168" s="39" t="n">
        <v>46239.53649305556</v>
      </c>
      <c r="B5168" s="25">
        <f>TEXT(A5168,"YYYY-MM")</f>
        <v/>
      </c>
      <c r="C5168" s="25">
        <f>TEXT(A5168,"MMM-YYYY")</f>
        <v/>
      </c>
      <c r="D5168" s="40">
        <f>INT(A5168)-WEEKDAY(A5168,2)+1</f>
        <v/>
      </c>
      <c r="E5168" s="25" t="inlineStr">
        <is>
          <t>pgautam</t>
        </is>
      </c>
      <c r="F5168" s="25" t="n">
        <v>137077</v>
      </c>
      <c r="G5168" s="25" t="n">
        <v>3</v>
      </c>
      <c r="H5168" s="25" t="n">
        <v>13</v>
      </c>
      <c r="I5168" s="25" t="inlineStr">
        <is>
          <t>1 minute(s) and 35 second(s)</t>
        </is>
      </c>
      <c r="J5168" s="25">
        <f>IFERROR(VALUE(TRIM(LEFT(I5168,FIND("minute",I5168)-1)))*60,0)+IFERROR(VALUE(SUBSTITUTE(MID(I5168,IFERROR(FIND("and",I5168)+3,1),20),"second(s)","")),0)</f>
        <v/>
      </c>
      <c r="K5168" s="41">
        <f>J5168/60</f>
        <v/>
      </c>
      <c r="L5168" s="41">
        <f>IFERROR(J5168/H5168,"")</f>
        <v/>
      </c>
      <c r="M5168" s="25" t="n">
        <v>3.4</v>
      </c>
      <c r="N5168" s="25">
        <f>IF(J5168&gt;300,1,0)</f>
        <v/>
      </c>
      <c r="O5168" s="25">
        <f>IF(J5168&gt;600,1,0)</f>
        <v/>
      </c>
      <c r="P5168" s="25">
        <f>IF(H5168&gt;0,J5168,"")</f>
        <v/>
      </c>
      <c r="Q5168" s="25">
        <f>TEXT(A5168,"YYYY-MM-DD HH")</f>
        <v/>
      </c>
      <c r="R5168" s="25">
        <f>COUNTIF($Q$2:$Q$5295,Q5168)</f>
        <v/>
      </c>
      <c r="S5168" s="25">
        <f>IF(R5168&lt;=2,"1-2",IF(R5168&lt;=5,"3-5",IF(R5168&lt;=10,"6-10","11+")))</f>
        <v/>
      </c>
    </row>
    <row r="5169">
      <c r="A5169" s="39" t="n">
        <v>46239.54202546296</v>
      </c>
      <c r="B5169" s="25">
        <f>TEXT(A5169,"YYYY-MM")</f>
        <v/>
      </c>
      <c r="C5169" s="25">
        <f>TEXT(A5169,"MMM-YYYY")</f>
        <v/>
      </c>
      <c r="D5169" s="40">
        <f>INT(A5169)-WEEKDAY(A5169,2)+1</f>
        <v/>
      </c>
      <c r="E5169" s="25" t="inlineStr">
        <is>
          <t>hsindwani</t>
        </is>
      </c>
      <c r="F5169" s="25" t="n">
        <v>137566</v>
      </c>
      <c r="G5169" s="25" t="n">
        <v>2</v>
      </c>
      <c r="H5169" s="25" t="n">
        <v>8</v>
      </c>
      <c r="I5169" s="25" t="inlineStr">
        <is>
          <t>1 minute(s) and 2 second(s)</t>
        </is>
      </c>
      <c r="J5169" s="25">
        <f>IFERROR(VALUE(TRIM(LEFT(I5169,FIND("minute",I5169)-1)))*60,0)+IFERROR(VALUE(SUBSTITUTE(MID(I5169,IFERROR(FIND("and",I5169)+3,1),20),"second(s)","")),0)</f>
        <v/>
      </c>
      <c r="K5169" s="41">
        <f>J5169/60</f>
        <v/>
      </c>
      <c r="L5169" s="41">
        <f>IFERROR(J5169/H5169,"")</f>
        <v/>
      </c>
      <c r="M5169" s="25" t="n">
        <v>3.4</v>
      </c>
      <c r="N5169" s="25">
        <f>IF(J5169&gt;300,1,0)</f>
        <v/>
      </c>
      <c r="O5169" s="25">
        <f>IF(J5169&gt;600,1,0)</f>
        <v/>
      </c>
      <c r="P5169" s="25">
        <f>IF(H5169&gt;0,J5169,"")</f>
        <v/>
      </c>
      <c r="Q5169" s="25">
        <f>TEXT(A5169,"YYYY-MM-DD HH")</f>
        <v/>
      </c>
      <c r="R5169" s="25">
        <f>COUNTIF($Q$2:$Q$5295,Q5169)</f>
        <v/>
      </c>
      <c r="S5169" s="25">
        <f>IF(R5169&lt;=2,"1-2",IF(R5169&lt;=5,"3-5",IF(R5169&lt;=10,"6-10","11+")))</f>
        <v/>
      </c>
    </row>
    <row r="5170">
      <c r="A5170" s="39" t="n">
        <v>46239.54782407408</v>
      </c>
      <c r="B5170" s="25">
        <f>TEXT(A5170,"YYYY-MM")</f>
        <v/>
      </c>
      <c r="C5170" s="25">
        <f>TEXT(A5170,"MMM-YYYY")</f>
        <v/>
      </c>
      <c r="D5170" s="40">
        <f>INT(A5170)-WEEKDAY(A5170,2)+1</f>
        <v/>
      </c>
      <c r="E5170" s="25" t="inlineStr">
        <is>
          <t>asaxena</t>
        </is>
      </c>
      <c r="F5170" s="25" t="n">
        <v>138987</v>
      </c>
      <c r="G5170" s="25" t="n">
        <v>2</v>
      </c>
      <c r="H5170" s="25" t="n">
        <v>11</v>
      </c>
      <c r="I5170" s="25" t="inlineStr">
        <is>
          <t>1 minute(s) and 33 second(s)</t>
        </is>
      </c>
      <c r="J5170" s="25">
        <f>IFERROR(VALUE(TRIM(LEFT(I5170,FIND("minute",I5170)-1)))*60,0)+IFERROR(VALUE(SUBSTITUTE(MID(I5170,IFERROR(FIND("and",I5170)+3,1),20),"second(s)","")),0)</f>
        <v/>
      </c>
      <c r="K5170" s="41">
        <f>J5170/60</f>
        <v/>
      </c>
      <c r="L5170" s="41">
        <f>IFERROR(J5170/H5170,"")</f>
        <v/>
      </c>
      <c r="M5170" s="25" t="inlineStr">
        <is>
          <t>2.5.12</t>
        </is>
      </c>
      <c r="N5170" s="25">
        <f>IF(J5170&gt;300,1,0)</f>
        <v/>
      </c>
      <c r="O5170" s="25">
        <f>IF(J5170&gt;600,1,0)</f>
        <v/>
      </c>
      <c r="P5170" s="25">
        <f>IF(H5170&gt;0,J5170,"")</f>
        <v/>
      </c>
      <c r="Q5170" s="25">
        <f>TEXT(A5170,"YYYY-MM-DD HH")</f>
        <v/>
      </c>
      <c r="R5170" s="25">
        <f>COUNTIF($Q$2:$Q$5295,Q5170)</f>
        <v/>
      </c>
      <c r="S5170" s="25">
        <f>IF(R5170&lt;=2,"1-2",IF(R5170&lt;=5,"3-5",IF(R5170&lt;=10,"6-10","11+")))</f>
        <v/>
      </c>
    </row>
    <row r="5171">
      <c r="A5171" s="39" t="n">
        <v>46239.55144675926</v>
      </c>
      <c r="B5171" s="25">
        <f>TEXT(A5171,"YYYY-MM")</f>
        <v/>
      </c>
      <c r="C5171" s="25">
        <f>TEXT(A5171,"MMM-YYYY")</f>
        <v/>
      </c>
      <c r="D5171" s="40">
        <f>INT(A5171)-WEEKDAY(A5171,2)+1</f>
        <v/>
      </c>
      <c r="E5171" s="25" t="inlineStr">
        <is>
          <t>ssaha</t>
        </is>
      </c>
      <c r="F5171" s="25" t="n">
        <v>139022</v>
      </c>
      <c r="G5171" s="25" t="n">
        <v>2</v>
      </c>
      <c r="H5171" s="25" t="n">
        <v>8</v>
      </c>
      <c r="I5171" s="25" t="inlineStr">
        <is>
          <t>56 second(s)</t>
        </is>
      </c>
      <c r="J5171" s="25">
        <f>IFERROR(VALUE(TRIM(LEFT(I5171,FIND("minute",I5171)-1)))*60,0)+IFERROR(VALUE(SUBSTITUTE(MID(I5171,IFERROR(FIND("and",I5171)+3,1),20),"second(s)","")),0)</f>
        <v/>
      </c>
      <c r="K5171" s="41">
        <f>J5171/60</f>
        <v/>
      </c>
      <c r="L5171" s="41">
        <f>IFERROR(J5171/H5171,"")</f>
        <v/>
      </c>
      <c r="M5171" s="25" t="n">
        <v>3.5</v>
      </c>
      <c r="N5171" s="25">
        <f>IF(J5171&gt;300,1,0)</f>
        <v/>
      </c>
      <c r="O5171" s="25">
        <f>IF(J5171&gt;600,1,0)</f>
        <v/>
      </c>
      <c r="P5171" s="25">
        <f>IF(H5171&gt;0,J5171,"")</f>
        <v/>
      </c>
      <c r="Q5171" s="25">
        <f>TEXT(A5171,"YYYY-MM-DD HH")</f>
        <v/>
      </c>
      <c r="R5171" s="25">
        <f>COUNTIF($Q$2:$Q$5295,Q5171)</f>
        <v/>
      </c>
      <c r="S5171" s="25">
        <f>IF(R5171&lt;=2,"1-2",IF(R5171&lt;=5,"3-5",IF(R5171&lt;=10,"6-10","11+")))</f>
        <v/>
      </c>
    </row>
    <row r="5172">
      <c r="A5172" s="39" t="n">
        <v>46239.55432870371</v>
      </c>
      <c r="B5172" s="25">
        <f>TEXT(A5172,"YYYY-MM")</f>
        <v/>
      </c>
      <c r="C5172" s="25">
        <f>TEXT(A5172,"MMM-YYYY")</f>
        <v/>
      </c>
      <c r="D5172" s="40">
        <f>INT(A5172)-WEEKDAY(A5172,2)+1</f>
        <v/>
      </c>
      <c r="E5172" s="25" t="inlineStr">
        <is>
          <t>shassan</t>
        </is>
      </c>
      <c r="F5172" s="25" t="n">
        <v>134311</v>
      </c>
      <c r="G5172" s="25" t="n">
        <v>4</v>
      </c>
      <c r="H5172" s="25" t="n">
        <v>26</v>
      </c>
      <c r="I5172" s="25" t="inlineStr">
        <is>
          <t>3 minute(s) and 17 second(s)</t>
        </is>
      </c>
      <c r="J5172" s="25">
        <f>IFERROR(VALUE(TRIM(LEFT(I5172,FIND("minute",I5172)-1)))*60,0)+IFERROR(VALUE(SUBSTITUTE(MID(I5172,IFERROR(FIND("and",I5172)+3,1),20),"second(s)","")),0)</f>
        <v/>
      </c>
      <c r="K5172" s="41">
        <f>J5172/60</f>
        <v/>
      </c>
      <c r="L5172" s="41">
        <f>IFERROR(J5172/H5172,"")</f>
        <v/>
      </c>
      <c r="M5172" s="25" t="n">
        <v>3.4</v>
      </c>
      <c r="N5172" s="25">
        <f>IF(J5172&gt;300,1,0)</f>
        <v/>
      </c>
      <c r="O5172" s="25">
        <f>IF(J5172&gt;600,1,0)</f>
        <v/>
      </c>
      <c r="P5172" s="25">
        <f>IF(H5172&gt;0,J5172,"")</f>
        <v/>
      </c>
      <c r="Q5172" s="25">
        <f>TEXT(A5172,"YYYY-MM-DD HH")</f>
        <v/>
      </c>
      <c r="R5172" s="25">
        <f>COUNTIF($Q$2:$Q$5295,Q5172)</f>
        <v/>
      </c>
      <c r="S5172" s="25">
        <f>IF(R5172&lt;=2,"1-2",IF(R5172&lt;=5,"3-5",IF(R5172&lt;=10,"6-10","11+")))</f>
        <v/>
      </c>
    </row>
    <row r="5173">
      <c r="A5173" s="39" t="n">
        <v>46239.56355324074</v>
      </c>
      <c r="B5173" s="25">
        <f>TEXT(A5173,"YYYY-MM")</f>
        <v/>
      </c>
      <c r="C5173" s="25">
        <f>TEXT(A5173,"MMM-YYYY")</f>
        <v/>
      </c>
      <c r="D5173" s="40">
        <f>INT(A5173)-WEEKDAY(A5173,2)+1</f>
        <v/>
      </c>
      <c r="E5173" s="25" t="inlineStr">
        <is>
          <t>sthomas</t>
        </is>
      </c>
      <c r="F5173" s="25" t="n">
        <v>129784</v>
      </c>
      <c r="G5173" s="25" t="n">
        <v>3</v>
      </c>
      <c r="H5173" s="25" t="n">
        <v>19</v>
      </c>
      <c r="I5173" s="25" t="inlineStr">
        <is>
          <t>2 minute(s) and 37 second(s)</t>
        </is>
      </c>
      <c r="J5173" s="25">
        <f>IFERROR(VALUE(TRIM(LEFT(I5173,FIND("minute",I5173)-1)))*60,0)+IFERROR(VALUE(SUBSTITUTE(MID(I5173,IFERROR(FIND("and",I5173)+3,1),20),"second(s)","")),0)</f>
        <v/>
      </c>
      <c r="K5173" s="41">
        <f>J5173/60</f>
        <v/>
      </c>
      <c r="L5173" s="41">
        <f>IFERROR(J5173/H5173,"")</f>
        <v/>
      </c>
      <c r="M5173" s="25" t="n">
        <v>3.4</v>
      </c>
      <c r="N5173" s="25">
        <f>IF(J5173&gt;300,1,0)</f>
        <v/>
      </c>
      <c r="O5173" s="25">
        <f>IF(J5173&gt;600,1,0)</f>
        <v/>
      </c>
      <c r="P5173" s="25">
        <f>IF(H5173&gt;0,J5173,"")</f>
        <v/>
      </c>
      <c r="Q5173" s="25">
        <f>TEXT(A5173,"YYYY-MM-DD HH")</f>
        <v/>
      </c>
      <c r="R5173" s="25">
        <f>COUNTIF($Q$2:$Q$5295,Q5173)</f>
        <v/>
      </c>
      <c r="S5173" s="25">
        <f>IF(R5173&lt;=2,"1-2",IF(R5173&lt;=5,"3-5",IF(R5173&lt;=10,"6-10","11+")))</f>
        <v/>
      </c>
    </row>
    <row r="5174">
      <c r="A5174" s="39" t="n">
        <v>46239.56706018518</v>
      </c>
      <c r="B5174" s="25">
        <f>TEXT(A5174,"YYYY-MM")</f>
        <v/>
      </c>
      <c r="C5174" s="25">
        <f>TEXT(A5174,"MMM-YYYY")</f>
        <v/>
      </c>
      <c r="D5174" s="40">
        <f>INT(A5174)-WEEKDAY(A5174,2)+1</f>
        <v/>
      </c>
      <c r="E5174" s="25" t="inlineStr">
        <is>
          <t>vraina</t>
        </is>
      </c>
      <c r="F5174" s="25" t="n">
        <v>135354</v>
      </c>
      <c r="G5174" s="25" t="n">
        <v>2</v>
      </c>
      <c r="H5174" s="25" t="n">
        <v>8</v>
      </c>
      <c r="I5174" s="25" t="inlineStr">
        <is>
          <t>1 minute(s) and 11 second(s)</t>
        </is>
      </c>
      <c r="J5174" s="25">
        <f>IFERROR(VALUE(TRIM(LEFT(I5174,FIND("minute",I5174)-1)))*60,0)+IFERROR(VALUE(SUBSTITUTE(MID(I5174,IFERROR(FIND("and",I5174)+3,1),20),"second(s)","")),0)</f>
        <v/>
      </c>
      <c r="K5174" s="41">
        <f>J5174/60</f>
        <v/>
      </c>
      <c r="L5174" s="41">
        <f>IFERROR(J5174/H5174,"")</f>
        <v/>
      </c>
      <c r="M5174" s="25" t="n">
        <v>3.4</v>
      </c>
      <c r="N5174" s="25">
        <f>IF(J5174&gt;300,1,0)</f>
        <v/>
      </c>
      <c r="O5174" s="25">
        <f>IF(J5174&gt;600,1,0)</f>
        <v/>
      </c>
      <c r="P5174" s="25">
        <f>IF(H5174&gt;0,J5174,"")</f>
        <v/>
      </c>
      <c r="Q5174" s="25">
        <f>TEXT(A5174,"YYYY-MM-DD HH")</f>
        <v/>
      </c>
      <c r="R5174" s="25">
        <f>COUNTIF($Q$2:$Q$5295,Q5174)</f>
        <v/>
      </c>
      <c r="S5174" s="25">
        <f>IF(R5174&lt;=2,"1-2",IF(R5174&lt;=5,"3-5",IF(R5174&lt;=10,"6-10","11+")))</f>
        <v/>
      </c>
    </row>
    <row r="5175">
      <c r="A5175" s="39" t="n">
        <v>46239.57402777778</v>
      </c>
      <c r="B5175" s="25">
        <f>TEXT(A5175,"YYYY-MM")</f>
        <v/>
      </c>
      <c r="C5175" s="25">
        <f>TEXT(A5175,"MMM-YYYY")</f>
        <v/>
      </c>
      <c r="D5175" s="40">
        <f>INT(A5175)-WEEKDAY(A5175,2)+1</f>
        <v/>
      </c>
      <c r="E5175" s="25" t="inlineStr">
        <is>
          <t>pgautam</t>
        </is>
      </c>
      <c r="F5175" s="25" t="n">
        <v>134299</v>
      </c>
      <c r="G5175" s="25" t="n">
        <v>3</v>
      </c>
      <c r="H5175" s="25" t="n">
        <v>11</v>
      </c>
      <c r="I5175" s="25" t="inlineStr">
        <is>
          <t>1 minute(s) and 26 second(s)</t>
        </is>
      </c>
      <c r="J5175" s="25">
        <f>IFERROR(VALUE(TRIM(LEFT(I5175,FIND("minute",I5175)-1)))*60,0)+IFERROR(VALUE(SUBSTITUTE(MID(I5175,IFERROR(FIND("and",I5175)+3,1),20),"second(s)","")),0)</f>
        <v/>
      </c>
      <c r="K5175" s="41">
        <f>J5175/60</f>
        <v/>
      </c>
      <c r="L5175" s="41">
        <f>IFERROR(J5175/H5175,"")</f>
        <v/>
      </c>
      <c r="M5175" s="25" t="n">
        <v>3.4</v>
      </c>
      <c r="N5175" s="25">
        <f>IF(J5175&gt;300,1,0)</f>
        <v/>
      </c>
      <c r="O5175" s="25">
        <f>IF(J5175&gt;600,1,0)</f>
        <v/>
      </c>
      <c r="P5175" s="25">
        <f>IF(H5175&gt;0,J5175,"")</f>
        <v/>
      </c>
      <c r="Q5175" s="25">
        <f>TEXT(A5175,"YYYY-MM-DD HH")</f>
        <v/>
      </c>
      <c r="R5175" s="25">
        <f>COUNTIF($Q$2:$Q$5295,Q5175)</f>
        <v/>
      </c>
      <c r="S5175" s="25">
        <f>IF(R5175&lt;=2,"1-2",IF(R5175&lt;=5,"3-5",IF(R5175&lt;=10,"6-10","11+")))</f>
        <v/>
      </c>
    </row>
    <row r="5176">
      <c r="A5176" s="39" t="n">
        <v>46239.59729166667</v>
      </c>
      <c r="B5176" s="25">
        <f>TEXT(A5176,"YYYY-MM")</f>
        <v/>
      </c>
      <c r="C5176" s="25">
        <f>TEXT(A5176,"MMM-YYYY")</f>
        <v/>
      </c>
      <c r="D5176" s="40">
        <f>INT(A5176)-WEEKDAY(A5176,2)+1</f>
        <v/>
      </c>
      <c r="E5176" s="25" t="inlineStr">
        <is>
          <t>psingh</t>
        </is>
      </c>
      <c r="F5176" s="25" t="n">
        <v>137021</v>
      </c>
      <c r="G5176" s="25" t="n">
        <v>1</v>
      </c>
      <c r="H5176" s="25" t="n">
        <v>7</v>
      </c>
      <c r="I5176" s="25" t="inlineStr">
        <is>
          <t>1 minute(s) and 2 second(s)</t>
        </is>
      </c>
      <c r="J5176" s="25">
        <f>IFERROR(VALUE(TRIM(LEFT(I5176,FIND("minute",I5176)-1)))*60,0)+IFERROR(VALUE(SUBSTITUTE(MID(I5176,IFERROR(FIND("and",I5176)+3,1),20),"second(s)","")),0)</f>
        <v/>
      </c>
      <c r="K5176" s="41">
        <f>J5176/60</f>
        <v/>
      </c>
      <c r="L5176" s="41">
        <f>IFERROR(J5176/H5176,"")</f>
        <v/>
      </c>
      <c r="M5176" s="25" t="n">
        <v>3.4</v>
      </c>
      <c r="N5176" s="25">
        <f>IF(J5176&gt;300,1,0)</f>
        <v/>
      </c>
      <c r="O5176" s="25">
        <f>IF(J5176&gt;600,1,0)</f>
        <v/>
      </c>
      <c r="P5176" s="25">
        <f>IF(H5176&gt;0,J5176,"")</f>
        <v/>
      </c>
      <c r="Q5176" s="25">
        <f>TEXT(A5176,"YYYY-MM-DD HH")</f>
        <v/>
      </c>
      <c r="R5176" s="25">
        <f>COUNTIF($Q$2:$Q$5295,Q5176)</f>
        <v/>
      </c>
      <c r="S5176" s="25">
        <f>IF(R5176&lt;=2,"1-2",IF(R5176&lt;=5,"3-5",IF(R5176&lt;=10,"6-10","11+")))</f>
        <v/>
      </c>
    </row>
    <row r="5177">
      <c r="A5177" s="39" t="n">
        <v>46239.62594907408</v>
      </c>
      <c r="B5177" s="25">
        <f>TEXT(A5177,"YYYY-MM")</f>
        <v/>
      </c>
      <c r="C5177" s="25">
        <f>TEXT(A5177,"MMM-YYYY")</f>
        <v/>
      </c>
      <c r="D5177" s="40">
        <f>INT(A5177)-WEEKDAY(A5177,2)+1</f>
        <v/>
      </c>
      <c r="E5177" s="25" t="inlineStr">
        <is>
          <t>mbhalla</t>
        </is>
      </c>
      <c r="F5177" s="25" t="n">
        <v>136448</v>
      </c>
      <c r="G5177" s="25" t="n">
        <v>3</v>
      </c>
      <c r="H5177" s="25" t="n">
        <v>11</v>
      </c>
      <c r="I5177" s="25" t="inlineStr">
        <is>
          <t>1 minute(s) and 20 second(s)</t>
        </is>
      </c>
      <c r="J5177" s="25">
        <f>IFERROR(VALUE(TRIM(LEFT(I5177,FIND("minute",I5177)-1)))*60,0)+IFERROR(VALUE(SUBSTITUTE(MID(I5177,IFERROR(FIND("and",I5177)+3,1),20),"second(s)","")),0)</f>
        <v/>
      </c>
      <c r="K5177" s="41">
        <f>J5177/60</f>
        <v/>
      </c>
      <c r="L5177" s="41">
        <f>IFERROR(J5177/H5177,"")</f>
        <v/>
      </c>
      <c r="M5177" s="25" t="n">
        <v>3.4</v>
      </c>
      <c r="N5177" s="25">
        <f>IF(J5177&gt;300,1,0)</f>
        <v/>
      </c>
      <c r="O5177" s="25">
        <f>IF(J5177&gt;600,1,0)</f>
        <v/>
      </c>
      <c r="P5177" s="25">
        <f>IF(H5177&gt;0,J5177,"")</f>
        <v/>
      </c>
      <c r="Q5177" s="25">
        <f>TEXT(A5177,"YYYY-MM-DD HH")</f>
        <v/>
      </c>
      <c r="R5177" s="25">
        <f>COUNTIF($Q$2:$Q$5295,Q5177)</f>
        <v/>
      </c>
      <c r="S5177" s="25">
        <f>IF(R5177&lt;=2,"1-2",IF(R5177&lt;=5,"3-5",IF(R5177&lt;=10,"6-10","11+")))</f>
        <v/>
      </c>
    </row>
    <row r="5178">
      <c r="A5178" s="39" t="n">
        <v>46239.6340162037</v>
      </c>
      <c r="B5178" s="25">
        <f>TEXT(A5178,"YYYY-MM")</f>
        <v/>
      </c>
      <c r="C5178" s="25">
        <f>TEXT(A5178,"MMM-YYYY")</f>
        <v/>
      </c>
      <c r="D5178" s="40">
        <f>INT(A5178)-WEEKDAY(A5178,2)+1</f>
        <v/>
      </c>
      <c r="E5178" s="25" t="inlineStr">
        <is>
          <t>ssaha</t>
        </is>
      </c>
      <c r="F5178" s="25" t="n">
        <v>134612</v>
      </c>
      <c r="G5178" s="25" t="n">
        <v>2</v>
      </c>
      <c r="H5178" s="25" t="n">
        <v>8</v>
      </c>
      <c r="I5178" s="25" t="inlineStr">
        <is>
          <t>56 second(s)</t>
        </is>
      </c>
      <c r="J5178" s="25">
        <f>IFERROR(VALUE(TRIM(LEFT(I5178,FIND("minute",I5178)-1)))*60,0)+IFERROR(VALUE(SUBSTITUTE(MID(I5178,IFERROR(FIND("and",I5178)+3,1),20),"second(s)","")),0)</f>
        <v/>
      </c>
      <c r="K5178" s="41">
        <f>J5178/60</f>
        <v/>
      </c>
      <c r="L5178" s="41">
        <f>IFERROR(J5178/H5178,"")</f>
        <v/>
      </c>
      <c r="M5178" s="25" t="n">
        <v>3.5</v>
      </c>
      <c r="N5178" s="25">
        <f>IF(J5178&gt;300,1,0)</f>
        <v/>
      </c>
      <c r="O5178" s="25">
        <f>IF(J5178&gt;600,1,0)</f>
        <v/>
      </c>
      <c r="P5178" s="25">
        <f>IF(H5178&gt;0,J5178,"")</f>
        <v/>
      </c>
      <c r="Q5178" s="25">
        <f>TEXT(A5178,"YYYY-MM-DD HH")</f>
        <v/>
      </c>
      <c r="R5178" s="25">
        <f>COUNTIF($Q$2:$Q$5295,Q5178)</f>
        <v/>
      </c>
      <c r="S5178" s="25">
        <f>IF(R5178&lt;=2,"1-2",IF(R5178&lt;=5,"3-5",IF(R5178&lt;=10,"6-10","11+")))</f>
        <v/>
      </c>
    </row>
    <row r="5179">
      <c r="A5179" s="39" t="n">
        <v>46239.63686342593</v>
      </c>
      <c r="B5179" s="25">
        <f>TEXT(A5179,"YYYY-MM")</f>
        <v/>
      </c>
      <c r="C5179" s="25">
        <f>TEXT(A5179,"MMM-YYYY")</f>
        <v/>
      </c>
      <c r="D5179" s="40">
        <f>INT(A5179)-WEEKDAY(A5179,2)+1</f>
        <v/>
      </c>
      <c r="E5179" s="25" t="inlineStr">
        <is>
          <t>hsindwani</t>
        </is>
      </c>
      <c r="F5179" s="25" t="n">
        <v>134569</v>
      </c>
      <c r="G5179" s="25" t="n">
        <v>1</v>
      </c>
      <c r="H5179" s="25" t="n">
        <v>6</v>
      </c>
      <c r="I5179" s="25" t="inlineStr">
        <is>
          <t>1 minute(s) and 1 second(s)</t>
        </is>
      </c>
      <c r="J5179" s="25">
        <f>IFERROR(VALUE(TRIM(LEFT(I5179,FIND("minute",I5179)-1)))*60,0)+IFERROR(VALUE(SUBSTITUTE(MID(I5179,IFERROR(FIND("and",I5179)+3,1),20),"second(s)","")),0)</f>
        <v/>
      </c>
      <c r="K5179" s="41">
        <f>J5179/60</f>
        <v/>
      </c>
      <c r="L5179" s="41">
        <f>IFERROR(J5179/H5179,"")</f>
        <v/>
      </c>
      <c r="M5179" s="25" t="inlineStr">
        <is>
          <t>2.5.12</t>
        </is>
      </c>
      <c r="N5179" s="25">
        <f>IF(J5179&gt;300,1,0)</f>
        <v/>
      </c>
      <c r="O5179" s="25">
        <f>IF(J5179&gt;600,1,0)</f>
        <v/>
      </c>
      <c r="P5179" s="25">
        <f>IF(H5179&gt;0,J5179,"")</f>
        <v/>
      </c>
      <c r="Q5179" s="25">
        <f>TEXT(A5179,"YYYY-MM-DD HH")</f>
        <v/>
      </c>
      <c r="R5179" s="25">
        <f>COUNTIF($Q$2:$Q$5295,Q5179)</f>
        <v/>
      </c>
      <c r="S5179" s="25">
        <f>IF(R5179&lt;=2,"1-2",IF(R5179&lt;=5,"3-5",IF(R5179&lt;=10,"6-10","11+")))</f>
        <v/>
      </c>
    </row>
    <row r="5180">
      <c r="A5180" s="39" t="n">
        <v>46239.69152777778</v>
      </c>
      <c r="B5180" s="25">
        <f>TEXT(A5180,"YYYY-MM")</f>
        <v/>
      </c>
      <c r="C5180" s="25">
        <f>TEXT(A5180,"MMM-YYYY")</f>
        <v/>
      </c>
      <c r="D5180" s="40">
        <f>INT(A5180)-WEEKDAY(A5180,2)+1</f>
        <v/>
      </c>
      <c r="E5180" s="25" t="inlineStr">
        <is>
          <t>sswati</t>
        </is>
      </c>
      <c r="F5180" s="25" t="n">
        <v>136497</v>
      </c>
      <c r="G5180" s="25" t="n">
        <v>1</v>
      </c>
      <c r="H5180" s="25" t="n">
        <v>5</v>
      </c>
      <c r="I5180" s="25" t="inlineStr">
        <is>
          <t>44 second(s)</t>
        </is>
      </c>
      <c r="J5180" s="25">
        <f>IFERROR(VALUE(TRIM(LEFT(I5180,FIND("minute",I5180)-1)))*60,0)+IFERROR(VALUE(SUBSTITUTE(MID(I5180,IFERROR(FIND("and",I5180)+3,1),20),"second(s)","")),0)</f>
        <v/>
      </c>
      <c r="K5180" s="41">
        <f>J5180/60</f>
        <v/>
      </c>
      <c r="L5180" s="41">
        <f>IFERROR(J5180/H5180,"")</f>
        <v/>
      </c>
      <c r="M5180" s="25" t="n">
        <v>3.4</v>
      </c>
      <c r="N5180" s="25">
        <f>IF(J5180&gt;300,1,0)</f>
        <v/>
      </c>
      <c r="O5180" s="25">
        <f>IF(J5180&gt;600,1,0)</f>
        <v/>
      </c>
      <c r="P5180" s="25">
        <f>IF(H5180&gt;0,J5180,"")</f>
        <v/>
      </c>
      <c r="Q5180" s="25">
        <f>TEXT(A5180,"YYYY-MM-DD HH")</f>
        <v/>
      </c>
      <c r="R5180" s="25">
        <f>COUNTIF($Q$2:$Q$5295,Q5180)</f>
        <v/>
      </c>
      <c r="S5180" s="25">
        <f>IF(R5180&lt;=2,"1-2",IF(R5180&lt;=5,"3-5",IF(R5180&lt;=10,"6-10","11+")))</f>
        <v/>
      </c>
    </row>
    <row r="5181">
      <c r="A5181" s="39" t="n">
        <v>46239.69505787037</v>
      </c>
      <c r="B5181" s="25">
        <f>TEXT(A5181,"YYYY-MM")</f>
        <v/>
      </c>
      <c r="C5181" s="25">
        <f>TEXT(A5181,"MMM-YYYY")</f>
        <v/>
      </c>
      <c r="D5181" s="40">
        <f>INT(A5181)-WEEKDAY(A5181,2)+1</f>
        <v/>
      </c>
      <c r="E5181" s="25" t="inlineStr">
        <is>
          <t>vraina</t>
        </is>
      </c>
      <c r="F5181" s="25" t="n">
        <v>135082</v>
      </c>
      <c r="G5181" s="25" t="n">
        <v>1</v>
      </c>
      <c r="H5181" s="25" t="n">
        <v>5</v>
      </c>
      <c r="I5181" s="25" t="inlineStr">
        <is>
          <t>52 second(s)</t>
        </is>
      </c>
      <c r="J5181" s="25">
        <f>IFERROR(VALUE(TRIM(LEFT(I5181,FIND("minute",I5181)-1)))*60,0)+IFERROR(VALUE(SUBSTITUTE(MID(I5181,IFERROR(FIND("and",I5181)+3,1),20),"second(s)","")),0)</f>
        <v/>
      </c>
      <c r="K5181" s="41">
        <f>J5181/60</f>
        <v/>
      </c>
      <c r="L5181" s="41">
        <f>IFERROR(J5181/H5181,"")</f>
        <v/>
      </c>
      <c r="M5181" s="25" t="n">
        <v>3.4</v>
      </c>
      <c r="N5181" s="25">
        <f>IF(J5181&gt;300,1,0)</f>
        <v/>
      </c>
      <c r="O5181" s="25">
        <f>IF(J5181&gt;600,1,0)</f>
        <v/>
      </c>
      <c r="P5181" s="25">
        <f>IF(H5181&gt;0,J5181,"")</f>
        <v/>
      </c>
      <c r="Q5181" s="25">
        <f>TEXT(A5181,"YYYY-MM-DD HH")</f>
        <v/>
      </c>
      <c r="R5181" s="25">
        <f>COUNTIF($Q$2:$Q$5295,Q5181)</f>
        <v/>
      </c>
      <c r="S5181" s="25">
        <f>IF(R5181&lt;=2,"1-2",IF(R5181&lt;=5,"3-5",IF(R5181&lt;=10,"6-10","11+")))</f>
        <v/>
      </c>
    </row>
    <row r="5182">
      <c r="A5182" s="39" t="n">
        <v>46239.70636574074</v>
      </c>
      <c r="B5182" s="25">
        <f>TEXT(A5182,"YYYY-MM")</f>
        <v/>
      </c>
      <c r="C5182" s="25">
        <f>TEXT(A5182,"MMM-YYYY")</f>
        <v/>
      </c>
      <c r="D5182" s="40">
        <f>INT(A5182)-WEEKDAY(A5182,2)+1</f>
        <v/>
      </c>
      <c r="E5182" s="25" t="inlineStr">
        <is>
          <t>psingh</t>
        </is>
      </c>
      <c r="F5182" s="25" t="n">
        <v>138082</v>
      </c>
      <c r="G5182" s="25" t="n">
        <v>4</v>
      </c>
      <c r="H5182" s="25" t="n">
        <v>28</v>
      </c>
      <c r="I5182" s="25" t="inlineStr">
        <is>
          <t>3 minute(s) and 32 second(s)</t>
        </is>
      </c>
      <c r="J5182" s="25">
        <f>IFERROR(VALUE(TRIM(LEFT(I5182,FIND("minute",I5182)-1)))*60,0)+IFERROR(VALUE(SUBSTITUTE(MID(I5182,IFERROR(FIND("and",I5182)+3,1),20),"second(s)","")),0)</f>
        <v/>
      </c>
      <c r="K5182" s="41">
        <f>J5182/60</f>
        <v/>
      </c>
      <c r="L5182" s="41">
        <f>IFERROR(J5182/H5182,"")</f>
        <v/>
      </c>
      <c r="M5182" s="25" t="n">
        <v>3.4</v>
      </c>
      <c r="N5182" s="25">
        <f>IF(J5182&gt;300,1,0)</f>
        <v/>
      </c>
      <c r="O5182" s="25">
        <f>IF(J5182&gt;600,1,0)</f>
        <v/>
      </c>
      <c r="P5182" s="25">
        <f>IF(H5182&gt;0,J5182,"")</f>
        <v/>
      </c>
      <c r="Q5182" s="25">
        <f>TEXT(A5182,"YYYY-MM-DD HH")</f>
        <v/>
      </c>
      <c r="R5182" s="25">
        <f>COUNTIF($Q$2:$Q$5295,Q5182)</f>
        <v/>
      </c>
      <c r="S5182" s="25">
        <f>IF(R5182&lt;=2,"1-2",IF(R5182&lt;=5,"3-5",IF(R5182&lt;=10,"6-10","11+")))</f>
        <v/>
      </c>
    </row>
    <row r="5183">
      <c r="A5183" s="39" t="n">
        <v>46239.74909722222</v>
      </c>
      <c r="B5183" s="25">
        <f>TEXT(A5183,"YYYY-MM")</f>
        <v/>
      </c>
      <c r="C5183" s="25">
        <f>TEXT(A5183,"MMM-YYYY")</f>
        <v/>
      </c>
      <c r="D5183" s="40">
        <f>INT(A5183)-WEEKDAY(A5183,2)+1</f>
        <v/>
      </c>
      <c r="E5183" s="25" t="inlineStr">
        <is>
          <t>dchoudhury</t>
        </is>
      </c>
      <c r="F5183" s="25" t="n">
        <v>130223</v>
      </c>
      <c r="G5183" s="25" t="n">
        <v>3</v>
      </c>
      <c r="H5183" s="25" t="n">
        <v>13</v>
      </c>
      <c r="I5183" s="25" t="inlineStr">
        <is>
          <t>1 minute(s) and 35 second(s)</t>
        </is>
      </c>
      <c r="J5183" s="25">
        <f>IFERROR(VALUE(TRIM(LEFT(I5183,FIND("minute",I5183)-1)))*60,0)+IFERROR(VALUE(SUBSTITUTE(MID(I5183,IFERROR(FIND("and",I5183)+3,1),20),"second(s)","")),0)</f>
        <v/>
      </c>
      <c r="K5183" s="41">
        <f>J5183/60</f>
        <v/>
      </c>
      <c r="L5183" s="41">
        <f>IFERROR(J5183/H5183,"")</f>
        <v/>
      </c>
      <c r="M5183" s="25" t="n">
        <v>3.4</v>
      </c>
      <c r="N5183" s="25">
        <f>IF(J5183&gt;300,1,0)</f>
        <v/>
      </c>
      <c r="O5183" s="25">
        <f>IF(J5183&gt;600,1,0)</f>
        <v/>
      </c>
      <c r="P5183" s="25">
        <f>IF(H5183&gt;0,J5183,"")</f>
        <v/>
      </c>
      <c r="Q5183" s="25">
        <f>TEXT(A5183,"YYYY-MM-DD HH")</f>
        <v/>
      </c>
      <c r="R5183" s="25">
        <f>COUNTIF($Q$2:$Q$5295,Q5183)</f>
        <v/>
      </c>
      <c r="S5183" s="25">
        <f>IF(R5183&lt;=2,"1-2",IF(R5183&lt;=5,"3-5",IF(R5183&lt;=10,"6-10","11+")))</f>
        <v/>
      </c>
    </row>
    <row r="5184">
      <c r="A5184" s="39" t="n">
        <v>46239.80849537037</v>
      </c>
      <c r="B5184" s="25">
        <f>TEXT(A5184,"YYYY-MM")</f>
        <v/>
      </c>
      <c r="C5184" s="25">
        <f>TEXT(A5184,"MMM-YYYY")</f>
        <v/>
      </c>
      <c r="D5184" s="40">
        <f>INT(A5184)-WEEKDAY(A5184,2)+1</f>
        <v/>
      </c>
      <c r="E5184" s="25" t="inlineStr">
        <is>
          <t>dchoudhury</t>
        </is>
      </c>
      <c r="F5184" s="25" t="n">
        <v>138049</v>
      </c>
      <c r="G5184" s="25" t="n">
        <v>3</v>
      </c>
      <c r="H5184" s="25" t="n">
        <v>17</v>
      </c>
      <c r="I5184" s="25" t="inlineStr">
        <is>
          <t>1 minute(s) and 55 second(s)</t>
        </is>
      </c>
      <c r="J5184" s="25">
        <f>IFERROR(VALUE(TRIM(LEFT(I5184,FIND("minute",I5184)-1)))*60,0)+IFERROR(VALUE(SUBSTITUTE(MID(I5184,IFERROR(FIND("and",I5184)+3,1),20),"second(s)","")),0)</f>
        <v/>
      </c>
      <c r="K5184" s="41">
        <f>J5184/60</f>
        <v/>
      </c>
      <c r="L5184" s="41">
        <f>IFERROR(J5184/H5184,"")</f>
        <v/>
      </c>
      <c r="M5184" s="25" t="n">
        <v>3.4</v>
      </c>
      <c r="N5184" s="25">
        <f>IF(J5184&gt;300,1,0)</f>
        <v/>
      </c>
      <c r="O5184" s="25">
        <f>IF(J5184&gt;600,1,0)</f>
        <v/>
      </c>
      <c r="P5184" s="25">
        <f>IF(H5184&gt;0,J5184,"")</f>
        <v/>
      </c>
      <c r="Q5184" s="25">
        <f>TEXT(A5184,"YYYY-MM-DD HH")</f>
        <v/>
      </c>
      <c r="R5184" s="25">
        <f>COUNTIF($Q$2:$Q$5295,Q5184)</f>
        <v/>
      </c>
      <c r="S5184" s="25">
        <f>IF(R5184&lt;=2,"1-2",IF(R5184&lt;=5,"3-5",IF(R5184&lt;=10,"6-10","11+")))</f>
        <v/>
      </c>
    </row>
    <row r="5185">
      <c r="A5185" s="39" t="n">
        <v>46239.82055555555</v>
      </c>
      <c r="B5185" s="25">
        <f>TEXT(A5185,"YYYY-MM")</f>
        <v/>
      </c>
      <c r="C5185" s="25">
        <f>TEXT(A5185,"MMM-YYYY")</f>
        <v/>
      </c>
      <c r="D5185" s="40">
        <f>INT(A5185)-WEEKDAY(A5185,2)+1</f>
        <v/>
      </c>
      <c r="E5185" s="25" t="inlineStr">
        <is>
          <t>dchoudhury</t>
        </is>
      </c>
      <c r="F5185" s="25" t="n">
        <v>138049</v>
      </c>
      <c r="G5185" s="25" t="n">
        <v>3</v>
      </c>
      <c r="H5185" s="25" t="n">
        <v>17</v>
      </c>
      <c r="I5185" s="25" t="inlineStr">
        <is>
          <t>2 minute(s) and 8 second(s)</t>
        </is>
      </c>
      <c r="J5185" s="25">
        <f>IFERROR(VALUE(TRIM(LEFT(I5185,FIND("minute",I5185)-1)))*60,0)+IFERROR(VALUE(SUBSTITUTE(MID(I5185,IFERROR(FIND("and",I5185)+3,1),20),"second(s)","")),0)</f>
        <v/>
      </c>
      <c r="K5185" s="41">
        <f>J5185/60</f>
        <v/>
      </c>
      <c r="L5185" s="41">
        <f>IFERROR(J5185/H5185,"")</f>
        <v/>
      </c>
      <c r="M5185" s="25" t="n">
        <v>3.4</v>
      </c>
      <c r="N5185" s="25">
        <f>IF(J5185&gt;300,1,0)</f>
        <v/>
      </c>
      <c r="O5185" s="25">
        <f>IF(J5185&gt;600,1,0)</f>
        <v/>
      </c>
      <c r="P5185" s="25">
        <f>IF(H5185&gt;0,J5185,"")</f>
        <v/>
      </c>
      <c r="Q5185" s="25">
        <f>TEXT(A5185,"YYYY-MM-DD HH")</f>
        <v/>
      </c>
      <c r="R5185" s="25">
        <f>COUNTIF($Q$2:$Q$5295,Q5185)</f>
        <v/>
      </c>
      <c r="S5185" s="25">
        <f>IF(R5185&lt;=2,"1-2",IF(R5185&lt;=5,"3-5",IF(R5185&lt;=10,"6-10","11+")))</f>
        <v/>
      </c>
    </row>
    <row r="5186">
      <c r="A5186" s="39" t="n">
        <v>46239.85296296296</v>
      </c>
      <c r="B5186" s="25">
        <f>TEXT(A5186,"YYYY-MM")</f>
        <v/>
      </c>
      <c r="C5186" s="25">
        <f>TEXT(A5186,"MMM-YYYY")</f>
        <v/>
      </c>
      <c r="D5186" s="40">
        <f>INT(A5186)-WEEKDAY(A5186,2)+1</f>
        <v/>
      </c>
      <c r="E5186" s="25" t="inlineStr">
        <is>
          <t>psingh</t>
        </is>
      </c>
      <c r="F5186" s="25" t="n">
        <v>137794</v>
      </c>
      <c r="G5186" s="25" t="n">
        <v>4</v>
      </c>
      <c r="H5186" s="25" t="n">
        <v>20</v>
      </c>
      <c r="I5186" s="25" t="inlineStr">
        <is>
          <t>2 minute(s) and 54 second(s)</t>
        </is>
      </c>
      <c r="J5186" s="25">
        <f>IFERROR(VALUE(TRIM(LEFT(I5186,FIND("minute",I5186)-1)))*60,0)+IFERROR(VALUE(SUBSTITUTE(MID(I5186,IFERROR(FIND("and",I5186)+3,1),20),"second(s)","")),0)</f>
        <v/>
      </c>
      <c r="K5186" s="41">
        <f>J5186/60</f>
        <v/>
      </c>
      <c r="L5186" s="41">
        <f>IFERROR(J5186/H5186,"")</f>
        <v/>
      </c>
      <c r="M5186" s="25" t="n">
        <v>3.4</v>
      </c>
      <c r="N5186" s="25">
        <f>IF(J5186&gt;300,1,0)</f>
        <v/>
      </c>
      <c r="O5186" s="25">
        <f>IF(J5186&gt;600,1,0)</f>
        <v/>
      </c>
      <c r="P5186" s="25">
        <f>IF(H5186&gt;0,J5186,"")</f>
        <v/>
      </c>
      <c r="Q5186" s="25">
        <f>TEXT(A5186,"YYYY-MM-DD HH")</f>
        <v/>
      </c>
      <c r="R5186" s="25">
        <f>COUNTIF($Q$2:$Q$5295,Q5186)</f>
        <v/>
      </c>
      <c r="S5186" s="25">
        <f>IF(R5186&lt;=2,"1-2",IF(R5186&lt;=5,"3-5",IF(R5186&lt;=10,"6-10","11+")))</f>
        <v/>
      </c>
    </row>
    <row r="5187">
      <c r="A5187" s="39" t="n">
        <v>46239.88630787037</v>
      </c>
      <c r="B5187" s="25">
        <f>TEXT(A5187,"YYYY-MM")</f>
        <v/>
      </c>
      <c r="C5187" s="25">
        <f>TEXT(A5187,"MMM-YYYY")</f>
        <v/>
      </c>
      <c r="D5187" s="40">
        <f>INT(A5187)-WEEKDAY(A5187,2)+1</f>
        <v/>
      </c>
      <c r="E5187" s="25" t="inlineStr">
        <is>
          <t>dchoudhury</t>
        </is>
      </c>
      <c r="F5187" s="25" t="n">
        <v>139441</v>
      </c>
      <c r="G5187" s="25" t="n">
        <v>2</v>
      </c>
      <c r="H5187" s="25" t="n">
        <v>10</v>
      </c>
      <c r="I5187" s="25" t="inlineStr">
        <is>
          <t>1 minute(s) and 35 second(s)</t>
        </is>
      </c>
      <c r="J5187" s="25">
        <f>IFERROR(VALUE(TRIM(LEFT(I5187,FIND("minute",I5187)-1)))*60,0)+IFERROR(VALUE(SUBSTITUTE(MID(I5187,IFERROR(FIND("and",I5187)+3,1),20),"second(s)","")),0)</f>
        <v/>
      </c>
      <c r="K5187" s="41">
        <f>J5187/60</f>
        <v/>
      </c>
      <c r="L5187" s="41">
        <f>IFERROR(J5187/H5187,"")</f>
        <v/>
      </c>
      <c r="M5187" s="25" t="n">
        <v>3.4</v>
      </c>
      <c r="N5187" s="25">
        <f>IF(J5187&gt;300,1,0)</f>
        <v/>
      </c>
      <c r="O5187" s="25">
        <f>IF(J5187&gt;600,1,0)</f>
        <v/>
      </c>
      <c r="P5187" s="25">
        <f>IF(H5187&gt;0,J5187,"")</f>
        <v/>
      </c>
      <c r="Q5187" s="25">
        <f>TEXT(A5187,"YYYY-MM-DD HH")</f>
        <v/>
      </c>
      <c r="R5187" s="25">
        <f>COUNTIF($Q$2:$Q$5295,Q5187)</f>
        <v/>
      </c>
      <c r="S5187" s="25">
        <f>IF(R5187&lt;=2,"1-2",IF(R5187&lt;=5,"3-5",IF(R5187&lt;=10,"6-10","11+")))</f>
        <v/>
      </c>
    </row>
    <row r="5188">
      <c r="A5188" s="39" t="n">
        <v>46239.96539351852</v>
      </c>
      <c r="B5188" s="25">
        <f>TEXT(A5188,"YYYY-MM")</f>
        <v/>
      </c>
      <c r="C5188" s="25">
        <f>TEXT(A5188,"MMM-YYYY")</f>
        <v/>
      </c>
      <c r="D5188" s="40">
        <f>INT(A5188)-WEEKDAY(A5188,2)+1</f>
        <v/>
      </c>
      <c r="E5188" s="25" t="inlineStr">
        <is>
          <t>dchoudhury</t>
        </is>
      </c>
      <c r="F5188" s="25" t="n">
        <v>139425</v>
      </c>
      <c r="G5188" s="25" t="n">
        <v>4</v>
      </c>
      <c r="H5188" s="25" t="n">
        <v>14</v>
      </c>
      <c r="I5188" s="25" t="inlineStr">
        <is>
          <t>1 minute(s) and 43 second(s)</t>
        </is>
      </c>
      <c r="J5188" s="25">
        <f>IFERROR(VALUE(TRIM(LEFT(I5188,FIND("minute",I5188)-1)))*60,0)+IFERROR(VALUE(SUBSTITUTE(MID(I5188,IFERROR(FIND("and",I5188)+3,1),20),"second(s)","")),0)</f>
        <v/>
      </c>
      <c r="K5188" s="41">
        <f>J5188/60</f>
        <v/>
      </c>
      <c r="L5188" s="41">
        <f>IFERROR(J5188/H5188,"")</f>
        <v/>
      </c>
      <c r="M5188" s="25" t="n">
        <v>3.4</v>
      </c>
      <c r="N5188" s="25">
        <f>IF(J5188&gt;300,1,0)</f>
        <v/>
      </c>
      <c r="O5188" s="25">
        <f>IF(J5188&gt;600,1,0)</f>
        <v/>
      </c>
      <c r="P5188" s="25">
        <f>IF(H5188&gt;0,J5188,"")</f>
        <v/>
      </c>
      <c r="Q5188" s="25">
        <f>TEXT(A5188,"YYYY-MM-DD HH")</f>
        <v/>
      </c>
      <c r="R5188" s="25">
        <f>COUNTIF($Q$2:$Q$5295,Q5188)</f>
        <v/>
      </c>
      <c r="S5188" s="25">
        <f>IF(R5188&lt;=2,"1-2",IF(R5188&lt;=5,"3-5",IF(R5188&lt;=10,"6-10","11+")))</f>
        <v/>
      </c>
    </row>
    <row r="5189">
      <c r="A5189" s="39" t="n">
        <v>46240.04594907408</v>
      </c>
      <c r="B5189" s="25">
        <f>TEXT(A5189,"YYYY-MM")</f>
        <v/>
      </c>
      <c r="C5189" s="25">
        <f>TEXT(A5189,"MMM-YYYY")</f>
        <v/>
      </c>
      <c r="D5189" s="40">
        <f>INT(A5189)-WEEKDAY(A5189,2)+1</f>
        <v/>
      </c>
      <c r="E5189" s="25" t="inlineStr">
        <is>
          <t>psingh</t>
        </is>
      </c>
      <c r="F5189" s="25" t="n">
        <v>137069</v>
      </c>
      <c r="G5189" s="25" t="n">
        <v>2</v>
      </c>
      <c r="H5189" s="25" t="n">
        <v>12</v>
      </c>
      <c r="I5189" s="25" t="inlineStr">
        <is>
          <t>2 minute(s) and 33 second(s)</t>
        </is>
      </c>
      <c r="J5189" s="25">
        <f>IFERROR(VALUE(TRIM(LEFT(I5189,FIND("minute",I5189)-1)))*60,0)+IFERROR(VALUE(SUBSTITUTE(MID(I5189,IFERROR(FIND("and",I5189)+3,1),20),"second(s)","")),0)</f>
        <v/>
      </c>
      <c r="K5189" s="41">
        <f>J5189/60</f>
        <v/>
      </c>
      <c r="L5189" s="41">
        <f>IFERROR(J5189/H5189,"")</f>
        <v/>
      </c>
      <c r="M5189" s="25" t="n">
        <v>3.4</v>
      </c>
      <c r="N5189" s="25">
        <f>IF(J5189&gt;300,1,0)</f>
        <v/>
      </c>
      <c r="O5189" s="25">
        <f>IF(J5189&gt;600,1,0)</f>
        <v/>
      </c>
      <c r="P5189" s="25">
        <f>IF(H5189&gt;0,J5189,"")</f>
        <v/>
      </c>
      <c r="Q5189" s="25">
        <f>TEXT(A5189,"YYYY-MM-DD HH")</f>
        <v/>
      </c>
      <c r="R5189" s="25">
        <f>COUNTIF($Q$2:$Q$5295,Q5189)</f>
        <v/>
      </c>
      <c r="S5189" s="25">
        <f>IF(R5189&lt;=2,"1-2",IF(R5189&lt;=5,"3-5",IF(R5189&lt;=10,"6-10","11+")))</f>
        <v/>
      </c>
    </row>
    <row r="5190">
      <c r="A5190" s="39" t="n">
        <v>46240.0675462963</v>
      </c>
      <c r="B5190" s="25">
        <f>TEXT(A5190,"YYYY-MM")</f>
        <v/>
      </c>
      <c r="C5190" s="25">
        <f>TEXT(A5190,"MMM-YYYY")</f>
        <v/>
      </c>
      <c r="D5190" s="40">
        <f>INT(A5190)-WEEKDAY(A5190,2)+1</f>
        <v/>
      </c>
      <c r="E5190" s="25" t="inlineStr">
        <is>
          <t>ns</t>
        </is>
      </c>
      <c r="F5190" s="25" t="n">
        <v>134312</v>
      </c>
      <c r="G5190" s="25" t="n">
        <v>1</v>
      </c>
      <c r="H5190" s="25" t="n">
        <v>7</v>
      </c>
      <c r="I5190" s="25" t="inlineStr">
        <is>
          <t>1 minute(s) and 12 second(s)</t>
        </is>
      </c>
      <c r="J5190" s="25">
        <f>IFERROR(VALUE(TRIM(LEFT(I5190,FIND("minute",I5190)-1)))*60,0)+IFERROR(VALUE(SUBSTITUTE(MID(I5190,IFERROR(FIND("and",I5190)+3,1),20),"second(s)","")),0)</f>
        <v/>
      </c>
      <c r="K5190" s="41">
        <f>J5190/60</f>
        <v/>
      </c>
      <c r="L5190" s="41">
        <f>IFERROR(J5190/H5190,"")</f>
        <v/>
      </c>
      <c r="M5190" s="25" t="n">
        <v>3.4</v>
      </c>
      <c r="N5190" s="25">
        <f>IF(J5190&gt;300,1,0)</f>
        <v/>
      </c>
      <c r="O5190" s="25">
        <f>IF(J5190&gt;600,1,0)</f>
        <v/>
      </c>
      <c r="P5190" s="25">
        <f>IF(H5190&gt;0,J5190,"")</f>
        <v/>
      </c>
      <c r="Q5190" s="25">
        <f>TEXT(A5190,"YYYY-MM-DD HH")</f>
        <v/>
      </c>
      <c r="R5190" s="25">
        <f>COUNTIF($Q$2:$Q$5295,Q5190)</f>
        <v/>
      </c>
      <c r="S5190" s="25">
        <f>IF(R5190&lt;=2,"1-2",IF(R5190&lt;=5,"3-5",IF(R5190&lt;=10,"6-10","11+")))</f>
        <v/>
      </c>
    </row>
    <row r="5191">
      <c r="A5191" s="39" t="n">
        <v>46240.06960648148</v>
      </c>
      <c r="B5191" s="25">
        <f>TEXT(A5191,"YYYY-MM")</f>
        <v/>
      </c>
      <c r="C5191" s="25">
        <f>TEXT(A5191,"MMM-YYYY")</f>
        <v/>
      </c>
      <c r="D5191" s="40">
        <f>INT(A5191)-WEEKDAY(A5191,2)+1</f>
        <v/>
      </c>
      <c r="E5191" s="25" t="inlineStr">
        <is>
          <t>aupadhayay</t>
        </is>
      </c>
      <c r="F5191" s="25" t="n">
        <v>139299</v>
      </c>
      <c r="G5191" s="25" t="n">
        <v>3</v>
      </c>
      <c r="H5191" s="25" t="n">
        <v>13</v>
      </c>
      <c r="I5191" s="25" t="inlineStr">
        <is>
          <t>1 minute(s) and 59 second(s)</t>
        </is>
      </c>
      <c r="J5191" s="25">
        <f>IFERROR(VALUE(TRIM(LEFT(I5191,FIND("minute",I5191)-1)))*60,0)+IFERROR(VALUE(SUBSTITUTE(MID(I5191,IFERROR(FIND("and",I5191)+3,1),20),"second(s)","")),0)</f>
        <v/>
      </c>
      <c r="K5191" s="41">
        <f>J5191/60</f>
        <v/>
      </c>
      <c r="L5191" s="41">
        <f>IFERROR(J5191/H5191,"")</f>
        <v/>
      </c>
      <c r="M5191" s="25" t="n">
        <v>3.4</v>
      </c>
      <c r="N5191" s="25">
        <f>IF(J5191&gt;300,1,0)</f>
        <v/>
      </c>
      <c r="O5191" s="25">
        <f>IF(J5191&gt;600,1,0)</f>
        <v/>
      </c>
      <c r="P5191" s="25">
        <f>IF(H5191&gt;0,J5191,"")</f>
        <v/>
      </c>
      <c r="Q5191" s="25">
        <f>TEXT(A5191,"YYYY-MM-DD HH")</f>
        <v/>
      </c>
      <c r="R5191" s="25">
        <f>COUNTIF($Q$2:$Q$5295,Q5191)</f>
        <v/>
      </c>
      <c r="S5191" s="25">
        <f>IF(R5191&lt;=2,"1-2",IF(R5191&lt;=5,"3-5",IF(R5191&lt;=10,"6-10","11+")))</f>
        <v/>
      </c>
    </row>
    <row r="5192">
      <c r="A5192" s="39" t="n">
        <v>46240.07216435186</v>
      </c>
      <c r="B5192" s="25">
        <f>TEXT(A5192,"YYYY-MM")</f>
        <v/>
      </c>
      <c r="C5192" s="25">
        <f>TEXT(A5192,"MMM-YYYY")</f>
        <v/>
      </c>
      <c r="D5192" s="40">
        <f>INT(A5192)-WEEKDAY(A5192,2)+1</f>
        <v/>
      </c>
      <c r="E5192" s="25" t="inlineStr">
        <is>
          <t>mgupta</t>
        </is>
      </c>
      <c r="F5192" s="25" t="n">
        <v>133810</v>
      </c>
      <c r="G5192" s="25" t="n">
        <v>2</v>
      </c>
      <c r="H5192" s="25" t="n">
        <v>10</v>
      </c>
      <c r="I5192" s="25" t="inlineStr">
        <is>
          <t>1 minute(s) and 45 second(s)</t>
        </is>
      </c>
      <c r="J5192" s="25">
        <f>IFERROR(VALUE(TRIM(LEFT(I5192,FIND("minute",I5192)-1)))*60,0)+IFERROR(VALUE(SUBSTITUTE(MID(I5192,IFERROR(FIND("and",I5192)+3,1),20),"second(s)","")),0)</f>
        <v/>
      </c>
      <c r="K5192" s="41">
        <f>J5192/60</f>
        <v/>
      </c>
      <c r="L5192" s="41">
        <f>IFERROR(J5192/H5192,"")</f>
        <v/>
      </c>
      <c r="M5192" s="25" t="n">
        <v>3.5</v>
      </c>
      <c r="N5192" s="25">
        <f>IF(J5192&gt;300,1,0)</f>
        <v/>
      </c>
      <c r="O5192" s="25">
        <f>IF(J5192&gt;600,1,0)</f>
        <v/>
      </c>
      <c r="P5192" s="25">
        <f>IF(H5192&gt;0,J5192,"")</f>
        <v/>
      </c>
      <c r="Q5192" s="25">
        <f>TEXT(A5192,"YYYY-MM-DD HH")</f>
        <v/>
      </c>
      <c r="R5192" s="25">
        <f>COUNTIF($Q$2:$Q$5295,Q5192)</f>
        <v/>
      </c>
      <c r="S5192" s="25">
        <f>IF(R5192&lt;=2,"1-2",IF(R5192&lt;=5,"3-5",IF(R5192&lt;=10,"6-10","11+")))</f>
        <v/>
      </c>
    </row>
    <row r="5193">
      <c r="A5193" s="39" t="n">
        <v>46240.08756944445</v>
      </c>
      <c r="B5193" s="25">
        <f>TEXT(A5193,"YYYY-MM")</f>
        <v/>
      </c>
      <c r="C5193" s="25">
        <f>TEXT(A5193,"MMM-YYYY")</f>
        <v/>
      </c>
      <c r="D5193" s="40">
        <f>INT(A5193)-WEEKDAY(A5193,2)+1</f>
        <v/>
      </c>
      <c r="E5193" s="25" t="inlineStr">
        <is>
          <t>shasikha</t>
        </is>
      </c>
      <c r="F5193" s="25" t="n">
        <v>134542</v>
      </c>
      <c r="G5193" s="25" t="n">
        <v>2</v>
      </c>
      <c r="H5193" s="25" t="n">
        <v>10</v>
      </c>
      <c r="I5193" s="25" t="inlineStr">
        <is>
          <t>1 minute(s) and 22 second(s)</t>
        </is>
      </c>
      <c r="J5193" s="25">
        <f>IFERROR(VALUE(TRIM(LEFT(I5193,FIND("minute",I5193)-1)))*60,0)+IFERROR(VALUE(SUBSTITUTE(MID(I5193,IFERROR(FIND("and",I5193)+3,1),20),"second(s)","")),0)</f>
        <v/>
      </c>
      <c r="K5193" s="41">
        <f>J5193/60</f>
        <v/>
      </c>
      <c r="L5193" s="41">
        <f>IFERROR(J5193/H5193,"")</f>
        <v/>
      </c>
      <c r="M5193" s="25" t="n">
        <v>3.4</v>
      </c>
      <c r="N5193" s="25">
        <f>IF(J5193&gt;300,1,0)</f>
        <v/>
      </c>
      <c r="O5193" s="25">
        <f>IF(J5193&gt;600,1,0)</f>
        <v/>
      </c>
      <c r="P5193" s="25">
        <f>IF(H5193&gt;0,J5193,"")</f>
        <v/>
      </c>
      <c r="Q5193" s="25">
        <f>TEXT(A5193,"YYYY-MM-DD HH")</f>
        <v/>
      </c>
      <c r="R5193" s="25">
        <f>COUNTIF($Q$2:$Q$5295,Q5193)</f>
        <v/>
      </c>
      <c r="S5193" s="25">
        <f>IF(R5193&lt;=2,"1-2",IF(R5193&lt;=5,"3-5",IF(R5193&lt;=10,"6-10","11+")))</f>
        <v/>
      </c>
    </row>
    <row r="5194">
      <c r="A5194" s="39" t="n">
        <v>46240.08925925926</v>
      </c>
      <c r="B5194" s="25">
        <f>TEXT(A5194,"YYYY-MM")</f>
        <v/>
      </c>
      <c r="C5194" s="25">
        <f>TEXT(A5194,"MMM-YYYY")</f>
        <v/>
      </c>
      <c r="D5194" s="40">
        <f>INT(A5194)-WEEKDAY(A5194,2)+1</f>
        <v/>
      </c>
      <c r="E5194" s="25" t="inlineStr">
        <is>
          <t>atiwari</t>
        </is>
      </c>
      <c r="F5194" s="25" t="n">
        <v>135194</v>
      </c>
      <c r="G5194" s="25" t="n">
        <v>6</v>
      </c>
      <c r="H5194" s="25" t="n">
        <v>30</v>
      </c>
      <c r="I5194" s="25" t="inlineStr">
        <is>
          <t>5 minute(s) and 4 second(s)</t>
        </is>
      </c>
      <c r="J5194" s="25">
        <f>IFERROR(VALUE(TRIM(LEFT(I5194,FIND("minute",I5194)-1)))*60,0)+IFERROR(VALUE(SUBSTITUTE(MID(I5194,IFERROR(FIND("and",I5194)+3,1),20),"second(s)","")),0)</f>
        <v/>
      </c>
      <c r="K5194" s="41">
        <f>J5194/60</f>
        <v/>
      </c>
      <c r="L5194" s="41">
        <f>IFERROR(J5194/H5194,"")</f>
        <v/>
      </c>
      <c r="M5194" s="25" t="n">
        <v>3.4</v>
      </c>
      <c r="N5194" s="25">
        <f>IF(J5194&gt;300,1,0)</f>
        <v/>
      </c>
      <c r="O5194" s="25">
        <f>IF(J5194&gt;600,1,0)</f>
        <v/>
      </c>
      <c r="P5194" s="25">
        <f>IF(H5194&gt;0,J5194,"")</f>
        <v/>
      </c>
      <c r="Q5194" s="25">
        <f>TEXT(A5194,"YYYY-MM-DD HH")</f>
        <v/>
      </c>
      <c r="R5194" s="25">
        <f>COUNTIF($Q$2:$Q$5295,Q5194)</f>
        <v/>
      </c>
      <c r="S5194" s="25">
        <f>IF(R5194&lt;=2,"1-2",IF(R5194&lt;=5,"3-5",IF(R5194&lt;=10,"6-10","11+")))</f>
        <v/>
      </c>
    </row>
    <row r="5195">
      <c r="A5195" s="39" t="n">
        <v>46240.09984953704</v>
      </c>
      <c r="B5195" s="25">
        <f>TEXT(A5195,"YYYY-MM")</f>
        <v/>
      </c>
      <c r="C5195" s="25">
        <f>TEXT(A5195,"MMM-YYYY")</f>
        <v/>
      </c>
      <c r="D5195" s="40">
        <f>INT(A5195)-WEEKDAY(A5195,2)+1</f>
        <v/>
      </c>
      <c r="E5195" s="25" t="inlineStr">
        <is>
          <t>bverma</t>
        </is>
      </c>
      <c r="F5195" s="25" t="n">
        <v>139265</v>
      </c>
      <c r="G5195" s="25" t="n">
        <v>1</v>
      </c>
      <c r="H5195" s="25" t="n">
        <v>7</v>
      </c>
      <c r="I5195" s="25" t="inlineStr">
        <is>
          <t>1 minute(s) and 7 second(s)</t>
        </is>
      </c>
      <c r="J5195" s="25">
        <f>IFERROR(VALUE(TRIM(LEFT(I5195,FIND("minute",I5195)-1)))*60,0)+IFERROR(VALUE(SUBSTITUTE(MID(I5195,IFERROR(FIND("and",I5195)+3,1),20),"second(s)","")),0)</f>
        <v/>
      </c>
      <c r="K5195" s="41">
        <f>J5195/60</f>
        <v/>
      </c>
      <c r="L5195" s="41">
        <f>IFERROR(J5195/H5195,"")</f>
        <v/>
      </c>
      <c r="M5195" s="25" t="n">
        <v>3.4</v>
      </c>
      <c r="N5195" s="25">
        <f>IF(J5195&gt;300,1,0)</f>
        <v/>
      </c>
      <c r="O5195" s="25">
        <f>IF(J5195&gt;600,1,0)</f>
        <v/>
      </c>
      <c r="P5195" s="25">
        <f>IF(H5195&gt;0,J5195,"")</f>
        <v/>
      </c>
      <c r="Q5195" s="25">
        <f>TEXT(A5195,"YYYY-MM-DD HH")</f>
        <v/>
      </c>
      <c r="R5195" s="25">
        <f>COUNTIF($Q$2:$Q$5295,Q5195)</f>
        <v/>
      </c>
      <c r="S5195" s="25">
        <f>IF(R5195&lt;=2,"1-2",IF(R5195&lt;=5,"3-5",IF(R5195&lt;=10,"6-10","11+")))</f>
        <v/>
      </c>
    </row>
    <row r="5196">
      <c r="A5196" s="39" t="n">
        <v>46240.10895833333</v>
      </c>
      <c r="B5196" s="25">
        <f>TEXT(A5196,"YYYY-MM")</f>
        <v/>
      </c>
      <c r="C5196" s="25">
        <f>TEXT(A5196,"MMM-YYYY")</f>
        <v/>
      </c>
      <c r="D5196" s="40">
        <f>INT(A5196)-WEEKDAY(A5196,2)+1</f>
        <v/>
      </c>
      <c r="E5196" s="25" t="inlineStr">
        <is>
          <t>tkarmakar</t>
        </is>
      </c>
      <c r="F5196" s="25" t="n">
        <v>135621</v>
      </c>
      <c r="G5196" s="25" t="n">
        <v>1</v>
      </c>
      <c r="H5196" s="25" t="n">
        <v>5</v>
      </c>
      <c r="I5196" s="25" t="inlineStr">
        <is>
          <t>46 second(s)</t>
        </is>
      </c>
      <c r="J5196" s="25">
        <f>IFERROR(VALUE(TRIM(LEFT(I5196,FIND("minute",I5196)-1)))*60,0)+IFERROR(VALUE(SUBSTITUTE(MID(I5196,IFERROR(FIND("and",I5196)+3,1),20),"second(s)","")),0)</f>
        <v/>
      </c>
      <c r="K5196" s="41">
        <f>J5196/60</f>
        <v/>
      </c>
      <c r="L5196" s="41">
        <f>IFERROR(J5196/H5196,"")</f>
        <v/>
      </c>
      <c r="M5196" s="25" t="n">
        <v>3.4</v>
      </c>
      <c r="N5196" s="25">
        <f>IF(J5196&gt;300,1,0)</f>
        <v/>
      </c>
      <c r="O5196" s="25">
        <f>IF(J5196&gt;600,1,0)</f>
        <v/>
      </c>
      <c r="P5196" s="25">
        <f>IF(H5196&gt;0,J5196,"")</f>
        <v/>
      </c>
      <c r="Q5196" s="25">
        <f>TEXT(A5196,"YYYY-MM-DD HH")</f>
        <v/>
      </c>
      <c r="R5196" s="25">
        <f>COUNTIF($Q$2:$Q$5295,Q5196)</f>
        <v/>
      </c>
      <c r="S5196" s="25">
        <f>IF(R5196&lt;=2,"1-2",IF(R5196&lt;=5,"3-5",IF(R5196&lt;=10,"6-10","11+")))</f>
        <v/>
      </c>
    </row>
    <row r="5197">
      <c r="A5197" s="39" t="n">
        <v>46240.11289351852</v>
      </c>
      <c r="B5197" s="25">
        <f>TEXT(A5197,"YYYY-MM")</f>
        <v/>
      </c>
      <c r="C5197" s="25">
        <f>TEXT(A5197,"MMM-YYYY")</f>
        <v/>
      </c>
      <c r="D5197" s="40">
        <f>INT(A5197)-WEEKDAY(A5197,2)+1</f>
        <v/>
      </c>
      <c r="E5197" s="25" t="inlineStr">
        <is>
          <t>asahoo</t>
        </is>
      </c>
      <c r="F5197" s="25" t="n">
        <v>138865</v>
      </c>
      <c r="G5197" s="25" t="n">
        <v>1</v>
      </c>
      <c r="H5197" s="25" t="n">
        <v>5</v>
      </c>
      <c r="I5197" s="25" t="inlineStr">
        <is>
          <t>54 second(s)</t>
        </is>
      </c>
      <c r="J5197" s="25">
        <f>IFERROR(VALUE(TRIM(LEFT(I5197,FIND("minute",I5197)-1)))*60,0)+IFERROR(VALUE(SUBSTITUTE(MID(I5197,IFERROR(FIND("and",I5197)+3,1),20),"second(s)","")),0)</f>
        <v/>
      </c>
      <c r="K5197" s="41">
        <f>J5197/60</f>
        <v/>
      </c>
      <c r="L5197" s="41">
        <f>IFERROR(J5197/H5197,"")</f>
        <v/>
      </c>
      <c r="M5197" s="25" t="inlineStr">
        <is>
          <t>2.5.12</t>
        </is>
      </c>
      <c r="N5197" s="25">
        <f>IF(J5197&gt;300,1,0)</f>
        <v/>
      </c>
      <c r="O5197" s="25">
        <f>IF(J5197&gt;600,1,0)</f>
        <v/>
      </c>
      <c r="P5197" s="25">
        <f>IF(H5197&gt;0,J5197,"")</f>
        <v/>
      </c>
      <c r="Q5197" s="25">
        <f>TEXT(A5197,"YYYY-MM-DD HH")</f>
        <v/>
      </c>
      <c r="R5197" s="25">
        <f>COUNTIF($Q$2:$Q$5295,Q5197)</f>
        <v/>
      </c>
      <c r="S5197" s="25">
        <f>IF(R5197&lt;=2,"1-2",IF(R5197&lt;=5,"3-5",IF(R5197&lt;=10,"6-10","11+")))</f>
        <v/>
      </c>
    </row>
    <row r="5198">
      <c r="A5198" s="39" t="n">
        <v>46240.12289351852</v>
      </c>
      <c r="B5198" s="25">
        <f>TEXT(A5198,"YYYY-MM")</f>
        <v/>
      </c>
      <c r="C5198" s="25">
        <f>TEXT(A5198,"MMM-YYYY")</f>
        <v/>
      </c>
      <c r="D5198" s="40">
        <f>INT(A5198)-WEEKDAY(A5198,2)+1</f>
        <v/>
      </c>
      <c r="E5198" s="25" t="inlineStr">
        <is>
          <t>pmodak</t>
        </is>
      </c>
      <c r="F5198" s="25" t="n">
        <v>138490</v>
      </c>
      <c r="G5198" s="25" t="n">
        <v>2</v>
      </c>
      <c r="H5198" s="25" t="n">
        <v>13</v>
      </c>
      <c r="I5198" s="25" t="inlineStr">
        <is>
          <t>2 minute(s) and 56 second(s)</t>
        </is>
      </c>
      <c r="J5198" s="25">
        <f>IFERROR(VALUE(TRIM(LEFT(I5198,FIND("minute",I5198)-1)))*60,0)+IFERROR(VALUE(SUBSTITUTE(MID(I5198,IFERROR(FIND("and",I5198)+3,1),20),"second(s)","")),0)</f>
        <v/>
      </c>
      <c r="K5198" s="41">
        <f>J5198/60</f>
        <v/>
      </c>
      <c r="L5198" s="41">
        <f>IFERROR(J5198/H5198,"")</f>
        <v/>
      </c>
      <c r="M5198" s="25" t="n">
        <v>3.4</v>
      </c>
      <c r="N5198" s="25">
        <f>IF(J5198&gt;300,1,0)</f>
        <v/>
      </c>
      <c r="O5198" s="25">
        <f>IF(J5198&gt;600,1,0)</f>
        <v/>
      </c>
      <c r="P5198" s="25">
        <f>IF(H5198&gt;0,J5198,"")</f>
        <v/>
      </c>
      <c r="Q5198" s="25">
        <f>TEXT(A5198,"YYYY-MM-DD HH")</f>
        <v/>
      </c>
      <c r="R5198" s="25">
        <f>COUNTIF($Q$2:$Q$5295,Q5198)</f>
        <v/>
      </c>
      <c r="S5198" s="25">
        <f>IF(R5198&lt;=2,"1-2",IF(R5198&lt;=5,"3-5",IF(R5198&lt;=10,"6-10","11+")))</f>
        <v/>
      </c>
    </row>
    <row r="5199">
      <c r="A5199" s="39" t="n">
        <v>46240.13570601852</v>
      </c>
      <c r="B5199" s="25">
        <f>TEXT(A5199,"YYYY-MM")</f>
        <v/>
      </c>
      <c r="C5199" s="25">
        <f>TEXT(A5199,"MMM-YYYY")</f>
        <v/>
      </c>
      <c r="D5199" s="40">
        <f>INT(A5199)-WEEKDAY(A5199,2)+1</f>
        <v/>
      </c>
      <c r="E5199" s="25" t="inlineStr">
        <is>
          <t>stiwari</t>
        </is>
      </c>
      <c r="F5199" s="25" t="n">
        <v>135414</v>
      </c>
      <c r="G5199" s="25" t="n">
        <v>1</v>
      </c>
      <c r="H5199" s="25" t="n">
        <v>7</v>
      </c>
      <c r="I5199" s="25" t="inlineStr">
        <is>
          <t>5 minute(s) and 56 second(s)</t>
        </is>
      </c>
      <c r="J5199" s="25">
        <f>IFERROR(VALUE(TRIM(LEFT(I5199,FIND("minute",I5199)-1)))*60,0)+IFERROR(VALUE(SUBSTITUTE(MID(I5199,IFERROR(FIND("and",I5199)+3,1),20),"second(s)","")),0)</f>
        <v/>
      </c>
      <c r="K5199" s="41">
        <f>J5199/60</f>
        <v/>
      </c>
      <c r="L5199" s="41">
        <f>IFERROR(J5199/H5199,"")</f>
        <v/>
      </c>
      <c r="M5199" s="25" t="n">
        <v>3.4</v>
      </c>
      <c r="N5199" s="25">
        <f>IF(J5199&gt;300,1,0)</f>
        <v/>
      </c>
      <c r="O5199" s="25">
        <f>IF(J5199&gt;600,1,0)</f>
        <v/>
      </c>
      <c r="P5199" s="25">
        <f>IF(H5199&gt;0,J5199,"")</f>
        <v/>
      </c>
      <c r="Q5199" s="25">
        <f>TEXT(A5199,"YYYY-MM-DD HH")</f>
        <v/>
      </c>
      <c r="R5199" s="25">
        <f>COUNTIF($Q$2:$Q$5295,Q5199)</f>
        <v/>
      </c>
      <c r="S5199" s="25">
        <f>IF(R5199&lt;=2,"1-2",IF(R5199&lt;=5,"3-5",IF(R5199&lt;=10,"6-10","11+")))</f>
        <v/>
      </c>
    </row>
    <row r="5200">
      <c r="A5200" s="39" t="n">
        <v>46240.13878472222</v>
      </c>
      <c r="B5200" s="25">
        <f>TEXT(A5200,"YYYY-MM")</f>
        <v/>
      </c>
      <c r="C5200" s="25">
        <f>TEXT(A5200,"MMM-YYYY")</f>
        <v/>
      </c>
      <c r="D5200" s="40">
        <f>INT(A5200)-WEEKDAY(A5200,2)+1</f>
        <v/>
      </c>
      <c r="E5200" s="25" t="inlineStr">
        <is>
          <t>aghosh</t>
        </is>
      </c>
      <c r="F5200" s="25" t="n">
        <v>138633</v>
      </c>
      <c r="G5200" s="25" t="n">
        <v>4</v>
      </c>
      <c r="H5200" s="25" t="n">
        <v>26</v>
      </c>
      <c r="I5200" s="25" t="inlineStr">
        <is>
          <t>4 minute(s) and 8 second(s)</t>
        </is>
      </c>
      <c r="J5200" s="25">
        <f>IFERROR(VALUE(TRIM(LEFT(I5200,FIND("minute",I5200)-1)))*60,0)+IFERROR(VALUE(SUBSTITUTE(MID(I5200,IFERROR(FIND("and",I5200)+3,1),20),"second(s)","")),0)</f>
        <v/>
      </c>
      <c r="K5200" s="41">
        <f>J5200/60</f>
        <v/>
      </c>
      <c r="L5200" s="41">
        <f>IFERROR(J5200/H5200,"")</f>
        <v/>
      </c>
      <c r="M5200" s="25" t="n">
        <v>3.4</v>
      </c>
      <c r="N5200" s="25">
        <f>IF(J5200&gt;300,1,0)</f>
        <v/>
      </c>
      <c r="O5200" s="25">
        <f>IF(J5200&gt;600,1,0)</f>
        <v/>
      </c>
      <c r="P5200" s="25">
        <f>IF(H5200&gt;0,J5200,"")</f>
        <v/>
      </c>
      <c r="Q5200" s="25">
        <f>TEXT(A5200,"YYYY-MM-DD HH")</f>
        <v/>
      </c>
      <c r="R5200" s="25">
        <f>COUNTIF($Q$2:$Q$5295,Q5200)</f>
        <v/>
      </c>
      <c r="S5200" s="25">
        <f>IF(R5200&lt;=2,"1-2",IF(R5200&lt;=5,"3-5",IF(R5200&lt;=10,"6-10","11+")))</f>
        <v/>
      </c>
    </row>
    <row r="5201">
      <c r="A5201" s="39" t="n">
        <v>46240.14175925926</v>
      </c>
      <c r="B5201" s="25">
        <f>TEXT(A5201,"YYYY-MM")</f>
        <v/>
      </c>
      <c r="C5201" s="25">
        <f>TEXT(A5201,"MMM-YYYY")</f>
        <v/>
      </c>
      <c r="D5201" s="40">
        <f>INT(A5201)-WEEKDAY(A5201,2)+1</f>
        <v/>
      </c>
      <c r="E5201" s="25" t="inlineStr">
        <is>
          <t>ajain</t>
        </is>
      </c>
      <c r="F5201" s="25" t="n">
        <v>137035</v>
      </c>
      <c r="G5201" s="25" t="n">
        <v>1</v>
      </c>
      <c r="H5201" s="25" t="n">
        <v>7</v>
      </c>
      <c r="I5201" s="25" t="inlineStr">
        <is>
          <t>44 second(s)</t>
        </is>
      </c>
      <c r="J5201" s="25">
        <f>IFERROR(VALUE(TRIM(LEFT(I5201,FIND("minute",I5201)-1)))*60,0)+IFERROR(VALUE(SUBSTITUTE(MID(I5201,IFERROR(FIND("and",I5201)+3,1),20),"second(s)","")),0)</f>
        <v/>
      </c>
      <c r="K5201" s="41">
        <f>J5201/60</f>
        <v/>
      </c>
      <c r="L5201" s="41">
        <f>IFERROR(J5201/H5201,"")</f>
        <v/>
      </c>
      <c r="M5201" s="25" t="inlineStr">
        <is>
          <t>2.5.12</t>
        </is>
      </c>
      <c r="N5201" s="25">
        <f>IF(J5201&gt;300,1,0)</f>
        <v/>
      </c>
      <c r="O5201" s="25">
        <f>IF(J5201&gt;600,1,0)</f>
        <v/>
      </c>
      <c r="P5201" s="25">
        <f>IF(H5201&gt;0,J5201,"")</f>
        <v/>
      </c>
      <c r="Q5201" s="25">
        <f>TEXT(A5201,"YYYY-MM-DD HH")</f>
        <v/>
      </c>
      <c r="R5201" s="25">
        <f>COUNTIF($Q$2:$Q$5295,Q5201)</f>
        <v/>
      </c>
      <c r="S5201" s="25">
        <f>IF(R5201&lt;=2,"1-2",IF(R5201&lt;=5,"3-5",IF(R5201&lt;=10,"6-10","11+")))</f>
        <v/>
      </c>
    </row>
    <row r="5202">
      <c r="A5202" s="39" t="n">
        <v>46240.14222222222</v>
      </c>
      <c r="B5202" s="25">
        <f>TEXT(A5202,"YYYY-MM")</f>
        <v/>
      </c>
      <c r="C5202" s="25">
        <f>TEXT(A5202,"MMM-YYYY")</f>
        <v/>
      </c>
      <c r="D5202" s="40">
        <f>INT(A5202)-WEEKDAY(A5202,2)+1</f>
        <v/>
      </c>
      <c r="E5202" s="25" t="inlineStr">
        <is>
          <t>bverma</t>
        </is>
      </c>
      <c r="F5202" s="25" t="n">
        <v>128803</v>
      </c>
      <c r="G5202" s="25" t="n">
        <v>4</v>
      </c>
      <c r="H5202" s="25" t="n">
        <v>26</v>
      </c>
      <c r="I5202" s="25" t="inlineStr">
        <is>
          <t>4 minute(s) and 36 second(s)</t>
        </is>
      </c>
      <c r="J5202" s="25">
        <f>IFERROR(VALUE(TRIM(LEFT(I5202,FIND("minute",I5202)-1)))*60,0)+IFERROR(VALUE(SUBSTITUTE(MID(I5202,IFERROR(FIND("and",I5202)+3,1),20),"second(s)","")),0)</f>
        <v/>
      </c>
      <c r="K5202" s="41">
        <f>J5202/60</f>
        <v/>
      </c>
      <c r="L5202" s="41">
        <f>IFERROR(J5202/H5202,"")</f>
        <v/>
      </c>
      <c r="M5202" s="25" t="n">
        <v>3.4</v>
      </c>
      <c r="N5202" s="25">
        <f>IF(J5202&gt;300,1,0)</f>
        <v/>
      </c>
      <c r="O5202" s="25">
        <f>IF(J5202&gt;600,1,0)</f>
        <v/>
      </c>
      <c r="P5202" s="25">
        <f>IF(H5202&gt;0,J5202,"")</f>
        <v/>
      </c>
      <c r="Q5202" s="25">
        <f>TEXT(A5202,"YYYY-MM-DD HH")</f>
        <v/>
      </c>
      <c r="R5202" s="25">
        <f>COUNTIF($Q$2:$Q$5295,Q5202)</f>
        <v/>
      </c>
      <c r="S5202" s="25">
        <f>IF(R5202&lt;=2,"1-2",IF(R5202&lt;=5,"3-5",IF(R5202&lt;=10,"6-10","11+")))</f>
        <v/>
      </c>
    </row>
    <row r="5203">
      <c r="A5203" s="39" t="n">
        <v>46240.14498842593</v>
      </c>
      <c r="B5203" s="25">
        <f>TEXT(A5203,"YYYY-MM")</f>
        <v/>
      </c>
      <c r="C5203" s="25">
        <f>TEXT(A5203,"MMM-YYYY")</f>
        <v/>
      </c>
      <c r="D5203" s="40">
        <f>INT(A5203)-WEEKDAY(A5203,2)+1</f>
        <v/>
      </c>
      <c r="E5203" s="25" t="inlineStr">
        <is>
          <t>abanerjee</t>
        </is>
      </c>
      <c r="F5203" s="25" t="n">
        <v>139365</v>
      </c>
      <c r="G5203" s="25" t="n">
        <v>1</v>
      </c>
      <c r="H5203" s="25" t="n">
        <v>5</v>
      </c>
      <c r="I5203" s="25" t="inlineStr">
        <is>
          <t>44 second(s)</t>
        </is>
      </c>
      <c r="J5203" s="25">
        <f>IFERROR(VALUE(TRIM(LEFT(I5203,FIND("minute",I5203)-1)))*60,0)+IFERROR(VALUE(SUBSTITUTE(MID(I5203,IFERROR(FIND("and",I5203)+3,1),20),"second(s)","")),0)</f>
        <v/>
      </c>
      <c r="K5203" s="41">
        <f>J5203/60</f>
        <v/>
      </c>
      <c r="L5203" s="41">
        <f>IFERROR(J5203/H5203,"")</f>
        <v/>
      </c>
      <c r="M5203" s="25" t="n">
        <v>3.4</v>
      </c>
      <c r="N5203" s="25">
        <f>IF(J5203&gt;300,1,0)</f>
        <v/>
      </c>
      <c r="O5203" s="25">
        <f>IF(J5203&gt;600,1,0)</f>
        <v/>
      </c>
      <c r="P5203" s="25">
        <f>IF(H5203&gt;0,J5203,"")</f>
        <v/>
      </c>
      <c r="Q5203" s="25">
        <f>TEXT(A5203,"YYYY-MM-DD HH")</f>
        <v/>
      </c>
      <c r="R5203" s="25">
        <f>COUNTIF($Q$2:$Q$5295,Q5203)</f>
        <v/>
      </c>
      <c r="S5203" s="25">
        <f>IF(R5203&lt;=2,"1-2",IF(R5203&lt;=5,"3-5",IF(R5203&lt;=10,"6-10","11+")))</f>
        <v/>
      </c>
    </row>
    <row r="5204">
      <c r="A5204" s="39" t="n">
        <v>46240.15923611111</v>
      </c>
      <c r="B5204" s="25">
        <f>TEXT(A5204,"YYYY-MM")</f>
        <v/>
      </c>
      <c r="C5204" s="25">
        <f>TEXT(A5204,"MMM-YYYY")</f>
        <v/>
      </c>
      <c r="D5204" s="40">
        <f>INT(A5204)-WEEKDAY(A5204,2)+1</f>
        <v/>
      </c>
      <c r="E5204" s="25" t="inlineStr">
        <is>
          <t>sasharma</t>
        </is>
      </c>
      <c r="F5204" s="25" t="n">
        <v>137165</v>
      </c>
      <c r="G5204" s="25" t="n">
        <v>1</v>
      </c>
      <c r="H5204" s="25" t="n">
        <v>7</v>
      </c>
      <c r="I5204" s="25" t="inlineStr">
        <is>
          <t>30 second(s)</t>
        </is>
      </c>
      <c r="J5204" s="25">
        <f>IFERROR(VALUE(TRIM(LEFT(I5204,FIND("minute",I5204)-1)))*60,0)+IFERROR(VALUE(SUBSTITUTE(MID(I5204,IFERROR(FIND("and",I5204)+3,1),20),"second(s)","")),0)</f>
        <v/>
      </c>
      <c r="K5204" s="41">
        <f>J5204/60</f>
        <v/>
      </c>
      <c r="L5204" s="41">
        <f>IFERROR(J5204/H5204,"")</f>
        <v/>
      </c>
      <c r="M5204" s="25" t="inlineStr">
        <is>
          <t>2.5.12</t>
        </is>
      </c>
      <c r="N5204" s="25">
        <f>IF(J5204&gt;300,1,0)</f>
        <v/>
      </c>
      <c r="O5204" s="25">
        <f>IF(J5204&gt;600,1,0)</f>
        <v/>
      </c>
      <c r="P5204" s="25">
        <f>IF(H5204&gt;0,J5204,"")</f>
        <v/>
      </c>
      <c r="Q5204" s="25">
        <f>TEXT(A5204,"YYYY-MM-DD HH")</f>
        <v/>
      </c>
      <c r="R5204" s="25">
        <f>COUNTIF($Q$2:$Q$5295,Q5204)</f>
        <v/>
      </c>
      <c r="S5204" s="25">
        <f>IF(R5204&lt;=2,"1-2",IF(R5204&lt;=5,"3-5",IF(R5204&lt;=10,"6-10","11+")))</f>
        <v/>
      </c>
    </row>
    <row r="5205">
      <c r="A5205" s="39" t="n">
        <v>46240.16370370371</v>
      </c>
      <c r="B5205" s="25">
        <f>TEXT(A5205,"YYYY-MM")</f>
        <v/>
      </c>
      <c r="C5205" s="25">
        <f>TEXT(A5205,"MMM-YYYY")</f>
        <v/>
      </c>
      <c r="D5205" s="40">
        <f>INT(A5205)-WEEKDAY(A5205,2)+1</f>
        <v/>
      </c>
      <c r="E5205" s="25" t="inlineStr">
        <is>
          <t>taggarwal</t>
        </is>
      </c>
      <c r="F5205" s="25" t="n">
        <v>138649</v>
      </c>
      <c r="G5205" s="25" t="n">
        <v>4</v>
      </c>
      <c r="H5205" s="25" t="n">
        <v>23</v>
      </c>
      <c r="I5205" s="25" t="inlineStr">
        <is>
          <t>2 minute(s) and 59 second(s)</t>
        </is>
      </c>
      <c r="J5205" s="25">
        <f>IFERROR(VALUE(TRIM(LEFT(I5205,FIND("minute",I5205)-1)))*60,0)+IFERROR(VALUE(SUBSTITUTE(MID(I5205,IFERROR(FIND("and",I5205)+3,1),20),"second(s)","")),0)</f>
        <v/>
      </c>
      <c r="K5205" s="41">
        <f>J5205/60</f>
        <v/>
      </c>
      <c r="L5205" s="41">
        <f>IFERROR(J5205/H5205,"")</f>
        <v/>
      </c>
      <c r="M5205" s="25" t="n">
        <v>3.4</v>
      </c>
      <c r="N5205" s="25">
        <f>IF(J5205&gt;300,1,0)</f>
        <v/>
      </c>
      <c r="O5205" s="25">
        <f>IF(J5205&gt;600,1,0)</f>
        <v/>
      </c>
      <c r="P5205" s="25">
        <f>IF(H5205&gt;0,J5205,"")</f>
        <v/>
      </c>
      <c r="Q5205" s="25">
        <f>TEXT(A5205,"YYYY-MM-DD HH")</f>
        <v/>
      </c>
      <c r="R5205" s="25">
        <f>COUNTIF($Q$2:$Q$5295,Q5205)</f>
        <v/>
      </c>
      <c r="S5205" s="25">
        <f>IF(R5205&lt;=2,"1-2",IF(R5205&lt;=5,"3-5",IF(R5205&lt;=10,"6-10","11+")))</f>
        <v/>
      </c>
    </row>
    <row r="5206">
      <c r="A5206" s="39" t="n">
        <v>46240.16857638889</v>
      </c>
      <c r="B5206" s="25">
        <f>TEXT(A5206,"YYYY-MM")</f>
        <v/>
      </c>
      <c r="C5206" s="25">
        <f>TEXT(A5206,"MMM-YYYY")</f>
        <v/>
      </c>
      <c r="D5206" s="40">
        <f>INT(A5206)-WEEKDAY(A5206,2)+1</f>
        <v/>
      </c>
      <c r="E5206" s="25" t="inlineStr">
        <is>
          <t>psathwika</t>
        </is>
      </c>
      <c r="F5206" s="25" t="n">
        <v>134019</v>
      </c>
      <c r="G5206" s="25" t="n">
        <v>1</v>
      </c>
      <c r="H5206" s="25" t="n">
        <v>7</v>
      </c>
      <c r="I5206" s="25" t="inlineStr">
        <is>
          <t>47 second(s)</t>
        </is>
      </c>
      <c r="J5206" s="25">
        <f>IFERROR(VALUE(TRIM(LEFT(I5206,FIND("minute",I5206)-1)))*60,0)+IFERROR(VALUE(SUBSTITUTE(MID(I5206,IFERROR(FIND("and",I5206)+3,1),20),"second(s)","")),0)</f>
        <v/>
      </c>
      <c r="K5206" s="41">
        <f>J5206/60</f>
        <v/>
      </c>
      <c r="L5206" s="41">
        <f>IFERROR(J5206/H5206,"")</f>
        <v/>
      </c>
      <c r="M5206" s="25" t="inlineStr">
        <is>
          <t>2.5.12</t>
        </is>
      </c>
      <c r="N5206" s="25">
        <f>IF(J5206&gt;300,1,0)</f>
        <v/>
      </c>
      <c r="O5206" s="25">
        <f>IF(J5206&gt;600,1,0)</f>
        <v/>
      </c>
      <c r="P5206" s="25">
        <f>IF(H5206&gt;0,J5206,"")</f>
        <v/>
      </c>
      <c r="Q5206" s="25">
        <f>TEXT(A5206,"YYYY-MM-DD HH")</f>
        <v/>
      </c>
      <c r="R5206" s="25">
        <f>COUNTIF($Q$2:$Q$5295,Q5206)</f>
        <v/>
      </c>
      <c r="S5206" s="25">
        <f>IF(R5206&lt;=2,"1-2",IF(R5206&lt;=5,"3-5",IF(R5206&lt;=10,"6-10","11+")))</f>
        <v/>
      </c>
    </row>
    <row r="5207">
      <c r="A5207" s="39" t="n">
        <v>46240.17520833333</v>
      </c>
      <c r="B5207" s="25">
        <f>TEXT(A5207,"YYYY-MM")</f>
        <v/>
      </c>
      <c r="C5207" s="25">
        <f>TEXT(A5207,"MMM-YYYY")</f>
        <v/>
      </c>
      <c r="D5207" s="40">
        <f>INT(A5207)-WEEKDAY(A5207,2)+1</f>
        <v/>
      </c>
      <c r="E5207" s="25" t="inlineStr">
        <is>
          <t>sthomas</t>
        </is>
      </c>
      <c r="F5207" s="25" t="n">
        <v>134189</v>
      </c>
      <c r="G5207" s="25" t="n">
        <v>1</v>
      </c>
      <c r="H5207" s="25" t="n">
        <v>6</v>
      </c>
      <c r="I5207" s="25" t="inlineStr">
        <is>
          <t>1 minute(s) and 2 second(s)</t>
        </is>
      </c>
      <c r="J5207" s="25">
        <f>IFERROR(VALUE(TRIM(LEFT(I5207,FIND("minute",I5207)-1)))*60,0)+IFERROR(VALUE(SUBSTITUTE(MID(I5207,IFERROR(FIND("and",I5207)+3,1),20),"second(s)","")),0)</f>
        <v/>
      </c>
      <c r="K5207" s="41">
        <f>J5207/60</f>
        <v/>
      </c>
      <c r="L5207" s="41">
        <f>IFERROR(J5207/H5207,"")</f>
        <v/>
      </c>
      <c r="M5207" s="25" t="n">
        <v>3.4</v>
      </c>
      <c r="N5207" s="25">
        <f>IF(J5207&gt;300,1,0)</f>
        <v/>
      </c>
      <c r="O5207" s="25">
        <f>IF(J5207&gt;600,1,0)</f>
        <v/>
      </c>
      <c r="P5207" s="25">
        <f>IF(H5207&gt;0,J5207,"")</f>
        <v/>
      </c>
      <c r="Q5207" s="25">
        <f>TEXT(A5207,"YYYY-MM-DD HH")</f>
        <v/>
      </c>
      <c r="R5207" s="25">
        <f>COUNTIF($Q$2:$Q$5295,Q5207)</f>
        <v/>
      </c>
      <c r="S5207" s="25">
        <f>IF(R5207&lt;=2,"1-2",IF(R5207&lt;=5,"3-5",IF(R5207&lt;=10,"6-10","11+")))</f>
        <v/>
      </c>
    </row>
    <row r="5208">
      <c r="A5208" s="39" t="n">
        <v>46240.18177083333</v>
      </c>
      <c r="B5208" s="25">
        <f>TEXT(A5208,"YYYY-MM")</f>
        <v/>
      </c>
      <c r="C5208" s="25">
        <f>TEXT(A5208,"MMM-YYYY")</f>
        <v/>
      </c>
      <c r="D5208" s="40">
        <f>INT(A5208)-WEEKDAY(A5208,2)+1</f>
        <v/>
      </c>
      <c r="E5208" s="25" t="inlineStr">
        <is>
          <t>shassan</t>
        </is>
      </c>
      <c r="F5208" s="25" t="n">
        <v>134175</v>
      </c>
      <c r="G5208" s="25" t="n">
        <v>4</v>
      </c>
      <c r="H5208" s="25" t="n">
        <v>24</v>
      </c>
      <c r="I5208" s="25" t="inlineStr">
        <is>
          <t>3 minute(s) and 18 second(s)</t>
        </is>
      </c>
      <c r="J5208" s="25">
        <f>IFERROR(VALUE(TRIM(LEFT(I5208,FIND("minute",I5208)-1)))*60,0)+IFERROR(VALUE(SUBSTITUTE(MID(I5208,IFERROR(FIND("and",I5208)+3,1),20),"second(s)","")),0)</f>
        <v/>
      </c>
      <c r="K5208" s="41">
        <f>J5208/60</f>
        <v/>
      </c>
      <c r="L5208" s="41">
        <f>IFERROR(J5208/H5208,"")</f>
        <v/>
      </c>
      <c r="M5208" s="25" t="n">
        <v>3.4</v>
      </c>
      <c r="N5208" s="25">
        <f>IF(J5208&gt;300,1,0)</f>
        <v/>
      </c>
      <c r="O5208" s="25">
        <f>IF(J5208&gt;600,1,0)</f>
        <v/>
      </c>
      <c r="P5208" s="25">
        <f>IF(H5208&gt;0,J5208,"")</f>
        <v/>
      </c>
      <c r="Q5208" s="25">
        <f>TEXT(A5208,"YYYY-MM-DD HH")</f>
        <v/>
      </c>
      <c r="R5208" s="25">
        <f>COUNTIF($Q$2:$Q$5295,Q5208)</f>
        <v/>
      </c>
      <c r="S5208" s="25">
        <f>IF(R5208&lt;=2,"1-2",IF(R5208&lt;=5,"3-5",IF(R5208&lt;=10,"6-10","11+")))</f>
        <v/>
      </c>
    </row>
    <row r="5209">
      <c r="A5209" s="39" t="n">
        <v>46240.19158564815</v>
      </c>
      <c r="B5209" s="25">
        <f>TEXT(A5209,"YYYY-MM")</f>
        <v/>
      </c>
      <c r="C5209" s="25">
        <f>TEXT(A5209,"MMM-YYYY")</f>
        <v/>
      </c>
      <c r="D5209" s="40">
        <f>INT(A5209)-WEEKDAY(A5209,2)+1</f>
        <v/>
      </c>
      <c r="E5209" s="25" t="inlineStr">
        <is>
          <t>aupadhayay</t>
        </is>
      </c>
      <c r="F5209" s="25" t="n">
        <v>136557</v>
      </c>
      <c r="G5209" s="25" t="n">
        <v>1</v>
      </c>
      <c r="H5209" s="25" t="n">
        <v>7</v>
      </c>
      <c r="I5209" s="25" t="inlineStr">
        <is>
          <t>1 minute(s) and 24 second(s)</t>
        </is>
      </c>
      <c r="J5209" s="25">
        <f>IFERROR(VALUE(TRIM(LEFT(I5209,FIND("minute",I5209)-1)))*60,0)+IFERROR(VALUE(SUBSTITUTE(MID(I5209,IFERROR(FIND("and",I5209)+3,1),20),"second(s)","")),0)</f>
        <v/>
      </c>
      <c r="K5209" s="41">
        <f>J5209/60</f>
        <v/>
      </c>
      <c r="L5209" s="41">
        <f>IFERROR(J5209/H5209,"")</f>
        <v/>
      </c>
      <c r="M5209" s="25" t="n">
        <v>3.4</v>
      </c>
      <c r="N5209" s="25">
        <f>IF(J5209&gt;300,1,0)</f>
        <v/>
      </c>
      <c r="O5209" s="25">
        <f>IF(J5209&gt;600,1,0)</f>
        <v/>
      </c>
      <c r="P5209" s="25">
        <f>IF(H5209&gt;0,J5209,"")</f>
        <v/>
      </c>
      <c r="Q5209" s="25">
        <f>TEXT(A5209,"YYYY-MM-DD HH")</f>
        <v/>
      </c>
      <c r="R5209" s="25">
        <f>COUNTIF($Q$2:$Q$5295,Q5209)</f>
        <v/>
      </c>
      <c r="S5209" s="25">
        <f>IF(R5209&lt;=2,"1-2",IF(R5209&lt;=5,"3-5",IF(R5209&lt;=10,"6-10","11+")))</f>
        <v/>
      </c>
    </row>
    <row r="5210">
      <c r="A5210" s="39" t="n">
        <v>46240.19314814815</v>
      </c>
      <c r="B5210" s="25">
        <f>TEXT(A5210,"YYYY-MM")</f>
        <v/>
      </c>
      <c r="C5210" s="25">
        <f>TEXT(A5210,"MMM-YYYY")</f>
        <v/>
      </c>
      <c r="D5210" s="40">
        <f>INT(A5210)-WEEKDAY(A5210,2)+1</f>
        <v/>
      </c>
      <c r="E5210" s="25" t="inlineStr">
        <is>
          <t>mbhalla</t>
        </is>
      </c>
      <c r="F5210" s="25" t="n">
        <v>135792</v>
      </c>
      <c r="G5210" s="25" t="n">
        <v>4</v>
      </c>
      <c r="H5210" s="25" t="n">
        <v>22</v>
      </c>
      <c r="I5210" s="25" t="inlineStr">
        <is>
          <t>2 minute(s) and 40 second(s)</t>
        </is>
      </c>
      <c r="J5210" s="25">
        <f>IFERROR(VALUE(TRIM(LEFT(I5210,FIND("minute",I5210)-1)))*60,0)+IFERROR(VALUE(SUBSTITUTE(MID(I5210,IFERROR(FIND("and",I5210)+3,1),20),"second(s)","")),0)</f>
        <v/>
      </c>
      <c r="K5210" s="41">
        <f>J5210/60</f>
        <v/>
      </c>
      <c r="L5210" s="41">
        <f>IFERROR(J5210/H5210,"")</f>
        <v/>
      </c>
      <c r="M5210" s="25" t="n">
        <v>3.4</v>
      </c>
      <c r="N5210" s="25">
        <f>IF(J5210&gt;300,1,0)</f>
        <v/>
      </c>
      <c r="O5210" s="25">
        <f>IF(J5210&gt;600,1,0)</f>
        <v/>
      </c>
      <c r="P5210" s="25">
        <f>IF(H5210&gt;0,J5210,"")</f>
        <v/>
      </c>
      <c r="Q5210" s="25">
        <f>TEXT(A5210,"YYYY-MM-DD HH")</f>
        <v/>
      </c>
      <c r="R5210" s="25">
        <f>COUNTIF($Q$2:$Q$5295,Q5210)</f>
        <v/>
      </c>
      <c r="S5210" s="25">
        <f>IF(R5210&lt;=2,"1-2",IF(R5210&lt;=5,"3-5",IF(R5210&lt;=10,"6-10","11+")))</f>
        <v/>
      </c>
    </row>
    <row r="5211">
      <c r="A5211" s="39" t="n">
        <v>46240.23097222222</v>
      </c>
      <c r="B5211" s="25">
        <f>TEXT(A5211,"YYYY-MM")</f>
        <v/>
      </c>
      <c r="C5211" s="25">
        <f>TEXT(A5211,"MMM-YYYY")</f>
        <v/>
      </c>
      <c r="D5211" s="40">
        <f>INT(A5211)-WEEKDAY(A5211,2)+1</f>
        <v/>
      </c>
      <c r="E5211" s="25" t="inlineStr">
        <is>
          <t>ns</t>
        </is>
      </c>
      <c r="F5211" s="25" t="n">
        <v>134136</v>
      </c>
      <c r="G5211" s="25" t="n">
        <v>1</v>
      </c>
      <c r="H5211" s="25" t="n">
        <v>7</v>
      </c>
      <c r="I5211" s="25" t="inlineStr">
        <is>
          <t>1 minute(s) and 6 second(s)</t>
        </is>
      </c>
      <c r="J5211" s="25">
        <f>IFERROR(VALUE(TRIM(LEFT(I5211,FIND("minute",I5211)-1)))*60,0)+IFERROR(VALUE(SUBSTITUTE(MID(I5211,IFERROR(FIND("and",I5211)+3,1),20),"second(s)","")),0)</f>
        <v/>
      </c>
      <c r="K5211" s="41">
        <f>J5211/60</f>
        <v/>
      </c>
      <c r="L5211" s="41">
        <f>IFERROR(J5211/H5211,"")</f>
        <v/>
      </c>
      <c r="M5211" s="25" t="n">
        <v>3.4</v>
      </c>
      <c r="N5211" s="25">
        <f>IF(J5211&gt;300,1,0)</f>
        <v/>
      </c>
      <c r="O5211" s="25">
        <f>IF(J5211&gt;600,1,0)</f>
        <v/>
      </c>
      <c r="P5211" s="25">
        <f>IF(H5211&gt;0,J5211,"")</f>
        <v/>
      </c>
      <c r="Q5211" s="25">
        <f>TEXT(A5211,"YYYY-MM-DD HH")</f>
        <v/>
      </c>
      <c r="R5211" s="25">
        <f>COUNTIF($Q$2:$Q$5295,Q5211)</f>
        <v/>
      </c>
      <c r="S5211" s="25">
        <f>IF(R5211&lt;=2,"1-2",IF(R5211&lt;=5,"3-5",IF(R5211&lt;=10,"6-10","11+")))</f>
        <v/>
      </c>
    </row>
    <row r="5212">
      <c r="A5212" s="39" t="n">
        <v>46240.23722222223</v>
      </c>
      <c r="B5212" s="25">
        <f>TEXT(A5212,"YYYY-MM")</f>
        <v/>
      </c>
      <c r="C5212" s="25">
        <f>TEXT(A5212,"MMM-YYYY")</f>
        <v/>
      </c>
      <c r="D5212" s="40">
        <f>INT(A5212)-WEEKDAY(A5212,2)+1</f>
        <v/>
      </c>
      <c r="E5212" s="25" t="inlineStr">
        <is>
          <t>aghosh</t>
        </is>
      </c>
      <c r="F5212" s="25" t="n">
        <v>138597</v>
      </c>
      <c r="G5212" s="25" t="n">
        <v>2</v>
      </c>
      <c r="H5212" s="25" t="n">
        <v>8</v>
      </c>
      <c r="I5212" s="25" t="inlineStr">
        <is>
          <t>1 minute(s) and 6 second(s)</t>
        </is>
      </c>
      <c r="J5212" s="25">
        <f>IFERROR(VALUE(TRIM(LEFT(I5212,FIND("minute",I5212)-1)))*60,0)+IFERROR(VALUE(SUBSTITUTE(MID(I5212,IFERROR(FIND("and",I5212)+3,1),20),"second(s)","")),0)</f>
        <v/>
      </c>
      <c r="K5212" s="41">
        <f>J5212/60</f>
        <v/>
      </c>
      <c r="L5212" s="41">
        <f>IFERROR(J5212/H5212,"")</f>
        <v/>
      </c>
      <c r="M5212" s="25" t="n">
        <v>3.4</v>
      </c>
      <c r="N5212" s="25">
        <f>IF(J5212&gt;300,1,0)</f>
        <v/>
      </c>
      <c r="O5212" s="25">
        <f>IF(J5212&gt;600,1,0)</f>
        <v/>
      </c>
      <c r="P5212" s="25">
        <f>IF(H5212&gt;0,J5212,"")</f>
        <v/>
      </c>
      <c r="Q5212" s="25">
        <f>TEXT(A5212,"YYYY-MM-DD HH")</f>
        <v/>
      </c>
      <c r="R5212" s="25">
        <f>COUNTIF($Q$2:$Q$5295,Q5212)</f>
        <v/>
      </c>
      <c r="S5212" s="25">
        <f>IF(R5212&lt;=2,"1-2",IF(R5212&lt;=5,"3-5",IF(R5212&lt;=10,"6-10","11+")))</f>
        <v/>
      </c>
    </row>
    <row r="5213">
      <c r="A5213" s="39" t="n">
        <v>46240.24049768518</v>
      </c>
      <c r="B5213" s="25">
        <f>TEXT(A5213,"YYYY-MM")</f>
        <v/>
      </c>
      <c r="C5213" s="25">
        <f>TEXT(A5213,"MMM-YYYY")</f>
        <v/>
      </c>
      <c r="D5213" s="40">
        <f>INT(A5213)-WEEKDAY(A5213,2)+1</f>
        <v/>
      </c>
      <c r="E5213" s="25" t="inlineStr">
        <is>
          <t>abanerjee</t>
        </is>
      </c>
      <c r="F5213" s="25" t="n">
        <v>139477</v>
      </c>
      <c r="G5213" s="25" t="n">
        <v>1</v>
      </c>
      <c r="H5213" s="25" t="n">
        <v>5</v>
      </c>
      <c r="I5213" s="25" t="inlineStr">
        <is>
          <t>49 second(s)</t>
        </is>
      </c>
      <c r="J5213" s="25">
        <f>IFERROR(VALUE(TRIM(LEFT(I5213,FIND("minute",I5213)-1)))*60,0)+IFERROR(VALUE(SUBSTITUTE(MID(I5213,IFERROR(FIND("and",I5213)+3,1),20),"second(s)","")),0)</f>
        <v/>
      </c>
      <c r="K5213" s="41">
        <f>J5213/60</f>
        <v/>
      </c>
      <c r="L5213" s="41">
        <f>IFERROR(J5213/H5213,"")</f>
        <v/>
      </c>
      <c r="M5213" s="25" t="n">
        <v>3.4</v>
      </c>
      <c r="N5213" s="25">
        <f>IF(J5213&gt;300,1,0)</f>
        <v/>
      </c>
      <c r="O5213" s="25">
        <f>IF(J5213&gt;600,1,0)</f>
        <v/>
      </c>
      <c r="P5213" s="25">
        <f>IF(H5213&gt;0,J5213,"")</f>
        <v/>
      </c>
      <c r="Q5213" s="25">
        <f>TEXT(A5213,"YYYY-MM-DD HH")</f>
        <v/>
      </c>
      <c r="R5213" s="25">
        <f>COUNTIF($Q$2:$Q$5295,Q5213)</f>
        <v/>
      </c>
      <c r="S5213" s="25">
        <f>IF(R5213&lt;=2,"1-2",IF(R5213&lt;=5,"3-5",IF(R5213&lt;=10,"6-10","11+")))</f>
        <v/>
      </c>
    </row>
    <row r="5214">
      <c r="A5214" s="39" t="n">
        <v>46240.24425925926</v>
      </c>
      <c r="B5214" s="25">
        <f>TEXT(A5214,"YYYY-MM")</f>
        <v/>
      </c>
      <c r="C5214" s="25">
        <f>TEXT(A5214,"MMM-YYYY")</f>
        <v/>
      </c>
      <c r="D5214" s="40">
        <f>INT(A5214)-WEEKDAY(A5214,2)+1</f>
        <v/>
      </c>
      <c r="E5214" s="25" t="inlineStr">
        <is>
          <t>asahoo</t>
        </is>
      </c>
      <c r="F5214" s="25" t="n">
        <v>138873</v>
      </c>
      <c r="G5214" s="25" t="n">
        <v>2</v>
      </c>
      <c r="H5214" s="25" t="n">
        <v>10</v>
      </c>
      <c r="I5214" s="25" t="inlineStr">
        <is>
          <t>6 minute(s) and 29 second(s)</t>
        </is>
      </c>
      <c r="J5214" s="25">
        <f>IFERROR(VALUE(TRIM(LEFT(I5214,FIND("minute",I5214)-1)))*60,0)+IFERROR(VALUE(SUBSTITUTE(MID(I5214,IFERROR(FIND("and",I5214)+3,1),20),"second(s)","")),0)</f>
        <v/>
      </c>
      <c r="K5214" s="41">
        <f>J5214/60</f>
        <v/>
      </c>
      <c r="L5214" s="41">
        <f>IFERROR(J5214/H5214,"")</f>
        <v/>
      </c>
      <c r="M5214" s="25" t="n">
        <v>3.4</v>
      </c>
      <c r="N5214" s="25">
        <f>IF(J5214&gt;300,1,0)</f>
        <v/>
      </c>
      <c r="O5214" s="25">
        <f>IF(J5214&gt;600,1,0)</f>
        <v/>
      </c>
      <c r="P5214" s="25">
        <f>IF(H5214&gt;0,J5214,"")</f>
        <v/>
      </c>
      <c r="Q5214" s="25">
        <f>TEXT(A5214,"YYYY-MM-DD HH")</f>
        <v/>
      </c>
      <c r="R5214" s="25">
        <f>COUNTIF($Q$2:$Q$5295,Q5214)</f>
        <v/>
      </c>
      <c r="S5214" s="25">
        <f>IF(R5214&lt;=2,"1-2",IF(R5214&lt;=5,"3-5",IF(R5214&lt;=10,"6-10","11+")))</f>
        <v/>
      </c>
    </row>
    <row r="5215">
      <c r="A5215" s="39" t="n">
        <v>46240.24699074074</v>
      </c>
      <c r="B5215" s="25">
        <f>TEXT(A5215,"YYYY-MM")</f>
        <v/>
      </c>
      <c r="C5215" s="25">
        <f>TEXT(A5215,"MMM-YYYY")</f>
        <v/>
      </c>
      <c r="D5215" s="40">
        <f>INT(A5215)-WEEKDAY(A5215,2)+1</f>
        <v/>
      </c>
      <c r="E5215" s="25" t="inlineStr">
        <is>
          <t>dchoudhury</t>
        </is>
      </c>
      <c r="F5215" s="25" t="n">
        <v>128536</v>
      </c>
      <c r="G5215" s="25" t="n">
        <v>2</v>
      </c>
      <c r="H5215" s="25" t="n">
        <v>10</v>
      </c>
      <c r="I5215" s="25" t="inlineStr">
        <is>
          <t>1 minute(s) and 31 second(s)</t>
        </is>
      </c>
      <c r="J5215" s="25">
        <f>IFERROR(VALUE(TRIM(LEFT(I5215,FIND("minute",I5215)-1)))*60,0)+IFERROR(VALUE(SUBSTITUTE(MID(I5215,IFERROR(FIND("and",I5215)+3,1),20),"second(s)","")),0)</f>
        <v/>
      </c>
      <c r="K5215" s="41">
        <f>J5215/60</f>
        <v/>
      </c>
      <c r="L5215" s="41">
        <f>IFERROR(J5215/H5215,"")</f>
        <v/>
      </c>
      <c r="M5215" s="25" t="n">
        <v>3.4</v>
      </c>
      <c r="N5215" s="25">
        <f>IF(J5215&gt;300,1,0)</f>
        <v/>
      </c>
      <c r="O5215" s="25">
        <f>IF(J5215&gt;600,1,0)</f>
        <v/>
      </c>
      <c r="P5215" s="25">
        <f>IF(H5215&gt;0,J5215,"")</f>
        <v/>
      </c>
      <c r="Q5215" s="25">
        <f>TEXT(A5215,"YYYY-MM-DD HH")</f>
        <v/>
      </c>
      <c r="R5215" s="25">
        <f>COUNTIF($Q$2:$Q$5295,Q5215)</f>
        <v/>
      </c>
      <c r="S5215" s="25">
        <f>IF(R5215&lt;=2,"1-2",IF(R5215&lt;=5,"3-5",IF(R5215&lt;=10,"6-10","11+")))</f>
        <v/>
      </c>
    </row>
    <row r="5216">
      <c r="A5216" s="39" t="n">
        <v>46240.25630787037</v>
      </c>
      <c r="B5216" s="25">
        <f>TEXT(A5216,"YYYY-MM")</f>
        <v/>
      </c>
      <c r="C5216" s="25">
        <f>TEXT(A5216,"MMM-YYYY")</f>
        <v/>
      </c>
      <c r="D5216" s="40">
        <f>INT(A5216)-WEEKDAY(A5216,2)+1</f>
        <v/>
      </c>
      <c r="E5216" s="25" t="inlineStr">
        <is>
          <t>ethomas</t>
        </is>
      </c>
      <c r="F5216" s="25" t="n">
        <v>134298</v>
      </c>
      <c r="G5216" s="25" t="n">
        <v>4</v>
      </c>
      <c r="H5216" s="25" t="n">
        <v>29</v>
      </c>
      <c r="I5216" s="25" t="inlineStr">
        <is>
          <t>17 minute(s) and 9 second(s)</t>
        </is>
      </c>
      <c r="J5216" s="25">
        <f>IFERROR(VALUE(TRIM(LEFT(I5216,FIND("minute",I5216)-1)))*60,0)+IFERROR(VALUE(SUBSTITUTE(MID(I5216,IFERROR(FIND("and",I5216)+3,1),20),"second(s)","")),0)</f>
        <v/>
      </c>
      <c r="K5216" s="41">
        <f>J5216/60</f>
        <v/>
      </c>
      <c r="L5216" s="41">
        <f>IFERROR(J5216/H5216,"")</f>
        <v/>
      </c>
      <c r="M5216" s="25" t="n">
        <v>3.4</v>
      </c>
      <c r="N5216" s="25">
        <f>IF(J5216&gt;300,1,0)</f>
        <v/>
      </c>
      <c r="O5216" s="25">
        <f>IF(J5216&gt;600,1,0)</f>
        <v/>
      </c>
      <c r="P5216" s="25">
        <f>IF(H5216&gt;0,J5216,"")</f>
        <v/>
      </c>
      <c r="Q5216" s="25">
        <f>TEXT(A5216,"YYYY-MM-DD HH")</f>
        <v/>
      </c>
      <c r="R5216" s="25">
        <f>COUNTIF($Q$2:$Q$5295,Q5216)</f>
        <v/>
      </c>
      <c r="S5216" s="25">
        <f>IF(R5216&lt;=2,"1-2",IF(R5216&lt;=5,"3-5",IF(R5216&lt;=10,"6-10","11+")))</f>
        <v/>
      </c>
    </row>
    <row r="5217">
      <c r="A5217" s="39" t="n">
        <v>46240.26078703703</v>
      </c>
      <c r="B5217" s="25">
        <f>TEXT(A5217,"YYYY-MM")</f>
        <v/>
      </c>
      <c r="C5217" s="25">
        <f>TEXT(A5217,"MMM-YYYY")</f>
        <v/>
      </c>
      <c r="D5217" s="40">
        <f>INT(A5217)-WEEKDAY(A5217,2)+1</f>
        <v/>
      </c>
      <c r="E5217" s="25" t="inlineStr">
        <is>
          <t>psathwika</t>
        </is>
      </c>
      <c r="F5217" s="25" t="n">
        <v>133819</v>
      </c>
      <c r="G5217" s="25" t="n">
        <v>3</v>
      </c>
      <c r="H5217" s="25" t="n">
        <v>13</v>
      </c>
      <c r="I5217" s="25" t="inlineStr">
        <is>
          <t>1 minute(s) and 32 second(s)</t>
        </is>
      </c>
      <c r="J5217" s="25">
        <f>IFERROR(VALUE(TRIM(LEFT(I5217,FIND("minute",I5217)-1)))*60,0)+IFERROR(VALUE(SUBSTITUTE(MID(I5217,IFERROR(FIND("and",I5217)+3,1),20),"second(s)","")),0)</f>
        <v/>
      </c>
      <c r="K5217" s="41">
        <f>J5217/60</f>
        <v/>
      </c>
      <c r="L5217" s="41">
        <f>IFERROR(J5217/H5217,"")</f>
        <v/>
      </c>
      <c r="M5217" s="25" t="inlineStr">
        <is>
          <t>2.5.12</t>
        </is>
      </c>
      <c r="N5217" s="25">
        <f>IF(J5217&gt;300,1,0)</f>
        <v/>
      </c>
      <c r="O5217" s="25">
        <f>IF(J5217&gt;600,1,0)</f>
        <v/>
      </c>
      <c r="P5217" s="25">
        <f>IF(H5217&gt;0,J5217,"")</f>
        <v/>
      </c>
      <c r="Q5217" s="25">
        <f>TEXT(A5217,"YYYY-MM-DD HH")</f>
        <v/>
      </c>
      <c r="R5217" s="25">
        <f>COUNTIF($Q$2:$Q$5295,Q5217)</f>
        <v/>
      </c>
      <c r="S5217" s="25">
        <f>IF(R5217&lt;=2,"1-2",IF(R5217&lt;=5,"3-5",IF(R5217&lt;=10,"6-10","11+")))</f>
        <v/>
      </c>
    </row>
    <row r="5218">
      <c r="A5218" s="39" t="n">
        <v>46240.26866898148</v>
      </c>
      <c r="B5218" s="25">
        <f>TEXT(A5218,"YYYY-MM")</f>
        <v/>
      </c>
      <c r="C5218" s="25">
        <f>TEXT(A5218,"MMM-YYYY")</f>
        <v/>
      </c>
      <c r="D5218" s="40">
        <f>INT(A5218)-WEEKDAY(A5218,2)+1</f>
        <v/>
      </c>
      <c r="E5218" s="25" t="inlineStr">
        <is>
          <t>tkarmakar</t>
        </is>
      </c>
      <c r="F5218" s="25" t="n">
        <v>135653</v>
      </c>
      <c r="G5218" s="25" t="n">
        <v>4</v>
      </c>
      <c r="H5218" s="25" t="n">
        <v>24</v>
      </c>
      <c r="I5218" s="25" t="inlineStr">
        <is>
          <t>3 minute(s) and 14 second(s)</t>
        </is>
      </c>
      <c r="J5218" s="25">
        <f>IFERROR(VALUE(TRIM(LEFT(I5218,FIND("minute",I5218)-1)))*60,0)+IFERROR(VALUE(SUBSTITUTE(MID(I5218,IFERROR(FIND("and",I5218)+3,1),20),"second(s)","")),0)</f>
        <v/>
      </c>
      <c r="K5218" s="41">
        <f>J5218/60</f>
        <v/>
      </c>
      <c r="L5218" s="41">
        <f>IFERROR(J5218/H5218,"")</f>
        <v/>
      </c>
      <c r="M5218" s="25" t="n">
        <v>3.4</v>
      </c>
      <c r="N5218" s="25">
        <f>IF(J5218&gt;300,1,0)</f>
        <v/>
      </c>
      <c r="O5218" s="25">
        <f>IF(J5218&gt;600,1,0)</f>
        <v/>
      </c>
      <c r="P5218" s="25">
        <f>IF(H5218&gt;0,J5218,"")</f>
        <v/>
      </c>
      <c r="Q5218" s="25">
        <f>TEXT(A5218,"YYYY-MM-DD HH")</f>
        <v/>
      </c>
      <c r="R5218" s="25">
        <f>COUNTIF($Q$2:$Q$5295,Q5218)</f>
        <v/>
      </c>
      <c r="S5218" s="25">
        <f>IF(R5218&lt;=2,"1-2",IF(R5218&lt;=5,"3-5",IF(R5218&lt;=10,"6-10","11+")))</f>
        <v/>
      </c>
    </row>
    <row r="5219">
      <c r="A5219" s="39" t="n">
        <v>46240.27165509259</v>
      </c>
      <c r="B5219" s="25">
        <f>TEXT(A5219,"YYYY-MM")</f>
        <v/>
      </c>
      <c r="C5219" s="25">
        <f>TEXT(A5219,"MMM-YYYY")</f>
        <v/>
      </c>
      <c r="D5219" s="40">
        <f>INT(A5219)-WEEKDAY(A5219,2)+1</f>
        <v/>
      </c>
      <c r="E5219" s="25" t="inlineStr">
        <is>
          <t>larora</t>
        </is>
      </c>
      <c r="F5219" s="25" t="n">
        <v>138925</v>
      </c>
      <c r="G5219" s="25" t="n">
        <v>1</v>
      </c>
      <c r="H5219" s="25" t="n">
        <v>5</v>
      </c>
      <c r="I5219" s="25" t="inlineStr">
        <is>
          <t>48 second(s)</t>
        </is>
      </c>
      <c r="J5219" s="25">
        <f>IFERROR(VALUE(TRIM(LEFT(I5219,FIND("minute",I5219)-1)))*60,0)+IFERROR(VALUE(SUBSTITUTE(MID(I5219,IFERROR(FIND("and",I5219)+3,1),20),"second(s)","")),0)</f>
        <v/>
      </c>
      <c r="K5219" s="41">
        <f>J5219/60</f>
        <v/>
      </c>
      <c r="L5219" s="41">
        <f>IFERROR(J5219/H5219,"")</f>
        <v/>
      </c>
      <c r="M5219" s="25" t="n">
        <v>3.4</v>
      </c>
      <c r="N5219" s="25">
        <f>IF(J5219&gt;300,1,0)</f>
        <v/>
      </c>
      <c r="O5219" s="25">
        <f>IF(J5219&gt;600,1,0)</f>
        <v/>
      </c>
      <c r="P5219" s="25">
        <f>IF(H5219&gt;0,J5219,"")</f>
        <v/>
      </c>
      <c r="Q5219" s="25">
        <f>TEXT(A5219,"YYYY-MM-DD HH")</f>
        <v/>
      </c>
      <c r="R5219" s="25">
        <f>COUNTIF($Q$2:$Q$5295,Q5219)</f>
        <v/>
      </c>
      <c r="S5219" s="25">
        <f>IF(R5219&lt;=2,"1-2",IF(R5219&lt;=5,"3-5",IF(R5219&lt;=10,"6-10","11+")))</f>
        <v/>
      </c>
    </row>
    <row r="5220">
      <c r="A5220" s="39" t="n">
        <v>46240.27299768518</v>
      </c>
      <c r="B5220" s="25">
        <f>TEXT(A5220,"YYYY-MM")</f>
        <v/>
      </c>
      <c r="C5220" s="25">
        <f>TEXT(A5220,"MMM-YYYY")</f>
        <v/>
      </c>
      <c r="D5220" s="40">
        <f>INT(A5220)-WEEKDAY(A5220,2)+1</f>
        <v/>
      </c>
      <c r="E5220" s="25" t="inlineStr">
        <is>
          <t>sthomas</t>
        </is>
      </c>
      <c r="F5220" s="25" t="n">
        <v>134173</v>
      </c>
      <c r="G5220" s="25" t="n">
        <v>4</v>
      </c>
      <c r="H5220" s="25" t="n">
        <v>20</v>
      </c>
      <c r="I5220" s="25" t="inlineStr">
        <is>
          <t>2 minute(s) and 33 second(s)</t>
        </is>
      </c>
      <c r="J5220" s="25">
        <f>IFERROR(VALUE(TRIM(LEFT(I5220,FIND("minute",I5220)-1)))*60,0)+IFERROR(VALUE(SUBSTITUTE(MID(I5220,IFERROR(FIND("and",I5220)+3,1),20),"second(s)","")),0)</f>
        <v/>
      </c>
      <c r="K5220" s="41">
        <f>J5220/60</f>
        <v/>
      </c>
      <c r="L5220" s="41">
        <f>IFERROR(J5220/H5220,"")</f>
        <v/>
      </c>
      <c r="M5220" s="25" t="n">
        <v>3.4</v>
      </c>
      <c r="N5220" s="25">
        <f>IF(J5220&gt;300,1,0)</f>
        <v/>
      </c>
      <c r="O5220" s="25">
        <f>IF(J5220&gt;600,1,0)</f>
        <v/>
      </c>
      <c r="P5220" s="25">
        <f>IF(H5220&gt;0,J5220,"")</f>
        <v/>
      </c>
      <c r="Q5220" s="25">
        <f>TEXT(A5220,"YYYY-MM-DD HH")</f>
        <v/>
      </c>
      <c r="R5220" s="25">
        <f>COUNTIF($Q$2:$Q$5295,Q5220)</f>
        <v/>
      </c>
      <c r="S5220" s="25">
        <f>IF(R5220&lt;=2,"1-2",IF(R5220&lt;=5,"3-5",IF(R5220&lt;=10,"6-10","11+")))</f>
        <v/>
      </c>
    </row>
    <row r="5221">
      <c r="A5221" s="39" t="n">
        <v>46240.27579861111</v>
      </c>
      <c r="B5221" s="25">
        <f>TEXT(A5221,"YYYY-MM")</f>
        <v/>
      </c>
      <c r="C5221" s="25">
        <f>TEXT(A5221,"MMM-YYYY")</f>
        <v/>
      </c>
      <c r="D5221" s="40">
        <f>INT(A5221)-WEEKDAY(A5221,2)+1</f>
        <v/>
      </c>
      <c r="E5221" s="25" t="inlineStr">
        <is>
          <t>taggarwal</t>
        </is>
      </c>
      <c r="F5221" s="25" t="n">
        <v>135541</v>
      </c>
      <c r="G5221" s="25" t="n">
        <v>1</v>
      </c>
      <c r="H5221" s="25" t="n">
        <v>7</v>
      </c>
      <c r="I5221" s="25" t="inlineStr">
        <is>
          <t>1 minute(s) and 14 second(s)</t>
        </is>
      </c>
      <c r="J5221" s="25">
        <f>IFERROR(VALUE(TRIM(LEFT(I5221,FIND("minute",I5221)-1)))*60,0)+IFERROR(VALUE(SUBSTITUTE(MID(I5221,IFERROR(FIND("and",I5221)+3,1),20),"second(s)","")),0)</f>
        <v/>
      </c>
      <c r="K5221" s="41">
        <f>J5221/60</f>
        <v/>
      </c>
      <c r="L5221" s="41">
        <f>IFERROR(J5221/H5221,"")</f>
        <v/>
      </c>
      <c r="M5221" s="25" t="n">
        <v>3.4</v>
      </c>
      <c r="N5221" s="25">
        <f>IF(J5221&gt;300,1,0)</f>
        <v/>
      </c>
      <c r="O5221" s="25">
        <f>IF(J5221&gt;600,1,0)</f>
        <v/>
      </c>
      <c r="P5221" s="25">
        <f>IF(H5221&gt;0,J5221,"")</f>
        <v/>
      </c>
      <c r="Q5221" s="25">
        <f>TEXT(A5221,"YYYY-MM-DD HH")</f>
        <v/>
      </c>
      <c r="R5221" s="25">
        <f>COUNTIF($Q$2:$Q$5295,Q5221)</f>
        <v/>
      </c>
      <c r="S5221" s="25">
        <f>IF(R5221&lt;=2,"1-2",IF(R5221&lt;=5,"3-5",IF(R5221&lt;=10,"6-10","11+")))</f>
        <v/>
      </c>
    </row>
    <row r="5222">
      <c r="A5222" s="39" t="n">
        <v>46240.27888888889</v>
      </c>
      <c r="B5222" s="25">
        <f>TEXT(A5222,"YYYY-MM")</f>
        <v/>
      </c>
      <c r="C5222" s="25">
        <f>TEXT(A5222,"MMM-YYYY")</f>
        <v/>
      </c>
      <c r="D5222" s="40">
        <f>INT(A5222)-WEEKDAY(A5222,2)+1</f>
        <v/>
      </c>
      <c r="E5222" s="25" t="inlineStr">
        <is>
          <t>pmodak</t>
        </is>
      </c>
      <c r="F5222" s="25" t="n">
        <v>138314</v>
      </c>
      <c r="G5222" s="25" t="n">
        <v>4</v>
      </c>
      <c r="H5222" s="25" t="n">
        <v>21</v>
      </c>
      <c r="I5222" s="25" t="inlineStr">
        <is>
          <t>4 minute(s) and 48 second(s)</t>
        </is>
      </c>
      <c r="J5222" s="25">
        <f>IFERROR(VALUE(TRIM(LEFT(I5222,FIND("minute",I5222)-1)))*60,0)+IFERROR(VALUE(SUBSTITUTE(MID(I5222,IFERROR(FIND("and",I5222)+3,1),20),"second(s)","")),0)</f>
        <v/>
      </c>
      <c r="K5222" s="41">
        <f>J5222/60</f>
        <v/>
      </c>
      <c r="L5222" s="41">
        <f>IFERROR(J5222/H5222,"")</f>
        <v/>
      </c>
      <c r="M5222" s="25" t="n">
        <v>3.4</v>
      </c>
      <c r="N5222" s="25">
        <f>IF(J5222&gt;300,1,0)</f>
        <v/>
      </c>
      <c r="O5222" s="25">
        <f>IF(J5222&gt;600,1,0)</f>
        <v/>
      </c>
      <c r="P5222" s="25">
        <f>IF(H5222&gt;0,J5222,"")</f>
        <v/>
      </c>
      <c r="Q5222" s="25">
        <f>TEXT(A5222,"YYYY-MM-DD HH")</f>
        <v/>
      </c>
      <c r="R5222" s="25">
        <f>COUNTIF($Q$2:$Q$5295,Q5222)</f>
        <v/>
      </c>
      <c r="S5222" s="25">
        <f>IF(R5222&lt;=2,"1-2",IF(R5222&lt;=5,"3-5",IF(R5222&lt;=10,"6-10","11+")))</f>
        <v/>
      </c>
    </row>
    <row r="5223">
      <c r="A5223" s="39" t="n">
        <v>46240.28337962963</v>
      </c>
      <c r="B5223" s="25">
        <f>TEXT(A5223,"YYYY-MM")</f>
        <v/>
      </c>
      <c r="C5223" s="25">
        <f>TEXT(A5223,"MMM-YYYY")</f>
        <v/>
      </c>
      <c r="D5223" s="40">
        <f>INT(A5223)-WEEKDAY(A5223,2)+1</f>
        <v/>
      </c>
      <c r="E5223" s="25" t="inlineStr">
        <is>
          <t>mgupta</t>
        </is>
      </c>
      <c r="F5223" s="25" t="n">
        <v>134851</v>
      </c>
      <c r="G5223" s="25" t="n">
        <v>4</v>
      </c>
      <c r="H5223" s="25" t="n">
        <v>17</v>
      </c>
      <c r="I5223" s="25" t="inlineStr">
        <is>
          <t>2 minute(s) and 40 second(s)</t>
        </is>
      </c>
      <c r="J5223" s="25">
        <f>IFERROR(VALUE(TRIM(LEFT(I5223,FIND("minute",I5223)-1)))*60,0)+IFERROR(VALUE(SUBSTITUTE(MID(I5223,IFERROR(FIND("and",I5223)+3,1),20),"second(s)","")),0)</f>
        <v/>
      </c>
      <c r="K5223" s="41">
        <f>J5223/60</f>
        <v/>
      </c>
      <c r="L5223" s="41">
        <f>IFERROR(J5223/H5223,"")</f>
        <v/>
      </c>
      <c r="M5223" s="25" t="n">
        <v>3.5</v>
      </c>
      <c r="N5223" s="25">
        <f>IF(J5223&gt;300,1,0)</f>
        <v/>
      </c>
      <c r="O5223" s="25">
        <f>IF(J5223&gt;600,1,0)</f>
        <v/>
      </c>
      <c r="P5223" s="25">
        <f>IF(H5223&gt;0,J5223,"")</f>
        <v/>
      </c>
      <c r="Q5223" s="25">
        <f>TEXT(A5223,"YYYY-MM-DD HH")</f>
        <v/>
      </c>
      <c r="R5223" s="25">
        <f>COUNTIF($Q$2:$Q$5295,Q5223)</f>
        <v/>
      </c>
      <c r="S5223" s="25">
        <f>IF(R5223&lt;=2,"1-2",IF(R5223&lt;=5,"3-5",IF(R5223&lt;=10,"6-10","11+")))</f>
        <v/>
      </c>
    </row>
    <row r="5224">
      <c r="A5224" s="39" t="n">
        <v>46240.29215277778</v>
      </c>
      <c r="B5224" s="25">
        <f>TEXT(A5224,"YYYY-MM")</f>
        <v/>
      </c>
      <c r="C5224" s="25">
        <f>TEXT(A5224,"MMM-YYYY")</f>
        <v/>
      </c>
      <c r="D5224" s="40">
        <f>INT(A5224)-WEEKDAY(A5224,2)+1</f>
        <v/>
      </c>
      <c r="E5224" s="25" t="inlineStr">
        <is>
          <t>atiwari</t>
        </is>
      </c>
      <c r="F5224" s="25" t="n">
        <v>133746</v>
      </c>
      <c r="G5224" s="25" t="n">
        <v>1</v>
      </c>
      <c r="H5224" s="25" t="n">
        <v>7</v>
      </c>
      <c r="I5224" s="25" t="inlineStr">
        <is>
          <t>1 minute(s) and 6 second(s)</t>
        </is>
      </c>
      <c r="J5224" s="25">
        <f>IFERROR(VALUE(TRIM(LEFT(I5224,FIND("minute",I5224)-1)))*60,0)+IFERROR(VALUE(SUBSTITUTE(MID(I5224,IFERROR(FIND("and",I5224)+3,1),20),"second(s)","")),0)</f>
        <v/>
      </c>
      <c r="K5224" s="41">
        <f>J5224/60</f>
        <v/>
      </c>
      <c r="L5224" s="41">
        <f>IFERROR(J5224/H5224,"")</f>
        <v/>
      </c>
      <c r="M5224" s="25" t="n">
        <v>3.4</v>
      </c>
      <c r="N5224" s="25">
        <f>IF(J5224&gt;300,1,0)</f>
        <v/>
      </c>
      <c r="O5224" s="25">
        <f>IF(J5224&gt;600,1,0)</f>
        <v/>
      </c>
      <c r="P5224" s="25">
        <f>IF(H5224&gt;0,J5224,"")</f>
        <v/>
      </c>
      <c r="Q5224" s="25">
        <f>TEXT(A5224,"YYYY-MM-DD HH")</f>
        <v/>
      </c>
      <c r="R5224" s="25">
        <f>COUNTIF($Q$2:$Q$5295,Q5224)</f>
        <v/>
      </c>
      <c r="S5224" s="25">
        <f>IF(R5224&lt;=2,"1-2",IF(R5224&lt;=5,"3-5",IF(R5224&lt;=10,"6-10","11+")))</f>
        <v/>
      </c>
    </row>
    <row r="5225">
      <c r="A5225" s="39" t="n">
        <v>46240.29425925926</v>
      </c>
      <c r="B5225" s="25">
        <f>TEXT(A5225,"YYYY-MM")</f>
        <v/>
      </c>
      <c r="C5225" s="25">
        <f>TEXT(A5225,"MMM-YYYY")</f>
        <v/>
      </c>
      <c r="D5225" s="40">
        <f>INT(A5225)-WEEKDAY(A5225,2)+1</f>
        <v/>
      </c>
      <c r="E5225" s="25" t="inlineStr">
        <is>
          <t>pgautam</t>
        </is>
      </c>
      <c r="F5225" s="25" t="n">
        <v>134571</v>
      </c>
      <c r="G5225" s="25" t="n">
        <v>6</v>
      </c>
      <c r="H5225" s="25" t="n">
        <v>20</v>
      </c>
      <c r="I5225" s="25" t="inlineStr">
        <is>
          <t>2 minute(s) and 17 second(s)</t>
        </is>
      </c>
      <c r="J5225" s="25">
        <f>IFERROR(VALUE(TRIM(LEFT(I5225,FIND("minute",I5225)-1)))*60,0)+IFERROR(VALUE(SUBSTITUTE(MID(I5225,IFERROR(FIND("and",I5225)+3,1),20),"second(s)","")),0)</f>
        <v/>
      </c>
      <c r="K5225" s="41">
        <f>J5225/60</f>
        <v/>
      </c>
      <c r="L5225" s="41">
        <f>IFERROR(J5225/H5225,"")</f>
        <v/>
      </c>
      <c r="M5225" s="25" t="n">
        <v>3.4</v>
      </c>
      <c r="N5225" s="25">
        <f>IF(J5225&gt;300,1,0)</f>
        <v/>
      </c>
      <c r="O5225" s="25">
        <f>IF(J5225&gt;600,1,0)</f>
        <v/>
      </c>
      <c r="P5225" s="25">
        <f>IF(H5225&gt;0,J5225,"")</f>
        <v/>
      </c>
      <c r="Q5225" s="25">
        <f>TEXT(A5225,"YYYY-MM-DD HH")</f>
        <v/>
      </c>
      <c r="R5225" s="25">
        <f>COUNTIF($Q$2:$Q$5295,Q5225)</f>
        <v/>
      </c>
      <c r="S5225" s="25">
        <f>IF(R5225&lt;=2,"1-2",IF(R5225&lt;=5,"3-5",IF(R5225&lt;=10,"6-10","11+")))</f>
        <v/>
      </c>
    </row>
    <row r="5226">
      <c r="A5226" s="39" t="n">
        <v>46240.30159722222</v>
      </c>
      <c r="B5226" s="25">
        <f>TEXT(A5226,"YYYY-MM")</f>
        <v/>
      </c>
      <c r="C5226" s="25">
        <f>TEXT(A5226,"MMM-YYYY")</f>
        <v/>
      </c>
      <c r="D5226" s="40">
        <f>INT(A5226)-WEEKDAY(A5226,2)+1</f>
        <v/>
      </c>
      <c r="E5226" s="25" t="inlineStr">
        <is>
          <t>bverma</t>
        </is>
      </c>
      <c r="F5226" s="25" t="n">
        <v>134570</v>
      </c>
      <c r="G5226" s="25" t="n">
        <v>2</v>
      </c>
      <c r="H5226" s="25" t="n">
        <v>10</v>
      </c>
      <c r="I5226" s="25" t="inlineStr">
        <is>
          <t>1 minute(s) and 35 second(s)</t>
        </is>
      </c>
      <c r="J5226" s="25">
        <f>IFERROR(VALUE(TRIM(LEFT(I5226,FIND("minute",I5226)-1)))*60,0)+IFERROR(VALUE(SUBSTITUTE(MID(I5226,IFERROR(FIND("and",I5226)+3,1),20),"second(s)","")),0)</f>
        <v/>
      </c>
      <c r="K5226" s="41">
        <f>J5226/60</f>
        <v/>
      </c>
      <c r="L5226" s="41">
        <f>IFERROR(J5226/H5226,"")</f>
        <v/>
      </c>
      <c r="M5226" s="25" t="n">
        <v>3.4</v>
      </c>
      <c r="N5226" s="25">
        <f>IF(J5226&gt;300,1,0)</f>
        <v/>
      </c>
      <c r="O5226" s="25">
        <f>IF(J5226&gt;600,1,0)</f>
        <v/>
      </c>
      <c r="P5226" s="25">
        <f>IF(H5226&gt;0,J5226,"")</f>
        <v/>
      </c>
      <c r="Q5226" s="25">
        <f>TEXT(A5226,"YYYY-MM-DD HH")</f>
        <v/>
      </c>
      <c r="R5226" s="25">
        <f>COUNTIF($Q$2:$Q$5295,Q5226)</f>
        <v/>
      </c>
      <c r="S5226" s="25">
        <f>IF(R5226&lt;=2,"1-2",IF(R5226&lt;=5,"3-5",IF(R5226&lt;=10,"6-10","11+")))</f>
        <v/>
      </c>
    </row>
    <row r="5227">
      <c r="A5227" s="39" t="n">
        <v>46240.30314814814</v>
      </c>
      <c r="B5227" s="25">
        <f>TEXT(A5227,"YYYY-MM")</f>
        <v/>
      </c>
      <c r="C5227" s="25">
        <f>TEXT(A5227,"MMM-YYYY")</f>
        <v/>
      </c>
      <c r="D5227" s="40">
        <f>INT(A5227)-WEEKDAY(A5227,2)+1</f>
        <v/>
      </c>
      <c r="E5227" s="25" t="inlineStr">
        <is>
          <t>ns</t>
        </is>
      </c>
      <c r="F5227" s="25" t="n">
        <v>134064</v>
      </c>
      <c r="G5227" s="25" t="n">
        <v>2</v>
      </c>
      <c r="H5227" s="25" t="n">
        <v>10</v>
      </c>
      <c r="I5227" s="25" t="inlineStr">
        <is>
          <t>1 minute(s) and 20 second(s)</t>
        </is>
      </c>
      <c r="J5227" s="25">
        <f>IFERROR(VALUE(TRIM(LEFT(I5227,FIND("minute",I5227)-1)))*60,0)+IFERROR(VALUE(SUBSTITUTE(MID(I5227,IFERROR(FIND("and",I5227)+3,1),20),"second(s)","")),0)</f>
        <v/>
      </c>
      <c r="K5227" s="41">
        <f>J5227/60</f>
        <v/>
      </c>
      <c r="L5227" s="41">
        <f>IFERROR(J5227/H5227,"")</f>
        <v/>
      </c>
      <c r="M5227" s="25" t="n">
        <v>3.4</v>
      </c>
      <c r="N5227" s="25">
        <f>IF(J5227&gt;300,1,0)</f>
        <v/>
      </c>
      <c r="O5227" s="25">
        <f>IF(J5227&gt;600,1,0)</f>
        <v/>
      </c>
      <c r="P5227" s="25">
        <f>IF(H5227&gt;0,J5227,"")</f>
        <v/>
      </c>
      <c r="Q5227" s="25">
        <f>TEXT(A5227,"YYYY-MM-DD HH")</f>
        <v/>
      </c>
      <c r="R5227" s="25">
        <f>COUNTIF($Q$2:$Q$5295,Q5227)</f>
        <v/>
      </c>
      <c r="S5227" s="25">
        <f>IF(R5227&lt;=2,"1-2",IF(R5227&lt;=5,"3-5",IF(R5227&lt;=10,"6-10","11+")))</f>
        <v/>
      </c>
    </row>
    <row r="5228">
      <c r="A5228" s="39" t="n">
        <v>46240.30452546296</v>
      </c>
      <c r="B5228" s="25">
        <f>TEXT(A5228,"YYYY-MM")</f>
        <v/>
      </c>
      <c r="C5228" s="25">
        <f>TEXT(A5228,"MMM-YYYY")</f>
        <v/>
      </c>
      <c r="D5228" s="40">
        <f>INT(A5228)-WEEKDAY(A5228,2)+1</f>
        <v/>
      </c>
      <c r="E5228" s="25" t="inlineStr">
        <is>
          <t>aupadhayay</t>
        </is>
      </c>
      <c r="F5228" s="25" t="n">
        <v>137802</v>
      </c>
      <c r="G5228" s="25" t="n">
        <v>1</v>
      </c>
      <c r="H5228" s="25" t="n">
        <v>5</v>
      </c>
      <c r="I5228" s="25" t="inlineStr">
        <is>
          <t>1 minute(s) and 0 second(s)</t>
        </is>
      </c>
      <c r="J5228" s="25">
        <f>IFERROR(VALUE(TRIM(LEFT(I5228,FIND("minute",I5228)-1)))*60,0)+IFERROR(VALUE(SUBSTITUTE(MID(I5228,IFERROR(FIND("and",I5228)+3,1),20),"second(s)","")),0)</f>
        <v/>
      </c>
      <c r="K5228" s="41">
        <f>J5228/60</f>
        <v/>
      </c>
      <c r="L5228" s="41">
        <f>IFERROR(J5228/H5228,"")</f>
        <v/>
      </c>
      <c r="M5228" s="25" t="n">
        <v>3.4</v>
      </c>
      <c r="N5228" s="25">
        <f>IF(J5228&gt;300,1,0)</f>
        <v/>
      </c>
      <c r="O5228" s="25">
        <f>IF(J5228&gt;600,1,0)</f>
        <v/>
      </c>
      <c r="P5228" s="25">
        <f>IF(H5228&gt;0,J5228,"")</f>
        <v/>
      </c>
      <c r="Q5228" s="25">
        <f>TEXT(A5228,"YYYY-MM-DD HH")</f>
        <v/>
      </c>
      <c r="R5228" s="25">
        <f>COUNTIF($Q$2:$Q$5295,Q5228)</f>
        <v/>
      </c>
      <c r="S5228" s="25">
        <f>IF(R5228&lt;=2,"1-2",IF(R5228&lt;=5,"3-5",IF(R5228&lt;=10,"6-10","11+")))</f>
        <v/>
      </c>
    </row>
    <row r="5229">
      <c r="A5229" s="39" t="n">
        <v>46240.30903935185</v>
      </c>
      <c r="B5229" s="25">
        <f>TEXT(A5229,"YYYY-MM")</f>
        <v/>
      </c>
      <c r="C5229" s="25">
        <f>TEXT(A5229,"MMM-YYYY")</f>
        <v/>
      </c>
      <c r="D5229" s="40">
        <f>INT(A5229)-WEEKDAY(A5229,2)+1</f>
        <v/>
      </c>
      <c r="E5229" s="25" t="inlineStr">
        <is>
          <t>asahoo</t>
        </is>
      </c>
      <c r="F5229" s="25" t="n">
        <v>139461</v>
      </c>
      <c r="G5229" s="25" t="n">
        <v>3</v>
      </c>
      <c r="H5229" s="25" t="n">
        <v>11</v>
      </c>
      <c r="I5229" s="25" t="inlineStr">
        <is>
          <t>3 minute(s) and 40 second(s)</t>
        </is>
      </c>
      <c r="J5229" s="25">
        <f>IFERROR(VALUE(TRIM(LEFT(I5229,FIND("minute",I5229)-1)))*60,0)+IFERROR(VALUE(SUBSTITUTE(MID(I5229,IFERROR(FIND("and",I5229)+3,1),20),"second(s)","")),0)</f>
        <v/>
      </c>
      <c r="K5229" s="41">
        <f>J5229/60</f>
        <v/>
      </c>
      <c r="L5229" s="41">
        <f>IFERROR(J5229/H5229,"")</f>
        <v/>
      </c>
      <c r="M5229" s="25" t="n">
        <v>3.4</v>
      </c>
      <c r="N5229" s="25">
        <f>IF(J5229&gt;300,1,0)</f>
        <v/>
      </c>
      <c r="O5229" s="25">
        <f>IF(J5229&gt;600,1,0)</f>
        <v/>
      </c>
      <c r="P5229" s="25">
        <f>IF(H5229&gt;0,J5229,"")</f>
        <v/>
      </c>
      <c r="Q5229" s="25">
        <f>TEXT(A5229,"YYYY-MM-DD HH")</f>
        <v/>
      </c>
      <c r="R5229" s="25">
        <f>COUNTIF($Q$2:$Q$5295,Q5229)</f>
        <v/>
      </c>
      <c r="S5229" s="25">
        <f>IF(R5229&lt;=2,"1-2",IF(R5229&lt;=5,"3-5",IF(R5229&lt;=10,"6-10","11+")))</f>
        <v/>
      </c>
    </row>
    <row r="5230">
      <c r="A5230" s="39" t="n">
        <v>46240.30951388889</v>
      </c>
      <c r="B5230" s="25">
        <f>TEXT(A5230,"YYYY-MM")</f>
        <v/>
      </c>
      <c r="C5230" s="25">
        <f>TEXT(A5230,"MMM-YYYY")</f>
        <v/>
      </c>
      <c r="D5230" s="40">
        <f>INT(A5230)-WEEKDAY(A5230,2)+1</f>
        <v/>
      </c>
      <c r="E5230" s="25" t="inlineStr">
        <is>
          <t>abanerjee</t>
        </is>
      </c>
      <c r="F5230" s="25" t="n">
        <v>139485</v>
      </c>
      <c r="G5230" s="25" t="n">
        <v>3</v>
      </c>
      <c r="H5230" s="25" t="n">
        <v>15</v>
      </c>
      <c r="I5230" s="25" t="inlineStr">
        <is>
          <t>3 minute(s) and 35 second(s)</t>
        </is>
      </c>
      <c r="J5230" s="25">
        <f>IFERROR(VALUE(TRIM(LEFT(I5230,FIND("minute",I5230)-1)))*60,0)+IFERROR(VALUE(SUBSTITUTE(MID(I5230,IFERROR(FIND("and",I5230)+3,1),20),"second(s)","")),0)</f>
        <v/>
      </c>
      <c r="K5230" s="41">
        <f>J5230/60</f>
        <v/>
      </c>
      <c r="L5230" s="41">
        <f>IFERROR(J5230/H5230,"")</f>
        <v/>
      </c>
      <c r="M5230" s="25" t="n">
        <v>3.4</v>
      </c>
      <c r="N5230" s="25">
        <f>IF(J5230&gt;300,1,0)</f>
        <v/>
      </c>
      <c r="O5230" s="25">
        <f>IF(J5230&gt;600,1,0)</f>
        <v/>
      </c>
      <c r="P5230" s="25">
        <f>IF(H5230&gt;0,J5230,"")</f>
        <v/>
      </c>
      <c r="Q5230" s="25">
        <f>TEXT(A5230,"YYYY-MM-DD HH")</f>
        <v/>
      </c>
      <c r="R5230" s="25">
        <f>COUNTIF($Q$2:$Q$5295,Q5230)</f>
        <v/>
      </c>
      <c r="S5230" s="25">
        <f>IF(R5230&lt;=2,"1-2",IF(R5230&lt;=5,"3-5",IF(R5230&lt;=10,"6-10","11+")))</f>
        <v/>
      </c>
    </row>
    <row r="5231">
      <c r="A5231" s="39" t="n">
        <v>46240.31112268518</v>
      </c>
      <c r="B5231" s="25">
        <f>TEXT(A5231,"YYYY-MM")</f>
        <v/>
      </c>
      <c r="C5231" s="25">
        <f>TEXT(A5231,"MMM-YYYY")</f>
        <v/>
      </c>
      <c r="D5231" s="40">
        <f>INT(A5231)-WEEKDAY(A5231,2)+1</f>
        <v/>
      </c>
      <c r="E5231" s="25" t="inlineStr">
        <is>
          <t>taggarwal</t>
        </is>
      </c>
      <c r="F5231" s="25" t="n">
        <v>135493</v>
      </c>
      <c r="G5231" s="25" t="n">
        <v>2</v>
      </c>
      <c r="H5231" s="25" t="n">
        <v>10</v>
      </c>
      <c r="I5231" s="25" t="inlineStr">
        <is>
          <t>1 minute(s) and 15 second(s)</t>
        </is>
      </c>
      <c r="J5231" s="25">
        <f>IFERROR(VALUE(TRIM(LEFT(I5231,FIND("minute",I5231)-1)))*60,0)+IFERROR(VALUE(SUBSTITUTE(MID(I5231,IFERROR(FIND("and",I5231)+3,1),20),"second(s)","")),0)</f>
        <v/>
      </c>
      <c r="K5231" s="41">
        <f>J5231/60</f>
        <v/>
      </c>
      <c r="L5231" s="41">
        <f>IFERROR(J5231/H5231,"")</f>
        <v/>
      </c>
      <c r="M5231" s="25" t="n">
        <v>3.4</v>
      </c>
      <c r="N5231" s="25">
        <f>IF(J5231&gt;300,1,0)</f>
        <v/>
      </c>
      <c r="O5231" s="25">
        <f>IF(J5231&gt;600,1,0)</f>
        <v/>
      </c>
      <c r="P5231" s="25">
        <f>IF(H5231&gt;0,J5231,"")</f>
        <v/>
      </c>
      <c r="Q5231" s="25">
        <f>TEXT(A5231,"YYYY-MM-DD HH")</f>
        <v/>
      </c>
      <c r="R5231" s="25">
        <f>COUNTIF($Q$2:$Q$5295,Q5231)</f>
        <v/>
      </c>
      <c r="S5231" s="25">
        <f>IF(R5231&lt;=2,"1-2",IF(R5231&lt;=5,"3-5",IF(R5231&lt;=10,"6-10","11+")))</f>
        <v/>
      </c>
    </row>
    <row r="5232">
      <c r="A5232" s="39" t="n">
        <v>46240.32114583333</v>
      </c>
      <c r="B5232" s="25">
        <f>TEXT(A5232,"YYYY-MM")</f>
        <v/>
      </c>
      <c r="C5232" s="25">
        <f>TEXT(A5232,"MMM-YYYY")</f>
        <v/>
      </c>
      <c r="D5232" s="40">
        <f>INT(A5232)-WEEKDAY(A5232,2)+1</f>
        <v/>
      </c>
      <c r="E5232" s="25" t="inlineStr">
        <is>
          <t>stiwari</t>
        </is>
      </c>
      <c r="F5232" s="25" t="n">
        <v>135134</v>
      </c>
      <c r="G5232" s="25" t="n">
        <v>1</v>
      </c>
      <c r="H5232" s="25" t="n">
        <v>7</v>
      </c>
      <c r="I5232" s="25" t="inlineStr">
        <is>
          <t>6 minute(s) and 29 second(s)</t>
        </is>
      </c>
      <c r="J5232" s="25">
        <f>IFERROR(VALUE(TRIM(LEFT(I5232,FIND("minute",I5232)-1)))*60,0)+IFERROR(VALUE(SUBSTITUTE(MID(I5232,IFERROR(FIND("and",I5232)+3,1),20),"second(s)","")),0)</f>
        <v/>
      </c>
      <c r="K5232" s="41">
        <f>J5232/60</f>
        <v/>
      </c>
      <c r="L5232" s="41">
        <f>IFERROR(J5232/H5232,"")</f>
        <v/>
      </c>
      <c r="M5232" s="25" t="n">
        <v>3.4</v>
      </c>
      <c r="N5232" s="25">
        <f>IF(J5232&gt;300,1,0)</f>
        <v/>
      </c>
      <c r="O5232" s="25">
        <f>IF(J5232&gt;600,1,0)</f>
        <v/>
      </c>
      <c r="P5232" s="25">
        <f>IF(H5232&gt;0,J5232,"")</f>
        <v/>
      </c>
      <c r="Q5232" s="25">
        <f>TEXT(A5232,"YYYY-MM-DD HH")</f>
        <v/>
      </c>
      <c r="R5232" s="25">
        <f>COUNTIF($Q$2:$Q$5295,Q5232)</f>
        <v/>
      </c>
      <c r="S5232" s="25">
        <f>IF(R5232&lt;=2,"1-2",IF(R5232&lt;=5,"3-5",IF(R5232&lt;=10,"6-10","11+")))</f>
        <v/>
      </c>
    </row>
    <row r="5233">
      <c r="A5233" s="39" t="n">
        <v>46240.33270833334</v>
      </c>
      <c r="B5233" s="25">
        <f>TEXT(A5233,"YYYY-MM")</f>
        <v/>
      </c>
      <c r="C5233" s="25">
        <f>TEXT(A5233,"MMM-YYYY")</f>
        <v/>
      </c>
      <c r="D5233" s="40">
        <f>INT(A5233)-WEEKDAY(A5233,2)+1</f>
        <v/>
      </c>
      <c r="E5233" s="25" t="inlineStr">
        <is>
          <t>ethomas</t>
        </is>
      </c>
      <c r="F5233" s="25" t="n">
        <v>134314</v>
      </c>
      <c r="G5233" s="25" t="n">
        <v>4</v>
      </c>
      <c r="H5233" s="25" t="n">
        <v>16</v>
      </c>
      <c r="I5233" s="25" t="inlineStr">
        <is>
          <t>6 minute(s) and 42 second(s)</t>
        </is>
      </c>
      <c r="J5233" s="25">
        <f>IFERROR(VALUE(TRIM(LEFT(I5233,FIND("minute",I5233)-1)))*60,0)+IFERROR(VALUE(SUBSTITUTE(MID(I5233,IFERROR(FIND("and",I5233)+3,1),20),"second(s)","")),0)</f>
        <v/>
      </c>
      <c r="K5233" s="41">
        <f>J5233/60</f>
        <v/>
      </c>
      <c r="L5233" s="41">
        <f>IFERROR(J5233/H5233,"")</f>
        <v/>
      </c>
      <c r="M5233" s="25" t="n">
        <v>3.4</v>
      </c>
      <c r="N5233" s="25">
        <f>IF(J5233&gt;300,1,0)</f>
        <v/>
      </c>
      <c r="O5233" s="25">
        <f>IF(J5233&gt;600,1,0)</f>
        <v/>
      </c>
      <c r="P5233" s="25">
        <f>IF(H5233&gt;0,J5233,"")</f>
        <v/>
      </c>
      <c r="Q5233" s="25">
        <f>TEXT(A5233,"YYYY-MM-DD HH")</f>
        <v/>
      </c>
      <c r="R5233" s="25">
        <f>COUNTIF($Q$2:$Q$5295,Q5233)</f>
        <v/>
      </c>
      <c r="S5233" s="25">
        <f>IF(R5233&lt;=2,"1-2",IF(R5233&lt;=5,"3-5",IF(R5233&lt;=10,"6-10","11+")))</f>
        <v/>
      </c>
    </row>
    <row r="5234">
      <c r="A5234" s="39" t="n">
        <v>46240.33372685185</v>
      </c>
      <c r="B5234" s="25">
        <f>TEXT(A5234,"YYYY-MM")</f>
        <v/>
      </c>
      <c r="C5234" s="25">
        <f>TEXT(A5234,"MMM-YYYY")</f>
        <v/>
      </c>
      <c r="D5234" s="40">
        <f>INT(A5234)-WEEKDAY(A5234,2)+1</f>
        <v/>
      </c>
      <c r="E5234" s="25" t="inlineStr">
        <is>
          <t>ajain</t>
        </is>
      </c>
      <c r="F5234" s="25" t="n">
        <v>134977</v>
      </c>
      <c r="G5234" s="25" t="n">
        <v>4</v>
      </c>
      <c r="H5234" s="25" t="n">
        <v>23</v>
      </c>
      <c r="I5234" s="25" t="inlineStr">
        <is>
          <t>2 minute(s) and 1 second(s)</t>
        </is>
      </c>
      <c r="J5234" s="25">
        <f>IFERROR(VALUE(TRIM(LEFT(I5234,FIND("minute",I5234)-1)))*60,0)+IFERROR(VALUE(SUBSTITUTE(MID(I5234,IFERROR(FIND("and",I5234)+3,1),20),"second(s)","")),0)</f>
        <v/>
      </c>
      <c r="K5234" s="41">
        <f>J5234/60</f>
        <v/>
      </c>
      <c r="L5234" s="41">
        <f>IFERROR(J5234/H5234,"")</f>
        <v/>
      </c>
      <c r="M5234" s="25" t="inlineStr">
        <is>
          <t>2.5.12</t>
        </is>
      </c>
      <c r="N5234" s="25">
        <f>IF(J5234&gt;300,1,0)</f>
        <v/>
      </c>
      <c r="O5234" s="25">
        <f>IF(J5234&gt;600,1,0)</f>
        <v/>
      </c>
      <c r="P5234" s="25">
        <f>IF(H5234&gt;0,J5234,"")</f>
        <v/>
      </c>
      <c r="Q5234" s="25">
        <f>TEXT(A5234,"YYYY-MM-DD HH")</f>
        <v/>
      </c>
      <c r="R5234" s="25">
        <f>COUNTIF($Q$2:$Q$5295,Q5234)</f>
        <v/>
      </c>
      <c r="S5234" s="25">
        <f>IF(R5234&lt;=2,"1-2",IF(R5234&lt;=5,"3-5",IF(R5234&lt;=10,"6-10","11+")))</f>
        <v/>
      </c>
    </row>
    <row r="5235">
      <c r="A5235" s="39" t="n">
        <v>46240.33744212963</v>
      </c>
      <c r="B5235" s="25">
        <f>TEXT(A5235,"YYYY-MM")</f>
        <v/>
      </c>
      <c r="C5235" s="25">
        <f>TEXT(A5235,"MMM-YYYY")</f>
        <v/>
      </c>
      <c r="D5235" s="40">
        <f>INT(A5235)-WEEKDAY(A5235,2)+1</f>
        <v/>
      </c>
      <c r="E5235" s="25" t="inlineStr">
        <is>
          <t>shasikha</t>
        </is>
      </c>
      <c r="F5235" s="25" t="n">
        <v>134334</v>
      </c>
      <c r="G5235" s="25" t="n">
        <v>3</v>
      </c>
      <c r="H5235" s="25" t="n">
        <v>13</v>
      </c>
      <c r="I5235" s="25" t="inlineStr">
        <is>
          <t>1 minute(s) and 44 second(s)</t>
        </is>
      </c>
      <c r="J5235" s="25">
        <f>IFERROR(VALUE(TRIM(LEFT(I5235,FIND("minute",I5235)-1)))*60,0)+IFERROR(VALUE(SUBSTITUTE(MID(I5235,IFERROR(FIND("and",I5235)+3,1),20),"second(s)","")),0)</f>
        <v/>
      </c>
      <c r="K5235" s="41">
        <f>J5235/60</f>
        <v/>
      </c>
      <c r="L5235" s="41">
        <f>IFERROR(J5235/H5235,"")</f>
        <v/>
      </c>
      <c r="M5235" s="25" t="n">
        <v>3.4</v>
      </c>
      <c r="N5235" s="25">
        <f>IF(J5235&gt;300,1,0)</f>
        <v/>
      </c>
      <c r="O5235" s="25">
        <f>IF(J5235&gt;600,1,0)</f>
        <v/>
      </c>
      <c r="P5235" s="25">
        <f>IF(H5235&gt;0,J5235,"")</f>
        <v/>
      </c>
      <c r="Q5235" s="25">
        <f>TEXT(A5235,"YYYY-MM-DD HH")</f>
        <v/>
      </c>
      <c r="R5235" s="25">
        <f>COUNTIF($Q$2:$Q$5295,Q5235)</f>
        <v/>
      </c>
      <c r="S5235" s="25">
        <f>IF(R5235&lt;=2,"1-2",IF(R5235&lt;=5,"3-5",IF(R5235&lt;=10,"6-10","11+")))</f>
        <v/>
      </c>
    </row>
    <row r="5236">
      <c r="A5236" s="39" t="n">
        <v>46240.34019675926</v>
      </c>
      <c r="B5236" s="25">
        <f>TEXT(A5236,"YYYY-MM")</f>
        <v/>
      </c>
      <c r="C5236" s="25">
        <f>TEXT(A5236,"MMM-YYYY")</f>
        <v/>
      </c>
      <c r="D5236" s="40">
        <f>INT(A5236)-WEEKDAY(A5236,2)+1</f>
        <v/>
      </c>
      <c r="E5236" s="25" t="inlineStr">
        <is>
          <t>atiwari</t>
        </is>
      </c>
      <c r="F5236" s="25" t="n">
        <v>133842</v>
      </c>
      <c r="G5236" s="25" t="n">
        <v>4</v>
      </c>
      <c r="H5236" s="25" t="n">
        <v>20</v>
      </c>
      <c r="I5236" s="25" t="inlineStr">
        <is>
          <t>2 minute(s) and 51 second(s)</t>
        </is>
      </c>
      <c r="J5236" s="25">
        <f>IFERROR(VALUE(TRIM(LEFT(I5236,FIND("minute",I5236)-1)))*60,0)+IFERROR(VALUE(SUBSTITUTE(MID(I5236,IFERROR(FIND("and",I5236)+3,1),20),"second(s)","")),0)</f>
        <v/>
      </c>
      <c r="K5236" s="41">
        <f>J5236/60</f>
        <v/>
      </c>
      <c r="L5236" s="41">
        <f>IFERROR(J5236/H5236,"")</f>
        <v/>
      </c>
      <c r="M5236" s="25" t="n">
        <v>3.4</v>
      </c>
      <c r="N5236" s="25">
        <f>IF(J5236&gt;300,1,0)</f>
        <v/>
      </c>
      <c r="O5236" s="25">
        <f>IF(J5236&gt;600,1,0)</f>
        <v/>
      </c>
      <c r="P5236" s="25">
        <f>IF(H5236&gt;0,J5236,"")</f>
        <v/>
      </c>
      <c r="Q5236" s="25">
        <f>TEXT(A5236,"YYYY-MM-DD HH")</f>
        <v/>
      </c>
      <c r="R5236" s="25">
        <f>COUNTIF($Q$2:$Q$5295,Q5236)</f>
        <v/>
      </c>
      <c r="S5236" s="25">
        <f>IF(R5236&lt;=2,"1-2",IF(R5236&lt;=5,"3-5",IF(R5236&lt;=10,"6-10","11+")))</f>
        <v/>
      </c>
    </row>
    <row r="5237">
      <c r="A5237" s="39" t="n">
        <v>46240.34318287037</v>
      </c>
      <c r="B5237" s="25">
        <f>TEXT(A5237,"YYYY-MM")</f>
        <v/>
      </c>
      <c r="C5237" s="25">
        <f>TEXT(A5237,"MMM-YYYY")</f>
        <v/>
      </c>
      <c r="D5237" s="40">
        <f>INT(A5237)-WEEKDAY(A5237,2)+1</f>
        <v/>
      </c>
      <c r="E5237" s="25" t="inlineStr">
        <is>
          <t>larora</t>
        </is>
      </c>
      <c r="F5237" s="25" t="n">
        <v>138989</v>
      </c>
      <c r="G5237" s="25" t="n">
        <v>1</v>
      </c>
      <c r="H5237" s="25" t="n">
        <v>5</v>
      </c>
      <c r="I5237" s="25" t="inlineStr">
        <is>
          <t>43 second(s)</t>
        </is>
      </c>
      <c r="J5237" s="25">
        <f>IFERROR(VALUE(TRIM(LEFT(I5237,FIND("minute",I5237)-1)))*60,0)+IFERROR(VALUE(SUBSTITUTE(MID(I5237,IFERROR(FIND("and",I5237)+3,1),20),"second(s)","")),0)</f>
        <v/>
      </c>
      <c r="K5237" s="41">
        <f>J5237/60</f>
        <v/>
      </c>
      <c r="L5237" s="41">
        <f>IFERROR(J5237/H5237,"")</f>
        <v/>
      </c>
      <c r="M5237" s="25" t="n">
        <v>3.4</v>
      </c>
      <c r="N5237" s="25">
        <f>IF(J5237&gt;300,1,0)</f>
        <v/>
      </c>
      <c r="O5237" s="25">
        <f>IF(J5237&gt;600,1,0)</f>
        <v/>
      </c>
      <c r="P5237" s="25">
        <f>IF(H5237&gt;0,J5237,"")</f>
        <v/>
      </c>
      <c r="Q5237" s="25">
        <f>TEXT(A5237,"YYYY-MM-DD HH")</f>
        <v/>
      </c>
      <c r="R5237" s="25">
        <f>COUNTIF($Q$2:$Q$5295,Q5237)</f>
        <v/>
      </c>
      <c r="S5237" s="25">
        <f>IF(R5237&lt;=2,"1-2",IF(R5237&lt;=5,"3-5",IF(R5237&lt;=10,"6-10","11+")))</f>
        <v/>
      </c>
    </row>
    <row r="5238">
      <c r="A5238" s="39" t="n">
        <v>46240.34572916666</v>
      </c>
      <c r="B5238" s="25">
        <f>TEXT(A5238,"YYYY-MM")</f>
        <v/>
      </c>
      <c r="C5238" s="25">
        <f>TEXT(A5238,"MMM-YYYY")</f>
        <v/>
      </c>
      <c r="D5238" s="40">
        <f>INT(A5238)-WEEKDAY(A5238,2)+1</f>
        <v/>
      </c>
      <c r="E5238" s="25" t="inlineStr">
        <is>
          <t>mgupta</t>
        </is>
      </c>
      <c r="F5238" s="25" t="n">
        <v>136802</v>
      </c>
      <c r="G5238" s="25" t="n">
        <v>2</v>
      </c>
      <c r="H5238" s="25" t="n">
        <v>6</v>
      </c>
      <c r="I5238" s="25" t="inlineStr">
        <is>
          <t>1 minute(s) and 11 second(s)</t>
        </is>
      </c>
      <c r="J5238" s="25">
        <f>IFERROR(VALUE(TRIM(LEFT(I5238,FIND("minute",I5238)-1)))*60,0)+IFERROR(VALUE(SUBSTITUTE(MID(I5238,IFERROR(FIND("and",I5238)+3,1),20),"second(s)","")),0)</f>
        <v/>
      </c>
      <c r="K5238" s="41">
        <f>J5238/60</f>
        <v/>
      </c>
      <c r="L5238" s="41">
        <f>IFERROR(J5238/H5238,"")</f>
        <v/>
      </c>
      <c r="M5238" s="25" t="n">
        <v>3.5</v>
      </c>
      <c r="N5238" s="25">
        <f>IF(J5238&gt;300,1,0)</f>
        <v/>
      </c>
      <c r="O5238" s="25">
        <f>IF(J5238&gt;600,1,0)</f>
        <v/>
      </c>
      <c r="P5238" s="25">
        <f>IF(H5238&gt;0,J5238,"")</f>
        <v/>
      </c>
      <c r="Q5238" s="25">
        <f>TEXT(A5238,"YYYY-MM-DD HH")</f>
        <v/>
      </c>
      <c r="R5238" s="25">
        <f>COUNTIF($Q$2:$Q$5295,Q5238)</f>
        <v/>
      </c>
      <c r="S5238" s="25">
        <f>IF(R5238&lt;=2,"1-2",IF(R5238&lt;=5,"3-5",IF(R5238&lt;=10,"6-10","11+")))</f>
        <v/>
      </c>
    </row>
    <row r="5239">
      <c r="A5239" s="39" t="n">
        <v>46240.34672453703</v>
      </c>
      <c r="B5239" s="25">
        <f>TEXT(A5239,"YYYY-MM")</f>
        <v/>
      </c>
      <c r="C5239" s="25">
        <f>TEXT(A5239,"MMM-YYYY")</f>
        <v/>
      </c>
      <c r="D5239" s="40">
        <f>INT(A5239)-WEEKDAY(A5239,2)+1</f>
        <v/>
      </c>
      <c r="E5239" s="25" t="inlineStr">
        <is>
          <t>asaxena</t>
        </is>
      </c>
      <c r="F5239" s="25" t="n">
        <v>136511</v>
      </c>
      <c r="G5239" s="25" t="n">
        <v>2</v>
      </c>
      <c r="H5239" s="25" t="n">
        <v>12</v>
      </c>
      <c r="I5239" s="25" t="inlineStr">
        <is>
          <t>2 minute(s) and 8 second(s)</t>
        </is>
      </c>
      <c r="J5239" s="25">
        <f>IFERROR(VALUE(TRIM(LEFT(I5239,FIND("minute",I5239)-1)))*60,0)+IFERROR(VALUE(SUBSTITUTE(MID(I5239,IFERROR(FIND("and",I5239)+3,1),20),"second(s)","")),0)</f>
        <v/>
      </c>
      <c r="K5239" s="41">
        <f>J5239/60</f>
        <v/>
      </c>
      <c r="L5239" s="41">
        <f>IFERROR(J5239/H5239,"")</f>
        <v/>
      </c>
      <c r="M5239" s="25" t="inlineStr">
        <is>
          <t>2.5.12</t>
        </is>
      </c>
      <c r="N5239" s="25">
        <f>IF(J5239&gt;300,1,0)</f>
        <v/>
      </c>
      <c r="O5239" s="25">
        <f>IF(J5239&gt;600,1,0)</f>
        <v/>
      </c>
      <c r="P5239" s="25">
        <f>IF(H5239&gt;0,J5239,"")</f>
        <v/>
      </c>
      <c r="Q5239" s="25">
        <f>TEXT(A5239,"YYYY-MM-DD HH")</f>
        <v/>
      </c>
      <c r="R5239" s="25">
        <f>COUNTIF($Q$2:$Q$5295,Q5239)</f>
        <v/>
      </c>
      <c r="S5239" s="25">
        <f>IF(R5239&lt;=2,"1-2",IF(R5239&lt;=5,"3-5",IF(R5239&lt;=10,"6-10","11+")))</f>
        <v/>
      </c>
    </row>
    <row r="5240">
      <c r="A5240" s="39" t="n">
        <v>46240.34875</v>
      </c>
      <c r="B5240" s="25">
        <f>TEXT(A5240,"YYYY-MM")</f>
        <v/>
      </c>
      <c r="C5240" s="25">
        <f>TEXT(A5240,"MMM-YYYY")</f>
        <v/>
      </c>
      <c r="D5240" s="40">
        <f>INT(A5240)-WEEKDAY(A5240,2)+1</f>
        <v/>
      </c>
      <c r="E5240" s="25" t="inlineStr">
        <is>
          <t>taggarwal</t>
        </is>
      </c>
      <c r="F5240" s="25" t="n">
        <v>135469</v>
      </c>
      <c r="G5240" s="25" t="n">
        <v>2</v>
      </c>
      <c r="H5240" s="25" t="n">
        <v>10</v>
      </c>
      <c r="I5240" s="25" t="inlineStr">
        <is>
          <t>1 minute(s) and 15 second(s)</t>
        </is>
      </c>
      <c r="J5240" s="25">
        <f>IFERROR(VALUE(TRIM(LEFT(I5240,FIND("minute",I5240)-1)))*60,0)+IFERROR(VALUE(SUBSTITUTE(MID(I5240,IFERROR(FIND("and",I5240)+3,1),20),"second(s)","")),0)</f>
        <v/>
      </c>
      <c r="K5240" s="41">
        <f>J5240/60</f>
        <v/>
      </c>
      <c r="L5240" s="41">
        <f>IFERROR(J5240/H5240,"")</f>
        <v/>
      </c>
      <c r="M5240" s="25" t="n">
        <v>3.4</v>
      </c>
      <c r="N5240" s="25">
        <f>IF(J5240&gt;300,1,0)</f>
        <v/>
      </c>
      <c r="O5240" s="25">
        <f>IF(J5240&gt;600,1,0)</f>
        <v/>
      </c>
      <c r="P5240" s="25">
        <f>IF(H5240&gt;0,J5240,"")</f>
        <v/>
      </c>
      <c r="Q5240" s="25">
        <f>TEXT(A5240,"YYYY-MM-DD HH")</f>
        <v/>
      </c>
      <c r="R5240" s="25">
        <f>COUNTIF($Q$2:$Q$5295,Q5240)</f>
        <v/>
      </c>
      <c r="S5240" s="25">
        <f>IF(R5240&lt;=2,"1-2",IF(R5240&lt;=5,"3-5",IF(R5240&lt;=10,"6-10","11+")))</f>
        <v/>
      </c>
    </row>
    <row r="5241">
      <c r="A5241" s="39" t="n">
        <v>46240.34960648148</v>
      </c>
      <c r="B5241" s="25">
        <f>TEXT(A5241,"YYYY-MM")</f>
        <v/>
      </c>
      <c r="C5241" s="25">
        <f>TEXT(A5241,"MMM-YYYY")</f>
        <v/>
      </c>
      <c r="D5241" s="40">
        <f>INT(A5241)-WEEKDAY(A5241,2)+1</f>
        <v/>
      </c>
      <c r="E5241" s="25" t="inlineStr">
        <is>
          <t>emishra</t>
        </is>
      </c>
      <c r="F5241" s="25" t="n">
        <v>137839</v>
      </c>
      <c r="G5241" s="25" t="n">
        <v>2</v>
      </c>
      <c r="H5241" s="25" t="n">
        <v>8</v>
      </c>
      <c r="I5241" s="25" t="inlineStr">
        <is>
          <t>1 minute(s) and 11 second(s)</t>
        </is>
      </c>
      <c r="J5241" s="25">
        <f>IFERROR(VALUE(TRIM(LEFT(I5241,FIND("minute",I5241)-1)))*60,0)+IFERROR(VALUE(SUBSTITUTE(MID(I5241,IFERROR(FIND("and",I5241)+3,1),20),"second(s)","")),0)</f>
        <v/>
      </c>
      <c r="K5241" s="41">
        <f>J5241/60</f>
        <v/>
      </c>
      <c r="L5241" s="41">
        <f>IFERROR(J5241/H5241,"")</f>
        <v/>
      </c>
      <c r="M5241" s="25" t="n">
        <v>3.4</v>
      </c>
      <c r="N5241" s="25">
        <f>IF(J5241&gt;300,1,0)</f>
        <v/>
      </c>
      <c r="O5241" s="25">
        <f>IF(J5241&gt;600,1,0)</f>
        <v/>
      </c>
      <c r="P5241" s="25">
        <f>IF(H5241&gt;0,J5241,"")</f>
        <v/>
      </c>
      <c r="Q5241" s="25">
        <f>TEXT(A5241,"YYYY-MM-DD HH")</f>
        <v/>
      </c>
      <c r="R5241" s="25">
        <f>COUNTIF($Q$2:$Q$5295,Q5241)</f>
        <v/>
      </c>
      <c r="S5241" s="25">
        <f>IF(R5241&lt;=2,"1-2",IF(R5241&lt;=5,"3-5",IF(R5241&lt;=10,"6-10","11+")))</f>
        <v/>
      </c>
    </row>
    <row r="5242">
      <c r="A5242" s="39" t="n">
        <v>46240.35211805555</v>
      </c>
      <c r="B5242" s="25">
        <f>TEXT(A5242,"YYYY-MM")</f>
        <v/>
      </c>
      <c r="C5242" s="25">
        <f>TEXT(A5242,"MMM-YYYY")</f>
        <v/>
      </c>
      <c r="D5242" s="40">
        <f>INT(A5242)-WEEKDAY(A5242,2)+1</f>
        <v/>
      </c>
      <c r="E5242" s="25" t="inlineStr">
        <is>
          <t>ns</t>
        </is>
      </c>
      <c r="F5242" s="25" t="n">
        <v>134032</v>
      </c>
      <c r="G5242" s="25" t="n">
        <v>2</v>
      </c>
      <c r="H5242" s="25" t="n">
        <v>10</v>
      </c>
      <c r="I5242" s="25" t="inlineStr">
        <is>
          <t>1 minute(s) and 18 second(s)</t>
        </is>
      </c>
      <c r="J5242" s="25">
        <f>IFERROR(VALUE(TRIM(LEFT(I5242,FIND("minute",I5242)-1)))*60,0)+IFERROR(VALUE(SUBSTITUTE(MID(I5242,IFERROR(FIND("and",I5242)+3,1),20),"second(s)","")),0)</f>
        <v/>
      </c>
      <c r="K5242" s="41">
        <f>J5242/60</f>
        <v/>
      </c>
      <c r="L5242" s="41">
        <f>IFERROR(J5242/H5242,"")</f>
        <v/>
      </c>
      <c r="M5242" s="25" t="n">
        <v>3.4</v>
      </c>
      <c r="N5242" s="25">
        <f>IF(J5242&gt;300,1,0)</f>
        <v/>
      </c>
      <c r="O5242" s="25">
        <f>IF(J5242&gt;600,1,0)</f>
        <v/>
      </c>
      <c r="P5242" s="25">
        <f>IF(H5242&gt;0,J5242,"")</f>
        <v/>
      </c>
      <c r="Q5242" s="25">
        <f>TEXT(A5242,"YYYY-MM-DD HH")</f>
        <v/>
      </c>
      <c r="R5242" s="25">
        <f>COUNTIF($Q$2:$Q$5295,Q5242)</f>
        <v/>
      </c>
      <c r="S5242" s="25">
        <f>IF(R5242&lt;=2,"1-2",IF(R5242&lt;=5,"3-5",IF(R5242&lt;=10,"6-10","11+")))</f>
        <v/>
      </c>
    </row>
    <row r="5243">
      <c r="A5243" s="39" t="n">
        <v>46240.36298611111</v>
      </c>
      <c r="B5243" s="25">
        <f>TEXT(A5243,"YYYY-MM")</f>
        <v/>
      </c>
      <c r="C5243" s="25">
        <f>TEXT(A5243,"MMM-YYYY")</f>
        <v/>
      </c>
      <c r="D5243" s="40">
        <f>INT(A5243)-WEEKDAY(A5243,2)+1</f>
        <v/>
      </c>
      <c r="E5243" s="25" t="inlineStr">
        <is>
          <t>bverma</t>
        </is>
      </c>
      <c r="F5243" s="25" t="n">
        <v>134313</v>
      </c>
      <c r="G5243" s="25" t="n">
        <v>2</v>
      </c>
      <c r="H5243" s="25" t="n">
        <v>10</v>
      </c>
      <c r="I5243" s="25" t="inlineStr">
        <is>
          <t>1 minute(s) and 24 second(s)</t>
        </is>
      </c>
      <c r="J5243" s="25">
        <f>IFERROR(VALUE(TRIM(LEFT(I5243,FIND("minute",I5243)-1)))*60,0)+IFERROR(VALUE(SUBSTITUTE(MID(I5243,IFERROR(FIND("and",I5243)+3,1),20),"second(s)","")),0)</f>
        <v/>
      </c>
      <c r="K5243" s="41">
        <f>J5243/60</f>
        <v/>
      </c>
      <c r="L5243" s="41">
        <f>IFERROR(J5243/H5243,"")</f>
        <v/>
      </c>
      <c r="M5243" s="25" t="n">
        <v>3.4</v>
      </c>
      <c r="N5243" s="25">
        <f>IF(J5243&gt;300,1,0)</f>
        <v/>
      </c>
      <c r="O5243" s="25">
        <f>IF(J5243&gt;600,1,0)</f>
        <v/>
      </c>
      <c r="P5243" s="25">
        <f>IF(H5243&gt;0,J5243,"")</f>
        <v/>
      </c>
      <c r="Q5243" s="25">
        <f>TEXT(A5243,"YYYY-MM-DD HH")</f>
        <v/>
      </c>
      <c r="R5243" s="25">
        <f>COUNTIF($Q$2:$Q$5295,Q5243)</f>
        <v/>
      </c>
      <c r="S5243" s="25">
        <f>IF(R5243&lt;=2,"1-2",IF(R5243&lt;=5,"3-5",IF(R5243&lt;=10,"6-10","11+")))</f>
        <v/>
      </c>
    </row>
    <row r="5244">
      <c r="A5244" s="39" t="n">
        <v>46240.36311342593</v>
      </c>
      <c r="B5244" s="25">
        <f>TEXT(A5244,"YYYY-MM")</f>
        <v/>
      </c>
      <c r="C5244" s="25">
        <f>TEXT(A5244,"MMM-YYYY")</f>
        <v/>
      </c>
      <c r="D5244" s="40">
        <f>INT(A5244)-WEEKDAY(A5244,2)+1</f>
        <v/>
      </c>
      <c r="E5244" s="25" t="inlineStr">
        <is>
          <t>sakumar</t>
        </is>
      </c>
      <c r="F5244" s="25" t="n">
        <v>136050</v>
      </c>
      <c r="G5244" s="25" t="n">
        <v>5</v>
      </c>
      <c r="H5244" s="25" t="n">
        <v>30</v>
      </c>
      <c r="I5244" s="25" t="inlineStr">
        <is>
          <t>3 minute(s) and 22 second(s)</t>
        </is>
      </c>
      <c r="J5244" s="25">
        <f>IFERROR(VALUE(TRIM(LEFT(I5244,FIND("minute",I5244)-1)))*60,0)+IFERROR(VALUE(SUBSTITUTE(MID(I5244,IFERROR(FIND("and",I5244)+3,1),20),"second(s)","")),0)</f>
        <v/>
      </c>
      <c r="K5244" s="41">
        <f>J5244/60</f>
        <v/>
      </c>
      <c r="L5244" s="41">
        <f>IFERROR(J5244/H5244,"")</f>
        <v/>
      </c>
      <c r="M5244" s="25" t="n">
        <v>3.4</v>
      </c>
      <c r="N5244" s="25">
        <f>IF(J5244&gt;300,1,0)</f>
        <v/>
      </c>
      <c r="O5244" s="25">
        <f>IF(J5244&gt;600,1,0)</f>
        <v/>
      </c>
      <c r="P5244" s="25">
        <f>IF(H5244&gt;0,J5244,"")</f>
        <v/>
      </c>
      <c r="Q5244" s="25">
        <f>TEXT(A5244,"YYYY-MM-DD HH")</f>
        <v/>
      </c>
      <c r="R5244" s="25">
        <f>COUNTIF($Q$2:$Q$5295,Q5244)</f>
        <v/>
      </c>
      <c r="S5244" s="25">
        <f>IF(R5244&lt;=2,"1-2",IF(R5244&lt;=5,"3-5",IF(R5244&lt;=10,"6-10","11+")))</f>
        <v/>
      </c>
    </row>
    <row r="5245">
      <c r="A5245" s="39" t="n">
        <v>46240.3704050926</v>
      </c>
      <c r="B5245" s="25">
        <f>TEXT(A5245,"YYYY-MM")</f>
        <v/>
      </c>
      <c r="C5245" s="25">
        <f>TEXT(A5245,"MMM-YYYY")</f>
        <v/>
      </c>
      <c r="D5245" s="40">
        <f>INT(A5245)-WEEKDAY(A5245,2)+1</f>
        <v/>
      </c>
      <c r="E5245" s="25" t="inlineStr">
        <is>
          <t>stiwari</t>
        </is>
      </c>
      <c r="F5245" s="25" t="n">
        <v>134910</v>
      </c>
      <c r="G5245" s="25" t="n">
        <v>4</v>
      </c>
      <c r="H5245" s="25" t="n">
        <v>16</v>
      </c>
      <c r="I5245" s="25" t="inlineStr">
        <is>
          <t>5 minute(s) and 57 second(s)</t>
        </is>
      </c>
      <c r="J5245" s="25">
        <f>IFERROR(VALUE(TRIM(LEFT(I5245,FIND("minute",I5245)-1)))*60,0)+IFERROR(VALUE(SUBSTITUTE(MID(I5245,IFERROR(FIND("and",I5245)+3,1),20),"second(s)","")),0)</f>
        <v/>
      </c>
      <c r="K5245" s="41">
        <f>J5245/60</f>
        <v/>
      </c>
      <c r="L5245" s="41">
        <f>IFERROR(J5245/H5245,"")</f>
        <v/>
      </c>
      <c r="M5245" s="25" t="n">
        <v>3.4</v>
      </c>
      <c r="N5245" s="25">
        <f>IF(J5245&gt;300,1,0)</f>
        <v/>
      </c>
      <c r="O5245" s="25">
        <f>IF(J5245&gt;600,1,0)</f>
        <v/>
      </c>
      <c r="P5245" s="25">
        <f>IF(H5245&gt;0,J5245,"")</f>
        <v/>
      </c>
      <c r="Q5245" s="25">
        <f>TEXT(A5245,"YYYY-MM-DD HH")</f>
        <v/>
      </c>
      <c r="R5245" s="25">
        <f>COUNTIF($Q$2:$Q$5295,Q5245)</f>
        <v/>
      </c>
      <c r="S5245" s="25">
        <f>IF(R5245&lt;=2,"1-2",IF(R5245&lt;=5,"3-5",IF(R5245&lt;=10,"6-10","11+")))</f>
        <v/>
      </c>
    </row>
    <row r="5246">
      <c r="A5246" s="39" t="n">
        <v>46240.3725462963</v>
      </c>
      <c r="B5246" s="25">
        <f>TEXT(A5246,"YYYY-MM")</f>
        <v/>
      </c>
      <c r="C5246" s="25">
        <f>TEXT(A5246,"MMM-YYYY")</f>
        <v/>
      </c>
      <c r="D5246" s="40">
        <f>INT(A5246)-WEEKDAY(A5246,2)+1</f>
        <v/>
      </c>
      <c r="E5246" s="25" t="inlineStr">
        <is>
          <t>aghosh</t>
        </is>
      </c>
      <c r="F5246" s="25" t="n">
        <v>137681</v>
      </c>
      <c r="G5246" s="25" t="n">
        <v>4</v>
      </c>
      <c r="H5246" s="25" t="n">
        <v>22</v>
      </c>
      <c r="I5246" s="25" t="inlineStr">
        <is>
          <t>3 minute(s) and 7 second(s)</t>
        </is>
      </c>
      <c r="J5246" s="25">
        <f>IFERROR(VALUE(TRIM(LEFT(I5246,FIND("minute",I5246)-1)))*60,0)+IFERROR(VALUE(SUBSTITUTE(MID(I5246,IFERROR(FIND("and",I5246)+3,1),20),"second(s)","")),0)</f>
        <v/>
      </c>
      <c r="K5246" s="41">
        <f>J5246/60</f>
        <v/>
      </c>
      <c r="L5246" s="41">
        <f>IFERROR(J5246/H5246,"")</f>
        <v/>
      </c>
      <c r="M5246" s="25" t="n">
        <v>3.4</v>
      </c>
      <c r="N5246" s="25">
        <f>IF(J5246&gt;300,1,0)</f>
        <v/>
      </c>
      <c r="O5246" s="25">
        <f>IF(J5246&gt;600,1,0)</f>
        <v/>
      </c>
      <c r="P5246" s="25">
        <f>IF(H5246&gt;0,J5246,"")</f>
        <v/>
      </c>
      <c r="Q5246" s="25">
        <f>TEXT(A5246,"YYYY-MM-DD HH")</f>
        <v/>
      </c>
      <c r="R5246" s="25">
        <f>COUNTIF($Q$2:$Q$5295,Q5246)</f>
        <v/>
      </c>
      <c r="S5246" s="25">
        <f>IF(R5246&lt;=2,"1-2",IF(R5246&lt;=5,"3-5",IF(R5246&lt;=10,"6-10","11+")))</f>
        <v/>
      </c>
    </row>
    <row r="5247">
      <c r="A5247" s="39" t="n">
        <v>46240.37269675926</v>
      </c>
      <c r="B5247" s="25">
        <f>TEXT(A5247,"YYYY-MM")</f>
        <v/>
      </c>
      <c r="C5247" s="25">
        <f>TEXT(A5247,"MMM-YYYY")</f>
        <v/>
      </c>
      <c r="D5247" s="40">
        <f>INT(A5247)-WEEKDAY(A5247,2)+1</f>
        <v/>
      </c>
      <c r="E5247" s="25" t="inlineStr">
        <is>
          <t>shasikha</t>
        </is>
      </c>
      <c r="F5247" s="25" t="n">
        <v>133950</v>
      </c>
      <c r="G5247" s="25" t="n">
        <v>1</v>
      </c>
      <c r="H5247" s="25" t="n">
        <v>7</v>
      </c>
      <c r="I5247" s="25" t="inlineStr">
        <is>
          <t>52 second(s)</t>
        </is>
      </c>
      <c r="J5247" s="25">
        <f>IFERROR(VALUE(TRIM(LEFT(I5247,FIND("minute",I5247)-1)))*60,0)+IFERROR(VALUE(SUBSTITUTE(MID(I5247,IFERROR(FIND("and",I5247)+3,1),20),"second(s)","")),0)</f>
        <v/>
      </c>
      <c r="K5247" s="41">
        <f>J5247/60</f>
        <v/>
      </c>
      <c r="L5247" s="41">
        <f>IFERROR(J5247/H5247,"")</f>
        <v/>
      </c>
      <c r="M5247" s="25" t="n">
        <v>3.4</v>
      </c>
      <c r="N5247" s="25">
        <f>IF(J5247&gt;300,1,0)</f>
        <v/>
      </c>
      <c r="O5247" s="25">
        <f>IF(J5247&gt;600,1,0)</f>
        <v/>
      </c>
      <c r="P5247" s="25">
        <f>IF(H5247&gt;0,J5247,"")</f>
        <v/>
      </c>
      <c r="Q5247" s="25">
        <f>TEXT(A5247,"YYYY-MM-DD HH")</f>
        <v/>
      </c>
      <c r="R5247" s="25">
        <f>COUNTIF($Q$2:$Q$5295,Q5247)</f>
        <v/>
      </c>
      <c r="S5247" s="25">
        <f>IF(R5247&lt;=2,"1-2",IF(R5247&lt;=5,"3-5",IF(R5247&lt;=10,"6-10","11+")))</f>
        <v/>
      </c>
    </row>
    <row r="5248">
      <c r="A5248" s="39" t="n">
        <v>46240.37297453704</v>
      </c>
      <c r="B5248" s="25">
        <f>TEXT(A5248,"YYYY-MM")</f>
        <v/>
      </c>
      <c r="C5248" s="25">
        <f>TEXT(A5248,"MMM-YYYY")</f>
        <v/>
      </c>
      <c r="D5248" s="40">
        <f>INT(A5248)-WEEKDAY(A5248,2)+1</f>
        <v/>
      </c>
      <c r="E5248" s="25" t="inlineStr">
        <is>
          <t>emishra</t>
        </is>
      </c>
      <c r="F5248" s="25" t="n">
        <v>137559</v>
      </c>
      <c r="G5248" s="25" t="n">
        <v>1</v>
      </c>
      <c r="H5248" s="25" t="n">
        <v>5</v>
      </c>
      <c r="I5248" s="25" t="inlineStr">
        <is>
          <t>42 second(s)</t>
        </is>
      </c>
      <c r="J5248" s="25">
        <f>IFERROR(VALUE(TRIM(LEFT(I5248,FIND("minute",I5248)-1)))*60,0)+IFERROR(VALUE(SUBSTITUTE(MID(I5248,IFERROR(FIND("and",I5248)+3,1),20),"second(s)","")),0)</f>
        <v/>
      </c>
      <c r="K5248" s="41">
        <f>J5248/60</f>
        <v/>
      </c>
      <c r="L5248" s="41">
        <f>IFERROR(J5248/H5248,"")</f>
        <v/>
      </c>
      <c r="M5248" s="25" t="n">
        <v>3.4</v>
      </c>
      <c r="N5248" s="25">
        <f>IF(J5248&gt;300,1,0)</f>
        <v/>
      </c>
      <c r="O5248" s="25">
        <f>IF(J5248&gt;600,1,0)</f>
        <v/>
      </c>
      <c r="P5248" s="25">
        <f>IF(H5248&gt;0,J5248,"")</f>
        <v/>
      </c>
      <c r="Q5248" s="25">
        <f>TEXT(A5248,"YYYY-MM-DD HH")</f>
        <v/>
      </c>
      <c r="R5248" s="25">
        <f>COUNTIF($Q$2:$Q$5295,Q5248)</f>
        <v/>
      </c>
      <c r="S5248" s="25">
        <f>IF(R5248&lt;=2,"1-2",IF(R5248&lt;=5,"3-5",IF(R5248&lt;=10,"6-10","11+")))</f>
        <v/>
      </c>
    </row>
    <row r="5249">
      <c r="A5249" s="39" t="n">
        <v>46240.37409722222</v>
      </c>
      <c r="B5249" s="25">
        <f>TEXT(A5249,"YYYY-MM")</f>
        <v/>
      </c>
      <c r="C5249" s="25">
        <f>TEXT(A5249,"MMM-YYYY")</f>
        <v/>
      </c>
      <c r="D5249" s="40">
        <f>INT(A5249)-WEEKDAY(A5249,2)+1</f>
        <v/>
      </c>
      <c r="E5249" s="25" t="inlineStr">
        <is>
          <t>shasikha</t>
        </is>
      </c>
      <c r="F5249" s="25" t="n">
        <v>133950</v>
      </c>
      <c r="G5249" s="25" t="n">
        <v>1</v>
      </c>
      <c r="H5249" s="25" t="n">
        <v>5</v>
      </c>
      <c r="I5249" s="25" t="inlineStr">
        <is>
          <t>49 second(s)</t>
        </is>
      </c>
      <c r="J5249" s="25">
        <f>IFERROR(VALUE(TRIM(LEFT(I5249,FIND("minute",I5249)-1)))*60,0)+IFERROR(VALUE(SUBSTITUTE(MID(I5249,IFERROR(FIND("and",I5249)+3,1),20),"second(s)","")),0)</f>
        <v/>
      </c>
      <c r="K5249" s="41">
        <f>J5249/60</f>
        <v/>
      </c>
      <c r="L5249" s="41">
        <f>IFERROR(J5249/H5249,"")</f>
        <v/>
      </c>
      <c r="M5249" s="25" t="n">
        <v>3.4</v>
      </c>
      <c r="N5249" s="25">
        <f>IF(J5249&gt;300,1,0)</f>
        <v/>
      </c>
      <c r="O5249" s="25">
        <f>IF(J5249&gt;600,1,0)</f>
        <v/>
      </c>
      <c r="P5249" s="25">
        <f>IF(H5249&gt;0,J5249,"")</f>
        <v/>
      </c>
      <c r="Q5249" s="25">
        <f>TEXT(A5249,"YYYY-MM-DD HH")</f>
        <v/>
      </c>
      <c r="R5249" s="25">
        <f>COUNTIF($Q$2:$Q$5295,Q5249)</f>
        <v/>
      </c>
      <c r="S5249" s="25">
        <f>IF(R5249&lt;=2,"1-2",IF(R5249&lt;=5,"3-5",IF(R5249&lt;=10,"6-10","11+")))</f>
        <v/>
      </c>
    </row>
    <row r="5250">
      <c r="A5250" s="39" t="n">
        <v>46240.37546296296</v>
      </c>
      <c r="B5250" s="25">
        <f>TEXT(A5250,"YYYY-MM")</f>
        <v/>
      </c>
      <c r="C5250" s="25">
        <f>TEXT(A5250,"MMM-YYYY")</f>
        <v/>
      </c>
      <c r="D5250" s="40">
        <f>INT(A5250)-WEEKDAY(A5250,2)+1</f>
        <v/>
      </c>
      <c r="E5250" s="25" t="inlineStr">
        <is>
          <t>shasikha</t>
        </is>
      </c>
      <c r="F5250" s="25" t="n">
        <v>133950</v>
      </c>
      <c r="G5250" s="25" t="n">
        <v>1</v>
      </c>
      <c r="H5250" s="25" t="n">
        <v>7</v>
      </c>
      <c r="I5250" s="25" t="inlineStr">
        <is>
          <t>52 second(s)</t>
        </is>
      </c>
      <c r="J5250" s="25">
        <f>IFERROR(VALUE(TRIM(LEFT(I5250,FIND("minute",I5250)-1)))*60,0)+IFERROR(VALUE(SUBSTITUTE(MID(I5250,IFERROR(FIND("and",I5250)+3,1),20),"second(s)","")),0)</f>
        <v/>
      </c>
      <c r="K5250" s="41">
        <f>J5250/60</f>
        <v/>
      </c>
      <c r="L5250" s="41">
        <f>IFERROR(J5250/H5250,"")</f>
        <v/>
      </c>
      <c r="M5250" s="25" t="n">
        <v>3.4</v>
      </c>
      <c r="N5250" s="25">
        <f>IF(J5250&gt;300,1,0)</f>
        <v/>
      </c>
      <c r="O5250" s="25">
        <f>IF(J5250&gt;600,1,0)</f>
        <v/>
      </c>
      <c r="P5250" s="25">
        <f>IF(H5250&gt;0,J5250,"")</f>
        <v/>
      </c>
      <c r="Q5250" s="25">
        <f>TEXT(A5250,"YYYY-MM-DD HH")</f>
        <v/>
      </c>
      <c r="R5250" s="25">
        <f>COUNTIF($Q$2:$Q$5295,Q5250)</f>
        <v/>
      </c>
      <c r="S5250" s="25">
        <f>IF(R5250&lt;=2,"1-2",IF(R5250&lt;=5,"3-5",IF(R5250&lt;=10,"6-10","11+")))</f>
        <v/>
      </c>
    </row>
    <row r="5251">
      <c r="A5251" s="39" t="n">
        <v>46240.37708333333</v>
      </c>
      <c r="B5251" s="25">
        <f>TEXT(A5251,"YYYY-MM")</f>
        <v/>
      </c>
      <c r="C5251" s="25">
        <f>TEXT(A5251,"MMM-YYYY")</f>
        <v/>
      </c>
      <c r="D5251" s="40">
        <f>INT(A5251)-WEEKDAY(A5251,2)+1</f>
        <v/>
      </c>
      <c r="E5251" s="25" t="inlineStr">
        <is>
          <t>csaha</t>
        </is>
      </c>
      <c r="F5251" s="25" t="n">
        <v>133869</v>
      </c>
      <c r="G5251" s="25" t="n">
        <v>2</v>
      </c>
      <c r="H5251" s="25" t="n">
        <v>8</v>
      </c>
      <c r="I5251" s="25" t="inlineStr">
        <is>
          <t>1 minute(s) and 5 second(s)</t>
        </is>
      </c>
      <c r="J5251" s="25">
        <f>IFERROR(VALUE(TRIM(LEFT(I5251,FIND("minute",I5251)-1)))*60,0)+IFERROR(VALUE(SUBSTITUTE(MID(I5251,IFERROR(FIND("and",I5251)+3,1),20),"second(s)","")),0)</f>
        <v/>
      </c>
      <c r="K5251" s="41">
        <f>J5251/60</f>
        <v/>
      </c>
      <c r="L5251" s="41">
        <f>IFERROR(J5251/H5251,"")</f>
        <v/>
      </c>
      <c r="M5251" s="25" t="n">
        <v>3.4</v>
      </c>
      <c r="N5251" s="25">
        <f>IF(J5251&gt;300,1,0)</f>
        <v/>
      </c>
      <c r="O5251" s="25">
        <f>IF(J5251&gt;600,1,0)</f>
        <v/>
      </c>
      <c r="P5251" s="25">
        <f>IF(H5251&gt;0,J5251,"")</f>
        <v/>
      </c>
      <c r="Q5251" s="25">
        <f>TEXT(A5251,"YYYY-MM-DD HH")</f>
        <v/>
      </c>
      <c r="R5251" s="25">
        <f>COUNTIF($Q$2:$Q$5295,Q5251)</f>
        <v/>
      </c>
      <c r="S5251" s="25">
        <f>IF(R5251&lt;=2,"1-2",IF(R5251&lt;=5,"3-5",IF(R5251&lt;=10,"6-10","11+")))</f>
        <v/>
      </c>
    </row>
    <row r="5252">
      <c r="A5252" s="39" t="n">
        <v>46240.37993055556</v>
      </c>
      <c r="B5252" s="25">
        <f>TEXT(A5252,"YYYY-MM")</f>
        <v/>
      </c>
      <c r="C5252" s="25">
        <f>TEXT(A5252,"MMM-YYYY")</f>
        <v/>
      </c>
      <c r="D5252" s="40">
        <f>INT(A5252)-WEEKDAY(A5252,2)+1</f>
        <v/>
      </c>
      <c r="E5252" s="25" t="inlineStr">
        <is>
          <t>mbhalla</t>
        </is>
      </c>
      <c r="F5252" s="25" t="n">
        <v>135896</v>
      </c>
      <c r="G5252" s="25" t="n">
        <v>2</v>
      </c>
      <c r="H5252" s="25" t="n">
        <v>12</v>
      </c>
      <c r="I5252" s="25" t="inlineStr">
        <is>
          <t>1 minute(s) and 32 second(s)</t>
        </is>
      </c>
      <c r="J5252" s="25">
        <f>IFERROR(VALUE(TRIM(LEFT(I5252,FIND("minute",I5252)-1)))*60,0)+IFERROR(VALUE(SUBSTITUTE(MID(I5252,IFERROR(FIND("and",I5252)+3,1),20),"second(s)","")),0)</f>
        <v/>
      </c>
      <c r="K5252" s="41">
        <f>J5252/60</f>
        <v/>
      </c>
      <c r="L5252" s="41">
        <f>IFERROR(J5252/H5252,"")</f>
        <v/>
      </c>
      <c r="M5252" s="25" t="n">
        <v>3.4</v>
      </c>
      <c r="N5252" s="25">
        <f>IF(J5252&gt;300,1,0)</f>
        <v/>
      </c>
      <c r="O5252" s="25">
        <f>IF(J5252&gt;600,1,0)</f>
        <v/>
      </c>
      <c r="P5252" s="25">
        <f>IF(H5252&gt;0,J5252,"")</f>
        <v/>
      </c>
      <c r="Q5252" s="25">
        <f>TEXT(A5252,"YYYY-MM-DD HH")</f>
        <v/>
      </c>
      <c r="R5252" s="25">
        <f>COUNTIF($Q$2:$Q$5295,Q5252)</f>
        <v/>
      </c>
      <c r="S5252" s="25">
        <f>IF(R5252&lt;=2,"1-2",IF(R5252&lt;=5,"3-5",IF(R5252&lt;=10,"6-10","11+")))</f>
        <v/>
      </c>
    </row>
    <row r="5253">
      <c r="A5253" s="39" t="n">
        <v>46240.38015046297</v>
      </c>
      <c r="B5253" s="25">
        <f>TEXT(A5253,"YYYY-MM")</f>
        <v/>
      </c>
      <c r="C5253" s="25">
        <f>TEXT(A5253,"MMM-YYYY")</f>
        <v/>
      </c>
      <c r="D5253" s="40">
        <f>INT(A5253)-WEEKDAY(A5253,2)+1</f>
        <v/>
      </c>
      <c r="E5253" s="25" t="inlineStr">
        <is>
          <t>tkarmakar</t>
        </is>
      </c>
      <c r="F5253" s="25" t="n">
        <v>135661</v>
      </c>
      <c r="G5253" s="25" t="n">
        <v>3</v>
      </c>
      <c r="H5253" s="25" t="n">
        <v>19</v>
      </c>
      <c r="I5253" s="25" t="inlineStr">
        <is>
          <t>2 minute(s) and 36 second(s)</t>
        </is>
      </c>
      <c r="J5253" s="25">
        <f>IFERROR(VALUE(TRIM(LEFT(I5253,FIND("minute",I5253)-1)))*60,0)+IFERROR(VALUE(SUBSTITUTE(MID(I5253,IFERROR(FIND("and",I5253)+3,1),20),"second(s)","")),0)</f>
        <v/>
      </c>
      <c r="K5253" s="41">
        <f>J5253/60</f>
        <v/>
      </c>
      <c r="L5253" s="41">
        <f>IFERROR(J5253/H5253,"")</f>
        <v/>
      </c>
      <c r="M5253" s="25" t="n">
        <v>3.4</v>
      </c>
      <c r="N5253" s="25">
        <f>IF(J5253&gt;300,1,0)</f>
        <v/>
      </c>
      <c r="O5253" s="25">
        <f>IF(J5253&gt;600,1,0)</f>
        <v/>
      </c>
      <c r="P5253" s="25">
        <f>IF(H5253&gt;0,J5253,"")</f>
        <v/>
      </c>
      <c r="Q5253" s="25">
        <f>TEXT(A5253,"YYYY-MM-DD HH")</f>
        <v/>
      </c>
      <c r="R5253" s="25">
        <f>COUNTIF($Q$2:$Q$5295,Q5253)</f>
        <v/>
      </c>
      <c r="S5253" s="25">
        <f>IF(R5253&lt;=2,"1-2",IF(R5253&lt;=5,"3-5",IF(R5253&lt;=10,"6-10","11+")))</f>
        <v/>
      </c>
    </row>
    <row r="5254">
      <c r="A5254" s="39" t="n">
        <v>46240.38482638889</v>
      </c>
      <c r="B5254" s="25">
        <f>TEXT(A5254,"YYYY-MM")</f>
        <v/>
      </c>
      <c r="C5254" s="25">
        <f>TEXT(A5254,"MMM-YYYY")</f>
        <v/>
      </c>
      <c r="D5254" s="40">
        <f>INT(A5254)-WEEKDAY(A5254,2)+1</f>
        <v/>
      </c>
      <c r="E5254" s="25" t="inlineStr">
        <is>
          <t>taggarwal</t>
        </is>
      </c>
      <c r="F5254" s="25" t="n">
        <v>135453</v>
      </c>
      <c r="G5254" s="25" t="n">
        <v>1</v>
      </c>
      <c r="H5254" s="25" t="n">
        <v>7</v>
      </c>
      <c r="I5254" s="25" t="inlineStr">
        <is>
          <t>1 minute(s) and 19 second(s)</t>
        </is>
      </c>
      <c r="J5254" s="25">
        <f>IFERROR(VALUE(TRIM(LEFT(I5254,FIND("minute",I5254)-1)))*60,0)+IFERROR(VALUE(SUBSTITUTE(MID(I5254,IFERROR(FIND("and",I5254)+3,1),20),"second(s)","")),0)</f>
        <v/>
      </c>
      <c r="K5254" s="41">
        <f>J5254/60</f>
        <v/>
      </c>
      <c r="L5254" s="41">
        <f>IFERROR(J5254/H5254,"")</f>
        <v/>
      </c>
      <c r="M5254" s="25" t="n">
        <v>3.4</v>
      </c>
      <c r="N5254" s="25">
        <f>IF(J5254&gt;300,1,0)</f>
        <v/>
      </c>
      <c r="O5254" s="25">
        <f>IF(J5254&gt;600,1,0)</f>
        <v/>
      </c>
      <c r="P5254" s="25">
        <f>IF(H5254&gt;0,J5254,"")</f>
        <v/>
      </c>
      <c r="Q5254" s="25">
        <f>TEXT(A5254,"YYYY-MM-DD HH")</f>
        <v/>
      </c>
      <c r="R5254" s="25">
        <f>COUNTIF($Q$2:$Q$5295,Q5254)</f>
        <v/>
      </c>
      <c r="S5254" s="25">
        <f>IF(R5254&lt;=2,"1-2",IF(R5254&lt;=5,"3-5",IF(R5254&lt;=10,"6-10","11+")))</f>
        <v/>
      </c>
    </row>
    <row r="5255">
      <c r="A5255" s="39" t="n">
        <v>46240.38677083333</v>
      </c>
      <c r="B5255" s="25">
        <f>TEXT(A5255,"YYYY-MM")</f>
        <v/>
      </c>
      <c r="C5255" s="25">
        <f>TEXT(A5255,"MMM-YYYY")</f>
        <v/>
      </c>
      <c r="D5255" s="40">
        <f>INT(A5255)-WEEKDAY(A5255,2)+1</f>
        <v/>
      </c>
      <c r="E5255" s="25" t="inlineStr">
        <is>
          <t>atiwari</t>
        </is>
      </c>
      <c r="F5255" s="25" t="n">
        <v>137090</v>
      </c>
      <c r="G5255" s="25" t="n">
        <v>3</v>
      </c>
      <c r="H5255" s="25" t="n">
        <v>15</v>
      </c>
      <c r="I5255" s="25" t="inlineStr">
        <is>
          <t>2 minute(s) and 0 second(s)</t>
        </is>
      </c>
      <c r="J5255" s="25">
        <f>IFERROR(VALUE(TRIM(LEFT(I5255,FIND("minute",I5255)-1)))*60,0)+IFERROR(VALUE(SUBSTITUTE(MID(I5255,IFERROR(FIND("and",I5255)+3,1),20),"second(s)","")),0)</f>
        <v/>
      </c>
      <c r="K5255" s="41">
        <f>J5255/60</f>
        <v/>
      </c>
      <c r="L5255" s="41">
        <f>IFERROR(J5255/H5255,"")</f>
        <v/>
      </c>
      <c r="M5255" s="25" t="n">
        <v>3.4</v>
      </c>
      <c r="N5255" s="25">
        <f>IF(J5255&gt;300,1,0)</f>
        <v/>
      </c>
      <c r="O5255" s="25">
        <f>IF(J5255&gt;600,1,0)</f>
        <v/>
      </c>
      <c r="P5255" s="25">
        <f>IF(H5255&gt;0,J5255,"")</f>
        <v/>
      </c>
      <c r="Q5255" s="25">
        <f>TEXT(A5255,"YYYY-MM-DD HH")</f>
        <v/>
      </c>
      <c r="R5255" s="25">
        <f>COUNTIF($Q$2:$Q$5295,Q5255)</f>
        <v/>
      </c>
      <c r="S5255" s="25">
        <f>IF(R5255&lt;=2,"1-2",IF(R5255&lt;=5,"3-5",IF(R5255&lt;=10,"6-10","11+")))</f>
        <v/>
      </c>
    </row>
    <row r="5256">
      <c r="A5256" s="39" t="n">
        <v>46240.39376157407</v>
      </c>
      <c r="B5256" s="25">
        <f>TEXT(A5256,"YYYY-MM")</f>
        <v/>
      </c>
      <c r="C5256" s="25">
        <f>TEXT(A5256,"MMM-YYYY")</f>
        <v/>
      </c>
      <c r="D5256" s="40">
        <f>INT(A5256)-WEEKDAY(A5256,2)+1</f>
        <v/>
      </c>
      <c r="E5256" s="25" t="inlineStr">
        <is>
          <t>abanerjee</t>
        </is>
      </c>
      <c r="F5256" s="25" t="n">
        <v>135866</v>
      </c>
      <c r="G5256" s="25" t="n">
        <v>1</v>
      </c>
      <c r="H5256" s="25" t="n">
        <v>5</v>
      </c>
      <c r="I5256" s="25" t="inlineStr">
        <is>
          <t>48 second(s)</t>
        </is>
      </c>
      <c r="J5256" s="25">
        <f>IFERROR(VALUE(TRIM(LEFT(I5256,FIND("minute",I5256)-1)))*60,0)+IFERROR(VALUE(SUBSTITUTE(MID(I5256,IFERROR(FIND("and",I5256)+3,1),20),"second(s)","")),0)</f>
        <v/>
      </c>
      <c r="K5256" s="41">
        <f>J5256/60</f>
        <v/>
      </c>
      <c r="L5256" s="41">
        <f>IFERROR(J5256/H5256,"")</f>
        <v/>
      </c>
      <c r="M5256" s="25" t="n">
        <v>3.4</v>
      </c>
      <c r="N5256" s="25">
        <f>IF(J5256&gt;300,1,0)</f>
        <v/>
      </c>
      <c r="O5256" s="25">
        <f>IF(J5256&gt;600,1,0)</f>
        <v/>
      </c>
      <c r="P5256" s="25">
        <f>IF(H5256&gt;0,J5256,"")</f>
        <v/>
      </c>
      <c r="Q5256" s="25">
        <f>TEXT(A5256,"YYYY-MM-DD HH")</f>
        <v/>
      </c>
      <c r="R5256" s="25">
        <f>COUNTIF($Q$2:$Q$5295,Q5256)</f>
        <v/>
      </c>
      <c r="S5256" s="25">
        <f>IF(R5256&lt;=2,"1-2",IF(R5256&lt;=5,"3-5",IF(R5256&lt;=10,"6-10","11+")))</f>
        <v/>
      </c>
    </row>
    <row r="5257">
      <c r="A5257" s="39" t="n">
        <v>46240.39793981481</v>
      </c>
      <c r="B5257" s="25">
        <f>TEXT(A5257,"YYYY-MM")</f>
        <v/>
      </c>
      <c r="C5257" s="25">
        <f>TEXT(A5257,"MMM-YYYY")</f>
        <v/>
      </c>
      <c r="D5257" s="40">
        <f>INT(A5257)-WEEKDAY(A5257,2)+1</f>
        <v/>
      </c>
      <c r="E5257" s="25" t="inlineStr">
        <is>
          <t>ethomas</t>
        </is>
      </c>
      <c r="F5257" s="25" t="n">
        <v>139162</v>
      </c>
      <c r="G5257" s="25" t="n">
        <v>3</v>
      </c>
      <c r="H5257" s="25" t="n">
        <v>12</v>
      </c>
      <c r="I5257" s="25" t="inlineStr">
        <is>
          <t>1 minute(s) and 55 second(s)</t>
        </is>
      </c>
      <c r="J5257" s="25">
        <f>IFERROR(VALUE(TRIM(LEFT(I5257,FIND("minute",I5257)-1)))*60,0)+IFERROR(VALUE(SUBSTITUTE(MID(I5257,IFERROR(FIND("and",I5257)+3,1),20),"second(s)","")),0)</f>
        <v/>
      </c>
      <c r="K5257" s="41">
        <f>J5257/60</f>
        <v/>
      </c>
      <c r="L5257" s="41">
        <f>IFERROR(J5257/H5257,"")</f>
        <v/>
      </c>
      <c r="M5257" s="25" t="n">
        <v>3.4</v>
      </c>
      <c r="N5257" s="25">
        <f>IF(J5257&gt;300,1,0)</f>
        <v/>
      </c>
      <c r="O5257" s="25">
        <f>IF(J5257&gt;600,1,0)</f>
        <v/>
      </c>
      <c r="P5257" s="25">
        <f>IF(H5257&gt;0,J5257,"")</f>
        <v/>
      </c>
      <c r="Q5257" s="25">
        <f>TEXT(A5257,"YYYY-MM-DD HH")</f>
        <v/>
      </c>
      <c r="R5257" s="25">
        <f>COUNTIF($Q$2:$Q$5295,Q5257)</f>
        <v/>
      </c>
      <c r="S5257" s="25">
        <f>IF(R5257&lt;=2,"1-2",IF(R5257&lt;=5,"3-5",IF(R5257&lt;=10,"6-10","11+")))</f>
        <v/>
      </c>
    </row>
    <row r="5258">
      <c r="A5258" s="39" t="n">
        <v>46240.39944444445</v>
      </c>
      <c r="B5258" s="25">
        <f>TEXT(A5258,"YYYY-MM")</f>
        <v/>
      </c>
      <c r="C5258" s="25">
        <f>TEXT(A5258,"MMM-YYYY")</f>
        <v/>
      </c>
      <c r="D5258" s="40">
        <f>INT(A5258)-WEEKDAY(A5258,2)+1</f>
        <v/>
      </c>
      <c r="E5258" s="25" t="inlineStr">
        <is>
          <t>bverma</t>
        </is>
      </c>
      <c r="F5258" s="25" t="n">
        <v>137770</v>
      </c>
      <c r="G5258" s="25" t="n">
        <v>2</v>
      </c>
      <c r="H5258" s="25" t="n">
        <v>10</v>
      </c>
      <c r="I5258" s="25" t="inlineStr">
        <is>
          <t>1 minute(s) and 42 second(s)</t>
        </is>
      </c>
      <c r="J5258" s="25">
        <f>IFERROR(VALUE(TRIM(LEFT(I5258,FIND("minute",I5258)-1)))*60,0)+IFERROR(VALUE(SUBSTITUTE(MID(I5258,IFERROR(FIND("and",I5258)+3,1),20),"second(s)","")),0)</f>
        <v/>
      </c>
      <c r="K5258" s="41">
        <f>J5258/60</f>
        <v/>
      </c>
      <c r="L5258" s="41">
        <f>IFERROR(J5258/H5258,"")</f>
        <v/>
      </c>
      <c r="M5258" s="25" t="n">
        <v>3.4</v>
      </c>
      <c r="N5258" s="25">
        <f>IF(J5258&gt;300,1,0)</f>
        <v/>
      </c>
      <c r="O5258" s="25">
        <f>IF(J5258&gt;600,1,0)</f>
        <v/>
      </c>
      <c r="P5258" s="25">
        <f>IF(H5258&gt;0,J5258,"")</f>
        <v/>
      </c>
      <c r="Q5258" s="25">
        <f>TEXT(A5258,"YYYY-MM-DD HH")</f>
        <v/>
      </c>
      <c r="R5258" s="25">
        <f>COUNTIF($Q$2:$Q$5295,Q5258)</f>
        <v/>
      </c>
      <c r="S5258" s="25">
        <f>IF(R5258&lt;=2,"1-2",IF(R5258&lt;=5,"3-5",IF(R5258&lt;=10,"6-10","11+")))</f>
        <v/>
      </c>
    </row>
    <row r="5259">
      <c r="A5259" s="39" t="n">
        <v>46240.40365740741</v>
      </c>
      <c r="B5259" s="25">
        <f>TEXT(A5259,"YYYY-MM")</f>
        <v/>
      </c>
      <c r="C5259" s="25">
        <f>TEXT(A5259,"MMM-YYYY")</f>
        <v/>
      </c>
      <c r="D5259" s="40">
        <f>INT(A5259)-WEEKDAY(A5259,2)+1</f>
        <v/>
      </c>
      <c r="E5259" s="25" t="inlineStr">
        <is>
          <t>larora</t>
        </is>
      </c>
      <c r="F5259" s="25" t="n">
        <v>136033</v>
      </c>
      <c r="G5259" s="25" t="n">
        <v>1</v>
      </c>
      <c r="H5259" s="25" t="n">
        <v>7</v>
      </c>
      <c r="I5259" s="25" t="inlineStr">
        <is>
          <t>1 minute(s) and 1 second(s)</t>
        </is>
      </c>
      <c r="J5259" s="25">
        <f>IFERROR(VALUE(TRIM(LEFT(I5259,FIND("minute",I5259)-1)))*60,0)+IFERROR(VALUE(SUBSTITUTE(MID(I5259,IFERROR(FIND("and",I5259)+3,1),20),"second(s)","")),0)</f>
        <v/>
      </c>
      <c r="K5259" s="41">
        <f>J5259/60</f>
        <v/>
      </c>
      <c r="L5259" s="41">
        <f>IFERROR(J5259/H5259,"")</f>
        <v/>
      </c>
      <c r="M5259" s="25" t="n">
        <v>3.4</v>
      </c>
      <c r="N5259" s="25">
        <f>IF(J5259&gt;300,1,0)</f>
        <v/>
      </c>
      <c r="O5259" s="25">
        <f>IF(J5259&gt;600,1,0)</f>
        <v/>
      </c>
      <c r="P5259" s="25">
        <f>IF(H5259&gt;0,J5259,"")</f>
        <v/>
      </c>
      <c r="Q5259" s="25">
        <f>TEXT(A5259,"YYYY-MM-DD HH")</f>
        <v/>
      </c>
      <c r="R5259" s="25">
        <f>COUNTIF($Q$2:$Q$5295,Q5259)</f>
        <v/>
      </c>
      <c r="S5259" s="25">
        <f>IF(R5259&lt;=2,"1-2",IF(R5259&lt;=5,"3-5",IF(R5259&lt;=10,"6-10","11+")))</f>
        <v/>
      </c>
    </row>
    <row r="5260">
      <c r="A5260" s="39" t="n">
        <v>46240.40458333334</v>
      </c>
      <c r="B5260" s="25">
        <f>TEXT(A5260,"YYYY-MM")</f>
        <v/>
      </c>
      <c r="C5260" s="25">
        <f>TEXT(A5260,"MMM-YYYY")</f>
        <v/>
      </c>
      <c r="D5260" s="40">
        <f>INT(A5260)-WEEKDAY(A5260,2)+1</f>
        <v/>
      </c>
      <c r="E5260" s="25" t="inlineStr">
        <is>
          <t>ajain</t>
        </is>
      </c>
      <c r="F5260" s="25" t="n">
        <v>135449</v>
      </c>
      <c r="G5260" s="25" t="n">
        <v>2</v>
      </c>
      <c r="H5260" s="25" t="n">
        <v>14</v>
      </c>
      <c r="I5260" s="25" t="inlineStr">
        <is>
          <t>1 minute(s) and 36 second(s)</t>
        </is>
      </c>
      <c r="J5260" s="25">
        <f>IFERROR(VALUE(TRIM(LEFT(I5260,FIND("minute",I5260)-1)))*60,0)+IFERROR(VALUE(SUBSTITUTE(MID(I5260,IFERROR(FIND("and",I5260)+3,1),20),"second(s)","")),0)</f>
        <v/>
      </c>
      <c r="K5260" s="41">
        <f>J5260/60</f>
        <v/>
      </c>
      <c r="L5260" s="41">
        <f>IFERROR(J5260/H5260,"")</f>
        <v/>
      </c>
      <c r="M5260" s="25" t="inlineStr">
        <is>
          <t>2.5.12</t>
        </is>
      </c>
      <c r="N5260" s="25">
        <f>IF(J5260&gt;300,1,0)</f>
        <v/>
      </c>
      <c r="O5260" s="25">
        <f>IF(J5260&gt;600,1,0)</f>
        <v/>
      </c>
      <c r="P5260" s="25">
        <f>IF(H5260&gt;0,J5260,"")</f>
        <v/>
      </c>
      <c r="Q5260" s="25">
        <f>TEXT(A5260,"YYYY-MM-DD HH")</f>
        <v/>
      </c>
      <c r="R5260" s="25">
        <f>COUNTIF($Q$2:$Q$5295,Q5260)</f>
        <v/>
      </c>
      <c r="S5260" s="25">
        <f>IF(R5260&lt;=2,"1-2",IF(R5260&lt;=5,"3-5",IF(R5260&lt;=10,"6-10","11+")))</f>
        <v/>
      </c>
    </row>
    <row r="5261">
      <c r="A5261" s="39" t="n">
        <v>46240.41627314815</v>
      </c>
      <c r="B5261" s="25">
        <f>TEXT(A5261,"YYYY-MM")</f>
        <v/>
      </c>
      <c r="C5261" s="25">
        <f>TEXT(A5261,"MMM-YYYY")</f>
        <v/>
      </c>
      <c r="D5261" s="40">
        <f>INT(A5261)-WEEKDAY(A5261,2)+1</f>
        <v/>
      </c>
      <c r="E5261" s="25" t="inlineStr">
        <is>
          <t>pmodak</t>
        </is>
      </c>
      <c r="F5261" s="25" t="n">
        <v>138122</v>
      </c>
      <c r="G5261" s="25" t="n">
        <v>3</v>
      </c>
      <c r="H5261" s="25" t="n">
        <v>19</v>
      </c>
      <c r="I5261" s="25" t="inlineStr">
        <is>
          <t>4 minute(s) and 25 second(s)</t>
        </is>
      </c>
      <c r="J5261" s="25">
        <f>IFERROR(VALUE(TRIM(LEFT(I5261,FIND("minute",I5261)-1)))*60,0)+IFERROR(VALUE(SUBSTITUTE(MID(I5261,IFERROR(FIND("and",I5261)+3,1),20),"second(s)","")),0)</f>
        <v/>
      </c>
      <c r="K5261" s="41">
        <f>J5261/60</f>
        <v/>
      </c>
      <c r="L5261" s="41">
        <f>IFERROR(J5261/H5261,"")</f>
        <v/>
      </c>
      <c r="M5261" s="25" t="n">
        <v>3.4</v>
      </c>
      <c r="N5261" s="25">
        <f>IF(J5261&gt;300,1,0)</f>
        <v/>
      </c>
      <c r="O5261" s="25">
        <f>IF(J5261&gt;600,1,0)</f>
        <v/>
      </c>
      <c r="P5261" s="25">
        <f>IF(H5261&gt;0,J5261,"")</f>
        <v/>
      </c>
      <c r="Q5261" s="25">
        <f>TEXT(A5261,"YYYY-MM-DD HH")</f>
        <v/>
      </c>
      <c r="R5261" s="25">
        <f>COUNTIF($Q$2:$Q$5295,Q5261)</f>
        <v/>
      </c>
      <c r="S5261" s="25">
        <f>IF(R5261&lt;=2,"1-2",IF(R5261&lt;=5,"3-5",IF(R5261&lt;=10,"6-10","11+")))</f>
        <v/>
      </c>
    </row>
    <row r="5262">
      <c r="A5262" s="39" t="n">
        <v>46240.41954861111</v>
      </c>
      <c r="B5262" s="25">
        <f>TEXT(A5262,"YYYY-MM")</f>
        <v/>
      </c>
      <c r="C5262" s="25">
        <f>TEXT(A5262,"MMM-YYYY")</f>
        <v/>
      </c>
      <c r="D5262" s="40">
        <f>INT(A5262)-WEEKDAY(A5262,2)+1</f>
        <v/>
      </c>
      <c r="E5262" s="25" t="inlineStr">
        <is>
          <t>shasikha</t>
        </is>
      </c>
      <c r="F5262" s="25" t="n">
        <v>133926</v>
      </c>
      <c r="G5262" s="25" t="n">
        <v>2</v>
      </c>
      <c r="H5262" s="25" t="n">
        <v>10</v>
      </c>
      <c r="I5262" s="25" t="inlineStr">
        <is>
          <t>1 minute(s) and 22 second(s)</t>
        </is>
      </c>
      <c r="J5262" s="25">
        <f>IFERROR(VALUE(TRIM(LEFT(I5262,FIND("minute",I5262)-1)))*60,0)+IFERROR(VALUE(SUBSTITUTE(MID(I5262,IFERROR(FIND("and",I5262)+3,1),20),"second(s)","")),0)</f>
        <v/>
      </c>
      <c r="K5262" s="41">
        <f>J5262/60</f>
        <v/>
      </c>
      <c r="L5262" s="41">
        <f>IFERROR(J5262/H5262,"")</f>
        <v/>
      </c>
      <c r="M5262" s="25" t="n">
        <v>3.4</v>
      </c>
      <c r="N5262" s="25">
        <f>IF(J5262&gt;300,1,0)</f>
        <v/>
      </c>
      <c r="O5262" s="25">
        <f>IF(J5262&gt;600,1,0)</f>
        <v/>
      </c>
      <c r="P5262" s="25">
        <f>IF(H5262&gt;0,J5262,"")</f>
        <v/>
      </c>
      <c r="Q5262" s="25">
        <f>TEXT(A5262,"YYYY-MM-DD HH")</f>
        <v/>
      </c>
      <c r="R5262" s="25">
        <f>COUNTIF($Q$2:$Q$5295,Q5262)</f>
        <v/>
      </c>
      <c r="S5262" s="25">
        <f>IF(R5262&lt;=2,"1-2",IF(R5262&lt;=5,"3-5",IF(R5262&lt;=10,"6-10","11+")))</f>
        <v/>
      </c>
    </row>
    <row r="5263">
      <c r="A5263" s="39" t="n">
        <v>46240.42317129629</v>
      </c>
      <c r="B5263" s="25">
        <f>TEXT(A5263,"YYYY-MM")</f>
        <v/>
      </c>
      <c r="C5263" s="25">
        <f>TEXT(A5263,"MMM-YYYY")</f>
        <v/>
      </c>
      <c r="D5263" s="40">
        <f>INT(A5263)-WEEKDAY(A5263,2)+1</f>
        <v/>
      </c>
      <c r="E5263" s="25" t="inlineStr">
        <is>
          <t>abanerjee</t>
        </is>
      </c>
      <c r="F5263" s="25" t="n">
        <v>135866</v>
      </c>
      <c r="G5263" s="25" t="n">
        <v>1</v>
      </c>
      <c r="H5263" s="25" t="n">
        <v>5</v>
      </c>
      <c r="I5263" s="25" t="inlineStr">
        <is>
          <t>47 second(s)</t>
        </is>
      </c>
      <c r="J5263" s="25">
        <f>IFERROR(VALUE(TRIM(LEFT(I5263,FIND("minute",I5263)-1)))*60,0)+IFERROR(VALUE(SUBSTITUTE(MID(I5263,IFERROR(FIND("and",I5263)+3,1),20),"second(s)","")),0)</f>
        <v/>
      </c>
      <c r="K5263" s="41">
        <f>J5263/60</f>
        <v/>
      </c>
      <c r="L5263" s="41">
        <f>IFERROR(J5263/H5263,"")</f>
        <v/>
      </c>
      <c r="M5263" s="25" t="n">
        <v>3.4</v>
      </c>
      <c r="N5263" s="25">
        <f>IF(J5263&gt;300,1,0)</f>
        <v/>
      </c>
      <c r="O5263" s="25">
        <f>IF(J5263&gt;600,1,0)</f>
        <v/>
      </c>
      <c r="P5263" s="25">
        <f>IF(H5263&gt;0,J5263,"")</f>
        <v/>
      </c>
      <c r="Q5263" s="25">
        <f>TEXT(A5263,"YYYY-MM-DD HH")</f>
        <v/>
      </c>
      <c r="R5263" s="25">
        <f>COUNTIF($Q$2:$Q$5295,Q5263)</f>
        <v/>
      </c>
      <c r="S5263" s="25">
        <f>IF(R5263&lt;=2,"1-2",IF(R5263&lt;=5,"3-5",IF(R5263&lt;=10,"6-10","11+")))</f>
        <v/>
      </c>
    </row>
    <row r="5264">
      <c r="A5264" s="39" t="n">
        <v>46240.42366898148</v>
      </c>
      <c r="B5264" s="25">
        <f>TEXT(A5264,"YYYY-MM")</f>
        <v/>
      </c>
      <c r="C5264" s="25">
        <f>TEXT(A5264,"MMM-YYYY")</f>
        <v/>
      </c>
      <c r="D5264" s="40">
        <f>INT(A5264)-WEEKDAY(A5264,2)+1</f>
        <v/>
      </c>
      <c r="E5264" s="25" t="inlineStr">
        <is>
          <t>sasharma</t>
        </is>
      </c>
      <c r="F5264" s="25" t="n">
        <v>135798</v>
      </c>
      <c r="G5264" s="25" t="n">
        <v>1</v>
      </c>
      <c r="H5264" s="25" t="n">
        <v>5</v>
      </c>
      <c r="I5264" s="25" t="inlineStr">
        <is>
          <t>24 second(s)</t>
        </is>
      </c>
      <c r="J5264" s="25">
        <f>IFERROR(VALUE(TRIM(LEFT(I5264,FIND("minute",I5264)-1)))*60,0)+IFERROR(VALUE(SUBSTITUTE(MID(I5264,IFERROR(FIND("and",I5264)+3,1),20),"second(s)","")),0)</f>
        <v/>
      </c>
      <c r="K5264" s="41">
        <f>J5264/60</f>
        <v/>
      </c>
      <c r="L5264" s="41">
        <f>IFERROR(J5264/H5264,"")</f>
        <v/>
      </c>
      <c r="M5264" s="25" t="inlineStr">
        <is>
          <t>2.5.12</t>
        </is>
      </c>
      <c r="N5264" s="25">
        <f>IF(J5264&gt;300,1,0)</f>
        <v/>
      </c>
      <c r="O5264" s="25">
        <f>IF(J5264&gt;600,1,0)</f>
        <v/>
      </c>
      <c r="P5264" s="25">
        <f>IF(H5264&gt;0,J5264,"")</f>
        <v/>
      </c>
      <c r="Q5264" s="25">
        <f>TEXT(A5264,"YYYY-MM-DD HH")</f>
        <v/>
      </c>
      <c r="R5264" s="25">
        <f>COUNTIF($Q$2:$Q$5295,Q5264)</f>
        <v/>
      </c>
      <c r="S5264" s="25">
        <f>IF(R5264&lt;=2,"1-2",IF(R5264&lt;=5,"3-5",IF(R5264&lt;=10,"6-10","11+")))</f>
        <v/>
      </c>
    </row>
    <row r="5265">
      <c r="A5265" s="39" t="n">
        <v>46240.42834490741</v>
      </c>
      <c r="B5265" s="25">
        <f>TEXT(A5265,"YYYY-MM")</f>
        <v/>
      </c>
      <c r="C5265" s="25">
        <f>TEXT(A5265,"MMM-YYYY")</f>
        <v/>
      </c>
      <c r="D5265" s="40">
        <f>INT(A5265)-WEEKDAY(A5265,2)+1</f>
        <v/>
      </c>
      <c r="E5265" s="25" t="inlineStr">
        <is>
          <t>tkarmakar</t>
        </is>
      </c>
      <c r="F5265" s="25" t="n">
        <v>135685</v>
      </c>
      <c r="G5265" s="25" t="n">
        <v>2</v>
      </c>
      <c r="H5265" s="25" t="n">
        <v>12</v>
      </c>
      <c r="I5265" s="25" t="inlineStr">
        <is>
          <t>1 minute(s) and 51 second(s)</t>
        </is>
      </c>
      <c r="J5265" s="25">
        <f>IFERROR(VALUE(TRIM(LEFT(I5265,FIND("minute",I5265)-1)))*60,0)+IFERROR(VALUE(SUBSTITUTE(MID(I5265,IFERROR(FIND("and",I5265)+3,1),20),"second(s)","")),0)</f>
        <v/>
      </c>
      <c r="K5265" s="41">
        <f>J5265/60</f>
        <v/>
      </c>
      <c r="L5265" s="41">
        <f>IFERROR(J5265/H5265,"")</f>
        <v/>
      </c>
      <c r="M5265" s="25" t="n">
        <v>3.4</v>
      </c>
      <c r="N5265" s="25">
        <f>IF(J5265&gt;300,1,0)</f>
        <v/>
      </c>
      <c r="O5265" s="25">
        <f>IF(J5265&gt;600,1,0)</f>
        <v/>
      </c>
      <c r="P5265" s="25">
        <f>IF(H5265&gt;0,J5265,"")</f>
        <v/>
      </c>
      <c r="Q5265" s="25">
        <f>TEXT(A5265,"YYYY-MM-DD HH")</f>
        <v/>
      </c>
      <c r="R5265" s="25">
        <f>COUNTIF($Q$2:$Q$5295,Q5265)</f>
        <v/>
      </c>
      <c r="S5265" s="25">
        <f>IF(R5265&lt;=2,"1-2",IF(R5265&lt;=5,"3-5",IF(R5265&lt;=10,"6-10","11+")))</f>
        <v/>
      </c>
    </row>
    <row r="5266">
      <c r="A5266" s="39" t="n">
        <v>46240.42886574074</v>
      </c>
      <c r="B5266" s="25">
        <f>TEXT(A5266,"YYYY-MM")</f>
        <v/>
      </c>
      <c r="C5266" s="25">
        <f>TEXT(A5266,"MMM-YYYY")</f>
        <v/>
      </c>
      <c r="D5266" s="40">
        <f>INT(A5266)-WEEKDAY(A5266,2)+1</f>
        <v/>
      </c>
      <c r="E5266" s="25" t="inlineStr">
        <is>
          <t>pgautam</t>
        </is>
      </c>
      <c r="F5266" s="25" t="n">
        <v>134611</v>
      </c>
      <c r="G5266" s="25" t="n">
        <v>6</v>
      </c>
      <c r="H5266" s="25" t="n">
        <v>22</v>
      </c>
      <c r="I5266" s="25" t="inlineStr">
        <is>
          <t>2 minute(s) and 33 second(s)</t>
        </is>
      </c>
      <c r="J5266" s="25">
        <f>IFERROR(VALUE(TRIM(LEFT(I5266,FIND("minute",I5266)-1)))*60,0)+IFERROR(VALUE(SUBSTITUTE(MID(I5266,IFERROR(FIND("and",I5266)+3,1),20),"second(s)","")),0)</f>
        <v/>
      </c>
      <c r="K5266" s="41">
        <f>J5266/60</f>
        <v/>
      </c>
      <c r="L5266" s="41">
        <f>IFERROR(J5266/H5266,"")</f>
        <v/>
      </c>
      <c r="M5266" s="25" t="n">
        <v>3.4</v>
      </c>
      <c r="N5266" s="25">
        <f>IF(J5266&gt;300,1,0)</f>
        <v/>
      </c>
      <c r="O5266" s="25">
        <f>IF(J5266&gt;600,1,0)</f>
        <v/>
      </c>
      <c r="P5266" s="25">
        <f>IF(H5266&gt;0,J5266,"")</f>
        <v/>
      </c>
      <c r="Q5266" s="25">
        <f>TEXT(A5266,"YYYY-MM-DD HH")</f>
        <v/>
      </c>
      <c r="R5266" s="25">
        <f>COUNTIF($Q$2:$Q$5295,Q5266)</f>
        <v/>
      </c>
      <c r="S5266" s="25">
        <f>IF(R5266&lt;=2,"1-2",IF(R5266&lt;=5,"3-5",IF(R5266&lt;=10,"6-10","11+")))</f>
        <v/>
      </c>
    </row>
    <row r="5267">
      <c r="A5267" s="39" t="n">
        <v>46240.43324074074</v>
      </c>
      <c r="B5267" s="25">
        <f>TEXT(A5267,"YYYY-MM")</f>
        <v/>
      </c>
      <c r="C5267" s="25">
        <f>TEXT(A5267,"MMM-YYYY")</f>
        <v/>
      </c>
      <c r="D5267" s="40">
        <f>INT(A5267)-WEEKDAY(A5267,2)+1</f>
        <v/>
      </c>
      <c r="E5267" s="25" t="inlineStr">
        <is>
          <t>sthomas</t>
        </is>
      </c>
      <c r="F5267" s="25" t="n">
        <v>138366</v>
      </c>
      <c r="G5267" s="25" t="n">
        <v>2</v>
      </c>
      <c r="H5267" s="25" t="n">
        <v>12</v>
      </c>
      <c r="I5267" s="25" t="inlineStr">
        <is>
          <t>1 minute(s) and 49 second(s)</t>
        </is>
      </c>
      <c r="J5267" s="25">
        <f>IFERROR(VALUE(TRIM(LEFT(I5267,FIND("minute",I5267)-1)))*60,0)+IFERROR(VALUE(SUBSTITUTE(MID(I5267,IFERROR(FIND("and",I5267)+3,1),20),"second(s)","")),0)</f>
        <v/>
      </c>
      <c r="K5267" s="41">
        <f>J5267/60</f>
        <v/>
      </c>
      <c r="L5267" s="41">
        <f>IFERROR(J5267/H5267,"")</f>
        <v/>
      </c>
      <c r="M5267" s="25" t="n">
        <v>3.4</v>
      </c>
      <c r="N5267" s="25">
        <f>IF(J5267&gt;300,1,0)</f>
        <v/>
      </c>
      <c r="O5267" s="25">
        <f>IF(J5267&gt;600,1,0)</f>
        <v/>
      </c>
      <c r="P5267" s="25">
        <f>IF(H5267&gt;0,J5267,"")</f>
        <v/>
      </c>
      <c r="Q5267" s="25">
        <f>TEXT(A5267,"YYYY-MM-DD HH")</f>
        <v/>
      </c>
      <c r="R5267" s="25">
        <f>COUNTIF($Q$2:$Q$5295,Q5267)</f>
        <v/>
      </c>
      <c r="S5267" s="25">
        <f>IF(R5267&lt;=2,"1-2",IF(R5267&lt;=5,"3-5",IF(R5267&lt;=10,"6-10","11+")))</f>
        <v/>
      </c>
    </row>
    <row r="5268">
      <c r="A5268" s="39" t="n">
        <v>46240.43534722222</v>
      </c>
      <c r="B5268" s="25">
        <f>TEXT(A5268,"YYYY-MM")</f>
        <v/>
      </c>
      <c r="C5268" s="25">
        <f>TEXT(A5268,"MMM-YYYY")</f>
        <v/>
      </c>
      <c r="D5268" s="40">
        <f>INT(A5268)-WEEKDAY(A5268,2)+1</f>
        <v/>
      </c>
      <c r="E5268" s="25" t="inlineStr">
        <is>
          <t>psathwika</t>
        </is>
      </c>
      <c r="F5268" s="25" t="n">
        <v>138799</v>
      </c>
      <c r="G5268" s="25" t="n">
        <v>3</v>
      </c>
      <c r="H5268" s="25" t="n">
        <v>13</v>
      </c>
      <c r="I5268" s="25" t="inlineStr">
        <is>
          <t>1 minute(s) and 59 second(s)</t>
        </is>
      </c>
      <c r="J5268" s="25">
        <f>IFERROR(VALUE(TRIM(LEFT(I5268,FIND("minute",I5268)-1)))*60,0)+IFERROR(VALUE(SUBSTITUTE(MID(I5268,IFERROR(FIND("and",I5268)+3,1),20),"second(s)","")),0)</f>
        <v/>
      </c>
      <c r="K5268" s="41">
        <f>J5268/60</f>
        <v/>
      </c>
      <c r="L5268" s="41">
        <f>IFERROR(J5268/H5268,"")</f>
        <v/>
      </c>
      <c r="M5268" s="25" t="inlineStr">
        <is>
          <t>2.5.12</t>
        </is>
      </c>
      <c r="N5268" s="25">
        <f>IF(J5268&gt;300,1,0)</f>
        <v/>
      </c>
      <c r="O5268" s="25">
        <f>IF(J5268&gt;600,1,0)</f>
        <v/>
      </c>
      <c r="P5268" s="25">
        <f>IF(H5268&gt;0,J5268,"")</f>
        <v/>
      </c>
      <c r="Q5268" s="25">
        <f>TEXT(A5268,"YYYY-MM-DD HH")</f>
        <v/>
      </c>
      <c r="R5268" s="25">
        <f>COUNTIF($Q$2:$Q$5295,Q5268)</f>
        <v/>
      </c>
      <c r="S5268" s="25">
        <f>IF(R5268&lt;=2,"1-2",IF(R5268&lt;=5,"3-5",IF(R5268&lt;=10,"6-10","11+")))</f>
        <v/>
      </c>
    </row>
    <row r="5269">
      <c r="A5269" s="39" t="n">
        <v>46240.43920138889</v>
      </c>
      <c r="B5269" s="25">
        <f>TEXT(A5269,"YYYY-MM")</f>
        <v/>
      </c>
      <c r="C5269" s="25">
        <f>TEXT(A5269,"MMM-YYYY")</f>
        <v/>
      </c>
      <c r="D5269" s="40">
        <f>INT(A5269)-WEEKDAY(A5269,2)+1</f>
        <v/>
      </c>
      <c r="E5269" s="25" t="inlineStr">
        <is>
          <t>atiwari</t>
        </is>
      </c>
      <c r="F5269" s="25" t="n">
        <v>136739</v>
      </c>
      <c r="G5269" s="25" t="n">
        <v>1</v>
      </c>
      <c r="H5269" s="25" t="n">
        <v>5</v>
      </c>
      <c r="I5269" s="25" t="inlineStr">
        <is>
          <t>51 second(s)</t>
        </is>
      </c>
      <c r="J5269" s="25">
        <f>IFERROR(VALUE(TRIM(LEFT(I5269,FIND("minute",I5269)-1)))*60,0)+IFERROR(VALUE(SUBSTITUTE(MID(I5269,IFERROR(FIND("and",I5269)+3,1),20),"second(s)","")),0)</f>
        <v/>
      </c>
      <c r="K5269" s="41">
        <f>J5269/60</f>
        <v/>
      </c>
      <c r="L5269" s="41">
        <f>IFERROR(J5269/H5269,"")</f>
        <v/>
      </c>
      <c r="M5269" s="25" t="n">
        <v>3.4</v>
      </c>
      <c r="N5269" s="25">
        <f>IF(J5269&gt;300,1,0)</f>
        <v/>
      </c>
      <c r="O5269" s="25">
        <f>IF(J5269&gt;600,1,0)</f>
        <v/>
      </c>
      <c r="P5269" s="25">
        <f>IF(H5269&gt;0,J5269,"")</f>
        <v/>
      </c>
      <c r="Q5269" s="25">
        <f>TEXT(A5269,"YYYY-MM-DD HH")</f>
        <v/>
      </c>
      <c r="R5269" s="25">
        <f>COUNTIF($Q$2:$Q$5295,Q5269)</f>
        <v/>
      </c>
      <c r="S5269" s="25">
        <f>IF(R5269&lt;=2,"1-2",IF(R5269&lt;=5,"3-5",IF(R5269&lt;=10,"6-10","11+")))</f>
        <v/>
      </c>
    </row>
    <row r="5270">
      <c r="A5270" s="39" t="n">
        <v>46240.46240740741</v>
      </c>
      <c r="B5270" s="25">
        <f>TEXT(A5270,"YYYY-MM")</f>
        <v/>
      </c>
      <c r="C5270" s="25">
        <f>TEXT(A5270,"MMM-YYYY")</f>
        <v/>
      </c>
      <c r="D5270" s="40">
        <f>INT(A5270)-WEEKDAY(A5270,2)+1</f>
        <v/>
      </c>
      <c r="E5270" s="25" t="inlineStr">
        <is>
          <t>mgupta</t>
        </is>
      </c>
      <c r="F5270" s="25" t="n">
        <v>137194</v>
      </c>
      <c r="G5270" s="25" t="n">
        <v>2</v>
      </c>
      <c r="H5270" s="25" t="n">
        <v>6</v>
      </c>
      <c r="I5270" s="25" t="inlineStr">
        <is>
          <t>52 second(s)</t>
        </is>
      </c>
      <c r="J5270" s="25">
        <f>IFERROR(VALUE(TRIM(LEFT(I5270,FIND("minute",I5270)-1)))*60,0)+IFERROR(VALUE(SUBSTITUTE(MID(I5270,IFERROR(FIND("and",I5270)+3,1),20),"second(s)","")),0)</f>
        <v/>
      </c>
      <c r="K5270" s="41">
        <f>J5270/60</f>
        <v/>
      </c>
      <c r="L5270" s="41">
        <f>IFERROR(J5270/H5270,"")</f>
        <v/>
      </c>
      <c r="M5270" s="25" t="n">
        <v>3.5</v>
      </c>
      <c r="N5270" s="25">
        <f>IF(J5270&gt;300,1,0)</f>
        <v/>
      </c>
      <c r="O5270" s="25">
        <f>IF(J5270&gt;600,1,0)</f>
        <v/>
      </c>
      <c r="P5270" s="25">
        <f>IF(H5270&gt;0,J5270,"")</f>
        <v/>
      </c>
      <c r="Q5270" s="25">
        <f>TEXT(A5270,"YYYY-MM-DD HH")</f>
        <v/>
      </c>
      <c r="R5270" s="25">
        <f>COUNTIF($Q$2:$Q$5295,Q5270)</f>
        <v/>
      </c>
      <c r="S5270" s="25">
        <f>IF(R5270&lt;=2,"1-2",IF(R5270&lt;=5,"3-5",IF(R5270&lt;=10,"6-10","11+")))</f>
        <v/>
      </c>
    </row>
    <row r="5271">
      <c r="A5271" s="39" t="n">
        <v>46240.46262731482</v>
      </c>
      <c r="B5271" s="25">
        <f>TEXT(A5271,"YYYY-MM")</f>
        <v/>
      </c>
      <c r="C5271" s="25">
        <f>TEXT(A5271,"MMM-YYYY")</f>
        <v/>
      </c>
      <c r="D5271" s="40">
        <f>INT(A5271)-WEEKDAY(A5271,2)+1</f>
        <v/>
      </c>
      <c r="E5271" s="25" t="inlineStr">
        <is>
          <t>abanerjee</t>
        </is>
      </c>
      <c r="F5271" s="25" t="n">
        <v>135882</v>
      </c>
      <c r="G5271" s="25" t="n">
        <v>2</v>
      </c>
      <c r="H5271" s="25" t="n">
        <v>10</v>
      </c>
      <c r="I5271" s="25" t="inlineStr">
        <is>
          <t>1 minute(s) and 26 second(s)</t>
        </is>
      </c>
      <c r="J5271" s="25">
        <f>IFERROR(VALUE(TRIM(LEFT(I5271,FIND("minute",I5271)-1)))*60,0)+IFERROR(VALUE(SUBSTITUTE(MID(I5271,IFERROR(FIND("and",I5271)+3,1),20),"second(s)","")),0)</f>
        <v/>
      </c>
      <c r="K5271" s="41">
        <f>J5271/60</f>
        <v/>
      </c>
      <c r="L5271" s="41">
        <f>IFERROR(J5271/H5271,"")</f>
        <v/>
      </c>
      <c r="M5271" s="25" t="n">
        <v>3.4</v>
      </c>
      <c r="N5271" s="25">
        <f>IF(J5271&gt;300,1,0)</f>
        <v/>
      </c>
      <c r="O5271" s="25">
        <f>IF(J5271&gt;600,1,0)</f>
        <v/>
      </c>
      <c r="P5271" s="25">
        <f>IF(H5271&gt;0,J5271,"")</f>
        <v/>
      </c>
      <c r="Q5271" s="25">
        <f>TEXT(A5271,"YYYY-MM-DD HH")</f>
        <v/>
      </c>
      <c r="R5271" s="25">
        <f>COUNTIF($Q$2:$Q$5295,Q5271)</f>
        <v/>
      </c>
      <c r="S5271" s="25">
        <f>IF(R5271&lt;=2,"1-2",IF(R5271&lt;=5,"3-5",IF(R5271&lt;=10,"6-10","11+")))</f>
        <v/>
      </c>
    </row>
    <row r="5272">
      <c r="A5272" s="39" t="n">
        <v>46240.46398148148</v>
      </c>
      <c r="B5272" s="25">
        <f>TEXT(A5272,"YYYY-MM")</f>
        <v/>
      </c>
      <c r="C5272" s="25">
        <f>TEXT(A5272,"MMM-YYYY")</f>
        <v/>
      </c>
      <c r="D5272" s="40">
        <f>INT(A5272)-WEEKDAY(A5272,2)+1</f>
        <v/>
      </c>
      <c r="E5272" s="25" t="inlineStr">
        <is>
          <t>aghosh</t>
        </is>
      </c>
      <c r="F5272" s="25" t="n">
        <v>136641</v>
      </c>
      <c r="G5272" s="25" t="n">
        <v>1</v>
      </c>
      <c r="H5272" s="25" t="n">
        <v>7</v>
      </c>
      <c r="I5272" s="25" t="inlineStr">
        <is>
          <t>8 minute(s) and 45 second(s)</t>
        </is>
      </c>
      <c r="J5272" s="25">
        <f>IFERROR(VALUE(TRIM(LEFT(I5272,FIND("minute",I5272)-1)))*60,0)+IFERROR(VALUE(SUBSTITUTE(MID(I5272,IFERROR(FIND("and",I5272)+3,1),20),"second(s)","")),0)</f>
        <v/>
      </c>
      <c r="K5272" s="41">
        <f>J5272/60</f>
        <v/>
      </c>
      <c r="L5272" s="41">
        <f>IFERROR(J5272/H5272,"")</f>
        <v/>
      </c>
      <c r="M5272" s="25" t="n">
        <v>3.4</v>
      </c>
      <c r="N5272" s="25">
        <f>IF(J5272&gt;300,1,0)</f>
        <v/>
      </c>
      <c r="O5272" s="25">
        <f>IF(J5272&gt;600,1,0)</f>
        <v/>
      </c>
      <c r="P5272" s="25">
        <f>IF(H5272&gt;0,J5272,"")</f>
        <v/>
      </c>
      <c r="Q5272" s="25">
        <f>TEXT(A5272,"YYYY-MM-DD HH")</f>
        <v/>
      </c>
      <c r="R5272" s="25">
        <f>COUNTIF($Q$2:$Q$5295,Q5272)</f>
        <v/>
      </c>
      <c r="S5272" s="25">
        <f>IF(R5272&lt;=2,"1-2",IF(R5272&lt;=5,"3-5",IF(R5272&lt;=10,"6-10","11+")))</f>
        <v/>
      </c>
    </row>
    <row r="5273">
      <c r="A5273" s="39" t="n">
        <v>46240.46550925926</v>
      </c>
      <c r="B5273" s="25">
        <f>TEXT(A5273,"YYYY-MM")</f>
        <v/>
      </c>
      <c r="C5273" s="25">
        <f>TEXT(A5273,"MMM-YYYY")</f>
        <v/>
      </c>
      <c r="D5273" s="40">
        <f>INT(A5273)-WEEKDAY(A5273,2)+1</f>
        <v/>
      </c>
      <c r="E5273" s="25" t="inlineStr">
        <is>
          <t>pgautam</t>
        </is>
      </c>
      <c r="F5273" s="25" t="n">
        <v>132764</v>
      </c>
      <c r="G5273" s="25" t="n">
        <v>4</v>
      </c>
      <c r="H5273" s="25" t="n">
        <v>24</v>
      </c>
      <c r="I5273" s="25" t="inlineStr">
        <is>
          <t>2 minute(s) and 55 second(s)</t>
        </is>
      </c>
      <c r="J5273" s="25">
        <f>IFERROR(VALUE(TRIM(LEFT(I5273,FIND("minute",I5273)-1)))*60,0)+IFERROR(VALUE(SUBSTITUTE(MID(I5273,IFERROR(FIND("and",I5273)+3,1),20),"second(s)","")),0)</f>
        <v/>
      </c>
      <c r="K5273" s="41">
        <f>J5273/60</f>
        <v/>
      </c>
      <c r="L5273" s="41">
        <f>IFERROR(J5273/H5273,"")</f>
        <v/>
      </c>
      <c r="M5273" s="25" t="n">
        <v>3.4</v>
      </c>
      <c r="N5273" s="25">
        <f>IF(J5273&gt;300,1,0)</f>
        <v/>
      </c>
      <c r="O5273" s="25">
        <f>IF(J5273&gt;600,1,0)</f>
        <v/>
      </c>
      <c r="P5273" s="25">
        <f>IF(H5273&gt;0,J5273,"")</f>
        <v/>
      </c>
      <c r="Q5273" s="25">
        <f>TEXT(A5273,"YYYY-MM-DD HH")</f>
        <v/>
      </c>
      <c r="R5273" s="25">
        <f>COUNTIF($Q$2:$Q$5295,Q5273)</f>
        <v/>
      </c>
      <c r="S5273" s="25">
        <f>IF(R5273&lt;=2,"1-2",IF(R5273&lt;=5,"3-5",IF(R5273&lt;=10,"6-10","11+")))</f>
        <v/>
      </c>
    </row>
    <row r="5274">
      <c r="A5274" s="39" t="n">
        <v>46240.46797453704</v>
      </c>
      <c r="B5274" s="25">
        <f>TEXT(A5274,"YYYY-MM")</f>
        <v/>
      </c>
      <c r="C5274" s="25">
        <f>TEXT(A5274,"MMM-YYYY")</f>
        <v/>
      </c>
      <c r="D5274" s="40">
        <f>INT(A5274)-WEEKDAY(A5274,2)+1</f>
        <v/>
      </c>
      <c r="E5274" s="25" t="inlineStr">
        <is>
          <t>hsindwani</t>
        </is>
      </c>
      <c r="F5274" s="25" t="n">
        <v>138818</v>
      </c>
      <c r="G5274" s="25" t="n">
        <v>2</v>
      </c>
      <c r="H5274" s="25" t="n">
        <v>12</v>
      </c>
      <c r="I5274" s="25" t="inlineStr">
        <is>
          <t>2 minute(s) and 5 second(s)</t>
        </is>
      </c>
      <c r="J5274" s="25">
        <f>IFERROR(VALUE(TRIM(LEFT(I5274,FIND("minute",I5274)-1)))*60,0)+IFERROR(VALUE(SUBSTITUTE(MID(I5274,IFERROR(FIND("and",I5274)+3,1),20),"second(s)","")),0)</f>
        <v/>
      </c>
      <c r="K5274" s="41">
        <f>J5274/60</f>
        <v/>
      </c>
      <c r="L5274" s="41">
        <f>IFERROR(J5274/H5274,"")</f>
        <v/>
      </c>
      <c r="M5274" s="25" t="inlineStr">
        <is>
          <t>2.5.12</t>
        </is>
      </c>
      <c r="N5274" s="25">
        <f>IF(J5274&gt;300,1,0)</f>
        <v/>
      </c>
      <c r="O5274" s="25">
        <f>IF(J5274&gt;600,1,0)</f>
        <v/>
      </c>
      <c r="P5274" s="25">
        <f>IF(H5274&gt;0,J5274,"")</f>
        <v/>
      </c>
      <c r="Q5274" s="25">
        <f>TEXT(A5274,"YYYY-MM-DD HH")</f>
        <v/>
      </c>
      <c r="R5274" s="25">
        <f>COUNTIF($Q$2:$Q$5295,Q5274)</f>
        <v/>
      </c>
      <c r="S5274" s="25">
        <f>IF(R5274&lt;=2,"1-2",IF(R5274&lt;=5,"3-5",IF(R5274&lt;=10,"6-10","11+")))</f>
        <v/>
      </c>
    </row>
    <row r="5275">
      <c r="A5275" s="39" t="n">
        <v>46240.46804398148</v>
      </c>
      <c r="B5275" s="25">
        <f>TEXT(A5275,"YYYY-MM")</f>
        <v/>
      </c>
      <c r="C5275" s="25">
        <f>TEXT(A5275,"MMM-YYYY")</f>
        <v/>
      </c>
      <c r="D5275" s="40">
        <f>INT(A5275)-WEEKDAY(A5275,2)+1</f>
        <v/>
      </c>
      <c r="E5275" s="25" t="inlineStr">
        <is>
          <t>ethomas</t>
        </is>
      </c>
      <c r="F5275" s="25" t="n">
        <v>139290</v>
      </c>
      <c r="G5275" s="25" t="n">
        <v>2</v>
      </c>
      <c r="H5275" s="25" t="n">
        <v>10</v>
      </c>
      <c r="I5275" s="25" t="inlineStr">
        <is>
          <t>1 minute(s) and 33 second(s)</t>
        </is>
      </c>
      <c r="J5275" s="25">
        <f>IFERROR(VALUE(TRIM(LEFT(I5275,FIND("minute",I5275)-1)))*60,0)+IFERROR(VALUE(SUBSTITUTE(MID(I5275,IFERROR(FIND("and",I5275)+3,1),20),"second(s)","")),0)</f>
        <v/>
      </c>
      <c r="K5275" s="41">
        <f>J5275/60</f>
        <v/>
      </c>
      <c r="L5275" s="41">
        <f>IFERROR(J5275/H5275,"")</f>
        <v/>
      </c>
      <c r="M5275" s="25" t="n">
        <v>3.4</v>
      </c>
      <c r="N5275" s="25">
        <f>IF(J5275&gt;300,1,0)</f>
        <v/>
      </c>
      <c r="O5275" s="25">
        <f>IF(J5275&gt;600,1,0)</f>
        <v/>
      </c>
      <c r="P5275" s="25">
        <f>IF(H5275&gt;0,J5275,"")</f>
        <v/>
      </c>
      <c r="Q5275" s="25">
        <f>TEXT(A5275,"YYYY-MM-DD HH")</f>
        <v/>
      </c>
      <c r="R5275" s="25">
        <f>COUNTIF($Q$2:$Q$5295,Q5275)</f>
        <v/>
      </c>
      <c r="S5275" s="25">
        <f>IF(R5275&lt;=2,"1-2",IF(R5275&lt;=5,"3-5",IF(R5275&lt;=10,"6-10","11+")))</f>
        <v/>
      </c>
    </row>
    <row r="5276">
      <c r="A5276" s="39" t="n">
        <v>46240.47042824074</v>
      </c>
      <c r="B5276" s="25">
        <f>TEXT(A5276,"YYYY-MM")</f>
        <v/>
      </c>
      <c r="C5276" s="25">
        <f>TEXT(A5276,"MMM-YYYY")</f>
        <v/>
      </c>
      <c r="D5276" s="40">
        <f>INT(A5276)-WEEKDAY(A5276,2)+1</f>
        <v/>
      </c>
      <c r="E5276" s="25" t="inlineStr">
        <is>
          <t>tkarmakar</t>
        </is>
      </c>
      <c r="F5276" s="25" t="n">
        <v>135669</v>
      </c>
      <c r="G5276" s="25" t="n">
        <v>2</v>
      </c>
      <c r="H5276" s="25" t="n">
        <v>14</v>
      </c>
      <c r="I5276" s="25" t="inlineStr">
        <is>
          <t>2 minute(s) and 3 second(s)</t>
        </is>
      </c>
      <c r="J5276" s="25">
        <f>IFERROR(VALUE(TRIM(LEFT(I5276,FIND("minute",I5276)-1)))*60,0)+IFERROR(VALUE(SUBSTITUTE(MID(I5276,IFERROR(FIND("and",I5276)+3,1),20),"second(s)","")),0)</f>
        <v/>
      </c>
      <c r="K5276" s="41">
        <f>J5276/60</f>
        <v/>
      </c>
      <c r="L5276" s="41">
        <f>IFERROR(J5276/H5276,"")</f>
        <v/>
      </c>
      <c r="M5276" s="25" t="n">
        <v>3.4</v>
      </c>
      <c r="N5276" s="25">
        <f>IF(J5276&gt;300,1,0)</f>
        <v/>
      </c>
      <c r="O5276" s="25">
        <f>IF(J5276&gt;600,1,0)</f>
        <v/>
      </c>
      <c r="P5276" s="25">
        <f>IF(H5276&gt;0,J5276,"")</f>
        <v/>
      </c>
      <c r="Q5276" s="25">
        <f>TEXT(A5276,"YYYY-MM-DD HH")</f>
        <v/>
      </c>
      <c r="R5276" s="25">
        <f>COUNTIF($Q$2:$Q$5295,Q5276)</f>
        <v/>
      </c>
      <c r="S5276" s="25">
        <f>IF(R5276&lt;=2,"1-2",IF(R5276&lt;=5,"3-5",IF(R5276&lt;=10,"6-10","11+")))</f>
        <v/>
      </c>
    </row>
    <row r="5277">
      <c r="A5277" s="39" t="n">
        <v>46240.47780092592</v>
      </c>
      <c r="B5277" s="25">
        <f>TEXT(A5277,"YYYY-MM")</f>
        <v/>
      </c>
      <c r="C5277" s="25">
        <f>TEXT(A5277,"MMM-YYYY")</f>
        <v/>
      </c>
      <c r="D5277" s="40">
        <f>INT(A5277)-WEEKDAY(A5277,2)+1</f>
        <v/>
      </c>
      <c r="E5277" s="25" t="inlineStr">
        <is>
          <t>pmodak</t>
        </is>
      </c>
      <c r="F5277" s="25" t="n">
        <v>135603</v>
      </c>
      <c r="G5277" s="25" t="n">
        <v>4</v>
      </c>
      <c r="H5277" s="25" t="n">
        <v>21</v>
      </c>
      <c r="I5277" s="25" t="inlineStr">
        <is>
          <t>4 minute(s) and 8 second(s)</t>
        </is>
      </c>
      <c r="J5277" s="25">
        <f>IFERROR(VALUE(TRIM(LEFT(I5277,FIND("minute",I5277)-1)))*60,0)+IFERROR(VALUE(SUBSTITUTE(MID(I5277,IFERROR(FIND("and",I5277)+3,1),20),"second(s)","")),0)</f>
        <v/>
      </c>
      <c r="K5277" s="41">
        <f>J5277/60</f>
        <v/>
      </c>
      <c r="L5277" s="41">
        <f>IFERROR(J5277/H5277,"")</f>
        <v/>
      </c>
      <c r="M5277" s="25" t="n">
        <v>3.4</v>
      </c>
      <c r="N5277" s="25">
        <f>IF(J5277&gt;300,1,0)</f>
        <v/>
      </c>
      <c r="O5277" s="25">
        <f>IF(J5277&gt;600,1,0)</f>
        <v/>
      </c>
      <c r="P5277" s="25">
        <f>IF(H5277&gt;0,J5277,"")</f>
        <v/>
      </c>
      <c r="Q5277" s="25">
        <f>TEXT(A5277,"YYYY-MM-DD HH")</f>
        <v/>
      </c>
      <c r="R5277" s="25">
        <f>COUNTIF($Q$2:$Q$5295,Q5277)</f>
        <v/>
      </c>
      <c r="S5277" s="25">
        <f>IF(R5277&lt;=2,"1-2",IF(R5277&lt;=5,"3-5",IF(R5277&lt;=10,"6-10","11+")))</f>
        <v/>
      </c>
    </row>
    <row r="5278">
      <c r="A5278" s="39" t="n">
        <v>46240.47828703704</v>
      </c>
      <c r="B5278" s="25">
        <f>TEXT(A5278,"YYYY-MM")</f>
        <v/>
      </c>
      <c r="C5278" s="25">
        <f>TEXT(A5278,"MMM-YYYY")</f>
        <v/>
      </c>
      <c r="D5278" s="40">
        <f>INT(A5278)-WEEKDAY(A5278,2)+1</f>
        <v/>
      </c>
      <c r="E5278" s="25" t="inlineStr">
        <is>
          <t>pgautam</t>
        </is>
      </c>
      <c r="F5278" s="25" t="n">
        <v>132764</v>
      </c>
      <c r="G5278" s="25" t="n">
        <v>4</v>
      </c>
      <c r="H5278" s="25" t="n">
        <v>24</v>
      </c>
      <c r="I5278" s="25" t="inlineStr">
        <is>
          <t>2 minute(s) and 52 second(s)</t>
        </is>
      </c>
      <c r="J5278" s="25">
        <f>IFERROR(VALUE(TRIM(LEFT(I5278,FIND("minute",I5278)-1)))*60,0)+IFERROR(VALUE(SUBSTITUTE(MID(I5278,IFERROR(FIND("and",I5278)+3,1),20),"second(s)","")),0)</f>
        <v/>
      </c>
      <c r="K5278" s="41">
        <f>J5278/60</f>
        <v/>
      </c>
      <c r="L5278" s="41">
        <f>IFERROR(J5278/H5278,"")</f>
        <v/>
      </c>
      <c r="M5278" s="25" t="n">
        <v>3.4</v>
      </c>
      <c r="N5278" s="25">
        <f>IF(J5278&gt;300,1,0)</f>
        <v/>
      </c>
      <c r="O5278" s="25">
        <f>IF(J5278&gt;600,1,0)</f>
        <v/>
      </c>
      <c r="P5278" s="25">
        <f>IF(H5278&gt;0,J5278,"")</f>
        <v/>
      </c>
      <c r="Q5278" s="25">
        <f>TEXT(A5278,"YYYY-MM-DD HH")</f>
        <v/>
      </c>
      <c r="R5278" s="25">
        <f>COUNTIF($Q$2:$Q$5295,Q5278)</f>
        <v/>
      </c>
      <c r="S5278" s="25">
        <f>IF(R5278&lt;=2,"1-2",IF(R5278&lt;=5,"3-5",IF(R5278&lt;=10,"6-10","11+")))</f>
        <v/>
      </c>
    </row>
    <row r="5279">
      <c r="A5279" s="39" t="n">
        <v>46240.48143518518</v>
      </c>
      <c r="B5279" s="25">
        <f>TEXT(A5279,"YYYY-MM")</f>
        <v/>
      </c>
      <c r="C5279" s="25">
        <f>TEXT(A5279,"MMM-YYYY")</f>
        <v/>
      </c>
      <c r="D5279" s="40">
        <f>INT(A5279)-WEEKDAY(A5279,2)+1</f>
        <v/>
      </c>
      <c r="E5279" s="25" t="inlineStr">
        <is>
          <t>mbhalla</t>
        </is>
      </c>
      <c r="F5279" s="25" t="n">
        <v>137035</v>
      </c>
      <c r="G5279" s="25" t="n">
        <v>2</v>
      </c>
      <c r="H5279" s="25" t="n">
        <v>10</v>
      </c>
      <c r="I5279" s="25" t="inlineStr">
        <is>
          <t>1 minute(s) and 27 second(s)</t>
        </is>
      </c>
      <c r="J5279" s="25">
        <f>IFERROR(VALUE(TRIM(LEFT(I5279,FIND("minute",I5279)-1)))*60,0)+IFERROR(VALUE(SUBSTITUTE(MID(I5279,IFERROR(FIND("and",I5279)+3,1),20),"second(s)","")),0)</f>
        <v/>
      </c>
      <c r="K5279" s="41">
        <f>J5279/60</f>
        <v/>
      </c>
      <c r="L5279" s="41">
        <f>IFERROR(J5279/H5279,"")</f>
        <v/>
      </c>
      <c r="M5279" s="25" t="n">
        <v>3.4</v>
      </c>
      <c r="N5279" s="25">
        <f>IF(J5279&gt;300,1,0)</f>
        <v/>
      </c>
      <c r="O5279" s="25">
        <f>IF(J5279&gt;600,1,0)</f>
        <v/>
      </c>
      <c r="P5279" s="25">
        <f>IF(H5279&gt;0,J5279,"")</f>
        <v/>
      </c>
      <c r="Q5279" s="25">
        <f>TEXT(A5279,"YYYY-MM-DD HH")</f>
        <v/>
      </c>
      <c r="R5279" s="25">
        <f>COUNTIF($Q$2:$Q$5295,Q5279)</f>
        <v/>
      </c>
      <c r="S5279" s="25">
        <f>IF(R5279&lt;=2,"1-2",IF(R5279&lt;=5,"3-5",IF(R5279&lt;=10,"6-10","11+")))</f>
        <v/>
      </c>
    </row>
    <row r="5280">
      <c r="A5280" s="39" t="n">
        <v>46240.50258101852</v>
      </c>
      <c r="B5280" s="25">
        <f>TEXT(A5280,"YYYY-MM")</f>
        <v/>
      </c>
      <c r="C5280" s="25">
        <f>TEXT(A5280,"MMM-YYYY")</f>
        <v/>
      </c>
      <c r="D5280" s="40">
        <f>INT(A5280)-WEEKDAY(A5280,2)+1</f>
        <v/>
      </c>
      <c r="E5280" s="25" t="inlineStr">
        <is>
          <t>ethomas</t>
        </is>
      </c>
      <c r="F5280" s="25" t="n">
        <v>139362</v>
      </c>
      <c r="G5280" s="25" t="n">
        <v>2</v>
      </c>
      <c r="H5280" s="25" t="n">
        <v>8</v>
      </c>
      <c r="I5280" s="25" t="inlineStr">
        <is>
          <t>1 minute(s) and 20 second(s)</t>
        </is>
      </c>
      <c r="J5280" s="25">
        <f>IFERROR(VALUE(TRIM(LEFT(I5280,FIND("minute",I5280)-1)))*60,0)+IFERROR(VALUE(SUBSTITUTE(MID(I5280,IFERROR(FIND("and",I5280)+3,1),20),"second(s)","")),0)</f>
        <v/>
      </c>
      <c r="K5280" s="41">
        <f>J5280/60</f>
        <v/>
      </c>
      <c r="L5280" s="41">
        <f>IFERROR(J5280/H5280,"")</f>
        <v/>
      </c>
      <c r="M5280" s="25" t="n">
        <v>3.4</v>
      </c>
      <c r="N5280" s="25">
        <f>IF(J5280&gt;300,1,0)</f>
        <v/>
      </c>
      <c r="O5280" s="25">
        <f>IF(J5280&gt;600,1,0)</f>
        <v/>
      </c>
      <c r="P5280" s="25">
        <f>IF(H5280&gt;0,J5280,"")</f>
        <v/>
      </c>
      <c r="Q5280" s="25">
        <f>TEXT(A5280,"YYYY-MM-DD HH")</f>
        <v/>
      </c>
      <c r="R5280" s="25">
        <f>COUNTIF($Q$2:$Q$5295,Q5280)</f>
        <v/>
      </c>
      <c r="S5280" s="25">
        <f>IF(R5280&lt;=2,"1-2",IF(R5280&lt;=5,"3-5",IF(R5280&lt;=10,"6-10","11+")))</f>
        <v/>
      </c>
    </row>
    <row r="5281">
      <c r="A5281" s="39" t="n">
        <v>46240.51666666667</v>
      </c>
      <c r="B5281" s="25">
        <f>TEXT(A5281,"YYYY-MM")</f>
        <v/>
      </c>
      <c r="C5281" s="25">
        <f>TEXT(A5281,"MMM-YYYY")</f>
        <v/>
      </c>
      <c r="D5281" s="40">
        <f>INT(A5281)-WEEKDAY(A5281,2)+1</f>
        <v/>
      </c>
      <c r="E5281" s="25" t="inlineStr">
        <is>
          <t>sswati</t>
        </is>
      </c>
      <c r="F5281" s="25" t="n">
        <v>135021</v>
      </c>
      <c r="G5281" s="25" t="n">
        <v>1</v>
      </c>
      <c r="H5281" s="25" t="n">
        <v>7</v>
      </c>
      <c r="I5281" s="25" t="inlineStr">
        <is>
          <t>51 second(s)</t>
        </is>
      </c>
      <c r="J5281" s="25">
        <f>IFERROR(VALUE(TRIM(LEFT(I5281,FIND("minute",I5281)-1)))*60,0)+IFERROR(VALUE(SUBSTITUTE(MID(I5281,IFERROR(FIND("and",I5281)+3,1),20),"second(s)","")),0)</f>
        <v/>
      </c>
      <c r="K5281" s="41">
        <f>J5281/60</f>
        <v/>
      </c>
      <c r="L5281" s="41">
        <f>IFERROR(J5281/H5281,"")</f>
        <v/>
      </c>
      <c r="M5281" s="25" t="n">
        <v>3.4</v>
      </c>
      <c r="N5281" s="25">
        <f>IF(J5281&gt;300,1,0)</f>
        <v/>
      </c>
      <c r="O5281" s="25">
        <f>IF(J5281&gt;600,1,0)</f>
        <v/>
      </c>
      <c r="P5281" s="25">
        <f>IF(H5281&gt;0,J5281,"")</f>
        <v/>
      </c>
      <c r="Q5281" s="25">
        <f>TEXT(A5281,"YYYY-MM-DD HH")</f>
        <v/>
      </c>
      <c r="R5281" s="25">
        <f>COUNTIF($Q$2:$Q$5295,Q5281)</f>
        <v/>
      </c>
      <c r="S5281" s="25">
        <f>IF(R5281&lt;=2,"1-2",IF(R5281&lt;=5,"3-5",IF(R5281&lt;=10,"6-10","11+")))</f>
        <v/>
      </c>
    </row>
    <row r="5282">
      <c r="A5282" s="39" t="n">
        <v>46240.53658564815</v>
      </c>
      <c r="B5282" s="25">
        <f>TEXT(A5282,"YYYY-MM")</f>
        <v/>
      </c>
      <c r="C5282" s="25">
        <f>TEXT(A5282,"MMM-YYYY")</f>
        <v/>
      </c>
      <c r="D5282" s="40">
        <f>INT(A5282)-WEEKDAY(A5282,2)+1</f>
        <v/>
      </c>
      <c r="E5282" s="25" t="inlineStr">
        <is>
          <t>emishra</t>
        </is>
      </c>
      <c r="F5282" s="25" t="n">
        <v>139481</v>
      </c>
      <c r="G5282" s="25" t="n">
        <v>1</v>
      </c>
      <c r="H5282" s="25" t="n">
        <v>5</v>
      </c>
      <c r="I5282" s="25" t="inlineStr">
        <is>
          <t>47 second(s)</t>
        </is>
      </c>
      <c r="J5282" s="25">
        <f>IFERROR(VALUE(TRIM(LEFT(I5282,FIND("minute",I5282)-1)))*60,0)+IFERROR(VALUE(SUBSTITUTE(MID(I5282,IFERROR(FIND("and",I5282)+3,1),20),"second(s)","")),0)</f>
        <v/>
      </c>
      <c r="K5282" s="41">
        <f>J5282/60</f>
        <v/>
      </c>
      <c r="L5282" s="41">
        <f>IFERROR(J5282/H5282,"")</f>
        <v/>
      </c>
      <c r="M5282" s="25" t="n">
        <v>3.4</v>
      </c>
      <c r="N5282" s="25">
        <f>IF(J5282&gt;300,1,0)</f>
        <v/>
      </c>
      <c r="O5282" s="25">
        <f>IF(J5282&gt;600,1,0)</f>
        <v/>
      </c>
      <c r="P5282" s="25">
        <f>IF(H5282&gt;0,J5282,"")</f>
        <v/>
      </c>
      <c r="Q5282" s="25">
        <f>TEXT(A5282,"YYYY-MM-DD HH")</f>
        <v/>
      </c>
      <c r="R5282" s="25">
        <f>COUNTIF($Q$2:$Q$5295,Q5282)</f>
        <v/>
      </c>
      <c r="S5282" s="25">
        <f>IF(R5282&lt;=2,"1-2",IF(R5282&lt;=5,"3-5",IF(R5282&lt;=10,"6-10","11+")))</f>
        <v/>
      </c>
    </row>
    <row r="5283">
      <c r="A5283" s="39" t="n">
        <v>46240.54913194444</v>
      </c>
      <c r="B5283" s="25">
        <f>TEXT(A5283,"YYYY-MM")</f>
        <v/>
      </c>
      <c r="C5283" s="25">
        <f>TEXT(A5283,"MMM-YYYY")</f>
        <v/>
      </c>
      <c r="D5283" s="40">
        <f>INT(A5283)-WEEKDAY(A5283,2)+1</f>
        <v/>
      </c>
      <c r="E5283" s="25" t="inlineStr">
        <is>
          <t>psathwika</t>
        </is>
      </c>
      <c r="F5283" s="25" t="n">
        <v>138703</v>
      </c>
      <c r="G5283" s="25" t="n">
        <v>2</v>
      </c>
      <c r="H5283" s="25" t="n">
        <v>8</v>
      </c>
      <c r="I5283" s="25" t="inlineStr">
        <is>
          <t>51 second(s)</t>
        </is>
      </c>
      <c r="J5283" s="25">
        <f>IFERROR(VALUE(TRIM(LEFT(I5283,FIND("minute",I5283)-1)))*60,0)+IFERROR(VALUE(SUBSTITUTE(MID(I5283,IFERROR(FIND("and",I5283)+3,1),20),"second(s)","")),0)</f>
        <v/>
      </c>
      <c r="K5283" s="41">
        <f>J5283/60</f>
        <v/>
      </c>
      <c r="L5283" s="41">
        <f>IFERROR(J5283/H5283,"")</f>
        <v/>
      </c>
      <c r="M5283" s="25" t="inlineStr">
        <is>
          <t>2.5.12</t>
        </is>
      </c>
      <c r="N5283" s="25">
        <f>IF(J5283&gt;300,1,0)</f>
        <v/>
      </c>
      <c r="O5283" s="25">
        <f>IF(J5283&gt;600,1,0)</f>
        <v/>
      </c>
      <c r="P5283" s="25">
        <f>IF(H5283&gt;0,J5283,"")</f>
        <v/>
      </c>
      <c r="Q5283" s="25">
        <f>TEXT(A5283,"YYYY-MM-DD HH")</f>
        <v/>
      </c>
      <c r="R5283" s="25">
        <f>COUNTIF($Q$2:$Q$5295,Q5283)</f>
        <v/>
      </c>
      <c r="S5283" s="25">
        <f>IF(R5283&lt;=2,"1-2",IF(R5283&lt;=5,"3-5",IF(R5283&lt;=10,"6-10","11+")))</f>
        <v/>
      </c>
    </row>
    <row r="5284">
      <c r="A5284" s="39" t="n">
        <v>46240.56056712963</v>
      </c>
      <c r="B5284" s="25">
        <f>TEXT(A5284,"YYYY-MM")</f>
        <v/>
      </c>
      <c r="C5284" s="25">
        <f>TEXT(A5284,"MMM-YYYY")</f>
        <v/>
      </c>
      <c r="D5284" s="40">
        <f>INT(A5284)-WEEKDAY(A5284,2)+1</f>
        <v/>
      </c>
      <c r="E5284" s="25" t="inlineStr">
        <is>
          <t>ajain</t>
        </is>
      </c>
      <c r="F5284" s="25" t="n">
        <v>135317</v>
      </c>
      <c r="G5284" s="25" t="n">
        <v>1</v>
      </c>
      <c r="H5284" s="25" t="n">
        <v>5</v>
      </c>
      <c r="I5284" s="25" t="inlineStr">
        <is>
          <t>20 second(s)</t>
        </is>
      </c>
      <c r="J5284" s="25">
        <f>IFERROR(VALUE(TRIM(LEFT(I5284,FIND("minute",I5284)-1)))*60,0)+IFERROR(VALUE(SUBSTITUTE(MID(I5284,IFERROR(FIND("and",I5284)+3,1),20),"second(s)","")),0)</f>
        <v/>
      </c>
      <c r="K5284" s="41">
        <f>J5284/60</f>
        <v/>
      </c>
      <c r="L5284" s="41">
        <f>IFERROR(J5284/H5284,"")</f>
        <v/>
      </c>
      <c r="M5284" s="25" t="inlineStr">
        <is>
          <t>2.5.12</t>
        </is>
      </c>
      <c r="N5284" s="25">
        <f>IF(J5284&gt;300,1,0)</f>
        <v/>
      </c>
      <c r="O5284" s="25">
        <f>IF(J5284&gt;600,1,0)</f>
        <v/>
      </c>
      <c r="P5284" s="25">
        <f>IF(H5284&gt;0,J5284,"")</f>
        <v/>
      </c>
      <c r="Q5284" s="25">
        <f>TEXT(A5284,"YYYY-MM-DD HH")</f>
        <v/>
      </c>
      <c r="R5284" s="25">
        <f>COUNTIF($Q$2:$Q$5295,Q5284)</f>
        <v/>
      </c>
      <c r="S5284" s="25">
        <f>IF(R5284&lt;=2,"1-2",IF(R5284&lt;=5,"3-5",IF(R5284&lt;=10,"6-10","11+")))</f>
        <v/>
      </c>
    </row>
    <row r="5285">
      <c r="A5285" s="39" t="n">
        <v>46240.60254629629</v>
      </c>
      <c r="B5285" s="25">
        <f>TEXT(A5285,"YYYY-MM")</f>
        <v/>
      </c>
      <c r="C5285" s="25">
        <f>TEXT(A5285,"MMM-YYYY")</f>
        <v/>
      </c>
      <c r="D5285" s="40">
        <f>INT(A5285)-WEEKDAY(A5285,2)+1</f>
        <v/>
      </c>
      <c r="E5285" s="25" t="inlineStr">
        <is>
          <t>ssaha</t>
        </is>
      </c>
      <c r="F5285" s="25" t="n">
        <v>134236</v>
      </c>
      <c r="G5285" s="25" t="n">
        <v>1</v>
      </c>
      <c r="H5285" s="25" t="n">
        <v>6</v>
      </c>
      <c r="I5285" s="25" t="inlineStr">
        <is>
          <t>3 minute(s) and 40 second(s)</t>
        </is>
      </c>
      <c r="J5285" s="25">
        <f>IFERROR(VALUE(TRIM(LEFT(I5285,FIND("minute",I5285)-1)))*60,0)+IFERROR(VALUE(SUBSTITUTE(MID(I5285,IFERROR(FIND("and",I5285)+3,1),20),"second(s)","")),0)</f>
        <v/>
      </c>
      <c r="K5285" s="41">
        <f>J5285/60</f>
        <v/>
      </c>
      <c r="L5285" s="41">
        <f>IFERROR(J5285/H5285,"")</f>
        <v/>
      </c>
      <c r="M5285" s="25" t="n">
        <v>3.5</v>
      </c>
      <c r="N5285" s="25">
        <f>IF(J5285&gt;300,1,0)</f>
        <v/>
      </c>
      <c r="O5285" s="25">
        <f>IF(J5285&gt;600,1,0)</f>
        <v/>
      </c>
      <c r="P5285" s="25">
        <f>IF(H5285&gt;0,J5285,"")</f>
        <v/>
      </c>
      <c r="Q5285" s="25">
        <f>TEXT(A5285,"YYYY-MM-DD HH")</f>
        <v/>
      </c>
      <c r="R5285" s="25">
        <f>COUNTIF($Q$2:$Q$5295,Q5285)</f>
        <v/>
      </c>
      <c r="S5285" s="25">
        <f>IF(R5285&lt;=2,"1-2",IF(R5285&lt;=5,"3-5",IF(R5285&lt;=10,"6-10","11+")))</f>
        <v/>
      </c>
    </row>
    <row r="5286">
      <c r="A5286" s="39" t="n">
        <v>46240.71112268518</v>
      </c>
      <c r="B5286" s="25">
        <f>TEXT(A5286,"YYYY-MM")</f>
        <v/>
      </c>
      <c r="C5286" s="25">
        <f>TEXT(A5286,"MMM-YYYY")</f>
        <v/>
      </c>
      <c r="D5286" s="40">
        <f>INT(A5286)-WEEKDAY(A5286,2)+1</f>
        <v/>
      </c>
      <c r="E5286" s="25" t="inlineStr">
        <is>
          <t>psingh</t>
        </is>
      </c>
      <c r="F5286" s="25" t="n">
        <v>138042</v>
      </c>
      <c r="G5286" s="25" t="n">
        <v>1</v>
      </c>
      <c r="H5286" s="25" t="n">
        <v>7</v>
      </c>
      <c r="I5286" s="25" t="inlineStr">
        <is>
          <t>1 minute(s) and 23 second(s)</t>
        </is>
      </c>
      <c r="J5286" s="25">
        <f>IFERROR(VALUE(TRIM(LEFT(I5286,FIND("minute",I5286)-1)))*60,0)+IFERROR(VALUE(SUBSTITUTE(MID(I5286,IFERROR(FIND("and",I5286)+3,1),20),"second(s)","")),0)</f>
        <v/>
      </c>
      <c r="K5286" s="41">
        <f>J5286/60</f>
        <v/>
      </c>
      <c r="L5286" s="41">
        <f>IFERROR(J5286/H5286,"")</f>
        <v/>
      </c>
      <c r="M5286" s="25" t="n">
        <v>3.4</v>
      </c>
      <c r="N5286" s="25">
        <f>IF(J5286&gt;300,1,0)</f>
        <v/>
      </c>
      <c r="O5286" s="25">
        <f>IF(J5286&gt;600,1,0)</f>
        <v/>
      </c>
      <c r="P5286" s="25">
        <f>IF(H5286&gt;0,J5286,"")</f>
        <v/>
      </c>
      <c r="Q5286" s="25">
        <f>TEXT(A5286,"YYYY-MM-DD HH")</f>
        <v/>
      </c>
      <c r="R5286" s="25">
        <f>COUNTIF($Q$2:$Q$5295,Q5286)</f>
        <v/>
      </c>
      <c r="S5286" s="25">
        <f>IF(R5286&lt;=2,"1-2",IF(R5286&lt;=5,"3-5",IF(R5286&lt;=10,"6-10","11+")))</f>
        <v/>
      </c>
    </row>
    <row r="5287">
      <c r="A5287" s="39" t="n">
        <v>46240.73553240741</v>
      </c>
      <c r="B5287" s="25">
        <f>TEXT(A5287,"YYYY-MM")</f>
        <v/>
      </c>
      <c r="C5287" s="25">
        <f>TEXT(A5287,"MMM-YYYY")</f>
        <v/>
      </c>
      <c r="D5287" s="40">
        <f>INT(A5287)-WEEKDAY(A5287,2)+1</f>
        <v/>
      </c>
      <c r="E5287" s="25" t="inlineStr">
        <is>
          <t>ssaha</t>
        </is>
      </c>
      <c r="F5287" s="25" t="n">
        <v>134572</v>
      </c>
      <c r="G5287" s="25" t="n">
        <v>3</v>
      </c>
      <c r="H5287" s="25" t="n">
        <v>7</v>
      </c>
      <c r="I5287" s="25" t="inlineStr">
        <is>
          <t>5 minute(s) and 49 second(s)</t>
        </is>
      </c>
      <c r="J5287" s="25">
        <f>IFERROR(VALUE(TRIM(LEFT(I5287,FIND("minute",I5287)-1)))*60,0)+IFERROR(VALUE(SUBSTITUTE(MID(I5287,IFERROR(FIND("and",I5287)+3,1),20),"second(s)","")),0)</f>
        <v/>
      </c>
      <c r="K5287" s="41">
        <f>J5287/60</f>
        <v/>
      </c>
      <c r="L5287" s="41">
        <f>IFERROR(J5287/H5287,"")</f>
        <v/>
      </c>
      <c r="M5287" s="25" t="n">
        <v>3.5</v>
      </c>
      <c r="N5287" s="25">
        <f>IF(J5287&gt;300,1,0)</f>
        <v/>
      </c>
      <c r="O5287" s="25">
        <f>IF(J5287&gt;600,1,0)</f>
        <v/>
      </c>
      <c r="P5287" s="25">
        <f>IF(H5287&gt;0,J5287,"")</f>
        <v/>
      </c>
      <c r="Q5287" s="25">
        <f>TEXT(A5287,"YYYY-MM-DD HH")</f>
        <v/>
      </c>
      <c r="R5287" s="25">
        <f>COUNTIF($Q$2:$Q$5295,Q5287)</f>
        <v/>
      </c>
      <c r="S5287" s="25">
        <f>IF(R5287&lt;=2,"1-2",IF(R5287&lt;=5,"3-5",IF(R5287&lt;=10,"6-10","11+")))</f>
        <v/>
      </c>
    </row>
    <row r="5288">
      <c r="A5288" s="39" t="n">
        <v>46240.75577546296</v>
      </c>
      <c r="B5288" s="25">
        <f>TEXT(A5288,"YYYY-MM")</f>
        <v/>
      </c>
      <c r="C5288" s="25">
        <f>TEXT(A5288,"MMM-YYYY")</f>
        <v/>
      </c>
      <c r="D5288" s="40">
        <f>INT(A5288)-WEEKDAY(A5288,2)+1</f>
        <v/>
      </c>
      <c r="E5288" s="25" t="inlineStr">
        <is>
          <t>ssaha</t>
        </is>
      </c>
      <c r="F5288" s="25" t="n">
        <v>134572</v>
      </c>
      <c r="G5288" s="25" t="n">
        <v>3</v>
      </c>
      <c r="H5288" s="25" t="n">
        <v>2</v>
      </c>
      <c r="I5288" s="25" t="inlineStr">
        <is>
          <t>55 second(s)</t>
        </is>
      </c>
      <c r="J5288" s="25">
        <f>IFERROR(VALUE(TRIM(LEFT(I5288,FIND("minute",I5288)-1)))*60,0)+IFERROR(VALUE(SUBSTITUTE(MID(I5288,IFERROR(FIND("and",I5288)+3,1),20),"second(s)","")),0)</f>
        <v/>
      </c>
      <c r="K5288" s="41">
        <f>J5288/60</f>
        <v/>
      </c>
      <c r="L5288" s="41">
        <f>IFERROR(J5288/H5288,"")</f>
        <v/>
      </c>
      <c r="M5288" s="25" t="n">
        <v>3.5</v>
      </c>
      <c r="N5288" s="25">
        <f>IF(J5288&gt;300,1,0)</f>
        <v/>
      </c>
      <c r="O5288" s="25">
        <f>IF(J5288&gt;600,1,0)</f>
        <v/>
      </c>
      <c r="P5288" s="25">
        <f>IF(H5288&gt;0,J5288,"")</f>
        <v/>
      </c>
      <c r="Q5288" s="25">
        <f>TEXT(A5288,"YYYY-MM-DD HH")</f>
        <v/>
      </c>
      <c r="R5288" s="25">
        <f>COUNTIF($Q$2:$Q$5295,Q5288)</f>
        <v/>
      </c>
      <c r="S5288" s="25">
        <f>IF(R5288&lt;=2,"1-2",IF(R5288&lt;=5,"3-5",IF(R5288&lt;=10,"6-10","11+")))</f>
        <v/>
      </c>
    </row>
    <row r="5289">
      <c r="A5289" s="39" t="n">
        <v>46241.03125</v>
      </c>
      <c r="B5289" s="25">
        <f>TEXT(A5289,"YYYY-MM")</f>
        <v/>
      </c>
      <c r="C5289" s="25">
        <f>TEXT(A5289,"MMM-YYYY")</f>
        <v/>
      </c>
      <c r="D5289" s="40">
        <f>INT(A5289)-WEEKDAY(A5289,2)+1</f>
        <v/>
      </c>
      <c r="E5289" s="25" t="inlineStr">
        <is>
          <t>ssaha</t>
        </is>
      </c>
      <c r="F5289" s="25" t="n">
        <v>134596</v>
      </c>
      <c r="G5289" s="25" t="n">
        <v>2</v>
      </c>
      <c r="H5289" s="25" t="n">
        <v>3</v>
      </c>
      <c r="I5289" s="25" t="inlineStr">
        <is>
          <t>32 second(s)</t>
        </is>
      </c>
      <c r="J5289" s="25">
        <f>IFERROR(VALUE(TRIM(LEFT(I5289,FIND("minute",I5289)-1)))*60,0)+IFERROR(VALUE(SUBSTITUTE(MID(I5289,IFERROR(FIND("and",I5289)+3,1),20),"second(s)","")),0)</f>
        <v/>
      </c>
      <c r="K5289" s="41">
        <f>J5289/60</f>
        <v/>
      </c>
      <c r="L5289" s="41">
        <f>IFERROR(J5289/H5289,"")</f>
        <v/>
      </c>
      <c r="M5289" s="25" t="n">
        <v>3.5</v>
      </c>
      <c r="N5289" s="25">
        <f>IF(J5289&gt;300,1,0)</f>
        <v/>
      </c>
      <c r="O5289" s="25">
        <f>IF(J5289&gt;600,1,0)</f>
        <v/>
      </c>
      <c r="P5289" s="25">
        <f>IF(H5289&gt;0,J5289,"")</f>
        <v/>
      </c>
      <c r="Q5289" s="25">
        <f>TEXT(A5289,"YYYY-MM-DD HH")</f>
        <v/>
      </c>
      <c r="R5289" s="25">
        <f>COUNTIF($Q$2:$Q$5295,Q5289)</f>
        <v/>
      </c>
      <c r="S5289" s="25">
        <f>IF(R5289&lt;=2,"1-2",IF(R5289&lt;=5,"3-5",IF(R5289&lt;=10,"6-10","11+")))</f>
        <v/>
      </c>
    </row>
    <row r="5290">
      <c r="A5290" s="39" t="n">
        <v>46241.35439814815</v>
      </c>
      <c r="B5290" s="25">
        <f>TEXT(A5290,"YYYY-MM")</f>
        <v/>
      </c>
      <c r="C5290" s="25">
        <f>TEXT(A5290,"MMM-YYYY")</f>
        <v/>
      </c>
      <c r="D5290" s="40">
        <f>INT(A5290)-WEEKDAY(A5290,2)+1</f>
        <v/>
      </c>
      <c r="E5290" s="25" t="inlineStr">
        <is>
          <t>ssaha</t>
        </is>
      </c>
      <c r="F5290" s="25" t="n">
        <v>134244</v>
      </c>
      <c r="G5290" s="25" t="n">
        <v>3</v>
      </c>
      <c r="H5290" s="25" t="n">
        <v>13</v>
      </c>
      <c r="I5290" s="25" t="inlineStr">
        <is>
          <t>4 minute(s) and 40 second(s)</t>
        </is>
      </c>
      <c r="J5290" s="25">
        <f>IFERROR(VALUE(TRIM(LEFT(I5290,FIND("minute",I5290)-1)))*60,0)+IFERROR(VALUE(SUBSTITUTE(MID(I5290,IFERROR(FIND("and",I5290)+3,1),20),"second(s)","")),0)</f>
        <v/>
      </c>
      <c r="K5290" s="41">
        <f>J5290/60</f>
        <v/>
      </c>
      <c r="L5290" s="41">
        <f>IFERROR(J5290/H5290,"")</f>
        <v/>
      </c>
      <c r="M5290" s="25" t="n">
        <v>3.5</v>
      </c>
      <c r="N5290" s="25">
        <f>IF(J5290&gt;300,1,0)</f>
        <v/>
      </c>
      <c r="O5290" s="25">
        <f>IF(J5290&gt;600,1,0)</f>
        <v/>
      </c>
      <c r="P5290" s="25">
        <f>IF(H5290&gt;0,J5290,"")</f>
        <v/>
      </c>
      <c r="Q5290" s="25">
        <f>TEXT(A5290,"YYYY-MM-DD HH")</f>
        <v/>
      </c>
      <c r="R5290" s="25">
        <f>COUNTIF($Q$2:$Q$5295,Q5290)</f>
        <v/>
      </c>
      <c r="S5290" s="25">
        <f>IF(R5290&lt;=2,"1-2",IF(R5290&lt;=5,"3-5",IF(R5290&lt;=10,"6-10","11+")))</f>
        <v/>
      </c>
    </row>
    <row r="5291">
      <c r="A5291" s="39" t="n">
        <v>46241.39113425926</v>
      </c>
      <c r="B5291" s="25">
        <f>TEXT(A5291,"YYYY-MM")</f>
        <v/>
      </c>
      <c r="C5291" s="25">
        <f>TEXT(A5291,"MMM-YYYY")</f>
        <v/>
      </c>
      <c r="D5291" s="40">
        <f>INT(A5291)-WEEKDAY(A5291,2)+1</f>
        <v/>
      </c>
      <c r="E5291" s="25" t="inlineStr">
        <is>
          <t>ssaha</t>
        </is>
      </c>
      <c r="F5291" s="25" t="n">
        <v>134244</v>
      </c>
      <c r="G5291" s="25" t="n">
        <v>1</v>
      </c>
      <c r="H5291" s="25" t="n">
        <v>5</v>
      </c>
      <c r="I5291" s="25" t="inlineStr">
        <is>
          <t>45 second(s)</t>
        </is>
      </c>
      <c r="J5291" s="25">
        <f>IFERROR(VALUE(TRIM(LEFT(I5291,FIND("minute",I5291)-1)))*60,0)+IFERROR(VALUE(SUBSTITUTE(MID(I5291,IFERROR(FIND("and",I5291)+3,1),20),"second(s)","")),0)</f>
        <v/>
      </c>
      <c r="K5291" s="41">
        <f>J5291/60</f>
        <v/>
      </c>
      <c r="L5291" s="41">
        <f>IFERROR(J5291/H5291,"")</f>
        <v/>
      </c>
      <c r="M5291" s="25" t="n">
        <v>3.5</v>
      </c>
      <c r="N5291" s="25">
        <f>IF(J5291&gt;300,1,0)</f>
        <v/>
      </c>
      <c r="O5291" s="25">
        <f>IF(J5291&gt;600,1,0)</f>
        <v/>
      </c>
      <c r="P5291" s="25">
        <f>IF(H5291&gt;0,J5291,"")</f>
        <v/>
      </c>
      <c r="Q5291" s="25">
        <f>TEXT(A5291,"YYYY-MM-DD HH")</f>
        <v/>
      </c>
      <c r="R5291" s="25">
        <f>COUNTIF($Q$2:$Q$5295,Q5291)</f>
        <v/>
      </c>
      <c r="S5291" s="25">
        <f>IF(R5291&lt;=2,"1-2",IF(R5291&lt;=5,"3-5",IF(R5291&lt;=10,"6-10","11+")))</f>
        <v/>
      </c>
    </row>
    <row r="5292">
      <c r="A5292" s="39" t="n">
        <v>46241.40702546296</v>
      </c>
      <c r="B5292" s="25">
        <f>TEXT(A5292,"YYYY-MM")</f>
        <v/>
      </c>
      <c r="C5292" s="25">
        <f>TEXT(A5292,"MMM-YYYY")</f>
        <v/>
      </c>
      <c r="D5292" s="40">
        <f>INT(A5292)-WEEKDAY(A5292,2)+1</f>
        <v/>
      </c>
      <c r="E5292" s="25" t="inlineStr">
        <is>
          <t>ssaha</t>
        </is>
      </c>
      <c r="F5292" s="25" t="n">
        <v>138164</v>
      </c>
      <c r="G5292" s="25" t="n">
        <v>2</v>
      </c>
      <c r="H5292" s="25" t="n">
        <v>10</v>
      </c>
      <c r="I5292" s="25" t="inlineStr">
        <is>
          <t>1 minute(s) and 15 second(s)</t>
        </is>
      </c>
      <c r="J5292" s="25">
        <f>IFERROR(VALUE(TRIM(LEFT(I5292,FIND("minute",I5292)-1)))*60,0)+IFERROR(VALUE(SUBSTITUTE(MID(I5292,IFERROR(FIND("and",I5292)+3,1),20),"second(s)","")),0)</f>
        <v/>
      </c>
      <c r="K5292" s="41">
        <f>J5292/60</f>
        <v/>
      </c>
      <c r="L5292" s="41">
        <f>IFERROR(J5292/H5292,"")</f>
        <v/>
      </c>
      <c r="M5292" s="25" t="n">
        <v>3.5</v>
      </c>
      <c r="N5292" s="25">
        <f>IF(J5292&gt;300,1,0)</f>
        <v/>
      </c>
      <c r="O5292" s="25">
        <f>IF(J5292&gt;600,1,0)</f>
        <v/>
      </c>
      <c r="P5292" s="25">
        <f>IF(H5292&gt;0,J5292,"")</f>
        <v/>
      </c>
      <c r="Q5292" s="25">
        <f>TEXT(A5292,"YYYY-MM-DD HH")</f>
        <v/>
      </c>
      <c r="R5292" s="25">
        <f>COUNTIF($Q$2:$Q$5295,Q5292)</f>
        <v/>
      </c>
      <c r="S5292" s="25">
        <f>IF(R5292&lt;=2,"1-2",IF(R5292&lt;=5,"3-5",IF(R5292&lt;=10,"6-10","11+")))</f>
        <v/>
      </c>
    </row>
    <row r="5293">
      <c r="A5293" s="39" t="n">
        <v>46241.45621527778</v>
      </c>
      <c r="B5293" s="25">
        <f>TEXT(A5293,"YYYY-MM")</f>
        <v/>
      </c>
      <c r="C5293" s="25">
        <f>TEXT(A5293,"MMM-YYYY")</f>
        <v/>
      </c>
      <c r="D5293" s="40">
        <f>INT(A5293)-WEEKDAY(A5293,2)+1</f>
        <v/>
      </c>
      <c r="E5293" s="25" t="inlineStr">
        <is>
          <t>ssaha</t>
        </is>
      </c>
      <c r="F5293" s="25" t="n">
        <v>138308</v>
      </c>
      <c r="G5293" s="25" t="n">
        <v>4</v>
      </c>
      <c r="H5293" s="25" t="n">
        <v>14</v>
      </c>
      <c r="I5293" s="25" t="inlineStr">
        <is>
          <t>4 minute(s) and 47 second(s)</t>
        </is>
      </c>
      <c r="J5293" s="25">
        <f>IFERROR(VALUE(TRIM(LEFT(I5293,FIND("minute",I5293)-1)))*60,0)+IFERROR(VALUE(SUBSTITUTE(MID(I5293,IFERROR(FIND("and",I5293)+3,1),20),"second(s)","")),0)</f>
        <v/>
      </c>
      <c r="K5293" s="41">
        <f>J5293/60</f>
        <v/>
      </c>
      <c r="L5293" s="41">
        <f>IFERROR(J5293/H5293,"")</f>
        <v/>
      </c>
      <c r="M5293" s="25" t="n">
        <v>3.5</v>
      </c>
      <c r="N5293" s="25">
        <f>IF(J5293&gt;300,1,0)</f>
        <v/>
      </c>
      <c r="O5293" s="25">
        <f>IF(J5293&gt;600,1,0)</f>
        <v/>
      </c>
      <c r="P5293" s="25">
        <f>IF(H5293&gt;0,J5293,"")</f>
        <v/>
      </c>
      <c r="Q5293" s="25">
        <f>TEXT(A5293,"YYYY-MM-DD HH")</f>
        <v/>
      </c>
      <c r="R5293" s="25">
        <f>COUNTIF($Q$2:$Q$5295,Q5293)</f>
        <v/>
      </c>
      <c r="S5293" s="25">
        <f>IF(R5293&lt;=2,"1-2",IF(R5293&lt;=5,"3-5",IF(R5293&lt;=10,"6-10","11+")))</f>
        <v/>
      </c>
    </row>
    <row r="5294">
      <c r="A5294" s="39" t="n">
        <v>46241.50494212963</v>
      </c>
      <c r="B5294" s="25">
        <f>TEXT(A5294,"YYYY-MM")</f>
        <v/>
      </c>
      <c r="C5294" s="25">
        <f>TEXT(A5294,"MMM-YYYY")</f>
        <v/>
      </c>
      <c r="D5294" s="40">
        <f>INT(A5294)-WEEKDAY(A5294,2)+1</f>
        <v/>
      </c>
      <c r="E5294" s="25" t="inlineStr">
        <is>
          <t>ssaha</t>
        </is>
      </c>
      <c r="F5294" s="25" t="n">
        <v>138460</v>
      </c>
      <c r="G5294" s="25" t="n">
        <v>2</v>
      </c>
      <c r="H5294" s="25" t="n">
        <v>10</v>
      </c>
      <c r="I5294" s="25" t="inlineStr">
        <is>
          <t>4 minute(s) and 11 second(s)</t>
        </is>
      </c>
      <c r="J5294" s="25">
        <f>IFERROR(VALUE(TRIM(LEFT(I5294,FIND("minute",I5294)-1)))*60,0)+IFERROR(VALUE(SUBSTITUTE(MID(I5294,IFERROR(FIND("and",I5294)+3,1),20),"second(s)","")),0)</f>
        <v/>
      </c>
      <c r="K5294" s="41">
        <f>J5294/60</f>
        <v/>
      </c>
      <c r="L5294" s="41">
        <f>IFERROR(J5294/H5294,"")</f>
        <v/>
      </c>
      <c r="M5294" s="25" t="n">
        <v>3.5</v>
      </c>
      <c r="N5294" s="25">
        <f>IF(J5294&gt;300,1,0)</f>
        <v/>
      </c>
      <c r="O5294" s="25">
        <f>IF(J5294&gt;600,1,0)</f>
        <v/>
      </c>
      <c r="P5294" s="25">
        <f>IF(H5294&gt;0,J5294,"")</f>
        <v/>
      </c>
      <c r="Q5294" s="25">
        <f>TEXT(A5294,"YYYY-MM-DD HH")</f>
        <v/>
      </c>
      <c r="R5294" s="25">
        <f>COUNTIF($Q$2:$Q$5295,Q5294)</f>
        <v/>
      </c>
      <c r="S5294" s="25">
        <f>IF(R5294&lt;=2,"1-2",IF(R5294&lt;=5,"3-5",IF(R5294&lt;=10,"6-10","11+")))</f>
        <v/>
      </c>
    </row>
    <row r="5295">
      <c r="A5295" s="39" t="n">
        <v>46241.52737268519</v>
      </c>
      <c r="B5295" s="25">
        <f>TEXT(A5295,"YYYY-MM")</f>
        <v/>
      </c>
      <c r="C5295" s="25">
        <f>TEXT(A5295,"MMM-YYYY")</f>
        <v/>
      </c>
      <c r="D5295" s="40">
        <f>INT(A5295)-WEEKDAY(A5295,2)+1</f>
        <v/>
      </c>
      <c r="E5295" s="25" t="inlineStr">
        <is>
          <t>ssaha</t>
        </is>
      </c>
      <c r="F5295" s="25" t="n">
        <v>137780</v>
      </c>
      <c r="G5295" s="25" t="n">
        <v>4</v>
      </c>
      <c r="H5295" s="25" t="n">
        <v>14</v>
      </c>
      <c r="I5295" s="25" t="inlineStr">
        <is>
          <t>4 minute(s) and 35 second(s)</t>
        </is>
      </c>
      <c r="J5295" s="25">
        <f>IFERROR(VALUE(TRIM(LEFT(I5295,FIND("minute",I5295)-1)))*60,0)+IFERROR(VALUE(SUBSTITUTE(MID(I5295,IFERROR(FIND("and",I5295)+3,1),20),"second(s)","")),0)</f>
        <v/>
      </c>
      <c r="K5295" s="41">
        <f>J5295/60</f>
        <v/>
      </c>
      <c r="L5295" s="41">
        <f>IFERROR(J5295/H5295,"")</f>
        <v/>
      </c>
      <c r="M5295" s="25" t="n">
        <v>3.5</v>
      </c>
      <c r="N5295" s="25">
        <f>IF(J5295&gt;300,1,0)</f>
        <v/>
      </c>
      <c r="O5295" s="25">
        <f>IF(J5295&gt;600,1,0)</f>
        <v/>
      </c>
      <c r="P5295" s="25">
        <f>IF(H5295&gt;0,J5295,"")</f>
        <v/>
      </c>
      <c r="Q5295" s="25">
        <f>TEXT(A5295,"YYYY-MM-DD HH")</f>
        <v/>
      </c>
      <c r="R5295" s="25">
        <f>COUNTIF($Q$2:$Q$5295,Q5295)</f>
        <v/>
      </c>
      <c r="S5295" s="25">
        <f>IF(R5295&lt;=2,"1-2",IF(R5295&lt;=5,"3-5",IF(R5295&lt;=10,"6-10","11+")))</f>
        <v/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42" t="inlineStr">
        <is>
          <t>Analyst ID</t>
        </is>
      </c>
      <c r="B1" s="42" t="inlineStr">
        <is>
          <t>2026-04</t>
        </is>
      </c>
      <c r="C1" s="42" t="inlineStr">
        <is>
          <t>2026-05</t>
        </is>
      </c>
      <c r="D1" s="42" t="inlineStr">
        <is>
          <t>2026-06</t>
        </is>
      </c>
      <c r="E1" s="42" t="inlineStr">
        <is>
          <t>2026-07</t>
        </is>
      </c>
      <c r="F1" s="42" t="inlineStr">
        <is>
          <t>2026-08</t>
        </is>
      </c>
    </row>
    <row r="2">
      <c r="A2" s="25" t="inlineStr">
        <is>
          <t>abanerjee</t>
        </is>
      </c>
      <c r="B2" s="25">
        <f>IF(COUNTIFS(Data!$E$2:$E$5295,$A2,Data!$B$2:$B$5295,B$1)&gt;0,1,0)</f>
        <v/>
      </c>
      <c r="C2" s="25">
        <f>IF(COUNTIFS(Data!$E$2:$E$5295,$A2,Data!$B$2:$B$5295,C$1)&gt;0,1,0)</f>
        <v/>
      </c>
      <c r="D2" s="25">
        <f>IF(COUNTIFS(Data!$E$2:$E$5295,$A2,Data!$B$2:$B$5295,D$1)&gt;0,1,0)</f>
        <v/>
      </c>
      <c r="E2" s="25">
        <f>IF(COUNTIFS(Data!$E$2:$E$5295,$A2,Data!$B$2:$B$5295,E$1)&gt;0,1,0)</f>
        <v/>
      </c>
      <c r="F2" s="25">
        <f>IF(COUNTIFS(Data!$E$2:$E$5295,$A2,Data!$B$2:$B$5295,F$1)&gt;0,1,0)</f>
        <v/>
      </c>
    </row>
    <row r="3">
      <c r="A3" s="25" t="inlineStr">
        <is>
          <t>abhaskarkp</t>
        </is>
      </c>
      <c r="B3" s="25">
        <f>IF(COUNTIFS(Data!$E$2:$E$5295,$A3,Data!$B$2:$B$5295,B$1)&gt;0,1,0)</f>
        <v/>
      </c>
      <c r="C3" s="25">
        <f>IF(COUNTIFS(Data!$E$2:$E$5295,$A3,Data!$B$2:$B$5295,C$1)&gt;0,1,0)</f>
        <v/>
      </c>
      <c r="D3" s="25">
        <f>IF(COUNTIFS(Data!$E$2:$E$5295,$A3,Data!$B$2:$B$5295,D$1)&gt;0,1,0)</f>
        <v/>
      </c>
      <c r="E3" s="25">
        <f>IF(COUNTIFS(Data!$E$2:$E$5295,$A3,Data!$B$2:$B$5295,E$1)&gt;0,1,0)</f>
        <v/>
      </c>
      <c r="F3" s="25">
        <f>IF(COUNTIFS(Data!$E$2:$E$5295,$A3,Data!$B$2:$B$5295,F$1)&gt;0,1,0)</f>
        <v/>
      </c>
    </row>
    <row r="4">
      <c r="A4" s="25" t="inlineStr">
        <is>
          <t>adey</t>
        </is>
      </c>
      <c r="B4" s="25">
        <f>IF(COUNTIFS(Data!$E$2:$E$5295,$A4,Data!$B$2:$B$5295,B$1)&gt;0,1,0)</f>
        <v/>
      </c>
      <c r="C4" s="25">
        <f>IF(COUNTIFS(Data!$E$2:$E$5295,$A4,Data!$B$2:$B$5295,C$1)&gt;0,1,0)</f>
        <v/>
      </c>
      <c r="D4" s="25">
        <f>IF(COUNTIFS(Data!$E$2:$E$5295,$A4,Data!$B$2:$B$5295,D$1)&gt;0,1,0)</f>
        <v/>
      </c>
      <c r="E4" s="25">
        <f>IF(COUNTIFS(Data!$E$2:$E$5295,$A4,Data!$B$2:$B$5295,E$1)&gt;0,1,0)</f>
        <v/>
      </c>
      <c r="F4" s="25">
        <f>IF(COUNTIFS(Data!$E$2:$E$5295,$A4,Data!$B$2:$B$5295,F$1)&gt;0,1,0)</f>
        <v/>
      </c>
    </row>
    <row r="5">
      <c r="A5" s="25" t="inlineStr">
        <is>
          <t>adutt</t>
        </is>
      </c>
      <c r="B5" s="25">
        <f>IF(COUNTIFS(Data!$E$2:$E$5295,$A5,Data!$B$2:$B$5295,B$1)&gt;0,1,0)</f>
        <v/>
      </c>
      <c r="C5" s="25">
        <f>IF(COUNTIFS(Data!$E$2:$E$5295,$A5,Data!$B$2:$B$5295,C$1)&gt;0,1,0)</f>
        <v/>
      </c>
      <c r="D5" s="25">
        <f>IF(COUNTIFS(Data!$E$2:$E$5295,$A5,Data!$B$2:$B$5295,D$1)&gt;0,1,0)</f>
        <v/>
      </c>
      <c r="E5" s="25">
        <f>IF(COUNTIFS(Data!$E$2:$E$5295,$A5,Data!$B$2:$B$5295,E$1)&gt;0,1,0)</f>
        <v/>
      </c>
      <c r="F5" s="25">
        <f>IF(COUNTIFS(Data!$E$2:$E$5295,$A5,Data!$B$2:$B$5295,F$1)&gt;0,1,0)</f>
        <v/>
      </c>
    </row>
    <row r="6">
      <c r="A6" s="25" t="inlineStr">
        <is>
          <t>agandhi</t>
        </is>
      </c>
      <c r="B6" s="25">
        <f>IF(COUNTIFS(Data!$E$2:$E$5295,$A6,Data!$B$2:$B$5295,B$1)&gt;0,1,0)</f>
        <v/>
      </c>
      <c r="C6" s="25">
        <f>IF(COUNTIFS(Data!$E$2:$E$5295,$A6,Data!$B$2:$B$5295,C$1)&gt;0,1,0)</f>
        <v/>
      </c>
      <c r="D6" s="25">
        <f>IF(COUNTIFS(Data!$E$2:$E$5295,$A6,Data!$B$2:$B$5295,D$1)&gt;0,1,0)</f>
        <v/>
      </c>
      <c r="E6" s="25">
        <f>IF(COUNTIFS(Data!$E$2:$E$5295,$A6,Data!$B$2:$B$5295,E$1)&gt;0,1,0)</f>
        <v/>
      </c>
      <c r="F6" s="25">
        <f>IF(COUNTIFS(Data!$E$2:$E$5295,$A6,Data!$B$2:$B$5295,F$1)&gt;0,1,0)</f>
        <v/>
      </c>
    </row>
    <row r="7">
      <c r="A7" s="25" t="inlineStr">
        <is>
          <t>aghosh</t>
        </is>
      </c>
      <c r="B7" s="25">
        <f>IF(COUNTIFS(Data!$E$2:$E$5295,$A7,Data!$B$2:$B$5295,B$1)&gt;0,1,0)</f>
        <v/>
      </c>
      <c r="C7" s="25">
        <f>IF(COUNTIFS(Data!$E$2:$E$5295,$A7,Data!$B$2:$B$5295,C$1)&gt;0,1,0)</f>
        <v/>
      </c>
      <c r="D7" s="25">
        <f>IF(COUNTIFS(Data!$E$2:$E$5295,$A7,Data!$B$2:$B$5295,D$1)&gt;0,1,0)</f>
        <v/>
      </c>
      <c r="E7" s="25">
        <f>IF(COUNTIFS(Data!$E$2:$E$5295,$A7,Data!$B$2:$B$5295,E$1)&gt;0,1,0)</f>
        <v/>
      </c>
      <c r="F7" s="25">
        <f>IF(COUNTIFS(Data!$E$2:$E$5295,$A7,Data!$B$2:$B$5295,F$1)&gt;0,1,0)</f>
        <v/>
      </c>
    </row>
    <row r="8">
      <c r="A8" s="25" t="inlineStr">
        <is>
          <t>ajain</t>
        </is>
      </c>
      <c r="B8" s="25">
        <f>IF(COUNTIFS(Data!$E$2:$E$5295,$A8,Data!$B$2:$B$5295,B$1)&gt;0,1,0)</f>
        <v/>
      </c>
      <c r="C8" s="25">
        <f>IF(COUNTIFS(Data!$E$2:$E$5295,$A8,Data!$B$2:$B$5295,C$1)&gt;0,1,0)</f>
        <v/>
      </c>
      <c r="D8" s="25">
        <f>IF(COUNTIFS(Data!$E$2:$E$5295,$A8,Data!$B$2:$B$5295,D$1)&gt;0,1,0)</f>
        <v/>
      </c>
      <c r="E8" s="25">
        <f>IF(COUNTIFS(Data!$E$2:$E$5295,$A8,Data!$B$2:$B$5295,E$1)&gt;0,1,0)</f>
        <v/>
      </c>
      <c r="F8" s="25">
        <f>IF(COUNTIFS(Data!$E$2:$E$5295,$A8,Data!$B$2:$B$5295,F$1)&gt;0,1,0)</f>
        <v/>
      </c>
    </row>
    <row r="9">
      <c r="A9" s="25" t="inlineStr">
        <is>
          <t>akumari</t>
        </is>
      </c>
      <c r="B9" s="25">
        <f>IF(COUNTIFS(Data!$E$2:$E$5295,$A9,Data!$B$2:$B$5295,B$1)&gt;0,1,0)</f>
        <v/>
      </c>
      <c r="C9" s="25">
        <f>IF(COUNTIFS(Data!$E$2:$E$5295,$A9,Data!$B$2:$B$5295,C$1)&gt;0,1,0)</f>
        <v/>
      </c>
      <c r="D9" s="25">
        <f>IF(COUNTIFS(Data!$E$2:$E$5295,$A9,Data!$B$2:$B$5295,D$1)&gt;0,1,0)</f>
        <v/>
      </c>
      <c r="E9" s="25">
        <f>IF(COUNTIFS(Data!$E$2:$E$5295,$A9,Data!$B$2:$B$5295,E$1)&gt;0,1,0)</f>
        <v/>
      </c>
      <c r="F9" s="25">
        <f>IF(COUNTIFS(Data!$E$2:$E$5295,$A9,Data!$B$2:$B$5295,F$1)&gt;0,1,0)</f>
        <v/>
      </c>
    </row>
    <row r="10">
      <c r="A10" s="25" t="inlineStr">
        <is>
          <t>amitra</t>
        </is>
      </c>
      <c r="B10" s="25">
        <f>IF(COUNTIFS(Data!$E$2:$E$5295,$A10,Data!$B$2:$B$5295,B$1)&gt;0,1,0)</f>
        <v/>
      </c>
      <c r="C10" s="25">
        <f>IF(COUNTIFS(Data!$E$2:$E$5295,$A10,Data!$B$2:$B$5295,C$1)&gt;0,1,0)</f>
        <v/>
      </c>
      <c r="D10" s="25">
        <f>IF(COUNTIFS(Data!$E$2:$E$5295,$A10,Data!$B$2:$B$5295,D$1)&gt;0,1,0)</f>
        <v/>
      </c>
      <c r="E10" s="25">
        <f>IF(COUNTIFS(Data!$E$2:$E$5295,$A10,Data!$B$2:$B$5295,E$1)&gt;0,1,0)</f>
        <v/>
      </c>
      <c r="F10" s="25">
        <f>IF(COUNTIFS(Data!$E$2:$E$5295,$A10,Data!$B$2:$B$5295,F$1)&gt;0,1,0)</f>
        <v/>
      </c>
    </row>
    <row r="11">
      <c r="A11" s="25" t="inlineStr">
        <is>
          <t>anusharma</t>
        </is>
      </c>
      <c r="B11" s="25">
        <f>IF(COUNTIFS(Data!$E$2:$E$5295,$A11,Data!$B$2:$B$5295,B$1)&gt;0,1,0)</f>
        <v/>
      </c>
      <c r="C11" s="25">
        <f>IF(COUNTIFS(Data!$E$2:$E$5295,$A11,Data!$B$2:$B$5295,C$1)&gt;0,1,0)</f>
        <v/>
      </c>
      <c r="D11" s="25">
        <f>IF(COUNTIFS(Data!$E$2:$E$5295,$A11,Data!$B$2:$B$5295,D$1)&gt;0,1,0)</f>
        <v/>
      </c>
      <c r="E11" s="25">
        <f>IF(COUNTIFS(Data!$E$2:$E$5295,$A11,Data!$B$2:$B$5295,E$1)&gt;0,1,0)</f>
        <v/>
      </c>
      <c r="F11" s="25">
        <f>IF(COUNTIFS(Data!$E$2:$E$5295,$A11,Data!$B$2:$B$5295,F$1)&gt;0,1,0)</f>
        <v/>
      </c>
    </row>
    <row r="12">
      <c r="A12" s="25" t="inlineStr">
        <is>
          <t>apriyadarshi</t>
        </is>
      </c>
      <c r="B12" s="25">
        <f>IF(COUNTIFS(Data!$E$2:$E$5295,$A12,Data!$B$2:$B$5295,B$1)&gt;0,1,0)</f>
        <v/>
      </c>
      <c r="C12" s="25">
        <f>IF(COUNTIFS(Data!$E$2:$E$5295,$A12,Data!$B$2:$B$5295,C$1)&gt;0,1,0)</f>
        <v/>
      </c>
      <c r="D12" s="25">
        <f>IF(COUNTIFS(Data!$E$2:$E$5295,$A12,Data!$B$2:$B$5295,D$1)&gt;0,1,0)</f>
        <v/>
      </c>
      <c r="E12" s="25">
        <f>IF(COUNTIFS(Data!$E$2:$E$5295,$A12,Data!$B$2:$B$5295,E$1)&gt;0,1,0)</f>
        <v/>
      </c>
      <c r="F12" s="25">
        <f>IF(COUNTIFS(Data!$E$2:$E$5295,$A12,Data!$B$2:$B$5295,F$1)&gt;0,1,0)</f>
        <v/>
      </c>
    </row>
    <row r="13">
      <c r="A13" s="25" t="inlineStr">
        <is>
          <t>arsarkar</t>
        </is>
      </c>
      <c r="B13" s="25">
        <f>IF(COUNTIFS(Data!$E$2:$E$5295,$A13,Data!$B$2:$B$5295,B$1)&gt;0,1,0)</f>
        <v/>
      </c>
      <c r="C13" s="25">
        <f>IF(COUNTIFS(Data!$E$2:$E$5295,$A13,Data!$B$2:$B$5295,C$1)&gt;0,1,0)</f>
        <v/>
      </c>
      <c r="D13" s="25">
        <f>IF(COUNTIFS(Data!$E$2:$E$5295,$A13,Data!$B$2:$B$5295,D$1)&gt;0,1,0)</f>
        <v/>
      </c>
      <c r="E13" s="25">
        <f>IF(COUNTIFS(Data!$E$2:$E$5295,$A13,Data!$B$2:$B$5295,E$1)&gt;0,1,0)</f>
        <v/>
      </c>
      <c r="F13" s="25">
        <f>IF(COUNTIFS(Data!$E$2:$E$5295,$A13,Data!$B$2:$B$5295,F$1)&gt;0,1,0)</f>
        <v/>
      </c>
    </row>
    <row r="14">
      <c r="A14" s="25" t="inlineStr">
        <is>
          <t>asahoo</t>
        </is>
      </c>
      <c r="B14" s="25">
        <f>IF(COUNTIFS(Data!$E$2:$E$5295,$A14,Data!$B$2:$B$5295,B$1)&gt;0,1,0)</f>
        <v/>
      </c>
      <c r="C14" s="25">
        <f>IF(COUNTIFS(Data!$E$2:$E$5295,$A14,Data!$B$2:$B$5295,C$1)&gt;0,1,0)</f>
        <v/>
      </c>
      <c r="D14" s="25">
        <f>IF(COUNTIFS(Data!$E$2:$E$5295,$A14,Data!$B$2:$B$5295,D$1)&gt;0,1,0)</f>
        <v/>
      </c>
      <c r="E14" s="25">
        <f>IF(COUNTIFS(Data!$E$2:$E$5295,$A14,Data!$B$2:$B$5295,E$1)&gt;0,1,0)</f>
        <v/>
      </c>
      <c r="F14" s="25">
        <f>IF(COUNTIFS(Data!$E$2:$E$5295,$A14,Data!$B$2:$B$5295,F$1)&gt;0,1,0)</f>
        <v/>
      </c>
    </row>
    <row r="15">
      <c r="A15" s="25" t="inlineStr">
        <is>
          <t>asaxena</t>
        </is>
      </c>
      <c r="B15" s="25">
        <f>IF(COUNTIFS(Data!$E$2:$E$5295,$A15,Data!$B$2:$B$5295,B$1)&gt;0,1,0)</f>
        <v/>
      </c>
      <c r="C15" s="25">
        <f>IF(COUNTIFS(Data!$E$2:$E$5295,$A15,Data!$B$2:$B$5295,C$1)&gt;0,1,0)</f>
        <v/>
      </c>
      <c r="D15" s="25">
        <f>IF(COUNTIFS(Data!$E$2:$E$5295,$A15,Data!$B$2:$B$5295,D$1)&gt;0,1,0)</f>
        <v/>
      </c>
      <c r="E15" s="25">
        <f>IF(COUNTIFS(Data!$E$2:$E$5295,$A15,Data!$B$2:$B$5295,E$1)&gt;0,1,0)</f>
        <v/>
      </c>
      <c r="F15" s="25">
        <f>IF(COUNTIFS(Data!$E$2:$E$5295,$A15,Data!$B$2:$B$5295,F$1)&gt;0,1,0)</f>
        <v/>
      </c>
    </row>
    <row r="16">
      <c r="A16" s="25" t="inlineStr">
        <is>
          <t>atiwari</t>
        </is>
      </c>
      <c r="B16" s="25">
        <f>IF(COUNTIFS(Data!$E$2:$E$5295,$A16,Data!$B$2:$B$5295,B$1)&gt;0,1,0)</f>
        <v/>
      </c>
      <c r="C16" s="25">
        <f>IF(COUNTIFS(Data!$E$2:$E$5295,$A16,Data!$B$2:$B$5295,C$1)&gt;0,1,0)</f>
        <v/>
      </c>
      <c r="D16" s="25">
        <f>IF(COUNTIFS(Data!$E$2:$E$5295,$A16,Data!$B$2:$B$5295,D$1)&gt;0,1,0)</f>
        <v/>
      </c>
      <c r="E16" s="25">
        <f>IF(COUNTIFS(Data!$E$2:$E$5295,$A16,Data!$B$2:$B$5295,E$1)&gt;0,1,0)</f>
        <v/>
      </c>
      <c r="F16" s="25">
        <f>IF(COUNTIFS(Data!$E$2:$E$5295,$A16,Data!$B$2:$B$5295,F$1)&gt;0,1,0)</f>
        <v/>
      </c>
    </row>
    <row r="17">
      <c r="A17" s="25" t="inlineStr">
        <is>
          <t>aupadhayay</t>
        </is>
      </c>
      <c r="B17" s="25">
        <f>IF(COUNTIFS(Data!$E$2:$E$5295,$A17,Data!$B$2:$B$5295,B$1)&gt;0,1,0)</f>
        <v/>
      </c>
      <c r="C17" s="25">
        <f>IF(COUNTIFS(Data!$E$2:$E$5295,$A17,Data!$B$2:$B$5295,C$1)&gt;0,1,0)</f>
        <v/>
      </c>
      <c r="D17" s="25">
        <f>IF(COUNTIFS(Data!$E$2:$E$5295,$A17,Data!$B$2:$B$5295,D$1)&gt;0,1,0)</f>
        <v/>
      </c>
      <c r="E17" s="25">
        <f>IF(COUNTIFS(Data!$E$2:$E$5295,$A17,Data!$B$2:$B$5295,E$1)&gt;0,1,0)</f>
        <v/>
      </c>
      <c r="F17" s="25">
        <f>IF(COUNTIFS(Data!$E$2:$E$5295,$A17,Data!$B$2:$B$5295,F$1)&gt;0,1,0)</f>
        <v/>
      </c>
    </row>
    <row r="18">
      <c r="A18" s="25" t="inlineStr">
        <is>
          <t>bverma</t>
        </is>
      </c>
      <c r="B18" s="25">
        <f>IF(COUNTIFS(Data!$E$2:$E$5295,$A18,Data!$B$2:$B$5295,B$1)&gt;0,1,0)</f>
        <v/>
      </c>
      <c r="C18" s="25">
        <f>IF(COUNTIFS(Data!$E$2:$E$5295,$A18,Data!$B$2:$B$5295,C$1)&gt;0,1,0)</f>
        <v/>
      </c>
      <c r="D18" s="25">
        <f>IF(COUNTIFS(Data!$E$2:$E$5295,$A18,Data!$B$2:$B$5295,D$1)&gt;0,1,0)</f>
        <v/>
      </c>
      <c r="E18" s="25">
        <f>IF(COUNTIFS(Data!$E$2:$E$5295,$A18,Data!$B$2:$B$5295,E$1)&gt;0,1,0)</f>
        <v/>
      </c>
      <c r="F18" s="25">
        <f>IF(COUNTIFS(Data!$E$2:$E$5295,$A18,Data!$B$2:$B$5295,F$1)&gt;0,1,0)</f>
        <v/>
      </c>
    </row>
    <row r="19">
      <c r="A19" s="25" t="inlineStr">
        <is>
          <t>csaha</t>
        </is>
      </c>
      <c r="B19" s="25">
        <f>IF(COUNTIFS(Data!$E$2:$E$5295,$A19,Data!$B$2:$B$5295,B$1)&gt;0,1,0)</f>
        <v/>
      </c>
      <c r="C19" s="25">
        <f>IF(COUNTIFS(Data!$E$2:$E$5295,$A19,Data!$B$2:$B$5295,C$1)&gt;0,1,0)</f>
        <v/>
      </c>
      <c r="D19" s="25">
        <f>IF(COUNTIFS(Data!$E$2:$E$5295,$A19,Data!$B$2:$B$5295,D$1)&gt;0,1,0)</f>
        <v/>
      </c>
      <c r="E19" s="25">
        <f>IF(COUNTIFS(Data!$E$2:$E$5295,$A19,Data!$B$2:$B$5295,E$1)&gt;0,1,0)</f>
        <v/>
      </c>
      <c r="F19" s="25">
        <f>IF(COUNTIFS(Data!$E$2:$E$5295,$A19,Data!$B$2:$B$5295,F$1)&gt;0,1,0)</f>
        <v/>
      </c>
    </row>
    <row r="20">
      <c r="A20" s="25" t="inlineStr">
        <is>
          <t>dbhattacharyya</t>
        </is>
      </c>
      <c r="B20" s="25">
        <f>IF(COUNTIFS(Data!$E$2:$E$5295,$A20,Data!$B$2:$B$5295,B$1)&gt;0,1,0)</f>
        <v/>
      </c>
      <c r="C20" s="25">
        <f>IF(COUNTIFS(Data!$E$2:$E$5295,$A20,Data!$B$2:$B$5295,C$1)&gt;0,1,0)</f>
        <v/>
      </c>
      <c r="D20" s="25">
        <f>IF(COUNTIFS(Data!$E$2:$E$5295,$A20,Data!$B$2:$B$5295,D$1)&gt;0,1,0)</f>
        <v/>
      </c>
      <c r="E20" s="25">
        <f>IF(COUNTIFS(Data!$E$2:$E$5295,$A20,Data!$B$2:$B$5295,E$1)&gt;0,1,0)</f>
        <v/>
      </c>
      <c r="F20" s="25">
        <f>IF(COUNTIFS(Data!$E$2:$E$5295,$A20,Data!$B$2:$B$5295,F$1)&gt;0,1,0)</f>
        <v/>
      </c>
    </row>
    <row r="21">
      <c r="A21" s="25" t="inlineStr">
        <is>
          <t>dchoudhury</t>
        </is>
      </c>
      <c r="B21" s="25">
        <f>IF(COUNTIFS(Data!$E$2:$E$5295,$A21,Data!$B$2:$B$5295,B$1)&gt;0,1,0)</f>
        <v/>
      </c>
      <c r="C21" s="25">
        <f>IF(COUNTIFS(Data!$E$2:$E$5295,$A21,Data!$B$2:$B$5295,C$1)&gt;0,1,0)</f>
        <v/>
      </c>
      <c r="D21" s="25">
        <f>IF(COUNTIFS(Data!$E$2:$E$5295,$A21,Data!$B$2:$B$5295,D$1)&gt;0,1,0)</f>
        <v/>
      </c>
      <c r="E21" s="25">
        <f>IF(COUNTIFS(Data!$E$2:$E$5295,$A21,Data!$B$2:$B$5295,E$1)&gt;0,1,0)</f>
        <v/>
      </c>
      <c r="F21" s="25">
        <f>IF(COUNTIFS(Data!$E$2:$E$5295,$A21,Data!$B$2:$B$5295,F$1)&gt;0,1,0)</f>
        <v/>
      </c>
    </row>
    <row r="22">
      <c r="A22" s="25" t="inlineStr">
        <is>
          <t>emishra</t>
        </is>
      </c>
      <c r="B22" s="25">
        <f>IF(COUNTIFS(Data!$E$2:$E$5295,$A22,Data!$B$2:$B$5295,B$1)&gt;0,1,0)</f>
        <v/>
      </c>
      <c r="C22" s="25">
        <f>IF(COUNTIFS(Data!$E$2:$E$5295,$A22,Data!$B$2:$B$5295,C$1)&gt;0,1,0)</f>
        <v/>
      </c>
      <c r="D22" s="25">
        <f>IF(COUNTIFS(Data!$E$2:$E$5295,$A22,Data!$B$2:$B$5295,D$1)&gt;0,1,0)</f>
        <v/>
      </c>
      <c r="E22" s="25">
        <f>IF(COUNTIFS(Data!$E$2:$E$5295,$A22,Data!$B$2:$B$5295,E$1)&gt;0,1,0)</f>
        <v/>
      </c>
      <c r="F22" s="25">
        <f>IF(COUNTIFS(Data!$E$2:$E$5295,$A22,Data!$B$2:$B$5295,F$1)&gt;0,1,0)</f>
        <v/>
      </c>
    </row>
    <row r="23">
      <c r="A23" s="25" t="inlineStr">
        <is>
          <t>ethomas</t>
        </is>
      </c>
      <c r="B23" s="25">
        <f>IF(COUNTIFS(Data!$E$2:$E$5295,$A23,Data!$B$2:$B$5295,B$1)&gt;0,1,0)</f>
        <v/>
      </c>
      <c r="C23" s="25">
        <f>IF(COUNTIFS(Data!$E$2:$E$5295,$A23,Data!$B$2:$B$5295,C$1)&gt;0,1,0)</f>
        <v/>
      </c>
      <c r="D23" s="25">
        <f>IF(COUNTIFS(Data!$E$2:$E$5295,$A23,Data!$B$2:$B$5295,D$1)&gt;0,1,0)</f>
        <v/>
      </c>
      <c r="E23" s="25">
        <f>IF(COUNTIFS(Data!$E$2:$E$5295,$A23,Data!$B$2:$B$5295,E$1)&gt;0,1,0)</f>
        <v/>
      </c>
      <c r="F23" s="25">
        <f>IF(COUNTIFS(Data!$E$2:$E$5295,$A23,Data!$B$2:$B$5295,F$1)&gt;0,1,0)</f>
        <v/>
      </c>
    </row>
    <row r="24">
      <c r="A24" s="25" t="inlineStr">
        <is>
          <t>hdutt</t>
        </is>
      </c>
      <c r="B24" s="25">
        <f>IF(COUNTIFS(Data!$E$2:$E$5295,$A24,Data!$B$2:$B$5295,B$1)&gt;0,1,0)</f>
        <v/>
      </c>
      <c r="C24" s="25">
        <f>IF(COUNTIFS(Data!$E$2:$E$5295,$A24,Data!$B$2:$B$5295,C$1)&gt;0,1,0)</f>
        <v/>
      </c>
      <c r="D24" s="25">
        <f>IF(COUNTIFS(Data!$E$2:$E$5295,$A24,Data!$B$2:$B$5295,D$1)&gt;0,1,0)</f>
        <v/>
      </c>
      <c r="E24" s="25">
        <f>IF(COUNTIFS(Data!$E$2:$E$5295,$A24,Data!$B$2:$B$5295,E$1)&gt;0,1,0)</f>
        <v/>
      </c>
      <c r="F24" s="25">
        <f>IF(COUNTIFS(Data!$E$2:$E$5295,$A24,Data!$B$2:$B$5295,F$1)&gt;0,1,0)</f>
        <v/>
      </c>
    </row>
    <row r="25">
      <c r="A25" s="25" t="inlineStr">
        <is>
          <t>hsindwani</t>
        </is>
      </c>
      <c r="B25" s="25">
        <f>IF(COUNTIFS(Data!$E$2:$E$5295,$A25,Data!$B$2:$B$5295,B$1)&gt;0,1,0)</f>
        <v/>
      </c>
      <c r="C25" s="25">
        <f>IF(COUNTIFS(Data!$E$2:$E$5295,$A25,Data!$B$2:$B$5295,C$1)&gt;0,1,0)</f>
        <v/>
      </c>
      <c r="D25" s="25">
        <f>IF(COUNTIFS(Data!$E$2:$E$5295,$A25,Data!$B$2:$B$5295,D$1)&gt;0,1,0)</f>
        <v/>
      </c>
      <c r="E25" s="25">
        <f>IF(COUNTIFS(Data!$E$2:$E$5295,$A25,Data!$B$2:$B$5295,E$1)&gt;0,1,0)</f>
        <v/>
      </c>
      <c r="F25" s="25">
        <f>IF(COUNTIFS(Data!$E$2:$E$5295,$A25,Data!$B$2:$B$5295,F$1)&gt;0,1,0)</f>
        <v/>
      </c>
    </row>
    <row r="26">
      <c r="A26" s="25" t="inlineStr">
        <is>
          <t>kananya</t>
        </is>
      </c>
      <c r="B26" s="25">
        <f>IF(COUNTIFS(Data!$E$2:$E$5295,$A26,Data!$B$2:$B$5295,B$1)&gt;0,1,0)</f>
        <v/>
      </c>
      <c r="C26" s="25">
        <f>IF(COUNTIFS(Data!$E$2:$E$5295,$A26,Data!$B$2:$B$5295,C$1)&gt;0,1,0)</f>
        <v/>
      </c>
      <c r="D26" s="25">
        <f>IF(COUNTIFS(Data!$E$2:$E$5295,$A26,Data!$B$2:$B$5295,D$1)&gt;0,1,0)</f>
        <v/>
      </c>
      <c r="E26" s="25">
        <f>IF(COUNTIFS(Data!$E$2:$E$5295,$A26,Data!$B$2:$B$5295,E$1)&gt;0,1,0)</f>
        <v/>
      </c>
      <c r="F26" s="25">
        <f>IF(COUNTIFS(Data!$E$2:$E$5295,$A26,Data!$B$2:$B$5295,F$1)&gt;0,1,0)</f>
        <v/>
      </c>
    </row>
    <row r="27">
      <c r="A27" s="25" t="inlineStr">
        <is>
          <t>kchaudhary</t>
        </is>
      </c>
      <c r="B27" s="25">
        <f>IF(COUNTIFS(Data!$E$2:$E$5295,$A27,Data!$B$2:$B$5295,B$1)&gt;0,1,0)</f>
        <v/>
      </c>
      <c r="C27" s="25">
        <f>IF(COUNTIFS(Data!$E$2:$E$5295,$A27,Data!$B$2:$B$5295,C$1)&gt;0,1,0)</f>
        <v/>
      </c>
      <c r="D27" s="25">
        <f>IF(COUNTIFS(Data!$E$2:$E$5295,$A27,Data!$B$2:$B$5295,D$1)&gt;0,1,0)</f>
        <v/>
      </c>
      <c r="E27" s="25">
        <f>IF(COUNTIFS(Data!$E$2:$E$5295,$A27,Data!$B$2:$B$5295,E$1)&gt;0,1,0)</f>
        <v/>
      </c>
      <c r="F27" s="25">
        <f>IF(COUNTIFS(Data!$E$2:$E$5295,$A27,Data!$B$2:$B$5295,F$1)&gt;0,1,0)</f>
        <v/>
      </c>
    </row>
    <row r="28">
      <c r="A28" s="25" t="inlineStr">
        <is>
          <t>kkumar</t>
        </is>
      </c>
      <c r="B28" s="25">
        <f>IF(COUNTIFS(Data!$E$2:$E$5295,$A28,Data!$B$2:$B$5295,B$1)&gt;0,1,0)</f>
        <v/>
      </c>
      <c r="C28" s="25">
        <f>IF(COUNTIFS(Data!$E$2:$E$5295,$A28,Data!$B$2:$B$5295,C$1)&gt;0,1,0)</f>
        <v/>
      </c>
      <c r="D28" s="25">
        <f>IF(COUNTIFS(Data!$E$2:$E$5295,$A28,Data!$B$2:$B$5295,D$1)&gt;0,1,0)</f>
        <v/>
      </c>
      <c r="E28" s="25">
        <f>IF(COUNTIFS(Data!$E$2:$E$5295,$A28,Data!$B$2:$B$5295,E$1)&gt;0,1,0)</f>
        <v/>
      </c>
      <c r="F28" s="25">
        <f>IF(COUNTIFS(Data!$E$2:$E$5295,$A28,Data!$B$2:$B$5295,F$1)&gt;0,1,0)</f>
        <v/>
      </c>
    </row>
    <row r="29">
      <c r="A29" s="25" t="inlineStr">
        <is>
          <t>larora</t>
        </is>
      </c>
      <c r="B29" s="25">
        <f>IF(COUNTIFS(Data!$E$2:$E$5295,$A29,Data!$B$2:$B$5295,B$1)&gt;0,1,0)</f>
        <v/>
      </c>
      <c r="C29" s="25">
        <f>IF(COUNTIFS(Data!$E$2:$E$5295,$A29,Data!$B$2:$B$5295,C$1)&gt;0,1,0)</f>
        <v/>
      </c>
      <c r="D29" s="25">
        <f>IF(COUNTIFS(Data!$E$2:$E$5295,$A29,Data!$B$2:$B$5295,D$1)&gt;0,1,0)</f>
        <v/>
      </c>
      <c r="E29" s="25">
        <f>IF(COUNTIFS(Data!$E$2:$E$5295,$A29,Data!$B$2:$B$5295,E$1)&gt;0,1,0)</f>
        <v/>
      </c>
      <c r="F29" s="25">
        <f>IF(COUNTIFS(Data!$E$2:$E$5295,$A29,Data!$B$2:$B$5295,F$1)&gt;0,1,0)</f>
        <v/>
      </c>
    </row>
    <row r="30">
      <c r="A30" s="25" t="inlineStr">
        <is>
          <t>mbhalla</t>
        </is>
      </c>
      <c r="B30" s="25">
        <f>IF(COUNTIFS(Data!$E$2:$E$5295,$A30,Data!$B$2:$B$5295,B$1)&gt;0,1,0)</f>
        <v/>
      </c>
      <c r="C30" s="25">
        <f>IF(COUNTIFS(Data!$E$2:$E$5295,$A30,Data!$B$2:$B$5295,C$1)&gt;0,1,0)</f>
        <v/>
      </c>
      <c r="D30" s="25">
        <f>IF(COUNTIFS(Data!$E$2:$E$5295,$A30,Data!$B$2:$B$5295,D$1)&gt;0,1,0)</f>
        <v/>
      </c>
      <c r="E30" s="25">
        <f>IF(COUNTIFS(Data!$E$2:$E$5295,$A30,Data!$B$2:$B$5295,E$1)&gt;0,1,0)</f>
        <v/>
      </c>
      <c r="F30" s="25">
        <f>IF(COUNTIFS(Data!$E$2:$E$5295,$A30,Data!$B$2:$B$5295,F$1)&gt;0,1,0)</f>
        <v/>
      </c>
    </row>
    <row r="31">
      <c r="A31" s="25" t="inlineStr">
        <is>
          <t>mbohra</t>
        </is>
      </c>
      <c r="B31" s="25">
        <f>IF(COUNTIFS(Data!$E$2:$E$5295,$A31,Data!$B$2:$B$5295,B$1)&gt;0,1,0)</f>
        <v/>
      </c>
      <c r="C31" s="25">
        <f>IF(COUNTIFS(Data!$E$2:$E$5295,$A31,Data!$B$2:$B$5295,C$1)&gt;0,1,0)</f>
        <v/>
      </c>
      <c r="D31" s="25">
        <f>IF(COUNTIFS(Data!$E$2:$E$5295,$A31,Data!$B$2:$B$5295,D$1)&gt;0,1,0)</f>
        <v/>
      </c>
      <c r="E31" s="25">
        <f>IF(COUNTIFS(Data!$E$2:$E$5295,$A31,Data!$B$2:$B$5295,E$1)&gt;0,1,0)</f>
        <v/>
      </c>
      <c r="F31" s="25">
        <f>IF(COUNTIFS(Data!$E$2:$E$5295,$A31,Data!$B$2:$B$5295,F$1)&gt;0,1,0)</f>
        <v/>
      </c>
    </row>
    <row r="32">
      <c r="A32" s="25" t="inlineStr">
        <is>
          <t>mgupta</t>
        </is>
      </c>
      <c r="B32" s="25">
        <f>IF(COUNTIFS(Data!$E$2:$E$5295,$A32,Data!$B$2:$B$5295,B$1)&gt;0,1,0)</f>
        <v/>
      </c>
      <c r="C32" s="25">
        <f>IF(COUNTIFS(Data!$E$2:$E$5295,$A32,Data!$B$2:$B$5295,C$1)&gt;0,1,0)</f>
        <v/>
      </c>
      <c r="D32" s="25">
        <f>IF(COUNTIFS(Data!$E$2:$E$5295,$A32,Data!$B$2:$B$5295,D$1)&gt;0,1,0)</f>
        <v/>
      </c>
      <c r="E32" s="25">
        <f>IF(COUNTIFS(Data!$E$2:$E$5295,$A32,Data!$B$2:$B$5295,E$1)&gt;0,1,0)</f>
        <v/>
      </c>
      <c r="F32" s="25">
        <f>IF(COUNTIFS(Data!$E$2:$E$5295,$A32,Data!$B$2:$B$5295,F$1)&gt;0,1,0)</f>
        <v/>
      </c>
    </row>
    <row r="33">
      <c r="A33" s="25" t="inlineStr">
        <is>
          <t>mkulkarni</t>
        </is>
      </c>
      <c r="B33" s="25">
        <f>IF(COUNTIFS(Data!$E$2:$E$5295,$A33,Data!$B$2:$B$5295,B$1)&gt;0,1,0)</f>
        <v/>
      </c>
      <c r="C33" s="25">
        <f>IF(COUNTIFS(Data!$E$2:$E$5295,$A33,Data!$B$2:$B$5295,C$1)&gt;0,1,0)</f>
        <v/>
      </c>
      <c r="D33" s="25">
        <f>IF(COUNTIFS(Data!$E$2:$E$5295,$A33,Data!$B$2:$B$5295,D$1)&gt;0,1,0)</f>
        <v/>
      </c>
      <c r="E33" s="25">
        <f>IF(COUNTIFS(Data!$E$2:$E$5295,$A33,Data!$B$2:$B$5295,E$1)&gt;0,1,0)</f>
        <v/>
      </c>
      <c r="F33" s="25">
        <f>IF(COUNTIFS(Data!$E$2:$E$5295,$A33,Data!$B$2:$B$5295,F$1)&gt;0,1,0)</f>
        <v/>
      </c>
    </row>
    <row r="34">
      <c r="A34" s="25" t="inlineStr">
        <is>
          <t>msrivastava</t>
        </is>
      </c>
      <c r="B34" s="25">
        <f>IF(COUNTIFS(Data!$E$2:$E$5295,$A34,Data!$B$2:$B$5295,B$1)&gt;0,1,0)</f>
        <v/>
      </c>
      <c r="C34" s="25">
        <f>IF(COUNTIFS(Data!$E$2:$E$5295,$A34,Data!$B$2:$B$5295,C$1)&gt;0,1,0)</f>
        <v/>
      </c>
      <c r="D34" s="25">
        <f>IF(COUNTIFS(Data!$E$2:$E$5295,$A34,Data!$B$2:$B$5295,D$1)&gt;0,1,0)</f>
        <v/>
      </c>
      <c r="E34" s="25">
        <f>IF(COUNTIFS(Data!$E$2:$E$5295,$A34,Data!$B$2:$B$5295,E$1)&gt;0,1,0)</f>
        <v/>
      </c>
      <c r="F34" s="25">
        <f>IF(COUNTIFS(Data!$E$2:$E$5295,$A34,Data!$B$2:$B$5295,F$1)&gt;0,1,0)</f>
        <v/>
      </c>
    </row>
    <row r="35">
      <c r="A35" s="25" t="inlineStr">
        <is>
          <t>nbindu</t>
        </is>
      </c>
      <c r="B35" s="25">
        <f>IF(COUNTIFS(Data!$E$2:$E$5295,$A35,Data!$B$2:$B$5295,B$1)&gt;0,1,0)</f>
        <v/>
      </c>
      <c r="C35" s="25">
        <f>IF(COUNTIFS(Data!$E$2:$E$5295,$A35,Data!$B$2:$B$5295,C$1)&gt;0,1,0)</f>
        <v/>
      </c>
      <c r="D35" s="25">
        <f>IF(COUNTIFS(Data!$E$2:$E$5295,$A35,Data!$B$2:$B$5295,D$1)&gt;0,1,0)</f>
        <v/>
      </c>
      <c r="E35" s="25">
        <f>IF(COUNTIFS(Data!$E$2:$E$5295,$A35,Data!$B$2:$B$5295,E$1)&gt;0,1,0)</f>
        <v/>
      </c>
      <c r="F35" s="25">
        <f>IF(COUNTIFS(Data!$E$2:$E$5295,$A35,Data!$B$2:$B$5295,F$1)&gt;0,1,0)</f>
        <v/>
      </c>
    </row>
    <row r="36">
      <c r="A36" s="25" t="inlineStr">
        <is>
          <t>nlnu</t>
        </is>
      </c>
      <c r="B36" s="25">
        <f>IF(COUNTIFS(Data!$E$2:$E$5295,$A36,Data!$B$2:$B$5295,B$1)&gt;0,1,0)</f>
        <v/>
      </c>
      <c r="C36" s="25">
        <f>IF(COUNTIFS(Data!$E$2:$E$5295,$A36,Data!$B$2:$B$5295,C$1)&gt;0,1,0)</f>
        <v/>
      </c>
      <c r="D36" s="25">
        <f>IF(COUNTIFS(Data!$E$2:$E$5295,$A36,Data!$B$2:$B$5295,D$1)&gt;0,1,0)</f>
        <v/>
      </c>
      <c r="E36" s="25">
        <f>IF(COUNTIFS(Data!$E$2:$E$5295,$A36,Data!$B$2:$B$5295,E$1)&gt;0,1,0)</f>
        <v/>
      </c>
      <c r="F36" s="25">
        <f>IF(COUNTIFS(Data!$E$2:$E$5295,$A36,Data!$B$2:$B$5295,F$1)&gt;0,1,0)</f>
        <v/>
      </c>
    </row>
    <row r="37">
      <c r="A37" s="25" t="inlineStr">
        <is>
          <t>npriya</t>
        </is>
      </c>
      <c r="B37" s="25">
        <f>IF(COUNTIFS(Data!$E$2:$E$5295,$A37,Data!$B$2:$B$5295,B$1)&gt;0,1,0)</f>
        <v/>
      </c>
      <c r="C37" s="25">
        <f>IF(COUNTIFS(Data!$E$2:$E$5295,$A37,Data!$B$2:$B$5295,C$1)&gt;0,1,0)</f>
        <v/>
      </c>
      <c r="D37" s="25">
        <f>IF(COUNTIFS(Data!$E$2:$E$5295,$A37,Data!$B$2:$B$5295,D$1)&gt;0,1,0)</f>
        <v/>
      </c>
      <c r="E37" s="25">
        <f>IF(COUNTIFS(Data!$E$2:$E$5295,$A37,Data!$B$2:$B$5295,E$1)&gt;0,1,0)</f>
        <v/>
      </c>
      <c r="F37" s="25">
        <f>IF(COUNTIFS(Data!$E$2:$E$5295,$A37,Data!$B$2:$B$5295,F$1)&gt;0,1,0)</f>
        <v/>
      </c>
    </row>
    <row r="38">
      <c r="A38" s="25" t="inlineStr">
        <is>
          <t>ns</t>
        </is>
      </c>
      <c r="B38" s="25">
        <f>IF(COUNTIFS(Data!$E$2:$E$5295,$A38,Data!$B$2:$B$5295,B$1)&gt;0,1,0)</f>
        <v/>
      </c>
      <c r="C38" s="25">
        <f>IF(COUNTIFS(Data!$E$2:$E$5295,$A38,Data!$B$2:$B$5295,C$1)&gt;0,1,0)</f>
        <v/>
      </c>
      <c r="D38" s="25">
        <f>IF(COUNTIFS(Data!$E$2:$E$5295,$A38,Data!$B$2:$B$5295,D$1)&gt;0,1,0)</f>
        <v/>
      </c>
      <c r="E38" s="25">
        <f>IF(COUNTIFS(Data!$E$2:$E$5295,$A38,Data!$B$2:$B$5295,E$1)&gt;0,1,0)</f>
        <v/>
      </c>
      <c r="F38" s="25">
        <f>IF(COUNTIFS(Data!$E$2:$E$5295,$A38,Data!$B$2:$B$5295,F$1)&gt;0,1,0)</f>
        <v/>
      </c>
    </row>
    <row r="39">
      <c r="A39" s="25" t="inlineStr">
        <is>
          <t>panullekha</t>
        </is>
      </c>
      <c r="B39" s="25">
        <f>IF(COUNTIFS(Data!$E$2:$E$5295,$A39,Data!$B$2:$B$5295,B$1)&gt;0,1,0)</f>
        <v/>
      </c>
      <c r="C39" s="25">
        <f>IF(COUNTIFS(Data!$E$2:$E$5295,$A39,Data!$B$2:$B$5295,C$1)&gt;0,1,0)</f>
        <v/>
      </c>
      <c r="D39" s="25">
        <f>IF(COUNTIFS(Data!$E$2:$E$5295,$A39,Data!$B$2:$B$5295,D$1)&gt;0,1,0)</f>
        <v/>
      </c>
      <c r="E39" s="25">
        <f>IF(COUNTIFS(Data!$E$2:$E$5295,$A39,Data!$B$2:$B$5295,E$1)&gt;0,1,0)</f>
        <v/>
      </c>
      <c r="F39" s="25">
        <f>IF(COUNTIFS(Data!$E$2:$E$5295,$A39,Data!$B$2:$B$5295,F$1)&gt;0,1,0)</f>
        <v/>
      </c>
    </row>
    <row r="40">
      <c r="A40" s="25" t="inlineStr">
        <is>
          <t>pgautam</t>
        </is>
      </c>
      <c r="B40" s="25">
        <f>IF(COUNTIFS(Data!$E$2:$E$5295,$A40,Data!$B$2:$B$5295,B$1)&gt;0,1,0)</f>
        <v/>
      </c>
      <c r="C40" s="25">
        <f>IF(COUNTIFS(Data!$E$2:$E$5295,$A40,Data!$B$2:$B$5295,C$1)&gt;0,1,0)</f>
        <v/>
      </c>
      <c r="D40" s="25">
        <f>IF(COUNTIFS(Data!$E$2:$E$5295,$A40,Data!$B$2:$B$5295,D$1)&gt;0,1,0)</f>
        <v/>
      </c>
      <c r="E40" s="25">
        <f>IF(COUNTIFS(Data!$E$2:$E$5295,$A40,Data!$B$2:$B$5295,E$1)&gt;0,1,0)</f>
        <v/>
      </c>
      <c r="F40" s="25">
        <f>IF(COUNTIFS(Data!$E$2:$E$5295,$A40,Data!$B$2:$B$5295,F$1)&gt;0,1,0)</f>
        <v/>
      </c>
    </row>
    <row r="41">
      <c r="A41" s="25" t="inlineStr">
        <is>
          <t>pmehndiratta</t>
        </is>
      </c>
      <c r="B41" s="25">
        <f>IF(COUNTIFS(Data!$E$2:$E$5295,$A41,Data!$B$2:$B$5295,B$1)&gt;0,1,0)</f>
        <v/>
      </c>
      <c r="C41" s="25">
        <f>IF(COUNTIFS(Data!$E$2:$E$5295,$A41,Data!$B$2:$B$5295,C$1)&gt;0,1,0)</f>
        <v/>
      </c>
      <c r="D41" s="25">
        <f>IF(COUNTIFS(Data!$E$2:$E$5295,$A41,Data!$B$2:$B$5295,D$1)&gt;0,1,0)</f>
        <v/>
      </c>
      <c r="E41" s="25">
        <f>IF(COUNTIFS(Data!$E$2:$E$5295,$A41,Data!$B$2:$B$5295,E$1)&gt;0,1,0)</f>
        <v/>
      </c>
      <c r="F41" s="25">
        <f>IF(COUNTIFS(Data!$E$2:$E$5295,$A41,Data!$B$2:$B$5295,F$1)&gt;0,1,0)</f>
        <v/>
      </c>
    </row>
    <row r="42">
      <c r="A42" s="25" t="inlineStr">
        <is>
          <t>pmishra</t>
        </is>
      </c>
      <c r="B42" s="25">
        <f>IF(COUNTIFS(Data!$E$2:$E$5295,$A42,Data!$B$2:$B$5295,B$1)&gt;0,1,0)</f>
        <v/>
      </c>
      <c r="C42" s="25">
        <f>IF(COUNTIFS(Data!$E$2:$E$5295,$A42,Data!$B$2:$B$5295,C$1)&gt;0,1,0)</f>
        <v/>
      </c>
      <c r="D42" s="25">
        <f>IF(COUNTIFS(Data!$E$2:$E$5295,$A42,Data!$B$2:$B$5295,D$1)&gt;0,1,0)</f>
        <v/>
      </c>
      <c r="E42" s="25">
        <f>IF(COUNTIFS(Data!$E$2:$E$5295,$A42,Data!$B$2:$B$5295,E$1)&gt;0,1,0)</f>
        <v/>
      </c>
      <c r="F42" s="25">
        <f>IF(COUNTIFS(Data!$E$2:$E$5295,$A42,Data!$B$2:$B$5295,F$1)&gt;0,1,0)</f>
        <v/>
      </c>
    </row>
    <row r="43">
      <c r="A43" s="25" t="inlineStr">
        <is>
          <t>pmodak</t>
        </is>
      </c>
      <c r="B43" s="25">
        <f>IF(COUNTIFS(Data!$E$2:$E$5295,$A43,Data!$B$2:$B$5295,B$1)&gt;0,1,0)</f>
        <v/>
      </c>
      <c r="C43" s="25">
        <f>IF(COUNTIFS(Data!$E$2:$E$5295,$A43,Data!$B$2:$B$5295,C$1)&gt;0,1,0)</f>
        <v/>
      </c>
      <c r="D43" s="25">
        <f>IF(COUNTIFS(Data!$E$2:$E$5295,$A43,Data!$B$2:$B$5295,D$1)&gt;0,1,0)</f>
        <v/>
      </c>
      <c r="E43" s="25">
        <f>IF(COUNTIFS(Data!$E$2:$E$5295,$A43,Data!$B$2:$B$5295,E$1)&gt;0,1,0)</f>
        <v/>
      </c>
      <c r="F43" s="25">
        <f>IF(COUNTIFS(Data!$E$2:$E$5295,$A43,Data!$B$2:$B$5295,F$1)&gt;0,1,0)</f>
        <v/>
      </c>
    </row>
    <row r="44">
      <c r="A44" s="25" t="inlineStr">
        <is>
          <t>psathwika</t>
        </is>
      </c>
      <c r="B44" s="25">
        <f>IF(COUNTIFS(Data!$E$2:$E$5295,$A44,Data!$B$2:$B$5295,B$1)&gt;0,1,0)</f>
        <v/>
      </c>
      <c r="C44" s="25">
        <f>IF(COUNTIFS(Data!$E$2:$E$5295,$A44,Data!$B$2:$B$5295,C$1)&gt;0,1,0)</f>
        <v/>
      </c>
      <c r="D44" s="25">
        <f>IF(COUNTIFS(Data!$E$2:$E$5295,$A44,Data!$B$2:$B$5295,D$1)&gt;0,1,0)</f>
        <v/>
      </c>
      <c r="E44" s="25">
        <f>IF(COUNTIFS(Data!$E$2:$E$5295,$A44,Data!$B$2:$B$5295,E$1)&gt;0,1,0)</f>
        <v/>
      </c>
      <c r="F44" s="25">
        <f>IF(COUNTIFS(Data!$E$2:$E$5295,$A44,Data!$B$2:$B$5295,F$1)&gt;0,1,0)</f>
        <v/>
      </c>
    </row>
    <row r="45">
      <c r="A45" s="25" t="inlineStr">
        <is>
          <t>psingh</t>
        </is>
      </c>
      <c r="B45" s="25">
        <f>IF(COUNTIFS(Data!$E$2:$E$5295,$A45,Data!$B$2:$B$5295,B$1)&gt;0,1,0)</f>
        <v/>
      </c>
      <c r="C45" s="25">
        <f>IF(COUNTIFS(Data!$E$2:$E$5295,$A45,Data!$B$2:$B$5295,C$1)&gt;0,1,0)</f>
        <v/>
      </c>
      <c r="D45" s="25">
        <f>IF(COUNTIFS(Data!$E$2:$E$5295,$A45,Data!$B$2:$B$5295,D$1)&gt;0,1,0)</f>
        <v/>
      </c>
      <c r="E45" s="25">
        <f>IF(COUNTIFS(Data!$E$2:$E$5295,$A45,Data!$B$2:$B$5295,E$1)&gt;0,1,0)</f>
        <v/>
      </c>
      <c r="F45" s="25">
        <f>IF(COUNTIFS(Data!$E$2:$E$5295,$A45,Data!$B$2:$B$5295,F$1)&gt;0,1,0)</f>
        <v/>
      </c>
    </row>
    <row r="46">
      <c r="A46" s="25" t="inlineStr">
        <is>
          <t>ptomar</t>
        </is>
      </c>
      <c r="B46" s="25">
        <f>IF(COUNTIFS(Data!$E$2:$E$5295,$A46,Data!$B$2:$B$5295,B$1)&gt;0,1,0)</f>
        <v/>
      </c>
      <c r="C46" s="25">
        <f>IF(COUNTIFS(Data!$E$2:$E$5295,$A46,Data!$B$2:$B$5295,C$1)&gt;0,1,0)</f>
        <v/>
      </c>
      <c r="D46" s="25">
        <f>IF(COUNTIFS(Data!$E$2:$E$5295,$A46,Data!$B$2:$B$5295,D$1)&gt;0,1,0)</f>
        <v/>
      </c>
      <c r="E46" s="25">
        <f>IF(COUNTIFS(Data!$E$2:$E$5295,$A46,Data!$B$2:$B$5295,E$1)&gt;0,1,0)</f>
        <v/>
      </c>
      <c r="F46" s="25">
        <f>IF(COUNTIFS(Data!$E$2:$E$5295,$A46,Data!$B$2:$B$5295,F$1)&gt;0,1,0)</f>
        <v/>
      </c>
    </row>
    <row r="47">
      <c r="A47" s="25" t="inlineStr">
        <is>
          <t>rsingh</t>
        </is>
      </c>
      <c r="B47" s="25">
        <f>IF(COUNTIFS(Data!$E$2:$E$5295,$A47,Data!$B$2:$B$5295,B$1)&gt;0,1,0)</f>
        <v/>
      </c>
      <c r="C47" s="25">
        <f>IF(COUNTIFS(Data!$E$2:$E$5295,$A47,Data!$B$2:$B$5295,C$1)&gt;0,1,0)</f>
        <v/>
      </c>
      <c r="D47" s="25">
        <f>IF(COUNTIFS(Data!$E$2:$E$5295,$A47,Data!$B$2:$B$5295,D$1)&gt;0,1,0)</f>
        <v/>
      </c>
      <c r="E47" s="25">
        <f>IF(COUNTIFS(Data!$E$2:$E$5295,$A47,Data!$B$2:$B$5295,E$1)&gt;0,1,0)</f>
        <v/>
      </c>
      <c r="F47" s="25">
        <f>IF(COUNTIFS(Data!$E$2:$E$5295,$A47,Data!$B$2:$B$5295,F$1)&gt;0,1,0)</f>
        <v/>
      </c>
    </row>
    <row r="48">
      <c r="A48" s="25" t="inlineStr">
        <is>
          <t>rts</t>
        </is>
      </c>
      <c r="B48" s="25">
        <f>IF(COUNTIFS(Data!$E$2:$E$5295,$A48,Data!$B$2:$B$5295,B$1)&gt;0,1,0)</f>
        <v/>
      </c>
      <c r="C48" s="25">
        <f>IF(COUNTIFS(Data!$E$2:$E$5295,$A48,Data!$B$2:$B$5295,C$1)&gt;0,1,0)</f>
        <v/>
      </c>
      <c r="D48" s="25">
        <f>IF(COUNTIFS(Data!$E$2:$E$5295,$A48,Data!$B$2:$B$5295,D$1)&gt;0,1,0)</f>
        <v/>
      </c>
      <c r="E48" s="25">
        <f>IF(COUNTIFS(Data!$E$2:$E$5295,$A48,Data!$B$2:$B$5295,E$1)&gt;0,1,0)</f>
        <v/>
      </c>
      <c r="F48" s="25">
        <f>IF(COUNTIFS(Data!$E$2:$E$5295,$A48,Data!$B$2:$B$5295,F$1)&gt;0,1,0)</f>
        <v/>
      </c>
    </row>
    <row r="49">
      <c r="A49" s="25" t="inlineStr">
        <is>
          <t>sakumar</t>
        </is>
      </c>
      <c r="B49" s="25">
        <f>IF(COUNTIFS(Data!$E$2:$E$5295,$A49,Data!$B$2:$B$5295,B$1)&gt;0,1,0)</f>
        <v/>
      </c>
      <c r="C49" s="25">
        <f>IF(COUNTIFS(Data!$E$2:$E$5295,$A49,Data!$B$2:$B$5295,C$1)&gt;0,1,0)</f>
        <v/>
      </c>
      <c r="D49" s="25">
        <f>IF(COUNTIFS(Data!$E$2:$E$5295,$A49,Data!$B$2:$B$5295,D$1)&gt;0,1,0)</f>
        <v/>
      </c>
      <c r="E49" s="25">
        <f>IF(COUNTIFS(Data!$E$2:$E$5295,$A49,Data!$B$2:$B$5295,E$1)&gt;0,1,0)</f>
        <v/>
      </c>
      <c r="F49" s="25">
        <f>IF(COUNTIFS(Data!$E$2:$E$5295,$A49,Data!$B$2:$B$5295,F$1)&gt;0,1,0)</f>
        <v/>
      </c>
    </row>
    <row r="50">
      <c r="A50" s="25" t="inlineStr">
        <is>
          <t>sasharma</t>
        </is>
      </c>
      <c r="B50" s="25">
        <f>IF(COUNTIFS(Data!$E$2:$E$5295,$A50,Data!$B$2:$B$5295,B$1)&gt;0,1,0)</f>
        <v/>
      </c>
      <c r="C50" s="25">
        <f>IF(COUNTIFS(Data!$E$2:$E$5295,$A50,Data!$B$2:$B$5295,C$1)&gt;0,1,0)</f>
        <v/>
      </c>
      <c r="D50" s="25">
        <f>IF(COUNTIFS(Data!$E$2:$E$5295,$A50,Data!$B$2:$B$5295,D$1)&gt;0,1,0)</f>
        <v/>
      </c>
      <c r="E50" s="25">
        <f>IF(COUNTIFS(Data!$E$2:$E$5295,$A50,Data!$B$2:$B$5295,E$1)&gt;0,1,0)</f>
        <v/>
      </c>
      <c r="F50" s="25">
        <f>IF(COUNTIFS(Data!$E$2:$E$5295,$A50,Data!$B$2:$B$5295,F$1)&gt;0,1,0)</f>
        <v/>
      </c>
    </row>
    <row r="51">
      <c r="A51" s="25" t="inlineStr">
        <is>
          <t>schoppakatla</t>
        </is>
      </c>
      <c r="B51" s="25">
        <f>IF(COUNTIFS(Data!$E$2:$E$5295,$A51,Data!$B$2:$B$5295,B$1)&gt;0,1,0)</f>
        <v/>
      </c>
      <c r="C51" s="25">
        <f>IF(COUNTIFS(Data!$E$2:$E$5295,$A51,Data!$B$2:$B$5295,C$1)&gt;0,1,0)</f>
        <v/>
      </c>
      <c r="D51" s="25">
        <f>IF(COUNTIFS(Data!$E$2:$E$5295,$A51,Data!$B$2:$B$5295,D$1)&gt;0,1,0)</f>
        <v/>
      </c>
      <c r="E51" s="25">
        <f>IF(COUNTIFS(Data!$E$2:$E$5295,$A51,Data!$B$2:$B$5295,E$1)&gt;0,1,0)</f>
        <v/>
      </c>
      <c r="F51" s="25">
        <f>IF(COUNTIFS(Data!$E$2:$E$5295,$A51,Data!$B$2:$B$5295,F$1)&gt;0,1,0)</f>
        <v/>
      </c>
    </row>
    <row r="52">
      <c r="A52" s="25" t="inlineStr">
        <is>
          <t>sdey</t>
        </is>
      </c>
      <c r="B52" s="25">
        <f>IF(COUNTIFS(Data!$E$2:$E$5295,$A52,Data!$B$2:$B$5295,B$1)&gt;0,1,0)</f>
        <v/>
      </c>
      <c r="C52" s="25">
        <f>IF(COUNTIFS(Data!$E$2:$E$5295,$A52,Data!$B$2:$B$5295,C$1)&gt;0,1,0)</f>
        <v/>
      </c>
      <c r="D52" s="25">
        <f>IF(COUNTIFS(Data!$E$2:$E$5295,$A52,Data!$B$2:$B$5295,D$1)&gt;0,1,0)</f>
        <v/>
      </c>
      <c r="E52" s="25">
        <f>IF(COUNTIFS(Data!$E$2:$E$5295,$A52,Data!$B$2:$B$5295,E$1)&gt;0,1,0)</f>
        <v/>
      </c>
      <c r="F52" s="25">
        <f>IF(COUNTIFS(Data!$E$2:$E$5295,$A52,Data!$B$2:$B$5295,F$1)&gt;0,1,0)</f>
        <v/>
      </c>
    </row>
    <row r="53">
      <c r="A53" s="25" t="inlineStr">
        <is>
          <t>shasikha</t>
        </is>
      </c>
      <c r="B53" s="25">
        <f>IF(COUNTIFS(Data!$E$2:$E$5295,$A53,Data!$B$2:$B$5295,B$1)&gt;0,1,0)</f>
        <v/>
      </c>
      <c r="C53" s="25">
        <f>IF(COUNTIFS(Data!$E$2:$E$5295,$A53,Data!$B$2:$B$5295,C$1)&gt;0,1,0)</f>
        <v/>
      </c>
      <c r="D53" s="25">
        <f>IF(COUNTIFS(Data!$E$2:$E$5295,$A53,Data!$B$2:$B$5295,D$1)&gt;0,1,0)</f>
        <v/>
      </c>
      <c r="E53" s="25">
        <f>IF(COUNTIFS(Data!$E$2:$E$5295,$A53,Data!$B$2:$B$5295,E$1)&gt;0,1,0)</f>
        <v/>
      </c>
      <c r="F53" s="25">
        <f>IF(COUNTIFS(Data!$E$2:$E$5295,$A53,Data!$B$2:$B$5295,F$1)&gt;0,1,0)</f>
        <v/>
      </c>
    </row>
    <row r="54">
      <c r="A54" s="25" t="inlineStr">
        <is>
          <t>shassan</t>
        </is>
      </c>
      <c r="B54" s="25">
        <f>IF(COUNTIFS(Data!$E$2:$E$5295,$A54,Data!$B$2:$B$5295,B$1)&gt;0,1,0)</f>
        <v/>
      </c>
      <c r="C54" s="25">
        <f>IF(COUNTIFS(Data!$E$2:$E$5295,$A54,Data!$B$2:$B$5295,C$1)&gt;0,1,0)</f>
        <v/>
      </c>
      <c r="D54" s="25">
        <f>IF(COUNTIFS(Data!$E$2:$E$5295,$A54,Data!$B$2:$B$5295,D$1)&gt;0,1,0)</f>
        <v/>
      </c>
      <c r="E54" s="25">
        <f>IF(COUNTIFS(Data!$E$2:$E$5295,$A54,Data!$B$2:$B$5295,E$1)&gt;0,1,0)</f>
        <v/>
      </c>
      <c r="F54" s="25">
        <f>IF(COUNTIFS(Data!$E$2:$E$5295,$A54,Data!$B$2:$B$5295,F$1)&gt;0,1,0)</f>
        <v/>
      </c>
    </row>
    <row r="55">
      <c r="A55" s="25" t="inlineStr">
        <is>
          <t>smukhopadhyay</t>
        </is>
      </c>
      <c r="B55" s="25">
        <f>IF(COUNTIFS(Data!$E$2:$E$5295,$A55,Data!$B$2:$B$5295,B$1)&gt;0,1,0)</f>
        <v/>
      </c>
      <c r="C55" s="25">
        <f>IF(COUNTIFS(Data!$E$2:$E$5295,$A55,Data!$B$2:$B$5295,C$1)&gt;0,1,0)</f>
        <v/>
      </c>
      <c r="D55" s="25">
        <f>IF(COUNTIFS(Data!$E$2:$E$5295,$A55,Data!$B$2:$B$5295,D$1)&gt;0,1,0)</f>
        <v/>
      </c>
      <c r="E55" s="25">
        <f>IF(COUNTIFS(Data!$E$2:$E$5295,$A55,Data!$B$2:$B$5295,E$1)&gt;0,1,0)</f>
        <v/>
      </c>
      <c r="F55" s="25">
        <f>IF(COUNTIFS(Data!$E$2:$E$5295,$A55,Data!$B$2:$B$5295,F$1)&gt;0,1,0)</f>
        <v/>
      </c>
    </row>
    <row r="56">
      <c r="A56" s="25" t="inlineStr">
        <is>
          <t>sphatak</t>
        </is>
      </c>
      <c r="B56" s="25">
        <f>IF(COUNTIFS(Data!$E$2:$E$5295,$A56,Data!$B$2:$B$5295,B$1)&gt;0,1,0)</f>
        <v/>
      </c>
      <c r="C56" s="25">
        <f>IF(COUNTIFS(Data!$E$2:$E$5295,$A56,Data!$B$2:$B$5295,C$1)&gt;0,1,0)</f>
        <v/>
      </c>
      <c r="D56" s="25">
        <f>IF(COUNTIFS(Data!$E$2:$E$5295,$A56,Data!$B$2:$B$5295,D$1)&gt;0,1,0)</f>
        <v/>
      </c>
      <c r="E56" s="25">
        <f>IF(COUNTIFS(Data!$E$2:$E$5295,$A56,Data!$B$2:$B$5295,E$1)&gt;0,1,0)</f>
        <v/>
      </c>
      <c r="F56" s="25">
        <f>IF(COUNTIFS(Data!$E$2:$E$5295,$A56,Data!$B$2:$B$5295,F$1)&gt;0,1,0)</f>
        <v/>
      </c>
    </row>
    <row r="57">
      <c r="A57" s="25" t="inlineStr">
        <is>
          <t>ssaha</t>
        </is>
      </c>
      <c r="B57" s="25">
        <f>IF(COUNTIFS(Data!$E$2:$E$5295,$A57,Data!$B$2:$B$5295,B$1)&gt;0,1,0)</f>
        <v/>
      </c>
      <c r="C57" s="25">
        <f>IF(COUNTIFS(Data!$E$2:$E$5295,$A57,Data!$B$2:$B$5295,C$1)&gt;0,1,0)</f>
        <v/>
      </c>
      <c r="D57" s="25">
        <f>IF(COUNTIFS(Data!$E$2:$E$5295,$A57,Data!$B$2:$B$5295,D$1)&gt;0,1,0)</f>
        <v/>
      </c>
      <c r="E57" s="25">
        <f>IF(COUNTIFS(Data!$E$2:$E$5295,$A57,Data!$B$2:$B$5295,E$1)&gt;0,1,0)</f>
        <v/>
      </c>
      <c r="F57" s="25">
        <f>IF(COUNTIFS(Data!$E$2:$E$5295,$A57,Data!$B$2:$B$5295,F$1)&gt;0,1,0)</f>
        <v/>
      </c>
    </row>
    <row r="58">
      <c r="A58" s="25" t="inlineStr">
        <is>
          <t>ssarkar</t>
        </is>
      </c>
      <c r="B58" s="25">
        <f>IF(COUNTIFS(Data!$E$2:$E$5295,$A58,Data!$B$2:$B$5295,B$1)&gt;0,1,0)</f>
        <v/>
      </c>
      <c r="C58" s="25">
        <f>IF(COUNTIFS(Data!$E$2:$E$5295,$A58,Data!$B$2:$B$5295,C$1)&gt;0,1,0)</f>
        <v/>
      </c>
      <c r="D58" s="25">
        <f>IF(COUNTIFS(Data!$E$2:$E$5295,$A58,Data!$B$2:$B$5295,D$1)&gt;0,1,0)</f>
        <v/>
      </c>
      <c r="E58" s="25">
        <f>IF(COUNTIFS(Data!$E$2:$E$5295,$A58,Data!$B$2:$B$5295,E$1)&gt;0,1,0)</f>
        <v/>
      </c>
      <c r="F58" s="25">
        <f>IF(COUNTIFS(Data!$E$2:$E$5295,$A58,Data!$B$2:$B$5295,F$1)&gt;0,1,0)</f>
        <v/>
      </c>
    </row>
    <row r="59">
      <c r="A59" s="25" t="inlineStr">
        <is>
          <t>ssneha</t>
        </is>
      </c>
      <c r="B59" s="25">
        <f>IF(COUNTIFS(Data!$E$2:$E$5295,$A59,Data!$B$2:$B$5295,B$1)&gt;0,1,0)</f>
        <v/>
      </c>
      <c r="C59" s="25">
        <f>IF(COUNTIFS(Data!$E$2:$E$5295,$A59,Data!$B$2:$B$5295,C$1)&gt;0,1,0)</f>
        <v/>
      </c>
      <c r="D59" s="25">
        <f>IF(COUNTIFS(Data!$E$2:$E$5295,$A59,Data!$B$2:$B$5295,D$1)&gt;0,1,0)</f>
        <v/>
      </c>
      <c r="E59" s="25">
        <f>IF(COUNTIFS(Data!$E$2:$E$5295,$A59,Data!$B$2:$B$5295,E$1)&gt;0,1,0)</f>
        <v/>
      </c>
      <c r="F59" s="25">
        <f>IF(COUNTIFS(Data!$E$2:$E$5295,$A59,Data!$B$2:$B$5295,F$1)&gt;0,1,0)</f>
        <v/>
      </c>
    </row>
    <row r="60">
      <c r="A60" s="25" t="inlineStr">
        <is>
          <t>ssrinivasan</t>
        </is>
      </c>
      <c r="B60" s="25">
        <f>IF(COUNTIFS(Data!$E$2:$E$5295,$A60,Data!$B$2:$B$5295,B$1)&gt;0,1,0)</f>
        <v/>
      </c>
      <c r="C60" s="25">
        <f>IF(COUNTIFS(Data!$E$2:$E$5295,$A60,Data!$B$2:$B$5295,C$1)&gt;0,1,0)</f>
        <v/>
      </c>
      <c r="D60" s="25">
        <f>IF(COUNTIFS(Data!$E$2:$E$5295,$A60,Data!$B$2:$B$5295,D$1)&gt;0,1,0)</f>
        <v/>
      </c>
      <c r="E60" s="25">
        <f>IF(COUNTIFS(Data!$E$2:$E$5295,$A60,Data!$B$2:$B$5295,E$1)&gt;0,1,0)</f>
        <v/>
      </c>
      <c r="F60" s="25">
        <f>IF(COUNTIFS(Data!$E$2:$E$5295,$A60,Data!$B$2:$B$5295,F$1)&gt;0,1,0)</f>
        <v/>
      </c>
    </row>
    <row r="61">
      <c r="A61" s="25" t="inlineStr">
        <is>
          <t>sswati</t>
        </is>
      </c>
      <c r="B61" s="25">
        <f>IF(COUNTIFS(Data!$E$2:$E$5295,$A61,Data!$B$2:$B$5295,B$1)&gt;0,1,0)</f>
        <v/>
      </c>
      <c r="C61" s="25">
        <f>IF(COUNTIFS(Data!$E$2:$E$5295,$A61,Data!$B$2:$B$5295,C$1)&gt;0,1,0)</f>
        <v/>
      </c>
      <c r="D61" s="25">
        <f>IF(COUNTIFS(Data!$E$2:$E$5295,$A61,Data!$B$2:$B$5295,D$1)&gt;0,1,0)</f>
        <v/>
      </c>
      <c r="E61" s="25">
        <f>IF(COUNTIFS(Data!$E$2:$E$5295,$A61,Data!$B$2:$B$5295,E$1)&gt;0,1,0)</f>
        <v/>
      </c>
      <c r="F61" s="25">
        <f>IF(COUNTIFS(Data!$E$2:$E$5295,$A61,Data!$B$2:$B$5295,F$1)&gt;0,1,0)</f>
        <v/>
      </c>
    </row>
    <row r="62">
      <c r="A62" s="25" t="inlineStr">
        <is>
          <t>sthomas</t>
        </is>
      </c>
      <c r="B62" s="25">
        <f>IF(COUNTIFS(Data!$E$2:$E$5295,$A62,Data!$B$2:$B$5295,B$1)&gt;0,1,0)</f>
        <v/>
      </c>
      <c r="C62" s="25">
        <f>IF(COUNTIFS(Data!$E$2:$E$5295,$A62,Data!$B$2:$B$5295,C$1)&gt;0,1,0)</f>
        <v/>
      </c>
      <c r="D62" s="25">
        <f>IF(COUNTIFS(Data!$E$2:$E$5295,$A62,Data!$B$2:$B$5295,D$1)&gt;0,1,0)</f>
        <v/>
      </c>
      <c r="E62" s="25">
        <f>IF(COUNTIFS(Data!$E$2:$E$5295,$A62,Data!$B$2:$B$5295,E$1)&gt;0,1,0)</f>
        <v/>
      </c>
      <c r="F62" s="25">
        <f>IF(COUNTIFS(Data!$E$2:$E$5295,$A62,Data!$B$2:$B$5295,F$1)&gt;0,1,0)</f>
        <v/>
      </c>
    </row>
    <row r="63">
      <c r="A63" s="25" t="inlineStr">
        <is>
          <t>stiwari</t>
        </is>
      </c>
      <c r="B63" s="25">
        <f>IF(COUNTIFS(Data!$E$2:$E$5295,$A63,Data!$B$2:$B$5295,B$1)&gt;0,1,0)</f>
        <v/>
      </c>
      <c r="C63" s="25">
        <f>IF(COUNTIFS(Data!$E$2:$E$5295,$A63,Data!$B$2:$B$5295,C$1)&gt;0,1,0)</f>
        <v/>
      </c>
      <c r="D63" s="25">
        <f>IF(COUNTIFS(Data!$E$2:$E$5295,$A63,Data!$B$2:$B$5295,D$1)&gt;0,1,0)</f>
        <v/>
      </c>
      <c r="E63" s="25">
        <f>IF(COUNTIFS(Data!$E$2:$E$5295,$A63,Data!$B$2:$B$5295,E$1)&gt;0,1,0)</f>
        <v/>
      </c>
      <c r="F63" s="25">
        <f>IF(COUNTIFS(Data!$E$2:$E$5295,$A63,Data!$B$2:$B$5295,F$1)&gt;0,1,0)</f>
        <v/>
      </c>
    </row>
    <row r="64">
      <c r="A64" s="25" t="inlineStr">
        <is>
          <t>svora</t>
        </is>
      </c>
      <c r="B64" s="25">
        <f>IF(COUNTIFS(Data!$E$2:$E$5295,$A64,Data!$B$2:$B$5295,B$1)&gt;0,1,0)</f>
        <v/>
      </c>
      <c r="C64" s="25">
        <f>IF(COUNTIFS(Data!$E$2:$E$5295,$A64,Data!$B$2:$B$5295,C$1)&gt;0,1,0)</f>
        <v/>
      </c>
      <c r="D64" s="25">
        <f>IF(COUNTIFS(Data!$E$2:$E$5295,$A64,Data!$B$2:$B$5295,D$1)&gt;0,1,0)</f>
        <v/>
      </c>
      <c r="E64" s="25">
        <f>IF(COUNTIFS(Data!$E$2:$E$5295,$A64,Data!$B$2:$B$5295,E$1)&gt;0,1,0)</f>
        <v/>
      </c>
      <c r="F64" s="25">
        <f>IF(COUNTIFS(Data!$E$2:$E$5295,$A64,Data!$B$2:$B$5295,F$1)&gt;0,1,0)</f>
        <v/>
      </c>
    </row>
    <row r="65">
      <c r="A65" s="25" t="inlineStr">
        <is>
          <t>taggarwal</t>
        </is>
      </c>
      <c r="B65" s="25">
        <f>IF(COUNTIFS(Data!$E$2:$E$5295,$A65,Data!$B$2:$B$5295,B$1)&gt;0,1,0)</f>
        <v/>
      </c>
      <c r="C65" s="25">
        <f>IF(COUNTIFS(Data!$E$2:$E$5295,$A65,Data!$B$2:$B$5295,C$1)&gt;0,1,0)</f>
        <v/>
      </c>
      <c r="D65" s="25">
        <f>IF(COUNTIFS(Data!$E$2:$E$5295,$A65,Data!$B$2:$B$5295,D$1)&gt;0,1,0)</f>
        <v/>
      </c>
      <c r="E65" s="25">
        <f>IF(COUNTIFS(Data!$E$2:$E$5295,$A65,Data!$B$2:$B$5295,E$1)&gt;0,1,0)</f>
        <v/>
      </c>
      <c r="F65" s="25">
        <f>IF(COUNTIFS(Data!$E$2:$E$5295,$A65,Data!$B$2:$B$5295,F$1)&gt;0,1,0)</f>
        <v/>
      </c>
    </row>
    <row r="66">
      <c r="A66" s="25" t="inlineStr">
        <is>
          <t>tkarmakar</t>
        </is>
      </c>
      <c r="B66" s="25">
        <f>IF(COUNTIFS(Data!$E$2:$E$5295,$A66,Data!$B$2:$B$5295,B$1)&gt;0,1,0)</f>
        <v/>
      </c>
      <c r="C66" s="25">
        <f>IF(COUNTIFS(Data!$E$2:$E$5295,$A66,Data!$B$2:$B$5295,C$1)&gt;0,1,0)</f>
        <v/>
      </c>
      <c r="D66" s="25">
        <f>IF(COUNTIFS(Data!$E$2:$E$5295,$A66,Data!$B$2:$B$5295,D$1)&gt;0,1,0)</f>
        <v/>
      </c>
      <c r="E66" s="25">
        <f>IF(COUNTIFS(Data!$E$2:$E$5295,$A66,Data!$B$2:$B$5295,E$1)&gt;0,1,0)</f>
        <v/>
      </c>
      <c r="F66" s="25">
        <f>IF(COUNTIFS(Data!$E$2:$E$5295,$A66,Data!$B$2:$B$5295,F$1)&gt;0,1,0)</f>
        <v/>
      </c>
    </row>
    <row r="67">
      <c r="A67" s="25" t="inlineStr">
        <is>
          <t>vprasad</t>
        </is>
      </c>
      <c r="B67" s="25">
        <f>IF(COUNTIFS(Data!$E$2:$E$5295,$A67,Data!$B$2:$B$5295,B$1)&gt;0,1,0)</f>
        <v/>
      </c>
      <c r="C67" s="25">
        <f>IF(COUNTIFS(Data!$E$2:$E$5295,$A67,Data!$B$2:$B$5295,C$1)&gt;0,1,0)</f>
        <v/>
      </c>
      <c r="D67" s="25">
        <f>IF(COUNTIFS(Data!$E$2:$E$5295,$A67,Data!$B$2:$B$5295,D$1)&gt;0,1,0)</f>
        <v/>
      </c>
      <c r="E67" s="25">
        <f>IF(COUNTIFS(Data!$E$2:$E$5295,$A67,Data!$B$2:$B$5295,E$1)&gt;0,1,0)</f>
        <v/>
      </c>
      <c r="F67" s="25">
        <f>IF(COUNTIFS(Data!$E$2:$E$5295,$A67,Data!$B$2:$B$5295,F$1)&gt;0,1,0)</f>
        <v/>
      </c>
    </row>
    <row r="68">
      <c r="A68" s="25" t="inlineStr">
        <is>
          <t>vraina</t>
        </is>
      </c>
      <c r="B68" s="25">
        <f>IF(COUNTIFS(Data!$E$2:$E$5295,$A68,Data!$B$2:$B$5295,B$1)&gt;0,1,0)</f>
        <v/>
      </c>
      <c r="C68" s="25">
        <f>IF(COUNTIFS(Data!$E$2:$E$5295,$A68,Data!$B$2:$B$5295,C$1)&gt;0,1,0)</f>
        <v/>
      </c>
      <c r="D68" s="25">
        <f>IF(COUNTIFS(Data!$E$2:$E$5295,$A68,Data!$B$2:$B$5295,D$1)&gt;0,1,0)</f>
        <v/>
      </c>
      <c r="E68" s="25">
        <f>IF(COUNTIFS(Data!$E$2:$E$5295,$A68,Data!$B$2:$B$5295,E$1)&gt;0,1,0)</f>
        <v/>
      </c>
      <c r="F68" s="25">
        <f>IF(COUNTIFS(Data!$E$2:$E$5295,$A68,Data!$B$2:$B$5295,F$1)&gt;0,1,0)</f>
        <v/>
      </c>
    </row>
    <row r="69">
      <c r="A69" s="25" t="inlineStr">
        <is>
          <t>vreddy</t>
        </is>
      </c>
      <c r="B69" s="25">
        <f>IF(COUNTIFS(Data!$E$2:$E$5295,$A69,Data!$B$2:$B$5295,B$1)&gt;0,1,0)</f>
        <v/>
      </c>
      <c r="C69" s="25">
        <f>IF(COUNTIFS(Data!$E$2:$E$5295,$A69,Data!$B$2:$B$5295,C$1)&gt;0,1,0)</f>
        <v/>
      </c>
      <c r="D69" s="25">
        <f>IF(COUNTIFS(Data!$E$2:$E$5295,$A69,Data!$B$2:$B$5295,D$1)&gt;0,1,0)</f>
        <v/>
      </c>
      <c r="E69" s="25">
        <f>IF(COUNTIFS(Data!$E$2:$E$5295,$A69,Data!$B$2:$B$5295,E$1)&gt;0,1,0)</f>
        <v/>
      </c>
      <c r="F69" s="25">
        <f>IF(COUNTIFS(Data!$E$2:$E$5295,$A69,Data!$B$2:$B$5295,F$1)&gt;0,1,0)</f>
        <v/>
      </c>
    </row>
    <row r="70">
      <c r="A70" s="25" t="inlineStr">
        <is>
          <t>ykaushik</t>
        </is>
      </c>
      <c r="B70" s="25">
        <f>IF(COUNTIFS(Data!$E$2:$E$5295,$A70,Data!$B$2:$B$5295,B$1)&gt;0,1,0)</f>
        <v/>
      </c>
      <c r="C70" s="25">
        <f>IF(COUNTIFS(Data!$E$2:$E$5295,$A70,Data!$B$2:$B$5295,C$1)&gt;0,1,0)</f>
        <v/>
      </c>
      <c r="D70" s="25">
        <f>IF(COUNTIFS(Data!$E$2:$E$5295,$A70,Data!$B$2:$B$5295,D$1)&gt;0,1,0)</f>
        <v/>
      </c>
      <c r="E70" s="25">
        <f>IF(COUNTIFS(Data!$E$2:$E$5295,$A70,Data!$B$2:$B$5295,E$1)&gt;0,1,0)</f>
        <v/>
      </c>
      <c r="F70" s="25">
        <f>IF(COUNTIFS(Data!$E$2:$E$5295,$A70,Data!$B$2:$B$5295,F$1)&gt;0,1,0)</f>
        <v/>
      </c>
    </row>
    <row r="72">
      <c r="A72" s="42" t="inlineStr">
        <is>
          <t>Active analysts</t>
        </is>
      </c>
      <c r="B72" s="42">
        <f>SUM(B2:B70)</f>
        <v/>
      </c>
      <c r="C72" s="42">
        <f>SUM(C2:C70)</f>
        <v/>
      </c>
      <c r="D72" s="42">
        <f>SUM(D2:D70)</f>
        <v/>
      </c>
      <c r="E72" s="42">
        <f>SUM(E2:E70)</f>
        <v/>
      </c>
      <c r="F72" s="42">
        <f>SUM(F2:F70)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2026-08-17T13:35:15Z</dcterms:created>
  <dcterms:modified xmlns:dcterms="http://purl.org/dc/terms/" xmlns:xsi="http://www.w3.org/2001/XMLSchema-instance" xsi:type="dcterms:W3CDTF">2026-08-17T13:35:18Z</dcterms:modified>
</cp:coreProperties>
</file>